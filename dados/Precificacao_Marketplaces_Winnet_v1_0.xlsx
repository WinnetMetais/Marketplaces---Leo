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Legenda" sheetId="1" state="visible" r:id="rId3"/>
    <sheet name="Parâmetros" sheetId="2" state="visible" r:id="rId4"/>
    <sheet name="Produtos" sheetId="3" state="visible" r:id="rId5"/>
    <sheet name="ML Clássico" sheetId="4" state="visible" r:id="rId6"/>
    <sheet name="ML Premium" sheetId="5" state="visible" r:id="rId7"/>
    <sheet name="Amazon" sheetId="6" state="visible" r:id="rId8"/>
    <sheet name="Via (Casas Bahia)" sheetId="7" state="visible" r:id="rId9"/>
    <sheet name="MadeiraMadeira" sheetId="8" state="visible" r:id="rId10"/>
    <sheet name="Magalu" sheetId="9" state="visible" r:id="rId11"/>
    <sheet name="Comparativo" sheetId="10" state="visible" r:id="rId12"/>
  </sheets>
  <definedNames>
    <definedName function="false" hidden="true" localSheetId="5" name="_xlnm._FilterDatabase" vbProcedure="false">Amazon!$A$3:$Z$349</definedName>
    <definedName function="false" hidden="true" localSheetId="9" name="_xlnm._FilterDatabase" vbProcedure="false">Comparativo!$A$3:$S$349</definedName>
    <definedName function="false" hidden="true" localSheetId="7" name="_xlnm._FilterDatabase" vbProcedure="false">MadeiraMadeira!$A$3:$Z$349</definedName>
    <definedName function="false" hidden="true" localSheetId="8" name="_xlnm._FilterDatabase" vbProcedure="false">Magalu!$A$3:$Z$349</definedName>
    <definedName function="false" hidden="true" localSheetId="3" name="_xlnm._FilterDatabase" vbProcedure="false">'ML Clássico'!$A$3:$Z$349</definedName>
    <definedName function="false" hidden="true" localSheetId="4" name="_xlnm._FilterDatabase" vbProcedure="false">'ML Premium'!$A$3:$Z$349</definedName>
    <definedName function="false" hidden="true" localSheetId="2" name="_xlnm._FilterDatabase" vbProcedure="false">Produtos!$A$3:$G$349</definedName>
    <definedName function="false" hidden="true" localSheetId="6" name="_xlnm._FilterDatabase" vbProcedure="false">'Via (Casas Bahia)'!$A$3:$Z$349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3" authorId="0">
      <text>
        <r>
          <rPr>
            <sz val="10"/>
            <rFont val="Arial"/>
            <family val="2"/>
          </rPr>
          <t xml:space="preserve">13% (Clássico) e 18% (Premium) são os padrões do título da Precificação ML. Na planilha original, as linhas já precificadas usam taxas próprias (12%, 10,5%, 11,5% · 15%, 13,5%, 16,5%, 17%); elas foram preservadas na coluna 'Comissão manual' das abas ML Clássico e ML Premium.</t>
        </r>
      </text>
    </comment>
    <comment ref="D13" authorId="0">
      <text>
        <r>
          <rPr>
            <sz val="10"/>
            <rFont val="Arial"/>
            <family val="2"/>
          </rPr>
          <t xml:space="preserve">13% definido pelo LEO em 09/10/2026 (o print trazia 12%). Coincide com a tarifa Amazon efetiva média da Planilha Mestra v4.3.5: 13,0% (11,7%–14,8%), porque a Amazon calcula a tarifa sobre preço + frete cobrado do cliente.</t>
        </r>
      </text>
    </comment>
    <comment ref="E4" authorId="0">
      <text>
        <r>
          <rPr>
            <sz val="10"/>
            <rFont val="Arial"/>
            <family val="2"/>
          </rPr>
          <t xml:space="preserve">Mercado Livre cobra custo fixo por unidade em anúncios abaixo de R$ 79. Deixado em 0 porque a Precificação ML original não o considera; preencha o valor vigente do painel se quiser aplicá-lo.</t>
        </r>
      </text>
    </comment>
  </commentList>
</comments>
</file>

<file path=xl/sharedStrings.xml><?xml version="1.0" encoding="utf-8"?>
<sst xmlns="http://schemas.openxmlformats.org/spreadsheetml/2006/main" count="1865" uniqueCount="763">
  <si>
    <t xml:space="preserve">LEGENDA — Precificação por Marketplace · Winnet Metais · v1.0 (09/10/2026)</t>
  </si>
  <si>
    <t xml:space="preserve">COMO A PLANILHA FUNCIONA</t>
  </si>
  <si>
    <t xml:space="preserve">Parâmetros</t>
  </si>
  <si>
    <t xml:space="preserve">Imposto, ADS, margem mínima e custo fixo por marketplace (bloco 1) e comissão por categoria × marketplace (bloco 2). Toda taxa vive aqui — nenhuma está escondida em fórmula.</t>
  </si>
  <si>
    <t xml:space="preserve">Produtos</t>
  </si>
  <si>
    <t xml:space="preserve">Base única: código, nome, categoria e custo (Vl. Revenda 6%). As seis abas de marketplace e o Comparativo leem desta aba pela mesma linha.</t>
  </si>
  <si>
    <t xml:space="preserve">ML Clássico / ML Premium / Amazon / Via (Casas Bahia) / MadeiraMadeira / Magalu</t>
  </si>
  <si>
    <t xml:space="preserve">Uma aba por canal, mesma estrutura da Precificação ML original. Nelas você preenche só Frete, Comissão manual (opcional), Preço Manual, % Desc. Promo, Atualizado em e Observação.</t>
  </si>
  <si>
    <t xml:space="preserve">Comparativo</t>
  </si>
  <si>
    <t xml:space="preserve">Preço usado e margem de cada produto em todos os canais, lado a lado, com menor/maior margem. Somente leitura.</t>
  </si>
  <si>
    <t xml:space="preserve">CORES</t>
  </si>
  <si>
    <t xml:space="preserve">Texto AZUL</t>
  </si>
  <si>
    <t xml:space="preserve">Entrada manual (custo, frete, comissão manual, preço manual, % promo, taxas).</t>
  </si>
  <si>
    <t xml:space="preserve">Fundo AMARELO</t>
  </si>
  <si>
    <t xml:space="preserve">Entrada que mais pesa no resultado (custo, frete, taxas).</t>
  </si>
  <si>
    <t xml:space="preserve">Texto VERDE</t>
  </si>
  <si>
    <t xml:space="preserve">Vem de outra aba (Produtos ou Parâmetros). Não edite — edite na origem.</t>
  </si>
  <si>
    <t xml:space="preserve">Fundo DOURADO (✅ usado)</t>
  </si>
  <si>
    <t xml:space="preserve">Valor que alimenta os cálculos: o manual se preenchido, senão o automático (vale para comissão e para preço).</t>
  </si>
  <si>
    <t xml:space="preserve">VERMELHO</t>
  </si>
  <si>
    <t xml:space="preserve">Lucro ou margem negativos — prejuízo. Também sinaliza '⚠ categoria' (produto sem categoria válida) e 'INVALIDO' (taxas somadas ≥ 100%).</t>
  </si>
  <si>
    <t xml:space="preserve">LARANJA</t>
  </si>
  <si>
    <t xml:space="preserve">Margem abaixo da margem mínima do canal (aba Parâmetros).</t>
  </si>
  <si>
    <t xml:space="preserve">COLUNAS DAS ABAS DE MARKETPLACE</t>
  </si>
  <si>
    <t xml:space="preserve">Código / Produto / Categoria / Custo (A–D)</t>
  </si>
  <si>
    <t xml:space="preserve">Lidos de Produtos. A Categoria escolhe a comissão na aba Parâmetros.</t>
  </si>
  <si>
    <t xml:space="preserve">Frete (E)</t>
  </si>
  <si>
    <t xml:space="preserve">Só se aplica ao Mercado Livre: custo de envio que fica com a Winnet, por produto. Amazon, Via, MadeiraMadeira e Magalu ficam com 0 por decisão do LEO (09/10/2026).</t>
  </si>
  <si>
    <t xml:space="preserve">Comissão categoria (F)</t>
  </si>
  <si>
    <t xml:space="preserve">Procurada em Parâmetros pela categoria do produto e pelo canal da aba.</t>
  </si>
  <si>
    <t xml:space="preserve">✏ Comissão manual (G)</t>
  </si>
  <si>
    <t xml:space="preserve">Opcional. Digite como fração (0,12 = 12%) quando o anúncio tiver comissão diferente da categoria. Nas abas ML já traz as taxas que estavam embutidas linha a linha na planilha original.</t>
  </si>
  <si>
    <t xml:space="preserve">✅ Comissão usada (H)</t>
  </si>
  <si>
    <t xml:space="preserve">G se preenchida, senão F.</t>
  </si>
  <si>
    <t xml:space="preserve">⚙ Preço Sugerido (I)</t>
  </si>
  <si>
    <t xml:space="preserve">Preço = (Custo + Frete + Custo fixo) ÷ (1 − Comissão usada − Imposto − ADS − Margem mínima). Mesma lógica da Precificação ML, agora com as taxas vindas de Parâmetros.</t>
  </si>
  <si>
    <t xml:space="preserve">✏ Preço Manual (J)</t>
  </si>
  <si>
    <t xml:space="preserve">Digite o preço praticado no canal. Vazio ou 0 = usa o sugerido.</t>
  </si>
  <si>
    <t xml:space="preserve">✅ Preço Usado (K)</t>
  </si>
  <si>
    <t xml:space="preserve">J se preenchido, senão I. Base de tudo.</t>
  </si>
  <si>
    <t xml:space="preserve">Comissão / Imposto / ADS / Custo fixo (L–O)</t>
  </si>
  <si>
    <t xml:space="preserve">Valores em R$ sobre o Preço Usado (custo fixo é por unidade).</t>
  </si>
  <si>
    <t xml:space="preserve">Lucro Líq (P) / Margem (Q)</t>
  </si>
  <si>
    <t xml:space="preserve">Preço Usado − Custo − Frete − L − M − N − O, e a margem sobre o Preço Usado.</t>
  </si>
  <si>
    <t xml:space="preserve">% Desc. Promo (R) e colunas S–X</t>
  </si>
  <si>
    <t xml:space="preserve">Digite o desconto como fração (0,10 = 10%). S–X recalculam tudo para o preço promocional.</t>
  </si>
  <si>
    <t xml:space="preserve">Atualizado em (Y) / Observação (Z)</t>
  </si>
  <si>
    <t xml:space="preserve">Controle livre. Nas abas ML, Y recebeu a data que estava anexada ao nome do produto na planilha original (ex.: '09/10').</t>
  </si>
  <si>
    <t xml:space="preserve">FONTES E PREMISSAS DESTA VERSÃO</t>
  </si>
  <si>
    <t xml:space="preserve">Produtos e custos</t>
  </si>
  <si>
    <t xml:space="preserve">Precificacao_ML_Winnet_Metais_.xlsx (LEO, 09/10/2026): 294 produtos, nomes limpos do sufixo de data. Custos conferidos contra a Planilha Mestra v4.3.5: 108 SKUs em comum, nenhuma divergência. EMB-03P e EMB-05P vieram só da Mestra.</t>
  </si>
  <si>
    <t xml:space="preserve">ML Clássico e ML Premium</t>
  </si>
  <si>
    <t xml:space="preserve">Frete, Preço Manual e comissão por linha copiados das abas originais; Preço Usado, Lucro e Margem idênticos aos da origem em todas as linhas. Diferença proposital: o Preço Sugerido agora usa a comissão da própria linha (a original usava sempre 13%/18% no divisor, mesmo nas linhas com 12%, 10,5%, 15% etc.). Preço Manual = 0 na origem foi tratado como vazio (usa o sugerido).</t>
  </si>
  <si>
    <t xml:space="preserve">Amazon</t>
  </si>
  <si>
    <t xml:space="preserve">Preço Manual = 'Preço de venda' do Simulador da Mestra v4.3.5, cenário São Paulo Interior (Livro set/26 fechado em 05/10). Frete = 0 por decisão do LEO (09/10/2026). Grafias Amazon: L2450--CZ, SP-PP, SP-FF (coluna F de Produtos). Para decisão Amazon, a Mestra continua sendo a fonte oficial.</t>
  </si>
  <si>
    <t xml:space="preserve">Comissões</t>
  </si>
  <si>
    <t xml:space="preserve">Tabela enviada pelo LEO em 09/10/2026 (print). Onde havia faixa, usado o limite superior (conservador); a faixa está anotada em Parâmetros. ML Clássico 13% e Premium 18% vieram do título da planilha original. Amazon 13% em todas as categorias por decisão do LEO (09/10/2026).</t>
  </si>
  <si>
    <t xml:space="preserve">Taxas ainda não confirmadas</t>
  </si>
  <si>
    <t xml:space="preserve">ADS e custo fixo por unidade de Via, MadeiraMadeira e Magalu (e ADS da Amazon) estão com os valores da planilha ML (3% e R$ 0). Amazon está em 13% por decisão do LEO (09/10/2026), em linha com a tarifa efetiva média da Mestra (13,0%, que incide sobre preço + frete cobrado); aqui ela incide só sobre o preço.</t>
  </si>
  <si>
    <t xml:space="preserve">Categoria 'Acessórios (aros e tampas)'</t>
  </si>
  <si>
    <t xml:space="preserve">Não consta no print. Recebeu as mesmas comissões de 'Lixeiras em inox' como premissa — confirmar.</t>
  </si>
  <si>
    <t xml:space="preserve">COMO INCLUIR PRODUTO</t>
  </si>
  <si>
    <t xml:space="preserve">Passo único</t>
  </si>
  <si>
    <t xml:space="preserve">Em Produtos, preencha a próxima linha vazia (código, nome, categoria, custo). As abas de canal e o Comparativo já têm fórmulas até a linha 349; depois disso, copie a última linha de fórmulas para baixo.</t>
  </si>
  <si>
    <t xml:space="preserve">PARÂMETROS — taxas por marketplace e comissão por categoria</t>
  </si>
  <si>
    <t xml:space="preserve">Células AZUIS em fundo amarelo são entradas. Tudo o que está nas abas dos marketplaces lê daqui.</t>
  </si>
  <si>
    <t xml:space="preserve">Marketplace</t>
  </si>
  <si>
    <t xml:space="preserve">Imposto (%)</t>
  </si>
  <si>
    <t xml:space="preserve">ADS (%)</t>
  </si>
  <si>
    <t xml:space="preserve">Margem mín. (%)</t>
  </si>
  <si>
    <t xml:space="preserve">Custo fixo por unidade (R$)</t>
  </si>
  <si>
    <t xml:space="preserve">Observação</t>
  </si>
  <si>
    <t xml:space="preserve">ML Clássico</t>
  </si>
  <si>
    <t xml:space="preserve">Imposto, ADS e margem herdados da Precificação ML (LEO, 09/10/2026).</t>
  </si>
  <si>
    <t xml:space="preserve">ML Premium</t>
  </si>
  <si>
    <t xml:space="preserve">Idem Clássico.</t>
  </si>
  <si>
    <t xml:space="preserve">ADS 3% é o valor da planilha ML — confirmar o % real de Amazon Ads sobre a venda.</t>
  </si>
  <si>
    <t xml:space="preserve">Via (Casas Bahia)</t>
  </si>
  <si>
    <t xml:space="preserve">ADS e custo fixo não confirmados para este canal.</t>
  </si>
  <si>
    <t xml:space="preserve">MadeiraMadeira</t>
  </si>
  <si>
    <t xml:space="preserve">Magalu</t>
  </si>
  <si>
    <t xml:space="preserve">COMISSÃO POR CATEGORIA × MARKETPLACE  (fonte: tabela enviada pelo LEO em 09/10/2026 · faixas → usado o limite superior · confirmar no painel de cada canal · uma linha pode sobrepor com 'Comissão manual' na aba do canal)</t>
  </si>
  <si>
    <t xml:space="preserve">Categoria</t>
  </si>
  <si>
    <t xml:space="preserve">Faixa informada / observação</t>
  </si>
  <si>
    <t xml:space="preserve">Bituqueiras e cinzeiros</t>
  </si>
  <si>
    <t xml:space="preserve">Lixeiras em inox</t>
  </si>
  <si>
    <t xml:space="preserve">Lixeiras com pedal</t>
  </si>
  <si>
    <t xml:space="preserve">Lixeiras de coleta seletiva</t>
  </si>
  <si>
    <t xml:space="preserve">Via 20%–21%</t>
  </si>
  <si>
    <t xml:space="preserve">Porta-extintores</t>
  </si>
  <si>
    <t xml:space="preserve">MadeiraMadeira 15%–19% · Amazon 11%–12% no print, 13% por decisão do LEO · Via 20%–21%</t>
  </si>
  <si>
    <t xml:space="preserve">Porta-guarda-chuvas</t>
  </si>
  <si>
    <t xml:space="preserve">Magalu 18%–19,9%</t>
  </si>
  <si>
    <t xml:space="preserve">Coletores de pilhas</t>
  </si>
  <si>
    <t xml:space="preserve">Placas de piso molhado</t>
  </si>
  <si>
    <t xml:space="preserve">Ensacadores</t>
  </si>
  <si>
    <t xml:space="preserve">MadeiraMadeira 15%–19% · Amazon 11%–12% no print, 13% por decisão do LEO · Via 20%–21% (no print: 'Ensacadores de lixeira'; no catálogo é o Ensacador de guarda-chuvas EGC/REGC)</t>
  </si>
  <si>
    <t xml:space="preserve">Acessórios (aros e tampas)</t>
  </si>
  <si>
    <t xml:space="preserve">PREMISSA: não consta no print — copiado de 'Lixeiras em inox'. Confirmar.</t>
  </si>
  <si>
    <t xml:space="preserve">PRODUTOS — base única de código, nome, categoria e custo (as abas dos marketplaces leem daqui)</t>
  </si>
  <si>
    <t xml:space="preserve">Entradas em AZUL. Para incluir produto: use a próxima linha vazia (as abas já têm fórmulas até a linha 349). Categoria define a comissão (aba Parâmetros).</t>
  </si>
  <si>
    <t xml:space="preserve">Código</t>
  </si>
  <si>
    <t xml:space="preserve">Produto</t>
  </si>
  <si>
    <t xml:space="preserve">Categoria (comissão)</t>
  </si>
  <si>
    <t xml:space="preserve">Vl. Revenda 6%
= Custo (R$)</t>
  </si>
  <si>
    <t xml:space="preserve">Vl. Nota (R$)
opcional</t>
  </si>
  <si>
    <t xml:space="preserve">SKU na Amazon
(se diferente)</t>
  </si>
  <si>
    <t xml:space="preserve">L1618</t>
  </si>
  <si>
    <t xml:space="preserve">Lixeira Aço Inox s/Tampa 16x18 03L</t>
  </si>
  <si>
    <t xml:space="preserve">L1623</t>
  </si>
  <si>
    <t xml:space="preserve">Lixeira Aço Inox s/Tampa 16x23 05L</t>
  </si>
  <si>
    <t xml:space="preserve">L2025</t>
  </si>
  <si>
    <t xml:space="preserve">Lixeira Aço Inox s/Tampa 20x25 07L</t>
  </si>
  <si>
    <t xml:space="preserve">L2030</t>
  </si>
  <si>
    <t xml:space="preserve">Lixeira Aço Inox s/Tampa 20x30 10L</t>
  </si>
  <si>
    <t xml:space="preserve">L2425</t>
  </si>
  <si>
    <t xml:space="preserve">Lixeira Aço Inox s/Tampa 24x25 13L</t>
  </si>
  <si>
    <t xml:space="preserve">L2430</t>
  </si>
  <si>
    <t xml:space="preserve">Lixeira Aço Inox s/Tampa 24x30 15L</t>
  </si>
  <si>
    <t xml:space="preserve">L2440</t>
  </si>
  <si>
    <t xml:space="preserve">Lixeira Aço Inox s/Tampa 24x40 20L</t>
  </si>
  <si>
    <t xml:space="preserve">L2450</t>
  </si>
  <si>
    <t xml:space="preserve">Lixeira Aço Inox s/Tampa 24x50 25L</t>
  </si>
  <si>
    <t xml:space="preserve">L2460</t>
  </si>
  <si>
    <t xml:space="preserve">Lixeira Aço Inox s/Tampa 24x60 27L</t>
  </si>
  <si>
    <t xml:space="preserve">L2470</t>
  </si>
  <si>
    <t xml:space="preserve">Lixeira Aço Inox s/Tampa 24x70 30L</t>
  </si>
  <si>
    <t xml:space="preserve">L3040</t>
  </si>
  <si>
    <t xml:space="preserve">Lixeira Aço Inox s/Tampa 30x40 30L</t>
  </si>
  <si>
    <t xml:space="preserve">L3050</t>
  </si>
  <si>
    <t xml:space="preserve">Lixeira Aço Inox s/Tampa 30x50 35L</t>
  </si>
  <si>
    <t xml:space="preserve">L3060</t>
  </si>
  <si>
    <t xml:space="preserve">Lixeira Aço Inox s/Tampa 30x60 40L</t>
  </si>
  <si>
    <t xml:space="preserve">L3070</t>
  </si>
  <si>
    <t xml:space="preserve">Lixeira Aço Inox s/Tampa 30x70 50L</t>
  </si>
  <si>
    <t xml:space="preserve">L3085</t>
  </si>
  <si>
    <t xml:space="preserve">Lixeira Aço Inox s/Tampa 30x85 60L</t>
  </si>
  <si>
    <t xml:space="preserve">L4050</t>
  </si>
  <si>
    <t xml:space="preserve">Lixeira Aço Inox s/Tampa 40x50 62L</t>
  </si>
  <si>
    <t xml:space="preserve">L4060</t>
  </si>
  <si>
    <t xml:space="preserve">Lixeira Aço Inox s/Tampa 40x60 75L</t>
  </si>
  <si>
    <t xml:space="preserve">L4070</t>
  </si>
  <si>
    <t xml:space="preserve">Lixeira Aço Inox s/Tampa 40x70 88L</t>
  </si>
  <si>
    <t xml:space="preserve">L4075</t>
  </si>
  <si>
    <t xml:space="preserve">Lixeira Aço Inox s/Tampa 40x75 95L</t>
  </si>
  <si>
    <t xml:space="preserve">L4080</t>
  </si>
  <si>
    <t xml:space="preserve">Lixeira Aço Inox s/Tampa 40x80 100L</t>
  </si>
  <si>
    <t xml:space="preserve">L4090</t>
  </si>
  <si>
    <t xml:space="preserve">Lixeira Aço Inox s/Tampa 40x90 120L</t>
  </si>
  <si>
    <t xml:space="preserve">L1618-A</t>
  </si>
  <si>
    <t xml:space="preserve">Lixeira Aço Inox c/Aro 16x18 03L</t>
  </si>
  <si>
    <t xml:space="preserve">L1623-A</t>
  </si>
  <si>
    <t xml:space="preserve">Lixeira Aço Inox c/Aro 16x23 05L</t>
  </si>
  <si>
    <t xml:space="preserve">L2025-A</t>
  </si>
  <si>
    <t xml:space="preserve">Lixeira Aço Inox c/Aro 20x25 07L</t>
  </si>
  <si>
    <t xml:space="preserve">L2030-A</t>
  </si>
  <si>
    <t xml:space="preserve">Lixeira Aço Inox c/Aro 20x30 10L</t>
  </si>
  <si>
    <t xml:space="preserve">L2425-A</t>
  </si>
  <si>
    <t xml:space="preserve">Lixeira Aço Inox c/Aro 24x25 13L</t>
  </si>
  <si>
    <t xml:space="preserve">L2430-A</t>
  </si>
  <si>
    <t xml:space="preserve">Lixeira Aço Inox c/Aro 24x30 15L</t>
  </si>
  <si>
    <t xml:space="preserve">L2440-A</t>
  </si>
  <si>
    <t xml:space="preserve">Lixeira Aço Inox c/Aro 24x40 20L</t>
  </si>
  <si>
    <t xml:space="preserve">L2450-A</t>
  </si>
  <si>
    <t xml:space="preserve">Lixeira Aço Inox c/Aro 24x50 25L</t>
  </si>
  <si>
    <t xml:space="preserve">L2460-A</t>
  </si>
  <si>
    <t xml:space="preserve">Lixeira Aço Inox c/Aro 24x60 27L</t>
  </si>
  <si>
    <t xml:space="preserve">L2470-A</t>
  </si>
  <si>
    <t xml:space="preserve">Lixeira Aço Inox c/Aro 24x70 30L</t>
  </si>
  <si>
    <t xml:space="preserve">L3040-A</t>
  </si>
  <si>
    <t xml:space="preserve">Lixeira Aço Inox c/Aro 30x40 30L</t>
  </si>
  <si>
    <t xml:space="preserve">L3050-A</t>
  </si>
  <si>
    <t xml:space="preserve">Lixeira Aço Inox c/Aro 30x50 35L</t>
  </si>
  <si>
    <t xml:space="preserve">L3060-A</t>
  </si>
  <si>
    <t xml:space="preserve">Lixeira Aço Inox c/Aro 30x60 40L</t>
  </si>
  <si>
    <t xml:space="preserve">L3070-A</t>
  </si>
  <si>
    <t xml:space="preserve">Lixeira Aço Inox c/Aro 30x70 50L</t>
  </si>
  <si>
    <t xml:space="preserve">L3085-A</t>
  </si>
  <si>
    <t xml:space="preserve">Lixeira Aço Inox c/Aro 30x85 60L</t>
  </si>
  <si>
    <t xml:space="preserve">L4050-A</t>
  </si>
  <si>
    <t xml:space="preserve">Lixeira Aço Inox c/Aro 40x50 62L</t>
  </si>
  <si>
    <t xml:space="preserve">L4060-A</t>
  </si>
  <si>
    <t xml:space="preserve">Lixeira Aço Inox c/Aro 40x60 75L</t>
  </si>
  <si>
    <t xml:space="preserve">L4070-A</t>
  </si>
  <si>
    <t xml:space="preserve">Lixeira Aço Inox c/Aro 40x70 88L</t>
  </si>
  <si>
    <t xml:space="preserve">L4075-A</t>
  </si>
  <si>
    <t xml:space="preserve">Lixeira Aço Inox c/Aro 40x75 95L</t>
  </si>
  <si>
    <t xml:space="preserve">L4080-A</t>
  </si>
  <si>
    <t xml:space="preserve">Lixeira Aço Inox c/Aro 40x80 100L</t>
  </si>
  <si>
    <t xml:space="preserve">L4090-A</t>
  </si>
  <si>
    <t xml:space="preserve">Lixeira Aço Inox c/Aro 40x90 120L</t>
  </si>
  <si>
    <t xml:space="preserve">L40100-A</t>
  </si>
  <si>
    <t xml:space="preserve">Lixeira Aço Inox c/Aro 40x100L</t>
  </si>
  <si>
    <t xml:space="preserve">L40120-A</t>
  </si>
  <si>
    <t xml:space="preserve">Lixeira Aço Inox c/Aro 40x120L</t>
  </si>
  <si>
    <t xml:space="preserve">L2425-AML</t>
  </si>
  <si>
    <t xml:space="preserve">Lixeira c/Aro Meia Lua 24x25 13L</t>
  </si>
  <si>
    <t xml:space="preserve">L2430-AML</t>
  </si>
  <si>
    <t xml:space="preserve">Lixeira c/Aro Meia Lua 24x30 15L</t>
  </si>
  <si>
    <t xml:space="preserve">L2440-AML</t>
  </si>
  <si>
    <t xml:space="preserve">Lixeira c/Aro Meia Lua 24x40 20L</t>
  </si>
  <si>
    <t xml:space="preserve">L2450-AML</t>
  </si>
  <si>
    <t xml:space="preserve">Lixeira c/Aro Meia Lua 24x50 25L</t>
  </si>
  <si>
    <t xml:space="preserve">L2460-AML</t>
  </si>
  <si>
    <t xml:space="preserve">Lixeira c/Aro Meia Lua 24x60 27L</t>
  </si>
  <si>
    <t xml:space="preserve">L2470-AML</t>
  </si>
  <si>
    <t xml:space="preserve">Lixeira c/Aro Meia Lua 24x70 30L</t>
  </si>
  <si>
    <t xml:space="preserve">L3040-AML</t>
  </si>
  <si>
    <t xml:space="preserve">Lixeira c/Aro Meia Lua 30x40 30L</t>
  </si>
  <si>
    <t xml:space="preserve">L3050-AML</t>
  </si>
  <si>
    <t xml:space="preserve">Lixeira c/Aro Meia Lua 30x50 35L</t>
  </si>
  <si>
    <t xml:space="preserve">L3060-AML</t>
  </si>
  <si>
    <t xml:space="preserve">Lixeira c/Aro Meia Lua 30x60 40L</t>
  </si>
  <si>
    <t xml:space="preserve">L3070-AML</t>
  </si>
  <si>
    <t xml:space="preserve">Lixeira c/Aro Meia Lua 30x70 50L</t>
  </si>
  <si>
    <t xml:space="preserve">L3085-AML</t>
  </si>
  <si>
    <t xml:space="preserve">Lixeira c/Aro Meia Lua 30x85 60L</t>
  </si>
  <si>
    <t xml:space="preserve">L4050-AML</t>
  </si>
  <si>
    <t xml:space="preserve">Lixeira c/Aro Meia Lua 40x50 62L</t>
  </si>
  <si>
    <t xml:space="preserve">L4060-AML</t>
  </si>
  <si>
    <t xml:space="preserve">Lixeira c/Aro Meia Lua 40x60 75L</t>
  </si>
  <si>
    <t xml:space="preserve">L4070-AML</t>
  </si>
  <si>
    <t xml:space="preserve">Lixeira c/Aro Meia Lua 40x70 88L</t>
  </si>
  <si>
    <t xml:space="preserve">L4075-AML</t>
  </si>
  <si>
    <t xml:space="preserve">Lixeira c/Aro Meia Lua 40x75 95L</t>
  </si>
  <si>
    <t xml:space="preserve">L4080-AML</t>
  </si>
  <si>
    <t xml:space="preserve">Lixeira c/Aro Meia Lua 40x80 100L</t>
  </si>
  <si>
    <t xml:space="preserve">L4090-AML</t>
  </si>
  <si>
    <t xml:space="preserve">Lixeira c/Aro Meia Lua 40x90 120L</t>
  </si>
  <si>
    <t xml:space="preserve">L1618-B</t>
  </si>
  <si>
    <t xml:space="preserve">Lixeira c/Aro Basculante 16x18 03L</t>
  </si>
  <si>
    <t xml:space="preserve">L1623-B</t>
  </si>
  <si>
    <t xml:space="preserve">Lixeira c/Aro Basculante 16x23 05L</t>
  </si>
  <si>
    <t xml:space="preserve">L2025-B</t>
  </si>
  <si>
    <t xml:space="preserve">Lixeira c/Aro Basculante 20x25 07L</t>
  </si>
  <si>
    <t xml:space="preserve">L2030-B</t>
  </si>
  <si>
    <t xml:space="preserve">Lixeira c/Aro Basculante 20x30 10L</t>
  </si>
  <si>
    <t xml:space="preserve">L2425-B</t>
  </si>
  <si>
    <t xml:space="preserve">Lixeira c/Aro Basculante 24x25 13L</t>
  </si>
  <si>
    <t xml:space="preserve">L2430-B</t>
  </si>
  <si>
    <t xml:space="preserve">Lixeira c/Aro Basculante 24x30 15L</t>
  </si>
  <si>
    <t xml:space="preserve">L2440-B</t>
  </si>
  <si>
    <t xml:space="preserve">Lixeira c/Aro Basculante 24x40 20L</t>
  </si>
  <si>
    <t xml:space="preserve">L2450-B</t>
  </si>
  <si>
    <t xml:space="preserve">Lixeira c/Aro Basculante 24x50 25L</t>
  </si>
  <si>
    <t xml:space="preserve">L2460-B</t>
  </si>
  <si>
    <t xml:space="preserve">Lixeira c/Aro Basculante 24x60 27L</t>
  </si>
  <si>
    <t xml:space="preserve">L2470-B</t>
  </si>
  <si>
    <t xml:space="preserve">Lixeira c/Aro Basculante 24x70 30L</t>
  </si>
  <si>
    <t xml:space="preserve">L3040-B</t>
  </si>
  <si>
    <t xml:space="preserve">Lixeira c/Aro Basculante 30x40 30L</t>
  </si>
  <si>
    <t xml:space="preserve">L3050-B</t>
  </si>
  <si>
    <t xml:space="preserve">Lixeira c/Aro Basculante 30x50 35L</t>
  </si>
  <si>
    <t xml:space="preserve">L3060-B</t>
  </si>
  <si>
    <t xml:space="preserve">Lixeira c/Aro Basculante 30x60 40L</t>
  </si>
  <si>
    <t xml:space="preserve">L3070-B</t>
  </si>
  <si>
    <t xml:space="preserve">Lixeira c/Aro Basculante 30x70 50L</t>
  </si>
  <si>
    <t xml:space="preserve">L3085-B</t>
  </si>
  <si>
    <t xml:space="preserve">Lixeira c/Aro Basculante 30x85 60L</t>
  </si>
  <si>
    <t xml:space="preserve">L4050-B</t>
  </si>
  <si>
    <t xml:space="preserve">Lixeira c/Aro Basculante 40x50 62L</t>
  </si>
  <si>
    <t xml:space="preserve">L4060-B</t>
  </si>
  <si>
    <t xml:space="preserve">Lixeira c/Aro Basculante 40x60 75L</t>
  </si>
  <si>
    <t xml:space="preserve">L4070-B</t>
  </si>
  <si>
    <t xml:space="preserve">Lixeira c/Aro Basculante 40x70 88L</t>
  </si>
  <si>
    <t xml:space="preserve">L4075-B</t>
  </si>
  <si>
    <t xml:space="preserve">Lixeira c/Aro Basculante 40x75 95L</t>
  </si>
  <si>
    <t xml:space="preserve">L4080-B</t>
  </si>
  <si>
    <t xml:space="preserve">Lixeira c/Aro Basculante 40x80 100L</t>
  </si>
  <si>
    <t xml:space="preserve">L4090-B</t>
  </si>
  <si>
    <t xml:space="preserve">Lixeira c/Aro Basculante 40x90 120L</t>
  </si>
  <si>
    <t xml:space="preserve">P1618</t>
  </si>
  <si>
    <t xml:space="preserve">Lixeira c/Tampa Pedal 16x18 03L</t>
  </si>
  <si>
    <t xml:space="preserve">P1623</t>
  </si>
  <si>
    <t xml:space="preserve">Lixeira c/Tampa Pedal 16x23 05L</t>
  </si>
  <si>
    <t xml:space="preserve">P2025</t>
  </si>
  <si>
    <t xml:space="preserve">Lixeira c/Tampa Pedal 20x25 07L</t>
  </si>
  <si>
    <t xml:space="preserve">P2030</t>
  </si>
  <si>
    <t xml:space="preserve">Lixeira c/Tampa Pedal 20x30 10L</t>
  </si>
  <si>
    <t xml:space="preserve">P2425</t>
  </si>
  <si>
    <t xml:space="preserve">Lixeira c/Tampa Pedal 24x25 12L</t>
  </si>
  <si>
    <t xml:space="preserve">P2430</t>
  </si>
  <si>
    <t xml:space="preserve">Lixeira c/Tampa Pedal 24x30 15L</t>
  </si>
  <si>
    <t xml:space="preserve">P2440</t>
  </si>
  <si>
    <t xml:space="preserve">Lixeira c/Tampa Pedal 24x40 20L</t>
  </si>
  <si>
    <t xml:space="preserve">P3040</t>
  </si>
  <si>
    <t xml:space="preserve">Lixeira c/Tampa Pedal 30x40 30L</t>
  </si>
  <si>
    <t xml:space="preserve">P3050</t>
  </si>
  <si>
    <t xml:space="preserve">Lixeira c/Tampa Pedal 30x50 40L</t>
  </si>
  <si>
    <t xml:space="preserve">P3060</t>
  </si>
  <si>
    <t xml:space="preserve">Lixeira c/Tampa Pedal 30x60 50L</t>
  </si>
  <si>
    <t xml:space="preserve">P3070</t>
  </si>
  <si>
    <t xml:space="preserve">Lixeira c/Tampa Pedal 30x70 60L</t>
  </si>
  <si>
    <t xml:space="preserve">P4050</t>
  </si>
  <si>
    <t xml:space="preserve">Lixeira c/Tampa Pedal 40x50 65L</t>
  </si>
  <si>
    <t xml:space="preserve">P4060</t>
  </si>
  <si>
    <t xml:space="preserve">Lixeira c/Tampa Pedal 40x60 75L</t>
  </si>
  <si>
    <t xml:space="preserve">P4070</t>
  </si>
  <si>
    <t xml:space="preserve">Lixeira c/Tampa Pedal 40x70 80L</t>
  </si>
  <si>
    <t xml:space="preserve">P4075</t>
  </si>
  <si>
    <t xml:space="preserve">Lixeira c/Tampa Pedal 40x75 95L</t>
  </si>
  <si>
    <t xml:space="preserve">P4080</t>
  </si>
  <si>
    <t xml:space="preserve">Lixeira c/Tampa Pedal 40x80 100L</t>
  </si>
  <si>
    <t xml:space="preserve">P4090</t>
  </si>
  <si>
    <t xml:space="preserve">Lixeira c/Tampa Pedal 40x90 120L</t>
  </si>
  <si>
    <t xml:space="preserve">L2425-BC</t>
  </si>
  <si>
    <t xml:space="preserve">Lixeira de Aço inox 24x25 13L c/Aro basculante colorido</t>
  </si>
  <si>
    <t xml:space="preserve">L2430-BC</t>
  </si>
  <si>
    <t xml:space="preserve">Lixeira de Aço inox 24x30 15L c/Aro basculante colorido</t>
  </si>
  <si>
    <t xml:space="preserve">L2440-BC</t>
  </si>
  <si>
    <t xml:space="preserve">Lixeira de Aço inox 24x40 20L c/Aro basculante colorido</t>
  </si>
  <si>
    <t xml:space="preserve">L2450-BC</t>
  </si>
  <si>
    <t xml:space="preserve">Lixeira de Aço inox 24x50 25L c/Aro basculante colorido</t>
  </si>
  <si>
    <t xml:space="preserve">L2460-BC</t>
  </si>
  <si>
    <t xml:space="preserve">Lixeira de Aço inox 24x60 27L c/Aro basculante colorido</t>
  </si>
  <si>
    <t xml:space="preserve">L2470-BC</t>
  </si>
  <si>
    <t xml:space="preserve">Lixeira de Aço inox 24x70 30L c/Aro basculante colorido</t>
  </si>
  <si>
    <t xml:space="preserve">L3040-BC</t>
  </si>
  <si>
    <t xml:space="preserve">Lixeira de Aço inox 30x40 30L c/Aro basculante colorido</t>
  </si>
  <si>
    <t xml:space="preserve">L3050-BC</t>
  </si>
  <si>
    <t xml:space="preserve">Lixeira de Aço inox 30x50 35L c/Aro basculante colorido</t>
  </si>
  <si>
    <t xml:space="preserve">L3060-BC</t>
  </si>
  <si>
    <t xml:space="preserve">Lixeira de Aço inox 30x60 40L c/Aro basculante colorido</t>
  </si>
  <si>
    <t xml:space="preserve">L3070-BC</t>
  </si>
  <si>
    <t xml:space="preserve">Lixeira de Aço inox 30x70 50L c/Aro basculante colorido</t>
  </si>
  <si>
    <t xml:space="preserve">L3085-BC</t>
  </si>
  <si>
    <t xml:space="preserve">Lixeira de Aço inox 30x85 60L c/Aro basculante colorido</t>
  </si>
  <si>
    <t xml:space="preserve">L4050-BC</t>
  </si>
  <si>
    <t xml:space="preserve">Lixeira de Aço inox 40x50 62L c/Aro basculante colorido</t>
  </si>
  <si>
    <t xml:space="preserve">L4060-BC</t>
  </si>
  <si>
    <t xml:space="preserve">Lixeira de Aço inox 40x60 75L c/Aro basculante colorido</t>
  </si>
  <si>
    <t xml:space="preserve">L4070-BC</t>
  </si>
  <si>
    <t xml:space="preserve">Lixeira de Aço inox 40x70 88L c/Aro basculante colorido</t>
  </si>
  <si>
    <t xml:space="preserve">L4075-BC</t>
  </si>
  <si>
    <t xml:space="preserve">Lixeira de Aço inox 40x75 95L c/Aro basculante colorido</t>
  </si>
  <si>
    <t xml:space="preserve">L4080-BC</t>
  </si>
  <si>
    <t xml:space="preserve">Lixeira de Aço inox 40x80 100L c/Aro basculante colorido</t>
  </si>
  <si>
    <t xml:space="preserve">L4090-BC</t>
  </si>
  <si>
    <t xml:space="preserve">Lixeira de Aço inox 40x90 120L c/Aro basculante colorido</t>
  </si>
  <si>
    <t xml:space="preserve">P2425-C</t>
  </si>
  <si>
    <t xml:space="preserve">Lixeira Pedal de Aço inox 24x25 12L Tampa colorido</t>
  </si>
  <si>
    <t xml:space="preserve">P2430-C</t>
  </si>
  <si>
    <t xml:space="preserve">Lixeira Pedal de Aço inox 24x30 15L Tampa colorido</t>
  </si>
  <si>
    <t xml:space="preserve">P2440-C</t>
  </si>
  <si>
    <t xml:space="preserve">Lixeira Pedal de Aço inox 24x40 20L Tampa colorido</t>
  </si>
  <si>
    <t xml:space="preserve">P3040-C</t>
  </si>
  <si>
    <t xml:space="preserve">Lixeira Pedal de Aço inox 30x40 30L Tampa colorido</t>
  </si>
  <si>
    <t xml:space="preserve">P3050-C</t>
  </si>
  <si>
    <t xml:space="preserve">Lixeira Pedal de Aço inox 30x50 40L Tampa colorido</t>
  </si>
  <si>
    <t xml:space="preserve">P3060-C</t>
  </si>
  <si>
    <t xml:space="preserve">Lixeira Pedal de Aço inox 30x60 50L Tampa colorido</t>
  </si>
  <si>
    <t xml:space="preserve">P3070-C</t>
  </si>
  <si>
    <t xml:space="preserve">Lixeira Pedal de Aço inox 30x70 60L Tampa colorido</t>
  </si>
  <si>
    <t xml:space="preserve">P4050-C</t>
  </si>
  <si>
    <t xml:space="preserve">Lixeira Pedal de Aço inox 40x50 65L Tampa colorido</t>
  </si>
  <si>
    <t xml:space="preserve">P4060-C</t>
  </si>
  <si>
    <t xml:space="preserve">Lixeira Pedal de Aço inox 40x60 75L Tampa colorido</t>
  </si>
  <si>
    <t xml:space="preserve">P4070-C</t>
  </si>
  <si>
    <t xml:space="preserve">Lixeira Pedal de Aço inox 40x70 80L Tampa colorido</t>
  </si>
  <si>
    <t xml:space="preserve">P4075-C</t>
  </si>
  <si>
    <t xml:space="preserve">Lixeira Pedal de Aço inox 40x75 95L Tampa colorido</t>
  </si>
  <si>
    <t xml:space="preserve">P4080-C</t>
  </si>
  <si>
    <t xml:space="preserve">Lixeira Pedal de Aço inox 40x80 100L Tampa colorido</t>
  </si>
  <si>
    <t xml:space="preserve">P4090-C</t>
  </si>
  <si>
    <t xml:space="preserve">Lixeira Pedal de Aço inox 40x90 120L Tampa colorido</t>
  </si>
  <si>
    <t xml:space="preserve">L2425-AC</t>
  </si>
  <si>
    <t xml:space="preserve">Lixeira c/Aro Colorido 24x25 13L</t>
  </si>
  <si>
    <t xml:space="preserve">L2430-AC</t>
  </si>
  <si>
    <t xml:space="preserve">Lixeira c/Aro Colorido 24x30 15L</t>
  </si>
  <si>
    <t xml:space="preserve">L2440-AC</t>
  </si>
  <si>
    <t xml:space="preserve">Lixeira c/Aro Colorido 24x40 20L</t>
  </si>
  <si>
    <t xml:space="preserve">L2450-AC</t>
  </si>
  <si>
    <t xml:space="preserve">Lixeira c/Aro Colorido 24x50 25L</t>
  </si>
  <si>
    <t xml:space="preserve">L2460-AC</t>
  </si>
  <si>
    <t xml:space="preserve">Lixeira c/Aro Colorido 24x60 27L</t>
  </si>
  <si>
    <t xml:space="preserve">L2470-AC</t>
  </si>
  <si>
    <t xml:space="preserve">Lixeira c/Aro Colorido 24x70 30L</t>
  </si>
  <si>
    <t xml:space="preserve">L3040-AC</t>
  </si>
  <si>
    <t xml:space="preserve">Lixeira c/Aro Colorido 30x40 30L</t>
  </si>
  <si>
    <t xml:space="preserve">L3050-AC</t>
  </si>
  <si>
    <t xml:space="preserve">Lixeira c/Aro Colorido 30x50 35L</t>
  </si>
  <si>
    <t xml:space="preserve">L3060-AC</t>
  </si>
  <si>
    <t xml:space="preserve">Lixeira c/Aro Colorido 30x60 40L</t>
  </si>
  <si>
    <t xml:space="preserve">L3070-AC</t>
  </si>
  <si>
    <t xml:space="preserve">Lixeira c/Aro Colorido 30x70 50L</t>
  </si>
  <si>
    <t xml:space="preserve">L3085-AC</t>
  </si>
  <si>
    <t xml:space="preserve">Lixeira c/Aro Colorido 30x85 60L</t>
  </si>
  <si>
    <t xml:space="preserve">L4050-AC</t>
  </si>
  <si>
    <t xml:space="preserve">Lixeira c/Aro Colorido 40x50 62L</t>
  </si>
  <si>
    <t xml:space="preserve">L4060-AC</t>
  </si>
  <si>
    <t xml:space="preserve">Lixeira c/Aro Colorido 40x60 75L</t>
  </si>
  <si>
    <t xml:space="preserve">L4070-AC</t>
  </si>
  <si>
    <t xml:space="preserve">Lixeira c/Aro Colorido 40x70 88L</t>
  </si>
  <si>
    <t xml:space="preserve">L4075-AC</t>
  </si>
  <si>
    <t xml:space="preserve">Lixeira c/Aro Colorido 40x75 95L</t>
  </si>
  <si>
    <t xml:space="preserve">L4080-AC</t>
  </si>
  <si>
    <t xml:space="preserve">Lixeira c/Aro Colorido 40x80 100L</t>
  </si>
  <si>
    <t xml:space="preserve">L4090-AC</t>
  </si>
  <si>
    <t xml:space="preserve">Lixeira c/Aro Colorido 40x90 120L</t>
  </si>
  <si>
    <t xml:space="preserve">L2425-CP</t>
  </si>
  <si>
    <t xml:space="preserve">Lixeira Aço inox Coletor de pilhas e baterias 24x25 13L</t>
  </si>
  <si>
    <t xml:space="preserve">L2430-CP</t>
  </si>
  <si>
    <t xml:space="preserve">Lixeira Aço inox Coletor de pilhas e baterias 24x30 15L</t>
  </si>
  <si>
    <t xml:space="preserve">L2440-CP</t>
  </si>
  <si>
    <t xml:space="preserve">Lixeira Aço inox Coletor de pilhas e baterias 24x40 20L</t>
  </si>
  <si>
    <t xml:space="preserve">L2450-CP</t>
  </si>
  <si>
    <t xml:space="preserve">Lixeira Aço inox Coletor de pilhas e baterias 24x50 25L</t>
  </si>
  <si>
    <t xml:space="preserve">L2460-CP</t>
  </si>
  <si>
    <t xml:space="preserve">Lixeira Aço inox Coletor de pilhas e baterias 24x60 27L</t>
  </si>
  <si>
    <t xml:space="preserve">L3040-CP</t>
  </si>
  <si>
    <t xml:space="preserve">Lixeira Aço inox Coletor de pilhas e baterias 30x40 30L</t>
  </si>
  <si>
    <t xml:space="preserve">L3050-CP</t>
  </si>
  <si>
    <t xml:space="preserve">Lixeira Aço inox Coletor de pilhas e baterias 30x50 35L</t>
  </si>
  <si>
    <t xml:space="preserve">L3060-CP</t>
  </si>
  <si>
    <t xml:space="preserve">Lixeira Aço inox Coletor de pilhas e baterias 30x60 40L</t>
  </si>
  <si>
    <t xml:space="preserve">L3070-CP</t>
  </si>
  <si>
    <t xml:space="preserve">Lixeira Aço inox Coletor de pilhas e baterias 30x70 50L</t>
  </si>
  <si>
    <t xml:space="preserve">EGC</t>
  </si>
  <si>
    <t xml:space="preserve">Ensacador Guarda-chuvas c/150 saquinhos</t>
  </si>
  <si>
    <t xml:space="preserve">REGC</t>
  </si>
  <si>
    <t xml:space="preserve">Refil Ensacador c/1000 saquinhos</t>
  </si>
  <si>
    <t xml:space="preserve">PG2450</t>
  </si>
  <si>
    <t xml:space="preserve">Porta Guarda-chuvas 24x50</t>
  </si>
  <si>
    <t xml:space="preserve">PG2460</t>
  </si>
  <si>
    <t xml:space="preserve">Porta Guarda-chuvas 24x60</t>
  </si>
  <si>
    <t xml:space="preserve">PG2470</t>
  </si>
  <si>
    <t xml:space="preserve">Porta Guarda-chuvas 24x70</t>
  </si>
  <si>
    <t xml:space="preserve">PG3060</t>
  </si>
  <si>
    <t xml:space="preserve">Porta Guarda-chuvas 30x60</t>
  </si>
  <si>
    <t xml:space="preserve">PG3070</t>
  </si>
  <si>
    <t xml:space="preserve">Porta Guarda-chuvas 30x70</t>
  </si>
  <si>
    <t xml:space="preserve">PG4050</t>
  </si>
  <si>
    <t xml:space="preserve">Porta Guarda-chuvas 40x50</t>
  </si>
  <si>
    <t xml:space="preserve">PG4060</t>
  </si>
  <si>
    <t xml:space="preserve">Porta Guarda-chuvas 40x60</t>
  </si>
  <si>
    <t xml:space="preserve">PG4070</t>
  </si>
  <si>
    <t xml:space="preserve">Porta Guarda-chuvas 40x70</t>
  </si>
  <si>
    <t xml:space="preserve">PG4080</t>
  </si>
  <si>
    <t xml:space="preserve">Porta Guarda-chuvas 40x80</t>
  </si>
  <si>
    <t xml:space="preserve">PG4085</t>
  </si>
  <si>
    <t xml:space="preserve">Porta Guarda-chuvas 40x85 105L</t>
  </si>
  <si>
    <t xml:space="preserve">PG4090</t>
  </si>
  <si>
    <t xml:space="preserve">Porta Guarda-chuvas 40x90</t>
  </si>
  <si>
    <t xml:space="preserve">EMB-03</t>
  </si>
  <si>
    <t xml:space="preserve">Lixeira Embutir Pia 3L c/Balde Alumínio</t>
  </si>
  <si>
    <t xml:space="preserve">EMB-05</t>
  </si>
  <si>
    <t xml:space="preserve">Lixeira Embutir Pia 5L c/Balde Alumínio</t>
  </si>
  <si>
    <t xml:space="preserve">EMB-08</t>
  </si>
  <si>
    <t xml:space="preserve">Lixeira Embutir Pia 8L c/Balde Alumínio</t>
  </si>
  <si>
    <t xml:space="preserve">EMB-03P</t>
  </si>
  <si>
    <t xml:space="preserve">Lixeira Embutir Pia 3L c/Balde Alumínio e Tampa Preta</t>
  </si>
  <si>
    <t xml:space="preserve">Só na Amazon — custo da Mestra v4.3.5</t>
  </si>
  <si>
    <t xml:space="preserve">EMB-05P</t>
  </si>
  <si>
    <t xml:space="preserve">Lixeira Embutir Pia 5L c/Balde Alumínio e Tampa Preta</t>
  </si>
  <si>
    <t xml:space="preserve">Q2430-A</t>
  </si>
  <si>
    <t xml:space="preserve">Lixeira Quadrada c/Aro 24x30 15L</t>
  </si>
  <si>
    <t xml:space="preserve">Q2460-A</t>
  </si>
  <si>
    <t xml:space="preserve">Lixeira Quadrada c/Aro 24x60 30L</t>
  </si>
  <si>
    <t xml:space="preserve">Q3060-A</t>
  </si>
  <si>
    <t xml:space="preserve">Lixeira Quadrada c/Aro 30x60 50L</t>
  </si>
  <si>
    <t xml:space="preserve">Q4070-A</t>
  </si>
  <si>
    <t xml:space="preserve">Lixeira Quadrada c/Aro 40x70 100L</t>
  </si>
  <si>
    <t xml:space="preserve">Q2430-B</t>
  </si>
  <si>
    <t xml:space="preserve">Lixeira Quadrada c/Aro Basculante 24x30 15L</t>
  </si>
  <si>
    <t xml:space="preserve">Q2460-B</t>
  </si>
  <si>
    <t xml:space="preserve">Lixeira Quadrada c/Aro Basculante 24x60 30L</t>
  </si>
  <si>
    <t xml:space="preserve">Q3060-B</t>
  </si>
  <si>
    <t xml:space="preserve">Lixeira Quadrada c/Aro Basculante 30x60 50L</t>
  </si>
  <si>
    <t xml:space="preserve">Q4070-B</t>
  </si>
  <si>
    <t xml:space="preserve">Lixeira Quadrada c/Aro Basculante 40x70 100L</t>
  </si>
  <si>
    <t xml:space="preserve">PQ-2430</t>
  </si>
  <si>
    <t xml:space="preserve">Lixeira quadrada com Tampa Pedal de Aço inox 24x30 15L</t>
  </si>
  <si>
    <t xml:space="preserve">PQ-2460</t>
  </si>
  <si>
    <t xml:space="preserve">Lixeira quadrada com Tampa Pedal de Aço inox 24x60 30L</t>
  </si>
  <si>
    <t xml:space="preserve">PQ-3060</t>
  </si>
  <si>
    <t xml:space="preserve">Lixeira quadrada com Tampa Pedal de Aço inox 30x60 50L</t>
  </si>
  <si>
    <t xml:space="preserve">PQ-4070</t>
  </si>
  <si>
    <t xml:space="preserve">Lixeira quadrada com Tampa Pedal de Aço inox 40x70 100L</t>
  </si>
  <si>
    <t xml:space="preserve">PQ-4090</t>
  </si>
  <si>
    <t xml:space="preserve">Lixeira quadrada com Tampa Pedal de Aço inox 40x90 120L</t>
  </si>
  <si>
    <t xml:space="preserve">PQ-5080</t>
  </si>
  <si>
    <t xml:space="preserve">Lixeira quadrada com Tampa Pedal de Aço inox 50x80 150L</t>
  </si>
  <si>
    <t xml:space="preserve">Q2430-AC</t>
  </si>
  <si>
    <t xml:space="preserve">Lixeira Quadrada 24x30 15L c/Aro Colorido</t>
  </si>
  <si>
    <t xml:space="preserve">Q2460-AC</t>
  </si>
  <si>
    <t xml:space="preserve">Lixeira Quadrada 24x60 30L c/Aro Colorido</t>
  </si>
  <si>
    <t xml:space="preserve">Q3060-AC</t>
  </si>
  <si>
    <t xml:space="preserve">Lixeira Quadrada 30x60 50L c/Aro Colorido</t>
  </si>
  <si>
    <t xml:space="preserve">Q4070-AC</t>
  </si>
  <si>
    <t xml:space="preserve">Lixeira Quadrada 40x70 100L c/Aro Colorido</t>
  </si>
  <si>
    <t xml:space="preserve">Q2430-BC</t>
  </si>
  <si>
    <t xml:space="preserve">Lixeira Quadrada 24x30 15L c/Aro Basculante Colorido</t>
  </si>
  <si>
    <t xml:space="preserve">Q2460-BC</t>
  </si>
  <si>
    <t xml:space="preserve">Lixeira Quadrada 24x60 30L c/Aro Basculante Colorido</t>
  </si>
  <si>
    <t xml:space="preserve">Q3060-BC</t>
  </si>
  <si>
    <t xml:space="preserve">Lixeira Quadrada 30x60 50L c/Aro Basculante Colorido</t>
  </si>
  <si>
    <t xml:space="preserve">Q4070-BC</t>
  </si>
  <si>
    <t xml:space="preserve">Lixeira Quadrada 40x70 100L c/Aro Basculante Colorido</t>
  </si>
  <si>
    <t xml:space="preserve">PQ-2430C</t>
  </si>
  <si>
    <t xml:space="preserve">Lixeira quadrada c/Tampa colorida e Pedal 24x30 15L</t>
  </si>
  <si>
    <t xml:space="preserve">PQ-2460C</t>
  </si>
  <si>
    <t xml:space="preserve">Lixeira quadrada c/Tampa colorida e Pedal 24x60 30L</t>
  </si>
  <si>
    <t xml:space="preserve">PQ-3060C</t>
  </si>
  <si>
    <t xml:space="preserve">Lixeira quadrada c/Tampa colorida e Pedal 30x60 50L</t>
  </si>
  <si>
    <t xml:space="preserve">PQ-4070C</t>
  </si>
  <si>
    <t xml:space="preserve">Lixeira quadrada c/Tampa colorida e Pedal 40x70 100L</t>
  </si>
  <si>
    <t xml:space="preserve">PQ-4090C</t>
  </si>
  <si>
    <t xml:space="preserve">Lixeira quadrada c/Tampa colorida e Pedal 40x90 120L</t>
  </si>
  <si>
    <t xml:space="preserve">PQ-5080C</t>
  </si>
  <si>
    <t xml:space="preserve">Lixeira quadrada c/Tampa colorida e Pedal 50x80 150L</t>
  </si>
  <si>
    <t xml:space="preserve">L1618-T</t>
  </si>
  <si>
    <t xml:space="preserve">Lixeira de Aço inox 16x18 03L com tampa</t>
  </si>
  <si>
    <t xml:space="preserve">L1623-T</t>
  </si>
  <si>
    <t xml:space="preserve">Lixeira de Aço inox 16x23 05L com tampa</t>
  </si>
  <si>
    <t xml:space="preserve">L2025-T</t>
  </si>
  <si>
    <t xml:space="preserve">Lixeira de Aço inox 20x25 07L com tampa</t>
  </si>
  <si>
    <t xml:space="preserve">L2030-T</t>
  </si>
  <si>
    <t xml:space="preserve">Lixeira de Aço inox 20x30 10L com tampa</t>
  </si>
  <si>
    <t xml:space="preserve">A24</t>
  </si>
  <si>
    <t xml:space="preserve">Aro 24cm Aço Inox</t>
  </si>
  <si>
    <t xml:space="preserve">Categoria assumida — confirmar</t>
  </si>
  <si>
    <t xml:space="preserve">A30</t>
  </si>
  <si>
    <t xml:space="preserve">Aro 30cm Aço Inox</t>
  </si>
  <si>
    <t xml:space="preserve">A40</t>
  </si>
  <si>
    <t xml:space="preserve">Aro 40cm Aço Inox</t>
  </si>
  <si>
    <t xml:space="preserve">A24B</t>
  </si>
  <si>
    <t xml:space="preserve">Aro 24cm c/Basculante Aço Inox</t>
  </si>
  <si>
    <t xml:space="preserve">A30B</t>
  </si>
  <si>
    <t xml:space="preserve">Aro 30cm c/Basculante Aço Inox</t>
  </si>
  <si>
    <t xml:space="preserve">A40B</t>
  </si>
  <si>
    <t xml:space="preserve">Aro 40cm c/Basculante Aço Inox</t>
  </si>
  <si>
    <t xml:space="preserve">A24C</t>
  </si>
  <si>
    <t xml:space="preserve">Aro 24cm Pintado</t>
  </si>
  <si>
    <t xml:space="preserve">A30C</t>
  </si>
  <si>
    <t xml:space="preserve">Aro 30cm Pintado</t>
  </si>
  <si>
    <t xml:space="preserve">A40BP</t>
  </si>
  <si>
    <t xml:space="preserve">Aro 40cm Pintado</t>
  </si>
  <si>
    <t xml:space="preserve">A24BC</t>
  </si>
  <si>
    <t xml:space="preserve">Aro 24cm c/Basculante Pintado</t>
  </si>
  <si>
    <t xml:space="preserve">A30BC</t>
  </si>
  <si>
    <t xml:space="preserve">Aro 30cm c/Basculante Pintado</t>
  </si>
  <si>
    <t xml:space="preserve">A40BC</t>
  </si>
  <si>
    <t xml:space="preserve">Aro 40cm c/Basculante Pintado</t>
  </si>
  <si>
    <t xml:space="preserve">T24-PILHAS</t>
  </si>
  <si>
    <t xml:space="preserve">Tampa 24cm Coletor de Pilhas e Baterias</t>
  </si>
  <si>
    <t xml:space="preserve">T30-PILHAS</t>
  </si>
  <si>
    <t xml:space="preserve">Tampa 30cm Coletor de Pilhas e Baterias</t>
  </si>
  <si>
    <t xml:space="preserve">T40-PILHAS</t>
  </si>
  <si>
    <t xml:space="preserve">Tampa 40cm Coletor de Pilhas e Baterias</t>
  </si>
  <si>
    <t xml:space="preserve">A24ML</t>
  </si>
  <si>
    <t xml:space="preserve">Aro 24cm Meia Lua Aço Inox</t>
  </si>
  <si>
    <t xml:space="preserve">A30ML</t>
  </si>
  <si>
    <t xml:space="preserve">Aro 30cm Meia Lua Aço Inox</t>
  </si>
  <si>
    <t xml:space="preserve">A40ML</t>
  </si>
  <si>
    <t xml:space="preserve">Aro 40cm Meia Lua Aço Inox</t>
  </si>
  <si>
    <t xml:space="preserve">AQ-24</t>
  </si>
  <si>
    <t xml:space="preserve">Aro Quadrado 24cm Aço Inox</t>
  </si>
  <si>
    <t xml:space="preserve">AQ-30</t>
  </si>
  <si>
    <t xml:space="preserve">Aro Quadrado 30cm Aço Inox</t>
  </si>
  <si>
    <t xml:space="preserve">AQ-40</t>
  </si>
  <si>
    <t xml:space="preserve">Aro Quadrado 40cm Aço Inox</t>
  </si>
  <si>
    <t xml:space="preserve">AQ-24B</t>
  </si>
  <si>
    <t xml:space="preserve">Aro Quadrado 24cm c/Basculante</t>
  </si>
  <si>
    <t xml:space="preserve">AQ-30B</t>
  </si>
  <si>
    <t xml:space="preserve">Aro Quadrado 30cm c/Basculante</t>
  </si>
  <si>
    <t xml:space="preserve">AQ-40B</t>
  </si>
  <si>
    <t xml:space="preserve">Aro Quadrado 40cm c/Basculante</t>
  </si>
  <si>
    <t xml:space="preserve">AQ-24C</t>
  </si>
  <si>
    <t xml:space="preserve">Aro Quadrado 24cm Pintado</t>
  </si>
  <si>
    <t xml:space="preserve">AQ-30C</t>
  </si>
  <si>
    <t xml:space="preserve">Aro Quadrado 30cm Pintado</t>
  </si>
  <si>
    <t xml:space="preserve">AQ-40C</t>
  </si>
  <si>
    <t xml:space="preserve">Aro Quadrado 40cm Pintado</t>
  </si>
  <si>
    <t xml:space="preserve">AQ-24BC</t>
  </si>
  <si>
    <t xml:space="preserve">Aro Quadrado 24cm c/Basculante Pintado</t>
  </si>
  <si>
    <t xml:space="preserve">AQ-30BC</t>
  </si>
  <si>
    <t xml:space="preserve">Aro Quadrado 30cm c/Basculante Pintado</t>
  </si>
  <si>
    <t xml:space="preserve">AQ-40BC</t>
  </si>
  <si>
    <t xml:space="preserve">Aro Quadrado 40cm c/Basculante Pintado</t>
  </si>
  <si>
    <t xml:space="preserve">PXP</t>
  </si>
  <si>
    <t xml:space="preserve">Porta Extintor 160x310</t>
  </si>
  <si>
    <t xml:space="preserve">PXM</t>
  </si>
  <si>
    <t xml:space="preserve">Porta Extintor 200x495</t>
  </si>
  <si>
    <t xml:space="preserve">PL-SD</t>
  </si>
  <si>
    <t xml:space="preserve">Placa Sinalizadora Piso Molhado Aço Inox 430</t>
  </si>
  <si>
    <t xml:space="preserve">SP-01</t>
  </si>
  <si>
    <t xml:space="preserve">Coletor Cigarros SPACE 27x92 Aço Inox</t>
  </si>
  <si>
    <t xml:space="preserve">SP-F</t>
  </si>
  <si>
    <t xml:space="preserve">Coletor Cigarros SPACE FIXO 21x92 Aço Inox</t>
  </si>
  <si>
    <t xml:space="preserve">SP-FF</t>
  </si>
  <si>
    <t xml:space="preserve">SP-T</t>
  </si>
  <si>
    <t xml:space="preserve">Coletor Cigarros SPACE TORRE 28x92 Aço Inox</t>
  </si>
  <si>
    <t xml:space="preserve">SP-P</t>
  </si>
  <si>
    <t xml:space="preserve">Coletor Cigarros SPACE PAREDE ø0,76x50 Aço Inox</t>
  </si>
  <si>
    <t xml:space="preserve">SP-PP</t>
  </si>
  <si>
    <t xml:space="preserve">SP-FT</t>
  </si>
  <si>
    <t xml:space="preserve">Tampa Space Fixa</t>
  </si>
  <si>
    <t xml:space="preserve">L2450-CZ</t>
  </si>
  <si>
    <t xml:space="preserve">Lixeira Cinzeiro Aço Inox 24x50 25L</t>
  </si>
  <si>
    <t xml:space="preserve">L2450--CZ</t>
  </si>
  <si>
    <t xml:space="preserve">L2460-CZ</t>
  </si>
  <si>
    <t xml:space="preserve">Lixeira Cinzeiro Aço Inox 24x60 27L</t>
  </si>
  <si>
    <t xml:space="preserve">L2470-CZ</t>
  </si>
  <si>
    <t xml:space="preserve">Lixeira Cinzeiro Aço Inox 24x70 30L</t>
  </si>
  <si>
    <t xml:space="preserve">L4045-P</t>
  </si>
  <si>
    <t xml:space="preserve">Lixeira de Parede c/Aro 40x19x45 20L</t>
  </si>
  <si>
    <t xml:space="preserve">L4055-P</t>
  </si>
  <si>
    <t xml:space="preserve">Lixeira de Parede c/Aro 40x19x55 25L</t>
  </si>
  <si>
    <t xml:space="preserve">L4060-P</t>
  </si>
  <si>
    <t xml:space="preserve">Lixeira de Parede c/Aro 40x19x60 30L</t>
  </si>
  <si>
    <t xml:space="preserve">L4065-P</t>
  </si>
  <si>
    <t xml:space="preserve">Lixeira de Parede c/Aro 40x19x65 35L</t>
  </si>
  <si>
    <t xml:space="preserve">L4070-P</t>
  </si>
  <si>
    <t xml:space="preserve">Lixeira de Parede c/Aro 40x19x70 40L</t>
  </si>
  <si>
    <t xml:space="preserve">L4080-P</t>
  </si>
  <si>
    <t xml:space="preserve">Lixeira de Parede c/Aro 40x19x80 50L</t>
  </si>
  <si>
    <t xml:space="preserve">L4045-PC</t>
  </si>
  <si>
    <t xml:space="preserve">Lixeira de Parede c/Aro Colorido 40x19x45 20L</t>
  </si>
  <si>
    <t xml:space="preserve">L4055-PC</t>
  </si>
  <si>
    <t xml:space="preserve">Lixeira de Parede c/Aro Colorido 40x19x55 25L</t>
  </si>
  <si>
    <t xml:space="preserve">L4060-PC</t>
  </si>
  <si>
    <t xml:space="preserve">Lixeira de Parede c/Aro Colorido 40x19x60 30L</t>
  </si>
  <si>
    <t xml:space="preserve">L4065-PC</t>
  </si>
  <si>
    <t xml:space="preserve">Lixeira de Parede c/Aro Colorido 40x19x65 35L</t>
  </si>
  <si>
    <t xml:space="preserve">L4070-PC</t>
  </si>
  <si>
    <t xml:space="preserve">Lixeira de Parede c/Aro Colorido 40x19x70 40L</t>
  </si>
  <si>
    <t xml:space="preserve">L4080-PC</t>
  </si>
  <si>
    <t xml:space="preserve">Lixeira de Parede c/Aro Colorido 40x19x80 50L</t>
  </si>
  <si>
    <t xml:space="preserve">LM3040-2D</t>
  </si>
  <si>
    <t xml:space="preserve">Lixeira Aço Inox 30x40 c/02 Divisões 30L</t>
  </si>
  <si>
    <t xml:space="preserve">LM3040-3D</t>
  </si>
  <si>
    <t xml:space="preserve">Lixeira Aço Inox 30x40 c/03 Divisões 30L</t>
  </si>
  <si>
    <t xml:space="preserve">LM4050-4D</t>
  </si>
  <si>
    <t xml:space="preserve">Lixeira Aço Inox 40x50 c/04 Divisões 50L</t>
  </si>
  <si>
    <t xml:space="preserve">P3050RA</t>
  </si>
  <si>
    <t xml:space="preserve">Lixeira c/Tampa Pedal 30x50 40L c/Rodízios e Alças</t>
  </si>
  <si>
    <t xml:space="preserve">P3060RA</t>
  </si>
  <si>
    <t xml:space="preserve">Lixeira c/Tampa Pedal 30x60 50L c/Rodízios e Alças</t>
  </si>
  <si>
    <t xml:space="preserve">P3070RA</t>
  </si>
  <si>
    <t xml:space="preserve">Lixeira c/Tampa Pedal 30x70 60L c/Rodízios e Alças</t>
  </si>
  <si>
    <t xml:space="preserve">P4050RA</t>
  </si>
  <si>
    <t xml:space="preserve">Lixeira c/Tampa Pedal 40x50 65L c/Rodízios e Alças</t>
  </si>
  <si>
    <t xml:space="preserve">P4060RA</t>
  </si>
  <si>
    <t xml:space="preserve">Lixeira c/Tampa Pedal 40x60 75L c/Rodízios e Alças</t>
  </si>
  <si>
    <t xml:space="preserve">P4070RA</t>
  </si>
  <si>
    <t xml:space="preserve">Lixeira c/Tampa Pedal 40x70 80L c/Rodízios e Alças</t>
  </si>
  <si>
    <t xml:space="preserve">P4075RA</t>
  </si>
  <si>
    <t xml:space="preserve">Lixeira c/Tampa Pedal 40x75 95L c/Rodízios e Alças</t>
  </si>
  <si>
    <t xml:space="preserve">P4080RA</t>
  </si>
  <si>
    <t xml:space="preserve">Lixeira c/Tampa Pedal 40x80 100L c/Rodízios e Alças</t>
  </si>
  <si>
    <t xml:space="preserve">P4090RA</t>
  </si>
  <si>
    <t xml:space="preserve">Lixeira c/Tampa Pedal 40x90 120L c/Rodízios e Alças</t>
  </si>
  <si>
    <t xml:space="preserve">P3050R</t>
  </si>
  <si>
    <t xml:space="preserve">Lixeira c/Tampa Pedal 30x50 40L c/Rodízios</t>
  </si>
  <si>
    <t xml:space="preserve">P3060R</t>
  </si>
  <si>
    <t xml:space="preserve">Lixeira c/Tampa Pedal 30x60 50L c/Rodízios</t>
  </si>
  <si>
    <t xml:space="preserve">P3070R</t>
  </si>
  <si>
    <t xml:space="preserve">Lixeira c/Tampa Pedal 30x70 60L c/Rodízios</t>
  </si>
  <si>
    <t xml:space="preserve">P4050R</t>
  </si>
  <si>
    <t xml:space="preserve">Lixeira c/Tampa Pedal 40x50 65L c/Rodízios</t>
  </si>
  <si>
    <t xml:space="preserve">P4060R</t>
  </si>
  <si>
    <t xml:space="preserve">Lixeira c/Tampa Pedal 40x60 75L c/Rodízios</t>
  </si>
  <si>
    <t xml:space="preserve">P4070R</t>
  </si>
  <si>
    <t xml:space="preserve">Lixeira c/Tampa Pedal 40x70 80L c/Rodízios</t>
  </si>
  <si>
    <t xml:space="preserve">P4075R</t>
  </si>
  <si>
    <t xml:space="preserve">Lixeira c/Tampa Pedal 40x75 95L c/Rodízios</t>
  </si>
  <si>
    <t xml:space="preserve">P4080R</t>
  </si>
  <si>
    <t xml:space="preserve">Lixeira c/Tampa Pedal 40x80 100L c/Rodízios</t>
  </si>
  <si>
    <t xml:space="preserve">P4090R</t>
  </si>
  <si>
    <t xml:space="preserve">Lixeira c/Tampa Pedal 40x90 120L c/Rodízios</t>
  </si>
  <si>
    <t xml:space="preserve">P1618ALC</t>
  </si>
  <si>
    <t xml:space="preserve">Lixeira c/Tampa Pedal 16x18 03L c/Alças</t>
  </si>
  <si>
    <t xml:space="preserve">P1623ALC</t>
  </si>
  <si>
    <t xml:space="preserve">Lixeira c/Tampa Pedal 16x23 05L c/Alças</t>
  </si>
  <si>
    <t xml:space="preserve">P2025ALC</t>
  </si>
  <si>
    <t xml:space="preserve">Lixeira c/Tampa Pedal 20x25 07L c/Alças</t>
  </si>
  <si>
    <t xml:space="preserve">P2030ALC</t>
  </si>
  <si>
    <t xml:space="preserve">Lixeira c/Tampa Pedal 20x30 10L c/Alças</t>
  </si>
  <si>
    <t xml:space="preserve">P2425ALC</t>
  </si>
  <si>
    <t xml:space="preserve">Lixeira c/Tampa Pedal 24x25 12L c/Alças</t>
  </si>
  <si>
    <t xml:space="preserve">P2430ALC</t>
  </si>
  <si>
    <t xml:space="preserve">Lixeira c/Tampa Pedal 24x30 15L c/Alças</t>
  </si>
  <si>
    <t xml:space="preserve">P2440ALC</t>
  </si>
  <si>
    <t xml:space="preserve">Lixeira c/Tampa Pedal 24x40 20L c/Alças</t>
  </si>
  <si>
    <t xml:space="preserve">P3040ALC</t>
  </si>
  <si>
    <t xml:space="preserve">Lixeira c/Tampa Pedal 30x40 30L c/Alças</t>
  </si>
  <si>
    <t xml:space="preserve">P3050ALC</t>
  </si>
  <si>
    <t xml:space="preserve">Lixeira c/Tampa Pedal 30x50 40L c/Alças</t>
  </si>
  <si>
    <t xml:space="preserve">P3060ALC</t>
  </si>
  <si>
    <t xml:space="preserve">Lixeira c/Tampa Pedal 30x60 50L c/Alças</t>
  </si>
  <si>
    <t xml:space="preserve">P3070ALC</t>
  </si>
  <si>
    <t xml:space="preserve">Lixeira c/Tampa Pedal 30x70 60L c/Alças</t>
  </si>
  <si>
    <t xml:space="preserve">P4050ALC</t>
  </si>
  <si>
    <t xml:space="preserve">Lixeira c/Tampa Pedal 40x50 65L c/Alças</t>
  </si>
  <si>
    <t xml:space="preserve">P4060ALC</t>
  </si>
  <si>
    <t xml:space="preserve">Lixeira c/Tampa Pedal 40x60 75L c/Alças</t>
  </si>
  <si>
    <t xml:space="preserve">P4070ALC</t>
  </si>
  <si>
    <t xml:space="preserve">Lixeira c/Tampa Pedal 40x70 80L c/Alças</t>
  </si>
  <si>
    <t xml:space="preserve">P4075ALC</t>
  </si>
  <si>
    <t xml:space="preserve">Lixeira c/Tampa Pedal 40x75 95L c/Alças</t>
  </si>
  <si>
    <t xml:space="preserve">P4080ALC</t>
  </si>
  <si>
    <t xml:space="preserve">Lixeira c/Tampa Pedal 40x80 100L c/Alças</t>
  </si>
  <si>
    <t xml:space="preserve">P4090ALC</t>
  </si>
  <si>
    <t xml:space="preserve">Lixeira c/Tampa Pedal 40x90 120L c/Alças</t>
  </si>
  <si>
    <t xml:space="preserve">PRODUTO</t>
  </si>
  <si>
    <t xml:space="preserve">ENTRADAS</t>
  </si>
  <si>
    <t xml:space="preserve">COMISSÃO</t>
  </si>
  <si>
    <t xml:space="preserve">PREÇO
SUGERIDO</t>
  </si>
  <si>
    <t xml:space="preserve">PREÇO
MANUAL</t>
  </si>
  <si>
    <t xml:space="preserve">PREÇO
USADO</t>
  </si>
  <si>
    <t xml:space="preserve">COMPOSIÇÃO DO PREÇO</t>
  </si>
  <si>
    <t xml:space="preserve">PROMOÇÃO</t>
  </si>
  <si>
    <t xml:space="preserve">CONTROLE</t>
  </si>
  <si>
    <t xml:space="preserve">Frete
(R$)</t>
  </si>
  <si>
    <t xml:space="preserve">Comissão
categoria (%)</t>
  </si>
  <si>
    <t xml:space="preserve">✏ Comissão
manual (%)</t>
  </si>
  <si>
    <t xml:space="preserve">✅ Comissão
usada (%)</t>
  </si>
  <si>
    <t xml:space="preserve">⚙ Preço
Sugerido</t>
  </si>
  <si>
    <t xml:space="preserve">✏ Preço
Manual</t>
  </si>
  <si>
    <t xml:space="preserve">✅ Preço
Usado</t>
  </si>
  <si>
    <t xml:space="preserve">Comissão
(R$)</t>
  </si>
  <si>
    <t xml:space="preserve">Imposto
(R$)</t>
  </si>
  <si>
    <t xml:space="preserve">ADS
(R$)</t>
  </si>
  <si>
    <t xml:space="preserve">Custo fixo
(R$)</t>
  </si>
  <si>
    <t xml:space="preserve">Lucro
Líq (R$)</t>
  </si>
  <si>
    <t xml:space="preserve">Margem
(%)</t>
  </si>
  <si>
    <t xml:space="preserve">% Desc.
Promo</t>
  </si>
  <si>
    <t xml:space="preserve">Preço
Promo (R$)</t>
  </si>
  <si>
    <t xml:space="preserve">Comissão
Promo (R$)</t>
  </si>
  <si>
    <t xml:space="preserve">Imposto
Promo (R$)</t>
  </si>
  <si>
    <t xml:space="preserve">ADS
Promo (R$)</t>
  </si>
  <si>
    <t xml:space="preserve">Lucro
Promo (R$)</t>
  </si>
  <si>
    <t xml:space="preserve">Margem
Promo (%)</t>
  </si>
  <si>
    <t xml:space="preserve">Atualizado
em</t>
  </si>
  <si>
    <t xml:space="preserve">02/10</t>
  </si>
  <si>
    <t xml:space="preserve">09/10</t>
  </si>
  <si>
    <t xml:space="preserve">19/08</t>
  </si>
  <si>
    <t xml:space="preserve">05/10</t>
  </si>
  <si>
    <t xml:space="preserve">06/10</t>
  </si>
  <si>
    <t xml:space="preserve">24/09</t>
  </si>
  <si>
    <t xml:space="preserve">04/09</t>
  </si>
  <si>
    <t xml:space="preserve">07/10</t>
  </si>
  <si>
    <t xml:space="preserve">09/09</t>
  </si>
  <si>
    <t xml:space="preserve">29/09</t>
  </si>
  <si>
    <t xml:space="preserve">08/10</t>
  </si>
  <si>
    <t xml:space="preserve">11/09</t>
  </si>
  <si>
    <t xml:space="preserve">01/10</t>
  </si>
  <si>
    <t xml:space="preserve">Preço da Mestra v4.3.5 · SP Interior · classe Pequenos</t>
  </si>
  <si>
    <t xml:space="preserve">Preço da Mestra v4.3.5 · SP Interior · classe Medios</t>
  </si>
  <si>
    <t xml:space="preserve">Preço da Mestra v4.3.5 · SP Interior · classe Grandes</t>
  </si>
  <si>
    <t xml:space="preserve">COMPARATIVO — preço usado e margem de cada produto em cada marketplace (somente leitura; edite nas abas dos canais)</t>
  </si>
  <si>
    <t xml:space="preserve">ML CLÁSSICO</t>
  </si>
  <si>
    <t xml:space="preserve">ML PREMIUM</t>
  </si>
  <si>
    <t xml:space="preserve">AMAZON</t>
  </si>
  <si>
    <t xml:space="preserve">VIA (CASAS BAHIA)</t>
  </si>
  <si>
    <t xml:space="preserve">MADEIRAMADEIRA</t>
  </si>
  <si>
    <t xml:space="preserve">MAGALU</t>
  </si>
  <si>
    <t xml:space="preserve">RESUMO</t>
  </si>
  <si>
    <t xml:space="preserve">Custo (R$)</t>
  </si>
  <si>
    <t xml:space="preserve">Preço usado
(R$)</t>
  </si>
  <si>
    <t xml:space="preserve">Menor
margem</t>
  </si>
  <si>
    <t xml:space="preserve">Maior
margem</t>
  </si>
  <si>
    <t xml:space="preserve">Canais c/
preço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</si>
</sst>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0.0%"/>
    <numFmt numFmtId="167" formatCode="&quot;R$ &quot;#,##0.00"/>
    <numFmt numFmtId="168" formatCode="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sz val="10"/>
      <color rgb="FF555555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sz val="10"/>
      <name val="Arial"/>
      <family val="2"/>
    </font>
    <font>
      <b val="true"/>
      <sz val="10"/>
      <color rgb="FF333333"/>
      <name val="Cambria"/>
      <family val="0"/>
      <charset val="1"/>
    </font>
    <font>
      <b val="true"/>
      <sz val="10"/>
      <color rgb="FF1F4E79"/>
      <name val="Cambria"/>
      <family val="0"/>
      <charset val="1"/>
    </font>
    <font>
      <b val="true"/>
      <sz val="10"/>
      <color rgb="FF000000"/>
      <name val="Cambria"/>
      <family val="0"/>
      <charset val="1"/>
    </font>
    <font>
      <sz val="10"/>
      <color rgb="FF008000"/>
      <name val="Calibri"/>
      <family val="0"/>
      <charset val="1"/>
    </font>
    <font>
      <b val="true"/>
      <sz val="11"/>
      <color rgb="FF000000"/>
      <name val="Cambria"/>
      <family val="0"/>
      <charset val="1"/>
    </font>
  </fonts>
  <fills count="22">
    <fill>
      <patternFill patternType="none"/>
    </fill>
    <fill>
      <patternFill patternType="gray125"/>
    </fill>
    <fill>
      <patternFill patternType="solid">
        <fgColor rgb="FF7B5200"/>
        <bgColor rgb="FF843C0C"/>
      </patternFill>
    </fill>
    <fill>
      <patternFill patternType="solid">
        <fgColor rgb="FF374151"/>
        <bgColor rgb="FF333333"/>
      </patternFill>
    </fill>
    <fill>
      <patternFill patternType="solid">
        <fgColor rgb="FFFFFBEC"/>
        <bgColor rgb="FFFFFFFF"/>
      </patternFill>
    </fill>
    <fill>
      <patternFill patternType="solid">
        <fgColor rgb="FFFFFF99"/>
        <bgColor rgb="FFFFF2CC"/>
      </patternFill>
    </fill>
    <fill>
      <patternFill patternType="solid">
        <fgColor rgb="FFFFFFFF"/>
        <bgColor rgb="FFFFFBEC"/>
      </patternFill>
    </fill>
    <fill>
      <patternFill patternType="solid">
        <fgColor rgb="FF2E75B6"/>
        <bgColor rgb="FF0066B3"/>
      </patternFill>
    </fill>
    <fill>
      <patternFill patternType="solid">
        <fgColor rgb="FFF2F2F2"/>
        <bgColor rgb="FFE8E8E8"/>
      </patternFill>
    </fill>
    <fill>
      <patternFill patternType="solid">
        <fgColor rgb="FF1F6E43"/>
        <bgColor rgb="FF2E8B57"/>
      </patternFill>
    </fill>
    <fill>
      <patternFill patternType="solid">
        <fgColor rgb="FFE8E8E8"/>
        <bgColor rgb="FFE2EFDA"/>
      </patternFill>
    </fill>
    <fill>
      <patternFill patternType="solid">
        <fgColor rgb="FFD9F0FF"/>
        <bgColor rgb="FFE8E8E8"/>
      </patternFill>
    </fill>
    <fill>
      <patternFill patternType="solid">
        <fgColor rgb="FFFFD700"/>
        <bgColor rgb="FFFFFF00"/>
      </patternFill>
    </fill>
    <fill>
      <patternFill patternType="solid">
        <fgColor rgb="FF843C0C"/>
        <bgColor rgb="FF7B5200"/>
      </patternFill>
    </fill>
    <fill>
      <patternFill patternType="solid">
        <fgColor rgb="FF595959"/>
        <bgColor rgb="FF555555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8E8E8"/>
      </patternFill>
    </fill>
    <fill>
      <patternFill patternType="solid">
        <fgColor rgb="FFFCE4D6"/>
        <bgColor rgb="FFFFD7D7"/>
      </patternFill>
    </fill>
    <fill>
      <patternFill patternType="solid">
        <fgColor rgb="FFFF9900"/>
        <bgColor rgb="FFFF8080"/>
      </patternFill>
    </fill>
    <fill>
      <patternFill patternType="solid">
        <fgColor rgb="FF0066B3"/>
        <bgColor rgb="FF2E75B6"/>
      </patternFill>
    </fill>
    <fill>
      <patternFill patternType="solid">
        <fgColor rgb="FF2E8B57"/>
        <bgColor rgb="FF1F6E43"/>
      </patternFill>
    </fill>
    <fill>
      <patternFill patternType="solid">
        <fgColor rgb="FF0086FF"/>
        <bgColor rgb="FF0066B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4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1">
    <dxf>
      <fill>
        <patternFill patternType="solid">
          <fgColor rgb="FF7B5200"/>
          <bgColor rgb="FF000000"/>
        </patternFill>
      </fill>
    </dxf>
    <dxf>
      <fill>
        <patternFill patternType="solid">
          <fgColor rgb="FFFFFBE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99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555555"/>
          <bgColor rgb="FF000000"/>
        </patternFill>
      </fill>
    </dxf>
    <dxf>
      <fill>
        <patternFill patternType="solid">
          <fgColor rgb="FFD9F0FF"/>
          <bgColor rgb="FF000000"/>
        </patternFill>
      </fill>
    </dxf>
    <dxf>
      <fill>
        <patternFill patternType="solid">
          <fgColor rgb="FFFFD700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D7D7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C55A11"/>
          <bgColor rgb="FF000000"/>
        </patternFill>
      </fill>
    </dxf>
    <dxf>
      <font>
        <b val="1"/>
        <color rgb="FFFF0000"/>
      </font>
      <fill>
        <patternFill>
          <bgColor rgb="FFFFD7D7"/>
        </patternFill>
      </fill>
    </dxf>
    <dxf>
      <font>
        <b val="1"/>
        <color rgb="FFC55A11"/>
      </font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B5200"/>
      <rgbColor rgb="FF800080"/>
      <rgbColor rgb="FF1F6E43"/>
      <rgbColor rgb="FFBFBFBF"/>
      <rgbColor rgb="FF555555"/>
      <rgbColor rgb="FF9999FF"/>
      <rgbColor rgb="FF993366"/>
      <rgbColor rgb="FFFFF2CC"/>
      <rgbColor rgb="FFD9F0FF"/>
      <rgbColor rgb="FF660066"/>
      <rgbColor rgb="FFFF8080"/>
      <rgbColor rgb="FF0066B3"/>
      <rgbColor rgb="FFE8E8E8"/>
      <rgbColor rgb="FF000080"/>
      <rgbColor rgb="FFFF00FF"/>
      <rgbColor rgb="FFFFFF00"/>
      <rgbColor rgb="FF00FFFF"/>
      <rgbColor rgb="FF800080"/>
      <rgbColor rgb="FF800000"/>
      <rgbColor rgb="FF0086FF"/>
      <rgbColor rgb="FF0000FF"/>
      <rgbColor rgb="FF00CCFF"/>
      <rgbColor rgb="FFF2F2F2"/>
      <rgbColor rgb="FFE2EFDA"/>
      <rgbColor rgb="FFFFFF99"/>
      <rgbColor rgb="FFFFFBEC"/>
      <rgbColor rgb="FFFCE4D6"/>
      <rgbColor rgb="FFCC99FF"/>
      <rgbColor rgb="FFFFD7D7"/>
      <rgbColor rgb="FF2E75B6"/>
      <rgbColor rgb="FF33CCCC"/>
      <rgbColor rgb="FF99CC00"/>
      <rgbColor rgb="FFFFD700"/>
      <rgbColor rgb="FFFF9900"/>
      <rgbColor rgb="FFC55A11"/>
      <rgbColor rgb="FF595959"/>
      <rgbColor rgb="FF969696"/>
      <rgbColor rgb="FF003366"/>
      <rgbColor rgb="FF2E8B57"/>
      <rgbColor rgb="FF003300"/>
      <rgbColor rgb="FF374151"/>
      <rgbColor rgb="FF843C0C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5200"/>
    <pageSetUpPr fitToPage="false"/>
  </sheetPr>
  <dimension ref="A1:B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0"/>
  </cols>
  <sheetData>
    <row r="1" customFormat="false" ht="24" hidden="false" customHeight="true" outlineLevel="0" collapsed="false">
      <c r="A1" s="1" t="s">
        <v>0</v>
      </c>
      <c r="B1" s="1"/>
    </row>
    <row r="3" customFormat="false" ht="15" hidden="false" customHeight="false" outlineLevel="0" collapsed="false">
      <c r="A3" s="2" t="s">
        <v>1</v>
      </c>
      <c r="B3" s="2"/>
    </row>
    <row r="4" customFormat="false" ht="30" hidden="false" customHeight="true" outlineLevel="0" collapsed="false">
      <c r="A4" s="3" t="s">
        <v>2</v>
      </c>
      <c r="B4" s="4" t="s">
        <v>3</v>
      </c>
    </row>
    <row r="5" customFormat="false" ht="30" hidden="false" customHeight="true" outlineLevel="0" collapsed="false">
      <c r="A5" s="3" t="s">
        <v>4</v>
      </c>
      <c r="B5" s="4" t="s">
        <v>5</v>
      </c>
    </row>
    <row r="6" customFormat="false" ht="30" hidden="false" customHeight="true" outlineLevel="0" collapsed="false">
      <c r="A6" s="3" t="s">
        <v>6</v>
      </c>
      <c r="B6" s="4" t="s">
        <v>7</v>
      </c>
    </row>
    <row r="7" customFormat="false" ht="30" hidden="false" customHeight="tru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2" t="s">
        <v>10</v>
      </c>
      <c r="B8" s="2"/>
    </row>
    <row r="9" customFormat="false" ht="15.75" hidden="false" customHeight="true" outlineLevel="0" collapsed="false">
      <c r="A9" s="3" t="s">
        <v>11</v>
      </c>
      <c r="B9" s="4" t="s">
        <v>12</v>
      </c>
    </row>
    <row r="10" customFormat="false" ht="15.75" hidden="false" customHeight="true" outlineLevel="0" collapsed="false">
      <c r="A10" s="3" t="s">
        <v>13</v>
      </c>
      <c r="B10" s="4" t="s">
        <v>14</v>
      </c>
    </row>
    <row r="11" customFormat="false" ht="15.75" hidden="false" customHeight="true" outlineLevel="0" collapsed="false">
      <c r="A11" s="3" t="s">
        <v>15</v>
      </c>
      <c r="B11" s="4" t="s">
        <v>16</v>
      </c>
    </row>
    <row r="12" customFormat="false" ht="30" hidden="false" customHeight="true" outlineLevel="0" collapsed="false">
      <c r="A12" s="3" t="s">
        <v>17</v>
      </c>
      <c r="B12" s="4" t="s">
        <v>18</v>
      </c>
    </row>
    <row r="13" customFormat="false" ht="30" hidden="false" customHeight="true" outlineLevel="0" collapsed="false">
      <c r="A13" s="3" t="s">
        <v>19</v>
      </c>
      <c r="B13" s="4" t="s">
        <v>20</v>
      </c>
    </row>
    <row r="14" customFormat="false" ht="15.75" hidden="false" customHeight="true" outlineLevel="0" collapsed="false">
      <c r="A14" s="3" t="s">
        <v>21</v>
      </c>
      <c r="B14" s="4" t="s">
        <v>22</v>
      </c>
    </row>
    <row r="15" customFormat="false" ht="15" hidden="false" customHeight="false" outlineLevel="0" collapsed="false">
      <c r="A15" s="2" t="s">
        <v>23</v>
      </c>
      <c r="B15" s="2"/>
    </row>
    <row r="16" customFormat="false" ht="15.75" hidden="false" customHeight="true" outlineLevel="0" collapsed="false">
      <c r="A16" s="3" t="s">
        <v>24</v>
      </c>
      <c r="B16" s="4" t="s">
        <v>25</v>
      </c>
    </row>
    <row r="17" customFormat="false" ht="30" hidden="false" customHeight="true" outlineLevel="0" collapsed="false">
      <c r="A17" s="3" t="s">
        <v>26</v>
      </c>
      <c r="B17" s="4" t="s">
        <v>27</v>
      </c>
    </row>
    <row r="18" customFormat="false" ht="15.75" hidden="false" customHeight="true" outlineLevel="0" collapsed="false">
      <c r="A18" s="3" t="s">
        <v>28</v>
      </c>
      <c r="B18" s="4" t="s">
        <v>29</v>
      </c>
    </row>
    <row r="19" customFormat="false" ht="30" hidden="false" customHeight="true" outlineLevel="0" collapsed="false">
      <c r="A19" s="3" t="s">
        <v>30</v>
      </c>
      <c r="B19" s="4" t="s">
        <v>31</v>
      </c>
    </row>
    <row r="20" customFormat="false" ht="15.75" hidden="false" customHeight="true" outlineLevel="0" collapsed="false">
      <c r="A20" s="3" t="s">
        <v>32</v>
      </c>
      <c r="B20" s="4" t="s">
        <v>33</v>
      </c>
    </row>
    <row r="21" customFormat="false" ht="30" hidden="false" customHeight="true" outlineLevel="0" collapsed="false">
      <c r="A21" s="3" t="s">
        <v>34</v>
      </c>
      <c r="B21" s="4" t="s">
        <v>35</v>
      </c>
    </row>
    <row r="22" customFormat="false" ht="15.75" hidden="false" customHeight="true" outlineLevel="0" collapsed="false">
      <c r="A22" s="3" t="s">
        <v>36</v>
      </c>
      <c r="B22" s="4" t="s">
        <v>37</v>
      </c>
    </row>
    <row r="23" customFormat="false" ht="15.75" hidden="false" customHeight="true" outlineLevel="0" collapsed="false">
      <c r="A23" s="3" t="s">
        <v>38</v>
      </c>
      <c r="B23" s="4" t="s">
        <v>39</v>
      </c>
    </row>
    <row r="24" customFormat="false" ht="15.75" hidden="false" customHeight="true" outlineLevel="0" collapsed="false">
      <c r="A24" s="3" t="s">
        <v>40</v>
      </c>
      <c r="B24" s="4" t="s">
        <v>41</v>
      </c>
    </row>
    <row r="25" customFormat="false" ht="15.75" hidden="false" customHeight="true" outlineLevel="0" collapsed="false">
      <c r="A25" s="3" t="s">
        <v>42</v>
      </c>
      <c r="B25" s="4" t="s">
        <v>43</v>
      </c>
    </row>
    <row r="26" customFormat="false" ht="15.75" hidden="false" customHeight="true" outlineLevel="0" collapsed="false">
      <c r="A26" s="3" t="s">
        <v>44</v>
      </c>
      <c r="B26" s="4" t="s">
        <v>45</v>
      </c>
    </row>
    <row r="27" customFormat="false" ht="30" hidden="false" customHeight="true" outlineLevel="0" collapsed="false">
      <c r="A27" s="3" t="s">
        <v>46</v>
      </c>
      <c r="B27" s="4" t="s">
        <v>47</v>
      </c>
    </row>
    <row r="28" customFormat="false" ht="15" hidden="false" customHeight="false" outlineLevel="0" collapsed="false">
      <c r="A28" s="2" t="s">
        <v>48</v>
      </c>
      <c r="B28" s="2"/>
    </row>
    <row r="29" customFormat="false" ht="45" hidden="false" customHeight="true" outlineLevel="0" collapsed="false">
      <c r="A29" s="3" t="s">
        <v>49</v>
      </c>
      <c r="B29" s="4" t="s">
        <v>50</v>
      </c>
    </row>
    <row r="30" customFormat="false" ht="60" hidden="false" customHeight="true" outlineLevel="0" collapsed="false">
      <c r="A30" s="3" t="s">
        <v>51</v>
      </c>
      <c r="B30" s="4" t="s">
        <v>52</v>
      </c>
    </row>
    <row r="31" customFormat="false" ht="60" hidden="false" customHeight="true" outlineLevel="0" collapsed="false">
      <c r="A31" s="3" t="s">
        <v>53</v>
      </c>
      <c r="B31" s="4" t="s">
        <v>54</v>
      </c>
    </row>
    <row r="32" customFormat="false" ht="45" hidden="false" customHeight="true" outlineLevel="0" collapsed="false">
      <c r="A32" s="3" t="s">
        <v>55</v>
      </c>
      <c r="B32" s="4" t="s">
        <v>56</v>
      </c>
    </row>
    <row r="33" customFormat="false" ht="60" hidden="false" customHeight="true" outlineLevel="0" collapsed="false">
      <c r="A33" s="3" t="s">
        <v>57</v>
      </c>
      <c r="B33" s="4" t="s">
        <v>58</v>
      </c>
    </row>
    <row r="34" customFormat="false" ht="30" hidden="false" customHeight="true" outlineLevel="0" collapsed="false">
      <c r="A34" s="3" t="s">
        <v>59</v>
      </c>
      <c r="B34" s="4" t="s">
        <v>60</v>
      </c>
    </row>
    <row r="35" customFormat="false" ht="15" hidden="false" customHeight="false" outlineLevel="0" collapsed="false">
      <c r="A35" s="2" t="s">
        <v>61</v>
      </c>
      <c r="B35" s="2"/>
    </row>
    <row r="36" customFormat="false" ht="45" hidden="false" customHeight="true" outlineLevel="0" collapsed="false">
      <c r="A36" s="3" t="s">
        <v>62</v>
      </c>
      <c r="B36" s="4" t="s">
        <v>63</v>
      </c>
    </row>
  </sheetData>
  <mergeCells count="6">
    <mergeCell ref="A1:B1"/>
    <mergeCell ref="A3:B3"/>
    <mergeCell ref="A8:B8"/>
    <mergeCell ref="A15:B15"/>
    <mergeCell ref="A28:B28"/>
    <mergeCell ref="A35:B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4151"/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3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3"/>
    <col collapsed="false" customWidth="true" hidden="false" outlineLevel="0" max="8" min="8" style="0" width="70"/>
  </cols>
  <sheetData>
    <row r="1" customFormat="false" ht="24" hidden="false" customHeight="true" outlineLevel="0" collapsed="false">
      <c r="A1" s="5" t="s">
        <v>64</v>
      </c>
      <c r="B1" s="5"/>
      <c r="C1" s="5"/>
      <c r="D1" s="5"/>
      <c r="E1" s="5"/>
      <c r="F1" s="5"/>
      <c r="G1" s="5"/>
      <c r="H1" s="5"/>
    </row>
    <row r="2" customFormat="false" ht="15" hidden="false" customHeight="false" outlineLevel="0" collapsed="false">
      <c r="A2" s="6" t="s">
        <v>65</v>
      </c>
    </row>
    <row r="3" customFormat="false" ht="30" hidden="false" customHeight="true" outlineLevel="0" collapsed="false">
      <c r="A3" s="7" t="s">
        <v>66</v>
      </c>
      <c r="B3" s="7" t="s">
        <v>67</v>
      </c>
      <c r="C3" s="7" t="s">
        <v>68</v>
      </c>
      <c r="D3" s="7" t="s">
        <v>69</v>
      </c>
      <c r="E3" s="7" t="s">
        <v>70</v>
      </c>
      <c r="F3" s="7" t="s">
        <v>71</v>
      </c>
      <c r="G3" s="7"/>
      <c r="H3" s="7"/>
    </row>
    <row r="4" customFormat="false" ht="15" hidden="false" customHeight="false" outlineLevel="0" collapsed="false">
      <c r="A4" s="8" t="s">
        <v>72</v>
      </c>
      <c r="B4" s="9" t="n">
        <v>0.1</v>
      </c>
      <c r="C4" s="10" t="n">
        <v>0.03</v>
      </c>
      <c r="D4" s="9" t="n">
        <v>0.2</v>
      </c>
      <c r="E4" s="11" t="n">
        <v>0</v>
      </c>
      <c r="F4" s="12" t="s">
        <v>73</v>
      </c>
      <c r="G4" s="12"/>
      <c r="H4" s="12"/>
    </row>
    <row r="5" customFormat="false" ht="15" hidden="false" customHeight="false" outlineLevel="0" collapsed="false">
      <c r="A5" s="8" t="s">
        <v>74</v>
      </c>
      <c r="B5" s="9" t="n">
        <v>0.1</v>
      </c>
      <c r="C5" s="10" t="n">
        <v>0.03</v>
      </c>
      <c r="D5" s="9" t="n">
        <v>0.2</v>
      </c>
      <c r="E5" s="11" t="n">
        <v>0</v>
      </c>
      <c r="F5" s="12" t="s">
        <v>75</v>
      </c>
      <c r="G5" s="12"/>
      <c r="H5" s="12"/>
    </row>
    <row r="6" customFormat="false" ht="15" hidden="false" customHeight="false" outlineLevel="0" collapsed="false">
      <c r="A6" s="8" t="s">
        <v>53</v>
      </c>
      <c r="B6" s="9" t="n">
        <v>0.1</v>
      </c>
      <c r="C6" s="10" t="n">
        <v>0.03</v>
      </c>
      <c r="D6" s="9" t="n">
        <v>0.2</v>
      </c>
      <c r="E6" s="11" t="n">
        <v>0</v>
      </c>
      <c r="F6" s="12" t="s">
        <v>76</v>
      </c>
      <c r="G6" s="12"/>
      <c r="H6" s="12"/>
    </row>
    <row r="7" customFormat="false" ht="15" hidden="false" customHeight="false" outlineLevel="0" collapsed="false">
      <c r="A7" s="8" t="s">
        <v>77</v>
      </c>
      <c r="B7" s="9" t="n">
        <v>0.1</v>
      </c>
      <c r="C7" s="10" t="n">
        <v>0.03</v>
      </c>
      <c r="D7" s="9" t="n">
        <v>0.2</v>
      </c>
      <c r="E7" s="11" t="n">
        <v>0</v>
      </c>
      <c r="F7" s="12" t="s">
        <v>78</v>
      </c>
      <c r="G7" s="12"/>
      <c r="H7" s="12"/>
    </row>
    <row r="8" customFormat="false" ht="15" hidden="false" customHeight="false" outlineLevel="0" collapsed="false">
      <c r="A8" s="8" t="s">
        <v>79</v>
      </c>
      <c r="B8" s="9" t="n">
        <v>0.1</v>
      </c>
      <c r="C8" s="10" t="n">
        <v>0.03</v>
      </c>
      <c r="D8" s="9" t="n">
        <v>0.2</v>
      </c>
      <c r="E8" s="11" t="n">
        <v>0</v>
      </c>
      <c r="F8" s="12" t="s">
        <v>78</v>
      </c>
      <c r="G8" s="12"/>
      <c r="H8" s="12"/>
    </row>
    <row r="9" customFormat="false" ht="15" hidden="false" customHeight="false" outlineLevel="0" collapsed="false">
      <c r="A9" s="8" t="s">
        <v>80</v>
      </c>
      <c r="B9" s="9" t="n">
        <v>0.1</v>
      </c>
      <c r="C9" s="10" t="n">
        <v>0.03</v>
      </c>
      <c r="D9" s="9" t="n">
        <v>0.2</v>
      </c>
      <c r="E9" s="11" t="n">
        <v>0</v>
      </c>
      <c r="F9" s="12" t="s">
        <v>78</v>
      </c>
      <c r="G9" s="12"/>
      <c r="H9" s="12"/>
    </row>
    <row r="11" customFormat="false" ht="15" hidden="false" customHeight="false" outlineLevel="0" collapsed="false">
      <c r="A11" s="13" t="s">
        <v>81</v>
      </c>
      <c r="B11" s="13"/>
      <c r="C11" s="13"/>
      <c r="D11" s="13"/>
      <c r="E11" s="13"/>
      <c r="F11" s="13"/>
      <c r="G11" s="13"/>
      <c r="H11" s="13"/>
    </row>
    <row r="12" customFormat="false" ht="30" hidden="false" customHeight="true" outlineLevel="0" collapsed="false">
      <c r="A12" s="7" t="s">
        <v>82</v>
      </c>
      <c r="B12" s="7" t="s">
        <v>72</v>
      </c>
      <c r="C12" s="7" t="s">
        <v>74</v>
      </c>
      <c r="D12" s="7" t="s">
        <v>53</v>
      </c>
      <c r="E12" s="7" t="s">
        <v>77</v>
      </c>
      <c r="F12" s="7" t="s">
        <v>79</v>
      </c>
      <c r="G12" s="7" t="s">
        <v>80</v>
      </c>
      <c r="H12" s="7" t="s">
        <v>83</v>
      </c>
    </row>
    <row r="13" customFormat="false" ht="15" hidden="false" customHeight="false" outlineLevel="0" collapsed="false">
      <c r="A13" s="8" t="s">
        <v>84</v>
      </c>
      <c r="B13" s="10" t="n">
        <v>0.13</v>
      </c>
      <c r="C13" s="10" t="n">
        <v>0.18</v>
      </c>
      <c r="D13" s="10" t="n">
        <v>0.13</v>
      </c>
      <c r="E13" s="10" t="n">
        <v>0.21</v>
      </c>
      <c r="F13" s="10" t="n">
        <v>0.19</v>
      </c>
      <c r="G13" s="10" t="n">
        <v>0.18</v>
      </c>
      <c r="H13" s="14"/>
    </row>
    <row r="14" customFormat="false" ht="15" hidden="false" customHeight="false" outlineLevel="0" collapsed="false">
      <c r="A14" s="15" t="s">
        <v>85</v>
      </c>
      <c r="B14" s="10" t="n">
        <v>0.13</v>
      </c>
      <c r="C14" s="10" t="n">
        <v>0.18</v>
      </c>
      <c r="D14" s="10" t="n">
        <v>0.13</v>
      </c>
      <c r="E14" s="10" t="n">
        <v>0.21</v>
      </c>
      <c r="F14" s="10" t="n">
        <v>0.19</v>
      </c>
      <c r="G14" s="10" t="n">
        <v>0.18</v>
      </c>
      <c r="H14" s="14"/>
    </row>
    <row r="15" customFormat="false" ht="15" hidden="false" customHeight="false" outlineLevel="0" collapsed="false">
      <c r="A15" s="8" t="s">
        <v>86</v>
      </c>
      <c r="B15" s="10" t="n">
        <v>0.13</v>
      </c>
      <c r="C15" s="10" t="n">
        <v>0.18</v>
      </c>
      <c r="D15" s="10" t="n">
        <v>0.13</v>
      </c>
      <c r="E15" s="10" t="n">
        <v>0.21</v>
      </c>
      <c r="F15" s="10" t="n">
        <v>0.19</v>
      </c>
      <c r="G15" s="10" t="n">
        <v>0.18</v>
      </c>
      <c r="H15" s="14"/>
    </row>
    <row r="16" customFormat="false" ht="15" hidden="false" customHeight="false" outlineLevel="0" collapsed="false">
      <c r="A16" s="15" t="s">
        <v>87</v>
      </c>
      <c r="B16" s="10" t="n">
        <v>0.13</v>
      </c>
      <c r="C16" s="10" t="n">
        <v>0.18</v>
      </c>
      <c r="D16" s="10" t="n">
        <v>0.13</v>
      </c>
      <c r="E16" s="10" t="n">
        <v>0.21</v>
      </c>
      <c r="F16" s="10" t="n">
        <v>0.19</v>
      </c>
      <c r="G16" s="10" t="n">
        <v>0.18</v>
      </c>
      <c r="H16" s="14" t="s">
        <v>88</v>
      </c>
    </row>
    <row r="17" customFormat="false" ht="15" hidden="false" customHeight="false" outlineLevel="0" collapsed="false">
      <c r="A17" s="8" t="s">
        <v>89</v>
      </c>
      <c r="B17" s="10" t="n">
        <v>0.13</v>
      </c>
      <c r="C17" s="10" t="n">
        <v>0.18</v>
      </c>
      <c r="D17" s="10" t="n">
        <v>0.13</v>
      </c>
      <c r="E17" s="10" t="n">
        <v>0.21</v>
      </c>
      <c r="F17" s="10" t="n">
        <v>0.19</v>
      </c>
      <c r="G17" s="10" t="n">
        <v>0.18</v>
      </c>
      <c r="H17" s="14" t="s">
        <v>90</v>
      </c>
    </row>
    <row r="18" customFormat="false" ht="15" hidden="false" customHeight="false" outlineLevel="0" collapsed="false">
      <c r="A18" s="15" t="s">
        <v>91</v>
      </c>
      <c r="B18" s="10" t="n">
        <v>0.13</v>
      </c>
      <c r="C18" s="10" t="n">
        <v>0.18</v>
      </c>
      <c r="D18" s="10" t="n">
        <v>0.13</v>
      </c>
      <c r="E18" s="10" t="n">
        <v>0.21</v>
      </c>
      <c r="F18" s="10" t="n">
        <v>0.19</v>
      </c>
      <c r="G18" s="10" t="n">
        <v>0.199</v>
      </c>
      <c r="H18" s="14" t="s">
        <v>92</v>
      </c>
    </row>
    <row r="19" customFormat="false" ht="15" hidden="false" customHeight="false" outlineLevel="0" collapsed="false">
      <c r="A19" s="8" t="s">
        <v>93</v>
      </c>
      <c r="B19" s="10" t="n">
        <v>0.13</v>
      </c>
      <c r="C19" s="10" t="n">
        <v>0.18</v>
      </c>
      <c r="D19" s="10" t="n">
        <v>0.13</v>
      </c>
      <c r="E19" s="10" t="n">
        <v>0.21</v>
      </c>
      <c r="F19" s="10" t="n">
        <v>0.19</v>
      </c>
      <c r="G19" s="10" t="n">
        <v>0.18</v>
      </c>
      <c r="H19" s="14" t="s">
        <v>88</v>
      </c>
    </row>
    <row r="20" customFormat="false" ht="15" hidden="false" customHeight="false" outlineLevel="0" collapsed="false">
      <c r="A20" s="15" t="s">
        <v>94</v>
      </c>
      <c r="B20" s="10" t="n">
        <v>0.13</v>
      </c>
      <c r="C20" s="10" t="n">
        <v>0.18</v>
      </c>
      <c r="D20" s="10" t="n">
        <v>0.13</v>
      </c>
      <c r="E20" s="10" t="n">
        <v>0.21</v>
      </c>
      <c r="F20" s="10" t="n">
        <v>0.19</v>
      </c>
      <c r="G20" s="10" t="n">
        <v>0.18</v>
      </c>
      <c r="H20" s="14" t="s">
        <v>90</v>
      </c>
    </row>
    <row r="21" customFormat="false" ht="15" hidden="false" customHeight="false" outlineLevel="0" collapsed="false">
      <c r="A21" s="8" t="s">
        <v>95</v>
      </c>
      <c r="B21" s="10" t="n">
        <v>0.13</v>
      </c>
      <c r="C21" s="10" t="n">
        <v>0.18</v>
      </c>
      <c r="D21" s="10" t="n">
        <v>0.13</v>
      </c>
      <c r="E21" s="10" t="n">
        <v>0.21</v>
      </c>
      <c r="F21" s="10" t="n">
        <v>0.19</v>
      </c>
      <c r="G21" s="10" t="n">
        <v>0.18</v>
      </c>
      <c r="H21" s="14" t="s">
        <v>96</v>
      </c>
    </row>
    <row r="22" customFormat="false" ht="15" hidden="false" customHeight="false" outlineLevel="0" collapsed="false">
      <c r="A22" s="15" t="s">
        <v>97</v>
      </c>
      <c r="B22" s="10" t="n">
        <v>0.13</v>
      </c>
      <c r="C22" s="10" t="n">
        <v>0.18</v>
      </c>
      <c r="D22" s="10" t="n">
        <v>0.13</v>
      </c>
      <c r="E22" s="10" t="n">
        <v>0.21</v>
      </c>
      <c r="F22" s="10" t="n">
        <v>0.19</v>
      </c>
      <c r="G22" s="10" t="n">
        <v>0.18</v>
      </c>
      <c r="H22" s="14" t="s">
        <v>98</v>
      </c>
    </row>
  </sheetData>
  <mergeCells count="9">
    <mergeCell ref="A1:H1"/>
    <mergeCell ref="F3:H3"/>
    <mergeCell ref="F4:H4"/>
    <mergeCell ref="F5:H5"/>
    <mergeCell ref="F6:H6"/>
    <mergeCell ref="F7:H7"/>
    <mergeCell ref="F8:H8"/>
    <mergeCell ref="F9:H9"/>
    <mergeCell ref="A11:H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G3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2"/>
    <col collapsed="false" customWidth="true" hidden="false" outlineLevel="0" max="3" min="3" style="0" width="26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40"/>
  </cols>
  <sheetData>
    <row r="1" customFormat="false" ht="24" hidden="false" customHeight="true" outlineLevel="0" collapsed="false">
      <c r="A1" s="16" t="s">
        <v>99</v>
      </c>
      <c r="B1" s="16"/>
      <c r="C1" s="16"/>
      <c r="D1" s="16"/>
      <c r="E1" s="16"/>
      <c r="F1" s="16"/>
      <c r="G1" s="16"/>
    </row>
    <row r="2" customFormat="false" ht="15" hidden="false" customHeight="false" outlineLevel="0" collapsed="false">
      <c r="A2" s="6" t="s">
        <v>100</v>
      </c>
    </row>
    <row r="3" customFormat="false" ht="39.75" hidden="false" customHeight="true" outlineLevel="0" collapsed="false">
      <c r="A3" s="7" t="s">
        <v>101</v>
      </c>
      <c r="B3" s="7" t="s">
        <v>102</v>
      </c>
      <c r="C3" s="7" t="s">
        <v>103</v>
      </c>
      <c r="D3" s="7" t="s">
        <v>104</v>
      </c>
      <c r="E3" s="7" t="s">
        <v>105</v>
      </c>
      <c r="F3" s="7" t="s">
        <v>106</v>
      </c>
      <c r="G3" s="7" t="s">
        <v>71</v>
      </c>
    </row>
    <row r="4" customFormat="false" ht="15" hidden="false" customHeight="false" outlineLevel="0" collapsed="false">
      <c r="A4" s="17" t="s">
        <v>107</v>
      </c>
      <c r="B4" s="17" t="s">
        <v>108</v>
      </c>
      <c r="C4" s="17" t="s">
        <v>85</v>
      </c>
      <c r="D4" s="11" t="n">
        <v>39.8</v>
      </c>
      <c r="E4" s="18"/>
      <c r="F4" s="17"/>
      <c r="G4" s="19"/>
    </row>
    <row r="5" customFormat="false" ht="15" hidden="false" customHeight="false" outlineLevel="0" collapsed="false">
      <c r="A5" s="20" t="s">
        <v>109</v>
      </c>
      <c r="B5" s="20" t="s">
        <v>110</v>
      </c>
      <c r="C5" s="20" t="s">
        <v>85</v>
      </c>
      <c r="D5" s="11" t="n">
        <v>49.15</v>
      </c>
      <c r="E5" s="18"/>
      <c r="F5" s="20"/>
      <c r="G5" s="21"/>
    </row>
    <row r="6" customFormat="false" ht="15" hidden="false" customHeight="false" outlineLevel="0" collapsed="false">
      <c r="A6" s="17" t="s">
        <v>111</v>
      </c>
      <c r="B6" s="17" t="s">
        <v>112</v>
      </c>
      <c r="C6" s="17" t="s">
        <v>85</v>
      </c>
      <c r="D6" s="11" t="n">
        <v>51.82</v>
      </c>
      <c r="E6" s="18"/>
      <c r="F6" s="17"/>
      <c r="G6" s="19"/>
    </row>
    <row r="7" customFormat="false" ht="15" hidden="false" customHeight="false" outlineLevel="0" collapsed="false">
      <c r="A7" s="20" t="s">
        <v>113</v>
      </c>
      <c r="B7" s="20" t="s">
        <v>114</v>
      </c>
      <c r="C7" s="20" t="s">
        <v>85</v>
      </c>
      <c r="D7" s="11" t="n">
        <v>55.49</v>
      </c>
      <c r="E7" s="18"/>
      <c r="F7" s="20"/>
      <c r="G7" s="21"/>
    </row>
    <row r="8" customFormat="false" ht="15" hidden="false" customHeight="false" outlineLevel="0" collapsed="false">
      <c r="A8" s="17" t="s">
        <v>115</v>
      </c>
      <c r="B8" s="17" t="s">
        <v>116</v>
      </c>
      <c r="C8" s="17" t="s">
        <v>85</v>
      </c>
      <c r="D8" s="11" t="n">
        <v>62.2</v>
      </c>
      <c r="E8" s="18"/>
      <c r="F8" s="17"/>
      <c r="G8" s="19"/>
    </row>
    <row r="9" customFormat="false" ht="15" hidden="false" customHeight="false" outlineLevel="0" collapsed="false">
      <c r="A9" s="20" t="s">
        <v>117</v>
      </c>
      <c r="B9" s="20" t="s">
        <v>118</v>
      </c>
      <c r="C9" s="20" t="s">
        <v>85</v>
      </c>
      <c r="D9" s="11" t="n">
        <v>69.93</v>
      </c>
      <c r="E9" s="18"/>
      <c r="F9" s="20"/>
      <c r="G9" s="21"/>
    </row>
    <row r="10" customFormat="false" ht="15" hidden="false" customHeight="false" outlineLevel="0" collapsed="false">
      <c r="A10" s="17" t="s">
        <v>119</v>
      </c>
      <c r="B10" s="17" t="s">
        <v>120</v>
      </c>
      <c r="C10" s="17" t="s">
        <v>85</v>
      </c>
      <c r="D10" s="11" t="n">
        <v>85.92</v>
      </c>
      <c r="E10" s="18"/>
      <c r="F10" s="17"/>
      <c r="G10" s="19"/>
    </row>
    <row r="11" customFormat="false" ht="15" hidden="false" customHeight="false" outlineLevel="0" collapsed="false">
      <c r="A11" s="20" t="s">
        <v>121</v>
      </c>
      <c r="B11" s="20" t="s">
        <v>122</v>
      </c>
      <c r="C11" s="20" t="s">
        <v>85</v>
      </c>
      <c r="D11" s="11" t="n">
        <v>116.34</v>
      </c>
      <c r="E11" s="18"/>
      <c r="F11" s="20"/>
      <c r="G11" s="21"/>
    </row>
    <row r="12" customFormat="false" ht="15" hidden="false" customHeight="false" outlineLevel="0" collapsed="false">
      <c r="A12" s="17" t="s">
        <v>123</v>
      </c>
      <c r="B12" s="17" t="s">
        <v>124</v>
      </c>
      <c r="C12" s="17" t="s">
        <v>85</v>
      </c>
      <c r="D12" s="11" t="n">
        <v>117.84</v>
      </c>
      <c r="E12" s="18"/>
      <c r="F12" s="17"/>
      <c r="G12" s="19"/>
    </row>
    <row r="13" customFormat="false" ht="15" hidden="false" customHeight="false" outlineLevel="0" collapsed="false">
      <c r="A13" s="20" t="s">
        <v>125</v>
      </c>
      <c r="B13" s="20" t="s">
        <v>126</v>
      </c>
      <c r="C13" s="20" t="s">
        <v>85</v>
      </c>
      <c r="D13" s="11" t="n">
        <v>186.46</v>
      </c>
      <c r="E13" s="18"/>
      <c r="F13" s="20"/>
      <c r="G13" s="21"/>
    </row>
    <row r="14" customFormat="false" ht="15" hidden="false" customHeight="false" outlineLevel="0" collapsed="false">
      <c r="A14" s="17" t="s">
        <v>127</v>
      </c>
      <c r="B14" s="17" t="s">
        <v>128</v>
      </c>
      <c r="C14" s="17" t="s">
        <v>85</v>
      </c>
      <c r="D14" s="11" t="n">
        <v>116.77</v>
      </c>
      <c r="E14" s="18"/>
      <c r="F14" s="17"/>
      <c r="G14" s="19"/>
    </row>
    <row r="15" customFormat="false" ht="15" hidden="false" customHeight="false" outlineLevel="0" collapsed="false">
      <c r="A15" s="20" t="s">
        <v>129</v>
      </c>
      <c r="B15" s="20" t="s">
        <v>130</v>
      </c>
      <c r="C15" s="20" t="s">
        <v>85</v>
      </c>
      <c r="D15" s="11" t="n">
        <v>159.84</v>
      </c>
      <c r="E15" s="18"/>
      <c r="F15" s="20"/>
      <c r="G15" s="21"/>
    </row>
    <row r="16" customFormat="false" ht="15" hidden="false" customHeight="false" outlineLevel="0" collapsed="false">
      <c r="A16" s="17" t="s">
        <v>131</v>
      </c>
      <c r="B16" s="17" t="s">
        <v>132</v>
      </c>
      <c r="C16" s="17" t="s">
        <v>85</v>
      </c>
      <c r="D16" s="11" t="n">
        <v>164.99</v>
      </c>
      <c r="E16" s="18"/>
      <c r="F16" s="17"/>
      <c r="G16" s="19"/>
    </row>
    <row r="17" customFormat="false" ht="15" hidden="false" customHeight="false" outlineLevel="0" collapsed="false">
      <c r="A17" s="20" t="s">
        <v>133</v>
      </c>
      <c r="B17" s="20" t="s">
        <v>134</v>
      </c>
      <c r="C17" s="20" t="s">
        <v>85</v>
      </c>
      <c r="D17" s="11" t="n">
        <v>210.17</v>
      </c>
      <c r="E17" s="18"/>
      <c r="F17" s="20"/>
      <c r="G17" s="21"/>
    </row>
    <row r="18" customFormat="false" ht="15" hidden="false" customHeight="false" outlineLevel="0" collapsed="false">
      <c r="A18" s="17" t="s">
        <v>135</v>
      </c>
      <c r="B18" s="17" t="s">
        <v>136</v>
      </c>
      <c r="C18" s="17" t="s">
        <v>85</v>
      </c>
      <c r="D18" s="11" t="n">
        <v>266.36</v>
      </c>
      <c r="E18" s="18"/>
      <c r="F18" s="17"/>
      <c r="G18" s="19"/>
    </row>
    <row r="19" customFormat="false" ht="15" hidden="false" customHeight="false" outlineLevel="0" collapsed="false">
      <c r="A19" s="20" t="s">
        <v>137</v>
      </c>
      <c r="B19" s="20" t="s">
        <v>138</v>
      </c>
      <c r="C19" s="20" t="s">
        <v>85</v>
      </c>
      <c r="D19" s="11" t="n">
        <v>221.01</v>
      </c>
      <c r="E19" s="18"/>
      <c r="F19" s="20"/>
      <c r="G19" s="21"/>
    </row>
    <row r="20" customFormat="false" ht="15" hidden="false" customHeight="false" outlineLevel="0" collapsed="false">
      <c r="A20" s="17" t="s">
        <v>139</v>
      </c>
      <c r="B20" s="17" t="s">
        <v>140</v>
      </c>
      <c r="C20" s="17" t="s">
        <v>85</v>
      </c>
      <c r="D20" s="11" t="n">
        <v>257.51</v>
      </c>
      <c r="E20" s="18"/>
      <c r="F20" s="17"/>
      <c r="G20" s="19"/>
    </row>
    <row r="21" customFormat="false" ht="15" hidden="false" customHeight="false" outlineLevel="0" collapsed="false">
      <c r="A21" s="20" t="s">
        <v>141</v>
      </c>
      <c r="B21" s="20" t="s">
        <v>142</v>
      </c>
      <c r="C21" s="20" t="s">
        <v>85</v>
      </c>
      <c r="D21" s="11" t="n">
        <v>262.59</v>
      </c>
      <c r="E21" s="18"/>
      <c r="F21" s="20"/>
      <c r="G21" s="21"/>
    </row>
    <row r="22" customFormat="false" ht="15" hidden="false" customHeight="false" outlineLevel="0" collapsed="false">
      <c r="A22" s="17" t="s">
        <v>143</v>
      </c>
      <c r="B22" s="17" t="s">
        <v>144</v>
      </c>
      <c r="C22" s="17" t="s">
        <v>85</v>
      </c>
      <c r="D22" s="11" t="n">
        <v>322.16</v>
      </c>
      <c r="E22" s="18"/>
      <c r="F22" s="17"/>
      <c r="G22" s="19"/>
    </row>
    <row r="23" customFormat="false" ht="15" hidden="false" customHeight="false" outlineLevel="0" collapsed="false">
      <c r="A23" s="20" t="s">
        <v>145</v>
      </c>
      <c r="B23" s="20" t="s">
        <v>146</v>
      </c>
      <c r="C23" s="20" t="s">
        <v>85</v>
      </c>
      <c r="D23" s="11" t="n">
        <v>336.34</v>
      </c>
      <c r="E23" s="18"/>
      <c r="F23" s="20"/>
      <c r="G23" s="21"/>
    </row>
    <row r="24" customFormat="false" ht="15" hidden="false" customHeight="false" outlineLevel="0" collapsed="false">
      <c r="A24" s="17" t="s">
        <v>147</v>
      </c>
      <c r="B24" s="17" t="s">
        <v>148</v>
      </c>
      <c r="C24" s="17" t="s">
        <v>85</v>
      </c>
      <c r="D24" s="11" t="n">
        <v>378.85</v>
      </c>
      <c r="E24" s="18"/>
      <c r="F24" s="17"/>
      <c r="G24" s="19"/>
    </row>
    <row r="25" customFormat="false" ht="15" hidden="false" customHeight="false" outlineLevel="0" collapsed="false">
      <c r="A25" s="20" t="s">
        <v>149</v>
      </c>
      <c r="B25" s="20" t="s">
        <v>150</v>
      </c>
      <c r="C25" s="20" t="s">
        <v>85</v>
      </c>
      <c r="D25" s="11" t="n">
        <v>48.18</v>
      </c>
      <c r="E25" s="18"/>
      <c r="F25" s="20"/>
      <c r="G25" s="21"/>
    </row>
    <row r="26" customFormat="false" ht="15" hidden="false" customHeight="false" outlineLevel="0" collapsed="false">
      <c r="A26" s="17" t="s">
        <v>151</v>
      </c>
      <c r="B26" s="17" t="s">
        <v>152</v>
      </c>
      <c r="C26" s="17" t="s">
        <v>85</v>
      </c>
      <c r="D26" s="11" t="n">
        <v>55.75</v>
      </c>
      <c r="E26" s="18"/>
      <c r="F26" s="17"/>
      <c r="G26" s="19"/>
    </row>
    <row r="27" customFormat="false" ht="15" hidden="false" customHeight="false" outlineLevel="0" collapsed="false">
      <c r="A27" s="20" t="s">
        <v>153</v>
      </c>
      <c r="B27" s="20" t="s">
        <v>154</v>
      </c>
      <c r="C27" s="20" t="s">
        <v>85</v>
      </c>
      <c r="D27" s="11" t="n">
        <v>60.21</v>
      </c>
      <c r="E27" s="18"/>
      <c r="F27" s="20"/>
      <c r="G27" s="21"/>
    </row>
    <row r="28" customFormat="false" ht="15" hidden="false" customHeight="false" outlineLevel="0" collapsed="false">
      <c r="A28" s="17" t="s">
        <v>155</v>
      </c>
      <c r="B28" s="17" t="s">
        <v>156</v>
      </c>
      <c r="C28" s="17" t="s">
        <v>85</v>
      </c>
      <c r="D28" s="11" t="n">
        <v>68.57</v>
      </c>
      <c r="E28" s="18"/>
      <c r="F28" s="17"/>
      <c r="G28" s="19"/>
    </row>
    <row r="29" customFormat="false" ht="15" hidden="false" customHeight="false" outlineLevel="0" collapsed="false">
      <c r="A29" s="20" t="s">
        <v>157</v>
      </c>
      <c r="B29" s="20" t="s">
        <v>158</v>
      </c>
      <c r="C29" s="20" t="s">
        <v>85</v>
      </c>
      <c r="D29" s="11" t="n">
        <v>79.66</v>
      </c>
      <c r="E29" s="18"/>
      <c r="F29" s="20"/>
      <c r="G29" s="21"/>
    </row>
    <row r="30" customFormat="false" ht="15" hidden="false" customHeight="false" outlineLevel="0" collapsed="false">
      <c r="A30" s="17" t="s">
        <v>159</v>
      </c>
      <c r="B30" s="17" t="s">
        <v>160</v>
      </c>
      <c r="C30" s="17" t="s">
        <v>85</v>
      </c>
      <c r="D30" s="11" t="n">
        <v>91.16</v>
      </c>
      <c r="E30" s="18"/>
      <c r="F30" s="17"/>
      <c r="G30" s="19"/>
    </row>
    <row r="31" customFormat="false" ht="15" hidden="false" customHeight="false" outlineLevel="0" collapsed="false">
      <c r="A31" s="20" t="s">
        <v>161</v>
      </c>
      <c r="B31" s="20" t="s">
        <v>162</v>
      </c>
      <c r="C31" s="20" t="s">
        <v>85</v>
      </c>
      <c r="D31" s="11" t="n">
        <v>102.19</v>
      </c>
      <c r="E31" s="18"/>
      <c r="F31" s="20"/>
      <c r="G31" s="21"/>
    </row>
    <row r="32" customFormat="false" ht="15" hidden="false" customHeight="false" outlineLevel="0" collapsed="false">
      <c r="A32" s="17" t="s">
        <v>163</v>
      </c>
      <c r="B32" s="17" t="s">
        <v>164</v>
      </c>
      <c r="C32" s="17" t="s">
        <v>85</v>
      </c>
      <c r="D32" s="11" t="n">
        <v>132.03</v>
      </c>
      <c r="E32" s="18"/>
      <c r="F32" s="17"/>
      <c r="G32" s="19"/>
    </row>
    <row r="33" customFormat="false" ht="15" hidden="false" customHeight="false" outlineLevel="0" collapsed="false">
      <c r="A33" s="20" t="s">
        <v>165</v>
      </c>
      <c r="B33" s="20" t="s">
        <v>166</v>
      </c>
      <c r="C33" s="20" t="s">
        <v>85</v>
      </c>
      <c r="D33" s="11" t="n">
        <v>136.09</v>
      </c>
      <c r="E33" s="18"/>
      <c r="F33" s="20"/>
      <c r="G33" s="21"/>
    </row>
    <row r="34" customFormat="false" ht="15" hidden="false" customHeight="false" outlineLevel="0" collapsed="false">
      <c r="A34" s="17" t="s">
        <v>167</v>
      </c>
      <c r="B34" s="17" t="s">
        <v>168</v>
      </c>
      <c r="C34" s="17" t="s">
        <v>85</v>
      </c>
      <c r="D34" s="11" t="n">
        <v>203.27</v>
      </c>
      <c r="E34" s="18"/>
      <c r="F34" s="17"/>
      <c r="G34" s="19"/>
    </row>
    <row r="35" customFormat="false" ht="15" hidden="false" customHeight="false" outlineLevel="0" collapsed="false">
      <c r="A35" s="20" t="s">
        <v>169</v>
      </c>
      <c r="B35" s="20" t="s">
        <v>170</v>
      </c>
      <c r="C35" s="20" t="s">
        <v>85</v>
      </c>
      <c r="D35" s="11" t="n">
        <v>151.33</v>
      </c>
      <c r="E35" s="18"/>
      <c r="F35" s="20"/>
      <c r="G35" s="21"/>
    </row>
    <row r="36" customFormat="false" ht="15" hidden="false" customHeight="false" outlineLevel="0" collapsed="false">
      <c r="A36" s="17" t="s">
        <v>171</v>
      </c>
      <c r="B36" s="17" t="s">
        <v>172</v>
      </c>
      <c r="C36" s="17" t="s">
        <v>85</v>
      </c>
      <c r="D36" s="11" t="n">
        <v>189.66</v>
      </c>
      <c r="E36" s="18"/>
      <c r="F36" s="17"/>
      <c r="G36" s="19"/>
    </row>
    <row r="37" customFormat="false" ht="15" hidden="false" customHeight="false" outlineLevel="0" collapsed="false">
      <c r="A37" s="20" t="s">
        <v>173</v>
      </c>
      <c r="B37" s="20" t="s">
        <v>174</v>
      </c>
      <c r="C37" s="20" t="s">
        <v>85</v>
      </c>
      <c r="D37" s="11" t="n">
        <v>205.57</v>
      </c>
      <c r="E37" s="18"/>
      <c r="F37" s="20"/>
      <c r="G37" s="21"/>
    </row>
    <row r="38" customFormat="false" ht="15" hidden="false" customHeight="false" outlineLevel="0" collapsed="false">
      <c r="A38" s="17" t="s">
        <v>175</v>
      </c>
      <c r="B38" s="17" t="s">
        <v>176</v>
      </c>
      <c r="C38" s="17" t="s">
        <v>85</v>
      </c>
      <c r="D38" s="11" t="n">
        <v>258.22</v>
      </c>
      <c r="E38" s="18"/>
      <c r="F38" s="17"/>
      <c r="G38" s="19"/>
    </row>
    <row r="39" customFormat="false" ht="15" hidden="false" customHeight="false" outlineLevel="0" collapsed="false">
      <c r="A39" s="20" t="s">
        <v>177</v>
      </c>
      <c r="B39" s="20" t="s">
        <v>178</v>
      </c>
      <c r="C39" s="20" t="s">
        <v>85</v>
      </c>
      <c r="D39" s="11" t="n">
        <v>321.8</v>
      </c>
      <c r="E39" s="18"/>
      <c r="F39" s="20"/>
      <c r="G39" s="21"/>
    </row>
    <row r="40" customFormat="false" ht="15" hidden="false" customHeight="false" outlineLevel="0" collapsed="false">
      <c r="A40" s="17" t="s">
        <v>179</v>
      </c>
      <c r="B40" s="17" t="s">
        <v>180</v>
      </c>
      <c r="C40" s="17" t="s">
        <v>85</v>
      </c>
      <c r="D40" s="11" t="n">
        <v>292.43</v>
      </c>
      <c r="E40" s="18"/>
      <c r="F40" s="17"/>
      <c r="G40" s="19"/>
    </row>
    <row r="41" customFormat="false" ht="15" hidden="false" customHeight="false" outlineLevel="0" collapsed="false">
      <c r="A41" s="20" t="s">
        <v>181</v>
      </c>
      <c r="B41" s="20" t="s">
        <v>182</v>
      </c>
      <c r="C41" s="20" t="s">
        <v>85</v>
      </c>
      <c r="D41" s="11" t="n">
        <v>329.38</v>
      </c>
      <c r="E41" s="18"/>
      <c r="F41" s="20"/>
      <c r="G41" s="21"/>
    </row>
    <row r="42" customFormat="false" ht="15" hidden="false" customHeight="false" outlineLevel="0" collapsed="false">
      <c r="A42" s="17" t="s">
        <v>183</v>
      </c>
      <c r="B42" s="17" t="s">
        <v>184</v>
      </c>
      <c r="C42" s="17" t="s">
        <v>85</v>
      </c>
      <c r="D42" s="11" t="n">
        <v>331.22</v>
      </c>
      <c r="E42" s="18"/>
      <c r="F42" s="17"/>
      <c r="G42" s="19"/>
    </row>
    <row r="43" customFormat="false" ht="15" hidden="false" customHeight="false" outlineLevel="0" collapsed="false">
      <c r="A43" s="20" t="s">
        <v>185</v>
      </c>
      <c r="B43" s="20" t="s">
        <v>186</v>
      </c>
      <c r="C43" s="20" t="s">
        <v>85</v>
      </c>
      <c r="D43" s="11" t="n">
        <v>392.8</v>
      </c>
      <c r="E43" s="18"/>
      <c r="F43" s="20"/>
      <c r="G43" s="21"/>
    </row>
    <row r="44" customFormat="false" ht="15" hidden="false" customHeight="false" outlineLevel="0" collapsed="false">
      <c r="A44" s="17" t="s">
        <v>187</v>
      </c>
      <c r="B44" s="17" t="s">
        <v>188</v>
      </c>
      <c r="C44" s="17" t="s">
        <v>85</v>
      </c>
      <c r="D44" s="11" t="n">
        <v>400.17</v>
      </c>
      <c r="E44" s="18"/>
      <c r="F44" s="17"/>
      <c r="G44" s="19"/>
    </row>
    <row r="45" customFormat="false" ht="15" hidden="false" customHeight="false" outlineLevel="0" collapsed="false">
      <c r="A45" s="20" t="s">
        <v>189</v>
      </c>
      <c r="B45" s="20" t="s">
        <v>190</v>
      </c>
      <c r="C45" s="20" t="s">
        <v>85</v>
      </c>
      <c r="D45" s="11" t="n">
        <v>405.39</v>
      </c>
      <c r="E45" s="18"/>
      <c r="F45" s="20"/>
      <c r="G45" s="21"/>
    </row>
    <row r="46" customFormat="false" ht="15" hidden="false" customHeight="false" outlineLevel="0" collapsed="false">
      <c r="A46" s="17" t="s">
        <v>191</v>
      </c>
      <c r="B46" s="17" t="s">
        <v>192</v>
      </c>
      <c r="C46" s="17" t="s">
        <v>85</v>
      </c>
      <c r="D46" s="11" t="n">
        <v>566.56</v>
      </c>
      <c r="E46" s="18"/>
      <c r="F46" s="17"/>
      <c r="G46" s="19"/>
    </row>
    <row r="47" customFormat="false" ht="15" hidden="false" customHeight="false" outlineLevel="0" collapsed="false">
      <c r="A47" s="20" t="s">
        <v>193</v>
      </c>
      <c r="B47" s="20" t="s">
        <v>194</v>
      </c>
      <c r="C47" s="20" t="s">
        <v>85</v>
      </c>
      <c r="D47" s="11" t="n">
        <v>762.87</v>
      </c>
      <c r="E47" s="18"/>
      <c r="F47" s="20"/>
      <c r="G47" s="21"/>
    </row>
    <row r="48" customFormat="false" ht="15" hidden="false" customHeight="false" outlineLevel="0" collapsed="false">
      <c r="A48" s="17" t="s">
        <v>195</v>
      </c>
      <c r="B48" s="17" t="s">
        <v>196</v>
      </c>
      <c r="C48" s="17" t="s">
        <v>85</v>
      </c>
      <c r="D48" s="11" t="n">
        <v>86.87</v>
      </c>
      <c r="E48" s="18"/>
      <c r="F48" s="17"/>
      <c r="G48" s="19"/>
    </row>
    <row r="49" customFormat="false" ht="15" hidden="false" customHeight="false" outlineLevel="0" collapsed="false">
      <c r="A49" s="20" t="s">
        <v>197</v>
      </c>
      <c r="B49" s="20" t="s">
        <v>198</v>
      </c>
      <c r="C49" s="20" t="s">
        <v>85</v>
      </c>
      <c r="D49" s="11" t="n">
        <v>96.11</v>
      </c>
      <c r="E49" s="18"/>
      <c r="F49" s="20"/>
      <c r="G49" s="21"/>
    </row>
    <row r="50" customFormat="false" ht="15" hidden="false" customHeight="false" outlineLevel="0" collapsed="false">
      <c r="A50" s="17" t="s">
        <v>199</v>
      </c>
      <c r="B50" s="17" t="s">
        <v>200</v>
      </c>
      <c r="C50" s="17" t="s">
        <v>85</v>
      </c>
      <c r="D50" s="11" t="n">
        <v>113.2</v>
      </c>
      <c r="E50" s="18"/>
      <c r="F50" s="17"/>
      <c r="G50" s="19"/>
    </row>
    <row r="51" customFormat="false" ht="15" hidden="false" customHeight="false" outlineLevel="0" collapsed="false">
      <c r="A51" s="20" t="s">
        <v>201</v>
      </c>
      <c r="B51" s="20" t="s">
        <v>202</v>
      </c>
      <c r="C51" s="20" t="s">
        <v>85</v>
      </c>
      <c r="D51" s="11" t="n">
        <v>139.49</v>
      </c>
      <c r="E51" s="18"/>
      <c r="F51" s="20"/>
      <c r="G51" s="21"/>
    </row>
    <row r="52" customFormat="false" ht="15" hidden="false" customHeight="false" outlineLevel="0" collapsed="false">
      <c r="A52" s="17" t="s">
        <v>203</v>
      </c>
      <c r="B52" s="17" t="s">
        <v>204</v>
      </c>
      <c r="C52" s="17" t="s">
        <v>85</v>
      </c>
      <c r="D52" s="11" t="n">
        <v>140.97</v>
      </c>
      <c r="E52" s="18"/>
      <c r="F52" s="17"/>
      <c r="G52" s="19"/>
    </row>
    <row r="53" customFormat="false" ht="15" hidden="false" customHeight="false" outlineLevel="0" collapsed="false">
      <c r="A53" s="20" t="s">
        <v>205</v>
      </c>
      <c r="B53" s="20" t="s">
        <v>206</v>
      </c>
      <c r="C53" s="20" t="s">
        <v>85</v>
      </c>
      <c r="D53" s="11" t="n">
        <v>208.28</v>
      </c>
      <c r="E53" s="18"/>
      <c r="F53" s="20"/>
      <c r="G53" s="21"/>
    </row>
    <row r="54" customFormat="false" ht="15" hidden="false" customHeight="false" outlineLevel="0" collapsed="false">
      <c r="A54" s="17" t="s">
        <v>207</v>
      </c>
      <c r="B54" s="17" t="s">
        <v>208</v>
      </c>
      <c r="C54" s="17" t="s">
        <v>85</v>
      </c>
      <c r="D54" s="11" t="n">
        <v>161.26</v>
      </c>
      <c r="E54" s="18"/>
      <c r="F54" s="17"/>
      <c r="G54" s="19"/>
    </row>
    <row r="55" customFormat="false" ht="15" hidden="false" customHeight="false" outlineLevel="0" collapsed="false">
      <c r="A55" s="20" t="s">
        <v>209</v>
      </c>
      <c r="B55" s="20" t="s">
        <v>210</v>
      </c>
      <c r="C55" s="20" t="s">
        <v>85</v>
      </c>
      <c r="D55" s="11" t="n">
        <v>205.71</v>
      </c>
      <c r="E55" s="18"/>
      <c r="F55" s="20"/>
      <c r="G55" s="21"/>
    </row>
    <row r="56" customFormat="false" ht="15" hidden="false" customHeight="false" outlineLevel="0" collapsed="false">
      <c r="A56" s="17" t="s">
        <v>211</v>
      </c>
      <c r="B56" s="17" t="s">
        <v>212</v>
      </c>
      <c r="C56" s="17" t="s">
        <v>85</v>
      </c>
      <c r="D56" s="11" t="n">
        <v>235.28</v>
      </c>
      <c r="E56" s="18"/>
      <c r="F56" s="17"/>
      <c r="G56" s="19"/>
    </row>
    <row r="57" customFormat="false" ht="15" hidden="false" customHeight="false" outlineLevel="0" collapsed="false">
      <c r="A57" s="20" t="s">
        <v>213</v>
      </c>
      <c r="B57" s="20" t="s">
        <v>214</v>
      </c>
      <c r="C57" s="20" t="s">
        <v>85</v>
      </c>
      <c r="D57" s="11" t="n">
        <v>269.82</v>
      </c>
      <c r="E57" s="18"/>
      <c r="F57" s="20"/>
      <c r="G57" s="21"/>
    </row>
    <row r="58" customFormat="false" ht="15" hidden="false" customHeight="false" outlineLevel="0" collapsed="false">
      <c r="A58" s="17" t="s">
        <v>215</v>
      </c>
      <c r="B58" s="17" t="s">
        <v>216</v>
      </c>
      <c r="C58" s="17" t="s">
        <v>85</v>
      </c>
      <c r="D58" s="11" t="n">
        <v>360.65</v>
      </c>
      <c r="E58" s="18"/>
      <c r="F58" s="17"/>
      <c r="G58" s="19"/>
    </row>
    <row r="59" customFormat="false" ht="15" hidden="false" customHeight="false" outlineLevel="0" collapsed="false">
      <c r="A59" s="20" t="s">
        <v>217</v>
      </c>
      <c r="B59" s="20" t="s">
        <v>218</v>
      </c>
      <c r="C59" s="20" t="s">
        <v>85</v>
      </c>
      <c r="D59" s="11" t="n">
        <v>305.35</v>
      </c>
      <c r="E59" s="18"/>
      <c r="F59" s="20"/>
      <c r="G59" s="21"/>
    </row>
    <row r="60" customFormat="false" ht="15" hidden="false" customHeight="false" outlineLevel="0" collapsed="false">
      <c r="A60" s="17" t="s">
        <v>219</v>
      </c>
      <c r="B60" s="17" t="s">
        <v>220</v>
      </c>
      <c r="C60" s="17" t="s">
        <v>85</v>
      </c>
      <c r="D60" s="11" t="n">
        <v>342.54</v>
      </c>
      <c r="E60" s="18"/>
      <c r="F60" s="17"/>
      <c r="G60" s="19"/>
    </row>
    <row r="61" customFormat="false" ht="15" hidden="false" customHeight="false" outlineLevel="0" collapsed="false">
      <c r="A61" s="20" t="s">
        <v>221</v>
      </c>
      <c r="B61" s="20" t="s">
        <v>222</v>
      </c>
      <c r="C61" s="20" t="s">
        <v>85</v>
      </c>
      <c r="D61" s="11" t="n">
        <v>348.66</v>
      </c>
      <c r="E61" s="18"/>
      <c r="F61" s="20"/>
      <c r="G61" s="21"/>
    </row>
    <row r="62" customFormat="false" ht="15" hidden="false" customHeight="false" outlineLevel="0" collapsed="false">
      <c r="A62" s="17" t="s">
        <v>223</v>
      </c>
      <c r="B62" s="17" t="s">
        <v>224</v>
      </c>
      <c r="C62" s="17" t="s">
        <v>85</v>
      </c>
      <c r="D62" s="11" t="n">
        <v>408.87</v>
      </c>
      <c r="E62" s="18"/>
      <c r="F62" s="17"/>
      <c r="G62" s="19"/>
    </row>
    <row r="63" customFormat="false" ht="15" hidden="false" customHeight="false" outlineLevel="0" collapsed="false">
      <c r="A63" s="20" t="s">
        <v>225</v>
      </c>
      <c r="B63" s="20" t="s">
        <v>226</v>
      </c>
      <c r="C63" s="20" t="s">
        <v>85</v>
      </c>
      <c r="D63" s="11" t="n">
        <v>411.4</v>
      </c>
      <c r="E63" s="18"/>
      <c r="F63" s="20"/>
      <c r="G63" s="21"/>
    </row>
    <row r="64" customFormat="false" ht="15" hidden="false" customHeight="false" outlineLevel="0" collapsed="false">
      <c r="A64" s="17" t="s">
        <v>227</v>
      </c>
      <c r="B64" s="17" t="s">
        <v>228</v>
      </c>
      <c r="C64" s="17" t="s">
        <v>85</v>
      </c>
      <c r="D64" s="11" t="n">
        <v>442.44</v>
      </c>
      <c r="E64" s="18"/>
      <c r="F64" s="17"/>
      <c r="G64" s="19"/>
    </row>
    <row r="65" customFormat="false" ht="15" hidden="false" customHeight="false" outlineLevel="0" collapsed="false">
      <c r="A65" s="20" t="s">
        <v>229</v>
      </c>
      <c r="B65" s="20" t="s">
        <v>230</v>
      </c>
      <c r="C65" s="20" t="s">
        <v>85</v>
      </c>
      <c r="D65" s="11" t="n">
        <v>60.62</v>
      </c>
      <c r="E65" s="18"/>
      <c r="F65" s="20"/>
      <c r="G65" s="21"/>
    </row>
    <row r="66" customFormat="false" ht="15" hidden="false" customHeight="false" outlineLevel="0" collapsed="false">
      <c r="A66" s="17" t="s">
        <v>231</v>
      </c>
      <c r="B66" s="17" t="s">
        <v>232</v>
      </c>
      <c r="C66" s="17" t="s">
        <v>85</v>
      </c>
      <c r="D66" s="11" t="n">
        <v>65.95</v>
      </c>
      <c r="E66" s="18"/>
      <c r="F66" s="17"/>
      <c r="G66" s="19"/>
    </row>
    <row r="67" customFormat="false" ht="15" hidden="false" customHeight="false" outlineLevel="0" collapsed="false">
      <c r="A67" s="20" t="s">
        <v>233</v>
      </c>
      <c r="B67" s="20" t="s">
        <v>234</v>
      </c>
      <c r="C67" s="20" t="s">
        <v>85</v>
      </c>
      <c r="D67" s="11" t="n">
        <v>69.52</v>
      </c>
      <c r="E67" s="18"/>
      <c r="F67" s="20"/>
      <c r="G67" s="21"/>
    </row>
    <row r="68" customFormat="false" ht="15" hidden="false" customHeight="false" outlineLevel="0" collapsed="false">
      <c r="A68" s="17" t="s">
        <v>235</v>
      </c>
      <c r="B68" s="17" t="s">
        <v>236</v>
      </c>
      <c r="C68" s="17" t="s">
        <v>85</v>
      </c>
      <c r="D68" s="11" t="n">
        <v>75.68</v>
      </c>
      <c r="E68" s="18"/>
      <c r="F68" s="17"/>
      <c r="G68" s="19"/>
    </row>
    <row r="69" customFormat="false" ht="15" hidden="false" customHeight="false" outlineLevel="0" collapsed="false">
      <c r="A69" s="20" t="s">
        <v>237</v>
      </c>
      <c r="B69" s="20" t="s">
        <v>238</v>
      </c>
      <c r="C69" s="20" t="s">
        <v>85</v>
      </c>
      <c r="D69" s="11" t="n">
        <v>94.18</v>
      </c>
      <c r="E69" s="18"/>
      <c r="F69" s="20"/>
      <c r="G69" s="21"/>
    </row>
    <row r="70" customFormat="false" ht="15" hidden="false" customHeight="false" outlineLevel="0" collapsed="false">
      <c r="A70" s="17" t="s">
        <v>239</v>
      </c>
      <c r="B70" s="17" t="s">
        <v>240</v>
      </c>
      <c r="C70" s="17" t="s">
        <v>85</v>
      </c>
      <c r="D70" s="11" t="n">
        <v>103.42</v>
      </c>
      <c r="E70" s="18"/>
      <c r="F70" s="17"/>
      <c r="G70" s="19"/>
    </row>
    <row r="71" customFormat="false" ht="15" hidden="false" customHeight="false" outlineLevel="0" collapsed="false">
      <c r="A71" s="20" t="s">
        <v>241</v>
      </c>
      <c r="B71" s="20" t="s">
        <v>242</v>
      </c>
      <c r="C71" s="20" t="s">
        <v>85</v>
      </c>
      <c r="D71" s="11" t="n">
        <v>120.51</v>
      </c>
      <c r="E71" s="18"/>
      <c r="F71" s="20"/>
      <c r="G71" s="21"/>
    </row>
    <row r="72" customFormat="false" ht="15" hidden="false" customHeight="false" outlineLevel="0" collapsed="false">
      <c r="A72" s="17" t="s">
        <v>243</v>
      </c>
      <c r="B72" s="17" t="s">
        <v>244</v>
      </c>
      <c r="C72" s="17" t="s">
        <v>85</v>
      </c>
      <c r="D72" s="11" t="n">
        <v>151.31</v>
      </c>
      <c r="E72" s="18"/>
      <c r="F72" s="17"/>
      <c r="G72" s="19"/>
    </row>
    <row r="73" customFormat="false" ht="15" hidden="false" customHeight="false" outlineLevel="0" collapsed="false">
      <c r="A73" s="20" t="s">
        <v>245</v>
      </c>
      <c r="B73" s="20" t="s">
        <v>246</v>
      </c>
      <c r="C73" s="20" t="s">
        <v>85</v>
      </c>
      <c r="D73" s="11" t="n">
        <v>152.83</v>
      </c>
      <c r="E73" s="18"/>
      <c r="F73" s="20"/>
      <c r="G73" s="21"/>
    </row>
    <row r="74" customFormat="false" ht="15" hidden="false" customHeight="false" outlineLevel="0" collapsed="false">
      <c r="A74" s="17" t="s">
        <v>247</v>
      </c>
      <c r="B74" s="17" t="s">
        <v>248</v>
      </c>
      <c r="C74" s="17" t="s">
        <v>85</v>
      </c>
      <c r="D74" s="11" t="n">
        <v>211.1</v>
      </c>
      <c r="E74" s="18"/>
      <c r="F74" s="17"/>
      <c r="G74" s="19"/>
    </row>
    <row r="75" customFormat="false" ht="15" hidden="false" customHeight="false" outlineLevel="0" collapsed="false">
      <c r="A75" s="20" t="s">
        <v>249</v>
      </c>
      <c r="B75" s="20" t="s">
        <v>250</v>
      </c>
      <c r="C75" s="20" t="s">
        <v>85</v>
      </c>
      <c r="D75" s="11" t="n">
        <v>172.54</v>
      </c>
      <c r="E75" s="18"/>
      <c r="F75" s="20"/>
      <c r="G75" s="21"/>
    </row>
    <row r="76" customFormat="false" ht="15" hidden="false" customHeight="false" outlineLevel="0" collapsed="false">
      <c r="A76" s="17" t="s">
        <v>251</v>
      </c>
      <c r="B76" s="17" t="s">
        <v>252</v>
      </c>
      <c r="C76" s="17" t="s">
        <v>85</v>
      </c>
      <c r="D76" s="11" t="n">
        <v>216.99</v>
      </c>
      <c r="E76" s="18"/>
      <c r="F76" s="17"/>
      <c r="G76" s="19"/>
    </row>
    <row r="77" customFormat="false" ht="15" hidden="false" customHeight="false" outlineLevel="0" collapsed="false">
      <c r="A77" s="20" t="s">
        <v>253</v>
      </c>
      <c r="B77" s="20" t="s">
        <v>254</v>
      </c>
      <c r="C77" s="20" t="s">
        <v>85</v>
      </c>
      <c r="D77" s="11" t="n">
        <v>222.41</v>
      </c>
      <c r="E77" s="18"/>
      <c r="F77" s="20"/>
      <c r="G77" s="21"/>
    </row>
    <row r="78" customFormat="false" ht="15" hidden="false" customHeight="false" outlineLevel="0" collapsed="false">
      <c r="A78" s="17" t="s">
        <v>255</v>
      </c>
      <c r="B78" s="17" t="s">
        <v>256</v>
      </c>
      <c r="C78" s="17" t="s">
        <v>85</v>
      </c>
      <c r="D78" s="11" t="n">
        <v>279.42</v>
      </c>
      <c r="E78" s="18"/>
      <c r="F78" s="17"/>
      <c r="G78" s="19"/>
    </row>
    <row r="79" customFormat="false" ht="15" hidden="false" customHeight="false" outlineLevel="0" collapsed="false">
      <c r="A79" s="20" t="s">
        <v>257</v>
      </c>
      <c r="B79" s="20" t="s">
        <v>258</v>
      </c>
      <c r="C79" s="20" t="s">
        <v>85</v>
      </c>
      <c r="D79" s="11" t="n">
        <v>341.01</v>
      </c>
      <c r="E79" s="18"/>
      <c r="F79" s="20"/>
      <c r="G79" s="21"/>
    </row>
    <row r="80" customFormat="false" ht="15" hidden="false" customHeight="false" outlineLevel="0" collapsed="false">
      <c r="A80" s="17" t="s">
        <v>259</v>
      </c>
      <c r="B80" s="17" t="s">
        <v>260</v>
      </c>
      <c r="C80" s="17" t="s">
        <v>85</v>
      </c>
      <c r="D80" s="11" t="n">
        <v>342.16</v>
      </c>
      <c r="E80" s="18"/>
      <c r="F80" s="17"/>
      <c r="G80" s="19"/>
    </row>
    <row r="81" customFormat="false" ht="15" hidden="false" customHeight="false" outlineLevel="0" collapsed="false">
      <c r="A81" s="20" t="s">
        <v>261</v>
      </c>
      <c r="B81" s="20" t="s">
        <v>262</v>
      </c>
      <c r="C81" s="20" t="s">
        <v>85</v>
      </c>
      <c r="D81" s="11" t="n">
        <v>364.77</v>
      </c>
      <c r="E81" s="18"/>
      <c r="F81" s="20"/>
      <c r="G81" s="21"/>
    </row>
    <row r="82" customFormat="false" ht="15" hidden="false" customHeight="false" outlineLevel="0" collapsed="false">
      <c r="A82" s="17" t="s">
        <v>263</v>
      </c>
      <c r="B82" s="17" t="s">
        <v>264</v>
      </c>
      <c r="C82" s="17" t="s">
        <v>85</v>
      </c>
      <c r="D82" s="11" t="n">
        <v>366.6</v>
      </c>
      <c r="E82" s="18"/>
      <c r="F82" s="17"/>
      <c r="G82" s="19"/>
    </row>
    <row r="83" customFormat="false" ht="15" hidden="false" customHeight="false" outlineLevel="0" collapsed="false">
      <c r="A83" s="20" t="s">
        <v>265</v>
      </c>
      <c r="B83" s="20" t="s">
        <v>266</v>
      </c>
      <c r="C83" s="20" t="s">
        <v>85</v>
      </c>
      <c r="D83" s="11" t="n">
        <v>428.19</v>
      </c>
      <c r="E83" s="18"/>
      <c r="F83" s="20"/>
      <c r="G83" s="21"/>
    </row>
    <row r="84" customFormat="false" ht="15" hidden="false" customHeight="false" outlineLevel="0" collapsed="false">
      <c r="A84" s="17" t="s">
        <v>267</v>
      </c>
      <c r="B84" s="17" t="s">
        <v>268</v>
      </c>
      <c r="C84" s="17" t="s">
        <v>85</v>
      </c>
      <c r="D84" s="11" t="n">
        <v>428.19</v>
      </c>
      <c r="E84" s="18"/>
      <c r="F84" s="17"/>
      <c r="G84" s="19"/>
    </row>
    <row r="85" customFormat="false" ht="15" hidden="false" customHeight="false" outlineLevel="0" collapsed="false">
      <c r="A85" s="20" t="s">
        <v>269</v>
      </c>
      <c r="B85" s="20" t="s">
        <v>270</v>
      </c>
      <c r="C85" s="20" t="s">
        <v>85</v>
      </c>
      <c r="D85" s="11" t="n">
        <v>468.32</v>
      </c>
      <c r="E85" s="18"/>
      <c r="F85" s="20"/>
      <c r="G85" s="21"/>
    </row>
    <row r="86" customFormat="false" ht="15" hidden="false" customHeight="false" outlineLevel="0" collapsed="false">
      <c r="A86" s="17" t="s">
        <v>271</v>
      </c>
      <c r="B86" s="17" t="s">
        <v>272</v>
      </c>
      <c r="C86" s="17" t="s">
        <v>86</v>
      </c>
      <c r="D86" s="11" t="n">
        <v>78.15</v>
      </c>
      <c r="E86" s="18"/>
      <c r="F86" s="17"/>
      <c r="G86" s="19"/>
    </row>
    <row r="87" customFormat="false" ht="15" hidden="false" customHeight="false" outlineLevel="0" collapsed="false">
      <c r="A87" s="20" t="s">
        <v>273</v>
      </c>
      <c r="B87" s="20" t="s">
        <v>274</v>
      </c>
      <c r="C87" s="20" t="s">
        <v>86</v>
      </c>
      <c r="D87" s="11" t="n">
        <v>81.62</v>
      </c>
      <c r="E87" s="18"/>
      <c r="F87" s="20"/>
      <c r="G87" s="21"/>
    </row>
    <row r="88" customFormat="false" ht="15" hidden="false" customHeight="false" outlineLevel="0" collapsed="false">
      <c r="A88" s="17" t="s">
        <v>275</v>
      </c>
      <c r="B88" s="17" t="s">
        <v>276</v>
      </c>
      <c r="C88" s="17" t="s">
        <v>86</v>
      </c>
      <c r="D88" s="11" t="n">
        <v>99.57</v>
      </c>
      <c r="E88" s="18"/>
      <c r="F88" s="17"/>
      <c r="G88" s="19"/>
    </row>
    <row r="89" customFormat="false" ht="15" hidden="false" customHeight="false" outlineLevel="0" collapsed="false">
      <c r="A89" s="20" t="s">
        <v>277</v>
      </c>
      <c r="B89" s="20" t="s">
        <v>278</v>
      </c>
      <c r="C89" s="20" t="s">
        <v>86</v>
      </c>
      <c r="D89" s="11" t="n">
        <v>111.27</v>
      </c>
      <c r="E89" s="18"/>
      <c r="F89" s="20"/>
      <c r="G89" s="21"/>
    </row>
    <row r="90" customFormat="false" ht="15" hidden="false" customHeight="false" outlineLevel="0" collapsed="false">
      <c r="A90" s="17" t="s">
        <v>279</v>
      </c>
      <c r="B90" s="17" t="s">
        <v>280</v>
      </c>
      <c r="C90" s="17" t="s">
        <v>86</v>
      </c>
      <c r="D90" s="11" t="n">
        <v>121.08</v>
      </c>
      <c r="E90" s="18"/>
      <c r="F90" s="17"/>
      <c r="G90" s="19"/>
    </row>
    <row r="91" customFormat="false" ht="15" hidden="false" customHeight="false" outlineLevel="0" collapsed="false">
      <c r="A91" s="20" t="s">
        <v>281</v>
      </c>
      <c r="B91" s="20" t="s">
        <v>282</v>
      </c>
      <c r="C91" s="20" t="s">
        <v>86</v>
      </c>
      <c r="D91" s="11" t="n">
        <v>124.7</v>
      </c>
      <c r="E91" s="18"/>
      <c r="F91" s="20"/>
      <c r="G91" s="21"/>
    </row>
    <row r="92" customFormat="false" ht="15" hidden="false" customHeight="false" outlineLevel="0" collapsed="false">
      <c r="A92" s="17" t="s">
        <v>283</v>
      </c>
      <c r="B92" s="17" t="s">
        <v>284</v>
      </c>
      <c r="C92" s="17" t="s">
        <v>86</v>
      </c>
      <c r="D92" s="11" t="n">
        <v>140.24</v>
      </c>
      <c r="E92" s="18"/>
      <c r="F92" s="17"/>
      <c r="G92" s="19"/>
    </row>
    <row r="93" customFormat="false" ht="15" hidden="false" customHeight="false" outlineLevel="0" collapsed="false">
      <c r="A93" s="20" t="s">
        <v>285</v>
      </c>
      <c r="B93" s="20" t="s">
        <v>286</v>
      </c>
      <c r="C93" s="20" t="s">
        <v>86</v>
      </c>
      <c r="D93" s="11" t="n">
        <v>194.88</v>
      </c>
      <c r="E93" s="18"/>
      <c r="F93" s="20"/>
      <c r="G93" s="21"/>
    </row>
    <row r="94" customFormat="false" ht="15" hidden="false" customHeight="false" outlineLevel="0" collapsed="false">
      <c r="A94" s="17" t="s">
        <v>287</v>
      </c>
      <c r="B94" s="17" t="s">
        <v>288</v>
      </c>
      <c r="C94" s="17" t="s">
        <v>86</v>
      </c>
      <c r="D94" s="11" t="n">
        <v>240.55</v>
      </c>
      <c r="E94" s="18"/>
      <c r="F94" s="17"/>
      <c r="G94" s="19"/>
    </row>
    <row r="95" customFormat="false" ht="15" hidden="false" customHeight="false" outlineLevel="0" collapsed="false">
      <c r="A95" s="20" t="s">
        <v>289</v>
      </c>
      <c r="B95" s="20" t="s">
        <v>290</v>
      </c>
      <c r="C95" s="20" t="s">
        <v>86</v>
      </c>
      <c r="D95" s="11" t="n">
        <v>242.26</v>
      </c>
      <c r="E95" s="18"/>
      <c r="F95" s="20"/>
      <c r="G95" s="21"/>
    </row>
    <row r="96" customFormat="false" ht="15" hidden="false" customHeight="false" outlineLevel="0" collapsed="false">
      <c r="A96" s="17" t="s">
        <v>291</v>
      </c>
      <c r="B96" s="17" t="s">
        <v>292</v>
      </c>
      <c r="C96" s="17" t="s">
        <v>86</v>
      </c>
      <c r="D96" s="11" t="n">
        <v>307.26</v>
      </c>
      <c r="E96" s="18"/>
      <c r="F96" s="17"/>
      <c r="G96" s="19"/>
    </row>
    <row r="97" customFormat="false" ht="15" hidden="false" customHeight="false" outlineLevel="0" collapsed="false">
      <c r="A97" s="20" t="s">
        <v>293</v>
      </c>
      <c r="B97" s="20" t="s">
        <v>294</v>
      </c>
      <c r="C97" s="20" t="s">
        <v>86</v>
      </c>
      <c r="D97" s="11" t="n">
        <v>374.18</v>
      </c>
      <c r="E97" s="18"/>
      <c r="F97" s="20"/>
      <c r="G97" s="21"/>
    </row>
    <row r="98" customFormat="false" ht="15" hidden="false" customHeight="false" outlineLevel="0" collapsed="false">
      <c r="A98" s="17" t="s">
        <v>295</v>
      </c>
      <c r="B98" s="17" t="s">
        <v>296</v>
      </c>
      <c r="C98" s="17" t="s">
        <v>86</v>
      </c>
      <c r="D98" s="11" t="n">
        <v>411.2</v>
      </c>
      <c r="E98" s="18"/>
      <c r="F98" s="17"/>
      <c r="G98" s="19"/>
    </row>
    <row r="99" customFormat="false" ht="15" hidden="false" customHeight="false" outlineLevel="0" collapsed="false">
      <c r="A99" s="20" t="s">
        <v>297</v>
      </c>
      <c r="B99" s="20" t="s">
        <v>298</v>
      </c>
      <c r="C99" s="20" t="s">
        <v>86</v>
      </c>
      <c r="D99" s="11" t="n">
        <v>416.62</v>
      </c>
      <c r="E99" s="18"/>
      <c r="F99" s="20"/>
      <c r="G99" s="21"/>
    </row>
    <row r="100" customFormat="false" ht="15" hidden="false" customHeight="false" outlineLevel="0" collapsed="false">
      <c r="A100" s="17" t="s">
        <v>299</v>
      </c>
      <c r="B100" s="17" t="s">
        <v>300</v>
      </c>
      <c r="C100" s="17" t="s">
        <v>86</v>
      </c>
      <c r="D100" s="11" t="n">
        <v>478.21</v>
      </c>
      <c r="E100" s="18"/>
      <c r="F100" s="17"/>
      <c r="G100" s="19"/>
    </row>
    <row r="101" customFormat="false" ht="15" hidden="false" customHeight="false" outlineLevel="0" collapsed="false">
      <c r="A101" s="20" t="s">
        <v>301</v>
      </c>
      <c r="B101" s="20" t="s">
        <v>302</v>
      </c>
      <c r="C101" s="20" t="s">
        <v>86</v>
      </c>
      <c r="D101" s="11" t="n">
        <v>553.79</v>
      </c>
      <c r="E101" s="18"/>
      <c r="F101" s="20"/>
      <c r="G101" s="21"/>
    </row>
    <row r="102" customFormat="false" ht="15" hidden="false" customHeight="false" outlineLevel="0" collapsed="false">
      <c r="A102" s="17" t="s">
        <v>303</v>
      </c>
      <c r="B102" s="17" t="s">
        <v>304</v>
      </c>
      <c r="C102" s="17" t="s">
        <v>86</v>
      </c>
      <c r="D102" s="11" t="n">
        <v>771.68</v>
      </c>
      <c r="E102" s="18"/>
      <c r="F102" s="17"/>
      <c r="G102" s="19"/>
    </row>
    <row r="103" customFormat="false" ht="15" hidden="false" customHeight="false" outlineLevel="0" collapsed="false">
      <c r="A103" s="20" t="s">
        <v>305</v>
      </c>
      <c r="B103" s="20" t="s">
        <v>306</v>
      </c>
      <c r="C103" s="20" t="s">
        <v>85</v>
      </c>
      <c r="D103" s="11" t="n">
        <v>110.45</v>
      </c>
      <c r="E103" s="18"/>
      <c r="F103" s="20"/>
      <c r="G103" s="21"/>
    </row>
    <row r="104" customFormat="false" ht="15" hidden="false" customHeight="false" outlineLevel="0" collapsed="false">
      <c r="A104" s="17" t="s">
        <v>307</v>
      </c>
      <c r="B104" s="17" t="s">
        <v>308</v>
      </c>
      <c r="C104" s="17" t="s">
        <v>85</v>
      </c>
      <c r="D104" s="11" t="n">
        <v>120.38</v>
      </c>
      <c r="E104" s="18"/>
      <c r="F104" s="17"/>
      <c r="G104" s="19"/>
    </row>
    <row r="105" customFormat="false" ht="15" hidden="false" customHeight="false" outlineLevel="0" collapsed="false">
      <c r="A105" s="20" t="s">
        <v>309</v>
      </c>
      <c r="B105" s="20" t="s">
        <v>310</v>
      </c>
      <c r="C105" s="20" t="s">
        <v>85</v>
      </c>
      <c r="D105" s="11" t="n">
        <v>137.47</v>
      </c>
      <c r="E105" s="18"/>
      <c r="F105" s="20"/>
      <c r="G105" s="21"/>
    </row>
    <row r="106" customFormat="false" ht="15" hidden="false" customHeight="false" outlineLevel="0" collapsed="false">
      <c r="A106" s="17" t="s">
        <v>311</v>
      </c>
      <c r="B106" s="17" t="s">
        <v>312</v>
      </c>
      <c r="C106" s="17" t="s">
        <v>85</v>
      </c>
      <c r="D106" s="11" t="n">
        <v>168.27</v>
      </c>
      <c r="E106" s="18"/>
      <c r="F106" s="17"/>
      <c r="G106" s="19"/>
    </row>
    <row r="107" customFormat="false" ht="15" hidden="false" customHeight="false" outlineLevel="0" collapsed="false">
      <c r="A107" s="20" t="s">
        <v>313</v>
      </c>
      <c r="B107" s="20" t="s">
        <v>314</v>
      </c>
      <c r="C107" s="20" t="s">
        <v>85</v>
      </c>
      <c r="D107" s="11" t="n">
        <v>169.79</v>
      </c>
      <c r="E107" s="18"/>
      <c r="F107" s="20"/>
      <c r="G107" s="21"/>
    </row>
    <row r="108" customFormat="false" ht="15" hidden="false" customHeight="false" outlineLevel="0" collapsed="false">
      <c r="A108" s="17" t="s">
        <v>315</v>
      </c>
      <c r="B108" s="17" t="s">
        <v>316</v>
      </c>
      <c r="C108" s="17" t="s">
        <v>85</v>
      </c>
      <c r="D108" s="11" t="n">
        <v>235.59</v>
      </c>
      <c r="E108" s="18"/>
      <c r="F108" s="17"/>
      <c r="G108" s="19"/>
    </row>
    <row r="109" customFormat="false" ht="15" hidden="false" customHeight="false" outlineLevel="0" collapsed="false">
      <c r="A109" s="20" t="s">
        <v>317</v>
      </c>
      <c r="B109" s="20" t="s">
        <v>318</v>
      </c>
      <c r="C109" s="20" t="s">
        <v>85</v>
      </c>
      <c r="D109" s="11" t="n">
        <v>193.14</v>
      </c>
      <c r="E109" s="18"/>
      <c r="F109" s="20"/>
      <c r="G109" s="21"/>
    </row>
    <row r="110" customFormat="false" ht="15" hidden="false" customHeight="false" outlineLevel="0" collapsed="false">
      <c r="A110" s="17" t="s">
        <v>319</v>
      </c>
      <c r="B110" s="17" t="s">
        <v>320</v>
      </c>
      <c r="C110" s="17" t="s">
        <v>85</v>
      </c>
      <c r="D110" s="11" t="n">
        <v>237.59</v>
      </c>
      <c r="E110" s="18"/>
      <c r="F110" s="17"/>
      <c r="G110" s="19"/>
    </row>
    <row r="111" customFormat="false" ht="15" hidden="false" customHeight="false" outlineLevel="0" collapsed="false">
      <c r="A111" s="20" t="s">
        <v>321</v>
      </c>
      <c r="B111" s="20" t="s">
        <v>322</v>
      </c>
      <c r="C111" s="20" t="s">
        <v>85</v>
      </c>
      <c r="D111" s="11" t="n">
        <v>258.38</v>
      </c>
      <c r="E111" s="18"/>
      <c r="F111" s="20"/>
      <c r="G111" s="21"/>
    </row>
    <row r="112" customFormat="false" ht="15" hidden="false" customHeight="false" outlineLevel="0" collapsed="false">
      <c r="A112" s="17" t="s">
        <v>323</v>
      </c>
      <c r="B112" s="17" t="s">
        <v>324</v>
      </c>
      <c r="C112" s="17" t="s">
        <v>85</v>
      </c>
      <c r="D112" s="11" t="n">
        <v>300.03</v>
      </c>
      <c r="E112" s="18"/>
      <c r="F112" s="17"/>
      <c r="G112" s="19"/>
    </row>
    <row r="113" customFormat="false" ht="15" hidden="false" customHeight="false" outlineLevel="0" collapsed="false">
      <c r="A113" s="20" t="s">
        <v>325</v>
      </c>
      <c r="B113" s="20" t="s">
        <v>326</v>
      </c>
      <c r="C113" s="20" t="s">
        <v>85</v>
      </c>
      <c r="D113" s="11" t="n">
        <v>363.87</v>
      </c>
      <c r="E113" s="18"/>
      <c r="F113" s="20"/>
      <c r="G113" s="21"/>
    </row>
    <row r="114" customFormat="false" ht="15" hidden="false" customHeight="false" outlineLevel="0" collapsed="false">
      <c r="A114" s="17" t="s">
        <v>327</v>
      </c>
      <c r="B114" s="17" t="s">
        <v>328</v>
      </c>
      <c r="C114" s="17" t="s">
        <v>85</v>
      </c>
      <c r="D114" s="11" t="n">
        <v>372.71</v>
      </c>
      <c r="E114" s="18"/>
      <c r="F114" s="17"/>
      <c r="G114" s="19"/>
    </row>
    <row r="115" customFormat="false" ht="15" hidden="false" customHeight="false" outlineLevel="0" collapsed="false">
      <c r="A115" s="20" t="s">
        <v>329</v>
      </c>
      <c r="B115" s="20" t="s">
        <v>330</v>
      </c>
      <c r="C115" s="20" t="s">
        <v>85</v>
      </c>
      <c r="D115" s="11" t="n">
        <v>389.53</v>
      </c>
      <c r="E115" s="18"/>
      <c r="F115" s="20"/>
      <c r="G115" s="21"/>
    </row>
    <row r="116" customFormat="false" ht="15" hidden="false" customHeight="false" outlineLevel="0" collapsed="false">
      <c r="A116" s="17" t="s">
        <v>331</v>
      </c>
      <c r="B116" s="17" t="s">
        <v>332</v>
      </c>
      <c r="C116" s="17" t="s">
        <v>85</v>
      </c>
      <c r="D116" s="11" t="n">
        <v>391.36</v>
      </c>
      <c r="E116" s="18"/>
      <c r="F116" s="17"/>
      <c r="G116" s="19"/>
    </row>
    <row r="117" customFormat="false" ht="15" hidden="false" customHeight="false" outlineLevel="0" collapsed="false">
      <c r="A117" s="20" t="s">
        <v>333</v>
      </c>
      <c r="B117" s="20" t="s">
        <v>334</v>
      </c>
      <c r="C117" s="20" t="s">
        <v>85</v>
      </c>
      <c r="D117" s="11" t="n">
        <v>452.95</v>
      </c>
      <c r="E117" s="18"/>
      <c r="F117" s="20"/>
      <c r="G117" s="21"/>
    </row>
    <row r="118" customFormat="false" ht="15" hidden="false" customHeight="false" outlineLevel="0" collapsed="false">
      <c r="A118" s="17" t="s">
        <v>335</v>
      </c>
      <c r="B118" s="17" t="s">
        <v>336</v>
      </c>
      <c r="C118" s="17" t="s">
        <v>85</v>
      </c>
      <c r="D118" s="11" t="n">
        <v>486.92</v>
      </c>
      <c r="E118" s="18"/>
      <c r="F118" s="17"/>
      <c r="G118" s="19"/>
    </row>
    <row r="119" customFormat="false" ht="15" hidden="false" customHeight="false" outlineLevel="0" collapsed="false">
      <c r="A119" s="20" t="s">
        <v>337</v>
      </c>
      <c r="B119" s="20" t="s">
        <v>338</v>
      </c>
      <c r="C119" s="20" t="s">
        <v>85</v>
      </c>
      <c r="D119" s="11" t="n">
        <v>727.39</v>
      </c>
      <c r="E119" s="18"/>
      <c r="F119" s="20"/>
      <c r="G119" s="21"/>
    </row>
    <row r="120" customFormat="false" ht="15" hidden="false" customHeight="false" outlineLevel="0" collapsed="false">
      <c r="A120" s="17" t="s">
        <v>339</v>
      </c>
      <c r="B120" s="17" t="s">
        <v>340</v>
      </c>
      <c r="C120" s="17" t="s">
        <v>86</v>
      </c>
      <c r="D120" s="11" t="n">
        <v>131.86</v>
      </c>
      <c r="E120" s="18"/>
      <c r="F120" s="17"/>
      <c r="G120" s="19"/>
    </row>
    <row r="121" customFormat="false" ht="15" hidden="false" customHeight="false" outlineLevel="0" collapsed="false">
      <c r="A121" s="20" t="s">
        <v>341</v>
      </c>
      <c r="B121" s="20" t="s">
        <v>342</v>
      </c>
      <c r="C121" s="20" t="s">
        <v>86</v>
      </c>
      <c r="D121" s="11" t="n">
        <v>140.4</v>
      </c>
      <c r="E121" s="18"/>
      <c r="F121" s="20"/>
      <c r="G121" s="21"/>
    </row>
    <row r="122" customFormat="false" ht="15" hidden="false" customHeight="false" outlineLevel="0" collapsed="false">
      <c r="A122" s="17" t="s">
        <v>343</v>
      </c>
      <c r="B122" s="17" t="s">
        <v>344</v>
      </c>
      <c r="C122" s="17" t="s">
        <v>86</v>
      </c>
      <c r="D122" s="11" t="n">
        <v>148.86</v>
      </c>
      <c r="E122" s="18"/>
      <c r="F122" s="17"/>
      <c r="G122" s="19"/>
    </row>
    <row r="123" customFormat="false" ht="15" hidden="false" customHeight="false" outlineLevel="0" collapsed="false">
      <c r="A123" s="20" t="s">
        <v>345</v>
      </c>
      <c r="B123" s="20" t="s">
        <v>346</v>
      </c>
      <c r="C123" s="20" t="s">
        <v>86</v>
      </c>
      <c r="D123" s="11" t="n">
        <v>213.43</v>
      </c>
      <c r="E123" s="18"/>
      <c r="F123" s="20"/>
      <c r="G123" s="21"/>
    </row>
    <row r="124" customFormat="false" ht="15" hidden="false" customHeight="false" outlineLevel="0" collapsed="false">
      <c r="A124" s="17" t="s">
        <v>347</v>
      </c>
      <c r="B124" s="17" t="s">
        <v>348</v>
      </c>
      <c r="C124" s="17" t="s">
        <v>86</v>
      </c>
      <c r="D124" s="11" t="n">
        <v>252.66</v>
      </c>
      <c r="E124" s="18"/>
      <c r="F124" s="17"/>
      <c r="G124" s="19"/>
    </row>
    <row r="125" customFormat="false" ht="15" hidden="false" customHeight="false" outlineLevel="0" collapsed="false">
      <c r="A125" s="20" t="s">
        <v>349</v>
      </c>
      <c r="B125" s="20" t="s">
        <v>350</v>
      </c>
      <c r="C125" s="20" t="s">
        <v>86</v>
      </c>
      <c r="D125" s="11" t="n">
        <v>254.39</v>
      </c>
      <c r="E125" s="18"/>
      <c r="F125" s="20"/>
      <c r="G125" s="21"/>
    </row>
    <row r="126" customFormat="false" ht="15" hidden="false" customHeight="false" outlineLevel="0" collapsed="false">
      <c r="A126" s="17" t="s">
        <v>351</v>
      </c>
      <c r="B126" s="17" t="s">
        <v>352</v>
      </c>
      <c r="C126" s="17" t="s">
        <v>86</v>
      </c>
      <c r="D126" s="11" t="n">
        <v>316.25</v>
      </c>
      <c r="E126" s="18"/>
      <c r="F126" s="17"/>
      <c r="G126" s="19"/>
    </row>
    <row r="127" customFormat="false" ht="15" hidden="false" customHeight="false" outlineLevel="0" collapsed="false">
      <c r="A127" s="20" t="s">
        <v>353</v>
      </c>
      <c r="B127" s="20" t="s">
        <v>354</v>
      </c>
      <c r="C127" s="20" t="s">
        <v>86</v>
      </c>
      <c r="D127" s="11" t="n">
        <v>383.73</v>
      </c>
      <c r="E127" s="18"/>
      <c r="F127" s="20"/>
      <c r="G127" s="21"/>
    </row>
    <row r="128" customFormat="false" ht="15" hidden="false" customHeight="false" outlineLevel="0" collapsed="false">
      <c r="A128" s="17" t="s">
        <v>355</v>
      </c>
      <c r="B128" s="17" t="s">
        <v>356</v>
      </c>
      <c r="C128" s="17" t="s">
        <v>86</v>
      </c>
      <c r="D128" s="11" t="n">
        <v>423.07</v>
      </c>
      <c r="E128" s="18"/>
      <c r="F128" s="17"/>
      <c r="G128" s="19"/>
    </row>
    <row r="129" customFormat="false" ht="15" hidden="false" customHeight="false" outlineLevel="0" collapsed="false">
      <c r="A129" s="20" t="s">
        <v>357</v>
      </c>
      <c r="B129" s="20" t="s">
        <v>358</v>
      </c>
      <c r="C129" s="20" t="s">
        <v>86</v>
      </c>
      <c r="D129" s="11" t="n">
        <v>428.49</v>
      </c>
      <c r="E129" s="18"/>
      <c r="F129" s="20"/>
      <c r="G129" s="21"/>
    </row>
    <row r="130" customFormat="false" ht="15" hidden="false" customHeight="false" outlineLevel="0" collapsed="false">
      <c r="A130" s="17" t="s">
        <v>359</v>
      </c>
      <c r="B130" s="17" t="s">
        <v>360</v>
      </c>
      <c r="C130" s="17" t="s">
        <v>86</v>
      </c>
      <c r="D130" s="11" t="n">
        <v>490.08</v>
      </c>
      <c r="E130" s="18"/>
      <c r="F130" s="17"/>
      <c r="G130" s="19"/>
    </row>
    <row r="131" customFormat="false" ht="15" hidden="false" customHeight="false" outlineLevel="0" collapsed="false">
      <c r="A131" s="20" t="s">
        <v>361</v>
      </c>
      <c r="B131" s="20" t="s">
        <v>362</v>
      </c>
      <c r="C131" s="20" t="s">
        <v>86</v>
      </c>
      <c r="D131" s="11" t="n">
        <v>548.77</v>
      </c>
      <c r="E131" s="18"/>
      <c r="F131" s="20"/>
      <c r="G131" s="21"/>
    </row>
    <row r="132" customFormat="false" ht="15" hidden="false" customHeight="false" outlineLevel="0" collapsed="false">
      <c r="A132" s="17" t="s">
        <v>363</v>
      </c>
      <c r="B132" s="17" t="s">
        <v>364</v>
      </c>
      <c r="C132" s="17" t="s">
        <v>86</v>
      </c>
      <c r="D132" s="11" t="n">
        <v>793.7</v>
      </c>
      <c r="E132" s="18"/>
      <c r="F132" s="17"/>
      <c r="G132" s="19"/>
    </row>
    <row r="133" customFormat="false" ht="15" hidden="false" customHeight="false" outlineLevel="0" collapsed="false">
      <c r="A133" s="20" t="s">
        <v>365</v>
      </c>
      <c r="B133" s="20" t="s">
        <v>366</v>
      </c>
      <c r="C133" s="20" t="s">
        <v>85</v>
      </c>
      <c r="D133" s="11" t="n">
        <v>95.49</v>
      </c>
      <c r="E133" s="18"/>
      <c r="F133" s="20"/>
      <c r="G133" s="21"/>
    </row>
    <row r="134" customFormat="false" ht="15" hidden="false" customHeight="false" outlineLevel="0" collapsed="false">
      <c r="A134" s="17" t="s">
        <v>367</v>
      </c>
      <c r="B134" s="17" t="s">
        <v>368</v>
      </c>
      <c r="C134" s="17" t="s">
        <v>85</v>
      </c>
      <c r="D134" s="11" t="n">
        <v>104.2</v>
      </c>
      <c r="E134" s="18"/>
      <c r="F134" s="17"/>
      <c r="G134" s="19"/>
    </row>
    <row r="135" customFormat="false" ht="15" hidden="false" customHeight="false" outlineLevel="0" collapsed="false">
      <c r="A135" s="20" t="s">
        <v>369</v>
      </c>
      <c r="B135" s="20" t="s">
        <v>370</v>
      </c>
      <c r="C135" s="20" t="s">
        <v>85</v>
      </c>
      <c r="D135" s="11" t="n">
        <v>115.16</v>
      </c>
      <c r="E135" s="18"/>
      <c r="F135" s="20"/>
      <c r="G135" s="21"/>
    </row>
    <row r="136" customFormat="false" ht="15" hidden="false" customHeight="false" outlineLevel="0" collapsed="false">
      <c r="A136" s="17" t="s">
        <v>371</v>
      </c>
      <c r="B136" s="17" t="s">
        <v>372</v>
      </c>
      <c r="C136" s="17" t="s">
        <v>85</v>
      </c>
      <c r="D136" s="11" t="n">
        <v>145.95</v>
      </c>
      <c r="E136" s="18"/>
      <c r="F136" s="17"/>
      <c r="G136" s="19"/>
    </row>
    <row r="137" customFormat="false" ht="15" hidden="false" customHeight="false" outlineLevel="0" collapsed="false">
      <c r="A137" s="20" t="s">
        <v>373</v>
      </c>
      <c r="B137" s="20" t="s">
        <v>374</v>
      </c>
      <c r="C137" s="20" t="s">
        <v>85</v>
      </c>
      <c r="D137" s="11" t="n">
        <v>147.48</v>
      </c>
      <c r="E137" s="18"/>
      <c r="F137" s="20"/>
      <c r="G137" s="21"/>
    </row>
    <row r="138" customFormat="false" ht="15" hidden="false" customHeight="false" outlineLevel="0" collapsed="false">
      <c r="A138" s="17" t="s">
        <v>375</v>
      </c>
      <c r="B138" s="17" t="s">
        <v>376</v>
      </c>
      <c r="C138" s="17" t="s">
        <v>85</v>
      </c>
      <c r="D138" s="11" t="n">
        <v>220.29</v>
      </c>
      <c r="E138" s="18"/>
      <c r="F138" s="17"/>
      <c r="G138" s="19"/>
    </row>
    <row r="139" customFormat="false" ht="15" hidden="false" customHeight="false" outlineLevel="0" collapsed="false">
      <c r="A139" s="20" t="s">
        <v>377</v>
      </c>
      <c r="B139" s="20" t="s">
        <v>378</v>
      </c>
      <c r="C139" s="20" t="s">
        <v>85</v>
      </c>
      <c r="D139" s="11" t="n">
        <v>162.44</v>
      </c>
      <c r="E139" s="18"/>
      <c r="F139" s="20"/>
      <c r="G139" s="21"/>
    </row>
    <row r="140" customFormat="false" ht="15" hidden="false" customHeight="false" outlineLevel="0" collapsed="false">
      <c r="A140" s="17" t="s">
        <v>379</v>
      </c>
      <c r="B140" s="17" t="s">
        <v>380</v>
      </c>
      <c r="C140" s="17" t="s">
        <v>85</v>
      </c>
      <c r="D140" s="11" t="n">
        <v>206.89</v>
      </c>
      <c r="E140" s="18"/>
      <c r="F140" s="17"/>
      <c r="G140" s="19"/>
    </row>
    <row r="141" customFormat="false" ht="15" hidden="false" customHeight="false" outlineLevel="0" collapsed="false">
      <c r="A141" s="20" t="s">
        <v>381</v>
      </c>
      <c r="B141" s="20" t="s">
        <v>382</v>
      </c>
      <c r="C141" s="20" t="s">
        <v>85</v>
      </c>
      <c r="D141" s="11" t="n">
        <v>223.7</v>
      </c>
      <c r="E141" s="18"/>
      <c r="F141" s="20"/>
      <c r="G141" s="21"/>
    </row>
    <row r="142" customFormat="false" ht="15" hidden="false" customHeight="false" outlineLevel="0" collapsed="false">
      <c r="A142" s="17" t="s">
        <v>383</v>
      </c>
      <c r="B142" s="17" t="s">
        <v>384</v>
      </c>
      <c r="C142" s="17" t="s">
        <v>85</v>
      </c>
      <c r="D142" s="11" t="n">
        <v>269.32</v>
      </c>
      <c r="E142" s="18"/>
      <c r="F142" s="17"/>
      <c r="G142" s="19"/>
    </row>
    <row r="143" customFormat="false" ht="15" hidden="false" customHeight="false" outlineLevel="0" collapsed="false">
      <c r="A143" s="20" t="s">
        <v>385</v>
      </c>
      <c r="B143" s="20" t="s">
        <v>386</v>
      </c>
      <c r="C143" s="20" t="s">
        <v>85</v>
      </c>
      <c r="D143" s="11" t="n">
        <v>341.25</v>
      </c>
      <c r="E143" s="18"/>
      <c r="F143" s="20"/>
      <c r="G143" s="21"/>
    </row>
    <row r="144" customFormat="false" ht="15" hidden="false" customHeight="false" outlineLevel="0" collapsed="false">
      <c r="A144" s="17" t="s">
        <v>387</v>
      </c>
      <c r="B144" s="17" t="s">
        <v>388</v>
      </c>
      <c r="C144" s="17" t="s">
        <v>85</v>
      </c>
      <c r="D144" s="11" t="n">
        <v>349.81</v>
      </c>
      <c r="E144" s="18"/>
      <c r="F144" s="17"/>
      <c r="G144" s="19"/>
    </row>
    <row r="145" customFormat="false" ht="15" hidden="false" customHeight="false" outlineLevel="0" collapsed="false">
      <c r="A145" s="20" t="s">
        <v>389</v>
      </c>
      <c r="B145" s="20" t="s">
        <v>390</v>
      </c>
      <c r="C145" s="20" t="s">
        <v>85</v>
      </c>
      <c r="D145" s="11" t="n">
        <v>359.34</v>
      </c>
      <c r="E145" s="18"/>
      <c r="F145" s="20"/>
      <c r="G145" s="21"/>
    </row>
    <row r="146" customFormat="false" ht="15" hidden="false" customHeight="false" outlineLevel="0" collapsed="false">
      <c r="A146" s="17" t="s">
        <v>391</v>
      </c>
      <c r="B146" s="17" t="s">
        <v>392</v>
      </c>
      <c r="C146" s="17" t="s">
        <v>85</v>
      </c>
      <c r="D146" s="11" t="n">
        <v>374.18</v>
      </c>
      <c r="E146" s="18"/>
      <c r="F146" s="17"/>
      <c r="G146" s="19"/>
    </row>
    <row r="147" customFormat="false" ht="15" hidden="false" customHeight="false" outlineLevel="0" collapsed="false">
      <c r="A147" s="20" t="s">
        <v>393</v>
      </c>
      <c r="B147" s="20" t="s">
        <v>394</v>
      </c>
      <c r="C147" s="20" t="s">
        <v>85</v>
      </c>
      <c r="D147" s="11" t="n">
        <v>405.18</v>
      </c>
      <c r="E147" s="18"/>
      <c r="F147" s="20"/>
      <c r="G147" s="21"/>
    </row>
    <row r="148" customFormat="false" ht="15" hidden="false" customHeight="false" outlineLevel="0" collapsed="false">
      <c r="A148" s="17" t="s">
        <v>395</v>
      </c>
      <c r="B148" s="17" t="s">
        <v>396</v>
      </c>
      <c r="C148" s="17" t="s">
        <v>85</v>
      </c>
      <c r="D148" s="11" t="n">
        <v>425.44</v>
      </c>
      <c r="E148" s="18"/>
      <c r="F148" s="17"/>
      <c r="G148" s="19"/>
    </row>
    <row r="149" customFormat="false" ht="15" hidden="false" customHeight="false" outlineLevel="0" collapsed="false">
      <c r="A149" s="20" t="s">
        <v>397</v>
      </c>
      <c r="B149" s="20" t="s">
        <v>398</v>
      </c>
      <c r="C149" s="20" t="s">
        <v>85</v>
      </c>
      <c r="D149" s="11" t="n">
        <v>652.76</v>
      </c>
      <c r="E149" s="18"/>
      <c r="F149" s="20"/>
      <c r="G149" s="21"/>
    </row>
    <row r="150" customFormat="false" ht="15" hidden="false" customHeight="false" outlineLevel="0" collapsed="false">
      <c r="A150" s="17" t="s">
        <v>399</v>
      </c>
      <c r="B150" s="17" t="s">
        <v>400</v>
      </c>
      <c r="C150" s="17" t="s">
        <v>93</v>
      </c>
      <c r="D150" s="11" t="n">
        <v>120.55</v>
      </c>
      <c r="E150" s="18"/>
      <c r="F150" s="17"/>
      <c r="G150" s="19"/>
    </row>
    <row r="151" customFormat="false" ht="15" hidden="false" customHeight="false" outlineLevel="0" collapsed="false">
      <c r="A151" s="20" t="s">
        <v>401</v>
      </c>
      <c r="B151" s="20" t="s">
        <v>402</v>
      </c>
      <c r="C151" s="20" t="s">
        <v>93</v>
      </c>
      <c r="D151" s="11" t="n">
        <v>134.47</v>
      </c>
      <c r="E151" s="18"/>
      <c r="F151" s="20"/>
      <c r="G151" s="21"/>
    </row>
    <row r="152" customFormat="false" ht="15" hidden="false" customHeight="false" outlineLevel="0" collapsed="false">
      <c r="A152" s="17" t="s">
        <v>403</v>
      </c>
      <c r="B152" s="17" t="s">
        <v>404</v>
      </c>
      <c r="C152" s="17" t="s">
        <v>93</v>
      </c>
      <c r="D152" s="11" t="n">
        <v>143.62</v>
      </c>
      <c r="E152" s="18"/>
      <c r="F152" s="17"/>
      <c r="G152" s="19"/>
    </row>
    <row r="153" customFormat="false" ht="15" hidden="false" customHeight="false" outlineLevel="0" collapsed="false">
      <c r="A153" s="20" t="s">
        <v>405</v>
      </c>
      <c r="B153" s="20" t="s">
        <v>406</v>
      </c>
      <c r="C153" s="20" t="s">
        <v>93</v>
      </c>
      <c r="D153" s="11" t="n">
        <v>163.9</v>
      </c>
      <c r="E153" s="18"/>
      <c r="F153" s="20"/>
      <c r="G153" s="21"/>
    </row>
    <row r="154" customFormat="false" ht="15" hidden="false" customHeight="false" outlineLevel="0" collapsed="false">
      <c r="A154" s="17" t="s">
        <v>407</v>
      </c>
      <c r="B154" s="17" t="s">
        <v>408</v>
      </c>
      <c r="C154" s="17" t="s">
        <v>93</v>
      </c>
      <c r="D154" s="11" t="n">
        <v>172.67</v>
      </c>
      <c r="E154" s="18"/>
      <c r="F154" s="17"/>
      <c r="G154" s="19"/>
    </row>
    <row r="155" customFormat="false" ht="15" hidden="false" customHeight="false" outlineLevel="0" collapsed="false">
      <c r="A155" s="20" t="s">
        <v>409</v>
      </c>
      <c r="B155" s="20" t="s">
        <v>410</v>
      </c>
      <c r="C155" s="20" t="s">
        <v>93</v>
      </c>
      <c r="D155" s="11" t="n">
        <v>157.35</v>
      </c>
      <c r="E155" s="18"/>
      <c r="F155" s="20"/>
      <c r="G155" s="21"/>
    </row>
    <row r="156" customFormat="false" ht="15" hidden="false" customHeight="false" outlineLevel="0" collapsed="false">
      <c r="A156" s="17" t="s">
        <v>411</v>
      </c>
      <c r="B156" s="17" t="s">
        <v>412</v>
      </c>
      <c r="C156" s="17" t="s">
        <v>93</v>
      </c>
      <c r="D156" s="11" t="n">
        <v>203.19</v>
      </c>
      <c r="E156" s="18"/>
      <c r="F156" s="17"/>
      <c r="G156" s="19"/>
    </row>
    <row r="157" customFormat="false" ht="15" hidden="false" customHeight="false" outlineLevel="0" collapsed="false">
      <c r="A157" s="20" t="s">
        <v>413</v>
      </c>
      <c r="B157" s="20" t="s">
        <v>414</v>
      </c>
      <c r="C157" s="20" t="s">
        <v>93</v>
      </c>
      <c r="D157" s="11" t="n">
        <v>205.65</v>
      </c>
      <c r="E157" s="18"/>
      <c r="F157" s="20"/>
      <c r="G157" s="21"/>
    </row>
    <row r="158" customFormat="false" ht="15" hidden="false" customHeight="false" outlineLevel="0" collapsed="false">
      <c r="A158" s="17" t="s">
        <v>415</v>
      </c>
      <c r="B158" s="17" t="s">
        <v>416</v>
      </c>
      <c r="C158" s="17" t="s">
        <v>93</v>
      </c>
      <c r="D158" s="11" t="n">
        <v>267.58</v>
      </c>
      <c r="E158" s="18"/>
      <c r="F158" s="17"/>
      <c r="G158" s="19"/>
    </row>
    <row r="159" customFormat="false" ht="15" hidden="false" customHeight="false" outlineLevel="0" collapsed="false">
      <c r="A159" s="20" t="s">
        <v>417</v>
      </c>
      <c r="B159" s="20" t="s">
        <v>418</v>
      </c>
      <c r="C159" s="20" t="s">
        <v>95</v>
      </c>
      <c r="D159" s="11" t="n">
        <v>365.7</v>
      </c>
      <c r="E159" s="18"/>
      <c r="F159" s="20"/>
      <c r="G159" s="21"/>
    </row>
    <row r="160" customFormat="false" ht="15" hidden="false" customHeight="false" outlineLevel="0" collapsed="false">
      <c r="A160" s="17" t="s">
        <v>419</v>
      </c>
      <c r="B160" s="17" t="s">
        <v>420</v>
      </c>
      <c r="C160" s="17" t="s">
        <v>95</v>
      </c>
      <c r="D160" s="11" t="n">
        <v>271.36</v>
      </c>
      <c r="E160" s="18"/>
      <c r="F160" s="17"/>
      <c r="G160" s="19"/>
    </row>
    <row r="161" customFormat="false" ht="15" hidden="false" customHeight="false" outlineLevel="0" collapsed="false">
      <c r="A161" s="20" t="s">
        <v>421</v>
      </c>
      <c r="B161" s="20" t="s">
        <v>422</v>
      </c>
      <c r="C161" s="20" t="s">
        <v>91</v>
      </c>
      <c r="D161" s="11" t="n">
        <v>122.9</v>
      </c>
      <c r="E161" s="18"/>
      <c r="F161" s="20"/>
      <c r="G161" s="21"/>
    </row>
    <row r="162" customFormat="false" ht="15" hidden="false" customHeight="false" outlineLevel="0" collapsed="false">
      <c r="A162" s="17" t="s">
        <v>423</v>
      </c>
      <c r="B162" s="17" t="s">
        <v>424</v>
      </c>
      <c r="C162" s="17" t="s">
        <v>91</v>
      </c>
      <c r="D162" s="11" t="n">
        <v>124.42</v>
      </c>
      <c r="E162" s="18"/>
      <c r="F162" s="17"/>
      <c r="G162" s="19"/>
    </row>
    <row r="163" customFormat="false" ht="15" hidden="false" customHeight="false" outlineLevel="0" collapsed="false">
      <c r="A163" s="20" t="s">
        <v>425</v>
      </c>
      <c r="B163" s="20" t="s">
        <v>426</v>
      </c>
      <c r="C163" s="20" t="s">
        <v>91</v>
      </c>
      <c r="D163" s="11" t="n">
        <v>194.41</v>
      </c>
      <c r="E163" s="18"/>
      <c r="F163" s="20"/>
      <c r="G163" s="21"/>
    </row>
    <row r="164" customFormat="false" ht="15" hidden="false" customHeight="false" outlineLevel="0" collapsed="false">
      <c r="A164" s="17" t="s">
        <v>427</v>
      </c>
      <c r="B164" s="17" t="s">
        <v>428</v>
      </c>
      <c r="C164" s="17" t="s">
        <v>91</v>
      </c>
      <c r="D164" s="11" t="n">
        <v>170.08</v>
      </c>
      <c r="E164" s="18"/>
      <c r="F164" s="17"/>
      <c r="G164" s="19"/>
    </row>
    <row r="165" customFormat="false" ht="15" hidden="false" customHeight="false" outlineLevel="0" collapsed="false">
      <c r="A165" s="20" t="s">
        <v>429</v>
      </c>
      <c r="B165" s="20" t="s">
        <v>430</v>
      </c>
      <c r="C165" s="20" t="s">
        <v>91</v>
      </c>
      <c r="D165" s="11" t="n">
        <v>232.51</v>
      </c>
      <c r="E165" s="18"/>
      <c r="F165" s="20"/>
      <c r="G165" s="21"/>
    </row>
    <row r="166" customFormat="false" ht="15" hidden="false" customHeight="false" outlineLevel="0" collapsed="false">
      <c r="A166" s="17" t="s">
        <v>431</v>
      </c>
      <c r="B166" s="17" t="s">
        <v>432</v>
      </c>
      <c r="C166" s="17" t="s">
        <v>91</v>
      </c>
      <c r="D166" s="11" t="n">
        <v>228.9</v>
      </c>
      <c r="E166" s="18"/>
      <c r="F166" s="17"/>
      <c r="G166" s="19"/>
    </row>
    <row r="167" customFormat="false" ht="15" hidden="false" customHeight="false" outlineLevel="0" collapsed="false">
      <c r="A167" s="20" t="s">
        <v>433</v>
      </c>
      <c r="B167" s="20" t="s">
        <v>434</v>
      </c>
      <c r="C167" s="20" t="s">
        <v>91</v>
      </c>
      <c r="D167" s="11" t="n">
        <v>265.85</v>
      </c>
      <c r="E167" s="18"/>
      <c r="F167" s="20"/>
      <c r="G167" s="21"/>
    </row>
    <row r="168" customFormat="false" ht="15" hidden="false" customHeight="false" outlineLevel="0" collapsed="false">
      <c r="A168" s="17" t="s">
        <v>435</v>
      </c>
      <c r="B168" s="17" t="s">
        <v>436</v>
      </c>
      <c r="C168" s="17" t="s">
        <v>91</v>
      </c>
      <c r="D168" s="11" t="n">
        <v>267.68</v>
      </c>
      <c r="E168" s="18"/>
      <c r="F168" s="17"/>
      <c r="G168" s="19"/>
    </row>
    <row r="169" customFormat="false" ht="15" hidden="false" customHeight="false" outlineLevel="0" collapsed="false">
      <c r="A169" s="20" t="s">
        <v>437</v>
      </c>
      <c r="B169" s="20" t="s">
        <v>438</v>
      </c>
      <c r="C169" s="20" t="s">
        <v>91</v>
      </c>
      <c r="D169" s="11" t="n">
        <v>329.27</v>
      </c>
      <c r="E169" s="18"/>
      <c r="F169" s="20"/>
      <c r="G169" s="21"/>
    </row>
    <row r="170" customFormat="false" ht="15" hidden="false" customHeight="false" outlineLevel="0" collapsed="false">
      <c r="A170" s="17" t="s">
        <v>439</v>
      </c>
      <c r="B170" s="17" t="s">
        <v>440</v>
      </c>
      <c r="C170" s="17" t="s">
        <v>91</v>
      </c>
      <c r="D170" s="11" t="n">
        <v>331.32</v>
      </c>
      <c r="E170" s="18"/>
      <c r="F170" s="17"/>
      <c r="G170" s="19"/>
    </row>
    <row r="171" customFormat="false" ht="15" hidden="false" customHeight="false" outlineLevel="0" collapsed="false">
      <c r="A171" s="20" t="s">
        <v>441</v>
      </c>
      <c r="B171" s="20" t="s">
        <v>442</v>
      </c>
      <c r="C171" s="20" t="s">
        <v>91</v>
      </c>
      <c r="D171" s="11" t="n">
        <v>329.27</v>
      </c>
      <c r="E171" s="18"/>
      <c r="F171" s="20"/>
      <c r="G171" s="21"/>
    </row>
    <row r="172" customFormat="false" ht="15" hidden="false" customHeight="false" outlineLevel="0" collapsed="false">
      <c r="A172" s="17" t="s">
        <v>443</v>
      </c>
      <c r="B172" s="17" t="s">
        <v>444</v>
      </c>
      <c r="C172" s="17" t="s">
        <v>85</v>
      </c>
      <c r="D172" s="11" t="n">
        <v>97.42</v>
      </c>
      <c r="E172" s="18"/>
      <c r="F172" s="17"/>
      <c r="G172" s="19"/>
    </row>
    <row r="173" customFormat="false" ht="15" hidden="false" customHeight="false" outlineLevel="0" collapsed="false">
      <c r="A173" s="20" t="s">
        <v>445</v>
      </c>
      <c r="B173" s="20" t="s">
        <v>446</v>
      </c>
      <c r="C173" s="20" t="s">
        <v>85</v>
      </c>
      <c r="D173" s="11" t="n">
        <v>134.46</v>
      </c>
      <c r="E173" s="18"/>
      <c r="F173" s="20"/>
      <c r="G173" s="21"/>
    </row>
    <row r="174" customFormat="false" ht="15" hidden="false" customHeight="false" outlineLevel="0" collapsed="false">
      <c r="A174" s="17" t="s">
        <v>447</v>
      </c>
      <c r="B174" s="17" t="s">
        <v>448</v>
      </c>
      <c r="C174" s="17" t="s">
        <v>85</v>
      </c>
      <c r="D174" s="11" t="n">
        <v>181.23</v>
      </c>
      <c r="E174" s="18"/>
      <c r="F174" s="17"/>
      <c r="G174" s="19"/>
    </row>
    <row r="175" customFormat="false" ht="15" hidden="false" customHeight="false" outlineLevel="0" collapsed="false">
      <c r="A175" s="20" t="s">
        <v>449</v>
      </c>
      <c r="B175" s="20" t="s">
        <v>450</v>
      </c>
      <c r="C175" s="20" t="s">
        <v>85</v>
      </c>
      <c r="D175" s="11" t="n">
        <v>127.42</v>
      </c>
      <c r="E175" s="18"/>
      <c r="F175" s="20"/>
      <c r="G175" s="21" t="s">
        <v>451</v>
      </c>
    </row>
    <row r="176" customFormat="false" ht="15" hidden="false" customHeight="false" outlineLevel="0" collapsed="false">
      <c r="A176" s="17" t="s">
        <v>452</v>
      </c>
      <c r="B176" s="17" t="s">
        <v>453</v>
      </c>
      <c r="C176" s="17" t="s">
        <v>85</v>
      </c>
      <c r="D176" s="11" t="n">
        <v>154.46</v>
      </c>
      <c r="E176" s="18"/>
      <c r="F176" s="17"/>
      <c r="G176" s="19" t="s">
        <v>451</v>
      </c>
    </row>
    <row r="177" customFormat="false" ht="15" hidden="false" customHeight="false" outlineLevel="0" collapsed="false">
      <c r="A177" s="20" t="s">
        <v>454</v>
      </c>
      <c r="B177" s="20" t="s">
        <v>455</v>
      </c>
      <c r="C177" s="20" t="s">
        <v>85</v>
      </c>
      <c r="D177" s="11" t="n">
        <v>121.07</v>
      </c>
      <c r="E177" s="18"/>
      <c r="F177" s="20"/>
      <c r="G177" s="21"/>
    </row>
    <row r="178" customFormat="false" ht="15" hidden="false" customHeight="false" outlineLevel="0" collapsed="false">
      <c r="A178" s="17" t="s">
        <v>456</v>
      </c>
      <c r="B178" s="17" t="s">
        <v>457</v>
      </c>
      <c r="C178" s="17" t="s">
        <v>85</v>
      </c>
      <c r="D178" s="11" t="n">
        <v>183.04</v>
      </c>
      <c r="E178" s="18"/>
      <c r="F178" s="17"/>
      <c r="G178" s="19"/>
    </row>
    <row r="179" customFormat="false" ht="15" hidden="false" customHeight="false" outlineLevel="0" collapsed="false">
      <c r="A179" s="20" t="s">
        <v>458</v>
      </c>
      <c r="B179" s="20" t="s">
        <v>459</v>
      </c>
      <c r="C179" s="20" t="s">
        <v>85</v>
      </c>
      <c r="D179" s="11" t="n">
        <v>277.75</v>
      </c>
      <c r="E179" s="18"/>
      <c r="F179" s="20"/>
      <c r="G179" s="21"/>
    </row>
    <row r="180" customFormat="false" ht="15" hidden="false" customHeight="false" outlineLevel="0" collapsed="false">
      <c r="A180" s="17" t="s">
        <v>460</v>
      </c>
      <c r="B180" s="17" t="s">
        <v>461</v>
      </c>
      <c r="C180" s="17" t="s">
        <v>85</v>
      </c>
      <c r="D180" s="11" t="n">
        <v>580.13</v>
      </c>
      <c r="E180" s="18"/>
      <c r="F180" s="17"/>
      <c r="G180" s="19"/>
    </row>
    <row r="181" customFormat="false" ht="15" hidden="false" customHeight="false" outlineLevel="0" collapsed="false">
      <c r="A181" s="20" t="s">
        <v>462</v>
      </c>
      <c r="B181" s="20" t="s">
        <v>463</v>
      </c>
      <c r="C181" s="20" t="s">
        <v>85</v>
      </c>
      <c r="D181" s="11" t="n">
        <v>149.88</v>
      </c>
      <c r="E181" s="18"/>
      <c r="F181" s="20"/>
      <c r="G181" s="21"/>
    </row>
    <row r="182" customFormat="false" ht="15" hidden="false" customHeight="false" outlineLevel="0" collapsed="false">
      <c r="A182" s="17" t="s">
        <v>464</v>
      </c>
      <c r="B182" s="17" t="s">
        <v>465</v>
      </c>
      <c r="C182" s="17" t="s">
        <v>85</v>
      </c>
      <c r="D182" s="11" t="n">
        <v>198.38</v>
      </c>
      <c r="E182" s="18"/>
      <c r="F182" s="17"/>
      <c r="G182" s="19"/>
    </row>
    <row r="183" customFormat="false" ht="15" hidden="false" customHeight="false" outlineLevel="0" collapsed="false">
      <c r="A183" s="20" t="s">
        <v>466</v>
      </c>
      <c r="B183" s="20" t="s">
        <v>467</v>
      </c>
      <c r="C183" s="20" t="s">
        <v>85</v>
      </c>
      <c r="D183" s="11" t="n">
        <v>301.03</v>
      </c>
      <c r="E183" s="18"/>
      <c r="F183" s="20"/>
      <c r="G183" s="21"/>
    </row>
    <row r="184" customFormat="false" ht="15" hidden="false" customHeight="false" outlineLevel="0" collapsed="false">
      <c r="A184" s="17" t="s">
        <v>468</v>
      </c>
      <c r="B184" s="17" t="s">
        <v>469</v>
      </c>
      <c r="C184" s="17" t="s">
        <v>85</v>
      </c>
      <c r="D184" s="11" t="n">
        <v>619.95</v>
      </c>
      <c r="E184" s="18"/>
      <c r="F184" s="17"/>
      <c r="G184" s="19"/>
    </row>
    <row r="185" customFormat="false" ht="15" hidden="false" customHeight="false" outlineLevel="0" collapsed="false">
      <c r="A185" s="20" t="s">
        <v>470</v>
      </c>
      <c r="B185" s="20" t="s">
        <v>471</v>
      </c>
      <c r="C185" s="20" t="s">
        <v>86</v>
      </c>
      <c r="D185" s="11" t="n">
        <v>220.94</v>
      </c>
      <c r="E185" s="18"/>
      <c r="F185" s="20"/>
      <c r="G185" s="21"/>
    </row>
    <row r="186" customFormat="false" ht="15" hidden="false" customHeight="false" outlineLevel="0" collapsed="false">
      <c r="A186" s="17" t="s">
        <v>472</v>
      </c>
      <c r="B186" s="17" t="s">
        <v>473</v>
      </c>
      <c r="C186" s="17" t="s">
        <v>86</v>
      </c>
      <c r="D186" s="11" t="n">
        <v>303.74</v>
      </c>
      <c r="E186" s="18"/>
      <c r="F186" s="17"/>
      <c r="G186" s="19"/>
    </row>
    <row r="187" customFormat="false" ht="15" hidden="false" customHeight="false" outlineLevel="0" collapsed="false">
      <c r="A187" s="20" t="s">
        <v>474</v>
      </c>
      <c r="B187" s="20" t="s">
        <v>475</v>
      </c>
      <c r="C187" s="20" t="s">
        <v>86</v>
      </c>
      <c r="D187" s="11" t="n">
        <v>408.87</v>
      </c>
      <c r="E187" s="18"/>
      <c r="F187" s="20"/>
      <c r="G187" s="21"/>
    </row>
    <row r="188" customFormat="false" ht="15" hidden="false" customHeight="false" outlineLevel="0" collapsed="false">
      <c r="A188" s="17" t="s">
        <v>476</v>
      </c>
      <c r="B188" s="17" t="s">
        <v>477</v>
      </c>
      <c r="C188" s="17" t="s">
        <v>86</v>
      </c>
      <c r="D188" s="11" t="n">
        <v>905.26</v>
      </c>
      <c r="E188" s="18"/>
      <c r="F188" s="17"/>
      <c r="G188" s="19"/>
    </row>
    <row r="189" customFormat="false" ht="15" hidden="false" customHeight="false" outlineLevel="0" collapsed="false">
      <c r="A189" s="20" t="s">
        <v>478</v>
      </c>
      <c r="B189" s="20" t="s">
        <v>479</v>
      </c>
      <c r="C189" s="20" t="s">
        <v>86</v>
      </c>
      <c r="D189" s="11" t="n">
        <v>956.96</v>
      </c>
      <c r="E189" s="18"/>
      <c r="F189" s="20"/>
      <c r="G189" s="21"/>
    </row>
    <row r="190" customFormat="false" ht="15" hidden="false" customHeight="false" outlineLevel="0" collapsed="false">
      <c r="A190" s="17" t="s">
        <v>480</v>
      </c>
      <c r="B190" s="17" t="s">
        <v>481</v>
      </c>
      <c r="C190" s="17" t="s">
        <v>86</v>
      </c>
      <c r="D190" s="11" t="n">
        <v>1393</v>
      </c>
      <c r="E190" s="18"/>
      <c r="F190" s="17"/>
      <c r="G190" s="19"/>
    </row>
    <row r="191" customFormat="false" ht="15" hidden="false" customHeight="false" outlineLevel="0" collapsed="false">
      <c r="A191" s="20" t="s">
        <v>482</v>
      </c>
      <c r="B191" s="20" t="s">
        <v>483</v>
      </c>
      <c r="C191" s="20" t="s">
        <v>85</v>
      </c>
      <c r="D191" s="11" t="n">
        <v>143.24</v>
      </c>
      <c r="E191" s="18"/>
      <c r="F191" s="20"/>
      <c r="G191" s="21"/>
    </row>
    <row r="192" customFormat="false" ht="15" hidden="false" customHeight="false" outlineLevel="0" collapsed="false">
      <c r="A192" s="17" t="s">
        <v>484</v>
      </c>
      <c r="B192" s="17" t="s">
        <v>485</v>
      </c>
      <c r="C192" s="17" t="s">
        <v>85</v>
      </c>
      <c r="D192" s="11" t="n">
        <v>215.68</v>
      </c>
      <c r="E192" s="18"/>
      <c r="F192" s="17"/>
      <c r="G192" s="19"/>
    </row>
    <row r="193" customFormat="false" ht="15" hidden="false" customHeight="false" outlineLevel="0" collapsed="false">
      <c r="A193" s="20" t="s">
        <v>486</v>
      </c>
      <c r="B193" s="20" t="s">
        <v>487</v>
      </c>
      <c r="C193" s="20" t="s">
        <v>85</v>
      </c>
      <c r="D193" s="11" t="n">
        <v>317.1</v>
      </c>
      <c r="E193" s="18"/>
      <c r="F193" s="20"/>
      <c r="G193" s="21"/>
    </row>
    <row r="194" customFormat="false" ht="15" hidden="false" customHeight="false" outlineLevel="0" collapsed="false">
      <c r="A194" s="17" t="s">
        <v>488</v>
      </c>
      <c r="B194" s="17" t="s">
        <v>489</v>
      </c>
      <c r="C194" s="17" t="s">
        <v>85</v>
      </c>
      <c r="D194" s="11" t="n">
        <v>651.12</v>
      </c>
      <c r="E194" s="18"/>
      <c r="F194" s="17"/>
      <c r="G194" s="19"/>
    </row>
    <row r="195" customFormat="false" ht="15" hidden="false" customHeight="false" outlineLevel="0" collapsed="false">
      <c r="A195" s="20" t="s">
        <v>490</v>
      </c>
      <c r="B195" s="20" t="s">
        <v>491</v>
      </c>
      <c r="C195" s="20" t="s">
        <v>85</v>
      </c>
      <c r="D195" s="11" t="n">
        <v>173.65</v>
      </c>
      <c r="E195" s="18"/>
      <c r="F195" s="20"/>
      <c r="G195" s="21"/>
    </row>
    <row r="196" customFormat="false" ht="15" hidden="false" customHeight="false" outlineLevel="0" collapsed="false">
      <c r="A196" s="17" t="s">
        <v>492</v>
      </c>
      <c r="B196" s="17" t="s">
        <v>493</v>
      </c>
      <c r="C196" s="17" t="s">
        <v>85</v>
      </c>
      <c r="D196" s="11" t="n">
        <v>234.63</v>
      </c>
      <c r="E196" s="18"/>
      <c r="F196" s="17"/>
      <c r="G196" s="19"/>
    </row>
    <row r="197" customFormat="false" ht="15" hidden="false" customHeight="false" outlineLevel="0" collapsed="false">
      <c r="A197" s="20" t="s">
        <v>494</v>
      </c>
      <c r="B197" s="20" t="s">
        <v>495</v>
      </c>
      <c r="C197" s="20" t="s">
        <v>85</v>
      </c>
      <c r="D197" s="11" t="n">
        <v>342.51</v>
      </c>
      <c r="E197" s="18"/>
      <c r="F197" s="20"/>
      <c r="G197" s="21"/>
    </row>
    <row r="198" customFormat="false" ht="15" hidden="false" customHeight="false" outlineLevel="0" collapsed="false">
      <c r="A198" s="17" t="s">
        <v>496</v>
      </c>
      <c r="B198" s="17" t="s">
        <v>497</v>
      </c>
      <c r="C198" s="17" t="s">
        <v>85</v>
      </c>
      <c r="D198" s="11" t="n">
        <v>686.97</v>
      </c>
      <c r="E198" s="18"/>
      <c r="F198" s="17"/>
      <c r="G198" s="19"/>
    </row>
    <row r="199" customFormat="false" ht="15" hidden="false" customHeight="false" outlineLevel="0" collapsed="false">
      <c r="A199" s="20" t="s">
        <v>498</v>
      </c>
      <c r="B199" s="20" t="s">
        <v>499</v>
      </c>
      <c r="C199" s="20" t="s">
        <v>86</v>
      </c>
      <c r="D199" s="11" t="n">
        <v>293.67</v>
      </c>
      <c r="E199" s="18"/>
      <c r="F199" s="20"/>
      <c r="G199" s="21"/>
    </row>
    <row r="200" customFormat="false" ht="15" hidden="false" customHeight="false" outlineLevel="0" collapsed="false">
      <c r="A200" s="17" t="s">
        <v>500</v>
      </c>
      <c r="B200" s="17" t="s">
        <v>501</v>
      </c>
      <c r="C200" s="17" t="s">
        <v>86</v>
      </c>
      <c r="D200" s="11" t="n">
        <v>360.26</v>
      </c>
      <c r="E200" s="18"/>
      <c r="F200" s="17"/>
      <c r="G200" s="19"/>
    </row>
    <row r="201" customFormat="false" ht="15" hidden="false" customHeight="false" outlineLevel="0" collapsed="false">
      <c r="A201" s="20" t="s">
        <v>502</v>
      </c>
      <c r="B201" s="20" t="s">
        <v>503</v>
      </c>
      <c r="C201" s="20" t="s">
        <v>86</v>
      </c>
      <c r="D201" s="11" t="n">
        <v>449.58</v>
      </c>
      <c r="E201" s="18"/>
      <c r="F201" s="20"/>
      <c r="G201" s="21"/>
    </row>
    <row r="202" customFormat="false" ht="15" hidden="false" customHeight="false" outlineLevel="0" collapsed="false">
      <c r="A202" s="17" t="s">
        <v>504</v>
      </c>
      <c r="B202" s="17" t="s">
        <v>505</v>
      </c>
      <c r="C202" s="17" t="s">
        <v>86</v>
      </c>
      <c r="D202" s="11" t="n">
        <v>980.21</v>
      </c>
      <c r="E202" s="18"/>
      <c r="F202" s="17"/>
      <c r="G202" s="19"/>
    </row>
    <row r="203" customFormat="false" ht="15" hidden="false" customHeight="false" outlineLevel="0" collapsed="false">
      <c r="A203" s="20" t="s">
        <v>506</v>
      </c>
      <c r="B203" s="20" t="s">
        <v>507</v>
      </c>
      <c r="C203" s="20" t="s">
        <v>86</v>
      </c>
      <c r="D203" s="11" t="n">
        <v>1078.18</v>
      </c>
      <c r="E203" s="18"/>
      <c r="F203" s="20"/>
      <c r="G203" s="21"/>
    </row>
    <row r="204" customFormat="false" ht="15" hidden="false" customHeight="false" outlineLevel="0" collapsed="false">
      <c r="A204" s="17" t="s">
        <v>508</v>
      </c>
      <c r="B204" s="17" t="s">
        <v>509</v>
      </c>
      <c r="C204" s="17" t="s">
        <v>86</v>
      </c>
      <c r="D204" s="11" t="n">
        <v>1393</v>
      </c>
      <c r="E204" s="18"/>
      <c r="F204" s="17"/>
      <c r="G204" s="19"/>
    </row>
    <row r="205" customFormat="false" ht="15" hidden="false" customHeight="false" outlineLevel="0" collapsed="false">
      <c r="A205" s="20" t="s">
        <v>510</v>
      </c>
      <c r="B205" s="20" t="s">
        <v>511</v>
      </c>
      <c r="C205" s="20" t="s">
        <v>85</v>
      </c>
      <c r="D205" s="11" t="n">
        <v>54.47</v>
      </c>
      <c r="E205" s="18"/>
      <c r="F205" s="20"/>
      <c r="G205" s="21"/>
    </row>
    <row r="206" customFormat="false" ht="15" hidden="false" customHeight="false" outlineLevel="0" collapsed="false">
      <c r="A206" s="17" t="s">
        <v>512</v>
      </c>
      <c r="B206" s="17" t="s">
        <v>513</v>
      </c>
      <c r="C206" s="17" t="s">
        <v>85</v>
      </c>
      <c r="D206" s="11" t="n">
        <v>59.8</v>
      </c>
      <c r="E206" s="18"/>
      <c r="F206" s="17"/>
      <c r="G206" s="19"/>
    </row>
    <row r="207" customFormat="false" ht="15" hidden="false" customHeight="false" outlineLevel="0" collapsed="false">
      <c r="A207" s="20" t="s">
        <v>514</v>
      </c>
      <c r="B207" s="20" t="s">
        <v>515</v>
      </c>
      <c r="C207" s="20" t="s">
        <v>85</v>
      </c>
      <c r="D207" s="11" t="n">
        <v>63.11</v>
      </c>
      <c r="E207" s="18"/>
      <c r="F207" s="20"/>
      <c r="G207" s="21"/>
    </row>
    <row r="208" customFormat="false" ht="15" hidden="false" customHeight="false" outlineLevel="0" collapsed="false">
      <c r="A208" s="17" t="s">
        <v>516</v>
      </c>
      <c r="B208" s="17" t="s">
        <v>517</v>
      </c>
      <c r="C208" s="17" t="s">
        <v>85</v>
      </c>
      <c r="D208" s="11" t="n">
        <v>69.27</v>
      </c>
      <c r="E208" s="18"/>
      <c r="F208" s="17"/>
      <c r="G208" s="19"/>
    </row>
    <row r="209" customFormat="false" ht="15" hidden="false" customHeight="false" outlineLevel="0" collapsed="false">
      <c r="A209" s="20" t="s">
        <v>518</v>
      </c>
      <c r="B209" s="20" t="s">
        <v>519</v>
      </c>
      <c r="C209" s="20" t="s">
        <v>97</v>
      </c>
      <c r="D209" s="11" t="n">
        <v>38.11</v>
      </c>
      <c r="E209" s="18"/>
      <c r="F209" s="20"/>
      <c r="G209" s="21" t="s">
        <v>520</v>
      </c>
    </row>
    <row r="210" customFormat="false" ht="15" hidden="false" customHeight="false" outlineLevel="0" collapsed="false">
      <c r="A210" s="17" t="s">
        <v>521</v>
      </c>
      <c r="B210" s="17" t="s">
        <v>522</v>
      </c>
      <c r="C210" s="17" t="s">
        <v>97</v>
      </c>
      <c r="D210" s="11" t="n">
        <v>44.27</v>
      </c>
      <c r="E210" s="18"/>
      <c r="F210" s="17"/>
      <c r="G210" s="19" t="s">
        <v>520</v>
      </c>
    </row>
    <row r="211" customFormat="false" ht="15" hidden="false" customHeight="false" outlineLevel="0" collapsed="false">
      <c r="A211" s="20" t="s">
        <v>523</v>
      </c>
      <c r="B211" s="20" t="s">
        <v>524</v>
      </c>
      <c r="C211" s="20" t="s">
        <v>97</v>
      </c>
      <c r="D211" s="11" t="n">
        <v>94.36</v>
      </c>
      <c r="E211" s="18"/>
      <c r="F211" s="20"/>
      <c r="G211" s="21" t="s">
        <v>520</v>
      </c>
    </row>
    <row r="212" customFormat="false" ht="15" hidden="false" customHeight="false" outlineLevel="0" collapsed="false">
      <c r="A212" s="17" t="s">
        <v>525</v>
      </c>
      <c r="B212" s="17" t="s">
        <v>526</v>
      </c>
      <c r="C212" s="17" t="s">
        <v>97</v>
      </c>
      <c r="D212" s="11" t="n">
        <v>52.34</v>
      </c>
      <c r="E212" s="18"/>
      <c r="F212" s="17"/>
      <c r="G212" s="19" t="s">
        <v>520</v>
      </c>
    </row>
    <row r="213" customFormat="false" ht="15" hidden="false" customHeight="false" outlineLevel="0" collapsed="false">
      <c r="A213" s="20" t="s">
        <v>527</v>
      </c>
      <c r="B213" s="20" t="s">
        <v>528</v>
      </c>
      <c r="C213" s="20" t="s">
        <v>97</v>
      </c>
      <c r="D213" s="11" t="n">
        <v>68.24</v>
      </c>
      <c r="E213" s="18"/>
      <c r="F213" s="20"/>
      <c r="G213" s="21" t="s">
        <v>520</v>
      </c>
    </row>
    <row r="214" customFormat="false" ht="15" hidden="false" customHeight="false" outlineLevel="0" collapsed="false">
      <c r="A214" s="17" t="s">
        <v>529</v>
      </c>
      <c r="B214" s="17" t="s">
        <v>530</v>
      </c>
      <c r="C214" s="17" t="s">
        <v>97</v>
      </c>
      <c r="D214" s="11" t="n">
        <v>136.51</v>
      </c>
      <c r="E214" s="18"/>
      <c r="F214" s="17"/>
      <c r="G214" s="19" t="s">
        <v>520</v>
      </c>
    </row>
    <row r="215" customFormat="false" ht="15" hidden="false" customHeight="false" outlineLevel="0" collapsed="false">
      <c r="A215" s="20" t="s">
        <v>531</v>
      </c>
      <c r="B215" s="20" t="s">
        <v>532</v>
      </c>
      <c r="C215" s="20" t="s">
        <v>97</v>
      </c>
      <c r="D215" s="11" t="n">
        <v>50.43</v>
      </c>
      <c r="E215" s="18"/>
      <c r="F215" s="20"/>
      <c r="G215" s="21" t="s">
        <v>520</v>
      </c>
    </row>
    <row r="216" customFormat="false" ht="15" hidden="false" customHeight="false" outlineLevel="0" collapsed="false">
      <c r="A216" s="17" t="s">
        <v>533</v>
      </c>
      <c r="B216" s="17" t="s">
        <v>534</v>
      </c>
      <c r="C216" s="17" t="s">
        <v>97</v>
      </c>
      <c r="D216" s="11" t="n">
        <v>64.43</v>
      </c>
      <c r="E216" s="18"/>
      <c r="F216" s="17"/>
      <c r="G216" s="19" t="s">
        <v>520</v>
      </c>
    </row>
    <row r="217" customFormat="false" ht="15" hidden="false" customHeight="false" outlineLevel="0" collapsed="false">
      <c r="A217" s="20" t="s">
        <v>535</v>
      </c>
      <c r="B217" s="20" t="s">
        <v>536</v>
      </c>
      <c r="C217" s="20" t="s">
        <v>97</v>
      </c>
      <c r="D217" s="11" t="n">
        <v>118.62</v>
      </c>
      <c r="E217" s="18"/>
      <c r="F217" s="20"/>
      <c r="G217" s="21" t="s">
        <v>520</v>
      </c>
    </row>
    <row r="218" customFormat="false" ht="15" hidden="false" customHeight="false" outlineLevel="0" collapsed="false">
      <c r="A218" s="17" t="s">
        <v>537</v>
      </c>
      <c r="B218" s="17" t="s">
        <v>538</v>
      </c>
      <c r="C218" s="17" t="s">
        <v>97</v>
      </c>
      <c r="D218" s="11" t="n">
        <v>76.56</v>
      </c>
      <c r="E218" s="18"/>
      <c r="F218" s="17"/>
      <c r="G218" s="19" t="s">
        <v>520</v>
      </c>
    </row>
    <row r="219" customFormat="false" ht="15" hidden="false" customHeight="false" outlineLevel="0" collapsed="false">
      <c r="A219" s="20" t="s">
        <v>539</v>
      </c>
      <c r="B219" s="20" t="s">
        <v>540</v>
      </c>
      <c r="C219" s="20" t="s">
        <v>97</v>
      </c>
      <c r="D219" s="11" t="n">
        <v>90.73</v>
      </c>
      <c r="E219" s="18"/>
      <c r="F219" s="20"/>
      <c r="G219" s="21" t="s">
        <v>520</v>
      </c>
    </row>
    <row r="220" customFormat="false" ht="15" hidden="false" customHeight="false" outlineLevel="0" collapsed="false">
      <c r="A220" s="17" t="s">
        <v>541</v>
      </c>
      <c r="B220" s="17" t="s">
        <v>542</v>
      </c>
      <c r="C220" s="17" t="s">
        <v>97</v>
      </c>
      <c r="D220" s="11" t="n">
        <v>170.07</v>
      </c>
      <c r="E220" s="18"/>
      <c r="F220" s="17"/>
      <c r="G220" s="19" t="s">
        <v>520</v>
      </c>
    </row>
    <row r="221" customFormat="false" ht="15" hidden="false" customHeight="false" outlineLevel="0" collapsed="false">
      <c r="A221" s="20" t="s">
        <v>543</v>
      </c>
      <c r="B221" s="20" t="s">
        <v>544</v>
      </c>
      <c r="C221" s="20" t="s">
        <v>93</v>
      </c>
      <c r="D221" s="11" t="n">
        <v>57.21</v>
      </c>
      <c r="E221" s="18"/>
      <c r="F221" s="20"/>
      <c r="G221" s="21"/>
    </row>
    <row r="222" customFormat="false" ht="15" hidden="false" customHeight="false" outlineLevel="0" collapsed="false">
      <c r="A222" s="17" t="s">
        <v>545</v>
      </c>
      <c r="B222" s="17" t="s">
        <v>546</v>
      </c>
      <c r="C222" s="17" t="s">
        <v>93</v>
      </c>
      <c r="D222" s="11" t="n">
        <v>46.19</v>
      </c>
      <c r="E222" s="18"/>
      <c r="F222" s="17"/>
      <c r="G222" s="19"/>
    </row>
    <row r="223" customFormat="false" ht="15" hidden="false" customHeight="false" outlineLevel="0" collapsed="false">
      <c r="A223" s="20" t="s">
        <v>547</v>
      </c>
      <c r="B223" s="20" t="s">
        <v>548</v>
      </c>
      <c r="C223" s="20" t="s">
        <v>93</v>
      </c>
      <c r="D223" s="11" t="n">
        <v>98.64</v>
      </c>
      <c r="E223" s="18"/>
      <c r="F223" s="20"/>
      <c r="G223" s="21"/>
    </row>
    <row r="224" customFormat="false" ht="15" hidden="false" customHeight="false" outlineLevel="0" collapsed="false">
      <c r="A224" s="17" t="s">
        <v>549</v>
      </c>
      <c r="B224" s="17" t="s">
        <v>550</v>
      </c>
      <c r="C224" s="17" t="s">
        <v>97</v>
      </c>
      <c r="D224" s="11" t="n">
        <v>60.74</v>
      </c>
      <c r="E224" s="18"/>
      <c r="F224" s="17"/>
      <c r="G224" s="19" t="s">
        <v>520</v>
      </c>
    </row>
    <row r="225" customFormat="false" ht="15" hidden="false" customHeight="false" outlineLevel="0" collapsed="false">
      <c r="A225" s="20" t="s">
        <v>551</v>
      </c>
      <c r="B225" s="20" t="s">
        <v>552</v>
      </c>
      <c r="C225" s="20" t="s">
        <v>97</v>
      </c>
      <c r="D225" s="11" t="n">
        <v>76.36</v>
      </c>
      <c r="E225" s="18"/>
      <c r="F225" s="20"/>
      <c r="G225" s="21" t="s">
        <v>520</v>
      </c>
    </row>
    <row r="226" customFormat="false" ht="15" hidden="false" customHeight="false" outlineLevel="0" collapsed="false">
      <c r="A226" s="17" t="s">
        <v>553</v>
      </c>
      <c r="B226" s="17" t="s">
        <v>554</v>
      </c>
      <c r="C226" s="17" t="s">
        <v>97</v>
      </c>
      <c r="D226" s="11" t="n">
        <v>116.98</v>
      </c>
      <c r="E226" s="18"/>
      <c r="F226" s="17"/>
      <c r="G226" s="19" t="s">
        <v>520</v>
      </c>
    </row>
    <row r="227" customFormat="false" ht="15" hidden="false" customHeight="false" outlineLevel="0" collapsed="false">
      <c r="A227" s="20" t="s">
        <v>555</v>
      </c>
      <c r="B227" s="20" t="s">
        <v>556</v>
      </c>
      <c r="C227" s="20" t="s">
        <v>97</v>
      </c>
      <c r="D227" s="11" t="n">
        <v>39.22</v>
      </c>
      <c r="E227" s="18"/>
      <c r="F227" s="20"/>
      <c r="G227" s="21" t="s">
        <v>520</v>
      </c>
    </row>
    <row r="228" customFormat="false" ht="15" hidden="false" customHeight="false" outlineLevel="0" collapsed="false">
      <c r="A228" s="17" t="s">
        <v>557</v>
      </c>
      <c r="B228" s="17" t="s">
        <v>558</v>
      </c>
      <c r="C228" s="17" t="s">
        <v>97</v>
      </c>
      <c r="D228" s="11" t="n">
        <v>45.58</v>
      </c>
      <c r="E228" s="18"/>
      <c r="F228" s="17"/>
      <c r="G228" s="19" t="s">
        <v>520</v>
      </c>
    </row>
    <row r="229" customFormat="false" ht="15" hidden="false" customHeight="false" outlineLevel="0" collapsed="false">
      <c r="A229" s="20" t="s">
        <v>559</v>
      </c>
      <c r="B229" s="20" t="s">
        <v>560</v>
      </c>
      <c r="C229" s="20" t="s">
        <v>97</v>
      </c>
      <c r="D229" s="11" t="n">
        <v>96.46</v>
      </c>
      <c r="E229" s="18"/>
      <c r="F229" s="20"/>
      <c r="G229" s="21" t="s">
        <v>520</v>
      </c>
    </row>
    <row r="230" customFormat="false" ht="15" hidden="false" customHeight="false" outlineLevel="0" collapsed="false">
      <c r="A230" s="17" t="s">
        <v>561</v>
      </c>
      <c r="B230" s="17" t="s">
        <v>562</v>
      </c>
      <c r="C230" s="17" t="s">
        <v>97</v>
      </c>
      <c r="D230" s="11" t="n">
        <v>54.06</v>
      </c>
      <c r="E230" s="18"/>
      <c r="F230" s="17"/>
      <c r="G230" s="19" t="s">
        <v>520</v>
      </c>
    </row>
    <row r="231" customFormat="false" ht="15" hidden="false" customHeight="false" outlineLevel="0" collapsed="false">
      <c r="A231" s="20" t="s">
        <v>563</v>
      </c>
      <c r="B231" s="20" t="s">
        <v>564</v>
      </c>
      <c r="C231" s="20" t="s">
        <v>97</v>
      </c>
      <c r="D231" s="11" t="n">
        <v>69.96</v>
      </c>
      <c r="E231" s="18"/>
      <c r="F231" s="20"/>
      <c r="G231" s="21" t="s">
        <v>520</v>
      </c>
    </row>
    <row r="232" customFormat="false" ht="15" hidden="false" customHeight="false" outlineLevel="0" collapsed="false">
      <c r="A232" s="17" t="s">
        <v>565</v>
      </c>
      <c r="B232" s="17" t="s">
        <v>566</v>
      </c>
      <c r="C232" s="17" t="s">
        <v>97</v>
      </c>
      <c r="D232" s="11" t="n">
        <v>121.9</v>
      </c>
      <c r="E232" s="18"/>
      <c r="F232" s="17"/>
      <c r="G232" s="19" t="s">
        <v>520</v>
      </c>
    </row>
    <row r="233" customFormat="false" ht="15" hidden="false" customHeight="false" outlineLevel="0" collapsed="false">
      <c r="A233" s="20" t="s">
        <v>567</v>
      </c>
      <c r="B233" s="20" t="s">
        <v>568</v>
      </c>
      <c r="C233" s="20" t="s">
        <v>97</v>
      </c>
      <c r="D233" s="11" t="n">
        <v>45.58</v>
      </c>
      <c r="E233" s="18"/>
      <c r="F233" s="20"/>
      <c r="G233" s="21" t="s">
        <v>520</v>
      </c>
    </row>
    <row r="234" customFormat="false" ht="15" hidden="false" customHeight="false" outlineLevel="0" collapsed="false">
      <c r="A234" s="17" t="s">
        <v>569</v>
      </c>
      <c r="B234" s="17" t="s">
        <v>570</v>
      </c>
      <c r="C234" s="17" t="s">
        <v>97</v>
      </c>
      <c r="D234" s="11" t="n">
        <v>53</v>
      </c>
      <c r="E234" s="18"/>
      <c r="F234" s="17"/>
      <c r="G234" s="19" t="s">
        <v>520</v>
      </c>
    </row>
    <row r="235" customFormat="false" ht="15" hidden="false" customHeight="false" outlineLevel="0" collapsed="false">
      <c r="A235" s="20" t="s">
        <v>571</v>
      </c>
      <c r="B235" s="20" t="s">
        <v>572</v>
      </c>
      <c r="C235" s="20" t="s">
        <v>97</v>
      </c>
      <c r="D235" s="11" t="n">
        <v>104.94</v>
      </c>
      <c r="E235" s="18"/>
      <c r="F235" s="20"/>
      <c r="G235" s="21" t="s">
        <v>520</v>
      </c>
    </row>
    <row r="236" customFormat="false" ht="15" hidden="false" customHeight="false" outlineLevel="0" collapsed="false">
      <c r="A236" s="17" t="s">
        <v>573</v>
      </c>
      <c r="B236" s="17" t="s">
        <v>574</v>
      </c>
      <c r="C236" s="17" t="s">
        <v>97</v>
      </c>
      <c r="D236" s="11" t="n">
        <v>64.66</v>
      </c>
      <c r="E236" s="18"/>
      <c r="F236" s="17"/>
      <c r="G236" s="19" t="s">
        <v>520</v>
      </c>
    </row>
    <row r="237" customFormat="false" ht="15" hidden="false" customHeight="false" outlineLevel="0" collapsed="false">
      <c r="A237" s="20" t="s">
        <v>575</v>
      </c>
      <c r="B237" s="20" t="s">
        <v>576</v>
      </c>
      <c r="C237" s="20" t="s">
        <v>97</v>
      </c>
      <c r="D237" s="11" t="n">
        <v>80.56</v>
      </c>
      <c r="E237" s="18"/>
      <c r="F237" s="20"/>
      <c r="G237" s="21" t="s">
        <v>520</v>
      </c>
    </row>
    <row r="238" customFormat="false" ht="15" hidden="false" customHeight="false" outlineLevel="0" collapsed="false">
      <c r="A238" s="17" t="s">
        <v>577</v>
      </c>
      <c r="B238" s="17" t="s">
        <v>578</v>
      </c>
      <c r="C238" s="17" t="s">
        <v>97</v>
      </c>
      <c r="D238" s="11" t="n">
        <v>132.5</v>
      </c>
      <c r="E238" s="18"/>
      <c r="F238" s="17"/>
      <c r="G238" s="19" t="s">
        <v>520</v>
      </c>
    </row>
    <row r="239" customFormat="false" ht="15" hidden="false" customHeight="false" outlineLevel="0" collapsed="false">
      <c r="A239" s="20" t="s">
        <v>579</v>
      </c>
      <c r="B239" s="20" t="s">
        <v>580</v>
      </c>
      <c r="C239" s="20" t="s">
        <v>89</v>
      </c>
      <c r="D239" s="11" t="n">
        <v>84.79</v>
      </c>
      <c r="E239" s="18"/>
      <c r="F239" s="20"/>
      <c r="G239" s="21"/>
    </row>
    <row r="240" customFormat="false" ht="15" hidden="false" customHeight="false" outlineLevel="0" collapsed="false">
      <c r="A240" s="17" t="s">
        <v>581</v>
      </c>
      <c r="B240" s="17" t="s">
        <v>582</v>
      </c>
      <c r="C240" s="17" t="s">
        <v>89</v>
      </c>
      <c r="D240" s="11" t="n">
        <v>102.8</v>
      </c>
      <c r="E240" s="18"/>
      <c r="F240" s="17"/>
      <c r="G240" s="19"/>
    </row>
    <row r="241" customFormat="false" ht="15" hidden="false" customHeight="false" outlineLevel="0" collapsed="false">
      <c r="A241" s="20" t="s">
        <v>583</v>
      </c>
      <c r="B241" s="20" t="s">
        <v>584</v>
      </c>
      <c r="C241" s="20" t="s">
        <v>94</v>
      </c>
      <c r="D241" s="11" t="n">
        <v>242.68</v>
      </c>
      <c r="E241" s="18"/>
      <c r="F241" s="20"/>
      <c r="G241" s="21"/>
    </row>
    <row r="242" customFormat="false" ht="15" hidden="false" customHeight="false" outlineLevel="0" collapsed="false">
      <c r="A242" s="17" t="s">
        <v>585</v>
      </c>
      <c r="B242" s="17" t="s">
        <v>586</v>
      </c>
      <c r="C242" s="17" t="s">
        <v>84</v>
      </c>
      <c r="D242" s="11" t="n">
        <v>247.86</v>
      </c>
      <c r="E242" s="18"/>
      <c r="F242" s="17"/>
      <c r="G242" s="19"/>
    </row>
    <row r="243" customFormat="false" ht="15" hidden="false" customHeight="false" outlineLevel="0" collapsed="false">
      <c r="A243" s="20" t="s">
        <v>587</v>
      </c>
      <c r="B243" s="20" t="s">
        <v>588</v>
      </c>
      <c r="C243" s="20" t="s">
        <v>84</v>
      </c>
      <c r="D243" s="11" t="n">
        <v>236.22</v>
      </c>
      <c r="E243" s="18"/>
      <c r="F243" s="20" t="s">
        <v>589</v>
      </c>
      <c r="G243" s="21"/>
    </row>
    <row r="244" customFormat="false" ht="15" hidden="false" customHeight="false" outlineLevel="0" collapsed="false">
      <c r="A244" s="17" t="s">
        <v>590</v>
      </c>
      <c r="B244" s="17" t="s">
        <v>591</v>
      </c>
      <c r="C244" s="17" t="s">
        <v>84</v>
      </c>
      <c r="D244" s="11" t="n">
        <v>238.66</v>
      </c>
      <c r="E244" s="18"/>
      <c r="F244" s="17"/>
      <c r="G244" s="19"/>
    </row>
    <row r="245" customFormat="false" ht="15" hidden="false" customHeight="false" outlineLevel="0" collapsed="false">
      <c r="A245" s="20" t="s">
        <v>592</v>
      </c>
      <c r="B245" s="20" t="s">
        <v>593</v>
      </c>
      <c r="C245" s="20" t="s">
        <v>84</v>
      </c>
      <c r="D245" s="11" t="n">
        <v>139.81</v>
      </c>
      <c r="E245" s="18"/>
      <c r="F245" s="20" t="s">
        <v>594</v>
      </c>
      <c r="G245" s="21"/>
    </row>
    <row r="246" customFormat="false" ht="15" hidden="false" customHeight="false" outlineLevel="0" collapsed="false">
      <c r="A246" s="17" t="s">
        <v>595</v>
      </c>
      <c r="B246" s="17" t="s">
        <v>596</v>
      </c>
      <c r="C246" s="17" t="s">
        <v>84</v>
      </c>
      <c r="D246" s="11" t="n">
        <v>75</v>
      </c>
      <c r="E246" s="18"/>
      <c r="F246" s="17"/>
      <c r="G246" s="19"/>
    </row>
    <row r="247" customFormat="false" ht="15" hidden="false" customHeight="false" outlineLevel="0" collapsed="false">
      <c r="A247" s="20" t="s">
        <v>597</v>
      </c>
      <c r="B247" s="20" t="s">
        <v>598</v>
      </c>
      <c r="C247" s="20" t="s">
        <v>84</v>
      </c>
      <c r="D247" s="11" t="n">
        <v>156</v>
      </c>
      <c r="E247" s="18"/>
      <c r="F247" s="20" t="s">
        <v>599</v>
      </c>
      <c r="G247" s="21"/>
    </row>
    <row r="248" customFormat="false" ht="15" hidden="false" customHeight="false" outlineLevel="0" collapsed="false">
      <c r="A248" s="17" t="s">
        <v>600</v>
      </c>
      <c r="B248" s="17" t="s">
        <v>601</v>
      </c>
      <c r="C248" s="17" t="s">
        <v>84</v>
      </c>
      <c r="D248" s="11" t="n">
        <v>159</v>
      </c>
      <c r="E248" s="18"/>
      <c r="F248" s="17"/>
      <c r="G248" s="19"/>
    </row>
    <row r="249" customFormat="false" ht="15" hidden="false" customHeight="false" outlineLevel="0" collapsed="false">
      <c r="A249" s="20" t="s">
        <v>602</v>
      </c>
      <c r="B249" s="20" t="s">
        <v>603</v>
      </c>
      <c r="C249" s="20" t="s">
        <v>84</v>
      </c>
      <c r="D249" s="11" t="n">
        <v>164.3</v>
      </c>
      <c r="E249" s="18"/>
      <c r="F249" s="20"/>
      <c r="G249" s="21"/>
    </row>
    <row r="250" customFormat="false" ht="15" hidden="false" customHeight="false" outlineLevel="0" collapsed="false">
      <c r="A250" s="17" t="s">
        <v>604</v>
      </c>
      <c r="B250" s="17" t="s">
        <v>605</v>
      </c>
      <c r="C250" s="17" t="s">
        <v>85</v>
      </c>
      <c r="D250" s="11" t="n">
        <v>277.43</v>
      </c>
      <c r="E250" s="18"/>
      <c r="F250" s="17"/>
      <c r="G250" s="19"/>
    </row>
    <row r="251" customFormat="false" ht="15" hidden="false" customHeight="false" outlineLevel="0" collapsed="false">
      <c r="A251" s="20" t="s">
        <v>606</v>
      </c>
      <c r="B251" s="20" t="s">
        <v>607</v>
      </c>
      <c r="C251" s="20" t="s">
        <v>85</v>
      </c>
      <c r="D251" s="11" t="n">
        <v>288.65</v>
      </c>
      <c r="E251" s="18"/>
      <c r="F251" s="20"/>
      <c r="G251" s="21"/>
    </row>
    <row r="252" customFormat="false" ht="15" hidden="false" customHeight="false" outlineLevel="0" collapsed="false">
      <c r="A252" s="17" t="s">
        <v>608</v>
      </c>
      <c r="B252" s="17" t="s">
        <v>609</v>
      </c>
      <c r="C252" s="17" t="s">
        <v>85</v>
      </c>
      <c r="D252" s="11" t="n">
        <v>297.96</v>
      </c>
      <c r="E252" s="18"/>
      <c r="F252" s="17"/>
      <c r="G252" s="19"/>
    </row>
    <row r="253" customFormat="false" ht="15" hidden="false" customHeight="false" outlineLevel="0" collapsed="false">
      <c r="A253" s="20" t="s">
        <v>610</v>
      </c>
      <c r="B253" s="20" t="s">
        <v>611</v>
      </c>
      <c r="C253" s="20" t="s">
        <v>85</v>
      </c>
      <c r="D253" s="11" t="n">
        <v>388.44</v>
      </c>
      <c r="E253" s="18"/>
      <c r="F253" s="20"/>
      <c r="G253" s="21"/>
    </row>
    <row r="254" customFormat="false" ht="15" hidden="false" customHeight="false" outlineLevel="0" collapsed="false">
      <c r="A254" s="17" t="s">
        <v>612</v>
      </c>
      <c r="B254" s="17" t="s">
        <v>613</v>
      </c>
      <c r="C254" s="17" t="s">
        <v>85</v>
      </c>
      <c r="D254" s="11" t="n">
        <v>394.64</v>
      </c>
      <c r="E254" s="18"/>
      <c r="F254" s="17"/>
      <c r="G254" s="19"/>
    </row>
    <row r="255" customFormat="false" ht="15" hidden="false" customHeight="false" outlineLevel="0" collapsed="false">
      <c r="A255" s="20" t="s">
        <v>614</v>
      </c>
      <c r="B255" s="20" t="s">
        <v>615</v>
      </c>
      <c r="C255" s="20" t="s">
        <v>85</v>
      </c>
      <c r="D255" s="11" t="n">
        <v>401</v>
      </c>
      <c r="E255" s="18"/>
      <c r="F255" s="20"/>
      <c r="G255" s="21"/>
    </row>
    <row r="256" customFormat="false" ht="15" hidden="false" customHeight="false" outlineLevel="0" collapsed="false">
      <c r="A256" s="17" t="s">
        <v>616</v>
      </c>
      <c r="B256" s="17" t="s">
        <v>617</v>
      </c>
      <c r="C256" s="17" t="s">
        <v>85</v>
      </c>
      <c r="D256" s="11" t="n">
        <v>291.85</v>
      </c>
      <c r="E256" s="18"/>
      <c r="F256" s="17"/>
      <c r="G256" s="19"/>
    </row>
    <row r="257" customFormat="false" ht="15" hidden="false" customHeight="false" outlineLevel="0" collapsed="false">
      <c r="A257" s="20" t="s">
        <v>618</v>
      </c>
      <c r="B257" s="20" t="s">
        <v>619</v>
      </c>
      <c r="C257" s="20" t="s">
        <v>85</v>
      </c>
      <c r="D257" s="11" t="n">
        <v>301.44</v>
      </c>
      <c r="E257" s="18"/>
      <c r="F257" s="20"/>
      <c r="G257" s="21"/>
    </row>
    <row r="258" customFormat="false" ht="15" hidden="false" customHeight="false" outlineLevel="0" collapsed="false">
      <c r="A258" s="17" t="s">
        <v>620</v>
      </c>
      <c r="B258" s="17" t="s">
        <v>621</v>
      </c>
      <c r="C258" s="17" t="s">
        <v>85</v>
      </c>
      <c r="D258" s="11" t="n">
        <v>314.8</v>
      </c>
      <c r="E258" s="18"/>
      <c r="F258" s="17"/>
      <c r="G258" s="19"/>
    </row>
    <row r="259" customFormat="false" ht="15" hidden="false" customHeight="false" outlineLevel="0" collapsed="false">
      <c r="A259" s="20" t="s">
        <v>622</v>
      </c>
      <c r="B259" s="20" t="s">
        <v>623</v>
      </c>
      <c r="C259" s="20" t="s">
        <v>85</v>
      </c>
      <c r="D259" s="11" t="n">
        <v>405.46</v>
      </c>
      <c r="E259" s="18"/>
      <c r="F259" s="20"/>
      <c r="G259" s="21"/>
    </row>
    <row r="260" customFormat="false" ht="15" hidden="false" customHeight="false" outlineLevel="0" collapsed="false">
      <c r="A260" s="17" t="s">
        <v>624</v>
      </c>
      <c r="B260" s="17" t="s">
        <v>625</v>
      </c>
      <c r="C260" s="17" t="s">
        <v>85</v>
      </c>
      <c r="D260" s="11" t="n">
        <v>428.69</v>
      </c>
      <c r="E260" s="18"/>
      <c r="F260" s="17"/>
      <c r="G260" s="19"/>
    </row>
    <row r="261" customFormat="false" ht="15" hidden="false" customHeight="false" outlineLevel="0" collapsed="false">
      <c r="A261" s="20" t="s">
        <v>626</v>
      </c>
      <c r="B261" s="20" t="s">
        <v>627</v>
      </c>
      <c r="C261" s="20" t="s">
        <v>85</v>
      </c>
      <c r="D261" s="11" t="n">
        <v>418.39</v>
      </c>
      <c r="E261" s="18"/>
      <c r="F261" s="20"/>
      <c r="G261" s="21"/>
    </row>
    <row r="262" customFormat="false" ht="15" hidden="false" customHeight="false" outlineLevel="0" collapsed="false">
      <c r="A262" s="17" t="s">
        <v>628</v>
      </c>
      <c r="B262" s="17" t="s">
        <v>629</v>
      </c>
      <c r="C262" s="17" t="s">
        <v>87</v>
      </c>
      <c r="D262" s="11" t="n">
        <v>318.15</v>
      </c>
      <c r="E262" s="18"/>
      <c r="F262" s="17"/>
      <c r="G262" s="19"/>
    </row>
    <row r="263" customFormat="false" ht="15" hidden="false" customHeight="false" outlineLevel="0" collapsed="false">
      <c r="A263" s="20" t="s">
        <v>630</v>
      </c>
      <c r="B263" s="20" t="s">
        <v>631</v>
      </c>
      <c r="C263" s="20" t="s">
        <v>87</v>
      </c>
      <c r="D263" s="11" t="n">
        <v>324.51</v>
      </c>
      <c r="E263" s="18"/>
      <c r="F263" s="20"/>
      <c r="G263" s="21"/>
    </row>
    <row r="264" customFormat="false" ht="15" hidden="false" customHeight="false" outlineLevel="0" collapsed="false">
      <c r="A264" s="17" t="s">
        <v>632</v>
      </c>
      <c r="B264" s="17" t="s">
        <v>633</v>
      </c>
      <c r="C264" s="17" t="s">
        <v>87</v>
      </c>
      <c r="D264" s="11" t="n">
        <v>574.44</v>
      </c>
      <c r="E264" s="18"/>
      <c r="F264" s="17"/>
      <c r="G264" s="19"/>
    </row>
    <row r="265" customFormat="false" ht="15" hidden="false" customHeight="false" outlineLevel="0" collapsed="false">
      <c r="A265" s="20" t="s">
        <v>634</v>
      </c>
      <c r="B265" s="20" t="s">
        <v>635</v>
      </c>
      <c r="C265" s="20" t="s">
        <v>86</v>
      </c>
      <c r="D265" s="11" t="n">
        <v>451.04</v>
      </c>
      <c r="E265" s="18"/>
      <c r="F265" s="20"/>
      <c r="G265" s="21"/>
    </row>
    <row r="266" customFormat="false" ht="15" hidden="false" customHeight="false" outlineLevel="0" collapsed="false">
      <c r="A266" s="17" t="s">
        <v>636</v>
      </c>
      <c r="B266" s="17" t="s">
        <v>637</v>
      </c>
      <c r="C266" s="17" t="s">
        <v>86</v>
      </c>
      <c r="D266" s="11" t="n">
        <v>461.27</v>
      </c>
      <c r="E266" s="18"/>
      <c r="F266" s="17"/>
      <c r="G266" s="19"/>
    </row>
    <row r="267" customFormat="false" ht="15" hidden="false" customHeight="false" outlineLevel="0" collapsed="false">
      <c r="A267" s="20" t="s">
        <v>638</v>
      </c>
      <c r="B267" s="20" t="s">
        <v>639</v>
      </c>
      <c r="C267" s="20" t="s">
        <v>86</v>
      </c>
      <c r="D267" s="11" t="n">
        <v>535.39</v>
      </c>
      <c r="E267" s="18"/>
      <c r="F267" s="20"/>
      <c r="G267" s="21"/>
    </row>
    <row r="268" customFormat="false" ht="15" hidden="false" customHeight="false" outlineLevel="0" collapsed="false">
      <c r="A268" s="17" t="s">
        <v>640</v>
      </c>
      <c r="B268" s="17" t="s">
        <v>641</v>
      </c>
      <c r="C268" s="17" t="s">
        <v>86</v>
      </c>
      <c r="D268" s="11" t="n">
        <v>617.39</v>
      </c>
      <c r="E268" s="18"/>
      <c r="F268" s="17"/>
      <c r="G268" s="19"/>
    </row>
    <row r="269" customFormat="false" ht="15" hidden="false" customHeight="false" outlineLevel="0" collapsed="false">
      <c r="A269" s="20" t="s">
        <v>642</v>
      </c>
      <c r="B269" s="20" t="s">
        <v>643</v>
      </c>
      <c r="C269" s="20" t="s">
        <v>86</v>
      </c>
      <c r="D269" s="11" t="n">
        <v>659.48</v>
      </c>
      <c r="E269" s="18"/>
      <c r="F269" s="20"/>
      <c r="G269" s="21"/>
    </row>
    <row r="270" customFormat="false" ht="15" hidden="false" customHeight="false" outlineLevel="0" collapsed="false">
      <c r="A270" s="17" t="s">
        <v>644</v>
      </c>
      <c r="B270" s="17" t="s">
        <v>645</v>
      </c>
      <c r="C270" s="17" t="s">
        <v>86</v>
      </c>
      <c r="D270" s="11" t="n">
        <v>698.31</v>
      </c>
      <c r="E270" s="18"/>
      <c r="F270" s="17"/>
      <c r="G270" s="19"/>
    </row>
    <row r="271" customFormat="false" ht="15" hidden="false" customHeight="false" outlineLevel="0" collapsed="false">
      <c r="A271" s="20" t="s">
        <v>646</v>
      </c>
      <c r="B271" s="20" t="s">
        <v>647</v>
      </c>
      <c r="C271" s="20" t="s">
        <v>86</v>
      </c>
      <c r="D271" s="11" t="n">
        <v>731.92</v>
      </c>
      <c r="E271" s="18"/>
      <c r="F271" s="20"/>
      <c r="G271" s="21"/>
    </row>
    <row r="272" customFormat="false" ht="15" hidden="false" customHeight="false" outlineLevel="0" collapsed="false">
      <c r="A272" s="17" t="s">
        <v>648</v>
      </c>
      <c r="B272" s="17" t="s">
        <v>649</v>
      </c>
      <c r="C272" s="17" t="s">
        <v>86</v>
      </c>
      <c r="D272" s="11" t="n">
        <v>816.17</v>
      </c>
      <c r="E272" s="18"/>
      <c r="F272" s="17"/>
      <c r="G272" s="19"/>
    </row>
    <row r="273" customFormat="false" ht="15" hidden="false" customHeight="false" outlineLevel="0" collapsed="false">
      <c r="A273" s="20" t="s">
        <v>650</v>
      </c>
      <c r="B273" s="20" t="s">
        <v>651</v>
      </c>
      <c r="C273" s="20" t="s">
        <v>86</v>
      </c>
      <c r="D273" s="11" t="n">
        <v>1058.68</v>
      </c>
      <c r="E273" s="18"/>
      <c r="F273" s="20"/>
      <c r="G273" s="21"/>
    </row>
    <row r="274" customFormat="false" ht="15" hidden="false" customHeight="false" outlineLevel="0" collapsed="false">
      <c r="A274" s="17" t="s">
        <v>652</v>
      </c>
      <c r="B274" s="17" t="s">
        <v>653</v>
      </c>
      <c r="C274" s="17" t="s">
        <v>86</v>
      </c>
      <c r="D274" s="11" t="n">
        <v>418.9</v>
      </c>
      <c r="E274" s="18"/>
      <c r="F274" s="17"/>
      <c r="G274" s="19"/>
    </row>
    <row r="275" customFormat="false" ht="15" hidden="false" customHeight="false" outlineLevel="0" collapsed="false">
      <c r="A275" s="20" t="s">
        <v>654</v>
      </c>
      <c r="B275" s="20" t="s">
        <v>655</v>
      </c>
      <c r="C275" s="20" t="s">
        <v>86</v>
      </c>
      <c r="D275" s="11" t="n">
        <v>421.43</v>
      </c>
      <c r="E275" s="18"/>
      <c r="F275" s="20"/>
      <c r="G275" s="21"/>
    </row>
    <row r="276" customFormat="false" ht="15" hidden="false" customHeight="false" outlineLevel="0" collapsed="false">
      <c r="A276" s="17" t="s">
        <v>656</v>
      </c>
      <c r="B276" s="17" t="s">
        <v>657</v>
      </c>
      <c r="C276" s="17" t="s">
        <v>86</v>
      </c>
      <c r="D276" s="11" t="n">
        <v>491.65</v>
      </c>
      <c r="E276" s="18"/>
      <c r="F276" s="17"/>
      <c r="G276" s="19"/>
    </row>
    <row r="277" customFormat="false" ht="15" hidden="false" customHeight="false" outlineLevel="0" collapsed="false">
      <c r="A277" s="20" t="s">
        <v>658</v>
      </c>
      <c r="B277" s="20" t="s">
        <v>659</v>
      </c>
      <c r="C277" s="20" t="s">
        <v>86</v>
      </c>
      <c r="D277" s="11" t="n">
        <v>659.48</v>
      </c>
      <c r="E277" s="18"/>
      <c r="F277" s="20"/>
      <c r="G277" s="21"/>
    </row>
    <row r="278" customFormat="false" ht="15" hidden="false" customHeight="false" outlineLevel="0" collapsed="false">
      <c r="A278" s="17" t="s">
        <v>660</v>
      </c>
      <c r="B278" s="17" t="s">
        <v>661</v>
      </c>
      <c r="C278" s="17" t="s">
        <v>86</v>
      </c>
      <c r="D278" s="11" t="n">
        <v>700.75</v>
      </c>
      <c r="E278" s="18"/>
      <c r="F278" s="17"/>
      <c r="G278" s="19"/>
    </row>
    <row r="279" customFormat="false" ht="15" hidden="false" customHeight="false" outlineLevel="0" collapsed="false">
      <c r="A279" s="20" t="s">
        <v>662</v>
      </c>
      <c r="B279" s="20" t="s">
        <v>663</v>
      </c>
      <c r="C279" s="20" t="s">
        <v>86</v>
      </c>
      <c r="D279" s="11" t="n">
        <v>709.85</v>
      </c>
      <c r="E279" s="18"/>
      <c r="F279" s="20"/>
      <c r="G279" s="21"/>
    </row>
    <row r="280" customFormat="false" ht="15" hidden="false" customHeight="false" outlineLevel="0" collapsed="false">
      <c r="A280" s="17" t="s">
        <v>664</v>
      </c>
      <c r="B280" s="17" t="s">
        <v>665</v>
      </c>
      <c r="C280" s="17" t="s">
        <v>86</v>
      </c>
      <c r="D280" s="11" t="n">
        <v>771.39</v>
      </c>
      <c r="E280" s="18"/>
      <c r="F280" s="17"/>
      <c r="G280" s="19"/>
    </row>
    <row r="281" customFormat="false" ht="15" hidden="false" customHeight="false" outlineLevel="0" collapsed="false">
      <c r="A281" s="20" t="s">
        <v>666</v>
      </c>
      <c r="B281" s="20" t="s">
        <v>667</v>
      </c>
      <c r="C281" s="20" t="s">
        <v>86</v>
      </c>
      <c r="D281" s="11" t="n">
        <v>847.75</v>
      </c>
      <c r="E281" s="18"/>
      <c r="F281" s="20"/>
      <c r="G281" s="21"/>
    </row>
    <row r="282" customFormat="false" ht="15" hidden="false" customHeight="false" outlineLevel="0" collapsed="false">
      <c r="A282" s="17" t="s">
        <v>668</v>
      </c>
      <c r="B282" s="17" t="s">
        <v>669</v>
      </c>
      <c r="C282" s="17" t="s">
        <v>86</v>
      </c>
      <c r="D282" s="11" t="n">
        <v>1057.78</v>
      </c>
      <c r="E282" s="18"/>
      <c r="F282" s="17"/>
      <c r="G282" s="19"/>
    </row>
    <row r="283" customFormat="false" ht="15" hidden="false" customHeight="false" outlineLevel="0" collapsed="false">
      <c r="A283" s="20" t="s">
        <v>670</v>
      </c>
      <c r="B283" s="20" t="s">
        <v>671</v>
      </c>
      <c r="C283" s="20" t="s">
        <v>86</v>
      </c>
      <c r="D283" s="11" t="n">
        <v>156.92</v>
      </c>
      <c r="E283" s="18"/>
      <c r="F283" s="20"/>
      <c r="G283" s="21"/>
    </row>
    <row r="284" customFormat="false" ht="15" hidden="false" customHeight="false" outlineLevel="0" collapsed="false">
      <c r="A284" s="17" t="s">
        <v>672</v>
      </c>
      <c r="B284" s="17" t="s">
        <v>673</v>
      </c>
      <c r="C284" s="17" t="s">
        <v>86</v>
      </c>
      <c r="D284" s="11" t="n">
        <v>170.79</v>
      </c>
      <c r="E284" s="18"/>
      <c r="F284" s="17"/>
      <c r="G284" s="19"/>
    </row>
    <row r="285" customFormat="false" ht="15" hidden="false" customHeight="false" outlineLevel="0" collapsed="false">
      <c r="A285" s="20" t="s">
        <v>674</v>
      </c>
      <c r="B285" s="20" t="s">
        <v>675</v>
      </c>
      <c r="C285" s="20" t="s">
        <v>86</v>
      </c>
      <c r="D285" s="11" t="n">
        <v>175.76</v>
      </c>
      <c r="E285" s="18"/>
      <c r="F285" s="20"/>
      <c r="G285" s="21"/>
    </row>
    <row r="286" customFormat="false" ht="15" hidden="false" customHeight="false" outlineLevel="0" collapsed="false">
      <c r="A286" s="17" t="s">
        <v>676</v>
      </c>
      <c r="B286" s="17" t="s">
        <v>677</v>
      </c>
      <c r="C286" s="17" t="s">
        <v>86</v>
      </c>
      <c r="D286" s="11" t="n">
        <v>190.1</v>
      </c>
      <c r="E286" s="18"/>
      <c r="F286" s="17"/>
      <c r="G286" s="19"/>
    </row>
    <row r="287" customFormat="false" ht="15" hidden="false" customHeight="false" outlineLevel="0" collapsed="false">
      <c r="A287" s="20" t="s">
        <v>678</v>
      </c>
      <c r="B287" s="20" t="s">
        <v>679</v>
      </c>
      <c r="C287" s="20" t="s">
        <v>86</v>
      </c>
      <c r="D287" s="11" t="n">
        <v>192.87</v>
      </c>
      <c r="E287" s="18"/>
      <c r="F287" s="20"/>
      <c r="G287" s="21"/>
    </row>
    <row r="288" customFormat="false" ht="15" hidden="false" customHeight="false" outlineLevel="0" collapsed="false">
      <c r="A288" s="17" t="s">
        <v>680</v>
      </c>
      <c r="B288" s="17" t="s">
        <v>681</v>
      </c>
      <c r="C288" s="17" t="s">
        <v>86</v>
      </c>
      <c r="D288" s="11" t="n">
        <v>206.44</v>
      </c>
      <c r="E288" s="18"/>
      <c r="F288" s="17"/>
      <c r="G288" s="19"/>
    </row>
    <row r="289" customFormat="false" ht="15" hidden="false" customHeight="false" outlineLevel="0" collapsed="false">
      <c r="A289" s="20" t="s">
        <v>682</v>
      </c>
      <c r="B289" s="20" t="s">
        <v>683</v>
      </c>
      <c r="C289" s="20" t="s">
        <v>86</v>
      </c>
      <c r="D289" s="11" t="n">
        <v>217.38</v>
      </c>
      <c r="E289" s="18"/>
      <c r="F289" s="20"/>
      <c r="G289" s="21"/>
    </row>
    <row r="290" customFormat="false" ht="15" hidden="false" customHeight="false" outlineLevel="0" collapsed="false">
      <c r="A290" s="17" t="s">
        <v>684</v>
      </c>
      <c r="B290" s="17" t="s">
        <v>685</v>
      </c>
      <c r="C290" s="17" t="s">
        <v>86</v>
      </c>
      <c r="D290" s="11" t="n">
        <v>296.61</v>
      </c>
      <c r="E290" s="18"/>
      <c r="F290" s="17"/>
      <c r="G290" s="19"/>
    </row>
    <row r="291" customFormat="false" ht="15" hidden="false" customHeight="false" outlineLevel="0" collapsed="false">
      <c r="A291" s="20" t="s">
        <v>686</v>
      </c>
      <c r="B291" s="20" t="s">
        <v>687</v>
      </c>
      <c r="C291" s="20" t="s">
        <v>86</v>
      </c>
      <c r="D291" s="11" t="n">
        <v>345.63</v>
      </c>
      <c r="E291" s="18"/>
      <c r="F291" s="20"/>
      <c r="G291" s="21"/>
    </row>
    <row r="292" customFormat="false" ht="15" hidden="false" customHeight="false" outlineLevel="0" collapsed="false">
      <c r="A292" s="17" t="s">
        <v>688</v>
      </c>
      <c r="B292" s="17" t="s">
        <v>689</v>
      </c>
      <c r="C292" s="17" t="s">
        <v>86</v>
      </c>
      <c r="D292" s="11" t="n">
        <v>347.99</v>
      </c>
      <c r="E292" s="18"/>
      <c r="F292" s="17"/>
      <c r="G292" s="19"/>
    </row>
    <row r="293" customFormat="false" ht="15" hidden="false" customHeight="false" outlineLevel="0" collapsed="false">
      <c r="A293" s="20" t="s">
        <v>690</v>
      </c>
      <c r="B293" s="20" t="s">
        <v>691</v>
      </c>
      <c r="C293" s="20" t="s">
        <v>86</v>
      </c>
      <c r="D293" s="11" t="n">
        <v>421.92</v>
      </c>
      <c r="E293" s="18"/>
      <c r="F293" s="20"/>
      <c r="G293" s="21"/>
    </row>
    <row r="294" customFormat="false" ht="15" hidden="false" customHeight="false" outlineLevel="0" collapsed="false">
      <c r="A294" s="17" t="s">
        <v>692</v>
      </c>
      <c r="B294" s="17" t="s">
        <v>693</v>
      </c>
      <c r="C294" s="17" t="s">
        <v>86</v>
      </c>
      <c r="D294" s="11" t="n">
        <v>485.02</v>
      </c>
      <c r="E294" s="18"/>
      <c r="F294" s="17"/>
      <c r="G294" s="19"/>
    </row>
    <row r="295" customFormat="false" ht="15" hidden="false" customHeight="false" outlineLevel="0" collapsed="false">
      <c r="A295" s="20" t="s">
        <v>694</v>
      </c>
      <c r="B295" s="20" t="s">
        <v>695</v>
      </c>
      <c r="C295" s="20" t="s">
        <v>86</v>
      </c>
      <c r="D295" s="11" t="n">
        <v>527.41</v>
      </c>
      <c r="E295" s="18"/>
      <c r="F295" s="20"/>
      <c r="G295" s="21"/>
    </row>
    <row r="296" customFormat="false" ht="15" hidden="false" customHeight="false" outlineLevel="0" collapsed="false">
      <c r="A296" s="17" t="s">
        <v>696</v>
      </c>
      <c r="B296" s="17" t="s">
        <v>697</v>
      </c>
      <c r="C296" s="17" t="s">
        <v>86</v>
      </c>
      <c r="D296" s="11" t="n">
        <v>539.53</v>
      </c>
      <c r="E296" s="18"/>
      <c r="F296" s="17"/>
      <c r="G296" s="19"/>
    </row>
    <row r="297" customFormat="false" ht="15" hidden="false" customHeight="false" outlineLevel="0" collapsed="false">
      <c r="A297" s="20" t="s">
        <v>698</v>
      </c>
      <c r="B297" s="20" t="s">
        <v>699</v>
      </c>
      <c r="C297" s="20" t="s">
        <v>86</v>
      </c>
      <c r="D297" s="11" t="n">
        <v>605.28</v>
      </c>
      <c r="E297" s="18"/>
      <c r="F297" s="20"/>
      <c r="G297" s="21"/>
    </row>
    <row r="298" customFormat="false" ht="15" hidden="false" customHeight="false" outlineLevel="0" collapsed="false">
      <c r="A298" s="17" t="s">
        <v>700</v>
      </c>
      <c r="B298" s="17" t="s">
        <v>701</v>
      </c>
      <c r="C298" s="17" t="s">
        <v>86</v>
      </c>
      <c r="D298" s="11" t="n">
        <v>642.03</v>
      </c>
      <c r="E298" s="18"/>
      <c r="F298" s="17"/>
      <c r="G298" s="19"/>
    </row>
    <row r="299" customFormat="false" ht="15" hidden="false" customHeight="false" outlineLevel="0" collapsed="false">
      <c r="A299" s="20" t="s">
        <v>702</v>
      </c>
      <c r="B299" s="20" t="s">
        <v>703</v>
      </c>
      <c r="C299" s="20" t="s">
        <v>86</v>
      </c>
      <c r="D299" s="11" t="n">
        <v>828.46</v>
      </c>
      <c r="E299" s="18"/>
      <c r="F299" s="20"/>
      <c r="G299" s="21"/>
    </row>
    <row r="300" customFormat="false" ht="15" hidden="false" customHeight="false" outlineLevel="0" collapsed="false">
      <c r="A300" s="22"/>
      <c r="B300" s="22"/>
      <c r="C300" s="22"/>
      <c r="D300" s="18"/>
      <c r="E300" s="18"/>
      <c r="F300" s="22"/>
      <c r="G300" s="22"/>
    </row>
    <row r="301" customFormat="false" ht="15" hidden="false" customHeight="false" outlineLevel="0" collapsed="false">
      <c r="A301" s="22"/>
      <c r="B301" s="22"/>
      <c r="C301" s="22"/>
      <c r="D301" s="18"/>
      <c r="E301" s="18"/>
      <c r="F301" s="22"/>
      <c r="G301" s="22"/>
    </row>
    <row r="302" customFormat="false" ht="15" hidden="false" customHeight="false" outlineLevel="0" collapsed="false">
      <c r="A302" s="22"/>
      <c r="B302" s="22"/>
      <c r="C302" s="22"/>
      <c r="D302" s="18"/>
      <c r="E302" s="18"/>
      <c r="F302" s="22"/>
      <c r="G302" s="22"/>
    </row>
    <row r="303" customFormat="false" ht="15" hidden="false" customHeight="false" outlineLevel="0" collapsed="false">
      <c r="A303" s="22"/>
      <c r="B303" s="22"/>
      <c r="C303" s="22"/>
      <c r="D303" s="18"/>
      <c r="E303" s="18"/>
      <c r="F303" s="22"/>
      <c r="G303" s="22"/>
    </row>
    <row r="304" customFormat="false" ht="15" hidden="false" customHeight="false" outlineLevel="0" collapsed="false">
      <c r="A304" s="22"/>
      <c r="B304" s="22"/>
      <c r="C304" s="22"/>
      <c r="D304" s="18"/>
      <c r="E304" s="18"/>
      <c r="F304" s="22"/>
      <c r="G304" s="22"/>
    </row>
    <row r="305" customFormat="false" ht="15" hidden="false" customHeight="false" outlineLevel="0" collapsed="false">
      <c r="A305" s="22"/>
      <c r="B305" s="22"/>
      <c r="C305" s="22"/>
      <c r="D305" s="18"/>
      <c r="E305" s="18"/>
      <c r="F305" s="22"/>
      <c r="G305" s="22"/>
    </row>
    <row r="306" customFormat="false" ht="15" hidden="false" customHeight="false" outlineLevel="0" collapsed="false">
      <c r="A306" s="22"/>
      <c r="B306" s="22"/>
      <c r="C306" s="22"/>
      <c r="D306" s="18"/>
      <c r="E306" s="18"/>
      <c r="F306" s="22"/>
      <c r="G306" s="22"/>
    </row>
    <row r="307" customFormat="false" ht="15" hidden="false" customHeight="false" outlineLevel="0" collapsed="false">
      <c r="A307" s="22"/>
      <c r="B307" s="22"/>
      <c r="C307" s="22"/>
      <c r="D307" s="18"/>
      <c r="E307" s="18"/>
      <c r="F307" s="22"/>
      <c r="G307" s="22"/>
    </row>
    <row r="308" customFormat="false" ht="15" hidden="false" customHeight="false" outlineLevel="0" collapsed="false">
      <c r="A308" s="22"/>
      <c r="B308" s="22"/>
      <c r="C308" s="22"/>
      <c r="D308" s="18"/>
      <c r="E308" s="18"/>
      <c r="F308" s="22"/>
      <c r="G308" s="22"/>
    </row>
    <row r="309" customFormat="false" ht="15" hidden="false" customHeight="false" outlineLevel="0" collapsed="false">
      <c r="A309" s="22"/>
      <c r="B309" s="22"/>
      <c r="C309" s="22"/>
      <c r="D309" s="18"/>
      <c r="E309" s="18"/>
      <c r="F309" s="22"/>
      <c r="G309" s="22"/>
    </row>
    <row r="310" customFormat="false" ht="15" hidden="false" customHeight="false" outlineLevel="0" collapsed="false">
      <c r="A310" s="22"/>
      <c r="B310" s="22"/>
      <c r="C310" s="22"/>
      <c r="D310" s="18"/>
      <c r="E310" s="18"/>
      <c r="F310" s="22"/>
      <c r="G310" s="22"/>
    </row>
    <row r="311" customFormat="false" ht="15" hidden="false" customHeight="false" outlineLevel="0" collapsed="false">
      <c r="A311" s="22"/>
      <c r="B311" s="22"/>
      <c r="C311" s="22"/>
      <c r="D311" s="18"/>
      <c r="E311" s="18"/>
      <c r="F311" s="22"/>
      <c r="G311" s="22"/>
    </row>
    <row r="312" customFormat="false" ht="15" hidden="false" customHeight="false" outlineLevel="0" collapsed="false">
      <c r="A312" s="22"/>
      <c r="B312" s="22"/>
      <c r="C312" s="22"/>
      <c r="D312" s="18"/>
      <c r="E312" s="18"/>
      <c r="F312" s="22"/>
      <c r="G312" s="22"/>
    </row>
    <row r="313" customFormat="false" ht="15" hidden="false" customHeight="false" outlineLevel="0" collapsed="false">
      <c r="A313" s="22"/>
      <c r="B313" s="22"/>
      <c r="C313" s="22"/>
      <c r="D313" s="18"/>
      <c r="E313" s="18"/>
      <c r="F313" s="22"/>
      <c r="G313" s="22"/>
    </row>
    <row r="314" customFormat="false" ht="15" hidden="false" customHeight="false" outlineLevel="0" collapsed="false">
      <c r="A314" s="22"/>
      <c r="B314" s="22"/>
      <c r="C314" s="22"/>
      <c r="D314" s="18"/>
      <c r="E314" s="18"/>
      <c r="F314" s="22"/>
      <c r="G314" s="22"/>
    </row>
    <row r="315" customFormat="false" ht="15" hidden="false" customHeight="false" outlineLevel="0" collapsed="false">
      <c r="A315" s="22"/>
      <c r="B315" s="22"/>
      <c r="C315" s="22"/>
      <c r="D315" s="18"/>
      <c r="E315" s="18"/>
      <c r="F315" s="22"/>
      <c r="G315" s="22"/>
    </row>
    <row r="316" customFormat="false" ht="15" hidden="false" customHeight="false" outlineLevel="0" collapsed="false">
      <c r="A316" s="22"/>
      <c r="B316" s="22"/>
      <c r="C316" s="22"/>
      <c r="D316" s="18"/>
      <c r="E316" s="18"/>
      <c r="F316" s="22"/>
      <c r="G316" s="22"/>
    </row>
    <row r="317" customFormat="false" ht="15" hidden="false" customHeight="false" outlineLevel="0" collapsed="false">
      <c r="A317" s="22"/>
      <c r="B317" s="22"/>
      <c r="C317" s="22"/>
      <c r="D317" s="18"/>
      <c r="E317" s="18"/>
      <c r="F317" s="22"/>
      <c r="G317" s="22"/>
    </row>
    <row r="318" customFormat="false" ht="15" hidden="false" customHeight="false" outlineLevel="0" collapsed="false">
      <c r="A318" s="22"/>
      <c r="B318" s="22"/>
      <c r="C318" s="22"/>
      <c r="D318" s="18"/>
      <c r="E318" s="18"/>
      <c r="F318" s="22"/>
      <c r="G318" s="22"/>
    </row>
    <row r="319" customFormat="false" ht="15" hidden="false" customHeight="false" outlineLevel="0" collapsed="false">
      <c r="A319" s="22"/>
      <c r="B319" s="22"/>
      <c r="C319" s="22"/>
      <c r="D319" s="18"/>
      <c r="E319" s="18"/>
      <c r="F319" s="22"/>
      <c r="G319" s="22"/>
    </row>
    <row r="320" customFormat="false" ht="15" hidden="false" customHeight="false" outlineLevel="0" collapsed="false">
      <c r="A320" s="22"/>
      <c r="B320" s="22"/>
      <c r="C320" s="22"/>
      <c r="D320" s="18"/>
      <c r="E320" s="18"/>
      <c r="F320" s="22"/>
      <c r="G320" s="22"/>
    </row>
    <row r="321" customFormat="false" ht="15" hidden="false" customHeight="false" outlineLevel="0" collapsed="false">
      <c r="A321" s="22"/>
      <c r="B321" s="22"/>
      <c r="C321" s="22"/>
      <c r="D321" s="18"/>
      <c r="E321" s="18"/>
      <c r="F321" s="22"/>
      <c r="G321" s="22"/>
    </row>
    <row r="322" customFormat="false" ht="15" hidden="false" customHeight="false" outlineLevel="0" collapsed="false">
      <c r="A322" s="22"/>
      <c r="B322" s="22"/>
      <c r="C322" s="22"/>
      <c r="D322" s="18"/>
      <c r="E322" s="18"/>
      <c r="F322" s="22"/>
      <c r="G322" s="22"/>
    </row>
    <row r="323" customFormat="false" ht="15" hidden="false" customHeight="false" outlineLevel="0" collapsed="false">
      <c r="A323" s="22"/>
      <c r="B323" s="22"/>
      <c r="C323" s="22"/>
      <c r="D323" s="18"/>
      <c r="E323" s="18"/>
      <c r="F323" s="22"/>
      <c r="G323" s="22"/>
    </row>
    <row r="324" customFormat="false" ht="15" hidden="false" customHeight="false" outlineLevel="0" collapsed="false">
      <c r="A324" s="22"/>
      <c r="B324" s="22"/>
      <c r="C324" s="22"/>
      <c r="D324" s="18"/>
      <c r="E324" s="18"/>
      <c r="F324" s="22"/>
      <c r="G324" s="22"/>
    </row>
    <row r="325" customFormat="false" ht="15" hidden="false" customHeight="false" outlineLevel="0" collapsed="false">
      <c r="A325" s="22"/>
      <c r="B325" s="22"/>
      <c r="C325" s="22"/>
      <c r="D325" s="18"/>
      <c r="E325" s="18"/>
      <c r="F325" s="22"/>
      <c r="G325" s="22"/>
    </row>
    <row r="326" customFormat="false" ht="15" hidden="false" customHeight="false" outlineLevel="0" collapsed="false">
      <c r="A326" s="22"/>
      <c r="B326" s="22"/>
      <c r="C326" s="22"/>
      <c r="D326" s="18"/>
      <c r="E326" s="18"/>
      <c r="F326" s="22"/>
      <c r="G326" s="22"/>
    </row>
    <row r="327" customFormat="false" ht="15" hidden="false" customHeight="false" outlineLevel="0" collapsed="false">
      <c r="A327" s="22"/>
      <c r="B327" s="22"/>
      <c r="C327" s="22"/>
      <c r="D327" s="18"/>
      <c r="E327" s="18"/>
      <c r="F327" s="22"/>
      <c r="G327" s="22"/>
    </row>
    <row r="328" customFormat="false" ht="15" hidden="false" customHeight="false" outlineLevel="0" collapsed="false">
      <c r="A328" s="22"/>
      <c r="B328" s="22"/>
      <c r="C328" s="22"/>
      <c r="D328" s="18"/>
      <c r="E328" s="18"/>
      <c r="F328" s="22"/>
      <c r="G328" s="22"/>
    </row>
    <row r="329" customFormat="false" ht="15" hidden="false" customHeight="false" outlineLevel="0" collapsed="false">
      <c r="A329" s="22"/>
      <c r="B329" s="22"/>
      <c r="C329" s="22"/>
      <c r="D329" s="18"/>
      <c r="E329" s="18"/>
      <c r="F329" s="22"/>
      <c r="G329" s="22"/>
    </row>
    <row r="330" customFormat="false" ht="15" hidden="false" customHeight="false" outlineLevel="0" collapsed="false">
      <c r="A330" s="22"/>
      <c r="B330" s="22"/>
      <c r="C330" s="22"/>
      <c r="D330" s="18"/>
      <c r="E330" s="18"/>
      <c r="F330" s="22"/>
      <c r="G330" s="22"/>
    </row>
    <row r="331" customFormat="false" ht="15" hidden="false" customHeight="false" outlineLevel="0" collapsed="false">
      <c r="A331" s="22"/>
      <c r="B331" s="22"/>
      <c r="C331" s="22"/>
      <c r="D331" s="18"/>
      <c r="E331" s="18"/>
      <c r="F331" s="22"/>
      <c r="G331" s="22"/>
    </row>
    <row r="332" customFormat="false" ht="15" hidden="false" customHeight="false" outlineLevel="0" collapsed="false">
      <c r="A332" s="22"/>
      <c r="B332" s="22"/>
      <c r="C332" s="22"/>
      <c r="D332" s="18"/>
      <c r="E332" s="18"/>
      <c r="F332" s="22"/>
      <c r="G332" s="22"/>
    </row>
    <row r="333" customFormat="false" ht="15" hidden="false" customHeight="false" outlineLevel="0" collapsed="false">
      <c r="A333" s="22"/>
      <c r="B333" s="22"/>
      <c r="C333" s="22"/>
      <c r="D333" s="18"/>
      <c r="E333" s="18"/>
      <c r="F333" s="22"/>
      <c r="G333" s="22"/>
    </row>
    <row r="334" customFormat="false" ht="15" hidden="false" customHeight="false" outlineLevel="0" collapsed="false">
      <c r="A334" s="22"/>
      <c r="B334" s="22"/>
      <c r="C334" s="22"/>
      <c r="D334" s="18"/>
      <c r="E334" s="18"/>
      <c r="F334" s="22"/>
      <c r="G334" s="22"/>
    </row>
    <row r="335" customFormat="false" ht="15" hidden="false" customHeight="false" outlineLevel="0" collapsed="false">
      <c r="A335" s="22"/>
      <c r="B335" s="22"/>
      <c r="C335" s="22"/>
      <c r="D335" s="18"/>
      <c r="E335" s="18"/>
      <c r="F335" s="22"/>
      <c r="G335" s="22"/>
    </row>
    <row r="336" customFormat="false" ht="15" hidden="false" customHeight="false" outlineLevel="0" collapsed="false">
      <c r="A336" s="22"/>
      <c r="B336" s="22"/>
      <c r="C336" s="22"/>
      <c r="D336" s="18"/>
      <c r="E336" s="18"/>
      <c r="F336" s="22"/>
      <c r="G336" s="22"/>
    </row>
    <row r="337" customFormat="false" ht="15" hidden="false" customHeight="false" outlineLevel="0" collapsed="false">
      <c r="A337" s="22"/>
      <c r="B337" s="22"/>
      <c r="C337" s="22"/>
      <c r="D337" s="18"/>
      <c r="E337" s="18"/>
      <c r="F337" s="22"/>
      <c r="G337" s="22"/>
    </row>
    <row r="338" customFormat="false" ht="15" hidden="false" customHeight="false" outlineLevel="0" collapsed="false">
      <c r="A338" s="22"/>
      <c r="B338" s="22"/>
      <c r="C338" s="22"/>
      <c r="D338" s="18"/>
      <c r="E338" s="18"/>
      <c r="F338" s="22"/>
      <c r="G338" s="22"/>
    </row>
    <row r="339" customFormat="false" ht="15" hidden="false" customHeight="false" outlineLevel="0" collapsed="false">
      <c r="A339" s="22"/>
      <c r="B339" s="22"/>
      <c r="C339" s="22"/>
      <c r="D339" s="18"/>
      <c r="E339" s="18"/>
      <c r="F339" s="22"/>
      <c r="G339" s="22"/>
    </row>
    <row r="340" customFormat="false" ht="15" hidden="false" customHeight="false" outlineLevel="0" collapsed="false">
      <c r="A340" s="22"/>
      <c r="B340" s="22"/>
      <c r="C340" s="22"/>
      <c r="D340" s="18"/>
      <c r="E340" s="18"/>
      <c r="F340" s="22"/>
      <c r="G340" s="22"/>
    </row>
    <row r="341" customFormat="false" ht="15" hidden="false" customHeight="false" outlineLevel="0" collapsed="false">
      <c r="A341" s="22"/>
      <c r="B341" s="22"/>
      <c r="C341" s="22"/>
      <c r="D341" s="18"/>
      <c r="E341" s="18"/>
      <c r="F341" s="22"/>
      <c r="G341" s="22"/>
    </row>
    <row r="342" customFormat="false" ht="15" hidden="false" customHeight="false" outlineLevel="0" collapsed="false">
      <c r="A342" s="22"/>
      <c r="B342" s="22"/>
      <c r="C342" s="22"/>
      <c r="D342" s="18"/>
      <c r="E342" s="18"/>
      <c r="F342" s="22"/>
      <c r="G342" s="22"/>
    </row>
    <row r="343" customFormat="false" ht="15" hidden="false" customHeight="false" outlineLevel="0" collapsed="false">
      <c r="A343" s="22"/>
      <c r="B343" s="22"/>
      <c r="C343" s="22"/>
      <c r="D343" s="18"/>
      <c r="E343" s="18"/>
      <c r="F343" s="22"/>
      <c r="G343" s="22"/>
    </row>
    <row r="344" customFormat="false" ht="15" hidden="false" customHeight="false" outlineLevel="0" collapsed="false">
      <c r="A344" s="22"/>
      <c r="B344" s="22"/>
      <c r="C344" s="22"/>
      <c r="D344" s="18"/>
      <c r="E344" s="18"/>
      <c r="F344" s="22"/>
      <c r="G344" s="22"/>
    </row>
    <row r="345" customFormat="false" ht="15" hidden="false" customHeight="false" outlineLevel="0" collapsed="false">
      <c r="A345" s="22"/>
      <c r="B345" s="22"/>
      <c r="C345" s="22"/>
      <c r="D345" s="18"/>
      <c r="E345" s="18"/>
      <c r="F345" s="22"/>
      <c r="G345" s="22"/>
    </row>
    <row r="346" customFormat="false" ht="15" hidden="false" customHeight="false" outlineLevel="0" collapsed="false">
      <c r="A346" s="22"/>
      <c r="B346" s="22"/>
      <c r="C346" s="22"/>
      <c r="D346" s="18"/>
      <c r="E346" s="18"/>
      <c r="F346" s="22"/>
      <c r="G346" s="22"/>
    </row>
    <row r="347" customFormat="false" ht="15" hidden="false" customHeight="false" outlineLevel="0" collapsed="false">
      <c r="A347" s="22"/>
      <c r="B347" s="22"/>
      <c r="C347" s="22"/>
      <c r="D347" s="18"/>
      <c r="E347" s="18"/>
      <c r="F347" s="22"/>
      <c r="G347" s="22"/>
    </row>
    <row r="348" customFormat="false" ht="15" hidden="false" customHeight="false" outlineLevel="0" collapsed="false">
      <c r="A348" s="22"/>
      <c r="B348" s="22"/>
      <c r="C348" s="22"/>
      <c r="D348" s="18"/>
      <c r="E348" s="18"/>
      <c r="F348" s="22"/>
      <c r="G348" s="22"/>
    </row>
    <row r="349" customFormat="false" ht="15" hidden="false" customHeight="false" outlineLevel="0" collapsed="false">
      <c r="A349" s="22"/>
      <c r="B349" s="22"/>
      <c r="C349" s="22"/>
      <c r="D349" s="18"/>
      <c r="E349" s="18"/>
      <c r="F349" s="22"/>
      <c r="G349" s="22"/>
    </row>
  </sheetData>
  <autoFilter ref="A3:G349"/>
  <mergeCells count="1">
    <mergeCell ref="A1:G1"/>
  </mergeCells>
  <dataValidations count="1">
    <dataValidation allowBlank="true" error="Escolha uma categoria da aba Parâmetros." errorStyle="stop" errorTitle="Categoria" operator="between" showDropDown="false" showErrorMessage="true" showInputMessage="false" sqref="C4:C349" type="list">
      <formula1>Parâmetros!$A$13:$A$22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700"/>
    <pageSetUpPr fitToPage="false"/>
  </sheetPr>
  <dimension ref="A1:Z34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4"/>
    <col collapsed="false" customWidth="true" hidden="false" outlineLevel="0" max="3" min="3" style="0" width="22"/>
    <col collapsed="false" customWidth="true" hidden="false" outlineLevel="0" max="4" min="4" style="0" width="13"/>
    <col collapsed="false" customWidth="true" hidden="false" outlineLevel="0" max="8" min="5" style="0" width="11"/>
    <col collapsed="false" customWidth="true" hidden="false" outlineLevel="0" max="11" min="9" style="0" width="13"/>
    <col collapsed="false" customWidth="true" hidden="false" outlineLevel="0" max="13" min="12" style="0" width="12"/>
    <col collapsed="false" customWidth="true" hidden="false" outlineLevel="0" max="15" min="14" style="0" width="11"/>
    <col collapsed="false" customWidth="true" hidden="false" outlineLevel="0" max="16" min="16" style="0" width="13"/>
    <col collapsed="false" customWidth="true" hidden="false" outlineLevel="0" max="18" min="17" style="0" width="10"/>
    <col collapsed="false" customWidth="true" hidden="false" outlineLevel="0" max="19" min="19" style="0" width="13"/>
    <col collapsed="false" customWidth="true" hidden="false" outlineLevel="0" max="21" min="20" style="0" width="12"/>
    <col collapsed="false" customWidth="true" hidden="false" outlineLevel="0" max="22" min="22" style="0" width="11"/>
    <col collapsed="false" customWidth="true" hidden="false" outlineLevel="0" max="23" min="23" style="0" width="13"/>
    <col collapsed="false" customWidth="true" hidden="false" outlineLevel="0" max="24" min="24" style="0" width="10"/>
    <col collapsed="false" customWidth="true" hidden="false" outlineLevel="0" max="25" min="25" style="0" width="11"/>
    <col collapsed="false" customWidth="true" hidden="false" outlineLevel="0" max="26" min="26" style="0" width="34"/>
  </cols>
  <sheetData>
    <row r="1" customFormat="false" ht="24" hidden="false" customHeight="true" outlineLevel="0" collapsed="false">
      <c r="A1" s="1" t="str">
        <f aca="false">"MERCADO LIVRE — CLÁSSICO  |  Comissão por categoria (aba Parâmetros) ou manual por linha  |  Imposto "&amp;TEXT(Parâmetros!$B$4,"0%")&amp;"  |  ADS "&amp;TEXT(Parâmetros!$C$4,"0.0%")&amp;"  |  Margem mín. "&amp;TEXT(Parâmetros!$D$4,"0%")&amp;"  |  Custo fixo/un. R$ "&amp;TEXT(Parâmetros!$E$4,"0.00")</f>
        <v>MERCADO LIVRE — CLÁSSICO  |  Comissão por categoria (aba Parâmetros) ou manual por linha  |  Imposto 10%  |  ADS 3.0%  |  Margem mín. 20%  |  Custo fixo/un. R$ 0.00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27.75" hidden="false" customHeight="true" outlineLevel="0" collapsed="false">
      <c r="A2" s="23" t="s">
        <v>704</v>
      </c>
      <c r="B2" s="23"/>
      <c r="C2" s="23"/>
      <c r="D2" s="24" t="s">
        <v>705</v>
      </c>
      <c r="E2" s="24"/>
      <c r="F2" s="25" t="s">
        <v>706</v>
      </c>
      <c r="G2" s="25"/>
      <c r="H2" s="25"/>
      <c r="I2" s="26" t="s">
        <v>707</v>
      </c>
      <c r="J2" s="27" t="s">
        <v>708</v>
      </c>
      <c r="K2" s="28" t="s">
        <v>709</v>
      </c>
      <c r="L2" s="29" t="s">
        <v>710</v>
      </c>
      <c r="M2" s="29"/>
      <c r="N2" s="29"/>
      <c r="O2" s="29"/>
      <c r="P2" s="29"/>
      <c r="Q2" s="29"/>
      <c r="R2" s="30" t="s">
        <v>711</v>
      </c>
      <c r="S2" s="30"/>
      <c r="T2" s="30"/>
      <c r="U2" s="30"/>
      <c r="V2" s="30"/>
      <c r="W2" s="30"/>
      <c r="X2" s="30"/>
      <c r="Y2" s="31" t="s">
        <v>712</v>
      </c>
      <c r="Z2" s="31"/>
    </row>
    <row r="3" customFormat="false" ht="39.75" hidden="false" customHeight="true" outlineLevel="0" collapsed="false">
      <c r="A3" s="7" t="s">
        <v>101</v>
      </c>
      <c r="B3" s="7" t="s">
        <v>102</v>
      </c>
      <c r="C3" s="7" t="s">
        <v>82</v>
      </c>
      <c r="D3" s="7" t="s">
        <v>104</v>
      </c>
      <c r="E3" s="7" t="s">
        <v>713</v>
      </c>
      <c r="F3" s="7" t="s">
        <v>714</v>
      </c>
      <c r="G3" s="7" t="s">
        <v>715</v>
      </c>
      <c r="H3" s="7" t="s">
        <v>716</v>
      </c>
      <c r="I3" s="7" t="s">
        <v>717</v>
      </c>
      <c r="J3" s="7" t="s">
        <v>718</v>
      </c>
      <c r="K3" s="7" t="s">
        <v>719</v>
      </c>
      <c r="L3" s="7" t="s">
        <v>720</v>
      </c>
      <c r="M3" s="7" t="s">
        <v>721</v>
      </c>
      <c r="N3" s="7" t="s">
        <v>722</v>
      </c>
      <c r="O3" s="7" t="s">
        <v>723</v>
      </c>
      <c r="P3" s="7" t="s">
        <v>724</v>
      </c>
      <c r="Q3" s="7" t="s">
        <v>725</v>
      </c>
      <c r="R3" s="7" t="s">
        <v>726</v>
      </c>
      <c r="S3" s="7" t="s">
        <v>727</v>
      </c>
      <c r="T3" s="7" t="s">
        <v>728</v>
      </c>
      <c r="U3" s="7" t="s">
        <v>729</v>
      </c>
      <c r="V3" s="7" t="s">
        <v>730</v>
      </c>
      <c r="W3" s="7" t="s">
        <v>731</v>
      </c>
      <c r="X3" s="7" t="s">
        <v>732</v>
      </c>
      <c r="Y3" s="7" t="s">
        <v>733</v>
      </c>
      <c r="Z3" s="7" t="s">
        <v>71</v>
      </c>
    </row>
    <row r="4" customFormat="false" ht="15.75" hidden="false" customHeight="true" outlineLevel="0" collapsed="false">
      <c r="A4" s="32" t="str">
        <f aca="false">IF(Produtos!$A4="","",Produtos!$A4)</f>
        <v>L1618</v>
      </c>
      <c r="B4" s="32" t="str">
        <f aca="false">IF(Produtos!$A4="","",Produtos!$B4)</f>
        <v>Lixeira Aço Inox s/Tampa 16x18 03L</v>
      </c>
      <c r="C4" s="32" t="str">
        <f aca="false">IF(Produtos!$A4="","",Produtos!$C4)</f>
        <v>Lixeiras em inox</v>
      </c>
      <c r="D4" s="33" t="n">
        <f aca="false">IF(Produtos!$A4="","",IF(Produtos!$D4="","",Produtos!$D4))</f>
        <v>39.8</v>
      </c>
      <c r="E4" s="11" t="n">
        <v>14.15</v>
      </c>
      <c r="F4" s="34" t="n">
        <f aca="false">IF($A4="","",IF($C4="","⚠ categoria",IFERROR(INDEX(Parâmetros!$B$13:$B$22,MATCH($C4,Parâmetros!$A$13:$A$22,0)),"⚠ categoria")))</f>
        <v>0.13</v>
      </c>
      <c r="G4" s="35"/>
      <c r="H4" s="36" t="n">
        <f aca="false">IF($A4="","",IF(ISNUMBER($G4),$G4,IF(ISNUMBER($F4),$F4,"")))</f>
        <v>0.13</v>
      </c>
      <c r="I4" s="37" t="n">
        <f aca="false">IF(OR($A4="",NOT(ISNUMBER($D4)),NOT(ISNUMBER($H4))),"",IF((1-$H4-Parâmetros!$B$4-Parâmetros!$C$4-Parâmetros!$D$4)&lt;=0,"INVALIDO",($D4+IF(ISNUMBER($E4),$E4,0)+IF(ISNUMBER(Parâmetros!$E$4),Parâmetros!$E$4,0))/(1-$H4-Parâmetros!$B$4-Parâmetros!$C$4-Parâmetros!$D$4)))</f>
        <v>99.9074074074074</v>
      </c>
      <c r="J4" s="38" t="n">
        <v>80.4</v>
      </c>
      <c r="K4" s="39" t="n">
        <f aca="false">IF(OR($A4="",NOT(ISNUMBER($D4)),NOT(ISNUMBER($H4))),"",IF(AND(ISNUMBER($J4),$J4&gt;0),$J4,IF(ISNUMBER($I4),$I4,"")))</f>
        <v>80.4</v>
      </c>
      <c r="L4" s="40" t="n">
        <f aca="false">IF(ISNUMBER($K4),$K4*$H4,"")</f>
        <v>10.452</v>
      </c>
      <c r="M4" s="40" t="n">
        <f aca="false">IF(ISNUMBER($K4),$K4*Parâmetros!$B$4,"")</f>
        <v>8.04</v>
      </c>
      <c r="N4" s="40" t="n">
        <f aca="false">IF(ISNUMBER($K4),$K4*Parâmetros!$C$4,"")</f>
        <v>2.412</v>
      </c>
      <c r="O4" s="40" t="n">
        <f aca="false">IF(ISNUMBER($K4),IF(ISNUMBER(Parâmetros!$E$4),Parâmetros!$E$4,0),"")</f>
        <v>0</v>
      </c>
      <c r="P4" s="41" t="n">
        <f aca="false">IF(ISNUMBER($K4),$K4-$D4-IF(ISNUMBER($E4),$E4,0)-$L4-$M4-$N4-$O4,"")</f>
        <v>5.54600000000001</v>
      </c>
      <c r="Q4" s="42" t="n">
        <f aca="false">IF(AND(ISNUMBER($K4),$K4&gt;0),$P4/$K4,"")</f>
        <v>0.0689800995024877</v>
      </c>
      <c r="R4" s="43"/>
      <c r="S4" s="44" t="str">
        <f aca="false">IF(OR(NOT(ISNUMBER($R4)),$R4=0,NOT(ISNUMBER($K4))),"",$K4*(1-$R4))</f>
        <v/>
      </c>
      <c r="T4" s="45" t="str">
        <f aca="false">IF(ISNUMBER($S4),$S4*$H4,"")</f>
        <v/>
      </c>
      <c r="U4" s="45" t="str">
        <f aca="false">IF(ISNUMBER($S4),$S4*Parâmetros!$B$4,"")</f>
        <v/>
      </c>
      <c r="V4" s="45" t="str">
        <f aca="false">IF(ISNUMBER($S4),$S4*Parâmetros!$C$4,"")</f>
        <v/>
      </c>
      <c r="W4" s="44" t="str">
        <f aca="false">IF(ISNUMBER($S4),$S4-$D4-IF(ISNUMBER($E4),$E4,0)-$O4-$T4-$U4-$V4,"")</f>
        <v/>
      </c>
      <c r="X4" s="46" t="str">
        <f aca="false">IF(AND(ISNUMBER($S4),$S4&gt;0),$W4/$S4,"")</f>
        <v/>
      </c>
      <c r="Y4" s="47"/>
      <c r="Z4" s="19"/>
    </row>
    <row r="5" customFormat="false" ht="15.75" hidden="false" customHeight="true" outlineLevel="0" collapsed="false">
      <c r="A5" s="48" t="str">
        <f aca="false">IF(Produtos!$A5="","",Produtos!$A5)</f>
        <v>L1623</v>
      </c>
      <c r="B5" s="48" t="str">
        <f aca="false">IF(Produtos!$A5="","",Produtos!$B5)</f>
        <v>Lixeira Aço Inox s/Tampa 16x23 05L</v>
      </c>
      <c r="C5" s="48" t="str">
        <f aca="false">IF(Produtos!$A5="","",Produtos!$C5)</f>
        <v>Lixeiras em inox</v>
      </c>
      <c r="D5" s="33" t="n">
        <f aca="false">IF(Produtos!$A5="","",IF(Produtos!$D5="","",Produtos!$D5))</f>
        <v>49.15</v>
      </c>
      <c r="E5" s="11" t="n">
        <v>14.15</v>
      </c>
      <c r="F5" s="34" t="n">
        <f aca="false">IF($A5="","",IF($C5="","⚠ categoria",IFERROR(INDEX(Parâmetros!$B$13:$B$22,MATCH($C5,Parâmetros!$A$13:$A$22,0)),"⚠ categoria")))</f>
        <v>0.13</v>
      </c>
      <c r="G5" s="35"/>
      <c r="H5" s="36" t="n">
        <f aca="false">IF($A5="","",IF(ISNUMBER($G5),$G5,IF(ISNUMBER($F5),$F5,"")))</f>
        <v>0.13</v>
      </c>
      <c r="I5" s="37" t="n">
        <f aca="false">IF(OR($A5="",NOT(ISNUMBER($D5)),NOT(ISNUMBER($H5))),"",IF((1-$H5-Parâmetros!$B$4-Parâmetros!$C$4-Parâmetros!$D$4)&lt;=0,"INVALIDO",($D5+IF(ISNUMBER($E5),$E5,0)+IF(ISNUMBER(Parâmetros!$E$4),Parâmetros!$E$4,0))/(1-$H5-Parâmetros!$B$4-Parâmetros!$C$4-Parâmetros!$D$4)))</f>
        <v>117.222222222222</v>
      </c>
      <c r="J5" s="38" t="n">
        <v>97.96</v>
      </c>
      <c r="K5" s="39" t="n">
        <f aca="false">IF(OR($A5="",NOT(ISNUMBER($D5)),NOT(ISNUMBER($H5))),"",IF(AND(ISNUMBER($J5),$J5&gt;0),$J5,IF(ISNUMBER($I5),$I5,"")))</f>
        <v>97.96</v>
      </c>
      <c r="L5" s="40" t="n">
        <f aca="false">IF(ISNUMBER($K5),$K5*$H5,"")</f>
        <v>12.7348</v>
      </c>
      <c r="M5" s="40" t="n">
        <f aca="false">IF(ISNUMBER($K5),$K5*Parâmetros!$B$4,"")</f>
        <v>9.796</v>
      </c>
      <c r="N5" s="40" t="n">
        <f aca="false">IF(ISNUMBER($K5),$K5*Parâmetros!$C$4,"")</f>
        <v>2.9388</v>
      </c>
      <c r="O5" s="40" t="n">
        <f aca="false">IF(ISNUMBER($K5),IF(ISNUMBER(Parâmetros!$E$4),Parâmetros!$E$4,0),"")</f>
        <v>0</v>
      </c>
      <c r="P5" s="41" t="n">
        <f aca="false">IF(ISNUMBER($K5),$K5-$D5-IF(ISNUMBER($E5),$E5,0)-$L5-$M5-$N5-$O5,"")</f>
        <v>9.1904</v>
      </c>
      <c r="Q5" s="42" t="n">
        <f aca="false">IF(AND(ISNUMBER($K5),$K5&gt;0),$P5/$K5,"")</f>
        <v>0.0938178848509595</v>
      </c>
      <c r="R5" s="43"/>
      <c r="S5" s="44" t="str">
        <f aca="false">IF(OR(NOT(ISNUMBER($R5)),$R5=0,NOT(ISNUMBER($K5))),"",$K5*(1-$R5))</f>
        <v/>
      </c>
      <c r="T5" s="45" t="str">
        <f aca="false">IF(ISNUMBER($S5),$S5*$H5,"")</f>
        <v/>
      </c>
      <c r="U5" s="45" t="str">
        <f aca="false">IF(ISNUMBER($S5),$S5*Parâmetros!$B$4,"")</f>
        <v/>
      </c>
      <c r="V5" s="45" t="str">
        <f aca="false">IF(ISNUMBER($S5),$S5*Parâmetros!$C$4,"")</f>
        <v/>
      </c>
      <c r="W5" s="44" t="str">
        <f aca="false">IF(ISNUMBER($S5),$S5-$D5-IF(ISNUMBER($E5),$E5,0)-$O5-$T5-$U5-$V5,"")</f>
        <v/>
      </c>
      <c r="X5" s="46" t="str">
        <f aca="false">IF(AND(ISNUMBER($S5),$S5&gt;0),$W5/$S5,"")</f>
        <v/>
      </c>
      <c r="Y5" s="49"/>
      <c r="Z5" s="21"/>
    </row>
    <row r="6" customFormat="false" ht="15.75" hidden="false" customHeight="true" outlineLevel="0" collapsed="false">
      <c r="A6" s="32" t="str">
        <f aca="false">IF(Produtos!$A6="","",Produtos!$A6)</f>
        <v>L2025</v>
      </c>
      <c r="B6" s="32" t="str">
        <f aca="false">IF(Produtos!$A6="","",Produtos!$B6)</f>
        <v>Lixeira Aço Inox s/Tampa 20x25 07L</v>
      </c>
      <c r="C6" s="32" t="str">
        <f aca="false">IF(Produtos!$A6="","",Produtos!$C6)</f>
        <v>Lixeiras em inox</v>
      </c>
      <c r="D6" s="33" t="n">
        <f aca="false">IF(Produtos!$A6="","",IF(Produtos!$D6="","",Produtos!$D6))</f>
        <v>51.82</v>
      </c>
      <c r="E6" s="11" t="n">
        <v>16.85</v>
      </c>
      <c r="F6" s="34" t="n">
        <f aca="false">IF($A6="","",IF($C6="","⚠ categoria",IFERROR(INDEX(Parâmetros!$B$13:$B$22,MATCH($C6,Parâmetros!$A$13:$A$22,0)),"⚠ categoria")))</f>
        <v>0.13</v>
      </c>
      <c r="G6" s="35"/>
      <c r="H6" s="36" t="n">
        <f aca="false">IF($A6="","",IF(ISNUMBER($G6),$G6,IF(ISNUMBER($F6),$F6,"")))</f>
        <v>0.13</v>
      </c>
      <c r="I6" s="37" t="n">
        <f aca="false">IF(OR($A6="",NOT(ISNUMBER($D6)),NOT(ISNUMBER($H6))),"",IF((1-$H6-Parâmetros!$B$4-Parâmetros!$C$4-Parâmetros!$D$4)&lt;=0,"INVALIDO",($D6+IF(ISNUMBER($E6),$E6,0)+IF(ISNUMBER(Parâmetros!$E$4),Parâmetros!$E$4,0))/(1-$H6-Parâmetros!$B$4-Parâmetros!$C$4-Parâmetros!$D$4)))</f>
        <v>127.166666666667</v>
      </c>
      <c r="J6" s="38" t="n">
        <v>102.62</v>
      </c>
      <c r="K6" s="39" t="n">
        <f aca="false">IF(OR($A6="",NOT(ISNUMBER($D6)),NOT(ISNUMBER($H6))),"",IF(AND(ISNUMBER($J6),$J6&gt;0),$J6,IF(ISNUMBER($I6),$I6,"")))</f>
        <v>102.62</v>
      </c>
      <c r="L6" s="40" t="n">
        <f aca="false">IF(ISNUMBER($K6),$K6*$H6,"")</f>
        <v>13.3406</v>
      </c>
      <c r="M6" s="40" t="n">
        <f aca="false">IF(ISNUMBER($K6),$K6*Parâmetros!$B$4,"")</f>
        <v>10.262</v>
      </c>
      <c r="N6" s="40" t="n">
        <f aca="false">IF(ISNUMBER($K6),$K6*Parâmetros!$C$4,"")</f>
        <v>3.0786</v>
      </c>
      <c r="O6" s="40" t="n">
        <f aca="false">IF(ISNUMBER($K6),IF(ISNUMBER(Parâmetros!$E$4),Parâmetros!$E$4,0),"")</f>
        <v>0</v>
      </c>
      <c r="P6" s="41" t="n">
        <f aca="false">IF(ISNUMBER($K6),$K6-$D6-IF(ISNUMBER($E6),$E6,0)-$L6-$M6-$N6-$O6,"")</f>
        <v>7.2688</v>
      </c>
      <c r="Q6" s="42" t="n">
        <f aca="false">IF(AND(ISNUMBER($K6),$K6&gt;0),$P6/$K6,"")</f>
        <v>0.0708321964529332</v>
      </c>
      <c r="R6" s="43"/>
      <c r="S6" s="44" t="str">
        <f aca="false">IF(OR(NOT(ISNUMBER($R6)),$R6=0,NOT(ISNUMBER($K6))),"",$K6*(1-$R6))</f>
        <v/>
      </c>
      <c r="T6" s="45" t="str">
        <f aca="false">IF(ISNUMBER($S6),$S6*$H6,"")</f>
        <v/>
      </c>
      <c r="U6" s="45" t="str">
        <f aca="false">IF(ISNUMBER($S6),$S6*Parâmetros!$B$4,"")</f>
        <v/>
      </c>
      <c r="V6" s="45" t="str">
        <f aca="false">IF(ISNUMBER($S6),$S6*Parâmetros!$C$4,"")</f>
        <v/>
      </c>
      <c r="W6" s="44" t="str">
        <f aca="false">IF(ISNUMBER($S6),$S6-$D6-IF(ISNUMBER($E6),$E6,0)-$O6-$T6-$U6-$V6,"")</f>
        <v/>
      </c>
      <c r="X6" s="46" t="str">
        <f aca="false">IF(AND(ISNUMBER($S6),$S6&gt;0),$W6/$S6,"")</f>
        <v/>
      </c>
      <c r="Y6" s="47"/>
      <c r="Z6" s="19"/>
    </row>
    <row r="7" customFormat="false" ht="15.75" hidden="false" customHeight="true" outlineLevel="0" collapsed="false">
      <c r="A7" s="48" t="str">
        <f aca="false">IF(Produtos!$A7="","",Produtos!$A7)</f>
        <v>L2030</v>
      </c>
      <c r="B7" s="48" t="str">
        <f aca="false">IF(Produtos!$A7="","",Produtos!$B7)</f>
        <v>Lixeira Aço Inox s/Tampa 20x30 10L</v>
      </c>
      <c r="C7" s="48" t="str">
        <f aca="false">IF(Produtos!$A7="","",Produtos!$C7)</f>
        <v>Lixeiras em inox</v>
      </c>
      <c r="D7" s="33" t="n">
        <f aca="false">IF(Produtos!$A7="","",IF(Produtos!$D7="","",Produtos!$D7))</f>
        <v>55.49</v>
      </c>
      <c r="E7" s="11" t="n">
        <v>16.85</v>
      </c>
      <c r="F7" s="34" t="n">
        <f aca="false">IF($A7="","",IF($C7="","⚠ categoria",IFERROR(INDEX(Parâmetros!$B$13:$B$22,MATCH($C7,Parâmetros!$A$13:$A$22,0)),"⚠ categoria")))</f>
        <v>0.13</v>
      </c>
      <c r="G7" s="35"/>
      <c r="H7" s="36" t="n">
        <f aca="false">IF($A7="","",IF(ISNUMBER($G7),$G7,IF(ISNUMBER($F7),$F7,"")))</f>
        <v>0.13</v>
      </c>
      <c r="I7" s="37" t="n">
        <f aca="false">IF(OR($A7="",NOT(ISNUMBER($D7)),NOT(ISNUMBER($H7))),"",IF((1-$H7-Parâmetros!$B$4-Parâmetros!$C$4-Parâmetros!$D$4)&lt;=0,"INVALIDO",($D7+IF(ISNUMBER($E7),$E7,0)+IF(ISNUMBER(Parâmetros!$E$4),Parâmetros!$E$4,0))/(1-$H7-Parâmetros!$B$4-Parâmetros!$C$4-Parâmetros!$D$4)))</f>
        <v>133.962962962963</v>
      </c>
      <c r="J7" s="38" t="n">
        <v>108.36</v>
      </c>
      <c r="K7" s="39" t="n">
        <f aca="false">IF(OR($A7="",NOT(ISNUMBER($D7)),NOT(ISNUMBER($H7))),"",IF(AND(ISNUMBER($J7),$J7&gt;0),$J7,IF(ISNUMBER($I7),$I7,"")))</f>
        <v>108.36</v>
      </c>
      <c r="L7" s="40" t="n">
        <f aca="false">IF(ISNUMBER($K7),$K7*$H7,"")</f>
        <v>14.0868</v>
      </c>
      <c r="M7" s="40" t="n">
        <f aca="false">IF(ISNUMBER($K7),$K7*Parâmetros!$B$4,"")</f>
        <v>10.836</v>
      </c>
      <c r="N7" s="40" t="n">
        <f aca="false">IF(ISNUMBER($K7),$K7*Parâmetros!$C$4,"")</f>
        <v>3.2508</v>
      </c>
      <c r="O7" s="40" t="n">
        <f aca="false">IF(ISNUMBER($K7),IF(ISNUMBER(Parâmetros!$E$4),Parâmetros!$E$4,0),"")</f>
        <v>0</v>
      </c>
      <c r="P7" s="41" t="n">
        <f aca="false">IF(ISNUMBER($K7),$K7-$D7-IF(ISNUMBER($E7),$E7,0)-$L7-$M7-$N7-$O7,"")</f>
        <v>7.8464</v>
      </c>
      <c r="Q7" s="42" t="n">
        <f aca="false">IF(AND(ISNUMBER($K7),$K7&gt;0),$P7/$K7,"")</f>
        <v>0.0724104835732742</v>
      </c>
      <c r="R7" s="43"/>
      <c r="S7" s="44" t="str">
        <f aca="false">IF(OR(NOT(ISNUMBER($R7)),$R7=0,NOT(ISNUMBER($K7))),"",$K7*(1-$R7))</f>
        <v/>
      </c>
      <c r="T7" s="45" t="str">
        <f aca="false">IF(ISNUMBER($S7),$S7*$H7,"")</f>
        <v/>
      </c>
      <c r="U7" s="45" t="str">
        <f aca="false">IF(ISNUMBER($S7),$S7*Parâmetros!$B$4,"")</f>
        <v/>
      </c>
      <c r="V7" s="45" t="str">
        <f aca="false">IF(ISNUMBER($S7),$S7*Parâmetros!$C$4,"")</f>
        <v/>
      </c>
      <c r="W7" s="44" t="str">
        <f aca="false">IF(ISNUMBER($S7),$S7-$D7-IF(ISNUMBER($E7),$E7,0)-$O7-$T7-$U7-$V7,"")</f>
        <v/>
      </c>
      <c r="X7" s="46" t="str">
        <f aca="false">IF(AND(ISNUMBER($S7),$S7&gt;0),$W7/$S7,"")</f>
        <v/>
      </c>
      <c r="Y7" s="49"/>
      <c r="Z7" s="21"/>
    </row>
    <row r="8" customFormat="false" ht="15.75" hidden="false" customHeight="true" outlineLevel="0" collapsed="false">
      <c r="A8" s="32" t="str">
        <f aca="false">IF(Produtos!$A8="","",Produtos!$A8)</f>
        <v>L2425</v>
      </c>
      <c r="B8" s="32" t="str">
        <f aca="false">IF(Produtos!$A8="","",Produtos!$B8)</f>
        <v>Lixeira Aço Inox s/Tampa 24x25 13L</v>
      </c>
      <c r="C8" s="32" t="str">
        <f aca="false">IF(Produtos!$A8="","",Produtos!$C8)</f>
        <v>Lixeiras em inox</v>
      </c>
      <c r="D8" s="33" t="n">
        <f aca="false">IF(Produtos!$A8="","",IF(Produtos!$D8="","",Produtos!$D8))</f>
        <v>62.2</v>
      </c>
      <c r="E8" s="11"/>
      <c r="F8" s="34" t="n">
        <f aca="false">IF($A8="","",IF($C8="","⚠ categoria",IFERROR(INDEX(Parâmetros!$B$13:$B$22,MATCH($C8,Parâmetros!$A$13:$A$22,0)),"⚠ categoria")))</f>
        <v>0.13</v>
      </c>
      <c r="G8" s="35"/>
      <c r="H8" s="36" t="n">
        <f aca="false">IF($A8="","",IF(ISNUMBER($G8),$G8,IF(ISNUMBER($F8),$F8,"")))</f>
        <v>0.13</v>
      </c>
      <c r="I8" s="37" t="n">
        <f aca="false">IF(OR($A8="",NOT(ISNUMBER($D8)),NOT(ISNUMBER($H8))),"",IF((1-$H8-Parâmetros!$B$4-Parâmetros!$C$4-Parâmetros!$D$4)&lt;=0,"INVALIDO",($D8+IF(ISNUMBER($E8),$E8,0)+IF(ISNUMBER(Parâmetros!$E$4),Parâmetros!$E$4,0))/(1-$H8-Parâmetros!$B$4-Parâmetros!$C$4-Parâmetros!$D$4)))</f>
        <v>115.185185185185</v>
      </c>
      <c r="J8" s="38"/>
      <c r="K8" s="39" t="n">
        <f aca="false">IF(OR($A8="",NOT(ISNUMBER($D8)),NOT(ISNUMBER($H8))),"",IF(AND(ISNUMBER($J8),$J8&gt;0),$J8,IF(ISNUMBER($I8),$I8,"")))</f>
        <v>115.185185185185</v>
      </c>
      <c r="L8" s="40" t="n">
        <f aca="false">IF(ISNUMBER($K8),$K8*$H8,"")</f>
        <v>14.9740740740741</v>
      </c>
      <c r="M8" s="40" t="n">
        <f aca="false">IF(ISNUMBER($K8),$K8*Parâmetros!$B$4,"")</f>
        <v>11.5185185185185</v>
      </c>
      <c r="N8" s="40" t="n">
        <f aca="false">IF(ISNUMBER($K8),$K8*Parâmetros!$C$4,"")</f>
        <v>3.45555555555556</v>
      </c>
      <c r="O8" s="40" t="n">
        <f aca="false">IF(ISNUMBER($K8),IF(ISNUMBER(Parâmetros!$E$4),Parâmetros!$E$4,0),"")</f>
        <v>0</v>
      </c>
      <c r="P8" s="41" t="n">
        <f aca="false">IF(ISNUMBER($K8),$K8-$D8-IF(ISNUMBER($E8),$E8,0)-$L8-$M8-$N8-$O8,"")</f>
        <v>23.037037037037</v>
      </c>
      <c r="Q8" s="42" t="n">
        <f aca="false">IF(AND(ISNUMBER($K8),$K8&gt;0),$P8/$K8,"")</f>
        <v>0.2</v>
      </c>
      <c r="R8" s="43"/>
      <c r="S8" s="44" t="str">
        <f aca="false">IF(OR(NOT(ISNUMBER($R8)),$R8=0,NOT(ISNUMBER($K8))),"",$K8*(1-$R8))</f>
        <v/>
      </c>
      <c r="T8" s="45" t="str">
        <f aca="false">IF(ISNUMBER($S8),$S8*$H8,"")</f>
        <v/>
      </c>
      <c r="U8" s="45" t="str">
        <f aca="false">IF(ISNUMBER($S8),$S8*Parâmetros!$B$4,"")</f>
        <v/>
      </c>
      <c r="V8" s="45" t="str">
        <f aca="false">IF(ISNUMBER($S8),$S8*Parâmetros!$C$4,"")</f>
        <v/>
      </c>
      <c r="W8" s="44" t="str">
        <f aca="false">IF(ISNUMBER($S8),$S8-$D8-IF(ISNUMBER($E8),$E8,0)-$O8-$T8-$U8-$V8,"")</f>
        <v/>
      </c>
      <c r="X8" s="46" t="str">
        <f aca="false">IF(AND(ISNUMBER($S8),$S8&gt;0),$W8/$S8,"")</f>
        <v/>
      </c>
      <c r="Y8" s="47"/>
      <c r="Z8" s="19"/>
    </row>
    <row r="9" customFormat="false" ht="15.75" hidden="false" customHeight="true" outlineLevel="0" collapsed="false">
      <c r="A9" s="48" t="str">
        <f aca="false">IF(Produtos!$A9="","",Produtos!$A9)</f>
        <v>L2430</v>
      </c>
      <c r="B9" s="48" t="str">
        <f aca="false">IF(Produtos!$A9="","",Produtos!$B9)</f>
        <v>Lixeira Aço Inox s/Tampa 24x30 15L</v>
      </c>
      <c r="C9" s="48" t="str">
        <f aca="false">IF(Produtos!$A9="","",Produtos!$C9)</f>
        <v>Lixeiras em inox</v>
      </c>
      <c r="D9" s="33" t="n">
        <f aca="false">IF(Produtos!$A9="","",IF(Produtos!$D9="","",Produtos!$D9))</f>
        <v>69.93</v>
      </c>
      <c r="E9" s="11"/>
      <c r="F9" s="34" t="n">
        <f aca="false">IF($A9="","",IF($C9="","⚠ categoria",IFERROR(INDEX(Parâmetros!$B$13:$B$22,MATCH($C9,Parâmetros!$A$13:$A$22,0)),"⚠ categoria")))</f>
        <v>0.13</v>
      </c>
      <c r="G9" s="35"/>
      <c r="H9" s="36" t="n">
        <f aca="false">IF($A9="","",IF(ISNUMBER($G9),$G9,IF(ISNUMBER($F9),$F9,"")))</f>
        <v>0.13</v>
      </c>
      <c r="I9" s="37" t="n">
        <f aca="false">IF(OR($A9="",NOT(ISNUMBER($D9)),NOT(ISNUMBER($H9))),"",IF((1-$H9-Parâmetros!$B$4-Parâmetros!$C$4-Parâmetros!$D$4)&lt;=0,"INVALIDO",($D9+IF(ISNUMBER($E9),$E9,0)+IF(ISNUMBER(Parâmetros!$E$4),Parâmetros!$E$4,0))/(1-$H9-Parâmetros!$B$4-Parâmetros!$C$4-Parâmetros!$D$4)))</f>
        <v>129.5</v>
      </c>
      <c r="J9" s="38"/>
      <c r="K9" s="39" t="n">
        <f aca="false">IF(OR($A9="",NOT(ISNUMBER($D9)),NOT(ISNUMBER($H9))),"",IF(AND(ISNUMBER($J9),$J9&gt;0),$J9,IF(ISNUMBER($I9),$I9,"")))</f>
        <v>129.5</v>
      </c>
      <c r="L9" s="40" t="n">
        <f aca="false">IF(ISNUMBER($K9),$K9*$H9,"")</f>
        <v>16.835</v>
      </c>
      <c r="M9" s="40" t="n">
        <f aca="false">IF(ISNUMBER($K9),$K9*Parâmetros!$B$4,"")</f>
        <v>12.95</v>
      </c>
      <c r="N9" s="40" t="n">
        <f aca="false">IF(ISNUMBER($K9),$K9*Parâmetros!$C$4,"")</f>
        <v>3.885</v>
      </c>
      <c r="O9" s="40" t="n">
        <f aca="false">IF(ISNUMBER($K9),IF(ISNUMBER(Parâmetros!$E$4),Parâmetros!$E$4,0),"")</f>
        <v>0</v>
      </c>
      <c r="P9" s="41" t="n">
        <f aca="false">IF(ISNUMBER($K9),$K9-$D9-IF(ISNUMBER($E9),$E9,0)-$L9-$M9-$N9-$O9,"")</f>
        <v>25.9</v>
      </c>
      <c r="Q9" s="42" t="n">
        <f aca="false">IF(AND(ISNUMBER($K9),$K9&gt;0),$P9/$K9,"")</f>
        <v>0.2</v>
      </c>
      <c r="R9" s="43"/>
      <c r="S9" s="44" t="str">
        <f aca="false">IF(OR(NOT(ISNUMBER($R9)),$R9=0,NOT(ISNUMBER($K9))),"",$K9*(1-$R9))</f>
        <v/>
      </c>
      <c r="T9" s="45" t="str">
        <f aca="false">IF(ISNUMBER($S9),$S9*$H9,"")</f>
        <v/>
      </c>
      <c r="U9" s="45" t="str">
        <f aca="false">IF(ISNUMBER($S9),$S9*Parâmetros!$B$4,"")</f>
        <v/>
      </c>
      <c r="V9" s="45" t="str">
        <f aca="false">IF(ISNUMBER($S9),$S9*Parâmetros!$C$4,"")</f>
        <v/>
      </c>
      <c r="W9" s="44" t="str">
        <f aca="false">IF(ISNUMBER($S9),$S9-$D9-IF(ISNUMBER($E9),$E9,0)-$O9-$T9-$U9-$V9,"")</f>
        <v/>
      </c>
      <c r="X9" s="46" t="str">
        <f aca="false">IF(AND(ISNUMBER($S9),$S9&gt;0),$W9/$S9,"")</f>
        <v/>
      </c>
      <c r="Y9" s="49"/>
      <c r="Z9" s="21"/>
    </row>
    <row r="10" customFormat="false" ht="15.75" hidden="false" customHeight="true" outlineLevel="0" collapsed="false">
      <c r="A10" s="32" t="str">
        <f aca="false">IF(Produtos!$A10="","",Produtos!$A10)</f>
        <v>L2440</v>
      </c>
      <c r="B10" s="32" t="str">
        <f aca="false">IF(Produtos!$A10="","",Produtos!$B10)</f>
        <v>Lixeira Aço Inox s/Tampa 24x40 20L</v>
      </c>
      <c r="C10" s="32" t="str">
        <f aca="false">IF(Produtos!$A10="","",Produtos!$C10)</f>
        <v>Lixeiras em inox</v>
      </c>
      <c r="D10" s="33" t="n">
        <f aca="false">IF(Produtos!$A10="","",IF(Produtos!$D10="","",Produtos!$D10))</f>
        <v>85.92</v>
      </c>
      <c r="E10" s="11"/>
      <c r="F10" s="34" t="n">
        <f aca="false">IF($A10="","",IF($C10="","⚠ categoria",IFERROR(INDEX(Parâmetros!$B$13:$B$22,MATCH($C10,Parâmetros!$A$13:$A$22,0)),"⚠ categoria")))</f>
        <v>0.13</v>
      </c>
      <c r="G10" s="35"/>
      <c r="H10" s="36" t="n">
        <f aca="false">IF($A10="","",IF(ISNUMBER($G10),$G10,IF(ISNUMBER($F10),$F10,"")))</f>
        <v>0.13</v>
      </c>
      <c r="I10" s="37" t="n">
        <f aca="false">IF(OR($A10="",NOT(ISNUMBER($D10)),NOT(ISNUMBER($H10))),"",IF((1-$H10-Parâmetros!$B$4-Parâmetros!$C$4-Parâmetros!$D$4)&lt;=0,"INVALIDO",($D10+IF(ISNUMBER($E10),$E10,0)+IF(ISNUMBER(Parâmetros!$E$4),Parâmetros!$E$4,0))/(1-$H10-Parâmetros!$B$4-Parâmetros!$C$4-Parâmetros!$D$4)))</f>
        <v>159.111111111111</v>
      </c>
      <c r="J10" s="38"/>
      <c r="K10" s="39" t="n">
        <f aca="false">IF(OR($A10="",NOT(ISNUMBER($D10)),NOT(ISNUMBER($H10))),"",IF(AND(ISNUMBER($J10),$J10&gt;0),$J10,IF(ISNUMBER($I10),$I10,"")))</f>
        <v>159.111111111111</v>
      </c>
      <c r="L10" s="40" t="n">
        <f aca="false">IF(ISNUMBER($K10),$K10*$H10,"")</f>
        <v>20.6844444444444</v>
      </c>
      <c r="M10" s="40" t="n">
        <f aca="false">IF(ISNUMBER($K10),$K10*Parâmetros!$B$4,"")</f>
        <v>15.9111111111111</v>
      </c>
      <c r="N10" s="40" t="n">
        <f aca="false">IF(ISNUMBER($K10),$K10*Parâmetros!$C$4,"")</f>
        <v>4.77333333333333</v>
      </c>
      <c r="O10" s="40" t="n">
        <f aca="false">IF(ISNUMBER($K10),IF(ISNUMBER(Parâmetros!$E$4),Parâmetros!$E$4,0),"")</f>
        <v>0</v>
      </c>
      <c r="P10" s="41" t="n">
        <f aca="false">IF(ISNUMBER($K10),$K10-$D10-IF(ISNUMBER($E10),$E10,0)-$L10-$M10-$N10-$O10,"")</f>
        <v>31.8222222222222</v>
      </c>
      <c r="Q10" s="42" t="n">
        <f aca="false">IF(AND(ISNUMBER($K10),$K10&gt;0),$P10/$K10,"")</f>
        <v>0.2</v>
      </c>
      <c r="R10" s="43"/>
      <c r="S10" s="44" t="str">
        <f aca="false">IF(OR(NOT(ISNUMBER($R10)),$R10=0,NOT(ISNUMBER($K10))),"",$K10*(1-$R10))</f>
        <v/>
      </c>
      <c r="T10" s="45" t="str">
        <f aca="false">IF(ISNUMBER($S10),$S10*$H10,"")</f>
        <v/>
      </c>
      <c r="U10" s="45" t="str">
        <f aca="false">IF(ISNUMBER($S10),$S10*Parâmetros!$B$4,"")</f>
        <v/>
      </c>
      <c r="V10" s="45" t="str">
        <f aca="false">IF(ISNUMBER($S10),$S10*Parâmetros!$C$4,"")</f>
        <v/>
      </c>
      <c r="W10" s="44" t="str">
        <f aca="false">IF(ISNUMBER($S10),$S10-$D10-IF(ISNUMBER($E10),$E10,0)-$O10-$T10-$U10-$V10,"")</f>
        <v/>
      </c>
      <c r="X10" s="46" t="str">
        <f aca="false">IF(AND(ISNUMBER($S10),$S10&gt;0),$W10/$S10,"")</f>
        <v/>
      </c>
      <c r="Y10" s="47"/>
      <c r="Z10" s="19"/>
    </row>
    <row r="11" customFormat="false" ht="15.75" hidden="false" customHeight="true" outlineLevel="0" collapsed="false">
      <c r="A11" s="48" t="str">
        <f aca="false">IF(Produtos!$A11="","",Produtos!$A11)</f>
        <v>L2450</v>
      </c>
      <c r="B11" s="48" t="str">
        <f aca="false">IF(Produtos!$A11="","",Produtos!$B11)</f>
        <v>Lixeira Aço Inox s/Tampa 24x50 25L</v>
      </c>
      <c r="C11" s="48" t="str">
        <f aca="false">IF(Produtos!$A11="","",Produtos!$C11)</f>
        <v>Lixeiras em inox</v>
      </c>
      <c r="D11" s="33" t="n">
        <f aca="false">IF(Produtos!$A11="","",IF(Produtos!$D11="","",Produtos!$D11))</f>
        <v>116.34</v>
      </c>
      <c r="E11" s="11"/>
      <c r="F11" s="34" t="n">
        <f aca="false">IF($A11="","",IF($C11="","⚠ categoria",IFERROR(INDEX(Parâmetros!$B$13:$B$22,MATCH($C11,Parâmetros!$A$13:$A$22,0)),"⚠ categoria")))</f>
        <v>0.13</v>
      </c>
      <c r="G11" s="35"/>
      <c r="H11" s="36" t="n">
        <f aca="false">IF($A11="","",IF(ISNUMBER($G11),$G11,IF(ISNUMBER($F11),$F11,"")))</f>
        <v>0.13</v>
      </c>
      <c r="I11" s="37" t="n">
        <f aca="false">IF(OR($A11="",NOT(ISNUMBER($D11)),NOT(ISNUMBER($H11))),"",IF((1-$H11-Parâmetros!$B$4-Parâmetros!$C$4-Parâmetros!$D$4)&lt;=0,"INVALIDO",($D11+IF(ISNUMBER($E11),$E11,0)+IF(ISNUMBER(Parâmetros!$E$4),Parâmetros!$E$4,0))/(1-$H11-Parâmetros!$B$4-Parâmetros!$C$4-Parâmetros!$D$4)))</f>
        <v>215.444444444444</v>
      </c>
      <c r="J11" s="38"/>
      <c r="K11" s="39" t="n">
        <f aca="false">IF(OR($A11="",NOT(ISNUMBER($D11)),NOT(ISNUMBER($H11))),"",IF(AND(ISNUMBER($J11),$J11&gt;0),$J11,IF(ISNUMBER($I11),$I11,"")))</f>
        <v>215.444444444444</v>
      </c>
      <c r="L11" s="40" t="n">
        <f aca="false">IF(ISNUMBER($K11),$K11*$H11,"")</f>
        <v>28.0077777777778</v>
      </c>
      <c r="M11" s="40" t="n">
        <f aca="false">IF(ISNUMBER($K11),$K11*Parâmetros!$B$4,"")</f>
        <v>21.5444444444444</v>
      </c>
      <c r="N11" s="40" t="n">
        <f aca="false">IF(ISNUMBER($K11),$K11*Parâmetros!$C$4,"")</f>
        <v>6.46333333333333</v>
      </c>
      <c r="O11" s="40" t="n">
        <f aca="false">IF(ISNUMBER($K11),IF(ISNUMBER(Parâmetros!$E$4),Parâmetros!$E$4,0),"")</f>
        <v>0</v>
      </c>
      <c r="P11" s="41" t="n">
        <f aca="false">IF(ISNUMBER($K11),$K11-$D11-IF(ISNUMBER($E11),$E11,0)-$L11-$M11-$N11-$O11,"")</f>
        <v>43.0888888888889</v>
      </c>
      <c r="Q11" s="42" t="n">
        <f aca="false">IF(AND(ISNUMBER($K11),$K11&gt;0),$P11/$K11,"")</f>
        <v>0.2</v>
      </c>
      <c r="R11" s="43"/>
      <c r="S11" s="44" t="str">
        <f aca="false">IF(OR(NOT(ISNUMBER($R11)),$R11=0,NOT(ISNUMBER($K11))),"",$K11*(1-$R11))</f>
        <v/>
      </c>
      <c r="T11" s="45" t="str">
        <f aca="false">IF(ISNUMBER($S11),$S11*$H11,"")</f>
        <v/>
      </c>
      <c r="U11" s="45" t="str">
        <f aca="false">IF(ISNUMBER($S11),$S11*Parâmetros!$B$4,"")</f>
        <v/>
      </c>
      <c r="V11" s="45" t="str">
        <f aca="false">IF(ISNUMBER($S11),$S11*Parâmetros!$C$4,"")</f>
        <v/>
      </c>
      <c r="W11" s="44" t="str">
        <f aca="false">IF(ISNUMBER($S11),$S11-$D11-IF(ISNUMBER($E11),$E11,0)-$O11-$T11-$U11-$V11,"")</f>
        <v/>
      </c>
      <c r="X11" s="46" t="str">
        <f aca="false">IF(AND(ISNUMBER($S11),$S11&gt;0),$W11/$S11,"")</f>
        <v/>
      </c>
      <c r="Y11" s="49"/>
      <c r="Z11" s="21"/>
    </row>
    <row r="12" customFormat="false" ht="15.75" hidden="false" customHeight="true" outlineLevel="0" collapsed="false">
      <c r="A12" s="32" t="str">
        <f aca="false">IF(Produtos!$A12="","",Produtos!$A12)</f>
        <v>L2460</v>
      </c>
      <c r="B12" s="32" t="str">
        <f aca="false">IF(Produtos!$A12="","",Produtos!$B12)</f>
        <v>Lixeira Aço Inox s/Tampa 24x60 27L</v>
      </c>
      <c r="C12" s="32" t="str">
        <f aca="false">IF(Produtos!$A12="","",Produtos!$C12)</f>
        <v>Lixeiras em inox</v>
      </c>
      <c r="D12" s="33" t="n">
        <f aca="false">IF(Produtos!$A12="","",IF(Produtos!$D12="","",Produtos!$D12))</f>
        <v>117.84</v>
      </c>
      <c r="E12" s="11"/>
      <c r="F12" s="34" t="n">
        <f aca="false">IF($A12="","",IF($C12="","⚠ categoria",IFERROR(INDEX(Parâmetros!$B$13:$B$22,MATCH($C12,Parâmetros!$A$13:$A$22,0)),"⚠ categoria")))</f>
        <v>0.13</v>
      </c>
      <c r="G12" s="35"/>
      <c r="H12" s="36" t="n">
        <f aca="false">IF($A12="","",IF(ISNUMBER($G12),$G12,IF(ISNUMBER($F12),$F12,"")))</f>
        <v>0.13</v>
      </c>
      <c r="I12" s="37" t="n">
        <f aca="false">IF(OR($A12="",NOT(ISNUMBER($D12)),NOT(ISNUMBER($H12))),"",IF((1-$H12-Parâmetros!$B$4-Parâmetros!$C$4-Parâmetros!$D$4)&lt;=0,"INVALIDO",($D12+IF(ISNUMBER($E12),$E12,0)+IF(ISNUMBER(Parâmetros!$E$4),Parâmetros!$E$4,0))/(1-$H12-Parâmetros!$B$4-Parâmetros!$C$4-Parâmetros!$D$4)))</f>
        <v>218.222222222222</v>
      </c>
      <c r="J12" s="38"/>
      <c r="K12" s="39" t="n">
        <f aca="false">IF(OR($A12="",NOT(ISNUMBER($D12)),NOT(ISNUMBER($H12))),"",IF(AND(ISNUMBER($J12),$J12&gt;0),$J12,IF(ISNUMBER($I12),$I12,"")))</f>
        <v>218.222222222222</v>
      </c>
      <c r="L12" s="40" t="n">
        <f aca="false">IF(ISNUMBER($K12),$K12*$H12,"")</f>
        <v>28.3688888888889</v>
      </c>
      <c r="M12" s="40" t="n">
        <f aca="false">IF(ISNUMBER($K12),$K12*Parâmetros!$B$4,"")</f>
        <v>21.8222222222222</v>
      </c>
      <c r="N12" s="40" t="n">
        <f aca="false">IF(ISNUMBER($K12),$K12*Parâmetros!$C$4,"")</f>
        <v>6.54666666666667</v>
      </c>
      <c r="O12" s="40" t="n">
        <f aca="false">IF(ISNUMBER($K12),IF(ISNUMBER(Parâmetros!$E$4),Parâmetros!$E$4,0),"")</f>
        <v>0</v>
      </c>
      <c r="P12" s="41" t="n">
        <f aca="false">IF(ISNUMBER($K12),$K12-$D12-IF(ISNUMBER($E12),$E12,0)-$L12-$M12-$N12-$O12,"")</f>
        <v>43.6444444444444</v>
      </c>
      <c r="Q12" s="42" t="n">
        <f aca="false">IF(AND(ISNUMBER($K12),$K12&gt;0),$P12/$K12,"")</f>
        <v>0.2</v>
      </c>
      <c r="R12" s="43"/>
      <c r="S12" s="44" t="str">
        <f aca="false">IF(OR(NOT(ISNUMBER($R12)),$R12=0,NOT(ISNUMBER($K12))),"",$K12*(1-$R12))</f>
        <v/>
      </c>
      <c r="T12" s="45" t="str">
        <f aca="false">IF(ISNUMBER($S12),$S12*$H12,"")</f>
        <v/>
      </c>
      <c r="U12" s="45" t="str">
        <f aca="false">IF(ISNUMBER($S12),$S12*Parâmetros!$B$4,"")</f>
        <v/>
      </c>
      <c r="V12" s="45" t="str">
        <f aca="false">IF(ISNUMBER($S12),$S12*Parâmetros!$C$4,"")</f>
        <v/>
      </c>
      <c r="W12" s="44" t="str">
        <f aca="false">IF(ISNUMBER($S12),$S12-$D12-IF(ISNUMBER($E12),$E12,0)-$O12-$T12-$U12-$V12,"")</f>
        <v/>
      </c>
      <c r="X12" s="46" t="str">
        <f aca="false">IF(AND(ISNUMBER($S12),$S12&gt;0),$W12/$S12,"")</f>
        <v/>
      </c>
      <c r="Y12" s="47"/>
      <c r="Z12" s="19"/>
    </row>
    <row r="13" customFormat="false" ht="15.75" hidden="false" customHeight="true" outlineLevel="0" collapsed="false">
      <c r="A13" s="48" t="str">
        <f aca="false">IF(Produtos!$A13="","",Produtos!$A13)</f>
        <v>L2470</v>
      </c>
      <c r="B13" s="48" t="str">
        <f aca="false">IF(Produtos!$A13="","",Produtos!$B13)</f>
        <v>Lixeira Aço Inox s/Tampa 24x70 30L</v>
      </c>
      <c r="C13" s="48" t="str">
        <f aca="false">IF(Produtos!$A13="","",Produtos!$C13)</f>
        <v>Lixeiras em inox</v>
      </c>
      <c r="D13" s="33" t="n">
        <f aca="false">IF(Produtos!$A13="","",IF(Produtos!$D13="","",Produtos!$D13))</f>
        <v>186.46</v>
      </c>
      <c r="E13" s="11"/>
      <c r="F13" s="34" t="n">
        <f aca="false">IF($A13="","",IF($C13="","⚠ categoria",IFERROR(INDEX(Parâmetros!$B$13:$B$22,MATCH($C13,Parâmetros!$A$13:$A$22,0)),"⚠ categoria")))</f>
        <v>0.13</v>
      </c>
      <c r="G13" s="35"/>
      <c r="H13" s="36" t="n">
        <f aca="false">IF($A13="","",IF(ISNUMBER($G13),$G13,IF(ISNUMBER($F13),$F13,"")))</f>
        <v>0.13</v>
      </c>
      <c r="I13" s="37" t="n">
        <f aca="false">IF(OR($A13="",NOT(ISNUMBER($D13)),NOT(ISNUMBER($H13))),"",IF((1-$H13-Parâmetros!$B$4-Parâmetros!$C$4-Parâmetros!$D$4)&lt;=0,"INVALIDO",($D13+IF(ISNUMBER($E13),$E13,0)+IF(ISNUMBER(Parâmetros!$E$4),Parâmetros!$E$4,0))/(1-$H13-Parâmetros!$B$4-Parâmetros!$C$4-Parâmetros!$D$4)))</f>
        <v>345.296296296296</v>
      </c>
      <c r="J13" s="38"/>
      <c r="K13" s="39" t="n">
        <f aca="false">IF(OR($A13="",NOT(ISNUMBER($D13)),NOT(ISNUMBER($H13))),"",IF(AND(ISNUMBER($J13),$J13&gt;0),$J13,IF(ISNUMBER($I13),$I13,"")))</f>
        <v>345.296296296296</v>
      </c>
      <c r="L13" s="40" t="n">
        <f aca="false">IF(ISNUMBER($K13),$K13*$H13,"")</f>
        <v>44.8885185185185</v>
      </c>
      <c r="M13" s="40" t="n">
        <f aca="false">IF(ISNUMBER($K13),$K13*Parâmetros!$B$4,"")</f>
        <v>34.5296296296296</v>
      </c>
      <c r="N13" s="40" t="n">
        <f aca="false">IF(ISNUMBER($K13),$K13*Parâmetros!$C$4,"")</f>
        <v>10.3588888888889</v>
      </c>
      <c r="O13" s="40" t="n">
        <f aca="false">IF(ISNUMBER($K13),IF(ISNUMBER(Parâmetros!$E$4),Parâmetros!$E$4,0),"")</f>
        <v>0</v>
      </c>
      <c r="P13" s="41" t="n">
        <f aca="false">IF(ISNUMBER($K13),$K13-$D13-IF(ISNUMBER($E13),$E13,0)-$L13-$M13-$N13-$O13,"")</f>
        <v>69.0592592592593</v>
      </c>
      <c r="Q13" s="42" t="n">
        <f aca="false">IF(AND(ISNUMBER($K13),$K13&gt;0),$P13/$K13,"")</f>
        <v>0.2</v>
      </c>
      <c r="R13" s="43"/>
      <c r="S13" s="44" t="str">
        <f aca="false">IF(OR(NOT(ISNUMBER($R13)),$R13=0,NOT(ISNUMBER($K13))),"",$K13*(1-$R13))</f>
        <v/>
      </c>
      <c r="T13" s="45" t="str">
        <f aca="false">IF(ISNUMBER($S13),$S13*$H13,"")</f>
        <v/>
      </c>
      <c r="U13" s="45" t="str">
        <f aca="false">IF(ISNUMBER($S13),$S13*Parâmetros!$B$4,"")</f>
        <v/>
      </c>
      <c r="V13" s="45" t="str">
        <f aca="false">IF(ISNUMBER($S13),$S13*Parâmetros!$C$4,"")</f>
        <v/>
      </c>
      <c r="W13" s="44" t="str">
        <f aca="false">IF(ISNUMBER($S13),$S13-$D13-IF(ISNUMBER($E13),$E13,0)-$O13-$T13-$U13-$V13,"")</f>
        <v/>
      </c>
      <c r="X13" s="46" t="str">
        <f aca="false">IF(AND(ISNUMBER($S13),$S13&gt;0),$W13/$S13,"")</f>
        <v/>
      </c>
      <c r="Y13" s="49"/>
      <c r="Z13" s="21"/>
    </row>
    <row r="14" customFormat="false" ht="15.75" hidden="false" customHeight="true" outlineLevel="0" collapsed="false">
      <c r="A14" s="32" t="str">
        <f aca="false">IF(Produtos!$A14="","",Produtos!$A14)</f>
        <v>L3040</v>
      </c>
      <c r="B14" s="32" t="str">
        <f aca="false">IF(Produtos!$A14="","",Produtos!$B14)</f>
        <v>Lixeira Aço Inox s/Tampa 30x40 30L</v>
      </c>
      <c r="C14" s="32" t="str">
        <f aca="false">IF(Produtos!$A14="","",Produtos!$C14)</f>
        <v>Lixeiras em inox</v>
      </c>
      <c r="D14" s="33" t="n">
        <f aca="false">IF(Produtos!$A14="","",IF(Produtos!$D14="","",Produtos!$D14))</f>
        <v>116.77</v>
      </c>
      <c r="E14" s="11"/>
      <c r="F14" s="34" t="n">
        <f aca="false">IF($A14="","",IF($C14="","⚠ categoria",IFERROR(INDEX(Parâmetros!$B$13:$B$22,MATCH($C14,Parâmetros!$A$13:$A$22,0)),"⚠ categoria")))</f>
        <v>0.13</v>
      </c>
      <c r="G14" s="35"/>
      <c r="H14" s="36" t="n">
        <f aca="false">IF($A14="","",IF(ISNUMBER($G14),$G14,IF(ISNUMBER($F14),$F14,"")))</f>
        <v>0.13</v>
      </c>
      <c r="I14" s="37" t="n">
        <f aca="false">IF(OR($A14="",NOT(ISNUMBER($D14)),NOT(ISNUMBER($H14))),"",IF((1-$H14-Parâmetros!$B$4-Parâmetros!$C$4-Parâmetros!$D$4)&lt;=0,"INVALIDO",($D14+IF(ISNUMBER($E14),$E14,0)+IF(ISNUMBER(Parâmetros!$E$4),Parâmetros!$E$4,0))/(1-$H14-Parâmetros!$B$4-Parâmetros!$C$4-Parâmetros!$D$4)))</f>
        <v>216.240740740741</v>
      </c>
      <c r="J14" s="38"/>
      <c r="K14" s="39" t="n">
        <f aca="false">IF(OR($A14="",NOT(ISNUMBER($D14)),NOT(ISNUMBER($H14))),"",IF(AND(ISNUMBER($J14),$J14&gt;0),$J14,IF(ISNUMBER($I14),$I14,"")))</f>
        <v>216.240740740741</v>
      </c>
      <c r="L14" s="40" t="n">
        <f aca="false">IF(ISNUMBER($K14),$K14*$H14,"")</f>
        <v>28.1112962962963</v>
      </c>
      <c r="M14" s="40" t="n">
        <f aca="false">IF(ISNUMBER($K14),$K14*Parâmetros!$B$4,"")</f>
        <v>21.6240740740741</v>
      </c>
      <c r="N14" s="40" t="n">
        <f aca="false">IF(ISNUMBER($K14),$K14*Parâmetros!$C$4,"")</f>
        <v>6.48722222222222</v>
      </c>
      <c r="O14" s="40" t="n">
        <f aca="false">IF(ISNUMBER($K14),IF(ISNUMBER(Parâmetros!$E$4),Parâmetros!$E$4,0),"")</f>
        <v>0</v>
      </c>
      <c r="P14" s="41" t="n">
        <f aca="false">IF(ISNUMBER($K14),$K14-$D14-IF(ISNUMBER($E14),$E14,0)-$L14-$M14-$N14-$O14,"")</f>
        <v>43.2481481481481</v>
      </c>
      <c r="Q14" s="42" t="n">
        <f aca="false">IF(AND(ISNUMBER($K14),$K14&gt;0),$P14/$K14,"")</f>
        <v>0.2</v>
      </c>
      <c r="R14" s="43"/>
      <c r="S14" s="44" t="str">
        <f aca="false">IF(OR(NOT(ISNUMBER($R14)),$R14=0,NOT(ISNUMBER($K14))),"",$K14*(1-$R14))</f>
        <v/>
      </c>
      <c r="T14" s="45" t="str">
        <f aca="false">IF(ISNUMBER($S14),$S14*$H14,"")</f>
        <v/>
      </c>
      <c r="U14" s="45" t="str">
        <f aca="false">IF(ISNUMBER($S14),$S14*Parâmetros!$B$4,"")</f>
        <v/>
      </c>
      <c r="V14" s="45" t="str">
        <f aca="false">IF(ISNUMBER($S14),$S14*Parâmetros!$C$4,"")</f>
        <v/>
      </c>
      <c r="W14" s="44" t="str">
        <f aca="false">IF(ISNUMBER($S14),$S14-$D14-IF(ISNUMBER($E14),$E14,0)-$O14-$T14-$U14-$V14,"")</f>
        <v/>
      </c>
      <c r="X14" s="46" t="str">
        <f aca="false">IF(AND(ISNUMBER($S14),$S14&gt;0),$W14/$S14,"")</f>
        <v/>
      </c>
      <c r="Y14" s="47"/>
      <c r="Z14" s="19"/>
    </row>
    <row r="15" customFormat="false" ht="15.75" hidden="false" customHeight="true" outlineLevel="0" collapsed="false">
      <c r="A15" s="48" t="str">
        <f aca="false">IF(Produtos!$A15="","",Produtos!$A15)</f>
        <v>L3050</v>
      </c>
      <c r="B15" s="48" t="str">
        <f aca="false">IF(Produtos!$A15="","",Produtos!$B15)</f>
        <v>Lixeira Aço Inox s/Tampa 30x50 35L</v>
      </c>
      <c r="C15" s="48" t="str">
        <f aca="false">IF(Produtos!$A15="","",Produtos!$C15)</f>
        <v>Lixeiras em inox</v>
      </c>
      <c r="D15" s="33" t="n">
        <f aca="false">IF(Produtos!$A15="","",IF(Produtos!$D15="","",Produtos!$D15))</f>
        <v>159.84</v>
      </c>
      <c r="E15" s="11"/>
      <c r="F15" s="34" t="n">
        <f aca="false">IF($A15="","",IF($C15="","⚠ categoria",IFERROR(INDEX(Parâmetros!$B$13:$B$22,MATCH($C15,Parâmetros!$A$13:$A$22,0)),"⚠ categoria")))</f>
        <v>0.13</v>
      </c>
      <c r="G15" s="35"/>
      <c r="H15" s="36" t="n">
        <f aca="false">IF($A15="","",IF(ISNUMBER($G15),$G15,IF(ISNUMBER($F15),$F15,"")))</f>
        <v>0.13</v>
      </c>
      <c r="I15" s="37" t="n">
        <f aca="false">IF(OR($A15="",NOT(ISNUMBER($D15)),NOT(ISNUMBER($H15))),"",IF((1-$H15-Parâmetros!$B$4-Parâmetros!$C$4-Parâmetros!$D$4)&lt;=0,"INVALIDO",($D15+IF(ISNUMBER($E15),$E15,0)+IF(ISNUMBER(Parâmetros!$E$4),Parâmetros!$E$4,0))/(1-$H15-Parâmetros!$B$4-Parâmetros!$C$4-Parâmetros!$D$4)))</f>
        <v>296</v>
      </c>
      <c r="J15" s="38"/>
      <c r="K15" s="39" t="n">
        <f aca="false">IF(OR($A15="",NOT(ISNUMBER($D15)),NOT(ISNUMBER($H15))),"",IF(AND(ISNUMBER($J15),$J15&gt;0),$J15,IF(ISNUMBER($I15),$I15,"")))</f>
        <v>296</v>
      </c>
      <c r="L15" s="40" t="n">
        <f aca="false">IF(ISNUMBER($K15),$K15*$H15,"")</f>
        <v>38.48</v>
      </c>
      <c r="M15" s="40" t="n">
        <f aca="false">IF(ISNUMBER($K15),$K15*Parâmetros!$B$4,"")</f>
        <v>29.6</v>
      </c>
      <c r="N15" s="40" t="n">
        <f aca="false">IF(ISNUMBER($K15),$K15*Parâmetros!$C$4,"")</f>
        <v>8.88</v>
      </c>
      <c r="O15" s="40" t="n">
        <f aca="false">IF(ISNUMBER($K15),IF(ISNUMBER(Parâmetros!$E$4),Parâmetros!$E$4,0),"")</f>
        <v>0</v>
      </c>
      <c r="P15" s="41" t="n">
        <f aca="false">IF(ISNUMBER($K15),$K15-$D15-IF(ISNUMBER($E15),$E15,0)-$L15-$M15-$N15-$O15,"")</f>
        <v>59.2</v>
      </c>
      <c r="Q15" s="42" t="n">
        <f aca="false">IF(AND(ISNUMBER($K15),$K15&gt;0),$P15/$K15,"")</f>
        <v>0.2</v>
      </c>
      <c r="R15" s="43"/>
      <c r="S15" s="44" t="str">
        <f aca="false">IF(OR(NOT(ISNUMBER($R15)),$R15=0,NOT(ISNUMBER($K15))),"",$K15*(1-$R15))</f>
        <v/>
      </c>
      <c r="T15" s="45" t="str">
        <f aca="false">IF(ISNUMBER($S15),$S15*$H15,"")</f>
        <v/>
      </c>
      <c r="U15" s="45" t="str">
        <f aca="false">IF(ISNUMBER($S15),$S15*Parâmetros!$B$4,"")</f>
        <v/>
      </c>
      <c r="V15" s="45" t="str">
        <f aca="false">IF(ISNUMBER($S15),$S15*Parâmetros!$C$4,"")</f>
        <v/>
      </c>
      <c r="W15" s="44" t="str">
        <f aca="false">IF(ISNUMBER($S15),$S15-$D15-IF(ISNUMBER($E15),$E15,0)-$O15-$T15-$U15-$V15,"")</f>
        <v/>
      </c>
      <c r="X15" s="46" t="str">
        <f aca="false">IF(AND(ISNUMBER($S15),$S15&gt;0),$W15/$S15,"")</f>
        <v/>
      </c>
      <c r="Y15" s="49"/>
      <c r="Z15" s="21"/>
    </row>
    <row r="16" customFormat="false" ht="15.75" hidden="false" customHeight="true" outlineLevel="0" collapsed="false">
      <c r="A16" s="32" t="str">
        <f aca="false">IF(Produtos!$A16="","",Produtos!$A16)</f>
        <v>L3060</v>
      </c>
      <c r="B16" s="32" t="str">
        <f aca="false">IF(Produtos!$A16="","",Produtos!$B16)</f>
        <v>Lixeira Aço Inox s/Tampa 30x60 40L</v>
      </c>
      <c r="C16" s="32" t="str">
        <f aca="false">IF(Produtos!$A16="","",Produtos!$C16)</f>
        <v>Lixeiras em inox</v>
      </c>
      <c r="D16" s="33" t="n">
        <f aca="false">IF(Produtos!$A16="","",IF(Produtos!$D16="","",Produtos!$D16))</f>
        <v>164.99</v>
      </c>
      <c r="E16" s="11"/>
      <c r="F16" s="34" t="n">
        <f aca="false">IF($A16="","",IF($C16="","⚠ categoria",IFERROR(INDEX(Parâmetros!$B$13:$B$22,MATCH($C16,Parâmetros!$A$13:$A$22,0)),"⚠ categoria")))</f>
        <v>0.13</v>
      </c>
      <c r="G16" s="35"/>
      <c r="H16" s="36" t="n">
        <f aca="false">IF($A16="","",IF(ISNUMBER($G16),$G16,IF(ISNUMBER($F16),$F16,"")))</f>
        <v>0.13</v>
      </c>
      <c r="I16" s="37" t="n">
        <f aca="false">IF(OR($A16="",NOT(ISNUMBER($D16)),NOT(ISNUMBER($H16))),"",IF((1-$H16-Parâmetros!$B$4-Parâmetros!$C$4-Parâmetros!$D$4)&lt;=0,"INVALIDO",($D16+IF(ISNUMBER($E16),$E16,0)+IF(ISNUMBER(Parâmetros!$E$4),Parâmetros!$E$4,0))/(1-$H16-Parâmetros!$B$4-Parâmetros!$C$4-Parâmetros!$D$4)))</f>
        <v>305.537037037037</v>
      </c>
      <c r="J16" s="38"/>
      <c r="K16" s="39" t="n">
        <f aca="false">IF(OR($A16="",NOT(ISNUMBER($D16)),NOT(ISNUMBER($H16))),"",IF(AND(ISNUMBER($J16),$J16&gt;0),$J16,IF(ISNUMBER($I16),$I16,"")))</f>
        <v>305.537037037037</v>
      </c>
      <c r="L16" s="40" t="n">
        <f aca="false">IF(ISNUMBER($K16),$K16*$H16,"")</f>
        <v>39.7198148148148</v>
      </c>
      <c r="M16" s="40" t="n">
        <f aca="false">IF(ISNUMBER($K16),$K16*Parâmetros!$B$4,"")</f>
        <v>30.5537037037037</v>
      </c>
      <c r="N16" s="40" t="n">
        <f aca="false">IF(ISNUMBER($K16),$K16*Parâmetros!$C$4,"")</f>
        <v>9.16611111111111</v>
      </c>
      <c r="O16" s="40" t="n">
        <f aca="false">IF(ISNUMBER($K16),IF(ISNUMBER(Parâmetros!$E$4),Parâmetros!$E$4,0),"")</f>
        <v>0</v>
      </c>
      <c r="P16" s="41" t="n">
        <f aca="false">IF(ISNUMBER($K16),$K16-$D16-IF(ISNUMBER($E16),$E16,0)-$L16-$M16-$N16-$O16,"")</f>
        <v>61.1074074074074</v>
      </c>
      <c r="Q16" s="42" t="n">
        <f aca="false">IF(AND(ISNUMBER($K16),$K16&gt;0),$P16/$K16,"")</f>
        <v>0.2</v>
      </c>
      <c r="R16" s="43"/>
      <c r="S16" s="44" t="str">
        <f aca="false">IF(OR(NOT(ISNUMBER($R16)),$R16=0,NOT(ISNUMBER($K16))),"",$K16*(1-$R16))</f>
        <v/>
      </c>
      <c r="T16" s="45" t="str">
        <f aca="false">IF(ISNUMBER($S16),$S16*$H16,"")</f>
        <v/>
      </c>
      <c r="U16" s="45" t="str">
        <f aca="false">IF(ISNUMBER($S16),$S16*Parâmetros!$B$4,"")</f>
        <v/>
      </c>
      <c r="V16" s="45" t="str">
        <f aca="false">IF(ISNUMBER($S16),$S16*Parâmetros!$C$4,"")</f>
        <v/>
      </c>
      <c r="W16" s="44" t="str">
        <f aca="false">IF(ISNUMBER($S16),$S16-$D16-IF(ISNUMBER($E16),$E16,0)-$O16-$T16-$U16-$V16,"")</f>
        <v/>
      </c>
      <c r="X16" s="46" t="str">
        <f aca="false">IF(AND(ISNUMBER($S16),$S16&gt;0),$W16/$S16,"")</f>
        <v/>
      </c>
      <c r="Y16" s="47"/>
      <c r="Z16" s="19"/>
    </row>
    <row r="17" customFormat="false" ht="15.75" hidden="false" customHeight="true" outlineLevel="0" collapsed="false">
      <c r="A17" s="48" t="str">
        <f aca="false">IF(Produtos!$A17="","",Produtos!$A17)</f>
        <v>L3070</v>
      </c>
      <c r="B17" s="48" t="str">
        <f aca="false">IF(Produtos!$A17="","",Produtos!$B17)</f>
        <v>Lixeira Aço Inox s/Tampa 30x70 50L</v>
      </c>
      <c r="C17" s="48" t="str">
        <f aca="false">IF(Produtos!$A17="","",Produtos!$C17)</f>
        <v>Lixeiras em inox</v>
      </c>
      <c r="D17" s="33" t="n">
        <f aca="false">IF(Produtos!$A17="","",IF(Produtos!$D17="","",Produtos!$D17))</f>
        <v>210.17</v>
      </c>
      <c r="E17" s="11"/>
      <c r="F17" s="34" t="n">
        <f aca="false">IF($A17="","",IF($C17="","⚠ categoria",IFERROR(INDEX(Parâmetros!$B$13:$B$22,MATCH($C17,Parâmetros!$A$13:$A$22,0)),"⚠ categoria")))</f>
        <v>0.13</v>
      </c>
      <c r="G17" s="35"/>
      <c r="H17" s="36" t="n">
        <f aca="false">IF($A17="","",IF(ISNUMBER($G17),$G17,IF(ISNUMBER($F17),$F17,"")))</f>
        <v>0.13</v>
      </c>
      <c r="I17" s="37" t="n">
        <f aca="false">IF(OR($A17="",NOT(ISNUMBER($D17)),NOT(ISNUMBER($H17))),"",IF((1-$H17-Parâmetros!$B$4-Parâmetros!$C$4-Parâmetros!$D$4)&lt;=0,"INVALIDO",($D17+IF(ISNUMBER($E17),$E17,0)+IF(ISNUMBER(Parâmetros!$E$4),Parâmetros!$E$4,0))/(1-$H17-Parâmetros!$B$4-Parâmetros!$C$4-Parâmetros!$D$4)))</f>
        <v>389.203703703704</v>
      </c>
      <c r="J17" s="38"/>
      <c r="K17" s="39" t="n">
        <f aca="false">IF(OR($A17="",NOT(ISNUMBER($D17)),NOT(ISNUMBER($H17))),"",IF(AND(ISNUMBER($J17),$J17&gt;0),$J17,IF(ISNUMBER($I17),$I17,"")))</f>
        <v>389.203703703704</v>
      </c>
      <c r="L17" s="40" t="n">
        <f aca="false">IF(ISNUMBER($K17),$K17*$H17,"")</f>
        <v>50.5964814814815</v>
      </c>
      <c r="M17" s="40" t="n">
        <f aca="false">IF(ISNUMBER($K17),$K17*Parâmetros!$B$4,"")</f>
        <v>38.9203703703704</v>
      </c>
      <c r="N17" s="40" t="n">
        <f aca="false">IF(ISNUMBER($K17),$K17*Parâmetros!$C$4,"")</f>
        <v>11.6761111111111</v>
      </c>
      <c r="O17" s="40" t="n">
        <f aca="false">IF(ISNUMBER($K17),IF(ISNUMBER(Parâmetros!$E$4),Parâmetros!$E$4,0),"")</f>
        <v>0</v>
      </c>
      <c r="P17" s="41" t="n">
        <f aca="false">IF(ISNUMBER($K17),$K17-$D17-IF(ISNUMBER($E17),$E17,0)-$L17-$M17-$N17-$O17,"")</f>
        <v>77.8407407407407</v>
      </c>
      <c r="Q17" s="42" t="n">
        <f aca="false">IF(AND(ISNUMBER($K17),$K17&gt;0),$P17/$K17,"")</f>
        <v>0.2</v>
      </c>
      <c r="R17" s="43"/>
      <c r="S17" s="44" t="str">
        <f aca="false">IF(OR(NOT(ISNUMBER($R17)),$R17=0,NOT(ISNUMBER($K17))),"",$K17*(1-$R17))</f>
        <v/>
      </c>
      <c r="T17" s="45" t="str">
        <f aca="false">IF(ISNUMBER($S17),$S17*$H17,"")</f>
        <v/>
      </c>
      <c r="U17" s="45" t="str">
        <f aca="false">IF(ISNUMBER($S17),$S17*Parâmetros!$B$4,"")</f>
        <v/>
      </c>
      <c r="V17" s="45" t="str">
        <f aca="false">IF(ISNUMBER($S17),$S17*Parâmetros!$C$4,"")</f>
        <v/>
      </c>
      <c r="W17" s="44" t="str">
        <f aca="false">IF(ISNUMBER($S17),$S17-$D17-IF(ISNUMBER($E17),$E17,0)-$O17-$T17-$U17-$V17,"")</f>
        <v/>
      </c>
      <c r="X17" s="46" t="str">
        <f aca="false">IF(AND(ISNUMBER($S17),$S17&gt;0),$W17/$S17,"")</f>
        <v/>
      </c>
      <c r="Y17" s="49"/>
      <c r="Z17" s="21"/>
    </row>
    <row r="18" customFormat="false" ht="15.75" hidden="false" customHeight="true" outlineLevel="0" collapsed="false">
      <c r="A18" s="32" t="str">
        <f aca="false">IF(Produtos!$A18="","",Produtos!$A18)</f>
        <v>L3085</v>
      </c>
      <c r="B18" s="32" t="str">
        <f aca="false">IF(Produtos!$A18="","",Produtos!$B18)</f>
        <v>Lixeira Aço Inox s/Tampa 30x85 60L</v>
      </c>
      <c r="C18" s="32" t="str">
        <f aca="false">IF(Produtos!$A18="","",Produtos!$C18)</f>
        <v>Lixeiras em inox</v>
      </c>
      <c r="D18" s="33" t="n">
        <f aca="false">IF(Produtos!$A18="","",IF(Produtos!$D18="","",Produtos!$D18))</f>
        <v>266.36</v>
      </c>
      <c r="E18" s="11"/>
      <c r="F18" s="34" t="n">
        <f aca="false">IF($A18="","",IF($C18="","⚠ categoria",IFERROR(INDEX(Parâmetros!$B$13:$B$22,MATCH($C18,Parâmetros!$A$13:$A$22,0)),"⚠ categoria")))</f>
        <v>0.13</v>
      </c>
      <c r="G18" s="35"/>
      <c r="H18" s="36" t="n">
        <f aca="false">IF($A18="","",IF(ISNUMBER($G18),$G18,IF(ISNUMBER($F18),$F18,"")))</f>
        <v>0.13</v>
      </c>
      <c r="I18" s="37" t="n">
        <f aca="false">IF(OR($A18="",NOT(ISNUMBER($D18)),NOT(ISNUMBER($H18))),"",IF((1-$H18-Parâmetros!$B$4-Parâmetros!$C$4-Parâmetros!$D$4)&lt;=0,"INVALIDO",($D18+IF(ISNUMBER($E18),$E18,0)+IF(ISNUMBER(Parâmetros!$E$4),Parâmetros!$E$4,0))/(1-$H18-Parâmetros!$B$4-Parâmetros!$C$4-Parâmetros!$D$4)))</f>
        <v>493.259259259259</v>
      </c>
      <c r="J18" s="38"/>
      <c r="K18" s="39" t="n">
        <f aca="false">IF(OR($A18="",NOT(ISNUMBER($D18)),NOT(ISNUMBER($H18))),"",IF(AND(ISNUMBER($J18),$J18&gt;0),$J18,IF(ISNUMBER($I18),$I18,"")))</f>
        <v>493.259259259259</v>
      </c>
      <c r="L18" s="40" t="n">
        <f aca="false">IF(ISNUMBER($K18),$K18*$H18,"")</f>
        <v>64.1237037037037</v>
      </c>
      <c r="M18" s="40" t="n">
        <f aca="false">IF(ISNUMBER($K18),$K18*Parâmetros!$B$4,"")</f>
        <v>49.3259259259259</v>
      </c>
      <c r="N18" s="40" t="n">
        <f aca="false">IF(ISNUMBER($K18),$K18*Parâmetros!$C$4,"")</f>
        <v>14.7977777777778</v>
      </c>
      <c r="O18" s="40" t="n">
        <f aca="false">IF(ISNUMBER($K18),IF(ISNUMBER(Parâmetros!$E$4),Parâmetros!$E$4,0),"")</f>
        <v>0</v>
      </c>
      <c r="P18" s="41" t="n">
        <f aca="false">IF(ISNUMBER($K18),$K18-$D18-IF(ISNUMBER($E18),$E18,0)-$L18-$M18-$N18-$O18,"")</f>
        <v>98.6518518518518</v>
      </c>
      <c r="Q18" s="42" t="n">
        <f aca="false">IF(AND(ISNUMBER($K18),$K18&gt;0),$P18/$K18,"")</f>
        <v>0.2</v>
      </c>
      <c r="R18" s="43"/>
      <c r="S18" s="44" t="str">
        <f aca="false">IF(OR(NOT(ISNUMBER($R18)),$R18=0,NOT(ISNUMBER($K18))),"",$K18*(1-$R18))</f>
        <v/>
      </c>
      <c r="T18" s="45" t="str">
        <f aca="false">IF(ISNUMBER($S18),$S18*$H18,"")</f>
        <v/>
      </c>
      <c r="U18" s="45" t="str">
        <f aca="false">IF(ISNUMBER($S18),$S18*Parâmetros!$B$4,"")</f>
        <v/>
      </c>
      <c r="V18" s="45" t="str">
        <f aca="false">IF(ISNUMBER($S18),$S18*Parâmetros!$C$4,"")</f>
        <v/>
      </c>
      <c r="W18" s="44" t="str">
        <f aca="false">IF(ISNUMBER($S18),$S18-$D18-IF(ISNUMBER($E18),$E18,0)-$O18-$T18-$U18-$V18,"")</f>
        <v/>
      </c>
      <c r="X18" s="46" t="str">
        <f aca="false">IF(AND(ISNUMBER($S18),$S18&gt;0),$W18/$S18,"")</f>
        <v/>
      </c>
      <c r="Y18" s="47"/>
      <c r="Z18" s="19"/>
    </row>
    <row r="19" customFormat="false" ht="15.75" hidden="false" customHeight="true" outlineLevel="0" collapsed="false">
      <c r="A19" s="48" t="str">
        <f aca="false">IF(Produtos!$A19="","",Produtos!$A19)</f>
        <v>L4050</v>
      </c>
      <c r="B19" s="48" t="str">
        <f aca="false">IF(Produtos!$A19="","",Produtos!$B19)</f>
        <v>Lixeira Aço Inox s/Tampa 40x50 62L</v>
      </c>
      <c r="C19" s="48" t="str">
        <f aca="false">IF(Produtos!$A19="","",Produtos!$C19)</f>
        <v>Lixeiras em inox</v>
      </c>
      <c r="D19" s="33" t="n">
        <f aca="false">IF(Produtos!$A19="","",IF(Produtos!$D19="","",Produtos!$D19))</f>
        <v>221.01</v>
      </c>
      <c r="E19" s="11"/>
      <c r="F19" s="34" t="n">
        <f aca="false">IF($A19="","",IF($C19="","⚠ categoria",IFERROR(INDEX(Parâmetros!$B$13:$B$22,MATCH($C19,Parâmetros!$A$13:$A$22,0)),"⚠ categoria")))</f>
        <v>0.13</v>
      </c>
      <c r="G19" s="35"/>
      <c r="H19" s="36" t="n">
        <f aca="false">IF($A19="","",IF(ISNUMBER($G19),$G19,IF(ISNUMBER($F19),$F19,"")))</f>
        <v>0.13</v>
      </c>
      <c r="I19" s="37" t="n">
        <f aca="false">IF(OR($A19="",NOT(ISNUMBER($D19)),NOT(ISNUMBER($H19))),"",IF((1-$H19-Parâmetros!$B$4-Parâmetros!$C$4-Parâmetros!$D$4)&lt;=0,"INVALIDO",($D19+IF(ISNUMBER($E19),$E19,0)+IF(ISNUMBER(Parâmetros!$E$4),Parâmetros!$E$4,0))/(1-$H19-Parâmetros!$B$4-Parâmetros!$C$4-Parâmetros!$D$4)))</f>
        <v>409.277777777778</v>
      </c>
      <c r="J19" s="38"/>
      <c r="K19" s="39" t="n">
        <f aca="false">IF(OR($A19="",NOT(ISNUMBER($D19)),NOT(ISNUMBER($H19))),"",IF(AND(ISNUMBER($J19),$J19&gt;0),$J19,IF(ISNUMBER($I19),$I19,"")))</f>
        <v>409.277777777778</v>
      </c>
      <c r="L19" s="40" t="n">
        <f aca="false">IF(ISNUMBER($K19),$K19*$H19,"")</f>
        <v>53.2061111111111</v>
      </c>
      <c r="M19" s="40" t="n">
        <f aca="false">IF(ISNUMBER($K19),$K19*Parâmetros!$B$4,"")</f>
        <v>40.9277777777778</v>
      </c>
      <c r="N19" s="40" t="n">
        <f aca="false">IF(ISNUMBER($K19),$K19*Parâmetros!$C$4,"")</f>
        <v>12.2783333333333</v>
      </c>
      <c r="O19" s="40" t="n">
        <f aca="false">IF(ISNUMBER($K19),IF(ISNUMBER(Parâmetros!$E$4),Parâmetros!$E$4,0),"")</f>
        <v>0</v>
      </c>
      <c r="P19" s="41" t="n">
        <f aca="false">IF(ISNUMBER($K19),$K19-$D19-IF(ISNUMBER($E19),$E19,0)-$L19-$M19-$N19-$O19,"")</f>
        <v>81.8555555555555</v>
      </c>
      <c r="Q19" s="42" t="n">
        <f aca="false">IF(AND(ISNUMBER($K19),$K19&gt;0),$P19/$K19,"")</f>
        <v>0.2</v>
      </c>
      <c r="R19" s="43"/>
      <c r="S19" s="44" t="str">
        <f aca="false">IF(OR(NOT(ISNUMBER($R19)),$R19=0,NOT(ISNUMBER($K19))),"",$K19*(1-$R19))</f>
        <v/>
      </c>
      <c r="T19" s="45" t="str">
        <f aca="false">IF(ISNUMBER($S19),$S19*$H19,"")</f>
        <v/>
      </c>
      <c r="U19" s="45" t="str">
        <f aca="false">IF(ISNUMBER($S19),$S19*Parâmetros!$B$4,"")</f>
        <v/>
      </c>
      <c r="V19" s="45" t="str">
        <f aca="false">IF(ISNUMBER($S19),$S19*Parâmetros!$C$4,"")</f>
        <v/>
      </c>
      <c r="W19" s="44" t="str">
        <f aca="false">IF(ISNUMBER($S19),$S19-$D19-IF(ISNUMBER($E19),$E19,0)-$O19-$T19-$U19-$V19,"")</f>
        <v/>
      </c>
      <c r="X19" s="46" t="str">
        <f aca="false">IF(AND(ISNUMBER($S19),$S19&gt;0),$W19/$S19,"")</f>
        <v/>
      </c>
      <c r="Y19" s="49"/>
      <c r="Z19" s="21"/>
    </row>
    <row r="20" customFormat="false" ht="15.75" hidden="false" customHeight="true" outlineLevel="0" collapsed="false">
      <c r="A20" s="32" t="str">
        <f aca="false">IF(Produtos!$A20="","",Produtos!$A20)</f>
        <v>L4060</v>
      </c>
      <c r="B20" s="32" t="str">
        <f aca="false">IF(Produtos!$A20="","",Produtos!$B20)</f>
        <v>Lixeira Aço Inox s/Tampa 40x60 75L</v>
      </c>
      <c r="C20" s="32" t="str">
        <f aca="false">IF(Produtos!$A20="","",Produtos!$C20)</f>
        <v>Lixeiras em inox</v>
      </c>
      <c r="D20" s="33" t="n">
        <f aca="false">IF(Produtos!$A20="","",IF(Produtos!$D20="","",Produtos!$D20))</f>
        <v>257.51</v>
      </c>
      <c r="E20" s="11"/>
      <c r="F20" s="34" t="n">
        <f aca="false">IF($A20="","",IF($C20="","⚠ categoria",IFERROR(INDEX(Parâmetros!$B$13:$B$22,MATCH($C20,Parâmetros!$A$13:$A$22,0)),"⚠ categoria")))</f>
        <v>0.13</v>
      </c>
      <c r="G20" s="35"/>
      <c r="H20" s="36" t="n">
        <f aca="false">IF($A20="","",IF(ISNUMBER($G20),$G20,IF(ISNUMBER($F20),$F20,"")))</f>
        <v>0.13</v>
      </c>
      <c r="I20" s="37" t="n">
        <f aca="false">IF(OR($A20="",NOT(ISNUMBER($D20)),NOT(ISNUMBER($H20))),"",IF((1-$H20-Parâmetros!$B$4-Parâmetros!$C$4-Parâmetros!$D$4)&lt;=0,"INVALIDO",($D20+IF(ISNUMBER($E20),$E20,0)+IF(ISNUMBER(Parâmetros!$E$4),Parâmetros!$E$4,0))/(1-$H20-Parâmetros!$B$4-Parâmetros!$C$4-Parâmetros!$D$4)))</f>
        <v>476.87037037037</v>
      </c>
      <c r="J20" s="38"/>
      <c r="K20" s="39" t="n">
        <f aca="false">IF(OR($A20="",NOT(ISNUMBER($D20)),NOT(ISNUMBER($H20))),"",IF(AND(ISNUMBER($J20),$J20&gt;0),$J20,IF(ISNUMBER($I20),$I20,"")))</f>
        <v>476.87037037037</v>
      </c>
      <c r="L20" s="40" t="n">
        <f aca="false">IF(ISNUMBER($K20),$K20*$H20,"")</f>
        <v>61.9931481481481</v>
      </c>
      <c r="M20" s="40" t="n">
        <f aca="false">IF(ISNUMBER($K20),$K20*Parâmetros!$B$4,"")</f>
        <v>47.687037037037</v>
      </c>
      <c r="N20" s="40" t="n">
        <f aca="false">IF(ISNUMBER($K20),$K20*Parâmetros!$C$4,"")</f>
        <v>14.3061111111111</v>
      </c>
      <c r="O20" s="40" t="n">
        <f aca="false">IF(ISNUMBER($K20),IF(ISNUMBER(Parâmetros!$E$4),Parâmetros!$E$4,0),"")</f>
        <v>0</v>
      </c>
      <c r="P20" s="41" t="n">
        <f aca="false">IF(ISNUMBER($K20),$K20-$D20-IF(ISNUMBER($E20),$E20,0)-$L20-$M20-$N20-$O20,"")</f>
        <v>95.374074074074</v>
      </c>
      <c r="Q20" s="42" t="n">
        <f aca="false">IF(AND(ISNUMBER($K20),$K20&gt;0),$P20/$K20,"")</f>
        <v>0.2</v>
      </c>
      <c r="R20" s="43"/>
      <c r="S20" s="44" t="str">
        <f aca="false">IF(OR(NOT(ISNUMBER($R20)),$R20=0,NOT(ISNUMBER($K20))),"",$K20*(1-$R20))</f>
        <v/>
      </c>
      <c r="T20" s="45" t="str">
        <f aca="false">IF(ISNUMBER($S20),$S20*$H20,"")</f>
        <v/>
      </c>
      <c r="U20" s="45" t="str">
        <f aca="false">IF(ISNUMBER($S20),$S20*Parâmetros!$B$4,"")</f>
        <v/>
      </c>
      <c r="V20" s="45" t="str">
        <f aca="false">IF(ISNUMBER($S20),$S20*Parâmetros!$C$4,"")</f>
        <v/>
      </c>
      <c r="W20" s="44" t="str">
        <f aca="false">IF(ISNUMBER($S20),$S20-$D20-IF(ISNUMBER($E20),$E20,0)-$O20-$T20-$U20-$V20,"")</f>
        <v/>
      </c>
      <c r="X20" s="46" t="str">
        <f aca="false">IF(AND(ISNUMBER($S20),$S20&gt;0),$W20/$S20,"")</f>
        <v/>
      </c>
      <c r="Y20" s="47"/>
      <c r="Z20" s="19"/>
    </row>
    <row r="21" customFormat="false" ht="15.75" hidden="false" customHeight="true" outlineLevel="0" collapsed="false">
      <c r="A21" s="48" t="str">
        <f aca="false">IF(Produtos!$A21="","",Produtos!$A21)</f>
        <v>L4070</v>
      </c>
      <c r="B21" s="48" t="str">
        <f aca="false">IF(Produtos!$A21="","",Produtos!$B21)</f>
        <v>Lixeira Aço Inox s/Tampa 40x70 88L</v>
      </c>
      <c r="C21" s="48" t="str">
        <f aca="false">IF(Produtos!$A21="","",Produtos!$C21)</f>
        <v>Lixeiras em inox</v>
      </c>
      <c r="D21" s="33" t="n">
        <f aca="false">IF(Produtos!$A21="","",IF(Produtos!$D21="","",Produtos!$D21))</f>
        <v>262.59</v>
      </c>
      <c r="E21" s="11"/>
      <c r="F21" s="34" t="n">
        <f aca="false">IF($A21="","",IF($C21="","⚠ categoria",IFERROR(INDEX(Parâmetros!$B$13:$B$22,MATCH($C21,Parâmetros!$A$13:$A$22,0)),"⚠ categoria")))</f>
        <v>0.13</v>
      </c>
      <c r="G21" s="35"/>
      <c r="H21" s="36" t="n">
        <f aca="false">IF($A21="","",IF(ISNUMBER($G21),$G21,IF(ISNUMBER($F21),$F21,"")))</f>
        <v>0.13</v>
      </c>
      <c r="I21" s="37" t="n">
        <f aca="false">IF(OR($A21="",NOT(ISNUMBER($D21)),NOT(ISNUMBER($H21))),"",IF((1-$H21-Parâmetros!$B$4-Parâmetros!$C$4-Parâmetros!$D$4)&lt;=0,"INVALIDO",($D21+IF(ISNUMBER($E21),$E21,0)+IF(ISNUMBER(Parâmetros!$E$4),Parâmetros!$E$4,0))/(1-$H21-Parâmetros!$B$4-Parâmetros!$C$4-Parâmetros!$D$4)))</f>
        <v>486.277777777778</v>
      </c>
      <c r="J21" s="38"/>
      <c r="K21" s="39" t="n">
        <f aca="false">IF(OR($A21="",NOT(ISNUMBER($D21)),NOT(ISNUMBER($H21))),"",IF(AND(ISNUMBER($J21),$J21&gt;0),$J21,IF(ISNUMBER($I21),$I21,"")))</f>
        <v>486.277777777778</v>
      </c>
      <c r="L21" s="40" t="n">
        <f aca="false">IF(ISNUMBER($K21),$K21*$H21,"")</f>
        <v>63.2161111111111</v>
      </c>
      <c r="M21" s="40" t="n">
        <f aca="false">IF(ISNUMBER($K21),$K21*Parâmetros!$B$4,"")</f>
        <v>48.6277777777778</v>
      </c>
      <c r="N21" s="40" t="n">
        <f aca="false">IF(ISNUMBER($K21),$K21*Parâmetros!$C$4,"")</f>
        <v>14.5883333333333</v>
      </c>
      <c r="O21" s="40" t="n">
        <f aca="false">IF(ISNUMBER($K21),IF(ISNUMBER(Parâmetros!$E$4),Parâmetros!$E$4,0),"")</f>
        <v>0</v>
      </c>
      <c r="P21" s="41" t="n">
        <f aca="false">IF(ISNUMBER($K21),$K21-$D21-IF(ISNUMBER($E21),$E21,0)-$L21-$M21-$N21-$O21,"")</f>
        <v>97.2555555555555</v>
      </c>
      <c r="Q21" s="42" t="n">
        <f aca="false">IF(AND(ISNUMBER($K21),$K21&gt;0),$P21/$K21,"")</f>
        <v>0.2</v>
      </c>
      <c r="R21" s="43"/>
      <c r="S21" s="44" t="str">
        <f aca="false">IF(OR(NOT(ISNUMBER($R21)),$R21=0,NOT(ISNUMBER($K21))),"",$K21*(1-$R21))</f>
        <v/>
      </c>
      <c r="T21" s="45" t="str">
        <f aca="false">IF(ISNUMBER($S21),$S21*$H21,"")</f>
        <v/>
      </c>
      <c r="U21" s="45" t="str">
        <f aca="false">IF(ISNUMBER($S21),$S21*Parâmetros!$B$4,"")</f>
        <v/>
      </c>
      <c r="V21" s="45" t="str">
        <f aca="false">IF(ISNUMBER($S21),$S21*Parâmetros!$C$4,"")</f>
        <v/>
      </c>
      <c r="W21" s="44" t="str">
        <f aca="false">IF(ISNUMBER($S21),$S21-$D21-IF(ISNUMBER($E21),$E21,0)-$O21-$T21-$U21-$V21,"")</f>
        <v/>
      </c>
      <c r="X21" s="46" t="str">
        <f aca="false">IF(AND(ISNUMBER($S21),$S21&gt;0),$W21/$S21,"")</f>
        <v/>
      </c>
      <c r="Y21" s="49"/>
      <c r="Z21" s="21"/>
    </row>
    <row r="22" customFormat="false" ht="15.75" hidden="false" customHeight="true" outlineLevel="0" collapsed="false">
      <c r="A22" s="32" t="str">
        <f aca="false">IF(Produtos!$A22="","",Produtos!$A22)</f>
        <v>L4075</v>
      </c>
      <c r="B22" s="32" t="str">
        <f aca="false">IF(Produtos!$A22="","",Produtos!$B22)</f>
        <v>Lixeira Aço Inox s/Tampa 40x75 95L</v>
      </c>
      <c r="C22" s="32" t="str">
        <f aca="false">IF(Produtos!$A22="","",Produtos!$C22)</f>
        <v>Lixeiras em inox</v>
      </c>
      <c r="D22" s="33" t="n">
        <f aca="false">IF(Produtos!$A22="","",IF(Produtos!$D22="","",Produtos!$D22))</f>
        <v>322.16</v>
      </c>
      <c r="E22" s="11"/>
      <c r="F22" s="34" t="n">
        <f aca="false">IF($A22="","",IF($C22="","⚠ categoria",IFERROR(INDEX(Parâmetros!$B$13:$B$22,MATCH($C22,Parâmetros!$A$13:$A$22,0)),"⚠ categoria")))</f>
        <v>0.13</v>
      </c>
      <c r="G22" s="35"/>
      <c r="H22" s="36" t="n">
        <f aca="false">IF($A22="","",IF(ISNUMBER($G22),$G22,IF(ISNUMBER($F22),$F22,"")))</f>
        <v>0.13</v>
      </c>
      <c r="I22" s="37" t="n">
        <f aca="false">IF(OR($A22="",NOT(ISNUMBER($D22)),NOT(ISNUMBER($H22))),"",IF((1-$H22-Parâmetros!$B$4-Parâmetros!$C$4-Parâmetros!$D$4)&lt;=0,"INVALIDO",($D22+IF(ISNUMBER($E22),$E22,0)+IF(ISNUMBER(Parâmetros!$E$4),Parâmetros!$E$4,0))/(1-$H22-Parâmetros!$B$4-Parâmetros!$C$4-Parâmetros!$D$4)))</f>
        <v>596.592592592593</v>
      </c>
      <c r="J22" s="38"/>
      <c r="K22" s="39" t="n">
        <f aca="false">IF(OR($A22="",NOT(ISNUMBER($D22)),NOT(ISNUMBER($H22))),"",IF(AND(ISNUMBER($J22),$J22&gt;0),$J22,IF(ISNUMBER($I22),$I22,"")))</f>
        <v>596.592592592593</v>
      </c>
      <c r="L22" s="40" t="n">
        <f aca="false">IF(ISNUMBER($K22),$K22*$H22,"")</f>
        <v>77.5570370370371</v>
      </c>
      <c r="M22" s="40" t="n">
        <f aca="false">IF(ISNUMBER($K22),$K22*Parâmetros!$B$4,"")</f>
        <v>59.6592592592593</v>
      </c>
      <c r="N22" s="40" t="n">
        <f aca="false">IF(ISNUMBER($K22),$K22*Parâmetros!$C$4,"")</f>
        <v>17.8977777777778</v>
      </c>
      <c r="O22" s="40" t="n">
        <f aca="false">IF(ISNUMBER($K22),IF(ISNUMBER(Parâmetros!$E$4),Parâmetros!$E$4,0),"")</f>
        <v>0</v>
      </c>
      <c r="P22" s="41" t="n">
        <f aca="false">IF(ISNUMBER($K22),$K22-$D22-IF(ISNUMBER($E22),$E22,0)-$L22-$M22-$N22-$O22,"")</f>
        <v>119.318518518518</v>
      </c>
      <c r="Q22" s="42" t="n">
        <f aca="false">IF(AND(ISNUMBER($K22),$K22&gt;0),$P22/$K22,"")</f>
        <v>0.2</v>
      </c>
      <c r="R22" s="43"/>
      <c r="S22" s="44" t="str">
        <f aca="false">IF(OR(NOT(ISNUMBER($R22)),$R22=0,NOT(ISNUMBER($K22))),"",$K22*(1-$R22))</f>
        <v/>
      </c>
      <c r="T22" s="45" t="str">
        <f aca="false">IF(ISNUMBER($S22),$S22*$H22,"")</f>
        <v/>
      </c>
      <c r="U22" s="45" t="str">
        <f aca="false">IF(ISNUMBER($S22),$S22*Parâmetros!$B$4,"")</f>
        <v/>
      </c>
      <c r="V22" s="45" t="str">
        <f aca="false">IF(ISNUMBER($S22),$S22*Parâmetros!$C$4,"")</f>
        <v/>
      </c>
      <c r="W22" s="44" t="str">
        <f aca="false">IF(ISNUMBER($S22),$S22-$D22-IF(ISNUMBER($E22),$E22,0)-$O22-$T22-$U22-$V22,"")</f>
        <v/>
      </c>
      <c r="X22" s="46" t="str">
        <f aca="false">IF(AND(ISNUMBER($S22),$S22&gt;0),$W22/$S22,"")</f>
        <v/>
      </c>
      <c r="Y22" s="47"/>
      <c r="Z22" s="19"/>
    </row>
    <row r="23" customFormat="false" ht="15.75" hidden="false" customHeight="true" outlineLevel="0" collapsed="false">
      <c r="A23" s="48" t="str">
        <f aca="false">IF(Produtos!$A23="","",Produtos!$A23)</f>
        <v>L4080</v>
      </c>
      <c r="B23" s="48" t="str">
        <f aca="false">IF(Produtos!$A23="","",Produtos!$B23)</f>
        <v>Lixeira Aço Inox s/Tampa 40x80 100L</v>
      </c>
      <c r="C23" s="48" t="str">
        <f aca="false">IF(Produtos!$A23="","",Produtos!$C23)</f>
        <v>Lixeiras em inox</v>
      </c>
      <c r="D23" s="33" t="n">
        <f aca="false">IF(Produtos!$A23="","",IF(Produtos!$D23="","",Produtos!$D23))</f>
        <v>336.34</v>
      </c>
      <c r="E23" s="11"/>
      <c r="F23" s="34" t="n">
        <f aca="false">IF($A23="","",IF($C23="","⚠ categoria",IFERROR(INDEX(Parâmetros!$B$13:$B$22,MATCH($C23,Parâmetros!$A$13:$A$22,0)),"⚠ categoria")))</f>
        <v>0.13</v>
      </c>
      <c r="G23" s="35"/>
      <c r="H23" s="36" t="n">
        <f aca="false">IF($A23="","",IF(ISNUMBER($G23),$G23,IF(ISNUMBER($F23),$F23,"")))</f>
        <v>0.13</v>
      </c>
      <c r="I23" s="37" t="n">
        <f aca="false">IF(OR($A23="",NOT(ISNUMBER($D23)),NOT(ISNUMBER($H23))),"",IF((1-$H23-Parâmetros!$B$4-Parâmetros!$C$4-Parâmetros!$D$4)&lt;=0,"INVALIDO",($D23+IF(ISNUMBER($E23),$E23,0)+IF(ISNUMBER(Parâmetros!$E$4),Parâmetros!$E$4,0))/(1-$H23-Parâmetros!$B$4-Parâmetros!$C$4-Parâmetros!$D$4)))</f>
        <v>622.851851851852</v>
      </c>
      <c r="J23" s="38"/>
      <c r="K23" s="39" t="n">
        <f aca="false">IF(OR($A23="",NOT(ISNUMBER($D23)),NOT(ISNUMBER($H23))),"",IF(AND(ISNUMBER($J23),$J23&gt;0),$J23,IF(ISNUMBER($I23),$I23,"")))</f>
        <v>622.851851851852</v>
      </c>
      <c r="L23" s="40" t="n">
        <f aca="false">IF(ISNUMBER($K23),$K23*$H23,"")</f>
        <v>80.9707407407407</v>
      </c>
      <c r="M23" s="40" t="n">
        <f aca="false">IF(ISNUMBER($K23),$K23*Parâmetros!$B$4,"")</f>
        <v>62.2851851851852</v>
      </c>
      <c r="N23" s="40" t="n">
        <f aca="false">IF(ISNUMBER($K23),$K23*Parâmetros!$C$4,"")</f>
        <v>18.6855555555556</v>
      </c>
      <c r="O23" s="40" t="n">
        <f aca="false">IF(ISNUMBER($K23),IF(ISNUMBER(Parâmetros!$E$4),Parâmetros!$E$4,0),"")</f>
        <v>0</v>
      </c>
      <c r="P23" s="41" t="n">
        <f aca="false">IF(ISNUMBER($K23),$K23-$D23-IF(ISNUMBER($E23),$E23,0)-$L23-$M23-$N23-$O23,"")</f>
        <v>124.57037037037</v>
      </c>
      <c r="Q23" s="42" t="n">
        <f aca="false">IF(AND(ISNUMBER($K23),$K23&gt;0),$P23/$K23,"")</f>
        <v>0.2</v>
      </c>
      <c r="R23" s="43"/>
      <c r="S23" s="44" t="str">
        <f aca="false">IF(OR(NOT(ISNUMBER($R23)),$R23=0,NOT(ISNUMBER($K23))),"",$K23*(1-$R23))</f>
        <v/>
      </c>
      <c r="T23" s="45" t="str">
        <f aca="false">IF(ISNUMBER($S23),$S23*$H23,"")</f>
        <v/>
      </c>
      <c r="U23" s="45" t="str">
        <f aca="false">IF(ISNUMBER($S23),$S23*Parâmetros!$B$4,"")</f>
        <v/>
      </c>
      <c r="V23" s="45" t="str">
        <f aca="false">IF(ISNUMBER($S23),$S23*Parâmetros!$C$4,"")</f>
        <v/>
      </c>
      <c r="W23" s="44" t="str">
        <f aca="false">IF(ISNUMBER($S23),$S23-$D23-IF(ISNUMBER($E23),$E23,0)-$O23-$T23-$U23-$V23,"")</f>
        <v/>
      </c>
      <c r="X23" s="46" t="str">
        <f aca="false">IF(AND(ISNUMBER($S23),$S23&gt;0),$W23/$S23,"")</f>
        <v/>
      </c>
      <c r="Y23" s="49"/>
      <c r="Z23" s="21"/>
    </row>
    <row r="24" customFormat="false" ht="15.75" hidden="false" customHeight="true" outlineLevel="0" collapsed="false">
      <c r="A24" s="32" t="str">
        <f aca="false">IF(Produtos!$A24="","",Produtos!$A24)</f>
        <v>L4090</v>
      </c>
      <c r="B24" s="32" t="str">
        <f aca="false">IF(Produtos!$A24="","",Produtos!$B24)</f>
        <v>Lixeira Aço Inox s/Tampa 40x90 120L</v>
      </c>
      <c r="C24" s="32" t="str">
        <f aca="false">IF(Produtos!$A24="","",Produtos!$C24)</f>
        <v>Lixeiras em inox</v>
      </c>
      <c r="D24" s="33" t="n">
        <f aca="false">IF(Produtos!$A24="","",IF(Produtos!$D24="","",Produtos!$D24))</f>
        <v>378.85</v>
      </c>
      <c r="E24" s="11"/>
      <c r="F24" s="34" t="n">
        <f aca="false">IF($A24="","",IF($C24="","⚠ categoria",IFERROR(INDEX(Parâmetros!$B$13:$B$22,MATCH($C24,Parâmetros!$A$13:$A$22,0)),"⚠ categoria")))</f>
        <v>0.13</v>
      </c>
      <c r="G24" s="35"/>
      <c r="H24" s="36" t="n">
        <f aca="false">IF($A24="","",IF(ISNUMBER($G24),$G24,IF(ISNUMBER($F24),$F24,"")))</f>
        <v>0.13</v>
      </c>
      <c r="I24" s="37" t="n">
        <f aca="false">IF(OR($A24="",NOT(ISNUMBER($D24)),NOT(ISNUMBER($H24))),"",IF((1-$H24-Parâmetros!$B$4-Parâmetros!$C$4-Parâmetros!$D$4)&lt;=0,"INVALIDO",($D24+IF(ISNUMBER($E24),$E24,0)+IF(ISNUMBER(Parâmetros!$E$4),Parâmetros!$E$4,0))/(1-$H24-Parâmetros!$B$4-Parâmetros!$C$4-Parâmetros!$D$4)))</f>
        <v>701.574074074074</v>
      </c>
      <c r="J24" s="38"/>
      <c r="K24" s="39" t="n">
        <f aca="false">IF(OR($A24="",NOT(ISNUMBER($D24)),NOT(ISNUMBER($H24))),"",IF(AND(ISNUMBER($J24),$J24&gt;0),$J24,IF(ISNUMBER($I24),$I24,"")))</f>
        <v>701.574074074074</v>
      </c>
      <c r="L24" s="40" t="n">
        <f aca="false">IF(ISNUMBER($K24),$K24*$H24,"")</f>
        <v>91.2046296296296</v>
      </c>
      <c r="M24" s="40" t="n">
        <f aca="false">IF(ISNUMBER($K24),$K24*Parâmetros!$B$4,"")</f>
        <v>70.1574074074074</v>
      </c>
      <c r="N24" s="40" t="n">
        <f aca="false">IF(ISNUMBER($K24),$K24*Parâmetros!$C$4,"")</f>
        <v>21.0472222222222</v>
      </c>
      <c r="O24" s="40" t="n">
        <f aca="false">IF(ISNUMBER($K24),IF(ISNUMBER(Parâmetros!$E$4),Parâmetros!$E$4,0),"")</f>
        <v>0</v>
      </c>
      <c r="P24" s="41" t="n">
        <f aca="false">IF(ISNUMBER($K24),$K24-$D24-IF(ISNUMBER($E24),$E24,0)-$L24-$M24-$N24-$O24,"")</f>
        <v>140.314814814815</v>
      </c>
      <c r="Q24" s="42" t="n">
        <f aca="false">IF(AND(ISNUMBER($K24),$K24&gt;0),$P24/$K24,"")</f>
        <v>0.2</v>
      </c>
      <c r="R24" s="43"/>
      <c r="S24" s="44" t="str">
        <f aca="false">IF(OR(NOT(ISNUMBER($R24)),$R24=0,NOT(ISNUMBER($K24))),"",$K24*(1-$R24))</f>
        <v/>
      </c>
      <c r="T24" s="45" t="str">
        <f aca="false">IF(ISNUMBER($S24),$S24*$H24,"")</f>
        <v/>
      </c>
      <c r="U24" s="45" t="str">
        <f aca="false">IF(ISNUMBER($S24),$S24*Parâmetros!$B$4,"")</f>
        <v/>
      </c>
      <c r="V24" s="45" t="str">
        <f aca="false">IF(ISNUMBER($S24),$S24*Parâmetros!$C$4,"")</f>
        <v/>
      </c>
      <c r="W24" s="44" t="str">
        <f aca="false">IF(ISNUMBER($S24),$S24-$D24-IF(ISNUMBER($E24),$E24,0)-$O24-$T24-$U24-$V24,"")</f>
        <v/>
      </c>
      <c r="X24" s="46" t="str">
        <f aca="false">IF(AND(ISNUMBER($S24),$S24&gt;0),$W24/$S24,"")</f>
        <v/>
      </c>
      <c r="Y24" s="47"/>
      <c r="Z24" s="19"/>
    </row>
    <row r="25" customFormat="false" ht="15.75" hidden="false" customHeight="true" outlineLevel="0" collapsed="false">
      <c r="A25" s="48" t="str">
        <f aca="false">IF(Produtos!$A25="","",Produtos!$A25)</f>
        <v>L1618-A</v>
      </c>
      <c r="B25" s="48" t="str">
        <f aca="false">IF(Produtos!$A25="","",Produtos!$B25)</f>
        <v>Lixeira Aço Inox c/Aro 16x18 03L</v>
      </c>
      <c r="C25" s="48" t="str">
        <f aca="false">IF(Produtos!$A25="","",Produtos!$C25)</f>
        <v>Lixeiras em inox</v>
      </c>
      <c r="D25" s="33" t="n">
        <f aca="false">IF(Produtos!$A25="","",IF(Produtos!$D25="","",Produtos!$D25))</f>
        <v>48.18</v>
      </c>
      <c r="E25" s="11" t="n">
        <v>14.15</v>
      </c>
      <c r="F25" s="34" t="n">
        <f aca="false">IF($A25="","",IF($C25="","⚠ categoria",IFERROR(INDEX(Parâmetros!$B$13:$B$22,MATCH($C25,Parâmetros!$A$13:$A$22,0)),"⚠ categoria")))</f>
        <v>0.13</v>
      </c>
      <c r="G25" s="35"/>
      <c r="H25" s="36" t="n">
        <f aca="false">IF($A25="","",IF(ISNUMBER($G25),$G25,IF(ISNUMBER($F25),$F25,"")))</f>
        <v>0.13</v>
      </c>
      <c r="I25" s="37" t="n">
        <f aca="false">IF(OR($A25="",NOT(ISNUMBER($D25)),NOT(ISNUMBER($H25))),"",IF((1-$H25-Parâmetros!$B$4-Parâmetros!$C$4-Parâmetros!$D$4)&lt;=0,"INVALIDO",($D25+IF(ISNUMBER($E25),$E25,0)+IF(ISNUMBER(Parâmetros!$E$4),Parâmetros!$E$4,0))/(1-$H25-Parâmetros!$B$4-Parâmetros!$C$4-Parâmetros!$D$4)))</f>
        <v>115.425925925926</v>
      </c>
      <c r="J25" s="38" t="n">
        <v>90.35</v>
      </c>
      <c r="K25" s="39" t="n">
        <f aca="false">IF(OR($A25="",NOT(ISNUMBER($D25)),NOT(ISNUMBER($H25))),"",IF(AND(ISNUMBER($J25),$J25&gt;0),$J25,IF(ISNUMBER($I25),$I25,"")))</f>
        <v>90.35</v>
      </c>
      <c r="L25" s="40" t="n">
        <f aca="false">IF(ISNUMBER($K25),$K25*$H25,"")</f>
        <v>11.7455</v>
      </c>
      <c r="M25" s="40" t="n">
        <f aca="false">IF(ISNUMBER($K25),$K25*Parâmetros!$B$4,"")</f>
        <v>9.035</v>
      </c>
      <c r="N25" s="40" t="n">
        <f aca="false">IF(ISNUMBER($K25),$K25*Parâmetros!$C$4,"")</f>
        <v>2.7105</v>
      </c>
      <c r="O25" s="40" t="n">
        <f aca="false">IF(ISNUMBER($K25),IF(ISNUMBER(Parâmetros!$E$4),Parâmetros!$E$4,0),"")</f>
        <v>0</v>
      </c>
      <c r="P25" s="41" t="n">
        <f aca="false">IF(ISNUMBER($K25),$K25-$D25-IF(ISNUMBER($E25),$E25,0)-$L25-$M25-$N25-$O25,"")</f>
        <v>4.529</v>
      </c>
      <c r="Q25" s="42" t="n">
        <f aca="false">IF(AND(ISNUMBER($K25),$K25&gt;0),$P25/$K25,"")</f>
        <v>0.0501272827891533</v>
      </c>
      <c r="R25" s="43"/>
      <c r="S25" s="44" t="str">
        <f aca="false">IF(OR(NOT(ISNUMBER($R25)),$R25=0,NOT(ISNUMBER($K25))),"",$K25*(1-$R25))</f>
        <v/>
      </c>
      <c r="T25" s="45" t="str">
        <f aca="false">IF(ISNUMBER($S25),$S25*$H25,"")</f>
        <v/>
      </c>
      <c r="U25" s="45" t="str">
        <f aca="false">IF(ISNUMBER($S25),$S25*Parâmetros!$B$4,"")</f>
        <v/>
      </c>
      <c r="V25" s="45" t="str">
        <f aca="false">IF(ISNUMBER($S25),$S25*Parâmetros!$C$4,"")</f>
        <v/>
      </c>
      <c r="W25" s="44" t="str">
        <f aca="false">IF(ISNUMBER($S25),$S25-$D25-IF(ISNUMBER($E25),$E25,0)-$O25-$T25-$U25-$V25,"")</f>
        <v/>
      </c>
      <c r="X25" s="46" t="str">
        <f aca="false">IF(AND(ISNUMBER($S25),$S25&gt;0),$W25/$S25,"")</f>
        <v/>
      </c>
      <c r="Y25" s="49"/>
      <c r="Z25" s="21"/>
    </row>
    <row r="26" customFormat="false" ht="15.75" hidden="false" customHeight="true" outlineLevel="0" collapsed="false">
      <c r="A26" s="32" t="str">
        <f aca="false">IF(Produtos!$A26="","",Produtos!$A26)</f>
        <v>L1623-A</v>
      </c>
      <c r="B26" s="32" t="str">
        <f aca="false">IF(Produtos!$A26="","",Produtos!$B26)</f>
        <v>Lixeira Aço Inox c/Aro 16x23 05L</v>
      </c>
      <c r="C26" s="32" t="str">
        <f aca="false">IF(Produtos!$A26="","",Produtos!$C26)</f>
        <v>Lixeiras em inox</v>
      </c>
      <c r="D26" s="33" t="n">
        <f aca="false">IF(Produtos!$A26="","",IF(Produtos!$D26="","",Produtos!$D26))</f>
        <v>55.75</v>
      </c>
      <c r="E26" s="11" t="n">
        <v>16.45</v>
      </c>
      <c r="F26" s="34" t="n">
        <f aca="false">IF($A26="","",IF($C26="","⚠ categoria",IFERROR(INDEX(Parâmetros!$B$13:$B$22,MATCH($C26,Parâmetros!$A$13:$A$22,0)),"⚠ categoria")))</f>
        <v>0.13</v>
      </c>
      <c r="G26" s="35"/>
      <c r="H26" s="36" t="n">
        <f aca="false">IF($A26="","",IF(ISNUMBER($G26),$G26,IF(ISNUMBER($F26),$F26,"")))</f>
        <v>0.13</v>
      </c>
      <c r="I26" s="37" t="n">
        <f aca="false">IF(OR($A26="",NOT(ISNUMBER($D26)),NOT(ISNUMBER($H26))),"",IF((1-$H26-Parâmetros!$B$4-Parâmetros!$C$4-Parâmetros!$D$4)&lt;=0,"INVALIDO",($D26+IF(ISNUMBER($E26),$E26,0)+IF(ISNUMBER(Parâmetros!$E$4),Parâmetros!$E$4,0))/(1-$H26-Parâmetros!$B$4-Parâmetros!$C$4-Parâmetros!$D$4)))</f>
        <v>133.703703703704</v>
      </c>
      <c r="J26" s="38" t="n">
        <v>104.62</v>
      </c>
      <c r="K26" s="39" t="n">
        <f aca="false">IF(OR($A26="",NOT(ISNUMBER($D26)),NOT(ISNUMBER($H26))),"",IF(AND(ISNUMBER($J26),$J26&gt;0),$J26,IF(ISNUMBER($I26),$I26,"")))</f>
        <v>104.62</v>
      </c>
      <c r="L26" s="40" t="n">
        <f aca="false">IF(ISNUMBER($K26),$K26*$H26,"")</f>
        <v>13.6006</v>
      </c>
      <c r="M26" s="40" t="n">
        <f aca="false">IF(ISNUMBER($K26),$K26*Parâmetros!$B$4,"")</f>
        <v>10.462</v>
      </c>
      <c r="N26" s="40" t="n">
        <f aca="false">IF(ISNUMBER($K26),$K26*Parâmetros!$C$4,"")</f>
        <v>3.1386</v>
      </c>
      <c r="O26" s="40" t="n">
        <f aca="false">IF(ISNUMBER($K26),IF(ISNUMBER(Parâmetros!$E$4),Parâmetros!$E$4,0),"")</f>
        <v>0</v>
      </c>
      <c r="P26" s="41" t="n">
        <f aca="false">IF(ISNUMBER($K26),$K26-$D26-IF(ISNUMBER($E26),$E26,0)-$L26-$M26-$N26-$O26,"")</f>
        <v>5.2188</v>
      </c>
      <c r="Q26" s="42" t="n">
        <f aca="false">IF(AND(ISNUMBER($K26),$K26&gt;0),$P26/$K26,"")</f>
        <v>0.0498833874976104</v>
      </c>
      <c r="R26" s="43"/>
      <c r="S26" s="44" t="str">
        <f aca="false">IF(OR(NOT(ISNUMBER($R26)),$R26=0,NOT(ISNUMBER($K26))),"",$K26*(1-$R26))</f>
        <v/>
      </c>
      <c r="T26" s="45" t="str">
        <f aca="false">IF(ISNUMBER($S26),$S26*$H26,"")</f>
        <v/>
      </c>
      <c r="U26" s="45" t="str">
        <f aca="false">IF(ISNUMBER($S26),$S26*Parâmetros!$B$4,"")</f>
        <v/>
      </c>
      <c r="V26" s="45" t="str">
        <f aca="false">IF(ISNUMBER($S26),$S26*Parâmetros!$C$4,"")</f>
        <v/>
      </c>
      <c r="W26" s="44" t="str">
        <f aca="false">IF(ISNUMBER($S26),$S26-$D26-IF(ISNUMBER($E26),$E26,0)-$O26-$T26-$U26-$V26,"")</f>
        <v/>
      </c>
      <c r="X26" s="46" t="str">
        <f aca="false">IF(AND(ISNUMBER($S26),$S26&gt;0),$W26/$S26,"")</f>
        <v/>
      </c>
      <c r="Y26" s="47"/>
      <c r="Z26" s="19"/>
    </row>
    <row r="27" customFormat="false" ht="15.75" hidden="false" customHeight="true" outlineLevel="0" collapsed="false">
      <c r="A27" s="48" t="str">
        <f aca="false">IF(Produtos!$A27="","",Produtos!$A27)</f>
        <v>L2025-A</v>
      </c>
      <c r="B27" s="48" t="str">
        <f aca="false">IF(Produtos!$A27="","",Produtos!$B27)</f>
        <v>Lixeira Aço Inox c/Aro 20x25 07L</v>
      </c>
      <c r="C27" s="48" t="str">
        <f aca="false">IF(Produtos!$A27="","",Produtos!$C27)</f>
        <v>Lixeiras em inox</v>
      </c>
      <c r="D27" s="33" t="n">
        <f aca="false">IF(Produtos!$A27="","",IF(Produtos!$D27="","",Produtos!$D27))</f>
        <v>60.21</v>
      </c>
      <c r="E27" s="11" t="n">
        <v>16.85</v>
      </c>
      <c r="F27" s="34" t="n">
        <f aca="false">IF($A27="","",IF($C27="","⚠ categoria",IFERROR(INDEX(Parâmetros!$B$13:$B$22,MATCH($C27,Parâmetros!$A$13:$A$22,0)),"⚠ categoria")))</f>
        <v>0.13</v>
      </c>
      <c r="G27" s="35"/>
      <c r="H27" s="36" t="n">
        <f aca="false">IF($A27="","",IF(ISNUMBER($G27),$G27,IF(ISNUMBER($F27),$F27,"")))</f>
        <v>0.13</v>
      </c>
      <c r="I27" s="37" t="n">
        <f aca="false">IF(OR($A27="",NOT(ISNUMBER($D27)),NOT(ISNUMBER($H27))),"",IF((1-$H27-Parâmetros!$B$4-Parâmetros!$C$4-Parâmetros!$D$4)&lt;=0,"INVALIDO",($D27+IF(ISNUMBER($E27),$E27,0)+IF(ISNUMBER(Parâmetros!$E$4),Parâmetros!$E$4,0))/(1-$H27-Parâmetros!$B$4-Parâmetros!$C$4-Parâmetros!$D$4)))</f>
        <v>142.703703703704</v>
      </c>
      <c r="J27" s="38" t="n">
        <v>111.81</v>
      </c>
      <c r="K27" s="39" t="n">
        <f aca="false">IF(OR($A27="",NOT(ISNUMBER($D27)),NOT(ISNUMBER($H27))),"",IF(AND(ISNUMBER($J27),$J27&gt;0),$J27,IF(ISNUMBER($I27),$I27,"")))</f>
        <v>111.81</v>
      </c>
      <c r="L27" s="40" t="n">
        <f aca="false">IF(ISNUMBER($K27),$K27*$H27,"")</f>
        <v>14.5353</v>
      </c>
      <c r="M27" s="40" t="n">
        <f aca="false">IF(ISNUMBER($K27),$K27*Parâmetros!$B$4,"")</f>
        <v>11.181</v>
      </c>
      <c r="N27" s="40" t="n">
        <f aca="false">IF(ISNUMBER($K27),$K27*Parâmetros!$C$4,"")</f>
        <v>3.3543</v>
      </c>
      <c r="O27" s="40" t="n">
        <f aca="false">IF(ISNUMBER($K27),IF(ISNUMBER(Parâmetros!$E$4),Parâmetros!$E$4,0),"")</f>
        <v>0</v>
      </c>
      <c r="P27" s="41" t="n">
        <f aca="false">IF(ISNUMBER($K27),$K27-$D27-IF(ISNUMBER($E27),$E27,0)-$L27-$M27-$N27-$O27,"")</f>
        <v>5.6794</v>
      </c>
      <c r="Q27" s="42" t="n">
        <f aca="false">IF(AND(ISNUMBER($K27),$K27&gt;0),$P27/$K27,"")</f>
        <v>0.0507950988283696</v>
      </c>
      <c r="R27" s="43"/>
      <c r="S27" s="44" t="str">
        <f aca="false">IF(OR(NOT(ISNUMBER($R27)),$R27=0,NOT(ISNUMBER($K27))),"",$K27*(1-$R27))</f>
        <v/>
      </c>
      <c r="T27" s="45" t="str">
        <f aca="false">IF(ISNUMBER($S27),$S27*$H27,"")</f>
        <v/>
      </c>
      <c r="U27" s="45" t="str">
        <f aca="false">IF(ISNUMBER($S27),$S27*Parâmetros!$B$4,"")</f>
        <v/>
      </c>
      <c r="V27" s="45" t="str">
        <f aca="false">IF(ISNUMBER($S27),$S27*Parâmetros!$C$4,"")</f>
        <v/>
      </c>
      <c r="W27" s="44" t="str">
        <f aca="false">IF(ISNUMBER($S27),$S27-$D27-IF(ISNUMBER($E27),$E27,0)-$O27-$T27-$U27-$V27,"")</f>
        <v/>
      </c>
      <c r="X27" s="46" t="str">
        <f aca="false">IF(AND(ISNUMBER($S27),$S27&gt;0),$W27/$S27,"")</f>
        <v/>
      </c>
      <c r="Y27" s="49"/>
      <c r="Z27" s="21"/>
    </row>
    <row r="28" customFormat="false" ht="15.75" hidden="false" customHeight="true" outlineLevel="0" collapsed="false">
      <c r="A28" s="32" t="str">
        <f aca="false">IF(Produtos!$A28="","",Produtos!$A28)</f>
        <v>L2030-A</v>
      </c>
      <c r="B28" s="32" t="str">
        <f aca="false">IF(Produtos!$A28="","",Produtos!$B28)</f>
        <v>Lixeira Aço Inox c/Aro 20x30 10L</v>
      </c>
      <c r="C28" s="32" t="str">
        <f aca="false">IF(Produtos!$A28="","",Produtos!$C28)</f>
        <v>Lixeiras em inox</v>
      </c>
      <c r="D28" s="33" t="n">
        <f aca="false">IF(Produtos!$A28="","",IF(Produtos!$D28="","",Produtos!$D28))</f>
        <v>68.57</v>
      </c>
      <c r="E28" s="11" t="n">
        <v>24.35</v>
      </c>
      <c r="F28" s="34" t="n">
        <f aca="false">IF($A28="","",IF($C28="","⚠ categoria",IFERROR(INDEX(Parâmetros!$B$13:$B$22,MATCH($C28,Parâmetros!$A$13:$A$22,0)),"⚠ categoria")))</f>
        <v>0.13</v>
      </c>
      <c r="G28" s="35" t="n">
        <v>0.12</v>
      </c>
      <c r="H28" s="36" t="n">
        <f aca="false">IF($A28="","",IF(ISNUMBER($G28),$G28,IF(ISNUMBER($F28),$F28,"")))</f>
        <v>0.12</v>
      </c>
      <c r="I28" s="37" t="n">
        <f aca="false">IF(OR($A28="",NOT(ISNUMBER($D28)),NOT(ISNUMBER($H28))),"",IF((1-$H28-Parâmetros!$B$4-Parâmetros!$C$4-Parâmetros!$D$4)&lt;=0,"INVALIDO",($D28+IF(ISNUMBER($E28),$E28,0)+IF(ISNUMBER(Parâmetros!$E$4),Parâmetros!$E$4,0))/(1-$H28-Parâmetros!$B$4-Parâmetros!$C$4-Parâmetros!$D$4)))</f>
        <v>168.945454545455</v>
      </c>
      <c r="J28" s="38" t="n">
        <v>169.467</v>
      </c>
      <c r="K28" s="39" t="n">
        <f aca="false">IF(OR($A28="",NOT(ISNUMBER($D28)),NOT(ISNUMBER($H28))),"",IF(AND(ISNUMBER($J28),$J28&gt;0),$J28,IF(ISNUMBER($I28),$I28,"")))</f>
        <v>169.467</v>
      </c>
      <c r="L28" s="40" t="n">
        <f aca="false">IF(ISNUMBER($K28),$K28*$H28,"")</f>
        <v>20.33604</v>
      </c>
      <c r="M28" s="40" t="n">
        <f aca="false">IF(ISNUMBER($K28),$K28*Parâmetros!$B$4,"")</f>
        <v>16.9467</v>
      </c>
      <c r="N28" s="40" t="n">
        <f aca="false">IF(ISNUMBER($K28),$K28*Parâmetros!$C$4,"")</f>
        <v>5.08401</v>
      </c>
      <c r="O28" s="40" t="n">
        <f aca="false">IF(ISNUMBER($K28),IF(ISNUMBER(Parâmetros!$E$4),Parâmetros!$E$4,0),"")</f>
        <v>0</v>
      </c>
      <c r="P28" s="41" t="n">
        <f aca="false">IF(ISNUMBER($K28),$K28-$D28-IF(ISNUMBER($E28),$E28,0)-$L28-$M28-$N28-$O28,"")</f>
        <v>34.18025</v>
      </c>
      <c r="Q28" s="42" t="n">
        <f aca="false">IF(AND(ISNUMBER($K28),$K28&gt;0),$P28/$K28,"")</f>
        <v>0.201692659927892</v>
      </c>
      <c r="R28" s="43"/>
      <c r="S28" s="44" t="str">
        <f aca="false">IF(OR(NOT(ISNUMBER($R28)),$R28=0,NOT(ISNUMBER($K28))),"",$K28*(1-$R28))</f>
        <v/>
      </c>
      <c r="T28" s="45" t="str">
        <f aca="false">IF(ISNUMBER($S28),$S28*$H28,"")</f>
        <v/>
      </c>
      <c r="U28" s="45" t="str">
        <f aca="false">IF(ISNUMBER($S28),$S28*Parâmetros!$B$4,"")</f>
        <v/>
      </c>
      <c r="V28" s="45" t="str">
        <f aca="false">IF(ISNUMBER($S28),$S28*Parâmetros!$C$4,"")</f>
        <v/>
      </c>
      <c r="W28" s="44" t="str">
        <f aca="false">IF(ISNUMBER($S28),$S28-$D28-IF(ISNUMBER($E28),$E28,0)-$O28-$T28-$U28-$V28,"")</f>
        <v/>
      </c>
      <c r="X28" s="46" t="str">
        <f aca="false">IF(AND(ISNUMBER($S28),$S28&gt;0),$W28/$S28,"")</f>
        <v/>
      </c>
      <c r="Y28" s="47" t="s">
        <v>734</v>
      </c>
      <c r="Z28" s="19"/>
    </row>
    <row r="29" customFormat="false" ht="15.75" hidden="false" customHeight="true" outlineLevel="0" collapsed="false">
      <c r="A29" s="48" t="str">
        <f aca="false">IF(Produtos!$A29="","",Produtos!$A29)</f>
        <v>L2425-A</v>
      </c>
      <c r="B29" s="48" t="str">
        <f aca="false">IF(Produtos!$A29="","",Produtos!$B29)</f>
        <v>Lixeira Aço Inox c/Aro 24x25 13L</v>
      </c>
      <c r="C29" s="48" t="str">
        <f aca="false">IF(Produtos!$A29="","",Produtos!$C29)</f>
        <v>Lixeiras em inox</v>
      </c>
      <c r="D29" s="33" t="n">
        <f aca="false">IF(Produtos!$A29="","",IF(Produtos!$D29="","",Produtos!$D29))</f>
        <v>79.66</v>
      </c>
      <c r="E29" s="11" t="n">
        <v>24.35</v>
      </c>
      <c r="F29" s="34" t="n">
        <f aca="false">IF($A29="","",IF($C29="","⚠ categoria",IFERROR(INDEX(Parâmetros!$B$13:$B$22,MATCH($C29,Parâmetros!$A$13:$A$22,0)),"⚠ categoria")))</f>
        <v>0.13</v>
      </c>
      <c r="G29" s="35" t="n">
        <v>0.12</v>
      </c>
      <c r="H29" s="36" t="n">
        <f aca="false">IF($A29="","",IF(ISNUMBER($G29),$G29,IF(ISNUMBER($F29),$F29,"")))</f>
        <v>0.12</v>
      </c>
      <c r="I29" s="37" t="n">
        <f aca="false">IF(OR($A29="",NOT(ISNUMBER($D29)),NOT(ISNUMBER($H29))),"",IF((1-$H29-Parâmetros!$B$4-Parâmetros!$C$4-Parâmetros!$D$4)&lt;=0,"INVALIDO",($D29+IF(ISNUMBER($E29),$E29,0)+IF(ISNUMBER(Parâmetros!$E$4),Parâmetros!$E$4,0))/(1-$H29-Parâmetros!$B$4-Parâmetros!$C$4-Parâmetros!$D$4)))</f>
        <v>189.109090909091</v>
      </c>
      <c r="J29" s="38" t="n">
        <v>189.856175</v>
      </c>
      <c r="K29" s="39" t="n">
        <f aca="false">IF(OR($A29="",NOT(ISNUMBER($D29)),NOT(ISNUMBER($H29))),"",IF(AND(ISNUMBER($J29),$J29&gt;0),$J29,IF(ISNUMBER($I29),$I29,"")))</f>
        <v>189.856175</v>
      </c>
      <c r="L29" s="40" t="n">
        <f aca="false">IF(ISNUMBER($K29),$K29*$H29,"")</f>
        <v>22.782741</v>
      </c>
      <c r="M29" s="40" t="n">
        <f aca="false">IF(ISNUMBER($K29),$K29*Parâmetros!$B$4,"")</f>
        <v>18.9856175</v>
      </c>
      <c r="N29" s="40" t="n">
        <f aca="false">IF(ISNUMBER($K29),$K29*Parâmetros!$C$4,"")</f>
        <v>5.69568525</v>
      </c>
      <c r="O29" s="40" t="n">
        <f aca="false">IF(ISNUMBER($K29),IF(ISNUMBER(Parâmetros!$E$4),Parâmetros!$E$4,0),"")</f>
        <v>0</v>
      </c>
      <c r="P29" s="41" t="n">
        <f aca="false">IF(ISNUMBER($K29),$K29-$D29-IF(ISNUMBER($E29),$E29,0)-$L29-$M29-$N29-$O29,"")</f>
        <v>38.38213125</v>
      </c>
      <c r="Q29" s="42" t="n">
        <f aca="false">IF(AND(ISNUMBER($K29),$K29&gt;0),$P29/$K29,"")</f>
        <v>0.202164250122494</v>
      </c>
      <c r="R29" s="43"/>
      <c r="S29" s="44" t="str">
        <f aca="false">IF(OR(NOT(ISNUMBER($R29)),$R29=0,NOT(ISNUMBER($K29))),"",$K29*(1-$R29))</f>
        <v/>
      </c>
      <c r="T29" s="45" t="str">
        <f aca="false">IF(ISNUMBER($S29),$S29*$H29,"")</f>
        <v/>
      </c>
      <c r="U29" s="45" t="str">
        <f aca="false">IF(ISNUMBER($S29),$S29*Parâmetros!$B$4,"")</f>
        <v/>
      </c>
      <c r="V29" s="45" t="str">
        <f aca="false">IF(ISNUMBER($S29),$S29*Parâmetros!$C$4,"")</f>
        <v/>
      </c>
      <c r="W29" s="44" t="str">
        <f aca="false">IF(ISNUMBER($S29),$S29-$D29-IF(ISNUMBER($E29),$E29,0)-$O29-$T29-$U29-$V29,"")</f>
        <v/>
      </c>
      <c r="X29" s="46" t="str">
        <f aca="false">IF(AND(ISNUMBER($S29),$S29&gt;0),$W29/$S29,"")</f>
        <v/>
      </c>
      <c r="Y29" s="49" t="s">
        <v>734</v>
      </c>
      <c r="Z29" s="21"/>
    </row>
    <row r="30" customFormat="false" ht="15.75" hidden="false" customHeight="true" outlineLevel="0" collapsed="false">
      <c r="A30" s="32" t="str">
        <f aca="false">IF(Produtos!$A30="","",Produtos!$A30)</f>
        <v>L2430-A</v>
      </c>
      <c r="B30" s="32" t="str">
        <f aca="false">IF(Produtos!$A30="","",Produtos!$B30)</f>
        <v>Lixeira Aço Inox c/Aro 24x30 15L</v>
      </c>
      <c r="C30" s="32" t="str">
        <f aca="false">IF(Produtos!$A30="","",Produtos!$C30)</f>
        <v>Lixeiras em inox</v>
      </c>
      <c r="D30" s="33" t="n">
        <f aca="false">IF(Produtos!$A30="","",IF(Produtos!$D30="","",Produtos!$D30))</f>
        <v>91.16</v>
      </c>
      <c r="E30" s="11" t="n">
        <v>27.05</v>
      </c>
      <c r="F30" s="34" t="n">
        <f aca="false">IF($A30="","",IF($C30="","⚠ categoria",IFERROR(INDEX(Parâmetros!$B$13:$B$22,MATCH($C30,Parâmetros!$A$13:$A$22,0)),"⚠ categoria")))</f>
        <v>0.13</v>
      </c>
      <c r="G30" s="35" t="n">
        <v>0.12</v>
      </c>
      <c r="H30" s="36" t="n">
        <f aca="false">IF($A30="","",IF(ISNUMBER($G30),$G30,IF(ISNUMBER($F30),$F30,"")))</f>
        <v>0.12</v>
      </c>
      <c r="I30" s="37" t="n">
        <f aca="false">IF(OR($A30="",NOT(ISNUMBER($D30)),NOT(ISNUMBER($H30))),"",IF((1-$H30-Parâmetros!$B$4-Parâmetros!$C$4-Parâmetros!$D$4)&lt;=0,"INVALIDO",($D30+IF(ISNUMBER($E30),$E30,0)+IF(ISNUMBER(Parâmetros!$E$4),Parâmetros!$E$4,0))/(1-$H30-Parâmetros!$B$4-Parâmetros!$C$4-Parâmetros!$D$4)))</f>
        <v>214.927272727273</v>
      </c>
      <c r="J30" s="38" t="n">
        <v>216.407</v>
      </c>
      <c r="K30" s="39" t="n">
        <f aca="false">IF(OR($A30="",NOT(ISNUMBER($D30)),NOT(ISNUMBER($H30))),"",IF(AND(ISNUMBER($J30),$J30&gt;0),$J30,IF(ISNUMBER($I30),$I30,"")))</f>
        <v>216.407</v>
      </c>
      <c r="L30" s="40" t="n">
        <f aca="false">IF(ISNUMBER($K30),$K30*$H30,"")</f>
        <v>25.96884</v>
      </c>
      <c r="M30" s="40" t="n">
        <f aca="false">IF(ISNUMBER($K30),$K30*Parâmetros!$B$4,"")</f>
        <v>21.6407</v>
      </c>
      <c r="N30" s="40" t="n">
        <f aca="false">IF(ISNUMBER($K30),$K30*Parâmetros!$C$4,"")</f>
        <v>6.49221</v>
      </c>
      <c r="O30" s="40" t="n">
        <f aca="false">IF(ISNUMBER($K30),IF(ISNUMBER(Parâmetros!$E$4),Parâmetros!$E$4,0),"")</f>
        <v>0</v>
      </c>
      <c r="P30" s="41" t="n">
        <f aca="false">IF(ISNUMBER($K30),$K30-$D30-IF(ISNUMBER($E30),$E30,0)-$L30-$M30-$N30-$O30,"")</f>
        <v>44.09525</v>
      </c>
      <c r="Q30" s="42" t="n">
        <f aca="false">IF(AND(ISNUMBER($K30),$K30&gt;0),$P30/$K30,"")</f>
        <v>0.203760737868923</v>
      </c>
      <c r="R30" s="43"/>
      <c r="S30" s="44" t="str">
        <f aca="false">IF(OR(NOT(ISNUMBER($R30)),$R30=0,NOT(ISNUMBER($K30))),"",$K30*(1-$R30))</f>
        <v/>
      </c>
      <c r="T30" s="45" t="str">
        <f aca="false">IF(ISNUMBER($S30),$S30*$H30,"")</f>
        <v/>
      </c>
      <c r="U30" s="45" t="str">
        <f aca="false">IF(ISNUMBER($S30),$S30*Parâmetros!$B$4,"")</f>
        <v/>
      </c>
      <c r="V30" s="45" t="str">
        <f aca="false">IF(ISNUMBER($S30),$S30*Parâmetros!$C$4,"")</f>
        <v/>
      </c>
      <c r="W30" s="44" t="str">
        <f aca="false">IF(ISNUMBER($S30),$S30-$D30-IF(ISNUMBER($E30),$E30,0)-$O30-$T30-$U30-$V30,"")</f>
        <v/>
      </c>
      <c r="X30" s="46" t="str">
        <f aca="false">IF(AND(ISNUMBER($S30),$S30&gt;0),$W30/$S30,"")</f>
        <v/>
      </c>
      <c r="Y30" s="47" t="s">
        <v>735</v>
      </c>
      <c r="Z30" s="19"/>
    </row>
    <row r="31" customFormat="false" ht="15.75" hidden="false" customHeight="true" outlineLevel="0" collapsed="false">
      <c r="A31" s="48" t="str">
        <f aca="false">IF(Produtos!$A31="","",Produtos!$A31)</f>
        <v>L2440-A</v>
      </c>
      <c r="B31" s="48" t="str">
        <f aca="false">IF(Produtos!$A31="","",Produtos!$B31)</f>
        <v>Lixeira Aço Inox c/Aro 24x40 20L</v>
      </c>
      <c r="C31" s="48" t="str">
        <f aca="false">IF(Produtos!$A31="","",Produtos!$C31)</f>
        <v>Lixeiras em inox</v>
      </c>
      <c r="D31" s="33" t="n">
        <f aca="false">IF(Produtos!$A31="","",IF(Produtos!$D31="","",Produtos!$D31))</f>
        <v>102.19</v>
      </c>
      <c r="E31" s="11" t="n">
        <v>29.25</v>
      </c>
      <c r="F31" s="34" t="n">
        <f aca="false">IF($A31="","",IF($C31="","⚠ categoria",IFERROR(INDEX(Parâmetros!$B$13:$B$22,MATCH($C31,Parâmetros!$A$13:$A$22,0)),"⚠ categoria")))</f>
        <v>0.13</v>
      </c>
      <c r="G31" s="35" t="n">
        <v>0.12</v>
      </c>
      <c r="H31" s="36" t="n">
        <f aca="false">IF($A31="","",IF(ISNUMBER($G31),$G31,IF(ISNUMBER($F31),$F31,"")))</f>
        <v>0.12</v>
      </c>
      <c r="I31" s="37" t="n">
        <f aca="false">IF(OR($A31="",NOT(ISNUMBER($D31)),NOT(ISNUMBER($H31))),"",IF((1-$H31-Parâmetros!$B$4-Parâmetros!$C$4-Parâmetros!$D$4)&lt;=0,"INVALIDO",($D31+IF(ISNUMBER($E31),$E31,0)+IF(ISNUMBER(Parâmetros!$E$4),Parâmetros!$E$4,0))/(1-$H31-Parâmetros!$B$4-Parâmetros!$C$4-Parâmetros!$D$4)))</f>
        <v>238.981818181818</v>
      </c>
      <c r="J31" s="38" t="n">
        <v>240.24191625</v>
      </c>
      <c r="K31" s="39" t="n">
        <f aca="false">IF(OR($A31="",NOT(ISNUMBER($D31)),NOT(ISNUMBER($H31))),"",IF(AND(ISNUMBER($J31),$J31&gt;0),$J31,IF(ISNUMBER($I31),$I31,"")))</f>
        <v>240.24191625</v>
      </c>
      <c r="L31" s="40" t="n">
        <f aca="false">IF(ISNUMBER($K31),$K31*$H31,"")</f>
        <v>28.82902995</v>
      </c>
      <c r="M31" s="40" t="n">
        <f aca="false">IF(ISNUMBER($K31),$K31*Parâmetros!$B$4,"")</f>
        <v>24.024191625</v>
      </c>
      <c r="N31" s="40" t="n">
        <f aca="false">IF(ISNUMBER($K31),$K31*Parâmetros!$C$4,"")</f>
        <v>7.2072574875</v>
      </c>
      <c r="O31" s="40" t="n">
        <f aca="false">IF(ISNUMBER($K31),IF(ISNUMBER(Parâmetros!$E$4),Parâmetros!$E$4,0),"")</f>
        <v>0</v>
      </c>
      <c r="P31" s="41" t="n">
        <f aca="false">IF(ISNUMBER($K31),$K31-$D31-IF(ISNUMBER($E31),$E31,0)-$L31-$M31-$N31-$O31,"")</f>
        <v>48.7414371875</v>
      </c>
      <c r="Q31" s="42" t="n">
        <f aca="false">IF(AND(ISNUMBER($K31),$K31&gt;0),$P31/$K31,"")</f>
        <v>0.202884816889234</v>
      </c>
      <c r="R31" s="43"/>
      <c r="S31" s="44" t="str">
        <f aca="false">IF(OR(NOT(ISNUMBER($R31)),$R31=0,NOT(ISNUMBER($K31))),"",$K31*(1-$R31))</f>
        <v/>
      </c>
      <c r="T31" s="45" t="str">
        <f aca="false">IF(ISNUMBER($S31),$S31*$H31,"")</f>
        <v/>
      </c>
      <c r="U31" s="45" t="str">
        <f aca="false">IF(ISNUMBER($S31),$S31*Parâmetros!$B$4,"")</f>
        <v/>
      </c>
      <c r="V31" s="45" t="str">
        <f aca="false">IF(ISNUMBER($S31),$S31*Parâmetros!$C$4,"")</f>
        <v/>
      </c>
      <c r="W31" s="44" t="str">
        <f aca="false">IF(ISNUMBER($S31),$S31-$D31-IF(ISNUMBER($E31),$E31,0)-$O31-$T31-$U31-$V31,"")</f>
        <v/>
      </c>
      <c r="X31" s="46" t="str">
        <f aca="false">IF(AND(ISNUMBER($S31),$S31&gt;0),$W31/$S31,"")</f>
        <v/>
      </c>
      <c r="Y31" s="49" t="s">
        <v>734</v>
      </c>
      <c r="Z31" s="21"/>
    </row>
    <row r="32" customFormat="false" ht="15.75" hidden="false" customHeight="true" outlineLevel="0" collapsed="false">
      <c r="A32" s="32" t="str">
        <f aca="false">IF(Produtos!$A32="","",Produtos!$A32)</f>
        <v>L2450-A</v>
      </c>
      <c r="B32" s="32" t="str">
        <f aca="false">IF(Produtos!$A32="","",Produtos!$B32)</f>
        <v>Lixeira Aço Inox c/Aro 24x50 25L</v>
      </c>
      <c r="C32" s="32" t="str">
        <f aca="false">IF(Produtos!$A32="","",Produtos!$C32)</f>
        <v>Lixeiras em inox</v>
      </c>
      <c r="D32" s="33" t="n">
        <f aca="false">IF(Produtos!$A32="","",IF(Produtos!$D32="","",Produtos!$D32))</f>
        <v>132.03</v>
      </c>
      <c r="E32" s="11" t="n">
        <v>45.25</v>
      </c>
      <c r="F32" s="34" t="n">
        <f aca="false">IF($A32="","",IF($C32="","⚠ categoria",IFERROR(INDEX(Parâmetros!$B$13:$B$22,MATCH($C32,Parâmetros!$A$13:$A$22,0)),"⚠ categoria")))</f>
        <v>0.13</v>
      </c>
      <c r="G32" s="35" t="n">
        <v>0.12</v>
      </c>
      <c r="H32" s="36" t="n">
        <f aca="false">IF($A32="","",IF(ISNUMBER($G32),$G32,IF(ISNUMBER($F32),$F32,"")))</f>
        <v>0.12</v>
      </c>
      <c r="I32" s="37" t="n">
        <f aca="false">IF(OR($A32="",NOT(ISNUMBER($D32)),NOT(ISNUMBER($H32))),"",IF((1-$H32-Parâmetros!$B$4-Parâmetros!$C$4-Parâmetros!$D$4)&lt;=0,"INVALIDO",($D32+IF(ISNUMBER($E32),$E32,0)+IF(ISNUMBER(Parâmetros!$E$4),Parâmetros!$E$4,0))/(1-$H32-Parâmetros!$B$4-Parâmetros!$C$4-Parâmetros!$D$4)))</f>
        <v>322.327272727273</v>
      </c>
      <c r="J32" s="38" t="n">
        <v>325.6</v>
      </c>
      <c r="K32" s="39" t="n">
        <f aca="false">IF(OR($A32="",NOT(ISNUMBER($D32)),NOT(ISNUMBER($H32))),"",IF(AND(ISNUMBER($J32),$J32&gt;0),$J32,IF(ISNUMBER($I32),$I32,"")))</f>
        <v>325.6</v>
      </c>
      <c r="L32" s="40" t="n">
        <f aca="false">IF(ISNUMBER($K32),$K32*$H32,"")</f>
        <v>39.072</v>
      </c>
      <c r="M32" s="40" t="n">
        <f aca="false">IF(ISNUMBER($K32),$K32*Parâmetros!$B$4,"")</f>
        <v>32.56</v>
      </c>
      <c r="N32" s="40" t="n">
        <f aca="false">IF(ISNUMBER($K32),$K32*Parâmetros!$C$4,"")</f>
        <v>9.768</v>
      </c>
      <c r="O32" s="40" t="n">
        <f aca="false">IF(ISNUMBER($K32),IF(ISNUMBER(Parâmetros!$E$4),Parâmetros!$E$4,0),"")</f>
        <v>0</v>
      </c>
      <c r="P32" s="41" t="n">
        <f aca="false">IF(ISNUMBER($K32),$K32-$D32-IF(ISNUMBER($E32),$E32,0)-$L32-$M32-$N32-$O32,"")</f>
        <v>66.92</v>
      </c>
      <c r="Q32" s="42" t="n">
        <f aca="false">IF(AND(ISNUMBER($K32),$K32&gt;0),$P32/$K32,"")</f>
        <v>0.205528255528256</v>
      </c>
      <c r="R32" s="43"/>
      <c r="S32" s="44" t="str">
        <f aca="false">IF(OR(NOT(ISNUMBER($R32)),$R32=0,NOT(ISNUMBER($K32))),"",$K32*(1-$R32))</f>
        <v/>
      </c>
      <c r="T32" s="45" t="str">
        <f aca="false">IF(ISNUMBER($S32),$S32*$H32,"")</f>
        <v/>
      </c>
      <c r="U32" s="45" t="str">
        <f aca="false">IF(ISNUMBER($S32),$S32*Parâmetros!$B$4,"")</f>
        <v/>
      </c>
      <c r="V32" s="45" t="str">
        <f aca="false">IF(ISNUMBER($S32),$S32*Parâmetros!$C$4,"")</f>
        <v/>
      </c>
      <c r="W32" s="44" t="str">
        <f aca="false">IF(ISNUMBER($S32),$S32-$D32-IF(ISNUMBER($E32),$E32,0)-$O32-$T32-$U32-$V32,"")</f>
        <v/>
      </c>
      <c r="X32" s="46" t="str">
        <f aca="false">IF(AND(ISNUMBER($S32),$S32&gt;0),$W32/$S32,"")</f>
        <v/>
      </c>
      <c r="Y32" s="47" t="s">
        <v>735</v>
      </c>
      <c r="Z32" s="19"/>
    </row>
    <row r="33" customFormat="false" ht="15.75" hidden="false" customHeight="true" outlineLevel="0" collapsed="false">
      <c r="A33" s="48" t="str">
        <f aca="false">IF(Produtos!$A33="","",Produtos!$A33)</f>
        <v>L2460-A</v>
      </c>
      <c r="B33" s="48" t="str">
        <f aca="false">IF(Produtos!$A33="","",Produtos!$B33)</f>
        <v>Lixeira Aço Inox c/Aro 24x60 27L</v>
      </c>
      <c r="C33" s="48" t="str">
        <f aca="false">IF(Produtos!$A33="","",Produtos!$C33)</f>
        <v>Lixeiras em inox</v>
      </c>
      <c r="D33" s="33" t="n">
        <f aca="false">IF(Produtos!$A33="","",IF(Produtos!$D33="","",Produtos!$D33))</f>
        <v>136.09</v>
      </c>
      <c r="E33" s="11" t="n">
        <v>40.85</v>
      </c>
      <c r="F33" s="34" t="n">
        <f aca="false">IF($A33="","",IF($C33="","⚠ categoria",IFERROR(INDEX(Parâmetros!$B$13:$B$22,MATCH($C33,Parâmetros!$A$13:$A$22,0)),"⚠ categoria")))</f>
        <v>0.13</v>
      </c>
      <c r="G33" s="35" t="n">
        <v>0.12</v>
      </c>
      <c r="H33" s="36" t="n">
        <f aca="false">IF($A33="","",IF(ISNUMBER($G33),$G33,IF(ISNUMBER($F33),$F33,"")))</f>
        <v>0.12</v>
      </c>
      <c r="I33" s="37" t="n">
        <f aca="false">IF(OR($A33="",NOT(ISNUMBER($D33)),NOT(ISNUMBER($H33))),"",IF((1-$H33-Parâmetros!$B$4-Parâmetros!$C$4-Parâmetros!$D$4)&lt;=0,"INVALIDO",($D33+IF(ISNUMBER($E33),$E33,0)+IF(ISNUMBER(Parâmetros!$E$4),Parâmetros!$E$4,0))/(1-$H33-Parâmetros!$B$4-Parâmetros!$C$4-Parâmetros!$D$4)))</f>
        <v>321.709090909091</v>
      </c>
      <c r="J33" s="38" t="n">
        <v>321.882</v>
      </c>
      <c r="K33" s="39" t="n">
        <f aca="false">IF(OR($A33="",NOT(ISNUMBER($D33)),NOT(ISNUMBER($H33))),"",IF(AND(ISNUMBER($J33),$J33&gt;0),$J33,IF(ISNUMBER($I33),$I33,"")))</f>
        <v>321.882</v>
      </c>
      <c r="L33" s="40" t="n">
        <f aca="false">IF(ISNUMBER($K33),$K33*$H33,"")</f>
        <v>38.62584</v>
      </c>
      <c r="M33" s="40" t="n">
        <f aca="false">IF(ISNUMBER($K33),$K33*Parâmetros!$B$4,"")</f>
        <v>32.1882</v>
      </c>
      <c r="N33" s="40" t="n">
        <f aca="false">IF(ISNUMBER($K33),$K33*Parâmetros!$C$4,"")</f>
        <v>9.65646</v>
      </c>
      <c r="O33" s="40" t="n">
        <f aca="false">IF(ISNUMBER($K33),IF(ISNUMBER(Parâmetros!$E$4),Parâmetros!$E$4,0),"")</f>
        <v>0</v>
      </c>
      <c r="P33" s="41" t="n">
        <f aca="false">IF(ISNUMBER($K33),$K33-$D33-IF(ISNUMBER($E33),$E33,0)-$L33-$M33-$N33-$O33,"")</f>
        <v>64.4715</v>
      </c>
      <c r="Q33" s="42" t="n">
        <f aca="false">IF(AND(ISNUMBER($K33),$K33&gt;0),$P33/$K33,"")</f>
        <v>0.200295449885362</v>
      </c>
      <c r="R33" s="43"/>
      <c r="S33" s="44" t="str">
        <f aca="false">IF(OR(NOT(ISNUMBER($R33)),$R33=0,NOT(ISNUMBER($K33))),"",$K33*(1-$R33))</f>
        <v/>
      </c>
      <c r="T33" s="45" t="str">
        <f aca="false">IF(ISNUMBER($S33),$S33*$H33,"")</f>
        <v/>
      </c>
      <c r="U33" s="45" t="str">
        <f aca="false">IF(ISNUMBER($S33),$S33*Parâmetros!$B$4,"")</f>
        <v/>
      </c>
      <c r="V33" s="45" t="str">
        <f aca="false">IF(ISNUMBER($S33),$S33*Parâmetros!$C$4,"")</f>
        <v/>
      </c>
      <c r="W33" s="44" t="str">
        <f aca="false">IF(ISNUMBER($S33),$S33-$D33-IF(ISNUMBER($E33),$E33,0)-$O33-$T33-$U33-$V33,"")</f>
        <v/>
      </c>
      <c r="X33" s="46" t="str">
        <f aca="false">IF(AND(ISNUMBER($S33),$S33&gt;0),$W33/$S33,"")</f>
        <v/>
      </c>
      <c r="Y33" s="49" t="s">
        <v>734</v>
      </c>
      <c r="Z33" s="21"/>
    </row>
    <row r="34" customFormat="false" ht="15.75" hidden="false" customHeight="true" outlineLevel="0" collapsed="false">
      <c r="A34" s="32" t="str">
        <f aca="false">IF(Produtos!$A34="","",Produtos!$A34)</f>
        <v>L2470-A</v>
      </c>
      <c r="B34" s="32" t="str">
        <f aca="false">IF(Produtos!$A34="","",Produtos!$B34)</f>
        <v>Lixeira Aço Inox c/Aro 24x70 30L</v>
      </c>
      <c r="C34" s="32" t="str">
        <f aca="false">IF(Produtos!$A34="","",Produtos!$C34)</f>
        <v>Lixeiras em inox</v>
      </c>
      <c r="D34" s="33" t="n">
        <f aca="false">IF(Produtos!$A34="","",IF(Produtos!$D34="","",Produtos!$D34))</f>
        <v>203.27</v>
      </c>
      <c r="E34" s="11" t="n">
        <v>45.25</v>
      </c>
      <c r="F34" s="34" t="n">
        <f aca="false">IF($A34="","",IF($C34="","⚠ categoria",IFERROR(INDEX(Parâmetros!$B$13:$B$22,MATCH($C34,Parâmetros!$A$13:$A$22,0)),"⚠ categoria")))</f>
        <v>0.13</v>
      </c>
      <c r="G34" s="35" t="n">
        <v>0.105</v>
      </c>
      <c r="H34" s="36" t="n">
        <f aca="false">IF($A34="","",IF(ISNUMBER($G34),$G34,IF(ISNUMBER($F34),$F34,"")))</f>
        <v>0.105</v>
      </c>
      <c r="I34" s="37" t="n">
        <f aca="false">IF(OR($A34="",NOT(ISNUMBER($D34)),NOT(ISNUMBER($H34))),"",IF((1-$H34-Parâmetros!$B$4-Parâmetros!$C$4-Parâmetros!$D$4)&lt;=0,"INVALIDO",($D34+IF(ISNUMBER($E34),$E34,0)+IF(ISNUMBER(Parâmetros!$E$4),Parâmetros!$E$4,0))/(1-$H34-Parâmetros!$B$4-Parâmetros!$C$4-Parâmetros!$D$4)))</f>
        <v>439.858407079646</v>
      </c>
      <c r="J34" s="38" t="n">
        <v>440.83517625</v>
      </c>
      <c r="K34" s="39" t="n">
        <f aca="false">IF(OR($A34="",NOT(ISNUMBER($D34)),NOT(ISNUMBER($H34))),"",IF(AND(ISNUMBER($J34),$J34&gt;0),$J34,IF(ISNUMBER($I34),$I34,"")))</f>
        <v>440.83517625</v>
      </c>
      <c r="L34" s="40" t="n">
        <f aca="false">IF(ISNUMBER($K34),$K34*$H34,"")</f>
        <v>46.28769350625</v>
      </c>
      <c r="M34" s="40" t="n">
        <f aca="false">IF(ISNUMBER($K34),$K34*Parâmetros!$B$4,"")</f>
        <v>44.083517625</v>
      </c>
      <c r="N34" s="40" t="n">
        <f aca="false">IF(ISNUMBER($K34),$K34*Parâmetros!$C$4,"")</f>
        <v>13.2250552875</v>
      </c>
      <c r="O34" s="40" t="n">
        <f aca="false">IF(ISNUMBER($K34),IF(ISNUMBER(Parâmetros!$E$4),Parâmetros!$E$4,0),"")</f>
        <v>0</v>
      </c>
      <c r="P34" s="41" t="n">
        <f aca="false">IF(ISNUMBER($K34),$K34-$D34-IF(ISNUMBER($E34),$E34,0)-$L34-$M34-$N34-$O34,"")</f>
        <v>88.71890983125</v>
      </c>
      <c r="Q34" s="42" t="n">
        <f aca="false">IF(AND(ISNUMBER($K34),$K34&gt;0),$P34/$K34,"")</f>
        <v>0.201251884175724</v>
      </c>
      <c r="R34" s="43"/>
      <c r="S34" s="44" t="str">
        <f aca="false">IF(OR(NOT(ISNUMBER($R34)),$R34=0,NOT(ISNUMBER($K34))),"",$K34*(1-$R34))</f>
        <v/>
      </c>
      <c r="T34" s="45" t="str">
        <f aca="false">IF(ISNUMBER($S34),$S34*$H34,"")</f>
        <v/>
      </c>
      <c r="U34" s="45" t="str">
        <f aca="false">IF(ISNUMBER($S34),$S34*Parâmetros!$B$4,"")</f>
        <v/>
      </c>
      <c r="V34" s="45" t="str">
        <f aca="false">IF(ISNUMBER($S34),$S34*Parâmetros!$C$4,"")</f>
        <v/>
      </c>
      <c r="W34" s="44" t="str">
        <f aca="false">IF(ISNUMBER($S34),$S34-$D34-IF(ISNUMBER($E34),$E34,0)-$O34-$T34-$U34-$V34,"")</f>
        <v/>
      </c>
      <c r="X34" s="46" t="str">
        <f aca="false">IF(AND(ISNUMBER($S34),$S34&gt;0),$W34/$S34,"")</f>
        <v/>
      </c>
      <c r="Y34" s="47" t="s">
        <v>734</v>
      </c>
      <c r="Z34" s="19"/>
    </row>
    <row r="35" customFormat="false" ht="15.75" hidden="false" customHeight="true" outlineLevel="0" collapsed="false">
      <c r="A35" s="48" t="str">
        <f aca="false">IF(Produtos!$A35="","",Produtos!$A35)</f>
        <v>L3040-A</v>
      </c>
      <c r="B35" s="48" t="str">
        <f aca="false">IF(Produtos!$A35="","",Produtos!$B35)</f>
        <v>Lixeira Aço Inox c/Aro 30x40 30L</v>
      </c>
      <c r="C35" s="48" t="str">
        <f aca="false">IF(Produtos!$A35="","",Produtos!$C35)</f>
        <v>Lixeiras em inox</v>
      </c>
      <c r="D35" s="33" t="n">
        <f aca="false">IF(Produtos!$A35="","",IF(Produtos!$D35="","",Produtos!$D35))</f>
        <v>151.33</v>
      </c>
      <c r="E35" s="11" t="n">
        <v>49.35</v>
      </c>
      <c r="F35" s="34" t="n">
        <f aca="false">IF($A35="","",IF($C35="","⚠ categoria",IFERROR(INDEX(Parâmetros!$B$13:$B$22,MATCH($C35,Parâmetros!$A$13:$A$22,0)),"⚠ categoria")))</f>
        <v>0.13</v>
      </c>
      <c r="G35" s="35" t="n">
        <v>0.12</v>
      </c>
      <c r="H35" s="36" t="n">
        <f aca="false">IF($A35="","",IF(ISNUMBER($G35),$G35,IF(ISNUMBER($F35),$F35,"")))</f>
        <v>0.12</v>
      </c>
      <c r="I35" s="37" t="n">
        <f aca="false">IF(OR($A35="",NOT(ISNUMBER($D35)),NOT(ISNUMBER($H35))),"",IF((1-$H35-Parâmetros!$B$4-Parâmetros!$C$4-Parâmetros!$D$4)&lt;=0,"INVALIDO",($D35+IF(ISNUMBER($E35),$E35,0)+IF(ISNUMBER(Parâmetros!$E$4),Parâmetros!$E$4,0))/(1-$H35-Parâmetros!$B$4-Parâmetros!$C$4-Parâmetros!$D$4)))</f>
        <v>364.872727272727</v>
      </c>
      <c r="J35" s="38" t="n">
        <v>365.8724442625</v>
      </c>
      <c r="K35" s="39" t="n">
        <f aca="false">IF(OR($A35="",NOT(ISNUMBER($D35)),NOT(ISNUMBER($H35))),"",IF(AND(ISNUMBER($J35),$J35&gt;0),$J35,IF(ISNUMBER($I35),$I35,"")))</f>
        <v>365.8724442625</v>
      </c>
      <c r="L35" s="40" t="n">
        <f aca="false">IF(ISNUMBER($K35),$K35*$H35,"")</f>
        <v>43.9046933115</v>
      </c>
      <c r="M35" s="40" t="n">
        <f aca="false">IF(ISNUMBER($K35),$K35*Parâmetros!$B$4,"")</f>
        <v>36.58724442625</v>
      </c>
      <c r="N35" s="40" t="n">
        <f aca="false">IF(ISNUMBER($K35),$K35*Parâmetros!$C$4,"")</f>
        <v>10.976173327875</v>
      </c>
      <c r="O35" s="40" t="n">
        <f aca="false">IF(ISNUMBER($K35),IF(ISNUMBER(Parâmetros!$E$4),Parâmetros!$E$4,0),"")</f>
        <v>0</v>
      </c>
      <c r="P35" s="41" t="n">
        <f aca="false">IF(ISNUMBER($K35),$K35-$D35-IF(ISNUMBER($E35),$E35,0)-$L35-$M35-$N35-$O35,"")</f>
        <v>73.724333196875</v>
      </c>
      <c r="Q35" s="42" t="n">
        <f aca="false">IF(AND(ISNUMBER($K35),$K35&gt;0),$P35/$K35,"")</f>
        <v>0.201502830707799</v>
      </c>
      <c r="R35" s="43"/>
      <c r="S35" s="44" t="str">
        <f aca="false">IF(OR(NOT(ISNUMBER($R35)),$R35=0,NOT(ISNUMBER($K35))),"",$K35*(1-$R35))</f>
        <v/>
      </c>
      <c r="T35" s="45" t="str">
        <f aca="false">IF(ISNUMBER($S35),$S35*$H35,"")</f>
        <v/>
      </c>
      <c r="U35" s="45" t="str">
        <f aca="false">IF(ISNUMBER($S35),$S35*Parâmetros!$B$4,"")</f>
        <v/>
      </c>
      <c r="V35" s="45" t="str">
        <f aca="false">IF(ISNUMBER($S35),$S35*Parâmetros!$C$4,"")</f>
        <v/>
      </c>
      <c r="W35" s="44" t="str">
        <f aca="false">IF(ISNUMBER($S35),$S35-$D35-IF(ISNUMBER($E35),$E35,0)-$O35-$T35-$U35-$V35,"")</f>
        <v/>
      </c>
      <c r="X35" s="46" t="str">
        <f aca="false">IF(AND(ISNUMBER($S35),$S35&gt;0),$W35/$S35,"")</f>
        <v/>
      </c>
      <c r="Y35" s="49" t="s">
        <v>735</v>
      </c>
      <c r="Z35" s="21"/>
    </row>
    <row r="36" customFormat="false" ht="15.75" hidden="false" customHeight="true" outlineLevel="0" collapsed="false">
      <c r="A36" s="32" t="str">
        <f aca="false">IF(Produtos!$A36="","",Produtos!$A36)</f>
        <v>L3050-A</v>
      </c>
      <c r="B36" s="32" t="str">
        <f aca="false">IF(Produtos!$A36="","",Produtos!$B36)</f>
        <v>Lixeira Aço Inox c/Aro 30x50 35L</v>
      </c>
      <c r="C36" s="32" t="str">
        <f aca="false">IF(Produtos!$A36="","",Produtos!$C36)</f>
        <v>Lixeiras em inox</v>
      </c>
      <c r="D36" s="33" t="n">
        <f aca="false">IF(Produtos!$A36="","",IF(Produtos!$D36="","",Produtos!$D36))</f>
        <v>189.66</v>
      </c>
      <c r="E36" s="11" t="n">
        <v>49.35</v>
      </c>
      <c r="F36" s="34" t="n">
        <f aca="false">IF($A36="","",IF($C36="","⚠ categoria",IFERROR(INDEX(Parâmetros!$B$13:$B$22,MATCH($C36,Parâmetros!$A$13:$A$22,0)),"⚠ categoria")))</f>
        <v>0.13</v>
      </c>
      <c r="G36" s="35" t="n">
        <v>0.12</v>
      </c>
      <c r="H36" s="36" t="n">
        <f aca="false">IF($A36="","",IF(ISNUMBER($G36),$G36,IF(ISNUMBER($F36),$F36,"")))</f>
        <v>0.12</v>
      </c>
      <c r="I36" s="37" t="n">
        <f aca="false">IF(OR($A36="",NOT(ISNUMBER($D36)),NOT(ISNUMBER($H36))),"",IF((1-$H36-Parâmetros!$B$4-Parâmetros!$C$4-Parâmetros!$D$4)&lt;=0,"INVALIDO",($D36+IF(ISNUMBER($E36),$E36,0)+IF(ISNUMBER(Parâmetros!$E$4),Parâmetros!$E$4,0))/(1-$H36-Parâmetros!$B$4-Parâmetros!$C$4-Parâmetros!$D$4)))</f>
        <v>434.563636363636</v>
      </c>
      <c r="J36" s="38" t="n">
        <v>436.774455853125</v>
      </c>
      <c r="K36" s="39" t="n">
        <f aca="false">IF(OR($A36="",NOT(ISNUMBER($D36)),NOT(ISNUMBER($H36))),"",IF(AND(ISNUMBER($J36),$J36&gt;0),$J36,IF(ISNUMBER($I36),$I36,"")))</f>
        <v>436.774455853125</v>
      </c>
      <c r="L36" s="40" t="n">
        <f aca="false">IF(ISNUMBER($K36),$K36*$H36,"")</f>
        <v>52.412934702375</v>
      </c>
      <c r="M36" s="40" t="n">
        <f aca="false">IF(ISNUMBER($K36),$K36*Parâmetros!$B$4,"")</f>
        <v>43.6774455853125</v>
      </c>
      <c r="N36" s="40" t="n">
        <f aca="false">IF(ISNUMBER($K36),$K36*Parâmetros!$C$4,"")</f>
        <v>13.1032336755938</v>
      </c>
      <c r="O36" s="40" t="n">
        <f aca="false">IF(ISNUMBER($K36),IF(ISNUMBER(Parâmetros!$E$4),Parâmetros!$E$4,0),"")</f>
        <v>0</v>
      </c>
      <c r="P36" s="41" t="n">
        <f aca="false">IF(ISNUMBER($K36),$K36-$D36-IF(ISNUMBER($E36),$E36,0)-$L36-$M36-$N36-$O36,"")</f>
        <v>88.5708418898438</v>
      </c>
      <c r="Q36" s="42" t="n">
        <f aca="false">IF(AND(ISNUMBER($K36),$K36&gt;0),$P36/$K36,"")</f>
        <v>0.202783932766498</v>
      </c>
      <c r="R36" s="43"/>
      <c r="S36" s="44" t="str">
        <f aca="false">IF(OR(NOT(ISNUMBER($R36)),$R36=0,NOT(ISNUMBER($K36))),"",$K36*(1-$R36))</f>
        <v/>
      </c>
      <c r="T36" s="45" t="str">
        <f aca="false">IF(ISNUMBER($S36),$S36*$H36,"")</f>
        <v/>
      </c>
      <c r="U36" s="45" t="str">
        <f aca="false">IF(ISNUMBER($S36),$S36*Parâmetros!$B$4,"")</f>
        <v/>
      </c>
      <c r="V36" s="45" t="str">
        <f aca="false">IF(ISNUMBER($S36),$S36*Parâmetros!$C$4,"")</f>
        <v/>
      </c>
      <c r="W36" s="44" t="str">
        <f aca="false">IF(ISNUMBER($S36),$S36-$D36-IF(ISNUMBER($E36),$E36,0)-$O36-$T36-$U36-$V36,"")</f>
        <v/>
      </c>
      <c r="X36" s="46" t="str">
        <f aca="false">IF(AND(ISNUMBER($S36),$S36&gt;0),$W36/$S36,"")</f>
        <v/>
      </c>
      <c r="Y36" s="47" t="s">
        <v>735</v>
      </c>
      <c r="Z36" s="19"/>
    </row>
    <row r="37" customFormat="false" ht="15.75" hidden="false" customHeight="true" outlineLevel="0" collapsed="false">
      <c r="A37" s="48" t="str">
        <f aca="false">IF(Produtos!$A37="","",Produtos!$A37)</f>
        <v>L3060-A</v>
      </c>
      <c r="B37" s="48" t="str">
        <f aca="false">IF(Produtos!$A37="","",Produtos!$B37)</f>
        <v>Lixeira Aço Inox c/Aro 30x60 40L</v>
      </c>
      <c r="C37" s="48" t="str">
        <f aca="false">IF(Produtos!$A37="","",Produtos!$C37)</f>
        <v>Lixeiras em inox</v>
      </c>
      <c r="D37" s="33" t="n">
        <f aca="false">IF(Produtos!$A37="","",IF(Produtos!$D37="","",Produtos!$D37))</f>
        <v>205.57</v>
      </c>
      <c r="E37" s="11" t="n">
        <v>50.75</v>
      </c>
      <c r="F37" s="34" t="n">
        <f aca="false">IF($A37="","",IF($C37="","⚠ categoria",IFERROR(INDEX(Parâmetros!$B$13:$B$22,MATCH($C37,Parâmetros!$A$13:$A$22,0)),"⚠ categoria")))</f>
        <v>0.13</v>
      </c>
      <c r="G37" s="35" t="n">
        <v>0.12</v>
      </c>
      <c r="H37" s="36" t="n">
        <f aca="false">IF($A37="","",IF(ISNUMBER($G37),$G37,IF(ISNUMBER($F37),$F37,"")))</f>
        <v>0.12</v>
      </c>
      <c r="I37" s="37" t="n">
        <f aca="false">IF(OR($A37="",NOT(ISNUMBER($D37)),NOT(ISNUMBER($H37))),"",IF((1-$H37-Parâmetros!$B$4-Parâmetros!$C$4-Parâmetros!$D$4)&lt;=0,"INVALIDO",($D37+IF(ISNUMBER($E37),$E37,0)+IF(ISNUMBER(Parâmetros!$E$4),Parâmetros!$E$4,0))/(1-$H37-Parâmetros!$B$4-Parâmetros!$C$4-Parâmetros!$D$4)))</f>
        <v>466.036363636364</v>
      </c>
      <c r="J37" s="38" t="n">
        <v>469.15371909375</v>
      </c>
      <c r="K37" s="39" t="n">
        <f aca="false">IF(OR($A37="",NOT(ISNUMBER($D37)),NOT(ISNUMBER($H37))),"",IF(AND(ISNUMBER($J37),$J37&gt;0),$J37,IF(ISNUMBER($I37),$I37,"")))</f>
        <v>469.15371909375</v>
      </c>
      <c r="L37" s="40" t="n">
        <f aca="false">IF(ISNUMBER($K37),$K37*$H37,"")</f>
        <v>56.29844629125</v>
      </c>
      <c r="M37" s="40" t="n">
        <f aca="false">IF(ISNUMBER($K37),$K37*Parâmetros!$B$4,"")</f>
        <v>46.915371909375</v>
      </c>
      <c r="N37" s="40" t="n">
        <f aca="false">IF(ISNUMBER($K37),$K37*Parâmetros!$C$4,"")</f>
        <v>14.0746115728125</v>
      </c>
      <c r="O37" s="40" t="n">
        <f aca="false">IF(ISNUMBER($K37),IF(ISNUMBER(Parâmetros!$E$4),Parâmetros!$E$4,0),"")</f>
        <v>0</v>
      </c>
      <c r="P37" s="41" t="n">
        <f aca="false">IF(ISNUMBER($K37),$K37-$D37-IF(ISNUMBER($E37),$E37,0)-$L37-$M37-$N37-$O37,"")</f>
        <v>95.5452893203125</v>
      </c>
      <c r="Q37" s="42" t="n">
        <f aca="false">IF(AND(ISNUMBER($K37),$K37&gt;0),$P37/$K37,"")</f>
        <v>0.203654549525632</v>
      </c>
      <c r="R37" s="43"/>
      <c r="S37" s="44" t="str">
        <f aca="false">IF(OR(NOT(ISNUMBER($R37)),$R37=0,NOT(ISNUMBER($K37))),"",$K37*(1-$R37))</f>
        <v/>
      </c>
      <c r="T37" s="45" t="str">
        <f aca="false">IF(ISNUMBER($S37),$S37*$H37,"")</f>
        <v/>
      </c>
      <c r="U37" s="45" t="str">
        <f aca="false">IF(ISNUMBER($S37),$S37*Parâmetros!$B$4,"")</f>
        <v/>
      </c>
      <c r="V37" s="45" t="str">
        <f aca="false">IF(ISNUMBER($S37),$S37*Parâmetros!$C$4,"")</f>
        <v/>
      </c>
      <c r="W37" s="44" t="str">
        <f aca="false">IF(ISNUMBER($S37),$S37-$D37-IF(ISNUMBER($E37),$E37,0)-$O37-$T37-$U37-$V37,"")</f>
        <v/>
      </c>
      <c r="X37" s="46" t="str">
        <f aca="false">IF(AND(ISNUMBER($S37),$S37&gt;0),$W37/$S37,"")</f>
        <v/>
      </c>
      <c r="Y37" s="49" t="s">
        <v>735</v>
      </c>
      <c r="Z37" s="21"/>
    </row>
    <row r="38" customFormat="false" ht="15.75" hidden="false" customHeight="true" outlineLevel="0" collapsed="false">
      <c r="A38" s="32" t="str">
        <f aca="false">IF(Produtos!$A38="","",Produtos!$A38)</f>
        <v>L3070-A</v>
      </c>
      <c r="B38" s="32" t="str">
        <f aca="false">IF(Produtos!$A38="","",Produtos!$B38)</f>
        <v>Lixeira Aço Inox c/Aro 30x70 50L</v>
      </c>
      <c r="C38" s="32" t="str">
        <f aca="false">IF(Produtos!$A38="","",Produtos!$C38)</f>
        <v>Lixeiras em inox</v>
      </c>
      <c r="D38" s="33" t="n">
        <f aca="false">IF(Produtos!$A38="","",IF(Produtos!$D38="","",Produtos!$D38))</f>
        <v>258.22</v>
      </c>
      <c r="E38" s="11" t="n">
        <v>69.35</v>
      </c>
      <c r="F38" s="34" t="n">
        <f aca="false">IF($A38="","",IF($C38="","⚠ categoria",IFERROR(INDEX(Parâmetros!$B$13:$B$22,MATCH($C38,Parâmetros!$A$13:$A$22,0)),"⚠ categoria")))</f>
        <v>0.13</v>
      </c>
      <c r="G38" s="35" t="n">
        <v>0.12</v>
      </c>
      <c r="H38" s="36" t="n">
        <f aca="false">IF($A38="","",IF(ISNUMBER($G38),$G38,IF(ISNUMBER($F38),$F38,"")))</f>
        <v>0.12</v>
      </c>
      <c r="I38" s="37" t="n">
        <f aca="false">IF(OR($A38="",NOT(ISNUMBER($D38)),NOT(ISNUMBER($H38))),"",IF((1-$H38-Parâmetros!$B$4-Parâmetros!$C$4-Parâmetros!$D$4)&lt;=0,"INVALIDO",($D38+IF(ISNUMBER($E38),$E38,0)+IF(ISNUMBER(Parâmetros!$E$4),Parâmetros!$E$4,0))/(1-$H38-Parâmetros!$B$4-Parâmetros!$C$4-Parâmetros!$D$4)))</f>
        <v>595.581818181818</v>
      </c>
      <c r="J38" s="38" t="n">
        <v>595.9</v>
      </c>
      <c r="K38" s="39" t="n">
        <f aca="false">IF(OR($A38="",NOT(ISNUMBER($D38)),NOT(ISNUMBER($H38))),"",IF(AND(ISNUMBER($J38),$J38&gt;0),$J38,IF(ISNUMBER($I38),$I38,"")))</f>
        <v>595.9</v>
      </c>
      <c r="L38" s="40" t="n">
        <f aca="false">IF(ISNUMBER($K38),$K38*$H38,"")</f>
        <v>71.508</v>
      </c>
      <c r="M38" s="40" t="n">
        <f aca="false">IF(ISNUMBER($K38),$K38*Parâmetros!$B$4,"")</f>
        <v>59.59</v>
      </c>
      <c r="N38" s="40" t="n">
        <f aca="false">IF(ISNUMBER($K38),$K38*Parâmetros!$C$4,"")</f>
        <v>17.877</v>
      </c>
      <c r="O38" s="40" t="n">
        <f aca="false">IF(ISNUMBER($K38),IF(ISNUMBER(Parâmetros!$E$4),Parâmetros!$E$4,0),"")</f>
        <v>0</v>
      </c>
      <c r="P38" s="41" t="n">
        <f aca="false">IF(ISNUMBER($K38),$K38-$D38-IF(ISNUMBER($E38),$E38,0)-$L38-$M38-$N38-$O38,"")</f>
        <v>119.355</v>
      </c>
      <c r="Q38" s="42" t="n">
        <f aca="false">IF(AND(ISNUMBER($K38),$K38&gt;0),$P38/$K38,"")</f>
        <v>0.20029367343514</v>
      </c>
      <c r="R38" s="43"/>
      <c r="S38" s="44" t="str">
        <f aca="false">IF(OR(NOT(ISNUMBER($R38)),$R38=0,NOT(ISNUMBER($K38))),"",$K38*(1-$R38))</f>
        <v/>
      </c>
      <c r="T38" s="45" t="str">
        <f aca="false">IF(ISNUMBER($S38),$S38*$H38,"")</f>
        <v/>
      </c>
      <c r="U38" s="45" t="str">
        <f aca="false">IF(ISNUMBER($S38),$S38*Parâmetros!$B$4,"")</f>
        <v/>
      </c>
      <c r="V38" s="45" t="str">
        <f aca="false">IF(ISNUMBER($S38),$S38*Parâmetros!$C$4,"")</f>
        <v/>
      </c>
      <c r="W38" s="44" t="str">
        <f aca="false">IF(ISNUMBER($S38),$S38-$D38-IF(ISNUMBER($E38),$E38,0)-$O38-$T38-$U38-$V38,"")</f>
        <v/>
      </c>
      <c r="X38" s="46" t="str">
        <f aca="false">IF(AND(ISNUMBER($S38),$S38&gt;0),$W38/$S38,"")</f>
        <v/>
      </c>
      <c r="Y38" s="47" t="s">
        <v>735</v>
      </c>
      <c r="Z38" s="19"/>
    </row>
    <row r="39" customFormat="false" ht="15.75" hidden="false" customHeight="true" outlineLevel="0" collapsed="false">
      <c r="A39" s="48" t="str">
        <f aca="false">IF(Produtos!$A39="","",Produtos!$A39)</f>
        <v>L3085-A</v>
      </c>
      <c r="B39" s="48" t="str">
        <f aca="false">IF(Produtos!$A39="","",Produtos!$B39)</f>
        <v>Lixeira Aço Inox c/Aro 30x85 60L</v>
      </c>
      <c r="C39" s="48" t="str">
        <f aca="false">IF(Produtos!$A39="","",Produtos!$C39)</f>
        <v>Lixeiras em inox</v>
      </c>
      <c r="D39" s="33" t="n">
        <f aca="false">IF(Produtos!$A39="","",IF(Produtos!$D39="","",Produtos!$D39))</f>
        <v>321.8</v>
      </c>
      <c r="E39" s="11" t="n">
        <v>68.65</v>
      </c>
      <c r="F39" s="34" t="n">
        <f aca="false">IF($A39="","",IF($C39="","⚠ categoria",IFERROR(INDEX(Parâmetros!$B$13:$B$22,MATCH($C39,Parâmetros!$A$13:$A$22,0)),"⚠ categoria")))</f>
        <v>0.13</v>
      </c>
      <c r="G39" s="35" t="n">
        <v>0.12</v>
      </c>
      <c r="H39" s="36" t="n">
        <f aca="false">IF($A39="","",IF(ISNUMBER($G39),$G39,IF(ISNUMBER($F39),$F39,"")))</f>
        <v>0.12</v>
      </c>
      <c r="I39" s="37" t="n">
        <f aca="false">IF(OR($A39="",NOT(ISNUMBER($D39)),NOT(ISNUMBER($H39))),"",IF((1-$H39-Parâmetros!$B$4-Parâmetros!$C$4-Parâmetros!$D$4)&lt;=0,"INVALIDO",($D39+IF(ISNUMBER($E39),$E39,0)+IF(ISNUMBER(Parâmetros!$E$4),Parâmetros!$E$4,0))/(1-$H39-Parâmetros!$B$4-Parâmetros!$C$4-Parâmetros!$D$4)))</f>
        <v>709.909090909091</v>
      </c>
      <c r="J39" s="38" t="n">
        <v>711.948144009375</v>
      </c>
      <c r="K39" s="39" t="n">
        <f aca="false">IF(OR($A39="",NOT(ISNUMBER($D39)),NOT(ISNUMBER($H39))),"",IF(AND(ISNUMBER($J39),$J39&gt;0),$J39,IF(ISNUMBER($I39),$I39,"")))</f>
        <v>711.948144009375</v>
      </c>
      <c r="L39" s="40" t="n">
        <f aca="false">IF(ISNUMBER($K39),$K39*$H39,"")</f>
        <v>85.433777281125</v>
      </c>
      <c r="M39" s="40" t="n">
        <f aca="false">IF(ISNUMBER($K39),$K39*Parâmetros!$B$4,"")</f>
        <v>71.1948144009375</v>
      </c>
      <c r="N39" s="40" t="n">
        <f aca="false">IF(ISNUMBER($K39),$K39*Parâmetros!$C$4,"")</f>
        <v>21.3584443202813</v>
      </c>
      <c r="O39" s="40" t="n">
        <f aca="false">IF(ISNUMBER($K39),IF(ISNUMBER(Parâmetros!$E$4),Parâmetros!$E$4,0),"")</f>
        <v>0</v>
      </c>
      <c r="P39" s="41" t="n">
        <f aca="false">IF(ISNUMBER($K39),$K39-$D39-IF(ISNUMBER($E39),$E39,0)-$L39-$M39-$N39-$O39,"")</f>
        <v>143.511108007031</v>
      </c>
      <c r="Q39" s="42" t="n">
        <f aca="false">IF(AND(ISNUMBER($K39),$K39&gt;0),$P39/$K39,"")</f>
        <v>0.201575225969185</v>
      </c>
      <c r="R39" s="43"/>
      <c r="S39" s="44" t="str">
        <f aca="false">IF(OR(NOT(ISNUMBER($R39)),$R39=0,NOT(ISNUMBER($K39))),"",$K39*(1-$R39))</f>
        <v/>
      </c>
      <c r="T39" s="45" t="str">
        <f aca="false">IF(ISNUMBER($S39),$S39*$H39,"")</f>
        <v/>
      </c>
      <c r="U39" s="45" t="str">
        <f aca="false">IF(ISNUMBER($S39),$S39*Parâmetros!$B$4,"")</f>
        <v/>
      </c>
      <c r="V39" s="45" t="str">
        <f aca="false">IF(ISNUMBER($S39),$S39*Parâmetros!$C$4,"")</f>
        <v/>
      </c>
      <c r="W39" s="44" t="str">
        <f aca="false">IF(ISNUMBER($S39),$S39-$D39-IF(ISNUMBER($E39),$E39,0)-$O39-$T39-$U39-$V39,"")</f>
        <v/>
      </c>
      <c r="X39" s="46" t="str">
        <f aca="false">IF(AND(ISNUMBER($S39),$S39&gt;0),$W39/$S39,"")</f>
        <v/>
      </c>
      <c r="Y39" s="49" t="s">
        <v>736</v>
      </c>
      <c r="Z39" s="21"/>
    </row>
    <row r="40" customFormat="false" ht="15.75" hidden="false" customHeight="true" outlineLevel="0" collapsed="false">
      <c r="A40" s="32" t="str">
        <f aca="false">IF(Produtos!$A40="","",Produtos!$A40)</f>
        <v>L4050-A</v>
      </c>
      <c r="B40" s="32" t="str">
        <f aca="false">IF(Produtos!$A40="","",Produtos!$B40)</f>
        <v>Lixeira Aço Inox c/Aro 40x50 62L</v>
      </c>
      <c r="C40" s="32" t="str">
        <f aca="false">IF(Produtos!$A40="","",Produtos!$C40)</f>
        <v>Lixeiras em inox</v>
      </c>
      <c r="D40" s="33" t="n">
        <f aca="false">IF(Produtos!$A40="","",IF(Produtos!$D40="","",Produtos!$D40))</f>
        <v>292.43</v>
      </c>
      <c r="E40" s="11" t="n">
        <v>75.65</v>
      </c>
      <c r="F40" s="34" t="n">
        <f aca="false">IF($A40="","",IF($C40="","⚠ categoria",IFERROR(INDEX(Parâmetros!$B$13:$B$22,MATCH($C40,Parâmetros!$A$13:$A$22,0)),"⚠ categoria")))</f>
        <v>0.13</v>
      </c>
      <c r="G40" s="35" t="n">
        <v>0.12</v>
      </c>
      <c r="H40" s="36" t="n">
        <f aca="false">IF($A40="","",IF(ISNUMBER($G40),$G40,IF(ISNUMBER($F40),$F40,"")))</f>
        <v>0.12</v>
      </c>
      <c r="I40" s="37" t="n">
        <f aca="false">IF(OR($A40="",NOT(ISNUMBER($D40)),NOT(ISNUMBER($H40))),"",IF((1-$H40-Parâmetros!$B$4-Parâmetros!$C$4-Parâmetros!$D$4)&lt;=0,"INVALIDO",($D40+IF(ISNUMBER($E40),$E40,0)+IF(ISNUMBER(Parâmetros!$E$4),Parâmetros!$E$4,0))/(1-$H40-Parâmetros!$B$4-Parâmetros!$C$4-Parâmetros!$D$4)))</f>
        <v>669.236363636364</v>
      </c>
      <c r="J40" s="38" t="n">
        <v>671.0583825</v>
      </c>
      <c r="K40" s="39" t="n">
        <f aca="false">IF(OR($A40="",NOT(ISNUMBER($D40)),NOT(ISNUMBER($H40))),"",IF(AND(ISNUMBER($J40),$J40&gt;0),$J40,IF(ISNUMBER($I40),$I40,"")))</f>
        <v>671.0583825</v>
      </c>
      <c r="L40" s="40" t="n">
        <f aca="false">IF(ISNUMBER($K40),$K40*$H40,"")</f>
        <v>80.5270059</v>
      </c>
      <c r="M40" s="40" t="n">
        <f aca="false">IF(ISNUMBER($K40),$K40*Parâmetros!$B$4,"")</f>
        <v>67.10583825</v>
      </c>
      <c r="N40" s="40" t="n">
        <f aca="false">IF(ISNUMBER($K40),$K40*Parâmetros!$C$4,"")</f>
        <v>20.131751475</v>
      </c>
      <c r="O40" s="40" t="n">
        <f aca="false">IF(ISNUMBER($K40),IF(ISNUMBER(Parâmetros!$E$4),Parâmetros!$E$4,0),"")</f>
        <v>0</v>
      </c>
      <c r="P40" s="41" t="n">
        <f aca="false">IF(ISNUMBER($K40),$K40-$D40-IF(ISNUMBER($E40),$E40,0)-$L40-$M40-$N40-$O40,"")</f>
        <v>135.213786875</v>
      </c>
      <c r="Q40" s="42" t="n">
        <f aca="false">IF(AND(ISNUMBER($K40),$K40&gt;0),$P40/$K40,"")</f>
        <v>0.201493328153158</v>
      </c>
      <c r="R40" s="43"/>
      <c r="S40" s="44" t="str">
        <f aca="false">IF(OR(NOT(ISNUMBER($R40)),$R40=0,NOT(ISNUMBER($K40))),"",$K40*(1-$R40))</f>
        <v/>
      </c>
      <c r="T40" s="45" t="str">
        <f aca="false">IF(ISNUMBER($S40),$S40*$H40,"")</f>
        <v/>
      </c>
      <c r="U40" s="45" t="str">
        <f aca="false">IF(ISNUMBER($S40),$S40*Parâmetros!$B$4,"")</f>
        <v/>
      </c>
      <c r="V40" s="45" t="str">
        <f aca="false">IF(ISNUMBER($S40),$S40*Parâmetros!$C$4,"")</f>
        <v/>
      </c>
      <c r="W40" s="44" t="str">
        <f aca="false">IF(ISNUMBER($S40),$S40-$D40-IF(ISNUMBER($E40),$E40,0)-$O40-$T40-$U40-$V40,"")</f>
        <v/>
      </c>
      <c r="X40" s="46" t="str">
        <f aca="false">IF(AND(ISNUMBER($S40),$S40&gt;0),$W40/$S40,"")</f>
        <v/>
      </c>
      <c r="Y40" s="47" t="s">
        <v>735</v>
      </c>
      <c r="Z40" s="19"/>
    </row>
    <row r="41" customFormat="false" ht="15.75" hidden="false" customHeight="true" outlineLevel="0" collapsed="false">
      <c r="A41" s="48" t="str">
        <f aca="false">IF(Produtos!$A41="","",Produtos!$A41)</f>
        <v>L4060-A</v>
      </c>
      <c r="B41" s="48" t="str">
        <f aca="false">IF(Produtos!$A41="","",Produtos!$B41)</f>
        <v>Lixeira Aço Inox c/Aro 40x60 75L</v>
      </c>
      <c r="C41" s="48" t="str">
        <f aca="false">IF(Produtos!$A41="","",Produtos!$C41)</f>
        <v>Lixeiras em inox</v>
      </c>
      <c r="D41" s="33" t="n">
        <f aca="false">IF(Produtos!$A41="","",IF(Produtos!$D41="","",Produtos!$D41))</f>
        <v>329.38</v>
      </c>
      <c r="E41" s="11" t="n">
        <v>79.35</v>
      </c>
      <c r="F41" s="34" t="n">
        <f aca="false">IF($A41="","",IF($C41="","⚠ categoria",IFERROR(INDEX(Parâmetros!$B$13:$B$22,MATCH($C41,Parâmetros!$A$13:$A$22,0)),"⚠ categoria")))</f>
        <v>0.13</v>
      </c>
      <c r="G41" s="35"/>
      <c r="H41" s="36" t="n">
        <f aca="false">IF($A41="","",IF(ISNUMBER($G41),$G41,IF(ISNUMBER($F41),$F41,"")))</f>
        <v>0.13</v>
      </c>
      <c r="I41" s="37" t="n">
        <f aca="false">IF(OR($A41="",NOT(ISNUMBER($D41)),NOT(ISNUMBER($H41))),"",IF((1-$H41-Parâmetros!$B$4-Parâmetros!$C$4-Parâmetros!$D$4)&lt;=0,"INVALIDO",($D41+IF(ISNUMBER($E41),$E41,0)+IF(ISNUMBER(Parâmetros!$E$4),Parâmetros!$E$4,0))/(1-$H41-Parâmetros!$B$4-Parâmetros!$C$4-Parâmetros!$D$4)))</f>
        <v>756.907407407407</v>
      </c>
      <c r="J41" s="38" t="n">
        <v>756.4616325</v>
      </c>
      <c r="K41" s="39" t="n">
        <f aca="false">IF(OR($A41="",NOT(ISNUMBER($D41)),NOT(ISNUMBER($H41))),"",IF(AND(ISNUMBER($J41),$J41&gt;0),$J41,IF(ISNUMBER($I41),$I41,"")))</f>
        <v>756.4616325</v>
      </c>
      <c r="L41" s="40" t="n">
        <f aca="false">IF(ISNUMBER($K41),$K41*$H41,"")</f>
        <v>98.340012225</v>
      </c>
      <c r="M41" s="40" t="n">
        <f aca="false">IF(ISNUMBER($K41),$K41*Parâmetros!$B$4,"")</f>
        <v>75.64616325</v>
      </c>
      <c r="N41" s="40" t="n">
        <f aca="false">IF(ISNUMBER($K41),$K41*Parâmetros!$C$4,"")</f>
        <v>22.693848975</v>
      </c>
      <c r="O41" s="40" t="n">
        <f aca="false">IF(ISNUMBER($K41),IF(ISNUMBER(Parâmetros!$E$4),Parâmetros!$E$4,0),"")</f>
        <v>0</v>
      </c>
      <c r="P41" s="41" t="n">
        <f aca="false">IF(ISNUMBER($K41),$K41-$D41-IF(ISNUMBER($E41),$E41,0)-$L41-$M41-$N41-$O41,"")</f>
        <v>151.05160805</v>
      </c>
      <c r="Q41" s="42" t="n">
        <f aca="false">IF(AND(ISNUMBER($K41),$K41&gt;0),$P41/$K41,"")</f>
        <v>0.199681783662703</v>
      </c>
      <c r="R41" s="43"/>
      <c r="S41" s="44" t="str">
        <f aca="false">IF(OR(NOT(ISNUMBER($R41)),$R41=0,NOT(ISNUMBER($K41))),"",$K41*(1-$R41))</f>
        <v/>
      </c>
      <c r="T41" s="45" t="str">
        <f aca="false">IF(ISNUMBER($S41),$S41*$H41,"")</f>
        <v/>
      </c>
      <c r="U41" s="45" t="str">
        <f aca="false">IF(ISNUMBER($S41),$S41*Parâmetros!$B$4,"")</f>
        <v/>
      </c>
      <c r="V41" s="45" t="str">
        <f aca="false">IF(ISNUMBER($S41),$S41*Parâmetros!$C$4,"")</f>
        <v/>
      </c>
      <c r="W41" s="44" t="str">
        <f aca="false">IF(ISNUMBER($S41),$S41-$D41-IF(ISNUMBER($E41),$E41,0)-$O41-$T41-$U41-$V41,"")</f>
        <v/>
      </c>
      <c r="X41" s="46" t="str">
        <f aca="false">IF(AND(ISNUMBER($S41),$S41&gt;0),$W41/$S41,"")</f>
        <v/>
      </c>
      <c r="Y41" s="49" t="s">
        <v>734</v>
      </c>
      <c r="Z41" s="21"/>
    </row>
    <row r="42" customFormat="false" ht="15.75" hidden="false" customHeight="true" outlineLevel="0" collapsed="false">
      <c r="A42" s="32" t="str">
        <f aca="false">IF(Produtos!$A42="","",Produtos!$A42)</f>
        <v>L4070-A</v>
      </c>
      <c r="B42" s="32" t="str">
        <f aca="false">IF(Produtos!$A42="","",Produtos!$B42)</f>
        <v>Lixeira Aço Inox c/Aro 40x70 88L</v>
      </c>
      <c r="C42" s="32" t="str">
        <f aca="false">IF(Produtos!$A42="","",Produtos!$C42)</f>
        <v>Lixeiras em inox</v>
      </c>
      <c r="D42" s="33" t="n">
        <f aca="false">IF(Produtos!$A42="","",IF(Produtos!$D42="","",Produtos!$D42))</f>
        <v>331.22</v>
      </c>
      <c r="E42" s="11"/>
      <c r="F42" s="34" t="n">
        <f aca="false">IF($A42="","",IF($C42="","⚠ categoria",IFERROR(INDEX(Parâmetros!$B$13:$B$22,MATCH($C42,Parâmetros!$A$13:$A$22,0)),"⚠ categoria")))</f>
        <v>0.13</v>
      </c>
      <c r="G42" s="35"/>
      <c r="H42" s="36" t="n">
        <f aca="false">IF($A42="","",IF(ISNUMBER($G42),$G42,IF(ISNUMBER($F42),$F42,"")))</f>
        <v>0.13</v>
      </c>
      <c r="I42" s="37" t="n">
        <f aca="false">IF(OR($A42="",NOT(ISNUMBER($D42)),NOT(ISNUMBER($H42))),"",IF((1-$H42-Parâmetros!$B$4-Parâmetros!$C$4-Parâmetros!$D$4)&lt;=0,"INVALIDO",($D42+IF(ISNUMBER($E42),$E42,0)+IF(ISNUMBER(Parâmetros!$E$4),Parâmetros!$E$4,0))/(1-$H42-Parâmetros!$B$4-Parâmetros!$C$4-Parâmetros!$D$4)))</f>
        <v>613.37037037037</v>
      </c>
      <c r="J42" s="38"/>
      <c r="K42" s="39" t="n">
        <f aca="false">IF(OR($A42="",NOT(ISNUMBER($D42)),NOT(ISNUMBER($H42))),"",IF(AND(ISNUMBER($J42),$J42&gt;0),$J42,IF(ISNUMBER($I42),$I42,"")))</f>
        <v>613.37037037037</v>
      </c>
      <c r="L42" s="40" t="n">
        <f aca="false">IF(ISNUMBER($K42),$K42*$H42,"")</f>
        <v>79.7381481481481</v>
      </c>
      <c r="M42" s="40" t="n">
        <f aca="false">IF(ISNUMBER($K42),$K42*Parâmetros!$B$4,"")</f>
        <v>61.337037037037</v>
      </c>
      <c r="N42" s="40" t="n">
        <f aca="false">IF(ISNUMBER($K42),$K42*Parâmetros!$C$4,"")</f>
        <v>18.4011111111111</v>
      </c>
      <c r="O42" s="40" t="n">
        <f aca="false">IF(ISNUMBER($K42),IF(ISNUMBER(Parâmetros!$E$4),Parâmetros!$E$4,0),"")</f>
        <v>0</v>
      </c>
      <c r="P42" s="41" t="n">
        <f aca="false">IF(ISNUMBER($K42),$K42-$D42-IF(ISNUMBER($E42),$E42,0)-$L42-$M42-$N42-$O42,"")</f>
        <v>122.674074074074</v>
      </c>
      <c r="Q42" s="42" t="n">
        <f aca="false">IF(AND(ISNUMBER($K42),$K42&gt;0),$P42/$K42,"")</f>
        <v>0.2</v>
      </c>
      <c r="R42" s="43"/>
      <c r="S42" s="44" t="str">
        <f aca="false">IF(OR(NOT(ISNUMBER($R42)),$R42=0,NOT(ISNUMBER($K42))),"",$K42*(1-$R42))</f>
        <v/>
      </c>
      <c r="T42" s="45" t="str">
        <f aca="false">IF(ISNUMBER($S42),$S42*$H42,"")</f>
        <v/>
      </c>
      <c r="U42" s="45" t="str">
        <f aca="false">IF(ISNUMBER($S42),$S42*Parâmetros!$B$4,"")</f>
        <v/>
      </c>
      <c r="V42" s="45" t="str">
        <f aca="false">IF(ISNUMBER($S42),$S42*Parâmetros!$C$4,"")</f>
        <v/>
      </c>
      <c r="W42" s="44" t="str">
        <f aca="false">IF(ISNUMBER($S42),$S42-$D42-IF(ISNUMBER($E42),$E42,0)-$O42-$T42-$U42-$V42,"")</f>
        <v/>
      </c>
      <c r="X42" s="46" t="str">
        <f aca="false">IF(AND(ISNUMBER($S42),$S42&gt;0),$W42/$S42,"")</f>
        <v/>
      </c>
      <c r="Y42" s="47"/>
      <c r="Z42" s="19"/>
    </row>
    <row r="43" customFormat="false" ht="15.75" hidden="false" customHeight="true" outlineLevel="0" collapsed="false">
      <c r="A43" s="48" t="str">
        <f aca="false">IF(Produtos!$A43="","",Produtos!$A43)</f>
        <v>L4075-A</v>
      </c>
      <c r="B43" s="48" t="str">
        <f aca="false">IF(Produtos!$A43="","",Produtos!$B43)</f>
        <v>Lixeira Aço Inox c/Aro 40x75 95L</v>
      </c>
      <c r="C43" s="48" t="str">
        <f aca="false">IF(Produtos!$A43="","",Produtos!$C43)</f>
        <v>Lixeiras em inox</v>
      </c>
      <c r="D43" s="33" t="n">
        <f aca="false">IF(Produtos!$A43="","",IF(Produtos!$D43="","",Produtos!$D43))</f>
        <v>392.8</v>
      </c>
      <c r="E43" s="11"/>
      <c r="F43" s="34" t="n">
        <f aca="false">IF($A43="","",IF($C43="","⚠ categoria",IFERROR(INDEX(Parâmetros!$B$13:$B$22,MATCH($C43,Parâmetros!$A$13:$A$22,0)),"⚠ categoria")))</f>
        <v>0.13</v>
      </c>
      <c r="G43" s="35"/>
      <c r="H43" s="36" t="n">
        <f aca="false">IF($A43="","",IF(ISNUMBER($G43),$G43,IF(ISNUMBER($F43),$F43,"")))</f>
        <v>0.13</v>
      </c>
      <c r="I43" s="37" t="n">
        <f aca="false">IF(OR($A43="",NOT(ISNUMBER($D43)),NOT(ISNUMBER($H43))),"",IF((1-$H43-Parâmetros!$B$4-Parâmetros!$C$4-Parâmetros!$D$4)&lt;=0,"INVALIDO",($D43+IF(ISNUMBER($E43),$E43,0)+IF(ISNUMBER(Parâmetros!$E$4),Parâmetros!$E$4,0))/(1-$H43-Parâmetros!$B$4-Parâmetros!$C$4-Parâmetros!$D$4)))</f>
        <v>727.407407407407</v>
      </c>
      <c r="J43" s="38"/>
      <c r="K43" s="39" t="n">
        <f aca="false">IF(OR($A43="",NOT(ISNUMBER($D43)),NOT(ISNUMBER($H43))),"",IF(AND(ISNUMBER($J43),$J43&gt;0),$J43,IF(ISNUMBER($I43),$I43,"")))</f>
        <v>727.407407407407</v>
      </c>
      <c r="L43" s="40" t="n">
        <f aca="false">IF(ISNUMBER($K43),$K43*$H43,"")</f>
        <v>94.562962962963</v>
      </c>
      <c r="M43" s="40" t="n">
        <f aca="false">IF(ISNUMBER($K43),$K43*Parâmetros!$B$4,"")</f>
        <v>72.7407407407408</v>
      </c>
      <c r="N43" s="40" t="n">
        <f aca="false">IF(ISNUMBER($K43),$K43*Parâmetros!$C$4,"")</f>
        <v>21.8222222222222</v>
      </c>
      <c r="O43" s="40" t="n">
        <f aca="false">IF(ISNUMBER($K43),IF(ISNUMBER(Parâmetros!$E$4),Parâmetros!$E$4,0),"")</f>
        <v>0</v>
      </c>
      <c r="P43" s="41" t="n">
        <f aca="false">IF(ISNUMBER($K43),$K43-$D43-IF(ISNUMBER($E43),$E43,0)-$L43-$M43-$N43-$O43,"")</f>
        <v>145.481481481481</v>
      </c>
      <c r="Q43" s="42" t="n">
        <f aca="false">IF(AND(ISNUMBER($K43),$K43&gt;0),$P43/$K43,"")</f>
        <v>0.2</v>
      </c>
      <c r="R43" s="43"/>
      <c r="S43" s="44" t="str">
        <f aca="false">IF(OR(NOT(ISNUMBER($R43)),$R43=0,NOT(ISNUMBER($K43))),"",$K43*(1-$R43))</f>
        <v/>
      </c>
      <c r="T43" s="45" t="str">
        <f aca="false">IF(ISNUMBER($S43),$S43*$H43,"")</f>
        <v/>
      </c>
      <c r="U43" s="45" t="str">
        <f aca="false">IF(ISNUMBER($S43),$S43*Parâmetros!$B$4,"")</f>
        <v/>
      </c>
      <c r="V43" s="45" t="str">
        <f aca="false">IF(ISNUMBER($S43),$S43*Parâmetros!$C$4,"")</f>
        <v/>
      </c>
      <c r="W43" s="44" t="str">
        <f aca="false">IF(ISNUMBER($S43),$S43-$D43-IF(ISNUMBER($E43),$E43,0)-$O43-$T43-$U43-$V43,"")</f>
        <v/>
      </c>
      <c r="X43" s="46" t="str">
        <f aca="false">IF(AND(ISNUMBER($S43),$S43&gt;0),$W43/$S43,"")</f>
        <v/>
      </c>
      <c r="Y43" s="49"/>
      <c r="Z43" s="21"/>
    </row>
    <row r="44" customFormat="false" ht="15.75" hidden="false" customHeight="true" outlineLevel="0" collapsed="false">
      <c r="A44" s="32" t="str">
        <f aca="false">IF(Produtos!$A44="","",Produtos!$A44)</f>
        <v>L4080-A</v>
      </c>
      <c r="B44" s="32" t="str">
        <f aca="false">IF(Produtos!$A44="","",Produtos!$B44)</f>
        <v>Lixeira Aço Inox c/Aro 40x80 100L</v>
      </c>
      <c r="C44" s="32" t="str">
        <f aca="false">IF(Produtos!$A44="","",Produtos!$C44)</f>
        <v>Lixeiras em inox</v>
      </c>
      <c r="D44" s="33" t="n">
        <f aca="false">IF(Produtos!$A44="","",IF(Produtos!$D44="","",Produtos!$D44))</f>
        <v>400.17</v>
      </c>
      <c r="E44" s="11" t="n">
        <v>106.85</v>
      </c>
      <c r="F44" s="34" t="n">
        <f aca="false">IF($A44="","",IF($C44="","⚠ categoria",IFERROR(INDEX(Parâmetros!$B$13:$B$22,MATCH($C44,Parâmetros!$A$13:$A$22,0)),"⚠ categoria")))</f>
        <v>0.13</v>
      </c>
      <c r="G44" s="35"/>
      <c r="H44" s="36" t="n">
        <f aca="false">IF($A44="","",IF(ISNUMBER($G44),$G44,IF(ISNUMBER($F44),$F44,"")))</f>
        <v>0.13</v>
      </c>
      <c r="I44" s="37" t="n">
        <f aca="false">IF(OR($A44="",NOT(ISNUMBER($D44)),NOT(ISNUMBER($H44))),"",IF((1-$H44-Parâmetros!$B$4-Parâmetros!$C$4-Parâmetros!$D$4)&lt;=0,"INVALIDO",($D44+IF(ISNUMBER($E44),$E44,0)+IF(ISNUMBER(Parâmetros!$E$4),Parâmetros!$E$4,0))/(1-$H44-Parâmetros!$B$4-Parâmetros!$C$4-Parâmetros!$D$4)))</f>
        <v>938.925925925926</v>
      </c>
      <c r="J44" s="38" t="n">
        <v>938.93</v>
      </c>
      <c r="K44" s="39" t="n">
        <f aca="false">IF(OR($A44="",NOT(ISNUMBER($D44)),NOT(ISNUMBER($H44))),"",IF(AND(ISNUMBER($J44),$J44&gt;0),$J44,IF(ISNUMBER($I44),$I44,"")))</f>
        <v>938.93</v>
      </c>
      <c r="L44" s="40" t="n">
        <f aca="false">IF(ISNUMBER($K44),$K44*$H44,"")</f>
        <v>122.0609</v>
      </c>
      <c r="M44" s="40" t="n">
        <f aca="false">IF(ISNUMBER($K44),$K44*Parâmetros!$B$4,"")</f>
        <v>93.893</v>
      </c>
      <c r="N44" s="40" t="n">
        <f aca="false">IF(ISNUMBER($K44),$K44*Parâmetros!$C$4,"")</f>
        <v>28.1679</v>
      </c>
      <c r="O44" s="40" t="n">
        <f aca="false">IF(ISNUMBER($K44),IF(ISNUMBER(Parâmetros!$E$4),Parâmetros!$E$4,0),"")</f>
        <v>0</v>
      </c>
      <c r="P44" s="41" t="n">
        <f aca="false">IF(ISNUMBER($K44),$K44-$D44-IF(ISNUMBER($E44),$E44,0)-$L44-$M44-$N44-$O44,"")</f>
        <v>187.7882</v>
      </c>
      <c r="Q44" s="42" t="n">
        <f aca="false">IF(AND(ISNUMBER($K44),$K44&gt;0),$P44/$K44,"")</f>
        <v>0.200002343092669</v>
      </c>
      <c r="R44" s="43"/>
      <c r="S44" s="44" t="str">
        <f aca="false">IF(OR(NOT(ISNUMBER($R44)),$R44=0,NOT(ISNUMBER($K44))),"",$K44*(1-$R44))</f>
        <v/>
      </c>
      <c r="T44" s="45" t="str">
        <f aca="false">IF(ISNUMBER($S44),$S44*$H44,"")</f>
        <v/>
      </c>
      <c r="U44" s="45" t="str">
        <f aca="false">IF(ISNUMBER($S44),$S44*Parâmetros!$B$4,"")</f>
        <v/>
      </c>
      <c r="V44" s="45" t="str">
        <f aca="false">IF(ISNUMBER($S44),$S44*Parâmetros!$C$4,"")</f>
        <v/>
      </c>
      <c r="W44" s="44" t="str">
        <f aca="false">IF(ISNUMBER($S44),$S44-$D44-IF(ISNUMBER($E44),$E44,0)-$O44-$T44-$U44-$V44,"")</f>
        <v/>
      </c>
      <c r="X44" s="46" t="str">
        <f aca="false">IF(AND(ISNUMBER($S44),$S44&gt;0),$W44/$S44,"")</f>
        <v/>
      </c>
      <c r="Y44" s="47" t="s">
        <v>735</v>
      </c>
      <c r="Z44" s="19"/>
    </row>
    <row r="45" customFormat="false" ht="15.75" hidden="false" customHeight="true" outlineLevel="0" collapsed="false">
      <c r="A45" s="48" t="str">
        <f aca="false">IF(Produtos!$A45="","",Produtos!$A45)</f>
        <v>L4090-A</v>
      </c>
      <c r="B45" s="48" t="str">
        <f aca="false">IF(Produtos!$A45="","",Produtos!$B45)</f>
        <v>Lixeira Aço Inox c/Aro 40x90 120L</v>
      </c>
      <c r="C45" s="48" t="str">
        <f aca="false">IF(Produtos!$A45="","",Produtos!$C45)</f>
        <v>Lixeiras em inox</v>
      </c>
      <c r="D45" s="33" t="n">
        <f aca="false">IF(Produtos!$A45="","",IF(Produtos!$D45="","",Produtos!$D45))</f>
        <v>405.39</v>
      </c>
      <c r="E45" s="11" t="n">
        <v>106.85</v>
      </c>
      <c r="F45" s="34" t="n">
        <f aca="false">IF($A45="","",IF($C45="","⚠ categoria",IFERROR(INDEX(Parâmetros!$B$13:$B$22,MATCH($C45,Parâmetros!$A$13:$A$22,0)),"⚠ categoria")))</f>
        <v>0.13</v>
      </c>
      <c r="G45" s="35"/>
      <c r="H45" s="36" t="n">
        <f aca="false">IF($A45="","",IF(ISNUMBER($G45),$G45,IF(ISNUMBER($F45),$F45,"")))</f>
        <v>0.13</v>
      </c>
      <c r="I45" s="37" t="n">
        <f aca="false">IF(OR($A45="",NOT(ISNUMBER($D45)),NOT(ISNUMBER($H45))),"",IF((1-$H45-Parâmetros!$B$4-Parâmetros!$C$4-Parâmetros!$D$4)&lt;=0,"INVALIDO",($D45+IF(ISNUMBER($E45),$E45,0)+IF(ISNUMBER(Parâmetros!$E$4),Parâmetros!$E$4,0))/(1-$H45-Parâmetros!$B$4-Parâmetros!$C$4-Parâmetros!$D$4)))</f>
        <v>948.592592592593</v>
      </c>
      <c r="J45" s="38" t="n">
        <v>948.69</v>
      </c>
      <c r="K45" s="39" t="n">
        <f aca="false">IF(OR($A45="",NOT(ISNUMBER($D45)),NOT(ISNUMBER($H45))),"",IF(AND(ISNUMBER($J45),$J45&gt;0),$J45,IF(ISNUMBER($I45),$I45,"")))</f>
        <v>948.69</v>
      </c>
      <c r="L45" s="40" t="n">
        <f aca="false">IF(ISNUMBER($K45),$K45*$H45,"")</f>
        <v>123.3297</v>
      </c>
      <c r="M45" s="40" t="n">
        <f aca="false">IF(ISNUMBER($K45),$K45*Parâmetros!$B$4,"")</f>
        <v>94.869</v>
      </c>
      <c r="N45" s="40" t="n">
        <f aca="false">IF(ISNUMBER($K45),$K45*Parâmetros!$C$4,"")</f>
        <v>28.4607</v>
      </c>
      <c r="O45" s="40" t="n">
        <f aca="false">IF(ISNUMBER($K45),IF(ISNUMBER(Parâmetros!$E$4),Parâmetros!$E$4,0),"")</f>
        <v>0</v>
      </c>
      <c r="P45" s="41" t="n">
        <f aca="false">IF(ISNUMBER($K45),$K45-$D45-IF(ISNUMBER($E45),$E45,0)-$L45-$M45-$N45-$O45,"")</f>
        <v>189.7906</v>
      </c>
      <c r="Q45" s="42" t="n">
        <f aca="false">IF(AND(ISNUMBER($K45),$K45&gt;0),$P45/$K45,"")</f>
        <v>0.200055444876619</v>
      </c>
      <c r="R45" s="43"/>
      <c r="S45" s="44" t="str">
        <f aca="false">IF(OR(NOT(ISNUMBER($R45)),$R45=0,NOT(ISNUMBER($K45))),"",$K45*(1-$R45))</f>
        <v/>
      </c>
      <c r="T45" s="45" t="str">
        <f aca="false">IF(ISNUMBER($S45),$S45*$H45,"")</f>
        <v/>
      </c>
      <c r="U45" s="45" t="str">
        <f aca="false">IF(ISNUMBER($S45),$S45*Parâmetros!$B$4,"")</f>
        <v/>
      </c>
      <c r="V45" s="45" t="str">
        <f aca="false">IF(ISNUMBER($S45),$S45*Parâmetros!$C$4,"")</f>
        <v/>
      </c>
      <c r="W45" s="44" t="str">
        <f aca="false">IF(ISNUMBER($S45),$S45-$D45-IF(ISNUMBER($E45),$E45,0)-$O45-$T45-$U45-$V45,"")</f>
        <v/>
      </c>
      <c r="X45" s="46" t="str">
        <f aca="false">IF(AND(ISNUMBER($S45),$S45&gt;0),$W45/$S45,"")</f>
        <v/>
      </c>
      <c r="Y45" s="49" t="s">
        <v>735</v>
      </c>
      <c r="Z45" s="21"/>
    </row>
    <row r="46" customFormat="false" ht="15.75" hidden="false" customHeight="true" outlineLevel="0" collapsed="false">
      <c r="A46" s="32" t="str">
        <f aca="false">IF(Produtos!$A46="","",Produtos!$A46)</f>
        <v>L40100-A</v>
      </c>
      <c r="B46" s="32" t="str">
        <f aca="false">IF(Produtos!$A46="","",Produtos!$B46)</f>
        <v>Lixeira Aço Inox c/Aro 40x100L</v>
      </c>
      <c r="C46" s="32" t="str">
        <f aca="false">IF(Produtos!$A46="","",Produtos!$C46)</f>
        <v>Lixeiras em inox</v>
      </c>
      <c r="D46" s="33" t="n">
        <f aca="false">IF(Produtos!$A46="","",IF(Produtos!$D46="","",Produtos!$D46))</f>
        <v>566.56</v>
      </c>
      <c r="E46" s="11"/>
      <c r="F46" s="34" t="n">
        <f aca="false">IF($A46="","",IF($C46="","⚠ categoria",IFERROR(INDEX(Parâmetros!$B$13:$B$22,MATCH($C46,Parâmetros!$A$13:$A$22,0)),"⚠ categoria")))</f>
        <v>0.13</v>
      </c>
      <c r="G46" s="35"/>
      <c r="H46" s="36" t="n">
        <f aca="false">IF($A46="","",IF(ISNUMBER($G46),$G46,IF(ISNUMBER($F46),$F46,"")))</f>
        <v>0.13</v>
      </c>
      <c r="I46" s="37" t="n">
        <f aca="false">IF(OR($A46="",NOT(ISNUMBER($D46)),NOT(ISNUMBER($H46))),"",IF((1-$H46-Parâmetros!$B$4-Parâmetros!$C$4-Parâmetros!$D$4)&lt;=0,"INVALIDO",($D46+IF(ISNUMBER($E46),$E46,0)+IF(ISNUMBER(Parâmetros!$E$4),Parâmetros!$E$4,0))/(1-$H46-Parâmetros!$B$4-Parâmetros!$C$4-Parâmetros!$D$4)))</f>
        <v>1049.18518518519</v>
      </c>
      <c r="J46" s="38"/>
      <c r="K46" s="39" t="n">
        <f aca="false">IF(OR($A46="",NOT(ISNUMBER($D46)),NOT(ISNUMBER($H46))),"",IF(AND(ISNUMBER($J46),$J46&gt;0),$J46,IF(ISNUMBER($I46),$I46,"")))</f>
        <v>1049.18518518519</v>
      </c>
      <c r="L46" s="40" t="n">
        <f aca="false">IF(ISNUMBER($K46),$K46*$H46,"")</f>
        <v>136.394074074074</v>
      </c>
      <c r="M46" s="40" t="n">
        <f aca="false">IF(ISNUMBER($K46),$K46*Parâmetros!$B$4,"")</f>
        <v>104.918518518519</v>
      </c>
      <c r="N46" s="40" t="n">
        <f aca="false">IF(ISNUMBER($K46),$K46*Parâmetros!$C$4,"")</f>
        <v>31.4755555555555</v>
      </c>
      <c r="O46" s="40" t="n">
        <f aca="false">IF(ISNUMBER($K46),IF(ISNUMBER(Parâmetros!$E$4),Parâmetros!$E$4,0),"")</f>
        <v>0</v>
      </c>
      <c r="P46" s="41" t="n">
        <f aca="false">IF(ISNUMBER($K46),$K46-$D46-IF(ISNUMBER($E46),$E46,0)-$L46-$M46-$N46-$O46,"")</f>
        <v>209.837037037037</v>
      </c>
      <c r="Q46" s="42" t="n">
        <f aca="false">IF(AND(ISNUMBER($K46),$K46&gt;0),$P46/$K46,"")</f>
        <v>0.2</v>
      </c>
      <c r="R46" s="43"/>
      <c r="S46" s="44" t="str">
        <f aca="false">IF(OR(NOT(ISNUMBER($R46)),$R46=0,NOT(ISNUMBER($K46))),"",$K46*(1-$R46))</f>
        <v/>
      </c>
      <c r="T46" s="45" t="str">
        <f aca="false">IF(ISNUMBER($S46),$S46*$H46,"")</f>
        <v/>
      </c>
      <c r="U46" s="45" t="str">
        <f aca="false">IF(ISNUMBER($S46),$S46*Parâmetros!$B$4,"")</f>
        <v/>
      </c>
      <c r="V46" s="45" t="str">
        <f aca="false">IF(ISNUMBER($S46),$S46*Parâmetros!$C$4,"")</f>
        <v/>
      </c>
      <c r="W46" s="44" t="str">
        <f aca="false">IF(ISNUMBER($S46),$S46-$D46-IF(ISNUMBER($E46),$E46,0)-$O46-$T46-$U46-$V46,"")</f>
        <v/>
      </c>
      <c r="X46" s="46" t="str">
        <f aca="false">IF(AND(ISNUMBER($S46),$S46&gt;0),$W46/$S46,"")</f>
        <v/>
      </c>
      <c r="Y46" s="47"/>
      <c r="Z46" s="19"/>
    </row>
    <row r="47" customFormat="false" ht="15.75" hidden="false" customHeight="true" outlineLevel="0" collapsed="false">
      <c r="A47" s="48" t="str">
        <f aca="false">IF(Produtos!$A47="","",Produtos!$A47)</f>
        <v>L40120-A</v>
      </c>
      <c r="B47" s="48" t="str">
        <f aca="false">IF(Produtos!$A47="","",Produtos!$B47)</f>
        <v>Lixeira Aço Inox c/Aro 40x120L</v>
      </c>
      <c r="C47" s="48" t="str">
        <f aca="false">IF(Produtos!$A47="","",Produtos!$C47)</f>
        <v>Lixeiras em inox</v>
      </c>
      <c r="D47" s="33" t="n">
        <f aca="false">IF(Produtos!$A47="","",IF(Produtos!$D47="","",Produtos!$D47))</f>
        <v>762.87</v>
      </c>
      <c r="E47" s="11"/>
      <c r="F47" s="34" t="n">
        <f aca="false">IF($A47="","",IF($C47="","⚠ categoria",IFERROR(INDEX(Parâmetros!$B$13:$B$22,MATCH($C47,Parâmetros!$A$13:$A$22,0)),"⚠ categoria")))</f>
        <v>0.13</v>
      </c>
      <c r="G47" s="35"/>
      <c r="H47" s="36" t="n">
        <f aca="false">IF($A47="","",IF(ISNUMBER($G47),$G47,IF(ISNUMBER($F47),$F47,"")))</f>
        <v>0.13</v>
      </c>
      <c r="I47" s="37" t="n">
        <f aca="false">IF(OR($A47="",NOT(ISNUMBER($D47)),NOT(ISNUMBER($H47))),"",IF((1-$H47-Parâmetros!$B$4-Parâmetros!$C$4-Parâmetros!$D$4)&lt;=0,"INVALIDO",($D47+IF(ISNUMBER($E47),$E47,0)+IF(ISNUMBER(Parâmetros!$E$4),Parâmetros!$E$4,0))/(1-$H47-Parâmetros!$B$4-Parâmetros!$C$4-Parâmetros!$D$4)))</f>
        <v>1412.72222222222</v>
      </c>
      <c r="J47" s="38"/>
      <c r="K47" s="39" t="n">
        <f aca="false">IF(OR($A47="",NOT(ISNUMBER($D47)),NOT(ISNUMBER($H47))),"",IF(AND(ISNUMBER($J47),$J47&gt;0),$J47,IF(ISNUMBER($I47),$I47,"")))</f>
        <v>1412.72222222222</v>
      </c>
      <c r="L47" s="40" t="n">
        <f aca="false">IF(ISNUMBER($K47),$K47*$H47,"")</f>
        <v>183.653888888889</v>
      </c>
      <c r="M47" s="40" t="n">
        <f aca="false">IF(ISNUMBER($K47),$K47*Parâmetros!$B$4,"")</f>
        <v>141.272222222222</v>
      </c>
      <c r="N47" s="40" t="n">
        <f aca="false">IF(ISNUMBER($K47),$K47*Parâmetros!$C$4,"")</f>
        <v>42.3816666666667</v>
      </c>
      <c r="O47" s="40" t="n">
        <f aca="false">IF(ISNUMBER($K47),IF(ISNUMBER(Parâmetros!$E$4),Parâmetros!$E$4,0),"")</f>
        <v>0</v>
      </c>
      <c r="P47" s="41" t="n">
        <f aca="false">IF(ISNUMBER($K47),$K47-$D47-IF(ISNUMBER($E47),$E47,0)-$L47-$M47-$N47-$O47,"")</f>
        <v>282.544444444444</v>
      </c>
      <c r="Q47" s="42" t="n">
        <f aca="false">IF(AND(ISNUMBER($K47),$K47&gt;0),$P47/$K47,"")</f>
        <v>0.2</v>
      </c>
      <c r="R47" s="43"/>
      <c r="S47" s="44" t="str">
        <f aca="false">IF(OR(NOT(ISNUMBER($R47)),$R47=0,NOT(ISNUMBER($K47))),"",$K47*(1-$R47))</f>
        <v/>
      </c>
      <c r="T47" s="45" t="str">
        <f aca="false">IF(ISNUMBER($S47),$S47*$H47,"")</f>
        <v/>
      </c>
      <c r="U47" s="45" t="str">
        <f aca="false">IF(ISNUMBER($S47),$S47*Parâmetros!$B$4,"")</f>
        <v/>
      </c>
      <c r="V47" s="45" t="str">
        <f aca="false">IF(ISNUMBER($S47),$S47*Parâmetros!$C$4,"")</f>
        <v/>
      </c>
      <c r="W47" s="44" t="str">
        <f aca="false">IF(ISNUMBER($S47),$S47-$D47-IF(ISNUMBER($E47),$E47,0)-$O47-$T47-$U47-$V47,"")</f>
        <v/>
      </c>
      <c r="X47" s="46" t="str">
        <f aca="false">IF(AND(ISNUMBER($S47),$S47&gt;0),$W47/$S47,"")</f>
        <v/>
      </c>
      <c r="Y47" s="49"/>
      <c r="Z47" s="21"/>
    </row>
    <row r="48" customFormat="false" ht="15.75" hidden="false" customHeight="true" outlineLevel="0" collapsed="false">
      <c r="A48" s="32" t="str">
        <f aca="false">IF(Produtos!$A48="","",Produtos!$A48)</f>
        <v>L2425-AML</v>
      </c>
      <c r="B48" s="32" t="str">
        <f aca="false">IF(Produtos!$A48="","",Produtos!$B48)</f>
        <v>Lixeira c/Aro Meia Lua 24x25 13L</v>
      </c>
      <c r="C48" s="32" t="str">
        <f aca="false">IF(Produtos!$A48="","",Produtos!$C48)</f>
        <v>Lixeiras em inox</v>
      </c>
      <c r="D48" s="33" t="n">
        <f aca="false">IF(Produtos!$A48="","",IF(Produtos!$D48="","",Produtos!$D48))</f>
        <v>86.87</v>
      </c>
      <c r="E48" s="11" t="n">
        <v>27.05</v>
      </c>
      <c r="F48" s="34" t="n">
        <f aca="false">IF($A48="","",IF($C48="","⚠ categoria",IFERROR(INDEX(Parâmetros!$B$13:$B$22,MATCH($C48,Parâmetros!$A$13:$A$22,0)),"⚠ categoria")))</f>
        <v>0.13</v>
      </c>
      <c r="G48" s="35" t="n">
        <v>0.12</v>
      </c>
      <c r="H48" s="36" t="n">
        <f aca="false">IF($A48="","",IF(ISNUMBER($G48),$G48,IF(ISNUMBER($F48),$F48,"")))</f>
        <v>0.12</v>
      </c>
      <c r="I48" s="37" t="n">
        <f aca="false">IF(OR($A48="",NOT(ISNUMBER($D48)),NOT(ISNUMBER($H48))),"",IF((1-$H48-Parâmetros!$B$4-Parâmetros!$C$4-Parâmetros!$D$4)&lt;=0,"INVALIDO",($D48+IF(ISNUMBER($E48),$E48,0)+IF(ISNUMBER(Parâmetros!$E$4),Parâmetros!$E$4,0))/(1-$H48-Parâmetros!$B$4-Parâmetros!$C$4-Parâmetros!$D$4)))</f>
        <v>207.127272727273</v>
      </c>
      <c r="J48" s="38" t="n">
        <v>208.415</v>
      </c>
      <c r="K48" s="39" t="n">
        <f aca="false">IF(OR($A48="",NOT(ISNUMBER($D48)),NOT(ISNUMBER($H48))),"",IF(AND(ISNUMBER($J48),$J48&gt;0),$J48,IF(ISNUMBER($I48),$I48,"")))</f>
        <v>208.415</v>
      </c>
      <c r="L48" s="40" t="n">
        <f aca="false">IF(ISNUMBER($K48),$K48*$H48,"")</f>
        <v>25.0098</v>
      </c>
      <c r="M48" s="40" t="n">
        <f aca="false">IF(ISNUMBER($K48),$K48*Parâmetros!$B$4,"")</f>
        <v>20.8415</v>
      </c>
      <c r="N48" s="40" t="n">
        <f aca="false">IF(ISNUMBER($K48),$K48*Parâmetros!$C$4,"")</f>
        <v>6.25245</v>
      </c>
      <c r="O48" s="40" t="n">
        <f aca="false">IF(ISNUMBER($K48),IF(ISNUMBER(Parâmetros!$E$4),Parâmetros!$E$4,0),"")</f>
        <v>0</v>
      </c>
      <c r="P48" s="41" t="n">
        <f aca="false">IF(ISNUMBER($K48),$K48-$D48-IF(ISNUMBER($E48),$E48,0)-$L48-$M48-$N48-$O48,"")</f>
        <v>42.39125</v>
      </c>
      <c r="Q48" s="42" t="n">
        <f aca="false">IF(AND(ISNUMBER($K48),$K48&gt;0),$P48/$K48,"")</f>
        <v>0.203398267878991</v>
      </c>
      <c r="R48" s="43"/>
      <c r="S48" s="44" t="str">
        <f aca="false">IF(OR(NOT(ISNUMBER($R48)),$R48=0,NOT(ISNUMBER($K48))),"",$K48*(1-$R48))</f>
        <v/>
      </c>
      <c r="T48" s="45" t="str">
        <f aca="false">IF(ISNUMBER($S48),$S48*$H48,"")</f>
        <v/>
      </c>
      <c r="U48" s="45" t="str">
        <f aca="false">IF(ISNUMBER($S48),$S48*Parâmetros!$B$4,"")</f>
        <v/>
      </c>
      <c r="V48" s="45" t="str">
        <f aca="false">IF(ISNUMBER($S48),$S48*Parâmetros!$C$4,"")</f>
        <v/>
      </c>
      <c r="W48" s="44" t="str">
        <f aca="false">IF(ISNUMBER($S48),$S48-$D48-IF(ISNUMBER($E48),$E48,0)-$O48-$T48-$U48-$V48,"")</f>
        <v/>
      </c>
      <c r="X48" s="46" t="str">
        <f aca="false">IF(AND(ISNUMBER($S48),$S48&gt;0),$W48/$S48,"")</f>
        <v/>
      </c>
      <c r="Y48" s="47" t="s">
        <v>735</v>
      </c>
      <c r="Z48" s="19"/>
    </row>
    <row r="49" customFormat="false" ht="15.75" hidden="false" customHeight="true" outlineLevel="0" collapsed="false">
      <c r="A49" s="48" t="str">
        <f aca="false">IF(Produtos!$A49="","",Produtos!$A49)</f>
        <v>L2430-AML</v>
      </c>
      <c r="B49" s="48" t="str">
        <f aca="false">IF(Produtos!$A49="","",Produtos!$B49)</f>
        <v>Lixeira c/Aro Meia Lua 24x30 15L</v>
      </c>
      <c r="C49" s="48" t="str">
        <f aca="false">IF(Produtos!$A49="","",Produtos!$C49)</f>
        <v>Lixeiras em inox</v>
      </c>
      <c r="D49" s="33" t="n">
        <f aca="false">IF(Produtos!$A49="","",IF(Produtos!$D49="","",Produtos!$D49))</f>
        <v>96.11</v>
      </c>
      <c r="E49" s="11" t="n">
        <v>27.05</v>
      </c>
      <c r="F49" s="34" t="n">
        <f aca="false">IF($A49="","",IF($C49="","⚠ categoria",IFERROR(INDEX(Parâmetros!$B$13:$B$22,MATCH($C49,Parâmetros!$A$13:$A$22,0)),"⚠ categoria")))</f>
        <v>0.13</v>
      </c>
      <c r="G49" s="35" t="n">
        <v>0.12</v>
      </c>
      <c r="H49" s="36" t="n">
        <f aca="false">IF($A49="","",IF(ISNUMBER($G49),$G49,IF(ISNUMBER($F49),$F49,"")))</f>
        <v>0.12</v>
      </c>
      <c r="I49" s="37" t="n">
        <f aca="false">IF(OR($A49="",NOT(ISNUMBER($D49)),NOT(ISNUMBER($H49))),"",IF((1-$H49-Parâmetros!$B$4-Parâmetros!$C$4-Parâmetros!$D$4)&lt;=0,"INVALIDO",($D49+IF(ISNUMBER($E49),$E49,0)+IF(ISNUMBER(Parâmetros!$E$4),Parâmetros!$E$4,0))/(1-$H49-Parâmetros!$B$4-Parâmetros!$C$4-Parâmetros!$D$4)))</f>
        <v>223.927272727273</v>
      </c>
      <c r="J49" s="38" t="n">
        <v>227.73956625</v>
      </c>
      <c r="K49" s="39" t="n">
        <f aca="false">IF(OR($A49="",NOT(ISNUMBER($D49)),NOT(ISNUMBER($H49))),"",IF(AND(ISNUMBER($J49),$J49&gt;0),$J49,IF(ISNUMBER($I49),$I49,"")))</f>
        <v>227.73956625</v>
      </c>
      <c r="L49" s="40" t="n">
        <f aca="false">IF(ISNUMBER($K49),$K49*$H49,"")</f>
        <v>27.32874795</v>
      </c>
      <c r="M49" s="40" t="n">
        <f aca="false">IF(ISNUMBER($K49),$K49*Parâmetros!$B$4,"")</f>
        <v>22.773956625</v>
      </c>
      <c r="N49" s="40" t="n">
        <f aca="false">IF(ISNUMBER($K49),$K49*Parâmetros!$C$4,"")</f>
        <v>6.8321869875</v>
      </c>
      <c r="O49" s="40" t="n">
        <f aca="false">IF(ISNUMBER($K49),IF(ISNUMBER(Parâmetros!$E$4),Parâmetros!$E$4,0),"")</f>
        <v>0</v>
      </c>
      <c r="P49" s="41" t="n">
        <f aca="false">IF(ISNUMBER($K49),$K49-$D49-IF(ISNUMBER($E49),$E49,0)-$L49-$M49-$N49-$O49,"")</f>
        <v>47.6446746875</v>
      </c>
      <c r="Q49" s="42" t="n">
        <f aca="false">IF(AND(ISNUMBER($K49),$K49&gt;0),$P49/$K49,"")</f>
        <v>0.209206838636016</v>
      </c>
      <c r="R49" s="43"/>
      <c r="S49" s="44" t="str">
        <f aca="false">IF(OR(NOT(ISNUMBER($R49)),$R49=0,NOT(ISNUMBER($K49))),"",$K49*(1-$R49))</f>
        <v/>
      </c>
      <c r="T49" s="45" t="str">
        <f aca="false">IF(ISNUMBER($S49),$S49*$H49,"")</f>
        <v/>
      </c>
      <c r="U49" s="45" t="str">
        <f aca="false">IF(ISNUMBER($S49),$S49*Parâmetros!$B$4,"")</f>
        <v/>
      </c>
      <c r="V49" s="45" t="str">
        <f aca="false">IF(ISNUMBER($S49),$S49*Parâmetros!$C$4,"")</f>
        <v/>
      </c>
      <c r="W49" s="44" t="str">
        <f aca="false">IF(ISNUMBER($S49),$S49-$D49-IF(ISNUMBER($E49),$E49,0)-$O49-$T49-$U49-$V49,"")</f>
        <v/>
      </c>
      <c r="X49" s="46" t="str">
        <f aca="false">IF(AND(ISNUMBER($S49),$S49&gt;0),$W49/$S49,"")</f>
        <v/>
      </c>
      <c r="Y49" s="49" t="s">
        <v>734</v>
      </c>
      <c r="Z49" s="21"/>
    </row>
    <row r="50" customFormat="false" ht="15.75" hidden="false" customHeight="true" outlineLevel="0" collapsed="false">
      <c r="A50" s="32" t="str">
        <f aca="false">IF(Produtos!$A50="","",Produtos!$A50)</f>
        <v>L2440-AML</v>
      </c>
      <c r="B50" s="32" t="str">
        <f aca="false">IF(Produtos!$A50="","",Produtos!$B50)</f>
        <v>Lixeira c/Aro Meia Lua 24x40 20L</v>
      </c>
      <c r="C50" s="32" t="str">
        <f aca="false">IF(Produtos!$A50="","",Produtos!$C50)</f>
        <v>Lixeiras em inox</v>
      </c>
      <c r="D50" s="33" t="n">
        <f aca="false">IF(Produtos!$A50="","",IF(Produtos!$D50="","",Produtos!$D50))</f>
        <v>113.2</v>
      </c>
      <c r="E50" s="11" t="n">
        <v>29.25</v>
      </c>
      <c r="F50" s="34" t="n">
        <f aca="false">IF($A50="","",IF($C50="","⚠ categoria",IFERROR(INDEX(Parâmetros!$B$13:$B$22,MATCH($C50,Parâmetros!$A$13:$A$22,0)),"⚠ categoria")))</f>
        <v>0.13</v>
      </c>
      <c r="G50" s="35" t="n">
        <v>0.12</v>
      </c>
      <c r="H50" s="36" t="n">
        <f aca="false">IF($A50="","",IF(ISNUMBER($G50),$G50,IF(ISNUMBER($F50),$F50,"")))</f>
        <v>0.12</v>
      </c>
      <c r="I50" s="37" t="n">
        <f aca="false">IF(OR($A50="",NOT(ISNUMBER($D50)),NOT(ISNUMBER($H50))),"",IF((1-$H50-Parâmetros!$B$4-Parâmetros!$C$4-Parâmetros!$D$4)&lt;=0,"INVALIDO",($D50+IF(ISNUMBER($E50),$E50,0)+IF(ISNUMBER(Parâmetros!$E$4),Parâmetros!$E$4,0))/(1-$H50-Parâmetros!$B$4-Parâmetros!$C$4-Parâmetros!$D$4)))</f>
        <v>259</v>
      </c>
      <c r="J50" s="38" t="n">
        <v>259.5</v>
      </c>
      <c r="K50" s="39" t="n">
        <f aca="false">IF(OR($A50="",NOT(ISNUMBER($D50)),NOT(ISNUMBER($H50))),"",IF(AND(ISNUMBER($J50),$J50&gt;0),$J50,IF(ISNUMBER($I50),$I50,"")))</f>
        <v>259.5</v>
      </c>
      <c r="L50" s="40" t="n">
        <f aca="false">IF(ISNUMBER($K50),$K50*$H50,"")</f>
        <v>31.14</v>
      </c>
      <c r="M50" s="40" t="n">
        <f aca="false">IF(ISNUMBER($K50),$K50*Parâmetros!$B$4,"")</f>
        <v>25.95</v>
      </c>
      <c r="N50" s="40" t="n">
        <f aca="false">IF(ISNUMBER($K50),$K50*Parâmetros!$C$4,"")</f>
        <v>7.785</v>
      </c>
      <c r="O50" s="40" t="n">
        <f aca="false">IF(ISNUMBER($K50),IF(ISNUMBER(Parâmetros!$E$4),Parâmetros!$E$4,0),"")</f>
        <v>0</v>
      </c>
      <c r="P50" s="41" t="n">
        <f aca="false">IF(ISNUMBER($K50),$K50-$D50-IF(ISNUMBER($E50),$E50,0)-$L50-$M50-$N50-$O50,"")</f>
        <v>52.175</v>
      </c>
      <c r="Q50" s="42" t="n">
        <f aca="false">IF(AND(ISNUMBER($K50),$K50&gt;0),$P50/$K50,"")</f>
        <v>0.201059730250482</v>
      </c>
      <c r="R50" s="43"/>
      <c r="S50" s="44" t="str">
        <f aca="false">IF(OR(NOT(ISNUMBER($R50)),$R50=0,NOT(ISNUMBER($K50))),"",$K50*(1-$R50))</f>
        <v/>
      </c>
      <c r="T50" s="45" t="str">
        <f aca="false">IF(ISNUMBER($S50),$S50*$H50,"")</f>
        <v/>
      </c>
      <c r="U50" s="45" t="str">
        <f aca="false">IF(ISNUMBER($S50),$S50*Parâmetros!$B$4,"")</f>
        <v/>
      </c>
      <c r="V50" s="45" t="str">
        <f aca="false">IF(ISNUMBER($S50),$S50*Parâmetros!$C$4,"")</f>
        <v/>
      </c>
      <c r="W50" s="44" t="str">
        <f aca="false">IF(ISNUMBER($S50),$S50-$D50-IF(ISNUMBER($E50),$E50,0)-$O50-$T50-$U50-$V50,"")</f>
        <v/>
      </c>
      <c r="X50" s="46" t="str">
        <f aca="false">IF(AND(ISNUMBER($S50),$S50&gt;0),$W50/$S50,"")</f>
        <v/>
      </c>
      <c r="Y50" s="47" t="s">
        <v>735</v>
      </c>
      <c r="Z50" s="19"/>
    </row>
    <row r="51" customFormat="false" ht="15.75" hidden="false" customHeight="true" outlineLevel="0" collapsed="false">
      <c r="A51" s="48" t="str">
        <f aca="false">IF(Produtos!$A51="","",Produtos!$A51)</f>
        <v>L2450-AML</v>
      </c>
      <c r="B51" s="48" t="str">
        <f aca="false">IF(Produtos!$A51="","",Produtos!$B51)</f>
        <v>Lixeira c/Aro Meia Lua 24x50 25L</v>
      </c>
      <c r="C51" s="48" t="str">
        <f aca="false">IF(Produtos!$A51="","",Produtos!$C51)</f>
        <v>Lixeiras em inox</v>
      </c>
      <c r="D51" s="33" t="n">
        <f aca="false">IF(Produtos!$A51="","",IF(Produtos!$D51="","",Produtos!$D51))</f>
        <v>139.49</v>
      </c>
      <c r="E51" s="11" t="n">
        <v>40.85</v>
      </c>
      <c r="F51" s="34" t="n">
        <f aca="false">IF($A51="","",IF($C51="","⚠ categoria",IFERROR(INDEX(Parâmetros!$B$13:$B$22,MATCH($C51,Parâmetros!$A$13:$A$22,0)),"⚠ categoria")))</f>
        <v>0.13</v>
      </c>
      <c r="G51" s="35" t="n">
        <v>0.12</v>
      </c>
      <c r="H51" s="36" t="n">
        <f aca="false">IF($A51="","",IF(ISNUMBER($G51),$G51,IF(ISNUMBER($F51),$F51,"")))</f>
        <v>0.12</v>
      </c>
      <c r="I51" s="37" t="n">
        <f aca="false">IF(OR($A51="",NOT(ISNUMBER($D51)),NOT(ISNUMBER($H51))),"",IF((1-$H51-Parâmetros!$B$4-Parâmetros!$C$4-Parâmetros!$D$4)&lt;=0,"INVALIDO",($D51+IF(ISNUMBER($E51),$E51,0)+IF(ISNUMBER(Parâmetros!$E$4),Parâmetros!$E$4,0))/(1-$H51-Parâmetros!$B$4-Parâmetros!$C$4-Parâmetros!$D$4)))</f>
        <v>327.890909090909</v>
      </c>
      <c r="J51" s="38" t="n">
        <v>322.977375</v>
      </c>
      <c r="K51" s="39" t="n">
        <f aca="false">IF(OR($A51="",NOT(ISNUMBER($D51)),NOT(ISNUMBER($H51))),"",IF(AND(ISNUMBER($J51),$J51&gt;0),$J51,IF(ISNUMBER($I51),$I51,"")))</f>
        <v>322.977375</v>
      </c>
      <c r="L51" s="40" t="n">
        <f aca="false">IF(ISNUMBER($K51),$K51*$H51,"")</f>
        <v>38.757285</v>
      </c>
      <c r="M51" s="40" t="n">
        <f aca="false">IF(ISNUMBER($K51),$K51*Parâmetros!$B$4,"")</f>
        <v>32.2977375</v>
      </c>
      <c r="N51" s="40" t="n">
        <f aca="false">IF(ISNUMBER($K51),$K51*Parâmetros!$C$4,"")</f>
        <v>9.68932125</v>
      </c>
      <c r="O51" s="40" t="n">
        <f aca="false">IF(ISNUMBER($K51),IF(ISNUMBER(Parâmetros!$E$4),Parâmetros!$E$4,0),"")</f>
        <v>0</v>
      </c>
      <c r="P51" s="41" t="n">
        <f aca="false">IF(ISNUMBER($K51),$K51-$D51-IF(ISNUMBER($E51),$E51,0)-$L51-$M51-$N51-$O51,"")</f>
        <v>61.8930312500001</v>
      </c>
      <c r="Q51" s="42" t="n">
        <f aca="false">IF(AND(ISNUMBER($K51),$K51&gt;0),$P51/$K51,"")</f>
        <v>0.191632714985067</v>
      </c>
      <c r="R51" s="43"/>
      <c r="S51" s="44" t="str">
        <f aca="false">IF(OR(NOT(ISNUMBER($R51)),$R51=0,NOT(ISNUMBER($K51))),"",$K51*(1-$R51))</f>
        <v/>
      </c>
      <c r="T51" s="45" t="str">
        <f aca="false">IF(ISNUMBER($S51),$S51*$H51,"")</f>
        <v/>
      </c>
      <c r="U51" s="45" t="str">
        <f aca="false">IF(ISNUMBER($S51),$S51*Parâmetros!$B$4,"")</f>
        <v/>
      </c>
      <c r="V51" s="45" t="str">
        <f aca="false">IF(ISNUMBER($S51),$S51*Parâmetros!$C$4,"")</f>
        <v/>
      </c>
      <c r="W51" s="44" t="str">
        <f aca="false">IF(ISNUMBER($S51),$S51-$D51-IF(ISNUMBER($E51),$E51,0)-$O51-$T51-$U51-$V51,"")</f>
        <v/>
      </c>
      <c r="X51" s="46" t="str">
        <f aca="false">IF(AND(ISNUMBER($S51),$S51&gt;0),$W51/$S51,"")</f>
        <v/>
      </c>
      <c r="Y51" s="49" t="s">
        <v>737</v>
      </c>
      <c r="Z51" s="21"/>
    </row>
    <row r="52" customFormat="false" ht="15.75" hidden="false" customHeight="true" outlineLevel="0" collapsed="false">
      <c r="A52" s="32" t="str">
        <f aca="false">IF(Produtos!$A52="","",Produtos!$A52)</f>
        <v>L2460-AML</v>
      </c>
      <c r="B52" s="32" t="str">
        <f aca="false">IF(Produtos!$A52="","",Produtos!$B52)</f>
        <v>Lixeira c/Aro Meia Lua 24x60 27L</v>
      </c>
      <c r="C52" s="32" t="str">
        <f aca="false">IF(Produtos!$A52="","",Produtos!$C52)</f>
        <v>Lixeiras em inox</v>
      </c>
      <c r="D52" s="33" t="n">
        <f aca="false">IF(Produtos!$A52="","",IF(Produtos!$D52="","",Produtos!$D52))</f>
        <v>140.97</v>
      </c>
      <c r="E52" s="11" t="n">
        <v>40.85</v>
      </c>
      <c r="F52" s="34" t="n">
        <f aca="false">IF($A52="","",IF($C52="","⚠ categoria",IFERROR(INDEX(Parâmetros!$B$13:$B$22,MATCH($C52,Parâmetros!$A$13:$A$22,0)),"⚠ categoria")))</f>
        <v>0.13</v>
      </c>
      <c r="G52" s="35" t="n">
        <v>0.12</v>
      </c>
      <c r="H52" s="36" t="n">
        <f aca="false">IF($A52="","",IF(ISNUMBER($G52),$G52,IF(ISNUMBER($F52),$F52,"")))</f>
        <v>0.12</v>
      </c>
      <c r="I52" s="37" t="n">
        <f aca="false">IF(OR($A52="",NOT(ISNUMBER($D52)),NOT(ISNUMBER($H52))),"",IF((1-$H52-Parâmetros!$B$4-Parâmetros!$C$4-Parâmetros!$D$4)&lt;=0,"INVALIDO",($D52+IF(ISNUMBER($E52),$E52,0)+IF(ISNUMBER(Parâmetros!$E$4),Parâmetros!$E$4,0))/(1-$H52-Parâmetros!$B$4-Parâmetros!$C$4-Parâmetros!$D$4)))</f>
        <v>330.581818181818</v>
      </c>
      <c r="J52" s="38" t="n">
        <v>336.08169</v>
      </c>
      <c r="K52" s="39" t="n">
        <f aca="false">IF(OR($A52="",NOT(ISNUMBER($D52)),NOT(ISNUMBER($H52))),"",IF(AND(ISNUMBER($J52),$J52&gt;0),$J52,IF(ISNUMBER($I52),$I52,"")))</f>
        <v>336.08169</v>
      </c>
      <c r="L52" s="40" t="n">
        <f aca="false">IF(ISNUMBER($K52),$K52*$H52,"")</f>
        <v>40.3298028</v>
      </c>
      <c r="M52" s="40" t="n">
        <f aca="false">IF(ISNUMBER($K52),$K52*Parâmetros!$B$4,"")</f>
        <v>33.608169</v>
      </c>
      <c r="N52" s="40" t="n">
        <f aca="false">IF(ISNUMBER($K52),$K52*Parâmetros!$C$4,"")</f>
        <v>10.0824507</v>
      </c>
      <c r="O52" s="40" t="n">
        <f aca="false">IF(ISNUMBER($K52),IF(ISNUMBER(Parâmetros!$E$4),Parâmetros!$E$4,0),"")</f>
        <v>0</v>
      </c>
      <c r="P52" s="41" t="n">
        <f aca="false">IF(ISNUMBER($K52),$K52-$D52-IF(ISNUMBER($E52),$E52,0)-$L52-$M52-$N52-$O52,"")</f>
        <v>70.2412675</v>
      </c>
      <c r="Q52" s="42" t="n">
        <f aca="false">IF(AND(ISNUMBER($K52),$K52&gt;0),$P52/$K52,"")</f>
        <v>0.209000578103496</v>
      </c>
      <c r="R52" s="43"/>
      <c r="S52" s="44" t="str">
        <f aca="false">IF(OR(NOT(ISNUMBER($R52)),$R52=0,NOT(ISNUMBER($K52))),"",$K52*(1-$R52))</f>
        <v/>
      </c>
      <c r="T52" s="45" t="str">
        <f aca="false">IF(ISNUMBER($S52),$S52*$H52,"")</f>
        <v/>
      </c>
      <c r="U52" s="45" t="str">
        <f aca="false">IF(ISNUMBER($S52),$S52*Parâmetros!$B$4,"")</f>
        <v/>
      </c>
      <c r="V52" s="45" t="str">
        <f aca="false">IF(ISNUMBER($S52),$S52*Parâmetros!$C$4,"")</f>
        <v/>
      </c>
      <c r="W52" s="44" t="str">
        <f aca="false">IF(ISNUMBER($S52),$S52-$D52-IF(ISNUMBER($E52),$E52,0)-$O52-$T52-$U52-$V52,"")</f>
        <v/>
      </c>
      <c r="X52" s="46" t="str">
        <f aca="false">IF(AND(ISNUMBER($S52),$S52&gt;0),$W52/$S52,"")</f>
        <v/>
      </c>
      <c r="Y52" s="47" t="s">
        <v>737</v>
      </c>
      <c r="Z52" s="19"/>
    </row>
    <row r="53" customFormat="false" ht="15.75" hidden="false" customHeight="true" outlineLevel="0" collapsed="false">
      <c r="A53" s="48" t="str">
        <f aca="false">IF(Produtos!$A53="","",Produtos!$A53)</f>
        <v>L2470-AML</v>
      </c>
      <c r="B53" s="48" t="str">
        <f aca="false">IF(Produtos!$A53="","",Produtos!$B53)</f>
        <v>Lixeira c/Aro Meia Lua 24x70 30L</v>
      </c>
      <c r="C53" s="48" t="str">
        <f aca="false">IF(Produtos!$A53="","",Produtos!$C53)</f>
        <v>Lixeiras em inox</v>
      </c>
      <c r="D53" s="33" t="n">
        <f aca="false">IF(Produtos!$A53="","",IF(Produtos!$D53="","",Produtos!$D53))</f>
        <v>208.28</v>
      </c>
      <c r="E53" s="11" t="n">
        <v>45.25</v>
      </c>
      <c r="F53" s="34" t="n">
        <f aca="false">IF($A53="","",IF($C53="","⚠ categoria",IFERROR(INDEX(Parâmetros!$B$13:$B$22,MATCH($C53,Parâmetros!$A$13:$A$22,0)),"⚠ categoria")))</f>
        <v>0.13</v>
      </c>
      <c r="G53" s="35" t="n">
        <v>0.12</v>
      </c>
      <c r="H53" s="36" t="n">
        <f aca="false">IF($A53="","",IF(ISNUMBER($G53),$G53,IF(ISNUMBER($F53),$F53,"")))</f>
        <v>0.12</v>
      </c>
      <c r="I53" s="37" t="n">
        <f aca="false">IF(OR($A53="",NOT(ISNUMBER($D53)),NOT(ISNUMBER($H53))),"",IF((1-$H53-Parâmetros!$B$4-Parâmetros!$C$4-Parâmetros!$D$4)&lt;=0,"INVALIDO",($D53+IF(ISNUMBER($E53),$E53,0)+IF(ISNUMBER(Parâmetros!$E$4),Parâmetros!$E$4,0))/(1-$H53-Parâmetros!$B$4-Parâmetros!$C$4-Parâmetros!$D$4)))</f>
        <v>460.963636363636</v>
      </c>
      <c r="J53" s="38" t="n">
        <v>464.0918625</v>
      </c>
      <c r="K53" s="39" t="n">
        <f aca="false">IF(OR($A53="",NOT(ISNUMBER($D53)),NOT(ISNUMBER($H53))),"",IF(AND(ISNUMBER($J53),$J53&gt;0),$J53,IF(ISNUMBER($I53),$I53,"")))</f>
        <v>464.0918625</v>
      </c>
      <c r="L53" s="40" t="n">
        <f aca="false">IF(ISNUMBER($K53),$K53*$H53,"")</f>
        <v>55.6910235</v>
      </c>
      <c r="M53" s="40" t="n">
        <f aca="false">IF(ISNUMBER($K53),$K53*Parâmetros!$B$4,"")</f>
        <v>46.40918625</v>
      </c>
      <c r="N53" s="40" t="n">
        <f aca="false">IF(ISNUMBER($K53),$K53*Parâmetros!$C$4,"")</f>
        <v>13.922755875</v>
      </c>
      <c r="O53" s="40" t="n">
        <f aca="false">IF(ISNUMBER($K53),IF(ISNUMBER(Parâmetros!$E$4),Parâmetros!$E$4,0),"")</f>
        <v>0</v>
      </c>
      <c r="P53" s="41" t="n">
        <f aca="false">IF(ISNUMBER($K53),$K53-$D53-IF(ISNUMBER($E53),$E53,0)-$L53-$M53-$N53-$O53,"")</f>
        <v>94.538896875</v>
      </c>
      <c r="Q53" s="42" t="n">
        <f aca="false">IF(AND(ISNUMBER($K53),$K53&gt;0),$P53/$K53,"")</f>
        <v>0.203707292702207</v>
      </c>
      <c r="R53" s="43"/>
      <c r="S53" s="44" t="str">
        <f aca="false">IF(OR(NOT(ISNUMBER($R53)),$R53=0,NOT(ISNUMBER($K53))),"",$K53*(1-$R53))</f>
        <v/>
      </c>
      <c r="T53" s="45" t="str">
        <f aca="false">IF(ISNUMBER($S53),$S53*$H53,"")</f>
        <v/>
      </c>
      <c r="U53" s="45" t="str">
        <f aca="false">IF(ISNUMBER($S53),$S53*Parâmetros!$B$4,"")</f>
        <v/>
      </c>
      <c r="V53" s="45" t="str">
        <f aca="false">IF(ISNUMBER($S53),$S53*Parâmetros!$C$4,"")</f>
        <v/>
      </c>
      <c r="W53" s="44" t="str">
        <f aca="false">IF(ISNUMBER($S53),$S53-$D53-IF(ISNUMBER($E53),$E53,0)-$O53-$T53-$U53-$V53,"")</f>
        <v/>
      </c>
      <c r="X53" s="46" t="str">
        <f aca="false">IF(AND(ISNUMBER($S53),$S53&gt;0),$W53/$S53,"")</f>
        <v/>
      </c>
      <c r="Y53" s="49" t="s">
        <v>737</v>
      </c>
      <c r="Z53" s="21"/>
    </row>
    <row r="54" customFormat="false" ht="15.75" hidden="false" customHeight="true" outlineLevel="0" collapsed="false">
      <c r="A54" s="32" t="str">
        <f aca="false">IF(Produtos!$A54="","",Produtos!$A54)</f>
        <v>L3040-AML</v>
      </c>
      <c r="B54" s="32" t="str">
        <f aca="false">IF(Produtos!$A54="","",Produtos!$B54)</f>
        <v>Lixeira c/Aro Meia Lua 30x40 30L</v>
      </c>
      <c r="C54" s="32" t="str">
        <f aca="false">IF(Produtos!$A54="","",Produtos!$C54)</f>
        <v>Lixeiras em inox</v>
      </c>
      <c r="D54" s="33" t="n">
        <f aca="false">IF(Produtos!$A54="","",IF(Produtos!$D54="","",Produtos!$D54))</f>
        <v>161.26</v>
      </c>
      <c r="E54" s="11"/>
      <c r="F54" s="34" t="n">
        <f aca="false">IF($A54="","",IF($C54="","⚠ categoria",IFERROR(INDEX(Parâmetros!$B$13:$B$22,MATCH($C54,Parâmetros!$A$13:$A$22,0)),"⚠ categoria")))</f>
        <v>0.13</v>
      </c>
      <c r="G54" s="35"/>
      <c r="H54" s="36" t="n">
        <f aca="false">IF($A54="","",IF(ISNUMBER($G54),$G54,IF(ISNUMBER($F54),$F54,"")))</f>
        <v>0.13</v>
      </c>
      <c r="I54" s="37" t="n">
        <f aca="false">IF(OR($A54="",NOT(ISNUMBER($D54)),NOT(ISNUMBER($H54))),"",IF((1-$H54-Parâmetros!$B$4-Parâmetros!$C$4-Parâmetros!$D$4)&lt;=0,"INVALIDO",($D54+IF(ISNUMBER($E54),$E54,0)+IF(ISNUMBER(Parâmetros!$E$4),Parâmetros!$E$4,0))/(1-$H54-Parâmetros!$B$4-Parâmetros!$C$4-Parâmetros!$D$4)))</f>
        <v>298.62962962963</v>
      </c>
      <c r="J54" s="38"/>
      <c r="K54" s="39" t="n">
        <f aca="false">IF(OR($A54="",NOT(ISNUMBER($D54)),NOT(ISNUMBER($H54))),"",IF(AND(ISNUMBER($J54),$J54&gt;0),$J54,IF(ISNUMBER($I54),$I54,"")))</f>
        <v>298.62962962963</v>
      </c>
      <c r="L54" s="40" t="n">
        <f aca="false">IF(ISNUMBER($K54),$K54*$H54,"")</f>
        <v>38.8218518518519</v>
      </c>
      <c r="M54" s="40" t="n">
        <f aca="false">IF(ISNUMBER($K54),$K54*Parâmetros!$B$4,"")</f>
        <v>29.862962962963</v>
      </c>
      <c r="N54" s="40" t="n">
        <f aca="false">IF(ISNUMBER($K54),$K54*Parâmetros!$C$4,"")</f>
        <v>8.95888888888889</v>
      </c>
      <c r="O54" s="40" t="n">
        <f aca="false">IF(ISNUMBER($K54),IF(ISNUMBER(Parâmetros!$E$4),Parâmetros!$E$4,0),"")</f>
        <v>0</v>
      </c>
      <c r="P54" s="41" t="n">
        <f aca="false">IF(ISNUMBER($K54),$K54-$D54-IF(ISNUMBER($E54),$E54,0)-$L54-$M54-$N54-$O54,"")</f>
        <v>59.7259259259259</v>
      </c>
      <c r="Q54" s="42" t="n">
        <f aca="false">IF(AND(ISNUMBER($K54),$K54&gt;0),$P54/$K54,"")</f>
        <v>0.2</v>
      </c>
      <c r="R54" s="43"/>
      <c r="S54" s="44" t="str">
        <f aca="false">IF(OR(NOT(ISNUMBER($R54)),$R54=0,NOT(ISNUMBER($K54))),"",$K54*(1-$R54))</f>
        <v/>
      </c>
      <c r="T54" s="45" t="str">
        <f aca="false">IF(ISNUMBER($S54),$S54*$H54,"")</f>
        <v/>
      </c>
      <c r="U54" s="45" t="str">
        <f aca="false">IF(ISNUMBER($S54),$S54*Parâmetros!$B$4,"")</f>
        <v/>
      </c>
      <c r="V54" s="45" t="str">
        <f aca="false">IF(ISNUMBER($S54),$S54*Parâmetros!$C$4,"")</f>
        <v/>
      </c>
      <c r="W54" s="44" t="str">
        <f aca="false">IF(ISNUMBER($S54),$S54-$D54-IF(ISNUMBER($E54),$E54,0)-$O54-$T54-$U54-$V54,"")</f>
        <v/>
      </c>
      <c r="X54" s="46" t="str">
        <f aca="false">IF(AND(ISNUMBER($S54),$S54&gt;0),$W54/$S54,"")</f>
        <v/>
      </c>
      <c r="Y54" s="47"/>
      <c r="Z54" s="19"/>
    </row>
    <row r="55" customFormat="false" ht="15.75" hidden="false" customHeight="true" outlineLevel="0" collapsed="false">
      <c r="A55" s="48" t="str">
        <f aca="false">IF(Produtos!$A55="","",Produtos!$A55)</f>
        <v>L3050-AML</v>
      </c>
      <c r="B55" s="48" t="str">
        <f aca="false">IF(Produtos!$A55="","",Produtos!$B55)</f>
        <v>Lixeira c/Aro Meia Lua 30x50 35L</v>
      </c>
      <c r="C55" s="48" t="str">
        <f aca="false">IF(Produtos!$A55="","",Produtos!$C55)</f>
        <v>Lixeiras em inox</v>
      </c>
      <c r="D55" s="33" t="n">
        <f aca="false">IF(Produtos!$A55="","",IF(Produtos!$D55="","",Produtos!$D55))</f>
        <v>205.71</v>
      </c>
      <c r="E55" s="11"/>
      <c r="F55" s="34" t="n">
        <f aca="false">IF($A55="","",IF($C55="","⚠ categoria",IFERROR(INDEX(Parâmetros!$B$13:$B$22,MATCH($C55,Parâmetros!$A$13:$A$22,0)),"⚠ categoria")))</f>
        <v>0.13</v>
      </c>
      <c r="G55" s="35"/>
      <c r="H55" s="36" t="n">
        <f aca="false">IF($A55="","",IF(ISNUMBER($G55),$G55,IF(ISNUMBER($F55),$F55,"")))</f>
        <v>0.13</v>
      </c>
      <c r="I55" s="37" t="n">
        <f aca="false">IF(OR($A55="",NOT(ISNUMBER($D55)),NOT(ISNUMBER($H55))),"",IF((1-$H55-Parâmetros!$B$4-Parâmetros!$C$4-Parâmetros!$D$4)&lt;=0,"INVALIDO",($D55+IF(ISNUMBER($E55),$E55,0)+IF(ISNUMBER(Parâmetros!$E$4),Parâmetros!$E$4,0))/(1-$H55-Parâmetros!$B$4-Parâmetros!$C$4-Parâmetros!$D$4)))</f>
        <v>380.944444444444</v>
      </c>
      <c r="J55" s="38"/>
      <c r="K55" s="39" t="n">
        <f aca="false">IF(OR($A55="",NOT(ISNUMBER($D55)),NOT(ISNUMBER($H55))),"",IF(AND(ISNUMBER($J55),$J55&gt;0),$J55,IF(ISNUMBER($I55),$I55,"")))</f>
        <v>380.944444444444</v>
      </c>
      <c r="L55" s="40" t="n">
        <f aca="false">IF(ISNUMBER($K55),$K55*$H55,"")</f>
        <v>49.5227777777778</v>
      </c>
      <c r="M55" s="40" t="n">
        <f aca="false">IF(ISNUMBER($K55),$K55*Parâmetros!$B$4,"")</f>
        <v>38.0944444444445</v>
      </c>
      <c r="N55" s="40" t="n">
        <f aca="false">IF(ISNUMBER($K55),$K55*Parâmetros!$C$4,"")</f>
        <v>11.4283333333333</v>
      </c>
      <c r="O55" s="40" t="n">
        <f aca="false">IF(ISNUMBER($K55),IF(ISNUMBER(Parâmetros!$E$4),Parâmetros!$E$4,0),"")</f>
        <v>0</v>
      </c>
      <c r="P55" s="41" t="n">
        <f aca="false">IF(ISNUMBER($K55),$K55-$D55-IF(ISNUMBER($E55),$E55,0)-$L55-$M55-$N55-$O55,"")</f>
        <v>76.1888888888889</v>
      </c>
      <c r="Q55" s="42" t="n">
        <f aca="false">IF(AND(ISNUMBER($K55),$K55&gt;0),$P55/$K55,"")</f>
        <v>0.2</v>
      </c>
      <c r="R55" s="43"/>
      <c r="S55" s="44" t="str">
        <f aca="false">IF(OR(NOT(ISNUMBER($R55)),$R55=0,NOT(ISNUMBER($K55))),"",$K55*(1-$R55))</f>
        <v/>
      </c>
      <c r="T55" s="45" t="str">
        <f aca="false">IF(ISNUMBER($S55),$S55*$H55,"")</f>
        <v/>
      </c>
      <c r="U55" s="45" t="str">
        <f aca="false">IF(ISNUMBER($S55),$S55*Parâmetros!$B$4,"")</f>
        <v/>
      </c>
      <c r="V55" s="45" t="str">
        <f aca="false">IF(ISNUMBER($S55),$S55*Parâmetros!$C$4,"")</f>
        <v/>
      </c>
      <c r="W55" s="44" t="str">
        <f aca="false">IF(ISNUMBER($S55),$S55-$D55-IF(ISNUMBER($E55),$E55,0)-$O55-$T55-$U55-$V55,"")</f>
        <v/>
      </c>
      <c r="X55" s="46" t="str">
        <f aca="false">IF(AND(ISNUMBER($S55),$S55&gt;0),$W55/$S55,"")</f>
        <v/>
      </c>
      <c r="Y55" s="49"/>
      <c r="Z55" s="21"/>
    </row>
    <row r="56" customFormat="false" ht="15.75" hidden="false" customHeight="true" outlineLevel="0" collapsed="false">
      <c r="A56" s="32" t="str">
        <f aca="false">IF(Produtos!$A56="","",Produtos!$A56)</f>
        <v>L3060-AML</v>
      </c>
      <c r="B56" s="32" t="str">
        <f aca="false">IF(Produtos!$A56="","",Produtos!$B56)</f>
        <v>Lixeira c/Aro Meia Lua 30x60 40L</v>
      </c>
      <c r="C56" s="32" t="str">
        <f aca="false">IF(Produtos!$A56="","",Produtos!$C56)</f>
        <v>Lixeiras em inox</v>
      </c>
      <c r="D56" s="33" t="n">
        <f aca="false">IF(Produtos!$A56="","",IF(Produtos!$D56="","",Produtos!$D56))</f>
        <v>235.28</v>
      </c>
      <c r="E56" s="11" t="n">
        <v>50.75</v>
      </c>
      <c r="F56" s="34" t="n">
        <f aca="false">IF($A56="","",IF($C56="","⚠ categoria",IFERROR(INDEX(Parâmetros!$B$13:$B$22,MATCH($C56,Parâmetros!$A$13:$A$22,0)),"⚠ categoria")))</f>
        <v>0.13</v>
      </c>
      <c r="G56" s="35" t="n">
        <v>0.12</v>
      </c>
      <c r="H56" s="36" t="n">
        <f aca="false">IF($A56="","",IF(ISNUMBER($G56),$G56,IF(ISNUMBER($F56),$F56,"")))</f>
        <v>0.12</v>
      </c>
      <c r="I56" s="37" t="n">
        <f aca="false">IF(OR($A56="",NOT(ISNUMBER($D56)),NOT(ISNUMBER($H56))),"",IF((1-$H56-Parâmetros!$B$4-Parâmetros!$C$4-Parâmetros!$D$4)&lt;=0,"INVALIDO",($D56+IF(ISNUMBER($E56),$E56,0)+IF(ISNUMBER(Parâmetros!$E$4),Parâmetros!$E$4,0))/(1-$H56-Parâmetros!$B$4-Parâmetros!$C$4-Parâmetros!$D$4)))</f>
        <v>520.054545454545</v>
      </c>
      <c r="J56" s="38" t="n">
        <v>507.7111725</v>
      </c>
      <c r="K56" s="39" t="n">
        <f aca="false">IF(OR($A56="",NOT(ISNUMBER($D56)),NOT(ISNUMBER($H56))),"",IF(AND(ISNUMBER($J56),$J56&gt;0),$J56,IF(ISNUMBER($I56),$I56,"")))</f>
        <v>507.7111725</v>
      </c>
      <c r="L56" s="40" t="n">
        <f aca="false">IF(ISNUMBER($K56),$K56*$H56,"")</f>
        <v>60.9253407</v>
      </c>
      <c r="M56" s="40" t="n">
        <f aca="false">IF(ISNUMBER($K56),$K56*Parâmetros!$B$4,"")</f>
        <v>50.77111725</v>
      </c>
      <c r="N56" s="40" t="n">
        <f aca="false">IF(ISNUMBER($K56),$K56*Parâmetros!$C$4,"")</f>
        <v>15.231335175</v>
      </c>
      <c r="O56" s="40" t="n">
        <f aca="false">IF(ISNUMBER($K56),IF(ISNUMBER(Parâmetros!$E$4),Parâmetros!$E$4,0),"")</f>
        <v>0</v>
      </c>
      <c r="P56" s="41" t="n">
        <f aca="false">IF(ISNUMBER($K56),$K56-$D56-IF(ISNUMBER($E56),$E56,0)-$L56-$M56-$N56-$O56,"")</f>
        <v>94.7533793750001</v>
      </c>
      <c r="Q56" s="42" t="n">
        <f aca="false">IF(AND(ISNUMBER($K56),$K56&gt;0),$P56/$K56,"")</f>
        <v>0.186628509489813</v>
      </c>
      <c r="R56" s="43"/>
      <c r="S56" s="44" t="str">
        <f aca="false">IF(OR(NOT(ISNUMBER($R56)),$R56=0,NOT(ISNUMBER($K56))),"",$K56*(1-$R56))</f>
        <v/>
      </c>
      <c r="T56" s="45" t="str">
        <f aca="false">IF(ISNUMBER($S56),$S56*$H56,"")</f>
        <v/>
      </c>
      <c r="U56" s="45" t="str">
        <f aca="false">IF(ISNUMBER($S56),$S56*Parâmetros!$B$4,"")</f>
        <v/>
      </c>
      <c r="V56" s="45" t="str">
        <f aca="false">IF(ISNUMBER($S56),$S56*Parâmetros!$C$4,"")</f>
        <v/>
      </c>
      <c r="W56" s="44" t="str">
        <f aca="false">IF(ISNUMBER($S56),$S56-$D56-IF(ISNUMBER($E56),$E56,0)-$O56-$T56-$U56-$V56,"")</f>
        <v/>
      </c>
      <c r="X56" s="46" t="str">
        <f aca="false">IF(AND(ISNUMBER($S56),$S56&gt;0),$W56/$S56,"")</f>
        <v/>
      </c>
      <c r="Y56" s="47" t="s">
        <v>737</v>
      </c>
      <c r="Z56" s="19"/>
    </row>
    <row r="57" customFormat="false" ht="15.75" hidden="false" customHeight="true" outlineLevel="0" collapsed="false">
      <c r="A57" s="48" t="str">
        <f aca="false">IF(Produtos!$A57="","",Produtos!$A57)</f>
        <v>L3070-AML</v>
      </c>
      <c r="B57" s="48" t="str">
        <f aca="false">IF(Produtos!$A57="","",Produtos!$B57)</f>
        <v>Lixeira c/Aro Meia Lua 30x70 50L</v>
      </c>
      <c r="C57" s="48" t="str">
        <f aca="false">IF(Produtos!$A57="","",Produtos!$C57)</f>
        <v>Lixeiras em inox</v>
      </c>
      <c r="D57" s="33" t="n">
        <f aca="false">IF(Produtos!$A57="","",IF(Produtos!$D57="","",Produtos!$D57))</f>
        <v>269.82</v>
      </c>
      <c r="E57" s="11" t="n">
        <v>69.35</v>
      </c>
      <c r="F57" s="34" t="n">
        <f aca="false">IF($A57="","",IF($C57="","⚠ categoria",IFERROR(INDEX(Parâmetros!$B$13:$B$22,MATCH($C57,Parâmetros!$A$13:$A$22,0)),"⚠ categoria")))</f>
        <v>0.13</v>
      </c>
      <c r="G57" s="35" t="n">
        <v>0.12</v>
      </c>
      <c r="H57" s="36" t="n">
        <f aca="false">IF($A57="","",IF(ISNUMBER($G57),$G57,IF(ISNUMBER($F57),$F57,"")))</f>
        <v>0.12</v>
      </c>
      <c r="I57" s="37" t="n">
        <f aca="false">IF(OR($A57="",NOT(ISNUMBER($D57)),NOT(ISNUMBER($H57))),"",IF((1-$H57-Parâmetros!$B$4-Parâmetros!$C$4-Parâmetros!$D$4)&lt;=0,"INVALIDO",($D57+IF(ISNUMBER($E57),$E57,0)+IF(ISNUMBER(Parâmetros!$E$4),Parâmetros!$E$4,0))/(1-$H57-Parâmetros!$B$4-Parâmetros!$C$4-Parâmetros!$D$4)))</f>
        <v>616.672727272727</v>
      </c>
      <c r="J57" s="38" t="n">
        <v>598.1911425</v>
      </c>
      <c r="K57" s="39" t="n">
        <f aca="false">IF(OR($A57="",NOT(ISNUMBER($D57)),NOT(ISNUMBER($H57))),"",IF(AND(ISNUMBER($J57),$J57&gt;0),$J57,IF(ISNUMBER($I57),$I57,"")))</f>
        <v>598.1911425</v>
      </c>
      <c r="L57" s="40" t="n">
        <f aca="false">IF(ISNUMBER($K57),$K57*$H57,"")</f>
        <v>71.7829371</v>
      </c>
      <c r="M57" s="40" t="n">
        <f aca="false">IF(ISNUMBER($K57),$K57*Parâmetros!$B$4,"")</f>
        <v>59.81911425</v>
      </c>
      <c r="N57" s="40" t="n">
        <f aca="false">IF(ISNUMBER($K57),$K57*Parâmetros!$C$4,"")</f>
        <v>17.945734275</v>
      </c>
      <c r="O57" s="40" t="n">
        <f aca="false">IF(ISNUMBER($K57),IF(ISNUMBER(Parâmetros!$E$4),Parâmetros!$E$4,0),"")</f>
        <v>0</v>
      </c>
      <c r="P57" s="41" t="n">
        <f aca="false">IF(ISNUMBER($K57),$K57-$D57-IF(ISNUMBER($E57),$E57,0)-$L57-$M57-$N57-$O57,"")</f>
        <v>109.473356875</v>
      </c>
      <c r="Q57" s="42" t="n">
        <f aca="false">IF(AND(ISNUMBER($K57),$K57&gt;0),$P57/$K57,"")</f>
        <v>0.183007318392382</v>
      </c>
      <c r="R57" s="43"/>
      <c r="S57" s="44" t="str">
        <f aca="false">IF(OR(NOT(ISNUMBER($R57)),$R57=0,NOT(ISNUMBER($K57))),"",$K57*(1-$R57))</f>
        <v/>
      </c>
      <c r="T57" s="45" t="str">
        <f aca="false">IF(ISNUMBER($S57),$S57*$H57,"")</f>
        <v/>
      </c>
      <c r="U57" s="45" t="str">
        <f aca="false">IF(ISNUMBER($S57),$S57*Parâmetros!$B$4,"")</f>
        <v/>
      </c>
      <c r="V57" s="45" t="str">
        <f aca="false">IF(ISNUMBER($S57),$S57*Parâmetros!$C$4,"")</f>
        <v/>
      </c>
      <c r="W57" s="44" t="str">
        <f aca="false">IF(ISNUMBER($S57),$S57-$D57-IF(ISNUMBER($E57),$E57,0)-$O57-$T57-$U57-$V57,"")</f>
        <v/>
      </c>
      <c r="X57" s="46" t="str">
        <f aca="false">IF(AND(ISNUMBER($S57),$S57&gt;0),$W57/$S57,"")</f>
        <v/>
      </c>
      <c r="Y57" s="49" t="s">
        <v>737</v>
      </c>
      <c r="Z57" s="21"/>
    </row>
    <row r="58" customFormat="false" ht="15.75" hidden="false" customHeight="true" outlineLevel="0" collapsed="false">
      <c r="A58" s="32" t="str">
        <f aca="false">IF(Produtos!$A58="","",Produtos!$A58)</f>
        <v>L3085-AML</v>
      </c>
      <c r="B58" s="32" t="str">
        <f aca="false">IF(Produtos!$A58="","",Produtos!$B58)</f>
        <v>Lixeira c/Aro Meia Lua 30x85 60L</v>
      </c>
      <c r="C58" s="32" t="str">
        <f aca="false">IF(Produtos!$A58="","",Produtos!$C58)</f>
        <v>Lixeiras em inox</v>
      </c>
      <c r="D58" s="33" t="n">
        <f aca="false">IF(Produtos!$A58="","",IF(Produtos!$D58="","",Produtos!$D58))</f>
        <v>360.65</v>
      </c>
      <c r="E58" s="11"/>
      <c r="F58" s="34" t="n">
        <f aca="false">IF($A58="","",IF($C58="","⚠ categoria",IFERROR(INDEX(Parâmetros!$B$13:$B$22,MATCH($C58,Parâmetros!$A$13:$A$22,0)),"⚠ categoria")))</f>
        <v>0.13</v>
      </c>
      <c r="G58" s="35"/>
      <c r="H58" s="36" t="n">
        <f aca="false">IF($A58="","",IF(ISNUMBER($G58),$G58,IF(ISNUMBER($F58),$F58,"")))</f>
        <v>0.13</v>
      </c>
      <c r="I58" s="37" t="n">
        <f aca="false">IF(OR($A58="",NOT(ISNUMBER($D58)),NOT(ISNUMBER($H58))),"",IF((1-$H58-Parâmetros!$B$4-Parâmetros!$C$4-Parâmetros!$D$4)&lt;=0,"INVALIDO",($D58+IF(ISNUMBER($E58),$E58,0)+IF(ISNUMBER(Parâmetros!$E$4),Parâmetros!$E$4,0))/(1-$H58-Parâmetros!$B$4-Parâmetros!$C$4-Parâmetros!$D$4)))</f>
        <v>667.87037037037</v>
      </c>
      <c r="J58" s="38"/>
      <c r="K58" s="39" t="n">
        <f aca="false">IF(OR($A58="",NOT(ISNUMBER($D58)),NOT(ISNUMBER($H58))),"",IF(AND(ISNUMBER($J58),$J58&gt;0),$J58,IF(ISNUMBER($I58),$I58,"")))</f>
        <v>667.87037037037</v>
      </c>
      <c r="L58" s="40" t="n">
        <f aca="false">IF(ISNUMBER($K58),$K58*$H58,"")</f>
        <v>86.8231481481482</v>
      </c>
      <c r="M58" s="40" t="n">
        <f aca="false">IF(ISNUMBER($K58),$K58*Parâmetros!$B$4,"")</f>
        <v>66.787037037037</v>
      </c>
      <c r="N58" s="40" t="n">
        <f aca="false">IF(ISNUMBER($K58),$K58*Parâmetros!$C$4,"")</f>
        <v>20.0361111111111</v>
      </c>
      <c r="O58" s="40" t="n">
        <f aca="false">IF(ISNUMBER($K58),IF(ISNUMBER(Parâmetros!$E$4),Parâmetros!$E$4,0),"")</f>
        <v>0</v>
      </c>
      <c r="P58" s="41" t="n">
        <f aca="false">IF(ISNUMBER($K58),$K58-$D58-IF(ISNUMBER($E58),$E58,0)-$L58-$M58-$N58-$O58,"")</f>
        <v>133.574074074074</v>
      </c>
      <c r="Q58" s="42" t="n">
        <f aca="false">IF(AND(ISNUMBER($K58),$K58&gt;0),$P58/$K58,"")</f>
        <v>0.2</v>
      </c>
      <c r="R58" s="43"/>
      <c r="S58" s="44" t="str">
        <f aca="false">IF(OR(NOT(ISNUMBER($R58)),$R58=0,NOT(ISNUMBER($K58))),"",$K58*(1-$R58))</f>
        <v/>
      </c>
      <c r="T58" s="45" t="str">
        <f aca="false">IF(ISNUMBER($S58),$S58*$H58,"")</f>
        <v/>
      </c>
      <c r="U58" s="45" t="str">
        <f aca="false">IF(ISNUMBER($S58),$S58*Parâmetros!$B$4,"")</f>
        <v/>
      </c>
      <c r="V58" s="45" t="str">
        <f aca="false">IF(ISNUMBER($S58),$S58*Parâmetros!$C$4,"")</f>
        <v/>
      </c>
      <c r="W58" s="44" t="str">
        <f aca="false">IF(ISNUMBER($S58),$S58-$D58-IF(ISNUMBER($E58),$E58,0)-$O58-$T58-$U58-$V58,"")</f>
        <v/>
      </c>
      <c r="X58" s="46" t="str">
        <f aca="false">IF(AND(ISNUMBER($S58),$S58&gt;0),$W58/$S58,"")</f>
        <v/>
      </c>
      <c r="Y58" s="47"/>
      <c r="Z58" s="19"/>
    </row>
    <row r="59" customFormat="false" ht="15.75" hidden="false" customHeight="true" outlineLevel="0" collapsed="false">
      <c r="A59" s="48" t="str">
        <f aca="false">IF(Produtos!$A59="","",Produtos!$A59)</f>
        <v>L4050-AML</v>
      </c>
      <c r="B59" s="48" t="str">
        <f aca="false">IF(Produtos!$A59="","",Produtos!$B59)</f>
        <v>Lixeira c/Aro Meia Lua 40x50 62L</v>
      </c>
      <c r="C59" s="48" t="str">
        <f aca="false">IF(Produtos!$A59="","",Produtos!$C59)</f>
        <v>Lixeiras em inox</v>
      </c>
      <c r="D59" s="33" t="n">
        <f aca="false">IF(Produtos!$A59="","",IF(Produtos!$D59="","",Produtos!$D59))</f>
        <v>305.35</v>
      </c>
      <c r="E59" s="11"/>
      <c r="F59" s="34" t="n">
        <f aca="false">IF($A59="","",IF($C59="","⚠ categoria",IFERROR(INDEX(Parâmetros!$B$13:$B$22,MATCH($C59,Parâmetros!$A$13:$A$22,0)),"⚠ categoria")))</f>
        <v>0.13</v>
      </c>
      <c r="G59" s="35"/>
      <c r="H59" s="36" t="n">
        <f aca="false">IF($A59="","",IF(ISNUMBER($G59),$G59,IF(ISNUMBER($F59),$F59,"")))</f>
        <v>0.13</v>
      </c>
      <c r="I59" s="37" t="n">
        <f aca="false">IF(OR($A59="",NOT(ISNUMBER($D59)),NOT(ISNUMBER($H59))),"",IF((1-$H59-Parâmetros!$B$4-Parâmetros!$C$4-Parâmetros!$D$4)&lt;=0,"INVALIDO",($D59+IF(ISNUMBER($E59),$E59,0)+IF(ISNUMBER(Parâmetros!$E$4),Parâmetros!$E$4,0))/(1-$H59-Parâmetros!$B$4-Parâmetros!$C$4-Parâmetros!$D$4)))</f>
        <v>565.462962962963</v>
      </c>
      <c r="J59" s="38"/>
      <c r="K59" s="39" t="n">
        <f aca="false">IF(OR($A59="",NOT(ISNUMBER($D59)),NOT(ISNUMBER($H59))),"",IF(AND(ISNUMBER($J59),$J59&gt;0),$J59,IF(ISNUMBER($I59),$I59,"")))</f>
        <v>565.462962962963</v>
      </c>
      <c r="L59" s="40" t="n">
        <f aca="false">IF(ISNUMBER($K59),$K59*$H59,"")</f>
        <v>73.5101851851852</v>
      </c>
      <c r="M59" s="40" t="n">
        <f aca="false">IF(ISNUMBER($K59),$K59*Parâmetros!$B$4,"")</f>
        <v>56.5462962962963</v>
      </c>
      <c r="N59" s="40" t="n">
        <f aca="false">IF(ISNUMBER($K59),$K59*Parâmetros!$C$4,"")</f>
        <v>16.9638888888889</v>
      </c>
      <c r="O59" s="40" t="n">
        <f aca="false">IF(ISNUMBER($K59),IF(ISNUMBER(Parâmetros!$E$4),Parâmetros!$E$4,0),"")</f>
        <v>0</v>
      </c>
      <c r="P59" s="41" t="n">
        <f aca="false">IF(ISNUMBER($K59),$K59-$D59-IF(ISNUMBER($E59),$E59,0)-$L59-$M59-$N59-$O59,"")</f>
        <v>113.092592592593</v>
      </c>
      <c r="Q59" s="42" t="n">
        <f aca="false">IF(AND(ISNUMBER($K59),$K59&gt;0),$P59/$K59,"")</f>
        <v>0.2</v>
      </c>
      <c r="R59" s="43"/>
      <c r="S59" s="44" t="str">
        <f aca="false">IF(OR(NOT(ISNUMBER($R59)),$R59=0,NOT(ISNUMBER($K59))),"",$K59*(1-$R59))</f>
        <v/>
      </c>
      <c r="T59" s="45" t="str">
        <f aca="false">IF(ISNUMBER($S59),$S59*$H59,"")</f>
        <v/>
      </c>
      <c r="U59" s="45" t="str">
        <f aca="false">IF(ISNUMBER($S59),$S59*Parâmetros!$B$4,"")</f>
        <v/>
      </c>
      <c r="V59" s="45" t="str">
        <f aca="false">IF(ISNUMBER($S59),$S59*Parâmetros!$C$4,"")</f>
        <v/>
      </c>
      <c r="W59" s="44" t="str">
        <f aca="false">IF(ISNUMBER($S59),$S59-$D59-IF(ISNUMBER($E59),$E59,0)-$O59-$T59-$U59-$V59,"")</f>
        <v/>
      </c>
      <c r="X59" s="46" t="str">
        <f aca="false">IF(AND(ISNUMBER($S59),$S59&gt;0),$W59/$S59,"")</f>
        <v/>
      </c>
      <c r="Y59" s="49"/>
      <c r="Z59" s="21"/>
    </row>
    <row r="60" customFormat="false" ht="15.75" hidden="false" customHeight="true" outlineLevel="0" collapsed="false">
      <c r="A60" s="32" t="str">
        <f aca="false">IF(Produtos!$A60="","",Produtos!$A60)</f>
        <v>L4060-AML</v>
      </c>
      <c r="B60" s="32" t="str">
        <f aca="false">IF(Produtos!$A60="","",Produtos!$B60)</f>
        <v>Lixeira c/Aro Meia Lua 40x60 75L</v>
      </c>
      <c r="C60" s="32" t="str">
        <f aca="false">IF(Produtos!$A60="","",Produtos!$C60)</f>
        <v>Lixeiras em inox</v>
      </c>
      <c r="D60" s="33" t="n">
        <f aca="false">IF(Produtos!$A60="","",IF(Produtos!$D60="","",Produtos!$D60))</f>
        <v>342.54</v>
      </c>
      <c r="E60" s="11"/>
      <c r="F60" s="34" t="n">
        <f aca="false">IF($A60="","",IF($C60="","⚠ categoria",IFERROR(INDEX(Parâmetros!$B$13:$B$22,MATCH($C60,Parâmetros!$A$13:$A$22,0)),"⚠ categoria")))</f>
        <v>0.13</v>
      </c>
      <c r="G60" s="35"/>
      <c r="H60" s="36" t="n">
        <f aca="false">IF($A60="","",IF(ISNUMBER($G60),$G60,IF(ISNUMBER($F60),$F60,"")))</f>
        <v>0.13</v>
      </c>
      <c r="I60" s="37" t="n">
        <f aca="false">IF(OR($A60="",NOT(ISNUMBER($D60)),NOT(ISNUMBER($H60))),"",IF((1-$H60-Parâmetros!$B$4-Parâmetros!$C$4-Parâmetros!$D$4)&lt;=0,"INVALIDO",($D60+IF(ISNUMBER($E60),$E60,0)+IF(ISNUMBER(Parâmetros!$E$4),Parâmetros!$E$4,0))/(1-$H60-Parâmetros!$B$4-Parâmetros!$C$4-Parâmetros!$D$4)))</f>
        <v>634.333333333333</v>
      </c>
      <c r="J60" s="38"/>
      <c r="K60" s="39" t="n">
        <f aca="false">IF(OR($A60="",NOT(ISNUMBER($D60)),NOT(ISNUMBER($H60))),"",IF(AND(ISNUMBER($J60),$J60&gt;0),$J60,IF(ISNUMBER($I60),$I60,"")))</f>
        <v>634.333333333333</v>
      </c>
      <c r="L60" s="40" t="n">
        <f aca="false">IF(ISNUMBER($K60),$K60*$H60,"")</f>
        <v>82.4633333333333</v>
      </c>
      <c r="M60" s="40" t="n">
        <f aca="false">IF(ISNUMBER($K60),$K60*Parâmetros!$B$4,"")</f>
        <v>63.4333333333333</v>
      </c>
      <c r="N60" s="40" t="n">
        <f aca="false">IF(ISNUMBER($K60),$K60*Parâmetros!$C$4,"")</f>
        <v>19.03</v>
      </c>
      <c r="O60" s="40" t="n">
        <f aca="false">IF(ISNUMBER($K60),IF(ISNUMBER(Parâmetros!$E$4),Parâmetros!$E$4,0),"")</f>
        <v>0</v>
      </c>
      <c r="P60" s="41" t="n">
        <f aca="false">IF(ISNUMBER($K60),$K60-$D60-IF(ISNUMBER($E60),$E60,0)-$L60-$M60-$N60-$O60,"")</f>
        <v>126.866666666667</v>
      </c>
      <c r="Q60" s="42" t="n">
        <f aca="false">IF(AND(ISNUMBER($K60),$K60&gt;0),$P60/$K60,"")</f>
        <v>0.2</v>
      </c>
      <c r="R60" s="43"/>
      <c r="S60" s="44" t="str">
        <f aca="false">IF(OR(NOT(ISNUMBER($R60)),$R60=0,NOT(ISNUMBER($K60))),"",$K60*(1-$R60))</f>
        <v/>
      </c>
      <c r="T60" s="45" t="str">
        <f aca="false">IF(ISNUMBER($S60),$S60*$H60,"")</f>
        <v/>
      </c>
      <c r="U60" s="45" t="str">
        <f aca="false">IF(ISNUMBER($S60),$S60*Parâmetros!$B$4,"")</f>
        <v/>
      </c>
      <c r="V60" s="45" t="str">
        <f aca="false">IF(ISNUMBER($S60),$S60*Parâmetros!$C$4,"")</f>
        <v/>
      </c>
      <c r="W60" s="44" t="str">
        <f aca="false">IF(ISNUMBER($S60),$S60-$D60-IF(ISNUMBER($E60),$E60,0)-$O60-$T60-$U60-$V60,"")</f>
        <v/>
      </c>
      <c r="X60" s="46" t="str">
        <f aca="false">IF(AND(ISNUMBER($S60),$S60&gt;0),$W60/$S60,"")</f>
        <v/>
      </c>
      <c r="Y60" s="47"/>
      <c r="Z60" s="19"/>
    </row>
    <row r="61" customFormat="false" ht="15.75" hidden="false" customHeight="true" outlineLevel="0" collapsed="false">
      <c r="A61" s="48" t="str">
        <f aca="false">IF(Produtos!$A61="","",Produtos!$A61)</f>
        <v>L4070-AML</v>
      </c>
      <c r="B61" s="48" t="str">
        <f aca="false">IF(Produtos!$A61="","",Produtos!$B61)</f>
        <v>Lixeira c/Aro Meia Lua 40x70 88L</v>
      </c>
      <c r="C61" s="48" t="str">
        <f aca="false">IF(Produtos!$A61="","",Produtos!$C61)</f>
        <v>Lixeiras em inox</v>
      </c>
      <c r="D61" s="33" t="n">
        <f aca="false">IF(Produtos!$A61="","",IF(Produtos!$D61="","",Produtos!$D61))</f>
        <v>348.66</v>
      </c>
      <c r="E61" s="11"/>
      <c r="F61" s="34" t="n">
        <f aca="false">IF($A61="","",IF($C61="","⚠ categoria",IFERROR(INDEX(Parâmetros!$B$13:$B$22,MATCH($C61,Parâmetros!$A$13:$A$22,0)),"⚠ categoria")))</f>
        <v>0.13</v>
      </c>
      <c r="G61" s="35"/>
      <c r="H61" s="36" t="n">
        <f aca="false">IF($A61="","",IF(ISNUMBER($G61),$G61,IF(ISNUMBER($F61),$F61,"")))</f>
        <v>0.13</v>
      </c>
      <c r="I61" s="37" t="n">
        <f aca="false">IF(OR($A61="",NOT(ISNUMBER($D61)),NOT(ISNUMBER($H61))),"",IF((1-$H61-Parâmetros!$B$4-Parâmetros!$C$4-Parâmetros!$D$4)&lt;=0,"INVALIDO",($D61+IF(ISNUMBER($E61),$E61,0)+IF(ISNUMBER(Parâmetros!$E$4),Parâmetros!$E$4,0))/(1-$H61-Parâmetros!$B$4-Parâmetros!$C$4-Parâmetros!$D$4)))</f>
        <v>645.666666666667</v>
      </c>
      <c r="J61" s="38"/>
      <c r="K61" s="39" t="n">
        <f aca="false">IF(OR($A61="",NOT(ISNUMBER($D61)),NOT(ISNUMBER($H61))),"",IF(AND(ISNUMBER($J61),$J61&gt;0),$J61,IF(ISNUMBER($I61),$I61,"")))</f>
        <v>645.666666666667</v>
      </c>
      <c r="L61" s="40" t="n">
        <f aca="false">IF(ISNUMBER($K61),$K61*$H61,"")</f>
        <v>83.9366666666667</v>
      </c>
      <c r="M61" s="40" t="n">
        <f aca="false">IF(ISNUMBER($K61),$K61*Parâmetros!$B$4,"")</f>
        <v>64.5666666666667</v>
      </c>
      <c r="N61" s="40" t="n">
        <f aca="false">IF(ISNUMBER($K61),$K61*Parâmetros!$C$4,"")</f>
        <v>19.37</v>
      </c>
      <c r="O61" s="40" t="n">
        <f aca="false">IF(ISNUMBER($K61),IF(ISNUMBER(Parâmetros!$E$4),Parâmetros!$E$4,0),"")</f>
        <v>0</v>
      </c>
      <c r="P61" s="41" t="n">
        <f aca="false">IF(ISNUMBER($K61),$K61-$D61-IF(ISNUMBER($E61),$E61,0)-$L61-$M61-$N61-$O61,"")</f>
        <v>129.133333333333</v>
      </c>
      <c r="Q61" s="42" t="n">
        <f aca="false">IF(AND(ISNUMBER($K61),$K61&gt;0),$P61/$K61,"")</f>
        <v>0.2</v>
      </c>
      <c r="R61" s="43"/>
      <c r="S61" s="44" t="str">
        <f aca="false">IF(OR(NOT(ISNUMBER($R61)),$R61=0,NOT(ISNUMBER($K61))),"",$K61*(1-$R61))</f>
        <v/>
      </c>
      <c r="T61" s="45" t="str">
        <f aca="false">IF(ISNUMBER($S61),$S61*$H61,"")</f>
        <v/>
      </c>
      <c r="U61" s="45" t="str">
        <f aca="false">IF(ISNUMBER($S61),$S61*Parâmetros!$B$4,"")</f>
        <v/>
      </c>
      <c r="V61" s="45" t="str">
        <f aca="false">IF(ISNUMBER($S61),$S61*Parâmetros!$C$4,"")</f>
        <v/>
      </c>
      <c r="W61" s="44" t="str">
        <f aca="false">IF(ISNUMBER($S61),$S61-$D61-IF(ISNUMBER($E61),$E61,0)-$O61-$T61-$U61-$V61,"")</f>
        <v/>
      </c>
      <c r="X61" s="46" t="str">
        <f aca="false">IF(AND(ISNUMBER($S61),$S61&gt;0),$W61/$S61,"")</f>
        <v/>
      </c>
      <c r="Y61" s="49"/>
      <c r="Z61" s="21"/>
    </row>
    <row r="62" customFormat="false" ht="15.75" hidden="false" customHeight="true" outlineLevel="0" collapsed="false">
      <c r="A62" s="32" t="str">
        <f aca="false">IF(Produtos!$A62="","",Produtos!$A62)</f>
        <v>L4075-AML</v>
      </c>
      <c r="B62" s="32" t="str">
        <f aca="false">IF(Produtos!$A62="","",Produtos!$B62)</f>
        <v>Lixeira c/Aro Meia Lua 40x75 95L</v>
      </c>
      <c r="C62" s="32" t="str">
        <f aca="false">IF(Produtos!$A62="","",Produtos!$C62)</f>
        <v>Lixeiras em inox</v>
      </c>
      <c r="D62" s="33" t="n">
        <f aca="false">IF(Produtos!$A62="","",IF(Produtos!$D62="","",Produtos!$D62))</f>
        <v>408.87</v>
      </c>
      <c r="E62" s="11"/>
      <c r="F62" s="34" t="n">
        <f aca="false">IF($A62="","",IF($C62="","⚠ categoria",IFERROR(INDEX(Parâmetros!$B$13:$B$22,MATCH($C62,Parâmetros!$A$13:$A$22,0)),"⚠ categoria")))</f>
        <v>0.13</v>
      </c>
      <c r="G62" s="35"/>
      <c r="H62" s="36" t="n">
        <f aca="false">IF($A62="","",IF(ISNUMBER($G62),$G62,IF(ISNUMBER($F62),$F62,"")))</f>
        <v>0.13</v>
      </c>
      <c r="I62" s="37" t="n">
        <f aca="false">IF(OR($A62="",NOT(ISNUMBER($D62)),NOT(ISNUMBER($H62))),"",IF((1-$H62-Parâmetros!$B$4-Parâmetros!$C$4-Parâmetros!$D$4)&lt;=0,"INVALIDO",($D62+IF(ISNUMBER($E62),$E62,0)+IF(ISNUMBER(Parâmetros!$E$4),Parâmetros!$E$4,0))/(1-$H62-Parâmetros!$B$4-Parâmetros!$C$4-Parâmetros!$D$4)))</f>
        <v>757.166666666667</v>
      </c>
      <c r="J62" s="38"/>
      <c r="K62" s="39" t="n">
        <f aca="false">IF(OR($A62="",NOT(ISNUMBER($D62)),NOT(ISNUMBER($H62))),"",IF(AND(ISNUMBER($J62),$J62&gt;0),$J62,IF(ISNUMBER($I62),$I62,"")))</f>
        <v>757.166666666667</v>
      </c>
      <c r="L62" s="40" t="n">
        <f aca="false">IF(ISNUMBER($K62),$K62*$H62,"")</f>
        <v>98.4316666666667</v>
      </c>
      <c r="M62" s="40" t="n">
        <f aca="false">IF(ISNUMBER($K62),$K62*Parâmetros!$B$4,"")</f>
        <v>75.7166666666667</v>
      </c>
      <c r="N62" s="40" t="n">
        <f aca="false">IF(ISNUMBER($K62),$K62*Parâmetros!$C$4,"")</f>
        <v>22.715</v>
      </c>
      <c r="O62" s="40" t="n">
        <f aca="false">IF(ISNUMBER($K62),IF(ISNUMBER(Parâmetros!$E$4),Parâmetros!$E$4,0),"")</f>
        <v>0</v>
      </c>
      <c r="P62" s="41" t="n">
        <f aca="false">IF(ISNUMBER($K62),$K62-$D62-IF(ISNUMBER($E62),$E62,0)-$L62-$M62-$N62-$O62,"")</f>
        <v>151.433333333333</v>
      </c>
      <c r="Q62" s="42" t="n">
        <f aca="false">IF(AND(ISNUMBER($K62),$K62&gt;0),$P62/$K62,"")</f>
        <v>0.2</v>
      </c>
      <c r="R62" s="43"/>
      <c r="S62" s="44" t="str">
        <f aca="false">IF(OR(NOT(ISNUMBER($R62)),$R62=0,NOT(ISNUMBER($K62))),"",$K62*(1-$R62))</f>
        <v/>
      </c>
      <c r="T62" s="45" t="str">
        <f aca="false">IF(ISNUMBER($S62),$S62*$H62,"")</f>
        <v/>
      </c>
      <c r="U62" s="45" t="str">
        <f aca="false">IF(ISNUMBER($S62),$S62*Parâmetros!$B$4,"")</f>
        <v/>
      </c>
      <c r="V62" s="45" t="str">
        <f aca="false">IF(ISNUMBER($S62),$S62*Parâmetros!$C$4,"")</f>
        <v/>
      </c>
      <c r="W62" s="44" t="str">
        <f aca="false">IF(ISNUMBER($S62),$S62-$D62-IF(ISNUMBER($E62),$E62,0)-$O62-$T62-$U62-$V62,"")</f>
        <v/>
      </c>
      <c r="X62" s="46" t="str">
        <f aca="false">IF(AND(ISNUMBER($S62),$S62&gt;0),$W62/$S62,"")</f>
        <v/>
      </c>
      <c r="Y62" s="47"/>
      <c r="Z62" s="19"/>
    </row>
    <row r="63" customFormat="false" ht="15.75" hidden="false" customHeight="true" outlineLevel="0" collapsed="false">
      <c r="A63" s="48" t="str">
        <f aca="false">IF(Produtos!$A63="","",Produtos!$A63)</f>
        <v>L4080-AML</v>
      </c>
      <c r="B63" s="48" t="str">
        <f aca="false">IF(Produtos!$A63="","",Produtos!$B63)</f>
        <v>Lixeira c/Aro Meia Lua 40x80 100L</v>
      </c>
      <c r="C63" s="48" t="str">
        <f aca="false">IF(Produtos!$A63="","",Produtos!$C63)</f>
        <v>Lixeiras em inox</v>
      </c>
      <c r="D63" s="33" t="n">
        <f aca="false">IF(Produtos!$A63="","",IF(Produtos!$D63="","",Produtos!$D63))</f>
        <v>411.4</v>
      </c>
      <c r="E63" s="11" t="n">
        <v>106.85</v>
      </c>
      <c r="F63" s="34" t="n">
        <f aca="false">IF($A63="","",IF($C63="","⚠ categoria",IFERROR(INDEX(Parâmetros!$B$13:$B$22,MATCH($C63,Parâmetros!$A$13:$A$22,0)),"⚠ categoria")))</f>
        <v>0.13</v>
      </c>
      <c r="G63" s="35"/>
      <c r="H63" s="36" t="n">
        <f aca="false">IF($A63="","",IF(ISNUMBER($G63),$G63,IF(ISNUMBER($F63),$F63,"")))</f>
        <v>0.13</v>
      </c>
      <c r="I63" s="37" t="n">
        <f aca="false">IF(OR($A63="",NOT(ISNUMBER($D63)),NOT(ISNUMBER($H63))),"",IF((1-$H63-Parâmetros!$B$4-Parâmetros!$C$4-Parâmetros!$D$4)&lt;=0,"INVALIDO",($D63+IF(ISNUMBER($E63),$E63,0)+IF(ISNUMBER(Parâmetros!$E$4),Parâmetros!$E$4,0))/(1-$H63-Parâmetros!$B$4-Parâmetros!$C$4-Parâmetros!$D$4)))</f>
        <v>959.722222222222</v>
      </c>
      <c r="J63" s="38" t="n">
        <v>953.07</v>
      </c>
      <c r="K63" s="39" t="n">
        <f aca="false">IF(OR($A63="",NOT(ISNUMBER($D63)),NOT(ISNUMBER($H63))),"",IF(AND(ISNUMBER($J63),$J63&gt;0),$J63,IF(ISNUMBER($I63),$I63,"")))</f>
        <v>953.07</v>
      </c>
      <c r="L63" s="40" t="n">
        <f aca="false">IF(ISNUMBER($K63),$K63*$H63,"")</f>
        <v>123.8991</v>
      </c>
      <c r="M63" s="40" t="n">
        <f aca="false">IF(ISNUMBER($K63),$K63*Parâmetros!$B$4,"")</f>
        <v>95.307</v>
      </c>
      <c r="N63" s="40" t="n">
        <f aca="false">IF(ISNUMBER($K63),$K63*Parâmetros!$C$4,"")</f>
        <v>28.5921</v>
      </c>
      <c r="O63" s="40" t="n">
        <f aca="false">IF(ISNUMBER($K63),IF(ISNUMBER(Parâmetros!$E$4),Parâmetros!$E$4,0),"")</f>
        <v>0</v>
      </c>
      <c r="P63" s="41" t="n">
        <f aca="false">IF(ISNUMBER($K63),$K63-$D63-IF(ISNUMBER($E63),$E63,0)-$L63-$M63-$N63-$O63,"")</f>
        <v>187.0218</v>
      </c>
      <c r="Q63" s="42" t="n">
        <f aca="false">IF(AND(ISNUMBER($K63),$K63&gt;0),$P63/$K63,"")</f>
        <v>0.1962309169316</v>
      </c>
      <c r="R63" s="43"/>
      <c r="S63" s="44" t="str">
        <f aca="false">IF(OR(NOT(ISNUMBER($R63)),$R63=0,NOT(ISNUMBER($K63))),"",$K63*(1-$R63))</f>
        <v/>
      </c>
      <c r="T63" s="45" t="str">
        <f aca="false">IF(ISNUMBER($S63),$S63*$H63,"")</f>
        <v/>
      </c>
      <c r="U63" s="45" t="str">
        <f aca="false">IF(ISNUMBER($S63),$S63*Parâmetros!$B$4,"")</f>
        <v/>
      </c>
      <c r="V63" s="45" t="str">
        <f aca="false">IF(ISNUMBER($S63),$S63*Parâmetros!$C$4,"")</f>
        <v/>
      </c>
      <c r="W63" s="44" t="str">
        <f aca="false">IF(ISNUMBER($S63),$S63-$D63-IF(ISNUMBER($E63),$E63,0)-$O63-$T63-$U63-$V63,"")</f>
        <v/>
      </c>
      <c r="X63" s="46" t="str">
        <f aca="false">IF(AND(ISNUMBER($S63),$S63&gt;0),$W63/$S63,"")</f>
        <v/>
      </c>
      <c r="Y63" s="49" t="s">
        <v>737</v>
      </c>
      <c r="Z63" s="21"/>
    </row>
    <row r="64" customFormat="false" ht="15.75" hidden="false" customHeight="true" outlineLevel="0" collapsed="false">
      <c r="A64" s="32" t="str">
        <f aca="false">IF(Produtos!$A64="","",Produtos!$A64)</f>
        <v>L4090-AML</v>
      </c>
      <c r="B64" s="32" t="str">
        <f aca="false">IF(Produtos!$A64="","",Produtos!$B64)</f>
        <v>Lixeira c/Aro Meia Lua 40x90 120L</v>
      </c>
      <c r="C64" s="32" t="str">
        <f aca="false">IF(Produtos!$A64="","",Produtos!$C64)</f>
        <v>Lixeiras em inox</v>
      </c>
      <c r="D64" s="33" t="n">
        <f aca="false">IF(Produtos!$A64="","",IF(Produtos!$D64="","",Produtos!$D64))</f>
        <v>442.44</v>
      </c>
      <c r="E64" s="11"/>
      <c r="F64" s="34" t="n">
        <f aca="false">IF($A64="","",IF($C64="","⚠ categoria",IFERROR(INDEX(Parâmetros!$B$13:$B$22,MATCH($C64,Parâmetros!$A$13:$A$22,0)),"⚠ categoria")))</f>
        <v>0.13</v>
      </c>
      <c r="G64" s="35"/>
      <c r="H64" s="36" t="n">
        <f aca="false">IF($A64="","",IF(ISNUMBER($G64),$G64,IF(ISNUMBER($F64),$F64,"")))</f>
        <v>0.13</v>
      </c>
      <c r="I64" s="37" t="n">
        <f aca="false">IF(OR($A64="",NOT(ISNUMBER($D64)),NOT(ISNUMBER($H64))),"",IF((1-$H64-Parâmetros!$B$4-Parâmetros!$C$4-Parâmetros!$D$4)&lt;=0,"INVALIDO",($D64+IF(ISNUMBER($E64),$E64,0)+IF(ISNUMBER(Parâmetros!$E$4),Parâmetros!$E$4,0))/(1-$H64-Parâmetros!$B$4-Parâmetros!$C$4-Parâmetros!$D$4)))</f>
        <v>819.333333333333</v>
      </c>
      <c r="J64" s="38"/>
      <c r="K64" s="39" t="n">
        <f aca="false">IF(OR($A64="",NOT(ISNUMBER($D64)),NOT(ISNUMBER($H64))),"",IF(AND(ISNUMBER($J64),$J64&gt;0),$J64,IF(ISNUMBER($I64),$I64,"")))</f>
        <v>819.333333333333</v>
      </c>
      <c r="L64" s="40" t="n">
        <f aca="false">IF(ISNUMBER($K64),$K64*$H64,"")</f>
        <v>106.513333333333</v>
      </c>
      <c r="M64" s="40" t="n">
        <f aca="false">IF(ISNUMBER($K64),$K64*Parâmetros!$B$4,"")</f>
        <v>81.9333333333333</v>
      </c>
      <c r="N64" s="40" t="n">
        <f aca="false">IF(ISNUMBER($K64),$K64*Parâmetros!$C$4,"")</f>
        <v>24.58</v>
      </c>
      <c r="O64" s="40" t="n">
        <f aca="false">IF(ISNUMBER($K64),IF(ISNUMBER(Parâmetros!$E$4),Parâmetros!$E$4,0),"")</f>
        <v>0</v>
      </c>
      <c r="P64" s="41" t="n">
        <f aca="false">IF(ISNUMBER($K64),$K64-$D64-IF(ISNUMBER($E64),$E64,0)-$L64-$M64-$N64-$O64,"")</f>
        <v>163.866666666667</v>
      </c>
      <c r="Q64" s="42" t="n">
        <f aca="false">IF(AND(ISNUMBER($K64),$K64&gt;0),$P64/$K64,"")</f>
        <v>0.2</v>
      </c>
      <c r="R64" s="43"/>
      <c r="S64" s="44" t="str">
        <f aca="false">IF(OR(NOT(ISNUMBER($R64)),$R64=0,NOT(ISNUMBER($K64))),"",$K64*(1-$R64))</f>
        <v/>
      </c>
      <c r="T64" s="45" t="str">
        <f aca="false">IF(ISNUMBER($S64),$S64*$H64,"")</f>
        <v/>
      </c>
      <c r="U64" s="45" t="str">
        <f aca="false">IF(ISNUMBER($S64),$S64*Parâmetros!$B$4,"")</f>
        <v/>
      </c>
      <c r="V64" s="45" t="str">
        <f aca="false">IF(ISNUMBER($S64),$S64*Parâmetros!$C$4,"")</f>
        <v/>
      </c>
      <c r="W64" s="44" t="str">
        <f aca="false">IF(ISNUMBER($S64),$S64-$D64-IF(ISNUMBER($E64),$E64,0)-$O64-$T64-$U64-$V64,"")</f>
        <v/>
      </c>
      <c r="X64" s="46" t="str">
        <f aca="false">IF(AND(ISNUMBER($S64),$S64&gt;0),$W64/$S64,"")</f>
        <v/>
      </c>
      <c r="Y64" s="47"/>
      <c r="Z64" s="19"/>
    </row>
    <row r="65" customFormat="false" ht="15.75" hidden="false" customHeight="true" outlineLevel="0" collapsed="false">
      <c r="A65" s="48" t="str">
        <f aca="false">IF(Produtos!$A65="","",Produtos!$A65)</f>
        <v>L1618-B</v>
      </c>
      <c r="B65" s="48" t="str">
        <f aca="false">IF(Produtos!$A65="","",Produtos!$B65)</f>
        <v>Lixeira c/Aro Basculante 16x18 03L</v>
      </c>
      <c r="C65" s="48" t="str">
        <f aca="false">IF(Produtos!$A65="","",Produtos!$C65)</f>
        <v>Lixeiras em inox</v>
      </c>
      <c r="D65" s="33" t="n">
        <f aca="false">IF(Produtos!$A65="","",IF(Produtos!$D65="","",Produtos!$D65))</f>
        <v>60.62</v>
      </c>
      <c r="E65" s="11" t="n">
        <v>21.75</v>
      </c>
      <c r="F65" s="34" t="n">
        <f aca="false">IF($A65="","",IF($C65="","⚠ categoria",IFERROR(INDEX(Parâmetros!$B$13:$B$22,MATCH($C65,Parâmetros!$A$13:$A$22,0)),"⚠ categoria")))</f>
        <v>0.13</v>
      </c>
      <c r="G65" s="35" t="n">
        <v>0.12</v>
      </c>
      <c r="H65" s="36" t="n">
        <f aca="false">IF($A65="","",IF(ISNUMBER($G65),$G65,IF(ISNUMBER($F65),$F65,"")))</f>
        <v>0.12</v>
      </c>
      <c r="I65" s="37" t="n">
        <f aca="false">IF(OR($A65="",NOT(ISNUMBER($D65)),NOT(ISNUMBER($H65))),"",IF((1-$H65-Parâmetros!$B$4-Parâmetros!$C$4-Parâmetros!$D$4)&lt;=0,"INVALIDO",($D65+IF(ISNUMBER($E65),$E65,0)+IF(ISNUMBER(Parâmetros!$E$4),Parâmetros!$E$4,0))/(1-$H65-Parâmetros!$B$4-Parâmetros!$C$4-Parâmetros!$D$4)))</f>
        <v>149.763636363636</v>
      </c>
      <c r="J65" s="38" t="n">
        <v>152.775</v>
      </c>
      <c r="K65" s="39" t="n">
        <f aca="false">IF(OR($A65="",NOT(ISNUMBER($D65)),NOT(ISNUMBER($H65))),"",IF(AND(ISNUMBER($J65),$J65&gt;0),$J65,IF(ISNUMBER($I65),$I65,"")))</f>
        <v>152.775</v>
      </c>
      <c r="L65" s="40" t="n">
        <f aca="false">IF(ISNUMBER($K65),$K65*$H65,"")</f>
        <v>18.333</v>
      </c>
      <c r="M65" s="40" t="n">
        <f aca="false">IF(ISNUMBER($K65),$K65*Parâmetros!$B$4,"")</f>
        <v>15.2775</v>
      </c>
      <c r="N65" s="40" t="n">
        <f aca="false">IF(ISNUMBER($K65),$K65*Parâmetros!$C$4,"")</f>
        <v>4.58325</v>
      </c>
      <c r="O65" s="40" t="n">
        <f aca="false">IF(ISNUMBER($K65),IF(ISNUMBER(Parâmetros!$E$4),Parâmetros!$E$4,0),"")</f>
        <v>0</v>
      </c>
      <c r="P65" s="41" t="n">
        <f aca="false">IF(ISNUMBER($K65),$K65-$D65-IF(ISNUMBER($E65),$E65,0)-$L65-$M65-$N65-$O65,"")</f>
        <v>32.21125</v>
      </c>
      <c r="Q65" s="42" t="n">
        <f aca="false">IF(AND(ISNUMBER($K65),$K65&gt;0),$P65/$K65,"")</f>
        <v>0.210841106201931</v>
      </c>
      <c r="R65" s="43"/>
      <c r="S65" s="44" t="str">
        <f aca="false">IF(OR(NOT(ISNUMBER($R65)),$R65=0,NOT(ISNUMBER($K65))),"",$K65*(1-$R65))</f>
        <v/>
      </c>
      <c r="T65" s="45" t="str">
        <f aca="false">IF(ISNUMBER($S65),$S65*$H65,"")</f>
        <v/>
      </c>
      <c r="U65" s="45" t="str">
        <f aca="false">IF(ISNUMBER($S65),$S65*Parâmetros!$B$4,"")</f>
        <v/>
      </c>
      <c r="V65" s="45" t="str">
        <f aca="false">IF(ISNUMBER($S65),$S65*Parâmetros!$C$4,"")</f>
        <v/>
      </c>
      <c r="W65" s="44" t="str">
        <f aca="false">IF(ISNUMBER($S65),$S65-$D65-IF(ISNUMBER($E65),$E65,0)-$O65-$T65-$U65-$V65,"")</f>
        <v/>
      </c>
      <c r="X65" s="46" t="str">
        <f aca="false">IF(AND(ISNUMBER($S65),$S65&gt;0),$W65/$S65,"")</f>
        <v/>
      </c>
      <c r="Y65" s="49" t="s">
        <v>737</v>
      </c>
      <c r="Z65" s="21"/>
    </row>
    <row r="66" customFormat="false" ht="15.75" hidden="false" customHeight="true" outlineLevel="0" collapsed="false">
      <c r="A66" s="32" t="str">
        <f aca="false">IF(Produtos!$A66="","",Produtos!$A66)</f>
        <v>L1623-B</v>
      </c>
      <c r="B66" s="32" t="str">
        <f aca="false">IF(Produtos!$A66="","",Produtos!$B66)</f>
        <v>Lixeira c/Aro Basculante 16x23 05L</v>
      </c>
      <c r="C66" s="32" t="str">
        <f aca="false">IF(Produtos!$A66="","",Produtos!$C66)</f>
        <v>Lixeiras em inox</v>
      </c>
      <c r="D66" s="33" t="n">
        <f aca="false">IF(Produtos!$A66="","",IF(Produtos!$D66="","",Produtos!$D66))</f>
        <v>65.95</v>
      </c>
      <c r="E66" s="11" t="n">
        <v>21.75</v>
      </c>
      <c r="F66" s="34" t="n">
        <f aca="false">IF($A66="","",IF($C66="","⚠ categoria",IFERROR(INDEX(Parâmetros!$B$13:$B$22,MATCH($C66,Parâmetros!$A$13:$A$22,0)),"⚠ categoria")))</f>
        <v>0.13</v>
      </c>
      <c r="G66" s="35" t="n">
        <v>0.12</v>
      </c>
      <c r="H66" s="36" t="n">
        <f aca="false">IF($A66="","",IF(ISNUMBER($G66),$G66,IF(ISNUMBER($F66),$F66,"")))</f>
        <v>0.12</v>
      </c>
      <c r="I66" s="37" t="n">
        <f aca="false">IF(OR($A66="",NOT(ISNUMBER($D66)),NOT(ISNUMBER($H66))),"",IF((1-$H66-Parâmetros!$B$4-Parâmetros!$C$4-Parâmetros!$D$4)&lt;=0,"INVALIDO",($D66+IF(ISNUMBER($E66),$E66,0)+IF(ISNUMBER(Parâmetros!$E$4),Parâmetros!$E$4,0))/(1-$H66-Parâmetros!$B$4-Parâmetros!$C$4-Parâmetros!$D$4)))</f>
        <v>159.454545454545</v>
      </c>
      <c r="J66" s="38" t="n">
        <v>163.17</v>
      </c>
      <c r="K66" s="39" t="n">
        <f aca="false">IF(OR($A66="",NOT(ISNUMBER($D66)),NOT(ISNUMBER($H66))),"",IF(AND(ISNUMBER($J66),$J66&gt;0),$J66,IF(ISNUMBER($I66),$I66,"")))</f>
        <v>163.17</v>
      </c>
      <c r="L66" s="40" t="n">
        <f aca="false">IF(ISNUMBER($K66),$K66*$H66,"")</f>
        <v>19.5804</v>
      </c>
      <c r="M66" s="40" t="n">
        <f aca="false">IF(ISNUMBER($K66),$K66*Parâmetros!$B$4,"")</f>
        <v>16.317</v>
      </c>
      <c r="N66" s="40" t="n">
        <f aca="false">IF(ISNUMBER($K66),$K66*Parâmetros!$C$4,"")</f>
        <v>4.8951</v>
      </c>
      <c r="O66" s="40" t="n">
        <f aca="false">IF(ISNUMBER($K66),IF(ISNUMBER(Parâmetros!$E$4),Parâmetros!$E$4,0),"")</f>
        <v>0</v>
      </c>
      <c r="P66" s="41" t="n">
        <f aca="false">IF(ISNUMBER($K66),$K66-$D66-IF(ISNUMBER($E66),$E66,0)-$L66-$M66-$N66-$O66,"")</f>
        <v>34.6775</v>
      </c>
      <c r="Q66" s="42" t="n">
        <f aca="false">IF(AND(ISNUMBER($K66),$K66&gt;0),$P66/$K66,"")</f>
        <v>0.212523748238034</v>
      </c>
      <c r="R66" s="43"/>
      <c r="S66" s="44" t="str">
        <f aca="false">IF(OR(NOT(ISNUMBER($R66)),$R66=0,NOT(ISNUMBER($K66))),"",$K66*(1-$R66))</f>
        <v/>
      </c>
      <c r="T66" s="45" t="str">
        <f aca="false">IF(ISNUMBER($S66),$S66*$H66,"")</f>
        <v/>
      </c>
      <c r="U66" s="45" t="str">
        <f aca="false">IF(ISNUMBER($S66),$S66*Parâmetros!$B$4,"")</f>
        <v/>
      </c>
      <c r="V66" s="45" t="str">
        <f aca="false">IF(ISNUMBER($S66),$S66*Parâmetros!$C$4,"")</f>
        <v/>
      </c>
      <c r="W66" s="44" t="str">
        <f aca="false">IF(ISNUMBER($S66),$S66-$D66-IF(ISNUMBER($E66),$E66,0)-$O66-$T66-$U66-$V66,"")</f>
        <v/>
      </c>
      <c r="X66" s="46" t="str">
        <f aca="false">IF(AND(ISNUMBER($S66),$S66&gt;0),$W66/$S66,"")</f>
        <v/>
      </c>
      <c r="Y66" s="47" t="s">
        <v>737</v>
      </c>
      <c r="Z66" s="19"/>
    </row>
    <row r="67" customFormat="false" ht="15.75" hidden="false" customHeight="true" outlineLevel="0" collapsed="false">
      <c r="A67" s="48" t="str">
        <f aca="false">IF(Produtos!$A67="","",Produtos!$A67)</f>
        <v>L2025-B</v>
      </c>
      <c r="B67" s="48" t="str">
        <f aca="false">IF(Produtos!$A67="","",Produtos!$B67)</f>
        <v>Lixeira c/Aro Basculante 20x25 07L</v>
      </c>
      <c r="C67" s="48" t="str">
        <f aca="false">IF(Produtos!$A67="","",Produtos!$C67)</f>
        <v>Lixeiras em inox</v>
      </c>
      <c r="D67" s="33" t="n">
        <f aca="false">IF(Produtos!$A67="","",IF(Produtos!$D67="","",Produtos!$D67))</f>
        <v>69.52</v>
      </c>
      <c r="E67" s="11" t="n">
        <v>24.35</v>
      </c>
      <c r="F67" s="34" t="n">
        <f aca="false">IF($A67="","",IF($C67="","⚠ categoria",IFERROR(INDEX(Parâmetros!$B$13:$B$22,MATCH($C67,Parâmetros!$A$13:$A$22,0)),"⚠ categoria")))</f>
        <v>0.13</v>
      </c>
      <c r="G67" s="35" t="n">
        <v>0.12</v>
      </c>
      <c r="H67" s="36" t="n">
        <f aca="false">IF($A67="","",IF(ISNUMBER($G67),$G67,IF(ISNUMBER($F67),$F67,"")))</f>
        <v>0.12</v>
      </c>
      <c r="I67" s="37" t="n">
        <f aca="false">IF(OR($A67="",NOT(ISNUMBER($D67)),NOT(ISNUMBER($H67))),"",IF((1-$H67-Parâmetros!$B$4-Parâmetros!$C$4-Parâmetros!$D$4)&lt;=0,"INVALIDO",($D67+IF(ISNUMBER($E67),$E67,0)+IF(ISNUMBER(Parâmetros!$E$4),Parâmetros!$E$4,0))/(1-$H67-Parâmetros!$B$4-Parâmetros!$C$4-Parâmetros!$D$4)))</f>
        <v>170.672727272727</v>
      </c>
      <c r="J67" s="38" t="n">
        <v>170.9349075</v>
      </c>
      <c r="K67" s="39" t="n">
        <f aca="false">IF(OR($A67="",NOT(ISNUMBER($D67)),NOT(ISNUMBER($H67))),"",IF(AND(ISNUMBER($J67),$J67&gt;0),$J67,IF(ISNUMBER($I67),$I67,"")))</f>
        <v>170.9349075</v>
      </c>
      <c r="L67" s="40" t="n">
        <f aca="false">IF(ISNUMBER($K67),$K67*$H67,"")</f>
        <v>20.5121889</v>
      </c>
      <c r="M67" s="40" t="n">
        <f aca="false">IF(ISNUMBER($K67),$K67*Parâmetros!$B$4,"")</f>
        <v>17.09349075</v>
      </c>
      <c r="N67" s="40" t="n">
        <f aca="false">IF(ISNUMBER($K67),$K67*Parâmetros!$C$4,"")</f>
        <v>5.128047225</v>
      </c>
      <c r="O67" s="40" t="n">
        <f aca="false">IF(ISNUMBER($K67),IF(ISNUMBER(Parâmetros!$E$4),Parâmetros!$E$4,0),"")</f>
        <v>0</v>
      </c>
      <c r="P67" s="41" t="n">
        <f aca="false">IF(ISNUMBER($K67),$K67-$D67-IF(ISNUMBER($E67),$E67,0)-$L67-$M67-$N67-$O67,"")</f>
        <v>34.331180625</v>
      </c>
      <c r="Q67" s="42" t="n">
        <f aca="false">IF(AND(ISNUMBER($K67),$K67&gt;0),$P67/$K67,"")</f>
        <v>0.200843590856362</v>
      </c>
      <c r="R67" s="43"/>
      <c r="S67" s="44" t="str">
        <f aca="false">IF(OR(NOT(ISNUMBER($R67)),$R67=0,NOT(ISNUMBER($K67))),"",$K67*(1-$R67))</f>
        <v/>
      </c>
      <c r="T67" s="45" t="str">
        <f aca="false">IF(ISNUMBER($S67),$S67*$H67,"")</f>
        <v/>
      </c>
      <c r="U67" s="45" t="str">
        <f aca="false">IF(ISNUMBER($S67),$S67*Parâmetros!$B$4,"")</f>
        <v/>
      </c>
      <c r="V67" s="45" t="str">
        <f aca="false">IF(ISNUMBER($S67),$S67*Parâmetros!$C$4,"")</f>
        <v/>
      </c>
      <c r="W67" s="44" t="str">
        <f aca="false">IF(ISNUMBER($S67),$S67-$D67-IF(ISNUMBER($E67),$E67,0)-$O67-$T67-$U67-$V67,"")</f>
        <v/>
      </c>
      <c r="X67" s="46" t="str">
        <f aca="false">IF(AND(ISNUMBER($S67),$S67&gt;0),$W67/$S67,"")</f>
        <v/>
      </c>
      <c r="Y67" s="49" t="s">
        <v>737</v>
      </c>
      <c r="Z67" s="21"/>
    </row>
    <row r="68" customFormat="false" ht="15.75" hidden="false" customHeight="true" outlineLevel="0" collapsed="false">
      <c r="A68" s="32" t="str">
        <f aca="false">IF(Produtos!$A68="","",Produtos!$A68)</f>
        <v>L2030-B</v>
      </c>
      <c r="B68" s="32" t="str">
        <f aca="false">IF(Produtos!$A68="","",Produtos!$B68)</f>
        <v>Lixeira c/Aro Basculante 20x30 10L</v>
      </c>
      <c r="C68" s="32" t="str">
        <f aca="false">IF(Produtos!$A68="","",Produtos!$C68)</f>
        <v>Lixeiras em inox</v>
      </c>
      <c r="D68" s="33" t="n">
        <f aca="false">IF(Produtos!$A68="","",IF(Produtos!$D68="","",Produtos!$D68))</f>
        <v>75.68</v>
      </c>
      <c r="E68" s="11" t="n">
        <v>24.35</v>
      </c>
      <c r="F68" s="34" t="n">
        <f aca="false">IF($A68="","",IF($C68="","⚠ categoria",IFERROR(INDEX(Parâmetros!$B$13:$B$22,MATCH($C68,Parâmetros!$A$13:$A$22,0)),"⚠ categoria")))</f>
        <v>0.13</v>
      </c>
      <c r="G68" s="35" t="n">
        <v>0.12</v>
      </c>
      <c r="H68" s="36" t="n">
        <f aca="false">IF($A68="","",IF(ISNUMBER($G68),$G68,IF(ISNUMBER($F68),$F68,"")))</f>
        <v>0.12</v>
      </c>
      <c r="I68" s="37" t="n">
        <f aca="false">IF(OR($A68="",NOT(ISNUMBER($D68)),NOT(ISNUMBER($H68))),"",IF((1-$H68-Parâmetros!$B$4-Parâmetros!$C$4-Parâmetros!$D$4)&lt;=0,"INVALIDO",($D68+IF(ISNUMBER($E68),$E68,0)+IF(ISNUMBER(Parâmetros!$E$4),Parâmetros!$E$4,0))/(1-$H68-Parâmetros!$B$4-Parâmetros!$C$4-Parâmetros!$D$4)))</f>
        <v>181.872727272727</v>
      </c>
      <c r="J68" s="38" t="n">
        <v>182.9</v>
      </c>
      <c r="K68" s="39" t="n">
        <f aca="false">IF(OR($A68="",NOT(ISNUMBER($D68)),NOT(ISNUMBER($H68))),"",IF(AND(ISNUMBER($J68),$J68&gt;0),$J68,IF(ISNUMBER($I68),$I68,"")))</f>
        <v>182.9</v>
      </c>
      <c r="L68" s="40" t="n">
        <f aca="false">IF(ISNUMBER($K68),$K68*$H68,"")</f>
        <v>21.948</v>
      </c>
      <c r="M68" s="40" t="n">
        <f aca="false">IF(ISNUMBER($K68),$K68*Parâmetros!$B$4,"")</f>
        <v>18.29</v>
      </c>
      <c r="N68" s="40" t="n">
        <f aca="false">IF(ISNUMBER($K68),$K68*Parâmetros!$C$4,"")</f>
        <v>5.487</v>
      </c>
      <c r="O68" s="40" t="n">
        <f aca="false">IF(ISNUMBER($K68),IF(ISNUMBER(Parâmetros!$E$4),Parâmetros!$E$4,0),"")</f>
        <v>0</v>
      </c>
      <c r="P68" s="41" t="n">
        <f aca="false">IF(ISNUMBER($K68),$K68-$D68-IF(ISNUMBER($E68),$E68,0)-$L68-$M68-$N68-$O68,"")</f>
        <v>37.145</v>
      </c>
      <c r="Q68" s="42" t="n">
        <f aca="false">IF(AND(ISNUMBER($K68),$K68&gt;0),$P68/$K68,"")</f>
        <v>0.203089119737562</v>
      </c>
      <c r="R68" s="43"/>
      <c r="S68" s="44" t="str">
        <f aca="false">IF(OR(NOT(ISNUMBER($R68)),$R68=0,NOT(ISNUMBER($K68))),"",$K68*(1-$R68))</f>
        <v/>
      </c>
      <c r="T68" s="45" t="str">
        <f aca="false">IF(ISNUMBER($S68),$S68*$H68,"")</f>
        <v/>
      </c>
      <c r="U68" s="45" t="str">
        <f aca="false">IF(ISNUMBER($S68),$S68*Parâmetros!$B$4,"")</f>
        <v/>
      </c>
      <c r="V68" s="45" t="str">
        <f aca="false">IF(ISNUMBER($S68),$S68*Parâmetros!$C$4,"")</f>
        <v/>
      </c>
      <c r="W68" s="44" t="str">
        <f aca="false">IF(ISNUMBER($S68),$S68-$D68-IF(ISNUMBER($E68),$E68,0)-$O68-$T68-$U68-$V68,"")</f>
        <v/>
      </c>
      <c r="X68" s="46" t="str">
        <f aca="false">IF(AND(ISNUMBER($S68),$S68&gt;0),$W68/$S68,"")</f>
        <v/>
      </c>
      <c r="Y68" s="47" t="s">
        <v>738</v>
      </c>
      <c r="Z68" s="19"/>
    </row>
    <row r="69" customFormat="false" ht="15.75" hidden="false" customHeight="true" outlineLevel="0" collapsed="false">
      <c r="A69" s="48" t="str">
        <f aca="false">IF(Produtos!$A69="","",Produtos!$A69)</f>
        <v>L2425-B</v>
      </c>
      <c r="B69" s="48" t="str">
        <f aca="false">IF(Produtos!$A69="","",Produtos!$B69)</f>
        <v>Lixeira c/Aro Basculante 24x25 13L</v>
      </c>
      <c r="C69" s="48" t="str">
        <f aca="false">IF(Produtos!$A69="","",Produtos!$C69)</f>
        <v>Lixeiras em inox</v>
      </c>
      <c r="D69" s="33" t="n">
        <f aca="false">IF(Produtos!$A69="","",IF(Produtos!$D69="","",Produtos!$D69))</f>
        <v>94.18</v>
      </c>
      <c r="E69" s="11" t="n">
        <v>27.05</v>
      </c>
      <c r="F69" s="34" t="n">
        <f aca="false">IF($A69="","",IF($C69="","⚠ categoria",IFERROR(INDEX(Parâmetros!$B$13:$B$22,MATCH($C69,Parâmetros!$A$13:$A$22,0)),"⚠ categoria")))</f>
        <v>0.13</v>
      </c>
      <c r="G69" s="35" t="n">
        <v>0.12</v>
      </c>
      <c r="H69" s="36" t="n">
        <f aca="false">IF($A69="","",IF(ISNUMBER($G69),$G69,IF(ISNUMBER($F69),$F69,"")))</f>
        <v>0.12</v>
      </c>
      <c r="I69" s="37" t="n">
        <f aca="false">IF(OR($A69="",NOT(ISNUMBER($D69)),NOT(ISNUMBER($H69))),"",IF((1-$H69-Parâmetros!$B$4-Parâmetros!$C$4-Parâmetros!$D$4)&lt;=0,"INVALIDO",($D69+IF(ISNUMBER($E69),$E69,0)+IF(ISNUMBER(Parâmetros!$E$4),Parâmetros!$E$4,0))/(1-$H69-Parâmetros!$B$4-Parâmetros!$C$4-Parâmetros!$D$4)))</f>
        <v>220.418181818182</v>
      </c>
      <c r="J69" s="38" t="n">
        <v>222.485</v>
      </c>
      <c r="K69" s="39" t="n">
        <f aca="false">IF(OR($A69="",NOT(ISNUMBER($D69)),NOT(ISNUMBER($H69))),"",IF(AND(ISNUMBER($J69),$J69&gt;0),$J69,IF(ISNUMBER($I69),$I69,"")))</f>
        <v>222.485</v>
      </c>
      <c r="L69" s="40" t="n">
        <f aca="false">IF(ISNUMBER($K69),$K69*$H69,"")</f>
        <v>26.6982</v>
      </c>
      <c r="M69" s="40" t="n">
        <f aca="false">IF(ISNUMBER($K69),$K69*Parâmetros!$B$4,"")</f>
        <v>22.2485</v>
      </c>
      <c r="N69" s="40" t="n">
        <f aca="false">IF(ISNUMBER($K69),$K69*Parâmetros!$C$4,"")</f>
        <v>6.67455</v>
      </c>
      <c r="O69" s="40" t="n">
        <f aca="false">IF(ISNUMBER($K69),IF(ISNUMBER(Parâmetros!$E$4),Parâmetros!$E$4,0),"")</f>
        <v>0</v>
      </c>
      <c r="P69" s="41" t="n">
        <f aca="false">IF(ISNUMBER($K69),$K69-$D69-IF(ISNUMBER($E69),$E69,0)-$L69-$M69-$N69-$O69,"")</f>
        <v>45.63375</v>
      </c>
      <c r="Q69" s="42" t="n">
        <f aca="false">IF(AND(ISNUMBER($K69),$K69&gt;0),$P69/$K69,"")</f>
        <v>0.205109333213475</v>
      </c>
      <c r="R69" s="43"/>
      <c r="S69" s="44" t="str">
        <f aca="false">IF(OR(NOT(ISNUMBER($R69)),$R69=0,NOT(ISNUMBER($K69))),"",$K69*(1-$R69))</f>
        <v/>
      </c>
      <c r="T69" s="45" t="str">
        <f aca="false">IF(ISNUMBER($S69),$S69*$H69,"")</f>
        <v/>
      </c>
      <c r="U69" s="45" t="str">
        <f aca="false">IF(ISNUMBER($S69),$S69*Parâmetros!$B$4,"")</f>
        <v/>
      </c>
      <c r="V69" s="45" t="str">
        <f aca="false">IF(ISNUMBER($S69),$S69*Parâmetros!$C$4,"")</f>
        <v/>
      </c>
      <c r="W69" s="44" t="str">
        <f aca="false">IF(ISNUMBER($S69),$S69-$D69-IF(ISNUMBER($E69),$E69,0)-$O69-$T69-$U69-$V69,"")</f>
        <v/>
      </c>
      <c r="X69" s="46" t="str">
        <f aca="false">IF(AND(ISNUMBER($S69),$S69&gt;0),$W69/$S69,"")</f>
        <v/>
      </c>
      <c r="Y69" s="49" t="s">
        <v>738</v>
      </c>
      <c r="Z69" s="21"/>
    </row>
    <row r="70" customFormat="false" ht="15.75" hidden="false" customHeight="true" outlineLevel="0" collapsed="false">
      <c r="A70" s="32" t="str">
        <f aca="false">IF(Produtos!$A70="","",Produtos!$A70)</f>
        <v>L2430-B</v>
      </c>
      <c r="B70" s="32" t="str">
        <f aca="false">IF(Produtos!$A70="","",Produtos!$B70)</f>
        <v>Lixeira c/Aro Basculante 24x30 15L</v>
      </c>
      <c r="C70" s="32" t="str">
        <f aca="false">IF(Produtos!$A70="","",Produtos!$C70)</f>
        <v>Lixeiras em inox</v>
      </c>
      <c r="D70" s="33" t="n">
        <f aca="false">IF(Produtos!$A70="","",IF(Produtos!$D70="","",Produtos!$D70))</f>
        <v>103.42</v>
      </c>
      <c r="E70" s="11" t="n">
        <v>27.05</v>
      </c>
      <c r="F70" s="34" t="n">
        <f aca="false">IF($A70="","",IF($C70="","⚠ categoria",IFERROR(INDEX(Parâmetros!$B$13:$B$22,MATCH($C70,Parâmetros!$A$13:$A$22,0)),"⚠ categoria")))</f>
        <v>0.13</v>
      </c>
      <c r="G70" s="35" t="n">
        <v>0.12</v>
      </c>
      <c r="H70" s="36" t="n">
        <f aca="false">IF($A70="","",IF(ISNUMBER($G70),$G70,IF(ISNUMBER($F70),$F70,"")))</f>
        <v>0.12</v>
      </c>
      <c r="I70" s="37" t="n">
        <f aca="false">IF(OR($A70="",NOT(ISNUMBER($D70)),NOT(ISNUMBER($H70))),"",IF((1-$H70-Parâmetros!$B$4-Parâmetros!$C$4-Parâmetros!$D$4)&lt;=0,"INVALIDO",($D70+IF(ISNUMBER($E70),$E70,0)+IF(ISNUMBER(Parâmetros!$E$4),Parâmetros!$E$4,0))/(1-$H70-Parâmetros!$B$4-Parâmetros!$C$4-Parâmetros!$D$4)))</f>
        <v>237.218181818182</v>
      </c>
      <c r="J70" s="38" t="n">
        <v>239.1125</v>
      </c>
      <c r="K70" s="39" t="n">
        <f aca="false">IF(OR($A70="",NOT(ISNUMBER($D70)),NOT(ISNUMBER($H70))),"",IF(AND(ISNUMBER($J70),$J70&gt;0),$J70,IF(ISNUMBER($I70),$I70,"")))</f>
        <v>239.1125</v>
      </c>
      <c r="L70" s="40" t="n">
        <f aca="false">IF(ISNUMBER($K70),$K70*$H70,"")</f>
        <v>28.6935</v>
      </c>
      <c r="M70" s="40" t="n">
        <f aca="false">IF(ISNUMBER($K70),$K70*Parâmetros!$B$4,"")</f>
        <v>23.91125</v>
      </c>
      <c r="N70" s="40" t="n">
        <f aca="false">IF(ISNUMBER($K70),$K70*Parâmetros!$C$4,"")</f>
        <v>7.173375</v>
      </c>
      <c r="O70" s="40" t="n">
        <f aca="false">IF(ISNUMBER($K70),IF(ISNUMBER(Parâmetros!$E$4),Parâmetros!$E$4,0),"")</f>
        <v>0</v>
      </c>
      <c r="P70" s="41" t="n">
        <f aca="false">IF(ISNUMBER($K70),$K70-$D70-IF(ISNUMBER($E70),$E70,0)-$L70-$M70-$N70-$O70,"")</f>
        <v>48.864375</v>
      </c>
      <c r="Q70" s="42" t="n">
        <f aca="false">IF(AND(ISNUMBER($K70),$K70&gt;0),$P70/$K70,"")</f>
        <v>0.204357258612578</v>
      </c>
      <c r="R70" s="43"/>
      <c r="S70" s="44" t="str">
        <f aca="false">IF(OR(NOT(ISNUMBER($R70)),$R70=0,NOT(ISNUMBER($K70))),"",$K70*(1-$R70))</f>
        <v/>
      </c>
      <c r="T70" s="45" t="str">
        <f aca="false">IF(ISNUMBER($S70),$S70*$H70,"")</f>
        <v/>
      </c>
      <c r="U70" s="45" t="str">
        <f aca="false">IF(ISNUMBER($S70),$S70*Parâmetros!$B$4,"")</f>
        <v/>
      </c>
      <c r="V70" s="45" t="str">
        <f aca="false">IF(ISNUMBER($S70),$S70*Parâmetros!$C$4,"")</f>
        <v/>
      </c>
      <c r="W70" s="44" t="str">
        <f aca="false">IF(ISNUMBER($S70),$S70-$D70-IF(ISNUMBER($E70),$E70,0)-$O70-$T70-$U70-$V70,"")</f>
        <v/>
      </c>
      <c r="X70" s="46" t="str">
        <f aca="false">IF(AND(ISNUMBER($S70),$S70&gt;0),$W70/$S70,"")</f>
        <v/>
      </c>
      <c r="Y70" s="47" t="s">
        <v>738</v>
      </c>
      <c r="Z70" s="19"/>
    </row>
    <row r="71" customFormat="false" ht="15.75" hidden="false" customHeight="true" outlineLevel="0" collapsed="false">
      <c r="A71" s="48" t="str">
        <f aca="false">IF(Produtos!$A71="","",Produtos!$A71)</f>
        <v>L2440-B</v>
      </c>
      <c r="B71" s="48" t="str">
        <f aca="false">IF(Produtos!$A71="","",Produtos!$B71)</f>
        <v>Lixeira c/Aro Basculante 24x40 20L</v>
      </c>
      <c r="C71" s="48" t="str">
        <f aca="false">IF(Produtos!$A71="","",Produtos!$C71)</f>
        <v>Lixeiras em inox</v>
      </c>
      <c r="D71" s="33" t="n">
        <f aca="false">IF(Produtos!$A71="","",IF(Produtos!$D71="","",Produtos!$D71))</f>
        <v>120.51</v>
      </c>
      <c r="E71" s="11" t="n">
        <v>29.25</v>
      </c>
      <c r="F71" s="34" t="n">
        <f aca="false">IF($A71="","",IF($C71="","⚠ categoria",IFERROR(INDEX(Parâmetros!$B$13:$B$22,MATCH($C71,Parâmetros!$A$13:$A$22,0)),"⚠ categoria")))</f>
        <v>0.13</v>
      </c>
      <c r="G71" s="35" t="n">
        <v>0.12</v>
      </c>
      <c r="H71" s="36" t="n">
        <f aca="false">IF($A71="","",IF(ISNUMBER($G71),$G71,IF(ISNUMBER($F71),$F71,"")))</f>
        <v>0.12</v>
      </c>
      <c r="I71" s="37" t="n">
        <f aca="false">IF(OR($A71="",NOT(ISNUMBER($D71)),NOT(ISNUMBER($H71))),"",IF((1-$H71-Parâmetros!$B$4-Parâmetros!$C$4-Parâmetros!$D$4)&lt;=0,"INVALIDO",($D71+IF(ISNUMBER($E71),$E71,0)+IF(ISNUMBER(Parâmetros!$E$4),Parâmetros!$E$4,0))/(1-$H71-Parâmetros!$B$4-Parâmetros!$C$4-Parâmetros!$D$4)))</f>
        <v>272.290909090909</v>
      </c>
      <c r="J71" s="38" t="n">
        <v>272.78</v>
      </c>
      <c r="K71" s="39" t="n">
        <f aca="false">IF(OR($A71="",NOT(ISNUMBER($D71)),NOT(ISNUMBER($H71))),"",IF(AND(ISNUMBER($J71),$J71&gt;0),$J71,IF(ISNUMBER($I71),$I71,"")))</f>
        <v>272.78</v>
      </c>
      <c r="L71" s="40" t="n">
        <f aca="false">IF(ISNUMBER($K71),$K71*$H71,"")</f>
        <v>32.7336</v>
      </c>
      <c r="M71" s="40" t="n">
        <f aca="false">IF(ISNUMBER($K71),$K71*Parâmetros!$B$4,"")</f>
        <v>27.278</v>
      </c>
      <c r="N71" s="40" t="n">
        <f aca="false">IF(ISNUMBER($K71),$K71*Parâmetros!$C$4,"")</f>
        <v>8.1834</v>
      </c>
      <c r="O71" s="40" t="n">
        <f aca="false">IF(ISNUMBER($K71),IF(ISNUMBER(Parâmetros!$E$4),Parâmetros!$E$4,0),"")</f>
        <v>0</v>
      </c>
      <c r="P71" s="41" t="n">
        <f aca="false">IF(ISNUMBER($K71),$K71-$D71-IF(ISNUMBER($E71),$E71,0)-$L71-$M71-$N71-$O71,"")</f>
        <v>54.825</v>
      </c>
      <c r="Q71" s="42" t="n">
        <f aca="false">IF(AND(ISNUMBER($K71),$K71&gt;0),$P71/$K71,"")</f>
        <v>0.200986142679082</v>
      </c>
      <c r="R71" s="43"/>
      <c r="S71" s="44" t="str">
        <f aca="false">IF(OR(NOT(ISNUMBER($R71)),$R71=0,NOT(ISNUMBER($K71))),"",$K71*(1-$R71))</f>
        <v/>
      </c>
      <c r="T71" s="45" t="str">
        <f aca="false">IF(ISNUMBER($S71),$S71*$H71,"")</f>
        <v/>
      </c>
      <c r="U71" s="45" t="str">
        <f aca="false">IF(ISNUMBER($S71),$S71*Parâmetros!$B$4,"")</f>
        <v/>
      </c>
      <c r="V71" s="45" t="str">
        <f aca="false">IF(ISNUMBER($S71),$S71*Parâmetros!$C$4,"")</f>
        <v/>
      </c>
      <c r="W71" s="44" t="str">
        <f aca="false">IF(ISNUMBER($S71),$S71-$D71-IF(ISNUMBER($E71),$E71,0)-$O71-$T71-$U71-$V71,"")</f>
        <v/>
      </c>
      <c r="X71" s="46" t="str">
        <f aca="false">IF(AND(ISNUMBER($S71),$S71&gt;0),$W71/$S71,"")</f>
        <v/>
      </c>
      <c r="Y71" s="49" t="s">
        <v>738</v>
      </c>
      <c r="Z71" s="21"/>
    </row>
    <row r="72" customFormat="false" ht="15.75" hidden="false" customHeight="true" outlineLevel="0" collapsed="false">
      <c r="A72" s="32" t="str">
        <f aca="false">IF(Produtos!$A72="","",Produtos!$A72)</f>
        <v>L2450-B</v>
      </c>
      <c r="B72" s="32" t="str">
        <f aca="false">IF(Produtos!$A72="","",Produtos!$B72)</f>
        <v>Lixeira c/Aro Basculante 24x50 25L</v>
      </c>
      <c r="C72" s="32" t="str">
        <f aca="false">IF(Produtos!$A72="","",Produtos!$C72)</f>
        <v>Lixeiras em inox</v>
      </c>
      <c r="D72" s="33" t="n">
        <f aca="false">IF(Produtos!$A72="","",IF(Produtos!$D72="","",Produtos!$D72))</f>
        <v>151.31</v>
      </c>
      <c r="E72" s="11" t="n">
        <v>32.45</v>
      </c>
      <c r="F72" s="34" t="n">
        <f aca="false">IF($A72="","",IF($C72="","⚠ categoria",IFERROR(INDEX(Parâmetros!$B$13:$B$22,MATCH($C72,Parâmetros!$A$13:$A$22,0)),"⚠ categoria")))</f>
        <v>0.13</v>
      </c>
      <c r="G72" s="35" t="n">
        <v>0.12</v>
      </c>
      <c r="H72" s="36" t="n">
        <f aca="false">IF($A72="","",IF(ISNUMBER($G72),$G72,IF(ISNUMBER($F72),$F72,"")))</f>
        <v>0.12</v>
      </c>
      <c r="I72" s="37" t="n">
        <f aca="false">IF(OR($A72="",NOT(ISNUMBER($D72)),NOT(ISNUMBER($H72))),"",IF((1-$H72-Parâmetros!$B$4-Parâmetros!$C$4-Parâmetros!$D$4)&lt;=0,"INVALIDO",($D72+IF(ISNUMBER($E72),$E72,0)+IF(ISNUMBER(Parâmetros!$E$4),Parâmetros!$E$4,0))/(1-$H72-Parâmetros!$B$4-Parâmetros!$C$4-Parâmetros!$D$4)))</f>
        <v>334.109090909091</v>
      </c>
      <c r="J72" s="38" t="n">
        <v>335.871825</v>
      </c>
      <c r="K72" s="39" t="n">
        <f aca="false">IF(OR($A72="",NOT(ISNUMBER($D72)),NOT(ISNUMBER($H72))),"",IF(AND(ISNUMBER($J72),$J72&gt;0),$J72,IF(ISNUMBER($I72),$I72,"")))</f>
        <v>335.871825</v>
      </c>
      <c r="L72" s="40" t="n">
        <f aca="false">IF(ISNUMBER($K72),$K72*$H72,"")</f>
        <v>40.304619</v>
      </c>
      <c r="M72" s="40" t="n">
        <f aca="false">IF(ISNUMBER($K72),$K72*Parâmetros!$B$4,"")</f>
        <v>33.5871825</v>
      </c>
      <c r="N72" s="40" t="n">
        <f aca="false">IF(ISNUMBER($K72),$K72*Parâmetros!$C$4,"")</f>
        <v>10.07615475</v>
      </c>
      <c r="O72" s="40" t="n">
        <f aca="false">IF(ISNUMBER($K72),IF(ISNUMBER(Parâmetros!$E$4),Parâmetros!$E$4,0),"")</f>
        <v>0</v>
      </c>
      <c r="P72" s="41" t="n">
        <f aca="false">IF(ISNUMBER($K72),$K72-$D72-IF(ISNUMBER($E72),$E72,0)-$L72-$M72-$N72-$O72,"")</f>
        <v>68.14386875</v>
      </c>
      <c r="Q72" s="42" t="n">
        <f aca="false">IF(AND(ISNUMBER($K72),$K72&gt;0),$P72/$K72,"")</f>
        <v>0.202886528960862</v>
      </c>
      <c r="R72" s="43"/>
      <c r="S72" s="44" t="str">
        <f aca="false">IF(OR(NOT(ISNUMBER($R72)),$R72=0,NOT(ISNUMBER($K72))),"",$K72*(1-$R72))</f>
        <v/>
      </c>
      <c r="T72" s="45" t="str">
        <f aca="false">IF(ISNUMBER($S72),$S72*$H72,"")</f>
        <v/>
      </c>
      <c r="U72" s="45" t="str">
        <f aca="false">IF(ISNUMBER($S72),$S72*Parâmetros!$B$4,"")</f>
        <v/>
      </c>
      <c r="V72" s="45" t="str">
        <f aca="false">IF(ISNUMBER($S72),$S72*Parâmetros!$C$4,"")</f>
        <v/>
      </c>
      <c r="W72" s="44" t="str">
        <f aca="false">IF(ISNUMBER($S72),$S72-$D72-IF(ISNUMBER($E72),$E72,0)-$O72-$T72-$U72-$V72,"")</f>
        <v/>
      </c>
      <c r="X72" s="46" t="str">
        <f aca="false">IF(AND(ISNUMBER($S72),$S72&gt;0),$W72/$S72,"")</f>
        <v/>
      </c>
      <c r="Y72" s="47" t="s">
        <v>738</v>
      </c>
      <c r="Z72" s="19"/>
    </row>
    <row r="73" customFormat="false" ht="15.75" hidden="false" customHeight="true" outlineLevel="0" collapsed="false">
      <c r="A73" s="48" t="str">
        <f aca="false">IF(Produtos!$A73="","",Produtos!$A73)</f>
        <v>L2460-B</v>
      </c>
      <c r="B73" s="48" t="str">
        <f aca="false">IF(Produtos!$A73="","",Produtos!$B73)</f>
        <v>Lixeira c/Aro Basculante 24x60 27L</v>
      </c>
      <c r="C73" s="48" t="str">
        <f aca="false">IF(Produtos!$A73="","",Produtos!$C73)</f>
        <v>Lixeiras em inox</v>
      </c>
      <c r="D73" s="33" t="n">
        <f aca="false">IF(Produtos!$A73="","",IF(Produtos!$D73="","",Produtos!$D73))</f>
        <v>152.83</v>
      </c>
      <c r="E73" s="11" t="n">
        <v>49.35</v>
      </c>
      <c r="F73" s="34" t="n">
        <f aca="false">IF($A73="","",IF($C73="","⚠ categoria",IFERROR(INDEX(Parâmetros!$B$13:$B$22,MATCH($C73,Parâmetros!$A$13:$A$22,0)),"⚠ categoria")))</f>
        <v>0.13</v>
      </c>
      <c r="G73" s="35" t="n">
        <v>0.12</v>
      </c>
      <c r="H73" s="36" t="n">
        <f aca="false">IF($A73="","",IF(ISNUMBER($G73),$G73,IF(ISNUMBER($F73),$F73,"")))</f>
        <v>0.12</v>
      </c>
      <c r="I73" s="37" t="n">
        <f aca="false">IF(OR($A73="",NOT(ISNUMBER($D73)),NOT(ISNUMBER($H73))),"",IF((1-$H73-Parâmetros!$B$4-Parâmetros!$C$4-Parâmetros!$D$4)&lt;=0,"INVALIDO",($D73+IF(ISNUMBER($E73),$E73,0)+IF(ISNUMBER(Parâmetros!$E$4),Parâmetros!$E$4,0))/(1-$H73-Parâmetros!$B$4-Parâmetros!$C$4-Parâmetros!$D$4)))</f>
        <v>367.6</v>
      </c>
      <c r="J73" s="38" t="n">
        <v>357.13700875</v>
      </c>
      <c r="K73" s="39" t="n">
        <f aca="false">IF(OR($A73="",NOT(ISNUMBER($D73)),NOT(ISNUMBER($H73))),"",IF(AND(ISNUMBER($J73),$J73&gt;0),$J73,IF(ISNUMBER($I73),$I73,"")))</f>
        <v>357.13700875</v>
      </c>
      <c r="L73" s="40" t="n">
        <f aca="false">IF(ISNUMBER($K73),$K73*$H73,"")</f>
        <v>42.85644105</v>
      </c>
      <c r="M73" s="40" t="n">
        <f aca="false">IF(ISNUMBER($K73),$K73*Parâmetros!$B$4,"")</f>
        <v>35.713700875</v>
      </c>
      <c r="N73" s="40" t="n">
        <f aca="false">IF(ISNUMBER($K73),$K73*Parâmetros!$C$4,"")</f>
        <v>10.7141102625</v>
      </c>
      <c r="O73" s="40" t="n">
        <f aca="false">IF(ISNUMBER($K73),IF(ISNUMBER(Parâmetros!$E$4),Parâmetros!$E$4,0),"")</f>
        <v>0</v>
      </c>
      <c r="P73" s="41" t="n">
        <f aca="false">IF(ISNUMBER($K73),$K73-$D73-IF(ISNUMBER($E73),$E73,0)-$L73-$M73-$N73-$O73,"")</f>
        <v>65.6727565625</v>
      </c>
      <c r="Q73" s="42" t="n">
        <f aca="false">IF(AND(ISNUMBER($K73),$K73&gt;0),$P73/$K73,"")</f>
        <v>0.183886729612141</v>
      </c>
      <c r="R73" s="43"/>
      <c r="S73" s="44" t="str">
        <f aca="false">IF(OR(NOT(ISNUMBER($R73)),$R73=0,NOT(ISNUMBER($K73))),"",$K73*(1-$R73))</f>
        <v/>
      </c>
      <c r="T73" s="45" t="str">
        <f aca="false">IF(ISNUMBER($S73),$S73*$H73,"")</f>
        <v/>
      </c>
      <c r="U73" s="45" t="str">
        <f aca="false">IF(ISNUMBER($S73),$S73*Parâmetros!$B$4,"")</f>
        <v/>
      </c>
      <c r="V73" s="45" t="str">
        <f aca="false">IF(ISNUMBER($S73),$S73*Parâmetros!$C$4,"")</f>
        <v/>
      </c>
      <c r="W73" s="44" t="str">
        <f aca="false">IF(ISNUMBER($S73),$S73-$D73-IF(ISNUMBER($E73),$E73,0)-$O73-$T73-$U73-$V73,"")</f>
        <v/>
      </c>
      <c r="X73" s="46" t="str">
        <f aca="false">IF(AND(ISNUMBER($S73),$S73&gt;0),$W73/$S73,"")</f>
        <v/>
      </c>
      <c r="Y73" s="49" t="s">
        <v>738</v>
      </c>
      <c r="Z73" s="21"/>
    </row>
    <row r="74" customFormat="false" ht="15.75" hidden="false" customHeight="true" outlineLevel="0" collapsed="false">
      <c r="A74" s="32" t="str">
        <f aca="false">IF(Produtos!$A74="","",Produtos!$A74)</f>
        <v>L2470-B</v>
      </c>
      <c r="B74" s="32" t="str">
        <f aca="false">IF(Produtos!$A74="","",Produtos!$B74)</f>
        <v>Lixeira c/Aro Basculante 24x70 30L</v>
      </c>
      <c r="C74" s="32" t="str">
        <f aca="false">IF(Produtos!$A74="","",Produtos!$C74)</f>
        <v>Lixeiras em inox</v>
      </c>
      <c r="D74" s="33" t="n">
        <f aca="false">IF(Produtos!$A74="","",IF(Produtos!$D74="","",Produtos!$D74))</f>
        <v>211.1</v>
      </c>
      <c r="E74" s="11" t="n">
        <v>45.25</v>
      </c>
      <c r="F74" s="34" t="n">
        <f aca="false">IF($A74="","",IF($C74="","⚠ categoria",IFERROR(INDEX(Parâmetros!$B$13:$B$22,MATCH($C74,Parâmetros!$A$13:$A$22,0)),"⚠ categoria")))</f>
        <v>0.13</v>
      </c>
      <c r="G74" s="35" t="n">
        <v>0.12</v>
      </c>
      <c r="H74" s="36" t="n">
        <f aca="false">IF($A74="","",IF(ISNUMBER($G74),$G74,IF(ISNUMBER($F74),$F74,"")))</f>
        <v>0.12</v>
      </c>
      <c r="I74" s="37" t="n">
        <f aca="false">IF(OR($A74="",NOT(ISNUMBER($D74)),NOT(ISNUMBER($H74))),"",IF((1-$H74-Parâmetros!$B$4-Parâmetros!$C$4-Parâmetros!$D$4)&lt;=0,"INVALIDO",($D74+IF(ISNUMBER($E74),$E74,0)+IF(ISNUMBER(Parâmetros!$E$4),Parâmetros!$E$4,0))/(1-$H74-Parâmetros!$B$4-Parâmetros!$C$4-Parâmetros!$D$4)))</f>
        <v>466.090909090909</v>
      </c>
      <c r="J74" s="38" t="n">
        <v>452.7471375</v>
      </c>
      <c r="K74" s="39" t="n">
        <f aca="false">IF(OR($A74="",NOT(ISNUMBER($D74)),NOT(ISNUMBER($H74))),"",IF(AND(ISNUMBER($J74),$J74&gt;0),$J74,IF(ISNUMBER($I74),$I74,"")))</f>
        <v>452.7471375</v>
      </c>
      <c r="L74" s="40" t="n">
        <f aca="false">IF(ISNUMBER($K74),$K74*$H74,"")</f>
        <v>54.3296565</v>
      </c>
      <c r="M74" s="40" t="n">
        <f aca="false">IF(ISNUMBER($K74),$K74*Parâmetros!$B$4,"")</f>
        <v>45.27471375</v>
      </c>
      <c r="N74" s="40" t="n">
        <f aca="false">IF(ISNUMBER($K74),$K74*Parâmetros!$C$4,"")</f>
        <v>13.582414125</v>
      </c>
      <c r="O74" s="40" t="n">
        <f aca="false">IF(ISNUMBER($K74),IF(ISNUMBER(Parâmetros!$E$4),Parâmetros!$E$4,0),"")</f>
        <v>0</v>
      </c>
      <c r="P74" s="41" t="n">
        <f aca="false">IF(ISNUMBER($K74),$K74-$D74-IF(ISNUMBER($E74),$E74,0)-$L74-$M74-$N74-$O74,"")</f>
        <v>83.210353125</v>
      </c>
      <c r="Q74" s="42" t="n">
        <f aca="false">IF(AND(ISNUMBER($K74),$K74&gt;0),$P74/$K74,"")</f>
        <v>0.18378990441436</v>
      </c>
      <c r="R74" s="43"/>
      <c r="S74" s="44" t="str">
        <f aca="false">IF(OR(NOT(ISNUMBER($R74)),$R74=0,NOT(ISNUMBER($K74))),"",$K74*(1-$R74))</f>
        <v/>
      </c>
      <c r="T74" s="45" t="str">
        <f aca="false">IF(ISNUMBER($S74),$S74*$H74,"")</f>
        <v/>
      </c>
      <c r="U74" s="45" t="str">
        <f aca="false">IF(ISNUMBER($S74),$S74*Parâmetros!$B$4,"")</f>
        <v/>
      </c>
      <c r="V74" s="45" t="str">
        <f aca="false">IF(ISNUMBER($S74),$S74*Parâmetros!$C$4,"")</f>
        <v/>
      </c>
      <c r="W74" s="44" t="str">
        <f aca="false">IF(ISNUMBER($S74),$S74-$D74-IF(ISNUMBER($E74),$E74,0)-$O74-$T74-$U74-$V74,"")</f>
        <v/>
      </c>
      <c r="X74" s="46" t="str">
        <f aca="false">IF(AND(ISNUMBER($S74),$S74&gt;0),$W74/$S74,"")</f>
        <v/>
      </c>
      <c r="Y74" s="47" t="s">
        <v>738</v>
      </c>
      <c r="Z74" s="19"/>
    </row>
    <row r="75" customFormat="false" ht="15.75" hidden="false" customHeight="true" outlineLevel="0" collapsed="false">
      <c r="A75" s="48" t="str">
        <f aca="false">IF(Produtos!$A75="","",Produtos!$A75)</f>
        <v>L3040-B</v>
      </c>
      <c r="B75" s="48" t="str">
        <f aca="false">IF(Produtos!$A75="","",Produtos!$B75)</f>
        <v>Lixeira c/Aro Basculante 30x40 30L</v>
      </c>
      <c r="C75" s="48" t="str">
        <f aca="false">IF(Produtos!$A75="","",Produtos!$C75)</f>
        <v>Lixeiras em inox</v>
      </c>
      <c r="D75" s="33" t="n">
        <f aca="false">IF(Produtos!$A75="","",IF(Produtos!$D75="","",Produtos!$D75))</f>
        <v>172.54</v>
      </c>
      <c r="E75" s="11" t="n">
        <v>40.85</v>
      </c>
      <c r="F75" s="34" t="n">
        <f aca="false">IF($A75="","",IF($C75="","⚠ categoria",IFERROR(INDEX(Parâmetros!$B$13:$B$22,MATCH($C75,Parâmetros!$A$13:$A$22,0)),"⚠ categoria")))</f>
        <v>0.13</v>
      </c>
      <c r="G75" s="35" t="n">
        <v>0.12</v>
      </c>
      <c r="H75" s="36" t="n">
        <f aca="false">IF($A75="","",IF(ISNUMBER($G75),$G75,IF(ISNUMBER($F75),$F75,"")))</f>
        <v>0.12</v>
      </c>
      <c r="I75" s="37" t="n">
        <f aca="false">IF(OR($A75="",NOT(ISNUMBER($D75)),NOT(ISNUMBER($H75))),"",IF((1-$H75-Parâmetros!$B$4-Parâmetros!$C$4-Parâmetros!$D$4)&lt;=0,"INVALIDO",($D75+IF(ISNUMBER($E75),$E75,0)+IF(ISNUMBER(Parâmetros!$E$4),Parâmetros!$E$4,0))/(1-$H75-Parâmetros!$B$4-Parâmetros!$C$4-Parâmetros!$D$4)))</f>
        <v>387.981818181818</v>
      </c>
      <c r="J75" s="38" t="n">
        <v>391.21748875</v>
      </c>
      <c r="K75" s="39" t="n">
        <f aca="false">IF(OR($A75="",NOT(ISNUMBER($D75)),NOT(ISNUMBER($H75))),"",IF(AND(ISNUMBER($J75),$J75&gt;0),$J75,IF(ISNUMBER($I75),$I75,"")))</f>
        <v>391.21748875</v>
      </c>
      <c r="L75" s="40" t="n">
        <f aca="false">IF(ISNUMBER($K75),$K75*$H75,"")</f>
        <v>46.94609865</v>
      </c>
      <c r="M75" s="40" t="n">
        <f aca="false">IF(ISNUMBER($K75),$K75*Parâmetros!$B$4,"")</f>
        <v>39.121748875</v>
      </c>
      <c r="N75" s="40" t="n">
        <f aca="false">IF(ISNUMBER($K75),$K75*Parâmetros!$C$4,"")</f>
        <v>11.7365246625</v>
      </c>
      <c r="O75" s="40" t="n">
        <f aca="false">IF(ISNUMBER($K75),IF(ISNUMBER(Parâmetros!$E$4),Parâmetros!$E$4,0),"")</f>
        <v>0</v>
      </c>
      <c r="P75" s="41" t="n">
        <f aca="false">IF(ISNUMBER($K75),$K75-$D75-IF(ISNUMBER($E75),$E75,0)-$L75-$M75-$N75-$O75,"")</f>
        <v>80.0231165625</v>
      </c>
      <c r="Q75" s="42" t="n">
        <f aca="false">IF(AND(ISNUMBER($K75),$K75&gt;0),$P75/$K75,"")</f>
        <v>0.204548924482354</v>
      </c>
      <c r="R75" s="43"/>
      <c r="S75" s="44" t="str">
        <f aca="false">IF(OR(NOT(ISNUMBER($R75)),$R75=0,NOT(ISNUMBER($K75))),"",$K75*(1-$R75))</f>
        <v/>
      </c>
      <c r="T75" s="45" t="str">
        <f aca="false">IF(ISNUMBER($S75),$S75*$H75,"")</f>
        <v/>
      </c>
      <c r="U75" s="45" t="str">
        <f aca="false">IF(ISNUMBER($S75),$S75*Parâmetros!$B$4,"")</f>
        <v/>
      </c>
      <c r="V75" s="45" t="str">
        <f aca="false">IF(ISNUMBER($S75),$S75*Parâmetros!$C$4,"")</f>
        <v/>
      </c>
      <c r="W75" s="44" t="str">
        <f aca="false">IF(ISNUMBER($S75),$S75-$D75-IF(ISNUMBER($E75),$E75,0)-$O75-$T75-$U75-$V75,"")</f>
        <v/>
      </c>
      <c r="X75" s="46" t="str">
        <f aca="false">IF(AND(ISNUMBER($S75),$S75&gt;0),$W75/$S75,"")</f>
        <v/>
      </c>
      <c r="Y75" s="49" t="s">
        <v>738</v>
      </c>
      <c r="Z75" s="21"/>
    </row>
    <row r="76" customFormat="false" ht="15.75" hidden="false" customHeight="true" outlineLevel="0" collapsed="false">
      <c r="A76" s="32" t="str">
        <f aca="false">IF(Produtos!$A76="","",Produtos!$A76)</f>
        <v>L3050-B</v>
      </c>
      <c r="B76" s="32" t="str">
        <f aca="false">IF(Produtos!$A76="","",Produtos!$B76)</f>
        <v>Lixeira c/Aro Basculante 30x50 35L</v>
      </c>
      <c r="C76" s="32" t="str">
        <f aca="false">IF(Produtos!$A76="","",Produtos!$C76)</f>
        <v>Lixeiras em inox</v>
      </c>
      <c r="D76" s="33" t="n">
        <f aca="false">IF(Produtos!$A76="","",IF(Produtos!$D76="","",Produtos!$D76))</f>
        <v>216.99</v>
      </c>
      <c r="E76" s="11" t="n">
        <v>49.35</v>
      </c>
      <c r="F76" s="34" t="n">
        <f aca="false">IF($A76="","",IF($C76="","⚠ categoria",IFERROR(INDEX(Parâmetros!$B$13:$B$22,MATCH($C76,Parâmetros!$A$13:$A$22,0)),"⚠ categoria")))</f>
        <v>0.13</v>
      </c>
      <c r="G76" s="35" t="n">
        <v>0.12</v>
      </c>
      <c r="H76" s="36" t="n">
        <f aca="false">IF($A76="","",IF(ISNUMBER($G76),$G76,IF(ISNUMBER($F76),$F76,"")))</f>
        <v>0.12</v>
      </c>
      <c r="I76" s="37" t="n">
        <f aca="false">IF(OR($A76="",NOT(ISNUMBER($D76)),NOT(ISNUMBER($H76))),"",IF((1-$H76-Parâmetros!$B$4-Parâmetros!$C$4-Parâmetros!$D$4)&lt;=0,"INVALIDO",($D76+IF(ISNUMBER($E76),$E76,0)+IF(ISNUMBER(Parâmetros!$E$4),Parâmetros!$E$4,0))/(1-$H76-Parâmetros!$B$4-Parâmetros!$C$4-Parâmetros!$D$4)))</f>
        <v>484.254545454545</v>
      </c>
      <c r="J76" s="38" t="n">
        <v>486.9</v>
      </c>
      <c r="K76" s="39" t="n">
        <f aca="false">IF(OR($A76="",NOT(ISNUMBER($D76)),NOT(ISNUMBER($H76))),"",IF(AND(ISNUMBER($J76),$J76&gt;0),$J76,IF(ISNUMBER($I76),$I76,"")))</f>
        <v>486.9</v>
      </c>
      <c r="L76" s="40" t="n">
        <f aca="false">IF(ISNUMBER($K76),$K76*$H76,"")</f>
        <v>58.428</v>
      </c>
      <c r="M76" s="40" t="n">
        <f aca="false">IF(ISNUMBER($K76),$K76*Parâmetros!$B$4,"")</f>
        <v>48.69</v>
      </c>
      <c r="N76" s="40" t="n">
        <f aca="false">IF(ISNUMBER($K76),$K76*Parâmetros!$C$4,"")</f>
        <v>14.607</v>
      </c>
      <c r="O76" s="40" t="n">
        <f aca="false">IF(ISNUMBER($K76),IF(ISNUMBER(Parâmetros!$E$4),Parâmetros!$E$4,0),"")</f>
        <v>0</v>
      </c>
      <c r="P76" s="41" t="n">
        <f aca="false">IF(ISNUMBER($K76),$K76-$D76-IF(ISNUMBER($E76),$E76,0)-$L76-$M76-$N76-$O76,"")</f>
        <v>98.835</v>
      </c>
      <c r="Q76" s="42" t="n">
        <f aca="false">IF(AND(ISNUMBER($K76),$K76&gt;0),$P76/$K76,"")</f>
        <v>0.202988293284042</v>
      </c>
      <c r="R76" s="43"/>
      <c r="S76" s="44" t="str">
        <f aca="false">IF(OR(NOT(ISNUMBER($R76)),$R76=0,NOT(ISNUMBER($K76))),"",$K76*(1-$R76))</f>
        <v/>
      </c>
      <c r="T76" s="45" t="str">
        <f aca="false">IF(ISNUMBER($S76),$S76*$H76,"")</f>
        <v/>
      </c>
      <c r="U76" s="45" t="str">
        <f aca="false">IF(ISNUMBER($S76),$S76*Parâmetros!$B$4,"")</f>
        <v/>
      </c>
      <c r="V76" s="45" t="str">
        <f aca="false">IF(ISNUMBER($S76),$S76*Parâmetros!$C$4,"")</f>
        <v/>
      </c>
      <c r="W76" s="44" t="str">
        <f aca="false">IF(ISNUMBER($S76),$S76-$D76-IF(ISNUMBER($E76),$E76,0)-$O76-$T76-$U76-$V76,"")</f>
        <v/>
      </c>
      <c r="X76" s="46" t="str">
        <f aca="false">IF(AND(ISNUMBER($S76),$S76&gt;0),$W76/$S76,"")</f>
        <v/>
      </c>
      <c r="Y76" s="47" t="s">
        <v>738</v>
      </c>
      <c r="Z76" s="19"/>
    </row>
    <row r="77" customFormat="false" ht="15.75" hidden="false" customHeight="true" outlineLevel="0" collapsed="false">
      <c r="A77" s="48" t="str">
        <f aca="false">IF(Produtos!$A77="","",Produtos!$A77)</f>
        <v>L3060-B</v>
      </c>
      <c r="B77" s="48" t="str">
        <f aca="false">IF(Produtos!$A77="","",Produtos!$B77)</f>
        <v>Lixeira c/Aro Basculante 30x60 40L</v>
      </c>
      <c r="C77" s="48" t="str">
        <f aca="false">IF(Produtos!$A77="","",Produtos!$C77)</f>
        <v>Lixeiras em inox</v>
      </c>
      <c r="D77" s="33" t="n">
        <f aca="false">IF(Produtos!$A77="","",IF(Produtos!$D77="","",Produtos!$D77))</f>
        <v>222.41</v>
      </c>
      <c r="E77" s="11" t="n">
        <v>50.75</v>
      </c>
      <c r="F77" s="34" t="n">
        <f aca="false">IF($A77="","",IF($C77="","⚠ categoria",IFERROR(INDEX(Parâmetros!$B$13:$B$22,MATCH($C77,Parâmetros!$A$13:$A$22,0)),"⚠ categoria")))</f>
        <v>0.13</v>
      </c>
      <c r="G77" s="35" t="n">
        <v>0.12</v>
      </c>
      <c r="H77" s="36" t="n">
        <f aca="false">IF($A77="","",IF(ISNUMBER($G77),$G77,IF(ISNUMBER($F77),$F77,"")))</f>
        <v>0.12</v>
      </c>
      <c r="I77" s="37" t="n">
        <f aca="false">IF(OR($A77="",NOT(ISNUMBER($D77)),NOT(ISNUMBER($H77))),"",IF((1-$H77-Parâmetros!$B$4-Parâmetros!$C$4-Parâmetros!$D$4)&lt;=0,"INVALIDO",($D77+IF(ISNUMBER($E77),$E77,0)+IF(ISNUMBER(Parâmetros!$E$4),Parâmetros!$E$4,0))/(1-$H77-Parâmetros!$B$4-Parâmetros!$C$4-Parâmetros!$D$4)))</f>
        <v>496.654545454545</v>
      </c>
      <c r="J77" s="38" t="n">
        <v>499.22578125</v>
      </c>
      <c r="K77" s="39" t="n">
        <f aca="false">IF(OR($A77="",NOT(ISNUMBER($D77)),NOT(ISNUMBER($H77))),"",IF(AND(ISNUMBER($J77),$J77&gt;0),$J77,IF(ISNUMBER($I77),$I77,"")))</f>
        <v>499.22578125</v>
      </c>
      <c r="L77" s="40" t="n">
        <f aca="false">IF(ISNUMBER($K77),$K77*$H77,"")</f>
        <v>59.90709375</v>
      </c>
      <c r="M77" s="40" t="n">
        <f aca="false">IF(ISNUMBER($K77),$K77*Parâmetros!$B$4,"")</f>
        <v>49.922578125</v>
      </c>
      <c r="N77" s="40" t="n">
        <f aca="false">IF(ISNUMBER($K77),$K77*Parâmetros!$C$4,"")</f>
        <v>14.9767734375</v>
      </c>
      <c r="O77" s="40" t="n">
        <f aca="false">IF(ISNUMBER($K77),IF(ISNUMBER(Parâmetros!$E$4),Parâmetros!$E$4,0),"")</f>
        <v>0</v>
      </c>
      <c r="P77" s="41" t="n">
        <f aca="false">IF(ISNUMBER($K77),$K77-$D77-IF(ISNUMBER($E77),$E77,0)-$L77-$M77-$N77-$O77,"")</f>
        <v>101.2593359375</v>
      </c>
      <c r="Q77" s="42" t="n">
        <f aca="false">IF(AND(ISNUMBER($K77),$K77&gt;0),$P77/$K77,"")</f>
        <v>0.202832745704677</v>
      </c>
      <c r="R77" s="43"/>
      <c r="S77" s="44" t="str">
        <f aca="false">IF(OR(NOT(ISNUMBER($R77)),$R77=0,NOT(ISNUMBER($K77))),"",$K77*(1-$R77))</f>
        <v/>
      </c>
      <c r="T77" s="45" t="str">
        <f aca="false">IF(ISNUMBER($S77),$S77*$H77,"")</f>
        <v/>
      </c>
      <c r="U77" s="45" t="str">
        <f aca="false">IF(ISNUMBER($S77),$S77*Parâmetros!$B$4,"")</f>
        <v/>
      </c>
      <c r="V77" s="45" t="str">
        <f aca="false">IF(ISNUMBER($S77),$S77*Parâmetros!$C$4,"")</f>
        <v/>
      </c>
      <c r="W77" s="44" t="str">
        <f aca="false">IF(ISNUMBER($S77),$S77-$D77-IF(ISNUMBER($E77),$E77,0)-$O77-$T77-$U77-$V77,"")</f>
        <v/>
      </c>
      <c r="X77" s="46" t="str">
        <f aca="false">IF(AND(ISNUMBER($S77),$S77&gt;0),$W77/$S77,"")</f>
        <v/>
      </c>
      <c r="Y77" s="49" t="s">
        <v>738</v>
      </c>
      <c r="Z77" s="21"/>
    </row>
    <row r="78" customFormat="false" ht="15.75" hidden="false" customHeight="true" outlineLevel="0" collapsed="false">
      <c r="A78" s="32" t="str">
        <f aca="false">IF(Produtos!$A78="","",Produtos!$A78)</f>
        <v>L3070-B</v>
      </c>
      <c r="B78" s="32" t="str">
        <f aca="false">IF(Produtos!$A78="","",Produtos!$B78)</f>
        <v>Lixeira c/Aro Basculante 30x70 50L</v>
      </c>
      <c r="C78" s="32" t="str">
        <f aca="false">IF(Produtos!$A78="","",Produtos!$C78)</f>
        <v>Lixeiras em inox</v>
      </c>
      <c r="D78" s="33" t="n">
        <f aca="false">IF(Produtos!$A78="","",IF(Produtos!$D78="","",Produtos!$D78))</f>
        <v>279.42</v>
      </c>
      <c r="E78" s="11" t="n">
        <v>69.35</v>
      </c>
      <c r="F78" s="34" t="n">
        <f aca="false">IF($A78="","",IF($C78="","⚠ categoria",IFERROR(INDEX(Parâmetros!$B$13:$B$22,MATCH($C78,Parâmetros!$A$13:$A$22,0)),"⚠ categoria")))</f>
        <v>0.13</v>
      </c>
      <c r="G78" s="35" t="n">
        <v>0.12</v>
      </c>
      <c r="H78" s="36" t="n">
        <f aca="false">IF($A78="","",IF(ISNUMBER($G78),$G78,IF(ISNUMBER($F78),$F78,"")))</f>
        <v>0.12</v>
      </c>
      <c r="I78" s="37" t="n">
        <f aca="false">IF(OR($A78="",NOT(ISNUMBER($D78)),NOT(ISNUMBER($H78))),"",IF((1-$H78-Parâmetros!$B$4-Parâmetros!$C$4-Parâmetros!$D$4)&lt;=0,"INVALIDO",($D78+IF(ISNUMBER($E78),$E78,0)+IF(ISNUMBER(Parâmetros!$E$4),Parâmetros!$E$4,0))/(1-$H78-Parâmetros!$B$4-Parâmetros!$C$4-Parâmetros!$D$4)))</f>
        <v>634.127272727273</v>
      </c>
      <c r="J78" s="38" t="n">
        <v>615.59024625</v>
      </c>
      <c r="K78" s="39" t="n">
        <f aca="false">IF(OR($A78="",NOT(ISNUMBER($D78)),NOT(ISNUMBER($H78))),"",IF(AND(ISNUMBER($J78),$J78&gt;0),$J78,IF(ISNUMBER($I78),$I78,"")))</f>
        <v>615.59024625</v>
      </c>
      <c r="L78" s="40" t="n">
        <f aca="false">IF(ISNUMBER($K78),$K78*$H78,"")</f>
        <v>73.87082955</v>
      </c>
      <c r="M78" s="40" t="n">
        <f aca="false">IF(ISNUMBER($K78),$K78*Parâmetros!$B$4,"")</f>
        <v>61.559024625</v>
      </c>
      <c r="N78" s="40" t="n">
        <f aca="false">IF(ISNUMBER($K78),$K78*Parâmetros!$C$4,"")</f>
        <v>18.4677073875</v>
      </c>
      <c r="O78" s="40" t="n">
        <f aca="false">IF(ISNUMBER($K78),IF(ISNUMBER(Parâmetros!$E$4),Parâmetros!$E$4,0),"")</f>
        <v>0</v>
      </c>
      <c r="P78" s="41" t="n">
        <f aca="false">IF(ISNUMBER($K78),$K78-$D78-IF(ISNUMBER($E78),$E78,0)-$L78-$M78-$N78-$O78,"")</f>
        <v>112.9226846875</v>
      </c>
      <c r="Q78" s="42" t="n">
        <f aca="false">IF(AND(ISNUMBER($K78),$K78&gt;0),$P78/$K78,"")</f>
        <v>0.183438066758518</v>
      </c>
      <c r="R78" s="43"/>
      <c r="S78" s="44" t="str">
        <f aca="false">IF(OR(NOT(ISNUMBER($R78)),$R78=0,NOT(ISNUMBER($K78))),"",$K78*(1-$R78))</f>
        <v/>
      </c>
      <c r="T78" s="45" t="str">
        <f aca="false">IF(ISNUMBER($S78),$S78*$H78,"")</f>
        <v/>
      </c>
      <c r="U78" s="45" t="str">
        <f aca="false">IF(ISNUMBER($S78),$S78*Parâmetros!$B$4,"")</f>
        <v/>
      </c>
      <c r="V78" s="45" t="str">
        <f aca="false">IF(ISNUMBER($S78),$S78*Parâmetros!$C$4,"")</f>
        <v/>
      </c>
      <c r="W78" s="44" t="str">
        <f aca="false">IF(ISNUMBER($S78),$S78-$D78-IF(ISNUMBER($E78),$E78,0)-$O78-$T78-$U78-$V78,"")</f>
        <v/>
      </c>
      <c r="X78" s="46" t="str">
        <f aca="false">IF(AND(ISNUMBER($S78),$S78&gt;0),$W78/$S78,"")</f>
        <v/>
      </c>
      <c r="Y78" s="47" t="s">
        <v>738</v>
      </c>
      <c r="Z78" s="19"/>
    </row>
    <row r="79" customFormat="false" ht="15.75" hidden="false" customHeight="true" outlineLevel="0" collapsed="false">
      <c r="A79" s="48" t="str">
        <f aca="false">IF(Produtos!$A79="","",Produtos!$A79)</f>
        <v>L3085-B</v>
      </c>
      <c r="B79" s="48" t="str">
        <f aca="false">IF(Produtos!$A79="","",Produtos!$B79)</f>
        <v>Lixeira c/Aro Basculante 30x85 60L</v>
      </c>
      <c r="C79" s="48" t="str">
        <f aca="false">IF(Produtos!$A79="","",Produtos!$C79)</f>
        <v>Lixeiras em inox</v>
      </c>
      <c r="D79" s="33" t="n">
        <f aca="false">IF(Produtos!$A79="","",IF(Produtos!$D79="","",Produtos!$D79))</f>
        <v>341.01</v>
      </c>
      <c r="E79" s="11" t="n">
        <v>70.95</v>
      </c>
      <c r="F79" s="34" t="n">
        <f aca="false">IF($A79="","",IF($C79="","⚠ categoria",IFERROR(INDEX(Parâmetros!$B$13:$B$22,MATCH($C79,Parâmetros!$A$13:$A$22,0)),"⚠ categoria")))</f>
        <v>0.13</v>
      </c>
      <c r="G79" s="35"/>
      <c r="H79" s="36" t="n">
        <f aca="false">IF($A79="","",IF(ISNUMBER($G79),$G79,IF(ISNUMBER($F79),$F79,"")))</f>
        <v>0.13</v>
      </c>
      <c r="I79" s="37" t="n">
        <f aca="false">IF(OR($A79="",NOT(ISNUMBER($D79)),NOT(ISNUMBER($H79))),"",IF((1-$H79-Parâmetros!$B$4-Parâmetros!$C$4-Parâmetros!$D$4)&lt;=0,"INVALIDO",($D79+IF(ISNUMBER($E79),$E79,0)+IF(ISNUMBER(Parâmetros!$E$4),Parâmetros!$E$4,0))/(1-$H79-Parâmetros!$B$4-Parâmetros!$C$4-Parâmetros!$D$4)))</f>
        <v>762.888888888889</v>
      </c>
      <c r="J79" s="38" t="n">
        <v>729.94044375</v>
      </c>
      <c r="K79" s="39" t="n">
        <f aca="false">IF(OR($A79="",NOT(ISNUMBER($D79)),NOT(ISNUMBER($H79))),"",IF(AND(ISNUMBER($J79),$J79&gt;0),$J79,IF(ISNUMBER($I79),$I79,"")))</f>
        <v>729.94044375</v>
      </c>
      <c r="L79" s="40" t="n">
        <f aca="false">IF(ISNUMBER($K79),$K79*$H79,"")</f>
        <v>94.8922576875</v>
      </c>
      <c r="M79" s="40" t="n">
        <f aca="false">IF(ISNUMBER($K79),$K79*Parâmetros!$B$4,"")</f>
        <v>72.994044375</v>
      </c>
      <c r="N79" s="40" t="n">
        <f aca="false">IF(ISNUMBER($K79),$K79*Parâmetros!$C$4,"")</f>
        <v>21.8982133125</v>
      </c>
      <c r="O79" s="40" t="n">
        <f aca="false">IF(ISNUMBER($K79),IF(ISNUMBER(Parâmetros!$E$4),Parâmetros!$E$4,0),"")</f>
        <v>0</v>
      </c>
      <c r="P79" s="41" t="n">
        <f aca="false">IF(ISNUMBER($K79),$K79-$D79-IF(ISNUMBER($E79),$E79,0)-$L79-$M79-$N79-$O79,"")</f>
        <v>128.195928375</v>
      </c>
      <c r="Q79" s="42" t="n">
        <f aca="false">IF(AND(ISNUMBER($K79),$K79&gt;0),$P79/$K79,"")</f>
        <v>0.175625188976248</v>
      </c>
      <c r="R79" s="43"/>
      <c r="S79" s="44" t="str">
        <f aca="false">IF(OR(NOT(ISNUMBER($R79)),$R79=0,NOT(ISNUMBER($K79))),"",$K79*(1-$R79))</f>
        <v/>
      </c>
      <c r="T79" s="45" t="str">
        <f aca="false">IF(ISNUMBER($S79),$S79*$H79,"")</f>
        <v/>
      </c>
      <c r="U79" s="45" t="str">
        <f aca="false">IF(ISNUMBER($S79),$S79*Parâmetros!$B$4,"")</f>
        <v/>
      </c>
      <c r="V79" s="45" t="str">
        <f aca="false">IF(ISNUMBER($S79),$S79*Parâmetros!$C$4,"")</f>
        <v/>
      </c>
      <c r="W79" s="44" t="str">
        <f aca="false">IF(ISNUMBER($S79),$S79-$D79-IF(ISNUMBER($E79),$E79,0)-$O79-$T79-$U79-$V79,"")</f>
        <v/>
      </c>
      <c r="X79" s="46" t="str">
        <f aca="false">IF(AND(ISNUMBER($S79),$S79&gt;0),$W79/$S79,"")</f>
        <v/>
      </c>
      <c r="Y79" s="49" t="s">
        <v>738</v>
      </c>
      <c r="Z79" s="21"/>
    </row>
    <row r="80" customFormat="false" ht="15.75" hidden="false" customHeight="true" outlineLevel="0" collapsed="false">
      <c r="A80" s="32" t="str">
        <f aca="false">IF(Produtos!$A80="","",Produtos!$A80)</f>
        <v>L4050-B</v>
      </c>
      <c r="B80" s="32" t="str">
        <f aca="false">IF(Produtos!$A80="","",Produtos!$B80)</f>
        <v>Lixeira c/Aro Basculante 40x50 62L</v>
      </c>
      <c r="C80" s="32" t="str">
        <f aca="false">IF(Produtos!$A80="","",Produtos!$C80)</f>
        <v>Lixeiras em inox</v>
      </c>
      <c r="D80" s="33" t="n">
        <f aca="false">IF(Produtos!$A80="","",IF(Produtos!$D80="","",Produtos!$D80))</f>
        <v>342.16</v>
      </c>
      <c r="E80" s="11" t="n">
        <v>75.65</v>
      </c>
      <c r="F80" s="34" t="n">
        <f aca="false">IF($A80="","",IF($C80="","⚠ categoria",IFERROR(INDEX(Parâmetros!$B$13:$B$22,MATCH($C80,Parâmetros!$A$13:$A$22,0)),"⚠ categoria")))</f>
        <v>0.13</v>
      </c>
      <c r="G80" s="35"/>
      <c r="H80" s="36" t="n">
        <f aca="false">IF($A80="","",IF(ISNUMBER($G80),$G80,IF(ISNUMBER($F80),$F80,"")))</f>
        <v>0.13</v>
      </c>
      <c r="I80" s="37" t="n">
        <f aca="false">IF(OR($A80="",NOT(ISNUMBER($D80)),NOT(ISNUMBER($H80))),"",IF((1-$H80-Parâmetros!$B$4-Parâmetros!$C$4-Parâmetros!$D$4)&lt;=0,"INVALIDO",($D80+IF(ISNUMBER($E80),$E80,0)+IF(ISNUMBER(Parâmetros!$E$4),Parâmetros!$E$4,0))/(1-$H80-Parâmetros!$B$4-Parâmetros!$C$4-Parâmetros!$D$4)))</f>
        <v>773.722222222222</v>
      </c>
      <c r="J80" s="38" t="n">
        <v>739.49085</v>
      </c>
      <c r="K80" s="39" t="n">
        <f aca="false">IF(OR($A80="",NOT(ISNUMBER($D80)),NOT(ISNUMBER($H80))),"",IF(AND(ISNUMBER($J80),$J80&gt;0),$J80,IF(ISNUMBER($I80),$I80,"")))</f>
        <v>739.49085</v>
      </c>
      <c r="L80" s="40" t="n">
        <f aca="false">IF(ISNUMBER($K80),$K80*$H80,"")</f>
        <v>96.1338105</v>
      </c>
      <c r="M80" s="40" t="n">
        <f aca="false">IF(ISNUMBER($K80),$K80*Parâmetros!$B$4,"")</f>
        <v>73.949085</v>
      </c>
      <c r="N80" s="40" t="n">
        <f aca="false">IF(ISNUMBER($K80),$K80*Parâmetros!$C$4,"")</f>
        <v>22.1847255</v>
      </c>
      <c r="O80" s="40" t="n">
        <f aca="false">IF(ISNUMBER($K80),IF(ISNUMBER(Parâmetros!$E$4),Parâmetros!$E$4,0),"")</f>
        <v>0</v>
      </c>
      <c r="P80" s="41" t="n">
        <f aca="false">IF(ISNUMBER($K80),$K80-$D80-IF(ISNUMBER($E80),$E80,0)-$L80-$M80-$N80-$O80,"")</f>
        <v>129.413229</v>
      </c>
      <c r="Q80" s="42" t="n">
        <f aca="false">IF(AND(ISNUMBER($K80),$K80&gt;0),$P80/$K80,"")</f>
        <v>0.175003151154609</v>
      </c>
      <c r="R80" s="43"/>
      <c r="S80" s="44" t="str">
        <f aca="false">IF(OR(NOT(ISNUMBER($R80)),$R80=0,NOT(ISNUMBER($K80))),"",$K80*(1-$R80))</f>
        <v/>
      </c>
      <c r="T80" s="45" t="str">
        <f aca="false">IF(ISNUMBER($S80),$S80*$H80,"")</f>
        <v/>
      </c>
      <c r="U80" s="45" t="str">
        <f aca="false">IF(ISNUMBER($S80),$S80*Parâmetros!$B$4,"")</f>
        <v/>
      </c>
      <c r="V80" s="45" t="str">
        <f aca="false">IF(ISNUMBER($S80),$S80*Parâmetros!$C$4,"")</f>
        <v/>
      </c>
      <c r="W80" s="44" t="str">
        <f aca="false">IF(ISNUMBER($S80),$S80-$D80-IF(ISNUMBER($E80),$E80,0)-$O80-$T80-$U80-$V80,"")</f>
        <v/>
      </c>
      <c r="X80" s="46" t="str">
        <f aca="false">IF(AND(ISNUMBER($S80),$S80&gt;0),$W80/$S80,"")</f>
        <v/>
      </c>
      <c r="Y80" s="47" t="s">
        <v>738</v>
      </c>
      <c r="Z80" s="19"/>
    </row>
    <row r="81" customFormat="false" ht="15.75" hidden="false" customHeight="true" outlineLevel="0" collapsed="false">
      <c r="A81" s="48" t="str">
        <f aca="false">IF(Produtos!$A81="","",Produtos!$A81)</f>
        <v>L4060-B</v>
      </c>
      <c r="B81" s="48" t="str">
        <f aca="false">IF(Produtos!$A81="","",Produtos!$B81)</f>
        <v>Lixeira c/Aro Basculante 40x60 75L</v>
      </c>
      <c r="C81" s="48" t="str">
        <f aca="false">IF(Produtos!$A81="","",Produtos!$C81)</f>
        <v>Lixeiras em inox</v>
      </c>
      <c r="D81" s="33" t="n">
        <f aca="false">IF(Produtos!$A81="","",IF(Produtos!$D81="","",Produtos!$D81))</f>
        <v>364.77</v>
      </c>
      <c r="E81" s="11" t="n">
        <v>79.35</v>
      </c>
      <c r="F81" s="34" t="n">
        <f aca="false">IF($A81="","",IF($C81="","⚠ categoria",IFERROR(INDEX(Parâmetros!$B$13:$B$22,MATCH($C81,Parâmetros!$A$13:$A$22,0)),"⚠ categoria")))</f>
        <v>0.13</v>
      </c>
      <c r="G81" s="35"/>
      <c r="H81" s="36" t="n">
        <f aca="false">IF($A81="","",IF(ISNUMBER($G81),$G81,IF(ISNUMBER($F81),$F81,"")))</f>
        <v>0.13</v>
      </c>
      <c r="I81" s="37" t="n">
        <f aca="false">IF(OR($A81="",NOT(ISNUMBER($D81)),NOT(ISNUMBER($H81))),"",IF((1-$H81-Parâmetros!$B$4-Parâmetros!$C$4-Parâmetros!$D$4)&lt;=0,"INVALIDO",($D81+IF(ISNUMBER($E81),$E81,0)+IF(ISNUMBER(Parâmetros!$E$4),Parâmetros!$E$4,0))/(1-$H81-Parâmetros!$B$4-Parâmetros!$C$4-Parâmetros!$D$4)))</f>
        <v>822.444444444444</v>
      </c>
      <c r="J81" s="38" t="n">
        <v>786.35151</v>
      </c>
      <c r="K81" s="39" t="n">
        <f aca="false">IF(OR($A81="",NOT(ISNUMBER($D81)),NOT(ISNUMBER($H81))),"",IF(AND(ISNUMBER($J81),$J81&gt;0),$J81,IF(ISNUMBER($I81),$I81,"")))</f>
        <v>786.35151</v>
      </c>
      <c r="L81" s="40" t="n">
        <f aca="false">IF(ISNUMBER($K81),$K81*$H81,"")</f>
        <v>102.2256963</v>
      </c>
      <c r="M81" s="40" t="n">
        <f aca="false">IF(ISNUMBER($K81),$K81*Parâmetros!$B$4,"")</f>
        <v>78.635151</v>
      </c>
      <c r="N81" s="40" t="n">
        <f aca="false">IF(ISNUMBER($K81),$K81*Parâmetros!$C$4,"")</f>
        <v>23.5905453</v>
      </c>
      <c r="O81" s="40" t="n">
        <f aca="false">IF(ISNUMBER($K81),IF(ISNUMBER(Parâmetros!$E$4),Parâmetros!$E$4,0),"")</f>
        <v>0</v>
      </c>
      <c r="P81" s="41" t="n">
        <f aca="false">IF(ISNUMBER($K81),$K81-$D81-IF(ISNUMBER($E81),$E81,0)-$L81-$M81-$N81-$O81,"")</f>
        <v>137.7801174</v>
      </c>
      <c r="Q81" s="42" t="n">
        <f aca="false">IF(AND(ISNUMBER($K81),$K81&gt;0),$P81/$K81,"")</f>
        <v>0.175214411936463</v>
      </c>
      <c r="R81" s="43"/>
      <c r="S81" s="44" t="str">
        <f aca="false">IF(OR(NOT(ISNUMBER($R81)),$R81=0,NOT(ISNUMBER($K81))),"",$K81*(1-$R81))</f>
        <v/>
      </c>
      <c r="T81" s="45" t="str">
        <f aca="false">IF(ISNUMBER($S81),$S81*$H81,"")</f>
        <v/>
      </c>
      <c r="U81" s="45" t="str">
        <f aca="false">IF(ISNUMBER($S81),$S81*Parâmetros!$B$4,"")</f>
        <v/>
      </c>
      <c r="V81" s="45" t="str">
        <f aca="false">IF(ISNUMBER($S81),$S81*Parâmetros!$C$4,"")</f>
        <v/>
      </c>
      <c r="W81" s="44" t="str">
        <f aca="false">IF(ISNUMBER($S81),$S81-$D81-IF(ISNUMBER($E81),$E81,0)-$O81-$T81-$U81-$V81,"")</f>
        <v/>
      </c>
      <c r="X81" s="46" t="str">
        <f aca="false">IF(AND(ISNUMBER($S81),$S81&gt;0),$W81/$S81,"")</f>
        <v/>
      </c>
      <c r="Y81" s="49" t="s">
        <v>738</v>
      </c>
      <c r="Z81" s="21"/>
    </row>
    <row r="82" customFormat="false" ht="15.75" hidden="false" customHeight="true" outlineLevel="0" collapsed="false">
      <c r="A82" s="32" t="str">
        <f aca="false">IF(Produtos!$A82="","",Produtos!$A82)</f>
        <v>L4070-B</v>
      </c>
      <c r="B82" s="32" t="str">
        <f aca="false">IF(Produtos!$A82="","",Produtos!$B82)</f>
        <v>Lixeira c/Aro Basculante 40x70 88L</v>
      </c>
      <c r="C82" s="32" t="str">
        <f aca="false">IF(Produtos!$A82="","",Produtos!$C82)</f>
        <v>Lixeiras em inox</v>
      </c>
      <c r="D82" s="33" t="n">
        <f aca="false">IF(Produtos!$A82="","",IF(Produtos!$D82="","",Produtos!$D82))</f>
        <v>366.6</v>
      </c>
      <c r="E82" s="11" t="n">
        <v>91.95</v>
      </c>
      <c r="F82" s="34" t="n">
        <f aca="false">IF($A82="","",IF($C82="","⚠ categoria",IFERROR(INDEX(Parâmetros!$B$13:$B$22,MATCH($C82,Parâmetros!$A$13:$A$22,0)),"⚠ categoria")))</f>
        <v>0.13</v>
      </c>
      <c r="G82" s="35"/>
      <c r="H82" s="36" t="n">
        <f aca="false">IF($A82="","",IF(ISNUMBER($G82),$G82,IF(ISNUMBER($F82),$F82,"")))</f>
        <v>0.13</v>
      </c>
      <c r="I82" s="37" t="n">
        <f aca="false">IF(OR($A82="",NOT(ISNUMBER($D82)),NOT(ISNUMBER($H82))),"",IF((1-$H82-Parâmetros!$B$4-Parâmetros!$C$4-Parâmetros!$D$4)&lt;=0,"INVALIDO",($D82+IF(ISNUMBER($E82),$E82,0)+IF(ISNUMBER(Parâmetros!$E$4),Parâmetros!$E$4,0))/(1-$H82-Parâmetros!$B$4-Parâmetros!$C$4-Parâmetros!$D$4)))</f>
        <v>849.166666666667</v>
      </c>
      <c r="J82" s="38" t="n">
        <v>809.4114</v>
      </c>
      <c r="K82" s="39" t="n">
        <f aca="false">IF(OR($A82="",NOT(ISNUMBER($D82)),NOT(ISNUMBER($H82))),"",IF(AND(ISNUMBER($J82),$J82&gt;0),$J82,IF(ISNUMBER($I82),$I82,"")))</f>
        <v>809.4114</v>
      </c>
      <c r="L82" s="40" t="n">
        <f aca="false">IF(ISNUMBER($K82),$K82*$H82,"")</f>
        <v>105.223482</v>
      </c>
      <c r="M82" s="40" t="n">
        <f aca="false">IF(ISNUMBER($K82),$K82*Parâmetros!$B$4,"")</f>
        <v>80.94114</v>
      </c>
      <c r="N82" s="40" t="n">
        <f aca="false">IF(ISNUMBER($K82),$K82*Parâmetros!$C$4,"")</f>
        <v>24.282342</v>
      </c>
      <c r="O82" s="40" t="n">
        <f aca="false">IF(ISNUMBER($K82),IF(ISNUMBER(Parâmetros!$E$4),Parâmetros!$E$4,0),"")</f>
        <v>0</v>
      </c>
      <c r="P82" s="41" t="n">
        <f aca="false">IF(ISNUMBER($K82),$K82-$D82-IF(ISNUMBER($E82),$E82,0)-$L82-$M82-$N82-$O82,"")</f>
        <v>140.414436</v>
      </c>
      <c r="Q82" s="42" t="n">
        <f aca="false">IF(AND(ISNUMBER($K82),$K82&gt;0),$P82/$K82,"")</f>
        <v>0.173477215665606</v>
      </c>
      <c r="R82" s="43"/>
      <c r="S82" s="44" t="str">
        <f aca="false">IF(OR(NOT(ISNUMBER($R82)),$R82=0,NOT(ISNUMBER($K82))),"",$K82*(1-$R82))</f>
        <v/>
      </c>
      <c r="T82" s="45" t="str">
        <f aca="false">IF(ISNUMBER($S82),$S82*$H82,"")</f>
        <v/>
      </c>
      <c r="U82" s="45" t="str">
        <f aca="false">IF(ISNUMBER($S82),$S82*Parâmetros!$B$4,"")</f>
        <v/>
      </c>
      <c r="V82" s="45" t="str">
        <f aca="false">IF(ISNUMBER($S82),$S82*Parâmetros!$C$4,"")</f>
        <v/>
      </c>
      <c r="W82" s="44" t="str">
        <f aca="false">IF(ISNUMBER($S82),$S82-$D82-IF(ISNUMBER($E82),$E82,0)-$O82-$T82-$U82-$V82,"")</f>
        <v/>
      </c>
      <c r="X82" s="46" t="str">
        <f aca="false">IF(AND(ISNUMBER($S82),$S82&gt;0),$W82/$S82,"")</f>
        <v/>
      </c>
      <c r="Y82" s="47" t="s">
        <v>738</v>
      </c>
      <c r="Z82" s="19"/>
    </row>
    <row r="83" customFormat="false" ht="15.75" hidden="false" customHeight="true" outlineLevel="0" collapsed="false">
      <c r="A83" s="48" t="str">
        <f aca="false">IF(Produtos!$A83="","",Produtos!$A83)</f>
        <v>L4075-B</v>
      </c>
      <c r="B83" s="48" t="str">
        <f aca="false">IF(Produtos!$A83="","",Produtos!$B83)</f>
        <v>Lixeira c/Aro Basculante 40x75 95L</v>
      </c>
      <c r="C83" s="48" t="str">
        <f aca="false">IF(Produtos!$A83="","",Produtos!$C83)</f>
        <v>Lixeiras em inox</v>
      </c>
      <c r="D83" s="33" t="n">
        <f aca="false">IF(Produtos!$A83="","",IF(Produtos!$D83="","",Produtos!$D83))</f>
        <v>428.19</v>
      </c>
      <c r="E83" s="11" t="n">
        <v>91.95</v>
      </c>
      <c r="F83" s="34" t="n">
        <f aca="false">IF($A83="","",IF($C83="","⚠ categoria",IFERROR(INDEX(Parâmetros!$B$13:$B$22,MATCH($C83,Parâmetros!$A$13:$A$22,0)),"⚠ categoria")))</f>
        <v>0.13</v>
      </c>
      <c r="G83" s="35"/>
      <c r="H83" s="36" t="n">
        <f aca="false">IF($A83="","",IF(ISNUMBER($G83),$G83,IF(ISNUMBER($F83),$F83,"")))</f>
        <v>0.13</v>
      </c>
      <c r="I83" s="37" t="n">
        <f aca="false">IF(OR($A83="",NOT(ISNUMBER($D83)),NOT(ISNUMBER($H83))),"",IF((1-$H83-Parâmetros!$B$4-Parâmetros!$C$4-Parâmetros!$D$4)&lt;=0,"INVALIDO",($D83+IF(ISNUMBER($E83),$E83,0)+IF(ISNUMBER(Parâmetros!$E$4),Parâmetros!$E$4,0))/(1-$H83-Parâmetros!$B$4-Parâmetros!$C$4-Parâmetros!$D$4)))</f>
        <v>963.222222222222</v>
      </c>
      <c r="J83" s="38" t="n">
        <v>921.19167</v>
      </c>
      <c r="K83" s="39" t="n">
        <f aca="false">IF(OR($A83="",NOT(ISNUMBER($D83)),NOT(ISNUMBER($H83))),"",IF(AND(ISNUMBER($J83),$J83&gt;0),$J83,IF(ISNUMBER($I83),$I83,"")))</f>
        <v>921.19167</v>
      </c>
      <c r="L83" s="40" t="n">
        <f aca="false">IF(ISNUMBER($K83),$K83*$H83,"")</f>
        <v>119.7549171</v>
      </c>
      <c r="M83" s="40" t="n">
        <f aca="false">IF(ISNUMBER($K83),$K83*Parâmetros!$B$4,"")</f>
        <v>92.119167</v>
      </c>
      <c r="N83" s="40" t="n">
        <f aca="false">IF(ISNUMBER($K83),$K83*Parâmetros!$C$4,"")</f>
        <v>27.6357501</v>
      </c>
      <c r="O83" s="40" t="n">
        <f aca="false">IF(ISNUMBER($K83),IF(ISNUMBER(Parâmetros!$E$4),Parâmetros!$E$4,0),"")</f>
        <v>0</v>
      </c>
      <c r="P83" s="41" t="n">
        <f aca="false">IF(ISNUMBER($K83),$K83-$D83-IF(ISNUMBER($E83),$E83,0)-$L83-$M83-$N83-$O83,"")</f>
        <v>161.5418358</v>
      </c>
      <c r="Q83" s="42" t="n">
        <f aca="false">IF(AND(ISNUMBER($K83),$K83&gt;0),$P83/$K83,"")</f>
        <v>0.175361806951641</v>
      </c>
      <c r="R83" s="43"/>
      <c r="S83" s="44" t="str">
        <f aca="false">IF(OR(NOT(ISNUMBER($R83)),$R83=0,NOT(ISNUMBER($K83))),"",$K83*(1-$R83))</f>
        <v/>
      </c>
      <c r="T83" s="45" t="str">
        <f aca="false">IF(ISNUMBER($S83),$S83*$H83,"")</f>
        <v/>
      </c>
      <c r="U83" s="45" t="str">
        <f aca="false">IF(ISNUMBER($S83),$S83*Parâmetros!$B$4,"")</f>
        <v/>
      </c>
      <c r="V83" s="45" t="str">
        <f aca="false">IF(ISNUMBER($S83),$S83*Parâmetros!$C$4,"")</f>
        <v/>
      </c>
      <c r="W83" s="44" t="str">
        <f aca="false">IF(ISNUMBER($S83),$S83-$D83-IF(ISNUMBER($E83),$E83,0)-$O83-$T83-$U83-$V83,"")</f>
        <v/>
      </c>
      <c r="X83" s="46" t="str">
        <f aca="false">IF(AND(ISNUMBER($S83),$S83&gt;0),$W83/$S83,"")</f>
        <v/>
      </c>
      <c r="Y83" s="49" t="s">
        <v>738</v>
      </c>
      <c r="Z83" s="21"/>
    </row>
    <row r="84" customFormat="false" ht="15.75" hidden="false" customHeight="true" outlineLevel="0" collapsed="false">
      <c r="A84" s="32" t="str">
        <f aca="false">IF(Produtos!$A84="","",Produtos!$A84)</f>
        <v>L4080-B</v>
      </c>
      <c r="B84" s="32" t="str">
        <f aca="false">IF(Produtos!$A84="","",Produtos!$B84)</f>
        <v>Lixeira c/Aro Basculante 40x80 100L</v>
      </c>
      <c r="C84" s="32" t="str">
        <f aca="false">IF(Produtos!$A84="","",Produtos!$C84)</f>
        <v>Lixeiras em inox</v>
      </c>
      <c r="D84" s="33" t="n">
        <f aca="false">IF(Produtos!$A84="","",IF(Produtos!$D84="","",Produtos!$D84))</f>
        <v>428.19</v>
      </c>
      <c r="E84" s="11" t="n">
        <v>106.85</v>
      </c>
      <c r="F84" s="34" t="n">
        <f aca="false">IF($A84="","",IF($C84="","⚠ categoria",IFERROR(INDEX(Parâmetros!$B$13:$B$22,MATCH($C84,Parâmetros!$A$13:$A$22,0)),"⚠ categoria")))</f>
        <v>0.13</v>
      </c>
      <c r="G84" s="35"/>
      <c r="H84" s="36" t="n">
        <f aca="false">IF($A84="","",IF(ISNUMBER($G84),$G84,IF(ISNUMBER($F84),$F84,"")))</f>
        <v>0.13</v>
      </c>
      <c r="I84" s="37" t="n">
        <f aca="false">IF(OR($A84="",NOT(ISNUMBER($D84)),NOT(ISNUMBER($H84))),"",IF((1-$H84-Parâmetros!$B$4-Parâmetros!$C$4-Parâmetros!$D$4)&lt;=0,"INVALIDO",($D84+IF(ISNUMBER($E84),$E84,0)+IF(ISNUMBER(Parâmetros!$E$4),Parâmetros!$E$4,0))/(1-$H84-Parâmetros!$B$4-Parâmetros!$C$4-Parâmetros!$D$4)))</f>
        <v>990.814814814815</v>
      </c>
      <c r="J84" s="38" t="n">
        <v>944.5062375</v>
      </c>
      <c r="K84" s="39" t="n">
        <f aca="false">IF(OR($A84="",NOT(ISNUMBER($D84)),NOT(ISNUMBER($H84))),"",IF(AND(ISNUMBER($J84),$J84&gt;0),$J84,IF(ISNUMBER($I84),$I84,"")))</f>
        <v>944.5062375</v>
      </c>
      <c r="L84" s="40" t="n">
        <f aca="false">IF(ISNUMBER($K84),$K84*$H84,"")</f>
        <v>122.785810875</v>
      </c>
      <c r="M84" s="40" t="n">
        <f aca="false">IF(ISNUMBER($K84),$K84*Parâmetros!$B$4,"")</f>
        <v>94.45062375</v>
      </c>
      <c r="N84" s="40" t="n">
        <f aca="false">IF(ISNUMBER($K84),$K84*Parâmetros!$C$4,"")</f>
        <v>28.335187125</v>
      </c>
      <c r="O84" s="40" t="n">
        <f aca="false">IF(ISNUMBER($K84),IF(ISNUMBER(Parâmetros!$E$4),Parâmetros!$E$4,0),"")</f>
        <v>0</v>
      </c>
      <c r="P84" s="41" t="n">
        <f aca="false">IF(ISNUMBER($K84),$K84-$D84-IF(ISNUMBER($E84),$E84,0)-$L84-$M84-$N84-$O84,"")</f>
        <v>163.89461575</v>
      </c>
      <c r="Q84" s="42" t="n">
        <f aca="false">IF(AND(ISNUMBER($K84),$K84&gt;0),$P84/$K84,"")</f>
        <v>0.173524122173942</v>
      </c>
      <c r="R84" s="43"/>
      <c r="S84" s="44" t="str">
        <f aca="false">IF(OR(NOT(ISNUMBER($R84)),$R84=0,NOT(ISNUMBER($K84))),"",$K84*(1-$R84))</f>
        <v/>
      </c>
      <c r="T84" s="45" t="str">
        <f aca="false">IF(ISNUMBER($S84),$S84*$H84,"")</f>
        <v/>
      </c>
      <c r="U84" s="45" t="str">
        <f aca="false">IF(ISNUMBER($S84),$S84*Parâmetros!$B$4,"")</f>
        <v/>
      </c>
      <c r="V84" s="45" t="str">
        <f aca="false">IF(ISNUMBER($S84),$S84*Parâmetros!$C$4,"")</f>
        <v/>
      </c>
      <c r="W84" s="44" t="str">
        <f aca="false">IF(ISNUMBER($S84),$S84-$D84-IF(ISNUMBER($E84),$E84,0)-$O84-$T84-$U84-$V84,"")</f>
        <v/>
      </c>
      <c r="X84" s="46" t="str">
        <f aca="false">IF(AND(ISNUMBER($S84),$S84&gt;0),$W84/$S84,"")</f>
        <v/>
      </c>
      <c r="Y84" s="47" t="s">
        <v>738</v>
      </c>
      <c r="Z84" s="19"/>
    </row>
    <row r="85" customFormat="false" ht="15.75" hidden="false" customHeight="true" outlineLevel="0" collapsed="false">
      <c r="A85" s="48" t="str">
        <f aca="false">IF(Produtos!$A85="","",Produtos!$A85)</f>
        <v>L4090-B</v>
      </c>
      <c r="B85" s="48" t="str">
        <f aca="false">IF(Produtos!$A85="","",Produtos!$B85)</f>
        <v>Lixeira c/Aro Basculante 40x90 120L</v>
      </c>
      <c r="C85" s="48" t="str">
        <f aca="false">IF(Produtos!$A85="","",Produtos!$C85)</f>
        <v>Lixeiras em inox</v>
      </c>
      <c r="D85" s="33" t="n">
        <f aca="false">IF(Produtos!$A85="","",IF(Produtos!$D85="","",Produtos!$D85))</f>
        <v>468.32</v>
      </c>
      <c r="E85" s="11" t="n">
        <v>106.85</v>
      </c>
      <c r="F85" s="34" t="n">
        <f aca="false">IF($A85="","",IF($C85="","⚠ categoria",IFERROR(INDEX(Parâmetros!$B$13:$B$22,MATCH($C85,Parâmetros!$A$13:$A$22,0)),"⚠ categoria")))</f>
        <v>0.13</v>
      </c>
      <c r="G85" s="35"/>
      <c r="H85" s="36" t="n">
        <f aca="false">IF($A85="","",IF(ISNUMBER($G85),$G85,IF(ISNUMBER($F85),$F85,"")))</f>
        <v>0.13</v>
      </c>
      <c r="I85" s="37" t="n">
        <f aca="false">IF(OR($A85="",NOT(ISNUMBER($D85)),NOT(ISNUMBER($H85))),"",IF((1-$H85-Parâmetros!$B$4-Parâmetros!$C$4-Parâmetros!$D$4)&lt;=0,"INVALIDO",($D85+IF(ISNUMBER($E85),$E85,0)+IF(ISNUMBER(Parâmetros!$E$4),Parâmetros!$E$4,0))/(1-$H85-Parâmetros!$B$4-Parâmetros!$C$4-Parâmetros!$D$4)))</f>
        <v>1065.12962962963</v>
      </c>
      <c r="J85" s="38" t="n">
        <v>1017.42503625</v>
      </c>
      <c r="K85" s="39" t="n">
        <f aca="false">IF(OR($A85="",NOT(ISNUMBER($D85)),NOT(ISNUMBER($H85))),"",IF(AND(ISNUMBER($J85),$J85&gt;0),$J85,IF(ISNUMBER($I85),$I85,"")))</f>
        <v>1017.42503625</v>
      </c>
      <c r="L85" s="40" t="n">
        <f aca="false">IF(ISNUMBER($K85),$K85*$H85,"")</f>
        <v>132.2652547125</v>
      </c>
      <c r="M85" s="40" t="n">
        <f aca="false">IF(ISNUMBER($K85),$K85*Parâmetros!$B$4,"")</f>
        <v>101.742503625</v>
      </c>
      <c r="N85" s="40" t="n">
        <f aca="false">IF(ISNUMBER($K85),$K85*Parâmetros!$C$4,"")</f>
        <v>30.5227510875</v>
      </c>
      <c r="O85" s="40" t="n">
        <f aca="false">IF(ISNUMBER($K85),IF(ISNUMBER(Parâmetros!$E$4),Parâmetros!$E$4,0),"")</f>
        <v>0</v>
      </c>
      <c r="P85" s="41" t="n">
        <f aca="false">IF(ISNUMBER($K85),$K85-$D85-IF(ISNUMBER($E85),$E85,0)-$L85-$M85-$N85-$O85,"")</f>
        <v>177.724526825</v>
      </c>
      <c r="Q85" s="42" t="n">
        <f aca="false">IF(AND(ISNUMBER($K85),$K85&gt;0),$P85/$K85,"")</f>
        <v>0.174680709136127</v>
      </c>
      <c r="R85" s="43"/>
      <c r="S85" s="44" t="str">
        <f aca="false">IF(OR(NOT(ISNUMBER($R85)),$R85=0,NOT(ISNUMBER($K85))),"",$K85*(1-$R85))</f>
        <v/>
      </c>
      <c r="T85" s="45" t="str">
        <f aca="false">IF(ISNUMBER($S85),$S85*$H85,"")</f>
        <v/>
      </c>
      <c r="U85" s="45" t="str">
        <f aca="false">IF(ISNUMBER($S85),$S85*Parâmetros!$B$4,"")</f>
        <v/>
      </c>
      <c r="V85" s="45" t="str">
        <f aca="false">IF(ISNUMBER($S85),$S85*Parâmetros!$C$4,"")</f>
        <v/>
      </c>
      <c r="W85" s="44" t="str">
        <f aca="false">IF(ISNUMBER($S85),$S85-$D85-IF(ISNUMBER($E85),$E85,0)-$O85-$T85-$U85-$V85,"")</f>
        <v/>
      </c>
      <c r="X85" s="46" t="str">
        <f aca="false">IF(AND(ISNUMBER($S85),$S85&gt;0),$W85/$S85,"")</f>
        <v/>
      </c>
      <c r="Y85" s="49" t="s">
        <v>738</v>
      </c>
      <c r="Z85" s="21"/>
    </row>
    <row r="86" customFormat="false" ht="15.75" hidden="false" customHeight="true" outlineLevel="0" collapsed="false">
      <c r="A86" s="32" t="str">
        <f aca="false">IF(Produtos!$A86="","",Produtos!$A86)</f>
        <v>P1618</v>
      </c>
      <c r="B86" s="32" t="str">
        <f aca="false">IF(Produtos!$A86="","",Produtos!$B86)</f>
        <v>Lixeira c/Tampa Pedal 16x18 03L</v>
      </c>
      <c r="C86" s="32" t="str">
        <f aca="false">IF(Produtos!$A86="","",Produtos!$C86)</f>
        <v>Lixeiras com pedal</v>
      </c>
      <c r="D86" s="33" t="n">
        <f aca="false">IF(Produtos!$A86="","",IF(Produtos!$D86="","",Produtos!$D86))</f>
        <v>78.15</v>
      </c>
      <c r="E86" s="11"/>
      <c r="F86" s="34" t="n">
        <f aca="false">IF($A86="","",IF($C86="","⚠ categoria",IFERROR(INDEX(Parâmetros!$B$13:$B$22,MATCH($C86,Parâmetros!$A$13:$A$22,0)),"⚠ categoria")))</f>
        <v>0.13</v>
      </c>
      <c r="G86" s="35"/>
      <c r="H86" s="36" t="n">
        <f aca="false">IF($A86="","",IF(ISNUMBER($G86),$G86,IF(ISNUMBER($F86),$F86,"")))</f>
        <v>0.13</v>
      </c>
      <c r="I86" s="37" t="n">
        <f aca="false">IF(OR($A86="",NOT(ISNUMBER($D86)),NOT(ISNUMBER($H86))),"",IF((1-$H86-Parâmetros!$B$4-Parâmetros!$C$4-Parâmetros!$D$4)&lt;=0,"INVALIDO",($D86+IF(ISNUMBER($E86),$E86,0)+IF(ISNUMBER(Parâmetros!$E$4),Parâmetros!$E$4,0))/(1-$H86-Parâmetros!$B$4-Parâmetros!$C$4-Parâmetros!$D$4)))</f>
        <v>144.722222222222</v>
      </c>
      <c r="J86" s="38"/>
      <c r="K86" s="39" t="n">
        <f aca="false">IF(OR($A86="",NOT(ISNUMBER($D86)),NOT(ISNUMBER($H86))),"",IF(AND(ISNUMBER($J86),$J86&gt;0),$J86,IF(ISNUMBER($I86),$I86,"")))</f>
        <v>144.722222222222</v>
      </c>
      <c r="L86" s="40" t="n">
        <f aca="false">IF(ISNUMBER($K86),$K86*$H86,"")</f>
        <v>18.8138888888889</v>
      </c>
      <c r="M86" s="40" t="n">
        <f aca="false">IF(ISNUMBER($K86),$K86*Parâmetros!$B$4,"")</f>
        <v>14.4722222222222</v>
      </c>
      <c r="N86" s="40" t="n">
        <f aca="false">IF(ISNUMBER($K86),$K86*Parâmetros!$C$4,"")</f>
        <v>4.34166666666667</v>
      </c>
      <c r="O86" s="40" t="n">
        <f aca="false">IF(ISNUMBER($K86),IF(ISNUMBER(Parâmetros!$E$4),Parâmetros!$E$4,0),"")</f>
        <v>0</v>
      </c>
      <c r="P86" s="41" t="n">
        <f aca="false">IF(ISNUMBER($K86),$K86-$D86-IF(ISNUMBER($E86),$E86,0)-$L86-$M86-$N86-$O86,"")</f>
        <v>28.9444444444444</v>
      </c>
      <c r="Q86" s="42" t="n">
        <f aca="false">IF(AND(ISNUMBER($K86),$K86&gt;0),$P86/$K86,"")</f>
        <v>0.2</v>
      </c>
      <c r="R86" s="43"/>
      <c r="S86" s="44" t="str">
        <f aca="false">IF(OR(NOT(ISNUMBER($R86)),$R86=0,NOT(ISNUMBER($K86))),"",$K86*(1-$R86))</f>
        <v/>
      </c>
      <c r="T86" s="45" t="str">
        <f aca="false">IF(ISNUMBER($S86),$S86*$H86,"")</f>
        <v/>
      </c>
      <c r="U86" s="45" t="str">
        <f aca="false">IF(ISNUMBER($S86),$S86*Parâmetros!$B$4,"")</f>
        <v/>
      </c>
      <c r="V86" s="45" t="str">
        <f aca="false">IF(ISNUMBER($S86),$S86*Parâmetros!$C$4,"")</f>
        <v/>
      </c>
      <c r="W86" s="44" t="str">
        <f aca="false">IF(ISNUMBER($S86),$S86-$D86-IF(ISNUMBER($E86),$E86,0)-$O86-$T86-$U86-$V86,"")</f>
        <v/>
      </c>
      <c r="X86" s="46" t="str">
        <f aca="false">IF(AND(ISNUMBER($S86),$S86&gt;0),$W86/$S86,"")</f>
        <v/>
      </c>
      <c r="Y86" s="47"/>
      <c r="Z86" s="19"/>
    </row>
    <row r="87" customFormat="false" ht="15.75" hidden="false" customHeight="true" outlineLevel="0" collapsed="false">
      <c r="A87" s="48" t="str">
        <f aca="false">IF(Produtos!$A87="","",Produtos!$A87)</f>
        <v>P1623</v>
      </c>
      <c r="B87" s="48" t="str">
        <f aca="false">IF(Produtos!$A87="","",Produtos!$B87)</f>
        <v>Lixeira c/Tampa Pedal 16x23 05L</v>
      </c>
      <c r="C87" s="48" t="str">
        <f aca="false">IF(Produtos!$A87="","",Produtos!$C87)</f>
        <v>Lixeiras com pedal</v>
      </c>
      <c r="D87" s="33" t="n">
        <f aca="false">IF(Produtos!$A87="","",IF(Produtos!$D87="","",Produtos!$D87))</f>
        <v>81.62</v>
      </c>
      <c r="E87" s="11" t="n">
        <v>21.75</v>
      </c>
      <c r="F87" s="34" t="n">
        <f aca="false">IF($A87="","",IF($C87="","⚠ categoria",IFERROR(INDEX(Parâmetros!$B$13:$B$22,MATCH($C87,Parâmetros!$A$13:$A$22,0)),"⚠ categoria")))</f>
        <v>0.13</v>
      </c>
      <c r="G87" s="35" t="n">
        <v>0.12</v>
      </c>
      <c r="H87" s="36" t="n">
        <f aca="false">IF($A87="","",IF(ISNUMBER($G87),$G87,IF(ISNUMBER($F87),$F87,"")))</f>
        <v>0.12</v>
      </c>
      <c r="I87" s="37" t="n">
        <f aca="false">IF(OR($A87="",NOT(ISNUMBER($D87)),NOT(ISNUMBER($H87))),"",IF((1-$H87-Parâmetros!$B$4-Parâmetros!$C$4-Parâmetros!$D$4)&lt;=0,"INVALIDO",($D87+IF(ISNUMBER($E87),$E87,0)+IF(ISNUMBER(Parâmetros!$E$4),Parâmetros!$E$4,0))/(1-$H87-Parâmetros!$B$4-Parâmetros!$C$4-Parâmetros!$D$4)))</f>
        <v>187.945454545455</v>
      </c>
      <c r="J87" s="38" t="n">
        <v>188.6145325</v>
      </c>
      <c r="K87" s="39" t="n">
        <f aca="false">IF(OR($A87="",NOT(ISNUMBER($D87)),NOT(ISNUMBER($H87))),"",IF(AND(ISNUMBER($J87),$J87&gt;0),$J87,IF(ISNUMBER($I87),$I87,"")))</f>
        <v>188.6145325</v>
      </c>
      <c r="L87" s="40" t="n">
        <f aca="false">IF(ISNUMBER($K87),$K87*$H87,"")</f>
        <v>22.6337439</v>
      </c>
      <c r="M87" s="40" t="n">
        <f aca="false">IF(ISNUMBER($K87),$K87*Parâmetros!$B$4,"")</f>
        <v>18.86145325</v>
      </c>
      <c r="N87" s="40" t="n">
        <f aca="false">IF(ISNUMBER($K87),$K87*Parâmetros!$C$4,"")</f>
        <v>5.658435975</v>
      </c>
      <c r="O87" s="40" t="n">
        <f aca="false">IF(ISNUMBER($K87),IF(ISNUMBER(Parâmetros!$E$4),Parâmetros!$E$4,0),"")</f>
        <v>0</v>
      </c>
      <c r="P87" s="41" t="n">
        <f aca="false">IF(ISNUMBER($K87),$K87-$D87-IF(ISNUMBER($E87),$E87,0)-$L87-$M87-$N87-$O87,"")</f>
        <v>38.090899375</v>
      </c>
      <c r="Q87" s="42" t="n">
        <f aca="false">IF(AND(ISNUMBER($K87),$K87&gt;0),$P87/$K87,"")</f>
        <v>0.201951031397859</v>
      </c>
      <c r="R87" s="43"/>
      <c r="S87" s="44" t="str">
        <f aca="false">IF(OR(NOT(ISNUMBER($R87)),$R87=0,NOT(ISNUMBER($K87))),"",$K87*(1-$R87))</f>
        <v/>
      </c>
      <c r="T87" s="45" t="str">
        <f aca="false">IF(ISNUMBER($S87),$S87*$H87,"")</f>
        <v/>
      </c>
      <c r="U87" s="45" t="str">
        <f aca="false">IF(ISNUMBER($S87),$S87*Parâmetros!$B$4,"")</f>
        <v/>
      </c>
      <c r="V87" s="45" t="str">
        <f aca="false">IF(ISNUMBER($S87),$S87*Parâmetros!$C$4,"")</f>
        <v/>
      </c>
      <c r="W87" s="44" t="str">
        <f aca="false">IF(ISNUMBER($S87),$S87-$D87-IF(ISNUMBER($E87),$E87,0)-$O87-$T87-$U87-$V87,"")</f>
        <v/>
      </c>
      <c r="X87" s="46" t="str">
        <f aca="false">IF(AND(ISNUMBER($S87),$S87&gt;0),$W87/$S87,"")</f>
        <v/>
      </c>
      <c r="Y87" s="49" t="s">
        <v>738</v>
      </c>
      <c r="Z87" s="21"/>
    </row>
    <row r="88" customFormat="false" ht="15.75" hidden="false" customHeight="true" outlineLevel="0" collapsed="false">
      <c r="A88" s="32" t="str">
        <f aca="false">IF(Produtos!$A88="","",Produtos!$A88)</f>
        <v>P2025</v>
      </c>
      <c r="B88" s="32" t="str">
        <f aca="false">IF(Produtos!$A88="","",Produtos!$B88)</f>
        <v>Lixeira c/Tampa Pedal 20x25 07L</v>
      </c>
      <c r="C88" s="32" t="str">
        <f aca="false">IF(Produtos!$A88="","",Produtos!$C88)</f>
        <v>Lixeiras com pedal</v>
      </c>
      <c r="D88" s="33" t="n">
        <f aca="false">IF(Produtos!$A88="","",IF(Produtos!$D88="","",Produtos!$D88))</f>
        <v>99.57</v>
      </c>
      <c r="E88" s="11" t="n">
        <v>25.55</v>
      </c>
      <c r="F88" s="34" t="n">
        <f aca="false">IF($A88="","",IF($C88="","⚠ categoria",IFERROR(INDEX(Parâmetros!$B$13:$B$22,MATCH($C88,Parâmetros!$A$13:$A$22,0)),"⚠ categoria")))</f>
        <v>0.13</v>
      </c>
      <c r="G88" s="35" t="n">
        <v>0.12</v>
      </c>
      <c r="H88" s="36" t="n">
        <f aca="false">IF($A88="","",IF(ISNUMBER($G88),$G88,IF(ISNUMBER($F88),$F88,"")))</f>
        <v>0.12</v>
      </c>
      <c r="I88" s="37" t="n">
        <f aca="false">IF(OR($A88="",NOT(ISNUMBER($D88)),NOT(ISNUMBER($H88))),"",IF((1-$H88-Parâmetros!$B$4-Parâmetros!$C$4-Parâmetros!$D$4)&lt;=0,"INVALIDO",($D88+IF(ISNUMBER($E88),$E88,0)+IF(ISNUMBER(Parâmetros!$E$4),Parâmetros!$E$4,0))/(1-$H88-Parâmetros!$B$4-Parâmetros!$C$4-Parâmetros!$D$4)))</f>
        <v>227.490909090909</v>
      </c>
      <c r="J88" s="38" t="n">
        <v>230.9787375</v>
      </c>
      <c r="K88" s="39" t="n">
        <f aca="false">IF(OR($A88="",NOT(ISNUMBER($D88)),NOT(ISNUMBER($H88))),"",IF(AND(ISNUMBER($J88),$J88&gt;0),$J88,IF(ISNUMBER($I88),$I88,"")))</f>
        <v>230.9787375</v>
      </c>
      <c r="L88" s="40" t="n">
        <f aca="false">IF(ISNUMBER($K88),$K88*$H88,"")</f>
        <v>27.7174485</v>
      </c>
      <c r="M88" s="40" t="n">
        <f aca="false">IF(ISNUMBER($K88),$K88*Parâmetros!$B$4,"")</f>
        <v>23.09787375</v>
      </c>
      <c r="N88" s="40" t="n">
        <f aca="false">IF(ISNUMBER($K88),$K88*Parâmetros!$C$4,"")</f>
        <v>6.929362125</v>
      </c>
      <c r="O88" s="40" t="n">
        <f aca="false">IF(ISNUMBER($K88),IF(ISNUMBER(Parâmetros!$E$4),Parâmetros!$E$4,0),"")</f>
        <v>0</v>
      </c>
      <c r="P88" s="41" t="n">
        <f aca="false">IF(ISNUMBER($K88),$K88-$D88-IF(ISNUMBER($E88),$E88,0)-$L88-$M88-$N88-$O88,"")</f>
        <v>48.114053125</v>
      </c>
      <c r="Q88" s="42" t="n">
        <f aca="false">IF(AND(ISNUMBER($K88),$K88&gt;0),$P88/$K88,"")</f>
        <v>0.208305117803322</v>
      </c>
      <c r="R88" s="43"/>
      <c r="S88" s="44" t="str">
        <f aca="false">IF(OR(NOT(ISNUMBER($R88)),$R88=0,NOT(ISNUMBER($K88))),"",$K88*(1-$R88))</f>
        <v/>
      </c>
      <c r="T88" s="45" t="str">
        <f aca="false">IF(ISNUMBER($S88),$S88*$H88,"")</f>
        <v/>
      </c>
      <c r="U88" s="45" t="str">
        <f aca="false">IF(ISNUMBER($S88),$S88*Parâmetros!$B$4,"")</f>
        <v/>
      </c>
      <c r="V88" s="45" t="str">
        <f aca="false">IF(ISNUMBER($S88),$S88*Parâmetros!$C$4,"")</f>
        <v/>
      </c>
      <c r="W88" s="44" t="str">
        <f aca="false">IF(ISNUMBER($S88),$S88-$D88-IF(ISNUMBER($E88),$E88,0)-$O88-$T88-$U88-$V88,"")</f>
        <v/>
      </c>
      <c r="X88" s="46" t="str">
        <f aca="false">IF(AND(ISNUMBER($S88),$S88&gt;0),$W88/$S88,"")</f>
        <v/>
      </c>
      <c r="Y88" s="47" t="s">
        <v>738</v>
      </c>
      <c r="Z88" s="19"/>
    </row>
    <row r="89" customFormat="false" ht="15.75" hidden="false" customHeight="true" outlineLevel="0" collapsed="false">
      <c r="A89" s="48" t="str">
        <f aca="false">IF(Produtos!$A89="","",Produtos!$A89)</f>
        <v>P2030</v>
      </c>
      <c r="B89" s="48" t="str">
        <f aca="false">IF(Produtos!$A89="","",Produtos!$B89)</f>
        <v>Lixeira c/Tampa Pedal 20x30 10L</v>
      </c>
      <c r="C89" s="48" t="str">
        <f aca="false">IF(Produtos!$A89="","",Produtos!$C89)</f>
        <v>Lixeiras com pedal</v>
      </c>
      <c r="D89" s="33" t="n">
        <f aca="false">IF(Produtos!$A89="","",IF(Produtos!$D89="","",Produtos!$D89))</f>
        <v>111.27</v>
      </c>
      <c r="E89" s="11" t="n">
        <v>27.05</v>
      </c>
      <c r="F89" s="34" t="n">
        <f aca="false">IF($A89="","",IF($C89="","⚠ categoria",IFERROR(INDEX(Parâmetros!$B$13:$B$22,MATCH($C89,Parâmetros!$A$13:$A$22,0)),"⚠ categoria")))</f>
        <v>0.13</v>
      </c>
      <c r="G89" s="35" t="n">
        <v>0.12</v>
      </c>
      <c r="H89" s="36" t="n">
        <f aca="false">IF($A89="","",IF(ISNUMBER($G89),$G89,IF(ISNUMBER($F89),$F89,"")))</f>
        <v>0.12</v>
      </c>
      <c r="I89" s="37" t="n">
        <f aca="false">IF(OR($A89="",NOT(ISNUMBER($D89)),NOT(ISNUMBER($H89))),"",IF((1-$H89-Parâmetros!$B$4-Parâmetros!$C$4-Parâmetros!$D$4)&lt;=0,"INVALIDO",($D89+IF(ISNUMBER($E89),$E89,0)+IF(ISNUMBER(Parâmetros!$E$4),Parâmetros!$E$4,0))/(1-$H89-Parâmetros!$B$4-Parâmetros!$C$4-Parâmetros!$D$4)))</f>
        <v>251.490909090909</v>
      </c>
      <c r="J89" s="38" t="n">
        <v>251.56</v>
      </c>
      <c r="K89" s="39" t="n">
        <f aca="false">IF(OR($A89="",NOT(ISNUMBER($D89)),NOT(ISNUMBER($H89))),"",IF(AND(ISNUMBER($J89),$J89&gt;0),$J89,IF(ISNUMBER($I89),$I89,"")))</f>
        <v>251.56</v>
      </c>
      <c r="L89" s="40" t="n">
        <f aca="false">IF(ISNUMBER($K89),$K89*$H89,"")</f>
        <v>30.1872</v>
      </c>
      <c r="M89" s="40" t="n">
        <f aca="false">IF(ISNUMBER($K89),$K89*Parâmetros!$B$4,"")</f>
        <v>25.156</v>
      </c>
      <c r="N89" s="40" t="n">
        <f aca="false">IF(ISNUMBER($K89),$K89*Parâmetros!$C$4,"")</f>
        <v>7.5468</v>
      </c>
      <c r="O89" s="40" t="n">
        <f aca="false">IF(ISNUMBER($K89),IF(ISNUMBER(Parâmetros!$E$4),Parâmetros!$E$4,0),"")</f>
        <v>0</v>
      </c>
      <c r="P89" s="41" t="n">
        <f aca="false">IF(ISNUMBER($K89),$K89-$D89-IF(ISNUMBER($E89),$E89,0)-$L89-$M89-$N89-$O89,"")</f>
        <v>50.35</v>
      </c>
      <c r="Q89" s="42" t="n">
        <f aca="false">IF(AND(ISNUMBER($K89),$K89&gt;0),$P89/$K89,"")</f>
        <v>0.200151057401813</v>
      </c>
      <c r="R89" s="43"/>
      <c r="S89" s="44" t="str">
        <f aca="false">IF(OR(NOT(ISNUMBER($R89)),$R89=0,NOT(ISNUMBER($K89))),"",$K89*(1-$R89))</f>
        <v/>
      </c>
      <c r="T89" s="45" t="str">
        <f aca="false">IF(ISNUMBER($S89),$S89*$H89,"")</f>
        <v/>
      </c>
      <c r="U89" s="45" t="str">
        <f aca="false">IF(ISNUMBER($S89),$S89*Parâmetros!$B$4,"")</f>
        <v/>
      </c>
      <c r="V89" s="45" t="str">
        <f aca="false">IF(ISNUMBER($S89),$S89*Parâmetros!$C$4,"")</f>
        <v/>
      </c>
      <c r="W89" s="44" t="str">
        <f aca="false">IF(ISNUMBER($S89),$S89-$D89-IF(ISNUMBER($E89),$E89,0)-$O89-$T89-$U89-$V89,"")</f>
        <v/>
      </c>
      <c r="X89" s="46" t="str">
        <f aca="false">IF(AND(ISNUMBER($S89),$S89&gt;0),$W89/$S89,"")</f>
        <v/>
      </c>
      <c r="Y89" s="49" t="s">
        <v>739</v>
      </c>
      <c r="Z89" s="21"/>
    </row>
    <row r="90" customFormat="false" ht="15.75" hidden="false" customHeight="true" outlineLevel="0" collapsed="false">
      <c r="A90" s="32" t="str">
        <f aca="false">IF(Produtos!$A90="","",Produtos!$A90)</f>
        <v>P2425</v>
      </c>
      <c r="B90" s="32" t="str">
        <f aca="false">IF(Produtos!$A90="","",Produtos!$B90)</f>
        <v>Lixeira c/Tampa Pedal 24x25 12L</v>
      </c>
      <c r="C90" s="32" t="str">
        <f aca="false">IF(Produtos!$A90="","",Produtos!$C90)</f>
        <v>Lixeiras com pedal</v>
      </c>
      <c r="D90" s="33" t="n">
        <f aca="false">IF(Produtos!$A90="","",IF(Produtos!$D90="","",Produtos!$D90))</f>
        <v>121.08</v>
      </c>
      <c r="E90" s="11" t="n">
        <v>29.25</v>
      </c>
      <c r="F90" s="34" t="n">
        <f aca="false">IF($A90="","",IF($C90="","⚠ categoria",IFERROR(INDEX(Parâmetros!$B$13:$B$22,MATCH($C90,Parâmetros!$A$13:$A$22,0)),"⚠ categoria")))</f>
        <v>0.13</v>
      </c>
      <c r="G90" s="35" t="n">
        <v>0.12</v>
      </c>
      <c r="H90" s="36" t="n">
        <f aca="false">IF($A90="","",IF(ISNUMBER($G90),$G90,IF(ISNUMBER($F90),$F90,"")))</f>
        <v>0.12</v>
      </c>
      <c r="I90" s="37" t="n">
        <f aca="false">IF(OR($A90="",NOT(ISNUMBER($D90)),NOT(ISNUMBER($H90))),"",IF((1-$H90-Parâmetros!$B$4-Parâmetros!$C$4-Parâmetros!$D$4)&lt;=0,"INVALIDO",($D90+IF(ISNUMBER($E90),$E90,0)+IF(ISNUMBER(Parâmetros!$E$4),Parâmetros!$E$4,0))/(1-$H90-Parâmetros!$B$4-Parâmetros!$C$4-Parâmetros!$D$4)))</f>
        <v>273.327272727273</v>
      </c>
      <c r="J90" s="38" t="n">
        <v>274.1024475</v>
      </c>
      <c r="K90" s="39" t="n">
        <f aca="false">IF(OR($A90="",NOT(ISNUMBER($D90)),NOT(ISNUMBER($H90))),"",IF(AND(ISNUMBER($J90),$J90&gt;0),$J90,IF(ISNUMBER($I90),$I90,"")))</f>
        <v>274.1024475</v>
      </c>
      <c r="L90" s="40" t="n">
        <f aca="false">IF(ISNUMBER($K90),$K90*$H90,"")</f>
        <v>32.8922937</v>
      </c>
      <c r="M90" s="40" t="n">
        <f aca="false">IF(ISNUMBER($K90),$K90*Parâmetros!$B$4,"")</f>
        <v>27.41024475</v>
      </c>
      <c r="N90" s="40" t="n">
        <f aca="false">IF(ISNUMBER($K90),$K90*Parâmetros!$C$4,"")</f>
        <v>8.223073425</v>
      </c>
      <c r="O90" s="40" t="n">
        <f aca="false">IF(ISNUMBER($K90),IF(ISNUMBER(Parâmetros!$E$4),Parâmetros!$E$4,0),"")</f>
        <v>0</v>
      </c>
      <c r="P90" s="41" t="n">
        <f aca="false">IF(ISNUMBER($K90),$K90-$D90-IF(ISNUMBER($E90),$E90,0)-$L90-$M90-$N90-$O90,"")</f>
        <v>55.246835625</v>
      </c>
      <c r="Q90" s="42" t="n">
        <f aca="false">IF(AND(ISNUMBER($K90),$K90&gt;0),$P90/$K90,"")</f>
        <v>0.201555426187867</v>
      </c>
      <c r="R90" s="43"/>
      <c r="S90" s="44" t="str">
        <f aca="false">IF(OR(NOT(ISNUMBER($R90)),$R90=0,NOT(ISNUMBER($K90))),"",$K90*(1-$R90))</f>
        <v/>
      </c>
      <c r="T90" s="45" t="str">
        <f aca="false">IF(ISNUMBER($S90),$S90*$H90,"")</f>
        <v/>
      </c>
      <c r="U90" s="45" t="str">
        <f aca="false">IF(ISNUMBER($S90),$S90*Parâmetros!$B$4,"")</f>
        <v/>
      </c>
      <c r="V90" s="45" t="str">
        <f aca="false">IF(ISNUMBER($S90),$S90*Parâmetros!$C$4,"")</f>
        <v/>
      </c>
      <c r="W90" s="44" t="str">
        <f aca="false">IF(ISNUMBER($S90),$S90-$D90-IF(ISNUMBER($E90),$E90,0)-$O90-$T90-$U90-$V90,"")</f>
        <v/>
      </c>
      <c r="X90" s="46" t="str">
        <f aca="false">IF(AND(ISNUMBER($S90),$S90&gt;0),$W90/$S90,"")</f>
        <v/>
      </c>
      <c r="Y90" s="47" t="s">
        <v>738</v>
      </c>
      <c r="Z90" s="19"/>
    </row>
    <row r="91" customFormat="false" ht="15.75" hidden="false" customHeight="true" outlineLevel="0" collapsed="false">
      <c r="A91" s="48" t="str">
        <f aca="false">IF(Produtos!$A91="","",Produtos!$A91)</f>
        <v>P2430</v>
      </c>
      <c r="B91" s="48" t="str">
        <f aca="false">IF(Produtos!$A91="","",Produtos!$B91)</f>
        <v>Lixeira c/Tampa Pedal 24x30 15L</v>
      </c>
      <c r="C91" s="48" t="str">
        <f aca="false">IF(Produtos!$A91="","",Produtos!$C91)</f>
        <v>Lixeiras com pedal</v>
      </c>
      <c r="D91" s="33" t="n">
        <f aca="false">IF(Produtos!$A91="","",IF(Produtos!$D91="","",Produtos!$D91))</f>
        <v>124.7</v>
      </c>
      <c r="E91" s="11" t="n">
        <v>27.05</v>
      </c>
      <c r="F91" s="34" t="n">
        <f aca="false">IF($A91="","",IF($C91="","⚠ categoria",IFERROR(INDEX(Parâmetros!$B$13:$B$22,MATCH($C91,Parâmetros!$A$13:$A$22,0)),"⚠ categoria")))</f>
        <v>0.13</v>
      </c>
      <c r="G91" s="35" t="n">
        <v>0.12</v>
      </c>
      <c r="H91" s="36" t="n">
        <f aca="false">IF($A91="","",IF(ISNUMBER($G91),$G91,IF(ISNUMBER($F91),$F91,"")))</f>
        <v>0.12</v>
      </c>
      <c r="I91" s="37" t="n">
        <f aca="false">IF(OR($A91="",NOT(ISNUMBER($D91)),NOT(ISNUMBER($H91))),"",IF((1-$H91-Parâmetros!$B$4-Parâmetros!$C$4-Parâmetros!$D$4)&lt;=0,"INVALIDO",($D91+IF(ISNUMBER($E91),$E91,0)+IF(ISNUMBER(Parâmetros!$E$4),Parâmetros!$E$4,0))/(1-$H91-Parâmetros!$B$4-Parâmetros!$C$4-Parâmetros!$D$4)))</f>
        <v>275.909090909091</v>
      </c>
      <c r="J91" s="38" t="n">
        <v>277.691085</v>
      </c>
      <c r="K91" s="39" t="n">
        <f aca="false">IF(OR($A91="",NOT(ISNUMBER($D91)),NOT(ISNUMBER($H91))),"",IF(AND(ISNUMBER($J91),$J91&gt;0),$J91,IF(ISNUMBER($I91),$I91,"")))</f>
        <v>277.691085</v>
      </c>
      <c r="L91" s="40" t="n">
        <f aca="false">IF(ISNUMBER($K91),$K91*$H91,"")</f>
        <v>33.3229302</v>
      </c>
      <c r="M91" s="40" t="n">
        <f aca="false">IF(ISNUMBER($K91),$K91*Parâmetros!$B$4,"")</f>
        <v>27.7691085</v>
      </c>
      <c r="N91" s="40" t="n">
        <f aca="false">IF(ISNUMBER($K91),$K91*Parâmetros!$C$4,"")</f>
        <v>8.33073255</v>
      </c>
      <c r="O91" s="40" t="n">
        <f aca="false">IF(ISNUMBER($K91),IF(ISNUMBER(Parâmetros!$E$4),Parâmetros!$E$4,0),"")</f>
        <v>0</v>
      </c>
      <c r="P91" s="41" t="n">
        <f aca="false">IF(ISNUMBER($K91),$K91-$D91-IF(ISNUMBER($E91),$E91,0)-$L91-$M91-$N91-$O91,"")</f>
        <v>56.51831375</v>
      </c>
      <c r="Q91" s="42" t="n">
        <f aca="false">IF(AND(ISNUMBER($K91),$K91&gt;0),$P91/$K91,"")</f>
        <v>0.203529449820112</v>
      </c>
      <c r="R91" s="43"/>
      <c r="S91" s="44" t="str">
        <f aca="false">IF(OR(NOT(ISNUMBER($R91)),$R91=0,NOT(ISNUMBER($K91))),"",$K91*(1-$R91))</f>
        <v/>
      </c>
      <c r="T91" s="45" t="str">
        <f aca="false">IF(ISNUMBER($S91),$S91*$H91,"")</f>
        <v/>
      </c>
      <c r="U91" s="45" t="str">
        <f aca="false">IF(ISNUMBER($S91),$S91*Parâmetros!$B$4,"")</f>
        <v/>
      </c>
      <c r="V91" s="45" t="str">
        <f aca="false">IF(ISNUMBER($S91),$S91*Parâmetros!$C$4,"")</f>
        <v/>
      </c>
      <c r="W91" s="44" t="str">
        <f aca="false">IF(ISNUMBER($S91),$S91-$D91-IF(ISNUMBER($E91),$E91,0)-$O91-$T91-$U91-$V91,"")</f>
        <v/>
      </c>
      <c r="X91" s="46" t="str">
        <f aca="false">IF(AND(ISNUMBER($S91),$S91&gt;0),$W91/$S91,"")</f>
        <v/>
      </c>
      <c r="Y91" s="49" t="s">
        <v>738</v>
      </c>
      <c r="Z91" s="21"/>
    </row>
    <row r="92" customFormat="false" ht="15.75" hidden="false" customHeight="true" outlineLevel="0" collapsed="false">
      <c r="A92" s="32" t="str">
        <f aca="false">IF(Produtos!$A92="","",Produtos!$A92)</f>
        <v>P2440</v>
      </c>
      <c r="B92" s="32" t="str">
        <f aca="false">IF(Produtos!$A92="","",Produtos!$B92)</f>
        <v>Lixeira c/Tampa Pedal 24x40 20L</v>
      </c>
      <c r="C92" s="32" t="str">
        <f aca="false">IF(Produtos!$A92="","",Produtos!$C92)</f>
        <v>Lixeiras com pedal</v>
      </c>
      <c r="D92" s="33" t="n">
        <f aca="false">IF(Produtos!$A92="","",IF(Produtos!$D92="","",Produtos!$D92))</f>
        <v>140.24</v>
      </c>
      <c r="E92" s="11" t="n">
        <v>29.25</v>
      </c>
      <c r="F92" s="34" t="n">
        <f aca="false">IF($A92="","",IF($C92="","⚠ categoria",IFERROR(INDEX(Parâmetros!$B$13:$B$22,MATCH($C92,Parâmetros!$A$13:$A$22,0)),"⚠ categoria")))</f>
        <v>0.13</v>
      </c>
      <c r="G92" s="35" t="n">
        <v>0.12</v>
      </c>
      <c r="H92" s="36" t="n">
        <f aca="false">IF($A92="","",IF(ISNUMBER($G92),$G92,IF(ISNUMBER($F92),$F92,"")))</f>
        <v>0.12</v>
      </c>
      <c r="I92" s="37" t="n">
        <f aca="false">IF(OR($A92="",NOT(ISNUMBER($D92)),NOT(ISNUMBER($H92))),"",IF((1-$H92-Parâmetros!$B$4-Parâmetros!$C$4-Parâmetros!$D$4)&lt;=0,"INVALIDO",($D92+IF(ISNUMBER($E92),$E92,0)+IF(ISNUMBER(Parâmetros!$E$4),Parâmetros!$E$4,0))/(1-$H92-Parâmetros!$B$4-Parâmetros!$C$4-Parâmetros!$D$4)))</f>
        <v>308.163636363636</v>
      </c>
      <c r="J92" s="38" t="n">
        <v>310.415986125</v>
      </c>
      <c r="K92" s="39" t="n">
        <f aca="false">IF(OR($A92="",NOT(ISNUMBER($D92)),NOT(ISNUMBER($H92))),"",IF(AND(ISNUMBER($J92),$J92&gt;0),$J92,IF(ISNUMBER($I92),$I92,"")))</f>
        <v>310.415986125</v>
      </c>
      <c r="L92" s="40" t="n">
        <f aca="false">IF(ISNUMBER($K92),$K92*$H92,"")</f>
        <v>37.249918335</v>
      </c>
      <c r="M92" s="40" t="n">
        <f aca="false">IF(ISNUMBER($K92),$K92*Parâmetros!$B$4,"")</f>
        <v>31.0415986125</v>
      </c>
      <c r="N92" s="40" t="n">
        <f aca="false">IF(ISNUMBER($K92),$K92*Parâmetros!$C$4,"")</f>
        <v>9.31247958375</v>
      </c>
      <c r="O92" s="40" t="n">
        <f aca="false">IF(ISNUMBER($K92),IF(ISNUMBER(Parâmetros!$E$4),Parâmetros!$E$4,0),"")</f>
        <v>0</v>
      </c>
      <c r="P92" s="41" t="n">
        <f aca="false">IF(ISNUMBER($K92),$K92-$D92-IF(ISNUMBER($E92),$E92,0)-$L92-$M92-$N92-$O92,"")</f>
        <v>63.32198959375</v>
      </c>
      <c r="Q92" s="42" t="n">
        <f aca="false">IF(AND(ISNUMBER($K92),$K92&gt;0),$P92/$K92,"")</f>
        <v>0.203990749265894</v>
      </c>
      <c r="R92" s="43"/>
      <c r="S92" s="44" t="str">
        <f aca="false">IF(OR(NOT(ISNUMBER($R92)),$R92=0,NOT(ISNUMBER($K92))),"",$K92*(1-$R92))</f>
        <v/>
      </c>
      <c r="T92" s="45" t="str">
        <f aca="false">IF(ISNUMBER($S92),$S92*$H92,"")</f>
        <v/>
      </c>
      <c r="U92" s="45" t="str">
        <f aca="false">IF(ISNUMBER($S92),$S92*Parâmetros!$B$4,"")</f>
        <v/>
      </c>
      <c r="V92" s="45" t="str">
        <f aca="false">IF(ISNUMBER($S92),$S92*Parâmetros!$C$4,"")</f>
        <v/>
      </c>
      <c r="W92" s="44" t="str">
        <f aca="false">IF(ISNUMBER($S92),$S92-$D92-IF(ISNUMBER($E92),$E92,0)-$O92-$T92-$U92-$V92,"")</f>
        <v/>
      </c>
      <c r="X92" s="46" t="str">
        <f aca="false">IF(AND(ISNUMBER($S92),$S92&gt;0),$W92/$S92,"")</f>
        <v/>
      </c>
      <c r="Y92" s="47" t="s">
        <v>738</v>
      </c>
      <c r="Z92" s="19"/>
    </row>
    <row r="93" customFormat="false" ht="15.75" hidden="false" customHeight="true" outlineLevel="0" collapsed="false">
      <c r="A93" s="48" t="str">
        <f aca="false">IF(Produtos!$A93="","",Produtos!$A93)</f>
        <v>P3040</v>
      </c>
      <c r="B93" s="48" t="str">
        <f aca="false">IF(Produtos!$A93="","",Produtos!$B93)</f>
        <v>Lixeira c/Tampa Pedal 30x40 30L</v>
      </c>
      <c r="C93" s="48" t="str">
        <f aca="false">IF(Produtos!$A93="","",Produtos!$C93)</f>
        <v>Lixeiras com pedal</v>
      </c>
      <c r="D93" s="33" t="n">
        <f aca="false">IF(Produtos!$A93="","",IF(Produtos!$D93="","",Produtos!$D93))</f>
        <v>194.88</v>
      </c>
      <c r="E93" s="11" t="n">
        <v>49.35</v>
      </c>
      <c r="F93" s="34" t="n">
        <f aca="false">IF($A93="","",IF($C93="","⚠ categoria",IFERROR(INDEX(Parâmetros!$B$13:$B$22,MATCH($C93,Parâmetros!$A$13:$A$22,0)),"⚠ categoria")))</f>
        <v>0.13</v>
      </c>
      <c r="G93" s="35" t="n">
        <v>0.12</v>
      </c>
      <c r="H93" s="36" t="n">
        <f aca="false">IF($A93="","",IF(ISNUMBER($G93),$G93,IF(ISNUMBER($F93),$F93,"")))</f>
        <v>0.12</v>
      </c>
      <c r="I93" s="37" t="n">
        <f aca="false">IF(OR($A93="",NOT(ISNUMBER($D93)),NOT(ISNUMBER($H93))),"",IF((1-$H93-Parâmetros!$B$4-Parâmetros!$C$4-Parâmetros!$D$4)&lt;=0,"INVALIDO",($D93+IF(ISNUMBER($E93),$E93,0)+IF(ISNUMBER(Parâmetros!$E$4),Parâmetros!$E$4,0))/(1-$H93-Parâmetros!$B$4-Parâmetros!$C$4-Parâmetros!$D$4)))</f>
        <v>444.054545454545</v>
      </c>
      <c r="J93" s="38" t="n">
        <v>445.0142025</v>
      </c>
      <c r="K93" s="39" t="n">
        <f aca="false">IF(OR($A93="",NOT(ISNUMBER($D93)),NOT(ISNUMBER($H93))),"",IF(AND(ISNUMBER($J93),$J93&gt;0),$J93,IF(ISNUMBER($I93),$I93,"")))</f>
        <v>445.0142025</v>
      </c>
      <c r="L93" s="40" t="n">
        <f aca="false">IF(ISNUMBER($K93),$K93*$H93,"")</f>
        <v>53.4017043</v>
      </c>
      <c r="M93" s="40" t="n">
        <f aca="false">IF(ISNUMBER($K93),$K93*Parâmetros!$B$4,"")</f>
        <v>44.50142025</v>
      </c>
      <c r="N93" s="40" t="n">
        <f aca="false">IF(ISNUMBER($K93),$K93*Parâmetros!$C$4,"")</f>
        <v>13.350426075</v>
      </c>
      <c r="O93" s="40" t="n">
        <f aca="false">IF(ISNUMBER($K93),IF(ISNUMBER(Parâmetros!$E$4),Parâmetros!$E$4,0),"")</f>
        <v>0</v>
      </c>
      <c r="P93" s="41" t="n">
        <f aca="false">IF(ISNUMBER($K93),$K93-$D93-IF(ISNUMBER($E93),$E93,0)-$L93-$M93-$N93-$O93,"")</f>
        <v>89.5306518750001</v>
      </c>
      <c r="Q93" s="42" t="n">
        <f aca="false">IF(AND(ISNUMBER($K93),$K93&gt;0),$P93/$K93,"")</f>
        <v>0.201186055123713</v>
      </c>
      <c r="R93" s="43"/>
      <c r="S93" s="44" t="str">
        <f aca="false">IF(OR(NOT(ISNUMBER($R93)),$R93=0,NOT(ISNUMBER($K93))),"",$K93*(1-$R93))</f>
        <v/>
      </c>
      <c r="T93" s="45" t="str">
        <f aca="false">IF(ISNUMBER($S93),$S93*$H93,"")</f>
        <v/>
      </c>
      <c r="U93" s="45" t="str">
        <f aca="false">IF(ISNUMBER($S93),$S93*Parâmetros!$B$4,"")</f>
        <v/>
      </c>
      <c r="V93" s="45" t="str">
        <f aca="false">IF(ISNUMBER($S93),$S93*Parâmetros!$C$4,"")</f>
        <v/>
      </c>
      <c r="W93" s="44" t="str">
        <f aca="false">IF(ISNUMBER($S93),$S93-$D93-IF(ISNUMBER($E93),$E93,0)-$O93-$T93-$U93-$V93,"")</f>
        <v/>
      </c>
      <c r="X93" s="46" t="str">
        <f aca="false">IF(AND(ISNUMBER($S93),$S93&gt;0),$W93/$S93,"")</f>
        <v/>
      </c>
      <c r="Y93" s="49" t="s">
        <v>738</v>
      </c>
      <c r="Z93" s="21"/>
    </row>
    <row r="94" customFormat="false" ht="15.75" hidden="false" customHeight="true" outlineLevel="0" collapsed="false">
      <c r="A94" s="32" t="str">
        <f aca="false">IF(Produtos!$A94="","",Produtos!$A94)</f>
        <v>P3050</v>
      </c>
      <c r="B94" s="32" t="str">
        <f aca="false">IF(Produtos!$A94="","",Produtos!$B94)</f>
        <v>Lixeira c/Tampa Pedal 30x50 40L</v>
      </c>
      <c r="C94" s="32" t="str">
        <f aca="false">IF(Produtos!$A94="","",Produtos!$C94)</f>
        <v>Lixeiras com pedal</v>
      </c>
      <c r="D94" s="33" t="n">
        <f aca="false">IF(Produtos!$A94="","",IF(Produtos!$D94="","",Produtos!$D94))</f>
        <v>240.55</v>
      </c>
      <c r="E94" s="11" t="n">
        <v>69.35</v>
      </c>
      <c r="F94" s="34" t="n">
        <f aca="false">IF($A94="","",IF($C94="","⚠ categoria",IFERROR(INDEX(Parâmetros!$B$13:$B$22,MATCH($C94,Parâmetros!$A$13:$A$22,0)),"⚠ categoria")))</f>
        <v>0.13</v>
      </c>
      <c r="G94" s="35" t="n">
        <v>0.12</v>
      </c>
      <c r="H94" s="36" t="n">
        <f aca="false">IF($A94="","",IF(ISNUMBER($G94),$G94,IF(ISNUMBER($F94),$F94,"")))</f>
        <v>0.12</v>
      </c>
      <c r="I94" s="37" t="n">
        <f aca="false">IF(OR($A94="",NOT(ISNUMBER($D94)),NOT(ISNUMBER($H94))),"",IF((1-$H94-Parâmetros!$B$4-Parâmetros!$C$4-Parâmetros!$D$4)&lt;=0,"INVALIDO",($D94+IF(ISNUMBER($E94),$E94,0)+IF(ISNUMBER(Parâmetros!$E$4),Parâmetros!$E$4,0))/(1-$H94-Parâmetros!$B$4-Parâmetros!$C$4-Parâmetros!$D$4)))</f>
        <v>563.454545454545</v>
      </c>
      <c r="J94" s="38" t="n">
        <v>564.05278125</v>
      </c>
      <c r="K94" s="39" t="n">
        <f aca="false">IF(OR($A94="",NOT(ISNUMBER($D94)),NOT(ISNUMBER($H94))),"",IF(AND(ISNUMBER($J94),$J94&gt;0),$J94,IF(ISNUMBER($I94),$I94,"")))</f>
        <v>564.05278125</v>
      </c>
      <c r="L94" s="40" t="n">
        <f aca="false">IF(ISNUMBER($K94),$K94*$H94,"")</f>
        <v>67.68633375</v>
      </c>
      <c r="M94" s="40" t="n">
        <f aca="false">IF(ISNUMBER($K94),$K94*Parâmetros!$B$4,"")</f>
        <v>56.405278125</v>
      </c>
      <c r="N94" s="40" t="n">
        <f aca="false">IF(ISNUMBER($K94),$K94*Parâmetros!$C$4,"")</f>
        <v>16.9215834375</v>
      </c>
      <c r="O94" s="40" t="n">
        <f aca="false">IF(ISNUMBER($K94),IF(ISNUMBER(Parâmetros!$E$4),Parâmetros!$E$4,0),"")</f>
        <v>0</v>
      </c>
      <c r="P94" s="41" t="n">
        <f aca="false">IF(ISNUMBER($K94),$K94-$D94-IF(ISNUMBER($E94),$E94,0)-$L94-$M94-$N94-$O94,"")</f>
        <v>113.1395859375</v>
      </c>
      <c r="Q94" s="42" t="n">
        <f aca="false">IF(AND(ISNUMBER($K94),$K94&gt;0),$P94/$K94,"")</f>
        <v>0.200583331380391</v>
      </c>
      <c r="R94" s="43"/>
      <c r="S94" s="44" t="str">
        <f aca="false">IF(OR(NOT(ISNUMBER($R94)),$R94=0,NOT(ISNUMBER($K94))),"",$K94*(1-$R94))</f>
        <v/>
      </c>
      <c r="T94" s="45" t="str">
        <f aca="false">IF(ISNUMBER($S94),$S94*$H94,"")</f>
        <v/>
      </c>
      <c r="U94" s="45" t="str">
        <f aca="false">IF(ISNUMBER($S94),$S94*Parâmetros!$B$4,"")</f>
        <v/>
      </c>
      <c r="V94" s="45" t="str">
        <f aca="false">IF(ISNUMBER($S94),$S94*Parâmetros!$C$4,"")</f>
        <v/>
      </c>
      <c r="W94" s="44" t="str">
        <f aca="false">IF(ISNUMBER($S94),$S94-$D94-IF(ISNUMBER($E94),$E94,0)-$O94-$T94-$U94-$V94,"")</f>
        <v/>
      </c>
      <c r="X94" s="46" t="str">
        <f aca="false">IF(AND(ISNUMBER($S94),$S94&gt;0),$W94/$S94,"")</f>
        <v/>
      </c>
      <c r="Y94" s="47" t="s">
        <v>738</v>
      </c>
      <c r="Z94" s="19"/>
    </row>
    <row r="95" customFormat="false" ht="15.75" hidden="false" customHeight="true" outlineLevel="0" collapsed="false">
      <c r="A95" s="48" t="str">
        <f aca="false">IF(Produtos!$A95="","",Produtos!$A95)</f>
        <v>P3060</v>
      </c>
      <c r="B95" s="48" t="str">
        <f aca="false">IF(Produtos!$A95="","",Produtos!$B95)</f>
        <v>Lixeira c/Tampa Pedal 30x60 50L</v>
      </c>
      <c r="C95" s="48" t="str">
        <f aca="false">IF(Produtos!$A95="","",Produtos!$C95)</f>
        <v>Lixeiras com pedal</v>
      </c>
      <c r="D95" s="33" t="n">
        <f aca="false">IF(Produtos!$A95="","",IF(Produtos!$D95="","",Produtos!$D95))</f>
        <v>242.26</v>
      </c>
      <c r="E95" s="11" t="n">
        <v>70.95</v>
      </c>
      <c r="F95" s="34" t="n">
        <f aca="false">IF($A95="","",IF($C95="","⚠ categoria",IFERROR(INDEX(Parâmetros!$B$13:$B$22,MATCH($C95,Parâmetros!$A$13:$A$22,0)),"⚠ categoria")))</f>
        <v>0.13</v>
      </c>
      <c r="G95" s="35" t="n">
        <v>0.12</v>
      </c>
      <c r="H95" s="36" t="n">
        <f aca="false">IF($A95="","",IF(ISNUMBER($G95),$G95,IF(ISNUMBER($F95),$F95,"")))</f>
        <v>0.12</v>
      </c>
      <c r="I95" s="37" t="n">
        <f aca="false">IF(OR($A95="",NOT(ISNUMBER($D95)),NOT(ISNUMBER($H95))),"",IF((1-$H95-Parâmetros!$B$4-Parâmetros!$C$4-Parâmetros!$D$4)&lt;=0,"INVALIDO",($D95+IF(ISNUMBER($E95),$E95,0)+IF(ISNUMBER(Parâmetros!$E$4),Parâmetros!$E$4,0))/(1-$H95-Parâmetros!$B$4-Parâmetros!$C$4-Parâmetros!$D$4)))</f>
        <v>569.472727272727</v>
      </c>
      <c r="J95" s="38" t="n">
        <v>574.508015</v>
      </c>
      <c r="K95" s="39" t="n">
        <f aca="false">IF(OR($A95="",NOT(ISNUMBER($D95)),NOT(ISNUMBER($H95))),"",IF(AND(ISNUMBER($J95),$J95&gt;0),$J95,IF(ISNUMBER($I95),$I95,"")))</f>
        <v>574.508015</v>
      </c>
      <c r="L95" s="40" t="n">
        <f aca="false">IF(ISNUMBER($K95),$K95*$H95,"")</f>
        <v>68.9409618</v>
      </c>
      <c r="M95" s="40" t="n">
        <f aca="false">IF(ISNUMBER($K95),$K95*Parâmetros!$B$4,"")</f>
        <v>57.4508015</v>
      </c>
      <c r="N95" s="40" t="n">
        <f aca="false">IF(ISNUMBER($K95),$K95*Parâmetros!$C$4,"")</f>
        <v>17.23524045</v>
      </c>
      <c r="O95" s="40" t="n">
        <f aca="false">IF(ISNUMBER($K95),IF(ISNUMBER(Parâmetros!$E$4),Parâmetros!$E$4,0),"")</f>
        <v>0</v>
      </c>
      <c r="P95" s="41" t="n">
        <f aca="false">IF(ISNUMBER($K95),$K95-$D95-IF(ISNUMBER($E95),$E95,0)-$L95-$M95-$N95-$O95,"")</f>
        <v>117.67101125</v>
      </c>
      <c r="Q95" s="42" t="n">
        <f aca="false">IF(AND(ISNUMBER($K95),$K95&gt;0),$P95/$K95,"")</f>
        <v>0.204820486708092</v>
      </c>
      <c r="R95" s="43"/>
      <c r="S95" s="44" t="str">
        <f aca="false">IF(OR(NOT(ISNUMBER($R95)),$R95=0,NOT(ISNUMBER($K95))),"",$K95*(1-$R95))</f>
        <v/>
      </c>
      <c r="T95" s="45" t="str">
        <f aca="false">IF(ISNUMBER($S95),$S95*$H95,"")</f>
        <v/>
      </c>
      <c r="U95" s="45" t="str">
        <f aca="false">IF(ISNUMBER($S95),$S95*Parâmetros!$B$4,"")</f>
        <v/>
      </c>
      <c r="V95" s="45" t="str">
        <f aca="false">IF(ISNUMBER($S95),$S95*Parâmetros!$C$4,"")</f>
        <v/>
      </c>
      <c r="W95" s="44" t="str">
        <f aca="false">IF(ISNUMBER($S95),$S95-$D95-IF(ISNUMBER($E95),$E95,0)-$O95-$T95-$U95-$V95,"")</f>
        <v/>
      </c>
      <c r="X95" s="46" t="str">
        <f aca="false">IF(AND(ISNUMBER($S95),$S95&gt;0),$W95/$S95,"")</f>
        <v/>
      </c>
      <c r="Y95" s="49" t="s">
        <v>738</v>
      </c>
      <c r="Z95" s="21"/>
    </row>
    <row r="96" customFormat="false" ht="15.75" hidden="false" customHeight="true" outlineLevel="0" collapsed="false">
      <c r="A96" s="32" t="str">
        <f aca="false">IF(Produtos!$A96="","",Produtos!$A96)</f>
        <v>P3070</v>
      </c>
      <c r="B96" s="32" t="str">
        <f aca="false">IF(Produtos!$A96="","",Produtos!$B96)</f>
        <v>Lixeira c/Tampa Pedal 30x70 60L</v>
      </c>
      <c r="C96" s="32" t="str">
        <f aca="false">IF(Produtos!$A96="","",Produtos!$C96)</f>
        <v>Lixeiras com pedal</v>
      </c>
      <c r="D96" s="33" t="n">
        <f aca="false">IF(Produtos!$A96="","",IF(Produtos!$D96="","",Produtos!$D96))</f>
        <v>307.26</v>
      </c>
      <c r="E96" s="11" t="n">
        <v>70.95</v>
      </c>
      <c r="F96" s="34" t="n">
        <f aca="false">IF($A96="","",IF($C96="","⚠ categoria",IFERROR(INDEX(Parâmetros!$B$13:$B$22,MATCH($C96,Parâmetros!$A$13:$A$22,0)),"⚠ categoria")))</f>
        <v>0.13</v>
      </c>
      <c r="G96" s="35" t="n">
        <v>0.12</v>
      </c>
      <c r="H96" s="36" t="n">
        <f aca="false">IF($A96="","",IF(ISNUMBER($G96),$G96,IF(ISNUMBER($F96),$F96,"")))</f>
        <v>0.12</v>
      </c>
      <c r="I96" s="37" t="n">
        <f aca="false">IF(OR($A96="",NOT(ISNUMBER($D96)),NOT(ISNUMBER($H96))),"",IF((1-$H96-Parâmetros!$B$4-Parâmetros!$C$4-Parâmetros!$D$4)&lt;=0,"INVALIDO",($D96+IF(ISNUMBER($E96),$E96,0)+IF(ISNUMBER(Parâmetros!$E$4),Parâmetros!$E$4,0))/(1-$H96-Parâmetros!$B$4-Parâmetros!$C$4-Parâmetros!$D$4)))</f>
        <v>687.654545454545</v>
      </c>
      <c r="J96" s="38" t="n">
        <v>690.9</v>
      </c>
      <c r="K96" s="39" t="n">
        <f aca="false">IF(OR($A96="",NOT(ISNUMBER($D96)),NOT(ISNUMBER($H96))),"",IF(AND(ISNUMBER($J96),$J96&gt;0),$J96,IF(ISNUMBER($I96),$I96,"")))</f>
        <v>690.9</v>
      </c>
      <c r="L96" s="40" t="n">
        <f aca="false">IF(ISNUMBER($K96),$K96*$H96,"")</f>
        <v>82.908</v>
      </c>
      <c r="M96" s="40" t="n">
        <f aca="false">IF(ISNUMBER($K96),$K96*Parâmetros!$B$4,"")</f>
        <v>69.09</v>
      </c>
      <c r="N96" s="40" t="n">
        <f aca="false">IF(ISNUMBER($K96),$K96*Parâmetros!$C$4,"")</f>
        <v>20.727</v>
      </c>
      <c r="O96" s="40" t="n">
        <f aca="false">IF(ISNUMBER($K96),IF(ISNUMBER(Parâmetros!$E$4),Parâmetros!$E$4,0),"")</f>
        <v>0</v>
      </c>
      <c r="P96" s="41" t="n">
        <f aca="false">IF(ISNUMBER($K96),$K96-$D96-IF(ISNUMBER($E96),$E96,0)-$L96-$M96-$N96-$O96,"")</f>
        <v>139.965</v>
      </c>
      <c r="Q96" s="42" t="n">
        <f aca="false">IF(AND(ISNUMBER($K96),$K96&gt;0),$P96/$K96,"")</f>
        <v>0.20258358662614</v>
      </c>
      <c r="R96" s="43"/>
      <c r="S96" s="44" t="str">
        <f aca="false">IF(OR(NOT(ISNUMBER($R96)),$R96=0,NOT(ISNUMBER($K96))),"",$K96*(1-$R96))</f>
        <v/>
      </c>
      <c r="T96" s="45" t="str">
        <f aca="false">IF(ISNUMBER($S96),$S96*$H96,"")</f>
        <v/>
      </c>
      <c r="U96" s="45" t="str">
        <f aca="false">IF(ISNUMBER($S96),$S96*Parâmetros!$B$4,"")</f>
        <v/>
      </c>
      <c r="V96" s="45" t="str">
        <f aca="false">IF(ISNUMBER($S96),$S96*Parâmetros!$C$4,"")</f>
        <v/>
      </c>
      <c r="W96" s="44" t="str">
        <f aca="false">IF(ISNUMBER($S96),$S96-$D96-IF(ISNUMBER($E96),$E96,0)-$O96-$T96-$U96-$V96,"")</f>
        <v/>
      </c>
      <c r="X96" s="46" t="str">
        <f aca="false">IF(AND(ISNUMBER($S96),$S96&gt;0),$W96/$S96,"")</f>
        <v/>
      </c>
      <c r="Y96" s="47" t="s">
        <v>738</v>
      </c>
      <c r="Z96" s="19"/>
    </row>
    <row r="97" customFormat="false" ht="15.75" hidden="false" customHeight="true" outlineLevel="0" collapsed="false">
      <c r="A97" s="48" t="str">
        <f aca="false">IF(Produtos!$A97="","",Produtos!$A97)</f>
        <v>P4050</v>
      </c>
      <c r="B97" s="48" t="str">
        <f aca="false">IF(Produtos!$A97="","",Produtos!$B97)</f>
        <v>Lixeira c/Tampa Pedal 40x50 65L</v>
      </c>
      <c r="C97" s="48" t="str">
        <f aca="false">IF(Produtos!$A97="","",Produtos!$C97)</f>
        <v>Lixeiras com pedal</v>
      </c>
      <c r="D97" s="33" t="n">
        <f aca="false">IF(Produtos!$A97="","",IF(Produtos!$D97="","",Produtos!$D97))</f>
        <v>374.18</v>
      </c>
      <c r="E97" s="11"/>
      <c r="F97" s="34" t="n">
        <f aca="false">IF($A97="","",IF($C97="","⚠ categoria",IFERROR(INDEX(Parâmetros!$B$13:$B$22,MATCH($C97,Parâmetros!$A$13:$A$22,0)),"⚠ categoria")))</f>
        <v>0.13</v>
      </c>
      <c r="G97" s="35"/>
      <c r="H97" s="36" t="n">
        <f aca="false">IF($A97="","",IF(ISNUMBER($G97),$G97,IF(ISNUMBER($F97),$F97,"")))</f>
        <v>0.13</v>
      </c>
      <c r="I97" s="37" t="n">
        <f aca="false">IF(OR($A97="",NOT(ISNUMBER($D97)),NOT(ISNUMBER($H97))),"",IF((1-$H97-Parâmetros!$B$4-Parâmetros!$C$4-Parâmetros!$D$4)&lt;=0,"INVALIDO",($D97+IF(ISNUMBER($E97),$E97,0)+IF(ISNUMBER(Parâmetros!$E$4),Parâmetros!$E$4,0))/(1-$H97-Parâmetros!$B$4-Parâmetros!$C$4-Parâmetros!$D$4)))</f>
        <v>692.925925925926</v>
      </c>
      <c r="J97" s="38"/>
      <c r="K97" s="39" t="n">
        <f aca="false">IF(OR($A97="",NOT(ISNUMBER($D97)),NOT(ISNUMBER($H97))),"",IF(AND(ISNUMBER($J97),$J97&gt;0),$J97,IF(ISNUMBER($I97),$I97,"")))</f>
        <v>692.925925925926</v>
      </c>
      <c r="L97" s="40" t="n">
        <f aca="false">IF(ISNUMBER($K97),$K97*$H97,"")</f>
        <v>90.0803703703704</v>
      </c>
      <c r="M97" s="40" t="n">
        <f aca="false">IF(ISNUMBER($K97),$K97*Parâmetros!$B$4,"")</f>
        <v>69.2925925925926</v>
      </c>
      <c r="N97" s="40" t="n">
        <f aca="false">IF(ISNUMBER($K97),$K97*Parâmetros!$C$4,"")</f>
        <v>20.7877777777778</v>
      </c>
      <c r="O97" s="40" t="n">
        <f aca="false">IF(ISNUMBER($K97),IF(ISNUMBER(Parâmetros!$E$4),Parâmetros!$E$4,0),"")</f>
        <v>0</v>
      </c>
      <c r="P97" s="41" t="n">
        <f aca="false">IF(ISNUMBER($K97),$K97-$D97-IF(ISNUMBER($E97),$E97,0)-$L97-$M97-$N97-$O97,"")</f>
        <v>138.585185185185</v>
      </c>
      <c r="Q97" s="42" t="n">
        <f aca="false">IF(AND(ISNUMBER($K97),$K97&gt;0),$P97/$K97,"")</f>
        <v>0.2</v>
      </c>
      <c r="R97" s="43"/>
      <c r="S97" s="44" t="str">
        <f aca="false">IF(OR(NOT(ISNUMBER($R97)),$R97=0,NOT(ISNUMBER($K97))),"",$K97*(1-$R97))</f>
        <v/>
      </c>
      <c r="T97" s="45" t="str">
        <f aca="false">IF(ISNUMBER($S97),$S97*$H97,"")</f>
        <v/>
      </c>
      <c r="U97" s="45" t="str">
        <f aca="false">IF(ISNUMBER($S97),$S97*Parâmetros!$B$4,"")</f>
        <v/>
      </c>
      <c r="V97" s="45" t="str">
        <f aca="false">IF(ISNUMBER($S97),$S97*Parâmetros!$C$4,"")</f>
        <v/>
      </c>
      <c r="W97" s="44" t="str">
        <f aca="false">IF(ISNUMBER($S97),$S97-$D97-IF(ISNUMBER($E97),$E97,0)-$O97-$T97-$U97-$V97,"")</f>
        <v/>
      </c>
      <c r="X97" s="46" t="str">
        <f aca="false">IF(AND(ISNUMBER($S97),$S97&gt;0),$W97/$S97,"")</f>
        <v/>
      </c>
      <c r="Y97" s="49"/>
      <c r="Z97" s="21"/>
    </row>
    <row r="98" customFormat="false" ht="15.75" hidden="false" customHeight="true" outlineLevel="0" collapsed="false">
      <c r="A98" s="32" t="str">
        <f aca="false">IF(Produtos!$A98="","",Produtos!$A98)</f>
        <v>P4060</v>
      </c>
      <c r="B98" s="32" t="str">
        <f aca="false">IF(Produtos!$A98="","",Produtos!$B98)</f>
        <v>Lixeira c/Tampa Pedal 40x60 75L</v>
      </c>
      <c r="C98" s="32" t="str">
        <f aca="false">IF(Produtos!$A98="","",Produtos!$C98)</f>
        <v>Lixeiras com pedal</v>
      </c>
      <c r="D98" s="33" t="n">
        <f aca="false">IF(Produtos!$A98="","",IF(Produtos!$D98="","",Produtos!$D98))</f>
        <v>411.2</v>
      </c>
      <c r="E98" s="11" t="n">
        <v>79.35</v>
      </c>
      <c r="F98" s="34" t="n">
        <f aca="false">IF($A98="","",IF($C98="","⚠ categoria",IFERROR(INDEX(Parâmetros!$B$13:$B$22,MATCH($C98,Parâmetros!$A$13:$A$22,0)),"⚠ categoria")))</f>
        <v>0.13</v>
      </c>
      <c r="G98" s="35"/>
      <c r="H98" s="36" t="n">
        <f aca="false">IF($A98="","",IF(ISNUMBER($G98),$G98,IF(ISNUMBER($F98),$F98,"")))</f>
        <v>0.13</v>
      </c>
      <c r="I98" s="37" t="n">
        <f aca="false">IF(OR($A98="",NOT(ISNUMBER($D98)),NOT(ISNUMBER($H98))),"",IF((1-$H98-Parâmetros!$B$4-Parâmetros!$C$4-Parâmetros!$D$4)&lt;=0,"INVALIDO",($D98+IF(ISNUMBER($E98),$E98,0)+IF(ISNUMBER(Parâmetros!$E$4),Parâmetros!$E$4,0))/(1-$H98-Parâmetros!$B$4-Parâmetros!$C$4-Parâmetros!$D$4)))</f>
        <v>908.425925925926</v>
      </c>
      <c r="J98" s="38" t="n">
        <v>908.8</v>
      </c>
      <c r="K98" s="39" t="n">
        <f aca="false">IF(OR($A98="",NOT(ISNUMBER($D98)),NOT(ISNUMBER($H98))),"",IF(AND(ISNUMBER($J98),$J98&gt;0),$J98,IF(ISNUMBER($I98),$I98,"")))</f>
        <v>908.8</v>
      </c>
      <c r="L98" s="40" t="n">
        <f aca="false">IF(ISNUMBER($K98),$K98*$H98,"")</f>
        <v>118.144</v>
      </c>
      <c r="M98" s="40" t="n">
        <f aca="false">IF(ISNUMBER($K98),$K98*Parâmetros!$B$4,"")</f>
        <v>90.88</v>
      </c>
      <c r="N98" s="40" t="n">
        <f aca="false">IF(ISNUMBER($K98),$K98*Parâmetros!$C$4,"")</f>
        <v>27.264</v>
      </c>
      <c r="O98" s="40" t="n">
        <f aca="false">IF(ISNUMBER($K98),IF(ISNUMBER(Parâmetros!$E$4),Parâmetros!$E$4,0),"")</f>
        <v>0</v>
      </c>
      <c r="P98" s="41" t="n">
        <f aca="false">IF(ISNUMBER($K98),$K98-$D98-IF(ISNUMBER($E98),$E98,0)-$L98-$M98-$N98-$O98,"")</f>
        <v>181.962</v>
      </c>
      <c r="Q98" s="42" t="n">
        <f aca="false">IF(AND(ISNUMBER($K98),$K98&gt;0),$P98/$K98,"")</f>
        <v>0.200222271126761</v>
      </c>
      <c r="R98" s="43"/>
      <c r="S98" s="44" t="str">
        <f aca="false">IF(OR(NOT(ISNUMBER($R98)),$R98=0,NOT(ISNUMBER($K98))),"",$K98*(1-$R98))</f>
        <v/>
      </c>
      <c r="T98" s="45" t="str">
        <f aca="false">IF(ISNUMBER($S98),$S98*$H98,"")</f>
        <v/>
      </c>
      <c r="U98" s="45" t="str">
        <f aca="false">IF(ISNUMBER($S98),$S98*Parâmetros!$B$4,"")</f>
        <v/>
      </c>
      <c r="V98" s="45" t="str">
        <f aca="false">IF(ISNUMBER($S98),$S98*Parâmetros!$C$4,"")</f>
        <v/>
      </c>
      <c r="W98" s="44" t="str">
        <f aca="false">IF(ISNUMBER($S98),$S98-$D98-IF(ISNUMBER($E98),$E98,0)-$O98-$T98-$U98-$V98,"")</f>
        <v/>
      </c>
      <c r="X98" s="46" t="str">
        <f aca="false">IF(AND(ISNUMBER($S98),$S98&gt;0),$W98/$S98,"")</f>
        <v/>
      </c>
      <c r="Y98" s="47" t="s">
        <v>738</v>
      </c>
      <c r="Z98" s="19"/>
    </row>
    <row r="99" customFormat="false" ht="15.75" hidden="false" customHeight="true" outlineLevel="0" collapsed="false">
      <c r="A99" s="48" t="str">
        <f aca="false">IF(Produtos!$A99="","",Produtos!$A99)</f>
        <v>P4070</v>
      </c>
      <c r="B99" s="48" t="str">
        <f aca="false">IF(Produtos!$A99="","",Produtos!$B99)</f>
        <v>Lixeira c/Tampa Pedal 40x70 80L</v>
      </c>
      <c r="C99" s="48" t="str">
        <f aca="false">IF(Produtos!$A99="","",Produtos!$C99)</f>
        <v>Lixeiras com pedal</v>
      </c>
      <c r="D99" s="33" t="n">
        <f aca="false">IF(Produtos!$A99="","",IF(Produtos!$D99="","",Produtos!$D99))</f>
        <v>416.62</v>
      </c>
      <c r="E99" s="11" t="n">
        <v>91.95</v>
      </c>
      <c r="F99" s="34" t="n">
        <f aca="false">IF($A99="","",IF($C99="","⚠ categoria",IFERROR(INDEX(Parâmetros!$B$13:$B$22,MATCH($C99,Parâmetros!$A$13:$A$22,0)),"⚠ categoria")))</f>
        <v>0.13</v>
      </c>
      <c r="G99" s="35"/>
      <c r="H99" s="36" t="n">
        <f aca="false">IF($A99="","",IF(ISNUMBER($G99),$G99,IF(ISNUMBER($F99),$F99,"")))</f>
        <v>0.13</v>
      </c>
      <c r="I99" s="37" t="n">
        <f aca="false">IF(OR($A99="",NOT(ISNUMBER($D99)),NOT(ISNUMBER($H99))),"",IF((1-$H99-Parâmetros!$B$4-Parâmetros!$C$4-Parâmetros!$D$4)&lt;=0,"INVALIDO",($D99+IF(ISNUMBER($E99),$E99,0)+IF(ISNUMBER(Parâmetros!$E$4),Parâmetros!$E$4,0))/(1-$H99-Parâmetros!$B$4-Parâmetros!$C$4-Parâmetros!$D$4)))</f>
        <v>941.796296296296</v>
      </c>
      <c r="J99" s="38" t="n">
        <v>944.10547875</v>
      </c>
      <c r="K99" s="39" t="n">
        <f aca="false">IF(OR($A99="",NOT(ISNUMBER($D99)),NOT(ISNUMBER($H99))),"",IF(AND(ISNUMBER($J99),$J99&gt;0),$J99,IF(ISNUMBER($I99),$I99,"")))</f>
        <v>944.10547875</v>
      </c>
      <c r="L99" s="40" t="n">
        <f aca="false">IF(ISNUMBER($K99),$K99*$H99,"")</f>
        <v>122.7337122375</v>
      </c>
      <c r="M99" s="40" t="n">
        <f aca="false">IF(ISNUMBER($K99),$K99*Parâmetros!$B$4,"")</f>
        <v>94.410547875</v>
      </c>
      <c r="N99" s="40" t="n">
        <f aca="false">IF(ISNUMBER($K99),$K99*Parâmetros!$C$4,"")</f>
        <v>28.3231643625</v>
      </c>
      <c r="O99" s="40" t="n">
        <f aca="false">IF(ISNUMBER($K99),IF(ISNUMBER(Parâmetros!$E$4),Parâmetros!$E$4,0),"")</f>
        <v>0</v>
      </c>
      <c r="P99" s="41" t="n">
        <f aca="false">IF(ISNUMBER($K99),$K99-$D99-IF(ISNUMBER($E99),$E99,0)-$L99-$M99-$N99-$O99,"")</f>
        <v>190.068054275</v>
      </c>
      <c r="Q99" s="42" t="n">
        <f aca="false">IF(AND(ISNUMBER($K99),$K99&gt;0),$P99/$K99,"")</f>
        <v>0.201320783061921</v>
      </c>
      <c r="R99" s="43"/>
      <c r="S99" s="44" t="str">
        <f aca="false">IF(OR(NOT(ISNUMBER($R99)),$R99=0,NOT(ISNUMBER($K99))),"",$K99*(1-$R99))</f>
        <v/>
      </c>
      <c r="T99" s="45" t="str">
        <f aca="false">IF(ISNUMBER($S99),$S99*$H99,"")</f>
        <v/>
      </c>
      <c r="U99" s="45" t="str">
        <f aca="false">IF(ISNUMBER($S99),$S99*Parâmetros!$B$4,"")</f>
        <v/>
      </c>
      <c r="V99" s="45" t="str">
        <f aca="false">IF(ISNUMBER($S99),$S99*Parâmetros!$C$4,"")</f>
        <v/>
      </c>
      <c r="W99" s="44" t="str">
        <f aca="false">IF(ISNUMBER($S99),$S99-$D99-IF(ISNUMBER($E99),$E99,0)-$O99-$T99-$U99-$V99,"")</f>
        <v/>
      </c>
      <c r="X99" s="46" t="str">
        <f aca="false">IF(AND(ISNUMBER($S99),$S99&gt;0),$W99/$S99,"")</f>
        <v/>
      </c>
      <c r="Y99" s="49" t="s">
        <v>738</v>
      </c>
      <c r="Z99" s="21"/>
    </row>
    <row r="100" customFormat="false" ht="15.75" hidden="false" customHeight="true" outlineLevel="0" collapsed="false">
      <c r="A100" s="32" t="str">
        <f aca="false">IF(Produtos!$A100="","",Produtos!$A100)</f>
        <v>P4075</v>
      </c>
      <c r="B100" s="32" t="str">
        <f aca="false">IF(Produtos!$A100="","",Produtos!$B100)</f>
        <v>Lixeira c/Tampa Pedal 40x75 95L</v>
      </c>
      <c r="C100" s="32" t="str">
        <f aca="false">IF(Produtos!$A100="","",Produtos!$C100)</f>
        <v>Lixeiras com pedal</v>
      </c>
      <c r="D100" s="33" t="n">
        <f aca="false">IF(Produtos!$A100="","",IF(Produtos!$D100="","",Produtos!$D100))</f>
        <v>478.21</v>
      </c>
      <c r="E100" s="11" t="n">
        <v>91.95</v>
      </c>
      <c r="F100" s="34" t="n">
        <f aca="false">IF($A100="","",IF($C100="","⚠ categoria",IFERROR(INDEX(Parâmetros!$B$13:$B$22,MATCH($C100,Parâmetros!$A$13:$A$22,0)),"⚠ categoria")))</f>
        <v>0.13</v>
      </c>
      <c r="G100" s="35"/>
      <c r="H100" s="36" t="n">
        <f aca="false">IF($A100="","",IF(ISNUMBER($G100),$G100,IF(ISNUMBER($F100),$F100,"")))</f>
        <v>0.13</v>
      </c>
      <c r="I100" s="37" t="n">
        <f aca="false">IF(OR($A100="",NOT(ISNUMBER($D100)),NOT(ISNUMBER($H100))),"",IF((1-$H100-Parâmetros!$B$4-Parâmetros!$C$4-Parâmetros!$D$4)&lt;=0,"INVALIDO",($D100+IF(ISNUMBER($E100),$E100,0)+IF(ISNUMBER(Parâmetros!$E$4),Parâmetros!$E$4,0))/(1-$H100-Parâmetros!$B$4-Parâmetros!$C$4-Parâmetros!$D$4)))</f>
        <v>1055.85185185185</v>
      </c>
      <c r="J100" s="38" t="n">
        <v>1055.95</v>
      </c>
      <c r="K100" s="39" t="n">
        <f aca="false">IF(OR($A100="",NOT(ISNUMBER($D100)),NOT(ISNUMBER($H100))),"",IF(AND(ISNUMBER($J100),$J100&gt;0),$J100,IF(ISNUMBER($I100),$I100,"")))</f>
        <v>1055.95</v>
      </c>
      <c r="L100" s="40" t="n">
        <f aca="false">IF(ISNUMBER($K100),$K100*$H100,"")</f>
        <v>137.2735</v>
      </c>
      <c r="M100" s="40" t="n">
        <f aca="false">IF(ISNUMBER($K100),$K100*Parâmetros!$B$4,"")</f>
        <v>105.595</v>
      </c>
      <c r="N100" s="40" t="n">
        <f aca="false">IF(ISNUMBER($K100),$K100*Parâmetros!$C$4,"")</f>
        <v>31.6785</v>
      </c>
      <c r="O100" s="40" t="n">
        <f aca="false">IF(ISNUMBER($K100),IF(ISNUMBER(Parâmetros!$E$4),Parâmetros!$E$4,0),"")</f>
        <v>0</v>
      </c>
      <c r="P100" s="41" t="n">
        <f aca="false">IF(ISNUMBER($K100),$K100-$D100-IF(ISNUMBER($E100),$E100,0)-$L100-$M100-$N100-$O100,"")</f>
        <v>211.243</v>
      </c>
      <c r="Q100" s="42" t="n">
        <f aca="false">IF(AND(ISNUMBER($K100),$K100&gt;0),$P100/$K100,"")</f>
        <v>0.200050191770444</v>
      </c>
      <c r="R100" s="43"/>
      <c r="S100" s="44" t="str">
        <f aca="false">IF(OR(NOT(ISNUMBER($R100)),$R100=0,NOT(ISNUMBER($K100))),"",$K100*(1-$R100))</f>
        <v/>
      </c>
      <c r="T100" s="45" t="str">
        <f aca="false">IF(ISNUMBER($S100),$S100*$H100,"")</f>
        <v/>
      </c>
      <c r="U100" s="45" t="str">
        <f aca="false">IF(ISNUMBER($S100),$S100*Parâmetros!$B$4,"")</f>
        <v/>
      </c>
      <c r="V100" s="45" t="str">
        <f aca="false">IF(ISNUMBER($S100),$S100*Parâmetros!$C$4,"")</f>
        <v/>
      </c>
      <c r="W100" s="44" t="str">
        <f aca="false">IF(ISNUMBER($S100),$S100-$D100-IF(ISNUMBER($E100),$E100,0)-$O100-$T100-$U100-$V100,"")</f>
        <v/>
      </c>
      <c r="X100" s="46" t="str">
        <f aca="false">IF(AND(ISNUMBER($S100),$S100&gt;0),$W100/$S100,"")</f>
        <v/>
      </c>
      <c r="Y100" s="47" t="s">
        <v>738</v>
      </c>
      <c r="Z100" s="19"/>
    </row>
    <row r="101" customFormat="false" ht="15.75" hidden="false" customHeight="true" outlineLevel="0" collapsed="false">
      <c r="A101" s="48" t="str">
        <f aca="false">IF(Produtos!$A101="","",Produtos!$A101)</f>
        <v>P4080</v>
      </c>
      <c r="B101" s="48" t="str">
        <f aca="false">IF(Produtos!$A101="","",Produtos!$B101)</f>
        <v>Lixeira c/Tampa Pedal 40x80 100L</v>
      </c>
      <c r="C101" s="48" t="str">
        <f aca="false">IF(Produtos!$A101="","",Produtos!$C101)</f>
        <v>Lixeiras com pedal</v>
      </c>
      <c r="D101" s="33" t="n">
        <f aca="false">IF(Produtos!$A101="","",IF(Produtos!$D101="","",Produtos!$D101))</f>
        <v>553.79</v>
      </c>
      <c r="E101" s="11"/>
      <c r="F101" s="34" t="n">
        <f aca="false">IF($A101="","",IF($C101="","⚠ categoria",IFERROR(INDEX(Parâmetros!$B$13:$B$22,MATCH($C101,Parâmetros!$A$13:$A$22,0)),"⚠ categoria")))</f>
        <v>0.13</v>
      </c>
      <c r="G101" s="35"/>
      <c r="H101" s="36" t="n">
        <f aca="false">IF($A101="","",IF(ISNUMBER($G101),$G101,IF(ISNUMBER($F101),$F101,"")))</f>
        <v>0.13</v>
      </c>
      <c r="I101" s="37" t="n">
        <f aca="false">IF(OR($A101="",NOT(ISNUMBER($D101)),NOT(ISNUMBER($H101))),"",IF((1-$H101-Parâmetros!$B$4-Parâmetros!$C$4-Parâmetros!$D$4)&lt;=0,"INVALIDO",($D101+IF(ISNUMBER($E101),$E101,0)+IF(ISNUMBER(Parâmetros!$E$4),Parâmetros!$E$4,0))/(1-$H101-Parâmetros!$B$4-Parâmetros!$C$4-Parâmetros!$D$4)))</f>
        <v>1025.53703703704</v>
      </c>
      <c r="J101" s="38"/>
      <c r="K101" s="39" t="n">
        <f aca="false">IF(OR($A101="",NOT(ISNUMBER($D101)),NOT(ISNUMBER($H101))),"",IF(AND(ISNUMBER($J101),$J101&gt;0),$J101,IF(ISNUMBER($I101),$I101,"")))</f>
        <v>1025.53703703704</v>
      </c>
      <c r="L101" s="40" t="n">
        <f aca="false">IF(ISNUMBER($K101),$K101*$H101,"")</f>
        <v>133.319814814815</v>
      </c>
      <c r="M101" s="40" t="n">
        <f aca="false">IF(ISNUMBER($K101),$K101*Parâmetros!$B$4,"")</f>
        <v>102.553703703704</v>
      </c>
      <c r="N101" s="40" t="n">
        <f aca="false">IF(ISNUMBER($K101),$K101*Parâmetros!$C$4,"")</f>
        <v>30.7661111111111</v>
      </c>
      <c r="O101" s="40" t="n">
        <f aca="false">IF(ISNUMBER($K101),IF(ISNUMBER(Parâmetros!$E$4),Parâmetros!$E$4,0),"")</f>
        <v>0</v>
      </c>
      <c r="P101" s="41" t="n">
        <f aca="false">IF(ISNUMBER($K101),$K101-$D101-IF(ISNUMBER($E101),$E101,0)-$L101-$M101-$N101-$O101,"")</f>
        <v>205.107407407407</v>
      </c>
      <c r="Q101" s="42" t="n">
        <f aca="false">IF(AND(ISNUMBER($K101),$K101&gt;0),$P101/$K101,"")</f>
        <v>0.2</v>
      </c>
      <c r="R101" s="43"/>
      <c r="S101" s="44" t="str">
        <f aca="false">IF(OR(NOT(ISNUMBER($R101)),$R101=0,NOT(ISNUMBER($K101))),"",$K101*(1-$R101))</f>
        <v/>
      </c>
      <c r="T101" s="45" t="str">
        <f aca="false">IF(ISNUMBER($S101),$S101*$H101,"")</f>
        <v/>
      </c>
      <c r="U101" s="45" t="str">
        <f aca="false">IF(ISNUMBER($S101),$S101*Parâmetros!$B$4,"")</f>
        <v/>
      </c>
      <c r="V101" s="45" t="str">
        <f aca="false">IF(ISNUMBER($S101),$S101*Parâmetros!$C$4,"")</f>
        <v/>
      </c>
      <c r="W101" s="44" t="str">
        <f aca="false">IF(ISNUMBER($S101),$S101-$D101-IF(ISNUMBER($E101),$E101,0)-$O101-$T101-$U101-$V101,"")</f>
        <v/>
      </c>
      <c r="X101" s="46" t="str">
        <f aca="false">IF(AND(ISNUMBER($S101),$S101&gt;0),$W101/$S101,"")</f>
        <v/>
      </c>
      <c r="Y101" s="49"/>
      <c r="Z101" s="21"/>
    </row>
    <row r="102" customFormat="false" ht="15.75" hidden="false" customHeight="true" outlineLevel="0" collapsed="false">
      <c r="A102" s="32" t="str">
        <f aca="false">IF(Produtos!$A102="","",Produtos!$A102)</f>
        <v>P4090</v>
      </c>
      <c r="B102" s="32" t="str">
        <f aca="false">IF(Produtos!$A102="","",Produtos!$B102)</f>
        <v>Lixeira c/Tampa Pedal 40x90 120L</v>
      </c>
      <c r="C102" s="32" t="str">
        <f aca="false">IF(Produtos!$A102="","",Produtos!$C102)</f>
        <v>Lixeiras com pedal</v>
      </c>
      <c r="D102" s="33" t="n">
        <f aca="false">IF(Produtos!$A102="","",IF(Produtos!$D102="","",Produtos!$D102))</f>
        <v>771.68</v>
      </c>
      <c r="E102" s="11" t="n">
        <v>106.85</v>
      </c>
      <c r="F102" s="34" t="n">
        <f aca="false">IF($A102="","",IF($C102="","⚠ categoria",IFERROR(INDEX(Parâmetros!$B$13:$B$22,MATCH($C102,Parâmetros!$A$13:$A$22,0)),"⚠ categoria")))</f>
        <v>0.13</v>
      </c>
      <c r="G102" s="35"/>
      <c r="H102" s="36" t="n">
        <f aca="false">IF($A102="","",IF(ISNUMBER($G102),$G102,IF(ISNUMBER($F102),$F102,"")))</f>
        <v>0.13</v>
      </c>
      <c r="I102" s="37" t="n">
        <f aca="false">IF(OR($A102="",NOT(ISNUMBER($D102)),NOT(ISNUMBER($H102))),"",IF((1-$H102-Parâmetros!$B$4-Parâmetros!$C$4-Parâmetros!$D$4)&lt;=0,"INVALIDO",($D102+IF(ISNUMBER($E102),$E102,0)+IF(ISNUMBER(Parâmetros!$E$4),Parâmetros!$E$4,0))/(1-$H102-Parâmetros!$B$4-Parâmetros!$C$4-Parâmetros!$D$4)))</f>
        <v>1626.90740740741</v>
      </c>
      <c r="J102" s="38" t="n">
        <v>1551.50690625</v>
      </c>
      <c r="K102" s="39" t="n">
        <f aca="false">IF(OR($A102="",NOT(ISNUMBER($D102)),NOT(ISNUMBER($H102))),"",IF(AND(ISNUMBER($J102),$J102&gt;0),$J102,IF(ISNUMBER($I102),$I102,"")))</f>
        <v>1551.50690625</v>
      </c>
      <c r="L102" s="40" t="n">
        <f aca="false">IF(ISNUMBER($K102),$K102*$H102,"")</f>
        <v>201.6958978125</v>
      </c>
      <c r="M102" s="40" t="n">
        <f aca="false">IF(ISNUMBER($K102),$K102*Parâmetros!$B$4,"")</f>
        <v>155.150690625</v>
      </c>
      <c r="N102" s="40" t="n">
        <f aca="false">IF(ISNUMBER($K102),$K102*Parâmetros!$C$4,"")</f>
        <v>46.5452071875</v>
      </c>
      <c r="O102" s="40" t="n">
        <f aca="false">IF(ISNUMBER($K102),IF(ISNUMBER(Parâmetros!$E$4),Parâmetros!$E$4,0),"")</f>
        <v>0</v>
      </c>
      <c r="P102" s="41" t="n">
        <f aca="false">IF(ISNUMBER($K102),$K102-$D102-IF(ISNUMBER($E102),$E102,0)-$L102-$M102-$N102-$O102,"")</f>
        <v>269.585110625</v>
      </c>
      <c r="Q102" s="42" t="n">
        <f aca="false">IF(AND(ISNUMBER($K102),$K102&gt;0),$P102/$K102,"")</f>
        <v>0.173756951734484</v>
      </c>
      <c r="R102" s="43"/>
      <c r="S102" s="44" t="str">
        <f aca="false">IF(OR(NOT(ISNUMBER($R102)),$R102=0,NOT(ISNUMBER($K102))),"",$K102*(1-$R102))</f>
        <v/>
      </c>
      <c r="T102" s="45" t="str">
        <f aca="false">IF(ISNUMBER($S102),$S102*$H102,"")</f>
        <v/>
      </c>
      <c r="U102" s="45" t="str">
        <f aca="false">IF(ISNUMBER($S102),$S102*Parâmetros!$B$4,"")</f>
        <v/>
      </c>
      <c r="V102" s="45" t="str">
        <f aca="false">IF(ISNUMBER($S102),$S102*Parâmetros!$C$4,"")</f>
        <v/>
      </c>
      <c r="W102" s="44" t="str">
        <f aca="false">IF(ISNUMBER($S102),$S102-$D102-IF(ISNUMBER($E102),$E102,0)-$O102-$T102-$U102-$V102,"")</f>
        <v/>
      </c>
      <c r="X102" s="46" t="str">
        <f aca="false">IF(AND(ISNUMBER($S102),$S102&gt;0),$W102/$S102,"")</f>
        <v/>
      </c>
      <c r="Y102" s="47" t="s">
        <v>738</v>
      </c>
      <c r="Z102" s="19"/>
    </row>
    <row r="103" customFormat="false" ht="15.75" hidden="false" customHeight="true" outlineLevel="0" collapsed="false">
      <c r="A103" s="48" t="str">
        <f aca="false">IF(Produtos!$A103="","",Produtos!$A103)</f>
        <v>L2425-BC</v>
      </c>
      <c r="B103" s="48" t="str">
        <f aca="false">IF(Produtos!$A103="","",Produtos!$B103)</f>
        <v>Lixeira de Aço inox 24x25 13L c/Aro basculante colorido</v>
      </c>
      <c r="C103" s="48" t="str">
        <f aca="false">IF(Produtos!$A103="","",Produtos!$C103)</f>
        <v>Lixeiras em inox</v>
      </c>
      <c r="D103" s="33" t="n">
        <f aca="false">IF(Produtos!$A103="","",IF(Produtos!$D103="","",Produtos!$D103))</f>
        <v>110.45</v>
      </c>
      <c r="E103" s="11" t="n">
        <v>29.25</v>
      </c>
      <c r="F103" s="34" t="n">
        <f aca="false">IF($A103="","",IF($C103="","⚠ categoria",IFERROR(INDEX(Parâmetros!$B$13:$B$22,MATCH($C103,Parâmetros!$A$13:$A$22,0)),"⚠ categoria")))</f>
        <v>0.13</v>
      </c>
      <c r="G103" s="35" t="n">
        <v>0.12</v>
      </c>
      <c r="H103" s="36" t="n">
        <f aca="false">IF($A103="","",IF(ISNUMBER($G103),$G103,IF(ISNUMBER($F103),$F103,"")))</f>
        <v>0.12</v>
      </c>
      <c r="I103" s="37" t="n">
        <f aca="false">IF(OR($A103="",NOT(ISNUMBER($D103)),NOT(ISNUMBER($H103))),"",IF((1-$H103-Parâmetros!$B$4-Parâmetros!$C$4-Parâmetros!$D$4)&lt;=0,"INVALIDO",($D103+IF(ISNUMBER($E103),$E103,0)+IF(ISNUMBER(Parâmetros!$E$4),Parâmetros!$E$4,0))/(1-$H103-Parâmetros!$B$4-Parâmetros!$C$4-Parâmetros!$D$4)))</f>
        <v>254</v>
      </c>
      <c r="J103" s="38" t="n">
        <v>260.43255</v>
      </c>
      <c r="K103" s="39" t="n">
        <f aca="false">IF(OR($A103="",NOT(ISNUMBER($D103)),NOT(ISNUMBER($H103))),"",IF(AND(ISNUMBER($J103),$J103&gt;0),$J103,IF(ISNUMBER($I103),$I103,"")))</f>
        <v>260.43255</v>
      </c>
      <c r="L103" s="40" t="n">
        <f aca="false">IF(ISNUMBER($K103),$K103*$H103,"")</f>
        <v>31.251906</v>
      </c>
      <c r="M103" s="40" t="n">
        <f aca="false">IF(ISNUMBER($K103),$K103*Parâmetros!$B$4,"")</f>
        <v>26.043255</v>
      </c>
      <c r="N103" s="40" t="n">
        <f aca="false">IF(ISNUMBER($K103),$K103*Parâmetros!$C$4,"")</f>
        <v>7.8129765</v>
      </c>
      <c r="O103" s="40" t="n">
        <f aca="false">IF(ISNUMBER($K103),IF(ISNUMBER(Parâmetros!$E$4),Parâmetros!$E$4,0),"")</f>
        <v>0</v>
      </c>
      <c r="P103" s="41" t="n">
        <f aca="false">IF(ISNUMBER($K103),$K103-$D103-IF(ISNUMBER($E103),$E103,0)-$L103-$M103-$N103-$O103,"")</f>
        <v>55.6244125</v>
      </c>
      <c r="Q103" s="42" t="n">
        <f aca="false">IF(AND(ISNUMBER($K103),$K103&gt;0),$P103/$K103,"")</f>
        <v>0.213584717040938</v>
      </c>
      <c r="R103" s="43"/>
      <c r="S103" s="44" t="str">
        <f aca="false">IF(OR(NOT(ISNUMBER($R103)),$R103=0,NOT(ISNUMBER($K103))),"",$K103*(1-$R103))</f>
        <v/>
      </c>
      <c r="T103" s="45" t="str">
        <f aca="false">IF(ISNUMBER($S103),$S103*$H103,"")</f>
        <v/>
      </c>
      <c r="U103" s="45" t="str">
        <f aca="false">IF(ISNUMBER($S103),$S103*Parâmetros!$B$4,"")</f>
        <v/>
      </c>
      <c r="V103" s="45" t="str">
        <f aca="false">IF(ISNUMBER($S103),$S103*Parâmetros!$C$4,"")</f>
        <v/>
      </c>
      <c r="W103" s="44" t="str">
        <f aca="false">IF(ISNUMBER($S103),$S103-$D103-IF(ISNUMBER($E103),$E103,0)-$O103-$T103-$U103-$V103,"")</f>
        <v/>
      </c>
      <c r="X103" s="46" t="str">
        <f aca="false">IF(AND(ISNUMBER($S103),$S103&gt;0),$W103/$S103,"")</f>
        <v/>
      </c>
      <c r="Y103" s="49" t="s">
        <v>740</v>
      </c>
      <c r="Z103" s="21"/>
    </row>
    <row r="104" customFormat="false" ht="15.75" hidden="false" customHeight="true" outlineLevel="0" collapsed="false">
      <c r="A104" s="32" t="str">
        <f aca="false">IF(Produtos!$A104="","",Produtos!$A104)</f>
        <v>L2430-BC</v>
      </c>
      <c r="B104" s="32" t="str">
        <f aca="false">IF(Produtos!$A104="","",Produtos!$B104)</f>
        <v>Lixeira de Aço inox 24x30 15L c/Aro basculante colorido</v>
      </c>
      <c r="C104" s="32" t="str">
        <f aca="false">IF(Produtos!$A104="","",Produtos!$C104)</f>
        <v>Lixeiras em inox</v>
      </c>
      <c r="D104" s="33" t="n">
        <f aca="false">IF(Produtos!$A104="","",IF(Produtos!$D104="","",Produtos!$D104))</f>
        <v>120.38</v>
      </c>
      <c r="E104" s="11" t="n">
        <v>29.25</v>
      </c>
      <c r="F104" s="34" t="n">
        <f aca="false">IF($A104="","",IF($C104="","⚠ categoria",IFERROR(INDEX(Parâmetros!$B$13:$B$22,MATCH($C104,Parâmetros!$A$13:$A$22,0)),"⚠ categoria")))</f>
        <v>0.13</v>
      </c>
      <c r="G104" s="35" t="n">
        <v>0.12</v>
      </c>
      <c r="H104" s="36" t="n">
        <f aca="false">IF($A104="","",IF(ISNUMBER($G104),$G104,IF(ISNUMBER($F104),$F104,"")))</f>
        <v>0.12</v>
      </c>
      <c r="I104" s="37" t="n">
        <f aca="false">IF(OR($A104="",NOT(ISNUMBER($D104)),NOT(ISNUMBER($H104))),"",IF((1-$H104-Parâmetros!$B$4-Parâmetros!$C$4-Parâmetros!$D$4)&lt;=0,"INVALIDO",($D104+IF(ISNUMBER($E104),$E104,0)+IF(ISNUMBER(Parâmetros!$E$4),Parâmetros!$E$4,0))/(1-$H104-Parâmetros!$B$4-Parâmetros!$C$4-Parâmetros!$D$4)))</f>
        <v>272.054545454545</v>
      </c>
      <c r="J104" s="38" t="n">
        <v>273.9</v>
      </c>
      <c r="K104" s="39" t="n">
        <f aca="false">IF(OR($A104="",NOT(ISNUMBER($D104)),NOT(ISNUMBER($H104))),"",IF(AND(ISNUMBER($J104),$J104&gt;0),$J104,IF(ISNUMBER($I104),$I104,"")))</f>
        <v>273.9</v>
      </c>
      <c r="L104" s="40" t="n">
        <f aca="false">IF(ISNUMBER($K104),$K104*$H104,"")</f>
        <v>32.868</v>
      </c>
      <c r="M104" s="40" t="n">
        <f aca="false">IF(ISNUMBER($K104),$K104*Parâmetros!$B$4,"")</f>
        <v>27.39</v>
      </c>
      <c r="N104" s="40" t="n">
        <f aca="false">IF(ISNUMBER($K104),$K104*Parâmetros!$C$4,"")</f>
        <v>8.217</v>
      </c>
      <c r="O104" s="40" t="n">
        <f aca="false">IF(ISNUMBER($K104),IF(ISNUMBER(Parâmetros!$E$4),Parâmetros!$E$4,0),"")</f>
        <v>0</v>
      </c>
      <c r="P104" s="41" t="n">
        <f aca="false">IF(ISNUMBER($K104),$K104-$D104-IF(ISNUMBER($E104),$E104,0)-$L104-$M104-$N104-$O104,"")</f>
        <v>55.795</v>
      </c>
      <c r="Q104" s="42" t="n">
        <f aca="false">IF(AND(ISNUMBER($K104),$K104&gt;0),$P104/$K104,"")</f>
        <v>0.203705732018985</v>
      </c>
      <c r="R104" s="43"/>
      <c r="S104" s="44" t="str">
        <f aca="false">IF(OR(NOT(ISNUMBER($R104)),$R104=0,NOT(ISNUMBER($K104))),"",$K104*(1-$R104))</f>
        <v/>
      </c>
      <c r="T104" s="45" t="str">
        <f aca="false">IF(ISNUMBER($S104),$S104*$H104,"")</f>
        <v/>
      </c>
      <c r="U104" s="45" t="str">
        <f aca="false">IF(ISNUMBER($S104),$S104*Parâmetros!$B$4,"")</f>
        <v/>
      </c>
      <c r="V104" s="45" t="str">
        <f aca="false">IF(ISNUMBER($S104),$S104*Parâmetros!$C$4,"")</f>
        <v/>
      </c>
      <c r="W104" s="44" t="str">
        <f aca="false">IF(ISNUMBER($S104),$S104-$D104-IF(ISNUMBER($E104),$E104,0)-$O104-$T104-$U104-$V104,"")</f>
        <v/>
      </c>
      <c r="X104" s="46" t="str">
        <f aca="false">IF(AND(ISNUMBER($S104),$S104&gt;0),$W104/$S104,"")</f>
        <v/>
      </c>
      <c r="Y104" s="47" t="s">
        <v>738</v>
      </c>
      <c r="Z104" s="19"/>
    </row>
    <row r="105" customFormat="false" ht="15.75" hidden="false" customHeight="true" outlineLevel="0" collapsed="false">
      <c r="A105" s="48" t="str">
        <f aca="false">IF(Produtos!$A105="","",Produtos!$A105)</f>
        <v>L2440-BC</v>
      </c>
      <c r="B105" s="48" t="str">
        <f aca="false">IF(Produtos!$A105="","",Produtos!$B105)</f>
        <v>Lixeira de Aço inox 24x40 20L c/Aro basculante colorido</v>
      </c>
      <c r="C105" s="48" t="str">
        <f aca="false">IF(Produtos!$A105="","",Produtos!$C105)</f>
        <v>Lixeiras em inox</v>
      </c>
      <c r="D105" s="33" t="n">
        <f aca="false">IF(Produtos!$A105="","",IF(Produtos!$D105="","",Produtos!$D105))</f>
        <v>137.47</v>
      </c>
      <c r="E105" s="11" t="n">
        <v>29.25</v>
      </c>
      <c r="F105" s="34" t="n">
        <f aca="false">IF($A105="","",IF($C105="","⚠ categoria",IFERROR(INDEX(Parâmetros!$B$13:$B$22,MATCH($C105,Parâmetros!$A$13:$A$22,0)),"⚠ categoria")))</f>
        <v>0.13</v>
      </c>
      <c r="G105" s="35" t="n">
        <v>0.12</v>
      </c>
      <c r="H105" s="36" t="n">
        <f aca="false">IF($A105="","",IF(ISNUMBER($G105),$G105,IF(ISNUMBER($F105),$F105,"")))</f>
        <v>0.12</v>
      </c>
      <c r="I105" s="37" t="n">
        <f aca="false">IF(OR($A105="",NOT(ISNUMBER($D105)),NOT(ISNUMBER($H105))),"",IF((1-$H105-Parâmetros!$B$4-Parâmetros!$C$4-Parâmetros!$D$4)&lt;=0,"INVALIDO",($D105+IF(ISNUMBER($E105),$E105,0)+IF(ISNUMBER(Parâmetros!$E$4),Parâmetros!$E$4,0))/(1-$H105-Parâmetros!$B$4-Parâmetros!$C$4-Parâmetros!$D$4)))</f>
        <v>303.127272727273</v>
      </c>
      <c r="J105" s="38" t="n">
        <v>304.411275</v>
      </c>
      <c r="K105" s="39" t="n">
        <f aca="false">IF(OR($A105="",NOT(ISNUMBER($D105)),NOT(ISNUMBER($H105))),"",IF(AND(ISNUMBER($J105),$J105&gt;0),$J105,IF(ISNUMBER($I105),$I105,"")))</f>
        <v>304.411275</v>
      </c>
      <c r="L105" s="40" t="n">
        <f aca="false">IF(ISNUMBER($K105),$K105*$H105,"")</f>
        <v>36.529353</v>
      </c>
      <c r="M105" s="40" t="n">
        <f aca="false">IF(ISNUMBER($K105),$K105*Parâmetros!$B$4,"")</f>
        <v>30.4411275</v>
      </c>
      <c r="N105" s="40" t="n">
        <f aca="false">IF(ISNUMBER($K105),$K105*Parâmetros!$C$4,"")</f>
        <v>9.13233825</v>
      </c>
      <c r="O105" s="40" t="n">
        <f aca="false">IF(ISNUMBER($K105),IF(ISNUMBER(Parâmetros!$E$4),Parâmetros!$E$4,0),"")</f>
        <v>0</v>
      </c>
      <c r="P105" s="41" t="n">
        <f aca="false">IF(ISNUMBER($K105),$K105-$D105-IF(ISNUMBER($E105),$E105,0)-$L105-$M105-$N105-$O105,"")</f>
        <v>61.58845625</v>
      </c>
      <c r="Q105" s="42" t="n">
        <f aca="false">IF(AND(ISNUMBER($K105),$K105&gt;0),$P105/$K105,"")</f>
        <v>0.202319891896251</v>
      </c>
      <c r="R105" s="43"/>
      <c r="S105" s="44" t="str">
        <f aca="false">IF(OR(NOT(ISNUMBER($R105)),$R105=0,NOT(ISNUMBER($K105))),"",$K105*(1-$R105))</f>
        <v/>
      </c>
      <c r="T105" s="45" t="str">
        <f aca="false">IF(ISNUMBER($S105),$S105*$H105,"")</f>
        <v/>
      </c>
      <c r="U105" s="45" t="str">
        <f aca="false">IF(ISNUMBER($S105),$S105*Parâmetros!$B$4,"")</f>
        <v/>
      </c>
      <c r="V105" s="45" t="str">
        <f aca="false">IF(ISNUMBER($S105),$S105*Parâmetros!$C$4,"")</f>
        <v/>
      </c>
      <c r="W105" s="44" t="str">
        <f aca="false">IF(ISNUMBER($S105),$S105-$D105-IF(ISNUMBER($E105),$E105,0)-$O105-$T105-$U105-$V105,"")</f>
        <v/>
      </c>
      <c r="X105" s="46" t="str">
        <f aca="false">IF(AND(ISNUMBER($S105),$S105&gt;0),$W105/$S105,"")</f>
        <v/>
      </c>
      <c r="Y105" s="49" t="s">
        <v>739</v>
      </c>
      <c r="Z105" s="21"/>
    </row>
    <row r="106" customFormat="false" ht="15.75" hidden="false" customHeight="true" outlineLevel="0" collapsed="false">
      <c r="A106" s="32" t="str">
        <f aca="false">IF(Produtos!$A106="","",Produtos!$A106)</f>
        <v>L2450-BC</v>
      </c>
      <c r="B106" s="32" t="str">
        <f aca="false">IF(Produtos!$A106="","",Produtos!$B106)</f>
        <v>Lixeira de Aço inox 24x50 25L c/Aro basculante colorido</v>
      </c>
      <c r="C106" s="32" t="str">
        <f aca="false">IF(Produtos!$A106="","",Produtos!$C106)</f>
        <v>Lixeiras em inox</v>
      </c>
      <c r="D106" s="33" t="n">
        <f aca="false">IF(Produtos!$A106="","",IF(Produtos!$D106="","",Produtos!$D106))</f>
        <v>168.27</v>
      </c>
      <c r="E106" s="11" t="n">
        <v>40.85</v>
      </c>
      <c r="F106" s="34" t="n">
        <f aca="false">IF($A106="","",IF($C106="","⚠ categoria",IFERROR(INDEX(Parâmetros!$B$13:$B$22,MATCH($C106,Parâmetros!$A$13:$A$22,0)),"⚠ categoria")))</f>
        <v>0.13</v>
      </c>
      <c r="G106" s="35" t="n">
        <v>0.12</v>
      </c>
      <c r="H106" s="36" t="n">
        <f aca="false">IF($A106="","",IF(ISNUMBER($G106),$G106,IF(ISNUMBER($F106),$F106,"")))</f>
        <v>0.12</v>
      </c>
      <c r="I106" s="37" t="n">
        <f aca="false">IF(OR($A106="",NOT(ISNUMBER($D106)),NOT(ISNUMBER($H106))),"",IF((1-$H106-Parâmetros!$B$4-Parâmetros!$C$4-Parâmetros!$D$4)&lt;=0,"INVALIDO",($D106+IF(ISNUMBER($E106),$E106,0)+IF(ISNUMBER(Parâmetros!$E$4),Parâmetros!$E$4,0))/(1-$H106-Parâmetros!$B$4-Parâmetros!$C$4-Parâmetros!$D$4)))</f>
        <v>380.218181818182</v>
      </c>
      <c r="J106" s="38" t="n">
        <v>375.209415</v>
      </c>
      <c r="K106" s="39" t="n">
        <f aca="false">IF(OR($A106="",NOT(ISNUMBER($D106)),NOT(ISNUMBER($H106))),"",IF(AND(ISNUMBER($J106),$J106&gt;0),$J106,IF(ISNUMBER($I106),$I106,"")))</f>
        <v>375.209415</v>
      </c>
      <c r="L106" s="40" t="n">
        <f aca="false">IF(ISNUMBER($K106),$K106*$H106,"")</f>
        <v>45.0251298</v>
      </c>
      <c r="M106" s="40" t="n">
        <f aca="false">IF(ISNUMBER($K106),$K106*Parâmetros!$B$4,"")</f>
        <v>37.5209415</v>
      </c>
      <c r="N106" s="40" t="n">
        <f aca="false">IF(ISNUMBER($K106),$K106*Parâmetros!$C$4,"")</f>
        <v>11.25628245</v>
      </c>
      <c r="O106" s="40" t="n">
        <f aca="false">IF(ISNUMBER($K106),IF(ISNUMBER(Parâmetros!$E$4),Parâmetros!$E$4,0),"")</f>
        <v>0</v>
      </c>
      <c r="P106" s="41" t="n">
        <f aca="false">IF(ISNUMBER($K106),$K106-$D106-IF(ISNUMBER($E106),$E106,0)-$L106-$M106-$N106-$O106,"")</f>
        <v>72.28706125</v>
      </c>
      <c r="Q106" s="42" t="n">
        <f aca="false">IF(AND(ISNUMBER($K106),$K106&gt;0),$P106/$K106,"")</f>
        <v>0.192657908784085</v>
      </c>
      <c r="R106" s="43"/>
      <c r="S106" s="44" t="str">
        <f aca="false">IF(OR(NOT(ISNUMBER($R106)),$R106=0,NOT(ISNUMBER($K106))),"",$K106*(1-$R106))</f>
        <v/>
      </c>
      <c r="T106" s="45" t="str">
        <f aca="false">IF(ISNUMBER($S106),$S106*$H106,"")</f>
        <v/>
      </c>
      <c r="U106" s="45" t="str">
        <f aca="false">IF(ISNUMBER($S106),$S106*Parâmetros!$B$4,"")</f>
        <v/>
      </c>
      <c r="V106" s="45" t="str">
        <f aca="false">IF(ISNUMBER($S106),$S106*Parâmetros!$C$4,"")</f>
        <v/>
      </c>
      <c r="W106" s="44" t="str">
        <f aca="false">IF(ISNUMBER($S106),$S106-$D106-IF(ISNUMBER($E106),$E106,0)-$O106-$T106-$U106-$V106,"")</f>
        <v/>
      </c>
      <c r="X106" s="46" t="str">
        <f aca="false">IF(AND(ISNUMBER($S106),$S106&gt;0),$W106/$S106,"")</f>
        <v/>
      </c>
      <c r="Y106" s="47" t="s">
        <v>738</v>
      </c>
      <c r="Z106" s="19"/>
    </row>
    <row r="107" customFormat="false" ht="15.75" hidden="false" customHeight="true" outlineLevel="0" collapsed="false">
      <c r="A107" s="48" t="str">
        <f aca="false">IF(Produtos!$A107="","",Produtos!$A107)</f>
        <v>L2460-BC</v>
      </c>
      <c r="B107" s="48" t="str">
        <f aca="false">IF(Produtos!$A107="","",Produtos!$B107)</f>
        <v>Lixeira de Aço inox 24x60 27L c/Aro basculante colorido</v>
      </c>
      <c r="C107" s="48" t="str">
        <f aca="false">IF(Produtos!$A107="","",Produtos!$C107)</f>
        <v>Lixeiras em inox</v>
      </c>
      <c r="D107" s="33" t="n">
        <f aca="false">IF(Produtos!$A107="","",IF(Produtos!$D107="","",Produtos!$D107))</f>
        <v>169.79</v>
      </c>
      <c r="E107" s="11" t="n">
        <v>49.35</v>
      </c>
      <c r="F107" s="34" t="n">
        <f aca="false">IF($A107="","",IF($C107="","⚠ categoria",IFERROR(INDEX(Parâmetros!$B$13:$B$22,MATCH($C107,Parâmetros!$A$13:$A$22,0)),"⚠ categoria")))</f>
        <v>0.13</v>
      </c>
      <c r="G107" s="35" t="n">
        <v>0.12</v>
      </c>
      <c r="H107" s="36" t="n">
        <f aca="false">IF($A107="","",IF(ISNUMBER($G107),$G107,IF(ISNUMBER($F107),$F107,"")))</f>
        <v>0.12</v>
      </c>
      <c r="I107" s="37" t="n">
        <f aca="false">IF(OR($A107="",NOT(ISNUMBER($D107)),NOT(ISNUMBER($H107))),"",IF((1-$H107-Parâmetros!$B$4-Parâmetros!$C$4-Parâmetros!$D$4)&lt;=0,"INVALIDO",($D107+IF(ISNUMBER($E107),$E107,0)+IF(ISNUMBER(Parâmetros!$E$4),Parâmetros!$E$4,0))/(1-$H107-Parâmetros!$B$4-Parâmetros!$C$4-Parâmetros!$D$4)))</f>
        <v>398.436363636364</v>
      </c>
      <c r="J107" s="38" t="n">
        <v>375.213825</v>
      </c>
      <c r="K107" s="39" t="n">
        <f aca="false">IF(OR($A107="",NOT(ISNUMBER($D107)),NOT(ISNUMBER($H107))),"",IF(AND(ISNUMBER($J107),$J107&gt;0),$J107,IF(ISNUMBER($I107),$I107,"")))</f>
        <v>375.213825</v>
      </c>
      <c r="L107" s="40" t="n">
        <f aca="false">IF(ISNUMBER($K107),$K107*$H107,"")</f>
        <v>45.025659</v>
      </c>
      <c r="M107" s="40" t="n">
        <f aca="false">IF(ISNUMBER($K107),$K107*Parâmetros!$B$4,"")</f>
        <v>37.5213825</v>
      </c>
      <c r="N107" s="40" t="n">
        <f aca="false">IF(ISNUMBER($K107),$K107*Parâmetros!$C$4,"")</f>
        <v>11.25641475</v>
      </c>
      <c r="O107" s="40" t="n">
        <f aca="false">IF(ISNUMBER($K107),IF(ISNUMBER(Parâmetros!$E$4),Parâmetros!$E$4,0),"")</f>
        <v>0</v>
      </c>
      <c r="P107" s="41" t="n">
        <f aca="false">IF(ISNUMBER($K107),$K107-$D107-IF(ISNUMBER($E107),$E107,0)-$L107-$M107-$N107-$O107,"")</f>
        <v>62.27036875</v>
      </c>
      <c r="Q107" s="42" t="n">
        <f aca="false">IF(AND(ISNUMBER($K107),$K107&gt;0),$P107/$K107,"")</f>
        <v>0.165959686453451</v>
      </c>
      <c r="R107" s="43"/>
      <c r="S107" s="44" t="str">
        <f aca="false">IF(OR(NOT(ISNUMBER($R107)),$R107=0,NOT(ISNUMBER($K107))),"",$K107*(1-$R107))</f>
        <v/>
      </c>
      <c r="T107" s="45" t="str">
        <f aca="false">IF(ISNUMBER($S107),$S107*$H107,"")</f>
        <v/>
      </c>
      <c r="U107" s="45" t="str">
        <f aca="false">IF(ISNUMBER($S107),$S107*Parâmetros!$B$4,"")</f>
        <v/>
      </c>
      <c r="V107" s="45" t="str">
        <f aca="false">IF(ISNUMBER($S107),$S107*Parâmetros!$C$4,"")</f>
        <v/>
      </c>
      <c r="W107" s="44" t="str">
        <f aca="false">IF(ISNUMBER($S107),$S107-$D107-IF(ISNUMBER($E107),$E107,0)-$O107-$T107-$U107-$V107,"")</f>
        <v/>
      </c>
      <c r="X107" s="46" t="str">
        <f aca="false">IF(AND(ISNUMBER($S107),$S107&gt;0),$W107/$S107,"")</f>
        <v/>
      </c>
      <c r="Y107" s="49" t="s">
        <v>740</v>
      </c>
      <c r="Z107" s="21"/>
    </row>
    <row r="108" customFormat="false" ht="15.75" hidden="false" customHeight="true" outlineLevel="0" collapsed="false">
      <c r="A108" s="32" t="str">
        <f aca="false">IF(Produtos!$A108="","",Produtos!$A108)</f>
        <v>L2470-BC</v>
      </c>
      <c r="B108" s="32" t="str">
        <f aca="false">IF(Produtos!$A108="","",Produtos!$B108)</f>
        <v>Lixeira de Aço inox 24x70 30L c/Aro basculante colorido</v>
      </c>
      <c r="C108" s="32" t="str">
        <f aca="false">IF(Produtos!$A108="","",Produtos!$C108)</f>
        <v>Lixeiras em inox</v>
      </c>
      <c r="D108" s="33" t="n">
        <f aca="false">IF(Produtos!$A108="","",IF(Produtos!$D108="","",Produtos!$D108))</f>
        <v>235.59</v>
      </c>
      <c r="E108" s="11"/>
      <c r="F108" s="34" t="n">
        <f aca="false">IF($A108="","",IF($C108="","⚠ categoria",IFERROR(INDEX(Parâmetros!$B$13:$B$22,MATCH($C108,Parâmetros!$A$13:$A$22,0)),"⚠ categoria")))</f>
        <v>0.13</v>
      </c>
      <c r="G108" s="35"/>
      <c r="H108" s="36" t="n">
        <f aca="false">IF($A108="","",IF(ISNUMBER($G108),$G108,IF(ISNUMBER($F108),$F108,"")))</f>
        <v>0.13</v>
      </c>
      <c r="I108" s="37" t="n">
        <f aca="false">IF(OR($A108="",NOT(ISNUMBER($D108)),NOT(ISNUMBER($H108))),"",IF((1-$H108-Parâmetros!$B$4-Parâmetros!$C$4-Parâmetros!$D$4)&lt;=0,"INVALIDO",($D108+IF(ISNUMBER($E108),$E108,0)+IF(ISNUMBER(Parâmetros!$E$4),Parâmetros!$E$4,0))/(1-$H108-Parâmetros!$B$4-Parâmetros!$C$4-Parâmetros!$D$4)))</f>
        <v>436.277777777778</v>
      </c>
      <c r="J108" s="38"/>
      <c r="K108" s="39" t="n">
        <f aca="false">IF(OR($A108="",NOT(ISNUMBER($D108)),NOT(ISNUMBER($H108))),"",IF(AND(ISNUMBER($J108),$J108&gt;0),$J108,IF(ISNUMBER($I108),$I108,"")))</f>
        <v>436.277777777778</v>
      </c>
      <c r="L108" s="40" t="n">
        <f aca="false">IF(ISNUMBER($K108),$K108*$H108,"")</f>
        <v>56.7161111111111</v>
      </c>
      <c r="M108" s="40" t="n">
        <f aca="false">IF(ISNUMBER($K108),$K108*Parâmetros!$B$4,"")</f>
        <v>43.6277777777778</v>
      </c>
      <c r="N108" s="40" t="n">
        <f aca="false">IF(ISNUMBER($K108),$K108*Parâmetros!$C$4,"")</f>
        <v>13.0883333333333</v>
      </c>
      <c r="O108" s="40" t="n">
        <f aca="false">IF(ISNUMBER($K108),IF(ISNUMBER(Parâmetros!$E$4),Parâmetros!$E$4,0),"")</f>
        <v>0</v>
      </c>
      <c r="P108" s="41" t="n">
        <f aca="false">IF(ISNUMBER($K108),$K108-$D108-IF(ISNUMBER($E108),$E108,0)-$L108-$M108-$N108-$O108,"")</f>
        <v>87.2555555555556</v>
      </c>
      <c r="Q108" s="42" t="n">
        <f aca="false">IF(AND(ISNUMBER($K108),$K108&gt;0),$P108/$K108,"")</f>
        <v>0.2</v>
      </c>
      <c r="R108" s="43"/>
      <c r="S108" s="44" t="str">
        <f aca="false">IF(OR(NOT(ISNUMBER($R108)),$R108=0,NOT(ISNUMBER($K108))),"",$K108*(1-$R108))</f>
        <v/>
      </c>
      <c r="T108" s="45" t="str">
        <f aca="false">IF(ISNUMBER($S108),$S108*$H108,"")</f>
        <v/>
      </c>
      <c r="U108" s="45" t="str">
        <f aca="false">IF(ISNUMBER($S108),$S108*Parâmetros!$B$4,"")</f>
        <v/>
      </c>
      <c r="V108" s="45" t="str">
        <f aca="false">IF(ISNUMBER($S108),$S108*Parâmetros!$C$4,"")</f>
        <v/>
      </c>
      <c r="W108" s="44" t="str">
        <f aca="false">IF(ISNUMBER($S108),$S108-$D108-IF(ISNUMBER($E108),$E108,0)-$O108-$T108-$U108-$V108,"")</f>
        <v/>
      </c>
      <c r="X108" s="46" t="str">
        <f aca="false">IF(AND(ISNUMBER($S108),$S108&gt;0),$W108/$S108,"")</f>
        <v/>
      </c>
      <c r="Y108" s="47"/>
      <c r="Z108" s="19"/>
    </row>
    <row r="109" customFormat="false" ht="15.75" hidden="false" customHeight="true" outlineLevel="0" collapsed="false">
      <c r="A109" s="48" t="str">
        <f aca="false">IF(Produtos!$A109="","",Produtos!$A109)</f>
        <v>L3040-BC</v>
      </c>
      <c r="B109" s="48" t="str">
        <f aca="false">IF(Produtos!$A109="","",Produtos!$B109)</f>
        <v>Lixeira de Aço inox 30x40 30L c/Aro basculante colorido</v>
      </c>
      <c r="C109" s="48" t="str">
        <f aca="false">IF(Produtos!$A109="","",Produtos!$C109)</f>
        <v>Lixeiras em inox</v>
      </c>
      <c r="D109" s="33" t="n">
        <f aca="false">IF(Produtos!$A109="","",IF(Produtos!$D109="","",Produtos!$D109))</f>
        <v>193.14</v>
      </c>
      <c r="E109" s="11" t="n">
        <v>49.35</v>
      </c>
      <c r="F109" s="34" t="n">
        <f aca="false">IF($A109="","",IF($C109="","⚠ categoria",IFERROR(INDEX(Parâmetros!$B$13:$B$22,MATCH($C109,Parâmetros!$A$13:$A$22,0)),"⚠ categoria")))</f>
        <v>0.13</v>
      </c>
      <c r="G109" s="35" t="n">
        <v>0.12</v>
      </c>
      <c r="H109" s="36" t="n">
        <f aca="false">IF($A109="","",IF(ISNUMBER($G109),$G109,IF(ISNUMBER($F109),$F109,"")))</f>
        <v>0.12</v>
      </c>
      <c r="I109" s="37" t="n">
        <f aca="false">IF(OR($A109="",NOT(ISNUMBER($D109)),NOT(ISNUMBER($H109))),"",IF((1-$H109-Parâmetros!$B$4-Parâmetros!$C$4-Parâmetros!$D$4)&lt;=0,"INVALIDO",($D109+IF(ISNUMBER($E109),$E109,0)+IF(ISNUMBER(Parâmetros!$E$4),Parâmetros!$E$4,0))/(1-$H109-Parâmetros!$B$4-Parâmetros!$C$4-Parâmetros!$D$4)))</f>
        <v>440.890909090909</v>
      </c>
      <c r="J109" s="38" t="n">
        <v>440.9</v>
      </c>
      <c r="K109" s="39" t="n">
        <f aca="false">IF(OR($A109="",NOT(ISNUMBER($D109)),NOT(ISNUMBER($H109))),"",IF(AND(ISNUMBER($J109),$J109&gt;0),$J109,IF(ISNUMBER($I109),$I109,"")))</f>
        <v>440.9</v>
      </c>
      <c r="L109" s="40" t="n">
        <f aca="false">IF(ISNUMBER($K109),$K109*$H109,"")</f>
        <v>52.908</v>
      </c>
      <c r="M109" s="40" t="n">
        <f aca="false">IF(ISNUMBER($K109),$K109*Parâmetros!$B$4,"")</f>
        <v>44.09</v>
      </c>
      <c r="N109" s="40" t="n">
        <f aca="false">IF(ISNUMBER($K109),$K109*Parâmetros!$C$4,"")</f>
        <v>13.227</v>
      </c>
      <c r="O109" s="40" t="n">
        <f aca="false">IF(ISNUMBER($K109),IF(ISNUMBER(Parâmetros!$E$4),Parâmetros!$E$4,0),"")</f>
        <v>0</v>
      </c>
      <c r="P109" s="41" t="n">
        <f aca="false">IF(ISNUMBER($K109),$K109-$D109-IF(ISNUMBER($E109),$E109,0)-$L109-$M109-$N109-$O109,"")</f>
        <v>88.185</v>
      </c>
      <c r="Q109" s="42" t="n">
        <f aca="false">IF(AND(ISNUMBER($K109),$K109&gt;0),$P109/$K109,"")</f>
        <v>0.200011340440009</v>
      </c>
      <c r="R109" s="43"/>
      <c r="S109" s="44" t="str">
        <f aca="false">IF(OR(NOT(ISNUMBER($R109)),$R109=0,NOT(ISNUMBER($K109))),"",$K109*(1-$R109))</f>
        <v/>
      </c>
      <c r="T109" s="45" t="str">
        <f aca="false">IF(ISNUMBER($S109),$S109*$H109,"")</f>
        <v/>
      </c>
      <c r="U109" s="45" t="str">
        <f aca="false">IF(ISNUMBER($S109),$S109*Parâmetros!$B$4,"")</f>
        <v/>
      </c>
      <c r="V109" s="45" t="str">
        <f aca="false">IF(ISNUMBER($S109),$S109*Parâmetros!$C$4,"")</f>
        <v/>
      </c>
      <c r="W109" s="44" t="str">
        <f aca="false">IF(ISNUMBER($S109),$S109-$D109-IF(ISNUMBER($E109),$E109,0)-$O109-$T109-$U109-$V109,"")</f>
        <v/>
      </c>
      <c r="X109" s="46" t="str">
        <f aca="false">IF(AND(ISNUMBER($S109),$S109&gt;0),$W109/$S109,"")</f>
        <v/>
      </c>
      <c r="Y109" s="49" t="s">
        <v>738</v>
      </c>
      <c r="Z109" s="21"/>
    </row>
    <row r="110" customFormat="false" ht="15.75" hidden="false" customHeight="true" outlineLevel="0" collapsed="false">
      <c r="A110" s="32" t="str">
        <f aca="false">IF(Produtos!$A110="","",Produtos!$A110)</f>
        <v>L3050-BC</v>
      </c>
      <c r="B110" s="32" t="str">
        <f aca="false">IF(Produtos!$A110="","",Produtos!$B110)</f>
        <v>Lixeira de Aço inox 30x50 35L c/Aro basculante colorido</v>
      </c>
      <c r="C110" s="32" t="str">
        <f aca="false">IF(Produtos!$A110="","",Produtos!$C110)</f>
        <v>Lixeiras em inox</v>
      </c>
      <c r="D110" s="33" t="n">
        <f aca="false">IF(Produtos!$A110="","",IF(Produtos!$D110="","",Produtos!$D110))</f>
        <v>237.59</v>
      </c>
      <c r="E110" s="11" t="n">
        <v>106.85</v>
      </c>
      <c r="F110" s="34" t="n">
        <f aca="false">IF($A110="","",IF($C110="","⚠ categoria",IFERROR(INDEX(Parâmetros!$B$13:$B$22,MATCH($C110,Parâmetros!$A$13:$A$22,0)),"⚠ categoria")))</f>
        <v>0.13</v>
      </c>
      <c r="G110" s="35" t="n">
        <v>0.12</v>
      </c>
      <c r="H110" s="36" t="n">
        <f aca="false">IF($A110="","",IF(ISNUMBER($G110),$G110,IF(ISNUMBER($F110),$F110,"")))</f>
        <v>0.12</v>
      </c>
      <c r="I110" s="37" t="n">
        <f aca="false">IF(OR($A110="",NOT(ISNUMBER($D110)),NOT(ISNUMBER($H110))),"",IF((1-$H110-Parâmetros!$B$4-Parâmetros!$C$4-Parâmetros!$D$4)&lt;=0,"INVALIDO",($D110+IF(ISNUMBER($E110),$E110,0)+IF(ISNUMBER(Parâmetros!$E$4),Parâmetros!$E$4,0))/(1-$H110-Parâmetros!$B$4-Parâmetros!$C$4-Parâmetros!$D$4)))</f>
        <v>626.254545454546</v>
      </c>
      <c r="J110" s="38" t="n">
        <v>502.825995</v>
      </c>
      <c r="K110" s="39" t="n">
        <f aca="false">IF(OR($A110="",NOT(ISNUMBER($D110)),NOT(ISNUMBER($H110))),"",IF(AND(ISNUMBER($J110),$J110&gt;0),$J110,IF(ISNUMBER($I110),$I110,"")))</f>
        <v>502.825995</v>
      </c>
      <c r="L110" s="40" t="n">
        <f aca="false">IF(ISNUMBER($K110),$K110*$H110,"")</f>
        <v>60.3391194</v>
      </c>
      <c r="M110" s="40" t="n">
        <f aca="false">IF(ISNUMBER($K110),$K110*Parâmetros!$B$4,"")</f>
        <v>50.2825995</v>
      </c>
      <c r="N110" s="40" t="n">
        <f aca="false">IF(ISNUMBER($K110),$K110*Parâmetros!$C$4,"")</f>
        <v>15.08477985</v>
      </c>
      <c r="O110" s="40" t="n">
        <f aca="false">IF(ISNUMBER($K110),IF(ISNUMBER(Parâmetros!$E$4),Parâmetros!$E$4,0),"")</f>
        <v>0</v>
      </c>
      <c r="P110" s="41" t="n">
        <f aca="false">IF(ISNUMBER($K110),$K110-$D110-IF(ISNUMBER($E110),$E110,0)-$L110-$M110-$N110-$O110,"")</f>
        <v>32.67949625</v>
      </c>
      <c r="Q110" s="42" t="n">
        <f aca="false">IF(AND(ISNUMBER($K110),$K110&gt;0),$P110/$K110,"")</f>
        <v>0.0649916602859803</v>
      </c>
      <c r="R110" s="43"/>
      <c r="S110" s="44" t="str">
        <f aca="false">IF(OR(NOT(ISNUMBER($R110)),$R110=0,NOT(ISNUMBER($K110))),"",$K110*(1-$R110))</f>
        <v/>
      </c>
      <c r="T110" s="45" t="str">
        <f aca="false">IF(ISNUMBER($S110),$S110*$H110,"")</f>
        <v/>
      </c>
      <c r="U110" s="45" t="str">
        <f aca="false">IF(ISNUMBER($S110),$S110*Parâmetros!$B$4,"")</f>
        <v/>
      </c>
      <c r="V110" s="45" t="str">
        <f aca="false">IF(ISNUMBER($S110),$S110*Parâmetros!$C$4,"")</f>
        <v/>
      </c>
      <c r="W110" s="44" t="str">
        <f aca="false">IF(ISNUMBER($S110),$S110-$D110-IF(ISNUMBER($E110),$E110,0)-$O110-$T110-$U110-$V110,"")</f>
        <v/>
      </c>
      <c r="X110" s="46" t="str">
        <f aca="false">IF(AND(ISNUMBER($S110),$S110&gt;0),$W110/$S110,"")</f>
        <v/>
      </c>
      <c r="Y110" s="47" t="s">
        <v>741</v>
      </c>
      <c r="Z110" s="19"/>
    </row>
    <row r="111" customFormat="false" ht="15.75" hidden="false" customHeight="true" outlineLevel="0" collapsed="false">
      <c r="A111" s="48" t="str">
        <f aca="false">IF(Produtos!$A111="","",Produtos!$A111)</f>
        <v>L3060-BC</v>
      </c>
      <c r="B111" s="48" t="str">
        <f aca="false">IF(Produtos!$A111="","",Produtos!$B111)</f>
        <v>Lixeira de Aço inox 30x60 40L c/Aro basculante colorido</v>
      </c>
      <c r="C111" s="48" t="str">
        <f aca="false">IF(Produtos!$A111="","",Produtos!$C111)</f>
        <v>Lixeiras em inox</v>
      </c>
      <c r="D111" s="33" t="n">
        <f aca="false">IF(Produtos!$A111="","",IF(Produtos!$D111="","",Produtos!$D111))</f>
        <v>258.38</v>
      </c>
      <c r="E111" s="11" t="n">
        <v>69.35</v>
      </c>
      <c r="F111" s="34" t="n">
        <f aca="false">IF($A111="","",IF($C111="","⚠ categoria",IFERROR(INDEX(Parâmetros!$B$13:$B$22,MATCH($C111,Parâmetros!$A$13:$A$22,0)),"⚠ categoria")))</f>
        <v>0.13</v>
      </c>
      <c r="G111" s="35" t="n">
        <v>0.12</v>
      </c>
      <c r="H111" s="36" t="n">
        <f aca="false">IF($A111="","",IF(ISNUMBER($G111),$G111,IF(ISNUMBER($F111),$F111,"")))</f>
        <v>0.12</v>
      </c>
      <c r="I111" s="37" t="n">
        <f aca="false">IF(OR($A111="",NOT(ISNUMBER($D111)),NOT(ISNUMBER($H111))),"",IF((1-$H111-Parâmetros!$B$4-Parâmetros!$C$4-Parâmetros!$D$4)&lt;=0,"INVALIDO",($D111+IF(ISNUMBER($E111),$E111,0)+IF(ISNUMBER(Parâmetros!$E$4),Parâmetros!$E$4,0))/(1-$H111-Parâmetros!$B$4-Parâmetros!$C$4-Parâmetros!$D$4)))</f>
        <v>595.872727272727</v>
      </c>
      <c r="J111" s="38" t="n">
        <v>539.65004625</v>
      </c>
      <c r="K111" s="39" t="n">
        <f aca="false">IF(OR($A111="",NOT(ISNUMBER($D111)),NOT(ISNUMBER($H111))),"",IF(AND(ISNUMBER($J111),$J111&gt;0),$J111,IF(ISNUMBER($I111),$I111,"")))</f>
        <v>539.65004625</v>
      </c>
      <c r="L111" s="40" t="n">
        <f aca="false">IF(ISNUMBER($K111),$K111*$H111,"")</f>
        <v>64.75800555</v>
      </c>
      <c r="M111" s="40" t="n">
        <f aca="false">IF(ISNUMBER($K111),$K111*Parâmetros!$B$4,"")</f>
        <v>53.965004625</v>
      </c>
      <c r="N111" s="40" t="n">
        <f aca="false">IF(ISNUMBER($K111),$K111*Parâmetros!$C$4,"")</f>
        <v>16.1895013875</v>
      </c>
      <c r="O111" s="40" t="n">
        <f aca="false">IF(ISNUMBER($K111),IF(ISNUMBER(Parâmetros!$E$4),Parâmetros!$E$4,0),"")</f>
        <v>0</v>
      </c>
      <c r="P111" s="41" t="n">
        <f aca="false">IF(ISNUMBER($K111),$K111-$D111-IF(ISNUMBER($E111),$E111,0)-$L111-$M111-$N111-$O111,"")</f>
        <v>77.0075346875001</v>
      </c>
      <c r="Q111" s="42" t="n">
        <f aca="false">IF(AND(ISNUMBER($K111),$K111&gt;0),$P111/$K111,"")</f>
        <v>0.142699023603577</v>
      </c>
      <c r="R111" s="43"/>
      <c r="S111" s="44" t="str">
        <f aca="false">IF(OR(NOT(ISNUMBER($R111)),$R111=0,NOT(ISNUMBER($K111))),"",$K111*(1-$R111))</f>
        <v/>
      </c>
      <c r="T111" s="45" t="str">
        <f aca="false">IF(ISNUMBER($S111),$S111*$H111,"")</f>
        <v/>
      </c>
      <c r="U111" s="45" t="str">
        <f aca="false">IF(ISNUMBER($S111),$S111*Parâmetros!$B$4,"")</f>
        <v/>
      </c>
      <c r="V111" s="45" t="str">
        <f aca="false">IF(ISNUMBER($S111),$S111*Parâmetros!$C$4,"")</f>
        <v/>
      </c>
      <c r="W111" s="44" t="str">
        <f aca="false">IF(ISNUMBER($S111),$S111-$D111-IF(ISNUMBER($E111),$E111,0)-$O111-$T111-$U111-$V111,"")</f>
        <v/>
      </c>
      <c r="X111" s="46" t="str">
        <f aca="false">IF(AND(ISNUMBER($S111),$S111&gt;0),$W111/$S111,"")</f>
        <v/>
      </c>
      <c r="Y111" s="49" t="s">
        <v>741</v>
      </c>
      <c r="Z111" s="21"/>
    </row>
    <row r="112" customFormat="false" ht="15.75" hidden="false" customHeight="true" outlineLevel="0" collapsed="false">
      <c r="A112" s="32" t="str">
        <f aca="false">IF(Produtos!$A112="","",Produtos!$A112)</f>
        <v>L3070-BC</v>
      </c>
      <c r="B112" s="32" t="str">
        <f aca="false">IF(Produtos!$A112="","",Produtos!$B112)</f>
        <v>Lixeira de Aço inox 30x70 50L c/Aro basculante colorido</v>
      </c>
      <c r="C112" s="32" t="str">
        <f aca="false">IF(Produtos!$A112="","",Produtos!$C112)</f>
        <v>Lixeiras em inox</v>
      </c>
      <c r="D112" s="33" t="n">
        <f aca="false">IF(Produtos!$A112="","",IF(Produtos!$D112="","",Produtos!$D112))</f>
        <v>300.03</v>
      </c>
      <c r="E112" s="11" t="n">
        <v>70.95</v>
      </c>
      <c r="F112" s="34" t="n">
        <f aca="false">IF($A112="","",IF($C112="","⚠ categoria",IFERROR(INDEX(Parâmetros!$B$13:$B$22,MATCH($C112,Parâmetros!$A$13:$A$22,0)),"⚠ categoria")))</f>
        <v>0.13</v>
      </c>
      <c r="G112" s="35" t="n">
        <v>0.12</v>
      </c>
      <c r="H112" s="36" t="n">
        <f aca="false">IF($A112="","",IF(ISNUMBER($G112),$G112,IF(ISNUMBER($F112),$F112,"")))</f>
        <v>0.12</v>
      </c>
      <c r="I112" s="37" t="n">
        <f aca="false">IF(OR($A112="",NOT(ISNUMBER($D112)),NOT(ISNUMBER($H112))),"",IF((1-$H112-Parâmetros!$B$4-Parâmetros!$C$4-Parâmetros!$D$4)&lt;=0,"INVALIDO",($D112+IF(ISNUMBER($E112),$E112,0)+IF(ISNUMBER(Parâmetros!$E$4),Parâmetros!$E$4,0))/(1-$H112-Parâmetros!$B$4-Parâmetros!$C$4-Parâmetros!$D$4)))</f>
        <v>674.509090909091</v>
      </c>
      <c r="J112" s="38" t="n">
        <v>615.4629075</v>
      </c>
      <c r="K112" s="39" t="n">
        <f aca="false">IF(OR($A112="",NOT(ISNUMBER($D112)),NOT(ISNUMBER($H112))),"",IF(AND(ISNUMBER($J112),$J112&gt;0),$J112,IF(ISNUMBER($I112),$I112,"")))</f>
        <v>615.4629075</v>
      </c>
      <c r="L112" s="40" t="n">
        <f aca="false">IF(ISNUMBER($K112),$K112*$H112,"")</f>
        <v>73.8555489</v>
      </c>
      <c r="M112" s="40" t="n">
        <f aca="false">IF(ISNUMBER($K112),$K112*Parâmetros!$B$4,"")</f>
        <v>61.54629075</v>
      </c>
      <c r="N112" s="40" t="n">
        <f aca="false">IF(ISNUMBER($K112),$K112*Parâmetros!$C$4,"")</f>
        <v>18.463887225</v>
      </c>
      <c r="O112" s="40" t="n">
        <f aca="false">IF(ISNUMBER($K112),IF(ISNUMBER(Parâmetros!$E$4),Parâmetros!$E$4,0),"")</f>
        <v>0</v>
      </c>
      <c r="P112" s="41" t="n">
        <f aca="false">IF(ISNUMBER($K112),$K112-$D112-IF(ISNUMBER($E112),$E112,0)-$L112-$M112-$N112-$O112,"")</f>
        <v>90.617180625</v>
      </c>
      <c r="Q112" s="42" t="n">
        <f aca="false">IF(AND(ISNUMBER($K112),$K112&gt;0),$P112/$K112,"")</f>
        <v>0.147234186692234</v>
      </c>
      <c r="R112" s="43"/>
      <c r="S112" s="44" t="str">
        <f aca="false">IF(OR(NOT(ISNUMBER($R112)),$R112=0,NOT(ISNUMBER($K112))),"",$K112*(1-$R112))</f>
        <v/>
      </c>
      <c r="T112" s="45" t="str">
        <f aca="false">IF(ISNUMBER($S112),$S112*$H112,"")</f>
        <v/>
      </c>
      <c r="U112" s="45" t="str">
        <f aca="false">IF(ISNUMBER($S112),$S112*Parâmetros!$B$4,"")</f>
        <v/>
      </c>
      <c r="V112" s="45" t="str">
        <f aca="false">IF(ISNUMBER($S112),$S112*Parâmetros!$C$4,"")</f>
        <v/>
      </c>
      <c r="W112" s="44" t="str">
        <f aca="false">IF(ISNUMBER($S112),$S112-$D112-IF(ISNUMBER($E112),$E112,0)-$O112-$T112-$U112-$V112,"")</f>
        <v/>
      </c>
      <c r="X112" s="46" t="str">
        <f aca="false">IF(AND(ISNUMBER($S112),$S112&gt;0),$W112/$S112,"")</f>
        <v/>
      </c>
      <c r="Y112" s="47" t="s">
        <v>741</v>
      </c>
      <c r="Z112" s="19"/>
    </row>
    <row r="113" customFormat="false" ht="15.75" hidden="false" customHeight="true" outlineLevel="0" collapsed="false">
      <c r="A113" s="48" t="str">
        <f aca="false">IF(Produtos!$A113="","",Produtos!$A113)</f>
        <v>L3085-BC</v>
      </c>
      <c r="B113" s="48" t="str">
        <f aca="false">IF(Produtos!$A113="","",Produtos!$B113)</f>
        <v>Lixeira de Aço inox 30x85 60L c/Aro basculante colorido</v>
      </c>
      <c r="C113" s="48" t="str">
        <f aca="false">IF(Produtos!$A113="","",Produtos!$C113)</f>
        <v>Lixeiras em inox</v>
      </c>
      <c r="D113" s="33" t="n">
        <f aca="false">IF(Produtos!$A113="","",IF(Produtos!$D113="","",Produtos!$D113))</f>
        <v>363.87</v>
      </c>
      <c r="E113" s="11" t="n">
        <v>70.95</v>
      </c>
      <c r="F113" s="34" t="n">
        <f aca="false">IF($A113="","",IF($C113="","⚠ categoria",IFERROR(INDEX(Parâmetros!$B$13:$B$22,MATCH($C113,Parâmetros!$A$13:$A$22,0)),"⚠ categoria")))</f>
        <v>0.13</v>
      </c>
      <c r="G113" s="35"/>
      <c r="H113" s="36" t="n">
        <f aca="false">IF($A113="","",IF(ISNUMBER($G113),$G113,IF(ISNUMBER($F113),$F113,"")))</f>
        <v>0.13</v>
      </c>
      <c r="I113" s="37" t="n">
        <f aca="false">IF(OR($A113="",NOT(ISNUMBER($D113)),NOT(ISNUMBER($H113))),"",IF((1-$H113-Parâmetros!$B$4-Parâmetros!$C$4-Parâmetros!$D$4)&lt;=0,"INVALIDO",($D113+IF(ISNUMBER($E113),$E113,0)+IF(ISNUMBER(Parâmetros!$E$4),Parâmetros!$E$4,0))/(1-$H113-Parâmetros!$B$4-Parâmetros!$C$4-Parâmetros!$D$4)))</f>
        <v>805.222222222222</v>
      </c>
      <c r="J113" s="38" t="n">
        <v>730.65817125</v>
      </c>
      <c r="K113" s="39" t="n">
        <f aca="false">IF(OR($A113="",NOT(ISNUMBER($D113)),NOT(ISNUMBER($H113))),"",IF(AND(ISNUMBER($J113),$J113&gt;0),$J113,IF(ISNUMBER($I113),$I113,"")))</f>
        <v>730.65817125</v>
      </c>
      <c r="L113" s="40" t="n">
        <f aca="false">IF(ISNUMBER($K113),$K113*$H113,"")</f>
        <v>94.9855622625</v>
      </c>
      <c r="M113" s="40" t="n">
        <f aca="false">IF(ISNUMBER($K113),$K113*Parâmetros!$B$4,"")</f>
        <v>73.065817125</v>
      </c>
      <c r="N113" s="40" t="n">
        <f aca="false">IF(ISNUMBER($K113),$K113*Parâmetros!$C$4,"")</f>
        <v>21.9197451375</v>
      </c>
      <c r="O113" s="40" t="n">
        <f aca="false">IF(ISNUMBER($K113),IF(ISNUMBER(Parâmetros!$E$4),Parâmetros!$E$4,0),"")</f>
        <v>0</v>
      </c>
      <c r="P113" s="41" t="n">
        <f aca="false">IF(ISNUMBER($K113),$K113-$D113-IF(ISNUMBER($E113),$E113,0)-$L113-$M113-$N113-$O113,"")</f>
        <v>105.867046725</v>
      </c>
      <c r="Q113" s="42" t="n">
        <f aca="false">IF(AND(ISNUMBER($K113),$K113&gt;0),$P113/$K113,"")</f>
        <v>0.144892715760482</v>
      </c>
      <c r="R113" s="43"/>
      <c r="S113" s="44" t="str">
        <f aca="false">IF(OR(NOT(ISNUMBER($R113)),$R113=0,NOT(ISNUMBER($K113))),"",$K113*(1-$R113))</f>
        <v/>
      </c>
      <c r="T113" s="45" t="str">
        <f aca="false">IF(ISNUMBER($S113),$S113*$H113,"")</f>
        <v/>
      </c>
      <c r="U113" s="45" t="str">
        <f aca="false">IF(ISNUMBER($S113),$S113*Parâmetros!$B$4,"")</f>
        <v/>
      </c>
      <c r="V113" s="45" t="str">
        <f aca="false">IF(ISNUMBER($S113),$S113*Parâmetros!$C$4,"")</f>
        <v/>
      </c>
      <c r="W113" s="44" t="str">
        <f aca="false">IF(ISNUMBER($S113),$S113-$D113-IF(ISNUMBER($E113),$E113,0)-$O113-$T113-$U113-$V113,"")</f>
        <v/>
      </c>
      <c r="X113" s="46" t="str">
        <f aca="false">IF(AND(ISNUMBER($S113),$S113&gt;0),$W113/$S113,"")</f>
        <v/>
      </c>
      <c r="Y113" s="49" t="s">
        <v>741</v>
      </c>
      <c r="Z113" s="21"/>
    </row>
    <row r="114" customFormat="false" ht="15.75" hidden="false" customHeight="true" outlineLevel="0" collapsed="false">
      <c r="A114" s="32" t="str">
        <f aca="false">IF(Produtos!$A114="","",Produtos!$A114)</f>
        <v>L4050-BC</v>
      </c>
      <c r="B114" s="32" t="str">
        <f aca="false">IF(Produtos!$A114="","",Produtos!$B114)</f>
        <v>Lixeira de Aço inox 40x50 62L c/Aro basculante colorido</v>
      </c>
      <c r="C114" s="32" t="str">
        <f aca="false">IF(Produtos!$A114="","",Produtos!$C114)</f>
        <v>Lixeiras em inox</v>
      </c>
      <c r="D114" s="33" t="n">
        <f aca="false">IF(Produtos!$A114="","",IF(Produtos!$D114="","",Produtos!$D114))</f>
        <v>372.71</v>
      </c>
      <c r="E114" s="11" t="n">
        <v>79.35</v>
      </c>
      <c r="F114" s="34" t="n">
        <f aca="false">IF($A114="","",IF($C114="","⚠ categoria",IFERROR(INDEX(Parâmetros!$B$13:$B$22,MATCH($C114,Parâmetros!$A$13:$A$22,0)),"⚠ categoria")))</f>
        <v>0.13</v>
      </c>
      <c r="G114" s="35" t="n">
        <v>0.12</v>
      </c>
      <c r="H114" s="36" t="n">
        <f aca="false">IF($A114="","",IF(ISNUMBER($G114),$G114,IF(ISNUMBER($F114),$F114,"")))</f>
        <v>0.12</v>
      </c>
      <c r="I114" s="37" t="n">
        <f aca="false">IF(OR($A114="",NOT(ISNUMBER($D114)),NOT(ISNUMBER($H114))),"",IF((1-$H114-Parâmetros!$B$4-Parâmetros!$C$4-Parâmetros!$D$4)&lt;=0,"INVALIDO",($D114+IF(ISNUMBER($E114),$E114,0)+IF(ISNUMBER(Parâmetros!$E$4),Parâmetros!$E$4,0))/(1-$H114-Parâmetros!$B$4-Parâmetros!$C$4-Parâmetros!$D$4)))</f>
        <v>821.927272727273</v>
      </c>
      <c r="J114" s="38" t="n">
        <v>783.952911</v>
      </c>
      <c r="K114" s="39" t="n">
        <f aca="false">IF(OR($A114="",NOT(ISNUMBER($D114)),NOT(ISNUMBER($H114))),"",IF(AND(ISNUMBER($J114),$J114&gt;0),$J114,IF(ISNUMBER($I114),$I114,"")))</f>
        <v>783.952911</v>
      </c>
      <c r="L114" s="40" t="n">
        <f aca="false">IF(ISNUMBER($K114),$K114*$H114,"")</f>
        <v>94.07434932</v>
      </c>
      <c r="M114" s="40" t="n">
        <f aca="false">IF(ISNUMBER($K114),$K114*Parâmetros!$B$4,"")</f>
        <v>78.3952911</v>
      </c>
      <c r="N114" s="40" t="n">
        <f aca="false">IF(ISNUMBER($K114),$K114*Parâmetros!$C$4,"")</f>
        <v>23.51858733</v>
      </c>
      <c r="O114" s="40" t="n">
        <f aca="false">IF(ISNUMBER($K114),IF(ISNUMBER(Parâmetros!$E$4),Parâmetros!$E$4,0),"")</f>
        <v>0</v>
      </c>
      <c r="P114" s="41" t="n">
        <f aca="false">IF(ISNUMBER($K114),$K114-$D114-IF(ISNUMBER($E114),$E114,0)-$L114-$M114-$N114-$O114,"")</f>
        <v>135.90468325</v>
      </c>
      <c r="Q114" s="42" t="n">
        <f aca="false">IF(AND(ISNUMBER($K114),$K114&gt;0),$P114/$K114,"")</f>
        <v>0.173358222596102</v>
      </c>
      <c r="R114" s="43"/>
      <c r="S114" s="44" t="str">
        <f aca="false">IF(OR(NOT(ISNUMBER($R114)),$R114=0,NOT(ISNUMBER($K114))),"",$K114*(1-$R114))</f>
        <v/>
      </c>
      <c r="T114" s="45" t="str">
        <f aca="false">IF(ISNUMBER($S114),$S114*$H114,"")</f>
        <v/>
      </c>
      <c r="U114" s="45" t="str">
        <f aca="false">IF(ISNUMBER($S114),$S114*Parâmetros!$B$4,"")</f>
        <v/>
      </c>
      <c r="V114" s="45" t="str">
        <f aca="false">IF(ISNUMBER($S114),$S114*Parâmetros!$C$4,"")</f>
        <v/>
      </c>
      <c r="W114" s="44" t="str">
        <f aca="false">IF(ISNUMBER($S114),$S114-$D114-IF(ISNUMBER($E114),$E114,0)-$O114-$T114-$U114-$V114,"")</f>
        <v/>
      </c>
      <c r="X114" s="46" t="str">
        <f aca="false">IF(AND(ISNUMBER($S114),$S114&gt;0),$W114/$S114,"")</f>
        <v/>
      </c>
      <c r="Y114" s="47" t="s">
        <v>740</v>
      </c>
      <c r="Z114" s="19"/>
    </row>
    <row r="115" customFormat="false" ht="15.75" hidden="false" customHeight="true" outlineLevel="0" collapsed="false">
      <c r="A115" s="48" t="str">
        <f aca="false">IF(Produtos!$A115="","",Produtos!$A115)</f>
        <v>L4060-BC</v>
      </c>
      <c r="B115" s="48" t="str">
        <f aca="false">IF(Produtos!$A115="","",Produtos!$B115)</f>
        <v>Lixeira de Aço inox 40x60 75L c/Aro basculante colorido</v>
      </c>
      <c r="C115" s="48" t="str">
        <f aca="false">IF(Produtos!$A115="","",Produtos!$C115)</f>
        <v>Lixeiras em inox</v>
      </c>
      <c r="D115" s="33" t="n">
        <f aca="false">IF(Produtos!$A115="","",IF(Produtos!$D115="","",Produtos!$D115))</f>
        <v>389.53</v>
      </c>
      <c r="E115" s="11" t="n">
        <v>107.95</v>
      </c>
      <c r="F115" s="34" t="n">
        <f aca="false">IF($A115="","",IF($C115="","⚠ categoria",IFERROR(INDEX(Parâmetros!$B$13:$B$22,MATCH($C115,Parâmetros!$A$13:$A$22,0)),"⚠ categoria")))</f>
        <v>0.13</v>
      </c>
      <c r="G115" s="35"/>
      <c r="H115" s="36" t="n">
        <f aca="false">IF($A115="","",IF(ISNUMBER($G115),$G115,IF(ISNUMBER($F115),$F115,"")))</f>
        <v>0.13</v>
      </c>
      <c r="I115" s="37" t="n">
        <f aca="false">IF(OR($A115="",NOT(ISNUMBER($D115)),NOT(ISNUMBER($H115))),"",IF((1-$H115-Parâmetros!$B$4-Parâmetros!$C$4-Parâmetros!$D$4)&lt;=0,"INVALIDO",($D115+IF(ISNUMBER($E115),$E115,0)+IF(ISNUMBER(Parâmetros!$E$4),Parâmetros!$E$4,0))/(1-$H115-Parâmetros!$B$4-Parâmetros!$C$4-Parâmetros!$D$4)))</f>
        <v>921.259259259259</v>
      </c>
      <c r="J115" s="38" t="n">
        <v>776.9284425</v>
      </c>
      <c r="K115" s="39" t="n">
        <f aca="false">IF(OR($A115="",NOT(ISNUMBER($D115)),NOT(ISNUMBER($H115))),"",IF(AND(ISNUMBER($J115),$J115&gt;0),$J115,IF(ISNUMBER($I115),$I115,"")))</f>
        <v>776.9284425</v>
      </c>
      <c r="L115" s="40" t="n">
        <f aca="false">IF(ISNUMBER($K115),$K115*$H115,"")</f>
        <v>101.000697525</v>
      </c>
      <c r="M115" s="40" t="n">
        <f aca="false">IF(ISNUMBER($K115),$K115*Parâmetros!$B$4,"")</f>
        <v>77.69284425</v>
      </c>
      <c r="N115" s="40" t="n">
        <f aca="false">IF(ISNUMBER($K115),$K115*Parâmetros!$C$4,"")</f>
        <v>23.307853275</v>
      </c>
      <c r="O115" s="40" t="n">
        <f aca="false">IF(ISNUMBER($K115),IF(ISNUMBER(Parâmetros!$E$4),Parâmetros!$E$4,0),"")</f>
        <v>0</v>
      </c>
      <c r="P115" s="41" t="n">
        <f aca="false">IF(ISNUMBER($K115),$K115-$D115-IF(ISNUMBER($E115),$E115,0)-$L115-$M115-$N115-$O115,"")</f>
        <v>77.4470474500001</v>
      </c>
      <c r="Q115" s="42" t="n">
        <f aca="false">IF(AND(ISNUMBER($K115),$K115&gt;0),$P115/$K115,"")</f>
        <v>0.0996836300660985</v>
      </c>
      <c r="R115" s="43"/>
      <c r="S115" s="44" t="str">
        <f aca="false">IF(OR(NOT(ISNUMBER($R115)),$R115=0,NOT(ISNUMBER($K115))),"",$K115*(1-$R115))</f>
        <v/>
      </c>
      <c r="T115" s="45" t="str">
        <f aca="false">IF(ISNUMBER($S115),$S115*$H115,"")</f>
        <v/>
      </c>
      <c r="U115" s="45" t="str">
        <f aca="false">IF(ISNUMBER($S115),$S115*Parâmetros!$B$4,"")</f>
        <v/>
      </c>
      <c r="V115" s="45" t="str">
        <f aca="false">IF(ISNUMBER($S115),$S115*Parâmetros!$C$4,"")</f>
        <v/>
      </c>
      <c r="W115" s="44" t="str">
        <f aca="false">IF(ISNUMBER($S115),$S115-$D115-IF(ISNUMBER($E115),$E115,0)-$O115-$T115-$U115-$V115,"")</f>
        <v/>
      </c>
      <c r="X115" s="46" t="str">
        <f aca="false">IF(AND(ISNUMBER($S115),$S115&gt;0),$W115/$S115,"")</f>
        <v/>
      </c>
      <c r="Y115" s="49" t="s">
        <v>741</v>
      </c>
      <c r="Z115" s="21"/>
    </row>
    <row r="116" customFormat="false" ht="15.75" hidden="false" customHeight="true" outlineLevel="0" collapsed="false">
      <c r="A116" s="32" t="str">
        <f aca="false">IF(Produtos!$A116="","",Produtos!$A116)</f>
        <v>L4070-BC</v>
      </c>
      <c r="B116" s="32" t="str">
        <f aca="false">IF(Produtos!$A116="","",Produtos!$B116)</f>
        <v>Lixeira de Aço inox 40x70 88L c/Aro basculante colorido</v>
      </c>
      <c r="C116" s="32" t="str">
        <f aca="false">IF(Produtos!$A116="","",Produtos!$C116)</f>
        <v>Lixeiras em inox</v>
      </c>
      <c r="D116" s="33" t="n">
        <f aca="false">IF(Produtos!$A116="","",IF(Produtos!$D116="","",Produtos!$D116))</f>
        <v>391.36</v>
      </c>
      <c r="E116" s="11" t="n">
        <v>106.85</v>
      </c>
      <c r="F116" s="34" t="n">
        <f aca="false">IF($A116="","",IF($C116="","⚠ categoria",IFERROR(INDEX(Parâmetros!$B$13:$B$22,MATCH($C116,Parâmetros!$A$13:$A$22,0)),"⚠ categoria")))</f>
        <v>0.13</v>
      </c>
      <c r="G116" s="35"/>
      <c r="H116" s="36" t="n">
        <f aca="false">IF($A116="","",IF(ISNUMBER($G116),$G116,IF(ISNUMBER($F116),$F116,"")))</f>
        <v>0.13</v>
      </c>
      <c r="I116" s="37" t="n">
        <f aca="false">IF(OR($A116="",NOT(ISNUMBER($D116)),NOT(ISNUMBER($H116))),"",IF((1-$H116-Parâmetros!$B$4-Parâmetros!$C$4-Parâmetros!$D$4)&lt;=0,"INVALIDO",($D116+IF(ISNUMBER($E116),$E116,0)+IF(ISNUMBER(Parâmetros!$E$4),Parâmetros!$E$4,0))/(1-$H116-Parâmetros!$B$4-Parâmetros!$C$4-Parâmetros!$D$4)))</f>
        <v>922.611111111111</v>
      </c>
      <c r="J116" s="38" t="n">
        <v>780.23925</v>
      </c>
      <c r="K116" s="39" t="n">
        <f aca="false">IF(OR($A116="",NOT(ISNUMBER($D116)),NOT(ISNUMBER($H116))),"",IF(AND(ISNUMBER($J116),$J116&gt;0),$J116,IF(ISNUMBER($I116),$I116,"")))</f>
        <v>780.23925</v>
      </c>
      <c r="L116" s="40" t="n">
        <f aca="false">IF(ISNUMBER($K116),$K116*$H116,"")</f>
        <v>101.4311025</v>
      </c>
      <c r="M116" s="40" t="n">
        <f aca="false">IF(ISNUMBER($K116),$K116*Parâmetros!$B$4,"")</f>
        <v>78.023925</v>
      </c>
      <c r="N116" s="40" t="n">
        <f aca="false">IF(ISNUMBER($K116),$K116*Parâmetros!$C$4,"")</f>
        <v>23.4071775</v>
      </c>
      <c r="O116" s="40" t="n">
        <f aca="false">IF(ISNUMBER($K116),IF(ISNUMBER(Parâmetros!$E$4),Parâmetros!$E$4,0),"")</f>
        <v>0</v>
      </c>
      <c r="P116" s="41" t="n">
        <f aca="false">IF(ISNUMBER($K116),$K116-$D116-IF(ISNUMBER($E116),$E116,0)-$L116-$M116-$N116-$O116,"")</f>
        <v>79.167045</v>
      </c>
      <c r="Q116" s="42" t="n">
        <f aca="false">IF(AND(ISNUMBER($K116),$K116&gt;0),$P116/$K116,"")</f>
        <v>0.10146508907364</v>
      </c>
      <c r="R116" s="43"/>
      <c r="S116" s="44" t="str">
        <f aca="false">IF(OR(NOT(ISNUMBER($R116)),$R116=0,NOT(ISNUMBER($K116))),"",$K116*(1-$R116))</f>
        <v/>
      </c>
      <c r="T116" s="45" t="str">
        <f aca="false">IF(ISNUMBER($S116),$S116*$H116,"")</f>
        <v/>
      </c>
      <c r="U116" s="45" t="str">
        <f aca="false">IF(ISNUMBER($S116),$S116*Parâmetros!$B$4,"")</f>
        <v/>
      </c>
      <c r="V116" s="45" t="str">
        <f aca="false">IF(ISNUMBER($S116),$S116*Parâmetros!$C$4,"")</f>
        <v/>
      </c>
      <c r="W116" s="44" t="str">
        <f aca="false">IF(ISNUMBER($S116),$S116-$D116-IF(ISNUMBER($E116),$E116,0)-$O116-$T116-$U116-$V116,"")</f>
        <v/>
      </c>
      <c r="X116" s="46" t="str">
        <f aca="false">IF(AND(ISNUMBER($S116),$S116&gt;0),$W116/$S116,"")</f>
        <v/>
      </c>
      <c r="Y116" s="47" t="s">
        <v>741</v>
      </c>
      <c r="Z116" s="19"/>
    </row>
    <row r="117" customFormat="false" ht="15.75" hidden="false" customHeight="true" outlineLevel="0" collapsed="false">
      <c r="A117" s="48" t="str">
        <f aca="false">IF(Produtos!$A117="","",Produtos!$A117)</f>
        <v>L4075-BC</v>
      </c>
      <c r="B117" s="48" t="str">
        <f aca="false">IF(Produtos!$A117="","",Produtos!$B117)</f>
        <v>Lixeira de Aço inox 40x75 95L c/Aro basculante colorido</v>
      </c>
      <c r="C117" s="48" t="str">
        <f aca="false">IF(Produtos!$A117="","",Produtos!$C117)</f>
        <v>Lixeiras em inox</v>
      </c>
      <c r="D117" s="33" t="n">
        <f aca="false">IF(Produtos!$A117="","",IF(Produtos!$D117="","",Produtos!$D117))</f>
        <v>452.95</v>
      </c>
      <c r="E117" s="11" t="n">
        <v>110.75</v>
      </c>
      <c r="F117" s="34" t="n">
        <f aca="false">IF($A117="","",IF($C117="","⚠ categoria",IFERROR(INDEX(Parâmetros!$B$13:$B$22,MATCH($C117,Parâmetros!$A$13:$A$22,0)),"⚠ categoria")))</f>
        <v>0.13</v>
      </c>
      <c r="G117" s="35"/>
      <c r="H117" s="36" t="n">
        <f aca="false">IF($A117="","",IF(ISNUMBER($G117),$G117,IF(ISNUMBER($F117),$F117,"")))</f>
        <v>0.13</v>
      </c>
      <c r="I117" s="37" t="n">
        <f aca="false">IF(OR($A117="",NOT(ISNUMBER($D117)),NOT(ISNUMBER($H117))),"",IF((1-$H117-Parâmetros!$B$4-Parâmetros!$C$4-Parâmetros!$D$4)&lt;=0,"INVALIDO",($D117+IF(ISNUMBER($E117),$E117,0)+IF(ISNUMBER(Parâmetros!$E$4),Parâmetros!$E$4,0))/(1-$H117-Parâmetros!$B$4-Parâmetros!$C$4-Parâmetros!$D$4)))</f>
        <v>1043.88888888889</v>
      </c>
      <c r="J117" s="38" t="n">
        <v>848.891925</v>
      </c>
      <c r="K117" s="39" t="n">
        <f aca="false">IF(OR($A117="",NOT(ISNUMBER($D117)),NOT(ISNUMBER($H117))),"",IF(AND(ISNUMBER($J117),$J117&gt;0),$J117,IF(ISNUMBER($I117),$I117,"")))</f>
        <v>848.891925</v>
      </c>
      <c r="L117" s="40" t="n">
        <f aca="false">IF(ISNUMBER($K117),$K117*$H117,"")</f>
        <v>110.35595025</v>
      </c>
      <c r="M117" s="40" t="n">
        <f aca="false">IF(ISNUMBER($K117),$K117*Parâmetros!$B$4,"")</f>
        <v>84.8891925</v>
      </c>
      <c r="N117" s="40" t="n">
        <f aca="false">IF(ISNUMBER($K117),$K117*Parâmetros!$C$4,"")</f>
        <v>25.46675775</v>
      </c>
      <c r="O117" s="40" t="n">
        <f aca="false">IF(ISNUMBER($K117),IF(ISNUMBER(Parâmetros!$E$4),Parâmetros!$E$4,0),"")</f>
        <v>0</v>
      </c>
      <c r="P117" s="41" t="n">
        <f aca="false">IF(ISNUMBER($K117),$K117-$D117-IF(ISNUMBER($E117),$E117,0)-$L117-$M117-$N117-$O117,"")</f>
        <v>64.4800245000001</v>
      </c>
      <c r="Q117" s="42" t="n">
        <f aca="false">IF(AND(ISNUMBER($K117),$K117&gt;0),$P117/$K117,"")</f>
        <v>0.0759578723758034</v>
      </c>
      <c r="R117" s="43"/>
      <c r="S117" s="44" t="str">
        <f aca="false">IF(OR(NOT(ISNUMBER($R117)),$R117=0,NOT(ISNUMBER($K117))),"",$K117*(1-$R117))</f>
        <v/>
      </c>
      <c r="T117" s="45" t="str">
        <f aca="false">IF(ISNUMBER($S117),$S117*$H117,"")</f>
        <v/>
      </c>
      <c r="U117" s="45" t="str">
        <f aca="false">IF(ISNUMBER($S117),$S117*Parâmetros!$B$4,"")</f>
        <v/>
      </c>
      <c r="V117" s="45" t="str">
        <f aca="false">IF(ISNUMBER($S117),$S117*Parâmetros!$C$4,"")</f>
        <v/>
      </c>
      <c r="W117" s="44" t="str">
        <f aca="false">IF(ISNUMBER($S117),$S117-$D117-IF(ISNUMBER($E117),$E117,0)-$O117-$T117-$U117-$V117,"")</f>
        <v/>
      </c>
      <c r="X117" s="46" t="str">
        <f aca="false">IF(AND(ISNUMBER($S117),$S117&gt;0),$W117/$S117,"")</f>
        <v/>
      </c>
      <c r="Y117" s="49"/>
      <c r="Z117" s="21"/>
    </row>
    <row r="118" customFormat="false" ht="15.75" hidden="false" customHeight="true" outlineLevel="0" collapsed="false">
      <c r="A118" s="32" t="str">
        <f aca="false">IF(Produtos!$A118="","",Produtos!$A118)</f>
        <v>L4080-BC</v>
      </c>
      <c r="B118" s="32" t="str">
        <f aca="false">IF(Produtos!$A118="","",Produtos!$B118)</f>
        <v>Lixeira de Aço inox 40x80 100L c/Aro basculante colorido</v>
      </c>
      <c r="C118" s="32" t="str">
        <f aca="false">IF(Produtos!$A118="","",Produtos!$C118)</f>
        <v>Lixeiras em inox</v>
      </c>
      <c r="D118" s="33" t="n">
        <f aca="false">IF(Produtos!$A118="","",IF(Produtos!$D118="","",Produtos!$D118))</f>
        <v>486.92</v>
      </c>
      <c r="E118" s="11" t="n">
        <v>106.85</v>
      </c>
      <c r="F118" s="34" t="n">
        <f aca="false">IF($A118="","",IF($C118="","⚠ categoria",IFERROR(INDEX(Parâmetros!$B$13:$B$22,MATCH($C118,Parâmetros!$A$13:$A$22,0)),"⚠ categoria")))</f>
        <v>0.13</v>
      </c>
      <c r="G118" s="35"/>
      <c r="H118" s="36" t="n">
        <f aca="false">IF($A118="","",IF(ISNUMBER($G118),$G118,IF(ISNUMBER($F118),$F118,"")))</f>
        <v>0.13</v>
      </c>
      <c r="I118" s="37" t="n">
        <f aca="false">IF(OR($A118="",NOT(ISNUMBER($D118)),NOT(ISNUMBER($H118))),"",IF((1-$H118-Parâmetros!$B$4-Parâmetros!$C$4-Parâmetros!$D$4)&lt;=0,"INVALIDO",($D118+IF(ISNUMBER($E118),$E118,0)+IF(ISNUMBER(Parâmetros!$E$4),Parâmetros!$E$4,0))/(1-$H118-Parâmetros!$B$4-Parâmetros!$C$4-Parâmetros!$D$4)))</f>
        <v>1099.57407407407</v>
      </c>
      <c r="J118" s="38" t="n">
        <v>991.114425</v>
      </c>
      <c r="K118" s="39" t="n">
        <f aca="false">IF(OR($A118="",NOT(ISNUMBER($D118)),NOT(ISNUMBER($H118))),"",IF(AND(ISNUMBER($J118),$J118&gt;0),$J118,IF(ISNUMBER($I118),$I118,"")))</f>
        <v>991.114425</v>
      </c>
      <c r="L118" s="40" t="n">
        <f aca="false">IF(ISNUMBER($K118),$K118*$H118,"")</f>
        <v>128.84487525</v>
      </c>
      <c r="M118" s="40" t="n">
        <f aca="false">IF(ISNUMBER($K118),$K118*Parâmetros!$B$4,"")</f>
        <v>99.1114425</v>
      </c>
      <c r="N118" s="40" t="n">
        <f aca="false">IF(ISNUMBER($K118),$K118*Parâmetros!$C$4,"")</f>
        <v>29.73343275</v>
      </c>
      <c r="O118" s="40" t="n">
        <f aca="false">IF(ISNUMBER($K118),IF(ISNUMBER(Parâmetros!$E$4),Parâmetros!$E$4,0),"")</f>
        <v>0</v>
      </c>
      <c r="P118" s="41" t="n">
        <f aca="false">IF(ISNUMBER($K118),$K118-$D118-IF(ISNUMBER($E118),$E118,0)-$L118-$M118-$N118-$O118,"")</f>
        <v>139.6546745</v>
      </c>
      <c r="Q118" s="42" t="n">
        <f aca="false">IF(AND(ISNUMBER($K118),$K118&gt;0),$P118/$K118,"")</f>
        <v>0.140906711654409</v>
      </c>
      <c r="R118" s="43"/>
      <c r="S118" s="44" t="str">
        <f aca="false">IF(OR(NOT(ISNUMBER($R118)),$R118=0,NOT(ISNUMBER($K118))),"",$K118*(1-$R118))</f>
        <v/>
      </c>
      <c r="T118" s="45" t="str">
        <f aca="false">IF(ISNUMBER($S118),$S118*$H118,"")</f>
        <v/>
      </c>
      <c r="U118" s="45" t="str">
        <f aca="false">IF(ISNUMBER($S118),$S118*Parâmetros!$B$4,"")</f>
        <v/>
      </c>
      <c r="V118" s="45" t="str">
        <f aca="false">IF(ISNUMBER($S118),$S118*Parâmetros!$C$4,"")</f>
        <v/>
      </c>
      <c r="W118" s="44" t="str">
        <f aca="false">IF(ISNUMBER($S118),$S118-$D118-IF(ISNUMBER($E118),$E118,0)-$O118-$T118-$U118-$V118,"")</f>
        <v/>
      </c>
      <c r="X118" s="46" t="str">
        <f aca="false">IF(AND(ISNUMBER($S118),$S118&gt;0),$W118/$S118,"")</f>
        <v/>
      </c>
      <c r="Y118" s="47" t="s">
        <v>741</v>
      </c>
      <c r="Z118" s="19"/>
    </row>
    <row r="119" customFormat="false" ht="15.75" hidden="false" customHeight="true" outlineLevel="0" collapsed="false">
      <c r="A119" s="48" t="str">
        <f aca="false">IF(Produtos!$A119="","",Produtos!$A119)</f>
        <v>L4090-BC</v>
      </c>
      <c r="B119" s="48" t="str">
        <f aca="false">IF(Produtos!$A119="","",Produtos!$B119)</f>
        <v>Lixeira de Aço inox 40x90 120L c/Aro basculante colorido</v>
      </c>
      <c r="C119" s="48" t="str">
        <f aca="false">IF(Produtos!$A119="","",Produtos!$C119)</f>
        <v>Lixeiras em inox</v>
      </c>
      <c r="D119" s="33" t="n">
        <f aca="false">IF(Produtos!$A119="","",IF(Produtos!$D119="","",Produtos!$D119))</f>
        <v>727.39</v>
      </c>
      <c r="E119" s="11" t="n">
        <v>107.85</v>
      </c>
      <c r="F119" s="34" t="n">
        <f aca="false">IF($A119="","",IF($C119="","⚠ categoria",IFERROR(INDEX(Parâmetros!$B$13:$B$22,MATCH($C119,Parâmetros!$A$13:$A$22,0)),"⚠ categoria")))</f>
        <v>0.13</v>
      </c>
      <c r="G119" s="35"/>
      <c r="H119" s="36" t="n">
        <f aca="false">IF($A119="","",IF(ISNUMBER($G119),$G119,IF(ISNUMBER($F119),$F119,"")))</f>
        <v>0.13</v>
      </c>
      <c r="I119" s="37" t="n">
        <f aca="false">IF(OR($A119="",NOT(ISNUMBER($D119)),NOT(ISNUMBER($H119))),"",IF((1-$H119-Parâmetros!$B$4-Parâmetros!$C$4-Parâmetros!$D$4)&lt;=0,"INVALIDO",($D119+IF(ISNUMBER($E119),$E119,0)+IF(ISNUMBER(Parâmetros!$E$4),Parâmetros!$E$4,0))/(1-$H119-Parâmetros!$B$4-Parâmetros!$C$4-Parâmetros!$D$4)))</f>
        <v>1546.74074074074</v>
      </c>
      <c r="J119" s="38" t="n">
        <v>1386.426825</v>
      </c>
      <c r="K119" s="39" t="n">
        <f aca="false">IF(OR($A119="",NOT(ISNUMBER($D119)),NOT(ISNUMBER($H119))),"",IF(AND(ISNUMBER($J119),$J119&gt;0),$J119,IF(ISNUMBER($I119),$I119,"")))</f>
        <v>1386.426825</v>
      </c>
      <c r="L119" s="40" t="n">
        <f aca="false">IF(ISNUMBER($K119),$K119*$H119,"")</f>
        <v>180.23548725</v>
      </c>
      <c r="M119" s="40" t="n">
        <f aca="false">IF(ISNUMBER($K119),$K119*Parâmetros!$B$4,"")</f>
        <v>138.6426825</v>
      </c>
      <c r="N119" s="40" t="n">
        <f aca="false">IF(ISNUMBER($K119),$K119*Parâmetros!$C$4,"")</f>
        <v>41.59280475</v>
      </c>
      <c r="O119" s="40" t="n">
        <f aca="false">IF(ISNUMBER($K119),IF(ISNUMBER(Parâmetros!$E$4),Parâmetros!$E$4,0),"")</f>
        <v>0</v>
      </c>
      <c r="P119" s="41" t="n">
        <f aca="false">IF(ISNUMBER($K119),$K119-$D119-IF(ISNUMBER($E119),$E119,0)-$L119-$M119-$N119-$O119,"")</f>
        <v>190.7158505</v>
      </c>
      <c r="Q119" s="42" t="n">
        <f aca="false">IF(AND(ISNUMBER($K119),$K119&gt;0),$P119/$K119,"")</f>
        <v>0.137559261737452</v>
      </c>
      <c r="R119" s="43"/>
      <c r="S119" s="44" t="str">
        <f aca="false">IF(OR(NOT(ISNUMBER($R119)),$R119=0,NOT(ISNUMBER($K119))),"",$K119*(1-$R119))</f>
        <v/>
      </c>
      <c r="T119" s="45" t="str">
        <f aca="false">IF(ISNUMBER($S119),$S119*$H119,"")</f>
        <v/>
      </c>
      <c r="U119" s="45" t="str">
        <f aca="false">IF(ISNUMBER($S119),$S119*Parâmetros!$B$4,"")</f>
        <v/>
      </c>
      <c r="V119" s="45" t="str">
        <f aca="false">IF(ISNUMBER($S119),$S119*Parâmetros!$C$4,"")</f>
        <v/>
      </c>
      <c r="W119" s="44" t="str">
        <f aca="false">IF(ISNUMBER($S119),$S119-$D119-IF(ISNUMBER($E119),$E119,0)-$O119-$T119-$U119-$V119,"")</f>
        <v/>
      </c>
      <c r="X119" s="46" t="str">
        <f aca="false">IF(AND(ISNUMBER($S119),$S119&gt;0),$W119/$S119,"")</f>
        <v/>
      </c>
      <c r="Y119" s="49" t="s">
        <v>741</v>
      </c>
      <c r="Z119" s="21"/>
    </row>
    <row r="120" customFormat="false" ht="15.75" hidden="false" customHeight="true" outlineLevel="0" collapsed="false">
      <c r="A120" s="32" t="str">
        <f aca="false">IF(Produtos!$A120="","",Produtos!$A120)</f>
        <v>P2425-C</v>
      </c>
      <c r="B120" s="32" t="str">
        <f aca="false">IF(Produtos!$A120="","",Produtos!$B120)</f>
        <v>Lixeira Pedal de Aço inox 24x25 12L Tampa colorido</v>
      </c>
      <c r="C120" s="32" t="str">
        <f aca="false">IF(Produtos!$A120="","",Produtos!$C120)</f>
        <v>Lixeiras com pedal</v>
      </c>
      <c r="D120" s="33" t="n">
        <f aca="false">IF(Produtos!$A120="","",IF(Produtos!$D120="","",Produtos!$D120))</f>
        <v>131.86</v>
      </c>
      <c r="E120" s="11" t="n">
        <v>29.25</v>
      </c>
      <c r="F120" s="34" t="n">
        <f aca="false">IF($A120="","",IF($C120="","⚠ categoria",IFERROR(INDEX(Parâmetros!$B$13:$B$22,MATCH($C120,Parâmetros!$A$13:$A$22,0)),"⚠ categoria")))</f>
        <v>0.13</v>
      </c>
      <c r="G120" s="35" t="n">
        <v>0.12</v>
      </c>
      <c r="H120" s="36" t="n">
        <f aca="false">IF($A120="","",IF(ISNUMBER($G120),$G120,IF(ISNUMBER($F120),$F120,"")))</f>
        <v>0.12</v>
      </c>
      <c r="I120" s="37" t="n">
        <f aca="false">IF(OR($A120="",NOT(ISNUMBER($D120)),NOT(ISNUMBER($H120))),"",IF((1-$H120-Parâmetros!$B$4-Parâmetros!$C$4-Parâmetros!$D$4)&lt;=0,"INVALIDO",($D120+IF(ISNUMBER($E120),$E120,0)+IF(ISNUMBER(Parâmetros!$E$4),Parâmetros!$E$4,0))/(1-$H120-Parâmetros!$B$4-Parâmetros!$C$4-Parâmetros!$D$4)))</f>
        <v>292.927272727273</v>
      </c>
      <c r="J120" s="38" t="n">
        <v>294.095</v>
      </c>
      <c r="K120" s="39" t="n">
        <f aca="false">IF(OR($A120="",NOT(ISNUMBER($D120)),NOT(ISNUMBER($H120))),"",IF(AND(ISNUMBER($J120),$J120&gt;0),$J120,IF(ISNUMBER($I120),$I120,"")))</f>
        <v>294.095</v>
      </c>
      <c r="L120" s="40" t="n">
        <f aca="false">IF(ISNUMBER($K120),$K120*$H120,"")</f>
        <v>35.2914</v>
      </c>
      <c r="M120" s="40" t="n">
        <f aca="false">IF(ISNUMBER($K120),$K120*Parâmetros!$B$4,"")</f>
        <v>29.4095</v>
      </c>
      <c r="N120" s="40" t="n">
        <f aca="false">IF(ISNUMBER($K120),$K120*Parâmetros!$C$4,"")</f>
        <v>8.82285</v>
      </c>
      <c r="O120" s="40" t="n">
        <f aca="false">IF(ISNUMBER($K120),IF(ISNUMBER(Parâmetros!$E$4),Parâmetros!$E$4,0),"")</f>
        <v>0</v>
      </c>
      <c r="P120" s="41" t="n">
        <f aca="false">IF(ISNUMBER($K120),$K120-$D120-IF(ISNUMBER($E120),$E120,0)-$L120-$M120-$N120-$O120,"")</f>
        <v>59.46125</v>
      </c>
      <c r="Q120" s="42" t="n">
        <f aca="false">IF(AND(ISNUMBER($K120),$K120&gt;0),$P120/$K120,"")</f>
        <v>0.202183818153998</v>
      </c>
      <c r="R120" s="43"/>
      <c r="S120" s="44" t="str">
        <f aca="false">IF(OR(NOT(ISNUMBER($R120)),$R120=0,NOT(ISNUMBER($K120))),"",$K120*(1-$R120))</f>
        <v/>
      </c>
      <c r="T120" s="45" t="str">
        <f aca="false">IF(ISNUMBER($S120),$S120*$H120,"")</f>
        <v/>
      </c>
      <c r="U120" s="45" t="str">
        <f aca="false">IF(ISNUMBER($S120),$S120*Parâmetros!$B$4,"")</f>
        <v/>
      </c>
      <c r="V120" s="45" t="str">
        <f aca="false">IF(ISNUMBER($S120),$S120*Parâmetros!$C$4,"")</f>
        <v/>
      </c>
      <c r="W120" s="44" t="str">
        <f aca="false">IF(ISNUMBER($S120),$S120-$D120-IF(ISNUMBER($E120),$E120,0)-$O120-$T120-$U120-$V120,"")</f>
        <v/>
      </c>
      <c r="X120" s="46" t="str">
        <f aca="false">IF(AND(ISNUMBER($S120),$S120&gt;0),$W120/$S120,"")</f>
        <v/>
      </c>
      <c r="Y120" s="47" t="s">
        <v>741</v>
      </c>
      <c r="Z120" s="19"/>
    </row>
    <row r="121" customFormat="false" ht="15.75" hidden="false" customHeight="true" outlineLevel="0" collapsed="false">
      <c r="A121" s="48" t="str">
        <f aca="false">IF(Produtos!$A121="","",Produtos!$A121)</f>
        <v>P2430-C</v>
      </c>
      <c r="B121" s="48" t="str">
        <f aca="false">IF(Produtos!$A121="","",Produtos!$B121)</f>
        <v>Lixeira Pedal de Aço inox 24x30 15L Tampa colorido</v>
      </c>
      <c r="C121" s="48" t="str">
        <f aca="false">IF(Produtos!$A121="","",Produtos!$C121)</f>
        <v>Lixeiras com pedal</v>
      </c>
      <c r="D121" s="33" t="n">
        <f aca="false">IF(Produtos!$A121="","",IF(Produtos!$D121="","",Produtos!$D121))</f>
        <v>140.4</v>
      </c>
      <c r="E121" s="11" t="n">
        <v>29.25</v>
      </c>
      <c r="F121" s="34" t="n">
        <f aca="false">IF($A121="","",IF($C121="","⚠ categoria",IFERROR(INDEX(Parâmetros!$B$13:$B$22,MATCH($C121,Parâmetros!$A$13:$A$22,0)),"⚠ categoria")))</f>
        <v>0.13</v>
      </c>
      <c r="G121" s="35" t="n">
        <v>0.12</v>
      </c>
      <c r="H121" s="36" t="n">
        <f aca="false">IF($A121="","",IF(ISNUMBER($G121),$G121,IF(ISNUMBER($F121),$F121,"")))</f>
        <v>0.12</v>
      </c>
      <c r="I121" s="37" t="n">
        <f aca="false">IF(OR($A121="",NOT(ISNUMBER($D121)),NOT(ISNUMBER($H121))),"",IF((1-$H121-Parâmetros!$B$4-Parâmetros!$C$4-Parâmetros!$D$4)&lt;=0,"INVALIDO",($D121+IF(ISNUMBER($E121),$E121,0)+IF(ISNUMBER(Parâmetros!$E$4),Parâmetros!$E$4,0))/(1-$H121-Parâmetros!$B$4-Parâmetros!$C$4-Parâmetros!$D$4)))</f>
        <v>308.454545454545</v>
      </c>
      <c r="J121" s="38" t="n">
        <v>310.945</v>
      </c>
      <c r="K121" s="39" t="n">
        <f aca="false">IF(OR($A121="",NOT(ISNUMBER($D121)),NOT(ISNUMBER($H121))),"",IF(AND(ISNUMBER($J121),$J121&gt;0),$J121,IF(ISNUMBER($I121),$I121,"")))</f>
        <v>310.945</v>
      </c>
      <c r="L121" s="40" t="n">
        <f aca="false">IF(ISNUMBER($K121),$K121*$H121,"")</f>
        <v>37.3134</v>
      </c>
      <c r="M121" s="40" t="n">
        <f aca="false">IF(ISNUMBER($K121),$K121*Parâmetros!$B$4,"")</f>
        <v>31.0945</v>
      </c>
      <c r="N121" s="40" t="n">
        <f aca="false">IF(ISNUMBER($K121),$K121*Parâmetros!$C$4,"")</f>
        <v>9.32835</v>
      </c>
      <c r="O121" s="40" t="n">
        <f aca="false">IF(ISNUMBER($K121),IF(ISNUMBER(Parâmetros!$E$4),Parâmetros!$E$4,0),"")</f>
        <v>0</v>
      </c>
      <c r="P121" s="41" t="n">
        <f aca="false">IF(ISNUMBER($K121),$K121-$D121-IF(ISNUMBER($E121),$E121,0)-$L121-$M121-$N121-$O121,"")</f>
        <v>63.55875</v>
      </c>
      <c r="Q121" s="42" t="n">
        <f aca="false">IF(AND(ISNUMBER($K121),$K121&gt;0),$P121/$K121,"")</f>
        <v>0.204405119876505</v>
      </c>
      <c r="R121" s="43"/>
      <c r="S121" s="44" t="str">
        <f aca="false">IF(OR(NOT(ISNUMBER($R121)),$R121=0,NOT(ISNUMBER($K121))),"",$K121*(1-$R121))</f>
        <v/>
      </c>
      <c r="T121" s="45" t="str">
        <f aca="false">IF(ISNUMBER($S121),$S121*$H121,"")</f>
        <v/>
      </c>
      <c r="U121" s="45" t="str">
        <f aca="false">IF(ISNUMBER($S121),$S121*Parâmetros!$B$4,"")</f>
        <v/>
      </c>
      <c r="V121" s="45" t="str">
        <f aca="false">IF(ISNUMBER($S121),$S121*Parâmetros!$C$4,"")</f>
        <v/>
      </c>
      <c r="W121" s="44" t="str">
        <f aca="false">IF(ISNUMBER($S121),$S121-$D121-IF(ISNUMBER($E121),$E121,0)-$O121-$T121-$U121-$V121,"")</f>
        <v/>
      </c>
      <c r="X121" s="46" t="str">
        <f aca="false">IF(AND(ISNUMBER($S121),$S121&gt;0),$W121/$S121,"")</f>
        <v/>
      </c>
      <c r="Y121" s="49" t="s">
        <v>741</v>
      </c>
      <c r="Z121" s="21"/>
    </row>
    <row r="122" customFormat="false" ht="15.75" hidden="false" customHeight="true" outlineLevel="0" collapsed="false">
      <c r="A122" s="32" t="str">
        <f aca="false">IF(Produtos!$A122="","",Produtos!$A122)</f>
        <v>P2440-C</v>
      </c>
      <c r="B122" s="32" t="str">
        <f aca="false">IF(Produtos!$A122="","",Produtos!$B122)</f>
        <v>Lixeira Pedal de Aço inox 24x40 20L Tampa colorido</v>
      </c>
      <c r="C122" s="32" t="str">
        <f aca="false">IF(Produtos!$A122="","",Produtos!$C122)</f>
        <v>Lixeiras com pedal</v>
      </c>
      <c r="D122" s="33" t="n">
        <f aca="false">IF(Produtos!$A122="","",IF(Produtos!$D122="","",Produtos!$D122))</f>
        <v>148.86</v>
      </c>
      <c r="E122" s="11" t="n">
        <v>40.85</v>
      </c>
      <c r="F122" s="34" t="n">
        <f aca="false">IF($A122="","",IF($C122="","⚠ categoria",IFERROR(INDEX(Parâmetros!$B$13:$B$22,MATCH($C122,Parâmetros!$A$13:$A$22,0)),"⚠ categoria")))</f>
        <v>0.13</v>
      </c>
      <c r="G122" s="35" t="n">
        <v>0.12</v>
      </c>
      <c r="H122" s="36" t="n">
        <f aca="false">IF($A122="","",IF(ISNUMBER($G122),$G122,IF(ISNUMBER($F122),$F122,"")))</f>
        <v>0.12</v>
      </c>
      <c r="I122" s="37" t="n">
        <f aca="false">IF(OR($A122="",NOT(ISNUMBER($D122)),NOT(ISNUMBER($H122))),"",IF((1-$H122-Parâmetros!$B$4-Parâmetros!$C$4-Parâmetros!$D$4)&lt;=0,"INVALIDO",($D122+IF(ISNUMBER($E122),$E122,0)+IF(ISNUMBER(Parâmetros!$E$4),Parâmetros!$E$4,0))/(1-$H122-Parâmetros!$B$4-Parâmetros!$C$4-Parâmetros!$D$4)))</f>
        <v>344.927272727273</v>
      </c>
      <c r="J122" s="38" t="n">
        <v>317.3050125</v>
      </c>
      <c r="K122" s="39" t="n">
        <f aca="false">IF(OR($A122="",NOT(ISNUMBER($D122)),NOT(ISNUMBER($H122))),"",IF(AND(ISNUMBER($J122),$J122&gt;0),$J122,IF(ISNUMBER($I122),$I122,"")))</f>
        <v>317.3050125</v>
      </c>
      <c r="L122" s="40" t="n">
        <f aca="false">IF(ISNUMBER($K122),$K122*$H122,"")</f>
        <v>38.0766015</v>
      </c>
      <c r="M122" s="40" t="n">
        <f aca="false">IF(ISNUMBER($K122),$K122*Parâmetros!$B$4,"")</f>
        <v>31.73050125</v>
      </c>
      <c r="N122" s="40" t="n">
        <f aca="false">IF(ISNUMBER($K122),$K122*Parâmetros!$C$4,"")</f>
        <v>9.519150375</v>
      </c>
      <c r="O122" s="40" t="n">
        <f aca="false">IF(ISNUMBER($K122),IF(ISNUMBER(Parâmetros!$E$4),Parâmetros!$E$4,0),"")</f>
        <v>0</v>
      </c>
      <c r="P122" s="41" t="n">
        <f aca="false">IF(ISNUMBER($K122),$K122-$D122-IF(ISNUMBER($E122),$E122,0)-$L122-$M122-$N122-$O122,"")</f>
        <v>48.268759375</v>
      </c>
      <c r="Q122" s="42" t="n">
        <f aca="false">IF(AND(ISNUMBER($K122),$K122&gt;0),$P122/$K122,"")</f>
        <v>0.152121011246237</v>
      </c>
      <c r="R122" s="43"/>
      <c r="S122" s="44" t="str">
        <f aca="false">IF(OR(NOT(ISNUMBER($R122)),$R122=0,NOT(ISNUMBER($K122))),"",$K122*(1-$R122))</f>
        <v/>
      </c>
      <c r="T122" s="45" t="str">
        <f aca="false">IF(ISNUMBER($S122),$S122*$H122,"")</f>
        <v/>
      </c>
      <c r="U122" s="45" t="str">
        <f aca="false">IF(ISNUMBER($S122),$S122*Parâmetros!$B$4,"")</f>
        <v/>
      </c>
      <c r="V122" s="45" t="str">
        <f aca="false">IF(ISNUMBER($S122),$S122*Parâmetros!$C$4,"")</f>
        <v/>
      </c>
      <c r="W122" s="44" t="str">
        <f aca="false">IF(ISNUMBER($S122),$S122-$D122-IF(ISNUMBER($E122),$E122,0)-$O122-$T122-$U122-$V122,"")</f>
        <v/>
      </c>
      <c r="X122" s="46" t="str">
        <f aca="false">IF(AND(ISNUMBER($S122),$S122&gt;0),$W122/$S122,"")</f>
        <v/>
      </c>
      <c r="Y122" s="47" t="s">
        <v>741</v>
      </c>
      <c r="Z122" s="19"/>
    </row>
    <row r="123" customFormat="false" ht="15.75" hidden="false" customHeight="true" outlineLevel="0" collapsed="false">
      <c r="A123" s="48" t="str">
        <f aca="false">IF(Produtos!$A123="","",Produtos!$A123)</f>
        <v>P3040-C</v>
      </c>
      <c r="B123" s="48" t="str">
        <f aca="false">IF(Produtos!$A123="","",Produtos!$B123)</f>
        <v>Lixeira Pedal de Aço inox 30x40 30L Tampa colorido</v>
      </c>
      <c r="C123" s="48" t="str">
        <f aca="false">IF(Produtos!$A123="","",Produtos!$C123)</f>
        <v>Lixeiras com pedal</v>
      </c>
      <c r="D123" s="33" t="n">
        <f aca="false">IF(Produtos!$A123="","",IF(Produtos!$D123="","",Produtos!$D123))</f>
        <v>213.43</v>
      </c>
      <c r="E123" s="11" t="n">
        <v>45.25</v>
      </c>
      <c r="F123" s="34" t="n">
        <f aca="false">IF($A123="","",IF($C123="","⚠ categoria",IFERROR(INDEX(Parâmetros!$B$13:$B$22,MATCH($C123,Parâmetros!$A$13:$A$22,0)),"⚠ categoria")))</f>
        <v>0.13</v>
      </c>
      <c r="G123" s="35" t="n">
        <v>0.12</v>
      </c>
      <c r="H123" s="36" t="n">
        <f aca="false">IF($A123="","",IF(ISNUMBER($G123),$G123,IF(ISNUMBER($F123),$F123,"")))</f>
        <v>0.12</v>
      </c>
      <c r="I123" s="37" t="n">
        <f aca="false">IF(OR($A123="",NOT(ISNUMBER($D123)),NOT(ISNUMBER($H123))),"",IF((1-$H123-Parâmetros!$B$4-Parâmetros!$C$4-Parâmetros!$D$4)&lt;=0,"INVALIDO",($D123+IF(ISNUMBER($E123),$E123,0)+IF(ISNUMBER(Parâmetros!$E$4),Parâmetros!$E$4,0))/(1-$H123-Parâmetros!$B$4-Parâmetros!$C$4-Parâmetros!$D$4)))</f>
        <v>470.327272727273</v>
      </c>
      <c r="J123" s="38" t="n">
        <v>453.54589875</v>
      </c>
      <c r="K123" s="39" t="n">
        <f aca="false">IF(OR($A123="",NOT(ISNUMBER($D123)),NOT(ISNUMBER($H123))),"",IF(AND(ISNUMBER($J123),$J123&gt;0),$J123,IF(ISNUMBER($I123),$I123,"")))</f>
        <v>453.54589875</v>
      </c>
      <c r="L123" s="40" t="n">
        <f aca="false">IF(ISNUMBER($K123),$K123*$H123,"")</f>
        <v>54.42550785</v>
      </c>
      <c r="M123" s="40" t="n">
        <f aca="false">IF(ISNUMBER($K123),$K123*Parâmetros!$B$4,"")</f>
        <v>45.354589875</v>
      </c>
      <c r="N123" s="40" t="n">
        <f aca="false">IF(ISNUMBER($K123),$K123*Parâmetros!$C$4,"")</f>
        <v>13.6063769625</v>
      </c>
      <c r="O123" s="40" t="n">
        <f aca="false">IF(ISNUMBER($K123),IF(ISNUMBER(Parâmetros!$E$4),Parâmetros!$E$4,0),"")</f>
        <v>0</v>
      </c>
      <c r="P123" s="41" t="n">
        <f aca="false">IF(ISNUMBER($K123),$K123-$D123-IF(ISNUMBER($E123),$E123,0)-$L123-$M123-$N123-$O123,"")</f>
        <v>81.4794240625</v>
      </c>
      <c r="Q123" s="42" t="n">
        <f aca="false">IF(AND(ISNUMBER($K123),$K123&gt;0),$P123/$K123,"")</f>
        <v>0.179649786905939</v>
      </c>
      <c r="R123" s="43"/>
      <c r="S123" s="44" t="str">
        <f aca="false">IF(OR(NOT(ISNUMBER($R123)),$R123=0,NOT(ISNUMBER($K123))),"",$K123*(1-$R123))</f>
        <v/>
      </c>
      <c r="T123" s="45" t="str">
        <f aca="false">IF(ISNUMBER($S123),$S123*$H123,"")</f>
        <v/>
      </c>
      <c r="U123" s="45" t="str">
        <f aca="false">IF(ISNUMBER($S123),$S123*Parâmetros!$B$4,"")</f>
        <v/>
      </c>
      <c r="V123" s="45" t="str">
        <f aca="false">IF(ISNUMBER($S123),$S123*Parâmetros!$C$4,"")</f>
        <v/>
      </c>
      <c r="W123" s="44" t="str">
        <f aca="false">IF(ISNUMBER($S123),$S123-$D123-IF(ISNUMBER($E123),$E123,0)-$O123-$T123-$U123-$V123,"")</f>
        <v/>
      </c>
      <c r="X123" s="46" t="str">
        <f aca="false">IF(AND(ISNUMBER($S123),$S123&gt;0),$W123/$S123,"")</f>
        <v/>
      </c>
      <c r="Y123" s="49" t="s">
        <v>741</v>
      </c>
      <c r="Z123" s="21"/>
    </row>
    <row r="124" customFormat="false" ht="15.75" hidden="false" customHeight="true" outlineLevel="0" collapsed="false">
      <c r="A124" s="32" t="str">
        <f aca="false">IF(Produtos!$A124="","",Produtos!$A124)</f>
        <v>P3050-C</v>
      </c>
      <c r="B124" s="32" t="str">
        <f aca="false">IF(Produtos!$A124="","",Produtos!$B124)</f>
        <v>Lixeira Pedal de Aço inox 30x50 40L Tampa colorido</v>
      </c>
      <c r="C124" s="32" t="str">
        <f aca="false">IF(Produtos!$A124="","",Produtos!$C124)</f>
        <v>Lixeiras com pedal</v>
      </c>
      <c r="D124" s="33" t="n">
        <f aca="false">IF(Produtos!$A124="","",IF(Produtos!$D124="","",Produtos!$D124))</f>
        <v>252.66</v>
      </c>
      <c r="E124" s="11" t="n">
        <v>65.85</v>
      </c>
      <c r="F124" s="34" t="n">
        <f aca="false">IF($A124="","",IF($C124="","⚠ categoria",IFERROR(INDEX(Parâmetros!$B$13:$B$22,MATCH($C124,Parâmetros!$A$13:$A$22,0)),"⚠ categoria")))</f>
        <v>0.13</v>
      </c>
      <c r="G124" s="35" t="n">
        <v>0.12</v>
      </c>
      <c r="H124" s="36" t="n">
        <f aca="false">IF($A124="","",IF(ISNUMBER($G124),$G124,IF(ISNUMBER($F124),$F124,"")))</f>
        <v>0.12</v>
      </c>
      <c r="I124" s="37" t="n">
        <f aca="false">IF(OR($A124="",NOT(ISNUMBER($D124)),NOT(ISNUMBER($H124))),"",IF((1-$H124-Parâmetros!$B$4-Parâmetros!$C$4-Parâmetros!$D$4)&lt;=0,"INVALIDO",($D124+IF(ISNUMBER($E124),$E124,0)+IF(ISNUMBER(Parâmetros!$E$4),Parâmetros!$E$4,0))/(1-$H124-Parâmetros!$B$4-Parâmetros!$C$4-Parâmetros!$D$4)))</f>
        <v>579.109090909091</v>
      </c>
      <c r="J124" s="38" t="n">
        <v>579.45713875</v>
      </c>
      <c r="K124" s="39" t="n">
        <f aca="false">IF(OR($A124="",NOT(ISNUMBER($D124)),NOT(ISNUMBER($H124))),"",IF(AND(ISNUMBER($J124),$J124&gt;0),$J124,IF(ISNUMBER($I124),$I124,"")))</f>
        <v>579.45713875</v>
      </c>
      <c r="L124" s="40" t="n">
        <f aca="false">IF(ISNUMBER($K124),$K124*$H124,"")</f>
        <v>69.53485665</v>
      </c>
      <c r="M124" s="40" t="n">
        <f aca="false">IF(ISNUMBER($K124),$K124*Parâmetros!$B$4,"")</f>
        <v>57.945713875</v>
      </c>
      <c r="N124" s="40" t="n">
        <f aca="false">IF(ISNUMBER($K124),$K124*Parâmetros!$C$4,"")</f>
        <v>17.3837141625</v>
      </c>
      <c r="O124" s="40" t="n">
        <f aca="false">IF(ISNUMBER($K124),IF(ISNUMBER(Parâmetros!$E$4),Parâmetros!$E$4,0),"")</f>
        <v>0</v>
      </c>
      <c r="P124" s="41" t="n">
        <f aca="false">IF(ISNUMBER($K124),$K124-$D124-IF(ISNUMBER($E124),$E124,0)-$L124-$M124-$N124-$O124,"")</f>
        <v>116.0828540625</v>
      </c>
      <c r="Q124" s="42" t="n">
        <f aca="false">IF(AND(ISNUMBER($K124),$K124&gt;0),$P124/$K124,"")</f>
        <v>0.200330354567575</v>
      </c>
      <c r="R124" s="43"/>
      <c r="S124" s="44" t="str">
        <f aca="false">IF(OR(NOT(ISNUMBER($R124)),$R124=0,NOT(ISNUMBER($K124))),"",$K124*(1-$R124))</f>
        <v/>
      </c>
      <c r="T124" s="45" t="str">
        <f aca="false">IF(ISNUMBER($S124),$S124*$H124,"")</f>
        <v/>
      </c>
      <c r="U124" s="45" t="str">
        <f aca="false">IF(ISNUMBER($S124),$S124*Parâmetros!$B$4,"")</f>
        <v/>
      </c>
      <c r="V124" s="45" t="str">
        <f aca="false">IF(ISNUMBER($S124),$S124*Parâmetros!$C$4,"")</f>
        <v/>
      </c>
      <c r="W124" s="44" t="str">
        <f aca="false">IF(ISNUMBER($S124),$S124-$D124-IF(ISNUMBER($E124),$E124,0)-$O124-$T124-$U124-$V124,"")</f>
        <v/>
      </c>
      <c r="X124" s="46" t="str">
        <f aca="false">IF(AND(ISNUMBER($S124),$S124&gt;0),$W124/$S124,"")</f>
        <v/>
      </c>
      <c r="Y124" s="47" t="s">
        <v>741</v>
      </c>
      <c r="Z124" s="19"/>
    </row>
    <row r="125" customFormat="false" ht="15.75" hidden="false" customHeight="true" outlineLevel="0" collapsed="false">
      <c r="A125" s="48" t="str">
        <f aca="false">IF(Produtos!$A125="","",Produtos!$A125)</f>
        <v>P3060-C</v>
      </c>
      <c r="B125" s="48" t="str">
        <f aca="false">IF(Produtos!$A125="","",Produtos!$B125)</f>
        <v>Lixeira Pedal de Aço inox 30x60 50L Tampa colorido</v>
      </c>
      <c r="C125" s="48" t="str">
        <f aca="false">IF(Produtos!$A125="","",Produtos!$C125)</f>
        <v>Lixeiras com pedal</v>
      </c>
      <c r="D125" s="33" t="n">
        <f aca="false">IF(Produtos!$A125="","",IF(Produtos!$D125="","",Produtos!$D125))</f>
        <v>254.39</v>
      </c>
      <c r="E125" s="11" t="n">
        <v>65.85</v>
      </c>
      <c r="F125" s="34" t="n">
        <f aca="false">IF($A125="","",IF($C125="","⚠ categoria",IFERROR(INDEX(Parâmetros!$B$13:$B$22,MATCH($C125,Parâmetros!$A$13:$A$22,0)),"⚠ categoria")))</f>
        <v>0.13</v>
      </c>
      <c r="G125" s="35" t="n">
        <v>0.12</v>
      </c>
      <c r="H125" s="36" t="n">
        <f aca="false">IF($A125="","",IF(ISNUMBER($G125),$G125,IF(ISNUMBER($F125),$F125,"")))</f>
        <v>0.12</v>
      </c>
      <c r="I125" s="37" t="n">
        <f aca="false">IF(OR($A125="",NOT(ISNUMBER($D125)),NOT(ISNUMBER($H125))),"",IF((1-$H125-Parâmetros!$B$4-Parâmetros!$C$4-Parâmetros!$D$4)&lt;=0,"INVALIDO",($D125+IF(ISNUMBER($E125),$E125,0)+IF(ISNUMBER(Parâmetros!$E$4),Parâmetros!$E$4,0))/(1-$H125-Parâmetros!$B$4-Parâmetros!$C$4-Parâmetros!$D$4)))</f>
        <v>582.254545454546</v>
      </c>
      <c r="J125" s="38" t="n">
        <v>582.4635</v>
      </c>
      <c r="K125" s="39" t="n">
        <f aca="false">IF(OR($A125="",NOT(ISNUMBER($D125)),NOT(ISNUMBER($H125))),"",IF(AND(ISNUMBER($J125),$J125&gt;0),$J125,IF(ISNUMBER($I125),$I125,"")))</f>
        <v>582.4635</v>
      </c>
      <c r="L125" s="40" t="n">
        <f aca="false">IF(ISNUMBER($K125),$K125*$H125,"")</f>
        <v>69.89562</v>
      </c>
      <c r="M125" s="40" t="n">
        <f aca="false">IF(ISNUMBER($K125),$K125*Parâmetros!$B$4,"")</f>
        <v>58.24635</v>
      </c>
      <c r="N125" s="40" t="n">
        <f aca="false">IF(ISNUMBER($K125),$K125*Parâmetros!$C$4,"")</f>
        <v>17.473905</v>
      </c>
      <c r="O125" s="40" t="n">
        <f aca="false">IF(ISNUMBER($K125),IF(ISNUMBER(Parâmetros!$E$4),Parâmetros!$E$4,0),"")</f>
        <v>0</v>
      </c>
      <c r="P125" s="41" t="n">
        <f aca="false">IF(ISNUMBER($K125),$K125-$D125-IF(ISNUMBER($E125),$E125,0)-$L125-$M125-$N125-$O125,"")</f>
        <v>116.607625</v>
      </c>
      <c r="Q125" s="42" t="n">
        <f aca="false">IF(AND(ISNUMBER($K125),$K125&gt;0),$P125/$K125,"")</f>
        <v>0.200197308500876</v>
      </c>
      <c r="R125" s="43"/>
      <c r="S125" s="44" t="str">
        <f aca="false">IF(OR(NOT(ISNUMBER($R125)),$R125=0,NOT(ISNUMBER($K125))),"",$K125*(1-$R125))</f>
        <v/>
      </c>
      <c r="T125" s="45" t="str">
        <f aca="false">IF(ISNUMBER($S125),$S125*$H125,"")</f>
        <v/>
      </c>
      <c r="U125" s="45" t="str">
        <f aca="false">IF(ISNUMBER($S125),$S125*Parâmetros!$B$4,"")</f>
        <v/>
      </c>
      <c r="V125" s="45" t="str">
        <f aca="false">IF(ISNUMBER($S125),$S125*Parâmetros!$C$4,"")</f>
        <v/>
      </c>
      <c r="W125" s="44" t="str">
        <f aca="false">IF(ISNUMBER($S125),$S125-$D125-IF(ISNUMBER($E125),$E125,0)-$O125-$T125-$U125-$V125,"")</f>
        <v/>
      </c>
      <c r="X125" s="46" t="str">
        <f aca="false">IF(AND(ISNUMBER($S125),$S125&gt;0),$W125/$S125,"")</f>
        <v/>
      </c>
      <c r="Y125" s="49" t="s">
        <v>741</v>
      </c>
      <c r="Z125" s="21"/>
    </row>
    <row r="126" customFormat="false" ht="15.75" hidden="false" customHeight="true" outlineLevel="0" collapsed="false">
      <c r="A126" s="32" t="str">
        <f aca="false">IF(Produtos!$A126="","",Produtos!$A126)</f>
        <v>P3070-C</v>
      </c>
      <c r="B126" s="32" t="str">
        <f aca="false">IF(Produtos!$A126="","",Produtos!$B126)</f>
        <v>Lixeira Pedal de Aço inox 30x70 60L Tampa colorido</v>
      </c>
      <c r="C126" s="32" t="str">
        <f aca="false">IF(Produtos!$A126="","",Produtos!$C126)</f>
        <v>Lixeiras com pedal</v>
      </c>
      <c r="D126" s="33" t="n">
        <f aca="false">IF(Produtos!$A126="","",IF(Produtos!$D126="","",Produtos!$D126))</f>
        <v>316.25</v>
      </c>
      <c r="E126" s="11" t="n">
        <v>70.95</v>
      </c>
      <c r="F126" s="34" t="n">
        <f aca="false">IF($A126="","",IF($C126="","⚠ categoria",IFERROR(INDEX(Parâmetros!$B$13:$B$22,MATCH($C126,Parâmetros!$A$13:$A$22,0)),"⚠ categoria")))</f>
        <v>0.13</v>
      </c>
      <c r="G126" s="35" t="n">
        <v>0.12</v>
      </c>
      <c r="H126" s="36" t="n">
        <f aca="false">IF($A126="","",IF(ISNUMBER($G126),$G126,IF(ISNUMBER($F126),$F126,"")))</f>
        <v>0.12</v>
      </c>
      <c r="I126" s="37" t="n">
        <f aca="false">IF(OR($A126="",NOT(ISNUMBER($D126)),NOT(ISNUMBER($H126))),"",IF((1-$H126-Parâmetros!$B$4-Parâmetros!$C$4-Parâmetros!$D$4)&lt;=0,"INVALIDO",($D126+IF(ISNUMBER($E126),$E126,0)+IF(ISNUMBER(Parâmetros!$E$4),Parâmetros!$E$4,0))/(1-$H126-Parâmetros!$B$4-Parâmetros!$C$4-Parâmetros!$D$4)))</f>
        <v>704</v>
      </c>
      <c r="J126" s="38" t="n">
        <v>714.5355</v>
      </c>
      <c r="K126" s="39" t="n">
        <f aca="false">IF(OR($A126="",NOT(ISNUMBER($D126)),NOT(ISNUMBER($H126))),"",IF(AND(ISNUMBER($J126),$J126&gt;0),$J126,IF(ISNUMBER($I126),$I126,"")))</f>
        <v>714.5355</v>
      </c>
      <c r="L126" s="40" t="n">
        <f aca="false">IF(ISNUMBER($K126),$K126*$H126,"")</f>
        <v>85.74426</v>
      </c>
      <c r="M126" s="40" t="n">
        <f aca="false">IF(ISNUMBER($K126),$K126*Parâmetros!$B$4,"")</f>
        <v>71.45355</v>
      </c>
      <c r="N126" s="40" t="n">
        <f aca="false">IF(ISNUMBER($K126),$K126*Parâmetros!$C$4,"")</f>
        <v>21.436065</v>
      </c>
      <c r="O126" s="40" t="n">
        <f aca="false">IF(ISNUMBER($K126),IF(ISNUMBER(Parâmetros!$E$4),Parâmetros!$E$4,0),"")</f>
        <v>0</v>
      </c>
      <c r="P126" s="41" t="n">
        <f aca="false">IF(ISNUMBER($K126),$K126-$D126-IF(ISNUMBER($E126),$E126,0)-$L126-$M126-$N126-$O126,"")</f>
        <v>148.701625</v>
      </c>
      <c r="Q126" s="42" t="n">
        <f aca="false">IF(AND(ISNUMBER($K126),$K126&gt;0),$P126/$K126,"")</f>
        <v>0.208109499108162</v>
      </c>
      <c r="R126" s="43"/>
      <c r="S126" s="44" t="str">
        <f aca="false">IF(OR(NOT(ISNUMBER($R126)),$R126=0,NOT(ISNUMBER($K126))),"",$K126*(1-$R126))</f>
        <v/>
      </c>
      <c r="T126" s="45" t="str">
        <f aca="false">IF(ISNUMBER($S126),$S126*$H126,"")</f>
        <v/>
      </c>
      <c r="U126" s="45" t="str">
        <f aca="false">IF(ISNUMBER($S126),$S126*Parâmetros!$B$4,"")</f>
        <v/>
      </c>
      <c r="V126" s="45" t="str">
        <f aca="false">IF(ISNUMBER($S126),$S126*Parâmetros!$C$4,"")</f>
        <v/>
      </c>
      <c r="W126" s="44" t="str">
        <f aca="false">IF(ISNUMBER($S126),$S126-$D126-IF(ISNUMBER($E126),$E126,0)-$O126-$T126-$U126-$V126,"")</f>
        <v/>
      </c>
      <c r="X126" s="46" t="str">
        <f aca="false">IF(AND(ISNUMBER($S126),$S126&gt;0),$W126/$S126,"")</f>
        <v/>
      </c>
      <c r="Y126" s="47" t="s">
        <v>742</v>
      </c>
      <c r="Z126" s="19"/>
    </row>
    <row r="127" customFormat="false" ht="15.75" hidden="false" customHeight="true" outlineLevel="0" collapsed="false">
      <c r="A127" s="48" t="str">
        <f aca="false">IF(Produtos!$A127="","",Produtos!$A127)</f>
        <v>P4050-C</v>
      </c>
      <c r="B127" s="48" t="str">
        <f aca="false">IF(Produtos!$A127="","",Produtos!$B127)</f>
        <v>Lixeira Pedal de Aço inox 40x50 65L Tampa colorido</v>
      </c>
      <c r="C127" s="48" t="str">
        <f aca="false">IF(Produtos!$A127="","",Produtos!$C127)</f>
        <v>Lixeiras com pedal</v>
      </c>
      <c r="D127" s="33" t="n">
        <f aca="false">IF(Produtos!$A127="","",IF(Produtos!$D127="","",Produtos!$D127))</f>
        <v>383.73</v>
      </c>
      <c r="E127" s="11" t="n">
        <v>91.95</v>
      </c>
      <c r="F127" s="34" t="n">
        <f aca="false">IF($A127="","",IF($C127="","⚠ categoria",IFERROR(INDEX(Parâmetros!$B$13:$B$22,MATCH($C127,Parâmetros!$A$13:$A$22,0)),"⚠ categoria")))</f>
        <v>0.13</v>
      </c>
      <c r="G127" s="35"/>
      <c r="H127" s="36" t="n">
        <f aca="false">IF($A127="","",IF(ISNUMBER($G127),$G127,IF(ISNUMBER($F127),$F127,"")))</f>
        <v>0.13</v>
      </c>
      <c r="I127" s="37" t="n">
        <f aca="false">IF(OR($A127="",NOT(ISNUMBER($D127)),NOT(ISNUMBER($H127))),"",IF((1-$H127-Parâmetros!$B$4-Parâmetros!$C$4-Parâmetros!$D$4)&lt;=0,"INVALIDO",($D127+IF(ISNUMBER($E127),$E127,0)+IF(ISNUMBER(Parâmetros!$E$4),Parâmetros!$E$4,0))/(1-$H127-Parâmetros!$B$4-Parâmetros!$C$4-Parâmetros!$D$4)))</f>
        <v>880.888888888889</v>
      </c>
      <c r="J127" s="38" t="n">
        <v>835.2837399375</v>
      </c>
      <c r="K127" s="39" t="n">
        <f aca="false">IF(OR($A127="",NOT(ISNUMBER($D127)),NOT(ISNUMBER($H127))),"",IF(AND(ISNUMBER($J127),$J127&gt;0),$J127,IF(ISNUMBER($I127),$I127,"")))</f>
        <v>835.2837399375</v>
      </c>
      <c r="L127" s="40" t="n">
        <f aca="false">IF(ISNUMBER($K127),$K127*$H127,"")</f>
        <v>108.586886191875</v>
      </c>
      <c r="M127" s="40" t="n">
        <f aca="false">IF(ISNUMBER($K127),$K127*Parâmetros!$B$4,"")</f>
        <v>83.52837399375</v>
      </c>
      <c r="N127" s="40" t="n">
        <f aca="false">IF(ISNUMBER($K127),$K127*Parâmetros!$C$4,"")</f>
        <v>25.058512198125</v>
      </c>
      <c r="O127" s="40" t="n">
        <f aca="false">IF(ISNUMBER($K127),IF(ISNUMBER(Parâmetros!$E$4),Parâmetros!$E$4,0),"")</f>
        <v>0</v>
      </c>
      <c r="P127" s="41" t="n">
        <f aca="false">IF(ISNUMBER($K127),$K127-$D127-IF(ISNUMBER($E127),$E127,0)-$L127-$M127-$N127-$O127,"")</f>
        <v>142.42996755375</v>
      </c>
      <c r="Q127" s="42" t="n">
        <f aca="false">IF(AND(ISNUMBER($K127),$K127&gt;0),$P127/$K127,"")</f>
        <v>0.170516868393017</v>
      </c>
      <c r="R127" s="43"/>
      <c r="S127" s="44" t="str">
        <f aca="false">IF(OR(NOT(ISNUMBER($R127)),$R127=0,NOT(ISNUMBER($K127))),"",$K127*(1-$R127))</f>
        <v/>
      </c>
      <c r="T127" s="45" t="str">
        <f aca="false">IF(ISNUMBER($S127),$S127*$H127,"")</f>
        <v/>
      </c>
      <c r="U127" s="45" t="str">
        <f aca="false">IF(ISNUMBER($S127),$S127*Parâmetros!$B$4,"")</f>
        <v/>
      </c>
      <c r="V127" s="45" t="str">
        <f aca="false">IF(ISNUMBER($S127),$S127*Parâmetros!$C$4,"")</f>
        <v/>
      </c>
      <c r="W127" s="44" t="str">
        <f aca="false">IF(ISNUMBER($S127),$S127-$D127-IF(ISNUMBER($E127),$E127,0)-$O127-$T127-$U127-$V127,"")</f>
        <v/>
      </c>
      <c r="X127" s="46" t="str">
        <f aca="false">IF(AND(ISNUMBER($S127),$S127&gt;0),$W127/$S127,"")</f>
        <v/>
      </c>
      <c r="Y127" s="49" t="s">
        <v>741</v>
      </c>
      <c r="Z127" s="21"/>
    </row>
    <row r="128" customFormat="false" ht="15.75" hidden="false" customHeight="true" outlineLevel="0" collapsed="false">
      <c r="A128" s="32" t="str">
        <f aca="false">IF(Produtos!$A128="","",Produtos!$A128)</f>
        <v>P4060-C</v>
      </c>
      <c r="B128" s="32" t="str">
        <f aca="false">IF(Produtos!$A128="","",Produtos!$B128)</f>
        <v>Lixeira Pedal de Aço inox 40x60 75L Tampa colorido</v>
      </c>
      <c r="C128" s="32" t="str">
        <f aca="false">IF(Produtos!$A128="","",Produtos!$C128)</f>
        <v>Lixeiras com pedal</v>
      </c>
      <c r="D128" s="33" t="n">
        <f aca="false">IF(Produtos!$A128="","",IF(Produtos!$D128="","",Produtos!$D128))</f>
        <v>423.07</v>
      </c>
      <c r="E128" s="11" t="n">
        <v>91.95</v>
      </c>
      <c r="F128" s="34" t="n">
        <f aca="false">IF($A128="","",IF($C128="","⚠ categoria",IFERROR(INDEX(Parâmetros!$B$13:$B$22,MATCH($C128,Parâmetros!$A$13:$A$22,0)),"⚠ categoria")))</f>
        <v>0.13</v>
      </c>
      <c r="G128" s="35"/>
      <c r="H128" s="36" t="n">
        <f aca="false">IF($A128="","",IF(ISNUMBER($G128),$G128,IF(ISNUMBER($F128),$F128,"")))</f>
        <v>0.13</v>
      </c>
      <c r="I128" s="37" t="n">
        <f aca="false">IF(OR($A128="",NOT(ISNUMBER($D128)),NOT(ISNUMBER($H128))),"",IF((1-$H128-Parâmetros!$B$4-Parâmetros!$C$4-Parâmetros!$D$4)&lt;=0,"INVALIDO",($D128+IF(ISNUMBER($E128),$E128,0)+IF(ISNUMBER(Parâmetros!$E$4),Parâmetros!$E$4,0))/(1-$H128-Parâmetros!$B$4-Parâmetros!$C$4-Parâmetros!$D$4)))</f>
        <v>953.740740740741</v>
      </c>
      <c r="J128" s="38" t="n">
        <v>909.7942730625</v>
      </c>
      <c r="K128" s="39" t="n">
        <f aca="false">IF(OR($A128="",NOT(ISNUMBER($D128)),NOT(ISNUMBER($H128))),"",IF(AND(ISNUMBER($J128),$J128&gt;0),$J128,IF(ISNUMBER($I128),$I128,"")))</f>
        <v>909.7942730625</v>
      </c>
      <c r="L128" s="40" t="n">
        <f aca="false">IF(ISNUMBER($K128),$K128*$H128,"")</f>
        <v>118.273255498125</v>
      </c>
      <c r="M128" s="40" t="n">
        <f aca="false">IF(ISNUMBER($K128),$K128*Parâmetros!$B$4,"")</f>
        <v>90.97942730625</v>
      </c>
      <c r="N128" s="40" t="n">
        <f aca="false">IF(ISNUMBER($K128),$K128*Parâmetros!$C$4,"")</f>
        <v>27.293828191875</v>
      </c>
      <c r="O128" s="40" t="n">
        <f aca="false">IF(ISNUMBER($K128),IF(ISNUMBER(Parâmetros!$E$4),Parâmetros!$E$4,0),"")</f>
        <v>0</v>
      </c>
      <c r="P128" s="41" t="n">
        <f aca="false">IF(ISNUMBER($K128),$K128-$D128-IF(ISNUMBER($E128),$E128,0)-$L128-$M128-$N128-$O128,"")</f>
        <v>158.22776206625</v>
      </c>
      <c r="Q128" s="42" t="n">
        <f aca="false">IF(AND(ISNUMBER($K128),$K128&gt;0),$P128/$K128,"")</f>
        <v>0.17391597941547</v>
      </c>
      <c r="R128" s="43"/>
      <c r="S128" s="44" t="str">
        <f aca="false">IF(OR(NOT(ISNUMBER($R128)),$R128=0,NOT(ISNUMBER($K128))),"",$K128*(1-$R128))</f>
        <v/>
      </c>
      <c r="T128" s="45" t="str">
        <f aca="false">IF(ISNUMBER($S128),$S128*$H128,"")</f>
        <v/>
      </c>
      <c r="U128" s="45" t="str">
        <f aca="false">IF(ISNUMBER($S128),$S128*Parâmetros!$B$4,"")</f>
        <v/>
      </c>
      <c r="V128" s="45" t="str">
        <f aca="false">IF(ISNUMBER($S128),$S128*Parâmetros!$C$4,"")</f>
        <v/>
      </c>
      <c r="W128" s="44" t="str">
        <f aca="false">IF(ISNUMBER($S128),$S128-$D128-IF(ISNUMBER($E128),$E128,0)-$O128-$T128-$U128-$V128,"")</f>
        <v/>
      </c>
      <c r="X128" s="46" t="str">
        <f aca="false">IF(AND(ISNUMBER($S128),$S128&gt;0),$W128/$S128,"")</f>
        <v/>
      </c>
      <c r="Y128" s="47" t="s">
        <v>741</v>
      </c>
      <c r="Z128" s="19"/>
    </row>
    <row r="129" customFormat="false" ht="15.75" hidden="false" customHeight="true" outlineLevel="0" collapsed="false">
      <c r="A129" s="48" t="str">
        <f aca="false">IF(Produtos!$A129="","",Produtos!$A129)</f>
        <v>P4070-C</v>
      </c>
      <c r="B129" s="48" t="str">
        <f aca="false">IF(Produtos!$A129="","",Produtos!$B129)</f>
        <v>Lixeira Pedal de Aço inox 40x70 80L Tampa colorido</v>
      </c>
      <c r="C129" s="48" t="str">
        <f aca="false">IF(Produtos!$A129="","",Produtos!$C129)</f>
        <v>Lixeiras com pedal</v>
      </c>
      <c r="D129" s="33" t="n">
        <f aca="false">IF(Produtos!$A129="","",IF(Produtos!$D129="","",Produtos!$D129))</f>
        <v>428.49</v>
      </c>
      <c r="E129" s="11" t="n">
        <v>106.85</v>
      </c>
      <c r="F129" s="34" t="n">
        <f aca="false">IF($A129="","",IF($C129="","⚠ categoria",IFERROR(INDEX(Parâmetros!$B$13:$B$22,MATCH($C129,Parâmetros!$A$13:$A$22,0)),"⚠ categoria")))</f>
        <v>0.13</v>
      </c>
      <c r="G129" s="35"/>
      <c r="H129" s="36" t="n">
        <f aca="false">IF($A129="","",IF(ISNUMBER($G129),$G129,IF(ISNUMBER($F129),$F129,"")))</f>
        <v>0.13</v>
      </c>
      <c r="I129" s="37" t="n">
        <f aca="false">IF(OR($A129="",NOT(ISNUMBER($D129)),NOT(ISNUMBER($H129))),"",IF((1-$H129-Parâmetros!$B$4-Parâmetros!$C$4-Parâmetros!$D$4)&lt;=0,"INVALIDO",($D129+IF(ISNUMBER($E129),$E129,0)+IF(ISNUMBER(Parâmetros!$E$4),Parâmetros!$E$4,0))/(1-$H129-Parâmetros!$B$4-Parâmetros!$C$4-Parâmetros!$D$4)))</f>
        <v>991.37037037037</v>
      </c>
      <c r="J129" s="38" t="n">
        <v>991.644030875</v>
      </c>
      <c r="K129" s="39" t="n">
        <f aca="false">IF(OR($A129="",NOT(ISNUMBER($D129)),NOT(ISNUMBER($H129))),"",IF(AND(ISNUMBER($J129),$J129&gt;0),$J129,IF(ISNUMBER($I129),$I129,"")))</f>
        <v>991.644030875</v>
      </c>
      <c r="L129" s="40" t="n">
        <f aca="false">IF(ISNUMBER($K129),$K129*$H129,"")</f>
        <v>128.91372401375</v>
      </c>
      <c r="M129" s="40" t="n">
        <f aca="false">IF(ISNUMBER($K129),$K129*Parâmetros!$B$4,"")</f>
        <v>99.1644030875</v>
      </c>
      <c r="N129" s="40" t="n">
        <f aca="false">IF(ISNUMBER($K129),$K129*Parâmetros!$C$4,"")</f>
        <v>29.74932092625</v>
      </c>
      <c r="O129" s="40" t="n">
        <f aca="false">IF(ISNUMBER($K129),IF(ISNUMBER(Parâmetros!$E$4),Parâmetros!$E$4,0),"")</f>
        <v>0</v>
      </c>
      <c r="P129" s="41" t="n">
        <f aca="false">IF(ISNUMBER($K129),$K129-$D129-IF(ISNUMBER($E129),$E129,0)-$L129-$M129-$N129-$O129,"")</f>
        <v>198.4765828475</v>
      </c>
      <c r="Q129" s="42" t="n">
        <f aca="false">IF(AND(ISNUMBER($K129),$K129&gt;0),$P129/$K129,"")</f>
        <v>0.200149021894852</v>
      </c>
      <c r="R129" s="43"/>
      <c r="S129" s="44" t="str">
        <f aca="false">IF(OR(NOT(ISNUMBER($R129)),$R129=0,NOT(ISNUMBER($K129))),"",$K129*(1-$R129))</f>
        <v/>
      </c>
      <c r="T129" s="45" t="str">
        <f aca="false">IF(ISNUMBER($S129),$S129*$H129,"")</f>
        <v/>
      </c>
      <c r="U129" s="45" t="str">
        <f aca="false">IF(ISNUMBER($S129),$S129*Parâmetros!$B$4,"")</f>
        <v/>
      </c>
      <c r="V129" s="45" t="str">
        <f aca="false">IF(ISNUMBER($S129),$S129*Parâmetros!$C$4,"")</f>
        <v/>
      </c>
      <c r="W129" s="44" t="str">
        <f aca="false">IF(ISNUMBER($S129),$S129-$D129-IF(ISNUMBER($E129),$E129,0)-$O129-$T129-$U129-$V129,"")</f>
        <v/>
      </c>
      <c r="X129" s="46" t="str">
        <f aca="false">IF(AND(ISNUMBER($S129),$S129&gt;0),$W129/$S129,"")</f>
        <v/>
      </c>
      <c r="Y129" s="49" t="s">
        <v>741</v>
      </c>
      <c r="Z129" s="21"/>
    </row>
    <row r="130" customFormat="false" ht="15.75" hidden="false" customHeight="true" outlineLevel="0" collapsed="false">
      <c r="A130" s="32" t="str">
        <f aca="false">IF(Produtos!$A130="","",Produtos!$A130)</f>
        <v>P4075-C</v>
      </c>
      <c r="B130" s="32" t="str">
        <f aca="false">IF(Produtos!$A130="","",Produtos!$B130)</f>
        <v>Lixeira Pedal de Aço inox 40x75 95L Tampa colorido</v>
      </c>
      <c r="C130" s="32" t="str">
        <f aca="false">IF(Produtos!$A130="","",Produtos!$C130)</f>
        <v>Lixeiras com pedal</v>
      </c>
      <c r="D130" s="33" t="n">
        <f aca="false">IF(Produtos!$A130="","",IF(Produtos!$D130="","",Produtos!$D130))</f>
        <v>490.08</v>
      </c>
      <c r="E130" s="11" t="n">
        <v>106.85</v>
      </c>
      <c r="F130" s="34" t="n">
        <f aca="false">IF($A130="","",IF($C130="","⚠ categoria",IFERROR(INDEX(Parâmetros!$B$13:$B$22,MATCH($C130,Parâmetros!$A$13:$A$22,0)),"⚠ categoria")))</f>
        <v>0.13</v>
      </c>
      <c r="G130" s="35"/>
      <c r="H130" s="36" t="n">
        <f aca="false">IF($A130="","",IF(ISNUMBER($G130),$G130,IF(ISNUMBER($F130),$F130,"")))</f>
        <v>0.13</v>
      </c>
      <c r="I130" s="37" t="n">
        <f aca="false">IF(OR($A130="",NOT(ISNUMBER($D130)),NOT(ISNUMBER($H130))),"",IF((1-$H130-Parâmetros!$B$4-Parâmetros!$C$4-Parâmetros!$D$4)&lt;=0,"INVALIDO",($D130+IF(ISNUMBER($E130),$E130,0)+IF(ISNUMBER(Parâmetros!$E$4),Parâmetros!$E$4,0))/(1-$H130-Parâmetros!$B$4-Parâmetros!$C$4-Parâmetros!$D$4)))</f>
        <v>1105.42592592593</v>
      </c>
      <c r="J130" s="38" t="n">
        <v>1036.705280625</v>
      </c>
      <c r="K130" s="39" t="n">
        <f aca="false">IF(OR($A130="",NOT(ISNUMBER($D130)),NOT(ISNUMBER($H130))),"",IF(AND(ISNUMBER($J130),$J130&gt;0),$J130,IF(ISNUMBER($I130),$I130,"")))</f>
        <v>1036.705280625</v>
      </c>
      <c r="L130" s="40" t="n">
        <f aca="false">IF(ISNUMBER($K130),$K130*$H130,"")</f>
        <v>134.77168648125</v>
      </c>
      <c r="M130" s="40" t="n">
        <f aca="false">IF(ISNUMBER($K130),$K130*Parâmetros!$B$4,"")</f>
        <v>103.6705280625</v>
      </c>
      <c r="N130" s="40" t="n">
        <f aca="false">IF(ISNUMBER($K130),$K130*Parâmetros!$C$4,"")</f>
        <v>31.10115841875</v>
      </c>
      <c r="O130" s="40" t="n">
        <f aca="false">IF(ISNUMBER($K130),IF(ISNUMBER(Parâmetros!$E$4),Parâmetros!$E$4,0),"")</f>
        <v>0</v>
      </c>
      <c r="P130" s="41" t="n">
        <f aca="false">IF(ISNUMBER($K130),$K130-$D130-IF(ISNUMBER($E130),$E130,0)-$L130-$M130-$N130-$O130,"")</f>
        <v>170.2319076625</v>
      </c>
      <c r="Q130" s="42" t="n">
        <f aca="false">IF(AND(ISNUMBER($K130),$K130&gt;0),$P130/$K130,"")</f>
        <v>0.164204727075251</v>
      </c>
      <c r="R130" s="43"/>
      <c r="S130" s="44" t="str">
        <f aca="false">IF(OR(NOT(ISNUMBER($R130)),$R130=0,NOT(ISNUMBER($K130))),"",$K130*(1-$R130))</f>
        <v/>
      </c>
      <c r="T130" s="45" t="str">
        <f aca="false">IF(ISNUMBER($S130),$S130*$H130,"")</f>
        <v/>
      </c>
      <c r="U130" s="45" t="str">
        <f aca="false">IF(ISNUMBER($S130),$S130*Parâmetros!$B$4,"")</f>
        <v/>
      </c>
      <c r="V130" s="45" t="str">
        <f aca="false">IF(ISNUMBER($S130),$S130*Parâmetros!$C$4,"")</f>
        <v/>
      </c>
      <c r="W130" s="44" t="str">
        <f aca="false">IF(ISNUMBER($S130),$S130-$D130-IF(ISNUMBER($E130),$E130,0)-$O130-$T130-$U130-$V130,"")</f>
        <v/>
      </c>
      <c r="X130" s="46" t="str">
        <f aca="false">IF(AND(ISNUMBER($S130),$S130&gt;0),$W130/$S130,"")</f>
        <v/>
      </c>
      <c r="Y130" s="47" t="s">
        <v>741</v>
      </c>
      <c r="Z130" s="19"/>
    </row>
    <row r="131" customFormat="false" ht="15.75" hidden="false" customHeight="true" outlineLevel="0" collapsed="false">
      <c r="A131" s="48" t="str">
        <f aca="false">IF(Produtos!$A131="","",Produtos!$A131)</f>
        <v>P4080-C</v>
      </c>
      <c r="B131" s="48" t="str">
        <f aca="false">IF(Produtos!$A131="","",Produtos!$B131)</f>
        <v>Lixeira Pedal de Aço inox 40x80 100L Tampa colorido</v>
      </c>
      <c r="C131" s="48" t="str">
        <f aca="false">IF(Produtos!$A131="","",Produtos!$C131)</f>
        <v>Lixeiras com pedal</v>
      </c>
      <c r="D131" s="33" t="n">
        <f aca="false">IF(Produtos!$A131="","",IF(Produtos!$D131="","",Produtos!$D131))</f>
        <v>548.77</v>
      </c>
      <c r="E131" s="11" t="n">
        <v>106.85</v>
      </c>
      <c r="F131" s="34" t="n">
        <f aca="false">IF($A131="","",IF($C131="","⚠ categoria",IFERROR(INDEX(Parâmetros!$B$13:$B$22,MATCH($C131,Parâmetros!$A$13:$A$22,0)),"⚠ categoria")))</f>
        <v>0.13</v>
      </c>
      <c r="G131" s="35"/>
      <c r="H131" s="36" t="n">
        <f aca="false">IF($A131="","",IF(ISNUMBER($G131),$G131,IF(ISNUMBER($F131),$F131,"")))</f>
        <v>0.13</v>
      </c>
      <c r="I131" s="37" t="n">
        <f aca="false">IF(OR($A131="",NOT(ISNUMBER($D131)),NOT(ISNUMBER($H131))),"",IF((1-$H131-Parâmetros!$B$4-Parâmetros!$C$4-Parâmetros!$D$4)&lt;=0,"INVALIDO",($D131+IF(ISNUMBER($E131),$E131,0)+IF(ISNUMBER(Parâmetros!$E$4),Parâmetros!$E$4,0))/(1-$H131-Parâmetros!$B$4-Parâmetros!$C$4-Parâmetros!$D$4)))</f>
        <v>1214.11111111111</v>
      </c>
      <c r="J131" s="38" t="n">
        <v>1182.3350844375</v>
      </c>
      <c r="K131" s="39" t="n">
        <f aca="false">IF(OR($A131="",NOT(ISNUMBER($D131)),NOT(ISNUMBER($H131))),"",IF(AND(ISNUMBER($J131),$J131&gt;0),$J131,IF(ISNUMBER($I131),$I131,"")))</f>
        <v>1182.3350844375</v>
      </c>
      <c r="L131" s="40" t="n">
        <f aca="false">IF(ISNUMBER($K131),$K131*$H131,"")</f>
        <v>153.703560976875</v>
      </c>
      <c r="M131" s="40" t="n">
        <f aca="false">IF(ISNUMBER($K131),$K131*Parâmetros!$B$4,"")</f>
        <v>118.23350844375</v>
      </c>
      <c r="N131" s="40" t="n">
        <f aca="false">IF(ISNUMBER($K131),$K131*Parâmetros!$C$4,"")</f>
        <v>35.470052533125</v>
      </c>
      <c r="O131" s="40" t="n">
        <f aca="false">IF(ISNUMBER($K131),IF(ISNUMBER(Parâmetros!$E$4),Parâmetros!$E$4,0),"")</f>
        <v>0</v>
      </c>
      <c r="P131" s="41" t="n">
        <f aca="false">IF(ISNUMBER($K131),$K131-$D131-IF(ISNUMBER($E131),$E131,0)-$L131-$M131-$N131-$O131,"")</f>
        <v>219.30796248375</v>
      </c>
      <c r="Q131" s="42" t="n">
        <f aca="false">IF(AND(ISNUMBER($K131),$K131&gt;0),$P131/$K131,"")</f>
        <v>0.185487147738736</v>
      </c>
      <c r="R131" s="43"/>
      <c r="S131" s="44" t="str">
        <f aca="false">IF(OR(NOT(ISNUMBER($R131)),$R131=0,NOT(ISNUMBER($K131))),"",$K131*(1-$R131))</f>
        <v/>
      </c>
      <c r="T131" s="45" t="str">
        <f aca="false">IF(ISNUMBER($S131),$S131*$H131,"")</f>
        <v/>
      </c>
      <c r="U131" s="45" t="str">
        <f aca="false">IF(ISNUMBER($S131),$S131*Parâmetros!$B$4,"")</f>
        <v/>
      </c>
      <c r="V131" s="45" t="str">
        <f aca="false">IF(ISNUMBER($S131),$S131*Parâmetros!$C$4,"")</f>
        <v/>
      </c>
      <c r="W131" s="44" t="str">
        <f aca="false">IF(ISNUMBER($S131),$S131-$D131-IF(ISNUMBER($E131),$E131,0)-$O131-$T131-$U131-$V131,"")</f>
        <v/>
      </c>
      <c r="X131" s="46" t="str">
        <f aca="false">IF(AND(ISNUMBER($S131),$S131&gt;0),$W131/$S131,"")</f>
        <v/>
      </c>
      <c r="Y131" s="49" t="s">
        <v>741</v>
      </c>
      <c r="Z131" s="21"/>
    </row>
    <row r="132" customFormat="false" ht="15.75" hidden="false" customHeight="true" outlineLevel="0" collapsed="false">
      <c r="A132" s="32" t="str">
        <f aca="false">IF(Produtos!$A132="","",Produtos!$A132)</f>
        <v>P4090-C</v>
      </c>
      <c r="B132" s="32" t="str">
        <f aca="false">IF(Produtos!$A132="","",Produtos!$B132)</f>
        <v>Lixeira Pedal de Aço inox 40x90 120L Tampa colorido</v>
      </c>
      <c r="C132" s="32" t="str">
        <f aca="false">IF(Produtos!$A132="","",Produtos!$C132)</f>
        <v>Lixeiras com pedal</v>
      </c>
      <c r="D132" s="33" t="n">
        <f aca="false">IF(Produtos!$A132="","",IF(Produtos!$D132="","",Produtos!$D132))</f>
        <v>793.7</v>
      </c>
      <c r="E132" s="11" t="n">
        <v>107.85</v>
      </c>
      <c r="F132" s="34" t="n">
        <f aca="false">IF($A132="","",IF($C132="","⚠ categoria",IFERROR(INDEX(Parâmetros!$B$13:$B$22,MATCH($C132,Parâmetros!$A$13:$A$22,0)),"⚠ categoria")))</f>
        <v>0.13</v>
      </c>
      <c r="G132" s="35"/>
      <c r="H132" s="36" t="n">
        <f aca="false">IF($A132="","",IF(ISNUMBER($G132),$G132,IF(ISNUMBER($F132),$F132,"")))</f>
        <v>0.13</v>
      </c>
      <c r="I132" s="37" t="n">
        <f aca="false">IF(OR($A132="",NOT(ISNUMBER($D132)),NOT(ISNUMBER($H132))),"",IF((1-$H132-Parâmetros!$B$4-Parâmetros!$C$4-Parâmetros!$D$4)&lt;=0,"INVALIDO",($D132+IF(ISNUMBER($E132),$E132,0)+IF(ISNUMBER(Parâmetros!$E$4),Parâmetros!$E$4,0))/(1-$H132-Parâmetros!$B$4-Parâmetros!$C$4-Parâmetros!$D$4)))</f>
        <v>1669.53703703704</v>
      </c>
      <c r="J132" s="38" t="n">
        <v>1671.2603184375</v>
      </c>
      <c r="K132" s="39" t="n">
        <f aca="false">IF(OR($A132="",NOT(ISNUMBER($D132)),NOT(ISNUMBER($H132))),"",IF(AND(ISNUMBER($J132),$J132&gt;0),$J132,IF(ISNUMBER($I132),$I132,"")))</f>
        <v>1671.2603184375</v>
      </c>
      <c r="L132" s="40" t="n">
        <f aca="false">IF(ISNUMBER($K132),$K132*$H132,"")</f>
        <v>217.263841396875</v>
      </c>
      <c r="M132" s="40" t="n">
        <f aca="false">IF(ISNUMBER($K132),$K132*Parâmetros!$B$4,"")</f>
        <v>167.12603184375</v>
      </c>
      <c r="N132" s="40" t="n">
        <f aca="false">IF(ISNUMBER($K132),$K132*Parâmetros!$C$4,"")</f>
        <v>50.137809553125</v>
      </c>
      <c r="O132" s="40" t="n">
        <f aca="false">IF(ISNUMBER($K132),IF(ISNUMBER(Parâmetros!$E$4),Parâmetros!$E$4,0),"")</f>
        <v>0</v>
      </c>
      <c r="P132" s="41" t="n">
        <f aca="false">IF(ISNUMBER($K132),$K132-$D132-IF(ISNUMBER($E132),$E132,0)-$L132-$M132-$N132-$O132,"")</f>
        <v>335.18263564375</v>
      </c>
      <c r="Q132" s="42" t="n">
        <f aca="false">IF(AND(ISNUMBER($K132),$K132&gt;0),$P132/$K132,"")</f>
        <v>0.20055680850313</v>
      </c>
      <c r="R132" s="43"/>
      <c r="S132" s="44" t="str">
        <f aca="false">IF(OR(NOT(ISNUMBER($R132)),$R132=0,NOT(ISNUMBER($K132))),"",$K132*(1-$R132))</f>
        <v/>
      </c>
      <c r="T132" s="45" t="str">
        <f aca="false">IF(ISNUMBER($S132),$S132*$H132,"")</f>
        <v/>
      </c>
      <c r="U132" s="45" t="str">
        <f aca="false">IF(ISNUMBER($S132),$S132*Parâmetros!$B$4,"")</f>
        <v/>
      </c>
      <c r="V132" s="45" t="str">
        <f aca="false">IF(ISNUMBER($S132),$S132*Parâmetros!$C$4,"")</f>
        <v/>
      </c>
      <c r="W132" s="44" t="str">
        <f aca="false">IF(ISNUMBER($S132),$S132-$D132-IF(ISNUMBER($E132),$E132,0)-$O132-$T132-$U132-$V132,"")</f>
        <v/>
      </c>
      <c r="X132" s="46" t="str">
        <f aca="false">IF(AND(ISNUMBER($S132),$S132&gt;0),$W132/$S132,"")</f>
        <v/>
      </c>
      <c r="Y132" s="47" t="s">
        <v>741</v>
      </c>
      <c r="Z132" s="19"/>
    </row>
    <row r="133" customFormat="false" ht="15.75" hidden="false" customHeight="true" outlineLevel="0" collapsed="false">
      <c r="A133" s="48" t="str">
        <f aca="false">IF(Produtos!$A133="","",Produtos!$A133)</f>
        <v>L2425-AC</v>
      </c>
      <c r="B133" s="48" t="str">
        <f aca="false">IF(Produtos!$A133="","",Produtos!$B133)</f>
        <v>Lixeira c/Aro Colorido 24x25 13L</v>
      </c>
      <c r="C133" s="48" t="str">
        <f aca="false">IF(Produtos!$A133="","",Produtos!$C133)</f>
        <v>Lixeiras em inox</v>
      </c>
      <c r="D133" s="33" t="n">
        <f aca="false">IF(Produtos!$A133="","",IF(Produtos!$D133="","",Produtos!$D133))</f>
        <v>95.49</v>
      </c>
      <c r="E133" s="11" t="n">
        <v>29.25</v>
      </c>
      <c r="F133" s="34" t="n">
        <f aca="false">IF($A133="","",IF($C133="","⚠ categoria",IFERROR(INDEX(Parâmetros!$B$13:$B$22,MATCH($C133,Parâmetros!$A$13:$A$22,0)),"⚠ categoria")))</f>
        <v>0.13</v>
      </c>
      <c r="G133" s="35" t="n">
        <v>0.12</v>
      </c>
      <c r="H133" s="36" t="n">
        <f aca="false">IF($A133="","",IF(ISNUMBER($G133),$G133,IF(ISNUMBER($F133),$F133,"")))</f>
        <v>0.12</v>
      </c>
      <c r="I133" s="37" t="n">
        <f aca="false">IF(OR($A133="",NOT(ISNUMBER($D133)),NOT(ISNUMBER($H133))),"",IF((1-$H133-Parâmetros!$B$4-Parâmetros!$C$4-Parâmetros!$D$4)&lt;=0,"INVALIDO",($D133+IF(ISNUMBER($E133),$E133,0)+IF(ISNUMBER(Parâmetros!$E$4),Parâmetros!$E$4,0))/(1-$H133-Parâmetros!$B$4-Parâmetros!$C$4-Parâmetros!$D$4)))</f>
        <v>226.8</v>
      </c>
      <c r="J133" s="38" t="n">
        <v>229.9</v>
      </c>
      <c r="K133" s="39" t="n">
        <f aca="false">IF(OR($A133="",NOT(ISNUMBER($D133)),NOT(ISNUMBER($H133))),"",IF(AND(ISNUMBER($J133),$J133&gt;0),$J133,IF(ISNUMBER($I133),$I133,"")))</f>
        <v>229.9</v>
      </c>
      <c r="L133" s="40" t="n">
        <f aca="false">IF(ISNUMBER($K133),$K133*$H133,"")</f>
        <v>27.588</v>
      </c>
      <c r="M133" s="40" t="n">
        <f aca="false">IF(ISNUMBER($K133),$K133*Parâmetros!$B$4,"")</f>
        <v>22.99</v>
      </c>
      <c r="N133" s="40" t="n">
        <f aca="false">IF(ISNUMBER($K133),$K133*Parâmetros!$C$4,"")</f>
        <v>6.897</v>
      </c>
      <c r="O133" s="40" t="n">
        <f aca="false">IF(ISNUMBER($K133),IF(ISNUMBER(Parâmetros!$E$4),Parâmetros!$E$4,0),"")</f>
        <v>0</v>
      </c>
      <c r="P133" s="41" t="n">
        <f aca="false">IF(ISNUMBER($K133),$K133-$D133-IF(ISNUMBER($E133),$E133,0)-$L133-$M133-$N133-$O133,"")</f>
        <v>47.685</v>
      </c>
      <c r="Q133" s="42" t="n">
        <f aca="false">IF(AND(ISNUMBER($K133),$K133&gt;0),$P133/$K133,"")</f>
        <v>0.207416267942584</v>
      </c>
      <c r="R133" s="43"/>
      <c r="S133" s="44" t="str">
        <f aca="false">IF(OR(NOT(ISNUMBER($R133)),$R133=0,NOT(ISNUMBER($K133))),"",$K133*(1-$R133))</f>
        <v/>
      </c>
      <c r="T133" s="45" t="str">
        <f aca="false">IF(ISNUMBER($S133),$S133*$H133,"")</f>
        <v/>
      </c>
      <c r="U133" s="45" t="str">
        <f aca="false">IF(ISNUMBER($S133),$S133*Parâmetros!$B$4,"")</f>
        <v/>
      </c>
      <c r="V133" s="45" t="str">
        <f aca="false">IF(ISNUMBER($S133),$S133*Parâmetros!$C$4,"")</f>
        <v/>
      </c>
      <c r="W133" s="44" t="str">
        <f aca="false">IF(ISNUMBER($S133),$S133-$D133-IF(ISNUMBER($E133),$E133,0)-$O133-$T133-$U133-$V133,"")</f>
        <v/>
      </c>
      <c r="X133" s="46" t="str">
        <f aca="false">IF(AND(ISNUMBER($S133),$S133&gt;0),$W133/$S133,"")</f>
        <v/>
      </c>
      <c r="Y133" s="49" t="s">
        <v>741</v>
      </c>
      <c r="Z133" s="21"/>
    </row>
    <row r="134" customFormat="false" ht="15.75" hidden="false" customHeight="true" outlineLevel="0" collapsed="false">
      <c r="A134" s="32" t="str">
        <f aca="false">IF(Produtos!$A134="","",Produtos!$A134)</f>
        <v>L2430-AC</v>
      </c>
      <c r="B134" s="32" t="str">
        <f aca="false">IF(Produtos!$A134="","",Produtos!$B134)</f>
        <v>Lixeira c/Aro Colorido 24x30 15L</v>
      </c>
      <c r="C134" s="32" t="str">
        <f aca="false">IF(Produtos!$A134="","",Produtos!$C134)</f>
        <v>Lixeiras em inox</v>
      </c>
      <c r="D134" s="33" t="n">
        <f aca="false">IF(Produtos!$A134="","",IF(Produtos!$D134="","",Produtos!$D134))</f>
        <v>104.2</v>
      </c>
      <c r="E134" s="11" t="n">
        <v>29.25</v>
      </c>
      <c r="F134" s="34" t="n">
        <f aca="false">IF($A134="","",IF($C134="","⚠ categoria",IFERROR(INDEX(Parâmetros!$B$13:$B$22,MATCH($C134,Parâmetros!$A$13:$A$22,0)),"⚠ categoria")))</f>
        <v>0.13</v>
      </c>
      <c r="G134" s="35" t="n">
        <v>0.12</v>
      </c>
      <c r="H134" s="36" t="n">
        <f aca="false">IF($A134="","",IF(ISNUMBER($G134),$G134,IF(ISNUMBER($F134),$F134,"")))</f>
        <v>0.12</v>
      </c>
      <c r="I134" s="37" t="n">
        <f aca="false">IF(OR($A134="",NOT(ISNUMBER($D134)),NOT(ISNUMBER($H134))),"",IF((1-$H134-Parâmetros!$B$4-Parâmetros!$C$4-Parâmetros!$D$4)&lt;=0,"INVALIDO",($D134+IF(ISNUMBER($E134),$E134,0)+IF(ISNUMBER(Parâmetros!$E$4),Parâmetros!$E$4,0))/(1-$H134-Parâmetros!$B$4-Parâmetros!$C$4-Parâmetros!$D$4)))</f>
        <v>242.636363636364</v>
      </c>
      <c r="J134" s="38" t="n">
        <v>243.4111175</v>
      </c>
      <c r="K134" s="39" t="n">
        <f aca="false">IF(OR($A134="",NOT(ISNUMBER($D134)),NOT(ISNUMBER($H134))),"",IF(AND(ISNUMBER($J134),$J134&gt;0),$J134,IF(ISNUMBER($I134),$I134,"")))</f>
        <v>243.4111175</v>
      </c>
      <c r="L134" s="40" t="n">
        <f aca="false">IF(ISNUMBER($K134),$K134*$H134,"")</f>
        <v>29.2093341</v>
      </c>
      <c r="M134" s="40" t="n">
        <f aca="false">IF(ISNUMBER($K134),$K134*Parâmetros!$B$4,"")</f>
        <v>24.34111175</v>
      </c>
      <c r="N134" s="40" t="n">
        <f aca="false">IF(ISNUMBER($K134),$K134*Parâmetros!$C$4,"")</f>
        <v>7.302333525</v>
      </c>
      <c r="O134" s="40" t="n">
        <f aca="false">IF(ISNUMBER($K134),IF(ISNUMBER(Parâmetros!$E$4),Parâmetros!$E$4,0),"")</f>
        <v>0</v>
      </c>
      <c r="P134" s="41" t="n">
        <f aca="false">IF(ISNUMBER($K134),$K134-$D134-IF(ISNUMBER($E134),$E134,0)-$L134-$M134-$N134-$O134,"")</f>
        <v>49.108338125</v>
      </c>
      <c r="Q134" s="42" t="n">
        <f aca="false">IF(AND(ISNUMBER($K134),$K134&gt;0),$P134/$K134,"")</f>
        <v>0.201750596395828</v>
      </c>
      <c r="R134" s="43"/>
      <c r="S134" s="44" t="str">
        <f aca="false">IF(OR(NOT(ISNUMBER($R134)),$R134=0,NOT(ISNUMBER($K134))),"",$K134*(1-$R134))</f>
        <v/>
      </c>
      <c r="T134" s="45" t="str">
        <f aca="false">IF(ISNUMBER($S134),$S134*$H134,"")</f>
        <v/>
      </c>
      <c r="U134" s="45" t="str">
        <f aca="false">IF(ISNUMBER($S134),$S134*Parâmetros!$B$4,"")</f>
        <v/>
      </c>
      <c r="V134" s="45" t="str">
        <f aca="false">IF(ISNUMBER($S134),$S134*Parâmetros!$C$4,"")</f>
        <v/>
      </c>
      <c r="W134" s="44" t="str">
        <f aca="false">IF(ISNUMBER($S134),$S134-$D134-IF(ISNUMBER($E134),$E134,0)-$O134-$T134-$U134-$V134,"")</f>
        <v/>
      </c>
      <c r="X134" s="46" t="str">
        <f aca="false">IF(AND(ISNUMBER($S134),$S134&gt;0),$W134/$S134,"")</f>
        <v/>
      </c>
      <c r="Y134" s="47" t="s">
        <v>739</v>
      </c>
      <c r="Z134" s="19"/>
    </row>
    <row r="135" customFormat="false" ht="15.75" hidden="false" customHeight="true" outlineLevel="0" collapsed="false">
      <c r="A135" s="48" t="str">
        <f aca="false">IF(Produtos!$A135="","",Produtos!$A135)</f>
        <v>L2440-AC</v>
      </c>
      <c r="B135" s="48" t="str">
        <f aca="false">IF(Produtos!$A135="","",Produtos!$B135)</f>
        <v>Lixeira c/Aro Colorido 24x40 20L</v>
      </c>
      <c r="C135" s="48" t="str">
        <f aca="false">IF(Produtos!$A135="","",Produtos!$C135)</f>
        <v>Lixeiras em inox</v>
      </c>
      <c r="D135" s="33" t="n">
        <f aca="false">IF(Produtos!$A135="","",IF(Produtos!$D135="","",Produtos!$D135))</f>
        <v>115.16</v>
      </c>
      <c r="E135" s="11" t="n">
        <v>40.85</v>
      </c>
      <c r="F135" s="34" t="n">
        <f aca="false">IF($A135="","",IF($C135="","⚠ categoria",IFERROR(INDEX(Parâmetros!$B$13:$B$22,MATCH($C135,Parâmetros!$A$13:$A$22,0)),"⚠ categoria")))</f>
        <v>0.13</v>
      </c>
      <c r="G135" s="35" t="n">
        <v>0.12</v>
      </c>
      <c r="H135" s="36" t="n">
        <f aca="false">IF($A135="","",IF(ISNUMBER($G135),$G135,IF(ISNUMBER($F135),$F135,"")))</f>
        <v>0.12</v>
      </c>
      <c r="I135" s="37" t="n">
        <f aca="false">IF(OR($A135="",NOT(ISNUMBER($D135)),NOT(ISNUMBER($H135))),"",IF((1-$H135-Parâmetros!$B$4-Parâmetros!$C$4-Parâmetros!$D$4)&lt;=0,"INVALIDO",($D135+IF(ISNUMBER($E135),$E135,0)+IF(ISNUMBER(Parâmetros!$E$4),Parâmetros!$E$4,0))/(1-$H135-Parâmetros!$B$4-Parâmetros!$C$4-Parâmetros!$D$4)))</f>
        <v>283.654545454545</v>
      </c>
      <c r="J135" s="38" t="n">
        <v>283.9</v>
      </c>
      <c r="K135" s="39" t="n">
        <f aca="false">IF(OR($A135="",NOT(ISNUMBER($D135)),NOT(ISNUMBER($H135))),"",IF(AND(ISNUMBER($J135),$J135&gt;0),$J135,IF(ISNUMBER($I135),$I135,"")))</f>
        <v>283.9</v>
      </c>
      <c r="L135" s="40" t="n">
        <f aca="false">IF(ISNUMBER($K135),$K135*$H135,"")</f>
        <v>34.068</v>
      </c>
      <c r="M135" s="40" t="n">
        <f aca="false">IF(ISNUMBER($K135),$K135*Parâmetros!$B$4,"")</f>
        <v>28.39</v>
      </c>
      <c r="N135" s="40" t="n">
        <f aca="false">IF(ISNUMBER($K135),$K135*Parâmetros!$C$4,"")</f>
        <v>8.517</v>
      </c>
      <c r="O135" s="40" t="n">
        <f aca="false">IF(ISNUMBER($K135),IF(ISNUMBER(Parâmetros!$E$4),Parâmetros!$E$4,0),"")</f>
        <v>0</v>
      </c>
      <c r="P135" s="41" t="n">
        <f aca="false">IF(ISNUMBER($K135),$K135-$D135-IF(ISNUMBER($E135),$E135,0)-$L135-$M135-$N135-$O135,"")</f>
        <v>56.915</v>
      </c>
      <c r="Q135" s="42" t="n">
        <f aca="false">IF(AND(ISNUMBER($K135),$K135&gt;0),$P135/$K135,"")</f>
        <v>0.200475519549137</v>
      </c>
      <c r="R135" s="43"/>
      <c r="S135" s="44" t="str">
        <f aca="false">IF(OR(NOT(ISNUMBER($R135)),$R135=0,NOT(ISNUMBER($K135))),"",$K135*(1-$R135))</f>
        <v/>
      </c>
      <c r="T135" s="45" t="str">
        <f aca="false">IF(ISNUMBER($S135),$S135*$H135,"")</f>
        <v/>
      </c>
      <c r="U135" s="45" t="str">
        <f aca="false">IF(ISNUMBER($S135),$S135*Parâmetros!$B$4,"")</f>
        <v/>
      </c>
      <c r="V135" s="45" t="str">
        <f aca="false">IF(ISNUMBER($S135),$S135*Parâmetros!$C$4,"")</f>
        <v/>
      </c>
      <c r="W135" s="44" t="str">
        <f aca="false">IF(ISNUMBER($S135),$S135-$D135-IF(ISNUMBER($E135),$E135,0)-$O135-$T135-$U135-$V135,"")</f>
        <v/>
      </c>
      <c r="X135" s="46" t="str">
        <f aca="false">IF(AND(ISNUMBER($S135),$S135&gt;0),$W135/$S135,"")</f>
        <v/>
      </c>
      <c r="Y135" s="49" t="s">
        <v>739</v>
      </c>
      <c r="Z135" s="21"/>
    </row>
    <row r="136" customFormat="false" ht="15.75" hidden="false" customHeight="true" outlineLevel="0" collapsed="false">
      <c r="A136" s="32" t="str">
        <f aca="false">IF(Produtos!$A136="","",Produtos!$A136)</f>
        <v>L2450-AC</v>
      </c>
      <c r="B136" s="32" t="str">
        <f aca="false">IF(Produtos!$A136="","",Produtos!$B136)</f>
        <v>Lixeira c/Aro Colorido 24x50 25L</v>
      </c>
      <c r="C136" s="32" t="str">
        <f aca="false">IF(Produtos!$A136="","",Produtos!$C136)</f>
        <v>Lixeiras em inox</v>
      </c>
      <c r="D136" s="33" t="n">
        <f aca="false">IF(Produtos!$A136="","",IF(Produtos!$D136="","",Produtos!$D136))</f>
        <v>145.95</v>
      </c>
      <c r="E136" s="11" t="n">
        <v>40.85</v>
      </c>
      <c r="F136" s="34" t="n">
        <f aca="false">IF($A136="","",IF($C136="","⚠ categoria",IFERROR(INDEX(Parâmetros!$B$13:$B$22,MATCH($C136,Parâmetros!$A$13:$A$22,0)),"⚠ categoria")))</f>
        <v>0.13</v>
      </c>
      <c r="G136" s="35" t="n">
        <v>0.12</v>
      </c>
      <c r="H136" s="36" t="n">
        <f aca="false">IF($A136="","",IF(ISNUMBER($G136),$G136,IF(ISNUMBER($F136),$F136,"")))</f>
        <v>0.12</v>
      </c>
      <c r="I136" s="37" t="n">
        <f aca="false">IF(OR($A136="",NOT(ISNUMBER($D136)),NOT(ISNUMBER($H136))),"",IF((1-$H136-Parâmetros!$B$4-Parâmetros!$C$4-Parâmetros!$D$4)&lt;=0,"INVALIDO",($D136+IF(ISNUMBER($E136),$E136,0)+IF(ISNUMBER(Parâmetros!$E$4),Parâmetros!$E$4,0))/(1-$H136-Parâmetros!$B$4-Parâmetros!$C$4-Parâmetros!$D$4)))</f>
        <v>339.636363636364</v>
      </c>
      <c r="J136" s="38" t="n">
        <v>341.5</v>
      </c>
      <c r="K136" s="39" t="n">
        <f aca="false">IF(OR($A136="",NOT(ISNUMBER($D136)),NOT(ISNUMBER($H136))),"",IF(AND(ISNUMBER($J136),$J136&gt;0),$J136,IF(ISNUMBER($I136),$I136,"")))</f>
        <v>341.5</v>
      </c>
      <c r="L136" s="40" t="n">
        <f aca="false">IF(ISNUMBER($K136),$K136*$H136,"")</f>
        <v>40.98</v>
      </c>
      <c r="M136" s="40" t="n">
        <f aca="false">IF(ISNUMBER($K136),$K136*Parâmetros!$B$4,"")</f>
        <v>34.15</v>
      </c>
      <c r="N136" s="40" t="n">
        <f aca="false">IF(ISNUMBER($K136),$K136*Parâmetros!$C$4,"")</f>
        <v>10.245</v>
      </c>
      <c r="O136" s="40" t="n">
        <f aca="false">IF(ISNUMBER($K136),IF(ISNUMBER(Parâmetros!$E$4),Parâmetros!$E$4,0),"")</f>
        <v>0</v>
      </c>
      <c r="P136" s="41" t="n">
        <f aca="false">IF(ISNUMBER($K136),$K136-$D136-IF(ISNUMBER($E136),$E136,0)-$L136-$M136-$N136-$O136,"")</f>
        <v>69.325</v>
      </c>
      <c r="Q136" s="42" t="n">
        <f aca="false">IF(AND(ISNUMBER($K136),$K136&gt;0),$P136/$K136,"")</f>
        <v>0.203001464128843</v>
      </c>
      <c r="R136" s="43"/>
      <c r="S136" s="44" t="str">
        <f aca="false">IF(OR(NOT(ISNUMBER($R136)),$R136=0,NOT(ISNUMBER($K136))),"",$K136*(1-$R136))</f>
        <v/>
      </c>
      <c r="T136" s="45" t="str">
        <f aca="false">IF(ISNUMBER($S136),$S136*$H136,"")</f>
        <v/>
      </c>
      <c r="U136" s="45" t="str">
        <f aca="false">IF(ISNUMBER($S136),$S136*Parâmetros!$B$4,"")</f>
        <v/>
      </c>
      <c r="V136" s="45" t="str">
        <f aca="false">IF(ISNUMBER($S136),$S136*Parâmetros!$C$4,"")</f>
        <v/>
      </c>
      <c r="W136" s="44" t="str">
        <f aca="false">IF(ISNUMBER($S136),$S136-$D136-IF(ISNUMBER($E136),$E136,0)-$O136-$T136-$U136-$V136,"")</f>
        <v/>
      </c>
      <c r="X136" s="46" t="str">
        <f aca="false">IF(AND(ISNUMBER($S136),$S136&gt;0),$W136/$S136,"")</f>
        <v/>
      </c>
      <c r="Y136" s="47" t="s">
        <v>739</v>
      </c>
      <c r="Z136" s="19"/>
    </row>
    <row r="137" customFormat="false" ht="15.75" hidden="false" customHeight="true" outlineLevel="0" collapsed="false">
      <c r="A137" s="48" t="str">
        <f aca="false">IF(Produtos!$A137="","",Produtos!$A137)</f>
        <v>L2460-AC</v>
      </c>
      <c r="B137" s="48" t="str">
        <f aca="false">IF(Produtos!$A137="","",Produtos!$B137)</f>
        <v>Lixeira c/Aro Colorido 24x60 27L</v>
      </c>
      <c r="C137" s="48" t="str">
        <f aca="false">IF(Produtos!$A137="","",Produtos!$C137)</f>
        <v>Lixeiras em inox</v>
      </c>
      <c r="D137" s="33" t="n">
        <f aca="false">IF(Produtos!$A137="","",IF(Produtos!$D137="","",Produtos!$D137))</f>
        <v>147.48</v>
      </c>
      <c r="E137" s="11" t="n">
        <v>49.35</v>
      </c>
      <c r="F137" s="34" t="n">
        <f aca="false">IF($A137="","",IF($C137="","⚠ categoria",IFERROR(INDEX(Parâmetros!$B$13:$B$22,MATCH($C137,Parâmetros!$A$13:$A$22,0)),"⚠ categoria")))</f>
        <v>0.13</v>
      </c>
      <c r="G137" s="35" t="n">
        <v>0.12</v>
      </c>
      <c r="H137" s="36" t="n">
        <f aca="false">IF($A137="","",IF(ISNUMBER($G137),$G137,IF(ISNUMBER($F137),$F137,"")))</f>
        <v>0.12</v>
      </c>
      <c r="I137" s="37" t="n">
        <f aca="false">IF(OR($A137="",NOT(ISNUMBER($D137)),NOT(ISNUMBER($H137))),"",IF((1-$H137-Parâmetros!$B$4-Parâmetros!$C$4-Parâmetros!$D$4)&lt;=0,"INVALIDO",($D137+IF(ISNUMBER($E137),$E137,0)+IF(ISNUMBER(Parâmetros!$E$4),Parâmetros!$E$4,0))/(1-$H137-Parâmetros!$B$4-Parâmetros!$C$4-Parâmetros!$D$4)))</f>
        <v>357.872727272727</v>
      </c>
      <c r="J137" s="38" t="n">
        <v>360.9</v>
      </c>
      <c r="K137" s="39" t="n">
        <f aca="false">IF(OR($A137="",NOT(ISNUMBER($D137)),NOT(ISNUMBER($H137))),"",IF(AND(ISNUMBER($J137),$J137&gt;0),$J137,IF(ISNUMBER($I137),$I137,"")))</f>
        <v>360.9</v>
      </c>
      <c r="L137" s="40" t="n">
        <f aca="false">IF(ISNUMBER($K137),$K137*$H137,"")</f>
        <v>43.308</v>
      </c>
      <c r="M137" s="40" t="n">
        <f aca="false">IF(ISNUMBER($K137),$K137*Parâmetros!$B$4,"")</f>
        <v>36.09</v>
      </c>
      <c r="N137" s="40" t="n">
        <f aca="false">IF(ISNUMBER($K137),$K137*Parâmetros!$C$4,"")</f>
        <v>10.827</v>
      </c>
      <c r="O137" s="40" t="n">
        <f aca="false">IF(ISNUMBER($K137),IF(ISNUMBER(Parâmetros!$E$4),Parâmetros!$E$4,0),"")</f>
        <v>0</v>
      </c>
      <c r="P137" s="41" t="n">
        <f aca="false">IF(ISNUMBER($K137),$K137-$D137-IF(ISNUMBER($E137),$E137,0)-$L137-$M137-$N137-$O137,"")</f>
        <v>73.845</v>
      </c>
      <c r="Q137" s="42" t="n">
        <f aca="false">IF(AND(ISNUMBER($K137),$K137&gt;0),$P137/$K137,"")</f>
        <v>0.204613466334165</v>
      </c>
      <c r="R137" s="43"/>
      <c r="S137" s="44" t="str">
        <f aca="false">IF(OR(NOT(ISNUMBER($R137)),$R137=0,NOT(ISNUMBER($K137))),"",$K137*(1-$R137))</f>
        <v/>
      </c>
      <c r="T137" s="45" t="str">
        <f aca="false">IF(ISNUMBER($S137),$S137*$H137,"")</f>
        <v/>
      </c>
      <c r="U137" s="45" t="str">
        <f aca="false">IF(ISNUMBER($S137),$S137*Parâmetros!$B$4,"")</f>
        <v/>
      </c>
      <c r="V137" s="45" t="str">
        <f aca="false">IF(ISNUMBER($S137),$S137*Parâmetros!$C$4,"")</f>
        <v/>
      </c>
      <c r="W137" s="44" t="str">
        <f aca="false">IF(ISNUMBER($S137),$S137-$D137-IF(ISNUMBER($E137),$E137,0)-$O137-$T137-$U137-$V137,"")</f>
        <v/>
      </c>
      <c r="X137" s="46" t="str">
        <f aca="false">IF(AND(ISNUMBER($S137),$S137&gt;0),$W137/$S137,"")</f>
        <v/>
      </c>
      <c r="Y137" s="49" t="s">
        <v>739</v>
      </c>
      <c r="Z137" s="21"/>
    </row>
    <row r="138" customFormat="false" ht="15.75" hidden="false" customHeight="true" outlineLevel="0" collapsed="false">
      <c r="A138" s="32" t="str">
        <f aca="false">IF(Produtos!$A138="","",Produtos!$A138)</f>
        <v>L2470-AC</v>
      </c>
      <c r="B138" s="32" t="str">
        <f aca="false">IF(Produtos!$A138="","",Produtos!$B138)</f>
        <v>Lixeira c/Aro Colorido 24x70 30L</v>
      </c>
      <c r="C138" s="32" t="str">
        <f aca="false">IF(Produtos!$A138="","",Produtos!$C138)</f>
        <v>Lixeiras em inox</v>
      </c>
      <c r="D138" s="33" t="n">
        <f aca="false">IF(Produtos!$A138="","",IF(Produtos!$D138="","",Produtos!$D138))</f>
        <v>220.29</v>
      </c>
      <c r="E138" s="11"/>
      <c r="F138" s="34" t="n">
        <f aca="false">IF($A138="","",IF($C138="","⚠ categoria",IFERROR(INDEX(Parâmetros!$B$13:$B$22,MATCH($C138,Parâmetros!$A$13:$A$22,0)),"⚠ categoria")))</f>
        <v>0.13</v>
      </c>
      <c r="G138" s="35"/>
      <c r="H138" s="36" t="n">
        <f aca="false">IF($A138="","",IF(ISNUMBER($G138),$G138,IF(ISNUMBER($F138),$F138,"")))</f>
        <v>0.13</v>
      </c>
      <c r="I138" s="37" t="n">
        <f aca="false">IF(OR($A138="",NOT(ISNUMBER($D138)),NOT(ISNUMBER($H138))),"",IF((1-$H138-Parâmetros!$B$4-Parâmetros!$C$4-Parâmetros!$D$4)&lt;=0,"INVALIDO",($D138+IF(ISNUMBER($E138),$E138,0)+IF(ISNUMBER(Parâmetros!$E$4),Parâmetros!$E$4,0))/(1-$H138-Parâmetros!$B$4-Parâmetros!$C$4-Parâmetros!$D$4)))</f>
        <v>407.944444444444</v>
      </c>
      <c r="J138" s="38"/>
      <c r="K138" s="39" t="n">
        <f aca="false">IF(OR($A138="",NOT(ISNUMBER($D138)),NOT(ISNUMBER($H138))),"",IF(AND(ISNUMBER($J138),$J138&gt;0),$J138,IF(ISNUMBER($I138),$I138,"")))</f>
        <v>407.944444444444</v>
      </c>
      <c r="L138" s="40" t="n">
        <f aca="false">IF(ISNUMBER($K138),$K138*$H138,"")</f>
        <v>53.0327777777778</v>
      </c>
      <c r="M138" s="40" t="n">
        <f aca="false">IF(ISNUMBER($K138),$K138*Parâmetros!$B$4,"")</f>
        <v>40.7944444444444</v>
      </c>
      <c r="N138" s="40" t="n">
        <f aca="false">IF(ISNUMBER($K138),$K138*Parâmetros!$C$4,"")</f>
        <v>12.2383333333333</v>
      </c>
      <c r="O138" s="40" t="n">
        <f aca="false">IF(ISNUMBER($K138),IF(ISNUMBER(Parâmetros!$E$4),Parâmetros!$E$4,0),"")</f>
        <v>0</v>
      </c>
      <c r="P138" s="41" t="n">
        <f aca="false">IF(ISNUMBER($K138),$K138-$D138-IF(ISNUMBER($E138),$E138,0)-$L138-$M138-$N138-$O138,"")</f>
        <v>81.5888888888889</v>
      </c>
      <c r="Q138" s="42" t="n">
        <f aca="false">IF(AND(ISNUMBER($K138),$K138&gt;0),$P138/$K138,"")</f>
        <v>0.2</v>
      </c>
      <c r="R138" s="43"/>
      <c r="S138" s="44" t="str">
        <f aca="false">IF(OR(NOT(ISNUMBER($R138)),$R138=0,NOT(ISNUMBER($K138))),"",$K138*(1-$R138))</f>
        <v/>
      </c>
      <c r="T138" s="45" t="str">
        <f aca="false">IF(ISNUMBER($S138),$S138*$H138,"")</f>
        <v/>
      </c>
      <c r="U138" s="45" t="str">
        <f aca="false">IF(ISNUMBER($S138),$S138*Parâmetros!$B$4,"")</f>
        <v/>
      </c>
      <c r="V138" s="45" t="str">
        <f aca="false">IF(ISNUMBER($S138),$S138*Parâmetros!$C$4,"")</f>
        <v/>
      </c>
      <c r="W138" s="44" t="str">
        <f aca="false">IF(ISNUMBER($S138),$S138-$D138-IF(ISNUMBER($E138),$E138,0)-$O138-$T138-$U138-$V138,"")</f>
        <v/>
      </c>
      <c r="X138" s="46" t="str">
        <f aca="false">IF(AND(ISNUMBER($S138),$S138&gt;0),$W138/$S138,"")</f>
        <v/>
      </c>
      <c r="Y138" s="47"/>
      <c r="Z138" s="19"/>
    </row>
    <row r="139" customFormat="false" ht="15.75" hidden="false" customHeight="true" outlineLevel="0" collapsed="false">
      <c r="A139" s="48" t="str">
        <f aca="false">IF(Produtos!$A139="","",Produtos!$A139)</f>
        <v>L3040-AC</v>
      </c>
      <c r="B139" s="48" t="str">
        <f aca="false">IF(Produtos!$A139="","",Produtos!$B139)</f>
        <v>Lixeira c/Aro Colorido 30x40 30L</v>
      </c>
      <c r="C139" s="48" t="str">
        <f aca="false">IF(Produtos!$A139="","",Produtos!$C139)</f>
        <v>Lixeiras em inox</v>
      </c>
      <c r="D139" s="33" t="n">
        <f aca="false">IF(Produtos!$A139="","",IF(Produtos!$D139="","",Produtos!$D139))</f>
        <v>162.44</v>
      </c>
      <c r="E139" s="11" t="n">
        <v>45.25</v>
      </c>
      <c r="F139" s="34" t="n">
        <f aca="false">IF($A139="","",IF($C139="","⚠ categoria",IFERROR(INDEX(Parâmetros!$B$13:$B$22,MATCH($C139,Parâmetros!$A$13:$A$22,0)),"⚠ categoria")))</f>
        <v>0.13</v>
      </c>
      <c r="G139" s="35" t="n">
        <v>0.12</v>
      </c>
      <c r="H139" s="36" t="n">
        <f aca="false">IF($A139="","",IF(ISNUMBER($G139),$G139,IF(ISNUMBER($F139),$F139,"")))</f>
        <v>0.12</v>
      </c>
      <c r="I139" s="37" t="n">
        <f aca="false">IF(OR($A139="",NOT(ISNUMBER($D139)),NOT(ISNUMBER($H139))),"",IF((1-$H139-Parâmetros!$B$4-Parâmetros!$C$4-Parâmetros!$D$4)&lt;=0,"INVALIDO",($D139+IF(ISNUMBER($E139),$E139,0)+IF(ISNUMBER(Parâmetros!$E$4),Parâmetros!$E$4,0))/(1-$H139-Parâmetros!$B$4-Parâmetros!$C$4-Parâmetros!$D$4)))</f>
        <v>377.618181818182</v>
      </c>
      <c r="J139" s="38" t="n">
        <v>379.695</v>
      </c>
      <c r="K139" s="39" t="n">
        <f aca="false">IF(OR($A139="",NOT(ISNUMBER($D139)),NOT(ISNUMBER($H139))),"",IF(AND(ISNUMBER($J139),$J139&gt;0),$J139,IF(ISNUMBER($I139),$I139,"")))</f>
        <v>379.695</v>
      </c>
      <c r="L139" s="40" t="n">
        <f aca="false">IF(ISNUMBER($K139),$K139*$H139,"")</f>
        <v>45.5634</v>
      </c>
      <c r="M139" s="40" t="n">
        <f aca="false">IF(ISNUMBER($K139),$K139*Parâmetros!$B$4,"")</f>
        <v>37.9695</v>
      </c>
      <c r="N139" s="40" t="n">
        <f aca="false">IF(ISNUMBER($K139),$K139*Parâmetros!$C$4,"")</f>
        <v>11.39085</v>
      </c>
      <c r="O139" s="40" t="n">
        <f aca="false">IF(ISNUMBER($K139),IF(ISNUMBER(Parâmetros!$E$4),Parâmetros!$E$4,0),"")</f>
        <v>0</v>
      </c>
      <c r="P139" s="41" t="n">
        <f aca="false">IF(ISNUMBER($K139),$K139-$D139-IF(ISNUMBER($E139),$E139,0)-$L139-$M139-$N139-$O139,"")</f>
        <v>77.08125</v>
      </c>
      <c r="Q139" s="42" t="n">
        <f aca="false">IF(AND(ISNUMBER($K139),$K139&gt;0),$P139/$K139,"")</f>
        <v>0.203008335637815</v>
      </c>
      <c r="R139" s="43"/>
      <c r="S139" s="44" t="str">
        <f aca="false">IF(OR(NOT(ISNUMBER($R139)),$R139=0,NOT(ISNUMBER($K139))),"",$K139*(1-$R139))</f>
        <v/>
      </c>
      <c r="T139" s="45" t="str">
        <f aca="false">IF(ISNUMBER($S139),$S139*$H139,"")</f>
        <v/>
      </c>
      <c r="U139" s="45" t="str">
        <f aca="false">IF(ISNUMBER($S139),$S139*Parâmetros!$B$4,"")</f>
        <v/>
      </c>
      <c r="V139" s="45" t="str">
        <f aca="false">IF(ISNUMBER($S139),$S139*Parâmetros!$C$4,"")</f>
        <v/>
      </c>
      <c r="W139" s="44" t="str">
        <f aca="false">IF(ISNUMBER($S139),$S139-$D139-IF(ISNUMBER($E139),$E139,0)-$O139-$T139-$U139-$V139,"")</f>
        <v/>
      </c>
      <c r="X139" s="46" t="str">
        <f aca="false">IF(AND(ISNUMBER($S139),$S139&gt;0),$W139/$S139,"")</f>
        <v/>
      </c>
      <c r="Y139" s="49" t="s">
        <v>741</v>
      </c>
      <c r="Z139" s="21"/>
    </row>
    <row r="140" customFormat="false" ht="15.75" hidden="false" customHeight="true" outlineLevel="0" collapsed="false">
      <c r="A140" s="32" t="str">
        <f aca="false">IF(Produtos!$A140="","",Produtos!$A140)</f>
        <v>L3050-AC</v>
      </c>
      <c r="B140" s="32" t="str">
        <f aca="false">IF(Produtos!$A140="","",Produtos!$B140)</f>
        <v>Lixeira c/Aro Colorido 30x50 35L</v>
      </c>
      <c r="C140" s="32" t="str">
        <f aca="false">IF(Produtos!$A140="","",Produtos!$C140)</f>
        <v>Lixeiras em inox</v>
      </c>
      <c r="D140" s="33" t="n">
        <f aca="false">IF(Produtos!$A140="","",IF(Produtos!$D140="","",Produtos!$D140))</f>
        <v>206.89</v>
      </c>
      <c r="E140" s="11" t="n">
        <v>65.85</v>
      </c>
      <c r="F140" s="34" t="n">
        <f aca="false">IF($A140="","",IF($C140="","⚠ categoria",IFERROR(INDEX(Parâmetros!$B$13:$B$22,MATCH($C140,Parâmetros!$A$13:$A$22,0)),"⚠ categoria")))</f>
        <v>0.13</v>
      </c>
      <c r="G140" s="35" t="n">
        <v>0.12</v>
      </c>
      <c r="H140" s="36" t="n">
        <f aca="false">IF($A140="","",IF(ISNUMBER($G140),$G140,IF(ISNUMBER($F140),$F140,"")))</f>
        <v>0.12</v>
      </c>
      <c r="I140" s="37" t="n">
        <f aca="false">IF(OR($A140="",NOT(ISNUMBER($D140)),NOT(ISNUMBER($H140))),"",IF((1-$H140-Parâmetros!$B$4-Parâmetros!$C$4-Parâmetros!$D$4)&lt;=0,"INVALIDO",($D140+IF(ISNUMBER($E140),$E140,0)+IF(ISNUMBER(Parâmetros!$E$4),Parâmetros!$E$4,0))/(1-$H140-Parâmetros!$B$4-Parâmetros!$C$4-Parâmetros!$D$4)))</f>
        <v>495.890909090909</v>
      </c>
      <c r="J140" s="38" t="n">
        <v>476.44372125</v>
      </c>
      <c r="K140" s="39" t="n">
        <f aca="false">IF(OR($A140="",NOT(ISNUMBER($D140)),NOT(ISNUMBER($H140))),"",IF(AND(ISNUMBER($J140),$J140&gt;0),$J140,IF(ISNUMBER($I140),$I140,"")))</f>
        <v>476.44372125</v>
      </c>
      <c r="L140" s="40" t="n">
        <f aca="false">IF(ISNUMBER($K140),$K140*$H140,"")</f>
        <v>57.17324655</v>
      </c>
      <c r="M140" s="40" t="n">
        <f aca="false">IF(ISNUMBER($K140),$K140*Parâmetros!$B$4,"")</f>
        <v>47.644372125</v>
      </c>
      <c r="N140" s="40" t="n">
        <f aca="false">IF(ISNUMBER($K140),$K140*Parâmetros!$C$4,"")</f>
        <v>14.2933116375</v>
      </c>
      <c r="O140" s="40" t="n">
        <f aca="false">IF(ISNUMBER($K140),IF(ISNUMBER(Parâmetros!$E$4),Parâmetros!$E$4,0),"")</f>
        <v>0</v>
      </c>
      <c r="P140" s="41" t="n">
        <f aca="false">IF(ISNUMBER($K140),$K140-$D140-IF(ISNUMBER($E140),$E140,0)-$L140-$M140-$N140-$O140,"")</f>
        <v>84.5927909375001</v>
      </c>
      <c r="Q140" s="42" t="n">
        <f aca="false">IF(AND(ISNUMBER($K140),$K140&gt;0),$P140/$K140,"")</f>
        <v>0.177550437049652</v>
      </c>
      <c r="R140" s="43"/>
      <c r="S140" s="44" t="str">
        <f aca="false">IF(OR(NOT(ISNUMBER($R140)),$R140=0,NOT(ISNUMBER($K140))),"",$K140*(1-$R140))</f>
        <v/>
      </c>
      <c r="T140" s="45" t="str">
        <f aca="false">IF(ISNUMBER($S140),$S140*$H140,"")</f>
        <v/>
      </c>
      <c r="U140" s="45" t="str">
        <f aca="false">IF(ISNUMBER($S140),$S140*Parâmetros!$B$4,"")</f>
        <v/>
      </c>
      <c r="V140" s="45" t="str">
        <f aca="false">IF(ISNUMBER($S140),$S140*Parâmetros!$C$4,"")</f>
        <v/>
      </c>
      <c r="W140" s="44" t="str">
        <f aca="false">IF(ISNUMBER($S140),$S140-$D140-IF(ISNUMBER($E140),$E140,0)-$O140-$T140-$U140-$V140,"")</f>
        <v/>
      </c>
      <c r="X140" s="46" t="str">
        <f aca="false">IF(AND(ISNUMBER($S140),$S140&gt;0),$W140/$S140,"")</f>
        <v/>
      </c>
      <c r="Y140" s="47" t="s">
        <v>741</v>
      </c>
      <c r="Z140" s="19"/>
    </row>
    <row r="141" customFormat="false" ht="15.75" hidden="false" customHeight="true" outlineLevel="0" collapsed="false">
      <c r="A141" s="48" t="str">
        <f aca="false">IF(Produtos!$A141="","",Produtos!$A141)</f>
        <v>L3060-AC</v>
      </c>
      <c r="B141" s="48" t="str">
        <f aca="false">IF(Produtos!$A141="","",Produtos!$B141)</f>
        <v>Lixeira c/Aro Colorido 30x60 40L</v>
      </c>
      <c r="C141" s="48" t="str">
        <f aca="false">IF(Produtos!$A141="","",Produtos!$C141)</f>
        <v>Lixeiras em inox</v>
      </c>
      <c r="D141" s="33" t="n">
        <f aca="false">IF(Produtos!$A141="","",IF(Produtos!$D141="","",Produtos!$D141))</f>
        <v>223.7</v>
      </c>
      <c r="E141" s="11"/>
      <c r="F141" s="34" t="n">
        <f aca="false">IF($A141="","",IF($C141="","⚠ categoria",IFERROR(INDEX(Parâmetros!$B$13:$B$22,MATCH($C141,Parâmetros!$A$13:$A$22,0)),"⚠ categoria")))</f>
        <v>0.13</v>
      </c>
      <c r="G141" s="35"/>
      <c r="H141" s="36" t="n">
        <f aca="false">IF($A141="","",IF(ISNUMBER($G141),$G141,IF(ISNUMBER($F141),$F141,"")))</f>
        <v>0.13</v>
      </c>
      <c r="I141" s="37" t="n">
        <f aca="false">IF(OR($A141="",NOT(ISNUMBER($D141)),NOT(ISNUMBER($H141))),"",IF((1-$H141-Parâmetros!$B$4-Parâmetros!$C$4-Parâmetros!$D$4)&lt;=0,"INVALIDO",($D141+IF(ISNUMBER($E141),$E141,0)+IF(ISNUMBER(Parâmetros!$E$4),Parâmetros!$E$4,0))/(1-$H141-Parâmetros!$B$4-Parâmetros!$C$4-Parâmetros!$D$4)))</f>
        <v>414.259259259259</v>
      </c>
      <c r="J141" s="38"/>
      <c r="K141" s="39" t="n">
        <f aca="false">IF(OR($A141="",NOT(ISNUMBER($D141)),NOT(ISNUMBER($H141))),"",IF(AND(ISNUMBER($J141),$J141&gt;0),$J141,IF(ISNUMBER($I141),$I141,"")))</f>
        <v>414.259259259259</v>
      </c>
      <c r="L141" s="40" t="n">
        <f aca="false">IF(ISNUMBER($K141),$K141*$H141,"")</f>
        <v>53.8537037037037</v>
      </c>
      <c r="M141" s="40" t="n">
        <f aca="false">IF(ISNUMBER($K141),$K141*Parâmetros!$B$4,"")</f>
        <v>41.4259259259259</v>
      </c>
      <c r="N141" s="40" t="n">
        <f aca="false">IF(ISNUMBER($K141),$K141*Parâmetros!$C$4,"")</f>
        <v>12.4277777777778</v>
      </c>
      <c r="O141" s="40" t="n">
        <f aca="false">IF(ISNUMBER($K141),IF(ISNUMBER(Parâmetros!$E$4),Parâmetros!$E$4,0),"")</f>
        <v>0</v>
      </c>
      <c r="P141" s="41" t="n">
        <f aca="false">IF(ISNUMBER($K141),$K141-$D141-IF(ISNUMBER($E141),$E141,0)-$L141-$M141-$N141-$O141,"")</f>
        <v>82.8518518518519</v>
      </c>
      <c r="Q141" s="42" t="n">
        <f aca="false">IF(AND(ISNUMBER($K141),$K141&gt;0),$P141/$K141,"")</f>
        <v>0.2</v>
      </c>
      <c r="R141" s="43"/>
      <c r="S141" s="44" t="str">
        <f aca="false">IF(OR(NOT(ISNUMBER($R141)),$R141=0,NOT(ISNUMBER($K141))),"",$K141*(1-$R141))</f>
        <v/>
      </c>
      <c r="T141" s="45" t="str">
        <f aca="false">IF(ISNUMBER($S141),$S141*$H141,"")</f>
        <v/>
      </c>
      <c r="U141" s="45" t="str">
        <f aca="false">IF(ISNUMBER($S141),$S141*Parâmetros!$B$4,"")</f>
        <v/>
      </c>
      <c r="V141" s="45" t="str">
        <f aca="false">IF(ISNUMBER($S141),$S141*Parâmetros!$C$4,"")</f>
        <v/>
      </c>
      <c r="W141" s="44" t="str">
        <f aca="false">IF(ISNUMBER($S141),$S141-$D141-IF(ISNUMBER($E141),$E141,0)-$O141-$T141-$U141-$V141,"")</f>
        <v/>
      </c>
      <c r="X141" s="46" t="str">
        <f aca="false">IF(AND(ISNUMBER($S141),$S141&gt;0),$W141/$S141,"")</f>
        <v/>
      </c>
      <c r="Y141" s="49"/>
      <c r="Z141" s="21"/>
    </row>
    <row r="142" customFormat="false" ht="15.75" hidden="false" customHeight="true" outlineLevel="0" collapsed="false">
      <c r="A142" s="32" t="str">
        <f aca="false">IF(Produtos!$A142="","",Produtos!$A142)</f>
        <v>L3070-AC</v>
      </c>
      <c r="B142" s="32" t="str">
        <f aca="false">IF(Produtos!$A142="","",Produtos!$B142)</f>
        <v>Lixeira c/Aro Colorido 30x70 50L</v>
      </c>
      <c r="C142" s="32" t="str">
        <f aca="false">IF(Produtos!$A142="","",Produtos!$C142)</f>
        <v>Lixeiras em inox</v>
      </c>
      <c r="D142" s="33" t="n">
        <f aca="false">IF(Produtos!$A142="","",IF(Produtos!$D142="","",Produtos!$D142))</f>
        <v>269.32</v>
      </c>
      <c r="E142" s="11" t="n">
        <v>91.95</v>
      </c>
      <c r="F142" s="34" t="n">
        <f aca="false">IF($A142="","",IF($C142="","⚠ categoria",IFERROR(INDEX(Parâmetros!$B$13:$B$22,MATCH($C142,Parâmetros!$A$13:$A$22,0)),"⚠ categoria")))</f>
        <v>0.13</v>
      </c>
      <c r="G142" s="35" t="n">
        <v>0.12</v>
      </c>
      <c r="H142" s="36" t="n">
        <f aca="false">IF($A142="","",IF(ISNUMBER($G142),$G142,IF(ISNUMBER($F142),$F142,"")))</f>
        <v>0.12</v>
      </c>
      <c r="I142" s="37" t="n">
        <f aca="false">IF(OR($A142="",NOT(ISNUMBER($D142)),NOT(ISNUMBER($H142))),"",IF((1-$H142-Parâmetros!$B$4-Parâmetros!$C$4-Parâmetros!$D$4)&lt;=0,"INVALIDO",($D142+IF(ISNUMBER($E142),$E142,0)+IF(ISNUMBER(Parâmetros!$E$4),Parâmetros!$E$4,0))/(1-$H142-Parâmetros!$B$4-Parâmetros!$C$4-Parâmetros!$D$4)))</f>
        <v>656.854545454545</v>
      </c>
      <c r="J142" s="38" t="n">
        <v>591.5232225</v>
      </c>
      <c r="K142" s="39" t="n">
        <f aca="false">IF(OR($A142="",NOT(ISNUMBER($D142)),NOT(ISNUMBER($H142))),"",IF(AND(ISNUMBER($J142),$J142&gt;0),$J142,IF(ISNUMBER($I142),$I142,"")))</f>
        <v>591.5232225</v>
      </c>
      <c r="L142" s="40" t="n">
        <f aca="false">IF(ISNUMBER($K142),$K142*$H142,"")</f>
        <v>70.9827867</v>
      </c>
      <c r="M142" s="40" t="n">
        <f aca="false">IF(ISNUMBER($K142),$K142*Parâmetros!$B$4,"")</f>
        <v>59.15232225</v>
      </c>
      <c r="N142" s="40" t="n">
        <f aca="false">IF(ISNUMBER($K142),$K142*Parâmetros!$C$4,"")</f>
        <v>17.745696675</v>
      </c>
      <c r="O142" s="40" t="n">
        <f aca="false">IF(ISNUMBER($K142),IF(ISNUMBER(Parâmetros!$E$4),Parâmetros!$E$4,0),"")</f>
        <v>0</v>
      </c>
      <c r="P142" s="41" t="n">
        <f aca="false">IF(ISNUMBER($K142),$K142-$D142-IF(ISNUMBER($E142),$E142,0)-$L142-$M142-$N142-$O142,"")</f>
        <v>82.3724168750001</v>
      </c>
      <c r="Q142" s="42" t="n">
        <f aca="false">IF(AND(ISNUMBER($K142),$K142&gt;0),$P142/$K142,"")</f>
        <v>0.139254747306223</v>
      </c>
      <c r="R142" s="43"/>
      <c r="S142" s="44" t="str">
        <f aca="false">IF(OR(NOT(ISNUMBER($R142)),$R142=0,NOT(ISNUMBER($K142))),"",$K142*(1-$R142))</f>
        <v/>
      </c>
      <c r="T142" s="45" t="str">
        <f aca="false">IF(ISNUMBER($S142),$S142*$H142,"")</f>
        <v/>
      </c>
      <c r="U142" s="45" t="str">
        <f aca="false">IF(ISNUMBER($S142),$S142*Parâmetros!$B$4,"")</f>
        <v/>
      </c>
      <c r="V142" s="45" t="str">
        <f aca="false">IF(ISNUMBER($S142),$S142*Parâmetros!$C$4,"")</f>
        <v/>
      </c>
      <c r="W142" s="44" t="str">
        <f aca="false">IF(ISNUMBER($S142),$S142-$D142-IF(ISNUMBER($E142),$E142,0)-$O142-$T142-$U142-$V142,"")</f>
        <v/>
      </c>
      <c r="X142" s="46" t="str">
        <f aca="false">IF(AND(ISNUMBER($S142),$S142&gt;0),$W142/$S142,"")</f>
        <v/>
      </c>
      <c r="Y142" s="47" t="s">
        <v>741</v>
      </c>
      <c r="Z142" s="19"/>
    </row>
    <row r="143" customFormat="false" ht="15.75" hidden="false" customHeight="true" outlineLevel="0" collapsed="false">
      <c r="A143" s="48" t="str">
        <f aca="false">IF(Produtos!$A143="","",Produtos!$A143)</f>
        <v>L3085-AC</v>
      </c>
      <c r="B143" s="48" t="str">
        <f aca="false">IF(Produtos!$A143="","",Produtos!$B143)</f>
        <v>Lixeira c/Aro Colorido 30x85 60L</v>
      </c>
      <c r="C143" s="48" t="str">
        <f aca="false">IF(Produtos!$A143="","",Produtos!$C143)</f>
        <v>Lixeiras em inox</v>
      </c>
      <c r="D143" s="33" t="n">
        <f aca="false">IF(Produtos!$A143="","",IF(Produtos!$D143="","",Produtos!$D143))</f>
        <v>341.25</v>
      </c>
      <c r="E143" s="11" t="n">
        <v>91.95</v>
      </c>
      <c r="F143" s="34" t="n">
        <f aca="false">IF($A143="","",IF($C143="","⚠ categoria",IFERROR(INDEX(Parâmetros!$B$13:$B$22,MATCH($C143,Parâmetros!$A$13:$A$22,0)),"⚠ categoria")))</f>
        <v>0.13</v>
      </c>
      <c r="G143" s="35"/>
      <c r="H143" s="36" t="n">
        <f aca="false">IF($A143="","",IF(ISNUMBER($G143),$G143,IF(ISNUMBER($F143),$F143,"")))</f>
        <v>0.13</v>
      </c>
      <c r="I143" s="37" t="n">
        <f aca="false">IF(OR($A143="",NOT(ISNUMBER($D143)),NOT(ISNUMBER($H143))),"",IF((1-$H143-Parâmetros!$B$4-Parâmetros!$C$4-Parâmetros!$D$4)&lt;=0,"INVALIDO",($D143+IF(ISNUMBER($E143),$E143,0)+IF(ISNUMBER(Parâmetros!$E$4),Parâmetros!$E$4,0))/(1-$H143-Parâmetros!$B$4-Parâmetros!$C$4-Parâmetros!$D$4)))</f>
        <v>802.222222222222</v>
      </c>
      <c r="J143" s="38" t="n">
        <v>718.85039625</v>
      </c>
      <c r="K143" s="39" t="n">
        <f aca="false">IF(OR($A143="",NOT(ISNUMBER($D143)),NOT(ISNUMBER($H143))),"",IF(AND(ISNUMBER($J143),$J143&gt;0),$J143,IF(ISNUMBER($I143),$I143,"")))</f>
        <v>718.85039625</v>
      </c>
      <c r="L143" s="40" t="n">
        <f aca="false">IF(ISNUMBER($K143),$K143*$H143,"")</f>
        <v>93.4505515125</v>
      </c>
      <c r="M143" s="40" t="n">
        <f aca="false">IF(ISNUMBER($K143),$K143*Parâmetros!$B$4,"")</f>
        <v>71.885039625</v>
      </c>
      <c r="N143" s="40" t="n">
        <f aca="false">IF(ISNUMBER($K143),$K143*Parâmetros!$C$4,"")</f>
        <v>21.5655118875</v>
      </c>
      <c r="O143" s="40" t="n">
        <f aca="false">IF(ISNUMBER($K143),IF(ISNUMBER(Parâmetros!$E$4),Parâmetros!$E$4,0),"")</f>
        <v>0</v>
      </c>
      <c r="P143" s="41" t="n">
        <f aca="false">IF(ISNUMBER($K143),$K143-$D143-IF(ISNUMBER($E143),$E143,0)-$L143-$M143-$N143-$O143,"")</f>
        <v>98.7492932250001</v>
      </c>
      <c r="Q143" s="42" t="n">
        <f aca="false">IF(AND(ISNUMBER($K143),$K143&gt;0),$P143/$K143,"")</f>
        <v>0.137371132769964</v>
      </c>
      <c r="R143" s="43"/>
      <c r="S143" s="44" t="str">
        <f aca="false">IF(OR(NOT(ISNUMBER($R143)),$R143=0,NOT(ISNUMBER($K143))),"",$K143*(1-$R143))</f>
        <v/>
      </c>
      <c r="T143" s="45" t="str">
        <f aca="false">IF(ISNUMBER($S143),$S143*$H143,"")</f>
        <v/>
      </c>
      <c r="U143" s="45" t="str">
        <f aca="false">IF(ISNUMBER($S143),$S143*Parâmetros!$B$4,"")</f>
        <v/>
      </c>
      <c r="V143" s="45" t="str">
        <f aca="false">IF(ISNUMBER($S143),$S143*Parâmetros!$C$4,"")</f>
        <v/>
      </c>
      <c r="W143" s="44" t="str">
        <f aca="false">IF(ISNUMBER($S143),$S143-$D143-IF(ISNUMBER($E143),$E143,0)-$O143-$T143-$U143-$V143,"")</f>
        <v/>
      </c>
      <c r="X143" s="46" t="str">
        <f aca="false">IF(AND(ISNUMBER($S143),$S143&gt;0),$W143/$S143,"")</f>
        <v/>
      </c>
      <c r="Y143" s="49" t="s">
        <v>741</v>
      </c>
      <c r="Z143" s="21"/>
    </row>
    <row r="144" customFormat="false" ht="15.75" hidden="false" customHeight="true" outlineLevel="0" collapsed="false">
      <c r="A144" s="32" t="str">
        <f aca="false">IF(Produtos!$A144="","",Produtos!$A144)</f>
        <v>L4050-AC</v>
      </c>
      <c r="B144" s="32" t="str">
        <f aca="false">IF(Produtos!$A144="","",Produtos!$B144)</f>
        <v>Lixeira c/Aro Colorido 40x50 62L</v>
      </c>
      <c r="C144" s="32" t="str">
        <f aca="false">IF(Produtos!$A144="","",Produtos!$C144)</f>
        <v>Lixeiras em inox</v>
      </c>
      <c r="D144" s="33" t="n">
        <f aca="false">IF(Produtos!$A144="","",IF(Produtos!$D144="","",Produtos!$D144))</f>
        <v>349.81</v>
      </c>
      <c r="E144" s="11" t="n">
        <v>75.65</v>
      </c>
      <c r="F144" s="34" t="n">
        <f aca="false">IF($A144="","",IF($C144="","⚠ categoria",IFERROR(INDEX(Parâmetros!$B$13:$B$22,MATCH($C144,Parâmetros!$A$13:$A$22,0)),"⚠ categoria")))</f>
        <v>0.13</v>
      </c>
      <c r="G144" s="35"/>
      <c r="H144" s="36" t="n">
        <f aca="false">IF($A144="","",IF(ISNUMBER($G144),$G144,IF(ISNUMBER($F144),$F144,"")))</f>
        <v>0.13</v>
      </c>
      <c r="I144" s="37" t="n">
        <f aca="false">IF(OR($A144="",NOT(ISNUMBER($D144)),NOT(ISNUMBER($H144))),"",IF((1-$H144-Parâmetros!$B$4-Parâmetros!$C$4-Parâmetros!$D$4)&lt;=0,"INVALIDO",($D144+IF(ISNUMBER($E144),$E144,0)+IF(ISNUMBER(Parâmetros!$E$4),Parâmetros!$E$4,0))/(1-$H144-Parâmetros!$B$4-Parâmetros!$C$4-Parâmetros!$D$4)))</f>
        <v>787.888888888889</v>
      </c>
      <c r="J144" s="38" t="n">
        <v>756.31114125</v>
      </c>
      <c r="K144" s="39" t="n">
        <f aca="false">IF(OR($A144="",NOT(ISNUMBER($D144)),NOT(ISNUMBER($H144))),"",IF(AND(ISNUMBER($J144),$J144&gt;0),$J144,IF(ISNUMBER($I144),$I144,"")))</f>
        <v>756.31114125</v>
      </c>
      <c r="L144" s="40" t="n">
        <f aca="false">IF(ISNUMBER($K144),$K144*$H144,"")</f>
        <v>98.3204483625</v>
      </c>
      <c r="M144" s="40" t="n">
        <f aca="false">IF(ISNUMBER($K144),$K144*Parâmetros!$B$4,"")</f>
        <v>75.631114125</v>
      </c>
      <c r="N144" s="40" t="n">
        <f aca="false">IF(ISNUMBER($K144),$K144*Parâmetros!$C$4,"")</f>
        <v>22.6893342375</v>
      </c>
      <c r="O144" s="40" t="n">
        <f aca="false">IF(ISNUMBER($K144),IF(ISNUMBER(Parâmetros!$E$4),Parâmetros!$E$4,0),"")</f>
        <v>0</v>
      </c>
      <c r="P144" s="41" t="n">
        <f aca="false">IF(ISNUMBER($K144),$K144-$D144-IF(ISNUMBER($E144),$E144,0)-$L144-$M144-$N144-$O144,"")</f>
        <v>134.210244525</v>
      </c>
      <c r="Q144" s="42" t="n">
        <f aca="false">IF(AND(ISNUMBER($K144),$K144&gt;0),$P144/$K144,"")</f>
        <v>0.177453745165228</v>
      </c>
      <c r="R144" s="43"/>
      <c r="S144" s="44" t="str">
        <f aca="false">IF(OR(NOT(ISNUMBER($R144)),$R144=0,NOT(ISNUMBER($K144))),"",$K144*(1-$R144))</f>
        <v/>
      </c>
      <c r="T144" s="45" t="str">
        <f aca="false">IF(ISNUMBER($S144),$S144*$H144,"")</f>
        <v/>
      </c>
      <c r="U144" s="45" t="str">
        <f aca="false">IF(ISNUMBER($S144),$S144*Parâmetros!$B$4,"")</f>
        <v/>
      </c>
      <c r="V144" s="45" t="str">
        <f aca="false">IF(ISNUMBER($S144),$S144*Parâmetros!$C$4,"")</f>
        <v/>
      </c>
      <c r="W144" s="44" t="str">
        <f aca="false">IF(ISNUMBER($S144),$S144-$D144-IF(ISNUMBER($E144),$E144,0)-$O144-$T144-$U144-$V144,"")</f>
        <v/>
      </c>
      <c r="X144" s="46" t="str">
        <f aca="false">IF(AND(ISNUMBER($S144),$S144&gt;0),$W144/$S144,"")</f>
        <v/>
      </c>
      <c r="Y144" s="47" t="s">
        <v>741</v>
      </c>
      <c r="Z144" s="19"/>
    </row>
    <row r="145" customFormat="false" ht="15.75" hidden="false" customHeight="true" outlineLevel="0" collapsed="false">
      <c r="A145" s="48" t="str">
        <f aca="false">IF(Produtos!$A145="","",Produtos!$A145)</f>
        <v>L4060-AC</v>
      </c>
      <c r="B145" s="48" t="str">
        <f aca="false">IF(Produtos!$A145="","",Produtos!$B145)</f>
        <v>Lixeira c/Aro Colorido 40x60 75L</v>
      </c>
      <c r="C145" s="48" t="str">
        <f aca="false">IF(Produtos!$A145="","",Produtos!$C145)</f>
        <v>Lixeiras em inox</v>
      </c>
      <c r="D145" s="33" t="n">
        <f aca="false">IF(Produtos!$A145="","",IF(Produtos!$D145="","",Produtos!$D145))</f>
        <v>359.34</v>
      </c>
      <c r="E145" s="11" t="n">
        <v>91.95</v>
      </c>
      <c r="F145" s="34" t="n">
        <f aca="false">IF($A145="","",IF($C145="","⚠ categoria",IFERROR(INDEX(Parâmetros!$B$13:$B$22,MATCH($C145,Parâmetros!$A$13:$A$22,0)),"⚠ categoria")))</f>
        <v>0.13</v>
      </c>
      <c r="G145" s="35"/>
      <c r="H145" s="36" t="n">
        <f aca="false">IF($A145="","",IF(ISNUMBER($G145),$G145,IF(ISNUMBER($F145),$F145,"")))</f>
        <v>0.13</v>
      </c>
      <c r="I145" s="37" t="n">
        <f aca="false">IF(OR($A145="",NOT(ISNUMBER($D145)),NOT(ISNUMBER($H145))),"",IF((1-$H145-Parâmetros!$B$4-Parâmetros!$C$4-Parâmetros!$D$4)&lt;=0,"INVALIDO",($D145+IF(ISNUMBER($E145),$E145,0)+IF(ISNUMBER(Parâmetros!$E$4),Parâmetros!$E$4,0))/(1-$H145-Parâmetros!$B$4-Parâmetros!$C$4-Parâmetros!$D$4)))</f>
        <v>835.722222222222</v>
      </c>
      <c r="J145" s="38" t="n">
        <v>774.04595625</v>
      </c>
      <c r="K145" s="39" t="n">
        <f aca="false">IF(OR($A145="",NOT(ISNUMBER($D145)),NOT(ISNUMBER($H145))),"",IF(AND(ISNUMBER($J145),$J145&gt;0),$J145,IF(ISNUMBER($I145),$I145,"")))</f>
        <v>774.04595625</v>
      </c>
      <c r="L145" s="40" t="n">
        <f aca="false">IF(ISNUMBER($K145),$K145*$H145,"")</f>
        <v>100.6259743125</v>
      </c>
      <c r="M145" s="40" t="n">
        <f aca="false">IF(ISNUMBER($K145),$K145*Parâmetros!$B$4,"")</f>
        <v>77.404595625</v>
      </c>
      <c r="N145" s="40" t="n">
        <f aca="false">IF(ISNUMBER($K145),$K145*Parâmetros!$C$4,"")</f>
        <v>23.2213786875</v>
      </c>
      <c r="O145" s="40" t="n">
        <f aca="false">IF(ISNUMBER($K145),IF(ISNUMBER(Parâmetros!$E$4),Parâmetros!$E$4,0),"")</f>
        <v>0</v>
      </c>
      <c r="P145" s="41" t="n">
        <f aca="false">IF(ISNUMBER($K145),$K145-$D145-IF(ISNUMBER($E145),$E145,0)-$L145-$M145-$N145-$O145,"")</f>
        <v>121.504007625</v>
      </c>
      <c r="Q145" s="42" t="n">
        <f aca="false">IF(AND(ISNUMBER($K145),$K145&gt;0),$P145/$K145,"")</f>
        <v>0.156972601747895</v>
      </c>
      <c r="R145" s="43"/>
      <c r="S145" s="44" t="str">
        <f aca="false">IF(OR(NOT(ISNUMBER($R145)),$R145=0,NOT(ISNUMBER($K145))),"",$K145*(1-$R145))</f>
        <v/>
      </c>
      <c r="T145" s="45" t="str">
        <f aca="false">IF(ISNUMBER($S145),$S145*$H145,"")</f>
        <v/>
      </c>
      <c r="U145" s="45" t="str">
        <f aca="false">IF(ISNUMBER($S145),$S145*Parâmetros!$B$4,"")</f>
        <v/>
      </c>
      <c r="V145" s="45" t="str">
        <f aca="false">IF(ISNUMBER($S145),$S145*Parâmetros!$C$4,"")</f>
        <v/>
      </c>
      <c r="W145" s="44" t="str">
        <f aca="false">IF(ISNUMBER($S145),$S145-$D145-IF(ISNUMBER($E145),$E145,0)-$O145-$T145-$U145-$V145,"")</f>
        <v/>
      </c>
      <c r="X145" s="46" t="str">
        <f aca="false">IF(AND(ISNUMBER($S145),$S145&gt;0),$W145/$S145,"")</f>
        <v/>
      </c>
      <c r="Y145" s="49" t="s">
        <v>741</v>
      </c>
      <c r="Z145" s="21"/>
    </row>
    <row r="146" customFormat="false" ht="15.75" hidden="false" customHeight="true" outlineLevel="0" collapsed="false">
      <c r="A146" s="32" t="str">
        <f aca="false">IF(Produtos!$A146="","",Produtos!$A146)</f>
        <v>L4070-AC</v>
      </c>
      <c r="B146" s="32" t="str">
        <f aca="false">IF(Produtos!$A146="","",Produtos!$B146)</f>
        <v>Lixeira c/Aro Colorido 40x70 88L</v>
      </c>
      <c r="C146" s="32" t="str">
        <f aca="false">IF(Produtos!$A146="","",Produtos!$C146)</f>
        <v>Lixeiras em inox</v>
      </c>
      <c r="D146" s="33" t="n">
        <f aca="false">IF(Produtos!$A146="","",IF(Produtos!$D146="","",Produtos!$D146))</f>
        <v>374.18</v>
      </c>
      <c r="E146" s="11" t="n">
        <v>106.85</v>
      </c>
      <c r="F146" s="34" t="n">
        <f aca="false">IF($A146="","",IF($C146="","⚠ categoria",IFERROR(INDEX(Parâmetros!$B$13:$B$22,MATCH($C146,Parâmetros!$A$13:$A$22,0)),"⚠ categoria")))</f>
        <v>0.13</v>
      </c>
      <c r="G146" s="35"/>
      <c r="H146" s="36" t="n">
        <f aca="false">IF($A146="","",IF(ISNUMBER($G146),$G146,IF(ISNUMBER($F146),$F146,"")))</f>
        <v>0.13</v>
      </c>
      <c r="I146" s="37" t="n">
        <f aca="false">IF(OR($A146="",NOT(ISNUMBER($D146)),NOT(ISNUMBER($H146))),"",IF((1-$H146-Parâmetros!$B$4-Parâmetros!$C$4-Parâmetros!$D$4)&lt;=0,"INVALIDO",($D146+IF(ISNUMBER($E146),$E146,0)+IF(ISNUMBER(Parâmetros!$E$4),Parâmetros!$E$4,0))/(1-$H146-Parâmetros!$B$4-Parâmetros!$C$4-Parâmetros!$D$4)))</f>
        <v>890.796296296296</v>
      </c>
      <c r="J146" s="38" t="n">
        <v>770.4920475</v>
      </c>
      <c r="K146" s="39" t="n">
        <f aca="false">IF(OR($A146="",NOT(ISNUMBER($D146)),NOT(ISNUMBER($H146))),"",IF(AND(ISNUMBER($J146),$J146&gt;0),$J146,IF(ISNUMBER($I146),$I146,"")))</f>
        <v>770.4920475</v>
      </c>
      <c r="L146" s="40" t="n">
        <f aca="false">IF(ISNUMBER($K146),$K146*$H146,"")</f>
        <v>100.163966175</v>
      </c>
      <c r="M146" s="40" t="n">
        <f aca="false">IF(ISNUMBER($K146),$K146*Parâmetros!$B$4,"")</f>
        <v>77.04920475</v>
      </c>
      <c r="N146" s="40" t="n">
        <f aca="false">IF(ISNUMBER($K146),$K146*Parâmetros!$C$4,"")</f>
        <v>23.114761425</v>
      </c>
      <c r="O146" s="40" t="n">
        <f aca="false">IF(ISNUMBER($K146),IF(ISNUMBER(Parâmetros!$E$4),Parâmetros!$E$4,0),"")</f>
        <v>0</v>
      </c>
      <c r="P146" s="41" t="n">
        <f aca="false">IF(ISNUMBER($K146),$K146-$D146-IF(ISNUMBER($E146),$E146,0)-$L146-$M146-$N146-$O146,"")</f>
        <v>89.1341151500001</v>
      </c>
      <c r="Q146" s="42" t="n">
        <f aca="false">IF(AND(ISNUMBER($K146),$K146&gt;0),$P146/$K146,"")</f>
        <v>0.115684665973142</v>
      </c>
      <c r="R146" s="43"/>
      <c r="S146" s="44" t="str">
        <f aca="false">IF(OR(NOT(ISNUMBER($R146)),$R146=0,NOT(ISNUMBER($K146))),"",$K146*(1-$R146))</f>
        <v/>
      </c>
      <c r="T146" s="45" t="str">
        <f aca="false">IF(ISNUMBER($S146),$S146*$H146,"")</f>
        <v/>
      </c>
      <c r="U146" s="45" t="str">
        <f aca="false">IF(ISNUMBER($S146),$S146*Parâmetros!$B$4,"")</f>
        <v/>
      </c>
      <c r="V146" s="45" t="str">
        <f aca="false">IF(ISNUMBER($S146),$S146*Parâmetros!$C$4,"")</f>
        <v/>
      </c>
      <c r="W146" s="44" t="str">
        <f aca="false">IF(ISNUMBER($S146),$S146-$D146-IF(ISNUMBER($E146),$E146,0)-$O146-$T146-$U146-$V146,"")</f>
        <v/>
      </c>
      <c r="X146" s="46" t="str">
        <f aca="false">IF(AND(ISNUMBER($S146),$S146&gt;0),$W146/$S146,"")</f>
        <v/>
      </c>
      <c r="Y146" s="47" t="s">
        <v>741</v>
      </c>
      <c r="Z146" s="19"/>
    </row>
    <row r="147" customFormat="false" ht="15.75" hidden="false" customHeight="true" outlineLevel="0" collapsed="false">
      <c r="A147" s="48" t="str">
        <f aca="false">IF(Produtos!$A147="","",Produtos!$A147)</f>
        <v>L4075-AC</v>
      </c>
      <c r="B147" s="48" t="str">
        <f aca="false">IF(Produtos!$A147="","",Produtos!$B147)</f>
        <v>Lixeira c/Aro Colorido 40x75 95L</v>
      </c>
      <c r="C147" s="48" t="str">
        <f aca="false">IF(Produtos!$A147="","",Produtos!$C147)</f>
        <v>Lixeiras em inox</v>
      </c>
      <c r="D147" s="33" t="n">
        <f aca="false">IF(Produtos!$A147="","",IF(Produtos!$D147="","",Produtos!$D147))</f>
        <v>405.18</v>
      </c>
      <c r="E147" s="11" t="n">
        <v>106.85</v>
      </c>
      <c r="F147" s="34" t="n">
        <f aca="false">IF($A147="","",IF($C147="","⚠ categoria",IFERROR(INDEX(Parâmetros!$B$13:$B$22,MATCH($C147,Parâmetros!$A$13:$A$22,0)),"⚠ categoria")))</f>
        <v>0.13</v>
      </c>
      <c r="G147" s="35"/>
      <c r="H147" s="36" t="n">
        <f aca="false">IF($A147="","",IF(ISNUMBER($G147),$G147,IF(ISNUMBER($F147),$F147,"")))</f>
        <v>0.13</v>
      </c>
      <c r="I147" s="37" t="n">
        <f aca="false">IF(OR($A147="",NOT(ISNUMBER($D147)),NOT(ISNUMBER($H147))),"",IF((1-$H147-Parâmetros!$B$4-Parâmetros!$C$4-Parâmetros!$D$4)&lt;=0,"INVALIDO",($D147+IF(ISNUMBER($E147),$E147,0)+IF(ISNUMBER(Parâmetros!$E$4),Parâmetros!$E$4,0))/(1-$H147-Parâmetros!$B$4-Parâmetros!$C$4-Parâmetros!$D$4)))</f>
        <v>948.203703703704</v>
      </c>
      <c r="J147" s="38" t="n">
        <v>834.184575</v>
      </c>
      <c r="K147" s="39" t="n">
        <f aca="false">IF(OR($A147="",NOT(ISNUMBER($D147)),NOT(ISNUMBER($H147))),"",IF(AND(ISNUMBER($J147),$J147&gt;0),$J147,IF(ISNUMBER($I147),$I147,"")))</f>
        <v>834.184575</v>
      </c>
      <c r="L147" s="40" t="n">
        <f aca="false">IF(ISNUMBER($K147),$K147*$H147,"")</f>
        <v>108.44399475</v>
      </c>
      <c r="M147" s="40" t="n">
        <f aca="false">IF(ISNUMBER($K147),$K147*Parâmetros!$B$4,"")</f>
        <v>83.4184575</v>
      </c>
      <c r="N147" s="40" t="n">
        <f aca="false">IF(ISNUMBER($K147),$K147*Parâmetros!$C$4,"")</f>
        <v>25.02553725</v>
      </c>
      <c r="O147" s="40" t="n">
        <f aca="false">IF(ISNUMBER($K147),IF(ISNUMBER(Parâmetros!$E$4),Parâmetros!$E$4,0),"")</f>
        <v>0</v>
      </c>
      <c r="P147" s="41" t="n">
        <f aca="false">IF(ISNUMBER($K147),$K147-$D147-IF(ISNUMBER($E147),$E147,0)-$L147-$M147-$N147-$O147,"")</f>
        <v>105.2665855</v>
      </c>
      <c r="Q147" s="42" t="n">
        <f aca="false">IF(AND(ISNUMBER($K147),$K147&gt;0),$P147/$K147,"")</f>
        <v>0.12619099975566</v>
      </c>
      <c r="R147" s="43"/>
      <c r="S147" s="44" t="str">
        <f aca="false">IF(OR(NOT(ISNUMBER($R147)),$R147=0,NOT(ISNUMBER($K147))),"",$K147*(1-$R147))</f>
        <v/>
      </c>
      <c r="T147" s="45" t="str">
        <f aca="false">IF(ISNUMBER($S147),$S147*$H147,"")</f>
        <v/>
      </c>
      <c r="U147" s="45" t="str">
        <f aca="false">IF(ISNUMBER($S147),$S147*Parâmetros!$B$4,"")</f>
        <v/>
      </c>
      <c r="V147" s="45" t="str">
        <f aca="false">IF(ISNUMBER($S147),$S147*Parâmetros!$C$4,"")</f>
        <v/>
      </c>
      <c r="W147" s="44" t="str">
        <f aca="false">IF(ISNUMBER($S147),$S147-$D147-IF(ISNUMBER($E147),$E147,0)-$O147-$T147-$U147-$V147,"")</f>
        <v/>
      </c>
      <c r="X147" s="46" t="str">
        <f aca="false">IF(AND(ISNUMBER($S147),$S147&gt;0),$W147/$S147,"")</f>
        <v/>
      </c>
      <c r="Y147" s="49" t="s">
        <v>741</v>
      </c>
      <c r="Z147" s="21"/>
    </row>
    <row r="148" customFormat="false" ht="15.75" hidden="false" customHeight="true" outlineLevel="0" collapsed="false">
      <c r="A148" s="32" t="str">
        <f aca="false">IF(Produtos!$A148="","",Produtos!$A148)</f>
        <v>L4080-AC</v>
      </c>
      <c r="B148" s="32" t="str">
        <f aca="false">IF(Produtos!$A148="","",Produtos!$B148)</f>
        <v>Lixeira c/Aro Colorido 40x80 100L</v>
      </c>
      <c r="C148" s="32" t="str">
        <f aca="false">IF(Produtos!$A148="","",Produtos!$C148)</f>
        <v>Lixeiras em inox</v>
      </c>
      <c r="D148" s="33" t="n">
        <f aca="false">IF(Produtos!$A148="","",IF(Produtos!$D148="","",Produtos!$D148))</f>
        <v>425.44</v>
      </c>
      <c r="E148" s="11" t="n">
        <v>106.85</v>
      </c>
      <c r="F148" s="34" t="n">
        <f aca="false">IF($A148="","",IF($C148="","⚠ categoria",IFERROR(INDEX(Parâmetros!$B$13:$B$22,MATCH($C148,Parâmetros!$A$13:$A$22,0)),"⚠ categoria")))</f>
        <v>0.13</v>
      </c>
      <c r="G148" s="35"/>
      <c r="H148" s="36" t="n">
        <f aca="false">IF($A148="","",IF(ISNUMBER($G148),$G148,IF(ISNUMBER($F148),$F148,"")))</f>
        <v>0.13</v>
      </c>
      <c r="I148" s="37" t="n">
        <f aca="false">IF(OR($A148="",NOT(ISNUMBER($D148)),NOT(ISNUMBER($H148))),"",IF((1-$H148-Parâmetros!$B$4-Parâmetros!$C$4-Parâmetros!$D$4)&lt;=0,"INVALIDO",($D148+IF(ISNUMBER($E148),$E148,0)+IF(ISNUMBER(Parâmetros!$E$4),Parâmetros!$E$4,0))/(1-$H148-Parâmetros!$B$4-Parâmetros!$C$4-Parâmetros!$D$4)))</f>
        <v>985.722222222222</v>
      </c>
      <c r="J148" s="38" t="n">
        <v>896.84681625</v>
      </c>
      <c r="K148" s="39" t="n">
        <f aca="false">IF(OR($A148="",NOT(ISNUMBER($D148)),NOT(ISNUMBER($H148))),"",IF(AND(ISNUMBER($J148),$J148&gt;0),$J148,IF(ISNUMBER($I148),$I148,"")))</f>
        <v>896.84681625</v>
      </c>
      <c r="L148" s="40" t="n">
        <f aca="false">IF(ISNUMBER($K148),$K148*$H148,"")</f>
        <v>116.5900861125</v>
      </c>
      <c r="M148" s="40" t="n">
        <f aca="false">IF(ISNUMBER($K148),$K148*Parâmetros!$B$4,"")</f>
        <v>89.684681625</v>
      </c>
      <c r="N148" s="40" t="n">
        <f aca="false">IF(ISNUMBER($K148),$K148*Parâmetros!$C$4,"")</f>
        <v>26.9054044875</v>
      </c>
      <c r="O148" s="40" t="n">
        <f aca="false">IF(ISNUMBER($K148),IF(ISNUMBER(Parâmetros!$E$4),Parâmetros!$E$4,0),"")</f>
        <v>0</v>
      </c>
      <c r="P148" s="41" t="n">
        <f aca="false">IF(ISNUMBER($K148),$K148-$D148-IF(ISNUMBER($E148),$E148,0)-$L148-$M148-$N148-$O148,"")</f>
        <v>131.376644025</v>
      </c>
      <c r="Q148" s="42" t="n">
        <f aca="false">IF(AND(ISNUMBER($K148),$K148&gt;0),$P148/$K148,"")</f>
        <v>0.146487272569386</v>
      </c>
      <c r="R148" s="43"/>
      <c r="S148" s="44" t="str">
        <f aca="false">IF(OR(NOT(ISNUMBER($R148)),$R148=0,NOT(ISNUMBER($K148))),"",$K148*(1-$R148))</f>
        <v/>
      </c>
      <c r="T148" s="45" t="str">
        <f aca="false">IF(ISNUMBER($S148),$S148*$H148,"")</f>
        <v/>
      </c>
      <c r="U148" s="45" t="str">
        <f aca="false">IF(ISNUMBER($S148),$S148*Parâmetros!$B$4,"")</f>
        <v/>
      </c>
      <c r="V148" s="45" t="str">
        <f aca="false">IF(ISNUMBER($S148),$S148*Parâmetros!$C$4,"")</f>
        <v/>
      </c>
      <c r="W148" s="44" t="str">
        <f aca="false">IF(ISNUMBER($S148),$S148-$D148-IF(ISNUMBER($E148),$E148,0)-$O148-$T148-$U148-$V148,"")</f>
        <v/>
      </c>
      <c r="X148" s="46" t="str">
        <f aca="false">IF(AND(ISNUMBER($S148),$S148&gt;0),$W148/$S148,"")</f>
        <v/>
      </c>
      <c r="Y148" s="47" t="s">
        <v>741</v>
      </c>
      <c r="Z148" s="19"/>
    </row>
    <row r="149" customFormat="false" ht="15.75" hidden="false" customHeight="true" outlineLevel="0" collapsed="false">
      <c r="A149" s="48" t="str">
        <f aca="false">IF(Produtos!$A149="","",Produtos!$A149)</f>
        <v>L4090-AC</v>
      </c>
      <c r="B149" s="48" t="str">
        <f aca="false">IF(Produtos!$A149="","",Produtos!$B149)</f>
        <v>Lixeira c/Aro Colorido 40x90 120L</v>
      </c>
      <c r="C149" s="48" t="str">
        <f aca="false">IF(Produtos!$A149="","",Produtos!$C149)</f>
        <v>Lixeiras em inox</v>
      </c>
      <c r="D149" s="33" t="n">
        <f aca="false">IF(Produtos!$A149="","",IF(Produtos!$D149="","",Produtos!$D149))</f>
        <v>652.76</v>
      </c>
      <c r="E149" s="11" t="n">
        <v>107.85</v>
      </c>
      <c r="F149" s="34" t="n">
        <f aca="false">IF($A149="","",IF($C149="","⚠ categoria",IFERROR(INDEX(Parâmetros!$B$13:$B$22,MATCH($C149,Parâmetros!$A$13:$A$22,0)),"⚠ categoria")))</f>
        <v>0.13</v>
      </c>
      <c r="G149" s="35"/>
      <c r="H149" s="36" t="n">
        <f aca="false">IF($A149="","",IF(ISNUMBER($G149),$G149,IF(ISNUMBER($F149),$F149,"")))</f>
        <v>0.13</v>
      </c>
      <c r="I149" s="37" t="n">
        <f aca="false">IF(OR($A149="",NOT(ISNUMBER($D149)),NOT(ISNUMBER($H149))),"",IF((1-$H149-Parâmetros!$B$4-Parâmetros!$C$4-Parâmetros!$D$4)&lt;=0,"INVALIDO",($D149+IF(ISNUMBER($E149),$E149,0)+IF(ISNUMBER(Parâmetros!$E$4),Parâmetros!$E$4,0))/(1-$H149-Parâmetros!$B$4-Parâmetros!$C$4-Parâmetros!$D$4)))</f>
        <v>1408.53703703704</v>
      </c>
      <c r="J149" s="38" t="n">
        <v>1319.3452125</v>
      </c>
      <c r="K149" s="39" t="n">
        <f aca="false">IF(OR($A149="",NOT(ISNUMBER($D149)),NOT(ISNUMBER($H149))),"",IF(AND(ISNUMBER($J149),$J149&gt;0),$J149,IF(ISNUMBER($I149),$I149,"")))</f>
        <v>1319.3452125</v>
      </c>
      <c r="L149" s="40" t="n">
        <f aca="false">IF(ISNUMBER($K149),$K149*$H149,"")</f>
        <v>171.514877625</v>
      </c>
      <c r="M149" s="40" t="n">
        <f aca="false">IF(ISNUMBER($K149),$K149*Parâmetros!$B$4,"")</f>
        <v>131.93452125</v>
      </c>
      <c r="N149" s="40" t="n">
        <f aca="false">IF(ISNUMBER($K149),$K149*Parâmetros!$C$4,"")</f>
        <v>39.580356375</v>
      </c>
      <c r="O149" s="40" t="n">
        <f aca="false">IF(ISNUMBER($K149),IF(ISNUMBER(Parâmetros!$E$4),Parâmetros!$E$4,0),"")</f>
        <v>0</v>
      </c>
      <c r="P149" s="41" t="n">
        <f aca="false">IF(ISNUMBER($K149),$K149-$D149-IF(ISNUMBER($E149),$E149,0)-$L149-$M149-$N149-$O149,"")</f>
        <v>215.70545725</v>
      </c>
      <c r="Q149" s="42" t="n">
        <f aca="false">IF(AND(ISNUMBER($K149),$K149&gt;0),$P149/$K149,"")</f>
        <v>0.16349432673596</v>
      </c>
      <c r="R149" s="43"/>
      <c r="S149" s="44" t="str">
        <f aca="false">IF(OR(NOT(ISNUMBER($R149)),$R149=0,NOT(ISNUMBER($K149))),"",$K149*(1-$R149))</f>
        <v/>
      </c>
      <c r="T149" s="45" t="str">
        <f aca="false">IF(ISNUMBER($S149),$S149*$H149,"")</f>
        <v/>
      </c>
      <c r="U149" s="45" t="str">
        <f aca="false">IF(ISNUMBER($S149),$S149*Parâmetros!$B$4,"")</f>
        <v/>
      </c>
      <c r="V149" s="45" t="str">
        <f aca="false">IF(ISNUMBER($S149),$S149*Parâmetros!$C$4,"")</f>
        <v/>
      </c>
      <c r="W149" s="44" t="str">
        <f aca="false">IF(ISNUMBER($S149),$S149-$D149-IF(ISNUMBER($E149),$E149,0)-$O149-$T149-$U149-$V149,"")</f>
        <v/>
      </c>
      <c r="X149" s="46" t="str">
        <f aca="false">IF(AND(ISNUMBER($S149),$S149&gt;0),$W149/$S149,"")</f>
        <v/>
      </c>
      <c r="Y149" s="49" t="s">
        <v>743</v>
      </c>
      <c r="Z149" s="21"/>
    </row>
    <row r="150" customFormat="false" ht="15.75" hidden="false" customHeight="true" outlineLevel="0" collapsed="false">
      <c r="A150" s="32" t="str">
        <f aca="false">IF(Produtos!$A150="","",Produtos!$A150)</f>
        <v>L2425-CP</v>
      </c>
      <c r="B150" s="32" t="str">
        <f aca="false">IF(Produtos!$A150="","",Produtos!$B150)</f>
        <v>Lixeira Aço inox Coletor de pilhas e baterias 24x25 13L</v>
      </c>
      <c r="C150" s="32" t="str">
        <f aca="false">IF(Produtos!$A150="","",Produtos!$C150)</f>
        <v>Coletores de pilhas</v>
      </c>
      <c r="D150" s="33" t="n">
        <f aca="false">IF(Produtos!$A150="","",IF(Produtos!$D150="","",Produtos!$D150))</f>
        <v>120.55</v>
      </c>
      <c r="E150" s="11" t="n">
        <v>27.05</v>
      </c>
      <c r="F150" s="34" t="n">
        <f aca="false">IF($A150="","",IF($C150="","⚠ categoria",IFERROR(INDEX(Parâmetros!$B$13:$B$22,MATCH($C150,Parâmetros!$A$13:$A$22,0)),"⚠ categoria")))</f>
        <v>0.13</v>
      </c>
      <c r="G150" s="35" t="n">
        <v>0.12</v>
      </c>
      <c r="H150" s="36" t="n">
        <f aca="false">IF($A150="","",IF(ISNUMBER($G150),$G150,IF(ISNUMBER($F150),$F150,"")))</f>
        <v>0.12</v>
      </c>
      <c r="I150" s="37" t="n">
        <f aca="false">IF(OR($A150="",NOT(ISNUMBER($D150)),NOT(ISNUMBER($H150))),"",IF((1-$H150-Parâmetros!$B$4-Parâmetros!$C$4-Parâmetros!$D$4)&lt;=0,"INVALIDO",($D150+IF(ISNUMBER($E150),$E150,0)+IF(ISNUMBER(Parâmetros!$E$4),Parâmetros!$E$4,0))/(1-$H150-Parâmetros!$B$4-Parâmetros!$C$4-Parâmetros!$D$4)))</f>
        <v>268.363636363636</v>
      </c>
      <c r="J150" s="38" t="n">
        <v>261.1035</v>
      </c>
      <c r="K150" s="39" t="n">
        <f aca="false">IF(OR($A150="",NOT(ISNUMBER($D150)),NOT(ISNUMBER($H150))),"",IF(AND(ISNUMBER($J150),$J150&gt;0),$J150,IF(ISNUMBER($I150),$I150,"")))</f>
        <v>261.1035</v>
      </c>
      <c r="L150" s="40" t="n">
        <f aca="false">IF(ISNUMBER($K150),$K150*$H150,"")</f>
        <v>31.33242</v>
      </c>
      <c r="M150" s="40" t="n">
        <f aca="false">IF(ISNUMBER($K150),$K150*Parâmetros!$B$4,"")</f>
        <v>26.11035</v>
      </c>
      <c r="N150" s="40" t="n">
        <f aca="false">IF(ISNUMBER($K150),$K150*Parâmetros!$C$4,"")</f>
        <v>7.833105</v>
      </c>
      <c r="O150" s="40" t="n">
        <f aca="false">IF(ISNUMBER($K150),IF(ISNUMBER(Parâmetros!$E$4),Parâmetros!$E$4,0),"")</f>
        <v>0</v>
      </c>
      <c r="P150" s="41" t="n">
        <f aca="false">IF(ISNUMBER($K150),$K150-$D150-IF(ISNUMBER($E150),$E150,0)-$L150-$M150-$N150-$O150,"")</f>
        <v>48.227625</v>
      </c>
      <c r="Q150" s="42" t="n">
        <f aca="false">IF(AND(ISNUMBER($K150),$K150&gt;0),$P150/$K150,"")</f>
        <v>0.184706926563604</v>
      </c>
      <c r="R150" s="43"/>
      <c r="S150" s="44" t="str">
        <f aca="false">IF(OR(NOT(ISNUMBER($R150)),$R150=0,NOT(ISNUMBER($K150))),"",$K150*(1-$R150))</f>
        <v/>
      </c>
      <c r="T150" s="45" t="str">
        <f aca="false">IF(ISNUMBER($S150),$S150*$H150,"")</f>
        <v/>
      </c>
      <c r="U150" s="45" t="str">
        <f aca="false">IF(ISNUMBER($S150),$S150*Parâmetros!$B$4,"")</f>
        <v/>
      </c>
      <c r="V150" s="45" t="str">
        <f aca="false">IF(ISNUMBER($S150),$S150*Parâmetros!$C$4,"")</f>
        <v/>
      </c>
      <c r="W150" s="44" t="str">
        <f aca="false">IF(ISNUMBER($S150),$S150-$D150-IF(ISNUMBER($E150),$E150,0)-$O150-$T150-$U150-$V150,"")</f>
        <v/>
      </c>
      <c r="X150" s="46" t="str">
        <f aca="false">IF(AND(ISNUMBER($S150),$S150&gt;0),$W150/$S150,"")</f>
        <v/>
      </c>
      <c r="Y150" s="47" t="s">
        <v>743</v>
      </c>
      <c r="Z150" s="19"/>
    </row>
    <row r="151" customFormat="false" ht="15.75" hidden="false" customHeight="true" outlineLevel="0" collapsed="false">
      <c r="A151" s="48" t="str">
        <f aca="false">IF(Produtos!$A151="","",Produtos!$A151)</f>
        <v>L2430-CP</v>
      </c>
      <c r="B151" s="48" t="str">
        <f aca="false">IF(Produtos!$A151="","",Produtos!$B151)</f>
        <v>Lixeira Aço inox Coletor de pilhas e baterias 24x30 15L</v>
      </c>
      <c r="C151" s="48" t="str">
        <f aca="false">IF(Produtos!$A151="","",Produtos!$C151)</f>
        <v>Coletores de pilhas</v>
      </c>
      <c r="D151" s="33" t="n">
        <f aca="false">IF(Produtos!$A151="","",IF(Produtos!$D151="","",Produtos!$D151))</f>
        <v>134.47</v>
      </c>
      <c r="E151" s="11" t="n">
        <v>27.05</v>
      </c>
      <c r="F151" s="34" t="n">
        <f aca="false">IF($A151="","",IF($C151="","⚠ categoria",IFERROR(INDEX(Parâmetros!$B$13:$B$22,MATCH($C151,Parâmetros!$A$13:$A$22,0)),"⚠ categoria")))</f>
        <v>0.13</v>
      </c>
      <c r="G151" s="35" t="n">
        <v>0.12</v>
      </c>
      <c r="H151" s="36" t="n">
        <f aca="false">IF($A151="","",IF(ISNUMBER($G151),$G151,IF(ISNUMBER($F151),$F151,"")))</f>
        <v>0.12</v>
      </c>
      <c r="I151" s="37" t="n">
        <f aca="false">IF(OR($A151="",NOT(ISNUMBER($D151)),NOT(ISNUMBER($H151))),"",IF((1-$H151-Parâmetros!$B$4-Parâmetros!$C$4-Parâmetros!$D$4)&lt;=0,"INVALIDO",($D151+IF(ISNUMBER($E151),$E151,0)+IF(ISNUMBER(Parâmetros!$E$4),Parâmetros!$E$4,0))/(1-$H151-Parâmetros!$B$4-Parâmetros!$C$4-Parâmetros!$D$4)))</f>
        <v>293.672727272727</v>
      </c>
      <c r="J151" s="38" t="n">
        <v>272.01906375</v>
      </c>
      <c r="K151" s="39" t="n">
        <f aca="false">IF(OR($A151="",NOT(ISNUMBER($D151)),NOT(ISNUMBER($H151))),"",IF(AND(ISNUMBER($J151),$J151&gt;0),$J151,IF(ISNUMBER($I151),$I151,"")))</f>
        <v>272.01906375</v>
      </c>
      <c r="L151" s="40" t="n">
        <f aca="false">IF(ISNUMBER($K151),$K151*$H151,"")</f>
        <v>32.64228765</v>
      </c>
      <c r="M151" s="40" t="n">
        <f aca="false">IF(ISNUMBER($K151),$K151*Parâmetros!$B$4,"")</f>
        <v>27.201906375</v>
      </c>
      <c r="N151" s="40" t="n">
        <f aca="false">IF(ISNUMBER($K151),$K151*Parâmetros!$C$4,"")</f>
        <v>8.1605719125</v>
      </c>
      <c r="O151" s="40" t="n">
        <f aca="false">IF(ISNUMBER($K151),IF(ISNUMBER(Parâmetros!$E$4),Parâmetros!$E$4,0),"")</f>
        <v>0</v>
      </c>
      <c r="P151" s="41" t="n">
        <f aca="false">IF(ISNUMBER($K151),$K151-$D151-IF(ISNUMBER($E151),$E151,0)-$L151-$M151-$N151-$O151,"")</f>
        <v>42.4942978125</v>
      </c>
      <c r="Q151" s="42" t="n">
        <f aca="false">IF(AND(ISNUMBER($K151),$K151&gt;0),$P151/$K151,"")</f>
        <v>0.1562180871689</v>
      </c>
      <c r="R151" s="43"/>
      <c r="S151" s="44" t="str">
        <f aca="false">IF(OR(NOT(ISNUMBER($R151)),$R151=0,NOT(ISNUMBER($K151))),"",$K151*(1-$R151))</f>
        <v/>
      </c>
      <c r="T151" s="45" t="str">
        <f aca="false">IF(ISNUMBER($S151),$S151*$H151,"")</f>
        <v/>
      </c>
      <c r="U151" s="45" t="str">
        <f aca="false">IF(ISNUMBER($S151),$S151*Parâmetros!$B$4,"")</f>
        <v/>
      </c>
      <c r="V151" s="45" t="str">
        <f aca="false">IF(ISNUMBER($S151),$S151*Parâmetros!$C$4,"")</f>
        <v/>
      </c>
      <c r="W151" s="44" t="str">
        <f aca="false">IF(ISNUMBER($S151),$S151-$D151-IF(ISNUMBER($E151),$E151,0)-$O151-$T151-$U151-$V151,"")</f>
        <v/>
      </c>
      <c r="X151" s="46" t="str">
        <f aca="false">IF(AND(ISNUMBER($S151),$S151&gt;0),$W151/$S151,"")</f>
        <v/>
      </c>
      <c r="Y151" s="49" t="s">
        <v>744</v>
      </c>
      <c r="Z151" s="21"/>
    </row>
    <row r="152" customFormat="false" ht="15.75" hidden="false" customHeight="true" outlineLevel="0" collapsed="false">
      <c r="A152" s="32" t="str">
        <f aca="false">IF(Produtos!$A152="","",Produtos!$A152)</f>
        <v>L2440-CP</v>
      </c>
      <c r="B152" s="32" t="str">
        <f aca="false">IF(Produtos!$A152="","",Produtos!$B152)</f>
        <v>Lixeira Aço inox Coletor de pilhas e baterias 24x40 20L</v>
      </c>
      <c r="C152" s="32" t="str">
        <f aca="false">IF(Produtos!$A152="","",Produtos!$C152)</f>
        <v>Coletores de pilhas</v>
      </c>
      <c r="D152" s="33" t="n">
        <f aca="false">IF(Produtos!$A152="","",IF(Produtos!$D152="","",Produtos!$D152))</f>
        <v>143.62</v>
      </c>
      <c r="E152" s="11" t="n">
        <v>29.25</v>
      </c>
      <c r="F152" s="34" t="n">
        <f aca="false">IF($A152="","",IF($C152="","⚠ categoria",IFERROR(INDEX(Parâmetros!$B$13:$B$22,MATCH($C152,Parâmetros!$A$13:$A$22,0)),"⚠ categoria")))</f>
        <v>0.13</v>
      </c>
      <c r="G152" s="35" t="n">
        <v>0.12</v>
      </c>
      <c r="H152" s="36" t="n">
        <f aca="false">IF($A152="","",IF(ISNUMBER($G152),$G152,IF(ISNUMBER($F152),$F152,"")))</f>
        <v>0.12</v>
      </c>
      <c r="I152" s="37" t="n">
        <f aca="false">IF(OR($A152="",NOT(ISNUMBER($D152)),NOT(ISNUMBER($H152))),"",IF((1-$H152-Parâmetros!$B$4-Parâmetros!$C$4-Parâmetros!$D$4)&lt;=0,"INVALIDO",($D152+IF(ISNUMBER($E152),$E152,0)+IF(ISNUMBER(Parâmetros!$E$4),Parâmetros!$E$4,0))/(1-$H152-Parâmetros!$B$4-Parâmetros!$C$4-Parâmetros!$D$4)))</f>
        <v>314.309090909091</v>
      </c>
      <c r="J152" s="38" t="n">
        <v>316.38773825</v>
      </c>
      <c r="K152" s="39" t="n">
        <f aca="false">IF(OR($A152="",NOT(ISNUMBER($D152)),NOT(ISNUMBER($H152))),"",IF(AND(ISNUMBER($J152),$J152&gt;0),$J152,IF(ISNUMBER($I152),$I152,"")))</f>
        <v>316.38773825</v>
      </c>
      <c r="L152" s="40" t="n">
        <f aca="false">IF(ISNUMBER($K152),$K152*$H152,"")</f>
        <v>37.96652859</v>
      </c>
      <c r="M152" s="40" t="n">
        <f aca="false">IF(ISNUMBER($K152),$K152*Parâmetros!$B$4,"")</f>
        <v>31.638773825</v>
      </c>
      <c r="N152" s="40" t="n">
        <f aca="false">IF(ISNUMBER($K152),$K152*Parâmetros!$C$4,"")</f>
        <v>9.4916321475</v>
      </c>
      <c r="O152" s="40" t="n">
        <f aca="false">IF(ISNUMBER($K152),IF(ISNUMBER(Parâmetros!$E$4),Parâmetros!$E$4,0),"")</f>
        <v>0</v>
      </c>
      <c r="P152" s="41" t="n">
        <f aca="false">IF(ISNUMBER($K152),$K152-$D152-IF(ISNUMBER($E152),$E152,0)-$L152-$M152-$N152-$O152,"")</f>
        <v>64.4208036875</v>
      </c>
      <c r="Q152" s="42" t="n">
        <f aca="false">IF(AND(ISNUMBER($K152),$K152&gt;0),$P152/$K152,"")</f>
        <v>0.203613465059751</v>
      </c>
      <c r="R152" s="43"/>
      <c r="S152" s="44" t="str">
        <f aca="false">IF(OR(NOT(ISNUMBER($R152)),$R152=0,NOT(ISNUMBER($K152))),"",$K152*(1-$R152))</f>
        <v/>
      </c>
      <c r="T152" s="45" t="str">
        <f aca="false">IF(ISNUMBER($S152),$S152*$H152,"")</f>
        <v/>
      </c>
      <c r="U152" s="45" t="str">
        <f aca="false">IF(ISNUMBER($S152),$S152*Parâmetros!$B$4,"")</f>
        <v/>
      </c>
      <c r="V152" s="45" t="str">
        <f aca="false">IF(ISNUMBER($S152),$S152*Parâmetros!$C$4,"")</f>
        <v/>
      </c>
      <c r="W152" s="44" t="str">
        <f aca="false">IF(ISNUMBER($S152),$S152-$D152-IF(ISNUMBER($E152),$E152,0)-$O152-$T152-$U152-$V152,"")</f>
        <v/>
      </c>
      <c r="X152" s="46" t="str">
        <f aca="false">IF(AND(ISNUMBER($S152),$S152&gt;0),$W152/$S152,"")</f>
        <v/>
      </c>
      <c r="Y152" s="47" t="s">
        <v>744</v>
      </c>
      <c r="Z152" s="19"/>
    </row>
    <row r="153" customFormat="false" ht="15.75" hidden="false" customHeight="true" outlineLevel="0" collapsed="false">
      <c r="A153" s="48" t="str">
        <f aca="false">IF(Produtos!$A153="","",Produtos!$A153)</f>
        <v>L2450-CP</v>
      </c>
      <c r="B153" s="48" t="str">
        <f aca="false">IF(Produtos!$A153="","",Produtos!$B153)</f>
        <v>Lixeira Aço inox Coletor de pilhas e baterias 24x50 25L</v>
      </c>
      <c r="C153" s="48" t="str">
        <f aca="false">IF(Produtos!$A153="","",Produtos!$C153)</f>
        <v>Coletores de pilhas</v>
      </c>
      <c r="D153" s="33" t="n">
        <f aca="false">IF(Produtos!$A153="","",IF(Produtos!$D153="","",Produtos!$D153))</f>
        <v>163.9</v>
      </c>
      <c r="E153" s="11" t="n">
        <v>40.85</v>
      </c>
      <c r="F153" s="34" t="n">
        <f aca="false">IF($A153="","",IF($C153="","⚠ categoria",IFERROR(INDEX(Parâmetros!$B$13:$B$22,MATCH($C153,Parâmetros!$A$13:$A$22,0)),"⚠ categoria")))</f>
        <v>0.13</v>
      </c>
      <c r="G153" s="35" t="n">
        <v>0.12</v>
      </c>
      <c r="H153" s="36" t="n">
        <f aca="false">IF($A153="","",IF(ISNUMBER($G153),$G153,IF(ISNUMBER($F153),$F153,"")))</f>
        <v>0.12</v>
      </c>
      <c r="I153" s="37" t="n">
        <f aca="false">IF(OR($A153="",NOT(ISNUMBER($D153)),NOT(ISNUMBER($H153))),"",IF((1-$H153-Parâmetros!$B$4-Parâmetros!$C$4-Parâmetros!$D$4)&lt;=0,"INVALIDO",($D153+IF(ISNUMBER($E153),$E153,0)+IF(ISNUMBER(Parâmetros!$E$4),Parâmetros!$E$4,0))/(1-$H153-Parâmetros!$B$4-Parâmetros!$C$4-Parâmetros!$D$4)))</f>
        <v>372.272727272727</v>
      </c>
      <c r="J153" s="38" t="n">
        <v>359.0970114375</v>
      </c>
      <c r="K153" s="39" t="n">
        <f aca="false">IF(OR($A153="",NOT(ISNUMBER($D153)),NOT(ISNUMBER($H153))),"",IF(AND(ISNUMBER($J153),$J153&gt;0),$J153,IF(ISNUMBER($I153),$I153,"")))</f>
        <v>359.0970114375</v>
      </c>
      <c r="L153" s="40" t="n">
        <f aca="false">IF(ISNUMBER($K153),$K153*$H153,"")</f>
        <v>43.0916413725</v>
      </c>
      <c r="M153" s="40" t="n">
        <f aca="false">IF(ISNUMBER($K153),$K153*Parâmetros!$B$4,"")</f>
        <v>35.90970114375</v>
      </c>
      <c r="N153" s="40" t="n">
        <f aca="false">IF(ISNUMBER($K153),$K153*Parâmetros!$C$4,"")</f>
        <v>10.772910343125</v>
      </c>
      <c r="O153" s="40" t="n">
        <f aca="false">IF(ISNUMBER($K153),IF(ISNUMBER(Parâmetros!$E$4),Parâmetros!$E$4,0),"")</f>
        <v>0</v>
      </c>
      <c r="P153" s="41" t="n">
        <f aca="false">IF(ISNUMBER($K153),$K153-$D153-IF(ISNUMBER($E153),$E153,0)-$L153-$M153-$N153-$O153,"")</f>
        <v>64.572758578125</v>
      </c>
      <c r="Q153" s="42" t="n">
        <f aca="false">IF(AND(ISNUMBER($K153),$K153&gt;0),$P153/$K153,"")</f>
        <v>0.179819816153952</v>
      </c>
      <c r="R153" s="43"/>
      <c r="S153" s="44" t="str">
        <f aca="false">IF(OR(NOT(ISNUMBER($R153)),$R153=0,NOT(ISNUMBER($K153))),"",$K153*(1-$R153))</f>
        <v/>
      </c>
      <c r="T153" s="45" t="str">
        <f aca="false">IF(ISNUMBER($S153),$S153*$H153,"")</f>
        <v/>
      </c>
      <c r="U153" s="45" t="str">
        <f aca="false">IF(ISNUMBER($S153),$S153*Parâmetros!$B$4,"")</f>
        <v/>
      </c>
      <c r="V153" s="45" t="str">
        <f aca="false">IF(ISNUMBER($S153),$S153*Parâmetros!$C$4,"")</f>
        <v/>
      </c>
      <c r="W153" s="44" t="str">
        <f aca="false">IF(ISNUMBER($S153),$S153-$D153-IF(ISNUMBER($E153),$E153,0)-$O153-$T153-$U153-$V153,"")</f>
        <v/>
      </c>
      <c r="X153" s="46" t="str">
        <f aca="false">IF(AND(ISNUMBER($S153),$S153&gt;0),$W153/$S153,"")</f>
        <v/>
      </c>
      <c r="Y153" s="49" t="s">
        <v>744</v>
      </c>
      <c r="Z153" s="21"/>
    </row>
    <row r="154" customFormat="false" ht="15.75" hidden="false" customHeight="true" outlineLevel="0" collapsed="false">
      <c r="A154" s="32" t="str">
        <f aca="false">IF(Produtos!$A154="","",Produtos!$A154)</f>
        <v>L2460-CP</v>
      </c>
      <c r="B154" s="32" t="str">
        <f aca="false">IF(Produtos!$A154="","",Produtos!$B154)</f>
        <v>Lixeira Aço inox Coletor de pilhas e baterias 24x60 27L</v>
      </c>
      <c r="C154" s="32" t="str">
        <f aca="false">IF(Produtos!$A154="","",Produtos!$C154)</f>
        <v>Coletores de pilhas</v>
      </c>
      <c r="D154" s="33" t="n">
        <f aca="false">IF(Produtos!$A154="","",IF(Produtos!$D154="","",Produtos!$D154))</f>
        <v>172.67</v>
      </c>
      <c r="E154" s="11" t="n">
        <v>40.85</v>
      </c>
      <c r="F154" s="34" t="n">
        <f aca="false">IF($A154="","",IF($C154="","⚠ categoria",IFERROR(INDEX(Parâmetros!$B$13:$B$22,MATCH($C154,Parâmetros!$A$13:$A$22,0)),"⚠ categoria")))</f>
        <v>0.13</v>
      </c>
      <c r="G154" s="35" t="n">
        <v>0.12</v>
      </c>
      <c r="H154" s="36" t="n">
        <f aca="false">IF($A154="","",IF(ISNUMBER($G154),$G154,IF(ISNUMBER($F154),$F154,"")))</f>
        <v>0.12</v>
      </c>
      <c r="I154" s="37" t="n">
        <f aca="false">IF(OR($A154="",NOT(ISNUMBER($D154)),NOT(ISNUMBER($H154))),"",IF((1-$H154-Parâmetros!$B$4-Parâmetros!$C$4-Parâmetros!$D$4)&lt;=0,"INVALIDO",($D154+IF(ISNUMBER($E154),$E154,0)+IF(ISNUMBER(Parâmetros!$E$4),Parâmetros!$E$4,0))/(1-$H154-Parâmetros!$B$4-Parâmetros!$C$4-Parâmetros!$D$4)))</f>
        <v>388.218181818182</v>
      </c>
      <c r="J154" s="38" t="n">
        <v>389.910094875</v>
      </c>
      <c r="K154" s="39" t="n">
        <f aca="false">IF(OR($A154="",NOT(ISNUMBER($D154)),NOT(ISNUMBER($H154))),"",IF(AND(ISNUMBER($J154),$J154&gt;0),$J154,IF(ISNUMBER($I154),$I154,"")))</f>
        <v>389.910094875</v>
      </c>
      <c r="L154" s="40" t="n">
        <f aca="false">IF(ISNUMBER($K154),$K154*$H154,"")</f>
        <v>46.789211385</v>
      </c>
      <c r="M154" s="40" t="n">
        <f aca="false">IF(ISNUMBER($K154),$K154*Parâmetros!$B$4,"")</f>
        <v>38.9910094875</v>
      </c>
      <c r="N154" s="40" t="n">
        <f aca="false">IF(ISNUMBER($K154),$K154*Parâmetros!$C$4,"")</f>
        <v>11.69730284625</v>
      </c>
      <c r="O154" s="40" t="n">
        <f aca="false">IF(ISNUMBER($K154),IF(ISNUMBER(Parâmetros!$E$4),Parâmetros!$E$4,0),"")</f>
        <v>0</v>
      </c>
      <c r="P154" s="41" t="n">
        <f aca="false">IF(ISNUMBER($K154),$K154-$D154-IF(ISNUMBER($E154),$E154,0)-$L154-$M154-$N154-$O154,"")</f>
        <v>78.9125711562501</v>
      </c>
      <c r="Q154" s="42" t="n">
        <f aca="false">IF(AND(ISNUMBER($K154),$K154&gt;0),$P154/$K154,"")</f>
        <v>0.202386581402947</v>
      </c>
      <c r="R154" s="43"/>
      <c r="S154" s="44" t="str">
        <f aca="false">IF(OR(NOT(ISNUMBER($R154)),$R154=0,NOT(ISNUMBER($K154))),"",$K154*(1-$R154))</f>
        <v/>
      </c>
      <c r="T154" s="45" t="str">
        <f aca="false">IF(ISNUMBER($S154),$S154*$H154,"")</f>
        <v/>
      </c>
      <c r="U154" s="45" t="str">
        <f aca="false">IF(ISNUMBER($S154),$S154*Parâmetros!$B$4,"")</f>
        <v/>
      </c>
      <c r="V154" s="45" t="str">
        <f aca="false">IF(ISNUMBER($S154),$S154*Parâmetros!$C$4,"")</f>
        <v/>
      </c>
      <c r="W154" s="44" t="str">
        <f aca="false">IF(ISNUMBER($S154),$S154-$D154-IF(ISNUMBER($E154),$E154,0)-$O154-$T154-$U154-$V154,"")</f>
        <v/>
      </c>
      <c r="X154" s="46" t="str">
        <f aca="false">IF(AND(ISNUMBER($S154),$S154&gt;0),$W154/$S154,"")</f>
        <v/>
      </c>
      <c r="Y154" s="47" t="s">
        <v>744</v>
      </c>
      <c r="Z154" s="19"/>
    </row>
    <row r="155" customFormat="false" ht="15.75" hidden="false" customHeight="true" outlineLevel="0" collapsed="false">
      <c r="A155" s="48" t="str">
        <f aca="false">IF(Produtos!$A155="","",Produtos!$A155)</f>
        <v>L3040-CP</v>
      </c>
      <c r="B155" s="48" t="str">
        <f aca="false">IF(Produtos!$A155="","",Produtos!$B155)</f>
        <v>Lixeira Aço inox Coletor de pilhas e baterias 30x40 30L</v>
      </c>
      <c r="C155" s="48" t="str">
        <f aca="false">IF(Produtos!$A155="","",Produtos!$C155)</f>
        <v>Coletores de pilhas</v>
      </c>
      <c r="D155" s="33" t="n">
        <f aca="false">IF(Produtos!$A155="","",IF(Produtos!$D155="","",Produtos!$D155))</f>
        <v>157.35</v>
      </c>
      <c r="E155" s="11" t="n">
        <v>40.85</v>
      </c>
      <c r="F155" s="34" t="n">
        <f aca="false">IF($A155="","",IF($C155="","⚠ categoria",IFERROR(INDEX(Parâmetros!$B$13:$B$22,MATCH($C155,Parâmetros!$A$13:$A$22,0)),"⚠ categoria")))</f>
        <v>0.13</v>
      </c>
      <c r="G155" s="35" t="n">
        <v>0.12</v>
      </c>
      <c r="H155" s="36" t="n">
        <f aca="false">IF($A155="","",IF(ISNUMBER($G155),$G155,IF(ISNUMBER($F155),$F155,"")))</f>
        <v>0.12</v>
      </c>
      <c r="I155" s="37" t="n">
        <f aca="false">IF(OR($A155="",NOT(ISNUMBER($D155)),NOT(ISNUMBER($H155))),"",IF((1-$H155-Parâmetros!$B$4-Parâmetros!$C$4-Parâmetros!$D$4)&lt;=0,"INVALIDO",($D155+IF(ISNUMBER($E155),$E155,0)+IF(ISNUMBER(Parâmetros!$E$4),Parâmetros!$E$4,0))/(1-$H155-Parâmetros!$B$4-Parâmetros!$C$4-Parâmetros!$D$4)))</f>
        <v>360.363636363636</v>
      </c>
      <c r="J155" s="38" t="n">
        <v>360.90811575</v>
      </c>
      <c r="K155" s="39" t="n">
        <f aca="false">IF(OR($A155="",NOT(ISNUMBER($D155)),NOT(ISNUMBER($H155))),"",IF(AND(ISNUMBER($J155),$J155&gt;0),$J155,IF(ISNUMBER($I155),$I155,"")))</f>
        <v>360.90811575</v>
      </c>
      <c r="L155" s="40" t="n">
        <f aca="false">IF(ISNUMBER($K155),$K155*$H155,"")</f>
        <v>43.30897389</v>
      </c>
      <c r="M155" s="40" t="n">
        <f aca="false">IF(ISNUMBER($K155),$K155*Parâmetros!$B$4,"")</f>
        <v>36.090811575</v>
      </c>
      <c r="N155" s="40" t="n">
        <f aca="false">IF(ISNUMBER($K155),$K155*Parâmetros!$C$4,"")</f>
        <v>10.8272434725</v>
      </c>
      <c r="O155" s="40" t="n">
        <f aca="false">IF(ISNUMBER($K155),IF(ISNUMBER(Parâmetros!$E$4),Parâmetros!$E$4,0),"")</f>
        <v>0</v>
      </c>
      <c r="P155" s="41" t="n">
        <f aca="false">IF(ISNUMBER($K155),$K155-$D155-IF(ISNUMBER($E155),$E155,0)-$L155-$M155-$N155-$O155,"")</f>
        <v>72.4810868125</v>
      </c>
      <c r="Q155" s="42" t="n">
        <f aca="false">IF(AND(ISNUMBER($K155),$K155&gt;0),$P155/$K155,"")</f>
        <v>0.200829750425195</v>
      </c>
      <c r="R155" s="43"/>
      <c r="S155" s="44" t="str">
        <f aca="false">IF(OR(NOT(ISNUMBER($R155)),$R155=0,NOT(ISNUMBER($K155))),"",$K155*(1-$R155))</f>
        <v/>
      </c>
      <c r="T155" s="45" t="str">
        <f aca="false">IF(ISNUMBER($S155),$S155*$H155,"")</f>
        <v/>
      </c>
      <c r="U155" s="45" t="str">
        <f aca="false">IF(ISNUMBER($S155),$S155*Parâmetros!$B$4,"")</f>
        <v/>
      </c>
      <c r="V155" s="45" t="str">
        <f aca="false">IF(ISNUMBER($S155),$S155*Parâmetros!$C$4,"")</f>
        <v/>
      </c>
      <c r="W155" s="44" t="str">
        <f aca="false">IF(ISNUMBER($S155),$S155-$D155-IF(ISNUMBER($E155),$E155,0)-$O155-$T155-$U155-$V155,"")</f>
        <v/>
      </c>
      <c r="X155" s="46" t="str">
        <f aca="false">IF(AND(ISNUMBER($S155),$S155&gt;0),$W155/$S155,"")</f>
        <v/>
      </c>
      <c r="Y155" s="49" t="s">
        <v>744</v>
      </c>
      <c r="Z155" s="21"/>
    </row>
    <row r="156" customFormat="false" ht="15.75" hidden="false" customHeight="true" outlineLevel="0" collapsed="false">
      <c r="A156" s="32" t="str">
        <f aca="false">IF(Produtos!$A156="","",Produtos!$A156)</f>
        <v>L3050-CP</v>
      </c>
      <c r="B156" s="32" t="str">
        <f aca="false">IF(Produtos!$A156="","",Produtos!$B156)</f>
        <v>Lixeira Aço inox Coletor de pilhas e baterias 30x50 35L</v>
      </c>
      <c r="C156" s="32" t="str">
        <f aca="false">IF(Produtos!$A156="","",Produtos!$C156)</f>
        <v>Coletores de pilhas</v>
      </c>
      <c r="D156" s="33" t="n">
        <f aca="false">IF(Produtos!$A156="","",IF(Produtos!$D156="","",Produtos!$D156))</f>
        <v>203.19</v>
      </c>
      <c r="E156" s="11" t="n">
        <v>49.35</v>
      </c>
      <c r="F156" s="34" t="n">
        <f aca="false">IF($A156="","",IF($C156="","⚠ categoria",IFERROR(INDEX(Parâmetros!$B$13:$B$22,MATCH($C156,Parâmetros!$A$13:$A$22,0)),"⚠ categoria")))</f>
        <v>0.13</v>
      </c>
      <c r="G156" s="35" t="n">
        <v>0.12</v>
      </c>
      <c r="H156" s="36" t="n">
        <f aca="false">IF($A156="","",IF(ISNUMBER($G156),$G156,IF(ISNUMBER($F156),$F156,"")))</f>
        <v>0.12</v>
      </c>
      <c r="I156" s="37" t="n">
        <f aca="false">IF(OR($A156="",NOT(ISNUMBER($D156)),NOT(ISNUMBER($H156))),"",IF((1-$H156-Parâmetros!$B$4-Parâmetros!$C$4-Parâmetros!$D$4)&lt;=0,"INVALIDO",($D156+IF(ISNUMBER($E156),$E156,0)+IF(ISNUMBER(Parâmetros!$E$4),Parâmetros!$E$4,0))/(1-$H156-Parâmetros!$B$4-Parâmetros!$C$4-Parâmetros!$D$4)))</f>
        <v>459.163636363636</v>
      </c>
      <c r="J156" s="38" t="n">
        <v>444.82666725</v>
      </c>
      <c r="K156" s="39" t="n">
        <f aca="false">IF(OR($A156="",NOT(ISNUMBER($D156)),NOT(ISNUMBER($H156))),"",IF(AND(ISNUMBER($J156),$J156&gt;0),$J156,IF(ISNUMBER($I156),$I156,"")))</f>
        <v>444.82666725</v>
      </c>
      <c r="L156" s="40" t="n">
        <f aca="false">IF(ISNUMBER($K156),$K156*$H156,"")</f>
        <v>53.37920007</v>
      </c>
      <c r="M156" s="40" t="n">
        <f aca="false">IF(ISNUMBER($K156),$K156*Parâmetros!$B$4,"")</f>
        <v>44.482666725</v>
      </c>
      <c r="N156" s="40" t="n">
        <f aca="false">IF(ISNUMBER($K156),$K156*Parâmetros!$C$4,"")</f>
        <v>13.3448000175</v>
      </c>
      <c r="O156" s="40" t="n">
        <f aca="false">IF(ISNUMBER($K156),IF(ISNUMBER(Parâmetros!$E$4),Parâmetros!$E$4,0),"")</f>
        <v>0</v>
      </c>
      <c r="P156" s="41" t="n">
        <f aca="false">IF(ISNUMBER($K156),$K156-$D156-IF(ISNUMBER($E156),$E156,0)-$L156-$M156-$N156-$O156,"")</f>
        <v>81.0800004375</v>
      </c>
      <c r="Q156" s="42" t="n">
        <f aca="false">IF(AND(ISNUMBER($K156),$K156&gt;0),$P156/$K156,"")</f>
        <v>0.182273245753793</v>
      </c>
      <c r="R156" s="43"/>
      <c r="S156" s="44" t="str">
        <f aca="false">IF(OR(NOT(ISNUMBER($R156)),$R156=0,NOT(ISNUMBER($K156))),"",$K156*(1-$R156))</f>
        <v/>
      </c>
      <c r="T156" s="45" t="str">
        <f aca="false">IF(ISNUMBER($S156),$S156*$H156,"")</f>
        <v/>
      </c>
      <c r="U156" s="45" t="str">
        <f aca="false">IF(ISNUMBER($S156),$S156*Parâmetros!$B$4,"")</f>
        <v/>
      </c>
      <c r="V156" s="45" t="str">
        <f aca="false">IF(ISNUMBER($S156),$S156*Parâmetros!$C$4,"")</f>
        <v/>
      </c>
      <c r="W156" s="44" t="str">
        <f aca="false">IF(ISNUMBER($S156),$S156-$D156-IF(ISNUMBER($E156),$E156,0)-$O156-$T156-$U156-$V156,"")</f>
        <v/>
      </c>
      <c r="X156" s="46" t="str">
        <f aca="false">IF(AND(ISNUMBER($S156),$S156&gt;0),$W156/$S156,"")</f>
        <v/>
      </c>
      <c r="Y156" s="47" t="s">
        <v>744</v>
      </c>
      <c r="Z156" s="19"/>
    </row>
    <row r="157" customFormat="false" ht="15.75" hidden="false" customHeight="true" outlineLevel="0" collapsed="false">
      <c r="A157" s="48" t="str">
        <f aca="false">IF(Produtos!$A157="","",Produtos!$A157)</f>
        <v>L3060-CP</v>
      </c>
      <c r="B157" s="48" t="str">
        <f aca="false">IF(Produtos!$A157="","",Produtos!$B157)</f>
        <v>Lixeira Aço inox Coletor de pilhas e baterias 30x60 40L</v>
      </c>
      <c r="C157" s="48" t="str">
        <f aca="false">IF(Produtos!$A157="","",Produtos!$C157)</f>
        <v>Coletores de pilhas</v>
      </c>
      <c r="D157" s="33" t="n">
        <f aca="false">IF(Produtos!$A157="","",IF(Produtos!$D157="","",Produtos!$D157))</f>
        <v>205.65</v>
      </c>
      <c r="E157" s="11" t="n">
        <v>50.75</v>
      </c>
      <c r="F157" s="34" t="n">
        <f aca="false">IF($A157="","",IF($C157="","⚠ categoria",IFERROR(INDEX(Parâmetros!$B$13:$B$22,MATCH($C157,Parâmetros!$A$13:$A$22,0)),"⚠ categoria")))</f>
        <v>0.13</v>
      </c>
      <c r="G157" s="35" t="n">
        <v>0.12</v>
      </c>
      <c r="H157" s="36" t="n">
        <f aca="false">IF($A157="","",IF(ISNUMBER($G157),$G157,IF(ISNUMBER($F157),$F157,"")))</f>
        <v>0.12</v>
      </c>
      <c r="I157" s="37" t="n">
        <f aca="false">IF(OR($A157="",NOT(ISNUMBER($D157)),NOT(ISNUMBER($H157))),"",IF((1-$H157-Parâmetros!$B$4-Parâmetros!$C$4-Parâmetros!$D$4)&lt;=0,"INVALIDO",($D157+IF(ISNUMBER($E157),$E157,0)+IF(ISNUMBER(Parâmetros!$E$4),Parâmetros!$E$4,0))/(1-$H157-Parâmetros!$B$4-Parâmetros!$C$4-Parâmetros!$D$4)))</f>
        <v>466.181818181818</v>
      </c>
      <c r="J157" s="38" t="n">
        <v>451.390401</v>
      </c>
      <c r="K157" s="39" t="n">
        <f aca="false">IF(OR($A157="",NOT(ISNUMBER($D157)),NOT(ISNUMBER($H157))),"",IF(AND(ISNUMBER($J157),$J157&gt;0),$J157,IF(ISNUMBER($I157),$I157,"")))</f>
        <v>451.390401</v>
      </c>
      <c r="L157" s="40" t="n">
        <f aca="false">IF(ISNUMBER($K157),$K157*$H157,"")</f>
        <v>54.16684812</v>
      </c>
      <c r="M157" s="40" t="n">
        <f aca="false">IF(ISNUMBER($K157),$K157*Parâmetros!$B$4,"")</f>
        <v>45.1390401</v>
      </c>
      <c r="N157" s="40" t="n">
        <f aca="false">IF(ISNUMBER($K157),$K157*Parâmetros!$C$4,"")</f>
        <v>13.54171203</v>
      </c>
      <c r="O157" s="40" t="n">
        <f aca="false">IF(ISNUMBER($K157),IF(ISNUMBER(Parâmetros!$E$4),Parâmetros!$E$4,0),"")</f>
        <v>0</v>
      </c>
      <c r="P157" s="41" t="n">
        <f aca="false">IF(ISNUMBER($K157),$K157-$D157-IF(ISNUMBER($E157),$E157,0)-$L157-$M157-$N157-$O157,"")</f>
        <v>82.1428007500001</v>
      </c>
      <c r="Q157" s="42" t="n">
        <f aca="false">IF(AND(ISNUMBER($K157),$K157&gt;0),$P157/$K157,"")</f>
        <v>0.181977287439039</v>
      </c>
      <c r="R157" s="43"/>
      <c r="S157" s="44" t="str">
        <f aca="false">IF(OR(NOT(ISNUMBER($R157)),$R157=0,NOT(ISNUMBER($K157))),"",$K157*(1-$R157))</f>
        <v/>
      </c>
      <c r="T157" s="45" t="str">
        <f aca="false">IF(ISNUMBER($S157),$S157*$H157,"")</f>
        <v/>
      </c>
      <c r="U157" s="45" t="str">
        <f aca="false">IF(ISNUMBER($S157),$S157*Parâmetros!$B$4,"")</f>
        <v/>
      </c>
      <c r="V157" s="45" t="str">
        <f aca="false">IF(ISNUMBER($S157),$S157*Parâmetros!$C$4,"")</f>
        <v/>
      </c>
      <c r="W157" s="44" t="str">
        <f aca="false">IF(ISNUMBER($S157),$S157-$D157-IF(ISNUMBER($E157),$E157,0)-$O157-$T157-$U157-$V157,"")</f>
        <v/>
      </c>
      <c r="X157" s="46" t="str">
        <f aca="false">IF(AND(ISNUMBER($S157),$S157&gt;0),$W157/$S157,"")</f>
        <v/>
      </c>
      <c r="Y157" s="49" t="s">
        <v>744</v>
      </c>
      <c r="Z157" s="21"/>
    </row>
    <row r="158" customFormat="false" ht="15.75" hidden="false" customHeight="true" outlineLevel="0" collapsed="false">
      <c r="A158" s="32" t="str">
        <f aca="false">IF(Produtos!$A158="","",Produtos!$A158)</f>
        <v>L3070-CP</v>
      </c>
      <c r="B158" s="32" t="str">
        <f aca="false">IF(Produtos!$A158="","",Produtos!$B158)</f>
        <v>Lixeira Aço inox Coletor de pilhas e baterias 30x70 50L</v>
      </c>
      <c r="C158" s="32" t="str">
        <f aca="false">IF(Produtos!$A158="","",Produtos!$C158)</f>
        <v>Coletores de pilhas</v>
      </c>
      <c r="D158" s="33" t="n">
        <f aca="false">IF(Produtos!$A158="","",IF(Produtos!$D158="","",Produtos!$D158))</f>
        <v>267.58</v>
      </c>
      <c r="E158" s="11" t="n">
        <v>69.35</v>
      </c>
      <c r="F158" s="34" t="n">
        <f aca="false">IF($A158="","",IF($C158="","⚠ categoria",IFERROR(INDEX(Parâmetros!$B$13:$B$22,MATCH($C158,Parâmetros!$A$13:$A$22,0)),"⚠ categoria")))</f>
        <v>0.13</v>
      </c>
      <c r="G158" s="35" t="n">
        <v>0.12</v>
      </c>
      <c r="H158" s="36" t="n">
        <f aca="false">IF($A158="","",IF(ISNUMBER($G158),$G158,IF(ISNUMBER($F158),$F158,"")))</f>
        <v>0.12</v>
      </c>
      <c r="I158" s="37" t="n">
        <f aca="false">IF(OR($A158="",NOT(ISNUMBER($D158)),NOT(ISNUMBER($H158))),"",IF((1-$H158-Parâmetros!$B$4-Parâmetros!$C$4-Parâmetros!$D$4)&lt;=0,"INVALIDO",($D158+IF(ISNUMBER($E158),$E158,0)+IF(ISNUMBER(Parâmetros!$E$4),Parâmetros!$E$4,0))/(1-$H158-Parâmetros!$B$4-Parâmetros!$C$4-Parâmetros!$D$4)))</f>
        <v>612.6</v>
      </c>
      <c r="J158" s="38" t="n">
        <v>594.3460910625</v>
      </c>
      <c r="K158" s="39" t="n">
        <f aca="false">IF(OR($A158="",NOT(ISNUMBER($D158)),NOT(ISNUMBER($H158))),"",IF(AND(ISNUMBER($J158),$J158&gt;0),$J158,IF(ISNUMBER($I158),$I158,"")))</f>
        <v>594.3460910625</v>
      </c>
      <c r="L158" s="40" t="n">
        <f aca="false">IF(ISNUMBER($K158),$K158*$H158,"")</f>
        <v>71.3215309275</v>
      </c>
      <c r="M158" s="40" t="n">
        <f aca="false">IF(ISNUMBER($K158),$K158*Parâmetros!$B$4,"")</f>
        <v>59.43460910625</v>
      </c>
      <c r="N158" s="40" t="n">
        <f aca="false">IF(ISNUMBER($K158),$K158*Parâmetros!$C$4,"")</f>
        <v>17.830382731875</v>
      </c>
      <c r="O158" s="40" t="n">
        <f aca="false">IF(ISNUMBER($K158),IF(ISNUMBER(Parâmetros!$E$4),Parâmetros!$E$4,0),"")</f>
        <v>0</v>
      </c>
      <c r="P158" s="41" t="n">
        <f aca="false">IF(ISNUMBER($K158),$K158-$D158-IF(ISNUMBER($E158),$E158,0)-$L158-$M158-$N158-$O158,"")</f>
        <v>108.829568296875</v>
      </c>
      <c r="Q158" s="42" t="n">
        <f aca="false">IF(AND(ISNUMBER($K158),$K158&gt;0),$P158/$K158,"")</f>
        <v>0.183108074459315</v>
      </c>
      <c r="R158" s="43"/>
      <c r="S158" s="44" t="str">
        <f aca="false">IF(OR(NOT(ISNUMBER($R158)),$R158=0,NOT(ISNUMBER($K158))),"",$K158*(1-$R158))</f>
        <v/>
      </c>
      <c r="T158" s="45" t="str">
        <f aca="false">IF(ISNUMBER($S158),$S158*$H158,"")</f>
        <v/>
      </c>
      <c r="U158" s="45" t="str">
        <f aca="false">IF(ISNUMBER($S158),$S158*Parâmetros!$B$4,"")</f>
        <v/>
      </c>
      <c r="V158" s="45" t="str">
        <f aca="false">IF(ISNUMBER($S158),$S158*Parâmetros!$C$4,"")</f>
        <v/>
      </c>
      <c r="W158" s="44" t="str">
        <f aca="false">IF(ISNUMBER($S158),$S158-$D158-IF(ISNUMBER($E158),$E158,0)-$O158-$T158-$U158-$V158,"")</f>
        <v/>
      </c>
      <c r="X158" s="46" t="str">
        <f aca="false">IF(AND(ISNUMBER($S158),$S158&gt;0),$W158/$S158,"")</f>
        <v/>
      </c>
      <c r="Y158" s="47" t="s">
        <v>744</v>
      </c>
      <c r="Z158" s="19"/>
    </row>
    <row r="159" customFormat="false" ht="15.75" hidden="false" customHeight="true" outlineLevel="0" collapsed="false">
      <c r="A159" s="48" t="str">
        <f aca="false">IF(Produtos!$A159="","",Produtos!$A159)</f>
        <v>EGC</v>
      </c>
      <c r="B159" s="48" t="str">
        <f aca="false">IF(Produtos!$A159="","",Produtos!$B159)</f>
        <v>Ensacador Guarda-chuvas c/150 saquinhos</v>
      </c>
      <c r="C159" s="48" t="str">
        <f aca="false">IF(Produtos!$A159="","",Produtos!$C159)</f>
        <v>Ensacadores</v>
      </c>
      <c r="D159" s="33" t="n">
        <f aca="false">IF(Produtos!$A159="","",IF(Produtos!$D159="","",Produtos!$D159))</f>
        <v>365.7</v>
      </c>
      <c r="E159" s="11" t="n">
        <v>69.35</v>
      </c>
      <c r="F159" s="34" t="n">
        <f aca="false">IF($A159="","",IF($C159="","⚠ categoria",IFERROR(INDEX(Parâmetros!$B$13:$B$22,MATCH($C159,Parâmetros!$A$13:$A$22,0)),"⚠ categoria")))</f>
        <v>0.13</v>
      </c>
      <c r="G159" s="35" t="n">
        <v>0.115</v>
      </c>
      <c r="H159" s="36" t="n">
        <f aca="false">IF($A159="","",IF(ISNUMBER($G159),$G159,IF(ISNUMBER($F159),$F159,"")))</f>
        <v>0.115</v>
      </c>
      <c r="I159" s="37" t="n">
        <f aca="false">IF(OR($A159="",NOT(ISNUMBER($D159)),NOT(ISNUMBER($H159))),"",IF((1-$H159-Parâmetros!$B$4-Parâmetros!$C$4-Parâmetros!$D$4)&lt;=0,"INVALIDO",($D159+IF(ISNUMBER($E159),$E159,0)+IF(ISNUMBER(Parâmetros!$E$4),Parâmetros!$E$4,0))/(1-$H159-Parâmetros!$B$4-Parâmetros!$C$4-Parâmetros!$D$4)))</f>
        <v>783.873873873874</v>
      </c>
      <c r="J159" s="38" t="n">
        <v>777.9604651875</v>
      </c>
      <c r="K159" s="39" t="n">
        <f aca="false">IF(OR($A159="",NOT(ISNUMBER($D159)),NOT(ISNUMBER($H159))),"",IF(AND(ISNUMBER($J159),$J159&gt;0),$J159,IF(ISNUMBER($I159),$I159,"")))</f>
        <v>777.9604651875</v>
      </c>
      <c r="L159" s="40" t="n">
        <f aca="false">IF(ISNUMBER($K159),$K159*$H159,"")</f>
        <v>89.4654534965625</v>
      </c>
      <c r="M159" s="40" t="n">
        <f aca="false">IF(ISNUMBER($K159),$K159*Parâmetros!$B$4,"")</f>
        <v>77.79604651875</v>
      </c>
      <c r="N159" s="40" t="n">
        <f aca="false">IF(ISNUMBER($K159),$K159*Parâmetros!$C$4,"")</f>
        <v>23.338813955625</v>
      </c>
      <c r="O159" s="40" t="n">
        <f aca="false">IF(ISNUMBER($K159),IF(ISNUMBER(Parâmetros!$E$4),Parâmetros!$E$4,0),"")</f>
        <v>0</v>
      </c>
      <c r="P159" s="41" t="n">
        <f aca="false">IF(ISNUMBER($K159),$K159-$D159-IF(ISNUMBER($E159),$E159,0)-$L159-$M159-$N159-$O159,"")</f>
        <v>152.310151216563</v>
      </c>
      <c r="Q159" s="42" t="n">
        <f aca="false">IF(AND(ISNUMBER($K159),$K159&gt;0),$P159/$K159,"")</f>
        <v>0.195781351408202</v>
      </c>
      <c r="R159" s="43"/>
      <c r="S159" s="44" t="str">
        <f aca="false">IF(OR(NOT(ISNUMBER($R159)),$R159=0,NOT(ISNUMBER($K159))),"",$K159*(1-$R159))</f>
        <v/>
      </c>
      <c r="T159" s="45" t="str">
        <f aca="false">IF(ISNUMBER($S159),$S159*$H159,"")</f>
        <v/>
      </c>
      <c r="U159" s="45" t="str">
        <f aca="false">IF(ISNUMBER($S159),$S159*Parâmetros!$B$4,"")</f>
        <v/>
      </c>
      <c r="V159" s="45" t="str">
        <f aca="false">IF(ISNUMBER($S159),$S159*Parâmetros!$C$4,"")</f>
        <v/>
      </c>
      <c r="W159" s="44" t="str">
        <f aca="false">IF(ISNUMBER($S159),$S159-$D159-IF(ISNUMBER($E159),$E159,0)-$O159-$T159-$U159-$V159,"")</f>
        <v/>
      </c>
      <c r="X159" s="46" t="str">
        <f aca="false">IF(AND(ISNUMBER($S159),$S159&gt;0),$W159/$S159,"")</f>
        <v/>
      </c>
      <c r="Y159" s="49" t="s">
        <v>741</v>
      </c>
      <c r="Z159" s="21"/>
    </row>
    <row r="160" customFormat="false" ht="15.75" hidden="false" customHeight="true" outlineLevel="0" collapsed="false">
      <c r="A160" s="32" t="str">
        <f aca="false">IF(Produtos!$A160="","",Produtos!$A160)</f>
        <v>REGC</v>
      </c>
      <c r="B160" s="32" t="str">
        <f aca="false">IF(Produtos!$A160="","",Produtos!$B160)</f>
        <v>Refil Ensacador c/1000 saquinhos</v>
      </c>
      <c r="C160" s="32" t="str">
        <f aca="false">IF(Produtos!$A160="","",Produtos!$C160)</f>
        <v>Ensacadores</v>
      </c>
      <c r="D160" s="33" t="n">
        <f aca="false">IF(Produtos!$A160="","",IF(Produtos!$D160="","",Produtos!$D160))</f>
        <v>271.36</v>
      </c>
      <c r="E160" s="11" t="n">
        <v>25.55</v>
      </c>
      <c r="F160" s="34" t="n">
        <f aca="false">IF($A160="","",IF($C160="","⚠ categoria",IFERROR(INDEX(Parâmetros!$B$13:$B$22,MATCH($C160,Parâmetros!$A$13:$A$22,0)),"⚠ categoria")))</f>
        <v>0.13</v>
      </c>
      <c r="G160" s="35" t="n">
        <v>0.105</v>
      </c>
      <c r="H160" s="36" t="n">
        <f aca="false">IF($A160="","",IF(ISNUMBER($G160),$G160,IF(ISNUMBER($F160),$F160,"")))</f>
        <v>0.105</v>
      </c>
      <c r="I160" s="37" t="n">
        <f aca="false">IF(OR($A160="",NOT(ISNUMBER($D160)),NOT(ISNUMBER($H160))),"",IF((1-$H160-Parâmetros!$B$4-Parâmetros!$C$4-Parâmetros!$D$4)&lt;=0,"INVALIDO",($D160+IF(ISNUMBER($E160),$E160,0)+IF(ISNUMBER(Parâmetros!$E$4),Parâmetros!$E$4,0))/(1-$H160-Parâmetros!$B$4-Parâmetros!$C$4-Parâmetros!$D$4)))</f>
        <v>525.504424778761</v>
      </c>
      <c r="J160" s="38" t="n">
        <v>489.0832498125</v>
      </c>
      <c r="K160" s="39" t="n">
        <f aca="false">IF(OR($A160="",NOT(ISNUMBER($D160)),NOT(ISNUMBER($H160))),"",IF(AND(ISNUMBER($J160),$J160&gt;0),$J160,IF(ISNUMBER($I160),$I160,"")))</f>
        <v>489.0832498125</v>
      </c>
      <c r="L160" s="40" t="n">
        <f aca="false">IF(ISNUMBER($K160),$K160*$H160,"")</f>
        <v>51.3537412303125</v>
      </c>
      <c r="M160" s="40" t="n">
        <f aca="false">IF(ISNUMBER($K160),$K160*Parâmetros!$B$4,"")</f>
        <v>48.90832498125</v>
      </c>
      <c r="N160" s="40" t="n">
        <f aca="false">IF(ISNUMBER($K160),$K160*Parâmetros!$C$4,"")</f>
        <v>14.672497494375</v>
      </c>
      <c r="O160" s="40" t="n">
        <f aca="false">IF(ISNUMBER($K160),IF(ISNUMBER(Parâmetros!$E$4),Parâmetros!$E$4,0),"")</f>
        <v>0</v>
      </c>
      <c r="P160" s="41" t="n">
        <f aca="false">IF(ISNUMBER($K160),$K160-$D160-IF(ISNUMBER($E160),$E160,0)-$L160-$M160-$N160-$O160,"")</f>
        <v>77.2386861065626</v>
      </c>
      <c r="Q160" s="42" t="n">
        <f aca="false">IF(AND(ISNUMBER($K160),$K160&gt;0),$P160/$K160,"")</f>
        <v>0.157925437307807</v>
      </c>
      <c r="R160" s="43"/>
      <c r="S160" s="44" t="str">
        <f aca="false">IF(OR(NOT(ISNUMBER($R160)),$R160=0,NOT(ISNUMBER($K160))),"",$K160*(1-$R160))</f>
        <v/>
      </c>
      <c r="T160" s="45" t="str">
        <f aca="false">IF(ISNUMBER($S160),$S160*$H160,"")</f>
        <v/>
      </c>
      <c r="U160" s="45" t="str">
        <f aca="false">IF(ISNUMBER($S160),$S160*Parâmetros!$B$4,"")</f>
        <v/>
      </c>
      <c r="V160" s="45" t="str">
        <f aca="false">IF(ISNUMBER($S160),$S160*Parâmetros!$C$4,"")</f>
        <v/>
      </c>
      <c r="W160" s="44" t="str">
        <f aca="false">IF(ISNUMBER($S160),$S160-$D160-IF(ISNUMBER($E160),$E160,0)-$O160-$T160-$U160-$V160,"")</f>
        <v/>
      </c>
      <c r="X160" s="46" t="str">
        <f aca="false">IF(AND(ISNUMBER($S160),$S160&gt;0),$W160/$S160,"")</f>
        <v/>
      </c>
      <c r="Y160" s="47" t="s">
        <v>741</v>
      </c>
      <c r="Z160" s="19"/>
    </row>
    <row r="161" customFormat="false" ht="15.75" hidden="false" customHeight="true" outlineLevel="0" collapsed="false">
      <c r="A161" s="48" t="str">
        <f aca="false">IF(Produtos!$A161="","",Produtos!$A161)</f>
        <v>PG2450</v>
      </c>
      <c r="B161" s="48" t="str">
        <f aca="false">IF(Produtos!$A161="","",Produtos!$B161)</f>
        <v>Porta Guarda-chuvas 24x50</v>
      </c>
      <c r="C161" s="48" t="str">
        <f aca="false">IF(Produtos!$A161="","",Produtos!$C161)</f>
        <v>Porta-guarda-chuvas</v>
      </c>
      <c r="D161" s="33" t="n">
        <f aca="false">IF(Produtos!$A161="","",IF(Produtos!$D161="","",Produtos!$D161))</f>
        <v>122.9</v>
      </c>
      <c r="E161" s="11" t="n">
        <v>40.85</v>
      </c>
      <c r="F161" s="34" t="n">
        <f aca="false">IF($A161="","",IF($C161="","⚠ categoria",IFERROR(INDEX(Parâmetros!$B$13:$B$22,MATCH($C161,Parâmetros!$A$13:$A$22,0)),"⚠ categoria")))</f>
        <v>0.13</v>
      </c>
      <c r="G161" s="35" t="n">
        <v>0.105</v>
      </c>
      <c r="H161" s="36" t="n">
        <f aca="false">IF($A161="","",IF(ISNUMBER($G161),$G161,IF(ISNUMBER($F161),$F161,"")))</f>
        <v>0.105</v>
      </c>
      <c r="I161" s="37" t="n">
        <f aca="false">IF(OR($A161="",NOT(ISNUMBER($D161)),NOT(ISNUMBER($H161))),"",IF((1-$H161-Parâmetros!$B$4-Parâmetros!$C$4-Parâmetros!$D$4)&lt;=0,"INVALIDO",($D161+IF(ISNUMBER($E161),$E161,0)+IF(ISNUMBER(Parâmetros!$E$4),Parâmetros!$E$4,0))/(1-$H161-Parâmetros!$B$4-Parâmetros!$C$4-Parâmetros!$D$4)))</f>
        <v>289.823008849558</v>
      </c>
      <c r="J161" s="38" t="n">
        <v>263.789166375</v>
      </c>
      <c r="K161" s="39" t="n">
        <f aca="false">IF(OR($A161="",NOT(ISNUMBER($D161)),NOT(ISNUMBER($H161))),"",IF(AND(ISNUMBER($J161),$J161&gt;0),$J161,IF(ISNUMBER($I161),$I161,"")))</f>
        <v>263.789166375</v>
      </c>
      <c r="L161" s="40" t="n">
        <f aca="false">IF(ISNUMBER($K161),$K161*$H161,"")</f>
        <v>27.697862469375</v>
      </c>
      <c r="M161" s="40" t="n">
        <f aca="false">IF(ISNUMBER($K161),$K161*Parâmetros!$B$4,"")</f>
        <v>26.3789166375</v>
      </c>
      <c r="N161" s="40" t="n">
        <f aca="false">IF(ISNUMBER($K161),$K161*Parâmetros!$C$4,"")</f>
        <v>7.91367499125</v>
      </c>
      <c r="O161" s="40" t="n">
        <f aca="false">IF(ISNUMBER($K161),IF(ISNUMBER(Parâmetros!$E$4),Parâmetros!$E$4,0),"")</f>
        <v>0</v>
      </c>
      <c r="P161" s="41" t="n">
        <f aca="false">IF(ISNUMBER($K161),$K161-$D161-IF(ISNUMBER($E161),$E161,0)-$L161-$M161-$N161-$O161,"")</f>
        <v>38.048712276875</v>
      </c>
      <c r="Q161" s="42" t="n">
        <f aca="false">IF(AND(ISNUMBER($K161),$K161&gt;0),$P161/$K161,"")</f>
        <v>0.144239101247946</v>
      </c>
      <c r="R161" s="43"/>
      <c r="S161" s="44" t="str">
        <f aca="false">IF(OR(NOT(ISNUMBER($R161)),$R161=0,NOT(ISNUMBER($K161))),"",$K161*(1-$R161))</f>
        <v/>
      </c>
      <c r="T161" s="45" t="str">
        <f aca="false">IF(ISNUMBER($S161),$S161*$H161,"")</f>
        <v/>
      </c>
      <c r="U161" s="45" t="str">
        <f aca="false">IF(ISNUMBER($S161),$S161*Parâmetros!$B$4,"")</f>
        <v/>
      </c>
      <c r="V161" s="45" t="str">
        <f aca="false">IF(ISNUMBER($S161),$S161*Parâmetros!$C$4,"")</f>
        <v/>
      </c>
      <c r="W161" s="44" t="str">
        <f aca="false">IF(ISNUMBER($S161),$S161-$D161-IF(ISNUMBER($E161),$E161,0)-$O161-$T161-$U161-$V161,"")</f>
        <v/>
      </c>
      <c r="X161" s="46" t="str">
        <f aca="false">IF(AND(ISNUMBER($S161),$S161&gt;0),$W161/$S161,"")</f>
        <v/>
      </c>
      <c r="Y161" s="49" t="s">
        <v>741</v>
      </c>
      <c r="Z161" s="21"/>
    </row>
    <row r="162" customFormat="false" ht="15.75" hidden="false" customHeight="true" outlineLevel="0" collapsed="false">
      <c r="A162" s="32" t="str">
        <f aca="false">IF(Produtos!$A162="","",Produtos!$A162)</f>
        <v>PG2460</v>
      </c>
      <c r="B162" s="32" t="str">
        <f aca="false">IF(Produtos!$A162="","",Produtos!$B162)</f>
        <v>Porta Guarda-chuvas 24x60</v>
      </c>
      <c r="C162" s="32" t="str">
        <f aca="false">IF(Produtos!$A162="","",Produtos!$C162)</f>
        <v>Porta-guarda-chuvas</v>
      </c>
      <c r="D162" s="33" t="n">
        <f aca="false">IF(Produtos!$A162="","",IF(Produtos!$D162="","",Produtos!$D162))</f>
        <v>124.42</v>
      </c>
      <c r="E162" s="11" t="n">
        <v>40.85</v>
      </c>
      <c r="F162" s="34" t="n">
        <f aca="false">IF($A162="","",IF($C162="","⚠ categoria",IFERROR(INDEX(Parâmetros!$B$13:$B$22,MATCH($C162,Parâmetros!$A$13:$A$22,0)),"⚠ categoria")))</f>
        <v>0.13</v>
      </c>
      <c r="G162" s="35" t="n">
        <v>0.105</v>
      </c>
      <c r="H162" s="36" t="n">
        <f aca="false">IF($A162="","",IF(ISNUMBER($G162),$G162,IF(ISNUMBER($F162),$F162,"")))</f>
        <v>0.105</v>
      </c>
      <c r="I162" s="37" t="n">
        <f aca="false">IF(OR($A162="",NOT(ISNUMBER($D162)),NOT(ISNUMBER($H162))),"",IF((1-$H162-Parâmetros!$B$4-Parâmetros!$C$4-Parâmetros!$D$4)&lt;=0,"INVALIDO",($D162+IF(ISNUMBER($E162),$E162,0)+IF(ISNUMBER(Parâmetros!$E$4),Parâmetros!$E$4,0))/(1-$H162-Parâmetros!$B$4-Parâmetros!$C$4-Parâmetros!$D$4)))</f>
        <v>292.513274336283</v>
      </c>
      <c r="J162" s="38" t="n">
        <v>287.96</v>
      </c>
      <c r="K162" s="39" t="n">
        <f aca="false">IF(OR($A162="",NOT(ISNUMBER($D162)),NOT(ISNUMBER($H162))),"",IF(AND(ISNUMBER($J162),$J162&gt;0),$J162,IF(ISNUMBER($I162),$I162,"")))</f>
        <v>287.96</v>
      </c>
      <c r="L162" s="40" t="n">
        <f aca="false">IF(ISNUMBER($K162),$K162*$H162,"")</f>
        <v>30.2358</v>
      </c>
      <c r="M162" s="40" t="n">
        <f aca="false">IF(ISNUMBER($K162),$K162*Parâmetros!$B$4,"")</f>
        <v>28.796</v>
      </c>
      <c r="N162" s="40" t="n">
        <f aca="false">IF(ISNUMBER($K162),$K162*Parâmetros!$C$4,"")</f>
        <v>8.6388</v>
      </c>
      <c r="O162" s="40" t="n">
        <f aca="false">IF(ISNUMBER($K162),IF(ISNUMBER(Parâmetros!$E$4),Parâmetros!$E$4,0),"")</f>
        <v>0</v>
      </c>
      <c r="P162" s="41" t="n">
        <f aca="false">IF(ISNUMBER($K162),$K162-$D162-IF(ISNUMBER($E162),$E162,0)-$L162-$M162-$N162-$O162,"")</f>
        <v>55.0194</v>
      </c>
      <c r="Q162" s="42" t="n">
        <f aca="false">IF(AND(ISNUMBER($K162),$K162&gt;0),$P162/$K162,"")</f>
        <v>0.191066120294485</v>
      </c>
      <c r="R162" s="43"/>
      <c r="S162" s="44" t="str">
        <f aca="false">IF(OR(NOT(ISNUMBER($R162)),$R162=0,NOT(ISNUMBER($K162))),"",$K162*(1-$R162))</f>
        <v/>
      </c>
      <c r="T162" s="45" t="str">
        <f aca="false">IF(ISNUMBER($S162),$S162*$H162,"")</f>
        <v/>
      </c>
      <c r="U162" s="45" t="str">
        <f aca="false">IF(ISNUMBER($S162),$S162*Parâmetros!$B$4,"")</f>
        <v/>
      </c>
      <c r="V162" s="45" t="str">
        <f aca="false">IF(ISNUMBER($S162),$S162*Parâmetros!$C$4,"")</f>
        <v/>
      </c>
      <c r="W162" s="44" t="str">
        <f aca="false">IF(ISNUMBER($S162),$S162-$D162-IF(ISNUMBER($E162),$E162,0)-$O162-$T162-$U162-$V162,"")</f>
        <v/>
      </c>
      <c r="X162" s="46" t="str">
        <f aca="false">IF(AND(ISNUMBER($S162),$S162&gt;0),$W162/$S162,"")</f>
        <v/>
      </c>
      <c r="Y162" s="47" t="s">
        <v>741</v>
      </c>
      <c r="Z162" s="19"/>
    </row>
    <row r="163" customFormat="false" ht="15.75" hidden="false" customHeight="true" outlineLevel="0" collapsed="false">
      <c r="A163" s="48" t="str">
        <f aca="false">IF(Produtos!$A163="","",Produtos!$A163)</f>
        <v>PG2470</v>
      </c>
      <c r="B163" s="48" t="str">
        <f aca="false">IF(Produtos!$A163="","",Produtos!$B163)</f>
        <v>Porta Guarda-chuvas 24x70</v>
      </c>
      <c r="C163" s="48" t="str">
        <f aca="false">IF(Produtos!$A163="","",Produtos!$C163)</f>
        <v>Porta-guarda-chuvas</v>
      </c>
      <c r="D163" s="33" t="n">
        <f aca="false">IF(Produtos!$A163="","",IF(Produtos!$D163="","",Produtos!$D163))</f>
        <v>194.41</v>
      </c>
      <c r="E163" s="11" t="n">
        <v>50.75</v>
      </c>
      <c r="F163" s="34" t="n">
        <f aca="false">IF($A163="","",IF($C163="","⚠ categoria",IFERROR(INDEX(Parâmetros!$B$13:$B$22,MATCH($C163,Parâmetros!$A$13:$A$22,0)),"⚠ categoria")))</f>
        <v>0.13</v>
      </c>
      <c r="G163" s="35" t="n">
        <v>0.105</v>
      </c>
      <c r="H163" s="36" t="n">
        <f aca="false">IF($A163="","",IF(ISNUMBER($G163),$G163,IF(ISNUMBER($F163),$F163,"")))</f>
        <v>0.105</v>
      </c>
      <c r="I163" s="37" t="n">
        <f aca="false">IF(OR($A163="",NOT(ISNUMBER($D163)),NOT(ISNUMBER($H163))),"",IF((1-$H163-Parâmetros!$B$4-Parâmetros!$C$4-Parâmetros!$D$4)&lt;=0,"INVALIDO",($D163+IF(ISNUMBER($E163),$E163,0)+IF(ISNUMBER(Parâmetros!$E$4),Parâmetros!$E$4,0))/(1-$H163-Parâmetros!$B$4-Parâmetros!$C$4-Parâmetros!$D$4)))</f>
        <v>433.911504424779</v>
      </c>
      <c r="J163" s="38" t="n">
        <v>410.30628975</v>
      </c>
      <c r="K163" s="39" t="n">
        <f aca="false">IF(OR($A163="",NOT(ISNUMBER($D163)),NOT(ISNUMBER($H163))),"",IF(AND(ISNUMBER($J163),$J163&gt;0),$J163,IF(ISNUMBER($I163),$I163,"")))</f>
        <v>410.30628975</v>
      </c>
      <c r="L163" s="40" t="n">
        <f aca="false">IF(ISNUMBER($K163),$K163*$H163,"")</f>
        <v>43.08216042375</v>
      </c>
      <c r="M163" s="40" t="n">
        <f aca="false">IF(ISNUMBER($K163),$K163*Parâmetros!$B$4,"")</f>
        <v>41.030628975</v>
      </c>
      <c r="N163" s="40" t="n">
        <f aca="false">IF(ISNUMBER($K163),$K163*Parâmetros!$C$4,"")</f>
        <v>12.3091886925</v>
      </c>
      <c r="O163" s="40" t="n">
        <f aca="false">IF(ISNUMBER($K163),IF(ISNUMBER(Parâmetros!$E$4),Parâmetros!$E$4,0),"")</f>
        <v>0</v>
      </c>
      <c r="P163" s="41" t="n">
        <f aca="false">IF(ISNUMBER($K163),$K163-$D163-IF(ISNUMBER($E163),$E163,0)-$L163-$M163-$N163-$O163,"")</f>
        <v>68.72431165875</v>
      </c>
      <c r="Q163" s="42" t="n">
        <f aca="false">IF(AND(ISNUMBER($K163),$K163&gt;0),$P163/$K163,"")</f>
        <v>0.16749514539644</v>
      </c>
      <c r="R163" s="43"/>
      <c r="S163" s="44" t="str">
        <f aca="false">IF(OR(NOT(ISNUMBER($R163)),$R163=0,NOT(ISNUMBER($K163))),"",$K163*(1-$R163))</f>
        <v/>
      </c>
      <c r="T163" s="45" t="str">
        <f aca="false">IF(ISNUMBER($S163),$S163*$H163,"")</f>
        <v/>
      </c>
      <c r="U163" s="45" t="str">
        <f aca="false">IF(ISNUMBER($S163),$S163*Parâmetros!$B$4,"")</f>
        <v/>
      </c>
      <c r="V163" s="45" t="str">
        <f aca="false">IF(ISNUMBER($S163),$S163*Parâmetros!$C$4,"")</f>
        <v/>
      </c>
      <c r="W163" s="44" t="str">
        <f aca="false">IF(ISNUMBER($S163),$S163-$D163-IF(ISNUMBER($E163),$E163,0)-$O163-$T163-$U163-$V163,"")</f>
        <v/>
      </c>
      <c r="X163" s="46" t="str">
        <f aca="false">IF(AND(ISNUMBER($S163),$S163&gt;0),$W163/$S163,"")</f>
        <v/>
      </c>
      <c r="Y163" s="49" t="s">
        <v>741</v>
      </c>
      <c r="Z163" s="21"/>
    </row>
    <row r="164" customFormat="false" ht="15.75" hidden="false" customHeight="true" outlineLevel="0" collapsed="false">
      <c r="A164" s="32" t="str">
        <f aca="false">IF(Produtos!$A164="","",Produtos!$A164)</f>
        <v>PG3060</v>
      </c>
      <c r="B164" s="32" t="str">
        <f aca="false">IF(Produtos!$A164="","",Produtos!$B164)</f>
        <v>Porta Guarda-chuvas 30x60</v>
      </c>
      <c r="C164" s="32" t="str">
        <f aca="false">IF(Produtos!$A164="","",Produtos!$C164)</f>
        <v>Porta-guarda-chuvas</v>
      </c>
      <c r="D164" s="33" t="n">
        <f aca="false">IF(Produtos!$A164="","",IF(Produtos!$D164="","",Produtos!$D164))</f>
        <v>170.08</v>
      </c>
      <c r="E164" s="11"/>
      <c r="F164" s="34" t="n">
        <f aca="false">IF($A164="","",IF($C164="","⚠ categoria",IFERROR(INDEX(Parâmetros!$B$13:$B$22,MATCH($C164,Parâmetros!$A$13:$A$22,0)),"⚠ categoria")))</f>
        <v>0.13</v>
      </c>
      <c r="G164" s="35"/>
      <c r="H164" s="36" t="n">
        <f aca="false">IF($A164="","",IF(ISNUMBER($G164),$G164,IF(ISNUMBER($F164),$F164,"")))</f>
        <v>0.13</v>
      </c>
      <c r="I164" s="37" t="n">
        <f aca="false">IF(OR($A164="",NOT(ISNUMBER($D164)),NOT(ISNUMBER($H164))),"",IF((1-$H164-Parâmetros!$B$4-Parâmetros!$C$4-Parâmetros!$D$4)&lt;=0,"INVALIDO",($D164+IF(ISNUMBER($E164),$E164,0)+IF(ISNUMBER(Parâmetros!$E$4),Parâmetros!$E$4,0))/(1-$H164-Parâmetros!$B$4-Parâmetros!$C$4-Parâmetros!$D$4)))</f>
        <v>314.962962962963</v>
      </c>
      <c r="J164" s="38"/>
      <c r="K164" s="39" t="n">
        <f aca="false">IF(OR($A164="",NOT(ISNUMBER($D164)),NOT(ISNUMBER($H164))),"",IF(AND(ISNUMBER($J164),$J164&gt;0),$J164,IF(ISNUMBER($I164),$I164,"")))</f>
        <v>314.962962962963</v>
      </c>
      <c r="L164" s="40" t="n">
        <f aca="false">IF(ISNUMBER($K164),$K164*$H164,"")</f>
        <v>40.9451851851852</v>
      </c>
      <c r="M164" s="40" t="n">
        <f aca="false">IF(ISNUMBER($K164),$K164*Parâmetros!$B$4,"")</f>
        <v>31.4962962962963</v>
      </c>
      <c r="N164" s="40" t="n">
        <f aca="false">IF(ISNUMBER($K164),$K164*Parâmetros!$C$4,"")</f>
        <v>9.44888888888889</v>
      </c>
      <c r="O164" s="40" t="n">
        <f aca="false">IF(ISNUMBER($K164),IF(ISNUMBER(Parâmetros!$E$4),Parâmetros!$E$4,0),"")</f>
        <v>0</v>
      </c>
      <c r="P164" s="41" t="n">
        <f aca="false">IF(ISNUMBER($K164),$K164-$D164-IF(ISNUMBER($E164),$E164,0)-$L164-$M164-$N164-$O164,"")</f>
        <v>62.9925925925926</v>
      </c>
      <c r="Q164" s="42" t="n">
        <f aca="false">IF(AND(ISNUMBER($K164),$K164&gt;0),$P164/$K164,"")</f>
        <v>0.2</v>
      </c>
      <c r="R164" s="43"/>
      <c r="S164" s="44" t="str">
        <f aca="false">IF(OR(NOT(ISNUMBER($R164)),$R164=0,NOT(ISNUMBER($K164))),"",$K164*(1-$R164))</f>
        <v/>
      </c>
      <c r="T164" s="45" t="str">
        <f aca="false">IF(ISNUMBER($S164),$S164*$H164,"")</f>
        <v/>
      </c>
      <c r="U164" s="45" t="str">
        <f aca="false">IF(ISNUMBER($S164),$S164*Parâmetros!$B$4,"")</f>
        <v/>
      </c>
      <c r="V164" s="45" t="str">
        <f aca="false">IF(ISNUMBER($S164),$S164*Parâmetros!$C$4,"")</f>
        <v/>
      </c>
      <c r="W164" s="44" t="str">
        <f aca="false">IF(ISNUMBER($S164),$S164-$D164-IF(ISNUMBER($E164),$E164,0)-$O164-$T164-$U164-$V164,"")</f>
        <v/>
      </c>
      <c r="X164" s="46" t="str">
        <f aca="false">IF(AND(ISNUMBER($S164),$S164&gt;0),$W164/$S164,"")</f>
        <v/>
      </c>
      <c r="Y164" s="47"/>
      <c r="Z164" s="19"/>
    </row>
    <row r="165" customFormat="false" ht="15.75" hidden="false" customHeight="true" outlineLevel="0" collapsed="false">
      <c r="A165" s="48" t="str">
        <f aca="false">IF(Produtos!$A165="","",Produtos!$A165)</f>
        <v>PG3070</v>
      </c>
      <c r="B165" s="48" t="str">
        <f aca="false">IF(Produtos!$A165="","",Produtos!$B165)</f>
        <v>Porta Guarda-chuvas 30x70</v>
      </c>
      <c r="C165" s="48" t="str">
        <f aca="false">IF(Produtos!$A165="","",Produtos!$C165)</f>
        <v>Porta-guarda-chuvas</v>
      </c>
      <c r="D165" s="33" t="n">
        <f aca="false">IF(Produtos!$A165="","",IF(Produtos!$D165="","",Produtos!$D165))</f>
        <v>232.51</v>
      </c>
      <c r="E165" s="11" t="n">
        <v>70.95</v>
      </c>
      <c r="F165" s="34" t="n">
        <f aca="false">IF($A165="","",IF($C165="","⚠ categoria",IFERROR(INDEX(Parâmetros!$B$13:$B$22,MATCH($C165,Parâmetros!$A$13:$A$22,0)),"⚠ categoria")))</f>
        <v>0.13</v>
      </c>
      <c r="G165" s="35" t="n">
        <v>0.105</v>
      </c>
      <c r="H165" s="36" t="n">
        <f aca="false">IF($A165="","",IF(ISNUMBER($G165),$G165,IF(ISNUMBER($F165),$F165,"")))</f>
        <v>0.105</v>
      </c>
      <c r="I165" s="37" t="n">
        <f aca="false">IF(OR($A165="",NOT(ISNUMBER($D165)),NOT(ISNUMBER($H165))),"",IF((1-$H165-Parâmetros!$B$4-Parâmetros!$C$4-Parâmetros!$D$4)&lt;=0,"INVALIDO",($D165+IF(ISNUMBER($E165),$E165,0)+IF(ISNUMBER(Parâmetros!$E$4),Parâmetros!$E$4,0))/(1-$H165-Parâmetros!$B$4-Parâmetros!$C$4-Parâmetros!$D$4)))</f>
        <v>537.097345132743</v>
      </c>
      <c r="J165" s="38" t="n">
        <v>455.7569625</v>
      </c>
      <c r="K165" s="39" t="n">
        <f aca="false">IF(OR($A165="",NOT(ISNUMBER($D165)),NOT(ISNUMBER($H165))),"",IF(AND(ISNUMBER($J165),$J165&gt;0),$J165,IF(ISNUMBER($I165),$I165,"")))</f>
        <v>455.7569625</v>
      </c>
      <c r="L165" s="40" t="n">
        <f aca="false">IF(ISNUMBER($K165),$K165*$H165,"")</f>
        <v>47.8544810625</v>
      </c>
      <c r="M165" s="40" t="n">
        <f aca="false">IF(ISNUMBER($K165),$K165*Parâmetros!$B$4,"")</f>
        <v>45.57569625</v>
      </c>
      <c r="N165" s="40" t="n">
        <f aca="false">IF(ISNUMBER($K165),$K165*Parâmetros!$C$4,"")</f>
        <v>13.672708875</v>
      </c>
      <c r="O165" s="40" t="n">
        <f aca="false">IF(ISNUMBER($K165),IF(ISNUMBER(Parâmetros!$E$4),Parâmetros!$E$4,0),"")</f>
        <v>0</v>
      </c>
      <c r="P165" s="41" t="n">
        <f aca="false">IF(ISNUMBER($K165),$K165-$D165-IF(ISNUMBER($E165),$E165,0)-$L165-$M165-$N165-$O165,"")</f>
        <v>45.1940763125</v>
      </c>
      <c r="Q165" s="42" t="n">
        <f aca="false">IF(AND(ISNUMBER($K165),$K165&gt;0),$P165/$K165,"")</f>
        <v>0.099162667893417</v>
      </c>
      <c r="R165" s="43"/>
      <c r="S165" s="44" t="str">
        <f aca="false">IF(OR(NOT(ISNUMBER($R165)),$R165=0,NOT(ISNUMBER($K165))),"",$K165*(1-$R165))</f>
        <v/>
      </c>
      <c r="T165" s="45" t="str">
        <f aca="false">IF(ISNUMBER($S165),$S165*$H165,"")</f>
        <v/>
      </c>
      <c r="U165" s="45" t="str">
        <f aca="false">IF(ISNUMBER($S165),$S165*Parâmetros!$B$4,"")</f>
        <v/>
      </c>
      <c r="V165" s="45" t="str">
        <f aca="false">IF(ISNUMBER($S165),$S165*Parâmetros!$C$4,"")</f>
        <v/>
      </c>
      <c r="W165" s="44" t="str">
        <f aca="false">IF(ISNUMBER($S165),$S165-$D165-IF(ISNUMBER($E165),$E165,0)-$O165-$T165-$U165-$V165,"")</f>
        <v/>
      </c>
      <c r="X165" s="46" t="str">
        <f aca="false">IF(AND(ISNUMBER($S165),$S165&gt;0),$W165/$S165,"")</f>
        <v/>
      </c>
      <c r="Y165" s="49" t="s">
        <v>741</v>
      </c>
      <c r="Z165" s="21"/>
    </row>
    <row r="166" customFormat="false" ht="15.75" hidden="false" customHeight="true" outlineLevel="0" collapsed="false">
      <c r="A166" s="32" t="str">
        <f aca="false">IF(Produtos!$A166="","",Produtos!$A166)</f>
        <v>PG4050</v>
      </c>
      <c r="B166" s="32" t="str">
        <f aca="false">IF(Produtos!$A166="","",Produtos!$B166)</f>
        <v>Porta Guarda-chuvas 40x50</v>
      </c>
      <c r="C166" s="32" t="str">
        <f aca="false">IF(Produtos!$A166="","",Produtos!$C166)</f>
        <v>Porta-guarda-chuvas</v>
      </c>
      <c r="D166" s="33" t="n">
        <f aca="false">IF(Produtos!$A166="","",IF(Produtos!$D166="","",Produtos!$D166))</f>
        <v>228.9</v>
      </c>
      <c r="E166" s="11" t="n">
        <v>91.95</v>
      </c>
      <c r="F166" s="34" t="n">
        <f aca="false">IF($A166="","",IF($C166="","⚠ categoria",IFERROR(INDEX(Parâmetros!$B$13:$B$22,MATCH($C166,Parâmetros!$A$13:$A$22,0)),"⚠ categoria")))</f>
        <v>0.13</v>
      </c>
      <c r="G166" s="35" t="n">
        <v>0.105</v>
      </c>
      <c r="H166" s="36" t="n">
        <f aca="false">IF($A166="","",IF(ISNUMBER($G166),$G166,IF(ISNUMBER($F166),$F166,"")))</f>
        <v>0.105</v>
      </c>
      <c r="I166" s="37" t="n">
        <f aca="false">IF(OR($A166="",NOT(ISNUMBER($D166)),NOT(ISNUMBER($H166))),"",IF((1-$H166-Parâmetros!$B$4-Parâmetros!$C$4-Parâmetros!$D$4)&lt;=0,"INVALIDO",($D166+IF(ISNUMBER($E166),$E166,0)+IF(ISNUMBER(Parâmetros!$E$4),Parâmetros!$E$4,0))/(1-$H166-Parâmetros!$B$4-Parâmetros!$C$4-Parâmetros!$D$4)))</f>
        <v>567.87610619469</v>
      </c>
      <c r="J166" s="38" t="n">
        <v>498.7280025</v>
      </c>
      <c r="K166" s="39" t="n">
        <f aca="false">IF(OR($A166="",NOT(ISNUMBER($D166)),NOT(ISNUMBER($H166))),"",IF(AND(ISNUMBER($J166),$J166&gt;0),$J166,IF(ISNUMBER($I166),$I166,"")))</f>
        <v>498.7280025</v>
      </c>
      <c r="L166" s="40" t="n">
        <f aca="false">IF(ISNUMBER($K166),$K166*$H166,"")</f>
        <v>52.3664402625</v>
      </c>
      <c r="M166" s="40" t="n">
        <f aca="false">IF(ISNUMBER($K166),$K166*Parâmetros!$B$4,"")</f>
        <v>49.87280025</v>
      </c>
      <c r="N166" s="40" t="n">
        <f aca="false">IF(ISNUMBER($K166),$K166*Parâmetros!$C$4,"")</f>
        <v>14.961840075</v>
      </c>
      <c r="O166" s="40" t="n">
        <f aca="false">IF(ISNUMBER($K166),IF(ISNUMBER(Parâmetros!$E$4),Parâmetros!$E$4,0),"")</f>
        <v>0</v>
      </c>
      <c r="P166" s="41" t="n">
        <f aca="false">IF(ISNUMBER($K166),$K166-$D166-IF(ISNUMBER($E166),$E166,0)-$L166-$M166-$N166-$O166,"")</f>
        <v>60.6769219125</v>
      </c>
      <c r="Q166" s="42" t="n">
        <f aca="false">IF(AND(ISNUMBER($K166),$K166&gt;0),$P166/$K166,"")</f>
        <v>0.121663354791272</v>
      </c>
      <c r="R166" s="43"/>
      <c r="S166" s="44" t="str">
        <f aca="false">IF(OR(NOT(ISNUMBER($R166)),$R166=0,NOT(ISNUMBER($K166))),"",$K166*(1-$R166))</f>
        <v/>
      </c>
      <c r="T166" s="45" t="str">
        <f aca="false">IF(ISNUMBER($S166),$S166*$H166,"")</f>
        <v/>
      </c>
      <c r="U166" s="45" t="str">
        <f aca="false">IF(ISNUMBER($S166),$S166*Parâmetros!$B$4,"")</f>
        <v/>
      </c>
      <c r="V166" s="45" t="str">
        <f aca="false">IF(ISNUMBER($S166),$S166*Parâmetros!$C$4,"")</f>
        <v/>
      </c>
      <c r="W166" s="44" t="str">
        <f aca="false">IF(ISNUMBER($S166),$S166-$D166-IF(ISNUMBER($E166),$E166,0)-$O166-$T166-$U166-$V166,"")</f>
        <v/>
      </c>
      <c r="X166" s="46" t="str">
        <f aca="false">IF(AND(ISNUMBER($S166),$S166&gt;0),$W166/$S166,"")</f>
        <v/>
      </c>
      <c r="Y166" s="47" t="s">
        <v>741</v>
      </c>
      <c r="Z166" s="19"/>
    </row>
    <row r="167" customFormat="false" ht="15.75" hidden="false" customHeight="true" outlineLevel="0" collapsed="false">
      <c r="A167" s="48" t="str">
        <f aca="false">IF(Produtos!$A167="","",Produtos!$A167)</f>
        <v>PG4060</v>
      </c>
      <c r="B167" s="48" t="str">
        <f aca="false">IF(Produtos!$A167="","",Produtos!$B167)</f>
        <v>Porta Guarda-chuvas 40x60</v>
      </c>
      <c r="C167" s="48" t="str">
        <f aca="false">IF(Produtos!$A167="","",Produtos!$C167)</f>
        <v>Porta-guarda-chuvas</v>
      </c>
      <c r="D167" s="33" t="n">
        <f aca="false">IF(Produtos!$A167="","",IF(Produtos!$D167="","",Produtos!$D167))</f>
        <v>265.85</v>
      </c>
      <c r="E167" s="11"/>
      <c r="F167" s="34" t="n">
        <f aca="false">IF($A167="","",IF($C167="","⚠ categoria",IFERROR(INDEX(Parâmetros!$B$13:$B$22,MATCH($C167,Parâmetros!$A$13:$A$22,0)),"⚠ categoria")))</f>
        <v>0.13</v>
      </c>
      <c r="G167" s="35"/>
      <c r="H167" s="36" t="n">
        <f aca="false">IF($A167="","",IF(ISNUMBER($G167),$G167,IF(ISNUMBER($F167),$F167,"")))</f>
        <v>0.13</v>
      </c>
      <c r="I167" s="37" t="n">
        <f aca="false">IF(OR($A167="",NOT(ISNUMBER($D167)),NOT(ISNUMBER($H167))),"",IF((1-$H167-Parâmetros!$B$4-Parâmetros!$C$4-Parâmetros!$D$4)&lt;=0,"INVALIDO",($D167+IF(ISNUMBER($E167),$E167,0)+IF(ISNUMBER(Parâmetros!$E$4),Parâmetros!$E$4,0))/(1-$H167-Parâmetros!$B$4-Parâmetros!$C$4-Parâmetros!$D$4)))</f>
        <v>492.314814814815</v>
      </c>
      <c r="J167" s="38"/>
      <c r="K167" s="39" t="n">
        <f aca="false">IF(OR($A167="",NOT(ISNUMBER($D167)),NOT(ISNUMBER($H167))),"",IF(AND(ISNUMBER($J167),$J167&gt;0),$J167,IF(ISNUMBER($I167),$I167,"")))</f>
        <v>492.314814814815</v>
      </c>
      <c r="L167" s="40" t="n">
        <f aca="false">IF(ISNUMBER($K167),$K167*$H167,"")</f>
        <v>64.0009259259259</v>
      </c>
      <c r="M167" s="40" t="n">
        <f aca="false">IF(ISNUMBER($K167),$K167*Parâmetros!$B$4,"")</f>
        <v>49.2314814814815</v>
      </c>
      <c r="N167" s="40" t="n">
        <f aca="false">IF(ISNUMBER($K167),$K167*Parâmetros!$C$4,"")</f>
        <v>14.7694444444444</v>
      </c>
      <c r="O167" s="40" t="n">
        <f aca="false">IF(ISNUMBER($K167),IF(ISNUMBER(Parâmetros!$E$4),Parâmetros!$E$4,0),"")</f>
        <v>0</v>
      </c>
      <c r="P167" s="41" t="n">
        <f aca="false">IF(ISNUMBER($K167),$K167-$D167-IF(ISNUMBER($E167),$E167,0)-$L167-$M167-$N167-$O167,"")</f>
        <v>98.462962962963</v>
      </c>
      <c r="Q167" s="42" t="n">
        <f aca="false">IF(AND(ISNUMBER($K167),$K167&gt;0),$P167/$K167,"")</f>
        <v>0.2</v>
      </c>
      <c r="R167" s="43"/>
      <c r="S167" s="44" t="str">
        <f aca="false">IF(OR(NOT(ISNUMBER($R167)),$R167=0,NOT(ISNUMBER($K167))),"",$K167*(1-$R167))</f>
        <v/>
      </c>
      <c r="T167" s="45" t="str">
        <f aca="false">IF(ISNUMBER($S167),$S167*$H167,"")</f>
        <v/>
      </c>
      <c r="U167" s="45" t="str">
        <f aca="false">IF(ISNUMBER($S167),$S167*Parâmetros!$B$4,"")</f>
        <v/>
      </c>
      <c r="V167" s="45" t="str">
        <f aca="false">IF(ISNUMBER($S167),$S167*Parâmetros!$C$4,"")</f>
        <v/>
      </c>
      <c r="W167" s="44" t="str">
        <f aca="false">IF(ISNUMBER($S167),$S167-$D167-IF(ISNUMBER($E167),$E167,0)-$O167-$T167-$U167-$V167,"")</f>
        <v/>
      </c>
      <c r="X167" s="46" t="str">
        <f aca="false">IF(AND(ISNUMBER($S167),$S167&gt;0),$W167/$S167,"")</f>
        <v/>
      </c>
      <c r="Y167" s="49"/>
      <c r="Z167" s="21"/>
    </row>
    <row r="168" customFormat="false" ht="15.75" hidden="false" customHeight="true" outlineLevel="0" collapsed="false">
      <c r="A168" s="32" t="str">
        <f aca="false">IF(Produtos!$A168="","",Produtos!$A168)</f>
        <v>PG4070</v>
      </c>
      <c r="B168" s="32" t="str">
        <f aca="false">IF(Produtos!$A168="","",Produtos!$B168)</f>
        <v>Porta Guarda-chuvas 40x70</v>
      </c>
      <c r="C168" s="32" t="str">
        <f aca="false">IF(Produtos!$A168="","",Produtos!$C168)</f>
        <v>Porta-guarda-chuvas</v>
      </c>
      <c r="D168" s="33" t="n">
        <f aca="false">IF(Produtos!$A168="","",IF(Produtos!$D168="","",Produtos!$D168))</f>
        <v>267.68</v>
      </c>
      <c r="E168" s="11"/>
      <c r="F168" s="34" t="n">
        <f aca="false">IF($A168="","",IF($C168="","⚠ categoria",IFERROR(INDEX(Parâmetros!$B$13:$B$22,MATCH($C168,Parâmetros!$A$13:$A$22,0)),"⚠ categoria")))</f>
        <v>0.13</v>
      </c>
      <c r="G168" s="35"/>
      <c r="H168" s="36" t="n">
        <f aca="false">IF($A168="","",IF(ISNUMBER($G168),$G168,IF(ISNUMBER($F168),$F168,"")))</f>
        <v>0.13</v>
      </c>
      <c r="I168" s="37" t="n">
        <f aca="false">IF(OR($A168="",NOT(ISNUMBER($D168)),NOT(ISNUMBER($H168))),"",IF((1-$H168-Parâmetros!$B$4-Parâmetros!$C$4-Parâmetros!$D$4)&lt;=0,"INVALIDO",($D168+IF(ISNUMBER($E168),$E168,0)+IF(ISNUMBER(Parâmetros!$E$4),Parâmetros!$E$4,0))/(1-$H168-Parâmetros!$B$4-Parâmetros!$C$4-Parâmetros!$D$4)))</f>
        <v>495.703703703704</v>
      </c>
      <c r="J168" s="38"/>
      <c r="K168" s="39" t="n">
        <f aca="false">IF(OR($A168="",NOT(ISNUMBER($D168)),NOT(ISNUMBER($H168))),"",IF(AND(ISNUMBER($J168),$J168&gt;0),$J168,IF(ISNUMBER($I168),$I168,"")))</f>
        <v>495.703703703704</v>
      </c>
      <c r="L168" s="40" t="n">
        <f aca="false">IF(ISNUMBER($K168),$K168*$H168,"")</f>
        <v>64.4414814814815</v>
      </c>
      <c r="M168" s="40" t="n">
        <f aca="false">IF(ISNUMBER($K168),$K168*Parâmetros!$B$4,"")</f>
        <v>49.5703703703704</v>
      </c>
      <c r="N168" s="40" t="n">
        <f aca="false">IF(ISNUMBER($K168),$K168*Parâmetros!$C$4,"")</f>
        <v>14.8711111111111</v>
      </c>
      <c r="O168" s="40" t="n">
        <f aca="false">IF(ISNUMBER($K168),IF(ISNUMBER(Parâmetros!$E$4),Parâmetros!$E$4,0),"")</f>
        <v>0</v>
      </c>
      <c r="P168" s="41" t="n">
        <f aca="false">IF(ISNUMBER($K168),$K168-$D168-IF(ISNUMBER($E168),$E168,0)-$L168-$M168-$N168-$O168,"")</f>
        <v>99.1407407407407</v>
      </c>
      <c r="Q168" s="42" t="n">
        <f aca="false">IF(AND(ISNUMBER($K168),$K168&gt;0),$P168/$K168,"")</f>
        <v>0.2</v>
      </c>
      <c r="R168" s="43"/>
      <c r="S168" s="44" t="str">
        <f aca="false">IF(OR(NOT(ISNUMBER($R168)),$R168=0,NOT(ISNUMBER($K168))),"",$K168*(1-$R168))</f>
        <v/>
      </c>
      <c r="T168" s="45" t="str">
        <f aca="false">IF(ISNUMBER($S168),$S168*$H168,"")</f>
        <v/>
      </c>
      <c r="U168" s="45" t="str">
        <f aca="false">IF(ISNUMBER($S168),$S168*Parâmetros!$B$4,"")</f>
        <v/>
      </c>
      <c r="V168" s="45" t="str">
        <f aca="false">IF(ISNUMBER($S168),$S168*Parâmetros!$C$4,"")</f>
        <v/>
      </c>
      <c r="W168" s="44" t="str">
        <f aca="false">IF(ISNUMBER($S168),$S168-$D168-IF(ISNUMBER($E168),$E168,0)-$O168-$T168-$U168-$V168,"")</f>
        <v/>
      </c>
      <c r="X168" s="46" t="str">
        <f aca="false">IF(AND(ISNUMBER($S168),$S168&gt;0),$W168/$S168,"")</f>
        <v/>
      </c>
      <c r="Y168" s="47"/>
      <c r="Z168" s="19"/>
    </row>
    <row r="169" customFormat="false" ht="15.75" hidden="false" customHeight="true" outlineLevel="0" collapsed="false">
      <c r="A169" s="48" t="str">
        <f aca="false">IF(Produtos!$A169="","",Produtos!$A169)</f>
        <v>PG4080</v>
      </c>
      <c r="B169" s="48" t="str">
        <f aca="false">IF(Produtos!$A169="","",Produtos!$B169)</f>
        <v>Porta Guarda-chuvas 40x80</v>
      </c>
      <c r="C169" s="48" t="str">
        <f aca="false">IF(Produtos!$A169="","",Produtos!$C169)</f>
        <v>Porta-guarda-chuvas</v>
      </c>
      <c r="D169" s="33" t="n">
        <f aca="false">IF(Produtos!$A169="","",IF(Produtos!$D169="","",Produtos!$D169))</f>
        <v>329.27</v>
      </c>
      <c r="E169" s="11" t="n">
        <v>70.95</v>
      </c>
      <c r="F169" s="34" t="n">
        <f aca="false">IF($A169="","",IF($C169="","⚠ categoria",IFERROR(INDEX(Parâmetros!$B$13:$B$22,MATCH($C169,Parâmetros!$A$13:$A$22,0)),"⚠ categoria")))</f>
        <v>0.13</v>
      </c>
      <c r="G169" s="35" t="n">
        <v>0.115</v>
      </c>
      <c r="H169" s="36" t="n">
        <f aca="false">IF($A169="","",IF(ISNUMBER($G169),$G169,IF(ISNUMBER($F169),$F169,"")))</f>
        <v>0.115</v>
      </c>
      <c r="I169" s="37" t="n">
        <f aca="false">IF(OR($A169="",NOT(ISNUMBER($D169)),NOT(ISNUMBER($H169))),"",IF((1-$H169-Parâmetros!$B$4-Parâmetros!$C$4-Parâmetros!$D$4)&lt;=0,"INVALIDO",($D169+IF(ISNUMBER($E169),$E169,0)+IF(ISNUMBER(Parâmetros!$E$4),Parâmetros!$E$4,0))/(1-$H169-Parâmetros!$B$4-Parâmetros!$C$4-Parâmetros!$D$4)))</f>
        <v>721.117117117117</v>
      </c>
      <c r="J169" s="38" t="n">
        <v>722.65979375</v>
      </c>
      <c r="K169" s="39" t="n">
        <f aca="false">IF(OR($A169="",NOT(ISNUMBER($D169)),NOT(ISNUMBER($H169))),"",IF(AND(ISNUMBER($J169),$J169&gt;0),$J169,IF(ISNUMBER($I169),$I169,"")))</f>
        <v>722.65979375</v>
      </c>
      <c r="L169" s="40" t="n">
        <f aca="false">IF(ISNUMBER($K169),$K169*$H169,"")</f>
        <v>83.10587628125</v>
      </c>
      <c r="M169" s="40" t="n">
        <f aca="false">IF(ISNUMBER($K169),$K169*Parâmetros!$B$4,"")</f>
        <v>72.265979375</v>
      </c>
      <c r="N169" s="40" t="n">
        <f aca="false">IF(ISNUMBER($K169),$K169*Parâmetros!$C$4,"")</f>
        <v>21.6797938125</v>
      </c>
      <c r="O169" s="40" t="n">
        <f aca="false">IF(ISNUMBER($K169),IF(ISNUMBER(Parâmetros!$E$4),Parâmetros!$E$4,0),"")</f>
        <v>0</v>
      </c>
      <c r="P169" s="41" t="n">
        <f aca="false">IF(ISNUMBER($K169),$K169-$D169-IF(ISNUMBER($E169),$E169,0)-$L169-$M169-$N169-$O169,"")</f>
        <v>145.38814428125</v>
      </c>
      <c r="Q169" s="42" t="n">
        <f aca="false">IF(AND(ISNUMBER($K169),$K169&gt;0),$P169/$K169,"")</f>
        <v>0.201184769844199</v>
      </c>
      <c r="R169" s="43"/>
      <c r="S169" s="44" t="str">
        <f aca="false">IF(OR(NOT(ISNUMBER($R169)),$R169=0,NOT(ISNUMBER($K169))),"",$K169*(1-$R169))</f>
        <v/>
      </c>
      <c r="T169" s="45" t="str">
        <f aca="false">IF(ISNUMBER($S169),$S169*$H169,"")</f>
        <v/>
      </c>
      <c r="U169" s="45" t="str">
        <f aca="false">IF(ISNUMBER($S169),$S169*Parâmetros!$B$4,"")</f>
        <v/>
      </c>
      <c r="V169" s="45" t="str">
        <f aca="false">IF(ISNUMBER($S169),$S169*Parâmetros!$C$4,"")</f>
        <v/>
      </c>
      <c r="W169" s="44" t="str">
        <f aca="false">IF(ISNUMBER($S169),$S169-$D169-IF(ISNUMBER($E169),$E169,0)-$O169-$T169-$U169-$V169,"")</f>
        <v/>
      </c>
      <c r="X169" s="46" t="str">
        <f aca="false">IF(AND(ISNUMBER($S169),$S169&gt;0),$W169/$S169,"")</f>
        <v/>
      </c>
      <c r="Y169" s="49" t="s">
        <v>741</v>
      </c>
      <c r="Z169" s="21"/>
    </row>
    <row r="170" customFormat="false" ht="15.75" hidden="false" customHeight="true" outlineLevel="0" collapsed="false">
      <c r="A170" s="32" t="str">
        <f aca="false">IF(Produtos!$A170="","",Produtos!$A170)</f>
        <v>PG4085</v>
      </c>
      <c r="B170" s="32" t="str">
        <f aca="false">IF(Produtos!$A170="","",Produtos!$B170)</f>
        <v>Porta Guarda-chuvas 40x85 105L</v>
      </c>
      <c r="C170" s="32" t="str">
        <f aca="false">IF(Produtos!$A170="","",Produtos!$C170)</f>
        <v>Porta-guarda-chuvas</v>
      </c>
      <c r="D170" s="33" t="n">
        <f aca="false">IF(Produtos!$A170="","",IF(Produtos!$D170="","",Produtos!$D170))</f>
        <v>331.32</v>
      </c>
      <c r="E170" s="11"/>
      <c r="F170" s="34" t="n">
        <f aca="false">IF($A170="","",IF($C170="","⚠ categoria",IFERROR(INDEX(Parâmetros!$B$13:$B$22,MATCH($C170,Parâmetros!$A$13:$A$22,0)),"⚠ categoria")))</f>
        <v>0.13</v>
      </c>
      <c r="G170" s="35"/>
      <c r="H170" s="36" t="n">
        <f aca="false">IF($A170="","",IF(ISNUMBER($G170),$G170,IF(ISNUMBER($F170),$F170,"")))</f>
        <v>0.13</v>
      </c>
      <c r="I170" s="37" t="n">
        <f aca="false">IF(OR($A170="",NOT(ISNUMBER($D170)),NOT(ISNUMBER($H170))),"",IF((1-$H170-Parâmetros!$B$4-Parâmetros!$C$4-Parâmetros!$D$4)&lt;=0,"INVALIDO",($D170+IF(ISNUMBER($E170),$E170,0)+IF(ISNUMBER(Parâmetros!$E$4),Parâmetros!$E$4,0))/(1-$H170-Parâmetros!$B$4-Parâmetros!$C$4-Parâmetros!$D$4)))</f>
        <v>613.555555555556</v>
      </c>
      <c r="J170" s="38"/>
      <c r="K170" s="39" t="n">
        <f aca="false">IF(OR($A170="",NOT(ISNUMBER($D170)),NOT(ISNUMBER($H170))),"",IF(AND(ISNUMBER($J170),$J170&gt;0),$J170,IF(ISNUMBER($I170),$I170,"")))</f>
        <v>613.555555555556</v>
      </c>
      <c r="L170" s="40" t="n">
        <f aca="false">IF(ISNUMBER($K170),$K170*$H170,"")</f>
        <v>79.7622222222222</v>
      </c>
      <c r="M170" s="40" t="n">
        <f aca="false">IF(ISNUMBER($K170),$K170*Parâmetros!$B$4,"")</f>
        <v>61.3555555555556</v>
      </c>
      <c r="N170" s="40" t="n">
        <f aca="false">IF(ISNUMBER($K170),$K170*Parâmetros!$C$4,"")</f>
        <v>18.4066666666667</v>
      </c>
      <c r="O170" s="40" t="n">
        <f aca="false">IF(ISNUMBER($K170),IF(ISNUMBER(Parâmetros!$E$4),Parâmetros!$E$4,0),"")</f>
        <v>0</v>
      </c>
      <c r="P170" s="41" t="n">
        <f aca="false">IF(ISNUMBER($K170),$K170-$D170-IF(ISNUMBER($E170),$E170,0)-$L170-$M170-$N170-$O170,"")</f>
        <v>122.711111111111</v>
      </c>
      <c r="Q170" s="42" t="n">
        <f aca="false">IF(AND(ISNUMBER($K170),$K170&gt;0),$P170/$K170,"")</f>
        <v>0.2</v>
      </c>
      <c r="R170" s="43"/>
      <c r="S170" s="44" t="str">
        <f aca="false">IF(OR(NOT(ISNUMBER($R170)),$R170=0,NOT(ISNUMBER($K170))),"",$K170*(1-$R170))</f>
        <v/>
      </c>
      <c r="T170" s="45" t="str">
        <f aca="false">IF(ISNUMBER($S170),$S170*$H170,"")</f>
        <v/>
      </c>
      <c r="U170" s="45" t="str">
        <f aca="false">IF(ISNUMBER($S170),$S170*Parâmetros!$B$4,"")</f>
        <v/>
      </c>
      <c r="V170" s="45" t="str">
        <f aca="false">IF(ISNUMBER($S170),$S170*Parâmetros!$C$4,"")</f>
        <v/>
      </c>
      <c r="W170" s="44" t="str">
        <f aca="false">IF(ISNUMBER($S170),$S170-$D170-IF(ISNUMBER($E170),$E170,0)-$O170-$T170-$U170-$V170,"")</f>
        <v/>
      </c>
      <c r="X170" s="46" t="str">
        <f aca="false">IF(AND(ISNUMBER($S170),$S170&gt;0),$W170/$S170,"")</f>
        <v/>
      </c>
      <c r="Y170" s="47"/>
      <c r="Z170" s="19"/>
    </row>
    <row r="171" customFormat="false" ht="15.75" hidden="false" customHeight="true" outlineLevel="0" collapsed="false">
      <c r="A171" s="48" t="str">
        <f aca="false">IF(Produtos!$A171="","",Produtos!$A171)</f>
        <v>PG4090</v>
      </c>
      <c r="B171" s="48" t="str">
        <f aca="false">IF(Produtos!$A171="","",Produtos!$B171)</f>
        <v>Porta Guarda-chuvas 40x90</v>
      </c>
      <c r="C171" s="48" t="str">
        <f aca="false">IF(Produtos!$A171="","",Produtos!$C171)</f>
        <v>Porta-guarda-chuvas</v>
      </c>
      <c r="D171" s="33" t="n">
        <f aca="false">IF(Produtos!$A171="","",IF(Produtos!$D171="","",Produtos!$D171))</f>
        <v>329.27</v>
      </c>
      <c r="E171" s="11"/>
      <c r="F171" s="34" t="n">
        <f aca="false">IF($A171="","",IF($C171="","⚠ categoria",IFERROR(INDEX(Parâmetros!$B$13:$B$22,MATCH($C171,Parâmetros!$A$13:$A$22,0)),"⚠ categoria")))</f>
        <v>0.13</v>
      </c>
      <c r="G171" s="35"/>
      <c r="H171" s="36" t="n">
        <f aca="false">IF($A171="","",IF(ISNUMBER($G171),$G171,IF(ISNUMBER($F171),$F171,"")))</f>
        <v>0.13</v>
      </c>
      <c r="I171" s="37" t="n">
        <f aca="false">IF(OR($A171="",NOT(ISNUMBER($D171)),NOT(ISNUMBER($H171))),"",IF((1-$H171-Parâmetros!$B$4-Parâmetros!$C$4-Parâmetros!$D$4)&lt;=0,"INVALIDO",($D171+IF(ISNUMBER($E171),$E171,0)+IF(ISNUMBER(Parâmetros!$E$4),Parâmetros!$E$4,0))/(1-$H171-Parâmetros!$B$4-Parâmetros!$C$4-Parâmetros!$D$4)))</f>
        <v>609.759259259259</v>
      </c>
      <c r="J171" s="38"/>
      <c r="K171" s="39" t="n">
        <f aca="false">IF(OR($A171="",NOT(ISNUMBER($D171)),NOT(ISNUMBER($H171))),"",IF(AND(ISNUMBER($J171),$J171&gt;0),$J171,IF(ISNUMBER($I171),$I171,"")))</f>
        <v>609.759259259259</v>
      </c>
      <c r="L171" s="40" t="n">
        <f aca="false">IF(ISNUMBER($K171),$K171*$H171,"")</f>
        <v>79.2687037037037</v>
      </c>
      <c r="M171" s="40" t="n">
        <f aca="false">IF(ISNUMBER($K171),$K171*Parâmetros!$B$4,"")</f>
        <v>60.9759259259259</v>
      </c>
      <c r="N171" s="40" t="n">
        <f aca="false">IF(ISNUMBER($K171),$K171*Parâmetros!$C$4,"")</f>
        <v>18.2927777777778</v>
      </c>
      <c r="O171" s="40" t="n">
        <f aca="false">IF(ISNUMBER($K171),IF(ISNUMBER(Parâmetros!$E$4),Parâmetros!$E$4,0),"")</f>
        <v>0</v>
      </c>
      <c r="P171" s="41" t="n">
        <f aca="false">IF(ISNUMBER($K171),$K171-$D171-IF(ISNUMBER($E171),$E171,0)-$L171-$M171-$N171-$O171,"")</f>
        <v>121.951851851852</v>
      </c>
      <c r="Q171" s="42" t="n">
        <f aca="false">IF(AND(ISNUMBER($K171),$K171&gt;0),$P171/$K171,"")</f>
        <v>0.2</v>
      </c>
      <c r="R171" s="43"/>
      <c r="S171" s="44" t="str">
        <f aca="false">IF(OR(NOT(ISNUMBER($R171)),$R171=0,NOT(ISNUMBER($K171))),"",$K171*(1-$R171))</f>
        <v/>
      </c>
      <c r="T171" s="45" t="str">
        <f aca="false">IF(ISNUMBER($S171),$S171*$H171,"")</f>
        <v/>
      </c>
      <c r="U171" s="45" t="str">
        <f aca="false">IF(ISNUMBER($S171),$S171*Parâmetros!$B$4,"")</f>
        <v/>
      </c>
      <c r="V171" s="45" t="str">
        <f aca="false">IF(ISNUMBER($S171),$S171*Parâmetros!$C$4,"")</f>
        <v/>
      </c>
      <c r="W171" s="44" t="str">
        <f aca="false">IF(ISNUMBER($S171),$S171-$D171-IF(ISNUMBER($E171),$E171,0)-$O171-$T171-$U171-$V171,"")</f>
        <v/>
      </c>
      <c r="X171" s="46" t="str">
        <f aca="false">IF(AND(ISNUMBER($S171),$S171&gt;0),$W171/$S171,"")</f>
        <v/>
      </c>
      <c r="Y171" s="49"/>
      <c r="Z171" s="21"/>
    </row>
    <row r="172" customFormat="false" ht="15.75" hidden="false" customHeight="true" outlineLevel="0" collapsed="false">
      <c r="A172" s="32" t="str">
        <f aca="false">IF(Produtos!$A172="","",Produtos!$A172)</f>
        <v>EMB-03</v>
      </c>
      <c r="B172" s="32" t="str">
        <f aca="false">IF(Produtos!$A172="","",Produtos!$B172)</f>
        <v>Lixeira Embutir Pia 3L c/Balde Alumínio</v>
      </c>
      <c r="C172" s="32" t="str">
        <f aca="false">IF(Produtos!$A172="","",Produtos!$C172)</f>
        <v>Lixeiras em inox</v>
      </c>
      <c r="D172" s="33" t="n">
        <f aca="false">IF(Produtos!$A172="","",IF(Produtos!$D172="","",Produtos!$D172))</f>
        <v>97.42</v>
      </c>
      <c r="E172" s="11" t="n">
        <v>25.55</v>
      </c>
      <c r="F172" s="34" t="n">
        <f aca="false">IF($A172="","",IF($C172="","⚠ categoria",IFERROR(INDEX(Parâmetros!$B$13:$B$22,MATCH($C172,Parâmetros!$A$13:$A$22,0)),"⚠ categoria")))</f>
        <v>0.13</v>
      </c>
      <c r="G172" s="35" t="n">
        <v>0.12</v>
      </c>
      <c r="H172" s="36" t="n">
        <f aca="false">IF($A172="","",IF(ISNUMBER($G172),$G172,IF(ISNUMBER($F172),$F172,"")))</f>
        <v>0.12</v>
      </c>
      <c r="I172" s="37" t="n">
        <f aca="false">IF(OR($A172="",NOT(ISNUMBER($D172)),NOT(ISNUMBER($H172))),"",IF((1-$H172-Parâmetros!$B$4-Parâmetros!$C$4-Parâmetros!$D$4)&lt;=0,"INVALIDO",($D172+IF(ISNUMBER($E172),$E172,0)+IF(ISNUMBER(Parâmetros!$E$4),Parâmetros!$E$4,0))/(1-$H172-Parâmetros!$B$4-Parâmetros!$C$4-Parâmetros!$D$4)))</f>
        <v>223.581818181818</v>
      </c>
      <c r="J172" s="38" t="n">
        <v>200.04</v>
      </c>
      <c r="K172" s="39" t="n">
        <f aca="false">IF(OR($A172="",NOT(ISNUMBER($D172)),NOT(ISNUMBER($H172))),"",IF(AND(ISNUMBER($J172),$J172&gt;0),$J172,IF(ISNUMBER($I172),$I172,"")))</f>
        <v>200.04</v>
      </c>
      <c r="L172" s="40" t="n">
        <f aca="false">IF(ISNUMBER($K172),$K172*$H172,"")</f>
        <v>24.0048</v>
      </c>
      <c r="M172" s="40" t="n">
        <f aca="false">IF(ISNUMBER($K172),$K172*Parâmetros!$B$4,"")</f>
        <v>20.004</v>
      </c>
      <c r="N172" s="40" t="n">
        <f aca="false">IF(ISNUMBER($K172),$K172*Parâmetros!$C$4,"")</f>
        <v>6.0012</v>
      </c>
      <c r="O172" s="40" t="n">
        <f aca="false">IF(ISNUMBER($K172),IF(ISNUMBER(Parâmetros!$E$4),Parâmetros!$E$4,0),"")</f>
        <v>0</v>
      </c>
      <c r="P172" s="41" t="n">
        <f aca="false">IF(ISNUMBER($K172),$K172-$D172-IF(ISNUMBER($E172),$E172,0)-$L172-$M172-$N172-$O172,"")</f>
        <v>27.06</v>
      </c>
      <c r="Q172" s="42" t="n">
        <f aca="false">IF(AND(ISNUMBER($K172),$K172&gt;0),$P172/$K172,"")</f>
        <v>0.135272945410918</v>
      </c>
      <c r="R172" s="43"/>
      <c r="S172" s="44" t="str">
        <f aca="false">IF(OR(NOT(ISNUMBER($R172)),$R172=0,NOT(ISNUMBER($K172))),"",$K172*(1-$R172))</f>
        <v/>
      </c>
      <c r="T172" s="45" t="str">
        <f aca="false">IF(ISNUMBER($S172),$S172*$H172,"")</f>
        <v/>
      </c>
      <c r="U172" s="45" t="str">
        <f aca="false">IF(ISNUMBER($S172),$S172*Parâmetros!$B$4,"")</f>
        <v/>
      </c>
      <c r="V172" s="45" t="str">
        <f aca="false">IF(ISNUMBER($S172),$S172*Parâmetros!$C$4,"")</f>
        <v/>
      </c>
      <c r="W172" s="44" t="str">
        <f aca="false">IF(ISNUMBER($S172),$S172-$D172-IF(ISNUMBER($E172),$E172,0)-$O172-$T172-$U172-$V172,"")</f>
        <v/>
      </c>
      <c r="X172" s="46" t="str">
        <f aca="false">IF(AND(ISNUMBER($S172),$S172&gt;0),$W172/$S172,"")</f>
        <v/>
      </c>
      <c r="Y172" s="47" t="s">
        <v>734</v>
      </c>
      <c r="Z172" s="19"/>
    </row>
    <row r="173" customFormat="false" ht="15.75" hidden="false" customHeight="true" outlineLevel="0" collapsed="false">
      <c r="A173" s="48" t="str">
        <f aca="false">IF(Produtos!$A173="","",Produtos!$A173)</f>
        <v>EMB-05</v>
      </c>
      <c r="B173" s="48" t="str">
        <f aca="false">IF(Produtos!$A173="","",Produtos!$B173)</f>
        <v>Lixeira Embutir Pia 5L c/Balde Alumínio</v>
      </c>
      <c r="C173" s="48" t="str">
        <f aca="false">IF(Produtos!$A173="","",Produtos!$C173)</f>
        <v>Lixeiras em inox</v>
      </c>
      <c r="D173" s="33" t="n">
        <f aca="false">IF(Produtos!$A173="","",IF(Produtos!$D173="","",Produtos!$D173))</f>
        <v>134.46</v>
      </c>
      <c r="E173" s="11" t="n">
        <v>27.08</v>
      </c>
      <c r="F173" s="34" t="n">
        <f aca="false">IF($A173="","",IF($C173="","⚠ categoria",IFERROR(INDEX(Parâmetros!$B$13:$B$22,MATCH($C173,Parâmetros!$A$13:$A$22,0)),"⚠ categoria")))</f>
        <v>0.13</v>
      </c>
      <c r="G173" s="35" t="n">
        <v>0.12</v>
      </c>
      <c r="H173" s="36" t="n">
        <f aca="false">IF($A173="","",IF(ISNUMBER($G173),$G173,IF(ISNUMBER($F173),$F173,"")))</f>
        <v>0.12</v>
      </c>
      <c r="I173" s="37" t="n">
        <f aca="false">IF(OR($A173="",NOT(ISNUMBER($D173)),NOT(ISNUMBER($H173))),"",IF((1-$H173-Parâmetros!$B$4-Parâmetros!$C$4-Parâmetros!$D$4)&lt;=0,"INVALIDO",($D173+IF(ISNUMBER($E173),$E173,0)+IF(ISNUMBER(Parâmetros!$E$4),Parâmetros!$E$4,0))/(1-$H173-Parâmetros!$B$4-Parâmetros!$C$4-Parâmetros!$D$4)))</f>
        <v>293.709090909091</v>
      </c>
      <c r="J173" s="38" t="n">
        <v>214.98455</v>
      </c>
      <c r="K173" s="39" t="n">
        <f aca="false">IF(OR($A173="",NOT(ISNUMBER($D173)),NOT(ISNUMBER($H173))),"",IF(AND(ISNUMBER($J173),$J173&gt;0),$J173,IF(ISNUMBER($I173),$I173,"")))</f>
        <v>214.98455</v>
      </c>
      <c r="L173" s="40" t="n">
        <f aca="false">IF(ISNUMBER($K173),$K173*$H173,"")</f>
        <v>25.798146</v>
      </c>
      <c r="M173" s="40" t="n">
        <f aca="false">IF(ISNUMBER($K173),$K173*Parâmetros!$B$4,"")</f>
        <v>21.498455</v>
      </c>
      <c r="N173" s="40" t="n">
        <f aca="false">IF(ISNUMBER($K173),$K173*Parâmetros!$C$4,"")</f>
        <v>6.4495365</v>
      </c>
      <c r="O173" s="40" t="n">
        <f aca="false">IF(ISNUMBER($K173),IF(ISNUMBER(Parâmetros!$E$4),Parâmetros!$E$4,0),"")</f>
        <v>0</v>
      </c>
      <c r="P173" s="41" t="n">
        <f aca="false">IF(ISNUMBER($K173),$K173-$D173-IF(ISNUMBER($E173),$E173,0)-$L173-$M173-$N173-$O173,"")</f>
        <v>-0.301587499999996</v>
      </c>
      <c r="Q173" s="42" t="n">
        <f aca="false">IF(AND(ISNUMBER($K173),$K173&gt;0),$P173/$K173,"")</f>
        <v>-0.0014028333663977</v>
      </c>
      <c r="R173" s="43"/>
      <c r="S173" s="44" t="str">
        <f aca="false">IF(OR(NOT(ISNUMBER($R173)),$R173=0,NOT(ISNUMBER($K173))),"",$K173*(1-$R173))</f>
        <v/>
      </c>
      <c r="T173" s="45" t="str">
        <f aca="false">IF(ISNUMBER($S173),$S173*$H173,"")</f>
        <v/>
      </c>
      <c r="U173" s="45" t="str">
        <f aca="false">IF(ISNUMBER($S173),$S173*Parâmetros!$B$4,"")</f>
        <v/>
      </c>
      <c r="V173" s="45" t="str">
        <f aca="false">IF(ISNUMBER($S173),$S173*Parâmetros!$C$4,"")</f>
        <v/>
      </c>
      <c r="W173" s="44" t="str">
        <f aca="false">IF(ISNUMBER($S173),$S173-$D173-IF(ISNUMBER($E173),$E173,0)-$O173-$T173-$U173-$V173,"")</f>
        <v/>
      </c>
      <c r="X173" s="46" t="str">
        <f aca="false">IF(AND(ISNUMBER($S173),$S173&gt;0),$W173/$S173,"")</f>
        <v/>
      </c>
      <c r="Y173" s="49" t="s">
        <v>734</v>
      </c>
      <c r="Z173" s="21"/>
    </row>
    <row r="174" customFormat="false" ht="15.75" hidden="false" customHeight="true" outlineLevel="0" collapsed="false">
      <c r="A174" s="32" t="str">
        <f aca="false">IF(Produtos!$A174="","",Produtos!$A174)</f>
        <v>EMB-08</v>
      </c>
      <c r="B174" s="32" t="str">
        <f aca="false">IF(Produtos!$A174="","",Produtos!$B174)</f>
        <v>Lixeira Embutir Pia 8L c/Balde Alumínio</v>
      </c>
      <c r="C174" s="32" t="str">
        <f aca="false">IF(Produtos!$A174="","",Produtos!$C174)</f>
        <v>Lixeiras em inox</v>
      </c>
      <c r="D174" s="33" t="n">
        <f aca="false">IF(Produtos!$A174="","",IF(Produtos!$D174="","",Produtos!$D174))</f>
        <v>181.23</v>
      </c>
      <c r="E174" s="11" t="n">
        <v>32.45</v>
      </c>
      <c r="F174" s="34" t="n">
        <f aca="false">IF($A174="","",IF($C174="","⚠ categoria",IFERROR(INDEX(Parâmetros!$B$13:$B$22,MATCH($C174,Parâmetros!$A$13:$A$22,0)),"⚠ categoria")))</f>
        <v>0.13</v>
      </c>
      <c r="G174" s="35" t="n">
        <v>0.12</v>
      </c>
      <c r="H174" s="36" t="n">
        <f aca="false">IF($A174="","",IF(ISNUMBER($G174),$G174,IF(ISNUMBER($F174),$F174,"")))</f>
        <v>0.12</v>
      </c>
      <c r="I174" s="37" t="n">
        <f aca="false">IF(OR($A174="",NOT(ISNUMBER($D174)),NOT(ISNUMBER($H174))),"",IF((1-$H174-Parâmetros!$B$4-Parâmetros!$C$4-Parâmetros!$D$4)&lt;=0,"INVALIDO",($D174+IF(ISNUMBER($E174),$E174,0)+IF(ISNUMBER(Parâmetros!$E$4),Parâmetros!$E$4,0))/(1-$H174-Parâmetros!$B$4-Parâmetros!$C$4-Parâmetros!$D$4)))</f>
        <v>388.509090909091</v>
      </c>
      <c r="J174" s="38" t="n">
        <v>274.4</v>
      </c>
      <c r="K174" s="39" t="n">
        <f aca="false">IF(OR($A174="",NOT(ISNUMBER($D174)),NOT(ISNUMBER($H174))),"",IF(AND(ISNUMBER($J174),$J174&gt;0),$J174,IF(ISNUMBER($I174),$I174,"")))</f>
        <v>274.4</v>
      </c>
      <c r="L174" s="40" t="n">
        <f aca="false">IF(ISNUMBER($K174),$K174*$H174,"")</f>
        <v>32.928</v>
      </c>
      <c r="M174" s="40" t="n">
        <f aca="false">IF(ISNUMBER($K174),$K174*Parâmetros!$B$4,"")</f>
        <v>27.44</v>
      </c>
      <c r="N174" s="40" t="n">
        <f aca="false">IF(ISNUMBER($K174),$K174*Parâmetros!$C$4,"")</f>
        <v>8.232</v>
      </c>
      <c r="O174" s="40" t="n">
        <f aca="false">IF(ISNUMBER($K174),IF(ISNUMBER(Parâmetros!$E$4),Parâmetros!$E$4,0),"")</f>
        <v>0</v>
      </c>
      <c r="P174" s="41" t="n">
        <f aca="false">IF(ISNUMBER($K174),$K174-$D174-IF(ISNUMBER($E174),$E174,0)-$L174-$M174-$N174-$O174,"")</f>
        <v>-7.88000000000001</v>
      </c>
      <c r="Q174" s="42" t="n">
        <f aca="false">IF(AND(ISNUMBER($K174),$K174&gt;0),$P174/$K174,"")</f>
        <v>-0.0287172011661808</v>
      </c>
      <c r="R174" s="43"/>
      <c r="S174" s="44" t="str">
        <f aca="false">IF(OR(NOT(ISNUMBER($R174)),$R174=0,NOT(ISNUMBER($K174))),"",$K174*(1-$R174))</f>
        <v/>
      </c>
      <c r="T174" s="45" t="str">
        <f aca="false">IF(ISNUMBER($S174),$S174*$H174,"")</f>
        <v/>
      </c>
      <c r="U174" s="45" t="str">
        <f aca="false">IF(ISNUMBER($S174),$S174*Parâmetros!$B$4,"")</f>
        <v/>
      </c>
      <c r="V174" s="45" t="str">
        <f aca="false">IF(ISNUMBER($S174),$S174*Parâmetros!$C$4,"")</f>
        <v/>
      </c>
      <c r="W174" s="44" t="str">
        <f aca="false">IF(ISNUMBER($S174),$S174-$D174-IF(ISNUMBER($E174),$E174,0)-$O174-$T174-$U174-$V174,"")</f>
        <v/>
      </c>
      <c r="X174" s="46" t="str">
        <f aca="false">IF(AND(ISNUMBER($S174),$S174&gt;0),$W174/$S174,"")</f>
        <v/>
      </c>
      <c r="Y174" s="47" t="s">
        <v>734</v>
      </c>
      <c r="Z174" s="19"/>
    </row>
    <row r="175" customFormat="false" ht="15.75" hidden="false" customHeight="true" outlineLevel="0" collapsed="false">
      <c r="A175" s="48" t="str">
        <f aca="false">IF(Produtos!$A175="","",Produtos!$A175)</f>
        <v>EMB-03P</v>
      </c>
      <c r="B175" s="48" t="str">
        <f aca="false">IF(Produtos!$A175="","",Produtos!$B175)</f>
        <v>Lixeira Embutir Pia 3L c/Balde Alumínio e Tampa Preta</v>
      </c>
      <c r="C175" s="48" t="str">
        <f aca="false">IF(Produtos!$A175="","",Produtos!$C175)</f>
        <v>Lixeiras em inox</v>
      </c>
      <c r="D175" s="33" t="n">
        <f aca="false">IF(Produtos!$A175="","",IF(Produtos!$D175="","",Produtos!$D175))</f>
        <v>127.42</v>
      </c>
      <c r="E175" s="11"/>
      <c r="F175" s="34" t="n">
        <f aca="false">IF($A175="","",IF($C175="","⚠ categoria",IFERROR(INDEX(Parâmetros!$B$13:$B$22,MATCH($C175,Parâmetros!$A$13:$A$22,0)),"⚠ categoria")))</f>
        <v>0.13</v>
      </c>
      <c r="G175" s="35"/>
      <c r="H175" s="36" t="n">
        <f aca="false">IF($A175="","",IF(ISNUMBER($G175),$G175,IF(ISNUMBER($F175),$F175,"")))</f>
        <v>0.13</v>
      </c>
      <c r="I175" s="37" t="n">
        <f aca="false">IF(OR($A175="",NOT(ISNUMBER($D175)),NOT(ISNUMBER($H175))),"",IF((1-$H175-Parâmetros!$B$4-Parâmetros!$C$4-Parâmetros!$D$4)&lt;=0,"INVALIDO",($D175+IF(ISNUMBER($E175),$E175,0)+IF(ISNUMBER(Parâmetros!$E$4),Parâmetros!$E$4,0))/(1-$H175-Parâmetros!$B$4-Parâmetros!$C$4-Parâmetros!$D$4)))</f>
        <v>235.962962962963</v>
      </c>
      <c r="J175" s="38"/>
      <c r="K175" s="39" t="n">
        <f aca="false">IF(OR($A175="",NOT(ISNUMBER($D175)),NOT(ISNUMBER($H175))),"",IF(AND(ISNUMBER($J175),$J175&gt;0),$J175,IF(ISNUMBER($I175),$I175,"")))</f>
        <v>235.962962962963</v>
      </c>
      <c r="L175" s="40" t="n">
        <f aca="false">IF(ISNUMBER($K175),$K175*$H175,"")</f>
        <v>30.6751851851852</v>
      </c>
      <c r="M175" s="40" t="n">
        <f aca="false">IF(ISNUMBER($K175),$K175*Parâmetros!$B$4,"")</f>
        <v>23.5962962962963</v>
      </c>
      <c r="N175" s="40" t="n">
        <f aca="false">IF(ISNUMBER($K175),$K175*Parâmetros!$C$4,"")</f>
        <v>7.07888888888889</v>
      </c>
      <c r="O175" s="40" t="n">
        <f aca="false">IF(ISNUMBER($K175),IF(ISNUMBER(Parâmetros!$E$4),Parâmetros!$E$4,0),"")</f>
        <v>0</v>
      </c>
      <c r="P175" s="41" t="n">
        <f aca="false">IF(ISNUMBER($K175),$K175-$D175-IF(ISNUMBER($E175),$E175,0)-$L175-$M175-$N175-$O175,"")</f>
        <v>47.1925925925926</v>
      </c>
      <c r="Q175" s="42" t="n">
        <f aca="false">IF(AND(ISNUMBER($K175),$K175&gt;0),$P175/$K175,"")</f>
        <v>0.2</v>
      </c>
      <c r="R175" s="43"/>
      <c r="S175" s="44" t="str">
        <f aca="false">IF(OR(NOT(ISNUMBER($R175)),$R175=0,NOT(ISNUMBER($K175))),"",$K175*(1-$R175))</f>
        <v/>
      </c>
      <c r="T175" s="45" t="str">
        <f aca="false">IF(ISNUMBER($S175),$S175*$H175,"")</f>
        <v/>
      </c>
      <c r="U175" s="45" t="str">
        <f aca="false">IF(ISNUMBER($S175),$S175*Parâmetros!$B$4,"")</f>
        <v/>
      </c>
      <c r="V175" s="45" t="str">
        <f aca="false">IF(ISNUMBER($S175),$S175*Parâmetros!$C$4,"")</f>
        <v/>
      </c>
      <c r="W175" s="44" t="str">
        <f aca="false">IF(ISNUMBER($S175),$S175-$D175-IF(ISNUMBER($E175),$E175,0)-$O175-$T175-$U175-$V175,"")</f>
        <v/>
      </c>
      <c r="X175" s="46" t="str">
        <f aca="false">IF(AND(ISNUMBER($S175),$S175&gt;0),$W175/$S175,"")</f>
        <v/>
      </c>
      <c r="Y175" s="49"/>
      <c r="Z175" s="21"/>
    </row>
    <row r="176" customFormat="false" ht="15.75" hidden="false" customHeight="true" outlineLevel="0" collapsed="false">
      <c r="A176" s="32" t="str">
        <f aca="false">IF(Produtos!$A176="","",Produtos!$A176)</f>
        <v>EMB-05P</v>
      </c>
      <c r="B176" s="32" t="str">
        <f aca="false">IF(Produtos!$A176="","",Produtos!$B176)</f>
        <v>Lixeira Embutir Pia 5L c/Balde Alumínio e Tampa Preta</v>
      </c>
      <c r="C176" s="32" t="str">
        <f aca="false">IF(Produtos!$A176="","",Produtos!$C176)</f>
        <v>Lixeiras em inox</v>
      </c>
      <c r="D176" s="33" t="n">
        <f aca="false">IF(Produtos!$A176="","",IF(Produtos!$D176="","",Produtos!$D176))</f>
        <v>154.46</v>
      </c>
      <c r="E176" s="11"/>
      <c r="F176" s="34" t="n">
        <f aca="false">IF($A176="","",IF($C176="","⚠ categoria",IFERROR(INDEX(Parâmetros!$B$13:$B$22,MATCH($C176,Parâmetros!$A$13:$A$22,0)),"⚠ categoria")))</f>
        <v>0.13</v>
      </c>
      <c r="G176" s="35"/>
      <c r="H176" s="36" t="n">
        <f aca="false">IF($A176="","",IF(ISNUMBER($G176),$G176,IF(ISNUMBER($F176),$F176,"")))</f>
        <v>0.13</v>
      </c>
      <c r="I176" s="37" t="n">
        <f aca="false">IF(OR($A176="",NOT(ISNUMBER($D176)),NOT(ISNUMBER($H176))),"",IF((1-$H176-Parâmetros!$B$4-Parâmetros!$C$4-Parâmetros!$D$4)&lt;=0,"INVALIDO",($D176+IF(ISNUMBER($E176),$E176,0)+IF(ISNUMBER(Parâmetros!$E$4),Parâmetros!$E$4,0))/(1-$H176-Parâmetros!$B$4-Parâmetros!$C$4-Parâmetros!$D$4)))</f>
        <v>286.037037037037</v>
      </c>
      <c r="J176" s="38"/>
      <c r="K176" s="39" t="n">
        <f aca="false">IF(OR($A176="",NOT(ISNUMBER($D176)),NOT(ISNUMBER($H176))),"",IF(AND(ISNUMBER($J176),$J176&gt;0),$J176,IF(ISNUMBER($I176),$I176,"")))</f>
        <v>286.037037037037</v>
      </c>
      <c r="L176" s="40" t="n">
        <f aca="false">IF(ISNUMBER($K176),$K176*$H176,"")</f>
        <v>37.1848148148148</v>
      </c>
      <c r="M176" s="40" t="n">
        <f aca="false">IF(ISNUMBER($K176),$K176*Parâmetros!$B$4,"")</f>
        <v>28.6037037037037</v>
      </c>
      <c r="N176" s="40" t="n">
        <f aca="false">IF(ISNUMBER($K176),$K176*Parâmetros!$C$4,"")</f>
        <v>8.58111111111111</v>
      </c>
      <c r="O176" s="40" t="n">
        <f aca="false">IF(ISNUMBER($K176),IF(ISNUMBER(Parâmetros!$E$4),Parâmetros!$E$4,0),"")</f>
        <v>0</v>
      </c>
      <c r="P176" s="41" t="n">
        <f aca="false">IF(ISNUMBER($K176),$K176-$D176-IF(ISNUMBER($E176),$E176,0)-$L176-$M176-$N176-$O176,"")</f>
        <v>57.2074074074074</v>
      </c>
      <c r="Q176" s="42" t="n">
        <f aca="false">IF(AND(ISNUMBER($K176),$K176&gt;0),$P176/$K176,"")</f>
        <v>0.2</v>
      </c>
      <c r="R176" s="43"/>
      <c r="S176" s="44" t="str">
        <f aca="false">IF(OR(NOT(ISNUMBER($R176)),$R176=0,NOT(ISNUMBER($K176))),"",$K176*(1-$R176))</f>
        <v/>
      </c>
      <c r="T176" s="45" t="str">
        <f aca="false">IF(ISNUMBER($S176),$S176*$H176,"")</f>
        <v/>
      </c>
      <c r="U176" s="45" t="str">
        <f aca="false">IF(ISNUMBER($S176),$S176*Parâmetros!$B$4,"")</f>
        <v/>
      </c>
      <c r="V176" s="45" t="str">
        <f aca="false">IF(ISNUMBER($S176),$S176*Parâmetros!$C$4,"")</f>
        <v/>
      </c>
      <c r="W176" s="44" t="str">
        <f aca="false">IF(ISNUMBER($S176),$S176-$D176-IF(ISNUMBER($E176),$E176,0)-$O176-$T176-$U176-$V176,"")</f>
        <v/>
      </c>
      <c r="X176" s="46" t="str">
        <f aca="false">IF(AND(ISNUMBER($S176),$S176&gt;0),$W176/$S176,"")</f>
        <v/>
      </c>
      <c r="Y176" s="47"/>
      <c r="Z176" s="19"/>
    </row>
    <row r="177" customFormat="false" ht="15.75" hidden="false" customHeight="true" outlineLevel="0" collapsed="false">
      <c r="A177" s="48" t="str">
        <f aca="false">IF(Produtos!$A177="","",Produtos!$A177)</f>
        <v>Q2430-A</v>
      </c>
      <c r="B177" s="48" t="str">
        <f aca="false">IF(Produtos!$A177="","",Produtos!$B177)</f>
        <v>Lixeira Quadrada c/Aro 24x30 15L</v>
      </c>
      <c r="C177" s="48" t="str">
        <f aca="false">IF(Produtos!$A177="","",Produtos!$C177)</f>
        <v>Lixeiras em inox</v>
      </c>
      <c r="D177" s="33" t="n">
        <f aca="false">IF(Produtos!$A177="","",IF(Produtos!$D177="","",Produtos!$D177))</f>
        <v>121.07</v>
      </c>
      <c r="E177" s="11" t="n">
        <v>26.25</v>
      </c>
      <c r="F177" s="34" t="n">
        <f aca="false">IF($A177="","",IF($C177="","⚠ categoria",IFERROR(INDEX(Parâmetros!$B$13:$B$22,MATCH($C177,Parâmetros!$A$13:$A$22,0)),"⚠ categoria")))</f>
        <v>0.13</v>
      </c>
      <c r="G177" s="35" t="n">
        <v>0.12</v>
      </c>
      <c r="H177" s="36" t="n">
        <f aca="false">IF($A177="","",IF(ISNUMBER($G177),$G177,IF(ISNUMBER($F177),$F177,"")))</f>
        <v>0.12</v>
      </c>
      <c r="I177" s="37" t="n">
        <f aca="false">IF(OR($A177="",NOT(ISNUMBER($D177)),NOT(ISNUMBER($H177))),"",IF((1-$H177-Parâmetros!$B$4-Parâmetros!$C$4-Parâmetros!$D$4)&lt;=0,"INVALIDO",($D177+IF(ISNUMBER($E177),$E177,0)+IF(ISNUMBER(Parâmetros!$E$4),Parâmetros!$E$4,0))/(1-$H177-Parâmetros!$B$4-Parâmetros!$C$4-Parâmetros!$D$4)))</f>
        <v>267.854545454545</v>
      </c>
      <c r="J177" s="38" t="n">
        <v>251.69</v>
      </c>
      <c r="K177" s="39" t="n">
        <f aca="false">IF(OR($A177="",NOT(ISNUMBER($D177)),NOT(ISNUMBER($H177))),"",IF(AND(ISNUMBER($J177),$J177&gt;0),$J177,IF(ISNUMBER($I177),$I177,"")))</f>
        <v>251.69</v>
      </c>
      <c r="L177" s="40" t="n">
        <f aca="false">IF(ISNUMBER($K177),$K177*$H177,"")</f>
        <v>30.2028</v>
      </c>
      <c r="M177" s="40" t="n">
        <f aca="false">IF(ISNUMBER($K177),$K177*Parâmetros!$B$4,"")</f>
        <v>25.169</v>
      </c>
      <c r="N177" s="40" t="n">
        <f aca="false">IF(ISNUMBER($K177),$K177*Parâmetros!$C$4,"")</f>
        <v>7.5507</v>
      </c>
      <c r="O177" s="40" t="n">
        <f aca="false">IF(ISNUMBER($K177),IF(ISNUMBER(Parâmetros!$E$4),Parâmetros!$E$4,0),"")</f>
        <v>0</v>
      </c>
      <c r="P177" s="41" t="n">
        <f aca="false">IF(ISNUMBER($K177),$K177-$D177-IF(ISNUMBER($E177),$E177,0)-$L177-$M177-$N177-$O177,"")</f>
        <v>41.4475</v>
      </c>
      <c r="Q177" s="42" t="n">
        <f aca="false">IF(AND(ISNUMBER($K177),$K177&gt;0),$P177/$K177,"")</f>
        <v>0.164676784933847</v>
      </c>
      <c r="R177" s="43"/>
      <c r="S177" s="44" t="str">
        <f aca="false">IF(OR(NOT(ISNUMBER($R177)),$R177=0,NOT(ISNUMBER($K177))),"",$K177*(1-$R177))</f>
        <v/>
      </c>
      <c r="T177" s="45" t="str">
        <f aca="false">IF(ISNUMBER($S177),$S177*$H177,"")</f>
        <v/>
      </c>
      <c r="U177" s="45" t="str">
        <f aca="false">IF(ISNUMBER($S177),$S177*Parâmetros!$B$4,"")</f>
        <v/>
      </c>
      <c r="V177" s="45" t="str">
        <f aca="false">IF(ISNUMBER($S177),$S177*Parâmetros!$C$4,"")</f>
        <v/>
      </c>
      <c r="W177" s="44" t="str">
        <f aca="false">IF(ISNUMBER($S177),$S177-$D177-IF(ISNUMBER($E177),$E177,0)-$O177-$T177-$U177-$V177,"")</f>
        <v/>
      </c>
      <c r="X177" s="46" t="str">
        <f aca="false">IF(AND(ISNUMBER($S177),$S177&gt;0),$W177/$S177,"")</f>
        <v/>
      </c>
      <c r="Y177" s="49" t="s">
        <v>734</v>
      </c>
      <c r="Z177" s="21"/>
    </row>
    <row r="178" customFormat="false" ht="15.75" hidden="false" customHeight="true" outlineLevel="0" collapsed="false">
      <c r="A178" s="32" t="str">
        <f aca="false">IF(Produtos!$A178="","",Produtos!$A178)</f>
        <v>Q2460-A</v>
      </c>
      <c r="B178" s="32" t="str">
        <f aca="false">IF(Produtos!$A178="","",Produtos!$B178)</f>
        <v>Lixeira Quadrada c/Aro 24x60 30L</v>
      </c>
      <c r="C178" s="32" t="str">
        <f aca="false">IF(Produtos!$A178="","",Produtos!$C178)</f>
        <v>Lixeiras em inox</v>
      </c>
      <c r="D178" s="33" t="n">
        <f aca="false">IF(Produtos!$A178="","",IF(Produtos!$D178="","",Produtos!$D178))</f>
        <v>183.04</v>
      </c>
      <c r="E178" s="11" t="n">
        <v>39.75</v>
      </c>
      <c r="F178" s="34" t="n">
        <f aca="false">IF($A178="","",IF($C178="","⚠ categoria",IFERROR(INDEX(Parâmetros!$B$13:$B$22,MATCH($C178,Parâmetros!$A$13:$A$22,0)),"⚠ categoria")))</f>
        <v>0.13</v>
      </c>
      <c r="G178" s="35"/>
      <c r="H178" s="36" t="n">
        <f aca="false">IF($A178="","",IF(ISNUMBER($G178),$G178,IF(ISNUMBER($F178),$F178,"")))</f>
        <v>0.13</v>
      </c>
      <c r="I178" s="37" t="n">
        <f aca="false">IF(OR($A178="",NOT(ISNUMBER($D178)),NOT(ISNUMBER($H178))),"",IF((1-$H178-Parâmetros!$B$4-Parâmetros!$C$4-Parâmetros!$D$4)&lt;=0,"INVALIDO",($D178+IF(ISNUMBER($E178),$E178,0)+IF(ISNUMBER(Parâmetros!$E$4),Parâmetros!$E$4,0))/(1-$H178-Parâmetros!$B$4-Parâmetros!$C$4-Parâmetros!$D$4)))</f>
        <v>412.574074074074</v>
      </c>
      <c r="J178" s="38" t="n">
        <v>367.68375</v>
      </c>
      <c r="K178" s="39" t="n">
        <f aca="false">IF(OR($A178="",NOT(ISNUMBER($D178)),NOT(ISNUMBER($H178))),"",IF(AND(ISNUMBER($J178),$J178&gt;0),$J178,IF(ISNUMBER($I178),$I178,"")))</f>
        <v>367.68375</v>
      </c>
      <c r="L178" s="40" t="n">
        <f aca="false">IF(ISNUMBER($K178),$K178*$H178,"")</f>
        <v>47.7988875</v>
      </c>
      <c r="M178" s="40" t="n">
        <f aca="false">IF(ISNUMBER($K178),$K178*Parâmetros!$B$4,"")</f>
        <v>36.768375</v>
      </c>
      <c r="N178" s="40" t="n">
        <f aca="false">IF(ISNUMBER($K178),$K178*Parâmetros!$C$4,"")</f>
        <v>11.0305125</v>
      </c>
      <c r="O178" s="40" t="n">
        <f aca="false">IF(ISNUMBER($K178),IF(ISNUMBER(Parâmetros!$E$4),Parâmetros!$E$4,0),"")</f>
        <v>0</v>
      </c>
      <c r="P178" s="41" t="n">
        <f aca="false">IF(ISNUMBER($K178),$K178-$D178-IF(ISNUMBER($E178),$E178,0)-$L178-$M178-$N178-$O178,"")</f>
        <v>49.295975</v>
      </c>
      <c r="Q178" s="42" t="n">
        <f aca="false">IF(AND(ISNUMBER($K178),$K178&gt;0),$P178/$K178,"")</f>
        <v>0.13407167164717</v>
      </c>
      <c r="R178" s="43"/>
      <c r="S178" s="44" t="str">
        <f aca="false">IF(OR(NOT(ISNUMBER($R178)),$R178=0,NOT(ISNUMBER($K178))),"",$K178*(1-$R178))</f>
        <v/>
      </c>
      <c r="T178" s="45" t="str">
        <f aca="false">IF(ISNUMBER($S178),$S178*$H178,"")</f>
        <v/>
      </c>
      <c r="U178" s="45" t="str">
        <f aca="false">IF(ISNUMBER($S178),$S178*Parâmetros!$B$4,"")</f>
        <v/>
      </c>
      <c r="V178" s="45" t="str">
        <f aca="false">IF(ISNUMBER($S178),$S178*Parâmetros!$C$4,"")</f>
        <v/>
      </c>
      <c r="W178" s="44" t="str">
        <f aca="false">IF(ISNUMBER($S178),$S178-$D178-IF(ISNUMBER($E178),$E178,0)-$O178-$T178-$U178-$V178,"")</f>
        <v/>
      </c>
      <c r="X178" s="46" t="str">
        <f aca="false">IF(AND(ISNUMBER($S178),$S178&gt;0),$W178/$S178,"")</f>
        <v/>
      </c>
      <c r="Y178" s="47"/>
      <c r="Z178" s="19"/>
    </row>
    <row r="179" customFormat="false" ht="15.75" hidden="false" customHeight="true" outlineLevel="0" collapsed="false">
      <c r="A179" s="48" t="str">
        <f aca="false">IF(Produtos!$A179="","",Produtos!$A179)</f>
        <v>Q3060-A</v>
      </c>
      <c r="B179" s="48" t="str">
        <f aca="false">IF(Produtos!$A179="","",Produtos!$B179)</f>
        <v>Lixeira Quadrada c/Aro 30x60 50L</v>
      </c>
      <c r="C179" s="48" t="str">
        <f aca="false">IF(Produtos!$A179="","",Produtos!$C179)</f>
        <v>Lixeiras em inox</v>
      </c>
      <c r="D179" s="33" t="n">
        <f aca="false">IF(Produtos!$A179="","",IF(Produtos!$D179="","",Produtos!$D179))</f>
        <v>277.75</v>
      </c>
      <c r="E179" s="11" t="n">
        <v>50.75</v>
      </c>
      <c r="F179" s="34" t="n">
        <f aca="false">IF($A179="","",IF($C179="","⚠ categoria",IFERROR(INDEX(Parâmetros!$B$13:$B$22,MATCH($C179,Parâmetros!$A$13:$A$22,0)),"⚠ categoria")))</f>
        <v>0.13</v>
      </c>
      <c r="G179" s="35" t="n">
        <v>0.12</v>
      </c>
      <c r="H179" s="36" t="n">
        <f aca="false">IF($A179="","",IF(ISNUMBER($G179),$G179,IF(ISNUMBER($F179),$F179,"")))</f>
        <v>0.12</v>
      </c>
      <c r="I179" s="37" t="n">
        <f aca="false">IF(OR($A179="",NOT(ISNUMBER($D179)),NOT(ISNUMBER($H179))),"",IF((1-$H179-Parâmetros!$B$4-Parâmetros!$C$4-Parâmetros!$D$4)&lt;=0,"INVALIDO",($D179+IF(ISNUMBER($E179),$E179,0)+IF(ISNUMBER(Parâmetros!$E$4),Parâmetros!$E$4,0))/(1-$H179-Parâmetros!$B$4-Parâmetros!$C$4-Parâmetros!$D$4)))</f>
        <v>597.272727272727</v>
      </c>
      <c r="J179" s="38" t="n">
        <v>560.7315</v>
      </c>
      <c r="K179" s="39" t="n">
        <f aca="false">IF(OR($A179="",NOT(ISNUMBER($D179)),NOT(ISNUMBER($H179))),"",IF(AND(ISNUMBER($J179),$J179&gt;0),$J179,IF(ISNUMBER($I179),$I179,"")))</f>
        <v>560.7315</v>
      </c>
      <c r="L179" s="40" t="n">
        <f aca="false">IF(ISNUMBER($K179),$K179*$H179,"")</f>
        <v>67.28778</v>
      </c>
      <c r="M179" s="40" t="n">
        <f aca="false">IF(ISNUMBER($K179),$K179*Parâmetros!$B$4,"")</f>
        <v>56.07315</v>
      </c>
      <c r="N179" s="40" t="n">
        <f aca="false">IF(ISNUMBER($K179),$K179*Parâmetros!$C$4,"")</f>
        <v>16.821945</v>
      </c>
      <c r="O179" s="40" t="n">
        <f aca="false">IF(ISNUMBER($K179),IF(ISNUMBER(Parâmetros!$E$4),Parâmetros!$E$4,0),"")</f>
        <v>0</v>
      </c>
      <c r="P179" s="41" t="n">
        <f aca="false">IF(ISNUMBER($K179),$K179-$D179-IF(ISNUMBER($E179),$E179,0)-$L179-$M179-$N179-$O179,"")</f>
        <v>92.0486250000001</v>
      </c>
      <c r="Q179" s="42" t="n">
        <f aca="false">IF(AND(ISNUMBER($K179),$K179&gt;0),$P179/$K179,"")</f>
        <v>0.16415811310761</v>
      </c>
      <c r="R179" s="43"/>
      <c r="S179" s="44" t="str">
        <f aca="false">IF(OR(NOT(ISNUMBER($R179)),$R179=0,NOT(ISNUMBER($K179))),"",$K179*(1-$R179))</f>
        <v/>
      </c>
      <c r="T179" s="45" t="str">
        <f aca="false">IF(ISNUMBER($S179),$S179*$H179,"")</f>
        <v/>
      </c>
      <c r="U179" s="45" t="str">
        <f aca="false">IF(ISNUMBER($S179),$S179*Parâmetros!$B$4,"")</f>
        <v/>
      </c>
      <c r="V179" s="45" t="str">
        <f aca="false">IF(ISNUMBER($S179),$S179*Parâmetros!$C$4,"")</f>
        <v/>
      </c>
      <c r="W179" s="44" t="str">
        <f aca="false">IF(ISNUMBER($S179),$S179-$D179-IF(ISNUMBER($E179),$E179,0)-$O179-$T179-$U179-$V179,"")</f>
        <v/>
      </c>
      <c r="X179" s="46" t="str">
        <f aca="false">IF(AND(ISNUMBER($S179),$S179&gt;0),$W179/$S179,"")</f>
        <v/>
      </c>
      <c r="Y179" s="49" t="s">
        <v>734</v>
      </c>
      <c r="Z179" s="21"/>
    </row>
    <row r="180" customFormat="false" ht="15.75" hidden="false" customHeight="true" outlineLevel="0" collapsed="false">
      <c r="A180" s="32" t="str">
        <f aca="false">IF(Produtos!$A180="","",Produtos!$A180)</f>
        <v>Q4070-A</v>
      </c>
      <c r="B180" s="32" t="str">
        <f aca="false">IF(Produtos!$A180="","",Produtos!$B180)</f>
        <v>Lixeira Quadrada c/Aro 40x70 100L</v>
      </c>
      <c r="C180" s="32" t="str">
        <f aca="false">IF(Produtos!$A180="","",Produtos!$C180)</f>
        <v>Lixeiras em inox</v>
      </c>
      <c r="D180" s="33" t="n">
        <f aca="false">IF(Produtos!$A180="","",IF(Produtos!$D180="","",Produtos!$D180))</f>
        <v>580.13</v>
      </c>
      <c r="E180" s="11" t="n">
        <v>91.95</v>
      </c>
      <c r="F180" s="34" t="n">
        <f aca="false">IF($A180="","",IF($C180="","⚠ categoria",IFERROR(INDEX(Parâmetros!$B$13:$B$22,MATCH($C180,Parâmetros!$A$13:$A$22,0)),"⚠ categoria")))</f>
        <v>0.13</v>
      </c>
      <c r="G180" s="35"/>
      <c r="H180" s="36" t="n">
        <f aca="false">IF($A180="","",IF(ISNUMBER($G180),$G180,IF(ISNUMBER($F180),$F180,"")))</f>
        <v>0.13</v>
      </c>
      <c r="I180" s="37" t="n">
        <f aca="false">IF(OR($A180="",NOT(ISNUMBER($D180)),NOT(ISNUMBER($H180))),"",IF((1-$H180-Parâmetros!$B$4-Parâmetros!$C$4-Parâmetros!$D$4)&lt;=0,"INVALIDO",($D180+IF(ISNUMBER($E180),$E180,0)+IF(ISNUMBER(Parâmetros!$E$4),Parâmetros!$E$4,0))/(1-$H180-Parâmetros!$B$4-Parâmetros!$C$4-Parâmetros!$D$4)))</f>
        <v>1244.59259259259</v>
      </c>
      <c r="J180" s="38" t="n">
        <v>1161.22</v>
      </c>
      <c r="K180" s="39" t="n">
        <f aca="false">IF(OR($A180="",NOT(ISNUMBER($D180)),NOT(ISNUMBER($H180))),"",IF(AND(ISNUMBER($J180),$J180&gt;0),$J180,IF(ISNUMBER($I180),$I180,"")))</f>
        <v>1161.22</v>
      </c>
      <c r="L180" s="40" t="n">
        <f aca="false">IF(ISNUMBER($K180),$K180*$H180,"")</f>
        <v>150.9586</v>
      </c>
      <c r="M180" s="40" t="n">
        <f aca="false">IF(ISNUMBER($K180),$K180*Parâmetros!$B$4,"")</f>
        <v>116.122</v>
      </c>
      <c r="N180" s="40" t="n">
        <f aca="false">IF(ISNUMBER($K180),$K180*Parâmetros!$C$4,"")</f>
        <v>34.8366</v>
      </c>
      <c r="O180" s="40" t="n">
        <f aca="false">IF(ISNUMBER($K180),IF(ISNUMBER(Parâmetros!$E$4),Parâmetros!$E$4,0),"")</f>
        <v>0</v>
      </c>
      <c r="P180" s="41" t="n">
        <f aca="false">IF(ISNUMBER($K180),$K180-$D180-IF(ISNUMBER($E180),$E180,0)-$L180-$M180-$N180-$O180,"")</f>
        <v>187.2228</v>
      </c>
      <c r="Q180" s="42" t="n">
        <f aca="false">IF(AND(ISNUMBER($K180),$K180&gt;0),$P180/$K180,"")</f>
        <v>0.161229396669021</v>
      </c>
      <c r="R180" s="43"/>
      <c r="S180" s="44" t="str">
        <f aca="false">IF(OR(NOT(ISNUMBER($R180)),$R180=0,NOT(ISNUMBER($K180))),"",$K180*(1-$R180))</f>
        <v/>
      </c>
      <c r="T180" s="45" t="str">
        <f aca="false">IF(ISNUMBER($S180),$S180*$H180,"")</f>
        <v/>
      </c>
      <c r="U180" s="45" t="str">
        <f aca="false">IF(ISNUMBER($S180),$S180*Parâmetros!$B$4,"")</f>
        <v/>
      </c>
      <c r="V180" s="45" t="str">
        <f aca="false">IF(ISNUMBER($S180),$S180*Parâmetros!$C$4,"")</f>
        <v/>
      </c>
      <c r="W180" s="44" t="str">
        <f aca="false">IF(ISNUMBER($S180),$S180-$D180-IF(ISNUMBER($E180),$E180,0)-$O180-$T180-$U180-$V180,"")</f>
        <v/>
      </c>
      <c r="X180" s="46" t="str">
        <f aca="false">IF(AND(ISNUMBER($S180),$S180&gt;0),$W180/$S180,"")</f>
        <v/>
      </c>
      <c r="Y180" s="47" t="s">
        <v>734</v>
      </c>
      <c r="Z180" s="19"/>
    </row>
    <row r="181" customFormat="false" ht="15.75" hidden="false" customHeight="true" outlineLevel="0" collapsed="false">
      <c r="A181" s="48" t="str">
        <f aca="false">IF(Produtos!$A181="","",Produtos!$A181)</f>
        <v>Q2430-B</v>
      </c>
      <c r="B181" s="48" t="str">
        <f aca="false">IF(Produtos!$A181="","",Produtos!$B181)</f>
        <v>Lixeira Quadrada c/Aro Basculante 24x30 15L</v>
      </c>
      <c r="C181" s="48" t="str">
        <f aca="false">IF(Produtos!$A181="","",Produtos!$C181)</f>
        <v>Lixeiras em inox</v>
      </c>
      <c r="D181" s="33" t="n">
        <f aca="false">IF(Produtos!$A181="","",IF(Produtos!$D181="","",Produtos!$D181))</f>
        <v>149.88</v>
      </c>
      <c r="E181" s="11" t="n">
        <v>27.05</v>
      </c>
      <c r="F181" s="34" t="n">
        <f aca="false">IF($A181="","",IF($C181="","⚠ categoria",IFERROR(INDEX(Parâmetros!$B$13:$B$22,MATCH($C181,Parâmetros!$A$13:$A$22,0)),"⚠ categoria")))</f>
        <v>0.13</v>
      </c>
      <c r="G181" s="35" t="n">
        <v>0.12</v>
      </c>
      <c r="H181" s="36" t="n">
        <f aca="false">IF($A181="","",IF(ISNUMBER($G181),$G181,IF(ISNUMBER($F181),$F181,"")))</f>
        <v>0.12</v>
      </c>
      <c r="I181" s="37" t="n">
        <f aca="false">IF(OR($A181="",NOT(ISNUMBER($D181)),NOT(ISNUMBER($H181))),"",IF((1-$H181-Parâmetros!$B$4-Parâmetros!$C$4-Parâmetros!$D$4)&lt;=0,"INVALIDO",($D181+IF(ISNUMBER($E181),$E181,0)+IF(ISNUMBER(Parâmetros!$E$4),Parâmetros!$E$4,0))/(1-$H181-Parâmetros!$B$4-Parâmetros!$C$4-Parâmetros!$D$4)))</f>
        <v>321.690909090909</v>
      </c>
      <c r="J181" s="38" t="n">
        <v>290.98</v>
      </c>
      <c r="K181" s="39" t="n">
        <f aca="false">IF(OR($A181="",NOT(ISNUMBER($D181)),NOT(ISNUMBER($H181))),"",IF(AND(ISNUMBER($J181),$J181&gt;0),$J181,IF(ISNUMBER($I181),$I181,"")))</f>
        <v>290.98</v>
      </c>
      <c r="L181" s="40" t="n">
        <f aca="false">IF(ISNUMBER($K181),$K181*$H181,"")</f>
        <v>34.9176</v>
      </c>
      <c r="M181" s="40" t="n">
        <f aca="false">IF(ISNUMBER($K181),$K181*Parâmetros!$B$4,"")</f>
        <v>29.098</v>
      </c>
      <c r="N181" s="40" t="n">
        <f aca="false">IF(ISNUMBER($K181),$K181*Parâmetros!$C$4,"")</f>
        <v>8.7294</v>
      </c>
      <c r="O181" s="40" t="n">
        <f aca="false">IF(ISNUMBER($K181),IF(ISNUMBER(Parâmetros!$E$4),Parâmetros!$E$4,0),"")</f>
        <v>0</v>
      </c>
      <c r="P181" s="41" t="n">
        <f aca="false">IF(ISNUMBER($K181),$K181-$D181-IF(ISNUMBER($E181),$E181,0)-$L181-$M181-$N181-$O181,"")</f>
        <v>41.305</v>
      </c>
      <c r="Q181" s="42" t="n">
        <f aca="false">IF(AND(ISNUMBER($K181),$K181&gt;0),$P181/$K181,"")</f>
        <v>0.14195133686164</v>
      </c>
      <c r="R181" s="43"/>
      <c r="S181" s="44" t="str">
        <f aca="false">IF(OR(NOT(ISNUMBER($R181)),$R181=0,NOT(ISNUMBER($K181))),"",$K181*(1-$R181))</f>
        <v/>
      </c>
      <c r="T181" s="45" t="str">
        <f aca="false">IF(ISNUMBER($S181),$S181*$H181,"")</f>
        <v/>
      </c>
      <c r="U181" s="45" t="str">
        <f aca="false">IF(ISNUMBER($S181),$S181*Parâmetros!$B$4,"")</f>
        <v/>
      </c>
      <c r="V181" s="45" t="str">
        <f aca="false">IF(ISNUMBER($S181),$S181*Parâmetros!$C$4,"")</f>
        <v/>
      </c>
      <c r="W181" s="44" t="str">
        <f aca="false">IF(ISNUMBER($S181),$S181-$D181-IF(ISNUMBER($E181),$E181,0)-$O181-$T181-$U181-$V181,"")</f>
        <v/>
      </c>
      <c r="X181" s="46" t="str">
        <f aca="false">IF(AND(ISNUMBER($S181),$S181&gt;0),$W181/$S181,"")</f>
        <v/>
      </c>
      <c r="Y181" s="49" t="s">
        <v>734</v>
      </c>
      <c r="Z181" s="21"/>
    </row>
    <row r="182" customFormat="false" ht="15.75" hidden="false" customHeight="true" outlineLevel="0" collapsed="false">
      <c r="A182" s="32" t="str">
        <f aca="false">IF(Produtos!$A182="","",Produtos!$A182)</f>
        <v>Q2460-B</v>
      </c>
      <c r="B182" s="32" t="str">
        <f aca="false">IF(Produtos!$A182="","",Produtos!$B182)</f>
        <v>Lixeira Quadrada c/Aro Basculante 24x60 30L</v>
      </c>
      <c r="C182" s="32" t="str">
        <f aca="false">IF(Produtos!$A182="","",Produtos!$C182)</f>
        <v>Lixeiras em inox</v>
      </c>
      <c r="D182" s="33" t="n">
        <f aca="false">IF(Produtos!$A182="","",IF(Produtos!$D182="","",Produtos!$D182))</f>
        <v>198.38</v>
      </c>
      <c r="E182" s="11" t="n">
        <v>49.35</v>
      </c>
      <c r="F182" s="34" t="n">
        <f aca="false">IF($A182="","",IF($C182="","⚠ categoria",IFERROR(INDEX(Parâmetros!$B$13:$B$22,MATCH($C182,Parâmetros!$A$13:$A$22,0)),"⚠ categoria")))</f>
        <v>0.13</v>
      </c>
      <c r="G182" s="35" t="n">
        <v>0.12</v>
      </c>
      <c r="H182" s="36" t="n">
        <f aca="false">IF($A182="","",IF(ISNUMBER($G182),$G182,IF(ISNUMBER($F182),$F182,"")))</f>
        <v>0.12</v>
      </c>
      <c r="I182" s="37" t="n">
        <f aca="false">IF(OR($A182="",NOT(ISNUMBER($D182)),NOT(ISNUMBER($H182))),"",IF((1-$H182-Parâmetros!$B$4-Parâmetros!$C$4-Parâmetros!$D$4)&lt;=0,"INVALIDO",($D182+IF(ISNUMBER($E182),$E182,0)+IF(ISNUMBER(Parâmetros!$E$4),Parâmetros!$E$4,0))/(1-$H182-Parâmetros!$B$4-Parâmetros!$C$4-Parâmetros!$D$4)))</f>
        <v>450.418181818182</v>
      </c>
      <c r="J182" s="38" t="n">
        <v>379.800225</v>
      </c>
      <c r="K182" s="39" t="n">
        <f aca="false">IF(OR($A182="",NOT(ISNUMBER($D182)),NOT(ISNUMBER($H182))),"",IF(AND(ISNUMBER($J182),$J182&gt;0),$J182,IF(ISNUMBER($I182),$I182,"")))</f>
        <v>379.800225</v>
      </c>
      <c r="L182" s="40" t="n">
        <f aca="false">IF(ISNUMBER($K182),$K182*$H182,"")</f>
        <v>45.576027</v>
      </c>
      <c r="M182" s="40" t="n">
        <f aca="false">IF(ISNUMBER($K182),$K182*Parâmetros!$B$4,"")</f>
        <v>37.9800225</v>
      </c>
      <c r="N182" s="40" t="n">
        <f aca="false">IF(ISNUMBER($K182),$K182*Parâmetros!$C$4,"")</f>
        <v>11.39400675</v>
      </c>
      <c r="O182" s="40" t="n">
        <f aca="false">IF(ISNUMBER($K182),IF(ISNUMBER(Parâmetros!$E$4),Parâmetros!$E$4,0),"")</f>
        <v>0</v>
      </c>
      <c r="P182" s="41" t="n">
        <f aca="false">IF(ISNUMBER($K182),$K182-$D182-IF(ISNUMBER($E182),$E182,0)-$L182-$M182-$N182-$O182,"")</f>
        <v>37.1201687500001</v>
      </c>
      <c r="Q182" s="42" t="n">
        <f aca="false">IF(AND(ISNUMBER($K182),$K182&gt;0),$P182/$K182,"")</f>
        <v>0.0977360367545862</v>
      </c>
      <c r="R182" s="43"/>
      <c r="S182" s="44" t="str">
        <f aca="false">IF(OR(NOT(ISNUMBER($R182)),$R182=0,NOT(ISNUMBER($K182))),"",$K182*(1-$R182))</f>
        <v/>
      </c>
      <c r="T182" s="45" t="str">
        <f aca="false">IF(ISNUMBER($S182),$S182*$H182,"")</f>
        <v/>
      </c>
      <c r="U182" s="45" t="str">
        <f aca="false">IF(ISNUMBER($S182),$S182*Parâmetros!$B$4,"")</f>
        <v/>
      </c>
      <c r="V182" s="45" t="str">
        <f aca="false">IF(ISNUMBER($S182),$S182*Parâmetros!$C$4,"")</f>
        <v/>
      </c>
      <c r="W182" s="44" t="str">
        <f aca="false">IF(ISNUMBER($S182),$S182-$D182-IF(ISNUMBER($E182),$E182,0)-$O182-$T182-$U182-$V182,"")</f>
        <v/>
      </c>
      <c r="X182" s="46" t="str">
        <f aca="false">IF(AND(ISNUMBER($S182),$S182&gt;0),$W182/$S182,"")</f>
        <v/>
      </c>
      <c r="Y182" s="47" t="s">
        <v>734</v>
      </c>
      <c r="Z182" s="19"/>
    </row>
    <row r="183" customFormat="false" ht="15.75" hidden="false" customHeight="true" outlineLevel="0" collapsed="false">
      <c r="A183" s="48" t="str">
        <f aca="false">IF(Produtos!$A183="","",Produtos!$A183)</f>
        <v>Q3060-B</v>
      </c>
      <c r="B183" s="48" t="str">
        <f aca="false">IF(Produtos!$A183="","",Produtos!$B183)</f>
        <v>Lixeira Quadrada c/Aro Basculante 30x60 50L</v>
      </c>
      <c r="C183" s="48" t="str">
        <f aca="false">IF(Produtos!$A183="","",Produtos!$C183)</f>
        <v>Lixeiras em inox</v>
      </c>
      <c r="D183" s="33" t="n">
        <f aca="false">IF(Produtos!$A183="","",IF(Produtos!$D183="","",Produtos!$D183))</f>
        <v>301.03</v>
      </c>
      <c r="E183" s="11" t="n">
        <v>50.75</v>
      </c>
      <c r="F183" s="34" t="n">
        <f aca="false">IF($A183="","",IF($C183="","⚠ categoria",IFERROR(INDEX(Parâmetros!$B$13:$B$22,MATCH($C183,Parâmetros!$A$13:$A$22,0)),"⚠ categoria")))</f>
        <v>0.13</v>
      </c>
      <c r="G183" s="35" t="n">
        <v>0.12</v>
      </c>
      <c r="H183" s="36" t="n">
        <f aca="false">IF($A183="","",IF(ISNUMBER($G183),$G183,IF(ISNUMBER($F183),$F183,"")))</f>
        <v>0.12</v>
      </c>
      <c r="I183" s="37" t="n">
        <f aca="false">IF(OR($A183="",NOT(ISNUMBER($D183)),NOT(ISNUMBER($H183))),"",IF((1-$H183-Parâmetros!$B$4-Parâmetros!$C$4-Parâmetros!$D$4)&lt;=0,"INVALIDO",($D183+IF(ISNUMBER($E183),$E183,0)+IF(ISNUMBER(Parâmetros!$E$4),Parâmetros!$E$4,0))/(1-$H183-Parâmetros!$B$4-Parâmetros!$C$4-Parâmetros!$D$4)))</f>
        <v>639.6</v>
      </c>
      <c r="J183" s="38" t="n">
        <v>560.7315</v>
      </c>
      <c r="K183" s="39" t="n">
        <f aca="false">IF(OR($A183="",NOT(ISNUMBER($D183)),NOT(ISNUMBER($H183))),"",IF(AND(ISNUMBER($J183),$J183&gt;0),$J183,IF(ISNUMBER($I183),$I183,"")))</f>
        <v>560.7315</v>
      </c>
      <c r="L183" s="40" t="n">
        <f aca="false">IF(ISNUMBER($K183),$K183*$H183,"")</f>
        <v>67.28778</v>
      </c>
      <c r="M183" s="40" t="n">
        <f aca="false">IF(ISNUMBER($K183),$K183*Parâmetros!$B$4,"")</f>
        <v>56.07315</v>
      </c>
      <c r="N183" s="40" t="n">
        <f aca="false">IF(ISNUMBER($K183),$K183*Parâmetros!$C$4,"")</f>
        <v>16.821945</v>
      </c>
      <c r="O183" s="40" t="n">
        <f aca="false">IF(ISNUMBER($K183),IF(ISNUMBER(Parâmetros!$E$4),Parâmetros!$E$4,0),"")</f>
        <v>0</v>
      </c>
      <c r="P183" s="41" t="n">
        <f aca="false">IF(ISNUMBER($K183),$K183-$D183-IF(ISNUMBER($E183),$E183,0)-$L183-$M183-$N183-$O183,"")</f>
        <v>68.7686250000001</v>
      </c>
      <c r="Q183" s="42" t="n">
        <f aca="false">IF(AND(ISNUMBER($K183),$K183&gt;0),$P183/$K183,"")</f>
        <v>0.122640916374415</v>
      </c>
      <c r="R183" s="43"/>
      <c r="S183" s="44" t="str">
        <f aca="false">IF(OR(NOT(ISNUMBER($R183)),$R183=0,NOT(ISNUMBER($K183))),"",$K183*(1-$R183))</f>
        <v/>
      </c>
      <c r="T183" s="45" t="str">
        <f aca="false">IF(ISNUMBER($S183),$S183*$H183,"")</f>
        <v/>
      </c>
      <c r="U183" s="45" t="str">
        <f aca="false">IF(ISNUMBER($S183),$S183*Parâmetros!$B$4,"")</f>
        <v/>
      </c>
      <c r="V183" s="45" t="str">
        <f aca="false">IF(ISNUMBER($S183),$S183*Parâmetros!$C$4,"")</f>
        <v/>
      </c>
      <c r="W183" s="44" t="str">
        <f aca="false">IF(ISNUMBER($S183),$S183-$D183-IF(ISNUMBER($E183),$E183,0)-$O183-$T183-$U183-$V183,"")</f>
        <v/>
      </c>
      <c r="X183" s="46" t="str">
        <f aca="false">IF(AND(ISNUMBER($S183),$S183&gt;0),$W183/$S183,"")</f>
        <v/>
      </c>
      <c r="Y183" s="49" t="s">
        <v>734</v>
      </c>
      <c r="Z183" s="21"/>
    </row>
    <row r="184" customFormat="false" ht="15.75" hidden="false" customHeight="true" outlineLevel="0" collapsed="false">
      <c r="A184" s="32" t="str">
        <f aca="false">IF(Produtos!$A184="","",Produtos!$A184)</f>
        <v>Q4070-B</v>
      </c>
      <c r="B184" s="32" t="str">
        <f aca="false">IF(Produtos!$A184="","",Produtos!$B184)</f>
        <v>Lixeira Quadrada c/Aro Basculante 40x70 100L</v>
      </c>
      <c r="C184" s="32" t="str">
        <f aca="false">IF(Produtos!$A184="","",Produtos!$C184)</f>
        <v>Lixeiras em inox</v>
      </c>
      <c r="D184" s="33" t="n">
        <f aca="false">IF(Produtos!$A184="","",IF(Produtos!$D184="","",Produtos!$D184))</f>
        <v>619.95</v>
      </c>
      <c r="E184" s="11" t="n">
        <v>91.95</v>
      </c>
      <c r="F184" s="34" t="n">
        <f aca="false">IF($A184="","",IF($C184="","⚠ categoria",IFERROR(INDEX(Parâmetros!$B$13:$B$22,MATCH($C184,Parâmetros!$A$13:$A$22,0)),"⚠ categoria")))</f>
        <v>0.13</v>
      </c>
      <c r="G184" s="35"/>
      <c r="H184" s="36" t="n">
        <f aca="false">IF($A184="","",IF(ISNUMBER($G184),$G184,IF(ISNUMBER($F184),$F184,"")))</f>
        <v>0.13</v>
      </c>
      <c r="I184" s="37" t="n">
        <f aca="false">IF(OR($A184="",NOT(ISNUMBER($D184)),NOT(ISNUMBER($H184))),"",IF((1-$H184-Parâmetros!$B$4-Parâmetros!$C$4-Parâmetros!$D$4)&lt;=0,"INVALIDO",($D184+IF(ISNUMBER($E184),$E184,0)+IF(ISNUMBER(Parâmetros!$E$4),Parâmetros!$E$4,0))/(1-$H184-Parâmetros!$B$4-Parâmetros!$C$4-Parâmetros!$D$4)))</f>
        <v>1318.33333333333</v>
      </c>
      <c r="J184" s="38" t="n">
        <v>1151.329725</v>
      </c>
      <c r="K184" s="39" t="n">
        <f aca="false">IF(OR($A184="",NOT(ISNUMBER($D184)),NOT(ISNUMBER($H184))),"",IF(AND(ISNUMBER($J184),$J184&gt;0),$J184,IF(ISNUMBER($I184),$I184,"")))</f>
        <v>1151.329725</v>
      </c>
      <c r="L184" s="40" t="n">
        <f aca="false">IF(ISNUMBER($K184),$K184*$H184,"")</f>
        <v>149.67286425</v>
      </c>
      <c r="M184" s="40" t="n">
        <f aca="false">IF(ISNUMBER($K184),$K184*Parâmetros!$B$4,"")</f>
        <v>115.1329725</v>
      </c>
      <c r="N184" s="40" t="n">
        <f aca="false">IF(ISNUMBER($K184),$K184*Parâmetros!$C$4,"")</f>
        <v>34.53989175</v>
      </c>
      <c r="O184" s="40" t="n">
        <f aca="false">IF(ISNUMBER($K184),IF(ISNUMBER(Parâmetros!$E$4),Parâmetros!$E$4,0),"")</f>
        <v>0</v>
      </c>
      <c r="P184" s="41" t="n">
        <f aca="false">IF(ISNUMBER($K184),$K184-$D184-IF(ISNUMBER($E184),$E184,0)-$L184-$M184-$N184-$O184,"")</f>
        <v>140.0839965</v>
      </c>
      <c r="Q184" s="42" t="n">
        <f aca="false">IF(AND(ISNUMBER($K184),$K184&gt;0),$P184/$K184,"")</f>
        <v>0.121671484248355</v>
      </c>
      <c r="R184" s="43"/>
      <c r="S184" s="44" t="str">
        <f aca="false">IF(OR(NOT(ISNUMBER($R184)),$R184=0,NOT(ISNUMBER($K184))),"",$K184*(1-$R184))</f>
        <v/>
      </c>
      <c r="T184" s="45" t="str">
        <f aca="false">IF(ISNUMBER($S184),$S184*$H184,"")</f>
        <v/>
      </c>
      <c r="U184" s="45" t="str">
        <f aca="false">IF(ISNUMBER($S184),$S184*Parâmetros!$B$4,"")</f>
        <v/>
      </c>
      <c r="V184" s="45" t="str">
        <f aca="false">IF(ISNUMBER($S184),$S184*Parâmetros!$C$4,"")</f>
        <v/>
      </c>
      <c r="W184" s="44" t="str">
        <f aca="false">IF(ISNUMBER($S184),$S184-$D184-IF(ISNUMBER($E184),$E184,0)-$O184-$T184-$U184-$V184,"")</f>
        <v/>
      </c>
      <c r="X184" s="46" t="str">
        <f aca="false">IF(AND(ISNUMBER($S184),$S184&gt;0),$W184/$S184,"")</f>
        <v/>
      </c>
      <c r="Y184" s="47" t="s">
        <v>734</v>
      </c>
      <c r="Z184" s="19"/>
    </row>
    <row r="185" customFormat="false" ht="15.75" hidden="false" customHeight="true" outlineLevel="0" collapsed="false">
      <c r="A185" s="48" t="str">
        <f aca="false">IF(Produtos!$A185="","",Produtos!$A185)</f>
        <v>PQ-2430</v>
      </c>
      <c r="B185" s="48" t="str">
        <f aca="false">IF(Produtos!$A185="","",Produtos!$B185)</f>
        <v>Lixeira quadrada com Tampa Pedal de Aço inox 24x30 15L</v>
      </c>
      <c r="C185" s="48" t="str">
        <f aca="false">IF(Produtos!$A185="","",Produtos!$C185)</f>
        <v>Lixeiras com pedal</v>
      </c>
      <c r="D185" s="33" t="n">
        <f aca="false">IF(Produtos!$A185="","",IF(Produtos!$D185="","",Produtos!$D185))</f>
        <v>220.94</v>
      </c>
      <c r="E185" s="11" t="n">
        <v>27.05</v>
      </c>
      <c r="F185" s="34" t="n">
        <f aca="false">IF($A185="","",IF($C185="","⚠ categoria",IFERROR(INDEX(Parâmetros!$B$13:$B$22,MATCH($C185,Parâmetros!$A$13:$A$22,0)),"⚠ categoria")))</f>
        <v>0.13</v>
      </c>
      <c r="G185" s="35" t="n">
        <v>0.12</v>
      </c>
      <c r="H185" s="36" t="n">
        <f aca="false">IF($A185="","",IF(ISNUMBER($G185),$G185,IF(ISNUMBER($F185),$F185,"")))</f>
        <v>0.12</v>
      </c>
      <c r="I185" s="37" t="n">
        <f aca="false">IF(OR($A185="",NOT(ISNUMBER($D185)),NOT(ISNUMBER($H185))),"",IF((1-$H185-Parâmetros!$B$4-Parâmetros!$C$4-Parâmetros!$D$4)&lt;=0,"INVALIDO",($D185+IF(ISNUMBER($E185),$E185,0)+IF(ISNUMBER(Parâmetros!$E$4),Parâmetros!$E$4,0))/(1-$H185-Parâmetros!$B$4-Parâmetros!$C$4-Parâmetros!$D$4)))</f>
        <v>450.890909090909</v>
      </c>
      <c r="J185" s="38" t="n">
        <v>425.421675</v>
      </c>
      <c r="K185" s="39" t="n">
        <f aca="false">IF(OR($A185="",NOT(ISNUMBER($D185)),NOT(ISNUMBER($H185))),"",IF(AND(ISNUMBER($J185),$J185&gt;0),$J185,IF(ISNUMBER($I185),$I185,"")))</f>
        <v>425.421675</v>
      </c>
      <c r="L185" s="40" t="n">
        <f aca="false">IF(ISNUMBER($K185),$K185*$H185,"")</f>
        <v>51.050601</v>
      </c>
      <c r="M185" s="40" t="n">
        <f aca="false">IF(ISNUMBER($K185),$K185*Parâmetros!$B$4,"")</f>
        <v>42.5421675</v>
      </c>
      <c r="N185" s="40" t="n">
        <f aca="false">IF(ISNUMBER($K185),$K185*Parâmetros!$C$4,"")</f>
        <v>12.76265025</v>
      </c>
      <c r="O185" s="40" t="n">
        <f aca="false">IF(ISNUMBER($K185),IF(ISNUMBER(Parâmetros!$E$4),Parâmetros!$E$4,0),"")</f>
        <v>0</v>
      </c>
      <c r="P185" s="41" t="n">
        <f aca="false">IF(ISNUMBER($K185),$K185-$D185-IF(ISNUMBER($E185),$E185,0)-$L185-$M185-$N185-$O185,"")</f>
        <v>71.07625625</v>
      </c>
      <c r="Q185" s="42" t="n">
        <f aca="false">IF(AND(ISNUMBER($K185),$K185&gt;0),$P185/$K185,"")</f>
        <v>0.167072484611885</v>
      </c>
      <c r="R185" s="43"/>
      <c r="S185" s="44" t="str">
        <f aca="false">IF(OR(NOT(ISNUMBER($R185)),$R185=0,NOT(ISNUMBER($K185))),"",$K185*(1-$R185))</f>
        <v/>
      </c>
      <c r="T185" s="45" t="str">
        <f aca="false">IF(ISNUMBER($S185),$S185*$H185,"")</f>
        <v/>
      </c>
      <c r="U185" s="45" t="str">
        <f aca="false">IF(ISNUMBER($S185),$S185*Parâmetros!$B$4,"")</f>
        <v/>
      </c>
      <c r="V185" s="45" t="str">
        <f aca="false">IF(ISNUMBER($S185),$S185*Parâmetros!$C$4,"")</f>
        <v/>
      </c>
      <c r="W185" s="44" t="str">
        <f aca="false">IF(ISNUMBER($S185),$S185-$D185-IF(ISNUMBER($E185),$E185,0)-$O185-$T185-$U185-$V185,"")</f>
        <v/>
      </c>
      <c r="X185" s="46" t="str">
        <f aca="false">IF(AND(ISNUMBER($S185),$S185&gt;0),$W185/$S185,"")</f>
        <v/>
      </c>
      <c r="Y185" s="49" t="s">
        <v>734</v>
      </c>
      <c r="Z185" s="21"/>
    </row>
    <row r="186" customFormat="false" ht="15.75" hidden="false" customHeight="true" outlineLevel="0" collapsed="false">
      <c r="A186" s="32" t="str">
        <f aca="false">IF(Produtos!$A186="","",Produtos!$A186)</f>
        <v>PQ-2460</v>
      </c>
      <c r="B186" s="32" t="str">
        <f aca="false">IF(Produtos!$A186="","",Produtos!$B186)</f>
        <v>Lixeira quadrada com Tampa Pedal de Aço inox 24x60 30L</v>
      </c>
      <c r="C186" s="32" t="str">
        <f aca="false">IF(Produtos!$A186="","",Produtos!$C186)</f>
        <v>Lixeiras com pedal</v>
      </c>
      <c r="D186" s="33" t="n">
        <f aca="false">IF(Produtos!$A186="","",IF(Produtos!$D186="","",Produtos!$D186))</f>
        <v>303.74</v>
      </c>
      <c r="E186" s="11" t="n">
        <v>40.85</v>
      </c>
      <c r="F186" s="34" t="n">
        <f aca="false">IF($A186="","",IF($C186="","⚠ categoria",IFERROR(INDEX(Parâmetros!$B$13:$B$22,MATCH($C186,Parâmetros!$A$13:$A$22,0)),"⚠ categoria")))</f>
        <v>0.13</v>
      </c>
      <c r="G186" s="35" t="n">
        <v>0.12</v>
      </c>
      <c r="H186" s="36" t="n">
        <f aca="false">IF($A186="","",IF(ISNUMBER($G186),$G186,IF(ISNUMBER($F186),$F186,"")))</f>
        <v>0.12</v>
      </c>
      <c r="I186" s="37" t="n">
        <f aca="false">IF(OR($A186="",NOT(ISNUMBER($D186)),NOT(ISNUMBER($H186))),"",IF((1-$H186-Parâmetros!$B$4-Parâmetros!$C$4-Parâmetros!$D$4)&lt;=0,"INVALIDO",($D186+IF(ISNUMBER($E186),$E186,0)+IF(ISNUMBER(Parâmetros!$E$4),Parâmetros!$E$4,0))/(1-$H186-Parâmetros!$B$4-Parâmetros!$C$4-Parâmetros!$D$4)))</f>
        <v>626.527272727273</v>
      </c>
      <c r="J186" s="38" t="n">
        <v>551.53665</v>
      </c>
      <c r="K186" s="39" t="n">
        <f aca="false">IF(OR($A186="",NOT(ISNUMBER($D186)),NOT(ISNUMBER($H186))),"",IF(AND(ISNUMBER($J186),$J186&gt;0),$J186,IF(ISNUMBER($I186),$I186,"")))</f>
        <v>551.53665</v>
      </c>
      <c r="L186" s="40" t="n">
        <f aca="false">IF(ISNUMBER($K186),$K186*$H186,"")</f>
        <v>66.184398</v>
      </c>
      <c r="M186" s="40" t="n">
        <f aca="false">IF(ISNUMBER($K186),$K186*Parâmetros!$B$4,"")</f>
        <v>55.153665</v>
      </c>
      <c r="N186" s="40" t="n">
        <f aca="false">IF(ISNUMBER($K186),$K186*Parâmetros!$C$4,"")</f>
        <v>16.5460995</v>
      </c>
      <c r="O186" s="40" t="n">
        <f aca="false">IF(ISNUMBER($K186),IF(ISNUMBER(Parâmetros!$E$4),Parâmetros!$E$4,0),"")</f>
        <v>0</v>
      </c>
      <c r="P186" s="41" t="n">
        <f aca="false">IF(ISNUMBER($K186),$K186-$D186-IF(ISNUMBER($E186),$E186,0)-$L186-$M186-$N186-$O186,"")</f>
        <v>69.0624875</v>
      </c>
      <c r="Q186" s="42" t="n">
        <f aca="false">IF(AND(ISNUMBER($K186),$K186&gt;0),$P186/$K186,"")</f>
        <v>0.125218310514813</v>
      </c>
      <c r="R186" s="43"/>
      <c r="S186" s="44" t="str">
        <f aca="false">IF(OR(NOT(ISNUMBER($R186)),$R186=0,NOT(ISNUMBER($K186))),"",$K186*(1-$R186))</f>
        <v/>
      </c>
      <c r="T186" s="45" t="str">
        <f aca="false">IF(ISNUMBER($S186),$S186*$H186,"")</f>
        <v/>
      </c>
      <c r="U186" s="45" t="str">
        <f aca="false">IF(ISNUMBER($S186),$S186*Parâmetros!$B$4,"")</f>
        <v/>
      </c>
      <c r="V186" s="45" t="str">
        <f aca="false">IF(ISNUMBER($S186),$S186*Parâmetros!$C$4,"")</f>
        <v/>
      </c>
      <c r="W186" s="44" t="str">
        <f aca="false">IF(ISNUMBER($S186),$S186-$D186-IF(ISNUMBER($E186),$E186,0)-$O186-$T186-$U186-$V186,"")</f>
        <v/>
      </c>
      <c r="X186" s="46" t="str">
        <f aca="false">IF(AND(ISNUMBER($S186),$S186&gt;0),$W186/$S186,"")</f>
        <v/>
      </c>
      <c r="Y186" s="47" t="s">
        <v>734</v>
      </c>
      <c r="Z186" s="19"/>
    </row>
    <row r="187" customFormat="false" ht="15.75" hidden="false" customHeight="true" outlineLevel="0" collapsed="false">
      <c r="A187" s="48" t="str">
        <f aca="false">IF(Produtos!$A187="","",Produtos!$A187)</f>
        <v>PQ-3060</v>
      </c>
      <c r="B187" s="48" t="str">
        <f aca="false">IF(Produtos!$A187="","",Produtos!$B187)</f>
        <v>Lixeira quadrada com Tampa Pedal de Aço inox 30x60 50L</v>
      </c>
      <c r="C187" s="48" t="str">
        <f aca="false">IF(Produtos!$A187="","",Produtos!$C187)</f>
        <v>Lixeiras com pedal</v>
      </c>
      <c r="D187" s="33" t="n">
        <f aca="false">IF(Produtos!$A187="","",IF(Produtos!$D187="","",Produtos!$D187))</f>
        <v>408.87</v>
      </c>
      <c r="E187" s="11" t="n">
        <v>50.75</v>
      </c>
      <c r="F187" s="34" t="n">
        <f aca="false">IF($A187="","",IF($C187="","⚠ categoria",IFERROR(INDEX(Parâmetros!$B$13:$B$22,MATCH($C187,Parâmetros!$A$13:$A$22,0)),"⚠ categoria")))</f>
        <v>0.13</v>
      </c>
      <c r="G187" s="35"/>
      <c r="H187" s="36" t="n">
        <f aca="false">IF($A187="","",IF(ISNUMBER($G187),$G187,IF(ISNUMBER($F187),$F187,"")))</f>
        <v>0.13</v>
      </c>
      <c r="I187" s="37" t="n">
        <f aca="false">IF(OR($A187="",NOT(ISNUMBER($D187)),NOT(ISNUMBER($H187))),"",IF((1-$H187-Parâmetros!$B$4-Parâmetros!$C$4-Parâmetros!$D$4)&lt;=0,"INVALIDO",($D187+IF(ISNUMBER($E187),$E187,0)+IF(ISNUMBER(Parâmetros!$E$4),Parâmetros!$E$4,0))/(1-$H187-Parâmetros!$B$4-Parâmetros!$C$4-Parâmetros!$D$4)))</f>
        <v>851.148148148148</v>
      </c>
      <c r="J187" s="38" t="n">
        <v>744.000075</v>
      </c>
      <c r="K187" s="39" t="n">
        <f aca="false">IF(OR($A187="",NOT(ISNUMBER($D187)),NOT(ISNUMBER($H187))),"",IF(AND(ISNUMBER($J187),$J187&gt;0),$J187,IF(ISNUMBER($I187),$I187,"")))</f>
        <v>744.000075</v>
      </c>
      <c r="L187" s="40" t="n">
        <f aca="false">IF(ISNUMBER($K187),$K187*$H187,"")</f>
        <v>96.72000975</v>
      </c>
      <c r="M187" s="40" t="n">
        <f aca="false">IF(ISNUMBER($K187),$K187*Parâmetros!$B$4,"")</f>
        <v>74.4000075</v>
      </c>
      <c r="N187" s="40" t="n">
        <f aca="false">IF(ISNUMBER($K187),$K187*Parâmetros!$C$4,"")</f>
        <v>22.32000225</v>
      </c>
      <c r="O187" s="40" t="n">
        <f aca="false">IF(ISNUMBER($K187),IF(ISNUMBER(Parâmetros!$E$4),Parâmetros!$E$4,0),"")</f>
        <v>0</v>
      </c>
      <c r="P187" s="41" t="n">
        <f aca="false">IF(ISNUMBER($K187),$K187-$D187-IF(ISNUMBER($E187),$E187,0)-$L187-$M187-$N187-$O187,"")</f>
        <v>90.9400555000001</v>
      </c>
      <c r="Q187" s="42" t="n">
        <f aca="false">IF(AND(ISNUMBER($K187),$K187&gt;0),$P187/$K187,"")</f>
        <v>0.122231245070775</v>
      </c>
      <c r="R187" s="43"/>
      <c r="S187" s="44" t="str">
        <f aca="false">IF(OR(NOT(ISNUMBER($R187)),$R187=0,NOT(ISNUMBER($K187))),"",$K187*(1-$R187))</f>
        <v/>
      </c>
      <c r="T187" s="45" t="str">
        <f aca="false">IF(ISNUMBER($S187),$S187*$H187,"")</f>
        <v/>
      </c>
      <c r="U187" s="45" t="str">
        <f aca="false">IF(ISNUMBER($S187),$S187*Parâmetros!$B$4,"")</f>
        <v/>
      </c>
      <c r="V187" s="45" t="str">
        <f aca="false">IF(ISNUMBER($S187),$S187*Parâmetros!$C$4,"")</f>
        <v/>
      </c>
      <c r="W187" s="44" t="str">
        <f aca="false">IF(ISNUMBER($S187),$S187-$D187-IF(ISNUMBER($E187),$E187,0)-$O187-$T187-$U187-$V187,"")</f>
        <v/>
      </c>
      <c r="X187" s="46" t="str">
        <f aca="false">IF(AND(ISNUMBER($S187),$S187&gt;0),$W187/$S187,"")</f>
        <v/>
      </c>
      <c r="Y187" s="49" t="s">
        <v>734</v>
      </c>
      <c r="Z187" s="21"/>
    </row>
    <row r="188" customFormat="false" ht="15.75" hidden="false" customHeight="true" outlineLevel="0" collapsed="false">
      <c r="A188" s="32" t="str">
        <f aca="false">IF(Produtos!$A188="","",Produtos!$A188)</f>
        <v>PQ-4070</v>
      </c>
      <c r="B188" s="32" t="str">
        <f aca="false">IF(Produtos!$A188="","",Produtos!$B188)</f>
        <v>Lixeira quadrada com Tampa Pedal de Aço inox 40x70 100L</v>
      </c>
      <c r="C188" s="32" t="str">
        <f aca="false">IF(Produtos!$A188="","",Produtos!$C188)</f>
        <v>Lixeiras com pedal</v>
      </c>
      <c r="D188" s="33" t="n">
        <f aca="false">IF(Produtos!$A188="","",IF(Produtos!$D188="","",Produtos!$D188))</f>
        <v>905.26</v>
      </c>
      <c r="E188" s="11" t="n">
        <v>91.95</v>
      </c>
      <c r="F188" s="34" t="n">
        <f aca="false">IF($A188="","",IF($C188="","⚠ categoria",IFERROR(INDEX(Parâmetros!$B$13:$B$22,MATCH($C188,Parâmetros!$A$13:$A$22,0)),"⚠ categoria")))</f>
        <v>0.13</v>
      </c>
      <c r="G188" s="35"/>
      <c r="H188" s="36" t="n">
        <f aca="false">IF($A188="","",IF(ISNUMBER($G188),$G188,IF(ISNUMBER($F188),$F188,"")))</f>
        <v>0.13</v>
      </c>
      <c r="I188" s="37" t="n">
        <f aca="false">IF(OR($A188="",NOT(ISNUMBER($D188)),NOT(ISNUMBER($H188))),"",IF((1-$H188-Parâmetros!$B$4-Parâmetros!$C$4-Parâmetros!$D$4)&lt;=0,"INVALIDO",($D188+IF(ISNUMBER($E188),$E188,0)+IF(ISNUMBER(Parâmetros!$E$4),Parâmetros!$E$4,0))/(1-$H188-Parâmetros!$B$4-Parâmetros!$C$4-Parâmetros!$D$4)))</f>
        <v>1846.68518518519</v>
      </c>
      <c r="J188" s="38" t="n">
        <v>1621.40265</v>
      </c>
      <c r="K188" s="39" t="n">
        <f aca="false">IF(OR($A188="",NOT(ISNUMBER($D188)),NOT(ISNUMBER($H188))),"",IF(AND(ISNUMBER($J188),$J188&gt;0),$J188,IF(ISNUMBER($I188),$I188,"")))</f>
        <v>1621.40265</v>
      </c>
      <c r="L188" s="40" t="n">
        <f aca="false">IF(ISNUMBER($K188),$K188*$H188,"")</f>
        <v>210.7823445</v>
      </c>
      <c r="M188" s="40" t="n">
        <f aca="false">IF(ISNUMBER($K188),$K188*Parâmetros!$B$4,"")</f>
        <v>162.140265</v>
      </c>
      <c r="N188" s="40" t="n">
        <f aca="false">IF(ISNUMBER($K188),$K188*Parâmetros!$C$4,"")</f>
        <v>48.6420795</v>
      </c>
      <c r="O188" s="40" t="n">
        <f aca="false">IF(ISNUMBER($K188),IF(ISNUMBER(Parâmetros!$E$4),Parâmetros!$E$4,0),"")</f>
        <v>0</v>
      </c>
      <c r="P188" s="41" t="n">
        <f aca="false">IF(ISNUMBER($K188),$K188-$D188-IF(ISNUMBER($E188),$E188,0)-$L188-$M188-$N188-$O188,"")</f>
        <v>202.627961</v>
      </c>
      <c r="Q188" s="42" t="n">
        <f aca="false">IF(AND(ISNUMBER($K188),$K188&gt;0),$P188/$K188,"")</f>
        <v>0.124970784400778</v>
      </c>
      <c r="R188" s="43"/>
      <c r="S188" s="44" t="str">
        <f aca="false">IF(OR(NOT(ISNUMBER($R188)),$R188=0,NOT(ISNUMBER($K188))),"",$K188*(1-$R188))</f>
        <v/>
      </c>
      <c r="T188" s="45" t="str">
        <f aca="false">IF(ISNUMBER($S188),$S188*$H188,"")</f>
        <v/>
      </c>
      <c r="U188" s="45" t="str">
        <f aca="false">IF(ISNUMBER($S188),$S188*Parâmetros!$B$4,"")</f>
        <v/>
      </c>
      <c r="V188" s="45" t="str">
        <f aca="false">IF(ISNUMBER($S188),$S188*Parâmetros!$C$4,"")</f>
        <v/>
      </c>
      <c r="W188" s="44" t="str">
        <f aca="false">IF(ISNUMBER($S188),$S188-$D188-IF(ISNUMBER($E188),$E188,0)-$O188-$T188-$U188-$V188,"")</f>
        <v/>
      </c>
      <c r="X188" s="46" t="str">
        <f aca="false">IF(AND(ISNUMBER($S188),$S188&gt;0),$W188/$S188,"")</f>
        <v/>
      </c>
      <c r="Y188" s="47" t="s">
        <v>734</v>
      </c>
      <c r="Z188" s="19"/>
    </row>
    <row r="189" customFormat="false" ht="15.75" hidden="false" customHeight="true" outlineLevel="0" collapsed="false">
      <c r="A189" s="48" t="str">
        <f aca="false">IF(Produtos!$A189="","",Produtos!$A189)</f>
        <v>PQ-4090</v>
      </c>
      <c r="B189" s="48" t="str">
        <f aca="false">IF(Produtos!$A189="","",Produtos!$B189)</f>
        <v>Lixeira quadrada com Tampa Pedal de Aço inox 40x90 120L</v>
      </c>
      <c r="C189" s="48" t="str">
        <f aca="false">IF(Produtos!$A189="","",Produtos!$C189)</f>
        <v>Lixeiras com pedal</v>
      </c>
      <c r="D189" s="33" t="n">
        <f aca="false">IF(Produtos!$A189="","",IF(Produtos!$D189="","",Produtos!$D189))</f>
        <v>956.96</v>
      </c>
      <c r="E189" s="11"/>
      <c r="F189" s="34" t="n">
        <f aca="false">IF($A189="","",IF($C189="","⚠ categoria",IFERROR(INDEX(Parâmetros!$B$13:$B$22,MATCH($C189,Parâmetros!$A$13:$A$22,0)),"⚠ categoria")))</f>
        <v>0.13</v>
      </c>
      <c r="G189" s="35"/>
      <c r="H189" s="36" t="n">
        <f aca="false">IF($A189="","",IF(ISNUMBER($G189),$G189,IF(ISNUMBER($F189),$F189,"")))</f>
        <v>0.13</v>
      </c>
      <c r="I189" s="37" t="n">
        <f aca="false">IF(OR($A189="",NOT(ISNUMBER($D189)),NOT(ISNUMBER($H189))),"",IF((1-$H189-Parâmetros!$B$4-Parâmetros!$C$4-Parâmetros!$D$4)&lt;=0,"INVALIDO",($D189+IF(ISNUMBER($E189),$E189,0)+IF(ISNUMBER(Parâmetros!$E$4),Parâmetros!$E$4,0))/(1-$H189-Parâmetros!$B$4-Parâmetros!$C$4-Parâmetros!$D$4)))</f>
        <v>1772.14814814815</v>
      </c>
      <c r="J189" s="38"/>
      <c r="K189" s="39" t="n">
        <f aca="false">IF(OR($A189="",NOT(ISNUMBER($D189)),NOT(ISNUMBER($H189))),"",IF(AND(ISNUMBER($J189),$J189&gt;0),$J189,IF(ISNUMBER($I189),$I189,"")))</f>
        <v>1772.14814814815</v>
      </c>
      <c r="L189" s="40" t="n">
        <f aca="false">IF(ISNUMBER($K189),$K189*$H189,"")</f>
        <v>230.379259259259</v>
      </c>
      <c r="M189" s="40" t="n">
        <f aca="false">IF(ISNUMBER($K189),$K189*Parâmetros!$B$4,"")</f>
        <v>177.214814814815</v>
      </c>
      <c r="N189" s="40" t="n">
        <f aca="false">IF(ISNUMBER($K189),$K189*Parâmetros!$C$4,"")</f>
        <v>53.1644444444444</v>
      </c>
      <c r="O189" s="40" t="n">
        <f aca="false">IF(ISNUMBER($K189),IF(ISNUMBER(Parâmetros!$E$4),Parâmetros!$E$4,0),"")</f>
        <v>0</v>
      </c>
      <c r="P189" s="41" t="n">
        <f aca="false">IF(ISNUMBER($K189),$K189-$D189-IF(ISNUMBER($E189),$E189,0)-$L189-$M189-$N189-$O189,"")</f>
        <v>354.42962962963</v>
      </c>
      <c r="Q189" s="42" t="n">
        <f aca="false">IF(AND(ISNUMBER($K189),$K189&gt;0),$P189/$K189,"")</f>
        <v>0.2</v>
      </c>
      <c r="R189" s="43"/>
      <c r="S189" s="44" t="str">
        <f aca="false">IF(OR(NOT(ISNUMBER($R189)),$R189=0,NOT(ISNUMBER($K189))),"",$K189*(1-$R189))</f>
        <v/>
      </c>
      <c r="T189" s="45" t="str">
        <f aca="false">IF(ISNUMBER($S189),$S189*$H189,"")</f>
        <v/>
      </c>
      <c r="U189" s="45" t="str">
        <f aca="false">IF(ISNUMBER($S189),$S189*Parâmetros!$B$4,"")</f>
        <v/>
      </c>
      <c r="V189" s="45" t="str">
        <f aca="false">IF(ISNUMBER($S189),$S189*Parâmetros!$C$4,"")</f>
        <v/>
      </c>
      <c r="W189" s="44" t="str">
        <f aca="false">IF(ISNUMBER($S189),$S189-$D189-IF(ISNUMBER($E189),$E189,0)-$O189-$T189-$U189-$V189,"")</f>
        <v/>
      </c>
      <c r="X189" s="46" t="str">
        <f aca="false">IF(AND(ISNUMBER($S189),$S189&gt;0),$W189/$S189,"")</f>
        <v/>
      </c>
      <c r="Y189" s="49"/>
      <c r="Z189" s="21"/>
    </row>
    <row r="190" customFormat="false" ht="15.75" hidden="false" customHeight="true" outlineLevel="0" collapsed="false">
      <c r="A190" s="32" t="str">
        <f aca="false">IF(Produtos!$A190="","",Produtos!$A190)</f>
        <v>PQ-5080</v>
      </c>
      <c r="B190" s="32" t="str">
        <f aca="false">IF(Produtos!$A190="","",Produtos!$B190)</f>
        <v>Lixeira quadrada com Tampa Pedal de Aço inox 50x80 150L</v>
      </c>
      <c r="C190" s="32" t="str">
        <f aca="false">IF(Produtos!$A190="","",Produtos!$C190)</f>
        <v>Lixeiras com pedal</v>
      </c>
      <c r="D190" s="33" t="n">
        <f aca="false">IF(Produtos!$A190="","",IF(Produtos!$D190="","",Produtos!$D190))</f>
        <v>1393</v>
      </c>
      <c r="E190" s="11"/>
      <c r="F190" s="34" t="n">
        <f aca="false">IF($A190="","",IF($C190="","⚠ categoria",IFERROR(INDEX(Parâmetros!$B$13:$B$22,MATCH($C190,Parâmetros!$A$13:$A$22,0)),"⚠ categoria")))</f>
        <v>0.13</v>
      </c>
      <c r="G190" s="35"/>
      <c r="H190" s="36" t="n">
        <f aca="false">IF($A190="","",IF(ISNUMBER($G190),$G190,IF(ISNUMBER($F190),$F190,"")))</f>
        <v>0.13</v>
      </c>
      <c r="I190" s="37" t="n">
        <f aca="false">IF(OR($A190="",NOT(ISNUMBER($D190)),NOT(ISNUMBER($H190))),"",IF((1-$H190-Parâmetros!$B$4-Parâmetros!$C$4-Parâmetros!$D$4)&lt;=0,"INVALIDO",($D190+IF(ISNUMBER($E190),$E190,0)+IF(ISNUMBER(Parâmetros!$E$4),Parâmetros!$E$4,0))/(1-$H190-Parâmetros!$B$4-Parâmetros!$C$4-Parâmetros!$D$4)))</f>
        <v>2579.62962962963</v>
      </c>
      <c r="J190" s="38"/>
      <c r="K190" s="39" t="n">
        <f aca="false">IF(OR($A190="",NOT(ISNUMBER($D190)),NOT(ISNUMBER($H190))),"",IF(AND(ISNUMBER($J190),$J190&gt;0),$J190,IF(ISNUMBER($I190),$I190,"")))</f>
        <v>2579.62962962963</v>
      </c>
      <c r="L190" s="40" t="n">
        <f aca="false">IF(ISNUMBER($K190),$K190*$H190,"")</f>
        <v>335.351851851852</v>
      </c>
      <c r="M190" s="40" t="n">
        <f aca="false">IF(ISNUMBER($K190),$K190*Parâmetros!$B$4,"")</f>
        <v>257.962962962963</v>
      </c>
      <c r="N190" s="40" t="n">
        <f aca="false">IF(ISNUMBER($K190),$K190*Parâmetros!$C$4,"")</f>
        <v>77.3888888888889</v>
      </c>
      <c r="O190" s="40" t="n">
        <f aca="false">IF(ISNUMBER($K190),IF(ISNUMBER(Parâmetros!$E$4),Parâmetros!$E$4,0),"")</f>
        <v>0</v>
      </c>
      <c r="P190" s="41" t="n">
        <f aca="false">IF(ISNUMBER($K190),$K190-$D190-IF(ISNUMBER($E190),$E190,0)-$L190-$M190-$N190-$O190,"")</f>
        <v>515.925925925926</v>
      </c>
      <c r="Q190" s="42" t="n">
        <f aca="false">IF(AND(ISNUMBER($K190),$K190&gt;0),$P190/$K190,"")</f>
        <v>0.2</v>
      </c>
      <c r="R190" s="43"/>
      <c r="S190" s="44" t="str">
        <f aca="false">IF(OR(NOT(ISNUMBER($R190)),$R190=0,NOT(ISNUMBER($K190))),"",$K190*(1-$R190))</f>
        <v/>
      </c>
      <c r="T190" s="45" t="str">
        <f aca="false">IF(ISNUMBER($S190),$S190*$H190,"")</f>
        <v/>
      </c>
      <c r="U190" s="45" t="str">
        <f aca="false">IF(ISNUMBER($S190),$S190*Parâmetros!$B$4,"")</f>
        <v/>
      </c>
      <c r="V190" s="45" t="str">
        <f aca="false">IF(ISNUMBER($S190),$S190*Parâmetros!$C$4,"")</f>
        <v/>
      </c>
      <c r="W190" s="44" t="str">
        <f aca="false">IF(ISNUMBER($S190),$S190-$D190-IF(ISNUMBER($E190),$E190,0)-$O190-$T190-$U190-$V190,"")</f>
        <v/>
      </c>
      <c r="X190" s="46" t="str">
        <f aca="false">IF(AND(ISNUMBER($S190),$S190&gt;0),$W190/$S190,"")</f>
        <v/>
      </c>
      <c r="Y190" s="47"/>
      <c r="Z190" s="19"/>
    </row>
    <row r="191" customFormat="false" ht="15.75" hidden="false" customHeight="true" outlineLevel="0" collapsed="false">
      <c r="A191" s="48" t="str">
        <f aca="false">IF(Produtos!$A191="","",Produtos!$A191)</f>
        <v>Q2430-AC</v>
      </c>
      <c r="B191" s="48" t="str">
        <f aca="false">IF(Produtos!$A191="","",Produtos!$B191)</f>
        <v>Lixeira Quadrada 24x30 15L c/Aro Colorido</v>
      </c>
      <c r="C191" s="48" t="str">
        <f aca="false">IF(Produtos!$A191="","",Produtos!$C191)</f>
        <v>Lixeiras em inox</v>
      </c>
      <c r="D191" s="33" t="n">
        <f aca="false">IF(Produtos!$A191="","",IF(Produtos!$D191="","",Produtos!$D191))</f>
        <v>143.24</v>
      </c>
      <c r="E191" s="11" t="n">
        <v>29.25</v>
      </c>
      <c r="F191" s="34" t="n">
        <f aca="false">IF($A191="","",IF($C191="","⚠ categoria",IFERROR(INDEX(Parâmetros!$B$13:$B$22,MATCH($C191,Parâmetros!$A$13:$A$22,0)),"⚠ categoria")))</f>
        <v>0.13</v>
      </c>
      <c r="G191" s="35" t="n">
        <v>0.12</v>
      </c>
      <c r="H191" s="36" t="n">
        <f aca="false">IF($A191="","",IF(ISNUMBER($G191),$G191,IF(ISNUMBER($F191),$F191,"")))</f>
        <v>0.12</v>
      </c>
      <c r="I191" s="37" t="n">
        <f aca="false">IF(OR($A191="",NOT(ISNUMBER($D191)),NOT(ISNUMBER($H191))),"",IF((1-$H191-Parâmetros!$B$4-Parâmetros!$C$4-Parâmetros!$D$4)&lt;=0,"INVALIDO",($D191+IF(ISNUMBER($E191),$E191,0)+IF(ISNUMBER(Parâmetros!$E$4),Parâmetros!$E$4,0))/(1-$H191-Parâmetros!$B$4-Parâmetros!$C$4-Parâmetros!$D$4)))</f>
        <v>313.618181818182</v>
      </c>
      <c r="J191" s="38" t="n">
        <v>306.34</v>
      </c>
      <c r="K191" s="39" t="n">
        <f aca="false">IF(OR($A191="",NOT(ISNUMBER($D191)),NOT(ISNUMBER($H191))),"",IF(AND(ISNUMBER($J191),$J191&gt;0),$J191,IF(ISNUMBER($I191),$I191,"")))</f>
        <v>306.34</v>
      </c>
      <c r="L191" s="40" t="n">
        <f aca="false">IF(ISNUMBER($K191),$K191*$H191,"")</f>
        <v>36.7608</v>
      </c>
      <c r="M191" s="40" t="n">
        <f aca="false">IF(ISNUMBER($K191),$K191*Parâmetros!$B$4,"")</f>
        <v>30.634</v>
      </c>
      <c r="N191" s="40" t="n">
        <f aca="false">IF(ISNUMBER($K191),$K191*Parâmetros!$C$4,"")</f>
        <v>9.1902</v>
      </c>
      <c r="O191" s="40" t="n">
        <f aca="false">IF(ISNUMBER($K191),IF(ISNUMBER(Parâmetros!$E$4),Parâmetros!$E$4,0),"")</f>
        <v>0</v>
      </c>
      <c r="P191" s="41" t="n">
        <f aca="false">IF(ISNUMBER($K191),$K191-$D191-IF(ISNUMBER($E191),$E191,0)-$L191-$M191-$N191-$O191,"")</f>
        <v>57.265</v>
      </c>
      <c r="Q191" s="42" t="n">
        <f aca="false">IF(AND(ISNUMBER($K191),$K191&gt;0),$P191/$K191,"")</f>
        <v>0.186932819742769</v>
      </c>
      <c r="R191" s="43"/>
      <c r="S191" s="44" t="str">
        <f aca="false">IF(OR(NOT(ISNUMBER($R191)),$R191=0,NOT(ISNUMBER($K191))),"",$K191*(1-$R191))</f>
        <v/>
      </c>
      <c r="T191" s="45" t="str">
        <f aca="false">IF(ISNUMBER($S191),$S191*$H191,"")</f>
        <v/>
      </c>
      <c r="U191" s="45" t="str">
        <f aca="false">IF(ISNUMBER($S191),$S191*Parâmetros!$B$4,"")</f>
        <v/>
      </c>
      <c r="V191" s="45" t="str">
        <f aca="false">IF(ISNUMBER($S191),$S191*Parâmetros!$C$4,"")</f>
        <v/>
      </c>
      <c r="W191" s="44" t="str">
        <f aca="false">IF(ISNUMBER($S191),$S191-$D191-IF(ISNUMBER($E191),$E191,0)-$O191-$T191-$U191-$V191,"")</f>
        <v/>
      </c>
      <c r="X191" s="46" t="str">
        <f aca="false">IF(AND(ISNUMBER($S191),$S191&gt;0),$W191/$S191,"")</f>
        <v/>
      </c>
      <c r="Y191" s="49" t="s">
        <v>734</v>
      </c>
      <c r="Z191" s="21"/>
    </row>
    <row r="192" customFormat="false" ht="15.75" hidden="false" customHeight="true" outlineLevel="0" collapsed="false">
      <c r="A192" s="32" t="str">
        <f aca="false">IF(Produtos!$A192="","",Produtos!$A192)</f>
        <v>Q2460-AC</v>
      </c>
      <c r="B192" s="32" t="str">
        <f aca="false">IF(Produtos!$A192="","",Produtos!$B192)</f>
        <v>Lixeira Quadrada 24x60 30L c/Aro Colorido</v>
      </c>
      <c r="C192" s="32" t="str">
        <f aca="false">IF(Produtos!$A192="","",Produtos!$C192)</f>
        <v>Lixeiras em inox</v>
      </c>
      <c r="D192" s="33" t="n">
        <f aca="false">IF(Produtos!$A192="","",IF(Produtos!$D192="","",Produtos!$D192))</f>
        <v>215.68</v>
      </c>
      <c r="E192" s="11" t="n">
        <v>49.35</v>
      </c>
      <c r="F192" s="34" t="n">
        <f aca="false">IF($A192="","",IF($C192="","⚠ categoria",IFERROR(INDEX(Parâmetros!$B$13:$B$22,MATCH($C192,Parâmetros!$A$13:$A$22,0)),"⚠ categoria")))</f>
        <v>0.13</v>
      </c>
      <c r="G192" s="35" t="n">
        <v>0.12</v>
      </c>
      <c r="H192" s="36" t="n">
        <f aca="false">IF($A192="","",IF(ISNUMBER($G192),$G192,IF(ISNUMBER($F192),$F192,"")))</f>
        <v>0.12</v>
      </c>
      <c r="I192" s="37" t="n">
        <f aca="false">IF(OR($A192="",NOT(ISNUMBER($D192)),NOT(ISNUMBER($H192))),"",IF((1-$H192-Parâmetros!$B$4-Parâmetros!$C$4-Parâmetros!$D$4)&lt;=0,"INVALIDO",($D192+IF(ISNUMBER($E192),$E192,0)+IF(ISNUMBER(Parâmetros!$E$4),Parâmetros!$E$4,0))/(1-$H192-Parâmetros!$B$4-Parâmetros!$C$4-Parâmetros!$D$4)))</f>
        <v>481.872727272727</v>
      </c>
      <c r="J192" s="38" t="n">
        <v>485.29845</v>
      </c>
      <c r="K192" s="39" t="n">
        <f aca="false">IF(OR($A192="",NOT(ISNUMBER($D192)),NOT(ISNUMBER($H192))),"",IF(AND(ISNUMBER($J192),$J192&gt;0),$J192,IF(ISNUMBER($I192),$I192,"")))</f>
        <v>485.29845</v>
      </c>
      <c r="L192" s="40" t="n">
        <f aca="false">IF(ISNUMBER($K192),$K192*$H192,"")</f>
        <v>58.235814</v>
      </c>
      <c r="M192" s="40" t="n">
        <f aca="false">IF(ISNUMBER($K192),$K192*Parâmetros!$B$4,"")</f>
        <v>48.529845</v>
      </c>
      <c r="N192" s="40" t="n">
        <f aca="false">IF(ISNUMBER($K192),$K192*Parâmetros!$C$4,"")</f>
        <v>14.5589535</v>
      </c>
      <c r="O192" s="40" t="n">
        <f aca="false">IF(ISNUMBER($K192),IF(ISNUMBER(Parâmetros!$E$4),Parâmetros!$E$4,0),"")</f>
        <v>0</v>
      </c>
      <c r="P192" s="41" t="n">
        <f aca="false">IF(ISNUMBER($K192),$K192-$D192-IF(ISNUMBER($E192),$E192,0)-$L192-$M192-$N192-$O192,"")</f>
        <v>98.9438375000001</v>
      </c>
      <c r="Q192" s="42" t="n">
        <f aca="false">IF(AND(ISNUMBER($K192),$K192&gt;0),$P192/$K192,"")</f>
        <v>0.203882451097876</v>
      </c>
      <c r="R192" s="43"/>
      <c r="S192" s="44" t="str">
        <f aca="false">IF(OR(NOT(ISNUMBER($R192)),$R192=0,NOT(ISNUMBER($K192))),"",$K192*(1-$R192))</f>
        <v/>
      </c>
      <c r="T192" s="45" t="str">
        <f aca="false">IF(ISNUMBER($S192),$S192*$H192,"")</f>
        <v/>
      </c>
      <c r="U192" s="45" t="str">
        <f aca="false">IF(ISNUMBER($S192),$S192*Parâmetros!$B$4,"")</f>
        <v/>
      </c>
      <c r="V192" s="45" t="str">
        <f aca="false">IF(ISNUMBER($S192),$S192*Parâmetros!$C$4,"")</f>
        <v/>
      </c>
      <c r="W192" s="44" t="str">
        <f aca="false">IF(ISNUMBER($S192),$S192-$D192-IF(ISNUMBER($E192),$E192,0)-$O192-$T192-$U192-$V192,"")</f>
        <v/>
      </c>
      <c r="X192" s="46" t="str">
        <f aca="false">IF(AND(ISNUMBER($S192),$S192&gt;0),$W192/$S192,"")</f>
        <v/>
      </c>
      <c r="Y192" s="47" t="s">
        <v>734</v>
      </c>
      <c r="Z192" s="19"/>
    </row>
    <row r="193" customFormat="false" ht="15.75" hidden="false" customHeight="true" outlineLevel="0" collapsed="false">
      <c r="A193" s="48" t="str">
        <f aca="false">IF(Produtos!$A193="","",Produtos!$A193)</f>
        <v>Q3060-AC</v>
      </c>
      <c r="B193" s="48" t="str">
        <f aca="false">IF(Produtos!$A193="","",Produtos!$B193)</f>
        <v>Lixeira Quadrada 30x60 50L c/Aro Colorido</v>
      </c>
      <c r="C193" s="48" t="str">
        <f aca="false">IF(Produtos!$A193="","",Produtos!$C193)</f>
        <v>Lixeiras em inox</v>
      </c>
      <c r="D193" s="33" t="n">
        <f aca="false">IF(Produtos!$A193="","",IF(Produtos!$D193="","",Produtos!$D193))</f>
        <v>317.1</v>
      </c>
      <c r="E193" s="11" t="n">
        <v>65.85</v>
      </c>
      <c r="F193" s="34" t="n">
        <f aca="false">IF($A193="","",IF($C193="","⚠ categoria",IFERROR(INDEX(Parâmetros!$B$13:$B$22,MATCH($C193,Parâmetros!$A$13:$A$22,0)),"⚠ categoria")))</f>
        <v>0.13</v>
      </c>
      <c r="G193" s="35" t="n">
        <v>0.12</v>
      </c>
      <c r="H193" s="36" t="n">
        <f aca="false">IF($A193="","",IF(ISNUMBER($G193),$G193,IF(ISNUMBER($F193),$F193,"")))</f>
        <v>0.12</v>
      </c>
      <c r="I193" s="37" t="n">
        <f aca="false">IF(OR($A193="",NOT(ISNUMBER($D193)),NOT(ISNUMBER($H193))),"",IF((1-$H193-Parâmetros!$B$4-Parâmetros!$C$4-Parâmetros!$D$4)&lt;=0,"INVALIDO",($D193+IF(ISNUMBER($E193),$E193,0)+IF(ISNUMBER(Parâmetros!$E$4),Parâmetros!$E$4,0))/(1-$H193-Parâmetros!$B$4-Parâmetros!$C$4-Parâmetros!$D$4)))</f>
        <v>696.272727272727</v>
      </c>
      <c r="J193" s="38" t="n">
        <v>638.975925</v>
      </c>
      <c r="K193" s="39" t="n">
        <f aca="false">IF(OR($A193="",NOT(ISNUMBER($D193)),NOT(ISNUMBER($H193))),"",IF(AND(ISNUMBER($J193),$J193&gt;0),$J193,IF(ISNUMBER($I193),$I193,"")))</f>
        <v>638.975925</v>
      </c>
      <c r="L193" s="40" t="n">
        <f aca="false">IF(ISNUMBER($K193),$K193*$H193,"")</f>
        <v>76.677111</v>
      </c>
      <c r="M193" s="40" t="n">
        <f aca="false">IF(ISNUMBER($K193),$K193*Parâmetros!$B$4,"")</f>
        <v>63.8975925</v>
      </c>
      <c r="N193" s="40" t="n">
        <f aca="false">IF(ISNUMBER($K193),$K193*Parâmetros!$C$4,"")</f>
        <v>19.16927775</v>
      </c>
      <c r="O193" s="40" t="n">
        <f aca="false">IF(ISNUMBER($K193),IF(ISNUMBER(Parâmetros!$E$4),Parâmetros!$E$4,0),"")</f>
        <v>0</v>
      </c>
      <c r="P193" s="41" t="n">
        <f aca="false">IF(ISNUMBER($K193),$K193-$D193-IF(ISNUMBER($E193),$E193,0)-$L193-$M193-$N193-$O193,"")</f>
        <v>96.2819437499999</v>
      </c>
      <c r="Q193" s="42" t="n">
        <f aca="false">IF(AND(ISNUMBER($K193),$K193&gt;0),$P193/$K193,"")</f>
        <v>0.15068164540002</v>
      </c>
      <c r="R193" s="43"/>
      <c r="S193" s="44" t="str">
        <f aca="false">IF(OR(NOT(ISNUMBER($R193)),$R193=0,NOT(ISNUMBER($K193))),"",$K193*(1-$R193))</f>
        <v/>
      </c>
      <c r="T193" s="45" t="str">
        <f aca="false">IF(ISNUMBER($S193),$S193*$H193,"")</f>
        <v/>
      </c>
      <c r="U193" s="45" t="str">
        <f aca="false">IF(ISNUMBER($S193),$S193*Parâmetros!$B$4,"")</f>
        <v/>
      </c>
      <c r="V193" s="45" t="str">
        <f aca="false">IF(ISNUMBER($S193),$S193*Parâmetros!$C$4,"")</f>
        <v/>
      </c>
      <c r="W193" s="44" t="str">
        <f aca="false">IF(ISNUMBER($S193),$S193-$D193-IF(ISNUMBER($E193),$E193,0)-$O193-$T193-$U193-$V193,"")</f>
        <v/>
      </c>
      <c r="X193" s="46" t="str">
        <f aca="false">IF(AND(ISNUMBER($S193),$S193&gt;0),$W193/$S193,"")</f>
        <v/>
      </c>
      <c r="Y193" s="49" t="s">
        <v>734</v>
      </c>
      <c r="Z193" s="21"/>
    </row>
    <row r="194" customFormat="false" ht="15.75" hidden="false" customHeight="true" outlineLevel="0" collapsed="false">
      <c r="A194" s="32" t="str">
        <f aca="false">IF(Produtos!$A194="","",Produtos!$A194)</f>
        <v>Q4070-AC</v>
      </c>
      <c r="B194" s="32" t="str">
        <f aca="false">IF(Produtos!$A194="","",Produtos!$B194)</f>
        <v>Lixeira Quadrada 40x70 100L c/Aro Colorido</v>
      </c>
      <c r="C194" s="32" t="str">
        <f aca="false">IF(Produtos!$A194="","",Produtos!$C194)</f>
        <v>Lixeiras em inox</v>
      </c>
      <c r="D194" s="33" t="n">
        <f aca="false">IF(Produtos!$A194="","",IF(Produtos!$D194="","",Produtos!$D194))</f>
        <v>651.12</v>
      </c>
      <c r="E194" s="11" t="n">
        <v>79.35</v>
      </c>
      <c r="F194" s="34" t="n">
        <f aca="false">IF($A194="","",IF($C194="","⚠ categoria",IFERROR(INDEX(Parâmetros!$B$13:$B$22,MATCH($C194,Parâmetros!$A$13:$A$22,0)),"⚠ categoria")))</f>
        <v>0.13</v>
      </c>
      <c r="G194" s="35"/>
      <c r="H194" s="36" t="n">
        <f aca="false">IF($A194="","",IF(ISNUMBER($G194),$G194,IF(ISNUMBER($F194),$F194,"")))</f>
        <v>0.13</v>
      </c>
      <c r="I194" s="37" t="n">
        <f aca="false">IF(OR($A194="",NOT(ISNUMBER($D194)),NOT(ISNUMBER($H194))),"",IF((1-$H194-Parâmetros!$B$4-Parâmetros!$C$4-Parâmetros!$D$4)&lt;=0,"INVALIDO",($D194+IF(ISNUMBER($E194),$E194,0)+IF(ISNUMBER(Parâmetros!$E$4),Parâmetros!$E$4,0))/(1-$H194-Parâmetros!$B$4-Parâmetros!$C$4-Parâmetros!$D$4)))</f>
        <v>1352.72222222222</v>
      </c>
      <c r="J194" s="38" t="n">
        <v>1308.568275</v>
      </c>
      <c r="K194" s="39" t="n">
        <f aca="false">IF(OR($A194="",NOT(ISNUMBER($D194)),NOT(ISNUMBER($H194))),"",IF(AND(ISNUMBER($J194),$J194&gt;0),$J194,IF(ISNUMBER($I194),$I194,"")))</f>
        <v>1308.568275</v>
      </c>
      <c r="L194" s="40" t="n">
        <f aca="false">IF(ISNUMBER($K194),$K194*$H194,"")</f>
        <v>170.11387575</v>
      </c>
      <c r="M194" s="40" t="n">
        <f aca="false">IF(ISNUMBER($K194),$K194*Parâmetros!$B$4,"")</f>
        <v>130.8568275</v>
      </c>
      <c r="N194" s="40" t="n">
        <f aca="false">IF(ISNUMBER($K194),$K194*Parâmetros!$C$4,"")</f>
        <v>39.25704825</v>
      </c>
      <c r="O194" s="40" t="n">
        <f aca="false">IF(ISNUMBER($K194),IF(ISNUMBER(Parâmetros!$E$4),Parâmetros!$E$4,0),"")</f>
        <v>0</v>
      </c>
      <c r="P194" s="41" t="n">
        <f aca="false">IF(ISNUMBER($K194),$K194-$D194-IF(ISNUMBER($E194),$E194,0)-$L194-$M194-$N194-$O194,"")</f>
        <v>237.8705235</v>
      </c>
      <c r="Q194" s="42" t="n">
        <f aca="false">IF(AND(ISNUMBER($K194),$K194&gt;0),$P194/$K194,"")</f>
        <v>0.18177922241008</v>
      </c>
      <c r="R194" s="43"/>
      <c r="S194" s="44" t="str">
        <f aca="false">IF(OR(NOT(ISNUMBER($R194)),$R194=0,NOT(ISNUMBER($K194))),"",$K194*(1-$R194))</f>
        <v/>
      </c>
      <c r="T194" s="45" t="str">
        <f aca="false">IF(ISNUMBER($S194),$S194*$H194,"")</f>
        <v/>
      </c>
      <c r="U194" s="45" t="str">
        <f aca="false">IF(ISNUMBER($S194),$S194*Parâmetros!$B$4,"")</f>
        <v/>
      </c>
      <c r="V194" s="45" t="str">
        <f aca="false">IF(ISNUMBER($S194),$S194*Parâmetros!$C$4,"")</f>
        <v/>
      </c>
      <c r="W194" s="44" t="str">
        <f aca="false">IF(ISNUMBER($S194),$S194-$D194-IF(ISNUMBER($E194),$E194,0)-$O194-$T194-$U194-$V194,"")</f>
        <v/>
      </c>
      <c r="X194" s="46" t="str">
        <f aca="false">IF(AND(ISNUMBER($S194),$S194&gt;0),$W194/$S194,"")</f>
        <v/>
      </c>
      <c r="Y194" s="47" t="s">
        <v>734</v>
      </c>
      <c r="Z194" s="19"/>
    </row>
    <row r="195" customFormat="false" ht="15.75" hidden="false" customHeight="true" outlineLevel="0" collapsed="false">
      <c r="A195" s="48" t="str">
        <f aca="false">IF(Produtos!$A195="","",Produtos!$A195)</f>
        <v>Q2430-BC</v>
      </c>
      <c r="B195" s="48" t="str">
        <f aca="false">IF(Produtos!$A195="","",Produtos!$B195)</f>
        <v>Lixeira Quadrada 24x30 15L c/Aro Basculante Colorido</v>
      </c>
      <c r="C195" s="48" t="str">
        <f aca="false">IF(Produtos!$A195="","",Produtos!$C195)</f>
        <v>Lixeiras em inox</v>
      </c>
      <c r="D195" s="33" t="n">
        <f aca="false">IF(Produtos!$A195="","",IF(Produtos!$D195="","",Produtos!$D195))</f>
        <v>173.65</v>
      </c>
      <c r="E195" s="11" t="n">
        <v>29.25</v>
      </c>
      <c r="F195" s="34" t="n">
        <f aca="false">IF($A195="","",IF($C195="","⚠ categoria",IFERROR(INDEX(Parâmetros!$B$13:$B$22,MATCH($C195,Parâmetros!$A$13:$A$22,0)),"⚠ categoria")))</f>
        <v>0.13</v>
      </c>
      <c r="G195" s="35" t="n">
        <v>0.12</v>
      </c>
      <c r="H195" s="36" t="n">
        <f aca="false">IF($A195="","",IF(ISNUMBER($G195),$G195,IF(ISNUMBER($F195),$F195,"")))</f>
        <v>0.12</v>
      </c>
      <c r="I195" s="37" t="n">
        <f aca="false">IF(OR($A195="",NOT(ISNUMBER($D195)),NOT(ISNUMBER($H195))),"",IF((1-$H195-Parâmetros!$B$4-Parâmetros!$C$4-Parâmetros!$D$4)&lt;=0,"INVALIDO",($D195+IF(ISNUMBER($E195),$E195,0)+IF(ISNUMBER(Parâmetros!$E$4),Parâmetros!$E$4,0))/(1-$H195-Parâmetros!$B$4-Parâmetros!$C$4-Parâmetros!$D$4)))</f>
        <v>368.909090909091</v>
      </c>
      <c r="J195" s="38" t="n">
        <v>355.280625</v>
      </c>
      <c r="K195" s="39" t="n">
        <f aca="false">IF(OR($A195="",NOT(ISNUMBER($D195)),NOT(ISNUMBER($H195))),"",IF(AND(ISNUMBER($J195),$J195&gt;0),$J195,IF(ISNUMBER($I195),$I195,"")))</f>
        <v>355.280625</v>
      </c>
      <c r="L195" s="40" t="n">
        <f aca="false">IF(ISNUMBER($K195),$K195*$H195,"")</f>
        <v>42.633675</v>
      </c>
      <c r="M195" s="40" t="n">
        <f aca="false">IF(ISNUMBER($K195),$K195*Parâmetros!$B$4,"")</f>
        <v>35.5280625</v>
      </c>
      <c r="N195" s="40" t="n">
        <f aca="false">IF(ISNUMBER($K195),$K195*Parâmetros!$C$4,"")</f>
        <v>10.65841875</v>
      </c>
      <c r="O195" s="40" t="n">
        <f aca="false">IF(ISNUMBER($K195),IF(ISNUMBER(Parâmetros!$E$4),Parâmetros!$E$4,0),"")</f>
        <v>0</v>
      </c>
      <c r="P195" s="41" t="n">
        <f aca="false">IF(ISNUMBER($K195),$K195-$D195-IF(ISNUMBER($E195),$E195,0)-$L195-$M195-$N195-$O195,"")</f>
        <v>63.56046875</v>
      </c>
      <c r="Q195" s="42" t="n">
        <f aca="false">IF(AND(ISNUMBER($K195),$K195&gt;0),$P195/$K195,"")</f>
        <v>0.178902153051549</v>
      </c>
      <c r="R195" s="43"/>
      <c r="S195" s="44" t="str">
        <f aca="false">IF(OR(NOT(ISNUMBER($R195)),$R195=0,NOT(ISNUMBER($K195))),"",$K195*(1-$R195))</f>
        <v/>
      </c>
      <c r="T195" s="45" t="str">
        <f aca="false">IF(ISNUMBER($S195),$S195*$H195,"")</f>
        <v/>
      </c>
      <c r="U195" s="45" t="str">
        <f aca="false">IF(ISNUMBER($S195),$S195*Parâmetros!$B$4,"")</f>
        <v/>
      </c>
      <c r="V195" s="45" t="str">
        <f aca="false">IF(ISNUMBER($S195),$S195*Parâmetros!$C$4,"")</f>
        <v/>
      </c>
      <c r="W195" s="44" t="str">
        <f aca="false">IF(ISNUMBER($S195),$S195-$D195-IF(ISNUMBER($E195),$E195,0)-$O195-$T195-$U195-$V195,"")</f>
        <v/>
      </c>
      <c r="X195" s="46" t="str">
        <f aca="false">IF(AND(ISNUMBER($S195),$S195&gt;0),$W195/$S195,"")</f>
        <v/>
      </c>
      <c r="Y195" s="49" t="s">
        <v>734</v>
      </c>
      <c r="Z195" s="21"/>
    </row>
    <row r="196" customFormat="false" ht="15.75" hidden="false" customHeight="true" outlineLevel="0" collapsed="false">
      <c r="A196" s="32" t="str">
        <f aca="false">IF(Produtos!$A196="","",Produtos!$A196)</f>
        <v>Q2460-BC</v>
      </c>
      <c r="B196" s="32" t="str">
        <f aca="false">IF(Produtos!$A196="","",Produtos!$B196)</f>
        <v>Lixeira Quadrada 24x60 30L c/Aro Basculante Colorido</v>
      </c>
      <c r="C196" s="32" t="str">
        <f aca="false">IF(Produtos!$A196="","",Produtos!$C196)</f>
        <v>Lixeiras em inox</v>
      </c>
      <c r="D196" s="33" t="n">
        <f aca="false">IF(Produtos!$A196="","",IF(Produtos!$D196="","",Produtos!$D196))</f>
        <v>234.63</v>
      </c>
      <c r="E196" s="11" t="n">
        <v>49.35</v>
      </c>
      <c r="F196" s="34" t="n">
        <f aca="false">IF($A196="","",IF($C196="","⚠ categoria",IFERROR(INDEX(Parâmetros!$B$13:$B$22,MATCH($C196,Parâmetros!$A$13:$A$22,0)),"⚠ categoria")))</f>
        <v>0.13</v>
      </c>
      <c r="G196" s="35" t="n">
        <v>0.12</v>
      </c>
      <c r="H196" s="36" t="n">
        <f aca="false">IF($A196="","",IF(ISNUMBER($G196),$G196,IF(ISNUMBER($F196),$F196,"")))</f>
        <v>0.12</v>
      </c>
      <c r="I196" s="37" t="n">
        <f aca="false">IF(OR($A196="",NOT(ISNUMBER($D196)),NOT(ISNUMBER($H196))),"",IF((1-$H196-Parâmetros!$B$4-Parâmetros!$C$4-Parâmetros!$D$4)&lt;=0,"INVALIDO",($D196+IF(ISNUMBER($E196),$E196,0)+IF(ISNUMBER(Parâmetros!$E$4),Parâmetros!$E$4,0))/(1-$H196-Parâmetros!$B$4-Parâmetros!$C$4-Parâmetros!$D$4)))</f>
        <v>516.327272727273</v>
      </c>
      <c r="J196" s="38" t="n">
        <v>481.2192</v>
      </c>
      <c r="K196" s="39" t="n">
        <f aca="false">IF(OR($A196="",NOT(ISNUMBER($D196)),NOT(ISNUMBER($H196))),"",IF(AND(ISNUMBER($J196),$J196&gt;0),$J196,IF(ISNUMBER($I196),$I196,"")))</f>
        <v>481.2192</v>
      </c>
      <c r="L196" s="40" t="n">
        <f aca="false">IF(ISNUMBER($K196),$K196*$H196,"")</f>
        <v>57.746304</v>
      </c>
      <c r="M196" s="40" t="n">
        <f aca="false">IF(ISNUMBER($K196),$K196*Parâmetros!$B$4,"")</f>
        <v>48.12192</v>
      </c>
      <c r="N196" s="40" t="n">
        <f aca="false">IF(ISNUMBER($K196),$K196*Parâmetros!$C$4,"")</f>
        <v>14.436576</v>
      </c>
      <c r="O196" s="40" t="n">
        <f aca="false">IF(ISNUMBER($K196),IF(ISNUMBER(Parâmetros!$E$4),Parâmetros!$E$4,0),"")</f>
        <v>0</v>
      </c>
      <c r="P196" s="41" t="n">
        <f aca="false">IF(ISNUMBER($K196),$K196-$D196-IF(ISNUMBER($E196),$E196,0)-$L196-$M196-$N196-$O196,"")</f>
        <v>76.9344000000001</v>
      </c>
      <c r="Q196" s="42" t="n">
        <f aca="false">IF(AND(ISNUMBER($K196),$K196&gt;0),$P196/$K196,"")</f>
        <v>0.159873920242584</v>
      </c>
      <c r="R196" s="43"/>
      <c r="S196" s="44" t="str">
        <f aca="false">IF(OR(NOT(ISNUMBER($R196)),$R196=0,NOT(ISNUMBER($K196))),"",$K196*(1-$R196))</f>
        <v/>
      </c>
      <c r="T196" s="45" t="str">
        <f aca="false">IF(ISNUMBER($S196),$S196*$H196,"")</f>
        <v/>
      </c>
      <c r="U196" s="45" t="str">
        <f aca="false">IF(ISNUMBER($S196),$S196*Parâmetros!$B$4,"")</f>
        <v/>
      </c>
      <c r="V196" s="45" t="str">
        <f aca="false">IF(ISNUMBER($S196),$S196*Parâmetros!$C$4,"")</f>
        <v/>
      </c>
      <c r="W196" s="44" t="str">
        <f aca="false">IF(ISNUMBER($S196),$S196-$D196-IF(ISNUMBER($E196),$E196,0)-$O196-$T196-$U196-$V196,"")</f>
        <v/>
      </c>
      <c r="X196" s="46" t="str">
        <f aca="false">IF(AND(ISNUMBER($S196),$S196&gt;0),$W196/$S196,"")</f>
        <v/>
      </c>
      <c r="Y196" s="47" t="s">
        <v>734</v>
      </c>
      <c r="Z196" s="19"/>
    </row>
    <row r="197" customFormat="false" ht="15.75" hidden="false" customHeight="true" outlineLevel="0" collapsed="false">
      <c r="A197" s="48" t="str">
        <f aca="false">IF(Produtos!$A197="","",Produtos!$A197)</f>
        <v>Q3060-BC</v>
      </c>
      <c r="B197" s="48" t="str">
        <f aca="false">IF(Produtos!$A197="","",Produtos!$B197)</f>
        <v>Lixeira Quadrada 30x60 50L c/Aro Basculante Colorido</v>
      </c>
      <c r="C197" s="48" t="str">
        <f aca="false">IF(Produtos!$A197="","",Produtos!$C197)</f>
        <v>Lixeiras em inox</v>
      </c>
      <c r="D197" s="33" t="n">
        <f aca="false">IF(Produtos!$A197="","",IF(Produtos!$D197="","",Produtos!$D197))</f>
        <v>342.51</v>
      </c>
      <c r="E197" s="11"/>
      <c r="F197" s="34" t="n">
        <f aca="false">IF($A197="","",IF($C197="","⚠ categoria",IFERROR(INDEX(Parâmetros!$B$13:$B$22,MATCH($C197,Parâmetros!$A$13:$A$22,0)),"⚠ categoria")))</f>
        <v>0.13</v>
      </c>
      <c r="G197" s="35"/>
      <c r="H197" s="36" t="n">
        <f aca="false">IF($A197="","",IF(ISNUMBER($G197),$G197,IF(ISNUMBER($F197),$F197,"")))</f>
        <v>0.13</v>
      </c>
      <c r="I197" s="37" t="n">
        <f aca="false">IF(OR($A197="",NOT(ISNUMBER($D197)),NOT(ISNUMBER($H197))),"",IF((1-$H197-Parâmetros!$B$4-Parâmetros!$C$4-Parâmetros!$D$4)&lt;=0,"INVALIDO",($D197+IF(ISNUMBER($E197),$E197,0)+IF(ISNUMBER(Parâmetros!$E$4),Parâmetros!$E$4,0))/(1-$H197-Parâmetros!$B$4-Parâmetros!$C$4-Parâmetros!$D$4)))</f>
        <v>634.277777777778</v>
      </c>
      <c r="J197" s="38"/>
      <c r="K197" s="39" t="n">
        <f aca="false">IF(OR($A197="",NOT(ISNUMBER($D197)),NOT(ISNUMBER($H197))),"",IF(AND(ISNUMBER($J197),$J197&gt;0),$J197,IF(ISNUMBER($I197),$I197,"")))</f>
        <v>634.277777777778</v>
      </c>
      <c r="L197" s="40" t="n">
        <f aca="false">IF(ISNUMBER($K197),$K197*$H197,"")</f>
        <v>82.4561111111111</v>
      </c>
      <c r="M197" s="40" t="n">
        <f aca="false">IF(ISNUMBER($K197),$K197*Parâmetros!$B$4,"")</f>
        <v>63.4277777777778</v>
      </c>
      <c r="N197" s="40" t="n">
        <f aca="false">IF(ISNUMBER($K197),$K197*Parâmetros!$C$4,"")</f>
        <v>19.0283333333333</v>
      </c>
      <c r="O197" s="40" t="n">
        <f aca="false">IF(ISNUMBER($K197),IF(ISNUMBER(Parâmetros!$E$4),Parâmetros!$E$4,0),"")</f>
        <v>0</v>
      </c>
      <c r="P197" s="41" t="n">
        <f aca="false">IF(ISNUMBER($K197),$K197-$D197-IF(ISNUMBER($E197),$E197,0)-$L197-$M197-$N197-$O197,"")</f>
        <v>126.855555555556</v>
      </c>
      <c r="Q197" s="42" t="n">
        <f aca="false">IF(AND(ISNUMBER($K197),$K197&gt;0),$P197/$K197,"")</f>
        <v>0.2</v>
      </c>
      <c r="R197" s="43"/>
      <c r="S197" s="44" t="str">
        <f aca="false">IF(OR(NOT(ISNUMBER($R197)),$R197=0,NOT(ISNUMBER($K197))),"",$K197*(1-$R197))</f>
        <v/>
      </c>
      <c r="T197" s="45" t="str">
        <f aca="false">IF(ISNUMBER($S197),$S197*$H197,"")</f>
        <v/>
      </c>
      <c r="U197" s="45" t="str">
        <f aca="false">IF(ISNUMBER($S197),$S197*Parâmetros!$B$4,"")</f>
        <v/>
      </c>
      <c r="V197" s="45" t="str">
        <f aca="false">IF(ISNUMBER($S197),$S197*Parâmetros!$C$4,"")</f>
        <v/>
      </c>
      <c r="W197" s="44" t="str">
        <f aca="false">IF(ISNUMBER($S197),$S197-$D197-IF(ISNUMBER($E197),$E197,0)-$O197-$T197-$U197-$V197,"")</f>
        <v/>
      </c>
      <c r="X197" s="46" t="str">
        <f aca="false">IF(AND(ISNUMBER($S197),$S197&gt;0),$W197/$S197,"")</f>
        <v/>
      </c>
      <c r="Y197" s="49"/>
      <c r="Z197" s="21"/>
    </row>
    <row r="198" customFormat="false" ht="15.75" hidden="false" customHeight="true" outlineLevel="0" collapsed="false">
      <c r="A198" s="32" t="str">
        <f aca="false">IF(Produtos!$A198="","",Produtos!$A198)</f>
        <v>Q4070-BC</v>
      </c>
      <c r="B198" s="32" t="str">
        <f aca="false">IF(Produtos!$A198="","",Produtos!$B198)</f>
        <v>Lixeira Quadrada 40x70 100L c/Aro Basculante Colorido</v>
      </c>
      <c r="C198" s="32" t="str">
        <f aca="false">IF(Produtos!$A198="","",Produtos!$C198)</f>
        <v>Lixeiras em inox</v>
      </c>
      <c r="D198" s="33" t="n">
        <f aca="false">IF(Produtos!$A198="","",IF(Produtos!$D198="","",Produtos!$D198))</f>
        <v>686.97</v>
      </c>
      <c r="E198" s="11" t="n">
        <v>107.95</v>
      </c>
      <c r="F198" s="34" t="n">
        <f aca="false">IF($A198="","",IF($C198="","⚠ categoria",IFERROR(INDEX(Parâmetros!$B$13:$B$22,MATCH($C198,Parâmetros!$A$13:$A$22,0)),"⚠ categoria")))</f>
        <v>0.13</v>
      </c>
      <c r="G198" s="35"/>
      <c r="H198" s="36" t="n">
        <f aca="false">IF($A198="","",IF(ISNUMBER($G198),$G198,IF(ISNUMBER($F198),$F198,"")))</f>
        <v>0.13</v>
      </c>
      <c r="I198" s="37" t="n">
        <f aca="false">IF(OR($A198="",NOT(ISNUMBER($D198)),NOT(ISNUMBER($H198))),"",IF((1-$H198-Parâmetros!$B$4-Parâmetros!$C$4-Parâmetros!$D$4)&lt;=0,"INVALIDO",($D198+IF(ISNUMBER($E198),$E198,0)+IF(ISNUMBER(Parâmetros!$E$4),Parâmetros!$E$4,0))/(1-$H198-Parâmetros!$B$4-Parâmetros!$C$4-Parâmetros!$D$4)))</f>
        <v>1472.07407407407</v>
      </c>
      <c r="J198" s="38" t="n">
        <v>1223.499375</v>
      </c>
      <c r="K198" s="39" t="n">
        <f aca="false">IF(OR($A198="",NOT(ISNUMBER($D198)),NOT(ISNUMBER($H198))),"",IF(AND(ISNUMBER($J198),$J198&gt;0),$J198,IF(ISNUMBER($I198),$I198,"")))</f>
        <v>1223.499375</v>
      </c>
      <c r="L198" s="40" t="n">
        <f aca="false">IF(ISNUMBER($K198),$K198*$H198,"")</f>
        <v>159.05491875</v>
      </c>
      <c r="M198" s="40" t="n">
        <f aca="false">IF(ISNUMBER($K198),$K198*Parâmetros!$B$4,"")</f>
        <v>122.3499375</v>
      </c>
      <c r="N198" s="40" t="n">
        <f aca="false">IF(ISNUMBER($K198),$K198*Parâmetros!$C$4,"")</f>
        <v>36.70498125</v>
      </c>
      <c r="O198" s="40" t="n">
        <f aca="false">IF(ISNUMBER($K198),IF(ISNUMBER(Parâmetros!$E$4),Parâmetros!$E$4,0),"")</f>
        <v>0</v>
      </c>
      <c r="P198" s="41" t="n">
        <f aca="false">IF(ISNUMBER($K198),$K198-$D198-IF(ISNUMBER($E198),$E198,0)-$L198-$M198-$N198-$O198,"")</f>
        <v>110.4695375</v>
      </c>
      <c r="Q198" s="42" t="n">
        <f aca="false">IF(AND(ISNUMBER($K198),$K198&gt;0),$P198/$K198,"")</f>
        <v>0.0902898193143744</v>
      </c>
      <c r="R198" s="43"/>
      <c r="S198" s="44" t="str">
        <f aca="false">IF(OR(NOT(ISNUMBER($R198)),$R198=0,NOT(ISNUMBER($K198))),"",$K198*(1-$R198))</f>
        <v/>
      </c>
      <c r="T198" s="45" t="str">
        <f aca="false">IF(ISNUMBER($S198),$S198*$H198,"")</f>
        <v/>
      </c>
      <c r="U198" s="45" t="str">
        <f aca="false">IF(ISNUMBER($S198),$S198*Parâmetros!$B$4,"")</f>
        <v/>
      </c>
      <c r="V198" s="45" t="str">
        <f aca="false">IF(ISNUMBER($S198),$S198*Parâmetros!$C$4,"")</f>
        <v/>
      </c>
      <c r="W198" s="44" t="str">
        <f aca="false">IF(ISNUMBER($S198),$S198-$D198-IF(ISNUMBER($E198),$E198,0)-$O198-$T198-$U198-$V198,"")</f>
        <v/>
      </c>
      <c r="X198" s="46" t="str">
        <f aca="false">IF(AND(ISNUMBER($S198),$S198&gt;0),$W198/$S198,"")</f>
        <v/>
      </c>
      <c r="Y198" s="47" t="s">
        <v>734</v>
      </c>
      <c r="Z198" s="19"/>
    </row>
    <row r="199" customFormat="false" ht="15.75" hidden="false" customHeight="true" outlineLevel="0" collapsed="false">
      <c r="A199" s="48" t="str">
        <f aca="false">IF(Produtos!$A199="","",Produtos!$A199)</f>
        <v>PQ-2430C</v>
      </c>
      <c r="B199" s="48" t="str">
        <f aca="false">IF(Produtos!$A199="","",Produtos!$B199)</f>
        <v>Lixeira quadrada c/Tampa colorida e Pedal 24x30 15L</v>
      </c>
      <c r="C199" s="48" t="str">
        <f aca="false">IF(Produtos!$A199="","",Produtos!$C199)</f>
        <v>Lixeiras com pedal</v>
      </c>
      <c r="D199" s="33" t="n">
        <f aca="false">IF(Produtos!$A199="","",IF(Produtos!$D199="","",Produtos!$D199))</f>
        <v>293.67</v>
      </c>
      <c r="E199" s="11" t="n">
        <v>29.25</v>
      </c>
      <c r="F199" s="34" t="n">
        <f aca="false">IF($A199="","",IF($C199="","⚠ categoria",IFERROR(INDEX(Parâmetros!$B$13:$B$22,MATCH($C199,Parâmetros!$A$13:$A$22,0)),"⚠ categoria")))</f>
        <v>0.13</v>
      </c>
      <c r="G199" s="35" t="n">
        <v>0.12</v>
      </c>
      <c r="H199" s="36" t="n">
        <f aca="false">IF($A199="","",IF(ISNUMBER($G199),$G199,IF(ISNUMBER($F199),$F199,"")))</f>
        <v>0.12</v>
      </c>
      <c r="I199" s="37" t="n">
        <f aca="false">IF(OR($A199="",NOT(ISNUMBER($D199)),NOT(ISNUMBER($H199))),"",IF((1-$H199-Parâmetros!$B$4-Parâmetros!$C$4-Parâmetros!$D$4)&lt;=0,"INVALIDO",($D199+IF(ISNUMBER($E199),$E199,0)+IF(ISNUMBER(Parâmetros!$E$4),Parâmetros!$E$4,0))/(1-$H199-Parâmetros!$B$4-Parâmetros!$C$4-Parâmetros!$D$4)))</f>
        <v>587.127272727273</v>
      </c>
      <c r="J199" s="38" t="n">
        <v>614.742975</v>
      </c>
      <c r="K199" s="39" t="n">
        <f aca="false">IF(OR($A199="",NOT(ISNUMBER($D199)),NOT(ISNUMBER($H199))),"",IF(AND(ISNUMBER($J199),$J199&gt;0),$J199,IF(ISNUMBER($I199),$I199,"")))</f>
        <v>614.742975</v>
      </c>
      <c r="L199" s="40" t="n">
        <f aca="false">IF(ISNUMBER($K199),$K199*$H199,"")</f>
        <v>73.769157</v>
      </c>
      <c r="M199" s="40" t="n">
        <f aca="false">IF(ISNUMBER($K199),$K199*Parâmetros!$B$4,"")</f>
        <v>61.4742975</v>
      </c>
      <c r="N199" s="40" t="n">
        <f aca="false">IF(ISNUMBER($K199),$K199*Parâmetros!$C$4,"")</f>
        <v>18.44228925</v>
      </c>
      <c r="O199" s="40" t="n">
        <f aca="false">IF(ISNUMBER($K199),IF(ISNUMBER(Parâmetros!$E$4),Parâmetros!$E$4,0),"")</f>
        <v>0</v>
      </c>
      <c r="P199" s="41" t="n">
        <f aca="false">IF(ISNUMBER($K199),$K199-$D199-IF(ISNUMBER($E199),$E199,0)-$L199-$M199-$N199-$O199,"")</f>
        <v>138.13723125</v>
      </c>
      <c r="Q199" s="42" t="n">
        <f aca="false">IF(AND(ISNUMBER($K199),$K199&gt;0),$P199/$K199,"")</f>
        <v>0.224707295353802</v>
      </c>
      <c r="R199" s="43"/>
      <c r="S199" s="44" t="str">
        <f aca="false">IF(OR(NOT(ISNUMBER($R199)),$R199=0,NOT(ISNUMBER($K199))),"",$K199*(1-$R199))</f>
        <v/>
      </c>
      <c r="T199" s="45" t="str">
        <f aca="false">IF(ISNUMBER($S199),$S199*$H199,"")</f>
        <v/>
      </c>
      <c r="U199" s="45" t="str">
        <f aca="false">IF(ISNUMBER($S199),$S199*Parâmetros!$B$4,"")</f>
        <v/>
      </c>
      <c r="V199" s="45" t="str">
        <f aca="false">IF(ISNUMBER($S199),$S199*Parâmetros!$C$4,"")</f>
        <v/>
      </c>
      <c r="W199" s="44" t="str">
        <f aca="false">IF(ISNUMBER($S199),$S199-$D199-IF(ISNUMBER($E199),$E199,0)-$O199-$T199-$U199-$V199,"")</f>
        <v/>
      </c>
      <c r="X199" s="46" t="str">
        <f aca="false">IF(AND(ISNUMBER($S199),$S199&gt;0),$W199/$S199,"")</f>
        <v/>
      </c>
      <c r="Y199" s="49" t="s">
        <v>734</v>
      </c>
      <c r="Z199" s="21"/>
    </row>
    <row r="200" customFormat="false" ht="15.75" hidden="false" customHeight="true" outlineLevel="0" collapsed="false">
      <c r="A200" s="32" t="str">
        <f aca="false">IF(Produtos!$A200="","",Produtos!$A200)</f>
        <v>PQ-2460C</v>
      </c>
      <c r="B200" s="32" t="str">
        <f aca="false">IF(Produtos!$A200="","",Produtos!$B200)</f>
        <v>Lixeira quadrada c/Tampa colorida e Pedal 24x60 30L</v>
      </c>
      <c r="C200" s="32" t="str">
        <f aca="false">IF(Produtos!$A200="","",Produtos!$C200)</f>
        <v>Lixeiras com pedal</v>
      </c>
      <c r="D200" s="33" t="n">
        <f aca="false">IF(Produtos!$A200="","",IF(Produtos!$D200="","",Produtos!$D200))</f>
        <v>360.26</v>
      </c>
      <c r="E200" s="11" t="n">
        <v>49.35</v>
      </c>
      <c r="F200" s="34" t="n">
        <f aca="false">IF($A200="","",IF($C200="","⚠ categoria",IFERROR(INDEX(Parâmetros!$B$13:$B$22,MATCH($C200,Parâmetros!$A$13:$A$22,0)),"⚠ categoria")))</f>
        <v>0.13</v>
      </c>
      <c r="G200" s="35" t="n">
        <v>0.12</v>
      </c>
      <c r="H200" s="36" t="n">
        <f aca="false">IF($A200="","",IF(ISNUMBER($G200),$G200,IF(ISNUMBER($F200),$F200,"")))</f>
        <v>0.12</v>
      </c>
      <c r="I200" s="37" t="n">
        <f aca="false">IF(OR($A200="",NOT(ISNUMBER($D200)),NOT(ISNUMBER($H200))),"",IF((1-$H200-Parâmetros!$B$4-Parâmetros!$C$4-Parâmetros!$D$4)&lt;=0,"INVALIDO",($D200+IF(ISNUMBER($E200),$E200,0)+IF(ISNUMBER(Parâmetros!$E$4),Parâmetros!$E$4,0))/(1-$H200-Parâmetros!$B$4-Parâmetros!$C$4-Parâmetros!$D$4)))</f>
        <v>744.745454545455</v>
      </c>
      <c r="J200" s="38" t="n">
        <v>731.409525</v>
      </c>
      <c r="K200" s="39" t="n">
        <f aca="false">IF(OR($A200="",NOT(ISNUMBER($D200)),NOT(ISNUMBER($H200))),"",IF(AND(ISNUMBER($J200),$J200&gt;0),$J200,IF(ISNUMBER($I200),$I200,"")))</f>
        <v>731.409525</v>
      </c>
      <c r="L200" s="40" t="n">
        <f aca="false">IF(ISNUMBER($K200),$K200*$H200,"")</f>
        <v>87.769143</v>
      </c>
      <c r="M200" s="40" t="n">
        <f aca="false">IF(ISNUMBER($K200),$K200*Parâmetros!$B$4,"")</f>
        <v>73.1409525</v>
      </c>
      <c r="N200" s="40" t="n">
        <f aca="false">IF(ISNUMBER($K200),$K200*Parâmetros!$C$4,"")</f>
        <v>21.94228575</v>
      </c>
      <c r="O200" s="40" t="n">
        <f aca="false">IF(ISNUMBER($K200),IF(ISNUMBER(Parâmetros!$E$4),Parâmetros!$E$4,0),"")</f>
        <v>0</v>
      </c>
      <c r="P200" s="41" t="n">
        <f aca="false">IF(ISNUMBER($K200),$K200-$D200-IF(ISNUMBER($E200),$E200,0)-$L200-$M200-$N200-$O200,"")</f>
        <v>138.94714375</v>
      </c>
      <c r="Q200" s="42" t="n">
        <f aca="false">IF(AND(ISNUMBER($K200),$K200&gt;0),$P200/$K200,"")</f>
        <v>0.189971744967363</v>
      </c>
      <c r="R200" s="43"/>
      <c r="S200" s="44" t="str">
        <f aca="false">IF(OR(NOT(ISNUMBER($R200)),$R200=0,NOT(ISNUMBER($K200))),"",$K200*(1-$R200))</f>
        <v/>
      </c>
      <c r="T200" s="45" t="str">
        <f aca="false">IF(ISNUMBER($S200),$S200*$H200,"")</f>
        <v/>
      </c>
      <c r="U200" s="45" t="str">
        <f aca="false">IF(ISNUMBER($S200),$S200*Parâmetros!$B$4,"")</f>
        <v/>
      </c>
      <c r="V200" s="45" t="str">
        <f aca="false">IF(ISNUMBER($S200),$S200*Parâmetros!$C$4,"")</f>
        <v/>
      </c>
      <c r="W200" s="44" t="str">
        <f aca="false">IF(ISNUMBER($S200),$S200-$D200-IF(ISNUMBER($E200),$E200,0)-$O200-$T200-$U200-$V200,"")</f>
        <v/>
      </c>
      <c r="X200" s="46" t="str">
        <f aca="false">IF(AND(ISNUMBER($S200),$S200&gt;0),$W200/$S200,"")</f>
        <v/>
      </c>
      <c r="Y200" s="47" t="s">
        <v>734</v>
      </c>
      <c r="Z200" s="19"/>
    </row>
    <row r="201" customFormat="false" ht="15.75" hidden="false" customHeight="true" outlineLevel="0" collapsed="false">
      <c r="A201" s="48" t="str">
        <f aca="false">IF(Produtos!$A201="","",Produtos!$A201)</f>
        <v>PQ-3060C</v>
      </c>
      <c r="B201" s="48" t="str">
        <f aca="false">IF(Produtos!$A201="","",Produtos!$B201)</f>
        <v>Lixeira quadrada c/Tampa colorida e Pedal 30x60 50L</v>
      </c>
      <c r="C201" s="48" t="str">
        <f aca="false">IF(Produtos!$A201="","",Produtos!$C201)</f>
        <v>Lixeiras com pedal</v>
      </c>
      <c r="D201" s="33" t="n">
        <f aca="false">IF(Produtos!$A201="","",IF(Produtos!$D201="","",Produtos!$D201))</f>
        <v>449.58</v>
      </c>
      <c r="E201" s="11" t="n">
        <v>65.85</v>
      </c>
      <c r="F201" s="34" t="n">
        <f aca="false">IF($A201="","",IF($C201="","⚠ categoria",IFERROR(INDEX(Parâmetros!$B$13:$B$22,MATCH($C201,Parâmetros!$A$13:$A$22,0)),"⚠ categoria")))</f>
        <v>0.13</v>
      </c>
      <c r="G201" s="35"/>
      <c r="H201" s="36" t="n">
        <f aca="false">IF($A201="","",IF(ISNUMBER($G201),$G201,IF(ISNUMBER($F201),$F201,"")))</f>
        <v>0.13</v>
      </c>
      <c r="I201" s="37" t="n">
        <f aca="false">IF(OR($A201="",NOT(ISNUMBER($D201)),NOT(ISNUMBER($H201))),"",IF((1-$H201-Parâmetros!$B$4-Parâmetros!$C$4-Parâmetros!$D$4)&lt;=0,"INVALIDO",($D201+IF(ISNUMBER($E201),$E201,0)+IF(ISNUMBER(Parâmetros!$E$4),Parâmetros!$E$4,0))/(1-$H201-Parâmetros!$B$4-Parâmetros!$C$4-Parâmetros!$D$4)))</f>
        <v>954.5</v>
      </c>
      <c r="J201" s="38" t="n">
        <v>892.903725</v>
      </c>
      <c r="K201" s="39" t="n">
        <f aca="false">IF(OR($A201="",NOT(ISNUMBER($D201)),NOT(ISNUMBER($H201))),"",IF(AND(ISNUMBER($J201),$J201&gt;0),$J201,IF(ISNUMBER($I201),$I201,"")))</f>
        <v>892.903725</v>
      </c>
      <c r="L201" s="40" t="n">
        <f aca="false">IF(ISNUMBER($K201),$K201*$H201,"")</f>
        <v>116.07748425</v>
      </c>
      <c r="M201" s="40" t="n">
        <f aca="false">IF(ISNUMBER($K201),$K201*Parâmetros!$B$4,"")</f>
        <v>89.2903725</v>
      </c>
      <c r="N201" s="40" t="n">
        <f aca="false">IF(ISNUMBER($K201),$K201*Parâmetros!$C$4,"")</f>
        <v>26.78711175</v>
      </c>
      <c r="O201" s="40" t="n">
        <f aca="false">IF(ISNUMBER($K201),IF(ISNUMBER(Parâmetros!$E$4),Parâmetros!$E$4,0),"")</f>
        <v>0</v>
      </c>
      <c r="P201" s="41" t="n">
        <f aca="false">IF(ISNUMBER($K201),$K201-$D201-IF(ISNUMBER($E201),$E201,0)-$L201-$M201-$N201-$O201,"")</f>
        <v>145.3187565</v>
      </c>
      <c r="Q201" s="42" t="n">
        <f aca="false">IF(AND(ISNUMBER($K201),$K201&gt;0),$P201/$K201,"")</f>
        <v>0.162748516364404</v>
      </c>
      <c r="R201" s="43"/>
      <c r="S201" s="44" t="str">
        <f aca="false">IF(OR(NOT(ISNUMBER($R201)),$R201=0,NOT(ISNUMBER($K201))),"",$K201*(1-$R201))</f>
        <v/>
      </c>
      <c r="T201" s="45" t="str">
        <f aca="false">IF(ISNUMBER($S201),$S201*$H201,"")</f>
        <v/>
      </c>
      <c r="U201" s="45" t="str">
        <f aca="false">IF(ISNUMBER($S201),$S201*Parâmetros!$B$4,"")</f>
        <v/>
      </c>
      <c r="V201" s="45" t="str">
        <f aca="false">IF(ISNUMBER($S201),$S201*Parâmetros!$C$4,"")</f>
        <v/>
      </c>
      <c r="W201" s="44" t="str">
        <f aca="false">IF(ISNUMBER($S201),$S201-$D201-IF(ISNUMBER($E201),$E201,0)-$O201-$T201-$U201-$V201,"")</f>
        <v/>
      </c>
      <c r="X201" s="46" t="str">
        <f aca="false">IF(AND(ISNUMBER($S201),$S201&gt;0),$W201/$S201,"")</f>
        <v/>
      </c>
      <c r="Y201" s="49" t="s">
        <v>734</v>
      </c>
      <c r="Z201" s="21"/>
    </row>
    <row r="202" customFormat="false" ht="15.75" hidden="false" customHeight="true" outlineLevel="0" collapsed="false">
      <c r="A202" s="32" t="str">
        <f aca="false">IF(Produtos!$A202="","",Produtos!$A202)</f>
        <v>PQ-4070C</v>
      </c>
      <c r="B202" s="32" t="str">
        <f aca="false">IF(Produtos!$A202="","",Produtos!$B202)</f>
        <v>Lixeira quadrada c/Tampa colorida e Pedal 40x70 100L</v>
      </c>
      <c r="C202" s="32" t="str">
        <f aca="false">IF(Produtos!$A202="","",Produtos!$C202)</f>
        <v>Lixeiras com pedal</v>
      </c>
      <c r="D202" s="33" t="n">
        <f aca="false">IF(Produtos!$A202="","",IF(Produtos!$D202="","",Produtos!$D202))</f>
        <v>980.21</v>
      </c>
      <c r="E202" s="11" t="n">
        <v>106.85</v>
      </c>
      <c r="F202" s="34" t="n">
        <f aca="false">IF($A202="","",IF($C202="","⚠ categoria",IFERROR(INDEX(Parâmetros!$B$13:$B$22,MATCH($C202,Parâmetros!$A$13:$A$22,0)),"⚠ categoria")))</f>
        <v>0.13</v>
      </c>
      <c r="G202" s="35"/>
      <c r="H202" s="36" t="n">
        <f aca="false">IF($A202="","",IF(ISNUMBER($G202),$G202,IF(ISNUMBER($F202),$F202,"")))</f>
        <v>0.13</v>
      </c>
      <c r="I202" s="37" t="n">
        <f aca="false">IF(OR($A202="",NOT(ISNUMBER($D202)),NOT(ISNUMBER($H202))),"",IF((1-$H202-Parâmetros!$B$4-Parâmetros!$C$4-Parâmetros!$D$4)&lt;=0,"INVALIDO",($D202+IF(ISNUMBER($E202),$E202,0)+IF(ISNUMBER(Parâmetros!$E$4),Parâmetros!$E$4,0))/(1-$H202-Parâmetros!$B$4-Parâmetros!$C$4-Parâmetros!$D$4)))</f>
        <v>2013.07407407407</v>
      </c>
      <c r="J202" s="38" t="n">
        <v>1892.364075</v>
      </c>
      <c r="K202" s="39" t="n">
        <f aca="false">IF(OR($A202="",NOT(ISNUMBER($D202)),NOT(ISNUMBER($H202))),"",IF(AND(ISNUMBER($J202),$J202&gt;0),$J202,IF(ISNUMBER($I202),$I202,"")))</f>
        <v>1892.364075</v>
      </c>
      <c r="L202" s="40" t="n">
        <f aca="false">IF(ISNUMBER($K202),$K202*$H202,"")</f>
        <v>246.00732975</v>
      </c>
      <c r="M202" s="40" t="n">
        <f aca="false">IF(ISNUMBER($K202),$K202*Parâmetros!$B$4,"")</f>
        <v>189.2364075</v>
      </c>
      <c r="N202" s="40" t="n">
        <f aca="false">IF(ISNUMBER($K202),$K202*Parâmetros!$C$4,"")</f>
        <v>56.77092225</v>
      </c>
      <c r="O202" s="40" t="n">
        <f aca="false">IF(ISNUMBER($K202),IF(ISNUMBER(Parâmetros!$E$4),Parâmetros!$E$4,0),"")</f>
        <v>0</v>
      </c>
      <c r="P202" s="41" t="n">
        <f aca="false">IF(ISNUMBER($K202),$K202-$D202-IF(ISNUMBER($E202),$E202,0)-$L202-$M202-$N202-$O202,"")</f>
        <v>313.2894155</v>
      </c>
      <c r="Q202" s="42" t="n">
        <f aca="false">IF(AND(ISNUMBER($K202),$K202&gt;0),$P202/$K202,"")</f>
        <v>0.165554514397553</v>
      </c>
      <c r="R202" s="43"/>
      <c r="S202" s="44" t="str">
        <f aca="false">IF(OR(NOT(ISNUMBER($R202)),$R202=0,NOT(ISNUMBER($K202))),"",$K202*(1-$R202))</f>
        <v/>
      </c>
      <c r="T202" s="45" t="str">
        <f aca="false">IF(ISNUMBER($S202),$S202*$H202,"")</f>
        <v/>
      </c>
      <c r="U202" s="45" t="str">
        <f aca="false">IF(ISNUMBER($S202),$S202*Parâmetros!$B$4,"")</f>
        <v/>
      </c>
      <c r="V202" s="45" t="str">
        <f aca="false">IF(ISNUMBER($S202),$S202*Parâmetros!$C$4,"")</f>
        <v/>
      </c>
      <c r="W202" s="44" t="str">
        <f aca="false">IF(ISNUMBER($S202),$S202-$D202-IF(ISNUMBER($E202),$E202,0)-$O202-$T202-$U202-$V202,"")</f>
        <v/>
      </c>
      <c r="X202" s="46" t="str">
        <f aca="false">IF(AND(ISNUMBER($S202),$S202&gt;0),$W202/$S202,"")</f>
        <v/>
      </c>
      <c r="Y202" s="47" t="s">
        <v>734</v>
      </c>
      <c r="Z202" s="19"/>
    </row>
    <row r="203" customFormat="false" ht="15.75" hidden="false" customHeight="true" outlineLevel="0" collapsed="false">
      <c r="A203" s="48" t="str">
        <f aca="false">IF(Produtos!$A203="","",Produtos!$A203)</f>
        <v>PQ-4090C</v>
      </c>
      <c r="B203" s="48" t="str">
        <f aca="false">IF(Produtos!$A203="","",Produtos!$B203)</f>
        <v>Lixeira quadrada c/Tampa colorida e Pedal 40x90 120L</v>
      </c>
      <c r="C203" s="48" t="str">
        <f aca="false">IF(Produtos!$A203="","",Produtos!$C203)</f>
        <v>Lixeiras com pedal</v>
      </c>
      <c r="D203" s="33" t="n">
        <f aca="false">IF(Produtos!$A203="","",IF(Produtos!$D203="","",Produtos!$D203))</f>
        <v>1078.18</v>
      </c>
      <c r="E203" s="11" t="n">
        <v>107.95</v>
      </c>
      <c r="F203" s="34" t="n">
        <f aca="false">IF($A203="","",IF($C203="","⚠ categoria",IFERROR(INDEX(Parâmetros!$B$13:$B$22,MATCH($C203,Parâmetros!$A$13:$A$22,0)),"⚠ categoria")))</f>
        <v>0.13</v>
      </c>
      <c r="G203" s="35"/>
      <c r="H203" s="36" t="n">
        <f aca="false">IF($A203="","",IF(ISNUMBER($G203),$G203,IF(ISNUMBER($F203),$F203,"")))</f>
        <v>0.13</v>
      </c>
      <c r="I203" s="37" t="n">
        <f aca="false">IF(OR($A203="",NOT(ISNUMBER($D203)),NOT(ISNUMBER($H203))),"",IF((1-$H203-Parâmetros!$B$4-Parâmetros!$C$4-Parâmetros!$D$4)&lt;=0,"INVALIDO",($D203+IF(ISNUMBER($E203),$E203,0)+IF(ISNUMBER(Parâmetros!$E$4),Parâmetros!$E$4,0))/(1-$H203-Parâmetros!$B$4-Parâmetros!$C$4-Parâmetros!$D$4)))</f>
        <v>2196.53703703704</v>
      </c>
      <c r="J203" s="38" t="n">
        <v>2065.897575</v>
      </c>
      <c r="K203" s="39" t="n">
        <f aca="false">IF(OR($A203="",NOT(ISNUMBER($D203)),NOT(ISNUMBER($H203))),"",IF(AND(ISNUMBER($J203),$J203&gt;0),$J203,IF(ISNUMBER($I203),$I203,"")))</f>
        <v>2065.897575</v>
      </c>
      <c r="L203" s="40" t="n">
        <f aca="false">IF(ISNUMBER($K203),$K203*$H203,"")</f>
        <v>268.56668475</v>
      </c>
      <c r="M203" s="40" t="n">
        <f aca="false">IF(ISNUMBER($K203),$K203*Parâmetros!$B$4,"")</f>
        <v>206.5897575</v>
      </c>
      <c r="N203" s="40" t="n">
        <f aca="false">IF(ISNUMBER($K203),$K203*Parâmetros!$C$4,"")</f>
        <v>61.97692725</v>
      </c>
      <c r="O203" s="40" t="n">
        <f aca="false">IF(ISNUMBER($K203),IF(ISNUMBER(Parâmetros!$E$4),Parâmetros!$E$4,0),"")</f>
        <v>0</v>
      </c>
      <c r="P203" s="41" t="n">
        <f aca="false">IF(ISNUMBER($K203),$K203-$D203-IF(ISNUMBER($E203),$E203,0)-$L203-$M203-$N203-$O203,"")</f>
        <v>342.6342055</v>
      </c>
      <c r="Q203" s="42" t="n">
        <f aca="false">IF(AND(ISNUMBER($K203),$K203&gt;0),$P203/$K203,"")</f>
        <v>0.165852465120397</v>
      </c>
      <c r="R203" s="43"/>
      <c r="S203" s="44" t="str">
        <f aca="false">IF(OR(NOT(ISNUMBER($R203)),$R203=0,NOT(ISNUMBER($K203))),"",$K203*(1-$R203))</f>
        <v/>
      </c>
      <c r="T203" s="45" t="str">
        <f aca="false">IF(ISNUMBER($S203),$S203*$H203,"")</f>
        <v/>
      </c>
      <c r="U203" s="45" t="str">
        <f aca="false">IF(ISNUMBER($S203),$S203*Parâmetros!$B$4,"")</f>
        <v/>
      </c>
      <c r="V203" s="45" t="str">
        <f aca="false">IF(ISNUMBER($S203),$S203*Parâmetros!$C$4,"")</f>
        <v/>
      </c>
      <c r="W203" s="44" t="str">
        <f aca="false">IF(ISNUMBER($S203),$S203-$D203-IF(ISNUMBER($E203),$E203,0)-$O203-$T203-$U203-$V203,"")</f>
        <v/>
      </c>
      <c r="X203" s="46" t="str">
        <f aca="false">IF(AND(ISNUMBER($S203),$S203&gt;0),$W203/$S203,"")</f>
        <v/>
      </c>
      <c r="Y203" s="49" t="s">
        <v>745</v>
      </c>
      <c r="Z203" s="21"/>
    </row>
    <row r="204" customFormat="false" ht="15.75" hidden="false" customHeight="true" outlineLevel="0" collapsed="false">
      <c r="A204" s="32" t="str">
        <f aca="false">IF(Produtos!$A204="","",Produtos!$A204)</f>
        <v>PQ-5080C</v>
      </c>
      <c r="B204" s="32" t="str">
        <f aca="false">IF(Produtos!$A204="","",Produtos!$B204)</f>
        <v>Lixeira quadrada c/Tampa colorida e Pedal 50x80 150L</v>
      </c>
      <c r="C204" s="32" t="str">
        <f aca="false">IF(Produtos!$A204="","",Produtos!$C204)</f>
        <v>Lixeiras com pedal</v>
      </c>
      <c r="D204" s="33" t="n">
        <f aca="false">IF(Produtos!$A204="","",IF(Produtos!$D204="","",Produtos!$D204))</f>
        <v>1393</v>
      </c>
      <c r="E204" s="11" t="n">
        <v>107.95</v>
      </c>
      <c r="F204" s="34" t="n">
        <f aca="false">IF($A204="","",IF($C204="","⚠ categoria",IFERROR(INDEX(Parâmetros!$B$13:$B$22,MATCH($C204,Parâmetros!$A$13:$A$22,0)),"⚠ categoria")))</f>
        <v>0.13</v>
      </c>
      <c r="G204" s="35"/>
      <c r="H204" s="36" t="n">
        <f aca="false">IF($A204="","",IF(ISNUMBER($G204),$G204,IF(ISNUMBER($F204),$F204,"")))</f>
        <v>0.13</v>
      </c>
      <c r="I204" s="37" t="n">
        <f aca="false">IF(OR($A204="",NOT(ISNUMBER($D204)),NOT(ISNUMBER($H204))),"",IF((1-$H204-Parâmetros!$B$4-Parâmetros!$C$4-Parâmetros!$D$4)&lt;=0,"INVALIDO",($D204+IF(ISNUMBER($E204),$E204,0)+IF(ISNUMBER(Parâmetros!$E$4),Parâmetros!$E$4,0))/(1-$H204-Parâmetros!$B$4-Parâmetros!$C$4-Parâmetros!$D$4)))</f>
        <v>2779.53703703704</v>
      </c>
      <c r="J204" s="38" t="n">
        <v>2546.7309</v>
      </c>
      <c r="K204" s="39" t="n">
        <f aca="false">IF(OR($A204="",NOT(ISNUMBER($D204)),NOT(ISNUMBER($H204))),"",IF(AND(ISNUMBER($J204),$J204&gt;0),$J204,IF(ISNUMBER($I204),$I204,"")))</f>
        <v>2546.7309</v>
      </c>
      <c r="L204" s="40" t="n">
        <f aca="false">IF(ISNUMBER($K204),$K204*$H204,"")</f>
        <v>331.075017</v>
      </c>
      <c r="M204" s="40" t="n">
        <f aca="false">IF(ISNUMBER($K204),$K204*Parâmetros!$B$4,"")</f>
        <v>254.67309</v>
      </c>
      <c r="N204" s="40" t="n">
        <f aca="false">IF(ISNUMBER($K204),$K204*Parâmetros!$C$4,"")</f>
        <v>76.401927</v>
      </c>
      <c r="O204" s="40" t="n">
        <f aca="false">IF(ISNUMBER($K204),IF(ISNUMBER(Parâmetros!$E$4),Parâmetros!$E$4,0),"")</f>
        <v>0</v>
      </c>
      <c r="P204" s="41" t="n">
        <f aca="false">IF(ISNUMBER($K204),$K204-$D204-IF(ISNUMBER($E204),$E204,0)-$L204-$M204-$N204-$O204,"")</f>
        <v>383.630866</v>
      </c>
      <c r="Q204" s="42" t="n">
        <f aca="false">IF(AND(ISNUMBER($K204),$K204&gt;0),$P204/$K204,"")</f>
        <v>0.150636592974939</v>
      </c>
      <c r="R204" s="43"/>
      <c r="S204" s="44" t="str">
        <f aca="false">IF(OR(NOT(ISNUMBER($R204)),$R204=0,NOT(ISNUMBER($K204))),"",$K204*(1-$R204))</f>
        <v/>
      </c>
      <c r="T204" s="45" t="str">
        <f aca="false">IF(ISNUMBER($S204),$S204*$H204,"")</f>
        <v/>
      </c>
      <c r="U204" s="45" t="str">
        <f aca="false">IF(ISNUMBER($S204),$S204*Parâmetros!$B$4,"")</f>
        <v/>
      </c>
      <c r="V204" s="45" t="str">
        <f aca="false">IF(ISNUMBER($S204),$S204*Parâmetros!$C$4,"")</f>
        <v/>
      </c>
      <c r="W204" s="44" t="str">
        <f aca="false">IF(ISNUMBER($S204),$S204-$D204-IF(ISNUMBER($E204),$E204,0)-$O204-$T204-$U204-$V204,"")</f>
        <v/>
      </c>
      <c r="X204" s="46" t="str">
        <f aca="false">IF(AND(ISNUMBER($S204),$S204&gt;0),$W204/$S204,"")</f>
        <v/>
      </c>
      <c r="Y204" s="47" t="s">
        <v>745</v>
      </c>
      <c r="Z204" s="19"/>
    </row>
    <row r="205" customFormat="false" ht="15.75" hidden="false" customHeight="true" outlineLevel="0" collapsed="false">
      <c r="A205" s="48" t="str">
        <f aca="false">IF(Produtos!$A205="","",Produtos!$A205)</f>
        <v>L1618-T</v>
      </c>
      <c r="B205" s="48" t="str">
        <f aca="false">IF(Produtos!$A205="","",Produtos!$B205)</f>
        <v>Lixeira de Aço inox 16x18 03L com tampa</v>
      </c>
      <c r="C205" s="48" t="str">
        <f aca="false">IF(Produtos!$A205="","",Produtos!$C205)</f>
        <v>Lixeiras em inox</v>
      </c>
      <c r="D205" s="33" t="n">
        <f aca="false">IF(Produtos!$A205="","",IF(Produtos!$D205="","",Produtos!$D205))</f>
        <v>54.47</v>
      </c>
      <c r="E205" s="11" t="n">
        <v>19.45</v>
      </c>
      <c r="F205" s="34" t="n">
        <f aca="false">IF($A205="","",IF($C205="","⚠ categoria",IFERROR(INDEX(Parâmetros!$B$13:$B$22,MATCH($C205,Parâmetros!$A$13:$A$22,0)),"⚠ categoria")))</f>
        <v>0.13</v>
      </c>
      <c r="G205" s="35"/>
      <c r="H205" s="36" t="n">
        <f aca="false">IF($A205="","",IF(ISNUMBER($G205),$G205,IF(ISNUMBER($F205),$F205,"")))</f>
        <v>0.13</v>
      </c>
      <c r="I205" s="37" t="n">
        <f aca="false">IF(OR($A205="",NOT(ISNUMBER($D205)),NOT(ISNUMBER($H205))),"",IF((1-$H205-Parâmetros!$B$4-Parâmetros!$C$4-Parâmetros!$D$4)&lt;=0,"INVALIDO",($D205+IF(ISNUMBER($E205),$E205,0)+IF(ISNUMBER(Parâmetros!$E$4),Parâmetros!$E$4,0))/(1-$H205-Parâmetros!$B$4-Parâmetros!$C$4-Parâmetros!$D$4)))</f>
        <v>136.888888888889</v>
      </c>
      <c r="J205" s="38" t="n">
        <v>136.9</v>
      </c>
      <c r="K205" s="39" t="n">
        <f aca="false">IF(OR($A205="",NOT(ISNUMBER($D205)),NOT(ISNUMBER($H205))),"",IF(AND(ISNUMBER($J205),$J205&gt;0),$J205,IF(ISNUMBER($I205),$I205,"")))</f>
        <v>136.9</v>
      </c>
      <c r="L205" s="40" t="n">
        <f aca="false">IF(ISNUMBER($K205),$K205*$H205,"")</f>
        <v>17.797</v>
      </c>
      <c r="M205" s="40" t="n">
        <f aca="false">IF(ISNUMBER($K205),$K205*Parâmetros!$B$4,"")</f>
        <v>13.69</v>
      </c>
      <c r="N205" s="40" t="n">
        <f aca="false">IF(ISNUMBER($K205),$K205*Parâmetros!$C$4,"")</f>
        <v>4.107</v>
      </c>
      <c r="O205" s="40" t="n">
        <f aca="false">IF(ISNUMBER($K205),IF(ISNUMBER(Parâmetros!$E$4),Parâmetros!$E$4,0),"")</f>
        <v>0</v>
      </c>
      <c r="P205" s="41" t="n">
        <f aca="false">IF(ISNUMBER($K205),$K205-$D205-IF(ISNUMBER($E205),$E205,0)-$L205-$M205-$N205-$O205,"")</f>
        <v>27.386</v>
      </c>
      <c r="Q205" s="42" t="n">
        <f aca="false">IF(AND(ISNUMBER($K205),$K205&gt;0),$P205/$K205,"")</f>
        <v>0.200043827611395</v>
      </c>
      <c r="R205" s="43"/>
      <c r="S205" s="44" t="str">
        <f aca="false">IF(OR(NOT(ISNUMBER($R205)),$R205=0,NOT(ISNUMBER($K205))),"",$K205*(1-$R205))</f>
        <v/>
      </c>
      <c r="T205" s="45" t="str">
        <f aca="false">IF(ISNUMBER($S205),$S205*$H205,"")</f>
        <v/>
      </c>
      <c r="U205" s="45" t="str">
        <f aca="false">IF(ISNUMBER($S205),$S205*Parâmetros!$B$4,"")</f>
        <v/>
      </c>
      <c r="V205" s="45" t="str">
        <f aca="false">IF(ISNUMBER($S205),$S205*Parâmetros!$C$4,"")</f>
        <v/>
      </c>
      <c r="W205" s="44" t="str">
        <f aca="false">IF(ISNUMBER($S205),$S205-$D205-IF(ISNUMBER($E205),$E205,0)-$O205-$T205-$U205-$V205,"")</f>
        <v/>
      </c>
      <c r="X205" s="46" t="str">
        <f aca="false">IF(AND(ISNUMBER($S205),$S205&gt;0),$W205/$S205,"")</f>
        <v/>
      </c>
      <c r="Y205" s="49" t="s">
        <v>744</v>
      </c>
      <c r="Z205" s="21"/>
    </row>
    <row r="206" customFormat="false" ht="15.75" hidden="false" customHeight="true" outlineLevel="0" collapsed="false">
      <c r="A206" s="32" t="str">
        <f aca="false">IF(Produtos!$A206="","",Produtos!$A206)</f>
        <v>L1623-T</v>
      </c>
      <c r="B206" s="32" t="str">
        <f aca="false">IF(Produtos!$A206="","",Produtos!$B206)</f>
        <v>Lixeira de Aço inox 16x23 05L com tampa</v>
      </c>
      <c r="C206" s="32" t="str">
        <f aca="false">IF(Produtos!$A206="","",Produtos!$C206)</f>
        <v>Lixeiras em inox</v>
      </c>
      <c r="D206" s="33" t="n">
        <f aca="false">IF(Produtos!$A206="","",IF(Produtos!$D206="","",Produtos!$D206))</f>
        <v>59.8</v>
      </c>
      <c r="E206" s="11" t="n">
        <v>19.45</v>
      </c>
      <c r="F206" s="34" t="n">
        <f aca="false">IF($A206="","",IF($C206="","⚠ categoria",IFERROR(INDEX(Parâmetros!$B$13:$B$22,MATCH($C206,Parâmetros!$A$13:$A$22,0)),"⚠ categoria")))</f>
        <v>0.13</v>
      </c>
      <c r="G206" s="35"/>
      <c r="H206" s="36" t="n">
        <f aca="false">IF($A206="","",IF(ISNUMBER($G206),$G206,IF(ISNUMBER($F206),$F206,"")))</f>
        <v>0.13</v>
      </c>
      <c r="I206" s="37" t="n">
        <f aca="false">IF(OR($A206="",NOT(ISNUMBER($D206)),NOT(ISNUMBER($H206))),"",IF((1-$H206-Parâmetros!$B$4-Parâmetros!$C$4-Parâmetros!$D$4)&lt;=0,"INVALIDO",($D206+IF(ISNUMBER($E206),$E206,0)+IF(ISNUMBER(Parâmetros!$E$4),Parâmetros!$E$4,0))/(1-$H206-Parâmetros!$B$4-Parâmetros!$C$4-Parâmetros!$D$4)))</f>
        <v>146.759259259259</v>
      </c>
      <c r="J206" s="38" t="n">
        <v>146.76</v>
      </c>
      <c r="K206" s="39" t="n">
        <f aca="false">IF(OR($A206="",NOT(ISNUMBER($D206)),NOT(ISNUMBER($H206))),"",IF(AND(ISNUMBER($J206),$J206&gt;0),$J206,IF(ISNUMBER($I206),$I206,"")))</f>
        <v>146.76</v>
      </c>
      <c r="L206" s="40" t="n">
        <f aca="false">IF(ISNUMBER($K206),$K206*$H206,"")</f>
        <v>19.0788</v>
      </c>
      <c r="M206" s="40" t="n">
        <f aca="false">IF(ISNUMBER($K206),$K206*Parâmetros!$B$4,"")</f>
        <v>14.676</v>
      </c>
      <c r="N206" s="40" t="n">
        <f aca="false">IF(ISNUMBER($K206),$K206*Parâmetros!$C$4,"")</f>
        <v>4.4028</v>
      </c>
      <c r="O206" s="40" t="n">
        <f aca="false">IF(ISNUMBER($K206),IF(ISNUMBER(Parâmetros!$E$4),Parâmetros!$E$4,0),"")</f>
        <v>0</v>
      </c>
      <c r="P206" s="41" t="n">
        <f aca="false">IF(ISNUMBER($K206),$K206-$D206-IF(ISNUMBER($E206),$E206,0)-$L206-$M206-$N206-$O206,"")</f>
        <v>29.3524</v>
      </c>
      <c r="Q206" s="42" t="n">
        <f aca="false">IF(AND(ISNUMBER($K206),$K206&gt;0),$P206/$K206,"")</f>
        <v>0.200002725538294</v>
      </c>
      <c r="R206" s="43"/>
      <c r="S206" s="44" t="str">
        <f aca="false">IF(OR(NOT(ISNUMBER($R206)),$R206=0,NOT(ISNUMBER($K206))),"",$K206*(1-$R206))</f>
        <v/>
      </c>
      <c r="T206" s="45" t="str">
        <f aca="false">IF(ISNUMBER($S206),$S206*$H206,"")</f>
        <v/>
      </c>
      <c r="U206" s="45" t="str">
        <f aca="false">IF(ISNUMBER($S206),$S206*Parâmetros!$B$4,"")</f>
        <v/>
      </c>
      <c r="V206" s="45" t="str">
        <f aca="false">IF(ISNUMBER($S206),$S206*Parâmetros!$C$4,"")</f>
        <v/>
      </c>
      <c r="W206" s="44" t="str">
        <f aca="false">IF(ISNUMBER($S206),$S206-$D206-IF(ISNUMBER($E206),$E206,0)-$O206-$T206-$U206-$V206,"")</f>
        <v/>
      </c>
      <c r="X206" s="46" t="str">
        <f aca="false">IF(AND(ISNUMBER($S206),$S206&gt;0),$W206/$S206,"")</f>
        <v/>
      </c>
      <c r="Y206" s="47" t="s">
        <v>746</v>
      </c>
      <c r="Z206" s="19"/>
    </row>
    <row r="207" customFormat="false" ht="15.75" hidden="false" customHeight="true" outlineLevel="0" collapsed="false">
      <c r="A207" s="48" t="str">
        <f aca="false">IF(Produtos!$A207="","",Produtos!$A207)</f>
        <v>L2025-T</v>
      </c>
      <c r="B207" s="48" t="str">
        <f aca="false">IF(Produtos!$A207="","",Produtos!$B207)</f>
        <v>Lixeira de Aço inox 20x25 07L com tampa</v>
      </c>
      <c r="C207" s="48" t="str">
        <f aca="false">IF(Produtos!$A207="","",Produtos!$C207)</f>
        <v>Lixeiras em inox</v>
      </c>
      <c r="D207" s="33" t="n">
        <f aca="false">IF(Produtos!$A207="","",IF(Produtos!$D207="","",Produtos!$D207))</f>
        <v>63.11</v>
      </c>
      <c r="E207" s="11" t="n">
        <v>22.25</v>
      </c>
      <c r="F207" s="34" t="n">
        <f aca="false">IF($A207="","",IF($C207="","⚠ categoria",IFERROR(INDEX(Parâmetros!$B$13:$B$22,MATCH($C207,Parâmetros!$A$13:$A$22,0)),"⚠ categoria")))</f>
        <v>0.13</v>
      </c>
      <c r="G207" s="35" t="n">
        <v>0.12</v>
      </c>
      <c r="H207" s="36" t="n">
        <f aca="false">IF($A207="","",IF(ISNUMBER($G207),$G207,IF(ISNUMBER($F207),$F207,"")))</f>
        <v>0.12</v>
      </c>
      <c r="I207" s="37" t="n">
        <f aca="false">IF(OR($A207="",NOT(ISNUMBER($D207)),NOT(ISNUMBER($H207))),"",IF((1-$H207-Parâmetros!$B$4-Parâmetros!$C$4-Parâmetros!$D$4)&lt;=0,"INVALIDO",($D207+IF(ISNUMBER($E207),$E207,0)+IF(ISNUMBER(Parâmetros!$E$4),Parâmetros!$E$4,0))/(1-$H207-Parâmetros!$B$4-Parâmetros!$C$4-Parâmetros!$D$4)))</f>
        <v>155.2</v>
      </c>
      <c r="J207" s="38" t="n">
        <v>157.5</v>
      </c>
      <c r="K207" s="39" t="n">
        <f aca="false">IF(OR($A207="",NOT(ISNUMBER($D207)),NOT(ISNUMBER($H207))),"",IF(AND(ISNUMBER($J207),$J207&gt;0),$J207,IF(ISNUMBER($I207),$I207,"")))</f>
        <v>157.5</v>
      </c>
      <c r="L207" s="40" t="n">
        <f aca="false">IF(ISNUMBER($K207),$K207*$H207,"")</f>
        <v>18.9</v>
      </c>
      <c r="M207" s="40" t="n">
        <f aca="false">IF(ISNUMBER($K207),$K207*Parâmetros!$B$4,"")</f>
        <v>15.75</v>
      </c>
      <c r="N207" s="40" t="n">
        <f aca="false">IF(ISNUMBER($K207),$K207*Parâmetros!$C$4,"")</f>
        <v>4.725</v>
      </c>
      <c r="O207" s="40" t="n">
        <f aca="false">IF(ISNUMBER($K207),IF(ISNUMBER(Parâmetros!$E$4),Parâmetros!$E$4,0),"")</f>
        <v>0</v>
      </c>
      <c r="P207" s="41" t="n">
        <f aca="false">IF(ISNUMBER($K207),$K207-$D207-IF(ISNUMBER($E207),$E207,0)-$L207-$M207-$N207-$O207,"")</f>
        <v>32.765</v>
      </c>
      <c r="Q207" s="42" t="n">
        <f aca="false">IF(AND(ISNUMBER($K207),$K207&gt;0),$P207/$K207,"")</f>
        <v>0.208031746031746</v>
      </c>
      <c r="R207" s="43"/>
      <c r="S207" s="44" t="str">
        <f aca="false">IF(OR(NOT(ISNUMBER($R207)),$R207=0,NOT(ISNUMBER($K207))),"",$K207*(1-$R207))</f>
        <v/>
      </c>
      <c r="T207" s="45" t="str">
        <f aca="false">IF(ISNUMBER($S207),$S207*$H207,"")</f>
        <v/>
      </c>
      <c r="U207" s="45" t="str">
        <f aca="false">IF(ISNUMBER($S207),$S207*Parâmetros!$B$4,"")</f>
        <v/>
      </c>
      <c r="V207" s="45" t="str">
        <f aca="false">IF(ISNUMBER($S207),$S207*Parâmetros!$C$4,"")</f>
        <v/>
      </c>
      <c r="W207" s="44" t="str">
        <f aca="false">IF(ISNUMBER($S207),$S207-$D207-IF(ISNUMBER($E207),$E207,0)-$O207-$T207-$U207-$V207,"")</f>
        <v/>
      </c>
      <c r="X207" s="46" t="str">
        <f aca="false">IF(AND(ISNUMBER($S207),$S207&gt;0),$W207/$S207,"")</f>
        <v/>
      </c>
      <c r="Y207" s="49" t="s">
        <v>744</v>
      </c>
      <c r="Z207" s="21"/>
    </row>
    <row r="208" customFormat="false" ht="15.75" hidden="false" customHeight="true" outlineLevel="0" collapsed="false">
      <c r="A208" s="32" t="str">
        <f aca="false">IF(Produtos!$A208="","",Produtos!$A208)</f>
        <v>L2030-T</v>
      </c>
      <c r="B208" s="32" t="str">
        <f aca="false">IF(Produtos!$A208="","",Produtos!$B208)</f>
        <v>Lixeira de Aço inox 20x30 10L com tampa</v>
      </c>
      <c r="C208" s="32" t="str">
        <f aca="false">IF(Produtos!$A208="","",Produtos!$C208)</f>
        <v>Lixeiras em inox</v>
      </c>
      <c r="D208" s="33" t="n">
        <f aca="false">IF(Produtos!$A208="","",IF(Produtos!$D208="","",Produtos!$D208))</f>
        <v>69.27</v>
      </c>
      <c r="E208" s="11" t="n">
        <v>24.35</v>
      </c>
      <c r="F208" s="34" t="n">
        <f aca="false">IF($A208="","",IF($C208="","⚠ categoria",IFERROR(INDEX(Parâmetros!$B$13:$B$22,MATCH($C208,Parâmetros!$A$13:$A$22,0)),"⚠ categoria")))</f>
        <v>0.13</v>
      </c>
      <c r="G208" s="35" t="n">
        <v>0.12</v>
      </c>
      <c r="H208" s="36" t="n">
        <f aca="false">IF($A208="","",IF(ISNUMBER($G208),$G208,IF(ISNUMBER($F208),$F208,"")))</f>
        <v>0.12</v>
      </c>
      <c r="I208" s="37" t="n">
        <f aca="false">IF(OR($A208="",NOT(ISNUMBER($D208)),NOT(ISNUMBER($H208))),"",IF((1-$H208-Parâmetros!$B$4-Parâmetros!$C$4-Parâmetros!$D$4)&lt;=0,"INVALIDO",($D208+IF(ISNUMBER($E208),$E208,0)+IF(ISNUMBER(Parâmetros!$E$4),Parâmetros!$E$4,0))/(1-$H208-Parâmetros!$B$4-Parâmetros!$C$4-Parâmetros!$D$4)))</f>
        <v>170.218181818182</v>
      </c>
      <c r="J208" s="38" t="n">
        <v>170.2536275</v>
      </c>
      <c r="K208" s="39" t="n">
        <f aca="false">IF(OR($A208="",NOT(ISNUMBER($D208)),NOT(ISNUMBER($H208))),"",IF(AND(ISNUMBER($J208),$J208&gt;0),$J208,IF(ISNUMBER($I208),$I208,"")))</f>
        <v>170.2536275</v>
      </c>
      <c r="L208" s="40" t="n">
        <f aca="false">IF(ISNUMBER($K208),$K208*$H208,"")</f>
        <v>20.4304353</v>
      </c>
      <c r="M208" s="40" t="n">
        <f aca="false">IF(ISNUMBER($K208),$K208*Parâmetros!$B$4,"")</f>
        <v>17.02536275</v>
      </c>
      <c r="N208" s="40" t="n">
        <f aca="false">IF(ISNUMBER($K208),$K208*Parâmetros!$C$4,"")</f>
        <v>5.107608825</v>
      </c>
      <c r="O208" s="40" t="n">
        <f aca="false">IF(ISNUMBER($K208),IF(ISNUMBER(Parâmetros!$E$4),Parâmetros!$E$4,0),"")</f>
        <v>0</v>
      </c>
      <c r="P208" s="41" t="n">
        <f aca="false">IF(ISNUMBER($K208),$K208-$D208-IF(ISNUMBER($E208),$E208,0)-$L208-$M208-$N208-$O208,"")</f>
        <v>34.070220625</v>
      </c>
      <c r="Q208" s="42" t="n">
        <f aca="false">IF(AND(ISNUMBER($K208),$K208&gt;0),$P208/$K208,"")</f>
        <v>0.200114506370797</v>
      </c>
      <c r="R208" s="43"/>
      <c r="S208" s="44" t="str">
        <f aca="false">IF(OR(NOT(ISNUMBER($R208)),$R208=0,NOT(ISNUMBER($K208))),"",$K208*(1-$R208))</f>
        <v/>
      </c>
      <c r="T208" s="45" t="str">
        <f aca="false">IF(ISNUMBER($S208),$S208*$H208,"")</f>
        <v/>
      </c>
      <c r="U208" s="45" t="str">
        <f aca="false">IF(ISNUMBER($S208),$S208*Parâmetros!$B$4,"")</f>
        <v/>
      </c>
      <c r="V208" s="45" t="str">
        <f aca="false">IF(ISNUMBER($S208),$S208*Parâmetros!$C$4,"")</f>
        <v/>
      </c>
      <c r="W208" s="44" t="str">
        <f aca="false">IF(ISNUMBER($S208),$S208-$D208-IF(ISNUMBER($E208),$E208,0)-$O208-$T208-$U208-$V208,"")</f>
        <v/>
      </c>
      <c r="X208" s="46" t="str">
        <f aca="false">IF(AND(ISNUMBER($S208),$S208&gt;0),$W208/$S208,"")</f>
        <v/>
      </c>
      <c r="Y208" s="47" t="s">
        <v>744</v>
      </c>
      <c r="Z208" s="19"/>
    </row>
    <row r="209" customFormat="false" ht="15.75" hidden="false" customHeight="true" outlineLevel="0" collapsed="false">
      <c r="A209" s="48" t="str">
        <f aca="false">IF(Produtos!$A209="","",Produtos!$A209)</f>
        <v>A24</v>
      </c>
      <c r="B209" s="48" t="str">
        <f aca="false">IF(Produtos!$A209="","",Produtos!$B209)</f>
        <v>Aro 24cm Aço Inox</v>
      </c>
      <c r="C209" s="48" t="str">
        <f aca="false">IF(Produtos!$A209="","",Produtos!$C209)</f>
        <v>Acessórios (aros e tampas)</v>
      </c>
      <c r="D209" s="33" t="n">
        <f aca="false">IF(Produtos!$A209="","",IF(Produtos!$D209="","",Produtos!$D209))</f>
        <v>38.11</v>
      </c>
      <c r="E209" s="11"/>
      <c r="F209" s="34" t="n">
        <f aca="false">IF($A209="","",IF($C209="","⚠ categoria",IFERROR(INDEX(Parâmetros!$B$13:$B$22,MATCH($C209,Parâmetros!$A$13:$A$22,0)),"⚠ categoria")))</f>
        <v>0.13</v>
      </c>
      <c r="G209" s="35"/>
      <c r="H209" s="36" t="n">
        <f aca="false">IF($A209="","",IF(ISNUMBER($G209),$G209,IF(ISNUMBER($F209),$F209,"")))</f>
        <v>0.13</v>
      </c>
      <c r="I209" s="37" t="n">
        <f aca="false">IF(OR($A209="",NOT(ISNUMBER($D209)),NOT(ISNUMBER($H209))),"",IF((1-$H209-Parâmetros!$B$4-Parâmetros!$C$4-Parâmetros!$D$4)&lt;=0,"INVALIDO",($D209+IF(ISNUMBER($E209),$E209,0)+IF(ISNUMBER(Parâmetros!$E$4),Parâmetros!$E$4,0))/(1-$H209-Parâmetros!$B$4-Parâmetros!$C$4-Parâmetros!$D$4)))</f>
        <v>70.5740740740741</v>
      </c>
      <c r="J209" s="38"/>
      <c r="K209" s="39" t="n">
        <f aca="false">IF(OR($A209="",NOT(ISNUMBER($D209)),NOT(ISNUMBER($H209))),"",IF(AND(ISNUMBER($J209),$J209&gt;0),$J209,IF(ISNUMBER($I209),$I209,"")))</f>
        <v>70.5740740740741</v>
      </c>
      <c r="L209" s="40" t="n">
        <f aca="false">IF(ISNUMBER($K209),$K209*$H209,"")</f>
        <v>9.17462962962963</v>
      </c>
      <c r="M209" s="40" t="n">
        <f aca="false">IF(ISNUMBER($K209),$K209*Parâmetros!$B$4,"")</f>
        <v>7.05740740740741</v>
      </c>
      <c r="N209" s="40" t="n">
        <f aca="false">IF(ISNUMBER($K209),$K209*Parâmetros!$C$4,"")</f>
        <v>2.11722222222222</v>
      </c>
      <c r="O209" s="40" t="n">
        <f aca="false">IF(ISNUMBER($K209),IF(ISNUMBER(Parâmetros!$E$4),Parâmetros!$E$4,0),"")</f>
        <v>0</v>
      </c>
      <c r="P209" s="41" t="n">
        <f aca="false">IF(ISNUMBER($K209),$K209-$D209-IF(ISNUMBER($E209),$E209,0)-$L209-$M209-$N209-$O209,"")</f>
        <v>14.1148148148148</v>
      </c>
      <c r="Q209" s="42" t="n">
        <f aca="false">IF(AND(ISNUMBER($K209),$K209&gt;0),$P209/$K209,"")</f>
        <v>0.2</v>
      </c>
      <c r="R209" s="43"/>
      <c r="S209" s="44" t="str">
        <f aca="false">IF(OR(NOT(ISNUMBER($R209)),$R209=0,NOT(ISNUMBER($K209))),"",$K209*(1-$R209))</f>
        <v/>
      </c>
      <c r="T209" s="45" t="str">
        <f aca="false">IF(ISNUMBER($S209),$S209*$H209,"")</f>
        <v/>
      </c>
      <c r="U209" s="45" t="str">
        <f aca="false">IF(ISNUMBER($S209),$S209*Parâmetros!$B$4,"")</f>
        <v/>
      </c>
      <c r="V209" s="45" t="str">
        <f aca="false">IF(ISNUMBER($S209),$S209*Parâmetros!$C$4,"")</f>
        <v/>
      </c>
      <c r="W209" s="44" t="str">
        <f aca="false">IF(ISNUMBER($S209),$S209-$D209-IF(ISNUMBER($E209),$E209,0)-$O209-$T209-$U209-$V209,"")</f>
        <v/>
      </c>
      <c r="X209" s="46" t="str">
        <f aca="false">IF(AND(ISNUMBER($S209),$S209&gt;0),$W209/$S209,"")</f>
        <v/>
      </c>
      <c r="Y209" s="49"/>
      <c r="Z209" s="21"/>
    </row>
    <row r="210" customFormat="false" ht="15.75" hidden="false" customHeight="true" outlineLevel="0" collapsed="false">
      <c r="A210" s="32" t="str">
        <f aca="false">IF(Produtos!$A210="","",Produtos!$A210)</f>
        <v>A30</v>
      </c>
      <c r="B210" s="32" t="str">
        <f aca="false">IF(Produtos!$A210="","",Produtos!$B210)</f>
        <v>Aro 30cm Aço Inox</v>
      </c>
      <c r="C210" s="32" t="str">
        <f aca="false">IF(Produtos!$A210="","",Produtos!$C210)</f>
        <v>Acessórios (aros e tampas)</v>
      </c>
      <c r="D210" s="33" t="n">
        <f aca="false">IF(Produtos!$A210="","",IF(Produtos!$D210="","",Produtos!$D210))</f>
        <v>44.27</v>
      </c>
      <c r="E210" s="11"/>
      <c r="F210" s="34" t="n">
        <f aca="false">IF($A210="","",IF($C210="","⚠ categoria",IFERROR(INDEX(Parâmetros!$B$13:$B$22,MATCH($C210,Parâmetros!$A$13:$A$22,0)),"⚠ categoria")))</f>
        <v>0.13</v>
      </c>
      <c r="G210" s="35"/>
      <c r="H210" s="36" t="n">
        <f aca="false">IF($A210="","",IF(ISNUMBER($G210),$G210,IF(ISNUMBER($F210),$F210,"")))</f>
        <v>0.13</v>
      </c>
      <c r="I210" s="37" t="n">
        <f aca="false">IF(OR($A210="",NOT(ISNUMBER($D210)),NOT(ISNUMBER($H210))),"",IF((1-$H210-Parâmetros!$B$4-Parâmetros!$C$4-Parâmetros!$D$4)&lt;=0,"INVALIDO",($D210+IF(ISNUMBER($E210),$E210,0)+IF(ISNUMBER(Parâmetros!$E$4),Parâmetros!$E$4,0))/(1-$H210-Parâmetros!$B$4-Parâmetros!$C$4-Parâmetros!$D$4)))</f>
        <v>81.9814814814815</v>
      </c>
      <c r="J210" s="38"/>
      <c r="K210" s="39" t="n">
        <f aca="false">IF(OR($A210="",NOT(ISNUMBER($D210)),NOT(ISNUMBER($H210))),"",IF(AND(ISNUMBER($J210),$J210&gt;0),$J210,IF(ISNUMBER($I210),$I210,"")))</f>
        <v>81.9814814814815</v>
      </c>
      <c r="L210" s="40" t="n">
        <f aca="false">IF(ISNUMBER($K210),$K210*$H210,"")</f>
        <v>10.6575925925926</v>
      </c>
      <c r="M210" s="40" t="n">
        <f aca="false">IF(ISNUMBER($K210),$K210*Parâmetros!$B$4,"")</f>
        <v>8.19814814814815</v>
      </c>
      <c r="N210" s="40" t="n">
        <f aca="false">IF(ISNUMBER($K210),$K210*Parâmetros!$C$4,"")</f>
        <v>2.45944444444444</v>
      </c>
      <c r="O210" s="40" t="n">
        <f aca="false">IF(ISNUMBER($K210),IF(ISNUMBER(Parâmetros!$E$4),Parâmetros!$E$4,0),"")</f>
        <v>0</v>
      </c>
      <c r="P210" s="41" t="n">
        <f aca="false">IF(ISNUMBER($K210),$K210-$D210-IF(ISNUMBER($E210),$E210,0)-$L210-$M210-$N210-$O210,"")</f>
        <v>16.3962962962963</v>
      </c>
      <c r="Q210" s="42" t="n">
        <f aca="false">IF(AND(ISNUMBER($K210),$K210&gt;0),$P210/$K210,"")</f>
        <v>0.2</v>
      </c>
      <c r="R210" s="43"/>
      <c r="S210" s="44" t="str">
        <f aca="false">IF(OR(NOT(ISNUMBER($R210)),$R210=0,NOT(ISNUMBER($K210))),"",$K210*(1-$R210))</f>
        <v/>
      </c>
      <c r="T210" s="45" t="str">
        <f aca="false">IF(ISNUMBER($S210),$S210*$H210,"")</f>
        <v/>
      </c>
      <c r="U210" s="45" t="str">
        <f aca="false">IF(ISNUMBER($S210),$S210*Parâmetros!$B$4,"")</f>
        <v/>
      </c>
      <c r="V210" s="45" t="str">
        <f aca="false">IF(ISNUMBER($S210),$S210*Parâmetros!$C$4,"")</f>
        <v/>
      </c>
      <c r="W210" s="44" t="str">
        <f aca="false">IF(ISNUMBER($S210),$S210-$D210-IF(ISNUMBER($E210),$E210,0)-$O210-$T210-$U210-$V210,"")</f>
        <v/>
      </c>
      <c r="X210" s="46" t="str">
        <f aca="false">IF(AND(ISNUMBER($S210),$S210&gt;0),$W210/$S210,"")</f>
        <v/>
      </c>
      <c r="Y210" s="47"/>
      <c r="Z210" s="19"/>
    </row>
    <row r="211" customFormat="false" ht="15.75" hidden="false" customHeight="true" outlineLevel="0" collapsed="false">
      <c r="A211" s="48" t="str">
        <f aca="false">IF(Produtos!$A211="","",Produtos!$A211)</f>
        <v>A40</v>
      </c>
      <c r="B211" s="48" t="str">
        <f aca="false">IF(Produtos!$A211="","",Produtos!$B211)</f>
        <v>Aro 40cm Aço Inox</v>
      </c>
      <c r="C211" s="48" t="str">
        <f aca="false">IF(Produtos!$A211="","",Produtos!$C211)</f>
        <v>Acessórios (aros e tampas)</v>
      </c>
      <c r="D211" s="33" t="n">
        <f aca="false">IF(Produtos!$A211="","",IF(Produtos!$D211="","",Produtos!$D211))</f>
        <v>94.36</v>
      </c>
      <c r="E211" s="11"/>
      <c r="F211" s="34" t="n">
        <f aca="false">IF($A211="","",IF($C211="","⚠ categoria",IFERROR(INDEX(Parâmetros!$B$13:$B$22,MATCH($C211,Parâmetros!$A$13:$A$22,0)),"⚠ categoria")))</f>
        <v>0.13</v>
      </c>
      <c r="G211" s="35"/>
      <c r="H211" s="36" t="n">
        <f aca="false">IF($A211="","",IF(ISNUMBER($G211),$G211,IF(ISNUMBER($F211),$F211,"")))</f>
        <v>0.13</v>
      </c>
      <c r="I211" s="37" t="n">
        <f aca="false">IF(OR($A211="",NOT(ISNUMBER($D211)),NOT(ISNUMBER($H211))),"",IF((1-$H211-Parâmetros!$B$4-Parâmetros!$C$4-Parâmetros!$D$4)&lt;=0,"INVALIDO",($D211+IF(ISNUMBER($E211),$E211,0)+IF(ISNUMBER(Parâmetros!$E$4),Parâmetros!$E$4,0))/(1-$H211-Parâmetros!$B$4-Parâmetros!$C$4-Parâmetros!$D$4)))</f>
        <v>174.740740740741</v>
      </c>
      <c r="J211" s="38"/>
      <c r="K211" s="39" t="n">
        <f aca="false">IF(OR($A211="",NOT(ISNUMBER($D211)),NOT(ISNUMBER($H211))),"",IF(AND(ISNUMBER($J211),$J211&gt;0),$J211,IF(ISNUMBER($I211),$I211,"")))</f>
        <v>174.740740740741</v>
      </c>
      <c r="L211" s="40" t="n">
        <f aca="false">IF(ISNUMBER($K211),$K211*$H211,"")</f>
        <v>22.7162962962963</v>
      </c>
      <c r="M211" s="40" t="n">
        <f aca="false">IF(ISNUMBER($K211),$K211*Parâmetros!$B$4,"")</f>
        <v>17.4740740740741</v>
      </c>
      <c r="N211" s="40" t="n">
        <f aca="false">IF(ISNUMBER($K211),$K211*Parâmetros!$C$4,"")</f>
        <v>5.24222222222222</v>
      </c>
      <c r="O211" s="40" t="n">
        <f aca="false">IF(ISNUMBER($K211),IF(ISNUMBER(Parâmetros!$E$4),Parâmetros!$E$4,0),"")</f>
        <v>0</v>
      </c>
      <c r="P211" s="41" t="n">
        <f aca="false">IF(ISNUMBER($K211),$K211-$D211-IF(ISNUMBER($E211),$E211,0)-$L211-$M211-$N211-$O211,"")</f>
        <v>34.9481481481481</v>
      </c>
      <c r="Q211" s="42" t="n">
        <f aca="false">IF(AND(ISNUMBER($K211),$K211&gt;0),$P211/$K211,"")</f>
        <v>0.2</v>
      </c>
      <c r="R211" s="43"/>
      <c r="S211" s="44" t="str">
        <f aca="false">IF(OR(NOT(ISNUMBER($R211)),$R211=0,NOT(ISNUMBER($K211))),"",$K211*(1-$R211))</f>
        <v/>
      </c>
      <c r="T211" s="45" t="str">
        <f aca="false">IF(ISNUMBER($S211),$S211*$H211,"")</f>
        <v/>
      </c>
      <c r="U211" s="45" t="str">
        <f aca="false">IF(ISNUMBER($S211),$S211*Parâmetros!$B$4,"")</f>
        <v/>
      </c>
      <c r="V211" s="45" t="str">
        <f aca="false">IF(ISNUMBER($S211),$S211*Parâmetros!$C$4,"")</f>
        <v/>
      </c>
      <c r="W211" s="44" t="str">
        <f aca="false">IF(ISNUMBER($S211),$S211-$D211-IF(ISNUMBER($E211),$E211,0)-$O211-$T211-$U211-$V211,"")</f>
        <v/>
      </c>
      <c r="X211" s="46" t="str">
        <f aca="false">IF(AND(ISNUMBER($S211),$S211&gt;0),$W211/$S211,"")</f>
        <v/>
      </c>
      <c r="Y211" s="49"/>
      <c r="Z211" s="21"/>
    </row>
    <row r="212" customFormat="false" ht="15.75" hidden="false" customHeight="true" outlineLevel="0" collapsed="false">
      <c r="A212" s="32" t="str">
        <f aca="false">IF(Produtos!$A212="","",Produtos!$A212)</f>
        <v>A24B</v>
      </c>
      <c r="B212" s="32" t="str">
        <f aca="false">IF(Produtos!$A212="","",Produtos!$B212)</f>
        <v>Aro 24cm c/Basculante Aço Inox</v>
      </c>
      <c r="C212" s="32" t="str">
        <f aca="false">IF(Produtos!$A212="","",Produtos!$C212)</f>
        <v>Acessórios (aros e tampas)</v>
      </c>
      <c r="D212" s="33" t="n">
        <f aca="false">IF(Produtos!$A212="","",IF(Produtos!$D212="","",Produtos!$D212))</f>
        <v>52.34</v>
      </c>
      <c r="E212" s="11"/>
      <c r="F212" s="34" t="n">
        <f aca="false">IF($A212="","",IF($C212="","⚠ categoria",IFERROR(INDEX(Parâmetros!$B$13:$B$22,MATCH($C212,Parâmetros!$A$13:$A$22,0)),"⚠ categoria")))</f>
        <v>0.13</v>
      </c>
      <c r="G212" s="35"/>
      <c r="H212" s="36" t="n">
        <f aca="false">IF($A212="","",IF(ISNUMBER($G212),$G212,IF(ISNUMBER($F212),$F212,"")))</f>
        <v>0.13</v>
      </c>
      <c r="I212" s="37" t="n">
        <f aca="false">IF(OR($A212="",NOT(ISNUMBER($D212)),NOT(ISNUMBER($H212))),"",IF((1-$H212-Parâmetros!$B$4-Parâmetros!$C$4-Parâmetros!$D$4)&lt;=0,"INVALIDO",($D212+IF(ISNUMBER($E212),$E212,0)+IF(ISNUMBER(Parâmetros!$E$4),Parâmetros!$E$4,0))/(1-$H212-Parâmetros!$B$4-Parâmetros!$C$4-Parâmetros!$D$4)))</f>
        <v>96.9259259259259</v>
      </c>
      <c r="J212" s="38"/>
      <c r="K212" s="39" t="n">
        <f aca="false">IF(OR($A212="",NOT(ISNUMBER($D212)),NOT(ISNUMBER($H212))),"",IF(AND(ISNUMBER($J212),$J212&gt;0),$J212,IF(ISNUMBER($I212),$I212,"")))</f>
        <v>96.9259259259259</v>
      </c>
      <c r="L212" s="40" t="n">
        <f aca="false">IF(ISNUMBER($K212),$K212*$H212,"")</f>
        <v>12.6003703703704</v>
      </c>
      <c r="M212" s="40" t="n">
        <f aca="false">IF(ISNUMBER($K212),$K212*Parâmetros!$B$4,"")</f>
        <v>9.69259259259259</v>
      </c>
      <c r="N212" s="40" t="n">
        <f aca="false">IF(ISNUMBER($K212),$K212*Parâmetros!$C$4,"")</f>
        <v>2.90777777777778</v>
      </c>
      <c r="O212" s="40" t="n">
        <f aca="false">IF(ISNUMBER($K212),IF(ISNUMBER(Parâmetros!$E$4),Parâmetros!$E$4,0),"")</f>
        <v>0</v>
      </c>
      <c r="P212" s="41" t="n">
        <f aca="false">IF(ISNUMBER($K212),$K212-$D212-IF(ISNUMBER($E212),$E212,0)-$L212-$M212-$N212-$O212,"")</f>
        <v>19.3851851851852</v>
      </c>
      <c r="Q212" s="42" t="n">
        <f aca="false">IF(AND(ISNUMBER($K212),$K212&gt;0),$P212/$K212,"")</f>
        <v>0.2</v>
      </c>
      <c r="R212" s="43"/>
      <c r="S212" s="44" t="str">
        <f aca="false">IF(OR(NOT(ISNUMBER($R212)),$R212=0,NOT(ISNUMBER($K212))),"",$K212*(1-$R212))</f>
        <v/>
      </c>
      <c r="T212" s="45" t="str">
        <f aca="false">IF(ISNUMBER($S212),$S212*$H212,"")</f>
        <v/>
      </c>
      <c r="U212" s="45" t="str">
        <f aca="false">IF(ISNUMBER($S212),$S212*Parâmetros!$B$4,"")</f>
        <v/>
      </c>
      <c r="V212" s="45" t="str">
        <f aca="false">IF(ISNUMBER($S212),$S212*Parâmetros!$C$4,"")</f>
        <v/>
      </c>
      <c r="W212" s="44" t="str">
        <f aca="false">IF(ISNUMBER($S212),$S212-$D212-IF(ISNUMBER($E212),$E212,0)-$O212-$T212-$U212-$V212,"")</f>
        <v/>
      </c>
      <c r="X212" s="46" t="str">
        <f aca="false">IF(AND(ISNUMBER($S212),$S212&gt;0),$W212/$S212,"")</f>
        <v/>
      </c>
      <c r="Y212" s="47"/>
      <c r="Z212" s="19"/>
    </row>
    <row r="213" customFormat="false" ht="15.75" hidden="false" customHeight="true" outlineLevel="0" collapsed="false">
      <c r="A213" s="48" t="str">
        <f aca="false">IF(Produtos!$A213="","",Produtos!$A213)</f>
        <v>A30B</v>
      </c>
      <c r="B213" s="48" t="str">
        <f aca="false">IF(Produtos!$A213="","",Produtos!$B213)</f>
        <v>Aro 30cm c/Basculante Aço Inox</v>
      </c>
      <c r="C213" s="48" t="str">
        <f aca="false">IF(Produtos!$A213="","",Produtos!$C213)</f>
        <v>Acessórios (aros e tampas)</v>
      </c>
      <c r="D213" s="33" t="n">
        <f aca="false">IF(Produtos!$A213="","",IF(Produtos!$D213="","",Produtos!$D213))</f>
        <v>68.24</v>
      </c>
      <c r="E213" s="11"/>
      <c r="F213" s="34" t="n">
        <f aca="false">IF($A213="","",IF($C213="","⚠ categoria",IFERROR(INDEX(Parâmetros!$B$13:$B$22,MATCH($C213,Parâmetros!$A$13:$A$22,0)),"⚠ categoria")))</f>
        <v>0.13</v>
      </c>
      <c r="G213" s="35"/>
      <c r="H213" s="36" t="n">
        <f aca="false">IF($A213="","",IF(ISNUMBER($G213),$G213,IF(ISNUMBER($F213),$F213,"")))</f>
        <v>0.13</v>
      </c>
      <c r="I213" s="37" t="n">
        <f aca="false">IF(OR($A213="",NOT(ISNUMBER($D213)),NOT(ISNUMBER($H213))),"",IF((1-$H213-Parâmetros!$B$4-Parâmetros!$C$4-Parâmetros!$D$4)&lt;=0,"INVALIDO",($D213+IF(ISNUMBER($E213),$E213,0)+IF(ISNUMBER(Parâmetros!$E$4),Parâmetros!$E$4,0))/(1-$H213-Parâmetros!$B$4-Parâmetros!$C$4-Parâmetros!$D$4)))</f>
        <v>126.37037037037</v>
      </c>
      <c r="J213" s="38"/>
      <c r="K213" s="39" t="n">
        <f aca="false">IF(OR($A213="",NOT(ISNUMBER($D213)),NOT(ISNUMBER($H213))),"",IF(AND(ISNUMBER($J213),$J213&gt;0),$J213,IF(ISNUMBER($I213),$I213,"")))</f>
        <v>126.37037037037</v>
      </c>
      <c r="L213" s="40" t="n">
        <f aca="false">IF(ISNUMBER($K213),$K213*$H213,"")</f>
        <v>16.4281481481481</v>
      </c>
      <c r="M213" s="40" t="n">
        <f aca="false">IF(ISNUMBER($K213),$K213*Parâmetros!$B$4,"")</f>
        <v>12.637037037037</v>
      </c>
      <c r="N213" s="40" t="n">
        <f aca="false">IF(ISNUMBER($K213),$K213*Parâmetros!$C$4,"")</f>
        <v>3.79111111111111</v>
      </c>
      <c r="O213" s="40" t="n">
        <f aca="false">IF(ISNUMBER($K213),IF(ISNUMBER(Parâmetros!$E$4),Parâmetros!$E$4,0),"")</f>
        <v>0</v>
      </c>
      <c r="P213" s="41" t="n">
        <f aca="false">IF(ISNUMBER($K213),$K213-$D213-IF(ISNUMBER($E213),$E213,0)-$L213-$M213-$N213-$O213,"")</f>
        <v>25.2740740740741</v>
      </c>
      <c r="Q213" s="42" t="n">
        <f aca="false">IF(AND(ISNUMBER($K213),$K213&gt;0),$P213/$K213,"")</f>
        <v>0.2</v>
      </c>
      <c r="R213" s="43"/>
      <c r="S213" s="44" t="str">
        <f aca="false">IF(OR(NOT(ISNUMBER($R213)),$R213=0,NOT(ISNUMBER($K213))),"",$K213*(1-$R213))</f>
        <v/>
      </c>
      <c r="T213" s="45" t="str">
        <f aca="false">IF(ISNUMBER($S213),$S213*$H213,"")</f>
        <v/>
      </c>
      <c r="U213" s="45" t="str">
        <f aca="false">IF(ISNUMBER($S213),$S213*Parâmetros!$B$4,"")</f>
        <v/>
      </c>
      <c r="V213" s="45" t="str">
        <f aca="false">IF(ISNUMBER($S213),$S213*Parâmetros!$C$4,"")</f>
        <v/>
      </c>
      <c r="W213" s="44" t="str">
        <f aca="false">IF(ISNUMBER($S213),$S213-$D213-IF(ISNUMBER($E213),$E213,0)-$O213-$T213-$U213-$V213,"")</f>
        <v/>
      </c>
      <c r="X213" s="46" t="str">
        <f aca="false">IF(AND(ISNUMBER($S213),$S213&gt;0),$W213/$S213,"")</f>
        <v/>
      </c>
      <c r="Y213" s="49"/>
      <c r="Z213" s="21"/>
    </row>
    <row r="214" customFormat="false" ht="15.75" hidden="false" customHeight="true" outlineLevel="0" collapsed="false">
      <c r="A214" s="32" t="str">
        <f aca="false">IF(Produtos!$A214="","",Produtos!$A214)</f>
        <v>A40B</v>
      </c>
      <c r="B214" s="32" t="str">
        <f aca="false">IF(Produtos!$A214="","",Produtos!$B214)</f>
        <v>Aro 40cm c/Basculante Aço Inox</v>
      </c>
      <c r="C214" s="32" t="str">
        <f aca="false">IF(Produtos!$A214="","",Produtos!$C214)</f>
        <v>Acessórios (aros e tampas)</v>
      </c>
      <c r="D214" s="33" t="n">
        <f aca="false">IF(Produtos!$A214="","",IF(Produtos!$D214="","",Produtos!$D214))</f>
        <v>136.51</v>
      </c>
      <c r="E214" s="11"/>
      <c r="F214" s="34" t="n">
        <f aca="false">IF($A214="","",IF($C214="","⚠ categoria",IFERROR(INDEX(Parâmetros!$B$13:$B$22,MATCH($C214,Parâmetros!$A$13:$A$22,0)),"⚠ categoria")))</f>
        <v>0.13</v>
      </c>
      <c r="G214" s="35"/>
      <c r="H214" s="36" t="n">
        <f aca="false">IF($A214="","",IF(ISNUMBER($G214),$G214,IF(ISNUMBER($F214),$F214,"")))</f>
        <v>0.13</v>
      </c>
      <c r="I214" s="37" t="n">
        <f aca="false">IF(OR($A214="",NOT(ISNUMBER($D214)),NOT(ISNUMBER($H214))),"",IF((1-$H214-Parâmetros!$B$4-Parâmetros!$C$4-Parâmetros!$D$4)&lt;=0,"INVALIDO",($D214+IF(ISNUMBER($E214),$E214,0)+IF(ISNUMBER(Parâmetros!$E$4),Parâmetros!$E$4,0))/(1-$H214-Parâmetros!$B$4-Parâmetros!$C$4-Parâmetros!$D$4)))</f>
        <v>252.796296296296</v>
      </c>
      <c r="J214" s="38"/>
      <c r="K214" s="39" t="n">
        <f aca="false">IF(OR($A214="",NOT(ISNUMBER($D214)),NOT(ISNUMBER($H214))),"",IF(AND(ISNUMBER($J214),$J214&gt;0),$J214,IF(ISNUMBER($I214),$I214,"")))</f>
        <v>252.796296296296</v>
      </c>
      <c r="L214" s="40" t="n">
        <f aca="false">IF(ISNUMBER($K214),$K214*$H214,"")</f>
        <v>32.8635185185185</v>
      </c>
      <c r="M214" s="40" t="n">
        <f aca="false">IF(ISNUMBER($K214),$K214*Parâmetros!$B$4,"")</f>
        <v>25.2796296296296</v>
      </c>
      <c r="N214" s="40" t="n">
        <f aca="false">IF(ISNUMBER($K214),$K214*Parâmetros!$C$4,"")</f>
        <v>7.58388888888889</v>
      </c>
      <c r="O214" s="40" t="n">
        <f aca="false">IF(ISNUMBER($K214),IF(ISNUMBER(Parâmetros!$E$4),Parâmetros!$E$4,0),"")</f>
        <v>0</v>
      </c>
      <c r="P214" s="41" t="n">
        <f aca="false">IF(ISNUMBER($K214),$K214-$D214-IF(ISNUMBER($E214),$E214,0)-$L214-$M214-$N214-$O214,"")</f>
        <v>50.5592592592593</v>
      </c>
      <c r="Q214" s="42" t="n">
        <f aca="false">IF(AND(ISNUMBER($K214),$K214&gt;0),$P214/$K214,"")</f>
        <v>0.2</v>
      </c>
      <c r="R214" s="43"/>
      <c r="S214" s="44" t="str">
        <f aca="false">IF(OR(NOT(ISNUMBER($R214)),$R214=0,NOT(ISNUMBER($K214))),"",$K214*(1-$R214))</f>
        <v/>
      </c>
      <c r="T214" s="45" t="str">
        <f aca="false">IF(ISNUMBER($S214),$S214*$H214,"")</f>
        <v/>
      </c>
      <c r="U214" s="45" t="str">
        <f aca="false">IF(ISNUMBER($S214),$S214*Parâmetros!$B$4,"")</f>
        <v/>
      </c>
      <c r="V214" s="45" t="str">
        <f aca="false">IF(ISNUMBER($S214),$S214*Parâmetros!$C$4,"")</f>
        <v/>
      </c>
      <c r="W214" s="44" t="str">
        <f aca="false">IF(ISNUMBER($S214),$S214-$D214-IF(ISNUMBER($E214),$E214,0)-$O214-$T214-$U214-$V214,"")</f>
        <v/>
      </c>
      <c r="X214" s="46" t="str">
        <f aca="false">IF(AND(ISNUMBER($S214),$S214&gt;0),$W214/$S214,"")</f>
        <v/>
      </c>
      <c r="Y214" s="47"/>
      <c r="Z214" s="19"/>
    </row>
    <row r="215" customFormat="false" ht="15.75" hidden="false" customHeight="true" outlineLevel="0" collapsed="false">
      <c r="A215" s="48" t="str">
        <f aca="false">IF(Produtos!$A215="","",Produtos!$A215)</f>
        <v>A24C</v>
      </c>
      <c r="B215" s="48" t="str">
        <f aca="false">IF(Produtos!$A215="","",Produtos!$B215)</f>
        <v>Aro 24cm Pintado</v>
      </c>
      <c r="C215" s="48" t="str">
        <f aca="false">IF(Produtos!$A215="","",Produtos!$C215)</f>
        <v>Acessórios (aros e tampas)</v>
      </c>
      <c r="D215" s="33" t="n">
        <f aca="false">IF(Produtos!$A215="","",IF(Produtos!$D215="","",Produtos!$D215))</f>
        <v>50.43</v>
      </c>
      <c r="E215" s="11"/>
      <c r="F215" s="34" t="n">
        <f aca="false">IF($A215="","",IF($C215="","⚠ categoria",IFERROR(INDEX(Parâmetros!$B$13:$B$22,MATCH($C215,Parâmetros!$A$13:$A$22,0)),"⚠ categoria")))</f>
        <v>0.13</v>
      </c>
      <c r="G215" s="35"/>
      <c r="H215" s="36" t="n">
        <f aca="false">IF($A215="","",IF(ISNUMBER($G215),$G215,IF(ISNUMBER($F215),$F215,"")))</f>
        <v>0.13</v>
      </c>
      <c r="I215" s="37" t="n">
        <f aca="false">IF(OR($A215="",NOT(ISNUMBER($D215)),NOT(ISNUMBER($H215))),"",IF((1-$H215-Parâmetros!$B$4-Parâmetros!$C$4-Parâmetros!$D$4)&lt;=0,"INVALIDO",($D215+IF(ISNUMBER($E215),$E215,0)+IF(ISNUMBER(Parâmetros!$E$4),Parâmetros!$E$4,0))/(1-$H215-Parâmetros!$B$4-Parâmetros!$C$4-Parâmetros!$D$4)))</f>
        <v>93.3888888888889</v>
      </c>
      <c r="J215" s="38"/>
      <c r="K215" s="39" t="n">
        <f aca="false">IF(OR($A215="",NOT(ISNUMBER($D215)),NOT(ISNUMBER($H215))),"",IF(AND(ISNUMBER($J215),$J215&gt;0),$J215,IF(ISNUMBER($I215),$I215,"")))</f>
        <v>93.3888888888889</v>
      </c>
      <c r="L215" s="40" t="n">
        <f aca="false">IF(ISNUMBER($K215),$K215*$H215,"")</f>
        <v>12.1405555555556</v>
      </c>
      <c r="M215" s="40" t="n">
        <f aca="false">IF(ISNUMBER($K215),$K215*Parâmetros!$B$4,"")</f>
        <v>9.33888888888889</v>
      </c>
      <c r="N215" s="40" t="n">
        <f aca="false">IF(ISNUMBER($K215),$K215*Parâmetros!$C$4,"")</f>
        <v>2.80166666666667</v>
      </c>
      <c r="O215" s="40" t="n">
        <f aca="false">IF(ISNUMBER($K215),IF(ISNUMBER(Parâmetros!$E$4),Parâmetros!$E$4,0),"")</f>
        <v>0</v>
      </c>
      <c r="P215" s="41" t="n">
        <f aca="false">IF(ISNUMBER($K215),$K215-$D215-IF(ISNUMBER($E215),$E215,0)-$L215-$M215-$N215-$O215,"")</f>
        <v>18.6777777777778</v>
      </c>
      <c r="Q215" s="42" t="n">
        <f aca="false">IF(AND(ISNUMBER($K215),$K215&gt;0),$P215/$K215,"")</f>
        <v>0.2</v>
      </c>
      <c r="R215" s="43"/>
      <c r="S215" s="44" t="str">
        <f aca="false">IF(OR(NOT(ISNUMBER($R215)),$R215=0,NOT(ISNUMBER($K215))),"",$K215*(1-$R215))</f>
        <v/>
      </c>
      <c r="T215" s="45" t="str">
        <f aca="false">IF(ISNUMBER($S215),$S215*$H215,"")</f>
        <v/>
      </c>
      <c r="U215" s="45" t="str">
        <f aca="false">IF(ISNUMBER($S215),$S215*Parâmetros!$B$4,"")</f>
        <v/>
      </c>
      <c r="V215" s="45" t="str">
        <f aca="false">IF(ISNUMBER($S215),$S215*Parâmetros!$C$4,"")</f>
        <v/>
      </c>
      <c r="W215" s="44" t="str">
        <f aca="false">IF(ISNUMBER($S215),$S215-$D215-IF(ISNUMBER($E215),$E215,0)-$O215-$T215-$U215-$V215,"")</f>
        <v/>
      </c>
      <c r="X215" s="46" t="str">
        <f aca="false">IF(AND(ISNUMBER($S215),$S215&gt;0),$W215/$S215,"")</f>
        <v/>
      </c>
      <c r="Y215" s="49"/>
      <c r="Z215" s="21"/>
    </row>
    <row r="216" customFormat="false" ht="15.75" hidden="false" customHeight="true" outlineLevel="0" collapsed="false">
      <c r="A216" s="32" t="str">
        <f aca="false">IF(Produtos!$A216="","",Produtos!$A216)</f>
        <v>A30C</v>
      </c>
      <c r="B216" s="32" t="str">
        <f aca="false">IF(Produtos!$A216="","",Produtos!$B216)</f>
        <v>Aro 30cm Pintado</v>
      </c>
      <c r="C216" s="32" t="str">
        <f aca="false">IF(Produtos!$A216="","",Produtos!$C216)</f>
        <v>Acessórios (aros e tampas)</v>
      </c>
      <c r="D216" s="33" t="n">
        <f aca="false">IF(Produtos!$A216="","",IF(Produtos!$D216="","",Produtos!$D216))</f>
        <v>64.43</v>
      </c>
      <c r="E216" s="11"/>
      <c r="F216" s="34" t="n">
        <f aca="false">IF($A216="","",IF($C216="","⚠ categoria",IFERROR(INDEX(Parâmetros!$B$13:$B$22,MATCH($C216,Parâmetros!$A$13:$A$22,0)),"⚠ categoria")))</f>
        <v>0.13</v>
      </c>
      <c r="G216" s="35"/>
      <c r="H216" s="36" t="n">
        <f aca="false">IF($A216="","",IF(ISNUMBER($G216),$G216,IF(ISNUMBER($F216),$F216,"")))</f>
        <v>0.13</v>
      </c>
      <c r="I216" s="37" t="n">
        <f aca="false">IF(OR($A216="",NOT(ISNUMBER($D216)),NOT(ISNUMBER($H216))),"",IF((1-$H216-Parâmetros!$B$4-Parâmetros!$C$4-Parâmetros!$D$4)&lt;=0,"INVALIDO",($D216+IF(ISNUMBER($E216),$E216,0)+IF(ISNUMBER(Parâmetros!$E$4),Parâmetros!$E$4,0))/(1-$H216-Parâmetros!$B$4-Parâmetros!$C$4-Parâmetros!$D$4)))</f>
        <v>119.314814814815</v>
      </c>
      <c r="J216" s="38"/>
      <c r="K216" s="39" t="n">
        <f aca="false">IF(OR($A216="",NOT(ISNUMBER($D216)),NOT(ISNUMBER($H216))),"",IF(AND(ISNUMBER($J216),$J216&gt;0),$J216,IF(ISNUMBER($I216),$I216,"")))</f>
        <v>119.314814814815</v>
      </c>
      <c r="L216" s="40" t="n">
        <f aca="false">IF(ISNUMBER($K216),$K216*$H216,"")</f>
        <v>15.5109259259259</v>
      </c>
      <c r="M216" s="40" t="n">
        <f aca="false">IF(ISNUMBER($K216),$K216*Parâmetros!$B$4,"")</f>
        <v>11.9314814814815</v>
      </c>
      <c r="N216" s="40" t="n">
        <f aca="false">IF(ISNUMBER($K216),$K216*Parâmetros!$C$4,"")</f>
        <v>3.57944444444444</v>
      </c>
      <c r="O216" s="40" t="n">
        <f aca="false">IF(ISNUMBER($K216),IF(ISNUMBER(Parâmetros!$E$4),Parâmetros!$E$4,0),"")</f>
        <v>0</v>
      </c>
      <c r="P216" s="41" t="n">
        <f aca="false">IF(ISNUMBER($K216),$K216-$D216-IF(ISNUMBER($E216),$E216,0)-$L216-$M216-$N216-$O216,"")</f>
        <v>23.862962962963</v>
      </c>
      <c r="Q216" s="42" t="n">
        <f aca="false">IF(AND(ISNUMBER($K216),$K216&gt;0),$P216/$K216,"")</f>
        <v>0.2</v>
      </c>
      <c r="R216" s="43"/>
      <c r="S216" s="44" t="str">
        <f aca="false">IF(OR(NOT(ISNUMBER($R216)),$R216=0,NOT(ISNUMBER($K216))),"",$K216*(1-$R216))</f>
        <v/>
      </c>
      <c r="T216" s="45" t="str">
        <f aca="false">IF(ISNUMBER($S216),$S216*$H216,"")</f>
        <v/>
      </c>
      <c r="U216" s="45" t="str">
        <f aca="false">IF(ISNUMBER($S216),$S216*Parâmetros!$B$4,"")</f>
        <v/>
      </c>
      <c r="V216" s="45" t="str">
        <f aca="false">IF(ISNUMBER($S216),$S216*Parâmetros!$C$4,"")</f>
        <v/>
      </c>
      <c r="W216" s="44" t="str">
        <f aca="false">IF(ISNUMBER($S216),$S216-$D216-IF(ISNUMBER($E216),$E216,0)-$O216-$T216-$U216-$V216,"")</f>
        <v/>
      </c>
      <c r="X216" s="46" t="str">
        <f aca="false">IF(AND(ISNUMBER($S216),$S216&gt;0),$W216/$S216,"")</f>
        <v/>
      </c>
      <c r="Y216" s="47"/>
      <c r="Z216" s="19"/>
    </row>
    <row r="217" customFormat="false" ht="15.75" hidden="false" customHeight="true" outlineLevel="0" collapsed="false">
      <c r="A217" s="48" t="str">
        <f aca="false">IF(Produtos!$A217="","",Produtos!$A217)</f>
        <v>A40BP</v>
      </c>
      <c r="B217" s="48" t="str">
        <f aca="false">IF(Produtos!$A217="","",Produtos!$B217)</f>
        <v>Aro 40cm Pintado</v>
      </c>
      <c r="C217" s="48" t="str">
        <f aca="false">IF(Produtos!$A217="","",Produtos!$C217)</f>
        <v>Acessórios (aros e tampas)</v>
      </c>
      <c r="D217" s="33" t="n">
        <f aca="false">IF(Produtos!$A217="","",IF(Produtos!$D217="","",Produtos!$D217))</f>
        <v>118.62</v>
      </c>
      <c r="E217" s="11"/>
      <c r="F217" s="34" t="n">
        <f aca="false">IF($A217="","",IF($C217="","⚠ categoria",IFERROR(INDEX(Parâmetros!$B$13:$B$22,MATCH($C217,Parâmetros!$A$13:$A$22,0)),"⚠ categoria")))</f>
        <v>0.13</v>
      </c>
      <c r="G217" s="35"/>
      <c r="H217" s="36" t="n">
        <f aca="false">IF($A217="","",IF(ISNUMBER($G217),$G217,IF(ISNUMBER($F217),$F217,"")))</f>
        <v>0.13</v>
      </c>
      <c r="I217" s="37" t="n">
        <f aca="false">IF(OR($A217="",NOT(ISNUMBER($D217)),NOT(ISNUMBER($H217))),"",IF((1-$H217-Parâmetros!$B$4-Parâmetros!$C$4-Parâmetros!$D$4)&lt;=0,"INVALIDO",($D217+IF(ISNUMBER($E217),$E217,0)+IF(ISNUMBER(Parâmetros!$E$4),Parâmetros!$E$4,0))/(1-$H217-Parâmetros!$B$4-Parâmetros!$C$4-Parâmetros!$D$4)))</f>
        <v>219.666666666667</v>
      </c>
      <c r="J217" s="38"/>
      <c r="K217" s="39" t="n">
        <f aca="false">IF(OR($A217="",NOT(ISNUMBER($D217)),NOT(ISNUMBER($H217))),"",IF(AND(ISNUMBER($J217),$J217&gt;0),$J217,IF(ISNUMBER($I217),$I217,"")))</f>
        <v>219.666666666667</v>
      </c>
      <c r="L217" s="40" t="n">
        <f aca="false">IF(ISNUMBER($K217),$K217*$H217,"")</f>
        <v>28.5566666666667</v>
      </c>
      <c r="M217" s="40" t="n">
        <f aca="false">IF(ISNUMBER($K217),$K217*Parâmetros!$B$4,"")</f>
        <v>21.9666666666667</v>
      </c>
      <c r="N217" s="40" t="n">
        <f aca="false">IF(ISNUMBER($K217),$K217*Parâmetros!$C$4,"")</f>
        <v>6.59</v>
      </c>
      <c r="O217" s="40" t="n">
        <f aca="false">IF(ISNUMBER($K217),IF(ISNUMBER(Parâmetros!$E$4),Parâmetros!$E$4,0),"")</f>
        <v>0</v>
      </c>
      <c r="P217" s="41" t="n">
        <f aca="false">IF(ISNUMBER($K217),$K217-$D217-IF(ISNUMBER($E217),$E217,0)-$L217-$M217-$N217-$O217,"")</f>
        <v>43.9333333333333</v>
      </c>
      <c r="Q217" s="42" t="n">
        <f aca="false">IF(AND(ISNUMBER($K217),$K217&gt;0),$P217/$K217,"")</f>
        <v>0.2</v>
      </c>
      <c r="R217" s="43"/>
      <c r="S217" s="44" t="str">
        <f aca="false">IF(OR(NOT(ISNUMBER($R217)),$R217=0,NOT(ISNUMBER($K217))),"",$K217*(1-$R217))</f>
        <v/>
      </c>
      <c r="T217" s="45" t="str">
        <f aca="false">IF(ISNUMBER($S217),$S217*$H217,"")</f>
        <v/>
      </c>
      <c r="U217" s="45" t="str">
        <f aca="false">IF(ISNUMBER($S217),$S217*Parâmetros!$B$4,"")</f>
        <v/>
      </c>
      <c r="V217" s="45" t="str">
        <f aca="false">IF(ISNUMBER($S217),$S217*Parâmetros!$C$4,"")</f>
        <v/>
      </c>
      <c r="W217" s="44" t="str">
        <f aca="false">IF(ISNUMBER($S217),$S217-$D217-IF(ISNUMBER($E217),$E217,0)-$O217-$T217-$U217-$V217,"")</f>
        <v/>
      </c>
      <c r="X217" s="46" t="str">
        <f aca="false">IF(AND(ISNUMBER($S217),$S217&gt;0),$W217/$S217,"")</f>
        <v/>
      </c>
      <c r="Y217" s="49"/>
      <c r="Z217" s="21"/>
    </row>
    <row r="218" customFormat="false" ht="15.75" hidden="false" customHeight="true" outlineLevel="0" collapsed="false">
      <c r="A218" s="32" t="str">
        <f aca="false">IF(Produtos!$A218="","",Produtos!$A218)</f>
        <v>A24BC</v>
      </c>
      <c r="B218" s="32" t="str">
        <f aca="false">IF(Produtos!$A218="","",Produtos!$B218)</f>
        <v>Aro 24cm c/Basculante Pintado</v>
      </c>
      <c r="C218" s="32" t="str">
        <f aca="false">IF(Produtos!$A218="","",Produtos!$C218)</f>
        <v>Acessórios (aros e tampas)</v>
      </c>
      <c r="D218" s="33" t="n">
        <f aca="false">IF(Produtos!$A218="","",IF(Produtos!$D218="","",Produtos!$D218))</f>
        <v>76.56</v>
      </c>
      <c r="E218" s="11"/>
      <c r="F218" s="34" t="n">
        <f aca="false">IF($A218="","",IF($C218="","⚠ categoria",IFERROR(INDEX(Parâmetros!$B$13:$B$22,MATCH($C218,Parâmetros!$A$13:$A$22,0)),"⚠ categoria")))</f>
        <v>0.13</v>
      </c>
      <c r="G218" s="35"/>
      <c r="H218" s="36" t="n">
        <f aca="false">IF($A218="","",IF(ISNUMBER($G218),$G218,IF(ISNUMBER($F218),$F218,"")))</f>
        <v>0.13</v>
      </c>
      <c r="I218" s="37" t="n">
        <f aca="false">IF(OR($A218="",NOT(ISNUMBER($D218)),NOT(ISNUMBER($H218))),"",IF((1-$H218-Parâmetros!$B$4-Parâmetros!$C$4-Parâmetros!$D$4)&lt;=0,"INVALIDO",($D218+IF(ISNUMBER($E218),$E218,0)+IF(ISNUMBER(Parâmetros!$E$4),Parâmetros!$E$4,0))/(1-$H218-Parâmetros!$B$4-Parâmetros!$C$4-Parâmetros!$D$4)))</f>
        <v>141.777777777778</v>
      </c>
      <c r="J218" s="38"/>
      <c r="K218" s="39" t="n">
        <f aca="false">IF(OR($A218="",NOT(ISNUMBER($D218)),NOT(ISNUMBER($H218))),"",IF(AND(ISNUMBER($J218),$J218&gt;0),$J218,IF(ISNUMBER($I218),$I218,"")))</f>
        <v>141.777777777778</v>
      </c>
      <c r="L218" s="40" t="n">
        <f aca="false">IF(ISNUMBER($K218),$K218*$H218,"")</f>
        <v>18.4311111111111</v>
      </c>
      <c r="M218" s="40" t="n">
        <f aca="false">IF(ISNUMBER($K218),$K218*Parâmetros!$B$4,"")</f>
        <v>14.1777777777778</v>
      </c>
      <c r="N218" s="40" t="n">
        <f aca="false">IF(ISNUMBER($K218),$K218*Parâmetros!$C$4,"")</f>
        <v>4.25333333333333</v>
      </c>
      <c r="O218" s="40" t="n">
        <f aca="false">IF(ISNUMBER($K218),IF(ISNUMBER(Parâmetros!$E$4),Parâmetros!$E$4,0),"")</f>
        <v>0</v>
      </c>
      <c r="P218" s="41" t="n">
        <f aca="false">IF(ISNUMBER($K218),$K218-$D218-IF(ISNUMBER($E218),$E218,0)-$L218-$M218-$N218-$O218,"")</f>
        <v>28.3555555555556</v>
      </c>
      <c r="Q218" s="42" t="n">
        <f aca="false">IF(AND(ISNUMBER($K218),$K218&gt;0),$P218/$K218,"")</f>
        <v>0.2</v>
      </c>
      <c r="R218" s="43"/>
      <c r="S218" s="44" t="str">
        <f aca="false">IF(OR(NOT(ISNUMBER($R218)),$R218=0,NOT(ISNUMBER($K218))),"",$K218*(1-$R218))</f>
        <v/>
      </c>
      <c r="T218" s="45" t="str">
        <f aca="false">IF(ISNUMBER($S218),$S218*$H218,"")</f>
        <v/>
      </c>
      <c r="U218" s="45" t="str">
        <f aca="false">IF(ISNUMBER($S218),$S218*Parâmetros!$B$4,"")</f>
        <v/>
      </c>
      <c r="V218" s="45" t="str">
        <f aca="false">IF(ISNUMBER($S218),$S218*Parâmetros!$C$4,"")</f>
        <v/>
      </c>
      <c r="W218" s="44" t="str">
        <f aca="false">IF(ISNUMBER($S218),$S218-$D218-IF(ISNUMBER($E218),$E218,0)-$O218-$T218-$U218-$V218,"")</f>
        <v/>
      </c>
      <c r="X218" s="46" t="str">
        <f aca="false">IF(AND(ISNUMBER($S218),$S218&gt;0),$W218/$S218,"")</f>
        <v/>
      </c>
      <c r="Y218" s="47"/>
      <c r="Z218" s="19"/>
    </row>
    <row r="219" customFormat="false" ht="15.75" hidden="false" customHeight="true" outlineLevel="0" collapsed="false">
      <c r="A219" s="48" t="str">
        <f aca="false">IF(Produtos!$A219="","",Produtos!$A219)</f>
        <v>A30BC</v>
      </c>
      <c r="B219" s="48" t="str">
        <f aca="false">IF(Produtos!$A219="","",Produtos!$B219)</f>
        <v>Aro 30cm c/Basculante Pintado</v>
      </c>
      <c r="C219" s="48" t="str">
        <f aca="false">IF(Produtos!$A219="","",Produtos!$C219)</f>
        <v>Acessórios (aros e tampas)</v>
      </c>
      <c r="D219" s="33" t="n">
        <f aca="false">IF(Produtos!$A219="","",IF(Produtos!$D219="","",Produtos!$D219))</f>
        <v>90.73</v>
      </c>
      <c r="E219" s="11"/>
      <c r="F219" s="34" t="n">
        <f aca="false">IF($A219="","",IF($C219="","⚠ categoria",IFERROR(INDEX(Parâmetros!$B$13:$B$22,MATCH($C219,Parâmetros!$A$13:$A$22,0)),"⚠ categoria")))</f>
        <v>0.13</v>
      </c>
      <c r="G219" s="35"/>
      <c r="H219" s="36" t="n">
        <f aca="false">IF($A219="","",IF(ISNUMBER($G219),$G219,IF(ISNUMBER($F219),$F219,"")))</f>
        <v>0.13</v>
      </c>
      <c r="I219" s="37" t="n">
        <f aca="false">IF(OR($A219="",NOT(ISNUMBER($D219)),NOT(ISNUMBER($H219))),"",IF((1-$H219-Parâmetros!$B$4-Parâmetros!$C$4-Parâmetros!$D$4)&lt;=0,"INVALIDO",($D219+IF(ISNUMBER($E219),$E219,0)+IF(ISNUMBER(Parâmetros!$E$4),Parâmetros!$E$4,0))/(1-$H219-Parâmetros!$B$4-Parâmetros!$C$4-Parâmetros!$D$4)))</f>
        <v>168.018518518519</v>
      </c>
      <c r="J219" s="38"/>
      <c r="K219" s="39" t="n">
        <f aca="false">IF(OR($A219="",NOT(ISNUMBER($D219)),NOT(ISNUMBER($H219))),"",IF(AND(ISNUMBER($J219),$J219&gt;0),$J219,IF(ISNUMBER($I219),$I219,"")))</f>
        <v>168.018518518519</v>
      </c>
      <c r="L219" s="40" t="n">
        <f aca="false">IF(ISNUMBER($K219),$K219*$H219,"")</f>
        <v>21.8424074074074</v>
      </c>
      <c r="M219" s="40" t="n">
        <f aca="false">IF(ISNUMBER($K219),$K219*Parâmetros!$B$4,"")</f>
        <v>16.8018518518519</v>
      </c>
      <c r="N219" s="40" t="n">
        <f aca="false">IF(ISNUMBER($K219),$K219*Parâmetros!$C$4,"")</f>
        <v>5.04055555555556</v>
      </c>
      <c r="O219" s="40" t="n">
        <f aca="false">IF(ISNUMBER($K219),IF(ISNUMBER(Parâmetros!$E$4),Parâmetros!$E$4,0),"")</f>
        <v>0</v>
      </c>
      <c r="P219" s="41" t="n">
        <f aca="false">IF(ISNUMBER($K219),$K219-$D219-IF(ISNUMBER($E219),$E219,0)-$L219-$M219-$N219-$O219,"")</f>
        <v>33.6037037037037</v>
      </c>
      <c r="Q219" s="42" t="n">
        <f aca="false">IF(AND(ISNUMBER($K219),$K219&gt;0),$P219/$K219,"")</f>
        <v>0.2</v>
      </c>
      <c r="R219" s="43"/>
      <c r="S219" s="44" t="str">
        <f aca="false">IF(OR(NOT(ISNUMBER($R219)),$R219=0,NOT(ISNUMBER($K219))),"",$K219*(1-$R219))</f>
        <v/>
      </c>
      <c r="T219" s="45" t="str">
        <f aca="false">IF(ISNUMBER($S219),$S219*$H219,"")</f>
        <v/>
      </c>
      <c r="U219" s="45" t="str">
        <f aca="false">IF(ISNUMBER($S219),$S219*Parâmetros!$B$4,"")</f>
        <v/>
      </c>
      <c r="V219" s="45" t="str">
        <f aca="false">IF(ISNUMBER($S219),$S219*Parâmetros!$C$4,"")</f>
        <v/>
      </c>
      <c r="W219" s="44" t="str">
        <f aca="false">IF(ISNUMBER($S219),$S219-$D219-IF(ISNUMBER($E219),$E219,0)-$O219-$T219-$U219-$V219,"")</f>
        <v/>
      </c>
      <c r="X219" s="46" t="str">
        <f aca="false">IF(AND(ISNUMBER($S219),$S219&gt;0),$W219/$S219,"")</f>
        <v/>
      </c>
      <c r="Y219" s="49"/>
      <c r="Z219" s="21"/>
    </row>
    <row r="220" customFormat="false" ht="15.75" hidden="false" customHeight="true" outlineLevel="0" collapsed="false">
      <c r="A220" s="32" t="str">
        <f aca="false">IF(Produtos!$A220="","",Produtos!$A220)</f>
        <v>A40BC</v>
      </c>
      <c r="B220" s="32" t="str">
        <f aca="false">IF(Produtos!$A220="","",Produtos!$B220)</f>
        <v>Aro 40cm c/Basculante Pintado</v>
      </c>
      <c r="C220" s="32" t="str">
        <f aca="false">IF(Produtos!$A220="","",Produtos!$C220)</f>
        <v>Acessórios (aros e tampas)</v>
      </c>
      <c r="D220" s="33" t="n">
        <f aca="false">IF(Produtos!$A220="","",IF(Produtos!$D220="","",Produtos!$D220))</f>
        <v>170.07</v>
      </c>
      <c r="E220" s="11"/>
      <c r="F220" s="34" t="n">
        <f aca="false">IF($A220="","",IF($C220="","⚠ categoria",IFERROR(INDEX(Parâmetros!$B$13:$B$22,MATCH($C220,Parâmetros!$A$13:$A$22,0)),"⚠ categoria")))</f>
        <v>0.13</v>
      </c>
      <c r="G220" s="35"/>
      <c r="H220" s="36" t="n">
        <f aca="false">IF($A220="","",IF(ISNUMBER($G220),$G220,IF(ISNUMBER($F220),$F220,"")))</f>
        <v>0.13</v>
      </c>
      <c r="I220" s="37" t="n">
        <f aca="false">IF(OR($A220="",NOT(ISNUMBER($D220)),NOT(ISNUMBER($H220))),"",IF((1-$H220-Parâmetros!$B$4-Parâmetros!$C$4-Parâmetros!$D$4)&lt;=0,"INVALIDO",($D220+IF(ISNUMBER($E220),$E220,0)+IF(ISNUMBER(Parâmetros!$E$4),Parâmetros!$E$4,0))/(1-$H220-Parâmetros!$B$4-Parâmetros!$C$4-Parâmetros!$D$4)))</f>
        <v>314.944444444444</v>
      </c>
      <c r="J220" s="38"/>
      <c r="K220" s="39" t="n">
        <f aca="false">IF(OR($A220="",NOT(ISNUMBER($D220)),NOT(ISNUMBER($H220))),"",IF(AND(ISNUMBER($J220),$J220&gt;0),$J220,IF(ISNUMBER($I220),$I220,"")))</f>
        <v>314.944444444444</v>
      </c>
      <c r="L220" s="40" t="n">
        <f aca="false">IF(ISNUMBER($K220),$K220*$H220,"")</f>
        <v>40.9427777777778</v>
      </c>
      <c r="M220" s="40" t="n">
        <f aca="false">IF(ISNUMBER($K220),$K220*Parâmetros!$B$4,"")</f>
        <v>31.4944444444444</v>
      </c>
      <c r="N220" s="40" t="n">
        <f aca="false">IF(ISNUMBER($K220),$K220*Parâmetros!$C$4,"")</f>
        <v>9.44833333333333</v>
      </c>
      <c r="O220" s="40" t="n">
        <f aca="false">IF(ISNUMBER($K220),IF(ISNUMBER(Parâmetros!$E$4),Parâmetros!$E$4,0),"")</f>
        <v>0</v>
      </c>
      <c r="P220" s="41" t="n">
        <f aca="false">IF(ISNUMBER($K220),$K220-$D220-IF(ISNUMBER($E220),$E220,0)-$L220-$M220-$N220-$O220,"")</f>
        <v>62.9888888888889</v>
      </c>
      <c r="Q220" s="42" t="n">
        <f aca="false">IF(AND(ISNUMBER($K220),$K220&gt;0),$P220/$K220,"")</f>
        <v>0.2</v>
      </c>
      <c r="R220" s="43"/>
      <c r="S220" s="44" t="str">
        <f aca="false">IF(OR(NOT(ISNUMBER($R220)),$R220=0,NOT(ISNUMBER($K220))),"",$K220*(1-$R220))</f>
        <v/>
      </c>
      <c r="T220" s="45" t="str">
        <f aca="false">IF(ISNUMBER($S220),$S220*$H220,"")</f>
        <v/>
      </c>
      <c r="U220" s="45" t="str">
        <f aca="false">IF(ISNUMBER($S220),$S220*Parâmetros!$B$4,"")</f>
        <v/>
      </c>
      <c r="V220" s="45" t="str">
        <f aca="false">IF(ISNUMBER($S220),$S220*Parâmetros!$C$4,"")</f>
        <v/>
      </c>
      <c r="W220" s="44" t="str">
        <f aca="false">IF(ISNUMBER($S220),$S220-$D220-IF(ISNUMBER($E220),$E220,0)-$O220-$T220-$U220-$V220,"")</f>
        <v/>
      </c>
      <c r="X220" s="46" t="str">
        <f aca="false">IF(AND(ISNUMBER($S220),$S220&gt;0),$W220/$S220,"")</f>
        <v/>
      </c>
      <c r="Y220" s="47"/>
      <c r="Z220" s="19"/>
    </row>
    <row r="221" customFormat="false" ht="15.75" hidden="false" customHeight="true" outlineLevel="0" collapsed="false">
      <c r="A221" s="48" t="str">
        <f aca="false">IF(Produtos!$A221="","",Produtos!$A221)</f>
        <v>T24-PILHAS</v>
      </c>
      <c r="B221" s="48" t="str">
        <f aca="false">IF(Produtos!$A221="","",Produtos!$B221)</f>
        <v>Tampa 24cm Coletor de Pilhas e Baterias</v>
      </c>
      <c r="C221" s="48" t="str">
        <f aca="false">IF(Produtos!$A221="","",Produtos!$C221)</f>
        <v>Coletores de pilhas</v>
      </c>
      <c r="D221" s="33" t="n">
        <f aca="false">IF(Produtos!$A221="","",IF(Produtos!$D221="","",Produtos!$D221))</f>
        <v>57.21</v>
      </c>
      <c r="E221" s="11"/>
      <c r="F221" s="34" t="n">
        <f aca="false">IF($A221="","",IF($C221="","⚠ categoria",IFERROR(INDEX(Parâmetros!$B$13:$B$22,MATCH($C221,Parâmetros!$A$13:$A$22,0)),"⚠ categoria")))</f>
        <v>0.13</v>
      </c>
      <c r="G221" s="35"/>
      <c r="H221" s="36" t="n">
        <f aca="false">IF($A221="","",IF(ISNUMBER($G221),$G221,IF(ISNUMBER($F221),$F221,"")))</f>
        <v>0.13</v>
      </c>
      <c r="I221" s="37" t="n">
        <f aca="false">IF(OR($A221="",NOT(ISNUMBER($D221)),NOT(ISNUMBER($H221))),"",IF((1-$H221-Parâmetros!$B$4-Parâmetros!$C$4-Parâmetros!$D$4)&lt;=0,"INVALIDO",($D221+IF(ISNUMBER($E221),$E221,0)+IF(ISNUMBER(Parâmetros!$E$4),Parâmetros!$E$4,0))/(1-$H221-Parâmetros!$B$4-Parâmetros!$C$4-Parâmetros!$D$4)))</f>
        <v>105.944444444444</v>
      </c>
      <c r="J221" s="38"/>
      <c r="K221" s="39" t="n">
        <f aca="false">IF(OR($A221="",NOT(ISNUMBER($D221)),NOT(ISNUMBER($H221))),"",IF(AND(ISNUMBER($J221),$J221&gt;0),$J221,IF(ISNUMBER($I221),$I221,"")))</f>
        <v>105.944444444444</v>
      </c>
      <c r="L221" s="40" t="n">
        <f aca="false">IF(ISNUMBER($K221),$K221*$H221,"")</f>
        <v>13.7727777777778</v>
      </c>
      <c r="M221" s="40" t="n">
        <f aca="false">IF(ISNUMBER($K221),$K221*Parâmetros!$B$4,"")</f>
        <v>10.5944444444444</v>
      </c>
      <c r="N221" s="40" t="n">
        <f aca="false">IF(ISNUMBER($K221),$K221*Parâmetros!$C$4,"")</f>
        <v>3.17833333333333</v>
      </c>
      <c r="O221" s="40" t="n">
        <f aca="false">IF(ISNUMBER($K221),IF(ISNUMBER(Parâmetros!$E$4),Parâmetros!$E$4,0),"")</f>
        <v>0</v>
      </c>
      <c r="P221" s="41" t="n">
        <f aca="false">IF(ISNUMBER($K221),$K221-$D221-IF(ISNUMBER($E221),$E221,0)-$L221-$M221-$N221-$O221,"")</f>
        <v>21.1888888888889</v>
      </c>
      <c r="Q221" s="42" t="n">
        <f aca="false">IF(AND(ISNUMBER($K221),$K221&gt;0),$P221/$K221,"")</f>
        <v>0.2</v>
      </c>
      <c r="R221" s="43"/>
      <c r="S221" s="44" t="str">
        <f aca="false">IF(OR(NOT(ISNUMBER($R221)),$R221=0,NOT(ISNUMBER($K221))),"",$K221*(1-$R221))</f>
        <v/>
      </c>
      <c r="T221" s="45" t="str">
        <f aca="false">IF(ISNUMBER($S221),$S221*$H221,"")</f>
        <v/>
      </c>
      <c r="U221" s="45" t="str">
        <f aca="false">IF(ISNUMBER($S221),$S221*Parâmetros!$B$4,"")</f>
        <v/>
      </c>
      <c r="V221" s="45" t="str">
        <f aca="false">IF(ISNUMBER($S221),$S221*Parâmetros!$C$4,"")</f>
        <v/>
      </c>
      <c r="W221" s="44" t="str">
        <f aca="false">IF(ISNUMBER($S221),$S221-$D221-IF(ISNUMBER($E221),$E221,0)-$O221-$T221-$U221-$V221,"")</f>
        <v/>
      </c>
      <c r="X221" s="46" t="str">
        <f aca="false">IF(AND(ISNUMBER($S221),$S221&gt;0),$W221/$S221,"")</f>
        <v/>
      </c>
      <c r="Y221" s="49"/>
      <c r="Z221" s="21"/>
    </row>
    <row r="222" customFormat="false" ht="15.75" hidden="false" customHeight="true" outlineLevel="0" collapsed="false">
      <c r="A222" s="32" t="str">
        <f aca="false">IF(Produtos!$A222="","",Produtos!$A222)</f>
        <v>T30-PILHAS</v>
      </c>
      <c r="B222" s="32" t="str">
        <f aca="false">IF(Produtos!$A222="","",Produtos!$B222)</f>
        <v>Tampa 30cm Coletor de Pilhas e Baterias</v>
      </c>
      <c r="C222" s="32" t="str">
        <f aca="false">IF(Produtos!$A222="","",Produtos!$C222)</f>
        <v>Coletores de pilhas</v>
      </c>
      <c r="D222" s="33" t="n">
        <f aca="false">IF(Produtos!$A222="","",IF(Produtos!$D222="","",Produtos!$D222))</f>
        <v>46.19</v>
      </c>
      <c r="E222" s="11"/>
      <c r="F222" s="34" t="n">
        <f aca="false">IF($A222="","",IF($C222="","⚠ categoria",IFERROR(INDEX(Parâmetros!$B$13:$B$22,MATCH($C222,Parâmetros!$A$13:$A$22,0)),"⚠ categoria")))</f>
        <v>0.13</v>
      </c>
      <c r="G222" s="35"/>
      <c r="H222" s="36" t="n">
        <f aca="false">IF($A222="","",IF(ISNUMBER($G222),$G222,IF(ISNUMBER($F222),$F222,"")))</f>
        <v>0.13</v>
      </c>
      <c r="I222" s="37" t="n">
        <f aca="false">IF(OR($A222="",NOT(ISNUMBER($D222)),NOT(ISNUMBER($H222))),"",IF((1-$H222-Parâmetros!$B$4-Parâmetros!$C$4-Parâmetros!$D$4)&lt;=0,"INVALIDO",($D222+IF(ISNUMBER($E222),$E222,0)+IF(ISNUMBER(Parâmetros!$E$4),Parâmetros!$E$4,0))/(1-$H222-Parâmetros!$B$4-Parâmetros!$C$4-Parâmetros!$D$4)))</f>
        <v>85.537037037037</v>
      </c>
      <c r="J222" s="38"/>
      <c r="K222" s="39" t="n">
        <f aca="false">IF(OR($A222="",NOT(ISNUMBER($D222)),NOT(ISNUMBER($H222))),"",IF(AND(ISNUMBER($J222),$J222&gt;0),$J222,IF(ISNUMBER($I222),$I222,"")))</f>
        <v>85.537037037037</v>
      </c>
      <c r="L222" s="40" t="n">
        <f aca="false">IF(ISNUMBER($K222),$K222*$H222,"")</f>
        <v>11.1198148148148</v>
      </c>
      <c r="M222" s="40" t="n">
        <f aca="false">IF(ISNUMBER($K222),$K222*Parâmetros!$B$4,"")</f>
        <v>8.5537037037037</v>
      </c>
      <c r="N222" s="40" t="n">
        <f aca="false">IF(ISNUMBER($K222),$K222*Parâmetros!$C$4,"")</f>
        <v>2.56611111111111</v>
      </c>
      <c r="O222" s="40" t="n">
        <f aca="false">IF(ISNUMBER($K222),IF(ISNUMBER(Parâmetros!$E$4),Parâmetros!$E$4,0),"")</f>
        <v>0</v>
      </c>
      <c r="P222" s="41" t="n">
        <f aca="false">IF(ISNUMBER($K222),$K222-$D222-IF(ISNUMBER($E222),$E222,0)-$L222-$M222-$N222-$O222,"")</f>
        <v>17.1074074074074</v>
      </c>
      <c r="Q222" s="42" t="n">
        <f aca="false">IF(AND(ISNUMBER($K222),$K222&gt;0),$P222/$K222,"")</f>
        <v>0.2</v>
      </c>
      <c r="R222" s="43"/>
      <c r="S222" s="44" t="str">
        <f aca="false">IF(OR(NOT(ISNUMBER($R222)),$R222=0,NOT(ISNUMBER($K222))),"",$K222*(1-$R222))</f>
        <v/>
      </c>
      <c r="T222" s="45" t="str">
        <f aca="false">IF(ISNUMBER($S222),$S222*$H222,"")</f>
        <v/>
      </c>
      <c r="U222" s="45" t="str">
        <f aca="false">IF(ISNUMBER($S222),$S222*Parâmetros!$B$4,"")</f>
        <v/>
      </c>
      <c r="V222" s="45" t="str">
        <f aca="false">IF(ISNUMBER($S222),$S222*Parâmetros!$C$4,"")</f>
        <v/>
      </c>
      <c r="W222" s="44" t="str">
        <f aca="false">IF(ISNUMBER($S222),$S222-$D222-IF(ISNUMBER($E222),$E222,0)-$O222-$T222-$U222-$V222,"")</f>
        <v/>
      </c>
      <c r="X222" s="46" t="str">
        <f aca="false">IF(AND(ISNUMBER($S222),$S222&gt;0),$W222/$S222,"")</f>
        <v/>
      </c>
      <c r="Y222" s="47"/>
      <c r="Z222" s="19"/>
    </row>
    <row r="223" customFormat="false" ht="15.75" hidden="false" customHeight="true" outlineLevel="0" collapsed="false">
      <c r="A223" s="48" t="str">
        <f aca="false">IF(Produtos!$A223="","",Produtos!$A223)</f>
        <v>T40-PILHAS</v>
      </c>
      <c r="B223" s="48" t="str">
        <f aca="false">IF(Produtos!$A223="","",Produtos!$B223)</f>
        <v>Tampa 40cm Coletor de Pilhas e Baterias</v>
      </c>
      <c r="C223" s="48" t="str">
        <f aca="false">IF(Produtos!$A223="","",Produtos!$C223)</f>
        <v>Coletores de pilhas</v>
      </c>
      <c r="D223" s="33" t="n">
        <f aca="false">IF(Produtos!$A223="","",IF(Produtos!$D223="","",Produtos!$D223))</f>
        <v>98.64</v>
      </c>
      <c r="E223" s="11"/>
      <c r="F223" s="34" t="n">
        <f aca="false">IF($A223="","",IF($C223="","⚠ categoria",IFERROR(INDEX(Parâmetros!$B$13:$B$22,MATCH($C223,Parâmetros!$A$13:$A$22,0)),"⚠ categoria")))</f>
        <v>0.13</v>
      </c>
      <c r="G223" s="35"/>
      <c r="H223" s="36" t="n">
        <f aca="false">IF($A223="","",IF(ISNUMBER($G223),$G223,IF(ISNUMBER($F223),$F223,"")))</f>
        <v>0.13</v>
      </c>
      <c r="I223" s="37" t="n">
        <f aca="false">IF(OR($A223="",NOT(ISNUMBER($D223)),NOT(ISNUMBER($H223))),"",IF((1-$H223-Parâmetros!$B$4-Parâmetros!$C$4-Parâmetros!$D$4)&lt;=0,"INVALIDO",($D223+IF(ISNUMBER($E223),$E223,0)+IF(ISNUMBER(Parâmetros!$E$4),Parâmetros!$E$4,0))/(1-$H223-Parâmetros!$B$4-Parâmetros!$C$4-Parâmetros!$D$4)))</f>
        <v>182.666666666667</v>
      </c>
      <c r="J223" s="38"/>
      <c r="K223" s="39" t="n">
        <f aca="false">IF(OR($A223="",NOT(ISNUMBER($D223)),NOT(ISNUMBER($H223))),"",IF(AND(ISNUMBER($J223),$J223&gt;0),$J223,IF(ISNUMBER($I223),$I223,"")))</f>
        <v>182.666666666667</v>
      </c>
      <c r="L223" s="40" t="n">
        <f aca="false">IF(ISNUMBER($K223),$K223*$H223,"")</f>
        <v>23.7466666666667</v>
      </c>
      <c r="M223" s="40" t="n">
        <f aca="false">IF(ISNUMBER($K223),$K223*Parâmetros!$B$4,"")</f>
        <v>18.2666666666667</v>
      </c>
      <c r="N223" s="40" t="n">
        <f aca="false">IF(ISNUMBER($K223),$K223*Parâmetros!$C$4,"")</f>
        <v>5.48</v>
      </c>
      <c r="O223" s="40" t="n">
        <f aca="false">IF(ISNUMBER($K223),IF(ISNUMBER(Parâmetros!$E$4),Parâmetros!$E$4,0),"")</f>
        <v>0</v>
      </c>
      <c r="P223" s="41" t="n">
        <f aca="false">IF(ISNUMBER($K223),$K223-$D223-IF(ISNUMBER($E223),$E223,0)-$L223-$M223-$N223-$O223,"")</f>
        <v>36.5333333333333</v>
      </c>
      <c r="Q223" s="42" t="n">
        <f aca="false">IF(AND(ISNUMBER($K223),$K223&gt;0),$P223/$K223,"")</f>
        <v>0.2</v>
      </c>
      <c r="R223" s="43"/>
      <c r="S223" s="44" t="str">
        <f aca="false">IF(OR(NOT(ISNUMBER($R223)),$R223=0,NOT(ISNUMBER($K223))),"",$K223*(1-$R223))</f>
        <v/>
      </c>
      <c r="T223" s="45" t="str">
        <f aca="false">IF(ISNUMBER($S223),$S223*$H223,"")</f>
        <v/>
      </c>
      <c r="U223" s="45" t="str">
        <f aca="false">IF(ISNUMBER($S223),$S223*Parâmetros!$B$4,"")</f>
        <v/>
      </c>
      <c r="V223" s="45" t="str">
        <f aca="false">IF(ISNUMBER($S223),$S223*Parâmetros!$C$4,"")</f>
        <v/>
      </c>
      <c r="W223" s="44" t="str">
        <f aca="false">IF(ISNUMBER($S223),$S223-$D223-IF(ISNUMBER($E223),$E223,0)-$O223-$T223-$U223-$V223,"")</f>
        <v/>
      </c>
      <c r="X223" s="46" t="str">
        <f aca="false">IF(AND(ISNUMBER($S223),$S223&gt;0),$W223/$S223,"")</f>
        <v/>
      </c>
      <c r="Y223" s="49"/>
      <c r="Z223" s="21"/>
    </row>
    <row r="224" customFormat="false" ht="15.75" hidden="false" customHeight="true" outlineLevel="0" collapsed="false">
      <c r="A224" s="32" t="str">
        <f aca="false">IF(Produtos!$A224="","",Produtos!$A224)</f>
        <v>A24ML</v>
      </c>
      <c r="B224" s="32" t="str">
        <f aca="false">IF(Produtos!$A224="","",Produtos!$B224)</f>
        <v>Aro 24cm Meia Lua Aço Inox</v>
      </c>
      <c r="C224" s="32" t="str">
        <f aca="false">IF(Produtos!$A224="","",Produtos!$C224)</f>
        <v>Acessórios (aros e tampas)</v>
      </c>
      <c r="D224" s="33" t="n">
        <f aca="false">IF(Produtos!$A224="","",IF(Produtos!$D224="","",Produtos!$D224))</f>
        <v>60.74</v>
      </c>
      <c r="E224" s="11"/>
      <c r="F224" s="34" t="n">
        <f aca="false">IF($A224="","",IF($C224="","⚠ categoria",IFERROR(INDEX(Parâmetros!$B$13:$B$22,MATCH($C224,Parâmetros!$A$13:$A$22,0)),"⚠ categoria")))</f>
        <v>0.13</v>
      </c>
      <c r="G224" s="35"/>
      <c r="H224" s="36" t="n">
        <f aca="false">IF($A224="","",IF(ISNUMBER($G224),$G224,IF(ISNUMBER($F224),$F224,"")))</f>
        <v>0.13</v>
      </c>
      <c r="I224" s="37" t="n">
        <f aca="false">IF(OR($A224="",NOT(ISNUMBER($D224)),NOT(ISNUMBER($H224))),"",IF((1-$H224-Parâmetros!$B$4-Parâmetros!$C$4-Parâmetros!$D$4)&lt;=0,"INVALIDO",($D224+IF(ISNUMBER($E224),$E224,0)+IF(ISNUMBER(Parâmetros!$E$4),Parâmetros!$E$4,0))/(1-$H224-Parâmetros!$B$4-Parâmetros!$C$4-Parâmetros!$D$4)))</f>
        <v>112.481481481481</v>
      </c>
      <c r="J224" s="38"/>
      <c r="K224" s="39" t="n">
        <f aca="false">IF(OR($A224="",NOT(ISNUMBER($D224)),NOT(ISNUMBER($H224))),"",IF(AND(ISNUMBER($J224),$J224&gt;0),$J224,IF(ISNUMBER($I224),$I224,"")))</f>
        <v>112.481481481481</v>
      </c>
      <c r="L224" s="40" t="n">
        <f aca="false">IF(ISNUMBER($K224),$K224*$H224,"")</f>
        <v>14.6225925925926</v>
      </c>
      <c r="M224" s="40" t="n">
        <f aca="false">IF(ISNUMBER($K224),$K224*Parâmetros!$B$4,"")</f>
        <v>11.2481481481481</v>
      </c>
      <c r="N224" s="40" t="n">
        <f aca="false">IF(ISNUMBER($K224),$K224*Parâmetros!$C$4,"")</f>
        <v>3.37444444444444</v>
      </c>
      <c r="O224" s="40" t="n">
        <f aca="false">IF(ISNUMBER($K224),IF(ISNUMBER(Parâmetros!$E$4),Parâmetros!$E$4,0),"")</f>
        <v>0</v>
      </c>
      <c r="P224" s="41" t="n">
        <f aca="false">IF(ISNUMBER($K224),$K224-$D224-IF(ISNUMBER($E224),$E224,0)-$L224-$M224-$N224-$O224,"")</f>
        <v>22.4962962962963</v>
      </c>
      <c r="Q224" s="42" t="n">
        <f aca="false">IF(AND(ISNUMBER($K224),$K224&gt;0),$P224/$K224,"")</f>
        <v>0.2</v>
      </c>
      <c r="R224" s="43"/>
      <c r="S224" s="44" t="str">
        <f aca="false">IF(OR(NOT(ISNUMBER($R224)),$R224=0,NOT(ISNUMBER($K224))),"",$K224*(1-$R224))</f>
        <v/>
      </c>
      <c r="T224" s="45" t="str">
        <f aca="false">IF(ISNUMBER($S224),$S224*$H224,"")</f>
        <v/>
      </c>
      <c r="U224" s="45" t="str">
        <f aca="false">IF(ISNUMBER($S224),$S224*Parâmetros!$B$4,"")</f>
        <v/>
      </c>
      <c r="V224" s="45" t="str">
        <f aca="false">IF(ISNUMBER($S224),$S224*Parâmetros!$C$4,"")</f>
        <v/>
      </c>
      <c r="W224" s="44" t="str">
        <f aca="false">IF(ISNUMBER($S224),$S224-$D224-IF(ISNUMBER($E224),$E224,0)-$O224-$T224-$U224-$V224,"")</f>
        <v/>
      </c>
      <c r="X224" s="46" t="str">
        <f aca="false">IF(AND(ISNUMBER($S224),$S224&gt;0),$W224/$S224,"")</f>
        <v/>
      </c>
      <c r="Y224" s="47"/>
      <c r="Z224" s="19"/>
    </row>
    <row r="225" customFormat="false" ht="15.75" hidden="false" customHeight="true" outlineLevel="0" collapsed="false">
      <c r="A225" s="48" t="str">
        <f aca="false">IF(Produtos!$A225="","",Produtos!$A225)</f>
        <v>A30ML</v>
      </c>
      <c r="B225" s="48" t="str">
        <f aca="false">IF(Produtos!$A225="","",Produtos!$B225)</f>
        <v>Aro 30cm Meia Lua Aço Inox</v>
      </c>
      <c r="C225" s="48" t="str">
        <f aca="false">IF(Produtos!$A225="","",Produtos!$C225)</f>
        <v>Acessórios (aros e tampas)</v>
      </c>
      <c r="D225" s="33" t="n">
        <f aca="false">IF(Produtos!$A225="","",IF(Produtos!$D225="","",Produtos!$D225))</f>
        <v>76.36</v>
      </c>
      <c r="E225" s="11"/>
      <c r="F225" s="34" t="n">
        <f aca="false">IF($A225="","",IF($C225="","⚠ categoria",IFERROR(INDEX(Parâmetros!$B$13:$B$22,MATCH($C225,Parâmetros!$A$13:$A$22,0)),"⚠ categoria")))</f>
        <v>0.13</v>
      </c>
      <c r="G225" s="35"/>
      <c r="H225" s="36" t="n">
        <f aca="false">IF($A225="","",IF(ISNUMBER($G225),$G225,IF(ISNUMBER($F225),$F225,"")))</f>
        <v>0.13</v>
      </c>
      <c r="I225" s="37" t="n">
        <f aca="false">IF(OR($A225="",NOT(ISNUMBER($D225)),NOT(ISNUMBER($H225))),"",IF((1-$H225-Parâmetros!$B$4-Parâmetros!$C$4-Parâmetros!$D$4)&lt;=0,"INVALIDO",($D225+IF(ISNUMBER($E225),$E225,0)+IF(ISNUMBER(Parâmetros!$E$4),Parâmetros!$E$4,0))/(1-$H225-Parâmetros!$B$4-Parâmetros!$C$4-Parâmetros!$D$4)))</f>
        <v>141.407407407407</v>
      </c>
      <c r="J225" s="38"/>
      <c r="K225" s="39" t="n">
        <f aca="false">IF(OR($A225="",NOT(ISNUMBER($D225)),NOT(ISNUMBER($H225))),"",IF(AND(ISNUMBER($J225),$J225&gt;0),$J225,IF(ISNUMBER($I225),$I225,"")))</f>
        <v>141.407407407407</v>
      </c>
      <c r="L225" s="40" t="n">
        <f aca="false">IF(ISNUMBER($K225),$K225*$H225,"")</f>
        <v>18.382962962963</v>
      </c>
      <c r="M225" s="40" t="n">
        <f aca="false">IF(ISNUMBER($K225),$K225*Parâmetros!$B$4,"")</f>
        <v>14.1407407407407</v>
      </c>
      <c r="N225" s="40" t="n">
        <f aca="false">IF(ISNUMBER($K225),$K225*Parâmetros!$C$4,"")</f>
        <v>4.24222222222222</v>
      </c>
      <c r="O225" s="40" t="n">
        <f aca="false">IF(ISNUMBER($K225),IF(ISNUMBER(Parâmetros!$E$4),Parâmetros!$E$4,0),"")</f>
        <v>0</v>
      </c>
      <c r="P225" s="41" t="n">
        <f aca="false">IF(ISNUMBER($K225),$K225-$D225-IF(ISNUMBER($E225),$E225,0)-$L225-$M225-$N225-$O225,"")</f>
        <v>28.2814814814815</v>
      </c>
      <c r="Q225" s="42" t="n">
        <f aca="false">IF(AND(ISNUMBER($K225),$K225&gt;0),$P225/$K225,"")</f>
        <v>0.2</v>
      </c>
      <c r="R225" s="43"/>
      <c r="S225" s="44" t="str">
        <f aca="false">IF(OR(NOT(ISNUMBER($R225)),$R225=0,NOT(ISNUMBER($K225))),"",$K225*(1-$R225))</f>
        <v/>
      </c>
      <c r="T225" s="45" t="str">
        <f aca="false">IF(ISNUMBER($S225),$S225*$H225,"")</f>
        <v/>
      </c>
      <c r="U225" s="45" t="str">
        <f aca="false">IF(ISNUMBER($S225),$S225*Parâmetros!$B$4,"")</f>
        <v/>
      </c>
      <c r="V225" s="45" t="str">
        <f aca="false">IF(ISNUMBER($S225),$S225*Parâmetros!$C$4,"")</f>
        <v/>
      </c>
      <c r="W225" s="44" t="str">
        <f aca="false">IF(ISNUMBER($S225),$S225-$D225-IF(ISNUMBER($E225),$E225,0)-$O225-$T225-$U225-$V225,"")</f>
        <v/>
      </c>
      <c r="X225" s="46" t="str">
        <f aca="false">IF(AND(ISNUMBER($S225),$S225&gt;0),$W225/$S225,"")</f>
        <v/>
      </c>
      <c r="Y225" s="49"/>
      <c r="Z225" s="21"/>
    </row>
    <row r="226" customFormat="false" ht="15.75" hidden="false" customHeight="true" outlineLevel="0" collapsed="false">
      <c r="A226" s="32" t="str">
        <f aca="false">IF(Produtos!$A226="","",Produtos!$A226)</f>
        <v>A40ML</v>
      </c>
      <c r="B226" s="32" t="str">
        <f aca="false">IF(Produtos!$A226="","",Produtos!$B226)</f>
        <v>Aro 40cm Meia Lua Aço Inox</v>
      </c>
      <c r="C226" s="32" t="str">
        <f aca="false">IF(Produtos!$A226="","",Produtos!$C226)</f>
        <v>Acessórios (aros e tampas)</v>
      </c>
      <c r="D226" s="33" t="n">
        <f aca="false">IF(Produtos!$A226="","",IF(Produtos!$D226="","",Produtos!$D226))</f>
        <v>116.98</v>
      </c>
      <c r="E226" s="11"/>
      <c r="F226" s="34" t="n">
        <f aca="false">IF($A226="","",IF($C226="","⚠ categoria",IFERROR(INDEX(Parâmetros!$B$13:$B$22,MATCH($C226,Parâmetros!$A$13:$A$22,0)),"⚠ categoria")))</f>
        <v>0.13</v>
      </c>
      <c r="G226" s="35"/>
      <c r="H226" s="36" t="n">
        <f aca="false">IF($A226="","",IF(ISNUMBER($G226),$G226,IF(ISNUMBER($F226),$F226,"")))</f>
        <v>0.13</v>
      </c>
      <c r="I226" s="37" t="n">
        <f aca="false">IF(OR($A226="",NOT(ISNUMBER($D226)),NOT(ISNUMBER($H226))),"",IF((1-$H226-Parâmetros!$B$4-Parâmetros!$C$4-Parâmetros!$D$4)&lt;=0,"INVALIDO",($D226+IF(ISNUMBER($E226),$E226,0)+IF(ISNUMBER(Parâmetros!$E$4),Parâmetros!$E$4,0))/(1-$H226-Parâmetros!$B$4-Parâmetros!$C$4-Parâmetros!$D$4)))</f>
        <v>216.62962962963</v>
      </c>
      <c r="J226" s="38"/>
      <c r="K226" s="39" t="n">
        <f aca="false">IF(OR($A226="",NOT(ISNUMBER($D226)),NOT(ISNUMBER($H226))),"",IF(AND(ISNUMBER($J226),$J226&gt;0),$J226,IF(ISNUMBER($I226),$I226,"")))</f>
        <v>216.62962962963</v>
      </c>
      <c r="L226" s="40" t="n">
        <f aca="false">IF(ISNUMBER($K226),$K226*$H226,"")</f>
        <v>28.1618518518519</v>
      </c>
      <c r="M226" s="40" t="n">
        <f aca="false">IF(ISNUMBER($K226),$K226*Parâmetros!$B$4,"")</f>
        <v>21.662962962963</v>
      </c>
      <c r="N226" s="40" t="n">
        <f aca="false">IF(ISNUMBER($K226),$K226*Parâmetros!$C$4,"")</f>
        <v>6.49888888888889</v>
      </c>
      <c r="O226" s="40" t="n">
        <f aca="false">IF(ISNUMBER($K226),IF(ISNUMBER(Parâmetros!$E$4),Parâmetros!$E$4,0),"")</f>
        <v>0</v>
      </c>
      <c r="P226" s="41" t="n">
        <f aca="false">IF(ISNUMBER($K226),$K226-$D226-IF(ISNUMBER($E226),$E226,0)-$L226-$M226-$N226-$O226,"")</f>
        <v>43.3259259259259</v>
      </c>
      <c r="Q226" s="42" t="n">
        <f aca="false">IF(AND(ISNUMBER($K226),$K226&gt;0),$P226/$K226,"")</f>
        <v>0.2</v>
      </c>
      <c r="R226" s="43"/>
      <c r="S226" s="44" t="str">
        <f aca="false">IF(OR(NOT(ISNUMBER($R226)),$R226=0,NOT(ISNUMBER($K226))),"",$K226*(1-$R226))</f>
        <v/>
      </c>
      <c r="T226" s="45" t="str">
        <f aca="false">IF(ISNUMBER($S226),$S226*$H226,"")</f>
        <v/>
      </c>
      <c r="U226" s="45" t="str">
        <f aca="false">IF(ISNUMBER($S226),$S226*Parâmetros!$B$4,"")</f>
        <v/>
      </c>
      <c r="V226" s="45" t="str">
        <f aca="false">IF(ISNUMBER($S226),$S226*Parâmetros!$C$4,"")</f>
        <v/>
      </c>
      <c r="W226" s="44" t="str">
        <f aca="false">IF(ISNUMBER($S226),$S226-$D226-IF(ISNUMBER($E226),$E226,0)-$O226-$T226-$U226-$V226,"")</f>
        <v/>
      </c>
      <c r="X226" s="46" t="str">
        <f aca="false">IF(AND(ISNUMBER($S226),$S226&gt;0),$W226/$S226,"")</f>
        <v/>
      </c>
      <c r="Y226" s="47"/>
      <c r="Z226" s="19"/>
    </row>
    <row r="227" customFormat="false" ht="15.75" hidden="false" customHeight="true" outlineLevel="0" collapsed="false">
      <c r="A227" s="48" t="str">
        <f aca="false">IF(Produtos!$A227="","",Produtos!$A227)</f>
        <v>AQ-24</v>
      </c>
      <c r="B227" s="48" t="str">
        <f aca="false">IF(Produtos!$A227="","",Produtos!$B227)</f>
        <v>Aro Quadrado 24cm Aço Inox</v>
      </c>
      <c r="C227" s="48" t="str">
        <f aca="false">IF(Produtos!$A227="","",Produtos!$C227)</f>
        <v>Acessórios (aros e tampas)</v>
      </c>
      <c r="D227" s="33" t="n">
        <f aca="false">IF(Produtos!$A227="","",IF(Produtos!$D227="","",Produtos!$D227))</f>
        <v>39.22</v>
      </c>
      <c r="E227" s="11"/>
      <c r="F227" s="34" t="n">
        <f aca="false">IF($A227="","",IF($C227="","⚠ categoria",IFERROR(INDEX(Parâmetros!$B$13:$B$22,MATCH($C227,Parâmetros!$A$13:$A$22,0)),"⚠ categoria")))</f>
        <v>0.13</v>
      </c>
      <c r="G227" s="35"/>
      <c r="H227" s="36" t="n">
        <f aca="false">IF($A227="","",IF(ISNUMBER($G227),$G227,IF(ISNUMBER($F227),$F227,"")))</f>
        <v>0.13</v>
      </c>
      <c r="I227" s="37" t="n">
        <f aca="false">IF(OR($A227="",NOT(ISNUMBER($D227)),NOT(ISNUMBER($H227))),"",IF((1-$H227-Parâmetros!$B$4-Parâmetros!$C$4-Parâmetros!$D$4)&lt;=0,"INVALIDO",($D227+IF(ISNUMBER($E227),$E227,0)+IF(ISNUMBER(Parâmetros!$E$4),Parâmetros!$E$4,0))/(1-$H227-Parâmetros!$B$4-Parâmetros!$C$4-Parâmetros!$D$4)))</f>
        <v>72.6296296296296</v>
      </c>
      <c r="J227" s="38"/>
      <c r="K227" s="39" t="n">
        <f aca="false">IF(OR($A227="",NOT(ISNUMBER($D227)),NOT(ISNUMBER($H227))),"",IF(AND(ISNUMBER($J227),$J227&gt;0),$J227,IF(ISNUMBER($I227),$I227,"")))</f>
        <v>72.6296296296296</v>
      </c>
      <c r="L227" s="40" t="n">
        <f aca="false">IF(ISNUMBER($K227),$K227*$H227,"")</f>
        <v>9.44185185185185</v>
      </c>
      <c r="M227" s="40" t="n">
        <f aca="false">IF(ISNUMBER($K227),$K227*Parâmetros!$B$4,"")</f>
        <v>7.26296296296296</v>
      </c>
      <c r="N227" s="40" t="n">
        <f aca="false">IF(ISNUMBER($K227),$K227*Parâmetros!$C$4,"")</f>
        <v>2.17888888888889</v>
      </c>
      <c r="O227" s="40" t="n">
        <f aca="false">IF(ISNUMBER($K227),IF(ISNUMBER(Parâmetros!$E$4),Parâmetros!$E$4,0),"")</f>
        <v>0</v>
      </c>
      <c r="P227" s="41" t="n">
        <f aca="false">IF(ISNUMBER($K227),$K227-$D227-IF(ISNUMBER($E227),$E227,0)-$L227-$M227-$N227-$O227,"")</f>
        <v>14.5259259259259</v>
      </c>
      <c r="Q227" s="42" t="n">
        <f aca="false">IF(AND(ISNUMBER($K227),$K227&gt;0),$P227/$K227,"")</f>
        <v>0.2</v>
      </c>
      <c r="R227" s="43"/>
      <c r="S227" s="44" t="str">
        <f aca="false">IF(OR(NOT(ISNUMBER($R227)),$R227=0,NOT(ISNUMBER($K227))),"",$K227*(1-$R227))</f>
        <v/>
      </c>
      <c r="T227" s="45" t="str">
        <f aca="false">IF(ISNUMBER($S227),$S227*$H227,"")</f>
        <v/>
      </c>
      <c r="U227" s="45" t="str">
        <f aca="false">IF(ISNUMBER($S227),$S227*Parâmetros!$B$4,"")</f>
        <v/>
      </c>
      <c r="V227" s="45" t="str">
        <f aca="false">IF(ISNUMBER($S227),$S227*Parâmetros!$C$4,"")</f>
        <v/>
      </c>
      <c r="W227" s="44" t="str">
        <f aca="false">IF(ISNUMBER($S227),$S227-$D227-IF(ISNUMBER($E227),$E227,0)-$O227-$T227-$U227-$V227,"")</f>
        <v/>
      </c>
      <c r="X227" s="46" t="str">
        <f aca="false">IF(AND(ISNUMBER($S227),$S227&gt;0),$W227/$S227,"")</f>
        <v/>
      </c>
      <c r="Y227" s="49"/>
      <c r="Z227" s="21"/>
    </row>
    <row r="228" customFormat="false" ht="15.75" hidden="false" customHeight="true" outlineLevel="0" collapsed="false">
      <c r="A228" s="32" t="str">
        <f aca="false">IF(Produtos!$A228="","",Produtos!$A228)</f>
        <v>AQ-30</v>
      </c>
      <c r="B228" s="32" t="str">
        <f aca="false">IF(Produtos!$A228="","",Produtos!$B228)</f>
        <v>Aro Quadrado 30cm Aço Inox</v>
      </c>
      <c r="C228" s="32" t="str">
        <f aca="false">IF(Produtos!$A228="","",Produtos!$C228)</f>
        <v>Acessórios (aros e tampas)</v>
      </c>
      <c r="D228" s="33" t="n">
        <f aca="false">IF(Produtos!$A228="","",IF(Produtos!$D228="","",Produtos!$D228))</f>
        <v>45.58</v>
      </c>
      <c r="E228" s="11"/>
      <c r="F228" s="34" t="n">
        <f aca="false">IF($A228="","",IF($C228="","⚠ categoria",IFERROR(INDEX(Parâmetros!$B$13:$B$22,MATCH($C228,Parâmetros!$A$13:$A$22,0)),"⚠ categoria")))</f>
        <v>0.13</v>
      </c>
      <c r="G228" s="35"/>
      <c r="H228" s="36" t="n">
        <f aca="false">IF($A228="","",IF(ISNUMBER($G228),$G228,IF(ISNUMBER($F228),$F228,"")))</f>
        <v>0.13</v>
      </c>
      <c r="I228" s="37" t="n">
        <f aca="false">IF(OR($A228="",NOT(ISNUMBER($D228)),NOT(ISNUMBER($H228))),"",IF((1-$H228-Parâmetros!$B$4-Parâmetros!$C$4-Parâmetros!$D$4)&lt;=0,"INVALIDO",($D228+IF(ISNUMBER($E228),$E228,0)+IF(ISNUMBER(Parâmetros!$E$4),Parâmetros!$E$4,0))/(1-$H228-Parâmetros!$B$4-Parâmetros!$C$4-Parâmetros!$D$4)))</f>
        <v>84.4074074074074</v>
      </c>
      <c r="J228" s="38"/>
      <c r="K228" s="39" t="n">
        <f aca="false">IF(OR($A228="",NOT(ISNUMBER($D228)),NOT(ISNUMBER($H228))),"",IF(AND(ISNUMBER($J228),$J228&gt;0),$J228,IF(ISNUMBER($I228),$I228,"")))</f>
        <v>84.4074074074074</v>
      </c>
      <c r="L228" s="40" t="n">
        <f aca="false">IF(ISNUMBER($K228),$K228*$H228,"")</f>
        <v>10.972962962963</v>
      </c>
      <c r="M228" s="40" t="n">
        <f aca="false">IF(ISNUMBER($K228),$K228*Parâmetros!$B$4,"")</f>
        <v>8.44074074074074</v>
      </c>
      <c r="N228" s="40" t="n">
        <f aca="false">IF(ISNUMBER($K228),$K228*Parâmetros!$C$4,"")</f>
        <v>2.53222222222222</v>
      </c>
      <c r="O228" s="40" t="n">
        <f aca="false">IF(ISNUMBER($K228),IF(ISNUMBER(Parâmetros!$E$4),Parâmetros!$E$4,0),"")</f>
        <v>0</v>
      </c>
      <c r="P228" s="41" t="n">
        <f aca="false">IF(ISNUMBER($K228),$K228-$D228-IF(ISNUMBER($E228),$E228,0)-$L228-$M228-$N228-$O228,"")</f>
        <v>16.8814814814815</v>
      </c>
      <c r="Q228" s="42" t="n">
        <f aca="false">IF(AND(ISNUMBER($K228),$K228&gt;0),$P228/$K228,"")</f>
        <v>0.2</v>
      </c>
      <c r="R228" s="43"/>
      <c r="S228" s="44" t="str">
        <f aca="false">IF(OR(NOT(ISNUMBER($R228)),$R228=0,NOT(ISNUMBER($K228))),"",$K228*(1-$R228))</f>
        <v/>
      </c>
      <c r="T228" s="45" t="str">
        <f aca="false">IF(ISNUMBER($S228),$S228*$H228,"")</f>
        <v/>
      </c>
      <c r="U228" s="45" t="str">
        <f aca="false">IF(ISNUMBER($S228),$S228*Parâmetros!$B$4,"")</f>
        <v/>
      </c>
      <c r="V228" s="45" t="str">
        <f aca="false">IF(ISNUMBER($S228),$S228*Parâmetros!$C$4,"")</f>
        <v/>
      </c>
      <c r="W228" s="44" t="str">
        <f aca="false">IF(ISNUMBER($S228),$S228-$D228-IF(ISNUMBER($E228),$E228,0)-$O228-$T228-$U228-$V228,"")</f>
        <v/>
      </c>
      <c r="X228" s="46" t="str">
        <f aca="false">IF(AND(ISNUMBER($S228),$S228&gt;0),$W228/$S228,"")</f>
        <v/>
      </c>
      <c r="Y228" s="47"/>
      <c r="Z228" s="19"/>
    </row>
    <row r="229" customFormat="false" ht="15.75" hidden="false" customHeight="true" outlineLevel="0" collapsed="false">
      <c r="A229" s="48" t="str">
        <f aca="false">IF(Produtos!$A229="","",Produtos!$A229)</f>
        <v>AQ-40</v>
      </c>
      <c r="B229" s="48" t="str">
        <f aca="false">IF(Produtos!$A229="","",Produtos!$B229)</f>
        <v>Aro Quadrado 40cm Aço Inox</v>
      </c>
      <c r="C229" s="48" t="str">
        <f aca="false">IF(Produtos!$A229="","",Produtos!$C229)</f>
        <v>Acessórios (aros e tampas)</v>
      </c>
      <c r="D229" s="33" t="n">
        <f aca="false">IF(Produtos!$A229="","",IF(Produtos!$D229="","",Produtos!$D229))</f>
        <v>96.46</v>
      </c>
      <c r="E229" s="11"/>
      <c r="F229" s="34" t="n">
        <f aca="false">IF($A229="","",IF($C229="","⚠ categoria",IFERROR(INDEX(Parâmetros!$B$13:$B$22,MATCH($C229,Parâmetros!$A$13:$A$22,0)),"⚠ categoria")))</f>
        <v>0.13</v>
      </c>
      <c r="G229" s="35"/>
      <c r="H229" s="36" t="n">
        <f aca="false">IF($A229="","",IF(ISNUMBER($G229),$G229,IF(ISNUMBER($F229),$F229,"")))</f>
        <v>0.13</v>
      </c>
      <c r="I229" s="37" t="n">
        <f aca="false">IF(OR($A229="",NOT(ISNUMBER($D229)),NOT(ISNUMBER($H229))),"",IF((1-$H229-Parâmetros!$B$4-Parâmetros!$C$4-Parâmetros!$D$4)&lt;=0,"INVALIDO",($D229+IF(ISNUMBER($E229),$E229,0)+IF(ISNUMBER(Parâmetros!$E$4),Parâmetros!$E$4,0))/(1-$H229-Parâmetros!$B$4-Parâmetros!$C$4-Parâmetros!$D$4)))</f>
        <v>178.62962962963</v>
      </c>
      <c r="J229" s="38"/>
      <c r="K229" s="39" t="n">
        <f aca="false">IF(OR($A229="",NOT(ISNUMBER($D229)),NOT(ISNUMBER($H229))),"",IF(AND(ISNUMBER($J229),$J229&gt;0),$J229,IF(ISNUMBER($I229),$I229,"")))</f>
        <v>178.62962962963</v>
      </c>
      <c r="L229" s="40" t="n">
        <f aca="false">IF(ISNUMBER($K229),$K229*$H229,"")</f>
        <v>23.2218518518519</v>
      </c>
      <c r="M229" s="40" t="n">
        <f aca="false">IF(ISNUMBER($K229),$K229*Parâmetros!$B$4,"")</f>
        <v>17.862962962963</v>
      </c>
      <c r="N229" s="40" t="n">
        <f aca="false">IF(ISNUMBER($K229),$K229*Parâmetros!$C$4,"")</f>
        <v>5.35888888888889</v>
      </c>
      <c r="O229" s="40" t="n">
        <f aca="false">IF(ISNUMBER($K229),IF(ISNUMBER(Parâmetros!$E$4),Parâmetros!$E$4,0),"")</f>
        <v>0</v>
      </c>
      <c r="P229" s="41" t="n">
        <f aca="false">IF(ISNUMBER($K229),$K229-$D229-IF(ISNUMBER($E229),$E229,0)-$L229-$M229-$N229-$O229,"")</f>
        <v>35.7259259259259</v>
      </c>
      <c r="Q229" s="42" t="n">
        <f aca="false">IF(AND(ISNUMBER($K229),$K229&gt;0),$P229/$K229,"")</f>
        <v>0.2</v>
      </c>
      <c r="R229" s="43"/>
      <c r="S229" s="44" t="str">
        <f aca="false">IF(OR(NOT(ISNUMBER($R229)),$R229=0,NOT(ISNUMBER($K229))),"",$K229*(1-$R229))</f>
        <v/>
      </c>
      <c r="T229" s="45" t="str">
        <f aca="false">IF(ISNUMBER($S229),$S229*$H229,"")</f>
        <v/>
      </c>
      <c r="U229" s="45" t="str">
        <f aca="false">IF(ISNUMBER($S229),$S229*Parâmetros!$B$4,"")</f>
        <v/>
      </c>
      <c r="V229" s="45" t="str">
        <f aca="false">IF(ISNUMBER($S229),$S229*Parâmetros!$C$4,"")</f>
        <v/>
      </c>
      <c r="W229" s="44" t="str">
        <f aca="false">IF(ISNUMBER($S229),$S229-$D229-IF(ISNUMBER($E229),$E229,0)-$O229-$T229-$U229-$V229,"")</f>
        <v/>
      </c>
      <c r="X229" s="46" t="str">
        <f aca="false">IF(AND(ISNUMBER($S229),$S229&gt;0),$W229/$S229,"")</f>
        <v/>
      </c>
      <c r="Y229" s="49"/>
      <c r="Z229" s="21"/>
    </row>
    <row r="230" customFormat="false" ht="15.75" hidden="false" customHeight="true" outlineLevel="0" collapsed="false">
      <c r="A230" s="32" t="str">
        <f aca="false">IF(Produtos!$A230="","",Produtos!$A230)</f>
        <v>AQ-24B</v>
      </c>
      <c r="B230" s="32" t="str">
        <f aca="false">IF(Produtos!$A230="","",Produtos!$B230)</f>
        <v>Aro Quadrado 24cm c/Basculante</v>
      </c>
      <c r="C230" s="32" t="str">
        <f aca="false">IF(Produtos!$A230="","",Produtos!$C230)</f>
        <v>Acessórios (aros e tampas)</v>
      </c>
      <c r="D230" s="33" t="n">
        <f aca="false">IF(Produtos!$A230="","",IF(Produtos!$D230="","",Produtos!$D230))</f>
        <v>54.06</v>
      </c>
      <c r="E230" s="11"/>
      <c r="F230" s="34" t="n">
        <f aca="false">IF($A230="","",IF($C230="","⚠ categoria",IFERROR(INDEX(Parâmetros!$B$13:$B$22,MATCH($C230,Parâmetros!$A$13:$A$22,0)),"⚠ categoria")))</f>
        <v>0.13</v>
      </c>
      <c r="G230" s="35"/>
      <c r="H230" s="36" t="n">
        <f aca="false">IF($A230="","",IF(ISNUMBER($G230),$G230,IF(ISNUMBER($F230),$F230,"")))</f>
        <v>0.13</v>
      </c>
      <c r="I230" s="37" t="n">
        <f aca="false">IF(OR($A230="",NOT(ISNUMBER($D230)),NOT(ISNUMBER($H230))),"",IF((1-$H230-Parâmetros!$B$4-Parâmetros!$C$4-Parâmetros!$D$4)&lt;=0,"INVALIDO",($D230+IF(ISNUMBER($E230),$E230,0)+IF(ISNUMBER(Parâmetros!$E$4),Parâmetros!$E$4,0))/(1-$H230-Parâmetros!$B$4-Parâmetros!$C$4-Parâmetros!$D$4)))</f>
        <v>100.111111111111</v>
      </c>
      <c r="J230" s="38"/>
      <c r="K230" s="39" t="n">
        <f aca="false">IF(OR($A230="",NOT(ISNUMBER($D230)),NOT(ISNUMBER($H230))),"",IF(AND(ISNUMBER($J230),$J230&gt;0),$J230,IF(ISNUMBER($I230),$I230,"")))</f>
        <v>100.111111111111</v>
      </c>
      <c r="L230" s="40" t="n">
        <f aca="false">IF(ISNUMBER($K230),$K230*$H230,"")</f>
        <v>13.0144444444444</v>
      </c>
      <c r="M230" s="40" t="n">
        <f aca="false">IF(ISNUMBER($K230),$K230*Parâmetros!$B$4,"")</f>
        <v>10.0111111111111</v>
      </c>
      <c r="N230" s="40" t="n">
        <f aca="false">IF(ISNUMBER($K230),$K230*Parâmetros!$C$4,"")</f>
        <v>3.00333333333333</v>
      </c>
      <c r="O230" s="40" t="n">
        <f aca="false">IF(ISNUMBER($K230),IF(ISNUMBER(Parâmetros!$E$4),Parâmetros!$E$4,0),"")</f>
        <v>0</v>
      </c>
      <c r="P230" s="41" t="n">
        <f aca="false">IF(ISNUMBER($K230),$K230-$D230-IF(ISNUMBER($E230),$E230,0)-$L230-$M230-$N230-$O230,"")</f>
        <v>20.0222222222222</v>
      </c>
      <c r="Q230" s="42" t="n">
        <f aca="false">IF(AND(ISNUMBER($K230),$K230&gt;0),$P230/$K230,"")</f>
        <v>0.2</v>
      </c>
      <c r="R230" s="43"/>
      <c r="S230" s="44" t="str">
        <f aca="false">IF(OR(NOT(ISNUMBER($R230)),$R230=0,NOT(ISNUMBER($K230))),"",$K230*(1-$R230))</f>
        <v/>
      </c>
      <c r="T230" s="45" t="str">
        <f aca="false">IF(ISNUMBER($S230),$S230*$H230,"")</f>
        <v/>
      </c>
      <c r="U230" s="45" t="str">
        <f aca="false">IF(ISNUMBER($S230),$S230*Parâmetros!$B$4,"")</f>
        <v/>
      </c>
      <c r="V230" s="45" t="str">
        <f aca="false">IF(ISNUMBER($S230),$S230*Parâmetros!$C$4,"")</f>
        <v/>
      </c>
      <c r="W230" s="44" t="str">
        <f aca="false">IF(ISNUMBER($S230),$S230-$D230-IF(ISNUMBER($E230),$E230,0)-$O230-$T230-$U230-$V230,"")</f>
        <v/>
      </c>
      <c r="X230" s="46" t="str">
        <f aca="false">IF(AND(ISNUMBER($S230),$S230&gt;0),$W230/$S230,"")</f>
        <v/>
      </c>
      <c r="Y230" s="47"/>
      <c r="Z230" s="19"/>
    </row>
    <row r="231" customFormat="false" ht="15.75" hidden="false" customHeight="true" outlineLevel="0" collapsed="false">
      <c r="A231" s="48" t="str">
        <f aca="false">IF(Produtos!$A231="","",Produtos!$A231)</f>
        <v>AQ-30B</v>
      </c>
      <c r="B231" s="48" t="str">
        <f aca="false">IF(Produtos!$A231="","",Produtos!$B231)</f>
        <v>Aro Quadrado 30cm c/Basculante</v>
      </c>
      <c r="C231" s="48" t="str">
        <f aca="false">IF(Produtos!$A231="","",Produtos!$C231)</f>
        <v>Acessórios (aros e tampas)</v>
      </c>
      <c r="D231" s="33" t="n">
        <f aca="false">IF(Produtos!$A231="","",IF(Produtos!$D231="","",Produtos!$D231))</f>
        <v>69.96</v>
      </c>
      <c r="E231" s="11"/>
      <c r="F231" s="34" t="n">
        <f aca="false">IF($A231="","",IF($C231="","⚠ categoria",IFERROR(INDEX(Parâmetros!$B$13:$B$22,MATCH($C231,Parâmetros!$A$13:$A$22,0)),"⚠ categoria")))</f>
        <v>0.13</v>
      </c>
      <c r="G231" s="35"/>
      <c r="H231" s="36" t="n">
        <f aca="false">IF($A231="","",IF(ISNUMBER($G231),$G231,IF(ISNUMBER($F231),$F231,"")))</f>
        <v>0.13</v>
      </c>
      <c r="I231" s="37" t="n">
        <f aca="false">IF(OR($A231="",NOT(ISNUMBER($D231)),NOT(ISNUMBER($H231))),"",IF((1-$H231-Parâmetros!$B$4-Parâmetros!$C$4-Parâmetros!$D$4)&lt;=0,"INVALIDO",($D231+IF(ISNUMBER($E231),$E231,0)+IF(ISNUMBER(Parâmetros!$E$4),Parâmetros!$E$4,0))/(1-$H231-Parâmetros!$B$4-Parâmetros!$C$4-Parâmetros!$D$4)))</f>
        <v>129.555555555556</v>
      </c>
      <c r="J231" s="38"/>
      <c r="K231" s="39" t="n">
        <f aca="false">IF(OR($A231="",NOT(ISNUMBER($D231)),NOT(ISNUMBER($H231))),"",IF(AND(ISNUMBER($J231),$J231&gt;0),$J231,IF(ISNUMBER($I231),$I231,"")))</f>
        <v>129.555555555556</v>
      </c>
      <c r="L231" s="40" t="n">
        <f aca="false">IF(ISNUMBER($K231),$K231*$H231,"")</f>
        <v>16.8422222222222</v>
      </c>
      <c r="M231" s="40" t="n">
        <f aca="false">IF(ISNUMBER($K231),$K231*Parâmetros!$B$4,"")</f>
        <v>12.9555555555556</v>
      </c>
      <c r="N231" s="40" t="n">
        <f aca="false">IF(ISNUMBER($K231),$K231*Parâmetros!$C$4,"")</f>
        <v>3.88666666666667</v>
      </c>
      <c r="O231" s="40" t="n">
        <f aca="false">IF(ISNUMBER($K231),IF(ISNUMBER(Parâmetros!$E$4),Parâmetros!$E$4,0),"")</f>
        <v>0</v>
      </c>
      <c r="P231" s="41" t="n">
        <f aca="false">IF(ISNUMBER($K231),$K231-$D231-IF(ISNUMBER($E231),$E231,0)-$L231-$M231-$N231-$O231,"")</f>
        <v>25.9111111111111</v>
      </c>
      <c r="Q231" s="42" t="n">
        <f aca="false">IF(AND(ISNUMBER($K231),$K231&gt;0),$P231/$K231,"")</f>
        <v>0.2</v>
      </c>
      <c r="R231" s="43"/>
      <c r="S231" s="44" t="str">
        <f aca="false">IF(OR(NOT(ISNUMBER($R231)),$R231=0,NOT(ISNUMBER($K231))),"",$K231*(1-$R231))</f>
        <v/>
      </c>
      <c r="T231" s="45" t="str">
        <f aca="false">IF(ISNUMBER($S231),$S231*$H231,"")</f>
        <v/>
      </c>
      <c r="U231" s="45" t="str">
        <f aca="false">IF(ISNUMBER($S231),$S231*Parâmetros!$B$4,"")</f>
        <v/>
      </c>
      <c r="V231" s="45" t="str">
        <f aca="false">IF(ISNUMBER($S231),$S231*Parâmetros!$C$4,"")</f>
        <v/>
      </c>
      <c r="W231" s="44" t="str">
        <f aca="false">IF(ISNUMBER($S231),$S231-$D231-IF(ISNUMBER($E231),$E231,0)-$O231-$T231-$U231-$V231,"")</f>
        <v/>
      </c>
      <c r="X231" s="46" t="str">
        <f aca="false">IF(AND(ISNUMBER($S231),$S231&gt;0),$W231/$S231,"")</f>
        <v/>
      </c>
      <c r="Y231" s="49"/>
      <c r="Z231" s="21"/>
    </row>
    <row r="232" customFormat="false" ht="15.75" hidden="false" customHeight="true" outlineLevel="0" collapsed="false">
      <c r="A232" s="32" t="str">
        <f aca="false">IF(Produtos!$A232="","",Produtos!$A232)</f>
        <v>AQ-40B</v>
      </c>
      <c r="B232" s="32" t="str">
        <f aca="false">IF(Produtos!$A232="","",Produtos!$B232)</f>
        <v>Aro Quadrado 40cm c/Basculante</v>
      </c>
      <c r="C232" s="32" t="str">
        <f aca="false">IF(Produtos!$A232="","",Produtos!$C232)</f>
        <v>Acessórios (aros e tampas)</v>
      </c>
      <c r="D232" s="33" t="n">
        <f aca="false">IF(Produtos!$A232="","",IF(Produtos!$D232="","",Produtos!$D232))</f>
        <v>121.9</v>
      </c>
      <c r="E232" s="11"/>
      <c r="F232" s="34" t="n">
        <f aca="false">IF($A232="","",IF($C232="","⚠ categoria",IFERROR(INDEX(Parâmetros!$B$13:$B$22,MATCH($C232,Parâmetros!$A$13:$A$22,0)),"⚠ categoria")))</f>
        <v>0.13</v>
      </c>
      <c r="G232" s="35"/>
      <c r="H232" s="36" t="n">
        <f aca="false">IF($A232="","",IF(ISNUMBER($G232),$G232,IF(ISNUMBER($F232),$F232,"")))</f>
        <v>0.13</v>
      </c>
      <c r="I232" s="37" t="n">
        <f aca="false">IF(OR($A232="",NOT(ISNUMBER($D232)),NOT(ISNUMBER($H232))),"",IF((1-$H232-Parâmetros!$B$4-Parâmetros!$C$4-Parâmetros!$D$4)&lt;=0,"INVALIDO",($D232+IF(ISNUMBER($E232),$E232,0)+IF(ISNUMBER(Parâmetros!$E$4),Parâmetros!$E$4,0))/(1-$H232-Parâmetros!$B$4-Parâmetros!$C$4-Parâmetros!$D$4)))</f>
        <v>225.740740740741</v>
      </c>
      <c r="J232" s="38"/>
      <c r="K232" s="39" t="n">
        <f aca="false">IF(OR($A232="",NOT(ISNUMBER($D232)),NOT(ISNUMBER($H232))),"",IF(AND(ISNUMBER($J232),$J232&gt;0),$J232,IF(ISNUMBER($I232),$I232,"")))</f>
        <v>225.740740740741</v>
      </c>
      <c r="L232" s="40" t="n">
        <f aca="false">IF(ISNUMBER($K232),$K232*$H232,"")</f>
        <v>29.3462962962963</v>
      </c>
      <c r="M232" s="40" t="n">
        <f aca="false">IF(ISNUMBER($K232),$K232*Parâmetros!$B$4,"")</f>
        <v>22.5740740740741</v>
      </c>
      <c r="N232" s="40" t="n">
        <f aca="false">IF(ISNUMBER($K232),$K232*Parâmetros!$C$4,"")</f>
        <v>6.77222222222222</v>
      </c>
      <c r="O232" s="40" t="n">
        <f aca="false">IF(ISNUMBER($K232),IF(ISNUMBER(Parâmetros!$E$4),Parâmetros!$E$4,0),"")</f>
        <v>0</v>
      </c>
      <c r="P232" s="41" t="n">
        <f aca="false">IF(ISNUMBER($K232),$K232-$D232-IF(ISNUMBER($E232),$E232,0)-$L232-$M232-$N232-$O232,"")</f>
        <v>45.1481481481481</v>
      </c>
      <c r="Q232" s="42" t="n">
        <f aca="false">IF(AND(ISNUMBER($K232),$K232&gt;0),$P232/$K232,"")</f>
        <v>0.2</v>
      </c>
      <c r="R232" s="43"/>
      <c r="S232" s="44" t="str">
        <f aca="false">IF(OR(NOT(ISNUMBER($R232)),$R232=0,NOT(ISNUMBER($K232))),"",$K232*(1-$R232))</f>
        <v/>
      </c>
      <c r="T232" s="45" t="str">
        <f aca="false">IF(ISNUMBER($S232),$S232*$H232,"")</f>
        <v/>
      </c>
      <c r="U232" s="45" t="str">
        <f aca="false">IF(ISNUMBER($S232),$S232*Parâmetros!$B$4,"")</f>
        <v/>
      </c>
      <c r="V232" s="45" t="str">
        <f aca="false">IF(ISNUMBER($S232),$S232*Parâmetros!$C$4,"")</f>
        <v/>
      </c>
      <c r="W232" s="44" t="str">
        <f aca="false">IF(ISNUMBER($S232),$S232-$D232-IF(ISNUMBER($E232),$E232,0)-$O232-$T232-$U232-$V232,"")</f>
        <v/>
      </c>
      <c r="X232" s="46" t="str">
        <f aca="false">IF(AND(ISNUMBER($S232),$S232&gt;0),$W232/$S232,"")</f>
        <v/>
      </c>
      <c r="Y232" s="47"/>
      <c r="Z232" s="19"/>
    </row>
    <row r="233" customFormat="false" ht="15.75" hidden="false" customHeight="true" outlineLevel="0" collapsed="false">
      <c r="A233" s="48" t="str">
        <f aca="false">IF(Produtos!$A233="","",Produtos!$A233)</f>
        <v>AQ-24C</v>
      </c>
      <c r="B233" s="48" t="str">
        <f aca="false">IF(Produtos!$A233="","",Produtos!$B233)</f>
        <v>Aro Quadrado 24cm Pintado</v>
      </c>
      <c r="C233" s="48" t="str">
        <f aca="false">IF(Produtos!$A233="","",Produtos!$C233)</f>
        <v>Acessórios (aros e tampas)</v>
      </c>
      <c r="D233" s="33" t="n">
        <f aca="false">IF(Produtos!$A233="","",IF(Produtos!$D233="","",Produtos!$D233))</f>
        <v>45.58</v>
      </c>
      <c r="E233" s="11"/>
      <c r="F233" s="34" t="n">
        <f aca="false">IF($A233="","",IF($C233="","⚠ categoria",IFERROR(INDEX(Parâmetros!$B$13:$B$22,MATCH($C233,Parâmetros!$A$13:$A$22,0)),"⚠ categoria")))</f>
        <v>0.13</v>
      </c>
      <c r="G233" s="35"/>
      <c r="H233" s="36" t="n">
        <f aca="false">IF($A233="","",IF(ISNUMBER($G233),$G233,IF(ISNUMBER($F233),$F233,"")))</f>
        <v>0.13</v>
      </c>
      <c r="I233" s="37" t="n">
        <f aca="false">IF(OR($A233="",NOT(ISNUMBER($D233)),NOT(ISNUMBER($H233))),"",IF((1-$H233-Parâmetros!$B$4-Parâmetros!$C$4-Parâmetros!$D$4)&lt;=0,"INVALIDO",($D233+IF(ISNUMBER($E233),$E233,0)+IF(ISNUMBER(Parâmetros!$E$4),Parâmetros!$E$4,0))/(1-$H233-Parâmetros!$B$4-Parâmetros!$C$4-Parâmetros!$D$4)))</f>
        <v>84.4074074074074</v>
      </c>
      <c r="J233" s="38"/>
      <c r="K233" s="39" t="n">
        <f aca="false">IF(OR($A233="",NOT(ISNUMBER($D233)),NOT(ISNUMBER($H233))),"",IF(AND(ISNUMBER($J233),$J233&gt;0),$J233,IF(ISNUMBER($I233),$I233,"")))</f>
        <v>84.4074074074074</v>
      </c>
      <c r="L233" s="40" t="n">
        <f aca="false">IF(ISNUMBER($K233),$K233*$H233,"")</f>
        <v>10.972962962963</v>
      </c>
      <c r="M233" s="40" t="n">
        <f aca="false">IF(ISNUMBER($K233),$K233*Parâmetros!$B$4,"")</f>
        <v>8.44074074074074</v>
      </c>
      <c r="N233" s="40" t="n">
        <f aca="false">IF(ISNUMBER($K233),$K233*Parâmetros!$C$4,"")</f>
        <v>2.53222222222222</v>
      </c>
      <c r="O233" s="40" t="n">
        <f aca="false">IF(ISNUMBER($K233),IF(ISNUMBER(Parâmetros!$E$4),Parâmetros!$E$4,0),"")</f>
        <v>0</v>
      </c>
      <c r="P233" s="41" t="n">
        <f aca="false">IF(ISNUMBER($K233),$K233-$D233-IF(ISNUMBER($E233),$E233,0)-$L233-$M233-$N233-$O233,"")</f>
        <v>16.8814814814815</v>
      </c>
      <c r="Q233" s="42" t="n">
        <f aca="false">IF(AND(ISNUMBER($K233),$K233&gt;0),$P233/$K233,"")</f>
        <v>0.2</v>
      </c>
      <c r="R233" s="43"/>
      <c r="S233" s="44" t="str">
        <f aca="false">IF(OR(NOT(ISNUMBER($R233)),$R233=0,NOT(ISNUMBER($K233))),"",$K233*(1-$R233))</f>
        <v/>
      </c>
      <c r="T233" s="45" t="str">
        <f aca="false">IF(ISNUMBER($S233),$S233*$H233,"")</f>
        <v/>
      </c>
      <c r="U233" s="45" t="str">
        <f aca="false">IF(ISNUMBER($S233),$S233*Parâmetros!$B$4,"")</f>
        <v/>
      </c>
      <c r="V233" s="45" t="str">
        <f aca="false">IF(ISNUMBER($S233),$S233*Parâmetros!$C$4,"")</f>
        <v/>
      </c>
      <c r="W233" s="44" t="str">
        <f aca="false">IF(ISNUMBER($S233),$S233-$D233-IF(ISNUMBER($E233),$E233,0)-$O233-$T233-$U233-$V233,"")</f>
        <v/>
      </c>
      <c r="X233" s="46" t="str">
        <f aca="false">IF(AND(ISNUMBER($S233),$S233&gt;0),$W233/$S233,"")</f>
        <v/>
      </c>
      <c r="Y233" s="49"/>
      <c r="Z233" s="21"/>
    </row>
    <row r="234" customFormat="false" ht="15.75" hidden="false" customHeight="true" outlineLevel="0" collapsed="false">
      <c r="A234" s="32" t="str">
        <f aca="false">IF(Produtos!$A234="","",Produtos!$A234)</f>
        <v>AQ-30C</v>
      </c>
      <c r="B234" s="32" t="str">
        <f aca="false">IF(Produtos!$A234="","",Produtos!$B234)</f>
        <v>Aro Quadrado 30cm Pintado</v>
      </c>
      <c r="C234" s="32" t="str">
        <f aca="false">IF(Produtos!$A234="","",Produtos!$C234)</f>
        <v>Acessórios (aros e tampas)</v>
      </c>
      <c r="D234" s="33" t="n">
        <f aca="false">IF(Produtos!$A234="","",IF(Produtos!$D234="","",Produtos!$D234))</f>
        <v>53</v>
      </c>
      <c r="E234" s="11"/>
      <c r="F234" s="34" t="n">
        <f aca="false">IF($A234="","",IF($C234="","⚠ categoria",IFERROR(INDEX(Parâmetros!$B$13:$B$22,MATCH($C234,Parâmetros!$A$13:$A$22,0)),"⚠ categoria")))</f>
        <v>0.13</v>
      </c>
      <c r="G234" s="35"/>
      <c r="H234" s="36" t="n">
        <f aca="false">IF($A234="","",IF(ISNUMBER($G234),$G234,IF(ISNUMBER($F234),$F234,"")))</f>
        <v>0.13</v>
      </c>
      <c r="I234" s="37" t="n">
        <f aca="false">IF(OR($A234="",NOT(ISNUMBER($D234)),NOT(ISNUMBER($H234))),"",IF((1-$H234-Parâmetros!$B$4-Parâmetros!$C$4-Parâmetros!$D$4)&lt;=0,"INVALIDO",($D234+IF(ISNUMBER($E234),$E234,0)+IF(ISNUMBER(Parâmetros!$E$4),Parâmetros!$E$4,0))/(1-$H234-Parâmetros!$B$4-Parâmetros!$C$4-Parâmetros!$D$4)))</f>
        <v>98.1481481481481</v>
      </c>
      <c r="J234" s="38"/>
      <c r="K234" s="39" t="n">
        <f aca="false">IF(OR($A234="",NOT(ISNUMBER($D234)),NOT(ISNUMBER($H234))),"",IF(AND(ISNUMBER($J234),$J234&gt;0),$J234,IF(ISNUMBER($I234),$I234,"")))</f>
        <v>98.1481481481481</v>
      </c>
      <c r="L234" s="40" t="n">
        <f aca="false">IF(ISNUMBER($K234),$K234*$H234,"")</f>
        <v>12.7592592592593</v>
      </c>
      <c r="M234" s="40" t="n">
        <f aca="false">IF(ISNUMBER($K234),$K234*Parâmetros!$B$4,"")</f>
        <v>9.81481481481482</v>
      </c>
      <c r="N234" s="40" t="n">
        <f aca="false">IF(ISNUMBER($K234),$K234*Parâmetros!$C$4,"")</f>
        <v>2.94444444444444</v>
      </c>
      <c r="O234" s="40" t="n">
        <f aca="false">IF(ISNUMBER($K234),IF(ISNUMBER(Parâmetros!$E$4),Parâmetros!$E$4,0),"")</f>
        <v>0</v>
      </c>
      <c r="P234" s="41" t="n">
        <f aca="false">IF(ISNUMBER($K234),$K234-$D234-IF(ISNUMBER($E234),$E234,0)-$L234-$M234-$N234-$O234,"")</f>
        <v>19.6296296296296</v>
      </c>
      <c r="Q234" s="42" t="n">
        <f aca="false">IF(AND(ISNUMBER($K234),$K234&gt;0),$P234/$K234,"")</f>
        <v>0.2</v>
      </c>
      <c r="R234" s="43"/>
      <c r="S234" s="44" t="str">
        <f aca="false">IF(OR(NOT(ISNUMBER($R234)),$R234=0,NOT(ISNUMBER($K234))),"",$K234*(1-$R234))</f>
        <v/>
      </c>
      <c r="T234" s="45" t="str">
        <f aca="false">IF(ISNUMBER($S234),$S234*$H234,"")</f>
        <v/>
      </c>
      <c r="U234" s="45" t="str">
        <f aca="false">IF(ISNUMBER($S234),$S234*Parâmetros!$B$4,"")</f>
        <v/>
      </c>
      <c r="V234" s="45" t="str">
        <f aca="false">IF(ISNUMBER($S234),$S234*Parâmetros!$C$4,"")</f>
        <v/>
      </c>
      <c r="W234" s="44" t="str">
        <f aca="false">IF(ISNUMBER($S234),$S234-$D234-IF(ISNUMBER($E234),$E234,0)-$O234-$T234-$U234-$V234,"")</f>
        <v/>
      </c>
      <c r="X234" s="46" t="str">
        <f aca="false">IF(AND(ISNUMBER($S234),$S234&gt;0),$W234/$S234,"")</f>
        <v/>
      </c>
      <c r="Y234" s="47"/>
      <c r="Z234" s="19"/>
    </row>
    <row r="235" customFormat="false" ht="15.75" hidden="false" customHeight="true" outlineLevel="0" collapsed="false">
      <c r="A235" s="48" t="str">
        <f aca="false">IF(Produtos!$A235="","",Produtos!$A235)</f>
        <v>AQ-40C</v>
      </c>
      <c r="B235" s="48" t="str">
        <f aca="false">IF(Produtos!$A235="","",Produtos!$B235)</f>
        <v>Aro Quadrado 40cm Pintado</v>
      </c>
      <c r="C235" s="48" t="str">
        <f aca="false">IF(Produtos!$A235="","",Produtos!$C235)</f>
        <v>Acessórios (aros e tampas)</v>
      </c>
      <c r="D235" s="33" t="n">
        <f aca="false">IF(Produtos!$A235="","",IF(Produtos!$D235="","",Produtos!$D235))</f>
        <v>104.94</v>
      </c>
      <c r="E235" s="11"/>
      <c r="F235" s="34" t="n">
        <f aca="false">IF($A235="","",IF($C235="","⚠ categoria",IFERROR(INDEX(Parâmetros!$B$13:$B$22,MATCH($C235,Parâmetros!$A$13:$A$22,0)),"⚠ categoria")))</f>
        <v>0.13</v>
      </c>
      <c r="G235" s="35"/>
      <c r="H235" s="36" t="n">
        <f aca="false">IF($A235="","",IF(ISNUMBER($G235),$G235,IF(ISNUMBER($F235),$F235,"")))</f>
        <v>0.13</v>
      </c>
      <c r="I235" s="37" t="n">
        <f aca="false">IF(OR($A235="",NOT(ISNUMBER($D235)),NOT(ISNUMBER($H235))),"",IF((1-$H235-Parâmetros!$B$4-Parâmetros!$C$4-Parâmetros!$D$4)&lt;=0,"INVALIDO",($D235+IF(ISNUMBER($E235),$E235,0)+IF(ISNUMBER(Parâmetros!$E$4),Parâmetros!$E$4,0))/(1-$H235-Parâmetros!$B$4-Parâmetros!$C$4-Parâmetros!$D$4)))</f>
        <v>194.333333333333</v>
      </c>
      <c r="J235" s="38"/>
      <c r="K235" s="39" t="n">
        <f aca="false">IF(OR($A235="",NOT(ISNUMBER($D235)),NOT(ISNUMBER($H235))),"",IF(AND(ISNUMBER($J235),$J235&gt;0),$J235,IF(ISNUMBER($I235),$I235,"")))</f>
        <v>194.333333333333</v>
      </c>
      <c r="L235" s="40" t="n">
        <f aca="false">IF(ISNUMBER($K235),$K235*$H235,"")</f>
        <v>25.2633333333333</v>
      </c>
      <c r="M235" s="40" t="n">
        <f aca="false">IF(ISNUMBER($K235),$K235*Parâmetros!$B$4,"")</f>
        <v>19.4333333333333</v>
      </c>
      <c r="N235" s="40" t="n">
        <f aca="false">IF(ISNUMBER($K235),$K235*Parâmetros!$C$4,"")</f>
        <v>5.83</v>
      </c>
      <c r="O235" s="40" t="n">
        <f aca="false">IF(ISNUMBER($K235),IF(ISNUMBER(Parâmetros!$E$4),Parâmetros!$E$4,0),"")</f>
        <v>0</v>
      </c>
      <c r="P235" s="41" t="n">
        <f aca="false">IF(ISNUMBER($K235),$K235-$D235-IF(ISNUMBER($E235),$E235,0)-$L235-$M235-$N235-$O235,"")</f>
        <v>38.8666666666666</v>
      </c>
      <c r="Q235" s="42" t="n">
        <f aca="false">IF(AND(ISNUMBER($K235),$K235&gt;0),$P235/$K235,"")</f>
        <v>0.2</v>
      </c>
      <c r="R235" s="43"/>
      <c r="S235" s="44" t="str">
        <f aca="false">IF(OR(NOT(ISNUMBER($R235)),$R235=0,NOT(ISNUMBER($K235))),"",$K235*(1-$R235))</f>
        <v/>
      </c>
      <c r="T235" s="45" t="str">
        <f aca="false">IF(ISNUMBER($S235),$S235*$H235,"")</f>
        <v/>
      </c>
      <c r="U235" s="45" t="str">
        <f aca="false">IF(ISNUMBER($S235),$S235*Parâmetros!$B$4,"")</f>
        <v/>
      </c>
      <c r="V235" s="45" t="str">
        <f aca="false">IF(ISNUMBER($S235),$S235*Parâmetros!$C$4,"")</f>
        <v/>
      </c>
      <c r="W235" s="44" t="str">
        <f aca="false">IF(ISNUMBER($S235),$S235-$D235-IF(ISNUMBER($E235),$E235,0)-$O235-$T235-$U235-$V235,"")</f>
        <v/>
      </c>
      <c r="X235" s="46" t="str">
        <f aca="false">IF(AND(ISNUMBER($S235),$S235&gt;0),$W235/$S235,"")</f>
        <v/>
      </c>
      <c r="Y235" s="49"/>
      <c r="Z235" s="21"/>
    </row>
    <row r="236" customFormat="false" ht="15.75" hidden="false" customHeight="true" outlineLevel="0" collapsed="false">
      <c r="A236" s="32" t="str">
        <f aca="false">IF(Produtos!$A236="","",Produtos!$A236)</f>
        <v>AQ-24BC</v>
      </c>
      <c r="B236" s="32" t="str">
        <f aca="false">IF(Produtos!$A236="","",Produtos!$B236)</f>
        <v>Aro Quadrado 24cm c/Basculante Pintado</v>
      </c>
      <c r="C236" s="32" t="str">
        <f aca="false">IF(Produtos!$A236="","",Produtos!$C236)</f>
        <v>Acessórios (aros e tampas)</v>
      </c>
      <c r="D236" s="33" t="n">
        <f aca="false">IF(Produtos!$A236="","",IF(Produtos!$D236="","",Produtos!$D236))</f>
        <v>64.66</v>
      </c>
      <c r="E236" s="11"/>
      <c r="F236" s="34" t="n">
        <f aca="false">IF($A236="","",IF($C236="","⚠ categoria",IFERROR(INDEX(Parâmetros!$B$13:$B$22,MATCH($C236,Parâmetros!$A$13:$A$22,0)),"⚠ categoria")))</f>
        <v>0.13</v>
      </c>
      <c r="G236" s="35"/>
      <c r="H236" s="36" t="n">
        <f aca="false">IF($A236="","",IF(ISNUMBER($G236),$G236,IF(ISNUMBER($F236),$F236,"")))</f>
        <v>0.13</v>
      </c>
      <c r="I236" s="37" t="n">
        <f aca="false">IF(OR($A236="",NOT(ISNUMBER($D236)),NOT(ISNUMBER($H236))),"",IF((1-$H236-Parâmetros!$B$4-Parâmetros!$C$4-Parâmetros!$D$4)&lt;=0,"INVALIDO",($D236+IF(ISNUMBER($E236),$E236,0)+IF(ISNUMBER(Parâmetros!$E$4),Parâmetros!$E$4,0))/(1-$H236-Parâmetros!$B$4-Parâmetros!$C$4-Parâmetros!$D$4)))</f>
        <v>119.740740740741</v>
      </c>
      <c r="J236" s="38"/>
      <c r="K236" s="39" t="n">
        <f aca="false">IF(OR($A236="",NOT(ISNUMBER($D236)),NOT(ISNUMBER($H236))),"",IF(AND(ISNUMBER($J236),$J236&gt;0),$J236,IF(ISNUMBER($I236),$I236,"")))</f>
        <v>119.740740740741</v>
      </c>
      <c r="L236" s="40" t="n">
        <f aca="false">IF(ISNUMBER($K236),$K236*$H236,"")</f>
        <v>15.5662962962963</v>
      </c>
      <c r="M236" s="40" t="n">
        <f aca="false">IF(ISNUMBER($K236),$K236*Parâmetros!$B$4,"")</f>
        <v>11.9740740740741</v>
      </c>
      <c r="N236" s="40" t="n">
        <f aca="false">IF(ISNUMBER($K236),$K236*Parâmetros!$C$4,"")</f>
        <v>3.59222222222222</v>
      </c>
      <c r="O236" s="40" t="n">
        <f aca="false">IF(ISNUMBER($K236),IF(ISNUMBER(Parâmetros!$E$4),Parâmetros!$E$4,0),"")</f>
        <v>0</v>
      </c>
      <c r="P236" s="41" t="n">
        <f aca="false">IF(ISNUMBER($K236),$K236-$D236-IF(ISNUMBER($E236),$E236,0)-$L236-$M236-$N236-$O236,"")</f>
        <v>23.9481481481481</v>
      </c>
      <c r="Q236" s="42" t="n">
        <f aca="false">IF(AND(ISNUMBER($K236),$K236&gt;0),$P236/$K236,"")</f>
        <v>0.2</v>
      </c>
      <c r="R236" s="43"/>
      <c r="S236" s="44" t="str">
        <f aca="false">IF(OR(NOT(ISNUMBER($R236)),$R236=0,NOT(ISNUMBER($K236))),"",$K236*(1-$R236))</f>
        <v/>
      </c>
      <c r="T236" s="45" t="str">
        <f aca="false">IF(ISNUMBER($S236),$S236*$H236,"")</f>
        <v/>
      </c>
      <c r="U236" s="45" t="str">
        <f aca="false">IF(ISNUMBER($S236),$S236*Parâmetros!$B$4,"")</f>
        <v/>
      </c>
      <c r="V236" s="45" t="str">
        <f aca="false">IF(ISNUMBER($S236),$S236*Parâmetros!$C$4,"")</f>
        <v/>
      </c>
      <c r="W236" s="44" t="str">
        <f aca="false">IF(ISNUMBER($S236),$S236-$D236-IF(ISNUMBER($E236),$E236,0)-$O236-$T236-$U236-$V236,"")</f>
        <v/>
      </c>
      <c r="X236" s="46" t="str">
        <f aca="false">IF(AND(ISNUMBER($S236),$S236&gt;0),$W236/$S236,"")</f>
        <v/>
      </c>
      <c r="Y236" s="47"/>
      <c r="Z236" s="19"/>
    </row>
    <row r="237" customFormat="false" ht="15.75" hidden="false" customHeight="true" outlineLevel="0" collapsed="false">
      <c r="A237" s="48" t="str">
        <f aca="false">IF(Produtos!$A237="","",Produtos!$A237)</f>
        <v>AQ-30BC</v>
      </c>
      <c r="B237" s="48" t="str">
        <f aca="false">IF(Produtos!$A237="","",Produtos!$B237)</f>
        <v>Aro Quadrado 30cm c/Basculante Pintado</v>
      </c>
      <c r="C237" s="48" t="str">
        <f aca="false">IF(Produtos!$A237="","",Produtos!$C237)</f>
        <v>Acessórios (aros e tampas)</v>
      </c>
      <c r="D237" s="33" t="n">
        <f aca="false">IF(Produtos!$A237="","",IF(Produtos!$D237="","",Produtos!$D237))</f>
        <v>80.56</v>
      </c>
      <c r="E237" s="11"/>
      <c r="F237" s="34" t="n">
        <f aca="false">IF($A237="","",IF($C237="","⚠ categoria",IFERROR(INDEX(Parâmetros!$B$13:$B$22,MATCH($C237,Parâmetros!$A$13:$A$22,0)),"⚠ categoria")))</f>
        <v>0.13</v>
      </c>
      <c r="G237" s="35"/>
      <c r="H237" s="36" t="n">
        <f aca="false">IF($A237="","",IF(ISNUMBER($G237),$G237,IF(ISNUMBER($F237),$F237,"")))</f>
        <v>0.13</v>
      </c>
      <c r="I237" s="37" t="n">
        <f aca="false">IF(OR($A237="",NOT(ISNUMBER($D237)),NOT(ISNUMBER($H237))),"",IF((1-$H237-Parâmetros!$B$4-Parâmetros!$C$4-Parâmetros!$D$4)&lt;=0,"INVALIDO",($D237+IF(ISNUMBER($E237),$E237,0)+IF(ISNUMBER(Parâmetros!$E$4),Parâmetros!$E$4,0))/(1-$H237-Parâmetros!$B$4-Parâmetros!$C$4-Parâmetros!$D$4)))</f>
        <v>149.185185185185</v>
      </c>
      <c r="J237" s="38"/>
      <c r="K237" s="39" t="n">
        <f aca="false">IF(OR($A237="",NOT(ISNUMBER($D237)),NOT(ISNUMBER($H237))),"",IF(AND(ISNUMBER($J237),$J237&gt;0),$J237,IF(ISNUMBER($I237),$I237,"")))</f>
        <v>149.185185185185</v>
      </c>
      <c r="L237" s="40" t="n">
        <f aca="false">IF(ISNUMBER($K237),$K237*$H237,"")</f>
        <v>19.3940740740741</v>
      </c>
      <c r="M237" s="40" t="n">
        <f aca="false">IF(ISNUMBER($K237),$K237*Parâmetros!$B$4,"")</f>
        <v>14.9185185185185</v>
      </c>
      <c r="N237" s="40" t="n">
        <f aca="false">IF(ISNUMBER($K237),$K237*Parâmetros!$C$4,"")</f>
        <v>4.47555555555556</v>
      </c>
      <c r="O237" s="40" t="n">
        <f aca="false">IF(ISNUMBER($K237),IF(ISNUMBER(Parâmetros!$E$4),Parâmetros!$E$4,0),"")</f>
        <v>0</v>
      </c>
      <c r="P237" s="41" t="n">
        <f aca="false">IF(ISNUMBER($K237),$K237-$D237-IF(ISNUMBER($E237),$E237,0)-$L237-$M237-$N237-$O237,"")</f>
        <v>29.837037037037</v>
      </c>
      <c r="Q237" s="42" t="n">
        <f aca="false">IF(AND(ISNUMBER($K237),$K237&gt;0),$P237/$K237,"")</f>
        <v>0.2</v>
      </c>
      <c r="R237" s="43"/>
      <c r="S237" s="44" t="str">
        <f aca="false">IF(OR(NOT(ISNUMBER($R237)),$R237=0,NOT(ISNUMBER($K237))),"",$K237*(1-$R237))</f>
        <v/>
      </c>
      <c r="T237" s="45" t="str">
        <f aca="false">IF(ISNUMBER($S237),$S237*$H237,"")</f>
        <v/>
      </c>
      <c r="U237" s="45" t="str">
        <f aca="false">IF(ISNUMBER($S237),$S237*Parâmetros!$B$4,"")</f>
        <v/>
      </c>
      <c r="V237" s="45" t="str">
        <f aca="false">IF(ISNUMBER($S237),$S237*Parâmetros!$C$4,"")</f>
        <v/>
      </c>
      <c r="W237" s="44" t="str">
        <f aca="false">IF(ISNUMBER($S237),$S237-$D237-IF(ISNUMBER($E237),$E237,0)-$O237-$T237-$U237-$V237,"")</f>
        <v/>
      </c>
      <c r="X237" s="46" t="str">
        <f aca="false">IF(AND(ISNUMBER($S237),$S237&gt;0),$W237/$S237,"")</f>
        <v/>
      </c>
      <c r="Y237" s="49"/>
      <c r="Z237" s="21"/>
    </row>
    <row r="238" customFormat="false" ht="15.75" hidden="false" customHeight="true" outlineLevel="0" collapsed="false">
      <c r="A238" s="32" t="str">
        <f aca="false">IF(Produtos!$A238="","",Produtos!$A238)</f>
        <v>AQ-40BC</v>
      </c>
      <c r="B238" s="32" t="str">
        <f aca="false">IF(Produtos!$A238="","",Produtos!$B238)</f>
        <v>Aro Quadrado 40cm c/Basculante Pintado</v>
      </c>
      <c r="C238" s="32" t="str">
        <f aca="false">IF(Produtos!$A238="","",Produtos!$C238)</f>
        <v>Acessórios (aros e tampas)</v>
      </c>
      <c r="D238" s="33" t="n">
        <f aca="false">IF(Produtos!$A238="","",IF(Produtos!$D238="","",Produtos!$D238))</f>
        <v>132.5</v>
      </c>
      <c r="E238" s="11"/>
      <c r="F238" s="34" t="n">
        <f aca="false">IF($A238="","",IF($C238="","⚠ categoria",IFERROR(INDEX(Parâmetros!$B$13:$B$22,MATCH($C238,Parâmetros!$A$13:$A$22,0)),"⚠ categoria")))</f>
        <v>0.13</v>
      </c>
      <c r="G238" s="35"/>
      <c r="H238" s="36" t="n">
        <f aca="false">IF($A238="","",IF(ISNUMBER($G238),$G238,IF(ISNUMBER($F238),$F238,"")))</f>
        <v>0.13</v>
      </c>
      <c r="I238" s="37" t="n">
        <f aca="false">IF(OR($A238="",NOT(ISNUMBER($D238)),NOT(ISNUMBER($H238))),"",IF((1-$H238-Parâmetros!$B$4-Parâmetros!$C$4-Parâmetros!$D$4)&lt;=0,"INVALIDO",($D238+IF(ISNUMBER($E238),$E238,0)+IF(ISNUMBER(Parâmetros!$E$4),Parâmetros!$E$4,0))/(1-$H238-Parâmetros!$B$4-Parâmetros!$C$4-Parâmetros!$D$4)))</f>
        <v>245.37037037037</v>
      </c>
      <c r="J238" s="38"/>
      <c r="K238" s="39" t="n">
        <f aca="false">IF(OR($A238="",NOT(ISNUMBER($D238)),NOT(ISNUMBER($H238))),"",IF(AND(ISNUMBER($J238),$J238&gt;0),$J238,IF(ISNUMBER($I238),$I238,"")))</f>
        <v>245.37037037037</v>
      </c>
      <c r="L238" s="40" t="n">
        <f aca="false">IF(ISNUMBER($K238),$K238*$H238,"")</f>
        <v>31.8981481481481</v>
      </c>
      <c r="M238" s="40" t="n">
        <f aca="false">IF(ISNUMBER($K238),$K238*Parâmetros!$B$4,"")</f>
        <v>24.537037037037</v>
      </c>
      <c r="N238" s="40" t="n">
        <f aca="false">IF(ISNUMBER($K238),$K238*Parâmetros!$C$4,"")</f>
        <v>7.36111111111111</v>
      </c>
      <c r="O238" s="40" t="n">
        <f aca="false">IF(ISNUMBER($K238),IF(ISNUMBER(Parâmetros!$E$4),Parâmetros!$E$4,0),"")</f>
        <v>0</v>
      </c>
      <c r="P238" s="41" t="n">
        <f aca="false">IF(ISNUMBER($K238),$K238-$D238-IF(ISNUMBER($E238),$E238,0)-$L238-$M238-$N238-$O238,"")</f>
        <v>49.0740740740741</v>
      </c>
      <c r="Q238" s="42" t="n">
        <f aca="false">IF(AND(ISNUMBER($K238),$K238&gt;0),$P238/$K238,"")</f>
        <v>0.2</v>
      </c>
      <c r="R238" s="43"/>
      <c r="S238" s="44" t="str">
        <f aca="false">IF(OR(NOT(ISNUMBER($R238)),$R238=0,NOT(ISNUMBER($K238))),"",$K238*(1-$R238))</f>
        <v/>
      </c>
      <c r="T238" s="45" t="str">
        <f aca="false">IF(ISNUMBER($S238),$S238*$H238,"")</f>
        <v/>
      </c>
      <c r="U238" s="45" t="str">
        <f aca="false">IF(ISNUMBER($S238),$S238*Parâmetros!$B$4,"")</f>
        <v/>
      </c>
      <c r="V238" s="45" t="str">
        <f aca="false">IF(ISNUMBER($S238),$S238*Parâmetros!$C$4,"")</f>
        <v/>
      </c>
      <c r="W238" s="44" t="str">
        <f aca="false">IF(ISNUMBER($S238),$S238-$D238-IF(ISNUMBER($E238),$E238,0)-$O238-$T238-$U238-$V238,"")</f>
        <v/>
      </c>
      <c r="X238" s="46" t="str">
        <f aca="false">IF(AND(ISNUMBER($S238),$S238&gt;0),$W238/$S238,"")</f>
        <v/>
      </c>
      <c r="Y238" s="47"/>
      <c r="Z238" s="19"/>
    </row>
    <row r="239" customFormat="false" ht="15.75" hidden="false" customHeight="true" outlineLevel="0" collapsed="false">
      <c r="A239" s="48" t="str">
        <f aca="false">IF(Produtos!$A239="","",Produtos!$A239)</f>
        <v>PXP</v>
      </c>
      <c r="B239" s="48" t="str">
        <f aca="false">IF(Produtos!$A239="","",Produtos!$B239)</f>
        <v>Porta Extintor 160x310</v>
      </c>
      <c r="C239" s="48" t="str">
        <f aca="false">IF(Produtos!$A239="","",Produtos!$C239)</f>
        <v>Porta-extintores</v>
      </c>
      <c r="D239" s="33" t="n">
        <f aca="false">IF(Produtos!$A239="","",IF(Produtos!$D239="","",Produtos!$D239))</f>
        <v>84.79</v>
      </c>
      <c r="E239" s="11" t="n">
        <v>22.25</v>
      </c>
      <c r="F239" s="34" t="n">
        <f aca="false">IF($A239="","",IF($C239="","⚠ categoria",IFERROR(INDEX(Parâmetros!$B$13:$B$22,MATCH($C239,Parâmetros!$A$13:$A$22,0)),"⚠ categoria")))</f>
        <v>0.13</v>
      </c>
      <c r="G239" s="35" t="n">
        <v>0.105</v>
      </c>
      <c r="H239" s="36" t="n">
        <f aca="false">IF($A239="","",IF(ISNUMBER($G239),$G239,IF(ISNUMBER($F239),$F239,"")))</f>
        <v>0.105</v>
      </c>
      <c r="I239" s="37" t="n">
        <f aca="false">IF(OR($A239="",NOT(ISNUMBER($D239)),NOT(ISNUMBER($H239))),"",IF((1-$H239-Parâmetros!$B$4-Parâmetros!$C$4-Parâmetros!$D$4)&lt;=0,"INVALIDO",($D239+IF(ISNUMBER($E239),$E239,0)+IF(ISNUMBER(Parâmetros!$E$4),Parâmetros!$E$4,0))/(1-$H239-Parâmetros!$B$4-Parâmetros!$C$4-Parâmetros!$D$4)))</f>
        <v>189.451327433628</v>
      </c>
      <c r="J239" s="38" t="n">
        <v>189.9</v>
      </c>
      <c r="K239" s="39" t="n">
        <f aca="false">IF(OR($A239="",NOT(ISNUMBER($D239)),NOT(ISNUMBER($H239))),"",IF(AND(ISNUMBER($J239),$J239&gt;0),$J239,IF(ISNUMBER($I239),$I239,"")))</f>
        <v>189.9</v>
      </c>
      <c r="L239" s="40" t="n">
        <f aca="false">IF(ISNUMBER($K239),$K239*$H239,"")</f>
        <v>19.9395</v>
      </c>
      <c r="M239" s="40" t="n">
        <f aca="false">IF(ISNUMBER($K239),$K239*Parâmetros!$B$4,"")</f>
        <v>18.99</v>
      </c>
      <c r="N239" s="40" t="n">
        <f aca="false">IF(ISNUMBER($K239),$K239*Parâmetros!$C$4,"")</f>
        <v>5.697</v>
      </c>
      <c r="O239" s="40" t="n">
        <f aca="false">IF(ISNUMBER($K239),IF(ISNUMBER(Parâmetros!$E$4),Parâmetros!$E$4,0),"")</f>
        <v>0</v>
      </c>
      <c r="P239" s="41" t="n">
        <f aca="false">IF(ISNUMBER($K239),$K239-$D239-IF(ISNUMBER($E239),$E239,0)-$L239-$M239-$N239-$O239,"")</f>
        <v>38.2335</v>
      </c>
      <c r="Q239" s="42" t="n">
        <f aca="false">IF(AND(ISNUMBER($K239),$K239&gt;0),$P239/$K239,"")</f>
        <v>0.201334913112164</v>
      </c>
      <c r="R239" s="43"/>
      <c r="S239" s="44" t="str">
        <f aca="false">IF(OR(NOT(ISNUMBER($R239)),$R239=0,NOT(ISNUMBER($K239))),"",$K239*(1-$R239))</f>
        <v/>
      </c>
      <c r="T239" s="45" t="str">
        <f aca="false">IF(ISNUMBER($S239),$S239*$H239,"")</f>
        <v/>
      </c>
      <c r="U239" s="45" t="str">
        <f aca="false">IF(ISNUMBER($S239),$S239*Parâmetros!$B$4,"")</f>
        <v/>
      </c>
      <c r="V239" s="45" t="str">
        <f aca="false">IF(ISNUMBER($S239),$S239*Parâmetros!$C$4,"")</f>
        <v/>
      </c>
      <c r="W239" s="44" t="str">
        <f aca="false">IF(ISNUMBER($S239),$S239-$D239-IF(ISNUMBER($E239),$E239,0)-$O239-$T239-$U239-$V239,"")</f>
        <v/>
      </c>
      <c r="X239" s="46" t="str">
        <f aca="false">IF(AND(ISNUMBER($S239),$S239&gt;0),$W239/$S239,"")</f>
        <v/>
      </c>
      <c r="Y239" s="49" t="s">
        <v>744</v>
      </c>
      <c r="Z239" s="21"/>
    </row>
    <row r="240" customFormat="false" ht="15.75" hidden="false" customHeight="true" outlineLevel="0" collapsed="false">
      <c r="A240" s="32" t="str">
        <f aca="false">IF(Produtos!$A240="","",Produtos!$A240)</f>
        <v>PXM</v>
      </c>
      <c r="B240" s="32" t="str">
        <f aca="false">IF(Produtos!$A240="","",Produtos!$B240)</f>
        <v>Porta Extintor 200x495</v>
      </c>
      <c r="C240" s="32" t="str">
        <f aca="false">IF(Produtos!$A240="","",Produtos!$C240)</f>
        <v>Porta-extintores</v>
      </c>
      <c r="D240" s="33" t="n">
        <f aca="false">IF(Produtos!$A240="","",IF(Produtos!$D240="","",Produtos!$D240))</f>
        <v>102.8</v>
      </c>
      <c r="E240" s="11" t="n">
        <v>32.45</v>
      </c>
      <c r="F240" s="34" t="n">
        <f aca="false">IF($A240="","",IF($C240="","⚠ categoria",IFERROR(INDEX(Parâmetros!$B$13:$B$22,MATCH($C240,Parâmetros!$A$13:$A$22,0)),"⚠ categoria")))</f>
        <v>0.13</v>
      </c>
      <c r="G240" s="35" t="n">
        <v>0.105</v>
      </c>
      <c r="H240" s="36" t="n">
        <f aca="false">IF($A240="","",IF(ISNUMBER($G240),$G240,IF(ISNUMBER($F240),$F240,"")))</f>
        <v>0.105</v>
      </c>
      <c r="I240" s="37" t="n">
        <f aca="false">IF(OR($A240="",NOT(ISNUMBER($D240)),NOT(ISNUMBER($H240))),"",IF((1-$H240-Parâmetros!$B$4-Parâmetros!$C$4-Parâmetros!$D$4)&lt;=0,"INVALIDO",($D240+IF(ISNUMBER($E240),$E240,0)+IF(ISNUMBER(Parâmetros!$E$4),Parâmetros!$E$4,0))/(1-$H240-Parâmetros!$B$4-Parâmetros!$C$4-Parâmetros!$D$4)))</f>
        <v>239.380530973451</v>
      </c>
      <c r="J240" s="38" t="n">
        <v>240.834365</v>
      </c>
      <c r="K240" s="39" t="n">
        <f aca="false">IF(OR($A240="",NOT(ISNUMBER($D240)),NOT(ISNUMBER($H240))),"",IF(AND(ISNUMBER($J240),$J240&gt;0),$J240,IF(ISNUMBER($I240),$I240,"")))</f>
        <v>240.834365</v>
      </c>
      <c r="L240" s="40" t="n">
        <f aca="false">IF(ISNUMBER($K240),$K240*$H240,"")</f>
        <v>25.287608325</v>
      </c>
      <c r="M240" s="40" t="n">
        <f aca="false">IF(ISNUMBER($K240),$K240*Parâmetros!$B$4,"")</f>
        <v>24.0834365</v>
      </c>
      <c r="N240" s="40" t="n">
        <f aca="false">IF(ISNUMBER($K240),$K240*Parâmetros!$C$4,"")</f>
        <v>7.22503095</v>
      </c>
      <c r="O240" s="40" t="n">
        <f aca="false">IF(ISNUMBER($K240),IF(ISNUMBER(Parâmetros!$E$4),Parâmetros!$E$4,0),"")</f>
        <v>0</v>
      </c>
      <c r="P240" s="41" t="n">
        <f aca="false">IF(ISNUMBER($K240),$K240-$D240-IF(ISNUMBER($E240),$E240,0)-$L240-$M240-$N240-$O240,"")</f>
        <v>48.988289225</v>
      </c>
      <c r="Q240" s="42" t="n">
        <f aca="false">IF(AND(ISNUMBER($K240),$K240&gt;0),$P240/$K240,"")</f>
        <v>0.203410710199103</v>
      </c>
      <c r="R240" s="43"/>
      <c r="S240" s="44" t="str">
        <f aca="false">IF(OR(NOT(ISNUMBER($R240)),$R240=0,NOT(ISNUMBER($K240))),"",$K240*(1-$R240))</f>
        <v/>
      </c>
      <c r="T240" s="45" t="str">
        <f aca="false">IF(ISNUMBER($S240),$S240*$H240,"")</f>
        <v/>
      </c>
      <c r="U240" s="45" t="str">
        <f aca="false">IF(ISNUMBER($S240),$S240*Parâmetros!$B$4,"")</f>
        <v/>
      </c>
      <c r="V240" s="45" t="str">
        <f aca="false">IF(ISNUMBER($S240),$S240*Parâmetros!$C$4,"")</f>
        <v/>
      </c>
      <c r="W240" s="44" t="str">
        <f aca="false">IF(ISNUMBER($S240),$S240-$D240-IF(ISNUMBER($E240),$E240,0)-$O240-$T240-$U240-$V240,"")</f>
        <v/>
      </c>
      <c r="X240" s="46" t="str">
        <f aca="false">IF(AND(ISNUMBER($S240),$S240&gt;0),$W240/$S240,"")</f>
        <v/>
      </c>
      <c r="Y240" s="47" t="s">
        <v>744</v>
      </c>
      <c r="Z240" s="19"/>
    </row>
    <row r="241" customFormat="false" ht="15.75" hidden="false" customHeight="true" outlineLevel="0" collapsed="false">
      <c r="A241" s="48" t="str">
        <f aca="false">IF(Produtos!$A241="","",Produtos!$A241)</f>
        <v>PL-SD</v>
      </c>
      <c r="B241" s="48" t="str">
        <f aca="false">IF(Produtos!$A241="","",Produtos!$B241)</f>
        <v>Placa Sinalizadora Piso Molhado Aço Inox 430</v>
      </c>
      <c r="C241" s="48" t="str">
        <f aca="false">IF(Produtos!$A241="","",Produtos!$C241)</f>
        <v>Placas de piso molhado</v>
      </c>
      <c r="D241" s="33" t="n">
        <f aca="false">IF(Produtos!$A241="","",IF(Produtos!$D241="","",Produtos!$D241))</f>
        <v>242.68</v>
      </c>
      <c r="E241" s="11" t="n">
        <v>25.45</v>
      </c>
      <c r="F241" s="34" t="n">
        <f aca="false">IF($A241="","",IF($C241="","⚠ categoria",IFERROR(INDEX(Parâmetros!$B$13:$B$22,MATCH($C241,Parâmetros!$A$13:$A$22,0)),"⚠ categoria")))</f>
        <v>0.13</v>
      </c>
      <c r="G241" s="35" t="n">
        <v>0.105</v>
      </c>
      <c r="H241" s="36" t="n">
        <f aca="false">IF($A241="","",IF(ISNUMBER($G241),$G241,IF(ISNUMBER($F241),$F241,"")))</f>
        <v>0.105</v>
      </c>
      <c r="I241" s="37" t="n">
        <f aca="false">IF(OR($A241="",NOT(ISNUMBER($D241)),NOT(ISNUMBER($H241))),"",IF((1-$H241-Parâmetros!$B$4-Parâmetros!$C$4-Parâmetros!$D$4)&lt;=0,"INVALIDO",($D241+IF(ISNUMBER($E241),$E241,0)+IF(ISNUMBER(Parâmetros!$E$4),Parâmetros!$E$4,0))/(1-$H241-Parâmetros!$B$4-Parâmetros!$C$4-Parâmetros!$D$4)))</f>
        <v>474.566371681416</v>
      </c>
      <c r="J241" s="38" t="n">
        <v>460.0633275</v>
      </c>
      <c r="K241" s="39" t="n">
        <f aca="false">IF(OR($A241="",NOT(ISNUMBER($D241)),NOT(ISNUMBER($H241))),"",IF(AND(ISNUMBER($J241),$J241&gt;0),$J241,IF(ISNUMBER($I241),$I241,"")))</f>
        <v>460.0633275</v>
      </c>
      <c r="L241" s="40" t="n">
        <f aca="false">IF(ISNUMBER($K241),$K241*$H241,"")</f>
        <v>48.3066493875</v>
      </c>
      <c r="M241" s="40" t="n">
        <f aca="false">IF(ISNUMBER($K241),$K241*Parâmetros!$B$4,"")</f>
        <v>46.00633275</v>
      </c>
      <c r="N241" s="40" t="n">
        <f aca="false">IF(ISNUMBER($K241),$K241*Parâmetros!$C$4,"")</f>
        <v>13.801899825</v>
      </c>
      <c r="O241" s="40" t="n">
        <f aca="false">IF(ISNUMBER($K241),IF(ISNUMBER(Parâmetros!$E$4),Parâmetros!$E$4,0),"")</f>
        <v>0</v>
      </c>
      <c r="P241" s="41" t="n">
        <f aca="false">IF(ISNUMBER($K241),$K241-$D241-IF(ISNUMBER($E241),$E241,0)-$L241-$M241-$N241-$O241,"")</f>
        <v>83.8184455375001</v>
      </c>
      <c r="Q241" s="42" t="n">
        <f aca="false">IF(AND(ISNUMBER($K241),$K241&gt;0),$P241/$K241,"")</f>
        <v>0.182188930365244</v>
      </c>
      <c r="R241" s="43"/>
      <c r="S241" s="44" t="str">
        <f aca="false">IF(OR(NOT(ISNUMBER($R241)),$R241=0,NOT(ISNUMBER($K241))),"",$K241*(1-$R241))</f>
        <v/>
      </c>
      <c r="T241" s="45" t="str">
        <f aca="false">IF(ISNUMBER($S241),$S241*$H241,"")</f>
        <v/>
      </c>
      <c r="U241" s="45" t="str">
        <f aca="false">IF(ISNUMBER($S241),$S241*Parâmetros!$B$4,"")</f>
        <v/>
      </c>
      <c r="V241" s="45" t="str">
        <f aca="false">IF(ISNUMBER($S241),$S241*Parâmetros!$C$4,"")</f>
        <v/>
      </c>
      <c r="W241" s="44" t="str">
        <f aca="false">IF(ISNUMBER($S241),$S241-$D241-IF(ISNUMBER($E241),$E241,0)-$O241-$T241-$U241-$V241,"")</f>
        <v/>
      </c>
      <c r="X241" s="46" t="str">
        <f aca="false">IF(AND(ISNUMBER($S241),$S241&gt;0),$W241/$S241,"")</f>
        <v/>
      </c>
      <c r="Y241" s="49" t="s">
        <v>744</v>
      </c>
      <c r="Z241" s="21"/>
    </row>
    <row r="242" customFormat="false" ht="15.75" hidden="false" customHeight="true" outlineLevel="0" collapsed="false">
      <c r="A242" s="32" t="str">
        <f aca="false">IF(Produtos!$A242="","",Produtos!$A242)</f>
        <v>SP-01</v>
      </c>
      <c r="B242" s="32" t="str">
        <f aca="false">IF(Produtos!$A242="","",Produtos!$B242)</f>
        <v>Coletor Cigarros SPACE 27x92 Aço Inox</v>
      </c>
      <c r="C242" s="32" t="str">
        <f aca="false">IF(Produtos!$A242="","",Produtos!$C242)</f>
        <v>Bituqueiras e cinzeiros</v>
      </c>
      <c r="D242" s="33" t="n">
        <f aca="false">IF(Produtos!$A242="","",IF(Produtos!$D242="","",Produtos!$D242))</f>
        <v>247.86</v>
      </c>
      <c r="E242" s="11" t="n">
        <v>70.95</v>
      </c>
      <c r="F242" s="34" t="n">
        <f aca="false">IF($A242="","",IF($C242="","⚠ categoria",IFERROR(INDEX(Parâmetros!$B$13:$B$22,MATCH($C242,Parâmetros!$A$13:$A$22,0)),"⚠ categoria")))</f>
        <v>0.13</v>
      </c>
      <c r="G242" s="35" t="n">
        <v>0.105</v>
      </c>
      <c r="H242" s="36" t="n">
        <f aca="false">IF($A242="","",IF(ISNUMBER($G242),$G242,IF(ISNUMBER($F242),$F242,"")))</f>
        <v>0.105</v>
      </c>
      <c r="I242" s="37" t="n">
        <f aca="false">IF(OR($A242="",NOT(ISNUMBER($D242)),NOT(ISNUMBER($H242))),"",IF((1-$H242-Parâmetros!$B$4-Parâmetros!$C$4-Parâmetros!$D$4)&lt;=0,"INVALIDO",($D242+IF(ISNUMBER($E242),$E242,0)+IF(ISNUMBER(Parâmetros!$E$4),Parâmetros!$E$4,0))/(1-$H242-Parâmetros!$B$4-Parâmetros!$C$4-Parâmetros!$D$4)))</f>
        <v>564.265486725664</v>
      </c>
      <c r="J242" s="38" t="n">
        <v>486.2025</v>
      </c>
      <c r="K242" s="39" t="n">
        <f aca="false">IF(OR($A242="",NOT(ISNUMBER($D242)),NOT(ISNUMBER($H242))),"",IF(AND(ISNUMBER($J242),$J242&gt;0),$J242,IF(ISNUMBER($I242),$I242,"")))</f>
        <v>486.2025</v>
      </c>
      <c r="L242" s="40" t="n">
        <f aca="false">IF(ISNUMBER($K242),$K242*$H242,"")</f>
        <v>51.0512625</v>
      </c>
      <c r="M242" s="40" t="n">
        <f aca="false">IF(ISNUMBER($K242),$K242*Parâmetros!$B$4,"")</f>
        <v>48.62025</v>
      </c>
      <c r="N242" s="40" t="n">
        <f aca="false">IF(ISNUMBER($K242),$K242*Parâmetros!$C$4,"")</f>
        <v>14.586075</v>
      </c>
      <c r="O242" s="40" t="n">
        <f aca="false">IF(ISNUMBER($K242),IF(ISNUMBER(Parâmetros!$E$4),Parâmetros!$E$4,0),"")</f>
        <v>0</v>
      </c>
      <c r="P242" s="41" t="n">
        <f aca="false">IF(ISNUMBER($K242),$K242-$D242-IF(ISNUMBER($E242),$E242,0)-$L242-$M242-$N242-$O242,"")</f>
        <v>53.1349125</v>
      </c>
      <c r="Q242" s="42" t="n">
        <f aca="false">IF(AND(ISNUMBER($K242),$K242&gt;0),$P242/$K242,"")</f>
        <v>0.109285560029</v>
      </c>
      <c r="R242" s="43"/>
      <c r="S242" s="44" t="str">
        <f aca="false">IF(OR(NOT(ISNUMBER($R242)),$R242=0,NOT(ISNUMBER($K242))),"",$K242*(1-$R242))</f>
        <v/>
      </c>
      <c r="T242" s="45" t="str">
        <f aca="false">IF(ISNUMBER($S242),$S242*$H242,"")</f>
        <v/>
      </c>
      <c r="U242" s="45" t="str">
        <f aca="false">IF(ISNUMBER($S242),$S242*Parâmetros!$B$4,"")</f>
        <v/>
      </c>
      <c r="V242" s="45" t="str">
        <f aca="false">IF(ISNUMBER($S242),$S242*Parâmetros!$C$4,"")</f>
        <v/>
      </c>
      <c r="W242" s="44" t="str">
        <f aca="false">IF(ISNUMBER($S242),$S242-$D242-IF(ISNUMBER($E242),$E242,0)-$O242-$T242-$U242-$V242,"")</f>
        <v/>
      </c>
      <c r="X242" s="46" t="str">
        <f aca="false">IF(AND(ISNUMBER($S242),$S242&gt;0),$W242/$S242,"")</f>
        <v/>
      </c>
      <c r="Y242" s="47" t="s">
        <v>744</v>
      </c>
      <c r="Z242" s="19"/>
    </row>
    <row r="243" customFormat="false" ht="15.75" hidden="false" customHeight="true" outlineLevel="0" collapsed="false">
      <c r="A243" s="48" t="str">
        <f aca="false">IF(Produtos!$A243="","",Produtos!$A243)</f>
        <v>SP-F</v>
      </c>
      <c r="B243" s="48" t="str">
        <f aca="false">IF(Produtos!$A243="","",Produtos!$B243)</f>
        <v>Coletor Cigarros SPACE FIXO 21x92 Aço Inox</v>
      </c>
      <c r="C243" s="48" t="str">
        <f aca="false">IF(Produtos!$A243="","",Produtos!$C243)</f>
        <v>Bituqueiras e cinzeiros</v>
      </c>
      <c r="D243" s="33" t="n">
        <f aca="false">IF(Produtos!$A243="","",IF(Produtos!$D243="","",Produtos!$D243))</f>
        <v>236.22</v>
      </c>
      <c r="E243" s="11" t="n">
        <v>69.35</v>
      </c>
      <c r="F243" s="34" t="n">
        <f aca="false">IF($A243="","",IF($C243="","⚠ categoria",IFERROR(INDEX(Parâmetros!$B$13:$B$22,MATCH($C243,Parâmetros!$A$13:$A$22,0)),"⚠ categoria")))</f>
        <v>0.13</v>
      </c>
      <c r="G243" s="35" t="n">
        <v>0.105</v>
      </c>
      <c r="H243" s="36" t="n">
        <f aca="false">IF($A243="","",IF(ISNUMBER($G243),$G243,IF(ISNUMBER($F243),$F243,"")))</f>
        <v>0.105</v>
      </c>
      <c r="I243" s="37" t="n">
        <f aca="false">IF(OR($A243="",NOT(ISNUMBER($D243)),NOT(ISNUMBER($H243))),"",IF((1-$H243-Parâmetros!$B$4-Parâmetros!$C$4-Parâmetros!$D$4)&lt;=0,"INVALIDO",($D243+IF(ISNUMBER($E243),$E243,0)+IF(ISNUMBER(Parâmetros!$E$4),Parâmetros!$E$4,0))/(1-$H243-Parâmetros!$B$4-Parâmetros!$C$4-Parâmetros!$D$4)))</f>
        <v>540.83185840708</v>
      </c>
      <c r="J243" s="38" t="n">
        <v>529.233075</v>
      </c>
      <c r="K243" s="39" t="n">
        <f aca="false">IF(OR($A243="",NOT(ISNUMBER($D243)),NOT(ISNUMBER($H243))),"",IF(AND(ISNUMBER($J243),$J243&gt;0),$J243,IF(ISNUMBER($I243),$I243,"")))</f>
        <v>529.233075</v>
      </c>
      <c r="L243" s="40" t="n">
        <f aca="false">IF(ISNUMBER($K243),$K243*$H243,"")</f>
        <v>55.569472875</v>
      </c>
      <c r="M243" s="40" t="n">
        <f aca="false">IF(ISNUMBER($K243),$K243*Parâmetros!$B$4,"")</f>
        <v>52.9233075</v>
      </c>
      <c r="N243" s="40" t="n">
        <f aca="false">IF(ISNUMBER($K243),$K243*Parâmetros!$C$4,"")</f>
        <v>15.87699225</v>
      </c>
      <c r="O243" s="40" t="n">
        <f aca="false">IF(ISNUMBER($K243),IF(ISNUMBER(Parâmetros!$E$4),Parâmetros!$E$4,0),"")</f>
        <v>0</v>
      </c>
      <c r="P243" s="41" t="n">
        <f aca="false">IF(ISNUMBER($K243),$K243-$D243-IF(ISNUMBER($E243),$E243,0)-$L243-$M243-$N243-$O243,"")</f>
        <v>99.293302375</v>
      </c>
      <c r="Q243" s="42" t="n">
        <f aca="false">IF(AND(ISNUMBER($K243),$K243&gt;0),$P243/$K243,"")</f>
        <v>0.187617341140291</v>
      </c>
      <c r="R243" s="43"/>
      <c r="S243" s="44" t="str">
        <f aca="false">IF(OR(NOT(ISNUMBER($R243)),$R243=0,NOT(ISNUMBER($K243))),"",$K243*(1-$R243))</f>
        <v/>
      </c>
      <c r="T243" s="45" t="str">
        <f aca="false">IF(ISNUMBER($S243),$S243*$H243,"")</f>
        <v/>
      </c>
      <c r="U243" s="45" t="str">
        <f aca="false">IF(ISNUMBER($S243),$S243*Parâmetros!$B$4,"")</f>
        <v/>
      </c>
      <c r="V243" s="45" t="str">
        <f aca="false">IF(ISNUMBER($S243),$S243*Parâmetros!$C$4,"")</f>
        <v/>
      </c>
      <c r="W243" s="44" t="str">
        <f aca="false">IF(ISNUMBER($S243),$S243-$D243-IF(ISNUMBER($E243),$E243,0)-$O243-$T243-$U243-$V243,"")</f>
        <v/>
      </c>
      <c r="X243" s="46" t="str">
        <f aca="false">IF(AND(ISNUMBER($S243),$S243&gt;0),$W243/$S243,"")</f>
        <v/>
      </c>
      <c r="Y243" s="49" t="s">
        <v>744</v>
      </c>
      <c r="Z243" s="21"/>
    </row>
    <row r="244" customFormat="false" ht="15.75" hidden="false" customHeight="true" outlineLevel="0" collapsed="false">
      <c r="A244" s="32" t="str">
        <f aca="false">IF(Produtos!$A244="","",Produtos!$A244)</f>
        <v>SP-T</v>
      </c>
      <c r="B244" s="32" t="str">
        <f aca="false">IF(Produtos!$A244="","",Produtos!$B244)</f>
        <v>Coletor Cigarros SPACE TORRE 28x92 Aço Inox</v>
      </c>
      <c r="C244" s="32" t="str">
        <f aca="false">IF(Produtos!$A244="","",Produtos!$C244)</f>
        <v>Bituqueiras e cinzeiros</v>
      </c>
      <c r="D244" s="33" t="n">
        <f aca="false">IF(Produtos!$A244="","",IF(Produtos!$D244="","",Produtos!$D244))</f>
        <v>238.66</v>
      </c>
      <c r="E244" s="11" t="n">
        <v>70.95</v>
      </c>
      <c r="F244" s="34" t="n">
        <f aca="false">IF($A244="","",IF($C244="","⚠ categoria",IFERROR(INDEX(Parâmetros!$B$13:$B$22,MATCH($C244,Parâmetros!$A$13:$A$22,0)),"⚠ categoria")))</f>
        <v>0.13</v>
      </c>
      <c r="G244" s="35" t="n">
        <v>0.105</v>
      </c>
      <c r="H244" s="36" t="n">
        <f aca="false">IF($A244="","",IF(ISNUMBER($G244),$G244,IF(ISNUMBER($F244),$F244,"")))</f>
        <v>0.105</v>
      </c>
      <c r="I244" s="37" t="n">
        <f aca="false">IF(OR($A244="",NOT(ISNUMBER($D244)),NOT(ISNUMBER($H244))),"",IF((1-$H244-Parâmetros!$B$4-Parâmetros!$C$4-Parâmetros!$D$4)&lt;=0,"INVALIDO",($D244+IF(ISNUMBER($E244),$E244,0)+IF(ISNUMBER(Parâmetros!$E$4),Parâmetros!$E$4,0))/(1-$H244-Parâmetros!$B$4-Parâmetros!$C$4-Parâmetros!$D$4)))</f>
        <v>547.982300884956</v>
      </c>
      <c r="J244" s="38" t="n">
        <v>518.25713625</v>
      </c>
      <c r="K244" s="39" t="n">
        <f aca="false">IF(OR($A244="",NOT(ISNUMBER($D244)),NOT(ISNUMBER($H244))),"",IF(AND(ISNUMBER($J244),$J244&gt;0),$J244,IF(ISNUMBER($I244),$I244,"")))</f>
        <v>518.25713625</v>
      </c>
      <c r="L244" s="40" t="n">
        <f aca="false">IF(ISNUMBER($K244),$K244*$H244,"")</f>
        <v>54.41699930625</v>
      </c>
      <c r="M244" s="40" t="n">
        <f aca="false">IF(ISNUMBER($K244),$K244*Parâmetros!$B$4,"")</f>
        <v>51.825713625</v>
      </c>
      <c r="N244" s="40" t="n">
        <f aca="false">IF(ISNUMBER($K244),$K244*Parâmetros!$C$4,"")</f>
        <v>15.5477140875</v>
      </c>
      <c r="O244" s="40" t="n">
        <f aca="false">IF(ISNUMBER($K244),IF(ISNUMBER(Parâmetros!$E$4),Parâmetros!$E$4,0),"")</f>
        <v>0</v>
      </c>
      <c r="P244" s="41" t="n">
        <f aca="false">IF(ISNUMBER($K244),$K244-$D244-IF(ISNUMBER($E244),$E244,0)-$L244-$M244-$N244-$O244,"")</f>
        <v>86.8567092312501</v>
      </c>
      <c r="Q244" s="42" t="n">
        <f aca="false">IF(AND(ISNUMBER($K244),$K244&gt;0),$P244/$K244,"")</f>
        <v>0.167593850920659</v>
      </c>
      <c r="R244" s="43"/>
      <c r="S244" s="44" t="str">
        <f aca="false">IF(OR(NOT(ISNUMBER($R244)),$R244=0,NOT(ISNUMBER($K244))),"",$K244*(1-$R244))</f>
        <v/>
      </c>
      <c r="T244" s="45" t="str">
        <f aca="false">IF(ISNUMBER($S244),$S244*$H244,"")</f>
        <v/>
      </c>
      <c r="U244" s="45" t="str">
        <f aca="false">IF(ISNUMBER($S244),$S244*Parâmetros!$B$4,"")</f>
        <v/>
      </c>
      <c r="V244" s="45" t="str">
        <f aca="false">IF(ISNUMBER($S244),$S244*Parâmetros!$C$4,"")</f>
        <v/>
      </c>
      <c r="W244" s="44" t="str">
        <f aca="false">IF(ISNUMBER($S244),$S244-$D244-IF(ISNUMBER($E244),$E244,0)-$O244-$T244-$U244-$V244,"")</f>
        <v/>
      </c>
      <c r="X244" s="46" t="str">
        <f aca="false">IF(AND(ISNUMBER($S244),$S244&gt;0),$W244/$S244,"")</f>
        <v/>
      </c>
      <c r="Y244" s="47" t="s">
        <v>744</v>
      </c>
      <c r="Z244" s="19"/>
    </row>
    <row r="245" customFormat="false" ht="15.75" hidden="false" customHeight="true" outlineLevel="0" collapsed="false">
      <c r="A245" s="48" t="str">
        <f aca="false">IF(Produtos!$A245="","",Produtos!$A245)</f>
        <v>SP-P</v>
      </c>
      <c r="B245" s="48" t="str">
        <f aca="false">IF(Produtos!$A245="","",Produtos!$B245)</f>
        <v>Coletor Cigarros SPACE PAREDE ø0,76x50 Aço Inox</v>
      </c>
      <c r="C245" s="48" t="str">
        <f aca="false">IF(Produtos!$A245="","",Produtos!$C245)</f>
        <v>Bituqueiras e cinzeiros</v>
      </c>
      <c r="D245" s="33" t="n">
        <f aca="false">IF(Produtos!$A245="","",IF(Produtos!$D245="","",Produtos!$D245))</f>
        <v>139.81</v>
      </c>
      <c r="E245" s="11" t="n">
        <v>25.45</v>
      </c>
      <c r="F245" s="34" t="n">
        <f aca="false">IF($A245="","",IF($C245="","⚠ categoria",IFERROR(INDEX(Parâmetros!$B$13:$B$22,MATCH($C245,Parâmetros!$A$13:$A$22,0)),"⚠ categoria")))</f>
        <v>0.13</v>
      </c>
      <c r="G245" s="35" t="n">
        <v>0.105</v>
      </c>
      <c r="H245" s="36" t="n">
        <f aca="false">IF($A245="","",IF(ISNUMBER($G245),$G245,IF(ISNUMBER($F245),$F245,"")))</f>
        <v>0.105</v>
      </c>
      <c r="I245" s="37" t="n">
        <f aca="false">IF(OR($A245="",NOT(ISNUMBER($D245)),NOT(ISNUMBER($H245))),"",IF((1-$H245-Parâmetros!$B$4-Parâmetros!$C$4-Parâmetros!$D$4)&lt;=0,"INVALIDO",($D245+IF(ISNUMBER($E245),$E245,0)+IF(ISNUMBER(Parâmetros!$E$4),Parâmetros!$E$4,0))/(1-$H245-Parâmetros!$B$4-Parâmetros!$C$4-Parâmetros!$D$4)))</f>
        <v>292.495575221239</v>
      </c>
      <c r="J245" s="38" t="n">
        <v>286.08386625</v>
      </c>
      <c r="K245" s="39" t="n">
        <f aca="false">IF(OR($A245="",NOT(ISNUMBER($D245)),NOT(ISNUMBER($H245))),"",IF(AND(ISNUMBER($J245),$J245&gt;0),$J245,IF(ISNUMBER($I245),$I245,"")))</f>
        <v>286.08386625</v>
      </c>
      <c r="L245" s="40" t="n">
        <f aca="false">IF(ISNUMBER($K245),$K245*$H245,"")</f>
        <v>30.03880595625</v>
      </c>
      <c r="M245" s="40" t="n">
        <f aca="false">IF(ISNUMBER($K245),$K245*Parâmetros!$B$4,"")</f>
        <v>28.608386625</v>
      </c>
      <c r="N245" s="40" t="n">
        <f aca="false">IF(ISNUMBER($K245),$K245*Parâmetros!$C$4,"")</f>
        <v>8.5825159875</v>
      </c>
      <c r="O245" s="40" t="n">
        <f aca="false">IF(ISNUMBER($K245),IF(ISNUMBER(Parâmetros!$E$4),Parâmetros!$E$4,0),"")</f>
        <v>0</v>
      </c>
      <c r="P245" s="41" t="n">
        <f aca="false">IF(ISNUMBER($K245),$K245-$D245-IF(ISNUMBER($E245),$E245,0)-$L245-$M245-$N245-$O245,"")</f>
        <v>53.59415768125</v>
      </c>
      <c r="Q245" s="42" t="n">
        <f aca="false">IF(AND(ISNUMBER($K245),$K245&gt;0),$P245/$K245,"")</f>
        <v>0.187337225212189</v>
      </c>
      <c r="R245" s="43"/>
      <c r="S245" s="44" t="str">
        <f aca="false">IF(OR(NOT(ISNUMBER($R245)),$R245=0,NOT(ISNUMBER($K245))),"",$K245*(1-$R245))</f>
        <v/>
      </c>
      <c r="T245" s="45" t="str">
        <f aca="false">IF(ISNUMBER($S245),$S245*$H245,"")</f>
        <v/>
      </c>
      <c r="U245" s="45" t="str">
        <f aca="false">IF(ISNUMBER($S245),$S245*Parâmetros!$B$4,"")</f>
        <v/>
      </c>
      <c r="V245" s="45" t="str">
        <f aca="false">IF(ISNUMBER($S245),$S245*Parâmetros!$C$4,"")</f>
        <v/>
      </c>
      <c r="W245" s="44" t="str">
        <f aca="false">IF(ISNUMBER($S245),$S245-$D245-IF(ISNUMBER($E245),$E245,0)-$O245-$T245-$U245-$V245,"")</f>
        <v/>
      </c>
      <c r="X245" s="46" t="str">
        <f aca="false">IF(AND(ISNUMBER($S245),$S245&gt;0),$W245/$S245,"")</f>
        <v/>
      </c>
      <c r="Y245" s="49" t="s">
        <v>744</v>
      </c>
      <c r="Z245" s="21"/>
    </row>
    <row r="246" customFormat="false" ht="15.75" hidden="false" customHeight="true" outlineLevel="0" collapsed="false">
      <c r="A246" s="32" t="str">
        <f aca="false">IF(Produtos!$A246="","",Produtos!$A246)</f>
        <v>SP-FT</v>
      </c>
      <c r="B246" s="32" t="str">
        <f aca="false">IF(Produtos!$A246="","",Produtos!$B246)</f>
        <v>Tampa Space Fixa</v>
      </c>
      <c r="C246" s="32" t="str">
        <f aca="false">IF(Produtos!$A246="","",Produtos!$C246)</f>
        <v>Bituqueiras e cinzeiros</v>
      </c>
      <c r="D246" s="33" t="n">
        <f aca="false">IF(Produtos!$A246="","",IF(Produtos!$D246="","",Produtos!$D246))</f>
        <v>75</v>
      </c>
      <c r="E246" s="11"/>
      <c r="F246" s="34" t="n">
        <f aca="false">IF($A246="","",IF($C246="","⚠ categoria",IFERROR(INDEX(Parâmetros!$B$13:$B$22,MATCH($C246,Parâmetros!$A$13:$A$22,0)),"⚠ categoria")))</f>
        <v>0.13</v>
      </c>
      <c r="G246" s="35"/>
      <c r="H246" s="36" t="n">
        <f aca="false">IF($A246="","",IF(ISNUMBER($G246),$G246,IF(ISNUMBER($F246),$F246,"")))</f>
        <v>0.13</v>
      </c>
      <c r="I246" s="37" t="n">
        <f aca="false">IF(OR($A246="",NOT(ISNUMBER($D246)),NOT(ISNUMBER($H246))),"",IF((1-$H246-Parâmetros!$B$4-Parâmetros!$C$4-Parâmetros!$D$4)&lt;=0,"INVALIDO",($D246+IF(ISNUMBER($E246),$E246,0)+IF(ISNUMBER(Parâmetros!$E$4),Parâmetros!$E$4,0))/(1-$H246-Parâmetros!$B$4-Parâmetros!$C$4-Parâmetros!$D$4)))</f>
        <v>138.888888888889</v>
      </c>
      <c r="J246" s="38"/>
      <c r="K246" s="39" t="n">
        <f aca="false">IF(OR($A246="",NOT(ISNUMBER($D246)),NOT(ISNUMBER($H246))),"",IF(AND(ISNUMBER($J246),$J246&gt;0),$J246,IF(ISNUMBER($I246),$I246,"")))</f>
        <v>138.888888888889</v>
      </c>
      <c r="L246" s="40" t="n">
        <f aca="false">IF(ISNUMBER($K246),$K246*$H246,"")</f>
        <v>18.0555555555556</v>
      </c>
      <c r="M246" s="40" t="n">
        <f aca="false">IF(ISNUMBER($K246),$K246*Parâmetros!$B$4,"")</f>
        <v>13.8888888888889</v>
      </c>
      <c r="N246" s="40" t="n">
        <f aca="false">IF(ISNUMBER($K246),$K246*Parâmetros!$C$4,"")</f>
        <v>4.16666666666667</v>
      </c>
      <c r="O246" s="40" t="n">
        <f aca="false">IF(ISNUMBER($K246),IF(ISNUMBER(Parâmetros!$E$4),Parâmetros!$E$4,0),"")</f>
        <v>0</v>
      </c>
      <c r="P246" s="41" t="n">
        <f aca="false">IF(ISNUMBER($K246),$K246-$D246-IF(ISNUMBER($E246),$E246,0)-$L246-$M246-$N246-$O246,"")</f>
        <v>27.7777777777778</v>
      </c>
      <c r="Q246" s="42" t="n">
        <f aca="false">IF(AND(ISNUMBER($K246),$K246&gt;0),$P246/$K246,"")</f>
        <v>0.2</v>
      </c>
      <c r="R246" s="43"/>
      <c r="S246" s="44" t="str">
        <f aca="false">IF(OR(NOT(ISNUMBER($R246)),$R246=0,NOT(ISNUMBER($K246))),"",$K246*(1-$R246))</f>
        <v/>
      </c>
      <c r="T246" s="45" t="str">
        <f aca="false">IF(ISNUMBER($S246),$S246*$H246,"")</f>
        <v/>
      </c>
      <c r="U246" s="45" t="str">
        <f aca="false">IF(ISNUMBER($S246),$S246*Parâmetros!$B$4,"")</f>
        <v/>
      </c>
      <c r="V246" s="45" t="str">
        <f aca="false">IF(ISNUMBER($S246),$S246*Parâmetros!$C$4,"")</f>
        <v/>
      </c>
      <c r="W246" s="44" t="str">
        <f aca="false">IF(ISNUMBER($S246),$S246-$D246-IF(ISNUMBER($E246),$E246,0)-$O246-$T246-$U246-$V246,"")</f>
        <v/>
      </c>
      <c r="X246" s="46" t="str">
        <f aca="false">IF(AND(ISNUMBER($S246),$S246&gt;0),$W246/$S246,"")</f>
        <v/>
      </c>
      <c r="Y246" s="47"/>
      <c r="Z246" s="19"/>
    </row>
    <row r="247" customFormat="false" ht="15.75" hidden="false" customHeight="true" outlineLevel="0" collapsed="false">
      <c r="A247" s="48" t="str">
        <f aca="false">IF(Produtos!$A247="","",Produtos!$A247)</f>
        <v>L2450-CZ</v>
      </c>
      <c r="B247" s="48" t="str">
        <f aca="false">IF(Produtos!$A247="","",Produtos!$B247)</f>
        <v>Lixeira Cinzeiro Aço Inox 24x50 25L</v>
      </c>
      <c r="C247" s="48" t="str">
        <f aca="false">IF(Produtos!$A247="","",Produtos!$C247)</f>
        <v>Bituqueiras e cinzeiros</v>
      </c>
      <c r="D247" s="33" t="n">
        <f aca="false">IF(Produtos!$A247="","",IF(Produtos!$D247="","",Produtos!$D247))</f>
        <v>156</v>
      </c>
      <c r="E247" s="11" t="n">
        <v>40.85</v>
      </c>
      <c r="F247" s="34" t="n">
        <f aca="false">IF($A247="","",IF($C247="","⚠ categoria",IFERROR(INDEX(Parâmetros!$B$13:$B$22,MATCH($C247,Parâmetros!$A$13:$A$22,0)),"⚠ categoria")))</f>
        <v>0.13</v>
      </c>
      <c r="G247" s="35" t="n">
        <v>0.105</v>
      </c>
      <c r="H247" s="36" t="n">
        <f aca="false">IF($A247="","",IF(ISNUMBER($G247),$G247,IF(ISNUMBER($F247),$F247,"")))</f>
        <v>0.105</v>
      </c>
      <c r="I247" s="37" t="n">
        <f aca="false">IF(OR($A247="",NOT(ISNUMBER($D247)),NOT(ISNUMBER($H247))),"",IF((1-$H247-Parâmetros!$B$4-Parâmetros!$C$4-Parâmetros!$D$4)&lt;=0,"INVALIDO",($D247+IF(ISNUMBER($E247),$E247,0)+IF(ISNUMBER(Parâmetros!$E$4),Parâmetros!$E$4,0))/(1-$H247-Parâmetros!$B$4-Parâmetros!$C$4-Parâmetros!$D$4)))</f>
        <v>348.407079646018</v>
      </c>
      <c r="J247" s="38" t="n">
        <v>349.7086875</v>
      </c>
      <c r="K247" s="39" t="n">
        <f aca="false">IF(OR($A247="",NOT(ISNUMBER($D247)),NOT(ISNUMBER($H247))),"",IF(AND(ISNUMBER($J247),$J247&gt;0),$J247,IF(ISNUMBER($I247),$I247,"")))</f>
        <v>349.7086875</v>
      </c>
      <c r="L247" s="40" t="n">
        <f aca="false">IF(ISNUMBER($K247),$K247*$H247,"")</f>
        <v>36.7194121875</v>
      </c>
      <c r="M247" s="40" t="n">
        <f aca="false">IF(ISNUMBER($K247),$K247*Parâmetros!$B$4,"")</f>
        <v>34.97086875</v>
      </c>
      <c r="N247" s="40" t="n">
        <f aca="false">IF(ISNUMBER($K247),$K247*Parâmetros!$C$4,"")</f>
        <v>10.491260625</v>
      </c>
      <c r="O247" s="40" t="n">
        <f aca="false">IF(ISNUMBER($K247),IF(ISNUMBER(Parâmetros!$E$4),Parâmetros!$E$4,0),"")</f>
        <v>0</v>
      </c>
      <c r="P247" s="41" t="n">
        <f aca="false">IF(ISNUMBER($K247),$K247-$D247-IF(ISNUMBER($E247),$E247,0)-$L247-$M247-$N247-$O247,"")</f>
        <v>70.6771459375</v>
      </c>
      <c r="Q247" s="42" t="n">
        <f aca="false">IF(AND(ISNUMBER($K247),$K247&gt;0),$P247/$K247,"")</f>
        <v>0.20210291726739</v>
      </c>
      <c r="R247" s="43"/>
      <c r="S247" s="44" t="str">
        <f aca="false">IF(OR(NOT(ISNUMBER($R247)),$R247=0,NOT(ISNUMBER($K247))),"",$K247*(1-$R247))</f>
        <v/>
      </c>
      <c r="T247" s="45" t="str">
        <f aca="false">IF(ISNUMBER($S247),$S247*$H247,"")</f>
        <v/>
      </c>
      <c r="U247" s="45" t="str">
        <f aca="false">IF(ISNUMBER($S247),$S247*Parâmetros!$B$4,"")</f>
        <v/>
      </c>
      <c r="V247" s="45" t="str">
        <f aca="false">IF(ISNUMBER($S247),$S247*Parâmetros!$C$4,"")</f>
        <v/>
      </c>
      <c r="W247" s="44" t="str">
        <f aca="false">IF(ISNUMBER($S247),$S247-$D247-IF(ISNUMBER($E247),$E247,0)-$O247-$T247-$U247-$V247,"")</f>
        <v/>
      </c>
      <c r="X247" s="46" t="str">
        <f aca="false">IF(AND(ISNUMBER($S247),$S247&gt;0),$W247/$S247,"")</f>
        <v/>
      </c>
      <c r="Y247" s="49" t="s">
        <v>744</v>
      </c>
      <c r="Z247" s="21"/>
    </row>
    <row r="248" customFormat="false" ht="15.75" hidden="false" customHeight="true" outlineLevel="0" collapsed="false">
      <c r="A248" s="32" t="str">
        <f aca="false">IF(Produtos!$A248="","",Produtos!$A248)</f>
        <v>L2460-CZ</v>
      </c>
      <c r="B248" s="32" t="str">
        <f aca="false">IF(Produtos!$A248="","",Produtos!$B248)</f>
        <v>Lixeira Cinzeiro Aço Inox 24x60 27L</v>
      </c>
      <c r="C248" s="32" t="str">
        <f aca="false">IF(Produtos!$A248="","",Produtos!$C248)</f>
        <v>Bituqueiras e cinzeiros</v>
      </c>
      <c r="D248" s="33" t="n">
        <f aca="false">IF(Produtos!$A248="","",IF(Produtos!$D248="","",Produtos!$D248))</f>
        <v>159</v>
      </c>
      <c r="E248" s="11" t="n">
        <v>50.75</v>
      </c>
      <c r="F248" s="34" t="n">
        <f aca="false">IF($A248="","",IF($C248="","⚠ categoria",IFERROR(INDEX(Parâmetros!$B$13:$B$22,MATCH($C248,Parâmetros!$A$13:$A$22,0)),"⚠ categoria")))</f>
        <v>0.13</v>
      </c>
      <c r="G248" s="35" t="n">
        <v>0.105</v>
      </c>
      <c r="H248" s="36" t="n">
        <f aca="false">IF($A248="","",IF(ISNUMBER($G248),$G248,IF(ISNUMBER($F248),$F248,"")))</f>
        <v>0.105</v>
      </c>
      <c r="I248" s="37" t="n">
        <f aca="false">IF(OR($A248="",NOT(ISNUMBER($D248)),NOT(ISNUMBER($H248))),"",IF((1-$H248-Parâmetros!$B$4-Parâmetros!$C$4-Parâmetros!$D$4)&lt;=0,"INVALIDO",($D248+IF(ISNUMBER($E248),$E248,0)+IF(ISNUMBER(Parâmetros!$E$4),Parâmetros!$E$4,0))/(1-$H248-Parâmetros!$B$4-Parâmetros!$C$4-Parâmetros!$D$4)))</f>
        <v>371.238938053097</v>
      </c>
      <c r="J248" s="38" t="n">
        <v>362.88070875</v>
      </c>
      <c r="K248" s="39" t="n">
        <f aca="false">IF(OR($A248="",NOT(ISNUMBER($D248)),NOT(ISNUMBER($H248))),"",IF(AND(ISNUMBER($J248),$J248&gt;0),$J248,IF(ISNUMBER($I248),$I248,"")))</f>
        <v>362.88070875</v>
      </c>
      <c r="L248" s="40" t="n">
        <f aca="false">IF(ISNUMBER($K248),$K248*$H248,"")</f>
        <v>38.10247441875</v>
      </c>
      <c r="M248" s="40" t="n">
        <f aca="false">IF(ISNUMBER($K248),$K248*Parâmetros!$B$4,"")</f>
        <v>36.288070875</v>
      </c>
      <c r="N248" s="40" t="n">
        <f aca="false">IF(ISNUMBER($K248),$K248*Parâmetros!$C$4,"")</f>
        <v>10.8864212625</v>
      </c>
      <c r="O248" s="40" t="n">
        <f aca="false">IF(ISNUMBER($K248),IF(ISNUMBER(Parâmetros!$E$4),Parâmetros!$E$4,0),"")</f>
        <v>0</v>
      </c>
      <c r="P248" s="41" t="n">
        <f aca="false">IF(ISNUMBER($K248),$K248-$D248-IF(ISNUMBER($E248),$E248,0)-$L248-$M248-$N248-$O248,"")</f>
        <v>67.8537421937501</v>
      </c>
      <c r="Q248" s="42" t="n">
        <f aca="false">IF(AND(ISNUMBER($K248),$K248&gt;0),$P248/$K248,"")</f>
        <v>0.18698635820979</v>
      </c>
      <c r="R248" s="43"/>
      <c r="S248" s="44" t="str">
        <f aca="false">IF(OR(NOT(ISNUMBER($R248)),$R248=0,NOT(ISNUMBER($K248))),"",$K248*(1-$R248))</f>
        <v/>
      </c>
      <c r="T248" s="45" t="str">
        <f aca="false">IF(ISNUMBER($S248),$S248*$H248,"")</f>
        <v/>
      </c>
      <c r="U248" s="45" t="str">
        <f aca="false">IF(ISNUMBER($S248),$S248*Parâmetros!$B$4,"")</f>
        <v/>
      </c>
      <c r="V248" s="45" t="str">
        <f aca="false">IF(ISNUMBER($S248),$S248*Parâmetros!$C$4,"")</f>
        <v/>
      </c>
      <c r="W248" s="44" t="str">
        <f aca="false">IF(ISNUMBER($S248),$S248-$D248-IF(ISNUMBER($E248),$E248,0)-$O248-$T248-$U248-$V248,"")</f>
        <v/>
      </c>
      <c r="X248" s="46" t="str">
        <f aca="false">IF(AND(ISNUMBER($S248),$S248&gt;0),$W248/$S248,"")</f>
        <v/>
      </c>
      <c r="Y248" s="47" t="s">
        <v>744</v>
      </c>
      <c r="Z248" s="19"/>
    </row>
    <row r="249" customFormat="false" ht="15.75" hidden="false" customHeight="true" outlineLevel="0" collapsed="false">
      <c r="A249" s="48" t="str">
        <f aca="false">IF(Produtos!$A249="","",Produtos!$A249)</f>
        <v>L2470-CZ</v>
      </c>
      <c r="B249" s="48" t="str">
        <f aca="false">IF(Produtos!$A249="","",Produtos!$B249)</f>
        <v>Lixeira Cinzeiro Aço Inox 24x70 30L</v>
      </c>
      <c r="C249" s="48" t="str">
        <f aca="false">IF(Produtos!$A249="","",Produtos!$C249)</f>
        <v>Bituqueiras e cinzeiros</v>
      </c>
      <c r="D249" s="33" t="n">
        <f aca="false">IF(Produtos!$A249="","",IF(Produtos!$D249="","",Produtos!$D249))</f>
        <v>164.3</v>
      </c>
      <c r="E249" s="11" t="n">
        <v>50.75</v>
      </c>
      <c r="F249" s="34" t="n">
        <f aca="false">IF($A249="","",IF($C249="","⚠ categoria",IFERROR(INDEX(Parâmetros!$B$13:$B$22,MATCH($C249,Parâmetros!$A$13:$A$22,0)),"⚠ categoria")))</f>
        <v>0.13</v>
      </c>
      <c r="G249" s="35" t="n">
        <v>0.105</v>
      </c>
      <c r="H249" s="36" t="n">
        <f aca="false">IF($A249="","",IF(ISNUMBER($G249),$G249,IF(ISNUMBER($F249),$F249,"")))</f>
        <v>0.105</v>
      </c>
      <c r="I249" s="37" t="n">
        <f aca="false">IF(OR($A249="",NOT(ISNUMBER($D249)),NOT(ISNUMBER($H249))),"",IF((1-$H249-Parâmetros!$B$4-Parâmetros!$C$4-Parâmetros!$D$4)&lt;=0,"INVALIDO",($D249+IF(ISNUMBER($E249),$E249,0)+IF(ISNUMBER(Parâmetros!$E$4),Parâmetros!$E$4,0))/(1-$H249-Parâmetros!$B$4-Parâmetros!$C$4-Parâmetros!$D$4)))</f>
        <v>380.619469026549</v>
      </c>
      <c r="J249" s="38" t="n">
        <v>380.766015</v>
      </c>
      <c r="K249" s="39" t="n">
        <f aca="false">IF(OR($A249="",NOT(ISNUMBER($D249)),NOT(ISNUMBER($H249))),"",IF(AND(ISNUMBER($J249),$J249&gt;0),$J249,IF(ISNUMBER($I249),$I249,"")))</f>
        <v>380.766015</v>
      </c>
      <c r="L249" s="40" t="n">
        <f aca="false">IF(ISNUMBER($K249),$K249*$H249,"")</f>
        <v>39.980431575</v>
      </c>
      <c r="M249" s="40" t="n">
        <f aca="false">IF(ISNUMBER($K249),$K249*Parâmetros!$B$4,"")</f>
        <v>38.0766015</v>
      </c>
      <c r="N249" s="40" t="n">
        <f aca="false">IF(ISNUMBER($K249),$K249*Parâmetros!$C$4,"")</f>
        <v>11.42298045</v>
      </c>
      <c r="O249" s="40" t="n">
        <f aca="false">IF(ISNUMBER($K249),IF(ISNUMBER(Parâmetros!$E$4),Parâmetros!$E$4,0),"")</f>
        <v>0</v>
      </c>
      <c r="P249" s="41" t="n">
        <f aca="false">IF(ISNUMBER($K249),$K249-$D249-IF(ISNUMBER($E249),$E249,0)-$L249-$M249-$N249-$O249,"")</f>
        <v>76.2360014750001</v>
      </c>
      <c r="Q249" s="42" t="n">
        <f aca="false">IF(AND(ISNUMBER($K249),$K249&gt;0),$P249/$K249,"")</f>
        <v>0.200217452376888</v>
      </c>
      <c r="R249" s="43"/>
      <c r="S249" s="44" t="str">
        <f aca="false">IF(OR(NOT(ISNUMBER($R249)),$R249=0,NOT(ISNUMBER($K249))),"",$K249*(1-$R249))</f>
        <v/>
      </c>
      <c r="T249" s="45" t="str">
        <f aca="false">IF(ISNUMBER($S249),$S249*$H249,"")</f>
        <v/>
      </c>
      <c r="U249" s="45" t="str">
        <f aca="false">IF(ISNUMBER($S249),$S249*Parâmetros!$B$4,"")</f>
        <v/>
      </c>
      <c r="V249" s="45" t="str">
        <f aca="false">IF(ISNUMBER($S249),$S249*Parâmetros!$C$4,"")</f>
        <v/>
      </c>
      <c r="W249" s="44" t="str">
        <f aca="false">IF(ISNUMBER($S249),$S249-$D249-IF(ISNUMBER($E249),$E249,0)-$O249-$T249-$U249-$V249,"")</f>
        <v/>
      </c>
      <c r="X249" s="46" t="str">
        <f aca="false">IF(AND(ISNUMBER($S249),$S249&gt;0),$W249/$S249,"")</f>
        <v/>
      </c>
      <c r="Y249" s="49" t="s">
        <v>744</v>
      </c>
      <c r="Z249" s="21"/>
    </row>
    <row r="250" customFormat="false" ht="15.75" hidden="false" customHeight="true" outlineLevel="0" collapsed="false">
      <c r="A250" s="32" t="str">
        <f aca="false">IF(Produtos!$A250="","",Produtos!$A250)</f>
        <v>L4045-P</v>
      </c>
      <c r="B250" s="32" t="str">
        <f aca="false">IF(Produtos!$A250="","",Produtos!$B250)</f>
        <v>Lixeira de Parede c/Aro 40x19x45 20L</v>
      </c>
      <c r="C250" s="32" t="str">
        <f aca="false">IF(Produtos!$A250="","",Produtos!$C250)</f>
        <v>Lixeiras em inox</v>
      </c>
      <c r="D250" s="33" t="n">
        <f aca="false">IF(Produtos!$A250="","",IF(Produtos!$D250="","",Produtos!$D250))</f>
        <v>277.43</v>
      </c>
      <c r="E250" s="11"/>
      <c r="F250" s="34" t="n">
        <f aca="false">IF($A250="","",IF($C250="","⚠ categoria",IFERROR(INDEX(Parâmetros!$B$13:$B$22,MATCH($C250,Parâmetros!$A$13:$A$22,0)),"⚠ categoria")))</f>
        <v>0.13</v>
      </c>
      <c r="G250" s="35"/>
      <c r="H250" s="36" t="n">
        <f aca="false">IF($A250="","",IF(ISNUMBER($G250),$G250,IF(ISNUMBER($F250),$F250,"")))</f>
        <v>0.13</v>
      </c>
      <c r="I250" s="37" t="n">
        <f aca="false">IF(OR($A250="",NOT(ISNUMBER($D250)),NOT(ISNUMBER($H250))),"",IF((1-$H250-Parâmetros!$B$4-Parâmetros!$C$4-Parâmetros!$D$4)&lt;=0,"INVALIDO",($D250+IF(ISNUMBER($E250),$E250,0)+IF(ISNUMBER(Parâmetros!$E$4),Parâmetros!$E$4,0))/(1-$H250-Parâmetros!$B$4-Parâmetros!$C$4-Parâmetros!$D$4)))</f>
        <v>513.759259259259</v>
      </c>
      <c r="J250" s="38"/>
      <c r="K250" s="39" t="n">
        <f aca="false">IF(OR($A250="",NOT(ISNUMBER($D250)),NOT(ISNUMBER($H250))),"",IF(AND(ISNUMBER($J250),$J250&gt;0),$J250,IF(ISNUMBER($I250),$I250,"")))</f>
        <v>513.759259259259</v>
      </c>
      <c r="L250" s="40" t="n">
        <f aca="false">IF(ISNUMBER($K250),$K250*$H250,"")</f>
        <v>66.7887037037037</v>
      </c>
      <c r="M250" s="40" t="n">
        <f aca="false">IF(ISNUMBER($K250),$K250*Parâmetros!$B$4,"")</f>
        <v>51.3759259259259</v>
      </c>
      <c r="N250" s="40" t="n">
        <f aca="false">IF(ISNUMBER($K250),$K250*Parâmetros!$C$4,"")</f>
        <v>15.4127777777778</v>
      </c>
      <c r="O250" s="40" t="n">
        <f aca="false">IF(ISNUMBER($K250),IF(ISNUMBER(Parâmetros!$E$4),Parâmetros!$E$4,0),"")</f>
        <v>0</v>
      </c>
      <c r="P250" s="41" t="n">
        <f aca="false">IF(ISNUMBER($K250),$K250-$D250-IF(ISNUMBER($E250),$E250,0)-$L250-$M250-$N250-$O250,"")</f>
        <v>102.751851851852</v>
      </c>
      <c r="Q250" s="42" t="n">
        <f aca="false">IF(AND(ISNUMBER($K250),$K250&gt;0),$P250/$K250,"")</f>
        <v>0.2</v>
      </c>
      <c r="R250" s="43"/>
      <c r="S250" s="44" t="str">
        <f aca="false">IF(OR(NOT(ISNUMBER($R250)),$R250=0,NOT(ISNUMBER($K250))),"",$K250*(1-$R250))</f>
        <v/>
      </c>
      <c r="T250" s="45" t="str">
        <f aca="false">IF(ISNUMBER($S250),$S250*$H250,"")</f>
        <v/>
      </c>
      <c r="U250" s="45" t="str">
        <f aca="false">IF(ISNUMBER($S250),$S250*Parâmetros!$B$4,"")</f>
        <v/>
      </c>
      <c r="V250" s="45" t="str">
        <f aca="false">IF(ISNUMBER($S250),$S250*Parâmetros!$C$4,"")</f>
        <v/>
      </c>
      <c r="W250" s="44" t="str">
        <f aca="false">IF(ISNUMBER($S250),$S250-$D250-IF(ISNUMBER($E250),$E250,0)-$O250-$T250-$U250-$V250,"")</f>
        <v/>
      </c>
      <c r="X250" s="46" t="str">
        <f aca="false">IF(AND(ISNUMBER($S250),$S250&gt;0),$W250/$S250,"")</f>
        <v/>
      </c>
      <c r="Y250" s="47"/>
      <c r="Z250" s="19"/>
    </row>
    <row r="251" customFormat="false" ht="15.75" hidden="false" customHeight="true" outlineLevel="0" collapsed="false">
      <c r="A251" s="48" t="str">
        <f aca="false">IF(Produtos!$A251="","",Produtos!$A251)</f>
        <v>L4055-P</v>
      </c>
      <c r="B251" s="48" t="str">
        <f aca="false">IF(Produtos!$A251="","",Produtos!$B251)</f>
        <v>Lixeira de Parede c/Aro 40x19x55 25L</v>
      </c>
      <c r="C251" s="48" t="str">
        <f aca="false">IF(Produtos!$A251="","",Produtos!$C251)</f>
        <v>Lixeiras em inox</v>
      </c>
      <c r="D251" s="33" t="n">
        <f aca="false">IF(Produtos!$A251="","",IF(Produtos!$D251="","",Produtos!$D251))</f>
        <v>288.65</v>
      </c>
      <c r="E251" s="11"/>
      <c r="F251" s="34" t="n">
        <f aca="false">IF($A251="","",IF($C251="","⚠ categoria",IFERROR(INDEX(Parâmetros!$B$13:$B$22,MATCH($C251,Parâmetros!$A$13:$A$22,0)),"⚠ categoria")))</f>
        <v>0.13</v>
      </c>
      <c r="G251" s="35"/>
      <c r="H251" s="36" t="n">
        <f aca="false">IF($A251="","",IF(ISNUMBER($G251),$G251,IF(ISNUMBER($F251),$F251,"")))</f>
        <v>0.13</v>
      </c>
      <c r="I251" s="37" t="n">
        <f aca="false">IF(OR($A251="",NOT(ISNUMBER($D251)),NOT(ISNUMBER($H251))),"",IF((1-$H251-Parâmetros!$B$4-Parâmetros!$C$4-Parâmetros!$D$4)&lt;=0,"INVALIDO",($D251+IF(ISNUMBER($E251),$E251,0)+IF(ISNUMBER(Parâmetros!$E$4),Parâmetros!$E$4,0))/(1-$H251-Parâmetros!$B$4-Parâmetros!$C$4-Parâmetros!$D$4)))</f>
        <v>534.537037037037</v>
      </c>
      <c r="J251" s="38"/>
      <c r="K251" s="39" t="n">
        <f aca="false">IF(OR($A251="",NOT(ISNUMBER($D251)),NOT(ISNUMBER($H251))),"",IF(AND(ISNUMBER($J251),$J251&gt;0),$J251,IF(ISNUMBER($I251),$I251,"")))</f>
        <v>534.537037037037</v>
      </c>
      <c r="L251" s="40" t="n">
        <f aca="false">IF(ISNUMBER($K251),$K251*$H251,"")</f>
        <v>69.4898148148148</v>
      </c>
      <c r="M251" s="40" t="n">
        <f aca="false">IF(ISNUMBER($K251),$K251*Parâmetros!$B$4,"")</f>
        <v>53.4537037037037</v>
      </c>
      <c r="N251" s="40" t="n">
        <f aca="false">IF(ISNUMBER($K251),$K251*Parâmetros!$C$4,"")</f>
        <v>16.0361111111111</v>
      </c>
      <c r="O251" s="40" t="n">
        <f aca="false">IF(ISNUMBER($K251),IF(ISNUMBER(Parâmetros!$E$4),Parâmetros!$E$4,0),"")</f>
        <v>0</v>
      </c>
      <c r="P251" s="41" t="n">
        <f aca="false">IF(ISNUMBER($K251),$K251-$D251-IF(ISNUMBER($E251),$E251,0)-$L251-$M251-$N251-$O251,"")</f>
        <v>106.907407407407</v>
      </c>
      <c r="Q251" s="42" t="n">
        <f aca="false">IF(AND(ISNUMBER($K251),$K251&gt;0),$P251/$K251,"")</f>
        <v>0.2</v>
      </c>
      <c r="R251" s="43"/>
      <c r="S251" s="44" t="str">
        <f aca="false">IF(OR(NOT(ISNUMBER($R251)),$R251=0,NOT(ISNUMBER($K251))),"",$K251*(1-$R251))</f>
        <v/>
      </c>
      <c r="T251" s="45" t="str">
        <f aca="false">IF(ISNUMBER($S251),$S251*$H251,"")</f>
        <v/>
      </c>
      <c r="U251" s="45" t="str">
        <f aca="false">IF(ISNUMBER($S251),$S251*Parâmetros!$B$4,"")</f>
        <v/>
      </c>
      <c r="V251" s="45" t="str">
        <f aca="false">IF(ISNUMBER($S251),$S251*Parâmetros!$C$4,"")</f>
        <v/>
      </c>
      <c r="W251" s="44" t="str">
        <f aca="false">IF(ISNUMBER($S251),$S251-$D251-IF(ISNUMBER($E251),$E251,0)-$O251-$T251-$U251-$V251,"")</f>
        <v/>
      </c>
      <c r="X251" s="46" t="str">
        <f aca="false">IF(AND(ISNUMBER($S251),$S251&gt;0),$W251/$S251,"")</f>
        <v/>
      </c>
      <c r="Y251" s="49"/>
      <c r="Z251" s="21"/>
    </row>
    <row r="252" customFormat="false" ht="15.75" hidden="false" customHeight="true" outlineLevel="0" collapsed="false">
      <c r="A252" s="32" t="str">
        <f aca="false">IF(Produtos!$A252="","",Produtos!$A252)</f>
        <v>L4060-P</v>
      </c>
      <c r="B252" s="32" t="str">
        <f aca="false">IF(Produtos!$A252="","",Produtos!$B252)</f>
        <v>Lixeira de Parede c/Aro 40x19x60 30L</v>
      </c>
      <c r="C252" s="32" t="str">
        <f aca="false">IF(Produtos!$A252="","",Produtos!$C252)</f>
        <v>Lixeiras em inox</v>
      </c>
      <c r="D252" s="33" t="n">
        <f aca="false">IF(Produtos!$A252="","",IF(Produtos!$D252="","",Produtos!$D252))</f>
        <v>297.96</v>
      </c>
      <c r="E252" s="11"/>
      <c r="F252" s="34" t="n">
        <f aca="false">IF($A252="","",IF($C252="","⚠ categoria",IFERROR(INDEX(Parâmetros!$B$13:$B$22,MATCH($C252,Parâmetros!$A$13:$A$22,0)),"⚠ categoria")))</f>
        <v>0.13</v>
      </c>
      <c r="G252" s="35"/>
      <c r="H252" s="36" t="n">
        <f aca="false">IF($A252="","",IF(ISNUMBER($G252),$G252,IF(ISNUMBER($F252),$F252,"")))</f>
        <v>0.13</v>
      </c>
      <c r="I252" s="37" t="n">
        <f aca="false">IF(OR($A252="",NOT(ISNUMBER($D252)),NOT(ISNUMBER($H252))),"",IF((1-$H252-Parâmetros!$B$4-Parâmetros!$C$4-Parâmetros!$D$4)&lt;=0,"INVALIDO",($D252+IF(ISNUMBER($E252),$E252,0)+IF(ISNUMBER(Parâmetros!$E$4),Parâmetros!$E$4,0))/(1-$H252-Parâmetros!$B$4-Parâmetros!$C$4-Parâmetros!$D$4)))</f>
        <v>551.777777777778</v>
      </c>
      <c r="J252" s="38"/>
      <c r="K252" s="39" t="n">
        <f aca="false">IF(OR($A252="",NOT(ISNUMBER($D252)),NOT(ISNUMBER($H252))),"",IF(AND(ISNUMBER($J252),$J252&gt;0),$J252,IF(ISNUMBER($I252),$I252,"")))</f>
        <v>551.777777777778</v>
      </c>
      <c r="L252" s="40" t="n">
        <f aca="false">IF(ISNUMBER($K252),$K252*$H252,"")</f>
        <v>71.7311111111111</v>
      </c>
      <c r="M252" s="40" t="n">
        <f aca="false">IF(ISNUMBER($K252),$K252*Parâmetros!$B$4,"")</f>
        <v>55.1777777777778</v>
      </c>
      <c r="N252" s="40" t="n">
        <f aca="false">IF(ISNUMBER($K252),$K252*Parâmetros!$C$4,"")</f>
        <v>16.5533333333333</v>
      </c>
      <c r="O252" s="40" t="n">
        <f aca="false">IF(ISNUMBER($K252),IF(ISNUMBER(Parâmetros!$E$4),Parâmetros!$E$4,0),"")</f>
        <v>0</v>
      </c>
      <c r="P252" s="41" t="n">
        <f aca="false">IF(ISNUMBER($K252),$K252-$D252-IF(ISNUMBER($E252),$E252,0)-$L252-$M252-$N252-$O252,"")</f>
        <v>110.355555555556</v>
      </c>
      <c r="Q252" s="42" t="n">
        <f aca="false">IF(AND(ISNUMBER($K252),$K252&gt;0),$P252/$K252,"")</f>
        <v>0.2</v>
      </c>
      <c r="R252" s="43"/>
      <c r="S252" s="44" t="str">
        <f aca="false">IF(OR(NOT(ISNUMBER($R252)),$R252=0,NOT(ISNUMBER($K252))),"",$K252*(1-$R252))</f>
        <v/>
      </c>
      <c r="T252" s="45" t="str">
        <f aca="false">IF(ISNUMBER($S252),$S252*$H252,"")</f>
        <v/>
      </c>
      <c r="U252" s="45" t="str">
        <f aca="false">IF(ISNUMBER($S252),$S252*Parâmetros!$B$4,"")</f>
        <v/>
      </c>
      <c r="V252" s="45" t="str">
        <f aca="false">IF(ISNUMBER($S252),$S252*Parâmetros!$C$4,"")</f>
        <v/>
      </c>
      <c r="W252" s="44" t="str">
        <f aca="false">IF(ISNUMBER($S252),$S252-$D252-IF(ISNUMBER($E252),$E252,0)-$O252-$T252-$U252-$V252,"")</f>
        <v/>
      </c>
      <c r="X252" s="46" t="str">
        <f aca="false">IF(AND(ISNUMBER($S252),$S252&gt;0),$W252/$S252,"")</f>
        <v/>
      </c>
      <c r="Y252" s="47"/>
      <c r="Z252" s="19"/>
    </row>
    <row r="253" customFormat="false" ht="15.75" hidden="false" customHeight="true" outlineLevel="0" collapsed="false">
      <c r="A253" s="48" t="str">
        <f aca="false">IF(Produtos!$A253="","",Produtos!$A253)</f>
        <v>L4065-P</v>
      </c>
      <c r="B253" s="48" t="str">
        <f aca="false">IF(Produtos!$A253="","",Produtos!$B253)</f>
        <v>Lixeira de Parede c/Aro 40x19x65 35L</v>
      </c>
      <c r="C253" s="48" t="str">
        <f aca="false">IF(Produtos!$A253="","",Produtos!$C253)</f>
        <v>Lixeiras em inox</v>
      </c>
      <c r="D253" s="33" t="n">
        <f aca="false">IF(Produtos!$A253="","",IF(Produtos!$D253="","",Produtos!$D253))</f>
        <v>388.44</v>
      </c>
      <c r="E253" s="11"/>
      <c r="F253" s="34" t="n">
        <f aca="false">IF($A253="","",IF($C253="","⚠ categoria",IFERROR(INDEX(Parâmetros!$B$13:$B$22,MATCH($C253,Parâmetros!$A$13:$A$22,0)),"⚠ categoria")))</f>
        <v>0.13</v>
      </c>
      <c r="G253" s="35"/>
      <c r="H253" s="36" t="n">
        <f aca="false">IF($A253="","",IF(ISNUMBER($G253),$G253,IF(ISNUMBER($F253),$F253,"")))</f>
        <v>0.13</v>
      </c>
      <c r="I253" s="37" t="n">
        <f aca="false">IF(OR($A253="",NOT(ISNUMBER($D253)),NOT(ISNUMBER($H253))),"",IF((1-$H253-Parâmetros!$B$4-Parâmetros!$C$4-Parâmetros!$D$4)&lt;=0,"INVALIDO",($D253+IF(ISNUMBER($E253),$E253,0)+IF(ISNUMBER(Parâmetros!$E$4),Parâmetros!$E$4,0))/(1-$H253-Parâmetros!$B$4-Parâmetros!$C$4-Parâmetros!$D$4)))</f>
        <v>719.333333333333</v>
      </c>
      <c r="J253" s="38"/>
      <c r="K253" s="39" t="n">
        <f aca="false">IF(OR($A253="",NOT(ISNUMBER($D253)),NOT(ISNUMBER($H253))),"",IF(AND(ISNUMBER($J253),$J253&gt;0),$J253,IF(ISNUMBER($I253),$I253,"")))</f>
        <v>719.333333333333</v>
      </c>
      <c r="L253" s="40" t="n">
        <f aca="false">IF(ISNUMBER($K253),$K253*$H253,"")</f>
        <v>93.5133333333333</v>
      </c>
      <c r="M253" s="40" t="n">
        <f aca="false">IF(ISNUMBER($K253),$K253*Parâmetros!$B$4,"")</f>
        <v>71.9333333333333</v>
      </c>
      <c r="N253" s="40" t="n">
        <f aca="false">IF(ISNUMBER($K253),$K253*Parâmetros!$C$4,"")</f>
        <v>21.58</v>
      </c>
      <c r="O253" s="40" t="n">
        <f aca="false">IF(ISNUMBER($K253),IF(ISNUMBER(Parâmetros!$E$4),Parâmetros!$E$4,0),"")</f>
        <v>0</v>
      </c>
      <c r="P253" s="41" t="n">
        <f aca="false">IF(ISNUMBER($K253),$K253-$D253-IF(ISNUMBER($E253),$E253,0)-$L253-$M253-$N253-$O253,"")</f>
        <v>143.866666666667</v>
      </c>
      <c r="Q253" s="42" t="n">
        <f aca="false">IF(AND(ISNUMBER($K253),$K253&gt;0),$P253/$K253,"")</f>
        <v>0.2</v>
      </c>
      <c r="R253" s="43"/>
      <c r="S253" s="44" t="str">
        <f aca="false">IF(OR(NOT(ISNUMBER($R253)),$R253=0,NOT(ISNUMBER($K253))),"",$K253*(1-$R253))</f>
        <v/>
      </c>
      <c r="T253" s="45" t="str">
        <f aca="false">IF(ISNUMBER($S253),$S253*$H253,"")</f>
        <v/>
      </c>
      <c r="U253" s="45" t="str">
        <f aca="false">IF(ISNUMBER($S253),$S253*Parâmetros!$B$4,"")</f>
        <v/>
      </c>
      <c r="V253" s="45" t="str">
        <f aca="false">IF(ISNUMBER($S253),$S253*Parâmetros!$C$4,"")</f>
        <v/>
      </c>
      <c r="W253" s="44" t="str">
        <f aca="false">IF(ISNUMBER($S253),$S253-$D253-IF(ISNUMBER($E253),$E253,0)-$O253-$T253-$U253-$V253,"")</f>
        <v/>
      </c>
      <c r="X253" s="46" t="str">
        <f aca="false">IF(AND(ISNUMBER($S253),$S253&gt;0),$W253/$S253,"")</f>
        <v/>
      </c>
      <c r="Y253" s="49"/>
      <c r="Z253" s="21"/>
    </row>
    <row r="254" customFormat="false" ht="15.75" hidden="false" customHeight="true" outlineLevel="0" collapsed="false">
      <c r="A254" s="32" t="str">
        <f aca="false">IF(Produtos!$A254="","",Produtos!$A254)</f>
        <v>L4070-P</v>
      </c>
      <c r="B254" s="32" t="str">
        <f aca="false">IF(Produtos!$A254="","",Produtos!$B254)</f>
        <v>Lixeira de Parede c/Aro 40x19x70 40L</v>
      </c>
      <c r="C254" s="32" t="str">
        <f aca="false">IF(Produtos!$A254="","",Produtos!$C254)</f>
        <v>Lixeiras em inox</v>
      </c>
      <c r="D254" s="33" t="n">
        <f aca="false">IF(Produtos!$A254="","",IF(Produtos!$D254="","",Produtos!$D254))</f>
        <v>394.64</v>
      </c>
      <c r="E254" s="11"/>
      <c r="F254" s="34" t="n">
        <f aca="false">IF($A254="","",IF($C254="","⚠ categoria",IFERROR(INDEX(Parâmetros!$B$13:$B$22,MATCH($C254,Parâmetros!$A$13:$A$22,0)),"⚠ categoria")))</f>
        <v>0.13</v>
      </c>
      <c r="G254" s="35"/>
      <c r="H254" s="36" t="n">
        <f aca="false">IF($A254="","",IF(ISNUMBER($G254),$G254,IF(ISNUMBER($F254),$F254,"")))</f>
        <v>0.13</v>
      </c>
      <c r="I254" s="37" t="n">
        <f aca="false">IF(OR($A254="",NOT(ISNUMBER($D254)),NOT(ISNUMBER($H254))),"",IF((1-$H254-Parâmetros!$B$4-Parâmetros!$C$4-Parâmetros!$D$4)&lt;=0,"INVALIDO",($D254+IF(ISNUMBER($E254),$E254,0)+IF(ISNUMBER(Parâmetros!$E$4),Parâmetros!$E$4,0))/(1-$H254-Parâmetros!$B$4-Parâmetros!$C$4-Parâmetros!$D$4)))</f>
        <v>730.814814814815</v>
      </c>
      <c r="J254" s="38"/>
      <c r="K254" s="39" t="n">
        <f aca="false">IF(OR($A254="",NOT(ISNUMBER($D254)),NOT(ISNUMBER($H254))),"",IF(AND(ISNUMBER($J254),$J254&gt;0),$J254,IF(ISNUMBER($I254),$I254,"")))</f>
        <v>730.814814814815</v>
      </c>
      <c r="L254" s="40" t="n">
        <f aca="false">IF(ISNUMBER($K254),$K254*$H254,"")</f>
        <v>95.0059259259259</v>
      </c>
      <c r="M254" s="40" t="n">
        <f aca="false">IF(ISNUMBER($K254),$K254*Parâmetros!$B$4,"")</f>
        <v>73.0814814814815</v>
      </c>
      <c r="N254" s="40" t="n">
        <f aca="false">IF(ISNUMBER($K254),$K254*Parâmetros!$C$4,"")</f>
        <v>21.9244444444444</v>
      </c>
      <c r="O254" s="40" t="n">
        <f aca="false">IF(ISNUMBER($K254),IF(ISNUMBER(Parâmetros!$E$4),Parâmetros!$E$4,0),"")</f>
        <v>0</v>
      </c>
      <c r="P254" s="41" t="n">
        <f aca="false">IF(ISNUMBER($K254),$K254-$D254-IF(ISNUMBER($E254),$E254,0)-$L254-$M254-$N254-$O254,"")</f>
        <v>146.162962962963</v>
      </c>
      <c r="Q254" s="42" t="n">
        <f aca="false">IF(AND(ISNUMBER($K254),$K254&gt;0),$P254/$K254,"")</f>
        <v>0.2</v>
      </c>
      <c r="R254" s="43"/>
      <c r="S254" s="44" t="str">
        <f aca="false">IF(OR(NOT(ISNUMBER($R254)),$R254=0,NOT(ISNUMBER($K254))),"",$K254*(1-$R254))</f>
        <v/>
      </c>
      <c r="T254" s="45" t="str">
        <f aca="false">IF(ISNUMBER($S254),$S254*$H254,"")</f>
        <v/>
      </c>
      <c r="U254" s="45" t="str">
        <f aca="false">IF(ISNUMBER($S254),$S254*Parâmetros!$B$4,"")</f>
        <v/>
      </c>
      <c r="V254" s="45" t="str">
        <f aca="false">IF(ISNUMBER($S254),$S254*Parâmetros!$C$4,"")</f>
        <v/>
      </c>
      <c r="W254" s="44" t="str">
        <f aca="false">IF(ISNUMBER($S254),$S254-$D254-IF(ISNUMBER($E254),$E254,0)-$O254-$T254-$U254-$V254,"")</f>
        <v/>
      </c>
      <c r="X254" s="46" t="str">
        <f aca="false">IF(AND(ISNUMBER($S254),$S254&gt;0),$W254/$S254,"")</f>
        <v/>
      </c>
      <c r="Y254" s="47"/>
      <c r="Z254" s="19"/>
    </row>
    <row r="255" customFormat="false" ht="15.75" hidden="false" customHeight="true" outlineLevel="0" collapsed="false">
      <c r="A255" s="48" t="str">
        <f aca="false">IF(Produtos!$A255="","",Produtos!$A255)</f>
        <v>L4080-P</v>
      </c>
      <c r="B255" s="48" t="str">
        <f aca="false">IF(Produtos!$A255="","",Produtos!$B255)</f>
        <v>Lixeira de Parede c/Aro 40x19x80 50L</v>
      </c>
      <c r="C255" s="48" t="str">
        <f aca="false">IF(Produtos!$A255="","",Produtos!$C255)</f>
        <v>Lixeiras em inox</v>
      </c>
      <c r="D255" s="33" t="n">
        <f aca="false">IF(Produtos!$A255="","",IF(Produtos!$D255="","",Produtos!$D255))</f>
        <v>401</v>
      </c>
      <c r="E255" s="11"/>
      <c r="F255" s="34" t="n">
        <f aca="false">IF($A255="","",IF($C255="","⚠ categoria",IFERROR(INDEX(Parâmetros!$B$13:$B$22,MATCH($C255,Parâmetros!$A$13:$A$22,0)),"⚠ categoria")))</f>
        <v>0.13</v>
      </c>
      <c r="G255" s="35"/>
      <c r="H255" s="36" t="n">
        <f aca="false">IF($A255="","",IF(ISNUMBER($G255),$G255,IF(ISNUMBER($F255),$F255,"")))</f>
        <v>0.13</v>
      </c>
      <c r="I255" s="37" t="n">
        <f aca="false">IF(OR($A255="",NOT(ISNUMBER($D255)),NOT(ISNUMBER($H255))),"",IF((1-$H255-Parâmetros!$B$4-Parâmetros!$C$4-Parâmetros!$D$4)&lt;=0,"INVALIDO",($D255+IF(ISNUMBER($E255),$E255,0)+IF(ISNUMBER(Parâmetros!$E$4),Parâmetros!$E$4,0))/(1-$H255-Parâmetros!$B$4-Parâmetros!$C$4-Parâmetros!$D$4)))</f>
        <v>742.592592592593</v>
      </c>
      <c r="J255" s="38"/>
      <c r="K255" s="39" t="n">
        <f aca="false">IF(OR($A255="",NOT(ISNUMBER($D255)),NOT(ISNUMBER($H255))),"",IF(AND(ISNUMBER($J255),$J255&gt;0),$J255,IF(ISNUMBER($I255),$I255,"")))</f>
        <v>742.592592592593</v>
      </c>
      <c r="L255" s="40" t="n">
        <f aca="false">IF(ISNUMBER($K255),$K255*$H255,"")</f>
        <v>96.537037037037</v>
      </c>
      <c r="M255" s="40" t="n">
        <f aca="false">IF(ISNUMBER($K255),$K255*Parâmetros!$B$4,"")</f>
        <v>74.2592592592593</v>
      </c>
      <c r="N255" s="40" t="n">
        <f aca="false">IF(ISNUMBER($K255),$K255*Parâmetros!$C$4,"")</f>
        <v>22.2777777777778</v>
      </c>
      <c r="O255" s="40" t="n">
        <f aca="false">IF(ISNUMBER($K255),IF(ISNUMBER(Parâmetros!$E$4),Parâmetros!$E$4,0),"")</f>
        <v>0</v>
      </c>
      <c r="P255" s="41" t="n">
        <f aca="false">IF(ISNUMBER($K255),$K255-$D255-IF(ISNUMBER($E255),$E255,0)-$L255-$M255-$N255-$O255,"")</f>
        <v>148.518518518518</v>
      </c>
      <c r="Q255" s="42" t="n">
        <f aca="false">IF(AND(ISNUMBER($K255),$K255&gt;0),$P255/$K255,"")</f>
        <v>0.2</v>
      </c>
      <c r="R255" s="43"/>
      <c r="S255" s="44" t="str">
        <f aca="false">IF(OR(NOT(ISNUMBER($R255)),$R255=0,NOT(ISNUMBER($K255))),"",$K255*(1-$R255))</f>
        <v/>
      </c>
      <c r="T255" s="45" t="str">
        <f aca="false">IF(ISNUMBER($S255),$S255*$H255,"")</f>
        <v/>
      </c>
      <c r="U255" s="45" t="str">
        <f aca="false">IF(ISNUMBER($S255),$S255*Parâmetros!$B$4,"")</f>
        <v/>
      </c>
      <c r="V255" s="45" t="str">
        <f aca="false">IF(ISNUMBER($S255),$S255*Parâmetros!$C$4,"")</f>
        <v/>
      </c>
      <c r="W255" s="44" t="str">
        <f aca="false">IF(ISNUMBER($S255),$S255-$D255-IF(ISNUMBER($E255),$E255,0)-$O255-$T255-$U255-$V255,"")</f>
        <v/>
      </c>
      <c r="X255" s="46" t="str">
        <f aca="false">IF(AND(ISNUMBER($S255),$S255&gt;0),$W255/$S255,"")</f>
        <v/>
      </c>
      <c r="Y255" s="49"/>
      <c r="Z255" s="21"/>
    </row>
    <row r="256" customFormat="false" ht="15.75" hidden="false" customHeight="true" outlineLevel="0" collapsed="false">
      <c r="A256" s="32" t="str">
        <f aca="false">IF(Produtos!$A256="","",Produtos!$A256)</f>
        <v>L4045-PC</v>
      </c>
      <c r="B256" s="32" t="str">
        <f aca="false">IF(Produtos!$A256="","",Produtos!$B256)</f>
        <v>Lixeira de Parede c/Aro Colorido 40x19x45 20L</v>
      </c>
      <c r="C256" s="32" t="str">
        <f aca="false">IF(Produtos!$A256="","",Produtos!$C256)</f>
        <v>Lixeiras em inox</v>
      </c>
      <c r="D256" s="33" t="n">
        <f aca="false">IF(Produtos!$A256="","",IF(Produtos!$D256="","",Produtos!$D256))</f>
        <v>291.85</v>
      </c>
      <c r="E256" s="11"/>
      <c r="F256" s="34" t="n">
        <f aca="false">IF($A256="","",IF($C256="","⚠ categoria",IFERROR(INDEX(Parâmetros!$B$13:$B$22,MATCH($C256,Parâmetros!$A$13:$A$22,0)),"⚠ categoria")))</f>
        <v>0.13</v>
      </c>
      <c r="G256" s="35"/>
      <c r="H256" s="36" t="n">
        <f aca="false">IF($A256="","",IF(ISNUMBER($G256),$G256,IF(ISNUMBER($F256),$F256,"")))</f>
        <v>0.13</v>
      </c>
      <c r="I256" s="37" t="n">
        <f aca="false">IF(OR($A256="",NOT(ISNUMBER($D256)),NOT(ISNUMBER($H256))),"",IF((1-$H256-Parâmetros!$B$4-Parâmetros!$C$4-Parâmetros!$D$4)&lt;=0,"INVALIDO",($D256+IF(ISNUMBER($E256),$E256,0)+IF(ISNUMBER(Parâmetros!$E$4),Parâmetros!$E$4,0))/(1-$H256-Parâmetros!$B$4-Parâmetros!$C$4-Parâmetros!$D$4)))</f>
        <v>540.462962962963</v>
      </c>
      <c r="J256" s="38"/>
      <c r="K256" s="39" t="n">
        <f aca="false">IF(OR($A256="",NOT(ISNUMBER($D256)),NOT(ISNUMBER($H256))),"",IF(AND(ISNUMBER($J256),$J256&gt;0),$J256,IF(ISNUMBER($I256),$I256,"")))</f>
        <v>540.462962962963</v>
      </c>
      <c r="L256" s="40" t="n">
        <f aca="false">IF(ISNUMBER($K256),$K256*$H256,"")</f>
        <v>70.2601851851852</v>
      </c>
      <c r="M256" s="40" t="n">
        <f aca="false">IF(ISNUMBER($K256),$K256*Parâmetros!$B$4,"")</f>
        <v>54.0462962962963</v>
      </c>
      <c r="N256" s="40" t="n">
        <f aca="false">IF(ISNUMBER($K256),$K256*Parâmetros!$C$4,"")</f>
        <v>16.2138888888889</v>
      </c>
      <c r="O256" s="40" t="n">
        <f aca="false">IF(ISNUMBER($K256),IF(ISNUMBER(Parâmetros!$E$4),Parâmetros!$E$4,0),"")</f>
        <v>0</v>
      </c>
      <c r="P256" s="41" t="n">
        <f aca="false">IF(ISNUMBER($K256),$K256-$D256-IF(ISNUMBER($E256),$E256,0)-$L256-$M256-$N256-$O256,"")</f>
        <v>108.092592592593</v>
      </c>
      <c r="Q256" s="42" t="n">
        <f aca="false">IF(AND(ISNUMBER($K256),$K256&gt;0),$P256/$K256,"")</f>
        <v>0.2</v>
      </c>
      <c r="R256" s="43"/>
      <c r="S256" s="44" t="str">
        <f aca="false">IF(OR(NOT(ISNUMBER($R256)),$R256=0,NOT(ISNUMBER($K256))),"",$K256*(1-$R256))</f>
        <v/>
      </c>
      <c r="T256" s="45" t="str">
        <f aca="false">IF(ISNUMBER($S256),$S256*$H256,"")</f>
        <v/>
      </c>
      <c r="U256" s="45" t="str">
        <f aca="false">IF(ISNUMBER($S256),$S256*Parâmetros!$B$4,"")</f>
        <v/>
      </c>
      <c r="V256" s="45" t="str">
        <f aca="false">IF(ISNUMBER($S256),$S256*Parâmetros!$C$4,"")</f>
        <v/>
      </c>
      <c r="W256" s="44" t="str">
        <f aca="false">IF(ISNUMBER($S256),$S256-$D256-IF(ISNUMBER($E256),$E256,0)-$O256-$T256-$U256-$V256,"")</f>
        <v/>
      </c>
      <c r="X256" s="46" t="str">
        <f aca="false">IF(AND(ISNUMBER($S256),$S256&gt;0),$W256/$S256,"")</f>
        <v/>
      </c>
      <c r="Y256" s="47"/>
      <c r="Z256" s="19"/>
    </row>
    <row r="257" customFormat="false" ht="15.75" hidden="false" customHeight="true" outlineLevel="0" collapsed="false">
      <c r="A257" s="48" t="str">
        <f aca="false">IF(Produtos!$A257="","",Produtos!$A257)</f>
        <v>L4055-PC</v>
      </c>
      <c r="B257" s="48" t="str">
        <f aca="false">IF(Produtos!$A257="","",Produtos!$B257)</f>
        <v>Lixeira de Parede c/Aro Colorido 40x19x55 25L</v>
      </c>
      <c r="C257" s="48" t="str">
        <f aca="false">IF(Produtos!$A257="","",Produtos!$C257)</f>
        <v>Lixeiras em inox</v>
      </c>
      <c r="D257" s="33" t="n">
        <f aca="false">IF(Produtos!$A257="","",IF(Produtos!$D257="","",Produtos!$D257))</f>
        <v>301.44</v>
      </c>
      <c r="E257" s="11"/>
      <c r="F257" s="34" t="n">
        <f aca="false">IF($A257="","",IF($C257="","⚠ categoria",IFERROR(INDEX(Parâmetros!$B$13:$B$22,MATCH($C257,Parâmetros!$A$13:$A$22,0)),"⚠ categoria")))</f>
        <v>0.13</v>
      </c>
      <c r="G257" s="35"/>
      <c r="H257" s="36" t="n">
        <f aca="false">IF($A257="","",IF(ISNUMBER($G257),$G257,IF(ISNUMBER($F257),$F257,"")))</f>
        <v>0.13</v>
      </c>
      <c r="I257" s="37" t="n">
        <f aca="false">IF(OR($A257="",NOT(ISNUMBER($D257)),NOT(ISNUMBER($H257))),"",IF((1-$H257-Parâmetros!$B$4-Parâmetros!$C$4-Parâmetros!$D$4)&lt;=0,"INVALIDO",($D257+IF(ISNUMBER($E257),$E257,0)+IF(ISNUMBER(Parâmetros!$E$4),Parâmetros!$E$4,0))/(1-$H257-Parâmetros!$B$4-Parâmetros!$C$4-Parâmetros!$D$4)))</f>
        <v>558.222222222222</v>
      </c>
      <c r="J257" s="38"/>
      <c r="K257" s="39" t="n">
        <f aca="false">IF(OR($A257="",NOT(ISNUMBER($D257)),NOT(ISNUMBER($H257))),"",IF(AND(ISNUMBER($J257),$J257&gt;0),$J257,IF(ISNUMBER($I257),$I257,"")))</f>
        <v>558.222222222222</v>
      </c>
      <c r="L257" s="40" t="n">
        <f aca="false">IF(ISNUMBER($K257),$K257*$H257,"")</f>
        <v>72.5688888888889</v>
      </c>
      <c r="M257" s="40" t="n">
        <f aca="false">IF(ISNUMBER($K257),$K257*Parâmetros!$B$4,"")</f>
        <v>55.8222222222222</v>
      </c>
      <c r="N257" s="40" t="n">
        <f aca="false">IF(ISNUMBER($K257),$K257*Parâmetros!$C$4,"")</f>
        <v>16.7466666666667</v>
      </c>
      <c r="O257" s="40" t="n">
        <f aca="false">IF(ISNUMBER($K257),IF(ISNUMBER(Parâmetros!$E$4),Parâmetros!$E$4,0),"")</f>
        <v>0</v>
      </c>
      <c r="P257" s="41" t="n">
        <f aca="false">IF(ISNUMBER($K257),$K257-$D257-IF(ISNUMBER($E257),$E257,0)-$L257-$M257-$N257-$O257,"")</f>
        <v>111.644444444444</v>
      </c>
      <c r="Q257" s="42" t="n">
        <f aca="false">IF(AND(ISNUMBER($K257),$K257&gt;0),$P257/$K257,"")</f>
        <v>0.2</v>
      </c>
      <c r="R257" s="43"/>
      <c r="S257" s="44" t="str">
        <f aca="false">IF(OR(NOT(ISNUMBER($R257)),$R257=0,NOT(ISNUMBER($K257))),"",$K257*(1-$R257))</f>
        <v/>
      </c>
      <c r="T257" s="45" t="str">
        <f aca="false">IF(ISNUMBER($S257),$S257*$H257,"")</f>
        <v/>
      </c>
      <c r="U257" s="45" t="str">
        <f aca="false">IF(ISNUMBER($S257),$S257*Parâmetros!$B$4,"")</f>
        <v/>
      </c>
      <c r="V257" s="45" t="str">
        <f aca="false">IF(ISNUMBER($S257),$S257*Parâmetros!$C$4,"")</f>
        <v/>
      </c>
      <c r="W257" s="44" t="str">
        <f aca="false">IF(ISNUMBER($S257),$S257-$D257-IF(ISNUMBER($E257),$E257,0)-$O257-$T257-$U257-$V257,"")</f>
        <v/>
      </c>
      <c r="X257" s="46" t="str">
        <f aca="false">IF(AND(ISNUMBER($S257),$S257&gt;0),$W257/$S257,"")</f>
        <v/>
      </c>
      <c r="Y257" s="49"/>
      <c r="Z257" s="21"/>
    </row>
    <row r="258" customFormat="false" ht="15.75" hidden="false" customHeight="true" outlineLevel="0" collapsed="false">
      <c r="A258" s="32" t="str">
        <f aca="false">IF(Produtos!$A258="","",Produtos!$A258)</f>
        <v>L4060-PC</v>
      </c>
      <c r="B258" s="32" t="str">
        <f aca="false">IF(Produtos!$A258="","",Produtos!$B258)</f>
        <v>Lixeira de Parede c/Aro Colorido 40x19x60 30L</v>
      </c>
      <c r="C258" s="32" t="str">
        <f aca="false">IF(Produtos!$A258="","",Produtos!$C258)</f>
        <v>Lixeiras em inox</v>
      </c>
      <c r="D258" s="33" t="n">
        <f aca="false">IF(Produtos!$A258="","",IF(Produtos!$D258="","",Produtos!$D258))</f>
        <v>314.8</v>
      </c>
      <c r="E258" s="11"/>
      <c r="F258" s="34" t="n">
        <f aca="false">IF($A258="","",IF($C258="","⚠ categoria",IFERROR(INDEX(Parâmetros!$B$13:$B$22,MATCH($C258,Parâmetros!$A$13:$A$22,0)),"⚠ categoria")))</f>
        <v>0.13</v>
      </c>
      <c r="G258" s="35"/>
      <c r="H258" s="36" t="n">
        <f aca="false">IF($A258="","",IF(ISNUMBER($G258),$G258,IF(ISNUMBER($F258),$F258,"")))</f>
        <v>0.13</v>
      </c>
      <c r="I258" s="37" t="n">
        <f aca="false">IF(OR($A258="",NOT(ISNUMBER($D258)),NOT(ISNUMBER($H258))),"",IF((1-$H258-Parâmetros!$B$4-Parâmetros!$C$4-Parâmetros!$D$4)&lt;=0,"INVALIDO",($D258+IF(ISNUMBER($E258),$E258,0)+IF(ISNUMBER(Parâmetros!$E$4),Parâmetros!$E$4,0))/(1-$H258-Parâmetros!$B$4-Parâmetros!$C$4-Parâmetros!$D$4)))</f>
        <v>582.962962962963</v>
      </c>
      <c r="J258" s="38"/>
      <c r="K258" s="39" t="n">
        <f aca="false">IF(OR($A258="",NOT(ISNUMBER($D258)),NOT(ISNUMBER($H258))),"",IF(AND(ISNUMBER($J258),$J258&gt;0),$J258,IF(ISNUMBER($I258),$I258,"")))</f>
        <v>582.962962962963</v>
      </c>
      <c r="L258" s="40" t="n">
        <f aca="false">IF(ISNUMBER($K258),$K258*$H258,"")</f>
        <v>75.7851851851852</v>
      </c>
      <c r="M258" s="40" t="n">
        <f aca="false">IF(ISNUMBER($K258),$K258*Parâmetros!$B$4,"")</f>
        <v>58.2962962962963</v>
      </c>
      <c r="N258" s="40" t="n">
        <f aca="false">IF(ISNUMBER($K258),$K258*Parâmetros!$C$4,"")</f>
        <v>17.4888888888889</v>
      </c>
      <c r="O258" s="40" t="n">
        <f aca="false">IF(ISNUMBER($K258),IF(ISNUMBER(Parâmetros!$E$4),Parâmetros!$E$4,0),"")</f>
        <v>0</v>
      </c>
      <c r="P258" s="41" t="n">
        <f aca="false">IF(ISNUMBER($K258),$K258-$D258-IF(ISNUMBER($E258),$E258,0)-$L258-$M258-$N258-$O258,"")</f>
        <v>116.592592592593</v>
      </c>
      <c r="Q258" s="42" t="n">
        <f aca="false">IF(AND(ISNUMBER($K258),$K258&gt;0),$P258/$K258,"")</f>
        <v>0.2</v>
      </c>
      <c r="R258" s="43"/>
      <c r="S258" s="44" t="str">
        <f aca="false">IF(OR(NOT(ISNUMBER($R258)),$R258=0,NOT(ISNUMBER($K258))),"",$K258*(1-$R258))</f>
        <v/>
      </c>
      <c r="T258" s="45" t="str">
        <f aca="false">IF(ISNUMBER($S258),$S258*$H258,"")</f>
        <v/>
      </c>
      <c r="U258" s="45" t="str">
        <f aca="false">IF(ISNUMBER($S258),$S258*Parâmetros!$B$4,"")</f>
        <v/>
      </c>
      <c r="V258" s="45" t="str">
        <f aca="false">IF(ISNUMBER($S258),$S258*Parâmetros!$C$4,"")</f>
        <v/>
      </c>
      <c r="W258" s="44" t="str">
        <f aca="false">IF(ISNUMBER($S258),$S258-$D258-IF(ISNUMBER($E258),$E258,0)-$O258-$T258-$U258-$V258,"")</f>
        <v/>
      </c>
      <c r="X258" s="46" t="str">
        <f aca="false">IF(AND(ISNUMBER($S258),$S258&gt;0),$W258/$S258,"")</f>
        <v/>
      </c>
      <c r="Y258" s="47"/>
      <c r="Z258" s="19"/>
    </row>
    <row r="259" customFormat="false" ht="15.75" hidden="false" customHeight="true" outlineLevel="0" collapsed="false">
      <c r="A259" s="48" t="str">
        <f aca="false">IF(Produtos!$A259="","",Produtos!$A259)</f>
        <v>L4065-PC</v>
      </c>
      <c r="B259" s="48" t="str">
        <f aca="false">IF(Produtos!$A259="","",Produtos!$B259)</f>
        <v>Lixeira de Parede c/Aro Colorido 40x19x65 35L</v>
      </c>
      <c r="C259" s="48" t="str">
        <f aca="false">IF(Produtos!$A259="","",Produtos!$C259)</f>
        <v>Lixeiras em inox</v>
      </c>
      <c r="D259" s="33" t="n">
        <f aca="false">IF(Produtos!$A259="","",IF(Produtos!$D259="","",Produtos!$D259))</f>
        <v>405.46</v>
      </c>
      <c r="E259" s="11"/>
      <c r="F259" s="34" t="n">
        <f aca="false">IF($A259="","",IF($C259="","⚠ categoria",IFERROR(INDEX(Parâmetros!$B$13:$B$22,MATCH($C259,Parâmetros!$A$13:$A$22,0)),"⚠ categoria")))</f>
        <v>0.13</v>
      </c>
      <c r="G259" s="35"/>
      <c r="H259" s="36" t="n">
        <f aca="false">IF($A259="","",IF(ISNUMBER($G259),$G259,IF(ISNUMBER($F259),$F259,"")))</f>
        <v>0.13</v>
      </c>
      <c r="I259" s="37" t="n">
        <f aca="false">IF(OR($A259="",NOT(ISNUMBER($D259)),NOT(ISNUMBER($H259))),"",IF((1-$H259-Parâmetros!$B$4-Parâmetros!$C$4-Parâmetros!$D$4)&lt;=0,"INVALIDO",($D259+IF(ISNUMBER($E259),$E259,0)+IF(ISNUMBER(Parâmetros!$E$4),Parâmetros!$E$4,0))/(1-$H259-Parâmetros!$B$4-Parâmetros!$C$4-Parâmetros!$D$4)))</f>
        <v>750.851851851852</v>
      </c>
      <c r="J259" s="38"/>
      <c r="K259" s="39" t="n">
        <f aca="false">IF(OR($A259="",NOT(ISNUMBER($D259)),NOT(ISNUMBER($H259))),"",IF(AND(ISNUMBER($J259),$J259&gt;0),$J259,IF(ISNUMBER($I259),$I259,"")))</f>
        <v>750.851851851852</v>
      </c>
      <c r="L259" s="40" t="n">
        <f aca="false">IF(ISNUMBER($K259),$K259*$H259,"")</f>
        <v>97.6107407407407</v>
      </c>
      <c r="M259" s="40" t="n">
        <f aca="false">IF(ISNUMBER($K259),$K259*Parâmetros!$B$4,"")</f>
        <v>75.0851851851852</v>
      </c>
      <c r="N259" s="40" t="n">
        <f aca="false">IF(ISNUMBER($K259),$K259*Parâmetros!$C$4,"")</f>
        <v>22.5255555555556</v>
      </c>
      <c r="O259" s="40" t="n">
        <f aca="false">IF(ISNUMBER($K259),IF(ISNUMBER(Parâmetros!$E$4),Parâmetros!$E$4,0),"")</f>
        <v>0</v>
      </c>
      <c r="P259" s="41" t="n">
        <f aca="false">IF(ISNUMBER($K259),$K259-$D259-IF(ISNUMBER($E259),$E259,0)-$L259-$M259-$N259-$O259,"")</f>
        <v>150.17037037037</v>
      </c>
      <c r="Q259" s="42" t="n">
        <f aca="false">IF(AND(ISNUMBER($K259),$K259&gt;0),$P259/$K259,"")</f>
        <v>0.2</v>
      </c>
      <c r="R259" s="43"/>
      <c r="S259" s="44" t="str">
        <f aca="false">IF(OR(NOT(ISNUMBER($R259)),$R259=0,NOT(ISNUMBER($K259))),"",$K259*(1-$R259))</f>
        <v/>
      </c>
      <c r="T259" s="45" t="str">
        <f aca="false">IF(ISNUMBER($S259),$S259*$H259,"")</f>
        <v/>
      </c>
      <c r="U259" s="45" t="str">
        <f aca="false">IF(ISNUMBER($S259),$S259*Parâmetros!$B$4,"")</f>
        <v/>
      </c>
      <c r="V259" s="45" t="str">
        <f aca="false">IF(ISNUMBER($S259),$S259*Parâmetros!$C$4,"")</f>
        <v/>
      </c>
      <c r="W259" s="44" t="str">
        <f aca="false">IF(ISNUMBER($S259),$S259-$D259-IF(ISNUMBER($E259),$E259,0)-$O259-$T259-$U259-$V259,"")</f>
        <v/>
      </c>
      <c r="X259" s="46" t="str">
        <f aca="false">IF(AND(ISNUMBER($S259),$S259&gt;0),$W259/$S259,"")</f>
        <v/>
      </c>
      <c r="Y259" s="49"/>
      <c r="Z259" s="21"/>
    </row>
    <row r="260" customFormat="false" ht="15.75" hidden="false" customHeight="true" outlineLevel="0" collapsed="false">
      <c r="A260" s="32" t="str">
        <f aca="false">IF(Produtos!$A260="","",Produtos!$A260)</f>
        <v>L4070-PC</v>
      </c>
      <c r="B260" s="32" t="str">
        <f aca="false">IF(Produtos!$A260="","",Produtos!$B260)</f>
        <v>Lixeira de Parede c/Aro Colorido 40x19x70 40L</v>
      </c>
      <c r="C260" s="32" t="str">
        <f aca="false">IF(Produtos!$A260="","",Produtos!$C260)</f>
        <v>Lixeiras em inox</v>
      </c>
      <c r="D260" s="33" t="n">
        <f aca="false">IF(Produtos!$A260="","",IF(Produtos!$D260="","",Produtos!$D260))</f>
        <v>428.69</v>
      </c>
      <c r="E260" s="11"/>
      <c r="F260" s="34" t="n">
        <f aca="false">IF($A260="","",IF($C260="","⚠ categoria",IFERROR(INDEX(Parâmetros!$B$13:$B$22,MATCH($C260,Parâmetros!$A$13:$A$22,0)),"⚠ categoria")))</f>
        <v>0.13</v>
      </c>
      <c r="G260" s="35"/>
      <c r="H260" s="36" t="n">
        <f aca="false">IF($A260="","",IF(ISNUMBER($G260),$G260,IF(ISNUMBER($F260),$F260,"")))</f>
        <v>0.13</v>
      </c>
      <c r="I260" s="37" t="n">
        <f aca="false">IF(OR($A260="",NOT(ISNUMBER($D260)),NOT(ISNUMBER($H260))),"",IF((1-$H260-Parâmetros!$B$4-Parâmetros!$C$4-Parâmetros!$D$4)&lt;=0,"INVALIDO",($D260+IF(ISNUMBER($E260),$E260,0)+IF(ISNUMBER(Parâmetros!$E$4),Parâmetros!$E$4,0))/(1-$H260-Parâmetros!$B$4-Parâmetros!$C$4-Parâmetros!$D$4)))</f>
        <v>793.87037037037</v>
      </c>
      <c r="J260" s="38"/>
      <c r="K260" s="39" t="n">
        <f aca="false">IF(OR($A260="",NOT(ISNUMBER($D260)),NOT(ISNUMBER($H260))),"",IF(AND(ISNUMBER($J260),$J260&gt;0),$J260,IF(ISNUMBER($I260),$I260,"")))</f>
        <v>793.87037037037</v>
      </c>
      <c r="L260" s="40" t="n">
        <f aca="false">IF(ISNUMBER($K260),$K260*$H260,"")</f>
        <v>103.203148148148</v>
      </c>
      <c r="M260" s="40" t="n">
        <f aca="false">IF(ISNUMBER($K260),$K260*Parâmetros!$B$4,"")</f>
        <v>79.387037037037</v>
      </c>
      <c r="N260" s="40" t="n">
        <f aca="false">IF(ISNUMBER($K260),$K260*Parâmetros!$C$4,"")</f>
        <v>23.8161111111111</v>
      </c>
      <c r="O260" s="40" t="n">
        <f aca="false">IF(ISNUMBER($K260),IF(ISNUMBER(Parâmetros!$E$4),Parâmetros!$E$4,0),"")</f>
        <v>0</v>
      </c>
      <c r="P260" s="41" t="n">
        <f aca="false">IF(ISNUMBER($K260),$K260-$D260-IF(ISNUMBER($E260),$E260,0)-$L260-$M260-$N260-$O260,"")</f>
        <v>158.774074074074</v>
      </c>
      <c r="Q260" s="42" t="n">
        <f aca="false">IF(AND(ISNUMBER($K260),$K260&gt;0),$P260/$K260,"")</f>
        <v>0.2</v>
      </c>
      <c r="R260" s="43"/>
      <c r="S260" s="44" t="str">
        <f aca="false">IF(OR(NOT(ISNUMBER($R260)),$R260=0,NOT(ISNUMBER($K260))),"",$K260*(1-$R260))</f>
        <v/>
      </c>
      <c r="T260" s="45" t="str">
        <f aca="false">IF(ISNUMBER($S260),$S260*$H260,"")</f>
        <v/>
      </c>
      <c r="U260" s="45" t="str">
        <f aca="false">IF(ISNUMBER($S260),$S260*Parâmetros!$B$4,"")</f>
        <v/>
      </c>
      <c r="V260" s="45" t="str">
        <f aca="false">IF(ISNUMBER($S260),$S260*Parâmetros!$C$4,"")</f>
        <v/>
      </c>
      <c r="W260" s="44" t="str">
        <f aca="false">IF(ISNUMBER($S260),$S260-$D260-IF(ISNUMBER($E260),$E260,0)-$O260-$T260-$U260-$V260,"")</f>
        <v/>
      </c>
      <c r="X260" s="46" t="str">
        <f aca="false">IF(AND(ISNUMBER($S260),$S260&gt;0),$W260/$S260,"")</f>
        <v/>
      </c>
      <c r="Y260" s="47"/>
      <c r="Z260" s="19"/>
    </row>
    <row r="261" customFormat="false" ht="15.75" hidden="false" customHeight="true" outlineLevel="0" collapsed="false">
      <c r="A261" s="48" t="str">
        <f aca="false">IF(Produtos!$A261="","",Produtos!$A261)</f>
        <v>L4080-PC</v>
      </c>
      <c r="B261" s="48" t="str">
        <f aca="false">IF(Produtos!$A261="","",Produtos!$B261)</f>
        <v>Lixeira de Parede c/Aro Colorido 40x19x80 50L</v>
      </c>
      <c r="C261" s="48" t="str">
        <f aca="false">IF(Produtos!$A261="","",Produtos!$C261)</f>
        <v>Lixeiras em inox</v>
      </c>
      <c r="D261" s="33" t="n">
        <f aca="false">IF(Produtos!$A261="","",IF(Produtos!$D261="","",Produtos!$D261))</f>
        <v>418.39</v>
      </c>
      <c r="E261" s="11"/>
      <c r="F261" s="34" t="n">
        <f aca="false">IF($A261="","",IF($C261="","⚠ categoria",IFERROR(INDEX(Parâmetros!$B$13:$B$22,MATCH($C261,Parâmetros!$A$13:$A$22,0)),"⚠ categoria")))</f>
        <v>0.13</v>
      </c>
      <c r="G261" s="35"/>
      <c r="H261" s="36" t="n">
        <f aca="false">IF($A261="","",IF(ISNUMBER($G261),$G261,IF(ISNUMBER($F261),$F261,"")))</f>
        <v>0.13</v>
      </c>
      <c r="I261" s="37" t="n">
        <f aca="false">IF(OR($A261="",NOT(ISNUMBER($D261)),NOT(ISNUMBER($H261))),"",IF((1-$H261-Parâmetros!$B$4-Parâmetros!$C$4-Parâmetros!$D$4)&lt;=0,"INVALIDO",($D261+IF(ISNUMBER($E261),$E261,0)+IF(ISNUMBER(Parâmetros!$E$4),Parâmetros!$E$4,0))/(1-$H261-Parâmetros!$B$4-Parâmetros!$C$4-Parâmetros!$D$4)))</f>
        <v>774.796296296296</v>
      </c>
      <c r="J261" s="38"/>
      <c r="K261" s="39" t="n">
        <f aca="false">IF(OR($A261="",NOT(ISNUMBER($D261)),NOT(ISNUMBER($H261))),"",IF(AND(ISNUMBER($J261),$J261&gt;0),$J261,IF(ISNUMBER($I261),$I261,"")))</f>
        <v>774.796296296296</v>
      </c>
      <c r="L261" s="40" t="n">
        <f aca="false">IF(ISNUMBER($K261),$K261*$H261,"")</f>
        <v>100.723518518519</v>
      </c>
      <c r="M261" s="40" t="n">
        <f aca="false">IF(ISNUMBER($K261),$K261*Parâmetros!$B$4,"")</f>
        <v>77.4796296296296</v>
      </c>
      <c r="N261" s="40" t="n">
        <f aca="false">IF(ISNUMBER($K261),$K261*Parâmetros!$C$4,"")</f>
        <v>23.2438888888889</v>
      </c>
      <c r="O261" s="40" t="n">
        <f aca="false">IF(ISNUMBER($K261),IF(ISNUMBER(Parâmetros!$E$4),Parâmetros!$E$4,0),"")</f>
        <v>0</v>
      </c>
      <c r="P261" s="41" t="n">
        <f aca="false">IF(ISNUMBER($K261),$K261-$D261-IF(ISNUMBER($E261),$E261,0)-$L261-$M261-$N261-$O261,"")</f>
        <v>154.959259259259</v>
      </c>
      <c r="Q261" s="42" t="n">
        <f aca="false">IF(AND(ISNUMBER($K261),$K261&gt;0),$P261/$K261,"")</f>
        <v>0.2</v>
      </c>
      <c r="R261" s="43"/>
      <c r="S261" s="44" t="str">
        <f aca="false">IF(OR(NOT(ISNUMBER($R261)),$R261=0,NOT(ISNUMBER($K261))),"",$K261*(1-$R261))</f>
        <v/>
      </c>
      <c r="T261" s="45" t="str">
        <f aca="false">IF(ISNUMBER($S261),$S261*$H261,"")</f>
        <v/>
      </c>
      <c r="U261" s="45" t="str">
        <f aca="false">IF(ISNUMBER($S261),$S261*Parâmetros!$B$4,"")</f>
        <v/>
      </c>
      <c r="V261" s="45" t="str">
        <f aca="false">IF(ISNUMBER($S261),$S261*Parâmetros!$C$4,"")</f>
        <v/>
      </c>
      <c r="W261" s="44" t="str">
        <f aca="false">IF(ISNUMBER($S261),$S261-$D261-IF(ISNUMBER($E261),$E261,0)-$O261-$T261-$U261-$V261,"")</f>
        <v/>
      </c>
      <c r="X261" s="46" t="str">
        <f aca="false">IF(AND(ISNUMBER($S261),$S261&gt;0),$W261/$S261,"")</f>
        <v/>
      </c>
      <c r="Y261" s="49"/>
      <c r="Z261" s="21"/>
    </row>
    <row r="262" customFormat="false" ht="15.75" hidden="false" customHeight="true" outlineLevel="0" collapsed="false">
      <c r="A262" s="32" t="str">
        <f aca="false">IF(Produtos!$A262="","",Produtos!$A262)</f>
        <v>LM3040-2D</v>
      </c>
      <c r="B262" s="32" t="str">
        <f aca="false">IF(Produtos!$A262="","",Produtos!$B262)</f>
        <v>Lixeira Aço Inox 30x40 c/02 Divisões 30L</v>
      </c>
      <c r="C262" s="32" t="str">
        <f aca="false">IF(Produtos!$A262="","",Produtos!$C262)</f>
        <v>Lixeiras de coleta seletiva</v>
      </c>
      <c r="D262" s="33" t="n">
        <f aca="false">IF(Produtos!$A262="","",IF(Produtos!$D262="","",Produtos!$D262))</f>
        <v>318.15</v>
      </c>
      <c r="E262" s="11"/>
      <c r="F262" s="34" t="n">
        <f aca="false">IF($A262="","",IF($C262="","⚠ categoria",IFERROR(INDEX(Parâmetros!$B$13:$B$22,MATCH($C262,Parâmetros!$A$13:$A$22,0)),"⚠ categoria")))</f>
        <v>0.13</v>
      </c>
      <c r="G262" s="35"/>
      <c r="H262" s="36" t="n">
        <f aca="false">IF($A262="","",IF(ISNUMBER($G262),$G262,IF(ISNUMBER($F262),$F262,"")))</f>
        <v>0.13</v>
      </c>
      <c r="I262" s="37" t="n">
        <f aca="false">IF(OR($A262="",NOT(ISNUMBER($D262)),NOT(ISNUMBER($H262))),"",IF((1-$H262-Parâmetros!$B$4-Parâmetros!$C$4-Parâmetros!$D$4)&lt;=0,"INVALIDO",($D262+IF(ISNUMBER($E262),$E262,0)+IF(ISNUMBER(Parâmetros!$E$4),Parâmetros!$E$4,0))/(1-$H262-Parâmetros!$B$4-Parâmetros!$C$4-Parâmetros!$D$4)))</f>
        <v>589.166666666667</v>
      </c>
      <c r="J262" s="38"/>
      <c r="K262" s="39" t="n">
        <f aca="false">IF(OR($A262="",NOT(ISNUMBER($D262)),NOT(ISNUMBER($H262))),"",IF(AND(ISNUMBER($J262),$J262&gt;0),$J262,IF(ISNUMBER($I262),$I262,"")))</f>
        <v>589.166666666667</v>
      </c>
      <c r="L262" s="40" t="n">
        <f aca="false">IF(ISNUMBER($K262),$K262*$H262,"")</f>
        <v>76.5916666666667</v>
      </c>
      <c r="M262" s="40" t="n">
        <f aca="false">IF(ISNUMBER($K262),$K262*Parâmetros!$B$4,"")</f>
        <v>58.9166666666667</v>
      </c>
      <c r="N262" s="40" t="n">
        <f aca="false">IF(ISNUMBER($K262),$K262*Parâmetros!$C$4,"")</f>
        <v>17.675</v>
      </c>
      <c r="O262" s="40" t="n">
        <f aca="false">IF(ISNUMBER($K262),IF(ISNUMBER(Parâmetros!$E$4),Parâmetros!$E$4,0),"")</f>
        <v>0</v>
      </c>
      <c r="P262" s="41" t="n">
        <f aca="false">IF(ISNUMBER($K262),$K262-$D262-IF(ISNUMBER($E262),$E262,0)-$L262-$M262-$N262-$O262,"")</f>
        <v>117.833333333333</v>
      </c>
      <c r="Q262" s="42" t="n">
        <f aca="false">IF(AND(ISNUMBER($K262),$K262&gt;0),$P262/$K262,"")</f>
        <v>0.2</v>
      </c>
      <c r="R262" s="43"/>
      <c r="S262" s="44" t="str">
        <f aca="false">IF(OR(NOT(ISNUMBER($R262)),$R262=0,NOT(ISNUMBER($K262))),"",$K262*(1-$R262))</f>
        <v/>
      </c>
      <c r="T262" s="45" t="str">
        <f aca="false">IF(ISNUMBER($S262),$S262*$H262,"")</f>
        <v/>
      </c>
      <c r="U262" s="45" t="str">
        <f aca="false">IF(ISNUMBER($S262),$S262*Parâmetros!$B$4,"")</f>
        <v/>
      </c>
      <c r="V262" s="45" t="str">
        <f aca="false">IF(ISNUMBER($S262),$S262*Parâmetros!$C$4,"")</f>
        <v/>
      </c>
      <c r="W262" s="44" t="str">
        <f aca="false">IF(ISNUMBER($S262),$S262-$D262-IF(ISNUMBER($E262),$E262,0)-$O262-$T262-$U262-$V262,"")</f>
        <v/>
      </c>
      <c r="X262" s="46" t="str">
        <f aca="false">IF(AND(ISNUMBER($S262),$S262&gt;0),$W262/$S262,"")</f>
        <v/>
      </c>
      <c r="Y262" s="47"/>
      <c r="Z262" s="19"/>
    </row>
    <row r="263" customFormat="false" ht="15.75" hidden="false" customHeight="true" outlineLevel="0" collapsed="false">
      <c r="A263" s="48" t="str">
        <f aca="false">IF(Produtos!$A263="","",Produtos!$A263)</f>
        <v>LM3040-3D</v>
      </c>
      <c r="B263" s="48" t="str">
        <f aca="false">IF(Produtos!$A263="","",Produtos!$B263)</f>
        <v>Lixeira Aço Inox 30x40 c/03 Divisões 30L</v>
      </c>
      <c r="C263" s="48" t="str">
        <f aca="false">IF(Produtos!$A263="","",Produtos!$C263)</f>
        <v>Lixeiras de coleta seletiva</v>
      </c>
      <c r="D263" s="33" t="n">
        <f aca="false">IF(Produtos!$A263="","",IF(Produtos!$D263="","",Produtos!$D263))</f>
        <v>324.51</v>
      </c>
      <c r="E263" s="11"/>
      <c r="F263" s="34" t="n">
        <f aca="false">IF($A263="","",IF($C263="","⚠ categoria",IFERROR(INDEX(Parâmetros!$B$13:$B$22,MATCH($C263,Parâmetros!$A$13:$A$22,0)),"⚠ categoria")))</f>
        <v>0.13</v>
      </c>
      <c r="G263" s="35"/>
      <c r="H263" s="36" t="n">
        <f aca="false">IF($A263="","",IF(ISNUMBER($G263),$G263,IF(ISNUMBER($F263),$F263,"")))</f>
        <v>0.13</v>
      </c>
      <c r="I263" s="37" t="n">
        <f aca="false">IF(OR($A263="",NOT(ISNUMBER($D263)),NOT(ISNUMBER($H263))),"",IF((1-$H263-Parâmetros!$B$4-Parâmetros!$C$4-Parâmetros!$D$4)&lt;=0,"INVALIDO",($D263+IF(ISNUMBER($E263),$E263,0)+IF(ISNUMBER(Parâmetros!$E$4),Parâmetros!$E$4,0))/(1-$H263-Parâmetros!$B$4-Parâmetros!$C$4-Parâmetros!$D$4)))</f>
        <v>600.944444444444</v>
      </c>
      <c r="J263" s="38"/>
      <c r="K263" s="39" t="n">
        <f aca="false">IF(OR($A263="",NOT(ISNUMBER($D263)),NOT(ISNUMBER($H263))),"",IF(AND(ISNUMBER($J263),$J263&gt;0),$J263,IF(ISNUMBER($I263),$I263,"")))</f>
        <v>600.944444444444</v>
      </c>
      <c r="L263" s="40" t="n">
        <f aca="false">IF(ISNUMBER($K263),$K263*$H263,"")</f>
        <v>78.1227777777778</v>
      </c>
      <c r="M263" s="40" t="n">
        <f aca="false">IF(ISNUMBER($K263),$K263*Parâmetros!$B$4,"")</f>
        <v>60.0944444444444</v>
      </c>
      <c r="N263" s="40" t="n">
        <f aca="false">IF(ISNUMBER($K263),$K263*Parâmetros!$C$4,"")</f>
        <v>18.0283333333333</v>
      </c>
      <c r="O263" s="40" t="n">
        <f aca="false">IF(ISNUMBER($K263),IF(ISNUMBER(Parâmetros!$E$4),Parâmetros!$E$4,0),"")</f>
        <v>0</v>
      </c>
      <c r="P263" s="41" t="n">
        <f aca="false">IF(ISNUMBER($K263),$K263-$D263-IF(ISNUMBER($E263),$E263,0)-$L263-$M263-$N263-$O263,"")</f>
        <v>120.188888888889</v>
      </c>
      <c r="Q263" s="42" t="n">
        <f aca="false">IF(AND(ISNUMBER($K263),$K263&gt;0),$P263/$K263,"")</f>
        <v>0.2</v>
      </c>
      <c r="R263" s="43"/>
      <c r="S263" s="44" t="str">
        <f aca="false">IF(OR(NOT(ISNUMBER($R263)),$R263=0,NOT(ISNUMBER($K263))),"",$K263*(1-$R263))</f>
        <v/>
      </c>
      <c r="T263" s="45" t="str">
        <f aca="false">IF(ISNUMBER($S263),$S263*$H263,"")</f>
        <v/>
      </c>
      <c r="U263" s="45" t="str">
        <f aca="false">IF(ISNUMBER($S263),$S263*Parâmetros!$B$4,"")</f>
        <v/>
      </c>
      <c r="V263" s="45" t="str">
        <f aca="false">IF(ISNUMBER($S263),$S263*Parâmetros!$C$4,"")</f>
        <v/>
      </c>
      <c r="W263" s="44" t="str">
        <f aca="false">IF(ISNUMBER($S263),$S263-$D263-IF(ISNUMBER($E263),$E263,0)-$O263-$T263-$U263-$V263,"")</f>
        <v/>
      </c>
      <c r="X263" s="46" t="str">
        <f aca="false">IF(AND(ISNUMBER($S263),$S263&gt;0),$W263/$S263,"")</f>
        <v/>
      </c>
      <c r="Y263" s="49"/>
      <c r="Z263" s="21"/>
    </row>
    <row r="264" customFormat="false" ht="15.75" hidden="false" customHeight="true" outlineLevel="0" collapsed="false">
      <c r="A264" s="32" t="str">
        <f aca="false">IF(Produtos!$A264="","",Produtos!$A264)</f>
        <v>LM4050-4D</v>
      </c>
      <c r="B264" s="32" t="str">
        <f aca="false">IF(Produtos!$A264="","",Produtos!$B264)</f>
        <v>Lixeira Aço Inox 40x50 c/04 Divisões 50L</v>
      </c>
      <c r="C264" s="32" t="str">
        <f aca="false">IF(Produtos!$A264="","",Produtos!$C264)</f>
        <v>Lixeiras de coleta seletiva</v>
      </c>
      <c r="D264" s="33" t="n">
        <f aca="false">IF(Produtos!$A264="","",IF(Produtos!$D264="","",Produtos!$D264))</f>
        <v>574.44</v>
      </c>
      <c r="E264" s="11"/>
      <c r="F264" s="34" t="n">
        <f aca="false">IF($A264="","",IF($C264="","⚠ categoria",IFERROR(INDEX(Parâmetros!$B$13:$B$22,MATCH($C264,Parâmetros!$A$13:$A$22,0)),"⚠ categoria")))</f>
        <v>0.13</v>
      </c>
      <c r="G264" s="35"/>
      <c r="H264" s="36" t="n">
        <f aca="false">IF($A264="","",IF(ISNUMBER($G264),$G264,IF(ISNUMBER($F264),$F264,"")))</f>
        <v>0.13</v>
      </c>
      <c r="I264" s="37" t="n">
        <f aca="false">IF(OR($A264="",NOT(ISNUMBER($D264)),NOT(ISNUMBER($H264))),"",IF((1-$H264-Parâmetros!$B$4-Parâmetros!$C$4-Parâmetros!$D$4)&lt;=0,"INVALIDO",($D264+IF(ISNUMBER($E264),$E264,0)+IF(ISNUMBER(Parâmetros!$E$4),Parâmetros!$E$4,0))/(1-$H264-Parâmetros!$B$4-Parâmetros!$C$4-Parâmetros!$D$4)))</f>
        <v>1063.77777777778</v>
      </c>
      <c r="J264" s="38"/>
      <c r="K264" s="39" t="n">
        <f aca="false">IF(OR($A264="",NOT(ISNUMBER($D264)),NOT(ISNUMBER($H264))),"",IF(AND(ISNUMBER($J264),$J264&gt;0),$J264,IF(ISNUMBER($I264),$I264,"")))</f>
        <v>1063.77777777778</v>
      </c>
      <c r="L264" s="40" t="n">
        <f aca="false">IF(ISNUMBER($K264),$K264*$H264,"")</f>
        <v>138.291111111111</v>
      </c>
      <c r="M264" s="40" t="n">
        <f aca="false">IF(ISNUMBER($K264),$K264*Parâmetros!$B$4,"")</f>
        <v>106.377777777778</v>
      </c>
      <c r="N264" s="40" t="n">
        <f aca="false">IF(ISNUMBER($K264),$K264*Parâmetros!$C$4,"")</f>
        <v>31.9133333333333</v>
      </c>
      <c r="O264" s="40" t="n">
        <f aca="false">IF(ISNUMBER($K264),IF(ISNUMBER(Parâmetros!$E$4),Parâmetros!$E$4,0),"")</f>
        <v>0</v>
      </c>
      <c r="P264" s="41" t="n">
        <f aca="false">IF(ISNUMBER($K264),$K264-$D264-IF(ISNUMBER($E264),$E264,0)-$L264-$M264-$N264-$O264,"")</f>
        <v>212.755555555556</v>
      </c>
      <c r="Q264" s="42" t="n">
        <f aca="false">IF(AND(ISNUMBER($K264),$K264&gt;0),$P264/$K264,"")</f>
        <v>0.2</v>
      </c>
      <c r="R264" s="43"/>
      <c r="S264" s="44" t="str">
        <f aca="false">IF(OR(NOT(ISNUMBER($R264)),$R264=0,NOT(ISNUMBER($K264))),"",$K264*(1-$R264))</f>
        <v/>
      </c>
      <c r="T264" s="45" t="str">
        <f aca="false">IF(ISNUMBER($S264),$S264*$H264,"")</f>
        <v/>
      </c>
      <c r="U264" s="45" t="str">
        <f aca="false">IF(ISNUMBER($S264),$S264*Parâmetros!$B$4,"")</f>
        <v/>
      </c>
      <c r="V264" s="45" t="str">
        <f aca="false">IF(ISNUMBER($S264),$S264*Parâmetros!$C$4,"")</f>
        <v/>
      </c>
      <c r="W264" s="44" t="str">
        <f aca="false">IF(ISNUMBER($S264),$S264-$D264-IF(ISNUMBER($E264),$E264,0)-$O264-$T264-$U264-$V264,"")</f>
        <v/>
      </c>
      <c r="X264" s="46" t="str">
        <f aca="false">IF(AND(ISNUMBER($S264),$S264&gt;0),$W264/$S264,"")</f>
        <v/>
      </c>
      <c r="Y264" s="47"/>
      <c r="Z264" s="19"/>
    </row>
    <row r="265" customFormat="false" ht="15.75" hidden="false" customHeight="true" outlineLevel="0" collapsed="false">
      <c r="A265" s="48" t="str">
        <f aca="false">IF(Produtos!$A265="","",Produtos!$A265)</f>
        <v>P3050RA</v>
      </c>
      <c r="B265" s="48" t="str">
        <f aca="false">IF(Produtos!$A265="","",Produtos!$B265)</f>
        <v>Lixeira c/Tampa Pedal 30x50 40L c/Rodízios e Alças</v>
      </c>
      <c r="C265" s="48" t="str">
        <f aca="false">IF(Produtos!$A265="","",Produtos!$C265)</f>
        <v>Lixeiras com pedal</v>
      </c>
      <c r="D265" s="33" t="n">
        <f aca="false">IF(Produtos!$A265="","",IF(Produtos!$D265="","",Produtos!$D265))</f>
        <v>451.04</v>
      </c>
      <c r="E265" s="11" t="n">
        <v>65.85</v>
      </c>
      <c r="F265" s="34" t="n">
        <f aca="false">IF($A265="","",IF($C265="","⚠ categoria",IFERROR(INDEX(Parâmetros!$B$13:$B$22,MATCH($C265,Parâmetros!$A$13:$A$22,0)),"⚠ categoria")))</f>
        <v>0.13</v>
      </c>
      <c r="G265" s="35"/>
      <c r="H265" s="36" t="n">
        <f aca="false">IF($A265="","",IF(ISNUMBER($G265),$G265,IF(ISNUMBER($F265),$F265,"")))</f>
        <v>0.13</v>
      </c>
      <c r="I265" s="37" t="n">
        <f aca="false">IF(OR($A265="",NOT(ISNUMBER($D265)),NOT(ISNUMBER($H265))),"",IF((1-$H265-Parâmetros!$B$4-Parâmetros!$C$4-Parâmetros!$D$4)&lt;=0,"INVALIDO",($D265+IF(ISNUMBER($E265),$E265,0)+IF(ISNUMBER(Parâmetros!$E$4),Parâmetros!$E$4,0))/(1-$H265-Parâmetros!$B$4-Parâmetros!$C$4-Parâmetros!$D$4)))</f>
        <v>957.203703703704</v>
      </c>
      <c r="J265" s="38" t="n">
        <v>887.898375</v>
      </c>
      <c r="K265" s="39" t="n">
        <f aca="false">IF(OR($A265="",NOT(ISNUMBER($D265)),NOT(ISNUMBER($H265))),"",IF(AND(ISNUMBER($J265),$J265&gt;0),$J265,IF(ISNUMBER($I265),$I265,"")))</f>
        <v>887.898375</v>
      </c>
      <c r="L265" s="40" t="n">
        <f aca="false">IF(ISNUMBER($K265),$K265*$H265,"")</f>
        <v>115.42678875</v>
      </c>
      <c r="M265" s="40" t="n">
        <f aca="false">IF(ISNUMBER($K265),$K265*Parâmetros!$B$4,"")</f>
        <v>88.7898375</v>
      </c>
      <c r="N265" s="40" t="n">
        <f aca="false">IF(ISNUMBER($K265),$K265*Parâmetros!$C$4,"")</f>
        <v>26.63695125</v>
      </c>
      <c r="O265" s="40" t="n">
        <f aca="false">IF(ISNUMBER($K265),IF(ISNUMBER(Parâmetros!$E$4),Parâmetros!$E$4,0),"")</f>
        <v>0</v>
      </c>
      <c r="P265" s="41" t="n">
        <f aca="false">IF(ISNUMBER($K265),$K265-$D265-IF(ISNUMBER($E265),$E265,0)-$L265-$M265-$N265-$O265,"")</f>
        <v>140.1547975</v>
      </c>
      <c r="Q265" s="42" t="n">
        <f aca="false">IF(AND(ISNUMBER($K265),$K265&gt;0),$P265/$K265,"")</f>
        <v>0.157850043930985</v>
      </c>
      <c r="R265" s="43"/>
      <c r="S265" s="44" t="str">
        <f aca="false">IF(OR(NOT(ISNUMBER($R265)),$R265=0,NOT(ISNUMBER($K265))),"",$K265*(1-$R265))</f>
        <v/>
      </c>
      <c r="T265" s="45" t="str">
        <f aca="false">IF(ISNUMBER($S265),$S265*$H265,"")</f>
        <v/>
      </c>
      <c r="U265" s="45" t="str">
        <f aca="false">IF(ISNUMBER($S265),$S265*Parâmetros!$B$4,"")</f>
        <v/>
      </c>
      <c r="V265" s="45" t="str">
        <f aca="false">IF(ISNUMBER($S265),$S265*Parâmetros!$C$4,"")</f>
        <v/>
      </c>
      <c r="W265" s="44" t="str">
        <f aca="false">IF(ISNUMBER($S265),$S265-$D265-IF(ISNUMBER($E265),$E265,0)-$O265-$T265-$U265-$V265,"")</f>
        <v/>
      </c>
      <c r="X265" s="46" t="str">
        <f aca="false">IF(AND(ISNUMBER($S265),$S265&gt;0),$W265/$S265,"")</f>
        <v/>
      </c>
      <c r="Y265" s="49" t="s">
        <v>744</v>
      </c>
      <c r="Z265" s="21"/>
    </row>
    <row r="266" customFormat="false" ht="15.75" hidden="false" customHeight="true" outlineLevel="0" collapsed="false">
      <c r="A266" s="32" t="str">
        <f aca="false">IF(Produtos!$A266="","",Produtos!$A266)</f>
        <v>P3060RA</v>
      </c>
      <c r="B266" s="32" t="str">
        <f aca="false">IF(Produtos!$A266="","",Produtos!$B266)</f>
        <v>Lixeira c/Tampa Pedal 30x60 50L c/Rodízios e Alças</v>
      </c>
      <c r="C266" s="32" t="str">
        <f aca="false">IF(Produtos!$A266="","",Produtos!$C266)</f>
        <v>Lixeiras com pedal</v>
      </c>
      <c r="D266" s="33" t="n">
        <f aca="false">IF(Produtos!$A266="","",IF(Produtos!$D266="","",Produtos!$D266))</f>
        <v>461.27</v>
      </c>
      <c r="E266" s="11" t="n">
        <v>70.95</v>
      </c>
      <c r="F266" s="34" t="n">
        <f aca="false">IF($A266="","",IF($C266="","⚠ categoria",IFERROR(INDEX(Parâmetros!$B$13:$B$22,MATCH($C266,Parâmetros!$A$13:$A$22,0)),"⚠ categoria")))</f>
        <v>0.13</v>
      </c>
      <c r="G266" s="35"/>
      <c r="H266" s="36" t="n">
        <f aca="false">IF($A266="","",IF(ISNUMBER($G266),$G266,IF(ISNUMBER($F266),$F266,"")))</f>
        <v>0.13</v>
      </c>
      <c r="I266" s="37" t="n">
        <f aca="false">IF(OR($A266="",NOT(ISNUMBER($D266)),NOT(ISNUMBER($H266))),"",IF((1-$H266-Parâmetros!$B$4-Parâmetros!$C$4-Parâmetros!$D$4)&lt;=0,"INVALIDO",($D266+IF(ISNUMBER($E266),$E266,0)+IF(ISNUMBER(Parâmetros!$E$4),Parâmetros!$E$4,0))/(1-$H266-Parâmetros!$B$4-Parâmetros!$C$4-Parâmetros!$D$4)))</f>
        <v>985.592592592593</v>
      </c>
      <c r="J266" s="38" t="n">
        <v>937.78043625</v>
      </c>
      <c r="K266" s="39" t="n">
        <f aca="false">IF(OR($A266="",NOT(ISNUMBER($D266)),NOT(ISNUMBER($H266))),"",IF(AND(ISNUMBER($J266),$J266&gt;0),$J266,IF(ISNUMBER($I266),$I266,"")))</f>
        <v>937.78043625</v>
      </c>
      <c r="L266" s="40" t="n">
        <f aca="false">IF(ISNUMBER($K266),$K266*$H266,"")</f>
        <v>121.9114567125</v>
      </c>
      <c r="M266" s="40" t="n">
        <f aca="false">IF(ISNUMBER($K266),$K266*Parâmetros!$B$4,"")</f>
        <v>93.778043625</v>
      </c>
      <c r="N266" s="40" t="n">
        <f aca="false">IF(ISNUMBER($K266),$K266*Parâmetros!$C$4,"")</f>
        <v>28.1334130875</v>
      </c>
      <c r="O266" s="40" t="n">
        <f aca="false">IF(ISNUMBER($K266),IF(ISNUMBER(Parâmetros!$E$4),Parâmetros!$E$4,0),"")</f>
        <v>0</v>
      </c>
      <c r="P266" s="41" t="n">
        <f aca="false">IF(ISNUMBER($K266),$K266-$D266-IF(ISNUMBER($E266),$E266,0)-$L266-$M266-$N266-$O266,"")</f>
        <v>161.737522825</v>
      </c>
      <c r="Q266" s="42" t="n">
        <f aca="false">IF(AND(ISNUMBER($K266),$K266&gt;0),$P266/$K266,"")</f>
        <v>0.172468433519211</v>
      </c>
      <c r="R266" s="43"/>
      <c r="S266" s="44" t="str">
        <f aca="false">IF(OR(NOT(ISNUMBER($R266)),$R266=0,NOT(ISNUMBER($K266))),"",$K266*(1-$R266))</f>
        <v/>
      </c>
      <c r="T266" s="45" t="str">
        <f aca="false">IF(ISNUMBER($S266),$S266*$H266,"")</f>
        <v/>
      </c>
      <c r="U266" s="45" t="str">
        <f aca="false">IF(ISNUMBER($S266),$S266*Parâmetros!$B$4,"")</f>
        <v/>
      </c>
      <c r="V266" s="45" t="str">
        <f aca="false">IF(ISNUMBER($S266),$S266*Parâmetros!$C$4,"")</f>
        <v/>
      </c>
      <c r="W266" s="44" t="str">
        <f aca="false">IF(ISNUMBER($S266),$S266-$D266-IF(ISNUMBER($E266),$E266,0)-$O266-$T266-$U266-$V266,"")</f>
        <v/>
      </c>
      <c r="X266" s="46" t="str">
        <f aca="false">IF(AND(ISNUMBER($S266),$S266&gt;0),$W266/$S266,"")</f>
        <v/>
      </c>
      <c r="Y266" s="47" t="s">
        <v>744</v>
      </c>
      <c r="Z266" s="19"/>
    </row>
    <row r="267" customFormat="false" ht="15.75" hidden="false" customHeight="true" outlineLevel="0" collapsed="false">
      <c r="A267" s="48" t="str">
        <f aca="false">IF(Produtos!$A267="","",Produtos!$A267)</f>
        <v>P3070RA</v>
      </c>
      <c r="B267" s="48" t="str">
        <f aca="false">IF(Produtos!$A267="","",Produtos!$B267)</f>
        <v>Lixeira c/Tampa Pedal 30x70 60L c/Rodízios e Alças</v>
      </c>
      <c r="C267" s="48" t="str">
        <f aca="false">IF(Produtos!$A267="","",Produtos!$C267)</f>
        <v>Lixeiras com pedal</v>
      </c>
      <c r="D267" s="33" t="n">
        <f aca="false">IF(Produtos!$A267="","",IF(Produtos!$D267="","",Produtos!$D267))</f>
        <v>535.39</v>
      </c>
      <c r="E267" s="11" t="n">
        <v>69.35</v>
      </c>
      <c r="F267" s="34" t="n">
        <f aca="false">IF($A267="","",IF($C267="","⚠ categoria",IFERROR(INDEX(Parâmetros!$B$13:$B$22,MATCH($C267,Parâmetros!$A$13:$A$22,0)),"⚠ categoria")))</f>
        <v>0.13</v>
      </c>
      <c r="G267" s="35"/>
      <c r="H267" s="36" t="n">
        <f aca="false">IF($A267="","",IF(ISNUMBER($G267),$G267,IF(ISNUMBER($F267),$F267,"")))</f>
        <v>0.13</v>
      </c>
      <c r="I267" s="37" t="n">
        <f aca="false">IF(OR($A267="",NOT(ISNUMBER($D267)),NOT(ISNUMBER($H267))),"",IF((1-$H267-Parâmetros!$B$4-Parâmetros!$C$4-Parâmetros!$D$4)&lt;=0,"INVALIDO",($D267+IF(ISNUMBER($E267),$E267,0)+IF(ISNUMBER(Parâmetros!$E$4),Parâmetros!$E$4,0))/(1-$H267-Parâmetros!$B$4-Parâmetros!$C$4-Parâmetros!$D$4)))</f>
        <v>1119.88888888889</v>
      </c>
      <c r="J267" s="38" t="n">
        <v>1069.136145</v>
      </c>
      <c r="K267" s="39" t="n">
        <f aca="false">IF(OR($A267="",NOT(ISNUMBER($D267)),NOT(ISNUMBER($H267))),"",IF(AND(ISNUMBER($J267),$J267&gt;0),$J267,IF(ISNUMBER($I267),$I267,"")))</f>
        <v>1069.136145</v>
      </c>
      <c r="L267" s="40" t="n">
        <f aca="false">IF(ISNUMBER($K267),$K267*$H267,"")</f>
        <v>138.98769885</v>
      </c>
      <c r="M267" s="40" t="n">
        <f aca="false">IF(ISNUMBER($K267),$K267*Parâmetros!$B$4,"")</f>
        <v>106.9136145</v>
      </c>
      <c r="N267" s="40" t="n">
        <f aca="false">IF(ISNUMBER($K267),$K267*Parâmetros!$C$4,"")</f>
        <v>32.07408435</v>
      </c>
      <c r="O267" s="40" t="n">
        <f aca="false">IF(ISNUMBER($K267),IF(ISNUMBER(Parâmetros!$E$4),Parâmetros!$E$4,0),"")</f>
        <v>0</v>
      </c>
      <c r="P267" s="41" t="n">
        <f aca="false">IF(ISNUMBER($K267),$K267-$D267-IF(ISNUMBER($E267),$E267,0)-$L267-$M267-$N267-$O267,"")</f>
        <v>186.4207473</v>
      </c>
      <c r="Q267" s="42" t="n">
        <f aca="false">IF(AND(ISNUMBER($K267),$K267&gt;0),$P267/$K267,"")</f>
        <v>0.174365770133045</v>
      </c>
      <c r="R267" s="43"/>
      <c r="S267" s="44" t="str">
        <f aca="false">IF(OR(NOT(ISNUMBER($R267)),$R267=0,NOT(ISNUMBER($K267))),"",$K267*(1-$R267))</f>
        <v/>
      </c>
      <c r="T267" s="45" t="str">
        <f aca="false">IF(ISNUMBER($S267),$S267*$H267,"")</f>
        <v/>
      </c>
      <c r="U267" s="45" t="str">
        <f aca="false">IF(ISNUMBER($S267),$S267*Parâmetros!$B$4,"")</f>
        <v/>
      </c>
      <c r="V267" s="45" t="str">
        <f aca="false">IF(ISNUMBER($S267),$S267*Parâmetros!$C$4,"")</f>
        <v/>
      </c>
      <c r="W267" s="44" t="str">
        <f aca="false">IF(ISNUMBER($S267),$S267-$D267-IF(ISNUMBER($E267),$E267,0)-$O267-$T267-$U267-$V267,"")</f>
        <v/>
      </c>
      <c r="X267" s="46" t="str">
        <f aca="false">IF(AND(ISNUMBER($S267),$S267&gt;0),$W267/$S267,"")</f>
        <v/>
      </c>
      <c r="Y267" s="49" t="s">
        <v>744</v>
      </c>
      <c r="Z267" s="21"/>
    </row>
    <row r="268" customFormat="false" ht="15.75" hidden="false" customHeight="true" outlineLevel="0" collapsed="false">
      <c r="A268" s="32" t="str">
        <f aca="false">IF(Produtos!$A268="","",Produtos!$A268)</f>
        <v>P4050RA</v>
      </c>
      <c r="B268" s="32" t="str">
        <f aca="false">IF(Produtos!$A268="","",Produtos!$B268)</f>
        <v>Lixeira c/Tampa Pedal 40x50 65L c/Rodízios e Alças</v>
      </c>
      <c r="C268" s="32" t="str">
        <f aca="false">IF(Produtos!$A268="","",Produtos!$C268)</f>
        <v>Lixeiras com pedal</v>
      </c>
      <c r="D268" s="33" t="n">
        <f aca="false">IF(Produtos!$A268="","",IF(Produtos!$D268="","",Produtos!$D268))</f>
        <v>617.39</v>
      </c>
      <c r="E268" s="11" t="n">
        <v>75.65</v>
      </c>
      <c r="F268" s="34" t="n">
        <f aca="false">IF($A268="","",IF($C268="","⚠ categoria",IFERROR(INDEX(Parâmetros!$B$13:$B$22,MATCH($C268,Parâmetros!$A$13:$A$22,0)),"⚠ categoria")))</f>
        <v>0.13</v>
      </c>
      <c r="G268" s="35"/>
      <c r="H268" s="36" t="n">
        <f aca="false">IF($A268="","",IF(ISNUMBER($G268),$G268,IF(ISNUMBER($F268),$F268,"")))</f>
        <v>0.13</v>
      </c>
      <c r="I268" s="37" t="n">
        <f aca="false">IF(OR($A268="",NOT(ISNUMBER($D268)),NOT(ISNUMBER($H268))),"",IF((1-$H268-Parâmetros!$B$4-Parâmetros!$C$4-Parâmetros!$D$4)&lt;=0,"INVALIDO",($D268+IF(ISNUMBER($E268),$E268,0)+IF(ISNUMBER(Parâmetros!$E$4),Parâmetros!$E$4,0))/(1-$H268-Parâmetros!$B$4-Parâmetros!$C$4-Parâmetros!$D$4)))</f>
        <v>1283.40740740741</v>
      </c>
      <c r="J268" s="38" t="n">
        <v>1283.41</v>
      </c>
      <c r="K268" s="39" t="n">
        <f aca="false">IF(OR($A268="",NOT(ISNUMBER($D268)),NOT(ISNUMBER($H268))),"",IF(AND(ISNUMBER($J268),$J268&gt;0),$J268,IF(ISNUMBER($I268),$I268,"")))</f>
        <v>1283.41</v>
      </c>
      <c r="L268" s="40" t="n">
        <f aca="false">IF(ISNUMBER($K268),$K268*$H268,"")</f>
        <v>166.8433</v>
      </c>
      <c r="M268" s="40" t="n">
        <f aca="false">IF(ISNUMBER($K268),$K268*Parâmetros!$B$4,"")</f>
        <v>128.341</v>
      </c>
      <c r="N268" s="40" t="n">
        <f aca="false">IF(ISNUMBER($K268),$K268*Parâmetros!$C$4,"")</f>
        <v>38.5023</v>
      </c>
      <c r="O268" s="40" t="n">
        <f aca="false">IF(ISNUMBER($K268),IF(ISNUMBER(Parâmetros!$E$4),Parâmetros!$E$4,0),"")</f>
        <v>0</v>
      </c>
      <c r="P268" s="41" t="n">
        <f aca="false">IF(ISNUMBER($K268),$K268-$D268-IF(ISNUMBER($E268),$E268,0)-$L268-$M268-$N268-$O268,"")</f>
        <v>256.6834</v>
      </c>
      <c r="Q268" s="42" t="n">
        <f aca="false">IF(AND(ISNUMBER($K268),$K268&gt;0),$P268/$K268,"")</f>
        <v>0.200001090843924</v>
      </c>
      <c r="R268" s="43"/>
      <c r="S268" s="44" t="str">
        <f aca="false">IF(OR(NOT(ISNUMBER($R268)),$R268=0,NOT(ISNUMBER($K268))),"",$K268*(1-$R268))</f>
        <v/>
      </c>
      <c r="T268" s="45" t="str">
        <f aca="false">IF(ISNUMBER($S268),$S268*$H268,"")</f>
        <v/>
      </c>
      <c r="U268" s="45" t="str">
        <f aca="false">IF(ISNUMBER($S268),$S268*Parâmetros!$B$4,"")</f>
        <v/>
      </c>
      <c r="V268" s="45" t="str">
        <f aca="false">IF(ISNUMBER($S268),$S268*Parâmetros!$C$4,"")</f>
        <v/>
      </c>
      <c r="W268" s="44" t="str">
        <f aca="false">IF(ISNUMBER($S268),$S268-$D268-IF(ISNUMBER($E268),$E268,0)-$O268-$T268-$U268-$V268,"")</f>
        <v/>
      </c>
      <c r="X268" s="46" t="str">
        <f aca="false">IF(AND(ISNUMBER($S268),$S268&gt;0),$W268/$S268,"")</f>
        <v/>
      </c>
      <c r="Y268" s="47" t="s">
        <v>744</v>
      </c>
      <c r="Z268" s="19"/>
    </row>
    <row r="269" customFormat="false" ht="15.75" hidden="false" customHeight="true" outlineLevel="0" collapsed="false">
      <c r="A269" s="48" t="str">
        <f aca="false">IF(Produtos!$A269="","",Produtos!$A269)</f>
        <v>P4060RA</v>
      </c>
      <c r="B269" s="48" t="str">
        <f aca="false">IF(Produtos!$A269="","",Produtos!$B269)</f>
        <v>Lixeira c/Tampa Pedal 40x60 75L c/Rodízios e Alças</v>
      </c>
      <c r="C269" s="48" t="str">
        <f aca="false">IF(Produtos!$A269="","",Produtos!$C269)</f>
        <v>Lixeiras com pedal</v>
      </c>
      <c r="D269" s="33" t="n">
        <f aca="false">IF(Produtos!$A269="","",IF(Produtos!$D269="","",Produtos!$D269))</f>
        <v>659.48</v>
      </c>
      <c r="E269" s="11" t="n">
        <v>79.35</v>
      </c>
      <c r="F269" s="34" t="n">
        <f aca="false">IF($A269="","",IF($C269="","⚠ categoria",IFERROR(INDEX(Parâmetros!$B$13:$B$22,MATCH($C269,Parâmetros!$A$13:$A$22,0)),"⚠ categoria")))</f>
        <v>0.13</v>
      </c>
      <c r="G269" s="35"/>
      <c r="H269" s="36" t="n">
        <f aca="false">IF($A269="","",IF(ISNUMBER($G269),$G269,IF(ISNUMBER($F269),$F269,"")))</f>
        <v>0.13</v>
      </c>
      <c r="I269" s="37" t="n">
        <f aca="false">IF(OR($A269="",NOT(ISNUMBER($D269)),NOT(ISNUMBER($H269))),"",IF((1-$H269-Parâmetros!$B$4-Parâmetros!$C$4-Parâmetros!$D$4)&lt;=0,"INVALIDO",($D269+IF(ISNUMBER($E269),$E269,0)+IF(ISNUMBER(Parâmetros!$E$4),Parâmetros!$E$4,0))/(1-$H269-Parâmetros!$B$4-Parâmetros!$C$4-Parâmetros!$D$4)))</f>
        <v>1368.2037037037</v>
      </c>
      <c r="J269" s="38" t="n">
        <v>1308.0467925</v>
      </c>
      <c r="K269" s="39" t="n">
        <f aca="false">IF(OR($A269="",NOT(ISNUMBER($D269)),NOT(ISNUMBER($H269))),"",IF(AND(ISNUMBER($J269),$J269&gt;0),$J269,IF(ISNUMBER($I269),$I269,"")))</f>
        <v>1308.0467925</v>
      </c>
      <c r="L269" s="40" t="n">
        <f aca="false">IF(ISNUMBER($K269),$K269*$H269,"")</f>
        <v>170.046083025</v>
      </c>
      <c r="M269" s="40" t="n">
        <f aca="false">IF(ISNUMBER($K269),$K269*Parâmetros!$B$4,"")</f>
        <v>130.80467925</v>
      </c>
      <c r="N269" s="40" t="n">
        <f aca="false">IF(ISNUMBER($K269),$K269*Parâmetros!$C$4,"")</f>
        <v>39.241403775</v>
      </c>
      <c r="O269" s="40" t="n">
        <f aca="false">IF(ISNUMBER($K269),IF(ISNUMBER(Parâmetros!$E$4),Parâmetros!$E$4,0),"")</f>
        <v>0</v>
      </c>
      <c r="P269" s="41" t="n">
        <f aca="false">IF(ISNUMBER($K269),$K269-$D269-IF(ISNUMBER($E269),$E269,0)-$L269-$M269-$N269-$O269,"")</f>
        <v>229.12462645</v>
      </c>
      <c r="Q269" s="42" t="n">
        <f aca="false">IF(AND(ISNUMBER($K269),$K269&gt;0),$P269/$K269,"")</f>
        <v>0.175165466376081</v>
      </c>
      <c r="R269" s="43"/>
      <c r="S269" s="44" t="str">
        <f aca="false">IF(OR(NOT(ISNUMBER($R269)),$R269=0,NOT(ISNUMBER($K269))),"",$K269*(1-$R269))</f>
        <v/>
      </c>
      <c r="T269" s="45" t="str">
        <f aca="false">IF(ISNUMBER($S269),$S269*$H269,"")</f>
        <v/>
      </c>
      <c r="U269" s="45" t="str">
        <f aca="false">IF(ISNUMBER($S269),$S269*Parâmetros!$B$4,"")</f>
        <v/>
      </c>
      <c r="V269" s="45" t="str">
        <f aca="false">IF(ISNUMBER($S269),$S269*Parâmetros!$C$4,"")</f>
        <v/>
      </c>
      <c r="W269" s="44" t="str">
        <f aca="false">IF(ISNUMBER($S269),$S269-$D269-IF(ISNUMBER($E269),$E269,0)-$O269-$T269-$U269-$V269,"")</f>
        <v/>
      </c>
      <c r="X269" s="46" t="str">
        <f aca="false">IF(AND(ISNUMBER($S269),$S269&gt;0),$W269/$S269,"")</f>
        <v/>
      </c>
      <c r="Y269" s="49" t="s">
        <v>744</v>
      </c>
      <c r="Z269" s="21"/>
    </row>
    <row r="270" customFormat="false" ht="15.75" hidden="false" customHeight="true" outlineLevel="0" collapsed="false">
      <c r="A270" s="32" t="str">
        <f aca="false">IF(Produtos!$A270="","",Produtos!$A270)</f>
        <v>P4070RA</v>
      </c>
      <c r="B270" s="32" t="str">
        <f aca="false">IF(Produtos!$A270="","",Produtos!$B270)</f>
        <v>Lixeira c/Tampa Pedal 40x70 80L c/Rodízios e Alças</v>
      </c>
      <c r="C270" s="32" t="str">
        <f aca="false">IF(Produtos!$A270="","",Produtos!$C270)</f>
        <v>Lixeiras com pedal</v>
      </c>
      <c r="D270" s="33" t="n">
        <f aca="false">IF(Produtos!$A270="","",IF(Produtos!$D270="","",Produtos!$D270))</f>
        <v>698.31</v>
      </c>
      <c r="E270" s="11" t="n">
        <v>91.95</v>
      </c>
      <c r="F270" s="34" t="n">
        <f aca="false">IF($A270="","",IF($C270="","⚠ categoria",IFERROR(INDEX(Parâmetros!$B$13:$B$22,MATCH($C270,Parâmetros!$A$13:$A$22,0)),"⚠ categoria")))</f>
        <v>0.13</v>
      </c>
      <c r="G270" s="35"/>
      <c r="H270" s="36" t="n">
        <f aca="false">IF($A270="","",IF(ISNUMBER($G270),$G270,IF(ISNUMBER($F270),$F270,"")))</f>
        <v>0.13</v>
      </c>
      <c r="I270" s="37" t="n">
        <f aca="false">IF(OR($A270="",NOT(ISNUMBER($D270)),NOT(ISNUMBER($H270))),"",IF((1-$H270-Parâmetros!$B$4-Parâmetros!$C$4-Parâmetros!$D$4)&lt;=0,"INVALIDO",($D270+IF(ISNUMBER($E270),$E270,0)+IF(ISNUMBER(Parâmetros!$E$4),Parâmetros!$E$4,0))/(1-$H270-Parâmetros!$B$4-Parâmetros!$C$4-Parâmetros!$D$4)))</f>
        <v>1463.44444444444</v>
      </c>
      <c r="J270" s="38" t="n">
        <v>1396.89451125</v>
      </c>
      <c r="K270" s="39" t="n">
        <f aca="false">IF(OR($A270="",NOT(ISNUMBER($D270)),NOT(ISNUMBER($H270))),"",IF(AND(ISNUMBER($J270),$J270&gt;0),$J270,IF(ISNUMBER($I270),$I270,"")))</f>
        <v>1396.89451125</v>
      </c>
      <c r="L270" s="40" t="n">
        <f aca="false">IF(ISNUMBER($K270),$K270*$H270,"")</f>
        <v>181.5962864625</v>
      </c>
      <c r="M270" s="40" t="n">
        <f aca="false">IF(ISNUMBER($K270),$K270*Parâmetros!$B$4,"")</f>
        <v>139.689451125</v>
      </c>
      <c r="N270" s="40" t="n">
        <f aca="false">IF(ISNUMBER($K270),$K270*Parâmetros!$C$4,"")</f>
        <v>41.9068353375</v>
      </c>
      <c r="O270" s="40" t="n">
        <f aca="false">IF(ISNUMBER($K270),IF(ISNUMBER(Parâmetros!$E$4),Parâmetros!$E$4,0),"")</f>
        <v>0</v>
      </c>
      <c r="P270" s="41" t="n">
        <f aca="false">IF(ISNUMBER($K270),$K270-$D270-IF(ISNUMBER($E270),$E270,0)-$L270-$M270-$N270-$O270,"")</f>
        <v>243.441938325</v>
      </c>
      <c r="Q270" s="42" t="n">
        <f aca="false">IF(AND(ISNUMBER($K270),$K270&gt;0),$P270/$K270,"")</f>
        <v>0.174273673755907</v>
      </c>
      <c r="R270" s="43"/>
      <c r="S270" s="44" t="str">
        <f aca="false">IF(OR(NOT(ISNUMBER($R270)),$R270=0,NOT(ISNUMBER($K270))),"",$K270*(1-$R270))</f>
        <v/>
      </c>
      <c r="T270" s="45" t="str">
        <f aca="false">IF(ISNUMBER($S270),$S270*$H270,"")</f>
        <v/>
      </c>
      <c r="U270" s="45" t="str">
        <f aca="false">IF(ISNUMBER($S270),$S270*Parâmetros!$B$4,"")</f>
        <v/>
      </c>
      <c r="V270" s="45" t="str">
        <f aca="false">IF(ISNUMBER($S270),$S270*Parâmetros!$C$4,"")</f>
        <v/>
      </c>
      <c r="W270" s="44" t="str">
        <f aca="false">IF(ISNUMBER($S270),$S270-$D270-IF(ISNUMBER($E270),$E270,0)-$O270-$T270-$U270-$V270,"")</f>
        <v/>
      </c>
      <c r="X270" s="46" t="str">
        <f aca="false">IF(AND(ISNUMBER($S270),$S270&gt;0),$W270/$S270,"")</f>
        <v/>
      </c>
      <c r="Y270" s="47" t="s">
        <v>744</v>
      </c>
      <c r="Z270" s="19"/>
    </row>
    <row r="271" customFormat="false" ht="15.75" hidden="false" customHeight="true" outlineLevel="0" collapsed="false">
      <c r="A271" s="48" t="str">
        <f aca="false">IF(Produtos!$A271="","",Produtos!$A271)</f>
        <v>P4075RA</v>
      </c>
      <c r="B271" s="48" t="str">
        <f aca="false">IF(Produtos!$A271="","",Produtos!$B271)</f>
        <v>Lixeira c/Tampa Pedal 40x75 95L c/Rodízios e Alças</v>
      </c>
      <c r="C271" s="48" t="str">
        <f aca="false">IF(Produtos!$A271="","",Produtos!$C271)</f>
        <v>Lixeiras com pedal</v>
      </c>
      <c r="D271" s="33" t="n">
        <f aca="false">IF(Produtos!$A271="","",IF(Produtos!$D271="","",Produtos!$D271))</f>
        <v>731.92</v>
      </c>
      <c r="E271" s="11" t="n">
        <v>91.95</v>
      </c>
      <c r="F271" s="34" t="n">
        <f aca="false">IF($A271="","",IF($C271="","⚠ categoria",IFERROR(INDEX(Parâmetros!$B$13:$B$22,MATCH($C271,Parâmetros!$A$13:$A$22,0)),"⚠ categoria")))</f>
        <v>0.13</v>
      </c>
      <c r="G271" s="35"/>
      <c r="H271" s="36" t="n">
        <f aca="false">IF($A271="","",IF(ISNUMBER($G271),$G271,IF(ISNUMBER($F271),$F271,"")))</f>
        <v>0.13</v>
      </c>
      <c r="I271" s="37" t="n">
        <f aca="false">IF(OR($A271="",NOT(ISNUMBER($D271)),NOT(ISNUMBER($H271))),"",IF((1-$H271-Parâmetros!$B$4-Parâmetros!$C$4-Parâmetros!$D$4)&lt;=0,"INVALIDO",($D271+IF(ISNUMBER($E271),$E271,0)+IF(ISNUMBER(Parâmetros!$E$4),Parâmetros!$E$4,0))/(1-$H271-Parâmetros!$B$4-Parâmetros!$C$4-Parâmetros!$D$4)))</f>
        <v>1525.68518518519</v>
      </c>
      <c r="J271" s="38" t="n">
        <v>1457.94765375</v>
      </c>
      <c r="K271" s="39" t="n">
        <f aca="false">IF(OR($A271="",NOT(ISNUMBER($D271)),NOT(ISNUMBER($H271))),"",IF(AND(ISNUMBER($J271),$J271&gt;0),$J271,IF(ISNUMBER($I271),$I271,"")))</f>
        <v>1457.94765375</v>
      </c>
      <c r="L271" s="40" t="n">
        <f aca="false">IF(ISNUMBER($K271),$K271*$H271,"")</f>
        <v>189.5331949875</v>
      </c>
      <c r="M271" s="40" t="n">
        <f aca="false">IF(ISNUMBER($K271),$K271*Parâmetros!$B$4,"")</f>
        <v>145.794765375</v>
      </c>
      <c r="N271" s="40" t="n">
        <f aca="false">IF(ISNUMBER($K271),$K271*Parâmetros!$C$4,"")</f>
        <v>43.7384296125</v>
      </c>
      <c r="O271" s="40" t="n">
        <f aca="false">IF(ISNUMBER($K271),IF(ISNUMBER(Parâmetros!$E$4),Parâmetros!$E$4,0),"")</f>
        <v>0</v>
      </c>
      <c r="P271" s="41" t="n">
        <f aca="false">IF(ISNUMBER($K271),$K271-$D271-IF(ISNUMBER($E271),$E271,0)-$L271-$M271-$N271-$O271,"")</f>
        <v>255.011263775</v>
      </c>
      <c r="Q271" s="42" t="n">
        <f aca="false">IF(AND(ISNUMBER($K271),$K271&gt;0),$P271/$K271,"")</f>
        <v>0.174911124634059</v>
      </c>
      <c r="R271" s="43"/>
      <c r="S271" s="44" t="str">
        <f aca="false">IF(OR(NOT(ISNUMBER($R271)),$R271=0,NOT(ISNUMBER($K271))),"",$K271*(1-$R271))</f>
        <v/>
      </c>
      <c r="T271" s="45" t="str">
        <f aca="false">IF(ISNUMBER($S271),$S271*$H271,"")</f>
        <v/>
      </c>
      <c r="U271" s="45" t="str">
        <f aca="false">IF(ISNUMBER($S271),$S271*Parâmetros!$B$4,"")</f>
        <v/>
      </c>
      <c r="V271" s="45" t="str">
        <f aca="false">IF(ISNUMBER($S271),$S271*Parâmetros!$C$4,"")</f>
        <v/>
      </c>
      <c r="W271" s="44" t="str">
        <f aca="false">IF(ISNUMBER($S271),$S271-$D271-IF(ISNUMBER($E271),$E271,0)-$O271-$T271-$U271-$V271,"")</f>
        <v/>
      </c>
      <c r="X271" s="46" t="str">
        <f aca="false">IF(AND(ISNUMBER($S271),$S271&gt;0),$W271/$S271,"")</f>
        <v/>
      </c>
      <c r="Y271" s="49" t="s">
        <v>744</v>
      </c>
      <c r="Z271" s="21"/>
    </row>
    <row r="272" customFormat="false" ht="15.75" hidden="false" customHeight="true" outlineLevel="0" collapsed="false">
      <c r="A272" s="32" t="str">
        <f aca="false">IF(Produtos!$A272="","",Produtos!$A272)</f>
        <v>P4080RA</v>
      </c>
      <c r="B272" s="32" t="str">
        <f aca="false">IF(Produtos!$A272="","",Produtos!$B272)</f>
        <v>Lixeira c/Tampa Pedal 40x80 100L c/Rodízios e Alças</v>
      </c>
      <c r="C272" s="32" t="str">
        <f aca="false">IF(Produtos!$A272="","",Produtos!$C272)</f>
        <v>Lixeiras com pedal</v>
      </c>
      <c r="D272" s="33" t="n">
        <f aca="false">IF(Produtos!$A272="","",IF(Produtos!$D272="","",Produtos!$D272))</f>
        <v>816.17</v>
      </c>
      <c r="E272" s="11" t="n">
        <v>106.85</v>
      </c>
      <c r="F272" s="34" t="n">
        <f aca="false">IF($A272="","",IF($C272="","⚠ categoria",IFERROR(INDEX(Parâmetros!$B$13:$B$22,MATCH($C272,Parâmetros!$A$13:$A$22,0)),"⚠ categoria")))</f>
        <v>0.13</v>
      </c>
      <c r="G272" s="35"/>
      <c r="H272" s="36" t="n">
        <f aca="false">IF($A272="","",IF(ISNUMBER($G272),$G272,IF(ISNUMBER($F272),$F272,"")))</f>
        <v>0.13</v>
      </c>
      <c r="I272" s="37" t="n">
        <f aca="false">IF(OR($A272="",NOT(ISNUMBER($D272)),NOT(ISNUMBER($H272))),"",IF((1-$H272-Parâmetros!$B$4-Parâmetros!$C$4-Parâmetros!$D$4)&lt;=0,"INVALIDO",($D272+IF(ISNUMBER($E272),$E272,0)+IF(ISNUMBER(Parâmetros!$E$4),Parâmetros!$E$4,0))/(1-$H272-Parâmetros!$B$4-Parâmetros!$C$4-Parâmetros!$D$4)))</f>
        <v>1709.2962962963</v>
      </c>
      <c r="J272" s="38" t="n">
        <v>1744.9047</v>
      </c>
      <c r="K272" s="39" t="n">
        <f aca="false">IF(OR($A272="",NOT(ISNUMBER($D272)),NOT(ISNUMBER($H272))),"",IF(AND(ISNUMBER($J272),$J272&gt;0),$J272,IF(ISNUMBER($I272),$I272,"")))</f>
        <v>1744.9047</v>
      </c>
      <c r="L272" s="40" t="n">
        <f aca="false">IF(ISNUMBER($K272),$K272*$H272,"")</f>
        <v>226.837611</v>
      </c>
      <c r="M272" s="40" t="n">
        <f aca="false">IF(ISNUMBER($K272),$K272*Parâmetros!$B$4,"")</f>
        <v>174.49047</v>
      </c>
      <c r="N272" s="40" t="n">
        <f aca="false">IF(ISNUMBER($K272),$K272*Parâmetros!$C$4,"")</f>
        <v>52.347141</v>
      </c>
      <c r="O272" s="40" t="n">
        <f aca="false">IF(ISNUMBER($K272),IF(ISNUMBER(Parâmetros!$E$4),Parâmetros!$E$4,0),"")</f>
        <v>0</v>
      </c>
      <c r="P272" s="41" t="n">
        <f aca="false">IF(ISNUMBER($K272),$K272-$D272-IF(ISNUMBER($E272),$E272,0)-$L272-$M272-$N272-$O272,"")</f>
        <v>368.209478</v>
      </c>
      <c r="Q272" s="42" t="n">
        <f aca="false">IF(AND(ISNUMBER($K272),$K272&gt;0),$P272/$K272,"")</f>
        <v>0.211019821311731</v>
      </c>
      <c r="R272" s="43"/>
      <c r="S272" s="44" t="str">
        <f aca="false">IF(OR(NOT(ISNUMBER($R272)),$R272=0,NOT(ISNUMBER($K272))),"",$K272*(1-$R272))</f>
        <v/>
      </c>
      <c r="T272" s="45" t="str">
        <f aca="false">IF(ISNUMBER($S272),$S272*$H272,"")</f>
        <v/>
      </c>
      <c r="U272" s="45" t="str">
        <f aca="false">IF(ISNUMBER($S272),$S272*Parâmetros!$B$4,"")</f>
        <v/>
      </c>
      <c r="V272" s="45" t="str">
        <f aca="false">IF(ISNUMBER($S272),$S272*Parâmetros!$C$4,"")</f>
        <v/>
      </c>
      <c r="W272" s="44" t="str">
        <f aca="false">IF(ISNUMBER($S272),$S272-$D272-IF(ISNUMBER($E272),$E272,0)-$O272-$T272-$U272-$V272,"")</f>
        <v/>
      </c>
      <c r="X272" s="46" t="str">
        <f aca="false">IF(AND(ISNUMBER($S272),$S272&gt;0),$W272/$S272,"")</f>
        <v/>
      </c>
      <c r="Y272" s="47" t="s">
        <v>744</v>
      </c>
      <c r="Z272" s="19"/>
    </row>
    <row r="273" customFormat="false" ht="15.75" hidden="false" customHeight="true" outlineLevel="0" collapsed="false">
      <c r="A273" s="48" t="str">
        <f aca="false">IF(Produtos!$A273="","",Produtos!$A273)</f>
        <v>P4090RA</v>
      </c>
      <c r="B273" s="48" t="str">
        <f aca="false">IF(Produtos!$A273="","",Produtos!$B273)</f>
        <v>Lixeira c/Tampa Pedal 40x90 120L c/Rodízios e Alças</v>
      </c>
      <c r="C273" s="48" t="str">
        <f aca="false">IF(Produtos!$A273="","",Produtos!$C273)</f>
        <v>Lixeiras com pedal</v>
      </c>
      <c r="D273" s="33" t="n">
        <f aca="false">IF(Produtos!$A273="","",IF(Produtos!$D273="","",Produtos!$D273))</f>
        <v>1058.68</v>
      </c>
      <c r="E273" s="11" t="n">
        <v>106.85</v>
      </c>
      <c r="F273" s="34" t="n">
        <f aca="false">IF($A273="","",IF($C273="","⚠ categoria",IFERROR(INDEX(Parâmetros!$B$13:$B$22,MATCH($C273,Parâmetros!$A$13:$A$22,0)),"⚠ categoria")))</f>
        <v>0.13</v>
      </c>
      <c r="G273" s="35"/>
      <c r="H273" s="36" t="n">
        <f aca="false">IF($A273="","",IF(ISNUMBER($G273),$G273,IF(ISNUMBER($F273),$F273,"")))</f>
        <v>0.13</v>
      </c>
      <c r="I273" s="37" t="n">
        <f aca="false">IF(OR($A273="",NOT(ISNUMBER($D273)),NOT(ISNUMBER($H273))),"",IF((1-$H273-Parâmetros!$B$4-Parâmetros!$C$4-Parâmetros!$D$4)&lt;=0,"INVALIDO",($D273+IF(ISNUMBER($E273),$E273,0)+IF(ISNUMBER(Parâmetros!$E$4),Parâmetros!$E$4,0))/(1-$H273-Parâmetros!$B$4-Parâmetros!$C$4-Parâmetros!$D$4)))</f>
        <v>2158.38888888889</v>
      </c>
      <c r="J273" s="38" t="n">
        <v>2069.21995875</v>
      </c>
      <c r="K273" s="39" t="n">
        <f aca="false">IF(OR($A273="",NOT(ISNUMBER($D273)),NOT(ISNUMBER($H273))),"",IF(AND(ISNUMBER($J273),$J273&gt;0),$J273,IF(ISNUMBER($I273),$I273,"")))</f>
        <v>2069.21995875</v>
      </c>
      <c r="L273" s="40" t="n">
        <f aca="false">IF(ISNUMBER($K273),$K273*$H273,"")</f>
        <v>268.9985946375</v>
      </c>
      <c r="M273" s="40" t="n">
        <f aca="false">IF(ISNUMBER($K273),$K273*Parâmetros!$B$4,"")</f>
        <v>206.921995875</v>
      </c>
      <c r="N273" s="40" t="n">
        <f aca="false">IF(ISNUMBER($K273),$K273*Parâmetros!$C$4,"")</f>
        <v>62.0765987625</v>
      </c>
      <c r="O273" s="40" t="n">
        <f aca="false">IF(ISNUMBER($K273),IF(ISNUMBER(Parâmetros!$E$4),Parâmetros!$E$4,0),"")</f>
        <v>0</v>
      </c>
      <c r="P273" s="41" t="n">
        <f aca="false">IF(ISNUMBER($K273),$K273-$D273-IF(ISNUMBER($E273),$E273,0)-$L273-$M273-$N273-$O273,"")</f>
        <v>365.692769475</v>
      </c>
      <c r="Q273" s="42" t="n">
        <f aca="false">IF(AND(ISNUMBER($K273),$K273&gt;0),$P273/$K273,"")</f>
        <v>0.176729771007966</v>
      </c>
      <c r="R273" s="43"/>
      <c r="S273" s="44" t="str">
        <f aca="false">IF(OR(NOT(ISNUMBER($R273)),$R273=0,NOT(ISNUMBER($K273))),"",$K273*(1-$R273))</f>
        <v/>
      </c>
      <c r="T273" s="45" t="str">
        <f aca="false">IF(ISNUMBER($S273),$S273*$H273,"")</f>
        <v/>
      </c>
      <c r="U273" s="45" t="str">
        <f aca="false">IF(ISNUMBER($S273),$S273*Parâmetros!$B$4,"")</f>
        <v/>
      </c>
      <c r="V273" s="45" t="str">
        <f aca="false">IF(ISNUMBER($S273),$S273*Parâmetros!$C$4,"")</f>
        <v/>
      </c>
      <c r="W273" s="44" t="str">
        <f aca="false">IF(ISNUMBER($S273),$S273-$D273-IF(ISNUMBER($E273),$E273,0)-$O273-$T273-$U273-$V273,"")</f>
        <v/>
      </c>
      <c r="X273" s="46" t="str">
        <f aca="false">IF(AND(ISNUMBER($S273),$S273&gt;0),$W273/$S273,"")</f>
        <v/>
      </c>
      <c r="Y273" s="49" t="s">
        <v>744</v>
      </c>
      <c r="Z273" s="21"/>
    </row>
    <row r="274" customFormat="false" ht="15.75" hidden="false" customHeight="true" outlineLevel="0" collapsed="false">
      <c r="A274" s="32" t="str">
        <f aca="false">IF(Produtos!$A274="","",Produtos!$A274)</f>
        <v>P3050R</v>
      </c>
      <c r="B274" s="32" t="str">
        <f aca="false">IF(Produtos!$A274="","",Produtos!$B274)</f>
        <v>Lixeira c/Tampa Pedal 30x50 40L c/Rodízios</v>
      </c>
      <c r="C274" s="32" t="str">
        <f aca="false">IF(Produtos!$A274="","",Produtos!$C274)</f>
        <v>Lixeiras com pedal</v>
      </c>
      <c r="D274" s="33" t="n">
        <f aca="false">IF(Produtos!$A274="","",IF(Produtos!$D274="","",Produtos!$D274))</f>
        <v>418.9</v>
      </c>
      <c r="E274" s="11"/>
      <c r="F274" s="34" t="n">
        <f aca="false">IF($A274="","",IF($C274="","⚠ categoria",IFERROR(INDEX(Parâmetros!$B$13:$B$22,MATCH($C274,Parâmetros!$A$13:$A$22,0)),"⚠ categoria")))</f>
        <v>0.13</v>
      </c>
      <c r="G274" s="35"/>
      <c r="H274" s="36" t="n">
        <f aca="false">IF($A274="","",IF(ISNUMBER($G274),$G274,IF(ISNUMBER($F274),$F274,"")))</f>
        <v>0.13</v>
      </c>
      <c r="I274" s="37" t="n">
        <f aca="false">IF(OR($A274="",NOT(ISNUMBER($D274)),NOT(ISNUMBER($H274))),"",IF((1-$H274-Parâmetros!$B$4-Parâmetros!$C$4-Parâmetros!$D$4)&lt;=0,"INVALIDO",($D274+IF(ISNUMBER($E274),$E274,0)+IF(ISNUMBER(Parâmetros!$E$4),Parâmetros!$E$4,0))/(1-$H274-Parâmetros!$B$4-Parâmetros!$C$4-Parâmetros!$D$4)))</f>
        <v>775.740740740741</v>
      </c>
      <c r="J274" s="38"/>
      <c r="K274" s="39" t="n">
        <f aca="false">IF(OR($A274="",NOT(ISNUMBER($D274)),NOT(ISNUMBER($H274))),"",IF(AND(ISNUMBER($J274),$J274&gt;0),$J274,IF(ISNUMBER($I274),$I274,"")))</f>
        <v>775.740740740741</v>
      </c>
      <c r="L274" s="40" t="n">
        <f aca="false">IF(ISNUMBER($K274),$K274*$H274,"")</f>
        <v>100.846296296296</v>
      </c>
      <c r="M274" s="40" t="n">
        <f aca="false">IF(ISNUMBER($K274),$K274*Parâmetros!$B$4,"")</f>
        <v>77.5740740740741</v>
      </c>
      <c r="N274" s="40" t="n">
        <f aca="false">IF(ISNUMBER($K274),$K274*Parâmetros!$C$4,"")</f>
        <v>23.2722222222222</v>
      </c>
      <c r="O274" s="40" t="n">
        <f aca="false">IF(ISNUMBER($K274),IF(ISNUMBER(Parâmetros!$E$4),Parâmetros!$E$4,0),"")</f>
        <v>0</v>
      </c>
      <c r="P274" s="41" t="n">
        <f aca="false">IF(ISNUMBER($K274),$K274-$D274-IF(ISNUMBER($E274),$E274,0)-$L274-$M274-$N274-$O274,"")</f>
        <v>155.148148148148</v>
      </c>
      <c r="Q274" s="42" t="n">
        <f aca="false">IF(AND(ISNUMBER($K274),$K274&gt;0),$P274/$K274,"")</f>
        <v>0.2</v>
      </c>
      <c r="R274" s="43"/>
      <c r="S274" s="44" t="str">
        <f aca="false">IF(OR(NOT(ISNUMBER($R274)),$R274=0,NOT(ISNUMBER($K274))),"",$K274*(1-$R274))</f>
        <v/>
      </c>
      <c r="T274" s="45" t="str">
        <f aca="false">IF(ISNUMBER($S274),$S274*$H274,"")</f>
        <v/>
      </c>
      <c r="U274" s="45" t="str">
        <f aca="false">IF(ISNUMBER($S274),$S274*Parâmetros!$B$4,"")</f>
        <v/>
      </c>
      <c r="V274" s="45" t="str">
        <f aca="false">IF(ISNUMBER($S274),$S274*Parâmetros!$C$4,"")</f>
        <v/>
      </c>
      <c r="W274" s="44" t="str">
        <f aca="false">IF(ISNUMBER($S274),$S274-$D274-IF(ISNUMBER($E274),$E274,0)-$O274-$T274-$U274-$V274,"")</f>
        <v/>
      </c>
      <c r="X274" s="46" t="str">
        <f aca="false">IF(AND(ISNUMBER($S274),$S274&gt;0),$W274/$S274,"")</f>
        <v/>
      </c>
      <c r="Y274" s="47"/>
      <c r="Z274" s="19"/>
    </row>
    <row r="275" customFormat="false" ht="15.75" hidden="false" customHeight="true" outlineLevel="0" collapsed="false">
      <c r="A275" s="48" t="str">
        <f aca="false">IF(Produtos!$A275="","",Produtos!$A275)</f>
        <v>P3060R</v>
      </c>
      <c r="B275" s="48" t="str">
        <f aca="false">IF(Produtos!$A275="","",Produtos!$B275)</f>
        <v>Lixeira c/Tampa Pedal 30x60 50L c/Rodízios</v>
      </c>
      <c r="C275" s="48" t="str">
        <f aca="false">IF(Produtos!$A275="","",Produtos!$C275)</f>
        <v>Lixeiras com pedal</v>
      </c>
      <c r="D275" s="33" t="n">
        <f aca="false">IF(Produtos!$A275="","",IF(Produtos!$D275="","",Produtos!$D275))</f>
        <v>421.43</v>
      </c>
      <c r="E275" s="11"/>
      <c r="F275" s="34" t="n">
        <f aca="false">IF($A275="","",IF($C275="","⚠ categoria",IFERROR(INDEX(Parâmetros!$B$13:$B$22,MATCH($C275,Parâmetros!$A$13:$A$22,0)),"⚠ categoria")))</f>
        <v>0.13</v>
      </c>
      <c r="G275" s="35"/>
      <c r="H275" s="36" t="n">
        <f aca="false">IF($A275="","",IF(ISNUMBER($G275),$G275,IF(ISNUMBER($F275),$F275,"")))</f>
        <v>0.13</v>
      </c>
      <c r="I275" s="37" t="n">
        <f aca="false">IF(OR($A275="",NOT(ISNUMBER($D275)),NOT(ISNUMBER($H275))),"",IF((1-$H275-Parâmetros!$B$4-Parâmetros!$C$4-Parâmetros!$D$4)&lt;=0,"INVALIDO",($D275+IF(ISNUMBER($E275),$E275,0)+IF(ISNUMBER(Parâmetros!$E$4),Parâmetros!$E$4,0))/(1-$H275-Parâmetros!$B$4-Parâmetros!$C$4-Parâmetros!$D$4)))</f>
        <v>780.425925925926</v>
      </c>
      <c r="J275" s="38"/>
      <c r="K275" s="39" t="n">
        <f aca="false">IF(OR($A275="",NOT(ISNUMBER($D275)),NOT(ISNUMBER($H275))),"",IF(AND(ISNUMBER($J275),$J275&gt;0),$J275,IF(ISNUMBER($I275),$I275,"")))</f>
        <v>780.425925925926</v>
      </c>
      <c r="L275" s="40" t="n">
        <f aca="false">IF(ISNUMBER($K275),$K275*$H275,"")</f>
        <v>101.45537037037</v>
      </c>
      <c r="M275" s="40" t="n">
        <f aca="false">IF(ISNUMBER($K275),$K275*Parâmetros!$B$4,"")</f>
        <v>78.0425925925926</v>
      </c>
      <c r="N275" s="40" t="n">
        <f aca="false">IF(ISNUMBER($K275),$K275*Parâmetros!$C$4,"")</f>
        <v>23.4127777777778</v>
      </c>
      <c r="O275" s="40" t="n">
        <f aca="false">IF(ISNUMBER($K275),IF(ISNUMBER(Parâmetros!$E$4),Parâmetros!$E$4,0),"")</f>
        <v>0</v>
      </c>
      <c r="P275" s="41" t="n">
        <f aca="false">IF(ISNUMBER($K275),$K275-$D275-IF(ISNUMBER($E275),$E275,0)-$L275-$M275-$N275-$O275,"")</f>
        <v>156.085185185185</v>
      </c>
      <c r="Q275" s="42" t="n">
        <f aca="false">IF(AND(ISNUMBER($K275),$K275&gt;0),$P275/$K275,"")</f>
        <v>0.2</v>
      </c>
      <c r="R275" s="43"/>
      <c r="S275" s="44" t="str">
        <f aca="false">IF(OR(NOT(ISNUMBER($R275)),$R275=0,NOT(ISNUMBER($K275))),"",$K275*(1-$R275))</f>
        <v/>
      </c>
      <c r="T275" s="45" t="str">
        <f aca="false">IF(ISNUMBER($S275),$S275*$H275,"")</f>
        <v/>
      </c>
      <c r="U275" s="45" t="str">
        <f aca="false">IF(ISNUMBER($S275),$S275*Parâmetros!$B$4,"")</f>
        <v/>
      </c>
      <c r="V275" s="45" t="str">
        <f aca="false">IF(ISNUMBER($S275),$S275*Parâmetros!$C$4,"")</f>
        <v/>
      </c>
      <c r="W275" s="44" t="str">
        <f aca="false">IF(ISNUMBER($S275),$S275-$D275-IF(ISNUMBER($E275),$E275,0)-$O275-$T275-$U275-$V275,"")</f>
        <v/>
      </c>
      <c r="X275" s="46" t="str">
        <f aca="false">IF(AND(ISNUMBER($S275),$S275&gt;0),$W275/$S275,"")</f>
        <v/>
      </c>
      <c r="Y275" s="49"/>
      <c r="Z275" s="21"/>
    </row>
    <row r="276" customFormat="false" ht="15.75" hidden="false" customHeight="true" outlineLevel="0" collapsed="false">
      <c r="A276" s="32" t="str">
        <f aca="false">IF(Produtos!$A276="","",Produtos!$A276)</f>
        <v>P3070R</v>
      </c>
      <c r="B276" s="32" t="str">
        <f aca="false">IF(Produtos!$A276="","",Produtos!$B276)</f>
        <v>Lixeira c/Tampa Pedal 30x70 60L c/Rodízios</v>
      </c>
      <c r="C276" s="32" t="str">
        <f aca="false">IF(Produtos!$A276="","",Produtos!$C276)</f>
        <v>Lixeiras com pedal</v>
      </c>
      <c r="D276" s="33" t="n">
        <f aca="false">IF(Produtos!$A276="","",IF(Produtos!$D276="","",Produtos!$D276))</f>
        <v>491.65</v>
      </c>
      <c r="E276" s="11"/>
      <c r="F276" s="34" t="n">
        <f aca="false">IF($A276="","",IF($C276="","⚠ categoria",IFERROR(INDEX(Parâmetros!$B$13:$B$22,MATCH($C276,Parâmetros!$A$13:$A$22,0)),"⚠ categoria")))</f>
        <v>0.13</v>
      </c>
      <c r="G276" s="35"/>
      <c r="H276" s="36" t="n">
        <f aca="false">IF($A276="","",IF(ISNUMBER($G276),$G276,IF(ISNUMBER($F276),$F276,"")))</f>
        <v>0.13</v>
      </c>
      <c r="I276" s="37" t="n">
        <f aca="false">IF(OR($A276="",NOT(ISNUMBER($D276)),NOT(ISNUMBER($H276))),"",IF((1-$H276-Parâmetros!$B$4-Parâmetros!$C$4-Parâmetros!$D$4)&lt;=0,"INVALIDO",($D276+IF(ISNUMBER($E276),$E276,0)+IF(ISNUMBER(Parâmetros!$E$4),Parâmetros!$E$4,0))/(1-$H276-Parâmetros!$B$4-Parâmetros!$C$4-Parâmetros!$D$4)))</f>
        <v>910.462962962963</v>
      </c>
      <c r="J276" s="38"/>
      <c r="K276" s="39" t="n">
        <f aca="false">IF(OR($A276="",NOT(ISNUMBER($D276)),NOT(ISNUMBER($H276))),"",IF(AND(ISNUMBER($J276),$J276&gt;0),$J276,IF(ISNUMBER($I276),$I276,"")))</f>
        <v>910.462962962963</v>
      </c>
      <c r="L276" s="40" t="n">
        <f aca="false">IF(ISNUMBER($K276),$K276*$H276,"")</f>
        <v>118.360185185185</v>
      </c>
      <c r="M276" s="40" t="n">
        <f aca="false">IF(ISNUMBER($K276),$K276*Parâmetros!$B$4,"")</f>
        <v>91.0462962962963</v>
      </c>
      <c r="N276" s="40" t="n">
        <f aca="false">IF(ISNUMBER($K276),$K276*Parâmetros!$C$4,"")</f>
        <v>27.3138888888889</v>
      </c>
      <c r="O276" s="40" t="n">
        <f aca="false">IF(ISNUMBER($K276),IF(ISNUMBER(Parâmetros!$E$4),Parâmetros!$E$4,0),"")</f>
        <v>0</v>
      </c>
      <c r="P276" s="41" t="n">
        <f aca="false">IF(ISNUMBER($K276),$K276-$D276-IF(ISNUMBER($E276),$E276,0)-$L276-$M276-$N276-$O276,"")</f>
        <v>182.092592592593</v>
      </c>
      <c r="Q276" s="42" t="n">
        <f aca="false">IF(AND(ISNUMBER($K276),$K276&gt;0),$P276/$K276,"")</f>
        <v>0.2</v>
      </c>
      <c r="R276" s="43"/>
      <c r="S276" s="44" t="str">
        <f aca="false">IF(OR(NOT(ISNUMBER($R276)),$R276=0,NOT(ISNUMBER($K276))),"",$K276*(1-$R276))</f>
        <v/>
      </c>
      <c r="T276" s="45" t="str">
        <f aca="false">IF(ISNUMBER($S276),$S276*$H276,"")</f>
        <v/>
      </c>
      <c r="U276" s="45" t="str">
        <f aca="false">IF(ISNUMBER($S276),$S276*Parâmetros!$B$4,"")</f>
        <v/>
      </c>
      <c r="V276" s="45" t="str">
        <f aca="false">IF(ISNUMBER($S276),$S276*Parâmetros!$C$4,"")</f>
        <v/>
      </c>
      <c r="W276" s="44" t="str">
        <f aca="false">IF(ISNUMBER($S276),$S276-$D276-IF(ISNUMBER($E276),$E276,0)-$O276-$T276-$U276-$V276,"")</f>
        <v/>
      </c>
      <c r="X276" s="46" t="str">
        <f aca="false">IF(AND(ISNUMBER($S276),$S276&gt;0),$W276/$S276,"")</f>
        <v/>
      </c>
      <c r="Y276" s="47"/>
      <c r="Z276" s="19"/>
    </row>
    <row r="277" customFormat="false" ht="15.75" hidden="false" customHeight="true" outlineLevel="0" collapsed="false">
      <c r="A277" s="48" t="str">
        <f aca="false">IF(Produtos!$A277="","",Produtos!$A277)</f>
        <v>P4050R</v>
      </c>
      <c r="B277" s="48" t="str">
        <f aca="false">IF(Produtos!$A277="","",Produtos!$B277)</f>
        <v>Lixeira c/Tampa Pedal 40x50 65L c/Rodízios</v>
      </c>
      <c r="C277" s="48" t="str">
        <f aca="false">IF(Produtos!$A277="","",Produtos!$C277)</f>
        <v>Lixeiras com pedal</v>
      </c>
      <c r="D277" s="33" t="n">
        <f aca="false">IF(Produtos!$A277="","",IF(Produtos!$D277="","",Produtos!$D277))</f>
        <v>659.48</v>
      </c>
      <c r="E277" s="11"/>
      <c r="F277" s="34" t="n">
        <f aca="false">IF($A277="","",IF($C277="","⚠ categoria",IFERROR(INDEX(Parâmetros!$B$13:$B$22,MATCH($C277,Parâmetros!$A$13:$A$22,0)),"⚠ categoria")))</f>
        <v>0.13</v>
      </c>
      <c r="G277" s="35"/>
      <c r="H277" s="36" t="n">
        <f aca="false">IF($A277="","",IF(ISNUMBER($G277),$G277,IF(ISNUMBER($F277),$F277,"")))</f>
        <v>0.13</v>
      </c>
      <c r="I277" s="37" t="n">
        <f aca="false">IF(OR($A277="",NOT(ISNUMBER($D277)),NOT(ISNUMBER($H277))),"",IF((1-$H277-Parâmetros!$B$4-Parâmetros!$C$4-Parâmetros!$D$4)&lt;=0,"INVALIDO",($D277+IF(ISNUMBER($E277),$E277,0)+IF(ISNUMBER(Parâmetros!$E$4),Parâmetros!$E$4,0))/(1-$H277-Parâmetros!$B$4-Parâmetros!$C$4-Parâmetros!$D$4)))</f>
        <v>1221.25925925926</v>
      </c>
      <c r="J277" s="38"/>
      <c r="K277" s="39" t="n">
        <f aca="false">IF(OR($A277="",NOT(ISNUMBER($D277)),NOT(ISNUMBER($H277))),"",IF(AND(ISNUMBER($J277),$J277&gt;0),$J277,IF(ISNUMBER($I277),$I277,"")))</f>
        <v>1221.25925925926</v>
      </c>
      <c r="L277" s="40" t="n">
        <f aca="false">IF(ISNUMBER($K277),$K277*$H277,"")</f>
        <v>158.763703703704</v>
      </c>
      <c r="M277" s="40" t="n">
        <f aca="false">IF(ISNUMBER($K277),$K277*Parâmetros!$B$4,"")</f>
        <v>122.125925925926</v>
      </c>
      <c r="N277" s="40" t="n">
        <f aca="false">IF(ISNUMBER($K277),$K277*Parâmetros!$C$4,"")</f>
        <v>36.6377777777778</v>
      </c>
      <c r="O277" s="40" t="n">
        <f aca="false">IF(ISNUMBER($K277),IF(ISNUMBER(Parâmetros!$E$4),Parâmetros!$E$4,0),"")</f>
        <v>0</v>
      </c>
      <c r="P277" s="41" t="n">
        <f aca="false">IF(ISNUMBER($K277),$K277-$D277-IF(ISNUMBER($E277),$E277,0)-$L277-$M277-$N277-$O277,"")</f>
        <v>244.251851851852</v>
      </c>
      <c r="Q277" s="42" t="n">
        <f aca="false">IF(AND(ISNUMBER($K277),$K277&gt;0),$P277/$K277,"")</f>
        <v>0.2</v>
      </c>
      <c r="R277" s="43"/>
      <c r="S277" s="44" t="str">
        <f aca="false">IF(OR(NOT(ISNUMBER($R277)),$R277=0,NOT(ISNUMBER($K277))),"",$K277*(1-$R277))</f>
        <v/>
      </c>
      <c r="T277" s="45" t="str">
        <f aca="false">IF(ISNUMBER($S277),$S277*$H277,"")</f>
        <v/>
      </c>
      <c r="U277" s="45" t="str">
        <f aca="false">IF(ISNUMBER($S277),$S277*Parâmetros!$B$4,"")</f>
        <v/>
      </c>
      <c r="V277" s="45" t="str">
        <f aca="false">IF(ISNUMBER($S277),$S277*Parâmetros!$C$4,"")</f>
        <v/>
      </c>
      <c r="W277" s="44" t="str">
        <f aca="false">IF(ISNUMBER($S277),$S277-$D277-IF(ISNUMBER($E277),$E277,0)-$O277-$T277-$U277-$V277,"")</f>
        <v/>
      </c>
      <c r="X277" s="46" t="str">
        <f aca="false">IF(AND(ISNUMBER($S277),$S277&gt;0),$W277/$S277,"")</f>
        <v/>
      </c>
      <c r="Y277" s="49"/>
      <c r="Z277" s="21"/>
    </row>
    <row r="278" customFormat="false" ht="15.75" hidden="false" customHeight="true" outlineLevel="0" collapsed="false">
      <c r="A278" s="32" t="str">
        <f aca="false">IF(Produtos!$A278="","",Produtos!$A278)</f>
        <v>P4060R</v>
      </c>
      <c r="B278" s="32" t="str">
        <f aca="false">IF(Produtos!$A278="","",Produtos!$B278)</f>
        <v>Lixeira c/Tampa Pedal 40x60 75L c/Rodízios</v>
      </c>
      <c r="C278" s="32" t="str">
        <f aca="false">IF(Produtos!$A278="","",Produtos!$C278)</f>
        <v>Lixeiras com pedal</v>
      </c>
      <c r="D278" s="33" t="n">
        <f aca="false">IF(Produtos!$A278="","",IF(Produtos!$D278="","",Produtos!$D278))</f>
        <v>700.75</v>
      </c>
      <c r="E278" s="11"/>
      <c r="F278" s="34" t="n">
        <f aca="false">IF($A278="","",IF($C278="","⚠ categoria",IFERROR(INDEX(Parâmetros!$B$13:$B$22,MATCH($C278,Parâmetros!$A$13:$A$22,0)),"⚠ categoria")))</f>
        <v>0.13</v>
      </c>
      <c r="G278" s="35"/>
      <c r="H278" s="36" t="n">
        <f aca="false">IF($A278="","",IF(ISNUMBER($G278),$G278,IF(ISNUMBER($F278),$F278,"")))</f>
        <v>0.13</v>
      </c>
      <c r="I278" s="37" t="n">
        <f aca="false">IF(OR($A278="",NOT(ISNUMBER($D278)),NOT(ISNUMBER($H278))),"",IF((1-$H278-Parâmetros!$B$4-Parâmetros!$C$4-Parâmetros!$D$4)&lt;=0,"INVALIDO",($D278+IF(ISNUMBER($E278),$E278,0)+IF(ISNUMBER(Parâmetros!$E$4),Parâmetros!$E$4,0))/(1-$H278-Parâmetros!$B$4-Parâmetros!$C$4-Parâmetros!$D$4)))</f>
        <v>1297.68518518519</v>
      </c>
      <c r="J278" s="38"/>
      <c r="K278" s="39" t="n">
        <f aca="false">IF(OR($A278="",NOT(ISNUMBER($D278)),NOT(ISNUMBER($H278))),"",IF(AND(ISNUMBER($J278),$J278&gt;0),$J278,IF(ISNUMBER($I278),$I278,"")))</f>
        <v>1297.68518518519</v>
      </c>
      <c r="L278" s="40" t="n">
        <f aca="false">IF(ISNUMBER($K278),$K278*$H278,"")</f>
        <v>168.699074074074</v>
      </c>
      <c r="M278" s="40" t="n">
        <f aca="false">IF(ISNUMBER($K278),$K278*Parâmetros!$B$4,"")</f>
        <v>129.768518518519</v>
      </c>
      <c r="N278" s="40" t="n">
        <f aca="false">IF(ISNUMBER($K278),$K278*Parâmetros!$C$4,"")</f>
        <v>38.9305555555556</v>
      </c>
      <c r="O278" s="40" t="n">
        <f aca="false">IF(ISNUMBER($K278),IF(ISNUMBER(Parâmetros!$E$4),Parâmetros!$E$4,0),"")</f>
        <v>0</v>
      </c>
      <c r="P278" s="41" t="n">
        <f aca="false">IF(ISNUMBER($K278),$K278-$D278-IF(ISNUMBER($E278),$E278,0)-$L278-$M278-$N278-$O278,"")</f>
        <v>259.537037037037</v>
      </c>
      <c r="Q278" s="42" t="n">
        <f aca="false">IF(AND(ISNUMBER($K278),$K278&gt;0),$P278/$K278,"")</f>
        <v>0.2</v>
      </c>
      <c r="R278" s="43"/>
      <c r="S278" s="44" t="str">
        <f aca="false">IF(OR(NOT(ISNUMBER($R278)),$R278=0,NOT(ISNUMBER($K278))),"",$K278*(1-$R278))</f>
        <v/>
      </c>
      <c r="T278" s="45" t="str">
        <f aca="false">IF(ISNUMBER($S278),$S278*$H278,"")</f>
        <v/>
      </c>
      <c r="U278" s="45" t="str">
        <f aca="false">IF(ISNUMBER($S278),$S278*Parâmetros!$B$4,"")</f>
        <v/>
      </c>
      <c r="V278" s="45" t="str">
        <f aca="false">IF(ISNUMBER($S278),$S278*Parâmetros!$C$4,"")</f>
        <v/>
      </c>
      <c r="W278" s="44" t="str">
        <f aca="false">IF(ISNUMBER($S278),$S278-$D278-IF(ISNUMBER($E278),$E278,0)-$O278-$T278-$U278-$V278,"")</f>
        <v/>
      </c>
      <c r="X278" s="46" t="str">
        <f aca="false">IF(AND(ISNUMBER($S278),$S278&gt;0),$W278/$S278,"")</f>
        <v/>
      </c>
      <c r="Y278" s="47"/>
      <c r="Z278" s="19"/>
    </row>
    <row r="279" customFormat="false" ht="15.75" hidden="false" customHeight="true" outlineLevel="0" collapsed="false">
      <c r="A279" s="48" t="str">
        <f aca="false">IF(Produtos!$A279="","",Produtos!$A279)</f>
        <v>P4070R</v>
      </c>
      <c r="B279" s="48" t="str">
        <f aca="false">IF(Produtos!$A279="","",Produtos!$B279)</f>
        <v>Lixeira c/Tampa Pedal 40x70 80L c/Rodízios</v>
      </c>
      <c r="C279" s="48" t="str">
        <f aca="false">IF(Produtos!$A279="","",Produtos!$C279)</f>
        <v>Lixeiras com pedal</v>
      </c>
      <c r="D279" s="33" t="n">
        <f aca="false">IF(Produtos!$A279="","",IF(Produtos!$D279="","",Produtos!$D279))</f>
        <v>709.85</v>
      </c>
      <c r="E279" s="11"/>
      <c r="F279" s="34" t="n">
        <f aca="false">IF($A279="","",IF($C279="","⚠ categoria",IFERROR(INDEX(Parâmetros!$B$13:$B$22,MATCH($C279,Parâmetros!$A$13:$A$22,0)),"⚠ categoria")))</f>
        <v>0.13</v>
      </c>
      <c r="G279" s="35"/>
      <c r="H279" s="36" t="n">
        <f aca="false">IF($A279="","",IF(ISNUMBER($G279),$G279,IF(ISNUMBER($F279),$F279,"")))</f>
        <v>0.13</v>
      </c>
      <c r="I279" s="37" t="n">
        <f aca="false">IF(OR($A279="",NOT(ISNUMBER($D279)),NOT(ISNUMBER($H279))),"",IF((1-$H279-Parâmetros!$B$4-Parâmetros!$C$4-Parâmetros!$D$4)&lt;=0,"INVALIDO",($D279+IF(ISNUMBER($E279),$E279,0)+IF(ISNUMBER(Parâmetros!$E$4),Parâmetros!$E$4,0))/(1-$H279-Parâmetros!$B$4-Parâmetros!$C$4-Parâmetros!$D$4)))</f>
        <v>1314.53703703704</v>
      </c>
      <c r="J279" s="38"/>
      <c r="K279" s="39" t="n">
        <f aca="false">IF(OR($A279="",NOT(ISNUMBER($D279)),NOT(ISNUMBER($H279))),"",IF(AND(ISNUMBER($J279),$J279&gt;0),$J279,IF(ISNUMBER($I279),$I279,"")))</f>
        <v>1314.53703703704</v>
      </c>
      <c r="L279" s="40" t="n">
        <f aca="false">IF(ISNUMBER($K279),$K279*$H279,"")</f>
        <v>170.889814814815</v>
      </c>
      <c r="M279" s="40" t="n">
        <f aca="false">IF(ISNUMBER($K279),$K279*Parâmetros!$B$4,"")</f>
        <v>131.453703703704</v>
      </c>
      <c r="N279" s="40" t="n">
        <f aca="false">IF(ISNUMBER($K279),$K279*Parâmetros!$C$4,"")</f>
        <v>39.4361111111111</v>
      </c>
      <c r="O279" s="40" t="n">
        <f aca="false">IF(ISNUMBER($K279),IF(ISNUMBER(Parâmetros!$E$4),Parâmetros!$E$4,0),"")</f>
        <v>0</v>
      </c>
      <c r="P279" s="41" t="n">
        <f aca="false">IF(ISNUMBER($K279),$K279-$D279-IF(ISNUMBER($E279),$E279,0)-$L279-$M279-$N279-$O279,"")</f>
        <v>262.907407407407</v>
      </c>
      <c r="Q279" s="42" t="n">
        <f aca="false">IF(AND(ISNUMBER($K279),$K279&gt;0),$P279/$K279,"")</f>
        <v>0.2</v>
      </c>
      <c r="R279" s="43"/>
      <c r="S279" s="44" t="str">
        <f aca="false">IF(OR(NOT(ISNUMBER($R279)),$R279=0,NOT(ISNUMBER($K279))),"",$K279*(1-$R279))</f>
        <v/>
      </c>
      <c r="T279" s="45" t="str">
        <f aca="false">IF(ISNUMBER($S279),$S279*$H279,"")</f>
        <v/>
      </c>
      <c r="U279" s="45" t="str">
        <f aca="false">IF(ISNUMBER($S279),$S279*Parâmetros!$B$4,"")</f>
        <v/>
      </c>
      <c r="V279" s="45" t="str">
        <f aca="false">IF(ISNUMBER($S279),$S279*Parâmetros!$C$4,"")</f>
        <v/>
      </c>
      <c r="W279" s="44" t="str">
        <f aca="false">IF(ISNUMBER($S279),$S279-$D279-IF(ISNUMBER($E279),$E279,0)-$O279-$T279-$U279-$V279,"")</f>
        <v/>
      </c>
      <c r="X279" s="46" t="str">
        <f aca="false">IF(AND(ISNUMBER($S279),$S279&gt;0),$W279/$S279,"")</f>
        <v/>
      </c>
      <c r="Y279" s="49"/>
      <c r="Z279" s="21"/>
    </row>
    <row r="280" customFormat="false" ht="15.75" hidden="false" customHeight="true" outlineLevel="0" collapsed="false">
      <c r="A280" s="32" t="str">
        <f aca="false">IF(Produtos!$A280="","",Produtos!$A280)</f>
        <v>P4075R</v>
      </c>
      <c r="B280" s="32" t="str">
        <f aca="false">IF(Produtos!$A280="","",Produtos!$B280)</f>
        <v>Lixeira c/Tampa Pedal 40x75 95L c/Rodízios</v>
      </c>
      <c r="C280" s="32" t="str">
        <f aca="false">IF(Produtos!$A280="","",Produtos!$C280)</f>
        <v>Lixeiras com pedal</v>
      </c>
      <c r="D280" s="33" t="n">
        <f aca="false">IF(Produtos!$A280="","",IF(Produtos!$D280="","",Produtos!$D280))</f>
        <v>771.39</v>
      </c>
      <c r="E280" s="11"/>
      <c r="F280" s="34" t="n">
        <f aca="false">IF($A280="","",IF($C280="","⚠ categoria",IFERROR(INDEX(Parâmetros!$B$13:$B$22,MATCH($C280,Parâmetros!$A$13:$A$22,0)),"⚠ categoria")))</f>
        <v>0.13</v>
      </c>
      <c r="G280" s="35"/>
      <c r="H280" s="36" t="n">
        <f aca="false">IF($A280="","",IF(ISNUMBER($G280),$G280,IF(ISNUMBER($F280),$F280,"")))</f>
        <v>0.13</v>
      </c>
      <c r="I280" s="37" t="n">
        <f aca="false">IF(OR($A280="",NOT(ISNUMBER($D280)),NOT(ISNUMBER($H280))),"",IF((1-$H280-Parâmetros!$B$4-Parâmetros!$C$4-Parâmetros!$D$4)&lt;=0,"INVALIDO",($D280+IF(ISNUMBER($E280),$E280,0)+IF(ISNUMBER(Parâmetros!$E$4),Parâmetros!$E$4,0))/(1-$H280-Parâmetros!$B$4-Parâmetros!$C$4-Parâmetros!$D$4)))</f>
        <v>1428.5</v>
      </c>
      <c r="J280" s="38"/>
      <c r="K280" s="39" t="n">
        <f aca="false">IF(OR($A280="",NOT(ISNUMBER($D280)),NOT(ISNUMBER($H280))),"",IF(AND(ISNUMBER($J280),$J280&gt;0),$J280,IF(ISNUMBER($I280),$I280,"")))</f>
        <v>1428.5</v>
      </c>
      <c r="L280" s="40" t="n">
        <f aca="false">IF(ISNUMBER($K280),$K280*$H280,"")</f>
        <v>185.705</v>
      </c>
      <c r="M280" s="40" t="n">
        <f aca="false">IF(ISNUMBER($K280),$K280*Parâmetros!$B$4,"")</f>
        <v>142.85</v>
      </c>
      <c r="N280" s="40" t="n">
        <f aca="false">IF(ISNUMBER($K280),$K280*Parâmetros!$C$4,"")</f>
        <v>42.855</v>
      </c>
      <c r="O280" s="40" t="n">
        <f aca="false">IF(ISNUMBER($K280),IF(ISNUMBER(Parâmetros!$E$4),Parâmetros!$E$4,0),"")</f>
        <v>0</v>
      </c>
      <c r="P280" s="41" t="n">
        <f aca="false">IF(ISNUMBER($K280),$K280-$D280-IF(ISNUMBER($E280),$E280,0)-$L280-$M280-$N280-$O280,"")</f>
        <v>285.7</v>
      </c>
      <c r="Q280" s="42" t="n">
        <f aca="false">IF(AND(ISNUMBER($K280),$K280&gt;0),$P280/$K280,"")</f>
        <v>0.2</v>
      </c>
      <c r="R280" s="43"/>
      <c r="S280" s="44" t="str">
        <f aca="false">IF(OR(NOT(ISNUMBER($R280)),$R280=0,NOT(ISNUMBER($K280))),"",$K280*(1-$R280))</f>
        <v/>
      </c>
      <c r="T280" s="45" t="str">
        <f aca="false">IF(ISNUMBER($S280),$S280*$H280,"")</f>
        <v/>
      </c>
      <c r="U280" s="45" t="str">
        <f aca="false">IF(ISNUMBER($S280),$S280*Parâmetros!$B$4,"")</f>
        <v/>
      </c>
      <c r="V280" s="45" t="str">
        <f aca="false">IF(ISNUMBER($S280),$S280*Parâmetros!$C$4,"")</f>
        <v/>
      </c>
      <c r="W280" s="44" t="str">
        <f aca="false">IF(ISNUMBER($S280),$S280-$D280-IF(ISNUMBER($E280),$E280,0)-$O280-$T280-$U280-$V280,"")</f>
        <v/>
      </c>
      <c r="X280" s="46" t="str">
        <f aca="false">IF(AND(ISNUMBER($S280),$S280&gt;0),$W280/$S280,"")</f>
        <v/>
      </c>
      <c r="Y280" s="47"/>
      <c r="Z280" s="19"/>
    </row>
    <row r="281" customFormat="false" ht="15.75" hidden="false" customHeight="true" outlineLevel="0" collapsed="false">
      <c r="A281" s="48" t="str">
        <f aca="false">IF(Produtos!$A281="","",Produtos!$A281)</f>
        <v>P4080R</v>
      </c>
      <c r="B281" s="48" t="str">
        <f aca="false">IF(Produtos!$A281="","",Produtos!$B281)</f>
        <v>Lixeira c/Tampa Pedal 40x80 100L c/Rodízios</v>
      </c>
      <c r="C281" s="48" t="str">
        <f aca="false">IF(Produtos!$A281="","",Produtos!$C281)</f>
        <v>Lixeiras com pedal</v>
      </c>
      <c r="D281" s="33" t="n">
        <f aca="false">IF(Produtos!$A281="","",IF(Produtos!$D281="","",Produtos!$D281))</f>
        <v>847.75</v>
      </c>
      <c r="E281" s="11"/>
      <c r="F281" s="34" t="n">
        <f aca="false">IF($A281="","",IF($C281="","⚠ categoria",IFERROR(INDEX(Parâmetros!$B$13:$B$22,MATCH($C281,Parâmetros!$A$13:$A$22,0)),"⚠ categoria")))</f>
        <v>0.13</v>
      </c>
      <c r="G281" s="35"/>
      <c r="H281" s="36" t="n">
        <f aca="false">IF($A281="","",IF(ISNUMBER($G281),$G281,IF(ISNUMBER($F281),$F281,"")))</f>
        <v>0.13</v>
      </c>
      <c r="I281" s="37" t="n">
        <f aca="false">IF(OR($A281="",NOT(ISNUMBER($D281)),NOT(ISNUMBER($H281))),"",IF((1-$H281-Parâmetros!$B$4-Parâmetros!$C$4-Parâmetros!$D$4)&lt;=0,"INVALIDO",($D281+IF(ISNUMBER($E281),$E281,0)+IF(ISNUMBER(Parâmetros!$E$4),Parâmetros!$E$4,0))/(1-$H281-Parâmetros!$B$4-Parâmetros!$C$4-Parâmetros!$D$4)))</f>
        <v>1569.90740740741</v>
      </c>
      <c r="J281" s="38"/>
      <c r="K281" s="39" t="n">
        <f aca="false">IF(OR($A281="",NOT(ISNUMBER($D281)),NOT(ISNUMBER($H281))),"",IF(AND(ISNUMBER($J281),$J281&gt;0),$J281,IF(ISNUMBER($I281),$I281,"")))</f>
        <v>1569.90740740741</v>
      </c>
      <c r="L281" s="40" t="n">
        <f aca="false">IF(ISNUMBER($K281),$K281*$H281,"")</f>
        <v>204.087962962963</v>
      </c>
      <c r="M281" s="40" t="n">
        <f aca="false">IF(ISNUMBER($K281),$K281*Parâmetros!$B$4,"")</f>
        <v>156.990740740741</v>
      </c>
      <c r="N281" s="40" t="n">
        <f aca="false">IF(ISNUMBER($K281),$K281*Parâmetros!$C$4,"")</f>
        <v>47.0972222222222</v>
      </c>
      <c r="O281" s="40" t="n">
        <f aca="false">IF(ISNUMBER($K281),IF(ISNUMBER(Parâmetros!$E$4),Parâmetros!$E$4,0),"")</f>
        <v>0</v>
      </c>
      <c r="P281" s="41" t="n">
        <f aca="false">IF(ISNUMBER($K281),$K281-$D281-IF(ISNUMBER($E281),$E281,0)-$L281-$M281-$N281-$O281,"")</f>
        <v>313.981481481481</v>
      </c>
      <c r="Q281" s="42" t="n">
        <f aca="false">IF(AND(ISNUMBER($K281),$K281&gt;0),$P281/$K281,"")</f>
        <v>0.2</v>
      </c>
      <c r="R281" s="43"/>
      <c r="S281" s="44" t="str">
        <f aca="false">IF(OR(NOT(ISNUMBER($R281)),$R281=0,NOT(ISNUMBER($K281))),"",$K281*(1-$R281))</f>
        <v/>
      </c>
      <c r="T281" s="45" t="str">
        <f aca="false">IF(ISNUMBER($S281),$S281*$H281,"")</f>
        <v/>
      </c>
      <c r="U281" s="45" t="str">
        <f aca="false">IF(ISNUMBER($S281),$S281*Parâmetros!$B$4,"")</f>
        <v/>
      </c>
      <c r="V281" s="45" t="str">
        <f aca="false">IF(ISNUMBER($S281),$S281*Parâmetros!$C$4,"")</f>
        <v/>
      </c>
      <c r="W281" s="44" t="str">
        <f aca="false">IF(ISNUMBER($S281),$S281-$D281-IF(ISNUMBER($E281),$E281,0)-$O281-$T281-$U281-$V281,"")</f>
        <v/>
      </c>
      <c r="X281" s="46" t="str">
        <f aca="false">IF(AND(ISNUMBER($S281),$S281&gt;0),$W281/$S281,"")</f>
        <v/>
      </c>
      <c r="Y281" s="49"/>
      <c r="Z281" s="21"/>
    </row>
    <row r="282" customFormat="false" ht="15.75" hidden="false" customHeight="true" outlineLevel="0" collapsed="false">
      <c r="A282" s="32" t="str">
        <f aca="false">IF(Produtos!$A282="","",Produtos!$A282)</f>
        <v>P4090R</v>
      </c>
      <c r="B282" s="32" t="str">
        <f aca="false">IF(Produtos!$A282="","",Produtos!$B282)</f>
        <v>Lixeira c/Tampa Pedal 40x90 120L c/Rodízios</v>
      </c>
      <c r="C282" s="32" t="str">
        <f aca="false">IF(Produtos!$A282="","",Produtos!$C282)</f>
        <v>Lixeiras com pedal</v>
      </c>
      <c r="D282" s="33" t="n">
        <f aca="false">IF(Produtos!$A282="","",IF(Produtos!$D282="","",Produtos!$D282))</f>
        <v>1057.78</v>
      </c>
      <c r="E282" s="11"/>
      <c r="F282" s="34" t="n">
        <f aca="false">IF($A282="","",IF($C282="","⚠ categoria",IFERROR(INDEX(Parâmetros!$B$13:$B$22,MATCH($C282,Parâmetros!$A$13:$A$22,0)),"⚠ categoria")))</f>
        <v>0.13</v>
      </c>
      <c r="G282" s="35"/>
      <c r="H282" s="36" t="n">
        <f aca="false">IF($A282="","",IF(ISNUMBER($G282),$G282,IF(ISNUMBER($F282),$F282,"")))</f>
        <v>0.13</v>
      </c>
      <c r="I282" s="37" t="n">
        <f aca="false">IF(OR($A282="",NOT(ISNUMBER($D282)),NOT(ISNUMBER($H282))),"",IF((1-$H282-Parâmetros!$B$4-Parâmetros!$C$4-Parâmetros!$D$4)&lt;=0,"INVALIDO",($D282+IF(ISNUMBER($E282),$E282,0)+IF(ISNUMBER(Parâmetros!$E$4),Parâmetros!$E$4,0))/(1-$H282-Parâmetros!$B$4-Parâmetros!$C$4-Parâmetros!$D$4)))</f>
        <v>1958.85185185185</v>
      </c>
      <c r="J282" s="38"/>
      <c r="K282" s="39" t="n">
        <f aca="false">IF(OR($A282="",NOT(ISNUMBER($D282)),NOT(ISNUMBER($H282))),"",IF(AND(ISNUMBER($J282),$J282&gt;0),$J282,IF(ISNUMBER($I282),$I282,"")))</f>
        <v>1958.85185185185</v>
      </c>
      <c r="L282" s="40" t="n">
        <f aca="false">IF(ISNUMBER($K282),$K282*$H282,"")</f>
        <v>254.650740740741</v>
      </c>
      <c r="M282" s="40" t="n">
        <f aca="false">IF(ISNUMBER($K282),$K282*Parâmetros!$B$4,"")</f>
        <v>195.885185185185</v>
      </c>
      <c r="N282" s="40" t="n">
        <f aca="false">IF(ISNUMBER($K282),$K282*Parâmetros!$C$4,"")</f>
        <v>58.7655555555556</v>
      </c>
      <c r="O282" s="40" t="n">
        <f aca="false">IF(ISNUMBER($K282),IF(ISNUMBER(Parâmetros!$E$4),Parâmetros!$E$4,0),"")</f>
        <v>0</v>
      </c>
      <c r="P282" s="41" t="n">
        <f aca="false">IF(ISNUMBER($K282),$K282-$D282-IF(ISNUMBER($E282),$E282,0)-$L282-$M282-$N282-$O282,"")</f>
        <v>391.77037037037</v>
      </c>
      <c r="Q282" s="42" t="n">
        <f aca="false">IF(AND(ISNUMBER($K282),$K282&gt;0),$P282/$K282,"")</f>
        <v>0.2</v>
      </c>
      <c r="R282" s="43"/>
      <c r="S282" s="44" t="str">
        <f aca="false">IF(OR(NOT(ISNUMBER($R282)),$R282=0,NOT(ISNUMBER($K282))),"",$K282*(1-$R282))</f>
        <v/>
      </c>
      <c r="T282" s="45" t="str">
        <f aca="false">IF(ISNUMBER($S282),$S282*$H282,"")</f>
        <v/>
      </c>
      <c r="U282" s="45" t="str">
        <f aca="false">IF(ISNUMBER($S282),$S282*Parâmetros!$B$4,"")</f>
        <v/>
      </c>
      <c r="V282" s="45" t="str">
        <f aca="false">IF(ISNUMBER($S282),$S282*Parâmetros!$C$4,"")</f>
        <v/>
      </c>
      <c r="W282" s="44" t="str">
        <f aca="false">IF(ISNUMBER($S282),$S282-$D282-IF(ISNUMBER($E282),$E282,0)-$O282-$T282-$U282-$V282,"")</f>
        <v/>
      </c>
      <c r="X282" s="46" t="str">
        <f aca="false">IF(AND(ISNUMBER($S282),$S282&gt;0),$W282/$S282,"")</f>
        <v/>
      </c>
      <c r="Y282" s="47"/>
      <c r="Z282" s="19"/>
    </row>
    <row r="283" customFormat="false" ht="15.75" hidden="false" customHeight="true" outlineLevel="0" collapsed="false">
      <c r="A283" s="48" t="str">
        <f aca="false">IF(Produtos!$A283="","",Produtos!$A283)</f>
        <v>P1618ALC</v>
      </c>
      <c r="B283" s="48" t="str">
        <f aca="false">IF(Produtos!$A283="","",Produtos!$B283)</f>
        <v>Lixeira c/Tampa Pedal 16x18 03L c/Alças</v>
      </c>
      <c r="C283" s="48" t="str">
        <f aca="false">IF(Produtos!$A283="","",Produtos!$C283)</f>
        <v>Lixeiras com pedal</v>
      </c>
      <c r="D283" s="33" t="n">
        <f aca="false">IF(Produtos!$A283="","",IF(Produtos!$D283="","",Produtos!$D283))</f>
        <v>156.92</v>
      </c>
      <c r="E283" s="11"/>
      <c r="F283" s="34" t="n">
        <f aca="false">IF($A283="","",IF($C283="","⚠ categoria",IFERROR(INDEX(Parâmetros!$B$13:$B$22,MATCH($C283,Parâmetros!$A$13:$A$22,0)),"⚠ categoria")))</f>
        <v>0.13</v>
      </c>
      <c r="G283" s="35"/>
      <c r="H283" s="36" t="n">
        <f aca="false">IF($A283="","",IF(ISNUMBER($G283),$G283,IF(ISNUMBER($F283),$F283,"")))</f>
        <v>0.13</v>
      </c>
      <c r="I283" s="37" t="n">
        <f aca="false">IF(OR($A283="",NOT(ISNUMBER($D283)),NOT(ISNUMBER($H283))),"",IF((1-$H283-Parâmetros!$B$4-Parâmetros!$C$4-Parâmetros!$D$4)&lt;=0,"INVALIDO",($D283+IF(ISNUMBER($E283),$E283,0)+IF(ISNUMBER(Parâmetros!$E$4),Parâmetros!$E$4,0))/(1-$H283-Parâmetros!$B$4-Parâmetros!$C$4-Parâmetros!$D$4)))</f>
        <v>290.592592592593</v>
      </c>
      <c r="J283" s="38"/>
      <c r="K283" s="39" t="n">
        <f aca="false">IF(OR($A283="",NOT(ISNUMBER($D283)),NOT(ISNUMBER($H283))),"",IF(AND(ISNUMBER($J283),$J283&gt;0),$J283,IF(ISNUMBER($I283),$I283,"")))</f>
        <v>290.592592592593</v>
      </c>
      <c r="L283" s="40" t="n">
        <f aca="false">IF(ISNUMBER($K283),$K283*$H283,"")</f>
        <v>37.777037037037</v>
      </c>
      <c r="M283" s="40" t="n">
        <f aca="false">IF(ISNUMBER($K283),$K283*Parâmetros!$B$4,"")</f>
        <v>29.0592592592593</v>
      </c>
      <c r="N283" s="40" t="n">
        <f aca="false">IF(ISNUMBER($K283),$K283*Parâmetros!$C$4,"")</f>
        <v>8.71777777777778</v>
      </c>
      <c r="O283" s="40" t="n">
        <f aca="false">IF(ISNUMBER($K283),IF(ISNUMBER(Parâmetros!$E$4),Parâmetros!$E$4,0),"")</f>
        <v>0</v>
      </c>
      <c r="P283" s="41" t="n">
        <f aca="false">IF(ISNUMBER($K283),$K283-$D283-IF(ISNUMBER($E283),$E283,0)-$L283-$M283-$N283-$O283,"")</f>
        <v>58.1185185185185</v>
      </c>
      <c r="Q283" s="42" t="n">
        <f aca="false">IF(AND(ISNUMBER($K283),$K283&gt;0),$P283/$K283,"")</f>
        <v>0.2</v>
      </c>
      <c r="R283" s="43"/>
      <c r="S283" s="44" t="str">
        <f aca="false">IF(OR(NOT(ISNUMBER($R283)),$R283=0,NOT(ISNUMBER($K283))),"",$K283*(1-$R283))</f>
        <v/>
      </c>
      <c r="T283" s="45" t="str">
        <f aca="false">IF(ISNUMBER($S283),$S283*$H283,"")</f>
        <v/>
      </c>
      <c r="U283" s="45" t="str">
        <f aca="false">IF(ISNUMBER($S283),$S283*Parâmetros!$B$4,"")</f>
        <v/>
      </c>
      <c r="V283" s="45" t="str">
        <f aca="false">IF(ISNUMBER($S283),$S283*Parâmetros!$C$4,"")</f>
        <v/>
      </c>
      <c r="W283" s="44" t="str">
        <f aca="false">IF(ISNUMBER($S283),$S283-$D283-IF(ISNUMBER($E283),$E283,0)-$O283-$T283-$U283-$V283,"")</f>
        <v/>
      </c>
      <c r="X283" s="46" t="str">
        <f aca="false">IF(AND(ISNUMBER($S283),$S283&gt;0),$W283/$S283,"")</f>
        <v/>
      </c>
      <c r="Y283" s="49"/>
      <c r="Z283" s="21"/>
    </row>
    <row r="284" customFormat="false" ht="15.75" hidden="false" customHeight="true" outlineLevel="0" collapsed="false">
      <c r="A284" s="32" t="str">
        <f aca="false">IF(Produtos!$A284="","",Produtos!$A284)</f>
        <v>P1623ALC</v>
      </c>
      <c r="B284" s="32" t="str">
        <f aca="false">IF(Produtos!$A284="","",Produtos!$B284)</f>
        <v>Lixeira c/Tampa Pedal 16x23 05L c/Alças</v>
      </c>
      <c r="C284" s="32" t="str">
        <f aca="false">IF(Produtos!$A284="","",Produtos!$C284)</f>
        <v>Lixeiras com pedal</v>
      </c>
      <c r="D284" s="33" t="n">
        <f aca="false">IF(Produtos!$A284="","",IF(Produtos!$D284="","",Produtos!$D284))</f>
        <v>170.79</v>
      </c>
      <c r="E284" s="11"/>
      <c r="F284" s="34" t="n">
        <f aca="false">IF($A284="","",IF($C284="","⚠ categoria",IFERROR(INDEX(Parâmetros!$B$13:$B$22,MATCH($C284,Parâmetros!$A$13:$A$22,0)),"⚠ categoria")))</f>
        <v>0.13</v>
      </c>
      <c r="G284" s="35"/>
      <c r="H284" s="36" t="n">
        <f aca="false">IF($A284="","",IF(ISNUMBER($G284),$G284,IF(ISNUMBER($F284),$F284,"")))</f>
        <v>0.13</v>
      </c>
      <c r="I284" s="37" t="n">
        <f aca="false">IF(OR($A284="",NOT(ISNUMBER($D284)),NOT(ISNUMBER($H284))),"",IF((1-$H284-Parâmetros!$B$4-Parâmetros!$C$4-Parâmetros!$D$4)&lt;=0,"INVALIDO",($D284+IF(ISNUMBER($E284),$E284,0)+IF(ISNUMBER(Parâmetros!$E$4),Parâmetros!$E$4,0))/(1-$H284-Parâmetros!$B$4-Parâmetros!$C$4-Parâmetros!$D$4)))</f>
        <v>316.277777777778</v>
      </c>
      <c r="J284" s="38"/>
      <c r="K284" s="39" t="n">
        <f aca="false">IF(OR($A284="",NOT(ISNUMBER($D284)),NOT(ISNUMBER($H284))),"",IF(AND(ISNUMBER($J284),$J284&gt;0),$J284,IF(ISNUMBER($I284),$I284,"")))</f>
        <v>316.277777777778</v>
      </c>
      <c r="L284" s="40" t="n">
        <f aca="false">IF(ISNUMBER($K284),$K284*$H284,"")</f>
        <v>41.1161111111111</v>
      </c>
      <c r="M284" s="40" t="n">
        <f aca="false">IF(ISNUMBER($K284),$K284*Parâmetros!$B$4,"")</f>
        <v>31.6277777777778</v>
      </c>
      <c r="N284" s="40" t="n">
        <f aca="false">IF(ISNUMBER($K284),$K284*Parâmetros!$C$4,"")</f>
        <v>9.48833333333333</v>
      </c>
      <c r="O284" s="40" t="n">
        <f aca="false">IF(ISNUMBER($K284),IF(ISNUMBER(Parâmetros!$E$4),Parâmetros!$E$4,0),"")</f>
        <v>0</v>
      </c>
      <c r="P284" s="41" t="n">
        <f aca="false">IF(ISNUMBER($K284),$K284-$D284-IF(ISNUMBER($E284),$E284,0)-$L284-$M284-$N284-$O284,"")</f>
        <v>63.2555555555555</v>
      </c>
      <c r="Q284" s="42" t="n">
        <f aca="false">IF(AND(ISNUMBER($K284),$K284&gt;0),$P284/$K284,"")</f>
        <v>0.2</v>
      </c>
      <c r="R284" s="43"/>
      <c r="S284" s="44" t="str">
        <f aca="false">IF(OR(NOT(ISNUMBER($R284)),$R284=0,NOT(ISNUMBER($K284))),"",$K284*(1-$R284))</f>
        <v/>
      </c>
      <c r="T284" s="45" t="str">
        <f aca="false">IF(ISNUMBER($S284),$S284*$H284,"")</f>
        <v/>
      </c>
      <c r="U284" s="45" t="str">
        <f aca="false">IF(ISNUMBER($S284),$S284*Parâmetros!$B$4,"")</f>
        <v/>
      </c>
      <c r="V284" s="45" t="str">
        <f aca="false">IF(ISNUMBER($S284),$S284*Parâmetros!$C$4,"")</f>
        <v/>
      </c>
      <c r="W284" s="44" t="str">
        <f aca="false">IF(ISNUMBER($S284),$S284-$D284-IF(ISNUMBER($E284),$E284,0)-$O284-$T284-$U284-$V284,"")</f>
        <v/>
      </c>
      <c r="X284" s="46" t="str">
        <f aca="false">IF(AND(ISNUMBER($S284),$S284&gt;0),$W284/$S284,"")</f>
        <v/>
      </c>
      <c r="Y284" s="47"/>
      <c r="Z284" s="19"/>
    </row>
    <row r="285" customFormat="false" ht="15.75" hidden="false" customHeight="true" outlineLevel="0" collapsed="false">
      <c r="A285" s="48" t="str">
        <f aca="false">IF(Produtos!$A285="","",Produtos!$A285)</f>
        <v>P2025ALC</v>
      </c>
      <c r="B285" s="48" t="str">
        <f aca="false">IF(Produtos!$A285="","",Produtos!$B285)</f>
        <v>Lixeira c/Tampa Pedal 20x25 07L c/Alças</v>
      </c>
      <c r="C285" s="48" t="str">
        <f aca="false">IF(Produtos!$A285="","",Produtos!$C285)</f>
        <v>Lixeiras com pedal</v>
      </c>
      <c r="D285" s="33" t="n">
        <f aca="false">IF(Produtos!$A285="","",IF(Produtos!$D285="","",Produtos!$D285))</f>
        <v>175.76</v>
      </c>
      <c r="E285" s="11"/>
      <c r="F285" s="34" t="n">
        <f aca="false">IF($A285="","",IF($C285="","⚠ categoria",IFERROR(INDEX(Parâmetros!$B$13:$B$22,MATCH($C285,Parâmetros!$A$13:$A$22,0)),"⚠ categoria")))</f>
        <v>0.13</v>
      </c>
      <c r="G285" s="35"/>
      <c r="H285" s="36" t="n">
        <f aca="false">IF($A285="","",IF(ISNUMBER($G285),$G285,IF(ISNUMBER($F285),$F285,"")))</f>
        <v>0.13</v>
      </c>
      <c r="I285" s="37" t="n">
        <f aca="false">IF(OR($A285="",NOT(ISNUMBER($D285)),NOT(ISNUMBER($H285))),"",IF((1-$H285-Parâmetros!$B$4-Parâmetros!$C$4-Parâmetros!$D$4)&lt;=0,"INVALIDO",($D285+IF(ISNUMBER($E285),$E285,0)+IF(ISNUMBER(Parâmetros!$E$4),Parâmetros!$E$4,0))/(1-$H285-Parâmetros!$B$4-Parâmetros!$C$4-Parâmetros!$D$4)))</f>
        <v>325.481481481481</v>
      </c>
      <c r="J285" s="38"/>
      <c r="K285" s="39" t="n">
        <f aca="false">IF(OR($A285="",NOT(ISNUMBER($D285)),NOT(ISNUMBER($H285))),"",IF(AND(ISNUMBER($J285),$J285&gt;0),$J285,IF(ISNUMBER($I285),$I285,"")))</f>
        <v>325.481481481481</v>
      </c>
      <c r="L285" s="40" t="n">
        <f aca="false">IF(ISNUMBER($K285),$K285*$H285,"")</f>
        <v>42.3125925925926</v>
      </c>
      <c r="M285" s="40" t="n">
        <f aca="false">IF(ISNUMBER($K285),$K285*Parâmetros!$B$4,"")</f>
        <v>32.5481481481482</v>
      </c>
      <c r="N285" s="40" t="n">
        <f aca="false">IF(ISNUMBER($K285),$K285*Parâmetros!$C$4,"")</f>
        <v>9.76444444444444</v>
      </c>
      <c r="O285" s="40" t="n">
        <f aca="false">IF(ISNUMBER($K285),IF(ISNUMBER(Parâmetros!$E$4),Parâmetros!$E$4,0),"")</f>
        <v>0</v>
      </c>
      <c r="P285" s="41" t="n">
        <f aca="false">IF(ISNUMBER($K285),$K285-$D285-IF(ISNUMBER($E285),$E285,0)-$L285-$M285-$N285-$O285,"")</f>
        <v>65.0962962962963</v>
      </c>
      <c r="Q285" s="42" t="n">
        <f aca="false">IF(AND(ISNUMBER($K285),$K285&gt;0),$P285/$K285,"")</f>
        <v>0.2</v>
      </c>
      <c r="R285" s="43"/>
      <c r="S285" s="44" t="str">
        <f aca="false">IF(OR(NOT(ISNUMBER($R285)),$R285=0,NOT(ISNUMBER($K285))),"",$K285*(1-$R285))</f>
        <v/>
      </c>
      <c r="T285" s="45" t="str">
        <f aca="false">IF(ISNUMBER($S285),$S285*$H285,"")</f>
        <v/>
      </c>
      <c r="U285" s="45" t="str">
        <f aca="false">IF(ISNUMBER($S285),$S285*Parâmetros!$B$4,"")</f>
        <v/>
      </c>
      <c r="V285" s="45" t="str">
        <f aca="false">IF(ISNUMBER($S285),$S285*Parâmetros!$C$4,"")</f>
        <v/>
      </c>
      <c r="W285" s="44" t="str">
        <f aca="false">IF(ISNUMBER($S285),$S285-$D285-IF(ISNUMBER($E285),$E285,0)-$O285-$T285-$U285-$V285,"")</f>
        <v/>
      </c>
      <c r="X285" s="46" t="str">
        <f aca="false">IF(AND(ISNUMBER($S285),$S285&gt;0),$W285/$S285,"")</f>
        <v/>
      </c>
      <c r="Y285" s="49"/>
      <c r="Z285" s="21"/>
    </row>
    <row r="286" customFormat="false" ht="15.75" hidden="false" customHeight="true" outlineLevel="0" collapsed="false">
      <c r="A286" s="32" t="str">
        <f aca="false">IF(Produtos!$A286="","",Produtos!$A286)</f>
        <v>P2030ALC</v>
      </c>
      <c r="B286" s="32" t="str">
        <f aca="false">IF(Produtos!$A286="","",Produtos!$B286)</f>
        <v>Lixeira c/Tampa Pedal 20x30 10L c/Alças</v>
      </c>
      <c r="C286" s="32" t="str">
        <f aca="false">IF(Produtos!$A286="","",Produtos!$C286)</f>
        <v>Lixeiras com pedal</v>
      </c>
      <c r="D286" s="33" t="n">
        <f aca="false">IF(Produtos!$A286="","",IF(Produtos!$D286="","",Produtos!$D286))</f>
        <v>190.1</v>
      </c>
      <c r="E286" s="11"/>
      <c r="F286" s="34" t="n">
        <f aca="false">IF($A286="","",IF($C286="","⚠ categoria",IFERROR(INDEX(Parâmetros!$B$13:$B$22,MATCH($C286,Parâmetros!$A$13:$A$22,0)),"⚠ categoria")))</f>
        <v>0.13</v>
      </c>
      <c r="G286" s="35"/>
      <c r="H286" s="36" t="n">
        <f aca="false">IF($A286="","",IF(ISNUMBER($G286),$G286,IF(ISNUMBER($F286),$F286,"")))</f>
        <v>0.13</v>
      </c>
      <c r="I286" s="37" t="n">
        <f aca="false">IF(OR($A286="",NOT(ISNUMBER($D286)),NOT(ISNUMBER($H286))),"",IF((1-$H286-Parâmetros!$B$4-Parâmetros!$C$4-Parâmetros!$D$4)&lt;=0,"INVALIDO",($D286+IF(ISNUMBER($E286),$E286,0)+IF(ISNUMBER(Parâmetros!$E$4),Parâmetros!$E$4,0))/(1-$H286-Parâmetros!$B$4-Parâmetros!$C$4-Parâmetros!$D$4)))</f>
        <v>352.037037037037</v>
      </c>
      <c r="J286" s="38"/>
      <c r="K286" s="39" t="n">
        <f aca="false">IF(OR($A286="",NOT(ISNUMBER($D286)),NOT(ISNUMBER($H286))),"",IF(AND(ISNUMBER($J286),$J286&gt;0),$J286,IF(ISNUMBER($I286),$I286,"")))</f>
        <v>352.037037037037</v>
      </c>
      <c r="L286" s="40" t="n">
        <f aca="false">IF(ISNUMBER($K286),$K286*$H286,"")</f>
        <v>45.7648148148148</v>
      </c>
      <c r="M286" s="40" t="n">
        <f aca="false">IF(ISNUMBER($K286),$K286*Parâmetros!$B$4,"")</f>
        <v>35.2037037037037</v>
      </c>
      <c r="N286" s="40" t="n">
        <f aca="false">IF(ISNUMBER($K286),$K286*Parâmetros!$C$4,"")</f>
        <v>10.5611111111111</v>
      </c>
      <c r="O286" s="40" t="n">
        <f aca="false">IF(ISNUMBER($K286),IF(ISNUMBER(Parâmetros!$E$4),Parâmetros!$E$4,0),"")</f>
        <v>0</v>
      </c>
      <c r="P286" s="41" t="n">
        <f aca="false">IF(ISNUMBER($K286),$K286-$D286-IF(ISNUMBER($E286),$E286,0)-$L286-$M286-$N286-$O286,"")</f>
        <v>70.4074074074074</v>
      </c>
      <c r="Q286" s="42" t="n">
        <f aca="false">IF(AND(ISNUMBER($K286),$K286&gt;0),$P286/$K286,"")</f>
        <v>0.2</v>
      </c>
      <c r="R286" s="43"/>
      <c r="S286" s="44" t="str">
        <f aca="false">IF(OR(NOT(ISNUMBER($R286)),$R286=0,NOT(ISNUMBER($K286))),"",$K286*(1-$R286))</f>
        <v/>
      </c>
      <c r="T286" s="45" t="str">
        <f aca="false">IF(ISNUMBER($S286),$S286*$H286,"")</f>
        <v/>
      </c>
      <c r="U286" s="45" t="str">
        <f aca="false">IF(ISNUMBER($S286),$S286*Parâmetros!$B$4,"")</f>
        <v/>
      </c>
      <c r="V286" s="45" t="str">
        <f aca="false">IF(ISNUMBER($S286),$S286*Parâmetros!$C$4,"")</f>
        <v/>
      </c>
      <c r="W286" s="44" t="str">
        <f aca="false">IF(ISNUMBER($S286),$S286-$D286-IF(ISNUMBER($E286),$E286,0)-$O286-$T286-$U286-$V286,"")</f>
        <v/>
      </c>
      <c r="X286" s="46" t="str">
        <f aca="false">IF(AND(ISNUMBER($S286),$S286&gt;0),$W286/$S286,"")</f>
        <v/>
      </c>
      <c r="Y286" s="47"/>
      <c r="Z286" s="19"/>
    </row>
    <row r="287" customFormat="false" ht="15.75" hidden="false" customHeight="true" outlineLevel="0" collapsed="false">
      <c r="A287" s="48" t="str">
        <f aca="false">IF(Produtos!$A287="","",Produtos!$A287)</f>
        <v>P2425ALC</v>
      </c>
      <c r="B287" s="48" t="str">
        <f aca="false">IF(Produtos!$A287="","",Produtos!$B287)</f>
        <v>Lixeira c/Tampa Pedal 24x25 12L c/Alças</v>
      </c>
      <c r="C287" s="48" t="str">
        <f aca="false">IF(Produtos!$A287="","",Produtos!$C287)</f>
        <v>Lixeiras com pedal</v>
      </c>
      <c r="D287" s="33" t="n">
        <f aca="false">IF(Produtos!$A287="","",IF(Produtos!$D287="","",Produtos!$D287))</f>
        <v>192.87</v>
      </c>
      <c r="E287" s="11"/>
      <c r="F287" s="34" t="n">
        <f aca="false">IF($A287="","",IF($C287="","⚠ categoria",IFERROR(INDEX(Parâmetros!$B$13:$B$22,MATCH($C287,Parâmetros!$A$13:$A$22,0)),"⚠ categoria")))</f>
        <v>0.13</v>
      </c>
      <c r="G287" s="35"/>
      <c r="H287" s="36" t="n">
        <f aca="false">IF($A287="","",IF(ISNUMBER($G287),$G287,IF(ISNUMBER($F287),$F287,"")))</f>
        <v>0.13</v>
      </c>
      <c r="I287" s="37" t="n">
        <f aca="false">IF(OR($A287="",NOT(ISNUMBER($D287)),NOT(ISNUMBER($H287))),"",IF((1-$H287-Parâmetros!$B$4-Parâmetros!$C$4-Parâmetros!$D$4)&lt;=0,"INVALIDO",($D287+IF(ISNUMBER($E287),$E287,0)+IF(ISNUMBER(Parâmetros!$E$4),Parâmetros!$E$4,0))/(1-$H287-Parâmetros!$B$4-Parâmetros!$C$4-Parâmetros!$D$4)))</f>
        <v>357.166666666667</v>
      </c>
      <c r="J287" s="38"/>
      <c r="K287" s="39" t="n">
        <f aca="false">IF(OR($A287="",NOT(ISNUMBER($D287)),NOT(ISNUMBER($H287))),"",IF(AND(ISNUMBER($J287),$J287&gt;0),$J287,IF(ISNUMBER($I287),$I287,"")))</f>
        <v>357.166666666667</v>
      </c>
      <c r="L287" s="40" t="n">
        <f aca="false">IF(ISNUMBER($K287),$K287*$H287,"")</f>
        <v>46.4316666666667</v>
      </c>
      <c r="M287" s="40" t="n">
        <f aca="false">IF(ISNUMBER($K287),$K287*Parâmetros!$B$4,"")</f>
        <v>35.7166666666667</v>
      </c>
      <c r="N287" s="40" t="n">
        <f aca="false">IF(ISNUMBER($K287),$K287*Parâmetros!$C$4,"")</f>
        <v>10.715</v>
      </c>
      <c r="O287" s="40" t="n">
        <f aca="false">IF(ISNUMBER($K287),IF(ISNUMBER(Parâmetros!$E$4),Parâmetros!$E$4,0),"")</f>
        <v>0</v>
      </c>
      <c r="P287" s="41" t="n">
        <f aca="false">IF(ISNUMBER($K287),$K287-$D287-IF(ISNUMBER($E287),$E287,0)-$L287-$M287-$N287-$O287,"")</f>
        <v>71.4333333333333</v>
      </c>
      <c r="Q287" s="42" t="n">
        <f aca="false">IF(AND(ISNUMBER($K287),$K287&gt;0),$P287/$K287,"")</f>
        <v>0.2</v>
      </c>
      <c r="R287" s="43"/>
      <c r="S287" s="44" t="str">
        <f aca="false">IF(OR(NOT(ISNUMBER($R287)),$R287=0,NOT(ISNUMBER($K287))),"",$K287*(1-$R287))</f>
        <v/>
      </c>
      <c r="T287" s="45" t="str">
        <f aca="false">IF(ISNUMBER($S287),$S287*$H287,"")</f>
        <v/>
      </c>
      <c r="U287" s="45" t="str">
        <f aca="false">IF(ISNUMBER($S287),$S287*Parâmetros!$B$4,"")</f>
        <v/>
      </c>
      <c r="V287" s="45" t="str">
        <f aca="false">IF(ISNUMBER($S287),$S287*Parâmetros!$C$4,"")</f>
        <v/>
      </c>
      <c r="W287" s="44" t="str">
        <f aca="false">IF(ISNUMBER($S287),$S287-$D287-IF(ISNUMBER($E287),$E287,0)-$O287-$T287-$U287-$V287,"")</f>
        <v/>
      </c>
      <c r="X287" s="46" t="str">
        <f aca="false">IF(AND(ISNUMBER($S287),$S287&gt;0),$W287/$S287,"")</f>
        <v/>
      </c>
      <c r="Y287" s="49"/>
      <c r="Z287" s="21"/>
    </row>
    <row r="288" customFormat="false" ht="15.75" hidden="false" customHeight="true" outlineLevel="0" collapsed="false">
      <c r="A288" s="32" t="str">
        <f aca="false">IF(Produtos!$A288="","",Produtos!$A288)</f>
        <v>P2430ALC</v>
      </c>
      <c r="B288" s="32" t="str">
        <f aca="false">IF(Produtos!$A288="","",Produtos!$B288)</f>
        <v>Lixeira c/Tampa Pedal 24x30 15L c/Alças</v>
      </c>
      <c r="C288" s="32" t="str">
        <f aca="false">IF(Produtos!$A288="","",Produtos!$C288)</f>
        <v>Lixeiras com pedal</v>
      </c>
      <c r="D288" s="33" t="n">
        <f aca="false">IF(Produtos!$A288="","",IF(Produtos!$D288="","",Produtos!$D288))</f>
        <v>206.44</v>
      </c>
      <c r="E288" s="11"/>
      <c r="F288" s="34" t="n">
        <f aca="false">IF($A288="","",IF($C288="","⚠ categoria",IFERROR(INDEX(Parâmetros!$B$13:$B$22,MATCH($C288,Parâmetros!$A$13:$A$22,0)),"⚠ categoria")))</f>
        <v>0.13</v>
      </c>
      <c r="G288" s="35"/>
      <c r="H288" s="36" t="n">
        <f aca="false">IF($A288="","",IF(ISNUMBER($G288),$G288,IF(ISNUMBER($F288),$F288,"")))</f>
        <v>0.13</v>
      </c>
      <c r="I288" s="37" t="n">
        <f aca="false">IF(OR($A288="",NOT(ISNUMBER($D288)),NOT(ISNUMBER($H288))),"",IF((1-$H288-Parâmetros!$B$4-Parâmetros!$C$4-Parâmetros!$D$4)&lt;=0,"INVALIDO",($D288+IF(ISNUMBER($E288),$E288,0)+IF(ISNUMBER(Parâmetros!$E$4),Parâmetros!$E$4,0))/(1-$H288-Parâmetros!$B$4-Parâmetros!$C$4-Parâmetros!$D$4)))</f>
        <v>382.296296296296</v>
      </c>
      <c r="J288" s="38"/>
      <c r="K288" s="39" t="n">
        <f aca="false">IF(OR($A288="",NOT(ISNUMBER($D288)),NOT(ISNUMBER($H288))),"",IF(AND(ISNUMBER($J288),$J288&gt;0),$J288,IF(ISNUMBER($I288),$I288,"")))</f>
        <v>382.296296296296</v>
      </c>
      <c r="L288" s="40" t="n">
        <f aca="false">IF(ISNUMBER($K288),$K288*$H288,"")</f>
        <v>49.6985185185185</v>
      </c>
      <c r="M288" s="40" t="n">
        <f aca="false">IF(ISNUMBER($K288),$K288*Parâmetros!$B$4,"")</f>
        <v>38.2296296296296</v>
      </c>
      <c r="N288" s="40" t="n">
        <f aca="false">IF(ISNUMBER($K288),$K288*Parâmetros!$C$4,"")</f>
        <v>11.4688888888889</v>
      </c>
      <c r="O288" s="40" t="n">
        <f aca="false">IF(ISNUMBER($K288),IF(ISNUMBER(Parâmetros!$E$4),Parâmetros!$E$4,0),"")</f>
        <v>0</v>
      </c>
      <c r="P288" s="41" t="n">
        <f aca="false">IF(ISNUMBER($K288),$K288-$D288-IF(ISNUMBER($E288),$E288,0)-$L288-$M288-$N288-$O288,"")</f>
        <v>76.4592592592592</v>
      </c>
      <c r="Q288" s="42" t="n">
        <f aca="false">IF(AND(ISNUMBER($K288),$K288&gt;0),$P288/$K288,"")</f>
        <v>0.2</v>
      </c>
      <c r="R288" s="43"/>
      <c r="S288" s="44" t="str">
        <f aca="false">IF(OR(NOT(ISNUMBER($R288)),$R288=0,NOT(ISNUMBER($K288))),"",$K288*(1-$R288))</f>
        <v/>
      </c>
      <c r="T288" s="45" t="str">
        <f aca="false">IF(ISNUMBER($S288),$S288*$H288,"")</f>
        <v/>
      </c>
      <c r="U288" s="45" t="str">
        <f aca="false">IF(ISNUMBER($S288),$S288*Parâmetros!$B$4,"")</f>
        <v/>
      </c>
      <c r="V288" s="45" t="str">
        <f aca="false">IF(ISNUMBER($S288),$S288*Parâmetros!$C$4,"")</f>
        <v/>
      </c>
      <c r="W288" s="44" t="str">
        <f aca="false">IF(ISNUMBER($S288),$S288-$D288-IF(ISNUMBER($E288),$E288,0)-$O288-$T288-$U288-$V288,"")</f>
        <v/>
      </c>
      <c r="X288" s="46" t="str">
        <f aca="false">IF(AND(ISNUMBER($S288),$S288&gt;0),$W288/$S288,"")</f>
        <v/>
      </c>
      <c r="Y288" s="47"/>
      <c r="Z288" s="19"/>
    </row>
    <row r="289" customFormat="false" ht="15.75" hidden="false" customHeight="true" outlineLevel="0" collapsed="false">
      <c r="A289" s="48" t="str">
        <f aca="false">IF(Produtos!$A289="","",Produtos!$A289)</f>
        <v>P2440ALC</v>
      </c>
      <c r="B289" s="48" t="str">
        <f aca="false">IF(Produtos!$A289="","",Produtos!$B289)</f>
        <v>Lixeira c/Tampa Pedal 24x40 20L c/Alças</v>
      </c>
      <c r="C289" s="48" t="str">
        <f aca="false">IF(Produtos!$A289="","",Produtos!$C289)</f>
        <v>Lixeiras com pedal</v>
      </c>
      <c r="D289" s="33" t="n">
        <f aca="false">IF(Produtos!$A289="","",IF(Produtos!$D289="","",Produtos!$D289))</f>
        <v>217.38</v>
      </c>
      <c r="E289" s="11" t="n">
        <v>29.25</v>
      </c>
      <c r="F289" s="34" t="n">
        <f aca="false">IF($A289="","",IF($C289="","⚠ categoria",IFERROR(INDEX(Parâmetros!$B$13:$B$22,MATCH($C289,Parâmetros!$A$13:$A$22,0)),"⚠ categoria")))</f>
        <v>0.13</v>
      </c>
      <c r="G289" s="35" t="n">
        <v>0.12</v>
      </c>
      <c r="H289" s="36" t="n">
        <f aca="false">IF($A289="","",IF(ISNUMBER($G289),$G289,IF(ISNUMBER($F289),$F289,"")))</f>
        <v>0.12</v>
      </c>
      <c r="I289" s="37" t="n">
        <f aca="false">IF(OR($A289="",NOT(ISNUMBER($D289)),NOT(ISNUMBER($H289))),"",IF((1-$H289-Parâmetros!$B$4-Parâmetros!$C$4-Parâmetros!$D$4)&lt;=0,"INVALIDO",($D289+IF(ISNUMBER($E289),$E289,0)+IF(ISNUMBER(Parâmetros!$E$4),Parâmetros!$E$4,0))/(1-$H289-Parâmetros!$B$4-Parâmetros!$C$4-Parâmetros!$D$4)))</f>
        <v>448.418181818182</v>
      </c>
      <c r="J289" s="38" t="n">
        <v>430.45128</v>
      </c>
      <c r="K289" s="39" t="n">
        <f aca="false">IF(OR($A289="",NOT(ISNUMBER($D289)),NOT(ISNUMBER($H289))),"",IF(AND(ISNUMBER($J289),$J289&gt;0),$J289,IF(ISNUMBER($I289),$I289,"")))</f>
        <v>430.45128</v>
      </c>
      <c r="L289" s="40" t="n">
        <f aca="false">IF(ISNUMBER($K289),$K289*$H289,"")</f>
        <v>51.6541536</v>
      </c>
      <c r="M289" s="40" t="n">
        <f aca="false">IF(ISNUMBER($K289),$K289*Parâmetros!$B$4,"")</f>
        <v>43.045128</v>
      </c>
      <c r="N289" s="40" t="n">
        <f aca="false">IF(ISNUMBER($K289),$K289*Parâmetros!$C$4,"")</f>
        <v>12.9135384</v>
      </c>
      <c r="O289" s="40" t="n">
        <f aca="false">IF(ISNUMBER($K289),IF(ISNUMBER(Parâmetros!$E$4),Parâmetros!$E$4,0),"")</f>
        <v>0</v>
      </c>
      <c r="P289" s="41" t="n">
        <f aca="false">IF(ISNUMBER($K289),$K289-$D289-IF(ISNUMBER($E289),$E289,0)-$L289-$M289-$N289-$O289,"")</f>
        <v>76.2084600000001</v>
      </c>
      <c r="Q289" s="42" t="n">
        <f aca="false">IF(AND(ISNUMBER($K289),$K289&gt;0),$P289/$K289,"")</f>
        <v>0.17704317199382</v>
      </c>
      <c r="R289" s="43"/>
      <c r="S289" s="44" t="str">
        <f aca="false">IF(OR(NOT(ISNUMBER($R289)),$R289=0,NOT(ISNUMBER($K289))),"",$K289*(1-$R289))</f>
        <v/>
      </c>
      <c r="T289" s="45" t="str">
        <f aca="false">IF(ISNUMBER($S289),$S289*$H289,"")</f>
        <v/>
      </c>
      <c r="U289" s="45" t="str">
        <f aca="false">IF(ISNUMBER($S289),$S289*Parâmetros!$B$4,"")</f>
        <v/>
      </c>
      <c r="V289" s="45" t="str">
        <f aca="false">IF(ISNUMBER($S289),$S289*Parâmetros!$C$4,"")</f>
        <v/>
      </c>
      <c r="W289" s="44" t="str">
        <f aca="false">IF(ISNUMBER($S289),$S289-$D289-IF(ISNUMBER($E289),$E289,0)-$O289-$T289-$U289-$V289,"")</f>
        <v/>
      </c>
      <c r="X289" s="46" t="str">
        <f aca="false">IF(AND(ISNUMBER($S289),$S289&gt;0),$W289/$S289,"")</f>
        <v/>
      </c>
      <c r="Y289" s="49" t="s">
        <v>744</v>
      </c>
      <c r="Z289" s="21"/>
    </row>
    <row r="290" customFormat="false" ht="15.75" hidden="false" customHeight="true" outlineLevel="0" collapsed="false">
      <c r="A290" s="32" t="str">
        <f aca="false">IF(Produtos!$A290="","",Produtos!$A290)</f>
        <v>P3040ALC</v>
      </c>
      <c r="B290" s="32" t="str">
        <f aca="false">IF(Produtos!$A290="","",Produtos!$B290)</f>
        <v>Lixeira c/Tampa Pedal 30x40 30L c/Alças</v>
      </c>
      <c r="C290" s="32" t="str">
        <f aca="false">IF(Produtos!$A290="","",Produtos!$C290)</f>
        <v>Lixeiras com pedal</v>
      </c>
      <c r="D290" s="33" t="n">
        <f aca="false">IF(Produtos!$A290="","",IF(Produtos!$D290="","",Produtos!$D290))</f>
        <v>296.61</v>
      </c>
      <c r="E290" s="11" t="n">
        <v>40.85</v>
      </c>
      <c r="F290" s="34" t="n">
        <f aca="false">IF($A290="","",IF($C290="","⚠ categoria",IFERROR(INDEX(Parâmetros!$B$13:$B$22,MATCH($C290,Parâmetros!$A$13:$A$22,0)),"⚠ categoria")))</f>
        <v>0.13</v>
      </c>
      <c r="G290" s="35" t="n">
        <v>0.12</v>
      </c>
      <c r="H290" s="36" t="n">
        <f aca="false">IF($A290="","",IF(ISNUMBER($G290),$G290,IF(ISNUMBER($F290),$F290,"")))</f>
        <v>0.12</v>
      </c>
      <c r="I290" s="37" t="n">
        <f aca="false">IF(OR($A290="",NOT(ISNUMBER($D290)),NOT(ISNUMBER($H290))),"",IF((1-$H290-Parâmetros!$B$4-Parâmetros!$C$4-Parâmetros!$D$4)&lt;=0,"INVALIDO",($D290+IF(ISNUMBER($E290),$E290,0)+IF(ISNUMBER(Parâmetros!$E$4),Parâmetros!$E$4,0))/(1-$H290-Parâmetros!$B$4-Parâmetros!$C$4-Parâmetros!$D$4)))</f>
        <v>613.563636363636</v>
      </c>
      <c r="J290" s="38" t="n">
        <v>588.91856625</v>
      </c>
      <c r="K290" s="39" t="n">
        <f aca="false">IF(OR($A290="",NOT(ISNUMBER($D290)),NOT(ISNUMBER($H290))),"",IF(AND(ISNUMBER($J290),$J290&gt;0),$J290,IF(ISNUMBER($I290),$I290,"")))</f>
        <v>588.91856625</v>
      </c>
      <c r="L290" s="40" t="n">
        <f aca="false">IF(ISNUMBER($K290),$K290*$H290,"")</f>
        <v>70.67022795</v>
      </c>
      <c r="M290" s="40" t="n">
        <f aca="false">IF(ISNUMBER($K290),$K290*Parâmetros!$B$4,"")</f>
        <v>58.891856625</v>
      </c>
      <c r="N290" s="40" t="n">
        <f aca="false">IF(ISNUMBER($K290),$K290*Parâmetros!$C$4,"")</f>
        <v>17.6675569875</v>
      </c>
      <c r="O290" s="40" t="n">
        <f aca="false">IF(ISNUMBER($K290),IF(ISNUMBER(Parâmetros!$E$4),Parâmetros!$E$4,0),"")</f>
        <v>0</v>
      </c>
      <c r="P290" s="41" t="n">
        <f aca="false">IF(ISNUMBER($K290),$K290-$D290-IF(ISNUMBER($E290),$E290,0)-$L290-$M290-$N290-$O290,"")</f>
        <v>104.2289246875</v>
      </c>
      <c r="Q290" s="42" t="n">
        <f aca="false">IF(AND(ISNUMBER($K290),$K290&gt;0),$P290/$K290,"")</f>
        <v>0.17698359444021</v>
      </c>
      <c r="R290" s="43"/>
      <c r="S290" s="44" t="str">
        <f aca="false">IF(OR(NOT(ISNUMBER($R290)),$R290=0,NOT(ISNUMBER($K290))),"",$K290*(1-$R290))</f>
        <v/>
      </c>
      <c r="T290" s="45" t="str">
        <f aca="false">IF(ISNUMBER($S290),$S290*$H290,"")</f>
        <v/>
      </c>
      <c r="U290" s="45" t="str">
        <f aca="false">IF(ISNUMBER($S290),$S290*Parâmetros!$B$4,"")</f>
        <v/>
      </c>
      <c r="V290" s="45" t="str">
        <f aca="false">IF(ISNUMBER($S290),$S290*Parâmetros!$C$4,"")</f>
        <v/>
      </c>
      <c r="W290" s="44" t="str">
        <f aca="false">IF(ISNUMBER($S290),$S290-$D290-IF(ISNUMBER($E290),$E290,0)-$O290-$T290-$U290-$V290,"")</f>
        <v/>
      </c>
      <c r="X290" s="46" t="str">
        <f aca="false">IF(AND(ISNUMBER($S290),$S290&gt;0),$W290/$S290,"")</f>
        <v/>
      </c>
      <c r="Y290" s="47" t="s">
        <v>744</v>
      </c>
      <c r="Z290" s="19"/>
    </row>
    <row r="291" customFormat="false" ht="15.75" hidden="false" customHeight="true" outlineLevel="0" collapsed="false">
      <c r="A291" s="48" t="str">
        <f aca="false">IF(Produtos!$A291="","",Produtos!$A291)</f>
        <v>P3050ALC</v>
      </c>
      <c r="B291" s="48" t="str">
        <f aca="false">IF(Produtos!$A291="","",Produtos!$B291)</f>
        <v>Lixeira c/Tampa Pedal 30x50 40L c/Alças</v>
      </c>
      <c r="C291" s="48" t="str">
        <f aca="false">IF(Produtos!$A291="","",Produtos!$C291)</f>
        <v>Lixeiras com pedal</v>
      </c>
      <c r="D291" s="33" t="n">
        <f aca="false">IF(Produtos!$A291="","",IF(Produtos!$D291="","",Produtos!$D291))</f>
        <v>345.63</v>
      </c>
      <c r="E291" s="11" t="n">
        <v>49.35</v>
      </c>
      <c r="F291" s="34" t="n">
        <f aca="false">IF($A291="","",IF($C291="","⚠ categoria",IFERROR(INDEX(Parâmetros!$B$13:$B$22,MATCH($C291,Parâmetros!$A$13:$A$22,0)),"⚠ categoria")))</f>
        <v>0.13</v>
      </c>
      <c r="G291" s="35" t="n">
        <v>0.12</v>
      </c>
      <c r="H291" s="36" t="n">
        <f aca="false">IF($A291="","",IF(ISNUMBER($G291),$G291,IF(ISNUMBER($F291),$F291,"")))</f>
        <v>0.12</v>
      </c>
      <c r="I291" s="37" t="n">
        <f aca="false">IF(OR($A291="",NOT(ISNUMBER($D291)),NOT(ISNUMBER($H291))),"",IF((1-$H291-Parâmetros!$B$4-Parâmetros!$C$4-Parâmetros!$D$4)&lt;=0,"INVALIDO",($D291+IF(ISNUMBER($E291),$E291,0)+IF(ISNUMBER(Parâmetros!$E$4),Parâmetros!$E$4,0))/(1-$H291-Parâmetros!$B$4-Parâmetros!$C$4-Parâmetros!$D$4)))</f>
        <v>718.145454545455</v>
      </c>
      <c r="J291" s="38" t="n">
        <v>688.8100275</v>
      </c>
      <c r="K291" s="39" t="n">
        <f aca="false">IF(OR($A291="",NOT(ISNUMBER($D291)),NOT(ISNUMBER($H291))),"",IF(AND(ISNUMBER($J291),$J291&gt;0),$J291,IF(ISNUMBER($I291),$I291,"")))</f>
        <v>688.8100275</v>
      </c>
      <c r="L291" s="40" t="n">
        <f aca="false">IF(ISNUMBER($K291),$K291*$H291,"")</f>
        <v>82.6572033</v>
      </c>
      <c r="M291" s="40" t="n">
        <f aca="false">IF(ISNUMBER($K291),$K291*Parâmetros!$B$4,"")</f>
        <v>68.88100275</v>
      </c>
      <c r="N291" s="40" t="n">
        <f aca="false">IF(ISNUMBER($K291),$K291*Parâmetros!$C$4,"")</f>
        <v>20.664300825</v>
      </c>
      <c r="O291" s="40" t="n">
        <f aca="false">IF(ISNUMBER($K291),IF(ISNUMBER(Parâmetros!$E$4),Parâmetros!$E$4,0),"")</f>
        <v>0</v>
      </c>
      <c r="P291" s="41" t="n">
        <f aca="false">IF(ISNUMBER($K291),$K291-$D291-IF(ISNUMBER($E291),$E291,0)-$L291-$M291-$N291-$O291,"")</f>
        <v>121.627520625</v>
      </c>
      <c r="Q291" s="42" t="n">
        <f aca="false">IF(AND(ISNUMBER($K291),$K291&gt;0),$P291/$K291,"")</f>
        <v>0.176576292111253</v>
      </c>
      <c r="R291" s="43"/>
      <c r="S291" s="44" t="str">
        <f aca="false">IF(OR(NOT(ISNUMBER($R291)),$R291=0,NOT(ISNUMBER($K291))),"",$K291*(1-$R291))</f>
        <v/>
      </c>
      <c r="T291" s="45" t="str">
        <f aca="false">IF(ISNUMBER($S291),$S291*$H291,"")</f>
        <v/>
      </c>
      <c r="U291" s="45" t="str">
        <f aca="false">IF(ISNUMBER($S291),$S291*Parâmetros!$B$4,"")</f>
        <v/>
      </c>
      <c r="V291" s="45" t="str">
        <f aca="false">IF(ISNUMBER($S291),$S291*Parâmetros!$C$4,"")</f>
        <v/>
      </c>
      <c r="W291" s="44" t="str">
        <f aca="false">IF(ISNUMBER($S291),$S291-$D291-IF(ISNUMBER($E291),$E291,0)-$O291-$T291-$U291-$V291,"")</f>
        <v/>
      </c>
      <c r="X291" s="46" t="str">
        <f aca="false">IF(AND(ISNUMBER($S291),$S291&gt;0),$W291/$S291,"")</f>
        <v/>
      </c>
      <c r="Y291" s="49" t="s">
        <v>744</v>
      </c>
      <c r="Z291" s="21"/>
    </row>
    <row r="292" customFormat="false" ht="15.75" hidden="false" customHeight="true" outlineLevel="0" collapsed="false">
      <c r="A292" s="32" t="str">
        <f aca="false">IF(Produtos!$A292="","",Produtos!$A292)</f>
        <v>P3060ALC</v>
      </c>
      <c r="B292" s="32" t="str">
        <f aca="false">IF(Produtos!$A292="","",Produtos!$B292)</f>
        <v>Lixeira c/Tampa Pedal 30x60 50L c/Alças</v>
      </c>
      <c r="C292" s="32" t="str">
        <f aca="false">IF(Produtos!$A292="","",Produtos!$C292)</f>
        <v>Lixeiras com pedal</v>
      </c>
      <c r="D292" s="33" t="n">
        <f aca="false">IF(Produtos!$A292="","",IF(Produtos!$D292="","",Produtos!$D292))</f>
        <v>347.99</v>
      </c>
      <c r="E292" s="11" t="n">
        <v>50.75</v>
      </c>
      <c r="F292" s="34" t="n">
        <f aca="false">IF($A292="","",IF($C292="","⚠ categoria",IFERROR(INDEX(Parâmetros!$B$13:$B$22,MATCH($C292,Parâmetros!$A$13:$A$22,0)),"⚠ categoria")))</f>
        <v>0.13</v>
      </c>
      <c r="G292" s="35" t="n">
        <v>0.12</v>
      </c>
      <c r="H292" s="36" t="n">
        <f aca="false">IF($A292="","",IF(ISNUMBER($G292),$G292,IF(ISNUMBER($F292),$F292,"")))</f>
        <v>0.12</v>
      </c>
      <c r="I292" s="37" t="n">
        <f aca="false">IF(OR($A292="",NOT(ISNUMBER($D292)),NOT(ISNUMBER($H292))),"",IF((1-$H292-Parâmetros!$B$4-Parâmetros!$C$4-Parâmetros!$D$4)&lt;=0,"INVALIDO",($D292+IF(ISNUMBER($E292),$E292,0)+IF(ISNUMBER(Parâmetros!$E$4),Parâmetros!$E$4,0))/(1-$H292-Parâmetros!$B$4-Parâmetros!$C$4-Parâmetros!$D$4)))</f>
        <v>724.981818181818</v>
      </c>
      <c r="J292" s="38" t="n">
        <v>694.991745</v>
      </c>
      <c r="K292" s="39" t="n">
        <f aca="false">IF(OR($A292="",NOT(ISNUMBER($D292)),NOT(ISNUMBER($H292))),"",IF(AND(ISNUMBER($J292),$J292&gt;0),$J292,IF(ISNUMBER($I292),$I292,"")))</f>
        <v>694.991745</v>
      </c>
      <c r="L292" s="40" t="n">
        <f aca="false">IF(ISNUMBER($K292),$K292*$H292,"")</f>
        <v>83.3990094</v>
      </c>
      <c r="M292" s="40" t="n">
        <f aca="false">IF(ISNUMBER($K292),$K292*Parâmetros!$B$4,"")</f>
        <v>69.4991745</v>
      </c>
      <c r="N292" s="40" t="n">
        <f aca="false">IF(ISNUMBER($K292),$K292*Parâmetros!$C$4,"")</f>
        <v>20.84975235</v>
      </c>
      <c r="O292" s="40" t="n">
        <f aca="false">IF(ISNUMBER($K292),IF(ISNUMBER(Parâmetros!$E$4),Parâmetros!$E$4,0),"")</f>
        <v>0</v>
      </c>
      <c r="P292" s="41" t="n">
        <f aca="false">IF(ISNUMBER($K292),$K292-$D292-IF(ISNUMBER($E292),$E292,0)-$L292-$M292-$N292-$O292,"")</f>
        <v>122.50380875</v>
      </c>
      <c r="Q292" s="42" t="n">
        <f aca="false">IF(AND(ISNUMBER($K292),$K292&gt;0),$P292/$K292,"")</f>
        <v>0.176266566662601</v>
      </c>
      <c r="R292" s="43"/>
      <c r="S292" s="44" t="str">
        <f aca="false">IF(OR(NOT(ISNUMBER($R292)),$R292=0,NOT(ISNUMBER($K292))),"",$K292*(1-$R292))</f>
        <v/>
      </c>
      <c r="T292" s="45" t="str">
        <f aca="false">IF(ISNUMBER($S292),$S292*$H292,"")</f>
        <v/>
      </c>
      <c r="U292" s="45" t="str">
        <f aca="false">IF(ISNUMBER($S292),$S292*Parâmetros!$B$4,"")</f>
        <v/>
      </c>
      <c r="V292" s="45" t="str">
        <f aca="false">IF(ISNUMBER($S292),$S292*Parâmetros!$C$4,"")</f>
        <v/>
      </c>
      <c r="W292" s="44" t="str">
        <f aca="false">IF(ISNUMBER($S292),$S292-$D292-IF(ISNUMBER($E292),$E292,0)-$O292-$T292-$U292-$V292,"")</f>
        <v/>
      </c>
      <c r="X292" s="46" t="str">
        <f aca="false">IF(AND(ISNUMBER($S292),$S292&gt;0),$W292/$S292,"")</f>
        <v/>
      </c>
      <c r="Y292" s="47" t="s">
        <v>744</v>
      </c>
      <c r="Z292" s="19"/>
    </row>
    <row r="293" customFormat="false" ht="15.75" hidden="false" customHeight="true" outlineLevel="0" collapsed="false">
      <c r="A293" s="48" t="str">
        <f aca="false">IF(Produtos!$A293="","",Produtos!$A293)</f>
        <v>P3070ALC</v>
      </c>
      <c r="B293" s="48" t="str">
        <f aca="false">IF(Produtos!$A293="","",Produtos!$B293)</f>
        <v>Lixeira c/Tampa Pedal 30x70 60L c/Alças</v>
      </c>
      <c r="C293" s="48" t="str">
        <f aca="false">IF(Produtos!$A293="","",Produtos!$C293)</f>
        <v>Lixeiras com pedal</v>
      </c>
      <c r="D293" s="33" t="n">
        <f aca="false">IF(Produtos!$A293="","",IF(Produtos!$D293="","",Produtos!$D293))</f>
        <v>421.92</v>
      </c>
      <c r="E293" s="11" t="n">
        <v>69.35</v>
      </c>
      <c r="F293" s="34" t="n">
        <f aca="false">IF($A293="","",IF($C293="","⚠ categoria",IFERROR(INDEX(Parâmetros!$B$13:$B$22,MATCH($C293,Parâmetros!$A$13:$A$22,0)),"⚠ categoria")))</f>
        <v>0.13</v>
      </c>
      <c r="G293" s="35"/>
      <c r="H293" s="36" t="n">
        <f aca="false">IF($A293="","",IF(ISNUMBER($G293),$G293,IF(ISNUMBER($F293),$F293,"")))</f>
        <v>0.13</v>
      </c>
      <c r="I293" s="37" t="n">
        <f aca="false">IF(OR($A293="",NOT(ISNUMBER($D293)),NOT(ISNUMBER($H293))),"",IF((1-$H293-Parâmetros!$B$4-Parâmetros!$C$4-Parâmetros!$D$4)&lt;=0,"INVALIDO",($D293+IF(ISNUMBER($E293),$E293,0)+IF(ISNUMBER(Parâmetros!$E$4),Parâmetros!$E$4,0))/(1-$H293-Parâmetros!$B$4-Parâmetros!$C$4-Parâmetros!$D$4)))</f>
        <v>909.759259259259</v>
      </c>
      <c r="J293" s="38" t="n">
        <v>909.76</v>
      </c>
      <c r="K293" s="39" t="n">
        <f aca="false">IF(OR($A293="",NOT(ISNUMBER($D293)),NOT(ISNUMBER($H293))),"",IF(AND(ISNUMBER($J293),$J293&gt;0),$J293,IF(ISNUMBER($I293),$I293,"")))</f>
        <v>909.76</v>
      </c>
      <c r="L293" s="40" t="n">
        <f aca="false">IF(ISNUMBER($K293),$K293*$H293,"")</f>
        <v>118.2688</v>
      </c>
      <c r="M293" s="40" t="n">
        <f aca="false">IF(ISNUMBER($K293),$K293*Parâmetros!$B$4,"")</f>
        <v>90.976</v>
      </c>
      <c r="N293" s="40" t="n">
        <f aca="false">IF(ISNUMBER($K293),$K293*Parâmetros!$C$4,"")</f>
        <v>27.2928</v>
      </c>
      <c r="O293" s="40" t="n">
        <f aca="false">IF(ISNUMBER($K293),IF(ISNUMBER(Parâmetros!$E$4),Parâmetros!$E$4,0),"")</f>
        <v>0</v>
      </c>
      <c r="P293" s="41" t="n">
        <f aca="false">IF(ISNUMBER($K293),$K293-$D293-IF(ISNUMBER($E293),$E293,0)-$L293-$M293-$N293-$O293,"")</f>
        <v>181.9524</v>
      </c>
      <c r="Q293" s="42" t="n">
        <f aca="false">IF(AND(ISNUMBER($K293),$K293&gt;0),$P293/$K293,"")</f>
        <v>0.200000439676398</v>
      </c>
      <c r="R293" s="43"/>
      <c r="S293" s="44" t="str">
        <f aca="false">IF(OR(NOT(ISNUMBER($R293)),$R293=0,NOT(ISNUMBER($K293))),"",$K293*(1-$R293))</f>
        <v/>
      </c>
      <c r="T293" s="45" t="str">
        <f aca="false">IF(ISNUMBER($S293),$S293*$H293,"")</f>
        <v/>
      </c>
      <c r="U293" s="45" t="str">
        <f aca="false">IF(ISNUMBER($S293),$S293*Parâmetros!$B$4,"")</f>
        <v/>
      </c>
      <c r="V293" s="45" t="str">
        <f aca="false">IF(ISNUMBER($S293),$S293*Parâmetros!$C$4,"")</f>
        <v/>
      </c>
      <c r="W293" s="44" t="str">
        <f aca="false">IF(ISNUMBER($S293),$S293-$D293-IF(ISNUMBER($E293),$E293,0)-$O293-$T293-$U293-$V293,"")</f>
        <v/>
      </c>
      <c r="X293" s="46" t="str">
        <f aca="false">IF(AND(ISNUMBER($S293),$S293&gt;0),$W293/$S293,"")</f>
        <v/>
      </c>
      <c r="Y293" s="49" t="s">
        <v>744</v>
      </c>
      <c r="Z293" s="21"/>
    </row>
    <row r="294" customFormat="false" ht="15.75" hidden="false" customHeight="true" outlineLevel="0" collapsed="false">
      <c r="A294" s="32" t="str">
        <f aca="false">IF(Produtos!$A294="","",Produtos!$A294)</f>
        <v>P4050ALC</v>
      </c>
      <c r="B294" s="32" t="str">
        <f aca="false">IF(Produtos!$A294="","",Produtos!$B294)</f>
        <v>Lixeira c/Tampa Pedal 40x50 65L c/Alças</v>
      </c>
      <c r="C294" s="32" t="str">
        <f aca="false">IF(Produtos!$A294="","",Produtos!$C294)</f>
        <v>Lixeiras com pedal</v>
      </c>
      <c r="D294" s="33" t="n">
        <f aca="false">IF(Produtos!$A294="","",IF(Produtos!$D294="","",Produtos!$D294))</f>
        <v>485.02</v>
      </c>
      <c r="E294" s="11" t="n">
        <v>75.65</v>
      </c>
      <c r="F294" s="34" t="n">
        <f aca="false">IF($A294="","",IF($C294="","⚠ categoria",IFERROR(INDEX(Parâmetros!$B$13:$B$22,MATCH($C294,Parâmetros!$A$13:$A$22,0)),"⚠ categoria")))</f>
        <v>0.13</v>
      </c>
      <c r="G294" s="35"/>
      <c r="H294" s="36" t="n">
        <f aca="false">IF($A294="","",IF(ISNUMBER($G294),$G294,IF(ISNUMBER($F294),$F294,"")))</f>
        <v>0.13</v>
      </c>
      <c r="I294" s="37" t="n">
        <f aca="false">IF(OR($A294="",NOT(ISNUMBER($D294)),NOT(ISNUMBER($H294))),"",IF((1-$H294-Parâmetros!$B$4-Parâmetros!$C$4-Parâmetros!$D$4)&lt;=0,"INVALIDO",($D294+IF(ISNUMBER($E294),$E294,0)+IF(ISNUMBER(Parâmetros!$E$4),Parâmetros!$E$4,0))/(1-$H294-Parâmetros!$B$4-Parâmetros!$C$4-Parâmetros!$D$4)))</f>
        <v>1038.27777777778</v>
      </c>
      <c r="J294" s="38" t="n">
        <v>987.65092125</v>
      </c>
      <c r="K294" s="39" t="n">
        <f aca="false">IF(OR($A294="",NOT(ISNUMBER($D294)),NOT(ISNUMBER($H294))),"",IF(AND(ISNUMBER($J294),$J294&gt;0),$J294,IF(ISNUMBER($I294),$I294,"")))</f>
        <v>987.65092125</v>
      </c>
      <c r="L294" s="40" t="n">
        <f aca="false">IF(ISNUMBER($K294),$K294*$H294,"")</f>
        <v>128.3946197625</v>
      </c>
      <c r="M294" s="40" t="n">
        <f aca="false">IF(ISNUMBER($K294),$K294*Parâmetros!$B$4,"")</f>
        <v>98.765092125</v>
      </c>
      <c r="N294" s="40" t="n">
        <f aca="false">IF(ISNUMBER($K294),$K294*Parâmetros!$C$4,"")</f>
        <v>29.6295276375</v>
      </c>
      <c r="O294" s="40" t="n">
        <f aca="false">IF(ISNUMBER($K294),IF(ISNUMBER(Parâmetros!$E$4),Parâmetros!$E$4,0),"")</f>
        <v>0</v>
      </c>
      <c r="P294" s="41" t="n">
        <f aca="false">IF(ISNUMBER($K294),$K294-$D294-IF(ISNUMBER($E294),$E294,0)-$L294-$M294-$N294-$O294,"")</f>
        <v>170.191681725</v>
      </c>
      <c r="Q294" s="42" t="n">
        <f aca="false">IF(AND(ISNUMBER($K294),$K294&gt;0),$P294/$K294,"")</f>
        <v>0.172319670911257</v>
      </c>
      <c r="R294" s="43"/>
      <c r="S294" s="44" t="str">
        <f aca="false">IF(OR(NOT(ISNUMBER($R294)),$R294=0,NOT(ISNUMBER($K294))),"",$K294*(1-$R294))</f>
        <v/>
      </c>
      <c r="T294" s="45" t="str">
        <f aca="false">IF(ISNUMBER($S294),$S294*$H294,"")</f>
        <v/>
      </c>
      <c r="U294" s="45" t="str">
        <f aca="false">IF(ISNUMBER($S294),$S294*Parâmetros!$B$4,"")</f>
        <v/>
      </c>
      <c r="V294" s="45" t="str">
        <f aca="false">IF(ISNUMBER($S294),$S294*Parâmetros!$C$4,"")</f>
        <v/>
      </c>
      <c r="W294" s="44" t="str">
        <f aca="false">IF(ISNUMBER($S294),$S294-$D294-IF(ISNUMBER($E294),$E294,0)-$O294-$T294-$U294-$V294,"")</f>
        <v/>
      </c>
      <c r="X294" s="46" t="str">
        <f aca="false">IF(AND(ISNUMBER($S294),$S294&gt;0),$W294/$S294,"")</f>
        <v/>
      </c>
      <c r="Y294" s="47" t="s">
        <v>744</v>
      </c>
      <c r="Z294" s="19"/>
    </row>
    <row r="295" customFormat="false" ht="15.75" hidden="false" customHeight="true" outlineLevel="0" collapsed="false">
      <c r="A295" s="48" t="str">
        <f aca="false">IF(Produtos!$A295="","",Produtos!$A295)</f>
        <v>P4060ALC</v>
      </c>
      <c r="B295" s="48" t="str">
        <f aca="false">IF(Produtos!$A295="","",Produtos!$B295)</f>
        <v>Lixeira c/Tampa Pedal 40x60 75L c/Alças</v>
      </c>
      <c r="C295" s="48" t="str">
        <f aca="false">IF(Produtos!$A295="","",Produtos!$C295)</f>
        <v>Lixeiras com pedal</v>
      </c>
      <c r="D295" s="33" t="n">
        <f aca="false">IF(Produtos!$A295="","",IF(Produtos!$D295="","",Produtos!$D295))</f>
        <v>527.41</v>
      </c>
      <c r="E295" s="11" t="n">
        <v>79.35</v>
      </c>
      <c r="F295" s="34" t="n">
        <f aca="false">IF($A295="","",IF($C295="","⚠ categoria",IFERROR(INDEX(Parâmetros!$B$13:$B$22,MATCH($C295,Parâmetros!$A$13:$A$22,0)),"⚠ categoria")))</f>
        <v>0.13</v>
      </c>
      <c r="G295" s="35"/>
      <c r="H295" s="36" t="n">
        <f aca="false">IF($A295="","",IF(ISNUMBER($G295),$G295,IF(ISNUMBER($F295),$F295,"")))</f>
        <v>0.13</v>
      </c>
      <c r="I295" s="37" t="n">
        <f aca="false">IF(OR($A295="",NOT(ISNUMBER($D295)),NOT(ISNUMBER($H295))),"",IF((1-$H295-Parâmetros!$B$4-Parâmetros!$C$4-Parâmetros!$D$4)&lt;=0,"INVALIDO",($D295+IF(ISNUMBER($E295),$E295,0)+IF(ISNUMBER(Parâmetros!$E$4),Parâmetros!$E$4,0))/(1-$H295-Parâmetros!$B$4-Parâmetros!$C$4-Parâmetros!$D$4)))</f>
        <v>1123.62962962963</v>
      </c>
      <c r="J295" s="38" t="n">
        <v>1069.7612625</v>
      </c>
      <c r="K295" s="39" t="n">
        <f aca="false">IF(OR($A295="",NOT(ISNUMBER($D295)),NOT(ISNUMBER($H295))),"",IF(AND(ISNUMBER($J295),$J295&gt;0),$J295,IF(ISNUMBER($I295),$I295,"")))</f>
        <v>1069.7612625</v>
      </c>
      <c r="L295" s="40" t="n">
        <f aca="false">IF(ISNUMBER($K295),$K295*$H295,"")</f>
        <v>139.068964125</v>
      </c>
      <c r="M295" s="40" t="n">
        <f aca="false">IF(ISNUMBER($K295),$K295*Parâmetros!$B$4,"")</f>
        <v>106.97612625</v>
      </c>
      <c r="N295" s="40" t="n">
        <f aca="false">IF(ISNUMBER($K295),$K295*Parâmetros!$C$4,"")</f>
        <v>32.092837875</v>
      </c>
      <c r="O295" s="40" t="n">
        <f aca="false">IF(ISNUMBER($K295),IF(ISNUMBER(Parâmetros!$E$4),Parâmetros!$E$4,0),"")</f>
        <v>0</v>
      </c>
      <c r="P295" s="41" t="n">
        <f aca="false">IF(ISNUMBER($K295),$K295-$D295-IF(ISNUMBER($E295),$E295,0)-$L295-$M295-$N295-$O295,"")</f>
        <v>184.86333425</v>
      </c>
      <c r="Q295" s="42" t="n">
        <f aca="false">IF(AND(ISNUMBER($K295),$K295&gt;0),$P295/$K295,"")</f>
        <v>0.172808028043547</v>
      </c>
      <c r="R295" s="43"/>
      <c r="S295" s="44" t="str">
        <f aca="false">IF(OR(NOT(ISNUMBER($R295)),$R295=0,NOT(ISNUMBER($K295))),"",$K295*(1-$R295))</f>
        <v/>
      </c>
      <c r="T295" s="45" t="str">
        <f aca="false">IF(ISNUMBER($S295),$S295*$H295,"")</f>
        <v/>
      </c>
      <c r="U295" s="45" t="str">
        <f aca="false">IF(ISNUMBER($S295),$S295*Parâmetros!$B$4,"")</f>
        <v/>
      </c>
      <c r="V295" s="45" t="str">
        <f aca="false">IF(ISNUMBER($S295),$S295*Parâmetros!$C$4,"")</f>
        <v/>
      </c>
      <c r="W295" s="44" t="str">
        <f aca="false">IF(ISNUMBER($S295),$S295-$D295-IF(ISNUMBER($E295),$E295,0)-$O295-$T295-$U295-$V295,"")</f>
        <v/>
      </c>
      <c r="X295" s="46" t="str">
        <f aca="false">IF(AND(ISNUMBER($S295),$S295&gt;0),$W295/$S295,"")</f>
        <v/>
      </c>
      <c r="Y295" s="49" t="s">
        <v>744</v>
      </c>
      <c r="Z295" s="21"/>
    </row>
    <row r="296" customFormat="false" ht="15.75" hidden="false" customHeight="true" outlineLevel="0" collapsed="false">
      <c r="A296" s="32" t="str">
        <f aca="false">IF(Produtos!$A296="","",Produtos!$A296)</f>
        <v>P4070ALC</v>
      </c>
      <c r="B296" s="32" t="str">
        <f aca="false">IF(Produtos!$A296="","",Produtos!$B296)</f>
        <v>Lixeira c/Tampa Pedal 40x70 80L c/Alças</v>
      </c>
      <c r="C296" s="32" t="str">
        <f aca="false">IF(Produtos!$A296="","",Produtos!$C296)</f>
        <v>Lixeiras com pedal</v>
      </c>
      <c r="D296" s="33" t="n">
        <f aca="false">IF(Produtos!$A296="","",IF(Produtos!$D296="","",Produtos!$D296))</f>
        <v>539.53</v>
      </c>
      <c r="E296" s="11" t="n">
        <v>91.95</v>
      </c>
      <c r="F296" s="34" t="n">
        <f aca="false">IF($A296="","",IF($C296="","⚠ categoria",IFERROR(INDEX(Parâmetros!$B$13:$B$22,MATCH($C296,Parâmetros!$A$13:$A$22,0)),"⚠ categoria")))</f>
        <v>0.13</v>
      </c>
      <c r="G296" s="35"/>
      <c r="H296" s="36" t="n">
        <f aca="false">IF($A296="","",IF(ISNUMBER($G296),$G296,IF(ISNUMBER($F296),$F296,"")))</f>
        <v>0.13</v>
      </c>
      <c r="I296" s="37" t="n">
        <f aca="false">IF(OR($A296="",NOT(ISNUMBER($D296)),NOT(ISNUMBER($H296))),"",IF((1-$H296-Parâmetros!$B$4-Parâmetros!$C$4-Parâmetros!$D$4)&lt;=0,"INVALIDO",($D296+IF(ISNUMBER($E296),$E296,0)+IF(ISNUMBER(Parâmetros!$E$4),Parâmetros!$E$4,0))/(1-$H296-Parâmetros!$B$4-Parâmetros!$C$4-Parâmetros!$D$4)))</f>
        <v>1169.40740740741</v>
      </c>
      <c r="J296" s="38" t="n">
        <v>1110.4170525</v>
      </c>
      <c r="K296" s="39" t="n">
        <f aca="false">IF(OR($A296="",NOT(ISNUMBER($D296)),NOT(ISNUMBER($H296))),"",IF(AND(ISNUMBER($J296),$J296&gt;0),$J296,IF(ISNUMBER($I296),$I296,"")))</f>
        <v>1110.4170525</v>
      </c>
      <c r="L296" s="40" t="n">
        <f aca="false">IF(ISNUMBER($K296),$K296*$H296,"")</f>
        <v>144.354216825</v>
      </c>
      <c r="M296" s="40" t="n">
        <f aca="false">IF(ISNUMBER($K296),$K296*Parâmetros!$B$4,"")</f>
        <v>111.04170525</v>
      </c>
      <c r="N296" s="40" t="n">
        <f aca="false">IF(ISNUMBER($K296),$K296*Parâmetros!$C$4,"")</f>
        <v>33.312511575</v>
      </c>
      <c r="O296" s="40" t="n">
        <f aca="false">IF(ISNUMBER($K296),IF(ISNUMBER(Parâmetros!$E$4),Parâmetros!$E$4,0),"")</f>
        <v>0</v>
      </c>
      <c r="P296" s="41" t="n">
        <f aca="false">IF(ISNUMBER($K296),$K296-$D296-IF(ISNUMBER($E296),$E296,0)-$L296-$M296-$N296-$O296,"")</f>
        <v>190.22861885</v>
      </c>
      <c r="Q296" s="42" t="n">
        <f aca="false">IF(AND(ISNUMBER($K296),$K296&gt;0),$P296/$K296,"")</f>
        <v>0.171312767956614</v>
      </c>
      <c r="R296" s="43"/>
      <c r="S296" s="44" t="str">
        <f aca="false">IF(OR(NOT(ISNUMBER($R296)),$R296=0,NOT(ISNUMBER($K296))),"",$K296*(1-$R296))</f>
        <v/>
      </c>
      <c r="T296" s="45" t="str">
        <f aca="false">IF(ISNUMBER($S296),$S296*$H296,"")</f>
        <v/>
      </c>
      <c r="U296" s="45" t="str">
        <f aca="false">IF(ISNUMBER($S296),$S296*Parâmetros!$B$4,"")</f>
        <v/>
      </c>
      <c r="V296" s="45" t="str">
        <f aca="false">IF(ISNUMBER($S296),$S296*Parâmetros!$C$4,"")</f>
        <v/>
      </c>
      <c r="W296" s="44" t="str">
        <f aca="false">IF(ISNUMBER($S296),$S296-$D296-IF(ISNUMBER($E296),$E296,0)-$O296-$T296-$U296-$V296,"")</f>
        <v/>
      </c>
      <c r="X296" s="46" t="str">
        <f aca="false">IF(AND(ISNUMBER($S296),$S296&gt;0),$W296/$S296,"")</f>
        <v/>
      </c>
      <c r="Y296" s="47" t="s">
        <v>744</v>
      </c>
      <c r="Z296" s="19"/>
    </row>
    <row r="297" customFormat="false" ht="15.75" hidden="false" customHeight="true" outlineLevel="0" collapsed="false">
      <c r="A297" s="48" t="str">
        <f aca="false">IF(Produtos!$A297="","",Produtos!$A297)</f>
        <v>P4075ALC</v>
      </c>
      <c r="B297" s="48" t="str">
        <f aca="false">IF(Produtos!$A297="","",Produtos!$B297)</f>
        <v>Lixeira c/Tampa Pedal 40x75 95L c/Alças</v>
      </c>
      <c r="C297" s="48" t="str">
        <f aca="false">IF(Produtos!$A297="","",Produtos!$C297)</f>
        <v>Lixeiras com pedal</v>
      </c>
      <c r="D297" s="33" t="n">
        <f aca="false">IF(Produtos!$A297="","",IF(Produtos!$D297="","",Produtos!$D297))</f>
        <v>605.28</v>
      </c>
      <c r="E297" s="11" t="n">
        <v>91.95</v>
      </c>
      <c r="F297" s="34" t="n">
        <f aca="false">IF($A297="","",IF($C297="","⚠ categoria",IFERROR(INDEX(Parâmetros!$B$13:$B$22,MATCH($C297,Parâmetros!$A$13:$A$22,0)),"⚠ categoria")))</f>
        <v>0.13</v>
      </c>
      <c r="G297" s="35"/>
      <c r="H297" s="36" t="n">
        <f aca="false">IF($A297="","",IF(ISNUMBER($G297),$G297,IF(ISNUMBER($F297),$F297,"")))</f>
        <v>0.13</v>
      </c>
      <c r="I297" s="37" t="n">
        <f aca="false">IF(OR($A297="",NOT(ISNUMBER($D297)),NOT(ISNUMBER($H297))),"",IF((1-$H297-Parâmetros!$B$4-Parâmetros!$C$4-Parâmetros!$D$4)&lt;=0,"INVALIDO",($D297+IF(ISNUMBER($E297),$E297,0)+IF(ISNUMBER(Parâmetros!$E$4),Parâmetros!$E$4,0))/(1-$H297-Parâmetros!$B$4-Parâmetros!$C$4-Parâmetros!$D$4)))</f>
        <v>1291.16666666667</v>
      </c>
      <c r="J297" s="38" t="n">
        <v>1229.08519125</v>
      </c>
      <c r="K297" s="39" t="n">
        <f aca="false">IF(OR($A297="",NOT(ISNUMBER($D297)),NOT(ISNUMBER($H297))),"",IF(AND(ISNUMBER($J297),$J297&gt;0),$J297,IF(ISNUMBER($I297),$I297,"")))</f>
        <v>1229.08519125</v>
      </c>
      <c r="L297" s="40" t="n">
        <f aca="false">IF(ISNUMBER($K297),$K297*$H297,"")</f>
        <v>159.7810748625</v>
      </c>
      <c r="M297" s="40" t="n">
        <f aca="false">IF(ISNUMBER($K297),$K297*Parâmetros!$B$4,"")</f>
        <v>122.908519125</v>
      </c>
      <c r="N297" s="40" t="n">
        <f aca="false">IF(ISNUMBER($K297),$K297*Parâmetros!$C$4,"")</f>
        <v>36.8725557375</v>
      </c>
      <c r="O297" s="40" t="n">
        <f aca="false">IF(ISNUMBER($K297),IF(ISNUMBER(Parâmetros!$E$4),Parâmetros!$E$4,0),"")</f>
        <v>0</v>
      </c>
      <c r="P297" s="41" t="n">
        <f aca="false">IF(ISNUMBER($K297),$K297-$D297-IF(ISNUMBER($E297),$E297,0)-$L297-$M297-$N297-$O297,"")</f>
        <v>212.293041525</v>
      </c>
      <c r="Q297" s="42" t="n">
        <f aca="false">IF(AND(ISNUMBER($K297),$K297&gt;0),$P297/$K297,"")</f>
        <v>0.172724431989205</v>
      </c>
      <c r="R297" s="43"/>
      <c r="S297" s="44" t="str">
        <f aca="false">IF(OR(NOT(ISNUMBER($R297)),$R297=0,NOT(ISNUMBER($K297))),"",$K297*(1-$R297))</f>
        <v/>
      </c>
      <c r="T297" s="45" t="str">
        <f aca="false">IF(ISNUMBER($S297),$S297*$H297,"")</f>
        <v/>
      </c>
      <c r="U297" s="45" t="str">
        <f aca="false">IF(ISNUMBER($S297),$S297*Parâmetros!$B$4,"")</f>
        <v/>
      </c>
      <c r="V297" s="45" t="str">
        <f aca="false">IF(ISNUMBER($S297),$S297*Parâmetros!$C$4,"")</f>
        <v/>
      </c>
      <c r="W297" s="44" t="str">
        <f aca="false">IF(ISNUMBER($S297),$S297-$D297-IF(ISNUMBER($E297),$E297,0)-$O297-$T297-$U297-$V297,"")</f>
        <v/>
      </c>
      <c r="X297" s="46" t="str">
        <f aca="false">IF(AND(ISNUMBER($S297),$S297&gt;0),$W297/$S297,"")</f>
        <v/>
      </c>
      <c r="Y297" s="49" t="s">
        <v>744</v>
      </c>
      <c r="Z297" s="21"/>
    </row>
    <row r="298" customFormat="false" ht="15.75" hidden="false" customHeight="true" outlineLevel="0" collapsed="false">
      <c r="A298" s="32" t="str">
        <f aca="false">IF(Produtos!$A298="","",Produtos!$A298)</f>
        <v>P4080ALC</v>
      </c>
      <c r="B298" s="32" t="str">
        <f aca="false">IF(Produtos!$A298="","",Produtos!$B298)</f>
        <v>Lixeira c/Tampa Pedal 40x80 100L c/Alças</v>
      </c>
      <c r="C298" s="32" t="str">
        <f aca="false">IF(Produtos!$A298="","",Produtos!$C298)</f>
        <v>Lixeiras com pedal</v>
      </c>
      <c r="D298" s="33" t="n">
        <f aca="false">IF(Produtos!$A298="","",IF(Produtos!$D298="","",Produtos!$D298))</f>
        <v>642.03</v>
      </c>
      <c r="E298" s="11" t="n">
        <v>106.85</v>
      </c>
      <c r="F298" s="34" t="n">
        <f aca="false">IF($A298="","",IF($C298="","⚠ categoria",IFERROR(INDEX(Parâmetros!$B$13:$B$22,MATCH($C298,Parâmetros!$A$13:$A$22,0)),"⚠ categoria")))</f>
        <v>0.13</v>
      </c>
      <c r="G298" s="35"/>
      <c r="H298" s="36" t="n">
        <f aca="false">IF($A298="","",IF(ISNUMBER($G298),$G298,IF(ISNUMBER($F298),$F298,"")))</f>
        <v>0.13</v>
      </c>
      <c r="I298" s="37" t="n">
        <f aca="false">IF(OR($A298="",NOT(ISNUMBER($D298)),NOT(ISNUMBER($H298))),"",IF((1-$H298-Parâmetros!$B$4-Parâmetros!$C$4-Parâmetros!$D$4)&lt;=0,"INVALIDO",($D298+IF(ISNUMBER($E298),$E298,0)+IF(ISNUMBER(Parâmetros!$E$4),Parâmetros!$E$4,0))/(1-$H298-Parâmetros!$B$4-Parâmetros!$C$4-Parâmetros!$D$4)))</f>
        <v>1386.81481481481</v>
      </c>
      <c r="J298" s="38" t="n">
        <v>1317.52774125</v>
      </c>
      <c r="K298" s="39" t="n">
        <f aca="false">IF(OR($A298="",NOT(ISNUMBER($D298)),NOT(ISNUMBER($H298))),"",IF(AND(ISNUMBER($J298),$J298&gt;0),$J298,IF(ISNUMBER($I298),$I298,"")))</f>
        <v>1317.52774125</v>
      </c>
      <c r="L298" s="40" t="n">
        <f aca="false">IF(ISNUMBER($K298),$K298*$H298,"")</f>
        <v>171.2786063625</v>
      </c>
      <c r="M298" s="40" t="n">
        <f aca="false">IF(ISNUMBER($K298),$K298*Parâmetros!$B$4,"")</f>
        <v>131.752774125</v>
      </c>
      <c r="N298" s="40" t="n">
        <f aca="false">IF(ISNUMBER($K298),$K298*Parâmetros!$C$4,"")</f>
        <v>39.5258322375</v>
      </c>
      <c r="O298" s="40" t="n">
        <f aca="false">IF(ISNUMBER($K298),IF(ISNUMBER(Parâmetros!$E$4),Parâmetros!$E$4,0),"")</f>
        <v>0</v>
      </c>
      <c r="P298" s="41" t="n">
        <f aca="false">IF(ISNUMBER($K298),$K298-$D298-IF(ISNUMBER($E298),$E298,0)-$L298-$M298-$N298-$O298,"")</f>
        <v>226.090528525</v>
      </c>
      <c r="Q298" s="42" t="n">
        <f aca="false">IF(AND(ISNUMBER($K298),$K298&gt;0),$P298/$K298,"")</f>
        <v>0.171602101000543</v>
      </c>
      <c r="R298" s="43"/>
      <c r="S298" s="44" t="str">
        <f aca="false">IF(OR(NOT(ISNUMBER($R298)),$R298=0,NOT(ISNUMBER($K298))),"",$K298*(1-$R298))</f>
        <v/>
      </c>
      <c r="T298" s="45" t="str">
        <f aca="false">IF(ISNUMBER($S298),$S298*$H298,"")</f>
        <v/>
      </c>
      <c r="U298" s="45" t="str">
        <f aca="false">IF(ISNUMBER($S298),$S298*Parâmetros!$B$4,"")</f>
        <v/>
      </c>
      <c r="V298" s="45" t="str">
        <f aca="false">IF(ISNUMBER($S298),$S298*Parâmetros!$C$4,"")</f>
        <v/>
      </c>
      <c r="W298" s="44" t="str">
        <f aca="false">IF(ISNUMBER($S298),$S298-$D298-IF(ISNUMBER($E298),$E298,0)-$O298-$T298-$U298-$V298,"")</f>
        <v/>
      </c>
      <c r="X298" s="46" t="str">
        <f aca="false">IF(AND(ISNUMBER($S298),$S298&gt;0),$W298/$S298,"")</f>
        <v/>
      </c>
      <c r="Y298" s="47" t="s">
        <v>744</v>
      </c>
      <c r="Z298" s="19"/>
    </row>
    <row r="299" customFormat="false" ht="15.75" hidden="false" customHeight="true" outlineLevel="0" collapsed="false">
      <c r="A299" s="48" t="str">
        <f aca="false">IF(Produtos!$A299="","",Produtos!$A299)</f>
        <v>P4090ALC</v>
      </c>
      <c r="B299" s="48" t="str">
        <f aca="false">IF(Produtos!$A299="","",Produtos!$B299)</f>
        <v>Lixeira c/Tampa Pedal 40x90 120L c/Alças</v>
      </c>
      <c r="C299" s="48" t="str">
        <f aca="false">IF(Produtos!$A299="","",Produtos!$C299)</f>
        <v>Lixeiras com pedal</v>
      </c>
      <c r="D299" s="33" t="n">
        <f aca="false">IF(Produtos!$A299="","",IF(Produtos!$D299="","",Produtos!$D299))</f>
        <v>828.46</v>
      </c>
      <c r="E299" s="11" t="n">
        <v>106.85</v>
      </c>
      <c r="F299" s="34" t="n">
        <f aca="false">IF($A299="","",IF($C299="","⚠ categoria",IFERROR(INDEX(Parâmetros!$B$13:$B$22,MATCH($C299,Parâmetros!$A$13:$A$22,0)),"⚠ categoria")))</f>
        <v>0.13</v>
      </c>
      <c r="G299" s="35"/>
      <c r="H299" s="36" t="n">
        <f aca="false">IF($A299="","",IF(ISNUMBER($G299),$G299,IF(ISNUMBER($F299),$F299,"")))</f>
        <v>0.13</v>
      </c>
      <c r="I299" s="37" t="n">
        <f aca="false">IF(OR($A299="",NOT(ISNUMBER($D299)),NOT(ISNUMBER($H299))),"",IF((1-$H299-Parâmetros!$B$4-Parâmetros!$C$4-Parâmetros!$D$4)&lt;=0,"INVALIDO",($D299+IF(ISNUMBER($E299),$E299,0)+IF(ISNUMBER(Parâmetros!$E$4),Parâmetros!$E$4,0))/(1-$H299-Parâmetros!$B$4-Parâmetros!$C$4-Parâmetros!$D$4)))</f>
        <v>1732.05555555556</v>
      </c>
      <c r="J299" s="38" t="n">
        <v>1653.8525325</v>
      </c>
      <c r="K299" s="39" t="n">
        <f aca="false">IF(OR($A299="",NOT(ISNUMBER($D299)),NOT(ISNUMBER($H299))),"",IF(AND(ISNUMBER($J299),$J299&gt;0),$J299,IF(ISNUMBER($I299),$I299,"")))</f>
        <v>1653.8525325</v>
      </c>
      <c r="L299" s="40" t="n">
        <f aca="false">IF(ISNUMBER($K299),$K299*$H299,"")</f>
        <v>215.000829225</v>
      </c>
      <c r="M299" s="40" t="n">
        <f aca="false">IF(ISNUMBER($K299),$K299*Parâmetros!$B$4,"")</f>
        <v>165.38525325</v>
      </c>
      <c r="N299" s="40" t="n">
        <f aca="false">IF(ISNUMBER($K299),$K299*Parâmetros!$C$4,"")</f>
        <v>49.615575975</v>
      </c>
      <c r="O299" s="40" t="n">
        <f aca="false">IF(ISNUMBER($K299),IF(ISNUMBER(Parâmetros!$E$4),Parâmetros!$E$4,0),"")</f>
        <v>0</v>
      </c>
      <c r="P299" s="41" t="n">
        <f aca="false">IF(ISNUMBER($K299),$K299-$D299-IF(ISNUMBER($E299),$E299,0)-$L299-$M299-$N299-$O299,"")</f>
        <v>288.54087405</v>
      </c>
      <c r="Q299" s="42" t="n">
        <f aca="false">IF(AND(ISNUMBER($K299),$K299&gt;0),$P299/$K299,"")</f>
        <v>0.174465902116336</v>
      </c>
      <c r="R299" s="43"/>
      <c r="S299" s="44" t="str">
        <f aca="false">IF(OR(NOT(ISNUMBER($R299)),$R299=0,NOT(ISNUMBER($K299))),"",$K299*(1-$R299))</f>
        <v/>
      </c>
      <c r="T299" s="45" t="str">
        <f aca="false">IF(ISNUMBER($S299),$S299*$H299,"")</f>
        <v/>
      </c>
      <c r="U299" s="45" t="str">
        <f aca="false">IF(ISNUMBER($S299),$S299*Parâmetros!$B$4,"")</f>
        <v/>
      </c>
      <c r="V299" s="45" t="str">
        <f aca="false">IF(ISNUMBER($S299),$S299*Parâmetros!$C$4,"")</f>
        <v/>
      </c>
      <c r="W299" s="44" t="str">
        <f aca="false">IF(ISNUMBER($S299),$S299-$D299-IF(ISNUMBER($E299),$E299,0)-$O299-$T299-$U299-$V299,"")</f>
        <v/>
      </c>
      <c r="X299" s="46" t="str">
        <f aca="false">IF(AND(ISNUMBER($S299),$S299&gt;0),$W299/$S299,"")</f>
        <v/>
      </c>
      <c r="Y299" s="49" t="s">
        <v>744</v>
      </c>
      <c r="Z299" s="21"/>
    </row>
    <row r="300" customFormat="false" ht="15.75" hidden="false" customHeight="true" outlineLevel="0" collapsed="false">
      <c r="A300" s="32" t="str">
        <f aca="false">IF(Produtos!$A300="","",Produtos!$A300)</f>
        <v/>
      </c>
      <c r="B300" s="32" t="str">
        <f aca="false">IF(Produtos!$A300="","",Produtos!$B300)</f>
        <v/>
      </c>
      <c r="C300" s="32" t="str">
        <f aca="false">IF(Produtos!$A300="","",Produtos!$C300)</f>
        <v/>
      </c>
      <c r="D300" s="33" t="str">
        <f aca="false">IF(Produtos!$A300="","",IF(Produtos!$D300="","",Produtos!$D300))</f>
        <v/>
      </c>
      <c r="E300" s="11"/>
      <c r="F300" s="34" t="str">
        <f aca="false">IF($A300="","",IF($C300="","⚠ categoria",IFERROR(INDEX(Parâmetros!$B$13:$B$22,MATCH($C300,Parâmetros!$A$13:$A$22,0)),"⚠ categoria")))</f>
        <v/>
      </c>
      <c r="G300" s="35"/>
      <c r="H300" s="36" t="str">
        <f aca="false">IF($A300="","",IF(ISNUMBER($G300),$G300,IF(ISNUMBER($F300),$F300,"")))</f>
        <v/>
      </c>
      <c r="I300" s="37" t="str">
        <f aca="false">IF(OR($A300="",NOT(ISNUMBER($D300)),NOT(ISNUMBER($H300))),"",IF((1-$H300-Parâmetros!$B$4-Parâmetros!$C$4-Parâmetros!$D$4)&lt;=0,"INVALIDO",($D300+IF(ISNUMBER($E300),$E300,0)+IF(ISNUMBER(Parâmetros!$E$4),Parâmetros!$E$4,0))/(1-$H300-Parâmetros!$B$4-Parâmetros!$C$4-Parâmetros!$D$4)))</f>
        <v/>
      </c>
      <c r="J300" s="38"/>
      <c r="K300" s="39" t="str">
        <f aca="false">IF(OR($A300="",NOT(ISNUMBER($D300)),NOT(ISNUMBER($H300))),"",IF(AND(ISNUMBER($J300),$J300&gt;0),$J300,IF(ISNUMBER($I300),$I300,"")))</f>
        <v/>
      </c>
      <c r="L300" s="40" t="str">
        <f aca="false">IF(ISNUMBER($K300),$K300*$H300,"")</f>
        <v/>
      </c>
      <c r="M300" s="40" t="str">
        <f aca="false">IF(ISNUMBER($K300),$K300*Parâmetros!$B$4,"")</f>
        <v/>
      </c>
      <c r="N300" s="40" t="str">
        <f aca="false">IF(ISNUMBER($K300),$K300*Parâmetros!$C$4,"")</f>
        <v/>
      </c>
      <c r="O300" s="40" t="str">
        <f aca="false">IF(ISNUMBER($K300),IF(ISNUMBER(Parâmetros!$E$4),Parâmetros!$E$4,0),"")</f>
        <v/>
      </c>
      <c r="P300" s="41" t="str">
        <f aca="false">IF(ISNUMBER($K300),$K300-$D300-IF(ISNUMBER($E300),$E300,0)-$L300-$M300-$N300-$O300,"")</f>
        <v/>
      </c>
      <c r="Q300" s="42" t="str">
        <f aca="false">IF(AND(ISNUMBER($K300),$K300&gt;0),$P300/$K300,"")</f>
        <v/>
      </c>
      <c r="R300" s="43"/>
      <c r="S300" s="44" t="str">
        <f aca="false">IF(OR(NOT(ISNUMBER($R300)),$R300=0,NOT(ISNUMBER($K300))),"",$K300*(1-$R300))</f>
        <v/>
      </c>
      <c r="T300" s="45" t="str">
        <f aca="false">IF(ISNUMBER($S300),$S300*$H300,"")</f>
        <v/>
      </c>
      <c r="U300" s="45" t="str">
        <f aca="false">IF(ISNUMBER($S300),$S300*Parâmetros!$B$4,"")</f>
        <v/>
      </c>
      <c r="V300" s="45" t="str">
        <f aca="false">IF(ISNUMBER($S300),$S300*Parâmetros!$C$4,"")</f>
        <v/>
      </c>
      <c r="W300" s="44" t="str">
        <f aca="false">IF(ISNUMBER($S300),$S300-$D300-IF(ISNUMBER($E300),$E300,0)-$O300-$T300-$U300-$V300,"")</f>
        <v/>
      </c>
      <c r="X300" s="46" t="str">
        <f aca="false">IF(AND(ISNUMBER($S300),$S300&gt;0),$W300/$S300,"")</f>
        <v/>
      </c>
      <c r="Y300" s="47"/>
      <c r="Z300" s="19"/>
    </row>
    <row r="301" customFormat="false" ht="15.75" hidden="false" customHeight="true" outlineLevel="0" collapsed="false">
      <c r="A301" s="48" t="str">
        <f aca="false">IF(Produtos!$A301="","",Produtos!$A301)</f>
        <v/>
      </c>
      <c r="B301" s="48" t="str">
        <f aca="false">IF(Produtos!$A301="","",Produtos!$B301)</f>
        <v/>
      </c>
      <c r="C301" s="48" t="str">
        <f aca="false">IF(Produtos!$A301="","",Produtos!$C301)</f>
        <v/>
      </c>
      <c r="D301" s="33" t="str">
        <f aca="false">IF(Produtos!$A301="","",IF(Produtos!$D301="","",Produtos!$D301))</f>
        <v/>
      </c>
      <c r="E301" s="11"/>
      <c r="F301" s="34" t="str">
        <f aca="false">IF($A301="","",IF($C301="","⚠ categoria",IFERROR(INDEX(Parâmetros!$B$13:$B$22,MATCH($C301,Parâmetros!$A$13:$A$22,0)),"⚠ categoria")))</f>
        <v/>
      </c>
      <c r="G301" s="35"/>
      <c r="H301" s="36" t="str">
        <f aca="false">IF($A301="","",IF(ISNUMBER($G301),$G301,IF(ISNUMBER($F301),$F301,"")))</f>
        <v/>
      </c>
      <c r="I301" s="37" t="str">
        <f aca="false">IF(OR($A301="",NOT(ISNUMBER($D301)),NOT(ISNUMBER($H301))),"",IF((1-$H301-Parâmetros!$B$4-Parâmetros!$C$4-Parâmetros!$D$4)&lt;=0,"INVALIDO",($D301+IF(ISNUMBER($E301),$E301,0)+IF(ISNUMBER(Parâmetros!$E$4),Parâmetros!$E$4,0))/(1-$H301-Parâmetros!$B$4-Parâmetros!$C$4-Parâmetros!$D$4)))</f>
        <v/>
      </c>
      <c r="J301" s="38"/>
      <c r="K301" s="39" t="str">
        <f aca="false">IF(OR($A301="",NOT(ISNUMBER($D301)),NOT(ISNUMBER($H301))),"",IF(AND(ISNUMBER($J301),$J301&gt;0),$J301,IF(ISNUMBER($I301),$I301,"")))</f>
        <v/>
      </c>
      <c r="L301" s="40" t="str">
        <f aca="false">IF(ISNUMBER($K301),$K301*$H301,"")</f>
        <v/>
      </c>
      <c r="M301" s="40" t="str">
        <f aca="false">IF(ISNUMBER($K301),$K301*Parâmetros!$B$4,"")</f>
        <v/>
      </c>
      <c r="N301" s="40" t="str">
        <f aca="false">IF(ISNUMBER($K301),$K301*Parâmetros!$C$4,"")</f>
        <v/>
      </c>
      <c r="O301" s="40" t="str">
        <f aca="false">IF(ISNUMBER($K301),IF(ISNUMBER(Parâmetros!$E$4),Parâmetros!$E$4,0),"")</f>
        <v/>
      </c>
      <c r="P301" s="41" t="str">
        <f aca="false">IF(ISNUMBER($K301),$K301-$D301-IF(ISNUMBER($E301),$E301,0)-$L301-$M301-$N301-$O301,"")</f>
        <v/>
      </c>
      <c r="Q301" s="42" t="str">
        <f aca="false">IF(AND(ISNUMBER($K301),$K301&gt;0),$P301/$K301,"")</f>
        <v/>
      </c>
      <c r="R301" s="43"/>
      <c r="S301" s="44" t="str">
        <f aca="false">IF(OR(NOT(ISNUMBER($R301)),$R301=0,NOT(ISNUMBER($K301))),"",$K301*(1-$R301))</f>
        <v/>
      </c>
      <c r="T301" s="45" t="str">
        <f aca="false">IF(ISNUMBER($S301),$S301*$H301,"")</f>
        <v/>
      </c>
      <c r="U301" s="45" t="str">
        <f aca="false">IF(ISNUMBER($S301),$S301*Parâmetros!$B$4,"")</f>
        <v/>
      </c>
      <c r="V301" s="45" t="str">
        <f aca="false">IF(ISNUMBER($S301),$S301*Parâmetros!$C$4,"")</f>
        <v/>
      </c>
      <c r="W301" s="44" t="str">
        <f aca="false">IF(ISNUMBER($S301),$S301-$D301-IF(ISNUMBER($E301),$E301,0)-$O301-$T301-$U301-$V301,"")</f>
        <v/>
      </c>
      <c r="X301" s="46" t="str">
        <f aca="false">IF(AND(ISNUMBER($S301),$S301&gt;0),$W301/$S301,"")</f>
        <v/>
      </c>
      <c r="Y301" s="49"/>
      <c r="Z301" s="21"/>
    </row>
    <row r="302" customFormat="false" ht="15.75" hidden="false" customHeight="true" outlineLevel="0" collapsed="false">
      <c r="A302" s="32" t="str">
        <f aca="false">IF(Produtos!$A302="","",Produtos!$A302)</f>
        <v/>
      </c>
      <c r="B302" s="32" t="str">
        <f aca="false">IF(Produtos!$A302="","",Produtos!$B302)</f>
        <v/>
      </c>
      <c r="C302" s="32" t="str">
        <f aca="false">IF(Produtos!$A302="","",Produtos!$C302)</f>
        <v/>
      </c>
      <c r="D302" s="33" t="str">
        <f aca="false">IF(Produtos!$A302="","",IF(Produtos!$D302="","",Produtos!$D302))</f>
        <v/>
      </c>
      <c r="E302" s="11"/>
      <c r="F302" s="34" t="str">
        <f aca="false">IF($A302="","",IF($C302="","⚠ categoria",IFERROR(INDEX(Parâmetros!$B$13:$B$22,MATCH($C302,Parâmetros!$A$13:$A$22,0)),"⚠ categoria")))</f>
        <v/>
      </c>
      <c r="G302" s="35"/>
      <c r="H302" s="36" t="str">
        <f aca="false">IF($A302="","",IF(ISNUMBER($G302),$G302,IF(ISNUMBER($F302),$F302,"")))</f>
        <v/>
      </c>
      <c r="I302" s="37" t="str">
        <f aca="false">IF(OR($A302="",NOT(ISNUMBER($D302)),NOT(ISNUMBER($H302))),"",IF((1-$H302-Parâmetros!$B$4-Parâmetros!$C$4-Parâmetros!$D$4)&lt;=0,"INVALIDO",($D302+IF(ISNUMBER($E302),$E302,0)+IF(ISNUMBER(Parâmetros!$E$4),Parâmetros!$E$4,0))/(1-$H302-Parâmetros!$B$4-Parâmetros!$C$4-Parâmetros!$D$4)))</f>
        <v/>
      </c>
      <c r="J302" s="38"/>
      <c r="K302" s="39" t="str">
        <f aca="false">IF(OR($A302="",NOT(ISNUMBER($D302)),NOT(ISNUMBER($H302))),"",IF(AND(ISNUMBER($J302),$J302&gt;0),$J302,IF(ISNUMBER($I302),$I302,"")))</f>
        <v/>
      </c>
      <c r="L302" s="40" t="str">
        <f aca="false">IF(ISNUMBER($K302),$K302*$H302,"")</f>
        <v/>
      </c>
      <c r="M302" s="40" t="str">
        <f aca="false">IF(ISNUMBER($K302),$K302*Parâmetros!$B$4,"")</f>
        <v/>
      </c>
      <c r="N302" s="40" t="str">
        <f aca="false">IF(ISNUMBER($K302),$K302*Parâmetros!$C$4,"")</f>
        <v/>
      </c>
      <c r="O302" s="40" t="str">
        <f aca="false">IF(ISNUMBER($K302),IF(ISNUMBER(Parâmetros!$E$4),Parâmetros!$E$4,0),"")</f>
        <v/>
      </c>
      <c r="P302" s="41" t="str">
        <f aca="false">IF(ISNUMBER($K302),$K302-$D302-IF(ISNUMBER($E302),$E302,0)-$L302-$M302-$N302-$O302,"")</f>
        <v/>
      </c>
      <c r="Q302" s="42" t="str">
        <f aca="false">IF(AND(ISNUMBER($K302),$K302&gt;0),$P302/$K302,"")</f>
        <v/>
      </c>
      <c r="R302" s="43"/>
      <c r="S302" s="44" t="str">
        <f aca="false">IF(OR(NOT(ISNUMBER($R302)),$R302=0,NOT(ISNUMBER($K302))),"",$K302*(1-$R302))</f>
        <v/>
      </c>
      <c r="T302" s="45" t="str">
        <f aca="false">IF(ISNUMBER($S302),$S302*$H302,"")</f>
        <v/>
      </c>
      <c r="U302" s="45" t="str">
        <f aca="false">IF(ISNUMBER($S302),$S302*Parâmetros!$B$4,"")</f>
        <v/>
      </c>
      <c r="V302" s="45" t="str">
        <f aca="false">IF(ISNUMBER($S302),$S302*Parâmetros!$C$4,"")</f>
        <v/>
      </c>
      <c r="W302" s="44" t="str">
        <f aca="false">IF(ISNUMBER($S302),$S302-$D302-IF(ISNUMBER($E302),$E302,0)-$O302-$T302-$U302-$V302,"")</f>
        <v/>
      </c>
      <c r="X302" s="46" t="str">
        <f aca="false">IF(AND(ISNUMBER($S302),$S302&gt;0),$W302/$S302,"")</f>
        <v/>
      </c>
      <c r="Y302" s="47"/>
      <c r="Z302" s="19"/>
    </row>
    <row r="303" customFormat="false" ht="15.75" hidden="false" customHeight="true" outlineLevel="0" collapsed="false">
      <c r="A303" s="48" t="str">
        <f aca="false">IF(Produtos!$A303="","",Produtos!$A303)</f>
        <v/>
      </c>
      <c r="B303" s="48" t="str">
        <f aca="false">IF(Produtos!$A303="","",Produtos!$B303)</f>
        <v/>
      </c>
      <c r="C303" s="48" t="str">
        <f aca="false">IF(Produtos!$A303="","",Produtos!$C303)</f>
        <v/>
      </c>
      <c r="D303" s="33" t="str">
        <f aca="false">IF(Produtos!$A303="","",IF(Produtos!$D303="","",Produtos!$D303))</f>
        <v/>
      </c>
      <c r="E303" s="11"/>
      <c r="F303" s="34" t="str">
        <f aca="false">IF($A303="","",IF($C303="","⚠ categoria",IFERROR(INDEX(Parâmetros!$B$13:$B$22,MATCH($C303,Parâmetros!$A$13:$A$22,0)),"⚠ categoria")))</f>
        <v/>
      </c>
      <c r="G303" s="35"/>
      <c r="H303" s="36" t="str">
        <f aca="false">IF($A303="","",IF(ISNUMBER($G303),$G303,IF(ISNUMBER($F303),$F303,"")))</f>
        <v/>
      </c>
      <c r="I303" s="37" t="str">
        <f aca="false">IF(OR($A303="",NOT(ISNUMBER($D303)),NOT(ISNUMBER($H303))),"",IF((1-$H303-Parâmetros!$B$4-Parâmetros!$C$4-Parâmetros!$D$4)&lt;=0,"INVALIDO",($D303+IF(ISNUMBER($E303),$E303,0)+IF(ISNUMBER(Parâmetros!$E$4),Parâmetros!$E$4,0))/(1-$H303-Parâmetros!$B$4-Parâmetros!$C$4-Parâmetros!$D$4)))</f>
        <v/>
      </c>
      <c r="J303" s="38"/>
      <c r="K303" s="39" t="str">
        <f aca="false">IF(OR($A303="",NOT(ISNUMBER($D303)),NOT(ISNUMBER($H303))),"",IF(AND(ISNUMBER($J303),$J303&gt;0),$J303,IF(ISNUMBER($I303),$I303,"")))</f>
        <v/>
      </c>
      <c r="L303" s="40" t="str">
        <f aca="false">IF(ISNUMBER($K303),$K303*$H303,"")</f>
        <v/>
      </c>
      <c r="M303" s="40" t="str">
        <f aca="false">IF(ISNUMBER($K303),$K303*Parâmetros!$B$4,"")</f>
        <v/>
      </c>
      <c r="N303" s="40" t="str">
        <f aca="false">IF(ISNUMBER($K303),$K303*Parâmetros!$C$4,"")</f>
        <v/>
      </c>
      <c r="O303" s="40" t="str">
        <f aca="false">IF(ISNUMBER($K303),IF(ISNUMBER(Parâmetros!$E$4),Parâmetros!$E$4,0),"")</f>
        <v/>
      </c>
      <c r="P303" s="41" t="str">
        <f aca="false">IF(ISNUMBER($K303),$K303-$D303-IF(ISNUMBER($E303),$E303,0)-$L303-$M303-$N303-$O303,"")</f>
        <v/>
      </c>
      <c r="Q303" s="42" t="str">
        <f aca="false">IF(AND(ISNUMBER($K303),$K303&gt;0),$P303/$K303,"")</f>
        <v/>
      </c>
      <c r="R303" s="43"/>
      <c r="S303" s="44" t="str">
        <f aca="false">IF(OR(NOT(ISNUMBER($R303)),$R303=0,NOT(ISNUMBER($K303))),"",$K303*(1-$R303))</f>
        <v/>
      </c>
      <c r="T303" s="45" t="str">
        <f aca="false">IF(ISNUMBER($S303),$S303*$H303,"")</f>
        <v/>
      </c>
      <c r="U303" s="45" t="str">
        <f aca="false">IF(ISNUMBER($S303),$S303*Parâmetros!$B$4,"")</f>
        <v/>
      </c>
      <c r="V303" s="45" t="str">
        <f aca="false">IF(ISNUMBER($S303),$S303*Parâmetros!$C$4,"")</f>
        <v/>
      </c>
      <c r="W303" s="44" t="str">
        <f aca="false">IF(ISNUMBER($S303),$S303-$D303-IF(ISNUMBER($E303),$E303,0)-$O303-$T303-$U303-$V303,"")</f>
        <v/>
      </c>
      <c r="X303" s="46" t="str">
        <f aca="false">IF(AND(ISNUMBER($S303),$S303&gt;0),$W303/$S303,"")</f>
        <v/>
      </c>
      <c r="Y303" s="49"/>
      <c r="Z303" s="21"/>
    </row>
    <row r="304" customFormat="false" ht="15.75" hidden="false" customHeight="true" outlineLevel="0" collapsed="false">
      <c r="A304" s="32" t="str">
        <f aca="false">IF(Produtos!$A304="","",Produtos!$A304)</f>
        <v/>
      </c>
      <c r="B304" s="32" t="str">
        <f aca="false">IF(Produtos!$A304="","",Produtos!$B304)</f>
        <v/>
      </c>
      <c r="C304" s="32" t="str">
        <f aca="false">IF(Produtos!$A304="","",Produtos!$C304)</f>
        <v/>
      </c>
      <c r="D304" s="33" t="str">
        <f aca="false">IF(Produtos!$A304="","",IF(Produtos!$D304="","",Produtos!$D304))</f>
        <v/>
      </c>
      <c r="E304" s="11"/>
      <c r="F304" s="34" t="str">
        <f aca="false">IF($A304="","",IF($C304="","⚠ categoria",IFERROR(INDEX(Parâmetros!$B$13:$B$22,MATCH($C304,Parâmetros!$A$13:$A$22,0)),"⚠ categoria")))</f>
        <v/>
      </c>
      <c r="G304" s="35"/>
      <c r="H304" s="36" t="str">
        <f aca="false">IF($A304="","",IF(ISNUMBER($G304),$G304,IF(ISNUMBER($F304),$F304,"")))</f>
        <v/>
      </c>
      <c r="I304" s="37" t="str">
        <f aca="false">IF(OR($A304="",NOT(ISNUMBER($D304)),NOT(ISNUMBER($H304))),"",IF((1-$H304-Parâmetros!$B$4-Parâmetros!$C$4-Parâmetros!$D$4)&lt;=0,"INVALIDO",($D304+IF(ISNUMBER($E304),$E304,0)+IF(ISNUMBER(Parâmetros!$E$4),Parâmetros!$E$4,0))/(1-$H304-Parâmetros!$B$4-Parâmetros!$C$4-Parâmetros!$D$4)))</f>
        <v/>
      </c>
      <c r="J304" s="38"/>
      <c r="K304" s="39" t="str">
        <f aca="false">IF(OR($A304="",NOT(ISNUMBER($D304)),NOT(ISNUMBER($H304))),"",IF(AND(ISNUMBER($J304),$J304&gt;0),$J304,IF(ISNUMBER($I304),$I304,"")))</f>
        <v/>
      </c>
      <c r="L304" s="40" t="str">
        <f aca="false">IF(ISNUMBER($K304),$K304*$H304,"")</f>
        <v/>
      </c>
      <c r="M304" s="40" t="str">
        <f aca="false">IF(ISNUMBER($K304),$K304*Parâmetros!$B$4,"")</f>
        <v/>
      </c>
      <c r="N304" s="40" t="str">
        <f aca="false">IF(ISNUMBER($K304),$K304*Parâmetros!$C$4,"")</f>
        <v/>
      </c>
      <c r="O304" s="40" t="str">
        <f aca="false">IF(ISNUMBER($K304),IF(ISNUMBER(Parâmetros!$E$4),Parâmetros!$E$4,0),"")</f>
        <v/>
      </c>
      <c r="P304" s="41" t="str">
        <f aca="false">IF(ISNUMBER($K304),$K304-$D304-IF(ISNUMBER($E304),$E304,0)-$L304-$M304-$N304-$O304,"")</f>
        <v/>
      </c>
      <c r="Q304" s="42" t="str">
        <f aca="false">IF(AND(ISNUMBER($K304),$K304&gt;0),$P304/$K304,"")</f>
        <v/>
      </c>
      <c r="R304" s="43"/>
      <c r="S304" s="44" t="str">
        <f aca="false">IF(OR(NOT(ISNUMBER($R304)),$R304=0,NOT(ISNUMBER($K304))),"",$K304*(1-$R304))</f>
        <v/>
      </c>
      <c r="T304" s="45" t="str">
        <f aca="false">IF(ISNUMBER($S304),$S304*$H304,"")</f>
        <v/>
      </c>
      <c r="U304" s="45" t="str">
        <f aca="false">IF(ISNUMBER($S304),$S304*Parâmetros!$B$4,"")</f>
        <v/>
      </c>
      <c r="V304" s="45" t="str">
        <f aca="false">IF(ISNUMBER($S304),$S304*Parâmetros!$C$4,"")</f>
        <v/>
      </c>
      <c r="W304" s="44" t="str">
        <f aca="false">IF(ISNUMBER($S304),$S304-$D304-IF(ISNUMBER($E304),$E304,0)-$O304-$T304-$U304-$V304,"")</f>
        <v/>
      </c>
      <c r="X304" s="46" t="str">
        <f aca="false">IF(AND(ISNUMBER($S304),$S304&gt;0),$W304/$S304,"")</f>
        <v/>
      </c>
      <c r="Y304" s="47"/>
      <c r="Z304" s="19"/>
    </row>
    <row r="305" customFormat="false" ht="15.75" hidden="false" customHeight="true" outlineLevel="0" collapsed="false">
      <c r="A305" s="48" t="str">
        <f aca="false">IF(Produtos!$A305="","",Produtos!$A305)</f>
        <v/>
      </c>
      <c r="B305" s="48" t="str">
        <f aca="false">IF(Produtos!$A305="","",Produtos!$B305)</f>
        <v/>
      </c>
      <c r="C305" s="48" t="str">
        <f aca="false">IF(Produtos!$A305="","",Produtos!$C305)</f>
        <v/>
      </c>
      <c r="D305" s="33" t="str">
        <f aca="false">IF(Produtos!$A305="","",IF(Produtos!$D305="","",Produtos!$D305))</f>
        <v/>
      </c>
      <c r="E305" s="11"/>
      <c r="F305" s="34" t="str">
        <f aca="false">IF($A305="","",IF($C305="","⚠ categoria",IFERROR(INDEX(Parâmetros!$B$13:$B$22,MATCH($C305,Parâmetros!$A$13:$A$22,0)),"⚠ categoria")))</f>
        <v/>
      </c>
      <c r="G305" s="35"/>
      <c r="H305" s="36" t="str">
        <f aca="false">IF($A305="","",IF(ISNUMBER($G305),$G305,IF(ISNUMBER($F305),$F305,"")))</f>
        <v/>
      </c>
      <c r="I305" s="37" t="str">
        <f aca="false">IF(OR($A305="",NOT(ISNUMBER($D305)),NOT(ISNUMBER($H305))),"",IF((1-$H305-Parâmetros!$B$4-Parâmetros!$C$4-Parâmetros!$D$4)&lt;=0,"INVALIDO",($D305+IF(ISNUMBER($E305),$E305,0)+IF(ISNUMBER(Parâmetros!$E$4),Parâmetros!$E$4,0))/(1-$H305-Parâmetros!$B$4-Parâmetros!$C$4-Parâmetros!$D$4)))</f>
        <v/>
      </c>
      <c r="J305" s="38"/>
      <c r="K305" s="39" t="str">
        <f aca="false">IF(OR($A305="",NOT(ISNUMBER($D305)),NOT(ISNUMBER($H305))),"",IF(AND(ISNUMBER($J305),$J305&gt;0),$J305,IF(ISNUMBER($I305),$I305,"")))</f>
        <v/>
      </c>
      <c r="L305" s="40" t="str">
        <f aca="false">IF(ISNUMBER($K305),$K305*$H305,"")</f>
        <v/>
      </c>
      <c r="M305" s="40" t="str">
        <f aca="false">IF(ISNUMBER($K305),$K305*Parâmetros!$B$4,"")</f>
        <v/>
      </c>
      <c r="N305" s="40" t="str">
        <f aca="false">IF(ISNUMBER($K305),$K305*Parâmetros!$C$4,"")</f>
        <v/>
      </c>
      <c r="O305" s="40" t="str">
        <f aca="false">IF(ISNUMBER($K305),IF(ISNUMBER(Parâmetros!$E$4),Parâmetros!$E$4,0),"")</f>
        <v/>
      </c>
      <c r="P305" s="41" t="str">
        <f aca="false">IF(ISNUMBER($K305),$K305-$D305-IF(ISNUMBER($E305),$E305,0)-$L305-$M305-$N305-$O305,"")</f>
        <v/>
      </c>
      <c r="Q305" s="42" t="str">
        <f aca="false">IF(AND(ISNUMBER($K305),$K305&gt;0),$P305/$K305,"")</f>
        <v/>
      </c>
      <c r="R305" s="43"/>
      <c r="S305" s="44" t="str">
        <f aca="false">IF(OR(NOT(ISNUMBER($R305)),$R305=0,NOT(ISNUMBER($K305))),"",$K305*(1-$R305))</f>
        <v/>
      </c>
      <c r="T305" s="45" t="str">
        <f aca="false">IF(ISNUMBER($S305),$S305*$H305,"")</f>
        <v/>
      </c>
      <c r="U305" s="45" t="str">
        <f aca="false">IF(ISNUMBER($S305),$S305*Parâmetros!$B$4,"")</f>
        <v/>
      </c>
      <c r="V305" s="45" t="str">
        <f aca="false">IF(ISNUMBER($S305),$S305*Parâmetros!$C$4,"")</f>
        <v/>
      </c>
      <c r="W305" s="44" t="str">
        <f aca="false">IF(ISNUMBER($S305),$S305-$D305-IF(ISNUMBER($E305),$E305,0)-$O305-$T305-$U305-$V305,"")</f>
        <v/>
      </c>
      <c r="X305" s="46" t="str">
        <f aca="false">IF(AND(ISNUMBER($S305),$S305&gt;0),$W305/$S305,"")</f>
        <v/>
      </c>
      <c r="Y305" s="49"/>
      <c r="Z305" s="21"/>
    </row>
    <row r="306" customFormat="false" ht="15.75" hidden="false" customHeight="true" outlineLevel="0" collapsed="false">
      <c r="A306" s="32" t="str">
        <f aca="false">IF(Produtos!$A306="","",Produtos!$A306)</f>
        <v/>
      </c>
      <c r="B306" s="32" t="str">
        <f aca="false">IF(Produtos!$A306="","",Produtos!$B306)</f>
        <v/>
      </c>
      <c r="C306" s="32" t="str">
        <f aca="false">IF(Produtos!$A306="","",Produtos!$C306)</f>
        <v/>
      </c>
      <c r="D306" s="33" t="str">
        <f aca="false">IF(Produtos!$A306="","",IF(Produtos!$D306="","",Produtos!$D306))</f>
        <v/>
      </c>
      <c r="E306" s="11"/>
      <c r="F306" s="34" t="str">
        <f aca="false">IF($A306="","",IF($C306="","⚠ categoria",IFERROR(INDEX(Parâmetros!$B$13:$B$22,MATCH($C306,Parâmetros!$A$13:$A$22,0)),"⚠ categoria")))</f>
        <v/>
      </c>
      <c r="G306" s="35"/>
      <c r="H306" s="36" t="str">
        <f aca="false">IF($A306="","",IF(ISNUMBER($G306),$G306,IF(ISNUMBER($F306),$F306,"")))</f>
        <v/>
      </c>
      <c r="I306" s="37" t="str">
        <f aca="false">IF(OR($A306="",NOT(ISNUMBER($D306)),NOT(ISNUMBER($H306))),"",IF((1-$H306-Parâmetros!$B$4-Parâmetros!$C$4-Parâmetros!$D$4)&lt;=0,"INVALIDO",($D306+IF(ISNUMBER($E306),$E306,0)+IF(ISNUMBER(Parâmetros!$E$4),Parâmetros!$E$4,0))/(1-$H306-Parâmetros!$B$4-Parâmetros!$C$4-Parâmetros!$D$4)))</f>
        <v/>
      </c>
      <c r="J306" s="38"/>
      <c r="K306" s="39" t="str">
        <f aca="false">IF(OR($A306="",NOT(ISNUMBER($D306)),NOT(ISNUMBER($H306))),"",IF(AND(ISNUMBER($J306),$J306&gt;0),$J306,IF(ISNUMBER($I306),$I306,"")))</f>
        <v/>
      </c>
      <c r="L306" s="40" t="str">
        <f aca="false">IF(ISNUMBER($K306),$K306*$H306,"")</f>
        <v/>
      </c>
      <c r="M306" s="40" t="str">
        <f aca="false">IF(ISNUMBER($K306),$K306*Parâmetros!$B$4,"")</f>
        <v/>
      </c>
      <c r="N306" s="40" t="str">
        <f aca="false">IF(ISNUMBER($K306),$K306*Parâmetros!$C$4,"")</f>
        <v/>
      </c>
      <c r="O306" s="40" t="str">
        <f aca="false">IF(ISNUMBER($K306),IF(ISNUMBER(Parâmetros!$E$4),Parâmetros!$E$4,0),"")</f>
        <v/>
      </c>
      <c r="P306" s="41" t="str">
        <f aca="false">IF(ISNUMBER($K306),$K306-$D306-IF(ISNUMBER($E306),$E306,0)-$L306-$M306-$N306-$O306,"")</f>
        <v/>
      </c>
      <c r="Q306" s="42" t="str">
        <f aca="false">IF(AND(ISNUMBER($K306),$K306&gt;0),$P306/$K306,"")</f>
        <v/>
      </c>
      <c r="R306" s="43"/>
      <c r="S306" s="44" t="str">
        <f aca="false">IF(OR(NOT(ISNUMBER($R306)),$R306=0,NOT(ISNUMBER($K306))),"",$K306*(1-$R306))</f>
        <v/>
      </c>
      <c r="T306" s="45" t="str">
        <f aca="false">IF(ISNUMBER($S306),$S306*$H306,"")</f>
        <v/>
      </c>
      <c r="U306" s="45" t="str">
        <f aca="false">IF(ISNUMBER($S306),$S306*Parâmetros!$B$4,"")</f>
        <v/>
      </c>
      <c r="V306" s="45" t="str">
        <f aca="false">IF(ISNUMBER($S306),$S306*Parâmetros!$C$4,"")</f>
        <v/>
      </c>
      <c r="W306" s="44" t="str">
        <f aca="false">IF(ISNUMBER($S306),$S306-$D306-IF(ISNUMBER($E306),$E306,0)-$O306-$T306-$U306-$V306,"")</f>
        <v/>
      </c>
      <c r="X306" s="46" t="str">
        <f aca="false">IF(AND(ISNUMBER($S306),$S306&gt;0),$W306/$S306,"")</f>
        <v/>
      </c>
      <c r="Y306" s="47"/>
      <c r="Z306" s="19"/>
    </row>
    <row r="307" customFormat="false" ht="15.75" hidden="false" customHeight="true" outlineLevel="0" collapsed="false">
      <c r="A307" s="48" t="str">
        <f aca="false">IF(Produtos!$A307="","",Produtos!$A307)</f>
        <v/>
      </c>
      <c r="B307" s="48" t="str">
        <f aca="false">IF(Produtos!$A307="","",Produtos!$B307)</f>
        <v/>
      </c>
      <c r="C307" s="48" t="str">
        <f aca="false">IF(Produtos!$A307="","",Produtos!$C307)</f>
        <v/>
      </c>
      <c r="D307" s="33" t="str">
        <f aca="false">IF(Produtos!$A307="","",IF(Produtos!$D307="","",Produtos!$D307))</f>
        <v/>
      </c>
      <c r="E307" s="11"/>
      <c r="F307" s="34" t="str">
        <f aca="false">IF($A307="","",IF($C307="","⚠ categoria",IFERROR(INDEX(Parâmetros!$B$13:$B$22,MATCH($C307,Parâmetros!$A$13:$A$22,0)),"⚠ categoria")))</f>
        <v/>
      </c>
      <c r="G307" s="35"/>
      <c r="H307" s="36" t="str">
        <f aca="false">IF($A307="","",IF(ISNUMBER($G307),$G307,IF(ISNUMBER($F307),$F307,"")))</f>
        <v/>
      </c>
      <c r="I307" s="37" t="str">
        <f aca="false">IF(OR($A307="",NOT(ISNUMBER($D307)),NOT(ISNUMBER($H307))),"",IF((1-$H307-Parâmetros!$B$4-Parâmetros!$C$4-Parâmetros!$D$4)&lt;=0,"INVALIDO",($D307+IF(ISNUMBER($E307),$E307,0)+IF(ISNUMBER(Parâmetros!$E$4),Parâmetros!$E$4,0))/(1-$H307-Parâmetros!$B$4-Parâmetros!$C$4-Parâmetros!$D$4)))</f>
        <v/>
      </c>
      <c r="J307" s="38"/>
      <c r="K307" s="39" t="str">
        <f aca="false">IF(OR($A307="",NOT(ISNUMBER($D307)),NOT(ISNUMBER($H307))),"",IF(AND(ISNUMBER($J307),$J307&gt;0),$J307,IF(ISNUMBER($I307),$I307,"")))</f>
        <v/>
      </c>
      <c r="L307" s="40" t="str">
        <f aca="false">IF(ISNUMBER($K307),$K307*$H307,"")</f>
        <v/>
      </c>
      <c r="M307" s="40" t="str">
        <f aca="false">IF(ISNUMBER($K307),$K307*Parâmetros!$B$4,"")</f>
        <v/>
      </c>
      <c r="N307" s="40" t="str">
        <f aca="false">IF(ISNUMBER($K307),$K307*Parâmetros!$C$4,"")</f>
        <v/>
      </c>
      <c r="O307" s="40" t="str">
        <f aca="false">IF(ISNUMBER($K307),IF(ISNUMBER(Parâmetros!$E$4),Parâmetros!$E$4,0),"")</f>
        <v/>
      </c>
      <c r="P307" s="41" t="str">
        <f aca="false">IF(ISNUMBER($K307),$K307-$D307-IF(ISNUMBER($E307),$E307,0)-$L307-$M307-$N307-$O307,"")</f>
        <v/>
      </c>
      <c r="Q307" s="42" t="str">
        <f aca="false">IF(AND(ISNUMBER($K307),$K307&gt;0),$P307/$K307,"")</f>
        <v/>
      </c>
      <c r="R307" s="43"/>
      <c r="S307" s="44" t="str">
        <f aca="false">IF(OR(NOT(ISNUMBER($R307)),$R307=0,NOT(ISNUMBER($K307))),"",$K307*(1-$R307))</f>
        <v/>
      </c>
      <c r="T307" s="45" t="str">
        <f aca="false">IF(ISNUMBER($S307),$S307*$H307,"")</f>
        <v/>
      </c>
      <c r="U307" s="45" t="str">
        <f aca="false">IF(ISNUMBER($S307),$S307*Parâmetros!$B$4,"")</f>
        <v/>
      </c>
      <c r="V307" s="45" t="str">
        <f aca="false">IF(ISNUMBER($S307),$S307*Parâmetros!$C$4,"")</f>
        <v/>
      </c>
      <c r="W307" s="44" t="str">
        <f aca="false">IF(ISNUMBER($S307),$S307-$D307-IF(ISNUMBER($E307),$E307,0)-$O307-$T307-$U307-$V307,"")</f>
        <v/>
      </c>
      <c r="X307" s="46" t="str">
        <f aca="false">IF(AND(ISNUMBER($S307),$S307&gt;0),$W307/$S307,"")</f>
        <v/>
      </c>
      <c r="Y307" s="49"/>
      <c r="Z307" s="21"/>
    </row>
    <row r="308" customFormat="false" ht="15.75" hidden="false" customHeight="true" outlineLevel="0" collapsed="false">
      <c r="A308" s="32" t="str">
        <f aca="false">IF(Produtos!$A308="","",Produtos!$A308)</f>
        <v/>
      </c>
      <c r="B308" s="32" t="str">
        <f aca="false">IF(Produtos!$A308="","",Produtos!$B308)</f>
        <v/>
      </c>
      <c r="C308" s="32" t="str">
        <f aca="false">IF(Produtos!$A308="","",Produtos!$C308)</f>
        <v/>
      </c>
      <c r="D308" s="33" t="str">
        <f aca="false">IF(Produtos!$A308="","",IF(Produtos!$D308="","",Produtos!$D308))</f>
        <v/>
      </c>
      <c r="E308" s="11"/>
      <c r="F308" s="34" t="str">
        <f aca="false">IF($A308="","",IF($C308="","⚠ categoria",IFERROR(INDEX(Parâmetros!$B$13:$B$22,MATCH($C308,Parâmetros!$A$13:$A$22,0)),"⚠ categoria")))</f>
        <v/>
      </c>
      <c r="G308" s="35"/>
      <c r="H308" s="36" t="str">
        <f aca="false">IF($A308="","",IF(ISNUMBER($G308),$G308,IF(ISNUMBER($F308),$F308,"")))</f>
        <v/>
      </c>
      <c r="I308" s="37" t="str">
        <f aca="false">IF(OR($A308="",NOT(ISNUMBER($D308)),NOT(ISNUMBER($H308))),"",IF((1-$H308-Parâmetros!$B$4-Parâmetros!$C$4-Parâmetros!$D$4)&lt;=0,"INVALIDO",($D308+IF(ISNUMBER($E308),$E308,0)+IF(ISNUMBER(Parâmetros!$E$4),Parâmetros!$E$4,0))/(1-$H308-Parâmetros!$B$4-Parâmetros!$C$4-Parâmetros!$D$4)))</f>
        <v/>
      </c>
      <c r="J308" s="38"/>
      <c r="K308" s="39" t="str">
        <f aca="false">IF(OR($A308="",NOT(ISNUMBER($D308)),NOT(ISNUMBER($H308))),"",IF(AND(ISNUMBER($J308),$J308&gt;0),$J308,IF(ISNUMBER($I308),$I308,"")))</f>
        <v/>
      </c>
      <c r="L308" s="40" t="str">
        <f aca="false">IF(ISNUMBER($K308),$K308*$H308,"")</f>
        <v/>
      </c>
      <c r="M308" s="40" t="str">
        <f aca="false">IF(ISNUMBER($K308),$K308*Parâmetros!$B$4,"")</f>
        <v/>
      </c>
      <c r="N308" s="40" t="str">
        <f aca="false">IF(ISNUMBER($K308),$K308*Parâmetros!$C$4,"")</f>
        <v/>
      </c>
      <c r="O308" s="40" t="str">
        <f aca="false">IF(ISNUMBER($K308),IF(ISNUMBER(Parâmetros!$E$4),Parâmetros!$E$4,0),"")</f>
        <v/>
      </c>
      <c r="P308" s="41" t="str">
        <f aca="false">IF(ISNUMBER($K308),$K308-$D308-IF(ISNUMBER($E308),$E308,0)-$L308-$M308-$N308-$O308,"")</f>
        <v/>
      </c>
      <c r="Q308" s="42" t="str">
        <f aca="false">IF(AND(ISNUMBER($K308),$K308&gt;0),$P308/$K308,"")</f>
        <v/>
      </c>
      <c r="R308" s="43"/>
      <c r="S308" s="44" t="str">
        <f aca="false">IF(OR(NOT(ISNUMBER($R308)),$R308=0,NOT(ISNUMBER($K308))),"",$K308*(1-$R308))</f>
        <v/>
      </c>
      <c r="T308" s="45" t="str">
        <f aca="false">IF(ISNUMBER($S308),$S308*$H308,"")</f>
        <v/>
      </c>
      <c r="U308" s="45" t="str">
        <f aca="false">IF(ISNUMBER($S308),$S308*Parâmetros!$B$4,"")</f>
        <v/>
      </c>
      <c r="V308" s="45" t="str">
        <f aca="false">IF(ISNUMBER($S308),$S308*Parâmetros!$C$4,"")</f>
        <v/>
      </c>
      <c r="W308" s="44" t="str">
        <f aca="false">IF(ISNUMBER($S308),$S308-$D308-IF(ISNUMBER($E308),$E308,0)-$O308-$T308-$U308-$V308,"")</f>
        <v/>
      </c>
      <c r="X308" s="46" t="str">
        <f aca="false">IF(AND(ISNUMBER($S308),$S308&gt;0),$W308/$S308,"")</f>
        <v/>
      </c>
      <c r="Y308" s="47"/>
      <c r="Z308" s="19"/>
    </row>
    <row r="309" customFormat="false" ht="15.75" hidden="false" customHeight="true" outlineLevel="0" collapsed="false">
      <c r="A309" s="48" t="str">
        <f aca="false">IF(Produtos!$A309="","",Produtos!$A309)</f>
        <v/>
      </c>
      <c r="B309" s="48" t="str">
        <f aca="false">IF(Produtos!$A309="","",Produtos!$B309)</f>
        <v/>
      </c>
      <c r="C309" s="48" t="str">
        <f aca="false">IF(Produtos!$A309="","",Produtos!$C309)</f>
        <v/>
      </c>
      <c r="D309" s="33" t="str">
        <f aca="false">IF(Produtos!$A309="","",IF(Produtos!$D309="","",Produtos!$D309))</f>
        <v/>
      </c>
      <c r="E309" s="11"/>
      <c r="F309" s="34" t="str">
        <f aca="false">IF($A309="","",IF($C309="","⚠ categoria",IFERROR(INDEX(Parâmetros!$B$13:$B$22,MATCH($C309,Parâmetros!$A$13:$A$22,0)),"⚠ categoria")))</f>
        <v/>
      </c>
      <c r="G309" s="35"/>
      <c r="H309" s="36" t="str">
        <f aca="false">IF($A309="","",IF(ISNUMBER($G309),$G309,IF(ISNUMBER($F309),$F309,"")))</f>
        <v/>
      </c>
      <c r="I309" s="37" t="str">
        <f aca="false">IF(OR($A309="",NOT(ISNUMBER($D309)),NOT(ISNUMBER($H309))),"",IF((1-$H309-Parâmetros!$B$4-Parâmetros!$C$4-Parâmetros!$D$4)&lt;=0,"INVALIDO",($D309+IF(ISNUMBER($E309),$E309,0)+IF(ISNUMBER(Parâmetros!$E$4),Parâmetros!$E$4,0))/(1-$H309-Parâmetros!$B$4-Parâmetros!$C$4-Parâmetros!$D$4)))</f>
        <v/>
      </c>
      <c r="J309" s="38"/>
      <c r="K309" s="39" t="str">
        <f aca="false">IF(OR($A309="",NOT(ISNUMBER($D309)),NOT(ISNUMBER($H309))),"",IF(AND(ISNUMBER($J309),$J309&gt;0),$J309,IF(ISNUMBER($I309),$I309,"")))</f>
        <v/>
      </c>
      <c r="L309" s="40" t="str">
        <f aca="false">IF(ISNUMBER($K309),$K309*$H309,"")</f>
        <v/>
      </c>
      <c r="M309" s="40" t="str">
        <f aca="false">IF(ISNUMBER($K309),$K309*Parâmetros!$B$4,"")</f>
        <v/>
      </c>
      <c r="N309" s="40" t="str">
        <f aca="false">IF(ISNUMBER($K309),$K309*Parâmetros!$C$4,"")</f>
        <v/>
      </c>
      <c r="O309" s="40" t="str">
        <f aca="false">IF(ISNUMBER($K309),IF(ISNUMBER(Parâmetros!$E$4),Parâmetros!$E$4,0),"")</f>
        <v/>
      </c>
      <c r="P309" s="41" t="str">
        <f aca="false">IF(ISNUMBER($K309),$K309-$D309-IF(ISNUMBER($E309),$E309,0)-$L309-$M309-$N309-$O309,"")</f>
        <v/>
      </c>
      <c r="Q309" s="42" t="str">
        <f aca="false">IF(AND(ISNUMBER($K309),$K309&gt;0),$P309/$K309,"")</f>
        <v/>
      </c>
      <c r="R309" s="43"/>
      <c r="S309" s="44" t="str">
        <f aca="false">IF(OR(NOT(ISNUMBER($R309)),$R309=0,NOT(ISNUMBER($K309))),"",$K309*(1-$R309))</f>
        <v/>
      </c>
      <c r="T309" s="45" t="str">
        <f aca="false">IF(ISNUMBER($S309),$S309*$H309,"")</f>
        <v/>
      </c>
      <c r="U309" s="45" t="str">
        <f aca="false">IF(ISNUMBER($S309),$S309*Parâmetros!$B$4,"")</f>
        <v/>
      </c>
      <c r="V309" s="45" t="str">
        <f aca="false">IF(ISNUMBER($S309),$S309*Parâmetros!$C$4,"")</f>
        <v/>
      </c>
      <c r="W309" s="44" t="str">
        <f aca="false">IF(ISNUMBER($S309),$S309-$D309-IF(ISNUMBER($E309),$E309,0)-$O309-$T309-$U309-$V309,"")</f>
        <v/>
      </c>
      <c r="X309" s="46" t="str">
        <f aca="false">IF(AND(ISNUMBER($S309),$S309&gt;0),$W309/$S309,"")</f>
        <v/>
      </c>
      <c r="Y309" s="49"/>
      <c r="Z309" s="21"/>
    </row>
    <row r="310" customFormat="false" ht="15.75" hidden="false" customHeight="true" outlineLevel="0" collapsed="false">
      <c r="A310" s="32" t="str">
        <f aca="false">IF(Produtos!$A310="","",Produtos!$A310)</f>
        <v/>
      </c>
      <c r="B310" s="32" t="str">
        <f aca="false">IF(Produtos!$A310="","",Produtos!$B310)</f>
        <v/>
      </c>
      <c r="C310" s="32" t="str">
        <f aca="false">IF(Produtos!$A310="","",Produtos!$C310)</f>
        <v/>
      </c>
      <c r="D310" s="33" t="str">
        <f aca="false">IF(Produtos!$A310="","",IF(Produtos!$D310="","",Produtos!$D310))</f>
        <v/>
      </c>
      <c r="E310" s="11"/>
      <c r="F310" s="34" t="str">
        <f aca="false">IF($A310="","",IF($C310="","⚠ categoria",IFERROR(INDEX(Parâmetros!$B$13:$B$22,MATCH($C310,Parâmetros!$A$13:$A$22,0)),"⚠ categoria")))</f>
        <v/>
      </c>
      <c r="G310" s="35"/>
      <c r="H310" s="36" t="str">
        <f aca="false">IF($A310="","",IF(ISNUMBER($G310),$G310,IF(ISNUMBER($F310),$F310,"")))</f>
        <v/>
      </c>
      <c r="I310" s="37" t="str">
        <f aca="false">IF(OR($A310="",NOT(ISNUMBER($D310)),NOT(ISNUMBER($H310))),"",IF((1-$H310-Parâmetros!$B$4-Parâmetros!$C$4-Parâmetros!$D$4)&lt;=0,"INVALIDO",($D310+IF(ISNUMBER($E310),$E310,0)+IF(ISNUMBER(Parâmetros!$E$4),Parâmetros!$E$4,0))/(1-$H310-Parâmetros!$B$4-Parâmetros!$C$4-Parâmetros!$D$4)))</f>
        <v/>
      </c>
      <c r="J310" s="38"/>
      <c r="K310" s="39" t="str">
        <f aca="false">IF(OR($A310="",NOT(ISNUMBER($D310)),NOT(ISNUMBER($H310))),"",IF(AND(ISNUMBER($J310),$J310&gt;0),$J310,IF(ISNUMBER($I310),$I310,"")))</f>
        <v/>
      </c>
      <c r="L310" s="40" t="str">
        <f aca="false">IF(ISNUMBER($K310),$K310*$H310,"")</f>
        <v/>
      </c>
      <c r="M310" s="40" t="str">
        <f aca="false">IF(ISNUMBER($K310),$K310*Parâmetros!$B$4,"")</f>
        <v/>
      </c>
      <c r="N310" s="40" t="str">
        <f aca="false">IF(ISNUMBER($K310),$K310*Parâmetros!$C$4,"")</f>
        <v/>
      </c>
      <c r="O310" s="40" t="str">
        <f aca="false">IF(ISNUMBER($K310),IF(ISNUMBER(Parâmetros!$E$4),Parâmetros!$E$4,0),"")</f>
        <v/>
      </c>
      <c r="P310" s="41" t="str">
        <f aca="false">IF(ISNUMBER($K310),$K310-$D310-IF(ISNUMBER($E310),$E310,0)-$L310-$M310-$N310-$O310,"")</f>
        <v/>
      </c>
      <c r="Q310" s="42" t="str">
        <f aca="false">IF(AND(ISNUMBER($K310),$K310&gt;0),$P310/$K310,"")</f>
        <v/>
      </c>
      <c r="R310" s="43"/>
      <c r="S310" s="44" t="str">
        <f aca="false">IF(OR(NOT(ISNUMBER($R310)),$R310=0,NOT(ISNUMBER($K310))),"",$K310*(1-$R310))</f>
        <v/>
      </c>
      <c r="T310" s="45" t="str">
        <f aca="false">IF(ISNUMBER($S310),$S310*$H310,"")</f>
        <v/>
      </c>
      <c r="U310" s="45" t="str">
        <f aca="false">IF(ISNUMBER($S310),$S310*Parâmetros!$B$4,"")</f>
        <v/>
      </c>
      <c r="V310" s="45" t="str">
        <f aca="false">IF(ISNUMBER($S310),$S310*Parâmetros!$C$4,"")</f>
        <v/>
      </c>
      <c r="W310" s="44" t="str">
        <f aca="false">IF(ISNUMBER($S310),$S310-$D310-IF(ISNUMBER($E310),$E310,0)-$O310-$T310-$U310-$V310,"")</f>
        <v/>
      </c>
      <c r="X310" s="46" t="str">
        <f aca="false">IF(AND(ISNUMBER($S310),$S310&gt;0),$W310/$S310,"")</f>
        <v/>
      </c>
      <c r="Y310" s="47"/>
      <c r="Z310" s="19"/>
    </row>
    <row r="311" customFormat="false" ht="15.75" hidden="false" customHeight="true" outlineLevel="0" collapsed="false">
      <c r="A311" s="48" t="str">
        <f aca="false">IF(Produtos!$A311="","",Produtos!$A311)</f>
        <v/>
      </c>
      <c r="B311" s="48" t="str">
        <f aca="false">IF(Produtos!$A311="","",Produtos!$B311)</f>
        <v/>
      </c>
      <c r="C311" s="48" t="str">
        <f aca="false">IF(Produtos!$A311="","",Produtos!$C311)</f>
        <v/>
      </c>
      <c r="D311" s="33" t="str">
        <f aca="false">IF(Produtos!$A311="","",IF(Produtos!$D311="","",Produtos!$D311))</f>
        <v/>
      </c>
      <c r="E311" s="11"/>
      <c r="F311" s="34" t="str">
        <f aca="false">IF($A311="","",IF($C311="","⚠ categoria",IFERROR(INDEX(Parâmetros!$B$13:$B$22,MATCH($C311,Parâmetros!$A$13:$A$22,0)),"⚠ categoria")))</f>
        <v/>
      </c>
      <c r="G311" s="35"/>
      <c r="H311" s="36" t="str">
        <f aca="false">IF($A311="","",IF(ISNUMBER($G311),$G311,IF(ISNUMBER($F311),$F311,"")))</f>
        <v/>
      </c>
      <c r="I311" s="37" t="str">
        <f aca="false">IF(OR($A311="",NOT(ISNUMBER($D311)),NOT(ISNUMBER($H311))),"",IF((1-$H311-Parâmetros!$B$4-Parâmetros!$C$4-Parâmetros!$D$4)&lt;=0,"INVALIDO",($D311+IF(ISNUMBER($E311),$E311,0)+IF(ISNUMBER(Parâmetros!$E$4),Parâmetros!$E$4,0))/(1-$H311-Parâmetros!$B$4-Parâmetros!$C$4-Parâmetros!$D$4)))</f>
        <v/>
      </c>
      <c r="J311" s="38"/>
      <c r="K311" s="39" t="str">
        <f aca="false">IF(OR($A311="",NOT(ISNUMBER($D311)),NOT(ISNUMBER($H311))),"",IF(AND(ISNUMBER($J311),$J311&gt;0),$J311,IF(ISNUMBER($I311),$I311,"")))</f>
        <v/>
      </c>
      <c r="L311" s="40" t="str">
        <f aca="false">IF(ISNUMBER($K311),$K311*$H311,"")</f>
        <v/>
      </c>
      <c r="M311" s="40" t="str">
        <f aca="false">IF(ISNUMBER($K311),$K311*Parâmetros!$B$4,"")</f>
        <v/>
      </c>
      <c r="N311" s="40" t="str">
        <f aca="false">IF(ISNUMBER($K311),$K311*Parâmetros!$C$4,"")</f>
        <v/>
      </c>
      <c r="O311" s="40" t="str">
        <f aca="false">IF(ISNUMBER($K311),IF(ISNUMBER(Parâmetros!$E$4),Parâmetros!$E$4,0),"")</f>
        <v/>
      </c>
      <c r="P311" s="41" t="str">
        <f aca="false">IF(ISNUMBER($K311),$K311-$D311-IF(ISNUMBER($E311),$E311,0)-$L311-$M311-$N311-$O311,"")</f>
        <v/>
      </c>
      <c r="Q311" s="42" t="str">
        <f aca="false">IF(AND(ISNUMBER($K311),$K311&gt;0),$P311/$K311,"")</f>
        <v/>
      </c>
      <c r="R311" s="43"/>
      <c r="S311" s="44" t="str">
        <f aca="false">IF(OR(NOT(ISNUMBER($R311)),$R311=0,NOT(ISNUMBER($K311))),"",$K311*(1-$R311))</f>
        <v/>
      </c>
      <c r="T311" s="45" t="str">
        <f aca="false">IF(ISNUMBER($S311),$S311*$H311,"")</f>
        <v/>
      </c>
      <c r="U311" s="45" t="str">
        <f aca="false">IF(ISNUMBER($S311),$S311*Parâmetros!$B$4,"")</f>
        <v/>
      </c>
      <c r="V311" s="45" t="str">
        <f aca="false">IF(ISNUMBER($S311),$S311*Parâmetros!$C$4,"")</f>
        <v/>
      </c>
      <c r="W311" s="44" t="str">
        <f aca="false">IF(ISNUMBER($S311),$S311-$D311-IF(ISNUMBER($E311),$E311,0)-$O311-$T311-$U311-$V311,"")</f>
        <v/>
      </c>
      <c r="X311" s="46" t="str">
        <f aca="false">IF(AND(ISNUMBER($S311),$S311&gt;0),$W311/$S311,"")</f>
        <v/>
      </c>
      <c r="Y311" s="49"/>
      <c r="Z311" s="21"/>
    </row>
    <row r="312" customFormat="false" ht="15.75" hidden="false" customHeight="true" outlineLevel="0" collapsed="false">
      <c r="A312" s="32" t="str">
        <f aca="false">IF(Produtos!$A312="","",Produtos!$A312)</f>
        <v/>
      </c>
      <c r="B312" s="32" t="str">
        <f aca="false">IF(Produtos!$A312="","",Produtos!$B312)</f>
        <v/>
      </c>
      <c r="C312" s="32" t="str">
        <f aca="false">IF(Produtos!$A312="","",Produtos!$C312)</f>
        <v/>
      </c>
      <c r="D312" s="33" t="str">
        <f aca="false">IF(Produtos!$A312="","",IF(Produtos!$D312="","",Produtos!$D312))</f>
        <v/>
      </c>
      <c r="E312" s="11"/>
      <c r="F312" s="34" t="str">
        <f aca="false">IF($A312="","",IF($C312="","⚠ categoria",IFERROR(INDEX(Parâmetros!$B$13:$B$22,MATCH($C312,Parâmetros!$A$13:$A$22,0)),"⚠ categoria")))</f>
        <v/>
      </c>
      <c r="G312" s="35"/>
      <c r="H312" s="36" t="str">
        <f aca="false">IF($A312="","",IF(ISNUMBER($G312),$G312,IF(ISNUMBER($F312),$F312,"")))</f>
        <v/>
      </c>
      <c r="I312" s="37" t="str">
        <f aca="false">IF(OR($A312="",NOT(ISNUMBER($D312)),NOT(ISNUMBER($H312))),"",IF((1-$H312-Parâmetros!$B$4-Parâmetros!$C$4-Parâmetros!$D$4)&lt;=0,"INVALIDO",($D312+IF(ISNUMBER($E312),$E312,0)+IF(ISNUMBER(Parâmetros!$E$4),Parâmetros!$E$4,0))/(1-$H312-Parâmetros!$B$4-Parâmetros!$C$4-Parâmetros!$D$4)))</f>
        <v/>
      </c>
      <c r="J312" s="38"/>
      <c r="K312" s="39" t="str">
        <f aca="false">IF(OR($A312="",NOT(ISNUMBER($D312)),NOT(ISNUMBER($H312))),"",IF(AND(ISNUMBER($J312),$J312&gt;0),$J312,IF(ISNUMBER($I312),$I312,"")))</f>
        <v/>
      </c>
      <c r="L312" s="40" t="str">
        <f aca="false">IF(ISNUMBER($K312),$K312*$H312,"")</f>
        <v/>
      </c>
      <c r="M312" s="40" t="str">
        <f aca="false">IF(ISNUMBER($K312),$K312*Parâmetros!$B$4,"")</f>
        <v/>
      </c>
      <c r="N312" s="40" t="str">
        <f aca="false">IF(ISNUMBER($K312),$K312*Parâmetros!$C$4,"")</f>
        <v/>
      </c>
      <c r="O312" s="40" t="str">
        <f aca="false">IF(ISNUMBER($K312),IF(ISNUMBER(Parâmetros!$E$4),Parâmetros!$E$4,0),"")</f>
        <v/>
      </c>
      <c r="P312" s="41" t="str">
        <f aca="false">IF(ISNUMBER($K312),$K312-$D312-IF(ISNUMBER($E312),$E312,0)-$L312-$M312-$N312-$O312,"")</f>
        <v/>
      </c>
      <c r="Q312" s="42" t="str">
        <f aca="false">IF(AND(ISNUMBER($K312),$K312&gt;0),$P312/$K312,"")</f>
        <v/>
      </c>
      <c r="R312" s="43"/>
      <c r="S312" s="44" t="str">
        <f aca="false">IF(OR(NOT(ISNUMBER($R312)),$R312=0,NOT(ISNUMBER($K312))),"",$K312*(1-$R312))</f>
        <v/>
      </c>
      <c r="T312" s="45" t="str">
        <f aca="false">IF(ISNUMBER($S312),$S312*$H312,"")</f>
        <v/>
      </c>
      <c r="U312" s="45" t="str">
        <f aca="false">IF(ISNUMBER($S312),$S312*Parâmetros!$B$4,"")</f>
        <v/>
      </c>
      <c r="V312" s="45" t="str">
        <f aca="false">IF(ISNUMBER($S312),$S312*Parâmetros!$C$4,"")</f>
        <v/>
      </c>
      <c r="W312" s="44" t="str">
        <f aca="false">IF(ISNUMBER($S312),$S312-$D312-IF(ISNUMBER($E312),$E312,0)-$O312-$T312-$U312-$V312,"")</f>
        <v/>
      </c>
      <c r="X312" s="46" t="str">
        <f aca="false">IF(AND(ISNUMBER($S312),$S312&gt;0),$W312/$S312,"")</f>
        <v/>
      </c>
      <c r="Y312" s="47"/>
      <c r="Z312" s="19"/>
    </row>
    <row r="313" customFormat="false" ht="15.75" hidden="false" customHeight="true" outlineLevel="0" collapsed="false">
      <c r="A313" s="48" t="str">
        <f aca="false">IF(Produtos!$A313="","",Produtos!$A313)</f>
        <v/>
      </c>
      <c r="B313" s="48" t="str">
        <f aca="false">IF(Produtos!$A313="","",Produtos!$B313)</f>
        <v/>
      </c>
      <c r="C313" s="48" t="str">
        <f aca="false">IF(Produtos!$A313="","",Produtos!$C313)</f>
        <v/>
      </c>
      <c r="D313" s="33" t="str">
        <f aca="false">IF(Produtos!$A313="","",IF(Produtos!$D313="","",Produtos!$D313))</f>
        <v/>
      </c>
      <c r="E313" s="11"/>
      <c r="F313" s="34" t="str">
        <f aca="false">IF($A313="","",IF($C313="","⚠ categoria",IFERROR(INDEX(Parâmetros!$B$13:$B$22,MATCH($C313,Parâmetros!$A$13:$A$22,0)),"⚠ categoria")))</f>
        <v/>
      </c>
      <c r="G313" s="35"/>
      <c r="H313" s="36" t="str">
        <f aca="false">IF($A313="","",IF(ISNUMBER($G313),$G313,IF(ISNUMBER($F313),$F313,"")))</f>
        <v/>
      </c>
      <c r="I313" s="37" t="str">
        <f aca="false">IF(OR($A313="",NOT(ISNUMBER($D313)),NOT(ISNUMBER($H313))),"",IF((1-$H313-Parâmetros!$B$4-Parâmetros!$C$4-Parâmetros!$D$4)&lt;=0,"INVALIDO",($D313+IF(ISNUMBER($E313),$E313,0)+IF(ISNUMBER(Parâmetros!$E$4),Parâmetros!$E$4,0))/(1-$H313-Parâmetros!$B$4-Parâmetros!$C$4-Parâmetros!$D$4)))</f>
        <v/>
      </c>
      <c r="J313" s="38"/>
      <c r="K313" s="39" t="str">
        <f aca="false">IF(OR($A313="",NOT(ISNUMBER($D313)),NOT(ISNUMBER($H313))),"",IF(AND(ISNUMBER($J313),$J313&gt;0),$J313,IF(ISNUMBER($I313),$I313,"")))</f>
        <v/>
      </c>
      <c r="L313" s="40" t="str">
        <f aca="false">IF(ISNUMBER($K313),$K313*$H313,"")</f>
        <v/>
      </c>
      <c r="M313" s="40" t="str">
        <f aca="false">IF(ISNUMBER($K313),$K313*Parâmetros!$B$4,"")</f>
        <v/>
      </c>
      <c r="N313" s="40" t="str">
        <f aca="false">IF(ISNUMBER($K313),$K313*Parâmetros!$C$4,"")</f>
        <v/>
      </c>
      <c r="O313" s="40" t="str">
        <f aca="false">IF(ISNUMBER($K313),IF(ISNUMBER(Parâmetros!$E$4),Parâmetros!$E$4,0),"")</f>
        <v/>
      </c>
      <c r="P313" s="41" t="str">
        <f aca="false">IF(ISNUMBER($K313),$K313-$D313-IF(ISNUMBER($E313),$E313,0)-$L313-$M313-$N313-$O313,"")</f>
        <v/>
      </c>
      <c r="Q313" s="42" t="str">
        <f aca="false">IF(AND(ISNUMBER($K313),$K313&gt;0),$P313/$K313,"")</f>
        <v/>
      </c>
      <c r="R313" s="43"/>
      <c r="S313" s="44" t="str">
        <f aca="false">IF(OR(NOT(ISNUMBER($R313)),$R313=0,NOT(ISNUMBER($K313))),"",$K313*(1-$R313))</f>
        <v/>
      </c>
      <c r="T313" s="45" t="str">
        <f aca="false">IF(ISNUMBER($S313),$S313*$H313,"")</f>
        <v/>
      </c>
      <c r="U313" s="45" t="str">
        <f aca="false">IF(ISNUMBER($S313),$S313*Parâmetros!$B$4,"")</f>
        <v/>
      </c>
      <c r="V313" s="45" t="str">
        <f aca="false">IF(ISNUMBER($S313),$S313*Parâmetros!$C$4,"")</f>
        <v/>
      </c>
      <c r="W313" s="44" t="str">
        <f aca="false">IF(ISNUMBER($S313),$S313-$D313-IF(ISNUMBER($E313),$E313,0)-$O313-$T313-$U313-$V313,"")</f>
        <v/>
      </c>
      <c r="X313" s="46" t="str">
        <f aca="false">IF(AND(ISNUMBER($S313),$S313&gt;0),$W313/$S313,"")</f>
        <v/>
      </c>
      <c r="Y313" s="49"/>
      <c r="Z313" s="21"/>
    </row>
    <row r="314" customFormat="false" ht="15.75" hidden="false" customHeight="true" outlineLevel="0" collapsed="false">
      <c r="A314" s="32" t="str">
        <f aca="false">IF(Produtos!$A314="","",Produtos!$A314)</f>
        <v/>
      </c>
      <c r="B314" s="32" t="str">
        <f aca="false">IF(Produtos!$A314="","",Produtos!$B314)</f>
        <v/>
      </c>
      <c r="C314" s="32" t="str">
        <f aca="false">IF(Produtos!$A314="","",Produtos!$C314)</f>
        <v/>
      </c>
      <c r="D314" s="33" t="str">
        <f aca="false">IF(Produtos!$A314="","",IF(Produtos!$D314="","",Produtos!$D314))</f>
        <v/>
      </c>
      <c r="E314" s="11"/>
      <c r="F314" s="34" t="str">
        <f aca="false">IF($A314="","",IF($C314="","⚠ categoria",IFERROR(INDEX(Parâmetros!$B$13:$B$22,MATCH($C314,Parâmetros!$A$13:$A$22,0)),"⚠ categoria")))</f>
        <v/>
      </c>
      <c r="G314" s="35"/>
      <c r="H314" s="36" t="str">
        <f aca="false">IF($A314="","",IF(ISNUMBER($G314),$G314,IF(ISNUMBER($F314),$F314,"")))</f>
        <v/>
      </c>
      <c r="I314" s="37" t="str">
        <f aca="false">IF(OR($A314="",NOT(ISNUMBER($D314)),NOT(ISNUMBER($H314))),"",IF((1-$H314-Parâmetros!$B$4-Parâmetros!$C$4-Parâmetros!$D$4)&lt;=0,"INVALIDO",($D314+IF(ISNUMBER($E314),$E314,0)+IF(ISNUMBER(Parâmetros!$E$4),Parâmetros!$E$4,0))/(1-$H314-Parâmetros!$B$4-Parâmetros!$C$4-Parâmetros!$D$4)))</f>
        <v/>
      </c>
      <c r="J314" s="38"/>
      <c r="K314" s="39" t="str">
        <f aca="false">IF(OR($A314="",NOT(ISNUMBER($D314)),NOT(ISNUMBER($H314))),"",IF(AND(ISNUMBER($J314),$J314&gt;0),$J314,IF(ISNUMBER($I314),$I314,"")))</f>
        <v/>
      </c>
      <c r="L314" s="40" t="str">
        <f aca="false">IF(ISNUMBER($K314),$K314*$H314,"")</f>
        <v/>
      </c>
      <c r="M314" s="40" t="str">
        <f aca="false">IF(ISNUMBER($K314),$K314*Parâmetros!$B$4,"")</f>
        <v/>
      </c>
      <c r="N314" s="40" t="str">
        <f aca="false">IF(ISNUMBER($K314),$K314*Parâmetros!$C$4,"")</f>
        <v/>
      </c>
      <c r="O314" s="40" t="str">
        <f aca="false">IF(ISNUMBER($K314),IF(ISNUMBER(Parâmetros!$E$4),Parâmetros!$E$4,0),"")</f>
        <v/>
      </c>
      <c r="P314" s="41" t="str">
        <f aca="false">IF(ISNUMBER($K314),$K314-$D314-IF(ISNUMBER($E314),$E314,0)-$L314-$M314-$N314-$O314,"")</f>
        <v/>
      </c>
      <c r="Q314" s="42" t="str">
        <f aca="false">IF(AND(ISNUMBER($K314),$K314&gt;0),$P314/$K314,"")</f>
        <v/>
      </c>
      <c r="R314" s="43"/>
      <c r="S314" s="44" t="str">
        <f aca="false">IF(OR(NOT(ISNUMBER($R314)),$R314=0,NOT(ISNUMBER($K314))),"",$K314*(1-$R314))</f>
        <v/>
      </c>
      <c r="T314" s="45" t="str">
        <f aca="false">IF(ISNUMBER($S314),$S314*$H314,"")</f>
        <v/>
      </c>
      <c r="U314" s="45" t="str">
        <f aca="false">IF(ISNUMBER($S314),$S314*Parâmetros!$B$4,"")</f>
        <v/>
      </c>
      <c r="V314" s="45" t="str">
        <f aca="false">IF(ISNUMBER($S314),$S314*Parâmetros!$C$4,"")</f>
        <v/>
      </c>
      <c r="W314" s="44" t="str">
        <f aca="false">IF(ISNUMBER($S314),$S314-$D314-IF(ISNUMBER($E314),$E314,0)-$O314-$T314-$U314-$V314,"")</f>
        <v/>
      </c>
      <c r="X314" s="46" t="str">
        <f aca="false">IF(AND(ISNUMBER($S314),$S314&gt;0),$W314/$S314,"")</f>
        <v/>
      </c>
      <c r="Y314" s="47"/>
      <c r="Z314" s="19"/>
    </row>
    <row r="315" customFormat="false" ht="15.75" hidden="false" customHeight="true" outlineLevel="0" collapsed="false">
      <c r="A315" s="48" t="str">
        <f aca="false">IF(Produtos!$A315="","",Produtos!$A315)</f>
        <v/>
      </c>
      <c r="B315" s="48" t="str">
        <f aca="false">IF(Produtos!$A315="","",Produtos!$B315)</f>
        <v/>
      </c>
      <c r="C315" s="48" t="str">
        <f aca="false">IF(Produtos!$A315="","",Produtos!$C315)</f>
        <v/>
      </c>
      <c r="D315" s="33" t="str">
        <f aca="false">IF(Produtos!$A315="","",IF(Produtos!$D315="","",Produtos!$D315))</f>
        <v/>
      </c>
      <c r="E315" s="11"/>
      <c r="F315" s="34" t="str">
        <f aca="false">IF($A315="","",IF($C315="","⚠ categoria",IFERROR(INDEX(Parâmetros!$B$13:$B$22,MATCH($C315,Parâmetros!$A$13:$A$22,0)),"⚠ categoria")))</f>
        <v/>
      </c>
      <c r="G315" s="35"/>
      <c r="H315" s="36" t="str">
        <f aca="false">IF($A315="","",IF(ISNUMBER($G315),$G315,IF(ISNUMBER($F315),$F315,"")))</f>
        <v/>
      </c>
      <c r="I315" s="37" t="str">
        <f aca="false">IF(OR($A315="",NOT(ISNUMBER($D315)),NOT(ISNUMBER($H315))),"",IF((1-$H315-Parâmetros!$B$4-Parâmetros!$C$4-Parâmetros!$D$4)&lt;=0,"INVALIDO",($D315+IF(ISNUMBER($E315),$E315,0)+IF(ISNUMBER(Parâmetros!$E$4),Parâmetros!$E$4,0))/(1-$H315-Parâmetros!$B$4-Parâmetros!$C$4-Parâmetros!$D$4)))</f>
        <v/>
      </c>
      <c r="J315" s="38"/>
      <c r="K315" s="39" t="str">
        <f aca="false">IF(OR($A315="",NOT(ISNUMBER($D315)),NOT(ISNUMBER($H315))),"",IF(AND(ISNUMBER($J315),$J315&gt;0),$J315,IF(ISNUMBER($I315),$I315,"")))</f>
        <v/>
      </c>
      <c r="L315" s="40" t="str">
        <f aca="false">IF(ISNUMBER($K315),$K315*$H315,"")</f>
        <v/>
      </c>
      <c r="M315" s="40" t="str">
        <f aca="false">IF(ISNUMBER($K315),$K315*Parâmetros!$B$4,"")</f>
        <v/>
      </c>
      <c r="N315" s="40" t="str">
        <f aca="false">IF(ISNUMBER($K315),$K315*Parâmetros!$C$4,"")</f>
        <v/>
      </c>
      <c r="O315" s="40" t="str">
        <f aca="false">IF(ISNUMBER($K315),IF(ISNUMBER(Parâmetros!$E$4),Parâmetros!$E$4,0),"")</f>
        <v/>
      </c>
      <c r="P315" s="41" t="str">
        <f aca="false">IF(ISNUMBER($K315),$K315-$D315-IF(ISNUMBER($E315),$E315,0)-$L315-$M315-$N315-$O315,"")</f>
        <v/>
      </c>
      <c r="Q315" s="42" t="str">
        <f aca="false">IF(AND(ISNUMBER($K315),$K315&gt;0),$P315/$K315,"")</f>
        <v/>
      </c>
      <c r="R315" s="43"/>
      <c r="S315" s="44" t="str">
        <f aca="false">IF(OR(NOT(ISNUMBER($R315)),$R315=0,NOT(ISNUMBER($K315))),"",$K315*(1-$R315))</f>
        <v/>
      </c>
      <c r="T315" s="45" t="str">
        <f aca="false">IF(ISNUMBER($S315),$S315*$H315,"")</f>
        <v/>
      </c>
      <c r="U315" s="45" t="str">
        <f aca="false">IF(ISNUMBER($S315),$S315*Parâmetros!$B$4,"")</f>
        <v/>
      </c>
      <c r="V315" s="45" t="str">
        <f aca="false">IF(ISNUMBER($S315),$S315*Parâmetros!$C$4,"")</f>
        <v/>
      </c>
      <c r="W315" s="44" t="str">
        <f aca="false">IF(ISNUMBER($S315),$S315-$D315-IF(ISNUMBER($E315),$E315,0)-$O315-$T315-$U315-$V315,"")</f>
        <v/>
      </c>
      <c r="X315" s="46" t="str">
        <f aca="false">IF(AND(ISNUMBER($S315),$S315&gt;0),$W315/$S315,"")</f>
        <v/>
      </c>
      <c r="Y315" s="49"/>
      <c r="Z315" s="21"/>
    </row>
    <row r="316" customFormat="false" ht="15.75" hidden="false" customHeight="true" outlineLevel="0" collapsed="false">
      <c r="A316" s="32" t="str">
        <f aca="false">IF(Produtos!$A316="","",Produtos!$A316)</f>
        <v/>
      </c>
      <c r="B316" s="32" t="str">
        <f aca="false">IF(Produtos!$A316="","",Produtos!$B316)</f>
        <v/>
      </c>
      <c r="C316" s="32" t="str">
        <f aca="false">IF(Produtos!$A316="","",Produtos!$C316)</f>
        <v/>
      </c>
      <c r="D316" s="33" t="str">
        <f aca="false">IF(Produtos!$A316="","",IF(Produtos!$D316="","",Produtos!$D316))</f>
        <v/>
      </c>
      <c r="E316" s="11"/>
      <c r="F316" s="34" t="str">
        <f aca="false">IF($A316="","",IF($C316="","⚠ categoria",IFERROR(INDEX(Parâmetros!$B$13:$B$22,MATCH($C316,Parâmetros!$A$13:$A$22,0)),"⚠ categoria")))</f>
        <v/>
      </c>
      <c r="G316" s="35"/>
      <c r="H316" s="36" t="str">
        <f aca="false">IF($A316="","",IF(ISNUMBER($G316),$G316,IF(ISNUMBER($F316),$F316,"")))</f>
        <v/>
      </c>
      <c r="I316" s="37" t="str">
        <f aca="false">IF(OR($A316="",NOT(ISNUMBER($D316)),NOT(ISNUMBER($H316))),"",IF((1-$H316-Parâmetros!$B$4-Parâmetros!$C$4-Parâmetros!$D$4)&lt;=0,"INVALIDO",($D316+IF(ISNUMBER($E316),$E316,0)+IF(ISNUMBER(Parâmetros!$E$4),Parâmetros!$E$4,0))/(1-$H316-Parâmetros!$B$4-Parâmetros!$C$4-Parâmetros!$D$4)))</f>
        <v/>
      </c>
      <c r="J316" s="38"/>
      <c r="K316" s="39" t="str">
        <f aca="false">IF(OR($A316="",NOT(ISNUMBER($D316)),NOT(ISNUMBER($H316))),"",IF(AND(ISNUMBER($J316),$J316&gt;0),$J316,IF(ISNUMBER($I316),$I316,"")))</f>
        <v/>
      </c>
      <c r="L316" s="40" t="str">
        <f aca="false">IF(ISNUMBER($K316),$K316*$H316,"")</f>
        <v/>
      </c>
      <c r="M316" s="40" t="str">
        <f aca="false">IF(ISNUMBER($K316),$K316*Parâmetros!$B$4,"")</f>
        <v/>
      </c>
      <c r="N316" s="40" t="str">
        <f aca="false">IF(ISNUMBER($K316),$K316*Parâmetros!$C$4,"")</f>
        <v/>
      </c>
      <c r="O316" s="40" t="str">
        <f aca="false">IF(ISNUMBER($K316),IF(ISNUMBER(Parâmetros!$E$4),Parâmetros!$E$4,0),"")</f>
        <v/>
      </c>
      <c r="P316" s="41" t="str">
        <f aca="false">IF(ISNUMBER($K316),$K316-$D316-IF(ISNUMBER($E316),$E316,0)-$L316-$M316-$N316-$O316,"")</f>
        <v/>
      </c>
      <c r="Q316" s="42" t="str">
        <f aca="false">IF(AND(ISNUMBER($K316),$K316&gt;0),$P316/$K316,"")</f>
        <v/>
      </c>
      <c r="R316" s="43"/>
      <c r="S316" s="44" t="str">
        <f aca="false">IF(OR(NOT(ISNUMBER($R316)),$R316=0,NOT(ISNUMBER($K316))),"",$K316*(1-$R316))</f>
        <v/>
      </c>
      <c r="T316" s="45" t="str">
        <f aca="false">IF(ISNUMBER($S316),$S316*$H316,"")</f>
        <v/>
      </c>
      <c r="U316" s="45" t="str">
        <f aca="false">IF(ISNUMBER($S316),$S316*Parâmetros!$B$4,"")</f>
        <v/>
      </c>
      <c r="V316" s="45" t="str">
        <f aca="false">IF(ISNUMBER($S316),$S316*Parâmetros!$C$4,"")</f>
        <v/>
      </c>
      <c r="W316" s="44" t="str">
        <f aca="false">IF(ISNUMBER($S316),$S316-$D316-IF(ISNUMBER($E316),$E316,0)-$O316-$T316-$U316-$V316,"")</f>
        <v/>
      </c>
      <c r="X316" s="46" t="str">
        <f aca="false">IF(AND(ISNUMBER($S316),$S316&gt;0),$W316/$S316,"")</f>
        <v/>
      </c>
      <c r="Y316" s="47"/>
      <c r="Z316" s="19"/>
    </row>
    <row r="317" customFormat="false" ht="15.75" hidden="false" customHeight="true" outlineLevel="0" collapsed="false">
      <c r="A317" s="48" t="str">
        <f aca="false">IF(Produtos!$A317="","",Produtos!$A317)</f>
        <v/>
      </c>
      <c r="B317" s="48" t="str">
        <f aca="false">IF(Produtos!$A317="","",Produtos!$B317)</f>
        <v/>
      </c>
      <c r="C317" s="48" t="str">
        <f aca="false">IF(Produtos!$A317="","",Produtos!$C317)</f>
        <v/>
      </c>
      <c r="D317" s="33" t="str">
        <f aca="false">IF(Produtos!$A317="","",IF(Produtos!$D317="","",Produtos!$D317))</f>
        <v/>
      </c>
      <c r="E317" s="11"/>
      <c r="F317" s="34" t="str">
        <f aca="false">IF($A317="","",IF($C317="","⚠ categoria",IFERROR(INDEX(Parâmetros!$B$13:$B$22,MATCH($C317,Parâmetros!$A$13:$A$22,0)),"⚠ categoria")))</f>
        <v/>
      </c>
      <c r="G317" s="35"/>
      <c r="H317" s="36" t="str">
        <f aca="false">IF($A317="","",IF(ISNUMBER($G317),$G317,IF(ISNUMBER($F317),$F317,"")))</f>
        <v/>
      </c>
      <c r="I317" s="37" t="str">
        <f aca="false">IF(OR($A317="",NOT(ISNUMBER($D317)),NOT(ISNUMBER($H317))),"",IF((1-$H317-Parâmetros!$B$4-Parâmetros!$C$4-Parâmetros!$D$4)&lt;=0,"INVALIDO",($D317+IF(ISNUMBER($E317),$E317,0)+IF(ISNUMBER(Parâmetros!$E$4),Parâmetros!$E$4,0))/(1-$H317-Parâmetros!$B$4-Parâmetros!$C$4-Parâmetros!$D$4)))</f>
        <v/>
      </c>
      <c r="J317" s="38"/>
      <c r="K317" s="39" t="str">
        <f aca="false">IF(OR($A317="",NOT(ISNUMBER($D317)),NOT(ISNUMBER($H317))),"",IF(AND(ISNUMBER($J317),$J317&gt;0),$J317,IF(ISNUMBER($I317),$I317,"")))</f>
        <v/>
      </c>
      <c r="L317" s="40" t="str">
        <f aca="false">IF(ISNUMBER($K317),$K317*$H317,"")</f>
        <v/>
      </c>
      <c r="M317" s="40" t="str">
        <f aca="false">IF(ISNUMBER($K317),$K317*Parâmetros!$B$4,"")</f>
        <v/>
      </c>
      <c r="N317" s="40" t="str">
        <f aca="false">IF(ISNUMBER($K317),$K317*Parâmetros!$C$4,"")</f>
        <v/>
      </c>
      <c r="O317" s="40" t="str">
        <f aca="false">IF(ISNUMBER($K317),IF(ISNUMBER(Parâmetros!$E$4),Parâmetros!$E$4,0),"")</f>
        <v/>
      </c>
      <c r="P317" s="41" t="str">
        <f aca="false">IF(ISNUMBER($K317),$K317-$D317-IF(ISNUMBER($E317),$E317,0)-$L317-$M317-$N317-$O317,"")</f>
        <v/>
      </c>
      <c r="Q317" s="42" t="str">
        <f aca="false">IF(AND(ISNUMBER($K317),$K317&gt;0),$P317/$K317,"")</f>
        <v/>
      </c>
      <c r="R317" s="43"/>
      <c r="S317" s="44" t="str">
        <f aca="false">IF(OR(NOT(ISNUMBER($R317)),$R317=0,NOT(ISNUMBER($K317))),"",$K317*(1-$R317))</f>
        <v/>
      </c>
      <c r="T317" s="45" t="str">
        <f aca="false">IF(ISNUMBER($S317),$S317*$H317,"")</f>
        <v/>
      </c>
      <c r="U317" s="45" t="str">
        <f aca="false">IF(ISNUMBER($S317),$S317*Parâmetros!$B$4,"")</f>
        <v/>
      </c>
      <c r="V317" s="45" t="str">
        <f aca="false">IF(ISNUMBER($S317),$S317*Parâmetros!$C$4,"")</f>
        <v/>
      </c>
      <c r="W317" s="44" t="str">
        <f aca="false">IF(ISNUMBER($S317),$S317-$D317-IF(ISNUMBER($E317),$E317,0)-$O317-$T317-$U317-$V317,"")</f>
        <v/>
      </c>
      <c r="X317" s="46" t="str">
        <f aca="false">IF(AND(ISNUMBER($S317),$S317&gt;0),$W317/$S317,"")</f>
        <v/>
      </c>
      <c r="Y317" s="49"/>
      <c r="Z317" s="21"/>
    </row>
    <row r="318" customFormat="false" ht="15.75" hidden="false" customHeight="true" outlineLevel="0" collapsed="false">
      <c r="A318" s="32" t="str">
        <f aca="false">IF(Produtos!$A318="","",Produtos!$A318)</f>
        <v/>
      </c>
      <c r="B318" s="32" t="str">
        <f aca="false">IF(Produtos!$A318="","",Produtos!$B318)</f>
        <v/>
      </c>
      <c r="C318" s="32" t="str">
        <f aca="false">IF(Produtos!$A318="","",Produtos!$C318)</f>
        <v/>
      </c>
      <c r="D318" s="33" t="str">
        <f aca="false">IF(Produtos!$A318="","",IF(Produtos!$D318="","",Produtos!$D318))</f>
        <v/>
      </c>
      <c r="E318" s="11"/>
      <c r="F318" s="34" t="str">
        <f aca="false">IF($A318="","",IF($C318="","⚠ categoria",IFERROR(INDEX(Parâmetros!$B$13:$B$22,MATCH($C318,Parâmetros!$A$13:$A$22,0)),"⚠ categoria")))</f>
        <v/>
      </c>
      <c r="G318" s="35"/>
      <c r="H318" s="36" t="str">
        <f aca="false">IF($A318="","",IF(ISNUMBER($G318),$G318,IF(ISNUMBER($F318),$F318,"")))</f>
        <v/>
      </c>
      <c r="I318" s="37" t="str">
        <f aca="false">IF(OR($A318="",NOT(ISNUMBER($D318)),NOT(ISNUMBER($H318))),"",IF((1-$H318-Parâmetros!$B$4-Parâmetros!$C$4-Parâmetros!$D$4)&lt;=0,"INVALIDO",($D318+IF(ISNUMBER($E318),$E318,0)+IF(ISNUMBER(Parâmetros!$E$4),Parâmetros!$E$4,0))/(1-$H318-Parâmetros!$B$4-Parâmetros!$C$4-Parâmetros!$D$4)))</f>
        <v/>
      </c>
      <c r="J318" s="38"/>
      <c r="K318" s="39" t="str">
        <f aca="false">IF(OR($A318="",NOT(ISNUMBER($D318)),NOT(ISNUMBER($H318))),"",IF(AND(ISNUMBER($J318),$J318&gt;0),$J318,IF(ISNUMBER($I318),$I318,"")))</f>
        <v/>
      </c>
      <c r="L318" s="40" t="str">
        <f aca="false">IF(ISNUMBER($K318),$K318*$H318,"")</f>
        <v/>
      </c>
      <c r="M318" s="40" t="str">
        <f aca="false">IF(ISNUMBER($K318),$K318*Parâmetros!$B$4,"")</f>
        <v/>
      </c>
      <c r="N318" s="40" t="str">
        <f aca="false">IF(ISNUMBER($K318),$K318*Parâmetros!$C$4,"")</f>
        <v/>
      </c>
      <c r="O318" s="40" t="str">
        <f aca="false">IF(ISNUMBER($K318),IF(ISNUMBER(Parâmetros!$E$4),Parâmetros!$E$4,0),"")</f>
        <v/>
      </c>
      <c r="P318" s="41" t="str">
        <f aca="false">IF(ISNUMBER($K318),$K318-$D318-IF(ISNUMBER($E318),$E318,0)-$L318-$M318-$N318-$O318,"")</f>
        <v/>
      </c>
      <c r="Q318" s="42" t="str">
        <f aca="false">IF(AND(ISNUMBER($K318),$K318&gt;0),$P318/$K318,"")</f>
        <v/>
      </c>
      <c r="R318" s="43"/>
      <c r="S318" s="44" t="str">
        <f aca="false">IF(OR(NOT(ISNUMBER($R318)),$R318=0,NOT(ISNUMBER($K318))),"",$K318*(1-$R318))</f>
        <v/>
      </c>
      <c r="T318" s="45" t="str">
        <f aca="false">IF(ISNUMBER($S318),$S318*$H318,"")</f>
        <v/>
      </c>
      <c r="U318" s="45" t="str">
        <f aca="false">IF(ISNUMBER($S318),$S318*Parâmetros!$B$4,"")</f>
        <v/>
      </c>
      <c r="V318" s="45" t="str">
        <f aca="false">IF(ISNUMBER($S318),$S318*Parâmetros!$C$4,"")</f>
        <v/>
      </c>
      <c r="W318" s="44" t="str">
        <f aca="false">IF(ISNUMBER($S318),$S318-$D318-IF(ISNUMBER($E318),$E318,0)-$O318-$T318-$U318-$V318,"")</f>
        <v/>
      </c>
      <c r="X318" s="46" t="str">
        <f aca="false">IF(AND(ISNUMBER($S318),$S318&gt;0),$W318/$S318,"")</f>
        <v/>
      </c>
      <c r="Y318" s="47"/>
      <c r="Z318" s="19"/>
    </row>
    <row r="319" customFormat="false" ht="15.75" hidden="false" customHeight="true" outlineLevel="0" collapsed="false">
      <c r="A319" s="48" t="str">
        <f aca="false">IF(Produtos!$A319="","",Produtos!$A319)</f>
        <v/>
      </c>
      <c r="B319" s="48" t="str">
        <f aca="false">IF(Produtos!$A319="","",Produtos!$B319)</f>
        <v/>
      </c>
      <c r="C319" s="48" t="str">
        <f aca="false">IF(Produtos!$A319="","",Produtos!$C319)</f>
        <v/>
      </c>
      <c r="D319" s="33" t="str">
        <f aca="false">IF(Produtos!$A319="","",IF(Produtos!$D319="","",Produtos!$D319))</f>
        <v/>
      </c>
      <c r="E319" s="11"/>
      <c r="F319" s="34" t="str">
        <f aca="false">IF($A319="","",IF($C319="","⚠ categoria",IFERROR(INDEX(Parâmetros!$B$13:$B$22,MATCH($C319,Parâmetros!$A$13:$A$22,0)),"⚠ categoria")))</f>
        <v/>
      </c>
      <c r="G319" s="35"/>
      <c r="H319" s="36" t="str">
        <f aca="false">IF($A319="","",IF(ISNUMBER($G319),$G319,IF(ISNUMBER($F319),$F319,"")))</f>
        <v/>
      </c>
      <c r="I319" s="37" t="str">
        <f aca="false">IF(OR($A319="",NOT(ISNUMBER($D319)),NOT(ISNUMBER($H319))),"",IF((1-$H319-Parâmetros!$B$4-Parâmetros!$C$4-Parâmetros!$D$4)&lt;=0,"INVALIDO",($D319+IF(ISNUMBER($E319),$E319,0)+IF(ISNUMBER(Parâmetros!$E$4),Parâmetros!$E$4,0))/(1-$H319-Parâmetros!$B$4-Parâmetros!$C$4-Parâmetros!$D$4)))</f>
        <v/>
      </c>
      <c r="J319" s="38"/>
      <c r="K319" s="39" t="str">
        <f aca="false">IF(OR($A319="",NOT(ISNUMBER($D319)),NOT(ISNUMBER($H319))),"",IF(AND(ISNUMBER($J319),$J319&gt;0),$J319,IF(ISNUMBER($I319),$I319,"")))</f>
        <v/>
      </c>
      <c r="L319" s="40" t="str">
        <f aca="false">IF(ISNUMBER($K319),$K319*$H319,"")</f>
        <v/>
      </c>
      <c r="M319" s="40" t="str">
        <f aca="false">IF(ISNUMBER($K319),$K319*Parâmetros!$B$4,"")</f>
        <v/>
      </c>
      <c r="N319" s="40" t="str">
        <f aca="false">IF(ISNUMBER($K319),$K319*Parâmetros!$C$4,"")</f>
        <v/>
      </c>
      <c r="O319" s="40" t="str">
        <f aca="false">IF(ISNUMBER($K319),IF(ISNUMBER(Parâmetros!$E$4),Parâmetros!$E$4,0),"")</f>
        <v/>
      </c>
      <c r="P319" s="41" t="str">
        <f aca="false">IF(ISNUMBER($K319),$K319-$D319-IF(ISNUMBER($E319),$E319,0)-$L319-$M319-$N319-$O319,"")</f>
        <v/>
      </c>
      <c r="Q319" s="42" t="str">
        <f aca="false">IF(AND(ISNUMBER($K319),$K319&gt;0),$P319/$K319,"")</f>
        <v/>
      </c>
      <c r="R319" s="43"/>
      <c r="S319" s="44" t="str">
        <f aca="false">IF(OR(NOT(ISNUMBER($R319)),$R319=0,NOT(ISNUMBER($K319))),"",$K319*(1-$R319))</f>
        <v/>
      </c>
      <c r="T319" s="45" t="str">
        <f aca="false">IF(ISNUMBER($S319),$S319*$H319,"")</f>
        <v/>
      </c>
      <c r="U319" s="45" t="str">
        <f aca="false">IF(ISNUMBER($S319),$S319*Parâmetros!$B$4,"")</f>
        <v/>
      </c>
      <c r="V319" s="45" t="str">
        <f aca="false">IF(ISNUMBER($S319),$S319*Parâmetros!$C$4,"")</f>
        <v/>
      </c>
      <c r="W319" s="44" t="str">
        <f aca="false">IF(ISNUMBER($S319),$S319-$D319-IF(ISNUMBER($E319),$E319,0)-$O319-$T319-$U319-$V319,"")</f>
        <v/>
      </c>
      <c r="X319" s="46" t="str">
        <f aca="false">IF(AND(ISNUMBER($S319),$S319&gt;0),$W319/$S319,"")</f>
        <v/>
      </c>
      <c r="Y319" s="49"/>
      <c r="Z319" s="21"/>
    </row>
    <row r="320" customFormat="false" ht="15.75" hidden="false" customHeight="true" outlineLevel="0" collapsed="false">
      <c r="A320" s="32" t="str">
        <f aca="false">IF(Produtos!$A320="","",Produtos!$A320)</f>
        <v/>
      </c>
      <c r="B320" s="32" t="str">
        <f aca="false">IF(Produtos!$A320="","",Produtos!$B320)</f>
        <v/>
      </c>
      <c r="C320" s="32" t="str">
        <f aca="false">IF(Produtos!$A320="","",Produtos!$C320)</f>
        <v/>
      </c>
      <c r="D320" s="33" t="str">
        <f aca="false">IF(Produtos!$A320="","",IF(Produtos!$D320="","",Produtos!$D320))</f>
        <v/>
      </c>
      <c r="E320" s="11"/>
      <c r="F320" s="34" t="str">
        <f aca="false">IF($A320="","",IF($C320="","⚠ categoria",IFERROR(INDEX(Parâmetros!$B$13:$B$22,MATCH($C320,Parâmetros!$A$13:$A$22,0)),"⚠ categoria")))</f>
        <v/>
      </c>
      <c r="G320" s="35"/>
      <c r="H320" s="36" t="str">
        <f aca="false">IF($A320="","",IF(ISNUMBER($G320),$G320,IF(ISNUMBER($F320),$F320,"")))</f>
        <v/>
      </c>
      <c r="I320" s="37" t="str">
        <f aca="false">IF(OR($A320="",NOT(ISNUMBER($D320)),NOT(ISNUMBER($H320))),"",IF((1-$H320-Parâmetros!$B$4-Parâmetros!$C$4-Parâmetros!$D$4)&lt;=0,"INVALIDO",($D320+IF(ISNUMBER($E320),$E320,0)+IF(ISNUMBER(Parâmetros!$E$4),Parâmetros!$E$4,0))/(1-$H320-Parâmetros!$B$4-Parâmetros!$C$4-Parâmetros!$D$4)))</f>
        <v/>
      </c>
      <c r="J320" s="38"/>
      <c r="K320" s="39" t="str">
        <f aca="false">IF(OR($A320="",NOT(ISNUMBER($D320)),NOT(ISNUMBER($H320))),"",IF(AND(ISNUMBER($J320),$J320&gt;0),$J320,IF(ISNUMBER($I320),$I320,"")))</f>
        <v/>
      </c>
      <c r="L320" s="40" t="str">
        <f aca="false">IF(ISNUMBER($K320),$K320*$H320,"")</f>
        <v/>
      </c>
      <c r="M320" s="40" t="str">
        <f aca="false">IF(ISNUMBER($K320),$K320*Parâmetros!$B$4,"")</f>
        <v/>
      </c>
      <c r="N320" s="40" t="str">
        <f aca="false">IF(ISNUMBER($K320),$K320*Parâmetros!$C$4,"")</f>
        <v/>
      </c>
      <c r="O320" s="40" t="str">
        <f aca="false">IF(ISNUMBER($K320),IF(ISNUMBER(Parâmetros!$E$4),Parâmetros!$E$4,0),"")</f>
        <v/>
      </c>
      <c r="P320" s="41" t="str">
        <f aca="false">IF(ISNUMBER($K320),$K320-$D320-IF(ISNUMBER($E320),$E320,0)-$L320-$M320-$N320-$O320,"")</f>
        <v/>
      </c>
      <c r="Q320" s="42" t="str">
        <f aca="false">IF(AND(ISNUMBER($K320),$K320&gt;0),$P320/$K320,"")</f>
        <v/>
      </c>
      <c r="R320" s="43"/>
      <c r="S320" s="44" t="str">
        <f aca="false">IF(OR(NOT(ISNUMBER($R320)),$R320=0,NOT(ISNUMBER($K320))),"",$K320*(1-$R320))</f>
        <v/>
      </c>
      <c r="T320" s="45" t="str">
        <f aca="false">IF(ISNUMBER($S320),$S320*$H320,"")</f>
        <v/>
      </c>
      <c r="U320" s="45" t="str">
        <f aca="false">IF(ISNUMBER($S320),$S320*Parâmetros!$B$4,"")</f>
        <v/>
      </c>
      <c r="V320" s="45" t="str">
        <f aca="false">IF(ISNUMBER($S320),$S320*Parâmetros!$C$4,"")</f>
        <v/>
      </c>
      <c r="W320" s="44" t="str">
        <f aca="false">IF(ISNUMBER($S320),$S320-$D320-IF(ISNUMBER($E320),$E320,0)-$O320-$T320-$U320-$V320,"")</f>
        <v/>
      </c>
      <c r="X320" s="46" t="str">
        <f aca="false">IF(AND(ISNUMBER($S320),$S320&gt;0),$W320/$S320,"")</f>
        <v/>
      </c>
      <c r="Y320" s="47"/>
      <c r="Z320" s="19"/>
    </row>
    <row r="321" customFormat="false" ht="15.75" hidden="false" customHeight="true" outlineLevel="0" collapsed="false">
      <c r="A321" s="48" t="str">
        <f aca="false">IF(Produtos!$A321="","",Produtos!$A321)</f>
        <v/>
      </c>
      <c r="B321" s="48" t="str">
        <f aca="false">IF(Produtos!$A321="","",Produtos!$B321)</f>
        <v/>
      </c>
      <c r="C321" s="48" t="str">
        <f aca="false">IF(Produtos!$A321="","",Produtos!$C321)</f>
        <v/>
      </c>
      <c r="D321" s="33" t="str">
        <f aca="false">IF(Produtos!$A321="","",IF(Produtos!$D321="","",Produtos!$D321))</f>
        <v/>
      </c>
      <c r="E321" s="11"/>
      <c r="F321" s="34" t="str">
        <f aca="false">IF($A321="","",IF($C321="","⚠ categoria",IFERROR(INDEX(Parâmetros!$B$13:$B$22,MATCH($C321,Parâmetros!$A$13:$A$22,0)),"⚠ categoria")))</f>
        <v/>
      </c>
      <c r="G321" s="35"/>
      <c r="H321" s="36" t="str">
        <f aca="false">IF($A321="","",IF(ISNUMBER($G321),$G321,IF(ISNUMBER($F321),$F321,"")))</f>
        <v/>
      </c>
      <c r="I321" s="37" t="str">
        <f aca="false">IF(OR($A321="",NOT(ISNUMBER($D321)),NOT(ISNUMBER($H321))),"",IF((1-$H321-Parâmetros!$B$4-Parâmetros!$C$4-Parâmetros!$D$4)&lt;=0,"INVALIDO",($D321+IF(ISNUMBER($E321),$E321,0)+IF(ISNUMBER(Parâmetros!$E$4),Parâmetros!$E$4,0))/(1-$H321-Parâmetros!$B$4-Parâmetros!$C$4-Parâmetros!$D$4)))</f>
        <v/>
      </c>
      <c r="J321" s="38"/>
      <c r="K321" s="39" t="str">
        <f aca="false">IF(OR($A321="",NOT(ISNUMBER($D321)),NOT(ISNUMBER($H321))),"",IF(AND(ISNUMBER($J321),$J321&gt;0),$J321,IF(ISNUMBER($I321),$I321,"")))</f>
        <v/>
      </c>
      <c r="L321" s="40" t="str">
        <f aca="false">IF(ISNUMBER($K321),$K321*$H321,"")</f>
        <v/>
      </c>
      <c r="M321" s="40" t="str">
        <f aca="false">IF(ISNUMBER($K321),$K321*Parâmetros!$B$4,"")</f>
        <v/>
      </c>
      <c r="N321" s="40" t="str">
        <f aca="false">IF(ISNUMBER($K321),$K321*Parâmetros!$C$4,"")</f>
        <v/>
      </c>
      <c r="O321" s="40" t="str">
        <f aca="false">IF(ISNUMBER($K321),IF(ISNUMBER(Parâmetros!$E$4),Parâmetros!$E$4,0),"")</f>
        <v/>
      </c>
      <c r="P321" s="41" t="str">
        <f aca="false">IF(ISNUMBER($K321),$K321-$D321-IF(ISNUMBER($E321),$E321,0)-$L321-$M321-$N321-$O321,"")</f>
        <v/>
      </c>
      <c r="Q321" s="42" t="str">
        <f aca="false">IF(AND(ISNUMBER($K321),$K321&gt;0),$P321/$K321,"")</f>
        <v/>
      </c>
      <c r="R321" s="43"/>
      <c r="S321" s="44" t="str">
        <f aca="false">IF(OR(NOT(ISNUMBER($R321)),$R321=0,NOT(ISNUMBER($K321))),"",$K321*(1-$R321))</f>
        <v/>
      </c>
      <c r="T321" s="45" t="str">
        <f aca="false">IF(ISNUMBER($S321),$S321*$H321,"")</f>
        <v/>
      </c>
      <c r="U321" s="45" t="str">
        <f aca="false">IF(ISNUMBER($S321),$S321*Parâmetros!$B$4,"")</f>
        <v/>
      </c>
      <c r="V321" s="45" t="str">
        <f aca="false">IF(ISNUMBER($S321),$S321*Parâmetros!$C$4,"")</f>
        <v/>
      </c>
      <c r="W321" s="44" t="str">
        <f aca="false">IF(ISNUMBER($S321),$S321-$D321-IF(ISNUMBER($E321),$E321,0)-$O321-$T321-$U321-$V321,"")</f>
        <v/>
      </c>
      <c r="X321" s="46" t="str">
        <f aca="false">IF(AND(ISNUMBER($S321),$S321&gt;0),$W321/$S321,"")</f>
        <v/>
      </c>
      <c r="Y321" s="49"/>
      <c r="Z321" s="21"/>
    </row>
    <row r="322" customFormat="false" ht="15.75" hidden="false" customHeight="true" outlineLevel="0" collapsed="false">
      <c r="A322" s="32" t="str">
        <f aca="false">IF(Produtos!$A322="","",Produtos!$A322)</f>
        <v/>
      </c>
      <c r="B322" s="32" t="str">
        <f aca="false">IF(Produtos!$A322="","",Produtos!$B322)</f>
        <v/>
      </c>
      <c r="C322" s="32" t="str">
        <f aca="false">IF(Produtos!$A322="","",Produtos!$C322)</f>
        <v/>
      </c>
      <c r="D322" s="33" t="str">
        <f aca="false">IF(Produtos!$A322="","",IF(Produtos!$D322="","",Produtos!$D322))</f>
        <v/>
      </c>
      <c r="E322" s="11"/>
      <c r="F322" s="34" t="str">
        <f aca="false">IF($A322="","",IF($C322="","⚠ categoria",IFERROR(INDEX(Parâmetros!$B$13:$B$22,MATCH($C322,Parâmetros!$A$13:$A$22,0)),"⚠ categoria")))</f>
        <v/>
      </c>
      <c r="G322" s="35"/>
      <c r="H322" s="36" t="str">
        <f aca="false">IF($A322="","",IF(ISNUMBER($G322),$G322,IF(ISNUMBER($F322),$F322,"")))</f>
        <v/>
      </c>
      <c r="I322" s="37" t="str">
        <f aca="false">IF(OR($A322="",NOT(ISNUMBER($D322)),NOT(ISNUMBER($H322))),"",IF((1-$H322-Parâmetros!$B$4-Parâmetros!$C$4-Parâmetros!$D$4)&lt;=0,"INVALIDO",($D322+IF(ISNUMBER($E322),$E322,0)+IF(ISNUMBER(Parâmetros!$E$4),Parâmetros!$E$4,0))/(1-$H322-Parâmetros!$B$4-Parâmetros!$C$4-Parâmetros!$D$4)))</f>
        <v/>
      </c>
      <c r="J322" s="38"/>
      <c r="K322" s="39" t="str">
        <f aca="false">IF(OR($A322="",NOT(ISNUMBER($D322)),NOT(ISNUMBER($H322))),"",IF(AND(ISNUMBER($J322),$J322&gt;0),$J322,IF(ISNUMBER($I322),$I322,"")))</f>
        <v/>
      </c>
      <c r="L322" s="40" t="str">
        <f aca="false">IF(ISNUMBER($K322),$K322*$H322,"")</f>
        <v/>
      </c>
      <c r="M322" s="40" t="str">
        <f aca="false">IF(ISNUMBER($K322),$K322*Parâmetros!$B$4,"")</f>
        <v/>
      </c>
      <c r="N322" s="40" t="str">
        <f aca="false">IF(ISNUMBER($K322),$K322*Parâmetros!$C$4,"")</f>
        <v/>
      </c>
      <c r="O322" s="40" t="str">
        <f aca="false">IF(ISNUMBER($K322),IF(ISNUMBER(Parâmetros!$E$4),Parâmetros!$E$4,0),"")</f>
        <v/>
      </c>
      <c r="P322" s="41" t="str">
        <f aca="false">IF(ISNUMBER($K322),$K322-$D322-IF(ISNUMBER($E322),$E322,0)-$L322-$M322-$N322-$O322,"")</f>
        <v/>
      </c>
      <c r="Q322" s="42" t="str">
        <f aca="false">IF(AND(ISNUMBER($K322),$K322&gt;0),$P322/$K322,"")</f>
        <v/>
      </c>
      <c r="R322" s="43"/>
      <c r="S322" s="44" t="str">
        <f aca="false">IF(OR(NOT(ISNUMBER($R322)),$R322=0,NOT(ISNUMBER($K322))),"",$K322*(1-$R322))</f>
        <v/>
      </c>
      <c r="T322" s="45" t="str">
        <f aca="false">IF(ISNUMBER($S322),$S322*$H322,"")</f>
        <v/>
      </c>
      <c r="U322" s="45" t="str">
        <f aca="false">IF(ISNUMBER($S322),$S322*Parâmetros!$B$4,"")</f>
        <v/>
      </c>
      <c r="V322" s="45" t="str">
        <f aca="false">IF(ISNUMBER($S322),$S322*Parâmetros!$C$4,"")</f>
        <v/>
      </c>
      <c r="W322" s="44" t="str">
        <f aca="false">IF(ISNUMBER($S322),$S322-$D322-IF(ISNUMBER($E322),$E322,0)-$O322-$T322-$U322-$V322,"")</f>
        <v/>
      </c>
      <c r="X322" s="46" t="str">
        <f aca="false">IF(AND(ISNUMBER($S322),$S322&gt;0),$W322/$S322,"")</f>
        <v/>
      </c>
      <c r="Y322" s="47"/>
      <c r="Z322" s="19"/>
    </row>
    <row r="323" customFormat="false" ht="15.75" hidden="false" customHeight="true" outlineLevel="0" collapsed="false">
      <c r="A323" s="48" t="str">
        <f aca="false">IF(Produtos!$A323="","",Produtos!$A323)</f>
        <v/>
      </c>
      <c r="B323" s="48" t="str">
        <f aca="false">IF(Produtos!$A323="","",Produtos!$B323)</f>
        <v/>
      </c>
      <c r="C323" s="48" t="str">
        <f aca="false">IF(Produtos!$A323="","",Produtos!$C323)</f>
        <v/>
      </c>
      <c r="D323" s="33" t="str">
        <f aca="false">IF(Produtos!$A323="","",IF(Produtos!$D323="","",Produtos!$D323))</f>
        <v/>
      </c>
      <c r="E323" s="11"/>
      <c r="F323" s="34" t="str">
        <f aca="false">IF($A323="","",IF($C323="","⚠ categoria",IFERROR(INDEX(Parâmetros!$B$13:$B$22,MATCH($C323,Parâmetros!$A$13:$A$22,0)),"⚠ categoria")))</f>
        <v/>
      </c>
      <c r="G323" s="35"/>
      <c r="H323" s="36" t="str">
        <f aca="false">IF($A323="","",IF(ISNUMBER($G323),$G323,IF(ISNUMBER($F323),$F323,"")))</f>
        <v/>
      </c>
      <c r="I323" s="37" t="str">
        <f aca="false">IF(OR($A323="",NOT(ISNUMBER($D323)),NOT(ISNUMBER($H323))),"",IF((1-$H323-Parâmetros!$B$4-Parâmetros!$C$4-Parâmetros!$D$4)&lt;=0,"INVALIDO",($D323+IF(ISNUMBER($E323),$E323,0)+IF(ISNUMBER(Parâmetros!$E$4),Parâmetros!$E$4,0))/(1-$H323-Parâmetros!$B$4-Parâmetros!$C$4-Parâmetros!$D$4)))</f>
        <v/>
      </c>
      <c r="J323" s="38"/>
      <c r="K323" s="39" t="str">
        <f aca="false">IF(OR($A323="",NOT(ISNUMBER($D323)),NOT(ISNUMBER($H323))),"",IF(AND(ISNUMBER($J323),$J323&gt;0),$J323,IF(ISNUMBER($I323),$I323,"")))</f>
        <v/>
      </c>
      <c r="L323" s="40" t="str">
        <f aca="false">IF(ISNUMBER($K323),$K323*$H323,"")</f>
        <v/>
      </c>
      <c r="M323" s="40" t="str">
        <f aca="false">IF(ISNUMBER($K323),$K323*Parâmetros!$B$4,"")</f>
        <v/>
      </c>
      <c r="N323" s="40" t="str">
        <f aca="false">IF(ISNUMBER($K323),$K323*Parâmetros!$C$4,"")</f>
        <v/>
      </c>
      <c r="O323" s="40" t="str">
        <f aca="false">IF(ISNUMBER($K323),IF(ISNUMBER(Parâmetros!$E$4),Parâmetros!$E$4,0),"")</f>
        <v/>
      </c>
      <c r="P323" s="41" t="str">
        <f aca="false">IF(ISNUMBER($K323),$K323-$D323-IF(ISNUMBER($E323),$E323,0)-$L323-$M323-$N323-$O323,"")</f>
        <v/>
      </c>
      <c r="Q323" s="42" t="str">
        <f aca="false">IF(AND(ISNUMBER($K323),$K323&gt;0),$P323/$K323,"")</f>
        <v/>
      </c>
      <c r="R323" s="43"/>
      <c r="S323" s="44" t="str">
        <f aca="false">IF(OR(NOT(ISNUMBER($R323)),$R323=0,NOT(ISNUMBER($K323))),"",$K323*(1-$R323))</f>
        <v/>
      </c>
      <c r="T323" s="45" t="str">
        <f aca="false">IF(ISNUMBER($S323),$S323*$H323,"")</f>
        <v/>
      </c>
      <c r="U323" s="45" t="str">
        <f aca="false">IF(ISNUMBER($S323),$S323*Parâmetros!$B$4,"")</f>
        <v/>
      </c>
      <c r="V323" s="45" t="str">
        <f aca="false">IF(ISNUMBER($S323),$S323*Parâmetros!$C$4,"")</f>
        <v/>
      </c>
      <c r="W323" s="44" t="str">
        <f aca="false">IF(ISNUMBER($S323),$S323-$D323-IF(ISNUMBER($E323),$E323,0)-$O323-$T323-$U323-$V323,"")</f>
        <v/>
      </c>
      <c r="X323" s="46" t="str">
        <f aca="false">IF(AND(ISNUMBER($S323),$S323&gt;0),$W323/$S323,"")</f>
        <v/>
      </c>
      <c r="Y323" s="49"/>
      <c r="Z323" s="21"/>
    </row>
    <row r="324" customFormat="false" ht="15.75" hidden="false" customHeight="true" outlineLevel="0" collapsed="false">
      <c r="A324" s="32" t="str">
        <f aca="false">IF(Produtos!$A324="","",Produtos!$A324)</f>
        <v/>
      </c>
      <c r="B324" s="32" t="str">
        <f aca="false">IF(Produtos!$A324="","",Produtos!$B324)</f>
        <v/>
      </c>
      <c r="C324" s="32" t="str">
        <f aca="false">IF(Produtos!$A324="","",Produtos!$C324)</f>
        <v/>
      </c>
      <c r="D324" s="33" t="str">
        <f aca="false">IF(Produtos!$A324="","",IF(Produtos!$D324="","",Produtos!$D324))</f>
        <v/>
      </c>
      <c r="E324" s="11"/>
      <c r="F324" s="34" t="str">
        <f aca="false">IF($A324="","",IF($C324="","⚠ categoria",IFERROR(INDEX(Parâmetros!$B$13:$B$22,MATCH($C324,Parâmetros!$A$13:$A$22,0)),"⚠ categoria")))</f>
        <v/>
      </c>
      <c r="G324" s="35"/>
      <c r="H324" s="36" t="str">
        <f aca="false">IF($A324="","",IF(ISNUMBER($G324),$G324,IF(ISNUMBER($F324),$F324,"")))</f>
        <v/>
      </c>
      <c r="I324" s="37" t="str">
        <f aca="false">IF(OR($A324="",NOT(ISNUMBER($D324)),NOT(ISNUMBER($H324))),"",IF((1-$H324-Parâmetros!$B$4-Parâmetros!$C$4-Parâmetros!$D$4)&lt;=0,"INVALIDO",($D324+IF(ISNUMBER($E324),$E324,0)+IF(ISNUMBER(Parâmetros!$E$4),Parâmetros!$E$4,0))/(1-$H324-Parâmetros!$B$4-Parâmetros!$C$4-Parâmetros!$D$4)))</f>
        <v/>
      </c>
      <c r="J324" s="38"/>
      <c r="K324" s="39" t="str">
        <f aca="false">IF(OR($A324="",NOT(ISNUMBER($D324)),NOT(ISNUMBER($H324))),"",IF(AND(ISNUMBER($J324),$J324&gt;0),$J324,IF(ISNUMBER($I324),$I324,"")))</f>
        <v/>
      </c>
      <c r="L324" s="40" t="str">
        <f aca="false">IF(ISNUMBER($K324),$K324*$H324,"")</f>
        <v/>
      </c>
      <c r="M324" s="40" t="str">
        <f aca="false">IF(ISNUMBER($K324),$K324*Parâmetros!$B$4,"")</f>
        <v/>
      </c>
      <c r="N324" s="40" t="str">
        <f aca="false">IF(ISNUMBER($K324),$K324*Parâmetros!$C$4,"")</f>
        <v/>
      </c>
      <c r="O324" s="40" t="str">
        <f aca="false">IF(ISNUMBER($K324),IF(ISNUMBER(Parâmetros!$E$4),Parâmetros!$E$4,0),"")</f>
        <v/>
      </c>
      <c r="P324" s="41" t="str">
        <f aca="false">IF(ISNUMBER($K324),$K324-$D324-IF(ISNUMBER($E324),$E324,0)-$L324-$M324-$N324-$O324,"")</f>
        <v/>
      </c>
      <c r="Q324" s="42" t="str">
        <f aca="false">IF(AND(ISNUMBER($K324),$K324&gt;0),$P324/$K324,"")</f>
        <v/>
      </c>
      <c r="R324" s="43"/>
      <c r="S324" s="44" t="str">
        <f aca="false">IF(OR(NOT(ISNUMBER($R324)),$R324=0,NOT(ISNUMBER($K324))),"",$K324*(1-$R324))</f>
        <v/>
      </c>
      <c r="T324" s="45" t="str">
        <f aca="false">IF(ISNUMBER($S324),$S324*$H324,"")</f>
        <v/>
      </c>
      <c r="U324" s="45" t="str">
        <f aca="false">IF(ISNUMBER($S324),$S324*Parâmetros!$B$4,"")</f>
        <v/>
      </c>
      <c r="V324" s="45" t="str">
        <f aca="false">IF(ISNUMBER($S324),$S324*Parâmetros!$C$4,"")</f>
        <v/>
      </c>
      <c r="W324" s="44" t="str">
        <f aca="false">IF(ISNUMBER($S324),$S324-$D324-IF(ISNUMBER($E324),$E324,0)-$O324-$T324-$U324-$V324,"")</f>
        <v/>
      </c>
      <c r="X324" s="46" t="str">
        <f aca="false">IF(AND(ISNUMBER($S324),$S324&gt;0),$W324/$S324,"")</f>
        <v/>
      </c>
      <c r="Y324" s="47"/>
      <c r="Z324" s="19"/>
    </row>
    <row r="325" customFormat="false" ht="15.75" hidden="false" customHeight="true" outlineLevel="0" collapsed="false">
      <c r="A325" s="48" t="str">
        <f aca="false">IF(Produtos!$A325="","",Produtos!$A325)</f>
        <v/>
      </c>
      <c r="B325" s="48" t="str">
        <f aca="false">IF(Produtos!$A325="","",Produtos!$B325)</f>
        <v/>
      </c>
      <c r="C325" s="48" t="str">
        <f aca="false">IF(Produtos!$A325="","",Produtos!$C325)</f>
        <v/>
      </c>
      <c r="D325" s="33" t="str">
        <f aca="false">IF(Produtos!$A325="","",IF(Produtos!$D325="","",Produtos!$D325))</f>
        <v/>
      </c>
      <c r="E325" s="11"/>
      <c r="F325" s="34" t="str">
        <f aca="false">IF($A325="","",IF($C325="","⚠ categoria",IFERROR(INDEX(Parâmetros!$B$13:$B$22,MATCH($C325,Parâmetros!$A$13:$A$22,0)),"⚠ categoria")))</f>
        <v/>
      </c>
      <c r="G325" s="35"/>
      <c r="H325" s="36" t="str">
        <f aca="false">IF($A325="","",IF(ISNUMBER($G325),$G325,IF(ISNUMBER($F325),$F325,"")))</f>
        <v/>
      </c>
      <c r="I325" s="37" t="str">
        <f aca="false">IF(OR($A325="",NOT(ISNUMBER($D325)),NOT(ISNUMBER($H325))),"",IF((1-$H325-Parâmetros!$B$4-Parâmetros!$C$4-Parâmetros!$D$4)&lt;=0,"INVALIDO",($D325+IF(ISNUMBER($E325),$E325,0)+IF(ISNUMBER(Parâmetros!$E$4),Parâmetros!$E$4,0))/(1-$H325-Parâmetros!$B$4-Parâmetros!$C$4-Parâmetros!$D$4)))</f>
        <v/>
      </c>
      <c r="J325" s="38"/>
      <c r="K325" s="39" t="str">
        <f aca="false">IF(OR($A325="",NOT(ISNUMBER($D325)),NOT(ISNUMBER($H325))),"",IF(AND(ISNUMBER($J325),$J325&gt;0),$J325,IF(ISNUMBER($I325),$I325,"")))</f>
        <v/>
      </c>
      <c r="L325" s="40" t="str">
        <f aca="false">IF(ISNUMBER($K325),$K325*$H325,"")</f>
        <v/>
      </c>
      <c r="M325" s="40" t="str">
        <f aca="false">IF(ISNUMBER($K325),$K325*Parâmetros!$B$4,"")</f>
        <v/>
      </c>
      <c r="N325" s="40" t="str">
        <f aca="false">IF(ISNUMBER($K325),$K325*Parâmetros!$C$4,"")</f>
        <v/>
      </c>
      <c r="O325" s="40" t="str">
        <f aca="false">IF(ISNUMBER($K325),IF(ISNUMBER(Parâmetros!$E$4),Parâmetros!$E$4,0),"")</f>
        <v/>
      </c>
      <c r="P325" s="41" t="str">
        <f aca="false">IF(ISNUMBER($K325),$K325-$D325-IF(ISNUMBER($E325),$E325,0)-$L325-$M325-$N325-$O325,"")</f>
        <v/>
      </c>
      <c r="Q325" s="42" t="str">
        <f aca="false">IF(AND(ISNUMBER($K325),$K325&gt;0),$P325/$K325,"")</f>
        <v/>
      </c>
      <c r="R325" s="43"/>
      <c r="S325" s="44" t="str">
        <f aca="false">IF(OR(NOT(ISNUMBER($R325)),$R325=0,NOT(ISNUMBER($K325))),"",$K325*(1-$R325))</f>
        <v/>
      </c>
      <c r="T325" s="45" t="str">
        <f aca="false">IF(ISNUMBER($S325),$S325*$H325,"")</f>
        <v/>
      </c>
      <c r="U325" s="45" t="str">
        <f aca="false">IF(ISNUMBER($S325),$S325*Parâmetros!$B$4,"")</f>
        <v/>
      </c>
      <c r="V325" s="45" t="str">
        <f aca="false">IF(ISNUMBER($S325),$S325*Parâmetros!$C$4,"")</f>
        <v/>
      </c>
      <c r="W325" s="44" t="str">
        <f aca="false">IF(ISNUMBER($S325),$S325-$D325-IF(ISNUMBER($E325),$E325,0)-$O325-$T325-$U325-$V325,"")</f>
        <v/>
      </c>
      <c r="X325" s="46" t="str">
        <f aca="false">IF(AND(ISNUMBER($S325),$S325&gt;0),$W325/$S325,"")</f>
        <v/>
      </c>
      <c r="Y325" s="49"/>
      <c r="Z325" s="21"/>
    </row>
    <row r="326" customFormat="false" ht="15.75" hidden="false" customHeight="true" outlineLevel="0" collapsed="false">
      <c r="A326" s="32" t="str">
        <f aca="false">IF(Produtos!$A326="","",Produtos!$A326)</f>
        <v/>
      </c>
      <c r="B326" s="32" t="str">
        <f aca="false">IF(Produtos!$A326="","",Produtos!$B326)</f>
        <v/>
      </c>
      <c r="C326" s="32" t="str">
        <f aca="false">IF(Produtos!$A326="","",Produtos!$C326)</f>
        <v/>
      </c>
      <c r="D326" s="33" t="str">
        <f aca="false">IF(Produtos!$A326="","",IF(Produtos!$D326="","",Produtos!$D326))</f>
        <v/>
      </c>
      <c r="E326" s="11"/>
      <c r="F326" s="34" t="str">
        <f aca="false">IF($A326="","",IF($C326="","⚠ categoria",IFERROR(INDEX(Parâmetros!$B$13:$B$22,MATCH($C326,Parâmetros!$A$13:$A$22,0)),"⚠ categoria")))</f>
        <v/>
      </c>
      <c r="G326" s="35"/>
      <c r="H326" s="36" t="str">
        <f aca="false">IF($A326="","",IF(ISNUMBER($G326),$G326,IF(ISNUMBER($F326),$F326,"")))</f>
        <v/>
      </c>
      <c r="I326" s="37" t="str">
        <f aca="false">IF(OR($A326="",NOT(ISNUMBER($D326)),NOT(ISNUMBER($H326))),"",IF((1-$H326-Parâmetros!$B$4-Parâmetros!$C$4-Parâmetros!$D$4)&lt;=0,"INVALIDO",($D326+IF(ISNUMBER($E326),$E326,0)+IF(ISNUMBER(Parâmetros!$E$4),Parâmetros!$E$4,0))/(1-$H326-Parâmetros!$B$4-Parâmetros!$C$4-Parâmetros!$D$4)))</f>
        <v/>
      </c>
      <c r="J326" s="38"/>
      <c r="K326" s="39" t="str">
        <f aca="false">IF(OR($A326="",NOT(ISNUMBER($D326)),NOT(ISNUMBER($H326))),"",IF(AND(ISNUMBER($J326),$J326&gt;0),$J326,IF(ISNUMBER($I326),$I326,"")))</f>
        <v/>
      </c>
      <c r="L326" s="40" t="str">
        <f aca="false">IF(ISNUMBER($K326),$K326*$H326,"")</f>
        <v/>
      </c>
      <c r="M326" s="40" t="str">
        <f aca="false">IF(ISNUMBER($K326),$K326*Parâmetros!$B$4,"")</f>
        <v/>
      </c>
      <c r="N326" s="40" t="str">
        <f aca="false">IF(ISNUMBER($K326),$K326*Parâmetros!$C$4,"")</f>
        <v/>
      </c>
      <c r="O326" s="40" t="str">
        <f aca="false">IF(ISNUMBER($K326),IF(ISNUMBER(Parâmetros!$E$4),Parâmetros!$E$4,0),"")</f>
        <v/>
      </c>
      <c r="P326" s="41" t="str">
        <f aca="false">IF(ISNUMBER($K326),$K326-$D326-IF(ISNUMBER($E326),$E326,0)-$L326-$M326-$N326-$O326,"")</f>
        <v/>
      </c>
      <c r="Q326" s="42" t="str">
        <f aca="false">IF(AND(ISNUMBER($K326),$K326&gt;0),$P326/$K326,"")</f>
        <v/>
      </c>
      <c r="R326" s="43"/>
      <c r="S326" s="44" t="str">
        <f aca="false">IF(OR(NOT(ISNUMBER($R326)),$R326=0,NOT(ISNUMBER($K326))),"",$K326*(1-$R326))</f>
        <v/>
      </c>
      <c r="T326" s="45" t="str">
        <f aca="false">IF(ISNUMBER($S326),$S326*$H326,"")</f>
        <v/>
      </c>
      <c r="U326" s="45" t="str">
        <f aca="false">IF(ISNUMBER($S326),$S326*Parâmetros!$B$4,"")</f>
        <v/>
      </c>
      <c r="V326" s="45" t="str">
        <f aca="false">IF(ISNUMBER($S326),$S326*Parâmetros!$C$4,"")</f>
        <v/>
      </c>
      <c r="W326" s="44" t="str">
        <f aca="false">IF(ISNUMBER($S326),$S326-$D326-IF(ISNUMBER($E326),$E326,0)-$O326-$T326-$U326-$V326,"")</f>
        <v/>
      </c>
      <c r="X326" s="46" t="str">
        <f aca="false">IF(AND(ISNUMBER($S326),$S326&gt;0),$W326/$S326,"")</f>
        <v/>
      </c>
      <c r="Y326" s="47"/>
      <c r="Z326" s="19"/>
    </row>
    <row r="327" customFormat="false" ht="15.75" hidden="false" customHeight="true" outlineLevel="0" collapsed="false">
      <c r="A327" s="48" t="str">
        <f aca="false">IF(Produtos!$A327="","",Produtos!$A327)</f>
        <v/>
      </c>
      <c r="B327" s="48" t="str">
        <f aca="false">IF(Produtos!$A327="","",Produtos!$B327)</f>
        <v/>
      </c>
      <c r="C327" s="48" t="str">
        <f aca="false">IF(Produtos!$A327="","",Produtos!$C327)</f>
        <v/>
      </c>
      <c r="D327" s="33" t="str">
        <f aca="false">IF(Produtos!$A327="","",IF(Produtos!$D327="","",Produtos!$D327))</f>
        <v/>
      </c>
      <c r="E327" s="11"/>
      <c r="F327" s="34" t="str">
        <f aca="false">IF($A327="","",IF($C327="","⚠ categoria",IFERROR(INDEX(Parâmetros!$B$13:$B$22,MATCH($C327,Parâmetros!$A$13:$A$22,0)),"⚠ categoria")))</f>
        <v/>
      </c>
      <c r="G327" s="35"/>
      <c r="H327" s="36" t="str">
        <f aca="false">IF($A327="","",IF(ISNUMBER($G327),$G327,IF(ISNUMBER($F327),$F327,"")))</f>
        <v/>
      </c>
      <c r="I327" s="37" t="str">
        <f aca="false">IF(OR($A327="",NOT(ISNUMBER($D327)),NOT(ISNUMBER($H327))),"",IF((1-$H327-Parâmetros!$B$4-Parâmetros!$C$4-Parâmetros!$D$4)&lt;=0,"INVALIDO",($D327+IF(ISNUMBER($E327),$E327,0)+IF(ISNUMBER(Parâmetros!$E$4),Parâmetros!$E$4,0))/(1-$H327-Parâmetros!$B$4-Parâmetros!$C$4-Parâmetros!$D$4)))</f>
        <v/>
      </c>
      <c r="J327" s="38"/>
      <c r="K327" s="39" t="str">
        <f aca="false">IF(OR($A327="",NOT(ISNUMBER($D327)),NOT(ISNUMBER($H327))),"",IF(AND(ISNUMBER($J327),$J327&gt;0),$J327,IF(ISNUMBER($I327),$I327,"")))</f>
        <v/>
      </c>
      <c r="L327" s="40" t="str">
        <f aca="false">IF(ISNUMBER($K327),$K327*$H327,"")</f>
        <v/>
      </c>
      <c r="M327" s="40" t="str">
        <f aca="false">IF(ISNUMBER($K327),$K327*Parâmetros!$B$4,"")</f>
        <v/>
      </c>
      <c r="N327" s="40" t="str">
        <f aca="false">IF(ISNUMBER($K327),$K327*Parâmetros!$C$4,"")</f>
        <v/>
      </c>
      <c r="O327" s="40" t="str">
        <f aca="false">IF(ISNUMBER($K327),IF(ISNUMBER(Parâmetros!$E$4),Parâmetros!$E$4,0),"")</f>
        <v/>
      </c>
      <c r="P327" s="41" t="str">
        <f aca="false">IF(ISNUMBER($K327),$K327-$D327-IF(ISNUMBER($E327),$E327,0)-$L327-$M327-$N327-$O327,"")</f>
        <v/>
      </c>
      <c r="Q327" s="42" t="str">
        <f aca="false">IF(AND(ISNUMBER($K327),$K327&gt;0),$P327/$K327,"")</f>
        <v/>
      </c>
      <c r="R327" s="43"/>
      <c r="S327" s="44" t="str">
        <f aca="false">IF(OR(NOT(ISNUMBER($R327)),$R327=0,NOT(ISNUMBER($K327))),"",$K327*(1-$R327))</f>
        <v/>
      </c>
      <c r="T327" s="45" t="str">
        <f aca="false">IF(ISNUMBER($S327),$S327*$H327,"")</f>
        <v/>
      </c>
      <c r="U327" s="45" t="str">
        <f aca="false">IF(ISNUMBER($S327),$S327*Parâmetros!$B$4,"")</f>
        <v/>
      </c>
      <c r="V327" s="45" t="str">
        <f aca="false">IF(ISNUMBER($S327),$S327*Parâmetros!$C$4,"")</f>
        <v/>
      </c>
      <c r="W327" s="44" t="str">
        <f aca="false">IF(ISNUMBER($S327),$S327-$D327-IF(ISNUMBER($E327),$E327,0)-$O327-$T327-$U327-$V327,"")</f>
        <v/>
      </c>
      <c r="X327" s="46" t="str">
        <f aca="false">IF(AND(ISNUMBER($S327),$S327&gt;0),$W327/$S327,"")</f>
        <v/>
      </c>
      <c r="Y327" s="49"/>
      <c r="Z327" s="21"/>
    </row>
    <row r="328" customFormat="false" ht="15.75" hidden="false" customHeight="true" outlineLevel="0" collapsed="false">
      <c r="A328" s="32" t="str">
        <f aca="false">IF(Produtos!$A328="","",Produtos!$A328)</f>
        <v/>
      </c>
      <c r="B328" s="32" t="str">
        <f aca="false">IF(Produtos!$A328="","",Produtos!$B328)</f>
        <v/>
      </c>
      <c r="C328" s="32" t="str">
        <f aca="false">IF(Produtos!$A328="","",Produtos!$C328)</f>
        <v/>
      </c>
      <c r="D328" s="33" t="str">
        <f aca="false">IF(Produtos!$A328="","",IF(Produtos!$D328="","",Produtos!$D328))</f>
        <v/>
      </c>
      <c r="E328" s="11"/>
      <c r="F328" s="34" t="str">
        <f aca="false">IF($A328="","",IF($C328="","⚠ categoria",IFERROR(INDEX(Parâmetros!$B$13:$B$22,MATCH($C328,Parâmetros!$A$13:$A$22,0)),"⚠ categoria")))</f>
        <v/>
      </c>
      <c r="G328" s="35"/>
      <c r="H328" s="36" t="str">
        <f aca="false">IF($A328="","",IF(ISNUMBER($G328),$G328,IF(ISNUMBER($F328),$F328,"")))</f>
        <v/>
      </c>
      <c r="I328" s="37" t="str">
        <f aca="false">IF(OR($A328="",NOT(ISNUMBER($D328)),NOT(ISNUMBER($H328))),"",IF((1-$H328-Parâmetros!$B$4-Parâmetros!$C$4-Parâmetros!$D$4)&lt;=0,"INVALIDO",($D328+IF(ISNUMBER($E328),$E328,0)+IF(ISNUMBER(Parâmetros!$E$4),Parâmetros!$E$4,0))/(1-$H328-Parâmetros!$B$4-Parâmetros!$C$4-Parâmetros!$D$4)))</f>
        <v/>
      </c>
      <c r="J328" s="38"/>
      <c r="K328" s="39" t="str">
        <f aca="false">IF(OR($A328="",NOT(ISNUMBER($D328)),NOT(ISNUMBER($H328))),"",IF(AND(ISNUMBER($J328),$J328&gt;0),$J328,IF(ISNUMBER($I328),$I328,"")))</f>
        <v/>
      </c>
      <c r="L328" s="40" t="str">
        <f aca="false">IF(ISNUMBER($K328),$K328*$H328,"")</f>
        <v/>
      </c>
      <c r="M328" s="40" t="str">
        <f aca="false">IF(ISNUMBER($K328),$K328*Parâmetros!$B$4,"")</f>
        <v/>
      </c>
      <c r="N328" s="40" t="str">
        <f aca="false">IF(ISNUMBER($K328),$K328*Parâmetros!$C$4,"")</f>
        <v/>
      </c>
      <c r="O328" s="40" t="str">
        <f aca="false">IF(ISNUMBER($K328),IF(ISNUMBER(Parâmetros!$E$4),Parâmetros!$E$4,0),"")</f>
        <v/>
      </c>
      <c r="P328" s="41" t="str">
        <f aca="false">IF(ISNUMBER($K328),$K328-$D328-IF(ISNUMBER($E328),$E328,0)-$L328-$M328-$N328-$O328,"")</f>
        <v/>
      </c>
      <c r="Q328" s="42" t="str">
        <f aca="false">IF(AND(ISNUMBER($K328),$K328&gt;0),$P328/$K328,"")</f>
        <v/>
      </c>
      <c r="R328" s="43"/>
      <c r="S328" s="44" t="str">
        <f aca="false">IF(OR(NOT(ISNUMBER($R328)),$R328=0,NOT(ISNUMBER($K328))),"",$K328*(1-$R328))</f>
        <v/>
      </c>
      <c r="T328" s="45" t="str">
        <f aca="false">IF(ISNUMBER($S328),$S328*$H328,"")</f>
        <v/>
      </c>
      <c r="U328" s="45" t="str">
        <f aca="false">IF(ISNUMBER($S328),$S328*Parâmetros!$B$4,"")</f>
        <v/>
      </c>
      <c r="V328" s="45" t="str">
        <f aca="false">IF(ISNUMBER($S328),$S328*Parâmetros!$C$4,"")</f>
        <v/>
      </c>
      <c r="W328" s="44" t="str">
        <f aca="false">IF(ISNUMBER($S328),$S328-$D328-IF(ISNUMBER($E328),$E328,0)-$O328-$T328-$U328-$V328,"")</f>
        <v/>
      </c>
      <c r="X328" s="46" t="str">
        <f aca="false">IF(AND(ISNUMBER($S328),$S328&gt;0),$W328/$S328,"")</f>
        <v/>
      </c>
      <c r="Y328" s="47"/>
      <c r="Z328" s="19"/>
    </row>
    <row r="329" customFormat="false" ht="15.75" hidden="false" customHeight="true" outlineLevel="0" collapsed="false">
      <c r="A329" s="48" t="str">
        <f aca="false">IF(Produtos!$A329="","",Produtos!$A329)</f>
        <v/>
      </c>
      <c r="B329" s="48" t="str">
        <f aca="false">IF(Produtos!$A329="","",Produtos!$B329)</f>
        <v/>
      </c>
      <c r="C329" s="48" t="str">
        <f aca="false">IF(Produtos!$A329="","",Produtos!$C329)</f>
        <v/>
      </c>
      <c r="D329" s="33" t="str">
        <f aca="false">IF(Produtos!$A329="","",IF(Produtos!$D329="","",Produtos!$D329))</f>
        <v/>
      </c>
      <c r="E329" s="11"/>
      <c r="F329" s="34" t="str">
        <f aca="false">IF($A329="","",IF($C329="","⚠ categoria",IFERROR(INDEX(Parâmetros!$B$13:$B$22,MATCH($C329,Parâmetros!$A$13:$A$22,0)),"⚠ categoria")))</f>
        <v/>
      </c>
      <c r="G329" s="35"/>
      <c r="H329" s="36" t="str">
        <f aca="false">IF($A329="","",IF(ISNUMBER($G329),$G329,IF(ISNUMBER($F329),$F329,"")))</f>
        <v/>
      </c>
      <c r="I329" s="37" t="str">
        <f aca="false">IF(OR($A329="",NOT(ISNUMBER($D329)),NOT(ISNUMBER($H329))),"",IF((1-$H329-Parâmetros!$B$4-Parâmetros!$C$4-Parâmetros!$D$4)&lt;=0,"INVALIDO",($D329+IF(ISNUMBER($E329),$E329,0)+IF(ISNUMBER(Parâmetros!$E$4),Parâmetros!$E$4,0))/(1-$H329-Parâmetros!$B$4-Parâmetros!$C$4-Parâmetros!$D$4)))</f>
        <v/>
      </c>
      <c r="J329" s="38"/>
      <c r="K329" s="39" t="str">
        <f aca="false">IF(OR($A329="",NOT(ISNUMBER($D329)),NOT(ISNUMBER($H329))),"",IF(AND(ISNUMBER($J329),$J329&gt;0),$J329,IF(ISNUMBER($I329),$I329,"")))</f>
        <v/>
      </c>
      <c r="L329" s="40" t="str">
        <f aca="false">IF(ISNUMBER($K329),$K329*$H329,"")</f>
        <v/>
      </c>
      <c r="M329" s="40" t="str">
        <f aca="false">IF(ISNUMBER($K329),$K329*Parâmetros!$B$4,"")</f>
        <v/>
      </c>
      <c r="N329" s="40" t="str">
        <f aca="false">IF(ISNUMBER($K329),$K329*Parâmetros!$C$4,"")</f>
        <v/>
      </c>
      <c r="O329" s="40" t="str">
        <f aca="false">IF(ISNUMBER($K329),IF(ISNUMBER(Parâmetros!$E$4),Parâmetros!$E$4,0),"")</f>
        <v/>
      </c>
      <c r="P329" s="41" t="str">
        <f aca="false">IF(ISNUMBER($K329),$K329-$D329-IF(ISNUMBER($E329),$E329,0)-$L329-$M329-$N329-$O329,"")</f>
        <v/>
      </c>
      <c r="Q329" s="42" t="str">
        <f aca="false">IF(AND(ISNUMBER($K329),$K329&gt;0),$P329/$K329,"")</f>
        <v/>
      </c>
      <c r="R329" s="43"/>
      <c r="S329" s="44" t="str">
        <f aca="false">IF(OR(NOT(ISNUMBER($R329)),$R329=0,NOT(ISNUMBER($K329))),"",$K329*(1-$R329))</f>
        <v/>
      </c>
      <c r="T329" s="45" t="str">
        <f aca="false">IF(ISNUMBER($S329),$S329*$H329,"")</f>
        <v/>
      </c>
      <c r="U329" s="45" t="str">
        <f aca="false">IF(ISNUMBER($S329),$S329*Parâmetros!$B$4,"")</f>
        <v/>
      </c>
      <c r="V329" s="45" t="str">
        <f aca="false">IF(ISNUMBER($S329),$S329*Parâmetros!$C$4,"")</f>
        <v/>
      </c>
      <c r="W329" s="44" t="str">
        <f aca="false">IF(ISNUMBER($S329),$S329-$D329-IF(ISNUMBER($E329),$E329,0)-$O329-$T329-$U329-$V329,"")</f>
        <v/>
      </c>
      <c r="X329" s="46" t="str">
        <f aca="false">IF(AND(ISNUMBER($S329),$S329&gt;0),$W329/$S329,"")</f>
        <v/>
      </c>
      <c r="Y329" s="49"/>
      <c r="Z329" s="21"/>
    </row>
    <row r="330" customFormat="false" ht="15.75" hidden="false" customHeight="true" outlineLevel="0" collapsed="false">
      <c r="A330" s="32" t="str">
        <f aca="false">IF(Produtos!$A330="","",Produtos!$A330)</f>
        <v/>
      </c>
      <c r="B330" s="32" t="str">
        <f aca="false">IF(Produtos!$A330="","",Produtos!$B330)</f>
        <v/>
      </c>
      <c r="C330" s="32" t="str">
        <f aca="false">IF(Produtos!$A330="","",Produtos!$C330)</f>
        <v/>
      </c>
      <c r="D330" s="33" t="str">
        <f aca="false">IF(Produtos!$A330="","",IF(Produtos!$D330="","",Produtos!$D330))</f>
        <v/>
      </c>
      <c r="E330" s="11"/>
      <c r="F330" s="34" t="str">
        <f aca="false">IF($A330="","",IF($C330="","⚠ categoria",IFERROR(INDEX(Parâmetros!$B$13:$B$22,MATCH($C330,Parâmetros!$A$13:$A$22,0)),"⚠ categoria")))</f>
        <v/>
      </c>
      <c r="G330" s="35"/>
      <c r="H330" s="36" t="str">
        <f aca="false">IF($A330="","",IF(ISNUMBER($G330),$G330,IF(ISNUMBER($F330),$F330,"")))</f>
        <v/>
      </c>
      <c r="I330" s="37" t="str">
        <f aca="false">IF(OR($A330="",NOT(ISNUMBER($D330)),NOT(ISNUMBER($H330))),"",IF((1-$H330-Parâmetros!$B$4-Parâmetros!$C$4-Parâmetros!$D$4)&lt;=0,"INVALIDO",($D330+IF(ISNUMBER($E330),$E330,0)+IF(ISNUMBER(Parâmetros!$E$4),Parâmetros!$E$4,0))/(1-$H330-Parâmetros!$B$4-Parâmetros!$C$4-Parâmetros!$D$4)))</f>
        <v/>
      </c>
      <c r="J330" s="38"/>
      <c r="K330" s="39" t="str">
        <f aca="false">IF(OR($A330="",NOT(ISNUMBER($D330)),NOT(ISNUMBER($H330))),"",IF(AND(ISNUMBER($J330),$J330&gt;0),$J330,IF(ISNUMBER($I330),$I330,"")))</f>
        <v/>
      </c>
      <c r="L330" s="40" t="str">
        <f aca="false">IF(ISNUMBER($K330),$K330*$H330,"")</f>
        <v/>
      </c>
      <c r="M330" s="40" t="str">
        <f aca="false">IF(ISNUMBER($K330),$K330*Parâmetros!$B$4,"")</f>
        <v/>
      </c>
      <c r="N330" s="40" t="str">
        <f aca="false">IF(ISNUMBER($K330),$K330*Parâmetros!$C$4,"")</f>
        <v/>
      </c>
      <c r="O330" s="40" t="str">
        <f aca="false">IF(ISNUMBER($K330),IF(ISNUMBER(Parâmetros!$E$4),Parâmetros!$E$4,0),"")</f>
        <v/>
      </c>
      <c r="P330" s="41" t="str">
        <f aca="false">IF(ISNUMBER($K330),$K330-$D330-IF(ISNUMBER($E330),$E330,0)-$L330-$M330-$N330-$O330,"")</f>
        <v/>
      </c>
      <c r="Q330" s="42" t="str">
        <f aca="false">IF(AND(ISNUMBER($K330),$K330&gt;0),$P330/$K330,"")</f>
        <v/>
      </c>
      <c r="R330" s="43"/>
      <c r="S330" s="44" t="str">
        <f aca="false">IF(OR(NOT(ISNUMBER($R330)),$R330=0,NOT(ISNUMBER($K330))),"",$K330*(1-$R330))</f>
        <v/>
      </c>
      <c r="T330" s="45" t="str">
        <f aca="false">IF(ISNUMBER($S330),$S330*$H330,"")</f>
        <v/>
      </c>
      <c r="U330" s="45" t="str">
        <f aca="false">IF(ISNUMBER($S330),$S330*Parâmetros!$B$4,"")</f>
        <v/>
      </c>
      <c r="V330" s="45" t="str">
        <f aca="false">IF(ISNUMBER($S330),$S330*Parâmetros!$C$4,"")</f>
        <v/>
      </c>
      <c r="W330" s="44" t="str">
        <f aca="false">IF(ISNUMBER($S330),$S330-$D330-IF(ISNUMBER($E330),$E330,0)-$O330-$T330-$U330-$V330,"")</f>
        <v/>
      </c>
      <c r="X330" s="46" t="str">
        <f aca="false">IF(AND(ISNUMBER($S330),$S330&gt;0),$W330/$S330,"")</f>
        <v/>
      </c>
      <c r="Y330" s="47"/>
      <c r="Z330" s="19"/>
    </row>
    <row r="331" customFormat="false" ht="15.75" hidden="false" customHeight="true" outlineLevel="0" collapsed="false">
      <c r="A331" s="48" t="str">
        <f aca="false">IF(Produtos!$A331="","",Produtos!$A331)</f>
        <v/>
      </c>
      <c r="B331" s="48" t="str">
        <f aca="false">IF(Produtos!$A331="","",Produtos!$B331)</f>
        <v/>
      </c>
      <c r="C331" s="48" t="str">
        <f aca="false">IF(Produtos!$A331="","",Produtos!$C331)</f>
        <v/>
      </c>
      <c r="D331" s="33" t="str">
        <f aca="false">IF(Produtos!$A331="","",IF(Produtos!$D331="","",Produtos!$D331))</f>
        <v/>
      </c>
      <c r="E331" s="11"/>
      <c r="F331" s="34" t="str">
        <f aca="false">IF($A331="","",IF($C331="","⚠ categoria",IFERROR(INDEX(Parâmetros!$B$13:$B$22,MATCH($C331,Parâmetros!$A$13:$A$22,0)),"⚠ categoria")))</f>
        <v/>
      </c>
      <c r="G331" s="35"/>
      <c r="H331" s="36" t="str">
        <f aca="false">IF($A331="","",IF(ISNUMBER($G331),$G331,IF(ISNUMBER($F331),$F331,"")))</f>
        <v/>
      </c>
      <c r="I331" s="37" t="str">
        <f aca="false">IF(OR($A331="",NOT(ISNUMBER($D331)),NOT(ISNUMBER($H331))),"",IF((1-$H331-Parâmetros!$B$4-Parâmetros!$C$4-Parâmetros!$D$4)&lt;=0,"INVALIDO",($D331+IF(ISNUMBER($E331),$E331,0)+IF(ISNUMBER(Parâmetros!$E$4),Parâmetros!$E$4,0))/(1-$H331-Parâmetros!$B$4-Parâmetros!$C$4-Parâmetros!$D$4)))</f>
        <v/>
      </c>
      <c r="J331" s="38"/>
      <c r="K331" s="39" t="str">
        <f aca="false">IF(OR($A331="",NOT(ISNUMBER($D331)),NOT(ISNUMBER($H331))),"",IF(AND(ISNUMBER($J331),$J331&gt;0),$J331,IF(ISNUMBER($I331),$I331,"")))</f>
        <v/>
      </c>
      <c r="L331" s="40" t="str">
        <f aca="false">IF(ISNUMBER($K331),$K331*$H331,"")</f>
        <v/>
      </c>
      <c r="M331" s="40" t="str">
        <f aca="false">IF(ISNUMBER($K331),$K331*Parâmetros!$B$4,"")</f>
        <v/>
      </c>
      <c r="N331" s="40" t="str">
        <f aca="false">IF(ISNUMBER($K331),$K331*Parâmetros!$C$4,"")</f>
        <v/>
      </c>
      <c r="O331" s="40" t="str">
        <f aca="false">IF(ISNUMBER($K331),IF(ISNUMBER(Parâmetros!$E$4),Parâmetros!$E$4,0),"")</f>
        <v/>
      </c>
      <c r="P331" s="41" t="str">
        <f aca="false">IF(ISNUMBER($K331),$K331-$D331-IF(ISNUMBER($E331),$E331,0)-$L331-$M331-$N331-$O331,"")</f>
        <v/>
      </c>
      <c r="Q331" s="42" t="str">
        <f aca="false">IF(AND(ISNUMBER($K331),$K331&gt;0),$P331/$K331,"")</f>
        <v/>
      </c>
      <c r="R331" s="43"/>
      <c r="S331" s="44" t="str">
        <f aca="false">IF(OR(NOT(ISNUMBER($R331)),$R331=0,NOT(ISNUMBER($K331))),"",$K331*(1-$R331))</f>
        <v/>
      </c>
      <c r="T331" s="45" t="str">
        <f aca="false">IF(ISNUMBER($S331),$S331*$H331,"")</f>
        <v/>
      </c>
      <c r="U331" s="45" t="str">
        <f aca="false">IF(ISNUMBER($S331),$S331*Parâmetros!$B$4,"")</f>
        <v/>
      </c>
      <c r="V331" s="45" t="str">
        <f aca="false">IF(ISNUMBER($S331),$S331*Parâmetros!$C$4,"")</f>
        <v/>
      </c>
      <c r="W331" s="44" t="str">
        <f aca="false">IF(ISNUMBER($S331),$S331-$D331-IF(ISNUMBER($E331),$E331,0)-$O331-$T331-$U331-$V331,"")</f>
        <v/>
      </c>
      <c r="X331" s="46" t="str">
        <f aca="false">IF(AND(ISNUMBER($S331),$S331&gt;0),$W331/$S331,"")</f>
        <v/>
      </c>
      <c r="Y331" s="49"/>
      <c r="Z331" s="21"/>
    </row>
    <row r="332" customFormat="false" ht="15.75" hidden="false" customHeight="true" outlineLevel="0" collapsed="false">
      <c r="A332" s="32" t="str">
        <f aca="false">IF(Produtos!$A332="","",Produtos!$A332)</f>
        <v/>
      </c>
      <c r="B332" s="32" t="str">
        <f aca="false">IF(Produtos!$A332="","",Produtos!$B332)</f>
        <v/>
      </c>
      <c r="C332" s="32" t="str">
        <f aca="false">IF(Produtos!$A332="","",Produtos!$C332)</f>
        <v/>
      </c>
      <c r="D332" s="33" t="str">
        <f aca="false">IF(Produtos!$A332="","",IF(Produtos!$D332="","",Produtos!$D332))</f>
        <v/>
      </c>
      <c r="E332" s="11"/>
      <c r="F332" s="34" t="str">
        <f aca="false">IF($A332="","",IF($C332="","⚠ categoria",IFERROR(INDEX(Parâmetros!$B$13:$B$22,MATCH($C332,Parâmetros!$A$13:$A$22,0)),"⚠ categoria")))</f>
        <v/>
      </c>
      <c r="G332" s="35"/>
      <c r="H332" s="36" t="str">
        <f aca="false">IF($A332="","",IF(ISNUMBER($G332),$G332,IF(ISNUMBER($F332),$F332,"")))</f>
        <v/>
      </c>
      <c r="I332" s="37" t="str">
        <f aca="false">IF(OR($A332="",NOT(ISNUMBER($D332)),NOT(ISNUMBER($H332))),"",IF((1-$H332-Parâmetros!$B$4-Parâmetros!$C$4-Parâmetros!$D$4)&lt;=0,"INVALIDO",($D332+IF(ISNUMBER($E332),$E332,0)+IF(ISNUMBER(Parâmetros!$E$4),Parâmetros!$E$4,0))/(1-$H332-Parâmetros!$B$4-Parâmetros!$C$4-Parâmetros!$D$4)))</f>
        <v/>
      </c>
      <c r="J332" s="38"/>
      <c r="K332" s="39" t="str">
        <f aca="false">IF(OR($A332="",NOT(ISNUMBER($D332)),NOT(ISNUMBER($H332))),"",IF(AND(ISNUMBER($J332),$J332&gt;0),$J332,IF(ISNUMBER($I332),$I332,"")))</f>
        <v/>
      </c>
      <c r="L332" s="40" t="str">
        <f aca="false">IF(ISNUMBER($K332),$K332*$H332,"")</f>
        <v/>
      </c>
      <c r="M332" s="40" t="str">
        <f aca="false">IF(ISNUMBER($K332),$K332*Parâmetros!$B$4,"")</f>
        <v/>
      </c>
      <c r="N332" s="40" t="str">
        <f aca="false">IF(ISNUMBER($K332),$K332*Parâmetros!$C$4,"")</f>
        <v/>
      </c>
      <c r="O332" s="40" t="str">
        <f aca="false">IF(ISNUMBER($K332),IF(ISNUMBER(Parâmetros!$E$4),Parâmetros!$E$4,0),"")</f>
        <v/>
      </c>
      <c r="P332" s="41" t="str">
        <f aca="false">IF(ISNUMBER($K332),$K332-$D332-IF(ISNUMBER($E332),$E332,0)-$L332-$M332-$N332-$O332,"")</f>
        <v/>
      </c>
      <c r="Q332" s="42" t="str">
        <f aca="false">IF(AND(ISNUMBER($K332),$K332&gt;0),$P332/$K332,"")</f>
        <v/>
      </c>
      <c r="R332" s="43"/>
      <c r="S332" s="44" t="str">
        <f aca="false">IF(OR(NOT(ISNUMBER($R332)),$R332=0,NOT(ISNUMBER($K332))),"",$K332*(1-$R332))</f>
        <v/>
      </c>
      <c r="T332" s="45" t="str">
        <f aca="false">IF(ISNUMBER($S332),$S332*$H332,"")</f>
        <v/>
      </c>
      <c r="U332" s="45" t="str">
        <f aca="false">IF(ISNUMBER($S332),$S332*Parâmetros!$B$4,"")</f>
        <v/>
      </c>
      <c r="V332" s="45" t="str">
        <f aca="false">IF(ISNUMBER($S332),$S332*Parâmetros!$C$4,"")</f>
        <v/>
      </c>
      <c r="W332" s="44" t="str">
        <f aca="false">IF(ISNUMBER($S332),$S332-$D332-IF(ISNUMBER($E332),$E332,0)-$O332-$T332-$U332-$V332,"")</f>
        <v/>
      </c>
      <c r="X332" s="46" t="str">
        <f aca="false">IF(AND(ISNUMBER($S332),$S332&gt;0),$W332/$S332,"")</f>
        <v/>
      </c>
      <c r="Y332" s="47"/>
      <c r="Z332" s="19"/>
    </row>
    <row r="333" customFormat="false" ht="15.75" hidden="false" customHeight="true" outlineLevel="0" collapsed="false">
      <c r="A333" s="48" t="str">
        <f aca="false">IF(Produtos!$A333="","",Produtos!$A333)</f>
        <v/>
      </c>
      <c r="B333" s="48" t="str">
        <f aca="false">IF(Produtos!$A333="","",Produtos!$B333)</f>
        <v/>
      </c>
      <c r="C333" s="48" t="str">
        <f aca="false">IF(Produtos!$A333="","",Produtos!$C333)</f>
        <v/>
      </c>
      <c r="D333" s="33" t="str">
        <f aca="false">IF(Produtos!$A333="","",IF(Produtos!$D333="","",Produtos!$D333))</f>
        <v/>
      </c>
      <c r="E333" s="11"/>
      <c r="F333" s="34" t="str">
        <f aca="false">IF($A333="","",IF($C333="","⚠ categoria",IFERROR(INDEX(Parâmetros!$B$13:$B$22,MATCH($C333,Parâmetros!$A$13:$A$22,0)),"⚠ categoria")))</f>
        <v/>
      </c>
      <c r="G333" s="35"/>
      <c r="H333" s="36" t="str">
        <f aca="false">IF($A333="","",IF(ISNUMBER($G333),$G333,IF(ISNUMBER($F333),$F333,"")))</f>
        <v/>
      </c>
      <c r="I333" s="37" t="str">
        <f aca="false">IF(OR($A333="",NOT(ISNUMBER($D333)),NOT(ISNUMBER($H333))),"",IF((1-$H333-Parâmetros!$B$4-Parâmetros!$C$4-Parâmetros!$D$4)&lt;=0,"INVALIDO",($D333+IF(ISNUMBER($E333),$E333,0)+IF(ISNUMBER(Parâmetros!$E$4),Parâmetros!$E$4,0))/(1-$H333-Parâmetros!$B$4-Parâmetros!$C$4-Parâmetros!$D$4)))</f>
        <v/>
      </c>
      <c r="J333" s="38"/>
      <c r="K333" s="39" t="str">
        <f aca="false">IF(OR($A333="",NOT(ISNUMBER($D333)),NOT(ISNUMBER($H333))),"",IF(AND(ISNUMBER($J333),$J333&gt;0),$J333,IF(ISNUMBER($I333),$I333,"")))</f>
        <v/>
      </c>
      <c r="L333" s="40" t="str">
        <f aca="false">IF(ISNUMBER($K333),$K333*$H333,"")</f>
        <v/>
      </c>
      <c r="M333" s="40" t="str">
        <f aca="false">IF(ISNUMBER($K333),$K333*Parâmetros!$B$4,"")</f>
        <v/>
      </c>
      <c r="N333" s="40" t="str">
        <f aca="false">IF(ISNUMBER($K333),$K333*Parâmetros!$C$4,"")</f>
        <v/>
      </c>
      <c r="O333" s="40" t="str">
        <f aca="false">IF(ISNUMBER($K333),IF(ISNUMBER(Parâmetros!$E$4),Parâmetros!$E$4,0),"")</f>
        <v/>
      </c>
      <c r="P333" s="41" t="str">
        <f aca="false">IF(ISNUMBER($K333),$K333-$D333-IF(ISNUMBER($E333),$E333,0)-$L333-$M333-$N333-$O333,"")</f>
        <v/>
      </c>
      <c r="Q333" s="42" t="str">
        <f aca="false">IF(AND(ISNUMBER($K333),$K333&gt;0),$P333/$K333,"")</f>
        <v/>
      </c>
      <c r="R333" s="43"/>
      <c r="S333" s="44" t="str">
        <f aca="false">IF(OR(NOT(ISNUMBER($R333)),$R333=0,NOT(ISNUMBER($K333))),"",$K333*(1-$R333))</f>
        <v/>
      </c>
      <c r="T333" s="45" t="str">
        <f aca="false">IF(ISNUMBER($S333),$S333*$H333,"")</f>
        <v/>
      </c>
      <c r="U333" s="45" t="str">
        <f aca="false">IF(ISNUMBER($S333),$S333*Parâmetros!$B$4,"")</f>
        <v/>
      </c>
      <c r="V333" s="45" t="str">
        <f aca="false">IF(ISNUMBER($S333),$S333*Parâmetros!$C$4,"")</f>
        <v/>
      </c>
      <c r="W333" s="44" t="str">
        <f aca="false">IF(ISNUMBER($S333),$S333-$D333-IF(ISNUMBER($E333),$E333,0)-$O333-$T333-$U333-$V333,"")</f>
        <v/>
      </c>
      <c r="X333" s="46" t="str">
        <f aca="false">IF(AND(ISNUMBER($S333),$S333&gt;0),$W333/$S333,"")</f>
        <v/>
      </c>
      <c r="Y333" s="49"/>
      <c r="Z333" s="21"/>
    </row>
    <row r="334" customFormat="false" ht="15.75" hidden="false" customHeight="true" outlineLevel="0" collapsed="false">
      <c r="A334" s="32" t="str">
        <f aca="false">IF(Produtos!$A334="","",Produtos!$A334)</f>
        <v/>
      </c>
      <c r="B334" s="32" t="str">
        <f aca="false">IF(Produtos!$A334="","",Produtos!$B334)</f>
        <v/>
      </c>
      <c r="C334" s="32" t="str">
        <f aca="false">IF(Produtos!$A334="","",Produtos!$C334)</f>
        <v/>
      </c>
      <c r="D334" s="33" t="str">
        <f aca="false">IF(Produtos!$A334="","",IF(Produtos!$D334="","",Produtos!$D334))</f>
        <v/>
      </c>
      <c r="E334" s="11"/>
      <c r="F334" s="34" t="str">
        <f aca="false">IF($A334="","",IF($C334="","⚠ categoria",IFERROR(INDEX(Parâmetros!$B$13:$B$22,MATCH($C334,Parâmetros!$A$13:$A$22,0)),"⚠ categoria")))</f>
        <v/>
      </c>
      <c r="G334" s="35"/>
      <c r="H334" s="36" t="str">
        <f aca="false">IF($A334="","",IF(ISNUMBER($G334),$G334,IF(ISNUMBER($F334),$F334,"")))</f>
        <v/>
      </c>
      <c r="I334" s="37" t="str">
        <f aca="false">IF(OR($A334="",NOT(ISNUMBER($D334)),NOT(ISNUMBER($H334))),"",IF((1-$H334-Parâmetros!$B$4-Parâmetros!$C$4-Parâmetros!$D$4)&lt;=0,"INVALIDO",($D334+IF(ISNUMBER($E334),$E334,0)+IF(ISNUMBER(Parâmetros!$E$4),Parâmetros!$E$4,0))/(1-$H334-Parâmetros!$B$4-Parâmetros!$C$4-Parâmetros!$D$4)))</f>
        <v/>
      </c>
      <c r="J334" s="38"/>
      <c r="K334" s="39" t="str">
        <f aca="false">IF(OR($A334="",NOT(ISNUMBER($D334)),NOT(ISNUMBER($H334))),"",IF(AND(ISNUMBER($J334),$J334&gt;0),$J334,IF(ISNUMBER($I334),$I334,"")))</f>
        <v/>
      </c>
      <c r="L334" s="40" t="str">
        <f aca="false">IF(ISNUMBER($K334),$K334*$H334,"")</f>
        <v/>
      </c>
      <c r="M334" s="40" t="str">
        <f aca="false">IF(ISNUMBER($K334),$K334*Parâmetros!$B$4,"")</f>
        <v/>
      </c>
      <c r="N334" s="40" t="str">
        <f aca="false">IF(ISNUMBER($K334),$K334*Parâmetros!$C$4,"")</f>
        <v/>
      </c>
      <c r="O334" s="40" t="str">
        <f aca="false">IF(ISNUMBER($K334),IF(ISNUMBER(Parâmetros!$E$4),Parâmetros!$E$4,0),"")</f>
        <v/>
      </c>
      <c r="P334" s="41" t="str">
        <f aca="false">IF(ISNUMBER($K334),$K334-$D334-IF(ISNUMBER($E334),$E334,0)-$L334-$M334-$N334-$O334,"")</f>
        <v/>
      </c>
      <c r="Q334" s="42" t="str">
        <f aca="false">IF(AND(ISNUMBER($K334),$K334&gt;0),$P334/$K334,"")</f>
        <v/>
      </c>
      <c r="R334" s="43"/>
      <c r="S334" s="44" t="str">
        <f aca="false">IF(OR(NOT(ISNUMBER($R334)),$R334=0,NOT(ISNUMBER($K334))),"",$K334*(1-$R334))</f>
        <v/>
      </c>
      <c r="T334" s="45" t="str">
        <f aca="false">IF(ISNUMBER($S334),$S334*$H334,"")</f>
        <v/>
      </c>
      <c r="U334" s="45" t="str">
        <f aca="false">IF(ISNUMBER($S334),$S334*Parâmetros!$B$4,"")</f>
        <v/>
      </c>
      <c r="V334" s="45" t="str">
        <f aca="false">IF(ISNUMBER($S334),$S334*Parâmetros!$C$4,"")</f>
        <v/>
      </c>
      <c r="W334" s="44" t="str">
        <f aca="false">IF(ISNUMBER($S334),$S334-$D334-IF(ISNUMBER($E334),$E334,0)-$O334-$T334-$U334-$V334,"")</f>
        <v/>
      </c>
      <c r="X334" s="46" t="str">
        <f aca="false">IF(AND(ISNUMBER($S334),$S334&gt;0),$W334/$S334,"")</f>
        <v/>
      </c>
      <c r="Y334" s="47"/>
      <c r="Z334" s="19"/>
    </row>
    <row r="335" customFormat="false" ht="15.75" hidden="false" customHeight="true" outlineLevel="0" collapsed="false">
      <c r="A335" s="48" t="str">
        <f aca="false">IF(Produtos!$A335="","",Produtos!$A335)</f>
        <v/>
      </c>
      <c r="B335" s="48" t="str">
        <f aca="false">IF(Produtos!$A335="","",Produtos!$B335)</f>
        <v/>
      </c>
      <c r="C335" s="48" t="str">
        <f aca="false">IF(Produtos!$A335="","",Produtos!$C335)</f>
        <v/>
      </c>
      <c r="D335" s="33" t="str">
        <f aca="false">IF(Produtos!$A335="","",IF(Produtos!$D335="","",Produtos!$D335))</f>
        <v/>
      </c>
      <c r="E335" s="11"/>
      <c r="F335" s="34" t="str">
        <f aca="false">IF($A335="","",IF($C335="","⚠ categoria",IFERROR(INDEX(Parâmetros!$B$13:$B$22,MATCH($C335,Parâmetros!$A$13:$A$22,0)),"⚠ categoria")))</f>
        <v/>
      </c>
      <c r="G335" s="35"/>
      <c r="H335" s="36" t="str">
        <f aca="false">IF($A335="","",IF(ISNUMBER($G335),$G335,IF(ISNUMBER($F335),$F335,"")))</f>
        <v/>
      </c>
      <c r="I335" s="37" t="str">
        <f aca="false">IF(OR($A335="",NOT(ISNUMBER($D335)),NOT(ISNUMBER($H335))),"",IF((1-$H335-Parâmetros!$B$4-Parâmetros!$C$4-Parâmetros!$D$4)&lt;=0,"INVALIDO",($D335+IF(ISNUMBER($E335),$E335,0)+IF(ISNUMBER(Parâmetros!$E$4),Parâmetros!$E$4,0))/(1-$H335-Parâmetros!$B$4-Parâmetros!$C$4-Parâmetros!$D$4)))</f>
        <v/>
      </c>
      <c r="J335" s="38"/>
      <c r="K335" s="39" t="str">
        <f aca="false">IF(OR($A335="",NOT(ISNUMBER($D335)),NOT(ISNUMBER($H335))),"",IF(AND(ISNUMBER($J335),$J335&gt;0),$J335,IF(ISNUMBER($I335),$I335,"")))</f>
        <v/>
      </c>
      <c r="L335" s="40" t="str">
        <f aca="false">IF(ISNUMBER($K335),$K335*$H335,"")</f>
        <v/>
      </c>
      <c r="M335" s="40" t="str">
        <f aca="false">IF(ISNUMBER($K335),$K335*Parâmetros!$B$4,"")</f>
        <v/>
      </c>
      <c r="N335" s="40" t="str">
        <f aca="false">IF(ISNUMBER($K335),$K335*Parâmetros!$C$4,"")</f>
        <v/>
      </c>
      <c r="O335" s="40" t="str">
        <f aca="false">IF(ISNUMBER($K335),IF(ISNUMBER(Parâmetros!$E$4),Parâmetros!$E$4,0),"")</f>
        <v/>
      </c>
      <c r="P335" s="41" t="str">
        <f aca="false">IF(ISNUMBER($K335),$K335-$D335-IF(ISNUMBER($E335),$E335,0)-$L335-$M335-$N335-$O335,"")</f>
        <v/>
      </c>
      <c r="Q335" s="42" t="str">
        <f aca="false">IF(AND(ISNUMBER($K335),$K335&gt;0),$P335/$K335,"")</f>
        <v/>
      </c>
      <c r="R335" s="43"/>
      <c r="S335" s="44" t="str">
        <f aca="false">IF(OR(NOT(ISNUMBER($R335)),$R335=0,NOT(ISNUMBER($K335))),"",$K335*(1-$R335))</f>
        <v/>
      </c>
      <c r="T335" s="45" t="str">
        <f aca="false">IF(ISNUMBER($S335),$S335*$H335,"")</f>
        <v/>
      </c>
      <c r="U335" s="45" t="str">
        <f aca="false">IF(ISNUMBER($S335),$S335*Parâmetros!$B$4,"")</f>
        <v/>
      </c>
      <c r="V335" s="45" t="str">
        <f aca="false">IF(ISNUMBER($S335),$S335*Parâmetros!$C$4,"")</f>
        <v/>
      </c>
      <c r="W335" s="44" t="str">
        <f aca="false">IF(ISNUMBER($S335),$S335-$D335-IF(ISNUMBER($E335),$E335,0)-$O335-$T335-$U335-$V335,"")</f>
        <v/>
      </c>
      <c r="X335" s="46" t="str">
        <f aca="false">IF(AND(ISNUMBER($S335),$S335&gt;0),$W335/$S335,"")</f>
        <v/>
      </c>
      <c r="Y335" s="49"/>
      <c r="Z335" s="21"/>
    </row>
    <row r="336" customFormat="false" ht="15.75" hidden="false" customHeight="true" outlineLevel="0" collapsed="false">
      <c r="A336" s="32" t="str">
        <f aca="false">IF(Produtos!$A336="","",Produtos!$A336)</f>
        <v/>
      </c>
      <c r="B336" s="32" t="str">
        <f aca="false">IF(Produtos!$A336="","",Produtos!$B336)</f>
        <v/>
      </c>
      <c r="C336" s="32" t="str">
        <f aca="false">IF(Produtos!$A336="","",Produtos!$C336)</f>
        <v/>
      </c>
      <c r="D336" s="33" t="str">
        <f aca="false">IF(Produtos!$A336="","",IF(Produtos!$D336="","",Produtos!$D336))</f>
        <v/>
      </c>
      <c r="E336" s="11"/>
      <c r="F336" s="34" t="str">
        <f aca="false">IF($A336="","",IF($C336="","⚠ categoria",IFERROR(INDEX(Parâmetros!$B$13:$B$22,MATCH($C336,Parâmetros!$A$13:$A$22,0)),"⚠ categoria")))</f>
        <v/>
      </c>
      <c r="G336" s="35"/>
      <c r="H336" s="36" t="str">
        <f aca="false">IF($A336="","",IF(ISNUMBER($G336),$G336,IF(ISNUMBER($F336),$F336,"")))</f>
        <v/>
      </c>
      <c r="I336" s="37" t="str">
        <f aca="false">IF(OR($A336="",NOT(ISNUMBER($D336)),NOT(ISNUMBER($H336))),"",IF((1-$H336-Parâmetros!$B$4-Parâmetros!$C$4-Parâmetros!$D$4)&lt;=0,"INVALIDO",($D336+IF(ISNUMBER($E336),$E336,0)+IF(ISNUMBER(Parâmetros!$E$4),Parâmetros!$E$4,0))/(1-$H336-Parâmetros!$B$4-Parâmetros!$C$4-Parâmetros!$D$4)))</f>
        <v/>
      </c>
      <c r="J336" s="38"/>
      <c r="K336" s="39" t="str">
        <f aca="false">IF(OR($A336="",NOT(ISNUMBER($D336)),NOT(ISNUMBER($H336))),"",IF(AND(ISNUMBER($J336),$J336&gt;0),$J336,IF(ISNUMBER($I336),$I336,"")))</f>
        <v/>
      </c>
      <c r="L336" s="40" t="str">
        <f aca="false">IF(ISNUMBER($K336),$K336*$H336,"")</f>
        <v/>
      </c>
      <c r="M336" s="40" t="str">
        <f aca="false">IF(ISNUMBER($K336),$K336*Parâmetros!$B$4,"")</f>
        <v/>
      </c>
      <c r="N336" s="40" t="str">
        <f aca="false">IF(ISNUMBER($K336),$K336*Parâmetros!$C$4,"")</f>
        <v/>
      </c>
      <c r="O336" s="40" t="str">
        <f aca="false">IF(ISNUMBER($K336),IF(ISNUMBER(Parâmetros!$E$4),Parâmetros!$E$4,0),"")</f>
        <v/>
      </c>
      <c r="P336" s="41" t="str">
        <f aca="false">IF(ISNUMBER($K336),$K336-$D336-IF(ISNUMBER($E336),$E336,0)-$L336-$M336-$N336-$O336,"")</f>
        <v/>
      </c>
      <c r="Q336" s="42" t="str">
        <f aca="false">IF(AND(ISNUMBER($K336),$K336&gt;0),$P336/$K336,"")</f>
        <v/>
      </c>
      <c r="R336" s="43"/>
      <c r="S336" s="44" t="str">
        <f aca="false">IF(OR(NOT(ISNUMBER($R336)),$R336=0,NOT(ISNUMBER($K336))),"",$K336*(1-$R336))</f>
        <v/>
      </c>
      <c r="T336" s="45" t="str">
        <f aca="false">IF(ISNUMBER($S336),$S336*$H336,"")</f>
        <v/>
      </c>
      <c r="U336" s="45" t="str">
        <f aca="false">IF(ISNUMBER($S336),$S336*Parâmetros!$B$4,"")</f>
        <v/>
      </c>
      <c r="V336" s="45" t="str">
        <f aca="false">IF(ISNUMBER($S336),$S336*Parâmetros!$C$4,"")</f>
        <v/>
      </c>
      <c r="W336" s="44" t="str">
        <f aca="false">IF(ISNUMBER($S336),$S336-$D336-IF(ISNUMBER($E336),$E336,0)-$O336-$T336-$U336-$V336,"")</f>
        <v/>
      </c>
      <c r="X336" s="46" t="str">
        <f aca="false">IF(AND(ISNUMBER($S336),$S336&gt;0),$W336/$S336,"")</f>
        <v/>
      </c>
      <c r="Y336" s="47"/>
      <c r="Z336" s="19"/>
    </row>
    <row r="337" customFormat="false" ht="15.75" hidden="false" customHeight="true" outlineLevel="0" collapsed="false">
      <c r="A337" s="48" t="str">
        <f aca="false">IF(Produtos!$A337="","",Produtos!$A337)</f>
        <v/>
      </c>
      <c r="B337" s="48" t="str">
        <f aca="false">IF(Produtos!$A337="","",Produtos!$B337)</f>
        <v/>
      </c>
      <c r="C337" s="48" t="str">
        <f aca="false">IF(Produtos!$A337="","",Produtos!$C337)</f>
        <v/>
      </c>
      <c r="D337" s="33" t="str">
        <f aca="false">IF(Produtos!$A337="","",IF(Produtos!$D337="","",Produtos!$D337))</f>
        <v/>
      </c>
      <c r="E337" s="11"/>
      <c r="F337" s="34" t="str">
        <f aca="false">IF($A337="","",IF($C337="","⚠ categoria",IFERROR(INDEX(Parâmetros!$B$13:$B$22,MATCH($C337,Parâmetros!$A$13:$A$22,0)),"⚠ categoria")))</f>
        <v/>
      </c>
      <c r="G337" s="35"/>
      <c r="H337" s="36" t="str">
        <f aca="false">IF($A337="","",IF(ISNUMBER($G337),$G337,IF(ISNUMBER($F337),$F337,"")))</f>
        <v/>
      </c>
      <c r="I337" s="37" t="str">
        <f aca="false">IF(OR($A337="",NOT(ISNUMBER($D337)),NOT(ISNUMBER($H337))),"",IF((1-$H337-Parâmetros!$B$4-Parâmetros!$C$4-Parâmetros!$D$4)&lt;=0,"INVALIDO",($D337+IF(ISNUMBER($E337),$E337,0)+IF(ISNUMBER(Parâmetros!$E$4),Parâmetros!$E$4,0))/(1-$H337-Parâmetros!$B$4-Parâmetros!$C$4-Parâmetros!$D$4)))</f>
        <v/>
      </c>
      <c r="J337" s="38"/>
      <c r="K337" s="39" t="str">
        <f aca="false">IF(OR($A337="",NOT(ISNUMBER($D337)),NOT(ISNUMBER($H337))),"",IF(AND(ISNUMBER($J337),$J337&gt;0),$J337,IF(ISNUMBER($I337),$I337,"")))</f>
        <v/>
      </c>
      <c r="L337" s="40" t="str">
        <f aca="false">IF(ISNUMBER($K337),$K337*$H337,"")</f>
        <v/>
      </c>
      <c r="M337" s="40" t="str">
        <f aca="false">IF(ISNUMBER($K337),$K337*Parâmetros!$B$4,"")</f>
        <v/>
      </c>
      <c r="N337" s="40" t="str">
        <f aca="false">IF(ISNUMBER($K337),$K337*Parâmetros!$C$4,"")</f>
        <v/>
      </c>
      <c r="O337" s="40" t="str">
        <f aca="false">IF(ISNUMBER($K337),IF(ISNUMBER(Parâmetros!$E$4),Parâmetros!$E$4,0),"")</f>
        <v/>
      </c>
      <c r="P337" s="41" t="str">
        <f aca="false">IF(ISNUMBER($K337),$K337-$D337-IF(ISNUMBER($E337),$E337,0)-$L337-$M337-$N337-$O337,"")</f>
        <v/>
      </c>
      <c r="Q337" s="42" t="str">
        <f aca="false">IF(AND(ISNUMBER($K337),$K337&gt;0),$P337/$K337,"")</f>
        <v/>
      </c>
      <c r="R337" s="43"/>
      <c r="S337" s="44" t="str">
        <f aca="false">IF(OR(NOT(ISNUMBER($R337)),$R337=0,NOT(ISNUMBER($K337))),"",$K337*(1-$R337))</f>
        <v/>
      </c>
      <c r="T337" s="45" t="str">
        <f aca="false">IF(ISNUMBER($S337),$S337*$H337,"")</f>
        <v/>
      </c>
      <c r="U337" s="45" t="str">
        <f aca="false">IF(ISNUMBER($S337),$S337*Parâmetros!$B$4,"")</f>
        <v/>
      </c>
      <c r="V337" s="45" t="str">
        <f aca="false">IF(ISNUMBER($S337),$S337*Parâmetros!$C$4,"")</f>
        <v/>
      </c>
      <c r="W337" s="44" t="str">
        <f aca="false">IF(ISNUMBER($S337),$S337-$D337-IF(ISNUMBER($E337),$E337,0)-$O337-$T337-$U337-$V337,"")</f>
        <v/>
      </c>
      <c r="X337" s="46" t="str">
        <f aca="false">IF(AND(ISNUMBER($S337),$S337&gt;0),$W337/$S337,"")</f>
        <v/>
      </c>
      <c r="Y337" s="49"/>
      <c r="Z337" s="21"/>
    </row>
    <row r="338" customFormat="false" ht="15.75" hidden="false" customHeight="true" outlineLevel="0" collapsed="false">
      <c r="A338" s="32" t="str">
        <f aca="false">IF(Produtos!$A338="","",Produtos!$A338)</f>
        <v/>
      </c>
      <c r="B338" s="32" t="str">
        <f aca="false">IF(Produtos!$A338="","",Produtos!$B338)</f>
        <v/>
      </c>
      <c r="C338" s="32" t="str">
        <f aca="false">IF(Produtos!$A338="","",Produtos!$C338)</f>
        <v/>
      </c>
      <c r="D338" s="33" t="str">
        <f aca="false">IF(Produtos!$A338="","",IF(Produtos!$D338="","",Produtos!$D338))</f>
        <v/>
      </c>
      <c r="E338" s="11"/>
      <c r="F338" s="34" t="str">
        <f aca="false">IF($A338="","",IF($C338="","⚠ categoria",IFERROR(INDEX(Parâmetros!$B$13:$B$22,MATCH($C338,Parâmetros!$A$13:$A$22,0)),"⚠ categoria")))</f>
        <v/>
      </c>
      <c r="G338" s="35"/>
      <c r="H338" s="36" t="str">
        <f aca="false">IF($A338="","",IF(ISNUMBER($G338),$G338,IF(ISNUMBER($F338),$F338,"")))</f>
        <v/>
      </c>
      <c r="I338" s="37" t="str">
        <f aca="false">IF(OR($A338="",NOT(ISNUMBER($D338)),NOT(ISNUMBER($H338))),"",IF((1-$H338-Parâmetros!$B$4-Parâmetros!$C$4-Parâmetros!$D$4)&lt;=0,"INVALIDO",($D338+IF(ISNUMBER($E338),$E338,0)+IF(ISNUMBER(Parâmetros!$E$4),Parâmetros!$E$4,0))/(1-$H338-Parâmetros!$B$4-Parâmetros!$C$4-Parâmetros!$D$4)))</f>
        <v/>
      </c>
      <c r="J338" s="38"/>
      <c r="K338" s="39" t="str">
        <f aca="false">IF(OR($A338="",NOT(ISNUMBER($D338)),NOT(ISNUMBER($H338))),"",IF(AND(ISNUMBER($J338),$J338&gt;0),$J338,IF(ISNUMBER($I338),$I338,"")))</f>
        <v/>
      </c>
      <c r="L338" s="40" t="str">
        <f aca="false">IF(ISNUMBER($K338),$K338*$H338,"")</f>
        <v/>
      </c>
      <c r="M338" s="40" t="str">
        <f aca="false">IF(ISNUMBER($K338),$K338*Parâmetros!$B$4,"")</f>
        <v/>
      </c>
      <c r="N338" s="40" t="str">
        <f aca="false">IF(ISNUMBER($K338),$K338*Parâmetros!$C$4,"")</f>
        <v/>
      </c>
      <c r="O338" s="40" t="str">
        <f aca="false">IF(ISNUMBER($K338),IF(ISNUMBER(Parâmetros!$E$4),Parâmetros!$E$4,0),"")</f>
        <v/>
      </c>
      <c r="P338" s="41" t="str">
        <f aca="false">IF(ISNUMBER($K338),$K338-$D338-IF(ISNUMBER($E338),$E338,0)-$L338-$M338-$N338-$O338,"")</f>
        <v/>
      </c>
      <c r="Q338" s="42" t="str">
        <f aca="false">IF(AND(ISNUMBER($K338),$K338&gt;0),$P338/$K338,"")</f>
        <v/>
      </c>
      <c r="R338" s="43"/>
      <c r="S338" s="44" t="str">
        <f aca="false">IF(OR(NOT(ISNUMBER($R338)),$R338=0,NOT(ISNUMBER($K338))),"",$K338*(1-$R338))</f>
        <v/>
      </c>
      <c r="T338" s="45" t="str">
        <f aca="false">IF(ISNUMBER($S338),$S338*$H338,"")</f>
        <v/>
      </c>
      <c r="U338" s="45" t="str">
        <f aca="false">IF(ISNUMBER($S338),$S338*Parâmetros!$B$4,"")</f>
        <v/>
      </c>
      <c r="V338" s="45" t="str">
        <f aca="false">IF(ISNUMBER($S338),$S338*Parâmetros!$C$4,"")</f>
        <v/>
      </c>
      <c r="W338" s="44" t="str">
        <f aca="false">IF(ISNUMBER($S338),$S338-$D338-IF(ISNUMBER($E338),$E338,0)-$O338-$T338-$U338-$V338,"")</f>
        <v/>
      </c>
      <c r="X338" s="46" t="str">
        <f aca="false">IF(AND(ISNUMBER($S338),$S338&gt;0),$W338/$S338,"")</f>
        <v/>
      </c>
      <c r="Y338" s="47"/>
      <c r="Z338" s="19"/>
    </row>
    <row r="339" customFormat="false" ht="15.75" hidden="false" customHeight="true" outlineLevel="0" collapsed="false">
      <c r="A339" s="48" t="str">
        <f aca="false">IF(Produtos!$A339="","",Produtos!$A339)</f>
        <v/>
      </c>
      <c r="B339" s="48" t="str">
        <f aca="false">IF(Produtos!$A339="","",Produtos!$B339)</f>
        <v/>
      </c>
      <c r="C339" s="48" t="str">
        <f aca="false">IF(Produtos!$A339="","",Produtos!$C339)</f>
        <v/>
      </c>
      <c r="D339" s="33" t="str">
        <f aca="false">IF(Produtos!$A339="","",IF(Produtos!$D339="","",Produtos!$D339))</f>
        <v/>
      </c>
      <c r="E339" s="11"/>
      <c r="F339" s="34" t="str">
        <f aca="false">IF($A339="","",IF($C339="","⚠ categoria",IFERROR(INDEX(Parâmetros!$B$13:$B$22,MATCH($C339,Parâmetros!$A$13:$A$22,0)),"⚠ categoria")))</f>
        <v/>
      </c>
      <c r="G339" s="35"/>
      <c r="H339" s="36" t="str">
        <f aca="false">IF($A339="","",IF(ISNUMBER($G339),$G339,IF(ISNUMBER($F339),$F339,"")))</f>
        <v/>
      </c>
      <c r="I339" s="37" t="str">
        <f aca="false">IF(OR($A339="",NOT(ISNUMBER($D339)),NOT(ISNUMBER($H339))),"",IF((1-$H339-Parâmetros!$B$4-Parâmetros!$C$4-Parâmetros!$D$4)&lt;=0,"INVALIDO",($D339+IF(ISNUMBER($E339),$E339,0)+IF(ISNUMBER(Parâmetros!$E$4),Parâmetros!$E$4,0))/(1-$H339-Parâmetros!$B$4-Parâmetros!$C$4-Parâmetros!$D$4)))</f>
        <v/>
      </c>
      <c r="J339" s="38"/>
      <c r="K339" s="39" t="str">
        <f aca="false">IF(OR($A339="",NOT(ISNUMBER($D339)),NOT(ISNUMBER($H339))),"",IF(AND(ISNUMBER($J339),$J339&gt;0),$J339,IF(ISNUMBER($I339),$I339,"")))</f>
        <v/>
      </c>
      <c r="L339" s="40" t="str">
        <f aca="false">IF(ISNUMBER($K339),$K339*$H339,"")</f>
        <v/>
      </c>
      <c r="M339" s="40" t="str">
        <f aca="false">IF(ISNUMBER($K339),$K339*Parâmetros!$B$4,"")</f>
        <v/>
      </c>
      <c r="N339" s="40" t="str">
        <f aca="false">IF(ISNUMBER($K339),$K339*Parâmetros!$C$4,"")</f>
        <v/>
      </c>
      <c r="O339" s="40" t="str">
        <f aca="false">IF(ISNUMBER($K339),IF(ISNUMBER(Parâmetros!$E$4),Parâmetros!$E$4,0),"")</f>
        <v/>
      </c>
      <c r="P339" s="41" t="str">
        <f aca="false">IF(ISNUMBER($K339),$K339-$D339-IF(ISNUMBER($E339),$E339,0)-$L339-$M339-$N339-$O339,"")</f>
        <v/>
      </c>
      <c r="Q339" s="42" t="str">
        <f aca="false">IF(AND(ISNUMBER($K339),$K339&gt;0),$P339/$K339,"")</f>
        <v/>
      </c>
      <c r="R339" s="43"/>
      <c r="S339" s="44" t="str">
        <f aca="false">IF(OR(NOT(ISNUMBER($R339)),$R339=0,NOT(ISNUMBER($K339))),"",$K339*(1-$R339))</f>
        <v/>
      </c>
      <c r="T339" s="45" t="str">
        <f aca="false">IF(ISNUMBER($S339),$S339*$H339,"")</f>
        <v/>
      </c>
      <c r="U339" s="45" t="str">
        <f aca="false">IF(ISNUMBER($S339),$S339*Parâmetros!$B$4,"")</f>
        <v/>
      </c>
      <c r="V339" s="45" t="str">
        <f aca="false">IF(ISNUMBER($S339),$S339*Parâmetros!$C$4,"")</f>
        <v/>
      </c>
      <c r="W339" s="44" t="str">
        <f aca="false">IF(ISNUMBER($S339),$S339-$D339-IF(ISNUMBER($E339),$E339,0)-$O339-$T339-$U339-$V339,"")</f>
        <v/>
      </c>
      <c r="X339" s="46" t="str">
        <f aca="false">IF(AND(ISNUMBER($S339),$S339&gt;0),$W339/$S339,"")</f>
        <v/>
      </c>
      <c r="Y339" s="49"/>
      <c r="Z339" s="21"/>
    </row>
    <row r="340" customFormat="false" ht="15.75" hidden="false" customHeight="true" outlineLevel="0" collapsed="false">
      <c r="A340" s="32" t="str">
        <f aca="false">IF(Produtos!$A340="","",Produtos!$A340)</f>
        <v/>
      </c>
      <c r="B340" s="32" t="str">
        <f aca="false">IF(Produtos!$A340="","",Produtos!$B340)</f>
        <v/>
      </c>
      <c r="C340" s="32" t="str">
        <f aca="false">IF(Produtos!$A340="","",Produtos!$C340)</f>
        <v/>
      </c>
      <c r="D340" s="33" t="str">
        <f aca="false">IF(Produtos!$A340="","",IF(Produtos!$D340="","",Produtos!$D340))</f>
        <v/>
      </c>
      <c r="E340" s="11"/>
      <c r="F340" s="34" t="str">
        <f aca="false">IF($A340="","",IF($C340="","⚠ categoria",IFERROR(INDEX(Parâmetros!$B$13:$B$22,MATCH($C340,Parâmetros!$A$13:$A$22,0)),"⚠ categoria")))</f>
        <v/>
      </c>
      <c r="G340" s="35"/>
      <c r="H340" s="36" t="str">
        <f aca="false">IF($A340="","",IF(ISNUMBER($G340),$G340,IF(ISNUMBER($F340),$F340,"")))</f>
        <v/>
      </c>
      <c r="I340" s="37" t="str">
        <f aca="false">IF(OR($A340="",NOT(ISNUMBER($D340)),NOT(ISNUMBER($H340))),"",IF((1-$H340-Parâmetros!$B$4-Parâmetros!$C$4-Parâmetros!$D$4)&lt;=0,"INVALIDO",($D340+IF(ISNUMBER($E340),$E340,0)+IF(ISNUMBER(Parâmetros!$E$4),Parâmetros!$E$4,0))/(1-$H340-Parâmetros!$B$4-Parâmetros!$C$4-Parâmetros!$D$4)))</f>
        <v/>
      </c>
      <c r="J340" s="38"/>
      <c r="K340" s="39" t="str">
        <f aca="false">IF(OR($A340="",NOT(ISNUMBER($D340)),NOT(ISNUMBER($H340))),"",IF(AND(ISNUMBER($J340),$J340&gt;0),$J340,IF(ISNUMBER($I340),$I340,"")))</f>
        <v/>
      </c>
      <c r="L340" s="40" t="str">
        <f aca="false">IF(ISNUMBER($K340),$K340*$H340,"")</f>
        <v/>
      </c>
      <c r="M340" s="40" t="str">
        <f aca="false">IF(ISNUMBER($K340),$K340*Parâmetros!$B$4,"")</f>
        <v/>
      </c>
      <c r="N340" s="40" t="str">
        <f aca="false">IF(ISNUMBER($K340),$K340*Parâmetros!$C$4,"")</f>
        <v/>
      </c>
      <c r="O340" s="40" t="str">
        <f aca="false">IF(ISNUMBER($K340),IF(ISNUMBER(Parâmetros!$E$4),Parâmetros!$E$4,0),"")</f>
        <v/>
      </c>
      <c r="P340" s="41" t="str">
        <f aca="false">IF(ISNUMBER($K340),$K340-$D340-IF(ISNUMBER($E340),$E340,0)-$L340-$M340-$N340-$O340,"")</f>
        <v/>
      </c>
      <c r="Q340" s="42" t="str">
        <f aca="false">IF(AND(ISNUMBER($K340),$K340&gt;0),$P340/$K340,"")</f>
        <v/>
      </c>
      <c r="R340" s="43"/>
      <c r="S340" s="44" t="str">
        <f aca="false">IF(OR(NOT(ISNUMBER($R340)),$R340=0,NOT(ISNUMBER($K340))),"",$K340*(1-$R340))</f>
        <v/>
      </c>
      <c r="T340" s="45" t="str">
        <f aca="false">IF(ISNUMBER($S340),$S340*$H340,"")</f>
        <v/>
      </c>
      <c r="U340" s="45" t="str">
        <f aca="false">IF(ISNUMBER($S340),$S340*Parâmetros!$B$4,"")</f>
        <v/>
      </c>
      <c r="V340" s="45" t="str">
        <f aca="false">IF(ISNUMBER($S340),$S340*Parâmetros!$C$4,"")</f>
        <v/>
      </c>
      <c r="W340" s="44" t="str">
        <f aca="false">IF(ISNUMBER($S340),$S340-$D340-IF(ISNUMBER($E340),$E340,0)-$O340-$T340-$U340-$V340,"")</f>
        <v/>
      </c>
      <c r="X340" s="46" t="str">
        <f aca="false">IF(AND(ISNUMBER($S340),$S340&gt;0),$W340/$S340,"")</f>
        <v/>
      </c>
      <c r="Y340" s="47"/>
      <c r="Z340" s="19"/>
    </row>
    <row r="341" customFormat="false" ht="15.75" hidden="false" customHeight="true" outlineLevel="0" collapsed="false">
      <c r="A341" s="48" t="str">
        <f aca="false">IF(Produtos!$A341="","",Produtos!$A341)</f>
        <v/>
      </c>
      <c r="B341" s="48" t="str">
        <f aca="false">IF(Produtos!$A341="","",Produtos!$B341)</f>
        <v/>
      </c>
      <c r="C341" s="48" t="str">
        <f aca="false">IF(Produtos!$A341="","",Produtos!$C341)</f>
        <v/>
      </c>
      <c r="D341" s="33" t="str">
        <f aca="false">IF(Produtos!$A341="","",IF(Produtos!$D341="","",Produtos!$D341))</f>
        <v/>
      </c>
      <c r="E341" s="11"/>
      <c r="F341" s="34" t="str">
        <f aca="false">IF($A341="","",IF($C341="","⚠ categoria",IFERROR(INDEX(Parâmetros!$B$13:$B$22,MATCH($C341,Parâmetros!$A$13:$A$22,0)),"⚠ categoria")))</f>
        <v/>
      </c>
      <c r="G341" s="35"/>
      <c r="H341" s="36" t="str">
        <f aca="false">IF($A341="","",IF(ISNUMBER($G341),$G341,IF(ISNUMBER($F341),$F341,"")))</f>
        <v/>
      </c>
      <c r="I341" s="37" t="str">
        <f aca="false">IF(OR($A341="",NOT(ISNUMBER($D341)),NOT(ISNUMBER($H341))),"",IF((1-$H341-Parâmetros!$B$4-Parâmetros!$C$4-Parâmetros!$D$4)&lt;=0,"INVALIDO",($D341+IF(ISNUMBER($E341),$E341,0)+IF(ISNUMBER(Parâmetros!$E$4),Parâmetros!$E$4,0))/(1-$H341-Parâmetros!$B$4-Parâmetros!$C$4-Parâmetros!$D$4)))</f>
        <v/>
      </c>
      <c r="J341" s="38"/>
      <c r="K341" s="39" t="str">
        <f aca="false">IF(OR($A341="",NOT(ISNUMBER($D341)),NOT(ISNUMBER($H341))),"",IF(AND(ISNUMBER($J341),$J341&gt;0),$J341,IF(ISNUMBER($I341),$I341,"")))</f>
        <v/>
      </c>
      <c r="L341" s="40" t="str">
        <f aca="false">IF(ISNUMBER($K341),$K341*$H341,"")</f>
        <v/>
      </c>
      <c r="M341" s="40" t="str">
        <f aca="false">IF(ISNUMBER($K341),$K341*Parâmetros!$B$4,"")</f>
        <v/>
      </c>
      <c r="N341" s="40" t="str">
        <f aca="false">IF(ISNUMBER($K341),$K341*Parâmetros!$C$4,"")</f>
        <v/>
      </c>
      <c r="O341" s="40" t="str">
        <f aca="false">IF(ISNUMBER($K341),IF(ISNUMBER(Parâmetros!$E$4),Parâmetros!$E$4,0),"")</f>
        <v/>
      </c>
      <c r="P341" s="41" t="str">
        <f aca="false">IF(ISNUMBER($K341),$K341-$D341-IF(ISNUMBER($E341),$E341,0)-$L341-$M341-$N341-$O341,"")</f>
        <v/>
      </c>
      <c r="Q341" s="42" t="str">
        <f aca="false">IF(AND(ISNUMBER($K341),$K341&gt;0),$P341/$K341,"")</f>
        <v/>
      </c>
      <c r="R341" s="43"/>
      <c r="S341" s="44" t="str">
        <f aca="false">IF(OR(NOT(ISNUMBER($R341)),$R341=0,NOT(ISNUMBER($K341))),"",$K341*(1-$R341))</f>
        <v/>
      </c>
      <c r="T341" s="45" t="str">
        <f aca="false">IF(ISNUMBER($S341),$S341*$H341,"")</f>
        <v/>
      </c>
      <c r="U341" s="45" t="str">
        <f aca="false">IF(ISNUMBER($S341),$S341*Parâmetros!$B$4,"")</f>
        <v/>
      </c>
      <c r="V341" s="45" t="str">
        <f aca="false">IF(ISNUMBER($S341),$S341*Parâmetros!$C$4,"")</f>
        <v/>
      </c>
      <c r="W341" s="44" t="str">
        <f aca="false">IF(ISNUMBER($S341),$S341-$D341-IF(ISNUMBER($E341),$E341,0)-$O341-$T341-$U341-$V341,"")</f>
        <v/>
      </c>
      <c r="X341" s="46" t="str">
        <f aca="false">IF(AND(ISNUMBER($S341),$S341&gt;0),$W341/$S341,"")</f>
        <v/>
      </c>
      <c r="Y341" s="49"/>
      <c r="Z341" s="21"/>
    </row>
    <row r="342" customFormat="false" ht="15.75" hidden="false" customHeight="true" outlineLevel="0" collapsed="false">
      <c r="A342" s="32" t="str">
        <f aca="false">IF(Produtos!$A342="","",Produtos!$A342)</f>
        <v/>
      </c>
      <c r="B342" s="32" t="str">
        <f aca="false">IF(Produtos!$A342="","",Produtos!$B342)</f>
        <v/>
      </c>
      <c r="C342" s="32" t="str">
        <f aca="false">IF(Produtos!$A342="","",Produtos!$C342)</f>
        <v/>
      </c>
      <c r="D342" s="33" t="str">
        <f aca="false">IF(Produtos!$A342="","",IF(Produtos!$D342="","",Produtos!$D342))</f>
        <v/>
      </c>
      <c r="E342" s="11"/>
      <c r="F342" s="34" t="str">
        <f aca="false">IF($A342="","",IF($C342="","⚠ categoria",IFERROR(INDEX(Parâmetros!$B$13:$B$22,MATCH($C342,Parâmetros!$A$13:$A$22,0)),"⚠ categoria")))</f>
        <v/>
      </c>
      <c r="G342" s="35"/>
      <c r="H342" s="36" t="str">
        <f aca="false">IF($A342="","",IF(ISNUMBER($G342),$G342,IF(ISNUMBER($F342),$F342,"")))</f>
        <v/>
      </c>
      <c r="I342" s="37" t="str">
        <f aca="false">IF(OR($A342="",NOT(ISNUMBER($D342)),NOT(ISNUMBER($H342))),"",IF((1-$H342-Parâmetros!$B$4-Parâmetros!$C$4-Parâmetros!$D$4)&lt;=0,"INVALIDO",($D342+IF(ISNUMBER($E342),$E342,0)+IF(ISNUMBER(Parâmetros!$E$4),Parâmetros!$E$4,0))/(1-$H342-Parâmetros!$B$4-Parâmetros!$C$4-Parâmetros!$D$4)))</f>
        <v/>
      </c>
      <c r="J342" s="38"/>
      <c r="K342" s="39" t="str">
        <f aca="false">IF(OR($A342="",NOT(ISNUMBER($D342)),NOT(ISNUMBER($H342))),"",IF(AND(ISNUMBER($J342),$J342&gt;0),$J342,IF(ISNUMBER($I342),$I342,"")))</f>
        <v/>
      </c>
      <c r="L342" s="40" t="str">
        <f aca="false">IF(ISNUMBER($K342),$K342*$H342,"")</f>
        <v/>
      </c>
      <c r="M342" s="40" t="str">
        <f aca="false">IF(ISNUMBER($K342),$K342*Parâmetros!$B$4,"")</f>
        <v/>
      </c>
      <c r="N342" s="40" t="str">
        <f aca="false">IF(ISNUMBER($K342),$K342*Parâmetros!$C$4,"")</f>
        <v/>
      </c>
      <c r="O342" s="40" t="str">
        <f aca="false">IF(ISNUMBER($K342),IF(ISNUMBER(Parâmetros!$E$4),Parâmetros!$E$4,0),"")</f>
        <v/>
      </c>
      <c r="P342" s="41" t="str">
        <f aca="false">IF(ISNUMBER($K342),$K342-$D342-IF(ISNUMBER($E342),$E342,0)-$L342-$M342-$N342-$O342,"")</f>
        <v/>
      </c>
      <c r="Q342" s="42" t="str">
        <f aca="false">IF(AND(ISNUMBER($K342),$K342&gt;0),$P342/$K342,"")</f>
        <v/>
      </c>
      <c r="R342" s="43"/>
      <c r="S342" s="44" t="str">
        <f aca="false">IF(OR(NOT(ISNUMBER($R342)),$R342=0,NOT(ISNUMBER($K342))),"",$K342*(1-$R342))</f>
        <v/>
      </c>
      <c r="T342" s="45" t="str">
        <f aca="false">IF(ISNUMBER($S342),$S342*$H342,"")</f>
        <v/>
      </c>
      <c r="U342" s="45" t="str">
        <f aca="false">IF(ISNUMBER($S342),$S342*Parâmetros!$B$4,"")</f>
        <v/>
      </c>
      <c r="V342" s="45" t="str">
        <f aca="false">IF(ISNUMBER($S342),$S342*Parâmetros!$C$4,"")</f>
        <v/>
      </c>
      <c r="W342" s="44" t="str">
        <f aca="false">IF(ISNUMBER($S342),$S342-$D342-IF(ISNUMBER($E342),$E342,0)-$O342-$T342-$U342-$V342,"")</f>
        <v/>
      </c>
      <c r="X342" s="46" t="str">
        <f aca="false">IF(AND(ISNUMBER($S342),$S342&gt;0),$W342/$S342,"")</f>
        <v/>
      </c>
      <c r="Y342" s="47"/>
      <c r="Z342" s="19"/>
    </row>
    <row r="343" customFormat="false" ht="15.75" hidden="false" customHeight="true" outlineLevel="0" collapsed="false">
      <c r="A343" s="48" t="str">
        <f aca="false">IF(Produtos!$A343="","",Produtos!$A343)</f>
        <v/>
      </c>
      <c r="B343" s="48" t="str">
        <f aca="false">IF(Produtos!$A343="","",Produtos!$B343)</f>
        <v/>
      </c>
      <c r="C343" s="48" t="str">
        <f aca="false">IF(Produtos!$A343="","",Produtos!$C343)</f>
        <v/>
      </c>
      <c r="D343" s="33" t="str">
        <f aca="false">IF(Produtos!$A343="","",IF(Produtos!$D343="","",Produtos!$D343))</f>
        <v/>
      </c>
      <c r="E343" s="11"/>
      <c r="F343" s="34" t="str">
        <f aca="false">IF($A343="","",IF($C343="","⚠ categoria",IFERROR(INDEX(Parâmetros!$B$13:$B$22,MATCH($C343,Parâmetros!$A$13:$A$22,0)),"⚠ categoria")))</f>
        <v/>
      </c>
      <c r="G343" s="35"/>
      <c r="H343" s="36" t="str">
        <f aca="false">IF($A343="","",IF(ISNUMBER($G343),$G343,IF(ISNUMBER($F343),$F343,"")))</f>
        <v/>
      </c>
      <c r="I343" s="37" t="str">
        <f aca="false">IF(OR($A343="",NOT(ISNUMBER($D343)),NOT(ISNUMBER($H343))),"",IF((1-$H343-Parâmetros!$B$4-Parâmetros!$C$4-Parâmetros!$D$4)&lt;=0,"INVALIDO",($D343+IF(ISNUMBER($E343),$E343,0)+IF(ISNUMBER(Parâmetros!$E$4),Parâmetros!$E$4,0))/(1-$H343-Parâmetros!$B$4-Parâmetros!$C$4-Parâmetros!$D$4)))</f>
        <v/>
      </c>
      <c r="J343" s="38"/>
      <c r="K343" s="39" t="str">
        <f aca="false">IF(OR($A343="",NOT(ISNUMBER($D343)),NOT(ISNUMBER($H343))),"",IF(AND(ISNUMBER($J343),$J343&gt;0),$J343,IF(ISNUMBER($I343),$I343,"")))</f>
        <v/>
      </c>
      <c r="L343" s="40" t="str">
        <f aca="false">IF(ISNUMBER($K343),$K343*$H343,"")</f>
        <v/>
      </c>
      <c r="M343" s="40" t="str">
        <f aca="false">IF(ISNUMBER($K343),$K343*Parâmetros!$B$4,"")</f>
        <v/>
      </c>
      <c r="N343" s="40" t="str">
        <f aca="false">IF(ISNUMBER($K343),$K343*Parâmetros!$C$4,"")</f>
        <v/>
      </c>
      <c r="O343" s="40" t="str">
        <f aca="false">IF(ISNUMBER($K343),IF(ISNUMBER(Parâmetros!$E$4),Parâmetros!$E$4,0),"")</f>
        <v/>
      </c>
      <c r="P343" s="41" t="str">
        <f aca="false">IF(ISNUMBER($K343),$K343-$D343-IF(ISNUMBER($E343),$E343,0)-$L343-$M343-$N343-$O343,"")</f>
        <v/>
      </c>
      <c r="Q343" s="42" t="str">
        <f aca="false">IF(AND(ISNUMBER($K343),$K343&gt;0),$P343/$K343,"")</f>
        <v/>
      </c>
      <c r="R343" s="43"/>
      <c r="S343" s="44" t="str">
        <f aca="false">IF(OR(NOT(ISNUMBER($R343)),$R343=0,NOT(ISNUMBER($K343))),"",$K343*(1-$R343))</f>
        <v/>
      </c>
      <c r="T343" s="45" t="str">
        <f aca="false">IF(ISNUMBER($S343),$S343*$H343,"")</f>
        <v/>
      </c>
      <c r="U343" s="45" t="str">
        <f aca="false">IF(ISNUMBER($S343),$S343*Parâmetros!$B$4,"")</f>
        <v/>
      </c>
      <c r="V343" s="45" t="str">
        <f aca="false">IF(ISNUMBER($S343),$S343*Parâmetros!$C$4,"")</f>
        <v/>
      </c>
      <c r="W343" s="44" t="str">
        <f aca="false">IF(ISNUMBER($S343),$S343-$D343-IF(ISNUMBER($E343),$E343,0)-$O343-$T343-$U343-$V343,"")</f>
        <v/>
      </c>
      <c r="X343" s="46" t="str">
        <f aca="false">IF(AND(ISNUMBER($S343),$S343&gt;0),$W343/$S343,"")</f>
        <v/>
      </c>
      <c r="Y343" s="49"/>
      <c r="Z343" s="21"/>
    </row>
    <row r="344" customFormat="false" ht="15.75" hidden="false" customHeight="true" outlineLevel="0" collapsed="false">
      <c r="A344" s="32" t="str">
        <f aca="false">IF(Produtos!$A344="","",Produtos!$A344)</f>
        <v/>
      </c>
      <c r="B344" s="32" t="str">
        <f aca="false">IF(Produtos!$A344="","",Produtos!$B344)</f>
        <v/>
      </c>
      <c r="C344" s="32" t="str">
        <f aca="false">IF(Produtos!$A344="","",Produtos!$C344)</f>
        <v/>
      </c>
      <c r="D344" s="33" t="str">
        <f aca="false">IF(Produtos!$A344="","",IF(Produtos!$D344="","",Produtos!$D344))</f>
        <v/>
      </c>
      <c r="E344" s="11"/>
      <c r="F344" s="34" t="str">
        <f aca="false">IF($A344="","",IF($C344="","⚠ categoria",IFERROR(INDEX(Parâmetros!$B$13:$B$22,MATCH($C344,Parâmetros!$A$13:$A$22,0)),"⚠ categoria")))</f>
        <v/>
      </c>
      <c r="G344" s="35"/>
      <c r="H344" s="36" t="str">
        <f aca="false">IF($A344="","",IF(ISNUMBER($G344),$G344,IF(ISNUMBER($F344),$F344,"")))</f>
        <v/>
      </c>
      <c r="I344" s="37" t="str">
        <f aca="false">IF(OR($A344="",NOT(ISNUMBER($D344)),NOT(ISNUMBER($H344))),"",IF((1-$H344-Parâmetros!$B$4-Parâmetros!$C$4-Parâmetros!$D$4)&lt;=0,"INVALIDO",($D344+IF(ISNUMBER($E344),$E344,0)+IF(ISNUMBER(Parâmetros!$E$4),Parâmetros!$E$4,0))/(1-$H344-Parâmetros!$B$4-Parâmetros!$C$4-Parâmetros!$D$4)))</f>
        <v/>
      </c>
      <c r="J344" s="38"/>
      <c r="K344" s="39" t="str">
        <f aca="false">IF(OR($A344="",NOT(ISNUMBER($D344)),NOT(ISNUMBER($H344))),"",IF(AND(ISNUMBER($J344),$J344&gt;0),$J344,IF(ISNUMBER($I344),$I344,"")))</f>
        <v/>
      </c>
      <c r="L344" s="40" t="str">
        <f aca="false">IF(ISNUMBER($K344),$K344*$H344,"")</f>
        <v/>
      </c>
      <c r="M344" s="40" t="str">
        <f aca="false">IF(ISNUMBER($K344),$K344*Parâmetros!$B$4,"")</f>
        <v/>
      </c>
      <c r="N344" s="40" t="str">
        <f aca="false">IF(ISNUMBER($K344),$K344*Parâmetros!$C$4,"")</f>
        <v/>
      </c>
      <c r="O344" s="40" t="str">
        <f aca="false">IF(ISNUMBER($K344),IF(ISNUMBER(Parâmetros!$E$4),Parâmetros!$E$4,0),"")</f>
        <v/>
      </c>
      <c r="P344" s="41" t="str">
        <f aca="false">IF(ISNUMBER($K344),$K344-$D344-IF(ISNUMBER($E344),$E344,0)-$L344-$M344-$N344-$O344,"")</f>
        <v/>
      </c>
      <c r="Q344" s="42" t="str">
        <f aca="false">IF(AND(ISNUMBER($K344),$K344&gt;0),$P344/$K344,"")</f>
        <v/>
      </c>
      <c r="R344" s="43"/>
      <c r="S344" s="44" t="str">
        <f aca="false">IF(OR(NOT(ISNUMBER($R344)),$R344=0,NOT(ISNUMBER($K344))),"",$K344*(1-$R344))</f>
        <v/>
      </c>
      <c r="T344" s="45" t="str">
        <f aca="false">IF(ISNUMBER($S344),$S344*$H344,"")</f>
        <v/>
      </c>
      <c r="U344" s="45" t="str">
        <f aca="false">IF(ISNUMBER($S344),$S344*Parâmetros!$B$4,"")</f>
        <v/>
      </c>
      <c r="V344" s="45" t="str">
        <f aca="false">IF(ISNUMBER($S344),$S344*Parâmetros!$C$4,"")</f>
        <v/>
      </c>
      <c r="W344" s="44" t="str">
        <f aca="false">IF(ISNUMBER($S344),$S344-$D344-IF(ISNUMBER($E344),$E344,0)-$O344-$T344-$U344-$V344,"")</f>
        <v/>
      </c>
      <c r="X344" s="46" t="str">
        <f aca="false">IF(AND(ISNUMBER($S344),$S344&gt;0),$W344/$S344,"")</f>
        <v/>
      </c>
      <c r="Y344" s="47"/>
      <c r="Z344" s="19"/>
    </row>
    <row r="345" customFormat="false" ht="15.75" hidden="false" customHeight="true" outlineLevel="0" collapsed="false">
      <c r="A345" s="48" t="str">
        <f aca="false">IF(Produtos!$A345="","",Produtos!$A345)</f>
        <v/>
      </c>
      <c r="B345" s="48" t="str">
        <f aca="false">IF(Produtos!$A345="","",Produtos!$B345)</f>
        <v/>
      </c>
      <c r="C345" s="48" t="str">
        <f aca="false">IF(Produtos!$A345="","",Produtos!$C345)</f>
        <v/>
      </c>
      <c r="D345" s="33" t="str">
        <f aca="false">IF(Produtos!$A345="","",IF(Produtos!$D345="","",Produtos!$D345))</f>
        <v/>
      </c>
      <c r="E345" s="11"/>
      <c r="F345" s="34" t="str">
        <f aca="false">IF($A345="","",IF($C345="","⚠ categoria",IFERROR(INDEX(Parâmetros!$B$13:$B$22,MATCH($C345,Parâmetros!$A$13:$A$22,0)),"⚠ categoria")))</f>
        <v/>
      </c>
      <c r="G345" s="35"/>
      <c r="H345" s="36" t="str">
        <f aca="false">IF($A345="","",IF(ISNUMBER($G345),$G345,IF(ISNUMBER($F345),$F345,"")))</f>
        <v/>
      </c>
      <c r="I345" s="37" t="str">
        <f aca="false">IF(OR($A345="",NOT(ISNUMBER($D345)),NOT(ISNUMBER($H345))),"",IF((1-$H345-Parâmetros!$B$4-Parâmetros!$C$4-Parâmetros!$D$4)&lt;=0,"INVALIDO",($D345+IF(ISNUMBER($E345),$E345,0)+IF(ISNUMBER(Parâmetros!$E$4),Parâmetros!$E$4,0))/(1-$H345-Parâmetros!$B$4-Parâmetros!$C$4-Parâmetros!$D$4)))</f>
        <v/>
      </c>
      <c r="J345" s="38"/>
      <c r="K345" s="39" t="str">
        <f aca="false">IF(OR($A345="",NOT(ISNUMBER($D345)),NOT(ISNUMBER($H345))),"",IF(AND(ISNUMBER($J345),$J345&gt;0),$J345,IF(ISNUMBER($I345),$I345,"")))</f>
        <v/>
      </c>
      <c r="L345" s="40" t="str">
        <f aca="false">IF(ISNUMBER($K345),$K345*$H345,"")</f>
        <v/>
      </c>
      <c r="M345" s="40" t="str">
        <f aca="false">IF(ISNUMBER($K345),$K345*Parâmetros!$B$4,"")</f>
        <v/>
      </c>
      <c r="N345" s="40" t="str">
        <f aca="false">IF(ISNUMBER($K345),$K345*Parâmetros!$C$4,"")</f>
        <v/>
      </c>
      <c r="O345" s="40" t="str">
        <f aca="false">IF(ISNUMBER($K345),IF(ISNUMBER(Parâmetros!$E$4),Parâmetros!$E$4,0),"")</f>
        <v/>
      </c>
      <c r="P345" s="41" t="str">
        <f aca="false">IF(ISNUMBER($K345),$K345-$D345-IF(ISNUMBER($E345),$E345,0)-$L345-$M345-$N345-$O345,"")</f>
        <v/>
      </c>
      <c r="Q345" s="42" t="str">
        <f aca="false">IF(AND(ISNUMBER($K345),$K345&gt;0),$P345/$K345,"")</f>
        <v/>
      </c>
      <c r="R345" s="43"/>
      <c r="S345" s="44" t="str">
        <f aca="false">IF(OR(NOT(ISNUMBER($R345)),$R345=0,NOT(ISNUMBER($K345))),"",$K345*(1-$R345))</f>
        <v/>
      </c>
      <c r="T345" s="45" t="str">
        <f aca="false">IF(ISNUMBER($S345),$S345*$H345,"")</f>
        <v/>
      </c>
      <c r="U345" s="45" t="str">
        <f aca="false">IF(ISNUMBER($S345),$S345*Parâmetros!$B$4,"")</f>
        <v/>
      </c>
      <c r="V345" s="45" t="str">
        <f aca="false">IF(ISNUMBER($S345),$S345*Parâmetros!$C$4,"")</f>
        <v/>
      </c>
      <c r="W345" s="44" t="str">
        <f aca="false">IF(ISNUMBER($S345),$S345-$D345-IF(ISNUMBER($E345),$E345,0)-$O345-$T345-$U345-$V345,"")</f>
        <v/>
      </c>
      <c r="X345" s="46" t="str">
        <f aca="false">IF(AND(ISNUMBER($S345),$S345&gt;0),$W345/$S345,"")</f>
        <v/>
      </c>
      <c r="Y345" s="49"/>
      <c r="Z345" s="21"/>
    </row>
    <row r="346" customFormat="false" ht="15.75" hidden="false" customHeight="true" outlineLevel="0" collapsed="false">
      <c r="A346" s="32" t="str">
        <f aca="false">IF(Produtos!$A346="","",Produtos!$A346)</f>
        <v/>
      </c>
      <c r="B346" s="32" t="str">
        <f aca="false">IF(Produtos!$A346="","",Produtos!$B346)</f>
        <v/>
      </c>
      <c r="C346" s="32" t="str">
        <f aca="false">IF(Produtos!$A346="","",Produtos!$C346)</f>
        <v/>
      </c>
      <c r="D346" s="33" t="str">
        <f aca="false">IF(Produtos!$A346="","",IF(Produtos!$D346="","",Produtos!$D346))</f>
        <v/>
      </c>
      <c r="E346" s="11"/>
      <c r="F346" s="34" t="str">
        <f aca="false">IF($A346="","",IF($C346="","⚠ categoria",IFERROR(INDEX(Parâmetros!$B$13:$B$22,MATCH($C346,Parâmetros!$A$13:$A$22,0)),"⚠ categoria")))</f>
        <v/>
      </c>
      <c r="G346" s="35"/>
      <c r="H346" s="36" t="str">
        <f aca="false">IF($A346="","",IF(ISNUMBER($G346),$G346,IF(ISNUMBER($F346),$F346,"")))</f>
        <v/>
      </c>
      <c r="I346" s="37" t="str">
        <f aca="false">IF(OR($A346="",NOT(ISNUMBER($D346)),NOT(ISNUMBER($H346))),"",IF((1-$H346-Parâmetros!$B$4-Parâmetros!$C$4-Parâmetros!$D$4)&lt;=0,"INVALIDO",($D346+IF(ISNUMBER($E346),$E346,0)+IF(ISNUMBER(Parâmetros!$E$4),Parâmetros!$E$4,0))/(1-$H346-Parâmetros!$B$4-Parâmetros!$C$4-Parâmetros!$D$4)))</f>
        <v/>
      </c>
      <c r="J346" s="38"/>
      <c r="K346" s="39" t="str">
        <f aca="false">IF(OR($A346="",NOT(ISNUMBER($D346)),NOT(ISNUMBER($H346))),"",IF(AND(ISNUMBER($J346),$J346&gt;0),$J346,IF(ISNUMBER($I346),$I346,"")))</f>
        <v/>
      </c>
      <c r="L346" s="40" t="str">
        <f aca="false">IF(ISNUMBER($K346),$K346*$H346,"")</f>
        <v/>
      </c>
      <c r="M346" s="40" t="str">
        <f aca="false">IF(ISNUMBER($K346),$K346*Parâmetros!$B$4,"")</f>
        <v/>
      </c>
      <c r="N346" s="40" t="str">
        <f aca="false">IF(ISNUMBER($K346),$K346*Parâmetros!$C$4,"")</f>
        <v/>
      </c>
      <c r="O346" s="40" t="str">
        <f aca="false">IF(ISNUMBER($K346),IF(ISNUMBER(Parâmetros!$E$4),Parâmetros!$E$4,0),"")</f>
        <v/>
      </c>
      <c r="P346" s="41" t="str">
        <f aca="false">IF(ISNUMBER($K346),$K346-$D346-IF(ISNUMBER($E346),$E346,0)-$L346-$M346-$N346-$O346,"")</f>
        <v/>
      </c>
      <c r="Q346" s="42" t="str">
        <f aca="false">IF(AND(ISNUMBER($K346),$K346&gt;0),$P346/$K346,"")</f>
        <v/>
      </c>
      <c r="R346" s="43"/>
      <c r="S346" s="44" t="str">
        <f aca="false">IF(OR(NOT(ISNUMBER($R346)),$R346=0,NOT(ISNUMBER($K346))),"",$K346*(1-$R346))</f>
        <v/>
      </c>
      <c r="T346" s="45" t="str">
        <f aca="false">IF(ISNUMBER($S346),$S346*$H346,"")</f>
        <v/>
      </c>
      <c r="U346" s="45" t="str">
        <f aca="false">IF(ISNUMBER($S346),$S346*Parâmetros!$B$4,"")</f>
        <v/>
      </c>
      <c r="V346" s="45" t="str">
        <f aca="false">IF(ISNUMBER($S346),$S346*Parâmetros!$C$4,"")</f>
        <v/>
      </c>
      <c r="W346" s="44" t="str">
        <f aca="false">IF(ISNUMBER($S346),$S346-$D346-IF(ISNUMBER($E346),$E346,0)-$O346-$T346-$U346-$V346,"")</f>
        <v/>
      </c>
      <c r="X346" s="46" t="str">
        <f aca="false">IF(AND(ISNUMBER($S346),$S346&gt;0),$W346/$S346,"")</f>
        <v/>
      </c>
      <c r="Y346" s="47"/>
      <c r="Z346" s="19"/>
    </row>
    <row r="347" customFormat="false" ht="15.75" hidden="false" customHeight="true" outlineLevel="0" collapsed="false">
      <c r="A347" s="48" t="str">
        <f aca="false">IF(Produtos!$A347="","",Produtos!$A347)</f>
        <v/>
      </c>
      <c r="B347" s="48" t="str">
        <f aca="false">IF(Produtos!$A347="","",Produtos!$B347)</f>
        <v/>
      </c>
      <c r="C347" s="48" t="str">
        <f aca="false">IF(Produtos!$A347="","",Produtos!$C347)</f>
        <v/>
      </c>
      <c r="D347" s="33" t="str">
        <f aca="false">IF(Produtos!$A347="","",IF(Produtos!$D347="","",Produtos!$D347))</f>
        <v/>
      </c>
      <c r="E347" s="11"/>
      <c r="F347" s="34" t="str">
        <f aca="false">IF($A347="","",IF($C347="","⚠ categoria",IFERROR(INDEX(Parâmetros!$B$13:$B$22,MATCH($C347,Parâmetros!$A$13:$A$22,0)),"⚠ categoria")))</f>
        <v/>
      </c>
      <c r="G347" s="35"/>
      <c r="H347" s="36" t="str">
        <f aca="false">IF($A347="","",IF(ISNUMBER($G347),$G347,IF(ISNUMBER($F347),$F347,"")))</f>
        <v/>
      </c>
      <c r="I347" s="37" t="str">
        <f aca="false">IF(OR($A347="",NOT(ISNUMBER($D347)),NOT(ISNUMBER($H347))),"",IF((1-$H347-Parâmetros!$B$4-Parâmetros!$C$4-Parâmetros!$D$4)&lt;=0,"INVALIDO",($D347+IF(ISNUMBER($E347),$E347,0)+IF(ISNUMBER(Parâmetros!$E$4),Parâmetros!$E$4,0))/(1-$H347-Parâmetros!$B$4-Parâmetros!$C$4-Parâmetros!$D$4)))</f>
        <v/>
      </c>
      <c r="J347" s="38"/>
      <c r="K347" s="39" t="str">
        <f aca="false">IF(OR($A347="",NOT(ISNUMBER($D347)),NOT(ISNUMBER($H347))),"",IF(AND(ISNUMBER($J347),$J347&gt;0),$J347,IF(ISNUMBER($I347),$I347,"")))</f>
        <v/>
      </c>
      <c r="L347" s="40" t="str">
        <f aca="false">IF(ISNUMBER($K347),$K347*$H347,"")</f>
        <v/>
      </c>
      <c r="M347" s="40" t="str">
        <f aca="false">IF(ISNUMBER($K347),$K347*Parâmetros!$B$4,"")</f>
        <v/>
      </c>
      <c r="N347" s="40" t="str">
        <f aca="false">IF(ISNUMBER($K347),$K347*Parâmetros!$C$4,"")</f>
        <v/>
      </c>
      <c r="O347" s="40" t="str">
        <f aca="false">IF(ISNUMBER($K347),IF(ISNUMBER(Parâmetros!$E$4),Parâmetros!$E$4,0),"")</f>
        <v/>
      </c>
      <c r="P347" s="41" t="str">
        <f aca="false">IF(ISNUMBER($K347),$K347-$D347-IF(ISNUMBER($E347),$E347,0)-$L347-$M347-$N347-$O347,"")</f>
        <v/>
      </c>
      <c r="Q347" s="42" t="str">
        <f aca="false">IF(AND(ISNUMBER($K347),$K347&gt;0),$P347/$K347,"")</f>
        <v/>
      </c>
      <c r="R347" s="43"/>
      <c r="S347" s="44" t="str">
        <f aca="false">IF(OR(NOT(ISNUMBER($R347)),$R347=0,NOT(ISNUMBER($K347))),"",$K347*(1-$R347))</f>
        <v/>
      </c>
      <c r="T347" s="45" t="str">
        <f aca="false">IF(ISNUMBER($S347),$S347*$H347,"")</f>
        <v/>
      </c>
      <c r="U347" s="45" t="str">
        <f aca="false">IF(ISNUMBER($S347),$S347*Parâmetros!$B$4,"")</f>
        <v/>
      </c>
      <c r="V347" s="45" t="str">
        <f aca="false">IF(ISNUMBER($S347),$S347*Parâmetros!$C$4,"")</f>
        <v/>
      </c>
      <c r="W347" s="44" t="str">
        <f aca="false">IF(ISNUMBER($S347),$S347-$D347-IF(ISNUMBER($E347),$E347,0)-$O347-$T347-$U347-$V347,"")</f>
        <v/>
      </c>
      <c r="X347" s="46" t="str">
        <f aca="false">IF(AND(ISNUMBER($S347),$S347&gt;0),$W347/$S347,"")</f>
        <v/>
      </c>
      <c r="Y347" s="49"/>
      <c r="Z347" s="21"/>
    </row>
    <row r="348" customFormat="false" ht="15.75" hidden="false" customHeight="true" outlineLevel="0" collapsed="false">
      <c r="A348" s="32" t="str">
        <f aca="false">IF(Produtos!$A348="","",Produtos!$A348)</f>
        <v/>
      </c>
      <c r="B348" s="32" t="str">
        <f aca="false">IF(Produtos!$A348="","",Produtos!$B348)</f>
        <v/>
      </c>
      <c r="C348" s="32" t="str">
        <f aca="false">IF(Produtos!$A348="","",Produtos!$C348)</f>
        <v/>
      </c>
      <c r="D348" s="33" t="str">
        <f aca="false">IF(Produtos!$A348="","",IF(Produtos!$D348="","",Produtos!$D348))</f>
        <v/>
      </c>
      <c r="E348" s="11"/>
      <c r="F348" s="34" t="str">
        <f aca="false">IF($A348="","",IF($C348="","⚠ categoria",IFERROR(INDEX(Parâmetros!$B$13:$B$22,MATCH($C348,Parâmetros!$A$13:$A$22,0)),"⚠ categoria")))</f>
        <v/>
      </c>
      <c r="G348" s="35"/>
      <c r="H348" s="36" t="str">
        <f aca="false">IF($A348="","",IF(ISNUMBER($G348),$G348,IF(ISNUMBER($F348),$F348,"")))</f>
        <v/>
      </c>
      <c r="I348" s="37" t="str">
        <f aca="false">IF(OR($A348="",NOT(ISNUMBER($D348)),NOT(ISNUMBER($H348))),"",IF((1-$H348-Parâmetros!$B$4-Parâmetros!$C$4-Parâmetros!$D$4)&lt;=0,"INVALIDO",($D348+IF(ISNUMBER($E348),$E348,0)+IF(ISNUMBER(Parâmetros!$E$4),Parâmetros!$E$4,0))/(1-$H348-Parâmetros!$B$4-Parâmetros!$C$4-Parâmetros!$D$4)))</f>
        <v/>
      </c>
      <c r="J348" s="38"/>
      <c r="K348" s="39" t="str">
        <f aca="false">IF(OR($A348="",NOT(ISNUMBER($D348)),NOT(ISNUMBER($H348))),"",IF(AND(ISNUMBER($J348),$J348&gt;0),$J348,IF(ISNUMBER($I348),$I348,"")))</f>
        <v/>
      </c>
      <c r="L348" s="40" t="str">
        <f aca="false">IF(ISNUMBER($K348),$K348*$H348,"")</f>
        <v/>
      </c>
      <c r="M348" s="40" t="str">
        <f aca="false">IF(ISNUMBER($K348),$K348*Parâmetros!$B$4,"")</f>
        <v/>
      </c>
      <c r="N348" s="40" t="str">
        <f aca="false">IF(ISNUMBER($K348),$K348*Parâmetros!$C$4,"")</f>
        <v/>
      </c>
      <c r="O348" s="40" t="str">
        <f aca="false">IF(ISNUMBER($K348),IF(ISNUMBER(Parâmetros!$E$4),Parâmetros!$E$4,0),"")</f>
        <v/>
      </c>
      <c r="P348" s="41" t="str">
        <f aca="false">IF(ISNUMBER($K348),$K348-$D348-IF(ISNUMBER($E348),$E348,0)-$L348-$M348-$N348-$O348,"")</f>
        <v/>
      </c>
      <c r="Q348" s="42" t="str">
        <f aca="false">IF(AND(ISNUMBER($K348),$K348&gt;0),$P348/$K348,"")</f>
        <v/>
      </c>
      <c r="R348" s="43"/>
      <c r="S348" s="44" t="str">
        <f aca="false">IF(OR(NOT(ISNUMBER($R348)),$R348=0,NOT(ISNUMBER($K348))),"",$K348*(1-$R348))</f>
        <v/>
      </c>
      <c r="T348" s="45" t="str">
        <f aca="false">IF(ISNUMBER($S348),$S348*$H348,"")</f>
        <v/>
      </c>
      <c r="U348" s="45" t="str">
        <f aca="false">IF(ISNUMBER($S348),$S348*Parâmetros!$B$4,"")</f>
        <v/>
      </c>
      <c r="V348" s="45" t="str">
        <f aca="false">IF(ISNUMBER($S348),$S348*Parâmetros!$C$4,"")</f>
        <v/>
      </c>
      <c r="W348" s="44" t="str">
        <f aca="false">IF(ISNUMBER($S348),$S348-$D348-IF(ISNUMBER($E348),$E348,0)-$O348-$T348-$U348-$V348,"")</f>
        <v/>
      </c>
      <c r="X348" s="46" t="str">
        <f aca="false">IF(AND(ISNUMBER($S348),$S348&gt;0),$W348/$S348,"")</f>
        <v/>
      </c>
      <c r="Y348" s="47"/>
      <c r="Z348" s="19"/>
    </row>
    <row r="349" customFormat="false" ht="15.75" hidden="false" customHeight="true" outlineLevel="0" collapsed="false">
      <c r="A349" s="48" t="str">
        <f aca="false">IF(Produtos!$A349="","",Produtos!$A349)</f>
        <v/>
      </c>
      <c r="B349" s="48" t="str">
        <f aca="false">IF(Produtos!$A349="","",Produtos!$B349)</f>
        <v/>
      </c>
      <c r="C349" s="48" t="str">
        <f aca="false">IF(Produtos!$A349="","",Produtos!$C349)</f>
        <v/>
      </c>
      <c r="D349" s="33" t="str">
        <f aca="false">IF(Produtos!$A349="","",IF(Produtos!$D349="","",Produtos!$D349))</f>
        <v/>
      </c>
      <c r="E349" s="11"/>
      <c r="F349" s="34" t="str">
        <f aca="false">IF($A349="","",IF($C349="","⚠ categoria",IFERROR(INDEX(Parâmetros!$B$13:$B$22,MATCH($C349,Parâmetros!$A$13:$A$22,0)),"⚠ categoria")))</f>
        <v/>
      </c>
      <c r="G349" s="35"/>
      <c r="H349" s="36" t="str">
        <f aca="false">IF($A349="","",IF(ISNUMBER($G349),$G349,IF(ISNUMBER($F349),$F349,"")))</f>
        <v/>
      </c>
      <c r="I349" s="37" t="str">
        <f aca="false">IF(OR($A349="",NOT(ISNUMBER($D349)),NOT(ISNUMBER($H349))),"",IF((1-$H349-Parâmetros!$B$4-Parâmetros!$C$4-Parâmetros!$D$4)&lt;=0,"INVALIDO",($D349+IF(ISNUMBER($E349),$E349,0)+IF(ISNUMBER(Parâmetros!$E$4),Parâmetros!$E$4,0))/(1-$H349-Parâmetros!$B$4-Parâmetros!$C$4-Parâmetros!$D$4)))</f>
        <v/>
      </c>
      <c r="J349" s="38"/>
      <c r="K349" s="39" t="str">
        <f aca="false">IF(OR($A349="",NOT(ISNUMBER($D349)),NOT(ISNUMBER($H349))),"",IF(AND(ISNUMBER($J349),$J349&gt;0),$J349,IF(ISNUMBER($I349),$I349,"")))</f>
        <v/>
      </c>
      <c r="L349" s="40" t="str">
        <f aca="false">IF(ISNUMBER($K349),$K349*$H349,"")</f>
        <v/>
      </c>
      <c r="M349" s="40" t="str">
        <f aca="false">IF(ISNUMBER($K349),$K349*Parâmetros!$B$4,"")</f>
        <v/>
      </c>
      <c r="N349" s="40" t="str">
        <f aca="false">IF(ISNUMBER($K349),$K349*Parâmetros!$C$4,"")</f>
        <v/>
      </c>
      <c r="O349" s="40" t="str">
        <f aca="false">IF(ISNUMBER($K349),IF(ISNUMBER(Parâmetros!$E$4),Parâmetros!$E$4,0),"")</f>
        <v/>
      </c>
      <c r="P349" s="41" t="str">
        <f aca="false">IF(ISNUMBER($K349),$K349-$D349-IF(ISNUMBER($E349),$E349,0)-$L349-$M349-$N349-$O349,"")</f>
        <v/>
      </c>
      <c r="Q349" s="42" t="str">
        <f aca="false">IF(AND(ISNUMBER($K349),$K349&gt;0),$P349/$K349,"")</f>
        <v/>
      </c>
      <c r="R349" s="43"/>
      <c r="S349" s="44" t="str">
        <f aca="false">IF(OR(NOT(ISNUMBER($R349)),$R349=0,NOT(ISNUMBER($K349))),"",$K349*(1-$R349))</f>
        <v/>
      </c>
      <c r="T349" s="45" t="str">
        <f aca="false">IF(ISNUMBER($S349),$S349*$H349,"")</f>
        <v/>
      </c>
      <c r="U349" s="45" t="str">
        <f aca="false">IF(ISNUMBER($S349),$S349*Parâmetros!$B$4,"")</f>
        <v/>
      </c>
      <c r="V349" s="45" t="str">
        <f aca="false">IF(ISNUMBER($S349),$S349*Parâmetros!$C$4,"")</f>
        <v/>
      </c>
      <c r="W349" s="44" t="str">
        <f aca="false">IF(ISNUMBER($S349),$S349-$D349-IF(ISNUMBER($E349),$E349,0)-$O349-$T349-$U349-$V349,"")</f>
        <v/>
      </c>
      <c r="X349" s="46" t="str">
        <f aca="false">IF(AND(ISNUMBER($S349),$S349&gt;0),$W349/$S349,"")</f>
        <v/>
      </c>
      <c r="Y349" s="49"/>
      <c r="Z349" s="21"/>
    </row>
  </sheetData>
  <autoFilter ref="A3:Z349"/>
  <mergeCells count="7">
    <mergeCell ref="A1:Z1"/>
    <mergeCell ref="A2:C2"/>
    <mergeCell ref="D2:E2"/>
    <mergeCell ref="F2:H2"/>
    <mergeCell ref="L2:Q2"/>
    <mergeCell ref="R2:X2"/>
    <mergeCell ref="Y2:Z2"/>
  </mergeCells>
  <conditionalFormatting sqref="P4:P349">
    <cfRule type="expression" priority="2" aboveAverage="0" equalAverage="0" bottom="0" percent="0" rank="0" text="" dxfId="19">
      <formula>AND(ISNUMBER($P4),$P4&lt;0)</formula>
    </cfRule>
  </conditionalFormatting>
  <conditionalFormatting sqref="Q4:Q349">
    <cfRule type="expression" priority="3" aboveAverage="0" equalAverage="0" bottom="0" percent="0" rank="0" text="" dxfId="19">
      <formula>AND(ISNUMBER($Q4),$Q4&lt;0)</formula>
    </cfRule>
    <cfRule type="expression" priority="4" aboveAverage="0" equalAverage="0" bottom="0" percent="0" rank="0" text="" dxfId="20">
      <formula>AND(ISNUMBER($Q4),$Q4&lt;Parâmetros!$D$4)</formula>
    </cfRule>
  </conditionalFormatting>
  <conditionalFormatting sqref="W4:W349">
    <cfRule type="expression" priority="5" aboveAverage="0" equalAverage="0" bottom="0" percent="0" rank="0" text="" dxfId="19">
      <formula>AND(ISNUMBER($W4),$W4&lt;0)</formula>
    </cfRule>
  </conditionalFormatting>
  <conditionalFormatting sqref="X4:X349">
    <cfRule type="expression" priority="6" aboveAverage="0" equalAverage="0" bottom="0" percent="0" rank="0" text="" dxfId="19">
      <formula>AND(ISNUMBER($X4),$X4&lt;0)</formula>
    </cfRule>
    <cfRule type="expression" priority="7" aboveAverage="0" equalAverage="0" bottom="0" percent="0" rank="0" text="" dxfId="20">
      <formula>AND(ISNUMBER($X4),$X4&lt;Parâmetros!$D$4)</formula>
    </cfRule>
  </conditionalFormatting>
  <conditionalFormatting sqref="F4:F349">
    <cfRule type="expression" priority="8" aboveAverage="0" equalAverage="0" bottom="0" percent="0" rank="0" text="" dxfId="19">
      <formula>$F4="⚠ categoria"</formula>
    </cfRule>
  </conditionalFormatting>
  <conditionalFormatting sqref="I4:I349">
    <cfRule type="expression" priority="9" aboveAverage="0" equalAverage="0" bottom="0" percent="0" rank="0" text="" dxfId="19">
      <formula>$I4="INVALIDO"</formula>
    </cfRule>
  </conditionalFormatting>
  <dataValidations count="2">
    <dataValidation allowBlank="true" error="Digite o desconto como fração (0,10 = 10%)." errorStyle="stop" errorTitle="% Desconto" operator="between" showDropDown="false" showErrorMessage="true" showInputMessage="false" sqref="R4:R349" type="decimal">
      <formula1>0</formula1>
      <formula2>1</formula2>
    </dataValidation>
    <dataValidation allowBlank="true" error="Digite a comissão como fração (0,12 = 12%)." errorStyle="stop" errorTitle="Comissão manual" operator="between" showDropDown="false" showErrorMessage="true" showInputMessage="false" sqref="G4:G349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700"/>
    <pageSetUpPr fitToPage="false"/>
  </sheetPr>
  <dimension ref="A1:Z34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4"/>
    <col collapsed="false" customWidth="true" hidden="false" outlineLevel="0" max="3" min="3" style="0" width="22"/>
    <col collapsed="false" customWidth="true" hidden="false" outlineLevel="0" max="4" min="4" style="0" width="13"/>
    <col collapsed="false" customWidth="true" hidden="false" outlineLevel="0" max="8" min="5" style="0" width="11"/>
    <col collapsed="false" customWidth="true" hidden="false" outlineLevel="0" max="11" min="9" style="0" width="13"/>
    <col collapsed="false" customWidth="true" hidden="false" outlineLevel="0" max="13" min="12" style="0" width="12"/>
    <col collapsed="false" customWidth="true" hidden="false" outlineLevel="0" max="15" min="14" style="0" width="11"/>
    <col collapsed="false" customWidth="true" hidden="false" outlineLevel="0" max="16" min="16" style="0" width="13"/>
    <col collapsed="false" customWidth="true" hidden="false" outlineLevel="0" max="18" min="17" style="0" width="10"/>
    <col collapsed="false" customWidth="true" hidden="false" outlineLevel="0" max="19" min="19" style="0" width="13"/>
    <col collapsed="false" customWidth="true" hidden="false" outlineLevel="0" max="21" min="20" style="0" width="12"/>
    <col collapsed="false" customWidth="true" hidden="false" outlineLevel="0" max="22" min="22" style="0" width="11"/>
    <col collapsed="false" customWidth="true" hidden="false" outlineLevel="0" max="23" min="23" style="0" width="13"/>
    <col collapsed="false" customWidth="true" hidden="false" outlineLevel="0" max="24" min="24" style="0" width="10"/>
    <col collapsed="false" customWidth="true" hidden="false" outlineLevel="0" max="25" min="25" style="0" width="11"/>
    <col collapsed="false" customWidth="true" hidden="false" outlineLevel="0" max="26" min="26" style="0" width="34"/>
  </cols>
  <sheetData>
    <row r="1" customFormat="false" ht="24" hidden="false" customHeight="true" outlineLevel="0" collapsed="false">
      <c r="A1" s="1" t="str">
        <f aca="false">"MERCADO LIVRE — PREMIUM  |  Comissão por categoria (aba Parâmetros) ou manual por linha  |  Imposto "&amp;TEXT(Parâmetros!$B$5,"0%")&amp;"  |  ADS "&amp;TEXT(Parâmetros!$C$5,"0.0%")&amp;"  |  Margem mín. "&amp;TEXT(Parâmetros!$D$5,"0%")&amp;"  |  Custo fixo/un. R$ "&amp;TEXT(Parâmetros!$E$5,"0.00")</f>
        <v>MERCADO LIVRE — PREMIUM  |  Comissão por categoria (aba Parâmetros) ou manual por linha  |  Imposto 10%  |  ADS 3.0%  |  Margem mín. 20%  |  Custo fixo/un. R$ 0.00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27.75" hidden="false" customHeight="true" outlineLevel="0" collapsed="false">
      <c r="A2" s="23" t="s">
        <v>704</v>
      </c>
      <c r="B2" s="23"/>
      <c r="C2" s="23"/>
      <c r="D2" s="24" t="s">
        <v>705</v>
      </c>
      <c r="E2" s="24"/>
      <c r="F2" s="25" t="s">
        <v>706</v>
      </c>
      <c r="G2" s="25"/>
      <c r="H2" s="25"/>
      <c r="I2" s="26" t="s">
        <v>707</v>
      </c>
      <c r="J2" s="27" t="s">
        <v>708</v>
      </c>
      <c r="K2" s="28" t="s">
        <v>709</v>
      </c>
      <c r="L2" s="29" t="s">
        <v>710</v>
      </c>
      <c r="M2" s="29"/>
      <c r="N2" s="29"/>
      <c r="O2" s="29"/>
      <c r="P2" s="29"/>
      <c r="Q2" s="29"/>
      <c r="R2" s="30" t="s">
        <v>711</v>
      </c>
      <c r="S2" s="30"/>
      <c r="T2" s="30"/>
      <c r="U2" s="30"/>
      <c r="V2" s="30"/>
      <c r="W2" s="30"/>
      <c r="X2" s="30"/>
      <c r="Y2" s="31" t="s">
        <v>712</v>
      </c>
      <c r="Z2" s="31"/>
    </row>
    <row r="3" customFormat="false" ht="39.75" hidden="false" customHeight="true" outlineLevel="0" collapsed="false">
      <c r="A3" s="7" t="s">
        <v>101</v>
      </c>
      <c r="B3" s="7" t="s">
        <v>102</v>
      </c>
      <c r="C3" s="7" t="s">
        <v>82</v>
      </c>
      <c r="D3" s="7" t="s">
        <v>104</v>
      </c>
      <c r="E3" s="7" t="s">
        <v>713</v>
      </c>
      <c r="F3" s="7" t="s">
        <v>714</v>
      </c>
      <c r="G3" s="7" t="s">
        <v>715</v>
      </c>
      <c r="H3" s="7" t="s">
        <v>716</v>
      </c>
      <c r="I3" s="7" t="s">
        <v>717</v>
      </c>
      <c r="J3" s="7" t="s">
        <v>718</v>
      </c>
      <c r="K3" s="7" t="s">
        <v>719</v>
      </c>
      <c r="L3" s="7" t="s">
        <v>720</v>
      </c>
      <c r="M3" s="7" t="s">
        <v>721</v>
      </c>
      <c r="N3" s="7" t="s">
        <v>722</v>
      </c>
      <c r="O3" s="7" t="s">
        <v>723</v>
      </c>
      <c r="P3" s="7" t="s">
        <v>724</v>
      </c>
      <c r="Q3" s="7" t="s">
        <v>725</v>
      </c>
      <c r="R3" s="7" t="s">
        <v>726</v>
      </c>
      <c r="S3" s="7" t="s">
        <v>727</v>
      </c>
      <c r="T3" s="7" t="s">
        <v>728</v>
      </c>
      <c r="U3" s="7" t="s">
        <v>729</v>
      </c>
      <c r="V3" s="7" t="s">
        <v>730</v>
      </c>
      <c r="W3" s="7" t="s">
        <v>731</v>
      </c>
      <c r="X3" s="7" t="s">
        <v>732</v>
      </c>
      <c r="Y3" s="7" t="s">
        <v>733</v>
      </c>
      <c r="Z3" s="7" t="s">
        <v>71</v>
      </c>
    </row>
    <row r="4" customFormat="false" ht="15.75" hidden="false" customHeight="true" outlineLevel="0" collapsed="false">
      <c r="A4" s="32" t="str">
        <f aca="false">IF(Produtos!$A4="","",Produtos!$A4)</f>
        <v>L1618</v>
      </c>
      <c r="B4" s="32" t="str">
        <f aca="false">IF(Produtos!$A4="","",Produtos!$B4)</f>
        <v>Lixeira Aço Inox s/Tampa 16x18 03L</v>
      </c>
      <c r="C4" s="32" t="str">
        <f aca="false">IF(Produtos!$A4="","",Produtos!$C4)</f>
        <v>Lixeiras em inox</v>
      </c>
      <c r="D4" s="33" t="n">
        <f aca="false">IF(Produtos!$A4="","",IF(Produtos!$D4="","",Produtos!$D4))</f>
        <v>39.8</v>
      </c>
      <c r="E4" s="11" t="n">
        <v>14.15</v>
      </c>
      <c r="F4" s="34" t="n">
        <f aca="false">IF($A4="","",IF($C4="","⚠ categoria",IFERROR(INDEX(Parâmetros!$C$13:$C$22,MATCH($C4,Parâmetros!$A$13:$A$22,0)),"⚠ categoria")))</f>
        <v>0.18</v>
      </c>
      <c r="G4" s="35"/>
      <c r="H4" s="36" t="n">
        <f aca="false">IF($A4="","",IF(ISNUMBER($G4),$G4,IF(ISNUMBER($F4),$F4,"")))</f>
        <v>0.18</v>
      </c>
      <c r="I4" s="37" t="n">
        <f aca="false">IF(OR($A4="",NOT(ISNUMBER($D4)),NOT(ISNUMBER($H4))),"",IF((1-$H4-Parâmetros!$B$5-Parâmetros!$C$5-Parâmetros!$D$5)&lt;=0,"INVALIDO",($D4+IF(ISNUMBER($E4),$E4,0)+IF(ISNUMBER(Parâmetros!$E$5),Parâmetros!$E$5,0))/(1-$H4-Parâmetros!$B$5-Parâmetros!$C$5-Parâmetros!$D$5)))</f>
        <v>110.102040816327</v>
      </c>
      <c r="J4" s="38" t="n">
        <v>89.18</v>
      </c>
      <c r="K4" s="39" t="n">
        <f aca="false">IF(OR($A4="",NOT(ISNUMBER($D4)),NOT(ISNUMBER($H4))),"",IF(AND(ISNUMBER($J4),$J4&gt;0),$J4,IF(ISNUMBER($I4),$I4,"")))</f>
        <v>89.18</v>
      </c>
      <c r="L4" s="40" t="n">
        <f aca="false">IF(ISNUMBER($K4),$K4*$H4,"")</f>
        <v>16.0524</v>
      </c>
      <c r="M4" s="40" t="n">
        <f aca="false">IF(ISNUMBER($K4),$K4*Parâmetros!$B$5,"")</f>
        <v>8.918</v>
      </c>
      <c r="N4" s="40" t="n">
        <f aca="false">IF(ISNUMBER($K4),$K4*Parâmetros!$C$5,"")</f>
        <v>2.6754</v>
      </c>
      <c r="O4" s="40" t="n">
        <f aca="false">IF(ISNUMBER($K4),IF(ISNUMBER(Parâmetros!$E$5),Parâmetros!$E$5,0),"")</f>
        <v>0</v>
      </c>
      <c r="P4" s="41" t="n">
        <f aca="false">IF(ISNUMBER($K4),$K4-$D4-IF(ISNUMBER($E4),$E4,0)-$L4-$M4-$N4-$O4,"")</f>
        <v>7.58420000000001</v>
      </c>
      <c r="Q4" s="42" t="n">
        <f aca="false">IF(AND(ISNUMBER($K4),$K4&gt;0),$P4/$K4,"")</f>
        <v>0.0850437317784257</v>
      </c>
      <c r="R4" s="43"/>
      <c r="S4" s="44" t="str">
        <f aca="false">IF(OR(NOT(ISNUMBER($R4)),$R4=0,NOT(ISNUMBER($K4))),"",$K4*(1-$R4))</f>
        <v/>
      </c>
      <c r="T4" s="45" t="str">
        <f aca="false">IF(ISNUMBER($S4),$S4*$H4,"")</f>
        <v/>
      </c>
      <c r="U4" s="45" t="str">
        <f aca="false">IF(ISNUMBER($S4),$S4*Parâmetros!$B$5,"")</f>
        <v/>
      </c>
      <c r="V4" s="45" t="str">
        <f aca="false">IF(ISNUMBER($S4),$S4*Parâmetros!$C$5,"")</f>
        <v/>
      </c>
      <c r="W4" s="44" t="str">
        <f aca="false">IF(ISNUMBER($S4),$S4-$D4-IF(ISNUMBER($E4),$E4,0)-$O4-$T4-$U4-$V4,"")</f>
        <v/>
      </c>
      <c r="X4" s="46" t="str">
        <f aca="false">IF(AND(ISNUMBER($S4),$S4&gt;0),$W4/$S4,"")</f>
        <v/>
      </c>
      <c r="Y4" s="47"/>
      <c r="Z4" s="19"/>
    </row>
    <row r="5" customFormat="false" ht="15.75" hidden="false" customHeight="true" outlineLevel="0" collapsed="false">
      <c r="A5" s="48" t="str">
        <f aca="false">IF(Produtos!$A5="","",Produtos!$A5)</f>
        <v>L1623</v>
      </c>
      <c r="B5" s="48" t="str">
        <f aca="false">IF(Produtos!$A5="","",Produtos!$B5)</f>
        <v>Lixeira Aço Inox s/Tampa 16x23 05L</v>
      </c>
      <c r="C5" s="48" t="str">
        <f aca="false">IF(Produtos!$A5="","",Produtos!$C5)</f>
        <v>Lixeiras em inox</v>
      </c>
      <c r="D5" s="33" t="n">
        <f aca="false">IF(Produtos!$A5="","",IF(Produtos!$D5="","",Produtos!$D5))</f>
        <v>49.15</v>
      </c>
      <c r="E5" s="11" t="n">
        <v>16.45</v>
      </c>
      <c r="F5" s="34" t="n">
        <f aca="false">IF($A5="","",IF($C5="","⚠ categoria",IFERROR(INDEX(Parâmetros!$C$13:$C$22,MATCH($C5,Parâmetros!$A$13:$A$22,0)),"⚠ categoria")))</f>
        <v>0.18</v>
      </c>
      <c r="G5" s="35"/>
      <c r="H5" s="36" t="n">
        <f aca="false">IF($A5="","",IF(ISNUMBER($G5),$G5,IF(ISNUMBER($F5),$F5,"")))</f>
        <v>0.18</v>
      </c>
      <c r="I5" s="37" t="n">
        <f aca="false">IF(OR($A5="",NOT(ISNUMBER($D5)),NOT(ISNUMBER($H5))),"",IF((1-$H5-Parâmetros!$B$5-Parâmetros!$C$5-Parâmetros!$D$5)&lt;=0,"INVALIDO",($D5+IF(ISNUMBER($E5),$E5,0)+IF(ISNUMBER(Parâmetros!$E$5),Parâmetros!$E$5,0))/(1-$H5-Parâmetros!$B$5-Parâmetros!$C$5-Parâmetros!$D$5)))</f>
        <v>133.877551020408</v>
      </c>
      <c r="J5" s="38" t="n">
        <v>104.75</v>
      </c>
      <c r="K5" s="39" t="n">
        <f aca="false">IF(OR($A5="",NOT(ISNUMBER($D5)),NOT(ISNUMBER($H5))),"",IF(AND(ISNUMBER($J5),$J5&gt;0),$J5,IF(ISNUMBER($I5),$I5,"")))</f>
        <v>104.75</v>
      </c>
      <c r="L5" s="40" t="n">
        <f aca="false">IF(ISNUMBER($K5),$K5*$H5,"")</f>
        <v>18.855</v>
      </c>
      <c r="M5" s="40" t="n">
        <f aca="false">IF(ISNUMBER($K5),$K5*Parâmetros!$B$5,"")</f>
        <v>10.475</v>
      </c>
      <c r="N5" s="40" t="n">
        <f aca="false">IF(ISNUMBER($K5),$K5*Parâmetros!$C$5,"")</f>
        <v>3.1425</v>
      </c>
      <c r="O5" s="40" t="n">
        <f aca="false">IF(ISNUMBER($K5),IF(ISNUMBER(Parâmetros!$E$5),Parâmetros!$E$5,0),"")</f>
        <v>0</v>
      </c>
      <c r="P5" s="41" t="n">
        <f aca="false">IF(ISNUMBER($K5),$K5-$D5-IF(ISNUMBER($E5),$E5,0)-$L5-$M5-$N5-$O5,"")</f>
        <v>6.6775</v>
      </c>
      <c r="Q5" s="42" t="n">
        <f aca="false">IF(AND(ISNUMBER($K5),$K5&gt;0),$P5/$K5,"")</f>
        <v>0.063747016706444</v>
      </c>
      <c r="R5" s="43"/>
      <c r="S5" s="44" t="str">
        <f aca="false">IF(OR(NOT(ISNUMBER($R5)),$R5=0,NOT(ISNUMBER($K5))),"",$K5*(1-$R5))</f>
        <v/>
      </c>
      <c r="T5" s="45" t="str">
        <f aca="false">IF(ISNUMBER($S5),$S5*$H5,"")</f>
        <v/>
      </c>
      <c r="U5" s="45" t="str">
        <f aca="false">IF(ISNUMBER($S5),$S5*Parâmetros!$B$5,"")</f>
        <v/>
      </c>
      <c r="V5" s="45" t="str">
        <f aca="false">IF(ISNUMBER($S5),$S5*Parâmetros!$C$5,"")</f>
        <v/>
      </c>
      <c r="W5" s="44" t="str">
        <f aca="false">IF(ISNUMBER($S5),$S5-$D5-IF(ISNUMBER($E5),$E5,0)-$O5-$T5-$U5-$V5,"")</f>
        <v/>
      </c>
      <c r="X5" s="46" t="str">
        <f aca="false">IF(AND(ISNUMBER($S5),$S5&gt;0),$W5/$S5,"")</f>
        <v/>
      </c>
      <c r="Y5" s="49"/>
      <c r="Z5" s="21"/>
    </row>
    <row r="6" customFormat="false" ht="15.75" hidden="false" customHeight="true" outlineLevel="0" collapsed="false">
      <c r="A6" s="32" t="str">
        <f aca="false">IF(Produtos!$A6="","",Produtos!$A6)</f>
        <v>L2025</v>
      </c>
      <c r="B6" s="32" t="str">
        <f aca="false">IF(Produtos!$A6="","",Produtos!$B6)</f>
        <v>Lixeira Aço Inox s/Tampa 20x25 07L</v>
      </c>
      <c r="C6" s="32" t="str">
        <f aca="false">IF(Produtos!$A6="","",Produtos!$C6)</f>
        <v>Lixeiras em inox</v>
      </c>
      <c r="D6" s="33" t="n">
        <f aca="false">IF(Produtos!$A6="","",IF(Produtos!$D6="","",Produtos!$D6))</f>
        <v>51.82</v>
      </c>
      <c r="E6" s="11" t="n">
        <v>16.85</v>
      </c>
      <c r="F6" s="34" t="n">
        <f aca="false">IF($A6="","",IF($C6="","⚠ categoria",IFERROR(INDEX(Parâmetros!$C$13:$C$22,MATCH($C6,Parâmetros!$A$13:$A$22,0)),"⚠ categoria")))</f>
        <v>0.18</v>
      </c>
      <c r="G6" s="35"/>
      <c r="H6" s="36" t="n">
        <f aca="false">IF($A6="","",IF(ISNUMBER($G6),$G6,IF(ISNUMBER($F6),$F6,"")))</f>
        <v>0.18</v>
      </c>
      <c r="I6" s="37" t="n">
        <f aca="false">IF(OR($A6="",NOT(ISNUMBER($D6)),NOT(ISNUMBER($H6))),"",IF((1-$H6-Parâmetros!$B$5-Parâmetros!$C$5-Parâmetros!$D$5)&lt;=0,"INVALIDO",($D6+IF(ISNUMBER($E6),$E6,0)+IF(ISNUMBER(Parâmetros!$E$5),Parâmetros!$E$5,0))/(1-$H6-Parâmetros!$B$5-Parâmetros!$C$5-Parâmetros!$D$5)))</f>
        <v>140.142857142857</v>
      </c>
      <c r="J6" s="38" t="n">
        <v>113.11</v>
      </c>
      <c r="K6" s="39" t="n">
        <f aca="false">IF(OR($A6="",NOT(ISNUMBER($D6)),NOT(ISNUMBER($H6))),"",IF(AND(ISNUMBER($J6),$J6&gt;0),$J6,IF(ISNUMBER($I6),$I6,"")))</f>
        <v>113.11</v>
      </c>
      <c r="L6" s="40" t="n">
        <f aca="false">IF(ISNUMBER($K6),$K6*$H6,"")</f>
        <v>20.3598</v>
      </c>
      <c r="M6" s="40" t="n">
        <f aca="false">IF(ISNUMBER($K6),$K6*Parâmetros!$B$5,"")</f>
        <v>11.311</v>
      </c>
      <c r="N6" s="40" t="n">
        <f aca="false">IF(ISNUMBER($K6),$K6*Parâmetros!$C$5,"")</f>
        <v>3.3933</v>
      </c>
      <c r="O6" s="40" t="n">
        <f aca="false">IF(ISNUMBER($K6),IF(ISNUMBER(Parâmetros!$E$5),Parâmetros!$E$5,0),"")</f>
        <v>0</v>
      </c>
      <c r="P6" s="41" t="n">
        <f aca="false">IF(ISNUMBER($K6),$K6-$D6-IF(ISNUMBER($E6),$E6,0)-$L6-$M6-$N6-$O6,"")</f>
        <v>9.3759</v>
      </c>
      <c r="Q6" s="42" t="n">
        <f aca="false">IF(AND(ISNUMBER($K6),$K6&gt;0),$P6/$K6,"")</f>
        <v>0.0828918751657678</v>
      </c>
      <c r="R6" s="43"/>
      <c r="S6" s="44" t="str">
        <f aca="false">IF(OR(NOT(ISNUMBER($R6)),$R6=0,NOT(ISNUMBER($K6))),"",$K6*(1-$R6))</f>
        <v/>
      </c>
      <c r="T6" s="45" t="str">
        <f aca="false">IF(ISNUMBER($S6),$S6*$H6,"")</f>
        <v/>
      </c>
      <c r="U6" s="45" t="str">
        <f aca="false">IF(ISNUMBER($S6),$S6*Parâmetros!$B$5,"")</f>
        <v/>
      </c>
      <c r="V6" s="45" t="str">
        <f aca="false">IF(ISNUMBER($S6),$S6*Parâmetros!$C$5,"")</f>
        <v/>
      </c>
      <c r="W6" s="44" t="str">
        <f aca="false">IF(ISNUMBER($S6),$S6-$D6-IF(ISNUMBER($E6),$E6,0)-$O6-$T6-$U6-$V6,"")</f>
        <v/>
      </c>
      <c r="X6" s="46" t="str">
        <f aca="false">IF(AND(ISNUMBER($S6),$S6&gt;0),$W6/$S6,"")</f>
        <v/>
      </c>
      <c r="Y6" s="47"/>
      <c r="Z6" s="19"/>
    </row>
    <row r="7" customFormat="false" ht="15.75" hidden="false" customHeight="true" outlineLevel="0" collapsed="false">
      <c r="A7" s="48" t="str">
        <f aca="false">IF(Produtos!$A7="","",Produtos!$A7)</f>
        <v>L2030</v>
      </c>
      <c r="B7" s="48" t="str">
        <f aca="false">IF(Produtos!$A7="","",Produtos!$B7)</f>
        <v>Lixeira Aço Inox s/Tampa 20x30 10L</v>
      </c>
      <c r="C7" s="48" t="str">
        <f aca="false">IF(Produtos!$A7="","",Produtos!$C7)</f>
        <v>Lixeiras em inox</v>
      </c>
      <c r="D7" s="33" t="n">
        <f aca="false">IF(Produtos!$A7="","",IF(Produtos!$D7="","",Produtos!$D7))</f>
        <v>55.49</v>
      </c>
      <c r="E7" s="11" t="n">
        <v>16.85</v>
      </c>
      <c r="F7" s="34" t="n">
        <f aca="false">IF($A7="","",IF($C7="","⚠ categoria",IFERROR(INDEX(Parâmetros!$C$13:$C$22,MATCH($C7,Parâmetros!$A$13:$A$22,0)),"⚠ categoria")))</f>
        <v>0.18</v>
      </c>
      <c r="G7" s="35"/>
      <c r="H7" s="36" t="n">
        <f aca="false">IF($A7="","",IF(ISNUMBER($G7),$G7,IF(ISNUMBER($F7),$F7,"")))</f>
        <v>0.18</v>
      </c>
      <c r="I7" s="37" t="n">
        <f aca="false">IF(OR($A7="",NOT(ISNUMBER($D7)),NOT(ISNUMBER($H7))),"",IF((1-$H7-Parâmetros!$B$5-Parâmetros!$C$5-Parâmetros!$D$5)&lt;=0,"INVALIDO",($D7+IF(ISNUMBER($E7),$E7,0)+IF(ISNUMBER(Parâmetros!$E$5),Parâmetros!$E$5,0))/(1-$H7-Parâmetros!$B$5-Parâmetros!$C$5-Parâmetros!$D$5)))</f>
        <v>147.632653061225</v>
      </c>
      <c r="J7" s="38" t="n">
        <v>119.22</v>
      </c>
      <c r="K7" s="39" t="n">
        <f aca="false">IF(OR($A7="",NOT(ISNUMBER($D7)),NOT(ISNUMBER($H7))),"",IF(AND(ISNUMBER($J7),$J7&gt;0),$J7,IF(ISNUMBER($I7),$I7,"")))</f>
        <v>119.22</v>
      </c>
      <c r="L7" s="40" t="n">
        <f aca="false">IF(ISNUMBER($K7),$K7*$H7,"")</f>
        <v>21.4596</v>
      </c>
      <c r="M7" s="40" t="n">
        <f aca="false">IF(ISNUMBER($K7),$K7*Parâmetros!$B$5,"")</f>
        <v>11.922</v>
      </c>
      <c r="N7" s="40" t="n">
        <f aca="false">IF(ISNUMBER($K7),$K7*Parâmetros!$C$5,"")</f>
        <v>3.5766</v>
      </c>
      <c r="O7" s="40" t="n">
        <f aca="false">IF(ISNUMBER($K7),IF(ISNUMBER(Parâmetros!$E$5),Parâmetros!$E$5,0),"")</f>
        <v>0</v>
      </c>
      <c r="P7" s="41" t="n">
        <f aca="false">IF(ISNUMBER($K7),$K7-$D7-IF(ISNUMBER($E7),$E7,0)-$L7-$M7-$N7-$O7,"")</f>
        <v>9.9218</v>
      </c>
      <c r="Q7" s="42" t="n">
        <f aca="false">IF(AND(ISNUMBER($K7),$K7&gt;0),$P7/$K7,"")</f>
        <v>0.0832226136554269</v>
      </c>
      <c r="R7" s="43"/>
      <c r="S7" s="44" t="str">
        <f aca="false">IF(OR(NOT(ISNUMBER($R7)),$R7=0,NOT(ISNUMBER($K7))),"",$K7*(1-$R7))</f>
        <v/>
      </c>
      <c r="T7" s="45" t="str">
        <f aca="false">IF(ISNUMBER($S7),$S7*$H7,"")</f>
        <v/>
      </c>
      <c r="U7" s="45" t="str">
        <f aca="false">IF(ISNUMBER($S7),$S7*Parâmetros!$B$5,"")</f>
        <v/>
      </c>
      <c r="V7" s="45" t="str">
        <f aca="false">IF(ISNUMBER($S7),$S7*Parâmetros!$C$5,"")</f>
        <v/>
      </c>
      <c r="W7" s="44" t="str">
        <f aca="false">IF(ISNUMBER($S7),$S7-$D7-IF(ISNUMBER($E7),$E7,0)-$O7-$T7-$U7-$V7,"")</f>
        <v/>
      </c>
      <c r="X7" s="46" t="str">
        <f aca="false">IF(AND(ISNUMBER($S7),$S7&gt;0),$W7/$S7,"")</f>
        <v/>
      </c>
      <c r="Y7" s="49"/>
      <c r="Z7" s="21"/>
    </row>
    <row r="8" customFormat="false" ht="15.75" hidden="false" customHeight="true" outlineLevel="0" collapsed="false">
      <c r="A8" s="32" t="str">
        <f aca="false">IF(Produtos!$A8="","",Produtos!$A8)</f>
        <v>L2425</v>
      </c>
      <c r="B8" s="32" t="str">
        <f aca="false">IF(Produtos!$A8="","",Produtos!$B8)</f>
        <v>Lixeira Aço Inox s/Tampa 24x25 13L</v>
      </c>
      <c r="C8" s="32" t="str">
        <f aca="false">IF(Produtos!$A8="","",Produtos!$C8)</f>
        <v>Lixeiras em inox</v>
      </c>
      <c r="D8" s="33" t="n">
        <f aca="false">IF(Produtos!$A8="","",IF(Produtos!$D8="","",Produtos!$D8))</f>
        <v>62.2</v>
      </c>
      <c r="E8" s="11"/>
      <c r="F8" s="34" t="n">
        <f aca="false">IF($A8="","",IF($C8="","⚠ categoria",IFERROR(INDEX(Parâmetros!$C$13:$C$22,MATCH($C8,Parâmetros!$A$13:$A$22,0)),"⚠ categoria")))</f>
        <v>0.18</v>
      </c>
      <c r="G8" s="35"/>
      <c r="H8" s="36" t="n">
        <f aca="false">IF($A8="","",IF(ISNUMBER($G8),$G8,IF(ISNUMBER($F8),$F8,"")))</f>
        <v>0.18</v>
      </c>
      <c r="I8" s="37" t="n">
        <f aca="false">IF(OR($A8="",NOT(ISNUMBER($D8)),NOT(ISNUMBER($H8))),"",IF((1-$H8-Parâmetros!$B$5-Parâmetros!$C$5-Parâmetros!$D$5)&lt;=0,"INVALIDO",($D8+IF(ISNUMBER($E8),$E8,0)+IF(ISNUMBER(Parâmetros!$E$5),Parâmetros!$E$5,0))/(1-$H8-Parâmetros!$B$5-Parâmetros!$C$5-Parâmetros!$D$5)))</f>
        <v>126.938775510204</v>
      </c>
      <c r="J8" s="38"/>
      <c r="K8" s="39" t="n">
        <f aca="false">IF(OR($A8="",NOT(ISNUMBER($D8)),NOT(ISNUMBER($H8))),"",IF(AND(ISNUMBER($J8),$J8&gt;0),$J8,IF(ISNUMBER($I8),$I8,"")))</f>
        <v>126.938775510204</v>
      </c>
      <c r="L8" s="40" t="n">
        <f aca="false">IF(ISNUMBER($K8),$K8*$H8,"")</f>
        <v>22.8489795918367</v>
      </c>
      <c r="M8" s="40" t="n">
        <f aca="false">IF(ISNUMBER($K8),$K8*Parâmetros!$B$5,"")</f>
        <v>12.6938775510204</v>
      </c>
      <c r="N8" s="40" t="n">
        <f aca="false">IF(ISNUMBER($K8),$K8*Parâmetros!$C$5,"")</f>
        <v>3.80816326530612</v>
      </c>
      <c r="O8" s="40" t="n">
        <f aca="false">IF(ISNUMBER($K8),IF(ISNUMBER(Parâmetros!$E$5),Parâmetros!$E$5,0),"")</f>
        <v>0</v>
      </c>
      <c r="P8" s="41" t="n">
        <f aca="false">IF(ISNUMBER($K8),$K8-$D8-IF(ISNUMBER($E8),$E8,0)-$L8-$M8-$N8-$O8,"")</f>
        <v>25.3877551020408</v>
      </c>
      <c r="Q8" s="42" t="n">
        <f aca="false">IF(AND(ISNUMBER($K8),$K8&gt;0),$P8/$K8,"")</f>
        <v>0.2</v>
      </c>
      <c r="R8" s="43"/>
      <c r="S8" s="44" t="str">
        <f aca="false">IF(OR(NOT(ISNUMBER($R8)),$R8=0,NOT(ISNUMBER($K8))),"",$K8*(1-$R8))</f>
        <v/>
      </c>
      <c r="T8" s="45" t="str">
        <f aca="false">IF(ISNUMBER($S8),$S8*$H8,"")</f>
        <v/>
      </c>
      <c r="U8" s="45" t="str">
        <f aca="false">IF(ISNUMBER($S8),$S8*Parâmetros!$B$5,"")</f>
        <v/>
      </c>
      <c r="V8" s="45" t="str">
        <f aca="false">IF(ISNUMBER($S8),$S8*Parâmetros!$C$5,"")</f>
        <v/>
      </c>
      <c r="W8" s="44" t="str">
        <f aca="false">IF(ISNUMBER($S8),$S8-$D8-IF(ISNUMBER($E8),$E8,0)-$O8-$T8-$U8-$V8,"")</f>
        <v/>
      </c>
      <c r="X8" s="46" t="str">
        <f aca="false">IF(AND(ISNUMBER($S8),$S8&gt;0),$W8/$S8,"")</f>
        <v/>
      </c>
      <c r="Y8" s="47"/>
      <c r="Z8" s="19"/>
    </row>
    <row r="9" customFormat="false" ht="15.75" hidden="false" customHeight="true" outlineLevel="0" collapsed="false">
      <c r="A9" s="48" t="str">
        <f aca="false">IF(Produtos!$A9="","",Produtos!$A9)</f>
        <v>L2430</v>
      </c>
      <c r="B9" s="48" t="str">
        <f aca="false">IF(Produtos!$A9="","",Produtos!$B9)</f>
        <v>Lixeira Aço Inox s/Tampa 24x30 15L</v>
      </c>
      <c r="C9" s="48" t="str">
        <f aca="false">IF(Produtos!$A9="","",Produtos!$C9)</f>
        <v>Lixeiras em inox</v>
      </c>
      <c r="D9" s="33" t="n">
        <f aca="false">IF(Produtos!$A9="","",IF(Produtos!$D9="","",Produtos!$D9))</f>
        <v>69.93</v>
      </c>
      <c r="E9" s="11"/>
      <c r="F9" s="34" t="n">
        <f aca="false">IF($A9="","",IF($C9="","⚠ categoria",IFERROR(INDEX(Parâmetros!$C$13:$C$22,MATCH($C9,Parâmetros!$A$13:$A$22,0)),"⚠ categoria")))</f>
        <v>0.18</v>
      </c>
      <c r="G9" s="35"/>
      <c r="H9" s="36" t="n">
        <f aca="false">IF($A9="","",IF(ISNUMBER($G9),$G9,IF(ISNUMBER($F9),$F9,"")))</f>
        <v>0.18</v>
      </c>
      <c r="I9" s="37" t="n">
        <f aca="false">IF(OR($A9="",NOT(ISNUMBER($D9)),NOT(ISNUMBER($H9))),"",IF((1-$H9-Parâmetros!$B$5-Parâmetros!$C$5-Parâmetros!$D$5)&lt;=0,"INVALIDO",($D9+IF(ISNUMBER($E9),$E9,0)+IF(ISNUMBER(Parâmetros!$E$5),Parâmetros!$E$5,0))/(1-$H9-Parâmetros!$B$5-Parâmetros!$C$5-Parâmetros!$D$5)))</f>
        <v>142.714285714286</v>
      </c>
      <c r="J9" s="38"/>
      <c r="K9" s="39" t="n">
        <f aca="false">IF(OR($A9="",NOT(ISNUMBER($D9)),NOT(ISNUMBER($H9))),"",IF(AND(ISNUMBER($J9),$J9&gt;0),$J9,IF(ISNUMBER($I9),$I9,"")))</f>
        <v>142.714285714286</v>
      </c>
      <c r="L9" s="40" t="n">
        <f aca="false">IF(ISNUMBER($K9),$K9*$H9,"")</f>
        <v>25.6885714285714</v>
      </c>
      <c r="M9" s="40" t="n">
        <f aca="false">IF(ISNUMBER($K9),$K9*Parâmetros!$B$5,"")</f>
        <v>14.2714285714286</v>
      </c>
      <c r="N9" s="40" t="n">
        <f aca="false">IF(ISNUMBER($K9),$K9*Parâmetros!$C$5,"")</f>
        <v>4.28142857142857</v>
      </c>
      <c r="O9" s="40" t="n">
        <f aca="false">IF(ISNUMBER($K9),IF(ISNUMBER(Parâmetros!$E$5),Parâmetros!$E$5,0),"")</f>
        <v>0</v>
      </c>
      <c r="P9" s="41" t="n">
        <f aca="false">IF(ISNUMBER($K9),$K9-$D9-IF(ISNUMBER($E9),$E9,0)-$L9-$M9-$N9-$O9,"")</f>
        <v>28.5428571428571</v>
      </c>
      <c r="Q9" s="42" t="n">
        <f aca="false">IF(AND(ISNUMBER($K9),$K9&gt;0),$P9/$K9,"")</f>
        <v>0.2</v>
      </c>
      <c r="R9" s="43"/>
      <c r="S9" s="44" t="str">
        <f aca="false">IF(OR(NOT(ISNUMBER($R9)),$R9=0,NOT(ISNUMBER($K9))),"",$K9*(1-$R9))</f>
        <v/>
      </c>
      <c r="T9" s="45" t="str">
        <f aca="false">IF(ISNUMBER($S9),$S9*$H9,"")</f>
        <v/>
      </c>
      <c r="U9" s="45" t="str">
        <f aca="false">IF(ISNUMBER($S9),$S9*Parâmetros!$B$5,"")</f>
        <v/>
      </c>
      <c r="V9" s="45" t="str">
        <f aca="false">IF(ISNUMBER($S9),$S9*Parâmetros!$C$5,"")</f>
        <v/>
      </c>
      <c r="W9" s="44" t="str">
        <f aca="false">IF(ISNUMBER($S9),$S9-$D9-IF(ISNUMBER($E9),$E9,0)-$O9-$T9-$U9-$V9,"")</f>
        <v/>
      </c>
      <c r="X9" s="46" t="str">
        <f aca="false">IF(AND(ISNUMBER($S9),$S9&gt;0),$W9/$S9,"")</f>
        <v/>
      </c>
      <c r="Y9" s="49"/>
      <c r="Z9" s="21"/>
    </row>
    <row r="10" customFormat="false" ht="15.75" hidden="false" customHeight="true" outlineLevel="0" collapsed="false">
      <c r="A10" s="32" t="str">
        <f aca="false">IF(Produtos!$A10="","",Produtos!$A10)</f>
        <v>L2440</v>
      </c>
      <c r="B10" s="32" t="str">
        <f aca="false">IF(Produtos!$A10="","",Produtos!$B10)</f>
        <v>Lixeira Aço Inox s/Tampa 24x40 20L</v>
      </c>
      <c r="C10" s="32" t="str">
        <f aca="false">IF(Produtos!$A10="","",Produtos!$C10)</f>
        <v>Lixeiras em inox</v>
      </c>
      <c r="D10" s="33" t="n">
        <f aca="false">IF(Produtos!$A10="","",IF(Produtos!$D10="","",Produtos!$D10))</f>
        <v>85.92</v>
      </c>
      <c r="E10" s="11"/>
      <c r="F10" s="34" t="n">
        <f aca="false">IF($A10="","",IF($C10="","⚠ categoria",IFERROR(INDEX(Parâmetros!$C$13:$C$22,MATCH($C10,Parâmetros!$A$13:$A$22,0)),"⚠ categoria")))</f>
        <v>0.18</v>
      </c>
      <c r="G10" s="35"/>
      <c r="H10" s="36" t="n">
        <f aca="false">IF($A10="","",IF(ISNUMBER($G10),$G10,IF(ISNUMBER($F10),$F10,"")))</f>
        <v>0.18</v>
      </c>
      <c r="I10" s="37" t="n">
        <f aca="false">IF(OR($A10="",NOT(ISNUMBER($D10)),NOT(ISNUMBER($H10))),"",IF((1-$H10-Parâmetros!$B$5-Parâmetros!$C$5-Parâmetros!$D$5)&lt;=0,"INVALIDO",($D10+IF(ISNUMBER($E10),$E10,0)+IF(ISNUMBER(Parâmetros!$E$5),Parâmetros!$E$5,0))/(1-$H10-Parâmetros!$B$5-Parâmetros!$C$5-Parâmetros!$D$5)))</f>
        <v>175.34693877551</v>
      </c>
      <c r="J10" s="38"/>
      <c r="K10" s="39" t="n">
        <f aca="false">IF(OR($A10="",NOT(ISNUMBER($D10)),NOT(ISNUMBER($H10))),"",IF(AND(ISNUMBER($J10),$J10&gt;0),$J10,IF(ISNUMBER($I10),$I10,"")))</f>
        <v>175.34693877551</v>
      </c>
      <c r="L10" s="40" t="n">
        <f aca="false">IF(ISNUMBER($K10),$K10*$H10,"")</f>
        <v>31.5624489795918</v>
      </c>
      <c r="M10" s="40" t="n">
        <f aca="false">IF(ISNUMBER($K10),$K10*Parâmetros!$B$5,"")</f>
        <v>17.534693877551</v>
      </c>
      <c r="N10" s="40" t="n">
        <f aca="false">IF(ISNUMBER($K10),$K10*Parâmetros!$C$5,"")</f>
        <v>5.26040816326531</v>
      </c>
      <c r="O10" s="40" t="n">
        <f aca="false">IF(ISNUMBER($K10),IF(ISNUMBER(Parâmetros!$E$5),Parâmetros!$E$5,0),"")</f>
        <v>0</v>
      </c>
      <c r="P10" s="41" t="n">
        <f aca="false">IF(ISNUMBER($K10),$K10-$D10-IF(ISNUMBER($E10),$E10,0)-$L10-$M10-$N10-$O10,"")</f>
        <v>35.069387755102</v>
      </c>
      <c r="Q10" s="42" t="n">
        <f aca="false">IF(AND(ISNUMBER($K10),$K10&gt;0),$P10/$K10,"")</f>
        <v>0.2</v>
      </c>
      <c r="R10" s="43"/>
      <c r="S10" s="44" t="str">
        <f aca="false">IF(OR(NOT(ISNUMBER($R10)),$R10=0,NOT(ISNUMBER($K10))),"",$K10*(1-$R10))</f>
        <v/>
      </c>
      <c r="T10" s="45" t="str">
        <f aca="false">IF(ISNUMBER($S10),$S10*$H10,"")</f>
        <v/>
      </c>
      <c r="U10" s="45" t="str">
        <f aca="false">IF(ISNUMBER($S10),$S10*Parâmetros!$B$5,"")</f>
        <v/>
      </c>
      <c r="V10" s="45" t="str">
        <f aca="false">IF(ISNUMBER($S10),$S10*Parâmetros!$C$5,"")</f>
        <v/>
      </c>
      <c r="W10" s="44" t="str">
        <f aca="false">IF(ISNUMBER($S10),$S10-$D10-IF(ISNUMBER($E10),$E10,0)-$O10-$T10-$U10-$V10,"")</f>
        <v/>
      </c>
      <c r="X10" s="46" t="str">
        <f aca="false">IF(AND(ISNUMBER($S10),$S10&gt;0),$W10/$S10,"")</f>
        <v/>
      </c>
      <c r="Y10" s="47"/>
      <c r="Z10" s="19"/>
    </row>
    <row r="11" customFormat="false" ht="15.75" hidden="false" customHeight="true" outlineLevel="0" collapsed="false">
      <c r="A11" s="48" t="str">
        <f aca="false">IF(Produtos!$A11="","",Produtos!$A11)</f>
        <v>L2450</v>
      </c>
      <c r="B11" s="48" t="str">
        <f aca="false">IF(Produtos!$A11="","",Produtos!$B11)</f>
        <v>Lixeira Aço Inox s/Tampa 24x50 25L</v>
      </c>
      <c r="C11" s="48" t="str">
        <f aca="false">IF(Produtos!$A11="","",Produtos!$C11)</f>
        <v>Lixeiras em inox</v>
      </c>
      <c r="D11" s="33" t="n">
        <f aca="false">IF(Produtos!$A11="","",IF(Produtos!$D11="","",Produtos!$D11))</f>
        <v>116.34</v>
      </c>
      <c r="E11" s="11"/>
      <c r="F11" s="34" t="n">
        <f aca="false">IF($A11="","",IF($C11="","⚠ categoria",IFERROR(INDEX(Parâmetros!$C$13:$C$22,MATCH($C11,Parâmetros!$A$13:$A$22,0)),"⚠ categoria")))</f>
        <v>0.18</v>
      </c>
      <c r="G11" s="35"/>
      <c r="H11" s="36" t="n">
        <f aca="false">IF($A11="","",IF(ISNUMBER($G11),$G11,IF(ISNUMBER($F11),$F11,"")))</f>
        <v>0.18</v>
      </c>
      <c r="I11" s="37" t="n">
        <f aca="false">IF(OR($A11="",NOT(ISNUMBER($D11)),NOT(ISNUMBER($H11))),"",IF((1-$H11-Parâmetros!$B$5-Parâmetros!$C$5-Parâmetros!$D$5)&lt;=0,"INVALIDO",($D11+IF(ISNUMBER($E11),$E11,0)+IF(ISNUMBER(Parâmetros!$E$5),Parâmetros!$E$5,0))/(1-$H11-Parâmetros!$B$5-Parâmetros!$C$5-Parâmetros!$D$5)))</f>
        <v>237.428571428571</v>
      </c>
      <c r="J11" s="38"/>
      <c r="K11" s="39" t="n">
        <f aca="false">IF(OR($A11="",NOT(ISNUMBER($D11)),NOT(ISNUMBER($H11))),"",IF(AND(ISNUMBER($J11),$J11&gt;0),$J11,IF(ISNUMBER($I11),$I11,"")))</f>
        <v>237.428571428571</v>
      </c>
      <c r="L11" s="40" t="n">
        <f aca="false">IF(ISNUMBER($K11),$K11*$H11,"")</f>
        <v>42.7371428571429</v>
      </c>
      <c r="M11" s="40" t="n">
        <f aca="false">IF(ISNUMBER($K11),$K11*Parâmetros!$B$5,"")</f>
        <v>23.7428571428571</v>
      </c>
      <c r="N11" s="40" t="n">
        <f aca="false">IF(ISNUMBER($K11),$K11*Parâmetros!$C$5,"")</f>
        <v>7.12285714285714</v>
      </c>
      <c r="O11" s="40" t="n">
        <f aca="false">IF(ISNUMBER($K11),IF(ISNUMBER(Parâmetros!$E$5),Parâmetros!$E$5,0),"")</f>
        <v>0</v>
      </c>
      <c r="P11" s="41" t="n">
        <f aca="false">IF(ISNUMBER($K11),$K11-$D11-IF(ISNUMBER($E11),$E11,0)-$L11-$M11-$N11-$O11,"")</f>
        <v>47.4857142857143</v>
      </c>
      <c r="Q11" s="42" t="n">
        <f aca="false">IF(AND(ISNUMBER($K11),$K11&gt;0),$P11/$K11,"")</f>
        <v>0.2</v>
      </c>
      <c r="R11" s="43"/>
      <c r="S11" s="44" t="str">
        <f aca="false">IF(OR(NOT(ISNUMBER($R11)),$R11=0,NOT(ISNUMBER($K11))),"",$K11*(1-$R11))</f>
        <v/>
      </c>
      <c r="T11" s="45" t="str">
        <f aca="false">IF(ISNUMBER($S11),$S11*$H11,"")</f>
        <v/>
      </c>
      <c r="U11" s="45" t="str">
        <f aca="false">IF(ISNUMBER($S11),$S11*Parâmetros!$B$5,"")</f>
        <v/>
      </c>
      <c r="V11" s="45" t="str">
        <f aca="false">IF(ISNUMBER($S11),$S11*Parâmetros!$C$5,"")</f>
        <v/>
      </c>
      <c r="W11" s="44" t="str">
        <f aca="false">IF(ISNUMBER($S11),$S11-$D11-IF(ISNUMBER($E11),$E11,0)-$O11-$T11-$U11-$V11,"")</f>
        <v/>
      </c>
      <c r="X11" s="46" t="str">
        <f aca="false">IF(AND(ISNUMBER($S11),$S11&gt;0),$W11/$S11,"")</f>
        <v/>
      </c>
      <c r="Y11" s="49"/>
      <c r="Z11" s="21"/>
    </row>
    <row r="12" customFormat="false" ht="15.75" hidden="false" customHeight="true" outlineLevel="0" collapsed="false">
      <c r="A12" s="32" t="str">
        <f aca="false">IF(Produtos!$A12="","",Produtos!$A12)</f>
        <v>L2460</v>
      </c>
      <c r="B12" s="32" t="str">
        <f aca="false">IF(Produtos!$A12="","",Produtos!$B12)</f>
        <v>Lixeira Aço Inox s/Tampa 24x60 27L</v>
      </c>
      <c r="C12" s="32" t="str">
        <f aca="false">IF(Produtos!$A12="","",Produtos!$C12)</f>
        <v>Lixeiras em inox</v>
      </c>
      <c r="D12" s="33" t="n">
        <f aca="false">IF(Produtos!$A12="","",IF(Produtos!$D12="","",Produtos!$D12))</f>
        <v>117.84</v>
      </c>
      <c r="E12" s="11"/>
      <c r="F12" s="34" t="n">
        <f aca="false">IF($A12="","",IF($C12="","⚠ categoria",IFERROR(INDEX(Parâmetros!$C$13:$C$22,MATCH($C12,Parâmetros!$A$13:$A$22,0)),"⚠ categoria")))</f>
        <v>0.18</v>
      </c>
      <c r="G12" s="35"/>
      <c r="H12" s="36" t="n">
        <f aca="false">IF($A12="","",IF(ISNUMBER($G12),$G12,IF(ISNUMBER($F12),$F12,"")))</f>
        <v>0.18</v>
      </c>
      <c r="I12" s="37" t="n">
        <f aca="false">IF(OR($A12="",NOT(ISNUMBER($D12)),NOT(ISNUMBER($H12))),"",IF((1-$H12-Parâmetros!$B$5-Parâmetros!$C$5-Parâmetros!$D$5)&lt;=0,"INVALIDO",($D12+IF(ISNUMBER($E12),$E12,0)+IF(ISNUMBER(Parâmetros!$E$5),Parâmetros!$E$5,0))/(1-$H12-Parâmetros!$B$5-Parâmetros!$C$5-Parâmetros!$D$5)))</f>
        <v>240.489795918367</v>
      </c>
      <c r="J12" s="38"/>
      <c r="K12" s="39" t="n">
        <f aca="false">IF(OR($A12="",NOT(ISNUMBER($D12)),NOT(ISNUMBER($H12))),"",IF(AND(ISNUMBER($J12),$J12&gt;0),$J12,IF(ISNUMBER($I12),$I12,"")))</f>
        <v>240.489795918367</v>
      </c>
      <c r="L12" s="40" t="n">
        <f aca="false">IF(ISNUMBER($K12),$K12*$H12,"")</f>
        <v>43.2881632653061</v>
      </c>
      <c r="M12" s="40" t="n">
        <f aca="false">IF(ISNUMBER($K12),$K12*Parâmetros!$B$5,"")</f>
        <v>24.0489795918367</v>
      </c>
      <c r="N12" s="40" t="n">
        <f aca="false">IF(ISNUMBER($K12),$K12*Parâmetros!$C$5,"")</f>
        <v>7.21469387755102</v>
      </c>
      <c r="O12" s="40" t="n">
        <f aca="false">IF(ISNUMBER($K12),IF(ISNUMBER(Parâmetros!$E$5),Parâmetros!$E$5,0),"")</f>
        <v>0</v>
      </c>
      <c r="P12" s="41" t="n">
        <f aca="false">IF(ISNUMBER($K12),$K12-$D12-IF(ISNUMBER($E12),$E12,0)-$L12-$M12-$N12-$O12,"")</f>
        <v>48.0979591836735</v>
      </c>
      <c r="Q12" s="42" t="n">
        <f aca="false">IF(AND(ISNUMBER($K12),$K12&gt;0),$P12/$K12,"")</f>
        <v>0.2</v>
      </c>
      <c r="R12" s="43"/>
      <c r="S12" s="44" t="str">
        <f aca="false">IF(OR(NOT(ISNUMBER($R12)),$R12=0,NOT(ISNUMBER($K12))),"",$K12*(1-$R12))</f>
        <v/>
      </c>
      <c r="T12" s="45" t="str">
        <f aca="false">IF(ISNUMBER($S12),$S12*$H12,"")</f>
        <v/>
      </c>
      <c r="U12" s="45" t="str">
        <f aca="false">IF(ISNUMBER($S12),$S12*Parâmetros!$B$5,"")</f>
        <v/>
      </c>
      <c r="V12" s="45" t="str">
        <f aca="false">IF(ISNUMBER($S12),$S12*Parâmetros!$C$5,"")</f>
        <v/>
      </c>
      <c r="W12" s="44" t="str">
        <f aca="false">IF(ISNUMBER($S12),$S12-$D12-IF(ISNUMBER($E12),$E12,0)-$O12-$T12-$U12-$V12,"")</f>
        <v/>
      </c>
      <c r="X12" s="46" t="str">
        <f aca="false">IF(AND(ISNUMBER($S12),$S12&gt;0),$W12/$S12,"")</f>
        <v/>
      </c>
      <c r="Y12" s="47"/>
      <c r="Z12" s="19"/>
    </row>
    <row r="13" customFormat="false" ht="15.75" hidden="false" customHeight="true" outlineLevel="0" collapsed="false">
      <c r="A13" s="48" t="str">
        <f aca="false">IF(Produtos!$A13="","",Produtos!$A13)</f>
        <v>L2470</v>
      </c>
      <c r="B13" s="48" t="str">
        <f aca="false">IF(Produtos!$A13="","",Produtos!$B13)</f>
        <v>Lixeira Aço Inox s/Tampa 24x70 30L</v>
      </c>
      <c r="C13" s="48" t="str">
        <f aca="false">IF(Produtos!$A13="","",Produtos!$C13)</f>
        <v>Lixeiras em inox</v>
      </c>
      <c r="D13" s="33" t="n">
        <f aca="false">IF(Produtos!$A13="","",IF(Produtos!$D13="","",Produtos!$D13))</f>
        <v>186.46</v>
      </c>
      <c r="E13" s="11"/>
      <c r="F13" s="34" t="n">
        <f aca="false">IF($A13="","",IF($C13="","⚠ categoria",IFERROR(INDEX(Parâmetros!$C$13:$C$22,MATCH($C13,Parâmetros!$A$13:$A$22,0)),"⚠ categoria")))</f>
        <v>0.18</v>
      </c>
      <c r="G13" s="35"/>
      <c r="H13" s="36" t="n">
        <f aca="false">IF($A13="","",IF(ISNUMBER($G13),$G13,IF(ISNUMBER($F13),$F13,"")))</f>
        <v>0.18</v>
      </c>
      <c r="I13" s="37" t="n">
        <f aca="false">IF(OR($A13="",NOT(ISNUMBER($D13)),NOT(ISNUMBER($H13))),"",IF((1-$H13-Parâmetros!$B$5-Parâmetros!$C$5-Parâmetros!$D$5)&lt;=0,"INVALIDO",($D13+IF(ISNUMBER($E13),$E13,0)+IF(ISNUMBER(Parâmetros!$E$5),Parâmetros!$E$5,0))/(1-$H13-Parâmetros!$B$5-Parâmetros!$C$5-Parâmetros!$D$5)))</f>
        <v>380.530612244898</v>
      </c>
      <c r="J13" s="38"/>
      <c r="K13" s="39" t="n">
        <f aca="false">IF(OR($A13="",NOT(ISNUMBER($D13)),NOT(ISNUMBER($H13))),"",IF(AND(ISNUMBER($J13),$J13&gt;0),$J13,IF(ISNUMBER($I13),$I13,"")))</f>
        <v>380.530612244898</v>
      </c>
      <c r="L13" s="40" t="n">
        <f aca="false">IF(ISNUMBER($K13),$K13*$H13,"")</f>
        <v>68.4955102040816</v>
      </c>
      <c r="M13" s="40" t="n">
        <f aca="false">IF(ISNUMBER($K13),$K13*Parâmetros!$B$5,"")</f>
        <v>38.0530612244898</v>
      </c>
      <c r="N13" s="40" t="n">
        <f aca="false">IF(ISNUMBER($K13),$K13*Parâmetros!$C$5,"")</f>
        <v>11.4159183673469</v>
      </c>
      <c r="O13" s="40" t="n">
        <f aca="false">IF(ISNUMBER($K13),IF(ISNUMBER(Parâmetros!$E$5),Parâmetros!$E$5,0),"")</f>
        <v>0</v>
      </c>
      <c r="P13" s="41" t="n">
        <f aca="false">IF(ISNUMBER($K13),$K13-$D13-IF(ISNUMBER($E13),$E13,0)-$L13-$M13-$N13-$O13,"")</f>
        <v>76.1061224489796</v>
      </c>
      <c r="Q13" s="42" t="n">
        <f aca="false">IF(AND(ISNUMBER($K13),$K13&gt;0),$P13/$K13,"")</f>
        <v>0.2</v>
      </c>
      <c r="R13" s="43"/>
      <c r="S13" s="44" t="str">
        <f aca="false">IF(OR(NOT(ISNUMBER($R13)),$R13=0,NOT(ISNUMBER($K13))),"",$K13*(1-$R13))</f>
        <v/>
      </c>
      <c r="T13" s="45" t="str">
        <f aca="false">IF(ISNUMBER($S13),$S13*$H13,"")</f>
        <v/>
      </c>
      <c r="U13" s="45" t="str">
        <f aca="false">IF(ISNUMBER($S13),$S13*Parâmetros!$B$5,"")</f>
        <v/>
      </c>
      <c r="V13" s="45" t="str">
        <f aca="false">IF(ISNUMBER($S13),$S13*Parâmetros!$C$5,"")</f>
        <v/>
      </c>
      <c r="W13" s="44" t="str">
        <f aca="false">IF(ISNUMBER($S13),$S13-$D13-IF(ISNUMBER($E13),$E13,0)-$O13-$T13-$U13-$V13,"")</f>
        <v/>
      </c>
      <c r="X13" s="46" t="str">
        <f aca="false">IF(AND(ISNUMBER($S13),$S13&gt;0),$W13/$S13,"")</f>
        <v/>
      </c>
      <c r="Y13" s="49"/>
      <c r="Z13" s="21"/>
    </row>
    <row r="14" customFormat="false" ht="15.75" hidden="false" customHeight="true" outlineLevel="0" collapsed="false">
      <c r="A14" s="32" t="str">
        <f aca="false">IF(Produtos!$A14="","",Produtos!$A14)</f>
        <v>L3040</v>
      </c>
      <c r="B14" s="32" t="str">
        <f aca="false">IF(Produtos!$A14="","",Produtos!$B14)</f>
        <v>Lixeira Aço Inox s/Tampa 30x40 30L</v>
      </c>
      <c r="C14" s="32" t="str">
        <f aca="false">IF(Produtos!$A14="","",Produtos!$C14)</f>
        <v>Lixeiras em inox</v>
      </c>
      <c r="D14" s="33" t="n">
        <f aca="false">IF(Produtos!$A14="","",IF(Produtos!$D14="","",Produtos!$D14))</f>
        <v>116.77</v>
      </c>
      <c r="E14" s="11"/>
      <c r="F14" s="34" t="n">
        <f aca="false">IF($A14="","",IF($C14="","⚠ categoria",IFERROR(INDEX(Parâmetros!$C$13:$C$22,MATCH($C14,Parâmetros!$A$13:$A$22,0)),"⚠ categoria")))</f>
        <v>0.18</v>
      </c>
      <c r="G14" s="35"/>
      <c r="H14" s="36" t="n">
        <f aca="false">IF($A14="","",IF(ISNUMBER($G14),$G14,IF(ISNUMBER($F14),$F14,"")))</f>
        <v>0.18</v>
      </c>
      <c r="I14" s="37" t="n">
        <f aca="false">IF(OR($A14="",NOT(ISNUMBER($D14)),NOT(ISNUMBER($H14))),"",IF((1-$H14-Parâmetros!$B$5-Parâmetros!$C$5-Parâmetros!$D$5)&lt;=0,"INVALIDO",($D14+IF(ISNUMBER($E14),$E14,0)+IF(ISNUMBER(Parâmetros!$E$5),Parâmetros!$E$5,0))/(1-$H14-Parâmetros!$B$5-Parâmetros!$C$5-Parâmetros!$D$5)))</f>
        <v>238.30612244898</v>
      </c>
      <c r="J14" s="38"/>
      <c r="K14" s="39" t="n">
        <f aca="false">IF(OR($A14="",NOT(ISNUMBER($D14)),NOT(ISNUMBER($H14))),"",IF(AND(ISNUMBER($J14),$J14&gt;0),$J14,IF(ISNUMBER($I14),$I14,"")))</f>
        <v>238.30612244898</v>
      </c>
      <c r="L14" s="40" t="n">
        <f aca="false">IF(ISNUMBER($K14),$K14*$H14,"")</f>
        <v>42.8951020408163</v>
      </c>
      <c r="M14" s="40" t="n">
        <f aca="false">IF(ISNUMBER($K14),$K14*Parâmetros!$B$5,"")</f>
        <v>23.830612244898</v>
      </c>
      <c r="N14" s="40" t="n">
        <f aca="false">IF(ISNUMBER($K14),$K14*Parâmetros!$C$5,"")</f>
        <v>7.14918367346939</v>
      </c>
      <c r="O14" s="40" t="n">
        <f aca="false">IF(ISNUMBER($K14),IF(ISNUMBER(Parâmetros!$E$5),Parâmetros!$E$5,0),"")</f>
        <v>0</v>
      </c>
      <c r="P14" s="41" t="n">
        <f aca="false">IF(ISNUMBER($K14),$K14-$D14-IF(ISNUMBER($E14),$E14,0)-$L14-$M14-$N14-$O14,"")</f>
        <v>47.6612244897959</v>
      </c>
      <c r="Q14" s="42" t="n">
        <f aca="false">IF(AND(ISNUMBER($K14),$K14&gt;0),$P14/$K14,"")</f>
        <v>0.2</v>
      </c>
      <c r="R14" s="43"/>
      <c r="S14" s="44" t="str">
        <f aca="false">IF(OR(NOT(ISNUMBER($R14)),$R14=0,NOT(ISNUMBER($K14))),"",$K14*(1-$R14))</f>
        <v/>
      </c>
      <c r="T14" s="45" t="str">
        <f aca="false">IF(ISNUMBER($S14),$S14*$H14,"")</f>
        <v/>
      </c>
      <c r="U14" s="45" t="str">
        <f aca="false">IF(ISNUMBER($S14),$S14*Parâmetros!$B$5,"")</f>
        <v/>
      </c>
      <c r="V14" s="45" t="str">
        <f aca="false">IF(ISNUMBER($S14),$S14*Parâmetros!$C$5,"")</f>
        <v/>
      </c>
      <c r="W14" s="44" t="str">
        <f aca="false">IF(ISNUMBER($S14),$S14-$D14-IF(ISNUMBER($E14),$E14,0)-$O14-$T14-$U14-$V14,"")</f>
        <v/>
      </c>
      <c r="X14" s="46" t="str">
        <f aca="false">IF(AND(ISNUMBER($S14),$S14&gt;0),$W14/$S14,"")</f>
        <v/>
      </c>
      <c r="Y14" s="47"/>
      <c r="Z14" s="19"/>
    </row>
    <row r="15" customFormat="false" ht="15.75" hidden="false" customHeight="true" outlineLevel="0" collapsed="false">
      <c r="A15" s="48" t="str">
        <f aca="false">IF(Produtos!$A15="","",Produtos!$A15)</f>
        <v>L3050</v>
      </c>
      <c r="B15" s="48" t="str">
        <f aca="false">IF(Produtos!$A15="","",Produtos!$B15)</f>
        <v>Lixeira Aço Inox s/Tampa 30x50 35L</v>
      </c>
      <c r="C15" s="48" t="str">
        <f aca="false">IF(Produtos!$A15="","",Produtos!$C15)</f>
        <v>Lixeiras em inox</v>
      </c>
      <c r="D15" s="33" t="n">
        <f aca="false">IF(Produtos!$A15="","",IF(Produtos!$D15="","",Produtos!$D15))</f>
        <v>159.84</v>
      </c>
      <c r="E15" s="11"/>
      <c r="F15" s="34" t="n">
        <f aca="false">IF($A15="","",IF($C15="","⚠ categoria",IFERROR(INDEX(Parâmetros!$C$13:$C$22,MATCH($C15,Parâmetros!$A$13:$A$22,0)),"⚠ categoria")))</f>
        <v>0.18</v>
      </c>
      <c r="G15" s="35"/>
      <c r="H15" s="36" t="n">
        <f aca="false">IF($A15="","",IF(ISNUMBER($G15),$G15,IF(ISNUMBER($F15),$F15,"")))</f>
        <v>0.18</v>
      </c>
      <c r="I15" s="37" t="n">
        <f aca="false">IF(OR($A15="",NOT(ISNUMBER($D15)),NOT(ISNUMBER($H15))),"",IF((1-$H15-Parâmetros!$B$5-Parâmetros!$C$5-Parâmetros!$D$5)&lt;=0,"INVALIDO",($D15+IF(ISNUMBER($E15),$E15,0)+IF(ISNUMBER(Parâmetros!$E$5),Parâmetros!$E$5,0))/(1-$H15-Parâmetros!$B$5-Parâmetros!$C$5-Parâmetros!$D$5)))</f>
        <v>326.204081632653</v>
      </c>
      <c r="J15" s="38"/>
      <c r="K15" s="39" t="n">
        <f aca="false">IF(OR($A15="",NOT(ISNUMBER($D15)),NOT(ISNUMBER($H15))),"",IF(AND(ISNUMBER($J15),$J15&gt;0),$J15,IF(ISNUMBER($I15),$I15,"")))</f>
        <v>326.204081632653</v>
      </c>
      <c r="L15" s="40" t="n">
        <f aca="false">IF(ISNUMBER($K15),$K15*$H15,"")</f>
        <v>58.7167346938775</v>
      </c>
      <c r="M15" s="40" t="n">
        <f aca="false">IF(ISNUMBER($K15),$K15*Parâmetros!$B$5,"")</f>
        <v>32.6204081632653</v>
      </c>
      <c r="N15" s="40" t="n">
        <f aca="false">IF(ISNUMBER($K15),$K15*Parâmetros!$C$5,"")</f>
        <v>9.78612244897959</v>
      </c>
      <c r="O15" s="40" t="n">
        <f aca="false">IF(ISNUMBER($K15),IF(ISNUMBER(Parâmetros!$E$5),Parâmetros!$E$5,0),"")</f>
        <v>0</v>
      </c>
      <c r="P15" s="41" t="n">
        <f aca="false">IF(ISNUMBER($K15),$K15-$D15-IF(ISNUMBER($E15),$E15,0)-$L15-$M15-$N15-$O15,"")</f>
        <v>65.2408163265306</v>
      </c>
      <c r="Q15" s="42" t="n">
        <f aca="false">IF(AND(ISNUMBER($K15),$K15&gt;0),$P15/$K15,"")</f>
        <v>0.2</v>
      </c>
      <c r="R15" s="43"/>
      <c r="S15" s="44" t="str">
        <f aca="false">IF(OR(NOT(ISNUMBER($R15)),$R15=0,NOT(ISNUMBER($K15))),"",$K15*(1-$R15))</f>
        <v/>
      </c>
      <c r="T15" s="45" t="str">
        <f aca="false">IF(ISNUMBER($S15),$S15*$H15,"")</f>
        <v/>
      </c>
      <c r="U15" s="45" t="str">
        <f aca="false">IF(ISNUMBER($S15),$S15*Parâmetros!$B$5,"")</f>
        <v/>
      </c>
      <c r="V15" s="45" t="str">
        <f aca="false">IF(ISNUMBER($S15),$S15*Parâmetros!$C$5,"")</f>
        <v/>
      </c>
      <c r="W15" s="44" t="str">
        <f aca="false">IF(ISNUMBER($S15),$S15-$D15-IF(ISNUMBER($E15),$E15,0)-$O15-$T15-$U15-$V15,"")</f>
        <v/>
      </c>
      <c r="X15" s="46" t="str">
        <f aca="false">IF(AND(ISNUMBER($S15),$S15&gt;0),$W15/$S15,"")</f>
        <v/>
      </c>
      <c r="Y15" s="49"/>
      <c r="Z15" s="21"/>
    </row>
    <row r="16" customFormat="false" ht="15.75" hidden="false" customHeight="true" outlineLevel="0" collapsed="false">
      <c r="A16" s="32" t="str">
        <f aca="false">IF(Produtos!$A16="","",Produtos!$A16)</f>
        <v>L3060</v>
      </c>
      <c r="B16" s="32" t="str">
        <f aca="false">IF(Produtos!$A16="","",Produtos!$B16)</f>
        <v>Lixeira Aço Inox s/Tampa 30x60 40L</v>
      </c>
      <c r="C16" s="32" t="str">
        <f aca="false">IF(Produtos!$A16="","",Produtos!$C16)</f>
        <v>Lixeiras em inox</v>
      </c>
      <c r="D16" s="33" t="n">
        <f aca="false">IF(Produtos!$A16="","",IF(Produtos!$D16="","",Produtos!$D16))</f>
        <v>164.99</v>
      </c>
      <c r="E16" s="11"/>
      <c r="F16" s="34" t="n">
        <f aca="false">IF($A16="","",IF($C16="","⚠ categoria",IFERROR(INDEX(Parâmetros!$C$13:$C$22,MATCH($C16,Parâmetros!$A$13:$A$22,0)),"⚠ categoria")))</f>
        <v>0.18</v>
      </c>
      <c r="G16" s="35"/>
      <c r="H16" s="36" t="n">
        <f aca="false">IF($A16="","",IF(ISNUMBER($G16),$G16,IF(ISNUMBER($F16),$F16,"")))</f>
        <v>0.18</v>
      </c>
      <c r="I16" s="37" t="n">
        <f aca="false">IF(OR($A16="",NOT(ISNUMBER($D16)),NOT(ISNUMBER($H16))),"",IF((1-$H16-Parâmetros!$B$5-Parâmetros!$C$5-Parâmetros!$D$5)&lt;=0,"INVALIDO",($D16+IF(ISNUMBER($E16),$E16,0)+IF(ISNUMBER(Parâmetros!$E$5),Parâmetros!$E$5,0))/(1-$H16-Parâmetros!$B$5-Parâmetros!$C$5-Parâmetros!$D$5)))</f>
        <v>336.714285714286</v>
      </c>
      <c r="J16" s="38"/>
      <c r="K16" s="39" t="n">
        <f aca="false">IF(OR($A16="",NOT(ISNUMBER($D16)),NOT(ISNUMBER($H16))),"",IF(AND(ISNUMBER($J16),$J16&gt;0),$J16,IF(ISNUMBER($I16),$I16,"")))</f>
        <v>336.714285714286</v>
      </c>
      <c r="L16" s="40" t="n">
        <f aca="false">IF(ISNUMBER($K16),$K16*$H16,"")</f>
        <v>60.6085714285714</v>
      </c>
      <c r="M16" s="40" t="n">
        <f aca="false">IF(ISNUMBER($K16),$K16*Parâmetros!$B$5,"")</f>
        <v>33.6714285714286</v>
      </c>
      <c r="N16" s="40" t="n">
        <f aca="false">IF(ISNUMBER($K16),$K16*Parâmetros!$C$5,"")</f>
        <v>10.1014285714286</v>
      </c>
      <c r="O16" s="40" t="n">
        <f aca="false">IF(ISNUMBER($K16),IF(ISNUMBER(Parâmetros!$E$5),Parâmetros!$E$5,0),"")</f>
        <v>0</v>
      </c>
      <c r="P16" s="41" t="n">
        <f aca="false">IF(ISNUMBER($K16),$K16-$D16-IF(ISNUMBER($E16),$E16,0)-$L16-$M16-$N16-$O16,"")</f>
        <v>67.3428571428571</v>
      </c>
      <c r="Q16" s="42" t="n">
        <f aca="false">IF(AND(ISNUMBER($K16),$K16&gt;0),$P16/$K16,"")</f>
        <v>0.2</v>
      </c>
      <c r="R16" s="43"/>
      <c r="S16" s="44" t="str">
        <f aca="false">IF(OR(NOT(ISNUMBER($R16)),$R16=0,NOT(ISNUMBER($K16))),"",$K16*(1-$R16))</f>
        <v/>
      </c>
      <c r="T16" s="45" t="str">
        <f aca="false">IF(ISNUMBER($S16),$S16*$H16,"")</f>
        <v/>
      </c>
      <c r="U16" s="45" t="str">
        <f aca="false">IF(ISNUMBER($S16),$S16*Parâmetros!$B$5,"")</f>
        <v/>
      </c>
      <c r="V16" s="45" t="str">
        <f aca="false">IF(ISNUMBER($S16),$S16*Parâmetros!$C$5,"")</f>
        <v/>
      </c>
      <c r="W16" s="44" t="str">
        <f aca="false">IF(ISNUMBER($S16),$S16-$D16-IF(ISNUMBER($E16),$E16,0)-$O16-$T16-$U16-$V16,"")</f>
        <v/>
      </c>
      <c r="X16" s="46" t="str">
        <f aca="false">IF(AND(ISNUMBER($S16),$S16&gt;0),$W16/$S16,"")</f>
        <v/>
      </c>
      <c r="Y16" s="47"/>
      <c r="Z16" s="19"/>
    </row>
    <row r="17" customFormat="false" ht="15.75" hidden="false" customHeight="true" outlineLevel="0" collapsed="false">
      <c r="A17" s="48" t="str">
        <f aca="false">IF(Produtos!$A17="","",Produtos!$A17)</f>
        <v>L3070</v>
      </c>
      <c r="B17" s="48" t="str">
        <f aca="false">IF(Produtos!$A17="","",Produtos!$B17)</f>
        <v>Lixeira Aço Inox s/Tampa 30x70 50L</v>
      </c>
      <c r="C17" s="48" t="str">
        <f aca="false">IF(Produtos!$A17="","",Produtos!$C17)</f>
        <v>Lixeiras em inox</v>
      </c>
      <c r="D17" s="33" t="n">
        <f aca="false">IF(Produtos!$A17="","",IF(Produtos!$D17="","",Produtos!$D17))</f>
        <v>210.17</v>
      </c>
      <c r="E17" s="11"/>
      <c r="F17" s="34" t="n">
        <f aca="false">IF($A17="","",IF($C17="","⚠ categoria",IFERROR(INDEX(Parâmetros!$C$13:$C$22,MATCH($C17,Parâmetros!$A$13:$A$22,0)),"⚠ categoria")))</f>
        <v>0.18</v>
      </c>
      <c r="G17" s="35"/>
      <c r="H17" s="36" t="n">
        <f aca="false">IF($A17="","",IF(ISNUMBER($G17),$G17,IF(ISNUMBER($F17),$F17,"")))</f>
        <v>0.18</v>
      </c>
      <c r="I17" s="37" t="n">
        <f aca="false">IF(OR($A17="",NOT(ISNUMBER($D17)),NOT(ISNUMBER($H17))),"",IF((1-$H17-Parâmetros!$B$5-Parâmetros!$C$5-Parâmetros!$D$5)&lt;=0,"INVALIDO",($D17+IF(ISNUMBER($E17),$E17,0)+IF(ISNUMBER(Parâmetros!$E$5),Parâmetros!$E$5,0))/(1-$H17-Parâmetros!$B$5-Parâmetros!$C$5-Parâmetros!$D$5)))</f>
        <v>428.918367346939</v>
      </c>
      <c r="J17" s="38"/>
      <c r="K17" s="39" t="n">
        <f aca="false">IF(OR($A17="",NOT(ISNUMBER($D17)),NOT(ISNUMBER($H17))),"",IF(AND(ISNUMBER($J17),$J17&gt;0),$J17,IF(ISNUMBER($I17),$I17,"")))</f>
        <v>428.918367346939</v>
      </c>
      <c r="L17" s="40" t="n">
        <f aca="false">IF(ISNUMBER($K17),$K17*$H17,"")</f>
        <v>77.205306122449</v>
      </c>
      <c r="M17" s="40" t="n">
        <f aca="false">IF(ISNUMBER($K17),$K17*Parâmetros!$B$5,"")</f>
        <v>42.8918367346939</v>
      </c>
      <c r="N17" s="40" t="n">
        <f aca="false">IF(ISNUMBER($K17),$K17*Parâmetros!$C$5,"")</f>
        <v>12.8675510204082</v>
      </c>
      <c r="O17" s="40" t="n">
        <f aca="false">IF(ISNUMBER($K17),IF(ISNUMBER(Parâmetros!$E$5),Parâmetros!$E$5,0),"")</f>
        <v>0</v>
      </c>
      <c r="P17" s="41" t="n">
        <f aca="false">IF(ISNUMBER($K17),$K17-$D17-IF(ISNUMBER($E17),$E17,0)-$L17-$M17-$N17-$O17,"")</f>
        <v>85.7836734693878</v>
      </c>
      <c r="Q17" s="42" t="n">
        <f aca="false">IF(AND(ISNUMBER($K17),$K17&gt;0),$P17/$K17,"")</f>
        <v>0.2</v>
      </c>
      <c r="R17" s="43"/>
      <c r="S17" s="44" t="str">
        <f aca="false">IF(OR(NOT(ISNUMBER($R17)),$R17=0,NOT(ISNUMBER($K17))),"",$K17*(1-$R17))</f>
        <v/>
      </c>
      <c r="T17" s="45" t="str">
        <f aca="false">IF(ISNUMBER($S17),$S17*$H17,"")</f>
        <v/>
      </c>
      <c r="U17" s="45" t="str">
        <f aca="false">IF(ISNUMBER($S17),$S17*Parâmetros!$B$5,"")</f>
        <v/>
      </c>
      <c r="V17" s="45" t="str">
        <f aca="false">IF(ISNUMBER($S17),$S17*Parâmetros!$C$5,"")</f>
        <v/>
      </c>
      <c r="W17" s="44" t="str">
        <f aca="false">IF(ISNUMBER($S17),$S17-$D17-IF(ISNUMBER($E17),$E17,0)-$O17-$T17-$U17-$V17,"")</f>
        <v/>
      </c>
      <c r="X17" s="46" t="str">
        <f aca="false">IF(AND(ISNUMBER($S17),$S17&gt;0),$W17/$S17,"")</f>
        <v/>
      </c>
      <c r="Y17" s="49"/>
      <c r="Z17" s="21"/>
    </row>
    <row r="18" customFormat="false" ht="15.75" hidden="false" customHeight="true" outlineLevel="0" collapsed="false">
      <c r="A18" s="32" t="str">
        <f aca="false">IF(Produtos!$A18="","",Produtos!$A18)</f>
        <v>L3085</v>
      </c>
      <c r="B18" s="32" t="str">
        <f aca="false">IF(Produtos!$A18="","",Produtos!$B18)</f>
        <v>Lixeira Aço Inox s/Tampa 30x85 60L</v>
      </c>
      <c r="C18" s="32" t="str">
        <f aca="false">IF(Produtos!$A18="","",Produtos!$C18)</f>
        <v>Lixeiras em inox</v>
      </c>
      <c r="D18" s="33" t="n">
        <f aca="false">IF(Produtos!$A18="","",IF(Produtos!$D18="","",Produtos!$D18))</f>
        <v>266.36</v>
      </c>
      <c r="E18" s="11"/>
      <c r="F18" s="34" t="n">
        <f aca="false">IF($A18="","",IF($C18="","⚠ categoria",IFERROR(INDEX(Parâmetros!$C$13:$C$22,MATCH($C18,Parâmetros!$A$13:$A$22,0)),"⚠ categoria")))</f>
        <v>0.18</v>
      </c>
      <c r="G18" s="35"/>
      <c r="H18" s="36" t="n">
        <f aca="false">IF($A18="","",IF(ISNUMBER($G18),$G18,IF(ISNUMBER($F18),$F18,"")))</f>
        <v>0.18</v>
      </c>
      <c r="I18" s="37" t="n">
        <f aca="false">IF(OR($A18="",NOT(ISNUMBER($D18)),NOT(ISNUMBER($H18))),"",IF((1-$H18-Parâmetros!$B$5-Parâmetros!$C$5-Parâmetros!$D$5)&lt;=0,"INVALIDO",($D18+IF(ISNUMBER($E18),$E18,0)+IF(ISNUMBER(Parâmetros!$E$5),Parâmetros!$E$5,0))/(1-$H18-Parâmetros!$B$5-Parâmetros!$C$5-Parâmetros!$D$5)))</f>
        <v>543.591836734694</v>
      </c>
      <c r="J18" s="38"/>
      <c r="K18" s="39" t="n">
        <f aca="false">IF(OR($A18="",NOT(ISNUMBER($D18)),NOT(ISNUMBER($H18))),"",IF(AND(ISNUMBER($J18),$J18&gt;0),$J18,IF(ISNUMBER($I18),$I18,"")))</f>
        <v>543.591836734694</v>
      </c>
      <c r="L18" s="40" t="n">
        <f aca="false">IF(ISNUMBER($K18),$K18*$H18,"")</f>
        <v>97.8465306122449</v>
      </c>
      <c r="M18" s="40" t="n">
        <f aca="false">IF(ISNUMBER($K18),$K18*Parâmetros!$B$5,"")</f>
        <v>54.3591836734694</v>
      </c>
      <c r="N18" s="40" t="n">
        <f aca="false">IF(ISNUMBER($K18),$K18*Parâmetros!$C$5,"")</f>
        <v>16.3077551020408</v>
      </c>
      <c r="O18" s="40" t="n">
        <f aca="false">IF(ISNUMBER($K18),IF(ISNUMBER(Parâmetros!$E$5),Parâmetros!$E$5,0),"")</f>
        <v>0</v>
      </c>
      <c r="P18" s="41" t="n">
        <f aca="false">IF(ISNUMBER($K18),$K18-$D18-IF(ISNUMBER($E18),$E18,0)-$L18-$M18-$N18-$O18,"")</f>
        <v>108.718367346939</v>
      </c>
      <c r="Q18" s="42" t="n">
        <f aca="false">IF(AND(ISNUMBER($K18),$K18&gt;0),$P18/$K18,"")</f>
        <v>0.2</v>
      </c>
      <c r="R18" s="43"/>
      <c r="S18" s="44" t="str">
        <f aca="false">IF(OR(NOT(ISNUMBER($R18)),$R18=0,NOT(ISNUMBER($K18))),"",$K18*(1-$R18))</f>
        <v/>
      </c>
      <c r="T18" s="45" t="str">
        <f aca="false">IF(ISNUMBER($S18),$S18*$H18,"")</f>
        <v/>
      </c>
      <c r="U18" s="45" t="str">
        <f aca="false">IF(ISNUMBER($S18),$S18*Parâmetros!$B$5,"")</f>
        <v/>
      </c>
      <c r="V18" s="45" t="str">
        <f aca="false">IF(ISNUMBER($S18),$S18*Parâmetros!$C$5,"")</f>
        <v/>
      </c>
      <c r="W18" s="44" t="str">
        <f aca="false">IF(ISNUMBER($S18),$S18-$D18-IF(ISNUMBER($E18),$E18,0)-$O18-$T18-$U18-$V18,"")</f>
        <v/>
      </c>
      <c r="X18" s="46" t="str">
        <f aca="false">IF(AND(ISNUMBER($S18),$S18&gt;0),$W18/$S18,"")</f>
        <v/>
      </c>
      <c r="Y18" s="47"/>
      <c r="Z18" s="19"/>
    </row>
    <row r="19" customFormat="false" ht="15.75" hidden="false" customHeight="true" outlineLevel="0" collapsed="false">
      <c r="A19" s="48" t="str">
        <f aca="false">IF(Produtos!$A19="","",Produtos!$A19)</f>
        <v>L4050</v>
      </c>
      <c r="B19" s="48" t="str">
        <f aca="false">IF(Produtos!$A19="","",Produtos!$B19)</f>
        <v>Lixeira Aço Inox s/Tampa 40x50 62L</v>
      </c>
      <c r="C19" s="48" t="str">
        <f aca="false">IF(Produtos!$A19="","",Produtos!$C19)</f>
        <v>Lixeiras em inox</v>
      </c>
      <c r="D19" s="33" t="n">
        <f aca="false">IF(Produtos!$A19="","",IF(Produtos!$D19="","",Produtos!$D19))</f>
        <v>221.01</v>
      </c>
      <c r="E19" s="11"/>
      <c r="F19" s="34" t="n">
        <f aca="false">IF($A19="","",IF($C19="","⚠ categoria",IFERROR(INDEX(Parâmetros!$C$13:$C$22,MATCH($C19,Parâmetros!$A$13:$A$22,0)),"⚠ categoria")))</f>
        <v>0.18</v>
      </c>
      <c r="G19" s="35"/>
      <c r="H19" s="36" t="n">
        <f aca="false">IF($A19="","",IF(ISNUMBER($G19),$G19,IF(ISNUMBER($F19),$F19,"")))</f>
        <v>0.18</v>
      </c>
      <c r="I19" s="37" t="n">
        <f aca="false">IF(OR($A19="",NOT(ISNUMBER($D19)),NOT(ISNUMBER($H19))),"",IF((1-$H19-Parâmetros!$B$5-Parâmetros!$C$5-Parâmetros!$D$5)&lt;=0,"INVALIDO",($D19+IF(ISNUMBER($E19),$E19,0)+IF(ISNUMBER(Parâmetros!$E$5),Parâmetros!$E$5,0))/(1-$H19-Parâmetros!$B$5-Parâmetros!$C$5-Parâmetros!$D$5)))</f>
        <v>451.040816326531</v>
      </c>
      <c r="J19" s="38"/>
      <c r="K19" s="39" t="n">
        <f aca="false">IF(OR($A19="",NOT(ISNUMBER($D19)),NOT(ISNUMBER($H19))),"",IF(AND(ISNUMBER($J19),$J19&gt;0),$J19,IF(ISNUMBER($I19),$I19,"")))</f>
        <v>451.040816326531</v>
      </c>
      <c r="L19" s="40" t="n">
        <f aca="false">IF(ISNUMBER($K19),$K19*$H19,"")</f>
        <v>81.1873469387755</v>
      </c>
      <c r="M19" s="40" t="n">
        <f aca="false">IF(ISNUMBER($K19),$K19*Parâmetros!$B$5,"")</f>
        <v>45.1040816326531</v>
      </c>
      <c r="N19" s="40" t="n">
        <f aca="false">IF(ISNUMBER($K19),$K19*Parâmetros!$C$5,"")</f>
        <v>13.5312244897959</v>
      </c>
      <c r="O19" s="40" t="n">
        <f aca="false">IF(ISNUMBER($K19),IF(ISNUMBER(Parâmetros!$E$5),Parâmetros!$E$5,0),"")</f>
        <v>0</v>
      </c>
      <c r="P19" s="41" t="n">
        <f aca="false">IF(ISNUMBER($K19),$K19-$D19-IF(ISNUMBER($E19),$E19,0)-$L19-$M19-$N19-$O19,"")</f>
        <v>90.2081632653061</v>
      </c>
      <c r="Q19" s="42" t="n">
        <f aca="false">IF(AND(ISNUMBER($K19),$K19&gt;0),$P19/$K19,"")</f>
        <v>0.2</v>
      </c>
      <c r="R19" s="43"/>
      <c r="S19" s="44" t="str">
        <f aca="false">IF(OR(NOT(ISNUMBER($R19)),$R19=0,NOT(ISNUMBER($K19))),"",$K19*(1-$R19))</f>
        <v/>
      </c>
      <c r="T19" s="45" t="str">
        <f aca="false">IF(ISNUMBER($S19),$S19*$H19,"")</f>
        <v/>
      </c>
      <c r="U19" s="45" t="str">
        <f aca="false">IF(ISNUMBER($S19),$S19*Parâmetros!$B$5,"")</f>
        <v/>
      </c>
      <c r="V19" s="45" t="str">
        <f aca="false">IF(ISNUMBER($S19),$S19*Parâmetros!$C$5,"")</f>
        <v/>
      </c>
      <c r="W19" s="44" t="str">
        <f aca="false">IF(ISNUMBER($S19),$S19-$D19-IF(ISNUMBER($E19),$E19,0)-$O19-$T19-$U19-$V19,"")</f>
        <v/>
      </c>
      <c r="X19" s="46" t="str">
        <f aca="false">IF(AND(ISNUMBER($S19),$S19&gt;0),$W19/$S19,"")</f>
        <v/>
      </c>
      <c r="Y19" s="49"/>
      <c r="Z19" s="21"/>
    </row>
    <row r="20" customFormat="false" ht="15.75" hidden="false" customHeight="true" outlineLevel="0" collapsed="false">
      <c r="A20" s="32" t="str">
        <f aca="false">IF(Produtos!$A20="","",Produtos!$A20)</f>
        <v>L4060</v>
      </c>
      <c r="B20" s="32" t="str">
        <f aca="false">IF(Produtos!$A20="","",Produtos!$B20)</f>
        <v>Lixeira Aço Inox s/Tampa 40x60 75L</v>
      </c>
      <c r="C20" s="32" t="str">
        <f aca="false">IF(Produtos!$A20="","",Produtos!$C20)</f>
        <v>Lixeiras em inox</v>
      </c>
      <c r="D20" s="33" t="n">
        <f aca="false">IF(Produtos!$A20="","",IF(Produtos!$D20="","",Produtos!$D20))</f>
        <v>257.51</v>
      </c>
      <c r="E20" s="11"/>
      <c r="F20" s="34" t="n">
        <f aca="false">IF($A20="","",IF($C20="","⚠ categoria",IFERROR(INDEX(Parâmetros!$C$13:$C$22,MATCH($C20,Parâmetros!$A$13:$A$22,0)),"⚠ categoria")))</f>
        <v>0.18</v>
      </c>
      <c r="G20" s="35"/>
      <c r="H20" s="36" t="n">
        <f aca="false">IF($A20="","",IF(ISNUMBER($G20),$G20,IF(ISNUMBER($F20),$F20,"")))</f>
        <v>0.18</v>
      </c>
      <c r="I20" s="37" t="n">
        <f aca="false">IF(OR($A20="",NOT(ISNUMBER($D20)),NOT(ISNUMBER($H20))),"",IF((1-$H20-Parâmetros!$B$5-Parâmetros!$C$5-Parâmetros!$D$5)&lt;=0,"INVALIDO",($D20+IF(ISNUMBER($E20),$E20,0)+IF(ISNUMBER(Parâmetros!$E$5),Parâmetros!$E$5,0))/(1-$H20-Parâmetros!$B$5-Parâmetros!$C$5-Parâmetros!$D$5)))</f>
        <v>525.530612244898</v>
      </c>
      <c r="J20" s="38"/>
      <c r="K20" s="39" t="n">
        <f aca="false">IF(OR($A20="",NOT(ISNUMBER($D20)),NOT(ISNUMBER($H20))),"",IF(AND(ISNUMBER($J20),$J20&gt;0),$J20,IF(ISNUMBER($I20),$I20,"")))</f>
        <v>525.530612244898</v>
      </c>
      <c r="L20" s="40" t="n">
        <f aca="false">IF(ISNUMBER($K20),$K20*$H20,"")</f>
        <v>94.5955102040816</v>
      </c>
      <c r="M20" s="40" t="n">
        <f aca="false">IF(ISNUMBER($K20),$K20*Parâmetros!$B$5,"")</f>
        <v>52.5530612244898</v>
      </c>
      <c r="N20" s="40" t="n">
        <f aca="false">IF(ISNUMBER($K20),$K20*Parâmetros!$C$5,"")</f>
        <v>15.7659183673469</v>
      </c>
      <c r="O20" s="40" t="n">
        <f aca="false">IF(ISNUMBER($K20),IF(ISNUMBER(Parâmetros!$E$5),Parâmetros!$E$5,0),"")</f>
        <v>0</v>
      </c>
      <c r="P20" s="41" t="n">
        <f aca="false">IF(ISNUMBER($K20),$K20-$D20-IF(ISNUMBER($E20),$E20,0)-$L20-$M20-$N20-$O20,"")</f>
        <v>105.10612244898</v>
      </c>
      <c r="Q20" s="42" t="n">
        <f aca="false">IF(AND(ISNUMBER($K20),$K20&gt;0),$P20/$K20,"")</f>
        <v>0.2</v>
      </c>
      <c r="R20" s="43"/>
      <c r="S20" s="44" t="str">
        <f aca="false">IF(OR(NOT(ISNUMBER($R20)),$R20=0,NOT(ISNUMBER($K20))),"",$K20*(1-$R20))</f>
        <v/>
      </c>
      <c r="T20" s="45" t="str">
        <f aca="false">IF(ISNUMBER($S20),$S20*$H20,"")</f>
        <v/>
      </c>
      <c r="U20" s="45" t="str">
        <f aca="false">IF(ISNUMBER($S20),$S20*Parâmetros!$B$5,"")</f>
        <v/>
      </c>
      <c r="V20" s="45" t="str">
        <f aca="false">IF(ISNUMBER($S20),$S20*Parâmetros!$C$5,"")</f>
        <v/>
      </c>
      <c r="W20" s="44" t="str">
        <f aca="false">IF(ISNUMBER($S20),$S20-$D20-IF(ISNUMBER($E20),$E20,0)-$O20-$T20-$U20-$V20,"")</f>
        <v/>
      </c>
      <c r="X20" s="46" t="str">
        <f aca="false">IF(AND(ISNUMBER($S20),$S20&gt;0),$W20/$S20,"")</f>
        <v/>
      </c>
      <c r="Y20" s="47"/>
      <c r="Z20" s="19"/>
    </row>
    <row r="21" customFormat="false" ht="15.75" hidden="false" customHeight="true" outlineLevel="0" collapsed="false">
      <c r="A21" s="48" t="str">
        <f aca="false">IF(Produtos!$A21="","",Produtos!$A21)</f>
        <v>L4070</v>
      </c>
      <c r="B21" s="48" t="str">
        <f aca="false">IF(Produtos!$A21="","",Produtos!$B21)</f>
        <v>Lixeira Aço Inox s/Tampa 40x70 88L</v>
      </c>
      <c r="C21" s="48" t="str">
        <f aca="false">IF(Produtos!$A21="","",Produtos!$C21)</f>
        <v>Lixeiras em inox</v>
      </c>
      <c r="D21" s="33" t="n">
        <f aca="false">IF(Produtos!$A21="","",IF(Produtos!$D21="","",Produtos!$D21))</f>
        <v>262.59</v>
      </c>
      <c r="E21" s="11"/>
      <c r="F21" s="34" t="n">
        <f aca="false">IF($A21="","",IF($C21="","⚠ categoria",IFERROR(INDEX(Parâmetros!$C$13:$C$22,MATCH($C21,Parâmetros!$A$13:$A$22,0)),"⚠ categoria")))</f>
        <v>0.18</v>
      </c>
      <c r="G21" s="35"/>
      <c r="H21" s="36" t="n">
        <f aca="false">IF($A21="","",IF(ISNUMBER($G21),$G21,IF(ISNUMBER($F21),$F21,"")))</f>
        <v>0.18</v>
      </c>
      <c r="I21" s="37" t="n">
        <f aca="false">IF(OR($A21="",NOT(ISNUMBER($D21)),NOT(ISNUMBER($H21))),"",IF((1-$H21-Parâmetros!$B$5-Parâmetros!$C$5-Parâmetros!$D$5)&lt;=0,"INVALIDO",($D21+IF(ISNUMBER($E21),$E21,0)+IF(ISNUMBER(Parâmetros!$E$5),Parâmetros!$E$5,0))/(1-$H21-Parâmetros!$B$5-Parâmetros!$C$5-Parâmetros!$D$5)))</f>
        <v>535.897959183673</v>
      </c>
      <c r="J21" s="38"/>
      <c r="K21" s="39" t="n">
        <f aca="false">IF(OR($A21="",NOT(ISNUMBER($D21)),NOT(ISNUMBER($H21))),"",IF(AND(ISNUMBER($J21),$J21&gt;0),$J21,IF(ISNUMBER($I21),$I21,"")))</f>
        <v>535.897959183673</v>
      </c>
      <c r="L21" s="40" t="n">
        <f aca="false">IF(ISNUMBER($K21),$K21*$H21,"")</f>
        <v>96.4616326530612</v>
      </c>
      <c r="M21" s="40" t="n">
        <f aca="false">IF(ISNUMBER($K21),$K21*Parâmetros!$B$5,"")</f>
        <v>53.5897959183673</v>
      </c>
      <c r="N21" s="40" t="n">
        <f aca="false">IF(ISNUMBER($K21),$K21*Parâmetros!$C$5,"")</f>
        <v>16.0769387755102</v>
      </c>
      <c r="O21" s="40" t="n">
        <f aca="false">IF(ISNUMBER($K21),IF(ISNUMBER(Parâmetros!$E$5),Parâmetros!$E$5,0),"")</f>
        <v>0</v>
      </c>
      <c r="P21" s="41" t="n">
        <f aca="false">IF(ISNUMBER($K21),$K21-$D21-IF(ISNUMBER($E21),$E21,0)-$L21-$M21-$N21-$O21,"")</f>
        <v>107.179591836735</v>
      </c>
      <c r="Q21" s="42" t="n">
        <f aca="false">IF(AND(ISNUMBER($K21),$K21&gt;0),$P21/$K21,"")</f>
        <v>0.2</v>
      </c>
      <c r="R21" s="43"/>
      <c r="S21" s="44" t="str">
        <f aca="false">IF(OR(NOT(ISNUMBER($R21)),$R21=0,NOT(ISNUMBER($K21))),"",$K21*(1-$R21))</f>
        <v/>
      </c>
      <c r="T21" s="45" t="str">
        <f aca="false">IF(ISNUMBER($S21),$S21*$H21,"")</f>
        <v/>
      </c>
      <c r="U21" s="45" t="str">
        <f aca="false">IF(ISNUMBER($S21),$S21*Parâmetros!$B$5,"")</f>
        <v/>
      </c>
      <c r="V21" s="45" t="str">
        <f aca="false">IF(ISNUMBER($S21),$S21*Parâmetros!$C$5,"")</f>
        <v/>
      </c>
      <c r="W21" s="44" t="str">
        <f aca="false">IF(ISNUMBER($S21),$S21-$D21-IF(ISNUMBER($E21),$E21,0)-$O21-$T21-$U21-$V21,"")</f>
        <v/>
      </c>
      <c r="X21" s="46" t="str">
        <f aca="false">IF(AND(ISNUMBER($S21),$S21&gt;0),$W21/$S21,"")</f>
        <v/>
      </c>
      <c r="Y21" s="49"/>
      <c r="Z21" s="21"/>
    </row>
    <row r="22" customFormat="false" ht="15.75" hidden="false" customHeight="true" outlineLevel="0" collapsed="false">
      <c r="A22" s="32" t="str">
        <f aca="false">IF(Produtos!$A22="","",Produtos!$A22)</f>
        <v>L4075</v>
      </c>
      <c r="B22" s="32" t="str">
        <f aca="false">IF(Produtos!$A22="","",Produtos!$B22)</f>
        <v>Lixeira Aço Inox s/Tampa 40x75 95L</v>
      </c>
      <c r="C22" s="32" t="str">
        <f aca="false">IF(Produtos!$A22="","",Produtos!$C22)</f>
        <v>Lixeiras em inox</v>
      </c>
      <c r="D22" s="33" t="n">
        <f aca="false">IF(Produtos!$A22="","",IF(Produtos!$D22="","",Produtos!$D22))</f>
        <v>322.16</v>
      </c>
      <c r="E22" s="11"/>
      <c r="F22" s="34" t="n">
        <f aca="false">IF($A22="","",IF($C22="","⚠ categoria",IFERROR(INDEX(Parâmetros!$C$13:$C$22,MATCH($C22,Parâmetros!$A$13:$A$22,0)),"⚠ categoria")))</f>
        <v>0.18</v>
      </c>
      <c r="G22" s="35"/>
      <c r="H22" s="36" t="n">
        <f aca="false">IF($A22="","",IF(ISNUMBER($G22),$G22,IF(ISNUMBER($F22),$F22,"")))</f>
        <v>0.18</v>
      </c>
      <c r="I22" s="37" t="n">
        <f aca="false">IF(OR($A22="",NOT(ISNUMBER($D22)),NOT(ISNUMBER($H22))),"",IF((1-$H22-Parâmetros!$B$5-Parâmetros!$C$5-Parâmetros!$D$5)&lt;=0,"INVALIDO",($D22+IF(ISNUMBER($E22),$E22,0)+IF(ISNUMBER(Parâmetros!$E$5),Parâmetros!$E$5,0))/(1-$H22-Parâmetros!$B$5-Parâmetros!$C$5-Parâmetros!$D$5)))</f>
        <v>657.469387755102</v>
      </c>
      <c r="J22" s="38"/>
      <c r="K22" s="39" t="n">
        <f aca="false">IF(OR($A22="",NOT(ISNUMBER($D22)),NOT(ISNUMBER($H22))),"",IF(AND(ISNUMBER($J22),$J22&gt;0),$J22,IF(ISNUMBER($I22),$I22,"")))</f>
        <v>657.469387755102</v>
      </c>
      <c r="L22" s="40" t="n">
        <f aca="false">IF(ISNUMBER($K22),$K22*$H22,"")</f>
        <v>118.344489795918</v>
      </c>
      <c r="M22" s="40" t="n">
        <f aca="false">IF(ISNUMBER($K22),$K22*Parâmetros!$B$5,"")</f>
        <v>65.7469387755102</v>
      </c>
      <c r="N22" s="40" t="n">
        <f aca="false">IF(ISNUMBER($K22),$K22*Parâmetros!$C$5,"")</f>
        <v>19.7240816326531</v>
      </c>
      <c r="O22" s="40" t="n">
        <f aca="false">IF(ISNUMBER($K22),IF(ISNUMBER(Parâmetros!$E$5),Parâmetros!$E$5,0),"")</f>
        <v>0</v>
      </c>
      <c r="P22" s="41" t="n">
        <f aca="false">IF(ISNUMBER($K22),$K22-$D22-IF(ISNUMBER($E22),$E22,0)-$L22-$M22-$N22-$O22,"")</f>
        <v>131.49387755102</v>
      </c>
      <c r="Q22" s="42" t="n">
        <f aca="false">IF(AND(ISNUMBER($K22),$K22&gt;0),$P22/$K22,"")</f>
        <v>0.2</v>
      </c>
      <c r="R22" s="43"/>
      <c r="S22" s="44" t="str">
        <f aca="false">IF(OR(NOT(ISNUMBER($R22)),$R22=0,NOT(ISNUMBER($K22))),"",$K22*(1-$R22))</f>
        <v/>
      </c>
      <c r="T22" s="45" t="str">
        <f aca="false">IF(ISNUMBER($S22),$S22*$H22,"")</f>
        <v/>
      </c>
      <c r="U22" s="45" t="str">
        <f aca="false">IF(ISNUMBER($S22),$S22*Parâmetros!$B$5,"")</f>
        <v/>
      </c>
      <c r="V22" s="45" t="str">
        <f aca="false">IF(ISNUMBER($S22),$S22*Parâmetros!$C$5,"")</f>
        <v/>
      </c>
      <c r="W22" s="44" t="str">
        <f aca="false">IF(ISNUMBER($S22),$S22-$D22-IF(ISNUMBER($E22),$E22,0)-$O22-$T22-$U22-$V22,"")</f>
        <v/>
      </c>
      <c r="X22" s="46" t="str">
        <f aca="false">IF(AND(ISNUMBER($S22),$S22&gt;0),$W22/$S22,"")</f>
        <v/>
      </c>
      <c r="Y22" s="47"/>
      <c r="Z22" s="19"/>
    </row>
    <row r="23" customFormat="false" ht="15.75" hidden="false" customHeight="true" outlineLevel="0" collapsed="false">
      <c r="A23" s="48" t="str">
        <f aca="false">IF(Produtos!$A23="","",Produtos!$A23)</f>
        <v>L4080</v>
      </c>
      <c r="B23" s="48" t="str">
        <f aca="false">IF(Produtos!$A23="","",Produtos!$B23)</f>
        <v>Lixeira Aço Inox s/Tampa 40x80 100L</v>
      </c>
      <c r="C23" s="48" t="str">
        <f aca="false">IF(Produtos!$A23="","",Produtos!$C23)</f>
        <v>Lixeiras em inox</v>
      </c>
      <c r="D23" s="33" t="n">
        <f aca="false">IF(Produtos!$A23="","",IF(Produtos!$D23="","",Produtos!$D23))</f>
        <v>336.34</v>
      </c>
      <c r="E23" s="11"/>
      <c r="F23" s="34" t="n">
        <f aca="false">IF($A23="","",IF($C23="","⚠ categoria",IFERROR(INDEX(Parâmetros!$C$13:$C$22,MATCH($C23,Parâmetros!$A$13:$A$22,0)),"⚠ categoria")))</f>
        <v>0.18</v>
      </c>
      <c r="G23" s="35"/>
      <c r="H23" s="36" t="n">
        <f aca="false">IF($A23="","",IF(ISNUMBER($G23),$G23,IF(ISNUMBER($F23),$F23,"")))</f>
        <v>0.18</v>
      </c>
      <c r="I23" s="37" t="n">
        <f aca="false">IF(OR($A23="",NOT(ISNUMBER($D23)),NOT(ISNUMBER($H23))),"",IF((1-$H23-Parâmetros!$B$5-Parâmetros!$C$5-Parâmetros!$D$5)&lt;=0,"INVALIDO",($D23+IF(ISNUMBER($E23),$E23,0)+IF(ISNUMBER(Parâmetros!$E$5),Parâmetros!$E$5,0))/(1-$H23-Parâmetros!$B$5-Parâmetros!$C$5-Parâmetros!$D$5)))</f>
        <v>686.408163265306</v>
      </c>
      <c r="J23" s="38"/>
      <c r="K23" s="39" t="n">
        <f aca="false">IF(OR($A23="",NOT(ISNUMBER($D23)),NOT(ISNUMBER($H23))),"",IF(AND(ISNUMBER($J23),$J23&gt;0),$J23,IF(ISNUMBER($I23),$I23,"")))</f>
        <v>686.408163265306</v>
      </c>
      <c r="L23" s="40" t="n">
        <f aca="false">IF(ISNUMBER($K23),$K23*$H23,"")</f>
        <v>123.553469387755</v>
      </c>
      <c r="M23" s="40" t="n">
        <f aca="false">IF(ISNUMBER($K23),$K23*Parâmetros!$B$5,"")</f>
        <v>68.6408163265306</v>
      </c>
      <c r="N23" s="40" t="n">
        <f aca="false">IF(ISNUMBER($K23),$K23*Parâmetros!$C$5,"")</f>
        <v>20.5922448979592</v>
      </c>
      <c r="O23" s="40" t="n">
        <f aca="false">IF(ISNUMBER($K23),IF(ISNUMBER(Parâmetros!$E$5),Parâmetros!$E$5,0),"")</f>
        <v>0</v>
      </c>
      <c r="P23" s="41" t="n">
        <f aca="false">IF(ISNUMBER($K23),$K23-$D23-IF(ISNUMBER($E23),$E23,0)-$L23-$M23-$N23-$O23,"")</f>
        <v>137.281632653061</v>
      </c>
      <c r="Q23" s="42" t="n">
        <f aca="false">IF(AND(ISNUMBER($K23),$K23&gt;0),$P23/$K23,"")</f>
        <v>0.2</v>
      </c>
      <c r="R23" s="43"/>
      <c r="S23" s="44" t="str">
        <f aca="false">IF(OR(NOT(ISNUMBER($R23)),$R23=0,NOT(ISNUMBER($K23))),"",$K23*(1-$R23))</f>
        <v/>
      </c>
      <c r="T23" s="45" t="str">
        <f aca="false">IF(ISNUMBER($S23),$S23*$H23,"")</f>
        <v/>
      </c>
      <c r="U23" s="45" t="str">
        <f aca="false">IF(ISNUMBER($S23),$S23*Parâmetros!$B$5,"")</f>
        <v/>
      </c>
      <c r="V23" s="45" t="str">
        <f aca="false">IF(ISNUMBER($S23),$S23*Parâmetros!$C$5,"")</f>
        <v/>
      </c>
      <c r="W23" s="44" t="str">
        <f aca="false">IF(ISNUMBER($S23),$S23-$D23-IF(ISNUMBER($E23),$E23,0)-$O23-$T23-$U23-$V23,"")</f>
        <v/>
      </c>
      <c r="X23" s="46" t="str">
        <f aca="false">IF(AND(ISNUMBER($S23),$S23&gt;0),$W23/$S23,"")</f>
        <v/>
      </c>
      <c r="Y23" s="49"/>
      <c r="Z23" s="21"/>
    </row>
    <row r="24" customFormat="false" ht="15.75" hidden="false" customHeight="true" outlineLevel="0" collapsed="false">
      <c r="A24" s="32" t="str">
        <f aca="false">IF(Produtos!$A24="","",Produtos!$A24)</f>
        <v>L4090</v>
      </c>
      <c r="B24" s="32" t="str">
        <f aca="false">IF(Produtos!$A24="","",Produtos!$B24)</f>
        <v>Lixeira Aço Inox s/Tampa 40x90 120L</v>
      </c>
      <c r="C24" s="32" t="str">
        <f aca="false">IF(Produtos!$A24="","",Produtos!$C24)</f>
        <v>Lixeiras em inox</v>
      </c>
      <c r="D24" s="33" t="n">
        <f aca="false">IF(Produtos!$A24="","",IF(Produtos!$D24="","",Produtos!$D24))</f>
        <v>378.85</v>
      </c>
      <c r="E24" s="11"/>
      <c r="F24" s="34" t="n">
        <f aca="false">IF($A24="","",IF($C24="","⚠ categoria",IFERROR(INDEX(Parâmetros!$C$13:$C$22,MATCH($C24,Parâmetros!$A$13:$A$22,0)),"⚠ categoria")))</f>
        <v>0.18</v>
      </c>
      <c r="G24" s="35"/>
      <c r="H24" s="36" t="n">
        <f aca="false">IF($A24="","",IF(ISNUMBER($G24),$G24,IF(ISNUMBER($F24),$F24,"")))</f>
        <v>0.18</v>
      </c>
      <c r="I24" s="37" t="n">
        <f aca="false">IF(OR($A24="",NOT(ISNUMBER($D24)),NOT(ISNUMBER($H24))),"",IF((1-$H24-Parâmetros!$B$5-Parâmetros!$C$5-Parâmetros!$D$5)&lt;=0,"INVALIDO",($D24+IF(ISNUMBER($E24),$E24,0)+IF(ISNUMBER(Parâmetros!$E$5),Parâmetros!$E$5,0))/(1-$H24-Parâmetros!$B$5-Parâmetros!$C$5-Parâmetros!$D$5)))</f>
        <v>773.163265306122</v>
      </c>
      <c r="J24" s="38"/>
      <c r="K24" s="39" t="n">
        <f aca="false">IF(OR($A24="",NOT(ISNUMBER($D24)),NOT(ISNUMBER($H24))),"",IF(AND(ISNUMBER($J24),$J24&gt;0),$J24,IF(ISNUMBER($I24),$I24,"")))</f>
        <v>773.163265306122</v>
      </c>
      <c r="L24" s="40" t="n">
        <f aca="false">IF(ISNUMBER($K24),$K24*$H24,"")</f>
        <v>139.169387755102</v>
      </c>
      <c r="M24" s="40" t="n">
        <f aca="false">IF(ISNUMBER($K24),$K24*Parâmetros!$B$5,"")</f>
        <v>77.3163265306122</v>
      </c>
      <c r="N24" s="40" t="n">
        <f aca="false">IF(ISNUMBER($K24),$K24*Parâmetros!$C$5,"")</f>
        <v>23.1948979591837</v>
      </c>
      <c r="O24" s="40" t="n">
        <f aca="false">IF(ISNUMBER($K24),IF(ISNUMBER(Parâmetros!$E$5),Parâmetros!$E$5,0),"")</f>
        <v>0</v>
      </c>
      <c r="P24" s="41" t="n">
        <f aca="false">IF(ISNUMBER($K24),$K24-$D24-IF(ISNUMBER($E24),$E24,0)-$L24-$M24-$N24-$O24,"")</f>
        <v>154.632653061224</v>
      </c>
      <c r="Q24" s="42" t="n">
        <f aca="false">IF(AND(ISNUMBER($K24),$K24&gt;0),$P24/$K24,"")</f>
        <v>0.2</v>
      </c>
      <c r="R24" s="43"/>
      <c r="S24" s="44" t="str">
        <f aca="false">IF(OR(NOT(ISNUMBER($R24)),$R24=0,NOT(ISNUMBER($K24))),"",$K24*(1-$R24))</f>
        <v/>
      </c>
      <c r="T24" s="45" t="str">
        <f aca="false">IF(ISNUMBER($S24),$S24*$H24,"")</f>
        <v/>
      </c>
      <c r="U24" s="45" t="str">
        <f aca="false">IF(ISNUMBER($S24),$S24*Parâmetros!$B$5,"")</f>
        <v/>
      </c>
      <c r="V24" s="45" t="str">
        <f aca="false">IF(ISNUMBER($S24),$S24*Parâmetros!$C$5,"")</f>
        <v/>
      </c>
      <c r="W24" s="44" t="str">
        <f aca="false">IF(ISNUMBER($S24),$S24-$D24-IF(ISNUMBER($E24),$E24,0)-$O24-$T24-$U24-$V24,"")</f>
        <v/>
      </c>
      <c r="X24" s="46" t="str">
        <f aca="false">IF(AND(ISNUMBER($S24),$S24&gt;0),$W24/$S24,"")</f>
        <v/>
      </c>
      <c r="Y24" s="47"/>
      <c r="Z24" s="19"/>
    </row>
    <row r="25" customFormat="false" ht="15.75" hidden="false" customHeight="true" outlineLevel="0" collapsed="false">
      <c r="A25" s="48" t="str">
        <f aca="false">IF(Produtos!$A25="","",Produtos!$A25)</f>
        <v>L1618-A</v>
      </c>
      <c r="B25" s="48" t="str">
        <f aca="false">IF(Produtos!$A25="","",Produtos!$B25)</f>
        <v>Lixeira Aço Inox c/Aro 16x18 03L</v>
      </c>
      <c r="C25" s="48" t="str">
        <f aca="false">IF(Produtos!$A25="","",Produtos!$C25)</f>
        <v>Lixeiras em inox</v>
      </c>
      <c r="D25" s="33" t="n">
        <f aca="false">IF(Produtos!$A25="","",IF(Produtos!$D25="","",Produtos!$D25))</f>
        <v>48.18</v>
      </c>
      <c r="E25" s="11" t="n">
        <v>14.15</v>
      </c>
      <c r="F25" s="34" t="n">
        <f aca="false">IF($A25="","",IF($C25="","⚠ categoria",IFERROR(INDEX(Parâmetros!$C$13:$C$22,MATCH($C25,Parâmetros!$A$13:$A$22,0)),"⚠ categoria")))</f>
        <v>0.18</v>
      </c>
      <c r="G25" s="35"/>
      <c r="H25" s="36" t="n">
        <f aca="false">IF($A25="","",IF(ISNUMBER($G25),$G25,IF(ISNUMBER($F25),$F25,"")))</f>
        <v>0.18</v>
      </c>
      <c r="I25" s="37" t="n">
        <f aca="false">IF(OR($A25="",NOT(ISNUMBER($D25)),NOT(ISNUMBER($H25))),"",IF((1-$H25-Parâmetros!$B$5-Parâmetros!$C$5-Parâmetros!$D$5)&lt;=0,"INVALIDO",($D25+IF(ISNUMBER($E25),$E25,0)+IF(ISNUMBER(Parâmetros!$E$5),Parâmetros!$E$5,0))/(1-$H25-Parâmetros!$B$5-Parâmetros!$C$5-Parâmetros!$D$5)))</f>
        <v>127.204081632653</v>
      </c>
      <c r="J25" s="38" t="n">
        <v>96.63</v>
      </c>
      <c r="K25" s="39" t="n">
        <f aca="false">IF(OR($A25="",NOT(ISNUMBER($D25)),NOT(ISNUMBER($H25))),"",IF(AND(ISNUMBER($J25),$J25&gt;0),$J25,IF(ISNUMBER($I25),$I25,"")))</f>
        <v>96.63</v>
      </c>
      <c r="L25" s="40" t="n">
        <f aca="false">IF(ISNUMBER($K25),$K25*$H25,"")</f>
        <v>17.3934</v>
      </c>
      <c r="M25" s="40" t="n">
        <f aca="false">IF(ISNUMBER($K25),$K25*Parâmetros!$B$5,"")</f>
        <v>9.663</v>
      </c>
      <c r="N25" s="40" t="n">
        <f aca="false">IF(ISNUMBER($K25),$K25*Parâmetros!$C$5,"")</f>
        <v>2.8989</v>
      </c>
      <c r="O25" s="40" t="n">
        <f aca="false">IF(ISNUMBER($K25),IF(ISNUMBER(Parâmetros!$E$5),Parâmetros!$E$5,0),"")</f>
        <v>0</v>
      </c>
      <c r="P25" s="41" t="n">
        <f aca="false">IF(ISNUMBER($K25),$K25-$D25-IF(ISNUMBER($E25),$E25,0)-$L25-$M25-$N25-$O25,"")</f>
        <v>4.3447</v>
      </c>
      <c r="Q25" s="42" t="n">
        <f aca="false">IF(AND(ISNUMBER($K25),$K25&gt;0),$P25/$K25,"")</f>
        <v>0.0449622270516403</v>
      </c>
      <c r="R25" s="43"/>
      <c r="S25" s="44" t="str">
        <f aca="false">IF(OR(NOT(ISNUMBER($R25)),$R25=0,NOT(ISNUMBER($K25))),"",$K25*(1-$R25))</f>
        <v/>
      </c>
      <c r="T25" s="45" t="str">
        <f aca="false">IF(ISNUMBER($S25),$S25*$H25,"")</f>
        <v/>
      </c>
      <c r="U25" s="45" t="str">
        <f aca="false">IF(ISNUMBER($S25),$S25*Parâmetros!$B$5,"")</f>
        <v/>
      </c>
      <c r="V25" s="45" t="str">
        <f aca="false">IF(ISNUMBER($S25),$S25*Parâmetros!$C$5,"")</f>
        <v/>
      </c>
      <c r="W25" s="44" t="str">
        <f aca="false">IF(ISNUMBER($S25),$S25-$D25-IF(ISNUMBER($E25),$E25,0)-$O25-$T25-$U25-$V25,"")</f>
        <v/>
      </c>
      <c r="X25" s="46" t="str">
        <f aca="false">IF(AND(ISNUMBER($S25),$S25&gt;0),$W25/$S25,"")</f>
        <v/>
      </c>
      <c r="Y25" s="49"/>
      <c r="Z25" s="21"/>
    </row>
    <row r="26" customFormat="false" ht="15.75" hidden="false" customHeight="true" outlineLevel="0" collapsed="false">
      <c r="A26" s="32" t="str">
        <f aca="false">IF(Produtos!$A26="","",Produtos!$A26)</f>
        <v>L1623-A</v>
      </c>
      <c r="B26" s="32" t="str">
        <f aca="false">IF(Produtos!$A26="","",Produtos!$B26)</f>
        <v>Lixeira Aço Inox c/Aro 16x23 05L</v>
      </c>
      <c r="C26" s="32" t="str">
        <f aca="false">IF(Produtos!$A26="","",Produtos!$C26)</f>
        <v>Lixeiras em inox</v>
      </c>
      <c r="D26" s="33" t="n">
        <f aca="false">IF(Produtos!$A26="","",IF(Produtos!$D26="","",Produtos!$D26))</f>
        <v>55.75</v>
      </c>
      <c r="E26" s="11" t="n">
        <v>18.35</v>
      </c>
      <c r="F26" s="34" t="n">
        <f aca="false">IF($A26="","",IF($C26="","⚠ categoria",IFERROR(INDEX(Parâmetros!$C$13:$C$22,MATCH($C26,Parâmetros!$A$13:$A$22,0)),"⚠ categoria")))</f>
        <v>0.18</v>
      </c>
      <c r="G26" s="35"/>
      <c r="H26" s="36" t="n">
        <f aca="false">IF($A26="","",IF(ISNUMBER($G26),$G26,IF(ISNUMBER($F26),$F26,"")))</f>
        <v>0.18</v>
      </c>
      <c r="I26" s="37" t="n">
        <f aca="false">IF(OR($A26="",NOT(ISNUMBER($D26)),NOT(ISNUMBER($H26))),"",IF((1-$H26-Parâmetros!$B$5-Parâmetros!$C$5-Parâmetros!$D$5)&lt;=0,"INVALIDO",($D26+IF(ISNUMBER($E26),$E26,0)+IF(ISNUMBER(Parâmetros!$E$5),Parâmetros!$E$5,0))/(1-$H26-Parâmetros!$B$5-Parâmetros!$C$5-Parâmetros!$D$5)))</f>
        <v>151.224489795918</v>
      </c>
      <c r="J26" s="38" t="n">
        <v>114.53</v>
      </c>
      <c r="K26" s="39" t="n">
        <f aca="false">IF(OR($A26="",NOT(ISNUMBER($D26)),NOT(ISNUMBER($H26))),"",IF(AND(ISNUMBER($J26),$J26&gt;0),$J26,IF(ISNUMBER($I26),$I26,"")))</f>
        <v>114.53</v>
      </c>
      <c r="L26" s="40" t="n">
        <f aca="false">IF(ISNUMBER($K26),$K26*$H26,"")</f>
        <v>20.6154</v>
      </c>
      <c r="M26" s="40" t="n">
        <f aca="false">IF(ISNUMBER($K26),$K26*Parâmetros!$B$5,"")</f>
        <v>11.453</v>
      </c>
      <c r="N26" s="40" t="n">
        <f aca="false">IF(ISNUMBER($K26),$K26*Parâmetros!$C$5,"")</f>
        <v>3.4359</v>
      </c>
      <c r="O26" s="40" t="n">
        <f aca="false">IF(ISNUMBER($K26),IF(ISNUMBER(Parâmetros!$E$5),Parâmetros!$E$5,0),"")</f>
        <v>0</v>
      </c>
      <c r="P26" s="41" t="n">
        <f aca="false">IF(ISNUMBER($K26),$K26-$D26-IF(ISNUMBER($E26),$E26,0)-$L26-$M26-$N26-$O26,"")</f>
        <v>4.9257</v>
      </c>
      <c r="Q26" s="42" t="n">
        <f aca="false">IF(AND(ISNUMBER($K26),$K26&gt;0),$P26/$K26,"")</f>
        <v>0.0430079455164586</v>
      </c>
      <c r="R26" s="43"/>
      <c r="S26" s="44" t="str">
        <f aca="false">IF(OR(NOT(ISNUMBER($R26)),$R26=0,NOT(ISNUMBER($K26))),"",$K26*(1-$R26))</f>
        <v/>
      </c>
      <c r="T26" s="45" t="str">
        <f aca="false">IF(ISNUMBER($S26),$S26*$H26,"")</f>
        <v/>
      </c>
      <c r="U26" s="45" t="str">
        <f aca="false">IF(ISNUMBER($S26),$S26*Parâmetros!$B$5,"")</f>
        <v/>
      </c>
      <c r="V26" s="45" t="str">
        <f aca="false">IF(ISNUMBER($S26),$S26*Parâmetros!$C$5,"")</f>
        <v/>
      </c>
      <c r="W26" s="44" t="str">
        <f aca="false">IF(ISNUMBER($S26),$S26-$D26-IF(ISNUMBER($E26),$E26,0)-$O26-$T26-$U26-$V26,"")</f>
        <v/>
      </c>
      <c r="X26" s="46" t="str">
        <f aca="false">IF(AND(ISNUMBER($S26),$S26&gt;0),$W26/$S26,"")</f>
        <v/>
      </c>
      <c r="Y26" s="47"/>
      <c r="Z26" s="19"/>
    </row>
    <row r="27" customFormat="false" ht="15.75" hidden="false" customHeight="true" outlineLevel="0" collapsed="false">
      <c r="A27" s="48" t="str">
        <f aca="false">IF(Produtos!$A27="","",Produtos!$A27)</f>
        <v>L2025-A</v>
      </c>
      <c r="B27" s="48" t="str">
        <f aca="false">IF(Produtos!$A27="","",Produtos!$B27)</f>
        <v>Lixeira Aço Inox c/Aro 20x25 07L</v>
      </c>
      <c r="C27" s="48" t="str">
        <f aca="false">IF(Produtos!$A27="","",Produtos!$C27)</f>
        <v>Lixeiras em inox</v>
      </c>
      <c r="D27" s="33" t="n">
        <f aca="false">IF(Produtos!$A27="","",IF(Produtos!$D27="","",Produtos!$D27))</f>
        <v>60.21</v>
      </c>
      <c r="E27" s="11" t="n">
        <v>19.25</v>
      </c>
      <c r="F27" s="34" t="n">
        <f aca="false">IF($A27="","",IF($C27="","⚠ categoria",IFERROR(INDEX(Parâmetros!$C$13:$C$22,MATCH($C27,Parâmetros!$A$13:$A$22,0)),"⚠ categoria")))</f>
        <v>0.18</v>
      </c>
      <c r="G27" s="35"/>
      <c r="H27" s="36" t="n">
        <f aca="false">IF($A27="","",IF(ISNUMBER($G27),$G27,IF(ISNUMBER($F27),$F27,"")))</f>
        <v>0.18</v>
      </c>
      <c r="I27" s="37" t="n">
        <f aca="false">IF(OR($A27="",NOT(ISNUMBER($D27)),NOT(ISNUMBER($H27))),"",IF((1-$H27-Parâmetros!$B$5-Parâmetros!$C$5-Parâmetros!$D$5)&lt;=0,"INVALIDO",($D27+IF(ISNUMBER($E27),$E27,0)+IF(ISNUMBER(Parâmetros!$E$5),Parâmetros!$E$5,0))/(1-$H27-Parâmetros!$B$5-Parâmetros!$C$5-Parâmetros!$D$5)))</f>
        <v>162.163265306122</v>
      </c>
      <c r="J27" s="38" t="n">
        <v>122.9</v>
      </c>
      <c r="K27" s="39" t="n">
        <f aca="false">IF(OR($A27="",NOT(ISNUMBER($D27)),NOT(ISNUMBER($H27))),"",IF(AND(ISNUMBER($J27),$J27&gt;0),$J27,IF(ISNUMBER($I27),$I27,"")))</f>
        <v>122.9</v>
      </c>
      <c r="L27" s="40" t="n">
        <f aca="false">IF(ISNUMBER($K27),$K27*$H27,"")</f>
        <v>22.122</v>
      </c>
      <c r="M27" s="40" t="n">
        <f aca="false">IF(ISNUMBER($K27),$K27*Parâmetros!$B$5,"")</f>
        <v>12.29</v>
      </c>
      <c r="N27" s="40" t="n">
        <f aca="false">IF(ISNUMBER($K27),$K27*Parâmetros!$C$5,"")</f>
        <v>3.687</v>
      </c>
      <c r="O27" s="40" t="n">
        <f aca="false">IF(ISNUMBER($K27),IF(ISNUMBER(Parâmetros!$E$5),Parâmetros!$E$5,0),"")</f>
        <v>0</v>
      </c>
      <c r="P27" s="41" t="n">
        <f aca="false">IF(ISNUMBER($K27),$K27-$D27-IF(ISNUMBER($E27),$E27,0)-$L27-$M27-$N27-$O27,"")</f>
        <v>5.34100000000001</v>
      </c>
      <c r="Q27" s="42" t="n">
        <f aca="false">IF(AND(ISNUMBER($K27),$K27&gt;0),$P27/$K27,"")</f>
        <v>0.0434580960130188</v>
      </c>
      <c r="R27" s="43"/>
      <c r="S27" s="44" t="str">
        <f aca="false">IF(OR(NOT(ISNUMBER($R27)),$R27=0,NOT(ISNUMBER($K27))),"",$K27*(1-$R27))</f>
        <v/>
      </c>
      <c r="T27" s="45" t="str">
        <f aca="false">IF(ISNUMBER($S27),$S27*$H27,"")</f>
        <v/>
      </c>
      <c r="U27" s="45" t="str">
        <f aca="false">IF(ISNUMBER($S27),$S27*Parâmetros!$B$5,"")</f>
        <v/>
      </c>
      <c r="V27" s="45" t="str">
        <f aca="false">IF(ISNUMBER($S27),$S27*Parâmetros!$C$5,"")</f>
        <v/>
      </c>
      <c r="W27" s="44" t="str">
        <f aca="false">IF(ISNUMBER($S27),$S27-$D27-IF(ISNUMBER($E27),$E27,0)-$O27-$T27-$U27-$V27,"")</f>
        <v/>
      </c>
      <c r="X27" s="46" t="str">
        <f aca="false">IF(AND(ISNUMBER($S27),$S27&gt;0),$W27/$S27,"")</f>
        <v/>
      </c>
      <c r="Y27" s="49"/>
      <c r="Z27" s="21"/>
    </row>
    <row r="28" customFormat="false" ht="15.75" hidden="false" customHeight="true" outlineLevel="0" collapsed="false">
      <c r="A28" s="32" t="str">
        <f aca="false">IF(Produtos!$A28="","",Produtos!$A28)</f>
        <v>L2030-A</v>
      </c>
      <c r="B28" s="32" t="str">
        <f aca="false">IF(Produtos!$A28="","",Produtos!$B28)</f>
        <v>Lixeira Aço Inox c/Aro 20x30 10L</v>
      </c>
      <c r="C28" s="32" t="str">
        <f aca="false">IF(Produtos!$A28="","",Produtos!$C28)</f>
        <v>Lixeiras em inox</v>
      </c>
      <c r="D28" s="33" t="n">
        <f aca="false">IF(Produtos!$A28="","",IF(Produtos!$D28="","",Produtos!$D28))</f>
        <v>68.57</v>
      </c>
      <c r="E28" s="11" t="n">
        <v>24.35</v>
      </c>
      <c r="F28" s="34" t="n">
        <f aca="false">IF($A28="","",IF($C28="","⚠ categoria",IFERROR(INDEX(Parâmetros!$C$13:$C$22,MATCH($C28,Parâmetros!$A$13:$A$22,0)),"⚠ categoria")))</f>
        <v>0.18</v>
      </c>
      <c r="G28" s="35" t="n">
        <v>0.15</v>
      </c>
      <c r="H28" s="36" t="n">
        <f aca="false">IF($A28="","",IF(ISNUMBER($G28),$G28,IF(ISNUMBER($F28),$F28,"")))</f>
        <v>0.15</v>
      </c>
      <c r="I28" s="37" t="n">
        <f aca="false">IF(OR($A28="",NOT(ISNUMBER($D28)),NOT(ISNUMBER($H28))),"",IF((1-$H28-Parâmetros!$B$5-Parâmetros!$C$5-Parâmetros!$D$5)&lt;=0,"INVALIDO",($D28+IF(ISNUMBER($E28),$E28,0)+IF(ISNUMBER(Parâmetros!$E$5),Parâmetros!$E$5,0))/(1-$H28-Parâmetros!$B$5-Parâmetros!$C$5-Parâmetros!$D$5)))</f>
        <v>178.692307692308</v>
      </c>
      <c r="J28" s="38" t="n">
        <v>180.31022875</v>
      </c>
      <c r="K28" s="39" t="n">
        <f aca="false">IF(OR($A28="",NOT(ISNUMBER($D28)),NOT(ISNUMBER($H28))),"",IF(AND(ISNUMBER($J28),$J28&gt;0),$J28,IF(ISNUMBER($I28),$I28,"")))</f>
        <v>180.31022875</v>
      </c>
      <c r="L28" s="40" t="n">
        <f aca="false">IF(ISNUMBER($K28),$K28*$H28,"")</f>
        <v>27.0465343125</v>
      </c>
      <c r="M28" s="40" t="n">
        <f aca="false">IF(ISNUMBER($K28),$K28*Parâmetros!$B$5,"")</f>
        <v>18.031022875</v>
      </c>
      <c r="N28" s="40" t="n">
        <f aca="false">IF(ISNUMBER($K28),$K28*Parâmetros!$C$5,"")</f>
        <v>5.4093068625</v>
      </c>
      <c r="O28" s="40" t="n">
        <f aca="false">IF(ISNUMBER($K28),IF(ISNUMBER(Parâmetros!$E$5),Parâmetros!$E$5,0),"")</f>
        <v>0</v>
      </c>
      <c r="P28" s="41" t="n">
        <f aca="false">IF(ISNUMBER($K28),$K28-$D28-IF(ISNUMBER($E28),$E28,0)-$L28-$M28-$N28-$O28,"")</f>
        <v>36.9033647</v>
      </c>
      <c r="Q28" s="42" t="n">
        <f aca="false">IF(AND(ISNUMBER($K28),$K28&gt;0),$P28/$K28,"")</f>
        <v>0.204665952430056</v>
      </c>
      <c r="R28" s="43"/>
      <c r="S28" s="44" t="str">
        <f aca="false">IF(OR(NOT(ISNUMBER($R28)),$R28=0,NOT(ISNUMBER($K28))),"",$K28*(1-$R28))</f>
        <v/>
      </c>
      <c r="T28" s="45" t="str">
        <f aca="false">IF(ISNUMBER($S28),$S28*$H28,"")</f>
        <v/>
      </c>
      <c r="U28" s="45" t="str">
        <f aca="false">IF(ISNUMBER($S28),$S28*Parâmetros!$B$5,"")</f>
        <v/>
      </c>
      <c r="V28" s="45" t="str">
        <f aca="false">IF(ISNUMBER($S28),$S28*Parâmetros!$C$5,"")</f>
        <v/>
      </c>
      <c r="W28" s="44" t="str">
        <f aca="false">IF(ISNUMBER($S28),$S28-$D28-IF(ISNUMBER($E28),$E28,0)-$O28-$T28-$U28-$V28,"")</f>
        <v/>
      </c>
      <c r="X28" s="46" t="str">
        <f aca="false">IF(AND(ISNUMBER($S28),$S28&gt;0),$W28/$S28,"")</f>
        <v/>
      </c>
      <c r="Y28" s="47" t="s">
        <v>735</v>
      </c>
      <c r="Z28" s="19"/>
    </row>
    <row r="29" customFormat="false" ht="15.75" hidden="false" customHeight="true" outlineLevel="0" collapsed="false">
      <c r="A29" s="48" t="str">
        <f aca="false">IF(Produtos!$A29="","",Produtos!$A29)</f>
        <v>L2425-A</v>
      </c>
      <c r="B29" s="48" t="str">
        <f aca="false">IF(Produtos!$A29="","",Produtos!$B29)</f>
        <v>Lixeira Aço Inox c/Aro 24x25 13L</v>
      </c>
      <c r="C29" s="48" t="str">
        <f aca="false">IF(Produtos!$A29="","",Produtos!$C29)</f>
        <v>Lixeiras em inox</v>
      </c>
      <c r="D29" s="33" t="n">
        <f aca="false">IF(Produtos!$A29="","",IF(Produtos!$D29="","",Produtos!$D29))</f>
        <v>79.66</v>
      </c>
      <c r="E29" s="11" t="n">
        <v>27.05</v>
      </c>
      <c r="F29" s="34" t="n">
        <f aca="false">IF($A29="","",IF($C29="","⚠ categoria",IFERROR(INDEX(Parâmetros!$C$13:$C$22,MATCH($C29,Parâmetros!$A$13:$A$22,0)),"⚠ categoria")))</f>
        <v>0.18</v>
      </c>
      <c r="G29" s="35" t="n">
        <v>0.15</v>
      </c>
      <c r="H29" s="36" t="n">
        <f aca="false">IF($A29="","",IF(ISNUMBER($G29),$G29,IF(ISNUMBER($F29),$F29,"")))</f>
        <v>0.15</v>
      </c>
      <c r="I29" s="37" t="n">
        <f aca="false">IF(OR($A29="",NOT(ISNUMBER($D29)),NOT(ISNUMBER($H29))),"",IF((1-$H29-Parâmetros!$B$5-Parâmetros!$C$5-Parâmetros!$D$5)&lt;=0,"INVALIDO",($D29+IF(ISNUMBER($E29),$E29,0)+IF(ISNUMBER(Parâmetros!$E$5),Parâmetros!$E$5,0))/(1-$H29-Parâmetros!$B$5-Parâmetros!$C$5-Parâmetros!$D$5)))</f>
        <v>205.211538461538</v>
      </c>
      <c r="J29" s="38" t="n">
        <v>206.26</v>
      </c>
      <c r="K29" s="39" t="n">
        <f aca="false">IF(OR($A29="",NOT(ISNUMBER($D29)),NOT(ISNUMBER($H29))),"",IF(AND(ISNUMBER($J29),$J29&gt;0),$J29,IF(ISNUMBER($I29),$I29,"")))</f>
        <v>206.26</v>
      </c>
      <c r="L29" s="40" t="n">
        <f aca="false">IF(ISNUMBER($K29),$K29*$H29,"")</f>
        <v>30.939</v>
      </c>
      <c r="M29" s="40" t="n">
        <f aca="false">IF(ISNUMBER($K29),$K29*Parâmetros!$B$5,"")</f>
        <v>20.626</v>
      </c>
      <c r="N29" s="40" t="n">
        <f aca="false">IF(ISNUMBER($K29),$K29*Parâmetros!$C$5,"")</f>
        <v>6.1878</v>
      </c>
      <c r="O29" s="40" t="n">
        <f aca="false">IF(ISNUMBER($K29),IF(ISNUMBER(Parâmetros!$E$5),Parâmetros!$E$5,0),"")</f>
        <v>0</v>
      </c>
      <c r="P29" s="41" t="n">
        <f aca="false">IF(ISNUMBER($K29),$K29-$D29-IF(ISNUMBER($E29),$E29,0)-$L29-$M29-$N29-$O29,"")</f>
        <v>41.7972</v>
      </c>
      <c r="Q29" s="42" t="n">
        <f aca="false">IF(AND(ISNUMBER($K29),$K29&gt;0),$P29/$K29,"")</f>
        <v>0.202643265781053</v>
      </c>
      <c r="R29" s="43"/>
      <c r="S29" s="44" t="str">
        <f aca="false">IF(OR(NOT(ISNUMBER($R29)),$R29=0,NOT(ISNUMBER($K29))),"",$K29*(1-$R29))</f>
        <v/>
      </c>
      <c r="T29" s="45" t="str">
        <f aca="false">IF(ISNUMBER($S29),$S29*$H29,"")</f>
        <v/>
      </c>
      <c r="U29" s="45" t="str">
        <f aca="false">IF(ISNUMBER($S29),$S29*Parâmetros!$B$5,"")</f>
        <v/>
      </c>
      <c r="V29" s="45" t="str">
        <f aca="false">IF(ISNUMBER($S29),$S29*Parâmetros!$C$5,"")</f>
        <v/>
      </c>
      <c r="W29" s="44" t="str">
        <f aca="false">IF(ISNUMBER($S29),$S29-$D29-IF(ISNUMBER($E29),$E29,0)-$O29-$T29-$U29-$V29,"")</f>
        <v/>
      </c>
      <c r="X29" s="46" t="str">
        <f aca="false">IF(AND(ISNUMBER($S29),$S29&gt;0),$W29/$S29,"")</f>
        <v/>
      </c>
      <c r="Y29" s="49" t="s">
        <v>735</v>
      </c>
      <c r="Z29" s="21"/>
    </row>
    <row r="30" customFormat="false" ht="15.75" hidden="false" customHeight="true" outlineLevel="0" collapsed="false">
      <c r="A30" s="32" t="str">
        <f aca="false">IF(Produtos!$A30="","",Produtos!$A30)</f>
        <v>L2430-A</v>
      </c>
      <c r="B30" s="32" t="str">
        <f aca="false">IF(Produtos!$A30="","",Produtos!$B30)</f>
        <v>Lixeira Aço Inox c/Aro 24x30 15L</v>
      </c>
      <c r="C30" s="32" t="str">
        <f aca="false">IF(Produtos!$A30="","",Produtos!$C30)</f>
        <v>Lixeiras em inox</v>
      </c>
      <c r="D30" s="33" t="n">
        <f aca="false">IF(Produtos!$A30="","",IF(Produtos!$D30="","",Produtos!$D30))</f>
        <v>91.16</v>
      </c>
      <c r="E30" s="11" t="n">
        <v>27.05</v>
      </c>
      <c r="F30" s="34" t="n">
        <f aca="false">IF($A30="","",IF($C30="","⚠ categoria",IFERROR(INDEX(Parâmetros!$C$13:$C$22,MATCH($C30,Parâmetros!$A$13:$A$22,0)),"⚠ categoria")))</f>
        <v>0.18</v>
      </c>
      <c r="G30" s="35" t="n">
        <v>0.15</v>
      </c>
      <c r="H30" s="36" t="n">
        <f aca="false">IF($A30="","",IF(ISNUMBER($G30),$G30,IF(ISNUMBER($F30),$F30,"")))</f>
        <v>0.15</v>
      </c>
      <c r="I30" s="37" t="n">
        <f aca="false">IF(OR($A30="",NOT(ISNUMBER($D30)),NOT(ISNUMBER($H30))),"",IF((1-$H30-Parâmetros!$B$5-Parâmetros!$C$5-Parâmetros!$D$5)&lt;=0,"INVALIDO",($D30+IF(ISNUMBER($E30),$E30,0)+IF(ISNUMBER(Parâmetros!$E$5),Parâmetros!$E$5,0))/(1-$H30-Parâmetros!$B$5-Parâmetros!$C$5-Parâmetros!$D$5)))</f>
        <v>227.326923076923</v>
      </c>
      <c r="J30" s="38" t="n">
        <v>229.772025</v>
      </c>
      <c r="K30" s="39" t="n">
        <f aca="false">IF(OR($A30="",NOT(ISNUMBER($D30)),NOT(ISNUMBER($H30))),"",IF(AND(ISNUMBER($J30),$J30&gt;0),$J30,IF(ISNUMBER($I30),$I30,"")))</f>
        <v>229.772025</v>
      </c>
      <c r="L30" s="40" t="n">
        <f aca="false">IF(ISNUMBER($K30),$K30*$H30,"")</f>
        <v>34.46580375</v>
      </c>
      <c r="M30" s="40" t="n">
        <f aca="false">IF(ISNUMBER($K30),$K30*Parâmetros!$B$5,"")</f>
        <v>22.9772025</v>
      </c>
      <c r="N30" s="40" t="n">
        <f aca="false">IF(ISNUMBER($K30),$K30*Parâmetros!$C$5,"")</f>
        <v>6.89316075</v>
      </c>
      <c r="O30" s="40" t="n">
        <f aca="false">IF(ISNUMBER($K30),IF(ISNUMBER(Parâmetros!$E$5),Parâmetros!$E$5,0),"")</f>
        <v>0</v>
      </c>
      <c r="P30" s="41" t="n">
        <f aca="false">IF(ISNUMBER($K30),$K30-$D30-IF(ISNUMBER($E30),$E30,0)-$L30-$M30-$N30-$O30,"")</f>
        <v>47.225858</v>
      </c>
      <c r="Q30" s="42" t="n">
        <f aca="false">IF(AND(ISNUMBER($K30),$K30&gt;0),$P30/$K30,"")</f>
        <v>0.20553354134386</v>
      </c>
      <c r="R30" s="43"/>
      <c r="S30" s="44" t="str">
        <f aca="false">IF(OR(NOT(ISNUMBER($R30)),$R30=0,NOT(ISNUMBER($K30))),"",$K30*(1-$R30))</f>
        <v/>
      </c>
      <c r="T30" s="45" t="str">
        <f aca="false">IF(ISNUMBER($S30),$S30*$H30,"")</f>
        <v/>
      </c>
      <c r="U30" s="45" t="str">
        <f aca="false">IF(ISNUMBER($S30),$S30*Parâmetros!$B$5,"")</f>
        <v/>
      </c>
      <c r="V30" s="45" t="str">
        <f aca="false">IF(ISNUMBER($S30),$S30*Parâmetros!$C$5,"")</f>
        <v/>
      </c>
      <c r="W30" s="44" t="str">
        <f aca="false">IF(ISNUMBER($S30),$S30-$D30-IF(ISNUMBER($E30),$E30,0)-$O30-$T30-$U30-$V30,"")</f>
        <v/>
      </c>
      <c r="X30" s="46" t="str">
        <f aca="false">IF(AND(ISNUMBER($S30),$S30&gt;0),$W30/$S30,"")</f>
        <v/>
      </c>
      <c r="Y30" s="47" t="s">
        <v>734</v>
      </c>
      <c r="Z30" s="19"/>
    </row>
    <row r="31" customFormat="false" ht="15.75" hidden="false" customHeight="true" outlineLevel="0" collapsed="false">
      <c r="A31" s="48" t="str">
        <f aca="false">IF(Produtos!$A31="","",Produtos!$A31)</f>
        <v>L2440-A</v>
      </c>
      <c r="B31" s="48" t="str">
        <f aca="false">IF(Produtos!$A31="","",Produtos!$B31)</f>
        <v>Lixeira Aço Inox c/Aro 24x40 20L</v>
      </c>
      <c r="C31" s="48" t="str">
        <f aca="false">IF(Produtos!$A31="","",Produtos!$C31)</f>
        <v>Lixeiras em inox</v>
      </c>
      <c r="D31" s="33" t="n">
        <f aca="false">IF(Produtos!$A31="","",IF(Produtos!$D31="","",Produtos!$D31))</f>
        <v>102.19</v>
      </c>
      <c r="E31" s="11" t="n">
        <v>29.25</v>
      </c>
      <c r="F31" s="34" t="n">
        <f aca="false">IF($A31="","",IF($C31="","⚠ categoria",IFERROR(INDEX(Parâmetros!$C$13:$C$22,MATCH($C31,Parâmetros!$A$13:$A$22,0)),"⚠ categoria")))</f>
        <v>0.18</v>
      </c>
      <c r="G31" s="35" t="n">
        <v>0.15</v>
      </c>
      <c r="H31" s="36" t="n">
        <f aca="false">IF($A31="","",IF(ISNUMBER($G31),$G31,IF(ISNUMBER($F31),$F31,"")))</f>
        <v>0.15</v>
      </c>
      <c r="I31" s="37" t="n">
        <f aca="false">IF(OR($A31="",NOT(ISNUMBER($D31)),NOT(ISNUMBER($H31))),"",IF((1-$H31-Parâmetros!$B$5-Parâmetros!$C$5-Parâmetros!$D$5)&lt;=0,"INVALIDO",($D31+IF(ISNUMBER($E31),$E31,0)+IF(ISNUMBER(Parâmetros!$E$5),Parâmetros!$E$5,0))/(1-$H31-Parâmetros!$B$5-Parâmetros!$C$5-Parâmetros!$D$5)))</f>
        <v>252.769230769231</v>
      </c>
      <c r="J31" s="38" t="n">
        <v>253.79151125</v>
      </c>
      <c r="K31" s="39" t="n">
        <f aca="false">IF(OR($A31="",NOT(ISNUMBER($D31)),NOT(ISNUMBER($H31))),"",IF(AND(ISNUMBER($J31),$J31&gt;0),$J31,IF(ISNUMBER($I31),$I31,"")))</f>
        <v>253.79151125</v>
      </c>
      <c r="L31" s="40" t="n">
        <f aca="false">IF(ISNUMBER($K31),$K31*$H31,"")</f>
        <v>38.0687266875</v>
      </c>
      <c r="M31" s="40" t="n">
        <f aca="false">IF(ISNUMBER($K31),$K31*Parâmetros!$B$5,"")</f>
        <v>25.379151125</v>
      </c>
      <c r="N31" s="40" t="n">
        <f aca="false">IF(ISNUMBER($K31),$K31*Parâmetros!$C$5,"")</f>
        <v>7.6137453375</v>
      </c>
      <c r="O31" s="40" t="n">
        <f aca="false">IF(ISNUMBER($K31),IF(ISNUMBER(Parâmetros!$E$5),Parâmetros!$E$5,0),"")</f>
        <v>0</v>
      </c>
      <c r="P31" s="41" t="n">
        <f aca="false">IF(ISNUMBER($K31),$K31-$D31-IF(ISNUMBER($E31),$E31,0)-$L31-$M31-$N31-$O31,"")</f>
        <v>51.2898881</v>
      </c>
      <c r="Q31" s="42" t="n">
        <f aca="false">IF(AND(ISNUMBER($K31),$K31&gt;0),$P31/$K31,"")</f>
        <v>0.202094576951695</v>
      </c>
      <c r="R31" s="43"/>
      <c r="S31" s="44" t="str">
        <f aca="false">IF(OR(NOT(ISNUMBER($R31)),$R31=0,NOT(ISNUMBER($K31))),"",$K31*(1-$R31))</f>
        <v/>
      </c>
      <c r="T31" s="45" t="str">
        <f aca="false">IF(ISNUMBER($S31),$S31*$H31,"")</f>
        <v/>
      </c>
      <c r="U31" s="45" t="str">
        <f aca="false">IF(ISNUMBER($S31),$S31*Parâmetros!$B$5,"")</f>
        <v/>
      </c>
      <c r="V31" s="45" t="str">
        <f aca="false">IF(ISNUMBER($S31),$S31*Parâmetros!$C$5,"")</f>
        <v/>
      </c>
      <c r="W31" s="44" t="str">
        <f aca="false">IF(ISNUMBER($S31),$S31-$D31-IF(ISNUMBER($E31),$E31,0)-$O31-$T31-$U31-$V31,"")</f>
        <v/>
      </c>
      <c r="X31" s="46" t="str">
        <f aca="false">IF(AND(ISNUMBER($S31),$S31&gt;0),$W31/$S31,"")</f>
        <v/>
      </c>
      <c r="Y31" s="49" t="s">
        <v>735</v>
      </c>
      <c r="Z31" s="21"/>
    </row>
    <row r="32" customFormat="false" ht="15.75" hidden="false" customHeight="true" outlineLevel="0" collapsed="false">
      <c r="A32" s="32" t="str">
        <f aca="false">IF(Produtos!$A32="","",Produtos!$A32)</f>
        <v>L2450-A</v>
      </c>
      <c r="B32" s="32" t="str">
        <f aca="false">IF(Produtos!$A32="","",Produtos!$B32)</f>
        <v>Lixeira Aço Inox c/Aro 24x50 25L</v>
      </c>
      <c r="C32" s="32" t="str">
        <f aca="false">IF(Produtos!$A32="","",Produtos!$C32)</f>
        <v>Lixeiras em inox</v>
      </c>
      <c r="D32" s="33" t="n">
        <f aca="false">IF(Produtos!$A32="","",IF(Produtos!$D32="","",Produtos!$D32))</f>
        <v>132.03</v>
      </c>
      <c r="E32" s="11" t="n">
        <v>45.25</v>
      </c>
      <c r="F32" s="34" t="n">
        <f aca="false">IF($A32="","",IF($C32="","⚠ categoria",IFERROR(INDEX(Parâmetros!$C$13:$C$22,MATCH($C32,Parâmetros!$A$13:$A$22,0)),"⚠ categoria")))</f>
        <v>0.18</v>
      </c>
      <c r="G32" s="35" t="n">
        <v>0.15</v>
      </c>
      <c r="H32" s="36" t="n">
        <f aca="false">IF($A32="","",IF(ISNUMBER($G32),$G32,IF(ISNUMBER($F32),$F32,"")))</f>
        <v>0.15</v>
      </c>
      <c r="I32" s="37" t="n">
        <f aca="false">IF(OR($A32="",NOT(ISNUMBER($D32)),NOT(ISNUMBER($H32))),"",IF((1-$H32-Parâmetros!$B$5-Parâmetros!$C$5-Parâmetros!$D$5)&lt;=0,"INVALIDO",($D32+IF(ISNUMBER($E32),$E32,0)+IF(ISNUMBER(Parâmetros!$E$5),Parâmetros!$E$5,0))/(1-$H32-Parâmetros!$B$5-Parâmetros!$C$5-Parâmetros!$D$5)))</f>
        <v>340.923076923077</v>
      </c>
      <c r="J32" s="38" t="n">
        <v>341.89</v>
      </c>
      <c r="K32" s="39" t="n">
        <f aca="false">IF(OR($A32="",NOT(ISNUMBER($D32)),NOT(ISNUMBER($H32))),"",IF(AND(ISNUMBER($J32),$J32&gt;0),$J32,IF(ISNUMBER($I32),$I32,"")))</f>
        <v>341.89</v>
      </c>
      <c r="L32" s="40" t="n">
        <f aca="false">IF(ISNUMBER($K32),$K32*$H32,"")</f>
        <v>51.2835</v>
      </c>
      <c r="M32" s="40" t="n">
        <f aca="false">IF(ISNUMBER($K32),$K32*Parâmetros!$B$5,"")</f>
        <v>34.189</v>
      </c>
      <c r="N32" s="40" t="n">
        <f aca="false">IF(ISNUMBER($K32),$K32*Parâmetros!$C$5,"")</f>
        <v>10.2567</v>
      </c>
      <c r="O32" s="40" t="n">
        <f aca="false">IF(ISNUMBER($K32),IF(ISNUMBER(Parâmetros!$E$5),Parâmetros!$E$5,0),"")</f>
        <v>0</v>
      </c>
      <c r="P32" s="41" t="n">
        <f aca="false">IF(ISNUMBER($K32),$K32-$D32-IF(ISNUMBER($E32),$E32,0)-$L32-$M32-$N32-$O32,"")</f>
        <v>68.8808</v>
      </c>
      <c r="Q32" s="42" t="n">
        <f aca="false">IF(AND(ISNUMBER($K32),$K32&gt;0),$P32/$K32,"")</f>
        <v>0.201470648454181</v>
      </c>
      <c r="R32" s="43"/>
      <c r="S32" s="44" t="str">
        <f aca="false">IF(OR(NOT(ISNUMBER($R32)),$R32=0,NOT(ISNUMBER($K32))),"",$K32*(1-$R32))</f>
        <v/>
      </c>
      <c r="T32" s="45" t="str">
        <f aca="false">IF(ISNUMBER($S32),$S32*$H32,"")</f>
        <v/>
      </c>
      <c r="U32" s="45" t="str">
        <f aca="false">IF(ISNUMBER($S32),$S32*Parâmetros!$B$5,"")</f>
        <v/>
      </c>
      <c r="V32" s="45" t="str">
        <f aca="false">IF(ISNUMBER($S32),$S32*Parâmetros!$C$5,"")</f>
        <v/>
      </c>
      <c r="W32" s="44" t="str">
        <f aca="false">IF(ISNUMBER($S32),$S32-$D32-IF(ISNUMBER($E32),$E32,0)-$O32-$T32-$U32-$V32,"")</f>
        <v/>
      </c>
      <c r="X32" s="46" t="str">
        <f aca="false">IF(AND(ISNUMBER($S32),$S32&gt;0),$W32/$S32,"")</f>
        <v/>
      </c>
      <c r="Y32" s="47" t="s">
        <v>735</v>
      </c>
      <c r="Z32" s="19"/>
    </row>
    <row r="33" customFormat="false" ht="15.75" hidden="false" customHeight="true" outlineLevel="0" collapsed="false">
      <c r="A33" s="48" t="str">
        <f aca="false">IF(Produtos!$A33="","",Produtos!$A33)</f>
        <v>L2460-A</v>
      </c>
      <c r="B33" s="48" t="str">
        <f aca="false">IF(Produtos!$A33="","",Produtos!$B33)</f>
        <v>Lixeira Aço Inox c/Aro 24x60 27L</v>
      </c>
      <c r="C33" s="48" t="str">
        <f aca="false">IF(Produtos!$A33="","",Produtos!$C33)</f>
        <v>Lixeiras em inox</v>
      </c>
      <c r="D33" s="33" t="n">
        <f aca="false">IF(Produtos!$A33="","",IF(Produtos!$D33="","",Produtos!$D33))</f>
        <v>136.09</v>
      </c>
      <c r="E33" s="11" t="n">
        <v>40.85</v>
      </c>
      <c r="F33" s="34" t="n">
        <f aca="false">IF($A33="","",IF($C33="","⚠ categoria",IFERROR(INDEX(Parâmetros!$C$13:$C$22,MATCH($C33,Parâmetros!$A$13:$A$22,0)),"⚠ categoria")))</f>
        <v>0.18</v>
      </c>
      <c r="G33" s="35" t="n">
        <v>0.15</v>
      </c>
      <c r="H33" s="36" t="n">
        <f aca="false">IF($A33="","",IF(ISNUMBER($G33),$G33,IF(ISNUMBER($F33),$F33,"")))</f>
        <v>0.15</v>
      </c>
      <c r="I33" s="37" t="n">
        <f aca="false">IF(OR($A33="",NOT(ISNUMBER($D33)),NOT(ISNUMBER($H33))),"",IF((1-$H33-Parâmetros!$B$5-Parâmetros!$C$5-Parâmetros!$D$5)&lt;=0,"INVALIDO",($D33+IF(ISNUMBER($E33),$E33,0)+IF(ISNUMBER(Parâmetros!$E$5),Parâmetros!$E$5,0))/(1-$H33-Parâmetros!$B$5-Parâmetros!$C$5-Parâmetros!$D$5)))</f>
        <v>340.269230769231</v>
      </c>
      <c r="J33" s="38" t="n">
        <v>340.6206635625</v>
      </c>
      <c r="K33" s="39" t="n">
        <f aca="false">IF(OR($A33="",NOT(ISNUMBER($D33)),NOT(ISNUMBER($H33))),"",IF(AND(ISNUMBER($J33),$J33&gt;0),$J33,IF(ISNUMBER($I33),$I33,"")))</f>
        <v>340.6206635625</v>
      </c>
      <c r="L33" s="40" t="n">
        <f aca="false">IF(ISNUMBER($K33),$K33*$H33,"")</f>
        <v>51.093099534375</v>
      </c>
      <c r="M33" s="40" t="n">
        <f aca="false">IF(ISNUMBER($K33),$K33*Parâmetros!$B$5,"")</f>
        <v>34.06206635625</v>
      </c>
      <c r="N33" s="40" t="n">
        <f aca="false">IF(ISNUMBER($K33),$K33*Parâmetros!$C$5,"")</f>
        <v>10.218619906875</v>
      </c>
      <c r="O33" s="40" t="n">
        <f aca="false">IF(ISNUMBER($K33),IF(ISNUMBER(Parâmetros!$E$5),Parâmetros!$E$5,0),"")</f>
        <v>0</v>
      </c>
      <c r="P33" s="41" t="n">
        <f aca="false">IF(ISNUMBER($K33),$K33-$D33-IF(ISNUMBER($E33),$E33,0)-$L33-$M33-$N33-$O33,"")</f>
        <v>68.306877765</v>
      </c>
      <c r="Q33" s="42" t="n">
        <f aca="false">IF(AND(ISNUMBER($K33),$K33&gt;0),$P33/$K33,"")</f>
        <v>0.200536506066862</v>
      </c>
      <c r="R33" s="43"/>
      <c r="S33" s="44" t="str">
        <f aca="false">IF(OR(NOT(ISNUMBER($R33)),$R33=0,NOT(ISNUMBER($K33))),"",$K33*(1-$R33))</f>
        <v/>
      </c>
      <c r="T33" s="45" t="str">
        <f aca="false">IF(ISNUMBER($S33),$S33*$H33,"")</f>
        <v/>
      </c>
      <c r="U33" s="45" t="str">
        <f aca="false">IF(ISNUMBER($S33),$S33*Parâmetros!$B$5,"")</f>
        <v/>
      </c>
      <c r="V33" s="45" t="str">
        <f aca="false">IF(ISNUMBER($S33),$S33*Parâmetros!$C$5,"")</f>
        <v/>
      </c>
      <c r="W33" s="44" t="str">
        <f aca="false">IF(ISNUMBER($S33),$S33-$D33-IF(ISNUMBER($E33),$E33,0)-$O33-$T33-$U33-$V33,"")</f>
        <v/>
      </c>
      <c r="X33" s="46" t="str">
        <f aca="false">IF(AND(ISNUMBER($S33),$S33&gt;0),$W33/$S33,"")</f>
        <v/>
      </c>
      <c r="Y33" s="49" t="s">
        <v>735</v>
      </c>
      <c r="Z33" s="21"/>
    </row>
    <row r="34" customFormat="false" ht="15.75" hidden="false" customHeight="true" outlineLevel="0" collapsed="false">
      <c r="A34" s="32" t="str">
        <f aca="false">IF(Produtos!$A34="","",Produtos!$A34)</f>
        <v>L2470-A</v>
      </c>
      <c r="B34" s="32" t="str">
        <f aca="false">IF(Produtos!$A34="","",Produtos!$B34)</f>
        <v>Lixeira Aço Inox c/Aro 24x70 30L</v>
      </c>
      <c r="C34" s="32" t="str">
        <f aca="false">IF(Produtos!$A34="","",Produtos!$C34)</f>
        <v>Lixeiras em inox</v>
      </c>
      <c r="D34" s="33" t="n">
        <f aca="false">IF(Produtos!$A34="","",IF(Produtos!$D34="","",Produtos!$D34))</f>
        <v>203.27</v>
      </c>
      <c r="E34" s="11" t="n">
        <v>45.25</v>
      </c>
      <c r="F34" s="34" t="n">
        <f aca="false">IF($A34="","",IF($C34="","⚠ categoria",IFERROR(INDEX(Parâmetros!$C$13:$C$22,MATCH($C34,Parâmetros!$A$13:$A$22,0)),"⚠ categoria")))</f>
        <v>0.18</v>
      </c>
      <c r="G34" s="35" t="n">
        <v>0.15</v>
      </c>
      <c r="H34" s="36" t="n">
        <f aca="false">IF($A34="","",IF(ISNUMBER($G34),$G34,IF(ISNUMBER($F34),$F34,"")))</f>
        <v>0.15</v>
      </c>
      <c r="I34" s="37" t="n">
        <f aca="false">IF(OR($A34="",NOT(ISNUMBER($D34)),NOT(ISNUMBER($H34))),"",IF((1-$H34-Parâmetros!$B$5-Parâmetros!$C$5-Parâmetros!$D$5)&lt;=0,"INVALIDO",($D34+IF(ISNUMBER($E34),$E34,0)+IF(ISNUMBER(Parâmetros!$E$5),Parâmetros!$E$5,0))/(1-$H34-Parâmetros!$B$5-Parâmetros!$C$5-Parâmetros!$D$5)))</f>
        <v>477.923076923077</v>
      </c>
      <c r="J34" s="38" t="n">
        <v>480.96071475</v>
      </c>
      <c r="K34" s="39" t="n">
        <f aca="false">IF(OR($A34="",NOT(ISNUMBER($D34)),NOT(ISNUMBER($H34))),"",IF(AND(ISNUMBER($J34),$J34&gt;0),$J34,IF(ISNUMBER($I34),$I34,"")))</f>
        <v>480.96071475</v>
      </c>
      <c r="L34" s="40" t="n">
        <f aca="false">IF(ISNUMBER($K34),$K34*$H34,"")</f>
        <v>72.1441072125</v>
      </c>
      <c r="M34" s="40" t="n">
        <f aca="false">IF(ISNUMBER($K34),$K34*Parâmetros!$B$5,"")</f>
        <v>48.096071475</v>
      </c>
      <c r="N34" s="40" t="n">
        <f aca="false">IF(ISNUMBER($K34),$K34*Parâmetros!$C$5,"")</f>
        <v>14.4288214425</v>
      </c>
      <c r="O34" s="40" t="n">
        <f aca="false">IF(ISNUMBER($K34),IF(ISNUMBER(Parâmetros!$E$5),Parâmetros!$E$5,0),"")</f>
        <v>0</v>
      </c>
      <c r="P34" s="41" t="n">
        <f aca="false">IF(ISNUMBER($K34),$K34-$D34-IF(ISNUMBER($E34),$E34,0)-$L34-$M34-$N34-$O34,"")</f>
        <v>97.77171462</v>
      </c>
      <c r="Q34" s="42" t="n">
        <f aca="false">IF(AND(ISNUMBER($K34),$K34&gt;0),$P34/$K34,"")</f>
        <v>0.203284201020079</v>
      </c>
      <c r="R34" s="43"/>
      <c r="S34" s="44" t="str">
        <f aca="false">IF(OR(NOT(ISNUMBER($R34)),$R34=0,NOT(ISNUMBER($K34))),"",$K34*(1-$R34))</f>
        <v/>
      </c>
      <c r="T34" s="45" t="str">
        <f aca="false">IF(ISNUMBER($S34),$S34*$H34,"")</f>
        <v/>
      </c>
      <c r="U34" s="45" t="str">
        <f aca="false">IF(ISNUMBER($S34),$S34*Parâmetros!$B$5,"")</f>
        <v/>
      </c>
      <c r="V34" s="45" t="str">
        <f aca="false">IF(ISNUMBER($S34),$S34*Parâmetros!$C$5,"")</f>
        <v/>
      </c>
      <c r="W34" s="44" t="str">
        <f aca="false">IF(ISNUMBER($S34),$S34-$D34-IF(ISNUMBER($E34),$E34,0)-$O34-$T34-$U34-$V34,"")</f>
        <v/>
      </c>
      <c r="X34" s="46" t="str">
        <f aca="false">IF(AND(ISNUMBER($S34),$S34&gt;0),$W34/$S34,"")</f>
        <v/>
      </c>
      <c r="Y34" s="47" t="s">
        <v>735</v>
      </c>
      <c r="Z34" s="19"/>
    </row>
    <row r="35" customFormat="false" ht="15.75" hidden="false" customHeight="true" outlineLevel="0" collapsed="false">
      <c r="A35" s="48" t="str">
        <f aca="false">IF(Produtos!$A35="","",Produtos!$A35)</f>
        <v>L3040-A</v>
      </c>
      <c r="B35" s="48" t="str">
        <f aca="false">IF(Produtos!$A35="","",Produtos!$B35)</f>
        <v>Lixeira Aço Inox c/Aro 30x40 30L</v>
      </c>
      <c r="C35" s="48" t="str">
        <f aca="false">IF(Produtos!$A35="","",Produtos!$C35)</f>
        <v>Lixeiras em inox</v>
      </c>
      <c r="D35" s="33" t="n">
        <f aca="false">IF(Produtos!$A35="","",IF(Produtos!$D35="","",Produtos!$D35))</f>
        <v>151.33</v>
      </c>
      <c r="E35" s="11" t="n">
        <v>49.35</v>
      </c>
      <c r="F35" s="34" t="n">
        <f aca="false">IF($A35="","",IF($C35="","⚠ categoria",IFERROR(INDEX(Parâmetros!$C$13:$C$22,MATCH($C35,Parâmetros!$A$13:$A$22,0)),"⚠ categoria")))</f>
        <v>0.18</v>
      </c>
      <c r="G35" s="35" t="n">
        <v>0.15</v>
      </c>
      <c r="H35" s="36" t="n">
        <f aca="false">IF($A35="","",IF(ISNUMBER($G35),$G35,IF(ISNUMBER($F35),$F35,"")))</f>
        <v>0.15</v>
      </c>
      <c r="I35" s="37" t="n">
        <f aca="false">IF(OR($A35="",NOT(ISNUMBER($D35)),NOT(ISNUMBER($H35))),"",IF((1-$H35-Parâmetros!$B$5-Parâmetros!$C$5-Parâmetros!$D$5)&lt;=0,"INVALIDO",($D35+IF(ISNUMBER($E35),$E35,0)+IF(ISNUMBER(Parâmetros!$E$5),Parâmetros!$E$5,0))/(1-$H35-Parâmetros!$B$5-Parâmetros!$C$5-Parâmetros!$D$5)))</f>
        <v>385.923076923077</v>
      </c>
      <c r="J35" s="38" t="n">
        <v>386.21824075</v>
      </c>
      <c r="K35" s="39" t="n">
        <f aca="false">IF(OR($A35="",NOT(ISNUMBER($D35)),NOT(ISNUMBER($H35))),"",IF(AND(ISNUMBER($J35),$J35&gt;0),$J35,IF(ISNUMBER($I35),$I35,"")))</f>
        <v>386.21824075</v>
      </c>
      <c r="L35" s="40" t="n">
        <f aca="false">IF(ISNUMBER($K35),$K35*$H35,"")</f>
        <v>57.9327361125</v>
      </c>
      <c r="M35" s="40" t="n">
        <f aca="false">IF(ISNUMBER($K35),$K35*Parâmetros!$B$5,"")</f>
        <v>38.621824075</v>
      </c>
      <c r="N35" s="40" t="n">
        <f aca="false">IF(ISNUMBER($K35),$K35*Parâmetros!$C$5,"")</f>
        <v>11.5865472225</v>
      </c>
      <c r="O35" s="40" t="n">
        <f aca="false">IF(ISNUMBER($K35),IF(ISNUMBER(Parâmetros!$E$5),Parâmetros!$E$5,0),"")</f>
        <v>0</v>
      </c>
      <c r="P35" s="41" t="n">
        <f aca="false">IF(ISNUMBER($K35),$K35-$D35-IF(ISNUMBER($E35),$E35,0)-$L35-$M35-$N35-$O35,"")</f>
        <v>77.39713334</v>
      </c>
      <c r="Q35" s="42" t="n">
        <f aca="false">IF(AND(ISNUMBER($K35),$K35&gt;0),$P35/$K35,"")</f>
        <v>0.200397405336687</v>
      </c>
      <c r="R35" s="43"/>
      <c r="S35" s="44" t="str">
        <f aca="false">IF(OR(NOT(ISNUMBER($R35)),$R35=0,NOT(ISNUMBER($K35))),"",$K35*(1-$R35))</f>
        <v/>
      </c>
      <c r="T35" s="45" t="str">
        <f aca="false">IF(ISNUMBER($S35),$S35*$H35,"")</f>
        <v/>
      </c>
      <c r="U35" s="45" t="str">
        <f aca="false">IF(ISNUMBER($S35),$S35*Parâmetros!$B$5,"")</f>
        <v/>
      </c>
      <c r="V35" s="45" t="str">
        <f aca="false">IF(ISNUMBER($S35),$S35*Parâmetros!$C$5,"")</f>
        <v/>
      </c>
      <c r="W35" s="44" t="str">
        <f aca="false">IF(ISNUMBER($S35),$S35-$D35-IF(ISNUMBER($E35),$E35,0)-$O35-$T35-$U35-$V35,"")</f>
        <v/>
      </c>
      <c r="X35" s="46" t="str">
        <f aca="false">IF(AND(ISNUMBER($S35),$S35&gt;0),$W35/$S35,"")</f>
        <v/>
      </c>
      <c r="Y35" s="49" t="s">
        <v>735</v>
      </c>
      <c r="Z35" s="21"/>
    </row>
    <row r="36" customFormat="false" ht="15.75" hidden="false" customHeight="true" outlineLevel="0" collapsed="false">
      <c r="A36" s="32" t="str">
        <f aca="false">IF(Produtos!$A36="","",Produtos!$A36)</f>
        <v>L3050-A</v>
      </c>
      <c r="B36" s="32" t="str">
        <f aca="false">IF(Produtos!$A36="","",Produtos!$B36)</f>
        <v>Lixeira Aço Inox c/Aro 30x50 35L</v>
      </c>
      <c r="C36" s="32" t="str">
        <f aca="false">IF(Produtos!$A36="","",Produtos!$C36)</f>
        <v>Lixeiras em inox</v>
      </c>
      <c r="D36" s="33" t="n">
        <f aca="false">IF(Produtos!$A36="","",IF(Produtos!$D36="","",Produtos!$D36))</f>
        <v>189.66</v>
      </c>
      <c r="E36" s="11" t="n">
        <v>49.35</v>
      </c>
      <c r="F36" s="34" t="n">
        <f aca="false">IF($A36="","",IF($C36="","⚠ categoria",IFERROR(INDEX(Parâmetros!$C$13:$C$22,MATCH($C36,Parâmetros!$A$13:$A$22,0)),"⚠ categoria")))</f>
        <v>0.18</v>
      </c>
      <c r="G36" s="35" t="n">
        <v>0.15</v>
      </c>
      <c r="H36" s="36" t="n">
        <f aca="false">IF($A36="","",IF(ISNUMBER($G36),$G36,IF(ISNUMBER($F36),$F36,"")))</f>
        <v>0.15</v>
      </c>
      <c r="I36" s="37" t="n">
        <f aca="false">IF(OR($A36="",NOT(ISNUMBER($D36)),NOT(ISNUMBER($H36))),"",IF((1-$H36-Parâmetros!$B$5-Parâmetros!$C$5-Parâmetros!$D$5)&lt;=0,"INVALIDO",($D36+IF(ISNUMBER($E36),$E36,0)+IF(ISNUMBER(Parâmetros!$E$5),Parâmetros!$E$5,0))/(1-$H36-Parâmetros!$B$5-Parâmetros!$C$5-Parâmetros!$D$5)))</f>
        <v>459.634615384615</v>
      </c>
      <c r="J36" s="38" t="n">
        <v>460.731405875</v>
      </c>
      <c r="K36" s="39" t="n">
        <f aca="false">IF(OR($A36="",NOT(ISNUMBER($D36)),NOT(ISNUMBER($H36))),"",IF(AND(ISNUMBER($J36),$J36&gt;0),$J36,IF(ISNUMBER($I36),$I36,"")))</f>
        <v>460.731405875</v>
      </c>
      <c r="L36" s="40" t="n">
        <f aca="false">IF(ISNUMBER($K36),$K36*$H36,"")</f>
        <v>69.10971088125</v>
      </c>
      <c r="M36" s="40" t="n">
        <f aca="false">IF(ISNUMBER($K36),$K36*Parâmetros!$B$5,"")</f>
        <v>46.0731405875</v>
      </c>
      <c r="N36" s="40" t="n">
        <f aca="false">IF(ISNUMBER($K36),$K36*Parâmetros!$C$5,"")</f>
        <v>13.82194217625</v>
      </c>
      <c r="O36" s="40" t="n">
        <f aca="false">IF(ISNUMBER($K36),IF(ISNUMBER(Parâmetros!$E$5),Parâmetros!$E$5,0),"")</f>
        <v>0</v>
      </c>
      <c r="P36" s="41" t="n">
        <f aca="false">IF(ISNUMBER($K36),$K36-$D36-IF(ISNUMBER($E36),$E36,0)-$L36-$M36-$N36-$O36,"")</f>
        <v>92.71661223</v>
      </c>
      <c r="Q36" s="42" t="n">
        <f aca="false">IF(AND(ISNUMBER($K36),$K36&gt;0),$P36/$K36,"")</f>
        <v>0.201237881871579</v>
      </c>
      <c r="R36" s="43"/>
      <c r="S36" s="44" t="str">
        <f aca="false">IF(OR(NOT(ISNUMBER($R36)),$R36=0,NOT(ISNUMBER($K36))),"",$K36*(1-$R36))</f>
        <v/>
      </c>
      <c r="T36" s="45" t="str">
        <f aca="false">IF(ISNUMBER($S36),$S36*$H36,"")</f>
        <v/>
      </c>
      <c r="U36" s="45" t="str">
        <f aca="false">IF(ISNUMBER($S36),$S36*Parâmetros!$B$5,"")</f>
        <v/>
      </c>
      <c r="V36" s="45" t="str">
        <f aca="false">IF(ISNUMBER($S36),$S36*Parâmetros!$C$5,"")</f>
        <v/>
      </c>
      <c r="W36" s="44" t="str">
        <f aca="false">IF(ISNUMBER($S36),$S36-$D36-IF(ISNUMBER($E36),$E36,0)-$O36-$T36-$U36-$V36,"")</f>
        <v/>
      </c>
      <c r="X36" s="46" t="str">
        <f aca="false">IF(AND(ISNUMBER($S36),$S36&gt;0),$W36/$S36,"")</f>
        <v/>
      </c>
      <c r="Y36" s="47" t="s">
        <v>735</v>
      </c>
      <c r="Z36" s="19"/>
    </row>
    <row r="37" customFormat="false" ht="15.75" hidden="false" customHeight="true" outlineLevel="0" collapsed="false">
      <c r="A37" s="48" t="str">
        <f aca="false">IF(Produtos!$A37="","",Produtos!$A37)</f>
        <v>L3060-A</v>
      </c>
      <c r="B37" s="48" t="str">
        <f aca="false">IF(Produtos!$A37="","",Produtos!$B37)</f>
        <v>Lixeira Aço Inox c/Aro 30x60 40L</v>
      </c>
      <c r="C37" s="48" t="str">
        <f aca="false">IF(Produtos!$A37="","",Produtos!$C37)</f>
        <v>Lixeiras em inox</v>
      </c>
      <c r="D37" s="33" t="n">
        <f aca="false">IF(Produtos!$A37="","",IF(Produtos!$D37="","",Produtos!$D37))</f>
        <v>205.57</v>
      </c>
      <c r="E37" s="11" t="n">
        <v>50.75</v>
      </c>
      <c r="F37" s="34" t="n">
        <f aca="false">IF($A37="","",IF($C37="","⚠ categoria",IFERROR(INDEX(Parâmetros!$C$13:$C$22,MATCH($C37,Parâmetros!$A$13:$A$22,0)),"⚠ categoria")))</f>
        <v>0.18</v>
      </c>
      <c r="G37" s="35" t="n">
        <v>0.15</v>
      </c>
      <c r="H37" s="36" t="n">
        <f aca="false">IF($A37="","",IF(ISNUMBER($G37),$G37,IF(ISNUMBER($F37),$F37,"")))</f>
        <v>0.15</v>
      </c>
      <c r="I37" s="37" t="n">
        <f aca="false">IF(OR($A37="",NOT(ISNUMBER($D37)),NOT(ISNUMBER($H37))),"",IF((1-$H37-Parâmetros!$B$5-Parâmetros!$C$5-Parâmetros!$D$5)&lt;=0,"INVALIDO",($D37+IF(ISNUMBER($E37),$E37,0)+IF(ISNUMBER(Parâmetros!$E$5),Parâmetros!$E$5,0))/(1-$H37-Parâmetros!$B$5-Parâmetros!$C$5-Parâmetros!$D$5)))</f>
        <v>492.923076923077</v>
      </c>
      <c r="J37" s="38" t="n">
        <v>493.9</v>
      </c>
      <c r="K37" s="39" t="n">
        <f aca="false">IF(OR($A37="",NOT(ISNUMBER($D37)),NOT(ISNUMBER($H37))),"",IF(AND(ISNUMBER($J37),$J37&gt;0),$J37,IF(ISNUMBER($I37),$I37,"")))</f>
        <v>493.9</v>
      </c>
      <c r="L37" s="40" t="n">
        <f aca="false">IF(ISNUMBER($K37),$K37*$H37,"")</f>
        <v>74.085</v>
      </c>
      <c r="M37" s="40" t="n">
        <f aca="false">IF(ISNUMBER($K37),$K37*Parâmetros!$B$5,"")</f>
        <v>49.39</v>
      </c>
      <c r="N37" s="40" t="n">
        <f aca="false">IF(ISNUMBER($K37),$K37*Parâmetros!$C$5,"")</f>
        <v>14.817</v>
      </c>
      <c r="O37" s="40" t="n">
        <f aca="false">IF(ISNUMBER($K37),IF(ISNUMBER(Parâmetros!$E$5),Parâmetros!$E$5,0),"")</f>
        <v>0</v>
      </c>
      <c r="P37" s="41" t="n">
        <f aca="false">IF(ISNUMBER($K37),$K37-$D37-IF(ISNUMBER($E37),$E37,0)-$L37-$M37-$N37-$O37,"")</f>
        <v>99.288</v>
      </c>
      <c r="Q37" s="42" t="n">
        <f aca="false">IF(AND(ISNUMBER($K37),$K37&gt;0),$P37/$K37,"")</f>
        <v>0.201028548289127</v>
      </c>
      <c r="R37" s="43"/>
      <c r="S37" s="44" t="str">
        <f aca="false">IF(OR(NOT(ISNUMBER($R37)),$R37=0,NOT(ISNUMBER($K37))),"",$K37*(1-$R37))</f>
        <v/>
      </c>
      <c r="T37" s="45" t="str">
        <f aca="false">IF(ISNUMBER($S37),$S37*$H37,"")</f>
        <v/>
      </c>
      <c r="U37" s="45" t="str">
        <f aca="false">IF(ISNUMBER($S37),$S37*Parâmetros!$B$5,"")</f>
        <v/>
      </c>
      <c r="V37" s="45" t="str">
        <f aca="false">IF(ISNUMBER($S37),$S37*Parâmetros!$C$5,"")</f>
        <v/>
      </c>
      <c r="W37" s="44" t="str">
        <f aca="false">IF(ISNUMBER($S37),$S37-$D37-IF(ISNUMBER($E37),$E37,0)-$O37-$T37-$U37-$V37,"")</f>
        <v/>
      </c>
      <c r="X37" s="46" t="str">
        <f aca="false">IF(AND(ISNUMBER($S37),$S37&gt;0),$W37/$S37,"")</f>
        <v/>
      </c>
      <c r="Y37" s="49" t="s">
        <v>735</v>
      </c>
      <c r="Z37" s="21"/>
    </row>
    <row r="38" customFormat="false" ht="15.75" hidden="false" customHeight="true" outlineLevel="0" collapsed="false">
      <c r="A38" s="32" t="str">
        <f aca="false">IF(Produtos!$A38="","",Produtos!$A38)</f>
        <v>L3070-A</v>
      </c>
      <c r="B38" s="32" t="str">
        <f aca="false">IF(Produtos!$A38="","",Produtos!$B38)</f>
        <v>Lixeira Aço Inox c/Aro 30x70 50L</v>
      </c>
      <c r="C38" s="32" t="str">
        <f aca="false">IF(Produtos!$A38="","",Produtos!$C38)</f>
        <v>Lixeiras em inox</v>
      </c>
      <c r="D38" s="33" t="n">
        <f aca="false">IF(Produtos!$A38="","",IF(Produtos!$D38="","",Produtos!$D38))</f>
        <v>258.22</v>
      </c>
      <c r="E38" s="11" t="n">
        <v>69.35</v>
      </c>
      <c r="F38" s="34" t="n">
        <f aca="false">IF($A38="","",IF($C38="","⚠ categoria",IFERROR(INDEX(Parâmetros!$C$13:$C$22,MATCH($C38,Parâmetros!$A$13:$A$22,0)),"⚠ categoria")))</f>
        <v>0.18</v>
      </c>
      <c r="G38" s="35" t="n">
        <v>0.15</v>
      </c>
      <c r="H38" s="36" t="n">
        <f aca="false">IF($A38="","",IF(ISNUMBER($G38),$G38,IF(ISNUMBER($F38),$F38,"")))</f>
        <v>0.15</v>
      </c>
      <c r="I38" s="37" t="n">
        <f aca="false">IF(OR($A38="",NOT(ISNUMBER($D38)),NOT(ISNUMBER($H38))),"",IF((1-$H38-Parâmetros!$B$5-Parâmetros!$C$5-Parâmetros!$D$5)&lt;=0,"INVALIDO",($D38+IF(ISNUMBER($E38),$E38,0)+IF(ISNUMBER(Parâmetros!$E$5),Parâmetros!$E$5,0))/(1-$H38-Parâmetros!$B$5-Parâmetros!$C$5-Parâmetros!$D$5)))</f>
        <v>629.942307692308</v>
      </c>
      <c r="J38" s="38" t="n">
        <v>632.0714673125</v>
      </c>
      <c r="K38" s="39" t="n">
        <f aca="false">IF(OR($A38="",NOT(ISNUMBER($D38)),NOT(ISNUMBER($H38))),"",IF(AND(ISNUMBER($J38),$J38&gt;0),$J38,IF(ISNUMBER($I38),$I38,"")))</f>
        <v>632.0714673125</v>
      </c>
      <c r="L38" s="40" t="n">
        <f aca="false">IF(ISNUMBER($K38),$K38*$H38,"")</f>
        <v>94.810720096875</v>
      </c>
      <c r="M38" s="40" t="n">
        <f aca="false">IF(ISNUMBER($K38),$K38*Parâmetros!$B$5,"")</f>
        <v>63.20714673125</v>
      </c>
      <c r="N38" s="40" t="n">
        <f aca="false">IF(ISNUMBER($K38),$K38*Parâmetros!$C$5,"")</f>
        <v>18.962144019375</v>
      </c>
      <c r="O38" s="40" t="n">
        <f aca="false">IF(ISNUMBER($K38),IF(ISNUMBER(Parâmetros!$E$5),Parâmetros!$E$5,0),"")</f>
        <v>0</v>
      </c>
      <c r="P38" s="41" t="n">
        <f aca="false">IF(ISNUMBER($K38),$K38-$D38-IF(ISNUMBER($E38),$E38,0)-$L38-$M38-$N38-$O38,"")</f>
        <v>127.521456465</v>
      </c>
      <c r="Q38" s="42" t="n">
        <f aca="false">IF(AND(ISNUMBER($K38),$K38&gt;0),$P38/$K38,"")</f>
        <v>0.201751642116053</v>
      </c>
      <c r="R38" s="43"/>
      <c r="S38" s="44" t="str">
        <f aca="false">IF(OR(NOT(ISNUMBER($R38)),$R38=0,NOT(ISNUMBER($K38))),"",$K38*(1-$R38))</f>
        <v/>
      </c>
      <c r="T38" s="45" t="str">
        <f aca="false">IF(ISNUMBER($S38),$S38*$H38,"")</f>
        <v/>
      </c>
      <c r="U38" s="45" t="str">
        <f aca="false">IF(ISNUMBER($S38),$S38*Parâmetros!$B$5,"")</f>
        <v/>
      </c>
      <c r="V38" s="45" t="str">
        <f aca="false">IF(ISNUMBER($S38),$S38*Parâmetros!$C$5,"")</f>
        <v/>
      </c>
      <c r="W38" s="44" t="str">
        <f aca="false">IF(ISNUMBER($S38),$S38-$D38-IF(ISNUMBER($E38),$E38,0)-$O38-$T38-$U38-$V38,"")</f>
        <v/>
      </c>
      <c r="X38" s="46" t="str">
        <f aca="false">IF(AND(ISNUMBER($S38),$S38&gt;0),$W38/$S38,"")</f>
        <v/>
      </c>
      <c r="Y38" s="47" t="s">
        <v>735</v>
      </c>
      <c r="Z38" s="19"/>
    </row>
    <row r="39" customFormat="false" ht="15.75" hidden="false" customHeight="true" outlineLevel="0" collapsed="false">
      <c r="A39" s="48" t="str">
        <f aca="false">IF(Produtos!$A39="","",Produtos!$A39)</f>
        <v>L3085-A</v>
      </c>
      <c r="B39" s="48" t="str">
        <f aca="false">IF(Produtos!$A39="","",Produtos!$B39)</f>
        <v>Lixeira Aço Inox c/Aro 30x85 60L</v>
      </c>
      <c r="C39" s="48" t="str">
        <f aca="false">IF(Produtos!$A39="","",Produtos!$C39)</f>
        <v>Lixeiras em inox</v>
      </c>
      <c r="D39" s="33" t="n">
        <f aca="false">IF(Produtos!$A39="","",IF(Produtos!$D39="","",Produtos!$D39))</f>
        <v>321.8</v>
      </c>
      <c r="E39" s="11" t="n">
        <v>70.25</v>
      </c>
      <c r="F39" s="34" t="n">
        <f aca="false">IF($A39="","",IF($C39="","⚠ categoria",IFERROR(INDEX(Parâmetros!$C$13:$C$22,MATCH($C39,Parâmetros!$A$13:$A$22,0)),"⚠ categoria")))</f>
        <v>0.18</v>
      </c>
      <c r="G39" s="35" t="n">
        <v>0.15</v>
      </c>
      <c r="H39" s="36" t="n">
        <f aca="false">IF($A39="","",IF(ISNUMBER($G39),$G39,IF(ISNUMBER($F39),$F39,"")))</f>
        <v>0.15</v>
      </c>
      <c r="I39" s="37" t="n">
        <f aca="false">IF(OR($A39="",NOT(ISNUMBER($D39)),NOT(ISNUMBER($H39))),"",IF((1-$H39-Parâmetros!$B$5-Parâmetros!$C$5-Parâmetros!$D$5)&lt;=0,"INVALIDO",($D39+IF(ISNUMBER($E39),$E39,0)+IF(ISNUMBER(Parâmetros!$E$5),Parâmetros!$E$5,0))/(1-$H39-Parâmetros!$B$5-Parâmetros!$C$5-Parâmetros!$D$5)))</f>
        <v>753.942307692308</v>
      </c>
      <c r="J39" s="38" t="n">
        <v>681.680215125</v>
      </c>
      <c r="K39" s="39" t="n">
        <f aca="false">IF(OR($A39="",NOT(ISNUMBER($D39)),NOT(ISNUMBER($H39))),"",IF(AND(ISNUMBER($J39),$J39&gt;0),$J39,IF(ISNUMBER($I39),$I39,"")))</f>
        <v>681.680215125</v>
      </c>
      <c r="L39" s="40" t="n">
        <f aca="false">IF(ISNUMBER($K39),$K39*$H39,"")</f>
        <v>102.25203226875</v>
      </c>
      <c r="M39" s="40" t="n">
        <f aca="false">IF(ISNUMBER($K39),$K39*Parâmetros!$B$5,"")</f>
        <v>68.1680215125</v>
      </c>
      <c r="N39" s="40" t="n">
        <f aca="false">IF(ISNUMBER($K39),$K39*Parâmetros!$C$5,"")</f>
        <v>20.45040645375</v>
      </c>
      <c r="O39" s="40" t="n">
        <f aca="false">IF(ISNUMBER($K39),IF(ISNUMBER(Parâmetros!$E$5),Parâmetros!$E$5,0),"")</f>
        <v>0</v>
      </c>
      <c r="P39" s="41" t="n">
        <f aca="false">IF(ISNUMBER($K39),$K39-$D39-IF(ISNUMBER($E39),$E39,0)-$L39-$M39-$N39-$O39,"")</f>
        <v>98.7597548900003</v>
      </c>
      <c r="Q39" s="42" t="n">
        <f aca="false">IF(AND(ISNUMBER($K39),$K39&gt;0),$P39/$K39,"")</f>
        <v>0.144876956524095</v>
      </c>
      <c r="R39" s="43"/>
      <c r="S39" s="44" t="str">
        <f aca="false">IF(OR(NOT(ISNUMBER($R39)),$R39=0,NOT(ISNUMBER($K39))),"",$K39*(1-$R39))</f>
        <v/>
      </c>
      <c r="T39" s="45" t="str">
        <f aca="false">IF(ISNUMBER($S39),$S39*$H39,"")</f>
        <v/>
      </c>
      <c r="U39" s="45" t="str">
        <f aca="false">IF(ISNUMBER($S39),$S39*Parâmetros!$B$5,"")</f>
        <v/>
      </c>
      <c r="V39" s="45" t="str">
        <f aca="false">IF(ISNUMBER($S39),$S39*Parâmetros!$C$5,"")</f>
        <v/>
      </c>
      <c r="W39" s="44" t="str">
        <f aca="false">IF(ISNUMBER($S39),$S39-$D39-IF(ISNUMBER($E39),$E39,0)-$O39-$T39-$U39-$V39,"")</f>
        <v/>
      </c>
      <c r="X39" s="46" t="str">
        <f aca="false">IF(AND(ISNUMBER($S39),$S39&gt;0),$W39/$S39,"")</f>
        <v/>
      </c>
      <c r="Y39" s="49" t="s">
        <v>736</v>
      </c>
      <c r="Z39" s="21"/>
    </row>
    <row r="40" customFormat="false" ht="15.75" hidden="false" customHeight="true" outlineLevel="0" collapsed="false">
      <c r="A40" s="32" t="str">
        <f aca="false">IF(Produtos!$A40="","",Produtos!$A40)</f>
        <v>L4050-A</v>
      </c>
      <c r="B40" s="32" t="str">
        <f aca="false">IF(Produtos!$A40="","",Produtos!$B40)</f>
        <v>Lixeira Aço Inox c/Aro 40x50 62L</v>
      </c>
      <c r="C40" s="32" t="str">
        <f aca="false">IF(Produtos!$A40="","",Produtos!$C40)</f>
        <v>Lixeiras em inox</v>
      </c>
      <c r="D40" s="33" t="n">
        <f aca="false">IF(Produtos!$A40="","",IF(Produtos!$D40="","",Produtos!$D40))</f>
        <v>292.43</v>
      </c>
      <c r="E40" s="11" t="n">
        <v>75.65</v>
      </c>
      <c r="F40" s="34" t="n">
        <f aca="false">IF($A40="","",IF($C40="","⚠ categoria",IFERROR(INDEX(Parâmetros!$C$13:$C$22,MATCH($C40,Parâmetros!$A$13:$A$22,0)),"⚠ categoria")))</f>
        <v>0.18</v>
      </c>
      <c r="G40" s="35"/>
      <c r="H40" s="36" t="n">
        <f aca="false">IF($A40="","",IF(ISNUMBER($G40),$G40,IF(ISNUMBER($F40),$F40,"")))</f>
        <v>0.18</v>
      </c>
      <c r="I40" s="37" t="n">
        <f aca="false">IF(OR($A40="",NOT(ISNUMBER($D40)),NOT(ISNUMBER($H40))),"",IF((1-$H40-Parâmetros!$B$5-Parâmetros!$C$5-Parâmetros!$D$5)&lt;=0,"INVALIDO",($D40+IF(ISNUMBER($E40),$E40,0)+IF(ISNUMBER(Parâmetros!$E$5),Parâmetros!$E$5,0))/(1-$H40-Parâmetros!$B$5-Parâmetros!$C$5-Parâmetros!$D$5)))</f>
        <v>751.183673469388</v>
      </c>
      <c r="J40" s="38" t="n">
        <v>751.183956625</v>
      </c>
      <c r="K40" s="39" t="n">
        <f aca="false">IF(OR($A40="",NOT(ISNUMBER($D40)),NOT(ISNUMBER($H40))),"",IF(AND(ISNUMBER($J40),$J40&gt;0),$J40,IF(ISNUMBER($I40),$I40,"")))</f>
        <v>751.183956625</v>
      </c>
      <c r="L40" s="40" t="n">
        <f aca="false">IF(ISNUMBER($K40),$K40*$H40,"")</f>
        <v>135.2131121925</v>
      </c>
      <c r="M40" s="40" t="n">
        <f aca="false">IF(ISNUMBER($K40),$K40*Parâmetros!$B$5,"")</f>
        <v>75.1183956625</v>
      </c>
      <c r="N40" s="40" t="n">
        <f aca="false">IF(ISNUMBER($K40),$K40*Parâmetros!$C$5,"")</f>
        <v>22.53551869875</v>
      </c>
      <c r="O40" s="40" t="n">
        <f aca="false">IF(ISNUMBER($K40),IF(ISNUMBER(Parâmetros!$E$5),Parâmetros!$E$5,0),"")</f>
        <v>0</v>
      </c>
      <c r="P40" s="41" t="n">
        <f aca="false">IF(ISNUMBER($K40),$K40-$D40-IF(ISNUMBER($E40),$E40,0)-$L40-$M40-$N40-$O40,"")</f>
        <v>150.23693007125</v>
      </c>
      <c r="Q40" s="42" t="n">
        <f aca="false">IF(AND(ISNUMBER($K40),$K40&gt;0),$P40/$K40,"")</f>
        <v>0.200000184703425</v>
      </c>
      <c r="R40" s="43"/>
      <c r="S40" s="44" t="str">
        <f aca="false">IF(OR(NOT(ISNUMBER($R40)),$R40=0,NOT(ISNUMBER($K40))),"",$K40*(1-$R40))</f>
        <v/>
      </c>
      <c r="T40" s="45" t="str">
        <f aca="false">IF(ISNUMBER($S40),$S40*$H40,"")</f>
        <v/>
      </c>
      <c r="U40" s="45" t="str">
        <f aca="false">IF(ISNUMBER($S40),$S40*Parâmetros!$B$5,"")</f>
        <v/>
      </c>
      <c r="V40" s="45" t="str">
        <f aca="false">IF(ISNUMBER($S40),$S40*Parâmetros!$C$5,"")</f>
        <v/>
      </c>
      <c r="W40" s="44" t="str">
        <f aca="false">IF(ISNUMBER($S40),$S40-$D40-IF(ISNUMBER($E40),$E40,0)-$O40-$T40-$U40-$V40,"")</f>
        <v/>
      </c>
      <c r="X40" s="46" t="str">
        <f aca="false">IF(AND(ISNUMBER($S40),$S40&gt;0),$W40/$S40,"")</f>
        <v/>
      </c>
      <c r="Y40" s="47" t="s">
        <v>735</v>
      </c>
      <c r="Z40" s="19"/>
    </row>
    <row r="41" customFormat="false" ht="15.75" hidden="false" customHeight="true" outlineLevel="0" collapsed="false">
      <c r="A41" s="48" t="str">
        <f aca="false">IF(Produtos!$A41="","",Produtos!$A41)</f>
        <v>L4060-A</v>
      </c>
      <c r="B41" s="48" t="str">
        <f aca="false">IF(Produtos!$A41="","",Produtos!$B41)</f>
        <v>Lixeira Aço Inox c/Aro 40x60 75L</v>
      </c>
      <c r="C41" s="48" t="str">
        <f aca="false">IF(Produtos!$A41="","",Produtos!$C41)</f>
        <v>Lixeiras em inox</v>
      </c>
      <c r="D41" s="33" t="n">
        <f aca="false">IF(Produtos!$A41="","",IF(Produtos!$D41="","",Produtos!$D41))</f>
        <v>329.38</v>
      </c>
      <c r="E41" s="11" t="n">
        <v>79.35</v>
      </c>
      <c r="F41" s="34" t="n">
        <f aca="false">IF($A41="","",IF($C41="","⚠ categoria",IFERROR(INDEX(Parâmetros!$C$13:$C$22,MATCH($C41,Parâmetros!$A$13:$A$22,0)),"⚠ categoria")))</f>
        <v>0.18</v>
      </c>
      <c r="G41" s="35"/>
      <c r="H41" s="36" t="n">
        <f aca="false">IF($A41="","",IF(ISNUMBER($G41),$G41,IF(ISNUMBER($F41),$F41,"")))</f>
        <v>0.18</v>
      </c>
      <c r="I41" s="37" t="n">
        <f aca="false">IF(OR($A41="",NOT(ISNUMBER($D41)),NOT(ISNUMBER($H41))),"",IF((1-$H41-Parâmetros!$B$5-Parâmetros!$C$5-Parâmetros!$D$5)&lt;=0,"INVALIDO",($D41+IF(ISNUMBER($E41),$E41,0)+IF(ISNUMBER(Parâmetros!$E$5),Parâmetros!$E$5,0))/(1-$H41-Parâmetros!$B$5-Parâmetros!$C$5-Parâmetros!$D$5)))</f>
        <v>834.142857142857</v>
      </c>
      <c r="J41" s="38" t="n">
        <v>834.18</v>
      </c>
      <c r="K41" s="39" t="n">
        <f aca="false">IF(OR($A41="",NOT(ISNUMBER($D41)),NOT(ISNUMBER($H41))),"",IF(AND(ISNUMBER($J41),$J41&gt;0),$J41,IF(ISNUMBER($I41),$I41,"")))</f>
        <v>834.18</v>
      </c>
      <c r="L41" s="40" t="n">
        <f aca="false">IF(ISNUMBER($K41),$K41*$H41,"")</f>
        <v>150.1524</v>
      </c>
      <c r="M41" s="40" t="n">
        <f aca="false">IF(ISNUMBER($K41),$K41*Parâmetros!$B$5,"")</f>
        <v>83.418</v>
      </c>
      <c r="N41" s="40" t="n">
        <f aca="false">IF(ISNUMBER($K41),$K41*Parâmetros!$C$5,"")</f>
        <v>25.0254</v>
      </c>
      <c r="O41" s="40" t="n">
        <f aca="false">IF(ISNUMBER($K41),IF(ISNUMBER(Parâmetros!$E$5),Parâmetros!$E$5,0),"")</f>
        <v>0</v>
      </c>
      <c r="P41" s="41" t="n">
        <f aca="false">IF(ISNUMBER($K41),$K41-$D41-IF(ISNUMBER($E41),$E41,0)-$L41-$M41-$N41-$O41,"")</f>
        <v>166.8542</v>
      </c>
      <c r="Q41" s="42" t="n">
        <f aca="false">IF(AND(ISNUMBER($K41),$K41&gt;0),$P41/$K41,"")</f>
        <v>0.200021817833082</v>
      </c>
      <c r="R41" s="43"/>
      <c r="S41" s="44" t="str">
        <f aca="false">IF(OR(NOT(ISNUMBER($R41)),$R41=0,NOT(ISNUMBER($K41))),"",$K41*(1-$R41))</f>
        <v/>
      </c>
      <c r="T41" s="45" t="str">
        <f aca="false">IF(ISNUMBER($S41),$S41*$H41,"")</f>
        <v/>
      </c>
      <c r="U41" s="45" t="str">
        <f aca="false">IF(ISNUMBER($S41),$S41*Parâmetros!$B$5,"")</f>
        <v/>
      </c>
      <c r="V41" s="45" t="str">
        <f aca="false">IF(ISNUMBER($S41),$S41*Parâmetros!$C$5,"")</f>
        <v/>
      </c>
      <c r="W41" s="44" t="str">
        <f aca="false">IF(ISNUMBER($S41),$S41-$D41-IF(ISNUMBER($E41),$E41,0)-$O41-$T41-$U41-$V41,"")</f>
        <v/>
      </c>
      <c r="X41" s="46" t="str">
        <f aca="false">IF(AND(ISNUMBER($S41),$S41&gt;0),$W41/$S41,"")</f>
        <v/>
      </c>
      <c r="Y41" s="49" t="s">
        <v>735</v>
      </c>
      <c r="Z41" s="21"/>
    </row>
    <row r="42" customFormat="false" ht="15.75" hidden="false" customHeight="true" outlineLevel="0" collapsed="false">
      <c r="A42" s="32" t="str">
        <f aca="false">IF(Produtos!$A42="","",Produtos!$A42)</f>
        <v>L4070-A</v>
      </c>
      <c r="B42" s="32" t="str">
        <f aca="false">IF(Produtos!$A42="","",Produtos!$B42)</f>
        <v>Lixeira Aço Inox c/Aro 40x70 88L</v>
      </c>
      <c r="C42" s="32" t="str">
        <f aca="false">IF(Produtos!$A42="","",Produtos!$C42)</f>
        <v>Lixeiras em inox</v>
      </c>
      <c r="D42" s="33" t="n">
        <f aca="false">IF(Produtos!$A42="","",IF(Produtos!$D42="","",Produtos!$D42))</f>
        <v>331.22</v>
      </c>
      <c r="E42" s="11"/>
      <c r="F42" s="34" t="n">
        <f aca="false">IF($A42="","",IF($C42="","⚠ categoria",IFERROR(INDEX(Parâmetros!$C$13:$C$22,MATCH($C42,Parâmetros!$A$13:$A$22,0)),"⚠ categoria")))</f>
        <v>0.18</v>
      </c>
      <c r="G42" s="35"/>
      <c r="H42" s="36" t="n">
        <f aca="false">IF($A42="","",IF(ISNUMBER($G42),$G42,IF(ISNUMBER($F42),$F42,"")))</f>
        <v>0.18</v>
      </c>
      <c r="I42" s="37" t="n">
        <f aca="false">IF(OR($A42="",NOT(ISNUMBER($D42)),NOT(ISNUMBER($H42))),"",IF((1-$H42-Parâmetros!$B$5-Parâmetros!$C$5-Parâmetros!$D$5)&lt;=0,"INVALIDO",($D42+IF(ISNUMBER($E42),$E42,0)+IF(ISNUMBER(Parâmetros!$E$5),Parâmetros!$E$5,0))/(1-$H42-Parâmetros!$B$5-Parâmetros!$C$5-Parâmetros!$D$5)))</f>
        <v>675.959183673469</v>
      </c>
      <c r="J42" s="38"/>
      <c r="K42" s="39" t="n">
        <f aca="false">IF(OR($A42="",NOT(ISNUMBER($D42)),NOT(ISNUMBER($H42))),"",IF(AND(ISNUMBER($J42),$J42&gt;0),$J42,IF(ISNUMBER($I42),$I42,"")))</f>
        <v>675.959183673469</v>
      </c>
      <c r="L42" s="40" t="n">
        <f aca="false">IF(ISNUMBER($K42),$K42*$H42,"")</f>
        <v>121.672653061224</v>
      </c>
      <c r="M42" s="40" t="n">
        <f aca="false">IF(ISNUMBER($K42),$K42*Parâmetros!$B$5,"")</f>
        <v>67.5959183673469</v>
      </c>
      <c r="N42" s="40" t="n">
        <f aca="false">IF(ISNUMBER($K42),$K42*Parâmetros!$C$5,"")</f>
        <v>20.2787755102041</v>
      </c>
      <c r="O42" s="40" t="n">
        <f aca="false">IF(ISNUMBER($K42),IF(ISNUMBER(Parâmetros!$E$5),Parâmetros!$E$5,0),"")</f>
        <v>0</v>
      </c>
      <c r="P42" s="41" t="n">
        <f aca="false">IF(ISNUMBER($K42),$K42-$D42-IF(ISNUMBER($E42),$E42,0)-$L42-$M42-$N42-$O42,"")</f>
        <v>135.191836734694</v>
      </c>
      <c r="Q42" s="42" t="n">
        <f aca="false">IF(AND(ISNUMBER($K42),$K42&gt;0),$P42/$K42,"")</f>
        <v>0.2</v>
      </c>
      <c r="R42" s="43"/>
      <c r="S42" s="44" t="str">
        <f aca="false">IF(OR(NOT(ISNUMBER($R42)),$R42=0,NOT(ISNUMBER($K42))),"",$K42*(1-$R42))</f>
        <v/>
      </c>
      <c r="T42" s="45" t="str">
        <f aca="false">IF(ISNUMBER($S42),$S42*$H42,"")</f>
        <v/>
      </c>
      <c r="U42" s="45" t="str">
        <f aca="false">IF(ISNUMBER($S42),$S42*Parâmetros!$B$5,"")</f>
        <v/>
      </c>
      <c r="V42" s="45" t="str">
        <f aca="false">IF(ISNUMBER($S42),$S42*Parâmetros!$C$5,"")</f>
        <v/>
      </c>
      <c r="W42" s="44" t="str">
        <f aca="false">IF(ISNUMBER($S42),$S42-$D42-IF(ISNUMBER($E42),$E42,0)-$O42-$T42-$U42-$V42,"")</f>
        <v/>
      </c>
      <c r="X42" s="46" t="str">
        <f aca="false">IF(AND(ISNUMBER($S42),$S42&gt;0),$W42/$S42,"")</f>
        <v/>
      </c>
      <c r="Y42" s="47"/>
      <c r="Z42" s="19"/>
    </row>
    <row r="43" customFormat="false" ht="15.75" hidden="false" customHeight="true" outlineLevel="0" collapsed="false">
      <c r="A43" s="48" t="str">
        <f aca="false">IF(Produtos!$A43="","",Produtos!$A43)</f>
        <v>L4075-A</v>
      </c>
      <c r="B43" s="48" t="str">
        <f aca="false">IF(Produtos!$A43="","",Produtos!$B43)</f>
        <v>Lixeira Aço Inox c/Aro 40x75 95L</v>
      </c>
      <c r="C43" s="48" t="str">
        <f aca="false">IF(Produtos!$A43="","",Produtos!$C43)</f>
        <v>Lixeiras em inox</v>
      </c>
      <c r="D43" s="33" t="n">
        <f aca="false">IF(Produtos!$A43="","",IF(Produtos!$D43="","",Produtos!$D43))</f>
        <v>392.8</v>
      </c>
      <c r="E43" s="11"/>
      <c r="F43" s="34" t="n">
        <f aca="false">IF($A43="","",IF($C43="","⚠ categoria",IFERROR(INDEX(Parâmetros!$C$13:$C$22,MATCH($C43,Parâmetros!$A$13:$A$22,0)),"⚠ categoria")))</f>
        <v>0.18</v>
      </c>
      <c r="G43" s="35"/>
      <c r="H43" s="36" t="n">
        <f aca="false">IF($A43="","",IF(ISNUMBER($G43),$G43,IF(ISNUMBER($F43),$F43,"")))</f>
        <v>0.18</v>
      </c>
      <c r="I43" s="37" t="n">
        <f aca="false">IF(OR($A43="",NOT(ISNUMBER($D43)),NOT(ISNUMBER($H43))),"",IF((1-$H43-Parâmetros!$B$5-Parâmetros!$C$5-Parâmetros!$D$5)&lt;=0,"INVALIDO",($D43+IF(ISNUMBER($E43),$E43,0)+IF(ISNUMBER(Parâmetros!$E$5),Parâmetros!$E$5,0))/(1-$H43-Parâmetros!$B$5-Parâmetros!$C$5-Parâmetros!$D$5)))</f>
        <v>801.632653061225</v>
      </c>
      <c r="J43" s="38"/>
      <c r="K43" s="39" t="n">
        <f aca="false">IF(OR($A43="",NOT(ISNUMBER($D43)),NOT(ISNUMBER($H43))),"",IF(AND(ISNUMBER($J43),$J43&gt;0),$J43,IF(ISNUMBER($I43),$I43,"")))</f>
        <v>801.632653061225</v>
      </c>
      <c r="L43" s="40" t="n">
        <f aca="false">IF(ISNUMBER($K43),$K43*$H43,"")</f>
        <v>144.29387755102</v>
      </c>
      <c r="M43" s="40" t="n">
        <f aca="false">IF(ISNUMBER($K43),$K43*Parâmetros!$B$5,"")</f>
        <v>80.1632653061225</v>
      </c>
      <c r="N43" s="40" t="n">
        <f aca="false">IF(ISNUMBER($K43),$K43*Parâmetros!$C$5,"")</f>
        <v>24.0489795918367</v>
      </c>
      <c r="O43" s="40" t="n">
        <f aca="false">IF(ISNUMBER($K43),IF(ISNUMBER(Parâmetros!$E$5),Parâmetros!$E$5,0),"")</f>
        <v>0</v>
      </c>
      <c r="P43" s="41" t="n">
        <f aca="false">IF(ISNUMBER($K43),$K43-$D43-IF(ISNUMBER($E43),$E43,0)-$L43-$M43-$N43-$O43,"")</f>
        <v>160.326530612245</v>
      </c>
      <c r="Q43" s="42" t="n">
        <f aca="false">IF(AND(ISNUMBER($K43),$K43&gt;0),$P43/$K43,"")</f>
        <v>0.2</v>
      </c>
      <c r="R43" s="43"/>
      <c r="S43" s="44" t="str">
        <f aca="false">IF(OR(NOT(ISNUMBER($R43)),$R43=0,NOT(ISNUMBER($K43))),"",$K43*(1-$R43))</f>
        <v/>
      </c>
      <c r="T43" s="45" t="str">
        <f aca="false">IF(ISNUMBER($S43),$S43*$H43,"")</f>
        <v/>
      </c>
      <c r="U43" s="45" t="str">
        <f aca="false">IF(ISNUMBER($S43),$S43*Parâmetros!$B$5,"")</f>
        <v/>
      </c>
      <c r="V43" s="45" t="str">
        <f aca="false">IF(ISNUMBER($S43),$S43*Parâmetros!$C$5,"")</f>
        <v/>
      </c>
      <c r="W43" s="44" t="str">
        <f aca="false">IF(ISNUMBER($S43),$S43-$D43-IF(ISNUMBER($E43),$E43,0)-$O43-$T43-$U43-$V43,"")</f>
        <v/>
      </c>
      <c r="X43" s="46" t="str">
        <f aca="false">IF(AND(ISNUMBER($S43),$S43&gt;0),$W43/$S43,"")</f>
        <v/>
      </c>
      <c r="Y43" s="49"/>
      <c r="Z43" s="21"/>
    </row>
    <row r="44" customFormat="false" ht="15.75" hidden="false" customHeight="true" outlineLevel="0" collapsed="false">
      <c r="A44" s="32" t="str">
        <f aca="false">IF(Produtos!$A44="","",Produtos!$A44)</f>
        <v>L4080-A</v>
      </c>
      <c r="B44" s="32" t="str">
        <f aca="false">IF(Produtos!$A44="","",Produtos!$B44)</f>
        <v>Lixeira Aço Inox c/Aro 40x80 100L</v>
      </c>
      <c r="C44" s="32" t="str">
        <f aca="false">IF(Produtos!$A44="","",Produtos!$C44)</f>
        <v>Lixeiras em inox</v>
      </c>
      <c r="D44" s="33" t="n">
        <f aca="false">IF(Produtos!$A44="","",IF(Produtos!$D44="","",Produtos!$D44))</f>
        <v>400.17</v>
      </c>
      <c r="E44" s="11" t="n">
        <v>106.85</v>
      </c>
      <c r="F44" s="34" t="n">
        <f aca="false">IF($A44="","",IF($C44="","⚠ categoria",IFERROR(INDEX(Parâmetros!$C$13:$C$22,MATCH($C44,Parâmetros!$A$13:$A$22,0)),"⚠ categoria")))</f>
        <v>0.18</v>
      </c>
      <c r="G44" s="35"/>
      <c r="H44" s="36" t="n">
        <f aca="false">IF($A44="","",IF(ISNUMBER($G44),$G44,IF(ISNUMBER($F44),$F44,"")))</f>
        <v>0.18</v>
      </c>
      <c r="I44" s="37" t="n">
        <f aca="false">IF(OR($A44="",NOT(ISNUMBER($D44)),NOT(ISNUMBER($H44))),"",IF((1-$H44-Parâmetros!$B$5-Parâmetros!$C$5-Parâmetros!$D$5)&lt;=0,"INVALIDO",($D44+IF(ISNUMBER($E44),$E44,0)+IF(ISNUMBER(Parâmetros!$E$5),Parâmetros!$E$5,0))/(1-$H44-Parâmetros!$B$5-Parâmetros!$C$5-Parâmetros!$D$5)))</f>
        <v>1034.73469387755</v>
      </c>
      <c r="J44" s="38" t="n">
        <v>1036.625625</v>
      </c>
      <c r="K44" s="39" t="n">
        <f aca="false">IF(OR($A44="",NOT(ISNUMBER($D44)),NOT(ISNUMBER($H44))),"",IF(AND(ISNUMBER($J44),$J44&gt;0),$J44,IF(ISNUMBER($I44),$I44,"")))</f>
        <v>1036.625625</v>
      </c>
      <c r="L44" s="40" t="n">
        <f aca="false">IF(ISNUMBER($K44),$K44*$H44,"")</f>
        <v>186.5926125</v>
      </c>
      <c r="M44" s="40" t="n">
        <f aca="false">IF(ISNUMBER($K44),$K44*Parâmetros!$B$5,"")</f>
        <v>103.6625625</v>
      </c>
      <c r="N44" s="40" t="n">
        <f aca="false">IF(ISNUMBER($K44),$K44*Parâmetros!$C$5,"")</f>
        <v>31.09876875</v>
      </c>
      <c r="O44" s="40" t="n">
        <f aca="false">IF(ISNUMBER($K44),IF(ISNUMBER(Parâmetros!$E$5),Parâmetros!$E$5,0),"")</f>
        <v>0</v>
      </c>
      <c r="P44" s="41" t="n">
        <f aca="false">IF(ISNUMBER($K44),$K44-$D44-IF(ISNUMBER($E44),$E44,0)-$L44-$M44-$N44-$O44,"")</f>
        <v>208.25168125</v>
      </c>
      <c r="Q44" s="42" t="n">
        <f aca="false">IF(AND(ISNUMBER($K44),$K44&gt;0),$P44/$K44,"")</f>
        <v>0.200893819550332</v>
      </c>
      <c r="R44" s="43"/>
      <c r="S44" s="44" t="str">
        <f aca="false">IF(OR(NOT(ISNUMBER($R44)),$R44=0,NOT(ISNUMBER($K44))),"",$K44*(1-$R44))</f>
        <v/>
      </c>
      <c r="T44" s="45" t="str">
        <f aca="false">IF(ISNUMBER($S44),$S44*$H44,"")</f>
        <v/>
      </c>
      <c r="U44" s="45" t="str">
        <f aca="false">IF(ISNUMBER($S44),$S44*Parâmetros!$B$5,"")</f>
        <v/>
      </c>
      <c r="V44" s="45" t="str">
        <f aca="false">IF(ISNUMBER($S44),$S44*Parâmetros!$C$5,"")</f>
        <v/>
      </c>
      <c r="W44" s="44" t="str">
        <f aca="false">IF(ISNUMBER($S44),$S44-$D44-IF(ISNUMBER($E44),$E44,0)-$O44-$T44-$U44-$V44,"")</f>
        <v/>
      </c>
      <c r="X44" s="46" t="str">
        <f aca="false">IF(AND(ISNUMBER($S44),$S44&gt;0),$W44/$S44,"")</f>
        <v/>
      </c>
      <c r="Y44" s="47" t="s">
        <v>734</v>
      </c>
      <c r="Z44" s="19"/>
    </row>
    <row r="45" customFormat="false" ht="15.75" hidden="false" customHeight="true" outlineLevel="0" collapsed="false">
      <c r="A45" s="48" t="str">
        <f aca="false">IF(Produtos!$A45="","",Produtos!$A45)</f>
        <v>L4090-A</v>
      </c>
      <c r="B45" s="48" t="str">
        <f aca="false">IF(Produtos!$A45="","",Produtos!$B45)</f>
        <v>Lixeira Aço Inox c/Aro 40x90 120L</v>
      </c>
      <c r="C45" s="48" t="str">
        <f aca="false">IF(Produtos!$A45="","",Produtos!$C45)</f>
        <v>Lixeiras em inox</v>
      </c>
      <c r="D45" s="33" t="n">
        <f aca="false">IF(Produtos!$A45="","",IF(Produtos!$D45="","",Produtos!$D45))</f>
        <v>405.39</v>
      </c>
      <c r="E45" s="11" t="n">
        <v>106.85</v>
      </c>
      <c r="F45" s="34" t="n">
        <f aca="false">IF($A45="","",IF($C45="","⚠ categoria",IFERROR(INDEX(Parâmetros!$C$13:$C$22,MATCH($C45,Parâmetros!$A$13:$A$22,0)),"⚠ categoria")))</f>
        <v>0.18</v>
      </c>
      <c r="G45" s="35"/>
      <c r="H45" s="36" t="n">
        <f aca="false">IF($A45="","",IF(ISNUMBER($G45),$G45,IF(ISNUMBER($F45),$F45,"")))</f>
        <v>0.18</v>
      </c>
      <c r="I45" s="37" t="n">
        <f aca="false">IF(OR($A45="",NOT(ISNUMBER($D45)),NOT(ISNUMBER($H45))),"",IF((1-$H45-Parâmetros!$B$5-Parâmetros!$C$5-Parâmetros!$D$5)&lt;=0,"INVALIDO",($D45+IF(ISNUMBER($E45),$E45,0)+IF(ISNUMBER(Parâmetros!$E$5),Parâmetros!$E$5,0))/(1-$H45-Parâmetros!$B$5-Parâmetros!$C$5-Parâmetros!$D$5)))</f>
        <v>1045.38775510204</v>
      </c>
      <c r="J45" s="38" t="n">
        <v>1045.39</v>
      </c>
      <c r="K45" s="39" t="n">
        <f aca="false">IF(OR($A45="",NOT(ISNUMBER($D45)),NOT(ISNUMBER($H45))),"",IF(AND(ISNUMBER($J45),$J45&gt;0),$J45,IF(ISNUMBER($I45),$I45,"")))</f>
        <v>1045.39</v>
      </c>
      <c r="L45" s="40" t="n">
        <f aca="false">IF(ISNUMBER($K45),$K45*$H45,"")</f>
        <v>188.1702</v>
      </c>
      <c r="M45" s="40" t="n">
        <f aca="false">IF(ISNUMBER($K45),$K45*Parâmetros!$B$5,"")</f>
        <v>104.539</v>
      </c>
      <c r="N45" s="40" t="n">
        <f aca="false">IF(ISNUMBER($K45),$K45*Parâmetros!$C$5,"")</f>
        <v>31.3617</v>
      </c>
      <c r="O45" s="40" t="n">
        <f aca="false">IF(ISNUMBER($K45),IF(ISNUMBER(Parâmetros!$E$5),Parâmetros!$E$5,0),"")</f>
        <v>0</v>
      </c>
      <c r="P45" s="41" t="n">
        <f aca="false">IF(ISNUMBER($K45),$K45-$D45-IF(ISNUMBER($E45),$E45,0)-$L45-$M45-$N45-$O45,"")</f>
        <v>209.0791</v>
      </c>
      <c r="Q45" s="42" t="n">
        <f aca="false">IF(AND(ISNUMBER($K45),$K45&gt;0),$P45/$K45,"")</f>
        <v>0.200001052238877</v>
      </c>
      <c r="R45" s="43"/>
      <c r="S45" s="44" t="str">
        <f aca="false">IF(OR(NOT(ISNUMBER($R45)),$R45=0,NOT(ISNUMBER($K45))),"",$K45*(1-$R45))</f>
        <v/>
      </c>
      <c r="T45" s="45" t="str">
        <f aca="false">IF(ISNUMBER($S45),$S45*$H45,"")</f>
        <v/>
      </c>
      <c r="U45" s="45" t="str">
        <f aca="false">IF(ISNUMBER($S45),$S45*Parâmetros!$B$5,"")</f>
        <v/>
      </c>
      <c r="V45" s="45" t="str">
        <f aca="false">IF(ISNUMBER($S45),$S45*Parâmetros!$C$5,"")</f>
        <v/>
      </c>
      <c r="W45" s="44" t="str">
        <f aca="false">IF(ISNUMBER($S45),$S45-$D45-IF(ISNUMBER($E45),$E45,0)-$O45-$T45-$U45-$V45,"")</f>
        <v/>
      </c>
      <c r="X45" s="46" t="str">
        <f aca="false">IF(AND(ISNUMBER($S45),$S45&gt;0),$W45/$S45,"")</f>
        <v/>
      </c>
      <c r="Y45" s="49" t="s">
        <v>735</v>
      </c>
      <c r="Z45" s="21"/>
    </row>
    <row r="46" customFormat="false" ht="15.75" hidden="false" customHeight="true" outlineLevel="0" collapsed="false">
      <c r="A46" s="32" t="str">
        <f aca="false">IF(Produtos!$A46="","",Produtos!$A46)</f>
        <v>L40100-A</v>
      </c>
      <c r="B46" s="32" t="str">
        <f aca="false">IF(Produtos!$A46="","",Produtos!$B46)</f>
        <v>Lixeira Aço Inox c/Aro 40x100L</v>
      </c>
      <c r="C46" s="32" t="str">
        <f aca="false">IF(Produtos!$A46="","",Produtos!$C46)</f>
        <v>Lixeiras em inox</v>
      </c>
      <c r="D46" s="33" t="n">
        <f aca="false">IF(Produtos!$A46="","",IF(Produtos!$D46="","",Produtos!$D46))</f>
        <v>566.56</v>
      </c>
      <c r="E46" s="11"/>
      <c r="F46" s="34" t="n">
        <f aca="false">IF($A46="","",IF($C46="","⚠ categoria",IFERROR(INDEX(Parâmetros!$C$13:$C$22,MATCH($C46,Parâmetros!$A$13:$A$22,0)),"⚠ categoria")))</f>
        <v>0.18</v>
      </c>
      <c r="G46" s="35"/>
      <c r="H46" s="36" t="n">
        <f aca="false">IF($A46="","",IF(ISNUMBER($G46),$G46,IF(ISNUMBER($F46),$F46,"")))</f>
        <v>0.18</v>
      </c>
      <c r="I46" s="37" t="n">
        <f aca="false">IF(OR($A46="",NOT(ISNUMBER($D46)),NOT(ISNUMBER($H46))),"",IF((1-$H46-Parâmetros!$B$5-Parâmetros!$C$5-Parâmetros!$D$5)&lt;=0,"INVALIDO",($D46+IF(ISNUMBER($E46),$E46,0)+IF(ISNUMBER(Parâmetros!$E$5),Parâmetros!$E$5,0))/(1-$H46-Parâmetros!$B$5-Parâmetros!$C$5-Parâmetros!$D$5)))</f>
        <v>1156.24489795918</v>
      </c>
      <c r="J46" s="38"/>
      <c r="K46" s="39" t="n">
        <f aca="false">IF(OR($A46="",NOT(ISNUMBER($D46)),NOT(ISNUMBER($H46))),"",IF(AND(ISNUMBER($J46),$J46&gt;0),$J46,IF(ISNUMBER($I46),$I46,"")))</f>
        <v>1156.24489795918</v>
      </c>
      <c r="L46" s="40" t="n">
        <f aca="false">IF(ISNUMBER($K46),$K46*$H46,"")</f>
        <v>208.124081632653</v>
      </c>
      <c r="M46" s="40" t="n">
        <f aca="false">IF(ISNUMBER($K46),$K46*Parâmetros!$B$5,"")</f>
        <v>115.624489795918</v>
      </c>
      <c r="N46" s="40" t="n">
        <f aca="false">IF(ISNUMBER($K46),$K46*Parâmetros!$C$5,"")</f>
        <v>34.6873469387755</v>
      </c>
      <c r="O46" s="40" t="n">
        <f aca="false">IF(ISNUMBER($K46),IF(ISNUMBER(Parâmetros!$E$5),Parâmetros!$E$5,0),"")</f>
        <v>0</v>
      </c>
      <c r="P46" s="41" t="n">
        <f aca="false">IF(ISNUMBER($K46),$K46-$D46-IF(ISNUMBER($E46),$E46,0)-$L46-$M46-$N46-$O46,"")</f>
        <v>231.248979591837</v>
      </c>
      <c r="Q46" s="42" t="n">
        <f aca="false">IF(AND(ISNUMBER($K46),$K46&gt;0),$P46/$K46,"")</f>
        <v>0.2</v>
      </c>
      <c r="R46" s="43"/>
      <c r="S46" s="44" t="str">
        <f aca="false">IF(OR(NOT(ISNUMBER($R46)),$R46=0,NOT(ISNUMBER($K46))),"",$K46*(1-$R46))</f>
        <v/>
      </c>
      <c r="T46" s="45" t="str">
        <f aca="false">IF(ISNUMBER($S46),$S46*$H46,"")</f>
        <v/>
      </c>
      <c r="U46" s="45" t="str">
        <f aca="false">IF(ISNUMBER($S46),$S46*Parâmetros!$B$5,"")</f>
        <v/>
      </c>
      <c r="V46" s="45" t="str">
        <f aca="false">IF(ISNUMBER($S46),$S46*Parâmetros!$C$5,"")</f>
        <v/>
      </c>
      <c r="W46" s="44" t="str">
        <f aca="false">IF(ISNUMBER($S46),$S46-$D46-IF(ISNUMBER($E46),$E46,0)-$O46-$T46-$U46-$V46,"")</f>
        <v/>
      </c>
      <c r="X46" s="46" t="str">
        <f aca="false">IF(AND(ISNUMBER($S46),$S46&gt;0),$W46/$S46,"")</f>
        <v/>
      </c>
      <c r="Y46" s="47"/>
      <c r="Z46" s="19"/>
    </row>
    <row r="47" customFormat="false" ht="15.75" hidden="false" customHeight="true" outlineLevel="0" collapsed="false">
      <c r="A47" s="48" t="str">
        <f aca="false">IF(Produtos!$A47="","",Produtos!$A47)</f>
        <v>L40120-A</v>
      </c>
      <c r="B47" s="48" t="str">
        <f aca="false">IF(Produtos!$A47="","",Produtos!$B47)</f>
        <v>Lixeira Aço Inox c/Aro 40x120L</v>
      </c>
      <c r="C47" s="48" t="str">
        <f aca="false">IF(Produtos!$A47="","",Produtos!$C47)</f>
        <v>Lixeiras em inox</v>
      </c>
      <c r="D47" s="33" t="n">
        <f aca="false">IF(Produtos!$A47="","",IF(Produtos!$D47="","",Produtos!$D47))</f>
        <v>762.87</v>
      </c>
      <c r="E47" s="11"/>
      <c r="F47" s="34" t="n">
        <f aca="false">IF($A47="","",IF($C47="","⚠ categoria",IFERROR(INDEX(Parâmetros!$C$13:$C$22,MATCH($C47,Parâmetros!$A$13:$A$22,0)),"⚠ categoria")))</f>
        <v>0.18</v>
      </c>
      <c r="G47" s="35"/>
      <c r="H47" s="36" t="n">
        <f aca="false">IF($A47="","",IF(ISNUMBER($G47),$G47,IF(ISNUMBER($F47),$F47,"")))</f>
        <v>0.18</v>
      </c>
      <c r="I47" s="37" t="n">
        <f aca="false">IF(OR($A47="",NOT(ISNUMBER($D47)),NOT(ISNUMBER($H47))),"",IF((1-$H47-Parâmetros!$B$5-Parâmetros!$C$5-Parâmetros!$D$5)&lt;=0,"INVALIDO",($D47+IF(ISNUMBER($E47),$E47,0)+IF(ISNUMBER(Parâmetros!$E$5),Parâmetros!$E$5,0))/(1-$H47-Parâmetros!$B$5-Parâmetros!$C$5-Parâmetros!$D$5)))</f>
        <v>1556.87755102041</v>
      </c>
      <c r="J47" s="38"/>
      <c r="K47" s="39" t="n">
        <f aca="false">IF(OR($A47="",NOT(ISNUMBER($D47)),NOT(ISNUMBER($H47))),"",IF(AND(ISNUMBER($J47),$J47&gt;0),$J47,IF(ISNUMBER($I47),$I47,"")))</f>
        <v>1556.87755102041</v>
      </c>
      <c r="L47" s="40" t="n">
        <f aca="false">IF(ISNUMBER($K47),$K47*$H47,"")</f>
        <v>280.237959183673</v>
      </c>
      <c r="M47" s="40" t="n">
        <f aca="false">IF(ISNUMBER($K47),$K47*Parâmetros!$B$5,"")</f>
        <v>155.687755102041</v>
      </c>
      <c r="N47" s="40" t="n">
        <f aca="false">IF(ISNUMBER($K47),$K47*Parâmetros!$C$5,"")</f>
        <v>46.7063265306122</v>
      </c>
      <c r="O47" s="40" t="n">
        <f aca="false">IF(ISNUMBER($K47),IF(ISNUMBER(Parâmetros!$E$5),Parâmetros!$E$5,0),"")</f>
        <v>0</v>
      </c>
      <c r="P47" s="41" t="n">
        <f aca="false">IF(ISNUMBER($K47),$K47-$D47-IF(ISNUMBER($E47),$E47,0)-$L47-$M47-$N47-$O47,"")</f>
        <v>311.375510204082</v>
      </c>
      <c r="Q47" s="42" t="n">
        <f aca="false">IF(AND(ISNUMBER($K47),$K47&gt;0),$P47/$K47,"")</f>
        <v>0.2</v>
      </c>
      <c r="R47" s="43"/>
      <c r="S47" s="44" t="str">
        <f aca="false">IF(OR(NOT(ISNUMBER($R47)),$R47=0,NOT(ISNUMBER($K47))),"",$K47*(1-$R47))</f>
        <v/>
      </c>
      <c r="T47" s="45" t="str">
        <f aca="false">IF(ISNUMBER($S47),$S47*$H47,"")</f>
        <v/>
      </c>
      <c r="U47" s="45" t="str">
        <f aca="false">IF(ISNUMBER($S47),$S47*Parâmetros!$B$5,"")</f>
        <v/>
      </c>
      <c r="V47" s="45" t="str">
        <f aca="false">IF(ISNUMBER($S47),$S47*Parâmetros!$C$5,"")</f>
        <v/>
      </c>
      <c r="W47" s="44" t="str">
        <f aca="false">IF(ISNUMBER($S47),$S47-$D47-IF(ISNUMBER($E47),$E47,0)-$O47-$T47-$U47-$V47,"")</f>
        <v/>
      </c>
      <c r="X47" s="46" t="str">
        <f aca="false">IF(AND(ISNUMBER($S47),$S47&gt;0),$W47/$S47,"")</f>
        <v/>
      </c>
      <c r="Y47" s="49"/>
      <c r="Z47" s="21"/>
    </row>
    <row r="48" customFormat="false" ht="15.75" hidden="false" customHeight="true" outlineLevel="0" collapsed="false">
      <c r="A48" s="32" t="str">
        <f aca="false">IF(Produtos!$A48="","",Produtos!$A48)</f>
        <v>L2425-AML</v>
      </c>
      <c r="B48" s="32" t="str">
        <f aca="false">IF(Produtos!$A48="","",Produtos!$B48)</f>
        <v>Lixeira c/Aro Meia Lua 24x25 13L</v>
      </c>
      <c r="C48" s="32" t="str">
        <f aca="false">IF(Produtos!$A48="","",Produtos!$C48)</f>
        <v>Lixeiras em inox</v>
      </c>
      <c r="D48" s="33" t="n">
        <f aca="false">IF(Produtos!$A48="","",IF(Produtos!$D48="","",Produtos!$D48))</f>
        <v>86.87</v>
      </c>
      <c r="E48" s="11" t="n">
        <v>27.05</v>
      </c>
      <c r="F48" s="34" t="n">
        <f aca="false">IF($A48="","",IF($C48="","⚠ categoria",IFERROR(INDEX(Parâmetros!$C$13:$C$22,MATCH($C48,Parâmetros!$A$13:$A$22,0)),"⚠ categoria")))</f>
        <v>0.18</v>
      </c>
      <c r="G48" s="35" t="n">
        <v>0.15</v>
      </c>
      <c r="H48" s="36" t="n">
        <f aca="false">IF($A48="","",IF(ISNUMBER($G48),$G48,IF(ISNUMBER($F48),$F48,"")))</f>
        <v>0.15</v>
      </c>
      <c r="I48" s="37" t="n">
        <f aca="false">IF(OR($A48="",NOT(ISNUMBER($D48)),NOT(ISNUMBER($H48))),"",IF((1-$H48-Parâmetros!$B$5-Parâmetros!$C$5-Parâmetros!$D$5)&lt;=0,"INVALIDO",($D48+IF(ISNUMBER($E48),$E48,0)+IF(ISNUMBER(Parâmetros!$E$5),Parâmetros!$E$5,0))/(1-$H48-Parâmetros!$B$5-Parâmetros!$C$5-Parâmetros!$D$5)))</f>
        <v>219.076923076923</v>
      </c>
      <c r="J48" s="38" t="n">
        <v>220.85708</v>
      </c>
      <c r="K48" s="39" t="n">
        <f aca="false">IF(OR($A48="",NOT(ISNUMBER($D48)),NOT(ISNUMBER($H48))),"",IF(AND(ISNUMBER($J48),$J48&gt;0),$J48,IF(ISNUMBER($I48),$I48,"")))</f>
        <v>220.85708</v>
      </c>
      <c r="L48" s="40" t="n">
        <f aca="false">IF(ISNUMBER($K48),$K48*$H48,"")</f>
        <v>33.128562</v>
      </c>
      <c r="M48" s="40" t="n">
        <f aca="false">IF(ISNUMBER($K48),$K48*Parâmetros!$B$5,"")</f>
        <v>22.085708</v>
      </c>
      <c r="N48" s="40" t="n">
        <f aca="false">IF(ISNUMBER($K48),$K48*Parâmetros!$C$5,"")</f>
        <v>6.6257124</v>
      </c>
      <c r="O48" s="40" t="n">
        <f aca="false">IF(ISNUMBER($K48),IF(ISNUMBER(Parâmetros!$E$5),Parâmetros!$E$5,0),"")</f>
        <v>0</v>
      </c>
      <c r="P48" s="41" t="n">
        <f aca="false">IF(ISNUMBER($K48),$K48-$D48-IF(ISNUMBER($E48),$E48,0)-$L48-$M48-$N48-$O48,"")</f>
        <v>45.0970976</v>
      </c>
      <c r="Q48" s="42" t="n">
        <f aca="false">IF(AND(ISNUMBER($K48),$K48&gt;0),$P48/$K48,"")</f>
        <v>0.204191315035044</v>
      </c>
      <c r="R48" s="43"/>
      <c r="S48" s="44" t="str">
        <f aca="false">IF(OR(NOT(ISNUMBER($R48)),$R48=0,NOT(ISNUMBER($K48))),"",$K48*(1-$R48))</f>
        <v/>
      </c>
      <c r="T48" s="45" t="str">
        <f aca="false">IF(ISNUMBER($S48),$S48*$H48,"")</f>
        <v/>
      </c>
      <c r="U48" s="45" t="str">
        <f aca="false">IF(ISNUMBER($S48),$S48*Parâmetros!$B$5,"")</f>
        <v/>
      </c>
      <c r="V48" s="45" t="str">
        <f aca="false">IF(ISNUMBER($S48),$S48*Parâmetros!$C$5,"")</f>
        <v/>
      </c>
      <c r="W48" s="44" t="str">
        <f aca="false">IF(ISNUMBER($S48),$S48-$D48-IF(ISNUMBER($E48),$E48,0)-$O48-$T48-$U48-$V48,"")</f>
        <v/>
      </c>
      <c r="X48" s="46" t="str">
        <f aca="false">IF(AND(ISNUMBER($S48),$S48&gt;0),$W48/$S48,"")</f>
        <v/>
      </c>
      <c r="Y48" s="47" t="s">
        <v>735</v>
      </c>
      <c r="Z48" s="19"/>
    </row>
    <row r="49" customFormat="false" ht="15.75" hidden="false" customHeight="true" outlineLevel="0" collapsed="false">
      <c r="A49" s="48" t="str">
        <f aca="false">IF(Produtos!$A49="","",Produtos!$A49)</f>
        <v>L2430-AML</v>
      </c>
      <c r="B49" s="48" t="str">
        <f aca="false">IF(Produtos!$A49="","",Produtos!$B49)</f>
        <v>Lixeira c/Aro Meia Lua 24x30 15L</v>
      </c>
      <c r="C49" s="48" t="str">
        <f aca="false">IF(Produtos!$A49="","",Produtos!$C49)</f>
        <v>Lixeiras em inox</v>
      </c>
      <c r="D49" s="33" t="n">
        <f aca="false">IF(Produtos!$A49="","",IF(Produtos!$D49="","",Produtos!$D49))</f>
        <v>96.11</v>
      </c>
      <c r="E49" s="11" t="n">
        <v>27.05</v>
      </c>
      <c r="F49" s="34" t="n">
        <f aca="false">IF($A49="","",IF($C49="","⚠ categoria",IFERROR(INDEX(Parâmetros!$C$13:$C$22,MATCH($C49,Parâmetros!$A$13:$A$22,0)),"⚠ categoria")))</f>
        <v>0.18</v>
      </c>
      <c r="G49" s="35" t="n">
        <v>0.15</v>
      </c>
      <c r="H49" s="36" t="n">
        <f aca="false">IF($A49="","",IF(ISNUMBER($G49),$G49,IF(ISNUMBER($F49),$F49,"")))</f>
        <v>0.15</v>
      </c>
      <c r="I49" s="37" t="n">
        <f aca="false">IF(OR($A49="",NOT(ISNUMBER($D49)),NOT(ISNUMBER($H49))),"",IF((1-$H49-Parâmetros!$B$5-Parâmetros!$C$5-Parâmetros!$D$5)&lt;=0,"INVALIDO",($D49+IF(ISNUMBER($E49),$E49,0)+IF(ISNUMBER(Parâmetros!$E$5),Parâmetros!$E$5,0))/(1-$H49-Parâmetros!$B$5-Parâmetros!$C$5-Parâmetros!$D$5)))</f>
        <v>236.846153846154</v>
      </c>
      <c r="J49" s="38" t="n">
        <v>238.887495</v>
      </c>
      <c r="K49" s="39" t="n">
        <f aca="false">IF(OR($A49="",NOT(ISNUMBER($D49)),NOT(ISNUMBER($H49))),"",IF(AND(ISNUMBER($J49),$J49&gt;0),$J49,IF(ISNUMBER($I49),$I49,"")))</f>
        <v>238.887495</v>
      </c>
      <c r="L49" s="40" t="n">
        <f aca="false">IF(ISNUMBER($K49),$K49*$H49,"")</f>
        <v>35.83312425</v>
      </c>
      <c r="M49" s="40" t="n">
        <f aca="false">IF(ISNUMBER($K49),$K49*Parâmetros!$B$5,"")</f>
        <v>23.8887495</v>
      </c>
      <c r="N49" s="40" t="n">
        <f aca="false">IF(ISNUMBER($K49),$K49*Parâmetros!$C$5,"")</f>
        <v>7.16662485</v>
      </c>
      <c r="O49" s="40" t="n">
        <f aca="false">IF(ISNUMBER($K49),IF(ISNUMBER(Parâmetros!$E$5),Parâmetros!$E$5,0),"")</f>
        <v>0</v>
      </c>
      <c r="P49" s="41" t="n">
        <f aca="false">IF(ISNUMBER($K49),$K49-$D49-IF(ISNUMBER($E49),$E49,0)-$L49-$M49-$N49-$O49,"")</f>
        <v>48.8389964</v>
      </c>
      <c r="Q49" s="42" t="n">
        <f aca="false">IF(AND(ISNUMBER($K49),$K49&gt;0),$P49/$K49,"")</f>
        <v>0.204443503415698</v>
      </c>
      <c r="R49" s="43"/>
      <c r="S49" s="44" t="str">
        <f aca="false">IF(OR(NOT(ISNUMBER($R49)),$R49=0,NOT(ISNUMBER($K49))),"",$K49*(1-$R49))</f>
        <v/>
      </c>
      <c r="T49" s="45" t="str">
        <f aca="false">IF(ISNUMBER($S49),$S49*$H49,"")</f>
        <v/>
      </c>
      <c r="U49" s="45" t="str">
        <f aca="false">IF(ISNUMBER($S49),$S49*Parâmetros!$B$5,"")</f>
        <v/>
      </c>
      <c r="V49" s="45" t="str">
        <f aca="false">IF(ISNUMBER($S49),$S49*Parâmetros!$C$5,"")</f>
        <v/>
      </c>
      <c r="W49" s="44" t="str">
        <f aca="false">IF(ISNUMBER($S49),$S49-$D49-IF(ISNUMBER($E49),$E49,0)-$O49-$T49-$U49-$V49,"")</f>
        <v/>
      </c>
      <c r="X49" s="46" t="str">
        <f aca="false">IF(AND(ISNUMBER($S49),$S49&gt;0),$W49/$S49,"")</f>
        <v/>
      </c>
      <c r="Y49" s="49" t="s">
        <v>734</v>
      </c>
      <c r="Z49" s="21"/>
    </row>
    <row r="50" customFormat="false" ht="15.75" hidden="false" customHeight="true" outlineLevel="0" collapsed="false">
      <c r="A50" s="32" t="str">
        <f aca="false">IF(Produtos!$A50="","",Produtos!$A50)</f>
        <v>L2440-AML</v>
      </c>
      <c r="B50" s="32" t="str">
        <f aca="false">IF(Produtos!$A50="","",Produtos!$B50)</f>
        <v>Lixeira c/Aro Meia Lua 24x40 20L</v>
      </c>
      <c r="C50" s="32" t="str">
        <f aca="false">IF(Produtos!$A50="","",Produtos!$C50)</f>
        <v>Lixeiras em inox</v>
      </c>
      <c r="D50" s="33" t="n">
        <f aca="false">IF(Produtos!$A50="","",IF(Produtos!$D50="","",Produtos!$D50))</f>
        <v>113.2</v>
      </c>
      <c r="E50" s="11" t="n">
        <v>29.25</v>
      </c>
      <c r="F50" s="34" t="n">
        <f aca="false">IF($A50="","",IF($C50="","⚠ categoria",IFERROR(INDEX(Parâmetros!$C$13:$C$22,MATCH($C50,Parâmetros!$A$13:$A$22,0)),"⚠ categoria")))</f>
        <v>0.18</v>
      </c>
      <c r="G50" s="35" t="n">
        <v>0.15</v>
      </c>
      <c r="H50" s="36" t="n">
        <f aca="false">IF($A50="","",IF(ISNUMBER($G50),$G50,IF(ISNUMBER($F50),$F50,"")))</f>
        <v>0.15</v>
      </c>
      <c r="I50" s="37" t="n">
        <f aca="false">IF(OR($A50="",NOT(ISNUMBER($D50)),NOT(ISNUMBER($H50))),"",IF((1-$H50-Parâmetros!$B$5-Parâmetros!$C$5-Parâmetros!$D$5)&lt;=0,"INVALIDO",($D50+IF(ISNUMBER($E50),$E50,0)+IF(ISNUMBER(Parâmetros!$E$5),Parâmetros!$E$5,0))/(1-$H50-Parâmetros!$B$5-Parâmetros!$C$5-Parâmetros!$D$5)))</f>
        <v>273.942307692308</v>
      </c>
      <c r="J50" s="38" t="n">
        <v>276.7240625</v>
      </c>
      <c r="K50" s="39" t="n">
        <f aca="false">IF(OR($A50="",NOT(ISNUMBER($D50)),NOT(ISNUMBER($H50))),"",IF(AND(ISNUMBER($J50),$J50&gt;0),$J50,IF(ISNUMBER($I50),$I50,"")))</f>
        <v>276.7240625</v>
      </c>
      <c r="L50" s="40" t="n">
        <f aca="false">IF(ISNUMBER($K50),$K50*$H50,"")</f>
        <v>41.508609375</v>
      </c>
      <c r="M50" s="40" t="n">
        <f aca="false">IF(ISNUMBER($K50),$K50*Parâmetros!$B$5,"")</f>
        <v>27.67240625</v>
      </c>
      <c r="N50" s="40" t="n">
        <f aca="false">IF(ISNUMBER($K50),$K50*Parâmetros!$C$5,"")</f>
        <v>8.301721875</v>
      </c>
      <c r="O50" s="40" t="n">
        <f aca="false">IF(ISNUMBER($K50),IF(ISNUMBER(Parâmetros!$E$5),Parâmetros!$E$5,0),"")</f>
        <v>0</v>
      </c>
      <c r="P50" s="41" t="n">
        <f aca="false">IF(ISNUMBER($K50),$K50-$D50-IF(ISNUMBER($E50),$E50,0)-$L50-$M50-$N50-$O50,"")</f>
        <v>56.791325</v>
      </c>
      <c r="Q50" s="42" t="n">
        <f aca="false">IF(AND(ISNUMBER($K50),$K50&gt;0),$P50/$K50,"")</f>
        <v>0.20522727401055</v>
      </c>
      <c r="R50" s="43"/>
      <c r="S50" s="44" t="str">
        <f aca="false">IF(OR(NOT(ISNUMBER($R50)),$R50=0,NOT(ISNUMBER($K50))),"",$K50*(1-$R50))</f>
        <v/>
      </c>
      <c r="T50" s="45" t="str">
        <f aca="false">IF(ISNUMBER($S50),$S50*$H50,"")</f>
        <v/>
      </c>
      <c r="U50" s="45" t="str">
        <f aca="false">IF(ISNUMBER($S50),$S50*Parâmetros!$B$5,"")</f>
        <v/>
      </c>
      <c r="V50" s="45" t="str">
        <f aca="false">IF(ISNUMBER($S50),$S50*Parâmetros!$C$5,"")</f>
        <v/>
      </c>
      <c r="W50" s="44" t="str">
        <f aca="false">IF(ISNUMBER($S50),$S50-$D50-IF(ISNUMBER($E50),$E50,0)-$O50-$T50-$U50-$V50,"")</f>
        <v/>
      </c>
      <c r="X50" s="46" t="str">
        <f aca="false">IF(AND(ISNUMBER($S50),$S50&gt;0),$W50/$S50,"")</f>
        <v/>
      </c>
      <c r="Y50" s="47" t="s">
        <v>734</v>
      </c>
      <c r="Z50" s="19"/>
    </row>
    <row r="51" customFormat="false" ht="15.75" hidden="false" customHeight="true" outlineLevel="0" collapsed="false">
      <c r="A51" s="48" t="str">
        <f aca="false">IF(Produtos!$A51="","",Produtos!$A51)</f>
        <v>L2450-AML</v>
      </c>
      <c r="B51" s="48" t="str">
        <f aca="false">IF(Produtos!$A51="","",Produtos!$B51)</f>
        <v>Lixeira c/Aro Meia Lua 24x50 25L</v>
      </c>
      <c r="C51" s="48" t="str">
        <f aca="false">IF(Produtos!$A51="","",Produtos!$C51)</f>
        <v>Lixeiras em inox</v>
      </c>
      <c r="D51" s="33" t="n">
        <f aca="false">IF(Produtos!$A51="","",IF(Produtos!$D51="","",Produtos!$D51))</f>
        <v>139.49</v>
      </c>
      <c r="E51" s="11" t="n">
        <v>32.45</v>
      </c>
      <c r="F51" s="34" t="n">
        <f aca="false">IF($A51="","",IF($C51="","⚠ categoria",IFERROR(INDEX(Parâmetros!$C$13:$C$22,MATCH($C51,Parâmetros!$A$13:$A$22,0)),"⚠ categoria")))</f>
        <v>0.18</v>
      </c>
      <c r="G51" s="35" t="n">
        <v>0.15</v>
      </c>
      <c r="H51" s="36" t="n">
        <f aca="false">IF($A51="","",IF(ISNUMBER($G51),$G51,IF(ISNUMBER($F51),$F51,"")))</f>
        <v>0.15</v>
      </c>
      <c r="I51" s="37" t="n">
        <f aca="false">IF(OR($A51="",NOT(ISNUMBER($D51)),NOT(ISNUMBER($H51))),"",IF((1-$H51-Parâmetros!$B$5-Parâmetros!$C$5-Parâmetros!$D$5)&lt;=0,"INVALIDO",($D51+IF(ISNUMBER($E51),$E51,0)+IF(ISNUMBER(Parâmetros!$E$5),Parâmetros!$E$5,0))/(1-$H51-Parâmetros!$B$5-Parâmetros!$C$5-Parâmetros!$D$5)))</f>
        <v>330.653846153846</v>
      </c>
      <c r="J51" s="38" t="n">
        <v>335.71125</v>
      </c>
      <c r="K51" s="39" t="n">
        <f aca="false">IF(OR($A51="",NOT(ISNUMBER($D51)),NOT(ISNUMBER($H51))),"",IF(AND(ISNUMBER($J51),$J51&gt;0),$J51,IF(ISNUMBER($I51),$I51,"")))</f>
        <v>335.71125</v>
      </c>
      <c r="L51" s="40" t="n">
        <f aca="false">IF(ISNUMBER($K51),$K51*$H51,"")</f>
        <v>50.3566875</v>
      </c>
      <c r="M51" s="40" t="n">
        <f aca="false">IF(ISNUMBER($K51),$K51*Parâmetros!$B$5,"")</f>
        <v>33.571125</v>
      </c>
      <c r="N51" s="40" t="n">
        <f aca="false">IF(ISNUMBER($K51),$K51*Parâmetros!$C$5,"")</f>
        <v>10.0713375</v>
      </c>
      <c r="O51" s="40" t="n">
        <f aca="false">IF(ISNUMBER($K51),IF(ISNUMBER(Parâmetros!$E$5),Parâmetros!$E$5,0),"")</f>
        <v>0</v>
      </c>
      <c r="P51" s="41" t="n">
        <f aca="false">IF(ISNUMBER($K51),$K51-$D51-IF(ISNUMBER($E51),$E51,0)-$L51-$M51-$N51-$O51,"")</f>
        <v>69.7721000000001</v>
      </c>
      <c r="Q51" s="42" t="n">
        <f aca="false">IF(AND(ISNUMBER($K51),$K51&gt;0),$P51/$K51,"")</f>
        <v>0.207833666581028</v>
      </c>
      <c r="R51" s="43"/>
      <c r="S51" s="44" t="str">
        <f aca="false">IF(OR(NOT(ISNUMBER($R51)),$R51=0,NOT(ISNUMBER($K51))),"",$K51*(1-$R51))</f>
        <v/>
      </c>
      <c r="T51" s="45" t="str">
        <f aca="false">IF(ISNUMBER($S51),$S51*$H51,"")</f>
        <v/>
      </c>
      <c r="U51" s="45" t="str">
        <f aca="false">IF(ISNUMBER($S51),$S51*Parâmetros!$B$5,"")</f>
        <v/>
      </c>
      <c r="V51" s="45" t="str">
        <f aca="false">IF(ISNUMBER($S51),$S51*Parâmetros!$C$5,"")</f>
        <v/>
      </c>
      <c r="W51" s="44" t="str">
        <f aca="false">IF(ISNUMBER($S51),$S51-$D51-IF(ISNUMBER($E51),$E51,0)-$O51-$T51-$U51-$V51,"")</f>
        <v/>
      </c>
      <c r="X51" s="46" t="str">
        <f aca="false">IF(AND(ISNUMBER($S51),$S51&gt;0),$W51/$S51,"")</f>
        <v/>
      </c>
      <c r="Y51" s="49" t="s">
        <v>737</v>
      </c>
      <c r="Z51" s="21"/>
    </row>
    <row r="52" customFormat="false" ht="15.75" hidden="false" customHeight="true" outlineLevel="0" collapsed="false">
      <c r="A52" s="32" t="str">
        <f aca="false">IF(Produtos!$A52="","",Produtos!$A52)</f>
        <v>L2460-AML</v>
      </c>
      <c r="B52" s="32" t="str">
        <f aca="false">IF(Produtos!$A52="","",Produtos!$B52)</f>
        <v>Lixeira c/Aro Meia Lua 24x60 27L</v>
      </c>
      <c r="C52" s="32" t="str">
        <f aca="false">IF(Produtos!$A52="","",Produtos!$C52)</f>
        <v>Lixeiras em inox</v>
      </c>
      <c r="D52" s="33" t="n">
        <f aca="false">IF(Produtos!$A52="","",IF(Produtos!$D52="","",Produtos!$D52))</f>
        <v>140.97</v>
      </c>
      <c r="E52" s="11" t="n">
        <v>40.85</v>
      </c>
      <c r="F52" s="34" t="n">
        <f aca="false">IF($A52="","",IF($C52="","⚠ categoria",IFERROR(INDEX(Parâmetros!$C$13:$C$22,MATCH($C52,Parâmetros!$A$13:$A$22,0)),"⚠ categoria")))</f>
        <v>0.18</v>
      </c>
      <c r="G52" s="35" t="n">
        <v>0.15</v>
      </c>
      <c r="H52" s="36" t="n">
        <f aca="false">IF($A52="","",IF(ISNUMBER($G52),$G52,IF(ISNUMBER($F52),$F52,"")))</f>
        <v>0.15</v>
      </c>
      <c r="I52" s="37" t="n">
        <f aca="false">IF(OR($A52="",NOT(ISNUMBER($D52)),NOT(ISNUMBER($H52))),"",IF((1-$H52-Parâmetros!$B$5-Parâmetros!$C$5-Parâmetros!$D$5)&lt;=0,"INVALIDO",($D52+IF(ISNUMBER($E52),$E52,0)+IF(ISNUMBER(Parâmetros!$E$5),Parâmetros!$E$5,0))/(1-$H52-Parâmetros!$B$5-Parâmetros!$C$5-Parâmetros!$D$5)))</f>
        <v>349.653846153846</v>
      </c>
      <c r="J52" s="38" t="n">
        <v>364.7676375</v>
      </c>
      <c r="K52" s="39" t="n">
        <f aca="false">IF(OR($A52="",NOT(ISNUMBER($D52)),NOT(ISNUMBER($H52))),"",IF(AND(ISNUMBER($J52),$J52&gt;0),$J52,IF(ISNUMBER($I52),$I52,"")))</f>
        <v>364.7676375</v>
      </c>
      <c r="L52" s="40" t="n">
        <f aca="false">IF(ISNUMBER($K52),$K52*$H52,"")</f>
        <v>54.715145625</v>
      </c>
      <c r="M52" s="40" t="n">
        <f aca="false">IF(ISNUMBER($K52),$K52*Parâmetros!$B$5,"")</f>
        <v>36.47676375</v>
      </c>
      <c r="N52" s="40" t="n">
        <f aca="false">IF(ISNUMBER($K52),$K52*Parâmetros!$C$5,"")</f>
        <v>10.943029125</v>
      </c>
      <c r="O52" s="40" t="n">
        <f aca="false">IF(ISNUMBER($K52),IF(ISNUMBER(Parâmetros!$E$5),Parâmetros!$E$5,0),"")</f>
        <v>0</v>
      </c>
      <c r="P52" s="41" t="n">
        <f aca="false">IF(ISNUMBER($K52),$K52-$D52-IF(ISNUMBER($E52),$E52,0)-$L52-$M52-$N52-$O52,"")</f>
        <v>80.812699</v>
      </c>
      <c r="Q52" s="42" t="n">
        <f aca="false">IF(AND(ISNUMBER($K52),$K52&gt;0),$P52/$K52,"")</f>
        <v>0.221545692907036</v>
      </c>
      <c r="R52" s="43"/>
      <c r="S52" s="44" t="str">
        <f aca="false">IF(OR(NOT(ISNUMBER($R52)),$R52=0,NOT(ISNUMBER($K52))),"",$K52*(1-$R52))</f>
        <v/>
      </c>
      <c r="T52" s="45" t="str">
        <f aca="false">IF(ISNUMBER($S52),$S52*$H52,"")</f>
        <v/>
      </c>
      <c r="U52" s="45" t="str">
        <f aca="false">IF(ISNUMBER($S52),$S52*Parâmetros!$B$5,"")</f>
        <v/>
      </c>
      <c r="V52" s="45" t="str">
        <f aca="false">IF(ISNUMBER($S52),$S52*Parâmetros!$C$5,"")</f>
        <v/>
      </c>
      <c r="W52" s="44" t="str">
        <f aca="false">IF(ISNUMBER($S52),$S52-$D52-IF(ISNUMBER($E52),$E52,0)-$O52-$T52-$U52-$V52,"")</f>
        <v/>
      </c>
      <c r="X52" s="46" t="str">
        <f aca="false">IF(AND(ISNUMBER($S52),$S52&gt;0),$W52/$S52,"")</f>
        <v/>
      </c>
      <c r="Y52" s="47" t="s">
        <v>737</v>
      </c>
      <c r="Z52" s="19"/>
    </row>
    <row r="53" customFormat="false" ht="15.75" hidden="false" customHeight="true" outlineLevel="0" collapsed="false">
      <c r="A53" s="48" t="str">
        <f aca="false">IF(Produtos!$A53="","",Produtos!$A53)</f>
        <v>L2470-AML</v>
      </c>
      <c r="B53" s="48" t="str">
        <f aca="false">IF(Produtos!$A53="","",Produtos!$B53)</f>
        <v>Lixeira c/Aro Meia Lua 24x70 30L</v>
      </c>
      <c r="C53" s="48" t="str">
        <f aca="false">IF(Produtos!$A53="","",Produtos!$C53)</f>
        <v>Lixeiras em inox</v>
      </c>
      <c r="D53" s="33" t="n">
        <f aca="false">IF(Produtos!$A53="","",IF(Produtos!$D53="","",Produtos!$D53))</f>
        <v>208.28</v>
      </c>
      <c r="E53" s="11" t="n">
        <v>45.25</v>
      </c>
      <c r="F53" s="34" t="n">
        <f aca="false">IF($A53="","",IF($C53="","⚠ categoria",IFERROR(INDEX(Parâmetros!$C$13:$C$22,MATCH($C53,Parâmetros!$A$13:$A$22,0)),"⚠ categoria")))</f>
        <v>0.18</v>
      </c>
      <c r="G53" s="35" t="n">
        <v>0.15</v>
      </c>
      <c r="H53" s="36" t="n">
        <f aca="false">IF($A53="","",IF(ISNUMBER($G53),$G53,IF(ISNUMBER($F53),$F53,"")))</f>
        <v>0.15</v>
      </c>
      <c r="I53" s="37" t="n">
        <f aca="false">IF(OR($A53="",NOT(ISNUMBER($D53)),NOT(ISNUMBER($H53))),"",IF((1-$H53-Parâmetros!$B$5-Parâmetros!$C$5-Parâmetros!$D$5)&lt;=0,"INVALIDO",($D53+IF(ISNUMBER($E53),$E53,0)+IF(ISNUMBER(Parâmetros!$E$5),Parâmetros!$E$5,0))/(1-$H53-Parâmetros!$B$5-Parâmetros!$C$5-Parâmetros!$D$5)))</f>
        <v>487.557692307692</v>
      </c>
      <c r="J53" s="38" t="n">
        <v>496.29699</v>
      </c>
      <c r="K53" s="39" t="n">
        <f aca="false">IF(OR($A53="",NOT(ISNUMBER($D53)),NOT(ISNUMBER($H53))),"",IF(AND(ISNUMBER($J53),$J53&gt;0),$J53,IF(ISNUMBER($I53),$I53,"")))</f>
        <v>496.29699</v>
      </c>
      <c r="L53" s="40" t="n">
        <f aca="false">IF(ISNUMBER($K53),$K53*$H53,"")</f>
        <v>74.4445485</v>
      </c>
      <c r="M53" s="40" t="n">
        <f aca="false">IF(ISNUMBER($K53),$K53*Parâmetros!$B$5,"")</f>
        <v>49.629699</v>
      </c>
      <c r="N53" s="40" t="n">
        <f aca="false">IF(ISNUMBER($K53),$K53*Parâmetros!$C$5,"")</f>
        <v>14.8889097</v>
      </c>
      <c r="O53" s="40" t="n">
        <f aca="false">IF(ISNUMBER($K53),IF(ISNUMBER(Parâmetros!$E$5),Parâmetros!$E$5,0),"")</f>
        <v>0</v>
      </c>
      <c r="P53" s="41" t="n">
        <f aca="false">IF(ISNUMBER($K53),$K53-$D53-IF(ISNUMBER($E53),$E53,0)-$L53-$M53-$N53-$O53,"")</f>
        <v>103.8038328</v>
      </c>
      <c r="Q53" s="42" t="n">
        <f aca="false">IF(AND(ISNUMBER($K53),$K53&gt;0),$P53/$K53,"")</f>
        <v>0.209156684186217</v>
      </c>
      <c r="R53" s="43"/>
      <c r="S53" s="44" t="str">
        <f aca="false">IF(OR(NOT(ISNUMBER($R53)),$R53=0,NOT(ISNUMBER($K53))),"",$K53*(1-$R53))</f>
        <v/>
      </c>
      <c r="T53" s="45" t="str">
        <f aca="false">IF(ISNUMBER($S53),$S53*$H53,"")</f>
        <v/>
      </c>
      <c r="U53" s="45" t="str">
        <f aca="false">IF(ISNUMBER($S53),$S53*Parâmetros!$B$5,"")</f>
        <v/>
      </c>
      <c r="V53" s="45" t="str">
        <f aca="false">IF(ISNUMBER($S53),$S53*Parâmetros!$C$5,"")</f>
        <v/>
      </c>
      <c r="W53" s="44" t="str">
        <f aca="false">IF(ISNUMBER($S53),$S53-$D53-IF(ISNUMBER($E53),$E53,0)-$O53-$T53-$U53-$V53,"")</f>
        <v/>
      </c>
      <c r="X53" s="46" t="str">
        <f aca="false">IF(AND(ISNUMBER($S53),$S53&gt;0),$W53/$S53,"")</f>
        <v/>
      </c>
      <c r="Y53" s="49" t="s">
        <v>737</v>
      </c>
      <c r="Z53" s="21"/>
    </row>
    <row r="54" customFormat="false" ht="15.75" hidden="false" customHeight="true" outlineLevel="0" collapsed="false">
      <c r="A54" s="32" t="str">
        <f aca="false">IF(Produtos!$A54="","",Produtos!$A54)</f>
        <v>L3040-AML</v>
      </c>
      <c r="B54" s="32" t="str">
        <f aca="false">IF(Produtos!$A54="","",Produtos!$B54)</f>
        <v>Lixeira c/Aro Meia Lua 30x40 30L</v>
      </c>
      <c r="C54" s="32" t="str">
        <f aca="false">IF(Produtos!$A54="","",Produtos!$C54)</f>
        <v>Lixeiras em inox</v>
      </c>
      <c r="D54" s="33" t="n">
        <f aca="false">IF(Produtos!$A54="","",IF(Produtos!$D54="","",Produtos!$D54))</f>
        <v>161.26</v>
      </c>
      <c r="E54" s="11"/>
      <c r="F54" s="34" t="n">
        <f aca="false">IF($A54="","",IF($C54="","⚠ categoria",IFERROR(INDEX(Parâmetros!$C$13:$C$22,MATCH($C54,Parâmetros!$A$13:$A$22,0)),"⚠ categoria")))</f>
        <v>0.18</v>
      </c>
      <c r="G54" s="35"/>
      <c r="H54" s="36" t="n">
        <f aca="false">IF($A54="","",IF(ISNUMBER($G54),$G54,IF(ISNUMBER($F54),$F54,"")))</f>
        <v>0.18</v>
      </c>
      <c r="I54" s="37" t="n">
        <f aca="false">IF(OR($A54="",NOT(ISNUMBER($D54)),NOT(ISNUMBER($H54))),"",IF((1-$H54-Parâmetros!$B$5-Parâmetros!$C$5-Parâmetros!$D$5)&lt;=0,"INVALIDO",($D54+IF(ISNUMBER($E54),$E54,0)+IF(ISNUMBER(Parâmetros!$E$5),Parâmetros!$E$5,0))/(1-$H54-Parâmetros!$B$5-Parâmetros!$C$5-Parâmetros!$D$5)))</f>
        <v>329.102040816327</v>
      </c>
      <c r="J54" s="38"/>
      <c r="K54" s="39" t="n">
        <f aca="false">IF(OR($A54="",NOT(ISNUMBER($D54)),NOT(ISNUMBER($H54))),"",IF(AND(ISNUMBER($J54),$J54&gt;0),$J54,IF(ISNUMBER($I54),$I54,"")))</f>
        <v>329.102040816327</v>
      </c>
      <c r="L54" s="40" t="n">
        <f aca="false">IF(ISNUMBER($K54),$K54*$H54,"")</f>
        <v>59.2383673469388</v>
      </c>
      <c r="M54" s="40" t="n">
        <f aca="false">IF(ISNUMBER($K54),$K54*Parâmetros!$B$5,"")</f>
        <v>32.9102040816327</v>
      </c>
      <c r="N54" s="40" t="n">
        <f aca="false">IF(ISNUMBER($K54),$K54*Parâmetros!$C$5,"")</f>
        <v>9.8730612244898</v>
      </c>
      <c r="O54" s="40" t="n">
        <f aca="false">IF(ISNUMBER($K54),IF(ISNUMBER(Parâmetros!$E$5),Parâmetros!$E$5,0),"")</f>
        <v>0</v>
      </c>
      <c r="P54" s="41" t="n">
        <f aca="false">IF(ISNUMBER($K54),$K54-$D54-IF(ISNUMBER($E54),$E54,0)-$L54-$M54-$N54-$O54,"")</f>
        <v>65.8204081632653</v>
      </c>
      <c r="Q54" s="42" t="n">
        <f aca="false">IF(AND(ISNUMBER($K54),$K54&gt;0),$P54/$K54,"")</f>
        <v>0.2</v>
      </c>
      <c r="R54" s="43"/>
      <c r="S54" s="44" t="str">
        <f aca="false">IF(OR(NOT(ISNUMBER($R54)),$R54=0,NOT(ISNUMBER($K54))),"",$K54*(1-$R54))</f>
        <v/>
      </c>
      <c r="T54" s="45" t="str">
        <f aca="false">IF(ISNUMBER($S54),$S54*$H54,"")</f>
        <v/>
      </c>
      <c r="U54" s="45" t="str">
        <f aca="false">IF(ISNUMBER($S54),$S54*Parâmetros!$B$5,"")</f>
        <v/>
      </c>
      <c r="V54" s="45" t="str">
        <f aca="false">IF(ISNUMBER($S54),$S54*Parâmetros!$C$5,"")</f>
        <v/>
      </c>
      <c r="W54" s="44" t="str">
        <f aca="false">IF(ISNUMBER($S54),$S54-$D54-IF(ISNUMBER($E54),$E54,0)-$O54-$T54-$U54-$V54,"")</f>
        <v/>
      </c>
      <c r="X54" s="46" t="str">
        <f aca="false">IF(AND(ISNUMBER($S54),$S54&gt;0),$W54/$S54,"")</f>
        <v/>
      </c>
      <c r="Y54" s="47"/>
      <c r="Z54" s="19"/>
    </row>
    <row r="55" customFormat="false" ht="15.75" hidden="false" customHeight="true" outlineLevel="0" collapsed="false">
      <c r="A55" s="48" t="str">
        <f aca="false">IF(Produtos!$A55="","",Produtos!$A55)</f>
        <v>L3050-AML</v>
      </c>
      <c r="B55" s="48" t="str">
        <f aca="false">IF(Produtos!$A55="","",Produtos!$B55)</f>
        <v>Lixeira c/Aro Meia Lua 30x50 35L</v>
      </c>
      <c r="C55" s="48" t="str">
        <f aca="false">IF(Produtos!$A55="","",Produtos!$C55)</f>
        <v>Lixeiras em inox</v>
      </c>
      <c r="D55" s="33" t="n">
        <f aca="false">IF(Produtos!$A55="","",IF(Produtos!$D55="","",Produtos!$D55))</f>
        <v>205.71</v>
      </c>
      <c r="E55" s="11"/>
      <c r="F55" s="34" t="n">
        <f aca="false">IF($A55="","",IF($C55="","⚠ categoria",IFERROR(INDEX(Parâmetros!$C$13:$C$22,MATCH($C55,Parâmetros!$A$13:$A$22,0)),"⚠ categoria")))</f>
        <v>0.18</v>
      </c>
      <c r="G55" s="35"/>
      <c r="H55" s="36" t="n">
        <f aca="false">IF($A55="","",IF(ISNUMBER($G55),$G55,IF(ISNUMBER($F55),$F55,"")))</f>
        <v>0.18</v>
      </c>
      <c r="I55" s="37" t="n">
        <f aca="false">IF(OR($A55="",NOT(ISNUMBER($D55)),NOT(ISNUMBER($H55))),"",IF((1-$H55-Parâmetros!$B$5-Parâmetros!$C$5-Parâmetros!$D$5)&lt;=0,"INVALIDO",($D55+IF(ISNUMBER($E55),$E55,0)+IF(ISNUMBER(Parâmetros!$E$5),Parâmetros!$E$5,0))/(1-$H55-Parâmetros!$B$5-Parâmetros!$C$5-Parâmetros!$D$5)))</f>
        <v>419.816326530612</v>
      </c>
      <c r="J55" s="38"/>
      <c r="K55" s="39" t="n">
        <f aca="false">IF(OR($A55="",NOT(ISNUMBER($D55)),NOT(ISNUMBER($H55))),"",IF(AND(ISNUMBER($J55),$J55&gt;0),$J55,IF(ISNUMBER($I55),$I55,"")))</f>
        <v>419.816326530612</v>
      </c>
      <c r="L55" s="40" t="n">
        <f aca="false">IF(ISNUMBER($K55),$K55*$H55,"")</f>
        <v>75.5669387755102</v>
      </c>
      <c r="M55" s="40" t="n">
        <f aca="false">IF(ISNUMBER($K55),$K55*Parâmetros!$B$5,"")</f>
        <v>41.9816326530612</v>
      </c>
      <c r="N55" s="40" t="n">
        <f aca="false">IF(ISNUMBER($K55),$K55*Parâmetros!$C$5,"")</f>
        <v>12.5944897959184</v>
      </c>
      <c r="O55" s="40" t="n">
        <f aca="false">IF(ISNUMBER($K55),IF(ISNUMBER(Parâmetros!$E$5),Parâmetros!$E$5,0),"")</f>
        <v>0</v>
      </c>
      <c r="P55" s="41" t="n">
        <f aca="false">IF(ISNUMBER($K55),$K55-$D55-IF(ISNUMBER($E55),$E55,0)-$L55-$M55-$N55-$O55,"")</f>
        <v>83.9632653061225</v>
      </c>
      <c r="Q55" s="42" t="n">
        <f aca="false">IF(AND(ISNUMBER($K55),$K55&gt;0),$P55/$K55,"")</f>
        <v>0.2</v>
      </c>
      <c r="R55" s="43"/>
      <c r="S55" s="44" t="str">
        <f aca="false">IF(OR(NOT(ISNUMBER($R55)),$R55=0,NOT(ISNUMBER($K55))),"",$K55*(1-$R55))</f>
        <v/>
      </c>
      <c r="T55" s="45" t="str">
        <f aca="false">IF(ISNUMBER($S55),$S55*$H55,"")</f>
        <v/>
      </c>
      <c r="U55" s="45" t="str">
        <f aca="false">IF(ISNUMBER($S55),$S55*Parâmetros!$B$5,"")</f>
        <v/>
      </c>
      <c r="V55" s="45" t="str">
        <f aca="false">IF(ISNUMBER($S55),$S55*Parâmetros!$C$5,"")</f>
        <v/>
      </c>
      <c r="W55" s="44" t="str">
        <f aca="false">IF(ISNUMBER($S55),$S55-$D55-IF(ISNUMBER($E55),$E55,0)-$O55-$T55-$U55-$V55,"")</f>
        <v/>
      </c>
      <c r="X55" s="46" t="str">
        <f aca="false">IF(AND(ISNUMBER($S55),$S55&gt;0),$W55/$S55,"")</f>
        <v/>
      </c>
      <c r="Y55" s="49"/>
      <c r="Z55" s="21"/>
    </row>
    <row r="56" customFormat="false" ht="15.75" hidden="false" customHeight="true" outlineLevel="0" collapsed="false">
      <c r="A56" s="32" t="str">
        <f aca="false">IF(Produtos!$A56="","",Produtos!$A56)</f>
        <v>L3060-AML</v>
      </c>
      <c r="B56" s="32" t="str">
        <f aca="false">IF(Produtos!$A56="","",Produtos!$B56)</f>
        <v>Lixeira c/Aro Meia Lua 30x60 40L</v>
      </c>
      <c r="C56" s="32" t="str">
        <f aca="false">IF(Produtos!$A56="","",Produtos!$C56)</f>
        <v>Lixeiras em inox</v>
      </c>
      <c r="D56" s="33" t="n">
        <f aca="false">IF(Produtos!$A56="","",IF(Produtos!$D56="","",Produtos!$D56))</f>
        <v>235.28</v>
      </c>
      <c r="E56" s="11"/>
      <c r="F56" s="34" t="n">
        <f aca="false">IF($A56="","",IF($C56="","⚠ categoria",IFERROR(INDEX(Parâmetros!$C$13:$C$22,MATCH($C56,Parâmetros!$A$13:$A$22,0)),"⚠ categoria")))</f>
        <v>0.18</v>
      </c>
      <c r="G56" s="35"/>
      <c r="H56" s="36" t="n">
        <f aca="false">IF($A56="","",IF(ISNUMBER($G56),$G56,IF(ISNUMBER($F56),$F56,"")))</f>
        <v>0.18</v>
      </c>
      <c r="I56" s="37" t="n">
        <f aca="false">IF(OR($A56="",NOT(ISNUMBER($D56)),NOT(ISNUMBER($H56))),"",IF((1-$H56-Parâmetros!$B$5-Parâmetros!$C$5-Parâmetros!$D$5)&lt;=0,"INVALIDO",($D56+IF(ISNUMBER($E56),$E56,0)+IF(ISNUMBER(Parâmetros!$E$5),Parâmetros!$E$5,0))/(1-$H56-Parâmetros!$B$5-Parâmetros!$C$5-Parâmetros!$D$5)))</f>
        <v>480.163265306122</v>
      </c>
      <c r="J56" s="38"/>
      <c r="K56" s="39" t="n">
        <f aca="false">IF(OR($A56="",NOT(ISNUMBER($D56)),NOT(ISNUMBER($H56))),"",IF(AND(ISNUMBER($J56),$J56&gt;0),$J56,IF(ISNUMBER($I56),$I56,"")))</f>
        <v>480.163265306122</v>
      </c>
      <c r="L56" s="40" t="n">
        <f aca="false">IF(ISNUMBER($K56),$K56*$H56,"")</f>
        <v>86.429387755102</v>
      </c>
      <c r="M56" s="40" t="n">
        <f aca="false">IF(ISNUMBER($K56),$K56*Parâmetros!$B$5,"")</f>
        <v>48.0163265306123</v>
      </c>
      <c r="N56" s="40" t="n">
        <f aca="false">IF(ISNUMBER($K56),$K56*Parâmetros!$C$5,"")</f>
        <v>14.4048979591837</v>
      </c>
      <c r="O56" s="40" t="n">
        <f aca="false">IF(ISNUMBER($K56),IF(ISNUMBER(Parâmetros!$E$5),Parâmetros!$E$5,0),"")</f>
        <v>0</v>
      </c>
      <c r="P56" s="41" t="n">
        <f aca="false">IF(ISNUMBER($K56),$K56-$D56-IF(ISNUMBER($E56),$E56,0)-$L56-$M56-$N56-$O56,"")</f>
        <v>96.0326530612245</v>
      </c>
      <c r="Q56" s="42" t="n">
        <f aca="false">IF(AND(ISNUMBER($K56),$K56&gt;0),$P56/$K56,"")</f>
        <v>0.2</v>
      </c>
      <c r="R56" s="43"/>
      <c r="S56" s="44" t="str">
        <f aca="false">IF(OR(NOT(ISNUMBER($R56)),$R56=0,NOT(ISNUMBER($K56))),"",$K56*(1-$R56))</f>
        <v/>
      </c>
      <c r="T56" s="45" t="str">
        <f aca="false">IF(ISNUMBER($S56),$S56*$H56,"")</f>
        <v/>
      </c>
      <c r="U56" s="45" t="str">
        <f aca="false">IF(ISNUMBER($S56),$S56*Parâmetros!$B$5,"")</f>
        <v/>
      </c>
      <c r="V56" s="45" t="str">
        <f aca="false">IF(ISNUMBER($S56),$S56*Parâmetros!$C$5,"")</f>
        <v/>
      </c>
      <c r="W56" s="44" t="str">
        <f aca="false">IF(ISNUMBER($S56),$S56-$D56-IF(ISNUMBER($E56),$E56,0)-$O56-$T56-$U56-$V56,"")</f>
        <v/>
      </c>
      <c r="X56" s="46" t="str">
        <f aca="false">IF(AND(ISNUMBER($S56),$S56&gt;0),$W56/$S56,"")</f>
        <v/>
      </c>
      <c r="Y56" s="47"/>
      <c r="Z56" s="19"/>
    </row>
    <row r="57" customFormat="false" ht="15.75" hidden="false" customHeight="true" outlineLevel="0" collapsed="false">
      <c r="A57" s="48" t="str">
        <f aca="false">IF(Produtos!$A57="","",Produtos!$A57)</f>
        <v>L3070-AML</v>
      </c>
      <c r="B57" s="48" t="str">
        <f aca="false">IF(Produtos!$A57="","",Produtos!$B57)</f>
        <v>Lixeira c/Aro Meia Lua 30x70 50L</v>
      </c>
      <c r="C57" s="48" t="str">
        <f aca="false">IF(Produtos!$A57="","",Produtos!$C57)</f>
        <v>Lixeiras em inox</v>
      </c>
      <c r="D57" s="33" t="n">
        <f aca="false">IF(Produtos!$A57="","",IF(Produtos!$D57="","",Produtos!$D57))</f>
        <v>269.82</v>
      </c>
      <c r="E57" s="11" t="n">
        <v>69.35</v>
      </c>
      <c r="F57" s="34" t="n">
        <f aca="false">IF($A57="","",IF($C57="","⚠ categoria",IFERROR(INDEX(Parâmetros!$C$13:$C$22,MATCH($C57,Parâmetros!$A$13:$A$22,0)),"⚠ categoria")))</f>
        <v>0.18</v>
      </c>
      <c r="G57" s="35" t="n">
        <v>0.15</v>
      </c>
      <c r="H57" s="36" t="n">
        <f aca="false">IF($A57="","",IF(ISNUMBER($G57),$G57,IF(ISNUMBER($F57),$F57,"")))</f>
        <v>0.15</v>
      </c>
      <c r="I57" s="37" t="n">
        <f aca="false">IF(OR($A57="",NOT(ISNUMBER($D57)),NOT(ISNUMBER($H57))),"",IF((1-$H57-Parâmetros!$B$5-Parâmetros!$C$5-Parâmetros!$D$5)&lt;=0,"INVALIDO",($D57+IF(ISNUMBER($E57),$E57,0)+IF(ISNUMBER(Parâmetros!$E$5),Parâmetros!$E$5,0))/(1-$H57-Parâmetros!$B$5-Parâmetros!$C$5-Parâmetros!$D$5)))</f>
        <v>652.25</v>
      </c>
      <c r="J57" s="38" t="n">
        <v>639.73665</v>
      </c>
      <c r="K57" s="39" t="n">
        <f aca="false">IF(OR($A57="",NOT(ISNUMBER($D57)),NOT(ISNUMBER($H57))),"",IF(AND(ISNUMBER($J57),$J57&gt;0),$J57,IF(ISNUMBER($I57),$I57,"")))</f>
        <v>639.73665</v>
      </c>
      <c r="L57" s="40" t="n">
        <f aca="false">IF(ISNUMBER($K57),$K57*$H57,"")</f>
        <v>95.9604975</v>
      </c>
      <c r="M57" s="40" t="n">
        <f aca="false">IF(ISNUMBER($K57),$K57*Parâmetros!$B$5,"")</f>
        <v>63.973665</v>
      </c>
      <c r="N57" s="40" t="n">
        <f aca="false">IF(ISNUMBER($K57),$K57*Parâmetros!$C$5,"")</f>
        <v>19.1920995</v>
      </c>
      <c r="O57" s="40" t="n">
        <f aca="false">IF(ISNUMBER($K57),IF(ISNUMBER(Parâmetros!$E$5),Parâmetros!$E$5,0),"")</f>
        <v>0</v>
      </c>
      <c r="P57" s="41" t="n">
        <f aca="false">IF(ISNUMBER($K57),$K57-$D57-IF(ISNUMBER($E57),$E57,0)-$L57-$M57-$N57-$O57,"")</f>
        <v>121.440388</v>
      </c>
      <c r="Q57" s="42" t="n">
        <f aca="false">IF(AND(ISNUMBER($K57),$K57&gt;0),$P57/$K57,"")</f>
        <v>0.189828717801302</v>
      </c>
      <c r="R57" s="43"/>
      <c r="S57" s="44" t="str">
        <f aca="false">IF(OR(NOT(ISNUMBER($R57)),$R57=0,NOT(ISNUMBER($K57))),"",$K57*(1-$R57))</f>
        <v/>
      </c>
      <c r="T57" s="45" t="str">
        <f aca="false">IF(ISNUMBER($S57),$S57*$H57,"")</f>
        <v/>
      </c>
      <c r="U57" s="45" t="str">
        <f aca="false">IF(ISNUMBER($S57),$S57*Parâmetros!$B$5,"")</f>
        <v/>
      </c>
      <c r="V57" s="45" t="str">
        <f aca="false">IF(ISNUMBER($S57),$S57*Parâmetros!$C$5,"")</f>
        <v/>
      </c>
      <c r="W57" s="44" t="str">
        <f aca="false">IF(ISNUMBER($S57),$S57-$D57-IF(ISNUMBER($E57),$E57,0)-$O57-$T57-$U57-$V57,"")</f>
        <v/>
      </c>
      <c r="X57" s="46" t="str">
        <f aca="false">IF(AND(ISNUMBER($S57),$S57&gt;0),$W57/$S57,"")</f>
        <v/>
      </c>
      <c r="Y57" s="49" t="s">
        <v>737</v>
      </c>
      <c r="Z57" s="21"/>
    </row>
    <row r="58" customFormat="false" ht="15.75" hidden="false" customHeight="true" outlineLevel="0" collapsed="false">
      <c r="A58" s="32" t="str">
        <f aca="false">IF(Produtos!$A58="","",Produtos!$A58)</f>
        <v>L3085-AML</v>
      </c>
      <c r="B58" s="32" t="str">
        <f aca="false">IF(Produtos!$A58="","",Produtos!$B58)</f>
        <v>Lixeira c/Aro Meia Lua 30x85 60L</v>
      </c>
      <c r="C58" s="32" t="str">
        <f aca="false">IF(Produtos!$A58="","",Produtos!$C58)</f>
        <v>Lixeiras em inox</v>
      </c>
      <c r="D58" s="33" t="n">
        <f aca="false">IF(Produtos!$A58="","",IF(Produtos!$D58="","",Produtos!$D58))</f>
        <v>360.65</v>
      </c>
      <c r="E58" s="11"/>
      <c r="F58" s="34" t="n">
        <f aca="false">IF($A58="","",IF($C58="","⚠ categoria",IFERROR(INDEX(Parâmetros!$C$13:$C$22,MATCH($C58,Parâmetros!$A$13:$A$22,0)),"⚠ categoria")))</f>
        <v>0.18</v>
      </c>
      <c r="G58" s="35"/>
      <c r="H58" s="36" t="n">
        <f aca="false">IF($A58="","",IF(ISNUMBER($G58),$G58,IF(ISNUMBER($F58),$F58,"")))</f>
        <v>0.18</v>
      </c>
      <c r="I58" s="37" t="n">
        <f aca="false">IF(OR($A58="",NOT(ISNUMBER($D58)),NOT(ISNUMBER($H58))),"",IF((1-$H58-Parâmetros!$B$5-Parâmetros!$C$5-Parâmetros!$D$5)&lt;=0,"INVALIDO",($D58+IF(ISNUMBER($E58),$E58,0)+IF(ISNUMBER(Parâmetros!$E$5),Parâmetros!$E$5,0))/(1-$H58-Parâmetros!$B$5-Parâmetros!$C$5-Parâmetros!$D$5)))</f>
        <v>736.020408163265</v>
      </c>
      <c r="J58" s="38"/>
      <c r="K58" s="39" t="n">
        <f aca="false">IF(OR($A58="",NOT(ISNUMBER($D58)),NOT(ISNUMBER($H58))),"",IF(AND(ISNUMBER($J58),$J58&gt;0),$J58,IF(ISNUMBER($I58),$I58,"")))</f>
        <v>736.020408163265</v>
      </c>
      <c r="L58" s="40" t="n">
        <f aca="false">IF(ISNUMBER($K58),$K58*$H58,"")</f>
        <v>132.483673469388</v>
      </c>
      <c r="M58" s="40" t="n">
        <f aca="false">IF(ISNUMBER($K58),$K58*Parâmetros!$B$5,"")</f>
        <v>73.6020408163265</v>
      </c>
      <c r="N58" s="40" t="n">
        <f aca="false">IF(ISNUMBER($K58),$K58*Parâmetros!$C$5,"")</f>
        <v>22.080612244898</v>
      </c>
      <c r="O58" s="40" t="n">
        <f aca="false">IF(ISNUMBER($K58),IF(ISNUMBER(Parâmetros!$E$5),Parâmetros!$E$5,0),"")</f>
        <v>0</v>
      </c>
      <c r="P58" s="41" t="n">
        <f aca="false">IF(ISNUMBER($K58),$K58-$D58-IF(ISNUMBER($E58),$E58,0)-$L58-$M58-$N58-$O58,"")</f>
        <v>147.204081632653</v>
      </c>
      <c r="Q58" s="42" t="n">
        <f aca="false">IF(AND(ISNUMBER($K58),$K58&gt;0),$P58/$K58,"")</f>
        <v>0.2</v>
      </c>
      <c r="R58" s="43"/>
      <c r="S58" s="44" t="str">
        <f aca="false">IF(OR(NOT(ISNUMBER($R58)),$R58=0,NOT(ISNUMBER($K58))),"",$K58*(1-$R58))</f>
        <v/>
      </c>
      <c r="T58" s="45" t="str">
        <f aca="false">IF(ISNUMBER($S58),$S58*$H58,"")</f>
        <v/>
      </c>
      <c r="U58" s="45" t="str">
        <f aca="false">IF(ISNUMBER($S58),$S58*Parâmetros!$B$5,"")</f>
        <v/>
      </c>
      <c r="V58" s="45" t="str">
        <f aca="false">IF(ISNUMBER($S58),$S58*Parâmetros!$C$5,"")</f>
        <v/>
      </c>
      <c r="W58" s="44" t="str">
        <f aca="false">IF(ISNUMBER($S58),$S58-$D58-IF(ISNUMBER($E58),$E58,0)-$O58-$T58-$U58-$V58,"")</f>
        <v/>
      </c>
      <c r="X58" s="46" t="str">
        <f aca="false">IF(AND(ISNUMBER($S58),$S58&gt;0),$W58/$S58,"")</f>
        <v/>
      </c>
      <c r="Y58" s="47"/>
      <c r="Z58" s="19"/>
    </row>
    <row r="59" customFormat="false" ht="15.75" hidden="false" customHeight="true" outlineLevel="0" collapsed="false">
      <c r="A59" s="48" t="str">
        <f aca="false">IF(Produtos!$A59="","",Produtos!$A59)</f>
        <v>L4050-AML</v>
      </c>
      <c r="B59" s="48" t="str">
        <f aca="false">IF(Produtos!$A59="","",Produtos!$B59)</f>
        <v>Lixeira c/Aro Meia Lua 40x50 62L</v>
      </c>
      <c r="C59" s="48" t="str">
        <f aca="false">IF(Produtos!$A59="","",Produtos!$C59)</f>
        <v>Lixeiras em inox</v>
      </c>
      <c r="D59" s="33" t="n">
        <f aca="false">IF(Produtos!$A59="","",IF(Produtos!$D59="","",Produtos!$D59))</f>
        <v>305.35</v>
      </c>
      <c r="E59" s="11"/>
      <c r="F59" s="34" t="n">
        <f aca="false">IF($A59="","",IF($C59="","⚠ categoria",IFERROR(INDEX(Parâmetros!$C$13:$C$22,MATCH($C59,Parâmetros!$A$13:$A$22,0)),"⚠ categoria")))</f>
        <v>0.18</v>
      </c>
      <c r="G59" s="35"/>
      <c r="H59" s="36" t="n">
        <f aca="false">IF($A59="","",IF(ISNUMBER($G59),$G59,IF(ISNUMBER($F59),$F59,"")))</f>
        <v>0.18</v>
      </c>
      <c r="I59" s="37" t="n">
        <f aca="false">IF(OR($A59="",NOT(ISNUMBER($D59)),NOT(ISNUMBER($H59))),"",IF((1-$H59-Parâmetros!$B$5-Parâmetros!$C$5-Parâmetros!$D$5)&lt;=0,"INVALIDO",($D59+IF(ISNUMBER($E59),$E59,0)+IF(ISNUMBER(Parâmetros!$E$5),Parâmetros!$E$5,0))/(1-$H59-Parâmetros!$B$5-Parâmetros!$C$5-Parâmetros!$D$5)))</f>
        <v>623.163265306122</v>
      </c>
      <c r="J59" s="38"/>
      <c r="K59" s="39" t="n">
        <f aca="false">IF(OR($A59="",NOT(ISNUMBER($D59)),NOT(ISNUMBER($H59))),"",IF(AND(ISNUMBER($J59),$J59&gt;0),$J59,IF(ISNUMBER($I59),$I59,"")))</f>
        <v>623.163265306122</v>
      </c>
      <c r="L59" s="40" t="n">
        <f aca="false">IF(ISNUMBER($K59),$K59*$H59,"")</f>
        <v>112.169387755102</v>
      </c>
      <c r="M59" s="40" t="n">
        <f aca="false">IF(ISNUMBER($K59),$K59*Parâmetros!$B$5,"")</f>
        <v>62.3163265306122</v>
      </c>
      <c r="N59" s="40" t="n">
        <f aca="false">IF(ISNUMBER($K59),$K59*Parâmetros!$C$5,"")</f>
        <v>18.6948979591837</v>
      </c>
      <c r="O59" s="40" t="n">
        <f aca="false">IF(ISNUMBER($K59),IF(ISNUMBER(Parâmetros!$E$5),Parâmetros!$E$5,0),"")</f>
        <v>0</v>
      </c>
      <c r="P59" s="41" t="n">
        <f aca="false">IF(ISNUMBER($K59),$K59-$D59-IF(ISNUMBER($E59),$E59,0)-$L59-$M59-$N59-$O59,"")</f>
        <v>124.632653061224</v>
      </c>
      <c r="Q59" s="42" t="n">
        <f aca="false">IF(AND(ISNUMBER($K59),$K59&gt;0),$P59/$K59,"")</f>
        <v>0.2</v>
      </c>
      <c r="R59" s="43"/>
      <c r="S59" s="44" t="str">
        <f aca="false">IF(OR(NOT(ISNUMBER($R59)),$R59=0,NOT(ISNUMBER($K59))),"",$K59*(1-$R59))</f>
        <v/>
      </c>
      <c r="T59" s="45" t="str">
        <f aca="false">IF(ISNUMBER($S59),$S59*$H59,"")</f>
        <v/>
      </c>
      <c r="U59" s="45" t="str">
        <f aca="false">IF(ISNUMBER($S59),$S59*Parâmetros!$B$5,"")</f>
        <v/>
      </c>
      <c r="V59" s="45" t="str">
        <f aca="false">IF(ISNUMBER($S59),$S59*Parâmetros!$C$5,"")</f>
        <v/>
      </c>
      <c r="W59" s="44" t="str">
        <f aca="false">IF(ISNUMBER($S59),$S59-$D59-IF(ISNUMBER($E59),$E59,0)-$O59-$T59-$U59-$V59,"")</f>
        <v/>
      </c>
      <c r="X59" s="46" t="str">
        <f aca="false">IF(AND(ISNUMBER($S59),$S59&gt;0),$W59/$S59,"")</f>
        <v/>
      </c>
      <c r="Y59" s="49"/>
      <c r="Z59" s="21"/>
    </row>
    <row r="60" customFormat="false" ht="15.75" hidden="false" customHeight="true" outlineLevel="0" collapsed="false">
      <c r="A60" s="32" t="str">
        <f aca="false">IF(Produtos!$A60="","",Produtos!$A60)</f>
        <v>L4060-AML</v>
      </c>
      <c r="B60" s="32" t="str">
        <f aca="false">IF(Produtos!$A60="","",Produtos!$B60)</f>
        <v>Lixeira c/Aro Meia Lua 40x60 75L</v>
      </c>
      <c r="C60" s="32" t="str">
        <f aca="false">IF(Produtos!$A60="","",Produtos!$C60)</f>
        <v>Lixeiras em inox</v>
      </c>
      <c r="D60" s="33" t="n">
        <f aca="false">IF(Produtos!$A60="","",IF(Produtos!$D60="","",Produtos!$D60))</f>
        <v>342.54</v>
      </c>
      <c r="E60" s="11"/>
      <c r="F60" s="34" t="n">
        <f aca="false">IF($A60="","",IF($C60="","⚠ categoria",IFERROR(INDEX(Parâmetros!$C$13:$C$22,MATCH($C60,Parâmetros!$A$13:$A$22,0)),"⚠ categoria")))</f>
        <v>0.18</v>
      </c>
      <c r="G60" s="35"/>
      <c r="H60" s="36" t="n">
        <f aca="false">IF($A60="","",IF(ISNUMBER($G60),$G60,IF(ISNUMBER($F60),$F60,"")))</f>
        <v>0.18</v>
      </c>
      <c r="I60" s="37" t="n">
        <f aca="false">IF(OR($A60="",NOT(ISNUMBER($D60)),NOT(ISNUMBER($H60))),"",IF((1-$H60-Parâmetros!$B$5-Parâmetros!$C$5-Parâmetros!$D$5)&lt;=0,"INVALIDO",($D60+IF(ISNUMBER($E60),$E60,0)+IF(ISNUMBER(Parâmetros!$E$5),Parâmetros!$E$5,0))/(1-$H60-Parâmetros!$B$5-Parâmetros!$C$5-Parâmetros!$D$5)))</f>
        <v>699.061224489796</v>
      </c>
      <c r="J60" s="38"/>
      <c r="K60" s="39" t="n">
        <f aca="false">IF(OR($A60="",NOT(ISNUMBER($D60)),NOT(ISNUMBER($H60))),"",IF(AND(ISNUMBER($J60),$J60&gt;0),$J60,IF(ISNUMBER($I60),$I60,"")))</f>
        <v>699.061224489796</v>
      </c>
      <c r="L60" s="40" t="n">
        <f aca="false">IF(ISNUMBER($K60),$K60*$H60,"")</f>
        <v>125.831020408163</v>
      </c>
      <c r="M60" s="40" t="n">
        <f aca="false">IF(ISNUMBER($K60),$K60*Parâmetros!$B$5,"")</f>
        <v>69.9061224489796</v>
      </c>
      <c r="N60" s="40" t="n">
        <f aca="false">IF(ISNUMBER($K60),$K60*Parâmetros!$C$5,"")</f>
        <v>20.9718367346939</v>
      </c>
      <c r="O60" s="40" t="n">
        <f aca="false">IF(ISNUMBER($K60),IF(ISNUMBER(Parâmetros!$E$5),Parâmetros!$E$5,0),"")</f>
        <v>0</v>
      </c>
      <c r="P60" s="41" t="n">
        <f aca="false">IF(ISNUMBER($K60),$K60-$D60-IF(ISNUMBER($E60),$E60,0)-$L60-$M60-$N60-$O60,"")</f>
        <v>139.812244897959</v>
      </c>
      <c r="Q60" s="42" t="n">
        <f aca="false">IF(AND(ISNUMBER($K60),$K60&gt;0),$P60/$K60,"")</f>
        <v>0.2</v>
      </c>
      <c r="R60" s="43"/>
      <c r="S60" s="44" t="str">
        <f aca="false">IF(OR(NOT(ISNUMBER($R60)),$R60=0,NOT(ISNUMBER($K60))),"",$K60*(1-$R60))</f>
        <v/>
      </c>
      <c r="T60" s="45" t="str">
        <f aca="false">IF(ISNUMBER($S60),$S60*$H60,"")</f>
        <v/>
      </c>
      <c r="U60" s="45" t="str">
        <f aca="false">IF(ISNUMBER($S60),$S60*Parâmetros!$B$5,"")</f>
        <v/>
      </c>
      <c r="V60" s="45" t="str">
        <f aca="false">IF(ISNUMBER($S60),$S60*Parâmetros!$C$5,"")</f>
        <v/>
      </c>
      <c r="W60" s="44" t="str">
        <f aca="false">IF(ISNUMBER($S60),$S60-$D60-IF(ISNUMBER($E60),$E60,0)-$O60-$T60-$U60-$V60,"")</f>
        <v/>
      </c>
      <c r="X60" s="46" t="str">
        <f aca="false">IF(AND(ISNUMBER($S60),$S60&gt;0),$W60/$S60,"")</f>
        <v/>
      </c>
      <c r="Y60" s="47"/>
      <c r="Z60" s="19"/>
    </row>
    <row r="61" customFormat="false" ht="15.75" hidden="false" customHeight="true" outlineLevel="0" collapsed="false">
      <c r="A61" s="48" t="str">
        <f aca="false">IF(Produtos!$A61="","",Produtos!$A61)</f>
        <v>L4070-AML</v>
      </c>
      <c r="B61" s="48" t="str">
        <f aca="false">IF(Produtos!$A61="","",Produtos!$B61)</f>
        <v>Lixeira c/Aro Meia Lua 40x70 88L</v>
      </c>
      <c r="C61" s="48" t="str">
        <f aca="false">IF(Produtos!$A61="","",Produtos!$C61)</f>
        <v>Lixeiras em inox</v>
      </c>
      <c r="D61" s="33" t="n">
        <f aca="false">IF(Produtos!$A61="","",IF(Produtos!$D61="","",Produtos!$D61))</f>
        <v>348.66</v>
      </c>
      <c r="E61" s="11"/>
      <c r="F61" s="34" t="n">
        <f aca="false">IF($A61="","",IF($C61="","⚠ categoria",IFERROR(INDEX(Parâmetros!$C$13:$C$22,MATCH($C61,Parâmetros!$A$13:$A$22,0)),"⚠ categoria")))</f>
        <v>0.18</v>
      </c>
      <c r="G61" s="35"/>
      <c r="H61" s="36" t="n">
        <f aca="false">IF($A61="","",IF(ISNUMBER($G61),$G61,IF(ISNUMBER($F61),$F61,"")))</f>
        <v>0.18</v>
      </c>
      <c r="I61" s="37" t="n">
        <f aca="false">IF(OR($A61="",NOT(ISNUMBER($D61)),NOT(ISNUMBER($H61))),"",IF((1-$H61-Parâmetros!$B$5-Parâmetros!$C$5-Parâmetros!$D$5)&lt;=0,"INVALIDO",($D61+IF(ISNUMBER($E61),$E61,0)+IF(ISNUMBER(Parâmetros!$E$5),Parâmetros!$E$5,0))/(1-$H61-Parâmetros!$B$5-Parâmetros!$C$5-Parâmetros!$D$5)))</f>
        <v>711.551020408163</v>
      </c>
      <c r="J61" s="38"/>
      <c r="K61" s="39" t="n">
        <f aca="false">IF(OR($A61="",NOT(ISNUMBER($D61)),NOT(ISNUMBER($H61))),"",IF(AND(ISNUMBER($J61),$J61&gt;0),$J61,IF(ISNUMBER($I61),$I61,"")))</f>
        <v>711.551020408163</v>
      </c>
      <c r="L61" s="40" t="n">
        <f aca="false">IF(ISNUMBER($K61),$K61*$H61,"")</f>
        <v>128.079183673469</v>
      </c>
      <c r="M61" s="40" t="n">
        <f aca="false">IF(ISNUMBER($K61),$K61*Parâmetros!$B$5,"")</f>
        <v>71.1551020408163</v>
      </c>
      <c r="N61" s="40" t="n">
        <f aca="false">IF(ISNUMBER($K61),$K61*Parâmetros!$C$5,"")</f>
        <v>21.3465306122449</v>
      </c>
      <c r="O61" s="40" t="n">
        <f aca="false">IF(ISNUMBER($K61),IF(ISNUMBER(Parâmetros!$E$5),Parâmetros!$E$5,0),"")</f>
        <v>0</v>
      </c>
      <c r="P61" s="41" t="n">
        <f aca="false">IF(ISNUMBER($K61),$K61-$D61-IF(ISNUMBER($E61),$E61,0)-$L61-$M61-$N61-$O61,"")</f>
        <v>142.310204081633</v>
      </c>
      <c r="Q61" s="42" t="n">
        <f aca="false">IF(AND(ISNUMBER($K61),$K61&gt;0),$P61/$K61,"")</f>
        <v>0.2</v>
      </c>
      <c r="R61" s="43"/>
      <c r="S61" s="44" t="str">
        <f aca="false">IF(OR(NOT(ISNUMBER($R61)),$R61=0,NOT(ISNUMBER($K61))),"",$K61*(1-$R61))</f>
        <v/>
      </c>
      <c r="T61" s="45" t="str">
        <f aca="false">IF(ISNUMBER($S61),$S61*$H61,"")</f>
        <v/>
      </c>
      <c r="U61" s="45" t="str">
        <f aca="false">IF(ISNUMBER($S61),$S61*Parâmetros!$B$5,"")</f>
        <v/>
      </c>
      <c r="V61" s="45" t="str">
        <f aca="false">IF(ISNUMBER($S61),$S61*Parâmetros!$C$5,"")</f>
        <v/>
      </c>
      <c r="W61" s="44" t="str">
        <f aca="false">IF(ISNUMBER($S61),$S61-$D61-IF(ISNUMBER($E61),$E61,0)-$O61-$T61-$U61-$V61,"")</f>
        <v/>
      </c>
      <c r="X61" s="46" t="str">
        <f aca="false">IF(AND(ISNUMBER($S61),$S61&gt;0),$W61/$S61,"")</f>
        <v/>
      </c>
      <c r="Y61" s="49"/>
      <c r="Z61" s="21"/>
    </row>
    <row r="62" customFormat="false" ht="15.75" hidden="false" customHeight="true" outlineLevel="0" collapsed="false">
      <c r="A62" s="32" t="str">
        <f aca="false">IF(Produtos!$A62="","",Produtos!$A62)</f>
        <v>L4075-AML</v>
      </c>
      <c r="B62" s="32" t="str">
        <f aca="false">IF(Produtos!$A62="","",Produtos!$B62)</f>
        <v>Lixeira c/Aro Meia Lua 40x75 95L</v>
      </c>
      <c r="C62" s="32" t="str">
        <f aca="false">IF(Produtos!$A62="","",Produtos!$C62)</f>
        <v>Lixeiras em inox</v>
      </c>
      <c r="D62" s="33" t="n">
        <f aca="false">IF(Produtos!$A62="","",IF(Produtos!$D62="","",Produtos!$D62))</f>
        <v>408.87</v>
      </c>
      <c r="E62" s="11"/>
      <c r="F62" s="34" t="n">
        <f aca="false">IF($A62="","",IF($C62="","⚠ categoria",IFERROR(INDEX(Parâmetros!$C$13:$C$22,MATCH($C62,Parâmetros!$A$13:$A$22,0)),"⚠ categoria")))</f>
        <v>0.18</v>
      </c>
      <c r="G62" s="35"/>
      <c r="H62" s="36" t="n">
        <f aca="false">IF($A62="","",IF(ISNUMBER($G62),$G62,IF(ISNUMBER($F62),$F62,"")))</f>
        <v>0.18</v>
      </c>
      <c r="I62" s="37" t="n">
        <f aca="false">IF(OR($A62="",NOT(ISNUMBER($D62)),NOT(ISNUMBER($H62))),"",IF((1-$H62-Parâmetros!$B$5-Parâmetros!$C$5-Parâmetros!$D$5)&lt;=0,"INVALIDO",($D62+IF(ISNUMBER($E62),$E62,0)+IF(ISNUMBER(Parâmetros!$E$5),Parâmetros!$E$5,0))/(1-$H62-Parâmetros!$B$5-Parâmetros!$C$5-Parâmetros!$D$5)))</f>
        <v>834.428571428571</v>
      </c>
      <c r="J62" s="38"/>
      <c r="K62" s="39" t="n">
        <f aca="false">IF(OR($A62="",NOT(ISNUMBER($D62)),NOT(ISNUMBER($H62))),"",IF(AND(ISNUMBER($J62),$J62&gt;0),$J62,IF(ISNUMBER($I62),$I62,"")))</f>
        <v>834.428571428571</v>
      </c>
      <c r="L62" s="40" t="n">
        <f aca="false">IF(ISNUMBER($K62),$K62*$H62,"")</f>
        <v>150.197142857143</v>
      </c>
      <c r="M62" s="40" t="n">
        <f aca="false">IF(ISNUMBER($K62),$K62*Parâmetros!$B$5,"")</f>
        <v>83.4428571428571</v>
      </c>
      <c r="N62" s="40" t="n">
        <f aca="false">IF(ISNUMBER($K62),$K62*Parâmetros!$C$5,"")</f>
        <v>25.0328571428571</v>
      </c>
      <c r="O62" s="40" t="n">
        <f aca="false">IF(ISNUMBER($K62),IF(ISNUMBER(Parâmetros!$E$5),Parâmetros!$E$5,0),"")</f>
        <v>0</v>
      </c>
      <c r="P62" s="41" t="n">
        <f aca="false">IF(ISNUMBER($K62),$K62-$D62-IF(ISNUMBER($E62),$E62,0)-$L62-$M62-$N62-$O62,"")</f>
        <v>166.885714285714</v>
      </c>
      <c r="Q62" s="42" t="n">
        <f aca="false">IF(AND(ISNUMBER($K62),$K62&gt;0),$P62/$K62,"")</f>
        <v>0.2</v>
      </c>
      <c r="R62" s="43"/>
      <c r="S62" s="44" t="str">
        <f aca="false">IF(OR(NOT(ISNUMBER($R62)),$R62=0,NOT(ISNUMBER($K62))),"",$K62*(1-$R62))</f>
        <v/>
      </c>
      <c r="T62" s="45" t="str">
        <f aca="false">IF(ISNUMBER($S62),$S62*$H62,"")</f>
        <v/>
      </c>
      <c r="U62" s="45" t="str">
        <f aca="false">IF(ISNUMBER($S62),$S62*Parâmetros!$B$5,"")</f>
        <v/>
      </c>
      <c r="V62" s="45" t="str">
        <f aca="false">IF(ISNUMBER($S62),$S62*Parâmetros!$C$5,"")</f>
        <v/>
      </c>
      <c r="W62" s="44" t="str">
        <f aca="false">IF(ISNUMBER($S62),$S62-$D62-IF(ISNUMBER($E62),$E62,0)-$O62-$T62-$U62-$V62,"")</f>
        <v/>
      </c>
      <c r="X62" s="46" t="str">
        <f aca="false">IF(AND(ISNUMBER($S62),$S62&gt;0),$W62/$S62,"")</f>
        <v/>
      </c>
      <c r="Y62" s="47"/>
      <c r="Z62" s="19"/>
    </row>
    <row r="63" customFormat="false" ht="15.75" hidden="false" customHeight="true" outlineLevel="0" collapsed="false">
      <c r="A63" s="48" t="str">
        <f aca="false">IF(Produtos!$A63="","",Produtos!$A63)</f>
        <v>L4080-AML</v>
      </c>
      <c r="B63" s="48" t="str">
        <f aca="false">IF(Produtos!$A63="","",Produtos!$B63)</f>
        <v>Lixeira c/Aro Meia Lua 40x80 100L</v>
      </c>
      <c r="C63" s="48" t="str">
        <f aca="false">IF(Produtos!$A63="","",Produtos!$C63)</f>
        <v>Lixeiras em inox</v>
      </c>
      <c r="D63" s="33" t="n">
        <f aca="false">IF(Produtos!$A63="","",IF(Produtos!$D63="","",Produtos!$D63))</f>
        <v>411.4</v>
      </c>
      <c r="E63" s="11" t="n">
        <v>106.85</v>
      </c>
      <c r="F63" s="34" t="n">
        <f aca="false">IF($A63="","",IF($C63="","⚠ categoria",IFERROR(INDEX(Parâmetros!$C$13:$C$22,MATCH($C63,Parâmetros!$A$13:$A$22,0)),"⚠ categoria")))</f>
        <v>0.18</v>
      </c>
      <c r="G63" s="35"/>
      <c r="H63" s="36" t="n">
        <f aca="false">IF($A63="","",IF(ISNUMBER($G63),$G63,IF(ISNUMBER($F63),$F63,"")))</f>
        <v>0.18</v>
      </c>
      <c r="I63" s="37" t="n">
        <f aca="false">IF(OR($A63="",NOT(ISNUMBER($D63)),NOT(ISNUMBER($H63))),"",IF((1-$H63-Parâmetros!$B$5-Parâmetros!$C$5-Parâmetros!$D$5)&lt;=0,"INVALIDO",($D63+IF(ISNUMBER($E63),$E63,0)+IF(ISNUMBER(Parâmetros!$E$5),Parâmetros!$E$5,0))/(1-$H63-Parâmetros!$B$5-Parâmetros!$C$5-Parâmetros!$D$5)))</f>
        <v>1057.65306122449</v>
      </c>
      <c r="J63" s="38" t="n">
        <v>953.06715</v>
      </c>
      <c r="K63" s="39" t="n">
        <f aca="false">IF(OR($A63="",NOT(ISNUMBER($D63)),NOT(ISNUMBER($H63))),"",IF(AND(ISNUMBER($J63),$J63&gt;0),$J63,IF(ISNUMBER($I63),$I63,"")))</f>
        <v>953.06715</v>
      </c>
      <c r="L63" s="40" t="n">
        <f aca="false">IF(ISNUMBER($K63),$K63*$H63,"")</f>
        <v>171.552087</v>
      </c>
      <c r="M63" s="40" t="n">
        <f aca="false">IF(ISNUMBER($K63),$K63*Parâmetros!$B$5,"")</f>
        <v>95.306715</v>
      </c>
      <c r="N63" s="40" t="n">
        <f aca="false">IF(ISNUMBER($K63),$K63*Parâmetros!$C$5,"")</f>
        <v>28.5920145</v>
      </c>
      <c r="O63" s="40" t="n">
        <f aca="false">IF(ISNUMBER($K63),IF(ISNUMBER(Parâmetros!$E$5),Parâmetros!$E$5,0),"")</f>
        <v>0</v>
      </c>
      <c r="P63" s="41" t="n">
        <f aca="false">IF(ISNUMBER($K63),$K63-$D63-IF(ISNUMBER($E63),$E63,0)-$L63-$M63-$N63-$O63,"")</f>
        <v>139.3663335</v>
      </c>
      <c r="Q63" s="42" t="n">
        <f aca="false">IF(AND(ISNUMBER($K63),$K63&gt;0),$P63/$K63,"")</f>
        <v>0.146229290874206</v>
      </c>
      <c r="R63" s="43"/>
      <c r="S63" s="44" t="str">
        <f aca="false">IF(OR(NOT(ISNUMBER($R63)),$R63=0,NOT(ISNUMBER($K63))),"",$K63*(1-$R63))</f>
        <v/>
      </c>
      <c r="T63" s="45" t="str">
        <f aca="false">IF(ISNUMBER($S63),$S63*$H63,"")</f>
        <v/>
      </c>
      <c r="U63" s="45" t="str">
        <f aca="false">IF(ISNUMBER($S63),$S63*Parâmetros!$B$5,"")</f>
        <v/>
      </c>
      <c r="V63" s="45" t="str">
        <f aca="false">IF(ISNUMBER($S63),$S63*Parâmetros!$C$5,"")</f>
        <v/>
      </c>
      <c r="W63" s="44" t="str">
        <f aca="false">IF(ISNUMBER($S63),$S63-$D63-IF(ISNUMBER($E63),$E63,0)-$O63-$T63-$U63-$V63,"")</f>
        <v/>
      </c>
      <c r="X63" s="46" t="str">
        <f aca="false">IF(AND(ISNUMBER($S63),$S63&gt;0),$W63/$S63,"")</f>
        <v/>
      </c>
      <c r="Y63" s="49" t="s">
        <v>737</v>
      </c>
      <c r="Z63" s="21"/>
    </row>
    <row r="64" customFormat="false" ht="15.75" hidden="false" customHeight="true" outlineLevel="0" collapsed="false">
      <c r="A64" s="32" t="str">
        <f aca="false">IF(Produtos!$A64="","",Produtos!$A64)</f>
        <v>L4090-AML</v>
      </c>
      <c r="B64" s="32" t="str">
        <f aca="false">IF(Produtos!$A64="","",Produtos!$B64)</f>
        <v>Lixeira c/Aro Meia Lua 40x90 120L</v>
      </c>
      <c r="C64" s="32" t="str">
        <f aca="false">IF(Produtos!$A64="","",Produtos!$C64)</f>
        <v>Lixeiras em inox</v>
      </c>
      <c r="D64" s="33" t="n">
        <f aca="false">IF(Produtos!$A64="","",IF(Produtos!$D64="","",Produtos!$D64))</f>
        <v>442.44</v>
      </c>
      <c r="E64" s="11"/>
      <c r="F64" s="34" t="n">
        <f aca="false">IF($A64="","",IF($C64="","⚠ categoria",IFERROR(INDEX(Parâmetros!$C$13:$C$22,MATCH($C64,Parâmetros!$A$13:$A$22,0)),"⚠ categoria")))</f>
        <v>0.18</v>
      </c>
      <c r="G64" s="35"/>
      <c r="H64" s="36" t="n">
        <f aca="false">IF($A64="","",IF(ISNUMBER($G64),$G64,IF(ISNUMBER($F64),$F64,"")))</f>
        <v>0.18</v>
      </c>
      <c r="I64" s="37" t="n">
        <f aca="false">IF(OR($A64="",NOT(ISNUMBER($D64)),NOT(ISNUMBER($H64))),"",IF((1-$H64-Parâmetros!$B$5-Parâmetros!$C$5-Parâmetros!$D$5)&lt;=0,"INVALIDO",($D64+IF(ISNUMBER($E64),$E64,0)+IF(ISNUMBER(Parâmetros!$E$5),Parâmetros!$E$5,0))/(1-$H64-Parâmetros!$B$5-Parâmetros!$C$5-Parâmetros!$D$5)))</f>
        <v>902.938775510204</v>
      </c>
      <c r="J64" s="38"/>
      <c r="K64" s="39" t="n">
        <f aca="false">IF(OR($A64="",NOT(ISNUMBER($D64)),NOT(ISNUMBER($H64))),"",IF(AND(ISNUMBER($J64),$J64&gt;0),$J64,IF(ISNUMBER($I64),$I64,"")))</f>
        <v>902.938775510204</v>
      </c>
      <c r="L64" s="40" t="n">
        <f aca="false">IF(ISNUMBER($K64),$K64*$H64,"")</f>
        <v>162.528979591837</v>
      </c>
      <c r="M64" s="40" t="n">
        <f aca="false">IF(ISNUMBER($K64),$K64*Parâmetros!$B$5,"")</f>
        <v>90.2938775510204</v>
      </c>
      <c r="N64" s="40" t="n">
        <f aca="false">IF(ISNUMBER($K64),$K64*Parâmetros!$C$5,"")</f>
        <v>27.0881632653061</v>
      </c>
      <c r="O64" s="40" t="n">
        <f aca="false">IF(ISNUMBER($K64),IF(ISNUMBER(Parâmetros!$E$5),Parâmetros!$E$5,0),"")</f>
        <v>0</v>
      </c>
      <c r="P64" s="41" t="n">
        <f aca="false">IF(ISNUMBER($K64),$K64-$D64-IF(ISNUMBER($E64),$E64,0)-$L64-$M64-$N64-$O64,"")</f>
        <v>180.587755102041</v>
      </c>
      <c r="Q64" s="42" t="n">
        <f aca="false">IF(AND(ISNUMBER($K64),$K64&gt;0),$P64/$K64,"")</f>
        <v>0.2</v>
      </c>
      <c r="R64" s="43"/>
      <c r="S64" s="44" t="str">
        <f aca="false">IF(OR(NOT(ISNUMBER($R64)),$R64=0,NOT(ISNUMBER($K64))),"",$K64*(1-$R64))</f>
        <v/>
      </c>
      <c r="T64" s="45" t="str">
        <f aca="false">IF(ISNUMBER($S64),$S64*$H64,"")</f>
        <v/>
      </c>
      <c r="U64" s="45" t="str">
        <f aca="false">IF(ISNUMBER($S64),$S64*Parâmetros!$B$5,"")</f>
        <v/>
      </c>
      <c r="V64" s="45" t="str">
        <f aca="false">IF(ISNUMBER($S64),$S64*Parâmetros!$C$5,"")</f>
        <v/>
      </c>
      <c r="W64" s="44" t="str">
        <f aca="false">IF(ISNUMBER($S64),$S64-$D64-IF(ISNUMBER($E64),$E64,0)-$O64-$T64-$U64-$V64,"")</f>
        <v/>
      </c>
      <c r="X64" s="46" t="str">
        <f aca="false">IF(AND(ISNUMBER($S64),$S64&gt;0),$W64/$S64,"")</f>
        <v/>
      </c>
      <c r="Y64" s="47"/>
      <c r="Z64" s="19"/>
    </row>
    <row r="65" customFormat="false" ht="15.75" hidden="false" customHeight="true" outlineLevel="0" collapsed="false">
      <c r="A65" s="48" t="str">
        <f aca="false">IF(Produtos!$A65="","",Produtos!$A65)</f>
        <v>L1618-B</v>
      </c>
      <c r="B65" s="48" t="str">
        <f aca="false">IF(Produtos!$A65="","",Produtos!$B65)</f>
        <v>Lixeira c/Aro Basculante 16x18 03L</v>
      </c>
      <c r="C65" s="48" t="str">
        <f aca="false">IF(Produtos!$A65="","",Produtos!$C65)</f>
        <v>Lixeiras em inox</v>
      </c>
      <c r="D65" s="33" t="n">
        <f aca="false">IF(Produtos!$A65="","",IF(Produtos!$D65="","",Produtos!$D65))</f>
        <v>60.62</v>
      </c>
      <c r="E65" s="11" t="n">
        <v>21.75</v>
      </c>
      <c r="F65" s="34" t="n">
        <f aca="false">IF($A65="","",IF($C65="","⚠ categoria",IFERROR(INDEX(Parâmetros!$C$13:$C$22,MATCH($C65,Parâmetros!$A$13:$A$22,0)),"⚠ categoria")))</f>
        <v>0.18</v>
      </c>
      <c r="G65" s="35" t="n">
        <v>0.15</v>
      </c>
      <c r="H65" s="36" t="n">
        <f aca="false">IF($A65="","",IF(ISNUMBER($G65),$G65,IF(ISNUMBER($F65),$F65,"")))</f>
        <v>0.15</v>
      </c>
      <c r="I65" s="37" t="n">
        <f aca="false">IF(OR($A65="",NOT(ISNUMBER($D65)),NOT(ISNUMBER($H65))),"",IF((1-$H65-Parâmetros!$B$5-Parâmetros!$C$5-Parâmetros!$D$5)&lt;=0,"INVALIDO",($D65+IF(ISNUMBER($E65),$E65,0)+IF(ISNUMBER(Parâmetros!$E$5),Parâmetros!$E$5,0))/(1-$H65-Parâmetros!$B$5-Parâmetros!$C$5-Parâmetros!$D$5)))</f>
        <v>158.403846153846</v>
      </c>
      <c r="J65" s="38" t="n">
        <v>160.89</v>
      </c>
      <c r="K65" s="39" t="n">
        <f aca="false">IF(OR($A65="",NOT(ISNUMBER($D65)),NOT(ISNUMBER($H65))),"",IF(AND(ISNUMBER($J65),$J65&gt;0),$J65,IF(ISNUMBER($I65),$I65,"")))</f>
        <v>160.89</v>
      </c>
      <c r="L65" s="40" t="n">
        <f aca="false">IF(ISNUMBER($K65),$K65*$H65,"")</f>
        <v>24.1335</v>
      </c>
      <c r="M65" s="40" t="n">
        <f aca="false">IF(ISNUMBER($K65),$K65*Parâmetros!$B$5,"")</f>
        <v>16.089</v>
      </c>
      <c r="N65" s="40" t="n">
        <f aca="false">IF(ISNUMBER($K65),$K65*Parâmetros!$C$5,"")</f>
        <v>4.8267</v>
      </c>
      <c r="O65" s="40" t="n">
        <f aca="false">IF(ISNUMBER($K65),IF(ISNUMBER(Parâmetros!$E$5),Parâmetros!$E$5,0),"")</f>
        <v>0</v>
      </c>
      <c r="P65" s="41" t="n">
        <f aca="false">IF(ISNUMBER($K65),$K65-$D65-IF(ISNUMBER($E65),$E65,0)-$L65-$M65-$N65-$O65,"")</f>
        <v>33.4708</v>
      </c>
      <c r="Q65" s="42" t="n">
        <f aca="false">IF(AND(ISNUMBER($K65),$K65&gt;0),$P65/$K65,"")</f>
        <v>0.208035303623594</v>
      </c>
      <c r="R65" s="43"/>
      <c r="S65" s="44" t="str">
        <f aca="false">IF(OR(NOT(ISNUMBER($R65)),$R65=0,NOT(ISNUMBER($K65))),"",$K65*(1-$R65))</f>
        <v/>
      </c>
      <c r="T65" s="45" t="str">
        <f aca="false">IF(ISNUMBER($S65),$S65*$H65,"")</f>
        <v/>
      </c>
      <c r="U65" s="45" t="str">
        <f aca="false">IF(ISNUMBER($S65),$S65*Parâmetros!$B$5,"")</f>
        <v/>
      </c>
      <c r="V65" s="45" t="str">
        <f aca="false">IF(ISNUMBER($S65),$S65*Parâmetros!$C$5,"")</f>
        <v/>
      </c>
      <c r="W65" s="44" t="str">
        <f aca="false">IF(ISNUMBER($S65),$S65-$D65-IF(ISNUMBER($E65),$E65,0)-$O65-$T65-$U65-$V65,"")</f>
        <v/>
      </c>
      <c r="X65" s="46" t="str">
        <f aca="false">IF(AND(ISNUMBER($S65),$S65&gt;0),$W65/$S65,"")</f>
        <v/>
      </c>
      <c r="Y65" s="49" t="s">
        <v>737</v>
      </c>
      <c r="Z65" s="21"/>
    </row>
    <row r="66" customFormat="false" ht="15.75" hidden="false" customHeight="true" outlineLevel="0" collapsed="false">
      <c r="A66" s="32" t="str">
        <f aca="false">IF(Produtos!$A66="","",Produtos!$A66)</f>
        <v>L1623-B</v>
      </c>
      <c r="B66" s="32" t="str">
        <f aca="false">IF(Produtos!$A66="","",Produtos!$B66)</f>
        <v>Lixeira c/Aro Basculante 16x23 05L</v>
      </c>
      <c r="C66" s="32" t="str">
        <f aca="false">IF(Produtos!$A66="","",Produtos!$C66)</f>
        <v>Lixeiras em inox</v>
      </c>
      <c r="D66" s="33" t="n">
        <f aca="false">IF(Produtos!$A66="","",IF(Produtos!$D66="","",Produtos!$D66))</f>
        <v>65.95</v>
      </c>
      <c r="E66" s="11" t="n">
        <v>21.75</v>
      </c>
      <c r="F66" s="34" t="n">
        <f aca="false">IF($A66="","",IF($C66="","⚠ categoria",IFERROR(INDEX(Parâmetros!$C$13:$C$22,MATCH($C66,Parâmetros!$A$13:$A$22,0)),"⚠ categoria")))</f>
        <v>0.18</v>
      </c>
      <c r="G66" s="35" t="n">
        <v>0.15</v>
      </c>
      <c r="H66" s="36" t="n">
        <f aca="false">IF($A66="","",IF(ISNUMBER($G66),$G66,IF(ISNUMBER($F66),$F66,"")))</f>
        <v>0.15</v>
      </c>
      <c r="I66" s="37" t="n">
        <f aca="false">IF(OR($A66="",NOT(ISNUMBER($D66)),NOT(ISNUMBER($H66))),"",IF((1-$H66-Parâmetros!$B$5-Parâmetros!$C$5-Parâmetros!$D$5)&lt;=0,"INVALIDO",($D66+IF(ISNUMBER($E66),$E66,0)+IF(ISNUMBER(Parâmetros!$E$5),Parâmetros!$E$5,0))/(1-$H66-Parâmetros!$B$5-Parâmetros!$C$5-Parâmetros!$D$5)))</f>
        <v>168.653846153846</v>
      </c>
      <c r="J66" s="38" t="n">
        <v>175.079205</v>
      </c>
      <c r="K66" s="39" t="n">
        <f aca="false">IF(OR($A66="",NOT(ISNUMBER($D66)),NOT(ISNUMBER($H66))),"",IF(AND(ISNUMBER($J66),$J66&gt;0),$J66,IF(ISNUMBER($I66),$I66,"")))</f>
        <v>175.079205</v>
      </c>
      <c r="L66" s="40" t="n">
        <f aca="false">IF(ISNUMBER($K66),$K66*$H66,"")</f>
        <v>26.26188075</v>
      </c>
      <c r="M66" s="40" t="n">
        <f aca="false">IF(ISNUMBER($K66),$K66*Parâmetros!$B$5,"")</f>
        <v>17.5079205</v>
      </c>
      <c r="N66" s="40" t="n">
        <f aca="false">IF(ISNUMBER($K66),$K66*Parâmetros!$C$5,"")</f>
        <v>5.25237615</v>
      </c>
      <c r="O66" s="40" t="n">
        <f aca="false">IF(ISNUMBER($K66),IF(ISNUMBER(Parâmetros!$E$5),Parâmetros!$E$5,0),"")</f>
        <v>0</v>
      </c>
      <c r="P66" s="41" t="n">
        <f aca="false">IF(ISNUMBER($K66),$K66-$D66-IF(ISNUMBER($E66),$E66,0)-$L66-$M66-$N66-$O66,"")</f>
        <v>38.3570276</v>
      </c>
      <c r="Q66" s="42" t="n">
        <f aca="false">IF(AND(ISNUMBER($K66),$K66&gt;0),$P66/$K66,"")</f>
        <v>0.219083857503237</v>
      </c>
      <c r="R66" s="43"/>
      <c r="S66" s="44" t="str">
        <f aca="false">IF(OR(NOT(ISNUMBER($R66)),$R66=0,NOT(ISNUMBER($K66))),"",$K66*(1-$R66))</f>
        <v/>
      </c>
      <c r="T66" s="45" t="str">
        <f aca="false">IF(ISNUMBER($S66),$S66*$H66,"")</f>
        <v/>
      </c>
      <c r="U66" s="45" t="str">
        <f aca="false">IF(ISNUMBER($S66),$S66*Parâmetros!$B$5,"")</f>
        <v/>
      </c>
      <c r="V66" s="45" t="str">
        <f aca="false">IF(ISNUMBER($S66),$S66*Parâmetros!$C$5,"")</f>
        <v/>
      </c>
      <c r="W66" s="44" t="str">
        <f aca="false">IF(ISNUMBER($S66),$S66-$D66-IF(ISNUMBER($E66),$E66,0)-$O66-$T66-$U66-$V66,"")</f>
        <v/>
      </c>
      <c r="X66" s="46" t="str">
        <f aca="false">IF(AND(ISNUMBER($S66),$S66&gt;0),$W66/$S66,"")</f>
        <v/>
      </c>
      <c r="Y66" s="47" t="s">
        <v>737</v>
      </c>
      <c r="Z66" s="19"/>
    </row>
    <row r="67" customFormat="false" ht="15.75" hidden="false" customHeight="true" outlineLevel="0" collapsed="false">
      <c r="A67" s="48" t="str">
        <f aca="false">IF(Produtos!$A67="","",Produtos!$A67)</f>
        <v>L2025-B</v>
      </c>
      <c r="B67" s="48" t="str">
        <f aca="false">IF(Produtos!$A67="","",Produtos!$B67)</f>
        <v>Lixeira c/Aro Basculante 20x25 07L</v>
      </c>
      <c r="C67" s="48" t="str">
        <f aca="false">IF(Produtos!$A67="","",Produtos!$C67)</f>
        <v>Lixeiras em inox</v>
      </c>
      <c r="D67" s="33" t="n">
        <f aca="false">IF(Produtos!$A67="","",IF(Produtos!$D67="","",Produtos!$D67))</f>
        <v>69.52</v>
      </c>
      <c r="E67" s="11" t="n">
        <v>24.35</v>
      </c>
      <c r="F67" s="34" t="n">
        <f aca="false">IF($A67="","",IF($C67="","⚠ categoria",IFERROR(INDEX(Parâmetros!$C$13:$C$22,MATCH($C67,Parâmetros!$A$13:$A$22,0)),"⚠ categoria")))</f>
        <v>0.18</v>
      </c>
      <c r="G67" s="35" t="n">
        <v>0.15</v>
      </c>
      <c r="H67" s="36" t="n">
        <f aca="false">IF($A67="","",IF(ISNUMBER($G67),$G67,IF(ISNUMBER($F67),$F67,"")))</f>
        <v>0.15</v>
      </c>
      <c r="I67" s="37" t="n">
        <f aca="false">IF(OR($A67="",NOT(ISNUMBER($D67)),NOT(ISNUMBER($H67))),"",IF((1-$H67-Parâmetros!$B$5-Parâmetros!$C$5-Parâmetros!$D$5)&lt;=0,"INVALIDO",($D67+IF(ISNUMBER($E67),$E67,0)+IF(ISNUMBER(Parâmetros!$E$5),Parâmetros!$E$5,0))/(1-$H67-Parâmetros!$B$5-Parâmetros!$C$5-Parâmetros!$D$5)))</f>
        <v>180.519230769231</v>
      </c>
      <c r="J67" s="38" t="n">
        <v>180.9</v>
      </c>
      <c r="K67" s="39" t="n">
        <f aca="false">IF(OR($A67="",NOT(ISNUMBER($D67)),NOT(ISNUMBER($H67))),"",IF(AND(ISNUMBER($J67),$J67&gt;0),$J67,IF(ISNUMBER($I67),$I67,"")))</f>
        <v>180.9</v>
      </c>
      <c r="L67" s="40" t="n">
        <f aca="false">IF(ISNUMBER($K67),$K67*$H67,"")</f>
        <v>27.135</v>
      </c>
      <c r="M67" s="40" t="n">
        <f aca="false">IF(ISNUMBER($K67),$K67*Parâmetros!$B$5,"")</f>
        <v>18.09</v>
      </c>
      <c r="N67" s="40" t="n">
        <f aca="false">IF(ISNUMBER($K67),$K67*Parâmetros!$C$5,"")</f>
        <v>5.427</v>
      </c>
      <c r="O67" s="40" t="n">
        <f aca="false">IF(ISNUMBER($K67),IF(ISNUMBER(Parâmetros!$E$5),Parâmetros!$E$5,0),"")</f>
        <v>0</v>
      </c>
      <c r="P67" s="41" t="n">
        <f aca="false">IF(ISNUMBER($K67),$K67-$D67-IF(ISNUMBER($E67),$E67,0)-$L67-$M67-$N67-$O67,"")</f>
        <v>36.378</v>
      </c>
      <c r="Q67" s="42" t="n">
        <f aca="false">IF(AND(ISNUMBER($K67),$K67&gt;0),$P67/$K67,"")</f>
        <v>0.201094527363184</v>
      </c>
      <c r="R67" s="43"/>
      <c r="S67" s="44" t="str">
        <f aca="false">IF(OR(NOT(ISNUMBER($R67)),$R67=0,NOT(ISNUMBER($K67))),"",$K67*(1-$R67))</f>
        <v/>
      </c>
      <c r="T67" s="45" t="str">
        <f aca="false">IF(ISNUMBER($S67),$S67*$H67,"")</f>
        <v/>
      </c>
      <c r="U67" s="45" t="str">
        <f aca="false">IF(ISNUMBER($S67),$S67*Parâmetros!$B$5,"")</f>
        <v/>
      </c>
      <c r="V67" s="45" t="str">
        <f aca="false">IF(ISNUMBER($S67),$S67*Parâmetros!$C$5,"")</f>
        <v/>
      </c>
      <c r="W67" s="44" t="str">
        <f aca="false">IF(ISNUMBER($S67),$S67-$D67-IF(ISNUMBER($E67),$E67,0)-$O67-$T67-$U67-$V67,"")</f>
        <v/>
      </c>
      <c r="X67" s="46" t="str">
        <f aca="false">IF(AND(ISNUMBER($S67),$S67&gt;0),$W67/$S67,"")</f>
        <v/>
      </c>
      <c r="Y67" s="49" t="s">
        <v>737</v>
      </c>
      <c r="Z67" s="21"/>
    </row>
    <row r="68" customFormat="false" ht="15.75" hidden="false" customHeight="true" outlineLevel="0" collapsed="false">
      <c r="A68" s="32" t="str">
        <f aca="false">IF(Produtos!$A68="","",Produtos!$A68)</f>
        <v>L2030-B</v>
      </c>
      <c r="B68" s="32" t="str">
        <f aca="false">IF(Produtos!$A68="","",Produtos!$B68)</f>
        <v>Lixeira c/Aro Basculante 20x30 10L</v>
      </c>
      <c r="C68" s="32" t="str">
        <f aca="false">IF(Produtos!$A68="","",Produtos!$C68)</f>
        <v>Lixeiras em inox</v>
      </c>
      <c r="D68" s="33" t="n">
        <f aca="false">IF(Produtos!$A68="","",IF(Produtos!$D68="","",Produtos!$D68))</f>
        <v>75.68</v>
      </c>
      <c r="E68" s="11" t="n">
        <v>24.35</v>
      </c>
      <c r="F68" s="34" t="n">
        <f aca="false">IF($A68="","",IF($C68="","⚠ categoria",IFERROR(INDEX(Parâmetros!$C$13:$C$22,MATCH($C68,Parâmetros!$A$13:$A$22,0)),"⚠ categoria")))</f>
        <v>0.18</v>
      </c>
      <c r="G68" s="35" t="n">
        <v>0.15</v>
      </c>
      <c r="H68" s="36" t="n">
        <f aca="false">IF($A68="","",IF(ISNUMBER($G68),$G68,IF(ISNUMBER($F68),$F68,"")))</f>
        <v>0.15</v>
      </c>
      <c r="I68" s="37" t="n">
        <f aca="false">IF(OR($A68="",NOT(ISNUMBER($D68)),NOT(ISNUMBER($H68))),"",IF((1-$H68-Parâmetros!$B$5-Parâmetros!$C$5-Parâmetros!$D$5)&lt;=0,"INVALIDO",($D68+IF(ISNUMBER($E68),$E68,0)+IF(ISNUMBER(Parâmetros!$E$5),Parâmetros!$E$5,0))/(1-$H68-Parâmetros!$B$5-Parâmetros!$C$5-Parâmetros!$D$5)))</f>
        <v>192.365384615385</v>
      </c>
      <c r="J68" s="38" t="n">
        <v>192.9</v>
      </c>
      <c r="K68" s="39" t="n">
        <f aca="false">IF(OR($A68="",NOT(ISNUMBER($D68)),NOT(ISNUMBER($H68))),"",IF(AND(ISNUMBER($J68),$J68&gt;0),$J68,IF(ISNUMBER($I68),$I68,"")))</f>
        <v>192.9</v>
      </c>
      <c r="L68" s="40" t="n">
        <f aca="false">IF(ISNUMBER($K68),$K68*$H68,"")</f>
        <v>28.935</v>
      </c>
      <c r="M68" s="40" t="n">
        <f aca="false">IF(ISNUMBER($K68),$K68*Parâmetros!$B$5,"")</f>
        <v>19.29</v>
      </c>
      <c r="N68" s="40" t="n">
        <f aca="false">IF(ISNUMBER($K68),$K68*Parâmetros!$C$5,"")</f>
        <v>5.787</v>
      </c>
      <c r="O68" s="40" t="n">
        <f aca="false">IF(ISNUMBER($K68),IF(ISNUMBER(Parâmetros!$E$5),Parâmetros!$E$5,0),"")</f>
        <v>0</v>
      </c>
      <c r="P68" s="41" t="n">
        <f aca="false">IF(ISNUMBER($K68),$K68-$D68-IF(ISNUMBER($E68),$E68,0)-$L68-$M68-$N68-$O68,"")</f>
        <v>38.858</v>
      </c>
      <c r="Q68" s="42" t="n">
        <f aca="false">IF(AND(ISNUMBER($K68),$K68&gt;0),$P68/$K68,"")</f>
        <v>0.201441161223432</v>
      </c>
      <c r="R68" s="43"/>
      <c r="S68" s="44" t="str">
        <f aca="false">IF(OR(NOT(ISNUMBER($R68)),$R68=0,NOT(ISNUMBER($K68))),"",$K68*(1-$R68))</f>
        <v/>
      </c>
      <c r="T68" s="45" t="str">
        <f aca="false">IF(ISNUMBER($S68),$S68*$H68,"")</f>
        <v/>
      </c>
      <c r="U68" s="45" t="str">
        <f aca="false">IF(ISNUMBER($S68),$S68*Parâmetros!$B$5,"")</f>
        <v/>
      </c>
      <c r="V68" s="45" t="str">
        <f aca="false">IF(ISNUMBER($S68),$S68*Parâmetros!$C$5,"")</f>
        <v/>
      </c>
      <c r="W68" s="44" t="str">
        <f aca="false">IF(ISNUMBER($S68),$S68-$D68-IF(ISNUMBER($E68),$E68,0)-$O68-$T68-$U68-$V68,"")</f>
        <v/>
      </c>
      <c r="X68" s="46" t="str">
        <f aca="false">IF(AND(ISNUMBER($S68),$S68&gt;0),$W68/$S68,"")</f>
        <v/>
      </c>
      <c r="Y68" s="47" t="s">
        <v>738</v>
      </c>
      <c r="Z68" s="19"/>
    </row>
    <row r="69" customFormat="false" ht="15.75" hidden="false" customHeight="true" outlineLevel="0" collapsed="false">
      <c r="A69" s="48" t="str">
        <f aca="false">IF(Produtos!$A69="","",Produtos!$A69)</f>
        <v>L2425-B</v>
      </c>
      <c r="B69" s="48" t="str">
        <f aca="false">IF(Produtos!$A69="","",Produtos!$B69)</f>
        <v>Lixeira c/Aro Basculante 24x25 13L</v>
      </c>
      <c r="C69" s="48" t="str">
        <f aca="false">IF(Produtos!$A69="","",Produtos!$C69)</f>
        <v>Lixeiras em inox</v>
      </c>
      <c r="D69" s="33" t="n">
        <f aca="false">IF(Produtos!$A69="","",IF(Produtos!$D69="","",Produtos!$D69))</f>
        <v>94.18</v>
      </c>
      <c r="E69" s="11" t="n">
        <v>27.05</v>
      </c>
      <c r="F69" s="34" t="n">
        <f aca="false">IF($A69="","",IF($C69="","⚠ categoria",IFERROR(INDEX(Parâmetros!$C$13:$C$22,MATCH($C69,Parâmetros!$A$13:$A$22,0)),"⚠ categoria")))</f>
        <v>0.18</v>
      </c>
      <c r="G69" s="35" t="n">
        <v>0.15</v>
      </c>
      <c r="H69" s="36" t="n">
        <f aca="false">IF($A69="","",IF(ISNUMBER($G69),$G69,IF(ISNUMBER($F69),$F69,"")))</f>
        <v>0.15</v>
      </c>
      <c r="I69" s="37" t="n">
        <f aca="false">IF(OR($A69="",NOT(ISNUMBER($D69)),NOT(ISNUMBER($H69))),"",IF((1-$H69-Parâmetros!$B$5-Parâmetros!$C$5-Parâmetros!$D$5)&lt;=0,"INVALIDO",($D69+IF(ISNUMBER($E69),$E69,0)+IF(ISNUMBER(Parâmetros!$E$5),Parâmetros!$E$5,0))/(1-$H69-Parâmetros!$B$5-Parâmetros!$C$5-Parâmetros!$D$5)))</f>
        <v>233.134615384615</v>
      </c>
      <c r="J69" s="38" t="n">
        <v>236.56101</v>
      </c>
      <c r="K69" s="39" t="n">
        <f aca="false">IF(OR($A69="",NOT(ISNUMBER($D69)),NOT(ISNUMBER($H69))),"",IF(AND(ISNUMBER($J69),$J69&gt;0),$J69,IF(ISNUMBER($I69),$I69,"")))</f>
        <v>236.56101</v>
      </c>
      <c r="L69" s="40" t="n">
        <f aca="false">IF(ISNUMBER($K69),$K69*$H69,"")</f>
        <v>35.4841515</v>
      </c>
      <c r="M69" s="40" t="n">
        <f aca="false">IF(ISNUMBER($K69),$K69*Parâmetros!$B$5,"")</f>
        <v>23.656101</v>
      </c>
      <c r="N69" s="40" t="n">
        <f aca="false">IF(ISNUMBER($K69),$K69*Parâmetros!$C$5,"")</f>
        <v>7.0968303</v>
      </c>
      <c r="O69" s="40" t="n">
        <f aca="false">IF(ISNUMBER($K69),IF(ISNUMBER(Parâmetros!$E$5),Parâmetros!$E$5,0),"")</f>
        <v>0</v>
      </c>
      <c r="P69" s="41" t="n">
        <f aca="false">IF(ISNUMBER($K69),$K69-$D69-IF(ISNUMBER($E69),$E69,0)-$L69-$M69-$N69-$O69,"")</f>
        <v>49.0939272</v>
      </c>
      <c r="Q69" s="42" t="n">
        <f aca="false">IF(AND(ISNUMBER($K69),$K69&gt;0),$P69/$K69,"")</f>
        <v>0.207531778799896</v>
      </c>
      <c r="R69" s="43"/>
      <c r="S69" s="44" t="str">
        <f aca="false">IF(OR(NOT(ISNUMBER($R69)),$R69=0,NOT(ISNUMBER($K69))),"",$K69*(1-$R69))</f>
        <v/>
      </c>
      <c r="T69" s="45" t="str">
        <f aca="false">IF(ISNUMBER($S69),$S69*$H69,"")</f>
        <v/>
      </c>
      <c r="U69" s="45" t="str">
        <f aca="false">IF(ISNUMBER($S69),$S69*Parâmetros!$B$5,"")</f>
        <v/>
      </c>
      <c r="V69" s="45" t="str">
        <f aca="false">IF(ISNUMBER($S69),$S69*Parâmetros!$C$5,"")</f>
        <v/>
      </c>
      <c r="W69" s="44" t="str">
        <f aca="false">IF(ISNUMBER($S69),$S69-$D69-IF(ISNUMBER($E69),$E69,0)-$O69-$T69-$U69-$V69,"")</f>
        <v/>
      </c>
      <c r="X69" s="46" t="str">
        <f aca="false">IF(AND(ISNUMBER($S69),$S69&gt;0),$W69/$S69,"")</f>
        <v/>
      </c>
      <c r="Y69" s="49" t="s">
        <v>738</v>
      </c>
      <c r="Z69" s="21"/>
    </row>
    <row r="70" customFormat="false" ht="15.75" hidden="false" customHeight="true" outlineLevel="0" collapsed="false">
      <c r="A70" s="32" t="str">
        <f aca="false">IF(Produtos!$A70="","",Produtos!$A70)</f>
        <v>L2430-B</v>
      </c>
      <c r="B70" s="32" t="str">
        <f aca="false">IF(Produtos!$A70="","",Produtos!$B70)</f>
        <v>Lixeira c/Aro Basculante 24x30 15L</v>
      </c>
      <c r="C70" s="32" t="str">
        <f aca="false">IF(Produtos!$A70="","",Produtos!$C70)</f>
        <v>Lixeiras em inox</v>
      </c>
      <c r="D70" s="33" t="n">
        <f aca="false">IF(Produtos!$A70="","",IF(Produtos!$D70="","",Produtos!$D70))</f>
        <v>103.42</v>
      </c>
      <c r="E70" s="11" t="n">
        <v>27.05</v>
      </c>
      <c r="F70" s="34" t="n">
        <f aca="false">IF($A70="","",IF($C70="","⚠ categoria",IFERROR(INDEX(Parâmetros!$C$13:$C$22,MATCH($C70,Parâmetros!$A$13:$A$22,0)),"⚠ categoria")))</f>
        <v>0.18</v>
      </c>
      <c r="G70" s="35" t="n">
        <v>0.15</v>
      </c>
      <c r="H70" s="36" t="n">
        <f aca="false">IF($A70="","",IF(ISNUMBER($G70),$G70,IF(ISNUMBER($F70),$F70,"")))</f>
        <v>0.15</v>
      </c>
      <c r="I70" s="37" t="n">
        <f aca="false">IF(OR($A70="",NOT(ISNUMBER($D70)),NOT(ISNUMBER($H70))),"",IF((1-$H70-Parâmetros!$B$5-Parâmetros!$C$5-Parâmetros!$D$5)&lt;=0,"INVALIDO",($D70+IF(ISNUMBER($E70),$E70,0)+IF(ISNUMBER(Parâmetros!$E$5),Parâmetros!$E$5,0))/(1-$H70-Parâmetros!$B$5-Parâmetros!$C$5-Parâmetros!$D$5)))</f>
        <v>250.903846153846</v>
      </c>
      <c r="J70" s="38" t="n">
        <v>251.32072875</v>
      </c>
      <c r="K70" s="39" t="n">
        <f aca="false">IF(OR($A70="",NOT(ISNUMBER($D70)),NOT(ISNUMBER($H70))),"",IF(AND(ISNUMBER($J70),$J70&gt;0),$J70,IF(ISNUMBER($I70),$I70,"")))</f>
        <v>251.32072875</v>
      </c>
      <c r="L70" s="40" t="n">
        <f aca="false">IF(ISNUMBER($K70),$K70*$H70,"")</f>
        <v>37.6981093125</v>
      </c>
      <c r="M70" s="40" t="n">
        <f aca="false">IF(ISNUMBER($K70),$K70*Parâmetros!$B$5,"")</f>
        <v>25.132072875</v>
      </c>
      <c r="N70" s="40" t="n">
        <f aca="false">IF(ISNUMBER($K70),$K70*Parâmetros!$C$5,"")</f>
        <v>7.5396218625</v>
      </c>
      <c r="O70" s="40" t="n">
        <f aca="false">IF(ISNUMBER($K70),IF(ISNUMBER(Parâmetros!$E$5),Parâmetros!$E$5,0),"")</f>
        <v>0</v>
      </c>
      <c r="P70" s="41" t="n">
        <f aca="false">IF(ISNUMBER($K70),$K70-$D70-IF(ISNUMBER($E70),$E70,0)-$L70-$M70-$N70-$O70,"")</f>
        <v>50.4809247</v>
      </c>
      <c r="Q70" s="42" t="n">
        <f aca="false">IF(AND(ISNUMBER($K70),$K70&gt;0),$P70/$K70,"")</f>
        <v>0.200862558974256</v>
      </c>
      <c r="R70" s="43"/>
      <c r="S70" s="44" t="str">
        <f aca="false">IF(OR(NOT(ISNUMBER($R70)),$R70=0,NOT(ISNUMBER($K70))),"",$K70*(1-$R70))</f>
        <v/>
      </c>
      <c r="T70" s="45" t="str">
        <f aca="false">IF(ISNUMBER($S70),$S70*$H70,"")</f>
        <v/>
      </c>
      <c r="U70" s="45" t="str">
        <f aca="false">IF(ISNUMBER($S70),$S70*Parâmetros!$B$5,"")</f>
        <v/>
      </c>
      <c r="V70" s="45" t="str">
        <f aca="false">IF(ISNUMBER($S70),$S70*Parâmetros!$C$5,"")</f>
        <v/>
      </c>
      <c r="W70" s="44" t="str">
        <f aca="false">IF(ISNUMBER($S70),$S70-$D70-IF(ISNUMBER($E70),$E70,0)-$O70-$T70-$U70-$V70,"")</f>
        <v/>
      </c>
      <c r="X70" s="46" t="str">
        <f aca="false">IF(AND(ISNUMBER($S70),$S70&gt;0),$W70/$S70,"")</f>
        <v/>
      </c>
      <c r="Y70" s="47" t="s">
        <v>738</v>
      </c>
      <c r="Z70" s="19"/>
    </row>
    <row r="71" customFormat="false" ht="15.75" hidden="false" customHeight="true" outlineLevel="0" collapsed="false">
      <c r="A71" s="48" t="str">
        <f aca="false">IF(Produtos!$A71="","",Produtos!$A71)</f>
        <v>L2440-B</v>
      </c>
      <c r="B71" s="48" t="str">
        <f aca="false">IF(Produtos!$A71="","",Produtos!$B71)</f>
        <v>Lixeira c/Aro Basculante 24x40 20L</v>
      </c>
      <c r="C71" s="48" t="str">
        <f aca="false">IF(Produtos!$A71="","",Produtos!$C71)</f>
        <v>Lixeiras em inox</v>
      </c>
      <c r="D71" s="33" t="n">
        <f aca="false">IF(Produtos!$A71="","",IF(Produtos!$D71="","",Produtos!$D71))</f>
        <v>120.51</v>
      </c>
      <c r="E71" s="11" t="n">
        <v>29.25</v>
      </c>
      <c r="F71" s="34" t="n">
        <f aca="false">IF($A71="","",IF($C71="","⚠ categoria",IFERROR(INDEX(Parâmetros!$C$13:$C$22,MATCH($C71,Parâmetros!$A$13:$A$22,0)),"⚠ categoria")))</f>
        <v>0.18</v>
      </c>
      <c r="G71" s="35" t="n">
        <v>0.15</v>
      </c>
      <c r="H71" s="36" t="n">
        <f aca="false">IF($A71="","",IF(ISNUMBER($G71),$G71,IF(ISNUMBER($F71),$F71,"")))</f>
        <v>0.15</v>
      </c>
      <c r="I71" s="37" t="n">
        <f aca="false">IF(OR($A71="",NOT(ISNUMBER($D71)),NOT(ISNUMBER($H71))),"",IF((1-$H71-Parâmetros!$B$5-Parâmetros!$C$5-Parâmetros!$D$5)&lt;=0,"INVALIDO",($D71+IF(ISNUMBER($E71),$E71,0)+IF(ISNUMBER(Parâmetros!$E$5),Parâmetros!$E$5,0))/(1-$H71-Parâmetros!$B$5-Parâmetros!$C$5-Parâmetros!$D$5)))</f>
        <v>288</v>
      </c>
      <c r="J71" s="38" t="n">
        <v>288.2</v>
      </c>
      <c r="K71" s="39" t="n">
        <f aca="false">IF(OR($A71="",NOT(ISNUMBER($D71)),NOT(ISNUMBER($H71))),"",IF(AND(ISNUMBER($J71),$J71&gt;0),$J71,IF(ISNUMBER($I71),$I71,"")))</f>
        <v>288.2</v>
      </c>
      <c r="L71" s="40" t="n">
        <f aca="false">IF(ISNUMBER($K71),$K71*$H71,"")</f>
        <v>43.23</v>
      </c>
      <c r="M71" s="40" t="n">
        <f aca="false">IF(ISNUMBER($K71),$K71*Parâmetros!$B$5,"")</f>
        <v>28.82</v>
      </c>
      <c r="N71" s="40" t="n">
        <f aca="false">IF(ISNUMBER($K71),$K71*Parâmetros!$C$5,"")</f>
        <v>8.646</v>
      </c>
      <c r="O71" s="40" t="n">
        <f aca="false">IF(ISNUMBER($K71),IF(ISNUMBER(Parâmetros!$E$5),Parâmetros!$E$5,0),"")</f>
        <v>0</v>
      </c>
      <c r="P71" s="41" t="n">
        <f aca="false">IF(ISNUMBER($K71),$K71-$D71-IF(ISNUMBER($E71),$E71,0)-$L71-$M71-$N71-$O71,"")</f>
        <v>57.744</v>
      </c>
      <c r="Q71" s="42" t="n">
        <f aca="false">IF(AND(ISNUMBER($K71),$K71&gt;0),$P71/$K71,"")</f>
        <v>0.200360860513532</v>
      </c>
      <c r="R71" s="43"/>
      <c r="S71" s="44" t="str">
        <f aca="false">IF(OR(NOT(ISNUMBER($R71)),$R71=0,NOT(ISNUMBER($K71))),"",$K71*(1-$R71))</f>
        <v/>
      </c>
      <c r="T71" s="45" t="str">
        <f aca="false">IF(ISNUMBER($S71),$S71*$H71,"")</f>
        <v/>
      </c>
      <c r="U71" s="45" t="str">
        <f aca="false">IF(ISNUMBER($S71),$S71*Parâmetros!$B$5,"")</f>
        <v/>
      </c>
      <c r="V71" s="45" t="str">
        <f aca="false">IF(ISNUMBER($S71),$S71*Parâmetros!$C$5,"")</f>
        <v/>
      </c>
      <c r="W71" s="44" t="str">
        <f aca="false">IF(ISNUMBER($S71),$S71-$D71-IF(ISNUMBER($E71),$E71,0)-$O71-$T71-$U71-$V71,"")</f>
        <v/>
      </c>
      <c r="X71" s="46" t="str">
        <f aca="false">IF(AND(ISNUMBER($S71),$S71&gt;0),$W71/$S71,"")</f>
        <v/>
      </c>
      <c r="Y71" s="49" t="s">
        <v>738</v>
      </c>
      <c r="Z71" s="21"/>
    </row>
    <row r="72" customFormat="false" ht="15.75" hidden="false" customHeight="true" outlineLevel="0" collapsed="false">
      <c r="A72" s="32" t="str">
        <f aca="false">IF(Produtos!$A72="","",Produtos!$A72)</f>
        <v>L2450-B</v>
      </c>
      <c r="B72" s="32" t="str">
        <f aca="false">IF(Produtos!$A72="","",Produtos!$B72)</f>
        <v>Lixeira c/Aro Basculante 24x50 25L</v>
      </c>
      <c r="C72" s="32" t="str">
        <f aca="false">IF(Produtos!$A72="","",Produtos!$C72)</f>
        <v>Lixeiras em inox</v>
      </c>
      <c r="D72" s="33" t="n">
        <f aca="false">IF(Produtos!$A72="","",IF(Produtos!$D72="","",Produtos!$D72))</f>
        <v>151.31</v>
      </c>
      <c r="E72" s="11" t="n">
        <v>32.45</v>
      </c>
      <c r="F72" s="34" t="n">
        <f aca="false">IF($A72="","",IF($C72="","⚠ categoria",IFERROR(INDEX(Parâmetros!$C$13:$C$22,MATCH($C72,Parâmetros!$A$13:$A$22,0)),"⚠ categoria")))</f>
        <v>0.18</v>
      </c>
      <c r="G72" s="35" t="n">
        <v>0.15</v>
      </c>
      <c r="H72" s="36" t="n">
        <f aca="false">IF($A72="","",IF(ISNUMBER($G72),$G72,IF(ISNUMBER($F72),$F72,"")))</f>
        <v>0.15</v>
      </c>
      <c r="I72" s="37" t="n">
        <f aca="false">IF(OR($A72="",NOT(ISNUMBER($D72)),NOT(ISNUMBER($H72))),"",IF((1-$H72-Parâmetros!$B$5-Parâmetros!$C$5-Parâmetros!$D$5)&lt;=0,"INVALIDO",($D72+IF(ISNUMBER($E72),$E72,0)+IF(ISNUMBER(Parâmetros!$E$5),Parâmetros!$E$5,0))/(1-$H72-Parâmetros!$B$5-Parâmetros!$C$5-Parâmetros!$D$5)))</f>
        <v>353.384615384615</v>
      </c>
      <c r="J72" s="38" t="n">
        <v>353.5</v>
      </c>
      <c r="K72" s="39" t="n">
        <f aca="false">IF(OR($A72="",NOT(ISNUMBER($D72)),NOT(ISNUMBER($H72))),"",IF(AND(ISNUMBER($J72),$J72&gt;0),$J72,IF(ISNUMBER($I72),$I72,"")))</f>
        <v>353.5</v>
      </c>
      <c r="L72" s="40" t="n">
        <f aca="false">IF(ISNUMBER($K72),$K72*$H72,"")</f>
        <v>53.025</v>
      </c>
      <c r="M72" s="40" t="n">
        <f aca="false">IF(ISNUMBER($K72),$K72*Parâmetros!$B$5,"")</f>
        <v>35.35</v>
      </c>
      <c r="N72" s="40" t="n">
        <f aca="false">IF(ISNUMBER($K72),$K72*Parâmetros!$C$5,"")</f>
        <v>10.605</v>
      </c>
      <c r="O72" s="40" t="n">
        <f aca="false">IF(ISNUMBER($K72),IF(ISNUMBER(Parâmetros!$E$5),Parâmetros!$E$5,0),"")</f>
        <v>0</v>
      </c>
      <c r="P72" s="41" t="n">
        <f aca="false">IF(ISNUMBER($K72),$K72-$D72-IF(ISNUMBER($E72),$E72,0)-$L72-$M72-$N72-$O72,"")</f>
        <v>70.76</v>
      </c>
      <c r="Q72" s="42" t="n">
        <f aca="false">IF(AND(ISNUMBER($K72),$K72&gt;0),$P72/$K72,"")</f>
        <v>0.20016973125884</v>
      </c>
      <c r="R72" s="43"/>
      <c r="S72" s="44" t="str">
        <f aca="false">IF(OR(NOT(ISNUMBER($R72)),$R72=0,NOT(ISNUMBER($K72))),"",$K72*(1-$R72))</f>
        <v/>
      </c>
      <c r="T72" s="45" t="str">
        <f aca="false">IF(ISNUMBER($S72),$S72*$H72,"")</f>
        <v/>
      </c>
      <c r="U72" s="45" t="str">
        <f aca="false">IF(ISNUMBER($S72),$S72*Parâmetros!$B$5,"")</f>
        <v/>
      </c>
      <c r="V72" s="45" t="str">
        <f aca="false">IF(ISNUMBER($S72),$S72*Parâmetros!$C$5,"")</f>
        <v/>
      </c>
      <c r="W72" s="44" t="str">
        <f aca="false">IF(ISNUMBER($S72),$S72-$D72-IF(ISNUMBER($E72),$E72,0)-$O72-$T72-$U72-$V72,"")</f>
        <v/>
      </c>
      <c r="X72" s="46" t="str">
        <f aca="false">IF(AND(ISNUMBER($S72),$S72&gt;0),$W72/$S72,"")</f>
        <v/>
      </c>
      <c r="Y72" s="47" t="s">
        <v>738</v>
      </c>
      <c r="Z72" s="19"/>
    </row>
    <row r="73" customFormat="false" ht="15.75" hidden="false" customHeight="true" outlineLevel="0" collapsed="false">
      <c r="A73" s="48" t="str">
        <f aca="false">IF(Produtos!$A73="","",Produtos!$A73)</f>
        <v>L2460-B</v>
      </c>
      <c r="B73" s="48" t="str">
        <f aca="false">IF(Produtos!$A73="","",Produtos!$B73)</f>
        <v>Lixeira c/Aro Basculante 24x60 27L</v>
      </c>
      <c r="C73" s="48" t="str">
        <f aca="false">IF(Produtos!$A73="","",Produtos!$C73)</f>
        <v>Lixeiras em inox</v>
      </c>
      <c r="D73" s="33" t="n">
        <f aca="false">IF(Produtos!$A73="","",IF(Produtos!$D73="","",Produtos!$D73))</f>
        <v>152.83</v>
      </c>
      <c r="E73" s="11" t="n">
        <v>49.35</v>
      </c>
      <c r="F73" s="34" t="n">
        <f aca="false">IF($A73="","",IF($C73="","⚠ categoria",IFERROR(INDEX(Parâmetros!$C$13:$C$22,MATCH($C73,Parâmetros!$A$13:$A$22,0)),"⚠ categoria")))</f>
        <v>0.18</v>
      </c>
      <c r="G73" s="35" t="n">
        <v>0.15</v>
      </c>
      <c r="H73" s="36" t="n">
        <f aca="false">IF($A73="","",IF(ISNUMBER($G73),$G73,IF(ISNUMBER($F73),$F73,"")))</f>
        <v>0.15</v>
      </c>
      <c r="I73" s="37" t="n">
        <f aca="false">IF(OR($A73="",NOT(ISNUMBER($D73)),NOT(ISNUMBER($H73))),"",IF((1-$H73-Parâmetros!$B$5-Parâmetros!$C$5-Parâmetros!$D$5)&lt;=0,"INVALIDO",($D73+IF(ISNUMBER($E73),$E73,0)+IF(ISNUMBER(Parâmetros!$E$5),Parâmetros!$E$5,0))/(1-$H73-Parâmetros!$B$5-Parâmetros!$C$5-Parâmetros!$D$5)))</f>
        <v>388.807692307692</v>
      </c>
      <c r="J73" s="38" t="n">
        <v>383.59</v>
      </c>
      <c r="K73" s="39" t="n">
        <f aca="false">IF(OR($A73="",NOT(ISNUMBER($D73)),NOT(ISNUMBER($H73))),"",IF(AND(ISNUMBER($J73),$J73&gt;0),$J73,IF(ISNUMBER($I73),$I73,"")))</f>
        <v>383.59</v>
      </c>
      <c r="L73" s="40" t="n">
        <f aca="false">IF(ISNUMBER($K73),$K73*$H73,"")</f>
        <v>57.5385</v>
      </c>
      <c r="M73" s="40" t="n">
        <f aca="false">IF(ISNUMBER($K73),$K73*Parâmetros!$B$5,"")</f>
        <v>38.359</v>
      </c>
      <c r="N73" s="40" t="n">
        <f aca="false">IF(ISNUMBER($K73),$K73*Parâmetros!$C$5,"")</f>
        <v>11.5077</v>
      </c>
      <c r="O73" s="40" t="n">
        <f aca="false">IF(ISNUMBER($K73),IF(ISNUMBER(Parâmetros!$E$5),Parâmetros!$E$5,0),"")</f>
        <v>0</v>
      </c>
      <c r="P73" s="41" t="n">
        <f aca="false">IF(ISNUMBER($K73),$K73-$D73-IF(ISNUMBER($E73),$E73,0)-$L73-$M73-$N73-$O73,"")</f>
        <v>74.0048</v>
      </c>
      <c r="Q73" s="42" t="n">
        <f aca="false">IF(AND(ISNUMBER($K73),$K73&gt;0),$P73/$K73,"")</f>
        <v>0.192926822909878</v>
      </c>
      <c r="R73" s="43"/>
      <c r="S73" s="44" t="str">
        <f aca="false">IF(OR(NOT(ISNUMBER($R73)),$R73=0,NOT(ISNUMBER($K73))),"",$K73*(1-$R73))</f>
        <v/>
      </c>
      <c r="T73" s="45" t="str">
        <f aca="false">IF(ISNUMBER($S73),$S73*$H73,"")</f>
        <v/>
      </c>
      <c r="U73" s="45" t="str">
        <f aca="false">IF(ISNUMBER($S73),$S73*Parâmetros!$B$5,"")</f>
        <v/>
      </c>
      <c r="V73" s="45" t="str">
        <f aca="false">IF(ISNUMBER($S73),$S73*Parâmetros!$C$5,"")</f>
        <v/>
      </c>
      <c r="W73" s="44" t="str">
        <f aca="false">IF(ISNUMBER($S73),$S73-$D73-IF(ISNUMBER($E73),$E73,0)-$O73-$T73-$U73-$V73,"")</f>
        <v/>
      </c>
      <c r="X73" s="46" t="str">
        <f aca="false">IF(AND(ISNUMBER($S73),$S73&gt;0),$W73/$S73,"")</f>
        <v/>
      </c>
      <c r="Y73" s="49" t="s">
        <v>738</v>
      </c>
      <c r="Z73" s="21"/>
    </row>
    <row r="74" customFormat="false" ht="15.75" hidden="false" customHeight="true" outlineLevel="0" collapsed="false">
      <c r="A74" s="32" t="str">
        <f aca="false">IF(Produtos!$A74="","",Produtos!$A74)</f>
        <v>L2470-B</v>
      </c>
      <c r="B74" s="32" t="str">
        <f aca="false">IF(Produtos!$A74="","",Produtos!$B74)</f>
        <v>Lixeira c/Aro Basculante 24x70 30L</v>
      </c>
      <c r="C74" s="32" t="str">
        <f aca="false">IF(Produtos!$A74="","",Produtos!$C74)</f>
        <v>Lixeiras em inox</v>
      </c>
      <c r="D74" s="33" t="n">
        <f aca="false">IF(Produtos!$A74="","",IF(Produtos!$D74="","",Produtos!$D74))</f>
        <v>211.1</v>
      </c>
      <c r="E74" s="11" t="n">
        <v>45.25</v>
      </c>
      <c r="F74" s="34" t="n">
        <f aca="false">IF($A74="","",IF($C74="","⚠ categoria",IFERROR(INDEX(Parâmetros!$C$13:$C$22,MATCH($C74,Parâmetros!$A$13:$A$22,0)),"⚠ categoria")))</f>
        <v>0.18</v>
      </c>
      <c r="G74" s="35" t="n">
        <v>0.15</v>
      </c>
      <c r="H74" s="36" t="n">
        <f aca="false">IF($A74="","",IF(ISNUMBER($G74),$G74,IF(ISNUMBER($F74),$F74,"")))</f>
        <v>0.15</v>
      </c>
      <c r="I74" s="37" t="n">
        <f aca="false">IF(OR($A74="",NOT(ISNUMBER($D74)),NOT(ISNUMBER($H74))),"",IF((1-$H74-Parâmetros!$B$5-Parâmetros!$C$5-Parâmetros!$D$5)&lt;=0,"INVALIDO",($D74+IF(ISNUMBER($E74),$E74,0)+IF(ISNUMBER(Parâmetros!$E$5),Parâmetros!$E$5,0))/(1-$H74-Parâmetros!$B$5-Parâmetros!$C$5-Parâmetros!$D$5)))</f>
        <v>492.980769230769</v>
      </c>
      <c r="J74" s="38" t="n">
        <v>492.99241875</v>
      </c>
      <c r="K74" s="39" t="n">
        <f aca="false">IF(OR($A74="",NOT(ISNUMBER($D74)),NOT(ISNUMBER($H74))),"",IF(AND(ISNUMBER($J74),$J74&gt;0),$J74,IF(ISNUMBER($I74),$I74,"")))</f>
        <v>492.99241875</v>
      </c>
      <c r="L74" s="40" t="n">
        <f aca="false">IF(ISNUMBER($K74),$K74*$H74,"")</f>
        <v>73.9488628125</v>
      </c>
      <c r="M74" s="40" t="n">
        <f aca="false">IF(ISNUMBER($K74),$K74*Parâmetros!$B$5,"")</f>
        <v>49.299241875</v>
      </c>
      <c r="N74" s="40" t="n">
        <f aca="false">IF(ISNUMBER($K74),$K74*Parâmetros!$C$5,"")</f>
        <v>14.7897725625</v>
      </c>
      <c r="O74" s="40" t="n">
        <f aca="false">IF(ISNUMBER($K74),IF(ISNUMBER(Parâmetros!$E$5),Parâmetros!$E$5,0),"")</f>
        <v>0</v>
      </c>
      <c r="P74" s="41" t="n">
        <f aca="false">IF(ISNUMBER($K74),$K74-$D74-IF(ISNUMBER($E74),$E74,0)-$L74-$M74-$N74-$O74,"")</f>
        <v>98.6045415</v>
      </c>
      <c r="Q74" s="42" t="n">
        <f aca="false">IF(AND(ISNUMBER($K74),$K74&gt;0),$P74/$K74,"")</f>
        <v>0.200012287714313</v>
      </c>
      <c r="R74" s="43"/>
      <c r="S74" s="44" t="str">
        <f aca="false">IF(OR(NOT(ISNUMBER($R74)),$R74=0,NOT(ISNUMBER($K74))),"",$K74*(1-$R74))</f>
        <v/>
      </c>
      <c r="T74" s="45" t="str">
        <f aca="false">IF(ISNUMBER($S74),$S74*$H74,"")</f>
        <v/>
      </c>
      <c r="U74" s="45" t="str">
        <f aca="false">IF(ISNUMBER($S74),$S74*Parâmetros!$B$5,"")</f>
        <v/>
      </c>
      <c r="V74" s="45" t="str">
        <f aca="false">IF(ISNUMBER($S74),$S74*Parâmetros!$C$5,"")</f>
        <v/>
      </c>
      <c r="W74" s="44" t="str">
        <f aca="false">IF(ISNUMBER($S74),$S74-$D74-IF(ISNUMBER($E74),$E74,0)-$O74-$T74-$U74-$V74,"")</f>
        <v/>
      </c>
      <c r="X74" s="46" t="str">
        <f aca="false">IF(AND(ISNUMBER($S74),$S74&gt;0),$W74/$S74,"")</f>
        <v/>
      </c>
      <c r="Y74" s="47" t="s">
        <v>738</v>
      </c>
      <c r="Z74" s="19"/>
    </row>
    <row r="75" customFormat="false" ht="15.75" hidden="false" customHeight="true" outlineLevel="0" collapsed="false">
      <c r="A75" s="48" t="str">
        <f aca="false">IF(Produtos!$A75="","",Produtos!$A75)</f>
        <v>L3040-B</v>
      </c>
      <c r="B75" s="48" t="str">
        <f aca="false">IF(Produtos!$A75="","",Produtos!$B75)</f>
        <v>Lixeira c/Aro Basculante 30x40 30L</v>
      </c>
      <c r="C75" s="48" t="str">
        <f aca="false">IF(Produtos!$A75="","",Produtos!$C75)</f>
        <v>Lixeiras em inox</v>
      </c>
      <c r="D75" s="33" t="n">
        <f aca="false">IF(Produtos!$A75="","",IF(Produtos!$D75="","",Produtos!$D75))</f>
        <v>172.54</v>
      </c>
      <c r="E75" s="11" t="n">
        <v>40.85</v>
      </c>
      <c r="F75" s="34" t="n">
        <f aca="false">IF($A75="","",IF($C75="","⚠ categoria",IFERROR(INDEX(Parâmetros!$C$13:$C$22,MATCH($C75,Parâmetros!$A$13:$A$22,0)),"⚠ categoria")))</f>
        <v>0.18</v>
      </c>
      <c r="G75" s="35" t="n">
        <v>0.15</v>
      </c>
      <c r="H75" s="36" t="n">
        <f aca="false">IF($A75="","",IF(ISNUMBER($G75),$G75,IF(ISNUMBER($F75),$F75,"")))</f>
        <v>0.15</v>
      </c>
      <c r="I75" s="37" t="n">
        <f aca="false">IF(OR($A75="",NOT(ISNUMBER($D75)),NOT(ISNUMBER($H75))),"",IF((1-$H75-Parâmetros!$B$5-Parâmetros!$C$5-Parâmetros!$D$5)&lt;=0,"INVALIDO",($D75+IF(ISNUMBER($E75),$E75,0)+IF(ISNUMBER(Parâmetros!$E$5),Parâmetros!$E$5,0))/(1-$H75-Parâmetros!$B$5-Parâmetros!$C$5-Parâmetros!$D$5)))</f>
        <v>410.365384615385</v>
      </c>
      <c r="J75" s="38" t="n">
        <v>410.99514875</v>
      </c>
      <c r="K75" s="39" t="n">
        <f aca="false">IF(OR($A75="",NOT(ISNUMBER($D75)),NOT(ISNUMBER($H75))),"",IF(AND(ISNUMBER($J75),$J75&gt;0),$J75,IF(ISNUMBER($I75),$I75,"")))</f>
        <v>410.99514875</v>
      </c>
      <c r="L75" s="40" t="n">
        <f aca="false">IF(ISNUMBER($K75),$K75*$H75,"")</f>
        <v>61.6492723125</v>
      </c>
      <c r="M75" s="40" t="n">
        <f aca="false">IF(ISNUMBER($K75),$K75*Parâmetros!$B$5,"")</f>
        <v>41.099514875</v>
      </c>
      <c r="N75" s="40" t="n">
        <f aca="false">IF(ISNUMBER($K75),$K75*Parâmetros!$C$5,"")</f>
        <v>12.3298544625</v>
      </c>
      <c r="O75" s="40" t="n">
        <f aca="false">IF(ISNUMBER($K75),IF(ISNUMBER(Parâmetros!$E$5),Parâmetros!$E$5,0),"")</f>
        <v>0</v>
      </c>
      <c r="P75" s="41" t="n">
        <f aca="false">IF(ISNUMBER($K75),$K75-$D75-IF(ISNUMBER($E75),$E75,0)-$L75-$M75-$N75-$O75,"")</f>
        <v>82.5265071</v>
      </c>
      <c r="Q75" s="42" t="n">
        <f aca="false">IF(AND(ISNUMBER($K75),$K75&gt;0),$P75/$K75,"")</f>
        <v>0.200796791278428</v>
      </c>
      <c r="R75" s="43"/>
      <c r="S75" s="44" t="str">
        <f aca="false">IF(OR(NOT(ISNUMBER($R75)),$R75=0,NOT(ISNUMBER($K75))),"",$K75*(1-$R75))</f>
        <v/>
      </c>
      <c r="T75" s="45" t="str">
        <f aca="false">IF(ISNUMBER($S75),$S75*$H75,"")</f>
        <v/>
      </c>
      <c r="U75" s="45" t="str">
        <f aca="false">IF(ISNUMBER($S75),$S75*Parâmetros!$B$5,"")</f>
        <v/>
      </c>
      <c r="V75" s="45" t="str">
        <f aca="false">IF(ISNUMBER($S75),$S75*Parâmetros!$C$5,"")</f>
        <v/>
      </c>
      <c r="W75" s="44" t="str">
        <f aca="false">IF(ISNUMBER($S75),$S75-$D75-IF(ISNUMBER($E75),$E75,0)-$O75-$T75-$U75-$V75,"")</f>
        <v/>
      </c>
      <c r="X75" s="46" t="str">
        <f aca="false">IF(AND(ISNUMBER($S75),$S75&gt;0),$W75/$S75,"")</f>
        <v/>
      </c>
      <c r="Y75" s="49" t="s">
        <v>738</v>
      </c>
      <c r="Z75" s="21"/>
    </row>
    <row r="76" customFormat="false" ht="15.75" hidden="false" customHeight="true" outlineLevel="0" collapsed="false">
      <c r="A76" s="32" t="str">
        <f aca="false">IF(Produtos!$A76="","",Produtos!$A76)</f>
        <v>L3050-B</v>
      </c>
      <c r="B76" s="32" t="str">
        <f aca="false">IF(Produtos!$A76="","",Produtos!$B76)</f>
        <v>Lixeira c/Aro Basculante 30x50 35L</v>
      </c>
      <c r="C76" s="32" t="str">
        <f aca="false">IF(Produtos!$A76="","",Produtos!$C76)</f>
        <v>Lixeiras em inox</v>
      </c>
      <c r="D76" s="33" t="n">
        <f aca="false">IF(Produtos!$A76="","",IF(Produtos!$D76="","",Produtos!$D76))</f>
        <v>216.99</v>
      </c>
      <c r="E76" s="11" t="n">
        <v>49.35</v>
      </c>
      <c r="F76" s="34" t="n">
        <f aca="false">IF($A76="","",IF($C76="","⚠ categoria",IFERROR(INDEX(Parâmetros!$C$13:$C$22,MATCH($C76,Parâmetros!$A$13:$A$22,0)),"⚠ categoria")))</f>
        <v>0.18</v>
      </c>
      <c r="G76" s="35" t="n">
        <v>0.15</v>
      </c>
      <c r="H76" s="36" t="n">
        <f aca="false">IF($A76="","",IF(ISNUMBER($G76),$G76,IF(ISNUMBER($F76),$F76,"")))</f>
        <v>0.15</v>
      </c>
      <c r="I76" s="37" t="n">
        <f aca="false">IF(OR($A76="",NOT(ISNUMBER($D76)),NOT(ISNUMBER($H76))),"",IF((1-$H76-Parâmetros!$B$5-Parâmetros!$C$5-Parâmetros!$D$5)&lt;=0,"INVALIDO",($D76+IF(ISNUMBER($E76),$E76,0)+IF(ISNUMBER(Parâmetros!$E$5),Parâmetros!$E$5,0))/(1-$H76-Parâmetros!$B$5-Parâmetros!$C$5-Parâmetros!$D$5)))</f>
        <v>512.192307692308</v>
      </c>
      <c r="J76" s="38" t="n">
        <v>512.8860975</v>
      </c>
      <c r="K76" s="39" t="n">
        <f aca="false">IF(OR($A76="",NOT(ISNUMBER($D76)),NOT(ISNUMBER($H76))),"",IF(AND(ISNUMBER($J76),$J76&gt;0),$J76,IF(ISNUMBER($I76),$I76,"")))</f>
        <v>512.8860975</v>
      </c>
      <c r="L76" s="40" t="n">
        <f aca="false">IF(ISNUMBER($K76),$K76*$H76,"")</f>
        <v>76.932914625</v>
      </c>
      <c r="M76" s="40" t="n">
        <f aca="false">IF(ISNUMBER($K76),$K76*Parâmetros!$B$5,"")</f>
        <v>51.28860975</v>
      </c>
      <c r="N76" s="40" t="n">
        <f aca="false">IF(ISNUMBER($K76),$K76*Parâmetros!$C$5,"")</f>
        <v>15.386582925</v>
      </c>
      <c r="O76" s="40" t="n">
        <f aca="false">IF(ISNUMBER($K76),IF(ISNUMBER(Parâmetros!$E$5),Parâmetros!$E$5,0),"")</f>
        <v>0</v>
      </c>
      <c r="P76" s="41" t="n">
        <f aca="false">IF(ISNUMBER($K76),$K76-$D76-IF(ISNUMBER($E76),$E76,0)-$L76-$M76-$N76-$O76,"")</f>
        <v>102.9379902</v>
      </c>
      <c r="Q76" s="42" t="n">
        <f aca="false">IF(AND(ISNUMBER($K76),$K76&gt;0),$P76/$K76,"")</f>
        <v>0.200703412905436</v>
      </c>
      <c r="R76" s="43"/>
      <c r="S76" s="44" t="str">
        <f aca="false">IF(OR(NOT(ISNUMBER($R76)),$R76=0,NOT(ISNUMBER($K76))),"",$K76*(1-$R76))</f>
        <v/>
      </c>
      <c r="T76" s="45" t="str">
        <f aca="false">IF(ISNUMBER($S76),$S76*$H76,"")</f>
        <v/>
      </c>
      <c r="U76" s="45" t="str">
        <f aca="false">IF(ISNUMBER($S76),$S76*Parâmetros!$B$5,"")</f>
        <v/>
      </c>
      <c r="V76" s="45" t="str">
        <f aca="false">IF(ISNUMBER($S76),$S76*Parâmetros!$C$5,"")</f>
        <v/>
      </c>
      <c r="W76" s="44" t="str">
        <f aca="false">IF(ISNUMBER($S76),$S76-$D76-IF(ISNUMBER($E76),$E76,0)-$O76-$T76-$U76-$V76,"")</f>
        <v/>
      </c>
      <c r="X76" s="46" t="str">
        <f aca="false">IF(AND(ISNUMBER($S76),$S76&gt;0),$W76/$S76,"")</f>
        <v/>
      </c>
      <c r="Y76" s="47" t="s">
        <v>738</v>
      </c>
      <c r="Z76" s="19"/>
    </row>
    <row r="77" customFormat="false" ht="15.75" hidden="false" customHeight="true" outlineLevel="0" collapsed="false">
      <c r="A77" s="48" t="str">
        <f aca="false">IF(Produtos!$A77="","",Produtos!$A77)</f>
        <v>L3060-B</v>
      </c>
      <c r="B77" s="48" t="str">
        <f aca="false">IF(Produtos!$A77="","",Produtos!$B77)</f>
        <v>Lixeira c/Aro Basculante 30x60 40L</v>
      </c>
      <c r="C77" s="48" t="str">
        <f aca="false">IF(Produtos!$A77="","",Produtos!$C77)</f>
        <v>Lixeiras em inox</v>
      </c>
      <c r="D77" s="33" t="n">
        <f aca="false">IF(Produtos!$A77="","",IF(Produtos!$D77="","",Produtos!$D77))</f>
        <v>222.41</v>
      </c>
      <c r="E77" s="11" t="n">
        <v>50.75</v>
      </c>
      <c r="F77" s="34" t="n">
        <f aca="false">IF($A77="","",IF($C77="","⚠ categoria",IFERROR(INDEX(Parâmetros!$C$13:$C$22,MATCH($C77,Parâmetros!$A$13:$A$22,0)),"⚠ categoria")))</f>
        <v>0.18</v>
      </c>
      <c r="G77" s="35" t="n">
        <v>0.15</v>
      </c>
      <c r="H77" s="36" t="n">
        <f aca="false">IF($A77="","",IF(ISNUMBER($G77),$G77,IF(ISNUMBER($F77),$F77,"")))</f>
        <v>0.15</v>
      </c>
      <c r="I77" s="37" t="n">
        <f aca="false">IF(OR($A77="",NOT(ISNUMBER($D77)),NOT(ISNUMBER($H77))),"",IF((1-$H77-Parâmetros!$B$5-Parâmetros!$C$5-Parâmetros!$D$5)&lt;=0,"INVALIDO",($D77+IF(ISNUMBER($E77),$E77,0)+IF(ISNUMBER(Parâmetros!$E$5),Parâmetros!$E$5,0))/(1-$H77-Parâmetros!$B$5-Parâmetros!$C$5-Parâmetros!$D$5)))</f>
        <v>525.307692307692</v>
      </c>
      <c r="J77" s="38" t="n">
        <v>528.89665</v>
      </c>
      <c r="K77" s="39" t="n">
        <f aca="false">IF(OR($A77="",NOT(ISNUMBER($D77)),NOT(ISNUMBER($H77))),"",IF(AND(ISNUMBER($J77),$J77&gt;0),$J77,IF(ISNUMBER($I77),$I77,"")))</f>
        <v>528.89665</v>
      </c>
      <c r="L77" s="40" t="n">
        <f aca="false">IF(ISNUMBER($K77),$K77*$H77,"")</f>
        <v>79.3344975</v>
      </c>
      <c r="M77" s="40" t="n">
        <f aca="false">IF(ISNUMBER($K77),$K77*Parâmetros!$B$5,"")</f>
        <v>52.889665</v>
      </c>
      <c r="N77" s="40" t="n">
        <f aca="false">IF(ISNUMBER($K77),$K77*Parâmetros!$C$5,"")</f>
        <v>15.8668995</v>
      </c>
      <c r="O77" s="40" t="n">
        <f aca="false">IF(ISNUMBER($K77),IF(ISNUMBER(Parâmetros!$E$5),Parâmetros!$E$5,0),"")</f>
        <v>0</v>
      </c>
      <c r="P77" s="41" t="n">
        <f aca="false">IF(ISNUMBER($K77),$K77-$D77-IF(ISNUMBER($E77),$E77,0)-$L77-$M77-$N77-$O77,"")</f>
        <v>107.645588</v>
      </c>
      <c r="Q77" s="42" t="n">
        <f aca="false">IF(AND(ISNUMBER($K77),$K77&gt;0),$P77/$K77,"")</f>
        <v>0.203528587295836</v>
      </c>
      <c r="R77" s="43"/>
      <c r="S77" s="44" t="str">
        <f aca="false">IF(OR(NOT(ISNUMBER($R77)),$R77=0,NOT(ISNUMBER($K77))),"",$K77*(1-$R77))</f>
        <v/>
      </c>
      <c r="T77" s="45" t="str">
        <f aca="false">IF(ISNUMBER($S77),$S77*$H77,"")</f>
        <v/>
      </c>
      <c r="U77" s="45" t="str">
        <f aca="false">IF(ISNUMBER($S77),$S77*Parâmetros!$B$5,"")</f>
        <v/>
      </c>
      <c r="V77" s="45" t="str">
        <f aca="false">IF(ISNUMBER($S77),$S77*Parâmetros!$C$5,"")</f>
        <v/>
      </c>
      <c r="W77" s="44" t="str">
        <f aca="false">IF(ISNUMBER($S77),$S77-$D77-IF(ISNUMBER($E77),$E77,0)-$O77-$T77-$U77-$V77,"")</f>
        <v/>
      </c>
      <c r="X77" s="46" t="str">
        <f aca="false">IF(AND(ISNUMBER($S77),$S77&gt;0),$W77/$S77,"")</f>
        <v/>
      </c>
      <c r="Y77" s="49" t="s">
        <v>738</v>
      </c>
      <c r="Z77" s="21"/>
    </row>
    <row r="78" customFormat="false" ht="15.75" hidden="false" customHeight="true" outlineLevel="0" collapsed="false">
      <c r="A78" s="32" t="str">
        <f aca="false">IF(Produtos!$A78="","",Produtos!$A78)</f>
        <v>L3070-B</v>
      </c>
      <c r="B78" s="32" t="str">
        <f aca="false">IF(Produtos!$A78="","",Produtos!$B78)</f>
        <v>Lixeira c/Aro Basculante 30x70 50L</v>
      </c>
      <c r="C78" s="32" t="str">
        <f aca="false">IF(Produtos!$A78="","",Produtos!$C78)</f>
        <v>Lixeiras em inox</v>
      </c>
      <c r="D78" s="33" t="n">
        <f aca="false">IF(Produtos!$A78="","",IF(Produtos!$D78="","",Produtos!$D78))</f>
        <v>279.42</v>
      </c>
      <c r="E78" s="11" t="n">
        <v>69.35</v>
      </c>
      <c r="F78" s="34" t="n">
        <f aca="false">IF($A78="","",IF($C78="","⚠ categoria",IFERROR(INDEX(Parâmetros!$C$13:$C$22,MATCH($C78,Parâmetros!$A$13:$A$22,0)),"⚠ categoria")))</f>
        <v>0.18</v>
      </c>
      <c r="G78" s="35" t="n">
        <v>0.15</v>
      </c>
      <c r="H78" s="36" t="n">
        <f aca="false">IF($A78="","",IF(ISNUMBER($G78),$G78,IF(ISNUMBER($F78),$F78,"")))</f>
        <v>0.15</v>
      </c>
      <c r="I78" s="37" t="n">
        <f aca="false">IF(OR($A78="",NOT(ISNUMBER($D78)),NOT(ISNUMBER($H78))),"",IF((1-$H78-Parâmetros!$B$5-Parâmetros!$C$5-Parâmetros!$D$5)&lt;=0,"INVALIDO",($D78+IF(ISNUMBER($E78),$E78,0)+IF(ISNUMBER(Parâmetros!$E$5),Parâmetros!$E$5,0))/(1-$H78-Parâmetros!$B$5-Parâmetros!$C$5-Parâmetros!$D$5)))</f>
        <v>670.711538461539</v>
      </c>
      <c r="J78" s="38" t="n">
        <v>661.05018</v>
      </c>
      <c r="K78" s="39" t="n">
        <f aca="false">IF(OR($A78="",NOT(ISNUMBER($D78)),NOT(ISNUMBER($H78))),"",IF(AND(ISNUMBER($J78),$J78&gt;0),$J78,IF(ISNUMBER($I78),$I78,"")))</f>
        <v>661.05018</v>
      </c>
      <c r="L78" s="40" t="n">
        <f aca="false">IF(ISNUMBER($K78),$K78*$H78,"")</f>
        <v>99.157527</v>
      </c>
      <c r="M78" s="40" t="n">
        <f aca="false">IF(ISNUMBER($K78),$K78*Parâmetros!$B$5,"")</f>
        <v>66.105018</v>
      </c>
      <c r="N78" s="40" t="n">
        <f aca="false">IF(ISNUMBER($K78),$K78*Parâmetros!$C$5,"")</f>
        <v>19.8315054</v>
      </c>
      <c r="O78" s="40" t="n">
        <f aca="false">IF(ISNUMBER($K78),IF(ISNUMBER(Parâmetros!$E$5),Parâmetros!$E$5,0),"")</f>
        <v>0</v>
      </c>
      <c r="P78" s="41" t="n">
        <f aca="false">IF(ISNUMBER($K78),$K78-$D78-IF(ISNUMBER($E78),$E78,0)-$L78-$M78-$N78-$O78,"")</f>
        <v>127.1861296</v>
      </c>
      <c r="Q78" s="42" t="n">
        <f aca="false">IF(AND(ISNUMBER($K78),$K78&gt;0),$P78/$K78,"")</f>
        <v>0.192400113407427</v>
      </c>
      <c r="R78" s="43"/>
      <c r="S78" s="44" t="str">
        <f aca="false">IF(OR(NOT(ISNUMBER($R78)),$R78=0,NOT(ISNUMBER($K78))),"",$K78*(1-$R78))</f>
        <v/>
      </c>
      <c r="T78" s="45" t="str">
        <f aca="false">IF(ISNUMBER($S78),$S78*$H78,"")</f>
        <v/>
      </c>
      <c r="U78" s="45" t="str">
        <f aca="false">IF(ISNUMBER($S78),$S78*Parâmetros!$B$5,"")</f>
        <v/>
      </c>
      <c r="V78" s="45" t="str">
        <f aca="false">IF(ISNUMBER($S78),$S78*Parâmetros!$C$5,"")</f>
        <v/>
      </c>
      <c r="W78" s="44" t="str">
        <f aca="false">IF(ISNUMBER($S78),$S78-$D78-IF(ISNUMBER($E78),$E78,0)-$O78-$T78-$U78-$V78,"")</f>
        <v/>
      </c>
      <c r="X78" s="46" t="str">
        <f aca="false">IF(AND(ISNUMBER($S78),$S78&gt;0),$W78/$S78,"")</f>
        <v/>
      </c>
      <c r="Y78" s="47" t="s">
        <v>738</v>
      </c>
      <c r="Z78" s="19"/>
    </row>
    <row r="79" customFormat="false" ht="15.75" hidden="false" customHeight="true" outlineLevel="0" collapsed="false">
      <c r="A79" s="48" t="str">
        <f aca="false">IF(Produtos!$A79="","",Produtos!$A79)</f>
        <v>L3085-B</v>
      </c>
      <c r="B79" s="48" t="str">
        <f aca="false">IF(Produtos!$A79="","",Produtos!$B79)</f>
        <v>Lixeira c/Aro Basculante 30x85 60L</v>
      </c>
      <c r="C79" s="48" t="str">
        <f aca="false">IF(Produtos!$A79="","",Produtos!$C79)</f>
        <v>Lixeiras em inox</v>
      </c>
      <c r="D79" s="33" t="n">
        <f aca="false">IF(Produtos!$A79="","",IF(Produtos!$D79="","",Produtos!$D79))</f>
        <v>341.01</v>
      </c>
      <c r="E79" s="11" t="n">
        <v>70.95</v>
      </c>
      <c r="F79" s="34" t="n">
        <f aca="false">IF($A79="","",IF($C79="","⚠ categoria",IFERROR(INDEX(Parâmetros!$C$13:$C$22,MATCH($C79,Parâmetros!$A$13:$A$22,0)),"⚠ categoria")))</f>
        <v>0.18</v>
      </c>
      <c r="G79" s="35"/>
      <c r="H79" s="36" t="n">
        <f aca="false">IF($A79="","",IF(ISNUMBER($G79),$G79,IF(ISNUMBER($F79),$F79,"")))</f>
        <v>0.18</v>
      </c>
      <c r="I79" s="37" t="n">
        <f aca="false">IF(OR($A79="",NOT(ISNUMBER($D79)),NOT(ISNUMBER($H79))),"",IF((1-$H79-Parâmetros!$B$5-Parâmetros!$C$5-Parâmetros!$D$5)&lt;=0,"INVALIDO",($D79+IF(ISNUMBER($E79),$E79,0)+IF(ISNUMBER(Parâmetros!$E$5),Parâmetros!$E$5,0))/(1-$H79-Parâmetros!$B$5-Parâmetros!$C$5-Parâmetros!$D$5)))</f>
        <v>840.734693877551</v>
      </c>
      <c r="J79" s="38" t="n">
        <v>780.6438675</v>
      </c>
      <c r="K79" s="39" t="n">
        <f aca="false">IF(OR($A79="",NOT(ISNUMBER($D79)),NOT(ISNUMBER($H79))),"",IF(AND(ISNUMBER($J79),$J79&gt;0),$J79,IF(ISNUMBER($I79),$I79,"")))</f>
        <v>780.6438675</v>
      </c>
      <c r="L79" s="40" t="n">
        <f aca="false">IF(ISNUMBER($K79),$K79*$H79,"")</f>
        <v>140.51589615</v>
      </c>
      <c r="M79" s="40" t="n">
        <f aca="false">IF(ISNUMBER($K79),$K79*Parâmetros!$B$5,"")</f>
        <v>78.06438675</v>
      </c>
      <c r="N79" s="40" t="n">
        <f aca="false">IF(ISNUMBER($K79),$K79*Parâmetros!$C$5,"")</f>
        <v>23.419316025</v>
      </c>
      <c r="O79" s="40" t="n">
        <f aca="false">IF(ISNUMBER($K79),IF(ISNUMBER(Parâmetros!$E$5),Parâmetros!$E$5,0),"")</f>
        <v>0</v>
      </c>
      <c r="P79" s="41" t="n">
        <f aca="false">IF(ISNUMBER($K79),$K79-$D79-IF(ISNUMBER($E79),$E79,0)-$L79-$M79-$N79-$O79,"")</f>
        <v>126.684268575</v>
      </c>
      <c r="Q79" s="42" t="n">
        <f aca="false">IF(AND(ISNUMBER($K79),$K79&gt;0),$P79/$K79,"")</f>
        <v>0.162281770022359</v>
      </c>
      <c r="R79" s="43"/>
      <c r="S79" s="44" t="str">
        <f aca="false">IF(OR(NOT(ISNUMBER($R79)),$R79=0,NOT(ISNUMBER($K79))),"",$K79*(1-$R79))</f>
        <v/>
      </c>
      <c r="T79" s="45" t="str">
        <f aca="false">IF(ISNUMBER($S79),$S79*$H79,"")</f>
        <v/>
      </c>
      <c r="U79" s="45" t="str">
        <f aca="false">IF(ISNUMBER($S79),$S79*Parâmetros!$B$5,"")</f>
        <v/>
      </c>
      <c r="V79" s="45" t="str">
        <f aca="false">IF(ISNUMBER($S79),$S79*Parâmetros!$C$5,"")</f>
        <v/>
      </c>
      <c r="W79" s="44" t="str">
        <f aca="false">IF(ISNUMBER($S79),$S79-$D79-IF(ISNUMBER($E79),$E79,0)-$O79-$T79-$U79-$V79,"")</f>
        <v/>
      </c>
      <c r="X79" s="46" t="str">
        <f aca="false">IF(AND(ISNUMBER($S79),$S79&gt;0),$W79/$S79,"")</f>
        <v/>
      </c>
      <c r="Y79" s="49" t="s">
        <v>738</v>
      </c>
      <c r="Z79" s="21"/>
    </row>
    <row r="80" customFormat="false" ht="15.75" hidden="false" customHeight="true" outlineLevel="0" collapsed="false">
      <c r="A80" s="32" t="str">
        <f aca="false">IF(Produtos!$A80="","",Produtos!$A80)</f>
        <v>L4050-B</v>
      </c>
      <c r="B80" s="32" t="str">
        <f aca="false">IF(Produtos!$A80="","",Produtos!$B80)</f>
        <v>Lixeira c/Aro Basculante 40x50 62L</v>
      </c>
      <c r="C80" s="32" t="str">
        <f aca="false">IF(Produtos!$A80="","",Produtos!$C80)</f>
        <v>Lixeiras em inox</v>
      </c>
      <c r="D80" s="33" t="n">
        <f aca="false">IF(Produtos!$A80="","",IF(Produtos!$D80="","",Produtos!$D80))</f>
        <v>342.16</v>
      </c>
      <c r="E80" s="11" t="n">
        <v>75.65</v>
      </c>
      <c r="F80" s="34" t="n">
        <f aca="false">IF($A80="","",IF($C80="","⚠ categoria",IFERROR(INDEX(Parâmetros!$C$13:$C$22,MATCH($C80,Parâmetros!$A$13:$A$22,0)),"⚠ categoria")))</f>
        <v>0.18</v>
      </c>
      <c r="G80" s="35"/>
      <c r="H80" s="36" t="n">
        <f aca="false">IF($A80="","",IF(ISNUMBER($G80),$G80,IF(ISNUMBER($F80),$F80,"")))</f>
        <v>0.18</v>
      </c>
      <c r="I80" s="37" t="n">
        <f aca="false">IF(OR($A80="",NOT(ISNUMBER($D80)),NOT(ISNUMBER($H80))),"",IF((1-$H80-Parâmetros!$B$5-Parâmetros!$C$5-Parâmetros!$D$5)&lt;=0,"INVALIDO",($D80+IF(ISNUMBER($E80),$E80,0)+IF(ISNUMBER(Parâmetros!$E$5),Parâmetros!$E$5,0))/(1-$H80-Parâmetros!$B$5-Parâmetros!$C$5-Parâmetros!$D$5)))</f>
        <v>852.673469387755</v>
      </c>
      <c r="J80" s="38" t="n">
        <v>790.843095</v>
      </c>
      <c r="K80" s="39" t="n">
        <f aca="false">IF(OR($A80="",NOT(ISNUMBER($D80)),NOT(ISNUMBER($H80))),"",IF(AND(ISNUMBER($J80),$J80&gt;0),$J80,IF(ISNUMBER($I80),$I80,"")))</f>
        <v>790.843095</v>
      </c>
      <c r="L80" s="40" t="n">
        <f aca="false">IF(ISNUMBER($K80),$K80*$H80,"")</f>
        <v>142.3517571</v>
      </c>
      <c r="M80" s="40" t="n">
        <f aca="false">IF(ISNUMBER($K80),$K80*Parâmetros!$B$5,"")</f>
        <v>79.0843095</v>
      </c>
      <c r="N80" s="40" t="n">
        <f aca="false">IF(ISNUMBER($K80),$K80*Parâmetros!$C$5,"")</f>
        <v>23.72529285</v>
      </c>
      <c r="O80" s="40" t="n">
        <f aca="false">IF(ISNUMBER($K80),IF(ISNUMBER(Parâmetros!$E$5),Parâmetros!$E$5,0),"")</f>
        <v>0</v>
      </c>
      <c r="P80" s="41" t="n">
        <f aca="false">IF(ISNUMBER($K80),$K80-$D80-IF(ISNUMBER($E80),$E80,0)-$L80-$M80-$N80-$O80,"")</f>
        <v>127.87173555</v>
      </c>
      <c r="Q80" s="42" t="n">
        <f aca="false">IF(AND(ISNUMBER($K80),$K80&gt;0),$P80/$K80,"")</f>
        <v>0.161690398965929</v>
      </c>
      <c r="R80" s="43"/>
      <c r="S80" s="44" t="str">
        <f aca="false">IF(OR(NOT(ISNUMBER($R80)),$R80=0,NOT(ISNUMBER($K80))),"",$K80*(1-$R80))</f>
        <v/>
      </c>
      <c r="T80" s="45" t="str">
        <f aca="false">IF(ISNUMBER($S80),$S80*$H80,"")</f>
        <v/>
      </c>
      <c r="U80" s="45" t="str">
        <f aca="false">IF(ISNUMBER($S80),$S80*Parâmetros!$B$5,"")</f>
        <v/>
      </c>
      <c r="V80" s="45" t="str">
        <f aca="false">IF(ISNUMBER($S80),$S80*Parâmetros!$C$5,"")</f>
        <v/>
      </c>
      <c r="W80" s="44" t="str">
        <f aca="false">IF(ISNUMBER($S80),$S80-$D80-IF(ISNUMBER($E80),$E80,0)-$O80-$T80-$U80-$V80,"")</f>
        <v/>
      </c>
      <c r="X80" s="46" t="str">
        <f aca="false">IF(AND(ISNUMBER($S80),$S80&gt;0),$W80/$S80,"")</f>
        <v/>
      </c>
      <c r="Y80" s="47" t="s">
        <v>738</v>
      </c>
      <c r="Z80" s="19"/>
    </row>
    <row r="81" customFormat="false" ht="15.75" hidden="false" customHeight="true" outlineLevel="0" collapsed="false">
      <c r="A81" s="48" t="str">
        <f aca="false">IF(Produtos!$A81="","",Produtos!$A81)</f>
        <v>L4060-B</v>
      </c>
      <c r="B81" s="48" t="str">
        <f aca="false">IF(Produtos!$A81="","",Produtos!$B81)</f>
        <v>Lixeira c/Aro Basculante 40x60 75L</v>
      </c>
      <c r="C81" s="48" t="str">
        <f aca="false">IF(Produtos!$A81="","",Produtos!$C81)</f>
        <v>Lixeiras em inox</v>
      </c>
      <c r="D81" s="33" t="n">
        <f aca="false">IF(Produtos!$A81="","",IF(Produtos!$D81="","",Produtos!$D81))</f>
        <v>364.77</v>
      </c>
      <c r="E81" s="11" t="n">
        <v>79.35</v>
      </c>
      <c r="F81" s="34" t="n">
        <f aca="false">IF($A81="","",IF($C81="","⚠ categoria",IFERROR(INDEX(Parâmetros!$C$13:$C$22,MATCH($C81,Parâmetros!$A$13:$A$22,0)),"⚠ categoria")))</f>
        <v>0.18</v>
      </c>
      <c r="G81" s="35"/>
      <c r="H81" s="36" t="n">
        <f aca="false">IF($A81="","",IF(ISNUMBER($G81),$G81,IF(ISNUMBER($F81),$F81,"")))</f>
        <v>0.18</v>
      </c>
      <c r="I81" s="37" t="n">
        <f aca="false">IF(OR($A81="",NOT(ISNUMBER($D81)),NOT(ISNUMBER($H81))),"",IF((1-$H81-Parâmetros!$B$5-Parâmetros!$C$5-Parâmetros!$D$5)&lt;=0,"INVALIDO",($D81+IF(ISNUMBER($E81),$E81,0)+IF(ISNUMBER(Parâmetros!$E$5),Parâmetros!$E$5,0))/(1-$H81-Parâmetros!$B$5-Parâmetros!$C$5-Parâmetros!$D$5)))</f>
        <v>906.367346938775</v>
      </c>
      <c r="J81" s="38" t="n">
        <v>840.95668125</v>
      </c>
      <c r="K81" s="39" t="n">
        <f aca="false">IF(OR($A81="",NOT(ISNUMBER($D81)),NOT(ISNUMBER($H81))),"",IF(AND(ISNUMBER($J81),$J81&gt;0),$J81,IF(ISNUMBER($I81),$I81,"")))</f>
        <v>840.95668125</v>
      </c>
      <c r="L81" s="40" t="n">
        <f aca="false">IF(ISNUMBER($K81),$K81*$H81,"")</f>
        <v>151.372202625</v>
      </c>
      <c r="M81" s="40" t="n">
        <f aca="false">IF(ISNUMBER($K81),$K81*Parâmetros!$B$5,"")</f>
        <v>84.095668125</v>
      </c>
      <c r="N81" s="40" t="n">
        <f aca="false">IF(ISNUMBER($K81),$K81*Parâmetros!$C$5,"")</f>
        <v>25.2287004375</v>
      </c>
      <c r="O81" s="40" t="n">
        <f aca="false">IF(ISNUMBER($K81),IF(ISNUMBER(Parâmetros!$E$5),Parâmetros!$E$5,0),"")</f>
        <v>0</v>
      </c>
      <c r="P81" s="41" t="n">
        <f aca="false">IF(ISNUMBER($K81),$K81-$D81-IF(ISNUMBER($E81),$E81,0)-$L81-$M81-$N81-$O81,"")</f>
        <v>136.1401100625</v>
      </c>
      <c r="Q81" s="42" t="n">
        <f aca="false">IF(AND(ISNUMBER($K81),$K81&gt;0),$P81/$K81,"")</f>
        <v>0.161887185271114</v>
      </c>
      <c r="R81" s="43"/>
      <c r="S81" s="44" t="str">
        <f aca="false">IF(OR(NOT(ISNUMBER($R81)),$R81=0,NOT(ISNUMBER($K81))),"",$K81*(1-$R81))</f>
        <v/>
      </c>
      <c r="T81" s="45" t="str">
        <f aca="false">IF(ISNUMBER($S81),$S81*$H81,"")</f>
        <v/>
      </c>
      <c r="U81" s="45" t="str">
        <f aca="false">IF(ISNUMBER($S81),$S81*Parâmetros!$B$5,"")</f>
        <v/>
      </c>
      <c r="V81" s="45" t="str">
        <f aca="false">IF(ISNUMBER($S81),$S81*Parâmetros!$C$5,"")</f>
        <v/>
      </c>
      <c r="W81" s="44" t="str">
        <f aca="false">IF(ISNUMBER($S81),$S81-$D81-IF(ISNUMBER($E81),$E81,0)-$O81-$T81-$U81-$V81,"")</f>
        <v/>
      </c>
      <c r="X81" s="46" t="str">
        <f aca="false">IF(AND(ISNUMBER($S81),$S81&gt;0),$W81/$S81,"")</f>
        <v/>
      </c>
      <c r="Y81" s="49" t="s">
        <v>738</v>
      </c>
      <c r="Z81" s="21"/>
    </row>
    <row r="82" customFormat="false" ht="15.75" hidden="false" customHeight="true" outlineLevel="0" collapsed="false">
      <c r="A82" s="32" t="str">
        <f aca="false">IF(Produtos!$A82="","",Produtos!$A82)</f>
        <v>L4070-B</v>
      </c>
      <c r="B82" s="32" t="str">
        <f aca="false">IF(Produtos!$A82="","",Produtos!$B82)</f>
        <v>Lixeira c/Aro Basculante 40x70 88L</v>
      </c>
      <c r="C82" s="32" t="str">
        <f aca="false">IF(Produtos!$A82="","",Produtos!$C82)</f>
        <v>Lixeiras em inox</v>
      </c>
      <c r="D82" s="33" t="n">
        <f aca="false">IF(Produtos!$A82="","",IF(Produtos!$D82="","",Produtos!$D82))</f>
        <v>366.6</v>
      </c>
      <c r="E82" s="11" t="n">
        <v>91.95</v>
      </c>
      <c r="F82" s="34" t="n">
        <f aca="false">IF($A82="","",IF($C82="","⚠ categoria",IFERROR(INDEX(Parâmetros!$C$13:$C$22,MATCH($C82,Parâmetros!$A$13:$A$22,0)),"⚠ categoria")))</f>
        <v>0.18</v>
      </c>
      <c r="G82" s="35"/>
      <c r="H82" s="36" t="n">
        <f aca="false">IF($A82="","",IF(ISNUMBER($G82),$G82,IF(ISNUMBER($F82),$F82,"")))</f>
        <v>0.18</v>
      </c>
      <c r="I82" s="37" t="n">
        <f aca="false">IF(OR($A82="",NOT(ISNUMBER($D82)),NOT(ISNUMBER($H82))),"",IF((1-$H82-Parâmetros!$B$5-Parâmetros!$C$5-Parâmetros!$D$5)&lt;=0,"INVALIDO",($D82+IF(ISNUMBER($E82),$E82,0)+IF(ISNUMBER(Parâmetros!$E$5),Parâmetros!$E$5,0))/(1-$H82-Parâmetros!$B$5-Parâmetros!$C$5-Parâmetros!$D$5)))</f>
        <v>935.816326530612</v>
      </c>
      <c r="J82" s="38" t="n">
        <v>865.6025175</v>
      </c>
      <c r="K82" s="39" t="n">
        <f aca="false">IF(OR($A82="",NOT(ISNUMBER($D82)),NOT(ISNUMBER($H82))),"",IF(AND(ISNUMBER($J82),$J82&gt;0),$J82,IF(ISNUMBER($I82),$I82,"")))</f>
        <v>865.6025175</v>
      </c>
      <c r="L82" s="40" t="n">
        <f aca="false">IF(ISNUMBER($K82),$K82*$H82,"")</f>
        <v>155.80845315</v>
      </c>
      <c r="M82" s="40" t="n">
        <f aca="false">IF(ISNUMBER($K82),$K82*Parâmetros!$B$5,"")</f>
        <v>86.56025175</v>
      </c>
      <c r="N82" s="40" t="n">
        <f aca="false">IF(ISNUMBER($K82),$K82*Parâmetros!$C$5,"")</f>
        <v>25.968075525</v>
      </c>
      <c r="O82" s="40" t="n">
        <f aca="false">IF(ISNUMBER($K82),IF(ISNUMBER(Parâmetros!$E$5),Parâmetros!$E$5,0),"")</f>
        <v>0</v>
      </c>
      <c r="P82" s="41" t="n">
        <f aca="false">IF(ISNUMBER($K82),$K82-$D82-IF(ISNUMBER($E82),$E82,0)-$L82-$M82-$N82-$O82,"")</f>
        <v>138.715737075</v>
      </c>
      <c r="Q82" s="42" t="n">
        <f aca="false">IF(AND(ISNUMBER($K82),$K82&gt;0),$P82/$K82,"")</f>
        <v>0.160253389137122</v>
      </c>
      <c r="R82" s="43"/>
      <c r="S82" s="44" t="str">
        <f aca="false">IF(OR(NOT(ISNUMBER($R82)),$R82=0,NOT(ISNUMBER($K82))),"",$K82*(1-$R82))</f>
        <v/>
      </c>
      <c r="T82" s="45" t="str">
        <f aca="false">IF(ISNUMBER($S82),$S82*$H82,"")</f>
        <v/>
      </c>
      <c r="U82" s="45" t="str">
        <f aca="false">IF(ISNUMBER($S82),$S82*Parâmetros!$B$5,"")</f>
        <v/>
      </c>
      <c r="V82" s="45" t="str">
        <f aca="false">IF(ISNUMBER($S82),$S82*Parâmetros!$C$5,"")</f>
        <v/>
      </c>
      <c r="W82" s="44" t="str">
        <f aca="false">IF(ISNUMBER($S82),$S82-$D82-IF(ISNUMBER($E82),$E82,0)-$O82-$T82-$U82-$V82,"")</f>
        <v/>
      </c>
      <c r="X82" s="46" t="str">
        <f aca="false">IF(AND(ISNUMBER($S82),$S82&gt;0),$W82/$S82,"")</f>
        <v/>
      </c>
      <c r="Y82" s="47" t="s">
        <v>738</v>
      </c>
      <c r="Z82" s="19"/>
    </row>
    <row r="83" customFormat="false" ht="15.75" hidden="false" customHeight="true" outlineLevel="0" collapsed="false">
      <c r="A83" s="48" t="str">
        <f aca="false">IF(Produtos!$A83="","",Produtos!$A83)</f>
        <v>L4075-B</v>
      </c>
      <c r="B83" s="48" t="str">
        <f aca="false">IF(Produtos!$A83="","",Produtos!$B83)</f>
        <v>Lixeira c/Aro Basculante 40x75 95L</v>
      </c>
      <c r="C83" s="48" t="str">
        <f aca="false">IF(Produtos!$A83="","",Produtos!$C83)</f>
        <v>Lixeiras em inox</v>
      </c>
      <c r="D83" s="33" t="n">
        <f aca="false">IF(Produtos!$A83="","",IF(Produtos!$D83="","",Produtos!$D83))</f>
        <v>428.19</v>
      </c>
      <c r="E83" s="11" t="n">
        <v>91.95</v>
      </c>
      <c r="F83" s="34" t="n">
        <f aca="false">IF($A83="","",IF($C83="","⚠ categoria",IFERROR(INDEX(Parâmetros!$C$13:$C$22,MATCH($C83,Parâmetros!$A$13:$A$22,0)),"⚠ categoria")))</f>
        <v>0.18</v>
      </c>
      <c r="G83" s="35"/>
      <c r="H83" s="36" t="n">
        <f aca="false">IF($A83="","",IF(ISNUMBER($G83),$G83,IF(ISNUMBER($F83),$F83,"")))</f>
        <v>0.18</v>
      </c>
      <c r="I83" s="37" t="n">
        <f aca="false">IF(OR($A83="",NOT(ISNUMBER($D83)),NOT(ISNUMBER($H83))),"",IF((1-$H83-Parâmetros!$B$5-Parâmetros!$C$5-Parâmetros!$D$5)&lt;=0,"INVALIDO",($D83+IF(ISNUMBER($E83),$E83,0)+IF(ISNUMBER(Parâmetros!$E$5),Parâmetros!$E$5,0))/(1-$H83-Parâmetros!$B$5-Parâmetros!$C$5-Parâmetros!$D$5)))</f>
        <v>1061.51020408163</v>
      </c>
      <c r="J83" s="38" t="n">
        <v>985.2546375</v>
      </c>
      <c r="K83" s="39" t="n">
        <f aca="false">IF(OR($A83="",NOT(ISNUMBER($D83)),NOT(ISNUMBER($H83))),"",IF(AND(ISNUMBER($J83),$J83&gt;0),$J83,IF(ISNUMBER($I83),$I83,"")))</f>
        <v>985.2546375</v>
      </c>
      <c r="L83" s="40" t="n">
        <f aca="false">IF(ISNUMBER($K83),$K83*$H83,"")</f>
        <v>177.34583475</v>
      </c>
      <c r="M83" s="40" t="n">
        <f aca="false">IF(ISNUMBER($K83),$K83*Parâmetros!$B$5,"")</f>
        <v>98.52546375</v>
      </c>
      <c r="N83" s="40" t="n">
        <f aca="false">IF(ISNUMBER($K83),$K83*Parâmetros!$C$5,"")</f>
        <v>29.557639125</v>
      </c>
      <c r="O83" s="40" t="n">
        <f aca="false">IF(ISNUMBER($K83),IF(ISNUMBER(Parâmetros!$E$5),Parâmetros!$E$5,0),"")</f>
        <v>0</v>
      </c>
      <c r="P83" s="41" t="n">
        <f aca="false">IF(ISNUMBER($K83),$K83-$D83-IF(ISNUMBER($E83),$E83,0)-$L83-$M83-$N83-$O83,"")</f>
        <v>159.685699875</v>
      </c>
      <c r="Q83" s="42" t="n">
        <f aca="false">IF(AND(ISNUMBER($K83),$K83&gt;0),$P83/$K83,"")</f>
        <v>0.162075562800891</v>
      </c>
      <c r="R83" s="43"/>
      <c r="S83" s="44" t="str">
        <f aca="false">IF(OR(NOT(ISNUMBER($R83)),$R83=0,NOT(ISNUMBER($K83))),"",$K83*(1-$R83))</f>
        <v/>
      </c>
      <c r="T83" s="45" t="str">
        <f aca="false">IF(ISNUMBER($S83),$S83*$H83,"")</f>
        <v/>
      </c>
      <c r="U83" s="45" t="str">
        <f aca="false">IF(ISNUMBER($S83),$S83*Parâmetros!$B$5,"")</f>
        <v/>
      </c>
      <c r="V83" s="45" t="str">
        <f aca="false">IF(ISNUMBER($S83),$S83*Parâmetros!$C$5,"")</f>
        <v/>
      </c>
      <c r="W83" s="44" t="str">
        <f aca="false">IF(ISNUMBER($S83),$S83-$D83-IF(ISNUMBER($E83),$E83,0)-$O83-$T83-$U83-$V83,"")</f>
        <v/>
      </c>
      <c r="X83" s="46" t="str">
        <f aca="false">IF(AND(ISNUMBER($S83),$S83&gt;0),$W83/$S83,"")</f>
        <v/>
      </c>
      <c r="Y83" s="49" t="s">
        <v>738</v>
      </c>
      <c r="Z83" s="21"/>
    </row>
    <row r="84" customFormat="false" ht="15.75" hidden="false" customHeight="true" outlineLevel="0" collapsed="false">
      <c r="A84" s="32" t="str">
        <f aca="false">IF(Produtos!$A84="","",Produtos!$A84)</f>
        <v>L4080-B</v>
      </c>
      <c r="B84" s="32" t="str">
        <f aca="false">IF(Produtos!$A84="","",Produtos!$B84)</f>
        <v>Lixeira c/Aro Basculante 40x80 100L</v>
      </c>
      <c r="C84" s="32" t="str">
        <f aca="false">IF(Produtos!$A84="","",Produtos!$C84)</f>
        <v>Lixeiras em inox</v>
      </c>
      <c r="D84" s="33" t="n">
        <f aca="false">IF(Produtos!$A84="","",IF(Produtos!$D84="","",Produtos!$D84))</f>
        <v>428.19</v>
      </c>
      <c r="E84" s="11" t="n">
        <v>106.85</v>
      </c>
      <c r="F84" s="34" t="n">
        <f aca="false">IF($A84="","",IF($C84="","⚠ categoria",IFERROR(INDEX(Parâmetros!$C$13:$C$22,MATCH($C84,Parâmetros!$A$13:$A$22,0)),"⚠ categoria")))</f>
        <v>0.18</v>
      </c>
      <c r="G84" s="35"/>
      <c r="H84" s="36" t="n">
        <f aca="false">IF($A84="","",IF(ISNUMBER($G84),$G84,IF(ISNUMBER($F84),$F84,"")))</f>
        <v>0.18</v>
      </c>
      <c r="I84" s="37" t="n">
        <f aca="false">IF(OR($A84="",NOT(ISNUMBER($D84)),NOT(ISNUMBER($H84))),"",IF((1-$H84-Parâmetros!$B$5-Parâmetros!$C$5-Parâmetros!$D$5)&lt;=0,"INVALIDO",($D84+IF(ISNUMBER($E84),$E84,0)+IF(ISNUMBER(Parâmetros!$E$5),Parâmetros!$E$5,0))/(1-$H84-Parâmetros!$B$5-Parâmetros!$C$5-Parâmetros!$D$5)))</f>
        <v>1091.91836734694</v>
      </c>
      <c r="J84" s="38" t="n">
        <v>1010.143575</v>
      </c>
      <c r="K84" s="39" t="n">
        <f aca="false">IF(OR($A84="",NOT(ISNUMBER($D84)),NOT(ISNUMBER($H84))),"",IF(AND(ISNUMBER($J84),$J84&gt;0),$J84,IF(ISNUMBER($I84),$I84,"")))</f>
        <v>1010.143575</v>
      </c>
      <c r="L84" s="40" t="n">
        <f aca="false">IF(ISNUMBER($K84),$K84*$H84,"")</f>
        <v>181.8258435</v>
      </c>
      <c r="M84" s="40" t="n">
        <f aca="false">IF(ISNUMBER($K84),$K84*Parâmetros!$B$5,"")</f>
        <v>101.0143575</v>
      </c>
      <c r="N84" s="40" t="n">
        <f aca="false">IF(ISNUMBER($K84),$K84*Parâmetros!$C$5,"")</f>
        <v>30.30430725</v>
      </c>
      <c r="O84" s="40" t="n">
        <f aca="false">IF(ISNUMBER($K84),IF(ISNUMBER(Parâmetros!$E$5),Parâmetros!$E$5,0),"")</f>
        <v>0</v>
      </c>
      <c r="P84" s="41" t="n">
        <f aca="false">IF(ISNUMBER($K84),$K84-$D84-IF(ISNUMBER($E84),$E84,0)-$L84-$M84-$N84-$O84,"")</f>
        <v>161.95906675</v>
      </c>
      <c r="Q84" s="42" t="n">
        <f aca="false">IF(AND(ISNUMBER($K84),$K84&gt;0),$P84/$K84,"")</f>
        <v>0.160332719781938</v>
      </c>
      <c r="R84" s="43"/>
      <c r="S84" s="44" t="str">
        <f aca="false">IF(OR(NOT(ISNUMBER($R84)),$R84=0,NOT(ISNUMBER($K84))),"",$K84*(1-$R84))</f>
        <v/>
      </c>
      <c r="T84" s="45" t="str">
        <f aca="false">IF(ISNUMBER($S84),$S84*$H84,"")</f>
        <v/>
      </c>
      <c r="U84" s="45" t="str">
        <f aca="false">IF(ISNUMBER($S84),$S84*Parâmetros!$B$5,"")</f>
        <v/>
      </c>
      <c r="V84" s="45" t="str">
        <f aca="false">IF(ISNUMBER($S84),$S84*Parâmetros!$C$5,"")</f>
        <v/>
      </c>
      <c r="W84" s="44" t="str">
        <f aca="false">IF(ISNUMBER($S84),$S84-$D84-IF(ISNUMBER($E84),$E84,0)-$O84-$T84-$U84-$V84,"")</f>
        <v/>
      </c>
      <c r="X84" s="46" t="str">
        <f aca="false">IF(AND(ISNUMBER($S84),$S84&gt;0),$W84/$S84,"")</f>
        <v/>
      </c>
      <c r="Y84" s="47" t="s">
        <v>738</v>
      </c>
      <c r="Z84" s="19"/>
    </row>
    <row r="85" customFormat="false" ht="15.75" hidden="false" customHeight="true" outlineLevel="0" collapsed="false">
      <c r="A85" s="48" t="str">
        <f aca="false">IF(Produtos!$A85="","",Produtos!$A85)</f>
        <v>L4090-B</v>
      </c>
      <c r="B85" s="48" t="str">
        <f aca="false">IF(Produtos!$A85="","",Produtos!$B85)</f>
        <v>Lixeira c/Aro Basculante 40x90 120L</v>
      </c>
      <c r="C85" s="48" t="str">
        <f aca="false">IF(Produtos!$A85="","",Produtos!$C85)</f>
        <v>Lixeiras em inox</v>
      </c>
      <c r="D85" s="33" t="n">
        <f aca="false">IF(Produtos!$A85="","",IF(Produtos!$D85="","",Produtos!$D85))</f>
        <v>468.32</v>
      </c>
      <c r="E85" s="11" t="n">
        <v>106.85</v>
      </c>
      <c r="F85" s="34" t="n">
        <f aca="false">IF($A85="","",IF($C85="","⚠ categoria",IFERROR(INDEX(Parâmetros!$C$13:$C$22,MATCH($C85,Parâmetros!$A$13:$A$22,0)),"⚠ categoria")))</f>
        <v>0.18</v>
      </c>
      <c r="G85" s="35"/>
      <c r="H85" s="36" t="n">
        <f aca="false">IF($A85="","",IF(ISNUMBER($G85),$G85,IF(ISNUMBER($F85),$F85,"")))</f>
        <v>0.18</v>
      </c>
      <c r="I85" s="37" t="n">
        <f aca="false">IF(OR($A85="",NOT(ISNUMBER($D85)),NOT(ISNUMBER($H85))),"",IF((1-$H85-Parâmetros!$B$5-Parâmetros!$C$5-Parâmetros!$D$5)&lt;=0,"INVALIDO",($D85+IF(ISNUMBER($E85),$E85,0)+IF(ISNUMBER(Parâmetros!$E$5),Parâmetros!$E$5,0))/(1-$H85-Parâmetros!$B$5-Parâmetros!$C$5-Parâmetros!$D$5)))</f>
        <v>1173.81632653061</v>
      </c>
      <c r="J85" s="38" t="n">
        <v>1088.0517375</v>
      </c>
      <c r="K85" s="39" t="n">
        <f aca="false">IF(OR($A85="",NOT(ISNUMBER($D85)),NOT(ISNUMBER($H85))),"",IF(AND(ISNUMBER($J85),$J85&gt;0),$J85,IF(ISNUMBER($I85),$I85,"")))</f>
        <v>1088.0517375</v>
      </c>
      <c r="L85" s="40" t="n">
        <f aca="false">IF(ISNUMBER($K85),$K85*$H85,"")</f>
        <v>195.84931275</v>
      </c>
      <c r="M85" s="40" t="n">
        <f aca="false">IF(ISNUMBER($K85),$K85*Parâmetros!$B$5,"")</f>
        <v>108.80517375</v>
      </c>
      <c r="N85" s="40" t="n">
        <f aca="false">IF(ISNUMBER($K85),$K85*Parâmetros!$C$5,"")</f>
        <v>32.641552125</v>
      </c>
      <c r="O85" s="40" t="n">
        <f aca="false">IF(ISNUMBER($K85),IF(ISNUMBER(Parâmetros!$E$5),Parâmetros!$E$5,0),"")</f>
        <v>0</v>
      </c>
      <c r="P85" s="41" t="n">
        <f aca="false">IF(ISNUMBER($K85),$K85-$D85-IF(ISNUMBER($E85),$E85,0)-$L85-$M85-$N85-$O85,"")</f>
        <v>175.585698875</v>
      </c>
      <c r="Q85" s="42" t="n">
        <f aca="false">IF(AND(ISNUMBER($K85),$K85&gt;0),$P85/$K85,"")</f>
        <v>0.161376240507129</v>
      </c>
      <c r="R85" s="43"/>
      <c r="S85" s="44" t="str">
        <f aca="false">IF(OR(NOT(ISNUMBER($R85)),$R85=0,NOT(ISNUMBER($K85))),"",$K85*(1-$R85))</f>
        <v/>
      </c>
      <c r="T85" s="45" t="str">
        <f aca="false">IF(ISNUMBER($S85),$S85*$H85,"")</f>
        <v/>
      </c>
      <c r="U85" s="45" t="str">
        <f aca="false">IF(ISNUMBER($S85),$S85*Parâmetros!$B$5,"")</f>
        <v/>
      </c>
      <c r="V85" s="45" t="str">
        <f aca="false">IF(ISNUMBER($S85),$S85*Parâmetros!$C$5,"")</f>
        <v/>
      </c>
      <c r="W85" s="44" t="str">
        <f aca="false">IF(ISNUMBER($S85),$S85-$D85-IF(ISNUMBER($E85),$E85,0)-$O85-$T85-$U85-$V85,"")</f>
        <v/>
      </c>
      <c r="X85" s="46" t="str">
        <f aca="false">IF(AND(ISNUMBER($S85),$S85&gt;0),$W85/$S85,"")</f>
        <v/>
      </c>
      <c r="Y85" s="49" t="s">
        <v>738</v>
      </c>
      <c r="Z85" s="21"/>
    </row>
    <row r="86" customFormat="false" ht="15.75" hidden="false" customHeight="true" outlineLevel="0" collapsed="false">
      <c r="A86" s="32" t="str">
        <f aca="false">IF(Produtos!$A86="","",Produtos!$A86)</f>
        <v>P1618</v>
      </c>
      <c r="B86" s="32" t="str">
        <f aca="false">IF(Produtos!$A86="","",Produtos!$B86)</f>
        <v>Lixeira c/Tampa Pedal 16x18 03L</v>
      </c>
      <c r="C86" s="32" t="str">
        <f aca="false">IF(Produtos!$A86="","",Produtos!$C86)</f>
        <v>Lixeiras com pedal</v>
      </c>
      <c r="D86" s="33" t="n">
        <f aca="false">IF(Produtos!$A86="","",IF(Produtos!$D86="","",Produtos!$D86))</f>
        <v>78.15</v>
      </c>
      <c r="E86" s="11"/>
      <c r="F86" s="34" t="n">
        <f aca="false">IF($A86="","",IF($C86="","⚠ categoria",IFERROR(INDEX(Parâmetros!$C$13:$C$22,MATCH($C86,Parâmetros!$A$13:$A$22,0)),"⚠ categoria")))</f>
        <v>0.18</v>
      </c>
      <c r="G86" s="35"/>
      <c r="H86" s="36" t="n">
        <f aca="false">IF($A86="","",IF(ISNUMBER($G86),$G86,IF(ISNUMBER($F86),$F86,"")))</f>
        <v>0.18</v>
      </c>
      <c r="I86" s="37" t="n">
        <f aca="false">IF(OR($A86="",NOT(ISNUMBER($D86)),NOT(ISNUMBER($H86))),"",IF((1-$H86-Parâmetros!$B$5-Parâmetros!$C$5-Parâmetros!$D$5)&lt;=0,"INVALIDO",($D86+IF(ISNUMBER($E86),$E86,0)+IF(ISNUMBER(Parâmetros!$E$5),Parâmetros!$E$5,0))/(1-$H86-Parâmetros!$B$5-Parâmetros!$C$5-Parâmetros!$D$5)))</f>
        <v>159.489795918367</v>
      </c>
      <c r="J86" s="38"/>
      <c r="K86" s="39" t="n">
        <f aca="false">IF(OR($A86="",NOT(ISNUMBER($D86)),NOT(ISNUMBER($H86))),"",IF(AND(ISNUMBER($J86),$J86&gt;0),$J86,IF(ISNUMBER($I86),$I86,"")))</f>
        <v>159.489795918367</v>
      </c>
      <c r="L86" s="40" t="n">
        <f aca="false">IF(ISNUMBER($K86),$K86*$H86,"")</f>
        <v>28.7081632653061</v>
      </c>
      <c r="M86" s="40" t="n">
        <f aca="false">IF(ISNUMBER($K86),$K86*Parâmetros!$B$5,"")</f>
        <v>15.9489795918367</v>
      </c>
      <c r="N86" s="40" t="n">
        <f aca="false">IF(ISNUMBER($K86),$K86*Parâmetros!$C$5,"")</f>
        <v>4.78469387755102</v>
      </c>
      <c r="O86" s="40" t="n">
        <f aca="false">IF(ISNUMBER($K86),IF(ISNUMBER(Parâmetros!$E$5),Parâmetros!$E$5,0),"")</f>
        <v>0</v>
      </c>
      <c r="P86" s="41" t="n">
        <f aca="false">IF(ISNUMBER($K86),$K86-$D86-IF(ISNUMBER($E86),$E86,0)-$L86-$M86-$N86-$O86,"")</f>
        <v>31.8979591836735</v>
      </c>
      <c r="Q86" s="42" t="n">
        <f aca="false">IF(AND(ISNUMBER($K86),$K86&gt;0),$P86/$K86,"")</f>
        <v>0.2</v>
      </c>
      <c r="R86" s="43"/>
      <c r="S86" s="44" t="str">
        <f aca="false">IF(OR(NOT(ISNUMBER($R86)),$R86=0,NOT(ISNUMBER($K86))),"",$K86*(1-$R86))</f>
        <v/>
      </c>
      <c r="T86" s="45" t="str">
        <f aca="false">IF(ISNUMBER($S86),$S86*$H86,"")</f>
        <v/>
      </c>
      <c r="U86" s="45" t="str">
        <f aca="false">IF(ISNUMBER($S86),$S86*Parâmetros!$B$5,"")</f>
        <v/>
      </c>
      <c r="V86" s="45" t="str">
        <f aca="false">IF(ISNUMBER($S86),$S86*Parâmetros!$C$5,"")</f>
        <v/>
      </c>
      <c r="W86" s="44" t="str">
        <f aca="false">IF(ISNUMBER($S86),$S86-$D86-IF(ISNUMBER($E86),$E86,0)-$O86-$T86-$U86-$V86,"")</f>
        <v/>
      </c>
      <c r="X86" s="46" t="str">
        <f aca="false">IF(AND(ISNUMBER($S86),$S86&gt;0),$W86/$S86,"")</f>
        <v/>
      </c>
      <c r="Y86" s="47"/>
      <c r="Z86" s="19"/>
    </row>
    <row r="87" customFormat="false" ht="15.75" hidden="false" customHeight="true" outlineLevel="0" collapsed="false">
      <c r="A87" s="48" t="str">
        <f aca="false">IF(Produtos!$A87="","",Produtos!$A87)</f>
        <v>P1623</v>
      </c>
      <c r="B87" s="48" t="str">
        <f aca="false">IF(Produtos!$A87="","",Produtos!$B87)</f>
        <v>Lixeira c/Tampa Pedal 16x23 05L</v>
      </c>
      <c r="C87" s="48" t="str">
        <f aca="false">IF(Produtos!$A87="","",Produtos!$C87)</f>
        <v>Lixeiras com pedal</v>
      </c>
      <c r="D87" s="33" t="n">
        <f aca="false">IF(Produtos!$A87="","",IF(Produtos!$D87="","",Produtos!$D87))</f>
        <v>81.62</v>
      </c>
      <c r="E87" s="11" t="n">
        <v>21.75</v>
      </c>
      <c r="F87" s="34" t="n">
        <f aca="false">IF($A87="","",IF($C87="","⚠ categoria",IFERROR(INDEX(Parâmetros!$C$13:$C$22,MATCH($C87,Parâmetros!$A$13:$A$22,0)),"⚠ categoria")))</f>
        <v>0.18</v>
      </c>
      <c r="G87" s="35" t="n">
        <v>0.15</v>
      </c>
      <c r="H87" s="36" t="n">
        <f aca="false">IF($A87="","",IF(ISNUMBER($G87),$G87,IF(ISNUMBER($F87),$F87,"")))</f>
        <v>0.15</v>
      </c>
      <c r="I87" s="37" t="n">
        <f aca="false">IF(OR($A87="",NOT(ISNUMBER($D87)),NOT(ISNUMBER($H87))),"",IF((1-$H87-Parâmetros!$B$5-Parâmetros!$C$5-Parâmetros!$D$5)&lt;=0,"INVALIDO",($D87+IF(ISNUMBER($E87),$E87,0)+IF(ISNUMBER(Parâmetros!$E$5),Parâmetros!$E$5,0))/(1-$H87-Parâmetros!$B$5-Parâmetros!$C$5-Parâmetros!$D$5)))</f>
        <v>198.788461538462</v>
      </c>
      <c r="J87" s="38" t="n">
        <v>199.9</v>
      </c>
      <c r="K87" s="39" t="n">
        <f aca="false">IF(OR($A87="",NOT(ISNUMBER($D87)),NOT(ISNUMBER($H87))),"",IF(AND(ISNUMBER($J87),$J87&gt;0),$J87,IF(ISNUMBER($I87),$I87,"")))</f>
        <v>199.9</v>
      </c>
      <c r="L87" s="40" t="n">
        <f aca="false">IF(ISNUMBER($K87),$K87*$H87,"")</f>
        <v>29.985</v>
      </c>
      <c r="M87" s="40" t="n">
        <f aca="false">IF(ISNUMBER($K87),$K87*Parâmetros!$B$5,"")</f>
        <v>19.99</v>
      </c>
      <c r="N87" s="40" t="n">
        <f aca="false">IF(ISNUMBER($K87),$K87*Parâmetros!$C$5,"")</f>
        <v>5.997</v>
      </c>
      <c r="O87" s="40" t="n">
        <f aca="false">IF(ISNUMBER($K87),IF(ISNUMBER(Parâmetros!$E$5),Parâmetros!$E$5,0),"")</f>
        <v>0</v>
      </c>
      <c r="P87" s="41" t="n">
        <f aca="false">IF(ISNUMBER($K87),$K87-$D87-IF(ISNUMBER($E87),$E87,0)-$L87-$M87-$N87-$O87,"")</f>
        <v>40.558</v>
      </c>
      <c r="Q87" s="42" t="n">
        <f aca="false">IF(AND(ISNUMBER($K87),$K87&gt;0),$P87/$K87,"")</f>
        <v>0.202891445722861</v>
      </c>
      <c r="R87" s="43"/>
      <c r="S87" s="44" t="str">
        <f aca="false">IF(OR(NOT(ISNUMBER($R87)),$R87=0,NOT(ISNUMBER($K87))),"",$K87*(1-$R87))</f>
        <v/>
      </c>
      <c r="T87" s="45" t="str">
        <f aca="false">IF(ISNUMBER($S87),$S87*$H87,"")</f>
        <v/>
      </c>
      <c r="U87" s="45" t="str">
        <f aca="false">IF(ISNUMBER($S87),$S87*Parâmetros!$B$5,"")</f>
        <v/>
      </c>
      <c r="V87" s="45" t="str">
        <f aca="false">IF(ISNUMBER($S87),$S87*Parâmetros!$C$5,"")</f>
        <v/>
      </c>
      <c r="W87" s="44" t="str">
        <f aca="false">IF(ISNUMBER($S87),$S87-$D87-IF(ISNUMBER($E87),$E87,0)-$O87-$T87-$U87-$V87,"")</f>
        <v/>
      </c>
      <c r="X87" s="46" t="str">
        <f aca="false">IF(AND(ISNUMBER($S87),$S87&gt;0),$W87/$S87,"")</f>
        <v/>
      </c>
      <c r="Y87" s="49" t="s">
        <v>738</v>
      </c>
      <c r="Z87" s="21"/>
    </row>
    <row r="88" customFormat="false" ht="15.75" hidden="false" customHeight="true" outlineLevel="0" collapsed="false">
      <c r="A88" s="32" t="str">
        <f aca="false">IF(Produtos!$A88="","",Produtos!$A88)</f>
        <v>P2025</v>
      </c>
      <c r="B88" s="32" t="str">
        <f aca="false">IF(Produtos!$A88="","",Produtos!$B88)</f>
        <v>Lixeira c/Tampa Pedal 20x25 07L</v>
      </c>
      <c r="C88" s="32" t="str">
        <f aca="false">IF(Produtos!$A88="","",Produtos!$C88)</f>
        <v>Lixeiras com pedal</v>
      </c>
      <c r="D88" s="33" t="n">
        <f aca="false">IF(Produtos!$A88="","",IF(Produtos!$D88="","",Produtos!$D88))</f>
        <v>99.57</v>
      </c>
      <c r="E88" s="11" t="n">
        <v>25.55</v>
      </c>
      <c r="F88" s="34" t="n">
        <f aca="false">IF($A88="","",IF($C88="","⚠ categoria",IFERROR(INDEX(Parâmetros!$C$13:$C$22,MATCH($C88,Parâmetros!$A$13:$A$22,0)),"⚠ categoria")))</f>
        <v>0.18</v>
      </c>
      <c r="G88" s="35" t="n">
        <v>0.15</v>
      </c>
      <c r="H88" s="36" t="n">
        <f aca="false">IF($A88="","",IF(ISNUMBER($G88),$G88,IF(ISNUMBER($F88),$F88,"")))</f>
        <v>0.15</v>
      </c>
      <c r="I88" s="37" t="n">
        <f aca="false">IF(OR($A88="",NOT(ISNUMBER($D88)),NOT(ISNUMBER($H88))),"",IF((1-$H88-Parâmetros!$B$5-Parâmetros!$C$5-Parâmetros!$D$5)&lt;=0,"INVALIDO",($D88+IF(ISNUMBER($E88),$E88,0)+IF(ISNUMBER(Parâmetros!$E$5),Parâmetros!$E$5,0))/(1-$H88-Parâmetros!$B$5-Parâmetros!$C$5-Parâmetros!$D$5)))</f>
        <v>240.615384615385</v>
      </c>
      <c r="J88" s="38" t="n">
        <v>244.02735</v>
      </c>
      <c r="K88" s="39" t="n">
        <f aca="false">IF(OR($A88="",NOT(ISNUMBER($D88)),NOT(ISNUMBER($H88))),"",IF(AND(ISNUMBER($J88),$J88&gt;0),$J88,IF(ISNUMBER($I88),$I88,"")))</f>
        <v>244.02735</v>
      </c>
      <c r="L88" s="40" t="n">
        <f aca="false">IF(ISNUMBER($K88),$K88*$H88,"")</f>
        <v>36.6041025</v>
      </c>
      <c r="M88" s="40" t="n">
        <f aca="false">IF(ISNUMBER($K88),$K88*Parâmetros!$B$5,"")</f>
        <v>24.402735</v>
      </c>
      <c r="N88" s="40" t="n">
        <f aca="false">IF(ISNUMBER($K88),$K88*Parâmetros!$C$5,"")</f>
        <v>7.3208205</v>
      </c>
      <c r="O88" s="40" t="n">
        <f aca="false">IF(ISNUMBER($K88),IF(ISNUMBER(Parâmetros!$E$5),Parâmetros!$E$5,0),"")</f>
        <v>0</v>
      </c>
      <c r="P88" s="41" t="n">
        <f aca="false">IF(ISNUMBER($K88),$K88-$D88-IF(ISNUMBER($E88),$E88,0)-$L88-$M88-$N88-$O88,"")</f>
        <v>50.579692</v>
      </c>
      <c r="Q88" s="42" t="n">
        <f aca="false">IF(AND(ISNUMBER($K88),$K88&gt;0),$P88/$K88,"")</f>
        <v>0.207270586678092</v>
      </c>
      <c r="R88" s="43"/>
      <c r="S88" s="44" t="str">
        <f aca="false">IF(OR(NOT(ISNUMBER($R88)),$R88=0,NOT(ISNUMBER($K88))),"",$K88*(1-$R88))</f>
        <v/>
      </c>
      <c r="T88" s="45" t="str">
        <f aca="false">IF(ISNUMBER($S88),$S88*$H88,"")</f>
        <v/>
      </c>
      <c r="U88" s="45" t="str">
        <f aca="false">IF(ISNUMBER($S88),$S88*Parâmetros!$B$5,"")</f>
        <v/>
      </c>
      <c r="V88" s="45" t="str">
        <f aca="false">IF(ISNUMBER($S88),$S88*Parâmetros!$C$5,"")</f>
        <v/>
      </c>
      <c r="W88" s="44" t="str">
        <f aca="false">IF(ISNUMBER($S88),$S88-$D88-IF(ISNUMBER($E88),$E88,0)-$O88-$T88-$U88-$V88,"")</f>
        <v/>
      </c>
      <c r="X88" s="46" t="str">
        <f aca="false">IF(AND(ISNUMBER($S88),$S88&gt;0),$W88/$S88,"")</f>
        <v/>
      </c>
      <c r="Y88" s="47" t="s">
        <v>738</v>
      </c>
      <c r="Z88" s="19"/>
    </row>
    <row r="89" customFormat="false" ht="15.75" hidden="false" customHeight="true" outlineLevel="0" collapsed="false">
      <c r="A89" s="48" t="str">
        <f aca="false">IF(Produtos!$A89="","",Produtos!$A89)</f>
        <v>P2030</v>
      </c>
      <c r="B89" s="48" t="str">
        <f aca="false">IF(Produtos!$A89="","",Produtos!$B89)</f>
        <v>Lixeira c/Tampa Pedal 20x30 10L</v>
      </c>
      <c r="C89" s="48" t="str">
        <f aca="false">IF(Produtos!$A89="","",Produtos!$C89)</f>
        <v>Lixeiras com pedal</v>
      </c>
      <c r="D89" s="33" t="n">
        <f aca="false">IF(Produtos!$A89="","",IF(Produtos!$D89="","",Produtos!$D89))</f>
        <v>111.27</v>
      </c>
      <c r="E89" s="11" t="n">
        <v>25.55</v>
      </c>
      <c r="F89" s="34" t="n">
        <f aca="false">IF($A89="","",IF($C89="","⚠ categoria",IFERROR(INDEX(Parâmetros!$C$13:$C$22,MATCH($C89,Parâmetros!$A$13:$A$22,0)),"⚠ categoria")))</f>
        <v>0.18</v>
      </c>
      <c r="G89" s="35" t="n">
        <v>0.15</v>
      </c>
      <c r="H89" s="36" t="n">
        <f aca="false">IF($A89="","",IF(ISNUMBER($G89),$G89,IF(ISNUMBER($F89),$F89,"")))</f>
        <v>0.15</v>
      </c>
      <c r="I89" s="37" t="n">
        <f aca="false">IF(OR($A89="",NOT(ISNUMBER($D89)),NOT(ISNUMBER($H89))),"",IF((1-$H89-Parâmetros!$B$5-Parâmetros!$C$5-Parâmetros!$D$5)&lt;=0,"INVALIDO",($D89+IF(ISNUMBER($E89),$E89,0)+IF(ISNUMBER(Parâmetros!$E$5),Parâmetros!$E$5,0))/(1-$H89-Parâmetros!$B$5-Parâmetros!$C$5-Parâmetros!$D$5)))</f>
        <v>263.115384615385</v>
      </c>
      <c r="J89" s="38" t="n">
        <v>264.30265</v>
      </c>
      <c r="K89" s="39" t="n">
        <f aca="false">IF(OR($A89="",NOT(ISNUMBER($D89)),NOT(ISNUMBER($H89))),"",IF(AND(ISNUMBER($J89),$J89&gt;0),$J89,IF(ISNUMBER($I89),$I89,"")))</f>
        <v>264.30265</v>
      </c>
      <c r="L89" s="40" t="n">
        <f aca="false">IF(ISNUMBER($K89),$K89*$H89,"")</f>
        <v>39.6453975</v>
      </c>
      <c r="M89" s="40" t="n">
        <f aca="false">IF(ISNUMBER($K89),$K89*Parâmetros!$B$5,"")</f>
        <v>26.430265</v>
      </c>
      <c r="N89" s="40" t="n">
        <f aca="false">IF(ISNUMBER($K89),$K89*Parâmetros!$C$5,"")</f>
        <v>7.9290795</v>
      </c>
      <c r="O89" s="40" t="n">
        <f aca="false">IF(ISNUMBER($K89),IF(ISNUMBER(Parâmetros!$E$5),Parâmetros!$E$5,0),"")</f>
        <v>0</v>
      </c>
      <c r="P89" s="41" t="n">
        <f aca="false">IF(ISNUMBER($K89),$K89-$D89-IF(ISNUMBER($E89),$E89,0)-$L89-$M89-$N89-$O89,"")</f>
        <v>53.477908</v>
      </c>
      <c r="Q89" s="42" t="n">
        <f aca="false">IF(AND(ISNUMBER($K89),$K89&gt;0),$P89/$K89,"")</f>
        <v>0.202335875179458</v>
      </c>
      <c r="R89" s="43"/>
      <c r="S89" s="44" t="str">
        <f aca="false">IF(OR(NOT(ISNUMBER($R89)),$R89=0,NOT(ISNUMBER($K89))),"",$K89*(1-$R89))</f>
        <v/>
      </c>
      <c r="T89" s="45" t="str">
        <f aca="false">IF(ISNUMBER($S89),$S89*$H89,"")</f>
        <v/>
      </c>
      <c r="U89" s="45" t="str">
        <f aca="false">IF(ISNUMBER($S89),$S89*Parâmetros!$B$5,"")</f>
        <v/>
      </c>
      <c r="V89" s="45" t="str">
        <f aca="false">IF(ISNUMBER($S89),$S89*Parâmetros!$C$5,"")</f>
        <v/>
      </c>
      <c r="W89" s="44" t="str">
        <f aca="false">IF(ISNUMBER($S89),$S89-$D89-IF(ISNUMBER($E89),$E89,0)-$O89-$T89-$U89-$V89,"")</f>
        <v/>
      </c>
      <c r="X89" s="46" t="str">
        <f aca="false">IF(AND(ISNUMBER($S89),$S89&gt;0),$W89/$S89,"")</f>
        <v/>
      </c>
      <c r="Y89" s="49" t="s">
        <v>739</v>
      </c>
      <c r="Z89" s="21"/>
    </row>
    <row r="90" customFormat="false" ht="15.75" hidden="false" customHeight="true" outlineLevel="0" collapsed="false">
      <c r="A90" s="32" t="str">
        <f aca="false">IF(Produtos!$A90="","",Produtos!$A90)</f>
        <v>P2425</v>
      </c>
      <c r="B90" s="32" t="str">
        <f aca="false">IF(Produtos!$A90="","",Produtos!$B90)</f>
        <v>Lixeira c/Tampa Pedal 24x25 12L</v>
      </c>
      <c r="C90" s="32" t="str">
        <f aca="false">IF(Produtos!$A90="","",Produtos!$C90)</f>
        <v>Lixeiras com pedal</v>
      </c>
      <c r="D90" s="33" t="n">
        <f aca="false">IF(Produtos!$A90="","",IF(Produtos!$D90="","",Produtos!$D90))</f>
        <v>121.08</v>
      </c>
      <c r="E90" s="11" t="n">
        <v>27.05</v>
      </c>
      <c r="F90" s="34" t="n">
        <f aca="false">IF($A90="","",IF($C90="","⚠ categoria",IFERROR(INDEX(Parâmetros!$C$13:$C$22,MATCH($C90,Parâmetros!$A$13:$A$22,0)),"⚠ categoria")))</f>
        <v>0.18</v>
      </c>
      <c r="G90" s="35" t="n">
        <v>0.15</v>
      </c>
      <c r="H90" s="36" t="n">
        <f aca="false">IF($A90="","",IF(ISNUMBER($G90),$G90,IF(ISNUMBER($F90),$F90,"")))</f>
        <v>0.15</v>
      </c>
      <c r="I90" s="37" t="n">
        <f aca="false">IF(OR($A90="",NOT(ISNUMBER($D90)),NOT(ISNUMBER($H90))),"",IF((1-$H90-Parâmetros!$B$5-Parâmetros!$C$5-Parâmetros!$D$5)&lt;=0,"INVALIDO",($D90+IF(ISNUMBER($E90),$E90,0)+IF(ISNUMBER(Parâmetros!$E$5),Parâmetros!$E$5,0))/(1-$H90-Parâmetros!$B$5-Parâmetros!$C$5-Parâmetros!$D$5)))</f>
        <v>284.865384615385</v>
      </c>
      <c r="J90" s="38" t="n">
        <v>289.69565625</v>
      </c>
      <c r="K90" s="39" t="n">
        <f aca="false">IF(OR($A90="",NOT(ISNUMBER($D90)),NOT(ISNUMBER($H90))),"",IF(AND(ISNUMBER($J90),$J90&gt;0),$J90,IF(ISNUMBER($I90),$I90,"")))</f>
        <v>289.69565625</v>
      </c>
      <c r="L90" s="40" t="n">
        <f aca="false">IF(ISNUMBER($K90),$K90*$H90,"")</f>
        <v>43.4543484375</v>
      </c>
      <c r="M90" s="40" t="n">
        <f aca="false">IF(ISNUMBER($K90),$K90*Parâmetros!$B$5,"")</f>
        <v>28.969565625</v>
      </c>
      <c r="N90" s="40" t="n">
        <f aca="false">IF(ISNUMBER($K90),$K90*Parâmetros!$C$5,"")</f>
        <v>8.6908696875</v>
      </c>
      <c r="O90" s="40" t="n">
        <f aca="false">IF(ISNUMBER($K90),IF(ISNUMBER(Parâmetros!$E$5),Parâmetros!$E$5,0),"")</f>
        <v>0</v>
      </c>
      <c r="P90" s="41" t="n">
        <f aca="false">IF(ISNUMBER($K90),$K90-$D90-IF(ISNUMBER($E90),$E90,0)-$L90-$M90-$N90-$O90,"")</f>
        <v>60.4508725</v>
      </c>
      <c r="Q90" s="42" t="n">
        <f aca="false">IF(AND(ISNUMBER($K90),$K90&gt;0),$P90/$K90,"")</f>
        <v>0.208670275842288</v>
      </c>
      <c r="R90" s="43"/>
      <c r="S90" s="44" t="str">
        <f aca="false">IF(OR(NOT(ISNUMBER($R90)),$R90=0,NOT(ISNUMBER($K90))),"",$K90*(1-$R90))</f>
        <v/>
      </c>
      <c r="T90" s="45" t="str">
        <f aca="false">IF(ISNUMBER($S90),$S90*$H90,"")</f>
        <v/>
      </c>
      <c r="U90" s="45" t="str">
        <f aca="false">IF(ISNUMBER($S90),$S90*Parâmetros!$B$5,"")</f>
        <v/>
      </c>
      <c r="V90" s="45" t="str">
        <f aca="false">IF(ISNUMBER($S90),$S90*Parâmetros!$C$5,"")</f>
        <v/>
      </c>
      <c r="W90" s="44" t="str">
        <f aca="false">IF(ISNUMBER($S90),$S90-$D90-IF(ISNUMBER($E90),$E90,0)-$O90-$T90-$U90-$V90,"")</f>
        <v/>
      </c>
      <c r="X90" s="46" t="str">
        <f aca="false">IF(AND(ISNUMBER($S90),$S90&gt;0),$W90/$S90,"")</f>
        <v/>
      </c>
      <c r="Y90" s="47" t="s">
        <v>738</v>
      </c>
      <c r="Z90" s="19"/>
    </row>
    <row r="91" customFormat="false" ht="15.75" hidden="false" customHeight="true" outlineLevel="0" collapsed="false">
      <c r="A91" s="48" t="str">
        <f aca="false">IF(Produtos!$A91="","",Produtos!$A91)</f>
        <v>P2430</v>
      </c>
      <c r="B91" s="48" t="str">
        <f aca="false">IF(Produtos!$A91="","",Produtos!$B91)</f>
        <v>Lixeira c/Tampa Pedal 24x30 15L</v>
      </c>
      <c r="C91" s="48" t="str">
        <f aca="false">IF(Produtos!$A91="","",Produtos!$C91)</f>
        <v>Lixeiras com pedal</v>
      </c>
      <c r="D91" s="33" t="n">
        <f aca="false">IF(Produtos!$A91="","",IF(Produtos!$D91="","",Produtos!$D91))</f>
        <v>124.7</v>
      </c>
      <c r="E91" s="11" t="n">
        <v>27.05</v>
      </c>
      <c r="F91" s="34" t="n">
        <f aca="false">IF($A91="","",IF($C91="","⚠ categoria",IFERROR(INDEX(Parâmetros!$C$13:$C$22,MATCH($C91,Parâmetros!$A$13:$A$22,0)),"⚠ categoria")))</f>
        <v>0.18</v>
      </c>
      <c r="G91" s="35" t="n">
        <v>0.15</v>
      </c>
      <c r="H91" s="36" t="n">
        <f aca="false">IF($A91="","",IF(ISNUMBER($G91),$G91,IF(ISNUMBER($F91),$F91,"")))</f>
        <v>0.15</v>
      </c>
      <c r="I91" s="37" t="n">
        <f aca="false">IF(OR($A91="",NOT(ISNUMBER($D91)),NOT(ISNUMBER($H91))),"",IF((1-$H91-Parâmetros!$B$5-Parâmetros!$C$5-Parâmetros!$D$5)&lt;=0,"INVALIDO",($D91+IF(ISNUMBER($E91),$E91,0)+IF(ISNUMBER(Parâmetros!$E$5),Parâmetros!$E$5,0))/(1-$H91-Parâmetros!$B$5-Parâmetros!$C$5-Parâmetros!$D$5)))</f>
        <v>291.826923076923</v>
      </c>
      <c r="J91" s="38" t="n">
        <v>296.9308125</v>
      </c>
      <c r="K91" s="39" t="n">
        <f aca="false">IF(OR($A91="",NOT(ISNUMBER($D91)),NOT(ISNUMBER($H91))),"",IF(AND(ISNUMBER($J91),$J91&gt;0),$J91,IF(ISNUMBER($I91),$I91,"")))</f>
        <v>296.9308125</v>
      </c>
      <c r="L91" s="40" t="n">
        <f aca="false">IF(ISNUMBER($K91),$K91*$H91,"")</f>
        <v>44.539621875</v>
      </c>
      <c r="M91" s="40" t="n">
        <f aca="false">IF(ISNUMBER($K91),$K91*Parâmetros!$B$5,"")</f>
        <v>29.69308125</v>
      </c>
      <c r="N91" s="40" t="n">
        <f aca="false">IF(ISNUMBER($K91),$K91*Parâmetros!$C$5,"")</f>
        <v>8.907924375</v>
      </c>
      <c r="O91" s="40" t="n">
        <f aca="false">IF(ISNUMBER($K91),IF(ISNUMBER(Parâmetros!$E$5),Parâmetros!$E$5,0),"")</f>
        <v>0</v>
      </c>
      <c r="P91" s="41" t="n">
        <f aca="false">IF(ISNUMBER($K91),$K91-$D91-IF(ISNUMBER($E91),$E91,0)-$L91-$M91-$N91-$O91,"")</f>
        <v>62.040185</v>
      </c>
      <c r="Q91" s="42" t="n">
        <f aca="false">IF(AND(ISNUMBER($K91),$K91&gt;0),$P91/$K91,"")</f>
        <v>0.2089381848844</v>
      </c>
      <c r="R91" s="43"/>
      <c r="S91" s="44" t="str">
        <f aca="false">IF(OR(NOT(ISNUMBER($R91)),$R91=0,NOT(ISNUMBER($K91))),"",$K91*(1-$R91))</f>
        <v/>
      </c>
      <c r="T91" s="45" t="str">
        <f aca="false">IF(ISNUMBER($S91),$S91*$H91,"")</f>
        <v/>
      </c>
      <c r="U91" s="45" t="str">
        <f aca="false">IF(ISNUMBER($S91),$S91*Parâmetros!$B$5,"")</f>
        <v/>
      </c>
      <c r="V91" s="45" t="str">
        <f aca="false">IF(ISNUMBER($S91),$S91*Parâmetros!$C$5,"")</f>
        <v/>
      </c>
      <c r="W91" s="44" t="str">
        <f aca="false">IF(ISNUMBER($S91),$S91-$D91-IF(ISNUMBER($E91),$E91,0)-$O91-$T91-$U91-$V91,"")</f>
        <v/>
      </c>
      <c r="X91" s="46" t="str">
        <f aca="false">IF(AND(ISNUMBER($S91),$S91&gt;0),$W91/$S91,"")</f>
        <v/>
      </c>
      <c r="Y91" s="49" t="s">
        <v>738</v>
      </c>
      <c r="Z91" s="21"/>
    </row>
    <row r="92" customFormat="false" ht="15.75" hidden="false" customHeight="true" outlineLevel="0" collapsed="false">
      <c r="A92" s="32" t="str">
        <f aca="false">IF(Produtos!$A92="","",Produtos!$A92)</f>
        <v>P2440</v>
      </c>
      <c r="B92" s="32" t="str">
        <f aca="false">IF(Produtos!$A92="","",Produtos!$B92)</f>
        <v>Lixeira c/Tampa Pedal 24x40 20L</v>
      </c>
      <c r="C92" s="32" t="str">
        <f aca="false">IF(Produtos!$A92="","",Produtos!$C92)</f>
        <v>Lixeiras com pedal</v>
      </c>
      <c r="D92" s="33" t="n">
        <f aca="false">IF(Produtos!$A92="","",IF(Produtos!$D92="","",Produtos!$D92))</f>
        <v>140.24</v>
      </c>
      <c r="E92" s="11" t="n">
        <v>29.25</v>
      </c>
      <c r="F92" s="34" t="n">
        <f aca="false">IF($A92="","",IF($C92="","⚠ categoria",IFERROR(INDEX(Parâmetros!$C$13:$C$22,MATCH($C92,Parâmetros!$A$13:$A$22,0)),"⚠ categoria")))</f>
        <v>0.18</v>
      </c>
      <c r="G92" s="35" t="n">
        <v>0.15</v>
      </c>
      <c r="H92" s="36" t="n">
        <f aca="false">IF($A92="","",IF(ISNUMBER($G92),$G92,IF(ISNUMBER($F92),$F92,"")))</f>
        <v>0.15</v>
      </c>
      <c r="I92" s="37" t="n">
        <f aca="false">IF(OR($A92="",NOT(ISNUMBER($D92)),NOT(ISNUMBER($H92))),"",IF((1-$H92-Parâmetros!$B$5-Parâmetros!$C$5-Parâmetros!$D$5)&lt;=0,"INVALIDO",($D92+IF(ISNUMBER($E92),$E92,0)+IF(ISNUMBER(Parâmetros!$E$5),Parâmetros!$E$5,0))/(1-$H92-Parâmetros!$B$5-Parâmetros!$C$5-Parâmetros!$D$5)))</f>
        <v>325.942307692308</v>
      </c>
      <c r="J92" s="38" t="n">
        <v>331.960545</v>
      </c>
      <c r="K92" s="39" t="n">
        <f aca="false">IF(OR($A92="",NOT(ISNUMBER($D92)),NOT(ISNUMBER($H92))),"",IF(AND(ISNUMBER($J92),$J92&gt;0),$J92,IF(ISNUMBER($I92),$I92,"")))</f>
        <v>331.960545</v>
      </c>
      <c r="L92" s="40" t="n">
        <f aca="false">IF(ISNUMBER($K92),$K92*$H92,"")</f>
        <v>49.79408175</v>
      </c>
      <c r="M92" s="40" t="n">
        <f aca="false">IF(ISNUMBER($K92),$K92*Parâmetros!$B$5,"")</f>
        <v>33.1960545</v>
      </c>
      <c r="N92" s="40" t="n">
        <f aca="false">IF(ISNUMBER($K92),$K92*Parâmetros!$C$5,"")</f>
        <v>9.95881635</v>
      </c>
      <c r="O92" s="40" t="n">
        <f aca="false">IF(ISNUMBER($K92),IF(ISNUMBER(Parâmetros!$E$5),Parâmetros!$E$5,0),"")</f>
        <v>0</v>
      </c>
      <c r="P92" s="41" t="n">
        <f aca="false">IF(ISNUMBER($K92),$K92-$D92-IF(ISNUMBER($E92),$E92,0)-$L92-$M92-$N92-$O92,"")</f>
        <v>69.5215924000001</v>
      </c>
      <c r="Q92" s="42" t="n">
        <f aca="false">IF(AND(ISNUMBER($K92),$K92&gt;0),$P92/$K92,"")</f>
        <v>0.209427275160065</v>
      </c>
      <c r="R92" s="43"/>
      <c r="S92" s="44" t="str">
        <f aca="false">IF(OR(NOT(ISNUMBER($R92)),$R92=0,NOT(ISNUMBER($K92))),"",$K92*(1-$R92))</f>
        <v/>
      </c>
      <c r="T92" s="45" t="str">
        <f aca="false">IF(ISNUMBER($S92),$S92*$H92,"")</f>
        <v/>
      </c>
      <c r="U92" s="45" t="str">
        <f aca="false">IF(ISNUMBER($S92),$S92*Parâmetros!$B$5,"")</f>
        <v/>
      </c>
      <c r="V92" s="45" t="str">
        <f aca="false">IF(ISNUMBER($S92),$S92*Parâmetros!$C$5,"")</f>
        <v/>
      </c>
      <c r="W92" s="44" t="str">
        <f aca="false">IF(ISNUMBER($S92),$S92-$D92-IF(ISNUMBER($E92),$E92,0)-$O92-$T92-$U92-$V92,"")</f>
        <v/>
      </c>
      <c r="X92" s="46" t="str">
        <f aca="false">IF(AND(ISNUMBER($S92),$S92&gt;0),$W92/$S92,"")</f>
        <v/>
      </c>
      <c r="Y92" s="47" t="s">
        <v>738</v>
      </c>
      <c r="Z92" s="19"/>
    </row>
    <row r="93" customFormat="false" ht="15.75" hidden="false" customHeight="true" outlineLevel="0" collapsed="false">
      <c r="A93" s="48" t="str">
        <f aca="false">IF(Produtos!$A93="","",Produtos!$A93)</f>
        <v>P3040</v>
      </c>
      <c r="B93" s="48" t="str">
        <f aca="false">IF(Produtos!$A93="","",Produtos!$B93)</f>
        <v>Lixeira c/Tampa Pedal 30x40 30L</v>
      </c>
      <c r="C93" s="48" t="str">
        <f aca="false">IF(Produtos!$A93="","",Produtos!$C93)</f>
        <v>Lixeiras com pedal</v>
      </c>
      <c r="D93" s="33" t="n">
        <f aca="false">IF(Produtos!$A93="","",IF(Produtos!$D93="","",Produtos!$D93))</f>
        <v>194.88</v>
      </c>
      <c r="E93" s="11" t="n">
        <v>40.85</v>
      </c>
      <c r="F93" s="34" t="n">
        <f aca="false">IF($A93="","",IF($C93="","⚠ categoria",IFERROR(INDEX(Parâmetros!$C$13:$C$22,MATCH($C93,Parâmetros!$A$13:$A$22,0)),"⚠ categoria")))</f>
        <v>0.18</v>
      </c>
      <c r="G93" s="35" t="n">
        <v>0.15</v>
      </c>
      <c r="H93" s="36" t="n">
        <f aca="false">IF($A93="","",IF(ISNUMBER($G93),$G93,IF(ISNUMBER($F93),$F93,"")))</f>
        <v>0.15</v>
      </c>
      <c r="I93" s="37" t="n">
        <f aca="false">IF(OR($A93="",NOT(ISNUMBER($D93)),NOT(ISNUMBER($H93))),"",IF((1-$H93-Parâmetros!$B$5-Parâmetros!$C$5-Parâmetros!$D$5)&lt;=0,"INVALIDO",($D93+IF(ISNUMBER($E93),$E93,0)+IF(ISNUMBER(Parâmetros!$E$5),Parâmetros!$E$5,0))/(1-$H93-Parâmetros!$B$5-Parâmetros!$C$5-Parâmetros!$D$5)))</f>
        <v>453.326923076923</v>
      </c>
      <c r="J93" s="38" t="n">
        <v>453.90395125</v>
      </c>
      <c r="K93" s="39" t="n">
        <f aca="false">IF(OR($A93="",NOT(ISNUMBER($D93)),NOT(ISNUMBER($H93))),"",IF(AND(ISNUMBER($J93),$J93&gt;0),$J93,IF(ISNUMBER($I93),$I93,"")))</f>
        <v>453.90395125</v>
      </c>
      <c r="L93" s="40" t="n">
        <f aca="false">IF(ISNUMBER($K93),$K93*$H93,"")</f>
        <v>68.0855926875</v>
      </c>
      <c r="M93" s="40" t="n">
        <f aca="false">IF(ISNUMBER($K93),$K93*Parâmetros!$B$5,"")</f>
        <v>45.390395125</v>
      </c>
      <c r="N93" s="40" t="n">
        <f aca="false">IF(ISNUMBER($K93),$K93*Parâmetros!$C$5,"")</f>
        <v>13.6171185375</v>
      </c>
      <c r="O93" s="40" t="n">
        <f aca="false">IF(ISNUMBER($K93),IF(ISNUMBER(Parâmetros!$E$5),Parâmetros!$E$5,0),"")</f>
        <v>0</v>
      </c>
      <c r="P93" s="41" t="n">
        <f aca="false">IF(ISNUMBER($K93),$K93-$D93-IF(ISNUMBER($E93),$E93,0)-$L93-$M93-$N93-$O93,"")</f>
        <v>91.0808449</v>
      </c>
      <c r="Q93" s="42" t="n">
        <f aca="false">IF(AND(ISNUMBER($K93),$K93&gt;0),$P93/$K93,"")</f>
        <v>0.200661053179144</v>
      </c>
      <c r="R93" s="43"/>
      <c r="S93" s="44" t="str">
        <f aca="false">IF(OR(NOT(ISNUMBER($R93)),$R93=0,NOT(ISNUMBER($K93))),"",$K93*(1-$R93))</f>
        <v/>
      </c>
      <c r="T93" s="45" t="str">
        <f aca="false">IF(ISNUMBER($S93),$S93*$H93,"")</f>
        <v/>
      </c>
      <c r="U93" s="45" t="str">
        <f aca="false">IF(ISNUMBER($S93),$S93*Parâmetros!$B$5,"")</f>
        <v/>
      </c>
      <c r="V93" s="45" t="str">
        <f aca="false">IF(ISNUMBER($S93),$S93*Parâmetros!$C$5,"")</f>
        <v/>
      </c>
      <c r="W93" s="44" t="str">
        <f aca="false">IF(ISNUMBER($S93),$S93-$D93-IF(ISNUMBER($E93),$E93,0)-$O93-$T93-$U93-$V93,"")</f>
        <v/>
      </c>
      <c r="X93" s="46" t="str">
        <f aca="false">IF(AND(ISNUMBER($S93),$S93&gt;0),$W93/$S93,"")</f>
        <v/>
      </c>
      <c r="Y93" s="49" t="s">
        <v>738</v>
      </c>
      <c r="Z93" s="21"/>
    </row>
    <row r="94" customFormat="false" ht="15.75" hidden="false" customHeight="true" outlineLevel="0" collapsed="false">
      <c r="A94" s="32" t="str">
        <f aca="false">IF(Produtos!$A94="","",Produtos!$A94)</f>
        <v>P3050</v>
      </c>
      <c r="B94" s="32" t="str">
        <f aca="false">IF(Produtos!$A94="","",Produtos!$B94)</f>
        <v>Lixeira c/Tampa Pedal 30x50 40L</v>
      </c>
      <c r="C94" s="32" t="str">
        <f aca="false">IF(Produtos!$A94="","",Produtos!$C94)</f>
        <v>Lixeiras com pedal</v>
      </c>
      <c r="D94" s="33" t="n">
        <f aca="false">IF(Produtos!$A94="","",IF(Produtos!$D94="","",Produtos!$D94))</f>
        <v>240.55</v>
      </c>
      <c r="E94" s="11" t="n">
        <v>65.85</v>
      </c>
      <c r="F94" s="34" t="n">
        <f aca="false">IF($A94="","",IF($C94="","⚠ categoria",IFERROR(INDEX(Parâmetros!$C$13:$C$22,MATCH($C94,Parâmetros!$A$13:$A$22,0)),"⚠ categoria")))</f>
        <v>0.18</v>
      </c>
      <c r="G94" s="35" t="n">
        <v>0.15</v>
      </c>
      <c r="H94" s="36" t="n">
        <f aca="false">IF($A94="","",IF(ISNUMBER($G94),$G94,IF(ISNUMBER($F94),$F94,"")))</f>
        <v>0.15</v>
      </c>
      <c r="I94" s="37" t="n">
        <f aca="false">IF(OR($A94="",NOT(ISNUMBER($D94)),NOT(ISNUMBER($H94))),"",IF((1-$H94-Parâmetros!$B$5-Parâmetros!$C$5-Parâmetros!$D$5)&lt;=0,"INVALIDO",($D94+IF(ISNUMBER($E94),$E94,0)+IF(ISNUMBER(Parâmetros!$E$5),Parâmetros!$E$5,0))/(1-$H94-Parâmetros!$B$5-Parâmetros!$C$5-Parâmetros!$D$5)))</f>
        <v>589.230769230769</v>
      </c>
      <c r="J94" s="38" t="n">
        <v>569.16948375</v>
      </c>
      <c r="K94" s="39" t="n">
        <f aca="false">IF(OR($A94="",NOT(ISNUMBER($D94)),NOT(ISNUMBER($H94))),"",IF(AND(ISNUMBER($J94),$J94&gt;0),$J94,IF(ISNUMBER($I94),$I94,"")))</f>
        <v>569.16948375</v>
      </c>
      <c r="L94" s="40" t="n">
        <f aca="false">IF(ISNUMBER($K94),$K94*$H94,"")</f>
        <v>85.3754225625</v>
      </c>
      <c r="M94" s="40" t="n">
        <f aca="false">IF(ISNUMBER($K94),$K94*Parâmetros!$B$5,"")</f>
        <v>56.916948375</v>
      </c>
      <c r="N94" s="40" t="n">
        <f aca="false">IF(ISNUMBER($K94),$K94*Parâmetros!$C$5,"")</f>
        <v>17.0750845125</v>
      </c>
      <c r="O94" s="40" t="n">
        <f aca="false">IF(ISNUMBER($K94),IF(ISNUMBER(Parâmetros!$E$5),Parâmetros!$E$5,0),"")</f>
        <v>0</v>
      </c>
      <c r="P94" s="41" t="n">
        <f aca="false">IF(ISNUMBER($K94),$K94-$D94-IF(ISNUMBER($E94),$E94,0)-$L94-$M94-$N94-$O94,"")</f>
        <v>103.4020283</v>
      </c>
      <c r="Q94" s="42" t="n">
        <f aca="false">IF(AND(ISNUMBER($K94),$K94&gt;0),$P94/$K94,"")</f>
        <v>0.181671771330274</v>
      </c>
      <c r="R94" s="43"/>
      <c r="S94" s="44" t="str">
        <f aca="false">IF(OR(NOT(ISNUMBER($R94)),$R94=0,NOT(ISNUMBER($K94))),"",$K94*(1-$R94))</f>
        <v/>
      </c>
      <c r="T94" s="45" t="str">
        <f aca="false">IF(ISNUMBER($S94),$S94*$H94,"")</f>
        <v/>
      </c>
      <c r="U94" s="45" t="str">
        <f aca="false">IF(ISNUMBER($S94),$S94*Parâmetros!$B$5,"")</f>
        <v/>
      </c>
      <c r="V94" s="45" t="str">
        <f aca="false">IF(ISNUMBER($S94),$S94*Parâmetros!$C$5,"")</f>
        <v/>
      </c>
      <c r="W94" s="44" t="str">
        <f aca="false">IF(ISNUMBER($S94),$S94-$D94-IF(ISNUMBER($E94),$E94,0)-$O94-$T94-$U94-$V94,"")</f>
        <v/>
      </c>
      <c r="X94" s="46" t="str">
        <f aca="false">IF(AND(ISNUMBER($S94),$S94&gt;0),$W94/$S94,"")</f>
        <v/>
      </c>
      <c r="Y94" s="47" t="s">
        <v>738</v>
      </c>
      <c r="Z94" s="19"/>
    </row>
    <row r="95" customFormat="false" ht="15.75" hidden="false" customHeight="true" outlineLevel="0" collapsed="false">
      <c r="A95" s="48" t="str">
        <f aca="false">IF(Produtos!$A95="","",Produtos!$A95)</f>
        <v>P3060</v>
      </c>
      <c r="B95" s="48" t="str">
        <f aca="false">IF(Produtos!$A95="","",Produtos!$B95)</f>
        <v>Lixeira c/Tampa Pedal 30x60 50L</v>
      </c>
      <c r="C95" s="48" t="str">
        <f aca="false">IF(Produtos!$A95="","",Produtos!$C95)</f>
        <v>Lixeiras com pedal</v>
      </c>
      <c r="D95" s="33" t="n">
        <f aca="false">IF(Produtos!$A95="","",IF(Produtos!$D95="","",Produtos!$D95))</f>
        <v>242.26</v>
      </c>
      <c r="E95" s="11" t="n">
        <v>70.95</v>
      </c>
      <c r="F95" s="34" t="n">
        <f aca="false">IF($A95="","",IF($C95="","⚠ categoria",IFERROR(INDEX(Parâmetros!$C$13:$C$22,MATCH($C95,Parâmetros!$A$13:$A$22,0)),"⚠ categoria")))</f>
        <v>0.18</v>
      </c>
      <c r="G95" s="35" t="n">
        <v>0.15</v>
      </c>
      <c r="H95" s="36" t="n">
        <f aca="false">IF($A95="","",IF(ISNUMBER($G95),$G95,IF(ISNUMBER($F95),$F95,"")))</f>
        <v>0.15</v>
      </c>
      <c r="I95" s="37" t="n">
        <f aca="false">IF(OR($A95="",NOT(ISNUMBER($D95)),NOT(ISNUMBER($H95))),"",IF((1-$H95-Parâmetros!$B$5-Parâmetros!$C$5-Parâmetros!$D$5)&lt;=0,"INVALIDO",($D95+IF(ISNUMBER($E95),$E95,0)+IF(ISNUMBER(Parâmetros!$E$5),Parâmetros!$E$5,0))/(1-$H95-Parâmetros!$B$5-Parâmetros!$C$5-Parâmetros!$D$5)))</f>
        <v>602.326923076923</v>
      </c>
      <c r="J95" s="38" t="n">
        <v>606.83805</v>
      </c>
      <c r="K95" s="39" t="n">
        <f aca="false">IF(OR($A95="",NOT(ISNUMBER($D95)),NOT(ISNUMBER($H95))),"",IF(AND(ISNUMBER($J95),$J95&gt;0),$J95,IF(ISNUMBER($I95),$I95,"")))</f>
        <v>606.83805</v>
      </c>
      <c r="L95" s="40" t="n">
        <f aca="false">IF(ISNUMBER($K95),$K95*$H95,"")</f>
        <v>91.0257075</v>
      </c>
      <c r="M95" s="40" t="n">
        <f aca="false">IF(ISNUMBER($K95),$K95*Parâmetros!$B$5,"")</f>
        <v>60.683805</v>
      </c>
      <c r="N95" s="40" t="n">
        <f aca="false">IF(ISNUMBER($K95),$K95*Parâmetros!$C$5,"")</f>
        <v>18.2051415</v>
      </c>
      <c r="O95" s="40" t="n">
        <f aca="false">IF(ISNUMBER($K95),IF(ISNUMBER(Parâmetros!$E$5),Parâmetros!$E$5,0),"")</f>
        <v>0</v>
      </c>
      <c r="P95" s="41" t="n">
        <f aca="false">IF(ISNUMBER($K95),$K95-$D95-IF(ISNUMBER($E95),$E95,0)-$L95-$M95-$N95-$O95,"")</f>
        <v>123.713396</v>
      </c>
      <c r="Q95" s="42" t="n">
        <f aca="false">IF(AND(ISNUMBER($K95),$K95&gt;0),$P95/$K95,"")</f>
        <v>0.203865588191116</v>
      </c>
      <c r="R95" s="43"/>
      <c r="S95" s="44" t="str">
        <f aca="false">IF(OR(NOT(ISNUMBER($R95)),$R95=0,NOT(ISNUMBER($K95))),"",$K95*(1-$R95))</f>
        <v/>
      </c>
      <c r="T95" s="45" t="str">
        <f aca="false">IF(ISNUMBER($S95),$S95*$H95,"")</f>
        <v/>
      </c>
      <c r="U95" s="45" t="str">
        <f aca="false">IF(ISNUMBER($S95),$S95*Parâmetros!$B$5,"")</f>
        <v/>
      </c>
      <c r="V95" s="45" t="str">
        <f aca="false">IF(ISNUMBER($S95),$S95*Parâmetros!$C$5,"")</f>
        <v/>
      </c>
      <c r="W95" s="44" t="str">
        <f aca="false">IF(ISNUMBER($S95),$S95-$D95-IF(ISNUMBER($E95),$E95,0)-$O95-$T95-$U95-$V95,"")</f>
        <v/>
      </c>
      <c r="X95" s="46" t="str">
        <f aca="false">IF(AND(ISNUMBER($S95),$S95&gt;0),$W95/$S95,"")</f>
        <v/>
      </c>
      <c r="Y95" s="49" t="s">
        <v>739</v>
      </c>
      <c r="Z95" s="21"/>
    </row>
    <row r="96" customFormat="false" ht="15.75" hidden="false" customHeight="true" outlineLevel="0" collapsed="false">
      <c r="A96" s="32" t="str">
        <f aca="false">IF(Produtos!$A96="","",Produtos!$A96)</f>
        <v>P3070</v>
      </c>
      <c r="B96" s="32" t="str">
        <f aca="false">IF(Produtos!$A96="","",Produtos!$B96)</f>
        <v>Lixeira c/Tampa Pedal 30x70 60L</v>
      </c>
      <c r="C96" s="32" t="str">
        <f aca="false">IF(Produtos!$A96="","",Produtos!$C96)</f>
        <v>Lixeiras com pedal</v>
      </c>
      <c r="D96" s="33" t="n">
        <f aca="false">IF(Produtos!$A96="","",IF(Produtos!$D96="","",Produtos!$D96))</f>
        <v>307.26</v>
      </c>
      <c r="E96" s="11" t="n">
        <v>70.95</v>
      </c>
      <c r="F96" s="34" t="n">
        <f aca="false">IF($A96="","",IF($C96="","⚠ categoria",IFERROR(INDEX(Parâmetros!$C$13:$C$22,MATCH($C96,Parâmetros!$A$13:$A$22,0)),"⚠ categoria")))</f>
        <v>0.18</v>
      </c>
      <c r="G96" s="35"/>
      <c r="H96" s="36" t="n">
        <f aca="false">IF($A96="","",IF(ISNUMBER($G96),$G96,IF(ISNUMBER($F96),$F96,"")))</f>
        <v>0.18</v>
      </c>
      <c r="I96" s="37" t="n">
        <f aca="false">IF(OR($A96="",NOT(ISNUMBER($D96)),NOT(ISNUMBER($H96))),"",IF((1-$H96-Parâmetros!$B$5-Parâmetros!$C$5-Parâmetros!$D$5)&lt;=0,"INVALIDO",($D96+IF(ISNUMBER($E96),$E96,0)+IF(ISNUMBER(Parâmetros!$E$5),Parâmetros!$E$5,0))/(1-$H96-Parâmetros!$B$5-Parâmetros!$C$5-Parâmetros!$D$5)))</f>
        <v>771.857142857143</v>
      </c>
      <c r="J96" s="38" t="n">
        <v>748.9602225</v>
      </c>
      <c r="K96" s="39" t="n">
        <f aca="false">IF(OR($A96="",NOT(ISNUMBER($D96)),NOT(ISNUMBER($H96))),"",IF(AND(ISNUMBER($J96),$J96&gt;0),$J96,IF(ISNUMBER($I96),$I96,"")))</f>
        <v>748.9602225</v>
      </c>
      <c r="L96" s="40" t="n">
        <f aca="false">IF(ISNUMBER($K96),$K96*$H96,"")</f>
        <v>134.81284005</v>
      </c>
      <c r="M96" s="40" t="n">
        <f aca="false">IF(ISNUMBER($K96),$K96*Parâmetros!$B$5,"")</f>
        <v>74.89602225</v>
      </c>
      <c r="N96" s="40" t="n">
        <f aca="false">IF(ISNUMBER($K96),$K96*Parâmetros!$C$5,"")</f>
        <v>22.468806675</v>
      </c>
      <c r="O96" s="40" t="n">
        <f aca="false">IF(ISNUMBER($K96),IF(ISNUMBER(Parâmetros!$E$5),Parâmetros!$E$5,0),"")</f>
        <v>0</v>
      </c>
      <c r="P96" s="41" t="n">
        <f aca="false">IF(ISNUMBER($K96),$K96-$D96-IF(ISNUMBER($E96),$E96,0)-$L96-$M96-$N96-$O96,"")</f>
        <v>138.572553525</v>
      </c>
      <c r="Q96" s="42" t="n">
        <f aca="false">IF(AND(ISNUMBER($K96),$K96&gt;0),$P96/$K96,"")</f>
        <v>0.185019910753672</v>
      </c>
      <c r="R96" s="43"/>
      <c r="S96" s="44" t="str">
        <f aca="false">IF(OR(NOT(ISNUMBER($R96)),$R96=0,NOT(ISNUMBER($K96))),"",$K96*(1-$R96))</f>
        <v/>
      </c>
      <c r="T96" s="45" t="str">
        <f aca="false">IF(ISNUMBER($S96),$S96*$H96,"")</f>
        <v/>
      </c>
      <c r="U96" s="45" t="str">
        <f aca="false">IF(ISNUMBER($S96),$S96*Parâmetros!$B$5,"")</f>
        <v/>
      </c>
      <c r="V96" s="45" t="str">
        <f aca="false">IF(ISNUMBER($S96),$S96*Parâmetros!$C$5,"")</f>
        <v/>
      </c>
      <c r="W96" s="44" t="str">
        <f aca="false">IF(ISNUMBER($S96),$S96-$D96-IF(ISNUMBER($E96),$E96,0)-$O96-$T96-$U96-$V96,"")</f>
        <v/>
      </c>
      <c r="X96" s="46" t="str">
        <f aca="false">IF(AND(ISNUMBER($S96),$S96&gt;0),$W96/$S96,"")</f>
        <v/>
      </c>
      <c r="Y96" s="47" t="s">
        <v>738</v>
      </c>
      <c r="Z96" s="19"/>
    </row>
    <row r="97" customFormat="false" ht="15.75" hidden="false" customHeight="true" outlineLevel="0" collapsed="false">
      <c r="A97" s="48" t="str">
        <f aca="false">IF(Produtos!$A97="","",Produtos!$A97)</f>
        <v>P4050</v>
      </c>
      <c r="B97" s="48" t="str">
        <f aca="false">IF(Produtos!$A97="","",Produtos!$B97)</f>
        <v>Lixeira c/Tampa Pedal 40x50 65L</v>
      </c>
      <c r="C97" s="48" t="str">
        <f aca="false">IF(Produtos!$A97="","",Produtos!$C97)</f>
        <v>Lixeiras com pedal</v>
      </c>
      <c r="D97" s="33" t="n">
        <f aca="false">IF(Produtos!$A97="","",IF(Produtos!$D97="","",Produtos!$D97))</f>
        <v>374.18</v>
      </c>
      <c r="E97" s="11" t="n">
        <v>75.65</v>
      </c>
      <c r="F97" s="34" t="n">
        <f aca="false">IF($A97="","",IF($C97="","⚠ categoria",IFERROR(INDEX(Parâmetros!$C$13:$C$22,MATCH($C97,Parâmetros!$A$13:$A$22,0)),"⚠ categoria")))</f>
        <v>0.18</v>
      </c>
      <c r="G97" s="35"/>
      <c r="H97" s="36" t="n">
        <f aca="false">IF($A97="","",IF(ISNUMBER($G97),$G97,IF(ISNUMBER($F97),$F97,"")))</f>
        <v>0.18</v>
      </c>
      <c r="I97" s="37" t="n">
        <f aca="false">IF(OR($A97="",NOT(ISNUMBER($D97)),NOT(ISNUMBER($H97))),"",IF((1-$H97-Parâmetros!$B$5-Parâmetros!$C$5-Parâmetros!$D$5)&lt;=0,"INVALIDO",($D97+IF(ISNUMBER($E97),$E97,0)+IF(ISNUMBER(Parâmetros!$E$5),Parâmetros!$E$5,0))/(1-$H97-Parâmetros!$B$5-Parâmetros!$C$5-Parâmetros!$D$5)))</f>
        <v>918.020408163265</v>
      </c>
      <c r="J97" s="38" t="n">
        <v>853.0263</v>
      </c>
      <c r="K97" s="39" t="n">
        <f aca="false">IF(OR($A97="",NOT(ISNUMBER($D97)),NOT(ISNUMBER($H97))),"",IF(AND(ISNUMBER($J97),$J97&gt;0),$J97,IF(ISNUMBER($I97),$I97,"")))</f>
        <v>853.0263</v>
      </c>
      <c r="L97" s="40" t="n">
        <f aca="false">IF(ISNUMBER($K97),$K97*$H97,"")</f>
        <v>153.544734</v>
      </c>
      <c r="M97" s="40" t="n">
        <f aca="false">IF(ISNUMBER($K97),$K97*Parâmetros!$B$5,"")</f>
        <v>85.30263</v>
      </c>
      <c r="N97" s="40" t="n">
        <f aca="false">IF(ISNUMBER($K97),$K97*Parâmetros!$C$5,"")</f>
        <v>25.590789</v>
      </c>
      <c r="O97" s="40" t="n">
        <f aca="false">IF(ISNUMBER($K97),IF(ISNUMBER(Parâmetros!$E$5),Parâmetros!$E$5,0),"")</f>
        <v>0</v>
      </c>
      <c r="P97" s="41" t="n">
        <f aca="false">IF(ISNUMBER($K97),$K97-$D97-IF(ISNUMBER($E97),$E97,0)-$L97-$M97-$N97-$O97,"")</f>
        <v>138.758147</v>
      </c>
      <c r="Q97" s="42" t="n">
        <f aca="false">IF(AND(ISNUMBER($K97),$K97&gt;0),$P97/$K97,"")</f>
        <v>0.162665731408281</v>
      </c>
      <c r="R97" s="43"/>
      <c r="S97" s="44" t="str">
        <f aca="false">IF(OR(NOT(ISNUMBER($R97)),$R97=0,NOT(ISNUMBER($K97))),"",$K97*(1-$R97))</f>
        <v/>
      </c>
      <c r="T97" s="45" t="str">
        <f aca="false">IF(ISNUMBER($S97),$S97*$H97,"")</f>
        <v/>
      </c>
      <c r="U97" s="45" t="str">
        <f aca="false">IF(ISNUMBER($S97),$S97*Parâmetros!$B$5,"")</f>
        <v/>
      </c>
      <c r="V97" s="45" t="str">
        <f aca="false">IF(ISNUMBER($S97),$S97*Parâmetros!$C$5,"")</f>
        <v/>
      </c>
      <c r="W97" s="44" t="str">
        <f aca="false">IF(ISNUMBER($S97),$S97-$D97-IF(ISNUMBER($E97),$E97,0)-$O97-$T97-$U97-$V97,"")</f>
        <v/>
      </c>
      <c r="X97" s="46" t="str">
        <f aca="false">IF(AND(ISNUMBER($S97),$S97&gt;0),$W97/$S97,"")</f>
        <v/>
      </c>
      <c r="Y97" s="49" t="s">
        <v>738</v>
      </c>
      <c r="Z97" s="21"/>
    </row>
    <row r="98" customFormat="false" ht="15.75" hidden="false" customHeight="true" outlineLevel="0" collapsed="false">
      <c r="A98" s="32" t="str">
        <f aca="false">IF(Produtos!$A98="","",Produtos!$A98)</f>
        <v>P4060</v>
      </c>
      <c r="B98" s="32" t="str">
        <f aca="false">IF(Produtos!$A98="","",Produtos!$B98)</f>
        <v>Lixeira c/Tampa Pedal 40x60 75L</v>
      </c>
      <c r="C98" s="32" t="str">
        <f aca="false">IF(Produtos!$A98="","",Produtos!$C98)</f>
        <v>Lixeiras com pedal</v>
      </c>
      <c r="D98" s="33" t="n">
        <f aca="false">IF(Produtos!$A98="","",IF(Produtos!$D98="","",Produtos!$D98))</f>
        <v>411.2</v>
      </c>
      <c r="E98" s="11"/>
      <c r="F98" s="34" t="n">
        <f aca="false">IF($A98="","",IF($C98="","⚠ categoria",IFERROR(INDEX(Parâmetros!$C$13:$C$22,MATCH($C98,Parâmetros!$A$13:$A$22,0)),"⚠ categoria")))</f>
        <v>0.18</v>
      </c>
      <c r="G98" s="35"/>
      <c r="H98" s="36" t="n">
        <f aca="false">IF($A98="","",IF(ISNUMBER($G98),$G98,IF(ISNUMBER($F98),$F98,"")))</f>
        <v>0.18</v>
      </c>
      <c r="I98" s="37" t="n">
        <f aca="false">IF(OR($A98="",NOT(ISNUMBER($D98)),NOT(ISNUMBER($H98))),"",IF((1-$H98-Parâmetros!$B$5-Parâmetros!$C$5-Parâmetros!$D$5)&lt;=0,"INVALIDO",($D98+IF(ISNUMBER($E98),$E98,0)+IF(ISNUMBER(Parâmetros!$E$5),Parâmetros!$E$5,0))/(1-$H98-Parâmetros!$B$5-Parâmetros!$C$5-Parâmetros!$D$5)))</f>
        <v>839.183673469388</v>
      </c>
      <c r="J98" s="38"/>
      <c r="K98" s="39" t="n">
        <f aca="false">IF(OR($A98="",NOT(ISNUMBER($D98)),NOT(ISNUMBER($H98))),"",IF(AND(ISNUMBER($J98),$J98&gt;0),$J98,IF(ISNUMBER($I98),$I98,"")))</f>
        <v>839.183673469388</v>
      </c>
      <c r="L98" s="40" t="n">
        <f aca="false">IF(ISNUMBER($K98),$K98*$H98,"")</f>
        <v>151.05306122449</v>
      </c>
      <c r="M98" s="40" t="n">
        <f aca="false">IF(ISNUMBER($K98),$K98*Parâmetros!$B$5,"")</f>
        <v>83.9183673469388</v>
      </c>
      <c r="N98" s="40" t="n">
        <f aca="false">IF(ISNUMBER($K98),$K98*Parâmetros!$C$5,"")</f>
        <v>25.1755102040816</v>
      </c>
      <c r="O98" s="40" t="n">
        <f aca="false">IF(ISNUMBER($K98),IF(ISNUMBER(Parâmetros!$E$5),Parâmetros!$E$5,0),"")</f>
        <v>0</v>
      </c>
      <c r="P98" s="41" t="n">
        <f aca="false">IF(ISNUMBER($K98),$K98-$D98-IF(ISNUMBER($E98),$E98,0)-$L98-$M98-$N98-$O98,"")</f>
        <v>167.836734693877</v>
      </c>
      <c r="Q98" s="42" t="n">
        <f aca="false">IF(AND(ISNUMBER($K98),$K98&gt;0),$P98/$K98,"")</f>
        <v>0.2</v>
      </c>
      <c r="R98" s="43"/>
      <c r="S98" s="44" t="str">
        <f aca="false">IF(OR(NOT(ISNUMBER($R98)),$R98=0,NOT(ISNUMBER($K98))),"",$K98*(1-$R98))</f>
        <v/>
      </c>
      <c r="T98" s="45" t="str">
        <f aca="false">IF(ISNUMBER($S98),$S98*$H98,"")</f>
        <v/>
      </c>
      <c r="U98" s="45" t="str">
        <f aca="false">IF(ISNUMBER($S98),$S98*Parâmetros!$B$5,"")</f>
        <v/>
      </c>
      <c r="V98" s="45" t="str">
        <f aca="false">IF(ISNUMBER($S98),$S98*Parâmetros!$C$5,"")</f>
        <v/>
      </c>
      <c r="W98" s="44" t="str">
        <f aca="false">IF(ISNUMBER($S98),$S98-$D98-IF(ISNUMBER($E98),$E98,0)-$O98-$T98-$U98-$V98,"")</f>
        <v/>
      </c>
      <c r="X98" s="46" t="str">
        <f aca="false">IF(AND(ISNUMBER($S98),$S98&gt;0),$W98/$S98,"")</f>
        <v/>
      </c>
      <c r="Y98" s="47"/>
      <c r="Z98" s="19"/>
    </row>
    <row r="99" customFormat="false" ht="15.75" hidden="false" customHeight="true" outlineLevel="0" collapsed="false">
      <c r="A99" s="48" t="str">
        <f aca="false">IF(Produtos!$A99="","",Produtos!$A99)</f>
        <v>P4070</v>
      </c>
      <c r="B99" s="48" t="str">
        <f aca="false">IF(Produtos!$A99="","",Produtos!$B99)</f>
        <v>Lixeira c/Tampa Pedal 40x70 80L</v>
      </c>
      <c r="C99" s="48" t="str">
        <f aca="false">IF(Produtos!$A99="","",Produtos!$C99)</f>
        <v>Lixeiras com pedal</v>
      </c>
      <c r="D99" s="33" t="n">
        <f aca="false">IF(Produtos!$A99="","",IF(Produtos!$D99="","",Produtos!$D99))</f>
        <v>416.62</v>
      </c>
      <c r="E99" s="11" t="n">
        <v>91.95</v>
      </c>
      <c r="F99" s="34" t="n">
        <f aca="false">IF($A99="","",IF($C99="","⚠ categoria",IFERROR(INDEX(Parâmetros!$C$13:$C$22,MATCH($C99,Parâmetros!$A$13:$A$22,0)),"⚠ categoria")))</f>
        <v>0.18</v>
      </c>
      <c r="G99" s="35"/>
      <c r="H99" s="36" t="n">
        <f aca="false">IF($A99="","",IF(ISNUMBER($G99),$G99,IF(ISNUMBER($F99),$F99,"")))</f>
        <v>0.18</v>
      </c>
      <c r="I99" s="37" t="n">
        <f aca="false">IF(OR($A99="",NOT(ISNUMBER($D99)),NOT(ISNUMBER($H99))),"",IF((1-$H99-Parâmetros!$B$5-Parâmetros!$C$5-Parâmetros!$D$5)&lt;=0,"INVALIDO",($D99+IF(ISNUMBER($E99),$E99,0)+IF(ISNUMBER(Parâmetros!$E$5),Parâmetros!$E$5,0))/(1-$H99-Parâmetros!$B$5-Parâmetros!$C$5-Parâmetros!$D$5)))</f>
        <v>1037.89795918367</v>
      </c>
      <c r="J99" s="38" t="n">
        <v>1010.00907</v>
      </c>
      <c r="K99" s="39" t="n">
        <f aca="false">IF(OR($A99="",NOT(ISNUMBER($D99)),NOT(ISNUMBER($H99))),"",IF(AND(ISNUMBER($J99),$J99&gt;0),$J99,IF(ISNUMBER($I99),$I99,"")))</f>
        <v>1010.00907</v>
      </c>
      <c r="L99" s="40" t="n">
        <f aca="false">IF(ISNUMBER($K99),$K99*$H99,"")</f>
        <v>181.8016326</v>
      </c>
      <c r="M99" s="40" t="n">
        <f aca="false">IF(ISNUMBER($K99),$K99*Parâmetros!$B$5,"")</f>
        <v>101.000907</v>
      </c>
      <c r="N99" s="40" t="n">
        <f aca="false">IF(ISNUMBER($K99),$K99*Parâmetros!$C$5,"")</f>
        <v>30.3002721</v>
      </c>
      <c r="O99" s="40" t="n">
        <f aca="false">IF(ISNUMBER($K99),IF(ISNUMBER(Parâmetros!$E$5),Parâmetros!$E$5,0),"")</f>
        <v>0</v>
      </c>
      <c r="P99" s="41" t="n">
        <f aca="false">IF(ISNUMBER($K99),$K99-$D99-IF(ISNUMBER($E99),$E99,0)-$L99-$M99-$N99-$O99,"")</f>
        <v>188.3362583</v>
      </c>
      <c r="Q99" s="42" t="n">
        <f aca="false">IF(AND(ISNUMBER($K99),$K99&gt;0),$P99/$K99,"")</f>
        <v>0.186469868334945</v>
      </c>
      <c r="R99" s="43"/>
      <c r="S99" s="44" t="str">
        <f aca="false">IF(OR(NOT(ISNUMBER($R99)),$R99=0,NOT(ISNUMBER($K99))),"",$K99*(1-$R99))</f>
        <v/>
      </c>
      <c r="T99" s="45" t="str">
        <f aca="false">IF(ISNUMBER($S99),$S99*$H99,"")</f>
        <v/>
      </c>
      <c r="U99" s="45" t="str">
        <f aca="false">IF(ISNUMBER($S99),$S99*Parâmetros!$B$5,"")</f>
        <v/>
      </c>
      <c r="V99" s="45" t="str">
        <f aca="false">IF(ISNUMBER($S99),$S99*Parâmetros!$C$5,"")</f>
        <v/>
      </c>
      <c r="W99" s="44" t="str">
        <f aca="false">IF(ISNUMBER($S99),$S99-$D99-IF(ISNUMBER($E99),$E99,0)-$O99-$T99-$U99-$V99,"")</f>
        <v/>
      </c>
      <c r="X99" s="46" t="str">
        <f aca="false">IF(AND(ISNUMBER($S99),$S99&gt;0),$W99/$S99,"")</f>
        <v/>
      </c>
      <c r="Y99" s="49" t="s">
        <v>738</v>
      </c>
      <c r="Z99" s="21"/>
    </row>
    <row r="100" customFormat="false" ht="15.75" hidden="false" customHeight="true" outlineLevel="0" collapsed="false">
      <c r="A100" s="32" t="str">
        <f aca="false">IF(Produtos!$A100="","",Produtos!$A100)</f>
        <v>P4075</v>
      </c>
      <c r="B100" s="32" t="str">
        <f aca="false">IF(Produtos!$A100="","",Produtos!$B100)</f>
        <v>Lixeira c/Tampa Pedal 40x75 95L</v>
      </c>
      <c r="C100" s="32" t="str">
        <f aca="false">IF(Produtos!$A100="","",Produtos!$C100)</f>
        <v>Lixeiras com pedal</v>
      </c>
      <c r="D100" s="33" t="n">
        <f aca="false">IF(Produtos!$A100="","",IF(Produtos!$D100="","",Produtos!$D100))</f>
        <v>478.21</v>
      </c>
      <c r="E100" s="11" t="n">
        <v>91.95</v>
      </c>
      <c r="F100" s="34" t="n">
        <f aca="false">IF($A100="","",IF($C100="","⚠ categoria",IFERROR(INDEX(Parâmetros!$C$13:$C$22,MATCH($C100,Parâmetros!$A$13:$A$22,0)),"⚠ categoria")))</f>
        <v>0.18</v>
      </c>
      <c r="G100" s="35"/>
      <c r="H100" s="36" t="n">
        <f aca="false">IF($A100="","",IF(ISNUMBER($G100),$G100,IF(ISNUMBER($F100),$F100,"")))</f>
        <v>0.18</v>
      </c>
      <c r="I100" s="37" t="n">
        <f aca="false">IF(OR($A100="",NOT(ISNUMBER($D100)),NOT(ISNUMBER($H100))),"",IF((1-$H100-Parâmetros!$B$5-Parâmetros!$C$5-Parâmetros!$D$5)&lt;=0,"INVALIDO",($D100+IF(ISNUMBER($E100),$E100,0)+IF(ISNUMBER(Parâmetros!$E$5),Parâmetros!$E$5,0))/(1-$H100-Parâmetros!$B$5-Parâmetros!$C$5-Parâmetros!$D$5)))</f>
        <v>1163.59183673469</v>
      </c>
      <c r="J100" s="38" t="n">
        <v>1122.6878775</v>
      </c>
      <c r="K100" s="39" t="n">
        <f aca="false">IF(OR($A100="",NOT(ISNUMBER($D100)),NOT(ISNUMBER($H100))),"",IF(AND(ISNUMBER($J100),$J100&gt;0),$J100,IF(ISNUMBER($I100),$I100,"")))</f>
        <v>1122.6878775</v>
      </c>
      <c r="L100" s="40" t="n">
        <f aca="false">IF(ISNUMBER($K100),$K100*$H100,"")</f>
        <v>202.08381795</v>
      </c>
      <c r="M100" s="40" t="n">
        <f aca="false">IF(ISNUMBER($K100),$K100*Parâmetros!$B$5,"")</f>
        <v>112.26878775</v>
      </c>
      <c r="N100" s="40" t="n">
        <f aca="false">IF(ISNUMBER($K100),$K100*Parâmetros!$C$5,"")</f>
        <v>33.680636325</v>
      </c>
      <c r="O100" s="40" t="n">
        <f aca="false">IF(ISNUMBER($K100),IF(ISNUMBER(Parâmetros!$E$5),Parâmetros!$E$5,0),"")</f>
        <v>0</v>
      </c>
      <c r="P100" s="41" t="n">
        <f aca="false">IF(ISNUMBER($K100),$K100-$D100-IF(ISNUMBER($E100),$E100,0)-$L100-$M100-$N100-$O100,"")</f>
        <v>204.494635475</v>
      </c>
      <c r="Q100" s="42" t="n">
        <f aca="false">IF(AND(ISNUMBER($K100),$K100&gt;0),$P100/$K100,"")</f>
        <v>0.182147362212878</v>
      </c>
      <c r="R100" s="43"/>
      <c r="S100" s="44" t="str">
        <f aca="false">IF(OR(NOT(ISNUMBER($R100)),$R100=0,NOT(ISNUMBER($K100))),"",$K100*(1-$R100))</f>
        <v/>
      </c>
      <c r="T100" s="45" t="str">
        <f aca="false">IF(ISNUMBER($S100),$S100*$H100,"")</f>
        <v/>
      </c>
      <c r="U100" s="45" t="str">
        <f aca="false">IF(ISNUMBER($S100),$S100*Parâmetros!$B$5,"")</f>
        <v/>
      </c>
      <c r="V100" s="45" t="str">
        <f aca="false">IF(ISNUMBER($S100),$S100*Parâmetros!$C$5,"")</f>
        <v/>
      </c>
      <c r="W100" s="44" t="str">
        <f aca="false">IF(ISNUMBER($S100),$S100-$D100-IF(ISNUMBER($E100),$E100,0)-$O100-$T100-$U100-$V100,"")</f>
        <v/>
      </c>
      <c r="X100" s="46" t="str">
        <f aca="false">IF(AND(ISNUMBER($S100),$S100&gt;0),$W100/$S100,"")</f>
        <v/>
      </c>
      <c r="Y100" s="47" t="s">
        <v>738</v>
      </c>
      <c r="Z100" s="19"/>
    </row>
    <row r="101" customFormat="false" ht="15.75" hidden="false" customHeight="true" outlineLevel="0" collapsed="false">
      <c r="A101" s="48" t="str">
        <f aca="false">IF(Produtos!$A101="","",Produtos!$A101)</f>
        <v>P4080</v>
      </c>
      <c r="B101" s="48" t="str">
        <f aca="false">IF(Produtos!$A101="","",Produtos!$B101)</f>
        <v>Lixeira c/Tampa Pedal 40x80 100L</v>
      </c>
      <c r="C101" s="48" t="str">
        <f aca="false">IF(Produtos!$A101="","",Produtos!$C101)</f>
        <v>Lixeiras com pedal</v>
      </c>
      <c r="D101" s="33" t="n">
        <f aca="false">IF(Produtos!$A101="","",IF(Produtos!$D101="","",Produtos!$D101))</f>
        <v>553.79</v>
      </c>
      <c r="E101" s="11" t="n">
        <v>107.85</v>
      </c>
      <c r="F101" s="34" t="n">
        <f aca="false">IF($A101="","",IF($C101="","⚠ categoria",IFERROR(INDEX(Parâmetros!$C$13:$C$22,MATCH($C101,Parâmetros!$A$13:$A$22,0)),"⚠ categoria")))</f>
        <v>0.18</v>
      </c>
      <c r="G101" s="35"/>
      <c r="H101" s="36" t="n">
        <f aca="false">IF($A101="","",IF(ISNUMBER($G101),$G101,IF(ISNUMBER($F101),$F101,"")))</f>
        <v>0.18</v>
      </c>
      <c r="I101" s="37" t="n">
        <f aca="false">IF(OR($A101="",NOT(ISNUMBER($D101)),NOT(ISNUMBER($H101))),"",IF((1-$H101-Parâmetros!$B$5-Parâmetros!$C$5-Parâmetros!$D$5)&lt;=0,"INVALIDO",($D101+IF(ISNUMBER($E101),$E101,0)+IF(ISNUMBER(Parâmetros!$E$5),Parâmetros!$E$5,0))/(1-$H101-Parâmetros!$B$5-Parâmetros!$C$5-Parâmetros!$D$5)))</f>
        <v>1350.28571428571</v>
      </c>
      <c r="J101" s="38" t="n">
        <v>1343.895</v>
      </c>
      <c r="K101" s="39" t="n">
        <f aca="false">IF(OR($A101="",NOT(ISNUMBER($D101)),NOT(ISNUMBER($H101))),"",IF(AND(ISNUMBER($J101),$J101&gt;0),$J101,IF(ISNUMBER($I101),$I101,"")))</f>
        <v>1343.895</v>
      </c>
      <c r="L101" s="40" t="n">
        <f aca="false">IF(ISNUMBER($K101),$K101*$H101,"")</f>
        <v>241.9011</v>
      </c>
      <c r="M101" s="40" t="n">
        <f aca="false">IF(ISNUMBER($K101),$K101*Parâmetros!$B$5,"")</f>
        <v>134.3895</v>
      </c>
      <c r="N101" s="40" t="n">
        <f aca="false">IF(ISNUMBER($K101),$K101*Parâmetros!$C$5,"")</f>
        <v>40.31685</v>
      </c>
      <c r="O101" s="40" t="n">
        <f aca="false">IF(ISNUMBER($K101),IF(ISNUMBER(Parâmetros!$E$5),Parâmetros!$E$5,0),"")</f>
        <v>0</v>
      </c>
      <c r="P101" s="41" t="n">
        <f aca="false">IF(ISNUMBER($K101),$K101-$D101-IF(ISNUMBER($E101),$E101,0)-$L101-$M101-$N101-$O101,"")</f>
        <v>265.64755</v>
      </c>
      <c r="Q101" s="42" t="n">
        <f aca="false">IF(AND(ISNUMBER($K101),$K101&gt;0),$P101/$K101,"")</f>
        <v>0.19766987004193</v>
      </c>
      <c r="R101" s="43"/>
      <c r="S101" s="44" t="str">
        <f aca="false">IF(OR(NOT(ISNUMBER($R101)),$R101=0,NOT(ISNUMBER($K101))),"",$K101*(1-$R101))</f>
        <v/>
      </c>
      <c r="T101" s="45" t="str">
        <f aca="false">IF(ISNUMBER($S101),$S101*$H101,"")</f>
        <v/>
      </c>
      <c r="U101" s="45" t="str">
        <f aca="false">IF(ISNUMBER($S101),$S101*Parâmetros!$B$5,"")</f>
        <v/>
      </c>
      <c r="V101" s="45" t="str">
        <f aca="false">IF(ISNUMBER($S101),$S101*Parâmetros!$C$5,"")</f>
        <v/>
      </c>
      <c r="W101" s="44" t="str">
        <f aca="false">IF(ISNUMBER($S101),$S101-$D101-IF(ISNUMBER($E101),$E101,0)-$O101-$T101-$U101-$V101,"")</f>
        <v/>
      </c>
      <c r="X101" s="46" t="str">
        <f aca="false">IF(AND(ISNUMBER($S101),$S101&gt;0),$W101/$S101,"")</f>
        <v/>
      </c>
      <c r="Y101" s="49" t="s">
        <v>738</v>
      </c>
      <c r="Z101" s="21"/>
    </row>
    <row r="102" customFormat="false" ht="15.75" hidden="false" customHeight="true" outlineLevel="0" collapsed="false">
      <c r="A102" s="32" t="str">
        <f aca="false">IF(Produtos!$A102="","",Produtos!$A102)</f>
        <v>P4090</v>
      </c>
      <c r="B102" s="32" t="str">
        <f aca="false">IF(Produtos!$A102="","",Produtos!$B102)</f>
        <v>Lixeira c/Tampa Pedal 40x90 120L</v>
      </c>
      <c r="C102" s="32" t="str">
        <f aca="false">IF(Produtos!$A102="","",Produtos!$C102)</f>
        <v>Lixeiras com pedal</v>
      </c>
      <c r="D102" s="33" t="n">
        <f aca="false">IF(Produtos!$A102="","",IF(Produtos!$D102="","",Produtos!$D102))</f>
        <v>771.68</v>
      </c>
      <c r="E102" s="11" t="n">
        <v>106.85</v>
      </c>
      <c r="F102" s="34" t="n">
        <f aca="false">IF($A102="","",IF($C102="","⚠ categoria",IFERROR(INDEX(Parâmetros!$C$13:$C$22,MATCH($C102,Parâmetros!$A$13:$A$22,0)),"⚠ categoria")))</f>
        <v>0.18</v>
      </c>
      <c r="G102" s="35"/>
      <c r="H102" s="36" t="n">
        <f aca="false">IF($A102="","",IF(ISNUMBER($G102),$G102,IF(ISNUMBER($F102),$F102,"")))</f>
        <v>0.18</v>
      </c>
      <c r="I102" s="37" t="n">
        <f aca="false">IF(OR($A102="",NOT(ISNUMBER($D102)),NOT(ISNUMBER($H102))),"",IF((1-$H102-Parâmetros!$B$5-Parâmetros!$C$5-Parâmetros!$D$5)&lt;=0,"INVALIDO",($D102+IF(ISNUMBER($E102),$E102,0)+IF(ISNUMBER(Parâmetros!$E$5),Parâmetros!$E$5,0))/(1-$H102-Parâmetros!$B$5-Parâmetros!$C$5-Parâmetros!$D$5)))</f>
        <v>1792.91836734694</v>
      </c>
      <c r="J102" s="38" t="n">
        <v>1659.247065</v>
      </c>
      <c r="K102" s="39" t="n">
        <f aca="false">IF(OR($A102="",NOT(ISNUMBER($D102)),NOT(ISNUMBER($H102))),"",IF(AND(ISNUMBER($J102),$J102&gt;0),$J102,IF(ISNUMBER($I102),$I102,"")))</f>
        <v>1659.247065</v>
      </c>
      <c r="L102" s="40" t="n">
        <f aca="false">IF(ISNUMBER($K102),$K102*$H102,"")</f>
        <v>298.6644717</v>
      </c>
      <c r="M102" s="40" t="n">
        <f aca="false">IF(ISNUMBER($K102),$K102*Parâmetros!$B$5,"")</f>
        <v>165.9247065</v>
      </c>
      <c r="N102" s="40" t="n">
        <f aca="false">IF(ISNUMBER($K102),$K102*Parâmetros!$C$5,"")</f>
        <v>49.77741195</v>
      </c>
      <c r="O102" s="40" t="n">
        <f aca="false">IF(ISNUMBER($K102),IF(ISNUMBER(Parâmetros!$E$5),Parâmetros!$E$5,0),"")</f>
        <v>0</v>
      </c>
      <c r="P102" s="41" t="n">
        <f aca="false">IF(ISNUMBER($K102),$K102-$D102-IF(ISNUMBER($E102),$E102,0)-$L102-$M102-$N102-$O102,"")</f>
        <v>266.35047485</v>
      </c>
      <c r="Q102" s="42" t="n">
        <f aca="false">IF(AND(ISNUMBER($K102),$K102&gt;0),$P102/$K102,"")</f>
        <v>0.16052490341455</v>
      </c>
      <c r="R102" s="43"/>
      <c r="S102" s="44" t="str">
        <f aca="false">IF(OR(NOT(ISNUMBER($R102)),$R102=0,NOT(ISNUMBER($K102))),"",$K102*(1-$R102))</f>
        <v/>
      </c>
      <c r="T102" s="45" t="str">
        <f aca="false">IF(ISNUMBER($S102),$S102*$H102,"")</f>
        <v/>
      </c>
      <c r="U102" s="45" t="str">
        <f aca="false">IF(ISNUMBER($S102),$S102*Parâmetros!$B$5,"")</f>
        <v/>
      </c>
      <c r="V102" s="45" t="str">
        <f aca="false">IF(ISNUMBER($S102),$S102*Parâmetros!$C$5,"")</f>
        <v/>
      </c>
      <c r="W102" s="44" t="str">
        <f aca="false">IF(ISNUMBER($S102),$S102-$D102-IF(ISNUMBER($E102),$E102,0)-$O102-$T102-$U102-$V102,"")</f>
        <v/>
      </c>
      <c r="X102" s="46" t="str">
        <f aca="false">IF(AND(ISNUMBER($S102),$S102&gt;0),$W102/$S102,"")</f>
        <v/>
      </c>
      <c r="Y102" s="47" t="s">
        <v>738</v>
      </c>
      <c r="Z102" s="19"/>
    </row>
    <row r="103" customFormat="false" ht="15.75" hidden="false" customHeight="true" outlineLevel="0" collapsed="false">
      <c r="A103" s="48" t="str">
        <f aca="false">IF(Produtos!$A103="","",Produtos!$A103)</f>
        <v>L2425-BC</v>
      </c>
      <c r="B103" s="48" t="str">
        <f aca="false">IF(Produtos!$A103="","",Produtos!$B103)</f>
        <v>Lixeira de Aço inox 24x25 13L c/Aro basculante colorido</v>
      </c>
      <c r="C103" s="48" t="str">
        <f aca="false">IF(Produtos!$A103="","",Produtos!$C103)</f>
        <v>Lixeiras em inox</v>
      </c>
      <c r="D103" s="33" t="n">
        <f aca="false">IF(Produtos!$A103="","",IF(Produtos!$D103="","",Produtos!$D103))</f>
        <v>110.45</v>
      </c>
      <c r="E103" s="11"/>
      <c r="F103" s="34" t="n">
        <f aca="false">IF($A103="","",IF($C103="","⚠ categoria",IFERROR(INDEX(Parâmetros!$C$13:$C$22,MATCH($C103,Parâmetros!$A$13:$A$22,0)),"⚠ categoria")))</f>
        <v>0.18</v>
      </c>
      <c r="G103" s="35"/>
      <c r="H103" s="36" t="n">
        <f aca="false">IF($A103="","",IF(ISNUMBER($G103),$G103,IF(ISNUMBER($F103),$F103,"")))</f>
        <v>0.18</v>
      </c>
      <c r="I103" s="37" t="n">
        <f aca="false">IF(OR($A103="",NOT(ISNUMBER($D103)),NOT(ISNUMBER($H103))),"",IF((1-$H103-Parâmetros!$B$5-Parâmetros!$C$5-Parâmetros!$D$5)&lt;=0,"INVALIDO",($D103+IF(ISNUMBER($E103),$E103,0)+IF(ISNUMBER(Parâmetros!$E$5),Parâmetros!$E$5,0))/(1-$H103-Parâmetros!$B$5-Parâmetros!$C$5-Parâmetros!$D$5)))</f>
        <v>225.408163265306</v>
      </c>
      <c r="J103" s="38"/>
      <c r="K103" s="39" t="n">
        <f aca="false">IF(OR($A103="",NOT(ISNUMBER($D103)),NOT(ISNUMBER($H103))),"",IF(AND(ISNUMBER($J103),$J103&gt;0),$J103,IF(ISNUMBER($I103),$I103,"")))</f>
        <v>225.408163265306</v>
      </c>
      <c r="L103" s="40" t="n">
        <f aca="false">IF(ISNUMBER($K103),$K103*$H103,"")</f>
        <v>40.5734693877551</v>
      </c>
      <c r="M103" s="40" t="n">
        <f aca="false">IF(ISNUMBER($K103),$K103*Parâmetros!$B$5,"")</f>
        <v>22.5408163265306</v>
      </c>
      <c r="N103" s="40" t="n">
        <f aca="false">IF(ISNUMBER($K103),$K103*Parâmetros!$C$5,"")</f>
        <v>6.76224489795918</v>
      </c>
      <c r="O103" s="40" t="n">
        <f aca="false">IF(ISNUMBER($K103),IF(ISNUMBER(Parâmetros!$E$5),Parâmetros!$E$5,0),"")</f>
        <v>0</v>
      </c>
      <c r="P103" s="41" t="n">
        <f aca="false">IF(ISNUMBER($K103),$K103-$D103-IF(ISNUMBER($E103),$E103,0)-$L103-$M103-$N103-$O103,"")</f>
        <v>45.0816326530612</v>
      </c>
      <c r="Q103" s="42" t="n">
        <f aca="false">IF(AND(ISNUMBER($K103),$K103&gt;0),$P103/$K103,"")</f>
        <v>0.2</v>
      </c>
      <c r="R103" s="43"/>
      <c r="S103" s="44" t="str">
        <f aca="false">IF(OR(NOT(ISNUMBER($R103)),$R103=0,NOT(ISNUMBER($K103))),"",$K103*(1-$R103))</f>
        <v/>
      </c>
      <c r="T103" s="45" t="str">
        <f aca="false">IF(ISNUMBER($S103),$S103*$H103,"")</f>
        <v/>
      </c>
      <c r="U103" s="45" t="str">
        <f aca="false">IF(ISNUMBER($S103),$S103*Parâmetros!$B$5,"")</f>
        <v/>
      </c>
      <c r="V103" s="45" t="str">
        <f aca="false">IF(ISNUMBER($S103),$S103*Parâmetros!$C$5,"")</f>
        <v/>
      </c>
      <c r="W103" s="44" t="str">
        <f aca="false">IF(ISNUMBER($S103),$S103-$D103-IF(ISNUMBER($E103),$E103,0)-$O103-$T103-$U103-$V103,"")</f>
        <v/>
      </c>
      <c r="X103" s="46" t="str">
        <f aca="false">IF(AND(ISNUMBER($S103),$S103&gt;0),$W103/$S103,"")</f>
        <v/>
      </c>
      <c r="Y103" s="49"/>
      <c r="Z103" s="21"/>
    </row>
    <row r="104" customFormat="false" ht="15.75" hidden="false" customHeight="true" outlineLevel="0" collapsed="false">
      <c r="A104" s="32" t="str">
        <f aca="false">IF(Produtos!$A104="","",Produtos!$A104)</f>
        <v>L2430-BC</v>
      </c>
      <c r="B104" s="32" t="str">
        <f aca="false">IF(Produtos!$A104="","",Produtos!$B104)</f>
        <v>Lixeira de Aço inox 24x30 15L c/Aro basculante colorido</v>
      </c>
      <c r="C104" s="32" t="str">
        <f aca="false">IF(Produtos!$A104="","",Produtos!$C104)</f>
        <v>Lixeiras em inox</v>
      </c>
      <c r="D104" s="33" t="n">
        <f aca="false">IF(Produtos!$A104="","",IF(Produtos!$D104="","",Produtos!$D104))</f>
        <v>120.38</v>
      </c>
      <c r="E104" s="11" t="n">
        <v>29.25</v>
      </c>
      <c r="F104" s="34" t="n">
        <f aca="false">IF($A104="","",IF($C104="","⚠ categoria",IFERROR(INDEX(Parâmetros!$C$13:$C$22,MATCH($C104,Parâmetros!$A$13:$A$22,0)),"⚠ categoria")))</f>
        <v>0.18</v>
      </c>
      <c r="G104" s="35" t="n">
        <v>0.15</v>
      </c>
      <c r="H104" s="36" t="n">
        <f aca="false">IF($A104="","",IF(ISNUMBER($G104),$G104,IF(ISNUMBER($F104),$F104,"")))</f>
        <v>0.15</v>
      </c>
      <c r="I104" s="37" t="n">
        <f aca="false">IF(OR($A104="",NOT(ISNUMBER($D104)),NOT(ISNUMBER($H104))),"",IF((1-$H104-Parâmetros!$B$5-Parâmetros!$C$5-Parâmetros!$D$5)&lt;=0,"INVALIDO",($D104+IF(ISNUMBER($E104),$E104,0)+IF(ISNUMBER(Parâmetros!$E$5),Parâmetros!$E$5,0))/(1-$H104-Parâmetros!$B$5-Parâmetros!$C$5-Parâmetros!$D$5)))</f>
        <v>287.75</v>
      </c>
      <c r="J104" s="38" t="n">
        <v>290.5</v>
      </c>
      <c r="K104" s="39" t="n">
        <f aca="false">IF(OR($A104="",NOT(ISNUMBER($D104)),NOT(ISNUMBER($H104))),"",IF(AND(ISNUMBER($J104),$J104&gt;0),$J104,IF(ISNUMBER($I104),$I104,"")))</f>
        <v>290.5</v>
      </c>
      <c r="L104" s="40" t="n">
        <f aca="false">IF(ISNUMBER($K104),$K104*$H104,"")</f>
        <v>43.575</v>
      </c>
      <c r="M104" s="40" t="n">
        <f aca="false">IF(ISNUMBER($K104),$K104*Parâmetros!$B$5,"")</f>
        <v>29.05</v>
      </c>
      <c r="N104" s="40" t="n">
        <f aca="false">IF(ISNUMBER($K104),$K104*Parâmetros!$C$5,"")</f>
        <v>8.715</v>
      </c>
      <c r="O104" s="40" t="n">
        <f aca="false">IF(ISNUMBER($K104),IF(ISNUMBER(Parâmetros!$E$5),Parâmetros!$E$5,0),"")</f>
        <v>0</v>
      </c>
      <c r="P104" s="41" t="n">
        <f aca="false">IF(ISNUMBER($K104),$K104-$D104-IF(ISNUMBER($E104),$E104,0)-$L104-$M104-$N104-$O104,"")</f>
        <v>59.53</v>
      </c>
      <c r="Q104" s="42" t="n">
        <f aca="false">IF(AND(ISNUMBER($K104),$K104&gt;0),$P104/$K104,"")</f>
        <v>0.204922547332186</v>
      </c>
      <c r="R104" s="43"/>
      <c r="S104" s="44" t="str">
        <f aca="false">IF(OR(NOT(ISNUMBER($R104)),$R104=0,NOT(ISNUMBER($K104))),"",$K104*(1-$R104))</f>
        <v/>
      </c>
      <c r="T104" s="45" t="str">
        <f aca="false">IF(ISNUMBER($S104),$S104*$H104,"")</f>
        <v/>
      </c>
      <c r="U104" s="45" t="str">
        <f aca="false">IF(ISNUMBER($S104),$S104*Parâmetros!$B$5,"")</f>
        <v/>
      </c>
      <c r="V104" s="45" t="str">
        <f aca="false">IF(ISNUMBER($S104),$S104*Parâmetros!$C$5,"")</f>
        <v/>
      </c>
      <c r="W104" s="44" t="str">
        <f aca="false">IF(ISNUMBER($S104),$S104-$D104-IF(ISNUMBER($E104),$E104,0)-$O104-$T104-$U104-$V104,"")</f>
        <v/>
      </c>
      <c r="X104" s="46" t="str">
        <f aca="false">IF(AND(ISNUMBER($S104),$S104&gt;0),$W104/$S104,"")</f>
        <v/>
      </c>
      <c r="Y104" s="47" t="s">
        <v>738</v>
      </c>
      <c r="Z104" s="19"/>
    </row>
    <row r="105" customFormat="false" ht="15.75" hidden="false" customHeight="true" outlineLevel="0" collapsed="false">
      <c r="A105" s="48" t="str">
        <f aca="false">IF(Produtos!$A105="","",Produtos!$A105)</f>
        <v>L2440-BC</v>
      </c>
      <c r="B105" s="48" t="str">
        <f aca="false">IF(Produtos!$A105="","",Produtos!$B105)</f>
        <v>Lixeira de Aço inox 24x40 20L c/Aro basculante colorido</v>
      </c>
      <c r="C105" s="48" t="str">
        <f aca="false">IF(Produtos!$A105="","",Produtos!$C105)</f>
        <v>Lixeiras em inox</v>
      </c>
      <c r="D105" s="33" t="n">
        <f aca="false">IF(Produtos!$A105="","",IF(Produtos!$D105="","",Produtos!$D105))</f>
        <v>137.47</v>
      </c>
      <c r="E105" s="11" t="n">
        <v>29.25</v>
      </c>
      <c r="F105" s="34" t="n">
        <f aca="false">IF($A105="","",IF($C105="","⚠ categoria",IFERROR(INDEX(Parâmetros!$C$13:$C$22,MATCH($C105,Parâmetros!$A$13:$A$22,0)),"⚠ categoria")))</f>
        <v>0.18</v>
      </c>
      <c r="G105" s="35" t="n">
        <v>0.15</v>
      </c>
      <c r="H105" s="36" t="n">
        <f aca="false">IF($A105="","",IF(ISNUMBER($G105),$G105,IF(ISNUMBER($F105),$F105,"")))</f>
        <v>0.15</v>
      </c>
      <c r="I105" s="37" t="n">
        <f aca="false">IF(OR($A105="",NOT(ISNUMBER($D105)),NOT(ISNUMBER($H105))),"",IF((1-$H105-Parâmetros!$B$5-Parâmetros!$C$5-Parâmetros!$D$5)&lt;=0,"INVALIDO",($D105+IF(ISNUMBER($E105),$E105,0)+IF(ISNUMBER(Parâmetros!$E$5),Parâmetros!$E$5,0))/(1-$H105-Parâmetros!$B$5-Parâmetros!$C$5-Parâmetros!$D$5)))</f>
        <v>320.615384615385</v>
      </c>
      <c r="J105" s="38" t="n">
        <v>334.2526425</v>
      </c>
      <c r="K105" s="39" t="n">
        <f aca="false">IF(OR($A105="",NOT(ISNUMBER($D105)),NOT(ISNUMBER($H105))),"",IF(AND(ISNUMBER($J105),$J105&gt;0),$J105,IF(ISNUMBER($I105),$I105,"")))</f>
        <v>334.2526425</v>
      </c>
      <c r="L105" s="40" t="n">
        <f aca="false">IF(ISNUMBER($K105),$K105*$H105,"")</f>
        <v>50.137896375</v>
      </c>
      <c r="M105" s="40" t="n">
        <f aca="false">IF(ISNUMBER($K105),$K105*Parâmetros!$B$5,"")</f>
        <v>33.42526425</v>
      </c>
      <c r="N105" s="40" t="n">
        <f aca="false">IF(ISNUMBER($K105),$K105*Parâmetros!$C$5,"")</f>
        <v>10.027579275</v>
      </c>
      <c r="O105" s="40" t="n">
        <f aca="false">IF(ISNUMBER($K105),IF(ISNUMBER(Parâmetros!$E$5),Parâmetros!$E$5,0),"")</f>
        <v>0</v>
      </c>
      <c r="P105" s="41" t="n">
        <f aca="false">IF(ISNUMBER($K105),$K105-$D105-IF(ISNUMBER($E105),$E105,0)-$L105-$M105-$N105-$O105,"")</f>
        <v>73.9419026</v>
      </c>
      <c r="Q105" s="42" t="n">
        <f aca="false">IF(AND(ISNUMBER($K105),$K105&gt;0),$P105/$K105,"")</f>
        <v>0.221215611182491</v>
      </c>
      <c r="R105" s="43"/>
      <c r="S105" s="44" t="str">
        <f aca="false">IF(OR(NOT(ISNUMBER($R105)),$R105=0,NOT(ISNUMBER($K105))),"",$K105*(1-$R105))</f>
        <v/>
      </c>
      <c r="T105" s="45" t="str">
        <f aca="false">IF(ISNUMBER($S105),$S105*$H105,"")</f>
        <v/>
      </c>
      <c r="U105" s="45" t="str">
        <f aca="false">IF(ISNUMBER($S105),$S105*Parâmetros!$B$5,"")</f>
        <v/>
      </c>
      <c r="V105" s="45" t="str">
        <f aca="false">IF(ISNUMBER($S105),$S105*Parâmetros!$C$5,"")</f>
        <v/>
      </c>
      <c r="W105" s="44" t="str">
        <f aca="false">IF(ISNUMBER($S105),$S105-$D105-IF(ISNUMBER($E105),$E105,0)-$O105-$T105-$U105-$V105,"")</f>
        <v/>
      </c>
      <c r="X105" s="46" t="str">
        <f aca="false">IF(AND(ISNUMBER($S105),$S105&gt;0),$W105/$S105,"")</f>
        <v/>
      </c>
      <c r="Y105" s="49" t="s">
        <v>739</v>
      </c>
      <c r="Z105" s="21"/>
    </row>
    <row r="106" customFormat="false" ht="15.75" hidden="false" customHeight="true" outlineLevel="0" collapsed="false">
      <c r="A106" s="32" t="str">
        <f aca="false">IF(Produtos!$A106="","",Produtos!$A106)</f>
        <v>L2450-BC</v>
      </c>
      <c r="B106" s="32" t="str">
        <f aca="false">IF(Produtos!$A106="","",Produtos!$B106)</f>
        <v>Lixeira de Aço inox 24x50 25L c/Aro basculante colorido</v>
      </c>
      <c r="C106" s="32" t="str">
        <f aca="false">IF(Produtos!$A106="","",Produtos!$C106)</f>
        <v>Lixeiras em inox</v>
      </c>
      <c r="D106" s="33" t="n">
        <f aca="false">IF(Produtos!$A106="","",IF(Produtos!$D106="","",Produtos!$D106))</f>
        <v>168.27</v>
      </c>
      <c r="E106" s="11"/>
      <c r="F106" s="34" t="n">
        <f aca="false">IF($A106="","",IF($C106="","⚠ categoria",IFERROR(INDEX(Parâmetros!$C$13:$C$22,MATCH($C106,Parâmetros!$A$13:$A$22,0)),"⚠ categoria")))</f>
        <v>0.18</v>
      </c>
      <c r="G106" s="35"/>
      <c r="H106" s="36" t="n">
        <f aca="false">IF($A106="","",IF(ISNUMBER($G106),$G106,IF(ISNUMBER($F106),$F106,"")))</f>
        <v>0.18</v>
      </c>
      <c r="I106" s="37" t="n">
        <f aca="false">IF(OR($A106="",NOT(ISNUMBER($D106)),NOT(ISNUMBER($H106))),"",IF((1-$H106-Parâmetros!$B$5-Parâmetros!$C$5-Parâmetros!$D$5)&lt;=0,"INVALIDO",($D106+IF(ISNUMBER($E106),$E106,0)+IF(ISNUMBER(Parâmetros!$E$5),Parâmetros!$E$5,0))/(1-$H106-Parâmetros!$B$5-Parâmetros!$C$5-Parâmetros!$D$5)))</f>
        <v>343.408163265306</v>
      </c>
      <c r="J106" s="38"/>
      <c r="K106" s="39" t="n">
        <f aca="false">IF(OR($A106="",NOT(ISNUMBER($D106)),NOT(ISNUMBER($H106))),"",IF(AND(ISNUMBER($J106),$J106&gt;0),$J106,IF(ISNUMBER($I106),$I106,"")))</f>
        <v>343.408163265306</v>
      </c>
      <c r="L106" s="40" t="n">
        <f aca="false">IF(ISNUMBER($K106),$K106*$H106,"")</f>
        <v>61.8134693877551</v>
      </c>
      <c r="M106" s="40" t="n">
        <f aca="false">IF(ISNUMBER($K106),$K106*Parâmetros!$B$5,"")</f>
        <v>34.3408163265306</v>
      </c>
      <c r="N106" s="40" t="n">
        <f aca="false">IF(ISNUMBER($K106),$K106*Parâmetros!$C$5,"")</f>
        <v>10.3022448979592</v>
      </c>
      <c r="O106" s="40" t="n">
        <f aca="false">IF(ISNUMBER($K106),IF(ISNUMBER(Parâmetros!$E$5),Parâmetros!$E$5,0),"")</f>
        <v>0</v>
      </c>
      <c r="P106" s="41" t="n">
        <f aca="false">IF(ISNUMBER($K106),$K106-$D106-IF(ISNUMBER($E106),$E106,0)-$L106-$M106-$N106-$O106,"")</f>
        <v>68.6816326530612</v>
      </c>
      <c r="Q106" s="42" t="n">
        <f aca="false">IF(AND(ISNUMBER($K106),$K106&gt;0),$P106/$K106,"")</f>
        <v>0.2</v>
      </c>
      <c r="R106" s="43"/>
      <c r="S106" s="44" t="str">
        <f aca="false">IF(OR(NOT(ISNUMBER($R106)),$R106=0,NOT(ISNUMBER($K106))),"",$K106*(1-$R106))</f>
        <v/>
      </c>
      <c r="T106" s="45" t="str">
        <f aca="false">IF(ISNUMBER($S106),$S106*$H106,"")</f>
        <v/>
      </c>
      <c r="U106" s="45" t="str">
        <f aca="false">IF(ISNUMBER($S106),$S106*Parâmetros!$B$5,"")</f>
        <v/>
      </c>
      <c r="V106" s="45" t="str">
        <f aca="false">IF(ISNUMBER($S106),$S106*Parâmetros!$C$5,"")</f>
        <v/>
      </c>
      <c r="W106" s="44" t="str">
        <f aca="false">IF(ISNUMBER($S106),$S106-$D106-IF(ISNUMBER($E106),$E106,0)-$O106-$T106-$U106-$V106,"")</f>
        <v/>
      </c>
      <c r="X106" s="46" t="str">
        <f aca="false">IF(AND(ISNUMBER($S106),$S106&gt;0),$W106/$S106,"")</f>
        <v/>
      </c>
      <c r="Y106" s="47"/>
      <c r="Z106" s="19"/>
    </row>
    <row r="107" customFormat="false" ht="15.75" hidden="false" customHeight="true" outlineLevel="0" collapsed="false">
      <c r="A107" s="48" t="str">
        <f aca="false">IF(Produtos!$A107="","",Produtos!$A107)</f>
        <v>L2460-BC</v>
      </c>
      <c r="B107" s="48" t="str">
        <f aca="false">IF(Produtos!$A107="","",Produtos!$B107)</f>
        <v>Lixeira de Aço inox 24x60 27L c/Aro basculante colorido</v>
      </c>
      <c r="C107" s="48" t="str">
        <f aca="false">IF(Produtos!$A107="","",Produtos!$C107)</f>
        <v>Lixeiras em inox</v>
      </c>
      <c r="D107" s="33" t="n">
        <f aca="false">IF(Produtos!$A107="","",IF(Produtos!$D107="","",Produtos!$D107))</f>
        <v>169.79</v>
      </c>
      <c r="E107" s="11" t="n">
        <v>49.35</v>
      </c>
      <c r="F107" s="34" t="n">
        <f aca="false">IF($A107="","",IF($C107="","⚠ categoria",IFERROR(INDEX(Parâmetros!$C$13:$C$22,MATCH($C107,Parâmetros!$A$13:$A$22,0)),"⚠ categoria")))</f>
        <v>0.18</v>
      </c>
      <c r="G107" s="35" t="n">
        <v>0.15</v>
      </c>
      <c r="H107" s="36" t="n">
        <f aca="false">IF($A107="","",IF(ISNUMBER($G107),$G107,IF(ISNUMBER($F107),$F107,"")))</f>
        <v>0.15</v>
      </c>
      <c r="I107" s="37" t="n">
        <f aca="false">IF(OR($A107="",NOT(ISNUMBER($D107)),NOT(ISNUMBER($H107))),"",IF((1-$H107-Parâmetros!$B$5-Parâmetros!$C$5-Parâmetros!$D$5)&lt;=0,"INVALIDO",($D107+IF(ISNUMBER($E107),$E107,0)+IF(ISNUMBER(Parâmetros!$E$5),Parâmetros!$E$5,0))/(1-$H107-Parâmetros!$B$5-Parâmetros!$C$5-Parâmetros!$D$5)))</f>
        <v>421.423076923077</v>
      </c>
      <c r="J107" s="38" t="n">
        <v>394.7269725</v>
      </c>
      <c r="K107" s="39" t="n">
        <f aca="false">IF(OR($A107="",NOT(ISNUMBER($D107)),NOT(ISNUMBER($H107))),"",IF(AND(ISNUMBER($J107),$J107&gt;0),$J107,IF(ISNUMBER($I107),$I107,"")))</f>
        <v>394.7269725</v>
      </c>
      <c r="L107" s="40" t="n">
        <f aca="false">IF(ISNUMBER($K107),$K107*$H107,"")</f>
        <v>59.209045875</v>
      </c>
      <c r="M107" s="40" t="n">
        <f aca="false">IF(ISNUMBER($K107),$K107*Parâmetros!$B$5,"")</f>
        <v>39.47269725</v>
      </c>
      <c r="N107" s="40" t="n">
        <f aca="false">IF(ISNUMBER($K107),$K107*Parâmetros!$C$5,"")</f>
        <v>11.841809175</v>
      </c>
      <c r="O107" s="40" t="n">
        <f aca="false">IF(ISNUMBER($K107),IF(ISNUMBER(Parâmetros!$E$5),Parâmetros!$E$5,0),"")</f>
        <v>0</v>
      </c>
      <c r="P107" s="41" t="n">
        <f aca="false">IF(ISNUMBER($K107),$K107-$D107-IF(ISNUMBER($E107),$E107,0)-$L107-$M107-$N107-$O107,"")</f>
        <v>65.0634202000001</v>
      </c>
      <c r="Q107" s="42" t="n">
        <f aca="false">IF(AND(ISNUMBER($K107),$K107&gt;0),$P107/$K107,"")</f>
        <v>0.164831452454139</v>
      </c>
      <c r="R107" s="43"/>
      <c r="S107" s="44" t="str">
        <f aca="false">IF(OR(NOT(ISNUMBER($R107)),$R107=0,NOT(ISNUMBER($K107))),"",$K107*(1-$R107))</f>
        <v/>
      </c>
      <c r="T107" s="45" t="str">
        <f aca="false">IF(ISNUMBER($S107),$S107*$H107,"")</f>
        <v/>
      </c>
      <c r="U107" s="45" t="str">
        <f aca="false">IF(ISNUMBER($S107),$S107*Parâmetros!$B$5,"")</f>
        <v/>
      </c>
      <c r="V107" s="45" t="str">
        <f aca="false">IF(ISNUMBER($S107),$S107*Parâmetros!$C$5,"")</f>
        <v/>
      </c>
      <c r="W107" s="44" t="str">
        <f aca="false">IF(ISNUMBER($S107),$S107-$D107-IF(ISNUMBER($E107),$E107,0)-$O107-$T107-$U107-$V107,"")</f>
        <v/>
      </c>
      <c r="X107" s="46" t="str">
        <f aca="false">IF(AND(ISNUMBER($S107),$S107&gt;0),$W107/$S107,"")</f>
        <v/>
      </c>
      <c r="Y107" s="49" t="s">
        <v>739</v>
      </c>
      <c r="Z107" s="21"/>
    </row>
    <row r="108" customFormat="false" ht="15.75" hidden="false" customHeight="true" outlineLevel="0" collapsed="false">
      <c r="A108" s="32" t="str">
        <f aca="false">IF(Produtos!$A108="","",Produtos!$A108)</f>
        <v>L2470-BC</v>
      </c>
      <c r="B108" s="32" t="str">
        <f aca="false">IF(Produtos!$A108="","",Produtos!$B108)</f>
        <v>Lixeira de Aço inox 24x70 30L c/Aro basculante colorido</v>
      </c>
      <c r="C108" s="32" t="str">
        <f aca="false">IF(Produtos!$A108="","",Produtos!$C108)</f>
        <v>Lixeiras em inox</v>
      </c>
      <c r="D108" s="33" t="n">
        <f aca="false">IF(Produtos!$A108="","",IF(Produtos!$D108="","",Produtos!$D108))</f>
        <v>235.59</v>
      </c>
      <c r="E108" s="11" t="n">
        <v>49.35</v>
      </c>
      <c r="F108" s="34" t="n">
        <f aca="false">IF($A108="","",IF($C108="","⚠ categoria",IFERROR(INDEX(Parâmetros!$C$13:$C$22,MATCH($C108,Parâmetros!$A$13:$A$22,0)),"⚠ categoria")))</f>
        <v>0.18</v>
      </c>
      <c r="G108" s="35" t="n">
        <v>0.15</v>
      </c>
      <c r="H108" s="36" t="n">
        <f aca="false">IF($A108="","",IF(ISNUMBER($G108),$G108,IF(ISNUMBER($F108),$F108,"")))</f>
        <v>0.15</v>
      </c>
      <c r="I108" s="37" t="n">
        <f aca="false">IF(OR($A108="",NOT(ISNUMBER($D108)),NOT(ISNUMBER($H108))),"",IF((1-$H108-Parâmetros!$B$5-Parâmetros!$C$5-Parâmetros!$D$5)&lt;=0,"INVALIDO",($D108+IF(ISNUMBER($E108),$E108,0)+IF(ISNUMBER(Parâmetros!$E$5),Parâmetros!$E$5,0))/(1-$H108-Parâmetros!$B$5-Parâmetros!$C$5-Parâmetros!$D$5)))</f>
        <v>547.961538461539</v>
      </c>
      <c r="J108" s="38" t="n">
        <v>557.4909275</v>
      </c>
      <c r="K108" s="39" t="n">
        <f aca="false">IF(OR($A108="",NOT(ISNUMBER($D108)),NOT(ISNUMBER($H108))),"",IF(AND(ISNUMBER($J108),$J108&gt;0),$J108,IF(ISNUMBER($I108),$I108,"")))</f>
        <v>557.4909275</v>
      </c>
      <c r="L108" s="40" t="n">
        <f aca="false">IF(ISNUMBER($K108),$K108*$H108,"")</f>
        <v>83.623639125</v>
      </c>
      <c r="M108" s="40" t="n">
        <f aca="false">IF(ISNUMBER($K108),$K108*Parâmetros!$B$5,"")</f>
        <v>55.74909275</v>
      </c>
      <c r="N108" s="40" t="n">
        <f aca="false">IF(ISNUMBER($K108),$K108*Parâmetros!$C$5,"")</f>
        <v>16.724727825</v>
      </c>
      <c r="O108" s="40" t="n">
        <f aca="false">IF(ISNUMBER($K108),IF(ISNUMBER(Parâmetros!$E$5),Parâmetros!$E$5,0),"")</f>
        <v>0</v>
      </c>
      <c r="P108" s="41" t="n">
        <f aca="false">IF(ISNUMBER($K108),$K108-$D108-IF(ISNUMBER($E108),$E108,0)-$L108-$M108-$N108-$O108,"")</f>
        <v>116.4534678</v>
      </c>
      <c r="Q108" s="42" t="n">
        <f aca="false">IF(AND(ISNUMBER($K108),$K108&gt;0),$P108/$K108,"")</f>
        <v>0.208888543392484</v>
      </c>
      <c r="R108" s="43"/>
      <c r="S108" s="44" t="str">
        <f aca="false">IF(OR(NOT(ISNUMBER($R108)),$R108=0,NOT(ISNUMBER($K108))),"",$K108*(1-$R108))</f>
        <v/>
      </c>
      <c r="T108" s="45" t="str">
        <f aca="false">IF(ISNUMBER($S108),$S108*$H108,"")</f>
        <v/>
      </c>
      <c r="U108" s="45" t="str">
        <f aca="false">IF(ISNUMBER($S108),$S108*Parâmetros!$B$5,"")</f>
        <v/>
      </c>
      <c r="V108" s="45" t="str">
        <f aca="false">IF(ISNUMBER($S108),$S108*Parâmetros!$C$5,"")</f>
        <v/>
      </c>
      <c r="W108" s="44" t="str">
        <f aca="false">IF(ISNUMBER($S108),$S108-$D108-IF(ISNUMBER($E108),$E108,0)-$O108-$T108-$U108-$V108,"")</f>
        <v/>
      </c>
      <c r="X108" s="46" t="str">
        <f aca="false">IF(AND(ISNUMBER($S108),$S108&gt;0),$W108/$S108,"")</f>
        <v/>
      </c>
      <c r="Y108" s="47" t="s">
        <v>738</v>
      </c>
      <c r="Z108" s="19"/>
    </row>
    <row r="109" customFormat="false" ht="15.75" hidden="false" customHeight="true" outlineLevel="0" collapsed="false">
      <c r="A109" s="48" t="str">
        <f aca="false">IF(Produtos!$A109="","",Produtos!$A109)</f>
        <v>L3040-BC</v>
      </c>
      <c r="B109" s="48" t="str">
        <f aca="false">IF(Produtos!$A109="","",Produtos!$B109)</f>
        <v>Lixeira de Aço inox 30x40 30L c/Aro basculante colorido</v>
      </c>
      <c r="C109" s="48" t="str">
        <f aca="false">IF(Produtos!$A109="","",Produtos!$C109)</f>
        <v>Lixeiras em inox</v>
      </c>
      <c r="D109" s="33" t="n">
        <f aca="false">IF(Produtos!$A109="","",IF(Produtos!$D109="","",Produtos!$D109))</f>
        <v>193.14</v>
      </c>
      <c r="E109" s="11" t="n">
        <v>49.35</v>
      </c>
      <c r="F109" s="34" t="n">
        <f aca="false">IF($A109="","",IF($C109="","⚠ categoria",IFERROR(INDEX(Parâmetros!$C$13:$C$22,MATCH($C109,Parâmetros!$A$13:$A$22,0)),"⚠ categoria")))</f>
        <v>0.18</v>
      </c>
      <c r="G109" s="35" t="n">
        <v>0.15</v>
      </c>
      <c r="H109" s="36" t="n">
        <f aca="false">IF($A109="","",IF(ISNUMBER($G109),$G109,IF(ISNUMBER($F109),$F109,"")))</f>
        <v>0.15</v>
      </c>
      <c r="I109" s="37" t="n">
        <f aca="false">IF(OR($A109="",NOT(ISNUMBER($D109)),NOT(ISNUMBER($H109))),"",IF((1-$H109-Parâmetros!$B$5-Parâmetros!$C$5-Parâmetros!$D$5)&lt;=0,"INVALIDO",($D109+IF(ISNUMBER($E109),$E109,0)+IF(ISNUMBER(Parâmetros!$E$5),Parâmetros!$E$5,0))/(1-$H109-Parâmetros!$B$5-Parâmetros!$C$5-Parâmetros!$D$5)))</f>
        <v>466.326923076923</v>
      </c>
      <c r="J109" s="38" t="n">
        <v>451.983105</v>
      </c>
      <c r="K109" s="39" t="n">
        <f aca="false">IF(OR($A109="",NOT(ISNUMBER($D109)),NOT(ISNUMBER($H109))),"",IF(AND(ISNUMBER($J109),$J109&gt;0),$J109,IF(ISNUMBER($I109),$I109,"")))</f>
        <v>451.983105</v>
      </c>
      <c r="L109" s="40" t="n">
        <f aca="false">IF(ISNUMBER($K109),$K109*$H109,"")</f>
        <v>67.79746575</v>
      </c>
      <c r="M109" s="40" t="n">
        <f aca="false">IF(ISNUMBER($K109),$K109*Parâmetros!$B$5,"")</f>
        <v>45.1983105</v>
      </c>
      <c r="N109" s="40" t="n">
        <f aca="false">IF(ISNUMBER($K109),$K109*Parâmetros!$C$5,"")</f>
        <v>13.55949315</v>
      </c>
      <c r="O109" s="40" t="n">
        <f aca="false">IF(ISNUMBER($K109),IF(ISNUMBER(Parâmetros!$E$5),Parâmetros!$E$5,0),"")</f>
        <v>0</v>
      </c>
      <c r="P109" s="41" t="n">
        <f aca="false">IF(ISNUMBER($K109),$K109-$D109-IF(ISNUMBER($E109),$E109,0)-$L109-$M109-$N109-$O109,"")</f>
        <v>82.9378356000001</v>
      </c>
      <c r="Q109" s="42" t="n">
        <f aca="false">IF(AND(ISNUMBER($K109),$K109&gt;0),$P109/$K109,"")</f>
        <v>0.183497645559119</v>
      </c>
      <c r="R109" s="43"/>
      <c r="S109" s="44" t="str">
        <f aca="false">IF(OR(NOT(ISNUMBER($R109)),$R109=0,NOT(ISNUMBER($K109))),"",$K109*(1-$R109))</f>
        <v/>
      </c>
      <c r="T109" s="45" t="str">
        <f aca="false">IF(ISNUMBER($S109),$S109*$H109,"")</f>
        <v/>
      </c>
      <c r="U109" s="45" t="str">
        <f aca="false">IF(ISNUMBER($S109),$S109*Parâmetros!$B$5,"")</f>
        <v/>
      </c>
      <c r="V109" s="45" t="str">
        <f aca="false">IF(ISNUMBER($S109),$S109*Parâmetros!$C$5,"")</f>
        <v/>
      </c>
      <c r="W109" s="44" t="str">
        <f aca="false">IF(ISNUMBER($S109),$S109-$D109-IF(ISNUMBER($E109),$E109,0)-$O109-$T109-$U109-$V109,"")</f>
        <v/>
      </c>
      <c r="X109" s="46" t="str">
        <f aca="false">IF(AND(ISNUMBER($S109),$S109&gt;0),$W109/$S109,"")</f>
        <v/>
      </c>
      <c r="Y109" s="49" t="s">
        <v>738</v>
      </c>
      <c r="Z109" s="21"/>
    </row>
    <row r="110" customFormat="false" ht="15.75" hidden="false" customHeight="true" outlineLevel="0" collapsed="false">
      <c r="A110" s="32" t="str">
        <f aca="false">IF(Produtos!$A110="","",Produtos!$A110)</f>
        <v>L3050-BC</v>
      </c>
      <c r="B110" s="32" t="str">
        <f aca="false">IF(Produtos!$A110="","",Produtos!$B110)</f>
        <v>Lixeira de Aço inox 30x50 35L c/Aro basculante colorido</v>
      </c>
      <c r="C110" s="32" t="str">
        <f aca="false">IF(Produtos!$A110="","",Produtos!$C110)</f>
        <v>Lixeiras em inox</v>
      </c>
      <c r="D110" s="33" t="n">
        <f aca="false">IF(Produtos!$A110="","",IF(Produtos!$D110="","",Produtos!$D110))</f>
        <v>237.59</v>
      </c>
      <c r="E110" s="11" t="n">
        <v>50.75</v>
      </c>
      <c r="F110" s="34" t="n">
        <f aca="false">IF($A110="","",IF($C110="","⚠ categoria",IFERROR(INDEX(Parâmetros!$C$13:$C$22,MATCH($C110,Parâmetros!$A$13:$A$22,0)),"⚠ categoria")))</f>
        <v>0.18</v>
      </c>
      <c r="G110" s="35" t="n">
        <v>0.15</v>
      </c>
      <c r="H110" s="36" t="n">
        <f aca="false">IF($A110="","",IF(ISNUMBER($G110),$G110,IF(ISNUMBER($F110),$F110,"")))</f>
        <v>0.15</v>
      </c>
      <c r="I110" s="37" t="n">
        <f aca="false">IF(OR($A110="",NOT(ISNUMBER($D110)),NOT(ISNUMBER($H110))),"",IF((1-$H110-Parâmetros!$B$5-Parâmetros!$C$5-Parâmetros!$D$5)&lt;=0,"INVALIDO",($D110+IF(ISNUMBER($E110),$E110,0)+IF(ISNUMBER(Parâmetros!$E$5),Parâmetros!$E$5,0))/(1-$H110-Parâmetros!$B$5-Parâmetros!$C$5-Parâmetros!$D$5)))</f>
        <v>554.5</v>
      </c>
      <c r="J110" s="38" t="n">
        <v>537.75154125</v>
      </c>
      <c r="K110" s="39" t="n">
        <f aca="false">IF(OR($A110="",NOT(ISNUMBER($D110)),NOT(ISNUMBER($H110))),"",IF(AND(ISNUMBER($J110),$J110&gt;0),$J110,IF(ISNUMBER($I110),$I110,"")))</f>
        <v>537.75154125</v>
      </c>
      <c r="L110" s="40" t="n">
        <f aca="false">IF(ISNUMBER($K110),$K110*$H110,"")</f>
        <v>80.6627311875</v>
      </c>
      <c r="M110" s="40" t="n">
        <f aca="false">IF(ISNUMBER($K110),$K110*Parâmetros!$B$5,"")</f>
        <v>53.775154125</v>
      </c>
      <c r="N110" s="40" t="n">
        <f aca="false">IF(ISNUMBER($K110),$K110*Parâmetros!$C$5,"")</f>
        <v>16.1325462375</v>
      </c>
      <c r="O110" s="40" t="n">
        <f aca="false">IF(ISNUMBER($K110),IF(ISNUMBER(Parâmetros!$E$5),Parâmetros!$E$5,0),"")</f>
        <v>0</v>
      </c>
      <c r="P110" s="41" t="n">
        <f aca="false">IF(ISNUMBER($K110),$K110-$D110-IF(ISNUMBER($E110),$E110,0)-$L110-$M110-$N110-$O110,"")</f>
        <v>98.8411097000001</v>
      </c>
      <c r="Q110" s="42" t="n">
        <f aca="false">IF(AND(ISNUMBER($K110),$K110&gt;0),$P110/$K110,"")</f>
        <v>0.183804419175154</v>
      </c>
      <c r="R110" s="43"/>
      <c r="S110" s="44" t="str">
        <f aca="false">IF(OR(NOT(ISNUMBER($R110)),$R110=0,NOT(ISNUMBER($K110))),"",$K110*(1-$R110))</f>
        <v/>
      </c>
      <c r="T110" s="45" t="str">
        <f aca="false">IF(ISNUMBER($S110),$S110*$H110,"")</f>
        <v/>
      </c>
      <c r="U110" s="45" t="str">
        <f aca="false">IF(ISNUMBER($S110),$S110*Parâmetros!$B$5,"")</f>
        <v/>
      </c>
      <c r="V110" s="45" t="str">
        <f aca="false">IF(ISNUMBER($S110),$S110*Parâmetros!$C$5,"")</f>
        <v/>
      </c>
      <c r="W110" s="44" t="str">
        <f aca="false">IF(ISNUMBER($S110),$S110-$D110-IF(ISNUMBER($E110),$E110,0)-$O110-$T110-$U110-$V110,"")</f>
        <v/>
      </c>
      <c r="X110" s="46" t="str">
        <f aca="false">IF(AND(ISNUMBER($S110),$S110&gt;0),$W110/$S110,"")</f>
        <v/>
      </c>
      <c r="Y110" s="47" t="s">
        <v>741</v>
      </c>
      <c r="Z110" s="19"/>
    </row>
    <row r="111" customFormat="false" ht="15.75" hidden="false" customHeight="true" outlineLevel="0" collapsed="false">
      <c r="A111" s="48" t="str">
        <f aca="false">IF(Produtos!$A111="","",Produtos!$A111)</f>
        <v>L3060-BC</v>
      </c>
      <c r="B111" s="48" t="str">
        <f aca="false">IF(Produtos!$A111="","",Produtos!$B111)</f>
        <v>Lixeira de Aço inox 30x60 40L c/Aro basculante colorido</v>
      </c>
      <c r="C111" s="48" t="str">
        <f aca="false">IF(Produtos!$A111="","",Produtos!$C111)</f>
        <v>Lixeiras em inox</v>
      </c>
      <c r="D111" s="33" t="n">
        <f aca="false">IF(Produtos!$A111="","",IF(Produtos!$D111="","",Produtos!$D111))</f>
        <v>258.38</v>
      </c>
      <c r="E111" s="11" t="n">
        <v>79.35</v>
      </c>
      <c r="F111" s="34" t="n">
        <f aca="false">IF($A111="","",IF($C111="","⚠ categoria",IFERROR(INDEX(Parâmetros!$C$13:$C$22,MATCH($C111,Parâmetros!$A$13:$A$22,0)),"⚠ categoria")))</f>
        <v>0.18</v>
      </c>
      <c r="G111" s="35" t="n">
        <v>0.15</v>
      </c>
      <c r="H111" s="36" t="n">
        <f aca="false">IF($A111="","",IF(ISNUMBER($G111),$G111,IF(ISNUMBER($F111),$F111,"")))</f>
        <v>0.15</v>
      </c>
      <c r="I111" s="37" t="n">
        <f aca="false">IF(OR($A111="",NOT(ISNUMBER($D111)),NOT(ISNUMBER($H111))),"",IF((1-$H111-Parâmetros!$B$5-Parâmetros!$C$5-Parâmetros!$D$5)&lt;=0,"INVALIDO",($D111+IF(ISNUMBER($E111),$E111,0)+IF(ISNUMBER(Parâmetros!$E$5),Parâmetros!$E$5,0))/(1-$H111-Parâmetros!$B$5-Parâmetros!$C$5-Parâmetros!$D$5)))</f>
        <v>649.480769230769</v>
      </c>
      <c r="J111" s="38" t="n">
        <v>577.8632475</v>
      </c>
      <c r="K111" s="39" t="n">
        <f aca="false">IF(OR($A111="",NOT(ISNUMBER($D111)),NOT(ISNUMBER($H111))),"",IF(AND(ISNUMBER($J111),$J111&gt;0),$J111,IF(ISNUMBER($I111),$I111,"")))</f>
        <v>577.8632475</v>
      </c>
      <c r="L111" s="40" t="n">
        <f aca="false">IF(ISNUMBER($K111),$K111*$H111,"")</f>
        <v>86.679487125</v>
      </c>
      <c r="M111" s="40" t="n">
        <f aca="false">IF(ISNUMBER($K111),$K111*Parâmetros!$B$5,"")</f>
        <v>57.78632475</v>
      </c>
      <c r="N111" s="40" t="n">
        <f aca="false">IF(ISNUMBER($K111),$K111*Parâmetros!$C$5,"")</f>
        <v>17.335897425</v>
      </c>
      <c r="O111" s="40" t="n">
        <f aca="false">IF(ISNUMBER($K111),IF(ISNUMBER(Parâmetros!$E$5),Parâmetros!$E$5,0),"")</f>
        <v>0</v>
      </c>
      <c r="P111" s="41" t="n">
        <f aca="false">IF(ISNUMBER($K111),$K111-$D111-IF(ISNUMBER($E111),$E111,0)-$L111-$M111-$N111-$O111,"")</f>
        <v>78.3315382000001</v>
      </c>
      <c r="Q111" s="42" t="n">
        <f aca="false">IF(AND(ISNUMBER($K111),$K111&gt;0),$P111/$K111,"")</f>
        <v>0.135553763868674</v>
      </c>
      <c r="R111" s="43"/>
      <c r="S111" s="44" t="str">
        <f aca="false">IF(OR(NOT(ISNUMBER($R111)),$R111=0,NOT(ISNUMBER($K111))),"",$K111*(1-$R111))</f>
        <v/>
      </c>
      <c r="T111" s="45" t="str">
        <f aca="false">IF(ISNUMBER($S111),$S111*$H111,"")</f>
        <v/>
      </c>
      <c r="U111" s="45" t="str">
        <f aca="false">IF(ISNUMBER($S111),$S111*Parâmetros!$B$5,"")</f>
        <v/>
      </c>
      <c r="V111" s="45" t="str">
        <f aca="false">IF(ISNUMBER($S111),$S111*Parâmetros!$C$5,"")</f>
        <v/>
      </c>
      <c r="W111" s="44" t="str">
        <f aca="false">IF(ISNUMBER($S111),$S111-$D111-IF(ISNUMBER($E111),$E111,0)-$O111-$T111-$U111-$V111,"")</f>
        <v/>
      </c>
      <c r="X111" s="46" t="str">
        <f aca="false">IF(AND(ISNUMBER($S111),$S111&gt;0),$W111/$S111,"")</f>
        <v/>
      </c>
      <c r="Y111" s="49" t="s">
        <v>741</v>
      </c>
      <c r="Z111" s="21"/>
    </row>
    <row r="112" customFormat="false" ht="15.75" hidden="false" customHeight="true" outlineLevel="0" collapsed="false">
      <c r="A112" s="32" t="str">
        <f aca="false">IF(Produtos!$A112="","",Produtos!$A112)</f>
        <v>L3070-BC</v>
      </c>
      <c r="B112" s="32" t="str">
        <f aca="false">IF(Produtos!$A112="","",Produtos!$B112)</f>
        <v>Lixeira de Aço inox 30x70 50L c/Aro basculante colorido</v>
      </c>
      <c r="C112" s="32" t="str">
        <f aca="false">IF(Produtos!$A112="","",Produtos!$C112)</f>
        <v>Lixeiras em inox</v>
      </c>
      <c r="D112" s="33" t="n">
        <f aca="false">IF(Produtos!$A112="","",IF(Produtos!$D112="","",Produtos!$D112))</f>
        <v>300.03</v>
      </c>
      <c r="E112" s="11" t="n">
        <v>70.95</v>
      </c>
      <c r="F112" s="34" t="n">
        <f aca="false">IF($A112="","",IF($C112="","⚠ categoria",IFERROR(INDEX(Parâmetros!$C$13:$C$22,MATCH($C112,Parâmetros!$A$13:$A$22,0)),"⚠ categoria")))</f>
        <v>0.18</v>
      </c>
      <c r="G112" s="35" t="n">
        <v>0.15</v>
      </c>
      <c r="H112" s="36" t="n">
        <f aca="false">IF($A112="","",IF(ISNUMBER($G112),$G112,IF(ISNUMBER($F112),$F112,"")))</f>
        <v>0.15</v>
      </c>
      <c r="I112" s="37" t="n">
        <f aca="false">IF(OR($A112="",NOT(ISNUMBER($D112)),NOT(ISNUMBER($H112))),"",IF((1-$H112-Parâmetros!$B$5-Parâmetros!$C$5-Parâmetros!$D$5)&lt;=0,"INVALIDO",($D112+IF(ISNUMBER($E112),$E112,0)+IF(ISNUMBER(Parâmetros!$E$5),Parâmetros!$E$5,0))/(1-$H112-Parâmetros!$B$5-Parâmetros!$C$5-Parâmetros!$D$5)))</f>
        <v>713.423076923077</v>
      </c>
      <c r="J112" s="38" t="n">
        <v>658.2024225</v>
      </c>
      <c r="K112" s="39" t="n">
        <f aca="false">IF(OR($A112="",NOT(ISNUMBER($D112)),NOT(ISNUMBER($H112))),"",IF(AND(ISNUMBER($J112),$J112&gt;0),$J112,IF(ISNUMBER($I112),$I112,"")))</f>
        <v>658.2024225</v>
      </c>
      <c r="L112" s="40" t="n">
        <f aca="false">IF(ISNUMBER($K112),$K112*$H112,"")</f>
        <v>98.730363375</v>
      </c>
      <c r="M112" s="40" t="n">
        <f aca="false">IF(ISNUMBER($K112),$K112*Parâmetros!$B$5,"")</f>
        <v>65.82024225</v>
      </c>
      <c r="N112" s="40" t="n">
        <f aca="false">IF(ISNUMBER($K112),$K112*Parâmetros!$C$5,"")</f>
        <v>19.746072675</v>
      </c>
      <c r="O112" s="40" t="n">
        <f aca="false">IF(ISNUMBER($K112),IF(ISNUMBER(Parâmetros!$E$5),Parâmetros!$E$5,0),"")</f>
        <v>0</v>
      </c>
      <c r="P112" s="41" t="n">
        <f aca="false">IF(ISNUMBER($K112),$K112-$D112-IF(ISNUMBER($E112),$E112,0)-$L112-$M112-$N112-$O112,"")</f>
        <v>102.9257442</v>
      </c>
      <c r="Q112" s="42" t="n">
        <f aca="false">IF(AND(ISNUMBER($K112),$K112&gt;0),$P112/$K112,"")</f>
        <v>0.156373997848663</v>
      </c>
      <c r="R112" s="43"/>
      <c r="S112" s="44" t="str">
        <f aca="false">IF(OR(NOT(ISNUMBER($R112)),$R112=0,NOT(ISNUMBER($K112))),"",$K112*(1-$R112))</f>
        <v/>
      </c>
      <c r="T112" s="45" t="str">
        <f aca="false">IF(ISNUMBER($S112),$S112*$H112,"")</f>
        <v/>
      </c>
      <c r="U112" s="45" t="str">
        <f aca="false">IF(ISNUMBER($S112),$S112*Parâmetros!$B$5,"")</f>
        <v/>
      </c>
      <c r="V112" s="45" t="str">
        <f aca="false">IF(ISNUMBER($S112),$S112*Parâmetros!$C$5,"")</f>
        <v/>
      </c>
      <c r="W112" s="44" t="str">
        <f aca="false">IF(ISNUMBER($S112),$S112-$D112-IF(ISNUMBER($E112),$E112,0)-$O112-$T112-$U112-$V112,"")</f>
        <v/>
      </c>
      <c r="X112" s="46" t="str">
        <f aca="false">IF(AND(ISNUMBER($S112),$S112&gt;0),$W112/$S112,"")</f>
        <v/>
      </c>
      <c r="Y112" s="47" t="s">
        <v>741</v>
      </c>
      <c r="Z112" s="19"/>
    </row>
    <row r="113" customFormat="false" ht="15.75" hidden="false" customHeight="true" outlineLevel="0" collapsed="false">
      <c r="A113" s="48" t="str">
        <f aca="false">IF(Produtos!$A113="","",Produtos!$A113)</f>
        <v>L3085-BC</v>
      </c>
      <c r="B113" s="48" t="str">
        <f aca="false">IF(Produtos!$A113="","",Produtos!$B113)</f>
        <v>Lixeira de Aço inox 30x85 60L c/Aro basculante colorido</v>
      </c>
      <c r="C113" s="48" t="str">
        <f aca="false">IF(Produtos!$A113="","",Produtos!$C113)</f>
        <v>Lixeiras em inox</v>
      </c>
      <c r="D113" s="33" t="n">
        <f aca="false">IF(Produtos!$A113="","",IF(Produtos!$D113="","",Produtos!$D113))</f>
        <v>363.87</v>
      </c>
      <c r="E113" s="11" t="n">
        <v>70.95</v>
      </c>
      <c r="F113" s="34" t="n">
        <f aca="false">IF($A113="","",IF($C113="","⚠ categoria",IFERROR(INDEX(Parâmetros!$C$13:$C$22,MATCH($C113,Parâmetros!$A$13:$A$22,0)),"⚠ categoria")))</f>
        <v>0.18</v>
      </c>
      <c r="G113" s="35"/>
      <c r="H113" s="36" t="n">
        <f aca="false">IF($A113="","",IF(ISNUMBER($G113),$G113,IF(ISNUMBER($F113),$F113,"")))</f>
        <v>0.18</v>
      </c>
      <c r="I113" s="37" t="n">
        <f aca="false">IF(OR($A113="",NOT(ISNUMBER($D113)),NOT(ISNUMBER($H113))),"",IF((1-$H113-Parâmetros!$B$5-Parâmetros!$C$5-Parâmetros!$D$5)&lt;=0,"INVALIDO",($D113+IF(ISNUMBER($E113),$E113,0)+IF(ISNUMBER(Parâmetros!$E$5),Parâmetros!$E$5,0))/(1-$H113-Parâmetros!$B$5-Parâmetros!$C$5-Parâmetros!$D$5)))</f>
        <v>887.387755102041</v>
      </c>
      <c r="J113" s="38" t="n">
        <v>781.396875</v>
      </c>
      <c r="K113" s="39" t="n">
        <f aca="false">IF(OR($A113="",NOT(ISNUMBER($D113)),NOT(ISNUMBER($H113))),"",IF(AND(ISNUMBER($J113),$J113&gt;0),$J113,IF(ISNUMBER($I113),$I113,"")))</f>
        <v>781.396875</v>
      </c>
      <c r="L113" s="40" t="n">
        <f aca="false">IF(ISNUMBER($K113),$K113*$H113,"")</f>
        <v>140.6514375</v>
      </c>
      <c r="M113" s="40" t="n">
        <f aca="false">IF(ISNUMBER($K113),$K113*Parâmetros!$B$5,"")</f>
        <v>78.1396875</v>
      </c>
      <c r="N113" s="40" t="n">
        <f aca="false">IF(ISNUMBER($K113),$K113*Parâmetros!$C$5,"")</f>
        <v>23.44190625</v>
      </c>
      <c r="O113" s="40" t="n">
        <f aca="false">IF(ISNUMBER($K113),IF(ISNUMBER(Parâmetros!$E$5),Parâmetros!$E$5,0),"")</f>
        <v>0</v>
      </c>
      <c r="P113" s="41" t="n">
        <f aca="false">IF(ISNUMBER($K113),$K113-$D113-IF(ISNUMBER($E113),$E113,0)-$L113-$M113-$N113-$O113,"")</f>
        <v>104.34384375</v>
      </c>
      <c r="Q113" s="42" t="n">
        <f aca="false">IF(AND(ISNUMBER($K113),$K113&gt;0),$P113/$K113,"")</f>
        <v>0.133535015417102</v>
      </c>
      <c r="R113" s="43"/>
      <c r="S113" s="44" t="str">
        <f aca="false">IF(OR(NOT(ISNUMBER($R113)),$R113=0,NOT(ISNUMBER($K113))),"",$K113*(1-$R113))</f>
        <v/>
      </c>
      <c r="T113" s="45" t="str">
        <f aca="false">IF(ISNUMBER($S113),$S113*$H113,"")</f>
        <v/>
      </c>
      <c r="U113" s="45" t="str">
        <f aca="false">IF(ISNUMBER($S113),$S113*Parâmetros!$B$5,"")</f>
        <v/>
      </c>
      <c r="V113" s="45" t="str">
        <f aca="false">IF(ISNUMBER($S113),$S113*Parâmetros!$C$5,"")</f>
        <v/>
      </c>
      <c r="W113" s="44" t="str">
        <f aca="false">IF(ISNUMBER($S113),$S113-$D113-IF(ISNUMBER($E113),$E113,0)-$O113-$T113-$U113-$V113,"")</f>
        <v/>
      </c>
      <c r="X113" s="46" t="str">
        <f aca="false">IF(AND(ISNUMBER($S113),$S113&gt;0),$W113/$S113,"")</f>
        <v/>
      </c>
      <c r="Y113" s="49" t="s">
        <v>741</v>
      </c>
      <c r="Z113" s="21"/>
    </row>
    <row r="114" customFormat="false" ht="15.75" hidden="false" customHeight="true" outlineLevel="0" collapsed="false">
      <c r="A114" s="32" t="str">
        <f aca="false">IF(Produtos!$A114="","",Produtos!$A114)</f>
        <v>L4050-BC</v>
      </c>
      <c r="B114" s="32" t="str">
        <f aca="false">IF(Produtos!$A114="","",Produtos!$B114)</f>
        <v>Lixeira de Aço inox 40x50 62L c/Aro basculante colorido</v>
      </c>
      <c r="C114" s="32" t="str">
        <f aca="false">IF(Produtos!$A114="","",Produtos!$C114)</f>
        <v>Lixeiras em inox</v>
      </c>
      <c r="D114" s="33" t="n">
        <f aca="false">IF(Produtos!$A114="","",IF(Produtos!$D114="","",Produtos!$D114))</f>
        <v>372.71</v>
      </c>
      <c r="E114" s="11" t="n">
        <v>91.95</v>
      </c>
      <c r="F114" s="34" t="n">
        <f aca="false">IF($A114="","",IF($C114="","⚠ categoria",IFERROR(INDEX(Parâmetros!$C$13:$C$22,MATCH($C114,Parâmetros!$A$13:$A$22,0)),"⚠ categoria")))</f>
        <v>0.18</v>
      </c>
      <c r="G114" s="35"/>
      <c r="H114" s="36" t="n">
        <f aca="false">IF($A114="","",IF(ISNUMBER($G114),$G114,IF(ISNUMBER($F114),$F114,"")))</f>
        <v>0.18</v>
      </c>
      <c r="I114" s="37" t="n">
        <f aca="false">IF(OR($A114="",NOT(ISNUMBER($D114)),NOT(ISNUMBER($H114))),"",IF((1-$H114-Parâmetros!$B$5-Parâmetros!$C$5-Parâmetros!$D$5)&lt;=0,"INVALIDO",($D114+IF(ISNUMBER($E114),$E114,0)+IF(ISNUMBER(Parâmetros!$E$5),Parâmetros!$E$5,0))/(1-$H114-Parâmetros!$B$5-Parâmetros!$C$5-Parâmetros!$D$5)))</f>
        <v>948.285714285714</v>
      </c>
      <c r="J114" s="38" t="n">
        <v>838.3954359375</v>
      </c>
      <c r="K114" s="39" t="n">
        <f aca="false">IF(OR($A114="",NOT(ISNUMBER($D114)),NOT(ISNUMBER($H114))),"",IF(AND(ISNUMBER($J114),$J114&gt;0),$J114,IF(ISNUMBER($I114),$I114,"")))</f>
        <v>838.3954359375</v>
      </c>
      <c r="L114" s="40" t="n">
        <f aca="false">IF(ISNUMBER($K114),$K114*$H114,"")</f>
        <v>150.91117846875</v>
      </c>
      <c r="M114" s="40" t="n">
        <f aca="false">IF(ISNUMBER($K114),$K114*Parâmetros!$B$5,"")</f>
        <v>83.83954359375</v>
      </c>
      <c r="N114" s="40" t="n">
        <f aca="false">IF(ISNUMBER($K114),$K114*Parâmetros!$C$5,"")</f>
        <v>25.151863078125</v>
      </c>
      <c r="O114" s="40" t="n">
        <f aca="false">IF(ISNUMBER($K114),IF(ISNUMBER(Parâmetros!$E$5),Parâmetros!$E$5,0),"")</f>
        <v>0</v>
      </c>
      <c r="P114" s="41" t="n">
        <f aca="false">IF(ISNUMBER($K114),$K114-$D114-IF(ISNUMBER($E114),$E114,0)-$L114-$M114-$N114-$O114,"")</f>
        <v>113.832850796875</v>
      </c>
      <c r="Q114" s="42" t="n">
        <f aca="false">IF(AND(ISNUMBER($K114),$K114&gt;0),$P114/$K114,"")</f>
        <v>0.135774654676628</v>
      </c>
      <c r="R114" s="43"/>
      <c r="S114" s="44" t="str">
        <f aca="false">IF(OR(NOT(ISNUMBER($R114)),$R114=0,NOT(ISNUMBER($K114))),"",$K114*(1-$R114))</f>
        <v/>
      </c>
      <c r="T114" s="45" t="str">
        <f aca="false">IF(ISNUMBER($S114),$S114*$H114,"")</f>
        <v/>
      </c>
      <c r="U114" s="45" t="str">
        <f aca="false">IF(ISNUMBER($S114),$S114*Parâmetros!$B$5,"")</f>
        <v/>
      </c>
      <c r="V114" s="45" t="str">
        <f aca="false">IF(ISNUMBER($S114),$S114*Parâmetros!$C$5,"")</f>
        <v/>
      </c>
      <c r="W114" s="44" t="str">
        <f aca="false">IF(ISNUMBER($S114),$S114-$D114-IF(ISNUMBER($E114),$E114,0)-$O114-$T114-$U114-$V114,"")</f>
        <v/>
      </c>
      <c r="X114" s="46" t="str">
        <f aca="false">IF(AND(ISNUMBER($S114),$S114&gt;0),$W114/$S114,"")</f>
        <v/>
      </c>
      <c r="Y114" s="47" t="s">
        <v>741</v>
      </c>
      <c r="Z114" s="19"/>
    </row>
    <row r="115" customFormat="false" ht="15.75" hidden="false" customHeight="true" outlineLevel="0" collapsed="false">
      <c r="A115" s="48" t="str">
        <f aca="false">IF(Produtos!$A115="","",Produtos!$A115)</f>
        <v>L4060-BC</v>
      </c>
      <c r="B115" s="48" t="str">
        <f aca="false">IF(Produtos!$A115="","",Produtos!$B115)</f>
        <v>Lixeira de Aço inox 40x60 75L c/Aro basculante colorido</v>
      </c>
      <c r="C115" s="48" t="str">
        <f aca="false">IF(Produtos!$A115="","",Produtos!$C115)</f>
        <v>Lixeiras em inox</v>
      </c>
      <c r="D115" s="33" t="n">
        <f aca="false">IF(Produtos!$A115="","",IF(Produtos!$D115="","",Produtos!$D115))</f>
        <v>389.53</v>
      </c>
      <c r="E115" s="11" t="n">
        <v>107.95</v>
      </c>
      <c r="F115" s="34" t="n">
        <f aca="false">IF($A115="","",IF($C115="","⚠ categoria",IFERROR(INDEX(Parâmetros!$C$13:$C$22,MATCH($C115,Parâmetros!$A$13:$A$22,0)),"⚠ categoria")))</f>
        <v>0.18</v>
      </c>
      <c r="G115" s="35"/>
      <c r="H115" s="36" t="n">
        <f aca="false">IF($A115="","",IF(ISNUMBER($G115),$G115,IF(ISNUMBER($F115),$F115,"")))</f>
        <v>0.18</v>
      </c>
      <c r="I115" s="37" t="n">
        <f aca="false">IF(OR($A115="",NOT(ISNUMBER($D115)),NOT(ISNUMBER($H115))),"",IF((1-$H115-Parâmetros!$B$5-Parâmetros!$C$5-Parâmetros!$D$5)&lt;=0,"INVALIDO",($D115+IF(ISNUMBER($E115),$E115,0)+IF(ISNUMBER(Parâmetros!$E$5),Parâmetros!$E$5,0))/(1-$H115-Parâmetros!$B$5-Parâmetros!$C$5-Parâmetros!$D$5)))</f>
        <v>1015.26530612245</v>
      </c>
      <c r="J115" s="38" t="n">
        <v>830.88534375</v>
      </c>
      <c r="K115" s="39" t="n">
        <f aca="false">IF(OR($A115="",NOT(ISNUMBER($D115)),NOT(ISNUMBER($H115))),"",IF(AND(ISNUMBER($J115),$J115&gt;0),$J115,IF(ISNUMBER($I115),$I115,"")))</f>
        <v>830.88534375</v>
      </c>
      <c r="L115" s="40" t="n">
        <f aca="false">IF(ISNUMBER($K115),$K115*$H115,"")</f>
        <v>149.559361875</v>
      </c>
      <c r="M115" s="40" t="n">
        <f aca="false">IF(ISNUMBER($K115),$K115*Parâmetros!$B$5,"")</f>
        <v>83.088534375</v>
      </c>
      <c r="N115" s="40" t="n">
        <f aca="false">IF(ISNUMBER($K115),$K115*Parâmetros!$C$5,"")</f>
        <v>24.9265603125</v>
      </c>
      <c r="O115" s="40" t="n">
        <f aca="false">IF(ISNUMBER($K115),IF(ISNUMBER(Parâmetros!$E$5),Parâmetros!$E$5,0),"")</f>
        <v>0</v>
      </c>
      <c r="P115" s="41" t="n">
        <f aca="false">IF(ISNUMBER($K115),$K115-$D115-IF(ISNUMBER($E115),$E115,0)-$L115-$M115-$N115-$O115,"")</f>
        <v>75.8308871875001</v>
      </c>
      <c r="Q115" s="42" t="n">
        <f aca="false">IF(AND(ISNUMBER($K115),$K115&gt;0),$P115/$K115,"")</f>
        <v>0.0912651640300402</v>
      </c>
      <c r="R115" s="43"/>
      <c r="S115" s="44" t="str">
        <f aca="false">IF(OR(NOT(ISNUMBER($R115)),$R115=0,NOT(ISNUMBER($K115))),"",$K115*(1-$R115))</f>
        <v/>
      </c>
      <c r="T115" s="45" t="str">
        <f aca="false">IF(ISNUMBER($S115),$S115*$H115,"")</f>
        <v/>
      </c>
      <c r="U115" s="45" t="str">
        <f aca="false">IF(ISNUMBER($S115),$S115*Parâmetros!$B$5,"")</f>
        <v/>
      </c>
      <c r="V115" s="45" t="str">
        <f aca="false">IF(ISNUMBER($S115),$S115*Parâmetros!$C$5,"")</f>
        <v/>
      </c>
      <c r="W115" s="44" t="str">
        <f aca="false">IF(ISNUMBER($S115),$S115-$D115-IF(ISNUMBER($E115),$E115,0)-$O115-$T115-$U115-$V115,"")</f>
        <v/>
      </c>
      <c r="X115" s="46" t="str">
        <f aca="false">IF(AND(ISNUMBER($S115),$S115&gt;0),$W115/$S115,"")</f>
        <v/>
      </c>
      <c r="Y115" s="49" t="s">
        <v>741</v>
      </c>
      <c r="Z115" s="21"/>
    </row>
    <row r="116" customFormat="false" ht="15.75" hidden="false" customHeight="true" outlineLevel="0" collapsed="false">
      <c r="A116" s="32" t="str">
        <f aca="false">IF(Produtos!$A116="","",Produtos!$A116)</f>
        <v>L4070-BC</v>
      </c>
      <c r="B116" s="32" t="str">
        <f aca="false">IF(Produtos!$A116="","",Produtos!$B116)</f>
        <v>Lixeira de Aço inox 40x70 88L c/Aro basculante colorido</v>
      </c>
      <c r="C116" s="32" t="str">
        <f aca="false">IF(Produtos!$A116="","",Produtos!$C116)</f>
        <v>Lixeiras em inox</v>
      </c>
      <c r="D116" s="33" t="n">
        <f aca="false">IF(Produtos!$A116="","",IF(Produtos!$D116="","",Produtos!$D116))</f>
        <v>391.36</v>
      </c>
      <c r="E116" s="11" t="n">
        <v>106.85</v>
      </c>
      <c r="F116" s="34" t="n">
        <f aca="false">IF($A116="","",IF($C116="","⚠ categoria",IFERROR(INDEX(Parâmetros!$C$13:$C$22,MATCH($C116,Parâmetros!$A$13:$A$22,0)),"⚠ categoria")))</f>
        <v>0.18</v>
      </c>
      <c r="G116" s="35"/>
      <c r="H116" s="36" t="n">
        <f aca="false">IF($A116="","",IF(ISNUMBER($G116),$G116,IF(ISNUMBER($F116),$F116,"")))</f>
        <v>0.18</v>
      </c>
      <c r="I116" s="37" t="n">
        <f aca="false">IF(OR($A116="",NOT(ISNUMBER($D116)),NOT(ISNUMBER($H116))),"",IF((1-$H116-Parâmetros!$B$5-Parâmetros!$C$5-Parâmetros!$D$5)&lt;=0,"INVALIDO",($D116+IF(ISNUMBER($E116),$E116,0)+IF(ISNUMBER(Parâmetros!$E$5),Parâmetros!$E$5,0))/(1-$H116-Parâmetros!$B$5-Parâmetros!$C$5-Parâmetros!$D$5)))</f>
        <v>1016.75510204082</v>
      </c>
      <c r="J116" s="38" t="n">
        <v>834.42767625</v>
      </c>
      <c r="K116" s="39" t="n">
        <f aca="false">IF(OR($A116="",NOT(ISNUMBER($D116)),NOT(ISNUMBER($H116))),"",IF(AND(ISNUMBER($J116),$J116&gt;0),$J116,IF(ISNUMBER($I116),$I116,"")))</f>
        <v>834.42767625</v>
      </c>
      <c r="L116" s="40" t="n">
        <f aca="false">IF(ISNUMBER($K116),$K116*$H116,"")</f>
        <v>150.196981725</v>
      </c>
      <c r="M116" s="40" t="n">
        <f aca="false">IF(ISNUMBER($K116),$K116*Parâmetros!$B$5,"")</f>
        <v>83.442767625</v>
      </c>
      <c r="N116" s="40" t="n">
        <f aca="false">IF(ISNUMBER($K116),$K116*Parâmetros!$C$5,"")</f>
        <v>25.0328302875</v>
      </c>
      <c r="O116" s="40" t="n">
        <f aca="false">IF(ISNUMBER($K116),IF(ISNUMBER(Parâmetros!$E$5),Parâmetros!$E$5,0),"")</f>
        <v>0</v>
      </c>
      <c r="P116" s="41" t="n">
        <f aca="false">IF(ISNUMBER($K116),$K116-$D116-IF(ISNUMBER($E116),$E116,0)-$L116-$M116-$N116-$O116,"")</f>
        <v>77.5450966125001</v>
      </c>
      <c r="Q116" s="42" t="n">
        <f aca="false">IF(AND(ISNUMBER($K116),$K116&gt;0),$P116/$K116,"")</f>
        <v>0.0929320764634693</v>
      </c>
      <c r="R116" s="43"/>
      <c r="S116" s="44" t="str">
        <f aca="false">IF(OR(NOT(ISNUMBER($R116)),$R116=0,NOT(ISNUMBER($K116))),"",$K116*(1-$R116))</f>
        <v/>
      </c>
      <c r="T116" s="45" t="str">
        <f aca="false">IF(ISNUMBER($S116),$S116*$H116,"")</f>
        <v/>
      </c>
      <c r="U116" s="45" t="str">
        <f aca="false">IF(ISNUMBER($S116),$S116*Parâmetros!$B$5,"")</f>
        <v/>
      </c>
      <c r="V116" s="45" t="str">
        <f aca="false">IF(ISNUMBER($S116),$S116*Parâmetros!$C$5,"")</f>
        <v/>
      </c>
      <c r="W116" s="44" t="str">
        <f aca="false">IF(ISNUMBER($S116),$S116-$D116-IF(ISNUMBER($E116),$E116,0)-$O116-$T116-$U116-$V116,"")</f>
        <v/>
      </c>
      <c r="X116" s="46" t="str">
        <f aca="false">IF(AND(ISNUMBER($S116),$S116&gt;0),$W116/$S116,"")</f>
        <v/>
      </c>
      <c r="Y116" s="47" t="s">
        <v>741</v>
      </c>
      <c r="Z116" s="19"/>
    </row>
    <row r="117" customFormat="false" ht="15.75" hidden="false" customHeight="true" outlineLevel="0" collapsed="false">
      <c r="A117" s="48" t="str">
        <f aca="false">IF(Produtos!$A117="","",Produtos!$A117)</f>
        <v>L4075-BC</v>
      </c>
      <c r="B117" s="48" t="str">
        <f aca="false">IF(Produtos!$A117="","",Produtos!$B117)</f>
        <v>Lixeira de Aço inox 40x75 95L c/Aro basculante colorido</v>
      </c>
      <c r="C117" s="48" t="str">
        <f aca="false">IF(Produtos!$A117="","",Produtos!$C117)</f>
        <v>Lixeiras em inox</v>
      </c>
      <c r="D117" s="33" t="n">
        <f aca="false">IF(Produtos!$A117="","",IF(Produtos!$D117="","",Produtos!$D117))</f>
        <v>452.95</v>
      </c>
      <c r="E117" s="11" t="n">
        <v>110.75</v>
      </c>
      <c r="F117" s="34" t="n">
        <f aca="false">IF($A117="","",IF($C117="","⚠ categoria",IFERROR(INDEX(Parâmetros!$C$13:$C$22,MATCH($C117,Parâmetros!$A$13:$A$22,0)),"⚠ categoria")))</f>
        <v>0.18</v>
      </c>
      <c r="G117" s="35"/>
      <c r="H117" s="36" t="n">
        <f aca="false">IF($A117="","",IF(ISNUMBER($G117),$G117,IF(ISNUMBER($F117),$F117,"")))</f>
        <v>0.18</v>
      </c>
      <c r="I117" s="37" t="n">
        <f aca="false">IF(OR($A117="",NOT(ISNUMBER($D117)),NOT(ISNUMBER($H117))),"",IF((1-$H117-Parâmetros!$B$5-Parâmetros!$C$5-Parâmetros!$D$5)&lt;=0,"INVALIDO",($D117+IF(ISNUMBER($E117),$E117,0)+IF(ISNUMBER(Parâmetros!$E$5),Parâmetros!$E$5,0))/(1-$H117-Parâmetros!$B$5-Parâmetros!$C$5-Parâmetros!$D$5)))</f>
        <v>1150.40816326531</v>
      </c>
      <c r="J117" s="38" t="n">
        <v>907.8426</v>
      </c>
      <c r="K117" s="39" t="n">
        <f aca="false">IF(OR($A117="",NOT(ISNUMBER($D117)),NOT(ISNUMBER($H117))),"",IF(AND(ISNUMBER($J117),$J117&gt;0),$J117,IF(ISNUMBER($I117),$I117,"")))</f>
        <v>907.8426</v>
      </c>
      <c r="L117" s="40" t="n">
        <f aca="false">IF(ISNUMBER($K117),$K117*$H117,"")</f>
        <v>163.411668</v>
      </c>
      <c r="M117" s="40" t="n">
        <f aca="false">IF(ISNUMBER($K117),$K117*Parâmetros!$B$5,"")</f>
        <v>90.78426</v>
      </c>
      <c r="N117" s="40" t="n">
        <f aca="false">IF(ISNUMBER($K117),$K117*Parâmetros!$C$5,"")</f>
        <v>27.235278</v>
      </c>
      <c r="O117" s="40" t="n">
        <f aca="false">IF(ISNUMBER($K117),IF(ISNUMBER(Parâmetros!$E$5),Parâmetros!$E$5,0),"")</f>
        <v>0</v>
      </c>
      <c r="P117" s="41" t="n">
        <f aca="false">IF(ISNUMBER($K117),$K117-$D117-IF(ISNUMBER($E117),$E117,0)-$L117-$M117-$N117-$O117,"")</f>
        <v>62.7113940000001</v>
      </c>
      <c r="Q117" s="42" t="n">
        <f aca="false">IF(AND(ISNUMBER($K117),$K117&gt;0),$P117/$K117,"")</f>
        <v>0.0690773863222547</v>
      </c>
      <c r="R117" s="43"/>
      <c r="S117" s="44" t="str">
        <f aca="false">IF(OR(NOT(ISNUMBER($R117)),$R117=0,NOT(ISNUMBER($K117))),"",$K117*(1-$R117))</f>
        <v/>
      </c>
      <c r="T117" s="45" t="str">
        <f aca="false">IF(ISNUMBER($S117),$S117*$H117,"")</f>
        <v/>
      </c>
      <c r="U117" s="45" t="str">
        <f aca="false">IF(ISNUMBER($S117),$S117*Parâmetros!$B$5,"")</f>
        <v/>
      </c>
      <c r="V117" s="45" t="str">
        <f aca="false">IF(ISNUMBER($S117),$S117*Parâmetros!$C$5,"")</f>
        <v/>
      </c>
      <c r="W117" s="44" t="str">
        <f aca="false">IF(ISNUMBER($S117),$S117-$D117-IF(ISNUMBER($E117),$E117,0)-$O117-$T117-$U117-$V117,"")</f>
        <v/>
      </c>
      <c r="X117" s="46" t="str">
        <f aca="false">IF(AND(ISNUMBER($S117),$S117&gt;0),$W117/$S117,"")</f>
        <v/>
      </c>
      <c r="Y117" s="49"/>
      <c r="Z117" s="21"/>
    </row>
    <row r="118" customFormat="false" ht="15.75" hidden="false" customHeight="true" outlineLevel="0" collapsed="false">
      <c r="A118" s="32" t="str">
        <f aca="false">IF(Produtos!$A118="","",Produtos!$A118)</f>
        <v>L4080-BC</v>
      </c>
      <c r="B118" s="32" t="str">
        <f aca="false">IF(Produtos!$A118="","",Produtos!$B118)</f>
        <v>Lixeira de Aço inox 40x80 100L c/Aro basculante colorido</v>
      </c>
      <c r="C118" s="32" t="str">
        <f aca="false">IF(Produtos!$A118="","",Produtos!$C118)</f>
        <v>Lixeiras em inox</v>
      </c>
      <c r="D118" s="33" t="n">
        <f aca="false">IF(Produtos!$A118="","",IF(Produtos!$D118="","",Produtos!$D118))</f>
        <v>486.92</v>
      </c>
      <c r="E118" s="11" t="n">
        <v>107.95</v>
      </c>
      <c r="F118" s="34" t="n">
        <f aca="false">IF($A118="","",IF($C118="","⚠ categoria",IFERROR(INDEX(Parâmetros!$C$13:$C$22,MATCH($C118,Parâmetros!$A$13:$A$22,0)),"⚠ categoria")))</f>
        <v>0.18</v>
      </c>
      <c r="G118" s="35"/>
      <c r="H118" s="36" t="n">
        <f aca="false">IF($A118="","",IF(ISNUMBER($G118),$G118,IF(ISNUMBER($F118),$F118,"")))</f>
        <v>0.18</v>
      </c>
      <c r="I118" s="37" t="n">
        <f aca="false">IF(OR($A118="",NOT(ISNUMBER($D118)),NOT(ISNUMBER($H118))),"",IF((1-$H118-Parâmetros!$B$5-Parâmetros!$C$5-Parâmetros!$D$5)&lt;=0,"INVALIDO",($D118+IF(ISNUMBER($E118),$E118,0)+IF(ISNUMBER(Parâmetros!$E$5),Parâmetros!$E$5,0))/(1-$H118-Parâmetros!$B$5-Parâmetros!$C$5-Parâmetros!$D$5)))</f>
        <v>1214.02040816327</v>
      </c>
      <c r="J118" s="38" t="n">
        <v>1085.995575</v>
      </c>
      <c r="K118" s="39" t="n">
        <f aca="false">IF(OR($A118="",NOT(ISNUMBER($D118)),NOT(ISNUMBER($H118))),"",IF(AND(ISNUMBER($J118),$J118&gt;0),$J118,IF(ISNUMBER($I118),$I118,"")))</f>
        <v>1085.995575</v>
      </c>
      <c r="L118" s="40" t="n">
        <f aca="false">IF(ISNUMBER($K118),$K118*$H118,"")</f>
        <v>195.4792035</v>
      </c>
      <c r="M118" s="40" t="n">
        <f aca="false">IF(ISNUMBER($K118),$K118*Parâmetros!$B$5,"")</f>
        <v>108.5995575</v>
      </c>
      <c r="N118" s="40" t="n">
        <f aca="false">IF(ISNUMBER($K118),$K118*Parâmetros!$C$5,"")</f>
        <v>32.57986725</v>
      </c>
      <c r="O118" s="40" t="n">
        <f aca="false">IF(ISNUMBER($K118),IF(ISNUMBER(Parâmetros!$E$5),Parâmetros!$E$5,0),"")</f>
        <v>0</v>
      </c>
      <c r="P118" s="41" t="n">
        <f aca="false">IF(ISNUMBER($K118),$K118-$D118-IF(ISNUMBER($E118),$E118,0)-$L118-$M118-$N118-$O118,"")</f>
        <v>154.46694675</v>
      </c>
      <c r="Q118" s="42" t="n">
        <f aca="false">IF(AND(ISNUMBER($K118),$K118&gt;0),$P118/$K118,"")</f>
        <v>0.142235337146747</v>
      </c>
      <c r="R118" s="43"/>
      <c r="S118" s="44" t="str">
        <f aca="false">IF(OR(NOT(ISNUMBER($R118)),$R118=0,NOT(ISNUMBER($K118))),"",$K118*(1-$R118))</f>
        <v/>
      </c>
      <c r="T118" s="45" t="str">
        <f aca="false">IF(ISNUMBER($S118),$S118*$H118,"")</f>
        <v/>
      </c>
      <c r="U118" s="45" t="str">
        <f aca="false">IF(ISNUMBER($S118),$S118*Parâmetros!$B$5,"")</f>
        <v/>
      </c>
      <c r="V118" s="45" t="str">
        <f aca="false">IF(ISNUMBER($S118),$S118*Parâmetros!$C$5,"")</f>
        <v/>
      </c>
      <c r="W118" s="44" t="str">
        <f aca="false">IF(ISNUMBER($S118),$S118-$D118-IF(ISNUMBER($E118),$E118,0)-$O118-$T118-$U118-$V118,"")</f>
        <v/>
      </c>
      <c r="X118" s="46" t="str">
        <f aca="false">IF(AND(ISNUMBER($S118),$S118&gt;0),$W118/$S118,"")</f>
        <v/>
      </c>
      <c r="Y118" s="47" t="s">
        <v>741</v>
      </c>
      <c r="Z118" s="19"/>
    </row>
    <row r="119" customFormat="false" ht="15.75" hidden="false" customHeight="true" outlineLevel="0" collapsed="false">
      <c r="A119" s="48" t="str">
        <f aca="false">IF(Produtos!$A119="","",Produtos!$A119)</f>
        <v>L4090-BC</v>
      </c>
      <c r="B119" s="48" t="str">
        <f aca="false">IF(Produtos!$A119="","",Produtos!$B119)</f>
        <v>Lixeira de Aço inox 40x90 120L c/Aro basculante colorido</v>
      </c>
      <c r="C119" s="48" t="str">
        <f aca="false">IF(Produtos!$A119="","",Produtos!$C119)</f>
        <v>Lixeiras em inox</v>
      </c>
      <c r="D119" s="33" t="n">
        <f aca="false">IF(Produtos!$A119="","",IF(Produtos!$D119="","",Produtos!$D119))</f>
        <v>727.39</v>
      </c>
      <c r="E119" s="11" t="n">
        <v>107.85</v>
      </c>
      <c r="F119" s="34" t="n">
        <f aca="false">IF($A119="","",IF($C119="","⚠ categoria",IFERROR(INDEX(Parâmetros!$C$13:$C$22,MATCH($C119,Parâmetros!$A$13:$A$22,0)),"⚠ categoria")))</f>
        <v>0.18</v>
      </c>
      <c r="G119" s="35"/>
      <c r="H119" s="36" t="n">
        <f aca="false">IF($A119="","",IF(ISNUMBER($G119),$G119,IF(ISNUMBER($F119),$F119,"")))</f>
        <v>0.18</v>
      </c>
      <c r="I119" s="37" t="n">
        <f aca="false">IF(OR($A119="",NOT(ISNUMBER($D119)),NOT(ISNUMBER($H119))),"",IF((1-$H119-Parâmetros!$B$5-Parâmetros!$C$5-Parâmetros!$D$5)&lt;=0,"INVALIDO",($D119+IF(ISNUMBER($E119),$E119,0)+IF(ISNUMBER(Parâmetros!$E$5),Parâmetros!$E$5,0))/(1-$H119-Parâmetros!$B$5-Parâmetros!$C$5-Parâmetros!$D$5)))</f>
        <v>1704.57142857143</v>
      </c>
      <c r="J119" s="38" t="n">
        <v>1482.70815</v>
      </c>
      <c r="K119" s="39" t="n">
        <f aca="false">IF(OR($A119="",NOT(ISNUMBER($D119)),NOT(ISNUMBER($H119))),"",IF(AND(ISNUMBER($J119),$J119&gt;0),$J119,IF(ISNUMBER($I119),$I119,"")))</f>
        <v>1482.70815</v>
      </c>
      <c r="L119" s="40" t="n">
        <f aca="false">IF(ISNUMBER($K119),$K119*$H119,"")</f>
        <v>266.887467</v>
      </c>
      <c r="M119" s="40" t="n">
        <f aca="false">IF(ISNUMBER($K119),$K119*Parâmetros!$B$5,"")</f>
        <v>148.270815</v>
      </c>
      <c r="N119" s="40" t="n">
        <f aca="false">IF(ISNUMBER($K119),$K119*Parâmetros!$C$5,"")</f>
        <v>44.4812445</v>
      </c>
      <c r="O119" s="40" t="n">
        <f aca="false">IF(ISNUMBER($K119),IF(ISNUMBER(Parâmetros!$E$5),Parâmetros!$E$5,0),"")</f>
        <v>0</v>
      </c>
      <c r="P119" s="41" t="n">
        <f aca="false">IF(ISNUMBER($K119),$K119-$D119-IF(ISNUMBER($E119),$E119,0)-$L119-$M119-$N119-$O119,"")</f>
        <v>187.8286235</v>
      </c>
      <c r="Q119" s="42" t="n">
        <f aca="false">IF(AND(ISNUMBER($K119),$K119&gt;0),$P119/$K119,"")</f>
        <v>0.126679430135998</v>
      </c>
      <c r="R119" s="43"/>
      <c r="S119" s="44" t="str">
        <f aca="false">IF(OR(NOT(ISNUMBER($R119)),$R119=0,NOT(ISNUMBER($K119))),"",$K119*(1-$R119))</f>
        <v/>
      </c>
      <c r="T119" s="45" t="str">
        <f aca="false">IF(ISNUMBER($S119),$S119*$H119,"")</f>
        <v/>
      </c>
      <c r="U119" s="45" t="str">
        <f aca="false">IF(ISNUMBER($S119),$S119*Parâmetros!$B$5,"")</f>
        <v/>
      </c>
      <c r="V119" s="45" t="str">
        <f aca="false">IF(ISNUMBER($S119),$S119*Parâmetros!$C$5,"")</f>
        <v/>
      </c>
      <c r="W119" s="44" t="str">
        <f aca="false">IF(ISNUMBER($S119),$S119-$D119-IF(ISNUMBER($E119),$E119,0)-$O119-$T119-$U119-$V119,"")</f>
        <v/>
      </c>
      <c r="X119" s="46" t="str">
        <f aca="false">IF(AND(ISNUMBER($S119),$S119&gt;0),$W119/$S119,"")</f>
        <v/>
      </c>
      <c r="Y119" s="49" t="s">
        <v>741</v>
      </c>
      <c r="Z119" s="21"/>
    </row>
    <row r="120" customFormat="false" ht="15.75" hidden="false" customHeight="true" outlineLevel="0" collapsed="false">
      <c r="A120" s="32" t="str">
        <f aca="false">IF(Produtos!$A120="","",Produtos!$A120)</f>
        <v>P2425-C</v>
      </c>
      <c r="B120" s="32" t="str">
        <f aca="false">IF(Produtos!$A120="","",Produtos!$B120)</f>
        <v>Lixeira Pedal de Aço inox 24x25 12L Tampa colorido</v>
      </c>
      <c r="C120" s="32" t="str">
        <f aca="false">IF(Produtos!$A120="","",Produtos!$C120)</f>
        <v>Lixeiras com pedal</v>
      </c>
      <c r="D120" s="33" t="n">
        <f aca="false">IF(Produtos!$A120="","",IF(Produtos!$D120="","",Produtos!$D120))</f>
        <v>131.86</v>
      </c>
      <c r="E120" s="11" t="n">
        <v>29.25</v>
      </c>
      <c r="F120" s="34" t="n">
        <f aca="false">IF($A120="","",IF($C120="","⚠ categoria",IFERROR(INDEX(Parâmetros!$C$13:$C$22,MATCH($C120,Parâmetros!$A$13:$A$22,0)),"⚠ categoria")))</f>
        <v>0.18</v>
      </c>
      <c r="G120" s="35" t="n">
        <v>0.15</v>
      </c>
      <c r="H120" s="36" t="n">
        <f aca="false">IF($A120="","",IF(ISNUMBER($G120),$G120,IF(ISNUMBER($F120),$F120,"")))</f>
        <v>0.15</v>
      </c>
      <c r="I120" s="37" t="n">
        <f aca="false">IF(OR($A120="",NOT(ISNUMBER($D120)),NOT(ISNUMBER($H120))),"",IF((1-$H120-Parâmetros!$B$5-Parâmetros!$C$5-Parâmetros!$D$5)&lt;=0,"INVALIDO",($D120+IF(ISNUMBER($E120),$E120,0)+IF(ISNUMBER(Parâmetros!$E$5),Parâmetros!$E$5,0))/(1-$H120-Parâmetros!$B$5-Parâmetros!$C$5-Parâmetros!$D$5)))</f>
        <v>309.826923076923</v>
      </c>
      <c r="J120" s="38" t="n">
        <v>310.9</v>
      </c>
      <c r="K120" s="39" t="n">
        <f aca="false">IF(OR($A120="",NOT(ISNUMBER($D120)),NOT(ISNUMBER($H120))),"",IF(AND(ISNUMBER($J120),$J120&gt;0),$J120,IF(ISNUMBER($I120),$I120,"")))</f>
        <v>310.9</v>
      </c>
      <c r="L120" s="40" t="n">
        <f aca="false">IF(ISNUMBER($K120),$K120*$H120,"")</f>
        <v>46.635</v>
      </c>
      <c r="M120" s="40" t="n">
        <f aca="false">IF(ISNUMBER($K120),$K120*Parâmetros!$B$5,"")</f>
        <v>31.09</v>
      </c>
      <c r="N120" s="40" t="n">
        <f aca="false">IF(ISNUMBER($K120),$K120*Parâmetros!$C$5,"")</f>
        <v>9.327</v>
      </c>
      <c r="O120" s="40" t="n">
        <f aca="false">IF(ISNUMBER($K120),IF(ISNUMBER(Parâmetros!$E$5),Parâmetros!$E$5,0),"")</f>
        <v>0</v>
      </c>
      <c r="P120" s="41" t="n">
        <f aca="false">IF(ISNUMBER($K120),$K120-$D120-IF(ISNUMBER($E120),$E120,0)-$L120-$M120-$N120-$O120,"")</f>
        <v>62.738</v>
      </c>
      <c r="Q120" s="42" t="n">
        <f aca="false">IF(AND(ISNUMBER($K120),$K120&gt;0),$P120/$K120,"")</f>
        <v>0.201794789321325</v>
      </c>
      <c r="R120" s="43"/>
      <c r="S120" s="44" t="str">
        <f aca="false">IF(OR(NOT(ISNUMBER($R120)),$R120=0,NOT(ISNUMBER($K120))),"",$K120*(1-$R120))</f>
        <v/>
      </c>
      <c r="T120" s="45" t="str">
        <f aca="false">IF(ISNUMBER($S120),$S120*$H120,"")</f>
        <v/>
      </c>
      <c r="U120" s="45" t="str">
        <f aca="false">IF(ISNUMBER($S120),$S120*Parâmetros!$B$5,"")</f>
        <v/>
      </c>
      <c r="V120" s="45" t="str">
        <f aca="false">IF(ISNUMBER($S120),$S120*Parâmetros!$C$5,"")</f>
        <v/>
      </c>
      <c r="W120" s="44" t="str">
        <f aca="false">IF(ISNUMBER($S120),$S120-$D120-IF(ISNUMBER($E120),$E120,0)-$O120-$T120-$U120-$V120,"")</f>
        <v/>
      </c>
      <c r="X120" s="46" t="str">
        <f aca="false">IF(AND(ISNUMBER($S120),$S120&gt;0),$W120/$S120,"")</f>
        <v/>
      </c>
      <c r="Y120" s="47" t="s">
        <v>741</v>
      </c>
      <c r="Z120" s="19"/>
    </row>
    <row r="121" customFormat="false" ht="15.75" hidden="false" customHeight="true" outlineLevel="0" collapsed="false">
      <c r="A121" s="48" t="str">
        <f aca="false">IF(Produtos!$A121="","",Produtos!$A121)</f>
        <v>P2430-C</v>
      </c>
      <c r="B121" s="48" t="str">
        <f aca="false">IF(Produtos!$A121="","",Produtos!$B121)</f>
        <v>Lixeira Pedal de Aço inox 24x30 15L Tampa colorido</v>
      </c>
      <c r="C121" s="48" t="str">
        <f aca="false">IF(Produtos!$A121="","",Produtos!$C121)</f>
        <v>Lixeiras com pedal</v>
      </c>
      <c r="D121" s="33" t="n">
        <f aca="false">IF(Produtos!$A121="","",IF(Produtos!$D121="","",Produtos!$D121))</f>
        <v>140.4</v>
      </c>
      <c r="E121" s="11" t="n">
        <v>29.25</v>
      </c>
      <c r="F121" s="34" t="n">
        <f aca="false">IF($A121="","",IF($C121="","⚠ categoria",IFERROR(INDEX(Parâmetros!$C$13:$C$22,MATCH($C121,Parâmetros!$A$13:$A$22,0)),"⚠ categoria")))</f>
        <v>0.18</v>
      </c>
      <c r="G121" s="35" t="n">
        <v>0.15</v>
      </c>
      <c r="H121" s="36" t="n">
        <f aca="false">IF($A121="","",IF(ISNUMBER($G121),$G121,IF(ISNUMBER($F121),$F121,"")))</f>
        <v>0.15</v>
      </c>
      <c r="I121" s="37" t="n">
        <f aca="false">IF(OR($A121="",NOT(ISNUMBER($D121)),NOT(ISNUMBER($H121))),"",IF((1-$H121-Parâmetros!$B$5-Parâmetros!$C$5-Parâmetros!$D$5)&lt;=0,"INVALIDO",($D121+IF(ISNUMBER($E121),$E121,0)+IF(ISNUMBER(Parâmetros!$E$5),Parâmetros!$E$5,0))/(1-$H121-Parâmetros!$B$5-Parâmetros!$C$5-Parâmetros!$D$5)))</f>
        <v>326.25</v>
      </c>
      <c r="J121" s="38" t="n">
        <v>328.56</v>
      </c>
      <c r="K121" s="39" t="n">
        <f aca="false">IF(OR($A121="",NOT(ISNUMBER($D121)),NOT(ISNUMBER($H121))),"",IF(AND(ISNUMBER($J121),$J121&gt;0),$J121,IF(ISNUMBER($I121),$I121,"")))</f>
        <v>328.56</v>
      </c>
      <c r="L121" s="40" t="n">
        <f aca="false">IF(ISNUMBER($K121),$K121*$H121,"")</f>
        <v>49.284</v>
      </c>
      <c r="M121" s="40" t="n">
        <f aca="false">IF(ISNUMBER($K121),$K121*Parâmetros!$B$5,"")</f>
        <v>32.856</v>
      </c>
      <c r="N121" s="40" t="n">
        <f aca="false">IF(ISNUMBER($K121),$K121*Parâmetros!$C$5,"")</f>
        <v>9.8568</v>
      </c>
      <c r="O121" s="40" t="n">
        <f aca="false">IF(ISNUMBER($K121),IF(ISNUMBER(Parâmetros!$E$5),Parâmetros!$E$5,0),"")</f>
        <v>0</v>
      </c>
      <c r="P121" s="41" t="n">
        <f aca="false">IF(ISNUMBER($K121),$K121-$D121-IF(ISNUMBER($E121),$E121,0)-$L121-$M121-$N121-$O121,"")</f>
        <v>66.9132</v>
      </c>
      <c r="Q121" s="42" t="n">
        <f aca="false">IF(AND(ISNUMBER($K121),$K121&gt;0),$P121/$K121,"")</f>
        <v>0.203655953250548</v>
      </c>
      <c r="R121" s="43"/>
      <c r="S121" s="44" t="str">
        <f aca="false">IF(OR(NOT(ISNUMBER($R121)),$R121=0,NOT(ISNUMBER($K121))),"",$K121*(1-$R121))</f>
        <v/>
      </c>
      <c r="T121" s="45" t="str">
        <f aca="false">IF(ISNUMBER($S121),$S121*$H121,"")</f>
        <v/>
      </c>
      <c r="U121" s="45" t="str">
        <f aca="false">IF(ISNUMBER($S121),$S121*Parâmetros!$B$5,"")</f>
        <v/>
      </c>
      <c r="V121" s="45" t="str">
        <f aca="false">IF(ISNUMBER($S121),$S121*Parâmetros!$C$5,"")</f>
        <v/>
      </c>
      <c r="W121" s="44" t="str">
        <f aca="false">IF(ISNUMBER($S121),$S121-$D121-IF(ISNUMBER($E121),$E121,0)-$O121-$T121-$U121-$V121,"")</f>
        <v/>
      </c>
      <c r="X121" s="46" t="str">
        <f aca="false">IF(AND(ISNUMBER($S121),$S121&gt;0),$W121/$S121,"")</f>
        <v/>
      </c>
      <c r="Y121" s="49" t="s">
        <v>741</v>
      </c>
      <c r="Z121" s="21"/>
    </row>
    <row r="122" customFormat="false" ht="15.75" hidden="false" customHeight="true" outlineLevel="0" collapsed="false">
      <c r="A122" s="32" t="str">
        <f aca="false">IF(Produtos!$A122="","",Produtos!$A122)</f>
        <v>P2440-C</v>
      </c>
      <c r="B122" s="32" t="str">
        <f aca="false">IF(Produtos!$A122="","",Produtos!$B122)</f>
        <v>Lixeira Pedal de Aço inox 24x40 20L Tampa colorido</v>
      </c>
      <c r="C122" s="32" t="str">
        <f aca="false">IF(Produtos!$A122="","",Produtos!$C122)</f>
        <v>Lixeiras com pedal</v>
      </c>
      <c r="D122" s="33" t="n">
        <f aca="false">IF(Produtos!$A122="","",IF(Produtos!$D122="","",Produtos!$D122))</f>
        <v>148.86</v>
      </c>
      <c r="E122" s="11" t="n">
        <v>40.85</v>
      </c>
      <c r="F122" s="34" t="n">
        <f aca="false">IF($A122="","",IF($C122="","⚠ categoria",IFERROR(INDEX(Parâmetros!$C$13:$C$22,MATCH($C122,Parâmetros!$A$13:$A$22,0)),"⚠ categoria")))</f>
        <v>0.18</v>
      </c>
      <c r="G122" s="35" t="n">
        <v>0.15</v>
      </c>
      <c r="H122" s="36" t="n">
        <f aca="false">IF($A122="","",IF(ISNUMBER($G122),$G122,IF(ISNUMBER($F122),$F122,"")))</f>
        <v>0.15</v>
      </c>
      <c r="I122" s="37" t="n">
        <f aca="false">IF(OR($A122="",NOT(ISNUMBER($D122)),NOT(ISNUMBER($H122))),"",IF((1-$H122-Parâmetros!$B$5-Parâmetros!$C$5-Parâmetros!$D$5)&lt;=0,"INVALIDO",($D122+IF(ISNUMBER($E122),$E122,0)+IF(ISNUMBER(Parâmetros!$E$5),Parâmetros!$E$5,0))/(1-$H122-Parâmetros!$B$5-Parâmetros!$C$5-Parâmetros!$D$5)))</f>
        <v>364.826923076923</v>
      </c>
      <c r="J122" s="38" t="n">
        <v>336.3363675</v>
      </c>
      <c r="K122" s="39" t="n">
        <f aca="false">IF(OR($A122="",NOT(ISNUMBER($D122)),NOT(ISNUMBER($H122))),"",IF(AND(ISNUMBER($J122),$J122&gt;0),$J122,IF(ISNUMBER($I122),$I122,"")))</f>
        <v>336.3363675</v>
      </c>
      <c r="L122" s="40" t="n">
        <f aca="false">IF(ISNUMBER($K122),$K122*$H122,"")</f>
        <v>50.450455125</v>
      </c>
      <c r="M122" s="40" t="n">
        <f aca="false">IF(ISNUMBER($K122),$K122*Parâmetros!$B$5,"")</f>
        <v>33.63363675</v>
      </c>
      <c r="N122" s="40" t="n">
        <f aca="false">IF(ISNUMBER($K122),$K122*Parâmetros!$C$5,"")</f>
        <v>10.090091025</v>
      </c>
      <c r="O122" s="40" t="n">
        <f aca="false">IF(ISNUMBER($K122),IF(ISNUMBER(Parâmetros!$E$5),Parâmetros!$E$5,0),"")</f>
        <v>0</v>
      </c>
      <c r="P122" s="41" t="n">
        <f aca="false">IF(ISNUMBER($K122),$K122-$D122-IF(ISNUMBER($E122),$E122,0)-$L122-$M122-$N122-$O122,"")</f>
        <v>52.4521846000001</v>
      </c>
      <c r="Q122" s="42" t="n">
        <f aca="false">IF(AND(ISNUMBER($K122),$K122&gt;0),$P122/$K122,"")</f>
        <v>0.155951570119755</v>
      </c>
      <c r="R122" s="43"/>
      <c r="S122" s="44" t="str">
        <f aca="false">IF(OR(NOT(ISNUMBER($R122)),$R122=0,NOT(ISNUMBER($K122))),"",$K122*(1-$R122))</f>
        <v/>
      </c>
      <c r="T122" s="45" t="str">
        <f aca="false">IF(ISNUMBER($S122),$S122*$H122,"")</f>
        <v/>
      </c>
      <c r="U122" s="45" t="str">
        <f aca="false">IF(ISNUMBER($S122),$S122*Parâmetros!$B$5,"")</f>
        <v/>
      </c>
      <c r="V122" s="45" t="str">
        <f aca="false">IF(ISNUMBER($S122),$S122*Parâmetros!$C$5,"")</f>
        <v/>
      </c>
      <c r="W122" s="44" t="str">
        <f aca="false">IF(ISNUMBER($S122),$S122-$D122-IF(ISNUMBER($E122),$E122,0)-$O122-$T122-$U122-$V122,"")</f>
        <v/>
      </c>
      <c r="X122" s="46" t="str">
        <f aca="false">IF(AND(ISNUMBER($S122),$S122&gt;0),$W122/$S122,"")</f>
        <v/>
      </c>
      <c r="Y122" s="47" t="s">
        <v>741</v>
      </c>
      <c r="Z122" s="19"/>
    </row>
    <row r="123" customFormat="false" ht="15.75" hidden="false" customHeight="true" outlineLevel="0" collapsed="false">
      <c r="A123" s="48" t="str">
        <f aca="false">IF(Produtos!$A123="","",Produtos!$A123)</f>
        <v>P3040-C</v>
      </c>
      <c r="B123" s="48" t="str">
        <f aca="false">IF(Produtos!$A123="","",Produtos!$B123)</f>
        <v>Lixeira Pedal de Aço inox 30x40 30L Tampa colorido</v>
      </c>
      <c r="C123" s="48" t="str">
        <f aca="false">IF(Produtos!$A123="","",Produtos!$C123)</f>
        <v>Lixeiras com pedal</v>
      </c>
      <c r="D123" s="33" t="n">
        <f aca="false">IF(Produtos!$A123="","",IF(Produtos!$D123="","",Produtos!$D123))</f>
        <v>213.43</v>
      </c>
      <c r="E123" s="11" t="n">
        <v>45.25</v>
      </c>
      <c r="F123" s="34" t="n">
        <f aca="false">IF($A123="","",IF($C123="","⚠ categoria",IFERROR(INDEX(Parâmetros!$C$13:$C$22,MATCH($C123,Parâmetros!$A$13:$A$22,0)),"⚠ categoria")))</f>
        <v>0.18</v>
      </c>
      <c r="G123" s="35" t="n">
        <v>0.15</v>
      </c>
      <c r="H123" s="36" t="n">
        <f aca="false">IF($A123="","",IF(ISNUMBER($G123),$G123,IF(ISNUMBER($F123),$F123,"")))</f>
        <v>0.15</v>
      </c>
      <c r="I123" s="37" t="n">
        <f aca="false">IF(OR($A123="",NOT(ISNUMBER($D123)),NOT(ISNUMBER($H123))),"",IF((1-$H123-Parâmetros!$B$5-Parâmetros!$C$5-Parâmetros!$D$5)&lt;=0,"INVALIDO",($D123+IF(ISNUMBER($E123),$E123,0)+IF(ISNUMBER(Parâmetros!$E$5),Parâmetros!$E$5,0))/(1-$H123-Parâmetros!$B$5-Parâmetros!$C$5-Parâmetros!$D$5)))</f>
        <v>497.461538461538</v>
      </c>
      <c r="J123" s="38" t="n">
        <v>453.96264375</v>
      </c>
      <c r="K123" s="39" t="n">
        <f aca="false">IF(OR($A123="",NOT(ISNUMBER($D123)),NOT(ISNUMBER($H123))),"",IF(AND(ISNUMBER($J123),$J123&gt;0),$J123,IF(ISNUMBER($I123),$I123,"")))</f>
        <v>453.96264375</v>
      </c>
      <c r="L123" s="40" t="n">
        <f aca="false">IF(ISNUMBER($K123),$K123*$H123,"")</f>
        <v>68.0943965625</v>
      </c>
      <c r="M123" s="40" t="n">
        <f aca="false">IF(ISNUMBER($K123),$K123*Parâmetros!$B$5,"")</f>
        <v>45.396264375</v>
      </c>
      <c r="N123" s="40" t="n">
        <f aca="false">IF(ISNUMBER($K123),$K123*Parâmetros!$C$5,"")</f>
        <v>13.6188793125</v>
      </c>
      <c r="O123" s="40" t="n">
        <f aca="false">IF(ISNUMBER($K123),IF(ISNUMBER(Parâmetros!$E$5),Parâmetros!$E$5,0),"")</f>
        <v>0</v>
      </c>
      <c r="P123" s="41" t="n">
        <f aca="false">IF(ISNUMBER($K123),$K123-$D123-IF(ISNUMBER($E123),$E123,0)-$L123-$M123-$N123-$O123,"")</f>
        <v>68.1731035</v>
      </c>
      <c r="Q123" s="42" t="n">
        <f aca="false">IF(AND(ISNUMBER($K123),$K123&gt;0),$P123/$K123,"")</f>
        <v>0.150173377564396</v>
      </c>
      <c r="R123" s="43"/>
      <c r="S123" s="44" t="str">
        <f aca="false">IF(OR(NOT(ISNUMBER($R123)),$R123=0,NOT(ISNUMBER($K123))),"",$K123*(1-$R123))</f>
        <v/>
      </c>
      <c r="T123" s="45" t="str">
        <f aca="false">IF(ISNUMBER($S123),$S123*$H123,"")</f>
        <v/>
      </c>
      <c r="U123" s="45" t="str">
        <f aca="false">IF(ISNUMBER($S123),$S123*Parâmetros!$B$5,"")</f>
        <v/>
      </c>
      <c r="V123" s="45" t="str">
        <f aca="false">IF(ISNUMBER($S123),$S123*Parâmetros!$C$5,"")</f>
        <v/>
      </c>
      <c r="W123" s="44" t="str">
        <f aca="false">IF(ISNUMBER($S123),$S123-$D123-IF(ISNUMBER($E123),$E123,0)-$O123-$T123-$U123-$V123,"")</f>
        <v/>
      </c>
      <c r="X123" s="46" t="str">
        <f aca="false">IF(AND(ISNUMBER($S123),$S123&gt;0),$W123/$S123,"")</f>
        <v/>
      </c>
      <c r="Y123" s="49" t="s">
        <v>741</v>
      </c>
      <c r="Z123" s="21"/>
    </row>
    <row r="124" customFormat="false" ht="15.75" hidden="false" customHeight="true" outlineLevel="0" collapsed="false">
      <c r="A124" s="32" t="str">
        <f aca="false">IF(Produtos!$A124="","",Produtos!$A124)</f>
        <v>P3050-C</v>
      </c>
      <c r="B124" s="32" t="str">
        <f aca="false">IF(Produtos!$A124="","",Produtos!$B124)</f>
        <v>Lixeira Pedal de Aço inox 30x50 40L Tampa colorido</v>
      </c>
      <c r="C124" s="32" t="str">
        <f aca="false">IF(Produtos!$A124="","",Produtos!$C124)</f>
        <v>Lixeiras com pedal</v>
      </c>
      <c r="D124" s="33" t="n">
        <f aca="false">IF(Produtos!$A124="","",IF(Produtos!$D124="","",Produtos!$D124))</f>
        <v>252.66</v>
      </c>
      <c r="E124" s="11" t="n">
        <v>65.85</v>
      </c>
      <c r="F124" s="34" t="n">
        <f aca="false">IF($A124="","",IF($C124="","⚠ categoria",IFERROR(INDEX(Parâmetros!$C$13:$C$22,MATCH($C124,Parâmetros!$A$13:$A$22,0)),"⚠ categoria")))</f>
        <v>0.18</v>
      </c>
      <c r="G124" s="35" t="n">
        <v>0.15</v>
      </c>
      <c r="H124" s="36" t="n">
        <f aca="false">IF($A124="","",IF(ISNUMBER($G124),$G124,IF(ISNUMBER($F124),$F124,"")))</f>
        <v>0.15</v>
      </c>
      <c r="I124" s="37" t="n">
        <f aca="false">IF(OR($A124="",NOT(ISNUMBER($D124)),NOT(ISNUMBER($H124))),"",IF((1-$H124-Parâmetros!$B$5-Parâmetros!$C$5-Parâmetros!$D$5)&lt;=0,"INVALIDO",($D124+IF(ISNUMBER($E124),$E124,0)+IF(ISNUMBER(Parâmetros!$E$5),Parâmetros!$E$5,0))/(1-$H124-Parâmetros!$B$5-Parâmetros!$C$5-Parâmetros!$D$5)))</f>
        <v>612.519230769231</v>
      </c>
      <c r="J124" s="38" t="n">
        <v>597.288195</v>
      </c>
      <c r="K124" s="39" t="n">
        <f aca="false">IF(OR($A124="",NOT(ISNUMBER($D124)),NOT(ISNUMBER($H124))),"",IF(AND(ISNUMBER($J124),$J124&gt;0),$J124,IF(ISNUMBER($I124),$I124,"")))</f>
        <v>597.288195</v>
      </c>
      <c r="L124" s="40" t="n">
        <f aca="false">IF(ISNUMBER($K124),$K124*$H124,"")</f>
        <v>89.59322925</v>
      </c>
      <c r="M124" s="40" t="n">
        <f aca="false">IF(ISNUMBER($K124),$K124*Parâmetros!$B$5,"")</f>
        <v>59.7288195</v>
      </c>
      <c r="N124" s="40" t="n">
        <f aca="false">IF(ISNUMBER($K124),$K124*Parâmetros!$C$5,"")</f>
        <v>17.91864585</v>
      </c>
      <c r="O124" s="40" t="n">
        <f aca="false">IF(ISNUMBER($K124),IF(ISNUMBER(Parâmetros!$E$5),Parâmetros!$E$5,0),"")</f>
        <v>0</v>
      </c>
      <c r="P124" s="41" t="n">
        <f aca="false">IF(ISNUMBER($K124),$K124-$D124-IF(ISNUMBER($E124),$E124,0)-$L124-$M124-$N124-$O124,"")</f>
        <v>111.5375004</v>
      </c>
      <c r="Q124" s="42" t="n">
        <f aca="false">IF(AND(ISNUMBER($K124),$K124&gt;0),$P124/$K124,"")</f>
        <v>0.186739837374486</v>
      </c>
      <c r="R124" s="43"/>
      <c r="S124" s="44" t="str">
        <f aca="false">IF(OR(NOT(ISNUMBER($R124)),$R124=0,NOT(ISNUMBER($K124))),"",$K124*(1-$R124))</f>
        <v/>
      </c>
      <c r="T124" s="45" t="str">
        <f aca="false">IF(ISNUMBER($S124),$S124*$H124,"")</f>
        <v/>
      </c>
      <c r="U124" s="45" t="str">
        <f aca="false">IF(ISNUMBER($S124),$S124*Parâmetros!$B$5,"")</f>
        <v/>
      </c>
      <c r="V124" s="45" t="str">
        <f aca="false">IF(ISNUMBER($S124),$S124*Parâmetros!$C$5,"")</f>
        <v/>
      </c>
      <c r="W124" s="44" t="str">
        <f aca="false">IF(ISNUMBER($S124),$S124-$D124-IF(ISNUMBER($E124),$E124,0)-$O124-$T124-$U124-$V124,"")</f>
        <v/>
      </c>
      <c r="X124" s="46" t="str">
        <f aca="false">IF(AND(ISNUMBER($S124),$S124&gt;0),$W124/$S124,"")</f>
        <v/>
      </c>
      <c r="Y124" s="47" t="s">
        <v>741</v>
      </c>
      <c r="Z124" s="19"/>
    </row>
    <row r="125" customFormat="false" ht="15.75" hidden="false" customHeight="true" outlineLevel="0" collapsed="false">
      <c r="A125" s="48" t="str">
        <f aca="false">IF(Produtos!$A125="","",Produtos!$A125)</f>
        <v>P3060-C</v>
      </c>
      <c r="B125" s="48" t="str">
        <f aca="false">IF(Produtos!$A125="","",Produtos!$B125)</f>
        <v>Lixeira Pedal de Aço inox 30x60 50L Tampa colorido</v>
      </c>
      <c r="C125" s="48" t="str">
        <f aca="false">IF(Produtos!$A125="","",Produtos!$C125)</f>
        <v>Lixeiras com pedal</v>
      </c>
      <c r="D125" s="33" t="n">
        <f aca="false">IF(Produtos!$A125="","",IF(Produtos!$D125="","",Produtos!$D125))</f>
        <v>254.39</v>
      </c>
      <c r="E125" s="11" t="n">
        <v>65.85</v>
      </c>
      <c r="F125" s="34" t="n">
        <f aca="false">IF($A125="","",IF($C125="","⚠ categoria",IFERROR(INDEX(Parâmetros!$C$13:$C$22,MATCH($C125,Parâmetros!$A$13:$A$22,0)),"⚠ categoria")))</f>
        <v>0.18</v>
      </c>
      <c r="G125" s="35" t="n">
        <v>0.15</v>
      </c>
      <c r="H125" s="36" t="n">
        <f aca="false">IF($A125="","",IF(ISNUMBER($G125),$G125,IF(ISNUMBER($F125),$F125,"")))</f>
        <v>0.15</v>
      </c>
      <c r="I125" s="37" t="n">
        <f aca="false">IF(OR($A125="",NOT(ISNUMBER($D125)),NOT(ISNUMBER($H125))),"",IF((1-$H125-Parâmetros!$B$5-Parâmetros!$C$5-Parâmetros!$D$5)&lt;=0,"INVALIDO",($D125+IF(ISNUMBER($E125),$E125,0)+IF(ISNUMBER(Parâmetros!$E$5),Parâmetros!$E$5,0))/(1-$H125-Parâmetros!$B$5-Parâmetros!$C$5-Parâmetros!$D$5)))</f>
        <v>615.846153846154</v>
      </c>
      <c r="J125" s="38" t="n">
        <v>620.677572875</v>
      </c>
      <c r="K125" s="39" t="n">
        <f aca="false">IF(OR($A125="",NOT(ISNUMBER($D125)),NOT(ISNUMBER($H125))),"",IF(AND(ISNUMBER($J125),$J125&gt;0),$J125,IF(ISNUMBER($I125),$I125,"")))</f>
        <v>620.677572875</v>
      </c>
      <c r="L125" s="40" t="n">
        <f aca="false">IF(ISNUMBER($K125),$K125*$H125,"")</f>
        <v>93.10163593125</v>
      </c>
      <c r="M125" s="40" t="n">
        <f aca="false">IF(ISNUMBER($K125),$K125*Parâmetros!$B$5,"")</f>
        <v>62.0677572875</v>
      </c>
      <c r="N125" s="40" t="n">
        <f aca="false">IF(ISNUMBER($K125),$K125*Parâmetros!$C$5,"")</f>
        <v>18.62032718625</v>
      </c>
      <c r="O125" s="40" t="n">
        <f aca="false">IF(ISNUMBER($K125),IF(ISNUMBER(Parâmetros!$E$5),Parâmetros!$E$5,0),"")</f>
        <v>0</v>
      </c>
      <c r="P125" s="41" t="n">
        <f aca="false">IF(ISNUMBER($K125),$K125-$D125-IF(ISNUMBER($E125),$E125,0)-$L125-$M125-$N125-$O125,"")</f>
        <v>126.64785247</v>
      </c>
      <c r="Q125" s="42" t="n">
        <f aca="false">IF(AND(ISNUMBER($K125),$K125&gt;0),$P125/$K125,"")</f>
        <v>0.204047734290387</v>
      </c>
      <c r="R125" s="43"/>
      <c r="S125" s="44" t="str">
        <f aca="false">IF(OR(NOT(ISNUMBER($R125)),$R125=0,NOT(ISNUMBER($K125))),"",$K125*(1-$R125))</f>
        <v/>
      </c>
      <c r="T125" s="45" t="str">
        <f aca="false">IF(ISNUMBER($S125),$S125*$H125,"")</f>
        <v/>
      </c>
      <c r="U125" s="45" t="str">
        <f aca="false">IF(ISNUMBER($S125),$S125*Parâmetros!$B$5,"")</f>
        <v/>
      </c>
      <c r="V125" s="45" t="str">
        <f aca="false">IF(ISNUMBER($S125),$S125*Parâmetros!$C$5,"")</f>
        <v/>
      </c>
      <c r="W125" s="44" t="str">
        <f aca="false">IF(ISNUMBER($S125),$S125-$D125-IF(ISNUMBER($E125),$E125,0)-$O125-$T125-$U125-$V125,"")</f>
        <v/>
      </c>
      <c r="X125" s="46" t="str">
        <f aca="false">IF(AND(ISNUMBER($S125),$S125&gt;0),$W125/$S125,"")</f>
        <v/>
      </c>
      <c r="Y125" s="49" t="s">
        <v>741</v>
      </c>
      <c r="Z125" s="21"/>
    </row>
    <row r="126" customFormat="false" ht="15.75" hidden="false" customHeight="true" outlineLevel="0" collapsed="false">
      <c r="A126" s="32" t="str">
        <f aca="false">IF(Produtos!$A126="","",Produtos!$A126)</f>
        <v>P3070-C</v>
      </c>
      <c r="B126" s="32" t="str">
        <f aca="false">IF(Produtos!$A126="","",Produtos!$B126)</f>
        <v>Lixeira Pedal de Aço inox 30x70 60L Tampa colorido</v>
      </c>
      <c r="C126" s="32" t="str">
        <f aca="false">IF(Produtos!$A126="","",Produtos!$C126)</f>
        <v>Lixeiras com pedal</v>
      </c>
      <c r="D126" s="33" t="n">
        <f aca="false">IF(Produtos!$A126="","",IF(Produtos!$D126="","",Produtos!$D126))</f>
        <v>316.25</v>
      </c>
      <c r="E126" s="11" t="n">
        <v>70.95</v>
      </c>
      <c r="F126" s="34" t="n">
        <f aca="false">IF($A126="","",IF($C126="","⚠ categoria",IFERROR(INDEX(Parâmetros!$C$13:$C$22,MATCH($C126,Parâmetros!$A$13:$A$22,0)),"⚠ categoria")))</f>
        <v>0.18</v>
      </c>
      <c r="G126" s="35"/>
      <c r="H126" s="36" t="n">
        <f aca="false">IF($A126="","",IF(ISNUMBER($G126),$G126,IF(ISNUMBER($F126),$F126,"")))</f>
        <v>0.18</v>
      </c>
      <c r="I126" s="37" t="n">
        <f aca="false">IF(OR($A126="",NOT(ISNUMBER($D126)),NOT(ISNUMBER($H126))),"",IF((1-$H126-Parâmetros!$B$5-Parâmetros!$C$5-Parâmetros!$D$5)&lt;=0,"INVALIDO",($D126+IF(ISNUMBER($E126),$E126,0)+IF(ISNUMBER(Parâmetros!$E$5),Parâmetros!$E$5,0))/(1-$H126-Parâmetros!$B$5-Parâmetros!$C$5-Parâmetros!$D$5)))</f>
        <v>790.204081632653</v>
      </c>
      <c r="J126" s="38" t="n">
        <v>750.25907775</v>
      </c>
      <c r="K126" s="39" t="n">
        <f aca="false">IF(OR($A126="",NOT(ISNUMBER($D126)),NOT(ISNUMBER($H126))),"",IF(AND(ISNUMBER($J126),$J126&gt;0),$J126,IF(ISNUMBER($I126),$I126,"")))</f>
        <v>750.25907775</v>
      </c>
      <c r="L126" s="40" t="n">
        <f aca="false">IF(ISNUMBER($K126),$K126*$H126,"")</f>
        <v>135.046633995</v>
      </c>
      <c r="M126" s="40" t="n">
        <f aca="false">IF(ISNUMBER($K126),$K126*Parâmetros!$B$5,"")</f>
        <v>75.025907775</v>
      </c>
      <c r="N126" s="40" t="n">
        <f aca="false">IF(ISNUMBER($K126),$K126*Parâmetros!$C$5,"")</f>
        <v>22.5077723325</v>
      </c>
      <c r="O126" s="40" t="n">
        <f aca="false">IF(ISNUMBER($K126),IF(ISNUMBER(Parâmetros!$E$5),Parâmetros!$E$5,0),"")</f>
        <v>0</v>
      </c>
      <c r="P126" s="41" t="n">
        <f aca="false">IF(ISNUMBER($K126),$K126-$D126-IF(ISNUMBER($E126),$E126,0)-$L126-$M126-$N126-$O126,"")</f>
        <v>130.4787636475</v>
      </c>
      <c r="Q126" s="42" t="n">
        <f aca="false">IF(AND(ISNUMBER($K126),$K126&gt;0),$P126/$K126,"")</f>
        <v>0.173911609358731</v>
      </c>
      <c r="R126" s="43"/>
      <c r="S126" s="44" t="str">
        <f aca="false">IF(OR(NOT(ISNUMBER($R126)),$R126=0,NOT(ISNUMBER($K126))),"",$K126*(1-$R126))</f>
        <v/>
      </c>
      <c r="T126" s="45" t="str">
        <f aca="false">IF(ISNUMBER($S126),$S126*$H126,"")</f>
        <v/>
      </c>
      <c r="U126" s="45" t="str">
        <f aca="false">IF(ISNUMBER($S126),$S126*Parâmetros!$B$5,"")</f>
        <v/>
      </c>
      <c r="V126" s="45" t="str">
        <f aca="false">IF(ISNUMBER($S126),$S126*Parâmetros!$C$5,"")</f>
        <v/>
      </c>
      <c r="W126" s="44" t="str">
        <f aca="false">IF(ISNUMBER($S126),$S126-$D126-IF(ISNUMBER($E126),$E126,0)-$O126-$T126-$U126-$V126,"")</f>
        <v/>
      </c>
      <c r="X126" s="46" t="str">
        <f aca="false">IF(AND(ISNUMBER($S126),$S126&gt;0),$W126/$S126,"")</f>
        <v/>
      </c>
      <c r="Y126" s="47" t="s">
        <v>741</v>
      </c>
      <c r="Z126" s="19"/>
    </row>
    <row r="127" customFormat="false" ht="15.75" hidden="false" customHeight="true" outlineLevel="0" collapsed="false">
      <c r="A127" s="48" t="str">
        <f aca="false">IF(Produtos!$A127="","",Produtos!$A127)</f>
        <v>P4050-C</v>
      </c>
      <c r="B127" s="48" t="str">
        <f aca="false">IF(Produtos!$A127="","",Produtos!$B127)</f>
        <v>Lixeira Pedal de Aço inox 40x50 65L Tampa colorido</v>
      </c>
      <c r="C127" s="48" t="str">
        <f aca="false">IF(Produtos!$A127="","",Produtos!$C127)</f>
        <v>Lixeiras com pedal</v>
      </c>
      <c r="D127" s="33" t="n">
        <f aca="false">IF(Produtos!$A127="","",IF(Produtos!$D127="","",Produtos!$D127))</f>
        <v>383.73</v>
      </c>
      <c r="E127" s="11" t="n">
        <v>91.95</v>
      </c>
      <c r="F127" s="34" t="n">
        <f aca="false">IF($A127="","",IF($C127="","⚠ categoria",IFERROR(INDEX(Parâmetros!$C$13:$C$22,MATCH($C127,Parâmetros!$A$13:$A$22,0)),"⚠ categoria")))</f>
        <v>0.18</v>
      </c>
      <c r="G127" s="35"/>
      <c r="H127" s="36" t="n">
        <f aca="false">IF($A127="","",IF(ISNUMBER($G127),$G127,IF(ISNUMBER($F127),$F127,"")))</f>
        <v>0.18</v>
      </c>
      <c r="I127" s="37" t="n">
        <f aca="false">IF(OR($A127="",NOT(ISNUMBER($D127)),NOT(ISNUMBER($H127))),"",IF((1-$H127-Parâmetros!$B$5-Parâmetros!$C$5-Parâmetros!$D$5)&lt;=0,"INVALIDO",($D127+IF(ISNUMBER($E127),$E127,0)+IF(ISNUMBER(Parâmetros!$E$5),Parâmetros!$E$5,0))/(1-$H127-Parâmetros!$B$5-Parâmetros!$C$5-Parâmetros!$D$5)))</f>
        <v>970.775510204082</v>
      </c>
      <c r="J127" s="38" t="n">
        <v>893.29985325</v>
      </c>
      <c r="K127" s="39" t="n">
        <f aca="false">IF(OR($A127="",NOT(ISNUMBER($D127)),NOT(ISNUMBER($H127))),"",IF(AND(ISNUMBER($J127),$J127&gt;0),$J127,IF(ISNUMBER($I127),$I127,"")))</f>
        <v>893.29985325</v>
      </c>
      <c r="L127" s="40" t="n">
        <f aca="false">IF(ISNUMBER($K127),$K127*$H127,"")</f>
        <v>160.793973585</v>
      </c>
      <c r="M127" s="40" t="n">
        <f aca="false">IF(ISNUMBER($K127),$K127*Parâmetros!$B$5,"")</f>
        <v>89.329985325</v>
      </c>
      <c r="N127" s="40" t="n">
        <f aca="false">IF(ISNUMBER($K127),$K127*Parâmetros!$C$5,"")</f>
        <v>26.7989955975</v>
      </c>
      <c r="O127" s="40" t="n">
        <f aca="false">IF(ISNUMBER($K127),IF(ISNUMBER(Parâmetros!$E$5),Parâmetros!$E$5,0),"")</f>
        <v>0</v>
      </c>
      <c r="P127" s="41" t="n">
        <f aca="false">IF(ISNUMBER($K127),$K127-$D127-IF(ISNUMBER($E127),$E127,0)-$L127-$M127-$N127-$O127,"")</f>
        <v>140.6968987425</v>
      </c>
      <c r="Q127" s="42" t="n">
        <f aca="false">IF(AND(ISNUMBER($K127),$K127&gt;0),$P127/$K127,"")</f>
        <v>0.157502431272788</v>
      </c>
      <c r="R127" s="43"/>
      <c r="S127" s="44" t="str">
        <f aca="false">IF(OR(NOT(ISNUMBER($R127)),$R127=0,NOT(ISNUMBER($K127))),"",$K127*(1-$R127))</f>
        <v/>
      </c>
      <c r="T127" s="45" t="str">
        <f aca="false">IF(ISNUMBER($S127),$S127*$H127,"")</f>
        <v/>
      </c>
      <c r="U127" s="45" t="str">
        <f aca="false">IF(ISNUMBER($S127),$S127*Parâmetros!$B$5,"")</f>
        <v/>
      </c>
      <c r="V127" s="45" t="str">
        <f aca="false">IF(ISNUMBER($S127),$S127*Parâmetros!$C$5,"")</f>
        <v/>
      </c>
      <c r="W127" s="44" t="str">
        <f aca="false">IF(ISNUMBER($S127),$S127-$D127-IF(ISNUMBER($E127),$E127,0)-$O127-$T127-$U127-$V127,"")</f>
        <v/>
      </c>
      <c r="X127" s="46" t="str">
        <f aca="false">IF(AND(ISNUMBER($S127),$S127&gt;0),$W127/$S127,"")</f>
        <v/>
      </c>
      <c r="Y127" s="49" t="s">
        <v>741</v>
      </c>
      <c r="Z127" s="21"/>
    </row>
    <row r="128" customFormat="false" ht="15.75" hidden="false" customHeight="true" outlineLevel="0" collapsed="false">
      <c r="A128" s="32" t="str">
        <f aca="false">IF(Produtos!$A128="","",Produtos!$A128)</f>
        <v>P4060-C</v>
      </c>
      <c r="B128" s="32" t="str">
        <f aca="false">IF(Produtos!$A128="","",Produtos!$B128)</f>
        <v>Lixeira Pedal de Aço inox 40x60 75L Tampa colorido</v>
      </c>
      <c r="C128" s="32" t="str">
        <f aca="false">IF(Produtos!$A128="","",Produtos!$C128)</f>
        <v>Lixeiras com pedal</v>
      </c>
      <c r="D128" s="33" t="n">
        <f aca="false">IF(Produtos!$A128="","",IF(Produtos!$D128="","",Produtos!$D128))</f>
        <v>423.07</v>
      </c>
      <c r="E128" s="11" t="n">
        <v>91.95</v>
      </c>
      <c r="F128" s="34" t="n">
        <f aca="false">IF($A128="","",IF($C128="","⚠ categoria",IFERROR(INDEX(Parâmetros!$C$13:$C$22,MATCH($C128,Parâmetros!$A$13:$A$22,0)),"⚠ categoria")))</f>
        <v>0.18</v>
      </c>
      <c r="G128" s="35"/>
      <c r="H128" s="36" t="n">
        <f aca="false">IF($A128="","",IF(ISNUMBER($G128),$G128,IF(ISNUMBER($F128),$F128,"")))</f>
        <v>0.18</v>
      </c>
      <c r="I128" s="37" t="n">
        <f aca="false">IF(OR($A128="",NOT(ISNUMBER($D128)),NOT(ISNUMBER($H128))),"",IF((1-$H128-Parâmetros!$B$5-Parâmetros!$C$5-Parâmetros!$D$5)&lt;=0,"INVALIDO",($D128+IF(ISNUMBER($E128),$E128,0)+IF(ISNUMBER(Parâmetros!$E$5),Parâmetros!$E$5,0))/(1-$H128-Parâmetros!$B$5-Parâmetros!$C$5-Parâmetros!$D$5)))</f>
        <v>1051.0612244898</v>
      </c>
      <c r="J128" s="38" t="n">
        <v>972.9762879375</v>
      </c>
      <c r="K128" s="39" t="n">
        <f aca="false">IF(OR($A128="",NOT(ISNUMBER($D128)),NOT(ISNUMBER($H128))),"",IF(AND(ISNUMBER($J128),$J128&gt;0),$J128,IF(ISNUMBER($I128),$I128,"")))</f>
        <v>972.9762879375</v>
      </c>
      <c r="L128" s="40" t="n">
        <f aca="false">IF(ISNUMBER($K128),$K128*$H128,"")</f>
        <v>175.13573182875</v>
      </c>
      <c r="M128" s="40" t="n">
        <f aca="false">IF(ISNUMBER($K128),$K128*Parâmetros!$B$5,"")</f>
        <v>97.29762879375</v>
      </c>
      <c r="N128" s="40" t="n">
        <f aca="false">IF(ISNUMBER($K128),$K128*Parâmetros!$C$5,"")</f>
        <v>29.189288638125</v>
      </c>
      <c r="O128" s="40" t="n">
        <f aca="false">IF(ISNUMBER($K128),IF(ISNUMBER(Parâmetros!$E$5),Parâmetros!$E$5,0),"")</f>
        <v>0</v>
      </c>
      <c r="P128" s="41" t="n">
        <f aca="false">IF(ISNUMBER($K128),$K128-$D128-IF(ISNUMBER($E128),$E128,0)-$L128-$M128-$N128-$O128,"")</f>
        <v>156.333638676875</v>
      </c>
      <c r="Q128" s="42" t="n">
        <f aca="false">IF(AND(ISNUMBER($K128),$K128&gt;0),$P128/$K128,"")</f>
        <v>0.160675692321617</v>
      </c>
      <c r="R128" s="43"/>
      <c r="S128" s="44" t="str">
        <f aca="false">IF(OR(NOT(ISNUMBER($R128)),$R128=0,NOT(ISNUMBER($K128))),"",$K128*(1-$R128))</f>
        <v/>
      </c>
      <c r="T128" s="45" t="str">
        <f aca="false">IF(ISNUMBER($S128),$S128*$H128,"")</f>
        <v/>
      </c>
      <c r="U128" s="45" t="str">
        <f aca="false">IF(ISNUMBER($S128),$S128*Parâmetros!$B$5,"")</f>
        <v/>
      </c>
      <c r="V128" s="45" t="str">
        <f aca="false">IF(ISNUMBER($S128),$S128*Parâmetros!$C$5,"")</f>
        <v/>
      </c>
      <c r="W128" s="44" t="str">
        <f aca="false">IF(ISNUMBER($S128),$S128-$D128-IF(ISNUMBER($E128),$E128,0)-$O128-$T128-$U128-$V128,"")</f>
        <v/>
      </c>
      <c r="X128" s="46" t="str">
        <f aca="false">IF(AND(ISNUMBER($S128),$S128&gt;0),$W128/$S128,"")</f>
        <v/>
      </c>
      <c r="Y128" s="47" t="s">
        <v>741</v>
      </c>
      <c r="Z128" s="19"/>
    </row>
    <row r="129" customFormat="false" ht="15.75" hidden="false" customHeight="true" outlineLevel="0" collapsed="false">
      <c r="A129" s="48" t="str">
        <f aca="false">IF(Produtos!$A129="","",Produtos!$A129)</f>
        <v>P4070-C</v>
      </c>
      <c r="B129" s="48" t="str">
        <f aca="false">IF(Produtos!$A129="","",Produtos!$B129)</f>
        <v>Lixeira Pedal de Aço inox 40x70 80L Tampa colorido</v>
      </c>
      <c r="C129" s="48" t="str">
        <f aca="false">IF(Produtos!$A129="","",Produtos!$C129)</f>
        <v>Lixeiras com pedal</v>
      </c>
      <c r="D129" s="33" t="n">
        <f aca="false">IF(Produtos!$A129="","",IF(Produtos!$D129="","",Produtos!$D129))</f>
        <v>428.49</v>
      </c>
      <c r="E129" s="11" t="n">
        <v>106.85</v>
      </c>
      <c r="F129" s="34" t="n">
        <f aca="false">IF($A129="","",IF($C129="","⚠ categoria",IFERROR(INDEX(Parâmetros!$C$13:$C$22,MATCH($C129,Parâmetros!$A$13:$A$22,0)),"⚠ categoria")))</f>
        <v>0.18</v>
      </c>
      <c r="G129" s="35"/>
      <c r="H129" s="36" t="n">
        <f aca="false">IF($A129="","",IF(ISNUMBER($G129),$G129,IF(ISNUMBER($F129),$F129,"")))</f>
        <v>0.18</v>
      </c>
      <c r="I129" s="37" t="n">
        <f aca="false">IF(OR($A129="",NOT(ISNUMBER($D129)),NOT(ISNUMBER($H129))),"",IF((1-$H129-Parâmetros!$B$5-Parâmetros!$C$5-Parâmetros!$D$5)&lt;=0,"INVALIDO",($D129+IF(ISNUMBER($E129),$E129,0)+IF(ISNUMBER(Parâmetros!$E$5),Parâmetros!$E$5,0))/(1-$H129-Parâmetros!$B$5-Parâmetros!$C$5-Parâmetros!$D$5)))</f>
        <v>1092.5306122449</v>
      </c>
      <c r="J129" s="38" t="n">
        <v>1030.8586955625</v>
      </c>
      <c r="K129" s="39" t="n">
        <f aca="false">IF(OR($A129="",NOT(ISNUMBER($D129)),NOT(ISNUMBER($H129))),"",IF(AND(ISNUMBER($J129),$J129&gt;0),$J129,IF(ISNUMBER($I129),$I129,"")))</f>
        <v>1030.8586955625</v>
      </c>
      <c r="L129" s="40" t="n">
        <f aca="false">IF(ISNUMBER($K129),$K129*$H129,"")</f>
        <v>185.55456520125</v>
      </c>
      <c r="M129" s="40" t="n">
        <f aca="false">IF(ISNUMBER($K129),$K129*Parâmetros!$B$5,"")</f>
        <v>103.08586955625</v>
      </c>
      <c r="N129" s="40" t="n">
        <f aca="false">IF(ISNUMBER($K129),$K129*Parâmetros!$C$5,"")</f>
        <v>30.925760866875</v>
      </c>
      <c r="O129" s="40" t="n">
        <f aca="false">IF(ISNUMBER($K129),IF(ISNUMBER(Parâmetros!$E$5),Parâmetros!$E$5,0),"")</f>
        <v>0</v>
      </c>
      <c r="P129" s="41" t="n">
        <f aca="false">IF(ISNUMBER($K129),$K129-$D129-IF(ISNUMBER($E129),$E129,0)-$L129-$M129-$N129-$O129,"")</f>
        <v>175.952499938125</v>
      </c>
      <c r="Q129" s="42" t="n">
        <f aca="false">IF(AND(ISNUMBER($K129),$K129&gt;0),$P129/$K129,"")</f>
        <v>0.170685372006407</v>
      </c>
      <c r="R129" s="43"/>
      <c r="S129" s="44" t="str">
        <f aca="false">IF(OR(NOT(ISNUMBER($R129)),$R129=0,NOT(ISNUMBER($K129))),"",$K129*(1-$R129))</f>
        <v/>
      </c>
      <c r="T129" s="45" t="str">
        <f aca="false">IF(ISNUMBER($S129),$S129*$H129,"")</f>
        <v/>
      </c>
      <c r="U129" s="45" t="str">
        <f aca="false">IF(ISNUMBER($S129),$S129*Parâmetros!$B$5,"")</f>
        <v/>
      </c>
      <c r="V129" s="45" t="str">
        <f aca="false">IF(ISNUMBER($S129),$S129*Parâmetros!$C$5,"")</f>
        <v/>
      </c>
      <c r="W129" s="44" t="str">
        <f aca="false">IF(ISNUMBER($S129),$S129-$D129-IF(ISNUMBER($E129),$E129,0)-$O129-$T129-$U129-$V129,"")</f>
        <v/>
      </c>
      <c r="X129" s="46" t="str">
        <f aca="false">IF(AND(ISNUMBER($S129),$S129&gt;0),$W129/$S129,"")</f>
        <v/>
      </c>
      <c r="Y129" s="49" t="s">
        <v>741</v>
      </c>
      <c r="Z129" s="21"/>
    </row>
    <row r="130" customFormat="false" ht="15.75" hidden="false" customHeight="true" outlineLevel="0" collapsed="false">
      <c r="A130" s="32" t="str">
        <f aca="false">IF(Produtos!$A130="","",Produtos!$A130)</f>
        <v>P4075-C</v>
      </c>
      <c r="B130" s="32" t="str">
        <f aca="false">IF(Produtos!$A130="","",Produtos!$B130)</f>
        <v>Lixeira Pedal de Aço inox 40x75 95L Tampa colorido</v>
      </c>
      <c r="C130" s="32" t="str">
        <f aca="false">IF(Produtos!$A130="","",Produtos!$C130)</f>
        <v>Lixeiras com pedal</v>
      </c>
      <c r="D130" s="33" t="n">
        <f aca="false">IF(Produtos!$A130="","",IF(Produtos!$D130="","",Produtos!$D130))</f>
        <v>490.08</v>
      </c>
      <c r="E130" s="11" t="n">
        <v>106.85</v>
      </c>
      <c r="F130" s="34" t="n">
        <f aca="false">IF($A130="","",IF($C130="","⚠ categoria",IFERROR(INDEX(Parâmetros!$C$13:$C$22,MATCH($C130,Parâmetros!$A$13:$A$22,0)),"⚠ categoria")))</f>
        <v>0.18</v>
      </c>
      <c r="G130" s="35"/>
      <c r="H130" s="36" t="n">
        <f aca="false">IF($A130="","",IF(ISNUMBER($G130),$G130,IF(ISNUMBER($F130),$F130,"")))</f>
        <v>0.18</v>
      </c>
      <c r="I130" s="37" t="n">
        <f aca="false">IF(OR($A130="",NOT(ISNUMBER($D130)),NOT(ISNUMBER($H130))),"",IF((1-$H130-Parâmetros!$B$5-Parâmetros!$C$5-Parâmetros!$D$5)&lt;=0,"INVALIDO",($D130+IF(ISNUMBER($E130),$E130,0)+IF(ISNUMBER(Parâmetros!$E$5),Parâmetros!$E$5,0))/(1-$H130-Parâmetros!$B$5-Parâmetros!$C$5-Parâmetros!$D$5)))</f>
        <v>1218.22448979592</v>
      </c>
      <c r="J130" s="38" t="n">
        <v>1184.5272789</v>
      </c>
      <c r="K130" s="39" t="n">
        <f aca="false">IF(OR($A130="",NOT(ISNUMBER($D130)),NOT(ISNUMBER($H130))),"",IF(AND(ISNUMBER($J130),$J130&gt;0),$J130,IF(ISNUMBER($I130),$I130,"")))</f>
        <v>1184.5272789</v>
      </c>
      <c r="L130" s="40" t="n">
        <f aca="false">IF(ISNUMBER($K130),$K130*$H130,"")</f>
        <v>213.214910202</v>
      </c>
      <c r="M130" s="40" t="n">
        <f aca="false">IF(ISNUMBER($K130),$K130*Parâmetros!$B$5,"")</f>
        <v>118.45272789</v>
      </c>
      <c r="N130" s="40" t="n">
        <f aca="false">IF(ISNUMBER($K130),$K130*Parâmetros!$C$5,"")</f>
        <v>35.535818367</v>
      </c>
      <c r="O130" s="40" t="n">
        <f aca="false">IF(ISNUMBER($K130),IF(ISNUMBER(Parâmetros!$E$5),Parâmetros!$E$5,0),"")</f>
        <v>0</v>
      </c>
      <c r="P130" s="41" t="n">
        <f aca="false">IF(ISNUMBER($K130),$K130-$D130-IF(ISNUMBER($E130),$E130,0)-$L130-$M130-$N130-$O130,"")</f>
        <v>220.393822441</v>
      </c>
      <c r="Q130" s="42" t="n">
        <f aca="false">IF(AND(ISNUMBER($K130),$K130&gt;0),$P130/$K130,"")</f>
        <v>0.186060571475962</v>
      </c>
      <c r="R130" s="43"/>
      <c r="S130" s="44" t="str">
        <f aca="false">IF(OR(NOT(ISNUMBER($R130)),$R130=0,NOT(ISNUMBER($K130))),"",$K130*(1-$R130))</f>
        <v/>
      </c>
      <c r="T130" s="45" t="str">
        <f aca="false">IF(ISNUMBER($S130),$S130*$H130,"")</f>
        <v/>
      </c>
      <c r="U130" s="45" t="str">
        <f aca="false">IF(ISNUMBER($S130),$S130*Parâmetros!$B$5,"")</f>
        <v/>
      </c>
      <c r="V130" s="45" t="str">
        <f aca="false">IF(ISNUMBER($S130),$S130*Parâmetros!$C$5,"")</f>
        <v/>
      </c>
      <c r="W130" s="44" t="str">
        <f aca="false">IF(ISNUMBER($S130),$S130-$D130-IF(ISNUMBER($E130),$E130,0)-$O130-$T130-$U130-$V130,"")</f>
        <v/>
      </c>
      <c r="X130" s="46" t="str">
        <f aca="false">IF(AND(ISNUMBER($S130),$S130&gt;0),$W130/$S130,"")</f>
        <v/>
      </c>
      <c r="Y130" s="47" t="s">
        <v>741</v>
      </c>
      <c r="Z130" s="19"/>
    </row>
    <row r="131" customFormat="false" ht="15.75" hidden="false" customHeight="true" outlineLevel="0" collapsed="false">
      <c r="A131" s="48" t="str">
        <f aca="false">IF(Produtos!$A131="","",Produtos!$A131)</f>
        <v>P4080-C</v>
      </c>
      <c r="B131" s="48" t="str">
        <f aca="false">IF(Produtos!$A131="","",Produtos!$B131)</f>
        <v>Lixeira Pedal de Aço inox 40x80 100L Tampa colorido</v>
      </c>
      <c r="C131" s="48" t="str">
        <f aca="false">IF(Produtos!$A131="","",Produtos!$C131)</f>
        <v>Lixeiras com pedal</v>
      </c>
      <c r="D131" s="33" t="n">
        <f aca="false">IF(Produtos!$A131="","",IF(Produtos!$D131="","",Produtos!$D131))</f>
        <v>548.77</v>
      </c>
      <c r="E131" s="11" t="n">
        <v>106.85</v>
      </c>
      <c r="F131" s="34" t="n">
        <f aca="false">IF($A131="","",IF($C131="","⚠ categoria",IFERROR(INDEX(Parâmetros!$C$13:$C$22,MATCH($C131,Parâmetros!$A$13:$A$22,0)),"⚠ categoria")))</f>
        <v>0.18</v>
      </c>
      <c r="G131" s="35"/>
      <c r="H131" s="36" t="n">
        <f aca="false">IF($A131="","",IF(ISNUMBER($G131),$G131,IF(ISNUMBER($F131),$F131,"")))</f>
        <v>0.18</v>
      </c>
      <c r="I131" s="37" t="n">
        <f aca="false">IF(OR($A131="",NOT(ISNUMBER($D131)),NOT(ISNUMBER($H131))),"",IF((1-$H131-Parâmetros!$B$5-Parâmetros!$C$5-Parâmetros!$D$5)&lt;=0,"INVALIDO",($D131+IF(ISNUMBER($E131),$E131,0)+IF(ISNUMBER(Parâmetros!$E$5),Parâmetros!$E$5,0))/(1-$H131-Parâmetros!$B$5-Parâmetros!$C$5-Parâmetros!$D$5)))</f>
        <v>1338</v>
      </c>
      <c r="J131" s="38" t="n">
        <v>1276.48484145</v>
      </c>
      <c r="K131" s="39" t="n">
        <f aca="false">IF(OR($A131="",NOT(ISNUMBER($D131)),NOT(ISNUMBER($H131))),"",IF(AND(ISNUMBER($J131),$J131&gt;0),$J131,IF(ISNUMBER($I131),$I131,"")))</f>
        <v>1276.48484145</v>
      </c>
      <c r="L131" s="40" t="n">
        <f aca="false">IF(ISNUMBER($K131),$K131*$H131,"")</f>
        <v>229.767271461</v>
      </c>
      <c r="M131" s="40" t="n">
        <f aca="false">IF(ISNUMBER($K131),$K131*Parâmetros!$B$5,"")</f>
        <v>127.648484145</v>
      </c>
      <c r="N131" s="40" t="n">
        <f aca="false">IF(ISNUMBER($K131),$K131*Parâmetros!$C$5,"")</f>
        <v>38.2945452435</v>
      </c>
      <c r="O131" s="40" t="n">
        <f aca="false">IF(ISNUMBER($K131),IF(ISNUMBER(Parâmetros!$E$5),Parâmetros!$E$5,0),"")</f>
        <v>0</v>
      </c>
      <c r="P131" s="41" t="n">
        <f aca="false">IF(ISNUMBER($K131),$K131-$D131-IF(ISNUMBER($E131),$E131,0)-$L131-$M131-$N131-$O131,"")</f>
        <v>225.1545406005</v>
      </c>
      <c r="Q131" s="42" t="n">
        <f aca="false">IF(AND(ISNUMBER($K131),$K131&gt;0),$P131/$K131,"")</f>
        <v>0.176386380228957</v>
      </c>
      <c r="R131" s="43"/>
      <c r="S131" s="44" t="str">
        <f aca="false">IF(OR(NOT(ISNUMBER($R131)),$R131=0,NOT(ISNUMBER($K131))),"",$K131*(1-$R131))</f>
        <v/>
      </c>
      <c r="T131" s="45" t="str">
        <f aca="false">IF(ISNUMBER($S131),$S131*$H131,"")</f>
        <v/>
      </c>
      <c r="U131" s="45" t="str">
        <f aca="false">IF(ISNUMBER($S131),$S131*Parâmetros!$B$5,"")</f>
        <v/>
      </c>
      <c r="V131" s="45" t="str">
        <f aca="false">IF(ISNUMBER($S131),$S131*Parâmetros!$C$5,"")</f>
        <v/>
      </c>
      <c r="W131" s="44" t="str">
        <f aca="false">IF(ISNUMBER($S131),$S131-$D131-IF(ISNUMBER($E131),$E131,0)-$O131-$T131-$U131-$V131,"")</f>
        <v/>
      </c>
      <c r="X131" s="46" t="str">
        <f aca="false">IF(AND(ISNUMBER($S131),$S131&gt;0),$W131/$S131,"")</f>
        <v/>
      </c>
      <c r="Y131" s="49" t="s">
        <v>741</v>
      </c>
      <c r="Z131" s="21"/>
    </row>
    <row r="132" customFormat="false" ht="15.75" hidden="false" customHeight="true" outlineLevel="0" collapsed="false">
      <c r="A132" s="32" t="str">
        <f aca="false">IF(Produtos!$A132="","",Produtos!$A132)</f>
        <v>P4090-C</v>
      </c>
      <c r="B132" s="32" t="str">
        <f aca="false">IF(Produtos!$A132="","",Produtos!$B132)</f>
        <v>Lixeira Pedal de Aço inox 40x90 120L Tampa colorido</v>
      </c>
      <c r="C132" s="32" t="str">
        <f aca="false">IF(Produtos!$A132="","",Produtos!$C132)</f>
        <v>Lixeiras com pedal</v>
      </c>
      <c r="D132" s="33" t="n">
        <f aca="false">IF(Produtos!$A132="","",IF(Produtos!$D132="","",Produtos!$D132))</f>
        <v>793.7</v>
      </c>
      <c r="E132" s="11" t="n">
        <v>107.85</v>
      </c>
      <c r="F132" s="34" t="n">
        <f aca="false">IF($A132="","",IF($C132="","⚠ categoria",IFERROR(INDEX(Parâmetros!$C$13:$C$22,MATCH($C132,Parâmetros!$A$13:$A$22,0)),"⚠ categoria")))</f>
        <v>0.18</v>
      </c>
      <c r="G132" s="35"/>
      <c r="H132" s="36" t="n">
        <f aca="false">IF($A132="","",IF(ISNUMBER($G132),$G132,IF(ISNUMBER($F132),$F132,"")))</f>
        <v>0.18</v>
      </c>
      <c r="I132" s="37" t="n">
        <f aca="false">IF(OR($A132="",NOT(ISNUMBER($D132)),NOT(ISNUMBER($H132))),"",IF((1-$H132-Parâmetros!$B$5-Parâmetros!$C$5-Parâmetros!$D$5)&lt;=0,"INVALIDO",($D132+IF(ISNUMBER($E132),$E132,0)+IF(ISNUMBER(Parâmetros!$E$5),Parâmetros!$E$5,0))/(1-$H132-Parâmetros!$B$5-Parâmetros!$C$5-Parâmetros!$D$5)))</f>
        <v>1839.89795918367</v>
      </c>
      <c r="J132" s="38" t="n">
        <v>1857.92561325</v>
      </c>
      <c r="K132" s="39" t="n">
        <f aca="false">IF(OR($A132="",NOT(ISNUMBER($D132)),NOT(ISNUMBER($H132))),"",IF(AND(ISNUMBER($J132),$J132&gt;0),$J132,IF(ISNUMBER($I132),$I132,"")))</f>
        <v>1857.92561325</v>
      </c>
      <c r="L132" s="40" t="n">
        <f aca="false">IF(ISNUMBER($K132),$K132*$H132,"")</f>
        <v>334.426610385</v>
      </c>
      <c r="M132" s="40" t="n">
        <f aca="false">IF(ISNUMBER($K132),$K132*Parâmetros!$B$5,"")</f>
        <v>185.792561325</v>
      </c>
      <c r="N132" s="40" t="n">
        <f aca="false">IF(ISNUMBER($K132),$K132*Parâmetros!$C$5,"")</f>
        <v>55.7377683975</v>
      </c>
      <c r="O132" s="40" t="n">
        <f aca="false">IF(ISNUMBER($K132),IF(ISNUMBER(Parâmetros!$E$5),Parâmetros!$E$5,0),"")</f>
        <v>0</v>
      </c>
      <c r="P132" s="41" t="n">
        <f aca="false">IF(ISNUMBER($K132),$K132-$D132-IF(ISNUMBER($E132),$E132,0)-$L132-$M132-$N132-$O132,"")</f>
        <v>380.4186731425</v>
      </c>
      <c r="Q132" s="42" t="n">
        <f aca="false">IF(AND(ISNUMBER($K132),$K132&gt;0),$P132/$K132,"")</f>
        <v>0.204754523232525</v>
      </c>
      <c r="R132" s="43"/>
      <c r="S132" s="44" t="str">
        <f aca="false">IF(OR(NOT(ISNUMBER($R132)),$R132=0,NOT(ISNUMBER($K132))),"",$K132*(1-$R132))</f>
        <v/>
      </c>
      <c r="T132" s="45" t="str">
        <f aca="false">IF(ISNUMBER($S132),$S132*$H132,"")</f>
        <v/>
      </c>
      <c r="U132" s="45" t="str">
        <f aca="false">IF(ISNUMBER($S132),$S132*Parâmetros!$B$5,"")</f>
        <v/>
      </c>
      <c r="V132" s="45" t="str">
        <f aca="false">IF(ISNUMBER($S132),$S132*Parâmetros!$C$5,"")</f>
        <v/>
      </c>
      <c r="W132" s="44" t="str">
        <f aca="false">IF(ISNUMBER($S132),$S132-$D132-IF(ISNUMBER($E132),$E132,0)-$O132-$T132-$U132-$V132,"")</f>
        <v/>
      </c>
      <c r="X132" s="46" t="str">
        <f aca="false">IF(AND(ISNUMBER($S132),$S132&gt;0),$W132/$S132,"")</f>
        <v/>
      </c>
      <c r="Y132" s="47" t="s">
        <v>741</v>
      </c>
      <c r="Z132" s="19"/>
    </row>
    <row r="133" customFormat="false" ht="15.75" hidden="false" customHeight="true" outlineLevel="0" collapsed="false">
      <c r="A133" s="48" t="str">
        <f aca="false">IF(Produtos!$A133="","",Produtos!$A133)</f>
        <v>L2425-AC</v>
      </c>
      <c r="B133" s="48" t="str">
        <f aca="false">IF(Produtos!$A133="","",Produtos!$B133)</f>
        <v>Lixeira c/Aro Colorido 24x25 13L</v>
      </c>
      <c r="C133" s="48" t="str">
        <f aca="false">IF(Produtos!$A133="","",Produtos!$C133)</f>
        <v>Lixeiras em inox</v>
      </c>
      <c r="D133" s="33" t="n">
        <f aca="false">IF(Produtos!$A133="","",IF(Produtos!$D133="","",Produtos!$D133))</f>
        <v>95.49</v>
      </c>
      <c r="E133" s="11" t="n">
        <v>29.25</v>
      </c>
      <c r="F133" s="34" t="n">
        <f aca="false">IF($A133="","",IF($C133="","⚠ categoria",IFERROR(INDEX(Parâmetros!$C$13:$C$22,MATCH($C133,Parâmetros!$A$13:$A$22,0)),"⚠ categoria")))</f>
        <v>0.18</v>
      </c>
      <c r="G133" s="35" t="n">
        <v>0.15</v>
      </c>
      <c r="H133" s="36" t="n">
        <f aca="false">IF($A133="","",IF(ISNUMBER($G133),$G133,IF(ISNUMBER($F133),$F133,"")))</f>
        <v>0.15</v>
      </c>
      <c r="I133" s="37" t="n">
        <f aca="false">IF(OR($A133="",NOT(ISNUMBER($D133)),NOT(ISNUMBER($H133))),"",IF((1-$H133-Parâmetros!$B$5-Parâmetros!$C$5-Parâmetros!$D$5)&lt;=0,"INVALIDO",($D133+IF(ISNUMBER($E133),$E133,0)+IF(ISNUMBER(Parâmetros!$E$5),Parâmetros!$E$5,0))/(1-$H133-Parâmetros!$B$5-Parâmetros!$C$5-Parâmetros!$D$5)))</f>
        <v>239.884615384615</v>
      </c>
      <c r="J133" s="38" t="n">
        <v>240.191453</v>
      </c>
      <c r="K133" s="39" t="n">
        <f aca="false">IF(OR($A133="",NOT(ISNUMBER($D133)),NOT(ISNUMBER($H133))),"",IF(AND(ISNUMBER($J133),$J133&gt;0),$J133,IF(ISNUMBER($I133),$I133,"")))</f>
        <v>240.191453</v>
      </c>
      <c r="L133" s="40" t="n">
        <f aca="false">IF(ISNUMBER($K133),$K133*$H133,"")</f>
        <v>36.02871795</v>
      </c>
      <c r="M133" s="40" t="n">
        <f aca="false">IF(ISNUMBER($K133),$K133*Parâmetros!$B$5,"")</f>
        <v>24.0191453</v>
      </c>
      <c r="N133" s="40" t="n">
        <f aca="false">IF(ISNUMBER($K133),$K133*Parâmetros!$C$5,"")</f>
        <v>7.20574359</v>
      </c>
      <c r="O133" s="40" t="n">
        <f aca="false">IF(ISNUMBER($K133),IF(ISNUMBER(Parâmetros!$E$5),Parâmetros!$E$5,0),"")</f>
        <v>0</v>
      </c>
      <c r="P133" s="41" t="n">
        <f aca="false">IF(ISNUMBER($K133),$K133-$D133-IF(ISNUMBER($E133),$E133,0)-$L133-$M133-$N133-$O133,"")</f>
        <v>48.19784616</v>
      </c>
      <c r="Q133" s="42" t="n">
        <f aca="false">IF(AND(ISNUMBER($K133),$K133&gt;0),$P133/$K133,"")</f>
        <v>0.200664284919414</v>
      </c>
      <c r="R133" s="43"/>
      <c r="S133" s="44" t="str">
        <f aca="false">IF(OR(NOT(ISNUMBER($R133)),$R133=0,NOT(ISNUMBER($K133))),"",$K133*(1-$R133))</f>
        <v/>
      </c>
      <c r="T133" s="45" t="str">
        <f aca="false">IF(ISNUMBER($S133),$S133*$H133,"")</f>
        <v/>
      </c>
      <c r="U133" s="45" t="str">
        <f aca="false">IF(ISNUMBER($S133),$S133*Parâmetros!$B$5,"")</f>
        <v/>
      </c>
      <c r="V133" s="45" t="str">
        <f aca="false">IF(ISNUMBER($S133),$S133*Parâmetros!$C$5,"")</f>
        <v/>
      </c>
      <c r="W133" s="44" t="str">
        <f aca="false">IF(ISNUMBER($S133),$S133-$D133-IF(ISNUMBER($E133),$E133,0)-$O133-$T133-$U133-$V133,"")</f>
        <v/>
      </c>
      <c r="X133" s="46" t="str">
        <f aca="false">IF(AND(ISNUMBER($S133),$S133&gt;0),$W133/$S133,"")</f>
        <v/>
      </c>
      <c r="Y133" s="49" t="s">
        <v>741</v>
      </c>
      <c r="Z133" s="21"/>
    </row>
    <row r="134" customFormat="false" ht="15.75" hidden="false" customHeight="true" outlineLevel="0" collapsed="false">
      <c r="A134" s="32" t="str">
        <f aca="false">IF(Produtos!$A134="","",Produtos!$A134)</f>
        <v>L2430-AC</v>
      </c>
      <c r="B134" s="32" t="str">
        <f aca="false">IF(Produtos!$A134="","",Produtos!$B134)</f>
        <v>Lixeira c/Aro Colorido 24x30 15L</v>
      </c>
      <c r="C134" s="32" t="str">
        <f aca="false">IF(Produtos!$A134="","",Produtos!$C134)</f>
        <v>Lixeiras em inox</v>
      </c>
      <c r="D134" s="33" t="n">
        <f aca="false">IF(Produtos!$A134="","",IF(Produtos!$D134="","",Produtos!$D134))</f>
        <v>104.2</v>
      </c>
      <c r="E134" s="11" t="n">
        <v>29.25</v>
      </c>
      <c r="F134" s="34" t="n">
        <f aca="false">IF($A134="","",IF($C134="","⚠ categoria",IFERROR(INDEX(Parâmetros!$C$13:$C$22,MATCH($C134,Parâmetros!$A$13:$A$22,0)),"⚠ categoria")))</f>
        <v>0.18</v>
      </c>
      <c r="G134" s="35" t="n">
        <v>0.15</v>
      </c>
      <c r="H134" s="36" t="n">
        <f aca="false">IF($A134="","",IF(ISNUMBER($G134),$G134,IF(ISNUMBER($F134),$F134,"")))</f>
        <v>0.15</v>
      </c>
      <c r="I134" s="37" t="n">
        <f aca="false">IF(OR($A134="",NOT(ISNUMBER($D134)),NOT(ISNUMBER($H134))),"",IF((1-$H134-Parâmetros!$B$5-Parâmetros!$C$5-Parâmetros!$D$5)&lt;=0,"INVALIDO",($D134+IF(ISNUMBER($E134),$E134,0)+IF(ISNUMBER(Parâmetros!$E$5),Parâmetros!$E$5,0))/(1-$H134-Parâmetros!$B$5-Parâmetros!$C$5-Parâmetros!$D$5)))</f>
        <v>256.634615384615</v>
      </c>
      <c r="J134" s="38" t="n">
        <v>260.3346945</v>
      </c>
      <c r="K134" s="39" t="n">
        <f aca="false">IF(OR($A134="",NOT(ISNUMBER($D134)),NOT(ISNUMBER($H134))),"",IF(AND(ISNUMBER($J134),$J134&gt;0),$J134,IF(ISNUMBER($I134),$I134,"")))</f>
        <v>260.3346945</v>
      </c>
      <c r="L134" s="40" t="n">
        <f aca="false">IF(ISNUMBER($K134),$K134*$H134,"")</f>
        <v>39.050204175</v>
      </c>
      <c r="M134" s="40" t="n">
        <f aca="false">IF(ISNUMBER($K134),$K134*Parâmetros!$B$5,"")</f>
        <v>26.03346945</v>
      </c>
      <c r="N134" s="40" t="n">
        <f aca="false">IF(ISNUMBER($K134),$K134*Parâmetros!$C$5,"")</f>
        <v>7.810040835</v>
      </c>
      <c r="O134" s="40" t="n">
        <f aca="false">IF(ISNUMBER($K134),IF(ISNUMBER(Parâmetros!$E$5),Parâmetros!$E$5,0),"")</f>
        <v>0</v>
      </c>
      <c r="P134" s="41" t="n">
        <f aca="false">IF(ISNUMBER($K134),$K134-$D134-IF(ISNUMBER($E134),$E134,0)-$L134-$M134-$N134-$O134,"")</f>
        <v>53.99098004</v>
      </c>
      <c r="Q134" s="42" t="n">
        <f aca="false">IF(AND(ISNUMBER($K134),$K134&gt;0),$P134/$K134,"")</f>
        <v>0.207390644353782</v>
      </c>
      <c r="R134" s="43"/>
      <c r="S134" s="44" t="str">
        <f aca="false">IF(OR(NOT(ISNUMBER($R134)),$R134=0,NOT(ISNUMBER($K134))),"",$K134*(1-$R134))</f>
        <v/>
      </c>
      <c r="T134" s="45" t="str">
        <f aca="false">IF(ISNUMBER($S134),$S134*$H134,"")</f>
        <v/>
      </c>
      <c r="U134" s="45" t="str">
        <f aca="false">IF(ISNUMBER($S134),$S134*Parâmetros!$B$5,"")</f>
        <v/>
      </c>
      <c r="V134" s="45" t="str">
        <f aca="false">IF(ISNUMBER($S134),$S134*Parâmetros!$C$5,"")</f>
        <v/>
      </c>
      <c r="W134" s="44" t="str">
        <f aca="false">IF(ISNUMBER($S134),$S134-$D134-IF(ISNUMBER($E134),$E134,0)-$O134-$T134-$U134-$V134,"")</f>
        <v/>
      </c>
      <c r="X134" s="46" t="str">
        <f aca="false">IF(AND(ISNUMBER($S134),$S134&gt;0),$W134/$S134,"")</f>
        <v/>
      </c>
      <c r="Y134" s="47" t="s">
        <v>739</v>
      </c>
      <c r="Z134" s="19"/>
    </row>
    <row r="135" customFormat="false" ht="15.75" hidden="false" customHeight="true" outlineLevel="0" collapsed="false">
      <c r="A135" s="48" t="str">
        <f aca="false">IF(Produtos!$A135="","",Produtos!$A135)</f>
        <v>L2440-AC</v>
      </c>
      <c r="B135" s="48" t="str">
        <f aca="false">IF(Produtos!$A135="","",Produtos!$B135)</f>
        <v>Lixeira c/Aro Colorido 24x40 20L</v>
      </c>
      <c r="C135" s="48" t="str">
        <f aca="false">IF(Produtos!$A135="","",Produtos!$C135)</f>
        <v>Lixeiras em inox</v>
      </c>
      <c r="D135" s="33" t="n">
        <f aca="false">IF(Produtos!$A135="","",IF(Produtos!$D135="","",Produtos!$D135))</f>
        <v>115.16</v>
      </c>
      <c r="E135" s="11" t="n">
        <v>40.85</v>
      </c>
      <c r="F135" s="34" t="n">
        <f aca="false">IF($A135="","",IF($C135="","⚠ categoria",IFERROR(INDEX(Parâmetros!$C$13:$C$22,MATCH($C135,Parâmetros!$A$13:$A$22,0)),"⚠ categoria")))</f>
        <v>0.18</v>
      </c>
      <c r="G135" s="35" t="n">
        <v>0.15</v>
      </c>
      <c r="H135" s="36" t="n">
        <f aca="false">IF($A135="","",IF(ISNUMBER($G135),$G135,IF(ISNUMBER($F135),$F135,"")))</f>
        <v>0.15</v>
      </c>
      <c r="I135" s="37" t="n">
        <f aca="false">IF(OR($A135="",NOT(ISNUMBER($D135)),NOT(ISNUMBER($H135))),"",IF((1-$H135-Parâmetros!$B$5-Parâmetros!$C$5-Parâmetros!$D$5)&lt;=0,"INVALIDO",($D135+IF(ISNUMBER($E135),$E135,0)+IF(ISNUMBER(Parâmetros!$E$5),Parâmetros!$E$5,0))/(1-$H135-Parâmetros!$B$5-Parâmetros!$C$5-Parâmetros!$D$5)))</f>
        <v>300.019230769231</v>
      </c>
      <c r="J135" s="38" t="n">
        <v>301.9</v>
      </c>
      <c r="K135" s="39" t="n">
        <f aca="false">IF(OR($A135="",NOT(ISNUMBER($D135)),NOT(ISNUMBER($H135))),"",IF(AND(ISNUMBER($J135),$J135&gt;0),$J135,IF(ISNUMBER($I135),$I135,"")))</f>
        <v>301.9</v>
      </c>
      <c r="L135" s="40" t="n">
        <f aca="false">IF(ISNUMBER($K135),$K135*$H135,"")</f>
        <v>45.285</v>
      </c>
      <c r="M135" s="40" t="n">
        <f aca="false">IF(ISNUMBER($K135),$K135*Parâmetros!$B$5,"")</f>
        <v>30.19</v>
      </c>
      <c r="N135" s="40" t="n">
        <f aca="false">IF(ISNUMBER($K135),$K135*Parâmetros!$C$5,"")</f>
        <v>9.057</v>
      </c>
      <c r="O135" s="40" t="n">
        <f aca="false">IF(ISNUMBER($K135),IF(ISNUMBER(Parâmetros!$E$5),Parâmetros!$E$5,0),"")</f>
        <v>0</v>
      </c>
      <c r="P135" s="41" t="n">
        <f aca="false">IF(ISNUMBER($K135),$K135-$D135-IF(ISNUMBER($E135),$E135,0)-$L135-$M135-$N135-$O135,"")</f>
        <v>61.358</v>
      </c>
      <c r="Q135" s="42" t="n">
        <f aca="false">IF(AND(ISNUMBER($K135),$K135&gt;0),$P135/$K135,"")</f>
        <v>0.203239483272607</v>
      </c>
      <c r="R135" s="43"/>
      <c r="S135" s="44" t="str">
        <f aca="false">IF(OR(NOT(ISNUMBER($R135)),$R135=0,NOT(ISNUMBER($K135))),"",$K135*(1-$R135))</f>
        <v/>
      </c>
      <c r="T135" s="45" t="str">
        <f aca="false">IF(ISNUMBER($S135),$S135*$H135,"")</f>
        <v/>
      </c>
      <c r="U135" s="45" t="str">
        <f aca="false">IF(ISNUMBER($S135),$S135*Parâmetros!$B$5,"")</f>
        <v/>
      </c>
      <c r="V135" s="45" t="str">
        <f aca="false">IF(ISNUMBER($S135),$S135*Parâmetros!$C$5,"")</f>
        <v/>
      </c>
      <c r="W135" s="44" t="str">
        <f aca="false">IF(ISNUMBER($S135),$S135-$D135-IF(ISNUMBER($E135),$E135,0)-$O135-$T135-$U135-$V135,"")</f>
        <v/>
      </c>
      <c r="X135" s="46" t="str">
        <f aca="false">IF(AND(ISNUMBER($S135),$S135&gt;0),$W135/$S135,"")</f>
        <v/>
      </c>
      <c r="Y135" s="49" t="s">
        <v>739</v>
      </c>
      <c r="Z135" s="21"/>
    </row>
    <row r="136" customFormat="false" ht="15.75" hidden="false" customHeight="true" outlineLevel="0" collapsed="false">
      <c r="A136" s="32" t="str">
        <f aca="false">IF(Produtos!$A136="","",Produtos!$A136)</f>
        <v>L2450-AC</v>
      </c>
      <c r="B136" s="32" t="str">
        <f aca="false">IF(Produtos!$A136="","",Produtos!$B136)</f>
        <v>Lixeira c/Aro Colorido 24x50 25L</v>
      </c>
      <c r="C136" s="32" t="str">
        <f aca="false">IF(Produtos!$A136="","",Produtos!$C136)</f>
        <v>Lixeiras em inox</v>
      </c>
      <c r="D136" s="33" t="n">
        <f aca="false">IF(Produtos!$A136="","",IF(Produtos!$D136="","",Produtos!$D136))</f>
        <v>145.95</v>
      </c>
      <c r="E136" s="11" t="n">
        <v>40.85</v>
      </c>
      <c r="F136" s="34" t="n">
        <f aca="false">IF($A136="","",IF($C136="","⚠ categoria",IFERROR(INDEX(Parâmetros!$C$13:$C$22,MATCH($C136,Parâmetros!$A$13:$A$22,0)),"⚠ categoria")))</f>
        <v>0.18</v>
      </c>
      <c r="G136" s="35" t="n">
        <v>0.15</v>
      </c>
      <c r="H136" s="36" t="n">
        <f aca="false">IF($A136="","",IF(ISNUMBER($G136),$G136,IF(ISNUMBER($F136),$F136,"")))</f>
        <v>0.15</v>
      </c>
      <c r="I136" s="37" t="n">
        <f aca="false">IF(OR($A136="",NOT(ISNUMBER($D136)),NOT(ISNUMBER($H136))),"",IF((1-$H136-Parâmetros!$B$5-Parâmetros!$C$5-Parâmetros!$D$5)&lt;=0,"INVALIDO",($D136+IF(ISNUMBER($E136),$E136,0)+IF(ISNUMBER(Parâmetros!$E$5),Parâmetros!$E$5,0))/(1-$H136-Parâmetros!$B$5-Parâmetros!$C$5-Parâmetros!$D$5)))</f>
        <v>359.230769230769</v>
      </c>
      <c r="J136" s="38" t="n">
        <v>365.299293</v>
      </c>
      <c r="K136" s="39" t="n">
        <f aca="false">IF(OR($A136="",NOT(ISNUMBER($D136)),NOT(ISNUMBER($H136))),"",IF(AND(ISNUMBER($J136),$J136&gt;0),$J136,IF(ISNUMBER($I136),$I136,"")))</f>
        <v>365.299293</v>
      </c>
      <c r="L136" s="40" t="n">
        <f aca="false">IF(ISNUMBER($K136),$K136*$H136,"")</f>
        <v>54.79489395</v>
      </c>
      <c r="M136" s="40" t="n">
        <f aca="false">IF(ISNUMBER($K136),$K136*Parâmetros!$B$5,"")</f>
        <v>36.5299293</v>
      </c>
      <c r="N136" s="40" t="n">
        <f aca="false">IF(ISNUMBER($K136),$K136*Parâmetros!$C$5,"")</f>
        <v>10.95897879</v>
      </c>
      <c r="O136" s="40" t="n">
        <f aca="false">IF(ISNUMBER($K136),IF(ISNUMBER(Parâmetros!$E$5),Parâmetros!$E$5,0),"")</f>
        <v>0</v>
      </c>
      <c r="P136" s="41" t="n">
        <f aca="false">IF(ISNUMBER($K136),$K136-$D136-IF(ISNUMBER($E136),$E136,0)-$L136-$M136-$N136-$O136,"")</f>
        <v>76.21549096</v>
      </c>
      <c r="Q136" s="42" t="n">
        <f aca="false">IF(AND(ISNUMBER($K136),$K136&gt;0),$P136/$K136,"")</f>
        <v>0.20863848471779</v>
      </c>
      <c r="R136" s="43"/>
      <c r="S136" s="44" t="str">
        <f aca="false">IF(OR(NOT(ISNUMBER($R136)),$R136=0,NOT(ISNUMBER($K136))),"",$K136*(1-$R136))</f>
        <v/>
      </c>
      <c r="T136" s="45" t="str">
        <f aca="false">IF(ISNUMBER($S136),$S136*$H136,"")</f>
        <v/>
      </c>
      <c r="U136" s="45" t="str">
        <f aca="false">IF(ISNUMBER($S136),$S136*Parâmetros!$B$5,"")</f>
        <v/>
      </c>
      <c r="V136" s="45" t="str">
        <f aca="false">IF(ISNUMBER($S136),$S136*Parâmetros!$C$5,"")</f>
        <v/>
      </c>
      <c r="W136" s="44" t="str">
        <f aca="false">IF(ISNUMBER($S136),$S136-$D136-IF(ISNUMBER($E136),$E136,0)-$O136-$T136-$U136-$V136,"")</f>
        <v/>
      </c>
      <c r="X136" s="46" t="str">
        <f aca="false">IF(AND(ISNUMBER($S136),$S136&gt;0),$W136/$S136,"")</f>
        <v/>
      </c>
      <c r="Y136" s="47" t="s">
        <v>741</v>
      </c>
      <c r="Z136" s="19"/>
    </row>
    <row r="137" customFormat="false" ht="15.75" hidden="false" customHeight="true" outlineLevel="0" collapsed="false">
      <c r="A137" s="48" t="str">
        <f aca="false">IF(Produtos!$A137="","",Produtos!$A137)</f>
        <v>L2460-AC</v>
      </c>
      <c r="B137" s="48" t="str">
        <f aca="false">IF(Produtos!$A137="","",Produtos!$B137)</f>
        <v>Lixeira c/Aro Colorido 24x60 27L</v>
      </c>
      <c r="C137" s="48" t="str">
        <f aca="false">IF(Produtos!$A137="","",Produtos!$C137)</f>
        <v>Lixeiras em inox</v>
      </c>
      <c r="D137" s="33" t="n">
        <f aca="false">IF(Produtos!$A137="","",IF(Produtos!$D137="","",Produtos!$D137))</f>
        <v>147.48</v>
      </c>
      <c r="E137" s="11" t="n">
        <v>49.35</v>
      </c>
      <c r="F137" s="34" t="n">
        <f aca="false">IF($A137="","",IF($C137="","⚠ categoria",IFERROR(INDEX(Parâmetros!$C$13:$C$22,MATCH($C137,Parâmetros!$A$13:$A$22,0)),"⚠ categoria")))</f>
        <v>0.18</v>
      </c>
      <c r="G137" s="35" t="n">
        <v>0.15</v>
      </c>
      <c r="H137" s="36" t="n">
        <f aca="false">IF($A137="","",IF(ISNUMBER($G137),$G137,IF(ISNUMBER($F137),$F137,"")))</f>
        <v>0.15</v>
      </c>
      <c r="I137" s="37" t="n">
        <f aca="false">IF(OR($A137="",NOT(ISNUMBER($D137)),NOT(ISNUMBER($H137))),"",IF((1-$H137-Parâmetros!$B$5-Parâmetros!$C$5-Parâmetros!$D$5)&lt;=0,"INVALIDO",($D137+IF(ISNUMBER($E137),$E137,0)+IF(ISNUMBER(Parâmetros!$E$5),Parâmetros!$E$5,0))/(1-$H137-Parâmetros!$B$5-Parâmetros!$C$5-Parâmetros!$D$5)))</f>
        <v>378.519230769231</v>
      </c>
      <c r="J137" s="38" t="n">
        <v>384.7179715</v>
      </c>
      <c r="K137" s="39" t="n">
        <f aca="false">IF(OR($A137="",NOT(ISNUMBER($D137)),NOT(ISNUMBER($H137))),"",IF(AND(ISNUMBER($J137),$J137&gt;0),$J137,IF(ISNUMBER($I137),$I137,"")))</f>
        <v>384.7179715</v>
      </c>
      <c r="L137" s="40" t="n">
        <f aca="false">IF(ISNUMBER($K137),$K137*$H137,"")</f>
        <v>57.707695725</v>
      </c>
      <c r="M137" s="40" t="n">
        <f aca="false">IF(ISNUMBER($K137),$K137*Parâmetros!$B$5,"")</f>
        <v>38.47179715</v>
      </c>
      <c r="N137" s="40" t="n">
        <f aca="false">IF(ISNUMBER($K137),$K137*Parâmetros!$C$5,"")</f>
        <v>11.541539145</v>
      </c>
      <c r="O137" s="40" t="n">
        <f aca="false">IF(ISNUMBER($K137),IF(ISNUMBER(Parâmetros!$E$5),Parâmetros!$E$5,0),"")</f>
        <v>0</v>
      </c>
      <c r="P137" s="41" t="n">
        <f aca="false">IF(ISNUMBER($K137),$K137-$D137-IF(ISNUMBER($E137),$E137,0)-$L137-$M137-$N137-$O137,"")</f>
        <v>80.16693948</v>
      </c>
      <c r="Q137" s="42" t="n">
        <f aca="false">IF(AND(ISNUMBER($K137),$K137&gt;0),$P137/$K137,"")</f>
        <v>0.208378462714992</v>
      </c>
      <c r="R137" s="43"/>
      <c r="S137" s="44" t="str">
        <f aca="false">IF(OR(NOT(ISNUMBER($R137)),$R137=0,NOT(ISNUMBER($K137))),"",$K137*(1-$R137))</f>
        <v/>
      </c>
      <c r="T137" s="45" t="str">
        <f aca="false">IF(ISNUMBER($S137),$S137*$H137,"")</f>
        <v/>
      </c>
      <c r="U137" s="45" t="str">
        <f aca="false">IF(ISNUMBER($S137),$S137*Parâmetros!$B$5,"")</f>
        <v/>
      </c>
      <c r="V137" s="45" t="str">
        <f aca="false">IF(ISNUMBER($S137),$S137*Parâmetros!$C$5,"")</f>
        <v/>
      </c>
      <c r="W137" s="44" t="str">
        <f aca="false">IF(ISNUMBER($S137),$S137-$D137-IF(ISNUMBER($E137),$E137,0)-$O137-$T137-$U137-$V137,"")</f>
        <v/>
      </c>
      <c r="X137" s="46" t="str">
        <f aca="false">IF(AND(ISNUMBER($S137),$S137&gt;0),$W137/$S137,"")</f>
        <v/>
      </c>
      <c r="Y137" s="49" t="s">
        <v>739</v>
      </c>
      <c r="Z137" s="21"/>
    </row>
    <row r="138" customFormat="false" ht="15.75" hidden="false" customHeight="true" outlineLevel="0" collapsed="false">
      <c r="A138" s="32" t="str">
        <f aca="false">IF(Produtos!$A138="","",Produtos!$A138)</f>
        <v>L2470-AC</v>
      </c>
      <c r="B138" s="32" t="str">
        <f aca="false">IF(Produtos!$A138="","",Produtos!$B138)</f>
        <v>Lixeira c/Aro Colorido 24x70 30L</v>
      </c>
      <c r="C138" s="32" t="str">
        <f aca="false">IF(Produtos!$A138="","",Produtos!$C138)</f>
        <v>Lixeiras em inox</v>
      </c>
      <c r="D138" s="33" t="n">
        <f aca="false">IF(Produtos!$A138="","",IF(Produtos!$D138="","",Produtos!$D138))</f>
        <v>220.29</v>
      </c>
      <c r="E138" s="11" t="n">
        <v>49.35</v>
      </c>
      <c r="F138" s="34" t="n">
        <f aca="false">IF($A138="","",IF($C138="","⚠ categoria",IFERROR(INDEX(Parâmetros!$C$13:$C$22,MATCH($C138,Parâmetros!$A$13:$A$22,0)),"⚠ categoria")))</f>
        <v>0.18</v>
      </c>
      <c r="G138" s="35" t="n">
        <v>0.15</v>
      </c>
      <c r="H138" s="36" t="n">
        <f aca="false">IF($A138="","",IF(ISNUMBER($G138),$G138,IF(ISNUMBER($F138),$F138,"")))</f>
        <v>0.15</v>
      </c>
      <c r="I138" s="37" t="n">
        <f aca="false">IF(OR($A138="",NOT(ISNUMBER($D138)),NOT(ISNUMBER($H138))),"",IF((1-$H138-Parâmetros!$B$5-Parâmetros!$C$5-Parâmetros!$D$5)&lt;=0,"INVALIDO",($D138+IF(ISNUMBER($E138),$E138,0)+IF(ISNUMBER(Parâmetros!$E$5),Parâmetros!$E$5,0))/(1-$H138-Parâmetros!$B$5-Parâmetros!$C$5-Parâmetros!$D$5)))</f>
        <v>518.538461538462</v>
      </c>
      <c r="J138" s="38" t="n">
        <v>518.9894225</v>
      </c>
      <c r="K138" s="39" t="n">
        <f aca="false">IF(OR($A138="",NOT(ISNUMBER($D138)),NOT(ISNUMBER($H138))),"",IF(AND(ISNUMBER($J138),$J138&gt;0),$J138,IF(ISNUMBER($I138),$I138,"")))</f>
        <v>518.9894225</v>
      </c>
      <c r="L138" s="40" t="n">
        <f aca="false">IF(ISNUMBER($K138),$K138*$H138,"")</f>
        <v>77.848413375</v>
      </c>
      <c r="M138" s="40" t="n">
        <f aca="false">IF(ISNUMBER($K138),$K138*Parâmetros!$B$5,"")</f>
        <v>51.89894225</v>
      </c>
      <c r="N138" s="40" t="n">
        <f aca="false">IF(ISNUMBER($K138),$K138*Parâmetros!$C$5,"")</f>
        <v>15.569682675</v>
      </c>
      <c r="O138" s="40" t="n">
        <f aca="false">IF(ISNUMBER($K138),IF(ISNUMBER(Parâmetros!$E$5),Parâmetros!$E$5,0),"")</f>
        <v>0</v>
      </c>
      <c r="P138" s="41" t="n">
        <f aca="false">IF(ISNUMBER($K138),$K138-$D138-IF(ISNUMBER($E138),$E138,0)-$L138-$M138-$N138-$O138,"")</f>
        <v>104.0323842</v>
      </c>
      <c r="Q138" s="42" t="n">
        <f aca="false">IF(AND(ISNUMBER($K138),$K138&gt;0),$P138/$K138,"")</f>
        <v>0.200451839073849</v>
      </c>
      <c r="R138" s="43"/>
      <c r="S138" s="44" t="str">
        <f aca="false">IF(OR(NOT(ISNUMBER($R138)),$R138=0,NOT(ISNUMBER($K138))),"",$K138*(1-$R138))</f>
        <v/>
      </c>
      <c r="T138" s="45" t="str">
        <f aca="false">IF(ISNUMBER($S138),$S138*$H138,"")</f>
        <v/>
      </c>
      <c r="U138" s="45" t="str">
        <f aca="false">IF(ISNUMBER($S138),$S138*Parâmetros!$B$5,"")</f>
        <v/>
      </c>
      <c r="V138" s="45" t="str">
        <f aca="false">IF(ISNUMBER($S138),$S138*Parâmetros!$C$5,"")</f>
        <v/>
      </c>
      <c r="W138" s="44" t="str">
        <f aca="false">IF(ISNUMBER($S138),$S138-$D138-IF(ISNUMBER($E138),$E138,0)-$O138-$T138-$U138-$V138,"")</f>
        <v/>
      </c>
      <c r="X138" s="46" t="str">
        <f aca="false">IF(AND(ISNUMBER($S138),$S138&gt;0),$W138/$S138,"")</f>
        <v/>
      </c>
      <c r="Y138" s="47" t="s">
        <v>741</v>
      </c>
      <c r="Z138" s="19"/>
    </row>
    <row r="139" customFormat="false" ht="15.75" hidden="false" customHeight="true" outlineLevel="0" collapsed="false">
      <c r="A139" s="48" t="str">
        <f aca="false">IF(Produtos!$A139="","",Produtos!$A139)</f>
        <v>L3040-AC</v>
      </c>
      <c r="B139" s="48" t="str">
        <f aca="false">IF(Produtos!$A139="","",Produtos!$B139)</f>
        <v>Lixeira c/Aro Colorido 30x40 30L</v>
      </c>
      <c r="C139" s="48" t="str">
        <f aca="false">IF(Produtos!$A139="","",Produtos!$C139)</f>
        <v>Lixeiras em inox</v>
      </c>
      <c r="D139" s="33" t="n">
        <f aca="false">IF(Produtos!$A139="","",IF(Produtos!$D139="","",Produtos!$D139))</f>
        <v>162.44</v>
      </c>
      <c r="E139" s="11" t="n">
        <v>45.25</v>
      </c>
      <c r="F139" s="34" t="n">
        <f aca="false">IF($A139="","",IF($C139="","⚠ categoria",IFERROR(INDEX(Parâmetros!$C$13:$C$22,MATCH($C139,Parâmetros!$A$13:$A$22,0)),"⚠ categoria")))</f>
        <v>0.18</v>
      </c>
      <c r="G139" s="35" t="n">
        <v>0.15</v>
      </c>
      <c r="H139" s="36" t="n">
        <f aca="false">IF($A139="","",IF(ISNUMBER($G139),$G139,IF(ISNUMBER($F139),$F139,"")))</f>
        <v>0.15</v>
      </c>
      <c r="I139" s="37" t="n">
        <f aca="false">IF(OR($A139="",NOT(ISNUMBER($D139)),NOT(ISNUMBER($H139))),"",IF((1-$H139-Parâmetros!$B$5-Parâmetros!$C$5-Parâmetros!$D$5)&lt;=0,"INVALIDO",($D139+IF(ISNUMBER($E139),$E139,0)+IF(ISNUMBER(Parâmetros!$E$5),Parâmetros!$E$5,0))/(1-$H139-Parâmetros!$B$5-Parâmetros!$C$5-Parâmetros!$D$5)))</f>
        <v>399.403846153846</v>
      </c>
      <c r="J139" s="38" t="n">
        <v>400.987615</v>
      </c>
      <c r="K139" s="39" t="n">
        <f aca="false">IF(OR($A139="",NOT(ISNUMBER($D139)),NOT(ISNUMBER($H139))),"",IF(AND(ISNUMBER($J139),$J139&gt;0),$J139,IF(ISNUMBER($I139),$I139,"")))</f>
        <v>400.987615</v>
      </c>
      <c r="L139" s="40" t="n">
        <f aca="false">IF(ISNUMBER($K139),$K139*$H139,"")</f>
        <v>60.14814225</v>
      </c>
      <c r="M139" s="40" t="n">
        <f aca="false">IF(ISNUMBER($K139),$K139*Parâmetros!$B$5,"")</f>
        <v>40.0987615</v>
      </c>
      <c r="N139" s="40" t="n">
        <f aca="false">IF(ISNUMBER($K139),$K139*Parâmetros!$C$5,"")</f>
        <v>12.02962845</v>
      </c>
      <c r="O139" s="40" t="n">
        <f aca="false">IF(ISNUMBER($K139),IF(ISNUMBER(Parâmetros!$E$5),Parâmetros!$E$5,0),"")</f>
        <v>0</v>
      </c>
      <c r="P139" s="41" t="n">
        <f aca="false">IF(ISNUMBER($K139),$K139-$D139-IF(ISNUMBER($E139),$E139,0)-$L139-$M139-$N139-$O139,"")</f>
        <v>81.0210828</v>
      </c>
      <c r="Q139" s="42" t="n">
        <f aca="false">IF(AND(ISNUMBER($K139),$K139&gt;0),$P139/$K139,"")</f>
        <v>0.202053828520365</v>
      </c>
      <c r="R139" s="43"/>
      <c r="S139" s="44" t="str">
        <f aca="false">IF(OR(NOT(ISNUMBER($R139)),$R139=0,NOT(ISNUMBER($K139))),"",$K139*(1-$R139))</f>
        <v/>
      </c>
      <c r="T139" s="45" t="str">
        <f aca="false">IF(ISNUMBER($S139),$S139*$H139,"")</f>
        <v/>
      </c>
      <c r="U139" s="45" t="str">
        <f aca="false">IF(ISNUMBER($S139),$S139*Parâmetros!$B$5,"")</f>
        <v/>
      </c>
      <c r="V139" s="45" t="str">
        <f aca="false">IF(ISNUMBER($S139),$S139*Parâmetros!$C$5,"")</f>
        <v/>
      </c>
      <c r="W139" s="44" t="str">
        <f aca="false">IF(ISNUMBER($S139),$S139-$D139-IF(ISNUMBER($E139),$E139,0)-$O139-$T139-$U139-$V139,"")</f>
        <v/>
      </c>
      <c r="X139" s="46" t="str">
        <f aca="false">IF(AND(ISNUMBER($S139),$S139&gt;0),$W139/$S139,"")</f>
        <v/>
      </c>
      <c r="Y139" s="49" t="s">
        <v>741</v>
      </c>
      <c r="Z139" s="21"/>
    </row>
    <row r="140" customFormat="false" ht="15.75" hidden="false" customHeight="true" outlineLevel="0" collapsed="false">
      <c r="A140" s="32" t="str">
        <f aca="false">IF(Produtos!$A140="","",Produtos!$A140)</f>
        <v>L3050-AC</v>
      </c>
      <c r="B140" s="32" t="str">
        <f aca="false">IF(Produtos!$A140="","",Produtos!$B140)</f>
        <v>Lixeira c/Aro Colorido 30x50 35L</v>
      </c>
      <c r="C140" s="32" t="str">
        <f aca="false">IF(Produtos!$A140="","",Produtos!$C140)</f>
        <v>Lixeiras em inox</v>
      </c>
      <c r="D140" s="33" t="n">
        <f aca="false">IF(Produtos!$A140="","",IF(Produtos!$D140="","",Produtos!$D140))</f>
        <v>206.89</v>
      </c>
      <c r="E140" s="11" t="n">
        <v>65.85</v>
      </c>
      <c r="F140" s="34" t="n">
        <f aca="false">IF($A140="","",IF($C140="","⚠ categoria",IFERROR(INDEX(Parâmetros!$C$13:$C$22,MATCH($C140,Parâmetros!$A$13:$A$22,0)),"⚠ categoria")))</f>
        <v>0.18</v>
      </c>
      <c r="G140" s="35" t="n">
        <v>0.15</v>
      </c>
      <c r="H140" s="36" t="n">
        <f aca="false">IF($A140="","",IF(ISNUMBER($G140),$G140,IF(ISNUMBER($F140),$F140,"")))</f>
        <v>0.15</v>
      </c>
      <c r="I140" s="37" t="n">
        <f aca="false">IF(OR($A140="",NOT(ISNUMBER($D140)),NOT(ISNUMBER($H140))),"",IF((1-$H140-Parâmetros!$B$5-Parâmetros!$C$5-Parâmetros!$D$5)&lt;=0,"INVALIDO",($D140+IF(ISNUMBER($E140),$E140,0)+IF(ISNUMBER(Parâmetros!$E$5),Parâmetros!$E$5,0))/(1-$H140-Parâmetros!$B$5-Parâmetros!$C$5-Parâmetros!$D$5)))</f>
        <v>524.5</v>
      </c>
      <c r="J140" s="38" t="n">
        <v>498.943431</v>
      </c>
      <c r="K140" s="39" t="n">
        <f aca="false">IF(OR($A140="",NOT(ISNUMBER($D140)),NOT(ISNUMBER($H140))),"",IF(AND(ISNUMBER($J140),$J140&gt;0),$J140,IF(ISNUMBER($I140),$I140,"")))</f>
        <v>498.943431</v>
      </c>
      <c r="L140" s="40" t="n">
        <f aca="false">IF(ISNUMBER($K140),$K140*$H140,"")</f>
        <v>74.84151465</v>
      </c>
      <c r="M140" s="40" t="n">
        <f aca="false">IF(ISNUMBER($K140),$K140*Parâmetros!$B$5,"")</f>
        <v>49.8943431</v>
      </c>
      <c r="N140" s="40" t="n">
        <f aca="false">IF(ISNUMBER($K140),$K140*Parâmetros!$C$5,"")</f>
        <v>14.96830293</v>
      </c>
      <c r="O140" s="40" t="n">
        <f aca="false">IF(ISNUMBER($K140),IF(ISNUMBER(Parâmetros!$E$5),Parâmetros!$E$5,0),"")</f>
        <v>0</v>
      </c>
      <c r="P140" s="41" t="n">
        <f aca="false">IF(ISNUMBER($K140),$K140-$D140-IF(ISNUMBER($E140),$E140,0)-$L140-$M140-$N140-$O140,"")</f>
        <v>86.4992703200001</v>
      </c>
      <c r="Q140" s="42" t="n">
        <f aca="false">IF(AND(ISNUMBER($K140),$K140&gt;0),$P140/$K140,"")</f>
        <v>0.173364884565441</v>
      </c>
      <c r="R140" s="43"/>
      <c r="S140" s="44" t="str">
        <f aca="false">IF(OR(NOT(ISNUMBER($R140)),$R140=0,NOT(ISNUMBER($K140))),"",$K140*(1-$R140))</f>
        <v/>
      </c>
      <c r="T140" s="45" t="str">
        <f aca="false">IF(ISNUMBER($S140),$S140*$H140,"")</f>
        <v/>
      </c>
      <c r="U140" s="45" t="str">
        <f aca="false">IF(ISNUMBER($S140),$S140*Parâmetros!$B$5,"")</f>
        <v/>
      </c>
      <c r="V140" s="45" t="str">
        <f aca="false">IF(ISNUMBER($S140),$S140*Parâmetros!$C$5,"")</f>
        <v/>
      </c>
      <c r="W140" s="44" t="str">
        <f aca="false">IF(ISNUMBER($S140),$S140-$D140-IF(ISNUMBER($E140),$E140,0)-$O140-$T140-$U140-$V140,"")</f>
        <v/>
      </c>
      <c r="X140" s="46" t="str">
        <f aca="false">IF(AND(ISNUMBER($S140),$S140&gt;0),$W140/$S140,"")</f>
        <v/>
      </c>
      <c r="Y140" s="47" t="s">
        <v>741</v>
      </c>
      <c r="Z140" s="19"/>
    </row>
    <row r="141" customFormat="false" ht="15.75" hidden="false" customHeight="true" outlineLevel="0" collapsed="false">
      <c r="A141" s="48" t="str">
        <f aca="false">IF(Produtos!$A141="","",Produtos!$A141)</f>
        <v>L3060-AC</v>
      </c>
      <c r="B141" s="48" t="str">
        <f aca="false">IF(Produtos!$A141="","",Produtos!$B141)</f>
        <v>Lixeira c/Aro Colorido 30x60 40L</v>
      </c>
      <c r="C141" s="48" t="str">
        <f aca="false">IF(Produtos!$A141="","",Produtos!$C141)</f>
        <v>Lixeiras em inox</v>
      </c>
      <c r="D141" s="33" t="n">
        <f aca="false">IF(Produtos!$A141="","",IF(Produtos!$D141="","",Produtos!$D141))</f>
        <v>223.7</v>
      </c>
      <c r="E141" s="11"/>
      <c r="F141" s="34" t="n">
        <f aca="false">IF($A141="","",IF($C141="","⚠ categoria",IFERROR(INDEX(Parâmetros!$C$13:$C$22,MATCH($C141,Parâmetros!$A$13:$A$22,0)),"⚠ categoria")))</f>
        <v>0.18</v>
      </c>
      <c r="G141" s="35"/>
      <c r="H141" s="36" t="n">
        <f aca="false">IF($A141="","",IF(ISNUMBER($G141),$G141,IF(ISNUMBER($F141),$F141,"")))</f>
        <v>0.18</v>
      </c>
      <c r="I141" s="37" t="n">
        <f aca="false">IF(OR($A141="",NOT(ISNUMBER($D141)),NOT(ISNUMBER($H141))),"",IF((1-$H141-Parâmetros!$B$5-Parâmetros!$C$5-Parâmetros!$D$5)&lt;=0,"INVALIDO",($D141+IF(ISNUMBER($E141),$E141,0)+IF(ISNUMBER(Parâmetros!$E$5),Parâmetros!$E$5,0))/(1-$H141-Parâmetros!$B$5-Parâmetros!$C$5-Parâmetros!$D$5)))</f>
        <v>456.530612244898</v>
      </c>
      <c r="J141" s="38"/>
      <c r="K141" s="39" t="n">
        <f aca="false">IF(OR($A141="",NOT(ISNUMBER($D141)),NOT(ISNUMBER($H141))),"",IF(AND(ISNUMBER($J141),$J141&gt;0),$J141,IF(ISNUMBER($I141),$I141,"")))</f>
        <v>456.530612244898</v>
      </c>
      <c r="L141" s="40" t="n">
        <f aca="false">IF(ISNUMBER($K141),$K141*$H141,"")</f>
        <v>82.1755102040816</v>
      </c>
      <c r="M141" s="40" t="n">
        <f aca="false">IF(ISNUMBER($K141),$K141*Parâmetros!$B$5,"")</f>
        <v>45.6530612244898</v>
      </c>
      <c r="N141" s="40" t="n">
        <f aca="false">IF(ISNUMBER($K141),$K141*Parâmetros!$C$5,"")</f>
        <v>13.6959183673469</v>
      </c>
      <c r="O141" s="40" t="n">
        <f aca="false">IF(ISNUMBER($K141),IF(ISNUMBER(Parâmetros!$E$5),Parâmetros!$E$5,0),"")</f>
        <v>0</v>
      </c>
      <c r="P141" s="41" t="n">
        <f aca="false">IF(ISNUMBER($K141),$K141-$D141-IF(ISNUMBER($E141),$E141,0)-$L141-$M141-$N141-$O141,"")</f>
        <v>91.3061224489796</v>
      </c>
      <c r="Q141" s="42" t="n">
        <f aca="false">IF(AND(ISNUMBER($K141),$K141&gt;0),$P141/$K141,"")</f>
        <v>0.2</v>
      </c>
      <c r="R141" s="43"/>
      <c r="S141" s="44" t="str">
        <f aca="false">IF(OR(NOT(ISNUMBER($R141)),$R141=0,NOT(ISNUMBER($K141))),"",$K141*(1-$R141))</f>
        <v/>
      </c>
      <c r="T141" s="45" t="str">
        <f aca="false">IF(ISNUMBER($S141),$S141*$H141,"")</f>
        <v/>
      </c>
      <c r="U141" s="45" t="str">
        <f aca="false">IF(ISNUMBER($S141),$S141*Parâmetros!$B$5,"")</f>
        <v/>
      </c>
      <c r="V141" s="45" t="str">
        <f aca="false">IF(ISNUMBER($S141),$S141*Parâmetros!$C$5,"")</f>
        <v/>
      </c>
      <c r="W141" s="44" t="str">
        <f aca="false">IF(ISNUMBER($S141),$S141-$D141-IF(ISNUMBER($E141),$E141,0)-$O141-$T141-$U141-$V141,"")</f>
        <v/>
      </c>
      <c r="X141" s="46" t="str">
        <f aca="false">IF(AND(ISNUMBER($S141),$S141&gt;0),$W141/$S141,"")</f>
        <v/>
      </c>
      <c r="Y141" s="49"/>
      <c r="Z141" s="21"/>
    </row>
    <row r="142" customFormat="false" ht="15.75" hidden="false" customHeight="true" outlineLevel="0" collapsed="false">
      <c r="A142" s="32" t="str">
        <f aca="false">IF(Produtos!$A142="","",Produtos!$A142)</f>
        <v>L3070-AC</v>
      </c>
      <c r="B142" s="32" t="str">
        <f aca="false">IF(Produtos!$A142="","",Produtos!$B142)</f>
        <v>Lixeira c/Aro Colorido 30x70 50L</v>
      </c>
      <c r="C142" s="32" t="str">
        <f aca="false">IF(Produtos!$A142="","",Produtos!$C142)</f>
        <v>Lixeiras em inox</v>
      </c>
      <c r="D142" s="33" t="n">
        <f aca="false">IF(Produtos!$A142="","",IF(Produtos!$D142="","",Produtos!$D142))</f>
        <v>269.32</v>
      </c>
      <c r="E142" s="11" t="n">
        <v>91.95</v>
      </c>
      <c r="F142" s="34" t="n">
        <f aca="false">IF($A142="","",IF($C142="","⚠ categoria",IFERROR(INDEX(Parâmetros!$C$13:$C$22,MATCH($C142,Parâmetros!$A$13:$A$22,0)),"⚠ categoria")))</f>
        <v>0.18</v>
      </c>
      <c r="G142" s="35" t="n">
        <v>0.15</v>
      </c>
      <c r="H142" s="36" t="n">
        <f aca="false">IF($A142="","",IF(ISNUMBER($G142),$G142,IF(ISNUMBER($F142),$F142,"")))</f>
        <v>0.15</v>
      </c>
      <c r="I142" s="37" t="n">
        <f aca="false">IF(OR($A142="",NOT(ISNUMBER($D142)),NOT(ISNUMBER($H142))),"",IF((1-$H142-Parâmetros!$B$5-Parâmetros!$C$5-Parâmetros!$D$5)&lt;=0,"INVALIDO",($D142+IF(ISNUMBER($E142),$E142,0)+IF(ISNUMBER(Parâmetros!$E$5),Parâmetros!$E$5,0))/(1-$H142-Parâmetros!$B$5-Parâmetros!$C$5-Parâmetros!$D$5)))</f>
        <v>694.75</v>
      </c>
      <c r="J142" s="38" t="n">
        <v>613.59913125</v>
      </c>
      <c r="K142" s="39" t="n">
        <f aca="false">IF(OR($A142="",NOT(ISNUMBER($D142)),NOT(ISNUMBER($H142))),"",IF(AND(ISNUMBER($J142),$J142&gt;0),$J142,IF(ISNUMBER($I142),$I142,"")))</f>
        <v>613.59913125</v>
      </c>
      <c r="L142" s="40" t="n">
        <f aca="false">IF(ISNUMBER($K142),$K142*$H142,"")</f>
        <v>92.0398696875</v>
      </c>
      <c r="M142" s="40" t="n">
        <f aca="false">IF(ISNUMBER($K142),$K142*Parâmetros!$B$5,"")</f>
        <v>61.359913125</v>
      </c>
      <c r="N142" s="40" t="n">
        <f aca="false">IF(ISNUMBER($K142),$K142*Parâmetros!$C$5,"")</f>
        <v>18.4079739375</v>
      </c>
      <c r="O142" s="40" t="n">
        <f aca="false">IF(ISNUMBER($K142),IF(ISNUMBER(Parâmetros!$E$5),Parâmetros!$E$5,0),"")</f>
        <v>0</v>
      </c>
      <c r="P142" s="41" t="n">
        <f aca="false">IF(ISNUMBER($K142),$K142-$D142-IF(ISNUMBER($E142),$E142,0)-$L142-$M142-$N142-$O142,"")</f>
        <v>80.5213745</v>
      </c>
      <c r="Q142" s="42" t="n">
        <f aca="false">IF(AND(ISNUMBER($K142),$K142&gt;0),$P142/$K142,"")</f>
        <v>0.131227979961388</v>
      </c>
      <c r="R142" s="43"/>
      <c r="S142" s="44" t="str">
        <f aca="false">IF(OR(NOT(ISNUMBER($R142)),$R142=0,NOT(ISNUMBER($K142))),"",$K142*(1-$R142))</f>
        <v/>
      </c>
      <c r="T142" s="45" t="str">
        <f aca="false">IF(ISNUMBER($S142),$S142*$H142,"")</f>
        <v/>
      </c>
      <c r="U142" s="45" t="str">
        <f aca="false">IF(ISNUMBER($S142),$S142*Parâmetros!$B$5,"")</f>
        <v/>
      </c>
      <c r="V142" s="45" t="str">
        <f aca="false">IF(ISNUMBER($S142),$S142*Parâmetros!$C$5,"")</f>
        <v/>
      </c>
      <c r="W142" s="44" t="str">
        <f aca="false">IF(ISNUMBER($S142),$S142-$D142-IF(ISNUMBER($E142),$E142,0)-$O142-$T142-$U142-$V142,"")</f>
        <v/>
      </c>
      <c r="X142" s="46" t="str">
        <f aca="false">IF(AND(ISNUMBER($S142),$S142&gt;0),$W142/$S142,"")</f>
        <v/>
      </c>
      <c r="Y142" s="47" t="s">
        <v>741</v>
      </c>
      <c r="Z142" s="19"/>
    </row>
    <row r="143" customFormat="false" ht="15.75" hidden="false" customHeight="true" outlineLevel="0" collapsed="false">
      <c r="A143" s="48" t="str">
        <f aca="false">IF(Produtos!$A143="","",Produtos!$A143)</f>
        <v>L3085-AC</v>
      </c>
      <c r="B143" s="48" t="str">
        <f aca="false">IF(Produtos!$A143="","",Produtos!$B143)</f>
        <v>Lixeira c/Aro Colorido 30x85 60L</v>
      </c>
      <c r="C143" s="48" t="str">
        <f aca="false">IF(Produtos!$A143="","",Produtos!$C143)</f>
        <v>Lixeiras em inox</v>
      </c>
      <c r="D143" s="33" t="n">
        <f aca="false">IF(Produtos!$A143="","",IF(Produtos!$D143="","",Produtos!$D143))</f>
        <v>341.25</v>
      </c>
      <c r="E143" s="11" t="n">
        <v>91.95</v>
      </c>
      <c r="F143" s="34" t="n">
        <f aca="false">IF($A143="","",IF($C143="","⚠ categoria",IFERROR(INDEX(Parâmetros!$C$13:$C$22,MATCH($C143,Parâmetros!$A$13:$A$22,0)),"⚠ categoria")))</f>
        <v>0.18</v>
      </c>
      <c r="G143" s="35"/>
      <c r="H143" s="36" t="n">
        <f aca="false">IF($A143="","",IF(ISNUMBER($G143),$G143,IF(ISNUMBER($F143),$F143,"")))</f>
        <v>0.18</v>
      </c>
      <c r="I143" s="37" t="n">
        <f aca="false">IF(OR($A143="",NOT(ISNUMBER($D143)),NOT(ISNUMBER($H143))),"",IF((1-$H143-Parâmetros!$B$5-Parâmetros!$C$5-Parâmetros!$D$5)&lt;=0,"INVALIDO",($D143+IF(ISNUMBER($E143),$E143,0)+IF(ISNUMBER(Parâmetros!$E$5),Parâmetros!$E$5,0))/(1-$H143-Parâmetros!$B$5-Parâmetros!$C$5-Parâmetros!$D$5)))</f>
        <v>884.081632653061</v>
      </c>
      <c r="J143" s="38" t="n">
        <v>769.5891</v>
      </c>
      <c r="K143" s="39" t="n">
        <f aca="false">IF(OR($A143="",NOT(ISNUMBER($D143)),NOT(ISNUMBER($H143))),"",IF(AND(ISNUMBER($J143),$J143&gt;0),$J143,IF(ISNUMBER($I143),$I143,"")))</f>
        <v>769.5891</v>
      </c>
      <c r="L143" s="40" t="n">
        <f aca="false">IF(ISNUMBER($K143),$K143*$H143,"")</f>
        <v>138.526038</v>
      </c>
      <c r="M143" s="40" t="n">
        <f aca="false">IF(ISNUMBER($K143),$K143*Parâmetros!$B$5,"")</f>
        <v>76.95891</v>
      </c>
      <c r="N143" s="40" t="n">
        <f aca="false">IF(ISNUMBER($K143),$K143*Parâmetros!$C$5,"")</f>
        <v>23.087673</v>
      </c>
      <c r="O143" s="40" t="n">
        <f aca="false">IF(ISNUMBER($K143),IF(ISNUMBER(Parâmetros!$E$5),Parâmetros!$E$5,0),"")</f>
        <v>0</v>
      </c>
      <c r="P143" s="41" t="n">
        <f aca="false">IF(ISNUMBER($K143),$K143-$D143-IF(ISNUMBER($E143),$E143,0)-$L143-$M143-$N143-$O143,"")</f>
        <v>97.816479</v>
      </c>
      <c r="Q143" s="42" t="n">
        <f aca="false">IF(AND(ISNUMBER($K143),$K143&gt;0),$P143/$K143,"")</f>
        <v>0.127102214675338</v>
      </c>
      <c r="R143" s="43"/>
      <c r="S143" s="44" t="str">
        <f aca="false">IF(OR(NOT(ISNUMBER($R143)),$R143=0,NOT(ISNUMBER($K143))),"",$K143*(1-$R143))</f>
        <v/>
      </c>
      <c r="T143" s="45" t="str">
        <f aca="false">IF(ISNUMBER($S143),$S143*$H143,"")</f>
        <v/>
      </c>
      <c r="U143" s="45" t="str">
        <f aca="false">IF(ISNUMBER($S143),$S143*Parâmetros!$B$5,"")</f>
        <v/>
      </c>
      <c r="V143" s="45" t="str">
        <f aca="false">IF(ISNUMBER($S143),$S143*Parâmetros!$C$5,"")</f>
        <v/>
      </c>
      <c r="W143" s="44" t="str">
        <f aca="false">IF(ISNUMBER($S143),$S143-$D143-IF(ISNUMBER($E143),$E143,0)-$O143-$T143-$U143-$V143,"")</f>
        <v/>
      </c>
      <c r="X143" s="46" t="str">
        <f aca="false">IF(AND(ISNUMBER($S143),$S143&gt;0),$W143/$S143,"")</f>
        <v/>
      </c>
      <c r="Y143" s="49" t="s">
        <v>741</v>
      </c>
      <c r="Z143" s="21"/>
    </row>
    <row r="144" customFormat="false" ht="15.75" hidden="false" customHeight="true" outlineLevel="0" collapsed="false">
      <c r="A144" s="32" t="str">
        <f aca="false">IF(Produtos!$A144="","",Produtos!$A144)</f>
        <v>L4050-AC</v>
      </c>
      <c r="B144" s="32" t="str">
        <f aca="false">IF(Produtos!$A144="","",Produtos!$B144)</f>
        <v>Lixeira c/Aro Colorido 40x50 62L</v>
      </c>
      <c r="C144" s="32" t="str">
        <f aca="false">IF(Produtos!$A144="","",Produtos!$C144)</f>
        <v>Lixeiras em inox</v>
      </c>
      <c r="D144" s="33" t="n">
        <f aca="false">IF(Produtos!$A144="","",IF(Produtos!$D144="","",Produtos!$D144))</f>
        <v>349.81</v>
      </c>
      <c r="E144" s="11" t="n">
        <v>75.65</v>
      </c>
      <c r="F144" s="34" t="n">
        <f aca="false">IF($A144="","",IF($C144="","⚠ categoria",IFERROR(INDEX(Parâmetros!$C$13:$C$22,MATCH($C144,Parâmetros!$A$13:$A$22,0)),"⚠ categoria")))</f>
        <v>0.18</v>
      </c>
      <c r="G144" s="35"/>
      <c r="H144" s="36" t="n">
        <f aca="false">IF($A144="","",IF(ISNUMBER($G144),$G144,IF(ISNUMBER($F144),$F144,"")))</f>
        <v>0.18</v>
      </c>
      <c r="I144" s="37" t="n">
        <f aca="false">IF(OR($A144="",NOT(ISNUMBER($D144)),NOT(ISNUMBER($H144))),"",IF((1-$H144-Parâmetros!$B$5-Parâmetros!$C$5-Parâmetros!$D$5)&lt;=0,"INVALIDO",($D144+IF(ISNUMBER($E144),$E144,0)+IF(ISNUMBER(Parâmetros!$E$5),Parâmetros!$E$5,0))/(1-$H144-Parâmetros!$B$5-Parâmetros!$C$5-Parâmetros!$D$5)))</f>
        <v>868.285714285714</v>
      </c>
      <c r="J144" s="38" t="n">
        <v>808.84416375</v>
      </c>
      <c r="K144" s="39" t="n">
        <f aca="false">IF(OR($A144="",NOT(ISNUMBER($D144)),NOT(ISNUMBER($H144))),"",IF(AND(ISNUMBER($J144),$J144&gt;0),$J144,IF(ISNUMBER($I144),$I144,"")))</f>
        <v>808.84416375</v>
      </c>
      <c r="L144" s="40" t="n">
        <f aca="false">IF(ISNUMBER($K144),$K144*$H144,"")</f>
        <v>145.591949475</v>
      </c>
      <c r="M144" s="40" t="n">
        <f aca="false">IF(ISNUMBER($K144),$K144*Parâmetros!$B$5,"")</f>
        <v>80.884416375</v>
      </c>
      <c r="N144" s="40" t="n">
        <f aca="false">IF(ISNUMBER($K144),$K144*Parâmetros!$C$5,"")</f>
        <v>24.2653249125</v>
      </c>
      <c r="O144" s="40" t="n">
        <f aca="false">IF(ISNUMBER($K144),IF(ISNUMBER(Parâmetros!$E$5),Parâmetros!$E$5,0),"")</f>
        <v>0</v>
      </c>
      <c r="P144" s="41" t="n">
        <f aca="false">IF(ISNUMBER($K144),$K144-$D144-IF(ISNUMBER($E144),$E144,0)-$L144-$M144-$N144-$O144,"")</f>
        <v>132.6424729875</v>
      </c>
      <c r="Q144" s="42" t="n">
        <f aca="false">IF(AND(ISNUMBER($K144),$K144&gt;0),$P144/$K144,"")</f>
        <v>0.163990146597012</v>
      </c>
      <c r="R144" s="43"/>
      <c r="S144" s="44" t="str">
        <f aca="false">IF(OR(NOT(ISNUMBER($R144)),$R144=0,NOT(ISNUMBER($K144))),"",$K144*(1-$R144))</f>
        <v/>
      </c>
      <c r="T144" s="45" t="str">
        <f aca="false">IF(ISNUMBER($S144),$S144*$H144,"")</f>
        <v/>
      </c>
      <c r="U144" s="45" t="str">
        <f aca="false">IF(ISNUMBER($S144),$S144*Parâmetros!$B$5,"")</f>
        <v/>
      </c>
      <c r="V144" s="45" t="str">
        <f aca="false">IF(ISNUMBER($S144),$S144*Parâmetros!$C$5,"")</f>
        <v/>
      </c>
      <c r="W144" s="44" t="str">
        <f aca="false">IF(ISNUMBER($S144),$S144-$D144-IF(ISNUMBER($E144),$E144,0)-$O144-$T144-$U144-$V144,"")</f>
        <v/>
      </c>
      <c r="X144" s="46" t="str">
        <f aca="false">IF(AND(ISNUMBER($S144),$S144&gt;0),$W144/$S144,"")</f>
        <v/>
      </c>
      <c r="Y144" s="47" t="s">
        <v>741</v>
      </c>
      <c r="Z144" s="19"/>
    </row>
    <row r="145" customFormat="false" ht="15.75" hidden="false" customHeight="true" outlineLevel="0" collapsed="false">
      <c r="A145" s="48" t="str">
        <f aca="false">IF(Produtos!$A145="","",Produtos!$A145)</f>
        <v>L4060-AC</v>
      </c>
      <c r="B145" s="48" t="str">
        <f aca="false">IF(Produtos!$A145="","",Produtos!$B145)</f>
        <v>Lixeira c/Aro Colorido 40x60 75L</v>
      </c>
      <c r="C145" s="48" t="str">
        <f aca="false">IF(Produtos!$A145="","",Produtos!$C145)</f>
        <v>Lixeiras em inox</v>
      </c>
      <c r="D145" s="33" t="n">
        <f aca="false">IF(Produtos!$A145="","",IF(Produtos!$D145="","",Produtos!$D145))</f>
        <v>359.34</v>
      </c>
      <c r="E145" s="11" t="n">
        <v>91.95</v>
      </c>
      <c r="F145" s="34" t="n">
        <f aca="false">IF($A145="","",IF($C145="","⚠ categoria",IFERROR(INDEX(Parâmetros!$C$13:$C$22,MATCH($C145,Parâmetros!$A$13:$A$22,0)),"⚠ categoria")))</f>
        <v>0.18</v>
      </c>
      <c r="G145" s="35"/>
      <c r="H145" s="36" t="n">
        <f aca="false">IF($A145="","",IF(ISNUMBER($G145),$G145,IF(ISNUMBER($F145),$F145,"")))</f>
        <v>0.18</v>
      </c>
      <c r="I145" s="37" t="n">
        <f aca="false">IF(OR($A145="",NOT(ISNUMBER($D145)),NOT(ISNUMBER($H145))),"",IF((1-$H145-Parâmetros!$B$5-Parâmetros!$C$5-Parâmetros!$D$5)&lt;=0,"INVALIDO",($D145+IF(ISNUMBER($E145),$E145,0)+IF(ISNUMBER(Parâmetros!$E$5),Parâmetros!$E$5,0))/(1-$H145-Parâmetros!$B$5-Parâmetros!$C$5-Parâmetros!$D$5)))</f>
        <v>921</v>
      </c>
      <c r="J145" s="38" t="n">
        <v>827.794485</v>
      </c>
      <c r="K145" s="39" t="n">
        <f aca="false">IF(OR($A145="",NOT(ISNUMBER($D145)),NOT(ISNUMBER($H145))),"",IF(AND(ISNUMBER($J145),$J145&gt;0),$J145,IF(ISNUMBER($I145),$I145,"")))</f>
        <v>827.794485</v>
      </c>
      <c r="L145" s="40" t="n">
        <f aca="false">IF(ISNUMBER($K145),$K145*$H145,"")</f>
        <v>149.0030073</v>
      </c>
      <c r="M145" s="40" t="n">
        <f aca="false">IF(ISNUMBER($K145),$K145*Parâmetros!$B$5,"")</f>
        <v>82.7794485</v>
      </c>
      <c r="N145" s="40" t="n">
        <f aca="false">IF(ISNUMBER($K145),$K145*Parâmetros!$C$5,"")</f>
        <v>24.83383455</v>
      </c>
      <c r="O145" s="40" t="n">
        <f aca="false">IF(ISNUMBER($K145),IF(ISNUMBER(Parâmetros!$E$5),Parâmetros!$E$5,0),"")</f>
        <v>0</v>
      </c>
      <c r="P145" s="41" t="n">
        <f aca="false">IF(ISNUMBER($K145),$K145-$D145-IF(ISNUMBER($E145),$E145,0)-$L145-$M145-$N145-$O145,"")</f>
        <v>119.88819465</v>
      </c>
      <c r="Q145" s="42" t="n">
        <f aca="false">IF(AND(ISNUMBER($K145),$K145&gt;0),$P145/$K145,"")</f>
        <v>0.144828452982506</v>
      </c>
      <c r="R145" s="43"/>
      <c r="S145" s="44" t="str">
        <f aca="false">IF(OR(NOT(ISNUMBER($R145)),$R145=0,NOT(ISNUMBER($K145))),"",$K145*(1-$R145))</f>
        <v/>
      </c>
      <c r="T145" s="45" t="str">
        <f aca="false">IF(ISNUMBER($S145),$S145*$H145,"")</f>
        <v/>
      </c>
      <c r="U145" s="45" t="str">
        <f aca="false">IF(ISNUMBER($S145),$S145*Parâmetros!$B$5,"")</f>
        <v/>
      </c>
      <c r="V145" s="45" t="str">
        <f aca="false">IF(ISNUMBER($S145),$S145*Parâmetros!$C$5,"")</f>
        <v/>
      </c>
      <c r="W145" s="44" t="str">
        <f aca="false">IF(ISNUMBER($S145),$S145-$D145-IF(ISNUMBER($E145),$E145,0)-$O145-$T145-$U145-$V145,"")</f>
        <v/>
      </c>
      <c r="X145" s="46" t="str">
        <f aca="false">IF(AND(ISNUMBER($S145),$S145&gt;0),$W145/$S145,"")</f>
        <v/>
      </c>
      <c r="Y145" s="49" t="s">
        <v>741</v>
      </c>
      <c r="Z145" s="21"/>
    </row>
    <row r="146" customFormat="false" ht="15.75" hidden="false" customHeight="true" outlineLevel="0" collapsed="false">
      <c r="A146" s="32" t="str">
        <f aca="false">IF(Produtos!$A146="","",Produtos!$A146)</f>
        <v>L4070-AC</v>
      </c>
      <c r="B146" s="32" t="str">
        <f aca="false">IF(Produtos!$A146="","",Produtos!$B146)</f>
        <v>Lixeira c/Aro Colorido 40x70 88L</v>
      </c>
      <c r="C146" s="32" t="str">
        <f aca="false">IF(Produtos!$A146="","",Produtos!$C146)</f>
        <v>Lixeiras em inox</v>
      </c>
      <c r="D146" s="33" t="n">
        <f aca="false">IF(Produtos!$A146="","",IF(Produtos!$D146="","",Produtos!$D146))</f>
        <v>374.18</v>
      </c>
      <c r="E146" s="11" t="n">
        <v>106.85</v>
      </c>
      <c r="F146" s="34" t="n">
        <f aca="false">IF($A146="","",IF($C146="","⚠ categoria",IFERROR(INDEX(Parâmetros!$C$13:$C$22,MATCH($C146,Parâmetros!$A$13:$A$22,0)),"⚠ categoria")))</f>
        <v>0.18</v>
      </c>
      <c r="G146" s="35"/>
      <c r="H146" s="36" t="n">
        <f aca="false">IF($A146="","",IF(ISNUMBER($G146),$G146,IF(ISNUMBER($F146),$F146,"")))</f>
        <v>0.18</v>
      </c>
      <c r="I146" s="37" t="n">
        <f aca="false">IF(OR($A146="",NOT(ISNUMBER($D146)),NOT(ISNUMBER($H146))),"",IF((1-$H146-Parâmetros!$B$5-Parâmetros!$C$5-Parâmetros!$D$5)&lt;=0,"INVALIDO",($D146+IF(ISNUMBER($E146),$E146,0)+IF(ISNUMBER(Parâmetros!$E$5),Parâmetros!$E$5,0))/(1-$H146-Parâmetros!$B$5-Parâmetros!$C$5-Parâmetros!$D$5)))</f>
        <v>981.69387755102</v>
      </c>
      <c r="J146" s="38" t="n">
        <v>832.32079875</v>
      </c>
      <c r="K146" s="39" t="n">
        <f aca="false">IF(OR($A146="",NOT(ISNUMBER($D146)),NOT(ISNUMBER($H146))),"",IF(AND(ISNUMBER($J146),$J146&gt;0),$J146,IF(ISNUMBER($I146),$I146,"")))</f>
        <v>832.32079875</v>
      </c>
      <c r="L146" s="40" t="n">
        <f aca="false">IF(ISNUMBER($K146),$K146*$H146,"")</f>
        <v>149.817743775</v>
      </c>
      <c r="M146" s="40" t="n">
        <f aca="false">IF(ISNUMBER($K146),$K146*Parâmetros!$B$5,"")</f>
        <v>83.232079875</v>
      </c>
      <c r="N146" s="40" t="n">
        <f aca="false">IF(ISNUMBER($K146),$K146*Parâmetros!$C$5,"")</f>
        <v>24.9696239625</v>
      </c>
      <c r="O146" s="40" t="n">
        <f aca="false">IF(ISNUMBER($K146),IF(ISNUMBER(Parâmetros!$E$5),Parâmetros!$E$5,0),"")</f>
        <v>0</v>
      </c>
      <c r="P146" s="41" t="n">
        <f aca="false">IF(ISNUMBER($K146),$K146-$D146-IF(ISNUMBER($E146),$E146,0)-$L146-$M146-$N146-$O146,"")</f>
        <v>93.2713511375001</v>
      </c>
      <c r="Q146" s="42" t="n">
        <f aca="false">IF(AND(ISNUMBER($K146),$K146&gt;0),$P146/$K146,"")</f>
        <v>0.112061781079576</v>
      </c>
      <c r="R146" s="43"/>
      <c r="S146" s="44" t="str">
        <f aca="false">IF(OR(NOT(ISNUMBER($R146)),$R146=0,NOT(ISNUMBER($K146))),"",$K146*(1-$R146))</f>
        <v/>
      </c>
      <c r="T146" s="45" t="str">
        <f aca="false">IF(ISNUMBER($S146),$S146*$H146,"")</f>
        <v/>
      </c>
      <c r="U146" s="45" t="str">
        <f aca="false">IF(ISNUMBER($S146),$S146*Parâmetros!$B$5,"")</f>
        <v/>
      </c>
      <c r="V146" s="45" t="str">
        <f aca="false">IF(ISNUMBER($S146),$S146*Parâmetros!$C$5,"")</f>
        <v/>
      </c>
      <c r="W146" s="44" t="str">
        <f aca="false">IF(ISNUMBER($S146),$S146-$D146-IF(ISNUMBER($E146),$E146,0)-$O146-$T146-$U146-$V146,"")</f>
        <v/>
      </c>
      <c r="X146" s="46" t="str">
        <f aca="false">IF(AND(ISNUMBER($S146),$S146&gt;0),$W146/$S146,"")</f>
        <v/>
      </c>
      <c r="Y146" s="47" t="s">
        <v>741</v>
      </c>
      <c r="Z146" s="19"/>
    </row>
    <row r="147" customFormat="false" ht="15.75" hidden="false" customHeight="true" outlineLevel="0" collapsed="false">
      <c r="A147" s="48" t="str">
        <f aca="false">IF(Produtos!$A147="","",Produtos!$A147)</f>
        <v>L4075-AC</v>
      </c>
      <c r="B147" s="48" t="str">
        <f aca="false">IF(Produtos!$A147="","",Produtos!$B147)</f>
        <v>Lixeira c/Aro Colorido 40x75 95L</v>
      </c>
      <c r="C147" s="48" t="str">
        <f aca="false">IF(Produtos!$A147="","",Produtos!$C147)</f>
        <v>Lixeiras em inox</v>
      </c>
      <c r="D147" s="33" t="n">
        <f aca="false">IF(Produtos!$A147="","",IF(Produtos!$D147="","",Produtos!$D147))</f>
        <v>405.18</v>
      </c>
      <c r="E147" s="11" t="n">
        <v>106.85</v>
      </c>
      <c r="F147" s="34" t="n">
        <f aca="false">IF($A147="","",IF($C147="","⚠ categoria",IFERROR(INDEX(Parâmetros!$C$13:$C$22,MATCH($C147,Parâmetros!$A$13:$A$22,0)),"⚠ categoria")))</f>
        <v>0.18</v>
      </c>
      <c r="G147" s="35"/>
      <c r="H147" s="36" t="n">
        <f aca="false">IF($A147="","",IF(ISNUMBER($G147),$G147,IF(ISNUMBER($F147),$F147,"")))</f>
        <v>0.18</v>
      </c>
      <c r="I147" s="37" t="n">
        <f aca="false">IF(OR($A147="",NOT(ISNUMBER($D147)),NOT(ISNUMBER($H147))),"",IF((1-$H147-Parâmetros!$B$5-Parâmetros!$C$5-Parâmetros!$D$5)&lt;=0,"INVALIDO",($D147+IF(ISNUMBER($E147),$E147,0)+IF(ISNUMBER(Parâmetros!$E$5),Parâmetros!$E$5,0))/(1-$H147-Parâmetros!$B$5-Parâmetros!$C$5-Parâmetros!$D$5)))</f>
        <v>1044.95918367347</v>
      </c>
      <c r="J147" s="38" t="n">
        <v>918.86484375</v>
      </c>
      <c r="K147" s="39" t="n">
        <f aca="false">IF(OR($A147="",NOT(ISNUMBER($D147)),NOT(ISNUMBER($H147))),"",IF(AND(ISNUMBER($J147),$J147&gt;0),$J147,IF(ISNUMBER($I147),$I147,"")))</f>
        <v>918.86484375</v>
      </c>
      <c r="L147" s="40" t="n">
        <f aca="false">IF(ISNUMBER($K147),$K147*$H147,"")</f>
        <v>165.395671875</v>
      </c>
      <c r="M147" s="40" t="n">
        <f aca="false">IF(ISNUMBER($K147),$K147*Parâmetros!$B$5,"")</f>
        <v>91.886484375</v>
      </c>
      <c r="N147" s="40" t="n">
        <f aca="false">IF(ISNUMBER($K147),$K147*Parâmetros!$C$5,"")</f>
        <v>27.5659453125</v>
      </c>
      <c r="O147" s="40" t="n">
        <f aca="false">IF(ISNUMBER($K147),IF(ISNUMBER(Parâmetros!$E$5),Parâmetros!$E$5,0),"")</f>
        <v>0</v>
      </c>
      <c r="P147" s="41" t="n">
        <f aca="false">IF(ISNUMBER($K147),$K147-$D147-IF(ISNUMBER($E147),$E147,0)-$L147-$M147-$N147-$O147,"")</f>
        <v>121.9867421875</v>
      </c>
      <c r="Q147" s="42" t="n">
        <f aca="false">IF(AND(ISNUMBER($K147),$K147&gt;0),$P147/$K147,"")</f>
        <v>0.132758090612823</v>
      </c>
      <c r="R147" s="43"/>
      <c r="S147" s="44" t="str">
        <f aca="false">IF(OR(NOT(ISNUMBER($R147)),$R147=0,NOT(ISNUMBER($K147))),"",$K147*(1-$R147))</f>
        <v/>
      </c>
      <c r="T147" s="45" t="str">
        <f aca="false">IF(ISNUMBER($S147),$S147*$H147,"")</f>
        <v/>
      </c>
      <c r="U147" s="45" t="str">
        <f aca="false">IF(ISNUMBER($S147),$S147*Parâmetros!$B$5,"")</f>
        <v/>
      </c>
      <c r="V147" s="45" t="str">
        <f aca="false">IF(ISNUMBER($S147),$S147*Parâmetros!$C$5,"")</f>
        <v/>
      </c>
      <c r="W147" s="44" t="str">
        <f aca="false">IF(ISNUMBER($S147),$S147-$D147-IF(ISNUMBER($E147),$E147,0)-$O147-$T147-$U147-$V147,"")</f>
        <v/>
      </c>
      <c r="X147" s="46" t="str">
        <f aca="false">IF(AND(ISNUMBER($S147),$S147&gt;0),$W147/$S147,"")</f>
        <v/>
      </c>
      <c r="Y147" s="49" t="s">
        <v>741</v>
      </c>
      <c r="Z147" s="21"/>
    </row>
    <row r="148" customFormat="false" ht="15.75" hidden="false" customHeight="true" outlineLevel="0" collapsed="false">
      <c r="A148" s="32" t="str">
        <f aca="false">IF(Produtos!$A148="","",Produtos!$A148)</f>
        <v>L4080-AC</v>
      </c>
      <c r="B148" s="32" t="str">
        <f aca="false">IF(Produtos!$A148="","",Produtos!$B148)</f>
        <v>Lixeira c/Aro Colorido 40x80 100L</v>
      </c>
      <c r="C148" s="32" t="str">
        <f aca="false">IF(Produtos!$A148="","",Produtos!$C148)</f>
        <v>Lixeiras em inox</v>
      </c>
      <c r="D148" s="33" t="n">
        <f aca="false">IF(Produtos!$A148="","",IF(Produtos!$D148="","",Produtos!$D148))</f>
        <v>425.44</v>
      </c>
      <c r="E148" s="11" t="n">
        <v>106.85</v>
      </c>
      <c r="F148" s="34" t="n">
        <f aca="false">IF($A148="","",IF($C148="","⚠ categoria",IFERROR(INDEX(Parâmetros!$C$13:$C$22,MATCH($C148,Parâmetros!$A$13:$A$22,0)),"⚠ categoria")))</f>
        <v>0.18</v>
      </c>
      <c r="G148" s="35"/>
      <c r="H148" s="36" t="n">
        <f aca="false">IF($A148="","",IF(ISNUMBER($G148),$G148,IF(ISNUMBER($F148),$F148,"")))</f>
        <v>0.18</v>
      </c>
      <c r="I148" s="37" t="n">
        <f aca="false">IF(OR($A148="",NOT(ISNUMBER($D148)),NOT(ISNUMBER($H148))),"",IF((1-$H148-Parâmetros!$B$5-Parâmetros!$C$5-Parâmetros!$D$5)&lt;=0,"INVALIDO",($D148+IF(ISNUMBER($E148),$E148,0)+IF(ISNUMBER(Parâmetros!$E$5),Parâmetros!$E$5,0))/(1-$H148-Parâmetros!$B$5-Parâmetros!$C$5-Parâmetros!$D$5)))</f>
        <v>1086.30612244898</v>
      </c>
      <c r="J148" s="38" t="n">
        <v>959.12704125</v>
      </c>
      <c r="K148" s="39" t="n">
        <f aca="false">IF(OR($A148="",NOT(ISNUMBER($D148)),NOT(ISNUMBER($H148))),"",IF(AND(ISNUMBER($J148),$J148&gt;0),$J148,IF(ISNUMBER($I148),$I148,"")))</f>
        <v>959.12704125</v>
      </c>
      <c r="L148" s="40" t="n">
        <f aca="false">IF(ISNUMBER($K148),$K148*$H148,"")</f>
        <v>172.642867425</v>
      </c>
      <c r="M148" s="40" t="n">
        <f aca="false">IF(ISNUMBER($K148),$K148*Parâmetros!$B$5,"")</f>
        <v>95.912704125</v>
      </c>
      <c r="N148" s="40" t="n">
        <f aca="false">IF(ISNUMBER($K148),$K148*Parâmetros!$C$5,"")</f>
        <v>28.7738112375</v>
      </c>
      <c r="O148" s="40" t="n">
        <f aca="false">IF(ISNUMBER($K148),IF(ISNUMBER(Parâmetros!$E$5),Parâmetros!$E$5,0),"")</f>
        <v>0</v>
      </c>
      <c r="P148" s="41" t="n">
        <f aca="false">IF(ISNUMBER($K148),$K148-$D148-IF(ISNUMBER($E148),$E148,0)-$L148-$M148-$N148-$O148,"")</f>
        <v>129.5076584625</v>
      </c>
      <c r="Q148" s="42" t="n">
        <f aca="false">IF(AND(ISNUMBER($K148),$K148&gt;0),$P148/$K148,"")</f>
        <v>0.135026594906256</v>
      </c>
      <c r="R148" s="43"/>
      <c r="S148" s="44" t="str">
        <f aca="false">IF(OR(NOT(ISNUMBER($R148)),$R148=0,NOT(ISNUMBER($K148))),"",$K148*(1-$R148))</f>
        <v/>
      </c>
      <c r="T148" s="45" t="str">
        <f aca="false">IF(ISNUMBER($S148),$S148*$H148,"")</f>
        <v/>
      </c>
      <c r="U148" s="45" t="str">
        <f aca="false">IF(ISNUMBER($S148),$S148*Parâmetros!$B$5,"")</f>
        <v/>
      </c>
      <c r="V148" s="45" t="str">
        <f aca="false">IF(ISNUMBER($S148),$S148*Parâmetros!$C$5,"")</f>
        <v/>
      </c>
      <c r="W148" s="44" t="str">
        <f aca="false">IF(ISNUMBER($S148),$S148-$D148-IF(ISNUMBER($E148),$E148,0)-$O148-$T148-$U148-$V148,"")</f>
        <v/>
      </c>
      <c r="X148" s="46" t="str">
        <f aca="false">IF(AND(ISNUMBER($S148),$S148&gt;0),$W148/$S148,"")</f>
        <v/>
      </c>
      <c r="Y148" s="47" t="s">
        <v>741</v>
      </c>
      <c r="Z148" s="19"/>
    </row>
    <row r="149" customFormat="false" ht="15.75" hidden="false" customHeight="true" outlineLevel="0" collapsed="false">
      <c r="A149" s="48" t="str">
        <f aca="false">IF(Produtos!$A149="","",Produtos!$A149)</f>
        <v>L4090-AC</v>
      </c>
      <c r="B149" s="48" t="str">
        <f aca="false">IF(Produtos!$A149="","",Produtos!$B149)</f>
        <v>Lixeira c/Aro Colorido 40x90 120L</v>
      </c>
      <c r="C149" s="48" t="str">
        <f aca="false">IF(Produtos!$A149="","",Produtos!$C149)</f>
        <v>Lixeiras em inox</v>
      </c>
      <c r="D149" s="33" t="n">
        <f aca="false">IF(Produtos!$A149="","",IF(Produtos!$D149="","",Produtos!$D149))</f>
        <v>652.76</v>
      </c>
      <c r="E149" s="11" t="n">
        <v>107.85</v>
      </c>
      <c r="F149" s="34" t="n">
        <f aca="false">IF($A149="","",IF($C149="","⚠ categoria",IFERROR(INDEX(Parâmetros!$C$13:$C$22,MATCH($C149,Parâmetros!$A$13:$A$22,0)),"⚠ categoria")))</f>
        <v>0.18</v>
      </c>
      <c r="G149" s="35"/>
      <c r="H149" s="36" t="n">
        <f aca="false">IF($A149="","",IF(ISNUMBER($G149),$G149,IF(ISNUMBER($F149),$F149,"")))</f>
        <v>0.18</v>
      </c>
      <c r="I149" s="37" t="n">
        <f aca="false">IF(OR($A149="",NOT(ISNUMBER($D149)),NOT(ISNUMBER($H149))),"",IF((1-$H149-Parâmetros!$B$5-Parâmetros!$C$5-Parâmetros!$D$5)&lt;=0,"INVALIDO",($D149+IF(ISNUMBER($E149),$E149,0)+IF(ISNUMBER(Parâmetros!$E$5),Parâmetros!$E$5,0))/(1-$H149-Parâmetros!$B$5-Parâmetros!$C$5-Parâmetros!$D$5)))</f>
        <v>1552.26530612245</v>
      </c>
      <c r="J149" s="38" t="n">
        <v>1410.97123125</v>
      </c>
      <c r="K149" s="39" t="n">
        <f aca="false">IF(OR($A149="",NOT(ISNUMBER($D149)),NOT(ISNUMBER($H149))),"",IF(AND(ISNUMBER($J149),$J149&gt;0),$J149,IF(ISNUMBER($I149),$I149,"")))</f>
        <v>1410.97123125</v>
      </c>
      <c r="L149" s="40" t="n">
        <f aca="false">IF(ISNUMBER($K149),$K149*$H149,"")</f>
        <v>253.974821625</v>
      </c>
      <c r="M149" s="40" t="n">
        <f aca="false">IF(ISNUMBER($K149),$K149*Parâmetros!$B$5,"")</f>
        <v>141.097123125</v>
      </c>
      <c r="N149" s="40" t="n">
        <f aca="false">IF(ISNUMBER($K149),$K149*Parâmetros!$C$5,"")</f>
        <v>42.3291369375</v>
      </c>
      <c r="O149" s="40" t="n">
        <f aca="false">IF(ISNUMBER($K149),IF(ISNUMBER(Parâmetros!$E$5),Parâmetros!$E$5,0),"")</f>
        <v>0</v>
      </c>
      <c r="P149" s="41" t="n">
        <f aca="false">IF(ISNUMBER($K149),$K149-$D149-IF(ISNUMBER($E149),$E149,0)-$L149-$M149-$N149-$O149,"")</f>
        <v>212.9601495625</v>
      </c>
      <c r="Q149" s="42" t="n">
        <f aca="false">IF(AND(ISNUMBER($K149),$K149&gt;0),$P149/$K149,"")</f>
        <v>0.150931602888767</v>
      </c>
      <c r="R149" s="43"/>
      <c r="S149" s="44" t="str">
        <f aca="false">IF(OR(NOT(ISNUMBER($R149)),$R149=0,NOT(ISNUMBER($K149))),"",$K149*(1-$R149))</f>
        <v/>
      </c>
      <c r="T149" s="45" t="str">
        <f aca="false">IF(ISNUMBER($S149),$S149*$H149,"")</f>
        <v/>
      </c>
      <c r="U149" s="45" t="str">
        <f aca="false">IF(ISNUMBER($S149),$S149*Parâmetros!$B$5,"")</f>
        <v/>
      </c>
      <c r="V149" s="45" t="str">
        <f aca="false">IF(ISNUMBER($S149),$S149*Parâmetros!$C$5,"")</f>
        <v/>
      </c>
      <c r="W149" s="44" t="str">
        <f aca="false">IF(ISNUMBER($S149),$S149-$D149-IF(ISNUMBER($E149),$E149,0)-$O149-$T149-$U149-$V149,"")</f>
        <v/>
      </c>
      <c r="X149" s="46" t="str">
        <f aca="false">IF(AND(ISNUMBER($S149),$S149&gt;0),$W149/$S149,"")</f>
        <v/>
      </c>
      <c r="Y149" s="49" t="s">
        <v>744</v>
      </c>
      <c r="Z149" s="21"/>
    </row>
    <row r="150" customFormat="false" ht="15.75" hidden="false" customHeight="true" outlineLevel="0" collapsed="false">
      <c r="A150" s="32" t="str">
        <f aca="false">IF(Produtos!$A150="","",Produtos!$A150)</f>
        <v>L2425-CP</v>
      </c>
      <c r="B150" s="32" t="str">
        <f aca="false">IF(Produtos!$A150="","",Produtos!$B150)</f>
        <v>Lixeira Aço inox Coletor de pilhas e baterias 24x25 13L</v>
      </c>
      <c r="C150" s="32" t="str">
        <f aca="false">IF(Produtos!$A150="","",Produtos!$C150)</f>
        <v>Coletores de pilhas</v>
      </c>
      <c r="D150" s="33" t="n">
        <f aca="false">IF(Produtos!$A150="","",IF(Produtos!$D150="","",Produtos!$D150))</f>
        <v>120.55</v>
      </c>
      <c r="E150" s="11" t="n">
        <v>27.05</v>
      </c>
      <c r="F150" s="34" t="n">
        <f aca="false">IF($A150="","",IF($C150="","⚠ categoria",IFERROR(INDEX(Parâmetros!$C$13:$C$22,MATCH($C150,Parâmetros!$A$13:$A$22,0)),"⚠ categoria")))</f>
        <v>0.18</v>
      </c>
      <c r="G150" s="35" t="n">
        <v>0.15</v>
      </c>
      <c r="H150" s="36" t="n">
        <f aca="false">IF($A150="","",IF(ISNUMBER($G150),$G150,IF(ISNUMBER($F150),$F150,"")))</f>
        <v>0.15</v>
      </c>
      <c r="I150" s="37" t="n">
        <f aca="false">IF(OR($A150="",NOT(ISNUMBER($D150)),NOT(ISNUMBER($H150))),"",IF((1-$H150-Parâmetros!$B$5-Parâmetros!$C$5-Parâmetros!$D$5)&lt;=0,"INVALIDO",($D150+IF(ISNUMBER($E150),$E150,0)+IF(ISNUMBER(Parâmetros!$E$5),Parâmetros!$E$5,0))/(1-$H150-Parâmetros!$B$5-Parâmetros!$C$5-Parâmetros!$D$5)))</f>
        <v>283.846153846154</v>
      </c>
      <c r="J150" s="38" t="n">
        <v>271.60231875</v>
      </c>
      <c r="K150" s="39" t="n">
        <f aca="false">IF(OR($A150="",NOT(ISNUMBER($D150)),NOT(ISNUMBER($H150))),"",IF(AND(ISNUMBER($J150),$J150&gt;0),$J150,IF(ISNUMBER($I150),$I150,"")))</f>
        <v>271.60231875</v>
      </c>
      <c r="L150" s="40" t="n">
        <f aca="false">IF(ISNUMBER($K150),$K150*$H150,"")</f>
        <v>40.7403478125</v>
      </c>
      <c r="M150" s="40" t="n">
        <f aca="false">IF(ISNUMBER($K150),$K150*Parâmetros!$B$5,"")</f>
        <v>27.160231875</v>
      </c>
      <c r="N150" s="40" t="n">
        <f aca="false">IF(ISNUMBER($K150),$K150*Parâmetros!$C$5,"")</f>
        <v>8.1480695625</v>
      </c>
      <c r="O150" s="40" t="n">
        <f aca="false">IF(ISNUMBER($K150),IF(ISNUMBER(Parâmetros!$E$5),Parâmetros!$E$5,0),"")</f>
        <v>0</v>
      </c>
      <c r="P150" s="41" t="n">
        <f aca="false">IF(ISNUMBER($K150),$K150-$D150-IF(ISNUMBER($E150),$E150,0)-$L150-$M150-$N150-$O150,"")</f>
        <v>47.9536695000001</v>
      </c>
      <c r="Q150" s="42" t="n">
        <f aca="false">IF(AND(ISNUMBER($K150),$K150&gt;0),$P150/$K150,"")</f>
        <v>0.176558395085499</v>
      </c>
      <c r="R150" s="43"/>
      <c r="S150" s="44" t="str">
        <f aca="false">IF(OR(NOT(ISNUMBER($R150)),$R150=0,NOT(ISNUMBER($K150))),"",$K150*(1-$R150))</f>
        <v/>
      </c>
      <c r="T150" s="45" t="str">
        <f aca="false">IF(ISNUMBER($S150),$S150*$H150,"")</f>
        <v/>
      </c>
      <c r="U150" s="45" t="str">
        <f aca="false">IF(ISNUMBER($S150),$S150*Parâmetros!$B$5,"")</f>
        <v/>
      </c>
      <c r="V150" s="45" t="str">
        <f aca="false">IF(ISNUMBER($S150),$S150*Parâmetros!$C$5,"")</f>
        <v/>
      </c>
      <c r="W150" s="44" t="str">
        <f aca="false">IF(ISNUMBER($S150),$S150-$D150-IF(ISNUMBER($E150),$E150,0)-$O150-$T150-$U150-$V150,"")</f>
        <v/>
      </c>
      <c r="X150" s="46" t="str">
        <f aca="false">IF(AND(ISNUMBER($S150),$S150&gt;0),$W150/$S150,"")</f>
        <v/>
      </c>
      <c r="Y150" s="47" t="s">
        <v>744</v>
      </c>
      <c r="Z150" s="19"/>
    </row>
    <row r="151" customFormat="false" ht="15.75" hidden="false" customHeight="true" outlineLevel="0" collapsed="false">
      <c r="A151" s="48" t="str">
        <f aca="false">IF(Produtos!$A151="","",Produtos!$A151)</f>
        <v>L2430-CP</v>
      </c>
      <c r="B151" s="48" t="str">
        <f aca="false">IF(Produtos!$A151="","",Produtos!$B151)</f>
        <v>Lixeira Aço inox Coletor de pilhas e baterias 24x30 15L</v>
      </c>
      <c r="C151" s="48" t="str">
        <f aca="false">IF(Produtos!$A151="","",Produtos!$C151)</f>
        <v>Coletores de pilhas</v>
      </c>
      <c r="D151" s="33" t="n">
        <f aca="false">IF(Produtos!$A151="","",IF(Produtos!$D151="","",Produtos!$D151))</f>
        <v>134.47</v>
      </c>
      <c r="E151" s="11" t="n">
        <v>27.05</v>
      </c>
      <c r="F151" s="34" t="n">
        <f aca="false">IF($A151="","",IF($C151="","⚠ categoria",IFERROR(INDEX(Parâmetros!$C$13:$C$22,MATCH($C151,Parâmetros!$A$13:$A$22,0)),"⚠ categoria")))</f>
        <v>0.18</v>
      </c>
      <c r="G151" s="35" t="n">
        <v>0.15</v>
      </c>
      <c r="H151" s="36" t="n">
        <f aca="false">IF($A151="","",IF(ISNUMBER($G151),$G151,IF(ISNUMBER($F151),$F151,"")))</f>
        <v>0.15</v>
      </c>
      <c r="I151" s="37" t="n">
        <f aca="false">IF(OR($A151="",NOT(ISNUMBER($D151)),NOT(ISNUMBER($H151))),"",IF((1-$H151-Parâmetros!$B$5-Parâmetros!$C$5-Parâmetros!$D$5)&lt;=0,"INVALIDO",($D151+IF(ISNUMBER($E151),$E151,0)+IF(ISNUMBER(Parâmetros!$E$5),Parâmetros!$E$5,0))/(1-$H151-Parâmetros!$B$5-Parâmetros!$C$5-Parâmetros!$D$5)))</f>
        <v>310.615384615385</v>
      </c>
      <c r="J151" s="38" t="n">
        <v>280.21504875</v>
      </c>
      <c r="K151" s="39" t="n">
        <f aca="false">IF(OR($A151="",NOT(ISNUMBER($D151)),NOT(ISNUMBER($H151))),"",IF(AND(ISNUMBER($J151),$J151&gt;0),$J151,IF(ISNUMBER($I151),$I151,"")))</f>
        <v>280.21504875</v>
      </c>
      <c r="L151" s="40" t="n">
        <f aca="false">IF(ISNUMBER($K151),$K151*$H151,"")</f>
        <v>42.0322573125</v>
      </c>
      <c r="M151" s="40" t="n">
        <f aca="false">IF(ISNUMBER($K151),$K151*Parâmetros!$B$5,"")</f>
        <v>28.021504875</v>
      </c>
      <c r="N151" s="40" t="n">
        <f aca="false">IF(ISNUMBER($K151),$K151*Parâmetros!$C$5,"")</f>
        <v>8.4064514625</v>
      </c>
      <c r="O151" s="40" t="n">
        <f aca="false">IF(ISNUMBER($K151),IF(ISNUMBER(Parâmetros!$E$5),Parâmetros!$E$5,0),"")</f>
        <v>0</v>
      </c>
      <c r="P151" s="41" t="n">
        <f aca="false">IF(ISNUMBER($K151),$K151-$D151-IF(ISNUMBER($E151),$E151,0)-$L151-$M151-$N151-$O151,"")</f>
        <v>40.2348351</v>
      </c>
      <c r="Q151" s="42" t="n">
        <f aca="false">IF(AND(ISNUMBER($K151),$K151&gt;0),$P151/$K151,"")</f>
        <v>0.143585561444619</v>
      </c>
      <c r="R151" s="43"/>
      <c r="S151" s="44" t="str">
        <f aca="false">IF(OR(NOT(ISNUMBER($R151)),$R151=0,NOT(ISNUMBER($K151))),"",$K151*(1-$R151))</f>
        <v/>
      </c>
      <c r="T151" s="45" t="str">
        <f aca="false">IF(ISNUMBER($S151),$S151*$H151,"")</f>
        <v/>
      </c>
      <c r="U151" s="45" t="str">
        <f aca="false">IF(ISNUMBER($S151),$S151*Parâmetros!$B$5,"")</f>
        <v/>
      </c>
      <c r="V151" s="45" t="str">
        <f aca="false">IF(ISNUMBER($S151),$S151*Parâmetros!$C$5,"")</f>
        <v/>
      </c>
      <c r="W151" s="44" t="str">
        <f aca="false">IF(ISNUMBER($S151),$S151-$D151-IF(ISNUMBER($E151),$E151,0)-$O151-$T151-$U151-$V151,"")</f>
        <v/>
      </c>
      <c r="X151" s="46" t="str">
        <f aca="false">IF(AND(ISNUMBER($S151),$S151&gt;0),$W151/$S151,"")</f>
        <v/>
      </c>
      <c r="Y151" s="49" t="s">
        <v>744</v>
      </c>
      <c r="Z151" s="21"/>
    </row>
    <row r="152" customFormat="false" ht="15.75" hidden="false" customHeight="true" outlineLevel="0" collapsed="false">
      <c r="A152" s="32" t="str">
        <f aca="false">IF(Produtos!$A152="","",Produtos!$A152)</f>
        <v>L2440-CP</v>
      </c>
      <c r="B152" s="32" t="str">
        <f aca="false">IF(Produtos!$A152="","",Produtos!$B152)</f>
        <v>Lixeira Aço inox Coletor de pilhas e baterias 24x40 20L</v>
      </c>
      <c r="C152" s="32" t="str">
        <f aca="false">IF(Produtos!$A152="","",Produtos!$C152)</f>
        <v>Coletores de pilhas</v>
      </c>
      <c r="D152" s="33" t="n">
        <f aca="false">IF(Produtos!$A152="","",IF(Produtos!$D152="","",Produtos!$D152))</f>
        <v>143.62</v>
      </c>
      <c r="E152" s="11" t="n">
        <v>29.25</v>
      </c>
      <c r="F152" s="34" t="n">
        <f aca="false">IF($A152="","",IF($C152="","⚠ categoria",IFERROR(INDEX(Parâmetros!$C$13:$C$22,MATCH($C152,Parâmetros!$A$13:$A$22,0)),"⚠ categoria")))</f>
        <v>0.18</v>
      </c>
      <c r="G152" s="35" t="n">
        <v>0.15</v>
      </c>
      <c r="H152" s="36" t="n">
        <f aca="false">IF($A152="","",IF(ISNUMBER($G152),$G152,IF(ISNUMBER($F152),$F152,"")))</f>
        <v>0.15</v>
      </c>
      <c r="I152" s="37" t="n">
        <f aca="false">IF(OR($A152="",NOT(ISNUMBER($D152)),NOT(ISNUMBER($H152))),"",IF((1-$H152-Parâmetros!$B$5-Parâmetros!$C$5-Parâmetros!$D$5)&lt;=0,"INVALIDO",($D152+IF(ISNUMBER($E152),$E152,0)+IF(ISNUMBER(Parâmetros!$E$5),Parâmetros!$E$5,0))/(1-$H152-Parâmetros!$B$5-Parâmetros!$C$5-Parâmetros!$D$5)))</f>
        <v>332.442307692308</v>
      </c>
      <c r="J152" s="38" t="n">
        <v>315.81167625</v>
      </c>
      <c r="K152" s="39" t="n">
        <f aca="false">IF(OR($A152="",NOT(ISNUMBER($D152)),NOT(ISNUMBER($H152))),"",IF(AND(ISNUMBER($J152),$J152&gt;0),$J152,IF(ISNUMBER($I152),$I152,"")))</f>
        <v>315.81167625</v>
      </c>
      <c r="L152" s="40" t="n">
        <f aca="false">IF(ISNUMBER($K152),$K152*$H152,"")</f>
        <v>47.3717514375</v>
      </c>
      <c r="M152" s="40" t="n">
        <f aca="false">IF(ISNUMBER($K152),$K152*Parâmetros!$B$5,"")</f>
        <v>31.581167625</v>
      </c>
      <c r="N152" s="40" t="n">
        <f aca="false">IF(ISNUMBER($K152),$K152*Parâmetros!$C$5,"")</f>
        <v>9.4743502875</v>
      </c>
      <c r="O152" s="40" t="n">
        <f aca="false">IF(ISNUMBER($K152),IF(ISNUMBER(Parâmetros!$E$5),Parâmetros!$E$5,0),"")</f>
        <v>0</v>
      </c>
      <c r="P152" s="41" t="n">
        <f aca="false">IF(ISNUMBER($K152),$K152-$D152-IF(ISNUMBER($E152),$E152,0)-$L152-$M152-$N152-$O152,"")</f>
        <v>54.5144068999999</v>
      </c>
      <c r="Q152" s="42" t="n">
        <f aca="false">IF(AND(ISNUMBER($K152),$K152&gt;0),$P152/$K152,"")</f>
        <v>0.172616818818459</v>
      </c>
      <c r="R152" s="43"/>
      <c r="S152" s="44" t="str">
        <f aca="false">IF(OR(NOT(ISNUMBER($R152)),$R152=0,NOT(ISNUMBER($K152))),"",$K152*(1-$R152))</f>
        <v/>
      </c>
      <c r="T152" s="45" t="str">
        <f aca="false">IF(ISNUMBER($S152),$S152*$H152,"")</f>
        <v/>
      </c>
      <c r="U152" s="45" t="str">
        <f aca="false">IF(ISNUMBER($S152),$S152*Parâmetros!$B$5,"")</f>
        <v/>
      </c>
      <c r="V152" s="45" t="str">
        <f aca="false">IF(ISNUMBER($S152),$S152*Parâmetros!$C$5,"")</f>
        <v/>
      </c>
      <c r="W152" s="44" t="str">
        <f aca="false">IF(ISNUMBER($S152),$S152-$D152-IF(ISNUMBER($E152),$E152,0)-$O152-$T152-$U152-$V152,"")</f>
        <v/>
      </c>
      <c r="X152" s="46" t="str">
        <f aca="false">IF(AND(ISNUMBER($S152),$S152&gt;0),$W152/$S152,"")</f>
        <v/>
      </c>
      <c r="Y152" s="47" t="s">
        <v>744</v>
      </c>
      <c r="Z152" s="19"/>
    </row>
    <row r="153" customFormat="false" ht="15.75" hidden="false" customHeight="true" outlineLevel="0" collapsed="false">
      <c r="A153" s="48" t="str">
        <f aca="false">IF(Produtos!$A153="","",Produtos!$A153)</f>
        <v>L2450-CP</v>
      </c>
      <c r="B153" s="48" t="str">
        <f aca="false">IF(Produtos!$A153="","",Produtos!$B153)</f>
        <v>Lixeira Aço inox Coletor de pilhas e baterias 24x50 25L</v>
      </c>
      <c r="C153" s="48" t="str">
        <f aca="false">IF(Produtos!$A153="","",Produtos!$C153)</f>
        <v>Coletores de pilhas</v>
      </c>
      <c r="D153" s="33" t="n">
        <f aca="false">IF(Produtos!$A153="","",IF(Produtos!$D153="","",Produtos!$D153))</f>
        <v>163.9</v>
      </c>
      <c r="E153" s="11" t="n">
        <v>40.85</v>
      </c>
      <c r="F153" s="34" t="n">
        <f aca="false">IF($A153="","",IF($C153="","⚠ categoria",IFERROR(INDEX(Parâmetros!$C$13:$C$22,MATCH($C153,Parâmetros!$A$13:$A$22,0)),"⚠ categoria")))</f>
        <v>0.18</v>
      </c>
      <c r="G153" s="35" t="n">
        <v>0.15</v>
      </c>
      <c r="H153" s="36" t="n">
        <f aca="false">IF($A153="","",IF(ISNUMBER($G153),$G153,IF(ISNUMBER($F153),$F153,"")))</f>
        <v>0.15</v>
      </c>
      <c r="I153" s="37" t="n">
        <f aca="false">IF(OR($A153="",NOT(ISNUMBER($D153)),NOT(ISNUMBER($H153))),"",IF((1-$H153-Parâmetros!$B$5-Parâmetros!$C$5-Parâmetros!$D$5)&lt;=0,"INVALIDO",($D153+IF(ISNUMBER($E153),$E153,0)+IF(ISNUMBER(Parâmetros!$E$5),Parâmetros!$E$5,0))/(1-$H153-Parâmetros!$B$5-Parâmetros!$C$5-Parâmetros!$D$5)))</f>
        <v>393.75</v>
      </c>
      <c r="J153" s="38" t="n">
        <v>367.8681925</v>
      </c>
      <c r="K153" s="39" t="n">
        <f aca="false">IF(OR($A153="",NOT(ISNUMBER($D153)),NOT(ISNUMBER($H153))),"",IF(AND(ISNUMBER($J153),$J153&gt;0),$J153,IF(ISNUMBER($I153),$I153,"")))</f>
        <v>367.8681925</v>
      </c>
      <c r="L153" s="40" t="n">
        <f aca="false">IF(ISNUMBER($K153),$K153*$H153,"")</f>
        <v>55.180228875</v>
      </c>
      <c r="M153" s="40" t="n">
        <f aca="false">IF(ISNUMBER($K153),$K153*Parâmetros!$B$5,"")</f>
        <v>36.78681925</v>
      </c>
      <c r="N153" s="40" t="n">
        <f aca="false">IF(ISNUMBER($K153),$K153*Parâmetros!$C$5,"")</f>
        <v>11.036045775</v>
      </c>
      <c r="O153" s="40" t="n">
        <f aca="false">IF(ISNUMBER($K153),IF(ISNUMBER(Parâmetros!$E$5),Parâmetros!$E$5,0),"")</f>
        <v>0</v>
      </c>
      <c r="P153" s="41" t="n">
        <f aca="false">IF(ISNUMBER($K153),$K153-$D153-IF(ISNUMBER($E153),$E153,0)-$L153-$M153-$N153-$O153,"")</f>
        <v>60.1150986</v>
      </c>
      <c r="Q153" s="42" t="n">
        <f aca="false">IF(AND(ISNUMBER($K153),$K153&gt;0),$P153/$K153,"")</f>
        <v>0.163414776883707</v>
      </c>
      <c r="R153" s="43"/>
      <c r="S153" s="44" t="str">
        <f aca="false">IF(OR(NOT(ISNUMBER($R153)),$R153=0,NOT(ISNUMBER($K153))),"",$K153*(1-$R153))</f>
        <v/>
      </c>
      <c r="T153" s="45" t="str">
        <f aca="false">IF(ISNUMBER($S153),$S153*$H153,"")</f>
        <v/>
      </c>
      <c r="U153" s="45" t="str">
        <f aca="false">IF(ISNUMBER($S153),$S153*Parâmetros!$B$5,"")</f>
        <v/>
      </c>
      <c r="V153" s="45" t="str">
        <f aca="false">IF(ISNUMBER($S153),$S153*Parâmetros!$C$5,"")</f>
        <v/>
      </c>
      <c r="W153" s="44" t="str">
        <f aca="false">IF(ISNUMBER($S153),$S153-$D153-IF(ISNUMBER($E153),$E153,0)-$O153-$T153-$U153-$V153,"")</f>
        <v/>
      </c>
      <c r="X153" s="46" t="str">
        <f aca="false">IF(AND(ISNUMBER($S153),$S153&gt;0),$W153/$S153,"")</f>
        <v/>
      </c>
      <c r="Y153" s="49" t="s">
        <v>744</v>
      </c>
      <c r="Z153" s="21"/>
    </row>
    <row r="154" customFormat="false" ht="15.75" hidden="false" customHeight="true" outlineLevel="0" collapsed="false">
      <c r="A154" s="32" t="str">
        <f aca="false">IF(Produtos!$A154="","",Produtos!$A154)</f>
        <v>L2460-CP</v>
      </c>
      <c r="B154" s="32" t="str">
        <f aca="false">IF(Produtos!$A154="","",Produtos!$B154)</f>
        <v>Lixeira Aço inox Coletor de pilhas e baterias 24x60 27L</v>
      </c>
      <c r="C154" s="32" t="str">
        <f aca="false">IF(Produtos!$A154="","",Produtos!$C154)</f>
        <v>Coletores de pilhas</v>
      </c>
      <c r="D154" s="33" t="n">
        <f aca="false">IF(Produtos!$A154="","",IF(Produtos!$D154="","",Produtos!$D154))</f>
        <v>172.67</v>
      </c>
      <c r="E154" s="11" t="n">
        <v>40.85</v>
      </c>
      <c r="F154" s="34" t="n">
        <f aca="false">IF($A154="","",IF($C154="","⚠ categoria",IFERROR(INDEX(Parâmetros!$C$13:$C$22,MATCH($C154,Parâmetros!$A$13:$A$22,0)),"⚠ categoria")))</f>
        <v>0.18</v>
      </c>
      <c r="G154" s="35" t="n">
        <v>0.15</v>
      </c>
      <c r="H154" s="36" t="n">
        <f aca="false">IF($A154="","",IF(ISNUMBER($G154),$G154,IF(ISNUMBER($F154),$F154,"")))</f>
        <v>0.15</v>
      </c>
      <c r="I154" s="37" t="n">
        <f aca="false">IF(OR($A154="",NOT(ISNUMBER($D154)),NOT(ISNUMBER($H154))),"",IF((1-$H154-Parâmetros!$B$5-Parâmetros!$C$5-Parâmetros!$D$5)&lt;=0,"INVALIDO",($D154+IF(ISNUMBER($E154),$E154,0)+IF(ISNUMBER(Parâmetros!$E$5),Parâmetros!$E$5,0))/(1-$H154-Parâmetros!$B$5-Parâmetros!$C$5-Parâmetros!$D$5)))</f>
        <v>410.615384615385</v>
      </c>
      <c r="J154" s="38" t="n">
        <v>388.59156</v>
      </c>
      <c r="K154" s="39" t="n">
        <f aca="false">IF(OR($A154="",NOT(ISNUMBER($D154)),NOT(ISNUMBER($H154))),"",IF(AND(ISNUMBER($J154),$J154&gt;0),$J154,IF(ISNUMBER($I154),$I154,"")))</f>
        <v>388.59156</v>
      </c>
      <c r="L154" s="40" t="n">
        <f aca="false">IF(ISNUMBER($K154),$K154*$H154,"")</f>
        <v>58.288734</v>
      </c>
      <c r="M154" s="40" t="n">
        <f aca="false">IF(ISNUMBER($K154),$K154*Parâmetros!$B$5,"")</f>
        <v>38.859156</v>
      </c>
      <c r="N154" s="40" t="n">
        <f aca="false">IF(ISNUMBER($K154),$K154*Parâmetros!$C$5,"")</f>
        <v>11.6577468</v>
      </c>
      <c r="O154" s="40" t="n">
        <f aca="false">IF(ISNUMBER($K154),IF(ISNUMBER(Parâmetros!$E$5),Parâmetros!$E$5,0),"")</f>
        <v>0</v>
      </c>
      <c r="P154" s="41" t="n">
        <f aca="false">IF(ISNUMBER($K154),$K154-$D154-IF(ISNUMBER($E154),$E154,0)-$L154-$M154-$N154-$O154,"")</f>
        <v>66.2659232</v>
      </c>
      <c r="Q154" s="42" t="n">
        <f aca="false">IF(AND(ISNUMBER($K154),$K154&gt;0),$P154/$K154,"")</f>
        <v>0.170528467473663</v>
      </c>
      <c r="R154" s="43"/>
      <c r="S154" s="44" t="str">
        <f aca="false">IF(OR(NOT(ISNUMBER($R154)),$R154=0,NOT(ISNUMBER($K154))),"",$K154*(1-$R154))</f>
        <v/>
      </c>
      <c r="T154" s="45" t="str">
        <f aca="false">IF(ISNUMBER($S154),$S154*$H154,"")</f>
        <v/>
      </c>
      <c r="U154" s="45" t="str">
        <f aca="false">IF(ISNUMBER($S154),$S154*Parâmetros!$B$5,"")</f>
        <v/>
      </c>
      <c r="V154" s="45" t="str">
        <f aca="false">IF(ISNUMBER($S154),$S154*Parâmetros!$C$5,"")</f>
        <v/>
      </c>
      <c r="W154" s="44" t="str">
        <f aca="false">IF(ISNUMBER($S154),$S154-$D154-IF(ISNUMBER($E154),$E154,0)-$O154-$T154-$U154-$V154,"")</f>
        <v/>
      </c>
      <c r="X154" s="46" t="str">
        <f aca="false">IF(AND(ISNUMBER($S154),$S154&gt;0),$W154/$S154,"")</f>
        <v/>
      </c>
      <c r="Y154" s="47" t="s">
        <v>744</v>
      </c>
      <c r="Z154" s="19"/>
    </row>
    <row r="155" customFormat="false" ht="15.75" hidden="false" customHeight="true" outlineLevel="0" collapsed="false">
      <c r="A155" s="48" t="str">
        <f aca="false">IF(Produtos!$A155="","",Produtos!$A155)</f>
        <v>L3040-CP</v>
      </c>
      <c r="B155" s="48" t="str">
        <f aca="false">IF(Produtos!$A155="","",Produtos!$B155)</f>
        <v>Lixeira Aço inox Coletor de pilhas e baterias 30x40 30L</v>
      </c>
      <c r="C155" s="48" t="str">
        <f aca="false">IF(Produtos!$A155="","",Produtos!$C155)</f>
        <v>Coletores de pilhas</v>
      </c>
      <c r="D155" s="33" t="n">
        <f aca="false">IF(Produtos!$A155="","",IF(Produtos!$D155="","",Produtos!$D155))</f>
        <v>157.35</v>
      </c>
      <c r="E155" s="11" t="n">
        <v>40.85</v>
      </c>
      <c r="F155" s="34" t="n">
        <f aca="false">IF($A155="","",IF($C155="","⚠ categoria",IFERROR(INDEX(Parâmetros!$C$13:$C$22,MATCH($C155,Parâmetros!$A$13:$A$22,0)),"⚠ categoria")))</f>
        <v>0.18</v>
      </c>
      <c r="G155" s="35" t="n">
        <v>0.15</v>
      </c>
      <c r="H155" s="36" t="n">
        <f aca="false">IF($A155="","",IF(ISNUMBER($G155),$G155,IF(ISNUMBER($F155),$F155,"")))</f>
        <v>0.15</v>
      </c>
      <c r="I155" s="37" t="n">
        <f aca="false">IF(OR($A155="",NOT(ISNUMBER($D155)),NOT(ISNUMBER($H155))),"",IF((1-$H155-Parâmetros!$B$5-Parâmetros!$C$5-Parâmetros!$D$5)&lt;=0,"INVALIDO",($D155+IF(ISNUMBER($E155),$E155,0)+IF(ISNUMBER(Parâmetros!$E$5),Parâmetros!$E$5,0))/(1-$H155-Parâmetros!$B$5-Parâmetros!$C$5-Parâmetros!$D$5)))</f>
        <v>381.153846153846</v>
      </c>
      <c r="J155" s="38" t="n">
        <v>362.57</v>
      </c>
      <c r="K155" s="39" t="n">
        <f aca="false">IF(OR($A155="",NOT(ISNUMBER($D155)),NOT(ISNUMBER($H155))),"",IF(AND(ISNUMBER($J155),$J155&gt;0),$J155,IF(ISNUMBER($I155),$I155,"")))</f>
        <v>362.57</v>
      </c>
      <c r="L155" s="40" t="n">
        <f aca="false">IF(ISNUMBER($K155),$K155*$H155,"")</f>
        <v>54.3855</v>
      </c>
      <c r="M155" s="40" t="n">
        <f aca="false">IF(ISNUMBER($K155),$K155*Parâmetros!$B$5,"")</f>
        <v>36.257</v>
      </c>
      <c r="N155" s="40" t="n">
        <f aca="false">IF(ISNUMBER($K155),$K155*Parâmetros!$C$5,"")</f>
        <v>10.8771</v>
      </c>
      <c r="O155" s="40" t="n">
        <f aca="false">IF(ISNUMBER($K155),IF(ISNUMBER(Parâmetros!$E$5),Parâmetros!$E$5,0),"")</f>
        <v>0</v>
      </c>
      <c r="P155" s="41" t="n">
        <f aca="false">IF(ISNUMBER($K155),$K155-$D155-IF(ISNUMBER($E155),$E155,0)-$L155-$M155-$N155-$O155,"")</f>
        <v>62.8504</v>
      </c>
      <c r="Q155" s="42" t="n">
        <f aca="false">IF(AND(ISNUMBER($K155),$K155&gt;0),$P155/$K155,"")</f>
        <v>0.17334693990126</v>
      </c>
      <c r="R155" s="43"/>
      <c r="S155" s="44" t="str">
        <f aca="false">IF(OR(NOT(ISNUMBER($R155)),$R155=0,NOT(ISNUMBER($K155))),"",$K155*(1-$R155))</f>
        <v/>
      </c>
      <c r="T155" s="45" t="str">
        <f aca="false">IF(ISNUMBER($S155),$S155*$H155,"")</f>
        <v/>
      </c>
      <c r="U155" s="45" t="str">
        <f aca="false">IF(ISNUMBER($S155),$S155*Parâmetros!$B$5,"")</f>
        <v/>
      </c>
      <c r="V155" s="45" t="str">
        <f aca="false">IF(ISNUMBER($S155),$S155*Parâmetros!$C$5,"")</f>
        <v/>
      </c>
      <c r="W155" s="44" t="str">
        <f aca="false">IF(ISNUMBER($S155),$S155-$D155-IF(ISNUMBER($E155),$E155,0)-$O155-$T155-$U155-$V155,"")</f>
        <v/>
      </c>
      <c r="X155" s="46" t="str">
        <f aca="false">IF(AND(ISNUMBER($S155),$S155&gt;0),$W155/$S155,"")</f>
        <v/>
      </c>
      <c r="Y155" s="49" t="s">
        <v>744</v>
      </c>
      <c r="Z155" s="21"/>
    </row>
    <row r="156" customFormat="false" ht="15.75" hidden="false" customHeight="true" outlineLevel="0" collapsed="false">
      <c r="A156" s="32" t="str">
        <f aca="false">IF(Produtos!$A156="","",Produtos!$A156)</f>
        <v>L3050-CP</v>
      </c>
      <c r="B156" s="32" t="str">
        <f aca="false">IF(Produtos!$A156="","",Produtos!$B156)</f>
        <v>Lixeira Aço inox Coletor de pilhas e baterias 30x50 35L</v>
      </c>
      <c r="C156" s="32" t="str">
        <f aca="false">IF(Produtos!$A156="","",Produtos!$C156)</f>
        <v>Coletores de pilhas</v>
      </c>
      <c r="D156" s="33" t="n">
        <f aca="false">IF(Produtos!$A156="","",IF(Produtos!$D156="","",Produtos!$D156))</f>
        <v>203.19</v>
      </c>
      <c r="E156" s="11" t="n">
        <v>49.35</v>
      </c>
      <c r="F156" s="34" t="n">
        <f aca="false">IF($A156="","",IF($C156="","⚠ categoria",IFERROR(INDEX(Parâmetros!$C$13:$C$22,MATCH($C156,Parâmetros!$A$13:$A$22,0)),"⚠ categoria")))</f>
        <v>0.18</v>
      </c>
      <c r="G156" s="35" t="n">
        <v>0.15</v>
      </c>
      <c r="H156" s="36" t="n">
        <f aca="false">IF($A156="","",IF(ISNUMBER($G156),$G156,IF(ISNUMBER($F156),$F156,"")))</f>
        <v>0.15</v>
      </c>
      <c r="I156" s="37" t="n">
        <f aca="false">IF(OR($A156="",NOT(ISNUMBER($D156)),NOT(ISNUMBER($H156))),"",IF((1-$H156-Parâmetros!$B$5-Parâmetros!$C$5-Parâmetros!$D$5)&lt;=0,"INVALIDO",($D156+IF(ISNUMBER($E156),$E156,0)+IF(ISNUMBER(Parâmetros!$E$5),Parâmetros!$E$5,0))/(1-$H156-Parâmetros!$B$5-Parâmetros!$C$5-Parâmetros!$D$5)))</f>
        <v>485.653846153846</v>
      </c>
      <c r="J156" s="38" t="n">
        <v>443.33564625</v>
      </c>
      <c r="K156" s="39" t="n">
        <f aca="false">IF(OR($A156="",NOT(ISNUMBER($D156)),NOT(ISNUMBER($H156))),"",IF(AND(ISNUMBER($J156),$J156&gt;0),$J156,IF(ISNUMBER($I156),$I156,"")))</f>
        <v>443.33564625</v>
      </c>
      <c r="L156" s="40" t="n">
        <f aca="false">IF(ISNUMBER($K156),$K156*$H156,"")</f>
        <v>66.5003469375</v>
      </c>
      <c r="M156" s="40" t="n">
        <f aca="false">IF(ISNUMBER($K156),$K156*Parâmetros!$B$5,"")</f>
        <v>44.333564625</v>
      </c>
      <c r="N156" s="40" t="n">
        <f aca="false">IF(ISNUMBER($K156),$K156*Parâmetros!$C$5,"")</f>
        <v>13.3000693875</v>
      </c>
      <c r="O156" s="40" t="n">
        <f aca="false">IF(ISNUMBER($K156),IF(ISNUMBER(Parâmetros!$E$5),Parâmetros!$E$5,0),"")</f>
        <v>0</v>
      </c>
      <c r="P156" s="41" t="n">
        <f aca="false">IF(ISNUMBER($K156),$K156-$D156-IF(ISNUMBER($E156),$E156,0)-$L156-$M156-$N156-$O156,"")</f>
        <v>66.6616653000001</v>
      </c>
      <c r="Q156" s="42" t="n">
        <f aca="false">IF(AND(ISNUMBER($K156),$K156&gt;0),$P156/$K156,"")</f>
        <v>0.15036387410727</v>
      </c>
      <c r="R156" s="43"/>
      <c r="S156" s="44" t="str">
        <f aca="false">IF(OR(NOT(ISNUMBER($R156)),$R156=0,NOT(ISNUMBER($K156))),"",$K156*(1-$R156))</f>
        <v/>
      </c>
      <c r="T156" s="45" t="str">
        <f aca="false">IF(ISNUMBER($S156),$S156*$H156,"")</f>
        <v/>
      </c>
      <c r="U156" s="45" t="str">
        <f aca="false">IF(ISNUMBER($S156),$S156*Parâmetros!$B$5,"")</f>
        <v/>
      </c>
      <c r="V156" s="45" t="str">
        <f aca="false">IF(ISNUMBER($S156),$S156*Parâmetros!$C$5,"")</f>
        <v/>
      </c>
      <c r="W156" s="44" t="str">
        <f aca="false">IF(ISNUMBER($S156),$S156-$D156-IF(ISNUMBER($E156),$E156,0)-$O156-$T156-$U156-$V156,"")</f>
        <v/>
      </c>
      <c r="X156" s="46" t="str">
        <f aca="false">IF(AND(ISNUMBER($S156),$S156&gt;0),$W156/$S156,"")</f>
        <v/>
      </c>
      <c r="Y156" s="47" t="s">
        <v>744</v>
      </c>
      <c r="Z156" s="19"/>
    </row>
    <row r="157" customFormat="false" ht="15.75" hidden="false" customHeight="true" outlineLevel="0" collapsed="false">
      <c r="A157" s="48" t="str">
        <f aca="false">IF(Produtos!$A157="","",Produtos!$A157)</f>
        <v>L3060-CP</v>
      </c>
      <c r="B157" s="48" t="str">
        <f aca="false">IF(Produtos!$A157="","",Produtos!$B157)</f>
        <v>Lixeira Aço inox Coletor de pilhas e baterias 30x60 40L</v>
      </c>
      <c r="C157" s="48" t="str">
        <f aca="false">IF(Produtos!$A157="","",Produtos!$C157)</f>
        <v>Coletores de pilhas</v>
      </c>
      <c r="D157" s="33" t="n">
        <f aca="false">IF(Produtos!$A157="","",IF(Produtos!$D157="","",Produtos!$D157))</f>
        <v>205.65</v>
      </c>
      <c r="E157" s="11" t="n">
        <v>50.75</v>
      </c>
      <c r="F157" s="34" t="n">
        <f aca="false">IF($A157="","",IF($C157="","⚠ categoria",IFERROR(INDEX(Parâmetros!$C$13:$C$22,MATCH($C157,Parâmetros!$A$13:$A$22,0)),"⚠ categoria")))</f>
        <v>0.18</v>
      </c>
      <c r="G157" s="35" t="n">
        <v>0.15</v>
      </c>
      <c r="H157" s="36" t="n">
        <f aca="false">IF($A157="","",IF(ISNUMBER($G157),$G157,IF(ISNUMBER($F157),$F157,"")))</f>
        <v>0.15</v>
      </c>
      <c r="I157" s="37" t="n">
        <f aca="false">IF(OR($A157="",NOT(ISNUMBER($D157)),NOT(ISNUMBER($H157))),"",IF((1-$H157-Parâmetros!$B$5-Parâmetros!$C$5-Parâmetros!$D$5)&lt;=0,"INVALIDO",($D157+IF(ISNUMBER($E157),$E157,0)+IF(ISNUMBER(Parâmetros!$E$5),Parâmetros!$E$5,0))/(1-$H157-Parâmetros!$B$5-Parâmetros!$C$5-Parâmetros!$D$5)))</f>
        <v>493.076923076923</v>
      </c>
      <c r="J157" s="38" t="n">
        <v>449.8762275</v>
      </c>
      <c r="K157" s="39" t="n">
        <f aca="false">IF(OR($A157="",NOT(ISNUMBER($D157)),NOT(ISNUMBER($H157))),"",IF(AND(ISNUMBER($J157),$J157&gt;0),$J157,IF(ISNUMBER($I157),$I157,"")))</f>
        <v>449.8762275</v>
      </c>
      <c r="L157" s="40" t="n">
        <f aca="false">IF(ISNUMBER($K157),$K157*$H157,"")</f>
        <v>67.481434125</v>
      </c>
      <c r="M157" s="40" t="n">
        <f aca="false">IF(ISNUMBER($K157),$K157*Parâmetros!$B$5,"")</f>
        <v>44.98762275</v>
      </c>
      <c r="N157" s="40" t="n">
        <f aca="false">IF(ISNUMBER($K157),$K157*Parâmetros!$C$5,"")</f>
        <v>13.496286825</v>
      </c>
      <c r="O157" s="40" t="n">
        <f aca="false">IF(ISNUMBER($K157),IF(ISNUMBER(Parâmetros!$E$5),Parâmetros!$E$5,0),"")</f>
        <v>0</v>
      </c>
      <c r="P157" s="41" t="n">
        <f aca="false">IF(ISNUMBER($K157),$K157-$D157-IF(ISNUMBER($E157),$E157,0)-$L157-$M157-$N157-$O157,"")</f>
        <v>67.5108838</v>
      </c>
      <c r="Q157" s="42" t="n">
        <f aca="false">IF(AND(ISNUMBER($K157),$K157&gt;0),$P157/$K157,"")</f>
        <v>0.15006546172747</v>
      </c>
      <c r="R157" s="43"/>
      <c r="S157" s="44" t="str">
        <f aca="false">IF(OR(NOT(ISNUMBER($R157)),$R157=0,NOT(ISNUMBER($K157))),"",$K157*(1-$R157))</f>
        <v/>
      </c>
      <c r="T157" s="45" t="str">
        <f aca="false">IF(ISNUMBER($S157),$S157*$H157,"")</f>
        <v/>
      </c>
      <c r="U157" s="45" t="str">
        <f aca="false">IF(ISNUMBER($S157),$S157*Parâmetros!$B$5,"")</f>
        <v/>
      </c>
      <c r="V157" s="45" t="str">
        <f aca="false">IF(ISNUMBER($S157),$S157*Parâmetros!$C$5,"")</f>
        <v/>
      </c>
      <c r="W157" s="44" t="str">
        <f aca="false">IF(ISNUMBER($S157),$S157-$D157-IF(ISNUMBER($E157),$E157,0)-$O157-$T157-$U157-$V157,"")</f>
        <v/>
      </c>
      <c r="X157" s="46" t="str">
        <f aca="false">IF(AND(ISNUMBER($S157),$S157&gt;0),$W157/$S157,"")</f>
        <v/>
      </c>
      <c r="Y157" s="49" t="s">
        <v>744</v>
      </c>
      <c r="Z157" s="21"/>
    </row>
    <row r="158" customFormat="false" ht="15.75" hidden="false" customHeight="true" outlineLevel="0" collapsed="false">
      <c r="A158" s="32" t="str">
        <f aca="false">IF(Produtos!$A158="","",Produtos!$A158)</f>
        <v>L3070-CP</v>
      </c>
      <c r="B158" s="32" t="str">
        <f aca="false">IF(Produtos!$A158="","",Produtos!$B158)</f>
        <v>Lixeira Aço inox Coletor de pilhas e baterias 30x70 50L</v>
      </c>
      <c r="C158" s="32" t="str">
        <f aca="false">IF(Produtos!$A158="","",Produtos!$C158)</f>
        <v>Coletores de pilhas</v>
      </c>
      <c r="D158" s="33" t="n">
        <f aca="false">IF(Produtos!$A158="","",IF(Produtos!$D158="","",Produtos!$D158))</f>
        <v>267.58</v>
      </c>
      <c r="E158" s="11" t="n">
        <v>69.35</v>
      </c>
      <c r="F158" s="34" t="n">
        <f aca="false">IF($A158="","",IF($C158="","⚠ categoria",IFERROR(INDEX(Parâmetros!$C$13:$C$22,MATCH($C158,Parâmetros!$A$13:$A$22,0)),"⚠ categoria")))</f>
        <v>0.18</v>
      </c>
      <c r="G158" s="35" t="n">
        <v>0.15</v>
      </c>
      <c r="H158" s="36" t="n">
        <f aca="false">IF($A158="","",IF(ISNUMBER($G158),$G158,IF(ISNUMBER($F158),$F158,"")))</f>
        <v>0.15</v>
      </c>
      <c r="I158" s="37" t="n">
        <f aca="false">IF(OR($A158="",NOT(ISNUMBER($D158)),NOT(ISNUMBER($H158))),"",IF((1-$H158-Parâmetros!$B$5-Parâmetros!$C$5-Parâmetros!$D$5)&lt;=0,"INVALIDO",($D158+IF(ISNUMBER($E158),$E158,0)+IF(ISNUMBER(Parâmetros!$E$5),Parâmetros!$E$5,0))/(1-$H158-Parâmetros!$B$5-Parâmetros!$C$5-Parâmetros!$D$5)))</f>
        <v>647.942307692308</v>
      </c>
      <c r="J158" s="38" t="n">
        <v>592.33356</v>
      </c>
      <c r="K158" s="39" t="n">
        <f aca="false">IF(OR($A158="",NOT(ISNUMBER($D158)),NOT(ISNUMBER($H158))),"",IF(AND(ISNUMBER($J158),$J158&gt;0),$J158,IF(ISNUMBER($I158),$I158,"")))</f>
        <v>592.33356</v>
      </c>
      <c r="L158" s="40" t="n">
        <f aca="false">IF(ISNUMBER($K158),$K158*$H158,"")</f>
        <v>88.850034</v>
      </c>
      <c r="M158" s="40" t="n">
        <f aca="false">IF(ISNUMBER($K158),$K158*Parâmetros!$B$5,"")</f>
        <v>59.233356</v>
      </c>
      <c r="N158" s="40" t="n">
        <f aca="false">IF(ISNUMBER($K158),$K158*Parâmetros!$C$5,"")</f>
        <v>17.7700068</v>
      </c>
      <c r="O158" s="40" t="n">
        <f aca="false">IF(ISNUMBER($K158),IF(ISNUMBER(Parâmetros!$E$5),Parâmetros!$E$5,0),"")</f>
        <v>0</v>
      </c>
      <c r="P158" s="41" t="n">
        <f aca="false">IF(ISNUMBER($K158),$K158-$D158-IF(ISNUMBER($E158),$E158,0)-$L158-$M158-$N158-$O158,"")</f>
        <v>89.5501632</v>
      </c>
      <c r="Q158" s="42" t="n">
        <f aca="false">IF(AND(ISNUMBER($K158),$K158&gt;0),$P158/$K158,"")</f>
        <v>0.151181984691193</v>
      </c>
      <c r="R158" s="43"/>
      <c r="S158" s="44" t="str">
        <f aca="false">IF(OR(NOT(ISNUMBER($R158)),$R158=0,NOT(ISNUMBER($K158))),"",$K158*(1-$R158))</f>
        <v/>
      </c>
      <c r="T158" s="45" t="str">
        <f aca="false">IF(ISNUMBER($S158),$S158*$H158,"")</f>
        <v/>
      </c>
      <c r="U158" s="45" t="str">
        <f aca="false">IF(ISNUMBER($S158),$S158*Parâmetros!$B$5,"")</f>
        <v/>
      </c>
      <c r="V158" s="45" t="str">
        <f aca="false">IF(ISNUMBER($S158),$S158*Parâmetros!$C$5,"")</f>
        <v/>
      </c>
      <c r="W158" s="44" t="str">
        <f aca="false">IF(ISNUMBER($S158),$S158-$D158-IF(ISNUMBER($E158),$E158,0)-$O158-$T158-$U158-$V158,"")</f>
        <v/>
      </c>
      <c r="X158" s="46" t="str">
        <f aca="false">IF(AND(ISNUMBER($S158),$S158&gt;0),$W158/$S158,"")</f>
        <v/>
      </c>
      <c r="Y158" s="47" t="s">
        <v>744</v>
      </c>
      <c r="Z158" s="19"/>
    </row>
    <row r="159" customFormat="false" ht="15.75" hidden="false" customHeight="true" outlineLevel="0" collapsed="false">
      <c r="A159" s="48" t="str">
        <f aca="false">IF(Produtos!$A159="","",Produtos!$A159)</f>
        <v>EGC</v>
      </c>
      <c r="B159" s="48" t="str">
        <f aca="false">IF(Produtos!$A159="","",Produtos!$B159)</f>
        <v>Ensacador Guarda-chuvas c/150 saquinhos</v>
      </c>
      <c r="C159" s="48" t="str">
        <f aca="false">IF(Produtos!$A159="","",Produtos!$C159)</f>
        <v>Ensacadores</v>
      </c>
      <c r="D159" s="33" t="n">
        <f aca="false">IF(Produtos!$A159="","",IF(Produtos!$D159="","",Produtos!$D159))</f>
        <v>365.7</v>
      </c>
      <c r="E159" s="11" t="n">
        <v>69.35</v>
      </c>
      <c r="F159" s="34" t="n">
        <f aca="false">IF($A159="","",IF($C159="","⚠ categoria",IFERROR(INDEX(Parâmetros!$C$13:$C$22,MATCH($C159,Parâmetros!$A$13:$A$22,0)),"⚠ categoria")))</f>
        <v>0.18</v>
      </c>
      <c r="G159" s="35" t="n">
        <v>0.165</v>
      </c>
      <c r="H159" s="36" t="n">
        <f aca="false">IF($A159="","",IF(ISNUMBER($G159),$G159,IF(ISNUMBER($F159),$F159,"")))</f>
        <v>0.165</v>
      </c>
      <c r="I159" s="37" t="n">
        <f aca="false">IF(OR($A159="",NOT(ISNUMBER($D159)),NOT(ISNUMBER($H159))),"",IF((1-$H159-Parâmetros!$B$5-Parâmetros!$C$5-Parâmetros!$D$5)&lt;=0,"INVALIDO",($D159+IF(ISNUMBER($E159),$E159,0)+IF(ISNUMBER(Parâmetros!$E$5),Parâmetros!$E$5,0))/(1-$H159-Parâmetros!$B$5-Parâmetros!$C$5-Parâmetros!$D$5)))</f>
        <v>861.485148514852</v>
      </c>
      <c r="J159" s="38" t="n">
        <v>780.9569775</v>
      </c>
      <c r="K159" s="39" t="n">
        <f aca="false">IF(OR($A159="",NOT(ISNUMBER($D159)),NOT(ISNUMBER($H159))),"",IF(AND(ISNUMBER($J159),$J159&gt;0),$J159,IF(ISNUMBER($I159),$I159,"")))</f>
        <v>780.9569775</v>
      </c>
      <c r="L159" s="40" t="n">
        <f aca="false">IF(ISNUMBER($K159),$K159*$H159,"")</f>
        <v>128.8579012875</v>
      </c>
      <c r="M159" s="40" t="n">
        <f aca="false">IF(ISNUMBER($K159),$K159*Parâmetros!$B$5,"")</f>
        <v>78.09569775</v>
      </c>
      <c r="N159" s="40" t="n">
        <f aca="false">IF(ISNUMBER($K159),$K159*Parâmetros!$C$5,"")</f>
        <v>23.428709325</v>
      </c>
      <c r="O159" s="40" t="n">
        <f aca="false">IF(ISNUMBER($K159),IF(ISNUMBER(Parâmetros!$E$5),Parâmetros!$E$5,0),"")</f>
        <v>0</v>
      </c>
      <c r="P159" s="41" t="n">
        <f aca="false">IF(ISNUMBER($K159),$K159-$D159-IF(ISNUMBER($E159),$E159,0)-$L159-$M159-$N159-$O159,"")</f>
        <v>115.5246691375</v>
      </c>
      <c r="Q159" s="42" t="n">
        <f aca="false">IF(AND(ISNUMBER($K159),$K159&gt;0),$P159/$K159,"")</f>
        <v>0.147927059320627</v>
      </c>
      <c r="R159" s="43"/>
      <c r="S159" s="44" t="str">
        <f aca="false">IF(OR(NOT(ISNUMBER($R159)),$R159=0,NOT(ISNUMBER($K159))),"",$K159*(1-$R159))</f>
        <v/>
      </c>
      <c r="T159" s="45" t="str">
        <f aca="false">IF(ISNUMBER($S159),$S159*$H159,"")</f>
        <v/>
      </c>
      <c r="U159" s="45" t="str">
        <f aca="false">IF(ISNUMBER($S159),$S159*Parâmetros!$B$5,"")</f>
        <v/>
      </c>
      <c r="V159" s="45" t="str">
        <f aca="false">IF(ISNUMBER($S159),$S159*Parâmetros!$C$5,"")</f>
        <v/>
      </c>
      <c r="W159" s="44" t="str">
        <f aca="false">IF(ISNUMBER($S159),$S159-$D159-IF(ISNUMBER($E159),$E159,0)-$O159-$T159-$U159-$V159,"")</f>
        <v/>
      </c>
      <c r="X159" s="46" t="str">
        <f aca="false">IF(AND(ISNUMBER($S159),$S159&gt;0),$W159/$S159,"")</f>
        <v/>
      </c>
      <c r="Y159" s="49" t="s">
        <v>741</v>
      </c>
      <c r="Z159" s="21"/>
    </row>
    <row r="160" customFormat="false" ht="15.75" hidden="false" customHeight="true" outlineLevel="0" collapsed="false">
      <c r="A160" s="32" t="str">
        <f aca="false">IF(Produtos!$A160="","",Produtos!$A160)</f>
        <v>REGC</v>
      </c>
      <c r="B160" s="32" t="str">
        <f aca="false">IF(Produtos!$A160="","",Produtos!$B160)</f>
        <v>Refil Ensacador c/1000 saquinhos</v>
      </c>
      <c r="C160" s="32" t="str">
        <f aca="false">IF(Produtos!$A160="","",Produtos!$C160)</f>
        <v>Ensacadores</v>
      </c>
      <c r="D160" s="33" t="n">
        <f aca="false">IF(Produtos!$A160="","",IF(Produtos!$D160="","",Produtos!$D160))</f>
        <v>271.36</v>
      </c>
      <c r="E160" s="11" t="n">
        <v>25.55</v>
      </c>
      <c r="F160" s="34" t="n">
        <f aca="false">IF($A160="","",IF($C160="","⚠ categoria",IFERROR(INDEX(Parâmetros!$C$13:$C$22,MATCH($C160,Parâmetros!$A$13:$A$22,0)),"⚠ categoria")))</f>
        <v>0.18</v>
      </c>
      <c r="G160" s="35" t="n">
        <v>0.135</v>
      </c>
      <c r="H160" s="36" t="n">
        <f aca="false">IF($A160="","",IF(ISNUMBER($G160),$G160,IF(ISNUMBER($F160),$F160,"")))</f>
        <v>0.135</v>
      </c>
      <c r="I160" s="37" t="n">
        <f aca="false">IF(OR($A160="",NOT(ISNUMBER($D160)),NOT(ISNUMBER($H160))),"",IF((1-$H160-Parâmetros!$B$5-Parâmetros!$C$5-Parâmetros!$D$5)&lt;=0,"INVALIDO",($D160+IF(ISNUMBER($E160),$E160,0)+IF(ISNUMBER(Parâmetros!$E$5),Parâmetros!$E$5,0))/(1-$H160-Parâmetros!$B$5-Parâmetros!$C$5-Parâmetros!$D$5)))</f>
        <v>554.971962616823</v>
      </c>
      <c r="J160" s="38" t="n">
        <v>487.4295825</v>
      </c>
      <c r="K160" s="39" t="n">
        <f aca="false">IF(OR($A160="",NOT(ISNUMBER($D160)),NOT(ISNUMBER($H160))),"",IF(AND(ISNUMBER($J160),$J160&gt;0),$J160,IF(ISNUMBER($I160),$I160,"")))</f>
        <v>487.4295825</v>
      </c>
      <c r="L160" s="40" t="n">
        <f aca="false">IF(ISNUMBER($K160),$K160*$H160,"")</f>
        <v>65.8029936375</v>
      </c>
      <c r="M160" s="40" t="n">
        <f aca="false">IF(ISNUMBER($K160),$K160*Parâmetros!$B$5,"")</f>
        <v>48.74295825</v>
      </c>
      <c r="N160" s="40" t="n">
        <f aca="false">IF(ISNUMBER($K160),$K160*Parâmetros!$C$5,"")</f>
        <v>14.622887475</v>
      </c>
      <c r="O160" s="40" t="n">
        <f aca="false">IF(ISNUMBER($K160),IF(ISNUMBER(Parâmetros!$E$5),Parâmetros!$E$5,0),"")</f>
        <v>0</v>
      </c>
      <c r="P160" s="41" t="n">
        <f aca="false">IF(ISNUMBER($K160),$K160-$D160-IF(ISNUMBER($E160),$E160,0)-$L160-$M160-$N160-$O160,"")</f>
        <v>61.3507431375</v>
      </c>
      <c r="Q160" s="42" t="n">
        <f aca="false">IF(AND(ISNUMBER($K160),$K160&gt;0),$P160/$K160,"")</f>
        <v>0.125865859070012</v>
      </c>
      <c r="R160" s="43"/>
      <c r="S160" s="44" t="str">
        <f aca="false">IF(OR(NOT(ISNUMBER($R160)),$R160=0,NOT(ISNUMBER($K160))),"",$K160*(1-$R160))</f>
        <v/>
      </c>
      <c r="T160" s="45" t="str">
        <f aca="false">IF(ISNUMBER($S160),$S160*$H160,"")</f>
        <v/>
      </c>
      <c r="U160" s="45" t="str">
        <f aca="false">IF(ISNUMBER($S160),$S160*Parâmetros!$B$5,"")</f>
        <v/>
      </c>
      <c r="V160" s="45" t="str">
        <f aca="false">IF(ISNUMBER($S160),$S160*Parâmetros!$C$5,"")</f>
        <v/>
      </c>
      <c r="W160" s="44" t="str">
        <f aca="false">IF(ISNUMBER($S160),$S160-$D160-IF(ISNUMBER($E160),$E160,0)-$O160-$T160-$U160-$V160,"")</f>
        <v/>
      </c>
      <c r="X160" s="46" t="str">
        <f aca="false">IF(AND(ISNUMBER($S160),$S160&gt;0),$W160/$S160,"")</f>
        <v/>
      </c>
      <c r="Y160" s="47" t="s">
        <v>741</v>
      </c>
      <c r="Z160" s="19"/>
    </row>
    <row r="161" customFormat="false" ht="15.75" hidden="false" customHeight="true" outlineLevel="0" collapsed="false">
      <c r="A161" s="48" t="str">
        <f aca="false">IF(Produtos!$A161="","",Produtos!$A161)</f>
        <v>PG2450</v>
      </c>
      <c r="B161" s="48" t="str">
        <f aca="false">IF(Produtos!$A161="","",Produtos!$B161)</f>
        <v>Porta Guarda-chuvas 24x50</v>
      </c>
      <c r="C161" s="48" t="str">
        <f aca="false">IF(Produtos!$A161="","",Produtos!$C161)</f>
        <v>Porta-guarda-chuvas</v>
      </c>
      <c r="D161" s="33" t="n">
        <f aca="false">IF(Produtos!$A161="","",IF(Produtos!$D161="","",Produtos!$D161))</f>
        <v>122.9</v>
      </c>
      <c r="E161" s="11" t="n">
        <v>40.85</v>
      </c>
      <c r="F161" s="34" t="n">
        <f aca="false">IF($A161="","",IF($C161="","⚠ categoria",IFERROR(INDEX(Parâmetros!$C$13:$C$22,MATCH($C161,Parâmetros!$A$13:$A$22,0)),"⚠ categoria")))</f>
        <v>0.18</v>
      </c>
      <c r="G161" s="35" t="n">
        <v>0.135</v>
      </c>
      <c r="H161" s="36" t="n">
        <f aca="false">IF($A161="","",IF(ISNUMBER($G161),$G161,IF(ISNUMBER($F161),$F161,"")))</f>
        <v>0.135</v>
      </c>
      <c r="I161" s="37" t="n">
        <f aca="false">IF(OR($A161="",NOT(ISNUMBER($D161)),NOT(ISNUMBER($H161))),"",IF((1-$H161-Parâmetros!$B$5-Parâmetros!$C$5-Parâmetros!$D$5)&lt;=0,"INVALIDO",($D161+IF(ISNUMBER($E161),$E161,0)+IF(ISNUMBER(Parâmetros!$E$5),Parâmetros!$E$5,0))/(1-$H161-Parâmetros!$B$5-Parâmetros!$C$5-Parâmetros!$D$5)))</f>
        <v>306.07476635514</v>
      </c>
      <c r="J161" s="38" t="n">
        <v>271.023165</v>
      </c>
      <c r="K161" s="39" t="n">
        <f aca="false">IF(OR($A161="",NOT(ISNUMBER($D161)),NOT(ISNUMBER($H161))),"",IF(AND(ISNUMBER($J161),$J161&gt;0),$J161,IF(ISNUMBER($I161),$I161,"")))</f>
        <v>271.023165</v>
      </c>
      <c r="L161" s="40" t="n">
        <f aca="false">IF(ISNUMBER($K161),$K161*$H161,"")</f>
        <v>36.588127275</v>
      </c>
      <c r="M161" s="40" t="n">
        <f aca="false">IF(ISNUMBER($K161),$K161*Parâmetros!$B$5,"")</f>
        <v>27.1023165</v>
      </c>
      <c r="N161" s="40" t="n">
        <f aca="false">IF(ISNUMBER($K161),$K161*Parâmetros!$C$5,"")</f>
        <v>8.13069495</v>
      </c>
      <c r="O161" s="40" t="n">
        <f aca="false">IF(ISNUMBER($K161),IF(ISNUMBER(Parâmetros!$E$5),Parâmetros!$E$5,0),"")</f>
        <v>0</v>
      </c>
      <c r="P161" s="41" t="n">
        <f aca="false">IF(ISNUMBER($K161),$K161-$D161-IF(ISNUMBER($E161),$E161,0)-$L161-$M161-$N161-$O161,"")</f>
        <v>35.4520262750001</v>
      </c>
      <c r="Q161" s="42" t="n">
        <f aca="false">IF(AND(ISNUMBER($K161),$K161&gt;0),$P161/$K161,"")</f>
        <v>0.130808103709512</v>
      </c>
      <c r="R161" s="43"/>
      <c r="S161" s="44" t="str">
        <f aca="false">IF(OR(NOT(ISNUMBER($R161)),$R161=0,NOT(ISNUMBER($K161))),"",$K161*(1-$R161))</f>
        <v/>
      </c>
      <c r="T161" s="45" t="str">
        <f aca="false">IF(ISNUMBER($S161),$S161*$H161,"")</f>
        <v/>
      </c>
      <c r="U161" s="45" t="str">
        <f aca="false">IF(ISNUMBER($S161),$S161*Parâmetros!$B$5,"")</f>
        <v/>
      </c>
      <c r="V161" s="45" t="str">
        <f aca="false">IF(ISNUMBER($S161),$S161*Parâmetros!$C$5,"")</f>
        <v/>
      </c>
      <c r="W161" s="44" t="str">
        <f aca="false">IF(ISNUMBER($S161),$S161-$D161-IF(ISNUMBER($E161),$E161,0)-$O161-$T161-$U161-$V161,"")</f>
        <v/>
      </c>
      <c r="X161" s="46" t="str">
        <f aca="false">IF(AND(ISNUMBER($S161),$S161&gt;0),$W161/$S161,"")</f>
        <v/>
      </c>
      <c r="Y161" s="49" t="s">
        <v>741</v>
      </c>
      <c r="Z161" s="21"/>
    </row>
    <row r="162" customFormat="false" ht="15.75" hidden="false" customHeight="true" outlineLevel="0" collapsed="false">
      <c r="A162" s="32" t="str">
        <f aca="false">IF(Produtos!$A162="","",Produtos!$A162)</f>
        <v>PG2460</v>
      </c>
      <c r="B162" s="32" t="str">
        <f aca="false">IF(Produtos!$A162="","",Produtos!$B162)</f>
        <v>Porta Guarda-chuvas 24x60</v>
      </c>
      <c r="C162" s="32" t="str">
        <f aca="false">IF(Produtos!$A162="","",Produtos!$C162)</f>
        <v>Porta-guarda-chuvas</v>
      </c>
      <c r="D162" s="33" t="n">
        <f aca="false">IF(Produtos!$A162="","",IF(Produtos!$D162="","",Produtos!$D162))</f>
        <v>124.42</v>
      </c>
      <c r="E162" s="11" t="n">
        <v>40.85</v>
      </c>
      <c r="F162" s="34" t="n">
        <f aca="false">IF($A162="","",IF($C162="","⚠ categoria",IFERROR(INDEX(Parâmetros!$C$13:$C$22,MATCH($C162,Parâmetros!$A$13:$A$22,0)),"⚠ categoria")))</f>
        <v>0.18</v>
      </c>
      <c r="G162" s="35" t="n">
        <v>0.135</v>
      </c>
      <c r="H162" s="36" t="n">
        <f aca="false">IF($A162="","",IF(ISNUMBER($G162),$G162,IF(ISNUMBER($F162),$F162,"")))</f>
        <v>0.135</v>
      </c>
      <c r="I162" s="37" t="n">
        <f aca="false">IF(OR($A162="",NOT(ISNUMBER($D162)),NOT(ISNUMBER($H162))),"",IF((1-$H162-Parâmetros!$B$5-Parâmetros!$C$5-Parâmetros!$D$5)&lt;=0,"INVALIDO",($D162+IF(ISNUMBER($E162),$E162,0)+IF(ISNUMBER(Parâmetros!$E$5),Parâmetros!$E$5,0))/(1-$H162-Parâmetros!$B$5-Parâmetros!$C$5-Parâmetros!$D$5)))</f>
        <v>308.915887850467</v>
      </c>
      <c r="J162" s="38" t="n">
        <v>287.95921875</v>
      </c>
      <c r="K162" s="39" t="n">
        <f aca="false">IF(OR($A162="",NOT(ISNUMBER($D162)),NOT(ISNUMBER($H162))),"",IF(AND(ISNUMBER($J162),$J162&gt;0),$J162,IF(ISNUMBER($I162),$I162,"")))</f>
        <v>287.95921875</v>
      </c>
      <c r="L162" s="40" t="n">
        <f aca="false">IF(ISNUMBER($K162),$K162*$H162,"")</f>
        <v>38.87449453125</v>
      </c>
      <c r="M162" s="40" t="n">
        <f aca="false">IF(ISNUMBER($K162),$K162*Parâmetros!$B$5,"")</f>
        <v>28.795921875</v>
      </c>
      <c r="N162" s="40" t="n">
        <f aca="false">IF(ISNUMBER($K162),$K162*Parâmetros!$C$5,"")</f>
        <v>8.6387765625</v>
      </c>
      <c r="O162" s="40" t="n">
        <f aca="false">IF(ISNUMBER($K162),IF(ISNUMBER(Parâmetros!$E$5),Parâmetros!$E$5,0),"")</f>
        <v>0</v>
      </c>
      <c r="P162" s="41" t="n">
        <f aca="false">IF(ISNUMBER($K162),$K162-$D162-IF(ISNUMBER($E162),$E162,0)-$L162-$M162-$N162-$O162,"")</f>
        <v>46.38002578125</v>
      </c>
      <c r="Q162" s="42" t="n">
        <f aca="false">IF(AND(ISNUMBER($K162),$K162&gt;0),$P162/$K162,"")</f>
        <v>0.161064563178705</v>
      </c>
      <c r="R162" s="43"/>
      <c r="S162" s="44" t="str">
        <f aca="false">IF(OR(NOT(ISNUMBER($R162)),$R162=0,NOT(ISNUMBER($K162))),"",$K162*(1-$R162))</f>
        <v/>
      </c>
      <c r="T162" s="45" t="str">
        <f aca="false">IF(ISNUMBER($S162),$S162*$H162,"")</f>
        <v/>
      </c>
      <c r="U162" s="45" t="str">
        <f aca="false">IF(ISNUMBER($S162),$S162*Parâmetros!$B$5,"")</f>
        <v/>
      </c>
      <c r="V162" s="45" t="str">
        <f aca="false">IF(ISNUMBER($S162),$S162*Parâmetros!$C$5,"")</f>
        <v/>
      </c>
      <c r="W162" s="44" t="str">
        <f aca="false">IF(ISNUMBER($S162),$S162-$D162-IF(ISNUMBER($E162),$E162,0)-$O162-$T162-$U162-$V162,"")</f>
        <v/>
      </c>
      <c r="X162" s="46" t="str">
        <f aca="false">IF(AND(ISNUMBER($S162),$S162&gt;0),$W162/$S162,"")</f>
        <v/>
      </c>
      <c r="Y162" s="47" t="s">
        <v>741</v>
      </c>
      <c r="Z162" s="19"/>
    </row>
    <row r="163" customFormat="false" ht="15.75" hidden="false" customHeight="true" outlineLevel="0" collapsed="false">
      <c r="A163" s="48" t="str">
        <f aca="false">IF(Produtos!$A163="","",Produtos!$A163)</f>
        <v>PG2470</v>
      </c>
      <c r="B163" s="48" t="str">
        <f aca="false">IF(Produtos!$A163="","",Produtos!$B163)</f>
        <v>Porta Guarda-chuvas 24x70</v>
      </c>
      <c r="C163" s="48" t="str">
        <f aca="false">IF(Produtos!$A163="","",Produtos!$C163)</f>
        <v>Porta-guarda-chuvas</v>
      </c>
      <c r="D163" s="33" t="n">
        <f aca="false">IF(Produtos!$A163="","",IF(Produtos!$D163="","",Produtos!$D163))</f>
        <v>194.41</v>
      </c>
      <c r="E163" s="11" t="n">
        <v>50.75</v>
      </c>
      <c r="F163" s="34" t="n">
        <f aca="false">IF($A163="","",IF($C163="","⚠ categoria",IFERROR(INDEX(Parâmetros!$C$13:$C$22,MATCH($C163,Parâmetros!$A$13:$A$22,0)),"⚠ categoria")))</f>
        <v>0.18</v>
      </c>
      <c r="G163" s="35" t="n">
        <v>0.135</v>
      </c>
      <c r="H163" s="36" t="n">
        <f aca="false">IF($A163="","",IF(ISNUMBER($G163),$G163,IF(ISNUMBER($F163),$F163,"")))</f>
        <v>0.135</v>
      </c>
      <c r="I163" s="37" t="n">
        <f aca="false">IF(OR($A163="",NOT(ISNUMBER($D163)),NOT(ISNUMBER($H163))),"",IF((1-$H163-Parâmetros!$B$5-Parâmetros!$C$5-Parâmetros!$D$5)&lt;=0,"INVALIDO",($D163+IF(ISNUMBER($E163),$E163,0)+IF(ISNUMBER(Parâmetros!$E$5),Parâmetros!$E$5,0))/(1-$H163-Parâmetros!$B$5-Parâmetros!$C$5-Parâmetros!$D$5)))</f>
        <v>458.242990654206</v>
      </c>
      <c r="J163" s="38" t="n">
        <v>417.439575</v>
      </c>
      <c r="K163" s="39" t="n">
        <f aca="false">IF(OR($A163="",NOT(ISNUMBER($D163)),NOT(ISNUMBER($H163))),"",IF(AND(ISNUMBER($J163),$J163&gt;0),$J163,IF(ISNUMBER($I163),$I163,"")))</f>
        <v>417.439575</v>
      </c>
      <c r="L163" s="40" t="n">
        <f aca="false">IF(ISNUMBER($K163),$K163*$H163,"")</f>
        <v>56.354342625</v>
      </c>
      <c r="M163" s="40" t="n">
        <f aca="false">IF(ISNUMBER($K163),$K163*Parâmetros!$B$5,"")</f>
        <v>41.7439575</v>
      </c>
      <c r="N163" s="40" t="n">
        <f aca="false">IF(ISNUMBER($K163),$K163*Parâmetros!$C$5,"")</f>
        <v>12.52318725</v>
      </c>
      <c r="O163" s="40" t="n">
        <f aca="false">IF(ISNUMBER($K163),IF(ISNUMBER(Parâmetros!$E$5),Parâmetros!$E$5,0),"")</f>
        <v>0</v>
      </c>
      <c r="P163" s="41" t="n">
        <f aca="false">IF(ISNUMBER($K163),$K163-$D163-IF(ISNUMBER($E163),$E163,0)-$L163-$M163-$N163-$O163,"")</f>
        <v>61.6580876250001</v>
      </c>
      <c r="Q163" s="42" t="n">
        <f aca="false">IF(AND(ISNUMBER($K163),$K163&gt;0),$P163/$K163,"")</f>
        <v>0.147705419700564</v>
      </c>
      <c r="R163" s="43"/>
      <c r="S163" s="44" t="str">
        <f aca="false">IF(OR(NOT(ISNUMBER($R163)),$R163=0,NOT(ISNUMBER($K163))),"",$K163*(1-$R163))</f>
        <v/>
      </c>
      <c r="T163" s="45" t="str">
        <f aca="false">IF(ISNUMBER($S163),$S163*$H163,"")</f>
        <v/>
      </c>
      <c r="U163" s="45" t="str">
        <f aca="false">IF(ISNUMBER($S163),$S163*Parâmetros!$B$5,"")</f>
        <v/>
      </c>
      <c r="V163" s="45" t="str">
        <f aca="false">IF(ISNUMBER($S163),$S163*Parâmetros!$C$5,"")</f>
        <v/>
      </c>
      <c r="W163" s="44" t="str">
        <f aca="false">IF(ISNUMBER($S163),$S163-$D163-IF(ISNUMBER($E163),$E163,0)-$O163-$T163-$U163-$V163,"")</f>
        <v/>
      </c>
      <c r="X163" s="46" t="str">
        <f aca="false">IF(AND(ISNUMBER($S163),$S163&gt;0),$W163/$S163,"")</f>
        <v/>
      </c>
      <c r="Y163" s="49" t="s">
        <v>741</v>
      </c>
      <c r="Z163" s="21"/>
    </row>
    <row r="164" customFormat="false" ht="15.75" hidden="false" customHeight="true" outlineLevel="0" collapsed="false">
      <c r="A164" s="32" t="str">
        <f aca="false">IF(Produtos!$A164="","",Produtos!$A164)</f>
        <v>PG3060</v>
      </c>
      <c r="B164" s="32" t="str">
        <f aca="false">IF(Produtos!$A164="","",Produtos!$B164)</f>
        <v>Porta Guarda-chuvas 30x60</v>
      </c>
      <c r="C164" s="32" t="str">
        <f aca="false">IF(Produtos!$A164="","",Produtos!$C164)</f>
        <v>Porta-guarda-chuvas</v>
      </c>
      <c r="D164" s="33" t="n">
        <f aca="false">IF(Produtos!$A164="","",IF(Produtos!$D164="","",Produtos!$D164))</f>
        <v>170.08</v>
      </c>
      <c r="E164" s="11" t="n">
        <v>65.85</v>
      </c>
      <c r="F164" s="34" t="n">
        <f aca="false">IF($A164="","",IF($C164="","⚠ categoria",IFERROR(INDEX(Parâmetros!$C$13:$C$22,MATCH($C164,Parâmetros!$A$13:$A$22,0)),"⚠ categoria")))</f>
        <v>0.18</v>
      </c>
      <c r="G164" s="35" t="n">
        <v>0.135</v>
      </c>
      <c r="H164" s="36" t="n">
        <f aca="false">IF($A164="","",IF(ISNUMBER($G164),$G164,IF(ISNUMBER($F164),$F164,"")))</f>
        <v>0.135</v>
      </c>
      <c r="I164" s="37" t="n">
        <f aca="false">IF(OR($A164="",NOT(ISNUMBER($D164)),NOT(ISNUMBER($H164))),"",IF((1-$H164-Parâmetros!$B$5-Parâmetros!$C$5-Parâmetros!$D$5)&lt;=0,"INVALIDO",($D164+IF(ISNUMBER($E164),$E164,0)+IF(ISNUMBER(Parâmetros!$E$5),Parâmetros!$E$5,0))/(1-$H164-Parâmetros!$B$5-Parâmetros!$C$5-Parâmetros!$D$5)))</f>
        <v>440.990654205608</v>
      </c>
      <c r="J164" s="38" t="n">
        <v>371.84072625</v>
      </c>
      <c r="K164" s="39" t="n">
        <f aca="false">IF(OR($A164="",NOT(ISNUMBER($D164)),NOT(ISNUMBER($H164))),"",IF(AND(ISNUMBER($J164),$J164&gt;0),$J164,IF(ISNUMBER($I164),$I164,"")))</f>
        <v>371.84072625</v>
      </c>
      <c r="L164" s="40" t="n">
        <f aca="false">IF(ISNUMBER($K164),$K164*$H164,"")</f>
        <v>50.19849804375</v>
      </c>
      <c r="M164" s="40" t="n">
        <f aca="false">IF(ISNUMBER($K164),$K164*Parâmetros!$B$5,"")</f>
        <v>37.184072625</v>
      </c>
      <c r="N164" s="40" t="n">
        <f aca="false">IF(ISNUMBER($K164),$K164*Parâmetros!$C$5,"")</f>
        <v>11.1552217875</v>
      </c>
      <c r="O164" s="40" t="n">
        <f aca="false">IF(ISNUMBER($K164),IF(ISNUMBER(Parâmetros!$E$5),Parâmetros!$E$5,0),"")</f>
        <v>0</v>
      </c>
      <c r="P164" s="41" t="n">
        <f aca="false">IF(ISNUMBER($K164),$K164-$D164-IF(ISNUMBER($E164),$E164,0)-$L164-$M164-$N164-$O164,"")</f>
        <v>37.37293379375</v>
      </c>
      <c r="Q164" s="42" t="n">
        <f aca="false">IF(AND(ISNUMBER($K164),$K164&gt;0),$P164/$K164,"")</f>
        <v>0.10050790877765</v>
      </c>
      <c r="R164" s="43"/>
      <c r="S164" s="44" t="str">
        <f aca="false">IF(OR(NOT(ISNUMBER($R164)),$R164=0,NOT(ISNUMBER($K164))),"",$K164*(1-$R164))</f>
        <v/>
      </c>
      <c r="T164" s="45" t="str">
        <f aca="false">IF(ISNUMBER($S164),$S164*$H164,"")</f>
        <v/>
      </c>
      <c r="U164" s="45" t="str">
        <f aca="false">IF(ISNUMBER($S164),$S164*Parâmetros!$B$5,"")</f>
        <v/>
      </c>
      <c r="V164" s="45" t="str">
        <f aca="false">IF(ISNUMBER($S164),$S164*Parâmetros!$C$5,"")</f>
        <v/>
      </c>
      <c r="W164" s="44" t="str">
        <f aca="false">IF(ISNUMBER($S164),$S164-$D164-IF(ISNUMBER($E164),$E164,0)-$O164-$T164-$U164-$V164,"")</f>
        <v/>
      </c>
      <c r="X164" s="46" t="str">
        <f aca="false">IF(AND(ISNUMBER($S164),$S164&gt;0),$W164/$S164,"")</f>
        <v/>
      </c>
      <c r="Y164" s="47" t="s">
        <v>741</v>
      </c>
      <c r="Z164" s="19"/>
    </row>
    <row r="165" customFormat="false" ht="15.75" hidden="false" customHeight="true" outlineLevel="0" collapsed="false">
      <c r="A165" s="48" t="str">
        <f aca="false">IF(Produtos!$A165="","",Produtos!$A165)</f>
        <v>PG3070</v>
      </c>
      <c r="B165" s="48" t="str">
        <f aca="false">IF(Produtos!$A165="","",Produtos!$B165)</f>
        <v>Porta Guarda-chuvas 30x70</v>
      </c>
      <c r="C165" s="48" t="str">
        <f aca="false">IF(Produtos!$A165="","",Produtos!$C165)</f>
        <v>Porta-guarda-chuvas</v>
      </c>
      <c r="D165" s="33" t="n">
        <f aca="false">IF(Produtos!$A165="","",IF(Produtos!$D165="","",Produtos!$D165))</f>
        <v>232.51</v>
      </c>
      <c r="E165" s="11" t="n">
        <v>70.95</v>
      </c>
      <c r="F165" s="34" t="n">
        <f aca="false">IF($A165="","",IF($C165="","⚠ categoria",IFERROR(INDEX(Parâmetros!$C$13:$C$22,MATCH($C165,Parâmetros!$A$13:$A$22,0)),"⚠ categoria")))</f>
        <v>0.18</v>
      </c>
      <c r="G165" s="35" t="n">
        <v>0.135</v>
      </c>
      <c r="H165" s="36" t="n">
        <f aca="false">IF($A165="","",IF(ISNUMBER($G165),$G165,IF(ISNUMBER($F165),$F165,"")))</f>
        <v>0.135</v>
      </c>
      <c r="I165" s="37" t="n">
        <f aca="false">IF(OR($A165="",NOT(ISNUMBER($D165)),NOT(ISNUMBER($H165))),"",IF((1-$H165-Parâmetros!$B$5-Parâmetros!$C$5-Parâmetros!$D$5)&lt;=0,"INVALIDO",($D165+IF(ISNUMBER($E165),$E165,0)+IF(ISNUMBER(Parâmetros!$E$5),Parâmetros!$E$5,0))/(1-$H165-Parâmetros!$B$5-Parâmetros!$C$5-Parâmetros!$D$5)))</f>
        <v>567.214953271028</v>
      </c>
      <c r="J165" s="38" t="n">
        <v>522.28567125</v>
      </c>
      <c r="K165" s="39" t="n">
        <f aca="false">IF(OR($A165="",NOT(ISNUMBER($D165)),NOT(ISNUMBER($H165))),"",IF(AND(ISNUMBER($J165),$J165&gt;0),$J165,IF(ISNUMBER($I165),$I165,"")))</f>
        <v>522.28567125</v>
      </c>
      <c r="L165" s="40" t="n">
        <f aca="false">IF(ISNUMBER($K165),$K165*$H165,"")</f>
        <v>70.50856561875</v>
      </c>
      <c r="M165" s="40" t="n">
        <f aca="false">IF(ISNUMBER($K165),$K165*Parâmetros!$B$5,"")</f>
        <v>52.228567125</v>
      </c>
      <c r="N165" s="40" t="n">
        <f aca="false">IF(ISNUMBER($K165),$K165*Parâmetros!$C$5,"")</f>
        <v>15.6685701375</v>
      </c>
      <c r="O165" s="40" t="n">
        <f aca="false">IF(ISNUMBER($K165),IF(ISNUMBER(Parâmetros!$E$5),Parâmetros!$E$5,0),"")</f>
        <v>0</v>
      </c>
      <c r="P165" s="41" t="n">
        <f aca="false">IF(ISNUMBER($K165),$K165-$D165-IF(ISNUMBER($E165),$E165,0)-$L165-$M165-$N165-$O165,"")</f>
        <v>80.4199683687502</v>
      </c>
      <c r="Q165" s="42" t="n">
        <f aca="false">IF(AND(ISNUMBER($K165),$K165&gt;0),$P165/$K165,"")</f>
        <v>0.153976976194424</v>
      </c>
      <c r="R165" s="43"/>
      <c r="S165" s="44" t="str">
        <f aca="false">IF(OR(NOT(ISNUMBER($R165)),$R165=0,NOT(ISNUMBER($K165))),"",$K165*(1-$R165))</f>
        <v/>
      </c>
      <c r="T165" s="45" t="str">
        <f aca="false">IF(ISNUMBER($S165),$S165*$H165,"")</f>
        <v/>
      </c>
      <c r="U165" s="45" t="str">
        <f aca="false">IF(ISNUMBER($S165),$S165*Parâmetros!$B$5,"")</f>
        <v/>
      </c>
      <c r="V165" s="45" t="str">
        <f aca="false">IF(ISNUMBER($S165),$S165*Parâmetros!$C$5,"")</f>
        <v/>
      </c>
      <c r="W165" s="44" t="str">
        <f aca="false">IF(ISNUMBER($S165),$S165-$D165-IF(ISNUMBER($E165),$E165,0)-$O165-$T165-$U165-$V165,"")</f>
        <v/>
      </c>
      <c r="X165" s="46" t="str">
        <f aca="false">IF(AND(ISNUMBER($S165),$S165&gt;0),$W165/$S165,"")</f>
        <v/>
      </c>
      <c r="Y165" s="49" t="s">
        <v>741</v>
      </c>
      <c r="Z165" s="21"/>
    </row>
    <row r="166" customFormat="false" ht="15.75" hidden="false" customHeight="true" outlineLevel="0" collapsed="false">
      <c r="A166" s="32" t="str">
        <f aca="false">IF(Produtos!$A166="","",Produtos!$A166)</f>
        <v>PG4050</v>
      </c>
      <c r="B166" s="32" t="str">
        <f aca="false">IF(Produtos!$A166="","",Produtos!$B166)</f>
        <v>Porta Guarda-chuvas 40x50</v>
      </c>
      <c r="C166" s="32" t="str">
        <f aca="false">IF(Produtos!$A166="","",Produtos!$C166)</f>
        <v>Porta-guarda-chuvas</v>
      </c>
      <c r="D166" s="33" t="n">
        <f aca="false">IF(Produtos!$A166="","",IF(Produtos!$D166="","",Produtos!$D166))</f>
        <v>228.9</v>
      </c>
      <c r="E166" s="11" t="n">
        <v>91.95</v>
      </c>
      <c r="F166" s="34" t="n">
        <f aca="false">IF($A166="","",IF($C166="","⚠ categoria",IFERROR(INDEX(Parâmetros!$C$13:$C$22,MATCH($C166,Parâmetros!$A$13:$A$22,0)),"⚠ categoria")))</f>
        <v>0.18</v>
      </c>
      <c r="G166" s="35" t="n">
        <v>0.135</v>
      </c>
      <c r="H166" s="36" t="n">
        <f aca="false">IF($A166="","",IF(ISNUMBER($G166),$G166,IF(ISNUMBER($F166),$F166,"")))</f>
        <v>0.135</v>
      </c>
      <c r="I166" s="37" t="n">
        <f aca="false">IF(OR($A166="",NOT(ISNUMBER($D166)),NOT(ISNUMBER($H166))),"",IF((1-$H166-Parâmetros!$B$5-Parâmetros!$C$5-Parâmetros!$D$5)&lt;=0,"INVALIDO",($D166+IF(ISNUMBER($E166),$E166,0)+IF(ISNUMBER(Parâmetros!$E$5),Parâmetros!$E$5,0))/(1-$H166-Parâmetros!$B$5-Parâmetros!$C$5-Parâmetros!$D$5)))</f>
        <v>599.719626168224</v>
      </c>
      <c r="J166" s="38" t="n">
        <v>461.76503625</v>
      </c>
      <c r="K166" s="39" t="n">
        <f aca="false">IF(OR($A166="",NOT(ISNUMBER($D166)),NOT(ISNUMBER($H166))),"",IF(AND(ISNUMBER($J166),$J166&gt;0),$J166,IF(ISNUMBER($I166),$I166,"")))</f>
        <v>461.76503625</v>
      </c>
      <c r="L166" s="40" t="n">
        <f aca="false">IF(ISNUMBER($K166),$K166*$H166,"")</f>
        <v>62.33827989375</v>
      </c>
      <c r="M166" s="40" t="n">
        <f aca="false">IF(ISNUMBER($K166),$K166*Parâmetros!$B$5,"")</f>
        <v>46.176503625</v>
      </c>
      <c r="N166" s="40" t="n">
        <f aca="false">IF(ISNUMBER($K166),$K166*Parâmetros!$C$5,"")</f>
        <v>13.8529510875</v>
      </c>
      <c r="O166" s="40" t="n">
        <f aca="false">IF(ISNUMBER($K166),IF(ISNUMBER(Parâmetros!$E$5),Parâmetros!$E$5,0),"")</f>
        <v>0</v>
      </c>
      <c r="P166" s="41" t="n">
        <f aca="false">IF(ISNUMBER($K166),$K166-$D166-IF(ISNUMBER($E166),$E166,0)-$L166-$M166-$N166-$O166,"")</f>
        <v>18.54730164375</v>
      </c>
      <c r="Q166" s="42" t="n">
        <f aca="false">IF(AND(ISNUMBER($K166),$K166&gt;0),$P166/$K166,"")</f>
        <v>0.0401661022115768</v>
      </c>
      <c r="R166" s="43"/>
      <c r="S166" s="44" t="str">
        <f aca="false">IF(OR(NOT(ISNUMBER($R166)),$R166=0,NOT(ISNUMBER($K166))),"",$K166*(1-$R166))</f>
        <v/>
      </c>
      <c r="T166" s="45" t="str">
        <f aca="false">IF(ISNUMBER($S166),$S166*$H166,"")</f>
        <v/>
      </c>
      <c r="U166" s="45" t="str">
        <f aca="false">IF(ISNUMBER($S166),$S166*Parâmetros!$B$5,"")</f>
        <v/>
      </c>
      <c r="V166" s="45" t="str">
        <f aca="false">IF(ISNUMBER($S166),$S166*Parâmetros!$C$5,"")</f>
        <v/>
      </c>
      <c r="W166" s="44" t="str">
        <f aca="false">IF(ISNUMBER($S166),$S166-$D166-IF(ISNUMBER($E166),$E166,0)-$O166-$T166-$U166-$V166,"")</f>
        <v/>
      </c>
      <c r="X166" s="46" t="str">
        <f aca="false">IF(AND(ISNUMBER($S166),$S166&gt;0),$W166/$S166,"")</f>
        <v/>
      </c>
      <c r="Y166" s="47" t="s">
        <v>741</v>
      </c>
      <c r="Z166" s="19"/>
    </row>
    <row r="167" customFormat="false" ht="15.75" hidden="false" customHeight="true" outlineLevel="0" collapsed="false">
      <c r="A167" s="48" t="str">
        <f aca="false">IF(Produtos!$A167="","",Produtos!$A167)</f>
        <v>PG4060</v>
      </c>
      <c r="B167" s="48" t="str">
        <f aca="false">IF(Produtos!$A167="","",Produtos!$B167)</f>
        <v>Porta Guarda-chuvas 40x60</v>
      </c>
      <c r="C167" s="48" t="str">
        <f aca="false">IF(Produtos!$A167="","",Produtos!$C167)</f>
        <v>Porta-guarda-chuvas</v>
      </c>
      <c r="D167" s="33" t="n">
        <f aca="false">IF(Produtos!$A167="","",IF(Produtos!$D167="","",Produtos!$D167))</f>
        <v>265.85</v>
      </c>
      <c r="E167" s="11"/>
      <c r="F167" s="34" t="n">
        <f aca="false">IF($A167="","",IF($C167="","⚠ categoria",IFERROR(INDEX(Parâmetros!$C$13:$C$22,MATCH($C167,Parâmetros!$A$13:$A$22,0)),"⚠ categoria")))</f>
        <v>0.18</v>
      </c>
      <c r="G167" s="35"/>
      <c r="H167" s="36" t="n">
        <f aca="false">IF($A167="","",IF(ISNUMBER($G167),$G167,IF(ISNUMBER($F167),$F167,"")))</f>
        <v>0.18</v>
      </c>
      <c r="I167" s="37" t="n">
        <f aca="false">IF(OR($A167="",NOT(ISNUMBER($D167)),NOT(ISNUMBER($H167))),"",IF((1-$H167-Parâmetros!$B$5-Parâmetros!$C$5-Parâmetros!$D$5)&lt;=0,"INVALIDO",($D167+IF(ISNUMBER($E167),$E167,0)+IF(ISNUMBER(Parâmetros!$E$5),Parâmetros!$E$5,0))/(1-$H167-Parâmetros!$B$5-Parâmetros!$C$5-Parâmetros!$D$5)))</f>
        <v>542.551020408163</v>
      </c>
      <c r="J167" s="38"/>
      <c r="K167" s="39" t="n">
        <f aca="false">IF(OR($A167="",NOT(ISNUMBER($D167)),NOT(ISNUMBER($H167))),"",IF(AND(ISNUMBER($J167),$J167&gt;0),$J167,IF(ISNUMBER($I167),$I167,"")))</f>
        <v>542.551020408163</v>
      </c>
      <c r="L167" s="40" t="n">
        <f aca="false">IF(ISNUMBER($K167),$K167*$H167,"")</f>
        <v>97.6591836734694</v>
      </c>
      <c r="M167" s="40" t="n">
        <f aca="false">IF(ISNUMBER($K167),$K167*Parâmetros!$B$5,"")</f>
        <v>54.2551020408163</v>
      </c>
      <c r="N167" s="40" t="n">
        <f aca="false">IF(ISNUMBER($K167),$K167*Parâmetros!$C$5,"")</f>
        <v>16.2765306122449</v>
      </c>
      <c r="O167" s="40" t="n">
        <f aca="false">IF(ISNUMBER($K167),IF(ISNUMBER(Parâmetros!$E$5),Parâmetros!$E$5,0),"")</f>
        <v>0</v>
      </c>
      <c r="P167" s="41" t="n">
        <f aca="false">IF(ISNUMBER($K167),$K167-$D167-IF(ISNUMBER($E167),$E167,0)-$L167-$M167-$N167-$O167,"")</f>
        <v>108.510204081633</v>
      </c>
      <c r="Q167" s="42" t="n">
        <f aca="false">IF(AND(ISNUMBER($K167),$K167&gt;0),$P167/$K167,"")</f>
        <v>0.2</v>
      </c>
      <c r="R167" s="43"/>
      <c r="S167" s="44" t="str">
        <f aca="false">IF(OR(NOT(ISNUMBER($R167)),$R167=0,NOT(ISNUMBER($K167))),"",$K167*(1-$R167))</f>
        <v/>
      </c>
      <c r="T167" s="45" t="str">
        <f aca="false">IF(ISNUMBER($S167),$S167*$H167,"")</f>
        <v/>
      </c>
      <c r="U167" s="45" t="str">
        <f aca="false">IF(ISNUMBER($S167),$S167*Parâmetros!$B$5,"")</f>
        <v/>
      </c>
      <c r="V167" s="45" t="str">
        <f aca="false">IF(ISNUMBER($S167),$S167*Parâmetros!$C$5,"")</f>
        <v/>
      </c>
      <c r="W167" s="44" t="str">
        <f aca="false">IF(ISNUMBER($S167),$S167-$D167-IF(ISNUMBER($E167),$E167,0)-$O167-$T167-$U167-$V167,"")</f>
        <v/>
      </c>
      <c r="X167" s="46" t="str">
        <f aca="false">IF(AND(ISNUMBER($S167),$S167&gt;0),$W167/$S167,"")</f>
        <v/>
      </c>
      <c r="Y167" s="49"/>
      <c r="Z167" s="21"/>
    </row>
    <row r="168" customFormat="false" ht="15.75" hidden="false" customHeight="true" outlineLevel="0" collapsed="false">
      <c r="A168" s="32" t="str">
        <f aca="false">IF(Produtos!$A168="","",Produtos!$A168)</f>
        <v>PG4070</v>
      </c>
      <c r="B168" s="32" t="str">
        <f aca="false">IF(Produtos!$A168="","",Produtos!$B168)</f>
        <v>Porta Guarda-chuvas 40x70</v>
      </c>
      <c r="C168" s="32" t="str">
        <f aca="false">IF(Produtos!$A168="","",Produtos!$C168)</f>
        <v>Porta-guarda-chuvas</v>
      </c>
      <c r="D168" s="33" t="n">
        <f aca="false">IF(Produtos!$A168="","",IF(Produtos!$D168="","",Produtos!$D168))</f>
        <v>267.68</v>
      </c>
      <c r="E168" s="11"/>
      <c r="F168" s="34" t="n">
        <f aca="false">IF($A168="","",IF($C168="","⚠ categoria",IFERROR(INDEX(Parâmetros!$C$13:$C$22,MATCH($C168,Parâmetros!$A$13:$A$22,0)),"⚠ categoria")))</f>
        <v>0.18</v>
      </c>
      <c r="G168" s="35"/>
      <c r="H168" s="36" t="n">
        <f aca="false">IF($A168="","",IF(ISNUMBER($G168),$G168,IF(ISNUMBER($F168),$F168,"")))</f>
        <v>0.18</v>
      </c>
      <c r="I168" s="37" t="n">
        <f aca="false">IF(OR($A168="",NOT(ISNUMBER($D168)),NOT(ISNUMBER($H168))),"",IF((1-$H168-Parâmetros!$B$5-Parâmetros!$C$5-Parâmetros!$D$5)&lt;=0,"INVALIDO",($D168+IF(ISNUMBER($E168),$E168,0)+IF(ISNUMBER(Parâmetros!$E$5),Parâmetros!$E$5,0))/(1-$H168-Parâmetros!$B$5-Parâmetros!$C$5-Parâmetros!$D$5)))</f>
        <v>546.285714285714</v>
      </c>
      <c r="J168" s="38"/>
      <c r="K168" s="39" t="n">
        <f aca="false">IF(OR($A168="",NOT(ISNUMBER($D168)),NOT(ISNUMBER($H168))),"",IF(AND(ISNUMBER($J168),$J168&gt;0),$J168,IF(ISNUMBER($I168),$I168,"")))</f>
        <v>546.285714285714</v>
      </c>
      <c r="L168" s="40" t="n">
        <f aca="false">IF(ISNUMBER($K168),$K168*$H168,"")</f>
        <v>98.3314285714286</v>
      </c>
      <c r="M168" s="40" t="n">
        <f aca="false">IF(ISNUMBER($K168),$K168*Parâmetros!$B$5,"")</f>
        <v>54.6285714285714</v>
      </c>
      <c r="N168" s="40" t="n">
        <f aca="false">IF(ISNUMBER($K168),$K168*Parâmetros!$C$5,"")</f>
        <v>16.3885714285714</v>
      </c>
      <c r="O168" s="40" t="n">
        <f aca="false">IF(ISNUMBER($K168),IF(ISNUMBER(Parâmetros!$E$5),Parâmetros!$E$5,0),"")</f>
        <v>0</v>
      </c>
      <c r="P168" s="41" t="n">
        <f aca="false">IF(ISNUMBER($K168),$K168-$D168-IF(ISNUMBER($E168),$E168,0)-$L168-$M168-$N168-$O168,"")</f>
        <v>109.257142857143</v>
      </c>
      <c r="Q168" s="42" t="n">
        <f aca="false">IF(AND(ISNUMBER($K168),$K168&gt;0),$P168/$K168,"")</f>
        <v>0.2</v>
      </c>
      <c r="R168" s="43"/>
      <c r="S168" s="44" t="str">
        <f aca="false">IF(OR(NOT(ISNUMBER($R168)),$R168=0,NOT(ISNUMBER($K168))),"",$K168*(1-$R168))</f>
        <v/>
      </c>
      <c r="T168" s="45" t="str">
        <f aca="false">IF(ISNUMBER($S168),$S168*$H168,"")</f>
        <v/>
      </c>
      <c r="U168" s="45" t="str">
        <f aca="false">IF(ISNUMBER($S168),$S168*Parâmetros!$B$5,"")</f>
        <v/>
      </c>
      <c r="V168" s="45" t="str">
        <f aca="false">IF(ISNUMBER($S168),$S168*Parâmetros!$C$5,"")</f>
        <v/>
      </c>
      <c r="W168" s="44" t="str">
        <f aca="false">IF(ISNUMBER($S168),$S168-$D168-IF(ISNUMBER($E168),$E168,0)-$O168-$T168-$U168-$V168,"")</f>
        <v/>
      </c>
      <c r="X168" s="46" t="str">
        <f aca="false">IF(AND(ISNUMBER($S168),$S168&gt;0),$W168/$S168,"")</f>
        <v/>
      </c>
      <c r="Y168" s="47"/>
      <c r="Z168" s="19"/>
    </row>
    <row r="169" customFormat="false" ht="15.75" hidden="false" customHeight="true" outlineLevel="0" collapsed="false">
      <c r="A169" s="48" t="str">
        <f aca="false">IF(Produtos!$A169="","",Produtos!$A169)</f>
        <v>PG4080</v>
      </c>
      <c r="B169" s="48" t="str">
        <f aca="false">IF(Produtos!$A169="","",Produtos!$B169)</f>
        <v>Porta Guarda-chuvas 40x80</v>
      </c>
      <c r="C169" s="48" t="str">
        <f aca="false">IF(Produtos!$A169="","",Produtos!$C169)</f>
        <v>Porta-guarda-chuvas</v>
      </c>
      <c r="D169" s="33" t="n">
        <f aca="false">IF(Produtos!$A169="","",IF(Produtos!$D169="","",Produtos!$D169))</f>
        <v>329.27</v>
      </c>
      <c r="E169" s="11" t="n">
        <v>70.95</v>
      </c>
      <c r="F169" s="34" t="n">
        <f aca="false">IF($A169="","",IF($C169="","⚠ categoria",IFERROR(INDEX(Parâmetros!$C$13:$C$22,MATCH($C169,Parâmetros!$A$13:$A$22,0)),"⚠ categoria")))</f>
        <v>0.18</v>
      </c>
      <c r="G169" s="35" t="n">
        <v>0.165</v>
      </c>
      <c r="H169" s="36" t="n">
        <f aca="false">IF($A169="","",IF(ISNUMBER($G169),$G169,IF(ISNUMBER($F169),$F169,"")))</f>
        <v>0.165</v>
      </c>
      <c r="I169" s="37" t="n">
        <f aca="false">IF(OR($A169="",NOT(ISNUMBER($D169)),NOT(ISNUMBER($H169))),"",IF((1-$H169-Parâmetros!$B$5-Parâmetros!$C$5-Parâmetros!$D$5)&lt;=0,"INVALIDO",($D169+IF(ISNUMBER($E169),$E169,0)+IF(ISNUMBER(Parâmetros!$E$5),Parâmetros!$E$5,0))/(1-$H169-Parâmetros!$B$5-Parâmetros!$C$5-Parâmetros!$D$5)))</f>
        <v>792.514851485149</v>
      </c>
      <c r="J169" s="38" t="n">
        <v>705.125925</v>
      </c>
      <c r="K169" s="39" t="n">
        <f aca="false">IF(OR($A169="",NOT(ISNUMBER($D169)),NOT(ISNUMBER($H169))),"",IF(AND(ISNUMBER($J169),$J169&gt;0),$J169,IF(ISNUMBER($I169),$I169,"")))</f>
        <v>705.125925</v>
      </c>
      <c r="L169" s="40" t="n">
        <f aca="false">IF(ISNUMBER($K169),$K169*$H169,"")</f>
        <v>116.345777625</v>
      </c>
      <c r="M169" s="40" t="n">
        <f aca="false">IF(ISNUMBER($K169),$K169*Parâmetros!$B$5,"")</f>
        <v>70.5125925</v>
      </c>
      <c r="N169" s="40" t="n">
        <f aca="false">IF(ISNUMBER($K169),$K169*Parâmetros!$C$5,"")</f>
        <v>21.15377775</v>
      </c>
      <c r="O169" s="40" t="n">
        <f aca="false">IF(ISNUMBER($K169),IF(ISNUMBER(Parâmetros!$E$5),Parâmetros!$E$5,0),"")</f>
        <v>0</v>
      </c>
      <c r="P169" s="41" t="n">
        <f aca="false">IF(ISNUMBER($K169),$K169-$D169-IF(ISNUMBER($E169),$E169,0)-$L169-$M169-$N169-$O169,"")</f>
        <v>96.8937771250001</v>
      </c>
      <c r="Q169" s="42" t="n">
        <f aca="false">IF(AND(ISNUMBER($K169),$K169&gt;0),$P169/$K169,"")</f>
        <v>0.137413437358724</v>
      </c>
      <c r="R169" s="43"/>
      <c r="S169" s="44" t="str">
        <f aca="false">IF(OR(NOT(ISNUMBER($R169)),$R169=0,NOT(ISNUMBER($K169))),"",$K169*(1-$R169))</f>
        <v/>
      </c>
      <c r="T169" s="45" t="str">
        <f aca="false">IF(ISNUMBER($S169),$S169*$H169,"")</f>
        <v/>
      </c>
      <c r="U169" s="45" t="str">
        <f aca="false">IF(ISNUMBER($S169),$S169*Parâmetros!$B$5,"")</f>
        <v/>
      </c>
      <c r="V169" s="45" t="str">
        <f aca="false">IF(ISNUMBER($S169),$S169*Parâmetros!$C$5,"")</f>
        <v/>
      </c>
      <c r="W169" s="44" t="str">
        <f aca="false">IF(ISNUMBER($S169),$S169-$D169-IF(ISNUMBER($E169),$E169,0)-$O169-$T169-$U169-$V169,"")</f>
        <v/>
      </c>
      <c r="X169" s="46" t="str">
        <f aca="false">IF(AND(ISNUMBER($S169),$S169&gt;0),$W169/$S169,"")</f>
        <v/>
      </c>
      <c r="Y169" s="49" t="s">
        <v>741</v>
      </c>
      <c r="Z169" s="21"/>
    </row>
    <row r="170" customFormat="false" ht="15.75" hidden="false" customHeight="true" outlineLevel="0" collapsed="false">
      <c r="A170" s="32" t="str">
        <f aca="false">IF(Produtos!$A170="","",Produtos!$A170)</f>
        <v>PG4085</v>
      </c>
      <c r="B170" s="32" t="str">
        <f aca="false">IF(Produtos!$A170="","",Produtos!$B170)</f>
        <v>Porta Guarda-chuvas 40x85 105L</v>
      </c>
      <c r="C170" s="32" t="str">
        <f aca="false">IF(Produtos!$A170="","",Produtos!$C170)</f>
        <v>Porta-guarda-chuvas</v>
      </c>
      <c r="D170" s="33" t="n">
        <f aca="false">IF(Produtos!$A170="","",IF(Produtos!$D170="","",Produtos!$D170))</f>
        <v>331.32</v>
      </c>
      <c r="E170" s="11"/>
      <c r="F170" s="34" t="n">
        <f aca="false">IF($A170="","",IF($C170="","⚠ categoria",IFERROR(INDEX(Parâmetros!$C$13:$C$22,MATCH($C170,Parâmetros!$A$13:$A$22,0)),"⚠ categoria")))</f>
        <v>0.18</v>
      </c>
      <c r="G170" s="35"/>
      <c r="H170" s="36" t="n">
        <f aca="false">IF($A170="","",IF(ISNUMBER($G170),$G170,IF(ISNUMBER($F170),$F170,"")))</f>
        <v>0.18</v>
      </c>
      <c r="I170" s="37" t="n">
        <f aca="false">IF(OR($A170="",NOT(ISNUMBER($D170)),NOT(ISNUMBER($H170))),"",IF((1-$H170-Parâmetros!$B$5-Parâmetros!$C$5-Parâmetros!$D$5)&lt;=0,"INVALIDO",($D170+IF(ISNUMBER($E170),$E170,0)+IF(ISNUMBER(Parâmetros!$E$5),Parâmetros!$E$5,0))/(1-$H170-Parâmetros!$B$5-Parâmetros!$C$5-Parâmetros!$D$5)))</f>
        <v>676.163265306122</v>
      </c>
      <c r="J170" s="38"/>
      <c r="K170" s="39" t="n">
        <f aca="false">IF(OR($A170="",NOT(ISNUMBER($D170)),NOT(ISNUMBER($H170))),"",IF(AND(ISNUMBER($J170),$J170&gt;0),$J170,IF(ISNUMBER($I170),$I170,"")))</f>
        <v>676.163265306122</v>
      </c>
      <c r="L170" s="40" t="n">
        <f aca="false">IF(ISNUMBER($K170),$K170*$H170,"")</f>
        <v>121.709387755102</v>
      </c>
      <c r="M170" s="40" t="n">
        <f aca="false">IF(ISNUMBER($K170),$K170*Parâmetros!$B$5,"")</f>
        <v>67.6163265306122</v>
      </c>
      <c r="N170" s="40" t="n">
        <f aca="false">IF(ISNUMBER($K170),$K170*Parâmetros!$C$5,"")</f>
        <v>20.2848979591837</v>
      </c>
      <c r="O170" s="40" t="n">
        <f aca="false">IF(ISNUMBER($K170),IF(ISNUMBER(Parâmetros!$E$5),Parâmetros!$E$5,0),"")</f>
        <v>0</v>
      </c>
      <c r="P170" s="41" t="n">
        <f aca="false">IF(ISNUMBER($K170),$K170-$D170-IF(ISNUMBER($E170),$E170,0)-$L170-$M170-$N170-$O170,"")</f>
        <v>135.232653061224</v>
      </c>
      <c r="Q170" s="42" t="n">
        <f aca="false">IF(AND(ISNUMBER($K170),$K170&gt;0),$P170/$K170,"")</f>
        <v>0.2</v>
      </c>
      <c r="R170" s="43"/>
      <c r="S170" s="44" t="str">
        <f aca="false">IF(OR(NOT(ISNUMBER($R170)),$R170=0,NOT(ISNUMBER($K170))),"",$K170*(1-$R170))</f>
        <v/>
      </c>
      <c r="T170" s="45" t="str">
        <f aca="false">IF(ISNUMBER($S170),$S170*$H170,"")</f>
        <v/>
      </c>
      <c r="U170" s="45" t="str">
        <f aca="false">IF(ISNUMBER($S170),$S170*Parâmetros!$B$5,"")</f>
        <v/>
      </c>
      <c r="V170" s="45" t="str">
        <f aca="false">IF(ISNUMBER($S170),$S170*Parâmetros!$C$5,"")</f>
        <v/>
      </c>
      <c r="W170" s="44" t="str">
        <f aca="false">IF(ISNUMBER($S170),$S170-$D170-IF(ISNUMBER($E170),$E170,0)-$O170-$T170-$U170-$V170,"")</f>
        <v/>
      </c>
      <c r="X170" s="46" t="str">
        <f aca="false">IF(AND(ISNUMBER($S170),$S170&gt;0),$W170/$S170,"")</f>
        <v/>
      </c>
      <c r="Y170" s="47"/>
      <c r="Z170" s="19"/>
    </row>
    <row r="171" customFormat="false" ht="15.75" hidden="false" customHeight="true" outlineLevel="0" collapsed="false">
      <c r="A171" s="48" t="str">
        <f aca="false">IF(Produtos!$A171="","",Produtos!$A171)</f>
        <v>PG4090</v>
      </c>
      <c r="B171" s="48" t="str">
        <f aca="false">IF(Produtos!$A171="","",Produtos!$B171)</f>
        <v>Porta Guarda-chuvas 40x90</v>
      </c>
      <c r="C171" s="48" t="str">
        <f aca="false">IF(Produtos!$A171="","",Produtos!$C171)</f>
        <v>Porta-guarda-chuvas</v>
      </c>
      <c r="D171" s="33" t="n">
        <f aca="false">IF(Produtos!$A171="","",IF(Produtos!$D171="","",Produtos!$D171))</f>
        <v>329.27</v>
      </c>
      <c r="E171" s="11"/>
      <c r="F171" s="34" t="n">
        <f aca="false">IF($A171="","",IF($C171="","⚠ categoria",IFERROR(INDEX(Parâmetros!$C$13:$C$22,MATCH($C171,Parâmetros!$A$13:$A$22,0)),"⚠ categoria")))</f>
        <v>0.18</v>
      </c>
      <c r="G171" s="35"/>
      <c r="H171" s="36" t="n">
        <f aca="false">IF($A171="","",IF(ISNUMBER($G171),$G171,IF(ISNUMBER($F171),$F171,"")))</f>
        <v>0.18</v>
      </c>
      <c r="I171" s="37" t="n">
        <f aca="false">IF(OR($A171="",NOT(ISNUMBER($D171)),NOT(ISNUMBER($H171))),"",IF((1-$H171-Parâmetros!$B$5-Parâmetros!$C$5-Parâmetros!$D$5)&lt;=0,"INVALIDO",($D171+IF(ISNUMBER($E171),$E171,0)+IF(ISNUMBER(Parâmetros!$E$5),Parâmetros!$E$5,0))/(1-$H171-Parâmetros!$B$5-Parâmetros!$C$5-Parâmetros!$D$5)))</f>
        <v>671.979591836735</v>
      </c>
      <c r="J171" s="38"/>
      <c r="K171" s="39" t="n">
        <f aca="false">IF(OR($A171="",NOT(ISNUMBER($D171)),NOT(ISNUMBER($H171))),"",IF(AND(ISNUMBER($J171),$J171&gt;0),$J171,IF(ISNUMBER($I171),$I171,"")))</f>
        <v>671.979591836735</v>
      </c>
      <c r="L171" s="40" t="n">
        <f aca="false">IF(ISNUMBER($K171),$K171*$H171,"")</f>
        <v>120.956326530612</v>
      </c>
      <c r="M171" s="40" t="n">
        <f aca="false">IF(ISNUMBER($K171),$K171*Parâmetros!$B$5,"")</f>
        <v>67.1979591836735</v>
      </c>
      <c r="N171" s="40" t="n">
        <f aca="false">IF(ISNUMBER($K171),$K171*Parâmetros!$C$5,"")</f>
        <v>20.159387755102</v>
      </c>
      <c r="O171" s="40" t="n">
        <f aca="false">IF(ISNUMBER($K171),IF(ISNUMBER(Parâmetros!$E$5),Parâmetros!$E$5,0),"")</f>
        <v>0</v>
      </c>
      <c r="P171" s="41" t="n">
        <f aca="false">IF(ISNUMBER($K171),$K171-$D171-IF(ISNUMBER($E171),$E171,0)-$L171-$M171-$N171-$O171,"")</f>
        <v>134.395918367347</v>
      </c>
      <c r="Q171" s="42" t="n">
        <f aca="false">IF(AND(ISNUMBER($K171),$K171&gt;0),$P171/$K171,"")</f>
        <v>0.2</v>
      </c>
      <c r="R171" s="43"/>
      <c r="S171" s="44" t="str">
        <f aca="false">IF(OR(NOT(ISNUMBER($R171)),$R171=0,NOT(ISNUMBER($K171))),"",$K171*(1-$R171))</f>
        <v/>
      </c>
      <c r="T171" s="45" t="str">
        <f aca="false">IF(ISNUMBER($S171),$S171*$H171,"")</f>
        <v/>
      </c>
      <c r="U171" s="45" t="str">
        <f aca="false">IF(ISNUMBER($S171),$S171*Parâmetros!$B$5,"")</f>
        <v/>
      </c>
      <c r="V171" s="45" t="str">
        <f aca="false">IF(ISNUMBER($S171),$S171*Parâmetros!$C$5,"")</f>
        <v/>
      </c>
      <c r="W171" s="44" t="str">
        <f aca="false">IF(ISNUMBER($S171),$S171-$D171-IF(ISNUMBER($E171),$E171,0)-$O171-$T171-$U171-$V171,"")</f>
        <v/>
      </c>
      <c r="X171" s="46" t="str">
        <f aca="false">IF(AND(ISNUMBER($S171),$S171&gt;0),$W171/$S171,"")</f>
        <v/>
      </c>
      <c r="Y171" s="49"/>
      <c r="Z171" s="21"/>
    </row>
    <row r="172" customFormat="false" ht="15.75" hidden="false" customHeight="true" outlineLevel="0" collapsed="false">
      <c r="A172" s="32" t="str">
        <f aca="false">IF(Produtos!$A172="","",Produtos!$A172)</f>
        <v>EMB-03</v>
      </c>
      <c r="B172" s="32" t="str">
        <f aca="false">IF(Produtos!$A172="","",Produtos!$B172)</f>
        <v>Lixeira Embutir Pia 3L c/Balde Alumínio</v>
      </c>
      <c r="C172" s="32" t="str">
        <f aca="false">IF(Produtos!$A172="","",Produtos!$C172)</f>
        <v>Lixeiras em inox</v>
      </c>
      <c r="D172" s="33" t="n">
        <f aca="false">IF(Produtos!$A172="","",IF(Produtos!$D172="","",Produtos!$D172))</f>
        <v>97.42</v>
      </c>
      <c r="E172" s="11" t="n">
        <v>25.55</v>
      </c>
      <c r="F172" s="34" t="n">
        <f aca="false">IF($A172="","",IF($C172="","⚠ categoria",IFERROR(INDEX(Parâmetros!$C$13:$C$22,MATCH($C172,Parâmetros!$A$13:$A$22,0)),"⚠ categoria")))</f>
        <v>0.18</v>
      </c>
      <c r="G172" s="35" t="n">
        <v>0.15</v>
      </c>
      <c r="H172" s="36" t="n">
        <f aca="false">IF($A172="","",IF(ISNUMBER($G172),$G172,IF(ISNUMBER($F172),$F172,"")))</f>
        <v>0.15</v>
      </c>
      <c r="I172" s="37" t="n">
        <f aca="false">IF(OR($A172="",NOT(ISNUMBER($D172)),NOT(ISNUMBER($H172))),"",IF((1-$H172-Parâmetros!$B$5-Parâmetros!$C$5-Parâmetros!$D$5)&lt;=0,"INVALIDO",($D172+IF(ISNUMBER($E172),$E172,0)+IF(ISNUMBER(Parâmetros!$E$5),Parâmetros!$E$5,0))/(1-$H172-Parâmetros!$B$5-Parâmetros!$C$5-Parâmetros!$D$5)))</f>
        <v>236.480769230769</v>
      </c>
      <c r="J172" s="38" t="n">
        <v>215.4</v>
      </c>
      <c r="K172" s="39" t="n">
        <f aca="false">IF(OR($A172="",NOT(ISNUMBER($D172)),NOT(ISNUMBER($H172))),"",IF(AND(ISNUMBER($J172),$J172&gt;0),$J172,IF(ISNUMBER($I172),$I172,"")))</f>
        <v>215.4</v>
      </c>
      <c r="L172" s="40" t="n">
        <f aca="false">IF(ISNUMBER($K172),$K172*$H172,"")</f>
        <v>32.31</v>
      </c>
      <c r="M172" s="40" t="n">
        <f aca="false">IF(ISNUMBER($K172),$K172*Parâmetros!$B$5,"")</f>
        <v>21.54</v>
      </c>
      <c r="N172" s="40" t="n">
        <f aca="false">IF(ISNUMBER($K172),$K172*Parâmetros!$C$5,"")</f>
        <v>6.462</v>
      </c>
      <c r="O172" s="40" t="n">
        <f aca="false">IF(ISNUMBER($K172),IF(ISNUMBER(Parâmetros!$E$5),Parâmetros!$E$5,0),"")</f>
        <v>0</v>
      </c>
      <c r="P172" s="41" t="n">
        <f aca="false">IF(ISNUMBER($K172),$K172-$D172-IF(ISNUMBER($E172),$E172,0)-$L172-$M172-$N172-$O172,"")</f>
        <v>32.118</v>
      </c>
      <c r="Q172" s="42" t="n">
        <f aca="false">IF(AND(ISNUMBER($K172),$K172&gt;0),$P172/$K172,"")</f>
        <v>0.149108635097493</v>
      </c>
      <c r="R172" s="43"/>
      <c r="S172" s="44" t="str">
        <f aca="false">IF(OR(NOT(ISNUMBER($R172)),$R172=0,NOT(ISNUMBER($K172))),"",$K172*(1-$R172))</f>
        <v/>
      </c>
      <c r="T172" s="45" t="str">
        <f aca="false">IF(ISNUMBER($S172),$S172*$H172,"")</f>
        <v/>
      </c>
      <c r="U172" s="45" t="str">
        <f aca="false">IF(ISNUMBER($S172),$S172*Parâmetros!$B$5,"")</f>
        <v/>
      </c>
      <c r="V172" s="45" t="str">
        <f aca="false">IF(ISNUMBER($S172),$S172*Parâmetros!$C$5,"")</f>
        <v/>
      </c>
      <c r="W172" s="44" t="str">
        <f aca="false">IF(ISNUMBER($S172),$S172-$D172-IF(ISNUMBER($E172),$E172,0)-$O172-$T172-$U172-$V172,"")</f>
        <v/>
      </c>
      <c r="X172" s="46" t="str">
        <f aca="false">IF(AND(ISNUMBER($S172),$S172&gt;0),$W172/$S172,"")</f>
        <v/>
      </c>
      <c r="Y172" s="47" t="s">
        <v>734</v>
      </c>
      <c r="Z172" s="19"/>
    </row>
    <row r="173" customFormat="false" ht="15.75" hidden="false" customHeight="true" outlineLevel="0" collapsed="false">
      <c r="A173" s="48" t="str">
        <f aca="false">IF(Produtos!$A173="","",Produtos!$A173)</f>
        <v>EMB-05</v>
      </c>
      <c r="B173" s="48" t="str">
        <f aca="false">IF(Produtos!$A173="","",Produtos!$B173)</f>
        <v>Lixeira Embutir Pia 5L c/Balde Alumínio</v>
      </c>
      <c r="C173" s="48" t="str">
        <f aca="false">IF(Produtos!$A173="","",Produtos!$C173)</f>
        <v>Lixeiras em inox</v>
      </c>
      <c r="D173" s="33" t="n">
        <f aca="false">IF(Produtos!$A173="","",IF(Produtos!$D173="","",Produtos!$D173))</f>
        <v>134.46</v>
      </c>
      <c r="E173" s="11" t="n">
        <v>27.05</v>
      </c>
      <c r="F173" s="34" t="n">
        <f aca="false">IF($A173="","",IF($C173="","⚠ categoria",IFERROR(INDEX(Parâmetros!$C$13:$C$22,MATCH($C173,Parâmetros!$A$13:$A$22,0)),"⚠ categoria")))</f>
        <v>0.18</v>
      </c>
      <c r="G173" s="35" t="n">
        <v>0.15</v>
      </c>
      <c r="H173" s="36" t="n">
        <f aca="false">IF($A173="","",IF(ISNUMBER($G173),$G173,IF(ISNUMBER($F173),$F173,"")))</f>
        <v>0.15</v>
      </c>
      <c r="I173" s="37" t="n">
        <f aca="false">IF(OR($A173="",NOT(ISNUMBER($D173)),NOT(ISNUMBER($H173))),"",IF((1-$H173-Parâmetros!$B$5-Parâmetros!$C$5-Parâmetros!$D$5)&lt;=0,"INVALIDO",($D173+IF(ISNUMBER($E173),$E173,0)+IF(ISNUMBER(Parâmetros!$E$5),Parâmetros!$E$5,0))/(1-$H173-Parâmetros!$B$5-Parâmetros!$C$5-Parâmetros!$D$5)))</f>
        <v>310.596153846154</v>
      </c>
      <c r="J173" s="38" t="n">
        <v>224.447275</v>
      </c>
      <c r="K173" s="39" t="n">
        <f aca="false">IF(OR($A173="",NOT(ISNUMBER($D173)),NOT(ISNUMBER($H173))),"",IF(AND(ISNUMBER($J173),$J173&gt;0),$J173,IF(ISNUMBER($I173),$I173,"")))</f>
        <v>224.447275</v>
      </c>
      <c r="L173" s="40" t="n">
        <f aca="false">IF(ISNUMBER($K173),$K173*$H173,"")</f>
        <v>33.66709125</v>
      </c>
      <c r="M173" s="40" t="n">
        <f aca="false">IF(ISNUMBER($K173),$K173*Parâmetros!$B$5,"")</f>
        <v>22.4447275</v>
      </c>
      <c r="N173" s="40" t="n">
        <f aca="false">IF(ISNUMBER($K173),$K173*Parâmetros!$C$5,"")</f>
        <v>6.73341825</v>
      </c>
      <c r="O173" s="40" t="n">
        <f aca="false">IF(ISNUMBER($K173),IF(ISNUMBER(Parâmetros!$E$5),Parâmetros!$E$5,0),"")</f>
        <v>0</v>
      </c>
      <c r="P173" s="41" t="n">
        <f aca="false">IF(ISNUMBER($K173),$K173-$D173-IF(ISNUMBER($E173),$E173,0)-$L173-$M173-$N173-$O173,"")</f>
        <v>0.0920379999999881</v>
      </c>
      <c r="Q173" s="42" t="n">
        <f aca="false">IF(AND(ISNUMBER($K173),$K173&gt;0),$P173/$K173,"")</f>
        <v>0.00041006512554001</v>
      </c>
      <c r="R173" s="43"/>
      <c r="S173" s="44" t="str">
        <f aca="false">IF(OR(NOT(ISNUMBER($R173)),$R173=0,NOT(ISNUMBER($K173))),"",$K173*(1-$R173))</f>
        <v/>
      </c>
      <c r="T173" s="45" t="str">
        <f aca="false">IF(ISNUMBER($S173),$S173*$H173,"")</f>
        <v/>
      </c>
      <c r="U173" s="45" t="str">
        <f aca="false">IF(ISNUMBER($S173),$S173*Parâmetros!$B$5,"")</f>
        <v/>
      </c>
      <c r="V173" s="45" t="str">
        <f aca="false">IF(ISNUMBER($S173),$S173*Parâmetros!$C$5,"")</f>
        <v/>
      </c>
      <c r="W173" s="44" t="str">
        <f aca="false">IF(ISNUMBER($S173),$S173-$D173-IF(ISNUMBER($E173),$E173,0)-$O173-$T173-$U173-$V173,"")</f>
        <v/>
      </c>
      <c r="X173" s="46" t="str">
        <f aca="false">IF(AND(ISNUMBER($S173),$S173&gt;0),$W173/$S173,"")</f>
        <v/>
      </c>
      <c r="Y173" s="49" t="s">
        <v>734</v>
      </c>
      <c r="Z173" s="21"/>
    </row>
    <row r="174" customFormat="false" ht="15.75" hidden="false" customHeight="true" outlineLevel="0" collapsed="false">
      <c r="A174" s="32" t="str">
        <f aca="false">IF(Produtos!$A174="","",Produtos!$A174)</f>
        <v>EMB-08</v>
      </c>
      <c r="B174" s="32" t="str">
        <f aca="false">IF(Produtos!$A174="","",Produtos!$B174)</f>
        <v>Lixeira Embutir Pia 8L c/Balde Alumínio</v>
      </c>
      <c r="C174" s="32" t="str">
        <f aca="false">IF(Produtos!$A174="","",Produtos!$C174)</f>
        <v>Lixeiras em inox</v>
      </c>
      <c r="D174" s="33" t="n">
        <f aca="false">IF(Produtos!$A174="","",IF(Produtos!$D174="","",Produtos!$D174))</f>
        <v>181.23</v>
      </c>
      <c r="E174" s="11" t="n">
        <v>32.45</v>
      </c>
      <c r="F174" s="34" t="n">
        <f aca="false">IF($A174="","",IF($C174="","⚠ categoria",IFERROR(INDEX(Parâmetros!$C$13:$C$22,MATCH($C174,Parâmetros!$A$13:$A$22,0)),"⚠ categoria")))</f>
        <v>0.18</v>
      </c>
      <c r="G174" s="35" t="n">
        <v>0.15</v>
      </c>
      <c r="H174" s="36" t="n">
        <f aca="false">IF($A174="","",IF(ISNUMBER($G174),$G174,IF(ISNUMBER($F174),$F174,"")))</f>
        <v>0.15</v>
      </c>
      <c r="I174" s="37" t="n">
        <f aca="false">IF(OR($A174="",NOT(ISNUMBER($D174)),NOT(ISNUMBER($H174))),"",IF((1-$H174-Parâmetros!$B$5-Parâmetros!$C$5-Parâmetros!$D$5)&lt;=0,"INVALIDO",($D174+IF(ISNUMBER($E174),$E174,0)+IF(ISNUMBER(Parâmetros!$E$5),Parâmetros!$E$5,0))/(1-$H174-Parâmetros!$B$5-Parâmetros!$C$5-Parâmetros!$D$5)))</f>
        <v>410.923076923077</v>
      </c>
      <c r="J174" s="38" t="n">
        <v>272.81</v>
      </c>
      <c r="K174" s="39" t="n">
        <f aca="false">IF(OR($A174="",NOT(ISNUMBER($D174)),NOT(ISNUMBER($H174))),"",IF(AND(ISNUMBER($J174),$J174&gt;0),$J174,IF(ISNUMBER($I174),$I174,"")))</f>
        <v>272.81</v>
      </c>
      <c r="L174" s="40" t="n">
        <f aca="false">IF(ISNUMBER($K174),$K174*$H174,"")</f>
        <v>40.9215</v>
      </c>
      <c r="M174" s="40" t="n">
        <f aca="false">IF(ISNUMBER($K174),$K174*Parâmetros!$B$5,"")</f>
        <v>27.281</v>
      </c>
      <c r="N174" s="40" t="n">
        <f aca="false">IF(ISNUMBER($K174),$K174*Parâmetros!$C$5,"")</f>
        <v>8.1843</v>
      </c>
      <c r="O174" s="40" t="n">
        <f aca="false">IF(ISNUMBER($K174),IF(ISNUMBER(Parâmetros!$E$5),Parâmetros!$E$5,0),"")</f>
        <v>0</v>
      </c>
      <c r="P174" s="41" t="n">
        <f aca="false">IF(ISNUMBER($K174),$K174-$D174-IF(ISNUMBER($E174),$E174,0)-$L174-$M174-$N174-$O174,"")</f>
        <v>-17.2568</v>
      </c>
      <c r="Q174" s="42" t="n">
        <f aca="false">IF(AND(ISNUMBER($K174),$K174&gt;0),$P174/$K174,"")</f>
        <v>-0.0632557457571203</v>
      </c>
      <c r="R174" s="43"/>
      <c r="S174" s="44" t="str">
        <f aca="false">IF(OR(NOT(ISNUMBER($R174)),$R174=0,NOT(ISNUMBER($K174))),"",$K174*(1-$R174))</f>
        <v/>
      </c>
      <c r="T174" s="45" t="str">
        <f aca="false">IF(ISNUMBER($S174),$S174*$H174,"")</f>
        <v/>
      </c>
      <c r="U174" s="45" t="str">
        <f aca="false">IF(ISNUMBER($S174),$S174*Parâmetros!$B$5,"")</f>
        <v/>
      </c>
      <c r="V174" s="45" t="str">
        <f aca="false">IF(ISNUMBER($S174),$S174*Parâmetros!$C$5,"")</f>
        <v/>
      </c>
      <c r="W174" s="44" t="str">
        <f aca="false">IF(ISNUMBER($S174),$S174-$D174-IF(ISNUMBER($E174),$E174,0)-$O174-$T174-$U174-$V174,"")</f>
        <v/>
      </c>
      <c r="X174" s="46" t="str">
        <f aca="false">IF(AND(ISNUMBER($S174),$S174&gt;0),$W174/$S174,"")</f>
        <v/>
      </c>
      <c r="Y174" s="47" t="s">
        <v>734</v>
      </c>
      <c r="Z174" s="19"/>
    </row>
    <row r="175" customFormat="false" ht="15.75" hidden="false" customHeight="true" outlineLevel="0" collapsed="false">
      <c r="A175" s="48" t="str">
        <f aca="false">IF(Produtos!$A175="","",Produtos!$A175)</f>
        <v>EMB-03P</v>
      </c>
      <c r="B175" s="48" t="str">
        <f aca="false">IF(Produtos!$A175="","",Produtos!$B175)</f>
        <v>Lixeira Embutir Pia 3L c/Balde Alumínio e Tampa Preta</v>
      </c>
      <c r="C175" s="48" t="str">
        <f aca="false">IF(Produtos!$A175="","",Produtos!$C175)</f>
        <v>Lixeiras em inox</v>
      </c>
      <c r="D175" s="33" t="n">
        <f aca="false">IF(Produtos!$A175="","",IF(Produtos!$D175="","",Produtos!$D175))</f>
        <v>127.42</v>
      </c>
      <c r="E175" s="11"/>
      <c r="F175" s="34" t="n">
        <f aca="false">IF($A175="","",IF($C175="","⚠ categoria",IFERROR(INDEX(Parâmetros!$C$13:$C$22,MATCH($C175,Parâmetros!$A$13:$A$22,0)),"⚠ categoria")))</f>
        <v>0.18</v>
      </c>
      <c r="G175" s="35"/>
      <c r="H175" s="36" t="n">
        <f aca="false">IF($A175="","",IF(ISNUMBER($G175),$G175,IF(ISNUMBER($F175),$F175,"")))</f>
        <v>0.18</v>
      </c>
      <c r="I175" s="37" t="n">
        <f aca="false">IF(OR($A175="",NOT(ISNUMBER($D175)),NOT(ISNUMBER($H175))),"",IF((1-$H175-Parâmetros!$B$5-Parâmetros!$C$5-Parâmetros!$D$5)&lt;=0,"INVALIDO",($D175+IF(ISNUMBER($E175),$E175,0)+IF(ISNUMBER(Parâmetros!$E$5),Parâmetros!$E$5,0))/(1-$H175-Parâmetros!$B$5-Parâmetros!$C$5-Parâmetros!$D$5)))</f>
        <v>260.040816326531</v>
      </c>
      <c r="J175" s="38"/>
      <c r="K175" s="39" t="n">
        <f aca="false">IF(OR($A175="",NOT(ISNUMBER($D175)),NOT(ISNUMBER($H175))),"",IF(AND(ISNUMBER($J175),$J175&gt;0),$J175,IF(ISNUMBER($I175),$I175,"")))</f>
        <v>260.040816326531</v>
      </c>
      <c r="L175" s="40" t="n">
        <f aca="false">IF(ISNUMBER($K175),$K175*$H175,"")</f>
        <v>46.8073469387755</v>
      </c>
      <c r="M175" s="40" t="n">
        <f aca="false">IF(ISNUMBER($K175),$K175*Parâmetros!$B$5,"")</f>
        <v>26.0040816326531</v>
      </c>
      <c r="N175" s="40" t="n">
        <f aca="false">IF(ISNUMBER($K175),$K175*Parâmetros!$C$5,"")</f>
        <v>7.80122448979592</v>
      </c>
      <c r="O175" s="40" t="n">
        <f aca="false">IF(ISNUMBER($K175),IF(ISNUMBER(Parâmetros!$E$5),Parâmetros!$E$5,0),"")</f>
        <v>0</v>
      </c>
      <c r="P175" s="41" t="n">
        <f aca="false">IF(ISNUMBER($K175),$K175-$D175-IF(ISNUMBER($E175),$E175,0)-$L175-$M175-$N175-$O175,"")</f>
        <v>52.0081632653061</v>
      </c>
      <c r="Q175" s="42" t="n">
        <f aca="false">IF(AND(ISNUMBER($K175),$K175&gt;0),$P175/$K175,"")</f>
        <v>0.2</v>
      </c>
      <c r="R175" s="43"/>
      <c r="S175" s="44" t="str">
        <f aca="false">IF(OR(NOT(ISNUMBER($R175)),$R175=0,NOT(ISNUMBER($K175))),"",$K175*(1-$R175))</f>
        <v/>
      </c>
      <c r="T175" s="45" t="str">
        <f aca="false">IF(ISNUMBER($S175),$S175*$H175,"")</f>
        <v/>
      </c>
      <c r="U175" s="45" t="str">
        <f aca="false">IF(ISNUMBER($S175),$S175*Parâmetros!$B$5,"")</f>
        <v/>
      </c>
      <c r="V175" s="45" t="str">
        <f aca="false">IF(ISNUMBER($S175),$S175*Parâmetros!$C$5,"")</f>
        <v/>
      </c>
      <c r="W175" s="44" t="str">
        <f aca="false">IF(ISNUMBER($S175),$S175-$D175-IF(ISNUMBER($E175),$E175,0)-$O175-$T175-$U175-$V175,"")</f>
        <v/>
      </c>
      <c r="X175" s="46" t="str">
        <f aca="false">IF(AND(ISNUMBER($S175),$S175&gt;0),$W175/$S175,"")</f>
        <v/>
      </c>
      <c r="Y175" s="49"/>
      <c r="Z175" s="21"/>
    </row>
    <row r="176" customFormat="false" ht="15.75" hidden="false" customHeight="true" outlineLevel="0" collapsed="false">
      <c r="A176" s="32" t="str">
        <f aca="false">IF(Produtos!$A176="","",Produtos!$A176)</f>
        <v>EMB-05P</v>
      </c>
      <c r="B176" s="32" t="str">
        <f aca="false">IF(Produtos!$A176="","",Produtos!$B176)</f>
        <v>Lixeira Embutir Pia 5L c/Balde Alumínio e Tampa Preta</v>
      </c>
      <c r="C176" s="32" t="str">
        <f aca="false">IF(Produtos!$A176="","",Produtos!$C176)</f>
        <v>Lixeiras em inox</v>
      </c>
      <c r="D176" s="33" t="n">
        <f aca="false">IF(Produtos!$A176="","",IF(Produtos!$D176="","",Produtos!$D176))</f>
        <v>154.46</v>
      </c>
      <c r="E176" s="11"/>
      <c r="F176" s="34" t="n">
        <f aca="false">IF($A176="","",IF($C176="","⚠ categoria",IFERROR(INDEX(Parâmetros!$C$13:$C$22,MATCH($C176,Parâmetros!$A$13:$A$22,0)),"⚠ categoria")))</f>
        <v>0.18</v>
      </c>
      <c r="G176" s="35"/>
      <c r="H176" s="36" t="n">
        <f aca="false">IF($A176="","",IF(ISNUMBER($G176),$G176,IF(ISNUMBER($F176),$F176,"")))</f>
        <v>0.18</v>
      </c>
      <c r="I176" s="37" t="n">
        <f aca="false">IF(OR($A176="",NOT(ISNUMBER($D176)),NOT(ISNUMBER($H176))),"",IF((1-$H176-Parâmetros!$B$5-Parâmetros!$C$5-Parâmetros!$D$5)&lt;=0,"INVALIDO",($D176+IF(ISNUMBER($E176),$E176,0)+IF(ISNUMBER(Parâmetros!$E$5),Parâmetros!$E$5,0))/(1-$H176-Parâmetros!$B$5-Parâmetros!$C$5-Parâmetros!$D$5)))</f>
        <v>315.224489795918</v>
      </c>
      <c r="J176" s="38"/>
      <c r="K176" s="39" t="n">
        <f aca="false">IF(OR($A176="",NOT(ISNUMBER($D176)),NOT(ISNUMBER($H176))),"",IF(AND(ISNUMBER($J176),$J176&gt;0),$J176,IF(ISNUMBER($I176),$I176,"")))</f>
        <v>315.224489795918</v>
      </c>
      <c r="L176" s="40" t="n">
        <f aca="false">IF(ISNUMBER($K176),$K176*$H176,"")</f>
        <v>56.7404081632653</v>
      </c>
      <c r="M176" s="40" t="n">
        <f aca="false">IF(ISNUMBER($K176),$K176*Parâmetros!$B$5,"")</f>
        <v>31.5224489795918</v>
      </c>
      <c r="N176" s="40" t="n">
        <f aca="false">IF(ISNUMBER($K176),$K176*Parâmetros!$C$5,"")</f>
        <v>9.45673469387755</v>
      </c>
      <c r="O176" s="40" t="n">
        <f aca="false">IF(ISNUMBER($K176),IF(ISNUMBER(Parâmetros!$E$5),Parâmetros!$E$5,0),"")</f>
        <v>0</v>
      </c>
      <c r="P176" s="41" t="n">
        <f aca="false">IF(ISNUMBER($K176),$K176-$D176-IF(ISNUMBER($E176),$E176,0)-$L176-$M176-$N176-$O176,"")</f>
        <v>63.0448979591837</v>
      </c>
      <c r="Q176" s="42" t="n">
        <f aca="false">IF(AND(ISNUMBER($K176),$K176&gt;0),$P176/$K176,"")</f>
        <v>0.2</v>
      </c>
      <c r="R176" s="43"/>
      <c r="S176" s="44" t="str">
        <f aca="false">IF(OR(NOT(ISNUMBER($R176)),$R176=0,NOT(ISNUMBER($K176))),"",$K176*(1-$R176))</f>
        <v/>
      </c>
      <c r="T176" s="45" t="str">
        <f aca="false">IF(ISNUMBER($S176),$S176*$H176,"")</f>
        <v/>
      </c>
      <c r="U176" s="45" t="str">
        <f aca="false">IF(ISNUMBER($S176),$S176*Parâmetros!$B$5,"")</f>
        <v/>
      </c>
      <c r="V176" s="45" t="str">
        <f aca="false">IF(ISNUMBER($S176),$S176*Parâmetros!$C$5,"")</f>
        <v/>
      </c>
      <c r="W176" s="44" t="str">
        <f aca="false">IF(ISNUMBER($S176),$S176-$D176-IF(ISNUMBER($E176),$E176,0)-$O176-$T176-$U176-$V176,"")</f>
        <v/>
      </c>
      <c r="X176" s="46" t="str">
        <f aca="false">IF(AND(ISNUMBER($S176),$S176&gt;0),$W176/$S176,"")</f>
        <v/>
      </c>
      <c r="Y176" s="47"/>
      <c r="Z176" s="19"/>
    </row>
    <row r="177" customFormat="false" ht="15.75" hidden="false" customHeight="true" outlineLevel="0" collapsed="false">
      <c r="A177" s="48" t="str">
        <f aca="false">IF(Produtos!$A177="","",Produtos!$A177)</f>
        <v>Q2430-A</v>
      </c>
      <c r="B177" s="48" t="str">
        <f aca="false">IF(Produtos!$A177="","",Produtos!$B177)</f>
        <v>Lixeira Quadrada c/Aro 24x30 15L</v>
      </c>
      <c r="C177" s="48" t="str">
        <f aca="false">IF(Produtos!$A177="","",Produtos!$C177)</f>
        <v>Lixeiras em inox</v>
      </c>
      <c r="D177" s="33" t="n">
        <f aca="false">IF(Produtos!$A177="","",IF(Produtos!$D177="","",Produtos!$D177))</f>
        <v>121.07</v>
      </c>
      <c r="E177" s="11" t="n">
        <v>27.05</v>
      </c>
      <c r="F177" s="34" t="n">
        <f aca="false">IF($A177="","",IF($C177="","⚠ categoria",IFERROR(INDEX(Parâmetros!$C$13:$C$22,MATCH($C177,Parâmetros!$A$13:$A$22,0)),"⚠ categoria")))</f>
        <v>0.18</v>
      </c>
      <c r="G177" s="35" t="n">
        <v>0.15</v>
      </c>
      <c r="H177" s="36" t="n">
        <f aca="false">IF($A177="","",IF(ISNUMBER($G177),$G177,IF(ISNUMBER($F177),$F177,"")))</f>
        <v>0.15</v>
      </c>
      <c r="I177" s="37" t="n">
        <f aca="false">IF(OR($A177="",NOT(ISNUMBER($D177)),NOT(ISNUMBER($H177))),"",IF((1-$H177-Parâmetros!$B$5-Parâmetros!$C$5-Parâmetros!$D$5)&lt;=0,"INVALIDO",($D177+IF(ISNUMBER($E177),$E177,0)+IF(ISNUMBER(Parâmetros!$E$5),Parâmetros!$E$5,0))/(1-$H177-Parâmetros!$B$5-Parâmetros!$C$5-Parâmetros!$D$5)))</f>
        <v>284.846153846154</v>
      </c>
      <c r="J177" s="38" t="n">
        <v>262.77</v>
      </c>
      <c r="K177" s="39" t="n">
        <f aca="false">IF(OR($A177="",NOT(ISNUMBER($D177)),NOT(ISNUMBER($H177))),"",IF(AND(ISNUMBER($J177),$J177&gt;0),$J177,IF(ISNUMBER($I177),$I177,"")))</f>
        <v>262.77</v>
      </c>
      <c r="L177" s="40" t="n">
        <f aca="false">IF(ISNUMBER($K177),$K177*$H177,"")</f>
        <v>39.4155</v>
      </c>
      <c r="M177" s="40" t="n">
        <f aca="false">IF(ISNUMBER($K177),$K177*Parâmetros!$B$5,"")</f>
        <v>26.277</v>
      </c>
      <c r="N177" s="40" t="n">
        <f aca="false">IF(ISNUMBER($K177),$K177*Parâmetros!$C$5,"")</f>
        <v>7.8831</v>
      </c>
      <c r="O177" s="40" t="n">
        <f aca="false">IF(ISNUMBER($K177),IF(ISNUMBER(Parâmetros!$E$5),Parâmetros!$E$5,0),"")</f>
        <v>0</v>
      </c>
      <c r="P177" s="41" t="n">
        <f aca="false">IF(ISNUMBER($K177),$K177-$D177-IF(ISNUMBER($E177),$E177,0)-$L177-$M177-$N177-$O177,"")</f>
        <v>41.0744</v>
      </c>
      <c r="Q177" s="42" t="n">
        <f aca="false">IF(AND(ISNUMBER($K177),$K177&gt;0),$P177/$K177,"")</f>
        <v>0.156313125547056</v>
      </c>
      <c r="R177" s="43"/>
      <c r="S177" s="44" t="str">
        <f aca="false">IF(OR(NOT(ISNUMBER($R177)),$R177=0,NOT(ISNUMBER($K177))),"",$K177*(1-$R177))</f>
        <v/>
      </c>
      <c r="T177" s="45" t="str">
        <f aca="false">IF(ISNUMBER($S177),$S177*$H177,"")</f>
        <v/>
      </c>
      <c r="U177" s="45" t="str">
        <f aca="false">IF(ISNUMBER($S177),$S177*Parâmetros!$B$5,"")</f>
        <v/>
      </c>
      <c r="V177" s="45" t="str">
        <f aca="false">IF(ISNUMBER($S177),$S177*Parâmetros!$C$5,"")</f>
        <v/>
      </c>
      <c r="W177" s="44" t="str">
        <f aca="false">IF(ISNUMBER($S177),$S177-$D177-IF(ISNUMBER($E177),$E177,0)-$O177-$T177-$U177-$V177,"")</f>
        <v/>
      </c>
      <c r="X177" s="46" t="str">
        <f aca="false">IF(AND(ISNUMBER($S177),$S177&gt;0),$W177/$S177,"")</f>
        <v/>
      </c>
      <c r="Y177" s="49" t="s">
        <v>734</v>
      </c>
      <c r="Z177" s="21"/>
    </row>
    <row r="178" customFormat="false" ht="15.75" hidden="false" customHeight="true" outlineLevel="0" collapsed="false">
      <c r="A178" s="32" t="str">
        <f aca="false">IF(Produtos!$A178="","",Produtos!$A178)</f>
        <v>Q2460-A</v>
      </c>
      <c r="B178" s="32" t="str">
        <f aca="false">IF(Produtos!$A178="","",Produtos!$B178)</f>
        <v>Lixeira Quadrada c/Aro 24x60 30L</v>
      </c>
      <c r="C178" s="32" t="str">
        <f aca="false">IF(Produtos!$A178="","",Produtos!$C178)</f>
        <v>Lixeiras em inox</v>
      </c>
      <c r="D178" s="33" t="n">
        <f aca="false">IF(Produtos!$A178="","",IF(Produtos!$D178="","",Produtos!$D178))</f>
        <v>183.04</v>
      </c>
      <c r="E178" s="11" t="n">
        <v>49.35</v>
      </c>
      <c r="F178" s="34" t="n">
        <f aca="false">IF($A178="","",IF($C178="","⚠ categoria",IFERROR(INDEX(Parâmetros!$C$13:$C$22,MATCH($C178,Parâmetros!$A$13:$A$22,0)),"⚠ categoria")))</f>
        <v>0.18</v>
      </c>
      <c r="G178" s="35" t="n">
        <v>0.15</v>
      </c>
      <c r="H178" s="36" t="n">
        <f aca="false">IF($A178="","",IF(ISNUMBER($G178),$G178,IF(ISNUMBER($F178),$F178,"")))</f>
        <v>0.15</v>
      </c>
      <c r="I178" s="37" t="n">
        <f aca="false">IF(OR($A178="",NOT(ISNUMBER($D178)),NOT(ISNUMBER($H178))),"",IF((1-$H178-Parâmetros!$B$5-Parâmetros!$C$5-Parâmetros!$D$5)&lt;=0,"INVALIDO",($D178+IF(ISNUMBER($E178),$E178,0)+IF(ISNUMBER(Parâmetros!$E$5),Parâmetros!$E$5,0))/(1-$H178-Parâmetros!$B$5-Parâmetros!$C$5-Parâmetros!$D$5)))</f>
        <v>446.903846153846</v>
      </c>
      <c r="J178" s="38" t="n">
        <v>385.268625</v>
      </c>
      <c r="K178" s="39" t="n">
        <f aca="false">IF(OR($A178="",NOT(ISNUMBER($D178)),NOT(ISNUMBER($H178))),"",IF(AND(ISNUMBER($J178),$J178&gt;0),$J178,IF(ISNUMBER($I178),$I178,"")))</f>
        <v>385.268625</v>
      </c>
      <c r="L178" s="40" t="n">
        <f aca="false">IF(ISNUMBER($K178),$K178*$H178,"")</f>
        <v>57.79029375</v>
      </c>
      <c r="M178" s="40" t="n">
        <f aca="false">IF(ISNUMBER($K178),$K178*Parâmetros!$B$5,"")</f>
        <v>38.5268625</v>
      </c>
      <c r="N178" s="40" t="n">
        <f aca="false">IF(ISNUMBER($K178),$K178*Parâmetros!$C$5,"")</f>
        <v>11.55805875</v>
      </c>
      <c r="O178" s="40" t="n">
        <f aca="false">IF(ISNUMBER($K178),IF(ISNUMBER(Parâmetros!$E$5),Parâmetros!$E$5,0),"")</f>
        <v>0</v>
      </c>
      <c r="P178" s="41" t="n">
        <f aca="false">IF(ISNUMBER($K178),$K178-$D178-IF(ISNUMBER($E178),$E178,0)-$L178-$M178-$N178-$O178,"")</f>
        <v>45.00341</v>
      </c>
      <c r="Q178" s="42" t="n">
        <f aca="false">IF(AND(ISNUMBER($K178),$K178&gt;0),$P178/$K178,"")</f>
        <v>0.116810472173798</v>
      </c>
      <c r="R178" s="43"/>
      <c r="S178" s="44" t="str">
        <f aca="false">IF(OR(NOT(ISNUMBER($R178)),$R178=0,NOT(ISNUMBER($K178))),"",$K178*(1-$R178))</f>
        <v/>
      </c>
      <c r="T178" s="45" t="str">
        <f aca="false">IF(ISNUMBER($S178),$S178*$H178,"")</f>
        <v/>
      </c>
      <c r="U178" s="45" t="str">
        <f aca="false">IF(ISNUMBER($S178),$S178*Parâmetros!$B$5,"")</f>
        <v/>
      </c>
      <c r="V178" s="45" t="str">
        <f aca="false">IF(ISNUMBER($S178),$S178*Parâmetros!$C$5,"")</f>
        <v/>
      </c>
      <c r="W178" s="44" t="str">
        <f aca="false">IF(ISNUMBER($S178),$S178-$D178-IF(ISNUMBER($E178),$E178,0)-$O178-$T178-$U178-$V178,"")</f>
        <v/>
      </c>
      <c r="X178" s="46" t="str">
        <f aca="false">IF(AND(ISNUMBER($S178),$S178&gt;0),$W178/$S178,"")</f>
        <v/>
      </c>
      <c r="Y178" s="47" t="s">
        <v>734</v>
      </c>
      <c r="Z178" s="19"/>
    </row>
    <row r="179" customFormat="false" ht="15.75" hidden="false" customHeight="true" outlineLevel="0" collapsed="false">
      <c r="A179" s="48" t="str">
        <f aca="false">IF(Produtos!$A179="","",Produtos!$A179)</f>
        <v>Q3060-A</v>
      </c>
      <c r="B179" s="48" t="str">
        <f aca="false">IF(Produtos!$A179="","",Produtos!$B179)</f>
        <v>Lixeira Quadrada c/Aro 30x60 50L</v>
      </c>
      <c r="C179" s="48" t="str">
        <f aca="false">IF(Produtos!$A179="","",Produtos!$C179)</f>
        <v>Lixeiras em inox</v>
      </c>
      <c r="D179" s="33" t="n">
        <f aca="false">IF(Produtos!$A179="","",IF(Produtos!$D179="","",Produtos!$D179))</f>
        <v>277.75</v>
      </c>
      <c r="E179" s="11"/>
      <c r="F179" s="34" t="n">
        <f aca="false">IF($A179="","",IF($C179="","⚠ categoria",IFERROR(INDEX(Parâmetros!$C$13:$C$22,MATCH($C179,Parâmetros!$A$13:$A$22,0)),"⚠ categoria")))</f>
        <v>0.18</v>
      </c>
      <c r="G179" s="35"/>
      <c r="H179" s="36" t="n">
        <f aca="false">IF($A179="","",IF(ISNUMBER($G179),$G179,IF(ISNUMBER($F179),$F179,"")))</f>
        <v>0.18</v>
      </c>
      <c r="I179" s="37" t="n">
        <f aca="false">IF(OR($A179="",NOT(ISNUMBER($D179)),NOT(ISNUMBER($H179))),"",IF((1-$H179-Parâmetros!$B$5-Parâmetros!$C$5-Parâmetros!$D$5)&lt;=0,"INVALIDO",($D179+IF(ISNUMBER($E179),$E179,0)+IF(ISNUMBER(Parâmetros!$E$5),Parâmetros!$E$5,0))/(1-$H179-Parâmetros!$B$5-Parâmetros!$C$5-Parâmetros!$D$5)))</f>
        <v>566.836734693878</v>
      </c>
      <c r="J179" s="38"/>
      <c r="K179" s="39" t="n">
        <f aca="false">IF(OR($A179="",NOT(ISNUMBER($D179)),NOT(ISNUMBER($H179))),"",IF(AND(ISNUMBER($J179),$J179&gt;0),$J179,IF(ISNUMBER($I179),$I179,"")))</f>
        <v>566.836734693878</v>
      </c>
      <c r="L179" s="40" t="n">
        <f aca="false">IF(ISNUMBER($K179),$K179*$H179,"")</f>
        <v>102.030612244898</v>
      </c>
      <c r="M179" s="40" t="n">
        <f aca="false">IF(ISNUMBER($K179),$K179*Parâmetros!$B$5,"")</f>
        <v>56.6836734693878</v>
      </c>
      <c r="N179" s="40" t="n">
        <f aca="false">IF(ISNUMBER($K179),$K179*Parâmetros!$C$5,"")</f>
        <v>17.0051020408163</v>
      </c>
      <c r="O179" s="40" t="n">
        <f aca="false">IF(ISNUMBER($K179),IF(ISNUMBER(Parâmetros!$E$5),Parâmetros!$E$5,0),"")</f>
        <v>0</v>
      </c>
      <c r="P179" s="41" t="n">
        <f aca="false">IF(ISNUMBER($K179),$K179-$D179-IF(ISNUMBER($E179),$E179,0)-$L179-$M179-$N179-$O179,"")</f>
        <v>113.367346938775</v>
      </c>
      <c r="Q179" s="42" t="n">
        <f aca="false">IF(AND(ISNUMBER($K179),$K179&gt;0),$P179/$K179,"")</f>
        <v>0.2</v>
      </c>
      <c r="R179" s="43"/>
      <c r="S179" s="44" t="str">
        <f aca="false">IF(OR(NOT(ISNUMBER($R179)),$R179=0,NOT(ISNUMBER($K179))),"",$K179*(1-$R179))</f>
        <v/>
      </c>
      <c r="T179" s="45" t="str">
        <f aca="false">IF(ISNUMBER($S179),$S179*$H179,"")</f>
        <v/>
      </c>
      <c r="U179" s="45" t="str">
        <f aca="false">IF(ISNUMBER($S179),$S179*Parâmetros!$B$5,"")</f>
        <v/>
      </c>
      <c r="V179" s="45" t="str">
        <f aca="false">IF(ISNUMBER($S179),$S179*Parâmetros!$C$5,"")</f>
        <v/>
      </c>
      <c r="W179" s="44" t="str">
        <f aca="false">IF(ISNUMBER($S179),$S179-$D179-IF(ISNUMBER($E179),$E179,0)-$O179-$T179-$U179-$V179,"")</f>
        <v/>
      </c>
      <c r="X179" s="46" t="str">
        <f aca="false">IF(AND(ISNUMBER($S179),$S179&gt;0),$W179/$S179,"")</f>
        <v/>
      </c>
      <c r="Y179" s="49"/>
      <c r="Z179" s="21"/>
    </row>
    <row r="180" customFormat="false" ht="15.75" hidden="false" customHeight="true" outlineLevel="0" collapsed="false">
      <c r="A180" s="32" t="str">
        <f aca="false">IF(Produtos!$A180="","",Produtos!$A180)</f>
        <v>Q4070-A</v>
      </c>
      <c r="B180" s="32" t="str">
        <f aca="false">IF(Produtos!$A180="","",Produtos!$B180)</f>
        <v>Lixeira Quadrada c/Aro 40x70 100L</v>
      </c>
      <c r="C180" s="32" t="str">
        <f aca="false">IF(Produtos!$A180="","",Produtos!$C180)</f>
        <v>Lixeiras em inox</v>
      </c>
      <c r="D180" s="33" t="n">
        <f aca="false">IF(Produtos!$A180="","",IF(Produtos!$D180="","",Produtos!$D180))</f>
        <v>580.13</v>
      </c>
      <c r="E180" s="11" t="n">
        <v>91.95</v>
      </c>
      <c r="F180" s="34" t="n">
        <f aca="false">IF($A180="","",IF($C180="","⚠ categoria",IFERROR(INDEX(Parâmetros!$C$13:$C$22,MATCH($C180,Parâmetros!$A$13:$A$22,0)),"⚠ categoria")))</f>
        <v>0.18</v>
      </c>
      <c r="G180" s="35"/>
      <c r="H180" s="36" t="n">
        <f aca="false">IF($A180="","",IF(ISNUMBER($G180),$G180,IF(ISNUMBER($F180),$F180,"")))</f>
        <v>0.18</v>
      </c>
      <c r="I180" s="37" t="n">
        <f aca="false">IF(OR($A180="",NOT(ISNUMBER($D180)),NOT(ISNUMBER($H180))),"",IF((1-$H180-Parâmetros!$B$5-Parâmetros!$C$5-Parâmetros!$D$5)&lt;=0,"INVALIDO",($D180+IF(ISNUMBER($E180),$E180,0)+IF(ISNUMBER(Parâmetros!$E$5),Parâmetros!$E$5,0))/(1-$H180-Parâmetros!$B$5-Parâmetros!$C$5-Parâmetros!$D$5)))</f>
        <v>1371.59183673469</v>
      </c>
      <c r="J180" s="38" t="n">
        <v>1191.119925</v>
      </c>
      <c r="K180" s="39" t="n">
        <f aca="false">IF(OR($A180="",NOT(ISNUMBER($D180)),NOT(ISNUMBER($H180))),"",IF(AND(ISNUMBER($J180),$J180&gt;0),$J180,IF(ISNUMBER($I180),$I180,"")))</f>
        <v>1191.119925</v>
      </c>
      <c r="L180" s="40" t="n">
        <f aca="false">IF(ISNUMBER($K180),$K180*$H180,"")</f>
        <v>214.4015865</v>
      </c>
      <c r="M180" s="40" t="n">
        <f aca="false">IF(ISNUMBER($K180),$K180*Parâmetros!$B$5,"")</f>
        <v>119.1119925</v>
      </c>
      <c r="N180" s="40" t="n">
        <f aca="false">IF(ISNUMBER($K180),$K180*Parâmetros!$C$5,"")</f>
        <v>35.73359775</v>
      </c>
      <c r="O180" s="40" t="n">
        <f aca="false">IF(ISNUMBER($K180),IF(ISNUMBER(Parâmetros!$E$5),Parâmetros!$E$5,0),"")</f>
        <v>0</v>
      </c>
      <c r="P180" s="41" t="n">
        <f aca="false">IF(ISNUMBER($K180),$K180-$D180-IF(ISNUMBER($E180),$E180,0)-$L180-$M180-$N180-$O180,"")</f>
        <v>149.79274825</v>
      </c>
      <c r="Q180" s="42" t="n">
        <f aca="false">IF(AND(ISNUMBER($K180),$K180&gt;0),$P180/$K180,"")</f>
        <v>0.125757906576871</v>
      </c>
      <c r="R180" s="43"/>
      <c r="S180" s="44" t="str">
        <f aca="false">IF(OR(NOT(ISNUMBER($R180)),$R180=0,NOT(ISNUMBER($K180))),"",$K180*(1-$R180))</f>
        <v/>
      </c>
      <c r="T180" s="45" t="str">
        <f aca="false">IF(ISNUMBER($S180),$S180*$H180,"")</f>
        <v/>
      </c>
      <c r="U180" s="45" t="str">
        <f aca="false">IF(ISNUMBER($S180),$S180*Parâmetros!$B$5,"")</f>
        <v/>
      </c>
      <c r="V180" s="45" t="str">
        <f aca="false">IF(ISNUMBER($S180),$S180*Parâmetros!$C$5,"")</f>
        <v/>
      </c>
      <c r="W180" s="44" t="str">
        <f aca="false">IF(ISNUMBER($S180),$S180-$D180-IF(ISNUMBER($E180),$E180,0)-$O180-$T180-$U180-$V180,"")</f>
        <v/>
      </c>
      <c r="X180" s="46" t="str">
        <f aca="false">IF(AND(ISNUMBER($S180),$S180&gt;0),$W180/$S180,"")</f>
        <v/>
      </c>
      <c r="Y180" s="47" t="s">
        <v>734</v>
      </c>
      <c r="Z180" s="19"/>
    </row>
    <row r="181" customFormat="false" ht="15.75" hidden="false" customHeight="true" outlineLevel="0" collapsed="false">
      <c r="A181" s="48" t="str">
        <f aca="false">IF(Produtos!$A181="","",Produtos!$A181)</f>
        <v>Q2430-B</v>
      </c>
      <c r="B181" s="48" t="str">
        <f aca="false">IF(Produtos!$A181="","",Produtos!$B181)</f>
        <v>Lixeira Quadrada c/Aro Basculante 24x30 15L</v>
      </c>
      <c r="C181" s="48" t="str">
        <f aca="false">IF(Produtos!$A181="","",Produtos!$C181)</f>
        <v>Lixeiras em inox</v>
      </c>
      <c r="D181" s="33" t="n">
        <f aca="false">IF(Produtos!$A181="","",IF(Produtos!$D181="","",Produtos!$D181))</f>
        <v>149.88</v>
      </c>
      <c r="E181" s="11" t="n">
        <v>27.05</v>
      </c>
      <c r="F181" s="34" t="n">
        <f aca="false">IF($A181="","",IF($C181="","⚠ categoria",IFERROR(INDEX(Parâmetros!$C$13:$C$22,MATCH($C181,Parâmetros!$A$13:$A$22,0)),"⚠ categoria")))</f>
        <v>0.18</v>
      </c>
      <c r="G181" s="35" t="n">
        <v>0.15</v>
      </c>
      <c r="H181" s="36" t="n">
        <f aca="false">IF($A181="","",IF(ISNUMBER($G181),$G181,IF(ISNUMBER($F181),$F181,"")))</f>
        <v>0.15</v>
      </c>
      <c r="I181" s="37" t="n">
        <f aca="false">IF(OR($A181="",NOT(ISNUMBER($D181)),NOT(ISNUMBER($H181))),"",IF((1-$H181-Parâmetros!$B$5-Parâmetros!$C$5-Parâmetros!$D$5)&lt;=0,"INVALIDO",($D181+IF(ISNUMBER($E181),$E181,0)+IF(ISNUMBER(Parâmetros!$E$5),Parâmetros!$E$5,0))/(1-$H181-Parâmetros!$B$5-Parâmetros!$C$5-Parâmetros!$D$5)))</f>
        <v>340.25</v>
      </c>
      <c r="J181" s="38" t="n">
        <v>300.98</v>
      </c>
      <c r="K181" s="39" t="n">
        <f aca="false">IF(OR($A181="",NOT(ISNUMBER($D181)),NOT(ISNUMBER($H181))),"",IF(AND(ISNUMBER($J181),$J181&gt;0),$J181,IF(ISNUMBER($I181),$I181,"")))</f>
        <v>300.98</v>
      </c>
      <c r="L181" s="40" t="n">
        <f aca="false">IF(ISNUMBER($K181),$K181*$H181,"")</f>
        <v>45.147</v>
      </c>
      <c r="M181" s="40" t="n">
        <f aca="false">IF(ISNUMBER($K181),$K181*Parâmetros!$B$5,"")</f>
        <v>30.098</v>
      </c>
      <c r="N181" s="40" t="n">
        <f aca="false">IF(ISNUMBER($K181),$K181*Parâmetros!$C$5,"")</f>
        <v>9.0294</v>
      </c>
      <c r="O181" s="40" t="n">
        <f aca="false">IF(ISNUMBER($K181),IF(ISNUMBER(Parâmetros!$E$5),Parâmetros!$E$5,0),"")</f>
        <v>0</v>
      </c>
      <c r="P181" s="41" t="n">
        <f aca="false">IF(ISNUMBER($K181),$K181-$D181-IF(ISNUMBER($E181),$E181,0)-$L181-$M181-$N181-$O181,"")</f>
        <v>39.7756</v>
      </c>
      <c r="Q181" s="42" t="n">
        <f aca="false">IF(AND(ISNUMBER($K181),$K181&gt;0),$P181/$K181,"")</f>
        <v>0.13215363147053</v>
      </c>
      <c r="R181" s="43"/>
      <c r="S181" s="44" t="str">
        <f aca="false">IF(OR(NOT(ISNUMBER($R181)),$R181=0,NOT(ISNUMBER($K181))),"",$K181*(1-$R181))</f>
        <v/>
      </c>
      <c r="T181" s="45" t="str">
        <f aca="false">IF(ISNUMBER($S181),$S181*$H181,"")</f>
        <v/>
      </c>
      <c r="U181" s="45" t="str">
        <f aca="false">IF(ISNUMBER($S181),$S181*Parâmetros!$B$5,"")</f>
        <v/>
      </c>
      <c r="V181" s="45" t="str">
        <f aca="false">IF(ISNUMBER($S181),$S181*Parâmetros!$C$5,"")</f>
        <v/>
      </c>
      <c r="W181" s="44" t="str">
        <f aca="false">IF(ISNUMBER($S181),$S181-$D181-IF(ISNUMBER($E181),$E181,0)-$O181-$T181-$U181-$V181,"")</f>
        <v/>
      </c>
      <c r="X181" s="46" t="str">
        <f aca="false">IF(AND(ISNUMBER($S181),$S181&gt;0),$W181/$S181,"")</f>
        <v/>
      </c>
      <c r="Y181" s="49" t="s">
        <v>734</v>
      </c>
      <c r="Z181" s="21"/>
    </row>
    <row r="182" customFormat="false" ht="15.75" hidden="false" customHeight="true" outlineLevel="0" collapsed="false">
      <c r="A182" s="32" t="str">
        <f aca="false">IF(Produtos!$A182="","",Produtos!$A182)</f>
        <v>Q2460-B</v>
      </c>
      <c r="B182" s="32" t="str">
        <f aca="false">IF(Produtos!$A182="","",Produtos!$B182)</f>
        <v>Lixeira Quadrada c/Aro Basculante 24x60 30L</v>
      </c>
      <c r="C182" s="32" t="str">
        <f aca="false">IF(Produtos!$A182="","",Produtos!$C182)</f>
        <v>Lixeiras em inox</v>
      </c>
      <c r="D182" s="33" t="n">
        <f aca="false">IF(Produtos!$A182="","",IF(Produtos!$D182="","",Produtos!$D182))</f>
        <v>198.38</v>
      </c>
      <c r="E182" s="11" t="n">
        <v>49.35</v>
      </c>
      <c r="F182" s="34" t="n">
        <f aca="false">IF($A182="","",IF($C182="","⚠ categoria",IFERROR(INDEX(Parâmetros!$C$13:$C$22,MATCH($C182,Parâmetros!$A$13:$A$22,0)),"⚠ categoria")))</f>
        <v>0.18</v>
      </c>
      <c r="G182" s="35" t="n">
        <v>0.15</v>
      </c>
      <c r="H182" s="36" t="n">
        <f aca="false">IF($A182="","",IF(ISNUMBER($G182),$G182,IF(ISNUMBER($F182),$F182,"")))</f>
        <v>0.15</v>
      </c>
      <c r="I182" s="37" t="n">
        <f aca="false">IF(OR($A182="",NOT(ISNUMBER($D182)),NOT(ISNUMBER($H182))),"",IF((1-$H182-Parâmetros!$B$5-Parâmetros!$C$5-Parâmetros!$D$5)&lt;=0,"INVALIDO",($D182+IF(ISNUMBER($E182),$E182,0)+IF(ISNUMBER(Parâmetros!$E$5),Parâmetros!$E$5,0))/(1-$H182-Parâmetros!$B$5-Parâmetros!$C$5-Parâmetros!$D$5)))</f>
        <v>476.403846153846</v>
      </c>
      <c r="J182" s="38" t="n">
        <v>397.969425</v>
      </c>
      <c r="K182" s="39" t="n">
        <f aca="false">IF(OR($A182="",NOT(ISNUMBER($D182)),NOT(ISNUMBER($H182))),"",IF(AND(ISNUMBER($J182),$J182&gt;0),$J182,IF(ISNUMBER($I182),$I182,"")))</f>
        <v>397.969425</v>
      </c>
      <c r="L182" s="40" t="n">
        <f aca="false">IF(ISNUMBER($K182),$K182*$H182,"")</f>
        <v>59.69541375</v>
      </c>
      <c r="M182" s="40" t="n">
        <f aca="false">IF(ISNUMBER($K182),$K182*Parâmetros!$B$5,"")</f>
        <v>39.7969425</v>
      </c>
      <c r="N182" s="40" t="n">
        <f aca="false">IF(ISNUMBER($K182),$K182*Parâmetros!$C$5,"")</f>
        <v>11.93908275</v>
      </c>
      <c r="O182" s="40" t="n">
        <f aca="false">IF(ISNUMBER($K182),IF(ISNUMBER(Parâmetros!$E$5),Parâmetros!$E$5,0),"")</f>
        <v>0</v>
      </c>
      <c r="P182" s="41" t="n">
        <f aca="false">IF(ISNUMBER($K182),$K182-$D182-IF(ISNUMBER($E182),$E182,0)-$L182-$M182-$N182-$O182,"")</f>
        <v>38.8079860000001</v>
      </c>
      <c r="Q182" s="42" t="n">
        <f aca="false">IF(AND(ISNUMBER($K182),$K182&gt;0),$P182/$K182,"")</f>
        <v>0.0975149937711926</v>
      </c>
      <c r="R182" s="43"/>
      <c r="S182" s="44" t="str">
        <f aca="false">IF(OR(NOT(ISNUMBER($R182)),$R182=0,NOT(ISNUMBER($K182))),"",$K182*(1-$R182))</f>
        <v/>
      </c>
      <c r="T182" s="45" t="str">
        <f aca="false">IF(ISNUMBER($S182),$S182*$H182,"")</f>
        <v/>
      </c>
      <c r="U182" s="45" t="str">
        <f aca="false">IF(ISNUMBER($S182),$S182*Parâmetros!$B$5,"")</f>
        <v/>
      </c>
      <c r="V182" s="45" t="str">
        <f aca="false">IF(ISNUMBER($S182),$S182*Parâmetros!$C$5,"")</f>
        <v/>
      </c>
      <c r="W182" s="44" t="str">
        <f aca="false">IF(ISNUMBER($S182),$S182-$D182-IF(ISNUMBER($E182),$E182,0)-$O182-$T182-$U182-$V182,"")</f>
        <v/>
      </c>
      <c r="X182" s="46" t="str">
        <f aca="false">IF(AND(ISNUMBER($S182),$S182&gt;0),$W182/$S182,"")</f>
        <v/>
      </c>
      <c r="Y182" s="47" t="s">
        <v>734</v>
      </c>
      <c r="Z182" s="19"/>
    </row>
    <row r="183" customFormat="false" ht="15.75" hidden="false" customHeight="true" outlineLevel="0" collapsed="false">
      <c r="A183" s="48" t="str">
        <f aca="false">IF(Produtos!$A183="","",Produtos!$A183)</f>
        <v>Q3060-B</v>
      </c>
      <c r="B183" s="48" t="str">
        <f aca="false">IF(Produtos!$A183="","",Produtos!$B183)</f>
        <v>Lixeira Quadrada c/Aro Basculante 30x60 50L</v>
      </c>
      <c r="C183" s="48" t="str">
        <f aca="false">IF(Produtos!$A183="","",Produtos!$C183)</f>
        <v>Lixeiras em inox</v>
      </c>
      <c r="D183" s="33" t="n">
        <f aca="false">IF(Produtos!$A183="","",IF(Produtos!$D183="","",Produtos!$D183))</f>
        <v>301.03</v>
      </c>
      <c r="E183" s="11" t="n">
        <v>49.35</v>
      </c>
      <c r="F183" s="34" t="n">
        <f aca="false">IF($A183="","",IF($C183="","⚠ categoria",IFERROR(INDEX(Parâmetros!$C$13:$C$22,MATCH($C183,Parâmetros!$A$13:$A$22,0)),"⚠ categoria")))</f>
        <v>0.18</v>
      </c>
      <c r="G183" s="35" t="n">
        <v>0.15</v>
      </c>
      <c r="H183" s="36" t="n">
        <f aca="false">IF($A183="","",IF(ISNUMBER($G183),$G183,IF(ISNUMBER($F183),$F183,"")))</f>
        <v>0.15</v>
      </c>
      <c r="I183" s="37" t="n">
        <f aca="false">IF(OR($A183="",NOT(ISNUMBER($D183)),NOT(ISNUMBER($H183))),"",IF((1-$H183-Parâmetros!$B$5-Parâmetros!$C$5-Parâmetros!$D$5)&lt;=0,"INVALIDO",($D183+IF(ISNUMBER($E183),$E183,0)+IF(ISNUMBER(Parâmetros!$E$5),Parâmetros!$E$5,0))/(1-$H183-Parâmetros!$B$5-Parâmetros!$C$5-Parâmetros!$D$5)))</f>
        <v>673.807692307692</v>
      </c>
      <c r="J183" s="38" t="n">
        <v>587.555325</v>
      </c>
      <c r="K183" s="39" t="n">
        <f aca="false">IF(OR($A183="",NOT(ISNUMBER($D183)),NOT(ISNUMBER($H183))),"",IF(AND(ISNUMBER($J183),$J183&gt;0),$J183,IF(ISNUMBER($I183),$I183,"")))</f>
        <v>587.555325</v>
      </c>
      <c r="L183" s="40" t="n">
        <f aca="false">IF(ISNUMBER($K183),$K183*$H183,"")</f>
        <v>88.13329875</v>
      </c>
      <c r="M183" s="40" t="n">
        <f aca="false">IF(ISNUMBER($K183),$K183*Parâmetros!$B$5,"")</f>
        <v>58.7555325</v>
      </c>
      <c r="N183" s="40" t="n">
        <f aca="false">IF(ISNUMBER($K183),$K183*Parâmetros!$C$5,"")</f>
        <v>17.62665975</v>
      </c>
      <c r="O183" s="40" t="n">
        <f aca="false">IF(ISNUMBER($K183),IF(ISNUMBER(Parâmetros!$E$5),Parâmetros!$E$5,0),"")</f>
        <v>0</v>
      </c>
      <c r="P183" s="41" t="n">
        <f aca="false">IF(ISNUMBER($K183),$K183-$D183-IF(ISNUMBER($E183),$E183,0)-$L183-$M183-$N183-$O183,"")</f>
        <v>72.659834</v>
      </c>
      <c r="Q183" s="42" t="n">
        <f aca="false">IF(AND(ISNUMBER($K183),$K183&gt;0),$P183/$K183,"")</f>
        <v>0.123664667663424</v>
      </c>
      <c r="R183" s="43"/>
      <c r="S183" s="44" t="str">
        <f aca="false">IF(OR(NOT(ISNUMBER($R183)),$R183=0,NOT(ISNUMBER($K183))),"",$K183*(1-$R183))</f>
        <v/>
      </c>
      <c r="T183" s="45" t="str">
        <f aca="false">IF(ISNUMBER($S183),$S183*$H183,"")</f>
        <v/>
      </c>
      <c r="U183" s="45" t="str">
        <f aca="false">IF(ISNUMBER($S183),$S183*Parâmetros!$B$5,"")</f>
        <v/>
      </c>
      <c r="V183" s="45" t="str">
        <f aca="false">IF(ISNUMBER($S183),$S183*Parâmetros!$C$5,"")</f>
        <v/>
      </c>
      <c r="W183" s="44" t="str">
        <f aca="false">IF(ISNUMBER($S183),$S183-$D183-IF(ISNUMBER($E183),$E183,0)-$O183-$T183-$U183-$V183,"")</f>
        <v/>
      </c>
      <c r="X183" s="46" t="str">
        <f aca="false">IF(AND(ISNUMBER($S183),$S183&gt;0),$W183/$S183,"")</f>
        <v/>
      </c>
      <c r="Y183" s="49" t="s">
        <v>734</v>
      </c>
      <c r="Z183" s="21"/>
    </row>
    <row r="184" customFormat="false" ht="15.75" hidden="false" customHeight="true" outlineLevel="0" collapsed="false">
      <c r="A184" s="32" t="str">
        <f aca="false">IF(Produtos!$A184="","",Produtos!$A184)</f>
        <v>Q4070-B</v>
      </c>
      <c r="B184" s="32" t="str">
        <f aca="false">IF(Produtos!$A184="","",Produtos!$B184)</f>
        <v>Lixeira Quadrada c/Aro Basculante 40x70 100L</v>
      </c>
      <c r="C184" s="32" t="str">
        <f aca="false">IF(Produtos!$A184="","",Produtos!$C184)</f>
        <v>Lixeiras em inox</v>
      </c>
      <c r="D184" s="33" t="n">
        <f aca="false">IF(Produtos!$A184="","",IF(Produtos!$D184="","",Produtos!$D184))</f>
        <v>619.95</v>
      </c>
      <c r="E184" s="11" t="n">
        <v>91.95</v>
      </c>
      <c r="F184" s="34" t="n">
        <f aca="false">IF($A184="","",IF($C184="","⚠ categoria",IFERROR(INDEX(Parâmetros!$C$13:$C$22,MATCH($C184,Parâmetros!$A$13:$A$22,0)),"⚠ categoria")))</f>
        <v>0.18</v>
      </c>
      <c r="G184" s="35"/>
      <c r="H184" s="36" t="n">
        <f aca="false">IF($A184="","",IF(ISNUMBER($G184),$G184,IF(ISNUMBER($F184),$F184,"")))</f>
        <v>0.18</v>
      </c>
      <c r="I184" s="37" t="n">
        <f aca="false">IF(OR($A184="",NOT(ISNUMBER($D184)),NOT(ISNUMBER($H184))),"",IF((1-$H184-Parâmetros!$B$5-Parâmetros!$C$5-Parâmetros!$D$5)&lt;=0,"INVALIDO",($D184+IF(ISNUMBER($E184),$E184,0)+IF(ISNUMBER(Parâmetros!$E$5),Parâmetros!$E$5,0))/(1-$H184-Parâmetros!$B$5-Parâmetros!$C$5-Parâmetros!$D$5)))</f>
        <v>1452.85714285714</v>
      </c>
      <c r="J184" s="38" t="n">
        <v>1231.283025</v>
      </c>
      <c r="K184" s="39" t="n">
        <f aca="false">IF(OR($A184="",NOT(ISNUMBER($D184)),NOT(ISNUMBER($H184))),"",IF(AND(ISNUMBER($J184),$J184&gt;0),$J184,IF(ISNUMBER($I184),$I184,"")))</f>
        <v>1231.283025</v>
      </c>
      <c r="L184" s="40" t="n">
        <f aca="false">IF(ISNUMBER($K184),$K184*$H184,"")</f>
        <v>221.6309445</v>
      </c>
      <c r="M184" s="40" t="n">
        <f aca="false">IF(ISNUMBER($K184),$K184*Parâmetros!$B$5,"")</f>
        <v>123.1283025</v>
      </c>
      <c r="N184" s="40" t="n">
        <f aca="false">IF(ISNUMBER($K184),$K184*Parâmetros!$C$5,"")</f>
        <v>36.93849075</v>
      </c>
      <c r="O184" s="40" t="n">
        <f aca="false">IF(ISNUMBER($K184),IF(ISNUMBER(Parâmetros!$E$5),Parâmetros!$E$5,0),"")</f>
        <v>0</v>
      </c>
      <c r="P184" s="41" t="n">
        <f aca="false">IF(ISNUMBER($K184),$K184-$D184-IF(ISNUMBER($E184),$E184,0)-$L184-$M184-$N184-$O184,"")</f>
        <v>137.68528725</v>
      </c>
      <c r="Q184" s="42" t="n">
        <f aca="false">IF(AND(ISNUMBER($K184),$K184&gt;0),$P184/$K184,"")</f>
        <v>0.111822614666518</v>
      </c>
      <c r="R184" s="43"/>
      <c r="S184" s="44" t="str">
        <f aca="false">IF(OR(NOT(ISNUMBER($R184)),$R184=0,NOT(ISNUMBER($K184))),"",$K184*(1-$R184))</f>
        <v/>
      </c>
      <c r="T184" s="45" t="str">
        <f aca="false">IF(ISNUMBER($S184),$S184*$H184,"")</f>
        <v/>
      </c>
      <c r="U184" s="45" t="str">
        <f aca="false">IF(ISNUMBER($S184),$S184*Parâmetros!$B$5,"")</f>
        <v/>
      </c>
      <c r="V184" s="45" t="str">
        <f aca="false">IF(ISNUMBER($S184),$S184*Parâmetros!$C$5,"")</f>
        <v/>
      </c>
      <c r="W184" s="44" t="str">
        <f aca="false">IF(ISNUMBER($S184),$S184-$D184-IF(ISNUMBER($E184),$E184,0)-$O184-$T184-$U184-$V184,"")</f>
        <v/>
      </c>
      <c r="X184" s="46" t="str">
        <f aca="false">IF(AND(ISNUMBER($S184),$S184&gt;0),$W184/$S184,"")</f>
        <v/>
      </c>
      <c r="Y184" s="47" t="s">
        <v>734</v>
      </c>
      <c r="Z184" s="19"/>
    </row>
    <row r="185" customFormat="false" ht="15.75" hidden="false" customHeight="true" outlineLevel="0" collapsed="false">
      <c r="A185" s="48" t="str">
        <f aca="false">IF(Produtos!$A185="","",Produtos!$A185)</f>
        <v>PQ-2430</v>
      </c>
      <c r="B185" s="48" t="str">
        <f aca="false">IF(Produtos!$A185="","",Produtos!$B185)</f>
        <v>Lixeira quadrada com Tampa Pedal de Aço inox 24x30 15L</v>
      </c>
      <c r="C185" s="48" t="str">
        <f aca="false">IF(Produtos!$A185="","",Produtos!$C185)</f>
        <v>Lixeiras com pedal</v>
      </c>
      <c r="D185" s="33" t="n">
        <f aca="false">IF(Produtos!$A185="","",IF(Produtos!$D185="","",Produtos!$D185))</f>
        <v>220.94</v>
      </c>
      <c r="E185" s="11" t="n">
        <v>27.05</v>
      </c>
      <c r="F185" s="34" t="n">
        <f aca="false">IF($A185="","",IF($C185="","⚠ categoria",IFERROR(INDEX(Parâmetros!$C$13:$C$22,MATCH($C185,Parâmetros!$A$13:$A$22,0)),"⚠ categoria")))</f>
        <v>0.18</v>
      </c>
      <c r="G185" s="35" t="n">
        <v>0.15</v>
      </c>
      <c r="H185" s="36" t="n">
        <f aca="false">IF($A185="","",IF(ISNUMBER($G185),$G185,IF(ISNUMBER($F185),$F185,"")))</f>
        <v>0.15</v>
      </c>
      <c r="I185" s="37" t="n">
        <f aca="false">IF(OR($A185="",NOT(ISNUMBER($D185)),NOT(ISNUMBER($H185))),"",IF((1-$H185-Parâmetros!$B$5-Parâmetros!$C$5-Parâmetros!$D$5)&lt;=0,"INVALIDO",($D185+IF(ISNUMBER($E185),$E185,0)+IF(ISNUMBER(Parâmetros!$E$5),Parâmetros!$E$5,0))/(1-$H185-Parâmetros!$B$5-Parâmetros!$C$5-Parâmetros!$D$5)))</f>
        <v>476.903846153846</v>
      </c>
      <c r="J185" s="38" t="n">
        <v>445.78485</v>
      </c>
      <c r="K185" s="39" t="n">
        <f aca="false">IF(OR($A185="",NOT(ISNUMBER($D185)),NOT(ISNUMBER($H185))),"",IF(AND(ISNUMBER($J185),$J185&gt;0),$J185,IF(ISNUMBER($I185),$I185,"")))</f>
        <v>445.78485</v>
      </c>
      <c r="L185" s="40" t="n">
        <f aca="false">IF(ISNUMBER($K185),$K185*$H185,"")</f>
        <v>66.8677275</v>
      </c>
      <c r="M185" s="40" t="n">
        <f aca="false">IF(ISNUMBER($K185),$K185*Parâmetros!$B$5,"")</f>
        <v>44.578485</v>
      </c>
      <c r="N185" s="40" t="n">
        <f aca="false">IF(ISNUMBER($K185),$K185*Parâmetros!$C$5,"")</f>
        <v>13.3735455</v>
      </c>
      <c r="O185" s="40" t="n">
        <f aca="false">IF(ISNUMBER($K185),IF(ISNUMBER(Parâmetros!$E$5),Parâmetros!$E$5,0),"")</f>
        <v>0</v>
      </c>
      <c r="P185" s="41" t="n">
        <f aca="false">IF(ISNUMBER($K185),$K185-$D185-IF(ISNUMBER($E185),$E185,0)-$L185-$M185-$N185-$O185,"")</f>
        <v>72.9750920000001</v>
      </c>
      <c r="Q185" s="42" t="n">
        <f aca="false">IF(AND(ISNUMBER($K185),$K185&gt;0),$P185/$K185,"")</f>
        <v>0.163700251365653</v>
      </c>
      <c r="R185" s="43"/>
      <c r="S185" s="44" t="str">
        <f aca="false">IF(OR(NOT(ISNUMBER($R185)),$R185=0,NOT(ISNUMBER($K185))),"",$K185*(1-$R185))</f>
        <v/>
      </c>
      <c r="T185" s="45" t="str">
        <f aca="false">IF(ISNUMBER($S185),$S185*$H185,"")</f>
        <v/>
      </c>
      <c r="U185" s="45" t="str">
        <f aca="false">IF(ISNUMBER($S185),$S185*Parâmetros!$B$5,"")</f>
        <v/>
      </c>
      <c r="V185" s="45" t="str">
        <f aca="false">IF(ISNUMBER($S185),$S185*Parâmetros!$C$5,"")</f>
        <v/>
      </c>
      <c r="W185" s="44" t="str">
        <f aca="false">IF(ISNUMBER($S185),$S185-$D185-IF(ISNUMBER($E185),$E185,0)-$O185-$T185-$U185-$V185,"")</f>
        <v/>
      </c>
      <c r="X185" s="46" t="str">
        <f aca="false">IF(AND(ISNUMBER($S185),$S185&gt;0),$W185/$S185,"")</f>
        <v/>
      </c>
      <c r="Y185" s="49" t="s">
        <v>734</v>
      </c>
      <c r="Z185" s="21"/>
    </row>
    <row r="186" customFormat="false" ht="15.75" hidden="false" customHeight="true" outlineLevel="0" collapsed="false">
      <c r="A186" s="32" t="str">
        <f aca="false">IF(Produtos!$A186="","",Produtos!$A186)</f>
        <v>PQ-2460</v>
      </c>
      <c r="B186" s="32" t="str">
        <f aca="false">IF(Produtos!$A186="","",Produtos!$B186)</f>
        <v>Lixeira quadrada com Tampa Pedal de Aço inox 24x60 30L</v>
      </c>
      <c r="C186" s="32" t="str">
        <f aca="false">IF(Produtos!$A186="","",Produtos!$C186)</f>
        <v>Lixeiras com pedal</v>
      </c>
      <c r="D186" s="33" t="n">
        <f aca="false">IF(Produtos!$A186="","",IF(Produtos!$D186="","",Produtos!$D186))</f>
        <v>303.74</v>
      </c>
      <c r="E186" s="11" t="n">
        <v>40.85</v>
      </c>
      <c r="F186" s="34" t="n">
        <f aca="false">IF($A186="","",IF($C186="","⚠ categoria",IFERROR(INDEX(Parâmetros!$C$13:$C$22,MATCH($C186,Parâmetros!$A$13:$A$22,0)),"⚠ categoria")))</f>
        <v>0.18</v>
      </c>
      <c r="G186" s="35" t="n">
        <v>0.15</v>
      </c>
      <c r="H186" s="36" t="n">
        <f aca="false">IF($A186="","",IF(ISNUMBER($G186),$G186,IF(ISNUMBER($F186),$F186,"")))</f>
        <v>0.15</v>
      </c>
      <c r="I186" s="37" t="n">
        <f aca="false">IF(OR($A186="",NOT(ISNUMBER($D186)),NOT(ISNUMBER($H186))),"",IF((1-$H186-Parâmetros!$B$5-Parâmetros!$C$5-Parâmetros!$D$5)&lt;=0,"INVALIDO",($D186+IF(ISNUMBER($E186),$E186,0)+IF(ISNUMBER(Parâmetros!$E$5),Parâmetros!$E$5,0))/(1-$H186-Parâmetros!$B$5-Parâmetros!$C$5-Parâmetros!$D$5)))</f>
        <v>662.673076923077</v>
      </c>
      <c r="J186" s="38" t="n">
        <v>577.919475</v>
      </c>
      <c r="K186" s="39" t="n">
        <f aca="false">IF(OR($A186="",NOT(ISNUMBER($D186)),NOT(ISNUMBER($H186))),"",IF(AND(ISNUMBER($J186),$J186&gt;0),$J186,IF(ISNUMBER($I186),$I186,"")))</f>
        <v>577.919475</v>
      </c>
      <c r="L186" s="40" t="n">
        <f aca="false">IF(ISNUMBER($K186),$K186*$H186,"")</f>
        <v>86.68792125</v>
      </c>
      <c r="M186" s="40" t="n">
        <f aca="false">IF(ISNUMBER($K186),$K186*Parâmetros!$B$5,"")</f>
        <v>57.7919475</v>
      </c>
      <c r="N186" s="40" t="n">
        <f aca="false">IF(ISNUMBER($K186),$K186*Parâmetros!$C$5,"")</f>
        <v>17.33758425</v>
      </c>
      <c r="O186" s="40" t="n">
        <f aca="false">IF(ISNUMBER($K186),IF(ISNUMBER(Parâmetros!$E$5),Parâmetros!$E$5,0),"")</f>
        <v>0</v>
      </c>
      <c r="P186" s="41" t="n">
        <f aca="false">IF(ISNUMBER($K186),$K186-$D186-IF(ISNUMBER($E186),$E186,0)-$L186-$M186-$N186-$O186,"")</f>
        <v>71.5120220000001</v>
      </c>
      <c r="Q186" s="42" t="n">
        <f aca="false">IF(AND(ISNUMBER($K186),$K186&gt;0),$P186/$K186,"")</f>
        <v>0.123740460554647</v>
      </c>
      <c r="R186" s="43"/>
      <c r="S186" s="44" t="str">
        <f aca="false">IF(OR(NOT(ISNUMBER($R186)),$R186=0,NOT(ISNUMBER($K186))),"",$K186*(1-$R186))</f>
        <v/>
      </c>
      <c r="T186" s="45" t="str">
        <f aca="false">IF(ISNUMBER($S186),$S186*$H186,"")</f>
        <v/>
      </c>
      <c r="U186" s="45" t="str">
        <f aca="false">IF(ISNUMBER($S186),$S186*Parâmetros!$B$5,"")</f>
        <v/>
      </c>
      <c r="V186" s="45" t="str">
        <f aca="false">IF(ISNUMBER($S186),$S186*Parâmetros!$C$5,"")</f>
        <v/>
      </c>
      <c r="W186" s="44" t="str">
        <f aca="false">IF(ISNUMBER($S186),$S186-$D186-IF(ISNUMBER($E186),$E186,0)-$O186-$T186-$U186-$V186,"")</f>
        <v/>
      </c>
      <c r="X186" s="46" t="str">
        <f aca="false">IF(AND(ISNUMBER($S186),$S186&gt;0),$W186/$S186,"")</f>
        <v/>
      </c>
      <c r="Y186" s="47" t="s">
        <v>734</v>
      </c>
      <c r="Z186" s="19"/>
    </row>
    <row r="187" customFormat="false" ht="15.75" hidden="false" customHeight="true" outlineLevel="0" collapsed="false">
      <c r="A187" s="48" t="str">
        <f aca="false">IF(Produtos!$A187="","",Produtos!$A187)</f>
        <v>PQ-3060</v>
      </c>
      <c r="B187" s="48" t="str">
        <f aca="false">IF(Produtos!$A187="","",Produtos!$B187)</f>
        <v>Lixeira quadrada com Tampa Pedal de Aço inox 30x60 50L</v>
      </c>
      <c r="C187" s="48" t="str">
        <f aca="false">IF(Produtos!$A187="","",Produtos!$C187)</f>
        <v>Lixeiras com pedal</v>
      </c>
      <c r="D187" s="33" t="n">
        <f aca="false">IF(Produtos!$A187="","",IF(Produtos!$D187="","",Produtos!$D187))</f>
        <v>408.87</v>
      </c>
      <c r="E187" s="11" t="n">
        <v>50.75</v>
      </c>
      <c r="F187" s="34" t="n">
        <f aca="false">IF($A187="","",IF($C187="","⚠ categoria",IFERROR(INDEX(Parâmetros!$C$13:$C$22,MATCH($C187,Parâmetros!$A$13:$A$22,0)),"⚠ categoria")))</f>
        <v>0.18</v>
      </c>
      <c r="G187" s="35"/>
      <c r="H187" s="36" t="n">
        <f aca="false">IF($A187="","",IF(ISNUMBER($G187),$G187,IF(ISNUMBER($F187),$F187,"")))</f>
        <v>0.18</v>
      </c>
      <c r="I187" s="37" t="n">
        <f aca="false">IF(OR($A187="",NOT(ISNUMBER($D187)),NOT(ISNUMBER($H187))),"",IF((1-$H187-Parâmetros!$B$5-Parâmetros!$C$5-Parâmetros!$D$5)&lt;=0,"INVALIDO",($D187+IF(ISNUMBER($E187),$E187,0)+IF(ISNUMBER(Parâmetros!$E$5),Parâmetros!$E$5,0))/(1-$H187-Parâmetros!$B$5-Parâmetros!$C$5-Parâmetros!$D$5)))</f>
        <v>938</v>
      </c>
      <c r="J187" s="38" t="n">
        <v>795.663225</v>
      </c>
      <c r="K187" s="39" t="n">
        <f aca="false">IF(OR($A187="",NOT(ISNUMBER($D187)),NOT(ISNUMBER($H187))),"",IF(AND(ISNUMBER($J187),$J187&gt;0),$J187,IF(ISNUMBER($I187),$I187,"")))</f>
        <v>795.663225</v>
      </c>
      <c r="L187" s="40" t="n">
        <f aca="false">IF(ISNUMBER($K187),$K187*$H187,"")</f>
        <v>143.2193805</v>
      </c>
      <c r="M187" s="40" t="n">
        <f aca="false">IF(ISNUMBER($K187),$K187*Parâmetros!$B$5,"")</f>
        <v>79.5663225</v>
      </c>
      <c r="N187" s="40" t="n">
        <f aca="false">IF(ISNUMBER($K187),$K187*Parâmetros!$C$5,"")</f>
        <v>23.86989675</v>
      </c>
      <c r="O187" s="40" t="n">
        <f aca="false">IF(ISNUMBER($K187),IF(ISNUMBER(Parâmetros!$E$5),Parâmetros!$E$5,0),"")</f>
        <v>0</v>
      </c>
      <c r="P187" s="41" t="n">
        <f aca="false">IF(ISNUMBER($K187),$K187-$D187-IF(ISNUMBER($E187),$E187,0)-$L187-$M187-$N187-$O187,"")</f>
        <v>89.38762525</v>
      </c>
      <c r="Q187" s="42" t="n">
        <f aca="false">IF(AND(ISNUMBER($K187),$K187&gt;0),$P187/$K187,"")</f>
        <v>0.112343542395088</v>
      </c>
      <c r="R187" s="43"/>
      <c r="S187" s="44" t="str">
        <f aca="false">IF(OR(NOT(ISNUMBER($R187)),$R187=0,NOT(ISNUMBER($K187))),"",$K187*(1-$R187))</f>
        <v/>
      </c>
      <c r="T187" s="45" t="str">
        <f aca="false">IF(ISNUMBER($S187),$S187*$H187,"")</f>
        <v/>
      </c>
      <c r="U187" s="45" t="str">
        <f aca="false">IF(ISNUMBER($S187),$S187*Parâmetros!$B$5,"")</f>
        <v/>
      </c>
      <c r="V187" s="45" t="str">
        <f aca="false">IF(ISNUMBER($S187),$S187*Parâmetros!$C$5,"")</f>
        <v/>
      </c>
      <c r="W187" s="44" t="str">
        <f aca="false">IF(ISNUMBER($S187),$S187-$D187-IF(ISNUMBER($E187),$E187,0)-$O187-$T187-$U187-$V187,"")</f>
        <v/>
      </c>
      <c r="X187" s="46" t="str">
        <f aca="false">IF(AND(ISNUMBER($S187),$S187&gt;0),$W187/$S187,"")</f>
        <v/>
      </c>
      <c r="Y187" s="49" t="s">
        <v>734</v>
      </c>
      <c r="Z187" s="21"/>
    </row>
    <row r="188" customFormat="false" ht="15.75" hidden="false" customHeight="true" outlineLevel="0" collapsed="false">
      <c r="A188" s="32" t="str">
        <f aca="false">IF(Produtos!$A188="","",Produtos!$A188)</f>
        <v>PQ-4070</v>
      </c>
      <c r="B188" s="32" t="str">
        <f aca="false">IF(Produtos!$A188="","",Produtos!$B188)</f>
        <v>Lixeira quadrada com Tampa Pedal de Aço inox 40x70 100L</v>
      </c>
      <c r="C188" s="32" t="str">
        <f aca="false">IF(Produtos!$A188="","",Produtos!$C188)</f>
        <v>Lixeiras com pedal</v>
      </c>
      <c r="D188" s="33" t="n">
        <f aca="false">IF(Produtos!$A188="","",IF(Produtos!$D188="","",Produtos!$D188))</f>
        <v>905.26</v>
      </c>
      <c r="E188" s="11" t="n">
        <v>91.95</v>
      </c>
      <c r="F188" s="34" t="n">
        <f aca="false">IF($A188="","",IF($C188="","⚠ categoria",IFERROR(INDEX(Parâmetros!$C$13:$C$22,MATCH($C188,Parâmetros!$A$13:$A$22,0)),"⚠ categoria")))</f>
        <v>0.18</v>
      </c>
      <c r="G188" s="35"/>
      <c r="H188" s="36" t="n">
        <f aca="false">IF($A188="","",IF(ISNUMBER($G188),$G188,IF(ISNUMBER($F188),$F188,"")))</f>
        <v>0.18</v>
      </c>
      <c r="I188" s="37" t="n">
        <f aca="false">IF(OR($A188="",NOT(ISNUMBER($D188)),NOT(ISNUMBER($H188))),"",IF((1-$H188-Parâmetros!$B$5-Parâmetros!$C$5-Parâmetros!$D$5)&lt;=0,"INVALIDO",($D188+IF(ISNUMBER($E188),$E188,0)+IF(ISNUMBER(Parâmetros!$E$5),Parâmetros!$E$5,0))/(1-$H188-Parâmetros!$B$5-Parâmetros!$C$5-Parâmetros!$D$5)))</f>
        <v>2035.12244897959</v>
      </c>
      <c r="J188" s="38" t="n">
        <v>1734.000975</v>
      </c>
      <c r="K188" s="39" t="n">
        <f aca="false">IF(OR($A188="",NOT(ISNUMBER($D188)),NOT(ISNUMBER($H188))),"",IF(AND(ISNUMBER($J188),$J188&gt;0),$J188,IF(ISNUMBER($I188),$I188,"")))</f>
        <v>1734.000975</v>
      </c>
      <c r="L188" s="40" t="n">
        <f aca="false">IF(ISNUMBER($K188),$K188*$H188,"")</f>
        <v>312.1201755</v>
      </c>
      <c r="M188" s="40" t="n">
        <f aca="false">IF(ISNUMBER($K188),$K188*Parâmetros!$B$5,"")</f>
        <v>173.4000975</v>
      </c>
      <c r="N188" s="40" t="n">
        <f aca="false">IF(ISNUMBER($K188),$K188*Parâmetros!$C$5,"")</f>
        <v>52.02002925</v>
      </c>
      <c r="O188" s="40" t="n">
        <f aca="false">IF(ISNUMBER($K188),IF(ISNUMBER(Parâmetros!$E$5),Parâmetros!$E$5,0),"")</f>
        <v>0</v>
      </c>
      <c r="P188" s="41" t="n">
        <f aca="false">IF(ISNUMBER($K188),$K188-$D188-IF(ISNUMBER($E188),$E188,0)-$L188-$M188-$N188-$O188,"")</f>
        <v>199.25067275</v>
      </c>
      <c r="Q188" s="42" t="n">
        <f aca="false">IF(AND(ISNUMBER($K188),$K188&gt;0),$P188/$K188,"")</f>
        <v>0.114908051161851</v>
      </c>
      <c r="R188" s="43"/>
      <c r="S188" s="44" t="str">
        <f aca="false">IF(OR(NOT(ISNUMBER($R188)),$R188=0,NOT(ISNUMBER($K188))),"",$K188*(1-$R188))</f>
        <v/>
      </c>
      <c r="T188" s="45" t="str">
        <f aca="false">IF(ISNUMBER($S188),$S188*$H188,"")</f>
        <v/>
      </c>
      <c r="U188" s="45" t="str">
        <f aca="false">IF(ISNUMBER($S188),$S188*Parâmetros!$B$5,"")</f>
        <v/>
      </c>
      <c r="V188" s="45" t="str">
        <f aca="false">IF(ISNUMBER($S188),$S188*Parâmetros!$C$5,"")</f>
        <v/>
      </c>
      <c r="W188" s="44" t="str">
        <f aca="false">IF(ISNUMBER($S188),$S188-$D188-IF(ISNUMBER($E188),$E188,0)-$O188-$T188-$U188-$V188,"")</f>
        <v/>
      </c>
      <c r="X188" s="46" t="str">
        <f aca="false">IF(AND(ISNUMBER($S188),$S188&gt;0),$W188/$S188,"")</f>
        <v/>
      </c>
      <c r="Y188" s="47" t="s">
        <v>734</v>
      </c>
      <c r="Z188" s="19"/>
    </row>
    <row r="189" customFormat="false" ht="15.75" hidden="false" customHeight="true" outlineLevel="0" collapsed="false">
      <c r="A189" s="48" t="str">
        <f aca="false">IF(Produtos!$A189="","",Produtos!$A189)</f>
        <v>PQ-4090</v>
      </c>
      <c r="B189" s="48" t="str">
        <f aca="false">IF(Produtos!$A189="","",Produtos!$B189)</f>
        <v>Lixeira quadrada com Tampa Pedal de Aço inox 40x90 120L</v>
      </c>
      <c r="C189" s="48" t="str">
        <f aca="false">IF(Produtos!$A189="","",Produtos!$C189)</f>
        <v>Lixeiras com pedal</v>
      </c>
      <c r="D189" s="33" t="n">
        <f aca="false">IF(Produtos!$A189="","",IF(Produtos!$D189="","",Produtos!$D189))</f>
        <v>956.96</v>
      </c>
      <c r="E189" s="11"/>
      <c r="F189" s="34" t="n">
        <f aca="false">IF($A189="","",IF($C189="","⚠ categoria",IFERROR(INDEX(Parâmetros!$C$13:$C$22,MATCH($C189,Parâmetros!$A$13:$A$22,0)),"⚠ categoria")))</f>
        <v>0.18</v>
      </c>
      <c r="G189" s="35"/>
      <c r="H189" s="36" t="n">
        <f aca="false">IF($A189="","",IF(ISNUMBER($G189),$G189,IF(ISNUMBER($F189),$F189,"")))</f>
        <v>0.18</v>
      </c>
      <c r="I189" s="37" t="n">
        <f aca="false">IF(OR($A189="",NOT(ISNUMBER($D189)),NOT(ISNUMBER($H189))),"",IF((1-$H189-Parâmetros!$B$5-Parâmetros!$C$5-Parâmetros!$D$5)&lt;=0,"INVALIDO",($D189+IF(ISNUMBER($E189),$E189,0)+IF(ISNUMBER(Parâmetros!$E$5),Parâmetros!$E$5,0))/(1-$H189-Parâmetros!$B$5-Parâmetros!$C$5-Parâmetros!$D$5)))</f>
        <v>1952.97959183673</v>
      </c>
      <c r="J189" s="38"/>
      <c r="K189" s="39" t="n">
        <f aca="false">IF(OR($A189="",NOT(ISNUMBER($D189)),NOT(ISNUMBER($H189))),"",IF(AND(ISNUMBER($J189),$J189&gt;0),$J189,IF(ISNUMBER($I189),$I189,"")))</f>
        <v>1952.97959183673</v>
      </c>
      <c r="L189" s="40" t="n">
        <f aca="false">IF(ISNUMBER($K189),$K189*$H189,"")</f>
        <v>351.536326530612</v>
      </c>
      <c r="M189" s="40" t="n">
        <f aca="false">IF(ISNUMBER($K189),$K189*Parâmetros!$B$5,"")</f>
        <v>195.297959183673</v>
      </c>
      <c r="N189" s="40" t="n">
        <f aca="false">IF(ISNUMBER($K189),$K189*Parâmetros!$C$5,"")</f>
        <v>58.589387755102</v>
      </c>
      <c r="O189" s="40" t="n">
        <f aca="false">IF(ISNUMBER($K189),IF(ISNUMBER(Parâmetros!$E$5),Parâmetros!$E$5,0),"")</f>
        <v>0</v>
      </c>
      <c r="P189" s="41" t="n">
        <f aca="false">IF(ISNUMBER($K189),$K189-$D189-IF(ISNUMBER($E189),$E189,0)-$L189-$M189-$N189-$O189,"")</f>
        <v>390.595918367347</v>
      </c>
      <c r="Q189" s="42" t="n">
        <f aca="false">IF(AND(ISNUMBER($K189),$K189&gt;0),$P189/$K189,"")</f>
        <v>0.2</v>
      </c>
      <c r="R189" s="43"/>
      <c r="S189" s="44" t="str">
        <f aca="false">IF(OR(NOT(ISNUMBER($R189)),$R189=0,NOT(ISNUMBER($K189))),"",$K189*(1-$R189))</f>
        <v/>
      </c>
      <c r="T189" s="45" t="str">
        <f aca="false">IF(ISNUMBER($S189),$S189*$H189,"")</f>
        <v/>
      </c>
      <c r="U189" s="45" t="str">
        <f aca="false">IF(ISNUMBER($S189),$S189*Parâmetros!$B$5,"")</f>
        <v/>
      </c>
      <c r="V189" s="45" t="str">
        <f aca="false">IF(ISNUMBER($S189),$S189*Parâmetros!$C$5,"")</f>
        <v/>
      </c>
      <c r="W189" s="44" t="str">
        <f aca="false">IF(ISNUMBER($S189),$S189-$D189-IF(ISNUMBER($E189),$E189,0)-$O189-$T189-$U189-$V189,"")</f>
        <v/>
      </c>
      <c r="X189" s="46" t="str">
        <f aca="false">IF(AND(ISNUMBER($S189),$S189&gt;0),$W189/$S189,"")</f>
        <v/>
      </c>
      <c r="Y189" s="49"/>
      <c r="Z189" s="21"/>
    </row>
    <row r="190" customFormat="false" ht="15.75" hidden="false" customHeight="true" outlineLevel="0" collapsed="false">
      <c r="A190" s="32" t="str">
        <f aca="false">IF(Produtos!$A190="","",Produtos!$A190)</f>
        <v>PQ-5080</v>
      </c>
      <c r="B190" s="32" t="str">
        <f aca="false">IF(Produtos!$A190="","",Produtos!$B190)</f>
        <v>Lixeira quadrada com Tampa Pedal de Aço inox 50x80 150L</v>
      </c>
      <c r="C190" s="32" t="str">
        <f aca="false">IF(Produtos!$A190="","",Produtos!$C190)</f>
        <v>Lixeiras com pedal</v>
      </c>
      <c r="D190" s="33" t="n">
        <f aca="false">IF(Produtos!$A190="","",IF(Produtos!$D190="","",Produtos!$D190))</f>
        <v>1393</v>
      </c>
      <c r="E190" s="11" t="n">
        <v>107.95</v>
      </c>
      <c r="F190" s="34" t="n">
        <f aca="false">IF($A190="","",IF($C190="","⚠ categoria",IFERROR(INDEX(Parâmetros!$C$13:$C$22,MATCH($C190,Parâmetros!$A$13:$A$22,0)),"⚠ categoria")))</f>
        <v>0.18</v>
      </c>
      <c r="G190" s="35"/>
      <c r="H190" s="36" t="n">
        <f aca="false">IF($A190="","",IF(ISNUMBER($G190),$G190,IF(ISNUMBER($F190),$F190,"")))</f>
        <v>0.18</v>
      </c>
      <c r="I190" s="37" t="n">
        <f aca="false">IF(OR($A190="",NOT(ISNUMBER($D190)),NOT(ISNUMBER($H190))),"",IF((1-$H190-Parâmetros!$B$5-Parâmetros!$C$5-Parâmetros!$D$5)&lt;=0,"INVALIDO",($D190+IF(ISNUMBER($E190),$E190,0)+IF(ISNUMBER(Parâmetros!$E$5),Parâmetros!$E$5,0))/(1-$H190-Parâmetros!$B$5-Parâmetros!$C$5-Parâmetros!$D$5)))</f>
        <v>3063.16326530612</v>
      </c>
      <c r="J190" s="38" t="n">
        <v>2674.06965</v>
      </c>
      <c r="K190" s="39" t="n">
        <f aca="false">IF(OR($A190="",NOT(ISNUMBER($D190)),NOT(ISNUMBER($H190))),"",IF(AND(ISNUMBER($J190),$J190&gt;0),$J190,IF(ISNUMBER($I190),$I190,"")))</f>
        <v>2674.06965</v>
      </c>
      <c r="L190" s="40" t="n">
        <f aca="false">IF(ISNUMBER($K190),$K190*$H190,"")</f>
        <v>481.332537</v>
      </c>
      <c r="M190" s="40" t="n">
        <f aca="false">IF(ISNUMBER($K190),$K190*Parâmetros!$B$5,"")</f>
        <v>267.406965</v>
      </c>
      <c r="N190" s="40" t="n">
        <f aca="false">IF(ISNUMBER($K190),$K190*Parâmetros!$C$5,"")</f>
        <v>80.2220895</v>
      </c>
      <c r="O190" s="40" t="n">
        <f aca="false">IF(ISNUMBER($K190),IF(ISNUMBER(Parâmetros!$E$5),Parâmetros!$E$5,0),"")</f>
        <v>0</v>
      </c>
      <c r="P190" s="41" t="n">
        <f aca="false">IF(ISNUMBER($K190),$K190-$D190-IF(ISNUMBER($E190),$E190,0)-$L190-$M190-$N190-$O190,"")</f>
        <v>344.1580585</v>
      </c>
      <c r="Q190" s="42" t="n">
        <f aca="false">IF(AND(ISNUMBER($K190),$K190&gt;0),$P190/$K190,"")</f>
        <v>0.128701979957777</v>
      </c>
      <c r="R190" s="43"/>
      <c r="S190" s="44" t="str">
        <f aca="false">IF(OR(NOT(ISNUMBER($R190)),$R190=0,NOT(ISNUMBER($K190))),"",$K190*(1-$R190))</f>
        <v/>
      </c>
      <c r="T190" s="45" t="str">
        <f aca="false">IF(ISNUMBER($S190),$S190*$H190,"")</f>
        <v/>
      </c>
      <c r="U190" s="45" t="str">
        <f aca="false">IF(ISNUMBER($S190),$S190*Parâmetros!$B$5,"")</f>
        <v/>
      </c>
      <c r="V190" s="45" t="str">
        <f aca="false">IF(ISNUMBER($S190),$S190*Parâmetros!$C$5,"")</f>
        <v/>
      </c>
      <c r="W190" s="44" t="str">
        <f aca="false">IF(ISNUMBER($S190),$S190-$D190-IF(ISNUMBER($E190),$E190,0)-$O190-$T190-$U190-$V190,"")</f>
        <v/>
      </c>
      <c r="X190" s="46" t="str">
        <f aca="false">IF(AND(ISNUMBER($S190),$S190&gt;0),$W190/$S190,"")</f>
        <v/>
      </c>
      <c r="Y190" s="47" t="s">
        <v>734</v>
      </c>
      <c r="Z190" s="19"/>
    </row>
    <row r="191" customFormat="false" ht="15.75" hidden="false" customHeight="true" outlineLevel="0" collapsed="false">
      <c r="A191" s="48" t="str">
        <f aca="false">IF(Produtos!$A191="","",Produtos!$A191)</f>
        <v>Q2430-AC</v>
      </c>
      <c r="B191" s="48" t="str">
        <f aca="false">IF(Produtos!$A191="","",Produtos!$B191)</f>
        <v>Lixeira Quadrada 24x30 15L c/Aro Colorido</v>
      </c>
      <c r="C191" s="48" t="str">
        <f aca="false">IF(Produtos!$A191="","",Produtos!$C191)</f>
        <v>Lixeiras em inox</v>
      </c>
      <c r="D191" s="33" t="n">
        <f aca="false">IF(Produtos!$A191="","",IF(Produtos!$D191="","",Produtos!$D191))</f>
        <v>143.24</v>
      </c>
      <c r="E191" s="11" t="n">
        <v>29.25</v>
      </c>
      <c r="F191" s="34" t="n">
        <f aca="false">IF($A191="","",IF($C191="","⚠ categoria",IFERROR(INDEX(Parâmetros!$C$13:$C$22,MATCH($C191,Parâmetros!$A$13:$A$22,0)),"⚠ categoria")))</f>
        <v>0.18</v>
      </c>
      <c r="G191" s="35" t="n">
        <v>0.15</v>
      </c>
      <c r="H191" s="36" t="n">
        <f aca="false">IF($A191="","",IF(ISNUMBER($G191),$G191,IF(ISNUMBER($F191),$F191,"")))</f>
        <v>0.15</v>
      </c>
      <c r="I191" s="37" t="n">
        <f aca="false">IF(OR($A191="",NOT(ISNUMBER($D191)),NOT(ISNUMBER($H191))),"",IF((1-$H191-Parâmetros!$B$5-Parâmetros!$C$5-Parâmetros!$D$5)&lt;=0,"INVALIDO",($D191+IF(ISNUMBER($E191),$E191,0)+IF(ISNUMBER(Parâmetros!$E$5),Parâmetros!$E$5,0))/(1-$H191-Parâmetros!$B$5-Parâmetros!$C$5-Parâmetros!$D$5)))</f>
        <v>331.711538461538</v>
      </c>
      <c r="J191" s="38" t="n">
        <v>306.34065</v>
      </c>
      <c r="K191" s="39" t="n">
        <f aca="false">IF(OR($A191="",NOT(ISNUMBER($D191)),NOT(ISNUMBER($H191))),"",IF(AND(ISNUMBER($J191),$J191&gt;0),$J191,IF(ISNUMBER($I191),$I191,"")))</f>
        <v>306.34065</v>
      </c>
      <c r="L191" s="40" t="n">
        <f aca="false">IF(ISNUMBER($K191),$K191*$H191,"")</f>
        <v>45.9510975</v>
      </c>
      <c r="M191" s="40" t="n">
        <f aca="false">IF(ISNUMBER($K191),$K191*Parâmetros!$B$5,"")</f>
        <v>30.634065</v>
      </c>
      <c r="N191" s="40" t="n">
        <f aca="false">IF(ISNUMBER($K191),$K191*Parâmetros!$C$5,"")</f>
        <v>9.1902195</v>
      </c>
      <c r="O191" s="40" t="n">
        <f aca="false">IF(ISNUMBER($K191),IF(ISNUMBER(Parâmetros!$E$5),Parâmetros!$E$5,0),"")</f>
        <v>0</v>
      </c>
      <c r="P191" s="41" t="n">
        <f aca="false">IF(ISNUMBER($K191),$K191-$D191-IF(ISNUMBER($E191),$E191,0)-$L191-$M191-$N191-$O191,"")</f>
        <v>48.075268</v>
      </c>
      <c r="Q191" s="42" t="n">
        <f aca="false">IF(AND(ISNUMBER($K191),$K191&gt;0),$P191/$K191,"")</f>
        <v>0.156934014470492</v>
      </c>
      <c r="R191" s="43"/>
      <c r="S191" s="44" t="str">
        <f aca="false">IF(OR(NOT(ISNUMBER($R191)),$R191=0,NOT(ISNUMBER($K191))),"",$K191*(1-$R191))</f>
        <v/>
      </c>
      <c r="T191" s="45" t="str">
        <f aca="false">IF(ISNUMBER($S191),$S191*$H191,"")</f>
        <v/>
      </c>
      <c r="U191" s="45" t="str">
        <f aca="false">IF(ISNUMBER($S191),$S191*Parâmetros!$B$5,"")</f>
        <v/>
      </c>
      <c r="V191" s="45" t="str">
        <f aca="false">IF(ISNUMBER($S191),$S191*Parâmetros!$C$5,"")</f>
        <v/>
      </c>
      <c r="W191" s="44" t="str">
        <f aca="false">IF(ISNUMBER($S191),$S191-$D191-IF(ISNUMBER($E191),$E191,0)-$O191-$T191-$U191-$V191,"")</f>
        <v/>
      </c>
      <c r="X191" s="46" t="str">
        <f aca="false">IF(AND(ISNUMBER($S191),$S191&gt;0),$W191/$S191,"")</f>
        <v/>
      </c>
      <c r="Y191" s="49" t="s">
        <v>734</v>
      </c>
      <c r="Z191" s="21"/>
    </row>
    <row r="192" customFormat="false" ht="15.75" hidden="false" customHeight="true" outlineLevel="0" collapsed="false">
      <c r="A192" s="32" t="str">
        <f aca="false">IF(Produtos!$A192="","",Produtos!$A192)</f>
        <v>Q2460-AC</v>
      </c>
      <c r="B192" s="32" t="str">
        <f aca="false">IF(Produtos!$A192="","",Produtos!$B192)</f>
        <v>Lixeira Quadrada 24x60 30L c/Aro Colorido</v>
      </c>
      <c r="C192" s="32" t="str">
        <f aca="false">IF(Produtos!$A192="","",Produtos!$C192)</f>
        <v>Lixeiras em inox</v>
      </c>
      <c r="D192" s="33" t="n">
        <f aca="false">IF(Produtos!$A192="","",IF(Produtos!$D192="","",Produtos!$D192))</f>
        <v>215.68</v>
      </c>
      <c r="E192" s="11" t="n">
        <v>49.35</v>
      </c>
      <c r="F192" s="34" t="n">
        <f aca="false">IF($A192="","",IF($C192="","⚠ categoria",IFERROR(INDEX(Parâmetros!$C$13:$C$22,MATCH($C192,Parâmetros!$A$13:$A$22,0)),"⚠ categoria")))</f>
        <v>0.18</v>
      </c>
      <c r="G192" s="35" t="n">
        <v>0.15</v>
      </c>
      <c r="H192" s="36" t="n">
        <f aca="false">IF($A192="","",IF(ISNUMBER($G192),$G192,IF(ISNUMBER($F192),$F192,"")))</f>
        <v>0.15</v>
      </c>
      <c r="I192" s="37" t="n">
        <f aca="false">IF(OR($A192="",NOT(ISNUMBER($D192)),NOT(ISNUMBER($H192))),"",IF((1-$H192-Parâmetros!$B$5-Parâmetros!$C$5-Parâmetros!$D$5)&lt;=0,"INVALIDO",($D192+IF(ISNUMBER($E192),$E192,0)+IF(ISNUMBER(Parâmetros!$E$5),Parâmetros!$E$5,0))/(1-$H192-Parâmetros!$B$5-Parâmetros!$C$5-Parâmetros!$D$5)))</f>
        <v>509.673076923077</v>
      </c>
      <c r="J192" s="38" t="n">
        <v>503.42355</v>
      </c>
      <c r="K192" s="39" t="n">
        <f aca="false">IF(OR($A192="",NOT(ISNUMBER($D192)),NOT(ISNUMBER($H192))),"",IF(AND(ISNUMBER($J192),$J192&gt;0),$J192,IF(ISNUMBER($I192),$I192,"")))</f>
        <v>503.42355</v>
      </c>
      <c r="L192" s="40" t="n">
        <f aca="false">IF(ISNUMBER($K192),$K192*$H192,"")</f>
        <v>75.5135325</v>
      </c>
      <c r="M192" s="40" t="n">
        <f aca="false">IF(ISNUMBER($K192),$K192*Parâmetros!$B$5,"")</f>
        <v>50.342355</v>
      </c>
      <c r="N192" s="40" t="n">
        <f aca="false">IF(ISNUMBER($K192),$K192*Parâmetros!$C$5,"")</f>
        <v>15.1027065</v>
      </c>
      <c r="O192" s="40" t="n">
        <f aca="false">IF(ISNUMBER($K192),IF(ISNUMBER(Parâmetros!$E$5),Parâmetros!$E$5,0),"")</f>
        <v>0</v>
      </c>
      <c r="P192" s="41" t="n">
        <f aca="false">IF(ISNUMBER($K192),$K192-$D192-IF(ISNUMBER($E192),$E192,0)-$L192-$M192-$N192-$O192,"")</f>
        <v>97.434956</v>
      </c>
      <c r="Q192" s="42" t="n">
        <f aca="false">IF(AND(ISNUMBER($K192),$K192&gt;0),$P192/$K192,"")</f>
        <v>0.193544692138459</v>
      </c>
      <c r="R192" s="43"/>
      <c r="S192" s="44" t="str">
        <f aca="false">IF(OR(NOT(ISNUMBER($R192)),$R192=0,NOT(ISNUMBER($K192))),"",$K192*(1-$R192))</f>
        <v/>
      </c>
      <c r="T192" s="45" t="str">
        <f aca="false">IF(ISNUMBER($S192),$S192*$H192,"")</f>
        <v/>
      </c>
      <c r="U192" s="45" t="str">
        <f aca="false">IF(ISNUMBER($S192),$S192*Parâmetros!$B$5,"")</f>
        <v/>
      </c>
      <c r="V192" s="45" t="str">
        <f aca="false">IF(ISNUMBER($S192),$S192*Parâmetros!$C$5,"")</f>
        <v/>
      </c>
      <c r="W192" s="44" t="str">
        <f aca="false">IF(ISNUMBER($S192),$S192-$D192-IF(ISNUMBER($E192),$E192,0)-$O192-$T192-$U192-$V192,"")</f>
        <v/>
      </c>
      <c r="X192" s="46" t="str">
        <f aca="false">IF(AND(ISNUMBER($S192),$S192&gt;0),$W192/$S192,"")</f>
        <v/>
      </c>
      <c r="Y192" s="47" t="s">
        <v>734</v>
      </c>
      <c r="Z192" s="19"/>
    </row>
    <row r="193" customFormat="false" ht="15.75" hidden="false" customHeight="true" outlineLevel="0" collapsed="false">
      <c r="A193" s="48" t="str">
        <f aca="false">IF(Produtos!$A193="","",Produtos!$A193)</f>
        <v>Q3060-AC</v>
      </c>
      <c r="B193" s="48" t="str">
        <f aca="false">IF(Produtos!$A193="","",Produtos!$B193)</f>
        <v>Lixeira Quadrada 30x60 50L c/Aro Colorido</v>
      </c>
      <c r="C193" s="48" t="str">
        <f aca="false">IF(Produtos!$A193="","",Produtos!$C193)</f>
        <v>Lixeiras em inox</v>
      </c>
      <c r="D193" s="33" t="n">
        <f aca="false">IF(Produtos!$A193="","",IF(Produtos!$D193="","",Produtos!$D193))</f>
        <v>317.1</v>
      </c>
      <c r="E193" s="11" t="n">
        <v>65.85</v>
      </c>
      <c r="F193" s="34" t="n">
        <f aca="false">IF($A193="","",IF($C193="","⚠ categoria",IFERROR(INDEX(Parâmetros!$C$13:$C$22,MATCH($C193,Parâmetros!$A$13:$A$22,0)),"⚠ categoria")))</f>
        <v>0.18</v>
      </c>
      <c r="G193" s="35" t="n">
        <v>0.15</v>
      </c>
      <c r="H193" s="36" t="n">
        <f aca="false">IF($A193="","",IF(ISNUMBER($G193),$G193,IF(ISNUMBER($F193),$F193,"")))</f>
        <v>0.15</v>
      </c>
      <c r="I193" s="37" t="n">
        <f aca="false">IF(OR($A193="",NOT(ISNUMBER($D193)),NOT(ISNUMBER($H193))),"",IF((1-$H193-Parâmetros!$B$5-Parâmetros!$C$5-Parâmetros!$D$5)&lt;=0,"INVALIDO",($D193+IF(ISNUMBER($E193),$E193,0)+IF(ISNUMBER(Parâmetros!$E$5),Parâmetros!$E$5,0))/(1-$H193-Parâmetros!$B$5-Parâmetros!$C$5-Parâmetros!$D$5)))</f>
        <v>736.442307692308</v>
      </c>
      <c r="J193" s="38" t="n">
        <v>641.45655</v>
      </c>
      <c r="K193" s="39" t="n">
        <f aca="false">IF(OR($A193="",NOT(ISNUMBER($D193)),NOT(ISNUMBER($H193))),"",IF(AND(ISNUMBER($J193),$J193&gt;0),$J193,IF(ISNUMBER($I193),$I193,"")))</f>
        <v>641.45655</v>
      </c>
      <c r="L193" s="40" t="n">
        <f aca="false">IF(ISNUMBER($K193),$K193*$H193,"")</f>
        <v>96.2184825</v>
      </c>
      <c r="M193" s="40" t="n">
        <f aca="false">IF(ISNUMBER($K193),$K193*Parâmetros!$B$5,"")</f>
        <v>64.145655</v>
      </c>
      <c r="N193" s="40" t="n">
        <f aca="false">IF(ISNUMBER($K193),$K193*Parâmetros!$C$5,"")</f>
        <v>19.2436965</v>
      </c>
      <c r="O193" s="40" t="n">
        <f aca="false">IF(ISNUMBER($K193),IF(ISNUMBER(Parâmetros!$E$5),Parâmetros!$E$5,0),"")</f>
        <v>0</v>
      </c>
      <c r="P193" s="41" t="n">
        <f aca="false">IF(ISNUMBER($K193),$K193-$D193-IF(ISNUMBER($E193),$E193,0)-$L193-$M193-$N193-$O193,"")</f>
        <v>78.8987160000001</v>
      </c>
      <c r="Q193" s="42" t="n">
        <f aca="false">IF(AND(ISNUMBER($K193),$K193&gt;0),$P193/$K193,"")</f>
        <v>0.122999314606734</v>
      </c>
      <c r="R193" s="43"/>
      <c r="S193" s="44" t="str">
        <f aca="false">IF(OR(NOT(ISNUMBER($R193)),$R193=0,NOT(ISNUMBER($K193))),"",$K193*(1-$R193))</f>
        <v/>
      </c>
      <c r="T193" s="45" t="str">
        <f aca="false">IF(ISNUMBER($S193),$S193*$H193,"")</f>
        <v/>
      </c>
      <c r="U193" s="45" t="str">
        <f aca="false">IF(ISNUMBER($S193),$S193*Parâmetros!$B$5,"")</f>
        <v/>
      </c>
      <c r="V193" s="45" t="str">
        <f aca="false">IF(ISNUMBER($S193),$S193*Parâmetros!$C$5,"")</f>
        <v/>
      </c>
      <c r="W193" s="44" t="str">
        <f aca="false">IF(ISNUMBER($S193),$S193-$D193-IF(ISNUMBER($E193),$E193,0)-$O193-$T193-$U193-$V193,"")</f>
        <v/>
      </c>
      <c r="X193" s="46" t="str">
        <f aca="false">IF(AND(ISNUMBER($S193),$S193&gt;0),$W193/$S193,"")</f>
        <v/>
      </c>
      <c r="Y193" s="49" t="s">
        <v>734</v>
      </c>
      <c r="Z193" s="21"/>
    </row>
    <row r="194" customFormat="false" ht="15.75" hidden="false" customHeight="true" outlineLevel="0" collapsed="false">
      <c r="A194" s="32" t="str">
        <f aca="false">IF(Produtos!$A194="","",Produtos!$A194)</f>
        <v>Q4070-AC</v>
      </c>
      <c r="B194" s="32" t="str">
        <f aca="false">IF(Produtos!$A194="","",Produtos!$B194)</f>
        <v>Lixeira Quadrada 40x70 100L c/Aro Colorido</v>
      </c>
      <c r="C194" s="32" t="str">
        <f aca="false">IF(Produtos!$A194="","",Produtos!$C194)</f>
        <v>Lixeiras em inox</v>
      </c>
      <c r="D194" s="33" t="n">
        <f aca="false">IF(Produtos!$A194="","",IF(Produtos!$D194="","",Produtos!$D194))</f>
        <v>651.12</v>
      </c>
      <c r="E194" s="11" t="n">
        <v>75.65</v>
      </c>
      <c r="F194" s="34" t="n">
        <f aca="false">IF($A194="","",IF($C194="","⚠ categoria",IFERROR(INDEX(Parâmetros!$C$13:$C$22,MATCH($C194,Parâmetros!$A$13:$A$22,0)),"⚠ categoria")))</f>
        <v>0.18</v>
      </c>
      <c r="G194" s="35"/>
      <c r="H194" s="36" t="n">
        <f aca="false">IF($A194="","",IF(ISNUMBER($G194),$G194,IF(ISNUMBER($F194),$F194,"")))</f>
        <v>0.18</v>
      </c>
      <c r="I194" s="37" t="n">
        <f aca="false">IF(OR($A194="",NOT(ISNUMBER($D194)),NOT(ISNUMBER($H194))),"",IF((1-$H194-Parâmetros!$B$5-Parâmetros!$C$5-Parâmetros!$D$5)&lt;=0,"INVALIDO",($D194+IF(ISNUMBER($E194),$E194,0)+IF(ISNUMBER(Parâmetros!$E$5),Parâmetros!$E$5,0))/(1-$H194-Parâmetros!$B$5-Parâmetros!$C$5-Parâmetros!$D$5)))</f>
        <v>1483.20408163265</v>
      </c>
      <c r="J194" s="38" t="n">
        <v>1399.436325</v>
      </c>
      <c r="K194" s="39" t="n">
        <f aca="false">IF(OR($A194="",NOT(ISNUMBER($D194)),NOT(ISNUMBER($H194))),"",IF(AND(ISNUMBER($J194),$J194&gt;0),$J194,IF(ISNUMBER($I194),$I194,"")))</f>
        <v>1399.436325</v>
      </c>
      <c r="L194" s="40" t="n">
        <f aca="false">IF(ISNUMBER($K194),$K194*$H194,"")</f>
        <v>251.8985385</v>
      </c>
      <c r="M194" s="40" t="n">
        <f aca="false">IF(ISNUMBER($K194),$K194*Parâmetros!$B$5,"")</f>
        <v>139.9436325</v>
      </c>
      <c r="N194" s="40" t="n">
        <f aca="false">IF(ISNUMBER($K194),$K194*Parâmetros!$C$5,"")</f>
        <v>41.98308975</v>
      </c>
      <c r="O194" s="40" t="n">
        <f aca="false">IF(ISNUMBER($K194),IF(ISNUMBER(Parâmetros!$E$5),Parâmetros!$E$5,0),"")</f>
        <v>0</v>
      </c>
      <c r="P194" s="41" t="n">
        <f aca="false">IF(ISNUMBER($K194),$K194-$D194-IF(ISNUMBER($E194),$E194,0)-$L194-$M194-$N194-$O194,"")</f>
        <v>238.84106425</v>
      </c>
      <c r="Q194" s="42" t="n">
        <f aca="false">IF(AND(ISNUMBER($K194),$K194&gt;0),$P194/$K194,"")</f>
        <v>0.170669475976336</v>
      </c>
      <c r="R194" s="43"/>
      <c r="S194" s="44" t="str">
        <f aca="false">IF(OR(NOT(ISNUMBER($R194)),$R194=0,NOT(ISNUMBER($K194))),"",$K194*(1-$R194))</f>
        <v/>
      </c>
      <c r="T194" s="45" t="str">
        <f aca="false">IF(ISNUMBER($S194),$S194*$H194,"")</f>
        <v/>
      </c>
      <c r="U194" s="45" t="str">
        <f aca="false">IF(ISNUMBER($S194),$S194*Parâmetros!$B$5,"")</f>
        <v/>
      </c>
      <c r="V194" s="45" t="str">
        <f aca="false">IF(ISNUMBER($S194),$S194*Parâmetros!$C$5,"")</f>
        <v/>
      </c>
      <c r="W194" s="44" t="str">
        <f aca="false">IF(ISNUMBER($S194),$S194-$D194-IF(ISNUMBER($E194),$E194,0)-$O194-$T194-$U194-$V194,"")</f>
        <v/>
      </c>
      <c r="X194" s="46" t="str">
        <f aca="false">IF(AND(ISNUMBER($S194),$S194&gt;0),$W194/$S194,"")</f>
        <v/>
      </c>
      <c r="Y194" s="47" t="s">
        <v>734</v>
      </c>
      <c r="Z194" s="19"/>
    </row>
    <row r="195" customFormat="false" ht="15.75" hidden="false" customHeight="true" outlineLevel="0" collapsed="false">
      <c r="A195" s="48" t="str">
        <f aca="false">IF(Produtos!$A195="","",Produtos!$A195)</f>
        <v>Q2430-BC</v>
      </c>
      <c r="B195" s="48" t="str">
        <f aca="false">IF(Produtos!$A195="","",Produtos!$B195)</f>
        <v>Lixeira Quadrada 24x30 15L c/Aro Basculante Colorido</v>
      </c>
      <c r="C195" s="48" t="str">
        <f aca="false">IF(Produtos!$A195="","",Produtos!$C195)</f>
        <v>Lixeiras em inox</v>
      </c>
      <c r="D195" s="33" t="n">
        <f aca="false">IF(Produtos!$A195="","",IF(Produtos!$D195="","",Produtos!$D195))</f>
        <v>173.65</v>
      </c>
      <c r="E195" s="11" t="n">
        <v>29.25</v>
      </c>
      <c r="F195" s="34" t="n">
        <f aca="false">IF($A195="","",IF($C195="","⚠ categoria",IFERROR(INDEX(Parâmetros!$C$13:$C$22,MATCH($C195,Parâmetros!$A$13:$A$22,0)),"⚠ categoria")))</f>
        <v>0.18</v>
      </c>
      <c r="G195" s="35" t="n">
        <v>0.15</v>
      </c>
      <c r="H195" s="36" t="n">
        <f aca="false">IF($A195="","",IF(ISNUMBER($G195),$G195,IF(ISNUMBER($F195),$F195,"")))</f>
        <v>0.15</v>
      </c>
      <c r="I195" s="37" t="n">
        <f aca="false">IF(OR($A195="",NOT(ISNUMBER($D195)),NOT(ISNUMBER($H195))),"",IF((1-$H195-Parâmetros!$B$5-Parâmetros!$C$5-Parâmetros!$D$5)&lt;=0,"INVALIDO",($D195+IF(ISNUMBER($E195),$E195,0)+IF(ISNUMBER(Parâmetros!$E$5),Parâmetros!$E$5,0))/(1-$H195-Parâmetros!$B$5-Parâmetros!$C$5-Parâmetros!$D$5)))</f>
        <v>390.192307692308</v>
      </c>
      <c r="J195" s="38" t="n">
        <v>368.554725</v>
      </c>
      <c r="K195" s="39" t="n">
        <f aca="false">IF(OR($A195="",NOT(ISNUMBER($D195)),NOT(ISNUMBER($H195))),"",IF(AND(ISNUMBER($J195),$J195&gt;0),$J195,IF(ISNUMBER($I195),$I195,"")))</f>
        <v>368.554725</v>
      </c>
      <c r="L195" s="40" t="n">
        <f aca="false">IF(ISNUMBER($K195),$K195*$H195,"")</f>
        <v>55.28320875</v>
      </c>
      <c r="M195" s="40" t="n">
        <f aca="false">IF(ISNUMBER($K195),$K195*Parâmetros!$B$5,"")</f>
        <v>36.8554725</v>
      </c>
      <c r="N195" s="40" t="n">
        <f aca="false">IF(ISNUMBER($K195),$K195*Parâmetros!$C$5,"")</f>
        <v>11.05664175</v>
      </c>
      <c r="O195" s="40" t="n">
        <f aca="false">IF(ISNUMBER($K195),IF(ISNUMBER(Parâmetros!$E$5),Parâmetros!$E$5,0),"")</f>
        <v>0</v>
      </c>
      <c r="P195" s="41" t="n">
        <f aca="false">IF(ISNUMBER($K195),$K195-$D195-IF(ISNUMBER($E195),$E195,0)-$L195-$M195-$N195-$O195,"")</f>
        <v>62.4594020000001</v>
      </c>
      <c r="Q195" s="42" t="n">
        <f aca="false">IF(AND(ISNUMBER($K195),$K195&gt;0),$P195/$K195,"")</f>
        <v>0.169471174192652</v>
      </c>
      <c r="R195" s="43"/>
      <c r="S195" s="44" t="str">
        <f aca="false">IF(OR(NOT(ISNUMBER($R195)),$R195=0,NOT(ISNUMBER($K195))),"",$K195*(1-$R195))</f>
        <v/>
      </c>
      <c r="T195" s="45" t="str">
        <f aca="false">IF(ISNUMBER($S195),$S195*$H195,"")</f>
        <v/>
      </c>
      <c r="U195" s="45" t="str">
        <f aca="false">IF(ISNUMBER($S195),$S195*Parâmetros!$B$5,"")</f>
        <v/>
      </c>
      <c r="V195" s="45" t="str">
        <f aca="false">IF(ISNUMBER($S195),$S195*Parâmetros!$C$5,"")</f>
        <v/>
      </c>
      <c r="W195" s="44" t="str">
        <f aca="false">IF(ISNUMBER($S195),$S195-$D195-IF(ISNUMBER($E195),$E195,0)-$O195-$T195-$U195-$V195,"")</f>
        <v/>
      </c>
      <c r="X195" s="46" t="str">
        <f aca="false">IF(AND(ISNUMBER($S195),$S195&gt;0),$W195/$S195,"")</f>
        <v/>
      </c>
      <c r="Y195" s="49" t="s">
        <v>734</v>
      </c>
      <c r="Z195" s="21"/>
    </row>
    <row r="196" customFormat="false" ht="15.75" hidden="false" customHeight="true" outlineLevel="0" collapsed="false">
      <c r="A196" s="32" t="str">
        <f aca="false">IF(Produtos!$A196="","",Produtos!$A196)</f>
        <v>Q2460-BC</v>
      </c>
      <c r="B196" s="32" t="str">
        <f aca="false">IF(Produtos!$A196="","",Produtos!$B196)</f>
        <v>Lixeira Quadrada 24x60 30L c/Aro Basculante Colorido</v>
      </c>
      <c r="C196" s="32" t="str">
        <f aca="false">IF(Produtos!$A196="","",Produtos!$C196)</f>
        <v>Lixeiras em inox</v>
      </c>
      <c r="D196" s="33" t="n">
        <f aca="false">IF(Produtos!$A196="","",IF(Produtos!$D196="","",Produtos!$D196))</f>
        <v>234.63</v>
      </c>
      <c r="E196" s="11" t="n">
        <v>49.35</v>
      </c>
      <c r="F196" s="34" t="n">
        <f aca="false">IF($A196="","",IF($C196="","⚠ categoria",IFERROR(INDEX(Parâmetros!$C$13:$C$22,MATCH($C196,Parâmetros!$A$13:$A$22,0)),"⚠ categoria")))</f>
        <v>0.18</v>
      </c>
      <c r="G196" s="35" t="n">
        <v>0.15</v>
      </c>
      <c r="H196" s="36" t="n">
        <f aca="false">IF($A196="","",IF(ISNUMBER($G196),$G196,IF(ISNUMBER($F196),$F196,"")))</f>
        <v>0.15</v>
      </c>
      <c r="I196" s="37" t="n">
        <f aca="false">IF(OR($A196="",NOT(ISNUMBER($D196)),NOT(ISNUMBER($H196))),"",IF((1-$H196-Parâmetros!$B$5-Parâmetros!$C$5-Parâmetros!$D$5)&lt;=0,"INVALIDO",($D196+IF(ISNUMBER($E196),$E196,0)+IF(ISNUMBER(Parâmetros!$E$5),Parâmetros!$E$5,0))/(1-$H196-Parâmetros!$B$5-Parâmetros!$C$5-Parâmetros!$D$5)))</f>
        <v>546.115384615385</v>
      </c>
      <c r="J196" s="38" t="n">
        <v>498.120525</v>
      </c>
      <c r="K196" s="39" t="n">
        <f aca="false">IF(OR($A196="",NOT(ISNUMBER($D196)),NOT(ISNUMBER($H196))),"",IF(AND(ISNUMBER($J196),$J196&gt;0),$J196,IF(ISNUMBER($I196),$I196,"")))</f>
        <v>498.120525</v>
      </c>
      <c r="L196" s="40" t="n">
        <f aca="false">IF(ISNUMBER($K196),$K196*$H196,"")</f>
        <v>74.71807875</v>
      </c>
      <c r="M196" s="40" t="n">
        <f aca="false">IF(ISNUMBER($K196),$K196*Parâmetros!$B$5,"")</f>
        <v>49.8120525</v>
      </c>
      <c r="N196" s="40" t="n">
        <f aca="false">IF(ISNUMBER($K196),$K196*Parâmetros!$C$5,"")</f>
        <v>14.94361575</v>
      </c>
      <c r="O196" s="40" t="n">
        <f aca="false">IF(ISNUMBER($K196),IF(ISNUMBER(Parâmetros!$E$5),Parâmetros!$E$5,0),"")</f>
        <v>0</v>
      </c>
      <c r="P196" s="41" t="n">
        <f aca="false">IF(ISNUMBER($K196),$K196-$D196-IF(ISNUMBER($E196),$E196,0)-$L196-$M196-$N196-$O196,"")</f>
        <v>74.666778</v>
      </c>
      <c r="Q196" s="42" t="n">
        <f aca="false">IF(AND(ISNUMBER($K196),$K196&gt;0),$P196/$K196,"")</f>
        <v>0.149897011370893</v>
      </c>
      <c r="R196" s="43"/>
      <c r="S196" s="44" t="str">
        <f aca="false">IF(OR(NOT(ISNUMBER($R196)),$R196=0,NOT(ISNUMBER($K196))),"",$K196*(1-$R196))</f>
        <v/>
      </c>
      <c r="T196" s="45" t="str">
        <f aca="false">IF(ISNUMBER($S196),$S196*$H196,"")</f>
        <v/>
      </c>
      <c r="U196" s="45" t="str">
        <f aca="false">IF(ISNUMBER($S196),$S196*Parâmetros!$B$5,"")</f>
        <v/>
      </c>
      <c r="V196" s="45" t="str">
        <f aca="false">IF(ISNUMBER($S196),$S196*Parâmetros!$C$5,"")</f>
        <v/>
      </c>
      <c r="W196" s="44" t="str">
        <f aca="false">IF(ISNUMBER($S196),$S196-$D196-IF(ISNUMBER($E196),$E196,0)-$O196-$T196-$U196-$V196,"")</f>
        <v/>
      </c>
      <c r="X196" s="46" t="str">
        <f aca="false">IF(AND(ISNUMBER($S196),$S196&gt;0),$W196/$S196,"")</f>
        <v/>
      </c>
      <c r="Y196" s="47" t="s">
        <v>734</v>
      </c>
      <c r="Z196" s="19"/>
    </row>
    <row r="197" customFormat="false" ht="15.75" hidden="false" customHeight="true" outlineLevel="0" collapsed="false">
      <c r="A197" s="48" t="str">
        <f aca="false">IF(Produtos!$A197="","",Produtos!$A197)</f>
        <v>Q3060-BC</v>
      </c>
      <c r="B197" s="48" t="str">
        <f aca="false">IF(Produtos!$A197="","",Produtos!$B197)</f>
        <v>Lixeira Quadrada 30x60 50L c/Aro Basculante Colorido</v>
      </c>
      <c r="C197" s="48" t="str">
        <f aca="false">IF(Produtos!$A197="","",Produtos!$C197)</f>
        <v>Lixeiras em inox</v>
      </c>
      <c r="D197" s="33" t="n">
        <f aca="false">IF(Produtos!$A197="","",IF(Produtos!$D197="","",Produtos!$D197))</f>
        <v>342.51</v>
      </c>
      <c r="E197" s="11"/>
      <c r="F197" s="34" t="n">
        <f aca="false">IF($A197="","",IF($C197="","⚠ categoria",IFERROR(INDEX(Parâmetros!$C$13:$C$22,MATCH($C197,Parâmetros!$A$13:$A$22,0)),"⚠ categoria")))</f>
        <v>0.18</v>
      </c>
      <c r="G197" s="35"/>
      <c r="H197" s="36" t="n">
        <f aca="false">IF($A197="","",IF(ISNUMBER($G197),$G197,IF(ISNUMBER($F197),$F197,"")))</f>
        <v>0.18</v>
      </c>
      <c r="I197" s="37" t="n">
        <f aca="false">IF(OR($A197="",NOT(ISNUMBER($D197)),NOT(ISNUMBER($H197))),"",IF((1-$H197-Parâmetros!$B$5-Parâmetros!$C$5-Parâmetros!$D$5)&lt;=0,"INVALIDO",($D197+IF(ISNUMBER($E197),$E197,0)+IF(ISNUMBER(Parâmetros!$E$5),Parâmetros!$E$5,0))/(1-$H197-Parâmetros!$B$5-Parâmetros!$C$5-Parâmetros!$D$5)))</f>
        <v>699</v>
      </c>
      <c r="J197" s="38"/>
      <c r="K197" s="39" t="n">
        <f aca="false">IF(OR($A197="",NOT(ISNUMBER($D197)),NOT(ISNUMBER($H197))),"",IF(AND(ISNUMBER($J197),$J197&gt;0),$J197,IF(ISNUMBER($I197),$I197,"")))</f>
        <v>699</v>
      </c>
      <c r="L197" s="40" t="n">
        <f aca="false">IF(ISNUMBER($K197),$K197*$H197,"")</f>
        <v>125.82</v>
      </c>
      <c r="M197" s="40" t="n">
        <f aca="false">IF(ISNUMBER($K197),$K197*Parâmetros!$B$5,"")</f>
        <v>69.9</v>
      </c>
      <c r="N197" s="40" t="n">
        <f aca="false">IF(ISNUMBER($K197),$K197*Parâmetros!$C$5,"")</f>
        <v>20.97</v>
      </c>
      <c r="O197" s="40" t="n">
        <f aca="false">IF(ISNUMBER($K197),IF(ISNUMBER(Parâmetros!$E$5),Parâmetros!$E$5,0),"")</f>
        <v>0</v>
      </c>
      <c r="P197" s="41" t="n">
        <f aca="false">IF(ISNUMBER($K197),$K197-$D197-IF(ISNUMBER($E197),$E197,0)-$L197-$M197-$N197-$O197,"")</f>
        <v>139.8</v>
      </c>
      <c r="Q197" s="42" t="n">
        <f aca="false">IF(AND(ISNUMBER($K197),$K197&gt;0),$P197/$K197,"")</f>
        <v>0.2</v>
      </c>
      <c r="R197" s="43"/>
      <c r="S197" s="44" t="str">
        <f aca="false">IF(OR(NOT(ISNUMBER($R197)),$R197=0,NOT(ISNUMBER($K197))),"",$K197*(1-$R197))</f>
        <v/>
      </c>
      <c r="T197" s="45" t="str">
        <f aca="false">IF(ISNUMBER($S197),$S197*$H197,"")</f>
        <v/>
      </c>
      <c r="U197" s="45" t="str">
        <f aca="false">IF(ISNUMBER($S197),$S197*Parâmetros!$B$5,"")</f>
        <v/>
      </c>
      <c r="V197" s="45" t="str">
        <f aca="false">IF(ISNUMBER($S197),$S197*Parâmetros!$C$5,"")</f>
        <v/>
      </c>
      <c r="W197" s="44" t="str">
        <f aca="false">IF(ISNUMBER($S197),$S197-$D197-IF(ISNUMBER($E197),$E197,0)-$O197-$T197-$U197-$V197,"")</f>
        <v/>
      </c>
      <c r="X197" s="46" t="str">
        <f aca="false">IF(AND(ISNUMBER($S197),$S197&gt;0),$W197/$S197,"")</f>
        <v/>
      </c>
      <c r="Y197" s="49"/>
      <c r="Z197" s="21"/>
    </row>
    <row r="198" customFormat="false" ht="15.75" hidden="false" customHeight="true" outlineLevel="0" collapsed="false">
      <c r="A198" s="32" t="str">
        <f aca="false">IF(Produtos!$A198="","",Produtos!$A198)</f>
        <v>Q4070-BC</v>
      </c>
      <c r="B198" s="32" t="str">
        <f aca="false">IF(Produtos!$A198="","",Produtos!$B198)</f>
        <v>Lixeira Quadrada 40x70 100L c/Aro Basculante Colorido</v>
      </c>
      <c r="C198" s="32" t="str">
        <f aca="false">IF(Produtos!$A198="","",Produtos!$C198)</f>
        <v>Lixeiras em inox</v>
      </c>
      <c r="D198" s="33" t="n">
        <f aca="false">IF(Produtos!$A198="","",IF(Produtos!$D198="","",Produtos!$D198))</f>
        <v>686.97</v>
      </c>
      <c r="E198" s="11"/>
      <c r="F198" s="34" t="n">
        <f aca="false">IF($A198="","",IF($C198="","⚠ categoria",IFERROR(INDEX(Parâmetros!$C$13:$C$22,MATCH($C198,Parâmetros!$A$13:$A$22,0)),"⚠ categoria")))</f>
        <v>0.18</v>
      </c>
      <c r="G198" s="35"/>
      <c r="H198" s="36" t="n">
        <f aca="false">IF($A198="","",IF(ISNUMBER($G198),$G198,IF(ISNUMBER($F198),$F198,"")))</f>
        <v>0.18</v>
      </c>
      <c r="I198" s="37" t="n">
        <f aca="false">IF(OR($A198="",NOT(ISNUMBER($D198)),NOT(ISNUMBER($H198))),"",IF((1-$H198-Parâmetros!$B$5-Parâmetros!$C$5-Parâmetros!$D$5)&lt;=0,"INVALIDO",($D198+IF(ISNUMBER($E198),$E198,0)+IF(ISNUMBER(Parâmetros!$E$5),Parâmetros!$E$5,0))/(1-$H198-Parâmetros!$B$5-Parâmetros!$C$5-Parâmetros!$D$5)))</f>
        <v>1401.97959183673</v>
      </c>
      <c r="J198" s="38"/>
      <c r="K198" s="39" t="n">
        <f aca="false">IF(OR($A198="",NOT(ISNUMBER($D198)),NOT(ISNUMBER($H198))),"",IF(AND(ISNUMBER($J198),$J198&gt;0),$J198,IF(ISNUMBER($I198),$I198,"")))</f>
        <v>1401.97959183673</v>
      </c>
      <c r="L198" s="40" t="n">
        <f aca="false">IF(ISNUMBER($K198),$K198*$H198,"")</f>
        <v>252.356326530612</v>
      </c>
      <c r="M198" s="40" t="n">
        <f aca="false">IF(ISNUMBER($K198),$K198*Parâmetros!$B$5,"")</f>
        <v>140.197959183673</v>
      </c>
      <c r="N198" s="40" t="n">
        <f aca="false">IF(ISNUMBER($K198),$K198*Parâmetros!$C$5,"")</f>
        <v>42.059387755102</v>
      </c>
      <c r="O198" s="40" t="n">
        <f aca="false">IF(ISNUMBER($K198),IF(ISNUMBER(Parâmetros!$E$5),Parâmetros!$E$5,0),"")</f>
        <v>0</v>
      </c>
      <c r="P198" s="41" t="n">
        <f aca="false">IF(ISNUMBER($K198),$K198-$D198-IF(ISNUMBER($E198),$E198,0)-$L198-$M198-$N198-$O198,"")</f>
        <v>280.395918367347</v>
      </c>
      <c r="Q198" s="42" t="n">
        <f aca="false">IF(AND(ISNUMBER($K198),$K198&gt;0),$P198/$K198,"")</f>
        <v>0.2</v>
      </c>
      <c r="R198" s="43"/>
      <c r="S198" s="44" t="str">
        <f aca="false">IF(OR(NOT(ISNUMBER($R198)),$R198=0,NOT(ISNUMBER($K198))),"",$K198*(1-$R198))</f>
        <v/>
      </c>
      <c r="T198" s="45" t="str">
        <f aca="false">IF(ISNUMBER($S198),$S198*$H198,"")</f>
        <v/>
      </c>
      <c r="U198" s="45" t="str">
        <f aca="false">IF(ISNUMBER($S198),$S198*Parâmetros!$B$5,"")</f>
        <v/>
      </c>
      <c r="V198" s="45" t="str">
        <f aca="false">IF(ISNUMBER($S198),$S198*Parâmetros!$C$5,"")</f>
        <v/>
      </c>
      <c r="W198" s="44" t="str">
        <f aca="false">IF(ISNUMBER($S198),$S198-$D198-IF(ISNUMBER($E198),$E198,0)-$O198-$T198-$U198-$V198,"")</f>
        <v/>
      </c>
      <c r="X198" s="46" t="str">
        <f aca="false">IF(AND(ISNUMBER($S198),$S198&gt;0),$W198/$S198,"")</f>
        <v/>
      </c>
      <c r="Y198" s="47"/>
      <c r="Z198" s="19"/>
    </row>
    <row r="199" customFormat="false" ht="15.75" hidden="false" customHeight="true" outlineLevel="0" collapsed="false">
      <c r="A199" s="48" t="str">
        <f aca="false">IF(Produtos!$A199="","",Produtos!$A199)</f>
        <v>PQ-2430C</v>
      </c>
      <c r="B199" s="48" t="str">
        <f aca="false">IF(Produtos!$A199="","",Produtos!$B199)</f>
        <v>Lixeira quadrada c/Tampa colorida e Pedal 24x30 15L</v>
      </c>
      <c r="C199" s="48" t="str">
        <f aca="false">IF(Produtos!$A199="","",Produtos!$C199)</f>
        <v>Lixeiras com pedal</v>
      </c>
      <c r="D199" s="33" t="n">
        <f aca="false">IF(Produtos!$A199="","",IF(Produtos!$D199="","",Produtos!$D199))</f>
        <v>293.67</v>
      </c>
      <c r="E199" s="11" t="n">
        <v>29.25</v>
      </c>
      <c r="F199" s="34" t="n">
        <f aca="false">IF($A199="","",IF($C199="","⚠ categoria",IFERROR(INDEX(Parâmetros!$C$13:$C$22,MATCH($C199,Parâmetros!$A$13:$A$22,0)),"⚠ categoria")))</f>
        <v>0.18</v>
      </c>
      <c r="G199" s="35" t="n">
        <v>0.15</v>
      </c>
      <c r="H199" s="36" t="n">
        <f aca="false">IF($A199="","",IF(ISNUMBER($G199),$G199,IF(ISNUMBER($F199),$F199,"")))</f>
        <v>0.15</v>
      </c>
      <c r="I199" s="37" t="n">
        <f aca="false">IF(OR($A199="",NOT(ISNUMBER($D199)),NOT(ISNUMBER($H199))),"",IF((1-$H199-Parâmetros!$B$5-Parâmetros!$C$5-Parâmetros!$D$5)&lt;=0,"INVALIDO",($D199+IF(ISNUMBER($E199),$E199,0)+IF(ISNUMBER(Parâmetros!$E$5),Parâmetros!$E$5,0))/(1-$H199-Parâmetros!$B$5-Parâmetros!$C$5-Parâmetros!$D$5)))</f>
        <v>621</v>
      </c>
      <c r="J199" s="38" t="n">
        <v>614.6217</v>
      </c>
      <c r="K199" s="39" t="n">
        <f aca="false">IF(OR($A199="",NOT(ISNUMBER($D199)),NOT(ISNUMBER($H199))),"",IF(AND(ISNUMBER($J199),$J199&gt;0),$J199,IF(ISNUMBER($I199),$I199,"")))</f>
        <v>614.6217</v>
      </c>
      <c r="L199" s="40" t="n">
        <f aca="false">IF(ISNUMBER($K199),$K199*$H199,"")</f>
        <v>92.193255</v>
      </c>
      <c r="M199" s="40" t="n">
        <f aca="false">IF(ISNUMBER($K199),$K199*Parâmetros!$B$5,"")</f>
        <v>61.46217</v>
      </c>
      <c r="N199" s="40" t="n">
        <f aca="false">IF(ISNUMBER($K199),$K199*Parâmetros!$C$5,"")</f>
        <v>18.438651</v>
      </c>
      <c r="O199" s="40" t="n">
        <f aca="false">IF(ISNUMBER($K199),IF(ISNUMBER(Parâmetros!$E$5),Parâmetros!$E$5,0),"")</f>
        <v>0</v>
      </c>
      <c r="P199" s="41" t="n">
        <f aca="false">IF(ISNUMBER($K199),$K199-$D199-IF(ISNUMBER($E199),$E199,0)-$L199-$M199-$N199-$O199,"")</f>
        <v>119.607624</v>
      </c>
      <c r="Q199" s="42" t="n">
        <f aca="false">IF(AND(ISNUMBER($K199),$K199&gt;0),$P199/$K199,"")</f>
        <v>0.194603646438126</v>
      </c>
      <c r="R199" s="43"/>
      <c r="S199" s="44" t="str">
        <f aca="false">IF(OR(NOT(ISNUMBER($R199)),$R199=0,NOT(ISNUMBER($K199))),"",$K199*(1-$R199))</f>
        <v/>
      </c>
      <c r="T199" s="45" t="str">
        <f aca="false">IF(ISNUMBER($S199),$S199*$H199,"")</f>
        <v/>
      </c>
      <c r="U199" s="45" t="str">
        <f aca="false">IF(ISNUMBER($S199),$S199*Parâmetros!$B$5,"")</f>
        <v/>
      </c>
      <c r="V199" s="45" t="str">
        <f aca="false">IF(ISNUMBER($S199),$S199*Parâmetros!$C$5,"")</f>
        <v/>
      </c>
      <c r="W199" s="44" t="str">
        <f aca="false">IF(ISNUMBER($S199),$S199-$D199-IF(ISNUMBER($E199),$E199,0)-$O199-$T199-$U199-$V199,"")</f>
        <v/>
      </c>
      <c r="X199" s="46" t="str">
        <f aca="false">IF(AND(ISNUMBER($S199),$S199&gt;0),$W199/$S199,"")</f>
        <v/>
      </c>
      <c r="Y199" s="49" t="s">
        <v>734</v>
      </c>
      <c r="Z199" s="21"/>
    </row>
    <row r="200" customFormat="false" ht="15.75" hidden="false" customHeight="true" outlineLevel="0" collapsed="false">
      <c r="A200" s="32" t="str">
        <f aca="false">IF(Produtos!$A200="","",Produtos!$A200)</f>
        <v>PQ-2460C</v>
      </c>
      <c r="B200" s="32" t="str">
        <f aca="false">IF(Produtos!$A200="","",Produtos!$B200)</f>
        <v>Lixeira quadrada c/Tampa colorida e Pedal 24x60 30L</v>
      </c>
      <c r="C200" s="32" t="str">
        <f aca="false">IF(Produtos!$A200="","",Produtos!$C200)</f>
        <v>Lixeiras com pedal</v>
      </c>
      <c r="D200" s="33" t="n">
        <f aca="false">IF(Produtos!$A200="","",IF(Produtos!$D200="","",Produtos!$D200))</f>
        <v>360.26</v>
      </c>
      <c r="E200" s="11"/>
      <c r="F200" s="34" t="n">
        <f aca="false">IF($A200="","",IF($C200="","⚠ categoria",IFERROR(INDEX(Parâmetros!$C$13:$C$22,MATCH($C200,Parâmetros!$A$13:$A$22,0)),"⚠ categoria")))</f>
        <v>0.18</v>
      </c>
      <c r="G200" s="35"/>
      <c r="H200" s="36" t="n">
        <f aca="false">IF($A200="","",IF(ISNUMBER($G200),$G200,IF(ISNUMBER($F200),$F200,"")))</f>
        <v>0.18</v>
      </c>
      <c r="I200" s="37" t="n">
        <f aca="false">IF(OR($A200="",NOT(ISNUMBER($D200)),NOT(ISNUMBER($H200))),"",IF((1-$H200-Parâmetros!$B$5-Parâmetros!$C$5-Parâmetros!$D$5)&lt;=0,"INVALIDO",($D200+IF(ISNUMBER($E200),$E200,0)+IF(ISNUMBER(Parâmetros!$E$5),Parâmetros!$E$5,0))/(1-$H200-Parâmetros!$B$5-Parâmetros!$C$5-Parâmetros!$D$5)))</f>
        <v>735.224489795918</v>
      </c>
      <c r="J200" s="38"/>
      <c r="K200" s="39" t="n">
        <f aca="false">IF(OR($A200="",NOT(ISNUMBER($D200)),NOT(ISNUMBER($H200))),"",IF(AND(ISNUMBER($J200),$J200&gt;0),$J200,IF(ISNUMBER($I200),$I200,"")))</f>
        <v>735.224489795918</v>
      </c>
      <c r="L200" s="40" t="n">
        <f aca="false">IF(ISNUMBER($K200),$K200*$H200,"")</f>
        <v>132.340408163265</v>
      </c>
      <c r="M200" s="40" t="n">
        <f aca="false">IF(ISNUMBER($K200),$K200*Parâmetros!$B$5,"")</f>
        <v>73.5224489795918</v>
      </c>
      <c r="N200" s="40" t="n">
        <f aca="false">IF(ISNUMBER($K200),$K200*Parâmetros!$C$5,"")</f>
        <v>22.0567346938775</v>
      </c>
      <c r="O200" s="40" t="n">
        <f aca="false">IF(ISNUMBER($K200),IF(ISNUMBER(Parâmetros!$E$5),Parâmetros!$E$5,0),"")</f>
        <v>0</v>
      </c>
      <c r="P200" s="41" t="n">
        <f aca="false">IF(ISNUMBER($K200),$K200-$D200-IF(ISNUMBER($E200),$E200,0)-$L200-$M200-$N200-$O200,"")</f>
        <v>147.044897959184</v>
      </c>
      <c r="Q200" s="42" t="n">
        <f aca="false">IF(AND(ISNUMBER($K200),$K200&gt;0),$P200/$K200,"")</f>
        <v>0.2</v>
      </c>
      <c r="R200" s="43"/>
      <c r="S200" s="44" t="str">
        <f aca="false">IF(OR(NOT(ISNUMBER($R200)),$R200=0,NOT(ISNUMBER($K200))),"",$K200*(1-$R200))</f>
        <v/>
      </c>
      <c r="T200" s="45" t="str">
        <f aca="false">IF(ISNUMBER($S200),$S200*$H200,"")</f>
        <v/>
      </c>
      <c r="U200" s="45" t="str">
        <f aca="false">IF(ISNUMBER($S200),$S200*Parâmetros!$B$5,"")</f>
        <v/>
      </c>
      <c r="V200" s="45" t="str">
        <f aca="false">IF(ISNUMBER($S200),$S200*Parâmetros!$C$5,"")</f>
        <v/>
      </c>
      <c r="W200" s="44" t="str">
        <f aca="false">IF(ISNUMBER($S200),$S200-$D200-IF(ISNUMBER($E200),$E200,0)-$O200-$T200-$U200-$V200,"")</f>
        <v/>
      </c>
      <c r="X200" s="46" t="str">
        <f aca="false">IF(AND(ISNUMBER($S200),$S200&gt;0),$W200/$S200,"")</f>
        <v/>
      </c>
      <c r="Y200" s="47"/>
      <c r="Z200" s="19"/>
    </row>
    <row r="201" customFormat="false" ht="15.75" hidden="false" customHeight="true" outlineLevel="0" collapsed="false">
      <c r="A201" s="48" t="str">
        <f aca="false">IF(Produtos!$A201="","",Produtos!$A201)</f>
        <v>PQ-3060C</v>
      </c>
      <c r="B201" s="48" t="str">
        <f aca="false">IF(Produtos!$A201="","",Produtos!$B201)</f>
        <v>Lixeira quadrada c/Tampa colorida e Pedal 30x60 50L</v>
      </c>
      <c r="C201" s="48" t="str">
        <f aca="false">IF(Produtos!$A201="","",Produtos!$C201)</f>
        <v>Lixeiras com pedal</v>
      </c>
      <c r="D201" s="33" t="n">
        <f aca="false">IF(Produtos!$A201="","",IF(Produtos!$D201="","",Produtos!$D201))</f>
        <v>449.58</v>
      </c>
      <c r="E201" s="11" t="n">
        <v>65.85</v>
      </c>
      <c r="F201" s="34" t="n">
        <f aca="false">IF($A201="","",IF($C201="","⚠ categoria",IFERROR(INDEX(Parâmetros!$C$13:$C$22,MATCH($C201,Parâmetros!$A$13:$A$22,0)),"⚠ categoria")))</f>
        <v>0.18</v>
      </c>
      <c r="G201" s="35"/>
      <c r="H201" s="36" t="n">
        <f aca="false">IF($A201="","",IF(ISNUMBER($G201),$G201,IF(ISNUMBER($F201),$F201,"")))</f>
        <v>0.18</v>
      </c>
      <c r="I201" s="37" t="n">
        <f aca="false">IF(OR($A201="",NOT(ISNUMBER($D201)),NOT(ISNUMBER($H201))),"",IF((1-$H201-Parâmetros!$B$5-Parâmetros!$C$5-Parâmetros!$D$5)&lt;=0,"INVALIDO",($D201+IF(ISNUMBER($E201),$E201,0)+IF(ISNUMBER(Parâmetros!$E$5),Parâmetros!$E$5,0))/(1-$H201-Parâmetros!$B$5-Parâmetros!$C$5-Parâmetros!$D$5)))</f>
        <v>1051.89795918367</v>
      </c>
      <c r="J201" s="38" t="n">
        <v>961.699725</v>
      </c>
      <c r="K201" s="39" t="n">
        <f aca="false">IF(OR($A201="",NOT(ISNUMBER($D201)),NOT(ISNUMBER($H201))),"",IF(AND(ISNUMBER($J201),$J201&gt;0),$J201,IF(ISNUMBER($I201),$I201,"")))</f>
        <v>961.699725</v>
      </c>
      <c r="L201" s="40" t="n">
        <f aca="false">IF(ISNUMBER($K201),$K201*$H201,"")</f>
        <v>173.1059505</v>
      </c>
      <c r="M201" s="40" t="n">
        <f aca="false">IF(ISNUMBER($K201),$K201*Parâmetros!$B$5,"")</f>
        <v>96.1699725</v>
      </c>
      <c r="N201" s="40" t="n">
        <f aca="false">IF(ISNUMBER($K201),$K201*Parâmetros!$C$5,"")</f>
        <v>28.85099175</v>
      </c>
      <c r="O201" s="40" t="n">
        <f aca="false">IF(ISNUMBER($K201),IF(ISNUMBER(Parâmetros!$E$5),Parâmetros!$E$5,0),"")</f>
        <v>0</v>
      </c>
      <c r="P201" s="41" t="n">
        <f aca="false">IF(ISNUMBER($K201),$K201-$D201-IF(ISNUMBER($E201),$E201,0)-$L201-$M201-$N201-$O201,"")</f>
        <v>148.14281025</v>
      </c>
      <c r="Q201" s="42" t="n">
        <f aca="false">IF(AND(ISNUMBER($K201),$K201&gt;0),$P201/$K201,"")</f>
        <v>0.154042687544701</v>
      </c>
      <c r="R201" s="43"/>
      <c r="S201" s="44" t="str">
        <f aca="false">IF(OR(NOT(ISNUMBER($R201)),$R201=0,NOT(ISNUMBER($K201))),"",$K201*(1-$R201))</f>
        <v/>
      </c>
      <c r="T201" s="45" t="str">
        <f aca="false">IF(ISNUMBER($S201),$S201*$H201,"")</f>
        <v/>
      </c>
      <c r="U201" s="45" t="str">
        <f aca="false">IF(ISNUMBER($S201),$S201*Parâmetros!$B$5,"")</f>
        <v/>
      </c>
      <c r="V201" s="45" t="str">
        <f aca="false">IF(ISNUMBER($S201),$S201*Parâmetros!$C$5,"")</f>
        <v/>
      </c>
      <c r="W201" s="44" t="str">
        <f aca="false">IF(ISNUMBER($S201),$S201-$D201-IF(ISNUMBER($E201),$E201,0)-$O201-$T201-$U201-$V201,"")</f>
        <v/>
      </c>
      <c r="X201" s="46" t="str">
        <f aca="false">IF(AND(ISNUMBER($S201),$S201&gt;0),$W201/$S201,"")</f>
        <v/>
      </c>
      <c r="Y201" s="49" t="s">
        <v>734</v>
      </c>
      <c r="Z201" s="21"/>
    </row>
    <row r="202" customFormat="false" ht="15.75" hidden="false" customHeight="true" outlineLevel="0" collapsed="false">
      <c r="A202" s="32" t="str">
        <f aca="false">IF(Produtos!$A202="","",Produtos!$A202)</f>
        <v>PQ-4070C</v>
      </c>
      <c r="B202" s="32" t="str">
        <f aca="false">IF(Produtos!$A202="","",Produtos!$B202)</f>
        <v>Lixeira quadrada c/Tampa colorida e Pedal 40x70 100L</v>
      </c>
      <c r="C202" s="32" t="str">
        <f aca="false">IF(Produtos!$A202="","",Produtos!$C202)</f>
        <v>Lixeiras com pedal</v>
      </c>
      <c r="D202" s="33" t="n">
        <f aca="false">IF(Produtos!$A202="","",IF(Produtos!$D202="","",Produtos!$D202))</f>
        <v>980.21</v>
      </c>
      <c r="E202" s="11" t="n">
        <v>106.85</v>
      </c>
      <c r="F202" s="34" t="n">
        <f aca="false">IF($A202="","",IF($C202="","⚠ categoria",IFERROR(INDEX(Parâmetros!$C$13:$C$22,MATCH($C202,Parâmetros!$A$13:$A$22,0)),"⚠ categoria")))</f>
        <v>0.18</v>
      </c>
      <c r="G202" s="35"/>
      <c r="H202" s="36" t="n">
        <f aca="false">IF($A202="","",IF(ISNUMBER($G202),$G202,IF(ISNUMBER($F202),$F202,"")))</f>
        <v>0.18</v>
      </c>
      <c r="I202" s="37" t="n">
        <f aca="false">IF(OR($A202="",NOT(ISNUMBER($D202)),NOT(ISNUMBER($H202))),"",IF((1-$H202-Parâmetros!$B$5-Parâmetros!$C$5-Parâmetros!$D$5)&lt;=0,"INVALIDO",($D202+IF(ISNUMBER($E202),$E202,0)+IF(ISNUMBER(Parâmetros!$E$5),Parâmetros!$E$5,0))/(1-$H202-Parâmetros!$B$5-Parâmetros!$C$5-Parâmetros!$D$5)))</f>
        <v>2218.48979591837</v>
      </c>
      <c r="J202" s="38" t="n">
        <v>2023.782075</v>
      </c>
      <c r="K202" s="39" t="n">
        <f aca="false">IF(OR($A202="",NOT(ISNUMBER($D202)),NOT(ISNUMBER($H202))),"",IF(AND(ISNUMBER($J202),$J202&gt;0),$J202,IF(ISNUMBER($I202),$I202,"")))</f>
        <v>2023.782075</v>
      </c>
      <c r="L202" s="40" t="n">
        <f aca="false">IF(ISNUMBER($K202),$K202*$H202,"")</f>
        <v>364.2807735</v>
      </c>
      <c r="M202" s="40" t="n">
        <f aca="false">IF(ISNUMBER($K202),$K202*Parâmetros!$B$5,"")</f>
        <v>202.3782075</v>
      </c>
      <c r="N202" s="40" t="n">
        <f aca="false">IF(ISNUMBER($K202),$K202*Parâmetros!$C$5,"")</f>
        <v>60.71346225</v>
      </c>
      <c r="O202" s="40" t="n">
        <f aca="false">IF(ISNUMBER($K202),IF(ISNUMBER(Parâmetros!$E$5),Parâmetros!$E$5,0),"")</f>
        <v>0</v>
      </c>
      <c r="P202" s="41" t="n">
        <f aca="false">IF(ISNUMBER($K202),$K202-$D202-IF(ISNUMBER($E202),$E202,0)-$L202-$M202-$N202-$O202,"")</f>
        <v>309.34963175</v>
      </c>
      <c r="Q202" s="42" t="n">
        <f aca="false">IF(AND(ISNUMBER($K202),$K202&gt;0),$P202/$K202,"")</f>
        <v>0.152857185351837</v>
      </c>
      <c r="R202" s="43"/>
      <c r="S202" s="44" t="str">
        <f aca="false">IF(OR(NOT(ISNUMBER($R202)),$R202=0,NOT(ISNUMBER($K202))),"",$K202*(1-$R202))</f>
        <v/>
      </c>
      <c r="T202" s="45" t="str">
        <f aca="false">IF(ISNUMBER($S202),$S202*$H202,"")</f>
        <v/>
      </c>
      <c r="U202" s="45" t="str">
        <f aca="false">IF(ISNUMBER($S202),$S202*Parâmetros!$B$5,"")</f>
        <v/>
      </c>
      <c r="V202" s="45" t="str">
        <f aca="false">IF(ISNUMBER($S202),$S202*Parâmetros!$C$5,"")</f>
        <v/>
      </c>
      <c r="W202" s="44" t="str">
        <f aca="false">IF(ISNUMBER($S202),$S202-$D202-IF(ISNUMBER($E202),$E202,0)-$O202-$T202-$U202-$V202,"")</f>
        <v/>
      </c>
      <c r="X202" s="46" t="str">
        <f aca="false">IF(AND(ISNUMBER($S202),$S202&gt;0),$W202/$S202,"")</f>
        <v/>
      </c>
      <c r="Y202" s="47" t="s">
        <v>734</v>
      </c>
      <c r="Z202" s="19"/>
    </row>
    <row r="203" customFormat="false" ht="15.75" hidden="false" customHeight="true" outlineLevel="0" collapsed="false">
      <c r="A203" s="48" t="str">
        <f aca="false">IF(Produtos!$A203="","",Produtos!$A203)</f>
        <v>PQ-4090C</v>
      </c>
      <c r="B203" s="48" t="str">
        <f aca="false">IF(Produtos!$A203="","",Produtos!$B203)</f>
        <v>Lixeira quadrada c/Tampa colorida e Pedal 40x90 120L</v>
      </c>
      <c r="C203" s="48" t="str">
        <f aca="false">IF(Produtos!$A203="","",Produtos!$C203)</f>
        <v>Lixeiras com pedal</v>
      </c>
      <c r="D203" s="33" t="n">
        <f aca="false">IF(Produtos!$A203="","",IF(Produtos!$D203="","",Produtos!$D203))</f>
        <v>1078.18</v>
      </c>
      <c r="E203" s="11" t="n">
        <v>107.95</v>
      </c>
      <c r="F203" s="34" t="n">
        <f aca="false">IF($A203="","",IF($C203="","⚠ categoria",IFERROR(INDEX(Parâmetros!$C$13:$C$22,MATCH($C203,Parâmetros!$A$13:$A$22,0)),"⚠ categoria")))</f>
        <v>0.18</v>
      </c>
      <c r="G203" s="35"/>
      <c r="H203" s="36" t="n">
        <f aca="false">IF($A203="","",IF(ISNUMBER($G203),$G203,IF(ISNUMBER($F203),$F203,"")))</f>
        <v>0.18</v>
      </c>
      <c r="I203" s="37" t="n">
        <f aca="false">IF(OR($A203="",NOT(ISNUMBER($D203)),NOT(ISNUMBER($H203))),"",IF((1-$H203-Parâmetros!$B$5-Parâmetros!$C$5-Parâmetros!$D$5)&lt;=0,"INVALIDO",($D203+IF(ISNUMBER($E203),$E203,0)+IF(ISNUMBER(Parâmetros!$E$5),Parâmetros!$E$5,0))/(1-$H203-Parâmetros!$B$5-Parâmetros!$C$5-Parâmetros!$D$5)))</f>
        <v>2420.67346938776</v>
      </c>
      <c r="J203" s="38" t="n">
        <v>2209.3659</v>
      </c>
      <c r="K203" s="39" t="n">
        <f aca="false">IF(OR($A203="",NOT(ISNUMBER($D203)),NOT(ISNUMBER($H203))),"",IF(AND(ISNUMBER($J203),$J203&gt;0),$J203,IF(ISNUMBER($I203),$I203,"")))</f>
        <v>2209.3659</v>
      </c>
      <c r="L203" s="40" t="n">
        <f aca="false">IF(ISNUMBER($K203),$K203*$H203,"")</f>
        <v>397.685862</v>
      </c>
      <c r="M203" s="40" t="n">
        <f aca="false">IF(ISNUMBER($K203),$K203*Parâmetros!$B$5,"")</f>
        <v>220.93659</v>
      </c>
      <c r="N203" s="40" t="n">
        <f aca="false">IF(ISNUMBER($K203),$K203*Parâmetros!$C$5,"")</f>
        <v>66.280977</v>
      </c>
      <c r="O203" s="40" t="n">
        <f aca="false">IF(ISNUMBER($K203),IF(ISNUMBER(Parâmetros!$E$5),Parâmetros!$E$5,0),"")</f>
        <v>0</v>
      </c>
      <c r="P203" s="41" t="n">
        <f aca="false">IF(ISNUMBER($K203),$K203-$D203-IF(ISNUMBER($E203),$E203,0)-$L203-$M203-$N203-$O203,"")</f>
        <v>338.332471</v>
      </c>
      <c r="Q203" s="42" t="n">
        <f aca="false">IF(AND(ISNUMBER($K203),$K203&gt;0),$P203/$K203,"")</f>
        <v>0.153135553961433</v>
      </c>
      <c r="R203" s="43"/>
      <c r="S203" s="44" t="str">
        <f aca="false">IF(OR(NOT(ISNUMBER($R203)),$R203=0,NOT(ISNUMBER($K203))),"",$K203*(1-$R203))</f>
        <v/>
      </c>
      <c r="T203" s="45" t="str">
        <f aca="false">IF(ISNUMBER($S203),$S203*$H203,"")</f>
        <v/>
      </c>
      <c r="U203" s="45" t="str">
        <f aca="false">IF(ISNUMBER($S203),$S203*Parâmetros!$B$5,"")</f>
        <v/>
      </c>
      <c r="V203" s="45" t="str">
        <f aca="false">IF(ISNUMBER($S203),$S203*Parâmetros!$C$5,"")</f>
        <v/>
      </c>
      <c r="W203" s="44" t="str">
        <f aca="false">IF(ISNUMBER($S203),$S203-$D203-IF(ISNUMBER($E203),$E203,0)-$O203-$T203-$U203-$V203,"")</f>
        <v/>
      </c>
      <c r="X203" s="46" t="str">
        <f aca="false">IF(AND(ISNUMBER($S203),$S203&gt;0),$W203/$S203,"")</f>
        <v/>
      </c>
      <c r="Y203" s="49" t="s">
        <v>745</v>
      </c>
      <c r="Z203" s="21"/>
    </row>
    <row r="204" customFormat="false" ht="15.75" hidden="false" customHeight="true" outlineLevel="0" collapsed="false">
      <c r="A204" s="32" t="str">
        <f aca="false">IF(Produtos!$A204="","",Produtos!$A204)</f>
        <v>PQ-5080C</v>
      </c>
      <c r="B204" s="32" t="str">
        <f aca="false">IF(Produtos!$A204="","",Produtos!$B204)</f>
        <v>Lixeira quadrada c/Tampa colorida e Pedal 50x80 150L</v>
      </c>
      <c r="C204" s="32" t="str">
        <f aca="false">IF(Produtos!$A204="","",Produtos!$C204)</f>
        <v>Lixeiras com pedal</v>
      </c>
      <c r="D204" s="33" t="n">
        <f aca="false">IF(Produtos!$A204="","",IF(Produtos!$D204="","",Produtos!$D204))</f>
        <v>1393</v>
      </c>
      <c r="E204" s="11" t="n">
        <v>107.95</v>
      </c>
      <c r="F204" s="34" t="n">
        <f aca="false">IF($A204="","",IF($C204="","⚠ categoria",IFERROR(INDEX(Parâmetros!$C$13:$C$22,MATCH($C204,Parâmetros!$A$13:$A$22,0)),"⚠ categoria")))</f>
        <v>0.18</v>
      </c>
      <c r="G204" s="35"/>
      <c r="H204" s="36" t="n">
        <f aca="false">IF($A204="","",IF(ISNUMBER($G204),$G204,IF(ISNUMBER($F204),$F204,"")))</f>
        <v>0.18</v>
      </c>
      <c r="I204" s="37" t="n">
        <f aca="false">IF(OR($A204="",NOT(ISNUMBER($D204)),NOT(ISNUMBER($H204))),"",IF((1-$H204-Parâmetros!$B$5-Parâmetros!$C$5-Parâmetros!$D$5)&lt;=0,"INVALIDO",($D204+IF(ISNUMBER($E204),$E204,0)+IF(ISNUMBER(Parâmetros!$E$5),Parâmetros!$E$5,0))/(1-$H204-Parâmetros!$B$5-Parâmetros!$C$5-Parâmetros!$D$5)))</f>
        <v>3063.16326530612</v>
      </c>
      <c r="J204" s="38" t="n">
        <v>2546.7309</v>
      </c>
      <c r="K204" s="39" t="n">
        <f aca="false">IF(OR($A204="",NOT(ISNUMBER($D204)),NOT(ISNUMBER($H204))),"",IF(AND(ISNUMBER($J204),$J204&gt;0),$J204,IF(ISNUMBER($I204),$I204,"")))</f>
        <v>2546.7309</v>
      </c>
      <c r="L204" s="40" t="n">
        <f aca="false">IF(ISNUMBER($K204),$K204*$H204,"")</f>
        <v>458.411562</v>
      </c>
      <c r="M204" s="40" t="n">
        <f aca="false">IF(ISNUMBER($K204),$K204*Parâmetros!$B$5,"")</f>
        <v>254.67309</v>
      </c>
      <c r="N204" s="40" t="n">
        <f aca="false">IF(ISNUMBER($K204),$K204*Parâmetros!$C$5,"")</f>
        <v>76.401927</v>
      </c>
      <c r="O204" s="40" t="n">
        <f aca="false">IF(ISNUMBER($K204),IF(ISNUMBER(Parâmetros!$E$5),Parâmetros!$E$5,0),"")</f>
        <v>0</v>
      </c>
      <c r="P204" s="41" t="n">
        <f aca="false">IF(ISNUMBER($K204),$K204-$D204-IF(ISNUMBER($E204),$E204,0)-$L204-$M204-$N204-$O204,"")</f>
        <v>256.294321</v>
      </c>
      <c r="Q204" s="42" t="n">
        <f aca="false">IF(AND(ISNUMBER($K204),$K204&gt;0),$P204/$K204,"")</f>
        <v>0.100636592974939</v>
      </c>
      <c r="R204" s="43"/>
      <c r="S204" s="44" t="str">
        <f aca="false">IF(OR(NOT(ISNUMBER($R204)),$R204=0,NOT(ISNUMBER($K204))),"",$K204*(1-$R204))</f>
        <v/>
      </c>
      <c r="T204" s="45" t="str">
        <f aca="false">IF(ISNUMBER($S204),$S204*$H204,"")</f>
        <v/>
      </c>
      <c r="U204" s="45" t="str">
        <f aca="false">IF(ISNUMBER($S204),$S204*Parâmetros!$B$5,"")</f>
        <v/>
      </c>
      <c r="V204" s="45" t="str">
        <f aca="false">IF(ISNUMBER($S204),$S204*Parâmetros!$C$5,"")</f>
        <v/>
      </c>
      <c r="W204" s="44" t="str">
        <f aca="false">IF(ISNUMBER($S204),$S204-$D204-IF(ISNUMBER($E204),$E204,0)-$O204-$T204-$U204-$V204,"")</f>
        <v/>
      </c>
      <c r="X204" s="46" t="str">
        <f aca="false">IF(AND(ISNUMBER($S204),$S204&gt;0),$W204/$S204,"")</f>
        <v/>
      </c>
      <c r="Y204" s="47" t="s">
        <v>734</v>
      </c>
      <c r="Z204" s="19"/>
    </row>
    <row r="205" customFormat="false" ht="15.75" hidden="false" customHeight="true" outlineLevel="0" collapsed="false">
      <c r="A205" s="48" t="str">
        <f aca="false">IF(Produtos!$A205="","",Produtos!$A205)</f>
        <v>L1618-T</v>
      </c>
      <c r="B205" s="48" t="str">
        <f aca="false">IF(Produtos!$A205="","",Produtos!$B205)</f>
        <v>Lixeira de Aço inox 16x18 03L com tampa</v>
      </c>
      <c r="C205" s="48" t="str">
        <f aca="false">IF(Produtos!$A205="","",Produtos!$C205)</f>
        <v>Lixeiras em inox</v>
      </c>
      <c r="D205" s="33" t="n">
        <f aca="false">IF(Produtos!$A205="","",IF(Produtos!$D205="","",Produtos!$D205))</f>
        <v>54.47</v>
      </c>
      <c r="E205" s="11" t="n">
        <v>21.75</v>
      </c>
      <c r="F205" s="34" t="n">
        <f aca="false">IF($A205="","",IF($C205="","⚠ categoria",IFERROR(INDEX(Parâmetros!$C$13:$C$22,MATCH($C205,Parâmetros!$A$13:$A$22,0)),"⚠ categoria")))</f>
        <v>0.18</v>
      </c>
      <c r="G205" s="35" t="n">
        <v>0.15</v>
      </c>
      <c r="H205" s="36" t="n">
        <f aca="false">IF($A205="","",IF(ISNUMBER($G205),$G205,IF(ISNUMBER($F205),$F205,"")))</f>
        <v>0.15</v>
      </c>
      <c r="I205" s="37" t="n">
        <f aca="false">IF(OR($A205="",NOT(ISNUMBER($D205)),NOT(ISNUMBER($H205))),"",IF((1-$H205-Parâmetros!$B$5-Parâmetros!$C$5-Parâmetros!$D$5)&lt;=0,"INVALIDO",($D205+IF(ISNUMBER($E205),$E205,0)+IF(ISNUMBER(Parâmetros!$E$5),Parâmetros!$E$5,0))/(1-$H205-Parâmetros!$B$5-Parâmetros!$C$5-Parâmetros!$D$5)))</f>
        <v>146.576923076923</v>
      </c>
      <c r="J205" s="38" t="n">
        <v>150.86</v>
      </c>
      <c r="K205" s="39" t="n">
        <f aca="false">IF(OR($A205="",NOT(ISNUMBER($D205)),NOT(ISNUMBER($H205))),"",IF(AND(ISNUMBER($J205),$J205&gt;0),$J205,IF(ISNUMBER($I205),$I205,"")))</f>
        <v>150.86</v>
      </c>
      <c r="L205" s="40" t="n">
        <f aca="false">IF(ISNUMBER($K205),$K205*$H205,"")</f>
        <v>22.629</v>
      </c>
      <c r="M205" s="40" t="n">
        <f aca="false">IF(ISNUMBER($K205),$K205*Parâmetros!$B$5,"")</f>
        <v>15.086</v>
      </c>
      <c r="N205" s="40" t="n">
        <f aca="false">IF(ISNUMBER($K205),$K205*Parâmetros!$C$5,"")</f>
        <v>4.5258</v>
      </c>
      <c r="O205" s="40" t="n">
        <f aca="false">IF(ISNUMBER($K205),IF(ISNUMBER(Parâmetros!$E$5),Parâmetros!$E$5,0),"")</f>
        <v>0</v>
      </c>
      <c r="P205" s="41" t="n">
        <f aca="false">IF(ISNUMBER($K205),$K205-$D205-IF(ISNUMBER($E205),$E205,0)-$L205-$M205-$N205-$O205,"")</f>
        <v>32.3992</v>
      </c>
      <c r="Q205" s="42" t="n">
        <f aca="false">IF(AND(ISNUMBER($K205),$K205&gt;0),$P205/$K205,"")</f>
        <v>0.214763356754607</v>
      </c>
      <c r="R205" s="43"/>
      <c r="S205" s="44" t="str">
        <f aca="false">IF(OR(NOT(ISNUMBER($R205)),$R205=0,NOT(ISNUMBER($K205))),"",$K205*(1-$R205))</f>
        <v/>
      </c>
      <c r="T205" s="45" t="str">
        <f aca="false">IF(ISNUMBER($S205),$S205*$H205,"")</f>
        <v/>
      </c>
      <c r="U205" s="45" t="str">
        <f aca="false">IF(ISNUMBER($S205),$S205*Parâmetros!$B$5,"")</f>
        <v/>
      </c>
      <c r="V205" s="45" t="str">
        <f aca="false">IF(ISNUMBER($S205),$S205*Parâmetros!$C$5,"")</f>
        <v/>
      </c>
      <c r="W205" s="44" t="str">
        <f aca="false">IF(ISNUMBER($S205),$S205-$D205-IF(ISNUMBER($E205),$E205,0)-$O205-$T205-$U205-$V205,"")</f>
        <v/>
      </c>
      <c r="X205" s="46" t="str">
        <f aca="false">IF(AND(ISNUMBER($S205),$S205&gt;0),$W205/$S205,"")</f>
        <v/>
      </c>
      <c r="Y205" s="49" t="s">
        <v>744</v>
      </c>
      <c r="Z205" s="21"/>
    </row>
    <row r="206" customFormat="false" ht="15.75" hidden="false" customHeight="true" outlineLevel="0" collapsed="false">
      <c r="A206" s="32" t="str">
        <f aca="false">IF(Produtos!$A206="","",Produtos!$A206)</f>
        <v>L1623-T</v>
      </c>
      <c r="B206" s="32" t="str">
        <f aca="false">IF(Produtos!$A206="","",Produtos!$B206)</f>
        <v>Lixeira de Aço inox 16x23 05L com tampa</v>
      </c>
      <c r="C206" s="32" t="str">
        <f aca="false">IF(Produtos!$A206="","",Produtos!$C206)</f>
        <v>Lixeiras em inox</v>
      </c>
      <c r="D206" s="33" t="n">
        <f aca="false">IF(Produtos!$A206="","",IF(Produtos!$D206="","",Produtos!$D206))</f>
        <v>59.8</v>
      </c>
      <c r="E206" s="11" t="n">
        <v>21.75</v>
      </c>
      <c r="F206" s="34" t="n">
        <f aca="false">IF($A206="","",IF($C206="","⚠ categoria",IFERROR(INDEX(Parâmetros!$C$13:$C$22,MATCH($C206,Parâmetros!$A$13:$A$22,0)),"⚠ categoria")))</f>
        <v>0.18</v>
      </c>
      <c r="G206" s="35" t="n">
        <v>0.15</v>
      </c>
      <c r="H206" s="36" t="n">
        <f aca="false">IF($A206="","",IF(ISNUMBER($G206),$G206,IF(ISNUMBER($F206),$F206,"")))</f>
        <v>0.15</v>
      </c>
      <c r="I206" s="37" t="n">
        <f aca="false">IF(OR($A206="",NOT(ISNUMBER($D206)),NOT(ISNUMBER($H206))),"",IF((1-$H206-Parâmetros!$B$5-Parâmetros!$C$5-Parâmetros!$D$5)&lt;=0,"INVALIDO",($D206+IF(ISNUMBER($E206),$E206,0)+IF(ISNUMBER(Parâmetros!$E$5),Parâmetros!$E$5,0))/(1-$H206-Parâmetros!$B$5-Parâmetros!$C$5-Parâmetros!$D$5)))</f>
        <v>156.826923076923</v>
      </c>
      <c r="J206" s="38" t="n">
        <v>156.9</v>
      </c>
      <c r="K206" s="39" t="n">
        <f aca="false">IF(OR($A206="",NOT(ISNUMBER($D206)),NOT(ISNUMBER($H206))),"",IF(AND(ISNUMBER($J206),$J206&gt;0),$J206,IF(ISNUMBER($I206),$I206,"")))</f>
        <v>156.9</v>
      </c>
      <c r="L206" s="40" t="n">
        <f aca="false">IF(ISNUMBER($K206),$K206*$H206,"")</f>
        <v>23.535</v>
      </c>
      <c r="M206" s="40" t="n">
        <f aca="false">IF(ISNUMBER($K206),$K206*Parâmetros!$B$5,"")</f>
        <v>15.69</v>
      </c>
      <c r="N206" s="40" t="n">
        <f aca="false">IF(ISNUMBER($K206),$K206*Parâmetros!$C$5,"")</f>
        <v>4.707</v>
      </c>
      <c r="O206" s="40" t="n">
        <f aca="false">IF(ISNUMBER($K206),IF(ISNUMBER(Parâmetros!$E$5),Parâmetros!$E$5,0),"")</f>
        <v>0</v>
      </c>
      <c r="P206" s="41" t="n">
        <f aca="false">IF(ISNUMBER($K206),$K206-$D206-IF(ISNUMBER($E206),$E206,0)-$L206-$M206-$N206-$O206,"")</f>
        <v>31.418</v>
      </c>
      <c r="Q206" s="42" t="n">
        <f aca="false">IF(AND(ISNUMBER($K206),$K206&gt;0),$P206/$K206,"")</f>
        <v>0.200242192479286</v>
      </c>
      <c r="R206" s="43"/>
      <c r="S206" s="44" t="str">
        <f aca="false">IF(OR(NOT(ISNUMBER($R206)),$R206=0,NOT(ISNUMBER($K206))),"",$K206*(1-$R206))</f>
        <v/>
      </c>
      <c r="T206" s="45" t="str">
        <f aca="false">IF(ISNUMBER($S206),$S206*$H206,"")</f>
        <v/>
      </c>
      <c r="U206" s="45" t="str">
        <f aca="false">IF(ISNUMBER($S206),$S206*Parâmetros!$B$5,"")</f>
        <v/>
      </c>
      <c r="V206" s="45" t="str">
        <f aca="false">IF(ISNUMBER($S206),$S206*Parâmetros!$C$5,"")</f>
        <v/>
      </c>
      <c r="W206" s="44" t="str">
        <f aca="false">IF(ISNUMBER($S206),$S206-$D206-IF(ISNUMBER($E206),$E206,0)-$O206-$T206-$U206-$V206,"")</f>
        <v/>
      </c>
      <c r="X206" s="46" t="str">
        <f aca="false">IF(AND(ISNUMBER($S206),$S206&gt;0),$W206/$S206,"")</f>
        <v/>
      </c>
      <c r="Y206" s="47" t="s">
        <v>746</v>
      </c>
      <c r="Z206" s="19"/>
    </row>
    <row r="207" customFormat="false" ht="15.75" hidden="false" customHeight="true" outlineLevel="0" collapsed="false">
      <c r="A207" s="48" t="str">
        <f aca="false">IF(Produtos!$A207="","",Produtos!$A207)</f>
        <v>L2025-T</v>
      </c>
      <c r="B207" s="48" t="str">
        <f aca="false">IF(Produtos!$A207="","",Produtos!$B207)</f>
        <v>Lixeira de Aço inox 20x25 07L com tampa</v>
      </c>
      <c r="C207" s="48" t="str">
        <f aca="false">IF(Produtos!$A207="","",Produtos!$C207)</f>
        <v>Lixeiras em inox</v>
      </c>
      <c r="D207" s="33" t="n">
        <f aca="false">IF(Produtos!$A207="","",IF(Produtos!$D207="","",Produtos!$D207))</f>
        <v>63.11</v>
      </c>
      <c r="E207" s="11" t="n">
        <v>21.65</v>
      </c>
      <c r="F207" s="34" t="n">
        <f aca="false">IF($A207="","",IF($C207="","⚠ categoria",IFERROR(INDEX(Parâmetros!$C$13:$C$22,MATCH($C207,Parâmetros!$A$13:$A$22,0)),"⚠ categoria")))</f>
        <v>0.18</v>
      </c>
      <c r="G207" s="35"/>
      <c r="H207" s="36" t="n">
        <f aca="false">IF($A207="","",IF(ISNUMBER($G207),$G207,IF(ISNUMBER($F207),$F207,"")))</f>
        <v>0.18</v>
      </c>
      <c r="I207" s="37" t="n">
        <f aca="false">IF(OR($A207="",NOT(ISNUMBER($D207)),NOT(ISNUMBER($H207))),"",IF((1-$H207-Parâmetros!$B$5-Parâmetros!$C$5-Parâmetros!$D$5)&lt;=0,"INVALIDO",($D207+IF(ISNUMBER($E207),$E207,0)+IF(ISNUMBER(Parâmetros!$E$5),Parâmetros!$E$5,0))/(1-$H207-Parâmetros!$B$5-Parâmetros!$C$5-Parâmetros!$D$5)))</f>
        <v>172.979591836735</v>
      </c>
      <c r="J207" s="38" t="n">
        <v>164.8733625</v>
      </c>
      <c r="K207" s="39" t="n">
        <f aca="false">IF(OR($A207="",NOT(ISNUMBER($D207)),NOT(ISNUMBER($H207))),"",IF(AND(ISNUMBER($J207),$J207&gt;0),$J207,IF(ISNUMBER($I207),$I207,"")))</f>
        <v>164.8733625</v>
      </c>
      <c r="L207" s="40" t="n">
        <f aca="false">IF(ISNUMBER($K207),$K207*$H207,"")</f>
        <v>29.67720525</v>
      </c>
      <c r="M207" s="40" t="n">
        <f aca="false">IF(ISNUMBER($K207),$K207*Parâmetros!$B$5,"")</f>
        <v>16.48733625</v>
      </c>
      <c r="N207" s="40" t="n">
        <f aca="false">IF(ISNUMBER($K207),$K207*Parâmetros!$C$5,"")</f>
        <v>4.946200875</v>
      </c>
      <c r="O207" s="40" t="n">
        <f aca="false">IF(ISNUMBER($K207),IF(ISNUMBER(Parâmetros!$E$5),Parâmetros!$E$5,0),"")</f>
        <v>0</v>
      </c>
      <c r="P207" s="41" t="n">
        <f aca="false">IF(ISNUMBER($K207),$K207-$D207-IF(ISNUMBER($E207),$E207,0)-$L207-$M207-$N207-$O207,"")</f>
        <v>29.002620125</v>
      </c>
      <c r="Q207" s="42" t="n">
        <f aca="false">IF(AND(ISNUMBER($K207),$K207&gt;0),$P207/$K207,"")</f>
        <v>0.175908465049956</v>
      </c>
      <c r="R207" s="43"/>
      <c r="S207" s="44" t="str">
        <f aca="false">IF(OR(NOT(ISNUMBER($R207)),$R207=0,NOT(ISNUMBER($K207))),"",$K207*(1-$R207))</f>
        <v/>
      </c>
      <c r="T207" s="45" t="str">
        <f aca="false">IF(ISNUMBER($S207),$S207*$H207,"")</f>
        <v/>
      </c>
      <c r="U207" s="45" t="str">
        <f aca="false">IF(ISNUMBER($S207),$S207*Parâmetros!$B$5,"")</f>
        <v/>
      </c>
      <c r="V207" s="45" t="str">
        <f aca="false">IF(ISNUMBER($S207),$S207*Parâmetros!$C$5,"")</f>
        <v/>
      </c>
      <c r="W207" s="44" t="str">
        <f aca="false">IF(ISNUMBER($S207),$S207-$D207-IF(ISNUMBER($E207),$E207,0)-$O207-$T207-$U207-$V207,"")</f>
        <v/>
      </c>
      <c r="X207" s="46" t="str">
        <f aca="false">IF(AND(ISNUMBER($S207),$S207&gt;0),$W207/$S207,"")</f>
        <v/>
      </c>
      <c r="Y207" s="49" t="s">
        <v>744</v>
      </c>
      <c r="Z207" s="21"/>
    </row>
    <row r="208" customFormat="false" ht="15.75" hidden="false" customHeight="true" outlineLevel="0" collapsed="false">
      <c r="A208" s="32" t="str">
        <f aca="false">IF(Produtos!$A208="","",Produtos!$A208)</f>
        <v>L2030-T</v>
      </c>
      <c r="B208" s="32" t="str">
        <f aca="false">IF(Produtos!$A208="","",Produtos!$B208)</f>
        <v>Lixeira de Aço inox 20x30 10L com tampa</v>
      </c>
      <c r="C208" s="32" t="str">
        <f aca="false">IF(Produtos!$A208="","",Produtos!$C208)</f>
        <v>Lixeiras em inox</v>
      </c>
      <c r="D208" s="33" t="n">
        <f aca="false">IF(Produtos!$A208="","",IF(Produtos!$D208="","",Produtos!$D208))</f>
        <v>69.27</v>
      </c>
      <c r="E208" s="11" t="n">
        <v>24.35</v>
      </c>
      <c r="F208" s="34" t="n">
        <f aca="false">IF($A208="","",IF($C208="","⚠ categoria",IFERROR(INDEX(Parâmetros!$C$13:$C$22,MATCH($C208,Parâmetros!$A$13:$A$22,0)),"⚠ categoria")))</f>
        <v>0.18</v>
      </c>
      <c r="G208" s="35" t="n">
        <v>0.15</v>
      </c>
      <c r="H208" s="36" t="n">
        <f aca="false">IF($A208="","",IF(ISNUMBER($G208),$G208,IF(ISNUMBER($F208),$F208,"")))</f>
        <v>0.15</v>
      </c>
      <c r="I208" s="37" t="n">
        <f aca="false">IF(OR($A208="",NOT(ISNUMBER($D208)),NOT(ISNUMBER($H208))),"",IF((1-$H208-Parâmetros!$B$5-Parâmetros!$C$5-Parâmetros!$D$5)&lt;=0,"INVALIDO",($D208+IF(ISNUMBER($E208),$E208,0)+IF(ISNUMBER(Parâmetros!$E$5),Parâmetros!$E$5,0))/(1-$H208-Parâmetros!$B$5-Parâmetros!$C$5-Parâmetros!$D$5)))</f>
        <v>180.038461538462</v>
      </c>
      <c r="J208" s="38" t="n">
        <v>182.3</v>
      </c>
      <c r="K208" s="39" t="n">
        <f aca="false">IF(OR($A208="",NOT(ISNUMBER($D208)),NOT(ISNUMBER($H208))),"",IF(AND(ISNUMBER($J208),$J208&gt;0),$J208,IF(ISNUMBER($I208),$I208,"")))</f>
        <v>182.3</v>
      </c>
      <c r="L208" s="40" t="n">
        <f aca="false">IF(ISNUMBER($K208),$K208*$H208,"")</f>
        <v>27.345</v>
      </c>
      <c r="M208" s="40" t="n">
        <f aca="false">IF(ISNUMBER($K208),$K208*Parâmetros!$B$5,"")</f>
        <v>18.23</v>
      </c>
      <c r="N208" s="40" t="n">
        <f aca="false">IF(ISNUMBER($K208),$K208*Parâmetros!$C$5,"")</f>
        <v>5.469</v>
      </c>
      <c r="O208" s="40" t="n">
        <f aca="false">IF(ISNUMBER($K208),IF(ISNUMBER(Parâmetros!$E$5),Parâmetros!$E$5,0),"")</f>
        <v>0</v>
      </c>
      <c r="P208" s="41" t="n">
        <f aca="false">IF(ISNUMBER($K208),$K208-$D208-IF(ISNUMBER($E208),$E208,0)-$L208-$M208-$N208-$O208,"")</f>
        <v>37.636</v>
      </c>
      <c r="Q208" s="42" t="n">
        <f aca="false">IF(AND(ISNUMBER($K208),$K208&gt;0),$P208/$K208,"")</f>
        <v>0.206450905101481</v>
      </c>
      <c r="R208" s="43"/>
      <c r="S208" s="44" t="str">
        <f aca="false">IF(OR(NOT(ISNUMBER($R208)),$R208=0,NOT(ISNUMBER($K208))),"",$K208*(1-$R208))</f>
        <v/>
      </c>
      <c r="T208" s="45" t="str">
        <f aca="false">IF(ISNUMBER($S208),$S208*$H208,"")</f>
        <v/>
      </c>
      <c r="U208" s="45" t="str">
        <f aca="false">IF(ISNUMBER($S208),$S208*Parâmetros!$B$5,"")</f>
        <v/>
      </c>
      <c r="V208" s="45" t="str">
        <f aca="false">IF(ISNUMBER($S208),$S208*Parâmetros!$C$5,"")</f>
        <v/>
      </c>
      <c r="W208" s="44" t="str">
        <f aca="false">IF(ISNUMBER($S208),$S208-$D208-IF(ISNUMBER($E208),$E208,0)-$O208-$T208-$U208-$V208,"")</f>
        <v/>
      </c>
      <c r="X208" s="46" t="str">
        <f aca="false">IF(AND(ISNUMBER($S208),$S208&gt;0),$W208/$S208,"")</f>
        <v/>
      </c>
      <c r="Y208" s="47" t="s">
        <v>744</v>
      </c>
      <c r="Z208" s="19"/>
    </row>
    <row r="209" customFormat="false" ht="15.75" hidden="false" customHeight="true" outlineLevel="0" collapsed="false">
      <c r="A209" s="48" t="str">
        <f aca="false">IF(Produtos!$A209="","",Produtos!$A209)</f>
        <v>A24</v>
      </c>
      <c r="B209" s="48" t="str">
        <f aca="false">IF(Produtos!$A209="","",Produtos!$B209)</f>
        <v>Aro 24cm Aço Inox</v>
      </c>
      <c r="C209" s="48" t="str">
        <f aca="false">IF(Produtos!$A209="","",Produtos!$C209)</f>
        <v>Acessórios (aros e tampas)</v>
      </c>
      <c r="D209" s="33" t="n">
        <f aca="false">IF(Produtos!$A209="","",IF(Produtos!$D209="","",Produtos!$D209))</f>
        <v>38.11</v>
      </c>
      <c r="E209" s="11"/>
      <c r="F209" s="34" t="n">
        <f aca="false">IF($A209="","",IF($C209="","⚠ categoria",IFERROR(INDEX(Parâmetros!$C$13:$C$22,MATCH($C209,Parâmetros!$A$13:$A$22,0)),"⚠ categoria")))</f>
        <v>0.18</v>
      </c>
      <c r="G209" s="35"/>
      <c r="H209" s="36" t="n">
        <f aca="false">IF($A209="","",IF(ISNUMBER($G209),$G209,IF(ISNUMBER($F209),$F209,"")))</f>
        <v>0.18</v>
      </c>
      <c r="I209" s="37" t="n">
        <f aca="false">IF(OR($A209="",NOT(ISNUMBER($D209)),NOT(ISNUMBER($H209))),"",IF((1-$H209-Parâmetros!$B$5-Parâmetros!$C$5-Parâmetros!$D$5)&lt;=0,"INVALIDO",($D209+IF(ISNUMBER($E209),$E209,0)+IF(ISNUMBER(Parâmetros!$E$5),Parâmetros!$E$5,0))/(1-$H209-Parâmetros!$B$5-Parâmetros!$C$5-Parâmetros!$D$5)))</f>
        <v>77.7755102040816</v>
      </c>
      <c r="J209" s="38"/>
      <c r="K209" s="39" t="n">
        <f aca="false">IF(OR($A209="",NOT(ISNUMBER($D209)),NOT(ISNUMBER($H209))),"",IF(AND(ISNUMBER($J209),$J209&gt;0),$J209,IF(ISNUMBER($I209),$I209,"")))</f>
        <v>77.7755102040816</v>
      </c>
      <c r="L209" s="40" t="n">
        <f aca="false">IF(ISNUMBER($K209),$K209*$H209,"")</f>
        <v>13.9995918367347</v>
      </c>
      <c r="M209" s="40" t="n">
        <f aca="false">IF(ISNUMBER($K209),$K209*Parâmetros!$B$5,"")</f>
        <v>7.77755102040816</v>
      </c>
      <c r="N209" s="40" t="n">
        <f aca="false">IF(ISNUMBER($K209),$K209*Parâmetros!$C$5,"")</f>
        <v>2.33326530612245</v>
      </c>
      <c r="O209" s="40" t="n">
        <f aca="false">IF(ISNUMBER($K209),IF(ISNUMBER(Parâmetros!$E$5),Parâmetros!$E$5,0),"")</f>
        <v>0</v>
      </c>
      <c r="P209" s="41" t="n">
        <f aca="false">IF(ISNUMBER($K209),$K209-$D209-IF(ISNUMBER($E209),$E209,0)-$L209-$M209-$N209-$O209,"")</f>
        <v>15.5551020408163</v>
      </c>
      <c r="Q209" s="42" t="n">
        <f aca="false">IF(AND(ISNUMBER($K209),$K209&gt;0),$P209/$K209,"")</f>
        <v>0.2</v>
      </c>
      <c r="R209" s="43"/>
      <c r="S209" s="44" t="str">
        <f aca="false">IF(OR(NOT(ISNUMBER($R209)),$R209=0,NOT(ISNUMBER($K209))),"",$K209*(1-$R209))</f>
        <v/>
      </c>
      <c r="T209" s="45" t="str">
        <f aca="false">IF(ISNUMBER($S209),$S209*$H209,"")</f>
        <v/>
      </c>
      <c r="U209" s="45" t="str">
        <f aca="false">IF(ISNUMBER($S209),$S209*Parâmetros!$B$5,"")</f>
        <v/>
      </c>
      <c r="V209" s="45" t="str">
        <f aca="false">IF(ISNUMBER($S209),$S209*Parâmetros!$C$5,"")</f>
        <v/>
      </c>
      <c r="W209" s="44" t="str">
        <f aca="false">IF(ISNUMBER($S209),$S209-$D209-IF(ISNUMBER($E209),$E209,0)-$O209-$T209-$U209-$V209,"")</f>
        <v/>
      </c>
      <c r="X209" s="46" t="str">
        <f aca="false">IF(AND(ISNUMBER($S209),$S209&gt;0),$W209/$S209,"")</f>
        <v/>
      </c>
      <c r="Y209" s="49"/>
      <c r="Z209" s="21"/>
    </row>
    <row r="210" customFormat="false" ht="15.75" hidden="false" customHeight="true" outlineLevel="0" collapsed="false">
      <c r="A210" s="32" t="str">
        <f aca="false">IF(Produtos!$A210="","",Produtos!$A210)</f>
        <v>A30</v>
      </c>
      <c r="B210" s="32" t="str">
        <f aca="false">IF(Produtos!$A210="","",Produtos!$B210)</f>
        <v>Aro 30cm Aço Inox</v>
      </c>
      <c r="C210" s="32" t="str">
        <f aca="false">IF(Produtos!$A210="","",Produtos!$C210)</f>
        <v>Acessórios (aros e tampas)</v>
      </c>
      <c r="D210" s="33" t="n">
        <f aca="false">IF(Produtos!$A210="","",IF(Produtos!$D210="","",Produtos!$D210))</f>
        <v>44.27</v>
      </c>
      <c r="E210" s="11"/>
      <c r="F210" s="34" t="n">
        <f aca="false">IF($A210="","",IF($C210="","⚠ categoria",IFERROR(INDEX(Parâmetros!$C$13:$C$22,MATCH($C210,Parâmetros!$A$13:$A$22,0)),"⚠ categoria")))</f>
        <v>0.18</v>
      </c>
      <c r="G210" s="35"/>
      <c r="H210" s="36" t="n">
        <f aca="false">IF($A210="","",IF(ISNUMBER($G210),$G210,IF(ISNUMBER($F210),$F210,"")))</f>
        <v>0.18</v>
      </c>
      <c r="I210" s="37" t="n">
        <f aca="false">IF(OR($A210="",NOT(ISNUMBER($D210)),NOT(ISNUMBER($H210))),"",IF((1-$H210-Parâmetros!$B$5-Parâmetros!$C$5-Parâmetros!$D$5)&lt;=0,"INVALIDO",($D210+IF(ISNUMBER($E210),$E210,0)+IF(ISNUMBER(Parâmetros!$E$5),Parâmetros!$E$5,0))/(1-$H210-Parâmetros!$B$5-Parâmetros!$C$5-Parâmetros!$D$5)))</f>
        <v>90.3469387755102</v>
      </c>
      <c r="J210" s="38"/>
      <c r="K210" s="39" t="n">
        <f aca="false">IF(OR($A210="",NOT(ISNUMBER($D210)),NOT(ISNUMBER($H210))),"",IF(AND(ISNUMBER($J210),$J210&gt;0),$J210,IF(ISNUMBER($I210),$I210,"")))</f>
        <v>90.3469387755102</v>
      </c>
      <c r="L210" s="40" t="n">
        <f aca="false">IF(ISNUMBER($K210),$K210*$H210,"")</f>
        <v>16.2624489795918</v>
      </c>
      <c r="M210" s="40" t="n">
        <f aca="false">IF(ISNUMBER($K210),$K210*Parâmetros!$B$5,"")</f>
        <v>9.03469387755102</v>
      </c>
      <c r="N210" s="40" t="n">
        <f aca="false">IF(ISNUMBER($K210),$K210*Parâmetros!$C$5,"")</f>
        <v>2.71040816326531</v>
      </c>
      <c r="O210" s="40" t="n">
        <f aca="false">IF(ISNUMBER($K210),IF(ISNUMBER(Parâmetros!$E$5),Parâmetros!$E$5,0),"")</f>
        <v>0</v>
      </c>
      <c r="P210" s="41" t="n">
        <f aca="false">IF(ISNUMBER($K210),$K210-$D210-IF(ISNUMBER($E210),$E210,0)-$L210-$M210-$N210-$O210,"")</f>
        <v>18.069387755102</v>
      </c>
      <c r="Q210" s="42" t="n">
        <f aca="false">IF(AND(ISNUMBER($K210),$K210&gt;0),$P210/$K210,"")</f>
        <v>0.2</v>
      </c>
      <c r="R210" s="43"/>
      <c r="S210" s="44" t="str">
        <f aca="false">IF(OR(NOT(ISNUMBER($R210)),$R210=0,NOT(ISNUMBER($K210))),"",$K210*(1-$R210))</f>
        <v/>
      </c>
      <c r="T210" s="45" t="str">
        <f aca="false">IF(ISNUMBER($S210),$S210*$H210,"")</f>
        <v/>
      </c>
      <c r="U210" s="45" t="str">
        <f aca="false">IF(ISNUMBER($S210),$S210*Parâmetros!$B$5,"")</f>
        <v/>
      </c>
      <c r="V210" s="45" t="str">
        <f aca="false">IF(ISNUMBER($S210),$S210*Parâmetros!$C$5,"")</f>
        <v/>
      </c>
      <c r="W210" s="44" t="str">
        <f aca="false">IF(ISNUMBER($S210),$S210-$D210-IF(ISNUMBER($E210),$E210,0)-$O210-$T210-$U210-$V210,"")</f>
        <v/>
      </c>
      <c r="X210" s="46" t="str">
        <f aca="false">IF(AND(ISNUMBER($S210),$S210&gt;0),$W210/$S210,"")</f>
        <v/>
      </c>
      <c r="Y210" s="47"/>
      <c r="Z210" s="19"/>
    </row>
    <row r="211" customFormat="false" ht="15.75" hidden="false" customHeight="true" outlineLevel="0" collapsed="false">
      <c r="A211" s="48" t="str">
        <f aca="false">IF(Produtos!$A211="","",Produtos!$A211)</f>
        <v>A40</v>
      </c>
      <c r="B211" s="48" t="str">
        <f aca="false">IF(Produtos!$A211="","",Produtos!$B211)</f>
        <v>Aro 40cm Aço Inox</v>
      </c>
      <c r="C211" s="48" t="str">
        <f aca="false">IF(Produtos!$A211="","",Produtos!$C211)</f>
        <v>Acessórios (aros e tampas)</v>
      </c>
      <c r="D211" s="33" t="n">
        <f aca="false">IF(Produtos!$A211="","",IF(Produtos!$D211="","",Produtos!$D211))</f>
        <v>94.36</v>
      </c>
      <c r="E211" s="11"/>
      <c r="F211" s="34" t="n">
        <f aca="false">IF($A211="","",IF($C211="","⚠ categoria",IFERROR(INDEX(Parâmetros!$C$13:$C$22,MATCH($C211,Parâmetros!$A$13:$A$22,0)),"⚠ categoria")))</f>
        <v>0.18</v>
      </c>
      <c r="G211" s="35"/>
      <c r="H211" s="36" t="n">
        <f aca="false">IF($A211="","",IF(ISNUMBER($G211),$G211,IF(ISNUMBER($F211),$F211,"")))</f>
        <v>0.18</v>
      </c>
      <c r="I211" s="37" t="n">
        <f aca="false">IF(OR($A211="",NOT(ISNUMBER($D211)),NOT(ISNUMBER($H211))),"",IF((1-$H211-Parâmetros!$B$5-Parâmetros!$C$5-Parâmetros!$D$5)&lt;=0,"INVALIDO",($D211+IF(ISNUMBER($E211),$E211,0)+IF(ISNUMBER(Parâmetros!$E$5),Parâmetros!$E$5,0))/(1-$H211-Parâmetros!$B$5-Parâmetros!$C$5-Parâmetros!$D$5)))</f>
        <v>192.571428571429</v>
      </c>
      <c r="J211" s="38"/>
      <c r="K211" s="39" t="n">
        <f aca="false">IF(OR($A211="",NOT(ISNUMBER($D211)),NOT(ISNUMBER($H211))),"",IF(AND(ISNUMBER($J211),$J211&gt;0),$J211,IF(ISNUMBER($I211),$I211,"")))</f>
        <v>192.571428571429</v>
      </c>
      <c r="L211" s="40" t="n">
        <f aca="false">IF(ISNUMBER($K211),$K211*$H211,"")</f>
        <v>34.6628571428571</v>
      </c>
      <c r="M211" s="40" t="n">
        <f aca="false">IF(ISNUMBER($K211),$K211*Parâmetros!$B$5,"")</f>
        <v>19.2571428571429</v>
      </c>
      <c r="N211" s="40" t="n">
        <f aca="false">IF(ISNUMBER($K211),$K211*Parâmetros!$C$5,"")</f>
        <v>5.77714285714286</v>
      </c>
      <c r="O211" s="40" t="n">
        <f aca="false">IF(ISNUMBER($K211),IF(ISNUMBER(Parâmetros!$E$5),Parâmetros!$E$5,0),"")</f>
        <v>0</v>
      </c>
      <c r="P211" s="41" t="n">
        <f aca="false">IF(ISNUMBER($K211),$K211-$D211-IF(ISNUMBER($E211),$E211,0)-$L211-$M211-$N211-$O211,"")</f>
        <v>38.5142857142857</v>
      </c>
      <c r="Q211" s="42" t="n">
        <f aca="false">IF(AND(ISNUMBER($K211),$K211&gt;0),$P211/$K211,"")</f>
        <v>0.2</v>
      </c>
      <c r="R211" s="43"/>
      <c r="S211" s="44" t="str">
        <f aca="false">IF(OR(NOT(ISNUMBER($R211)),$R211=0,NOT(ISNUMBER($K211))),"",$K211*(1-$R211))</f>
        <v/>
      </c>
      <c r="T211" s="45" t="str">
        <f aca="false">IF(ISNUMBER($S211),$S211*$H211,"")</f>
        <v/>
      </c>
      <c r="U211" s="45" t="str">
        <f aca="false">IF(ISNUMBER($S211),$S211*Parâmetros!$B$5,"")</f>
        <v/>
      </c>
      <c r="V211" s="45" t="str">
        <f aca="false">IF(ISNUMBER($S211),$S211*Parâmetros!$C$5,"")</f>
        <v/>
      </c>
      <c r="W211" s="44" t="str">
        <f aca="false">IF(ISNUMBER($S211),$S211-$D211-IF(ISNUMBER($E211),$E211,0)-$O211-$T211-$U211-$V211,"")</f>
        <v/>
      </c>
      <c r="X211" s="46" t="str">
        <f aca="false">IF(AND(ISNUMBER($S211),$S211&gt;0),$W211/$S211,"")</f>
        <v/>
      </c>
      <c r="Y211" s="49"/>
      <c r="Z211" s="21"/>
    </row>
    <row r="212" customFormat="false" ht="15.75" hidden="false" customHeight="true" outlineLevel="0" collapsed="false">
      <c r="A212" s="32" t="str">
        <f aca="false">IF(Produtos!$A212="","",Produtos!$A212)</f>
        <v>A24B</v>
      </c>
      <c r="B212" s="32" t="str">
        <f aca="false">IF(Produtos!$A212="","",Produtos!$B212)</f>
        <v>Aro 24cm c/Basculante Aço Inox</v>
      </c>
      <c r="C212" s="32" t="str">
        <f aca="false">IF(Produtos!$A212="","",Produtos!$C212)</f>
        <v>Acessórios (aros e tampas)</v>
      </c>
      <c r="D212" s="33" t="n">
        <f aca="false">IF(Produtos!$A212="","",IF(Produtos!$D212="","",Produtos!$D212))</f>
        <v>52.34</v>
      </c>
      <c r="E212" s="11"/>
      <c r="F212" s="34" t="n">
        <f aca="false">IF($A212="","",IF($C212="","⚠ categoria",IFERROR(INDEX(Parâmetros!$C$13:$C$22,MATCH($C212,Parâmetros!$A$13:$A$22,0)),"⚠ categoria")))</f>
        <v>0.18</v>
      </c>
      <c r="G212" s="35"/>
      <c r="H212" s="36" t="n">
        <f aca="false">IF($A212="","",IF(ISNUMBER($G212),$G212,IF(ISNUMBER($F212),$F212,"")))</f>
        <v>0.18</v>
      </c>
      <c r="I212" s="37" t="n">
        <f aca="false">IF(OR($A212="",NOT(ISNUMBER($D212)),NOT(ISNUMBER($H212))),"",IF((1-$H212-Parâmetros!$B$5-Parâmetros!$C$5-Parâmetros!$D$5)&lt;=0,"INVALIDO",($D212+IF(ISNUMBER($E212),$E212,0)+IF(ISNUMBER(Parâmetros!$E$5),Parâmetros!$E$5,0))/(1-$H212-Parâmetros!$B$5-Parâmetros!$C$5-Parâmetros!$D$5)))</f>
        <v>106.816326530612</v>
      </c>
      <c r="J212" s="38"/>
      <c r="K212" s="39" t="n">
        <f aca="false">IF(OR($A212="",NOT(ISNUMBER($D212)),NOT(ISNUMBER($H212))),"",IF(AND(ISNUMBER($J212),$J212&gt;0),$J212,IF(ISNUMBER($I212),$I212,"")))</f>
        <v>106.816326530612</v>
      </c>
      <c r="L212" s="40" t="n">
        <f aca="false">IF(ISNUMBER($K212),$K212*$H212,"")</f>
        <v>19.2269387755102</v>
      </c>
      <c r="M212" s="40" t="n">
        <f aca="false">IF(ISNUMBER($K212),$K212*Parâmetros!$B$5,"")</f>
        <v>10.6816326530612</v>
      </c>
      <c r="N212" s="40" t="n">
        <f aca="false">IF(ISNUMBER($K212),$K212*Parâmetros!$C$5,"")</f>
        <v>3.20448979591837</v>
      </c>
      <c r="O212" s="40" t="n">
        <f aca="false">IF(ISNUMBER($K212),IF(ISNUMBER(Parâmetros!$E$5),Parâmetros!$E$5,0),"")</f>
        <v>0</v>
      </c>
      <c r="P212" s="41" t="n">
        <f aca="false">IF(ISNUMBER($K212),$K212-$D212-IF(ISNUMBER($E212),$E212,0)-$L212-$M212-$N212-$O212,"")</f>
        <v>21.3632653061224</v>
      </c>
      <c r="Q212" s="42" t="n">
        <f aca="false">IF(AND(ISNUMBER($K212),$K212&gt;0),$P212/$K212,"")</f>
        <v>0.2</v>
      </c>
      <c r="R212" s="43"/>
      <c r="S212" s="44" t="str">
        <f aca="false">IF(OR(NOT(ISNUMBER($R212)),$R212=0,NOT(ISNUMBER($K212))),"",$K212*(1-$R212))</f>
        <v/>
      </c>
      <c r="T212" s="45" t="str">
        <f aca="false">IF(ISNUMBER($S212),$S212*$H212,"")</f>
        <v/>
      </c>
      <c r="U212" s="45" t="str">
        <f aca="false">IF(ISNUMBER($S212),$S212*Parâmetros!$B$5,"")</f>
        <v/>
      </c>
      <c r="V212" s="45" t="str">
        <f aca="false">IF(ISNUMBER($S212),$S212*Parâmetros!$C$5,"")</f>
        <v/>
      </c>
      <c r="W212" s="44" t="str">
        <f aca="false">IF(ISNUMBER($S212),$S212-$D212-IF(ISNUMBER($E212),$E212,0)-$O212-$T212-$U212-$V212,"")</f>
        <v/>
      </c>
      <c r="X212" s="46" t="str">
        <f aca="false">IF(AND(ISNUMBER($S212),$S212&gt;0),$W212/$S212,"")</f>
        <v/>
      </c>
      <c r="Y212" s="47"/>
      <c r="Z212" s="19"/>
    </row>
    <row r="213" customFormat="false" ht="15.75" hidden="false" customHeight="true" outlineLevel="0" collapsed="false">
      <c r="A213" s="48" t="str">
        <f aca="false">IF(Produtos!$A213="","",Produtos!$A213)</f>
        <v>A30B</v>
      </c>
      <c r="B213" s="48" t="str">
        <f aca="false">IF(Produtos!$A213="","",Produtos!$B213)</f>
        <v>Aro 30cm c/Basculante Aço Inox</v>
      </c>
      <c r="C213" s="48" t="str">
        <f aca="false">IF(Produtos!$A213="","",Produtos!$C213)</f>
        <v>Acessórios (aros e tampas)</v>
      </c>
      <c r="D213" s="33" t="n">
        <f aca="false">IF(Produtos!$A213="","",IF(Produtos!$D213="","",Produtos!$D213))</f>
        <v>68.24</v>
      </c>
      <c r="E213" s="11"/>
      <c r="F213" s="34" t="n">
        <f aca="false">IF($A213="","",IF($C213="","⚠ categoria",IFERROR(INDEX(Parâmetros!$C$13:$C$22,MATCH($C213,Parâmetros!$A$13:$A$22,0)),"⚠ categoria")))</f>
        <v>0.18</v>
      </c>
      <c r="G213" s="35"/>
      <c r="H213" s="36" t="n">
        <f aca="false">IF($A213="","",IF(ISNUMBER($G213),$G213,IF(ISNUMBER($F213),$F213,"")))</f>
        <v>0.18</v>
      </c>
      <c r="I213" s="37" t="n">
        <f aca="false">IF(OR($A213="",NOT(ISNUMBER($D213)),NOT(ISNUMBER($H213))),"",IF((1-$H213-Parâmetros!$B$5-Parâmetros!$C$5-Parâmetros!$D$5)&lt;=0,"INVALIDO",($D213+IF(ISNUMBER($E213),$E213,0)+IF(ISNUMBER(Parâmetros!$E$5),Parâmetros!$E$5,0))/(1-$H213-Parâmetros!$B$5-Parâmetros!$C$5-Parâmetros!$D$5)))</f>
        <v>139.265306122449</v>
      </c>
      <c r="J213" s="38"/>
      <c r="K213" s="39" t="n">
        <f aca="false">IF(OR($A213="",NOT(ISNUMBER($D213)),NOT(ISNUMBER($H213))),"",IF(AND(ISNUMBER($J213),$J213&gt;0),$J213,IF(ISNUMBER($I213),$I213,"")))</f>
        <v>139.265306122449</v>
      </c>
      <c r="L213" s="40" t="n">
        <f aca="false">IF(ISNUMBER($K213),$K213*$H213,"")</f>
        <v>25.0677551020408</v>
      </c>
      <c r="M213" s="40" t="n">
        <f aca="false">IF(ISNUMBER($K213),$K213*Parâmetros!$B$5,"")</f>
        <v>13.9265306122449</v>
      </c>
      <c r="N213" s="40" t="n">
        <f aca="false">IF(ISNUMBER($K213),$K213*Parâmetros!$C$5,"")</f>
        <v>4.17795918367347</v>
      </c>
      <c r="O213" s="40" t="n">
        <f aca="false">IF(ISNUMBER($K213),IF(ISNUMBER(Parâmetros!$E$5),Parâmetros!$E$5,0),"")</f>
        <v>0</v>
      </c>
      <c r="P213" s="41" t="n">
        <f aca="false">IF(ISNUMBER($K213),$K213-$D213-IF(ISNUMBER($E213),$E213,0)-$L213-$M213-$N213-$O213,"")</f>
        <v>27.8530612244898</v>
      </c>
      <c r="Q213" s="42" t="n">
        <f aca="false">IF(AND(ISNUMBER($K213),$K213&gt;0),$P213/$K213,"")</f>
        <v>0.2</v>
      </c>
      <c r="R213" s="43"/>
      <c r="S213" s="44" t="str">
        <f aca="false">IF(OR(NOT(ISNUMBER($R213)),$R213=0,NOT(ISNUMBER($K213))),"",$K213*(1-$R213))</f>
        <v/>
      </c>
      <c r="T213" s="45" t="str">
        <f aca="false">IF(ISNUMBER($S213),$S213*$H213,"")</f>
        <v/>
      </c>
      <c r="U213" s="45" t="str">
        <f aca="false">IF(ISNUMBER($S213),$S213*Parâmetros!$B$5,"")</f>
        <v/>
      </c>
      <c r="V213" s="45" t="str">
        <f aca="false">IF(ISNUMBER($S213),$S213*Parâmetros!$C$5,"")</f>
        <v/>
      </c>
      <c r="W213" s="44" t="str">
        <f aca="false">IF(ISNUMBER($S213),$S213-$D213-IF(ISNUMBER($E213),$E213,0)-$O213-$T213-$U213-$V213,"")</f>
        <v/>
      </c>
      <c r="X213" s="46" t="str">
        <f aca="false">IF(AND(ISNUMBER($S213),$S213&gt;0),$W213/$S213,"")</f>
        <v/>
      </c>
      <c r="Y213" s="49"/>
      <c r="Z213" s="21"/>
    </row>
    <row r="214" customFormat="false" ht="15.75" hidden="false" customHeight="true" outlineLevel="0" collapsed="false">
      <c r="A214" s="32" t="str">
        <f aca="false">IF(Produtos!$A214="","",Produtos!$A214)</f>
        <v>A40B</v>
      </c>
      <c r="B214" s="32" t="str">
        <f aca="false">IF(Produtos!$A214="","",Produtos!$B214)</f>
        <v>Aro 40cm c/Basculante Aço Inox</v>
      </c>
      <c r="C214" s="32" t="str">
        <f aca="false">IF(Produtos!$A214="","",Produtos!$C214)</f>
        <v>Acessórios (aros e tampas)</v>
      </c>
      <c r="D214" s="33" t="n">
        <f aca="false">IF(Produtos!$A214="","",IF(Produtos!$D214="","",Produtos!$D214))</f>
        <v>136.51</v>
      </c>
      <c r="E214" s="11"/>
      <c r="F214" s="34" t="n">
        <f aca="false">IF($A214="","",IF($C214="","⚠ categoria",IFERROR(INDEX(Parâmetros!$C$13:$C$22,MATCH($C214,Parâmetros!$A$13:$A$22,0)),"⚠ categoria")))</f>
        <v>0.18</v>
      </c>
      <c r="G214" s="35"/>
      <c r="H214" s="36" t="n">
        <f aca="false">IF($A214="","",IF(ISNUMBER($G214),$G214,IF(ISNUMBER($F214),$F214,"")))</f>
        <v>0.18</v>
      </c>
      <c r="I214" s="37" t="n">
        <f aca="false">IF(OR($A214="",NOT(ISNUMBER($D214)),NOT(ISNUMBER($H214))),"",IF((1-$H214-Parâmetros!$B$5-Parâmetros!$C$5-Parâmetros!$D$5)&lt;=0,"INVALIDO",($D214+IF(ISNUMBER($E214),$E214,0)+IF(ISNUMBER(Parâmetros!$E$5),Parâmetros!$E$5,0))/(1-$H214-Parâmetros!$B$5-Parâmetros!$C$5-Parâmetros!$D$5)))</f>
        <v>278.591836734694</v>
      </c>
      <c r="J214" s="38"/>
      <c r="K214" s="39" t="n">
        <f aca="false">IF(OR($A214="",NOT(ISNUMBER($D214)),NOT(ISNUMBER($H214))),"",IF(AND(ISNUMBER($J214),$J214&gt;0),$J214,IF(ISNUMBER($I214),$I214,"")))</f>
        <v>278.591836734694</v>
      </c>
      <c r="L214" s="40" t="n">
        <f aca="false">IF(ISNUMBER($K214),$K214*$H214,"")</f>
        <v>50.1465306122449</v>
      </c>
      <c r="M214" s="40" t="n">
        <f aca="false">IF(ISNUMBER($K214),$K214*Parâmetros!$B$5,"")</f>
        <v>27.8591836734694</v>
      </c>
      <c r="N214" s="40" t="n">
        <f aca="false">IF(ISNUMBER($K214),$K214*Parâmetros!$C$5,"")</f>
        <v>8.35775510204082</v>
      </c>
      <c r="O214" s="40" t="n">
        <f aca="false">IF(ISNUMBER($K214),IF(ISNUMBER(Parâmetros!$E$5),Parâmetros!$E$5,0),"")</f>
        <v>0</v>
      </c>
      <c r="P214" s="41" t="n">
        <f aca="false">IF(ISNUMBER($K214),$K214-$D214-IF(ISNUMBER($E214),$E214,0)-$L214-$M214-$N214-$O214,"")</f>
        <v>55.7183673469388</v>
      </c>
      <c r="Q214" s="42" t="n">
        <f aca="false">IF(AND(ISNUMBER($K214),$K214&gt;0),$P214/$K214,"")</f>
        <v>0.2</v>
      </c>
      <c r="R214" s="43"/>
      <c r="S214" s="44" t="str">
        <f aca="false">IF(OR(NOT(ISNUMBER($R214)),$R214=0,NOT(ISNUMBER($K214))),"",$K214*(1-$R214))</f>
        <v/>
      </c>
      <c r="T214" s="45" t="str">
        <f aca="false">IF(ISNUMBER($S214),$S214*$H214,"")</f>
        <v/>
      </c>
      <c r="U214" s="45" t="str">
        <f aca="false">IF(ISNUMBER($S214),$S214*Parâmetros!$B$5,"")</f>
        <v/>
      </c>
      <c r="V214" s="45" t="str">
        <f aca="false">IF(ISNUMBER($S214),$S214*Parâmetros!$C$5,"")</f>
        <v/>
      </c>
      <c r="W214" s="44" t="str">
        <f aca="false">IF(ISNUMBER($S214),$S214-$D214-IF(ISNUMBER($E214),$E214,0)-$O214-$T214-$U214-$V214,"")</f>
        <v/>
      </c>
      <c r="X214" s="46" t="str">
        <f aca="false">IF(AND(ISNUMBER($S214),$S214&gt;0),$W214/$S214,"")</f>
        <v/>
      </c>
      <c r="Y214" s="47"/>
      <c r="Z214" s="19"/>
    </row>
    <row r="215" customFormat="false" ht="15.75" hidden="false" customHeight="true" outlineLevel="0" collapsed="false">
      <c r="A215" s="48" t="str">
        <f aca="false">IF(Produtos!$A215="","",Produtos!$A215)</f>
        <v>A24C</v>
      </c>
      <c r="B215" s="48" t="str">
        <f aca="false">IF(Produtos!$A215="","",Produtos!$B215)</f>
        <v>Aro 24cm Pintado</v>
      </c>
      <c r="C215" s="48" t="str">
        <f aca="false">IF(Produtos!$A215="","",Produtos!$C215)</f>
        <v>Acessórios (aros e tampas)</v>
      </c>
      <c r="D215" s="33" t="n">
        <f aca="false">IF(Produtos!$A215="","",IF(Produtos!$D215="","",Produtos!$D215))</f>
        <v>50.43</v>
      </c>
      <c r="E215" s="11"/>
      <c r="F215" s="34" t="n">
        <f aca="false">IF($A215="","",IF($C215="","⚠ categoria",IFERROR(INDEX(Parâmetros!$C$13:$C$22,MATCH($C215,Parâmetros!$A$13:$A$22,0)),"⚠ categoria")))</f>
        <v>0.18</v>
      </c>
      <c r="G215" s="35"/>
      <c r="H215" s="36" t="n">
        <f aca="false">IF($A215="","",IF(ISNUMBER($G215),$G215,IF(ISNUMBER($F215),$F215,"")))</f>
        <v>0.18</v>
      </c>
      <c r="I215" s="37" t="n">
        <f aca="false">IF(OR($A215="",NOT(ISNUMBER($D215)),NOT(ISNUMBER($H215))),"",IF((1-$H215-Parâmetros!$B$5-Parâmetros!$C$5-Parâmetros!$D$5)&lt;=0,"INVALIDO",($D215+IF(ISNUMBER($E215),$E215,0)+IF(ISNUMBER(Parâmetros!$E$5),Parâmetros!$E$5,0))/(1-$H215-Parâmetros!$B$5-Parâmetros!$C$5-Parâmetros!$D$5)))</f>
        <v>102.918367346939</v>
      </c>
      <c r="J215" s="38"/>
      <c r="K215" s="39" t="n">
        <f aca="false">IF(OR($A215="",NOT(ISNUMBER($D215)),NOT(ISNUMBER($H215))),"",IF(AND(ISNUMBER($J215),$J215&gt;0),$J215,IF(ISNUMBER($I215),$I215,"")))</f>
        <v>102.918367346939</v>
      </c>
      <c r="L215" s="40" t="n">
        <f aca="false">IF(ISNUMBER($K215),$K215*$H215,"")</f>
        <v>18.525306122449</v>
      </c>
      <c r="M215" s="40" t="n">
        <f aca="false">IF(ISNUMBER($K215),$K215*Parâmetros!$B$5,"")</f>
        <v>10.2918367346939</v>
      </c>
      <c r="N215" s="40" t="n">
        <f aca="false">IF(ISNUMBER($K215),$K215*Parâmetros!$C$5,"")</f>
        <v>3.08755102040816</v>
      </c>
      <c r="O215" s="40" t="n">
        <f aca="false">IF(ISNUMBER($K215),IF(ISNUMBER(Parâmetros!$E$5),Parâmetros!$E$5,0),"")</f>
        <v>0</v>
      </c>
      <c r="P215" s="41" t="n">
        <f aca="false">IF(ISNUMBER($K215),$K215-$D215-IF(ISNUMBER($E215),$E215,0)-$L215-$M215-$N215-$O215,"")</f>
        <v>20.5836734693878</v>
      </c>
      <c r="Q215" s="42" t="n">
        <f aca="false">IF(AND(ISNUMBER($K215),$K215&gt;0),$P215/$K215,"")</f>
        <v>0.2</v>
      </c>
      <c r="R215" s="43"/>
      <c r="S215" s="44" t="str">
        <f aca="false">IF(OR(NOT(ISNUMBER($R215)),$R215=0,NOT(ISNUMBER($K215))),"",$K215*(1-$R215))</f>
        <v/>
      </c>
      <c r="T215" s="45" t="str">
        <f aca="false">IF(ISNUMBER($S215),$S215*$H215,"")</f>
        <v/>
      </c>
      <c r="U215" s="45" t="str">
        <f aca="false">IF(ISNUMBER($S215),$S215*Parâmetros!$B$5,"")</f>
        <v/>
      </c>
      <c r="V215" s="45" t="str">
        <f aca="false">IF(ISNUMBER($S215),$S215*Parâmetros!$C$5,"")</f>
        <v/>
      </c>
      <c r="W215" s="44" t="str">
        <f aca="false">IF(ISNUMBER($S215),$S215-$D215-IF(ISNUMBER($E215),$E215,0)-$O215-$T215-$U215-$V215,"")</f>
        <v/>
      </c>
      <c r="X215" s="46" t="str">
        <f aca="false">IF(AND(ISNUMBER($S215),$S215&gt;0),$W215/$S215,"")</f>
        <v/>
      </c>
      <c r="Y215" s="49"/>
      <c r="Z215" s="21"/>
    </row>
    <row r="216" customFormat="false" ht="15.75" hidden="false" customHeight="true" outlineLevel="0" collapsed="false">
      <c r="A216" s="32" t="str">
        <f aca="false">IF(Produtos!$A216="","",Produtos!$A216)</f>
        <v>A30C</v>
      </c>
      <c r="B216" s="32" t="str">
        <f aca="false">IF(Produtos!$A216="","",Produtos!$B216)</f>
        <v>Aro 30cm Pintado</v>
      </c>
      <c r="C216" s="32" t="str">
        <f aca="false">IF(Produtos!$A216="","",Produtos!$C216)</f>
        <v>Acessórios (aros e tampas)</v>
      </c>
      <c r="D216" s="33" t="n">
        <f aca="false">IF(Produtos!$A216="","",IF(Produtos!$D216="","",Produtos!$D216))</f>
        <v>64.43</v>
      </c>
      <c r="E216" s="11"/>
      <c r="F216" s="34" t="n">
        <f aca="false">IF($A216="","",IF($C216="","⚠ categoria",IFERROR(INDEX(Parâmetros!$C$13:$C$22,MATCH($C216,Parâmetros!$A$13:$A$22,0)),"⚠ categoria")))</f>
        <v>0.18</v>
      </c>
      <c r="G216" s="35"/>
      <c r="H216" s="36" t="n">
        <f aca="false">IF($A216="","",IF(ISNUMBER($G216),$G216,IF(ISNUMBER($F216),$F216,"")))</f>
        <v>0.18</v>
      </c>
      <c r="I216" s="37" t="n">
        <f aca="false">IF(OR($A216="",NOT(ISNUMBER($D216)),NOT(ISNUMBER($H216))),"",IF((1-$H216-Parâmetros!$B$5-Parâmetros!$C$5-Parâmetros!$D$5)&lt;=0,"INVALIDO",($D216+IF(ISNUMBER($E216),$E216,0)+IF(ISNUMBER(Parâmetros!$E$5),Parâmetros!$E$5,0))/(1-$H216-Parâmetros!$B$5-Parâmetros!$C$5-Parâmetros!$D$5)))</f>
        <v>131.489795918367</v>
      </c>
      <c r="J216" s="38"/>
      <c r="K216" s="39" t="n">
        <f aca="false">IF(OR($A216="",NOT(ISNUMBER($D216)),NOT(ISNUMBER($H216))),"",IF(AND(ISNUMBER($J216),$J216&gt;0),$J216,IF(ISNUMBER($I216),$I216,"")))</f>
        <v>131.489795918367</v>
      </c>
      <c r="L216" s="40" t="n">
        <f aca="false">IF(ISNUMBER($K216),$K216*$H216,"")</f>
        <v>23.6681632653061</v>
      </c>
      <c r="M216" s="40" t="n">
        <f aca="false">IF(ISNUMBER($K216),$K216*Parâmetros!$B$5,"")</f>
        <v>13.1489795918367</v>
      </c>
      <c r="N216" s="40" t="n">
        <f aca="false">IF(ISNUMBER($K216),$K216*Parâmetros!$C$5,"")</f>
        <v>3.94469387755102</v>
      </c>
      <c r="O216" s="40" t="n">
        <f aca="false">IF(ISNUMBER($K216),IF(ISNUMBER(Parâmetros!$E$5),Parâmetros!$E$5,0),"")</f>
        <v>0</v>
      </c>
      <c r="P216" s="41" t="n">
        <f aca="false">IF(ISNUMBER($K216),$K216-$D216-IF(ISNUMBER($E216),$E216,0)-$L216-$M216-$N216-$O216,"")</f>
        <v>26.2979591836735</v>
      </c>
      <c r="Q216" s="42" t="n">
        <f aca="false">IF(AND(ISNUMBER($K216),$K216&gt;0),$P216/$K216,"")</f>
        <v>0.2</v>
      </c>
      <c r="R216" s="43"/>
      <c r="S216" s="44" t="str">
        <f aca="false">IF(OR(NOT(ISNUMBER($R216)),$R216=0,NOT(ISNUMBER($K216))),"",$K216*(1-$R216))</f>
        <v/>
      </c>
      <c r="T216" s="45" t="str">
        <f aca="false">IF(ISNUMBER($S216),$S216*$H216,"")</f>
        <v/>
      </c>
      <c r="U216" s="45" t="str">
        <f aca="false">IF(ISNUMBER($S216),$S216*Parâmetros!$B$5,"")</f>
        <v/>
      </c>
      <c r="V216" s="45" t="str">
        <f aca="false">IF(ISNUMBER($S216),$S216*Parâmetros!$C$5,"")</f>
        <v/>
      </c>
      <c r="W216" s="44" t="str">
        <f aca="false">IF(ISNUMBER($S216),$S216-$D216-IF(ISNUMBER($E216),$E216,0)-$O216-$T216-$U216-$V216,"")</f>
        <v/>
      </c>
      <c r="X216" s="46" t="str">
        <f aca="false">IF(AND(ISNUMBER($S216),$S216&gt;0),$W216/$S216,"")</f>
        <v/>
      </c>
      <c r="Y216" s="47"/>
      <c r="Z216" s="19"/>
    </row>
    <row r="217" customFormat="false" ht="15.75" hidden="false" customHeight="true" outlineLevel="0" collapsed="false">
      <c r="A217" s="48" t="str">
        <f aca="false">IF(Produtos!$A217="","",Produtos!$A217)</f>
        <v>A40BP</v>
      </c>
      <c r="B217" s="48" t="str">
        <f aca="false">IF(Produtos!$A217="","",Produtos!$B217)</f>
        <v>Aro 40cm Pintado</v>
      </c>
      <c r="C217" s="48" t="str">
        <f aca="false">IF(Produtos!$A217="","",Produtos!$C217)</f>
        <v>Acessórios (aros e tampas)</v>
      </c>
      <c r="D217" s="33" t="n">
        <f aca="false">IF(Produtos!$A217="","",IF(Produtos!$D217="","",Produtos!$D217))</f>
        <v>118.62</v>
      </c>
      <c r="E217" s="11"/>
      <c r="F217" s="34" t="n">
        <f aca="false">IF($A217="","",IF($C217="","⚠ categoria",IFERROR(INDEX(Parâmetros!$C$13:$C$22,MATCH($C217,Parâmetros!$A$13:$A$22,0)),"⚠ categoria")))</f>
        <v>0.18</v>
      </c>
      <c r="G217" s="35"/>
      <c r="H217" s="36" t="n">
        <f aca="false">IF($A217="","",IF(ISNUMBER($G217),$G217,IF(ISNUMBER($F217),$F217,"")))</f>
        <v>0.18</v>
      </c>
      <c r="I217" s="37" t="n">
        <f aca="false">IF(OR($A217="",NOT(ISNUMBER($D217)),NOT(ISNUMBER($H217))),"",IF((1-$H217-Parâmetros!$B$5-Parâmetros!$C$5-Parâmetros!$D$5)&lt;=0,"INVALIDO",($D217+IF(ISNUMBER($E217),$E217,0)+IF(ISNUMBER(Parâmetros!$E$5),Parâmetros!$E$5,0))/(1-$H217-Parâmetros!$B$5-Parâmetros!$C$5-Parâmetros!$D$5)))</f>
        <v>242.081632653061</v>
      </c>
      <c r="J217" s="38"/>
      <c r="K217" s="39" t="n">
        <f aca="false">IF(OR($A217="",NOT(ISNUMBER($D217)),NOT(ISNUMBER($H217))),"",IF(AND(ISNUMBER($J217),$J217&gt;0),$J217,IF(ISNUMBER($I217),$I217,"")))</f>
        <v>242.081632653061</v>
      </c>
      <c r="L217" s="40" t="n">
        <f aca="false">IF(ISNUMBER($K217),$K217*$H217,"")</f>
        <v>43.574693877551</v>
      </c>
      <c r="M217" s="40" t="n">
        <f aca="false">IF(ISNUMBER($K217),$K217*Parâmetros!$B$5,"")</f>
        <v>24.2081632653061</v>
      </c>
      <c r="N217" s="40" t="n">
        <f aca="false">IF(ISNUMBER($K217),$K217*Parâmetros!$C$5,"")</f>
        <v>7.26244897959184</v>
      </c>
      <c r="O217" s="40" t="n">
        <f aca="false">IF(ISNUMBER($K217),IF(ISNUMBER(Parâmetros!$E$5),Parâmetros!$E$5,0),"")</f>
        <v>0</v>
      </c>
      <c r="P217" s="41" t="n">
        <f aca="false">IF(ISNUMBER($K217),$K217-$D217-IF(ISNUMBER($E217),$E217,0)-$L217-$M217-$N217-$O217,"")</f>
        <v>48.4163265306122</v>
      </c>
      <c r="Q217" s="42" t="n">
        <f aca="false">IF(AND(ISNUMBER($K217),$K217&gt;0),$P217/$K217,"")</f>
        <v>0.2</v>
      </c>
      <c r="R217" s="43"/>
      <c r="S217" s="44" t="str">
        <f aca="false">IF(OR(NOT(ISNUMBER($R217)),$R217=0,NOT(ISNUMBER($K217))),"",$K217*(1-$R217))</f>
        <v/>
      </c>
      <c r="T217" s="45" t="str">
        <f aca="false">IF(ISNUMBER($S217),$S217*$H217,"")</f>
        <v/>
      </c>
      <c r="U217" s="45" t="str">
        <f aca="false">IF(ISNUMBER($S217),$S217*Parâmetros!$B$5,"")</f>
        <v/>
      </c>
      <c r="V217" s="45" t="str">
        <f aca="false">IF(ISNUMBER($S217),$S217*Parâmetros!$C$5,"")</f>
        <v/>
      </c>
      <c r="W217" s="44" t="str">
        <f aca="false">IF(ISNUMBER($S217),$S217-$D217-IF(ISNUMBER($E217),$E217,0)-$O217-$T217-$U217-$V217,"")</f>
        <v/>
      </c>
      <c r="X217" s="46" t="str">
        <f aca="false">IF(AND(ISNUMBER($S217),$S217&gt;0),$W217/$S217,"")</f>
        <v/>
      </c>
      <c r="Y217" s="49"/>
      <c r="Z217" s="21"/>
    </row>
    <row r="218" customFormat="false" ht="15.75" hidden="false" customHeight="true" outlineLevel="0" collapsed="false">
      <c r="A218" s="32" t="str">
        <f aca="false">IF(Produtos!$A218="","",Produtos!$A218)</f>
        <v>A24BC</v>
      </c>
      <c r="B218" s="32" t="str">
        <f aca="false">IF(Produtos!$A218="","",Produtos!$B218)</f>
        <v>Aro 24cm c/Basculante Pintado</v>
      </c>
      <c r="C218" s="32" t="str">
        <f aca="false">IF(Produtos!$A218="","",Produtos!$C218)</f>
        <v>Acessórios (aros e tampas)</v>
      </c>
      <c r="D218" s="33" t="n">
        <f aca="false">IF(Produtos!$A218="","",IF(Produtos!$D218="","",Produtos!$D218))</f>
        <v>76.56</v>
      </c>
      <c r="E218" s="11"/>
      <c r="F218" s="34" t="n">
        <f aca="false">IF($A218="","",IF($C218="","⚠ categoria",IFERROR(INDEX(Parâmetros!$C$13:$C$22,MATCH($C218,Parâmetros!$A$13:$A$22,0)),"⚠ categoria")))</f>
        <v>0.18</v>
      </c>
      <c r="G218" s="35"/>
      <c r="H218" s="36" t="n">
        <f aca="false">IF($A218="","",IF(ISNUMBER($G218),$G218,IF(ISNUMBER($F218),$F218,"")))</f>
        <v>0.18</v>
      </c>
      <c r="I218" s="37" t="n">
        <f aca="false">IF(OR($A218="",NOT(ISNUMBER($D218)),NOT(ISNUMBER($H218))),"",IF((1-$H218-Parâmetros!$B$5-Parâmetros!$C$5-Parâmetros!$D$5)&lt;=0,"INVALIDO",($D218+IF(ISNUMBER($E218),$E218,0)+IF(ISNUMBER(Parâmetros!$E$5),Parâmetros!$E$5,0))/(1-$H218-Parâmetros!$B$5-Parâmetros!$C$5-Parâmetros!$D$5)))</f>
        <v>156.244897959184</v>
      </c>
      <c r="J218" s="38"/>
      <c r="K218" s="39" t="n">
        <f aca="false">IF(OR($A218="",NOT(ISNUMBER($D218)),NOT(ISNUMBER($H218))),"",IF(AND(ISNUMBER($J218),$J218&gt;0),$J218,IF(ISNUMBER($I218),$I218,"")))</f>
        <v>156.244897959184</v>
      </c>
      <c r="L218" s="40" t="n">
        <f aca="false">IF(ISNUMBER($K218),$K218*$H218,"")</f>
        <v>28.1240816326531</v>
      </c>
      <c r="M218" s="40" t="n">
        <f aca="false">IF(ISNUMBER($K218),$K218*Parâmetros!$B$5,"")</f>
        <v>15.6244897959184</v>
      </c>
      <c r="N218" s="40" t="n">
        <f aca="false">IF(ISNUMBER($K218),$K218*Parâmetros!$C$5,"")</f>
        <v>4.68734693877551</v>
      </c>
      <c r="O218" s="40" t="n">
        <f aca="false">IF(ISNUMBER($K218),IF(ISNUMBER(Parâmetros!$E$5),Parâmetros!$E$5,0),"")</f>
        <v>0</v>
      </c>
      <c r="P218" s="41" t="n">
        <f aca="false">IF(ISNUMBER($K218),$K218-$D218-IF(ISNUMBER($E218),$E218,0)-$L218-$M218-$N218-$O218,"")</f>
        <v>31.2489795918367</v>
      </c>
      <c r="Q218" s="42" t="n">
        <f aca="false">IF(AND(ISNUMBER($K218),$K218&gt;0),$P218/$K218,"")</f>
        <v>0.2</v>
      </c>
      <c r="R218" s="43"/>
      <c r="S218" s="44" t="str">
        <f aca="false">IF(OR(NOT(ISNUMBER($R218)),$R218=0,NOT(ISNUMBER($K218))),"",$K218*(1-$R218))</f>
        <v/>
      </c>
      <c r="T218" s="45" t="str">
        <f aca="false">IF(ISNUMBER($S218),$S218*$H218,"")</f>
        <v/>
      </c>
      <c r="U218" s="45" t="str">
        <f aca="false">IF(ISNUMBER($S218),$S218*Parâmetros!$B$5,"")</f>
        <v/>
      </c>
      <c r="V218" s="45" t="str">
        <f aca="false">IF(ISNUMBER($S218),$S218*Parâmetros!$C$5,"")</f>
        <v/>
      </c>
      <c r="W218" s="44" t="str">
        <f aca="false">IF(ISNUMBER($S218),$S218-$D218-IF(ISNUMBER($E218),$E218,0)-$O218-$T218-$U218-$V218,"")</f>
        <v/>
      </c>
      <c r="X218" s="46" t="str">
        <f aca="false">IF(AND(ISNUMBER($S218),$S218&gt;0),$W218/$S218,"")</f>
        <v/>
      </c>
      <c r="Y218" s="47"/>
      <c r="Z218" s="19"/>
    </row>
    <row r="219" customFormat="false" ht="15.75" hidden="false" customHeight="true" outlineLevel="0" collapsed="false">
      <c r="A219" s="48" t="str">
        <f aca="false">IF(Produtos!$A219="","",Produtos!$A219)</f>
        <v>A30BC</v>
      </c>
      <c r="B219" s="48" t="str">
        <f aca="false">IF(Produtos!$A219="","",Produtos!$B219)</f>
        <v>Aro 30cm c/Basculante Pintado</v>
      </c>
      <c r="C219" s="48" t="str">
        <f aca="false">IF(Produtos!$A219="","",Produtos!$C219)</f>
        <v>Acessórios (aros e tampas)</v>
      </c>
      <c r="D219" s="33" t="n">
        <f aca="false">IF(Produtos!$A219="","",IF(Produtos!$D219="","",Produtos!$D219))</f>
        <v>90.73</v>
      </c>
      <c r="E219" s="11"/>
      <c r="F219" s="34" t="n">
        <f aca="false">IF($A219="","",IF($C219="","⚠ categoria",IFERROR(INDEX(Parâmetros!$C$13:$C$22,MATCH($C219,Parâmetros!$A$13:$A$22,0)),"⚠ categoria")))</f>
        <v>0.18</v>
      </c>
      <c r="G219" s="35"/>
      <c r="H219" s="36" t="n">
        <f aca="false">IF($A219="","",IF(ISNUMBER($G219),$G219,IF(ISNUMBER($F219),$F219,"")))</f>
        <v>0.18</v>
      </c>
      <c r="I219" s="37" t="n">
        <f aca="false">IF(OR($A219="",NOT(ISNUMBER($D219)),NOT(ISNUMBER($H219))),"",IF((1-$H219-Parâmetros!$B$5-Parâmetros!$C$5-Parâmetros!$D$5)&lt;=0,"INVALIDO",($D219+IF(ISNUMBER($E219),$E219,0)+IF(ISNUMBER(Parâmetros!$E$5),Parâmetros!$E$5,0))/(1-$H219-Parâmetros!$B$5-Parâmetros!$C$5-Parâmetros!$D$5)))</f>
        <v>185.163265306122</v>
      </c>
      <c r="J219" s="38"/>
      <c r="K219" s="39" t="n">
        <f aca="false">IF(OR($A219="",NOT(ISNUMBER($D219)),NOT(ISNUMBER($H219))),"",IF(AND(ISNUMBER($J219),$J219&gt;0),$J219,IF(ISNUMBER($I219),$I219,"")))</f>
        <v>185.163265306122</v>
      </c>
      <c r="L219" s="40" t="n">
        <f aca="false">IF(ISNUMBER($K219),$K219*$H219,"")</f>
        <v>33.329387755102</v>
      </c>
      <c r="M219" s="40" t="n">
        <f aca="false">IF(ISNUMBER($K219),$K219*Parâmetros!$B$5,"")</f>
        <v>18.5163265306122</v>
      </c>
      <c r="N219" s="40" t="n">
        <f aca="false">IF(ISNUMBER($K219),$K219*Parâmetros!$C$5,"")</f>
        <v>5.55489795918367</v>
      </c>
      <c r="O219" s="40" t="n">
        <f aca="false">IF(ISNUMBER($K219),IF(ISNUMBER(Parâmetros!$E$5),Parâmetros!$E$5,0),"")</f>
        <v>0</v>
      </c>
      <c r="P219" s="41" t="n">
        <f aca="false">IF(ISNUMBER($K219),$K219-$D219-IF(ISNUMBER($E219),$E219,0)-$L219-$M219-$N219-$O219,"")</f>
        <v>37.0326530612245</v>
      </c>
      <c r="Q219" s="42" t="n">
        <f aca="false">IF(AND(ISNUMBER($K219),$K219&gt;0),$P219/$K219,"")</f>
        <v>0.2</v>
      </c>
      <c r="R219" s="43"/>
      <c r="S219" s="44" t="str">
        <f aca="false">IF(OR(NOT(ISNUMBER($R219)),$R219=0,NOT(ISNUMBER($K219))),"",$K219*(1-$R219))</f>
        <v/>
      </c>
      <c r="T219" s="45" t="str">
        <f aca="false">IF(ISNUMBER($S219),$S219*$H219,"")</f>
        <v/>
      </c>
      <c r="U219" s="45" t="str">
        <f aca="false">IF(ISNUMBER($S219),$S219*Parâmetros!$B$5,"")</f>
        <v/>
      </c>
      <c r="V219" s="45" t="str">
        <f aca="false">IF(ISNUMBER($S219),$S219*Parâmetros!$C$5,"")</f>
        <v/>
      </c>
      <c r="W219" s="44" t="str">
        <f aca="false">IF(ISNUMBER($S219),$S219-$D219-IF(ISNUMBER($E219),$E219,0)-$O219-$T219-$U219-$V219,"")</f>
        <v/>
      </c>
      <c r="X219" s="46" t="str">
        <f aca="false">IF(AND(ISNUMBER($S219),$S219&gt;0),$W219/$S219,"")</f>
        <v/>
      </c>
      <c r="Y219" s="49"/>
      <c r="Z219" s="21"/>
    </row>
    <row r="220" customFormat="false" ht="15.75" hidden="false" customHeight="true" outlineLevel="0" collapsed="false">
      <c r="A220" s="32" t="str">
        <f aca="false">IF(Produtos!$A220="","",Produtos!$A220)</f>
        <v>A40BC</v>
      </c>
      <c r="B220" s="32" t="str">
        <f aca="false">IF(Produtos!$A220="","",Produtos!$B220)</f>
        <v>Aro 40cm c/Basculante Pintado</v>
      </c>
      <c r="C220" s="32" t="str">
        <f aca="false">IF(Produtos!$A220="","",Produtos!$C220)</f>
        <v>Acessórios (aros e tampas)</v>
      </c>
      <c r="D220" s="33" t="n">
        <f aca="false">IF(Produtos!$A220="","",IF(Produtos!$D220="","",Produtos!$D220))</f>
        <v>170.07</v>
      </c>
      <c r="E220" s="11"/>
      <c r="F220" s="34" t="n">
        <f aca="false">IF($A220="","",IF($C220="","⚠ categoria",IFERROR(INDEX(Parâmetros!$C$13:$C$22,MATCH($C220,Parâmetros!$A$13:$A$22,0)),"⚠ categoria")))</f>
        <v>0.18</v>
      </c>
      <c r="G220" s="35"/>
      <c r="H220" s="36" t="n">
        <f aca="false">IF($A220="","",IF(ISNUMBER($G220),$G220,IF(ISNUMBER($F220),$F220,"")))</f>
        <v>0.18</v>
      </c>
      <c r="I220" s="37" t="n">
        <f aca="false">IF(OR($A220="",NOT(ISNUMBER($D220)),NOT(ISNUMBER($H220))),"",IF((1-$H220-Parâmetros!$B$5-Parâmetros!$C$5-Parâmetros!$D$5)&lt;=0,"INVALIDO",($D220+IF(ISNUMBER($E220),$E220,0)+IF(ISNUMBER(Parâmetros!$E$5),Parâmetros!$E$5,0))/(1-$H220-Parâmetros!$B$5-Parâmetros!$C$5-Parâmetros!$D$5)))</f>
        <v>347.081632653061</v>
      </c>
      <c r="J220" s="38"/>
      <c r="K220" s="39" t="n">
        <f aca="false">IF(OR($A220="",NOT(ISNUMBER($D220)),NOT(ISNUMBER($H220))),"",IF(AND(ISNUMBER($J220),$J220&gt;0),$J220,IF(ISNUMBER($I220),$I220,"")))</f>
        <v>347.081632653061</v>
      </c>
      <c r="L220" s="40" t="n">
        <f aca="false">IF(ISNUMBER($K220),$K220*$H220,"")</f>
        <v>62.474693877551</v>
      </c>
      <c r="M220" s="40" t="n">
        <f aca="false">IF(ISNUMBER($K220),$K220*Parâmetros!$B$5,"")</f>
        <v>34.7081632653061</v>
      </c>
      <c r="N220" s="40" t="n">
        <f aca="false">IF(ISNUMBER($K220),$K220*Parâmetros!$C$5,"")</f>
        <v>10.4124489795918</v>
      </c>
      <c r="O220" s="40" t="n">
        <f aca="false">IF(ISNUMBER($K220),IF(ISNUMBER(Parâmetros!$E$5),Parâmetros!$E$5,0),"")</f>
        <v>0</v>
      </c>
      <c r="P220" s="41" t="n">
        <f aca="false">IF(ISNUMBER($K220),$K220-$D220-IF(ISNUMBER($E220),$E220,0)-$L220-$M220-$N220-$O220,"")</f>
        <v>69.4163265306123</v>
      </c>
      <c r="Q220" s="42" t="n">
        <f aca="false">IF(AND(ISNUMBER($K220),$K220&gt;0),$P220/$K220,"")</f>
        <v>0.2</v>
      </c>
      <c r="R220" s="43"/>
      <c r="S220" s="44" t="str">
        <f aca="false">IF(OR(NOT(ISNUMBER($R220)),$R220=0,NOT(ISNUMBER($K220))),"",$K220*(1-$R220))</f>
        <v/>
      </c>
      <c r="T220" s="45" t="str">
        <f aca="false">IF(ISNUMBER($S220),$S220*$H220,"")</f>
        <v/>
      </c>
      <c r="U220" s="45" t="str">
        <f aca="false">IF(ISNUMBER($S220),$S220*Parâmetros!$B$5,"")</f>
        <v/>
      </c>
      <c r="V220" s="45" t="str">
        <f aca="false">IF(ISNUMBER($S220),$S220*Parâmetros!$C$5,"")</f>
        <v/>
      </c>
      <c r="W220" s="44" t="str">
        <f aca="false">IF(ISNUMBER($S220),$S220-$D220-IF(ISNUMBER($E220),$E220,0)-$O220-$T220-$U220-$V220,"")</f>
        <v/>
      </c>
      <c r="X220" s="46" t="str">
        <f aca="false">IF(AND(ISNUMBER($S220),$S220&gt;0),$W220/$S220,"")</f>
        <v/>
      </c>
      <c r="Y220" s="47"/>
      <c r="Z220" s="19"/>
    </row>
    <row r="221" customFormat="false" ht="15.75" hidden="false" customHeight="true" outlineLevel="0" collapsed="false">
      <c r="A221" s="48" t="str">
        <f aca="false">IF(Produtos!$A221="","",Produtos!$A221)</f>
        <v>T24-PILHAS</v>
      </c>
      <c r="B221" s="48" t="str">
        <f aca="false">IF(Produtos!$A221="","",Produtos!$B221)</f>
        <v>Tampa 24cm Coletor de Pilhas e Baterias</v>
      </c>
      <c r="C221" s="48" t="str">
        <f aca="false">IF(Produtos!$A221="","",Produtos!$C221)</f>
        <v>Coletores de pilhas</v>
      </c>
      <c r="D221" s="33" t="n">
        <f aca="false">IF(Produtos!$A221="","",IF(Produtos!$D221="","",Produtos!$D221))</f>
        <v>57.21</v>
      </c>
      <c r="E221" s="11"/>
      <c r="F221" s="34" t="n">
        <f aca="false">IF($A221="","",IF($C221="","⚠ categoria",IFERROR(INDEX(Parâmetros!$C$13:$C$22,MATCH($C221,Parâmetros!$A$13:$A$22,0)),"⚠ categoria")))</f>
        <v>0.18</v>
      </c>
      <c r="G221" s="35"/>
      <c r="H221" s="36" t="n">
        <f aca="false">IF($A221="","",IF(ISNUMBER($G221),$G221,IF(ISNUMBER($F221),$F221,"")))</f>
        <v>0.18</v>
      </c>
      <c r="I221" s="37" t="n">
        <f aca="false">IF(OR($A221="",NOT(ISNUMBER($D221)),NOT(ISNUMBER($H221))),"",IF((1-$H221-Parâmetros!$B$5-Parâmetros!$C$5-Parâmetros!$D$5)&lt;=0,"INVALIDO",($D221+IF(ISNUMBER($E221),$E221,0)+IF(ISNUMBER(Parâmetros!$E$5),Parâmetros!$E$5,0))/(1-$H221-Parâmetros!$B$5-Parâmetros!$C$5-Parâmetros!$D$5)))</f>
        <v>116.755102040816</v>
      </c>
      <c r="J221" s="38"/>
      <c r="K221" s="39" t="n">
        <f aca="false">IF(OR($A221="",NOT(ISNUMBER($D221)),NOT(ISNUMBER($H221))),"",IF(AND(ISNUMBER($J221),$J221&gt;0),$J221,IF(ISNUMBER($I221),$I221,"")))</f>
        <v>116.755102040816</v>
      </c>
      <c r="L221" s="40" t="n">
        <f aca="false">IF(ISNUMBER($K221),$K221*$H221,"")</f>
        <v>21.0159183673469</v>
      </c>
      <c r="M221" s="40" t="n">
        <f aca="false">IF(ISNUMBER($K221),$K221*Parâmetros!$B$5,"")</f>
        <v>11.6755102040816</v>
      </c>
      <c r="N221" s="40" t="n">
        <f aca="false">IF(ISNUMBER($K221),$K221*Parâmetros!$C$5,"")</f>
        <v>3.50265306122449</v>
      </c>
      <c r="O221" s="40" t="n">
        <f aca="false">IF(ISNUMBER($K221),IF(ISNUMBER(Parâmetros!$E$5),Parâmetros!$E$5,0),"")</f>
        <v>0</v>
      </c>
      <c r="P221" s="41" t="n">
        <f aca="false">IF(ISNUMBER($K221),$K221-$D221-IF(ISNUMBER($E221),$E221,0)-$L221-$M221-$N221-$O221,"")</f>
        <v>23.3510204081633</v>
      </c>
      <c r="Q221" s="42" t="n">
        <f aca="false">IF(AND(ISNUMBER($K221),$K221&gt;0),$P221/$K221,"")</f>
        <v>0.2</v>
      </c>
      <c r="R221" s="43"/>
      <c r="S221" s="44" t="str">
        <f aca="false">IF(OR(NOT(ISNUMBER($R221)),$R221=0,NOT(ISNUMBER($K221))),"",$K221*(1-$R221))</f>
        <v/>
      </c>
      <c r="T221" s="45" t="str">
        <f aca="false">IF(ISNUMBER($S221),$S221*$H221,"")</f>
        <v/>
      </c>
      <c r="U221" s="45" t="str">
        <f aca="false">IF(ISNUMBER($S221),$S221*Parâmetros!$B$5,"")</f>
        <v/>
      </c>
      <c r="V221" s="45" t="str">
        <f aca="false">IF(ISNUMBER($S221),$S221*Parâmetros!$C$5,"")</f>
        <v/>
      </c>
      <c r="W221" s="44" t="str">
        <f aca="false">IF(ISNUMBER($S221),$S221-$D221-IF(ISNUMBER($E221),$E221,0)-$O221-$T221-$U221-$V221,"")</f>
        <v/>
      </c>
      <c r="X221" s="46" t="str">
        <f aca="false">IF(AND(ISNUMBER($S221),$S221&gt;0),$W221/$S221,"")</f>
        <v/>
      </c>
      <c r="Y221" s="49"/>
      <c r="Z221" s="21"/>
    </row>
    <row r="222" customFormat="false" ht="15.75" hidden="false" customHeight="true" outlineLevel="0" collapsed="false">
      <c r="A222" s="32" t="str">
        <f aca="false">IF(Produtos!$A222="","",Produtos!$A222)</f>
        <v>T30-PILHAS</v>
      </c>
      <c r="B222" s="32" t="str">
        <f aca="false">IF(Produtos!$A222="","",Produtos!$B222)</f>
        <v>Tampa 30cm Coletor de Pilhas e Baterias</v>
      </c>
      <c r="C222" s="32" t="str">
        <f aca="false">IF(Produtos!$A222="","",Produtos!$C222)</f>
        <v>Coletores de pilhas</v>
      </c>
      <c r="D222" s="33" t="n">
        <f aca="false">IF(Produtos!$A222="","",IF(Produtos!$D222="","",Produtos!$D222))</f>
        <v>46.19</v>
      </c>
      <c r="E222" s="11"/>
      <c r="F222" s="34" t="n">
        <f aca="false">IF($A222="","",IF($C222="","⚠ categoria",IFERROR(INDEX(Parâmetros!$C$13:$C$22,MATCH($C222,Parâmetros!$A$13:$A$22,0)),"⚠ categoria")))</f>
        <v>0.18</v>
      </c>
      <c r="G222" s="35"/>
      <c r="H222" s="36" t="n">
        <f aca="false">IF($A222="","",IF(ISNUMBER($G222),$G222,IF(ISNUMBER($F222),$F222,"")))</f>
        <v>0.18</v>
      </c>
      <c r="I222" s="37" t="n">
        <f aca="false">IF(OR($A222="",NOT(ISNUMBER($D222)),NOT(ISNUMBER($H222))),"",IF((1-$H222-Parâmetros!$B$5-Parâmetros!$C$5-Parâmetros!$D$5)&lt;=0,"INVALIDO",($D222+IF(ISNUMBER($E222),$E222,0)+IF(ISNUMBER(Parâmetros!$E$5),Parâmetros!$E$5,0))/(1-$H222-Parâmetros!$B$5-Parâmetros!$C$5-Parâmetros!$D$5)))</f>
        <v>94.265306122449</v>
      </c>
      <c r="J222" s="38"/>
      <c r="K222" s="39" t="n">
        <f aca="false">IF(OR($A222="",NOT(ISNUMBER($D222)),NOT(ISNUMBER($H222))),"",IF(AND(ISNUMBER($J222),$J222&gt;0),$J222,IF(ISNUMBER($I222),$I222,"")))</f>
        <v>94.265306122449</v>
      </c>
      <c r="L222" s="40" t="n">
        <f aca="false">IF(ISNUMBER($K222),$K222*$H222,"")</f>
        <v>16.9677551020408</v>
      </c>
      <c r="M222" s="40" t="n">
        <f aca="false">IF(ISNUMBER($K222),$K222*Parâmetros!$B$5,"")</f>
        <v>9.4265306122449</v>
      </c>
      <c r="N222" s="40" t="n">
        <f aca="false">IF(ISNUMBER($K222),$K222*Parâmetros!$C$5,"")</f>
        <v>2.82795918367347</v>
      </c>
      <c r="O222" s="40" t="n">
        <f aca="false">IF(ISNUMBER($K222),IF(ISNUMBER(Parâmetros!$E$5),Parâmetros!$E$5,0),"")</f>
        <v>0</v>
      </c>
      <c r="P222" s="41" t="n">
        <f aca="false">IF(ISNUMBER($K222),$K222-$D222-IF(ISNUMBER($E222),$E222,0)-$L222-$M222-$N222-$O222,"")</f>
        <v>18.8530612244898</v>
      </c>
      <c r="Q222" s="42" t="n">
        <f aca="false">IF(AND(ISNUMBER($K222),$K222&gt;0),$P222/$K222,"")</f>
        <v>0.2</v>
      </c>
      <c r="R222" s="43"/>
      <c r="S222" s="44" t="str">
        <f aca="false">IF(OR(NOT(ISNUMBER($R222)),$R222=0,NOT(ISNUMBER($K222))),"",$K222*(1-$R222))</f>
        <v/>
      </c>
      <c r="T222" s="45" t="str">
        <f aca="false">IF(ISNUMBER($S222),$S222*$H222,"")</f>
        <v/>
      </c>
      <c r="U222" s="45" t="str">
        <f aca="false">IF(ISNUMBER($S222),$S222*Parâmetros!$B$5,"")</f>
        <v/>
      </c>
      <c r="V222" s="45" t="str">
        <f aca="false">IF(ISNUMBER($S222),$S222*Parâmetros!$C$5,"")</f>
        <v/>
      </c>
      <c r="W222" s="44" t="str">
        <f aca="false">IF(ISNUMBER($S222),$S222-$D222-IF(ISNUMBER($E222),$E222,0)-$O222-$T222-$U222-$V222,"")</f>
        <v/>
      </c>
      <c r="X222" s="46" t="str">
        <f aca="false">IF(AND(ISNUMBER($S222),$S222&gt;0),$W222/$S222,"")</f>
        <v/>
      </c>
      <c r="Y222" s="47"/>
      <c r="Z222" s="19"/>
    </row>
    <row r="223" customFormat="false" ht="15.75" hidden="false" customHeight="true" outlineLevel="0" collapsed="false">
      <c r="A223" s="48" t="str">
        <f aca="false">IF(Produtos!$A223="","",Produtos!$A223)</f>
        <v>T40-PILHAS</v>
      </c>
      <c r="B223" s="48" t="str">
        <f aca="false">IF(Produtos!$A223="","",Produtos!$B223)</f>
        <v>Tampa 40cm Coletor de Pilhas e Baterias</v>
      </c>
      <c r="C223" s="48" t="str">
        <f aca="false">IF(Produtos!$A223="","",Produtos!$C223)</f>
        <v>Coletores de pilhas</v>
      </c>
      <c r="D223" s="33" t="n">
        <f aca="false">IF(Produtos!$A223="","",IF(Produtos!$D223="","",Produtos!$D223))</f>
        <v>98.64</v>
      </c>
      <c r="E223" s="11"/>
      <c r="F223" s="34" t="n">
        <f aca="false">IF($A223="","",IF($C223="","⚠ categoria",IFERROR(INDEX(Parâmetros!$C$13:$C$22,MATCH($C223,Parâmetros!$A$13:$A$22,0)),"⚠ categoria")))</f>
        <v>0.18</v>
      </c>
      <c r="G223" s="35"/>
      <c r="H223" s="36" t="n">
        <f aca="false">IF($A223="","",IF(ISNUMBER($G223),$G223,IF(ISNUMBER($F223),$F223,"")))</f>
        <v>0.18</v>
      </c>
      <c r="I223" s="37" t="n">
        <f aca="false">IF(OR($A223="",NOT(ISNUMBER($D223)),NOT(ISNUMBER($H223))),"",IF((1-$H223-Parâmetros!$B$5-Parâmetros!$C$5-Parâmetros!$D$5)&lt;=0,"INVALIDO",($D223+IF(ISNUMBER($E223),$E223,0)+IF(ISNUMBER(Parâmetros!$E$5),Parâmetros!$E$5,0))/(1-$H223-Parâmetros!$B$5-Parâmetros!$C$5-Parâmetros!$D$5)))</f>
        <v>201.30612244898</v>
      </c>
      <c r="J223" s="38"/>
      <c r="K223" s="39" t="n">
        <f aca="false">IF(OR($A223="",NOT(ISNUMBER($D223)),NOT(ISNUMBER($H223))),"",IF(AND(ISNUMBER($J223),$J223&gt;0),$J223,IF(ISNUMBER($I223),$I223,"")))</f>
        <v>201.30612244898</v>
      </c>
      <c r="L223" s="40" t="n">
        <f aca="false">IF(ISNUMBER($K223),$K223*$H223,"")</f>
        <v>36.2351020408163</v>
      </c>
      <c r="M223" s="40" t="n">
        <f aca="false">IF(ISNUMBER($K223),$K223*Parâmetros!$B$5,"")</f>
        <v>20.130612244898</v>
      </c>
      <c r="N223" s="40" t="n">
        <f aca="false">IF(ISNUMBER($K223),$K223*Parâmetros!$C$5,"")</f>
        <v>6.03918367346939</v>
      </c>
      <c r="O223" s="40" t="n">
        <f aca="false">IF(ISNUMBER($K223),IF(ISNUMBER(Parâmetros!$E$5),Parâmetros!$E$5,0),"")</f>
        <v>0</v>
      </c>
      <c r="P223" s="41" t="n">
        <f aca="false">IF(ISNUMBER($K223),$K223-$D223-IF(ISNUMBER($E223),$E223,0)-$L223-$M223-$N223-$O223,"")</f>
        <v>40.2612244897959</v>
      </c>
      <c r="Q223" s="42" t="n">
        <f aca="false">IF(AND(ISNUMBER($K223),$K223&gt;0),$P223/$K223,"")</f>
        <v>0.2</v>
      </c>
      <c r="R223" s="43"/>
      <c r="S223" s="44" t="str">
        <f aca="false">IF(OR(NOT(ISNUMBER($R223)),$R223=0,NOT(ISNUMBER($K223))),"",$K223*(1-$R223))</f>
        <v/>
      </c>
      <c r="T223" s="45" t="str">
        <f aca="false">IF(ISNUMBER($S223),$S223*$H223,"")</f>
        <v/>
      </c>
      <c r="U223" s="45" t="str">
        <f aca="false">IF(ISNUMBER($S223),$S223*Parâmetros!$B$5,"")</f>
        <v/>
      </c>
      <c r="V223" s="45" t="str">
        <f aca="false">IF(ISNUMBER($S223),$S223*Parâmetros!$C$5,"")</f>
        <v/>
      </c>
      <c r="W223" s="44" t="str">
        <f aca="false">IF(ISNUMBER($S223),$S223-$D223-IF(ISNUMBER($E223),$E223,0)-$O223-$T223-$U223-$V223,"")</f>
        <v/>
      </c>
      <c r="X223" s="46" t="str">
        <f aca="false">IF(AND(ISNUMBER($S223),$S223&gt;0),$W223/$S223,"")</f>
        <v/>
      </c>
      <c r="Y223" s="49"/>
      <c r="Z223" s="21"/>
    </row>
    <row r="224" customFormat="false" ht="15.75" hidden="false" customHeight="true" outlineLevel="0" collapsed="false">
      <c r="A224" s="32" t="str">
        <f aca="false">IF(Produtos!$A224="","",Produtos!$A224)</f>
        <v>A24ML</v>
      </c>
      <c r="B224" s="32" t="str">
        <f aca="false">IF(Produtos!$A224="","",Produtos!$B224)</f>
        <v>Aro 24cm Meia Lua Aço Inox</v>
      </c>
      <c r="C224" s="32" t="str">
        <f aca="false">IF(Produtos!$A224="","",Produtos!$C224)</f>
        <v>Acessórios (aros e tampas)</v>
      </c>
      <c r="D224" s="33" t="n">
        <f aca="false">IF(Produtos!$A224="","",IF(Produtos!$D224="","",Produtos!$D224))</f>
        <v>60.74</v>
      </c>
      <c r="E224" s="11"/>
      <c r="F224" s="34" t="n">
        <f aca="false">IF($A224="","",IF($C224="","⚠ categoria",IFERROR(INDEX(Parâmetros!$C$13:$C$22,MATCH($C224,Parâmetros!$A$13:$A$22,0)),"⚠ categoria")))</f>
        <v>0.18</v>
      </c>
      <c r="G224" s="35"/>
      <c r="H224" s="36" t="n">
        <f aca="false">IF($A224="","",IF(ISNUMBER($G224),$G224,IF(ISNUMBER($F224),$F224,"")))</f>
        <v>0.18</v>
      </c>
      <c r="I224" s="37" t="n">
        <f aca="false">IF(OR($A224="",NOT(ISNUMBER($D224)),NOT(ISNUMBER($H224))),"",IF((1-$H224-Parâmetros!$B$5-Parâmetros!$C$5-Parâmetros!$D$5)&lt;=0,"INVALIDO",($D224+IF(ISNUMBER($E224),$E224,0)+IF(ISNUMBER(Parâmetros!$E$5),Parâmetros!$E$5,0))/(1-$H224-Parâmetros!$B$5-Parâmetros!$C$5-Parâmetros!$D$5)))</f>
        <v>123.959183673469</v>
      </c>
      <c r="J224" s="38"/>
      <c r="K224" s="39" t="n">
        <f aca="false">IF(OR($A224="",NOT(ISNUMBER($D224)),NOT(ISNUMBER($H224))),"",IF(AND(ISNUMBER($J224),$J224&gt;0),$J224,IF(ISNUMBER($I224),$I224,"")))</f>
        <v>123.959183673469</v>
      </c>
      <c r="L224" s="40" t="n">
        <f aca="false">IF(ISNUMBER($K224),$K224*$H224,"")</f>
        <v>22.3126530612245</v>
      </c>
      <c r="M224" s="40" t="n">
        <f aca="false">IF(ISNUMBER($K224),$K224*Parâmetros!$B$5,"")</f>
        <v>12.3959183673469</v>
      </c>
      <c r="N224" s="40" t="n">
        <f aca="false">IF(ISNUMBER($K224),$K224*Parâmetros!$C$5,"")</f>
        <v>3.71877551020408</v>
      </c>
      <c r="O224" s="40" t="n">
        <f aca="false">IF(ISNUMBER($K224),IF(ISNUMBER(Parâmetros!$E$5),Parâmetros!$E$5,0),"")</f>
        <v>0</v>
      </c>
      <c r="P224" s="41" t="n">
        <f aca="false">IF(ISNUMBER($K224),$K224-$D224-IF(ISNUMBER($E224),$E224,0)-$L224-$M224-$N224-$O224,"")</f>
        <v>24.7918367346939</v>
      </c>
      <c r="Q224" s="42" t="n">
        <f aca="false">IF(AND(ISNUMBER($K224),$K224&gt;0),$P224/$K224,"")</f>
        <v>0.2</v>
      </c>
      <c r="R224" s="43"/>
      <c r="S224" s="44" t="str">
        <f aca="false">IF(OR(NOT(ISNUMBER($R224)),$R224=0,NOT(ISNUMBER($K224))),"",$K224*(1-$R224))</f>
        <v/>
      </c>
      <c r="T224" s="45" t="str">
        <f aca="false">IF(ISNUMBER($S224),$S224*$H224,"")</f>
        <v/>
      </c>
      <c r="U224" s="45" t="str">
        <f aca="false">IF(ISNUMBER($S224),$S224*Parâmetros!$B$5,"")</f>
        <v/>
      </c>
      <c r="V224" s="45" t="str">
        <f aca="false">IF(ISNUMBER($S224),$S224*Parâmetros!$C$5,"")</f>
        <v/>
      </c>
      <c r="W224" s="44" t="str">
        <f aca="false">IF(ISNUMBER($S224),$S224-$D224-IF(ISNUMBER($E224),$E224,0)-$O224-$T224-$U224-$V224,"")</f>
        <v/>
      </c>
      <c r="X224" s="46" t="str">
        <f aca="false">IF(AND(ISNUMBER($S224),$S224&gt;0),$W224/$S224,"")</f>
        <v/>
      </c>
      <c r="Y224" s="47"/>
      <c r="Z224" s="19"/>
    </row>
    <row r="225" customFormat="false" ht="15.75" hidden="false" customHeight="true" outlineLevel="0" collapsed="false">
      <c r="A225" s="48" t="str">
        <f aca="false">IF(Produtos!$A225="","",Produtos!$A225)</f>
        <v>A30ML</v>
      </c>
      <c r="B225" s="48" t="str">
        <f aca="false">IF(Produtos!$A225="","",Produtos!$B225)</f>
        <v>Aro 30cm Meia Lua Aço Inox</v>
      </c>
      <c r="C225" s="48" t="str">
        <f aca="false">IF(Produtos!$A225="","",Produtos!$C225)</f>
        <v>Acessórios (aros e tampas)</v>
      </c>
      <c r="D225" s="33" t="n">
        <f aca="false">IF(Produtos!$A225="","",IF(Produtos!$D225="","",Produtos!$D225))</f>
        <v>76.36</v>
      </c>
      <c r="E225" s="11"/>
      <c r="F225" s="34" t="n">
        <f aca="false">IF($A225="","",IF($C225="","⚠ categoria",IFERROR(INDEX(Parâmetros!$C$13:$C$22,MATCH($C225,Parâmetros!$A$13:$A$22,0)),"⚠ categoria")))</f>
        <v>0.18</v>
      </c>
      <c r="G225" s="35"/>
      <c r="H225" s="36" t="n">
        <f aca="false">IF($A225="","",IF(ISNUMBER($G225),$G225,IF(ISNUMBER($F225),$F225,"")))</f>
        <v>0.18</v>
      </c>
      <c r="I225" s="37" t="n">
        <f aca="false">IF(OR($A225="",NOT(ISNUMBER($D225)),NOT(ISNUMBER($H225))),"",IF((1-$H225-Parâmetros!$B$5-Parâmetros!$C$5-Parâmetros!$D$5)&lt;=0,"INVALIDO",($D225+IF(ISNUMBER($E225),$E225,0)+IF(ISNUMBER(Parâmetros!$E$5),Parâmetros!$E$5,0))/(1-$H225-Parâmetros!$B$5-Parâmetros!$C$5-Parâmetros!$D$5)))</f>
        <v>155.836734693878</v>
      </c>
      <c r="J225" s="38"/>
      <c r="K225" s="39" t="n">
        <f aca="false">IF(OR($A225="",NOT(ISNUMBER($D225)),NOT(ISNUMBER($H225))),"",IF(AND(ISNUMBER($J225),$J225&gt;0),$J225,IF(ISNUMBER($I225),$I225,"")))</f>
        <v>155.836734693878</v>
      </c>
      <c r="L225" s="40" t="n">
        <f aca="false">IF(ISNUMBER($K225),$K225*$H225,"")</f>
        <v>28.050612244898</v>
      </c>
      <c r="M225" s="40" t="n">
        <f aca="false">IF(ISNUMBER($K225),$K225*Parâmetros!$B$5,"")</f>
        <v>15.5836734693878</v>
      </c>
      <c r="N225" s="40" t="n">
        <f aca="false">IF(ISNUMBER($K225),$K225*Parâmetros!$C$5,"")</f>
        <v>4.67510204081633</v>
      </c>
      <c r="O225" s="40" t="n">
        <f aca="false">IF(ISNUMBER($K225),IF(ISNUMBER(Parâmetros!$E$5),Parâmetros!$E$5,0),"")</f>
        <v>0</v>
      </c>
      <c r="P225" s="41" t="n">
        <f aca="false">IF(ISNUMBER($K225),$K225-$D225-IF(ISNUMBER($E225),$E225,0)-$L225-$M225-$N225-$O225,"")</f>
        <v>31.1673469387755</v>
      </c>
      <c r="Q225" s="42" t="n">
        <f aca="false">IF(AND(ISNUMBER($K225),$K225&gt;0),$P225/$K225,"")</f>
        <v>0.2</v>
      </c>
      <c r="R225" s="43"/>
      <c r="S225" s="44" t="str">
        <f aca="false">IF(OR(NOT(ISNUMBER($R225)),$R225=0,NOT(ISNUMBER($K225))),"",$K225*(1-$R225))</f>
        <v/>
      </c>
      <c r="T225" s="45" t="str">
        <f aca="false">IF(ISNUMBER($S225),$S225*$H225,"")</f>
        <v/>
      </c>
      <c r="U225" s="45" t="str">
        <f aca="false">IF(ISNUMBER($S225),$S225*Parâmetros!$B$5,"")</f>
        <v/>
      </c>
      <c r="V225" s="45" t="str">
        <f aca="false">IF(ISNUMBER($S225),$S225*Parâmetros!$C$5,"")</f>
        <v/>
      </c>
      <c r="W225" s="44" t="str">
        <f aca="false">IF(ISNUMBER($S225),$S225-$D225-IF(ISNUMBER($E225),$E225,0)-$O225-$T225-$U225-$V225,"")</f>
        <v/>
      </c>
      <c r="X225" s="46" t="str">
        <f aca="false">IF(AND(ISNUMBER($S225),$S225&gt;0),$W225/$S225,"")</f>
        <v/>
      </c>
      <c r="Y225" s="49"/>
      <c r="Z225" s="21"/>
    </row>
    <row r="226" customFormat="false" ht="15.75" hidden="false" customHeight="true" outlineLevel="0" collapsed="false">
      <c r="A226" s="32" t="str">
        <f aca="false">IF(Produtos!$A226="","",Produtos!$A226)</f>
        <v>A40ML</v>
      </c>
      <c r="B226" s="32" t="str">
        <f aca="false">IF(Produtos!$A226="","",Produtos!$B226)</f>
        <v>Aro 40cm Meia Lua Aço Inox</v>
      </c>
      <c r="C226" s="32" t="str">
        <f aca="false">IF(Produtos!$A226="","",Produtos!$C226)</f>
        <v>Acessórios (aros e tampas)</v>
      </c>
      <c r="D226" s="33" t="n">
        <f aca="false">IF(Produtos!$A226="","",IF(Produtos!$D226="","",Produtos!$D226))</f>
        <v>116.98</v>
      </c>
      <c r="E226" s="11"/>
      <c r="F226" s="34" t="n">
        <f aca="false">IF($A226="","",IF($C226="","⚠ categoria",IFERROR(INDEX(Parâmetros!$C$13:$C$22,MATCH($C226,Parâmetros!$A$13:$A$22,0)),"⚠ categoria")))</f>
        <v>0.18</v>
      </c>
      <c r="G226" s="35"/>
      <c r="H226" s="36" t="n">
        <f aca="false">IF($A226="","",IF(ISNUMBER($G226),$G226,IF(ISNUMBER($F226),$F226,"")))</f>
        <v>0.18</v>
      </c>
      <c r="I226" s="37" t="n">
        <f aca="false">IF(OR($A226="",NOT(ISNUMBER($D226)),NOT(ISNUMBER($H226))),"",IF((1-$H226-Parâmetros!$B$5-Parâmetros!$C$5-Parâmetros!$D$5)&lt;=0,"INVALIDO",($D226+IF(ISNUMBER($E226),$E226,0)+IF(ISNUMBER(Parâmetros!$E$5),Parâmetros!$E$5,0))/(1-$H226-Parâmetros!$B$5-Parâmetros!$C$5-Parâmetros!$D$5)))</f>
        <v>238.734693877551</v>
      </c>
      <c r="J226" s="38"/>
      <c r="K226" s="39" t="n">
        <f aca="false">IF(OR($A226="",NOT(ISNUMBER($D226)),NOT(ISNUMBER($H226))),"",IF(AND(ISNUMBER($J226),$J226&gt;0),$J226,IF(ISNUMBER($I226),$I226,"")))</f>
        <v>238.734693877551</v>
      </c>
      <c r="L226" s="40" t="n">
        <f aca="false">IF(ISNUMBER($K226),$K226*$H226,"")</f>
        <v>42.9722448979592</v>
      </c>
      <c r="M226" s="40" t="n">
        <f aca="false">IF(ISNUMBER($K226),$K226*Parâmetros!$B$5,"")</f>
        <v>23.8734693877551</v>
      </c>
      <c r="N226" s="40" t="n">
        <f aca="false">IF(ISNUMBER($K226),$K226*Parâmetros!$C$5,"")</f>
        <v>7.16204081632653</v>
      </c>
      <c r="O226" s="40" t="n">
        <f aca="false">IF(ISNUMBER($K226),IF(ISNUMBER(Parâmetros!$E$5),Parâmetros!$E$5,0),"")</f>
        <v>0</v>
      </c>
      <c r="P226" s="41" t="n">
        <f aca="false">IF(ISNUMBER($K226),$K226-$D226-IF(ISNUMBER($E226),$E226,0)-$L226-$M226-$N226-$O226,"")</f>
        <v>47.7469387755102</v>
      </c>
      <c r="Q226" s="42" t="n">
        <f aca="false">IF(AND(ISNUMBER($K226),$K226&gt;0),$P226/$K226,"")</f>
        <v>0.2</v>
      </c>
      <c r="R226" s="43"/>
      <c r="S226" s="44" t="str">
        <f aca="false">IF(OR(NOT(ISNUMBER($R226)),$R226=0,NOT(ISNUMBER($K226))),"",$K226*(1-$R226))</f>
        <v/>
      </c>
      <c r="T226" s="45" t="str">
        <f aca="false">IF(ISNUMBER($S226),$S226*$H226,"")</f>
        <v/>
      </c>
      <c r="U226" s="45" t="str">
        <f aca="false">IF(ISNUMBER($S226),$S226*Parâmetros!$B$5,"")</f>
        <v/>
      </c>
      <c r="V226" s="45" t="str">
        <f aca="false">IF(ISNUMBER($S226),$S226*Parâmetros!$C$5,"")</f>
        <v/>
      </c>
      <c r="W226" s="44" t="str">
        <f aca="false">IF(ISNUMBER($S226),$S226-$D226-IF(ISNUMBER($E226),$E226,0)-$O226-$T226-$U226-$V226,"")</f>
        <v/>
      </c>
      <c r="X226" s="46" t="str">
        <f aca="false">IF(AND(ISNUMBER($S226),$S226&gt;0),$W226/$S226,"")</f>
        <v/>
      </c>
      <c r="Y226" s="47"/>
      <c r="Z226" s="19"/>
    </row>
    <row r="227" customFormat="false" ht="15.75" hidden="false" customHeight="true" outlineLevel="0" collapsed="false">
      <c r="A227" s="48" t="str">
        <f aca="false">IF(Produtos!$A227="","",Produtos!$A227)</f>
        <v>AQ-24</v>
      </c>
      <c r="B227" s="48" t="str">
        <f aca="false">IF(Produtos!$A227="","",Produtos!$B227)</f>
        <v>Aro Quadrado 24cm Aço Inox</v>
      </c>
      <c r="C227" s="48" t="str">
        <f aca="false">IF(Produtos!$A227="","",Produtos!$C227)</f>
        <v>Acessórios (aros e tampas)</v>
      </c>
      <c r="D227" s="33" t="n">
        <f aca="false">IF(Produtos!$A227="","",IF(Produtos!$D227="","",Produtos!$D227))</f>
        <v>39.22</v>
      </c>
      <c r="E227" s="11"/>
      <c r="F227" s="34" t="n">
        <f aca="false">IF($A227="","",IF($C227="","⚠ categoria",IFERROR(INDEX(Parâmetros!$C$13:$C$22,MATCH($C227,Parâmetros!$A$13:$A$22,0)),"⚠ categoria")))</f>
        <v>0.18</v>
      </c>
      <c r="G227" s="35"/>
      <c r="H227" s="36" t="n">
        <f aca="false">IF($A227="","",IF(ISNUMBER($G227),$G227,IF(ISNUMBER($F227),$F227,"")))</f>
        <v>0.18</v>
      </c>
      <c r="I227" s="37" t="n">
        <f aca="false">IF(OR($A227="",NOT(ISNUMBER($D227)),NOT(ISNUMBER($H227))),"",IF((1-$H227-Parâmetros!$B$5-Parâmetros!$C$5-Parâmetros!$D$5)&lt;=0,"INVALIDO",($D227+IF(ISNUMBER($E227),$E227,0)+IF(ISNUMBER(Parâmetros!$E$5),Parâmetros!$E$5,0))/(1-$H227-Parâmetros!$B$5-Parâmetros!$C$5-Parâmetros!$D$5)))</f>
        <v>80.0408163265306</v>
      </c>
      <c r="J227" s="38"/>
      <c r="K227" s="39" t="n">
        <f aca="false">IF(OR($A227="",NOT(ISNUMBER($D227)),NOT(ISNUMBER($H227))),"",IF(AND(ISNUMBER($J227),$J227&gt;0),$J227,IF(ISNUMBER($I227),$I227,"")))</f>
        <v>80.0408163265306</v>
      </c>
      <c r="L227" s="40" t="n">
        <f aca="false">IF(ISNUMBER($K227),$K227*$H227,"")</f>
        <v>14.4073469387755</v>
      </c>
      <c r="M227" s="40" t="n">
        <f aca="false">IF(ISNUMBER($K227),$K227*Parâmetros!$B$5,"")</f>
        <v>8.00408163265306</v>
      </c>
      <c r="N227" s="40" t="n">
        <f aca="false">IF(ISNUMBER($K227),$K227*Parâmetros!$C$5,"")</f>
        <v>2.40122448979592</v>
      </c>
      <c r="O227" s="40" t="n">
        <f aca="false">IF(ISNUMBER($K227),IF(ISNUMBER(Parâmetros!$E$5),Parâmetros!$E$5,0),"")</f>
        <v>0</v>
      </c>
      <c r="P227" s="41" t="n">
        <f aca="false">IF(ISNUMBER($K227),$K227-$D227-IF(ISNUMBER($E227),$E227,0)-$L227-$M227-$N227-$O227,"")</f>
        <v>16.0081632653061</v>
      </c>
      <c r="Q227" s="42" t="n">
        <f aca="false">IF(AND(ISNUMBER($K227),$K227&gt;0),$P227/$K227,"")</f>
        <v>0.2</v>
      </c>
      <c r="R227" s="43"/>
      <c r="S227" s="44" t="str">
        <f aca="false">IF(OR(NOT(ISNUMBER($R227)),$R227=0,NOT(ISNUMBER($K227))),"",$K227*(1-$R227))</f>
        <v/>
      </c>
      <c r="T227" s="45" t="str">
        <f aca="false">IF(ISNUMBER($S227),$S227*$H227,"")</f>
        <v/>
      </c>
      <c r="U227" s="45" t="str">
        <f aca="false">IF(ISNUMBER($S227),$S227*Parâmetros!$B$5,"")</f>
        <v/>
      </c>
      <c r="V227" s="45" t="str">
        <f aca="false">IF(ISNUMBER($S227),$S227*Parâmetros!$C$5,"")</f>
        <v/>
      </c>
      <c r="W227" s="44" t="str">
        <f aca="false">IF(ISNUMBER($S227),$S227-$D227-IF(ISNUMBER($E227),$E227,0)-$O227-$T227-$U227-$V227,"")</f>
        <v/>
      </c>
      <c r="X227" s="46" t="str">
        <f aca="false">IF(AND(ISNUMBER($S227),$S227&gt;0),$W227/$S227,"")</f>
        <v/>
      </c>
      <c r="Y227" s="49"/>
      <c r="Z227" s="21"/>
    </row>
    <row r="228" customFormat="false" ht="15.75" hidden="false" customHeight="true" outlineLevel="0" collapsed="false">
      <c r="A228" s="32" t="str">
        <f aca="false">IF(Produtos!$A228="","",Produtos!$A228)</f>
        <v>AQ-30</v>
      </c>
      <c r="B228" s="32" t="str">
        <f aca="false">IF(Produtos!$A228="","",Produtos!$B228)</f>
        <v>Aro Quadrado 30cm Aço Inox</v>
      </c>
      <c r="C228" s="32" t="str">
        <f aca="false">IF(Produtos!$A228="","",Produtos!$C228)</f>
        <v>Acessórios (aros e tampas)</v>
      </c>
      <c r="D228" s="33" t="n">
        <f aca="false">IF(Produtos!$A228="","",IF(Produtos!$D228="","",Produtos!$D228))</f>
        <v>45.58</v>
      </c>
      <c r="E228" s="11"/>
      <c r="F228" s="34" t="n">
        <f aca="false">IF($A228="","",IF($C228="","⚠ categoria",IFERROR(INDEX(Parâmetros!$C$13:$C$22,MATCH($C228,Parâmetros!$A$13:$A$22,0)),"⚠ categoria")))</f>
        <v>0.18</v>
      </c>
      <c r="G228" s="35"/>
      <c r="H228" s="36" t="n">
        <f aca="false">IF($A228="","",IF(ISNUMBER($G228),$G228,IF(ISNUMBER($F228),$F228,"")))</f>
        <v>0.18</v>
      </c>
      <c r="I228" s="37" t="n">
        <f aca="false">IF(OR($A228="",NOT(ISNUMBER($D228)),NOT(ISNUMBER($H228))),"",IF((1-$H228-Parâmetros!$B$5-Parâmetros!$C$5-Parâmetros!$D$5)&lt;=0,"INVALIDO",($D228+IF(ISNUMBER($E228),$E228,0)+IF(ISNUMBER(Parâmetros!$E$5),Parâmetros!$E$5,0))/(1-$H228-Parâmetros!$B$5-Parâmetros!$C$5-Parâmetros!$D$5)))</f>
        <v>93.0204081632653</v>
      </c>
      <c r="J228" s="38"/>
      <c r="K228" s="39" t="n">
        <f aca="false">IF(OR($A228="",NOT(ISNUMBER($D228)),NOT(ISNUMBER($H228))),"",IF(AND(ISNUMBER($J228),$J228&gt;0),$J228,IF(ISNUMBER($I228),$I228,"")))</f>
        <v>93.0204081632653</v>
      </c>
      <c r="L228" s="40" t="n">
        <f aca="false">IF(ISNUMBER($K228),$K228*$H228,"")</f>
        <v>16.7436734693878</v>
      </c>
      <c r="M228" s="40" t="n">
        <f aca="false">IF(ISNUMBER($K228),$K228*Parâmetros!$B$5,"")</f>
        <v>9.30204081632653</v>
      </c>
      <c r="N228" s="40" t="n">
        <f aca="false">IF(ISNUMBER($K228),$K228*Parâmetros!$C$5,"")</f>
        <v>2.79061224489796</v>
      </c>
      <c r="O228" s="40" t="n">
        <f aca="false">IF(ISNUMBER($K228),IF(ISNUMBER(Parâmetros!$E$5),Parâmetros!$E$5,0),"")</f>
        <v>0</v>
      </c>
      <c r="P228" s="41" t="n">
        <f aca="false">IF(ISNUMBER($K228),$K228-$D228-IF(ISNUMBER($E228),$E228,0)-$L228-$M228-$N228-$O228,"")</f>
        <v>18.6040816326531</v>
      </c>
      <c r="Q228" s="42" t="n">
        <f aca="false">IF(AND(ISNUMBER($K228),$K228&gt;0),$P228/$K228,"")</f>
        <v>0.2</v>
      </c>
      <c r="R228" s="43"/>
      <c r="S228" s="44" t="str">
        <f aca="false">IF(OR(NOT(ISNUMBER($R228)),$R228=0,NOT(ISNUMBER($K228))),"",$K228*(1-$R228))</f>
        <v/>
      </c>
      <c r="T228" s="45" t="str">
        <f aca="false">IF(ISNUMBER($S228),$S228*$H228,"")</f>
        <v/>
      </c>
      <c r="U228" s="45" t="str">
        <f aca="false">IF(ISNUMBER($S228),$S228*Parâmetros!$B$5,"")</f>
        <v/>
      </c>
      <c r="V228" s="45" t="str">
        <f aca="false">IF(ISNUMBER($S228),$S228*Parâmetros!$C$5,"")</f>
        <v/>
      </c>
      <c r="W228" s="44" t="str">
        <f aca="false">IF(ISNUMBER($S228),$S228-$D228-IF(ISNUMBER($E228),$E228,0)-$O228-$T228-$U228-$V228,"")</f>
        <v/>
      </c>
      <c r="X228" s="46" t="str">
        <f aca="false">IF(AND(ISNUMBER($S228),$S228&gt;0),$W228/$S228,"")</f>
        <v/>
      </c>
      <c r="Y228" s="47"/>
      <c r="Z228" s="19"/>
    </row>
    <row r="229" customFormat="false" ht="15.75" hidden="false" customHeight="true" outlineLevel="0" collapsed="false">
      <c r="A229" s="48" t="str">
        <f aca="false">IF(Produtos!$A229="","",Produtos!$A229)</f>
        <v>AQ-40</v>
      </c>
      <c r="B229" s="48" t="str">
        <f aca="false">IF(Produtos!$A229="","",Produtos!$B229)</f>
        <v>Aro Quadrado 40cm Aço Inox</v>
      </c>
      <c r="C229" s="48" t="str">
        <f aca="false">IF(Produtos!$A229="","",Produtos!$C229)</f>
        <v>Acessórios (aros e tampas)</v>
      </c>
      <c r="D229" s="33" t="n">
        <f aca="false">IF(Produtos!$A229="","",IF(Produtos!$D229="","",Produtos!$D229))</f>
        <v>96.46</v>
      </c>
      <c r="E229" s="11"/>
      <c r="F229" s="34" t="n">
        <f aca="false">IF($A229="","",IF($C229="","⚠ categoria",IFERROR(INDEX(Parâmetros!$C$13:$C$22,MATCH($C229,Parâmetros!$A$13:$A$22,0)),"⚠ categoria")))</f>
        <v>0.18</v>
      </c>
      <c r="G229" s="35"/>
      <c r="H229" s="36" t="n">
        <f aca="false">IF($A229="","",IF(ISNUMBER($G229),$G229,IF(ISNUMBER($F229),$F229,"")))</f>
        <v>0.18</v>
      </c>
      <c r="I229" s="37" t="n">
        <f aca="false">IF(OR($A229="",NOT(ISNUMBER($D229)),NOT(ISNUMBER($H229))),"",IF((1-$H229-Parâmetros!$B$5-Parâmetros!$C$5-Parâmetros!$D$5)&lt;=0,"INVALIDO",($D229+IF(ISNUMBER($E229),$E229,0)+IF(ISNUMBER(Parâmetros!$E$5),Parâmetros!$E$5,0))/(1-$H229-Parâmetros!$B$5-Parâmetros!$C$5-Parâmetros!$D$5)))</f>
        <v>196.857142857143</v>
      </c>
      <c r="J229" s="38"/>
      <c r="K229" s="39" t="n">
        <f aca="false">IF(OR($A229="",NOT(ISNUMBER($D229)),NOT(ISNUMBER($H229))),"",IF(AND(ISNUMBER($J229),$J229&gt;0),$J229,IF(ISNUMBER($I229),$I229,"")))</f>
        <v>196.857142857143</v>
      </c>
      <c r="L229" s="40" t="n">
        <f aca="false">IF(ISNUMBER($K229),$K229*$H229,"")</f>
        <v>35.4342857142857</v>
      </c>
      <c r="M229" s="40" t="n">
        <f aca="false">IF(ISNUMBER($K229),$K229*Parâmetros!$B$5,"")</f>
        <v>19.6857142857143</v>
      </c>
      <c r="N229" s="40" t="n">
        <f aca="false">IF(ISNUMBER($K229),$K229*Parâmetros!$C$5,"")</f>
        <v>5.90571428571429</v>
      </c>
      <c r="O229" s="40" t="n">
        <f aca="false">IF(ISNUMBER($K229),IF(ISNUMBER(Parâmetros!$E$5),Parâmetros!$E$5,0),"")</f>
        <v>0</v>
      </c>
      <c r="P229" s="41" t="n">
        <f aca="false">IF(ISNUMBER($K229),$K229-$D229-IF(ISNUMBER($E229),$E229,0)-$L229-$M229-$N229-$O229,"")</f>
        <v>39.3714285714286</v>
      </c>
      <c r="Q229" s="42" t="n">
        <f aca="false">IF(AND(ISNUMBER($K229),$K229&gt;0),$P229/$K229,"")</f>
        <v>0.2</v>
      </c>
      <c r="R229" s="43"/>
      <c r="S229" s="44" t="str">
        <f aca="false">IF(OR(NOT(ISNUMBER($R229)),$R229=0,NOT(ISNUMBER($K229))),"",$K229*(1-$R229))</f>
        <v/>
      </c>
      <c r="T229" s="45" t="str">
        <f aca="false">IF(ISNUMBER($S229),$S229*$H229,"")</f>
        <v/>
      </c>
      <c r="U229" s="45" t="str">
        <f aca="false">IF(ISNUMBER($S229),$S229*Parâmetros!$B$5,"")</f>
        <v/>
      </c>
      <c r="V229" s="45" t="str">
        <f aca="false">IF(ISNUMBER($S229),$S229*Parâmetros!$C$5,"")</f>
        <v/>
      </c>
      <c r="W229" s="44" t="str">
        <f aca="false">IF(ISNUMBER($S229),$S229-$D229-IF(ISNUMBER($E229),$E229,0)-$O229-$T229-$U229-$V229,"")</f>
        <v/>
      </c>
      <c r="X229" s="46" t="str">
        <f aca="false">IF(AND(ISNUMBER($S229),$S229&gt;0),$W229/$S229,"")</f>
        <v/>
      </c>
      <c r="Y229" s="49"/>
      <c r="Z229" s="21"/>
    </row>
    <row r="230" customFormat="false" ht="15.75" hidden="false" customHeight="true" outlineLevel="0" collapsed="false">
      <c r="A230" s="32" t="str">
        <f aca="false">IF(Produtos!$A230="","",Produtos!$A230)</f>
        <v>AQ-24B</v>
      </c>
      <c r="B230" s="32" t="str">
        <f aca="false">IF(Produtos!$A230="","",Produtos!$B230)</f>
        <v>Aro Quadrado 24cm c/Basculante</v>
      </c>
      <c r="C230" s="32" t="str">
        <f aca="false">IF(Produtos!$A230="","",Produtos!$C230)</f>
        <v>Acessórios (aros e tampas)</v>
      </c>
      <c r="D230" s="33" t="n">
        <f aca="false">IF(Produtos!$A230="","",IF(Produtos!$D230="","",Produtos!$D230))</f>
        <v>54.06</v>
      </c>
      <c r="E230" s="11"/>
      <c r="F230" s="34" t="n">
        <f aca="false">IF($A230="","",IF($C230="","⚠ categoria",IFERROR(INDEX(Parâmetros!$C$13:$C$22,MATCH($C230,Parâmetros!$A$13:$A$22,0)),"⚠ categoria")))</f>
        <v>0.18</v>
      </c>
      <c r="G230" s="35"/>
      <c r="H230" s="36" t="n">
        <f aca="false">IF($A230="","",IF(ISNUMBER($G230),$G230,IF(ISNUMBER($F230),$F230,"")))</f>
        <v>0.18</v>
      </c>
      <c r="I230" s="37" t="n">
        <f aca="false">IF(OR($A230="",NOT(ISNUMBER($D230)),NOT(ISNUMBER($H230))),"",IF((1-$H230-Parâmetros!$B$5-Parâmetros!$C$5-Parâmetros!$D$5)&lt;=0,"INVALIDO",($D230+IF(ISNUMBER($E230),$E230,0)+IF(ISNUMBER(Parâmetros!$E$5),Parâmetros!$E$5,0))/(1-$H230-Parâmetros!$B$5-Parâmetros!$C$5-Parâmetros!$D$5)))</f>
        <v>110.326530612245</v>
      </c>
      <c r="J230" s="38"/>
      <c r="K230" s="39" t="n">
        <f aca="false">IF(OR($A230="",NOT(ISNUMBER($D230)),NOT(ISNUMBER($H230))),"",IF(AND(ISNUMBER($J230),$J230&gt;0),$J230,IF(ISNUMBER($I230),$I230,"")))</f>
        <v>110.326530612245</v>
      </c>
      <c r="L230" s="40" t="n">
        <f aca="false">IF(ISNUMBER($K230),$K230*$H230,"")</f>
        <v>19.8587755102041</v>
      </c>
      <c r="M230" s="40" t="n">
        <f aca="false">IF(ISNUMBER($K230),$K230*Parâmetros!$B$5,"")</f>
        <v>11.0326530612245</v>
      </c>
      <c r="N230" s="40" t="n">
        <f aca="false">IF(ISNUMBER($K230),$K230*Parâmetros!$C$5,"")</f>
        <v>3.30979591836735</v>
      </c>
      <c r="O230" s="40" t="n">
        <f aca="false">IF(ISNUMBER($K230),IF(ISNUMBER(Parâmetros!$E$5),Parâmetros!$E$5,0),"")</f>
        <v>0</v>
      </c>
      <c r="P230" s="41" t="n">
        <f aca="false">IF(ISNUMBER($K230),$K230-$D230-IF(ISNUMBER($E230),$E230,0)-$L230-$M230-$N230-$O230,"")</f>
        <v>22.065306122449</v>
      </c>
      <c r="Q230" s="42" t="n">
        <f aca="false">IF(AND(ISNUMBER($K230),$K230&gt;0),$P230/$K230,"")</f>
        <v>0.2</v>
      </c>
      <c r="R230" s="43"/>
      <c r="S230" s="44" t="str">
        <f aca="false">IF(OR(NOT(ISNUMBER($R230)),$R230=0,NOT(ISNUMBER($K230))),"",$K230*(1-$R230))</f>
        <v/>
      </c>
      <c r="T230" s="45" t="str">
        <f aca="false">IF(ISNUMBER($S230),$S230*$H230,"")</f>
        <v/>
      </c>
      <c r="U230" s="45" t="str">
        <f aca="false">IF(ISNUMBER($S230),$S230*Parâmetros!$B$5,"")</f>
        <v/>
      </c>
      <c r="V230" s="45" t="str">
        <f aca="false">IF(ISNUMBER($S230),$S230*Parâmetros!$C$5,"")</f>
        <v/>
      </c>
      <c r="W230" s="44" t="str">
        <f aca="false">IF(ISNUMBER($S230),$S230-$D230-IF(ISNUMBER($E230),$E230,0)-$O230-$T230-$U230-$V230,"")</f>
        <v/>
      </c>
      <c r="X230" s="46" t="str">
        <f aca="false">IF(AND(ISNUMBER($S230),$S230&gt;0),$W230/$S230,"")</f>
        <v/>
      </c>
      <c r="Y230" s="47"/>
      <c r="Z230" s="19"/>
    </row>
    <row r="231" customFormat="false" ht="15.75" hidden="false" customHeight="true" outlineLevel="0" collapsed="false">
      <c r="A231" s="48" t="str">
        <f aca="false">IF(Produtos!$A231="","",Produtos!$A231)</f>
        <v>AQ-30B</v>
      </c>
      <c r="B231" s="48" t="str">
        <f aca="false">IF(Produtos!$A231="","",Produtos!$B231)</f>
        <v>Aro Quadrado 30cm c/Basculante</v>
      </c>
      <c r="C231" s="48" t="str">
        <f aca="false">IF(Produtos!$A231="","",Produtos!$C231)</f>
        <v>Acessórios (aros e tampas)</v>
      </c>
      <c r="D231" s="33" t="n">
        <f aca="false">IF(Produtos!$A231="","",IF(Produtos!$D231="","",Produtos!$D231))</f>
        <v>69.96</v>
      </c>
      <c r="E231" s="11"/>
      <c r="F231" s="34" t="n">
        <f aca="false">IF($A231="","",IF($C231="","⚠ categoria",IFERROR(INDEX(Parâmetros!$C$13:$C$22,MATCH($C231,Parâmetros!$A$13:$A$22,0)),"⚠ categoria")))</f>
        <v>0.18</v>
      </c>
      <c r="G231" s="35"/>
      <c r="H231" s="36" t="n">
        <f aca="false">IF($A231="","",IF(ISNUMBER($G231),$G231,IF(ISNUMBER($F231),$F231,"")))</f>
        <v>0.18</v>
      </c>
      <c r="I231" s="37" t="n">
        <f aca="false">IF(OR($A231="",NOT(ISNUMBER($D231)),NOT(ISNUMBER($H231))),"",IF((1-$H231-Parâmetros!$B$5-Parâmetros!$C$5-Parâmetros!$D$5)&lt;=0,"INVALIDO",($D231+IF(ISNUMBER($E231),$E231,0)+IF(ISNUMBER(Parâmetros!$E$5),Parâmetros!$E$5,0))/(1-$H231-Parâmetros!$B$5-Parâmetros!$C$5-Parâmetros!$D$5)))</f>
        <v>142.775510204082</v>
      </c>
      <c r="J231" s="38"/>
      <c r="K231" s="39" t="n">
        <f aca="false">IF(OR($A231="",NOT(ISNUMBER($D231)),NOT(ISNUMBER($H231))),"",IF(AND(ISNUMBER($J231),$J231&gt;0),$J231,IF(ISNUMBER($I231),$I231,"")))</f>
        <v>142.775510204082</v>
      </c>
      <c r="L231" s="40" t="n">
        <f aca="false">IF(ISNUMBER($K231),$K231*$H231,"")</f>
        <v>25.6995918367347</v>
      </c>
      <c r="M231" s="40" t="n">
        <f aca="false">IF(ISNUMBER($K231),$K231*Parâmetros!$B$5,"")</f>
        <v>14.2775510204082</v>
      </c>
      <c r="N231" s="40" t="n">
        <f aca="false">IF(ISNUMBER($K231),$K231*Parâmetros!$C$5,"")</f>
        <v>4.28326530612245</v>
      </c>
      <c r="O231" s="40" t="n">
        <f aca="false">IF(ISNUMBER($K231),IF(ISNUMBER(Parâmetros!$E$5),Parâmetros!$E$5,0),"")</f>
        <v>0</v>
      </c>
      <c r="P231" s="41" t="n">
        <f aca="false">IF(ISNUMBER($K231),$K231-$D231-IF(ISNUMBER($E231),$E231,0)-$L231-$M231-$N231-$O231,"")</f>
        <v>28.5551020408163</v>
      </c>
      <c r="Q231" s="42" t="n">
        <f aca="false">IF(AND(ISNUMBER($K231),$K231&gt;0),$P231/$K231,"")</f>
        <v>0.2</v>
      </c>
      <c r="R231" s="43"/>
      <c r="S231" s="44" t="str">
        <f aca="false">IF(OR(NOT(ISNUMBER($R231)),$R231=0,NOT(ISNUMBER($K231))),"",$K231*(1-$R231))</f>
        <v/>
      </c>
      <c r="T231" s="45" t="str">
        <f aca="false">IF(ISNUMBER($S231),$S231*$H231,"")</f>
        <v/>
      </c>
      <c r="U231" s="45" t="str">
        <f aca="false">IF(ISNUMBER($S231),$S231*Parâmetros!$B$5,"")</f>
        <v/>
      </c>
      <c r="V231" s="45" t="str">
        <f aca="false">IF(ISNUMBER($S231),$S231*Parâmetros!$C$5,"")</f>
        <v/>
      </c>
      <c r="W231" s="44" t="str">
        <f aca="false">IF(ISNUMBER($S231),$S231-$D231-IF(ISNUMBER($E231),$E231,0)-$O231-$T231-$U231-$V231,"")</f>
        <v/>
      </c>
      <c r="X231" s="46" t="str">
        <f aca="false">IF(AND(ISNUMBER($S231),$S231&gt;0),$W231/$S231,"")</f>
        <v/>
      </c>
      <c r="Y231" s="49"/>
      <c r="Z231" s="21"/>
    </row>
    <row r="232" customFormat="false" ht="15.75" hidden="false" customHeight="true" outlineLevel="0" collapsed="false">
      <c r="A232" s="32" t="str">
        <f aca="false">IF(Produtos!$A232="","",Produtos!$A232)</f>
        <v>AQ-40B</v>
      </c>
      <c r="B232" s="32" t="str">
        <f aca="false">IF(Produtos!$A232="","",Produtos!$B232)</f>
        <v>Aro Quadrado 40cm c/Basculante</v>
      </c>
      <c r="C232" s="32" t="str">
        <f aca="false">IF(Produtos!$A232="","",Produtos!$C232)</f>
        <v>Acessórios (aros e tampas)</v>
      </c>
      <c r="D232" s="33" t="n">
        <f aca="false">IF(Produtos!$A232="","",IF(Produtos!$D232="","",Produtos!$D232))</f>
        <v>121.9</v>
      </c>
      <c r="E232" s="11"/>
      <c r="F232" s="34" t="n">
        <f aca="false">IF($A232="","",IF($C232="","⚠ categoria",IFERROR(INDEX(Parâmetros!$C$13:$C$22,MATCH($C232,Parâmetros!$A$13:$A$22,0)),"⚠ categoria")))</f>
        <v>0.18</v>
      </c>
      <c r="G232" s="35"/>
      <c r="H232" s="36" t="n">
        <f aca="false">IF($A232="","",IF(ISNUMBER($G232),$G232,IF(ISNUMBER($F232),$F232,"")))</f>
        <v>0.18</v>
      </c>
      <c r="I232" s="37" t="n">
        <f aca="false">IF(OR($A232="",NOT(ISNUMBER($D232)),NOT(ISNUMBER($H232))),"",IF((1-$H232-Parâmetros!$B$5-Parâmetros!$C$5-Parâmetros!$D$5)&lt;=0,"INVALIDO",($D232+IF(ISNUMBER($E232),$E232,0)+IF(ISNUMBER(Parâmetros!$E$5),Parâmetros!$E$5,0))/(1-$H232-Parâmetros!$B$5-Parâmetros!$C$5-Parâmetros!$D$5)))</f>
        <v>248.775510204082</v>
      </c>
      <c r="J232" s="38"/>
      <c r="K232" s="39" t="n">
        <f aca="false">IF(OR($A232="",NOT(ISNUMBER($D232)),NOT(ISNUMBER($H232))),"",IF(AND(ISNUMBER($J232),$J232&gt;0),$J232,IF(ISNUMBER($I232),$I232,"")))</f>
        <v>248.775510204082</v>
      </c>
      <c r="L232" s="40" t="n">
        <f aca="false">IF(ISNUMBER($K232),$K232*$H232,"")</f>
        <v>44.7795918367347</v>
      </c>
      <c r="M232" s="40" t="n">
        <f aca="false">IF(ISNUMBER($K232),$K232*Parâmetros!$B$5,"")</f>
        <v>24.8775510204082</v>
      </c>
      <c r="N232" s="40" t="n">
        <f aca="false">IF(ISNUMBER($K232),$K232*Parâmetros!$C$5,"")</f>
        <v>7.46326530612245</v>
      </c>
      <c r="O232" s="40" t="n">
        <f aca="false">IF(ISNUMBER($K232),IF(ISNUMBER(Parâmetros!$E$5),Parâmetros!$E$5,0),"")</f>
        <v>0</v>
      </c>
      <c r="P232" s="41" t="n">
        <f aca="false">IF(ISNUMBER($K232),$K232-$D232-IF(ISNUMBER($E232),$E232,0)-$L232-$M232-$N232-$O232,"")</f>
        <v>49.7551020408163</v>
      </c>
      <c r="Q232" s="42" t="n">
        <f aca="false">IF(AND(ISNUMBER($K232),$K232&gt;0),$P232/$K232,"")</f>
        <v>0.2</v>
      </c>
      <c r="R232" s="43"/>
      <c r="S232" s="44" t="str">
        <f aca="false">IF(OR(NOT(ISNUMBER($R232)),$R232=0,NOT(ISNUMBER($K232))),"",$K232*(1-$R232))</f>
        <v/>
      </c>
      <c r="T232" s="45" t="str">
        <f aca="false">IF(ISNUMBER($S232),$S232*$H232,"")</f>
        <v/>
      </c>
      <c r="U232" s="45" t="str">
        <f aca="false">IF(ISNUMBER($S232),$S232*Parâmetros!$B$5,"")</f>
        <v/>
      </c>
      <c r="V232" s="45" t="str">
        <f aca="false">IF(ISNUMBER($S232),$S232*Parâmetros!$C$5,"")</f>
        <v/>
      </c>
      <c r="W232" s="44" t="str">
        <f aca="false">IF(ISNUMBER($S232),$S232-$D232-IF(ISNUMBER($E232),$E232,0)-$O232-$T232-$U232-$V232,"")</f>
        <v/>
      </c>
      <c r="X232" s="46" t="str">
        <f aca="false">IF(AND(ISNUMBER($S232),$S232&gt;0),$W232/$S232,"")</f>
        <v/>
      </c>
      <c r="Y232" s="47"/>
      <c r="Z232" s="19"/>
    </row>
    <row r="233" customFormat="false" ht="15.75" hidden="false" customHeight="true" outlineLevel="0" collapsed="false">
      <c r="A233" s="48" t="str">
        <f aca="false">IF(Produtos!$A233="","",Produtos!$A233)</f>
        <v>AQ-24C</v>
      </c>
      <c r="B233" s="48" t="str">
        <f aca="false">IF(Produtos!$A233="","",Produtos!$B233)</f>
        <v>Aro Quadrado 24cm Pintado</v>
      </c>
      <c r="C233" s="48" t="str">
        <f aca="false">IF(Produtos!$A233="","",Produtos!$C233)</f>
        <v>Acessórios (aros e tampas)</v>
      </c>
      <c r="D233" s="33" t="n">
        <f aca="false">IF(Produtos!$A233="","",IF(Produtos!$D233="","",Produtos!$D233))</f>
        <v>45.58</v>
      </c>
      <c r="E233" s="11"/>
      <c r="F233" s="34" t="n">
        <f aca="false">IF($A233="","",IF($C233="","⚠ categoria",IFERROR(INDEX(Parâmetros!$C$13:$C$22,MATCH($C233,Parâmetros!$A$13:$A$22,0)),"⚠ categoria")))</f>
        <v>0.18</v>
      </c>
      <c r="G233" s="35"/>
      <c r="H233" s="36" t="n">
        <f aca="false">IF($A233="","",IF(ISNUMBER($G233),$G233,IF(ISNUMBER($F233),$F233,"")))</f>
        <v>0.18</v>
      </c>
      <c r="I233" s="37" t="n">
        <f aca="false">IF(OR($A233="",NOT(ISNUMBER($D233)),NOT(ISNUMBER($H233))),"",IF((1-$H233-Parâmetros!$B$5-Parâmetros!$C$5-Parâmetros!$D$5)&lt;=0,"INVALIDO",($D233+IF(ISNUMBER($E233),$E233,0)+IF(ISNUMBER(Parâmetros!$E$5),Parâmetros!$E$5,0))/(1-$H233-Parâmetros!$B$5-Parâmetros!$C$5-Parâmetros!$D$5)))</f>
        <v>93.0204081632653</v>
      </c>
      <c r="J233" s="38"/>
      <c r="K233" s="39" t="n">
        <f aca="false">IF(OR($A233="",NOT(ISNUMBER($D233)),NOT(ISNUMBER($H233))),"",IF(AND(ISNUMBER($J233),$J233&gt;0),$J233,IF(ISNUMBER($I233),$I233,"")))</f>
        <v>93.0204081632653</v>
      </c>
      <c r="L233" s="40" t="n">
        <f aca="false">IF(ISNUMBER($K233),$K233*$H233,"")</f>
        <v>16.7436734693878</v>
      </c>
      <c r="M233" s="40" t="n">
        <f aca="false">IF(ISNUMBER($K233),$K233*Parâmetros!$B$5,"")</f>
        <v>9.30204081632653</v>
      </c>
      <c r="N233" s="40" t="n">
        <f aca="false">IF(ISNUMBER($K233),$K233*Parâmetros!$C$5,"")</f>
        <v>2.79061224489796</v>
      </c>
      <c r="O233" s="40" t="n">
        <f aca="false">IF(ISNUMBER($K233),IF(ISNUMBER(Parâmetros!$E$5),Parâmetros!$E$5,0),"")</f>
        <v>0</v>
      </c>
      <c r="P233" s="41" t="n">
        <f aca="false">IF(ISNUMBER($K233),$K233-$D233-IF(ISNUMBER($E233),$E233,0)-$L233-$M233-$N233-$O233,"")</f>
        <v>18.6040816326531</v>
      </c>
      <c r="Q233" s="42" t="n">
        <f aca="false">IF(AND(ISNUMBER($K233),$K233&gt;0),$P233/$K233,"")</f>
        <v>0.2</v>
      </c>
      <c r="R233" s="43"/>
      <c r="S233" s="44" t="str">
        <f aca="false">IF(OR(NOT(ISNUMBER($R233)),$R233=0,NOT(ISNUMBER($K233))),"",$K233*(1-$R233))</f>
        <v/>
      </c>
      <c r="T233" s="45" t="str">
        <f aca="false">IF(ISNUMBER($S233),$S233*$H233,"")</f>
        <v/>
      </c>
      <c r="U233" s="45" t="str">
        <f aca="false">IF(ISNUMBER($S233),$S233*Parâmetros!$B$5,"")</f>
        <v/>
      </c>
      <c r="V233" s="45" t="str">
        <f aca="false">IF(ISNUMBER($S233),$S233*Parâmetros!$C$5,"")</f>
        <v/>
      </c>
      <c r="W233" s="44" t="str">
        <f aca="false">IF(ISNUMBER($S233),$S233-$D233-IF(ISNUMBER($E233),$E233,0)-$O233-$T233-$U233-$V233,"")</f>
        <v/>
      </c>
      <c r="X233" s="46" t="str">
        <f aca="false">IF(AND(ISNUMBER($S233),$S233&gt;0),$W233/$S233,"")</f>
        <v/>
      </c>
      <c r="Y233" s="49"/>
      <c r="Z233" s="21"/>
    </row>
    <row r="234" customFormat="false" ht="15.75" hidden="false" customHeight="true" outlineLevel="0" collapsed="false">
      <c r="A234" s="32" t="str">
        <f aca="false">IF(Produtos!$A234="","",Produtos!$A234)</f>
        <v>AQ-30C</v>
      </c>
      <c r="B234" s="32" t="str">
        <f aca="false">IF(Produtos!$A234="","",Produtos!$B234)</f>
        <v>Aro Quadrado 30cm Pintado</v>
      </c>
      <c r="C234" s="32" t="str">
        <f aca="false">IF(Produtos!$A234="","",Produtos!$C234)</f>
        <v>Acessórios (aros e tampas)</v>
      </c>
      <c r="D234" s="33" t="n">
        <f aca="false">IF(Produtos!$A234="","",IF(Produtos!$D234="","",Produtos!$D234))</f>
        <v>53</v>
      </c>
      <c r="E234" s="11"/>
      <c r="F234" s="34" t="n">
        <f aca="false">IF($A234="","",IF($C234="","⚠ categoria",IFERROR(INDEX(Parâmetros!$C$13:$C$22,MATCH($C234,Parâmetros!$A$13:$A$22,0)),"⚠ categoria")))</f>
        <v>0.18</v>
      </c>
      <c r="G234" s="35"/>
      <c r="H234" s="36" t="n">
        <f aca="false">IF($A234="","",IF(ISNUMBER($G234),$G234,IF(ISNUMBER($F234),$F234,"")))</f>
        <v>0.18</v>
      </c>
      <c r="I234" s="37" t="n">
        <f aca="false">IF(OR($A234="",NOT(ISNUMBER($D234)),NOT(ISNUMBER($H234))),"",IF((1-$H234-Parâmetros!$B$5-Parâmetros!$C$5-Parâmetros!$D$5)&lt;=0,"INVALIDO",($D234+IF(ISNUMBER($E234),$E234,0)+IF(ISNUMBER(Parâmetros!$E$5),Parâmetros!$E$5,0))/(1-$H234-Parâmetros!$B$5-Parâmetros!$C$5-Parâmetros!$D$5)))</f>
        <v>108.163265306122</v>
      </c>
      <c r="J234" s="38"/>
      <c r="K234" s="39" t="n">
        <f aca="false">IF(OR($A234="",NOT(ISNUMBER($D234)),NOT(ISNUMBER($H234))),"",IF(AND(ISNUMBER($J234),$J234&gt;0),$J234,IF(ISNUMBER($I234),$I234,"")))</f>
        <v>108.163265306122</v>
      </c>
      <c r="L234" s="40" t="n">
        <f aca="false">IF(ISNUMBER($K234),$K234*$H234,"")</f>
        <v>19.469387755102</v>
      </c>
      <c r="M234" s="40" t="n">
        <f aca="false">IF(ISNUMBER($K234),$K234*Parâmetros!$B$5,"")</f>
        <v>10.8163265306122</v>
      </c>
      <c r="N234" s="40" t="n">
        <f aca="false">IF(ISNUMBER($K234),$K234*Parâmetros!$C$5,"")</f>
        <v>3.24489795918367</v>
      </c>
      <c r="O234" s="40" t="n">
        <f aca="false">IF(ISNUMBER($K234),IF(ISNUMBER(Parâmetros!$E$5),Parâmetros!$E$5,0),"")</f>
        <v>0</v>
      </c>
      <c r="P234" s="41" t="n">
        <f aca="false">IF(ISNUMBER($K234),$K234-$D234-IF(ISNUMBER($E234),$E234,0)-$L234-$M234-$N234-$O234,"")</f>
        <v>21.6326530612245</v>
      </c>
      <c r="Q234" s="42" t="n">
        <f aca="false">IF(AND(ISNUMBER($K234),$K234&gt;0),$P234/$K234,"")</f>
        <v>0.2</v>
      </c>
      <c r="R234" s="43"/>
      <c r="S234" s="44" t="str">
        <f aca="false">IF(OR(NOT(ISNUMBER($R234)),$R234=0,NOT(ISNUMBER($K234))),"",$K234*(1-$R234))</f>
        <v/>
      </c>
      <c r="T234" s="45" t="str">
        <f aca="false">IF(ISNUMBER($S234),$S234*$H234,"")</f>
        <v/>
      </c>
      <c r="U234" s="45" t="str">
        <f aca="false">IF(ISNUMBER($S234),$S234*Parâmetros!$B$5,"")</f>
        <v/>
      </c>
      <c r="V234" s="45" t="str">
        <f aca="false">IF(ISNUMBER($S234),$S234*Parâmetros!$C$5,"")</f>
        <v/>
      </c>
      <c r="W234" s="44" t="str">
        <f aca="false">IF(ISNUMBER($S234),$S234-$D234-IF(ISNUMBER($E234),$E234,0)-$O234-$T234-$U234-$V234,"")</f>
        <v/>
      </c>
      <c r="X234" s="46" t="str">
        <f aca="false">IF(AND(ISNUMBER($S234),$S234&gt;0),$W234/$S234,"")</f>
        <v/>
      </c>
      <c r="Y234" s="47"/>
      <c r="Z234" s="19"/>
    </row>
    <row r="235" customFormat="false" ht="15.75" hidden="false" customHeight="true" outlineLevel="0" collapsed="false">
      <c r="A235" s="48" t="str">
        <f aca="false">IF(Produtos!$A235="","",Produtos!$A235)</f>
        <v>AQ-40C</v>
      </c>
      <c r="B235" s="48" t="str">
        <f aca="false">IF(Produtos!$A235="","",Produtos!$B235)</f>
        <v>Aro Quadrado 40cm Pintado</v>
      </c>
      <c r="C235" s="48" t="str">
        <f aca="false">IF(Produtos!$A235="","",Produtos!$C235)</f>
        <v>Acessórios (aros e tampas)</v>
      </c>
      <c r="D235" s="33" t="n">
        <f aca="false">IF(Produtos!$A235="","",IF(Produtos!$D235="","",Produtos!$D235))</f>
        <v>104.94</v>
      </c>
      <c r="E235" s="11"/>
      <c r="F235" s="34" t="n">
        <f aca="false">IF($A235="","",IF($C235="","⚠ categoria",IFERROR(INDEX(Parâmetros!$C$13:$C$22,MATCH($C235,Parâmetros!$A$13:$A$22,0)),"⚠ categoria")))</f>
        <v>0.18</v>
      </c>
      <c r="G235" s="35"/>
      <c r="H235" s="36" t="n">
        <f aca="false">IF($A235="","",IF(ISNUMBER($G235),$G235,IF(ISNUMBER($F235),$F235,"")))</f>
        <v>0.18</v>
      </c>
      <c r="I235" s="37" t="n">
        <f aca="false">IF(OR($A235="",NOT(ISNUMBER($D235)),NOT(ISNUMBER($H235))),"",IF((1-$H235-Parâmetros!$B$5-Parâmetros!$C$5-Parâmetros!$D$5)&lt;=0,"INVALIDO",($D235+IF(ISNUMBER($E235),$E235,0)+IF(ISNUMBER(Parâmetros!$E$5),Parâmetros!$E$5,0))/(1-$H235-Parâmetros!$B$5-Parâmetros!$C$5-Parâmetros!$D$5)))</f>
        <v>214.163265306122</v>
      </c>
      <c r="J235" s="38"/>
      <c r="K235" s="39" t="n">
        <f aca="false">IF(OR($A235="",NOT(ISNUMBER($D235)),NOT(ISNUMBER($H235))),"",IF(AND(ISNUMBER($J235),$J235&gt;0),$J235,IF(ISNUMBER($I235),$I235,"")))</f>
        <v>214.163265306122</v>
      </c>
      <c r="L235" s="40" t="n">
        <f aca="false">IF(ISNUMBER($K235),$K235*$H235,"")</f>
        <v>38.549387755102</v>
      </c>
      <c r="M235" s="40" t="n">
        <f aca="false">IF(ISNUMBER($K235),$K235*Parâmetros!$B$5,"")</f>
        <v>21.4163265306122</v>
      </c>
      <c r="N235" s="40" t="n">
        <f aca="false">IF(ISNUMBER($K235),$K235*Parâmetros!$C$5,"")</f>
        <v>6.42489795918367</v>
      </c>
      <c r="O235" s="40" t="n">
        <f aca="false">IF(ISNUMBER($K235),IF(ISNUMBER(Parâmetros!$E$5),Parâmetros!$E$5,0),"")</f>
        <v>0</v>
      </c>
      <c r="P235" s="41" t="n">
        <f aca="false">IF(ISNUMBER($K235),$K235-$D235-IF(ISNUMBER($E235),$E235,0)-$L235-$M235-$N235-$O235,"")</f>
        <v>42.8326530612245</v>
      </c>
      <c r="Q235" s="42" t="n">
        <f aca="false">IF(AND(ISNUMBER($K235),$K235&gt;0),$P235/$K235,"")</f>
        <v>0.2</v>
      </c>
      <c r="R235" s="43"/>
      <c r="S235" s="44" t="str">
        <f aca="false">IF(OR(NOT(ISNUMBER($R235)),$R235=0,NOT(ISNUMBER($K235))),"",$K235*(1-$R235))</f>
        <v/>
      </c>
      <c r="T235" s="45" t="str">
        <f aca="false">IF(ISNUMBER($S235),$S235*$H235,"")</f>
        <v/>
      </c>
      <c r="U235" s="45" t="str">
        <f aca="false">IF(ISNUMBER($S235),$S235*Parâmetros!$B$5,"")</f>
        <v/>
      </c>
      <c r="V235" s="45" t="str">
        <f aca="false">IF(ISNUMBER($S235),$S235*Parâmetros!$C$5,"")</f>
        <v/>
      </c>
      <c r="W235" s="44" t="str">
        <f aca="false">IF(ISNUMBER($S235),$S235-$D235-IF(ISNUMBER($E235),$E235,0)-$O235-$T235-$U235-$V235,"")</f>
        <v/>
      </c>
      <c r="X235" s="46" t="str">
        <f aca="false">IF(AND(ISNUMBER($S235),$S235&gt;0),$W235/$S235,"")</f>
        <v/>
      </c>
      <c r="Y235" s="49"/>
      <c r="Z235" s="21"/>
    </row>
    <row r="236" customFormat="false" ht="15.75" hidden="false" customHeight="true" outlineLevel="0" collapsed="false">
      <c r="A236" s="32" t="str">
        <f aca="false">IF(Produtos!$A236="","",Produtos!$A236)</f>
        <v>AQ-24BC</v>
      </c>
      <c r="B236" s="32" t="str">
        <f aca="false">IF(Produtos!$A236="","",Produtos!$B236)</f>
        <v>Aro Quadrado 24cm c/Basculante Pintado</v>
      </c>
      <c r="C236" s="32" t="str">
        <f aca="false">IF(Produtos!$A236="","",Produtos!$C236)</f>
        <v>Acessórios (aros e tampas)</v>
      </c>
      <c r="D236" s="33" t="n">
        <f aca="false">IF(Produtos!$A236="","",IF(Produtos!$D236="","",Produtos!$D236))</f>
        <v>64.66</v>
      </c>
      <c r="E236" s="11"/>
      <c r="F236" s="34" t="n">
        <f aca="false">IF($A236="","",IF($C236="","⚠ categoria",IFERROR(INDEX(Parâmetros!$C$13:$C$22,MATCH($C236,Parâmetros!$A$13:$A$22,0)),"⚠ categoria")))</f>
        <v>0.18</v>
      </c>
      <c r="G236" s="35"/>
      <c r="H236" s="36" t="n">
        <f aca="false">IF($A236="","",IF(ISNUMBER($G236),$G236,IF(ISNUMBER($F236),$F236,"")))</f>
        <v>0.18</v>
      </c>
      <c r="I236" s="37" t="n">
        <f aca="false">IF(OR($A236="",NOT(ISNUMBER($D236)),NOT(ISNUMBER($H236))),"",IF((1-$H236-Parâmetros!$B$5-Parâmetros!$C$5-Parâmetros!$D$5)&lt;=0,"INVALIDO",($D236+IF(ISNUMBER($E236),$E236,0)+IF(ISNUMBER(Parâmetros!$E$5),Parâmetros!$E$5,0))/(1-$H236-Parâmetros!$B$5-Parâmetros!$C$5-Parâmetros!$D$5)))</f>
        <v>131.959183673469</v>
      </c>
      <c r="J236" s="38"/>
      <c r="K236" s="39" t="n">
        <f aca="false">IF(OR($A236="",NOT(ISNUMBER($D236)),NOT(ISNUMBER($H236))),"",IF(AND(ISNUMBER($J236),$J236&gt;0),$J236,IF(ISNUMBER($I236),$I236,"")))</f>
        <v>131.959183673469</v>
      </c>
      <c r="L236" s="40" t="n">
        <f aca="false">IF(ISNUMBER($K236),$K236*$H236,"")</f>
        <v>23.7526530612245</v>
      </c>
      <c r="M236" s="40" t="n">
        <f aca="false">IF(ISNUMBER($K236),$K236*Parâmetros!$B$5,"")</f>
        <v>13.1959183673469</v>
      </c>
      <c r="N236" s="40" t="n">
        <f aca="false">IF(ISNUMBER($K236),$K236*Parâmetros!$C$5,"")</f>
        <v>3.95877551020408</v>
      </c>
      <c r="O236" s="40" t="n">
        <f aca="false">IF(ISNUMBER($K236),IF(ISNUMBER(Parâmetros!$E$5),Parâmetros!$E$5,0),"")</f>
        <v>0</v>
      </c>
      <c r="P236" s="41" t="n">
        <f aca="false">IF(ISNUMBER($K236),$K236-$D236-IF(ISNUMBER($E236),$E236,0)-$L236-$M236-$N236-$O236,"")</f>
        <v>26.3918367346939</v>
      </c>
      <c r="Q236" s="42" t="n">
        <f aca="false">IF(AND(ISNUMBER($K236),$K236&gt;0),$P236/$K236,"")</f>
        <v>0.2</v>
      </c>
      <c r="R236" s="43"/>
      <c r="S236" s="44" t="str">
        <f aca="false">IF(OR(NOT(ISNUMBER($R236)),$R236=0,NOT(ISNUMBER($K236))),"",$K236*(1-$R236))</f>
        <v/>
      </c>
      <c r="T236" s="45" t="str">
        <f aca="false">IF(ISNUMBER($S236),$S236*$H236,"")</f>
        <v/>
      </c>
      <c r="U236" s="45" t="str">
        <f aca="false">IF(ISNUMBER($S236),$S236*Parâmetros!$B$5,"")</f>
        <v/>
      </c>
      <c r="V236" s="45" t="str">
        <f aca="false">IF(ISNUMBER($S236),$S236*Parâmetros!$C$5,"")</f>
        <v/>
      </c>
      <c r="W236" s="44" t="str">
        <f aca="false">IF(ISNUMBER($S236),$S236-$D236-IF(ISNUMBER($E236),$E236,0)-$O236-$T236-$U236-$V236,"")</f>
        <v/>
      </c>
      <c r="X236" s="46" t="str">
        <f aca="false">IF(AND(ISNUMBER($S236),$S236&gt;0),$W236/$S236,"")</f>
        <v/>
      </c>
      <c r="Y236" s="47"/>
      <c r="Z236" s="19"/>
    </row>
    <row r="237" customFormat="false" ht="15.75" hidden="false" customHeight="true" outlineLevel="0" collapsed="false">
      <c r="A237" s="48" t="str">
        <f aca="false">IF(Produtos!$A237="","",Produtos!$A237)</f>
        <v>AQ-30BC</v>
      </c>
      <c r="B237" s="48" t="str">
        <f aca="false">IF(Produtos!$A237="","",Produtos!$B237)</f>
        <v>Aro Quadrado 30cm c/Basculante Pintado</v>
      </c>
      <c r="C237" s="48" t="str">
        <f aca="false">IF(Produtos!$A237="","",Produtos!$C237)</f>
        <v>Acessórios (aros e tampas)</v>
      </c>
      <c r="D237" s="33" t="n">
        <f aca="false">IF(Produtos!$A237="","",IF(Produtos!$D237="","",Produtos!$D237))</f>
        <v>80.56</v>
      </c>
      <c r="E237" s="11"/>
      <c r="F237" s="34" t="n">
        <f aca="false">IF($A237="","",IF($C237="","⚠ categoria",IFERROR(INDEX(Parâmetros!$C$13:$C$22,MATCH($C237,Parâmetros!$A$13:$A$22,0)),"⚠ categoria")))</f>
        <v>0.18</v>
      </c>
      <c r="G237" s="35"/>
      <c r="H237" s="36" t="n">
        <f aca="false">IF($A237="","",IF(ISNUMBER($G237),$G237,IF(ISNUMBER($F237),$F237,"")))</f>
        <v>0.18</v>
      </c>
      <c r="I237" s="37" t="n">
        <f aca="false">IF(OR($A237="",NOT(ISNUMBER($D237)),NOT(ISNUMBER($H237))),"",IF((1-$H237-Parâmetros!$B$5-Parâmetros!$C$5-Parâmetros!$D$5)&lt;=0,"INVALIDO",($D237+IF(ISNUMBER($E237),$E237,0)+IF(ISNUMBER(Parâmetros!$E$5),Parâmetros!$E$5,0))/(1-$H237-Parâmetros!$B$5-Parâmetros!$C$5-Parâmetros!$D$5)))</f>
        <v>164.408163265306</v>
      </c>
      <c r="J237" s="38"/>
      <c r="K237" s="39" t="n">
        <f aca="false">IF(OR($A237="",NOT(ISNUMBER($D237)),NOT(ISNUMBER($H237))),"",IF(AND(ISNUMBER($J237),$J237&gt;0),$J237,IF(ISNUMBER($I237),$I237,"")))</f>
        <v>164.408163265306</v>
      </c>
      <c r="L237" s="40" t="n">
        <f aca="false">IF(ISNUMBER($K237),$K237*$H237,"")</f>
        <v>29.5934693877551</v>
      </c>
      <c r="M237" s="40" t="n">
        <f aca="false">IF(ISNUMBER($K237),$K237*Parâmetros!$B$5,"")</f>
        <v>16.4408163265306</v>
      </c>
      <c r="N237" s="40" t="n">
        <f aca="false">IF(ISNUMBER($K237),$K237*Parâmetros!$C$5,"")</f>
        <v>4.93224489795918</v>
      </c>
      <c r="O237" s="40" t="n">
        <f aca="false">IF(ISNUMBER($K237),IF(ISNUMBER(Parâmetros!$E$5),Parâmetros!$E$5,0),"")</f>
        <v>0</v>
      </c>
      <c r="P237" s="41" t="n">
        <f aca="false">IF(ISNUMBER($K237),$K237-$D237-IF(ISNUMBER($E237),$E237,0)-$L237-$M237-$N237-$O237,"")</f>
        <v>32.8816326530612</v>
      </c>
      <c r="Q237" s="42" t="n">
        <f aca="false">IF(AND(ISNUMBER($K237),$K237&gt;0),$P237/$K237,"")</f>
        <v>0.2</v>
      </c>
      <c r="R237" s="43"/>
      <c r="S237" s="44" t="str">
        <f aca="false">IF(OR(NOT(ISNUMBER($R237)),$R237=0,NOT(ISNUMBER($K237))),"",$K237*(1-$R237))</f>
        <v/>
      </c>
      <c r="T237" s="45" t="str">
        <f aca="false">IF(ISNUMBER($S237),$S237*$H237,"")</f>
        <v/>
      </c>
      <c r="U237" s="45" t="str">
        <f aca="false">IF(ISNUMBER($S237),$S237*Parâmetros!$B$5,"")</f>
        <v/>
      </c>
      <c r="V237" s="45" t="str">
        <f aca="false">IF(ISNUMBER($S237),$S237*Parâmetros!$C$5,"")</f>
        <v/>
      </c>
      <c r="W237" s="44" t="str">
        <f aca="false">IF(ISNUMBER($S237),$S237-$D237-IF(ISNUMBER($E237),$E237,0)-$O237-$T237-$U237-$V237,"")</f>
        <v/>
      </c>
      <c r="X237" s="46" t="str">
        <f aca="false">IF(AND(ISNUMBER($S237),$S237&gt;0),$W237/$S237,"")</f>
        <v/>
      </c>
      <c r="Y237" s="49"/>
      <c r="Z237" s="21"/>
    </row>
    <row r="238" customFormat="false" ht="15.75" hidden="false" customHeight="true" outlineLevel="0" collapsed="false">
      <c r="A238" s="32" t="str">
        <f aca="false">IF(Produtos!$A238="","",Produtos!$A238)</f>
        <v>AQ-40BC</v>
      </c>
      <c r="B238" s="32" t="str">
        <f aca="false">IF(Produtos!$A238="","",Produtos!$B238)</f>
        <v>Aro Quadrado 40cm c/Basculante Pintado</v>
      </c>
      <c r="C238" s="32" t="str">
        <f aca="false">IF(Produtos!$A238="","",Produtos!$C238)</f>
        <v>Acessórios (aros e tampas)</v>
      </c>
      <c r="D238" s="33" t="n">
        <f aca="false">IF(Produtos!$A238="","",IF(Produtos!$D238="","",Produtos!$D238))</f>
        <v>132.5</v>
      </c>
      <c r="E238" s="11"/>
      <c r="F238" s="34" t="n">
        <f aca="false">IF($A238="","",IF($C238="","⚠ categoria",IFERROR(INDEX(Parâmetros!$C$13:$C$22,MATCH($C238,Parâmetros!$A$13:$A$22,0)),"⚠ categoria")))</f>
        <v>0.18</v>
      </c>
      <c r="G238" s="35"/>
      <c r="H238" s="36" t="n">
        <f aca="false">IF($A238="","",IF(ISNUMBER($G238),$G238,IF(ISNUMBER($F238),$F238,"")))</f>
        <v>0.18</v>
      </c>
      <c r="I238" s="37" t="n">
        <f aca="false">IF(OR($A238="",NOT(ISNUMBER($D238)),NOT(ISNUMBER($H238))),"",IF((1-$H238-Parâmetros!$B$5-Parâmetros!$C$5-Parâmetros!$D$5)&lt;=0,"INVALIDO",($D238+IF(ISNUMBER($E238),$E238,0)+IF(ISNUMBER(Parâmetros!$E$5),Parâmetros!$E$5,0))/(1-$H238-Parâmetros!$B$5-Parâmetros!$C$5-Parâmetros!$D$5)))</f>
        <v>270.408163265306</v>
      </c>
      <c r="J238" s="38"/>
      <c r="K238" s="39" t="n">
        <f aca="false">IF(OR($A238="",NOT(ISNUMBER($D238)),NOT(ISNUMBER($H238))),"",IF(AND(ISNUMBER($J238),$J238&gt;0),$J238,IF(ISNUMBER($I238),$I238,"")))</f>
        <v>270.408163265306</v>
      </c>
      <c r="L238" s="40" t="n">
        <f aca="false">IF(ISNUMBER($K238),$K238*$H238,"")</f>
        <v>48.6734693877551</v>
      </c>
      <c r="M238" s="40" t="n">
        <f aca="false">IF(ISNUMBER($K238),$K238*Parâmetros!$B$5,"")</f>
        <v>27.0408163265306</v>
      </c>
      <c r="N238" s="40" t="n">
        <f aca="false">IF(ISNUMBER($K238),$K238*Parâmetros!$C$5,"")</f>
        <v>8.11224489795918</v>
      </c>
      <c r="O238" s="40" t="n">
        <f aca="false">IF(ISNUMBER($K238),IF(ISNUMBER(Parâmetros!$E$5),Parâmetros!$E$5,0),"")</f>
        <v>0</v>
      </c>
      <c r="P238" s="41" t="n">
        <f aca="false">IF(ISNUMBER($K238),$K238-$D238-IF(ISNUMBER($E238),$E238,0)-$L238-$M238-$N238-$O238,"")</f>
        <v>54.0816326530612</v>
      </c>
      <c r="Q238" s="42" t="n">
        <f aca="false">IF(AND(ISNUMBER($K238),$K238&gt;0),$P238/$K238,"")</f>
        <v>0.2</v>
      </c>
      <c r="R238" s="43"/>
      <c r="S238" s="44" t="str">
        <f aca="false">IF(OR(NOT(ISNUMBER($R238)),$R238=0,NOT(ISNUMBER($K238))),"",$K238*(1-$R238))</f>
        <v/>
      </c>
      <c r="T238" s="45" t="str">
        <f aca="false">IF(ISNUMBER($S238),$S238*$H238,"")</f>
        <v/>
      </c>
      <c r="U238" s="45" t="str">
        <f aca="false">IF(ISNUMBER($S238),$S238*Parâmetros!$B$5,"")</f>
        <v/>
      </c>
      <c r="V238" s="45" t="str">
        <f aca="false">IF(ISNUMBER($S238),$S238*Parâmetros!$C$5,"")</f>
        <v/>
      </c>
      <c r="W238" s="44" t="str">
        <f aca="false">IF(ISNUMBER($S238),$S238-$D238-IF(ISNUMBER($E238),$E238,0)-$O238-$T238-$U238-$V238,"")</f>
        <v/>
      </c>
      <c r="X238" s="46" t="str">
        <f aca="false">IF(AND(ISNUMBER($S238),$S238&gt;0),$W238/$S238,"")</f>
        <v/>
      </c>
      <c r="Y238" s="47"/>
      <c r="Z238" s="19"/>
    </row>
    <row r="239" customFormat="false" ht="15.75" hidden="false" customHeight="true" outlineLevel="0" collapsed="false">
      <c r="A239" s="48" t="str">
        <f aca="false">IF(Produtos!$A239="","",Produtos!$A239)</f>
        <v>PXP</v>
      </c>
      <c r="B239" s="48" t="str">
        <f aca="false">IF(Produtos!$A239="","",Produtos!$B239)</f>
        <v>Porta Extintor 160x310</v>
      </c>
      <c r="C239" s="48" t="str">
        <f aca="false">IF(Produtos!$A239="","",Produtos!$C239)</f>
        <v>Porta-extintores</v>
      </c>
      <c r="D239" s="33" t="n">
        <f aca="false">IF(Produtos!$A239="","",IF(Produtos!$D239="","",Produtos!$D239))</f>
        <v>84.79</v>
      </c>
      <c r="E239" s="11" t="n">
        <v>25.55</v>
      </c>
      <c r="F239" s="34" t="n">
        <f aca="false">IF($A239="","",IF($C239="","⚠ categoria",IFERROR(INDEX(Parâmetros!$C$13:$C$22,MATCH($C239,Parâmetros!$A$13:$A$22,0)),"⚠ categoria")))</f>
        <v>0.18</v>
      </c>
      <c r="G239" s="35" t="n">
        <v>0.135</v>
      </c>
      <c r="H239" s="36" t="n">
        <f aca="false">IF($A239="","",IF(ISNUMBER($G239),$G239,IF(ISNUMBER($F239),$F239,"")))</f>
        <v>0.135</v>
      </c>
      <c r="I239" s="37" t="n">
        <f aca="false">IF(OR($A239="",NOT(ISNUMBER($D239)),NOT(ISNUMBER($H239))),"",IF((1-$H239-Parâmetros!$B$5-Parâmetros!$C$5-Parâmetros!$D$5)&lt;=0,"INVALIDO",($D239+IF(ISNUMBER($E239),$E239,0)+IF(ISNUMBER(Parâmetros!$E$5),Parâmetros!$E$5,0))/(1-$H239-Parâmetros!$B$5-Parâmetros!$C$5-Parâmetros!$D$5)))</f>
        <v>206.242990654206</v>
      </c>
      <c r="J239" s="38" t="n">
        <v>209.9</v>
      </c>
      <c r="K239" s="39" t="n">
        <f aca="false">IF(OR($A239="",NOT(ISNUMBER($D239)),NOT(ISNUMBER($H239))),"",IF(AND(ISNUMBER($J239),$J239&gt;0),$J239,IF(ISNUMBER($I239),$I239,"")))</f>
        <v>209.9</v>
      </c>
      <c r="L239" s="40" t="n">
        <f aca="false">IF(ISNUMBER($K239),$K239*$H239,"")</f>
        <v>28.3365</v>
      </c>
      <c r="M239" s="40" t="n">
        <f aca="false">IF(ISNUMBER($K239),$K239*Parâmetros!$B$5,"")</f>
        <v>20.99</v>
      </c>
      <c r="N239" s="40" t="n">
        <f aca="false">IF(ISNUMBER($K239),$K239*Parâmetros!$C$5,"")</f>
        <v>6.297</v>
      </c>
      <c r="O239" s="40" t="n">
        <f aca="false">IF(ISNUMBER($K239),IF(ISNUMBER(Parâmetros!$E$5),Parâmetros!$E$5,0),"")</f>
        <v>0</v>
      </c>
      <c r="P239" s="41" t="n">
        <f aca="false">IF(ISNUMBER($K239),$K239-$D239-IF(ISNUMBER($E239),$E239,0)-$L239-$M239-$N239-$O239,"")</f>
        <v>43.9365</v>
      </c>
      <c r="Q239" s="42" t="n">
        <f aca="false">IF(AND(ISNUMBER($K239),$K239&gt;0),$P239/$K239,"")</f>
        <v>0.209321105288233</v>
      </c>
      <c r="R239" s="43"/>
      <c r="S239" s="44" t="str">
        <f aca="false">IF(OR(NOT(ISNUMBER($R239)),$R239=0,NOT(ISNUMBER($K239))),"",$K239*(1-$R239))</f>
        <v/>
      </c>
      <c r="T239" s="45" t="str">
        <f aca="false">IF(ISNUMBER($S239),$S239*$H239,"")</f>
        <v/>
      </c>
      <c r="U239" s="45" t="str">
        <f aca="false">IF(ISNUMBER($S239),$S239*Parâmetros!$B$5,"")</f>
        <v/>
      </c>
      <c r="V239" s="45" t="str">
        <f aca="false">IF(ISNUMBER($S239),$S239*Parâmetros!$C$5,"")</f>
        <v/>
      </c>
      <c r="W239" s="44" t="str">
        <f aca="false">IF(ISNUMBER($S239),$S239-$D239-IF(ISNUMBER($E239),$E239,0)-$O239-$T239-$U239-$V239,"")</f>
        <v/>
      </c>
      <c r="X239" s="46" t="str">
        <f aca="false">IF(AND(ISNUMBER($S239),$S239&gt;0),$W239/$S239,"")</f>
        <v/>
      </c>
      <c r="Y239" s="49" t="s">
        <v>744</v>
      </c>
      <c r="Z239" s="21"/>
    </row>
    <row r="240" customFormat="false" ht="15.75" hidden="false" customHeight="true" outlineLevel="0" collapsed="false">
      <c r="A240" s="32" t="str">
        <f aca="false">IF(Produtos!$A240="","",Produtos!$A240)</f>
        <v>PXM</v>
      </c>
      <c r="B240" s="32" t="str">
        <f aca="false">IF(Produtos!$A240="","",Produtos!$B240)</f>
        <v>Porta Extintor 200x495</v>
      </c>
      <c r="C240" s="32" t="str">
        <f aca="false">IF(Produtos!$A240="","",Produtos!$C240)</f>
        <v>Porta-extintores</v>
      </c>
      <c r="D240" s="33" t="n">
        <f aca="false">IF(Produtos!$A240="","",IF(Produtos!$D240="","",Produtos!$D240))</f>
        <v>102.8</v>
      </c>
      <c r="E240" s="11" t="n">
        <v>32.45</v>
      </c>
      <c r="F240" s="34" t="n">
        <f aca="false">IF($A240="","",IF($C240="","⚠ categoria",IFERROR(INDEX(Parâmetros!$C$13:$C$22,MATCH($C240,Parâmetros!$A$13:$A$22,0)),"⚠ categoria")))</f>
        <v>0.18</v>
      </c>
      <c r="G240" s="35" t="n">
        <v>0.135</v>
      </c>
      <c r="H240" s="36" t="n">
        <f aca="false">IF($A240="","",IF(ISNUMBER($G240),$G240,IF(ISNUMBER($F240),$F240,"")))</f>
        <v>0.135</v>
      </c>
      <c r="I240" s="37" t="n">
        <f aca="false">IF(OR($A240="",NOT(ISNUMBER($D240)),NOT(ISNUMBER($H240))),"",IF((1-$H240-Parâmetros!$B$5-Parâmetros!$C$5-Parâmetros!$D$5)&lt;=0,"INVALIDO",($D240+IF(ISNUMBER($E240),$E240,0)+IF(ISNUMBER(Parâmetros!$E$5),Parâmetros!$E$5,0))/(1-$H240-Parâmetros!$B$5-Parâmetros!$C$5-Parâmetros!$D$5)))</f>
        <v>252.803738317757</v>
      </c>
      <c r="J240" s="38" t="n">
        <v>252.97</v>
      </c>
      <c r="K240" s="39" t="n">
        <f aca="false">IF(OR($A240="",NOT(ISNUMBER($D240)),NOT(ISNUMBER($H240))),"",IF(AND(ISNUMBER($J240),$J240&gt;0),$J240,IF(ISNUMBER($I240),$I240,"")))</f>
        <v>252.97</v>
      </c>
      <c r="L240" s="40" t="n">
        <f aca="false">IF(ISNUMBER($K240),$K240*$H240,"")</f>
        <v>34.15095</v>
      </c>
      <c r="M240" s="40" t="n">
        <f aca="false">IF(ISNUMBER($K240),$K240*Parâmetros!$B$5,"")</f>
        <v>25.297</v>
      </c>
      <c r="N240" s="40" t="n">
        <f aca="false">IF(ISNUMBER($K240),$K240*Parâmetros!$C$5,"")</f>
        <v>7.5891</v>
      </c>
      <c r="O240" s="40" t="n">
        <f aca="false">IF(ISNUMBER($K240),IF(ISNUMBER(Parâmetros!$E$5),Parâmetros!$E$5,0),"")</f>
        <v>0</v>
      </c>
      <c r="P240" s="41" t="n">
        <f aca="false">IF(ISNUMBER($K240),$K240-$D240-IF(ISNUMBER($E240),$E240,0)-$L240-$M240-$N240-$O240,"")</f>
        <v>50.68295</v>
      </c>
      <c r="Q240" s="42" t="n">
        <f aca="false">IF(AND(ISNUMBER($K240),$K240&gt;0),$P240/$K240,"")</f>
        <v>0.200351622722062</v>
      </c>
      <c r="R240" s="43"/>
      <c r="S240" s="44" t="str">
        <f aca="false">IF(OR(NOT(ISNUMBER($R240)),$R240=0,NOT(ISNUMBER($K240))),"",$K240*(1-$R240))</f>
        <v/>
      </c>
      <c r="T240" s="45" t="str">
        <f aca="false">IF(ISNUMBER($S240),$S240*$H240,"")</f>
        <v/>
      </c>
      <c r="U240" s="45" t="str">
        <f aca="false">IF(ISNUMBER($S240),$S240*Parâmetros!$B$5,"")</f>
        <v/>
      </c>
      <c r="V240" s="45" t="str">
        <f aca="false">IF(ISNUMBER($S240),$S240*Parâmetros!$C$5,"")</f>
        <v/>
      </c>
      <c r="W240" s="44" t="str">
        <f aca="false">IF(ISNUMBER($S240),$S240-$D240-IF(ISNUMBER($E240),$E240,0)-$O240-$T240-$U240-$V240,"")</f>
        <v/>
      </c>
      <c r="X240" s="46" t="str">
        <f aca="false">IF(AND(ISNUMBER($S240),$S240&gt;0),$W240/$S240,"")</f>
        <v/>
      </c>
      <c r="Y240" s="47" t="s">
        <v>744</v>
      </c>
      <c r="Z240" s="19"/>
    </row>
    <row r="241" customFormat="false" ht="15.75" hidden="false" customHeight="true" outlineLevel="0" collapsed="false">
      <c r="A241" s="48" t="str">
        <f aca="false">IF(Produtos!$A241="","",Produtos!$A241)</f>
        <v>PL-SD</v>
      </c>
      <c r="B241" s="48" t="str">
        <f aca="false">IF(Produtos!$A241="","",Produtos!$B241)</f>
        <v>Placa Sinalizadora Piso Molhado Aço Inox 430</v>
      </c>
      <c r="C241" s="48" t="str">
        <f aca="false">IF(Produtos!$A241="","",Produtos!$C241)</f>
        <v>Placas de piso molhado</v>
      </c>
      <c r="D241" s="33" t="n">
        <f aca="false">IF(Produtos!$A241="","",IF(Produtos!$D241="","",Produtos!$D241))</f>
        <v>242.68</v>
      </c>
      <c r="E241" s="11" t="n">
        <v>25.45</v>
      </c>
      <c r="F241" s="34" t="n">
        <f aca="false">IF($A241="","",IF($C241="","⚠ categoria",IFERROR(INDEX(Parâmetros!$C$13:$C$22,MATCH($C241,Parâmetros!$A$13:$A$22,0)),"⚠ categoria")))</f>
        <v>0.18</v>
      </c>
      <c r="G241" s="35" t="n">
        <v>0.17</v>
      </c>
      <c r="H241" s="36" t="n">
        <f aca="false">IF($A241="","",IF(ISNUMBER($G241),$G241,IF(ISNUMBER($F241),$F241,"")))</f>
        <v>0.17</v>
      </c>
      <c r="I241" s="37" t="n">
        <f aca="false">IF(OR($A241="",NOT(ISNUMBER($D241)),NOT(ISNUMBER($H241))),"",IF((1-$H241-Parâmetros!$B$5-Parâmetros!$C$5-Parâmetros!$D$5)&lt;=0,"INVALIDO",($D241+IF(ISNUMBER($E241),$E241,0)+IF(ISNUMBER(Parâmetros!$E$5),Parâmetros!$E$5,0))/(1-$H241-Parâmetros!$B$5-Parâmetros!$C$5-Parâmetros!$D$5)))</f>
        <v>536.26</v>
      </c>
      <c r="J241" s="38" t="n">
        <v>494.75734875</v>
      </c>
      <c r="K241" s="39" t="n">
        <f aca="false">IF(OR($A241="",NOT(ISNUMBER($D241)),NOT(ISNUMBER($H241))),"",IF(AND(ISNUMBER($J241),$J241&gt;0),$J241,IF(ISNUMBER($I241),$I241,"")))</f>
        <v>494.75734875</v>
      </c>
      <c r="L241" s="40" t="n">
        <f aca="false">IF(ISNUMBER($K241),$K241*$H241,"")</f>
        <v>84.1087492875</v>
      </c>
      <c r="M241" s="40" t="n">
        <f aca="false">IF(ISNUMBER($K241),$K241*Parâmetros!$B$5,"")</f>
        <v>49.475734875</v>
      </c>
      <c r="N241" s="40" t="n">
        <f aca="false">IF(ISNUMBER($K241),$K241*Parâmetros!$C$5,"")</f>
        <v>14.8427204625</v>
      </c>
      <c r="O241" s="40" t="n">
        <f aca="false">IF(ISNUMBER($K241),IF(ISNUMBER(Parâmetros!$E$5),Parâmetros!$E$5,0),"")</f>
        <v>0</v>
      </c>
      <c r="P241" s="41" t="n">
        <f aca="false">IF(ISNUMBER($K241),$K241-$D241-IF(ISNUMBER($E241),$E241,0)-$L241-$M241-$N241-$O241,"")</f>
        <v>78.200144125</v>
      </c>
      <c r="Q241" s="42" t="n">
        <f aca="false">IF(AND(ISNUMBER($K241),$K241&gt;0),$P241/$K241,"")</f>
        <v>0.158057569680515</v>
      </c>
      <c r="R241" s="43"/>
      <c r="S241" s="44" t="str">
        <f aca="false">IF(OR(NOT(ISNUMBER($R241)),$R241=0,NOT(ISNUMBER($K241))),"",$K241*(1-$R241))</f>
        <v/>
      </c>
      <c r="T241" s="45" t="str">
        <f aca="false">IF(ISNUMBER($S241),$S241*$H241,"")</f>
        <v/>
      </c>
      <c r="U241" s="45" t="str">
        <f aca="false">IF(ISNUMBER($S241),$S241*Parâmetros!$B$5,"")</f>
        <v/>
      </c>
      <c r="V241" s="45" t="str">
        <f aca="false">IF(ISNUMBER($S241),$S241*Parâmetros!$C$5,"")</f>
        <v/>
      </c>
      <c r="W241" s="44" t="str">
        <f aca="false">IF(ISNUMBER($S241),$S241-$D241-IF(ISNUMBER($E241),$E241,0)-$O241-$T241-$U241-$V241,"")</f>
        <v/>
      </c>
      <c r="X241" s="46" t="str">
        <f aca="false">IF(AND(ISNUMBER($S241),$S241&gt;0),$W241/$S241,"")</f>
        <v/>
      </c>
      <c r="Y241" s="49" t="s">
        <v>744</v>
      </c>
      <c r="Z241" s="21"/>
    </row>
    <row r="242" customFormat="false" ht="15.75" hidden="false" customHeight="true" outlineLevel="0" collapsed="false">
      <c r="A242" s="32" t="str">
        <f aca="false">IF(Produtos!$A242="","",Produtos!$A242)</f>
        <v>SP-01</v>
      </c>
      <c r="B242" s="32" t="str">
        <f aca="false">IF(Produtos!$A242="","",Produtos!$B242)</f>
        <v>Coletor Cigarros SPACE 27x92 Aço Inox</v>
      </c>
      <c r="C242" s="32" t="str">
        <f aca="false">IF(Produtos!$A242="","",Produtos!$C242)</f>
        <v>Bituqueiras e cinzeiros</v>
      </c>
      <c r="D242" s="33" t="n">
        <f aca="false">IF(Produtos!$A242="","",IF(Produtos!$D242="","",Produtos!$D242))</f>
        <v>247.86</v>
      </c>
      <c r="E242" s="11" t="n">
        <v>70.95</v>
      </c>
      <c r="F242" s="34" t="n">
        <f aca="false">IF($A242="","",IF($C242="","⚠ categoria",IFERROR(INDEX(Parâmetros!$C$13:$C$22,MATCH($C242,Parâmetros!$A$13:$A$22,0)),"⚠ categoria")))</f>
        <v>0.18</v>
      </c>
      <c r="G242" s="35" t="n">
        <v>0.135</v>
      </c>
      <c r="H242" s="36" t="n">
        <f aca="false">IF($A242="","",IF(ISNUMBER($G242),$G242,IF(ISNUMBER($F242),$F242,"")))</f>
        <v>0.135</v>
      </c>
      <c r="I242" s="37" t="n">
        <f aca="false">IF(OR($A242="",NOT(ISNUMBER($D242)),NOT(ISNUMBER($H242))),"",IF((1-$H242-Parâmetros!$B$5-Parâmetros!$C$5-Parâmetros!$D$5)&lt;=0,"INVALIDO",($D242+IF(ISNUMBER($E242),$E242,0)+IF(ISNUMBER(Parâmetros!$E$5),Parâmetros!$E$5,0))/(1-$H242-Parâmetros!$B$5-Parâmetros!$C$5-Parâmetros!$D$5)))</f>
        <v>595.906542056075</v>
      </c>
      <c r="J242" s="38" t="n">
        <v>550.23073875</v>
      </c>
      <c r="K242" s="39" t="n">
        <f aca="false">IF(OR($A242="",NOT(ISNUMBER($D242)),NOT(ISNUMBER($H242))),"",IF(AND(ISNUMBER($J242),$J242&gt;0),$J242,IF(ISNUMBER($I242),$I242,"")))</f>
        <v>550.23073875</v>
      </c>
      <c r="L242" s="40" t="n">
        <f aca="false">IF(ISNUMBER($K242),$K242*$H242,"")</f>
        <v>74.28114973125</v>
      </c>
      <c r="M242" s="40" t="n">
        <f aca="false">IF(ISNUMBER($K242),$K242*Parâmetros!$B$5,"")</f>
        <v>55.023073875</v>
      </c>
      <c r="N242" s="40" t="n">
        <f aca="false">IF(ISNUMBER($K242),$K242*Parâmetros!$C$5,"")</f>
        <v>16.5069221625</v>
      </c>
      <c r="O242" s="40" t="n">
        <f aca="false">IF(ISNUMBER($K242),IF(ISNUMBER(Parâmetros!$E$5),Parâmetros!$E$5,0),"")</f>
        <v>0</v>
      </c>
      <c r="P242" s="41" t="n">
        <f aca="false">IF(ISNUMBER($K242),$K242-$D242-IF(ISNUMBER($E242),$E242,0)-$L242-$M242-$N242-$O242,"")</f>
        <v>85.6095929812501</v>
      </c>
      <c r="Q242" s="42" t="n">
        <f aca="false">IF(AND(ISNUMBER($K242),$K242&gt;0),$P242/$K242,"")</f>
        <v>0.155588532141508</v>
      </c>
      <c r="R242" s="43"/>
      <c r="S242" s="44" t="str">
        <f aca="false">IF(OR(NOT(ISNUMBER($R242)),$R242=0,NOT(ISNUMBER($K242))),"",$K242*(1-$R242))</f>
        <v/>
      </c>
      <c r="T242" s="45" t="str">
        <f aca="false">IF(ISNUMBER($S242),$S242*$H242,"")</f>
        <v/>
      </c>
      <c r="U242" s="45" t="str">
        <f aca="false">IF(ISNUMBER($S242),$S242*Parâmetros!$B$5,"")</f>
        <v/>
      </c>
      <c r="V242" s="45" t="str">
        <f aca="false">IF(ISNUMBER($S242),$S242*Parâmetros!$C$5,"")</f>
        <v/>
      </c>
      <c r="W242" s="44" t="str">
        <f aca="false">IF(ISNUMBER($S242),$S242-$D242-IF(ISNUMBER($E242),$E242,0)-$O242-$T242-$U242-$V242,"")</f>
        <v/>
      </c>
      <c r="X242" s="46" t="str">
        <f aca="false">IF(AND(ISNUMBER($S242),$S242&gt;0),$W242/$S242,"")</f>
        <v/>
      </c>
      <c r="Y242" s="47" t="s">
        <v>744</v>
      </c>
      <c r="Z242" s="19"/>
    </row>
    <row r="243" customFormat="false" ht="15.75" hidden="false" customHeight="true" outlineLevel="0" collapsed="false">
      <c r="A243" s="48" t="str">
        <f aca="false">IF(Produtos!$A243="","",Produtos!$A243)</f>
        <v>SP-F</v>
      </c>
      <c r="B243" s="48" t="str">
        <f aca="false">IF(Produtos!$A243="","",Produtos!$B243)</f>
        <v>Coletor Cigarros SPACE FIXO 21x92 Aço Inox</v>
      </c>
      <c r="C243" s="48" t="str">
        <f aca="false">IF(Produtos!$A243="","",Produtos!$C243)</f>
        <v>Bituqueiras e cinzeiros</v>
      </c>
      <c r="D243" s="33" t="n">
        <f aca="false">IF(Produtos!$A243="","",IF(Produtos!$D243="","",Produtos!$D243))</f>
        <v>236.22</v>
      </c>
      <c r="E243" s="11" t="n">
        <v>69.35</v>
      </c>
      <c r="F243" s="34" t="n">
        <f aca="false">IF($A243="","",IF($C243="","⚠ categoria",IFERROR(INDEX(Parâmetros!$C$13:$C$22,MATCH($C243,Parâmetros!$A$13:$A$22,0)),"⚠ categoria")))</f>
        <v>0.18</v>
      </c>
      <c r="G243" s="35" t="n">
        <v>0.135</v>
      </c>
      <c r="H243" s="36" t="n">
        <f aca="false">IF($A243="","",IF(ISNUMBER($G243),$G243,IF(ISNUMBER($F243),$F243,"")))</f>
        <v>0.135</v>
      </c>
      <c r="I243" s="37" t="n">
        <f aca="false">IF(OR($A243="",NOT(ISNUMBER($D243)),NOT(ISNUMBER($H243))),"",IF((1-$H243-Parâmetros!$B$5-Parâmetros!$C$5-Parâmetros!$D$5)&lt;=0,"INVALIDO",($D243+IF(ISNUMBER($E243),$E243,0)+IF(ISNUMBER(Parâmetros!$E$5),Parâmetros!$E$5,0))/(1-$H243-Parâmetros!$B$5-Parâmetros!$C$5-Parâmetros!$D$5)))</f>
        <v>571.158878504673</v>
      </c>
      <c r="J243" s="38" t="n">
        <v>551.283075</v>
      </c>
      <c r="K243" s="39" t="n">
        <f aca="false">IF(OR($A243="",NOT(ISNUMBER($D243)),NOT(ISNUMBER($H243))),"",IF(AND(ISNUMBER($J243),$J243&gt;0),$J243,IF(ISNUMBER($I243),$I243,"")))</f>
        <v>551.283075</v>
      </c>
      <c r="L243" s="40" t="n">
        <f aca="false">IF(ISNUMBER($K243),$K243*$H243,"")</f>
        <v>74.423215125</v>
      </c>
      <c r="M243" s="40" t="n">
        <f aca="false">IF(ISNUMBER($K243),$K243*Parâmetros!$B$5,"")</f>
        <v>55.1283075</v>
      </c>
      <c r="N243" s="40" t="n">
        <f aca="false">IF(ISNUMBER($K243),$K243*Parâmetros!$C$5,"")</f>
        <v>16.53849225</v>
      </c>
      <c r="O243" s="40" t="n">
        <f aca="false">IF(ISNUMBER($K243),IF(ISNUMBER(Parâmetros!$E$5),Parâmetros!$E$5,0),"")</f>
        <v>0</v>
      </c>
      <c r="P243" s="41" t="n">
        <f aca="false">IF(ISNUMBER($K243),$K243-$D243-IF(ISNUMBER($E243),$E243,0)-$L243-$M243-$N243-$O243,"")</f>
        <v>99.6230601249999</v>
      </c>
      <c r="Q243" s="42" t="n">
        <f aca="false">IF(AND(ISNUMBER($K243),$K243&gt;0),$P243/$K243,"")</f>
        <v>0.180711261859436</v>
      </c>
      <c r="R243" s="43"/>
      <c r="S243" s="44" t="str">
        <f aca="false">IF(OR(NOT(ISNUMBER($R243)),$R243=0,NOT(ISNUMBER($K243))),"",$K243*(1-$R243))</f>
        <v/>
      </c>
      <c r="T243" s="45" t="str">
        <f aca="false">IF(ISNUMBER($S243),$S243*$H243,"")</f>
        <v/>
      </c>
      <c r="U243" s="45" t="str">
        <f aca="false">IF(ISNUMBER($S243),$S243*Parâmetros!$B$5,"")</f>
        <v/>
      </c>
      <c r="V243" s="45" t="str">
        <f aca="false">IF(ISNUMBER($S243),$S243*Parâmetros!$C$5,"")</f>
        <v/>
      </c>
      <c r="W243" s="44" t="str">
        <f aca="false">IF(ISNUMBER($S243),$S243-$D243-IF(ISNUMBER($E243),$E243,0)-$O243-$T243-$U243-$V243,"")</f>
        <v/>
      </c>
      <c r="X243" s="46" t="str">
        <f aca="false">IF(AND(ISNUMBER($S243),$S243&gt;0),$W243/$S243,"")</f>
        <v/>
      </c>
      <c r="Y243" s="49" t="s">
        <v>744</v>
      </c>
      <c r="Z243" s="21"/>
    </row>
    <row r="244" customFormat="false" ht="15.75" hidden="false" customHeight="true" outlineLevel="0" collapsed="false">
      <c r="A244" s="32" t="str">
        <f aca="false">IF(Produtos!$A244="","",Produtos!$A244)</f>
        <v>SP-T</v>
      </c>
      <c r="B244" s="32" t="str">
        <f aca="false">IF(Produtos!$A244="","",Produtos!$B244)</f>
        <v>Coletor Cigarros SPACE TORRE 28x92 Aço Inox</v>
      </c>
      <c r="C244" s="32" t="str">
        <f aca="false">IF(Produtos!$A244="","",Produtos!$C244)</f>
        <v>Bituqueiras e cinzeiros</v>
      </c>
      <c r="D244" s="33" t="n">
        <f aca="false">IF(Produtos!$A244="","",IF(Produtos!$D244="","",Produtos!$D244))</f>
        <v>238.66</v>
      </c>
      <c r="E244" s="11" t="n">
        <v>70.95</v>
      </c>
      <c r="F244" s="34" t="n">
        <f aca="false">IF($A244="","",IF($C244="","⚠ categoria",IFERROR(INDEX(Parâmetros!$C$13:$C$22,MATCH($C244,Parâmetros!$A$13:$A$22,0)),"⚠ categoria")))</f>
        <v>0.18</v>
      </c>
      <c r="G244" s="35" t="n">
        <v>0.135</v>
      </c>
      <c r="H244" s="36" t="n">
        <f aca="false">IF($A244="","",IF(ISNUMBER($G244),$G244,IF(ISNUMBER($F244),$F244,"")))</f>
        <v>0.135</v>
      </c>
      <c r="I244" s="37" t="n">
        <f aca="false">IF(OR($A244="",NOT(ISNUMBER($D244)),NOT(ISNUMBER($H244))),"",IF((1-$H244-Parâmetros!$B$5-Parâmetros!$C$5-Parâmetros!$D$5)&lt;=0,"INVALIDO",($D244+IF(ISNUMBER($E244),$E244,0)+IF(ISNUMBER(Parâmetros!$E$5),Parâmetros!$E$5,0))/(1-$H244-Parâmetros!$B$5-Parâmetros!$C$5-Parâmetros!$D$5)))</f>
        <v>578.710280373832</v>
      </c>
      <c r="J244" s="38" t="n">
        <v>535.25107125</v>
      </c>
      <c r="K244" s="39" t="n">
        <f aca="false">IF(OR($A244="",NOT(ISNUMBER($D244)),NOT(ISNUMBER($H244))),"",IF(AND(ISNUMBER($J244),$J244&gt;0),$J244,IF(ISNUMBER($I244),$I244,"")))</f>
        <v>535.25107125</v>
      </c>
      <c r="L244" s="40" t="n">
        <f aca="false">IF(ISNUMBER($K244),$K244*$H244,"")</f>
        <v>72.25889461875</v>
      </c>
      <c r="M244" s="40" t="n">
        <f aca="false">IF(ISNUMBER($K244),$K244*Parâmetros!$B$5,"")</f>
        <v>53.525107125</v>
      </c>
      <c r="N244" s="40" t="n">
        <f aca="false">IF(ISNUMBER($K244),$K244*Parâmetros!$C$5,"")</f>
        <v>16.0575321375</v>
      </c>
      <c r="O244" s="40" t="n">
        <f aca="false">IF(ISNUMBER($K244),IF(ISNUMBER(Parâmetros!$E$5),Parâmetros!$E$5,0),"")</f>
        <v>0</v>
      </c>
      <c r="P244" s="41" t="n">
        <f aca="false">IF(ISNUMBER($K244),$K244-$D244-IF(ISNUMBER($E244),$E244,0)-$L244-$M244-$N244-$O244,"")</f>
        <v>83.7995373687501</v>
      </c>
      <c r="Q244" s="42" t="n">
        <f aca="false">IF(AND(ISNUMBER($K244),$K244&gt;0),$P244/$K244,"")</f>
        <v>0.156561176371023</v>
      </c>
      <c r="R244" s="43"/>
      <c r="S244" s="44" t="str">
        <f aca="false">IF(OR(NOT(ISNUMBER($R244)),$R244=0,NOT(ISNUMBER($K244))),"",$K244*(1-$R244))</f>
        <v/>
      </c>
      <c r="T244" s="45" t="str">
        <f aca="false">IF(ISNUMBER($S244),$S244*$H244,"")</f>
        <v/>
      </c>
      <c r="U244" s="45" t="str">
        <f aca="false">IF(ISNUMBER($S244),$S244*Parâmetros!$B$5,"")</f>
        <v/>
      </c>
      <c r="V244" s="45" t="str">
        <f aca="false">IF(ISNUMBER($S244),$S244*Parâmetros!$C$5,"")</f>
        <v/>
      </c>
      <c r="W244" s="44" t="str">
        <f aca="false">IF(ISNUMBER($S244),$S244-$D244-IF(ISNUMBER($E244),$E244,0)-$O244-$T244-$U244-$V244,"")</f>
        <v/>
      </c>
      <c r="X244" s="46" t="str">
        <f aca="false">IF(AND(ISNUMBER($S244),$S244&gt;0),$W244/$S244,"")</f>
        <v/>
      </c>
      <c r="Y244" s="47" t="s">
        <v>744</v>
      </c>
      <c r="Z244" s="19"/>
    </row>
    <row r="245" customFormat="false" ht="15.75" hidden="false" customHeight="true" outlineLevel="0" collapsed="false">
      <c r="A245" s="48" t="str">
        <f aca="false">IF(Produtos!$A245="","",Produtos!$A245)</f>
        <v>SP-P</v>
      </c>
      <c r="B245" s="48" t="str">
        <f aca="false">IF(Produtos!$A245="","",Produtos!$B245)</f>
        <v>Coletor Cigarros SPACE PAREDE ø0,76x50 Aço Inox</v>
      </c>
      <c r="C245" s="48" t="str">
        <f aca="false">IF(Produtos!$A245="","",Produtos!$C245)</f>
        <v>Bituqueiras e cinzeiros</v>
      </c>
      <c r="D245" s="33" t="n">
        <f aca="false">IF(Produtos!$A245="","",IF(Produtos!$D245="","",Produtos!$D245))</f>
        <v>139.81</v>
      </c>
      <c r="E245" s="11" t="n">
        <v>25.45</v>
      </c>
      <c r="F245" s="34" t="n">
        <f aca="false">IF($A245="","",IF($C245="","⚠ categoria",IFERROR(INDEX(Parâmetros!$C$13:$C$22,MATCH($C245,Parâmetros!$A$13:$A$22,0)),"⚠ categoria")))</f>
        <v>0.18</v>
      </c>
      <c r="G245" s="35" t="n">
        <v>0.135</v>
      </c>
      <c r="H245" s="36" t="n">
        <f aca="false">IF($A245="","",IF(ISNUMBER($G245),$G245,IF(ISNUMBER($F245),$F245,"")))</f>
        <v>0.135</v>
      </c>
      <c r="I245" s="37" t="n">
        <f aca="false">IF(OR($A245="",NOT(ISNUMBER($D245)),NOT(ISNUMBER($H245))),"",IF((1-$H245-Parâmetros!$B$5-Parâmetros!$C$5-Parâmetros!$D$5)&lt;=0,"INVALIDO",($D245+IF(ISNUMBER($E245),$E245,0)+IF(ISNUMBER(Parâmetros!$E$5),Parâmetros!$E$5,0))/(1-$H245-Parâmetros!$B$5-Parâmetros!$C$5-Parâmetros!$D$5)))</f>
        <v>308.897196261682</v>
      </c>
      <c r="J245" s="38" t="n">
        <v>299.79014625</v>
      </c>
      <c r="K245" s="39" t="n">
        <f aca="false">IF(OR($A245="",NOT(ISNUMBER($D245)),NOT(ISNUMBER($H245))),"",IF(AND(ISNUMBER($J245),$J245&gt;0),$J245,IF(ISNUMBER($I245),$I245,"")))</f>
        <v>299.79014625</v>
      </c>
      <c r="L245" s="40" t="n">
        <f aca="false">IF(ISNUMBER($K245),$K245*$H245,"")</f>
        <v>40.47166974375</v>
      </c>
      <c r="M245" s="40" t="n">
        <f aca="false">IF(ISNUMBER($K245),$K245*Parâmetros!$B$5,"")</f>
        <v>29.979014625</v>
      </c>
      <c r="N245" s="40" t="n">
        <f aca="false">IF(ISNUMBER($K245),$K245*Parâmetros!$C$5,"")</f>
        <v>8.9937043875</v>
      </c>
      <c r="O245" s="40" t="n">
        <f aca="false">IF(ISNUMBER($K245),IF(ISNUMBER(Parâmetros!$E$5),Parâmetros!$E$5,0),"")</f>
        <v>0</v>
      </c>
      <c r="P245" s="41" t="n">
        <f aca="false">IF(ISNUMBER($K245),$K245-$D245-IF(ISNUMBER($E245),$E245,0)-$L245-$M245-$N245-$O245,"")</f>
        <v>55.08575749375</v>
      </c>
      <c r="Q245" s="42" t="n">
        <f aca="false">IF(AND(ISNUMBER($K245),$K245&gt;0),$P245/$K245,"")</f>
        <v>0.183747725476651</v>
      </c>
      <c r="R245" s="43"/>
      <c r="S245" s="44" t="str">
        <f aca="false">IF(OR(NOT(ISNUMBER($R245)),$R245=0,NOT(ISNUMBER($K245))),"",$K245*(1-$R245))</f>
        <v/>
      </c>
      <c r="T245" s="45" t="str">
        <f aca="false">IF(ISNUMBER($S245),$S245*$H245,"")</f>
        <v/>
      </c>
      <c r="U245" s="45" t="str">
        <f aca="false">IF(ISNUMBER($S245),$S245*Parâmetros!$B$5,"")</f>
        <v/>
      </c>
      <c r="V245" s="45" t="str">
        <f aca="false">IF(ISNUMBER($S245),$S245*Parâmetros!$C$5,"")</f>
        <v/>
      </c>
      <c r="W245" s="44" t="str">
        <f aca="false">IF(ISNUMBER($S245),$S245-$D245-IF(ISNUMBER($E245),$E245,0)-$O245-$T245-$U245-$V245,"")</f>
        <v/>
      </c>
      <c r="X245" s="46" t="str">
        <f aca="false">IF(AND(ISNUMBER($S245),$S245&gt;0),$W245/$S245,"")</f>
        <v/>
      </c>
      <c r="Y245" s="49" t="s">
        <v>744</v>
      </c>
      <c r="Z245" s="21"/>
    </row>
    <row r="246" customFormat="false" ht="15.75" hidden="false" customHeight="true" outlineLevel="0" collapsed="false">
      <c r="A246" s="32" t="str">
        <f aca="false">IF(Produtos!$A246="","",Produtos!$A246)</f>
        <v>SP-FT</v>
      </c>
      <c r="B246" s="32" t="str">
        <f aca="false">IF(Produtos!$A246="","",Produtos!$B246)</f>
        <v>Tampa Space Fixa</v>
      </c>
      <c r="C246" s="32" t="str">
        <f aca="false">IF(Produtos!$A246="","",Produtos!$C246)</f>
        <v>Bituqueiras e cinzeiros</v>
      </c>
      <c r="D246" s="33" t="n">
        <f aca="false">IF(Produtos!$A246="","",IF(Produtos!$D246="","",Produtos!$D246))</f>
        <v>75</v>
      </c>
      <c r="E246" s="11"/>
      <c r="F246" s="34" t="n">
        <f aca="false">IF($A246="","",IF($C246="","⚠ categoria",IFERROR(INDEX(Parâmetros!$C$13:$C$22,MATCH($C246,Parâmetros!$A$13:$A$22,0)),"⚠ categoria")))</f>
        <v>0.18</v>
      </c>
      <c r="G246" s="35"/>
      <c r="H246" s="36" t="n">
        <f aca="false">IF($A246="","",IF(ISNUMBER($G246),$G246,IF(ISNUMBER($F246),$F246,"")))</f>
        <v>0.18</v>
      </c>
      <c r="I246" s="37" t="n">
        <f aca="false">IF(OR($A246="",NOT(ISNUMBER($D246)),NOT(ISNUMBER($H246))),"",IF((1-$H246-Parâmetros!$B$5-Parâmetros!$C$5-Parâmetros!$D$5)&lt;=0,"INVALIDO",($D246+IF(ISNUMBER($E246),$E246,0)+IF(ISNUMBER(Parâmetros!$E$5),Parâmetros!$E$5,0))/(1-$H246-Parâmetros!$B$5-Parâmetros!$C$5-Parâmetros!$D$5)))</f>
        <v>153.061224489796</v>
      </c>
      <c r="J246" s="38"/>
      <c r="K246" s="39" t="n">
        <f aca="false">IF(OR($A246="",NOT(ISNUMBER($D246)),NOT(ISNUMBER($H246))),"",IF(AND(ISNUMBER($J246),$J246&gt;0),$J246,IF(ISNUMBER($I246),$I246,"")))</f>
        <v>153.061224489796</v>
      </c>
      <c r="L246" s="40" t="n">
        <f aca="false">IF(ISNUMBER($K246),$K246*$H246,"")</f>
        <v>27.5510204081633</v>
      </c>
      <c r="M246" s="40" t="n">
        <f aca="false">IF(ISNUMBER($K246),$K246*Parâmetros!$B$5,"")</f>
        <v>15.3061224489796</v>
      </c>
      <c r="N246" s="40" t="n">
        <f aca="false">IF(ISNUMBER($K246),$K246*Parâmetros!$C$5,"")</f>
        <v>4.59183673469388</v>
      </c>
      <c r="O246" s="40" t="n">
        <f aca="false">IF(ISNUMBER($K246),IF(ISNUMBER(Parâmetros!$E$5),Parâmetros!$E$5,0),"")</f>
        <v>0</v>
      </c>
      <c r="P246" s="41" t="n">
        <f aca="false">IF(ISNUMBER($K246),$K246-$D246-IF(ISNUMBER($E246),$E246,0)-$L246-$M246-$N246-$O246,"")</f>
        <v>30.6122448979592</v>
      </c>
      <c r="Q246" s="42" t="n">
        <f aca="false">IF(AND(ISNUMBER($K246),$K246&gt;0),$P246/$K246,"")</f>
        <v>0.2</v>
      </c>
      <c r="R246" s="43"/>
      <c r="S246" s="44" t="str">
        <f aca="false">IF(OR(NOT(ISNUMBER($R246)),$R246=0,NOT(ISNUMBER($K246))),"",$K246*(1-$R246))</f>
        <v/>
      </c>
      <c r="T246" s="45" t="str">
        <f aca="false">IF(ISNUMBER($S246),$S246*$H246,"")</f>
        <v/>
      </c>
      <c r="U246" s="45" t="str">
        <f aca="false">IF(ISNUMBER($S246),$S246*Parâmetros!$B$5,"")</f>
        <v/>
      </c>
      <c r="V246" s="45" t="str">
        <f aca="false">IF(ISNUMBER($S246),$S246*Parâmetros!$C$5,"")</f>
        <v/>
      </c>
      <c r="W246" s="44" t="str">
        <f aca="false">IF(ISNUMBER($S246),$S246-$D246-IF(ISNUMBER($E246),$E246,0)-$O246-$T246-$U246-$V246,"")</f>
        <v/>
      </c>
      <c r="X246" s="46" t="str">
        <f aca="false">IF(AND(ISNUMBER($S246),$S246&gt;0),$W246/$S246,"")</f>
        <v/>
      </c>
      <c r="Y246" s="47"/>
      <c r="Z246" s="19"/>
    </row>
    <row r="247" customFormat="false" ht="15.75" hidden="false" customHeight="true" outlineLevel="0" collapsed="false">
      <c r="A247" s="48" t="str">
        <f aca="false">IF(Produtos!$A247="","",Produtos!$A247)</f>
        <v>L2450-CZ</v>
      </c>
      <c r="B247" s="48" t="str">
        <f aca="false">IF(Produtos!$A247="","",Produtos!$B247)</f>
        <v>Lixeira Cinzeiro Aço Inox 24x50 25L</v>
      </c>
      <c r="C247" s="48" t="str">
        <f aca="false">IF(Produtos!$A247="","",Produtos!$C247)</f>
        <v>Bituqueiras e cinzeiros</v>
      </c>
      <c r="D247" s="33" t="n">
        <f aca="false">IF(Produtos!$A247="","",IF(Produtos!$D247="","",Produtos!$D247))</f>
        <v>156</v>
      </c>
      <c r="E247" s="11" t="n">
        <v>40.85</v>
      </c>
      <c r="F247" s="34" t="n">
        <f aca="false">IF($A247="","",IF($C247="","⚠ categoria",IFERROR(INDEX(Parâmetros!$C$13:$C$22,MATCH($C247,Parâmetros!$A$13:$A$22,0)),"⚠ categoria")))</f>
        <v>0.18</v>
      </c>
      <c r="G247" s="35" t="n">
        <v>0.135</v>
      </c>
      <c r="H247" s="36" t="n">
        <f aca="false">IF($A247="","",IF(ISNUMBER($G247),$G247,IF(ISNUMBER($F247),$F247,"")))</f>
        <v>0.135</v>
      </c>
      <c r="I247" s="37" t="n">
        <f aca="false">IF(OR($A247="",NOT(ISNUMBER($D247)),NOT(ISNUMBER($H247))),"",IF((1-$H247-Parâmetros!$B$5-Parâmetros!$C$5-Parâmetros!$D$5)&lt;=0,"INVALIDO",($D247+IF(ISNUMBER($E247),$E247,0)+IF(ISNUMBER(Parâmetros!$E$5),Parâmetros!$E$5,0))/(1-$H247-Parâmetros!$B$5-Parâmetros!$C$5-Parâmetros!$D$5)))</f>
        <v>367.943925233645</v>
      </c>
      <c r="J247" s="38" t="n">
        <v>369.9537975</v>
      </c>
      <c r="K247" s="39" t="n">
        <f aca="false">IF(OR($A247="",NOT(ISNUMBER($D247)),NOT(ISNUMBER($H247))),"",IF(AND(ISNUMBER($J247),$J247&gt;0),$J247,IF(ISNUMBER($I247),$I247,"")))</f>
        <v>369.9537975</v>
      </c>
      <c r="L247" s="40" t="n">
        <f aca="false">IF(ISNUMBER($K247),$K247*$H247,"")</f>
        <v>49.9437626625</v>
      </c>
      <c r="M247" s="40" t="n">
        <f aca="false">IF(ISNUMBER($K247),$K247*Parâmetros!$B$5,"")</f>
        <v>36.99537975</v>
      </c>
      <c r="N247" s="40" t="n">
        <f aca="false">IF(ISNUMBER($K247),$K247*Parâmetros!$C$5,"")</f>
        <v>11.098613925</v>
      </c>
      <c r="O247" s="40" t="n">
        <f aca="false">IF(ISNUMBER($K247),IF(ISNUMBER(Parâmetros!$E$5),Parâmetros!$E$5,0),"")</f>
        <v>0</v>
      </c>
      <c r="P247" s="41" t="n">
        <f aca="false">IF(ISNUMBER($K247),$K247-$D247-IF(ISNUMBER($E247),$E247,0)-$L247-$M247-$N247-$O247,"")</f>
        <v>75.0660411625</v>
      </c>
      <c r="Q247" s="42" t="n">
        <f aca="false">IF(AND(ISNUMBER($K247),$K247&gt;0),$P247/$K247,"")</f>
        <v>0.20290652959847</v>
      </c>
      <c r="R247" s="43"/>
      <c r="S247" s="44" t="str">
        <f aca="false">IF(OR(NOT(ISNUMBER($R247)),$R247=0,NOT(ISNUMBER($K247))),"",$K247*(1-$R247))</f>
        <v/>
      </c>
      <c r="T247" s="45" t="str">
        <f aca="false">IF(ISNUMBER($S247),$S247*$H247,"")</f>
        <v/>
      </c>
      <c r="U247" s="45" t="str">
        <f aca="false">IF(ISNUMBER($S247),$S247*Parâmetros!$B$5,"")</f>
        <v/>
      </c>
      <c r="V247" s="45" t="str">
        <f aca="false">IF(ISNUMBER($S247),$S247*Parâmetros!$C$5,"")</f>
        <v/>
      </c>
      <c r="W247" s="44" t="str">
        <f aca="false">IF(ISNUMBER($S247),$S247-$D247-IF(ISNUMBER($E247),$E247,0)-$O247-$T247-$U247-$V247,"")</f>
        <v/>
      </c>
      <c r="X247" s="46" t="str">
        <f aca="false">IF(AND(ISNUMBER($S247),$S247&gt;0),$W247/$S247,"")</f>
        <v/>
      </c>
      <c r="Y247" s="49" t="s">
        <v>744</v>
      </c>
      <c r="Z247" s="21"/>
    </row>
    <row r="248" customFormat="false" ht="15.75" hidden="false" customHeight="true" outlineLevel="0" collapsed="false">
      <c r="A248" s="32" t="str">
        <f aca="false">IF(Produtos!$A248="","",Produtos!$A248)</f>
        <v>L2460-CZ</v>
      </c>
      <c r="B248" s="32" t="str">
        <f aca="false">IF(Produtos!$A248="","",Produtos!$B248)</f>
        <v>Lixeira Cinzeiro Aço Inox 24x60 27L</v>
      </c>
      <c r="C248" s="32" t="str">
        <f aca="false">IF(Produtos!$A248="","",Produtos!$C248)</f>
        <v>Bituqueiras e cinzeiros</v>
      </c>
      <c r="D248" s="33" t="n">
        <f aca="false">IF(Produtos!$A248="","",IF(Produtos!$D248="","",Produtos!$D248))</f>
        <v>159</v>
      </c>
      <c r="E248" s="11" t="n">
        <v>50.75</v>
      </c>
      <c r="F248" s="34" t="n">
        <f aca="false">IF($A248="","",IF($C248="","⚠ categoria",IFERROR(INDEX(Parâmetros!$C$13:$C$22,MATCH($C248,Parâmetros!$A$13:$A$22,0)),"⚠ categoria")))</f>
        <v>0.18</v>
      </c>
      <c r="G248" s="35" t="n">
        <v>0.135</v>
      </c>
      <c r="H248" s="36" t="n">
        <f aca="false">IF($A248="","",IF(ISNUMBER($G248),$G248,IF(ISNUMBER($F248),$F248,"")))</f>
        <v>0.135</v>
      </c>
      <c r="I248" s="37" t="n">
        <f aca="false">IF(OR($A248="",NOT(ISNUMBER($D248)),NOT(ISNUMBER($H248))),"",IF((1-$H248-Parâmetros!$B$5-Parâmetros!$C$5-Parâmetros!$D$5)&lt;=0,"INVALIDO",($D248+IF(ISNUMBER($E248),$E248,0)+IF(ISNUMBER(Parâmetros!$E$5),Parâmetros!$E$5,0))/(1-$H248-Parâmetros!$B$5-Parâmetros!$C$5-Parâmetros!$D$5)))</f>
        <v>392.056074766355</v>
      </c>
      <c r="J248" s="38" t="n">
        <v>368.77302</v>
      </c>
      <c r="K248" s="39" t="n">
        <f aca="false">IF(OR($A248="",NOT(ISNUMBER($D248)),NOT(ISNUMBER($H248))),"",IF(AND(ISNUMBER($J248),$J248&gt;0),$J248,IF(ISNUMBER($I248),$I248,"")))</f>
        <v>368.77302</v>
      </c>
      <c r="L248" s="40" t="n">
        <f aca="false">IF(ISNUMBER($K248),$K248*$H248,"")</f>
        <v>49.7843577</v>
      </c>
      <c r="M248" s="40" t="n">
        <f aca="false">IF(ISNUMBER($K248),$K248*Parâmetros!$B$5,"")</f>
        <v>36.877302</v>
      </c>
      <c r="N248" s="40" t="n">
        <f aca="false">IF(ISNUMBER($K248),$K248*Parâmetros!$C$5,"")</f>
        <v>11.0631906</v>
      </c>
      <c r="O248" s="40" t="n">
        <f aca="false">IF(ISNUMBER($K248),IF(ISNUMBER(Parâmetros!$E$5),Parâmetros!$E$5,0),"")</f>
        <v>0</v>
      </c>
      <c r="P248" s="41" t="n">
        <f aca="false">IF(ISNUMBER($K248),$K248-$D248-IF(ISNUMBER($E248),$E248,0)-$L248-$M248-$N248-$O248,"")</f>
        <v>61.2981697</v>
      </c>
      <c r="Q248" s="42" t="n">
        <f aca="false">IF(AND(ISNUMBER($K248),$K248&gt;0),$P248/$K248,"")</f>
        <v>0.16622194785291</v>
      </c>
      <c r="R248" s="43"/>
      <c r="S248" s="44" t="str">
        <f aca="false">IF(OR(NOT(ISNUMBER($R248)),$R248=0,NOT(ISNUMBER($K248))),"",$K248*(1-$R248))</f>
        <v/>
      </c>
      <c r="T248" s="45" t="str">
        <f aca="false">IF(ISNUMBER($S248),$S248*$H248,"")</f>
        <v/>
      </c>
      <c r="U248" s="45" t="str">
        <f aca="false">IF(ISNUMBER($S248),$S248*Parâmetros!$B$5,"")</f>
        <v/>
      </c>
      <c r="V248" s="45" t="str">
        <f aca="false">IF(ISNUMBER($S248),$S248*Parâmetros!$C$5,"")</f>
        <v/>
      </c>
      <c r="W248" s="44" t="str">
        <f aca="false">IF(ISNUMBER($S248),$S248-$D248-IF(ISNUMBER($E248),$E248,0)-$O248-$T248-$U248-$V248,"")</f>
        <v/>
      </c>
      <c r="X248" s="46" t="str">
        <f aca="false">IF(AND(ISNUMBER($S248),$S248&gt;0),$W248/$S248,"")</f>
        <v/>
      </c>
      <c r="Y248" s="47" t="s">
        <v>744</v>
      </c>
      <c r="Z248" s="19"/>
    </row>
    <row r="249" customFormat="false" ht="15.75" hidden="false" customHeight="true" outlineLevel="0" collapsed="false">
      <c r="A249" s="48" t="str">
        <f aca="false">IF(Produtos!$A249="","",Produtos!$A249)</f>
        <v>L2470-CZ</v>
      </c>
      <c r="B249" s="48" t="str">
        <f aca="false">IF(Produtos!$A249="","",Produtos!$B249)</f>
        <v>Lixeira Cinzeiro Aço Inox 24x70 30L</v>
      </c>
      <c r="C249" s="48" t="str">
        <f aca="false">IF(Produtos!$A249="","",Produtos!$C249)</f>
        <v>Bituqueiras e cinzeiros</v>
      </c>
      <c r="D249" s="33" t="n">
        <f aca="false">IF(Produtos!$A249="","",IF(Produtos!$D249="","",Produtos!$D249))</f>
        <v>164.3</v>
      </c>
      <c r="E249" s="11" t="n">
        <v>50.75</v>
      </c>
      <c r="F249" s="34" t="n">
        <f aca="false">IF($A249="","",IF($C249="","⚠ categoria",IFERROR(INDEX(Parâmetros!$C$13:$C$22,MATCH($C249,Parâmetros!$A$13:$A$22,0)),"⚠ categoria")))</f>
        <v>0.18</v>
      </c>
      <c r="G249" s="35" t="n">
        <v>0.135</v>
      </c>
      <c r="H249" s="36" t="n">
        <f aca="false">IF($A249="","",IF(ISNUMBER($G249),$G249,IF(ISNUMBER($F249),$F249,"")))</f>
        <v>0.135</v>
      </c>
      <c r="I249" s="37" t="n">
        <f aca="false">IF(OR($A249="",NOT(ISNUMBER($D249)),NOT(ISNUMBER($H249))),"",IF((1-$H249-Parâmetros!$B$5-Parâmetros!$C$5-Parâmetros!$D$5)&lt;=0,"INVALIDO",($D249+IF(ISNUMBER($E249),$E249,0)+IF(ISNUMBER(Parâmetros!$E$5),Parâmetros!$E$5,0))/(1-$H249-Parâmetros!$B$5-Parâmetros!$C$5-Parâmetros!$D$5)))</f>
        <v>401.96261682243</v>
      </c>
      <c r="J249" s="38" t="n">
        <v>402.4617875</v>
      </c>
      <c r="K249" s="39" t="n">
        <f aca="false">IF(OR($A249="",NOT(ISNUMBER($D249)),NOT(ISNUMBER($H249))),"",IF(AND(ISNUMBER($J249),$J249&gt;0),$J249,IF(ISNUMBER($I249),$I249,"")))</f>
        <v>402.4617875</v>
      </c>
      <c r="L249" s="40" t="n">
        <f aca="false">IF(ISNUMBER($K249),$K249*$H249,"")</f>
        <v>54.3323413125</v>
      </c>
      <c r="M249" s="40" t="n">
        <f aca="false">IF(ISNUMBER($K249),$K249*Parâmetros!$B$5,"")</f>
        <v>40.24617875</v>
      </c>
      <c r="N249" s="40" t="n">
        <f aca="false">IF(ISNUMBER($K249),$K249*Parâmetros!$C$5,"")</f>
        <v>12.073853625</v>
      </c>
      <c r="O249" s="40" t="n">
        <f aca="false">IF(ISNUMBER($K249),IF(ISNUMBER(Parâmetros!$E$5),Parâmetros!$E$5,0),"")</f>
        <v>0</v>
      </c>
      <c r="P249" s="41" t="n">
        <f aca="false">IF(ISNUMBER($K249),$K249-$D249-IF(ISNUMBER($E249),$E249,0)-$L249-$M249-$N249-$O249,"")</f>
        <v>80.7594138125</v>
      </c>
      <c r="Q249" s="42" t="n">
        <f aca="false">IF(AND(ISNUMBER($K249),$K249&gt;0),$P249/$K249,"")</f>
        <v>0.200663556940794</v>
      </c>
      <c r="R249" s="43"/>
      <c r="S249" s="44" t="str">
        <f aca="false">IF(OR(NOT(ISNUMBER($R249)),$R249=0,NOT(ISNUMBER($K249))),"",$K249*(1-$R249))</f>
        <v/>
      </c>
      <c r="T249" s="45" t="str">
        <f aca="false">IF(ISNUMBER($S249),$S249*$H249,"")</f>
        <v/>
      </c>
      <c r="U249" s="45" t="str">
        <f aca="false">IF(ISNUMBER($S249),$S249*Parâmetros!$B$5,"")</f>
        <v/>
      </c>
      <c r="V249" s="45" t="str">
        <f aca="false">IF(ISNUMBER($S249),$S249*Parâmetros!$C$5,"")</f>
        <v/>
      </c>
      <c r="W249" s="44" t="str">
        <f aca="false">IF(ISNUMBER($S249),$S249-$D249-IF(ISNUMBER($E249),$E249,0)-$O249-$T249-$U249-$V249,"")</f>
        <v/>
      </c>
      <c r="X249" s="46" t="str">
        <f aca="false">IF(AND(ISNUMBER($S249),$S249&gt;0),$W249/$S249,"")</f>
        <v/>
      </c>
      <c r="Y249" s="49" t="s">
        <v>744</v>
      </c>
      <c r="Z249" s="21"/>
    </row>
    <row r="250" customFormat="false" ht="15.75" hidden="false" customHeight="true" outlineLevel="0" collapsed="false">
      <c r="A250" s="32" t="str">
        <f aca="false">IF(Produtos!$A250="","",Produtos!$A250)</f>
        <v>L4045-P</v>
      </c>
      <c r="B250" s="32" t="str">
        <f aca="false">IF(Produtos!$A250="","",Produtos!$B250)</f>
        <v>Lixeira de Parede c/Aro 40x19x45 20L</v>
      </c>
      <c r="C250" s="32" t="str">
        <f aca="false">IF(Produtos!$A250="","",Produtos!$C250)</f>
        <v>Lixeiras em inox</v>
      </c>
      <c r="D250" s="33" t="n">
        <f aca="false">IF(Produtos!$A250="","",IF(Produtos!$D250="","",Produtos!$D250))</f>
        <v>277.43</v>
      </c>
      <c r="E250" s="11"/>
      <c r="F250" s="34" t="n">
        <f aca="false">IF($A250="","",IF($C250="","⚠ categoria",IFERROR(INDEX(Parâmetros!$C$13:$C$22,MATCH($C250,Parâmetros!$A$13:$A$22,0)),"⚠ categoria")))</f>
        <v>0.18</v>
      </c>
      <c r="G250" s="35"/>
      <c r="H250" s="36" t="n">
        <f aca="false">IF($A250="","",IF(ISNUMBER($G250),$G250,IF(ISNUMBER($F250),$F250,"")))</f>
        <v>0.18</v>
      </c>
      <c r="I250" s="37" t="n">
        <f aca="false">IF(OR($A250="",NOT(ISNUMBER($D250)),NOT(ISNUMBER($H250))),"",IF((1-$H250-Parâmetros!$B$5-Parâmetros!$C$5-Parâmetros!$D$5)&lt;=0,"INVALIDO",($D250+IF(ISNUMBER($E250),$E250,0)+IF(ISNUMBER(Parâmetros!$E$5),Parâmetros!$E$5,0))/(1-$H250-Parâmetros!$B$5-Parâmetros!$C$5-Parâmetros!$D$5)))</f>
        <v>566.183673469388</v>
      </c>
      <c r="J250" s="38"/>
      <c r="K250" s="39" t="n">
        <f aca="false">IF(OR($A250="",NOT(ISNUMBER($D250)),NOT(ISNUMBER($H250))),"",IF(AND(ISNUMBER($J250),$J250&gt;0),$J250,IF(ISNUMBER($I250),$I250,"")))</f>
        <v>566.183673469388</v>
      </c>
      <c r="L250" s="40" t="n">
        <f aca="false">IF(ISNUMBER($K250),$K250*$H250,"")</f>
        <v>101.91306122449</v>
      </c>
      <c r="M250" s="40" t="n">
        <f aca="false">IF(ISNUMBER($K250),$K250*Parâmetros!$B$5,"")</f>
        <v>56.6183673469388</v>
      </c>
      <c r="N250" s="40" t="n">
        <f aca="false">IF(ISNUMBER($K250),$K250*Parâmetros!$C$5,"")</f>
        <v>16.9855102040816</v>
      </c>
      <c r="O250" s="40" t="n">
        <f aca="false">IF(ISNUMBER($K250),IF(ISNUMBER(Parâmetros!$E$5),Parâmetros!$E$5,0),"")</f>
        <v>0</v>
      </c>
      <c r="P250" s="41" t="n">
        <f aca="false">IF(ISNUMBER($K250),$K250-$D250-IF(ISNUMBER($E250),$E250,0)-$L250-$M250-$N250-$O250,"")</f>
        <v>113.236734693878</v>
      </c>
      <c r="Q250" s="42" t="n">
        <f aca="false">IF(AND(ISNUMBER($K250),$K250&gt;0),$P250/$K250,"")</f>
        <v>0.2</v>
      </c>
      <c r="R250" s="43"/>
      <c r="S250" s="44" t="str">
        <f aca="false">IF(OR(NOT(ISNUMBER($R250)),$R250=0,NOT(ISNUMBER($K250))),"",$K250*(1-$R250))</f>
        <v/>
      </c>
      <c r="T250" s="45" t="str">
        <f aca="false">IF(ISNUMBER($S250),$S250*$H250,"")</f>
        <v/>
      </c>
      <c r="U250" s="45" t="str">
        <f aca="false">IF(ISNUMBER($S250),$S250*Parâmetros!$B$5,"")</f>
        <v/>
      </c>
      <c r="V250" s="45" t="str">
        <f aca="false">IF(ISNUMBER($S250),$S250*Parâmetros!$C$5,"")</f>
        <v/>
      </c>
      <c r="W250" s="44" t="str">
        <f aca="false">IF(ISNUMBER($S250),$S250-$D250-IF(ISNUMBER($E250),$E250,0)-$O250-$T250-$U250-$V250,"")</f>
        <v/>
      </c>
      <c r="X250" s="46" t="str">
        <f aca="false">IF(AND(ISNUMBER($S250),$S250&gt;0),$W250/$S250,"")</f>
        <v/>
      </c>
      <c r="Y250" s="47"/>
      <c r="Z250" s="19"/>
    </row>
    <row r="251" customFormat="false" ht="15.75" hidden="false" customHeight="true" outlineLevel="0" collapsed="false">
      <c r="A251" s="48" t="str">
        <f aca="false">IF(Produtos!$A251="","",Produtos!$A251)</f>
        <v>L4055-P</v>
      </c>
      <c r="B251" s="48" t="str">
        <f aca="false">IF(Produtos!$A251="","",Produtos!$B251)</f>
        <v>Lixeira de Parede c/Aro 40x19x55 25L</v>
      </c>
      <c r="C251" s="48" t="str">
        <f aca="false">IF(Produtos!$A251="","",Produtos!$C251)</f>
        <v>Lixeiras em inox</v>
      </c>
      <c r="D251" s="33" t="n">
        <f aca="false">IF(Produtos!$A251="","",IF(Produtos!$D251="","",Produtos!$D251))</f>
        <v>288.65</v>
      </c>
      <c r="E251" s="11"/>
      <c r="F251" s="34" t="n">
        <f aca="false">IF($A251="","",IF($C251="","⚠ categoria",IFERROR(INDEX(Parâmetros!$C$13:$C$22,MATCH($C251,Parâmetros!$A$13:$A$22,0)),"⚠ categoria")))</f>
        <v>0.18</v>
      </c>
      <c r="G251" s="35"/>
      <c r="H251" s="36" t="n">
        <f aca="false">IF($A251="","",IF(ISNUMBER($G251),$G251,IF(ISNUMBER($F251),$F251,"")))</f>
        <v>0.18</v>
      </c>
      <c r="I251" s="37" t="n">
        <f aca="false">IF(OR($A251="",NOT(ISNUMBER($D251)),NOT(ISNUMBER($H251))),"",IF((1-$H251-Parâmetros!$B$5-Parâmetros!$C$5-Parâmetros!$D$5)&lt;=0,"INVALIDO",($D251+IF(ISNUMBER($E251),$E251,0)+IF(ISNUMBER(Parâmetros!$E$5),Parâmetros!$E$5,0))/(1-$H251-Parâmetros!$B$5-Parâmetros!$C$5-Parâmetros!$D$5)))</f>
        <v>589.081632653061</v>
      </c>
      <c r="J251" s="38"/>
      <c r="K251" s="39" t="n">
        <f aca="false">IF(OR($A251="",NOT(ISNUMBER($D251)),NOT(ISNUMBER($H251))),"",IF(AND(ISNUMBER($J251),$J251&gt;0),$J251,IF(ISNUMBER($I251),$I251,"")))</f>
        <v>589.081632653061</v>
      </c>
      <c r="L251" s="40" t="n">
        <f aca="false">IF(ISNUMBER($K251),$K251*$H251,"")</f>
        <v>106.034693877551</v>
      </c>
      <c r="M251" s="40" t="n">
        <f aca="false">IF(ISNUMBER($K251),$K251*Parâmetros!$B$5,"")</f>
        <v>58.9081632653061</v>
      </c>
      <c r="N251" s="40" t="n">
        <f aca="false">IF(ISNUMBER($K251),$K251*Parâmetros!$C$5,"")</f>
        <v>17.6724489795918</v>
      </c>
      <c r="O251" s="40" t="n">
        <f aca="false">IF(ISNUMBER($K251),IF(ISNUMBER(Parâmetros!$E$5),Parâmetros!$E$5,0),"")</f>
        <v>0</v>
      </c>
      <c r="P251" s="41" t="n">
        <f aca="false">IF(ISNUMBER($K251),$K251-$D251-IF(ISNUMBER($E251),$E251,0)-$L251-$M251-$N251-$O251,"")</f>
        <v>117.816326530612</v>
      </c>
      <c r="Q251" s="42" t="n">
        <f aca="false">IF(AND(ISNUMBER($K251),$K251&gt;0),$P251/$K251,"")</f>
        <v>0.2</v>
      </c>
      <c r="R251" s="43"/>
      <c r="S251" s="44" t="str">
        <f aca="false">IF(OR(NOT(ISNUMBER($R251)),$R251=0,NOT(ISNUMBER($K251))),"",$K251*(1-$R251))</f>
        <v/>
      </c>
      <c r="T251" s="45" t="str">
        <f aca="false">IF(ISNUMBER($S251),$S251*$H251,"")</f>
        <v/>
      </c>
      <c r="U251" s="45" t="str">
        <f aca="false">IF(ISNUMBER($S251),$S251*Parâmetros!$B$5,"")</f>
        <v/>
      </c>
      <c r="V251" s="45" t="str">
        <f aca="false">IF(ISNUMBER($S251),$S251*Parâmetros!$C$5,"")</f>
        <v/>
      </c>
      <c r="W251" s="44" t="str">
        <f aca="false">IF(ISNUMBER($S251),$S251-$D251-IF(ISNUMBER($E251),$E251,0)-$O251-$T251-$U251-$V251,"")</f>
        <v/>
      </c>
      <c r="X251" s="46" t="str">
        <f aca="false">IF(AND(ISNUMBER($S251),$S251&gt;0),$W251/$S251,"")</f>
        <v/>
      </c>
      <c r="Y251" s="49"/>
      <c r="Z251" s="21"/>
    </row>
    <row r="252" customFormat="false" ht="15.75" hidden="false" customHeight="true" outlineLevel="0" collapsed="false">
      <c r="A252" s="32" t="str">
        <f aca="false">IF(Produtos!$A252="","",Produtos!$A252)</f>
        <v>L4060-P</v>
      </c>
      <c r="B252" s="32" t="str">
        <f aca="false">IF(Produtos!$A252="","",Produtos!$B252)</f>
        <v>Lixeira de Parede c/Aro 40x19x60 30L</v>
      </c>
      <c r="C252" s="32" t="str">
        <f aca="false">IF(Produtos!$A252="","",Produtos!$C252)</f>
        <v>Lixeiras em inox</v>
      </c>
      <c r="D252" s="33" t="n">
        <f aca="false">IF(Produtos!$A252="","",IF(Produtos!$D252="","",Produtos!$D252))</f>
        <v>297.96</v>
      </c>
      <c r="E252" s="11"/>
      <c r="F252" s="34" t="n">
        <f aca="false">IF($A252="","",IF($C252="","⚠ categoria",IFERROR(INDEX(Parâmetros!$C$13:$C$22,MATCH($C252,Parâmetros!$A$13:$A$22,0)),"⚠ categoria")))</f>
        <v>0.18</v>
      </c>
      <c r="G252" s="35"/>
      <c r="H252" s="36" t="n">
        <f aca="false">IF($A252="","",IF(ISNUMBER($G252),$G252,IF(ISNUMBER($F252),$F252,"")))</f>
        <v>0.18</v>
      </c>
      <c r="I252" s="37" t="n">
        <f aca="false">IF(OR($A252="",NOT(ISNUMBER($D252)),NOT(ISNUMBER($H252))),"",IF((1-$H252-Parâmetros!$B$5-Parâmetros!$C$5-Parâmetros!$D$5)&lt;=0,"INVALIDO",($D252+IF(ISNUMBER($E252),$E252,0)+IF(ISNUMBER(Parâmetros!$E$5),Parâmetros!$E$5,0))/(1-$H252-Parâmetros!$B$5-Parâmetros!$C$5-Parâmetros!$D$5)))</f>
        <v>608.081632653061</v>
      </c>
      <c r="J252" s="38"/>
      <c r="K252" s="39" t="n">
        <f aca="false">IF(OR($A252="",NOT(ISNUMBER($D252)),NOT(ISNUMBER($H252))),"",IF(AND(ISNUMBER($J252),$J252&gt;0),$J252,IF(ISNUMBER($I252),$I252,"")))</f>
        <v>608.081632653061</v>
      </c>
      <c r="L252" s="40" t="n">
        <f aca="false">IF(ISNUMBER($K252),$K252*$H252,"")</f>
        <v>109.454693877551</v>
      </c>
      <c r="M252" s="40" t="n">
        <f aca="false">IF(ISNUMBER($K252),$K252*Parâmetros!$B$5,"")</f>
        <v>60.8081632653061</v>
      </c>
      <c r="N252" s="40" t="n">
        <f aca="false">IF(ISNUMBER($K252),$K252*Parâmetros!$C$5,"")</f>
        <v>18.2424489795918</v>
      </c>
      <c r="O252" s="40" t="n">
        <f aca="false">IF(ISNUMBER($K252),IF(ISNUMBER(Parâmetros!$E$5),Parâmetros!$E$5,0),"")</f>
        <v>0</v>
      </c>
      <c r="P252" s="41" t="n">
        <f aca="false">IF(ISNUMBER($K252),$K252-$D252-IF(ISNUMBER($E252),$E252,0)-$L252-$M252-$N252-$O252,"")</f>
        <v>121.616326530612</v>
      </c>
      <c r="Q252" s="42" t="n">
        <f aca="false">IF(AND(ISNUMBER($K252),$K252&gt;0),$P252/$K252,"")</f>
        <v>0.2</v>
      </c>
      <c r="R252" s="43"/>
      <c r="S252" s="44" t="str">
        <f aca="false">IF(OR(NOT(ISNUMBER($R252)),$R252=0,NOT(ISNUMBER($K252))),"",$K252*(1-$R252))</f>
        <v/>
      </c>
      <c r="T252" s="45" t="str">
        <f aca="false">IF(ISNUMBER($S252),$S252*$H252,"")</f>
        <v/>
      </c>
      <c r="U252" s="45" t="str">
        <f aca="false">IF(ISNUMBER($S252),$S252*Parâmetros!$B$5,"")</f>
        <v/>
      </c>
      <c r="V252" s="45" t="str">
        <f aca="false">IF(ISNUMBER($S252),$S252*Parâmetros!$C$5,"")</f>
        <v/>
      </c>
      <c r="W252" s="44" t="str">
        <f aca="false">IF(ISNUMBER($S252),$S252-$D252-IF(ISNUMBER($E252),$E252,0)-$O252-$T252-$U252-$V252,"")</f>
        <v/>
      </c>
      <c r="X252" s="46" t="str">
        <f aca="false">IF(AND(ISNUMBER($S252),$S252&gt;0),$W252/$S252,"")</f>
        <v/>
      </c>
      <c r="Y252" s="47"/>
      <c r="Z252" s="19"/>
    </row>
    <row r="253" customFormat="false" ht="15.75" hidden="false" customHeight="true" outlineLevel="0" collapsed="false">
      <c r="A253" s="48" t="str">
        <f aca="false">IF(Produtos!$A253="","",Produtos!$A253)</f>
        <v>L4065-P</v>
      </c>
      <c r="B253" s="48" t="str">
        <f aca="false">IF(Produtos!$A253="","",Produtos!$B253)</f>
        <v>Lixeira de Parede c/Aro 40x19x65 35L</v>
      </c>
      <c r="C253" s="48" t="str">
        <f aca="false">IF(Produtos!$A253="","",Produtos!$C253)</f>
        <v>Lixeiras em inox</v>
      </c>
      <c r="D253" s="33" t="n">
        <f aca="false">IF(Produtos!$A253="","",IF(Produtos!$D253="","",Produtos!$D253))</f>
        <v>388.44</v>
      </c>
      <c r="E253" s="11"/>
      <c r="F253" s="34" t="n">
        <f aca="false">IF($A253="","",IF($C253="","⚠ categoria",IFERROR(INDEX(Parâmetros!$C$13:$C$22,MATCH($C253,Parâmetros!$A$13:$A$22,0)),"⚠ categoria")))</f>
        <v>0.18</v>
      </c>
      <c r="G253" s="35"/>
      <c r="H253" s="36" t="n">
        <f aca="false">IF($A253="","",IF(ISNUMBER($G253),$G253,IF(ISNUMBER($F253),$F253,"")))</f>
        <v>0.18</v>
      </c>
      <c r="I253" s="37" t="n">
        <f aca="false">IF(OR($A253="",NOT(ISNUMBER($D253)),NOT(ISNUMBER($H253))),"",IF((1-$H253-Parâmetros!$B$5-Parâmetros!$C$5-Parâmetros!$D$5)&lt;=0,"INVALIDO",($D253+IF(ISNUMBER($E253),$E253,0)+IF(ISNUMBER(Parâmetros!$E$5),Parâmetros!$E$5,0))/(1-$H253-Parâmetros!$B$5-Parâmetros!$C$5-Parâmetros!$D$5)))</f>
        <v>792.734693877551</v>
      </c>
      <c r="J253" s="38"/>
      <c r="K253" s="39" t="n">
        <f aca="false">IF(OR($A253="",NOT(ISNUMBER($D253)),NOT(ISNUMBER($H253))),"",IF(AND(ISNUMBER($J253),$J253&gt;0),$J253,IF(ISNUMBER($I253),$I253,"")))</f>
        <v>792.734693877551</v>
      </c>
      <c r="L253" s="40" t="n">
        <f aca="false">IF(ISNUMBER($K253),$K253*$H253,"")</f>
        <v>142.692244897959</v>
      </c>
      <c r="M253" s="40" t="n">
        <f aca="false">IF(ISNUMBER($K253),$K253*Parâmetros!$B$5,"")</f>
        <v>79.2734693877551</v>
      </c>
      <c r="N253" s="40" t="n">
        <f aca="false">IF(ISNUMBER($K253),$K253*Parâmetros!$C$5,"")</f>
        <v>23.7820408163265</v>
      </c>
      <c r="O253" s="40" t="n">
        <f aca="false">IF(ISNUMBER($K253),IF(ISNUMBER(Parâmetros!$E$5),Parâmetros!$E$5,0),"")</f>
        <v>0</v>
      </c>
      <c r="P253" s="41" t="n">
        <f aca="false">IF(ISNUMBER($K253),$K253-$D253-IF(ISNUMBER($E253),$E253,0)-$L253-$M253-$N253-$O253,"")</f>
        <v>158.54693877551</v>
      </c>
      <c r="Q253" s="42" t="n">
        <f aca="false">IF(AND(ISNUMBER($K253),$K253&gt;0),$P253/$K253,"")</f>
        <v>0.2</v>
      </c>
      <c r="R253" s="43"/>
      <c r="S253" s="44" t="str">
        <f aca="false">IF(OR(NOT(ISNUMBER($R253)),$R253=0,NOT(ISNUMBER($K253))),"",$K253*(1-$R253))</f>
        <v/>
      </c>
      <c r="T253" s="45" t="str">
        <f aca="false">IF(ISNUMBER($S253),$S253*$H253,"")</f>
        <v/>
      </c>
      <c r="U253" s="45" t="str">
        <f aca="false">IF(ISNUMBER($S253),$S253*Parâmetros!$B$5,"")</f>
        <v/>
      </c>
      <c r="V253" s="45" t="str">
        <f aca="false">IF(ISNUMBER($S253),$S253*Parâmetros!$C$5,"")</f>
        <v/>
      </c>
      <c r="W253" s="44" t="str">
        <f aca="false">IF(ISNUMBER($S253),$S253-$D253-IF(ISNUMBER($E253),$E253,0)-$O253-$T253-$U253-$V253,"")</f>
        <v/>
      </c>
      <c r="X253" s="46" t="str">
        <f aca="false">IF(AND(ISNUMBER($S253),$S253&gt;0),$W253/$S253,"")</f>
        <v/>
      </c>
      <c r="Y253" s="49"/>
      <c r="Z253" s="21"/>
    </row>
    <row r="254" customFormat="false" ht="15.75" hidden="false" customHeight="true" outlineLevel="0" collapsed="false">
      <c r="A254" s="32" t="str">
        <f aca="false">IF(Produtos!$A254="","",Produtos!$A254)</f>
        <v>L4070-P</v>
      </c>
      <c r="B254" s="32" t="str">
        <f aca="false">IF(Produtos!$A254="","",Produtos!$B254)</f>
        <v>Lixeira de Parede c/Aro 40x19x70 40L</v>
      </c>
      <c r="C254" s="32" t="str">
        <f aca="false">IF(Produtos!$A254="","",Produtos!$C254)</f>
        <v>Lixeiras em inox</v>
      </c>
      <c r="D254" s="33" t="n">
        <f aca="false">IF(Produtos!$A254="","",IF(Produtos!$D254="","",Produtos!$D254))</f>
        <v>394.64</v>
      </c>
      <c r="E254" s="11"/>
      <c r="F254" s="34" t="n">
        <f aca="false">IF($A254="","",IF($C254="","⚠ categoria",IFERROR(INDEX(Parâmetros!$C$13:$C$22,MATCH($C254,Parâmetros!$A$13:$A$22,0)),"⚠ categoria")))</f>
        <v>0.18</v>
      </c>
      <c r="G254" s="35"/>
      <c r="H254" s="36" t="n">
        <f aca="false">IF($A254="","",IF(ISNUMBER($G254),$G254,IF(ISNUMBER($F254),$F254,"")))</f>
        <v>0.18</v>
      </c>
      <c r="I254" s="37" t="n">
        <f aca="false">IF(OR($A254="",NOT(ISNUMBER($D254)),NOT(ISNUMBER($H254))),"",IF((1-$H254-Parâmetros!$B$5-Parâmetros!$C$5-Parâmetros!$D$5)&lt;=0,"INVALIDO",($D254+IF(ISNUMBER($E254),$E254,0)+IF(ISNUMBER(Parâmetros!$E$5),Parâmetros!$E$5,0))/(1-$H254-Parâmetros!$B$5-Parâmetros!$C$5-Parâmetros!$D$5)))</f>
        <v>805.387755102041</v>
      </c>
      <c r="J254" s="38"/>
      <c r="K254" s="39" t="n">
        <f aca="false">IF(OR($A254="",NOT(ISNUMBER($D254)),NOT(ISNUMBER($H254))),"",IF(AND(ISNUMBER($J254),$J254&gt;0),$J254,IF(ISNUMBER($I254),$I254,"")))</f>
        <v>805.387755102041</v>
      </c>
      <c r="L254" s="40" t="n">
        <f aca="false">IF(ISNUMBER($K254),$K254*$H254,"")</f>
        <v>144.969795918367</v>
      </c>
      <c r="M254" s="40" t="n">
        <f aca="false">IF(ISNUMBER($K254),$K254*Parâmetros!$B$5,"")</f>
        <v>80.5387755102041</v>
      </c>
      <c r="N254" s="40" t="n">
        <f aca="false">IF(ISNUMBER($K254),$K254*Parâmetros!$C$5,"")</f>
        <v>24.1616326530612</v>
      </c>
      <c r="O254" s="40" t="n">
        <f aca="false">IF(ISNUMBER($K254),IF(ISNUMBER(Parâmetros!$E$5),Parâmetros!$E$5,0),"")</f>
        <v>0</v>
      </c>
      <c r="P254" s="41" t="n">
        <f aca="false">IF(ISNUMBER($K254),$K254-$D254-IF(ISNUMBER($E254),$E254,0)-$L254-$M254-$N254-$O254,"")</f>
        <v>161.077551020408</v>
      </c>
      <c r="Q254" s="42" t="n">
        <f aca="false">IF(AND(ISNUMBER($K254),$K254&gt;0),$P254/$K254,"")</f>
        <v>0.2</v>
      </c>
      <c r="R254" s="43"/>
      <c r="S254" s="44" t="str">
        <f aca="false">IF(OR(NOT(ISNUMBER($R254)),$R254=0,NOT(ISNUMBER($K254))),"",$K254*(1-$R254))</f>
        <v/>
      </c>
      <c r="T254" s="45" t="str">
        <f aca="false">IF(ISNUMBER($S254),$S254*$H254,"")</f>
        <v/>
      </c>
      <c r="U254" s="45" t="str">
        <f aca="false">IF(ISNUMBER($S254),$S254*Parâmetros!$B$5,"")</f>
        <v/>
      </c>
      <c r="V254" s="45" t="str">
        <f aca="false">IF(ISNUMBER($S254),$S254*Parâmetros!$C$5,"")</f>
        <v/>
      </c>
      <c r="W254" s="44" t="str">
        <f aca="false">IF(ISNUMBER($S254),$S254-$D254-IF(ISNUMBER($E254),$E254,0)-$O254-$T254-$U254-$V254,"")</f>
        <v/>
      </c>
      <c r="X254" s="46" t="str">
        <f aca="false">IF(AND(ISNUMBER($S254),$S254&gt;0),$W254/$S254,"")</f>
        <v/>
      </c>
      <c r="Y254" s="47"/>
      <c r="Z254" s="19"/>
    </row>
    <row r="255" customFormat="false" ht="15.75" hidden="false" customHeight="true" outlineLevel="0" collapsed="false">
      <c r="A255" s="48" t="str">
        <f aca="false">IF(Produtos!$A255="","",Produtos!$A255)</f>
        <v>L4080-P</v>
      </c>
      <c r="B255" s="48" t="str">
        <f aca="false">IF(Produtos!$A255="","",Produtos!$B255)</f>
        <v>Lixeira de Parede c/Aro 40x19x80 50L</v>
      </c>
      <c r="C255" s="48" t="str">
        <f aca="false">IF(Produtos!$A255="","",Produtos!$C255)</f>
        <v>Lixeiras em inox</v>
      </c>
      <c r="D255" s="33" t="n">
        <f aca="false">IF(Produtos!$A255="","",IF(Produtos!$D255="","",Produtos!$D255))</f>
        <v>401</v>
      </c>
      <c r="E255" s="11"/>
      <c r="F255" s="34" t="n">
        <f aca="false">IF($A255="","",IF($C255="","⚠ categoria",IFERROR(INDEX(Parâmetros!$C$13:$C$22,MATCH($C255,Parâmetros!$A$13:$A$22,0)),"⚠ categoria")))</f>
        <v>0.18</v>
      </c>
      <c r="G255" s="35"/>
      <c r="H255" s="36" t="n">
        <f aca="false">IF($A255="","",IF(ISNUMBER($G255),$G255,IF(ISNUMBER($F255),$F255,"")))</f>
        <v>0.18</v>
      </c>
      <c r="I255" s="37" t="n">
        <f aca="false">IF(OR($A255="",NOT(ISNUMBER($D255)),NOT(ISNUMBER($H255))),"",IF((1-$H255-Parâmetros!$B$5-Parâmetros!$C$5-Parâmetros!$D$5)&lt;=0,"INVALIDO",($D255+IF(ISNUMBER($E255),$E255,0)+IF(ISNUMBER(Parâmetros!$E$5),Parâmetros!$E$5,0))/(1-$H255-Parâmetros!$B$5-Parâmetros!$C$5-Parâmetros!$D$5)))</f>
        <v>818.367346938775</v>
      </c>
      <c r="J255" s="38"/>
      <c r="K255" s="39" t="n">
        <f aca="false">IF(OR($A255="",NOT(ISNUMBER($D255)),NOT(ISNUMBER($H255))),"",IF(AND(ISNUMBER($J255),$J255&gt;0),$J255,IF(ISNUMBER($I255),$I255,"")))</f>
        <v>818.367346938775</v>
      </c>
      <c r="L255" s="40" t="n">
        <f aca="false">IF(ISNUMBER($K255),$K255*$H255,"")</f>
        <v>147.30612244898</v>
      </c>
      <c r="M255" s="40" t="n">
        <f aca="false">IF(ISNUMBER($K255),$K255*Parâmetros!$B$5,"")</f>
        <v>81.8367346938776</v>
      </c>
      <c r="N255" s="40" t="n">
        <f aca="false">IF(ISNUMBER($K255),$K255*Parâmetros!$C$5,"")</f>
        <v>24.5510204081633</v>
      </c>
      <c r="O255" s="40" t="n">
        <f aca="false">IF(ISNUMBER($K255),IF(ISNUMBER(Parâmetros!$E$5),Parâmetros!$E$5,0),"")</f>
        <v>0</v>
      </c>
      <c r="P255" s="41" t="n">
        <f aca="false">IF(ISNUMBER($K255),$K255-$D255-IF(ISNUMBER($E255),$E255,0)-$L255-$M255-$N255-$O255,"")</f>
        <v>163.673469387755</v>
      </c>
      <c r="Q255" s="42" t="n">
        <f aca="false">IF(AND(ISNUMBER($K255),$K255&gt;0),$P255/$K255,"")</f>
        <v>0.2</v>
      </c>
      <c r="R255" s="43"/>
      <c r="S255" s="44" t="str">
        <f aca="false">IF(OR(NOT(ISNUMBER($R255)),$R255=0,NOT(ISNUMBER($K255))),"",$K255*(1-$R255))</f>
        <v/>
      </c>
      <c r="T255" s="45" t="str">
        <f aca="false">IF(ISNUMBER($S255),$S255*$H255,"")</f>
        <v/>
      </c>
      <c r="U255" s="45" t="str">
        <f aca="false">IF(ISNUMBER($S255),$S255*Parâmetros!$B$5,"")</f>
        <v/>
      </c>
      <c r="V255" s="45" t="str">
        <f aca="false">IF(ISNUMBER($S255),$S255*Parâmetros!$C$5,"")</f>
        <v/>
      </c>
      <c r="W255" s="44" t="str">
        <f aca="false">IF(ISNUMBER($S255),$S255-$D255-IF(ISNUMBER($E255),$E255,0)-$O255-$T255-$U255-$V255,"")</f>
        <v/>
      </c>
      <c r="X255" s="46" t="str">
        <f aca="false">IF(AND(ISNUMBER($S255),$S255&gt;0),$W255/$S255,"")</f>
        <v/>
      </c>
      <c r="Y255" s="49"/>
      <c r="Z255" s="21"/>
    </row>
    <row r="256" customFormat="false" ht="15.75" hidden="false" customHeight="true" outlineLevel="0" collapsed="false">
      <c r="A256" s="32" t="str">
        <f aca="false">IF(Produtos!$A256="","",Produtos!$A256)</f>
        <v>L4045-PC</v>
      </c>
      <c r="B256" s="32" t="str">
        <f aca="false">IF(Produtos!$A256="","",Produtos!$B256)</f>
        <v>Lixeira de Parede c/Aro Colorido 40x19x45 20L</v>
      </c>
      <c r="C256" s="32" t="str">
        <f aca="false">IF(Produtos!$A256="","",Produtos!$C256)</f>
        <v>Lixeiras em inox</v>
      </c>
      <c r="D256" s="33" t="n">
        <f aca="false">IF(Produtos!$A256="","",IF(Produtos!$D256="","",Produtos!$D256))</f>
        <v>291.85</v>
      </c>
      <c r="E256" s="11"/>
      <c r="F256" s="34" t="n">
        <f aca="false">IF($A256="","",IF($C256="","⚠ categoria",IFERROR(INDEX(Parâmetros!$C$13:$C$22,MATCH($C256,Parâmetros!$A$13:$A$22,0)),"⚠ categoria")))</f>
        <v>0.18</v>
      </c>
      <c r="G256" s="35"/>
      <c r="H256" s="36" t="n">
        <f aca="false">IF($A256="","",IF(ISNUMBER($G256),$G256,IF(ISNUMBER($F256),$F256,"")))</f>
        <v>0.18</v>
      </c>
      <c r="I256" s="37" t="n">
        <f aca="false">IF(OR($A256="",NOT(ISNUMBER($D256)),NOT(ISNUMBER($H256))),"",IF((1-$H256-Parâmetros!$B$5-Parâmetros!$C$5-Parâmetros!$D$5)&lt;=0,"INVALIDO",($D256+IF(ISNUMBER($E256),$E256,0)+IF(ISNUMBER(Parâmetros!$E$5),Parâmetros!$E$5,0))/(1-$H256-Parâmetros!$B$5-Parâmetros!$C$5-Parâmetros!$D$5)))</f>
        <v>595.612244897959</v>
      </c>
      <c r="J256" s="38"/>
      <c r="K256" s="39" t="n">
        <f aca="false">IF(OR($A256="",NOT(ISNUMBER($D256)),NOT(ISNUMBER($H256))),"",IF(AND(ISNUMBER($J256),$J256&gt;0),$J256,IF(ISNUMBER($I256),$I256,"")))</f>
        <v>595.612244897959</v>
      </c>
      <c r="L256" s="40" t="n">
        <f aca="false">IF(ISNUMBER($K256),$K256*$H256,"")</f>
        <v>107.210204081633</v>
      </c>
      <c r="M256" s="40" t="n">
        <f aca="false">IF(ISNUMBER($K256),$K256*Parâmetros!$B$5,"")</f>
        <v>59.5612244897959</v>
      </c>
      <c r="N256" s="40" t="n">
        <f aca="false">IF(ISNUMBER($K256),$K256*Parâmetros!$C$5,"")</f>
        <v>17.8683673469388</v>
      </c>
      <c r="O256" s="40" t="n">
        <f aca="false">IF(ISNUMBER($K256),IF(ISNUMBER(Parâmetros!$E$5),Parâmetros!$E$5,0),"")</f>
        <v>0</v>
      </c>
      <c r="P256" s="41" t="n">
        <f aca="false">IF(ISNUMBER($K256),$K256-$D256-IF(ISNUMBER($E256),$E256,0)-$L256-$M256-$N256-$O256,"")</f>
        <v>119.122448979592</v>
      </c>
      <c r="Q256" s="42" t="n">
        <f aca="false">IF(AND(ISNUMBER($K256),$K256&gt;0),$P256/$K256,"")</f>
        <v>0.2</v>
      </c>
      <c r="R256" s="43"/>
      <c r="S256" s="44" t="str">
        <f aca="false">IF(OR(NOT(ISNUMBER($R256)),$R256=0,NOT(ISNUMBER($K256))),"",$K256*(1-$R256))</f>
        <v/>
      </c>
      <c r="T256" s="45" t="str">
        <f aca="false">IF(ISNUMBER($S256),$S256*$H256,"")</f>
        <v/>
      </c>
      <c r="U256" s="45" t="str">
        <f aca="false">IF(ISNUMBER($S256),$S256*Parâmetros!$B$5,"")</f>
        <v/>
      </c>
      <c r="V256" s="45" t="str">
        <f aca="false">IF(ISNUMBER($S256),$S256*Parâmetros!$C$5,"")</f>
        <v/>
      </c>
      <c r="W256" s="44" t="str">
        <f aca="false">IF(ISNUMBER($S256),$S256-$D256-IF(ISNUMBER($E256),$E256,0)-$O256-$T256-$U256-$V256,"")</f>
        <v/>
      </c>
      <c r="X256" s="46" t="str">
        <f aca="false">IF(AND(ISNUMBER($S256),$S256&gt;0),$W256/$S256,"")</f>
        <v/>
      </c>
      <c r="Y256" s="47"/>
      <c r="Z256" s="19"/>
    </row>
    <row r="257" customFormat="false" ht="15.75" hidden="false" customHeight="true" outlineLevel="0" collapsed="false">
      <c r="A257" s="48" t="str">
        <f aca="false">IF(Produtos!$A257="","",Produtos!$A257)</f>
        <v>L4055-PC</v>
      </c>
      <c r="B257" s="48" t="str">
        <f aca="false">IF(Produtos!$A257="","",Produtos!$B257)</f>
        <v>Lixeira de Parede c/Aro Colorido 40x19x55 25L</v>
      </c>
      <c r="C257" s="48" t="str">
        <f aca="false">IF(Produtos!$A257="","",Produtos!$C257)</f>
        <v>Lixeiras em inox</v>
      </c>
      <c r="D257" s="33" t="n">
        <f aca="false">IF(Produtos!$A257="","",IF(Produtos!$D257="","",Produtos!$D257))</f>
        <v>301.44</v>
      </c>
      <c r="E257" s="11"/>
      <c r="F257" s="34" t="n">
        <f aca="false">IF($A257="","",IF($C257="","⚠ categoria",IFERROR(INDEX(Parâmetros!$C$13:$C$22,MATCH($C257,Parâmetros!$A$13:$A$22,0)),"⚠ categoria")))</f>
        <v>0.18</v>
      </c>
      <c r="G257" s="35"/>
      <c r="H257" s="36" t="n">
        <f aca="false">IF($A257="","",IF(ISNUMBER($G257),$G257,IF(ISNUMBER($F257),$F257,"")))</f>
        <v>0.18</v>
      </c>
      <c r="I257" s="37" t="n">
        <f aca="false">IF(OR($A257="",NOT(ISNUMBER($D257)),NOT(ISNUMBER($H257))),"",IF((1-$H257-Parâmetros!$B$5-Parâmetros!$C$5-Parâmetros!$D$5)&lt;=0,"INVALIDO",($D257+IF(ISNUMBER($E257),$E257,0)+IF(ISNUMBER(Parâmetros!$E$5),Parâmetros!$E$5,0))/(1-$H257-Parâmetros!$B$5-Parâmetros!$C$5-Parâmetros!$D$5)))</f>
        <v>615.183673469388</v>
      </c>
      <c r="J257" s="38"/>
      <c r="K257" s="39" t="n">
        <f aca="false">IF(OR($A257="",NOT(ISNUMBER($D257)),NOT(ISNUMBER($H257))),"",IF(AND(ISNUMBER($J257),$J257&gt;0),$J257,IF(ISNUMBER($I257),$I257,"")))</f>
        <v>615.183673469388</v>
      </c>
      <c r="L257" s="40" t="n">
        <f aca="false">IF(ISNUMBER($K257),$K257*$H257,"")</f>
        <v>110.73306122449</v>
      </c>
      <c r="M257" s="40" t="n">
        <f aca="false">IF(ISNUMBER($K257),$K257*Parâmetros!$B$5,"")</f>
        <v>61.5183673469388</v>
      </c>
      <c r="N257" s="40" t="n">
        <f aca="false">IF(ISNUMBER($K257),$K257*Parâmetros!$C$5,"")</f>
        <v>18.4555102040816</v>
      </c>
      <c r="O257" s="40" t="n">
        <f aca="false">IF(ISNUMBER($K257),IF(ISNUMBER(Parâmetros!$E$5),Parâmetros!$E$5,0),"")</f>
        <v>0</v>
      </c>
      <c r="P257" s="41" t="n">
        <f aca="false">IF(ISNUMBER($K257),$K257-$D257-IF(ISNUMBER($E257),$E257,0)-$L257-$M257-$N257-$O257,"")</f>
        <v>123.036734693878</v>
      </c>
      <c r="Q257" s="42" t="n">
        <f aca="false">IF(AND(ISNUMBER($K257),$K257&gt;0),$P257/$K257,"")</f>
        <v>0.2</v>
      </c>
      <c r="R257" s="43"/>
      <c r="S257" s="44" t="str">
        <f aca="false">IF(OR(NOT(ISNUMBER($R257)),$R257=0,NOT(ISNUMBER($K257))),"",$K257*(1-$R257))</f>
        <v/>
      </c>
      <c r="T257" s="45" t="str">
        <f aca="false">IF(ISNUMBER($S257),$S257*$H257,"")</f>
        <v/>
      </c>
      <c r="U257" s="45" t="str">
        <f aca="false">IF(ISNUMBER($S257),$S257*Parâmetros!$B$5,"")</f>
        <v/>
      </c>
      <c r="V257" s="45" t="str">
        <f aca="false">IF(ISNUMBER($S257),$S257*Parâmetros!$C$5,"")</f>
        <v/>
      </c>
      <c r="W257" s="44" t="str">
        <f aca="false">IF(ISNUMBER($S257),$S257-$D257-IF(ISNUMBER($E257),$E257,0)-$O257-$T257-$U257-$V257,"")</f>
        <v/>
      </c>
      <c r="X257" s="46" t="str">
        <f aca="false">IF(AND(ISNUMBER($S257),$S257&gt;0),$W257/$S257,"")</f>
        <v/>
      </c>
      <c r="Y257" s="49"/>
      <c r="Z257" s="21"/>
    </row>
    <row r="258" customFormat="false" ht="15.75" hidden="false" customHeight="true" outlineLevel="0" collapsed="false">
      <c r="A258" s="32" t="str">
        <f aca="false">IF(Produtos!$A258="","",Produtos!$A258)</f>
        <v>L4060-PC</v>
      </c>
      <c r="B258" s="32" t="str">
        <f aca="false">IF(Produtos!$A258="","",Produtos!$B258)</f>
        <v>Lixeira de Parede c/Aro Colorido 40x19x60 30L</v>
      </c>
      <c r="C258" s="32" t="str">
        <f aca="false">IF(Produtos!$A258="","",Produtos!$C258)</f>
        <v>Lixeiras em inox</v>
      </c>
      <c r="D258" s="33" t="n">
        <f aca="false">IF(Produtos!$A258="","",IF(Produtos!$D258="","",Produtos!$D258))</f>
        <v>314.8</v>
      </c>
      <c r="E258" s="11"/>
      <c r="F258" s="34" t="n">
        <f aca="false">IF($A258="","",IF($C258="","⚠ categoria",IFERROR(INDEX(Parâmetros!$C$13:$C$22,MATCH($C258,Parâmetros!$A$13:$A$22,0)),"⚠ categoria")))</f>
        <v>0.18</v>
      </c>
      <c r="G258" s="35"/>
      <c r="H258" s="36" t="n">
        <f aca="false">IF($A258="","",IF(ISNUMBER($G258),$G258,IF(ISNUMBER($F258),$F258,"")))</f>
        <v>0.18</v>
      </c>
      <c r="I258" s="37" t="n">
        <f aca="false">IF(OR($A258="",NOT(ISNUMBER($D258)),NOT(ISNUMBER($H258))),"",IF((1-$H258-Parâmetros!$B$5-Parâmetros!$C$5-Parâmetros!$D$5)&lt;=0,"INVALIDO",($D258+IF(ISNUMBER($E258),$E258,0)+IF(ISNUMBER(Parâmetros!$E$5),Parâmetros!$E$5,0))/(1-$H258-Parâmetros!$B$5-Parâmetros!$C$5-Parâmetros!$D$5)))</f>
        <v>642.448979591837</v>
      </c>
      <c r="J258" s="38"/>
      <c r="K258" s="39" t="n">
        <f aca="false">IF(OR($A258="",NOT(ISNUMBER($D258)),NOT(ISNUMBER($H258))),"",IF(AND(ISNUMBER($J258),$J258&gt;0),$J258,IF(ISNUMBER($I258),$I258,"")))</f>
        <v>642.448979591837</v>
      </c>
      <c r="L258" s="40" t="n">
        <f aca="false">IF(ISNUMBER($K258),$K258*$H258,"")</f>
        <v>115.640816326531</v>
      </c>
      <c r="M258" s="40" t="n">
        <f aca="false">IF(ISNUMBER($K258),$K258*Parâmetros!$B$5,"")</f>
        <v>64.2448979591837</v>
      </c>
      <c r="N258" s="40" t="n">
        <f aca="false">IF(ISNUMBER($K258),$K258*Parâmetros!$C$5,"")</f>
        <v>19.2734693877551</v>
      </c>
      <c r="O258" s="40" t="n">
        <f aca="false">IF(ISNUMBER($K258),IF(ISNUMBER(Parâmetros!$E$5),Parâmetros!$E$5,0),"")</f>
        <v>0</v>
      </c>
      <c r="P258" s="41" t="n">
        <f aca="false">IF(ISNUMBER($K258),$K258-$D258-IF(ISNUMBER($E258),$E258,0)-$L258-$M258-$N258-$O258,"")</f>
        <v>128.489795918367</v>
      </c>
      <c r="Q258" s="42" t="n">
        <f aca="false">IF(AND(ISNUMBER($K258),$K258&gt;0),$P258/$K258,"")</f>
        <v>0.2</v>
      </c>
      <c r="R258" s="43"/>
      <c r="S258" s="44" t="str">
        <f aca="false">IF(OR(NOT(ISNUMBER($R258)),$R258=0,NOT(ISNUMBER($K258))),"",$K258*(1-$R258))</f>
        <v/>
      </c>
      <c r="T258" s="45" t="str">
        <f aca="false">IF(ISNUMBER($S258),$S258*$H258,"")</f>
        <v/>
      </c>
      <c r="U258" s="45" t="str">
        <f aca="false">IF(ISNUMBER($S258),$S258*Parâmetros!$B$5,"")</f>
        <v/>
      </c>
      <c r="V258" s="45" t="str">
        <f aca="false">IF(ISNUMBER($S258),$S258*Parâmetros!$C$5,"")</f>
        <v/>
      </c>
      <c r="W258" s="44" t="str">
        <f aca="false">IF(ISNUMBER($S258),$S258-$D258-IF(ISNUMBER($E258),$E258,0)-$O258-$T258-$U258-$V258,"")</f>
        <v/>
      </c>
      <c r="X258" s="46" t="str">
        <f aca="false">IF(AND(ISNUMBER($S258),$S258&gt;0),$W258/$S258,"")</f>
        <v/>
      </c>
      <c r="Y258" s="47"/>
      <c r="Z258" s="19"/>
    </row>
    <row r="259" customFormat="false" ht="15.75" hidden="false" customHeight="true" outlineLevel="0" collapsed="false">
      <c r="A259" s="48" t="str">
        <f aca="false">IF(Produtos!$A259="","",Produtos!$A259)</f>
        <v>L4065-PC</v>
      </c>
      <c r="B259" s="48" t="str">
        <f aca="false">IF(Produtos!$A259="","",Produtos!$B259)</f>
        <v>Lixeira de Parede c/Aro Colorido 40x19x65 35L</v>
      </c>
      <c r="C259" s="48" t="str">
        <f aca="false">IF(Produtos!$A259="","",Produtos!$C259)</f>
        <v>Lixeiras em inox</v>
      </c>
      <c r="D259" s="33" t="n">
        <f aca="false">IF(Produtos!$A259="","",IF(Produtos!$D259="","",Produtos!$D259))</f>
        <v>405.46</v>
      </c>
      <c r="E259" s="11"/>
      <c r="F259" s="34" t="n">
        <f aca="false">IF($A259="","",IF($C259="","⚠ categoria",IFERROR(INDEX(Parâmetros!$C$13:$C$22,MATCH($C259,Parâmetros!$A$13:$A$22,0)),"⚠ categoria")))</f>
        <v>0.18</v>
      </c>
      <c r="G259" s="35"/>
      <c r="H259" s="36" t="n">
        <f aca="false">IF($A259="","",IF(ISNUMBER($G259),$G259,IF(ISNUMBER($F259),$F259,"")))</f>
        <v>0.18</v>
      </c>
      <c r="I259" s="37" t="n">
        <f aca="false">IF(OR($A259="",NOT(ISNUMBER($D259)),NOT(ISNUMBER($H259))),"",IF((1-$H259-Parâmetros!$B$5-Parâmetros!$C$5-Parâmetros!$D$5)&lt;=0,"INVALIDO",($D259+IF(ISNUMBER($E259),$E259,0)+IF(ISNUMBER(Parâmetros!$E$5),Parâmetros!$E$5,0))/(1-$H259-Parâmetros!$B$5-Parâmetros!$C$5-Parâmetros!$D$5)))</f>
        <v>827.469387755102</v>
      </c>
      <c r="J259" s="38"/>
      <c r="K259" s="39" t="n">
        <f aca="false">IF(OR($A259="",NOT(ISNUMBER($D259)),NOT(ISNUMBER($H259))),"",IF(AND(ISNUMBER($J259),$J259&gt;0),$J259,IF(ISNUMBER($I259),$I259,"")))</f>
        <v>827.469387755102</v>
      </c>
      <c r="L259" s="40" t="n">
        <f aca="false">IF(ISNUMBER($K259),$K259*$H259,"")</f>
        <v>148.944489795918</v>
      </c>
      <c r="M259" s="40" t="n">
        <f aca="false">IF(ISNUMBER($K259),$K259*Parâmetros!$B$5,"")</f>
        <v>82.7469387755102</v>
      </c>
      <c r="N259" s="40" t="n">
        <f aca="false">IF(ISNUMBER($K259),$K259*Parâmetros!$C$5,"")</f>
        <v>24.8240816326531</v>
      </c>
      <c r="O259" s="40" t="n">
        <f aca="false">IF(ISNUMBER($K259),IF(ISNUMBER(Parâmetros!$E$5),Parâmetros!$E$5,0),"")</f>
        <v>0</v>
      </c>
      <c r="P259" s="41" t="n">
        <f aca="false">IF(ISNUMBER($K259),$K259-$D259-IF(ISNUMBER($E259),$E259,0)-$L259-$M259-$N259-$O259,"")</f>
        <v>165.49387755102</v>
      </c>
      <c r="Q259" s="42" t="n">
        <f aca="false">IF(AND(ISNUMBER($K259),$K259&gt;0),$P259/$K259,"")</f>
        <v>0.2</v>
      </c>
      <c r="R259" s="43"/>
      <c r="S259" s="44" t="str">
        <f aca="false">IF(OR(NOT(ISNUMBER($R259)),$R259=0,NOT(ISNUMBER($K259))),"",$K259*(1-$R259))</f>
        <v/>
      </c>
      <c r="T259" s="45" t="str">
        <f aca="false">IF(ISNUMBER($S259),$S259*$H259,"")</f>
        <v/>
      </c>
      <c r="U259" s="45" t="str">
        <f aca="false">IF(ISNUMBER($S259),$S259*Parâmetros!$B$5,"")</f>
        <v/>
      </c>
      <c r="V259" s="45" t="str">
        <f aca="false">IF(ISNUMBER($S259),$S259*Parâmetros!$C$5,"")</f>
        <v/>
      </c>
      <c r="W259" s="44" t="str">
        <f aca="false">IF(ISNUMBER($S259),$S259-$D259-IF(ISNUMBER($E259),$E259,0)-$O259-$T259-$U259-$V259,"")</f>
        <v/>
      </c>
      <c r="X259" s="46" t="str">
        <f aca="false">IF(AND(ISNUMBER($S259),$S259&gt;0),$W259/$S259,"")</f>
        <v/>
      </c>
      <c r="Y259" s="49"/>
      <c r="Z259" s="21"/>
    </row>
    <row r="260" customFormat="false" ht="15.75" hidden="false" customHeight="true" outlineLevel="0" collapsed="false">
      <c r="A260" s="32" t="str">
        <f aca="false">IF(Produtos!$A260="","",Produtos!$A260)</f>
        <v>L4070-PC</v>
      </c>
      <c r="B260" s="32" t="str">
        <f aca="false">IF(Produtos!$A260="","",Produtos!$B260)</f>
        <v>Lixeira de Parede c/Aro Colorido 40x19x70 40L</v>
      </c>
      <c r="C260" s="32" t="str">
        <f aca="false">IF(Produtos!$A260="","",Produtos!$C260)</f>
        <v>Lixeiras em inox</v>
      </c>
      <c r="D260" s="33" t="n">
        <f aca="false">IF(Produtos!$A260="","",IF(Produtos!$D260="","",Produtos!$D260))</f>
        <v>428.69</v>
      </c>
      <c r="E260" s="11"/>
      <c r="F260" s="34" t="n">
        <f aca="false">IF($A260="","",IF($C260="","⚠ categoria",IFERROR(INDEX(Parâmetros!$C$13:$C$22,MATCH($C260,Parâmetros!$A$13:$A$22,0)),"⚠ categoria")))</f>
        <v>0.18</v>
      </c>
      <c r="G260" s="35"/>
      <c r="H260" s="36" t="n">
        <f aca="false">IF($A260="","",IF(ISNUMBER($G260),$G260,IF(ISNUMBER($F260),$F260,"")))</f>
        <v>0.18</v>
      </c>
      <c r="I260" s="37" t="n">
        <f aca="false">IF(OR($A260="",NOT(ISNUMBER($D260)),NOT(ISNUMBER($H260))),"",IF((1-$H260-Parâmetros!$B$5-Parâmetros!$C$5-Parâmetros!$D$5)&lt;=0,"INVALIDO",($D260+IF(ISNUMBER($E260),$E260,0)+IF(ISNUMBER(Parâmetros!$E$5),Parâmetros!$E$5,0))/(1-$H260-Parâmetros!$B$5-Parâmetros!$C$5-Parâmetros!$D$5)))</f>
        <v>874.877551020408</v>
      </c>
      <c r="J260" s="38"/>
      <c r="K260" s="39" t="n">
        <f aca="false">IF(OR($A260="",NOT(ISNUMBER($D260)),NOT(ISNUMBER($H260))),"",IF(AND(ISNUMBER($J260),$J260&gt;0),$J260,IF(ISNUMBER($I260),$I260,"")))</f>
        <v>874.877551020408</v>
      </c>
      <c r="L260" s="40" t="n">
        <f aca="false">IF(ISNUMBER($K260),$K260*$H260,"")</f>
        <v>157.477959183673</v>
      </c>
      <c r="M260" s="40" t="n">
        <f aca="false">IF(ISNUMBER($K260),$K260*Parâmetros!$B$5,"")</f>
        <v>87.4877551020408</v>
      </c>
      <c r="N260" s="40" t="n">
        <f aca="false">IF(ISNUMBER($K260),$K260*Parâmetros!$C$5,"")</f>
        <v>26.2463265306122</v>
      </c>
      <c r="O260" s="40" t="n">
        <f aca="false">IF(ISNUMBER($K260),IF(ISNUMBER(Parâmetros!$E$5),Parâmetros!$E$5,0),"")</f>
        <v>0</v>
      </c>
      <c r="P260" s="41" t="n">
        <f aca="false">IF(ISNUMBER($K260),$K260-$D260-IF(ISNUMBER($E260),$E260,0)-$L260-$M260-$N260-$O260,"")</f>
        <v>174.975510204082</v>
      </c>
      <c r="Q260" s="42" t="n">
        <f aca="false">IF(AND(ISNUMBER($K260),$K260&gt;0),$P260/$K260,"")</f>
        <v>0.2</v>
      </c>
      <c r="R260" s="43"/>
      <c r="S260" s="44" t="str">
        <f aca="false">IF(OR(NOT(ISNUMBER($R260)),$R260=0,NOT(ISNUMBER($K260))),"",$K260*(1-$R260))</f>
        <v/>
      </c>
      <c r="T260" s="45" t="str">
        <f aca="false">IF(ISNUMBER($S260),$S260*$H260,"")</f>
        <v/>
      </c>
      <c r="U260" s="45" t="str">
        <f aca="false">IF(ISNUMBER($S260),$S260*Parâmetros!$B$5,"")</f>
        <v/>
      </c>
      <c r="V260" s="45" t="str">
        <f aca="false">IF(ISNUMBER($S260),$S260*Parâmetros!$C$5,"")</f>
        <v/>
      </c>
      <c r="W260" s="44" t="str">
        <f aca="false">IF(ISNUMBER($S260),$S260-$D260-IF(ISNUMBER($E260),$E260,0)-$O260-$T260-$U260-$V260,"")</f>
        <v/>
      </c>
      <c r="X260" s="46" t="str">
        <f aca="false">IF(AND(ISNUMBER($S260),$S260&gt;0),$W260/$S260,"")</f>
        <v/>
      </c>
      <c r="Y260" s="47"/>
      <c r="Z260" s="19"/>
    </row>
    <row r="261" customFormat="false" ht="15.75" hidden="false" customHeight="true" outlineLevel="0" collapsed="false">
      <c r="A261" s="48" t="str">
        <f aca="false">IF(Produtos!$A261="","",Produtos!$A261)</f>
        <v>L4080-PC</v>
      </c>
      <c r="B261" s="48" t="str">
        <f aca="false">IF(Produtos!$A261="","",Produtos!$B261)</f>
        <v>Lixeira de Parede c/Aro Colorido 40x19x80 50L</v>
      </c>
      <c r="C261" s="48" t="str">
        <f aca="false">IF(Produtos!$A261="","",Produtos!$C261)</f>
        <v>Lixeiras em inox</v>
      </c>
      <c r="D261" s="33" t="n">
        <f aca="false">IF(Produtos!$A261="","",IF(Produtos!$D261="","",Produtos!$D261))</f>
        <v>418.39</v>
      </c>
      <c r="E261" s="11"/>
      <c r="F261" s="34" t="n">
        <f aca="false">IF($A261="","",IF($C261="","⚠ categoria",IFERROR(INDEX(Parâmetros!$C$13:$C$22,MATCH($C261,Parâmetros!$A$13:$A$22,0)),"⚠ categoria")))</f>
        <v>0.18</v>
      </c>
      <c r="G261" s="35"/>
      <c r="H261" s="36" t="n">
        <f aca="false">IF($A261="","",IF(ISNUMBER($G261),$G261,IF(ISNUMBER($F261),$F261,"")))</f>
        <v>0.18</v>
      </c>
      <c r="I261" s="37" t="n">
        <f aca="false">IF(OR($A261="",NOT(ISNUMBER($D261)),NOT(ISNUMBER($H261))),"",IF((1-$H261-Parâmetros!$B$5-Parâmetros!$C$5-Parâmetros!$D$5)&lt;=0,"INVALIDO",($D261+IF(ISNUMBER($E261),$E261,0)+IF(ISNUMBER(Parâmetros!$E$5),Parâmetros!$E$5,0))/(1-$H261-Parâmetros!$B$5-Parâmetros!$C$5-Parâmetros!$D$5)))</f>
        <v>853.857142857143</v>
      </c>
      <c r="J261" s="38"/>
      <c r="K261" s="39" t="n">
        <f aca="false">IF(OR($A261="",NOT(ISNUMBER($D261)),NOT(ISNUMBER($H261))),"",IF(AND(ISNUMBER($J261),$J261&gt;0),$J261,IF(ISNUMBER($I261),$I261,"")))</f>
        <v>853.857142857143</v>
      </c>
      <c r="L261" s="40" t="n">
        <f aca="false">IF(ISNUMBER($K261),$K261*$H261,"")</f>
        <v>153.694285714286</v>
      </c>
      <c r="M261" s="40" t="n">
        <f aca="false">IF(ISNUMBER($K261),$K261*Parâmetros!$B$5,"")</f>
        <v>85.3857142857143</v>
      </c>
      <c r="N261" s="40" t="n">
        <f aca="false">IF(ISNUMBER($K261),$K261*Parâmetros!$C$5,"")</f>
        <v>25.6157142857143</v>
      </c>
      <c r="O261" s="40" t="n">
        <f aca="false">IF(ISNUMBER($K261),IF(ISNUMBER(Parâmetros!$E$5),Parâmetros!$E$5,0),"")</f>
        <v>0</v>
      </c>
      <c r="P261" s="41" t="n">
        <f aca="false">IF(ISNUMBER($K261),$K261-$D261-IF(ISNUMBER($E261),$E261,0)-$L261-$M261-$N261-$O261,"")</f>
        <v>170.771428571429</v>
      </c>
      <c r="Q261" s="42" t="n">
        <f aca="false">IF(AND(ISNUMBER($K261),$K261&gt;0),$P261/$K261,"")</f>
        <v>0.2</v>
      </c>
      <c r="R261" s="43"/>
      <c r="S261" s="44" t="str">
        <f aca="false">IF(OR(NOT(ISNUMBER($R261)),$R261=0,NOT(ISNUMBER($K261))),"",$K261*(1-$R261))</f>
        <v/>
      </c>
      <c r="T261" s="45" t="str">
        <f aca="false">IF(ISNUMBER($S261),$S261*$H261,"")</f>
        <v/>
      </c>
      <c r="U261" s="45" t="str">
        <f aca="false">IF(ISNUMBER($S261),$S261*Parâmetros!$B$5,"")</f>
        <v/>
      </c>
      <c r="V261" s="45" t="str">
        <f aca="false">IF(ISNUMBER($S261),$S261*Parâmetros!$C$5,"")</f>
        <v/>
      </c>
      <c r="W261" s="44" t="str">
        <f aca="false">IF(ISNUMBER($S261),$S261-$D261-IF(ISNUMBER($E261),$E261,0)-$O261-$T261-$U261-$V261,"")</f>
        <v/>
      </c>
      <c r="X261" s="46" t="str">
        <f aca="false">IF(AND(ISNUMBER($S261),$S261&gt;0),$W261/$S261,"")</f>
        <v/>
      </c>
      <c r="Y261" s="49"/>
      <c r="Z261" s="21"/>
    </row>
    <row r="262" customFormat="false" ht="15.75" hidden="false" customHeight="true" outlineLevel="0" collapsed="false">
      <c r="A262" s="32" t="str">
        <f aca="false">IF(Produtos!$A262="","",Produtos!$A262)</f>
        <v>LM3040-2D</v>
      </c>
      <c r="B262" s="32" t="str">
        <f aca="false">IF(Produtos!$A262="","",Produtos!$B262)</f>
        <v>Lixeira Aço Inox 30x40 c/02 Divisões 30L</v>
      </c>
      <c r="C262" s="32" t="str">
        <f aca="false">IF(Produtos!$A262="","",Produtos!$C262)</f>
        <v>Lixeiras de coleta seletiva</v>
      </c>
      <c r="D262" s="33" t="n">
        <f aca="false">IF(Produtos!$A262="","",IF(Produtos!$D262="","",Produtos!$D262))</f>
        <v>318.15</v>
      </c>
      <c r="E262" s="11"/>
      <c r="F262" s="34" t="n">
        <f aca="false">IF($A262="","",IF($C262="","⚠ categoria",IFERROR(INDEX(Parâmetros!$C$13:$C$22,MATCH($C262,Parâmetros!$A$13:$A$22,0)),"⚠ categoria")))</f>
        <v>0.18</v>
      </c>
      <c r="G262" s="35"/>
      <c r="H262" s="36" t="n">
        <f aca="false">IF($A262="","",IF(ISNUMBER($G262),$G262,IF(ISNUMBER($F262),$F262,"")))</f>
        <v>0.18</v>
      </c>
      <c r="I262" s="37" t="n">
        <f aca="false">IF(OR($A262="",NOT(ISNUMBER($D262)),NOT(ISNUMBER($H262))),"",IF((1-$H262-Parâmetros!$B$5-Parâmetros!$C$5-Parâmetros!$D$5)&lt;=0,"INVALIDO",($D262+IF(ISNUMBER($E262),$E262,0)+IF(ISNUMBER(Parâmetros!$E$5),Parâmetros!$E$5,0))/(1-$H262-Parâmetros!$B$5-Parâmetros!$C$5-Parâmetros!$D$5)))</f>
        <v>649.285714285714</v>
      </c>
      <c r="J262" s="38"/>
      <c r="K262" s="39" t="n">
        <f aca="false">IF(OR($A262="",NOT(ISNUMBER($D262)),NOT(ISNUMBER($H262))),"",IF(AND(ISNUMBER($J262),$J262&gt;0),$J262,IF(ISNUMBER($I262),$I262,"")))</f>
        <v>649.285714285714</v>
      </c>
      <c r="L262" s="40" t="n">
        <f aca="false">IF(ISNUMBER($K262),$K262*$H262,"")</f>
        <v>116.871428571429</v>
      </c>
      <c r="M262" s="40" t="n">
        <f aca="false">IF(ISNUMBER($K262),$K262*Parâmetros!$B$5,"")</f>
        <v>64.9285714285714</v>
      </c>
      <c r="N262" s="40" t="n">
        <f aca="false">IF(ISNUMBER($K262),$K262*Parâmetros!$C$5,"")</f>
        <v>19.4785714285714</v>
      </c>
      <c r="O262" s="40" t="n">
        <f aca="false">IF(ISNUMBER($K262),IF(ISNUMBER(Parâmetros!$E$5),Parâmetros!$E$5,0),"")</f>
        <v>0</v>
      </c>
      <c r="P262" s="41" t="n">
        <f aca="false">IF(ISNUMBER($K262),$K262-$D262-IF(ISNUMBER($E262),$E262,0)-$L262-$M262-$N262-$O262,"")</f>
        <v>129.857142857143</v>
      </c>
      <c r="Q262" s="42" t="n">
        <f aca="false">IF(AND(ISNUMBER($K262),$K262&gt;0),$P262/$K262,"")</f>
        <v>0.2</v>
      </c>
      <c r="R262" s="43"/>
      <c r="S262" s="44" t="str">
        <f aca="false">IF(OR(NOT(ISNUMBER($R262)),$R262=0,NOT(ISNUMBER($K262))),"",$K262*(1-$R262))</f>
        <v/>
      </c>
      <c r="T262" s="45" t="str">
        <f aca="false">IF(ISNUMBER($S262),$S262*$H262,"")</f>
        <v/>
      </c>
      <c r="U262" s="45" t="str">
        <f aca="false">IF(ISNUMBER($S262),$S262*Parâmetros!$B$5,"")</f>
        <v/>
      </c>
      <c r="V262" s="45" t="str">
        <f aca="false">IF(ISNUMBER($S262),$S262*Parâmetros!$C$5,"")</f>
        <v/>
      </c>
      <c r="W262" s="44" t="str">
        <f aca="false">IF(ISNUMBER($S262),$S262-$D262-IF(ISNUMBER($E262),$E262,0)-$O262-$T262-$U262-$V262,"")</f>
        <v/>
      </c>
      <c r="X262" s="46" t="str">
        <f aca="false">IF(AND(ISNUMBER($S262),$S262&gt;0),$W262/$S262,"")</f>
        <v/>
      </c>
      <c r="Y262" s="47"/>
      <c r="Z262" s="19"/>
    </row>
    <row r="263" customFormat="false" ht="15.75" hidden="false" customHeight="true" outlineLevel="0" collapsed="false">
      <c r="A263" s="48" t="str">
        <f aca="false">IF(Produtos!$A263="","",Produtos!$A263)</f>
        <v>LM3040-3D</v>
      </c>
      <c r="B263" s="48" t="str">
        <f aca="false">IF(Produtos!$A263="","",Produtos!$B263)</f>
        <v>Lixeira Aço Inox 30x40 c/03 Divisões 30L</v>
      </c>
      <c r="C263" s="48" t="str">
        <f aca="false">IF(Produtos!$A263="","",Produtos!$C263)</f>
        <v>Lixeiras de coleta seletiva</v>
      </c>
      <c r="D263" s="33" t="n">
        <f aca="false">IF(Produtos!$A263="","",IF(Produtos!$D263="","",Produtos!$D263))</f>
        <v>324.51</v>
      </c>
      <c r="E263" s="11"/>
      <c r="F263" s="34" t="n">
        <f aca="false">IF($A263="","",IF($C263="","⚠ categoria",IFERROR(INDEX(Parâmetros!$C$13:$C$22,MATCH($C263,Parâmetros!$A$13:$A$22,0)),"⚠ categoria")))</f>
        <v>0.18</v>
      </c>
      <c r="G263" s="35"/>
      <c r="H263" s="36" t="n">
        <f aca="false">IF($A263="","",IF(ISNUMBER($G263),$G263,IF(ISNUMBER($F263),$F263,"")))</f>
        <v>0.18</v>
      </c>
      <c r="I263" s="37" t="n">
        <f aca="false">IF(OR($A263="",NOT(ISNUMBER($D263)),NOT(ISNUMBER($H263))),"",IF((1-$H263-Parâmetros!$B$5-Parâmetros!$C$5-Parâmetros!$D$5)&lt;=0,"INVALIDO",($D263+IF(ISNUMBER($E263),$E263,0)+IF(ISNUMBER(Parâmetros!$E$5),Parâmetros!$E$5,0))/(1-$H263-Parâmetros!$B$5-Parâmetros!$C$5-Parâmetros!$D$5)))</f>
        <v>662.265306122449</v>
      </c>
      <c r="J263" s="38"/>
      <c r="K263" s="39" t="n">
        <f aca="false">IF(OR($A263="",NOT(ISNUMBER($D263)),NOT(ISNUMBER($H263))),"",IF(AND(ISNUMBER($J263),$J263&gt;0),$J263,IF(ISNUMBER($I263),$I263,"")))</f>
        <v>662.265306122449</v>
      </c>
      <c r="L263" s="40" t="n">
        <f aca="false">IF(ISNUMBER($K263),$K263*$H263,"")</f>
        <v>119.207755102041</v>
      </c>
      <c r="M263" s="40" t="n">
        <f aca="false">IF(ISNUMBER($K263),$K263*Parâmetros!$B$5,"")</f>
        <v>66.2265306122449</v>
      </c>
      <c r="N263" s="40" t="n">
        <f aca="false">IF(ISNUMBER($K263),$K263*Parâmetros!$C$5,"")</f>
        <v>19.8679591836735</v>
      </c>
      <c r="O263" s="40" t="n">
        <f aca="false">IF(ISNUMBER($K263),IF(ISNUMBER(Parâmetros!$E$5),Parâmetros!$E$5,0),"")</f>
        <v>0</v>
      </c>
      <c r="P263" s="41" t="n">
        <f aca="false">IF(ISNUMBER($K263),$K263-$D263-IF(ISNUMBER($E263),$E263,0)-$L263-$M263-$N263-$O263,"")</f>
        <v>132.45306122449</v>
      </c>
      <c r="Q263" s="42" t="n">
        <f aca="false">IF(AND(ISNUMBER($K263),$K263&gt;0),$P263/$K263,"")</f>
        <v>0.2</v>
      </c>
      <c r="R263" s="43"/>
      <c r="S263" s="44" t="str">
        <f aca="false">IF(OR(NOT(ISNUMBER($R263)),$R263=0,NOT(ISNUMBER($K263))),"",$K263*(1-$R263))</f>
        <v/>
      </c>
      <c r="T263" s="45" t="str">
        <f aca="false">IF(ISNUMBER($S263),$S263*$H263,"")</f>
        <v/>
      </c>
      <c r="U263" s="45" t="str">
        <f aca="false">IF(ISNUMBER($S263),$S263*Parâmetros!$B$5,"")</f>
        <v/>
      </c>
      <c r="V263" s="45" t="str">
        <f aca="false">IF(ISNUMBER($S263),$S263*Parâmetros!$C$5,"")</f>
        <v/>
      </c>
      <c r="W263" s="44" t="str">
        <f aca="false">IF(ISNUMBER($S263),$S263-$D263-IF(ISNUMBER($E263),$E263,0)-$O263-$T263-$U263-$V263,"")</f>
        <v/>
      </c>
      <c r="X263" s="46" t="str">
        <f aca="false">IF(AND(ISNUMBER($S263),$S263&gt;0),$W263/$S263,"")</f>
        <v/>
      </c>
      <c r="Y263" s="49"/>
      <c r="Z263" s="21"/>
    </row>
    <row r="264" customFormat="false" ht="15.75" hidden="false" customHeight="true" outlineLevel="0" collapsed="false">
      <c r="A264" s="32" t="str">
        <f aca="false">IF(Produtos!$A264="","",Produtos!$A264)</f>
        <v>LM4050-4D</v>
      </c>
      <c r="B264" s="32" t="str">
        <f aca="false">IF(Produtos!$A264="","",Produtos!$B264)</f>
        <v>Lixeira Aço Inox 40x50 c/04 Divisões 50L</v>
      </c>
      <c r="C264" s="32" t="str">
        <f aca="false">IF(Produtos!$A264="","",Produtos!$C264)</f>
        <v>Lixeiras de coleta seletiva</v>
      </c>
      <c r="D264" s="33" t="n">
        <f aca="false">IF(Produtos!$A264="","",IF(Produtos!$D264="","",Produtos!$D264))</f>
        <v>574.44</v>
      </c>
      <c r="E264" s="11"/>
      <c r="F264" s="34" t="n">
        <f aca="false">IF($A264="","",IF($C264="","⚠ categoria",IFERROR(INDEX(Parâmetros!$C$13:$C$22,MATCH($C264,Parâmetros!$A$13:$A$22,0)),"⚠ categoria")))</f>
        <v>0.18</v>
      </c>
      <c r="G264" s="35"/>
      <c r="H264" s="36" t="n">
        <f aca="false">IF($A264="","",IF(ISNUMBER($G264),$G264,IF(ISNUMBER($F264),$F264,"")))</f>
        <v>0.18</v>
      </c>
      <c r="I264" s="37" t="n">
        <f aca="false">IF(OR($A264="",NOT(ISNUMBER($D264)),NOT(ISNUMBER($H264))),"",IF((1-$H264-Parâmetros!$B$5-Parâmetros!$C$5-Parâmetros!$D$5)&lt;=0,"INVALIDO",($D264+IF(ISNUMBER($E264),$E264,0)+IF(ISNUMBER(Parâmetros!$E$5),Parâmetros!$E$5,0))/(1-$H264-Parâmetros!$B$5-Parâmetros!$C$5-Parâmetros!$D$5)))</f>
        <v>1172.32653061224</v>
      </c>
      <c r="J264" s="38"/>
      <c r="K264" s="39" t="n">
        <f aca="false">IF(OR($A264="",NOT(ISNUMBER($D264)),NOT(ISNUMBER($H264))),"",IF(AND(ISNUMBER($J264),$J264&gt;0),$J264,IF(ISNUMBER($I264),$I264,"")))</f>
        <v>1172.32653061224</v>
      </c>
      <c r="L264" s="40" t="n">
        <f aca="false">IF(ISNUMBER($K264),$K264*$H264,"")</f>
        <v>211.018775510204</v>
      </c>
      <c r="M264" s="40" t="n">
        <f aca="false">IF(ISNUMBER($K264),$K264*Parâmetros!$B$5,"")</f>
        <v>117.232653061224</v>
      </c>
      <c r="N264" s="40" t="n">
        <f aca="false">IF(ISNUMBER($K264),$K264*Parâmetros!$C$5,"")</f>
        <v>35.1697959183673</v>
      </c>
      <c r="O264" s="40" t="n">
        <f aca="false">IF(ISNUMBER($K264),IF(ISNUMBER(Parâmetros!$E$5),Parâmetros!$E$5,0),"")</f>
        <v>0</v>
      </c>
      <c r="P264" s="41" t="n">
        <f aca="false">IF(ISNUMBER($K264),$K264-$D264-IF(ISNUMBER($E264),$E264,0)-$L264-$M264-$N264-$O264,"")</f>
        <v>234.465306122449</v>
      </c>
      <c r="Q264" s="42" t="n">
        <f aca="false">IF(AND(ISNUMBER($K264),$K264&gt;0),$P264/$K264,"")</f>
        <v>0.2</v>
      </c>
      <c r="R264" s="43"/>
      <c r="S264" s="44" t="str">
        <f aca="false">IF(OR(NOT(ISNUMBER($R264)),$R264=0,NOT(ISNUMBER($K264))),"",$K264*(1-$R264))</f>
        <v/>
      </c>
      <c r="T264" s="45" t="str">
        <f aca="false">IF(ISNUMBER($S264),$S264*$H264,"")</f>
        <v/>
      </c>
      <c r="U264" s="45" t="str">
        <f aca="false">IF(ISNUMBER($S264),$S264*Parâmetros!$B$5,"")</f>
        <v/>
      </c>
      <c r="V264" s="45" t="str">
        <f aca="false">IF(ISNUMBER($S264),$S264*Parâmetros!$C$5,"")</f>
        <v/>
      </c>
      <c r="W264" s="44" t="str">
        <f aca="false">IF(ISNUMBER($S264),$S264-$D264-IF(ISNUMBER($E264),$E264,0)-$O264-$T264-$U264-$V264,"")</f>
        <v/>
      </c>
      <c r="X264" s="46" t="str">
        <f aca="false">IF(AND(ISNUMBER($S264),$S264&gt;0),$W264/$S264,"")</f>
        <v/>
      </c>
      <c r="Y264" s="47"/>
      <c r="Z264" s="19"/>
    </row>
    <row r="265" customFormat="false" ht="15.75" hidden="false" customHeight="true" outlineLevel="0" collapsed="false">
      <c r="A265" s="48" t="str">
        <f aca="false">IF(Produtos!$A265="","",Produtos!$A265)</f>
        <v>P3050RA</v>
      </c>
      <c r="B265" s="48" t="str">
        <f aca="false">IF(Produtos!$A265="","",Produtos!$B265)</f>
        <v>Lixeira c/Tampa Pedal 30x50 40L c/Rodízios e Alças</v>
      </c>
      <c r="C265" s="48" t="str">
        <f aca="false">IF(Produtos!$A265="","",Produtos!$C265)</f>
        <v>Lixeiras com pedal</v>
      </c>
      <c r="D265" s="33" t="n">
        <f aca="false">IF(Produtos!$A265="","",IF(Produtos!$D265="","",Produtos!$D265))</f>
        <v>451.04</v>
      </c>
      <c r="E265" s="11" t="n">
        <v>49.35</v>
      </c>
      <c r="F265" s="34" t="n">
        <f aca="false">IF($A265="","",IF($C265="","⚠ categoria",IFERROR(INDEX(Parâmetros!$C$13:$C$22,MATCH($C265,Parâmetros!$A$13:$A$22,0)),"⚠ categoria")))</f>
        <v>0.18</v>
      </c>
      <c r="G265" s="35"/>
      <c r="H265" s="36" t="n">
        <f aca="false">IF($A265="","",IF(ISNUMBER($G265),$G265,IF(ISNUMBER($F265),$F265,"")))</f>
        <v>0.18</v>
      </c>
      <c r="I265" s="37" t="n">
        <f aca="false">IF(OR($A265="",NOT(ISNUMBER($D265)),NOT(ISNUMBER($H265))),"",IF((1-$H265-Parâmetros!$B$5-Parâmetros!$C$5-Parâmetros!$D$5)&lt;=0,"INVALIDO",($D265+IF(ISNUMBER($E265),$E265,0)+IF(ISNUMBER(Parâmetros!$E$5),Parâmetros!$E$5,0))/(1-$H265-Parâmetros!$B$5-Parâmetros!$C$5-Parâmetros!$D$5)))</f>
        <v>1021.20408163265</v>
      </c>
      <c r="J265" s="38" t="n">
        <v>949.5534825</v>
      </c>
      <c r="K265" s="39" t="n">
        <f aca="false">IF(OR($A265="",NOT(ISNUMBER($D265)),NOT(ISNUMBER($H265))),"",IF(AND(ISNUMBER($J265),$J265&gt;0),$J265,IF(ISNUMBER($I265),$I265,"")))</f>
        <v>949.5534825</v>
      </c>
      <c r="L265" s="40" t="n">
        <f aca="false">IF(ISNUMBER($K265),$K265*$H265,"")</f>
        <v>170.91962685</v>
      </c>
      <c r="M265" s="40" t="n">
        <f aca="false">IF(ISNUMBER($K265),$K265*Parâmetros!$B$5,"")</f>
        <v>94.95534825</v>
      </c>
      <c r="N265" s="40" t="n">
        <f aca="false">IF(ISNUMBER($K265),$K265*Parâmetros!$C$5,"")</f>
        <v>28.486604475</v>
      </c>
      <c r="O265" s="40" t="n">
        <f aca="false">IF(ISNUMBER($K265),IF(ISNUMBER(Parâmetros!$E$5),Parâmetros!$E$5,0),"")</f>
        <v>0</v>
      </c>
      <c r="P265" s="41" t="n">
        <f aca="false">IF(ISNUMBER($K265),$K265-$D265-IF(ISNUMBER($E265),$E265,0)-$L265-$M265-$N265-$O265,"")</f>
        <v>154.801902925</v>
      </c>
      <c r="Q265" s="42" t="n">
        <f aca="false">IF(AND(ISNUMBER($K265),$K265&gt;0),$P265/$K265,"")</f>
        <v>0.16302599672157</v>
      </c>
      <c r="R265" s="43"/>
      <c r="S265" s="44" t="str">
        <f aca="false">IF(OR(NOT(ISNUMBER($R265)),$R265=0,NOT(ISNUMBER($K265))),"",$K265*(1-$R265))</f>
        <v/>
      </c>
      <c r="T265" s="45" t="str">
        <f aca="false">IF(ISNUMBER($S265),$S265*$H265,"")</f>
        <v/>
      </c>
      <c r="U265" s="45" t="str">
        <f aca="false">IF(ISNUMBER($S265),$S265*Parâmetros!$B$5,"")</f>
        <v/>
      </c>
      <c r="V265" s="45" t="str">
        <f aca="false">IF(ISNUMBER($S265),$S265*Parâmetros!$C$5,"")</f>
        <v/>
      </c>
      <c r="W265" s="44" t="str">
        <f aca="false">IF(ISNUMBER($S265),$S265-$D265-IF(ISNUMBER($E265),$E265,0)-$O265-$T265-$U265-$V265,"")</f>
        <v/>
      </c>
      <c r="X265" s="46" t="str">
        <f aca="false">IF(AND(ISNUMBER($S265),$S265&gt;0),$W265/$S265,"")</f>
        <v/>
      </c>
      <c r="Y265" s="49" t="s">
        <v>744</v>
      </c>
      <c r="Z265" s="21"/>
    </row>
    <row r="266" customFormat="false" ht="15.75" hidden="false" customHeight="true" outlineLevel="0" collapsed="false">
      <c r="A266" s="32" t="str">
        <f aca="false">IF(Produtos!$A266="","",Produtos!$A266)</f>
        <v>P3060RA</v>
      </c>
      <c r="B266" s="32" t="str">
        <f aca="false">IF(Produtos!$A266="","",Produtos!$B266)</f>
        <v>Lixeira c/Tampa Pedal 30x60 50L c/Rodízios e Alças</v>
      </c>
      <c r="C266" s="32" t="str">
        <f aca="false">IF(Produtos!$A266="","",Produtos!$C266)</f>
        <v>Lixeiras com pedal</v>
      </c>
      <c r="D266" s="33" t="n">
        <f aca="false">IF(Produtos!$A266="","",IF(Produtos!$D266="","",Produtos!$D266))</f>
        <v>461.27</v>
      </c>
      <c r="E266" s="11" t="n">
        <v>70.95</v>
      </c>
      <c r="F266" s="34" t="n">
        <f aca="false">IF($A266="","",IF($C266="","⚠ categoria",IFERROR(INDEX(Parâmetros!$C$13:$C$22,MATCH($C266,Parâmetros!$A$13:$A$22,0)),"⚠ categoria")))</f>
        <v>0.18</v>
      </c>
      <c r="G266" s="35"/>
      <c r="H266" s="36" t="n">
        <f aca="false">IF($A266="","",IF(ISNUMBER($G266),$G266,IF(ISNUMBER($F266),$F266,"")))</f>
        <v>0.18</v>
      </c>
      <c r="I266" s="37" t="n">
        <f aca="false">IF(OR($A266="",NOT(ISNUMBER($D266)),NOT(ISNUMBER($H266))),"",IF((1-$H266-Parâmetros!$B$5-Parâmetros!$C$5-Parâmetros!$D$5)&lt;=0,"INVALIDO",($D266+IF(ISNUMBER($E266),$E266,0)+IF(ISNUMBER(Parâmetros!$E$5),Parâmetros!$E$5,0))/(1-$H266-Parâmetros!$B$5-Parâmetros!$C$5-Parâmetros!$D$5)))</f>
        <v>1086.16326530612</v>
      </c>
      <c r="J266" s="38" t="n">
        <v>1002.90841875</v>
      </c>
      <c r="K266" s="39" t="n">
        <f aca="false">IF(OR($A266="",NOT(ISNUMBER($D266)),NOT(ISNUMBER($H266))),"",IF(AND(ISNUMBER($J266),$J266&gt;0),$J266,IF(ISNUMBER($I266),$I266,"")))</f>
        <v>1002.90841875</v>
      </c>
      <c r="L266" s="40" t="n">
        <f aca="false">IF(ISNUMBER($K266),$K266*$H266,"")</f>
        <v>180.523515375</v>
      </c>
      <c r="M266" s="40" t="n">
        <f aca="false">IF(ISNUMBER($K266),$K266*Parâmetros!$B$5,"")</f>
        <v>100.290841875</v>
      </c>
      <c r="N266" s="40" t="n">
        <f aca="false">IF(ISNUMBER($K266),$K266*Parâmetros!$C$5,"")</f>
        <v>30.0872525625</v>
      </c>
      <c r="O266" s="40" t="n">
        <f aca="false">IF(ISNUMBER($K266),IF(ISNUMBER(Parâmetros!$E$5),Parâmetros!$E$5,0),"")</f>
        <v>0</v>
      </c>
      <c r="P266" s="41" t="n">
        <f aca="false">IF(ISNUMBER($K266),$K266-$D266-IF(ISNUMBER($E266),$E266,0)-$L266-$M266-$N266-$O266,"")</f>
        <v>159.7868089375</v>
      </c>
      <c r="Q266" s="42" t="n">
        <f aca="false">IF(AND(ISNUMBER($K266),$K266&gt;0),$P266/$K266,"")</f>
        <v>0.159323429687283</v>
      </c>
      <c r="R266" s="43"/>
      <c r="S266" s="44" t="str">
        <f aca="false">IF(OR(NOT(ISNUMBER($R266)),$R266=0,NOT(ISNUMBER($K266))),"",$K266*(1-$R266))</f>
        <v/>
      </c>
      <c r="T266" s="45" t="str">
        <f aca="false">IF(ISNUMBER($S266),$S266*$H266,"")</f>
        <v/>
      </c>
      <c r="U266" s="45" t="str">
        <f aca="false">IF(ISNUMBER($S266),$S266*Parâmetros!$B$5,"")</f>
        <v/>
      </c>
      <c r="V266" s="45" t="str">
        <f aca="false">IF(ISNUMBER($S266),$S266*Parâmetros!$C$5,"")</f>
        <v/>
      </c>
      <c r="W266" s="44" t="str">
        <f aca="false">IF(ISNUMBER($S266),$S266-$D266-IF(ISNUMBER($E266),$E266,0)-$O266-$T266-$U266-$V266,"")</f>
        <v/>
      </c>
      <c r="X266" s="46" t="str">
        <f aca="false">IF(AND(ISNUMBER($S266),$S266&gt;0),$W266/$S266,"")</f>
        <v/>
      </c>
      <c r="Y266" s="47" t="s">
        <v>744</v>
      </c>
      <c r="Z266" s="19"/>
    </row>
    <row r="267" customFormat="false" ht="15.75" hidden="false" customHeight="true" outlineLevel="0" collapsed="false">
      <c r="A267" s="48" t="str">
        <f aca="false">IF(Produtos!$A267="","",Produtos!$A267)</f>
        <v>P3070RA</v>
      </c>
      <c r="B267" s="48" t="str">
        <f aca="false">IF(Produtos!$A267="","",Produtos!$B267)</f>
        <v>Lixeira c/Tampa Pedal 30x70 60L c/Rodízios e Alças</v>
      </c>
      <c r="C267" s="48" t="str">
        <f aca="false">IF(Produtos!$A267="","",Produtos!$C267)</f>
        <v>Lixeiras com pedal</v>
      </c>
      <c r="D267" s="33" t="n">
        <f aca="false">IF(Produtos!$A267="","",IF(Produtos!$D267="","",Produtos!$D267))</f>
        <v>535.39</v>
      </c>
      <c r="E267" s="11" t="n">
        <v>69.35</v>
      </c>
      <c r="F267" s="34" t="n">
        <f aca="false">IF($A267="","",IF($C267="","⚠ categoria",IFERROR(INDEX(Parâmetros!$C$13:$C$22,MATCH($C267,Parâmetros!$A$13:$A$22,0)),"⚠ categoria")))</f>
        <v>0.18</v>
      </c>
      <c r="G267" s="35"/>
      <c r="H267" s="36" t="n">
        <f aca="false">IF($A267="","",IF(ISNUMBER($G267),$G267,IF(ISNUMBER($F267),$F267,"")))</f>
        <v>0.18</v>
      </c>
      <c r="I267" s="37" t="n">
        <f aca="false">IF(OR($A267="",NOT(ISNUMBER($D267)),NOT(ISNUMBER($H267))),"",IF((1-$H267-Parâmetros!$B$5-Parâmetros!$C$5-Parâmetros!$D$5)&lt;=0,"INVALIDO",($D267+IF(ISNUMBER($E267),$E267,0)+IF(ISNUMBER(Parâmetros!$E$5),Parâmetros!$E$5,0))/(1-$H267-Parâmetros!$B$5-Parâmetros!$C$5-Parâmetros!$D$5)))</f>
        <v>1234.16326530612</v>
      </c>
      <c r="J267" s="38" t="n">
        <v>1143.37463625</v>
      </c>
      <c r="K267" s="39" t="n">
        <f aca="false">IF(OR($A267="",NOT(ISNUMBER($D267)),NOT(ISNUMBER($H267))),"",IF(AND(ISNUMBER($J267),$J267&gt;0),$J267,IF(ISNUMBER($I267),$I267,"")))</f>
        <v>1143.37463625</v>
      </c>
      <c r="L267" s="40" t="n">
        <f aca="false">IF(ISNUMBER($K267),$K267*$H267,"")</f>
        <v>205.807434525</v>
      </c>
      <c r="M267" s="40" t="n">
        <f aca="false">IF(ISNUMBER($K267),$K267*Parâmetros!$B$5,"")</f>
        <v>114.337463625</v>
      </c>
      <c r="N267" s="40" t="n">
        <f aca="false">IF(ISNUMBER($K267),$K267*Parâmetros!$C$5,"")</f>
        <v>34.3012390875</v>
      </c>
      <c r="O267" s="40" t="n">
        <f aca="false">IF(ISNUMBER($K267),IF(ISNUMBER(Parâmetros!$E$5),Parâmetros!$E$5,0),"")</f>
        <v>0</v>
      </c>
      <c r="P267" s="41" t="n">
        <f aca="false">IF(ISNUMBER($K267),$K267-$D267-IF(ISNUMBER($E267),$E267,0)-$L267-$M267-$N267-$O267,"")</f>
        <v>184.1884990125</v>
      </c>
      <c r="Q267" s="42" t="n">
        <f aca="false">IF(AND(ISNUMBER($K267),$K267&gt;0),$P267/$K267,"")</f>
        <v>0.161091993099125</v>
      </c>
      <c r="R267" s="43"/>
      <c r="S267" s="44" t="str">
        <f aca="false">IF(OR(NOT(ISNUMBER($R267)),$R267=0,NOT(ISNUMBER($K267))),"",$K267*(1-$R267))</f>
        <v/>
      </c>
      <c r="T267" s="45" t="str">
        <f aca="false">IF(ISNUMBER($S267),$S267*$H267,"")</f>
        <v/>
      </c>
      <c r="U267" s="45" t="str">
        <f aca="false">IF(ISNUMBER($S267),$S267*Parâmetros!$B$5,"")</f>
        <v/>
      </c>
      <c r="V267" s="45" t="str">
        <f aca="false">IF(ISNUMBER($S267),$S267*Parâmetros!$C$5,"")</f>
        <v/>
      </c>
      <c r="W267" s="44" t="str">
        <f aca="false">IF(ISNUMBER($S267),$S267-$D267-IF(ISNUMBER($E267),$E267,0)-$O267-$T267-$U267-$V267,"")</f>
        <v/>
      </c>
      <c r="X267" s="46" t="str">
        <f aca="false">IF(AND(ISNUMBER($S267),$S267&gt;0),$W267/$S267,"")</f>
        <v/>
      </c>
      <c r="Y267" s="49" t="s">
        <v>744</v>
      </c>
      <c r="Z267" s="21"/>
    </row>
    <row r="268" customFormat="false" ht="15.75" hidden="false" customHeight="true" outlineLevel="0" collapsed="false">
      <c r="A268" s="32" t="str">
        <f aca="false">IF(Produtos!$A268="","",Produtos!$A268)</f>
        <v>P4050RA</v>
      </c>
      <c r="B268" s="32" t="str">
        <f aca="false">IF(Produtos!$A268="","",Produtos!$B268)</f>
        <v>Lixeira c/Tampa Pedal 40x50 65L c/Rodízios e Alças</v>
      </c>
      <c r="C268" s="32" t="str">
        <f aca="false">IF(Produtos!$A268="","",Produtos!$C268)</f>
        <v>Lixeiras com pedal</v>
      </c>
      <c r="D268" s="33" t="n">
        <f aca="false">IF(Produtos!$A268="","",IF(Produtos!$D268="","",Produtos!$D268))</f>
        <v>617.39</v>
      </c>
      <c r="E268" s="11" t="n">
        <v>75.65</v>
      </c>
      <c r="F268" s="34" t="n">
        <f aca="false">IF($A268="","",IF($C268="","⚠ categoria",IFERROR(INDEX(Parâmetros!$C$13:$C$22,MATCH($C268,Parâmetros!$A$13:$A$22,0)),"⚠ categoria")))</f>
        <v>0.18</v>
      </c>
      <c r="G268" s="35"/>
      <c r="H268" s="36" t="n">
        <f aca="false">IF($A268="","",IF(ISNUMBER($G268),$G268,IF(ISNUMBER($F268),$F268,"")))</f>
        <v>0.18</v>
      </c>
      <c r="I268" s="37" t="n">
        <f aca="false">IF(OR($A268="",NOT(ISNUMBER($D268)),NOT(ISNUMBER($H268))),"",IF((1-$H268-Parâmetros!$B$5-Parâmetros!$C$5-Parâmetros!$D$5)&lt;=0,"INVALIDO",($D268+IF(ISNUMBER($E268),$E268,0)+IF(ISNUMBER(Parâmetros!$E$5),Parâmetros!$E$5,0))/(1-$H268-Parâmetros!$B$5-Parâmetros!$C$5-Parâmetros!$D$5)))</f>
        <v>1414.36734693878</v>
      </c>
      <c r="J268" s="38" t="n">
        <v>1335.01725</v>
      </c>
      <c r="K268" s="39" t="n">
        <f aca="false">IF(OR($A268="",NOT(ISNUMBER($D268)),NOT(ISNUMBER($H268))),"",IF(AND(ISNUMBER($J268),$J268&gt;0),$J268,IF(ISNUMBER($I268),$I268,"")))</f>
        <v>1335.01725</v>
      </c>
      <c r="L268" s="40" t="n">
        <f aca="false">IF(ISNUMBER($K268),$K268*$H268,"")</f>
        <v>240.303105</v>
      </c>
      <c r="M268" s="40" t="n">
        <f aca="false">IF(ISNUMBER($K268),$K268*Parâmetros!$B$5,"")</f>
        <v>133.501725</v>
      </c>
      <c r="N268" s="40" t="n">
        <f aca="false">IF(ISNUMBER($K268),$K268*Parâmetros!$C$5,"")</f>
        <v>40.0505175</v>
      </c>
      <c r="O268" s="40" t="n">
        <f aca="false">IF(ISNUMBER($K268),IF(ISNUMBER(Parâmetros!$E$5),Parâmetros!$E$5,0),"")</f>
        <v>0</v>
      </c>
      <c r="P268" s="41" t="n">
        <f aca="false">IF(ISNUMBER($K268),$K268-$D268-IF(ISNUMBER($E268),$E268,0)-$L268-$M268-$N268-$O268,"")</f>
        <v>228.1219025</v>
      </c>
      <c r="Q268" s="42" t="n">
        <f aca="false">IF(AND(ISNUMBER($K268),$K268&gt;0),$P268/$K268,"")</f>
        <v>0.170875621644589</v>
      </c>
      <c r="R268" s="43"/>
      <c r="S268" s="44" t="str">
        <f aca="false">IF(OR(NOT(ISNUMBER($R268)),$R268=0,NOT(ISNUMBER($K268))),"",$K268*(1-$R268))</f>
        <v/>
      </c>
      <c r="T268" s="45" t="str">
        <f aca="false">IF(ISNUMBER($S268),$S268*$H268,"")</f>
        <v/>
      </c>
      <c r="U268" s="45" t="str">
        <f aca="false">IF(ISNUMBER($S268),$S268*Parâmetros!$B$5,"")</f>
        <v/>
      </c>
      <c r="V268" s="45" t="str">
        <f aca="false">IF(ISNUMBER($S268),$S268*Parâmetros!$C$5,"")</f>
        <v/>
      </c>
      <c r="W268" s="44" t="str">
        <f aca="false">IF(ISNUMBER($S268),$S268-$D268-IF(ISNUMBER($E268),$E268,0)-$O268-$T268-$U268-$V268,"")</f>
        <v/>
      </c>
      <c r="X268" s="46" t="str">
        <f aca="false">IF(AND(ISNUMBER($S268),$S268&gt;0),$W268/$S268,"")</f>
        <v/>
      </c>
      <c r="Y268" s="47" t="s">
        <v>744</v>
      </c>
      <c r="Z268" s="19"/>
    </row>
    <row r="269" customFormat="false" ht="15.75" hidden="false" customHeight="true" outlineLevel="0" collapsed="false">
      <c r="A269" s="48" t="str">
        <f aca="false">IF(Produtos!$A269="","",Produtos!$A269)</f>
        <v>P4060RA</v>
      </c>
      <c r="B269" s="48" t="str">
        <f aca="false">IF(Produtos!$A269="","",Produtos!$B269)</f>
        <v>Lixeira c/Tampa Pedal 40x60 75L c/Rodízios e Alças</v>
      </c>
      <c r="C269" s="48" t="str">
        <f aca="false">IF(Produtos!$A269="","",Produtos!$C269)</f>
        <v>Lixeiras com pedal</v>
      </c>
      <c r="D269" s="33" t="n">
        <f aca="false">IF(Produtos!$A269="","",IF(Produtos!$D269="","",Produtos!$D269))</f>
        <v>659.48</v>
      </c>
      <c r="E269" s="11" t="n">
        <v>79.35</v>
      </c>
      <c r="F269" s="34" t="n">
        <f aca="false">IF($A269="","",IF($C269="","⚠ categoria",IFERROR(INDEX(Parâmetros!$C$13:$C$22,MATCH($C269,Parâmetros!$A$13:$A$22,0)),"⚠ categoria")))</f>
        <v>0.18</v>
      </c>
      <c r="G269" s="35"/>
      <c r="H269" s="36" t="n">
        <f aca="false">IF($A269="","",IF(ISNUMBER($G269),$G269,IF(ISNUMBER($F269),$F269,"")))</f>
        <v>0.18</v>
      </c>
      <c r="I269" s="37" t="n">
        <f aca="false">IF(OR($A269="",NOT(ISNUMBER($D269)),NOT(ISNUMBER($H269))),"",IF((1-$H269-Parâmetros!$B$5-Parâmetros!$C$5-Parâmetros!$D$5)&lt;=0,"INVALIDO",($D269+IF(ISNUMBER($E269),$E269,0)+IF(ISNUMBER(Parâmetros!$E$5),Parâmetros!$E$5,0))/(1-$H269-Parâmetros!$B$5-Parâmetros!$C$5-Parâmetros!$D$5)))</f>
        <v>1507.81632653061</v>
      </c>
      <c r="J269" s="38" t="n">
        <v>1398.87405</v>
      </c>
      <c r="K269" s="39" t="n">
        <f aca="false">IF(OR($A269="",NOT(ISNUMBER($D269)),NOT(ISNUMBER($H269))),"",IF(AND(ISNUMBER($J269),$J269&gt;0),$J269,IF(ISNUMBER($I269),$I269,"")))</f>
        <v>1398.87405</v>
      </c>
      <c r="L269" s="40" t="n">
        <f aca="false">IF(ISNUMBER($K269),$K269*$H269,"")</f>
        <v>251.797329</v>
      </c>
      <c r="M269" s="40" t="n">
        <f aca="false">IF(ISNUMBER($K269),$K269*Parâmetros!$B$5,"")</f>
        <v>139.887405</v>
      </c>
      <c r="N269" s="40" t="n">
        <f aca="false">IF(ISNUMBER($K269),$K269*Parâmetros!$C$5,"")</f>
        <v>41.9662215</v>
      </c>
      <c r="O269" s="40" t="n">
        <f aca="false">IF(ISNUMBER($K269),IF(ISNUMBER(Parâmetros!$E$5),Parâmetros!$E$5,0),"")</f>
        <v>0</v>
      </c>
      <c r="P269" s="41" t="n">
        <f aca="false">IF(ISNUMBER($K269),$K269-$D269-IF(ISNUMBER($E269),$E269,0)-$L269-$M269-$N269-$O269,"")</f>
        <v>226.3930945</v>
      </c>
      <c r="Q269" s="42" t="n">
        <f aca="false">IF(AND(ISNUMBER($K269),$K269&gt;0),$P269/$K269,"")</f>
        <v>0.161839512642328</v>
      </c>
      <c r="R269" s="43"/>
      <c r="S269" s="44" t="str">
        <f aca="false">IF(OR(NOT(ISNUMBER($R269)),$R269=0,NOT(ISNUMBER($K269))),"",$K269*(1-$R269))</f>
        <v/>
      </c>
      <c r="T269" s="45" t="str">
        <f aca="false">IF(ISNUMBER($S269),$S269*$H269,"")</f>
        <v/>
      </c>
      <c r="U269" s="45" t="str">
        <f aca="false">IF(ISNUMBER($S269),$S269*Parâmetros!$B$5,"")</f>
        <v/>
      </c>
      <c r="V269" s="45" t="str">
        <f aca="false">IF(ISNUMBER($S269),$S269*Parâmetros!$C$5,"")</f>
        <v/>
      </c>
      <c r="W269" s="44" t="str">
        <f aca="false">IF(ISNUMBER($S269),$S269-$D269-IF(ISNUMBER($E269),$E269,0)-$O269-$T269-$U269-$V269,"")</f>
        <v/>
      </c>
      <c r="X269" s="46" t="str">
        <f aca="false">IF(AND(ISNUMBER($S269),$S269&gt;0),$W269/$S269,"")</f>
        <v/>
      </c>
      <c r="Y269" s="49" t="s">
        <v>744</v>
      </c>
      <c r="Z269" s="21"/>
    </row>
    <row r="270" customFormat="false" ht="15.75" hidden="false" customHeight="true" outlineLevel="0" collapsed="false">
      <c r="A270" s="32" t="str">
        <f aca="false">IF(Produtos!$A270="","",Produtos!$A270)</f>
        <v>P4070RA</v>
      </c>
      <c r="B270" s="32" t="str">
        <f aca="false">IF(Produtos!$A270="","",Produtos!$B270)</f>
        <v>Lixeira c/Tampa Pedal 40x70 80L c/Rodízios e Alças</v>
      </c>
      <c r="C270" s="32" t="str">
        <f aca="false">IF(Produtos!$A270="","",Produtos!$C270)</f>
        <v>Lixeiras com pedal</v>
      </c>
      <c r="D270" s="33" t="n">
        <f aca="false">IF(Produtos!$A270="","",IF(Produtos!$D270="","",Produtos!$D270))</f>
        <v>698.31</v>
      </c>
      <c r="E270" s="11" t="n">
        <v>91.95</v>
      </c>
      <c r="F270" s="34" t="n">
        <f aca="false">IF($A270="","",IF($C270="","⚠ categoria",IFERROR(INDEX(Parâmetros!$C$13:$C$22,MATCH($C270,Parâmetros!$A$13:$A$22,0)),"⚠ categoria")))</f>
        <v>0.18</v>
      </c>
      <c r="G270" s="35"/>
      <c r="H270" s="36" t="n">
        <f aca="false">IF($A270="","",IF(ISNUMBER($G270),$G270,IF(ISNUMBER($F270),$F270,"")))</f>
        <v>0.18</v>
      </c>
      <c r="I270" s="37" t="n">
        <f aca="false">IF(OR($A270="",NOT(ISNUMBER($D270)),NOT(ISNUMBER($H270))),"",IF((1-$H270-Parâmetros!$B$5-Parâmetros!$C$5-Parâmetros!$D$5)&lt;=0,"INVALIDO",($D270+IF(ISNUMBER($E270),$E270,0)+IF(ISNUMBER(Parâmetros!$E$5),Parâmetros!$E$5,0))/(1-$H270-Parâmetros!$B$5-Parâmetros!$C$5-Parâmetros!$D$5)))</f>
        <v>1612.77551020408</v>
      </c>
      <c r="J270" s="38" t="n">
        <v>1471.85348625</v>
      </c>
      <c r="K270" s="39" t="n">
        <f aca="false">IF(OR($A270="",NOT(ISNUMBER($D270)),NOT(ISNUMBER($H270))),"",IF(AND(ISNUMBER($J270),$J270&gt;0),$J270,IF(ISNUMBER($I270),$I270,"")))</f>
        <v>1471.85348625</v>
      </c>
      <c r="L270" s="40" t="n">
        <f aca="false">IF(ISNUMBER($K270),$K270*$H270,"")</f>
        <v>264.933627525</v>
      </c>
      <c r="M270" s="40" t="n">
        <f aca="false">IF(ISNUMBER($K270),$K270*Parâmetros!$B$5,"")</f>
        <v>147.185348625</v>
      </c>
      <c r="N270" s="40" t="n">
        <f aca="false">IF(ISNUMBER($K270),$K270*Parâmetros!$C$5,"")</f>
        <v>44.1556045875</v>
      </c>
      <c r="O270" s="40" t="n">
        <f aca="false">IF(ISNUMBER($K270),IF(ISNUMBER(Parâmetros!$E$5),Parâmetros!$E$5,0),"")</f>
        <v>0</v>
      </c>
      <c r="P270" s="41" t="n">
        <f aca="false">IF(ISNUMBER($K270),$K270-$D270-IF(ISNUMBER($E270),$E270,0)-$L270-$M270-$N270-$O270,"")</f>
        <v>225.3189055125</v>
      </c>
      <c r="Q270" s="42" t="n">
        <f aca="false">IF(AND(ISNUMBER($K270),$K270&gt;0),$P270/$K270,"")</f>
        <v>0.153085145782118</v>
      </c>
      <c r="R270" s="43"/>
      <c r="S270" s="44" t="str">
        <f aca="false">IF(OR(NOT(ISNUMBER($R270)),$R270=0,NOT(ISNUMBER($K270))),"",$K270*(1-$R270))</f>
        <v/>
      </c>
      <c r="T270" s="45" t="str">
        <f aca="false">IF(ISNUMBER($S270),$S270*$H270,"")</f>
        <v/>
      </c>
      <c r="U270" s="45" t="str">
        <f aca="false">IF(ISNUMBER($S270),$S270*Parâmetros!$B$5,"")</f>
        <v/>
      </c>
      <c r="V270" s="45" t="str">
        <f aca="false">IF(ISNUMBER($S270),$S270*Parâmetros!$C$5,"")</f>
        <v/>
      </c>
      <c r="W270" s="44" t="str">
        <f aca="false">IF(ISNUMBER($S270),$S270-$D270-IF(ISNUMBER($E270),$E270,0)-$O270-$T270-$U270-$V270,"")</f>
        <v/>
      </c>
      <c r="X270" s="46" t="str">
        <f aca="false">IF(AND(ISNUMBER($S270),$S270&gt;0),$W270/$S270,"")</f>
        <v/>
      </c>
      <c r="Y270" s="47" t="s">
        <v>744</v>
      </c>
      <c r="Z270" s="19"/>
    </row>
    <row r="271" customFormat="false" ht="15.75" hidden="false" customHeight="true" outlineLevel="0" collapsed="false">
      <c r="A271" s="48" t="str">
        <f aca="false">IF(Produtos!$A271="","",Produtos!$A271)</f>
        <v>P4075RA</v>
      </c>
      <c r="B271" s="48" t="str">
        <f aca="false">IF(Produtos!$A271="","",Produtos!$B271)</f>
        <v>Lixeira c/Tampa Pedal 40x75 95L c/Rodízios e Alças</v>
      </c>
      <c r="C271" s="48" t="str">
        <f aca="false">IF(Produtos!$A271="","",Produtos!$C271)</f>
        <v>Lixeiras com pedal</v>
      </c>
      <c r="D271" s="33" t="n">
        <f aca="false">IF(Produtos!$A271="","",IF(Produtos!$D271="","",Produtos!$D271))</f>
        <v>731.92</v>
      </c>
      <c r="E271" s="11" t="n">
        <v>91.95</v>
      </c>
      <c r="F271" s="34" t="n">
        <f aca="false">IF($A271="","",IF($C271="","⚠ categoria",IFERROR(INDEX(Parâmetros!$C$13:$C$22,MATCH($C271,Parâmetros!$A$13:$A$22,0)),"⚠ categoria")))</f>
        <v>0.18</v>
      </c>
      <c r="G271" s="35"/>
      <c r="H271" s="36" t="n">
        <f aca="false">IF($A271="","",IF(ISNUMBER($G271),$G271,IF(ISNUMBER($F271),$F271,"")))</f>
        <v>0.18</v>
      </c>
      <c r="I271" s="37" t="n">
        <f aca="false">IF(OR($A271="",NOT(ISNUMBER($D271)),NOT(ISNUMBER($H271))),"",IF((1-$H271-Parâmetros!$B$5-Parâmetros!$C$5-Parâmetros!$D$5)&lt;=0,"INVALIDO",($D271+IF(ISNUMBER($E271),$E271,0)+IF(ISNUMBER(Parâmetros!$E$5),Parâmetros!$E$5,0))/(1-$H271-Parâmetros!$B$5-Parâmetros!$C$5-Parâmetros!$D$5)))</f>
        <v>1681.36734693878</v>
      </c>
      <c r="J271" s="38" t="n">
        <v>1559.19353625</v>
      </c>
      <c r="K271" s="39" t="n">
        <f aca="false">IF(OR($A271="",NOT(ISNUMBER($D271)),NOT(ISNUMBER($H271))),"",IF(AND(ISNUMBER($J271),$J271&gt;0),$J271,IF(ISNUMBER($I271),$I271,"")))</f>
        <v>1559.19353625</v>
      </c>
      <c r="L271" s="40" t="n">
        <f aca="false">IF(ISNUMBER($K271),$K271*$H271,"")</f>
        <v>280.654836525</v>
      </c>
      <c r="M271" s="40" t="n">
        <f aca="false">IF(ISNUMBER($K271),$K271*Parâmetros!$B$5,"")</f>
        <v>155.919353625</v>
      </c>
      <c r="N271" s="40" t="n">
        <f aca="false">IF(ISNUMBER($K271),$K271*Parâmetros!$C$5,"")</f>
        <v>46.7758060875</v>
      </c>
      <c r="O271" s="40" t="n">
        <f aca="false">IF(ISNUMBER($K271),IF(ISNUMBER(Parâmetros!$E$5),Parâmetros!$E$5,0),"")</f>
        <v>0</v>
      </c>
      <c r="P271" s="41" t="n">
        <f aca="false">IF(ISNUMBER($K271),$K271-$D271-IF(ISNUMBER($E271),$E271,0)-$L271-$M271-$N271-$O271,"")</f>
        <v>251.973540012501</v>
      </c>
      <c r="Q271" s="42" t="n">
        <f aca="false">IF(AND(ISNUMBER($K271),$K271&gt;0),$P271/$K271,"")</f>
        <v>0.16160504398865</v>
      </c>
      <c r="R271" s="43"/>
      <c r="S271" s="44" t="str">
        <f aca="false">IF(OR(NOT(ISNUMBER($R271)),$R271=0,NOT(ISNUMBER($K271))),"",$K271*(1-$R271))</f>
        <v/>
      </c>
      <c r="T271" s="45" t="str">
        <f aca="false">IF(ISNUMBER($S271),$S271*$H271,"")</f>
        <v/>
      </c>
      <c r="U271" s="45" t="str">
        <f aca="false">IF(ISNUMBER($S271),$S271*Parâmetros!$B$5,"")</f>
        <v/>
      </c>
      <c r="V271" s="45" t="str">
        <f aca="false">IF(ISNUMBER($S271),$S271*Parâmetros!$C$5,"")</f>
        <v/>
      </c>
      <c r="W271" s="44" t="str">
        <f aca="false">IF(ISNUMBER($S271),$S271-$D271-IF(ISNUMBER($E271),$E271,0)-$O271-$T271-$U271-$V271,"")</f>
        <v/>
      </c>
      <c r="X271" s="46" t="str">
        <f aca="false">IF(AND(ISNUMBER($S271),$S271&gt;0),$W271/$S271,"")</f>
        <v/>
      </c>
      <c r="Y271" s="49" t="s">
        <v>744</v>
      </c>
      <c r="Z271" s="21"/>
    </row>
    <row r="272" customFormat="false" ht="15.75" hidden="false" customHeight="true" outlineLevel="0" collapsed="false">
      <c r="A272" s="32" t="str">
        <f aca="false">IF(Produtos!$A272="","",Produtos!$A272)</f>
        <v>P4080RA</v>
      </c>
      <c r="B272" s="32" t="str">
        <f aca="false">IF(Produtos!$A272="","",Produtos!$B272)</f>
        <v>Lixeira c/Tampa Pedal 40x80 100L c/Rodízios e Alças</v>
      </c>
      <c r="C272" s="32" t="str">
        <f aca="false">IF(Produtos!$A272="","",Produtos!$C272)</f>
        <v>Lixeiras com pedal</v>
      </c>
      <c r="D272" s="33" t="n">
        <f aca="false">IF(Produtos!$A272="","",IF(Produtos!$D272="","",Produtos!$D272))</f>
        <v>816.17</v>
      </c>
      <c r="E272" s="11" t="n">
        <v>106.85</v>
      </c>
      <c r="F272" s="34" t="n">
        <f aca="false">IF($A272="","",IF($C272="","⚠ categoria",IFERROR(INDEX(Parâmetros!$C$13:$C$22,MATCH($C272,Parâmetros!$A$13:$A$22,0)),"⚠ categoria")))</f>
        <v>0.18</v>
      </c>
      <c r="G272" s="35"/>
      <c r="H272" s="36" t="n">
        <f aca="false">IF($A272="","",IF(ISNUMBER($G272),$G272,IF(ISNUMBER($F272),$F272,"")))</f>
        <v>0.18</v>
      </c>
      <c r="I272" s="37" t="n">
        <f aca="false">IF(OR($A272="",NOT(ISNUMBER($D272)),NOT(ISNUMBER($H272))),"",IF((1-$H272-Parâmetros!$B$5-Parâmetros!$C$5-Parâmetros!$D$5)&lt;=0,"INVALIDO",($D272+IF(ISNUMBER($E272),$E272,0)+IF(ISNUMBER(Parâmetros!$E$5),Parâmetros!$E$5,0))/(1-$H272-Parâmetros!$B$5-Parâmetros!$C$5-Parâmetros!$D$5)))</f>
        <v>1883.71428571429</v>
      </c>
      <c r="J272" s="38" t="n">
        <v>1781.52975</v>
      </c>
      <c r="K272" s="39" t="n">
        <f aca="false">IF(OR($A272="",NOT(ISNUMBER($D272)),NOT(ISNUMBER($H272))),"",IF(AND(ISNUMBER($J272),$J272&gt;0),$J272,IF(ISNUMBER($I272),$I272,"")))</f>
        <v>1781.52975</v>
      </c>
      <c r="L272" s="40" t="n">
        <f aca="false">IF(ISNUMBER($K272),$K272*$H272,"")</f>
        <v>320.675355</v>
      </c>
      <c r="M272" s="40" t="n">
        <f aca="false">IF(ISNUMBER($K272),$K272*Parâmetros!$B$5,"")</f>
        <v>178.152975</v>
      </c>
      <c r="N272" s="40" t="n">
        <f aca="false">IF(ISNUMBER($K272),$K272*Parâmetros!$C$5,"")</f>
        <v>53.4458925</v>
      </c>
      <c r="O272" s="40" t="n">
        <f aca="false">IF(ISNUMBER($K272),IF(ISNUMBER(Parâmetros!$E$5),Parâmetros!$E$5,0),"")</f>
        <v>0</v>
      </c>
      <c r="P272" s="41" t="n">
        <f aca="false">IF(ISNUMBER($K272),$K272-$D272-IF(ISNUMBER($E272),$E272,0)-$L272-$M272-$N272-$O272,"")</f>
        <v>306.2355275</v>
      </c>
      <c r="Q272" s="42" t="n">
        <f aca="false">IF(AND(ISNUMBER($K272),$K272&gt;0),$P272/$K272,"")</f>
        <v>0.171894703133641</v>
      </c>
      <c r="R272" s="43"/>
      <c r="S272" s="44" t="str">
        <f aca="false">IF(OR(NOT(ISNUMBER($R272)),$R272=0,NOT(ISNUMBER($K272))),"",$K272*(1-$R272))</f>
        <v/>
      </c>
      <c r="T272" s="45" t="str">
        <f aca="false">IF(ISNUMBER($S272),$S272*$H272,"")</f>
        <v/>
      </c>
      <c r="U272" s="45" t="str">
        <f aca="false">IF(ISNUMBER($S272),$S272*Parâmetros!$B$5,"")</f>
        <v/>
      </c>
      <c r="V272" s="45" t="str">
        <f aca="false">IF(ISNUMBER($S272),$S272*Parâmetros!$C$5,"")</f>
        <v/>
      </c>
      <c r="W272" s="44" t="str">
        <f aca="false">IF(ISNUMBER($S272),$S272-$D272-IF(ISNUMBER($E272),$E272,0)-$O272-$T272-$U272-$V272,"")</f>
        <v/>
      </c>
      <c r="X272" s="46" t="str">
        <f aca="false">IF(AND(ISNUMBER($S272),$S272&gt;0),$W272/$S272,"")</f>
        <v/>
      </c>
      <c r="Y272" s="47" t="s">
        <v>744</v>
      </c>
      <c r="Z272" s="19"/>
    </row>
    <row r="273" customFormat="false" ht="15.75" hidden="false" customHeight="true" outlineLevel="0" collapsed="false">
      <c r="A273" s="48" t="str">
        <f aca="false">IF(Produtos!$A273="","",Produtos!$A273)</f>
        <v>P4090RA</v>
      </c>
      <c r="B273" s="48" t="str">
        <f aca="false">IF(Produtos!$A273="","",Produtos!$B273)</f>
        <v>Lixeira c/Tampa Pedal 40x90 120L c/Rodízios e Alças</v>
      </c>
      <c r="C273" s="48" t="str">
        <f aca="false">IF(Produtos!$A273="","",Produtos!$C273)</f>
        <v>Lixeiras com pedal</v>
      </c>
      <c r="D273" s="33" t="n">
        <f aca="false">IF(Produtos!$A273="","",IF(Produtos!$D273="","",Produtos!$D273))</f>
        <v>1058.68</v>
      </c>
      <c r="E273" s="11" t="n">
        <v>106.85</v>
      </c>
      <c r="F273" s="34" t="n">
        <f aca="false">IF($A273="","",IF($C273="","⚠ categoria",IFERROR(INDEX(Parâmetros!$C$13:$C$22,MATCH($C273,Parâmetros!$A$13:$A$22,0)),"⚠ categoria")))</f>
        <v>0.18</v>
      </c>
      <c r="G273" s="35"/>
      <c r="H273" s="36" t="n">
        <f aca="false">IF($A273="","",IF(ISNUMBER($G273),$G273,IF(ISNUMBER($F273),$F273,"")))</f>
        <v>0.18</v>
      </c>
      <c r="I273" s="37" t="n">
        <f aca="false">IF(OR($A273="",NOT(ISNUMBER($D273)),NOT(ISNUMBER($H273))),"",IF((1-$H273-Parâmetros!$B$5-Parâmetros!$C$5-Parâmetros!$D$5)&lt;=0,"INVALIDO",($D273+IF(ISNUMBER($E273),$E273,0)+IF(ISNUMBER(Parâmetros!$E$5),Parâmetros!$E$5,0))/(1-$H273-Parâmetros!$B$5-Parâmetros!$C$5-Parâmetros!$D$5)))</f>
        <v>2378.63265306122</v>
      </c>
      <c r="J273" s="38" t="n">
        <v>2212.91595</v>
      </c>
      <c r="K273" s="39" t="n">
        <f aca="false">IF(OR($A273="",NOT(ISNUMBER($D273)),NOT(ISNUMBER($H273))),"",IF(AND(ISNUMBER($J273),$J273&gt;0),$J273,IF(ISNUMBER($I273),$I273,"")))</f>
        <v>2212.91595</v>
      </c>
      <c r="L273" s="40" t="n">
        <f aca="false">IF(ISNUMBER($K273),$K273*$H273,"")</f>
        <v>398.324871</v>
      </c>
      <c r="M273" s="40" t="n">
        <f aca="false">IF(ISNUMBER($K273),$K273*Parâmetros!$B$5,"")</f>
        <v>221.291595</v>
      </c>
      <c r="N273" s="40" t="n">
        <f aca="false">IF(ISNUMBER($K273),$K273*Parâmetros!$C$5,"")</f>
        <v>66.3874785</v>
      </c>
      <c r="O273" s="40" t="n">
        <f aca="false">IF(ISNUMBER($K273),IF(ISNUMBER(Parâmetros!$E$5),Parâmetros!$E$5,0),"")</f>
        <v>0</v>
      </c>
      <c r="P273" s="41" t="n">
        <f aca="false">IF(ISNUMBER($K273),$K273-$D273-IF(ISNUMBER($E273),$E273,0)-$L273-$M273-$N273-$O273,"")</f>
        <v>361.382005500001</v>
      </c>
      <c r="Q273" s="42" t="n">
        <f aca="false">IF(AND(ISNUMBER($K273),$K273&gt;0),$P273/$K273,"")</f>
        <v>0.163305798170961</v>
      </c>
      <c r="R273" s="43"/>
      <c r="S273" s="44" t="str">
        <f aca="false">IF(OR(NOT(ISNUMBER($R273)),$R273=0,NOT(ISNUMBER($K273))),"",$K273*(1-$R273))</f>
        <v/>
      </c>
      <c r="T273" s="45" t="str">
        <f aca="false">IF(ISNUMBER($S273),$S273*$H273,"")</f>
        <v/>
      </c>
      <c r="U273" s="45" t="str">
        <f aca="false">IF(ISNUMBER($S273),$S273*Parâmetros!$B$5,"")</f>
        <v/>
      </c>
      <c r="V273" s="45" t="str">
        <f aca="false">IF(ISNUMBER($S273),$S273*Parâmetros!$C$5,"")</f>
        <v/>
      </c>
      <c r="W273" s="44" t="str">
        <f aca="false">IF(ISNUMBER($S273),$S273-$D273-IF(ISNUMBER($E273),$E273,0)-$O273-$T273-$U273-$V273,"")</f>
        <v/>
      </c>
      <c r="X273" s="46" t="str">
        <f aca="false">IF(AND(ISNUMBER($S273),$S273&gt;0),$W273/$S273,"")</f>
        <v/>
      </c>
      <c r="Y273" s="49" t="s">
        <v>746</v>
      </c>
      <c r="Z273" s="21"/>
    </row>
    <row r="274" customFormat="false" ht="15.75" hidden="false" customHeight="true" outlineLevel="0" collapsed="false">
      <c r="A274" s="32" t="str">
        <f aca="false">IF(Produtos!$A274="","",Produtos!$A274)</f>
        <v>P3050R</v>
      </c>
      <c r="B274" s="32" t="str">
        <f aca="false">IF(Produtos!$A274="","",Produtos!$B274)</f>
        <v>Lixeira c/Tampa Pedal 30x50 40L c/Rodízios</v>
      </c>
      <c r="C274" s="32" t="str">
        <f aca="false">IF(Produtos!$A274="","",Produtos!$C274)</f>
        <v>Lixeiras com pedal</v>
      </c>
      <c r="D274" s="33" t="n">
        <f aca="false">IF(Produtos!$A274="","",IF(Produtos!$D274="","",Produtos!$D274))</f>
        <v>418.9</v>
      </c>
      <c r="E274" s="11"/>
      <c r="F274" s="34" t="n">
        <f aca="false">IF($A274="","",IF($C274="","⚠ categoria",IFERROR(INDEX(Parâmetros!$C$13:$C$22,MATCH($C274,Parâmetros!$A$13:$A$22,0)),"⚠ categoria")))</f>
        <v>0.18</v>
      </c>
      <c r="G274" s="35"/>
      <c r="H274" s="36" t="n">
        <f aca="false">IF($A274="","",IF(ISNUMBER($G274),$G274,IF(ISNUMBER($F274),$F274,"")))</f>
        <v>0.18</v>
      </c>
      <c r="I274" s="37" t="n">
        <f aca="false">IF(OR($A274="",NOT(ISNUMBER($D274)),NOT(ISNUMBER($H274))),"",IF((1-$H274-Parâmetros!$B$5-Parâmetros!$C$5-Parâmetros!$D$5)&lt;=0,"INVALIDO",($D274+IF(ISNUMBER($E274),$E274,0)+IF(ISNUMBER(Parâmetros!$E$5),Parâmetros!$E$5,0))/(1-$H274-Parâmetros!$B$5-Parâmetros!$C$5-Parâmetros!$D$5)))</f>
        <v>854.897959183673</v>
      </c>
      <c r="J274" s="38"/>
      <c r="K274" s="39" t="n">
        <f aca="false">IF(OR($A274="",NOT(ISNUMBER($D274)),NOT(ISNUMBER($H274))),"",IF(AND(ISNUMBER($J274),$J274&gt;0),$J274,IF(ISNUMBER($I274),$I274,"")))</f>
        <v>854.897959183673</v>
      </c>
      <c r="L274" s="40" t="n">
        <f aca="false">IF(ISNUMBER($K274),$K274*$H274,"")</f>
        <v>153.881632653061</v>
      </c>
      <c r="M274" s="40" t="n">
        <f aca="false">IF(ISNUMBER($K274),$K274*Parâmetros!$B$5,"")</f>
        <v>85.4897959183674</v>
      </c>
      <c r="N274" s="40" t="n">
        <f aca="false">IF(ISNUMBER($K274),$K274*Parâmetros!$C$5,"")</f>
        <v>25.6469387755102</v>
      </c>
      <c r="O274" s="40" t="n">
        <f aca="false">IF(ISNUMBER($K274),IF(ISNUMBER(Parâmetros!$E$5),Parâmetros!$E$5,0),"")</f>
        <v>0</v>
      </c>
      <c r="P274" s="41" t="n">
        <f aca="false">IF(ISNUMBER($K274),$K274-$D274-IF(ISNUMBER($E274),$E274,0)-$L274-$M274-$N274-$O274,"")</f>
        <v>170.979591836735</v>
      </c>
      <c r="Q274" s="42" t="n">
        <f aca="false">IF(AND(ISNUMBER($K274),$K274&gt;0),$P274/$K274,"")</f>
        <v>0.2</v>
      </c>
      <c r="R274" s="43"/>
      <c r="S274" s="44" t="str">
        <f aca="false">IF(OR(NOT(ISNUMBER($R274)),$R274=0,NOT(ISNUMBER($K274))),"",$K274*(1-$R274))</f>
        <v/>
      </c>
      <c r="T274" s="45" t="str">
        <f aca="false">IF(ISNUMBER($S274),$S274*$H274,"")</f>
        <v/>
      </c>
      <c r="U274" s="45" t="str">
        <f aca="false">IF(ISNUMBER($S274),$S274*Parâmetros!$B$5,"")</f>
        <v/>
      </c>
      <c r="V274" s="45" t="str">
        <f aca="false">IF(ISNUMBER($S274),$S274*Parâmetros!$C$5,"")</f>
        <v/>
      </c>
      <c r="W274" s="44" t="str">
        <f aca="false">IF(ISNUMBER($S274),$S274-$D274-IF(ISNUMBER($E274),$E274,0)-$O274-$T274-$U274-$V274,"")</f>
        <v/>
      </c>
      <c r="X274" s="46" t="str">
        <f aca="false">IF(AND(ISNUMBER($S274),$S274&gt;0),$W274/$S274,"")</f>
        <v/>
      </c>
      <c r="Y274" s="47"/>
      <c r="Z274" s="19"/>
    </row>
    <row r="275" customFormat="false" ht="15.75" hidden="false" customHeight="true" outlineLevel="0" collapsed="false">
      <c r="A275" s="48" t="str">
        <f aca="false">IF(Produtos!$A275="","",Produtos!$A275)</f>
        <v>P3060R</v>
      </c>
      <c r="B275" s="48" t="str">
        <f aca="false">IF(Produtos!$A275="","",Produtos!$B275)</f>
        <v>Lixeira c/Tampa Pedal 30x60 50L c/Rodízios</v>
      </c>
      <c r="C275" s="48" t="str">
        <f aca="false">IF(Produtos!$A275="","",Produtos!$C275)</f>
        <v>Lixeiras com pedal</v>
      </c>
      <c r="D275" s="33" t="n">
        <f aca="false">IF(Produtos!$A275="","",IF(Produtos!$D275="","",Produtos!$D275))</f>
        <v>421.43</v>
      </c>
      <c r="E275" s="11"/>
      <c r="F275" s="34" t="n">
        <f aca="false">IF($A275="","",IF($C275="","⚠ categoria",IFERROR(INDEX(Parâmetros!$C$13:$C$22,MATCH($C275,Parâmetros!$A$13:$A$22,0)),"⚠ categoria")))</f>
        <v>0.18</v>
      </c>
      <c r="G275" s="35"/>
      <c r="H275" s="36" t="n">
        <f aca="false">IF($A275="","",IF(ISNUMBER($G275),$G275,IF(ISNUMBER($F275),$F275,"")))</f>
        <v>0.18</v>
      </c>
      <c r="I275" s="37" t="n">
        <f aca="false">IF(OR($A275="",NOT(ISNUMBER($D275)),NOT(ISNUMBER($H275))),"",IF((1-$H275-Parâmetros!$B$5-Parâmetros!$C$5-Parâmetros!$D$5)&lt;=0,"INVALIDO",($D275+IF(ISNUMBER($E275),$E275,0)+IF(ISNUMBER(Parâmetros!$E$5),Parâmetros!$E$5,0))/(1-$H275-Parâmetros!$B$5-Parâmetros!$C$5-Parâmetros!$D$5)))</f>
        <v>860.061224489796</v>
      </c>
      <c r="J275" s="38"/>
      <c r="K275" s="39" t="n">
        <f aca="false">IF(OR($A275="",NOT(ISNUMBER($D275)),NOT(ISNUMBER($H275))),"",IF(AND(ISNUMBER($J275),$J275&gt;0),$J275,IF(ISNUMBER($I275),$I275,"")))</f>
        <v>860.061224489796</v>
      </c>
      <c r="L275" s="40" t="n">
        <f aca="false">IF(ISNUMBER($K275),$K275*$H275,"")</f>
        <v>154.811020408163</v>
      </c>
      <c r="M275" s="40" t="n">
        <f aca="false">IF(ISNUMBER($K275),$K275*Parâmetros!$B$5,"")</f>
        <v>86.0061224489796</v>
      </c>
      <c r="N275" s="40" t="n">
        <f aca="false">IF(ISNUMBER($K275),$K275*Parâmetros!$C$5,"")</f>
        <v>25.8018367346939</v>
      </c>
      <c r="O275" s="40" t="n">
        <f aca="false">IF(ISNUMBER($K275),IF(ISNUMBER(Parâmetros!$E$5),Parâmetros!$E$5,0),"")</f>
        <v>0</v>
      </c>
      <c r="P275" s="41" t="n">
        <f aca="false">IF(ISNUMBER($K275),$K275-$D275-IF(ISNUMBER($E275),$E275,0)-$L275-$M275-$N275-$O275,"")</f>
        <v>172.012244897959</v>
      </c>
      <c r="Q275" s="42" t="n">
        <f aca="false">IF(AND(ISNUMBER($K275),$K275&gt;0),$P275/$K275,"")</f>
        <v>0.2</v>
      </c>
      <c r="R275" s="43"/>
      <c r="S275" s="44" t="str">
        <f aca="false">IF(OR(NOT(ISNUMBER($R275)),$R275=0,NOT(ISNUMBER($K275))),"",$K275*(1-$R275))</f>
        <v/>
      </c>
      <c r="T275" s="45" t="str">
        <f aca="false">IF(ISNUMBER($S275),$S275*$H275,"")</f>
        <v/>
      </c>
      <c r="U275" s="45" t="str">
        <f aca="false">IF(ISNUMBER($S275),$S275*Parâmetros!$B$5,"")</f>
        <v/>
      </c>
      <c r="V275" s="45" t="str">
        <f aca="false">IF(ISNUMBER($S275),$S275*Parâmetros!$C$5,"")</f>
        <v/>
      </c>
      <c r="W275" s="44" t="str">
        <f aca="false">IF(ISNUMBER($S275),$S275-$D275-IF(ISNUMBER($E275),$E275,0)-$O275-$T275-$U275-$V275,"")</f>
        <v/>
      </c>
      <c r="X275" s="46" t="str">
        <f aca="false">IF(AND(ISNUMBER($S275),$S275&gt;0),$W275/$S275,"")</f>
        <v/>
      </c>
      <c r="Y275" s="49"/>
      <c r="Z275" s="21"/>
    </row>
    <row r="276" customFormat="false" ht="15.75" hidden="false" customHeight="true" outlineLevel="0" collapsed="false">
      <c r="A276" s="32" t="str">
        <f aca="false">IF(Produtos!$A276="","",Produtos!$A276)</f>
        <v>P3070R</v>
      </c>
      <c r="B276" s="32" t="str">
        <f aca="false">IF(Produtos!$A276="","",Produtos!$B276)</f>
        <v>Lixeira c/Tampa Pedal 30x70 60L c/Rodízios</v>
      </c>
      <c r="C276" s="32" t="str">
        <f aca="false">IF(Produtos!$A276="","",Produtos!$C276)</f>
        <v>Lixeiras com pedal</v>
      </c>
      <c r="D276" s="33" t="n">
        <f aca="false">IF(Produtos!$A276="","",IF(Produtos!$D276="","",Produtos!$D276))</f>
        <v>491.65</v>
      </c>
      <c r="E276" s="11"/>
      <c r="F276" s="34" t="n">
        <f aca="false">IF($A276="","",IF($C276="","⚠ categoria",IFERROR(INDEX(Parâmetros!$C$13:$C$22,MATCH($C276,Parâmetros!$A$13:$A$22,0)),"⚠ categoria")))</f>
        <v>0.18</v>
      </c>
      <c r="G276" s="35"/>
      <c r="H276" s="36" t="n">
        <f aca="false">IF($A276="","",IF(ISNUMBER($G276),$G276,IF(ISNUMBER($F276),$F276,"")))</f>
        <v>0.18</v>
      </c>
      <c r="I276" s="37" t="n">
        <f aca="false">IF(OR($A276="",NOT(ISNUMBER($D276)),NOT(ISNUMBER($H276))),"",IF((1-$H276-Parâmetros!$B$5-Parâmetros!$C$5-Parâmetros!$D$5)&lt;=0,"INVALIDO",($D276+IF(ISNUMBER($E276),$E276,0)+IF(ISNUMBER(Parâmetros!$E$5),Parâmetros!$E$5,0))/(1-$H276-Parâmetros!$B$5-Parâmetros!$C$5-Parâmetros!$D$5)))</f>
        <v>1003.36734693878</v>
      </c>
      <c r="J276" s="38"/>
      <c r="K276" s="39" t="n">
        <f aca="false">IF(OR($A276="",NOT(ISNUMBER($D276)),NOT(ISNUMBER($H276))),"",IF(AND(ISNUMBER($J276),$J276&gt;0),$J276,IF(ISNUMBER($I276),$I276,"")))</f>
        <v>1003.36734693878</v>
      </c>
      <c r="L276" s="40" t="n">
        <f aca="false">IF(ISNUMBER($K276),$K276*$H276,"")</f>
        <v>180.60612244898</v>
      </c>
      <c r="M276" s="40" t="n">
        <f aca="false">IF(ISNUMBER($K276),$K276*Parâmetros!$B$5,"")</f>
        <v>100.336734693878</v>
      </c>
      <c r="N276" s="40" t="n">
        <f aca="false">IF(ISNUMBER($K276),$K276*Parâmetros!$C$5,"")</f>
        <v>30.1010204081633</v>
      </c>
      <c r="O276" s="40" t="n">
        <f aca="false">IF(ISNUMBER($K276),IF(ISNUMBER(Parâmetros!$E$5),Parâmetros!$E$5,0),"")</f>
        <v>0</v>
      </c>
      <c r="P276" s="41" t="n">
        <f aca="false">IF(ISNUMBER($K276),$K276-$D276-IF(ISNUMBER($E276),$E276,0)-$L276-$M276-$N276-$O276,"")</f>
        <v>200.673469387755</v>
      </c>
      <c r="Q276" s="42" t="n">
        <f aca="false">IF(AND(ISNUMBER($K276),$K276&gt;0),$P276/$K276,"")</f>
        <v>0.2</v>
      </c>
      <c r="R276" s="43"/>
      <c r="S276" s="44" t="str">
        <f aca="false">IF(OR(NOT(ISNUMBER($R276)),$R276=0,NOT(ISNUMBER($K276))),"",$K276*(1-$R276))</f>
        <v/>
      </c>
      <c r="T276" s="45" t="str">
        <f aca="false">IF(ISNUMBER($S276),$S276*$H276,"")</f>
        <v/>
      </c>
      <c r="U276" s="45" t="str">
        <f aca="false">IF(ISNUMBER($S276),$S276*Parâmetros!$B$5,"")</f>
        <v/>
      </c>
      <c r="V276" s="45" t="str">
        <f aca="false">IF(ISNUMBER($S276),$S276*Parâmetros!$C$5,"")</f>
        <v/>
      </c>
      <c r="W276" s="44" t="str">
        <f aca="false">IF(ISNUMBER($S276),$S276-$D276-IF(ISNUMBER($E276),$E276,0)-$O276-$T276-$U276-$V276,"")</f>
        <v/>
      </c>
      <c r="X276" s="46" t="str">
        <f aca="false">IF(AND(ISNUMBER($S276),$S276&gt;0),$W276/$S276,"")</f>
        <v/>
      </c>
      <c r="Y276" s="47"/>
      <c r="Z276" s="19"/>
    </row>
    <row r="277" customFormat="false" ht="15.75" hidden="false" customHeight="true" outlineLevel="0" collapsed="false">
      <c r="A277" s="48" t="str">
        <f aca="false">IF(Produtos!$A277="","",Produtos!$A277)</f>
        <v>P4050R</v>
      </c>
      <c r="B277" s="48" t="str">
        <f aca="false">IF(Produtos!$A277="","",Produtos!$B277)</f>
        <v>Lixeira c/Tampa Pedal 40x50 65L c/Rodízios</v>
      </c>
      <c r="C277" s="48" t="str">
        <f aca="false">IF(Produtos!$A277="","",Produtos!$C277)</f>
        <v>Lixeiras com pedal</v>
      </c>
      <c r="D277" s="33" t="n">
        <f aca="false">IF(Produtos!$A277="","",IF(Produtos!$D277="","",Produtos!$D277))</f>
        <v>659.48</v>
      </c>
      <c r="E277" s="11"/>
      <c r="F277" s="34" t="n">
        <f aca="false">IF($A277="","",IF($C277="","⚠ categoria",IFERROR(INDEX(Parâmetros!$C$13:$C$22,MATCH($C277,Parâmetros!$A$13:$A$22,0)),"⚠ categoria")))</f>
        <v>0.18</v>
      </c>
      <c r="G277" s="35"/>
      <c r="H277" s="36" t="n">
        <f aca="false">IF($A277="","",IF(ISNUMBER($G277),$G277,IF(ISNUMBER($F277),$F277,"")))</f>
        <v>0.18</v>
      </c>
      <c r="I277" s="37" t="n">
        <f aca="false">IF(OR($A277="",NOT(ISNUMBER($D277)),NOT(ISNUMBER($H277))),"",IF((1-$H277-Parâmetros!$B$5-Parâmetros!$C$5-Parâmetros!$D$5)&lt;=0,"INVALIDO",($D277+IF(ISNUMBER($E277),$E277,0)+IF(ISNUMBER(Parâmetros!$E$5),Parâmetros!$E$5,0))/(1-$H277-Parâmetros!$B$5-Parâmetros!$C$5-Parâmetros!$D$5)))</f>
        <v>1345.87755102041</v>
      </c>
      <c r="J277" s="38"/>
      <c r="K277" s="39" t="n">
        <f aca="false">IF(OR($A277="",NOT(ISNUMBER($D277)),NOT(ISNUMBER($H277))),"",IF(AND(ISNUMBER($J277),$J277&gt;0),$J277,IF(ISNUMBER($I277),$I277,"")))</f>
        <v>1345.87755102041</v>
      </c>
      <c r="L277" s="40" t="n">
        <f aca="false">IF(ISNUMBER($K277),$K277*$H277,"")</f>
        <v>242.257959183673</v>
      </c>
      <c r="M277" s="40" t="n">
        <f aca="false">IF(ISNUMBER($K277),$K277*Parâmetros!$B$5,"")</f>
        <v>134.587755102041</v>
      </c>
      <c r="N277" s="40" t="n">
        <f aca="false">IF(ISNUMBER($K277),$K277*Parâmetros!$C$5,"")</f>
        <v>40.3763265306122</v>
      </c>
      <c r="O277" s="40" t="n">
        <f aca="false">IF(ISNUMBER($K277),IF(ISNUMBER(Parâmetros!$E$5),Parâmetros!$E$5,0),"")</f>
        <v>0</v>
      </c>
      <c r="P277" s="41" t="n">
        <f aca="false">IF(ISNUMBER($K277),$K277-$D277-IF(ISNUMBER($E277),$E277,0)-$L277-$M277-$N277-$O277,"")</f>
        <v>269.175510204082</v>
      </c>
      <c r="Q277" s="42" t="n">
        <f aca="false">IF(AND(ISNUMBER($K277),$K277&gt;0),$P277/$K277,"")</f>
        <v>0.2</v>
      </c>
      <c r="R277" s="43"/>
      <c r="S277" s="44" t="str">
        <f aca="false">IF(OR(NOT(ISNUMBER($R277)),$R277=0,NOT(ISNUMBER($K277))),"",$K277*(1-$R277))</f>
        <v/>
      </c>
      <c r="T277" s="45" t="str">
        <f aca="false">IF(ISNUMBER($S277),$S277*$H277,"")</f>
        <v/>
      </c>
      <c r="U277" s="45" t="str">
        <f aca="false">IF(ISNUMBER($S277),$S277*Parâmetros!$B$5,"")</f>
        <v/>
      </c>
      <c r="V277" s="45" t="str">
        <f aca="false">IF(ISNUMBER($S277),$S277*Parâmetros!$C$5,"")</f>
        <v/>
      </c>
      <c r="W277" s="44" t="str">
        <f aca="false">IF(ISNUMBER($S277),$S277-$D277-IF(ISNUMBER($E277),$E277,0)-$O277-$T277-$U277-$V277,"")</f>
        <v/>
      </c>
      <c r="X277" s="46" t="str">
        <f aca="false">IF(AND(ISNUMBER($S277),$S277&gt;0),$W277/$S277,"")</f>
        <v/>
      </c>
      <c r="Y277" s="49"/>
      <c r="Z277" s="21"/>
    </row>
    <row r="278" customFormat="false" ht="15.75" hidden="false" customHeight="true" outlineLevel="0" collapsed="false">
      <c r="A278" s="32" t="str">
        <f aca="false">IF(Produtos!$A278="","",Produtos!$A278)</f>
        <v>P4060R</v>
      </c>
      <c r="B278" s="32" t="str">
        <f aca="false">IF(Produtos!$A278="","",Produtos!$B278)</f>
        <v>Lixeira c/Tampa Pedal 40x60 75L c/Rodízios</v>
      </c>
      <c r="C278" s="32" t="str">
        <f aca="false">IF(Produtos!$A278="","",Produtos!$C278)</f>
        <v>Lixeiras com pedal</v>
      </c>
      <c r="D278" s="33" t="n">
        <f aca="false">IF(Produtos!$A278="","",IF(Produtos!$D278="","",Produtos!$D278))</f>
        <v>700.75</v>
      </c>
      <c r="E278" s="11"/>
      <c r="F278" s="34" t="n">
        <f aca="false">IF($A278="","",IF($C278="","⚠ categoria",IFERROR(INDEX(Parâmetros!$C$13:$C$22,MATCH($C278,Parâmetros!$A$13:$A$22,0)),"⚠ categoria")))</f>
        <v>0.18</v>
      </c>
      <c r="G278" s="35"/>
      <c r="H278" s="36" t="n">
        <f aca="false">IF($A278="","",IF(ISNUMBER($G278),$G278,IF(ISNUMBER($F278),$F278,"")))</f>
        <v>0.18</v>
      </c>
      <c r="I278" s="37" t="n">
        <f aca="false">IF(OR($A278="",NOT(ISNUMBER($D278)),NOT(ISNUMBER($H278))),"",IF((1-$H278-Parâmetros!$B$5-Parâmetros!$C$5-Parâmetros!$D$5)&lt;=0,"INVALIDO",($D278+IF(ISNUMBER($E278),$E278,0)+IF(ISNUMBER(Parâmetros!$E$5),Parâmetros!$E$5,0))/(1-$H278-Parâmetros!$B$5-Parâmetros!$C$5-Parâmetros!$D$5)))</f>
        <v>1430.10204081633</v>
      </c>
      <c r="J278" s="38"/>
      <c r="K278" s="39" t="n">
        <f aca="false">IF(OR($A278="",NOT(ISNUMBER($D278)),NOT(ISNUMBER($H278))),"",IF(AND(ISNUMBER($J278),$J278&gt;0),$J278,IF(ISNUMBER($I278),$I278,"")))</f>
        <v>1430.10204081633</v>
      </c>
      <c r="L278" s="40" t="n">
        <f aca="false">IF(ISNUMBER($K278),$K278*$H278,"")</f>
        <v>257.418367346939</v>
      </c>
      <c r="M278" s="40" t="n">
        <f aca="false">IF(ISNUMBER($K278),$K278*Parâmetros!$B$5,"")</f>
        <v>143.010204081633</v>
      </c>
      <c r="N278" s="40" t="n">
        <f aca="false">IF(ISNUMBER($K278),$K278*Parâmetros!$C$5,"")</f>
        <v>42.9030612244898</v>
      </c>
      <c r="O278" s="40" t="n">
        <f aca="false">IF(ISNUMBER($K278),IF(ISNUMBER(Parâmetros!$E$5),Parâmetros!$E$5,0),"")</f>
        <v>0</v>
      </c>
      <c r="P278" s="41" t="n">
        <f aca="false">IF(ISNUMBER($K278),$K278-$D278-IF(ISNUMBER($E278),$E278,0)-$L278-$M278-$N278-$O278,"")</f>
        <v>286.020408163265</v>
      </c>
      <c r="Q278" s="42" t="n">
        <f aca="false">IF(AND(ISNUMBER($K278),$K278&gt;0),$P278/$K278,"")</f>
        <v>0.2</v>
      </c>
      <c r="R278" s="43"/>
      <c r="S278" s="44" t="str">
        <f aca="false">IF(OR(NOT(ISNUMBER($R278)),$R278=0,NOT(ISNUMBER($K278))),"",$K278*(1-$R278))</f>
        <v/>
      </c>
      <c r="T278" s="45" t="str">
        <f aca="false">IF(ISNUMBER($S278),$S278*$H278,"")</f>
        <v/>
      </c>
      <c r="U278" s="45" t="str">
        <f aca="false">IF(ISNUMBER($S278),$S278*Parâmetros!$B$5,"")</f>
        <v/>
      </c>
      <c r="V278" s="45" t="str">
        <f aca="false">IF(ISNUMBER($S278),$S278*Parâmetros!$C$5,"")</f>
        <v/>
      </c>
      <c r="W278" s="44" t="str">
        <f aca="false">IF(ISNUMBER($S278),$S278-$D278-IF(ISNUMBER($E278),$E278,0)-$O278-$T278-$U278-$V278,"")</f>
        <v/>
      </c>
      <c r="X278" s="46" t="str">
        <f aca="false">IF(AND(ISNUMBER($S278),$S278&gt;0),$W278/$S278,"")</f>
        <v/>
      </c>
      <c r="Y278" s="47"/>
      <c r="Z278" s="19"/>
    </row>
    <row r="279" customFormat="false" ht="15.75" hidden="false" customHeight="true" outlineLevel="0" collapsed="false">
      <c r="A279" s="48" t="str">
        <f aca="false">IF(Produtos!$A279="","",Produtos!$A279)</f>
        <v>P4070R</v>
      </c>
      <c r="B279" s="48" t="str">
        <f aca="false">IF(Produtos!$A279="","",Produtos!$B279)</f>
        <v>Lixeira c/Tampa Pedal 40x70 80L c/Rodízios</v>
      </c>
      <c r="C279" s="48" t="str">
        <f aca="false">IF(Produtos!$A279="","",Produtos!$C279)</f>
        <v>Lixeiras com pedal</v>
      </c>
      <c r="D279" s="33" t="n">
        <f aca="false">IF(Produtos!$A279="","",IF(Produtos!$D279="","",Produtos!$D279))</f>
        <v>709.85</v>
      </c>
      <c r="E279" s="11"/>
      <c r="F279" s="34" t="n">
        <f aca="false">IF($A279="","",IF($C279="","⚠ categoria",IFERROR(INDEX(Parâmetros!$C$13:$C$22,MATCH($C279,Parâmetros!$A$13:$A$22,0)),"⚠ categoria")))</f>
        <v>0.18</v>
      </c>
      <c r="G279" s="35"/>
      <c r="H279" s="36" t="n">
        <f aca="false">IF($A279="","",IF(ISNUMBER($G279),$G279,IF(ISNUMBER($F279),$F279,"")))</f>
        <v>0.18</v>
      </c>
      <c r="I279" s="37" t="n">
        <f aca="false">IF(OR($A279="",NOT(ISNUMBER($D279)),NOT(ISNUMBER($H279))),"",IF((1-$H279-Parâmetros!$B$5-Parâmetros!$C$5-Parâmetros!$D$5)&lt;=0,"INVALIDO",($D279+IF(ISNUMBER($E279),$E279,0)+IF(ISNUMBER(Parâmetros!$E$5),Parâmetros!$E$5,0))/(1-$H279-Parâmetros!$B$5-Parâmetros!$C$5-Parâmetros!$D$5)))</f>
        <v>1448.67346938776</v>
      </c>
      <c r="J279" s="38"/>
      <c r="K279" s="39" t="n">
        <f aca="false">IF(OR($A279="",NOT(ISNUMBER($D279)),NOT(ISNUMBER($H279))),"",IF(AND(ISNUMBER($J279),$J279&gt;0),$J279,IF(ISNUMBER($I279),$I279,"")))</f>
        <v>1448.67346938776</v>
      </c>
      <c r="L279" s="40" t="n">
        <f aca="false">IF(ISNUMBER($K279),$K279*$H279,"")</f>
        <v>260.761224489796</v>
      </c>
      <c r="M279" s="40" t="n">
        <f aca="false">IF(ISNUMBER($K279),$K279*Parâmetros!$B$5,"")</f>
        <v>144.867346938776</v>
      </c>
      <c r="N279" s="40" t="n">
        <f aca="false">IF(ISNUMBER($K279),$K279*Parâmetros!$C$5,"")</f>
        <v>43.4602040816327</v>
      </c>
      <c r="O279" s="40" t="n">
        <f aca="false">IF(ISNUMBER($K279),IF(ISNUMBER(Parâmetros!$E$5),Parâmetros!$E$5,0),"")</f>
        <v>0</v>
      </c>
      <c r="P279" s="41" t="n">
        <f aca="false">IF(ISNUMBER($K279),$K279-$D279-IF(ISNUMBER($E279),$E279,0)-$L279-$M279-$N279-$O279,"")</f>
        <v>289.734693877551</v>
      </c>
      <c r="Q279" s="42" t="n">
        <f aca="false">IF(AND(ISNUMBER($K279),$K279&gt;0),$P279/$K279,"")</f>
        <v>0.2</v>
      </c>
      <c r="R279" s="43"/>
      <c r="S279" s="44" t="str">
        <f aca="false">IF(OR(NOT(ISNUMBER($R279)),$R279=0,NOT(ISNUMBER($K279))),"",$K279*(1-$R279))</f>
        <v/>
      </c>
      <c r="T279" s="45" t="str">
        <f aca="false">IF(ISNUMBER($S279),$S279*$H279,"")</f>
        <v/>
      </c>
      <c r="U279" s="45" t="str">
        <f aca="false">IF(ISNUMBER($S279),$S279*Parâmetros!$B$5,"")</f>
        <v/>
      </c>
      <c r="V279" s="45" t="str">
        <f aca="false">IF(ISNUMBER($S279),$S279*Parâmetros!$C$5,"")</f>
        <v/>
      </c>
      <c r="W279" s="44" t="str">
        <f aca="false">IF(ISNUMBER($S279),$S279-$D279-IF(ISNUMBER($E279),$E279,0)-$O279-$T279-$U279-$V279,"")</f>
        <v/>
      </c>
      <c r="X279" s="46" t="str">
        <f aca="false">IF(AND(ISNUMBER($S279),$S279&gt;0),$W279/$S279,"")</f>
        <v/>
      </c>
      <c r="Y279" s="49"/>
      <c r="Z279" s="21"/>
    </row>
    <row r="280" customFormat="false" ht="15.75" hidden="false" customHeight="true" outlineLevel="0" collapsed="false">
      <c r="A280" s="32" t="str">
        <f aca="false">IF(Produtos!$A280="","",Produtos!$A280)</f>
        <v>P4075R</v>
      </c>
      <c r="B280" s="32" t="str">
        <f aca="false">IF(Produtos!$A280="","",Produtos!$B280)</f>
        <v>Lixeira c/Tampa Pedal 40x75 95L c/Rodízios</v>
      </c>
      <c r="C280" s="32" t="str">
        <f aca="false">IF(Produtos!$A280="","",Produtos!$C280)</f>
        <v>Lixeiras com pedal</v>
      </c>
      <c r="D280" s="33" t="n">
        <f aca="false">IF(Produtos!$A280="","",IF(Produtos!$D280="","",Produtos!$D280))</f>
        <v>771.39</v>
      </c>
      <c r="E280" s="11"/>
      <c r="F280" s="34" t="n">
        <f aca="false">IF($A280="","",IF($C280="","⚠ categoria",IFERROR(INDEX(Parâmetros!$C$13:$C$22,MATCH($C280,Parâmetros!$A$13:$A$22,0)),"⚠ categoria")))</f>
        <v>0.18</v>
      </c>
      <c r="G280" s="35"/>
      <c r="H280" s="36" t="n">
        <f aca="false">IF($A280="","",IF(ISNUMBER($G280),$G280,IF(ISNUMBER($F280),$F280,"")))</f>
        <v>0.18</v>
      </c>
      <c r="I280" s="37" t="n">
        <f aca="false">IF(OR($A280="",NOT(ISNUMBER($D280)),NOT(ISNUMBER($H280))),"",IF((1-$H280-Parâmetros!$B$5-Parâmetros!$C$5-Parâmetros!$D$5)&lt;=0,"INVALIDO",($D280+IF(ISNUMBER($E280),$E280,0)+IF(ISNUMBER(Parâmetros!$E$5),Parâmetros!$E$5,0))/(1-$H280-Parâmetros!$B$5-Parâmetros!$C$5-Parâmetros!$D$5)))</f>
        <v>1574.26530612245</v>
      </c>
      <c r="J280" s="38"/>
      <c r="K280" s="39" t="n">
        <f aca="false">IF(OR($A280="",NOT(ISNUMBER($D280)),NOT(ISNUMBER($H280))),"",IF(AND(ISNUMBER($J280),$J280&gt;0),$J280,IF(ISNUMBER($I280),$I280,"")))</f>
        <v>1574.26530612245</v>
      </c>
      <c r="L280" s="40" t="n">
        <f aca="false">IF(ISNUMBER($K280),$K280*$H280,"")</f>
        <v>283.367755102041</v>
      </c>
      <c r="M280" s="40" t="n">
        <f aca="false">IF(ISNUMBER($K280),$K280*Parâmetros!$B$5,"")</f>
        <v>157.426530612245</v>
      </c>
      <c r="N280" s="40" t="n">
        <f aca="false">IF(ISNUMBER($K280),$K280*Parâmetros!$C$5,"")</f>
        <v>47.2279591836735</v>
      </c>
      <c r="O280" s="40" t="n">
        <f aca="false">IF(ISNUMBER($K280),IF(ISNUMBER(Parâmetros!$E$5),Parâmetros!$E$5,0),"")</f>
        <v>0</v>
      </c>
      <c r="P280" s="41" t="n">
        <f aca="false">IF(ISNUMBER($K280),$K280-$D280-IF(ISNUMBER($E280),$E280,0)-$L280-$M280-$N280-$O280,"")</f>
        <v>314.85306122449</v>
      </c>
      <c r="Q280" s="42" t="n">
        <f aca="false">IF(AND(ISNUMBER($K280),$K280&gt;0),$P280/$K280,"")</f>
        <v>0.2</v>
      </c>
      <c r="R280" s="43"/>
      <c r="S280" s="44" t="str">
        <f aca="false">IF(OR(NOT(ISNUMBER($R280)),$R280=0,NOT(ISNUMBER($K280))),"",$K280*(1-$R280))</f>
        <v/>
      </c>
      <c r="T280" s="45" t="str">
        <f aca="false">IF(ISNUMBER($S280),$S280*$H280,"")</f>
        <v/>
      </c>
      <c r="U280" s="45" t="str">
        <f aca="false">IF(ISNUMBER($S280),$S280*Parâmetros!$B$5,"")</f>
        <v/>
      </c>
      <c r="V280" s="45" t="str">
        <f aca="false">IF(ISNUMBER($S280),$S280*Parâmetros!$C$5,"")</f>
        <v/>
      </c>
      <c r="W280" s="44" t="str">
        <f aca="false">IF(ISNUMBER($S280),$S280-$D280-IF(ISNUMBER($E280),$E280,0)-$O280-$T280-$U280-$V280,"")</f>
        <v/>
      </c>
      <c r="X280" s="46" t="str">
        <f aca="false">IF(AND(ISNUMBER($S280),$S280&gt;0),$W280/$S280,"")</f>
        <v/>
      </c>
      <c r="Y280" s="47"/>
      <c r="Z280" s="19"/>
    </row>
    <row r="281" customFormat="false" ht="15.75" hidden="false" customHeight="true" outlineLevel="0" collapsed="false">
      <c r="A281" s="48" t="str">
        <f aca="false">IF(Produtos!$A281="","",Produtos!$A281)</f>
        <v>P4080R</v>
      </c>
      <c r="B281" s="48" t="str">
        <f aca="false">IF(Produtos!$A281="","",Produtos!$B281)</f>
        <v>Lixeira c/Tampa Pedal 40x80 100L c/Rodízios</v>
      </c>
      <c r="C281" s="48" t="str">
        <f aca="false">IF(Produtos!$A281="","",Produtos!$C281)</f>
        <v>Lixeiras com pedal</v>
      </c>
      <c r="D281" s="33" t="n">
        <f aca="false">IF(Produtos!$A281="","",IF(Produtos!$D281="","",Produtos!$D281))</f>
        <v>847.75</v>
      </c>
      <c r="E281" s="11"/>
      <c r="F281" s="34" t="n">
        <f aca="false">IF($A281="","",IF($C281="","⚠ categoria",IFERROR(INDEX(Parâmetros!$C$13:$C$22,MATCH($C281,Parâmetros!$A$13:$A$22,0)),"⚠ categoria")))</f>
        <v>0.18</v>
      </c>
      <c r="G281" s="35"/>
      <c r="H281" s="36" t="n">
        <f aca="false">IF($A281="","",IF(ISNUMBER($G281),$G281,IF(ISNUMBER($F281),$F281,"")))</f>
        <v>0.18</v>
      </c>
      <c r="I281" s="37" t="n">
        <f aca="false">IF(OR($A281="",NOT(ISNUMBER($D281)),NOT(ISNUMBER($H281))),"",IF((1-$H281-Parâmetros!$B$5-Parâmetros!$C$5-Parâmetros!$D$5)&lt;=0,"INVALIDO",($D281+IF(ISNUMBER($E281),$E281,0)+IF(ISNUMBER(Parâmetros!$E$5),Parâmetros!$E$5,0))/(1-$H281-Parâmetros!$B$5-Parâmetros!$C$5-Parâmetros!$D$5)))</f>
        <v>1730.10204081633</v>
      </c>
      <c r="J281" s="38"/>
      <c r="K281" s="39" t="n">
        <f aca="false">IF(OR($A281="",NOT(ISNUMBER($D281)),NOT(ISNUMBER($H281))),"",IF(AND(ISNUMBER($J281),$J281&gt;0),$J281,IF(ISNUMBER($I281),$I281,"")))</f>
        <v>1730.10204081633</v>
      </c>
      <c r="L281" s="40" t="n">
        <f aca="false">IF(ISNUMBER($K281),$K281*$H281,"")</f>
        <v>311.418367346939</v>
      </c>
      <c r="M281" s="40" t="n">
        <f aca="false">IF(ISNUMBER($K281),$K281*Parâmetros!$B$5,"")</f>
        <v>173.010204081633</v>
      </c>
      <c r="N281" s="40" t="n">
        <f aca="false">IF(ISNUMBER($K281),$K281*Parâmetros!$C$5,"")</f>
        <v>51.9030612244898</v>
      </c>
      <c r="O281" s="40" t="n">
        <f aca="false">IF(ISNUMBER($K281),IF(ISNUMBER(Parâmetros!$E$5),Parâmetros!$E$5,0),"")</f>
        <v>0</v>
      </c>
      <c r="P281" s="41" t="n">
        <f aca="false">IF(ISNUMBER($K281),$K281-$D281-IF(ISNUMBER($E281),$E281,0)-$L281-$M281-$N281-$O281,"")</f>
        <v>346.020408163265</v>
      </c>
      <c r="Q281" s="42" t="n">
        <f aca="false">IF(AND(ISNUMBER($K281),$K281&gt;0),$P281/$K281,"")</f>
        <v>0.2</v>
      </c>
      <c r="R281" s="43"/>
      <c r="S281" s="44" t="str">
        <f aca="false">IF(OR(NOT(ISNUMBER($R281)),$R281=0,NOT(ISNUMBER($K281))),"",$K281*(1-$R281))</f>
        <v/>
      </c>
      <c r="T281" s="45" t="str">
        <f aca="false">IF(ISNUMBER($S281),$S281*$H281,"")</f>
        <v/>
      </c>
      <c r="U281" s="45" t="str">
        <f aca="false">IF(ISNUMBER($S281),$S281*Parâmetros!$B$5,"")</f>
        <v/>
      </c>
      <c r="V281" s="45" t="str">
        <f aca="false">IF(ISNUMBER($S281),$S281*Parâmetros!$C$5,"")</f>
        <v/>
      </c>
      <c r="W281" s="44" t="str">
        <f aca="false">IF(ISNUMBER($S281),$S281-$D281-IF(ISNUMBER($E281),$E281,0)-$O281-$T281-$U281-$V281,"")</f>
        <v/>
      </c>
      <c r="X281" s="46" t="str">
        <f aca="false">IF(AND(ISNUMBER($S281),$S281&gt;0),$W281/$S281,"")</f>
        <v/>
      </c>
      <c r="Y281" s="49"/>
      <c r="Z281" s="21"/>
    </row>
    <row r="282" customFormat="false" ht="15.75" hidden="false" customHeight="true" outlineLevel="0" collapsed="false">
      <c r="A282" s="32" t="str">
        <f aca="false">IF(Produtos!$A282="","",Produtos!$A282)</f>
        <v>P4090R</v>
      </c>
      <c r="B282" s="32" t="str">
        <f aca="false">IF(Produtos!$A282="","",Produtos!$B282)</f>
        <v>Lixeira c/Tampa Pedal 40x90 120L c/Rodízios</v>
      </c>
      <c r="C282" s="32" t="str">
        <f aca="false">IF(Produtos!$A282="","",Produtos!$C282)</f>
        <v>Lixeiras com pedal</v>
      </c>
      <c r="D282" s="33" t="n">
        <f aca="false">IF(Produtos!$A282="","",IF(Produtos!$D282="","",Produtos!$D282))</f>
        <v>1057.78</v>
      </c>
      <c r="E282" s="11"/>
      <c r="F282" s="34" t="n">
        <f aca="false">IF($A282="","",IF($C282="","⚠ categoria",IFERROR(INDEX(Parâmetros!$C$13:$C$22,MATCH($C282,Parâmetros!$A$13:$A$22,0)),"⚠ categoria")))</f>
        <v>0.18</v>
      </c>
      <c r="G282" s="35"/>
      <c r="H282" s="36" t="n">
        <f aca="false">IF($A282="","",IF(ISNUMBER($G282),$G282,IF(ISNUMBER($F282),$F282,"")))</f>
        <v>0.18</v>
      </c>
      <c r="I282" s="37" t="n">
        <f aca="false">IF(OR($A282="",NOT(ISNUMBER($D282)),NOT(ISNUMBER($H282))),"",IF((1-$H282-Parâmetros!$B$5-Parâmetros!$C$5-Parâmetros!$D$5)&lt;=0,"INVALIDO",($D282+IF(ISNUMBER($E282),$E282,0)+IF(ISNUMBER(Parâmetros!$E$5),Parâmetros!$E$5,0))/(1-$H282-Parâmetros!$B$5-Parâmetros!$C$5-Parâmetros!$D$5)))</f>
        <v>2158.73469387755</v>
      </c>
      <c r="J282" s="38"/>
      <c r="K282" s="39" t="n">
        <f aca="false">IF(OR($A282="",NOT(ISNUMBER($D282)),NOT(ISNUMBER($H282))),"",IF(AND(ISNUMBER($J282),$J282&gt;0),$J282,IF(ISNUMBER($I282),$I282,"")))</f>
        <v>2158.73469387755</v>
      </c>
      <c r="L282" s="40" t="n">
        <f aca="false">IF(ISNUMBER($K282),$K282*$H282,"")</f>
        <v>388.572244897959</v>
      </c>
      <c r="M282" s="40" t="n">
        <f aca="false">IF(ISNUMBER($K282),$K282*Parâmetros!$B$5,"")</f>
        <v>215.873469387755</v>
      </c>
      <c r="N282" s="40" t="n">
        <f aca="false">IF(ISNUMBER($K282),$K282*Parâmetros!$C$5,"")</f>
        <v>64.7620408163265</v>
      </c>
      <c r="O282" s="40" t="n">
        <f aca="false">IF(ISNUMBER($K282),IF(ISNUMBER(Parâmetros!$E$5),Parâmetros!$E$5,0),"")</f>
        <v>0</v>
      </c>
      <c r="P282" s="41" t="n">
        <f aca="false">IF(ISNUMBER($K282),$K282-$D282-IF(ISNUMBER($E282),$E282,0)-$L282-$M282-$N282-$O282,"")</f>
        <v>431.74693877551</v>
      </c>
      <c r="Q282" s="42" t="n">
        <f aca="false">IF(AND(ISNUMBER($K282),$K282&gt;0),$P282/$K282,"")</f>
        <v>0.2</v>
      </c>
      <c r="R282" s="43"/>
      <c r="S282" s="44" t="str">
        <f aca="false">IF(OR(NOT(ISNUMBER($R282)),$R282=0,NOT(ISNUMBER($K282))),"",$K282*(1-$R282))</f>
        <v/>
      </c>
      <c r="T282" s="45" t="str">
        <f aca="false">IF(ISNUMBER($S282),$S282*$H282,"")</f>
        <v/>
      </c>
      <c r="U282" s="45" t="str">
        <f aca="false">IF(ISNUMBER($S282),$S282*Parâmetros!$B$5,"")</f>
        <v/>
      </c>
      <c r="V282" s="45" t="str">
        <f aca="false">IF(ISNUMBER($S282),$S282*Parâmetros!$C$5,"")</f>
        <v/>
      </c>
      <c r="W282" s="44" t="str">
        <f aca="false">IF(ISNUMBER($S282),$S282-$D282-IF(ISNUMBER($E282),$E282,0)-$O282-$T282-$U282-$V282,"")</f>
        <v/>
      </c>
      <c r="X282" s="46" t="str">
        <f aca="false">IF(AND(ISNUMBER($S282),$S282&gt;0),$W282/$S282,"")</f>
        <v/>
      </c>
      <c r="Y282" s="47"/>
      <c r="Z282" s="19"/>
    </row>
    <row r="283" customFormat="false" ht="15.75" hidden="false" customHeight="true" outlineLevel="0" collapsed="false">
      <c r="A283" s="48" t="str">
        <f aca="false">IF(Produtos!$A283="","",Produtos!$A283)</f>
        <v>P1618ALC</v>
      </c>
      <c r="B283" s="48" t="str">
        <f aca="false">IF(Produtos!$A283="","",Produtos!$B283)</f>
        <v>Lixeira c/Tampa Pedal 16x18 03L c/Alças</v>
      </c>
      <c r="C283" s="48" t="str">
        <f aca="false">IF(Produtos!$A283="","",Produtos!$C283)</f>
        <v>Lixeiras com pedal</v>
      </c>
      <c r="D283" s="33" t="n">
        <f aca="false">IF(Produtos!$A283="","",IF(Produtos!$D283="","",Produtos!$D283))</f>
        <v>156.92</v>
      </c>
      <c r="E283" s="11"/>
      <c r="F283" s="34" t="n">
        <f aca="false">IF($A283="","",IF($C283="","⚠ categoria",IFERROR(INDEX(Parâmetros!$C$13:$C$22,MATCH($C283,Parâmetros!$A$13:$A$22,0)),"⚠ categoria")))</f>
        <v>0.18</v>
      </c>
      <c r="G283" s="35"/>
      <c r="H283" s="36" t="n">
        <f aca="false">IF($A283="","",IF(ISNUMBER($G283),$G283,IF(ISNUMBER($F283),$F283,"")))</f>
        <v>0.18</v>
      </c>
      <c r="I283" s="37" t="n">
        <f aca="false">IF(OR($A283="",NOT(ISNUMBER($D283)),NOT(ISNUMBER($H283))),"",IF((1-$H283-Parâmetros!$B$5-Parâmetros!$C$5-Parâmetros!$D$5)&lt;=0,"INVALIDO",($D283+IF(ISNUMBER($E283),$E283,0)+IF(ISNUMBER(Parâmetros!$E$5),Parâmetros!$E$5,0))/(1-$H283-Parâmetros!$B$5-Parâmetros!$C$5-Parâmetros!$D$5)))</f>
        <v>320.244897959184</v>
      </c>
      <c r="J283" s="38"/>
      <c r="K283" s="39" t="n">
        <f aca="false">IF(OR($A283="",NOT(ISNUMBER($D283)),NOT(ISNUMBER($H283))),"",IF(AND(ISNUMBER($J283),$J283&gt;0),$J283,IF(ISNUMBER($I283),$I283,"")))</f>
        <v>320.244897959184</v>
      </c>
      <c r="L283" s="40" t="n">
        <f aca="false">IF(ISNUMBER($K283),$K283*$H283,"")</f>
        <v>57.6440816326531</v>
      </c>
      <c r="M283" s="40" t="n">
        <f aca="false">IF(ISNUMBER($K283),$K283*Parâmetros!$B$5,"")</f>
        <v>32.0244897959184</v>
      </c>
      <c r="N283" s="40" t="n">
        <f aca="false">IF(ISNUMBER($K283),$K283*Parâmetros!$C$5,"")</f>
        <v>9.60734693877551</v>
      </c>
      <c r="O283" s="40" t="n">
        <f aca="false">IF(ISNUMBER($K283),IF(ISNUMBER(Parâmetros!$E$5),Parâmetros!$E$5,0),"")</f>
        <v>0</v>
      </c>
      <c r="P283" s="41" t="n">
        <f aca="false">IF(ISNUMBER($K283),$K283-$D283-IF(ISNUMBER($E283),$E283,0)-$L283-$M283-$N283-$O283,"")</f>
        <v>64.0489795918367</v>
      </c>
      <c r="Q283" s="42" t="n">
        <f aca="false">IF(AND(ISNUMBER($K283),$K283&gt;0),$P283/$K283,"")</f>
        <v>0.2</v>
      </c>
      <c r="R283" s="43"/>
      <c r="S283" s="44" t="str">
        <f aca="false">IF(OR(NOT(ISNUMBER($R283)),$R283=0,NOT(ISNUMBER($K283))),"",$K283*(1-$R283))</f>
        <v/>
      </c>
      <c r="T283" s="45" t="str">
        <f aca="false">IF(ISNUMBER($S283),$S283*$H283,"")</f>
        <v/>
      </c>
      <c r="U283" s="45" t="str">
        <f aca="false">IF(ISNUMBER($S283),$S283*Parâmetros!$B$5,"")</f>
        <v/>
      </c>
      <c r="V283" s="45" t="str">
        <f aca="false">IF(ISNUMBER($S283),$S283*Parâmetros!$C$5,"")</f>
        <v/>
      </c>
      <c r="W283" s="44" t="str">
        <f aca="false">IF(ISNUMBER($S283),$S283-$D283-IF(ISNUMBER($E283),$E283,0)-$O283-$T283-$U283-$V283,"")</f>
        <v/>
      </c>
      <c r="X283" s="46" t="str">
        <f aca="false">IF(AND(ISNUMBER($S283),$S283&gt;0),$W283/$S283,"")</f>
        <v/>
      </c>
      <c r="Y283" s="49"/>
      <c r="Z283" s="21"/>
    </row>
    <row r="284" customFormat="false" ht="15.75" hidden="false" customHeight="true" outlineLevel="0" collapsed="false">
      <c r="A284" s="32" t="str">
        <f aca="false">IF(Produtos!$A284="","",Produtos!$A284)</f>
        <v>P1623ALC</v>
      </c>
      <c r="B284" s="32" t="str">
        <f aca="false">IF(Produtos!$A284="","",Produtos!$B284)</f>
        <v>Lixeira c/Tampa Pedal 16x23 05L c/Alças</v>
      </c>
      <c r="C284" s="32" t="str">
        <f aca="false">IF(Produtos!$A284="","",Produtos!$C284)</f>
        <v>Lixeiras com pedal</v>
      </c>
      <c r="D284" s="33" t="n">
        <f aca="false">IF(Produtos!$A284="","",IF(Produtos!$D284="","",Produtos!$D284))</f>
        <v>170.79</v>
      </c>
      <c r="E284" s="11"/>
      <c r="F284" s="34" t="n">
        <f aca="false">IF($A284="","",IF($C284="","⚠ categoria",IFERROR(INDEX(Parâmetros!$C$13:$C$22,MATCH($C284,Parâmetros!$A$13:$A$22,0)),"⚠ categoria")))</f>
        <v>0.18</v>
      </c>
      <c r="G284" s="35"/>
      <c r="H284" s="36" t="n">
        <f aca="false">IF($A284="","",IF(ISNUMBER($G284),$G284,IF(ISNUMBER($F284),$F284,"")))</f>
        <v>0.18</v>
      </c>
      <c r="I284" s="37" t="n">
        <f aca="false">IF(OR($A284="",NOT(ISNUMBER($D284)),NOT(ISNUMBER($H284))),"",IF((1-$H284-Parâmetros!$B$5-Parâmetros!$C$5-Parâmetros!$D$5)&lt;=0,"INVALIDO",($D284+IF(ISNUMBER($E284),$E284,0)+IF(ISNUMBER(Parâmetros!$E$5),Parâmetros!$E$5,0))/(1-$H284-Parâmetros!$B$5-Parâmetros!$C$5-Parâmetros!$D$5)))</f>
        <v>348.551020408163</v>
      </c>
      <c r="J284" s="38"/>
      <c r="K284" s="39" t="n">
        <f aca="false">IF(OR($A284="",NOT(ISNUMBER($D284)),NOT(ISNUMBER($H284))),"",IF(AND(ISNUMBER($J284),$J284&gt;0),$J284,IF(ISNUMBER($I284),$I284,"")))</f>
        <v>348.551020408163</v>
      </c>
      <c r="L284" s="40" t="n">
        <f aca="false">IF(ISNUMBER($K284),$K284*$H284,"")</f>
        <v>62.7391836734694</v>
      </c>
      <c r="M284" s="40" t="n">
        <f aca="false">IF(ISNUMBER($K284),$K284*Parâmetros!$B$5,"")</f>
        <v>34.8551020408163</v>
      </c>
      <c r="N284" s="40" t="n">
        <f aca="false">IF(ISNUMBER($K284),$K284*Parâmetros!$C$5,"")</f>
        <v>10.4565306122449</v>
      </c>
      <c r="O284" s="40" t="n">
        <f aca="false">IF(ISNUMBER($K284),IF(ISNUMBER(Parâmetros!$E$5),Parâmetros!$E$5,0),"")</f>
        <v>0</v>
      </c>
      <c r="P284" s="41" t="n">
        <f aca="false">IF(ISNUMBER($K284),$K284-$D284-IF(ISNUMBER($E284),$E284,0)-$L284-$M284-$N284-$O284,"")</f>
        <v>69.7102040816326</v>
      </c>
      <c r="Q284" s="42" t="n">
        <f aca="false">IF(AND(ISNUMBER($K284),$K284&gt;0),$P284/$K284,"")</f>
        <v>0.2</v>
      </c>
      <c r="R284" s="43"/>
      <c r="S284" s="44" t="str">
        <f aca="false">IF(OR(NOT(ISNUMBER($R284)),$R284=0,NOT(ISNUMBER($K284))),"",$K284*(1-$R284))</f>
        <v/>
      </c>
      <c r="T284" s="45" t="str">
        <f aca="false">IF(ISNUMBER($S284),$S284*$H284,"")</f>
        <v/>
      </c>
      <c r="U284" s="45" t="str">
        <f aca="false">IF(ISNUMBER($S284),$S284*Parâmetros!$B$5,"")</f>
        <v/>
      </c>
      <c r="V284" s="45" t="str">
        <f aca="false">IF(ISNUMBER($S284),$S284*Parâmetros!$C$5,"")</f>
        <v/>
      </c>
      <c r="W284" s="44" t="str">
        <f aca="false">IF(ISNUMBER($S284),$S284-$D284-IF(ISNUMBER($E284),$E284,0)-$O284-$T284-$U284-$V284,"")</f>
        <v/>
      </c>
      <c r="X284" s="46" t="str">
        <f aca="false">IF(AND(ISNUMBER($S284),$S284&gt;0),$W284/$S284,"")</f>
        <v/>
      </c>
      <c r="Y284" s="47"/>
      <c r="Z284" s="19"/>
    </row>
    <row r="285" customFormat="false" ht="15.75" hidden="false" customHeight="true" outlineLevel="0" collapsed="false">
      <c r="A285" s="48" t="str">
        <f aca="false">IF(Produtos!$A285="","",Produtos!$A285)</f>
        <v>P2025ALC</v>
      </c>
      <c r="B285" s="48" t="str">
        <f aca="false">IF(Produtos!$A285="","",Produtos!$B285)</f>
        <v>Lixeira c/Tampa Pedal 20x25 07L c/Alças</v>
      </c>
      <c r="C285" s="48" t="str">
        <f aca="false">IF(Produtos!$A285="","",Produtos!$C285)</f>
        <v>Lixeiras com pedal</v>
      </c>
      <c r="D285" s="33" t="n">
        <f aca="false">IF(Produtos!$A285="","",IF(Produtos!$D285="","",Produtos!$D285))</f>
        <v>175.76</v>
      </c>
      <c r="E285" s="11"/>
      <c r="F285" s="34" t="n">
        <f aca="false">IF($A285="","",IF($C285="","⚠ categoria",IFERROR(INDEX(Parâmetros!$C$13:$C$22,MATCH($C285,Parâmetros!$A$13:$A$22,0)),"⚠ categoria")))</f>
        <v>0.18</v>
      </c>
      <c r="G285" s="35"/>
      <c r="H285" s="36" t="n">
        <f aca="false">IF($A285="","",IF(ISNUMBER($G285),$G285,IF(ISNUMBER($F285),$F285,"")))</f>
        <v>0.18</v>
      </c>
      <c r="I285" s="37" t="n">
        <f aca="false">IF(OR($A285="",NOT(ISNUMBER($D285)),NOT(ISNUMBER($H285))),"",IF((1-$H285-Parâmetros!$B$5-Parâmetros!$C$5-Parâmetros!$D$5)&lt;=0,"INVALIDO",($D285+IF(ISNUMBER($E285),$E285,0)+IF(ISNUMBER(Parâmetros!$E$5),Parâmetros!$E$5,0))/(1-$H285-Parâmetros!$B$5-Parâmetros!$C$5-Parâmetros!$D$5)))</f>
        <v>358.69387755102</v>
      </c>
      <c r="J285" s="38"/>
      <c r="K285" s="39" t="n">
        <f aca="false">IF(OR($A285="",NOT(ISNUMBER($D285)),NOT(ISNUMBER($H285))),"",IF(AND(ISNUMBER($J285),$J285&gt;0),$J285,IF(ISNUMBER($I285),$I285,"")))</f>
        <v>358.69387755102</v>
      </c>
      <c r="L285" s="40" t="n">
        <f aca="false">IF(ISNUMBER($K285),$K285*$H285,"")</f>
        <v>64.5648979591837</v>
      </c>
      <c r="M285" s="40" t="n">
        <f aca="false">IF(ISNUMBER($K285),$K285*Parâmetros!$B$5,"")</f>
        <v>35.869387755102</v>
      </c>
      <c r="N285" s="40" t="n">
        <f aca="false">IF(ISNUMBER($K285),$K285*Parâmetros!$C$5,"")</f>
        <v>10.7608163265306</v>
      </c>
      <c r="O285" s="40" t="n">
        <f aca="false">IF(ISNUMBER($K285),IF(ISNUMBER(Parâmetros!$E$5),Parâmetros!$E$5,0),"")</f>
        <v>0</v>
      </c>
      <c r="P285" s="41" t="n">
        <f aca="false">IF(ISNUMBER($K285),$K285-$D285-IF(ISNUMBER($E285),$E285,0)-$L285-$M285-$N285-$O285,"")</f>
        <v>71.7387755102041</v>
      </c>
      <c r="Q285" s="42" t="n">
        <f aca="false">IF(AND(ISNUMBER($K285),$K285&gt;0),$P285/$K285,"")</f>
        <v>0.2</v>
      </c>
      <c r="R285" s="43"/>
      <c r="S285" s="44" t="str">
        <f aca="false">IF(OR(NOT(ISNUMBER($R285)),$R285=0,NOT(ISNUMBER($K285))),"",$K285*(1-$R285))</f>
        <v/>
      </c>
      <c r="T285" s="45" t="str">
        <f aca="false">IF(ISNUMBER($S285),$S285*$H285,"")</f>
        <v/>
      </c>
      <c r="U285" s="45" t="str">
        <f aca="false">IF(ISNUMBER($S285),$S285*Parâmetros!$B$5,"")</f>
        <v/>
      </c>
      <c r="V285" s="45" t="str">
        <f aca="false">IF(ISNUMBER($S285),$S285*Parâmetros!$C$5,"")</f>
        <v/>
      </c>
      <c r="W285" s="44" t="str">
        <f aca="false">IF(ISNUMBER($S285),$S285-$D285-IF(ISNUMBER($E285),$E285,0)-$O285-$T285-$U285-$V285,"")</f>
        <v/>
      </c>
      <c r="X285" s="46" t="str">
        <f aca="false">IF(AND(ISNUMBER($S285),$S285&gt;0),$W285/$S285,"")</f>
        <v/>
      </c>
      <c r="Y285" s="49"/>
      <c r="Z285" s="21"/>
    </row>
    <row r="286" customFormat="false" ht="15.75" hidden="false" customHeight="true" outlineLevel="0" collapsed="false">
      <c r="A286" s="32" t="str">
        <f aca="false">IF(Produtos!$A286="","",Produtos!$A286)</f>
        <v>P2030ALC</v>
      </c>
      <c r="B286" s="32" t="str">
        <f aca="false">IF(Produtos!$A286="","",Produtos!$B286)</f>
        <v>Lixeira c/Tampa Pedal 20x30 10L c/Alças</v>
      </c>
      <c r="C286" s="32" t="str">
        <f aca="false">IF(Produtos!$A286="","",Produtos!$C286)</f>
        <v>Lixeiras com pedal</v>
      </c>
      <c r="D286" s="33" t="n">
        <f aca="false">IF(Produtos!$A286="","",IF(Produtos!$D286="","",Produtos!$D286))</f>
        <v>190.1</v>
      </c>
      <c r="E286" s="11"/>
      <c r="F286" s="34" t="n">
        <f aca="false">IF($A286="","",IF($C286="","⚠ categoria",IFERROR(INDEX(Parâmetros!$C$13:$C$22,MATCH($C286,Parâmetros!$A$13:$A$22,0)),"⚠ categoria")))</f>
        <v>0.18</v>
      </c>
      <c r="G286" s="35"/>
      <c r="H286" s="36" t="n">
        <f aca="false">IF($A286="","",IF(ISNUMBER($G286),$G286,IF(ISNUMBER($F286),$F286,"")))</f>
        <v>0.18</v>
      </c>
      <c r="I286" s="37" t="n">
        <f aca="false">IF(OR($A286="",NOT(ISNUMBER($D286)),NOT(ISNUMBER($H286))),"",IF((1-$H286-Parâmetros!$B$5-Parâmetros!$C$5-Parâmetros!$D$5)&lt;=0,"INVALIDO",($D286+IF(ISNUMBER($E286),$E286,0)+IF(ISNUMBER(Parâmetros!$E$5),Parâmetros!$E$5,0))/(1-$H286-Parâmetros!$B$5-Parâmetros!$C$5-Parâmetros!$D$5)))</f>
        <v>387.959183673469</v>
      </c>
      <c r="J286" s="38"/>
      <c r="K286" s="39" t="n">
        <f aca="false">IF(OR($A286="",NOT(ISNUMBER($D286)),NOT(ISNUMBER($H286))),"",IF(AND(ISNUMBER($J286),$J286&gt;0),$J286,IF(ISNUMBER($I286),$I286,"")))</f>
        <v>387.959183673469</v>
      </c>
      <c r="L286" s="40" t="n">
        <f aca="false">IF(ISNUMBER($K286),$K286*$H286,"")</f>
        <v>69.8326530612245</v>
      </c>
      <c r="M286" s="40" t="n">
        <f aca="false">IF(ISNUMBER($K286),$K286*Parâmetros!$B$5,"")</f>
        <v>38.7959183673469</v>
      </c>
      <c r="N286" s="40" t="n">
        <f aca="false">IF(ISNUMBER($K286),$K286*Parâmetros!$C$5,"")</f>
        <v>11.6387755102041</v>
      </c>
      <c r="O286" s="40" t="n">
        <f aca="false">IF(ISNUMBER($K286),IF(ISNUMBER(Parâmetros!$E$5),Parâmetros!$E$5,0),"")</f>
        <v>0</v>
      </c>
      <c r="P286" s="41" t="n">
        <f aca="false">IF(ISNUMBER($K286),$K286-$D286-IF(ISNUMBER($E286),$E286,0)-$L286-$M286-$N286-$O286,"")</f>
        <v>77.5918367346939</v>
      </c>
      <c r="Q286" s="42" t="n">
        <f aca="false">IF(AND(ISNUMBER($K286),$K286&gt;0),$P286/$K286,"")</f>
        <v>0.2</v>
      </c>
      <c r="R286" s="43"/>
      <c r="S286" s="44" t="str">
        <f aca="false">IF(OR(NOT(ISNUMBER($R286)),$R286=0,NOT(ISNUMBER($K286))),"",$K286*(1-$R286))</f>
        <v/>
      </c>
      <c r="T286" s="45" t="str">
        <f aca="false">IF(ISNUMBER($S286),$S286*$H286,"")</f>
        <v/>
      </c>
      <c r="U286" s="45" t="str">
        <f aca="false">IF(ISNUMBER($S286),$S286*Parâmetros!$B$5,"")</f>
        <v/>
      </c>
      <c r="V286" s="45" t="str">
        <f aca="false">IF(ISNUMBER($S286),$S286*Parâmetros!$C$5,"")</f>
        <v/>
      </c>
      <c r="W286" s="44" t="str">
        <f aca="false">IF(ISNUMBER($S286),$S286-$D286-IF(ISNUMBER($E286),$E286,0)-$O286-$T286-$U286-$V286,"")</f>
        <v/>
      </c>
      <c r="X286" s="46" t="str">
        <f aca="false">IF(AND(ISNUMBER($S286),$S286&gt;0),$W286/$S286,"")</f>
        <v/>
      </c>
      <c r="Y286" s="47"/>
      <c r="Z286" s="19"/>
    </row>
    <row r="287" customFormat="false" ht="15.75" hidden="false" customHeight="true" outlineLevel="0" collapsed="false">
      <c r="A287" s="48" t="str">
        <f aca="false">IF(Produtos!$A287="","",Produtos!$A287)</f>
        <v>P2425ALC</v>
      </c>
      <c r="B287" s="48" t="str">
        <f aca="false">IF(Produtos!$A287="","",Produtos!$B287)</f>
        <v>Lixeira c/Tampa Pedal 24x25 12L c/Alças</v>
      </c>
      <c r="C287" s="48" t="str">
        <f aca="false">IF(Produtos!$A287="","",Produtos!$C287)</f>
        <v>Lixeiras com pedal</v>
      </c>
      <c r="D287" s="33" t="n">
        <f aca="false">IF(Produtos!$A287="","",IF(Produtos!$D287="","",Produtos!$D287))</f>
        <v>192.87</v>
      </c>
      <c r="E287" s="11"/>
      <c r="F287" s="34" t="n">
        <f aca="false">IF($A287="","",IF($C287="","⚠ categoria",IFERROR(INDEX(Parâmetros!$C$13:$C$22,MATCH($C287,Parâmetros!$A$13:$A$22,0)),"⚠ categoria")))</f>
        <v>0.18</v>
      </c>
      <c r="G287" s="35"/>
      <c r="H287" s="36" t="n">
        <f aca="false">IF($A287="","",IF(ISNUMBER($G287),$G287,IF(ISNUMBER($F287),$F287,"")))</f>
        <v>0.18</v>
      </c>
      <c r="I287" s="37" t="n">
        <f aca="false">IF(OR($A287="",NOT(ISNUMBER($D287)),NOT(ISNUMBER($H287))),"",IF((1-$H287-Parâmetros!$B$5-Parâmetros!$C$5-Parâmetros!$D$5)&lt;=0,"INVALIDO",($D287+IF(ISNUMBER($E287),$E287,0)+IF(ISNUMBER(Parâmetros!$E$5),Parâmetros!$E$5,0))/(1-$H287-Parâmetros!$B$5-Parâmetros!$C$5-Parâmetros!$D$5)))</f>
        <v>393.612244897959</v>
      </c>
      <c r="J287" s="38"/>
      <c r="K287" s="39" t="n">
        <f aca="false">IF(OR($A287="",NOT(ISNUMBER($D287)),NOT(ISNUMBER($H287))),"",IF(AND(ISNUMBER($J287),$J287&gt;0),$J287,IF(ISNUMBER($I287),$I287,"")))</f>
        <v>393.612244897959</v>
      </c>
      <c r="L287" s="40" t="n">
        <f aca="false">IF(ISNUMBER($K287),$K287*$H287,"")</f>
        <v>70.8502040816326</v>
      </c>
      <c r="M287" s="40" t="n">
        <f aca="false">IF(ISNUMBER($K287),$K287*Parâmetros!$B$5,"")</f>
        <v>39.3612244897959</v>
      </c>
      <c r="N287" s="40" t="n">
        <f aca="false">IF(ISNUMBER($K287),$K287*Parâmetros!$C$5,"")</f>
        <v>11.8083673469388</v>
      </c>
      <c r="O287" s="40" t="n">
        <f aca="false">IF(ISNUMBER($K287),IF(ISNUMBER(Parâmetros!$E$5),Parâmetros!$E$5,0),"")</f>
        <v>0</v>
      </c>
      <c r="P287" s="41" t="n">
        <f aca="false">IF(ISNUMBER($K287),$K287-$D287-IF(ISNUMBER($E287),$E287,0)-$L287-$M287-$N287-$O287,"")</f>
        <v>78.7224489795918</v>
      </c>
      <c r="Q287" s="42" t="n">
        <f aca="false">IF(AND(ISNUMBER($K287),$K287&gt;0),$P287/$K287,"")</f>
        <v>0.2</v>
      </c>
      <c r="R287" s="43"/>
      <c r="S287" s="44" t="str">
        <f aca="false">IF(OR(NOT(ISNUMBER($R287)),$R287=0,NOT(ISNUMBER($K287))),"",$K287*(1-$R287))</f>
        <v/>
      </c>
      <c r="T287" s="45" t="str">
        <f aca="false">IF(ISNUMBER($S287),$S287*$H287,"")</f>
        <v/>
      </c>
      <c r="U287" s="45" t="str">
        <f aca="false">IF(ISNUMBER($S287),$S287*Parâmetros!$B$5,"")</f>
        <v/>
      </c>
      <c r="V287" s="45" t="str">
        <f aca="false">IF(ISNUMBER($S287),$S287*Parâmetros!$C$5,"")</f>
        <v/>
      </c>
      <c r="W287" s="44" t="str">
        <f aca="false">IF(ISNUMBER($S287),$S287-$D287-IF(ISNUMBER($E287),$E287,0)-$O287-$T287-$U287-$V287,"")</f>
        <v/>
      </c>
      <c r="X287" s="46" t="str">
        <f aca="false">IF(AND(ISNUMBER($S287),$S287&gt;0),$W287/$S287,"")</f>
        <v/>
      </c>
      <c r="Y287" s="49"/>
      <c r="Z287" s="21"/>
    </row>
    <row r="288" customFormat="false" ht="15.75" hidden="false" customHeight="true" outlineLevel="0" collapsed="false">
      <c r="A288" s="32" t="str">
        <f aca="false">IF(Produtos!$A288="","",Produtos!$A288)</f>
        <v>P2430ALC</v>
      </c>
      <c r="B288" s="32" t="str">
        <f aca="false">IF(Produtos!$A288="","",Produtos!$B288)</f>
        <v>Lixeira c/Tampa Pedal 24x30 15L c/Alças</v>
      </c>
      <c r="C288" s="32" t="str">
        <f aca="false">IF(Produtos!$A288="","",Produtos!$C288)</f>
        <v>Lixeiras com pedal</v>
      </c>
      <c r="D288" s="33" t="n">
        <f aca="false">IF(Produtos!$A288="","",IF(Produtos!$D288="","",Produtos!$D288))</f>
        <v>206.44</v>
      </c>
      <c r="E288" s="11"/>
      <c r="F288" s="34" t="n">
        <f aca="false">IF($A288="","",IF($C288="","⚠ categoria",IFERROR(INDEX(Parâmetros!$C$13:$C$22,MATCH($C288,Parâmetros!$A$13:$A$22,0)),"⚠ categoria")))</f>
        <v>0.18</v>
      </c>
      <c r="G288" s="35"/>
      <c r="H288" s="36" t="n">
        <f aca="false">IF($A288="","",IF(ISNUMBER($G288),$G288,IF(ISNUMBER($F288),$F288,"")))</f>
        <v>0.18</v>
      </c>
      <c r="I288" s="37" t="n">
        <f aca="false">IF(OR($A288="",NOT(ISNUMBER($D288)),NOT(ISNUMBER($H288))),"",IF((1-$H288-Parâmetros!$B$5-Parâmetros!$C$5-Parâmetros!$D$5)&lt;=0,"INVALIDO",($D288+IF(ISNUMBER($E288),$E288,0)+IF(ISNUMBER(Parâmetros!$E$5),Parâmetros!$E$5,0))/(1-$H288-Parâmetros!$B$5-Parâmetros!$C$5-Parâmetros!$D$5)))</f>
        <v>421.30612244898</v>
      </c>
      <c r="J288" s="38"/>
      <c r="K288" s="39" t="n">
        <f aca="false">IF(OR($A288="",NOT(ISNUMBER($D288)),NOT(ISNUMBER($H288))),"",IF(AND(ISNUMBER($J288),$J288&gt;0),$J288,IF(ISNUMBER($I288),$I288,"")))</f>
        <v>421.30612244898</v>
      </c>
      <c r="L288" s="40" t="n">
        <f aca="false">IF(ISNUMBER($K288),$K288*$H288,"")</f>
        <v>75.8351020408163</v>
      </c>
      <c r="M288" s="40" t="n">
        <f aca="false">IF(ISNUMBER($K288),$K288*Parâmetros!$B$5,"")</f>
        <v>42.130612244898</v>
      </c>
      <c r="N288" s="40" t="n">
        <f aca="false">IF(ISNUMBER($K288),$K288*Parâmetros!$C$5,"")</f>
        <v>12.6391836734694</v>
      </c>
      <c r="O288" s="40" t="n">
        <f aca="false">IF(ISNUMBER($K288),IF(ISNUMBER(Parâmetros!$E$5),Parâmetros!$E$5,0),"")</f>
        <v>0</v>
      </c>
      <c r="P288" s="41" t="n">
        <f aca="false">IF(ISNUMBER($K288),$K288-$D288-IF(ISNUMBER($E288),$E288,0)-$L288-$M288-$N288-$O288,"")</f>
        <v>84.2612244897959</v>
      </c>
      <c r="Q288" s="42" t="n">
        <f aca="false">IF(AND(ISNUMBER($K288),$K288&gt;0),$P288/$K288,"")</f>
        <v>0.2</v>
      </c>
      <c r="R288" s="43"/>
      <c r="S288" s="44" t="str">
        <f aca="false">IF(OR(NOT(ISNUMBER($R288)),$R288=0,NOT(ISNUMBER($K288))),"",$K288*(1-$R288))</f>
        <v/>
      </c>
      <c r="T288" s="45" t="str">
        <f aca="false">IF(ISNUMBER($S288),$S288*$H288,"")</f>
        <v/>
      </c>
      <c r="U288" s="45" t="str">
        <f aca="false">IF(ISNUMBER($S288),$S288*Parâmetros!$B$5,"")</f>
        <v/>
      </c>
      <c r="V288" s="45" t="str">
        <f aca="false">IF(ISNUMBER($S288),$S288*Parâmetros!$C$5,"")</f>
        <v/>
      </c>
      <c r="W288" s="44" t="str">
        <f aca="false">IF(ISNUMBER($S288),$S288-$D288-IF(ISNUMBER($E288),$E288,0)-$O288-$T288-$U288-$V288,"")</f>
        <v/>
      </c>
      <c r="X288" s="46" t="str">
        <f aca="false">IF(AND(ISNUMBER($S288),$S288&gt;0),$W288/$S288,"")</f>
        <v/>
      </c>
      <c r="Y288" s="47"/>
      <c r="Z288" s="19"/>
    </row>
    <row r="289" customFormat="false" ht="15.75" hidden="false" customHeight="true" outlineLevel="0" collapsed="false">
      <c r="A289" s="48" t="str">
        <f aca="false">IF(Produtos!$A289="","",Produtos!$A289)</f>
        <v>P2440ALC</v>
      </c>
      <c r="B289" s="48" t="str">
        <f aca="false">IF(Produtos!$A289="","",Produtos!$B289)</f>
        <v>Lixeira c/Tampa Pedal 24x40 20L c/Alças</v>
      </c>
      <c r="C289" s="48" t="str">
        <f aca="false">IF(Produtos!$A289="","",Produtos!$C289)</f>
        <v>Lixeiras com pedal</v>
      </c>
      <c r="D289" s="33" t="n">
        <f aca="false">IF(Produtos!$A289="","",IF(Produtos!$D289="","",Produtos!$D289))</f>
        <v>217.38</v>
      </c>
      <c r="E289" s="11" t="n">
        <v>29.25</v>
      </c>
      <c r="F289" s="34" t="n">
        <f aca="false">IF($A289="","",IF($C289="","⚠ categoria",IFERROR(INDEX(Parâmetros!$C$13:$C$22,MATCH($C289,Parâmetros!$A$13:$A$22,0)),"⚠ categoria")))</f>
        <v>0.18</v>
      </c>
      <c r="G289" s="35" t="n">
        <v>0.15</v>
      </c>
      <c r="H289" s="36" t="n">
        <f aca="false">IF($A289="","",IF(ISNUMBER($G289),$G289,IF(ISNUMBER($F289),$F289,"")))</f>
        <v>0.15</v>
      </c>
      <c r="I289" s="37" t="n">
        <f aca="false">IF(OR($A289="",NOT(ISNUMBER($D289)),NOT(ISNUMBER($H289))),"",IF((1-$H289-Parâmetros!$B$5-Parâmetros!$C$5-Parâmetros!$D$5)&lt;=0,"INVALIDO",($D289+IF(ISNUMBER($E289),$E289,0)+IF(ISNUMBER(Parâmetros!$E$5),Parâmetros!$E$5,0))/(1-$H289-Parâmetros!$B$5-Parâmetros!$C$5-Parâmetros!$D$5)))</f>
        <v>474.288461538462</v>
      </c>
      <c r="J289" s="38" t="n">
        <v>451.04542875</v>
      </c>
      <c r="K289" s="39" t="n">
        <f aca="false">IF(OR($A289="",NOT(ISNUMBER($D289)),NOT(ISNUMBER($H289))),"",IF(AND(ISNUMBER($J289),$J289&gt;0),$J289,IF(ISNUMBER($I289),$I289,"")))</f>
        <v>451.04542875</v>
      </c>
      <c r="L289" s="40" t="n">
        <f aca="false">IF(ISNUMBER($K289),$K289*$H289,"")</f>
        <v>67.6568143125</v>
      </c>
      <c r="M289" s="40" t="n">
        <f aca="false">IF(ISNUMBER($K289),$K289*Parâmetros!$B$5,"")</f>
        <v>45.104542875</v>
      </c>
      <c r="N289" s="40" t="n">
        <f aca="false">IF(ISNUMBER($K289),$K289*Parâmetros!$C$5,"")</f>
        <v>13.5313628625</v>
      </c>
      <c r="O289" s="40" t="n">
        <f aca="false">IF(ISNUMBER($K289),IF(ISNUMBER(Parâmetros!$E$5),Parâmetros!$E$5,0),"")</f>
        <v>0</v>
      </c>
      <c r="P289" s="41" t="n">
        <f aca="false">IF(ISNUMBER($K289),$K289-$D289-IF(ISNUMBER($E289),$E289,0)-$L289-$M289-$N289-$O289,"")</f>
        <v>78.1227087</v>
      </c>
      <c r="Q289" s="42" t="n">
        <f aca="false">IF(AND(ISNUMBER($K289),$K289&gt;0),$P289/$K289,"")</f>
        <v>0.173203636974006</v>
      </c>
      <c r="R289" s="43"/>
      <c r="S289" s="44" t="str">
        <f aca="false">IF(OR(NOT(ISNUMBER($R289)),$R289=0,NOT(ISNUMBER($K289))),"",$K289*(1-$R289))</f>
        <v/>
      </c>
      <c r="T289" s="45" t="str">
        <f aca="false">IF(ISNUMBER($S289),$S289*$H289,"")</f>
        <v/>
      </c>
      <c r="U289" s="45" t="str">
        <f aca="false">IF(ISNUMBER($S289),$S289*Parâmetros!$B$5,"")</f>
        <v/>
      </c>
      <c r="V289" s="45" t="str">
        <f aca="false">IF(ISNUMBER($S289),$S289*Parâmetros!$C$5,"")</f>
        <v/>
      </c>
      <c r="W289" s="44" t="str">
        <f aca="false">IF(ISNUMBER($S289),$S289-$D289-IF(ISNUMBER($E289),$E289,0)-$O289-$T289-$U289-$V289,"")</f>
        <v/>
      </c>
      <c r="X289" s="46" t="str">
        <f aca="false">IF(AND(ISNUMBER($S289),$S289&gt;0),$W289/$S289,"")</f>
        <v/>
      </c>
      <c r="Y289" s="49" t="s">
        <v>744</v>
      </c>
      <c r="Z289" s="21"/>
    </row>
    <row r="290" customFormat="false" ht="15.75" hidden="false" customHeight="true" outlineLevel="0" collapsed="false">
      <c r="A290" s="32" t="str">
        <f aca="false">IF(Produtos!$A290="","",Produtos!$A290)</f>
        <v>P3040ALC</v>
      </c>
      <c r="B290" s="32" t="str">
        <f aca="false">IF(Produtos!$A290="","",Produtos!$B290)</f>
        <v>Lixeira c/Tampa Pedal 30x40 30L c/Alças</v>
      </c>
      <c r="C290" s="32" t="str">
        <f aca="false">IF(Produtos!$A290="","",Produtos!$C290)</f>
        <v>Lixeiras com pedal</v>
      </c>
      <c r="D290" s="33" t="n">
        <f aca="false">IF(Produtos!$A290="","",IF(Produtos!$D290="","",Produtos!$D290))</f>
        <v>296.61</v>
      </c>
      <c r="E290" s="11" t="n">
        <v>40.85</v>
      </c>
      <c r="F290" s="34" t="n">
        <f aca="false">IF($A290="","",IF($C290="","⚠ categoria",IFERROR(INDEX(Parâmetros!$C$13:$C$22,MATCH($C290,Parâmetros!$A$13:$A$22,0)),"⚠ categoria")))</f>
        <v>0.18</v>
      </c>
      <c r="G290" s="35" t="n">
        <v>0.15</v>
      </c>
      <c r="H290" s="36" t="n">
        <f aca="false">IF($A290="","",IF(ISNUMBER($G290),$G290,IF(ISNUMBER($F290),$F290,"")))</f>
        <v>0.15</v>
      </c>
      <c r="I290" s="37" t="n">
        <f aca="false">IF(OR($A290="",NOT(ISNUMBER($D290)),NOT(ISNUMBER($H290))),"",IF((1-$H290-Parâmetros!$B$5-Parâmetros!$C$5-Parâmetros!$D$5)&lt;=0,"INVALIDO",($D290+IF(ISNUMBER($E290),$E290,0)+IF(ISNUMBER(Parâmetros!$E$5),Parâmetros!$E$5,0))/(1-$H290-Parâmetros!$B$5-Parâmetros!$C$5-Parâmetros!$D$5)))</f>
        <v>648.961538461539</v>
      </c>
      <c r="J290" s="38" t="n">
        <v>617.09515875</v>
      </c>
      <c r="K290" s="39" t="n">
        <f aca="false">IF(OR($A290="",NOT(ISNUMBER($D290)),NOT(ISNUMBER($H290))),"",IF(AND(ISNUMBER($J290),$J290&gt;0),$J290,IF(ISNUMBER($I290),$I290,"")))</f>
        <v>617.09515875</v>
      </c>
      <c r="L290" s="40" t="n">
        <f aca="false">IF(ISNUMBER($K290),$K290*$H290,"")</f>
        <v>92.5642738125</v>
      </c>
      <c r="M290" s="40" t="n">
        <f aca="false">IF(ISNUMBER($K290),$K290*Parâmetros!$B$5,"")</f>
        <v>61.709515875</v>
      </c>
      <c r="N290" s="40" t="n">
        <f aca="false">IF(ISNUMBER($K290),$K290*Parâmetros!$C$5,"")</f>
        <v>18.5128547625</v>
      </c>
      <c r="O290" s="40" t="n">
        <f aca="false">IF(ISNUMBER($K290),IF(ISNUMBER(Parâmetros!$E$5),Parâmetros!$E$5,0),"")</f>
        <v>0</v>
      </c>
      <c r="P290" s="41" t="n">
        <f aca="false">IF(ISNUMBER($K290),$K290-$D290-IF(ISNUMBER($E290),$E290,0)-$L290-$M290-$N290-$O290,"")</f>
        <v>106.8485143</v>
      </c>
      <c r="Q290" s="42" t="n">
        <f aca="false">IF(AND(ISNUMBER($K290),$K290&gt;0),$P290/$K290,"")</f>
        <v>0.173147549101559</v>
      </c>
      <c r="R290" s="43"/>
      <c r="S290" s="44" t="str">
        <f aca="false">IF(OR(NOT(ISNUMBER($R290)),$R290=0,NOT(ISNUMBER($K290))),"",$K290*(1-$R290))</f>
        <v/>
      </c>
      <c r="T290" s="45" t="str">
        <f aca="false">IF(ISNUMBER($S290),$S290*$H290,"")</f>
        <v/>
      </c>
      <c r="U290" s="45" t="str">
        <f aca="false">IF(ISNUMBER($S290),$S290*Parâmetros!$B$5,"")</f>
        <v/>
      </c>
      <c r="V290" s="45" t="str">
        <f aca="false">IF(ISNUMBER($S290),$S290*Parâmetros!$C$5,"")</f>
        <v/>
      </c>
      <c r="W290" s="44" t="str">
        <f aca="false">IF(ISNUMBER($S290),$S290-$D290-IF(ISNUMBER($E290),$E290,0)-$O290-$T290-$U290-$V290,"")</f>
        <v/>
      </c>
      <c r="X290" s="46" t="str">
        <f aca="false">IF(AND(ISNUMBER($S290),$S290&gt;0),$W290/$S290,"")</f>
        <v/>
      </c>
      <c r="Y290" s="47" t="s">
        <v>744</v>
      </c>
      <c r="Z290" s="19"/>
    </row>
    <row r="291" customFormat="false" ht="15.75" hidden="false" customHeight="true" outlineLevel="0" collapsed="false">
      <c r="A291" s="48" t="str">
        <f aca="false">IF(Produtos!$A291="","",Produtos!$A291)</f>
        <v>P3050ALC</v>
      </c>
      <c r="B291" s="48" t="str">
        <f aca="false">IF(Produtos!$A291="","",Produtos!$B291)</f>
        <v>Lixeira c/Tampa Pedal 30x50 40L c/Alças</v>
      </c>
      <c r="C291" s="48" t="str">
        <f aca="false">IF(Produtos!$A291="","",Produtos!$C291)</f>
        <v>Lixeiras com pedal</v>
      </c>
      <c r="D291" s="33" t="n">
        <f aca="false">IF(Produtos!$A291="","",IF(Produtos!$D291="","",Produtos!$D291))</f>
        <v>345.63</v>
      </c>
      <c r="E291" s="11" t="n">
        <v>49.35</v>
      </c>
      <c r="F291" s="34" t="n">
        <f aca="false">IF($A291="","",IF($C291="","⚠ categoria",IFERROR(INDEX(Parâmetros!$C$13:$C$22,MATCH($C291,Parâmetros!$A$13:$A$22,0)),"⚠ categoria")))</f>
        <v>0.18</v>
      </c>
      <c r="G291" s="35"/>
      <c r="H291" s="36" t="n">
        <f aca="false">IF($A291="","",IF(ISNUMBER($G291),$G291,IF(ISNUMBER($F291),$F291,"")))</f>
        <v>0.18</v>
      </c>
      <c r="I291" s="37" t="n">
        <f aca="false">IF(OR($A291="",NOT(ISNUMBER($D291)),NOT(ISNUMBER($H291))),"",IF((1-$H291-Parâmetros!$B$5-Parâmetros!$C$5-Parâmetros!$D$5)&lt;=0,"INVALIDO",($D291+IF(ISNUMBER($E291),$E291,0)+IF(ISNUMBER(Parâmetros!$E$5),Parâmetros!$E$5,0))/(1-$H291-Parâmetros!$B$5-Parâmetros!$C$5-Parâmetros!$D$5)))</f>
        <v>806.081632653061</v>
      </c>
      <c r="J291" s="38" t="n">
        <v>721.7791875</v>
      </c>
      <c r="K291" s="39" t="n">
        <f aca="false">IF(OR($A291="",NOT(ISNUMBER($D291)),NOT(ISNUMBER($H291))),"",IF(AND(ISNUMBER($J291),$J291&gt;0),$J291,IF(ISNUMBER($I291),$I291,"")))</f>
        <v>721.7791875</v>
      </c>
      <c r="L291" s="40" t="n">
        <f aca="false">IF(ISNUMBER($K291),$K291*$H291,"")</f>
        <v>129.92025375</v>
      </c>
      <c r="M291" s="40" t="n">
        <f aca="false">IF(ISNUMBER($K291),$K291*Parâmetros!$B$5,"")</f>
        <v>72.17791875</v>
      </c>
      <c r="N291" s="40" t="n">
        <f aca="false">IF(ISNUMBER($K291),$K291*Parâmetros!$C$5,"")</f>
        <v>21.653375625</v>
      </c>
      <c r="O291" s="40" t="n">
        <f aca="false">IF(ISNUMBER($K291),IF(ISNUMBER(Parâmetros!$E$5),Parâmetros!$E$5,0),"")</f>
        <v>0</v>
      </c>
      <c r="P291" s="41" t="n">
        <f aca="false">IF(ISNUMBER($K291),$K291-$D291-IF(ISNUMBER($E291),$E291,0)-$L291-$M291-$N291-$O291,"")</f>
        <v>103.047639375</v>
      </c>
      <c r="Q291" s="42" t="n">
        <f aca="false">IF(AND(ISNUMBER($K291),$K291&gt;0),$P291/$K291,"")</f>
        <v>0.142768925953549</v>
      </c>
      <c r="R291" s="43"/>
      <c r="S291" s="44" t="str">
        <f aca="false">IF(OR(NOT(ISNUMBER($R291)),$R291=0,NOT(ISNUMBER($K291))),"",$K291*(1-$R291))</f>
        <v/>
      </c>
      <c r="T291" s="45" t="str">
        <f aca="false">IF(ISNUMBER($S291),$S291*$H291,"")</f>
        <v/>
      </c>
      <c r="U291" s="45" t="str">
        <f aca="false">IF(ISNUMBER($S291),$S291*Parâmetros!$B$5,"")</f>
        <v/>
      </c>
      <c r="V291" s="45" t="str">
        <f aca="false">IF(ISNUMBER($S291),$S291*Parâmetros!$C$5,"")</f>
        <v/>
      </c>
      <c r="W291" s="44" t="str">
        <f aca="false">IF(ISNUMBER($S291),$S291-$D291-IF(ISNUMBER($E291),$E291,0)-$O291-$T291-$U291-$V291,"")</f>
        <v/>
      </c>
      <c r="X291" s="46" t="str">
        <f aca="false">IF(AND(ISNUMBER($S291),$S291&gt;0),$W291/$S291,"")</f>
        <v/>
      </c>
      <c r="Y291" s="49" t="s">
        <v>744</v>
      </c>
      <c r="Z291" s="21"/>
    </row>
    <row r="292" customFormat="false" ht="15.75" hidden="false" customHeight="true" outlineLevel="0" collapsed="false">
      <c r="A292" s="32" t="str">
        <f aca="false">IF(Produtos!$A292="","",Produtos!$A292)</f>
        <v>P3060ALC</v>
      </c>
      <c r="B292" s="32" t="str">
        <f aca="false">IF(Produtos!$A292="","",Produtos!$B292)</f>
        <v>Lixeira c/Tampa Pedal 30x60 50L c/Alças</v>
      </c>
      <c r="C292" s="32" t="str">
        <f aca="false">IF(Produtos!$A292="","",Produtos!$C292)</f>
        <v>Lixeiras com pedal</v>
      </c>
      <c r="D292" s="33" t="n">
        <f aca="false">IF(Produtos!$A292="","",IF(Produtos!$D292="","",Produtos!$D292))</f>
        <v>347.99</v>
      </c>
      <c r="E292" s="11" t="n">
        <v>50.75</v>
      </c>
      <c r="F292" s="34" t="n">
        <f aca="false">IF($A292="","",IF($C292="","⚠ categoria",IFERROR(INDEX(Parâmetros!$C$13:$C$22,MATCH($C292,Parâmetros!$A$13:$A$22,0)),"⚠ categoria")))</f>
        <v>0.18</v>
      </c>
      <c r="G292" s="35"/>
      <c r="H292" s="36" t="n">
        <f aca="false">IF($A292="","",IF(ISNUMBER($G292),$G292,IF(ISNUMBER($F292),$F292,"")))</f>
        <v>0.18</v>
      </c>
      <c r="I292" s="37" t="n">
        <f aca="false">IF(OR($A292="",NOT(ISNUMBER($D292)),NOT(ISNUMBER($H292))),"",IF((1-$H292-Parâmetros!$B$5-Parâmetros!$C$5-Parâmetros!$D$5)&lt;=0,"INVALIDO",($D292+IF(ISNUMBER($E292),$E292,0)+IF(ISNUMBER(Parâmetros!$E$5),Parâmetros!$E$5,0))/(1-$H292-Parâmetros!$B$5-Parâmetros!$C$5-Parâmetros!$D$5)))</f>
        <v>813.755102040816</v>
      </c>
      <c r="J292" s="38" t="n">
        <v>728.238735</v>
      </c>
      <c r="K292" s="39" t="n">
        <f aca="false">IF(OR($A292="",NOT(ISNUMBER($D292)),NOT(ISNUMBER($H292))),"",IF(AND(ISNUMBER($J292),$J292&gt;0),$J292,IF(ISNUMBER($I292),$I292,"")))</f>
        <v>728.238735</v>
      </c>
      <c r="L292" s="40" t="n">
        <f aca="false">IF(ISNUMBER($K292),$K292*$H292,"")</f>
        <v>131.0829723</v>
      </c>
      <c r="M292" s="40" t="n">
        <f aca="false">IF(ISNUMBER($K292),$K292*Parâmetros!$B$5,"")</f>
        <v>72.8238735</v>
      </c>
      <c r="N292" s="40" t="n">
        <f aca="false">IF(ISNUMBER($K292),$K292*Parâmetros!$C$5,"")</f>
        <v>21.84716205</v>
      </c>
      <c r="O292" s="40" t="n">
        <f aca="false">IF(ISNUMBER($K292),IF(ISNUMBER(Parâmetros!$E$5),Parâmetros!$E$5,0),"")</f>
        <v>0</v>
      </c>
      <c r="P292" s="41" t="n">
        <f aca="false">IF(ISNUMBER($K292),$K292-$D292-IF(ISNUMBER($E292),$E292,0)-$L292-$M292-$N292-$O292,"")</f>
        <v>103.74472715</v>
      </c>
      <c r="Q292" s="42" t="n">
        <f aca="false">IF(AND(ISNUMBER($K292),$K292&gt;0),$P292/$K292,"")</f>
        <v>0.142459776119984</v>
      </c>
      <c r="R292" s="43"/>
      <c r="S292" s="44" t="str">
        <f aca="false">IF(OR(NOT(ISNUMBER($R292)),$R292=0,NOT(ISNUMBER($K292))),"",$K292*(1-$R292))</f>
        <v/>
      </c>
      <c r="T292" s="45" t="str">
        <f aca="false">IF(ISNUMBER($S292),$S292*$H292,"")</f>
        <v/>
      </c>
      <c r="U292" s="45" t="str">
        <f aca="false">IF(ISNUMBER($S292),$S292*Parâmetros!$B$5,"")</f>
        <v/>
      </c>
      <c r="V292" s="45" t="str">
        <f aca="false">IF(ISNUMBER($S292),$S292*Parâmetros!$C$5,"")</f>
        <v/>
      </c>
      <c r="W292" s="44" t="str">
        <f aca="false">IF(ISNUMBER($S292),$S292-$D292-IF(ISNUMBER($E292),$E292,0)-$O292-$T292-$U292-$V292,"")</f>
        <v/>
      </c>
      <c r="X292" s="46" t="str">
        <f aca="false">IF(AND(ISNUMBER($S292),$S292&gt;0),$W292/$S292,"")</f>
        <v/>
      </c>
      <c r="Y292" s="47" t="s">
        <v>744</v>
      </c>
      <c r="Z292" s="19"/>
    </row>
    <row r="293" customFormat="false" ht="15.75" hidden="false" customHeight="true" outlineLevel="0" collapsed="false">
      <c r="A293" s="48" t="str">
        <f aca="false">IF(Produtos!$A293="","",Produtos!$A293)</f>
        <v>P3070ALC</v>
      </c>
      <c r="B293" s="48" t="str">
        <f aca="false">IF(Produtos!$A293="","",Produtos!$B293)</f>
        <v>Lixeira c/Tampa Pedal 30x70 60L c/Alças</v>
      </c>
      <c r="C293" s="48" t="str">
        <f aca="false">IF(Produtos!$A293="","",Produtos!$C293)</f>
        <v>Lixeiras com pedal</v>
      </c>
      <c r="D293" s="33" t="n">
        <f aca="false">IF(Produtos!$A293="","",IF(Produtos!$D293="","",Produtos!$D293))</f>
        <v>421.92</v>
      </c>
      <c r="E293" s="11" t="n">
        <v>69.35</v>
      </c>
      <c r="F293" s="34" t="n">
        <f aca="false">IF($A293="","",IF($C293="","⚠ categoria",IFERROR(INDEX(Parâmetros!$C$13:$C$22,MATCH($C293,Parâmetros!$A$13:$A$22,0)),"⚠ categoria")))</f>
        <v>0.18</v>
      </c>
      <c r="G293" s="35"/>
      <c r="H293" s="36" t="n">
        <f aca="false">IF($A293="","",IF(ISNUMBER($G293),$G293,IF(ISNUMBER($F293),$F293,"")))</f>
        <v>0.18</v>
      </c>
      <c r="I293" s="37" t="n">
        <f aca="false">IF(OR($A293="",NOT(ISNUMBER($D293)),NOT(ISNUMBER($H293))),"",IF((1-$H293-Parâmetros!$B$5-Parâmetros!$C$5-Parâmetros!$D$5)&lt;=0,"INVALIDO",($D293+IF(ISNUMBER($E293),$E293,0)+IF(ISNUMBER(Parâmetros!$E$5),Parâmetros!$E$5,0))/(1-$H293-Parâmetros!$B$5-Parâmetros!$C$5-Parâmetros!$D$5)))</f>
        <v>1002.59183673469</v>
      </c>
      <c r="J293" s="38" t="n">
        <v>973.13430375</v>
      </c>
      <c r="K293" s="39" t="n">
        <f aca="false">IF(OR($A293="",NOT(ISNUMBER($D293)),NOT(ISNUMBER($H293))),"",IF(AND(ISNUMBER($J293),$J293&gt;0),$J293,IF(ISNUMBER($I293),$I293,"")))</f>
        <v>973.13430375</v>
      </c>
      <c r="L293" s="40" t="n">
        <f aca="false">IF(ISNUMBER($K293),$K293*$H293,"")</f>
        <v>175.164174675</v>
      </c>
      <c r="M293" s="40" t="n">
        <f aca="false">IF(ISNUMBER($K293),$K293*Parâmetros!$B$5,"")</f>
        <v>97.313430375</v>
      </c>
      <c r="N293" s="40" t="n">
        <f aca="false">IF(ISNUMBER($K293),$K293*Parâmetros!$C$5,"")</f>
        <v>29.1940291125</v>
      </c>
      <c r="O293" s="40" t="n">
        <f aca="false">IF(ISNUMBER($K293),IF(ISNUMBER(Parâmetros!$E$5),Parâmetros!$E$5,0),"")</f>
        <v>0</v>
      </c>
      <c r="P293" s="41" t="n">
        <f aca="false">IF(ISNUMBER($K293),$K293-$D293-IF(ISNUMBER($E293),$E293,0)-$L293-$M293-$N293-$O293,"")</f>
        <v>180.1926695875</v>
      </c>
      <c r="Q293" s="42" t="n">
        <f aca="false">IF(AND(ISNUMBER($K293),$K293&gt;0),$P293/$K293,"")</f>
        <v>0.185167318522349</v>
      </c>
      <c r="R293" s="43"/>
      <c r="S293" s="44" t="str">
        <f aca="false">IF(OR(NOT(ISNUMBER($R293)),$R293=0,NOT(ISNUMBER($K293))),"",$K293*(1-$R293))</f>
        <v/>
      </c>
      <c r="T293" s="45" t="str">
        <f aca="false">IF(ISNUMBER($S293),$S293*$H293,"")</f>
        <v/>
      </c>
      <c r="U293" s="45" t="str">
        <f aca="false">IF(ISNUMBER($S293),$S293*Parâmetros!$B$5,"")</f>
        <v/>
      </c>
      <c r="V293" s="45" t="str">
        <f aca="false">IF(ISNUMBER($S293),$S293*Parâmetros!$C$5,"")</f>
        <v/>
      </c>
      <c r="W293" s="44" t="str">
        <f aca="false">IF(ISNUMBER($S293),$S293-$D293-IF(ISNUMBER($E293),$E293,0)-$O293-$T293-$U293-$V293,"")</f>
        <v/>
      </c>
      <c r="X293" s="46" t="str">
        <f aca="false">IF(AND(ISNUMBER($S293),$S293&gt;0),$W293/$S293,"")</f>
        <v/>
      </c>
      <c r="Y293" s="49" t="s">
        <v>744</v>
      </c>
      <c r="Z293" s="21"/>
    </row>
    <row r="294" customFormat="false" ht="15.75" hidden="false" customHeight="true" outlineLevel="0" collapsed="false">
      <c r="A294" s="32" t="str">
        <f aca="false">IF(Produtos!$A294="","",Produtos!$A294)</f>
        <v>P4050ALC</v>
      </c>
      <c r="B294" s="32" t="str">
        <f aca="false">IF(Produtos!$A294="","",Produtos!$B294)</f>
        <v>Lixeira c/Tampa Pedal 40x50 65L c/Alças</v>
      </c>
      <c r="C294" s="32" t="str">
        <f aca="false">IF(Produtos!$A294="","",Produtos!$C294)</f>
        <v>Lixeiras com pedal</v>
      </c>
      <c r="D294" s="33" t="n">
        <f aca="false">IF(Produtos!$A294="","",IF(Produtos!$D294="","",Produtos!$D294))</f>
        <v>485.02</v>
      </c>
      <c r="E294" s="11" t="n">
        <v>75.65</v>
      </c>
      <c r="F294" s="34" t="n">
        <f aca="false">IF($A294="","",IF($C294="","⚠ categoria",IFERROR(INDEX(Parâmetros!$C$13:$C$22,MATCH($C294,Parâmetros!$A$13:$A$22,0)),"⚠ categoria")))</f>
        <v>0.18</v>
      </c>
      <c r="G294" s="35"/>
      <c r="H294" s="36" t="n">
        <f aca="false">IF($A294="","",IF(ISNUMBER($G294),$G294,IF(ISNUMBER($F294),$F294,"")))</f>
        <v>0.18</v>
      </c>
      <c r="I294" s="37" t="n">
        <f aca="false">IF(OR($A294="",NOT(ISNUMBER($D294)),NOT(ISNUMBER($H294))),"",IF((1-$H294-Parâmetros!$B$5-Parâmetros!$C$5-Parâmetros!$D$5)&lt;=0,"INVALIDO",($D294+IF(ISNUMBER($E294),$E294,0)+IF(ISNUMBER(Parâmetros!$E$5),Parâmetros!$E$5,0))/(1-$H294-Parâmetros!$B$5-Parâmetros!$C$5-Parâmetros!$D$5)))</f>
        <v>1144.22448979592</v>
      </c>
      <c r="J294" s="38" t="n">
        <v>1056.2865075</v>
      </c>
      <c r="K294" s="39" t="n">
        <f aca="false">IF(OR($A294="",NOT(ISNUMBER($D294)),NOT(ISNUMBER($H294))),"",IF(AND(ISNUMBER($J294),$J294&gt;0),$J294,IF(ISNUMBER($I294),$I294,"")))</f>
        <v>1056.2865075</v>
      </c>
      <c r="L294" s="40" t="n">
        <f aca="false">IF(ISNUMBER($K294),$K294*$H294,"")</f>
        <v>190.13157135</v>
      </c>
      <c r="M294" s="40" t="n">
        <f aca="false">IF(ISNUMBER($K294),$K294*Parâmetros!$B$5,"")</f>
        <v>105.62865075</v>
      </c>
      <c r="N294" s="40" t="n">
        <f aca="false">IF(ISNUMBER($K294),$K294*Parâmetros!$C$5,"")</f>
        <v>31.688595225</v>
      </c>
      <c r="O294" s="40" t="n">
        <f aca="false">IF(ISNUMBER($K294),IF(ISNUMBER(Parâmetros!$E$5),Parâmetros!$E$5,0),"")</f>
        <v>0</v>
      </c>
      <c r="P294" s="41" t="n">
        <f aca="false">IF(ISNUMBER($K294),$K294-$D294-IF(ISNUMBER($E294),$E294,0)-$L294-$M294-$N294-$O294,"")</f>
        <v>168.167690175</v>
      </c>
      <c r="Q294" s="42" t="n">
        <f aca="false">IF(AND(ISNUMBER($K294),$K294&gt;0),$P294/$K294,"")</f>
        <v>0.159206511662273</v>
      </c>
      <c r="R294" s="43"/>
      <c r="S294" s="44" t="str">
        <f aca="false">IF(OR(NOT(ISNUMBER($R294)),$R294=0,NOT(ISNUMBER($K294))),"",$K294*(1-$R294))</f>
        <v/>
      </c>
      <c r="T294" s="45" t="str">
        <f aca="false">IF(ISNUMBER($S294),$S294*$H294,"")</f>
        <v/>
      </c>
      <c r="U294" s="45" t="str">
        <f aca="false">IF(ISNUMBER($S294),$S294*Parâmetros!$B$5,"")</f>
        <v/>
      </c>
      <c r="V294" s="45" t="str">
        <f aca="false">IF(ISNUMBER($S294),$S294*Parâmetros!$C$5,"")</f>
        <v/>
      </c>
      <c r="W294" s="44" t="str">
        <f aca="false">IF(ISNUMBER($S294),$S294-$D294-IF(ISNUMBER($E294),$E294,0)-$O294-$T294-$U294-$V294,"")</f>
        <v/>
      </c>
      <c r="X294" s="46" t="str">
        <f aca="false">IF(AND(ISNUMBER($S294),$S294&gt;0),$W294/$S294,"")</f>
        <v/>
      </c>
      <c r="Y294" s="47" t="s">
        <v>744</v>
      </c>
      <c r="Z294" s="19"/>
    </row>
    <row r="295" customFormat="false" ht="15.75" hidden="false" customHeight="true" outlineLevel="0" collapsed="false">
      <c r="A295" s="48" t="str">
        <f aca="false">IF(Produtos!$A295="","",Produtos!$A295)</f>
        <v>P4060ALC</v>
      </c>
      <c r="B295" s="48" t="str">
        <f aca="false">IF(Produtos!$A295="","",Produtos!$B295)</f>
        <v>Lixeira c/Tampa Pedal 40x60 75L c/Alças</v>
      </c>
      <c r="C295" s="48" t="str">
        <f aca="false">IF(Produtos!$A295="","",Produtos!$C295)</f>
        <v>Lixeiras com pedal</v>
      </c>
      <c r="D295" s="33" t="n">
        <f aca="false">IF(Produtos!$A295="","",IF(Produtos!$D295="","",Produtos!$D295))</f>
        <v>527.41</v>
      </c>
      <c r="E295" s="11" t="n">
        <v>79.35</v>
      </c>
      <c r="F295" s="34" t="n">
        <f aca="false">IF($A295="","",IF($C295="","⚠ categoria",IFERROR(INDEX(Parâmetros!$C$13:$C$22,MATCH($C295,Parâmetros!$A$13:$A$22,0)),"⚠ categoria")))</f>
        <v>0.18</v>
      </c>
      <c r="G295" s="35"/>
      <c r="H295" s="36" t="n">
        <f aca="false">IF($A295="","",IF(ISNUMBER($G295),$G295,IF(ISNUMBER($F295),$F295,"")))</f>
        <v>0.18</v>
      </c>
      <c r="I295" s="37" t="n">
        <f aca="false">IF(OR($A295="",NOT(ISNUMBER($D295)),NOT(ISNUMBER($H295))),"",IF((1-$H295-Parâmetros!$B$5-Parâmetros!$C$5-Parâmetros!$D$5)&lt;=0,"INVALIDO",($D295+IF(ISNUMBER($E295),$E295,0)+IF(ISNUMBER(Parâmetros!$E$5),Parâmetros!$E$5,0))/(1-$H295-Parâmetros!$B$5-Parâmetros!$C$5-Parâmetros!$D$5)))</f>
        <v>1238.28571428571</v>
      </c>
      <c r="J295" s="38" t="n">
        <v>1144.057635</v>
      </c>
      <c r="K295" s="39" t="n">
        <f aca="false">IF(OR($A295="",NOT(ISNUMBER($D295)),NOT(ISNUMBER($H295))),"",IF(AND(ISNUMBER($J295),$J295&gt;0),$J295,IF(ISNUMBER($I295),$I295,"")))</f>
        <v>1144.057635</v>
      </c>
      <c r="L295" s="40" t="n">
        <f aca="false">IF(ISNUMBER($K295),$K295*$H295,"")</f>
        <v>205.9303743</v>
      </c>
      <c r="M295" s="40" t="n">
        <f aca="false">IF(ISNUMBER($K295),$K295*Parâmetros!$B$5,"")</f>
        <v>114.4057635</v>
      </c>
      <c r="N295" s="40" t="n">
        <f aca="false">IF(ISNUMBER($K295),$K295*Parâmetros!$C$5,"")</f>
        <v>34.32172905</v>
      </c>
      <c r="O295" s="40" t="n">
        <f aca="false">IF(ISNUMBER($K295),IF(ISNUMBER(Parâmetros!$E$5),Parâmetros!$E$5,0),"")</f>
        <v>0</v>
      </c>
      <c r="P295" s="41" t="n">
        <f aca="false">IF(ISNUMBER($K295),$K295-$D295-IF(ISNUMBER($E295),$E295,0)-$L295-$M295-$N295-$O295,"")</f>
        <v>182.63976815</v>
      </c>
      <c r="Q295" s="42" t="n">
        <f aca="false">IF(AND(ISNUMBER($K295),$K295&gt;0),$P295/$K295,"")</f>
        <v>0.159642104175984</v>
      </c>
      <c r="R295" s="43"/>
      <c r="S295" s="44" t="str">
        <f aca="false">IF(OR(NOT(ISNUMBER($R295)),$R295=0,NOT(ISNUMBER($K295))),"",$K295*(1-$R295))</f>
        <v/>
      </c>
      <c r="T295" s="45" t="str">
        <f aca="false">IF(ISNUMBER($S295),$S295*$H295,"")</f>
        <v/>
      </c>
      <c r="U295" s="45" t="str">
        <f aca="false">IF(ISNUMBER($S295),$S295*Parâmetros!$B$5,"")</f>
        <v/>
      </c>
      <c r="V295" s="45" t="str">
        <f aca="false">IF(ISNUMBER($S295),$S295*Parâmetros!$C$5,"")</f>
        <v/>
      </c>
      <c r="W295" s="44" t="str">
        <f aca="false">IF(ISNUMBER($S295),$S295-$D295-IF(ISNUMBER($E295),$E295,0)-$O295-$T295-$U295-$V295,"")</f>
        <v/>
      </c>
      <c r="X295" s="46" t="str">
        <f aca="false">IF(AND(ISNUMBER($S295),$S295&gt;0),$W295/$S295,"")</f>
        <v/>
      </c>
      <c r="Y295" s="49" t="s">
        <v>744</v>
      </c>
      <c r="Z295" s="21"/>
    </row>
    <row r="296" customFormat="false" ht="15.75" hidden="false" customHeight="true" outlineLevel="0" collapsed="false">
      <c r="A296" s="32" t="str">
        <f aca="false">IF(Produtos!$A296="","",Produtos!$A296)</f>
        <v>P4070ALC</v>
      </c>
      <c r="B296" s="32" t="str">
        <f aca="false">IF(Produtos!$A296="","",Produtos!$B296)</f>
        <v>Lixeira c/Tampa Pedal 40x70 80L c/Alças</v>
      </c>
      <c r="C296" s="32" t="str">
        <f aca="false">IF(Produtos!$A296="","",Produtos!$C296)</f>
        <v>Lixeiras com pedal</v>
      </c>
      <c r="D296" s="33" t="n">
        <f aca="false">IF(Produtos!$A296="","",IF(Produtos!$D296="","",Produtos!$D296))</f>
        <v>539.53</v>
      </c>
      <c r="E296" s="11" t="n">
        <v>91.95</v>
      </c>
      <c r="F296" s="34" t="n">
        <f aca="false">IF($A296="","",IF($C296="","⚠ categoria",IFERROR(INDEX(Parâmetros!$C$13:$C$22,MATCH($C296,Parâmetros!$A$13:$A$22,0)),"⚠ categoria")))</f>
        <v>0.18</v>
      </c>
      <c r="G296" s="35"/>
      <c r="H296" s="36" t="n">
        <f aca="false">IF($A296="","",IF(ISNUMBER($G296),$G296,IF(ISNUMBER($F296),$F296,"")))</f>
        <v>0.18</v>
      </c>
      <c r="I296" s="37" t="n">
        <f aca="false">IF(OR($A296="",NOT(ISNUMBER($D296)),NOT(ISNUMBER($H296))),"",IF((1-$H296-Parâmetros!$B$5-Parâmetros!$C$5-Parâmetros!$D$5)&lt;=0,"INVALIDO",($D296+IF(ISNUMBER($E296),$E296,0)+IF(ISNUMBER(Parâmetros!$E$5),Parâmetros!$E$5,0))/(1-$H296-Parâmetros!$B$5-Parâmetros!$C$5-Parâmetros!$D$5)))</f>
        <v>1288.73469387755</v>
      </c>
      <c r="J296" s="38" t="n">
        <v>1187.52645375</v>
      </c>
      <c r="K296" s="39" t="n">
        <f aca="false">IF(OR($A296="",NOT(ISNUMBER($D296)),NOT(ISNUMBER($H296))),"",IF(AND(ISNUMBER($J296),$J296&gt;0),$J296,IF(ISNUMBER($I296),$I296,"")))</f>
        <v>1187.52645375</v>
      </c>
      <c r="L296" s="40" t="n">
        <f aca="false">IF(ISNUMBER($K296),$K296*$H296,"")</f>
        <v>213.754761675</v>
      </c>
      <c r="M296" s="40" t="n">
        <f aca="false">IF(ISNUMBER($K296),$K296*Parâmetros!$B$5,"")</f>
        <v>118.752645375</v>
      </c>
      <c r="N296" s="40" t="n">
        <f aca="false">IF(ISNUMBER($K296),$K296*Parâmetros!$C$5,"")</f>
        <v>35.6257936125</v>
      </c>
      <c r="O296" s="40" t="n">
        <f aca="false">IF(ISNUMBER($K296),IF(ISNUMBER(Parâmetros!$E$5),Parâmetros!$E$5,0),"")</f>
        <v>0</v>
      </c>
      <c r="P296" s="41" t="n">
        <f aca="false">IF(ISNUMBER($K296),$K296-$D296-IF(ISNUMBER($E296),$E296,0)-$L296-$M296-$N296-$O296,"")</f>
        <v>187.9132530875</v>
      </c>
      <c r="Q296" s="42" t="n">
        <f aca="false">IF(AND(ISNUMBER($K296),$K296&gt;0),$P296/$K296,"")</f>
        <v>0.158239214372112</v>
      </c>
      <c r="R296" s="43"/>
      <c r="S296" s="44" t="str">
        <f aca="false">IF(OR(NOT(ISNUMBER($R296)),$R296=0,NOT(ISNUMBER($K296))),"",$K296*(1-$R296))</f>
        <v/>
      </c>
      <c r="T296" s="45" t="str">
        <f aca="false">IF(ISNUMBER($S296),$S296*$H296,"")</f>
        <v/>
      </c>
      <c r="U296" s="45" t="str">
        <f aca="false">IF(ISNUMBER($S296),$S296*Parâmetros!$B$5,"")</f>
        <v/>
      </c>
      <c r="V296" s="45" t="str">
        <f aca="false">IF(ISNUMBER($S296),$S296*Parâmetros!$C$5,"")</f>
        <v/>
      </c>
      <c r="W296" s="44" t="str">
        <f aca="false">IF(ISNUMBER($S296),$S296-$D296-IF(ISNUMBER($E296),$E296,0)-$O296-$T296-$U296-$V296,"")</f>
        <v/>
      </c>
      <c r="X296" s="46" t="str">
        <f aca="false">IF(AND(ISNUMBER($S296),$S296&gt;0),$W296/$S296,"")</f>
        <v/>
      </c>
      <c r="Y296" s="47" t="s">
        <v>744</v>
      </c>
      <c r="Z296" s="19"/>
    </row>
    <row r="297" customFormat="false" ht="15.75" hidden="false" customHeight="true" outlineLevel="0" collapsed="false">
      <c r="A297" s="48" t="str">
        <f aca="false">IF(Produtos!$A297="","",Produtos!$A297)</f>
        <v>P4075ALC</v>
      </c>
      <c r="B297" s="48" t="str">
        <f aca="false">IF(Produtos!$A297="","",Produtos!$B297)</f>
        <v>Lixeira c/Tampa Pedal 40x75 95L c/Alças</v>
      </c>
      <c r="C297" s="48" t="str">
        <f aca="false">IF(Produtos!$A297="","",Produtos!$C297)</f>
        <v>Lixeiras com pedal</v>
      </c>
      <c r="D297" s="33" t="n">
        <f aca="false">IF(Produtos!$A297="","",IF(Produtos!$D297="","",Produtos!$D297))</f>
        <v>605.28</v>
      </c>
      <c r="E297" s="11" t="n">
        <v>91.95</v>
      </c>
      <c r="F297" s="34" t="n">
        <f aca="false">IF($A297="","",IF($C297="","⚠ categoria",IFERROR(INDEX(Parâmetros!$C$13:$C$22,MATCH($C297,Parâmetros!$A$13:$A$22,0)),"⚠ categoria")))</f>
        <v>0.18</v>
      </c>
      <c r="G297" s="35"/>
      <c r="H297" s="36" t="n">
        <f aca="false">IF($A297="","",IF(ISNUMBER($G297),$G297,IF(ISNUMBER($F297),$F297,"")))</f>
        <v>0.18</v>
      </c>
      <c r="I297" s="37" t="n">
        <f aca="false">IF(OR($A297="",NOT(ISNUMBER($D297)),NOT(ISNUMBER($H297))),"",IF((1-$H297-Parâmetros!$B$5-Parâmetros!$C$5-Parâmetros!$D$5)&lt;=0,"INVALIDO",($D297+IF(ISNUMBER($E297),$E297,0)+IF(ISNUMBER(Parâmetros!$E$5),Parâmetros!$E$5,0))/(1-$H297-Parâmetros!$B$5-Parâmetros!$C$5-Parâmetros!$D$5)))</f>
        <v>1422.91836734694</v>
      </c>
      <c r="J297" s="38" t="n">
        <v>1314.4368825</v>
      </c>
      <c r="K297" s="39" t="n">
        <f aca="false">IF(OR($A297="",NOT(ISNUMBER($D297)),NOT(ISNUMBER($H297))),"",IF(AND(ISNUMBER($J297),$J297&gt;0),$J297,IF(ISNUMBER($I297),$I297,"")))</f>
        <v>1314.4368825</v>
      </c>
      <c r="L297" s="40" t="n">
        <f aca="false">IF(ISNUMBER($K297),$K297*$H297,"")</f>
        <v>236.59863885</v>
      </c>
      <c r="M297" s="40" t="n">
        <f aca="false">IF(ISNUMBER($K297),$K297*Parâmetros!$B$5,"")</f>
        <v>131.44368825</v>
      </c>
      <c r="N297" s="40" t="n">
        <f aca="false">IF(ISNUMBER($K297),$K297*Parâmetros!$C$5,"")</f>
        <v>39.433106475</v>
      </c>
      <c r="O297" s="40" t="n">
        <f aca="false">IF(ISNUMBER($K297),IF(ISNUMBER(Parâmetros!$E$5),Parâmetros!$E$5,0),"")</f>
        <v>0</v>
      </c>
      <c r="P297" s="41" t="n">
        <f aca="false">IF(ISNUMBER($K297),$K297-$D297-IF(ISNUMBER($E297),$E297,0)-$L297-$M297-$N297-$O297,"")</f>
        <v>209.731448925</v>
      </c>
      <c r="Q297" s="42" t="n">
        <f aca="false">IF(AND(ISNUMBER($K297),$K297&gt;0),$P297/$K297,"")</f>
        <v>0.159559923886265</v>
      </c>
      <c r="R297" s="43"/>
      <c r="S297" s="44" t="str">
        <f aca="false">IF(OR(NOT(ISNUMBER($R297)),$R297=0,NOT(ISNUMBER($K297))),"",$K297*(1-$R297))</f>
        <v/>
      </c>
      <c r="T297" s="45" t="str">
        <f aca="false">IF(ISNUMBER($S297),$S297*$H297,"")</f>
        <v/>
      </c>
      <c r="U297" s="45" t="str">
        <f aca="false">IF(ISNUMBER($S297),$S297*Parâmetros!$B$5,"")</f>
        <v/>
      </c>
      <c r="V297" s="45" t="str">
        <f aca="false">IF(ISNUMBER($S297),$S297*Parâmetros!$C$5,"")</f>
        <v/>
      </c>
      <c r="W297" s="44" t="str">
        <f aca="false">IF(ISNUMBER($S297),$S297-$D297-IF(ISNUMBER($E297),$E297,0)-$O297-$T297-$U297-$V297,"")</f>
        <v/>
      </c>
      <c r="X297" s="46" t="str">
        <f aca="false">IF(AND(ISNUMBER($S297),$S297&gt;0),$W297/$S297,"")</f>
        <v/>
      </c>
      <c r="Y297" s="49" t="s">
        <v>744</v>
      </c>
      <c r="Z297" s="21"/>
    </row>
    <row r="298" customFormat="false" ht="15.75" hidden="false" customHeight="true" outlineLevel="0" collapsed="false">
      <c r="A298" s="32" t="str">
        <f aca="false">IF(Produtos!$A298="","",Produtos!$A298)</f>
        <v>P4080ALC</v>
      </c>
      <c r="B298" s="32" t="str">
        <f aca="false">IF(Produtos!$A298="","",Produtos!$B298)</f>
        <v>Lixeira c/Tampa Pedal 40x80 100L c/Alças</v>
      </c>
      <c r="C298" s="32" t="str">
        <f aca="false">IF(Produtos!$A298="","",Produtos!$C298)</f>
        <v>Lixeiras com pedal</v>
      </c>
      <c r="D298" s="33" t="n">
        <f aca="false">IF(Produtos!$A298="","",IF(Produtos!$D298="","",Produtos!$D298))</f>
        <v>642.03</v>
      </c>
      <c r="E298" s="11" t="n">
        <v>106.85</v>
      </c>
      <c r="F298" s="34" t="n">
        <f aca="false">IF($A298="","",IF($C298="","⚠ categoria",IFERROR(INDEX(Parâmetros!$C$13:$C$22,MATCH($C298,Parâmetros!$A$13:$A$22,0)),"⚠ categoria")))</f>
        <v>0.18</v>
      </c>
      <c r="G298" s="35"/>
      <c r="H298" s="36" t="n">
        <f aca="false">IF($A298="","",IF(ISNUMBER($G298),$G298,IF(ISNUMBER($F298),$F298,"")))</f>
        <v>0.18</v>
      </c>
      <c r="I298" s="37" t="n">
        <f aca="false">IF(OR($A298="",NOT(ISNUMBER($D298)),NOT(ISNUMBER($H298))),"",IF((1-$H298-Parâmetros!$B$5-Parâmetros!$C$5-Parâmetros!$D$5)&lt;=0,"INVALIDO",($D298+IF(ISNUMBER($E298),$E298,0)+IF(ISNUMBER(Parâmetros!$E$5),Parâmetros!$E$5,0))/(1-$H298-Parâmetros!$B$5-Parâmetros!$C$5-Parâmetros!$D$5)))</f>
        <v>1528.32653061224</v>
      </c>
      <c r="J298" s="38" t="n">
        <v>1409.02642125</v>
      </c>
      <c r="K298" s="39" t="n">
        <f aca="false">IF(OR($A298="",NOT(ISNUMBER($D298)),NOT(ISNUMBER($H298))),"",IF(AND(ISNUMBER($J298),$J298&gt;0),$J298,IF(ISNUMBER($I298),$I298,"")))</f>
        <v>1409.02642125</v>
      </c>
      <c r="L298" s="40" t="n">
        <f aca="false">IF(ISNUMBER($K298),$K298*$H298,"")</f>
        <v>253.624755825</v>
      </c>
      <c r="M298" s="40" t="n">
        <f aca="false">IF(ISNUMBER($K298),$K298*Parâmetros!$B$5,"")</f>
        <v>140.902642125</v>
      </c>
      <c r="N298" s="40" t="n">
        <f aca="false">IF(ISNUMBER($K298),$K298*Parâmetros!$C$5,"")</f>
        <v>42.2707926375</v>
      </c>
      <c r="O298" s="40" t="n">
        <f aca="false">IF(ISNUMBER($K298),IF(ISNUMBER(Parâmetros!$E$5),Parâmetros!$E$5,0),"")</f>
        <v>0</v>
      </c>
      <c r="P298" s="41" t="n">
        <f aca="false">IF(ISNUMBER($K298),$K298-$D298-IF(ISNUMBER($E298),$E298,0)-$L298-$M298-$N298-$O298,"")</f>
        <v>223.3482306625</v>
      </c>
      <c r="Q298" s="42" t="n">
        <f aca="false">IF(AND(ISNUMBER($K298),$K298&gt;0),$P298/$K298,"")</f>
        <v>0.158512450365806</v>
      </c>
      <c r="R298" s="43"/>
      <c r="S298" s="44" t="str">
        <f aca="false">IF(OR(NOT(ISNUMBER($R298)),$R298=0,NOT(ISNUMBER($K298))),"",$K298*(1-$R298))</f>
        <v/>
      </c>
      <c r="T298" s="45" t="str">
        <f aca="false">IF(ISNUMBER($S298),$S298*$H298,"")</f>
        <v/>
      </c>
      <c r="U298" s="45" t="str">
        <f aca="false">IF(ISNUMBER($S298),$S298*Parâmetros!$B$5,"")</f>
        <v/>
      </c>
      <c r="V298" s="45" t="str">
        <f aca="false">IF(ISNUMBER($S298),$S298*Parâmetros!$C$5,"")</f>
        <v/>
      </c>
      <c r="W298" s="44" t="str">
        <f aca="false">IF(ISNUMBER($S298),$S298-$D298-IF(ISNUMBER($E298),$E298,0)-$O298-$T298-$U298-$V298,"")</f>
        <v/>
      </c>
      <c r="X298" s="46" t="str">
        <f aca="false">IF(AND(ISNUMBER($S298),$S298&gt;0),$W298/$S298,"")</f>
        <v/>
      </c>
      <c r="Y298" s="47" t="s">
        <v>744</v>
      </c>
      <c r="Z298" s="19"/>
    </row>
    <row r="299" customFormat="false" ht="15.75" hidden="false" customHeight="true" outlineLevel="0" collapsed="false">
      <c r="A299" s="48" t="str">
        <f aca="false">IF(Produtos!$A299="","",Produtos!$A299)</f>
        <v>P4090ALC</v>
      </c>
      <c r="B299" s="48" t="str">
        <f aca="false">IF(Produtos!$A299="","",Produtos!$B299)</f>
        <v>Lixeira c/Tampa Pedal 40x90 120L c/Alças</v>
      </c>
      <c r="C299" s="48" t="str">
        <f aca="false">IF(Produtos!$A299="","",Produtos!$C299)</f>
        <v>Lixeiras com pedal</v>
      </c>
      <c r="D299" s="33" t="n">
        <f aca="false">IF(Produtos!$A299="","",IF(Produtos!$D299="","",Produtos!$D299))</f>
        <v>828.46</v>
      </c>
      <c r="E299" s="11" t="n">
        <v>106.85</v>
      </c>
      <c r="F299" s="34" t="n">
        <f aca="false">IF($A299="","",IF($C299="","⚠ categoria",IFERROR(INDEX(Parâmetros!$C$13:$C$22,MATCH($C299,Parâmetros!$A$13:$A$22,0)),"⚠ categoria")))</f>
        <v>0.18</v>
      </c>
      <c r="G299" s="35"/>
      <c r="H299" s="36" t="n">
        <f aca="false">IF($A299="","",IF(ISNUMBER($G299),$G299,IF(ISNUMBER($F299),$F299,"")))</f>
        <v>0.18</v>
      </c>
      <c r="I299" s="37" t="n">
        <f aca="false">IF(OR($A299="",NOT(ISNUMBER($D299)),NOT(ISNUMBER($H299))),"",IF((1-$H299-Parâmetros!$B$5-Parâmetros!$C$5-Parâmetros!$D$5)&lt;=0,"INVALIDO",($D299+IF(ISNUMBER($E299),$E299,0)+IF(ISNUMBER(Parâmetros!$E$5),Parâmetros!$E$5,0))/(1-$H299-Parâmetros!$B$5-Parâmetros!$C$5-Parâmetros!$D$5)))</f>
        <v>1908.79591836735</v>
      </c>
      <c r="J299" s="38" t="n">
        <v>1768.712085</v>
      </c>
      <c r="K299" s="39" t="n">
        <f aca="false">IF(OR($A299="",NOT(ISNUMBER($D299)),NOT(ISNUMBER($H299))),"",IF(AND(ISNUMBER($J299),$J299&gt;0),$J299,IF(ISNUMBER($I299),$I299,"")))</f>
        <v>1768.712085</v>
      </c>
      <c r="L299" s="40" t="n">
        <f aca="false">IF(ISNUMBER($K299),$K299*$H299,"")</f>
        <v>318.3681753</v>
      </c>
      <c r="M299" s="40" t="n">
        <f aca="false">IF(ISNUMBER($K299),$K299*Parâmetros!$B$5,"")</f>
        <v>176.8712085</v>
      </c>
      <c r="N299" s="40" t="n">
        <f aca="false">IF(ISNUMBER($K299),$K299*Parâmetros!$C$5,"")</f>
        <v>53.06136255</v>
      </c>
      <c r="O299" s="40" t="n">
        <f aca="false">IF(ISNUMBER($K299),IF(ISNUMBER(Parâmetros!$E$5),Parâmetros!$E$5,0),"")</f>
        <v>0</v>
      </c>
      <c r="P299" s="41" t="n">
        <f aca="false">IF(ISNUMBER($K299),$K299-$D299-IF(ISNUMBER($E299),$E299,0)-$L299-$M299-$N299-$O299,"")</f>
        <v>285.10133865</v>
      </c>
      <c r="Q299" s="42" t="n">
        <f aca="false">IF(AND(ISNUMBER($K299),$K299&gt;0),$P299/$K299,"")</f>
        <v>0.161191491293508</v>
      </c>
      <c r="R299" s="43"/>
      <c r="S299" s="44" t="str">
        <f aca="false">IF(OR(NOT(ISNUMBER($R299)),$R299=0,NOT(ISNUMBER($K299))),"",$K299*(1-$R299))</f>
        <v/>
      </c>
      <c r="T299" s="45" t="str">
        <f aca="false">IF(ISNUMBER($S299),$S299*$H299,"")</f>
        <v/>
      </c>
      <c r="U299" s="45" t="str">
        <f aca="false">IF(ISNUMBER($S299),$S299*Parâmetros!$B$5,"")</f>
        <v/>
      </c>
      <c r="V299" s="45" t="str">
        <f aca="false">IF(ISNUMBER($S299),$S299*Parâmetros!$C$5,"")</f>
        <v/>
      </c>
      <c r="W299" s="44" t="str">
        <f aca="false">IF(ISNUMBER($S299),$S299-$D299-IF(ISNUMBER($E299),$E299,0)-$O299-$T299-$U299-$V299,"")</f>
        <v/>
      </c>
      <c r="X299" s="46" t="str">
        <f aca="false">IF(AND(ISNUMBER($S299),$S299&gt;0),$W299/$S299,"")</f>
        <v/>
      </c>
      <c r="Y299" s="49" t="s">
        <v>744</v>
      </c>
      <c r="Z299" s="21"/>
    </row>
    <row r="300" customFormat="false" ht="15.75" hidden="false" customHeight="true" outlineLevel="0" collapsed="false">
      <c r="A300" s="32" t="str">
        <f aca="false">IF(Produtos!$A300="","",Produtos!$A300)</f>
        <v/>
      </c>
      <c r="B300" s="32" t="str">
        <f aca="false">IF(Produtos!$A300="","",Produtos!$B300)</f>
        <v/>
      </c>
      <c r="C300" s="32" t="str">
        <f aca="false">IF(Produtos!$A300="","",Produtos!$C300)</f>
        <v/>
      </c>
      <c r="D300" s="33" t="str">
        <f aca="false">IF(Produtos!$A300="","",IF(Produtos!$D300="","",Produtos!$D300))</f>
        <v/>
      </c>
      <c r="E300" s="11"/>
      <c r="F300" s="34" t="str">
        <f aca="false">IF($A300="","",IF($C300="","⚠ categoria",IFERROR(INDEX(Parâmetros!$C$13:$C$22,MATCH($C300,Parâmetros!$A$13:$A$22,0)),"⚠ categoria")))</f>
        <v/>
      </c>
      <c r="G300" s="35"/>
      <c r="H300" s="36" t="str">
        <f aca="false">IF($A300="","",IF(ISNUMBER($G300),$G300,IF(ISNUMBER($F300),$F300,"")))</f>
        <v/>
      </c>
      <c r="I300" s="37" t="str">
        <f aca="false">IF(OR($A300="",NOT(ISNUMBER($D300)),NOT(ISNUMBER($H300))),"",IF((1-$H300-Parâmetros!$B$5-Parâmetros!$C$5-Parâmetros!$D$5)&lt;=0,"INVALIDO",($D300+IF(ISNUMBER($E300),$E300,0)+IF(ISNUMBER(Parâmetros!$E$5),Parâmetros!$E$5,0))/(1-$H300-Parâmetros!$B$5-Parâmetros!$C$5-Parâmetros!$D$5)))</f>
        <v/>
      </c>
      <c r="J300" s="38"/>
      <c r="K300" s="39" t="str">
        <f aca="false">IF(OR($A300="",NOT(ISNUMBER($D300)),NOT(ISNUMBER($H300))),"",IF(AND(ISNUMBER($J300),$J300&gt;0),$J300,IF(ISNUMBER($I300),$I300,"")))</f>
        <v/>
      </c>
      <c r="L300" s="40" t="str">
        <f aca="false">IF(ISNUMBER($K300),$K300*$H300,"")</f>
        <v/>
      </c>
      <c r="M300" s="40" t="str">
        <f aca="false">IF(ISNUMBER($K300),$K300*Parâmetros!$B$5,"")</f>
        <v/>
      </c>
      <c r="N300" s="40" t="str">
        <f aca="false">IF(ISNUMBER($K300),$K300*Parâmetros!$C$5,"")</f>
        <v/>
      </c>
      <c r="O300" s="40" t="str">
        <f aca="false">IF(ISNUMBER($K300),IF(ISNUMBER(Parâmetros!$E$5),Parâmetros!$E$5,0),"")</f>
        <v/>
      </c>
      <c r="P300" s="41" t="str">
        <f aca="false">IF(ISNUMBER($K300),$K300-$D300-IF(ISNUMBER($E300),$E300,0)-$L300-$M300-$N300-$O300,"")</f>
        <v/>
      </c>
      <c r="Q300" s="42" t="str">
        <f aca="false">IF(AND(ISNUMBER($K300),$K300&gt;0),$P300/$K300,"")</f>
        <v/>
      </c>
      <c r="R300" s="43"/>
      <c r="S300" s="44" t="str">
        <f aca="false">IF(OR(NOT(ISNUMBER($R300)),$R300=0,NOT(ISNUMBER($K300))),"",$K300*(1-$R300))</f>
        <v/>
      </c>
      <c r="T300" s="45" t="str">
        <f aca="false">IF(ISNUMBER($S300),$S300*$H300,"")</f>
        <v/>
      </c>
      <c r="U300" s="45" t="str">
        <f aca="false">IF(ISNUMBER($S300),$S300*Parâmetros!$B$5,"")</f>
        <v/>
      </c>
      <c r="V300" s="45" t="str">
        <f aca="false">IF(ISNUMBER($S300),$S300*Parâmetros!$C$5,"")</f>
        <v/>
      </c>
      <c r="W300" s="44" t="str">
        <f aca="false">IF(ISNUMBER($S300),$S300-$D300-IF(ISNUMBER($E300),$E300,0)-$O300-$T300-$U300-$V300,"")</f>
        <v/>
      </c>
      <c r="X300" s="46" t="str">
        <f aca="false">IF(AND(ISNUMBER($S300),$S300&gt;0),$W300/$S300,"")</f>
        <v/>
      </c>
      <c r="Y300" s="47"/>
      <c r="Z300" s="19"/>
    </row>
    <row r="301" customFormat="false" ht="15.75" hidden="false" customHeight="true" outlineLevel="0" collapsed="false">
      <c r="A301" s="48" t="str">
        <f aca="false">IF(Produtos!$A301="","",Produtos!$A301)</f>
        <v/>
      </c>
      <c r="B301" s="48" t="str">
        <f aca="false">IF(Produtos!$A301="","",Produtos!$B301)</f>
        <v/>
      </c>
      <c r="C301" s="48" t="str">
        <f aca="false">IF(Produtos!$A301="","",Produtos!$C301)</f>
        <v/>
      </c>
      <c r="D301" s="33" t="str">
        <f aca="false">IF(Produtos!$A301="","",IF(Produtos!$D301="","",Produtos!$D301))</f>
        <v/>
      </c>
      <c r="E301" s="11"/>
      <c r="F301" s="34" t="str">
        <f aca="false">IF($A301="","",IF($C301="","⚠ categoria",IFERROR(INDEX(Parâmetros!$C$13:$C$22,MATCH($C301,Parâmetros!$A$13:$A$22,0)),"⚠ categoria")))</f>
        <v/>
      </c>
      <c r="G301" s="35"/>
      <c r="H301" s="36" t="str">
        <f aca="false">IF($A301="","",IF(ISNUMBER($G301),$G301,IF(ISNUMBER($F301),$F301,"")))</f>
        <v/>
      </c>
      <c r="I301" s="37" t="str">
        <f aca="false">IF(OR($A301="",NOT(ISNUMBER($D301)),NOT(ISNUMBER($H301))),"",IF((1-$H301-Parâmetros!$B$5-Parâmetros!$C$5-Parâmetros!$D$5)&lt;=0,"INVALIDO",($D301+IF(ISNUMBER($E301),$E301,0)+IF(ISNUMBER(Parâmetros!$E$5),Parâmetros!$E$5,0))/(1-$H301-Parâmetros!$B$5-Parâmetros!$C$5-Parâmetros!$D$5)))</f>
        <v/>
      </c>
      <c r="J301" s="38"/>
      <c r="K301" s="39" t="str">
        <f aca="false">IF(OR($A301="",NOT(ISNUMBER($D301)),NOT(ISNUMBER($H301))),"",IF(AND(ISNUMBER($J301),$J301&gt;0),$J301,IF(ISNUMBER($I301),$I301,"")))</f>
        <v/>
      </c>
      <c r="L301" s="40" t="str">
        <f aca="false">IF(ISNUMBER($K301),$K301*$H301,"")</f>
        <v/>
      </c>
      <c r="M301" s="40" t="str">
        <f aca="false">IF(ISNUMBER($K301),$K301*Parâmetros!$B$5,"")</f>
        <v/>
      </c>
      <c r="N301" s="40" t="str">
        <f aca="false">IF(ISNUMBER($K301),$K301*Parâmetros!$C$5,"")</f>
        <v/>
      </c>
      <c r="O301" s="40" t="str">
        <f aca="false">IF(ISNUMBER($K301),IF(ISNUMBER(Parâmetros!$E$5),Parâmetros!$E$5,0),"")</f>
        <v/>
      </c>
      <c r="P301" s="41" t="str">
        <f aca="false">IF(ISNUMBER($K301),$K301-$D301-IF(ISNUMBER($E301),$E301,0)-$L301-$M301-$N301-$O301,"")</f>
        <v/>
      </c>
      <c r="Q301" s="42" t="str">
        <f aca="false">IF(AND(ISNUMBER($K301),$K301&gt;0),$P301/$K301,"")</f>
        <v/>
      </c>
      <c r="R301" s="43"/>
      <c r="S301" s="44" t="str">
        <f aca="false">IF(OR(NOT(ISNUMBER($R301)),$R301=0,NOT(ISNUMBER($K301))),"",$K301*(1-$R301))</f>
        <v/>
      </c>
      <c r="T301" s="45" t="str">
        <f aca="false">IF(ISNUMBER($S301),$S301*$H301,"")</f>
        <v/>
      </c>
      <c r="U301" s="45" t="str">
        <f aca="false">IF(ISNUMBER($S301),$S301*Parâmetros!$B$5,"")</f>
        <v/>
      </c>
      <c r="V301" s="45" t="str">
        <f aca="false">IF(ISNUMBER($S301),$S301*Parâmetros!$C$5,"")</f>
        <v/>
      </c>
      <c r="W301" s="44" t="str">
        <f aca="false">IF(ISNUMBER($S301),$S301-$D301-IF(ISNUMBER($E301),$E301,0)-$O301-$T301-$U301-$V301,"")</f>
        <v/>
      </c>
      <c r="X301" s="46" t="str">
        <f aca="false">IF(AND(ISNUMBER($S301),$S301&gt;0),$W301/$S301,"")</f>
        <v/>
      </c>
      <c r="Y301" s="49"/>
      <c r="Z301" s="21"/>
    </row>
    <row r="302" customFormat="false" ht="15.75" hidden="false" customHeight="true" outlineLevel="0" collapsed="false">
      <c r="A302" s="32" t="str">
        <f aca="false">IF(Produtos!$A302="","",Produtos!$A302)</f>
        <v/>
      </c>
      <c r="B302" s="32" t="str">
        <f aca="false">IF(Produtos!$A302="","",Produtos!$B302)</f>
        <v/>
      </c>
      <c r="C302" s="32" t="str">
        <f aca="false">IF(Produtos!$A302="","",Produtos!$C302)</f>
        <v/>
      </c>
      <c r="D302" s="33" t="str">
        <f aca="false">IF(Produtos!$A302="","",IF(Produtos!$D302="","",Produtos!$D302))</f>
        <v/>
      </c>
      <c r="E302" s="11"/>
      <c r="F302" s="34" t="str">
        <f aca="false">IF($A302="","",IF($C302="","⚠ categoria",IFERROR(INDEX(Parâmetros!$C$13:$C$22,MATCH($C302,Parâmetros!$A$13:$A$22,0)),"⚠ categoria")))</f>
        <v/>
      </c>
      <c r="G302" s="35"/>
      <c r="H302" s="36" t="str">
        <f aca="false">IF($A302="","",IF(ISNUMBER($G302),$G302,IF(ISNUMBER($F302),$F302,"")))</f>
        <v/>
      </c>
      <c r="I302" s="37" t="str">
        <f aca="false">IF(OR($A302="",NOT(ISNUMBER($D302)),NOT(ISNUMBER($H302))),"",IF((1-$H302-Parâmetros!$B$5-Parâmetros!$C$5-Parâmetros!$D$5)&lt;=0,"INVALIDO",($D302+IF(ISNUMBER($E302),$E302,0)+IF(ISNUMBER(Parâmetros!$E$5),Parâmetros!$E$5,0))/(1-$H302-Parâmetros!$B$5-Parâmetros!$C$5-Parâmetros!$D$5)))</f>
        <v/>
      </c>
      <c r="J302" s="38"/>
      <c r="K302" s="39" t="str">
        <f aca="false">IF(OR($A302="",NOT(ISNUMBER($D302)),NOT(ISNUMBER($H302))),"",IF(AND(ISNUMBER($J302),$J302&gt;0),$J302,IF(ISNUMBER($I302),$I302,"")))</f>
        <v/>
      </c>
      <c r="L302" s="40" t="str">
        <f aca="false">IF(ISNUMBER($K302),$K302*$H302,"")</f>
        <v/>
      </c>
      <c r="M302" s="40" t="str">
        <f aca="false">IF(ISNUMBER($K302),$K302*Parâmetros!$B$5,"")</f>
        <v/>
      </c>
      <c r="N302" s="40" t="str">
        <f aca="false">IF(ISNUMBER($K302),$K302*Parâmetros!$C$5,"")</f>
        <v/>
      </c>
      <c r="O302" s="40" t="str">
        <f aca="false">IF(ISNUMBER($K302),IF(ISNUMBER(Parâmetros!$E$5),Parâmetros!$E$5,0),"")</f>
        <v/>
      </c>
      <c r="P302" s="41" t="str">
        <f aca="false">IF(ISNUMBER($K302),$K302-$D302-IF(ISNUMBER($E302),$E302,0)-$L302-$M302-$N302-$O302,"")</f>
        <v/>
      </c>
      <c r="Q302" s="42" t="str">
        <f aca="false">IF(AND(ISNUMBER($K302),$K302&gt;0),$P302/$K302,"")</f>
        <v/>
      </c>
      <c r="R302" s="43"/>
      <c r="S302" s="44" t="str">
        <f aca="false">IF(OR(NOT(ISNUMBER($R302)),$R302=0,NOT(ISNUMBER($K302))),"",$K302*(1-$R302))</f>
        <v/>
      </c>
      <c r="T302" s="45" t="str">
        <f aca="false">IF(ISNUMBER($S302),$S302*$H302,"")</f>
        <v/>
      </c>
      <c r="U302" s="45" t="str">
        <f aca="false">IF(ISNUMBER($S302),$S302*Parâmetros!$B$5,"")</f>
        <v/>
      </c>
      <c r="V302" s="45" t="str">
        <f aca="false">IF(ISNUMBER($S302),$S302*Parâmetros!$C$5,"")</f>
        <v/>
      </c>
      <c r="W302" s="44" t="str">
        <f aca="false">IF(ISNUMBER($S302),$S302-$D302-IF(ISNUMBER($E302),$E302,0)-$O302-$T302-$U302-$V302,"")</f>
        <v/>
      </c>
      <c r="X302" s="46" t="str">
        <f aca="false">IF(AND(ISNUMBER($S302),$S302&gt;0),$W302/$S302,"")</f>
        <v/>
      </c>
      <c r="Y302" s="47"/>
      <c r="Z302" s="19"/>
    </row>
    <row r="303" customFormat="false" ht="15.75" hidden="false" customHeight="true" outlineLevel="0" collapsed="false">
      <c r="A303" s="48" t="str">
        <f aca="false">IF(Produtos!$A303="","",Produtos!$A303)</f>
        <v/>
      </c>
      <c r="B303" s="48" t="str">
        <f aca="false">IF(Produtos!$A303="","",Produtos!$B303)</f>
        <v/>
      </c>
      <c r="C303" s="48" t="str">
        <f aca="false">IF(Produtos!$A303="","",Produtos!$C303)</f>
        <v/>
      </c>
      <c r="D303" s="33" t="str">
        <f aca="false">IF(Produtos!$A303="","",IF(Produtos!$D303="","",Produtos!$D303))</f>
        <v/>
      </c>
      <c r="E303" s="11"/>
      <c r="F303" s="34" t="str">
        <f aca="false">IF($A303="","",IF($C303="","⚠ categoria",IFERROR(INDEX(Parâmetros!$C$13:$C$22,MATCH($C303,Parâmetros!$A$13:$A$22,0)),"⚠ categoria")))</f>
        <v/>
      </c>
      <c r="G303" s="35"/>
      <c r="H303" s="36" t="str">
        <f aca="false">IF($A303="","",IF(ISNUMBER($G303),$G303,IF(ISNUMBER($F303),$F303,"")))</f>
        <v/>
      </c>
      <c r="I303" s="37" t="str">
        <f aca="false">IF(OR($A303="",NOT(ISNUMBER($D303)),NOT(ISNUMBER($H303))),"",IF((1-$H303-Parâmetros!$B$5-Parâmetros!$C$5-Parâmetros!$D$5)&lt;=0,"INVALIDO",($D303+IF(ISNUMBER($E303),$E303,0)+IF(ISNUMBER(Parâmetros!$E$5),Parâmetros!$E$5,0))/(1-$H303-Parâmetros!$B$5-Parâmetros!$C$5-Parâmetros!$D$5)))</f>
        <v/>
      </c>
      <c r="J303" s="38"/>
      <c r="K303" s="39" t="str">
        <f aca="false">IF(OR($A303="",NOT(ISNUMBER($D303)),NOT(ISNUMBER($H303))),"",IF(AND(ISNUMBER($J303),$J303&gt;0),$J303,IF(ISNUMBER($I303),$I303,"")))</f>
        <v/>
      </c>
      <c r="L303" s="40" t="str">
        <f aca="false">IF(ISNUMBER($K303),$K303*$H303,"")</f>
        <v/>
      </c>
      <c r="M303" s="40" t="str">
        <f aca="false">IF(ISNUMBER($K303),$K303*Parâmetros!$B$5,"")</f>
        <v/>
      </c>
      <c r="N303" s="40" t="str">
        <f aca="false">IF(ISNUMBER($K303),$K303*Parâmetros!$C$5,"")</f>
        <v/>
      </c>
      <c r="O303" s="40" t="str">
        <f aca="false">IF(ISNUMBER($K303),IF(ISNUMBER(Parâmetros!$E$5),Parâmetros!$E$5,0),"")</f>
        <v/>
      </c>
      <c r="P303" s="41" t="str">
        <f aca="false">IF(ISNUMBER($K303),$K303-$D303-IF(ISNUMBER($E303),$E303,0)-$L303-$M303-$N303-$O303,"")</f>
        <v/>
      </c>
      <c r="Q303" s="42" t="str">
        <f aca="false">IF(AND(ISNUMBER($K303),$K303&gt;0),$P303/$K303,"")</f>
        <v/>
      </c>
      <c r="R303" s="43"/>
      <c r="S303" s="44" t="str">
        <f aca="false">IF(OR(NOT(ISNUMBER($R303)),$R303=0,NOT(ISNUMBER($K303))),"",$K303*(1-$R303))</f>
        <v/>
      </c>
      <c r="T303" s="45" t="str">
        <f aca="false">IF(ISNUMBER($S303),$S303*$H303,"")</f>
        <v/>
      </c>
      <c r="U303" s="45" t="str">
        <f aca="false">IF(ISNUMBER($S303),$S303*Parâmetros!$B$5,"")</f>
        <v/>
      </c>
      <c r="V303" s="45" t="str">
        <f aca="false">IF(ISNUMBER($S303),$S303*Parâmetros!$C$5,"")</f>
        <v/>
      </c>
      <c r="W303" s="44" t="str">
        <f aca="false">IF(ISNUMBER($S303),$S303-$D303-IF(ISNUMBER($E303),$E303,0)-$O303-$T303-$U303-$V303,"")</f>
        <v/>
      </c>
      <c r="X303" s="46" t="str">
        <f aca="false">IF(AND(ISNUMBER($S303),$S303&gt;0),$W303/$S303,"")</f>
        <v/>
      </c>
      <c r="Y303" s="49"/>
      <c r="Z303" s="21"/>
    </row>
    <row r="304" customFormat="false" ht="15.75" hidden="false" customHeight="true" outlineLevel="0" collapsed="false">
      <c r="A304" s="32" t="str">
        <f aca="false">IF(Produtos!$A304="","",Produtos!$A304)</f>
        <v/>
      </c>
      <c r="B304" s="32" t="str">
        <f aca="false">IF(Produtos!$A304="","",Produtos!$B304)</f>
        <v/>
      </c>
      <c r="C304" s="32" t="str">
        <f aca="false">IF(Produtos!$A304="","",Produtos!$C304)</f>
        <v/>
      </c>
      <c r="D304" s="33" t="str">
        <f aca="false">IF(Produtos!$A304="","",IF(Produtos!$D304="","",Produtos!$D304))</f>
        <v/>
      </c>
      <c r="E304" s="11"/>
      <c r="F304" s="34" t="str">
        <f aca="false">IF($A304="","",IF($C304="","⚠ categoria",IFERROR(INDEX(Parâmetros!$C$13:$C$22,MATCH($C304,Parâmetros!$A$13:$A$22,0)),"⚠ categoria")))</f>
        <v/>
      </c>
      <c r="G304" s="35"/>
      <c r="H304" s="36" t="str">
        <f aca="false">IF($A304="","",IF(ISNUMBER($G304),$G304,IF(ISNUMBER($F304),$F304,"")))</f>
        <v/>
      </c>
      <c r="I304" s="37" t="str">
        <f aca="false">IF(OR($A304="",NOT(ISNUMBER($D304)),NOT(ISNUMBER($H304))),"",IF((1-$H304-Parâmetros!$B$5-Parâmetros!$C$5-Parâmetros!$D$5)&lt;=0,"INVALIDO",($D304+IF(ISNUMBER($E304),$E304,0)+IF(ISNUMBER(Parâmetros!$E$5),Parâmetros!$E$5,0))/(1-$H304-Parâmetros!$B$5-Parâmetros!$C$5-Parâmetros!$D$5)))</f>
        <v/>
      </c>
      <c r="J304" s="38"/>
      <c r="K304" s="39" t="str">
        <f aca="false">IF(OR($A304="",NOT(ISNUMBER($D304)),NOT(ISNUMBER($H304))),"",IF(AND(ISNUMBER($J304),$J304&gt;0),$J304,IF(ISNUMBER($I304),$I304,"")))</f>
        <v/>
      </c>
      <c r="L304" s="40" t="str">
        <f aca="false">IF(ISNUMBER($K304),$K304*$H304,"")</f>
        <v/>
      </c>
      <c r="M304" s="40" t="str">
        <f aca="false">IF(ISNUMBER($K304),$K304*Parâmetros!$B$5,"")</f>
        <v/>
      </c>
      <c r="N304" s="40" t="str">
        <f aca="false">IF(ISNUMBER($K304),$K304*Parâmetros!$C$5,"")</f>
        <v/>
      </c>
      <c r="O304" s="40" t="str">
        <f aca="false">IF(ISNUMBER($K304),IF(ISNUMBER(Parâmetros!$E$5),Parâmetros!$E$5,0),"")</f>
        <v/>
      </c>
      <c r="P304" s="41" t="str">
        <f aca="false">IF(ISNUMBER($K304),$K304-$D304-IF(ISNUMBER($E304),$E304,0)-$L304-$M304-$N304-$O304,"")</f>
        <v/>
      </c>
      <c r="Q304" s="42" t="str">
        <f aca="false">IF(AND(ISNUMBER($K304),$K304&gt;0),$P304/$K304,"")</f>
        <v/>
      </c>
      <c r="R304" s="43"/>
      <c r="S304" s="44" t="str">
        <f aca="false">IF(OR(NOT(ISNUMBER($R304)),$R304=0,NOT(ISNUMBER($K304))),"",$K304*(1-$R304))</f>
        <v/>
      </c>
      <c r="T304" s="45" t="str">
        <f aca="false">IF(ISNUMBER($S304),$S304*$H304,"")</f>
        <v/>
      </c>
      <c r="U304" s="45" t="str">
        <f aca="false">IF(ISNUMBER($S304),$S304*Parâmetros!$B$5,"")</f>
        <v/>
      </c>
      <c r="V304" s="45" t="str">
        <f aca="false">IF(ISNUMBER($S304),$S304*Parâmetros!$C$5,"")</f>
        <v/>
      </c>
      <c r="W304" s="44" t="str">
        <f aca="false">IF(ISNUMBER($S304),$S304-$D304-IF(ISNUMBER($E304),$E304,0)-$O304-$T304-$U304-$V304,"")</f>
        <v/>
      </c>
      <c r="X304" s="46" t="str">
        <f aca="false">IF(AND(ISNUMBER($S304),$S304&gt;0),$W304/$S304,"")</f>
        <v/>
      </c>
      <c r="Y304" s="47"/>
      <c r="Z304" s="19"/>
    </row>
    <row r="305" customFormat="false" ht="15.75" hidden="false" customHeight="true" outlineLevel="0" collapsed="false">
      <c r="A305" s="48" t="str">
        <f aca="false">IF(Produtos!$A305="","",Produtos!$A305)</f>
        <v/>
      </c>
      <c r="B305" s="48" t="str">
        <f aca="false">IF(Produtos!$A305="","",Produtos!$B305)</f>
        <v/>
      </c>
      <c r="C305" s="48" t="str">
        <f aca="false">IF(Produtos!$A305="","",Produtos!$C305)</f>
        <v/>
      </c>
      <c r="D305" s="33" t="str">
        <f aca="false">IF(Produtos!$A305="","",IF(Produtos!$D305="","",Produtos!$D305))</f>
        <v/>
      </c>
      <c r="E305" s="11"/>
      <c r="F305" s="34" t="str">
        <f aca="false">IF($A305="","",IF($C305="","⚠ categoria",IFERROR(INDEX(Parâmetros!$C$13:$C$22,MATCH($C305,Parâmetros!$A$13:$A$22,0)),"⚠ categoria")))</f>
        <v/>
      </c>
      <c r="G305" s="35"/>
      <c r="H305" s="36" t="str">
        <f aca="false">IF($A305="","",IF(ISNUMBER($G305),$G305,IF(ISNUMBER($F305),$F305,"")))</f>
        <v/>
      </c>
      <c r="I305" s="37" t="str">
        <f aca="false">IF(OR($A305="",NOT(ISNUMBER($D305)),NOT(ISNUMBER($H305))),"",IF((1-$H305-Parâmetros!$B$5-Parâmetros!$C$5-Parâmetros!$D$5)&lt;=0,"INVALIDO",($D305+IF(ISNUMBER($E305),$E305,0)+IF(ISNUMBER(Parâmetros!$E$5),Parâmetros!$E$5,0))/(1-$H305-Parâmetros!$B$5-Parâmetros!$C$5-Parâmetros!$D$5)))</f>
        <v/>
      </c>
      <c r="J305" s="38"/>
      <c r="K305" s="39" t="str">
        <f aca="false">IF(OR($A305="",NOT(ISNUMBER($D305)),NOT(ISNUMBER($H305))),"",IF(AND(ISNUMBER($J305),$J305&gt;0),$J305,IF(ISNUMBER($I305),$I305,"")))</f>
        <v/>
      </c>
      <c r="L305" s="40" t="str">
        <f aca="false">IF(ISNUMBER($K305),$K305*$H305,"")</f>
        <v/>
      </c>
      <c r="M305" s="40" t="str">
        <f aca="false">IF(ISNUMBER($K305),$K305*Parâmetros!$B$5,"")</f>
        <v/>
      </c>
      <c r="N305" s="40" t="str">
        <f aca="false">IF(ISNUMBER($K305),$K305*Parâmetros!$C$5,"")</f>
        <v/>
      </c>
      <c r="O305" s="40" t="str">
        <f aca="false">IF(ISNUMBER($K305),IF(ISNUMBER(Parâmetros!$E$5),Parâmetros!$E$5,0),"")</f>
        <v/>
      </c>
      <c r="P305" s="41" t="str">
        <f aca="false">IF(ISNUMBER($K305),$K305-$D305-IF(ISNUMBER($E305),$E305,0)-$L305-$M305-$N305-$O305,"")</f>
        <v/>
      </c>
      <c r="Q305" s="42" t="str">
        <f aca="false">IF(AND(ISNUMBER($K305),$K305&gt;0),$P305/$K305,"")</f>
        <v/>
      </c>
      <c r="R305" s="43"/>
      <c r="S305" s="44" t="str">
        <f aca="false">IF(OR(NOT(ISNUMBER($R305)),$R305=0,NOT(ISNUMBER($K305))),"",$K305*(1-$R305))</f>
        <v/>
      </c>
      <c r="T305" s="45" t="str">
        <f aca="false">IF(ISNUMBER($S305),$S305*$H305,"")</f>
        <v/>
      </c>
      <c r="U305" s="45" t="str">
        <f aca="false">IF(ISNUMBER($S305),$S305*Parâmetros!$B$5,"")</f>
        <v/>
      </c>
      <c r="V305" s="45" t="str">
        <f aca="false">IF(ISNUMBER($S305),$S305*Parâmetros!$C$5,"")</f>
        <v/>
      </c>
      <c r="W305" s="44" t="str">
        <f aca="false">IF(ISNUMBER($S305),$S305-$D305-IF(ISNUMBER($E305),$E305,0)-$O305-$T305-$U305-$V305,"")</f>
        <v/>
      </c>
      <c r="X305" s="46" t="str">
        <f aca="false">IF(AND(ISNUMBER($S305),$S305&gt;0),$W305/$S305,"")</f>
        <v/>
      </c>
      <c r="Y305" s="49"/>
      <c r="Z305" s="21"/>
    </row>
    <row r="306" customFormat="false" ht="15.75" hidden="false" customHeight="true" outlineLevel="0" collapsed="false">
      <c r="A306" s="32" t="str">
        <f aca="false">IF(Produtos!$A306="","",Produtos!$A306)</f>
        <v/>
      </c>
      <c r="B306" s="32" t="str">
        <f aca="false">IF(Produtos!$A306="","",Produtos!$B306)</f>
        <v/>
      </c>
      <c r="C306" s="32" t="str">
        <f aca="false">IF(Produtos!$A306="","",Produtos!$C306)</f>
        <v/>
      </c>
      <c r="D306" s="33" t="str">
        <f aca="false">IF(Produtos!$A306="","",IF(Produtos!$D306="","",Produtos!$D306))</f>
        <v/>
      </c>
      <c r="E306" s="11"/>
      <c r="F306" s="34" t="str">
        <f aca="false">IF($A306="","",IF($C306="","⚠ categoria",IFERROR(INDEX(Parâmetros!$C$13:$C$22,MATCH($C306,Parâmetros!$A$13:$A$22,0)),"⚠ categoria")))</f>
        <v/>
      </c>
      <c r="G306" s="35"/>
      <c r="H306" s="36" t="str">
        <f aca="false">IF($A306="","",IF(ISNUMBER($G306),$G306,IF(ISNUMBER($F306),$F306,"")))</f>
        <v/>
      </c>
      <c r="I306" s="37" t="str">
        <f aca="false">IF(OR($A306="",NOT(ISNUMBER($D306)),NOT(ISNUMBER($H306))),"",IF((1-$H306-Parâmetros!$B$5-Parâmetros!$C$5-Parâmetros!$D$5)&lt;=0,"INVALIDO",($D306+IF(ISNUMBER($E306),$E306,0)+IF(ISNUMBER(Parâmetros!$E$5),Parâmetros!$E$5,0))/(1-$H306-Parâmetros!$B$5-Parâmetros!$C$5-Parâmetros!$D$5)))</f>
        <v/>
      </c>
      <c r="J306" s="38"/>
      <c r="K306" s="39" t="str">
        <f aca="false">IF(OR($A306="",NOT(ISNUMBER($D306)),NOT(ISNUMBER($H306))),"",IF(AND(ISNUMBER($J306),$J306&gt;0),$J306,IF(ISNUMBER($I306),$I306,"")))</f>
        <v/>
      </c>
      <c r="L306" s="40" t="str">
        <f aca="false">IF(ISNUMBER($K306),$K306*$H306,"")</f>
        <v/>
      </c>
      <c r="M306" s="40" t="str">
        <f aca="false">IF(ISNUMBER($K306),$K306*Parâmetros!$B$5,"")</f>
        <v/>
      </c>
      <c r="N306" s="40" t="str">
        <f aca="false">IF(ISNUMBER($K306),$K306*Parâmetros!$C$5,"")</f>
        <v/>
      </c>
      <c r="O306" s="40" t="str">
        <f aca="false">IF(ISNUMBER($K306),IF(ISNUMBER(Parâmetros!$E$5),Parâmetros!$E$5,0),"")</f>
        <v/>
      </c>
      <c r="P306" s="41" t="str">
        <f aca="false">IF(ISNUMBER($K306),$K306-$D306-IF(ISNUMBER($E306),$E306,0)-$L306-$M306-$N306-$O306,"")</f>
        <v/>
      </c>
      <c r="Q306" s="42" t="str">
        <f aca="false">IF(AND(ISNUMBER($K306),$K306&gt;0),$P306/$K306,"")</f>
        <v/>
      </c>
      <c r="R306" s="43"/>
      <c r="S306" s="44" t="str">
        <f aca="false">IF(OR(NOT(ISNUMBER($R306)),$R306=0,NOT(ISNUMBER($K306))),"",$K306*(1-$R306))</f>
        <v/>
      </c>
      <c r="T306" s="45" t="str">
        <f aca="false">IF(ISNUMBER($S306),$S306*$H306,"")</f>
        <v/>
      </c>
      <c r="U306" s="45" t="str">
        <f aca="false">IF(ISNUMBER($S306),$S306*Parâmetros!$B$5,"")</f>
        <v/>
      </c>
      <c r="V306" s="45" t="str">
        <f aca="false">IF(ISNUMBER($S306),$S306*Parâmetros!$C$5,"")</f>
        <v/>
      </c>
      <c r="W306" s="44" t="str">
        <f aca="false">IF(ISNUMBER($S306),$S306-$D306-IF(ISNUMBER($E306),$E306,0)-$O306-$T306-$U306-$V306,"")</f>
        <v/>
      </c>
      <c r="X306" s="46" t="str">
        <f aca="false">IF(AND(ISNUMBER($S306),$S306&gt;0),$W306/$S306,"")</f>
        <v/>
      </c>
      <c r="Y306" s="47"/>
      <c r="Z306" s="19"/>
    </row>
    <row r="307" customFormat="false" ht="15.75" hidden="false" customHeight="true" outlineLevel="0" collapsed="false">
      <c r="A307" s="48" t="str">
        <f aca="false">IF(Produtos!$A307="","",Produtos!$A307)</f>
        <v/>
      </c>
      <c r="B307" s="48" t="str">
        <f aca="false">IF(Produtos!$A307="","",Produtos!$B307)</f>
        <v/>
      </c>
      <c r="C307" s="48" t="str">
        <f aca="false">IF(Produtos!$A307="","",Produtos!$C307)</f>
        <v/>
      </c>
      <c r="D307" s="33" t="str">
        <f aca="false">IF(Produtos!$A307="","",IF(Produtos!$D307="","",Produtos!$D307))</f>
        <v/>
      </c>
      <c r="E307" s="11"/>
      <c r="F307" s="34" t="str">
        <f aca="false">IF($A307="","",IF($C307="","⚠ categoria",IFERROR(INDEX(Parâmetros!$C$13:$C$22,MATCH($C307,Parâmetros!$A$13:$A$22,0)),"⚠ categoria")))</f>
        <v/>
      </c>
      <c r="G307" s="35"/>
      <c r="H307" s="36" t="str">
        <f aca="false">IF($A307="","",IF(ISNUMBER($G307),$G307,IF(ISNUMBER($F307),$F307,"")))</f>
        <v/>
      </c>
      <c r="I307" s="37" t="str">
        <f aca="false">IF(OR($A307="",NOT(ISNUMBER($D307)),NOT(ISNUMBER($H307))),"",IF((1-$H307-Parâmetros!$B$5-Parâmetros!$C$5-Parâmetros!$D$5)&lt;=0,"INVALIDO",($D307+IF(ISNUMBER($E307),$E307,0)+IF(ISNUMBER(Parâmetros!$E$5),Parâmetros!$E$5,0))/(1-$H307-Parâmetros!$B$5-Parâmetros!$C$5-Parâmetros!$D$5)))</f>
        <v/>
      </c>
      <c r="J307" s="38"/>
      <c r="K307" s="39" t="str">
        <f aca="false">IF(OR($A307="",NOT(ISNUMBER($D307)),NOT(ISNUMBER($H307))),"",IF(AND(ISNUMBER($J307),$J307&gt;0),$J307,IF(ISNUMBER($I307),$I307,"")))</f>
        <v/>
      </c>
      <c r="L307" s="40" t="str">
        <f aca="false">IF(ISNUMBER($K307),$K307*$H307,"")</f>
        <v/>
      </c>
      <c r="M307" s="40" t="str">
        <f aca="false">IF(ISNUMBER($K307),$K307*Parâmetros!$B$5,"")</f>
        <v/>
      </c>
      <c r="N307" s="40" t="str">
        <f aca="false">IF(ISNUMBER($K307),$K307*Parâmetros!$C$5,"")</f>
        <v/>
      </c>
      <c r="O307" s="40" t="str">
        <f aca="false">IF(ISNUMBER($K307),IF(ISNUMBER(Parâmetros!$E$5),Parâmetros!$E$5,0),"")</f>
        <v/>
      </c>
      <c r="P307" s="41" t="str">
        <f aca="false">IF(ISNUMBER($K307),$K307-$D307-IF(ISNUMBER($E307),$E307,0)-$L307-$M307-$N307-$O307,"")</f>
        <v/>
      </c>
      <c r="Q307" s="42" t="str">
        <f aca="false">IF(AND(ISNUMBER($K307),$K307&gt;0),$P307/$K307,"")</f>
        <v/>
      </c>
      <c r="R307" s="43"/>
      <c r="S307" s="44" t="str">
        <f aca="false">IF(OR(NOT(ISNUMBER($R307)),$R307=0,NOT(ISNUMBER($K307))),"",$K307*(1-$R307))</f>
        <v/>
      </c>
      <c r="T307" s="45" t="str">
        <f aca="false">IF(ISNUMBER($S307),$S307*$H307,"")</f>
        <v/>
      </c>
      <c r="U307" s="45" t="str">
        <f aca="false">IF(ISNUMBER($S307),$S307*Parâmetros!$B$5,"")</f>
        <v/>
      </c>
      <c r="V307" s="45" t="str">
        <f aca="false">IF(ISNUMBER($S307),$S307*Parâmetros!$C$5,"")</f>
        <v/>
      </c>
      <c r="W307" s="44" t="str">
        <f aca="false">IF(ISNUMBER($S307),$S307-$D307-IF(ISNUMBER($E307),$E307,0)-$O307-$T307-$U307-$V307,"")</f>
        <v/>
      </c>
      <c r="X307" s="46" t="str">
        <f aca="false">IF(AND(ISNUMBER($S307),$S307&gt;0),$W307/$S307,"")</f>
        <v/>
      </c>
      <c r="Y307" s="49"/>
      <c r="Z307" s="21"/>
    </row>
    <row r="308" customFormat="false" ht="15.75" hidden="false" customHeight="true" outlineLevel="0" collapsed="false">
      <c r="A308" s="32" t="str">
        <f aca="false">IF(Produtos!$A308="","",Produtos!$A308)</f>
        <v/>
      </c>
      <c r="B308" s="32" t="str">
        <f aca="false">IF(Produtos!$A308="","",Produtos!$B308)</f>
        <v/>
      </c>
      <c r="C308" s="32" t="str">
        <f aca="false">IF(Produtos!$A308="","",Produtos!$C308)</f>
        <v/>
      </c>
      <c r="D308" s="33" t="str">
        <f aca="false">IF(Produtos!$A308="","",IF(Produtos!$D308="","",Produtos!$D308))</f>
        <v/>
      </c>
      <c r="E308" s="11"/>
      <c r="F308" s="34" t="str">
        <f aca="false">IF($A308="","",IF($C308="","⚠ categoria",IFERROR(INDEX(Parâmetros!$C$13:$C$22,MATCH($C308,Parâmetros!$A$13:$A$22,0)),"⚠ categoria")))</f>
        <v/>
      </c>
      <c r="G308" s="35"/>
      <c r="H308" s="36" t="str">
        <f aca="false">IF($A308="","",IF(ISNUMBER($G308),$G308,IF(ISNUMBER($F308),$F308,"")))</f>
        <v/>
      </c>
      <c r="I308" s="37" t="str">
        <f aca="false">IF(OR($A308="",NOT(ISNUMBER($D308)),NOT(ISNUMBER($H308))),"",IF((1-$H308-Parâmetros!$B$5-Parâmetros!$C$5-Parâmetros!$D$5)&lt;=0,"INVALIDO",($D308+IF(ISNUMBER($E308),$E308,0)+IF(ISNUMBER(Parâmetros!$E$5),Parâmetros!$E$5,0))/(1-$H308-Parâmetros!$B$5-Parâmetros!$C$5-Parâmetros!$D$5)))</f>
        <v/>
      </c>
      <c r="J308" s="38"/>
      <c r="K308" s="39" t="str">
        <f aca="false">IF(OR($A308="",NOT(ISNUMBER($D308)),NOT(ISNUMBER($H308))),"",IF(AND(ISNUMBER($J308),$J308&gt;0),$J308,IF(ISNUMBER($I308),$I308,"")))</f>
        <v/>
      </c>
      <c r="L308" s="40" t="str">
        <f aca="false">IF(ISNUMBER($K308),$K308*$H308,"")</f>
        <v/>
      </c>
      <c r="M308" s="40" t="str">
        <f aca="false">IF(ISNUMBER($K308),$K308*Parâmetros!$B$5,"")</f>
        <v/>
      </c>
      <c r="N308" s="40" t="str">
        <f aca="false">IF(ISNUMBER($K308),$K308*Parâmetros!$C$5,"")</f>
        <v/>
      </c>
      <c r="O308" s="40" t="str">
        <f aca="false">IF(ISNUMBER($K308),IF(ISNUMBER(Parâmetros!$E$5),Parâmetros!$E$5,0),"")</f>
        <v/>
      </c>
      <c r="P308" s="41" t="str">
        <f aca="false">IF(ISNUMBER($K308),$K308-$D308-IF(ISNUMBER($E308),$E308,0)-$L308-$M308-$N308-$O308,"")</f>
        <v/>
      </c>
      <c r="Q308" s="42" t="str">
        <f aca="false">IF(AND(ISNUMBER($K308),$K308&gt;0),$P308/$K308,"")</f>
        <v/>
      </c>
      <c r="R308" s="43"/>
      <c r="S308" s="44" t="str">
        <f aca="false">IF(OR(NOT(ISNUMBER($R308)),$R308=0,NOT(ISNUMBER($K308))),"",$K308*(1-$R308))</f>
        <v/>
      </c>
      <c r="T308" s="45" t="str">
        <f aca="false">IF(ISNUMBER($S308),$S308*$H308,"")</f>
        <v/>
      </c>
      <c r="U308" s="45" t="str">
        <f aca="false">IF(ISNUMBER($S308),$S308*Parâmetros!$B$5,"")</f>
        <v/>
      </c>
      <c r="V308" s="45" t="str">
        <f aca="false">IF(ISNUMBER($S308),$S308*Parâmetros!$C$5,"")</f>
        <v/>
      </c>
      <c r="W308" s="44" t="str">
        <f aca="false">IF(ISNUMBER($S308),$S308-$D308-IF(ISNUMBER($E308),$E308,0)-$O308-$T308-$U308-$V308,"")</f>
        <v/>
      </c>
      <c r="X308" s="46" t="str">
        <f aca="false">IF(AND(ISNUMBER($S308),$S308&gt;0),$W308/$S308,"")</f>
        <v/>
      </c>
      <c r="Y308" s="47"/>
      <c r="Z308" s="19"/>
    </row>
    <row r="309" customFormat="false" ht="15.75" hidden="false" customHeight="true" outlineLevel="0" collapsed="false">
      <c r="A309" s="48" t="str">
        <f aca="false">IF(Produtos!$A309="","",Produtos!$A309)</f>
        <v/>
      </c>
      <c r="B309" s="48" t="str">
        <f aca="false">IF(Produtos!$A309="","",Produtos!$B309)</f>
        <v/>
      </c>
      <c r="C309" s="48" t="str">
        <f aca="false">IF(Produtos!$A309="","",Produtos!$C309)</f>
        <v/>
      </c>
      <c r="D309" s="33" t="str">
        <f aca="false">IF(Produtos!$A309="","",IF(Produtos!$D309="","",Produtos!$D309))</f>
        <v/>
      </c>
      <c r="E309" s="11"/>
      <c r="F309" s="34" t="str">
        <f aca="false">IF($A309="","",IF($C309="","⚠ categoria",IFERROR(INDEX(Parâmetros!$C$13:$C$22,MATCH($C309,Parâmetros!$A$13:$A$22,0)),"⚠ categoria")))</f>
        <v/>
      </c>
      <c r="G309" s="35"/>
      <c r="H309" s="36" t="str">
        <f aca="false">IF($A309="","",IF(ISNUMBER($G309),$G309,IF(ISNUMBER($F309),$F309,"")))</f>
        <v/>
      </c>
      <c r="I309" s="37" t="str">
        <f aca="false">IF(OR($A309="",NOT(ISNUMBER($D309)),NOT(ISNUMBER($H309))),"",IF((1-$H309-Parâmetros!$B$5-Parâmetros!$C$5-Parâmetros!$D$5)&lt;=0,"INVALIDO",($D309+IF(ISNUMBER($E309),$E309,0)+IF(ISNUMBER(Parâmetros!$E$5),Parâmetros!$E$5,0))/(1-$H309-Parâmetros!$B$5-Parâmetros!$C$5-Parâmetros!$D$5)))</f>
        <v/>
      </c>
      <c r="J309" s="38"/>
      <c r="K309" s="39" t="str">
        <f aca="false">IF(OR($A309="",NOT(ISNUMBER($D309)),NOT(ISNUMBER($H309))),"",IF(AND(ISNUMBER($J309),$J309&gt;0),$J309,IF(ISNUMBER($I309),$I309,"")))</f>
        <v/>
      </c>
      <c r="L309" s="40" t="str">
        <f aca="false">IF(ISNUMBER($K309),$K309*$H309,"")</f>
        <v/>
      </c>
      <c r="M309" s="40" t="str">
        <f aca="false">IF(ISNUMBER($K309),$K309*Parâmetros!$B$5,"")</f>
        <v/>
      </c>
      <c r="N309" s="40" t="str">
        <f aca="false">IF(ISNUMBER($K309),$K309*Parâmetros!$C$5,"")</f>
        <v/>
      </c>
      <c r="O309" s="40" t="str">
        <f aca="false">IF(ISNUMBER($K309),IF(ISNUMBER(Parâmetros!$E$5),Parâmetros!$E$5,0),"")</f>
        <v/>
      </c>
      <c r="P309" s="41" t="str">
        <f aca="false">IF(ISNUMBER($K309),$K309-$D309-IF(ISNUMBER($E309),$E309,0)-$L309-$M309-$N309-$O309,"")</f>
        <v/>
      </c>
      <c r="Q309" s="42" t="str">
        <f aca="false">IF(AND(ISNUMBER($K309),$K309&gt;0),$P309/$K309,"")</f>
        <v/>
      </c>
      <c r="R309" s="43"/>
      <c r="S309" s="44" t="str">
        <f aca="false">IF(OR(NOT(ISNUMBER($R309)),$R309=0,NOT(ISNUMBER($K309))),"",$K309*(1-$R309))</f>
        <v/>
      </c>
      <c r="T309" s="45" t="str">
        <f aca="false">IF(ISNUMBER($S309),$S309*$H309,"")</f>
        <v/>
      </c>
      <c r="U309" s="45" t="str">
        <f aca="false">IF(ISNUMBER($S309),$S309*Parâmetros!$B$5,"")</f>
        <v/>
      </c>
      <c r="V309" s="45" t="str">
        <f aca="false">IF(ISNUMBER($S309),$S309*Parâmetros!$C$5,"")</f>
        <v/>
      </c>
      <c r="W309" s="44" t="str">
        <f aca="false">IF(ISNUMBER($S309),$S309-$D309-IF(ISNUMBER($E309),$E309,0)-$O309-$T309-$U309-$V309,"")</f>
        <v/>
      </c>
      <c r="X309" s="46" t="str">
        <f aca="false">IF(AND(ISNUMBER($S309),$S309&gt;0),$W309/$S309,"")</f>
        <v/>
      </c>
      <c r="Y309" s="49"/>
      <c r="Z309" s="21"/>
    </row>
    <row r="310" customFormat="false" ht="15.75" hidden="false" customHeight="true" outlineLevel="0" collapsed="false">
      <c r="A310" s="32" t="str">
        <f aca="false">IF(Produtos!$A310="","",Produtos!$A310)</f>
        <v/>
      </c>
      <c r="B310" s="32" t="str">
        <f aca="false">IF(Produtos!$A310="","",Produtos!$B310)</f>
        <v/>
      </c>
      <c r="C310" s="32" t="str">
        <f aca="false">IF(Produtos!$A310="","",Produtos!$C310)</f>
        <v/>
      </c>
      <c r="D310" s="33" t="str">
        <f aca="false">IF(Produtos!$A310="","",IF(Produtos!$D310="","",Produtos!$D310))</f>
        <v/>
      </c>
      <c r="E310" s="11"/>
      <c r="F310" s="34" t="str">
        <f aca="false">IF($A310="","",IF($C310="","⚠ categoria",IFERROR(INDEX(Parâmetros!$C$13:$C$22,MATCH($C310,Parâmetros!$A$13:$A$22,0)),"⚠ categoria")))</f>
        <v/>
      </c>
      <c r="G310" s="35"/>
      <c r="H310" s="36" t="str">
        <f aca="false">IF($A310="","",IF(ISNUMBER($G310),$G310,IF(ISNUMBER($F310),$F310,"")))</f>
        <v/>
      </c>
      <c r="I310" s="37" t="str">
        <f aca="false">IF(OR($A310="",NOT(ISNUMBER($D310)),NOT(ISNUMBER($H310))),"",IF((1-$H310-Parâmetros!$B$5-Parâmetros!$C$5-Parâmetros!$D$5)&lt;=0,"INVALIDO",($D310+IF(ISNUMBER($E310),$E310,0)+IF(ISNUMBER(Parâmetros!$E$5),Parâmetros!$E$5,0))/(1-$H310-Parâmetros!$B$5-Parâmetros!$C$5-Parâmetros!$D$5)))</f>
        <v/>
      </c>
      <c r="J310" s="38"/>
      <c r="K310" s="39" t="str">
        <f aca="false">IF(OR($A310="",NOT(ISNUMBER($D310)),NOT(ISNUMBER($H310))),"",IF(AND(ISNUMBER($J310),$J310&gt;0),$J310,IF(ISNUMBER($I310),$I310,"")))</f>
        <v/>
      </c>
      <c r="L310" s="40" t="str">
        <f aca="false">IF(ISNUMBER($K310),$K310*$H310,"")</f>
        <v/>
      </c>
      <c r="M310" s="40" t="str">
        <f aca="false">IF(ISNUMBER($K310),$K310*Parâmetros!$B$5,"")</f>
        <v/>
      </c>
      <c r="N310" s="40" t="str">
        <f aca="false">IF(ISNUMBER($K310),$K310*Parâmetros!$C$5,"")</f>
        <v/>
      </c>
      <c r="O310" s="40" t="str">
        <f aca="false">IF(ISNUMBER($K310),IF(ISNUMBER(Parâmetros!$E$5),Parâmetros!$E$5,0),"")</f>
        <v/>
      </c>
      <c r="P310" s="41" t="str">
        <f aca="false">IF(ISNUMBER($K310),$K310-$D310-IF(ISNUMBER($E310),$E310,0)-$L310-$M310-$N310-$O310,"")</f>
        <v/>
      </c>
      <c r="Q310" s="42" t="str">
        <f aca="false">IF(AND(ISNUMBER($K310),$K310&gt;0),$P310/$K310,"")</f>
        <v/>
      </c>
      <c r="R310" s="43"/>
      <c r="S310" s="44" t="str">
        <f aca="false">IF(OR(NOT(ISNUMBER($R310)),$R310=0,NOT(ISNUMBER($K310))),"",$K310*(1-$R310))</f>
        <v/>
      </c>
      <c r="T310" s="45" t="str">
        <f aca="false">IF(ISNUMBER($S310),$S310*$H310,"")</f>
        <v/>
      </c>
      <c r="U310" s="45" t="str">
        <f aca="false">IF(ISNUMBER($S310),$S310*Parâmetros!$B$5,"")</f>
        <v/>
      </c>
      <c r="V310" s="45" t="str">
        <f aca="false">IF(ISNUMBER($S310),$S310*Parâmetros!$C$5,"")</f>
        <v/>
      </c>
      <c r="W310" s="44" t="str">
        <f aca="false">IF(ISNUMBER($S310),$S310-$D310-IF(ISNUMBER($E310),$E310,0)-$O310-$T310-$U310-$V310,"")</f>
        <v/>
      </c>
      <c r="X310" s="46" t="str">
        <f aca="false">IF(AND(ISNUMBER($S310),$S310&gt;0),$W310/$S310,"")</f>
        <v/>
      </c>
      <c r="Y310" s="47"/>
      <c r="Z310" s="19"/>
    </row>
    <row r="311" customFormat="false" ht="15.75" hidden="false" customHeight="true" outlineLevel="0" collapsed="false">
      <c r="A311" s="48" t="str">
        <f aca="false">IF(Produtos!$A311="","",Produtos!$A311)</f>
        <v/>
      </c>
      <c r="B311" s="48" t="str">
        <f aca="false">IF(Produtos!$A311="","",Produtos!$B311)</f>
        <v/>
      </c>
      <c r="C311" s="48" t="str">
        <f aca="false">IF(Produtos!$A311="","",Produtos!$C311)</f>
        <v/>
      </c>
      <c r="D311" s="33" t="str">
        <f aca="false">IF(Produtos!$A311="","",IF(Produtos!$D311="","",Produtos!$D311))</f>
        <v/>
      </c>
      <c r="E311" s="11"/>
      <c r="F311" s="34" t="str">
        <f aca="false">IF($A311="","",IF($C311="","⚠ categoria",IFERROR(INDEX(Parâmetros!$C$13:$C$22,MATCH($C311,Parâmetros!$A$13:$A$22,0)),"⚠ categoria")))</f>
        <v/>
      </c>
      <c r="G311" s="35"/>
      <c r="H311" s="36" t="str">
        <f aca="false">IF($A311="","",IF(ISNUMBER($G311),$G311,IF(ISNUMBER($F311),$F311,"")))</f>
        <v/>
      </c>
      <c r="I311" s="37" t="str">
        <f aca="false">IF(OR($A311="",NOT(ISNUMBER($D311)),NOT(ISNUMBER($H311))),"",IF((1-$H311-Parâmetros!$B$5-Parâmetros!$C$5-Parâmetros!$D$5)&lt;=0,"INVALIDO",($D311+IF(ISNUMBER($E311),$E311,0)+IF(ISNUMBER(Parâmetros!$E$5),Parâmetros!$E$5,0))/(1-$H311-Parâmetros!$B$5-Parâmetros!$C$5-Parâmetros!$D$5)))</f>
        <v/>
      </c>
      <c r="J311" s="38"/>
      <c r="K311" s="39" t="str">
        <f aca="false">IF(OR($A311="",NOT(ISNUMBER($D311)),NOT(ISNUMBER($H311))),"",IF(AND(ISNUMBER($J311),$J311&gt;0),$J311,IF(ISNUMBER($I311),$I311,"")))</f>
        <v/>
      </c>
      <c r="L311" s="40" t="str">
        <f aca="false">IF(ISNUMBER($K311),$K311*$H311,"")</f>
        <v/>
      </c>
      <c r="M311" s="40" t="str">
        <f aca="false">IF(ISNUMBER($K311),$K311*Parâmetros!$B$5,"")</f>
        <v/>
      </c>
      <c r="N311" s="40" t="str">
        <f aca="false">IF(ISNUMBER($K311),$K311*Parâmetros!$C$5,"")</f>
        <v/>
      </c>
      <c r="O311" s="40" t="str">
        <f aca="false">IF(ISNUMBER($K311),IF(ISNUMBER(Parâmetros!$E$5),Parâmetros!$E$5,0),"")</f>
        <v/>
      </c>
      <c r="P311" s="41" t="str">
        <f aca="false">IF(ISNUMBER($K311),$K311-$D311-IF(ISNUMBER($E311),$E311,0)-$L311-$M311-$N311-$O311,"")</f>
        <v/>
      </c>
      <c r="Q311" s="42" t="str">
        <f aca="false">IF(AND(ISNUMBER($K311),$K311&gt;0),$P311/$K311,"")</f>
        <v/>
      </c>
      <c r="R311" s="43"/>
      <c r="S311" s="44" t="str">
        <f aca="false">IF(OR(NOT(ISNUMBER($R311)),$R311=0,NOT(ISNUMBER($K311))),"",$K311*(1-$R311))</f>
        <v/>
      </c>
      <c r="T311" s="45" t="str">
        <f aca="false">IF(ISNUMBER($S311),$S311*$H311,"")</f>
        <v/>
      </c>
      <c r="U311" s="45" t="str">
        <f aca="false">IF(ISNUMBER($S311),$S311*Parâmetros!$B$5,"")</f>
        <v/>
      </c>
      <c r="V311" s="45" t="str">
        <f aca="false">IF(ISNUMBER($S311),$S311*Parâmetros!$C$5,"")</f>
        <v/>
      </c>
      <c r="W311" s="44" t="str">
        <f aca="false">IF(ISNUMBER($S311),$S311-$D311-IF(ISNUMBER($E311),$E311,0)-$O311-$T311-$U311-$V311,"")</f>
        <v/>
      </c>
      <c r="X311" s="46" t="str">
        <f aca="false">IF(AND(ISNUMBER($S311),$S311&gt;0),$W311/$S311,"")</f>
        <v/>
      </c>
      <c r="Y311" s="49"/>
      <c r="Z311" s="21"/>
    </row>
    <row r="312" customFormat="false" ht="15.75" hidden="false" customHeight="true" outlineLevel="0" collapsed="false">
      <c r="A312" s="32" t="str">
        <f aca="false">IF(Produtos!$A312="","",Produtos!$A312)</f>
        <v/>
      </c>
      <c r="B312" s="32" t="str">
        <f aca="false">IF(Produtos!$A312="","",Produtos!$B312)</f>
        <v/>
      </c>
      <c r="C312" s="32" t="str">
        <f aca="false">IF(Produtos!$A312="","",Produtos!$C312)</f>
        <v/>
      </c>
      <c r="D312" s="33" t="str">
        <f aca="false">IF(Produtos!$A312="","",IF(Produtos!$D312="","",Produtos!$D312))</f>
        <v/>
      </c>
      <c r="E312" s="11"/>
      <c r="F312" s="34" t="str">
        <f aca="false">IF($A312="","",IF($C312="","⚠ categoria",IFERROR(INDEX(Parâmetros!$C$13:$C$22,MATCH($C312,Parâmetros!$A$13:$A$22,0)),"⚠ categoria")))</f>
        <v/>
      </c>
      <c r="G312" s="35"/>
      <c r="H312" s="36" t="str">
        <f aca="false">IF($A312="","",IF(ISNUMBER($G312),$G312,IF(ISNUMBER($F312),$F312,"")))</f>
        <v/>
      </c>
      <c r="I312" s="37" t="str">
        <f aca="false">IF(OR($A312="",NOT(ISNUMBER($D312)),NOT(ISNUMBER($H312))),"",IF((1-$H312-Parâmetros!$B$5-Parâmetros!$C$5-Parâmetros!$D$5)&lt;=0,"INVALIDO",($D312+IF(ISNUMBER($E312),$E312,0)+IF(ISNUMBER(Parâmetros!$E$5),Parâmetros!$E$5,0))/(1-$H312-Parâmetros!$B$5-Parâmetros!$C$5-Parâmetros!$D$5)))</f>
        <v/>
      </c>
      <c r="J312" s="38"/>
      <c r="K312" s="39" t="str">
        <f aca="false">IF(OR($A312="",NOT(ISNUMBER($D312)),NOT(ISNUMBER($H312))),"",IF(AND(ISNUMBER($J312),$J312&gt;0),$J312,IF(ISNUMBER($I312),$I312,"")))</f>
        <v/>
      </c>
      <c r="L312" s="40" t="str">
        <f aca="false">IF(ISNUMBER($K312),$K312*$H312,"")</f>
        <v/>
      </c>
      <c r="M312" s="40" t="str">
        <f aca="false">IF(ISNUMBER($K312),$K312*Parâmetros!$B$5,"")</f>
        <v/>
      </c>
      <c r="N312" s="40" t="str">
        <f aca="false">IF(ISNUMBER($K312),$K312*Parâmetros!$C$5,"")</f>
        <v/>
      </c>
      <c r="O312" s="40" t="str">
        <f aca="false">IF(ISNUMBER($K312),IF(ISNUMBER(Parâmetros!$E$5),Parâmetros!$E$5,0),"")</f>
        <v/>
      </c>
      <c r="P312" s="41" t="str">
        <f aca="false">IF(ISNUMBER($K312),$K312-$D312-IF(ISNUMBER($E312),$E312,0)-$L312-$M312-$N312-$O312,"")</f>
        <v/>
      </c>
      <c r="Q312" s="42" t="str">
        <f aca="false">IF(AND(ISNUMBER($K312),$K312&gt;0),$P312/$K312,"")</f>
        <v/>
      </c>
      <c r="R312" s="43"/>
      <c r="S312" s="44" t="str">
        <f aca="false">IF(OR(NOT(ISNUMBER($R312)),$R312=0,NOT(ISNUMBER($K312))),"",$K312*(1-$R312))</f>
        <v/>
      </c>
      <c r="T312" s="45" t="str">
        <f aca="false">IF(ISNUMBER($S312),$S312*$H312,"")</f>
        <v/>
      </c>
      <c r="U312" s="45" t="str">
        <f aca="false">IF(ISNUMBER($S312),$S312*Parâmetros!$B$5,"")</f>
        <v/>
      </c>
      <c r="V312" s="45" t="str">
        <f aca="false">IF(ISNUMBER($S312),$S312*Parâmetros!$C$5,"")</f>
        <v/>
      </c>
      <c r="W312" s="44" t="str">
        <f aca="false">IF(ISNUMBER($S312),$S312-$D312-IF(ISNUMBER($E312),$E312,0)-$O312-$T312-$U312-$V312,"")</f>
        <v/>
      </c>
      <c r="X312" s="46" t="str">
        <f aca="false">IF(AND(ISNUMBER($S312),$S312&gt;0),$W312/$S312,"")</f>
        <v/>
      </c>
      <c r="Y312" s="47"/>
      <c r="Z312" s="19"/>
    </row>
    <row r="313" customFormat="false" ht="15.75" hidden="false" customHeight="true" outlineLevel="0" collapsed="false">
      <c r="A313" s="48" t="str">
        <f aca="false">IF(Produtos!$A313="","",Produtos!$A313)</f>
        <v/>
      </c>
      <c r="B313" s="48" t="str">
        <f aca="false">IF(Produtos!$A313="","",Produtos!$B313)</f>
        <v/>
      </c>
      <c r="C313" s="48" t="str">
        <f aca="false">IF(Produtos!$A313="","",Produtos!$C313)</f>
        <v/>
      </c>
      <c r="D313" s="33" t="str">
        <f aca="false">IF(Produtos!$A313="","",IF(Produtos!$D313="","",Produtos!$D313))</f>
        <v/>
      </c>
      <c r="E313" s="11"/>
      <c r="F313" s="34" t="str">
        <f aca="false">IF($A313="","",IF($C313="","⚠ categoria",IFERROR(INDEX(Parâmetros!$C$13:$C$22,MATCH($C313,Parâmetros!$A$13:$A$22,0)),"⚠ categoria")))</f>
        <v/>
      </c>
      <c r="G313" s="35"/>
      <c r="H313" s="36" t="str">
        <f aca="false">IF($A313="","",IF(ISNUMBER($G313),$G313,IF(ISNUMBER($F313),$F313,"")))</f>
        <v/>
      </c>
      <c r="I313" s="37" t="str">
        <f aca="false">IF(OR($A313="",NOT(ISNUMBER($D313)),NOT(ISNUMBER($H313))),"",IF((1-$H313-Parâmetros!$B$5-Parâmetros!$C$5-Parâmetros!$D$5)&lt;=0,"INVALIDO",($D313+IF(ISNUMBER($E313),$E313,0)+IF(ISNUMBER(Parâmetros!$E$5),Parâmetros!$E$5,0))/(1-$H313-Parâmetros!$B$5-Parâmetros!$C$5-Parâmetros!$D$5)))</f>
        <v/>
      </c>
      <c r="J313" s="38"/>
      <c r="K313" s="39" t="str">
        <f aca="false">IF(OR($A313="",NOT(ISNUMBER($D313)),NOT(ISNUMBER($H313))),"",IF(AND(ISNUMBER($J313),$J313&gt;0),$J313,IF(ISNUMBER($I313),$I313,"")))</f>
        <v/>
      </c>
      <c r="L313" s="40" t="str">
        <f aca="false">IF(ISNUMBER($K313),$K313*$H313,"")</f>
        <v/>
      </c>
      <c r="M313" s="40" t="str">
        <f aca="false">IF(ISNUMBER($K313),$K313*Parâmetros!$B$5,"")</f>
        <v/>
      </c>
      <c r="N313" s="40" t="str">
        <f aca="false">IF(ISNUMBER($K313),$K313*Parâmetros!$C$5,"")</f>
        <v/>
      </c>
      <c r="O313" s="40" t="str">
        <f aca="false">IF(ISNUMBER($K313),IF(ISNUMBER(Parâmetros!$E$5),Parâmetros!$E$5,0),"")</f>
        <v/>
      </c>
      <c r="P313" s="41" t="str">
        <f aca="false">IF(ISNUMBER($K313),$K313-$D313-IF(ISNUMBER($E313),$E313,0)-$L313-$M313-$N313-$O313,"")</f>
        <v/>
      </c>
      <c r="Q313" s="42" t="str">
        <f aca="false">IF(AND(ISNUMBER($K313),$K313&gt;0),$P313/$K313,"")</f>
        <v/>
      </c>
      <c r="R313" s="43"/>
      <c r="S313" s="44" t="str">
        <f aca="false">IF(OR(NOT(ISNUMBER($R313)),$R313=0,NOT(ISNUMBER($K313))),"",$K313*(1-$R313))</f>
        <v/>
      </c>
      <c r="T313" s="45" t="str">
        <f aca="false">IF(ISNUMBER($S313),$S313*$H313,"")</f>
        <v/>
      </c>
      <c r="U313" s="45" t="str">
        <f aca="false">IF(ISNUMBER($S313),$S313*Parâmetros!$B$5,"")</f>
        <v/>
      </c>
      <c r="V313" s="45" t="str">
        <f aca="false">IF(ISNUMBER($S313),$S313*Parâmetros!$C$5,"")</f>
        <v/>
      </c>
      <c r="W313" s="44" t="str">
        <f aca="false">IF(ISNUMBER($S313),$S313-$D313-IF(ISNUMBER($E313),$E313,0)-$O313-$T313-$U313-$V313,"")</f>
        <v/>
      </c>
      <c r="X313" s="46" t="str">
        <f aca="false">IF(AND(ISNUMBER($S313),$S313&gt;0),$W313/$S313,"")</f>
        <v/>
      </c>
      <c r="Y313" s="49"/>
      <c r="Z313" s="21"/>
    </row>
    <row r="314" customFormat="false" ht="15.75" hidden="false" customHeight="true" outlineLevel="0" collapsed="false">
      <c r="A314" s="32" t="str">
        <f aca="false">IF(Produtos!$A314="","",Produtos!$A314)</f>
        <v/>
      </c>
      <c r="B314" s="32" t="str">
        <f aca="false">IF(Produtos!$A314="","",Produtos!$B314)</f>
        <v/>
      </c>
      <c r="C314" s="32" t="str">
        <f aca="false">IF(Produtos!$A314="","",Produtos!$C314)</f>
        <v/>
      </c>
      <c r="D314" s="33" t="str">
        <f aca="false">IF(Produtos!$A314="","",IF(Produtos!$D314="","",Produtos!$D314))</f>
        <v/>
      </c>
      <c r="E314" s="11"/>
      <c r="F314" s="34" t="str">
        <f aca="false">IF($A314="","",IF($C314="","⚠ categoria",IFERROR(INDEX(Parâmetros!$C$13:$C$22,MATCH($C314,Parâmetros!$A$13:$A$22,0)),"⚠ categoria")))</f>
        <v/>
      </c>
      <c r="G314" s="35"/>
      <c r="H314" s="36" t="str">
        <f aca="false">IF($A314="","",IF(ISNUMBER($G314),$G314,IF(ISNUMBER($F314),$F314,"")))</f>
        <v/>
      </c>
      <c r="I314" s="37" t="str">
        <f aca="false">IF(OR($A314="",NOT(ISNUMBER($D314)),NOT(ISNUMBER($H314))),"",IF((1-$H314-Parâmetros!$B$5-Parâmetros!$C$5-Parâmetros!$D$5)&lt;=0,"INVALIDO",($D314+IF(ISNUMBER($E314),$E314,0)+IF(ISNUMBER(Parâmetros!$E$5),Parâmetros!$E$5,0))/(1-$H314-Parâmetros!$B$5-Parâmetros!$C$5-Parâmetros!$D$5)))</f>
        <v/>
      </c>
      <c r="J314" s="38"/>
      <c r="K314" s="39" t="str">
        <f aca="false">IF(OR($A314="",NOT(ISNUMBER($D314)),NOT(ISNUMBER($H314))),"",IF(AND(ISNUMBER($J314),$J314&gt;0),$J314,IF(ISNUMBER($I314),$I314,"")))</f>
        <v/>
      </c>
      <c r="L314" s="40" t="str">
        <f aca="false">IF(ISNUMBER($K314),$K314*$H314,"")</f>
        <v/>
      </c>
      <c r="M314" s="40" t="str">
        <f aca="false">IF(ISNUMBER($K314),$K314*Parâmetros!$B$5,"")</f>
        <v/>
      </c>
      <c r="N314" s="40" t="str">
        <f aca="false">IF(ISNUMBER($K314),$K314*Parâmetros!$C$5,"")</f>
        <v/>
      </c>
      <c r="O314" s="40" t="str">
        <f aca="false">IF(ISNUMBER($K314),IF(ISNUMBER(Parâmetros!$E$5),Parâmetros!$E$5,0),"")</f>
        <v/>
      </c>
      <c r="P314" s="41" t="str">
        <f aca="false">IF(ISNUMBER($K314),$K314-$D314-IF(ISNUMBER($E314),$E314,0)-$L314-$M314-$N314-$O314,"")</f>
        <v/>
      </c>
      <c r="Q314" s="42" t="str">
        <f aca="false">IF(AND(ISNUMBER($K314),$K314&gt;0),$P314/$K314,"")</f>
        <v/>
      </c>
      <c r="R314" s="43"/>
      <c r="S314" s="44" t="str">
        <f aca="false">IF(OR(NOT(ISNUMBER($R314)),$R314=0,NOT(ISNUMBER($K314))),"",$K314*(1-$R314))</f>
        <v/>
      </c>
      <c r="T314" s="45" t="str">
        <f aca="false">IF(ISNUMBER($S314),$S314*$H314,"")</f>
        <v/>
      </c>
      <c r="U314" s="45" t="str">
        <f aca="false">IF(ISNUMBER($S314),$S314*Parâmetros!$B$5,"")</f>
        <v/>
      </c>
      <c r="V314" s="45" t="str">
        <f aca="false">IF(ISNUMBER($S314),$S314*Parâmetros!$C$5,"")</f>
        <v/>
      </c>
      <c r="W314" s="44" t="str">
        <f aca="false">IF(ISNUMBER($S314),$S314-$D314-IF(ISNUMBER($E314),$E314,0)-$O314-$T314-$U314-$V314,"")</f>
        <v/>
      </c>
      <c r="X314" s="46" t="str">
        <f aca="false">IF(AND(ISNUMBER($S314),$S314&gt;0),$W314/$S314,"")</f>
        <v/>
      </c>
      <c r="Y314" s="47"/>
      <c r="Z314" s="19"/>
    </row>
    <row r="315" customFormat="false" ht="15.75" hidden="false" customHeight="true" outlineLevel="0" collapsed="false">
      <c r="A315" s="48" t="str">
        <f aca="false">IF(Produtos!$A315="","",Produtos!$A315)</f>
        <v/>
      </c>
      <c r="B315" s="48" t="str">
        <f aca="false">IF(Produtos!$A315="","",Produtos!$B315)</f>
        <v/>
      </c>
      <c r="C315" s="48" t="str">
        <f aca="false">IF(Produtos!$A315="","",Produtos!$C315)</f>
        <v/>
      </c>
      <c r="D315" s="33" t="str">
        <f aca="false">IF(Produtos!$A315="","",IF(Produtos!$D315="","",Produtos!$D315))</f>
        <v/>
      </c>
      <c r="E315" s="11"/>
      <c r="F315" s="34" t="str">
        <f aca="false">IF($A315="","",IF($C315="","⚠ categoria",IFERROR(INDEX(Parâmetros!$C$13:$C$22,MATCH($C315,Parâmetros!$A$13:$A$22,0)),"⚠ categoria")))</f>
        <v/>
      </c>
      <c r="G315" s="35"/>
      <c r="H315" s="36" t="str">
        <f aca="false">IF($A315="","",IF(ISNUMBER($G315),$G315,IF(ISNUMBER($F315),$F315,"")))</f>
        <v/>
      </c>
      <c r="I315" s="37" t="str">
        <f aca="false">IF(OR($A315="",NOT(ISNUMBER($D315)),NOT(ISNUMBER($H315))),"",IF((1-$H315-Parâmetros!$B$5-Parâmetros!$C$5-Parâmetros!$D$5)&lt;=0,"INVALIDO",($D315+IF(ISNUMBER($E315),$E315,0)+IF(ISNUMBER(Parâmetros!$E$5),Parâmetros!$E$5,0))/(1-$H315-Parâmetros!$B$5-Parâmetros!$C$5-Parâmetros!$D$5)))</f>
        <v/>
      </c>
      <c r="J315" s="38"/>
      <c r="K315" s="39" t="str">
        <f aca="false">IF(OR($A315="",NOT(ISNUMBER($D315)),NOT(ISNUMBER($H315))),"",IF(AND(ISNUMBER($J315),$J315&gt;0),$J315,IF(ISNUMBER($I315),$I315,"")))</f>
        <v/>
      </c>
      <c r="L315" s="40" t="str">
        <f aca="false">IF(ISNUMBER($K315),$K315*$H315,"")</f>
        <v/>
      </c>
      <c r="M315" s="40" t="str">
        <f aca="false">IF(ISNUMBER($K315),$K315*Parâmetros!$B$5,"")</f>
        <v/>
      </c>
      <c r="N315" s="40" t="str">
        <f aca="false">IF(ISNUMBER($K315),$K315*Parâmetros!$C$5,"")</f>
        <v/>
      </c>
      <c r="O315" s="40" t="str">
        <f aca="false">IF(ISNUMBER($K315),IF(ISNUMBER(Parâmetros!$E$5),Parâmetros!$E$5,0),"")</f>
        <v/>
      </c>
      <c r="P315" s="41" t="str">
        <f aca="false">IF(ISNUMBER($K315),$K315-$D315-IF(ISNUMBER($E315),$E315,0)-$L315-$M315-$N315-$O315,"")</f>
        <v/>
      </c>
      <c r="Q315" s="42" t="str">
        <f aca="false">IF(AND(ISNUMBER($K315),$K315&gt;0),$P315/$K315,"")</f>
        <v/>
      </c>
      <c r="R315" s="43"/>
      <c r="S315" s="44" t="str">
        <f aca="false">IF(OR(NOT(ISNUMBER($R315)),$R315=0,NOT(ISNUMBER($K315))),"",$K315*(1-$R315))</f>
        <v/>
      </c>
      <c r="T315" s="45" t="str">
        <f aca="false">IF(ISNUMBER($S315),$S315*$H315,"")</f>
        <v/>
      </c>
      <c r="U315" s="45" t="str">
        <f aca="false">IF(ISNUMBER($S315),$S315*Parâmetros!$B$5,"")</f>
        <v/>
      </c>
      <c r="V315" s="45" t="str">
        <f aca="false">IF(ISNUMBER($S315),$S315*Parâmetros!$C$5,"")</f>
        <v/>
      </c>
      <c r="W315" s="44" t="str">
        <f aca="false">IF(ISNUMBER($S315),$S315-$D315-IF(ISNUMBER($E315),$E315,0)-$O315-$T315-$U315-$V315,"")</f>
        <v/>
      </c>
      <c r="X315" s="46" t="str">
        <f aca="false">IF(AND(ISNUMBER($S315),$S315&gt;0),$W315/$S315,"")</f>
        <v/>
      </c>
      <c r="Y315" s="49"/>
      <c r="Z315" s="21"/>
    </row>
    <row r="316" customFormat="false" ht="15.75" hidden="false" customHeight="true" outlineLevel="0" collapsed="false">
      <c r="A316" s="32" t="str">
        <f aca="false">IF(Produtos!$A316="","",Produtos!$A316)</f>
        <v/>
      </c>
      <c r="B316" s="32" t="str">
        <f aca="false">IF(Produtos!$A316="","",Produtos!$B316)</f>
        <v/>
      </c>
      <c r="C316" s="32" t="str">
        <f aca="false">IF(Produtos!$A316="","",Produtos!$C316)</f>
        <v/>
      </c>
      <c r="D316" s="33" t="str">
        <f aca="false">IF(Produtos!$A316="","",IF(Produtos!$D316="","",Produtos!$D316))</f>
        <v/>
      </c>
      <c r="E316" s="11"/>
      <c r="F316" s="34" t="str">
        <f aca="false">IF($A316="","",IF($C316="","⚠ categoria",IFERROR(INDEX(Parâmetros!$C$13:$C$22,MATCH($C316,Parâmetros!$A$13:$A$22,0)),"⚠ categoria")))</f>
        <v/>
      </c>
      <c r="G316" s="35"/>
      <c r="H316" s="36" t="str">
        <f aca="false">IF($A316="","",IF(ISNUMBER($G316),$G316,IF(ISNUMBER($F316),$F316,"")))</f>
        <v/>
      </c>
      <c r="I316" s="37" t="str">
        <f aca="false">IF(OR($A316="",NOT(ISNUMBER($D316)),NOT(ISNUMBER($H316))),"",IF((1-$H316-Parâmetros!$B$5-Parâmetros!$C$5-Parâmetros!$D$5)&lt;=0,"INVALIDO",($D316+IF(ISNUMBER($E316),$E316,0)+IF(ISNUMBER(Parâmetros!$E$5),Parâmetros!$E$5,0))/(1-$H316-Parâmetros!$B$5-Parâmetros!$C$5-Parâmetros!$D$5)))</f>
        <v/>
      </c>
      <c r="J316" s="38"/>
      <c r="K316" s="39" t="str">
        <f aca="false">IF(OR($A316="",NOT(ISNUMBER($D316)),NOT(ISNUMBER($H316))),"",IF(AND(ISNUMBER($J316),$J316&gt;0),$J316,IF(ISNUMBER($I316),$I316,"")))</f>
        <v/>
      </c>
      <c r="L316" s="40" t="str">
        <f aca="false">IF(ISNUMBER($K316),$K316*$H316,"")</f>
        <v/>
      </c>
      <c r="M316" s="40" t="str">
        <f aca="false">IF(ISNUMBER($K316),$K316*Parâmetros!$B$5,"")</f>
        <v/>
      </c>
      <c r="N316" s="40" t="str">
        <f aca="false">IF(ISNUMBER($K316),$K316*Parâmetros!$C$5,"")</f>
        <v/>
      </c>
      <c r="O316" s="40" t="str">
        <f aca="false">IF(ISNUMBER($K316),IF(ISNUMBER(Parâmetros!$E$5),Parâmetros!$E$5,0),"")</f>
        <v/>
      </c>
      <c r="P316" s="41" t="str">
        <f aca="false">IF(ISNUMBER($K316),$K316-$D316-IF(ISNUMBER($E316),$E316,0)-$L316-$M316-$N316-$O316,"")</f>
        <v/>
      </c>
      <c r="Q316" s="42" t="str">
        <f aca="false">IF(AND(ISNUMBER($K316),$K316&gt;0),$P316/$K316,"")</f>
        <v/>
      </c>
      <c r="R316" s="43"/>
      <c r="S316" s="44" t="str">
        <f aca="false">IF(OR(NOT(ISNUMBER($R316)),$R316=0,NOT(ISNUMBER($K316))),"",$K316*(1-$R316))</f>
        <v/>
      </c>
      <c r="T316" s="45" t="str">
        <f aca="false">IF(ISNUMBER($S316),$S316*$H316,"")</f>
        <v/>
      </c>
      <c r="U316" s="45" t="str">
        <f aca="false">IF(ISNUMBER($S316),$S316*Parâmetros!$B$5,"")</f>
        <v/>
      </c>
      <c r="V316" s="45" t="str">
        <f aca="false">IF(ISNUMBER($S316),$S316*Parâmetros!$C$5,"")</f>
        <v/>
      </c>
      <c r="W316" s="44" t="str">
        <f aca="false">IF(ISNUMBER($S316),$S316-$D316-IF(ISNUMBER($E316),$E316,0)-$O316-$T316-$U316-$V316,"")</f>
        <v/>
      </c>
      <c r="X316" s="46" t="str">
        <f aca="false">IF(AND(ISNUMBER($S316),$S316&gt;0),$W316/$S316,"")</f>
        <v/>
      </c>
      <c r="Y316" s="47"/>
      <c r="Z316" s="19"/>
    </row>
    <row r="317" customFormat="false" ht="15.75" hidden="false" customHeight="true" outlineLevel="0" collapsed="false">
      <c r="A317" s="48" t="str">
        <f aca="false">IF(Produtos!$A317="","",Produtos!$A317)</f>
        <v/>
      </c>
      <c r="B317" s="48" t="str">
        <f aca="false">IF(Produtos!$A317="","",Produtos!$B317)</f>
        <v/>
      </c>
      <c r="C317" s="48" t="str">
        <f aca="false">IF(Produtos!$A317="","",Produtos!$C317)</f>
        <v/>
      </c>
      <c r="D317" s="33" t="str">
        <f aca="false">IF(Produtos!$A317="","",IF(Produtos!$D317="","",Produtos!$D317))</f>
        <v/>
      </c>
      <c r="E317" s="11"/>
      <c r="F317" s="34" t="str">
        <f aca="false">IF($A317="","",IF($C317="","⚠ categoria",IFERROR(INDEX(Parâmetros!$C$13:$C$22,MATCH($C317,Parâmetros!$A$13:$A$22,0)),"⚠ categoria")))</f>
        <v/>
      </c>
      <c r="G317" s="35"/>
      <c r="H317" s="36" t="str">
        <f aca="false">IF($A317="","",IF(ISNUMBER($G317),$G317,IF(ISNUMBER($F317),$F317,"")))</f>
        <v/>
      </c>
      <c r="I317" s="37" t="str">
        <f aca="false">IF(OR($A317="",NOT(ISNUMBER($D317)),NOT(ISNUMBER($H317))),"",IF((1-$H317-Parâmetros!$B$5-Parâmetros!$C$5-Parâmetros!$D$5)&lt;=0,"INVALIDO",($D317+IF(ISNUMBER($E317),$E317,0)+IF(ISNUMBER(Parâmetros!$E$5),Parâmetros!$E$5,0))/(1-$H317-Parâmetros!$B$5-Parâmetros!$C$5-Parâmetros!$D$5)))</f>
        <v/>
      </c>
      <c r="J317" s="38"/>
      <c r="K317" s="39" t="str">
        <f aca="false">IF(OR($A317="",NOT(ISNUMBER($D317)),NOT(ISNUMBER($H317))),"",IF(AND(ISNUMBER($J317),$J317&gt;0),$J317,IF(ISNUMBER($I317),$I317,"")))</f>
        <v/>
      </c>
      <c r="L317" s="40" t="str">
        <f aca="false">IF(ISNUMBER($K317),$K317*$H317,"")</f>
        <v/>
      </c>
      <c r="M317" s="40" t="str">
        <f aca="false">IF(ISNUMBER($K317),$K317*Parâmetros!$B$5,"")</f>
        <v/>
      </c>
      <c r="N317" s="40" t="str">
        <f aca="false">IF(ISNUMBER($K317),$K317*Parâmetros!$C$5,"")</f>
        <v/>
      </c>
      <c r="O317" s="40" t="str">
        <f aca="false">IF(ISNUMBER($K317),IF(ISNUMBER(Parâmetros!$E$5),Parâmetros!$E$5,0),"")</f>
        <v/>
      </c>
      <c r="P317" s="41" t="str">
        <f aca="false">IF(ISNUMBER($K317),$K317-$D317-IF(ISNUMBER($E317),$E317,0)-$L317-$M317-$N317-$O317,"")</f>
        <v/>
      </c>
      <c r="Q317" s="42" t="str">
        <f aca="false">IF(AND(ISNUMBER($K317),$K317&gt;0),$P317/$K317,"")</f>
        <v/>
      </c>
      <c r="R317" s="43"/>
      <c r="S317" s="44" t="str">
        <f aca="false">IF(OR(NOT(ISNUMBER($R317)),$R317=0,NOT(ISNUMBER($K317))),"",$K317*(1-$R317))</f>
        <v/>
      </c>
      <c r="T317" s="45" t="str">
        <f aca="false">IF(ISNUMBER($S317),$S317*$H317,"")</f>
        <v/>
      </c>
      <c r="U317" s="45" t="str">
        <f aca="false">IF(ISNUMBER($S317),$S317*Parâmetros!$B$5,"")</f>
        <v/>
      </c>
      <c r="V317" s="45" t="str">
        <f aca="false">IF(ISNUMBER($S317),$S317*Parâmetros!$C$5,"")</f>
        <v/>
      </c>
      <c r="W317" s="44" t="str">
        <f aca="false">IF(ISNUMBER($S317),$S317-$D317-IF(ISNUMBER($E317),$E317,0)-$O317-$T317-$U317-$V317,"")</f>
        <v/>
      </c>
      <c r="X317" s="46" t="str">
        <f aca="false">IF(AND(ISNUMBER($S317),$S317&gt;0),$W317/$S317,"")</f>
        <v/>
      </c>
      <c r="Y317" s="49"/>
      <c r="Z317" s="21"/>
    </row>
    <row r="318" customFormat="false" ht="15.75" hidden="false" customHeight="true" outlineLevel="0" collapsed="false">
      <c r="A318" s="32" t="str">
        <f aca="false">IF(Produtos!$A318="","",Produtos!$A318)</f>
        <v/>
      </c>
      <c r="B318" s="32" t="str">
        <f aca="false">IF(Produtos!$A318="","",Produtos!$B318)</f>
        <v/>
      </c>
      <c r="C318" s="32" t="str">
        <f aca="false">IF(Produtos!$A318="","",Produtos!$C318)</f>
        <v/>
      </c>
      <c r="D318" s="33" t="str">
        <f aca="false">IF(Produtos!$A318="","",IF(Produtos!$D318="","",Produtos!$D318))</f>
        <v/>
      </c>
      <c r="E318" s="11"/>
      <c r="F318" s="34" t="str">
        <f aca="false">IF($A318="","",IF($C318="","⚠ categoria",IFERROR(INDEX(Parâmetros!$C$13:$C$22,MATCH($C318,Parâmetros!$A$13:$A$22,0)),"⚠ categoria")))</f>
        <v/>
      </c>
      <c r="G318" s="35"/>
      <c r="H318" s="36" t="str">
        <f aca="false">IF($A318="","",IF(ISNUMBER($G318),$G318,IF(ISNUMBER($F318),$F318,"")))</f>
        <v/>
      </c>
      <c r="I318" s="37" t="str">
        <f aca="false">IF(OR($A318="",NOT(ISNUMBER($D318)),NOT(ISNUMBER($H318))),"",IF((1-$H318-Parâmetros!$B$5-Parâmetros!$C$5-Parâmetros!$D$5)&lt;=0,"INVALIDO",($D318+IF(ISNUMBER($E318),$E318,0)+IF(ISNUMBER(Parâmetros!$E$5),Parâmetros!$E$5,0))/(1-$H318-Parâmetros!$B$5-Parâmetros!$C$5-Parâmetros!$D$5)))</f>
        <v/>
      </c>
      <c r="J318" s="38"/>
      <c r="K318" s="39" t="str">
        <f aca="false">IF(OR($A318="",NOT(ISNUMBER($D318)),NOT(ISNUMBER($H318))),"",IF(AND(ISNUMBER($J318),$J318&gt;0),$J318,IF(ISNUMBER($I318),$I318,"")))</f>
        <v/>
      </c>
      <c r="L318" s="40" t="str">
        <f aca="false">IF(ISNUMBER($K318),$K318*$H318,"")</f>
        <v/>
      </c>
      <c r="M318" s="40" t="str">
        <f aca="false">IF(ISNUMBER($K318),$K318*Parâmetros!$B$5,"")</f>
        <v/>
      </c>
      <c r="N318" s="40" t="str">
        <f aca="false">IF(ISNUMBER($K318),$K318*Parâmetros!$C$5,"")</f>
        <v/>
      </c>
      <c r="O318" s="40" t="str">
        <f aca="false">IF(ISNUMBER($K318),IF(ISNUMBER(Parâmetros!$E$5),Parâmetros!$E$5,0),"")</f>
        <v/>
      </c>
      <c r="P318" s="41" t="str">
        <f aca="false">IF(ISNUMBER($K318),$K318-$D318-IF(ISNUMBER($E318),$E318,0)-$L318-$M318-$N318-$O318,"")</f>
        <v/>
      </c>
      <c r="Q318" s="42" t="str">
        <f aca="false">IF(AND(ISNUMBER($K318),$K318&gt;0),$P318/$K318,"")</f>
        <v/>
      </c>
      <c r="R318" s="43"/>
      <c r="S318" s="44" t="str">
        <f aca="false">IF(OR(NOT(ISNUMBER($R318)),$R318=0,NOT(ISNUMBER($K318))),"",$K318*(1-$R318))</f>
        <v/>
      </c>
      <c r="T318" s="45" t="str">
        <f aca="false">IF(ISNUMBER($S318),$S318*$H318,"")</f>
        <v/>
      </c>
      <c r="U318" s="45" t="str">
        <f aca="false">IF(ISNUMBER($S318),$S318*Parâmetros!$B$5,"")</f>
        <v/>
      </c>
      <c r="V318" s="45" t="str">
        <f aca="false">IF(ISNUMBER($S318),$S318*Parâmetros!$C$5,"")</f>
        <v/>
      </c>
      <c r="W318" s="44" t="str">
        <f aca="false">IF(ISNUMBER($S318),$S318-$D318-IF(ISNUMBER($E318),$E318,0)-$O318-$T318-$U318-$V318,"")</f>
        <v/>
      </c>
      <c r="X318" s="46" t="str">
        <f aca="false">IF(AND(ISNUMBER($S318),$S318&gt;0),$W318/$S318,"")</f>
        <v/>
      </c>
      <c r="Y318" s="47"/>
      <c r="Z318" s="19"/>
    </row>
    <row r="319" customFormat="false" ht="15.75" hidden="false" customHeight="true" outlineLevel="0" collapsed="false">
      <c r="A319" s="48" t="str">
        <f aca="false">IF(Produtos!$A319="","",Produtos!$A319)</f>
        <v/>
      </c>
      <c r="B319" s="48" t="str">
        <f aca="false">IF(Produtos!$A319="","",Produtos!$B319)</f>
        <v/>
      </c>
      <c r="C319" s="48" t="str">
        <f aca="false">IF(Produtos!$A319="","",Produtos!$C319)</f>
        <v/>
      </c>
      <c r="D319" s="33" t="str">
        <f aca="false">IF(Produtos!$A319="","",IF(Produtos!$D319="","",Produtos!$D319))</f>
        <v/>
      </c>
      <c r="E319" s="11"/>
      <c r="F319" s="34" t="str">
        <f aca="false">IF($A319="","",IF($C319="","⚠ categoria",IFERROR(INDEX(Parâmetros!$C$13:$C$22,MATCH($C319,Parâmetros!$A$13:$A$22,0)),"⚠ categoria")))</f>
        <v/>
      </c>
      <c r="G319" s="35"/>
      <c r="H319" s="36" t="str">
        <f aca="false">IF($A319="","",IF(ISNUMBER($G319),$G319,IF(ISNUMBER($F319),$F319,"")))</f>
        <v/>
      </c>
      <c r="I319" s="37" t="str">
        <f aca="false">IF(OR($A319="",NOT(ISNUMBER($D319)),NOT(ISNUMBER($H319))),"",IF((1-$H319-Parâmetros!$B$5-Parâmetros!$C$5-Parâmetros!$D$5)&lt;=0,"INVALIDO",($D319+IF(ISNUMBER($E319),$E319,0)+IF(ISNUMBER(Parâmetros!$E$5),Parâmetros!$E$5,0))/(1-$H319-Parâmetros!$B$5-Parâmetros!$C$5-Parâmetros!$D$5)))</f>
        <v/>
      </c>
      <c r="J319" s="38"/>
      <c r="K319" s="39" t="str">
        <f aca="false">IF(OR($A319="",NOT(ISNUMBER($D319)),NOT(ISNUMBER($H319))),"",IF(AND(ISNUMBER($J319),$J319&gt;0),$J319,IF(ISNUMBER($I319),$I319,"")))</f>
        <v/>
      </c>
      <c r="L319" s="40" t="str">
        <f aca="false">IF(ISNUMBER($K319),$K319*$H319,"")</f>
        <v/>
      </c>
      <c r="M319" s="40" t="str">
        <f aca="false">IF(ISNUMBER($K319),$K319*Parâmetros!$B$5,"")</f>
        <v/>
      </c>
      <c r="N319" s="40" t="str">
        <f aca="false">IF(ISNUMBER($K319),$K319*Parâmetros!$C$5,"")</f>
        <v/>
      </c>
      <c r="O319" s="40" t="str">
        <f aca="false">IF(ISNUMBER($K319),IF(ISNUMBER(Parâmetros!$E$5),Parâmetros!$E$5,0),"")</f>
        <v/>
      </c>
      <c r="P319" s="41" t="str">
        <f aca="false">IF(ISNUMBER($K319),$K319-$D319-IF(ISNUMBER($E319),$E319,0)-$L319-$M319-$N319-$O319,"")</f>
        <v/>
      </c>
      <c r="Q319" s="42" t="str">
        <f aca="false">IF(AND(ISNUMBER($K319),$K319&gt;0),$P319/$K319,"")</f>
        <v/>
      </c>
      <c r="R319" s="43"/>
      <c r="S319" s="44" t="str">
        <f aca="false">IF(OR(NOT(ISNUMBER($R319)),$R319=0,NOT(ISNUMBER($K319))),"",$K319*(1-$R319))</f>
        <v/>
      </c>
      <c r="T319" s="45" t="str">
        <f aca="false">IF(ISNUMBER($S319),$S319*$H319,"")</f>
        <v/>
      </c>
      <c r="U319" s="45" t="str">
        <f aca="false">IF(ISNUMBER($S319),$S319*Parâmetros!$B$5,"")</f>
        <v/>
      </c>
      <c r="V319" s="45" t="str">
        <f aca="false">IF(ISNUMBER($S319),$S319*Parâmetros!$C$5,"")</f>
        <v/>
      </c>
      <c r="W319" s="44" t="str">
        <f aca="false">IF(ISNUMBER($S319),$S319-$D319-IF(ISNUMBER($E319),$E319,0)-$O319-$T319-$U319-$V319,"")</f>
        <v/>
      </c>
      <c r="X319" s="46" t="str">
        <f aca="false">IF(AND(ISNUMBER($S319),$S319&gt;0),$W319/$S319,"")</f>
        <v/>
      </c>
      <c r="Y319" s="49"/>
      <c r="Z319" s="21"/>
    </row>
    <row r="320" customFormat="false" ht="15.75" hidden="false" customHeight="true" outlineLevel="0" collapsed="false">
      <c r="A320" s="32" t="str">
        <f aca="false">IF(Produtos!$A320="","",Produtos!$A320)</f>
        <v/>
      </c>
      <c r="B320" s="32" t="str">
        <f aca="false">IF(Produtos!$A320="","",Produtos!$B320)</f>
        <v/>
      </c>
      <c r="C320" s="32" t="str">
        <f aca="false">IF(Produtos!$A320="","",Produtos!$C320)</f>
        <v/>
      </c>
      <c r="D320" s="33" t="str">
        <f aca="false">IF(Produtos!$A320="","",IF(Produtos!$D320="","",Produtos!$D320))</f>
        <v/>
      </c>
      <c r="E320" s="11"/>
      <c r="F320" s="34" t="str">
        <f aca="false">IF($A320="","",IF($C320="","⚠ categoria",IFERROR(INDEX(Parâmetros!$C$13:$C$22,MATCH($C320,Parâmetros!$A$13:$A$22,0)),"⚠ categoria")))</f>
        <v/>
      </c>
      <c r="G320" s="35"/>
      <c r="H320" s="36" t="str">
        <f aca="false">IF($A320="","",IF(ISNUMBER($G320),$G320,IF(ISNUMBER($F320),$F320,"")))</f>
        <v/>
      </c>
      <c r="I320" s="37" t="str">
        <f aca="false">IF(OR($A320="",NOT(ISNUMBER($D320)),NOT(ISNUMBER($H320))),"",IF((1-$H320-Parâmetros!$B$5-Parâmetros!$C$5-Parâmetros!$D$5)&lt;=0,"INVALIDO",($D320+IF(ISNUMBER($E320),$E320,0)+IF(ISNUMBER(Parâmetros!$E$5),Parâmetros!$E$5,0))/(1-$H320-Parâmetros!$B$5-Parâmetros!$C$5-Parâmetros!$D$5)))</f>
        <v/>
      </c>
      <c r="J320" s="38"/>
      <c r="K320" s="39" t="str">
        <f aca="false">IF(OR($A320="",NOT(ISNUMBER($D320)),NOT(ISNUMBER($H320))),"",IF(AND(ISNUMBER($J320),$J320&gt;0),$J320,IF(ISNUMBER($I320),$I320,"")))</f>
        <v/>
      </c>
      <c r="L320" s="40" t="str">
        <f aca="false">IF(ISNUMBER($K320),$K320*$H320,"")</f>
        <v/>
      </c>
      <c r="M320" s="40" t="str">
        <f aca="false">IF(ISNUMBER($K320),$K320*Parâmetros!$B$5,"")</f>
        <v/>
      </c>
      <c r="N320" s="40" t="str">
        <f aca="false">IF(ISNUMBER($K320),$K320*Parâmetros!$C$5,"")</f>
        <v/>
      </c>
      <c r="O320" s="40" t="str">
        <f aca="false">IF(ISNUMBER($K320),IF(ISNUMBER(Parâmetros!$E$5),Parâmetros!$E$5,0),"")</f>
        <v/>
      </c>
      <c r="P320" s="41" t="str">
        <f aca="false">IF(ISNUMBER($K320),$K320-$D320-IF(ISNUMBER($E320),$E320,0)-$L320-$M320-$N320-$O320,"")</f>
        <v/>
      </c>
      <c r="Q320" s="42" t="str">
        <f aca="false">IF(AND(ISNUMBER($K320),$K320&gt;0),$P320/$K320,"")</f>
        <v/>
      </c>
      <c r="R320" s="43"/>
      <c r="S320" s="44" t="str">
        <f aca="false">IF(OR(NOT(ISNUMBER($R320)),$R320=0,NOT(ISNUMBER($K320))),"",$K320*(1-$R320))</f>
        <v/>
      </c>
      <c r="T320" s="45" t="str">
        <f aca="false">IF(ISNUMBER($S320),$S320*$H320,"")</f>
        <v/>
      </c>
      <c r="U320" s="45" t="str">
        <f aca="false">IF(ISNUMBER($S320),$S320*Parâmetros!$B$5,"")</f>
        <v/>
      </c>
      <c r="V320" s="45" t="str">
        <f aca="false">IF(ISNUMBER($S320),$S320*Parâmetros!$C$5,"")</f>
        <v/>
      </c>
      <c r="W320" s="44" t="str">
        <f aca="false">IF(ISNUMBER($S320),$S320-$D320-IF(ISNUMBER($E320),$E320,0)-$O320-$T320-$U320-$V320,"")</f>
        <v/>
      </c>
      <c r="X320" s="46" t="str">
        <f aca="false">IF(AND(ISNUMBER($S320),$S320&gt;0),$W320/$S320,"")</f>
        <v/>
      </c>
      <c r="Y320" s="47"/>
      <c r="Z320" s="19"/>
    </row>
    <row r="321" customFormat="false" ht="15.75" hidden="false" customHeight="true" outlineLevel="0" collapsed="false">
      <c r="A321" s="48" t="str">
        <f aca="false">IF(Produtos!$A321="","",Produtos!$A321)</f>
        <v/>
      </c>
      <c r="B321" s="48" t="str">
        <f aca="false">IF(Produtos!$A321="","",Produtos!$B321)</f>
        <v/>
      </c>
      <c r="C321" s="48" t="str">
        <f aca="false">IF(Produtos!$A321="","",Produtos!$C321)</f>
        <v/>
      </c>
      <c r="D321" s="33" t="str">
        <f aca="false">IF(Produtos!$A321="","",IF(Produtos!$D321="","",Produtos!$D321))</f>
        <v/>
      </c>
      <c r="E321" s="11"/>
      <c r="F321" s="34" t="str">
        <f aca="false">IF($A321="","",IF($C321="","⚠ categoria",IFERROR(INDEX(Parâmetros!$C$13:$C$22,MATCH($C321,Parâmetros!$A$13:$A$22,0)),"⚠ categoria")))</f>
        <v/>
      </c>
      <c r="G321" s="35"/>
      <c r="H321" s="36" t="str">
        <f aca="false">IF($A321="","",IF(ISNUMBER($G321),$G321,IF(ISNUMBER($F321),$F321,"")))</f>
        <v/>
      </c>
      <c r="I321" s="37" t="str">
        <f aca="false">IF(OR($A321="",NOT(ISNUMBER($D321)),NOT(ISNUMBER($H321))),"",IF((1-$H321-Parâmetros!$B$5-Parâmetros!$C$5-Parâmetros!$D$5)&lt;=0,"INVALIDO",($D321+IF(ISNUMBER($E321),$E321,0)+IF(ISNUMBER(Parâmetros!$E$5),Parâmetros!$E$5,0))/(1-$H321-Parâmetros!$B$5-Parâmetros!$C$5-Parâmetros!$D$5)))</f>
        <v/>
      </c>
      <c r="J321" s="38"/>
      <c r="K321" s="39" t="str">
        <f aca="false">IF(OR($A321="",NOT(ISNUMBER($D321)),NOT(ISNUMBER($H321))),"",IF(AND(ISNUMBER($J321),$J321&gt;0),$J321,IF(ISNUMBER($I321),$I321,"")))</f>
        <v/>
      </c>
      <c r="L321" s="40" t="str">
        <f aca="false">IF(ISNUMBER($K321),$K321*$H321,"")</f>
        <v/>
      </c>
      <c r="M321" s="40" t="str">
        <f aca="false">IF(ISNUMBER($K321),$K321*Parâmetros!$B$5,"")</f>
        <v/>
      </c>
      <c r="N321" s="40" t="str">
        <f aca="false">IF(ISNUMBER($K321),$K321*Parâmetros!$C$5,"")</f>
        <v/>
      </c>
      <c r="O321" s="40" t="str">
        <f aca="false">IF(ISNUMBER($K321),IF(ISNUMBER(Parâmetros!$E$5),Parâmetros!$E$5,0),"")</f>
        <v/>
      </c>
      <c r="P321" s="41" t="str">
        <f aca="false">IF(ISNUMBER($K321),$K321-$D321-IF(ISNUMBER($E321),$E321,0)-$L321-$M321-$N321-$O321,"")</f>
        <v/>
      </c>
      <c r="Q321" s="42" t="str">
        <f aca="false">IF(AND(ISNUMBER($K321),$K321&gt;0),$P321/$K321,"")</f>
        <v/>
      </c>
      <c r="R321" s="43"/>
      <c r="S321" s="44" t="str">
        <f aca="false">IF(OR(NOT(ISNUMBER($R321)),$R321=0,NOT(ISNUMBER($K321))),"",$K321*(1-$R321))</f>
        <v/>
      </c>
      <c r="T321" s="45" t="str">
        <f aca="false">IF(ISNUMBER($S321),$S321*$H321,"")</f>
        <v/>
      </c>
      <c r="U321" s="45" t="str">
        <f aca="false">IF(ISNUMBER($S321),$S321*Parâmetros!$B$5,"")</f>
        <v/>
      </c>
      <c r="V321" s="45" t="str">
        <f aca="false">IF(ISNUMBER($S321),$S321*Parâmetros!$C$5,"")</f>
        <v/>
      </c>
      <c r="W321" s="44" t="str">
        <f aca="false">IF(ISNUMBER($S321),$S321-$D321-IF(ISNUMBER($E321),$E321,0)-$O321-$T321-$U321-$V321,"")</f>
        <v/>
      </c>
      <c r="X321" s="46" t="str">
        <f aca="false">IF(AND(ISNUMBER($S321),$S321&gt;0),$W321/$S321,"")</f>
        <v/>
      </c>
      <c r="Y321" s="49"/>
      <c r="Z321" s="21"/>
    </row>
    <row r="322" customFormat="false" ht="15.75" hidden="false" customHeight="true" outlineLevel="0" collapsed="false">
      <c r="A322" s="32" t="str">
        <f aca="false">IF(Produtos!$A322="","",Produtos!$A322)</f>
        <v/>
      </c>
      <c r="B322" s="32" t="str">
        <f aca="false">IF(Produtos!$A322="","",Produtos!$B322)</f>
        <v/>
      </c>
      <c r="C322" s="32" t="str">
        <f aca="false">IF(Produtos!$A322="","",Produtos!$C322)</f>
        <v/>
      </c>
      <c r="D322" s="33" t="str">
        <f aca="false">IF(Produtos!$A322="","",IF(Produtos!$D322="","",Produtos!$D322))</f>
        <v/>
      </c>
      <c r="E322" s="11"/>
      <c r="F322" s="34" t="str">
        <f aca="false">IF($A322="","",IF($C322="","⚠ categoria",IFERROR(INDEX(Parâmetros!$C$13:$C$22,MATCH($C322,Parâmetros!$A$13:$A$22,0)),"⚠ categoria")))</f>
        <v/>
      </c>
      <c r="G322" s="35"/>
      <c r="H322" s="36" t="str">
        <f aca="false">IF($A322="","",IF(ISNUMBER($G322),$G322,IF(ISNUMBER($F322),$F322,"")))</f>
        <v/>
      </c>
      <c r="I322" s="37" t="str">
        <f aca="false">IF(OR($A322="",NOT(ISNUMBER($D322)),NOT(ISNUMBER($H322))),"",IF((1-$H322-Parâmetros!$B$5-Parâmetros!$C$5-Parâmetros!$D$5)&lt;=0,"INVALIDO",($D322+IF(ISNUMBER($E322),$E322,0)+IF(ISNUMBER(Parâmetros!$E$5),Parâmetros!$E$5,0))/(1-$H322-Parâmetros!$B$5-Parâmetros!$C$5-Parâmetros!$D$5)))</f>
        <v/>
      </c>
      <c r="J322" s="38"/>
      <c r="K322" s="39" t="str">
        <f aca="false">IF(OR($A322="",NOT(ISNUMBER($D322)),NOT(ISNUMBER($H322))),"",IF(AND(ISNUMBER($J322),$J322&gt;0),$J322,IF(ISNUMBER($I322),$I322,"")))</f>
        <v/>
      </c>
      <c r="L322" s="40" t="str">
        <f aca="false">IF(ISNUMBER($K322),$K322*$H322,"")</f>
        <v/>
      </c>
      <c r="M322" s="40" t="str">
        <f aca="false">IF(ISNUMBER($K322),$K322*Parâmetros!$B$5,"")</f>
        <v/>
      </c>
      <c r="N322" s="40" t="str">
        <f aca="false">IF(ISNUMBER($K322),$K322*Parâmetros!$C$5,"")</f>
        <v/>
      </c>
      <c r="O322" s="40" t="str">
        <f aca="false">IF(ISNUMBER($K322),IF(ISNUMBER(Parâmetros!$E$5),Parâmetros!$E$5,0),"")</f>
        <v/>
      </c>
      <c r="P322" s="41" t="str">
        <f aca="false">IF(ISNUMBER($K322),$K322-$D322-IF(ISNUMBER($E322),$E322,0)-$L322-$M322-$N322-$O322,"")</f>
        <v/>
      </c>
      <c r="Q322" s="42" t="str">
        <f aca="false">IF(AND(ISNUMBER($K322),$K322&gt;0),$P322/$K322,"")</f>
        <v/>
      </c>
      <c r="R322" s="43"/>
      <c r="S322" s="44" t="str">
        <f aca="false">IF(OR(NOT(ISNUMBER($R322)),$R322=0,NOT(ISNUMBER($K322))),"",$K322*(1-$R322))</f>
        <v/>
      </c>
      <c r="T322" s="45" t="str">
        <f aca="false">IF(ISNUMBER($S322),$S322*$H322,"")</f>
        <v/>
      </c>
      <c r="U322" s="45" t="str">
        <f aca="false">IF(ISNUMBER($S322),$S322*Parâmetros!$B$5,"")</f>
        <v/>
      </c>
      <c r="V322" s="45" t="str">
        <f aca="false">IF(ISNUMBER($S322),$S322*Parâmetros!$C$5,"")</f>
        <v/>
      </c>
      <c r="W322" s="44" t="str">
        <f aca="false">IF(ISNUMBER($S322),$S322-$D322-IF(ISNUMBER($E322),$E322,0)-$O322-$T322-$U322-$V322,"")</f>
        <v/>
      </c>
      <c r="X322" s="46" t="str">
        <f aca="false">IF(AND(ISNUMBER($S322),$S322&gt;0),$W322/$S322,"")</f>
        <v/>
      </c>
      <c r="Y322" s="47"/>
      <c r="Z322" s="19"/>
    </row>
    <row r="323" customFormat="false" ht="15.75" hidden="false" customHeight="true" outlineLevel="0" collapsed="false">
      <c r="A323" s="48" t="str">
        <f aca="false">IF(Produtos!$A323="","",Produtos!$A323)</f>
        <v/>
      </c>
      <c r="B323" s="48" t="str">
        <f aca="false">IF(Produtos!$A323="","",Produtos!$B323)</f>
        <v/>
      </c>
      <c r="C323" s="48" t="str">
        <f aca="false">IF(Produtos!$A323="","",Produtos!$C323)</f>
        <v/>
      </c>
      <c r="D323" s="33" t="str">
        <f aca="false">IF(Produtos!$A323="","",IF(Produtos!$D323="","",Produtos!$D323))</f>
        <v/>
      </c>
      <c r="E323" s="11"/>
      <c r="F323" s="34" t="str">
        <f aca="false">IF($A323="","",IF($C323="","⚠ categoria",IFERROR(INDEX(Parâmetros!$C$13:$C$22,MATCH($C323,Parâmetros!$A$13:$A$22,0)),"⚠ categoria")))</f>
        <v/>
      </c>
      <c r="G323" s="35"/>
      <c r="H323" s="36" t="str">
        <f aca="false">IF($A323="","",IF(ISNUMBER($G323),$G323,IF(ISNUMBER($F323),$F323,"")))</f>
        <v/>
      </c>
      <c r="I323" s="37" t="str">
        <f aca="false">IF(OR($A323="",NOT(ISNUMBER($D323)),NOT(ISNUMBER($H323))),"",IF((1-$H323-Parâmetros!$B$5-Parâmetros!$C$5-Parâmetros!$D$5)&lt;=0,"INVALIDO",($D323+IF(ISNUMBER($E323),$E323,0)+IF(ISNUMBER(Parâmetros!$E$5),Parâmetros!$E$5,0))/(1-$H323-Parâmetros!$B$5-Parâmetros!$C$5-Parâmetros!$D$5)))</f>
        <v/>
      </c>
      <c r="J323" s="38"/>
      <c r="K323" s="39" t="str">
        <f aca="false">IF(OR($A323="",NOT(ISNUMBER($D323)),NOT(ISNUMBER($H323))),"",IF(AND(ISNUMBER($J323),$J323&gt;0),$J323,IF(ISNUMBER($I323),$I323,"")))</f>
        <v/>
      </c>
      <c r="L323" s="40" t="str">
        <f aca="false">IF(ISNUMBER($K323),$K323*$H323,"")</f>
        <v/>
      </c>
      <c r="M323" s="40" t="str">
        <f aca="false">IF(ISNUMBER($K323),$K323*Parâmetros!$B$5,"")</f>
        <v/>
      </c>
      <c r="N323" s="40" t="str">
        <f aca="false">IF(ISNUMBER($K323),$K323*Parâmetros!$C$5,"")</f>
        <v/>
      </c>
      <c r="O323" s="40" t="str">
        <f aca="false">IF(ISNUMBER($K323),IF(ISNUMBER(Parâmetros!$E$5),Parâmetros!$E$5,0),"")</f>
        <v/>
      </c>
      <c r="P323" s="41" t="str">
        <f aca="false">IF(ISNUMBER($K323),$K323-$D323-IF(ISNUMBER($E323),$E323,0)-$L323-$M323-$N323-$O323,"")</f>
        <v/>
      </c>
      <c r="Q323" s="42" t="str">
        <f aca="false">IF(AND(ISNUMBER($K323),$K323&gt;0),$P323/$K323,"")</f>
        <v/>
      </c>
      <c r="R323" s="43"/>
      <c r="S323" s="44" t="str">
        <f aca="false">IF(OR(NOT(ISNUMBER($R323)),$R323=0,NOT(ISNUMBER($K323))),"",$K323*(1-$R323))</f>
        <v/>
      </c>
      <c r="T323" s="45" t="str">
        <f aca="false">IF(ISNUMBER($S323),$S323*$H323,"")</f>
        <v/>
      </c>
      <c r="U323" s="45" t="str">
        <f aca="false">IF(ISNUMBER($S323),$S323*Parâmetros!$B$5,"")</f>
        <v/>
      </c>
      <c r="V323" s="45" t="str">
        <f aca="false">IF(ISNUMBER($S323),$S323*Parâmetros!$C$5,"")</f>
        <v/>
      </c>
      <c r="W323" s="44" t="str">
        <f aca="false">IF(ISNUMBER($S323),$S323-$D323-IF(ISNUMBER($E323),$E323,0)-$O323-$T323-$U323-$V323,"")</f>
        <v/>
      </c>
      <c r="X323" s="46" t="str">
        <f aca="false">IF(AND(ISNUMBER($S323),$S323&gt;0),$W323/$S323,"")</f>
        <v/>
      </c>
      <c r="Y323" s="49"/>
      <c r="Z323" s="21"/>
    </row>
    <row r="324" customFormat="false" ht="15.75" hidden="false" customHeight="true" outlineLevel="0" collapsed="false">
      <c r="A324" s="32" t="str">
        <f aca="false">IF(Produtos!$A324="","",Produtos!$A324)</f>
        <v/>
      </c>
      <c r="B324" s="32" t="str">
        <f aca="false">IF(Produtos!$A324="","",Produtos!$B324)</f>
        <v/>
      </c>
      <c r="C324" s="32" t="str">
        <f aca="false">IF(Produtos!$A324="","",Produtos!$C324)</f>
        <v/>
      </c>
      <c r="D324" s="33" t="str">
        <f aca="false">IF(Produtos!$A324="","",IF(Produtos!$D324="","",Produtos!$D324))</f>
        <v/>
      </c>
      <c r="E324" s="11"/>
      <c r="F324" s="34" t="str">
        <f aca="false">IF($A324="","",IF($C324="","⚠ categoria",IFERROR(INDEX(Parâmetros!$C$13:$C$22,MATCH($C324,Parâmetros!$A$13:$A$22,0)),"⚠ categoria")))</f>
        <v/>
      </c>
      <c r="G324" s="35"/>
      <c r="H324" s="36" t="str">
        <f aca="false">IF($A324="","",IF(ISNUMBER($G324),$G324,IF(ISNUMBER($F324),$F324,"")))</f>
        <v/>
      </c>
      <c r="I324" s="37" t="str">
        <f aca="false">IF(OR($A324="",NOT(ISNUMBER($D324)),NOT(ISNUMBER($H324))),"",IF((1-$H324-Parâmetros!$B$5-Parâmetros!$C$5-Parâmetros!$D$5)&lt;=0,"INVALIDO",($D324+IF(ISNUMBER($E324),$E324,0)+IF(ISNUMBER(Parâmetros!$E$5),Parâmetros!$E$5,0))/(1-$H324-Parâmetros!$B$5-Parâmetros!$C$5-Parâmetros!$D$5)))</f>
        <v/>
      </c>
      <c r="J324" s="38"/>
      <c r="K324" s="39" t="str">
        <f aca="false">IF(OR($A324="",NOT(ISNUMBER($D324)),NOT(ISNUMBER($H324))),"",IF(AND(ISNUMBER($J324),$J324&gt;0),$J324,IF(ISNUMBER($I324),$I324,"")))</f>
        <v/>
      </c>
      <c r="L324" s="40" t="str">
        <f aca="false">IF(ISNUMBER($K324),$K324*$H324,"")</f>
        <v/>
      </c>
      <c r="M324" s="40" t="str">
        <f aca="false">IF(ISNUMBER($K324),$K324*Parâmetros!$B$5,"")</f>
        <v/>
      </c>
      <c r="N324" s="40" t="str">
        <f aca="false">IF(ISNUMBER($K324),$K324*Parâmetros!$C$5,"")</f>
        <v/>
      </c>
      <c r="O324" s="40" t="str">
        <f aca="false">IF(ISNUMBER($K324),IF(ISNUMBER(Parâmetros!$E$5),Parâmetros!$E$5,0),"")</f>
        <v/>
      </c>
      <c r="P324" s="41" t="str">
        <f aca="false">IF(ISNUMBER($K324),$K324-$D324-IF(ISNUMBER($E324),$E324,0)-$L324-$M324-$N324-$O324,"")</f>
        <v/>
      </c>
      <c r="Q324" s="42" t="str">
        <f aca="false">IF(AND(ISNUMBER($K324),$K324&gt;0),$P324/$K324,"")</f>
        <v/>
      </c>
      <c r="R324" s="43"/>
      <c r="S324" s="44" t="str">
        <f aca="false">IF(OR(NOT(ISNUMBER($R324)),$R324=0,NOT(ISNUMBER($K324))),"",$K324*(1-$R324))</f>
        <v/>
      </c>
      <c r="T324" s="45" t="str">
        <f aca="false">IF(ISNUMBER($S324),$S324*$H324,"")</f>
        <v/>
      </c>
      <c r="U324" s="45" t="str">
        <f aca="false">IF(ISNUMBER($S324),$S324*Parâmetros!$B$5,"")</f>
        <v/>
      </c>
      <c r="V324" s="45" t="str">
        <f aca="false">IF(ISNUMBER($S324),$S324*Parâmetros!$C$5,"")</f>
        <v/>
      </c>
      <c r="W324" s="44" t="str">
        <f aca="false">IF(ISNUMBER($S324),$S324-$D324-IF(ISNUMBER($E324),$E324,0)-$O324-$T324-$U324-$V324,"")</f>
        <v/>
      </c>
      <c r="X324" s="46" t="str">
        <f aca="false">IF(AND(ISNUMBER($S324),$S324&gt;0),$W324/$S324,"")</f>
        <v/>
      </c>
      <c r="Y324" s="47"/>
      <c r="Z324" s="19"/>
    </row>
    <row r="325" customFormat="false" ht="15.75" hidden="false" customHeight="true" outlineLevel="0" collapsed="false">
      <c r="A325" s="48" t="str">
        <f aca="false">IF(Produtos!$A325="","",Produtos!$A325)</f>
        <v/>
      </c>
      <c r="B325" s="48" t="str">
        <f aca="false">IF(Produtos!$A325="","",Produtos!$B325)</f>
        <v/>
      </c>
      <c r="C325" s="48" t="str">
        <f aca="false">IF(Produtos!$A325="","",Produtos!$C325)</f>
        <v/>
      </c>
      <c r="D325" s="33" t="str">
        <f aca="false">IF(Produtos!$A325="","",IF(Produtos!$D325="","",Produtos!$D325))</f>
        <v/>
      </c>
      <c r="E325" s="11"/>
      <c r="F325" s="34" t="str">
        <f aca="false">IF($A325="","",IF($C325="","⚠ categoria",IFERROR(INDEX(Parâmetros!$C$13:$C$22,MATCH($C325,Parâmetros!$A$13:$A$22,0)),"⚠ categoria")))</f>
        <v/>
      </c>
      <c r="G325" s="35"/>
      <c r="H325" s="36" t="str">
        <f aca="false">IF($A325="","",IF(ISNUMBER($G325),$G325,IF(ISNUMBER($F325),$F325,"")))</f>
        <v/>
      </c>
      <c r="I325" s="37" t="str">
        <f aca="false">IF(OR($A325="",NOT(ISNUMBER($D325)),NOT(ISNUMBER($H325))),"",IF((1-$H325-Parâmetros!$B$5-Parâmetros!$C$5-Parâmetros!$D$5)&lt;=0,"INVALIDO",($D325+IF(ISNUMBER($E325),$E325,0)+IF(ISNUMBER(Parâmetros!$E$5),Parâmetros!$E$5,0))/(1-$H325-Parâmetros!$B$5-Parâmetros!$C$5-Parâmetros!$D$5)))</f>
        <v/>
      </c>
      <c r="J325" s="38"/>
      <c r="K325" s="39" t="str">
        <f aca="false">IF(OR($A325="",NOT(ISNUMBER($D325)),NOT(ISNUMBER($H325))),"",IF(AND(ISNUMBER($J325),$J325&gt;0),$J325,IF(ISNUMBER($I325),$I325,"")))</f>
        <v/>
      </c>
      <c r="L325" s="40" t="str">
        <f aca="false">IF(ISNUMBER($K325),$K325*$H325,"")</f>
        <v/>
      </c>
      <c r="M325" s="40" t="str">
        <f aca="false">IF(ISNUMBER($K325),$K325*Parâmetros!$B$5,"")</f>
        <v/>
      </c>
      <c r="N325" s="40" t="str">
        <f aca="false">IF(ISNUMBER($K325),$K325*Parâmetros!$C$5,"")</f>
        <v/>
      </c>
      <c r="O325" s="40" t="str">
        <f aca="false">IF(ISNUMBER($K325),IF(ISNUMBER(Parâmetros!$E$5),Parâmetros!$E$5,0),"")</f>
        <v/>
      </c>
      <c r="P325" s="41" t="str">
        <f aca="false">IF(ISNUMBER($K325),$K325-$D325-IF(ISNUMBER($E325),$E325,0)-$L325-$M325-$N325-$O325,"")</f>
        <v/>
      </c>
      <c r="Q325" s="42" t="str">
        <f aca="false">IF(AND(ISNUMBER($K325),$K325&gt;0),$P325/$K325,"")</f>
        <v/>
      </c>
      <c r="R325" s="43"/>
      <c r="S325" s="44" t="str">
        <f aca="false">IF(OR(NOT(ISNUMBER($R325)),$R325=0,NOT(ISNUMBER($K325))),"",$K325*(1-$R325))</f>
        <v/>
      </c>
      <c r="T325" s="45" t="str">
        <f aca="false">IF(ISNUMBER($S325),$S325*$H325,"")</f>
        <v/>
      </c>
      <c r="U325" s="45" t="str">
        <f aca="false">IF(ISNUMBER($S325),$S325*Parâmetros!$B$5,"")</f>
        <v/>
      </c>
      <c r="V325" s="45" t="str">
        <f aca="false">IF(ISNUMBER($S325),$S325*Parâmetros!$C$5,"")</f>
        <v/>
      </c>
      <c r="W325" s="44" t="str">
        <f aca="false">IF(ISNUMBER($S325),$S325-$D325-IF(ISNUMBER($E325),$E325,0)-$O325-$T325-$U325-$V325,"")</f>
        <v/>
      </c>
      <c r="X325" s="46" t="str">
        <f aca="false">IF(AND(ISNUMBER($S325),$S325&gt;0),$W325/$S325,"")</f>
        <v/>
      </c>
      <c r="Y325" s="49"/>
      <c r="Z325" s="21"/>
    </row>
    <row r="326" customFormat="false" ht="15.75" hidden="false" customHeight="true" outlineLevel="0" collapsed="false">
      <c r="A326" s="32" t="str">
        <f aca="false">IF(Produtos!$A326="","",Produtos!$A326)</f>
        <v/>
      </c>
      <c r="B326" s="32" t="str">
        <f aca="false">IF(Produtos!$A326="","",Produtos!$B326)</f>
        <v/>
      </c>
      <c r="C326" s="32" t="str">
        <f aca="false">IF(Produtos!$A326="","",Produtos!$C326)</f>
        <v/>
      </c>
      <c r="D326" s="33" t="str">
        <f aca="false">IF(Produtos!$A326="","",IF(Produtos!$D326="","",Produtos!$D326))</f>
        <v/>
      </c>
      <c r="E326" s="11"/>
      <c r="F326" s="34" t="str">
        <f aca="false">IF($A326="","",IF($C326="","⚠ categoria",IFERROR(INDEX(Parâmetros!$C$13:$C$22,MATCH($C326,Parâmetros!$A$13:$A$22,0)),"⚠ categoria")))</f>
        <v/>
      </c>
      <c r="G326" s="35"/>
      <c r="H326" s="36" t="str">
        <f aca="false">IF($A326="","",IF(ISNUMBER($G326),$G326,IF(ISNUMBER($F326),$F326,"")))</f>
        <v/>
      </c>
      <c r="I326" s="37" t="str">
        <f aca="false">IF(OR($A326="",NOT(ISNUMBER($D326)),NOT(ISNUMBER($H326))),"",IF((1-$H326-Parâmetros!$B$5-Parâmetros!$C$5-Parâmetros!$D$5)&lt;=0,"INVALIDO",($D326+IF(ISNUMBER($E326),$E326,0)+IF(ISNUMBER(Parâmetros!$E$5),Parâmetros!$E$5,0))/(1-$H326-Parâmetros!$B$5-Parâmetros!$C$5-Parâmetros!$D$5)))</f>
        <v/>
      </c>
      <c r="J326" s="38"/>
      <c r="K326" s="39" t="str">
        <f aca="false">IF(OR($A326="",NOT(ISNUMBER($D326)),NOT(ISNUMBER($H326))),"",IF(AND(ISNUMBER($J326),$J326&gt;0),$J326,IF(ISNUMBER($I326),$I326,"")))</f>
        <v/>
      </c>
      <c r="L326" s="40" t="str">
        <f aca="false">IF(ISNUMBER($K326),$K326*$H326,"")</f>
        <v/>
      </c>
      <c r="M326" s="40" t="str">
        <f aca="false">IF(ISNUMBER($K326),$K326*Parâmetros!$B$5,"")</f>
        <v/>
      </c>
      <c r="N326" s="40" t="str">
        <f aca="false">IF(ISNUMBER($K326),$K326*Parâmetros!$C$5,"")</f>
        <v/>
      </c>
      <c r="O326" s="40" t="str">
        <f aca="false">IF(ISNUMBER($K326),IF(ISNUMBER(Parâmetros!$E$5),Parâmetros!$E$5,0),"")</f>
        <v/>
      </c>
      <c r="P326" s="41" t="str">
        <f aca="false">IF(ISNUMBER($K326),$K326-$D326-IF(ISNUMBER($E326),$E326,0)-$L326-$M326-$N326-$O326,"")</f>
        <v/>
      </c>
      <c r="Q326" s="42" t="str">
        <f aca="false">IF(AND(ISNUMBER($K326),$K326&gt;0),$P326/$K326,"")</f>
        <v/>
      </c>
      <c r="R326" s="43"/>
      <c r="S326" s="44" t="str">
        <f aca="false">IF(OR(NOT(ISNUMBER($R326)),$R326=0,NOT(ISNUMBER($K326))),"",$K326*(1-$R326))</f>
        <v/>
      </c>
      <c r="T326" s="45" t="str">
        <f aca="false">IF(ISNUMBER($S326),$S326*$H326,"")</f>
        <v/>
      </c>
      <c r="U326" s="45" t="str">
        <f aca="false">IF(ISNUMBER($S326),$S326*Parâmetros!$B$5,"")</f>
        <v/>
      </c>
      <c r="V326" s="45" t="str">
        <f aca="false">IF(ISNUMBER($S326),$S326*Parâmetros!$C$5,"")</f>
        <v/>
      </c>
      <c r="W326" s="44" t="str">
        <f aca="false">IF(ISNUMBER($S326),$S326-$D326-IF(ISNUMBER($E326),$E326,0)-$O326-$T326-$U326-$V326,"")</f>
        <v/>
      </c>
      <c r="X326" s="46" t="str">
        <f aca="false">IF(AND(ISNUMBER($S326),$S326&gt;0),$W326/$S326,"")</f>
        <v/>
      </c>
      <c r="Y326" s="47"/>
      <c r="Z326" s="19"/>
    </row>
    <row r="327" customFormat="false" ht="15.75" hidden="false" customHeight="true" outlineLevel="0" collapsed="false">
      <c r="A327" s="48" t="str">
        <f aca="false">IF(Produtos!$A327="","",Produtos!$A327)</f>
        <v/>
      </c>
      <c r="B327" s="48" t="str">
        <f aca="false">IF(Produtos!$A327="","",Produtos!$B327)</f>
        <v/>
      </c>
      <c r="C327" s="48" t="str">
        <f aca="false">IF(Produtos!$A327="","",Produtos!$C327)</f>
        <v/>
      </c>
      <c r="D327" s="33" t="str">
        <f aca="false">IF(Produtos!$A327="","",IF(Produtos!$D327="","",Produtos!$D327))</f>
        <v/>
      </c>
      <c r="E327" s="11"/>
      <c r="F327" s="34" t="str">
        <f aca="false">IF($A327="","",IF($C327="","⚠ categoria",IFERROR(INDEX(Parâmetros!$C$13:$C$22,MATCH($C327,Parâmetros!$A$13:$A$22,0)),"⚠ categoria")))</f>
        <v/>
      </c>
      <c r="G327" s="35"/>
      <c r="H327" s="36" t="str">
        <f aca="false">IF($A327="","",IF(ISNUMBER($G327),$G327,IF(ISNUMBER($F327),$F327,"")))</f>
        <v/>
      </c>
      <c r="I327" s="37" t="str">
        <f aca="false">IF(OR($A327="",NOT(ISNUMBER($D327)),NOT(ISNUMBER($H327))),"",IF((1-$H327-Parâmetros!$B$5-Parâmetros!$C$5-Parâmetros!$D$5)&lt;=0,"INVALIDO",($D327+IF(ISNUMBER($E327),$E327,0)+IF(ISNUMBER(Parâmetros!$E$5),Parâmetros!$E$5,0))/(1-$H327-Parâmetros!$B$5-Parâmetros!$C$5-Parâmetros!$D$5)))</f>
        <v/>
      </c>
      <c r="J327" s="38"/>
      <c r="K327" s="39" t="str">
        <f aca="false">IF(OR($A327="",NOT(ISNUMBER($D327)),NOT(ISNUMBER($H327))),"",IF(AND(ISNUMBER($J327),$J327&gt;0),$J327,IF(ISNUMBER($I327),$I327,"")))</f>
        <v/>
      </c>
      <c r="L327" s="40" t="str">
        <f aca="false">IF(ISNUMBER($K327),$K327*$H327,"")</f>
        <v/>
      </c>
      <c r="M327" s="40" t="str">
        <f aca="false">IF(ISNUMBER($K327),$K327*Parâmetros!$B$5,"")</f>
        <v/>
      </c>
      <c r="N327" s="40" t="str">
        <f aca="false">IF(ISNUMBER($K327),$K327*Parâmetros!$C$5,"")</f>
        <v/>
      </c>
      <c r="O327" s="40" t="str">
        <f aca="false">IF(ISNUMBER($K327),IF(ISNUMBER(Parâmetros!$E$5),Parâmetros!$E$5,0),"")</f>
        <v/>
      </c>
      <c r="P327" s="41" t="str">
        <f aca="false">IF(ISNUMBER($K327),$K327-$D327-IF(ISNUMBER($E327),$E327,0)-$L327-$M327-$N327-$O327,"")</f>
        <v/>
      </c>
      <c r="Q327" s="42" t="str">
        <f aca="false">IF(AND(ISNUMBER($K327),$K327&gt;0),$P327/$K327,"")</f>
        <v/>
      </c>
      <c r="R327" s="43"/>
      <c r="S327" s="44" t="str">
        <f aca="false">IF(OR(NOT(ISNUMBER($R327)),$R327=0,NOT(ISNUMBER($K327))),"",$K327*(1-$R327))</f>
        <v/>
      </c>
      <c r="T327" s="45" t="str">
        <f aca="false">IF(ISNUMBER($S327),$S327*$H327,"")</f>
        <v/>
      </c>
      <c r="U327" s="45" t="str">
        <f aca="false">IF(ISNUMBER($S327),$S327*Parâmetros!$B$5,"")</f>
        <v/>
      </c>
      <c r="V327" s="45" t="str">
        <f aca="false">IF(ISNUMBER($S327),$S327*Parâmetros!$C$5,"")</f>
        <v/>
      </c>
      <c r="W327" s="44" t="str">
        <f aca="false">IF(ISNUMBER($S327),$S327-$D327-IF(ISNUMBER($E327),$E327,0)-$O327-$T327-$U327-$V327,"")</f>
        <v/>
      </c>
      <c r="X327" s="46" t="str">
        <f aca="false">IF(AND(ISNUMBER($S327),$S327&gt;0),$W327/$S327,"")</f>
        <v/>
      </c>
      <c r="Y327" s="49"/>
      <c r="Z327" s="21"/>
    </row>
    <row r="328" customFormat="false" ht="15.75" hidden="false" customHeight="true" outlineLevel="0" collapsed="false">
      <c r="A328" s="32" t="str">
        <f aca="false">IF(Produtos!$A328="","",Produtos!$A328)</f>
        <v/>
      </c>
      <c r="B328" s="32" t="str">
        <f aca="false">IF(Produtos!$A328="","",Produtos!$B328)</f>
        <v/>
      </c>
      <c r="C328" s="32" t="str">
        <f aca="false">IF(Produtos!$A328="","",Produtos!$C328)</f>
        <v/>
      </c>
      <c r="D328" s="33" t="str">
        <f aca="false">IF(Produtos!$A328="","",IF(Produtos!$D328="","",Produtos!$D328))</f>
        <v/>
      </c>
      <c r="E328" s="11"/>
      <c r="F328" s="34" t="str">
        <f aca="false">IF($A328="","",IF($C328="","⚠ categoria",IFERROR(INDEX(Parâmetros!$C$13:$C$22,MATCH($C328,Parâmetros!$A$13:$A$22,0)),"⚠ categoria")))</f>
        <v/>
      </c>
      <c r="G328" s="35"/>
      <c r="H328" s="36" t="str">
        <f aca="false">IF($A328="","",IF(ISNUMBER($G328),$G328,IF(ISNUMBER($F328),$F328,"")))</f>
        <v/>
      </c>
      <c r="I328" s="37" t="str">
        <f aca="false">IF(OR($A328="",NOT(ISNUMBER($D328)),NOT(ISNUMBER($H328))),"",IF((1-$H328-Parâmetros!$B$5-Parâmetros!$C$5-Parâmetros!$D$5)&lt;=0,"INVALIDO",($D328+IF(ISNUMBER($E328),$E328,0)+IF(ISNUMBER(Parâmetros!$E$5),Parâmetros!$E$5,0))/(1-$H328-Parâmetros!$B$5-Parâmetros!$C$5-Parâmetros!$D$5)))</f>
        <v/>
      </c>
      <c r="J328" s="38"/>
      <c r="K328" s="39" t="str">
        <f aca="false">IF(OR($A328="",NOT(ISNUMBER($D328)),NOT(ISNUMBER($H328))),"",IF(AND(ISNUMBER($J328),$J328&gt;0),$J328,IF(ISNUMBER($I328),$I328,"")))</f>
        <v/>
      </c>
      <c r="L328" s="40" t="str">
        <f aca="false">IF(ISNUMBER($K328),$K328*$H328,"")</f>
        <v/>
      </c>
      <c r="M328" s="40" t="str">
        <f aca="false">IF(ISNUMBER($K328),$K328*Parâmetros!$B$5,"")</f>
        <v/>
      </c>
      <c r="N328" s="40" t="str">
        <f aca="false">IF(ISNUMBER($K328),$K328*Parâmetros!$C$5,"")</f>
        <v/>
      </c>
      <c r="O328" s="40" t="str">
        <f aca="false">IF(ISNUMBER($K328),IF(ISNUMBER(Parâmetros!$E$5),Parâmetros!$E$5,0),"")</f>
        <v/>
      </c>
      <c r="P328" s="41" t="str">
        <f aca="false">IF(ISNUMBER($K328),$K328-$D328-IF(ISNUMBER($E328),$E328,0)-$L328-$M328-$N328-$O328,"")</f>
        <v/>
      </c>
      <c r="Q328" s="42" t="str">
        <f aca="false">IF(AND(ISNUMBER($K328),$K328&gt;0),$P328/$K328,"")</f>
        <v/>
      </c>
      <c r="R328" s="43"/>
      <c r="S328" s="44" t="str">
        <f aca="false">IF(OR(NOT(ISNUMBER($R328)),$R328=0,NOT(ISNUMBER($K328))),"",$K328*(1-$R328))</f>
        <v/>
      </c>
      <c r="T328" s="45" t="str">
        <f aca="false">IF(ISNUMBER($S328),$S328*$H328,"")</f>
        <v/>
      </c>
      <c r="U328" s="45" t="str">
        <f aca="false">IF(ISNUMBER($S328),$S328*Parâmetros!$B$5,"")</f>
        <v/>
      </c>
      <c r="V328" s="45" t="str">
        <f aca="false">IF(ISNUMBER($S328),$S328*Parâmetros!$C$5,"")</f>
        <v/>
      </c>
      <c r="W328" s="44" t="str">
        <f aca="false">IF(ISNUMBER($S328),$S328-$D328-IF(ISNUMBER($E328),$E328,0)-$O328-$T328-$U328-$V328,"")</f>
        <v/>
      </c>
      <c r="X328" s="46" t="str">
        <f aca="false">IF(AND(ISNUMBER($S328),$S328&gt;0),$W328/$S328,"")</f>
        <v/>
      </c>
      <c r="Y328" s="47"/>
      <c r="Z328" s="19"/>
    </row>
    <row r="329" customFormat="false" ht="15.75" hidden="false" customHeight="true" outlineLevel="0" collapsed="false">
      <c r="A329" s="48" t="str">
        <f aca="false">IF(Produtos!$A329="","",Produtos!$A329)</f>
        <v/>
      </c>
      <c r="B329" s="48" t="str">
        <f aca="false">IF(Produtos!$A329="","",Produtos!$B329)</f>
        <v/>
      </c>
      <c r="C329" s="48" t="str">
        <f aca="false">IF(Produtos!$A329="","",Produtos!$C329)</f>
        <v/>
      </c>
      <c r="D329" s="33" t="str">
        <f aca="false">IF(Produtos!$A329="","",IF(Produtos!$D329="","",Produtos!$D329))</f>
        <v/>
      </c>
      <c r="E329" s="11"/>
      <c r="F329" s="34" t="str">
        <f aca="false">IF($A329="","",IF($C329="","⚠ categoria",IFERROR(INDEX(Parâmetros!$C$13:$C$22,MATCH($C329,Parâmetros!$A$13:$A$22,0)),"⚠ categoria")))</f>
        <v/>
      </c>
      <c r="G329" s="35"/>
      <c r="H329" s="36" t="str">
        <f aca="false">IF($A329="","",IF(ISNUMBER($G329),$G329,IF(ISNUMBER($F329),$F329,"")))</f>
        <v/>
      </c>
      <c r="I329" s="37" t="str">
        <f aca="false">IF(OR($A329="",NOT(ISNUMBER($D329)),NOT(ISNUMBER($H329))),"",IF((1-$H329-Parâmetros!$B$5-Parâmetros!$C$5-Parâmetros!$D$5)&lt;=0,"INVALIDO",($D329+IF(ISNUMBER($E329),$E329,0)+IF(ISNUMBER(Parâmetros!$E$5),Parâmetros!$E$5,0))/(1-$H329-Parâmetros!$B$5-Parâmetros!$C$5-Parâmetros!$D$5)))</f>
        <v/>
      </c>
      <c r="J329" s="38"/>
      <c r="K329" s="39" t="str">
        <f aca="false">IF(OR($A329="",NOT(ISNUMBER($D329)),NOT(ISNUMBER($H329))),"",IF(AND(ISNUMBER($J329),$J329&gt;0),$J329,IF(ISNUMBER($I329),$I329,"")))</f>
        <v/>
      </c>
      <c r="L329" s="40" t="str">
        <f aca="false">IF(ISNUMBER($K329),$K329*$H329,"")</f>
        <v/>
      </c>
      <c r="M329" s="40" t="str">
        <f aca="false">IF(ISNUMBER($K329),$K329*Parâmetros!$B$5,"")</f>
        <v/>
      </c>
      <c r="N329" s="40" t="str">
        <f aca="false">IF(ISNUMBER($K329),$K329*Parâmetros!$C$5,"")</f>
        <v/>
      </c>
      <c r="O329" s="40" t="str">
        <f aca="false">IF(ISNUMBER($K329),IF(ISNUMBER(Parâmetros!$E$5),Parâmetros!$E$5,0),"")</f>
        <v/>
      </c>
      <c r="P329" s="41" t="str">
        <f aca="false">IF(ISNUMBER($K329),$K329-$D329-IF(ISNUMBER($E329),$E329,0)-$L329-$M329-$N329-$O329,"")</f>
        <v/>
      </c>
      <c r="Q329" s="42" t="str">
        <f aca="false">IF(AND(ISNUMBER($K329),$K329&gt;0),$P329/$K329,"")</f>
        <v/>
      </c>
      <c r="R329" s="43"/>
      <c r="S329" s="44" t="str">
        <f aca="false">IF(OR(NOT(ISNUMBER($R329)),$R329=0,NOT(ISNUMBER($K329))),"",$K329*(1-$R329))</f>
        <v/>
      </c>
      <c r="T329" s="45" t="str">
        <f aca="false">IF(ISNUMBER($S329),$S329*$H329,"")</f>
        <v/>
      </c>
      <c r="U329" s="45" t="str">
        <f aca="false">IF(ISNUMBER($S329),$S329*Parâmetros!$B$5,"")</f>
        <v/>
      </c>
      <c r="V329" s="45" t="str">
        <f aca="false">IF(ISNUMBER($S329),$S329*Parâmetros!$C$5,"")</f>
        <v/>
      </c>
      <c r="W329" s="44" t="str">
        <f aca="false">IF(ISNUMBER($S329),$S329-$D329-IF(ISNUMBER($E329),$E329,0)-$O329-$T329-$U329-$V329,"")</f>
        <v/>
      </c>
      <c r="X329" s="46" t="str">
        <f aca="false">IF(AND(ISNUMBER($S329),$S329&gt;0),$W329/$S329,"")</f>
        <v/>
      </c>
      <c r="Y329" s="49"/>
      <c r="Z329" s="21"/>
    </row>
    <row r="330" customFormat="false" ht="15.75" hidden="false" customHeight="true" outlineLevel="0" collapsed="false">
      <c r="A330" s="32" t="str">
        <f aca="false">IF(Produtos!$A330="","",Produtos!$A330)</f>
        <v/>
      </c>
      <c r="B330" s="32" t="str">
        <f aca="false">IF(Produtos!$A330="","",Produtos!$B330)</f>
        <v/>
      </c>
      <c r="C330" s="32" t="str">
        <f aca="false">IF(Produtos!$A330="","",Produtos!$C330)</f>
        <v/>
      </c>
      <c r="D330" s="33" t="str">
        <f aca="false">IF(Produtos!$A330="","",IF(Produtos!$D330="","",Produtos!$D330))</f>
        <v/>
      </c>
      <c r="E330" s="11"/>
      <c r="F330" s="34" t="str">
        <f aca="false">IF($A330="","",IF($C330="","⚠ categoria",IFERROR(INDEX(Parâmetros!$C$13:$C$22,MATCH($C330,Parâmetros!$A$13:$A$22,0)),"⚠ categoria")))</f>
        <v/>
      </c>
      <c r="G330" s="35"/>
      <c r="H330" s="36" t="str">
        <f aca="false">IF($A330="","",IF(ISNUMBER($G330),$G330,IF(ISNUMBER($F330),$F330,"")))</f>
        <v/>
      </c>
      <c r="I330" s="37" t="str">
        <f aca="false">IF(OR($A330="",NOT(ISNUMBER($D330)),NOT(ISNUMBER($H330))),"",IF((1-$H330-Parâmetros!$B$5-Parâmetros!$C$5-Parâmetros!$D$5)&lt;=0,"INVALIDO",($D330+IF(ISNUMBER($E330),$E330,0)+IF(ISNUMBER(Parâmetros!$E$5),Parâmetros!$E$5,0))/(1-$H330-Parâmetros!$B$5-Parâmetros!$C$5-Parâmetros!$D$5)))</f>
        <v/>
      </c>
      <c r="J330" s="38"/>
      <c r="K330" s="39" t="str">
        <f aca="false">IF(OR($A330="",NOT(ISNUMBER($D330)),NOT(ISNUMBER($H330))),"",IF(AND(ISNUMBER($J330),$J330&gt;0),$J330,IF(ISNUMBER($I330),$I330,"")))</f>
        <v/>
      </c>
      <c r="L330" s="40" t="str">
        <f aca="false">IF(ISNUMBER($K330),$K330*$H330,"")</f>
        <v/>
      </c>
      <c r="M330" s="40" t="str">
        <f aca="false">IF(ISNUMBER($K330),$K330*Parâmetros!$B$5,"")</f>
        <v/>
      </c>
      <c r="N330" s="40" t="str">
        <f aca="false">IF(ISNUMBER($K330),$K330*Parâmetros!$C$5,"")</f>
        <v/>
      </c>
      <c r="O330" s="40" t="str">
        <f aca="false">IF(ISNUMBER($K330),IF(ISNUMBER(Parâmetros!$E$5),Parâmetros!$E$5,0),"")</f>
        <v/>
      </c>
      <c r="P330" s="41" t="str">
        <f aca="false">IF(ISNUMBER($K330),$K330-$D330-IF(ISNUMBER($E330),$E330,0)-$L330-$M330-$N330-$O330,"")</f>
        <v/>
      </c>
      <c r="Q330" s="42" t="str">
        <f aca="false">IF(AND(ISNUMBER($K330),$K330&gt;0),$P330/$K330,"")</f>
        <v/>
      </c>
      <c r="R330" s="43"/>
      <c r="S330" s="44" t="str">
        <f aca="false">IF(OR(NOT(ISNUMBER($R330)),$R330=0,NOT(ISNUMBER($K330))),"",$K330*(1-$R330))</f>
        <v/>
      </c>
      <c r="T330" s="45" t="str">
        <f aca="false">IF(ISNUMBER($S330),$S330*$H330,"")</f>
        <v/>
      </c>
      <c r="U330" s="45" t="str">
        <f aca="false">IF(ISNUMBER($S330),$S330*Parâmetros!$B$5,"")</f>
        <v/>
      </c>
      <c r="V330" s="45" t="str">
        <f aca="false">IF(ISNUMBER($S330),$S330*Parâmetros!$C$5,"")</f>
        <v/>
      </c>
      <c r="W330" s="44" t="str">
        <f aca="false">IF(ISNUMBER($S330),$S330-$D330-IF(ISNUMBER($E330),$E330,0)-$O330-$T330-$U330-$V330,"")</f>
        <v/>
      </c>
      <c r="X330" s="46" t="str">
        <f aca="false">IF(AND(ISNUMBER($S330),$S330&gt;0),$W330/$S330,"")</f>
        <v/>
      </c>
      <c r="Y330" s="47"/>
      <c r="Z330" s="19"/>
    </row>
    <row r="331" customFormat="false" ht="15.75" hidden="false" customHeight="true" outlineLevel="0" collapsed="false">
      <c r="A331" s="48" t="str">
        <f aca="false">IF(Produtos!$A331="","",Produtos!$A331)</f>
        <v/>
      </c>
      <c r="B331" s="48" t="str">
        <f aca="false">IF(Produtos!$A331="","",Produtos!$B331)</f>
        <v/>
      </c>
      <c r="C331" s="48" t="str">
        <f aca="false">IF(Produtos!$A331="","",Produtos!$C331)</f>
        <v/>
      </c>
      <c r="D331" s="33" t="str">
        <f aca="false">IF(Produtos!$A331="","",IF(Produtos!$D331="","",Produtos!$D331))</f>
        <v/>
      </c>
      <c r="E331" s="11"/>
      <c r="F331" s="34" t="str">
        <f aca="false">IF($A331="","",IF($C331="","⚠ categoria",IFERROR(INDEX(Parâmetros!$C$13:$C$22,MATCH($C331,Parâmetros!$A$13:$A$22,0)),"⚠ categoria")))</f>
        <v/>
      </c>
      <c r="G331" s="35"/>
      <c r="H331" s="36" t="str">
        <f aca="false">IF($A331="","",IF(ISNUMBER($G331),$G331,IF(ISNUMBER($F331),$F331,"")))</f>
        <v/>
      </c>
      <c r="I331" s="37" t="str">
        <f aca="false">IF(OR($A331="",NOT(ISNUMBER($D331)),NOT(ISNUMBER($H331))),"",IF((1-$H331-Parâmetros!$B$5-Parâmetros!$C$5-Parâmetros!$D$5)&lt;=0,"INVALIDO",($D331+IF(ISNUMBER($E331),$E331,0)+IF(ISNUMBER(Parâmetros!$E$5),Parâmetros!$E$5,0))/(1-$H331-Parâmetros!$B$5-Parâmetros!$C$5-Parâmetros!$D$5)))</f>
        <v/>
      </c>
      <c r="J331" s="38"/>
      <c r="K331" s="39" t="str">
        <f aca="false">IF(OR($A331="",NOT(ISNUMBER($D331)),NOT(ISNUMBER($H331))),"",IF(AND(ISNUMBER($J331),$J331&gt;0),$J331,IF(ISNUMBER($I331),$I331,"")))</f>
        <v/>
      </c>
      <c r="L331" s="40" t="str">
        <f aca="false">IF(ISNUMBER($K331),$K331*$H331,"")</f>
        <v/>
      </c>
      <c r="M331" s="40" t="str">
        <f aca="false">IF(ISNUMBER($K331),$K331*Parâmetros!$B$5,"")</f>
        <v/>
      </c>
      <c r="N331" s="40" t="str">
        <f aca="false">IF(ISNUMBER($K331),$K331*Parâmetros!$C$5,"")</f>
        <v/>
      </c>
      <c r="O331" s="40" t="str">
        <f aca="false">IF(ISNUMBER($K331),IF(ISNUMBER(Parâmetros!$E$5),Parâmetros!$E$5,0),"")</f>
        <v/>
      </c>
      <c r="P331" s="41" t="str">
        <f aca="false">IF(ISNUMBER($K331),$K331-$D331-IF(ISNUMBER($E331),$E331,0)-$L331-$M331-$N331-$O331,"")</f>
        <v/>
      </c>
      <c r="Q331" s="42" t="str">
        <f aca="false">IF(AND(ISNUMBER($K331),$K331&gt;0),$P331/$K331,"")</f>
        <v/>
      </c>
      <c r="R331" s="43"/>
      <c r="S331" s="44" t="str">
        <f aca="false">IF(OR(NOT(ISNUMBER($R331)),$R331=0,NOT(ISNUMBER($K331))),"",$K331*(1-$R331))</f>
        <v/>
      </c>
      <c r="T331" s="45" t="str">
        <f aca="false">IF(ISNUMBER($S331),$S331*$H331,"")</f>
        <v/>
      </c>
      <c r="U331" s="45" t="str">
        <f aca="false">IF(ISNUMBER($S331),$S331*Parâmetros!$B$5,"")</f>
        <v/>
      </c>
      <c r="V331" s="45" t="str">
        <f aca="false">IF(ISNUMBER($S331),$S331*Parâmetros!$C$5,"")</f>
        <v/>
      </c>
      <c r="W331" s="44" t="str">
        <f aca="false">IF(ISNUMBER($S331),$S331-$D331-IF(ISNUMBER($E331),$E331,0)-$O331-$T331-$U331-$V331,"")</f>
        <v/>
      </c>
      <c r="X331" s="46" t="str">
        <f aca="false">IF(AND(ISNUMBER($S331),$S331&gt;0),$W331/$S331,"")</f>
        <v/>
      </c>
      <c r="Y331" s="49"/>
      <c r="Z331" s="21"/>
    </row>
    <row r="332" customFormat="false" ht="15.75" hidden="false" customHeight="true" outlineLevel="0" collapsed="false">
      <c r="A332" s="32" t="str">
        <f aca="false">IF(Produtos!$A332="","",Produtos!$A332)</f>
        <v/>
      </c>
      <c r="B332" s="32" t="str">
        <f aca="false">IF(Produtos!$A332="","",Produtos!$B332)</f>
        <v/>
      </c>
      <c r="C332" s="32" t="str">
        <f aca="false">IF(Produtos!$A332="","",Produtos!$C332)</f>
        <v/>
      </c>
      <c r="D332" s="33" t="str">
        <f aca="false">IF(Produtos!$A332="","",IF(Produtos!$D332="","",Produtos!$D332))</f>
        <v/>
      </c>
      <c r="E332" s="11"/>
      <c r="F332" s="34" t="str">
        <f aca="false">IF($A332="","",IF($C332="","⚠ categoria",IFERROR(INDEX(Parâmetros!$C$13:$C$22,MATCH($C332,Parâmetros!$A$13:$A$22,0)),"⚠ categoria")))</f>
        <v/>
      </c>
      <c r="G332" s="35"/>
      <c r="H332" s="36" t="str">
        <f aca="false">IF($A332="","",IF(ISNUMBER($G332),$G332,IF(ISNUMBER($F332),$F332,"")))</f>
        <v/>
      </c>
      <c r="I332" s="37" t="str">
        <f aca="false">IF(OR($A332="",NOT(ISNUMBER($D332)),NOT(ISNUMBER($H332))),"",IF((1-$H332-Parâmetros!$B$5-Parâmetros!$C$5-Parâmetros!$D$5)&lt;=0,"INVALIDO",($D332+IF(ISNUMBER($E332),$E332,0)+IF(ISNUMBER(Parâmetros!$E$5),Parâmetros!$E$5,0))/(1-$H332-Parâmetros!$B$5-Parâmetros!$C$5-Parâmetros!$D$5)))</f>
        <v/>
      </c>
      <c r="J332" s="38"/>
      <c r="K332" s="39" t="str">
        <f aca="false">IF(OR($A332="",NOT(ISNUMBER($D332)),NOT(ISNUMBER($H332))),"",IF(AND(ISNUMBER($J332),$J332&gt;0),$J332,IF(ISNUMBER($I332),$I332,"")))</f>
        <v/>
      </c>
      <c r="L332" s="40" t="str">
        <f aca="false">IF(ISNUMBER($K332),$K332*$H332,"")</f>
        <v/>
      </c>
      <c r="M332" s="40" t="str">
        <f aca="false">IF(ISNUMBER($K332),$K332*Parâmetros!$B$5,"")</f>
        <v/>
      </c>
      <c r="N332" s="40" t="str">
        <f aca="false">IF(ISNUMBER($K332),$K332*Parâmetros!$C$5,"")</f>
        <v/>
      </c>
      <c r="O332" s="40" t="str">
        <f aca="false">IF(ISNUMBER($K332),IF(ISNUMBER(Parâmetros!$E$5),Parâmetros!$E$5,0),"")</f>
        <v/>
      </c>
      <c r="P332" s="41" t="str">
        <f aca="false">IF(ISNUMBER($K332),$K332-$D332-IF(ISNUMBER($E332),$E332,0)-$L332-$M332-$N332-$O332,"")</f>
        <v/>
      </c>
      <c r="Q332" s="42" t="str">
        <f aca="false">IF(AND(ISNUMBER($K332),$K332&gt;0),$P332/$K332,"")</f>
        <v/>
      </c>
      <c r="R332" s="43"/>
      <c r="S332" s="44" t="str">
        <f aca="false">IF(OR(NOT(ISNUMBER($R332)),$R332=0,NOT(ISNUMBER($K332))),"",$K332*(1-$R332))</f>
        <v/>
      </c>
      <c r="T332" s="45" t="str">
        <f aca="false">IF(ISNUMBER($S332),$S332*$H332,"")</f>
        <v/>
      </c>
      <c r="U332" s="45" t="str">
        <f aca="false">IF(ISNUMBER($S332),$S332*Parâmetros!$B$5,"")</f>
        <v/>
      </c>
      <c r="V332" s="45" t="str">
        <f aca="false">IF(ISNUMBER($S332),$S332*Parâmetros!$C$5,"")</f>
        <v/>
      </c>
      <c r="W332" s="44" t="str">
        <f aca="false">IF(ISNUMBER($S332),$S332-$D332-IF(ISNUMBER($E332),$E332,0)-$O332-$T332-$U332-$V332,"")</f>
        <v/>
      </c>
      <c r="X332" s="46" t="str">
        <f aca="false">IF(AND(ISNUMBER($S332),$S332&gt;0),$W332/$S332,"")</f>
        <v/>
      </c>
      <c r="Y332" s="47"/>
      <c r="Z332" s="19"/>
    </row>
    <row r="333" customFormat="false" ht="15.75" hidden="false" customHeight="true" outlineLevel="0" collapsed="false">
      <c r="A333" s="48" t="str">
        <f aca="false">IF(Produtos!$A333="","",Produtos!$A333)</f>
        <v/>
      </c>
      <c r="B333" s="48" t="str">
        <f aca="false">IF(Produtos!$A333="","",Produtos!$B333)</f>
        <v/>
      </c>
      <c r="C333" s="48" t="str">
        <f aca="false">IF(Produtos!$A333="","",Produtos!$C333)</f>
        <v/>
      </c>
      <c r="D333" s="33" t="str">
        <f aca="false">IF(Produtos!$A333="","",IF(Produtos!$D333="","",Produtos!$D333))</f>
        <v/>
      </c>
      <c r="E333" s="11"/>
      <c r="F333" s="34" t="str">
        <f aca="false">IF($A333="","",IF($C333="","⚠ categoria",IFERROR(INDEX(Parâmetros!$C$13:$C$22,MATCH($C333,Parâmetros!$A$13:$A$22,0)),"⚠ categoria")))</f>
        <v/>
      </c>
      <c r="G333" s="35"/>
      <c r="H333" s="36" t="str">
        <f aca="false">IF($A333="","",IF(ISNUMBER($G333),$G333,IF(ISNUMBER($F333),$F333,"")))</f>
        <v/>
      </c>
      <c r="I333" s="37" t="str">
        <f aca="false">IF(OR($A333="",NOT(ISNUMBER($D333)),NOT(ISNUMBER($H333))),"",IF((1-$H333-Parâmetros!$B$5-Parâmetros!$C$5-Parâmetros!$D$5)&lt;=0,"INVALIDO",($D333+IF(ISNUMBER($E333),$E333,0)+IF(ISNUMBER(Parâmetros!$E$5),Parâmetros!$E$5,0))/(1-$H333-Parâmetros!$B$5-Parâmetros!$C$5-Parâmetros!$D$5)))</f>
        <v/>
      </c>
      <c r="J333" s="38"/>
      <c r="K333" s="39" t="str">
        <f aca="false">IF(OR($A333="",NOT(ISNUMBER($D333)),NOT(ISNUMBER($H333))),"",IF(AND(ISNUMBER($J333),$J333&gt;0),$J333,IF(ISNUMBER($I333),$I333,"")))</f>
        <v/>
      </c>
      <c r="L333" s="40" t="str">
        <f aca="false">IF(ISNUMBER($K333),$K333*$H333,"")</f>
        <v/>
      </c>
      <c r="M333" s="40" t="str">
        <f aca="false">IF(ISNUMBER($K333),$K333*Parâmetros!$B$5,"")</f>
        <v/>
      </c>
      <c r="N333" s="40" t="str">
        <f aca="false">IF(ISNUMBER($K333),$K333*Parâmetros!$C$5,"")</f>
        <v/>
      </c>
      <c r="O333" s="40" t="str">
        <f aca="false">IF(ISNUMBER($K333),IF(ISNUMBER(Parâmetros!$E$5),Parâmetros!$E$5,0),"")</f>
        <v/>
      </c>
      <c r="P333" s="41" t="str">
        <f aca="false">IF(ISNUMBER($K333),$K333-$D333-IF(ISNUMBER($E333),$E333,0)-$L333-$M333-$N333-$O333,"")</f>
        <v/>
      </c>
      <c r="Q333" s="42" t="str">
        <f aca="false">IF(AND(ISNUMBER($K333),$K333&gt;0),$P333/$K333,"")</f>
        <v/>
      </c>
      <c r="R333" s="43"/>
      <c r="S333" s="44" t="str">
        <f aca="false">IF(OR(NOT(ISNUMBER($R333)),$R333=0,NOT(ISNUMBER($K333))),"",$K333*(1-$R333))</f>
        <v/>
      </c>
      <c r="T333" s="45" t="str">
        <f aca="false">IF(ISNUMBER($S333),$S333*$H333,"")</f>
        <v/>
      </c>
      <c r="U333" s="45" t="str">
        <f aca="false">IF(ISNUMBER($S333),$S333*Parâmetros!$B$5,"")</f>
        <v/>
      </c>
      <c r="V333" s="45" t="str">
        <f aca="false">IF(ISNUMBER($S333),$S333*Parâmetros!$C$5,"")</f>
        <v/>
      </c>
      <c r="W333" s="44" t="str">
        <f aca="false">IF(ISNUMBER($S333),$S333-$D333-IF(ISNUMBER($E333),$E333,0)-$O333-$T333-$U333-$V333,"")</f>
        <v/>
      </c>
      <c r="X333" s="46" t="str">
        <f aca="false">IF(AND(ISNUMBER($S333),$S333&gt;0),$W333/$S333,"")</f>
        <v/>
      </c>
      <c r="Y333" s="49"/>
      <c r="Z333" s="21"/>
    </row>
    <row r="334" customFormat="false" ht="15.75" hidden="false" customHeight="true" outlineLevel="0" collapsed="false">
      <c r="A334" s="32" t="str">
        <f aca="false">IF(Produtos!$A334="","",Produtos!$A334)</f>
        <v/>
      </c>
      <c r="B334" s="32" t="str">
        <f aca="false">IF(Produtos!$A334="","",Produtos!$B334)</f>
        <v/>
      </c>
      <c r="C334" s="32" t="str">
        <f aca="false">IF(Produtos!$A334="","",Produtos!$C334)</f>
        <v/>
      </c>
      <c r="D334" s="33" t="str">
        <f aca="false">IF(Produtos!$A334="","",IF(Produtos!$D334="","",Produtos!$D334))</f>
        <v/>
      </c>
      <c r="E334" s="11"/>
      <c r="F334" s="34" t="str">
        <f aca="false">IF($A334="","",IF($C334="","⚠ categoria",IFERROR(INDEX(Parâmetros!$C$13:$C$22,MATCH($C334,Parâmetros!$A$13:$A$22,0)),"⚠ categoria")))</f>
        <v/>
      </c>
      <c r="G334" s="35"/>
      <c r="H334" s="36" t="str">
        <f aca="false">IF($A334="","",IF(ISNUMBER($G334),$G334,IF(ISNUMBER($F334),$F334,"")))</f>
        <v/>
      </c>
      <c r="I334" s="37" t="str">
        <f aca="false">IF(OR($A334="",NOT(ISNUMBER($D334)),NOT(ISNUMBER($H334))),"",IF((1-$H334-Parâmetros!$B$5-Parâmetros!$C$5-Parâmetros!$D$5)&lt;=0,"INVALIDO",($D334+IF(ISNUMBER($E334),$E334,0)+IF(ISNUMBER(Parâmetros!$E$5),Parâmetros!$E$5,0))/(1-$H334-Parâmetros!$B$5-Parâmetros!$C$5-Parâmetros!$D$5)))</f>
        <v/>
      </c>
      <c r="J334" s="38"/>
      <c r="K334" s="39" t="str">
        <f aca="false">IF(OR($A334="",NOT(ISNUMBER($D334)),NOT(ISNUMBER($H334))),"",IF(AND(ISNUMBER($J334),$J334&gt;0),$J334,IF(ISNUMBER($I334),$I334,"")))</f>
        <v/>
      </c>
      <c r="L334" s="40" t="str">
        <f aca="false">IF(ISNUMBER($K334),$K334*$H334,"")</f>
        <v/>
      </c>
      <c r="M334" s="40" t="str">
        <f aca="false">IF(ISNUMBER($K334),$K334*Parâmetros!$B$5,"")</f>
        <v/>
      </c>
      <c r="N334" s="40" t="str">
        <f aca="false">IF(ISNUMBER($K334),$K334*Parâmetros!$C$5,"")</f>
        <v/>
      </c>
      <c r="O334" s="40" t="str">
        <f aca="false">IF(ISNUMBER($K334),IF(ISNUMBER(Parâmetros!$E$5),Parâmetros!$E$5,0),"")</f>
        <v/>
      </c>
      <c r="P334" s="41" t="str">
        <f aca="false">IF(ISNUMBER($K334),$K334-$D334-IF(ISNUMBER($E334),$E334,0)-$L334-$M334-$N334-$O334,"")</f>
        <v/>
      </c>
      <c r="Q334" s="42" t="str">
        <f aca="false">IF(AND(ISNUMBER($K334),$K334&gt;0),$P334/$K334,"")</f>
        <v/>
      </c>
      <c r="R334" s="43"/>
      <c r="S334" s="44" t="str">
        <f aca="false">IF(OR(NOT(ISNUMBER($R334)),$R334=0,NOT(ISNUMBER($K334))),"",$K334*(1-$R334))</f>
        <v/>
      </c>
      <c r="T334" s="45" t="str">
        <f aca="false">IF(ISNUMBER($S334),$S334*$H334,"")</f>
        <v/>
      </c>
      <c r="U334" s="45" t="str">
        <f aca="false">IF(ISNUMBER($S334),$S334*Parâmetros!$B$5,"")</f>
        <v/>
      </c>
      <c r="V334" s="45" t="str">
        <f aca="false">IF(ISNUMBER($S334),$S334*Parâmetros!$C$5,"")</f>
        <v/>
      </c>
      <c r="W334" s="44" t="str">
        <f aca="false">IF(ISNUMBER($S334),$S334-$D334-IF(ISNUMBER($E334),$E334,0)-$O334-$T334-$U334-$V334,"")</f>
        <v/>
      </c>
      <c r="X334" s="46" t="str">
        <f aca="false">IF(AND(ISNUMBER($S334),$S334&gt;0),$W334/$S334,"")</f>
        <v/>
      </c>
      <c r="Y334" s="47"/>
      <c r="Z334" s="19"/>
    </row>
    <row r="335" customFormat="false" ht="15.75" hidden="false" customHeight="true" outlineLevel="0" collapsed="false">
      <c r="A335" s="48" t="str">
        <f aca="false">IF(Produtos!$A335="","",Produtos!$A335)</f>
        <v/>
      </c>
      <c r="B335" s="48" t="str">
        <f aca="false">IF(Produtos!$A335="","",Produtos!$B335)</f>
        <v/>
      </c>
      <c r="C335" s="48" t="str">
        <f aca="false">IF(Produtos!$A335="","",Produtos!$C335)</f>
        <v/>
      </c>
      <c r="D335" s="33" t="str">
        <f aca="false">IF(Produtos!$A335="","",IF(Produtos!$D335="","",Produtos!$D335))</f>
        <v/>
      </c>
      <c r="E335" s="11"/>
      <c r="F335" s="34" t="str">
        <f aca="false">IF($A335="","",IF($C335="","⚠ categoria",IFERROR(INDEX(Parâmetros!$C$13:$C$22,MATCH($C335,Parâmetros!$A$13:$A$22,0)),"⚠ categoria")))</f>
        <v/>
      </c>
      <c r="G335" s="35"/>
      <c r="H335" s="36" t="str">
        <f aca="false">IF($A335="","",IF(ISNUMBER($G335),$G335,IF(ISNUMBER($F335),$F335,"")))</f>
        <v/>
      </c>
      <c r="I335" s="37" t="str">
        <f aca="false">IF(OR($A335="",NOT(ISNUMBER($D335)),NOT(ISNUMBER($H335))),"",IF((1-$H335-Parâmetros!$B$5-Parâmetros!$C$5-Parâmetros!$D$5)&lt;=0,"INVALIDO",($D335+IF(ISNUMBER($E335),$E335,0)+IF(ISNUMBER(Parâmetros!$E$5),Parâmetros!$E$5,0))/(1-$H335-Parâmetros!$B$5-Parâmetros!$C$5-Parâmetros!$D$5)))</f>
        <v/>
      </c>
      <c r="J335" s="38"/>
      <c r="K335" s="39" t="str">
        <f aca="false">IF(OR($A335="",NOT(ISNUMBER($D335)),NOT(ISNUMBER($H335))),"",IF(AND(ISNUMBER($J335),$J335&gt;0),$J335,IF(ISNUMBER($I335),$I335,"")))</f>
        <v/>
      </c>
      <c r="L335" s="40" t="str">
        <f aca="false">IF(ISNUMBER($K335),$K335*$H335,"")</f>
        <v/>
      </c>
      <c r="M335" s="40" t="str">
        <f aca="false">IF(ISNUMBER($K335),$K335*Parâmetros!$B$5,"")</f>
        <v/>
      </c>
      <c r="N335" s="40" t="str">
        <f aca="false">IF(ISNUMBER($K335),$K335*Parâmetros!$C$5,"")</f>
        <v/>
      </c>
      <c r="O335" s="40" t="str">
        <f aca="false">IF(ISNUMBER($K335),IF(ISNUMBER(Parâmetros!$E$5),Parâmetros!$E$5,0),"")</f>
        <v/>
      </c>
      <c r="P335" s="41" t="str">
        <f aca="false">IF(ISNUMBER($K335),$K335-$D335-IF(ISNUMBER($E335),$E335,0)-$L335-$M335-$N335-$O335,"")</f>
        <v/>
      </c>
      <c r="Q335" s="42" t="str">
        <f aca="false">IF(AND(ISNUMBER($K335),$K335&gt;0),$P335/$K335,"")</f>
        <v/>
      </c>
      <c r="R335" s="43"/>
      <c r="S335" s="44" t="str">
        <f aca="false">IF(OR(NOT(ISNUMBER($R335)),$R335=0,NOT(ISNUMBER($K335))),"",$K335*(1-$R335))</f>
        <v/>
      </c>
      <c r="T335" s="45" t="str">
        <f aca="false">IF(ISNUMBER($S335),$S335*$H335,"")</f>
        <v/>
      </c>
      <c r="U335" s="45" t="str">
        <f aca="false">IF(ISNUMBER($S335),$S335*Parâmetros!$B$5,"")</f>
        <v/>
      </c>
      <c r="V335" s="45" t="str">
        <f aca="false">IF(ISNUMBER($S335),$S335*Parâmetros!$C$5,"")</f>
        <v/>
      </c>
      <c r="W335" s="44" t="str">
        <f aca="false">IF(ISNUMBER($S335),$S335-$D335-IF(ISNUMBER($E335),$E335,0)-$O335-$T335-$U335-$V335,"")</f>
        <v/>
      </c>
      <c r="X335" s="46" t="str">
        <f aca="false">IF(AND(ISNUMBER($S335),$S335&gt;0),$W335/$S335,"")</f>
        <v/>
      </c>
      <c r="Y335" s="49"/>
      <c r="Z335" s="21"/>
    </row>
    <row r="336" customFormat="false" ht="15.75" hidden="false" customHeight="true" outlineLevel="0" collapsed="false">
      <c r="A336" s="32" t="str">
        <f aca="false">IF(Produtos!$A336="","",Produtos!$A336)</f>
        <v/>
      </c>
      <c r="B336" s="32" t="str">
        <f aca="false">IF(Produtos!$A336="","",Produtos!$B336)</f>
        <v/>
      </c>
      <c r="C336" s="32" t="str">
        <f aca="false">IF(Produtos!$A336="","",Produtos!$C336)</f>
        <v/>
      </c>
      <c r="D336" s="33" t="str">
        <f aca="false">IF(Produtos!$A336="","",IF(Produtos!$D336="","",Produtos!$D336))</f>
        <v/>
      </c>
      <c r="E336" s="11"/>
      <c r="F336" s="34" t="str">
        <f aca="false">IF($A336="","",IF($C336="","⚠ categoria",IFERROR(INDEX(Parâmetros!$C$13:$C$22,MATCH($C336,Parâmetros!$A$13:$A$22,0)),"⚠ categoria")))</f>
        <v/>
      </c>
      <c r="G336" s="35"/>
      <c r="H336" s="36" t="str">
        <f aca="false">IF($A336="","",IF(ISNUMBER($G336),$G336,IF(ISNUMBER($F336),$F336,"")))</f>
        <v/>
      </c>
      <c r="I336" s="37" t="str">
        <f aca="false">IF(OR($A336="",NOT(ISNUMBER($D336)),NOT(ISNUMBER($H336))),"",IF((1-$H336-Parâmetros!$B$5-Parâmetros!$C$5-Parâmetros!$D$5)&lt;=0,"INVALIDO",($D336+IF(ISNUMBER($E336),$E336,0)+IF(ISNUMBER(Parâmetros!$E$5),Parâmetros!$E$5,0))/(1-$H336-Parâmetros!$B$5-Parâmetros!$C$5-Parâmetros!$D$5)))</f>
        <v/>
      </c>
      <c r="J336" s="38"/>
      <c r="K336" s="39" t="str">
        <f aca="false">IF(OR($A336="",NOT(ISNUMBER($D336)),NOT(ISNUMBER($H336))),"",IF(AND(ISNUMBER($J336),$J336&gt;0),$J336,IF(ISNUMBER($I336),$I336,"")))</f>
        <v/>
      </c>
      <c r="L336" s="40" t="str">
        <f aca="false">IF(ISNUMBER($K336),$K336*$H336,"")</f>
        <v/>
      </c>
      <c r="M336" s="40" t="str">
        <f aca="false">IF(ISNUMBER($K336),$K336*Parâmetros!$B$5,"")</f>
        <v/>
      </c>
      <c r="N336" s="40" t="str">
        <f aca="false">IF(ISNUMBER($K336),$K336*Parâmetros!$C$5,"")</f>
        <v/>
      </c>
      <c r="O336" s="40" t="str">
        <f aca="false">IF(ISNUMBER($K336),IF(ISNUMBER(Parâmetros!$E$5),Parâmetros!$E$5,0),"")</f>
        <v/>
      </c>
      <c r="P336" s="41" t="str">
        <f aca="false">IF(ISNUMBER($K336),$K336-$D336-IF(ISNUMBER($E336),$E336,0)-$L336-$M336-$N336-$O336,"")</f>
        <v/>
      </c>
      <c r="Q336" s="42" t="str">
        <f aca="false">IF(AND(ISNUMBER($K336),$K336&gt;0),$P336/$K336,"")</f>
        <v/>
      </c>
      <c r="R336" s="43"/>
      <c r="S336" s="44" t="str">
        <f aca="false">IF(OR(NOT(ISNUMBER($R336)),$R336=0,NOT(ISNUMBER($K336))),"",$K336*(1-$R336))</f>
        <v/>
      </c>
      <c r="T336" s="45" t="str">
        <f aca="false">IF(ISNUMBER($S336),$S336*$H336,"")</f>
        <v/>
      </c>
      <c r="U336" s="45" t="str">
        <f aca="false">IF(ISNUMBER($S336),$S336*Parâmetros!$B$5,"")</f>
        <v/>
      </c>
      <c r="V336" s="45" t="str">
        <f aca="false">IF(ISNUMBER($S336),$S336*Parâmetros!$C$5,"")</f>
        <v/>
      </c>
      <c r="W336" s="44" t="str">
        <f aca="false">IF(ISNUMBER($S336),$S336-$D336-IF(ISNUMBER($E336),$E336,0)-$O336-$T336-$U336-$V336,"")</f>
        <v/>
      </c>
      <c r="X336" s="46" t="str">
        <f aca="false">IF(AND(ISNUMBER($S336),$S336&gt;0),$W336/$S336,"")</f>
        <v/>
      </c>
      <c r="Y336" s="47"/>
      <c r="Z336" s="19"/>
    </row>
    <row r="337" customFormat="false" ht="15.75" hidden="false" customHeight="true" outlineLevel="0" collapsed="false">
      <c r="A337" s="48" t="str">
        <f aca="false">IF(Produtos!$A337="","",Produtos!$A337)</f>
        <v/>
      </c>
      <c r="B337" s="48" t="str">
        <f aca="false">IF(Produtos!$A337="","",Produtos!$B337)</f>
        <v/>
      </c>
      <c r="C337" s="48" t="str">
        <f aca="false">IF(Produtos!$A337="","",Produtos!$C337)</f>
        <v/>
      </c>
      <c r="D337" s="33" t="str">
        <f aca="false">IF(Produtos!$A337="","",IF(Produtos!$D337="","",Produtos!$D337))</f>
        <v/>
      </c>
      <c r="E337" s="11"/>
      <c r="F337" s="34" t="str">
        <f aca="false">IF($A337="","",IF($C337="","⚠ categoria",IFERROR(INDEX(Parâmetros!$C$13:$C$22,MATCH($C337,Parâmetros!$A$13:$A$22,0)),"⚠ categoria")))</f>
        <v/>
      </c>
      <c r="G337" s="35"/>
      <c r="H337" s="36" t="str">
        <f aca="false">IF($A337="","",IF(ISNUMBER($G337),$G337,IF(ISNUMBER($F337),$F337,"")))</f>
        <v/>
      </c>
      <c r="I337" s="37" t="str">
        <f aca="false">IF(OR($A337="",NOT(ISNUMBER($D337)),NOT(ISNUMBER($H337))),"",IF((1-$H337-Parâmetros!$B$5-Parâmetros!$C$5-Parâmetros!$D$5)&lt;=0,"INVALIDO",($D337+IF(ISNUMBER($E337),$E337,0)+IF(ISNUMBER(Parâmetros!$E$5),Parâmetros!$E$5,0))/(1-$H337-Parâmetros!$B$5-Parâmetros!$C$5-Parâmetros!$D$5)))</f>
        <v/>
      </c>
      <c r="J337" s="38"/>
      <c r="K337" s="39" t="str">
        <f aca="false">IF(OR($A337="",NOT(ISNUMBER($D337)),NOT(ISNUMBER($H337))),"",IF(AND(ISNUMBER($J337),$J337&gt;0),$J337,IF(ISNUMBER($I337),$I337,"")))</f>
        <v/>
      </c>
      <c r="L337" s="40" t="str">
        <f aca="false">IF(ISNUMBER($K337),$K337*$H337,"")</f>
        <v/>
      </c>
      <c r="M337" s="40" t="str">
        <f aca="false">IF(ISNUMBER($K337),$K337*Parâmetros!$B$5,"")</f>
        <v/>
      </c>
      <c r="N337" s="40" t="str">
        <f aca="false">IF(ISNUMBER($K337),$K337*Parâmetros!$C$5,"")</f>
        <v/>
      </c>
      <c r="O337" s="40" t="str">
        <f aca="false">IF(ISNUMBER($K337),IF(ISNUMBER(Parâmetros!$E$5),Parâmetros!$E$5,0),"")</f>
        <v/>
      </c>
      <c r="P337" s="41" t="str">
        <f aca="false">IF(ISNUMBER($K337),$K337-$D337-IF(ISNUMBER($E337),$E337,0)-$L337-$M337-$N337-$O337,"")</f>
        <v/>
      </c>
      <c r="Q337" s="42" t="str">
        <f aca="false">IF(AND(ISNUMBER($K337),$K337&gt;0),$P337/$K337,"")</f>
        <v/>
      </c>
      <c r="R337" s="43"/>
      <c r="S337" s="44" t="str">
        <f aca="false">IF(OR(NOT(ISNUMBER($R337)),$R337=0,NOT(ISNUMBER($K337))),"",$K337*(1-$R337))</f>
        <v/>
      </c>
      <c r="T337" s="45" t="str">
        <f aca="false">IF(ISNUMBER($S337),$S337*$H337,"")</f>
        <v/>
      </c>
      <c r="U337" s="45" t="str">
        <f aca="false">IF(ISNUMBER($S337),$S337*Parâmetros!$B$5,"")</f>
        <v/>
      </c>
      <c r="V337" s="45" t="str">
        <f aca="false">IF(ISNUMBER($S337),$S337*Parâmetros!$C$5,"")</f>
        <v/>
      </c>
      <c r="W337" s="44" t="str">
        <f aca="false">IF(ISNUMBER($S337),$S337-$D337-IF(ISNUMBER($E337),$E337,0)-$O337-$T337-$U337-$V337,"")</f>
        <v/>
      </c>
      <c r="X337" s="46" t="str">
        <f aca="false">IF(AND(ISNUMBER($S337),$S337&gt;0),$W337/$S337,"")</f>
        <v/>
      </c>
      <c r="Y337" s="49"/>
      <c r="Z337" s="21"/>
    </row>
    <row r="338" customFormat="false" ht="15.75" hidden="false" customHeight="true" outlineLevel="0" collapsed="false">
      <c r="A338" s="32" t="str">
        <f aca="false">IF(Produtos!$A338="","",Produtos!$A338)</f>
        <v/>
      </c>
      <c r="B338" s="32" t="str">
        <f aca="false">IF(Produtos!$A338="","",Produtos!$B338)</f>
        <v/>
      </c>
      <c r="C338" s="32" t="str">
        <f aca="false">IF(Produtos!$A338="","",Produtos!$C338)</f>
        <v/>
      </c>
      <c r="D338" s="33" t="str">
        <f aca="false">IF(Produtos!$A338="","",IF(Produtos!$D338="","",Produtos!$D338))</f>
        <v/>
      </c>
      <c r="E338" s="11"/>
      <c r="F338" s="34" t="str">
        <f aca="false">IF($A338="","",IF($C338="","⚠ categoria",IFERROR(INDEX(Parâmetros!$C$13:$C$22,MATCH($C338,Parâmetros!$A$13:$A$22,0)),"⚠ categoria")))</f>
        <v/>
      </c>
      <c r="G338" s="35"/>
      <c r="H338" s="36" t="str">
        <f aca="false">IF($A338="","",IF(ISNUMBER($G338),$G338,IF(ISNUMBER($F338),$F338,"")))</f>
        <v/>
      </c>
      <c r="I338" s="37" t="str">
        <f aca="false">IF(OR($A338="",NOT(ISNUMBER($D338)),NOT(ISNUMBER($H338))),"",IF((1-$H338-Parâmetros!$B$5-Parâmetros!$C$5-Parâmetros!$D$5)&lt;=0,"INVALIDO",($D338+IF(ISNUMBER($E338),$E338,0)+IF(ISNUMBER(Parâmetros!$E$5),Parâmetros!$E$5,0))/(1-$H338-Parâmetros!$B$5-Parâmetros!$C$5-Parâmetros!$D$5)))</f>
        <v/>
      </c>
      <c r="J338" s="38"/>
      <c r="K338" s="39" t="str">
        <f aca="false">IF(OR($A338="",NOT(ISNUMBER($D338)),NOT(ISNUMBER($H338))),"",IF(AND(ISNUMBER($J338),$J338&gt;0),$J338,IF(ISNUMBER($I338),$I338,"")))</f>
        <v/>
      </c>
      <c r="L338" s="40" t="str">
        <f aca="false">IF(ISNUMBER($K338),$K338*$H338,"")</f>
        <v/>
      </c>
      <c r="M338" s="40" t="str">
        <f aca="false">IF(ISNUMBER($K338),$K338*Parâmetros!$B$5,"")</f>
        <v/>
      </c>
      <c r="N338" s="40" t="str">
        <f aca="false">IF(ISNUMBER($K338),$K338*Parâmetros!$C$5,"")</f>
        <v/>
      </c>
      <c r="O338" s="40" t="str">
        <f aca="false">IF(ISNUMBER($K338),IF(ISNUMBER(Parâmetros!$E$5),Parâmetros!$E$5,0),"")</f>
        <v/>
      </c>
      <c r="P338" s="41" t="str">
        <f aca="false">IF(ISNUMBER($K338),$K338-$D338-IF(ISNUMBER($E338),$E338,0)-$L338-$M338-$N338-$O338,"")</f>
        <v/>
      </c>
      <c r="Q338" s="42" t="str">
        <f aca="false">IF(AND(ISNUMBER($K338),$K338&gt;0),$P338/$K338,"")</f>
        <v/>
      </c>
      <c r="R338" s="43"/>
      <c r="S338" s="44" t="str">
        <f aca="false">IF(OR(NOT(ISNUMBER($R338)),$R338=0,NOT(ISNUMBER($K338))),"",$K338*(1-$R338))</f>
        <v/>
      </c>
      <c r="T338" s="45" t="str">
        <f aca="false">IF(ISNUMBER($S338),$S338*$H338,"")</f>
        <v/>
      </c>
      <c r="U338" s="45" t="str">
        <f aca="false">IF(ISNUMBER($S338),$S338*Parâmetros!$B$5,"")</f>
        <v/>
      </c>
      <c r="V338" s="45" t="str">
        <f aca="false">IF(ISNUMBER($S338),$S338*Parâmetros!$C$5,"")</f>
        <v/>
      </c>
      <c r="W338" s="44" t="str">
        <f aca="false">IF(ISNUMBER($S338),$S338-$D338-IF(ISNUMBER($E338),$E338,0)-$O338-$T338-$U338-$V338,"")</f>
        <v/>
      </c>
      <c r="X338" s="46" t="str">
        <f aca="false">IF(AND(ISNUMBER($S338),$S338&gt;0),$W338/$S338,"")</f>
        <v/>
      </c>
      <c r="Y338" s="47"/>
      <c r="Z338" s="19"/>
    </row>
    <row r="339" customFormat="false" ht="15.75" hidden="false" customHeight="true" outlineLevel="0" collapsed="false">
      <c r="A339" s="48" t="str">
        <f aca="false">IF(Produtos!$A339="","",Produtos!$A339)</f>
        <v/>
      </c>
      <c r="B339" s="48" t="str">
        <f aca="false">IF(Produtos!$A339="","",Produtos!$B339)</f>
        <v/>
      </c>
      <c r="C339" s="48" t="str">
        <f aca="false">IF(Produtos!$A339="","",Produtos!$C339)</f>
        <v/>
      </c>
      <c r="D339" s="33" t="str">
        <f aca="false">IF(Produtos!$A339="","",IF(Produtos!$D339="","",Produtos!$D339))</f>
        <v/>
      </c>
      <c r="E339" s="11"/>
      <c r="F339" s="34" t="str">
        <f aca="false">IF($A339="","",IF($C339="","⚠ categoria",IFERROR(INDEX(Parâmetros!$C$13:$C$22,MATCH($C339,Parâmetros!$A$13:$A$22,0)),"⚠ categoria")))</f>
        <v/>
      </c>
      <c r="G339" s="35"/>
      <c r="H339" s="36" t="str">
        <f aca="false">IF($A339="","",IF(ISNUMBER($G339),$G339,IF(ISNUMBER($F339),$F339,"")))</f>
        <v/>
      </c>
      <c r="I339" s="37" t="str">
        <f aca="false">IF(OR($A339="",NOT(ISNUMBER($D339)),NOT(ISNUMBER($H339))),"",IF((1-$H339-Parâmetros!$B$5-Parâmetros!$C$5-Parâmetros!$D$5)&lt;=0,"INVALIDO",($D339+IF(ISNUMBER($E339),$E339,0)+IF(ISNUMBER(Parâmetros!$E$5),Parâmetros!$E$5,0))/(1-$H339-Parâmetros!$B$5-Parâmetros!$C$5-Parâmetros!$D$5)))</f>
        <v/>
      </c>
      <c r="J339" s="38"/>
      <c r="K339" s="39" t="str">
        <f aca="false">IF(OR($A339="",NOT(ISNUMBER($D339)),NOT(ISNUMBER($H339))),"",IF(AND(ISNUMBER($J339),$J339&gt;0),$J339,IF(ISNUMBER($I339),$I339,"")))</f>
        <v/>
      </c>
      <c r="L339" s="40" t="str">
        <f aca="false">IF(ISNUMBER($K339),$K339*$H339,"")</f>
        <v/>
      </c>
      <c r="M339" s="40" t="str">
        <f aca="false">IF(ISNUMBER($K339),$K339*Parâmetros!$B$5,"")</f>
        <v/>
      </c>
      <c r="N339" s="40" t="str">
        <f aca="false">IF(ISNUMBER($K339),$K339*Parâmetros!$C$5,"")</f>
        <v/>
      </c>
      <c r="O339" s="40" t="str">
        <f aca="false">IF(ISNUMBER($K339),IF(ISNUMBER(Parâmetros!$E$5),Parâmetros!$E$5,0),"")</f>
        <v/>
      </c>
      <c r="P339" s="41" t="str">
        <f aca="false">IF(ISNUMBER($K339),$K339-$D339-IF(ISNUMBER($E339),$E339,0)-$L339-$M339-$N339-$O339,"")</f>
        <v/>
      </c>
      <c r="Q339" s="42" t="str">
        <f aca="false">IF(AND(ISNUMBER($K339),$K339&gt;0),$P339/$K339,"")</f>
        <v/>
      </c>
      <c r="R339" s="43"/>
      <c r="S339" s="44" t="str">
        <f aca="false">IF(OR(NOT(ISNUMBER($R339)),$R339=0,NOT(ISNUMBER($K339))),"",$K339*(1-$R339))</f>
        <v/>
      </c>
      <c r="T339" s="45" t="str">
        <f aca="false">IF(ISNUMBER($S339),$S339*$H339,"")</f>
        <v/>
      </c>
      <c r="U339" s="45" t="str">
        <f aca="false">IF(ISNUMBER($S339),$S339*Parâmetros!$B$5,"")</f>
        <v/>
      </c>
      <c r="V339" s="45" t="str">
        <f aca="false">IF(ISNUMBER($S339),$S339*Parâmetros!$C$5,"")</f>
        <v/>
      </c>
      <c r="W339" s="44" t="str">
        <f aca="false">IF(ISNUMBER($S339),$S339-$D339-IF(ISNUMBER($E339),$E339,0)-$O339-$T339-$U339-$V339,"")</f>
        <v/>
      </c>
      <c r="X339" s="46" t="str">
        <f aca="false">IF(AND(ISNUMBER($S339),$S339&gt;0),$W339/$S339,"")</f>
        <v/>
      </c>
      <c r="Y339" s="49"/>
      <c r="Z339" s="21"/>
    </row>
    <row r="340" customFormat="false" ht="15.75" hidden="false" customHeight="true" outlineLevel="0" collapsed="false">
      <c r="A340" s="32" t="str">
        <f aca="false">IF(Produtos!$A340="","",Produtos!$A340)</f>
        <v/>
      </c>
      <c r="B340" s="32" t="str">
        <f aca="false">IF(Produtos!$A340="","",Produtos!$B340)</f>
        <v/>
      </c>
      <c r="C340" s="32" t="str">
        <f aca="false">IF(Produtos!$A340="","",Produtos!$C340)</f>
        <v/>
      </c>
      <c r="D340" s="33" t="str">
        <f aca="false">IF(Produtos!$A340="","",IF(Produtos!$D340="","",Produtos!$D340))</f>
        <v/>
      </c>
      <c r="E340" s="11"/>
      <c r="F340" s="34" t="str">
        <f aca="false">IF($A340="","",IF($C340="","⚠ categoria",IFERROR(INDEX(Parâmetros!$C$13:$C$22,MATCH($C340,Parâmetros!$A$13:$A$22,0)),"⚠ categoria")))</f>
        <v/>
      </c>
      <c r="G340" s="35"/>
      <c r="H340" s="36" t="str">
        <f aca="false">IF($A340="","",IF(ISNUMBER($G340),$G340,IF(ISNUMBER($F340),$F340,"")))</f>
        <v/>
      </c>
      <c r="I340" s="37" t="str">
        <f aca="false">IF(OR($A340="",NOT(ISNUMBER($D340)),NOT(ISNUMBER($H340))),"",IF((1-$H340-Parâmetros!$B$5-Parâmetros!$C$5-Parâmetros!$D$5)&lt;=0,"INVALIDO",($D340+IF(ISNUMBER($E340),$E340,0)+IF(ISNUMBER(Parâmetros!$E$5),Parâmetros!$E$5,0))/(1-$H340-Parâmetros!$B$5-Parâmetros!$C$5-Parâmetros!$D$5)))</f>
        <v/>
      </c>
      <c r="J340" s="38"/>
      <c r="K340" s="39" t="str">
        <f aca="false">IF(OR($A340="",NOT(ISNUMBER($D340)),NOT(ISNUMBER($H340))),"",IF(AND(ISNUMBER($J340),$J340&gt;0),$J340,IF(ISNUMBER($I340),$I340,"")))</f>
        <v/>
      </c>
      <c r="L340" s="40" t="str">
        <f aca="false">IF(ISNUMBER($K340),$K340*$H340,"")</f>
        <v/>
      </c>
      <c r="M340" s="40" t="str">
        <f aca="false">IF(ISNUMBER($K340),$K340*Parâmetros!$B$5,"")</f>
        <v/>
      </c>
      <c r="N340" s="40" t="str">
        <f aca="false">IF(ISNUMBER($K340),$K340*Parâmetros!$C$5,"")</f>
        <v/>
      </c>
      <c r="O340" s="40" t="str">
        <f aca="false">IF(ISNUMBER($K340),IF(ISNUMBER(Parâmetros!$E$5),Parâmetros!$E$5,0),"")</f>
        <v/>
      </c>
      <c r="P340" s="41" t="str">
        <f aca="false">IF(ISNUMBER($K340),$K340-$D340-IF(ISNUMBER($E340),$E340,0)-$L340-$M340-$N340-$O340,"")</f>
        <v/>
      </c>
      <c r="Q340" s="42" t="str">
        <f aca="false">IF(AND(ISNUMBER($K340),$K340&gt;0),$P340/$K340,"")</f>
        <v/>
      </c>
      <c r="R340" s="43"/>
      <c r="S340" s="44" t="str">
        <f aca="false">IF(OR(NOT(ISNUMBER($R340)),$R340=0,NOT(ISNUMBER($K340))),"",$K340*(1-$R340))</f>
        <v/>
      </c>
      <c r="T340" s="45" t="str">
        <f aca="false">IF(ISNUMBER($S340),$S340*$H340,"")</f>
        <v/>
      </c>
      <c r="U340" s="45" t="str">
        <f aca="false">IF(ISNUMBER($S340),$S340*Parâmetros!$B$5,"")</f>
        <v/>
      </c>
      <c r="V340" s="45" t="str">
        <f aca="false">IF(ISNUMBER($S340),$S340*Parâmetros!$C$5,"")</f>
        <v/>
      </c>
      <c r="W340" s="44" t="str">
        <f aca="false">IF(ISNUMBER($S340),$S340-$D340-IF(ISNUMBER($E340),$E340,0)-$O340-$T340-$U340-$V340,"")</f>
        <v/>
      </c>
      <c r="X340" s="46" t="str">
        <f aca="false">IF(AND(ISNUMBER($S340),$S340&gt;0),$W340/$S340,"")</f>
        <v/>
      </c>
      <c r="Y340" s="47"/>
      <c r="Z340" s="19"/>
    </row>
    <row r="341" customFormat="false" ht="15.75" hidden="false" customHeight="true" outlineLevel="0" collapsed="false">
      <c r="A341" s="48" t="str">
        <f aca="false">IF(Produtos!$A341="","",Produtos!$A341)</f>
        <v/>
      </c>
      <c r="B341" s="48" t="str">
        <f aca="false">IF(Produtos!$A341="","",Produtos!$B341)</f>
        <v/>
      </c>
      <c r="C341" s="48" t="str">
        <f aca="false">IF(Produtos!$A341="","",Produtos!$C341)</f>
        <v/>
      </c>
      <c r="D341" s="33" t="str">
        <f aca="false">IF(Produtos!$A341="","",IF(Produtos!$D341="","",Produtos!$D341))</f>
        <v/>
      </c>
      <c r="E341" s="11"/>
      <c r="F341" s="34" t="str">
        <f aca="false">IF($A341="","",IF($C341="","⚠ categoria",IFERROR(INDEX(Parâmetros!$C$13:$C$22,MATCH($C341,Parâmetros!$A$13:$A$22,0)),"⚠ categoria")))</f>
        <v/>
      </c>
      <c r="G341" s="35"/>
      <c r="H341" s="36" t="str">
        <f aca="false">IF($A341="","",IF(ISNUMBER($G341),$G341,IF(ISNUMBER($F341),$F341,"")))</f>
        <v/>
      </c>
      <c r="I341" s="37" t="str">
        <f aca="false">IF(OR($A341="",NOT(ISNUMBER($D341)),NOT(ISNUMBER($H341))),"",IF((1-$H341-Parâmetros!$B$5-Parâmetros!$C$5-Parâmetros!$D$5)&lt;=0,"INVALIDO",($D341+IF(ISNUMBER($E341),$E341,0)+IF(ISNUMBER(Parâmetros!$E$5),Parâmetros!$E$5,0))/(1-$H341-Parâmetros!$B$5-Parâmetros!$C$5-Parâmetros!$D$5)))</f>
        <v/>
      </c>
      <c r="J341" s="38"/>
      <c r="K341" s="39" t="str">
        <f aca="false">IF(OR($A341="",NOT(ISNUMBER($D341)),NOT(ISNUMBER($H341))),"",IF(AND(ISNUMBER($J341),$J341&gt;0),$J341,IF(ISNUMBER($I341),$I341,"")))</f>
        <v/>
      </c>
      <c r="L341" s="40" t="str">
        <f aca="false">IF(ISNUMBER($K341),$K341*$H341,"")</f>
        <v/>
      </c>
      <c r="M341" s="40" t="str">
        <f aca="false">IF(ISNUMBER($K341),$K341*Parâmetros!$B$5,"")</f>
        <v/>
      </c>
      <c r="N341" s="40" t="str">
        <f aca="false">IF(ISNUMBER($K341),$K341*Parâmetros!$C$5,"")</f>
        <v/>
      </c>
      <c r="O341" s="40" t="str">
        <f aca="false">IF(ISNUMBER($K341),IF(ISNUMBER(Parâmetros!$E$5),Parâmetros!$E$5,0),"")</f>
        <v/>
      </c>
      <c r="P341" s="41" t="str">
        <f aca="false">IF(ISNUMBER($K341),$K341-$D341-IF(ISNUMBER($E341),$E341,0)-$L341-$M341-$N341-$O341,"")</f>
        <v/>
      </c>
      <c r="Q341" s="42" t="str">
        <f aca="false">IF(AND(ISNUMBER($K341),$K341&gt;0),$P341/$K341,"")</f>
        <v/>
      </c>
      <c r="R341" s="43"/>
      <c r="S341" s="44" t="str">
        <f aca="false">IF(OR(NOT(ISNUMBER($R341)),$R341=0,NOT(ISNUMBER($K341))),"",$K341*(1-$R341))</f>
        <v/>
      </c>
      <c r="T341" s="45" t="str">
        <f aca="false">IF(ISNUMBER($S341),$S341*$H341,"")</f>
        <v/>
      </c>
      <c r="U341" s="45" t="str">
        <f aca="false">IF(ISNUMBER($S341),$S341*Parâmetros!$B$5,"")</f>
        <v/>
      </c>
      <c r="V341" s="45" t="str">
        <f aca="false">IF(ISNUMBER($S341),$S341*Parâmetros!$C$5,"")</f>
        <v/>
      </c>
      <c r="W341" s="44" t="str">
        <f aca="false">IF(ISNUMBER($S341),$S341-$D341-IF(ISNUMBER($E341),$E341,0)-$O341-$T341-$U341-$V341,"")</f>
        <v/>
      </c>
      <c r="X341" s="46" t="str">
        <f aca="false">IF(AND(ISNUMBER($S341),$S341&gt;0),$W341/$S341,"")</f>
        <v/>
      </c>
      <c r="Y341" s="49"/>
      <c r="Z341" s="21"/>
    </row>
    <row r="342" customFormat="false" ht="15.75" hidden="false" customHeight="true" outlineLevel="0" collapsed="false">
      <c r="A342" s="32" t="str">
        <f aca="false">IF(Produtos!$A342="","",Produtos!$A342)</f>
        <v/>
      </c>
      <c r="B342" s="32" t="str">
        <f aca="false">IF(Produtos!$A342="","",Produtos!$B342)</f>
        <v/>
      </c>
      <c r="C342" s="32" t="str">
        <f aca="false">IF(Produtos!$A342="","",Produtos!$C342)</f>
        <v/>
      </c>
      <c r="D342" s="33" t="str">
        <f aca="false">IF(Produtos!$A342="","",IF(Produtos!$D342="","",Produtos!$D342))</f>
        <v/>
      </c>
      <c r="E342" s="11"/>
      <c r="F342" s="34" t="str">
        <f aca="false">IF($A342="","",IF($C342="","⚠ categoria",IFERROR(INDEX(Parâmetros!$C$13:$C$22,MATCH($C342,Parâmetros!$A$13:$A$22,0)),"⚠ categoria")))</f>
        <v/>
      </c>
      <c r="G342" s="35"/>
      <c r="H342" s="36" t="str">
        <f aca="false">IF($A342="","",IF(ISNUMBER($G342),$G342,IF(ISNUMBER($F342),$F342,"")))</f>
        <v/>
      </c>
      <c r="I342" s="37" t="str">
        <f aca="false">IF(OR($A342="",NOT(ISNUMBER($D342)),NOT(ISNUMBER($H342))),"",IF((1-$H342-Parâmetros!$B$5-Parâmetros!$C$5-Parâmetros!$D$5)&lt;=0,"INVALIDO",($D342+IF(ISNUMBER($E342),$E342,0)+IF(ISNUMBER(Parâmetros!$E$5),Parâmetros!$E$5,0))/(1-$H342-Parâmetros!$B$5-Parâmetros!$C$5-Parâmetros!$D$5)))</f>
        <v/>
      </c>
      <c r="J342" s="38"/>
      <c r="K342" s="39" t="str">
        <f aca="false">IF(OR($A342="",NOT(ISNUMBER($D342)),NOT(ISNUMBER($H342))),"",IF(AND(ISNUMBER($J342),$J342&gt;0),$J342,IF(ISNUMBER($I342),$I342,"")))</f>
        <v/>
      </c>
      <c r="L342" s="40" t="str">
        <f aca="false">IF(ISNUMBER($K342),$K342*$H342,"")</f>
        <v/>
      </c>
      <c r="M342" s="40" t="str">
        <f aca="false">IF(ISNUMBER($K342),$K342*Parâmetros!$B$5,"")</f>
        <v/>
      </c>
      <c r="N342" s="40" t="str">
        <f aca="false">IF(ISNUMBER($K342),$K342*Parâmetros!$C$5,"")</f>
        <v/>
      </c>
      <c r="O342" s="40" t="str">
        <f aca="false">IF(ISNUMBER($K342),IF(ISNUMBER(Parâmetros!$E$5),Parâmetros!$E$5,0),"")</f>
        <v/>
      </c>
      <c r="P342" s="41" t="str">
        <f aca="false">IF(ISNUMBER($K342),$K342-$D342-IF(ISNUMBER($E342),$E342,0)-$L342-$M342-$N342-$O342,"")</f>
        <v/>
      </c>
      <c r="Q342" s="42" t="str">
        <f aca="false">IF(AND(ISNUMBER($K342),$K342&gt;0),$P342/$K342,"")</f>
        <v/>
      </c>
      <c r="R342" s="43"/>
      <c r="S342" s="44" t="str">
        <f aca="false">IF(OR(NOT(ISNUMBER($R342)),$R342=0,NOT(ISNUMBER($K342))),"",$K342*(1-$R342))</f>
        <v/>
      </c>
      <c r="T342" s="45" t="str">
        <f aca="false">IF(ISNUMBER($S342),$S342*$H342,"")</f>
        <v/>
      </c>
      <c r="U342" s="45" t="str">
        <f aca="false">IF(ISNUMBER($S342),$S342*Parâmetros!$B$5,"")</f>
        <v/>
      </c>
      <c r="V342" s="45" t="str">
        <f aca="false">IF(ISNUMBER($S342),$S342*Parâmetros!$C$5,"")</f>
        <v/>
      </c>
      <c r="W342" s="44" t="str">
        <f aca="false">IF(ISNUMBER($S342),$S342-$D342-IF(ISNUMBER($E342),$E342,0)-$O342-$T342-$U342-$V342,"")</f>
        <v/>
      </c>
      <c r="X342" s="46" t="str">
        <f aca="false">IF(AND(ISNUMBER($S342),$S342&gt;0),$W342/$S342,"")</f>
        <v/>
      </c>
      <c r="Y342" s="47"/>
      <c r="Z342" s="19"/>
    </row>
    <row r="343" customFormat="false" ht="15.75" hidden="false" customHeight="true" outlineLevel="0" collapsed="false">
      <c r="A343" s="48" t="str">
        <f aca="false">IF(Produtos!$A343="","",Produtos!$A343)</f>
        <v/>
      </c>
      <c r="B343" s="48" t="str">
        <f aca="false">IF(Produtos!$A343="","",Produtos!$B343)</f>
        <v/>
      </c>
      <c r="C343" s="48" t="str">
        <f aca="false">IF(Produtos!$A343="","",Produtos!$C343)</f>
        <v/>
      </c>
      <c r="D343" s="33" t="str">
        <f aca="false">IF(Produtos!$A343="","",IF(Produtos!$D343="","",Produtos!$D343))</f>
        <v/>
      </c>
      <c r="E343" s="11"/>
      <c r="F343" s="34" t="str">
        <f aca="false">IF($A343="","",IF($C343="","⚠ categoria",IFERROR(INDEX(Parâmetros!$C$13:$C$22,MATCH($C343,Parâmetros!$A$13:$A$22,0)),"⚠ categoria")))</f>
        <v/>
      </c>
      <c r="G343" s="35"/>
      <c r="H343" s="36" t="str">
        <f aca="false">IF($A343="","",IF(ISNUMBER($G343),$G343,IF(ISNUMBER($F343),$F343,"")))</f>
        <v/>
      </c>
      <c r="I343" s="37" t="str">
        <f aca="false">IF(OR($A343="",NOT(ISNUMBER($D343)),NOT(ISNUMBER($H343))),"",IF((1-$H343-Parâmetros!$B$5-Parâmetros!$C$5-Parâmetros!$D$5)&lt;=0,"INVALIDO",($D343+IF(ISNUMBER($E343),$E343,0)+IF(ISNUMBER(Parâmetros!$E$5),Parâmetros!$E$5,0))/(1-$H343-Parâmetros!$B$5-Parâmetros!$C$5-Parâmetros!$D$5)))</f>
        <v/>
      </c>
      <c r="J343" s="38"/>
      <c r="K343" s="39" t="str">
        <f aca="false">IF(OR($A343="",NOT(ISNUMBER($D343)),NOT(ISNUMBER($H343))),"",IF(AND(ISNUMBER($J343),$J343&gt;0),$J343,IF(ISNUMBER($I343),$I343,"")))</f>
        <v/>
      </c>
      <c r="L343" s="40" t="str">
        <f aca="false">IF(ISNUMBER($K343),$K343*$H343,"")</f>
        <v/>
      </c>
      <c r="M343" s="40" t="str">
        <f aca="false">IF(ISNUMBER($K343),$K343*Parâmetros!$B$5,"")</f>
        <v/>
      </c>
      <c r="N343" s="40" t="str">
        <f aca="false">IF(ISNUMBER($K343),$K343*Parâmetros!$C$5,"")</f>
        <v/>
      </c>
      <c r="O343" s="40" t="str">
        <f aca="false">IF(ISNUMBER($K343),IF(ISNUMBER(Parâmetros!$E$5),Parâmetros!$E$5,0),"")</f>
        <v/>
      </c>
      <c r="P343" s="41" t="str">
        <f aca="false">IF(ISNUMBER($K343),$K343-$D343-IF(ISNUMBER($E343),$E343,0)-$L343-$M343-$N343-$O343,"")</f>
        <v/>
      </c>
      <c r="Q343" s="42" t="str">
        <f aca="false">IF(AND(ISNUMBER($K343),$K343&gt;0),$P343/$K343,"")</f>
        <v/>
      </c>
      <c r="R343" s="43"/>
      <c r="S343" s="44" t="str">
        <f aca="false">IF(OR(NOT(ISNUMBER($R343)),$R343=0,NOT(ISNUMBER($K343))),"",$K343*(1-$R343))</f>
        <v/>
      </c>
      <c r="T343" s="45" t="str">
        <f aca="false">IF(ISNUMBER($S343),$S343*$H343,"")</f>
        <v/>
      </c>
      <c r="U343" s="45" t="str">
        <f aca="false">IF(ISNUMBER($S343),$S343*Parâmetros!$B$5,"")</f>
        <v/>
      </c>
      <c r="V343" s="45" t="str">
        <f aca="false">IF(ISNUMBER($S343),$S343*Parâmetros!$C$5,"")</f>
        <v/>
      </c>
      <c r="W343" s="44" t="str">
        <f aca="false">IF(ISNUMBER($S343),$S343-$D343-IF(ISNUMBER($E343),$E343,0)-$O343-$T343-$U343-$V343,"")</f>
        <v/>
      </c>
      <c r="X343" s="46" t="str">
        <f aca="false">IF(AND(ISNUMBER($S343),$S343&gt;0),$W343/$S343,"")</f>
        <v/>
      </c>
      <c r="Y343" s="49"/>
      <c r="Z343" s="21"/>
    </row>
    <row r="344" customFormat="false" ht="15.75" hidden="false" customHeight="true" outlineLevel="0" collapsed="false">
      <c r="A344" s="32" t="str">
        <f aca="false">IF(Produtos!$A344="","",Produtos!$A344)</f>
        <v/>
      </c>
      <c r="B344" s="32" t="str">
        <f aca="false">IF(Produtos!$A344="","",Produtos!$B344)</f>
        <v/>
      </c>
      <c r="C344" s="32" t="str">
        <f aca="false">IF(Produtos!$A344="","",Produtos!$C344)</f>
        <v/>
      </c>
      <c r="D344" s="33" t="str">
        <f aca="false">IF(Produtos!$A344="","",IF(Produtos!$D344="","",Produtos!$D344))</f>
        <v/>
      </c>
      <c r="E344" s="11"/>
      <c r="F344" s="34" t="str">
        <f aca="false">IF($A344="","",IF($C344="","⚠ categoria",IFERROR(INDEX(Parâmetros!$C$13:$C$22,MATCH($C344,Parâmetros!$A$13:$A$22,0)),"⚠ categoria")))</f>
        <v/>
      </c>
      <c r="G344" s="35"/>
      <c r="H344" s="36" t="str">
        <f aca="false">IF($A344="","",IF(ISNUMBER($G344),$G344,IF(ISNUMBER($F344),$F344,"")))</f>
        <v/>
      </c>
      <c r="I344" s="37" t="str">
        <f aca="false">IF(OR($A344="",NOT(ISNUMBER($D344)),NOT(ISNUMBER($H344))),"",IF((1-$H344-Parâmetros!$B$5-Parâmetros!$C$5-Parâmetros!$D$5)&lt;=0,"INVALIDO",($D344+IF(ISNUMBER($E344),$E344,0)+IF(ISNUMBER(Parâmetros!$E$5),Parâmetros!$E$5,0))/(1-$H344-Parâmetros!$B$5-Parâmetros!$C$5-Parâmetros!$D$5)))</f>
        <v/>
      </c>
      <c r="J344" s="38"/>
      <c r="K344" s="39" t="str">
        <f aca="false">IF(OR($A344="",NOT(ISNUMBER($D344)),NOT(ISNUMBER($H344))),"",IF(AND(ISNUMBER($J344),$J344&gt;0),$J344,IF(ISNUMBER($I344),$I344,"")))</f>
        <v/>
      </c>
      <c r="L344" s="40" t="str">
        <f aca="false">IF(ISNUMBER($K344),$K344*$H344,"")</f>
        <v/>
      </c>
      <c r="M344" s="40" t="str">
        <f aca="false">IF(ISNUMBER($K344),$K344*Parâmetros!$B$5,"")</f>
        <v/>
      </c>
      <c r="N344" s="40" t="str">
        <f aca="false">IF(ISNUMBER($K344),$K344*Parâmetros!$C$5,"")</f>
        <v/>
      </c>
      <c r="O344" s="40" t="str">
        <f aca="false">IF(ISNUMBER($K344),IF(ISNUMBER(Parâmetros!$E$5),Parâmetros!$E$5,0),"")</f>
        <v/>
      </c>
      <c r="P344" s="41" t="str">
        <f aca="false">IF(ISNUMBER($K344),$K344-$D344-IF(ISNUMBER($E344),$E344,0)-$L344-$M344-$N344-$O344,"")</f>
        <v/>
      </c>
      <c r="Q344" s="42" t="str">
        <f aca="false">IF(AND(ISNUMBER($K344),$K344&gt;0),$P344/$K344,"")</f>
        <v/>
      </c>
      <c r="R344" s="43"/>
      <c r="S344" s="44" t="str">
        <f aca="false">IF(OR(NOT(ISNUMBER($R344)),$R344=0,NOT(ISNUMBER($K344))),"",$K344*(1-$R344))</f>
        <v/>
      </c>
      <c r="T344" s="45" t="str">
        <f aca="false">IF(ISNUMBER($S344),$S344*$H344,"")</f>
        <v/>
      </c>
      <c r="U344" s="45" t="str">
        <f aca="false">IF(ISNUMBER($S344),$S344*Parâmetros!$B$5,"")</f>
        <v/>
      </c>
      <c r="V344" s="45" t="str">
        <f aca="false">IF(ISNUMBER($S344),$S344*Parâmetros!$C$5,"")</f>
        <v/>
      </c>
      <c r="W344" s="44" t="str">
        <f aca="false">IF(ISNUMBER($S344),$S344-$D344-IF(ISNUMBER($E344),$E344,0)-$O344-$T344-$U344-$V344,"")</f>
        <v/>
      </c>
      <c r="X344" s="46" t="str">
        <f aca="false">IF(AND(ISNUMBER($S344),$S344&gt;0),$W344/$S344,"")</f>
        <v/>
      </c>
      <c r="Y344" s="47"/>
      <c r="Z344" s="19"/>
    </row>
    <row r="345" customFormat="false" ht="15.75" hidden="false" customHeight="true" outlineLevel="0" collapsed="false">
      <c r="A345" s="48" t="str">
        <f aca="false">IF(Produtos!$A345="","",Produtos!$A345)</f>
        <v/>
      </c>
      <c r="B345" s="48" t="str">
        <f aca="false">IF(Produtos!$A345="","",Produtos!$B345)</f>
        <v/>
      </c>
      <c r="C345" s="48" t="str">
        <f aca="false">IF(Produtos!$A345="","",Produtos!$C345)</f>
        <v/>
      </c>
      <c r="D345" s="33" t="str">
        <f aca="false">IF(Produtos!$A345="","",IF(Produtos!$D345="","",Produtos!$D345))</f>
        <v/>
      </c>
      <c r="E345" s="11"/>
      <c r="F345" s="34" t="str">
        <f aca="false">IF($A345="","",IF($C345="","⚠ categoria",IFERROR(INDEX(Parâmetros!$C$13:$C$22,MATCH($C345,Parâmetros!$A$13:$A$22,0)),"⚠ categoria")))</f>
        <v/>
      </c>
      <c r="G345" s="35"/>
      <c r="H345" s="36" t="str">
        <f aca="false">IF($A345="","",IF(ISNUMBER($G345),$G345,IF(ISNUMBER($F345),$F345,"")))</f>
        <v/>
      </c>
      <c r="I345" s="37" t="str">
        <f aca="false">IF(OR($A345="",NOT(ISNUMBER($D345)),NOT(ISNUMBER($H345))),"",IF((1-$H345-Parâmetros!$B$5-Parâmetros!$C$5-Parâmetros!$D$5)&lt;=0,"INVALIDO",($D345+IF(ISNUMBER($E345),$E345,0)+IF(ISNUMBER(Parâmetros!$E$5),Parâmetros!$E$5,0))/(1-$H345-Parâmetros!$B$5-Parâmetros!$C$5-Parâmetros!$D$5)))</f>
        <v/>
      </c>
      <c r="J345" s="38"/>
      <c r="K345" s="39" t="str">
        <f aca="false">IF(OR($A345="",NOT(ISNUMBER($D345)),NOT(ISNUMBER($H345))),"",IF(AND(ISNUMBER($J345),$J345&gt;0),$J345,IF(ISNUMBER($I345),$I345,"")))</f>
        <v/>
      </c>
      <c r="L345" s="40" t="str">
        <f aca="false">IF(ISNUMBER($K345),$K345*$H345,"")</f>
        <v/>
      </c>
      <c r="M345" s="40" t="str">
        <f aca="false">IF(ISNUMBER($K345),$K345*Parâmetros!$B$5,"")</f>
        <v/>
      </c>
      <c r="N345" s="40" t="str">
        <f aca="false">IF(ISNUMBER($K345),$K345*Parâmetros!$C$5,"")</f>
        <v/>
      </c>
      <c r="O345" s="40" t="str">
        <f aca="false">IF(ISNUMBER($K345),IF(ISNUMBER(Parâmetros!$E$5),Parâmetros!$E$5,0),"")</f>
        <v/>
      </c>
      <c r="P345" s="41" t="str">
        <f aca="false">IF(ISNUMBER($K345),$K345-$D345-IF(ISNUMBER($E345),$E345,0)-$L345-$M345-$N345-$O345,"")</f>
        <v/>
      </c>
      <c r="Q345" s="42" t="str">
        <f aca="false">IF(AND(ISNUMBER($K345),$K345&gt;0),$P345/$K345,"")</f>
        <v/>
      </c>
      <c r="R345" s="43"/>
      <c r="S345" s="44" t="str">
        <f aca="false">IF(OR(NOT(ISNUMBER($R345)),$R345=0,NOT(ISNUMBER($K345))),"",$K345*(1-$R345))</f>
        <v/>
      </c>
      <c r="T345" s="45" t="str">
        <f aca="false">IF(ISNUMBER($S345),$S345*$H345,"")</f>
        <v/>
      </c>
      <c r="U345" s="45" t="str">
        <f aca="false">IF(ISNUMBER($S345),$S345*Parâmetros!$B$5,"")</f>
        <v/>
      </c>
      <c r="V345" s="45" t="str">
        <f aca="false">IF(ISNUMBER($S345),$S345*Parâmetros!$C$5,"")</f>
        <v/>
      </c>
      <c r="W345" s="44" t="str">
        <f aca="false">IF(ISNUMBER($S345),$S345-$D345-IF(ISNUMBER($E345),$E345,0)-$O345-$T345-$U345-$V345,"")</f>
        <v/>
      </c>
      <c r="X345" s="46" t="str">
        <f aca="false">IF(AND(ISNUMBER($S345),$S345&gt;0),$W345/$S345,"")</f>
        <v/>
      </c>
      <c r="Y345" s="49"/>
      <c r="Z345" s="21"/>
    </row>
    <row r="346" customFormat="false" ht="15.75" hidden="false" customHeight="true" outlineLevel="0" collapsed="false">
      <c r="A346" s="32" t="str">
        <f aca="false">IF(Produtos!$A346="","",Produtos!$A346)</f>
        <v/>
      </c>
      <c r="B346" s="32" t="str">
        <f aca="false">IF(Produtos!$A346="","",Produtos!$B346)</f>
        <v/>
      </c>
      <c r="C346" s="32" t="str">
        <f aca="false">IF(Produtos!$A346="","",Produtos!$C346)</f>
        <v/>
      </c>
      <c r="D346" s="33" t="str">
        <f aca="false">IF(Produtos!$A346="","",IF(Produtos!$D346="","",Produtos!$D346))</f>
        <v/>
      </c>
      <c r="E346" s="11"/>
      <c r="F346" s="34" t="str">
        <f aca="false">IF($A346="","",IF($C346="","⚠ categoria",IFERROR(INDEX(Parâmetros!$C$13:$C$22,MATCH($C346,Parâmetros!$A$13:$A$22,0)),"⚠ categoria")))</f>
        <v/>
      </c>
      <c r="G346" s="35"/>
      <c r="H346" s="36" t="str">
        <f aca="false">IF($A346="","",IF(ISNUMBER($G346),$G346,IF(ISNUMBER($F346),$F346,"")))</f>
        <v/>
      </c>
      <c r="I346" s="37" t="str">
        <f aca="false">IF(OR($A346="",NOT(ISNUMBER($D346)),NOT(ISNUMBER($H346))),"",IF((1-$H346-Parâmetros!$B$5-Parâmetros!$C$5-Parâmetros!$D$5)&lt;=0,"INVALIDO",($D346+IF(ISNUMBER($E346),$E346,0)+IF(ISNUMBER(Parâmetros!$E$5),Parâmetros!$E$5,0))/(1-$H346-Parâmetros!$B$5-Parâmetros!$C$5-Parâmetros!$D$5)))</f>
        <v/>
      </c>
      <c r="J346" s="38"/>
      <c r="K346" s="39" t="str">
        <f aca="false">IF(OR($A346="",NOT(ISNUMBER($D346)),NOT(ISNUMBER($H346))),"",IF(AND(ISNUMBER($J346),$J346&gt;0),$J346,IF(ISNUMBER($I346),$I346,"")))</f>
        <v/>
      </c>
      <c r="L346" s="40" t="str">
        <f aca="false">IF(ISNUMBER($K346),$K346*$H346,"")</f>
        <v/>
      </c>
      <c r="M346" s="40" t="str">
        <f aca="false">IF(ISNUMBER($K346),$K346*Parâmetros!$B$5,"")</f>
        <v/>
      </c>
      <c r="N346" s="40" t="str">
        <f aca="false">IF(ISNUMBER($K346),$K346*Parâmetros!$C$5,"")</f>
        <v/>
      </c>
      <c r="O346" s="40" t="str">
        <f aca="false">IF(ISNUMBER($K346),IF(ISNUMBER(Parâmetros!$E$5),Parâmetros!$E$5,0),"")</f>
        <v/>
      </c>
      <c r="P346" s="41" t="str">
        <f aca="false">IF(ISNUMBER($K346),$K346-$D346-IF(ISNUMBER($E346),$E346,0)-$L346-$M346-$N346-$O346,"")</f>
        <v/>
      </c>
      <c r="Q346" s="42" t="str">
        <f aca="false">IF(AND(ISNUMBER($K346),$K346&gt;0),$P346/$K346,"")</f>
        <v/>
      </c>
      <c r="R346" s="43"/>
      <c r="S346" s="44" t="str">
        <f aca="false">IF(OR(NOT(ISNUMBER($R346)),$R346=0,NOT(ISNUMBER($K346))),"",$K346*(1-$R346))</f>
        <v/>
      </c>
      <c r="T346" s="45" t="str">
        <f aca="false">IF(ISNUMBER($S346),$S346*$H346,"")</f>
        <v/>
      </c>
      <c r="U346" s="45" t="str">
        <f aca="false">IF(ISNUMBER($S346),$S346*Parâmetros!$B$5,"")</f>
        <v/>
      </c>
      <c r="V346" s="45" t="str">
        <f aca="false">IF(ISNUMBER($S346),$S346*Parâmetros!$C$5,"")</f>
        <v/>
      </c>
      <c r="W346" s="44" t="str">
        <f aca="false">IF(ISNUMBER($S346),$S346-$D346-IF(ISNUMBER($E346),$E346,0)-$O346-$T346-$U346-$V346,"")</f>
        <v/>
      </c>
      <c r="X346" s="46" t="str">
        <f aca="false">IF(AND(ISNUMBER($S346),$S346&gt;0),$W346/$S346,"")</f>
        <v/>
      </c>
      <c r="Y346" s="47"/>
      <c r="Z346" s="19"/>
    </row>
    <row r="347" customFormat="false" ht="15.75" hidden="false" customHeight="true" outlineLevel="0" collapsed="false">
      <c r="A347" s="48" t="str">
        <f aca="false">IF(Produtos!$A347="","",Produtos!$A347)</f>
        <v/>
      </c>
      <c r="B347" s="48" t="str">
        <f aca="false">IF(Produtos!$A347="","",Produtos!$B347)</f>
        <v/>
      </c>
      <c r="C347" s="48" t="str">
        <f aca="false">IF(Produtos!$A347="","",Produtos!$C347)</f>
        <v/>
      </c>
      <c r="D347" s="33" t="str">
        <f aca="false">IF(Produtos!$A347="","",IF(Produtos!$D347="","",Produtos!$D347))</f>
        <v/>
      </c>
      <c r="E347" s="11"/>
      <c r="F347" s="34" t="str">
        <f aca="false">IF($A347="","",IF($C347="","⚠ categoria",IFERROR(INDEX(Parâmetros!$C$13:$C$22,MATCH($C347,Parâmetros!$A$13:$A$22,0)),"⚠ categoria")))</f>
        <v/>
      </c>
      <c r="G347" s="35"/>
      <c r="H347" s="36" t="str">
        <f aca="false">IF($A347="","",IF(ISNUMBER($G347),$G347,IF(ISNUMBER($F347),$F347,"")))</f>
        <v/>
      </c>
      <c r="I347" s="37" t="str">
        <f aca="false">IF(OR($A347="",NOT(ISNUMBER($D347)),NOT(ISNUMBER($H347))),"",IF((1-$H347-Parâmetros!$B$5-Parâmetros!$C$5-Parâmetros!$D$5)&lt;=0,"INVALIDO",($D347+IF(ISNUMBER($E347),$E347,0)+IF(ISNUMBER(Parâmetros!$E$5),Parâmetros!$E$5,0))/(1-$H347-Parâmetros!$B$5-Parâmetros!$C$5-Parâmetros!$D$5)))</f>
        <v/>
      </c>
      <c r="J347" s="38"/>
      <c r="K347" s="39" t="str">
        <f aca="false">IF(OR($A347="",NOT(ISNUMBER($D347)),NOT(ISNUMBER($H347))),"",IF(AND(ISNUMBER($J347),$J347&gt;0),$J347,IF(ISNUMBER($I347),$I347,"")))</f>
        <v/>
      </c>
      <c r="L347" s="40" t="str">
        <f aca="false">IF(ISNUMBER($K347),$K347*$H347,"")</f>
        <v/>
      </c>
      <c r="M347" s="40" t="str">
        <f aca="false">IF(ISNUMBER($K347),$K347*Parâmetros!$B$5,"")</f>
        <v/>
      </c>
      <c r="N347" s="40" t="str">
        <f aca="false">IF(ISNUMBER($K347),$K347*Parâmetros!$C$5,"")</f>
        <v/>
      </c>
      <c r="O347" s="40" t="str">
        <f aca="false">IF(ISNUMBER($K347),IF(ISNUMBER(Parâmetros!$E$5),Parâmetros!$E$5,0),"")</f>
        <v/>
      </c>
      <c r="P347" s="41" t="str">
        <f aca="false">IF(ISNUMBER($K347),$K347-$D347-IF(ISNUMBER($E347),$E347,0)-$L347-$M347-$N347-$O347,"")</f>
        <v/>
      </c>
      <c r="Q347" s="42" t="str">
        <f aca="false">IF(AND(ISNUMBER($K347),$K347&gt;0),$P347/$K347,"")</f>
        <v/>
      </c>
      <c r="R347" s="43"/>
      <c r="S347" s="44" t="str">
        <f aca="false">IF(OR(NOT(ISNUMBER($R347)),$R347=0,NOT(ISNUMBER($K347))),"",$K347*(1-$R347))</f>
        <v/>
      </c>
      <c r="T347" s="45" t="str">
        <f aca="false">IF(ISNUMBER($S347),$S347*$H347,"")</f>
        <v/>
      </c>
      <c r="U347" s="45" t="str">
        <f aca="false">IF(ISNUMBER($S347),$S347*Parâmetros!$B$5,"")</f>
        <v/>
      </c>
      <c r="V347" s="45" t="str">
        <f aca="false">IF(ISNUMBER($S347),$S347*Parâmetros!$C$5,"")</f>
        <v/>
      </c>
      <c r="W347" s="44" t="str">
        <f aca="false">IF(ISNUMBER($S347),$S347-$D347-IF(ISNUMBER($E347),$E347,0)-$O347-$T347-$U347-$V347,"")</f>
        <v/>
      </c>
      <c r="X347" s="46" t="str">
        <f aca="false">IF(AND(ISNUMBER($S347),$S347&gt;0),$W347/$S347,"")</f>
        <v/>
      </c>
      <c r="Y347" s="49"/>
      <c r="Z347" s="21"/>
    </row>
    <row r="348" customFormat="false" ht="15.75" hidden="false" customHeight="true" outlineLevel="0" collapsed="false">
      <c r="A348" s="32" t="str">
        <f aca="false">IF(Produtos!$A348="","",Produtos!$A348)</f>
        <v/>
      </c>
      <c r="B348" s="32" t="str">
        <f aca="false">IF(Produtos!$A348="","",Produtos!$B348)</f>
        <v/>
      </c>
      <c r="C348" s="32" t="str">
        <f aca="false">IF(Produtos!$A348="","",Produtos!$C348)</f>
        <v/>
      </c>
      <c r="D348" s="33" t="str">
        <f aca="false">IF(Produtos!$A348="","",IF(Produtos!$D348="","",Produtos!$D348))</f>
        <v/>
      </c>
      <c r="E348" s="11"/>
      <c r="F348" s="34" t="str">
        <f aca="false">IF($A348="","",IF($C348="","⚠ categoria",IFERROR(INDEX(Parâmetros!$C$13:$C$22,MATCH($C348,Parâmetros!$A$13:$A$22,0)),"⚠ categoria")))</f>
        <v/>
      </c>
      <c r="G348" s="35"/>
      <c r="H348" s="36" t="str">
        <f aca="false">IF($A348="","",IF(ISNUMBER($G348),$G348,IF(ISNUMBER($F348),$F348,"")))</f>
        <v/>
      </c>
      <c r="I348" s="37" t="str">
        <f aca="false">IF(OR($A348="",NOT(ISNUMBER($D348)),NOT(ISNUMBER($H348))),"",IF((1-$H348-Parâmetros!$B$5-Parâmetros!$C$5-Parâmetros!$D$5)&lt;=0,"INVALIDO",($D348+IF(ISNUMBER($E348),$E348,0)+IF(ISNUMBER(Parâmetros!$E$5),Parâmetros!$E$5,0))/(1-$H348-Parâmetros!$B$5-Parâmetros!$C$5-Parâmetros!$D$5)))</f>
        <v/>
      </c>
      <c r="J348" s="38"/>
      <c r="K348" s="39" t="str">
        <f aca="false">IF(OR($A348="",NOT(ISNUMBER($D348)),NOT(ISNUMBER($H348))),"",IF(AND(ISNUMBER($J348),$J348&gt;0),$J348,IF(ISNUMBER($I348),$I348,"")))</f>
        <v/>
      </c>
      <c r="L348" s="40" t="str">
        <f aca="false">IF(ISNUMBER($K348),$K348*$H348,"")</f>
        <v/>
      </c>
      <c r="M348" s="40" t="str">
        <f aca="false">IF(ISNUMBER($K348),$K348*Parâmetros!$B$5,"")</f>
        <v/>
      </c>
      <c r="N348" s="40" t="str">
        <f aca="false">IF(ISNUMBER($K348),$K348*Parâmetros!$C$5,"")</f>
        <v/>
      </c>
      <c r="O348" s="40" t="str">
        <f aca="false">IF(ISNUMBER($K348),IF(ISNUMBER(Parâmetros!$E$5),Parâmetros!$E$5,0),"")</f>
        <v/>
      </c>
      <c r="P348" s="41" t="str">
        <f aca="false">IF(ISNUMBER($K348),$K348-$D348-IF(ISNUMBER($E348),$E348,0)-$L348-$M348-$N348-$O348,"")</f>
        <v/>
      </c>
      <c r="Q348" s="42" t="str">
        <f aca="false">IF(AND(ISNUMBER($K348),$K348&gt;0),$P348/$K348,"")</f>
        <v/>
      </c>
      <c r="R348" s="43"/>
      <c r="S348" s="44" t="str">
        <f aca="false">IF(OR(NOT(ISNUMBER($R348)),$R348=0,NOT(ISNUMBER($K348))),"",$K348*(1-$R348))</f>
        <v/>
      </c>
      <c r="T348" s="45" t="str">
        <f aca="false">IF(ISNUMBER($S348),$S348*$H348,"")</f>
        <v/>
      </c>
      <c r="U348" s="45" t="str">
        <f aca="false">IF(ISNUMBER($S348),$S348*Parâmetros!$B$5,"")</f>
        <v/>
      </c>
      <c r="V348" s="45" t="str">
        <f aca="false">IF(ISNUMBER($S348),$S348*Parâmetros!$C$5,"")</f>
        <v/>
      </c>
      <c r="W348" s="44" t="str">
        <f aca="false">IF(ISNUMBER($S348),$S348-$D348-IF(ISNUMBER($E348),$E348,0)-$O348-$T348-$U348-$V348,"")</f>
        <v/>
      </c>
      <c r="X348" s="46" t="str">
        <f aca="false">IF(AND(ISNUMBER($S348),$S348&gt;0),$W348/$S348,"")</f>
        <v/>
      </c>
      <c r="Y348" s="47"/>
      <c r="Z348" s="19"/>
    </row>
    <row r="349" customFormat="false" ht="15.75" hidden="false" customHeight="true" outlineLevel="0" collapsed="false">
      <c r="A349" s="48" t="str">
        <f aca="false">IF(Produtos!$A349="","",Produtos!$A349)</f>
        <v/>
      </c>
      <c r="B349" s="48" t="str">
        <f aca="false">IF(Produtos!$A349="","",Produtos!$B349)</f>
        <v/>
      </c>
      <c r="C349" s="48" t="str">
        <f aca="false">IF(Produtos!$A349="","",Produtos!$C349)</f>
        <v/>
      </c>
      <c r="D349" s="33" t="str">
        <f aca="false">IF(Produtos!$A349="","",IF(Produtos!$D349="","",Produtos!$D349))</f>
        <v/>
      </c>
      <c r="E349" s="11"/>
      <c r="F349" s="34" t="str">
        <f aca="false">IF($A349="","",IF($C349="","⚠ categoria",IFERROR(INDEX(Parâmetros!$C$13:$C$22,MATCH($C349,Parâmetros!$A$13:$A$22,0)),"⚠ categoria")))</f>
        <v/>
      </c>
      <c r="G349" s="35"/>
      <c r="H349" s="36" t="str">
        <f aca="false">IF($A349="","",IF(ISNUMBER($G349),$G349,IF(ISNUMBER($F349),$F349,"")))</f>
        <v/>
      </c>
      <c r="I349" s="37" t="str">
        <f aca="false">IF(OR($A349="",NOT(ISNUMBER($D349)),NOT(ISNUMBER($H349))),"",IF((1-$H349-Parâmetros!$B$5-Parâmetros!$C$5-Parâmetros!$D$5)&lt;=0,"INVALIDO",($D349+IF(ISNUMBER($E349),$E349,0)+IF(ISNUMBER(Parâmetros!$E$5),Parâmetros!$E$5,0))/(1-$H349-Parâmetros!$B$5-Parâmetros!$C$5-Parâmetros!$D$5)))</f>
        <v/>
      </c>
      <c r="J349" s="38"/>
      <c r="K349" s="39" t="str">
        <f aca="false">IF(OR($A349="",NOT(ISNUMBER($D349)),NOT(ISNUMBER($H349))),"",IF(AND(ISNUMBER($J349),$J349&gt;0),$J349,IF(ISNUMBER($I349),$I349,"")))</f>
        <v/>
      </c>
      <c r="L349" s="40" t="str">
        <f aca="false">IF(ISNUMBER($K349),$K349*$H349,"")</f>
        <v/>
      </c>
      <c r="M349" s="40" t="str">
        <f aca="false">IF(ISNUMBER($K349),$K349*Parâmetros!$B$5,"")</f>
        <v/>
      </c>
      <c r="N349" s="40" t="str">
        <f aca="false">IF(ISNUMBER($K349),$K349*Parâmetros!$C$5,"")</f>
        <v/>
      </c>
      <c r="O349" s="40" t="str">
        <f aca="false">IF(ISNUMBER($K349),IF(ISNUMBER(Parâmetros!$E$5),Parâmetros!$E$5,0),"")</f>
        <v/>
      </c>
      <c r="P349" s="41" t="str">
        <f aca="false">IF(ISNUMBER($K349),$K349-$D349-IF(ISNUMBER($E349),$E349,0)-$L349-$M349-$N349-$O349,"")</f>
        <v/>
      </c>
      <c r="Q349" s="42" t="str">
        <f aca="false">IF(AND(ISNUMBER($K349),$K349&gt;0),$P349/$K349,"")</f>
        <v/>
      </c>
      <c r="R349" s="43"/>
      <c r="S349" s="44" t="str">
        <f aca="false">IF(OR(NOT(ISNUMBER($R349)),$R349=0,NOT(ISNUMBER($K349))),"",$K349*(1-$R349))</f>
        <v/>
      </c>
      <c r="T349" s="45" t="str">
        <f aca="false">IF(ISNUMBER($S349),$S349*$H349,"")</f>
        <v/>
      </c>
      <c r="U349" s="45" t="str">
        <f aca="false">IF(ISNUMBER($S349),$S349*Parâmetros!$B$5,"")</f>
        <v/>
      </c>
      <c r="V349" s="45" t="str">
        <f aca="false">IF(ISNUMBER($S349),$S349*Parâmetros!$C$5,"")</f>
        <v/>
      </c>
      <c r="W349" s="44" t="str">
        <f aca="false">IF(ISNUMBER($S349),$S349-$D349-IF(ISNUMBER($E349),$E349,0)-$O349-$T349-$U349-$V349,"")</f>
        <v/>
      </c>
      <c r="X349" s="46" t="str">
        <f aca="false">IF(AND(ISNUMBER($S349),$S349&gt;0),$W349/$S349,"")</f>
        <v/>
      </c>
      <c r="Y349" s="49"/>
      <c r="Z349" s="21"/>
    </row>
  </sheetData>
  <autoFilter ref="A3:Z349"/>
  <mergeCells count="7">
    <mergeCell ref="A1:Z1"/>
    <mergeCell ref="A2:C2"/>
    <mergeCell ref="D2:E2"/>
    <mergeCell ref="F2:H2"/>
    <mergeCell ref="L2:Q2"/>
    <mergeCell ref="R2:X2"/>
    <mergeCell ref="Y2:Z2"/>
  </mergeCells>
  <conditionalFormatting sqref="P4:P349">
    <cfRule type="expression" priority="2" aboveAverage="0" equalAverage="0" bottom="0" percent="0" rank="0" text="" dxfId="19">
      <formula>AND(ISNUMBER($P4),$P4&lt;0)</formula>
    </cfRule>
  </conditionalFormatting>
  <conditionalFormatting sqref="Q4:Q349">
    <cfRule type="expression" priority="3" aboveAverage="0" equalAverage="0" bottom="0" percent="0" rank="0" text="" dxfId="19">
      <formula>AND(ISNUMBER($Q4),$Q4&lt;0)</formula>
    </cfRule>
    <cfRule type="expression" priority="4" aboveAverage="0" equalAverage="0" bottom="0" percent="0" rank="0" text="" dxfId="20">
      <formula>AND(ISNUMBER($Q4),$Q4&lt;Parâmetros!$D$5)</formula>
    </cfRule>
  </conditionalFormatting>
  <conditionalFormatting sqref="W4:W349">
    <cfRule type="expression" priority="5" aboveAverage="0" equalAverage="0" bottom="0" percent="0" rank="0" text="" dxfId="19">
      <formula>AND(ISNUMBER($W4),$W4&lt;0)</formula>
    </cfRule>
  </conditionalFormatting>
  <conditionalFormatting sqref="X4:X349">
    <cfRule type="expression" priority="6" aboveAverage="0" equalAverage="0" bottom="0" percent="0" rank="0" text="" dxfId="19">
      <formula>AND(ISNUMBER($X4),$X4&lt;0)</formula>
    </cfRule>
    <cfRule type="expression" priority="7" aboveAverage="0" equalAverage="0" bottom="0" percent="0" rank="0" text="" dxfId="20">
      <formula>AND(ISNUMBER($X4),$X4&lt;Parâmetros!$D$5)</formula>
    </cfRule>
  </conditionalFormatting>
  <conditionalFormatting sqref="F4:F349">
    <cfRule type="expression" priority="8" aboveAverage="0" equalAverage="0" bottom="0" percent="0" rank="0" text="" dxfId="19">
      <formula>$F4="⚠ categoria"</formula>
    </cfRule>
  </conditionalFormatting>
  <conditionalFormatting sqref="I4:I349">
    <cfRule type="expression" priority="9" aboveAverage="0" equalAverage="0" bottom="0" percent="0" rank="0" text="" dxfId="19">
      <formula>$I4="INVALIDO"</formula>
    </cfRule>
  </conditionalFormatting>
  <dataValidations count="2">
    <dataValidation allowBlank="true" error="Digite o desconto como fração (0,10 = 10%)." errorStyle="stop" errorTitle="% Desconto" operator="between" showDropDown="false" showErrorMessage="true" showInputMessage="false" sqref="R4:R349" type="decimal">
      <formula1>0</formula1>
      <formula2>1</formula2>
    </dataValidation>
    <dataValidation allowBlank="true" error="Digite a comissão como fração (0,12 = 12%)." errorStyle="stop" errorTitle="Comissão manual" operator="between" showDropDown="false" showErrorMessage="true" showInputMessage="false" sqref="G4:G349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9900"/>
    <pageSetUpPr fitToPage="false"/>
  </sheetPr>
  <dimension ref="A1:Z34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4"/>
    <col collapsed="false" customWidth="true" hidden="false" outlineLevel="0" max="3" min="3" style="0" width="22"/>
    <col collapsed="false" customWidth="true" hidden="false" outlineLevel="0" max="4" min="4" style="0" width="13"/>
    <col collapsed="false" customWidth="true" hidden="false" outlineLevel="0" max="8" min="5" style="0" width="11"/>
    <col collapsed="false" customWidth="true" hidden="false" outlineLevel="0" max="11" min="9" style="0" width="13"/>
    <col collapsed="false" customWidth="true" hidden="false" outlineLevel="0" max="13" min="12" style="0" width="12"/>
    <col collapsed="false" customWidth="true" hidden="false" outlineLevel="0" max="15" min="14" style="0" width="11"/>
    <col collapsed="false" customWidth="true" hidden="false" outlineLevel="0" max="16" min="16" style="0" width="13"/>
    <col collapsed="false" customWidth="true" hidden="false" outlineLevel="0" max="18" min="17" style="0" width="10"/>
    <col collapsed="false" customWidth="true" hidden="false" outlineLevel="0" max="19" min="19" style="0" width="13"/>
    <col collapsed="false" customWidth="true" hidden="false" outlineLevel="0" max="21" min="20" style="0" width="12"/>
    <col collapsed="false" customWidth="true" hidden="false" outlineLevel="0" max="22" min="22" style="0" width="11"/>
    <col collapsed="false" customWidth="true" hidden="false" outlineLevel="0" max="23" min="23" style="0" width="13"/>
    <col collapsed="false" customWidth="true" hidden="false" outlineLevel="0" max="24" min="24" style="0" width="10"/>
    <col collapsed="false" customWidth="true" hidden="false" outlineLevel="0" max="25" min="25" style="0" width="11"/>
    <col collapsed="false" customWidth="true" hidden="false" outlineLevel="0" max="26" min="26" style="0" width="34"/>
  </cols>
  <sheetData>
    <row r="1" customFormat="false" ht="24" hidden="false" customHeight="true" outlineLevel="0" collapsed="false">
      <c r="A1" s="50" t="str">
        <f aca="false">"AMAZON  |  Comissão por categoria (aba Parâmetros) ou manual por linha  |  Imposto "&amp;TEXT(Parâmetros!$B$6,"0%")&amp;"  |  ADS "&amp;TEXT(Parâmetros!$C$6,"0.0%")&amp;"  |  Margem mín. "&amp;TEXT(Parâmetros!$D$6,"0%")&amp;"  |  Custo fixo/un. R$ "&amp;TEXT(Parâmetros!$E$6,"0.00")</f>
        <v>AMAZON  |  Comissão por categoria (aba Parâmetros) ou manual por linha  |  Imposto 10%  |  ADS 3.0%  |  Margem mín. 20%  |  Custo fixo/un. R$ 0.00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customFormat="false" ht="27.75" hidden="false" customHeight="true" outlineLevel="0" collapsed="false">
      <c r="A2" s="23" t="s">
        <v>704</v>
      </c>
      <c r="B2" s="23"/>
      <c r="C2" s="23"/>
      <c r="D2" s="24" t="s">
        <v>705</v>
      </c>
      <c r="E2" s="24"/>
      <c r="F2" s="25" t="s">
        <v>706</v>
      </c>
      <c r="G2" s="25"/>
      <c r="H2" s="25"/>
      <c r="I2" s="26" t="s">
        <v>707</v>
      </c>
      <c r="J2" s="27" t="s">
        <v>708</v>
      </c>
      <c r="K2" s="28" t="s">
        <v>709</v>
      </c>
      <c r="L2" s="29" t="s">
        <v>710</v>
      </c>
      <c r="M2" s="29"/>
      <c r="N2" s="29"/>
      <c r="O2" s="29"/>
      <c r="P2" s="29"/>
      <c r="Q2" s="29"/>
      <c r="R2" s="30" t="s">
        <v>711</v>
      </c>
      <c r="S2" s="30"/>
      <c r="T2" s="30"/>
      <c r="U2" s="30"/>
      <c r="V2" s="30"/>
      <c r="W2" s="30"/>
      <c r="X2" s="30"/>
      <c r="Y2" s="31" t="s">
        <v>712</v>
      </c>
      <c r="Z2" s="31"/>
    </row>
    <row r="3" customFormat="false" ht="39.75" hidden="false" customHeight="true" outlineLevel="0" collapsed="false">
      <c r="A3" s="7" t="s">
        <v>101</v>
      </c>
      <c r="B3" s="7" t="s">
        <v>102</v>
      </c>
      <c r="C3" s="7" t="s">
        <v>82</v>
      </c>
      <c r="D3" s="7" t="s">
        <v>104</v>
      </c>
      <c r="E3" s="7" t="s">
        <v>713</v>
      </c>
      <c r="F3" s="7" t="s">
        <v>714</v>
      </c>
      <c r="G3" s="7" t="s">
        <v>715</v>
      </c>
      <c r="H3" s="7" t="s">
        <v>716</v>
      </c>
      <c r="I3" s="7" t="s">
        <v>717</v>
      </c>
      <c r="J3" s="7" t="s">
        <v>718</v>
      </c>
      <c r="K3" s="7" t="s">
        <v>719</v>
      </c>
      <c r="L3" s="7" t="s">
        <v>720</v>
      </c>
      <c r="M3" s="7" t="s">
        <v>721</v>
      </c>
      <c r="N3" s="7" t="s">
        <v>722</v>
      </c>
      <c r="O3" s="7" t="s">
        <v>723</v>
      </c>
      <c r="P3" s="7" t="s">
        <v>724</v>
      </c>
      <c r="Q3" s="7" t="s">
        <v>725</v>
      </c>
      <c r="R3" s="7" t="s">
        <v>726</v>
      </c>
      <c r="S3" s="7" t="s">
        <v>727</v>
      </c>
      <c r="T3" s="7" t="s">
        <v>728</v>
      </c>
      <c r="U3" s="7" t="s">
        <v>729</v>
      </c>
      <c r="V3" s="7" t="s">
        <v>730</v>
      </c>
      <c r="W3" s="7" t="s">
        <v>731</v>
      </c>
      <c r="X3" s="7" t="s">
        <v>732</v>
      </c>
      <c r="Y3" s="7" t="s">
        <v>733</v>
      </c>
      <c r="Z3" s="7" t="s">
        <v>71</v>
      </c>
    </row>
    <row r="4" customFormat="false" ht="15.75" hidden="false" customHeight="true" outlineLevel="0" collapsed="false">
      <c r="A4" s="32" t="str">
        <f aca="false">IF(Produtos!$A4="","",Produtos!$A4)</f>
        <v>L1618</v>
      </c>
      <c r="B4" s="32" t="str">
        <f aca="false">IF(Produtos!$A4="","",Produtos!$B4)</f>
        <v>Lixeira Aço Inox s/Tampa 16x18 03L</v>
      </c>
      <c r="C4" s="32" t="str">
        <f aca="false">IF(Produtos!$A4="","",Produtos!$C4)</f>
        <v>Lixeiras em inox</v>
      </c>
      <c r="D4" s="33" t="n">
        <f aca="false">IF(Produtos!$A4="","",IF(Produtos!$D4="","",Produtos!$D4))</f>
        <v>39.8</v>
      </c>
      <c r="E4" s="11" t="n">
        <v>0</v>
      </c>
      <c r="F4" s="34" t="n">
        <f aca="false">IF($A4="","",IF($C4="","⚠ categoria",IFERROR(INDEX(Parâmetros!$D$13:$D$22,MATCH($C4,Parâmetros!$A$13:$A$22,0)),"⚠ categoria")))</f>
        <v>0.13</v>
      </c>
      <c r="G4" s="35"/>
      <c r="H4" s="36" t="n">
        <f aca="false">IF($A4="","",IF(ISNUMBER($G4),$G4,IF(ISNUMBER($F4),$F4,"")))</f>
        <v>0.13</v>
      </c>
      <c r="I4" s="37" t="n">
        <f aca="false">IF(OR($A4="",NOT(ISNUMBER($D4)),NOT(ISNUMBER($H4))),"",IF((1-$H4-Parâmetros!$B$6-Parâmetros!$C$6-Parâmetros!$D$6)&lt;=0,"INVALIDO",($D4+IF(ISNUMBER($E4),$E4,0)+IF(ISNUMBER(Parâmetros!$E$6),Parâmetros!$E$6,0))/(1-$H4-Parâmetros!$B$6-Parâmetros!$C$6-Parâmetros!$D$6)))</f>
        <v>73.7037037037037</v>
      </c>
      <c r="J4" s="38" t="n">
        <v>93.9</v>
      </c>
      <c r="K4" s="39" t="n">
        <f aca="false">IF(OR($A4="",NOT(ISNUMBER($D4)),NOT(ISNUMBER($H4))),"",IF(AND(ISNUMBER($J4),$J4&gt;0),$J4,IF(ISNUMBER($I4),$I4,"")))</f>
        <v>93.9</v>
      </c>
      <c r="L4" s="40" t="n">
        <f aca="false">IF(ISNUMBER($K4),$K4*$H4,"")</f>
        <v>12.207</v>
      </c>
      <c r="M4" s="40" t="n">
        <f aca="false">IF(ISNUMBER($K4),$K4*Parâmetros!$B$6,"")</f>
        <v>9.39</v>
      </c>
      <c r="N4" s="40" t="n">
        <f aca="false">IF(ISNUMBER($K4),$K4*Parâmetros!$C$6,"")</f>
        <v>2.817</v>
      </c>
      <c r="O4" s="40" t="n">
        <f aca="false">IF(ISNUMBER($K4),IF(ISNUMBER(Parâmetros!$E$6),Parâmetros!$E$6,0),"")</f>
        <v>0</v>
      </c>
      <c r="P4" s="41" t="n">
        <f aca="false">IF(ISNUMBER($K4),$K4-$D4-IF(ISNUMBER($E4),$E4,0)-$L4-$M4-$N4-$O4,"")</f>
        <v>29.686</v>
      </c>
      <c r="Q4" s="42" t="n">
        <f aca="false">IF(AND(ISNUMBER($K4),$K4&gt;0),$P4/$K4,"")</f>
        <v>0.316144834930778</v>
      </c>
      <c r="R4" s="43"/>
      <c r="S4" s="44" t="str">
        <f aca="false">IF(OR(NOT(ISNUMBER($R4)),$R4=0,NOT(ISNUMBER($K4))),"",$K4*(1-$R4))</f>
        <v/>
      </c>
      <c r="T4" s="45" t="str">
        <f aca="false">IF(ISNUMBER($S4),$S4*$H4,"")</f>
        <v/>
      </c>
      <c r="U4" s="45" t="str">
        <f aca="false">IF(ISNUMBER($S4),$S4*Parâmetros!$B$6,"")</f>
        <v/>
      </c>
      <c r="V4" s="45" t="str">
        <f aca="false">IF(ISNUMBER($S4),$S4*Parâmetros!$C$6,"")</f>
        <v/>
      </c>
      <c r="W4" s="44" t="str">
        <f aca="false">IF(ISNUMBER($S4),$S4-$D4-IF(ISNUMBER($E4),$E4,0)-$O4-$T4-$U4-$V4,"")</f>
        <v/>
      </c>
      <c r="X4" s="46" t="str">
        <f aca="false">IF(AND(ISNUMBER($S4),$S4&gt;0),$W4/$S4,"")</f>
        <v/>
      </c>
      <c r="Y4" s="47" t="s">
        <v>737</v>
      </c>
      <c r="Z4" s="19" t="s">
        <v>747</v>
      </c>
    </row>
    <row r="5" customFormat="false" ht="15.75" hidden="false" customHeight="true" outlineLevel="0" collapsed="false">
      <c r="A5" s="48" t="str">
        <f aca="false">IF(Produtos!$A5="","",Produtos!$A5)</f>
        <v>L1623</v>
      </c>
      <c r="B5" s="48" t="str">
        <f aca="false">IF(Produtos!$A5="","",Produtos!$B5)</f>
        <v>Lixeira Aço Inox s/Tampa 16x23 05L</v>
      </c>
      <c r="C5" s="48" t="str">
        <f aca="false">IF(Produtos!$A5="","",Produtos!$C5)</f>
        <v>Lixeiras em inox</v>
      </c>
      <c r="D5" s="33" t="n">
        <f aca="false">IF(Produtos!$A5="","",IF(Produtos!$D5="","",Produtos!$D5))</f>
        <v>49.15</v>
      </c>
      <c r="E5" s="11" t="n">
        <v>0</v>
      </c>
      <c r="F5" s="34" t="n">
        <f aca="false">IF($A5="","",IF($C5="","⚠ categoria",IFERROR(INDEX(Parâmetros!$D$13:$D$22,MATCH($C5,Parâmetros!$A$13:$A$22,0)),"⚠ categoria")))</f>
        <v>0.13</v>
      </c>
      <c r="G5" s="35"/>
      <c r="H5" s="36" t="n">
        <f aca="false">IF($A5="","",IF(ISNUMBER($G5),$G5,IF(ISNUMBER($F5),$F5,"")))</f>
        <v>0.13</v>
      </c>
      <c r="I5" s="37" t="n">
        <f aca="false">IF(OR($A5="",NOT(ISNUMBER($D5)),NOT(ISNUMBER($H5))),"",IF((1-$H5-Parâmetros!$B$6-Parâmetros!$C$6-Parâmetros!$D$6)&lt;=0,"INVALIDO",($D5+IF(ISNUMBER($E5),$E5,0)+IF(ISNUMBER(Parâmetros!$E$6),Parâmetros!$E$6,0))/(1-$H5-Parâmetros!$B$6-Parâmetros!$C$6-Parâmetros!$D$6)))</f>
        <v>91.0185185185185</v>
      </c>
      <c r="J5" s="38" t="n">
        <v>109.9</v>
      </c>
      <c r="K5" s="39" t="n">
        <f aca="false">IF(OR($A5="",NOT(ISNUMBER($D5)),NOT(ISNUMBER($H5))),"",IF(AND(ISNUMBER($J5),$J5&gt;0),$J5,IF(ISNUMBER($I5),$I5,"")))</f>
        <v>109.9</v>
      </c>
      <c r="L5" s="40" t="n">
        <f aca="false">IF(ISNUMBER($K5),$K5*$H5,"")</f>
        <v>14.287</v>
      </c>
      <c r="M5" s="40" t="n">
        <f aca="false">IF(ISNUMBER($K5),$K5*Parâmetros!$B$6,"")</f>
        <v>10.99</v>
      </c>
      <c r="N5" s="40" t="n">
        <f aca="false">IF(ISNUMBER($K5),$K5*Parâmetros!$C$6,"")</f>
        <v>3.297</v>
      </c>
      <c r="O5" s="40" t="n">
        <f aca="false">IF(ISNUMBER($K5),IF(ISNUMBER(Parâmetros!$E$6),Parâmetros!$E$6,0),"")</f>
        <v>0</v>
      </c>
      <c r="P5" s="41" t="n">
        <f aca="false">IF(ISNUMBER($K5),$K5-$D5-IF(ISNUMBER($E5),$E5,0)-$L5-$M5-$N5-$O5,"")</f>
        <v>32.176</v>
      </c>
      <c r="Q5" s="42" t="n">
        <f aca="false">IF(AND(ISNUMBER($K5),$K5&gt;0),$P5/$K5,"")</f>
        <v>0.29277525022748</v>
      </c>
      <c r="R5" s="43"/>
      <c r="S5" s="44" t="str">
        <f aca="false">IF(OR(NOT(ISNUMBER($R5)),$R5=0,NOT(ISNUMBER($K5))),"",$K5*(1-$R5))</f>
        <v/>
      </c>
      <c r="T5" s="45" t="str">
        <f aca="false">IF(ISNUMBER($S5),$S5*$H5,"")</f>
        <v/>
      </c>
      <c r="U5" s="45" t="str">
        <f aca="false">IF(ISNUMBER($S5),$S5*Parâmetros!$B$6,"")</f>
        <v/>
      </c>
      <c r="V5" s="45" t="str">
        <f aca="false">IF(ISNUMBER($S5),$S5*Parâmetros!$C$6,"")</f>
        <v/>
      </c>
      <c r="W5" s="44" t="str">
        <f aca="false">IF(ISNUMBER($S5),$S5-$D5-IF(ISNUMBER($E5),$E5,0)-$O5-$T5-$U5-$V5,"")</f>
        <v/>
      </c>
      <c r="X5" s="46" t="str">
        <f aca="false">IF(AND(ISNUMBER($S5),$S5&gt;0),$W5/$S5,"")</f>
        <v/>
      </c>
      <c r="Y5" s="49" t="s">
        <v>737</v>
      </c>
      <c r="Z5" s="21" t="s">
        <v>747</v>
      </c>
    </row>
    <row r="6" customFormat="false" ht="15.75" hidden="false" customHeight="true" outlineLevel="0" collapsed="false">
      <c r="A6" s="32" t="str">
        <f aca="false">IF(Produtos!$A6="","",Produtos!$A6)</f>
        <v>L2025</v>
      </c>
      <c r="B6" s="32" t="str">
        <f aca="false">IF(Produtos!$A6="","",Produtos!$B6)</f>
        <v>Lixeira Aço Inox s/Tampa 20x25 07L</v>
      </c>
      <c r="C6" s="32" t="str">
        <f aca="false">IF(Produtos!$A6="","",Produtos!$C6)</f>
        <v>Lixeiras em inox</v>
      </c>
      <c r="D6" s="33" t="n">
        <f aca="false">IF(Produtos!$A6="","",IF(Produtos!$D6="","",Produtos!$D6))</f>
        <v>51.82</v>
      </c>
      <c r="E6" s="11" t="n">
        <v>0</v>
      </c>
      <c r="F6" s="34" t="n">
        <f aca="false">IF($A6="","",IF($C6="","⚠ categoria",IFERROR(INDEX(Parâmetros!$D$13:$D$22,MATCH($C6,Parâmetros!$A$13:$A$22,0)),"⚠ categoria")))</f>
        <v>0.13</v>
      </c>
      <c r="G6" s="35"/>
      <c r="H6" s="36" t="n">
        <f aca="false">IF($A6="","",IF(ISNUMBER($G6),$G6,IF(ISNUMBER($F6),$F6,"")))</f>
        <v>0.13</v>
      </c>
      <c r="I6" s="37" t="n">
        <f aca="false">IF(OR($A6="",NOT(ISNUMBER($D6)),NOT(ISNUMBER($H6))),"",IF((1-$H6-Parâmetros!$B$6-Parâmetros!$C$6-Parâmetros!$D$6)&lt;=0,"INVALIDO",($D6+IF(ISNUMBER($E6),$E6,0)+IF(ISNUMBER(Parâmetros!$E$6),Parâmetros!$E$6,0))/(1-$H6-Parâmetros!$B$6-Parâmetros!$C$6-Parâmetros!$D$6)))</f>
        <v>95.962962962963</v>
      </c>
      <c r="J6" s="38" t="n">
        <v>113.11</v>
      </c>
      <c r="K6" s="39" t="n">
        <f aca="false">IF(OR($A6="",NOT(ISNUMBER($D6)),NOT(ISNUMBER($H6))),"",IF(AND(ISNUMBER($J6),$J6&gt;0),$J6,IF(ISNUMBER($I6),$I6,"")))</f>
        <v>113.11</v>
      </c>
      <c r="L6" s="40" t="n">
        <f aca="false">IF(ISNUMBER($K6),$K6*$H6,"")</f>
        <v>14.7043</v>
      </c>
      <c r="M6" s="40" t="n">
        <f aca="false">IF(ISNUMBER($K6),$K6*Parâmetros!$B$6,"")</f>
        <v>11.311</v>
      </c>
      <c r="N6" s="40" t="n">
        <f aca="false">IF(ISNUMBER($K6),$K6*Parâmetros!$C$6,"")</f>
        <v>3.3933</v>
      </c>
      <c r="O6" s="40" t="n">
        <f aca="false">IF(ISNUMBER($K6),IF(ISNUMBER(Parâmetros!$E$6),Parâmetros!$E$6,0),"")</f>
        <v>0</v>
      </c>
      <c r="P6" s="41" t="n">
        <f aca="false">IF(ISNUMBER($K6),$K6-$D6-IF(ISNUMBER($E6),$E6,0)-$L6-$M6-$N6-$O6,"")</f>
        <v>31.8814</v>
      </c>
      <c r="Q6" s="42" t="n">
        <f aca="false">IF(AND(ISNUMBER($K6),$K6&gt;0),$P6/$K6,"")</f>
        <v>0.281861904340907</v>
      </c>
      <c r="R6" s="43"/>
      <c r="S6" s="44" t="str">
        <f aca="false">IF(OR(NOT(ISNUMBER($R6)),$R6=0,NOT(ISNUMBER($K6))),"",$K6*(1-$R6))</f>
        <v/>
      </c>
      <c r="T6" s="45" t="str">
        <f aca="false">IF(ISNUMBER($S6),$S6*$H6,"")</f>
        <v/>
      </c>
      <c r="U6" s="45" t="str">
        <f aca="false">IF(ISNUMBER($S6),$S6*Parâmetros!$B$6,"")</f>
        <v/>
      </c>
      <c r="V6" s="45" t="str">
        <f aca="false">IF(ISNUMBER($S6),$S6*Parâmetros!$C$6,"")</f>
        <v/>
      </c>
      <c r="W6" s="44" t="str">
        <f aca="false">IF(ISNUMBER($S6),$S6-$D6-IF(ISNUMBER($E6),$E6,0)-$O6-$T6-$U6-$V6,"")</f>
        <v/>
      </c>
      <c r="X6" s="46" t="str">
        <f aca="false">IF(AND(ISNUMBER($S6),$S6&gt;0),$W6/$S6,"")</f>
        <v/>
      </c>
      <c r="Y6" s="47" t="s">
        <v>737</v>
      </c>
      <c r="Z6" s="19" t="s">
        <v>747</v>
      </c>
    </row>
    <row r="7" customFormat="false" ht="15.75" hidden="false" customHeight="true" outlineLevel="0" collapsed="false">
      <c r="A7" s="48" t="str">
        <f aca="false">IF(Produtos!$A7="","",Produtos!$A7)</f>
        <v>L2030</v>
      </c>
      <c r="B7" s="48" t="str">
        <f aca="false">IF(Produtos!$A7="","",Produtos!$B7)</f>
        <v>Lixeira Aço Inox s/Tampa 20x30 10L</v>
      </c>
      <c r="C7" s="48" t="str">
        <f aca="false">IF(Produtos!$A7="","",Produtos!$C7)</f>
        <v>Lixeiras em inox</v>
      </c>
      <c r="D7" s="33" t="n">
        <f aca="false">IF(Produtos!$A7="","",IF(Produtos!$D7="","",Produtos!$D7))</f>
        <v>55.49</v>
      </c>
      <c r="E7" s="11" t="n">
        <v>0</v>
      </c>
      <c r="F7" s="34" t="n">
        <f aca="false">IF($A7="","",IF($C7="","⚠ categoria",IFERROR(INDEX(Parâmetros!$D$13:$D$22,MATCH($C7,Parâmetros!$A$13:$A$22,0)),"⚠ categoria")))</f>
        <v>0.13</v>
      </c>
      <c r="G7" s="35"/>
      <c r="H7" s="36" t="n">
        <f aca="false">IF($A7="","",IF(ISNUMBER($G7),$G7,IF(ISNUMBER($F7),$F7,"")))</f>
        <v>0.13</v>
      </c>
      <c r="I7" s="37" t="n">
        <f aca="false">IF(OR($A7="",NOT(ISNUMBER($D7)),NOT(ISNUMBER($H7))),"",IF((1-$H7-Parâmetros!$B$6-Parâmetros!$C$6-Parâmetros!$D$6)&lt;=0,"INVALIDO",($D7+IF(ISNUMBER($E7),$E7,0)+IF(ISNUMBER(Parâmetros!$E$6),Parâmetros!$E$6,0))/(1-$H7-Parâmetros!$B$6-Parâmetros!$C$6-Parâmetros!$D$6)))</f>
        <v>102.759259259259</v>
      </c>
      <c r="J7" s="38" t="n">
        <v>119.22</v>
      </c>
      <c r="K7" s="39" t="n">
        <f aca="false">IF(OR($A7="",NOT(ISNUMBER($D7)),NOT(ISNUMBER($H7))),"",IF(AND(ISNUMBER($J7),$J7&gt;0),$J7,IF(ISNUMBER($I7),$I7,"")))</f>
        <v>119.22</v>
      </c>
      <c r="L7" s="40" t="n">
        <f aca="false">IF(ISNUMBER($K7),$K7*$H7,"")</f>
        <v>15.4986</v>
      </c>
      <c r="M7" s="40" t="n">
        <f aca="false">IF(ISNUMBER($K7),$K7*Parâmetros!$B$6,"")</f>
        <v>11.922</v>
      </c>
      <c r="N7" s="40" t="n">
        <f aca="false">IF(ISNUMBER($K7),$K7*Parâmetros!$C$6,"")</f>
        <v>3.5766</v>
      </c>
      <c r="O7" s="40" t="n">
        <f aca="false">IF(ISNUMBER($K7),IF(ISNUMBER(Parâmetros!$E$6),Parâmetros!$E$6,0),"")</f>
        <v>0</v>
      </c>
      <c r="P7" s="41" t="n">
        <f aca="false">IF(ISNUMBER($K7),$K7-$D7-IF(ISNUMBER($E7),$E7,0)-$L7-$M7-$N7-$O7,"")</f>
        <v>32.7328</v>
      </c>
      <c r="Q7" s="42" t="n">
        <f aca="false">IF(AND(ISNUMBER($K7),$K7&gt;0),$P7/$K7,"")</f>
        <v>0.274557960073813</v>
      </c>
      <c r="R7" s="43"/>
      <c r="S7" s="44" t="str">
        <f aca="false">IF(OR(NOT(ISNUMBER($R7)),$R7=0,NOT(ISNUMBER($K7))),"",$K7*(1-$R7))</f>
        <v/>
      </c>
      <c r="T7" s="45" t="str">
        <f aca="false">IF(ISNUMBER($S7),$S7*$H7,"")</f>
        <v/>
      </c>
      <c r="U7" s="45" t="str">
        <f aca="false">IF(ISNUMBER($S7),$S7*Parâmetros!$B$6,"")</f>
        <v/>
      </c>
      <c r="V7" s="45" t="str">
        <f aca="false">IF(ISNUMBER($S7),$S7*Parâmetros!$C$6,"")</f>
        <v/>
      </c>
      <c r="W7" s="44" t="str">
        <f aca="false">IF(ISNUMBER($S7),$S7-$D7-IF(ISNUMBER($E7),$E7,0)-$O7-$T7-$U7-$V7,"")</f>
        <v/>
      </c>
      <c r="X7" s="46" t="str">
        <f aca="false">IF(AND(ISNUMBER($S7),$S7&gt;0),$W7/$S7,"")</f>
        <v/>
      </c>
      <c r="Y7" s="49" t="s">
        <v>737</v>
      </c>
      <c r="Z7" s="21" t="s">
        <v>747</v>
      </c>
    </row>
    <row r="8" customFormat="false" ht="15.75" hidden="false" customHeight="true" outlineLevel="0" collapsed="false">
      <c r="A8" s="32" t="str">
        <f aca="false">IF(Produtos!$A8="","",Produtos!$A8)</f>
        <v>L2425</v>
      </c>
      <c r="B8" s="32" t="str">
        <f aca="false">IF(Produtos!$A8="","",Produtos!$B8)</f>
        <v>Lixeira Aço Inox s/Tampa 24x25 13L</v>
      </c>
      <c r="C8" s="32" t="str">
        <f aca="false">IF(Produtos!$A8="","",Produtos!$C8)</f>
        <v>Lixeiras em inox</v>
      </c>
      <c r="D8" s="33" t="n">
        <f aca="false">IF(Produtos!$A8="","",IF(Produtos!$D8="","",Produtos!$D8))</f>
        <v>62.2</v>
      </c>
      <c r="E8" s="11" t="n">
        <v>0</v>
      </c>
      <c r="F8" s="34" t="n">
        <f aca="false">IF($A8="","",IF($C8="","⚠ categoria",IFERROR(INDEX(Parâmetros!$D$13:$D$22,MATCH($C8,Parâmetros!$A$13:$A$22,0)),"⚠ categoria")))</f>
        <v>0.13</v>
      </c>
      <c r="G8" s="35"/>
      <c r="H8" s="36" t="n">
        <f aca="false">IF($A8="","",IF(ISNUMBER($G8),$G8,IF(ISNUMBER($F8),$F8,"")))</f>
        <v>0.13</v>
      </c>
      <c r="I8" s="37" t="n">
        <f aca="false">IF(OR($A8="",NOT(ISNUMBER($D8)),NOT(ISNUMBER($H8))),"",IF((1-$H8-Parâmetros!$B$6-Parâmetros!$C$6-Parâmetros!$D$6)&lt;=0,"INVALIDO",($D8+IF(ISNUMBER($E8),$E8,0)+IF(ISNUMBER(Parâmetros!$E$6),Parâmetros!$E$6,0))/(1-$H8-Parâmetros!$B$6-Parâmetros!$C$6-Parâmetros!$D$6)))</f>
        <v>115.185185185185</v>
      </c>
      <c r="J8" s="38"/>
      <c r="K8" s="39" t="n">
        <f aca="false">IF(OR($A8="",NOT(ISNUMBER($D8)),NOT(ISNUMBER($H8))),"",IF(AND(ISNUMBER($J8),$J8&gt;0),$J8,IF(ISNUMBER($I8),$I8,"")))</f>
        <v>115.185185185185</v>
      </c>
      <c r="L8" s="40" t="n">
        <f aca="false">IF(ISNUMBER($K8),$K8*$H8,"")</f>
        <v>14.9740740740741</v>
      </c>
      <c r="M8" s="40" t="n">
        <f aca="false">IF(ISNUMBER($K8),$K8*Parâmetros!$B$6,"")</f>
        <v>11.5185185185185</v>
      </c>
      <c r="N8" s="40" t="n">
        <f aca="false">IF(ISNUMBER($K8),$K8*Parâmetros!$C$6,"")</f>
        <v>3.45555555555556</v>
      </c>
      <c r="O8" s="40" t="n">
        <f aca="false">IF(ISNUMBER($K8),IF(ISNUMBER(Parâmetros!$E$6),Parâmetros!$E$6,0),"")</f>
        <v>0</v>
      </c>
      <c r="P8" s="41" t="n">
        <f aca="false">IF(ISNUMBER($K8),$K8-$D8-IF(ISNUMBER($E8),$E8,0)-$L8-$M8-$N8-$O8,"")</f>
        <v>23.037037037037</v>
      </c>
      <c r="Q8" s="42" t="n">
        <f aca="false">IF(AND(ISNUMBER($K8),$K8&gt;0),$P8/$K8,"")</f>
        <v>0.2</v>
      </c>
      <c r="R8" s="43"/>
      <c r="S8" s="44" t="str">
        <f aca="false">IF(OR(NOT(ISNUMBER($R8)),$R8=0,NOT(ISNUMBER($K8))),"",$K8*(1-$R8))</f>
        <v/>
      </c>
      <c r="T8" s="45" t="str">
        <f aca="false">IF(ISNUMBER($S8),$S8*$H8,"")</f>
        <v/>
      </c>
      <c r="U8" s="45" t="str">
        <f aca="false">IF(ISNUMBER($S8),$S8*Parâmetros!$B$6,"")</f>
        <v/>
      </c>
      <c r="V8" s="45" t="str">
        <f aca="false">IF(ISNUMBER($S8),$S8*Parâmetros!$C$6,"")</f>
        <v/>
      </c>
      <c r="W8" s="44" t="str">
        <f aca="false">IF(ISNUMBER($S8),$S8-$D8-IF(ISNUMBER($E8),$E8,0)-$O8-$T8-$U8-$V8,"")</f>
        <v/>
      </c>
      <c r="X8" s="46" t="str">
        <f aca="false">IF(AND(ISNUMBER($S8),$S8&gt;0),$W8/$S8,"")</f>
        <v/>
      </c>
      <c r="Y8" s="47"/>
      <c r="Z8" s="19"/>
    </row>
    <row r="9" customFormat="false" ht="15.75" hidden="false" customHeight="true" outlineLevel="0" collapsed="false">
      <c r="A9" s="48" t="str">
        <f aca="false">IF(Produtos!$A9="","",Produtos!$A9)</f>
        <v>L2430</v>
      </c>
      <c r="B9" s="48" t="str">
        <f aca="false">IF(Produtos!$A9="","",Produtos!$B9)</f>
        <v>Lixeira Aço Inox s/Tampa 24x30 15L</v>
      </c>
      <c r="C9" s="48" t="str">
        <f aca="false">IF(Produtos!$A9="","",Produtos!$C9)</f>
        <v>Lixeiras em inox</v>
      </c>
      <c r="D9" s="33" t="n">
        <f aca="false">IF(Produtos!$A9="","",IF(Produtos!$D9="","",Produtos!$D9))</f>
        <v>69.93</v>
      </c>
      <c r="E9" s="11" t="n">
        <v>0</v>
      </c>
      <c r="F9" s="34" t="n">
        <f aca="false">IF($A9="","",IF($C9="","⚠ categoria",IFERROR(INDEX(Parâmetros!$D$13:$D$22,MATCH($C9,Parâmetros!$A$13:$A$22,0)),"⚠ categoria")))</f>
        <v>0.13</v>
      </c>
      <c r="G9" s="35"/>
      <c r="H9" s="36" t="n">
        <f aca="false">IF($A9="","",IF(ISNUMBER($G9),$G9,IF(ISNUMBER($F9),$F9,"")))</f>
        <v>0.13</v>
      </c>
      <c r="I9" s="37" t="n">
        <f aca="false">IF(OR($A9="",NOT(ISNUMBER($D9)),NOT(ISNUMBER($H9))),"",IF((1-$H9-Parâmetros!$B$6-Parâmetros!$C$6-Parâmetros!$D$6)&lt;=0,"INVALIDO",($D9+IF(ISNUMBER($E9),$E9,0)+IF(ISNUMBER(Parâmetros!$E$6),Parâmetros!$E$6,0))/(1-$H9-Parâmetros!$B$6-Parâmetros!$C$6-Parâmetros!$D$6)))</f>
        <v>129.5</v>
      </c>
      <c r="J9" s="38"/>
      <c r="K9" s="39" t="n">
        <f aca="false">IF(OR($A9="",NOT(ISNUMBER($D9)),NOT(ISNUMBER($H9))),"",IF(AND(ISNUMBER($J9),$J9&gt;0),$J9,IF(ISNUMBER($I9),$I9,"")))</f>
        <v>129.5</v>
      </c>
      <c r="L9" s="40" t="n">
        <f aca="false">IF(ISNUMBER($K9),$K9*$H9,"")</f>
        <v>16.835</v>
      </c>
      <c r="M9" s="40" t="n">
        <f aca="false">IF(ISNUMBER($K9),$K9*Parâmetros!$B$6,"")</f>
        <v>12.95</v>
      </c>
      <c r="N9" s="40" t="n">
        <f aca="false">IF(ISNUMBER($K9),$K9*Parâmetros!$C$6,"")</f>
        <v>3.885</v>
      </c>
      <c r="O9" s="40" t="n">
        <f aca="false">IF(ISNUMBER($K9),IF(ISNUMBER(Parâmetros!$E$6),Parâmetros!$E$6,0),"")</f>
        <v>0</v>
      </c>
      <c r="P9" s="41" t="n">
        <f aca="false">IF(ISNUMBER($K9),$K9-$D9-IF(ISNUMBER($E9),$E9,0)-$L9-$M9-$N9-$O9,"")</f>
        <v>25.9</v>
      </c>
      <c r="Q9" s="42" t="n">
        <f aca="false">IF(AND(ISNUMBER($K9),$K9&gt;0),$P9/$K9,"")</f>
        <v>0.2</v>
      </c>
      <c r="R9" s="43"/>
      <c r="S9" s="44" t="str">
        <f aca="false">IF(OR(NOT(ISNUMBER($R9)),$R9=0,NOT(ISNUMBER($K9))),"",$K9*(1-$R9))</f>
        <v/>
      </c>
      <c r="T9" s="45" t="str">
        <f aca="false">IF(ISNUMBER($S9),$S9*$H9,"")</f>
        <v/>
      </c>
      <c r="U9" s="45" t="str">
        <f aca="false">IF(ISNUMBER($S9),$S9*Parâmetros!$B$6,"")</f>
        <v/>
      </c>
      <c r="V9" s="45" t="str">
        <f aca="false">IF(ISNUMBER($S9),$S9*Parâmetros!$C$6,"")</f>
        <v/>
      </c>
      <c r="W9" s="44" t="str">
        <f aca="false">IF(ISNUMBER($S9),$S9-$D9-IF(ISNUMBER($E9),$E9,0)-$O9-$T9-$U9-$V9,"")</f>
        <v/>
      </c>
      <c r="X9" s="46" t="str">
        <f aca="false">IF(AND(ISNUMBER($S9),$S9&gt;0),$W9/$S9,"")</f>
        <v/>
      </c>
      <c r="Y9" s="49"/>
      <c r="Z9" s="21"/>
    </row>
    <row r="10" customFormat="false" ht="15.75" hidden="false" customHeight="true" outlineLevel="0" collapsed="false">
      <c r="A10" s="32" t="str">
        <f aca="false">IF(Produtos!$A10="","",Produtos!$A10)</f>
        <v>L2440</v>
      </c>
      <c r="B10" s="32" t="str">
        <f aca="false">IF(Produtos!$A10="","",Produtos!$B10)</f>
        <v>Lixeira Aço Inox s/Tampa 24x40 20L</v>
      </c>
      <c r="C10" s="32" t="str">
        <f aca="false">IF(Produtos!$A10="","",Produtos!$C10)</f>
        <v>Lixeiras em inox</v>
      </c>
      <c r="D10" s="33" t="n">
        <f aca="false">IF(Produtos!$A10="","",IF(Produtos!$D10="","",Produtos!$D10))</f>
        <v>85.92</v>
      </c>
      <c r="E10" s="11" t="n">
        <v>0</v>
      </c>
      <c r="F10" s="34" t="n">
        <f aca="false">IF($A10="","",IF($C10="","⚠ categoria",IFERROR(INDEX(Parâmetros!$D$13:$D$22,MATCH($C10,Parâmetros!$A$13:$A$22,0)),"⚠ categoria")))</f>
        <v>0.13</v>
      </c>
      <c r="G10" s="35"/>
      <c r="H10" s="36" t="n">
        <f aca="false">IF($A10="","",IF(ISNUMBER($G10),$G10,IF(ISNUMBER($F10),$F10,"")))</f>
        <v>0.13</v>
      </c>
      <c r="I10" s="37" t="n">
        <f aca="false">IF(OR($A10="",NOT(ISNUMBER($D10)),NOT(ISNUMBER($H10))),"",IF((1-$H10-Parâmetros!$B$6-Parâmetros!$C$6-Parâmetros!$D$6)&lt;=0,"INVALIDO",($D10+IF(ISNUMBER($E10),$E10,0)+IF(ISNUMBER(Parâmetros!$E$6),Parâmetros!$E$6,0))/(1-$H10-Parâmetros!$B$6-Parâmetros!$C$6-Parâmetros!$D$6)))</f>
        <v>159.111111111111</v>
      </c>
      <c r="J10" s="38"/>
      <c r="K10" s="39" t="n">
        <f aca="false">IF(OR($A10="",NOT(ISNUMBER($D10)),NOT(ISNUMBER($H10))),"",IF(AND(ISNUMBER($J10),$J10&gt;0),$J10,IF(ISNUMBER($I10),$I10,"")))</f>
        <v>159.111111111111</v>
      </c>
      <c r="L10" s="40" t="n">
        <f aca="false">IF(ISNUMBER($K10),$K10*$H10,"")</f>
        <v>20.6844444444444</v>
      </c>
      <c r="M10" s="40" t="n">
        <f aca="false">IF(ISNUMBER($K10),$K10*Parâmetros!$B$6,"")</f>
        <v>15.9111111111111</v>
      </c>
      <c r="N10" s="40" t="n">
        <f aca="false">IF(ISNUMBER($K10),$K10*Parâmetros!$C$6,"")</f>
        <v>4.77333333333333</v>
      </c>
      <c r="O10" s="40" t="n">
        <f aca="false">IF(ISNUMBER($K10),IF(ISNUMBER(Parâmetros!$E$6),Parâmetros!$E$6,0),"")</f>
        <v>0</v>
      </c>
      <c r="P10" s="41" t="n">
        <f aca="false">IF(ISNUMBER($K10),$K10-$D10-IF(ISNUMBER($E10),$E10,0)-$L10-$M10-$N10-$O10,"")</f>
        <v>31.8222222222222</v>
      </c>
      <c r="Q10" s="42" t="n">
        <f aca="false">IF(AND(ISNUMBER($K10),$K10&gt;0),$P10/$K10,"")</f>
        <v>0.2</v>
      </c>
      <c r="R10" s="43"/>
      <c r="S10" s="44" t="str">
        <f aca="false">IF(OR(NOT(ISNUMBER($R10)),$R10=0,NOT(ISNUMBER($K10))),"",$K10*(1-$R10))</f>
        <v/>
      </c>
      <c r="T10" s="45" t="str">
        <f aca="false">IF(ISNUMBER($S10),$S10*$H10,"")</f>
        <v/>
      </c>
      <c r="U10" s="45" t="str">
        <f aca="false">IF(ISNUMBER($S10),$S10*Parâmetros!$B$6,"")</f>
        <v/>
      </c>
      <c r="V10" s="45" t="str">
        <f aca="false">IF(ISNUMBER($S10),$S10*Parâmetros!$C$6,"")</f>
        <v/>
      </c>
      <c r="W10" s="44" t="str">
        <f aca="false">IF(ISNUMBER($S10),$S10-$D10-IF(ISNUMBER($E10),$E10,0)-$O10-$T10-$U10-$V10,"")</f>
        <v/>
      </c>
      <c r="X10" s="46" t="str">
        <f aca="false">IF(AND(ISNUMBER($S10),$S10&gt;0),$W10/$S10,"")</f>
        <v/>
      </c>
      <c r="Y10" s="47"/>
      <c r="Z10" s="19"/>
    </row>
    <row r="11" customFormat="false" ht="15.75" hidden="false" customHeight="true" outlineLevel="0" collapsed="false">
      <c r="A11" s="48" t="str">
        <f aca="false">IF(Produtos!$A11="","",Produtos!$A11)</f>
        <v>L2450</v>
      </c>
      <c r="B11" s="48" t="str">
        <f aca="false">IF(Produtos!$A11="","",Produtos!$B11)</f>
        <v>Lixeira Aço Inox s/Tampa 24x50 25L</v>
      </c>
      <c r="C11" s="48" t="str">
        <f aca="false">IF(Produtos!$A11="","",Produtos!$C11)</f>
        <v>Lixeiras em inox</v>
      </c>
      <c r="D11" s="33" t="n">
        <f aca="false">IF(Produtos!$A11="","",IF(Produtos!$D11="","",Produtos!$D11))</f>
        <v>116.34</v>
      </c>
      <c r="E11" s="11" t="n">
        <v>0</v>
      </c>
      <c r="F11" s="34" t="n">
        <f aca="false">IF($A11="","",IF($C11="","⚠ categoria",IFERROR(INDEX(Parâmetros!$D$13:$D$22,MATCH($C11,Parâmetros!$A$13:$A$22,0)),"⚠ categoria")))</f>
        <v>0.13</v>
      </c>
      <c r="G11" s="35"/>
      <c r="H11" s="36" t="n">
        <f aca="false">IF($A11="","",IF(ISNUMBER($G11),$G11,IF(ISNUMBER($F11),$F11,"")))</f>
        <v>0.13</v>
      </c>
      <c r="I11" s="37" t="n">
        <f aca="false">IF(OR($A11="",NOT(ISNUMBER($D11)),NOT(ISNUMBER($H11))),"",IF((1-$H11-Parâmetros!$B$6-Parâmetros!$C$6-Parâmetros!$D$6)&lt;=0,"INVALIDO",($D11+IF(ISNUMBER($E11),$E11,0)+IF(ISNUMBER(Parâmetros!$E$6),Parâmetros!$E$6,0))/(1-$H11-Parâmetros!$B$6-Parâmetros!$C$6-Parâmetros!$D$6)))</f>
        <v>215.444444444444</v>
      </c>
      <c r="J11" s="38"/>
      <c r="K11" s="39" t="n">
        <f aca="false">IF(OR($A11="",NOT(ISNUMBER($D11)),NOT(ISNUMBER($H11))),"",IF(AND(ISNUMBER($J11),$J11&gt;0),$J11,IF(ISNUMBER($I11),$I11,"")))</f>
        <v>215.444444444444</v>
      </c>
      <c r="L11" s="40" t="n">
        <f aca="false">IF(ISNUMBER($K11),$K11*$H11,"")</f>
        <v>28.0077777777778</v>
      </c>
      <c r="M11" s="40" t="n">
        <f aca="false">IF(ISNUMBER($K11),$K11*Parâmetros!$B$6,"")</f>
        <v>21.5444444444444</v>
      </c>
      <c r="N11" s="40" t="n">
        <f aca="false">IF(ISNUMBER($K11),$K11*Parâmetros!$C$6,"")</f>
        <v>6.46333333333333</v>
      </c>
      <c r="O11" s="40" t="n">
        <f aca="false">IF(ISNUMBER($K11),IF(ISNUMBER(Parâmetros!$E$6),Parâmetros!$E$6,0),"")</f>
        <v>0</v>
      </c>
      <c r="P11" s="41" t="n">
        <f aca="false">IF(ISNUMBER($K11),$K11-$D11-IF(ISNUMBER($E11),$E11,0)-$L11-$M11-$N11-$O11,"")</f>
        <v>43.0888888888889</v>
      </c>
      <c r="Q11" s="42" t="n">
        <f aca="false">IF(AND(ISNUMBER($K11),$K11&gt;0),$P11/$K11,"")</f>
        <v>0.2</v>
      </c>
      <c r="R11" s="43"/>
      <c r="S11" s="44" t="str">
        <f aca="false">IF(OR(NOT(ISNUMBER($R11)),$R11=0,NOT(ISNUMBER($K11))),"",$K11*(1-$R11))</f>
        <v/>
      </c>
      <c r="T11" s="45" t="str">
        <f aca="false">IF(ISNUMBER($S11),$S11*$H11,"")</f>
        <v/>
      </c>
      <c r="U11" s="45" t="str">
        <f aca="false">IF(ISNUMBER($S11),$S11*Parâmetros!$B$6,"")</f>
        <v/>
      </c>
      <c r="V11" s="45" t="str">
        <f aca="false">IF(ISNUMBER($S11),$S11*Parâmetros!$C$6,"")</f>
        <v/>
      </c>
      <c r="W11" s="44" t="str">
        <f aca="false">IF(ISNUMBER($S11),$S11-$D11-IF(ISNUMBER($E11),$E11,0)-$O11-$T11-$U11-$V11,"")</f>
        <v/>
      </c>
      <c r="X11" s="46" t="str">
        <f aca="false">IF(AND(ISNUMBER($S11),$S11&gt;0),$W11/$S11,"")</f>
        <v/>
      </c>
      <c r="Y11" s="49"/>
      <c r="Z11" s="21"/>
    </row>
    <row r="12" customFormat="false" ht="15.75" hidden="false" customHeight="true" outlineLevel="0" collapsed="false">
      <c r="A12" s="32" t="str">
        <f aca="false">IF(Produtos!$A12="","",Produtos!$A12)</f>
        <v>L2460</v>
      </c>
      <c r="B12" s="32" t="str">
        <f aca="false">IF(Produtos!$A12="","",Produtos!$B12)</f>
        <v>Lixeira Aço Inox s/Tampa 24x60 27L</v>
      </c>
      <c r="C12" s="32" t="str">
        <f aca="false">IF(Produtos!$A12="","",Produtos!$C12)</f>
        <v>Lixeiras em inox</v>
      </c>
      <c r="D12" s="33" t="n">
        <f aca="false">IF(Produtos!$A12="","",IF(Produtos!$D12="","",Produtos!$D12))</f>
        <v>117.84</v>
      </c>
      <c r="E12" s="11" t="n">
        <v>0</v>
      </c>
      <c r="F12" s="34" t="n">
        <f aca="false">IF($A12="","",IF($C12="","⚠ categoria",IFERROR(INDEX(Parâmetros!$D$13:$D$22,MATCH($C12,Parâmetros!$A$13:$A$22,0)),"⚠ categoria")))</f>
        <v>0.13</v>
      </c>
      <c r="G12" s="35"/>
      <c r="H12" s="36" t="n">
        <f aca="false">IF($A12="","",IF(ISNUMBER($G12),$G12,IF(ISNUMBER($F12),$F12,"")))</f>
        <v>0.13</v>
      </c>
      <c r="I12" s="37" t="n">
        <f aca="false">IF(OR($A12="",NOT(ISNUMBER($D12)),NOT(ISNUMBER($H12))),"",IF((1-$H12-Parâmetros!$B$6-Parâmetros!$C$6-Parâmetros!$D$6)&lt;=0,"INVALIDO",($D12+IF(ISNUMBER($E12),$E12,0)+IF(ISNUMBER(Parâmetros!$E$6),Parâmetros!$E$6,0))/(1-$H12-Parâmetros!$B$6-Parâmetros!$C$6-Parâmetros!$D$6)))</f>
        <v>218.222222222222</v>
      </c>
      <c r="J12" s="38"/>
      <c r="K12" s="39" t="n">
        <f aca="false">IF(OR($A12="",NOT(ISNUMBER($D12)),NOT(ISNUMBER($H12))),"",IF(AND(ISNUMBER($J12),$J12&gt;0),$J12,IF(ISNUMBER($I12),$I12,"")))</f>
        <v>218.222222222222</v>
      </c>
      <c r="L12" s="40" t="n">
        <f aca="false">IF(ISNUMBER($K12),$K12*$H12,"")</f>
        <v>28.3688888888889</v>
      </c>
      <c r="M12" s="40" t="n">
        <f aca="false">IF(ISNUMBER($K12),$K12*Parâmetros!$B$6,"")</f>
        <v>21.8222222222222</v>
      </c>
      <c r="N12" s="40" t="n">
        <f aca="false">IF(ISNUMBER($K12),$K12*Parâmetros!$C$6,"")</f>
        <v>6.54666666666667</v>
      </c>
      <c r="O12" s="40" t="n">
        <f aca="false">IF(ISNUMBER($K12),IF(ISNUMBER(Parâmetros!$E$6),Parâmetros!$E$6,0),"")</f>
        <v>0</v>
      </c>
      <c r="P12" s="41" t="n">
        <f aca="false">IF(ISNUMBER($K12),$K12-$D12-IF(ISNUMBER($E12),$E12,0)-$L12-$M12-$N12-$O12,"")</f>
        <v>43.6444444444444</v>
      </c>
      <c r="Q12" s="42" t="n">
        <f aca="false">IF(AND(ISNUMBER($K12),$K12&gt;0),$P12/$K12,"")</f>
        <v>0.2</v>
      </c>
      <c r="R12" s="43"/>
      <c r="S12" s="44" t="str">
        <f aca="false">IF(OR(NOT(ISNUMBER($R12)),$R12=0,NOT(ISNUMBER($K12))),"",$K12*(1-$R12))</f>
        <v/>
      </c>
      <c r="T12" s="45" t="str">
        <f aca="false">IF(ISNUMBER($S12),$S12*$H12,"")</f>
        <v/>
      </c>
      <c r="U12" s="45" t="str">
        <f aca="false">IF(ISNUMBER($S12),$S12*Parâmetros!$B$6,"")</f>
        <v/>
      </c>
      <c r="V12" s="45" t="str">
        <f aca="false">IF(ISNUMBER($S12),$S12*Parâmetros!$C$6,"")</f>
        <v/>
      </c>
      <c r="W12" s="44" t="str">
        <f aca="false">IF(ISNUMBER($S12),$S12-$D12-IF(ISNUMBER($E12),$E12,0)-$O12-$T12-$U12-$V12,"")</f>
        <v/>
      </c>
      <c r="X12" s="46" t="str">
        <f aca="false">IF(AND(ISNUMBER($S12),$S12&gt;0),$W12/$S12,"")</f>
        <v/>
      </c>
      <c r="Y12" s="47"/>
      <c r="Z12" s="19"/>
    </row>
    <row r="13" customFormat="false" ht="15.75" hidden="false" customHeight="true" outlineLevel="0" collapsed="false">
      <c r="A13" s="48" t="str">
        <f aca="false">IF(Produtos!$A13="","",Produtos!$A13)</f>
        <v>L2470</v>
      </c>
      <c r="B13" s="48" t="str">
        <f aca="false">IF(Produtos!$A13="","",Produtos!$B13)</f>
        <v>Lixeira Aço Inox s/Tampa 24x70 30L</v>
      </c>
      <c r="C13" s="48" t="str">
        <f aca="false">IF(Produtos!$A13="","",Produtos!$C13)</f>
        <v>Lixeiras em inox</v>
      </c>
      <c r="D13" s="33" t="n">
        <f aca="false">IF(Produtos!$A13="","",IF(Produtos!$D13="","",Produtos!$D13))</f>
        <v>186.46</v>
      </c>
      <c r="E13" s="11" t="n">
        <v>0</v>
      </c>
      <c r="F13" s="34" t="n">
        <f aca="false">IF($A13="","",IF($C13="","⚠ categoria",IFERROR(INDEX(Parâmetros!$D$13:$D$22,MATCH($C13,Parâmetros!$A$13:$A$22,0)),"⚠ categoria")))</f>
        <v>0.13</v>
      </c>
      <c r="G13" s="35"/>
      <c r="H13" s="36" t="n">
        <f aca="false">IF($A13="","",IF(ISNUMBER($G13),$G13,IF(ISNUMBER($F13),$F13,"")))</f>
        <v>0.13</v>
      </c>
      <c r="I13" s="37" t="n">
        <f aca="false">IF(OR($A13="",NOT(ISNUMBER($D13)),NOT(ISNUMBER($H13))),"",IF((1-$H13-Parâmetros!$B$6-Parâmetros!$C$6-Parâmetros!$D$6)&lt;=0,"INVALIDO",($D13+IF(ISNUMBER($E13),$E13,0)+IF(ISNUMBER(Parâmetros!$E$6),Parâmetros!$E$6,0))/(1-$H13-Parâmetros!$B$6-Parâmetros!$C$6-Parâmetros!$D$6)))</f>
        <v>345.296296296296</v>
      </c>
      <c r="J13" s="38"/>
      <c r="K13" s="39" t="n">
        <f aca="false">IF(OR($A13="",NOT(ISNUMBER($D13)),NOT(ISNUMBER($H13))),"",IF(AND(ISNUMBER($J13),$J13&gt;0),$J13,IF(ISNUMBER($I13),$I13,"")))</f>
        <v>345.296296296296</v>
      </c>
      <c r="L13" s="40" t="n">
        <f aca="false">IF(ISNUMBER($K13),$K13*$H13,"")</f>
        <v>44.8885185185185</v>
      </c>
      <c r="M13" s="40" t="n">
        <f aca="false">IF(ISNUMBER($K13),$K13*Parâmetros!$B$6,"")</f>
        <v>34.5296296296296</v>
      </c>
      <c r="N13" s="40" t="n">
        <f aca="false">IF(ISNUMBER($K13),$K13*Parâmetros!$C$6,"")</f>
        <v>10.3588888888889</v>
      </c>
      <c r="O13" s="40" t="n">
        <f aca="false">IF(ISNUMBER($K13),IF(ISNUMBER(Parâmetros!$E$6),Parâmetros!$E$6,0),"")</f>
        <v>0</v>
      </c>
      <c r="P13" s="41" t="n">
        <f aca="false">IF(ISNUMBER($K13),$K13-$D13-IF(ISNUMBER($E13),$E13,0)-$L13-$M13-$N13-$O13,"")</f>
        <v>69.0592592592593</v>
      </c>
      <c r="Q13" s="42" t="n">
        <f aca="false">IF(AND(ISNUMBER($K13),$K13&gt;0),$P13/$K13,"")</f>
        <v>0.2</v>
      </c>
      <c r="R13" s="43"/>
      <c r="S13" s="44" t="str">
        <f aca="false">IF(OR(NOT(ISNUMBER($R13)),$R13=0,NOT(ISNUMBER($K13))),"",$K13*(1-$R13))</f>
        <v/>
      </c>
      <c r="T13" s="45" t="str">
        <f aca="false">IF(ISNUMBER($S13),$S13*$H13,"")</f>
        <v/>
      </c>
      <c r="U13" s="45" t="str">
        <f aca="false">IF(ISNUMBER($S13),$S13*Parâmetros!$B$6,"")</f>
        <v/>
      </c>
      <c r="V13" s="45" t="str">
        <f aca="false">IF(ISNUMBER($S13),$S13*Parâmetros!$C$6,"")</f>
        <v/>
      </c>
      <c r="W13" s="44" t="str">
        <f aca="false">IF(ISNUMBER($S13),$S13-$D13-IF(ISNUMBER($E13),$E13,0)-$O13-$T13-$U13-$V13,"")</f>
        <v/>
      </c>
      <c r="X13" s="46" t="str">
        <f aca="false">IF(AND(ISNUMBER($S13),$S13&gt;0),$W13/$S13,"")</f>
        <v/>
      </c>
      <c r="Y13" s="49"/>
      <c r="Z13" s="21"/>
    </row>
    <row r="14" customFormat="false" ht="15.75" hidden="false" customHeight="true" outlineLevel="0" collapsed="false">
      <c r="A14" s="32" t="str">
        <f aca="false">IF(Produtos!$A14="","",Produtos!$A14)</f>
        <v>L3040</v>
      </c>
      <c r="B14" s="32" t="str">
        <f aca="false">IF(Produtos!$A14="","",Produtos!$B14)</f>
        <v>Lixeira Aço Inox s/Tampa 30x40 30L</v>
      </c>
      <c r="C14" s="32" t="str">
        <f aca="false">IF(Produtos!$A14="","",Produtos!$C14)</f>
        <v>Lixeiras em inox</v>
      </c>
      <c r="D14" s="33" t="n">
        <f aca="false">IF(Produtos!$A14="","",IF(Produtos!$D14="","",Produtos!$D14))</f>
        <v>116.77</v>
      </c>
      <c r="E14" s="11" t="n">
        <v>0</v>
      </c>
      <c r="F14" s="34" t="n">
        <f aca="false">IF($A14="","",IF($C14="","⚠ categoria",IFERROR(INDEX(Parâmetros!$D$13:$D$22,MATCH($C14,Parâmetros!$A$13:$A$22,0)),"⚠ categoria")))</f>
        <v>0.13</v>
      </c>
      <c r="G14" s="35"/>
      <c r="H14" s="36" t="n">
        <f aca="false">IF($A14="","",IF(ISNUMBER($G14),$G14,IF(ISNUMBER($F14),$F14,"")))</f>
        <v>0.13</v>
      </c>
      <c r="I14" s="37" t="n">
        <f aca="false">IF(OR($A14="",NOT(ISNUMBER($D14)),NOT(ISNUMBER($H14))),"",IF((1-$H14-Parâmetros!$B$6-Parâmetros!$C$6-Parâmetros!$D$6)&lt;=0,"INVALIDO",($D14+IF(ISNUMBER($E14),$E14,0)+IF(ISNUMBER(Parâmetros!$E$6),Parâmetros!$E$6,0))/(1-$H14-Parâmetros!$B$6-Parâmetros!$C$6-Parâmetros!$D$6)))</f>
        <v>216.240740740741</v>
      </c>
      <c r="J14" s="38"/>
      <c r="K14" s="39" t="n">
        <f aca="false">IF(OR($A14="",NOT(ISNUMBER($D14)),NOT(ISNUMBER($H14))),"",IF(AND(ISNUMBER($J14),$J14&gt;0),$J14,IF(ISNUMBER($I14),$I14,"")))</f>
        <v>216.240740740741</v>
      </c>
      <c r="L14" s="40" t="n">
        <f aca="false">IF(ISNUMBER($K14),$K14*$H14,"")</f>
        <v>28.1112962962963</v>
      </c>
      <c r="M14" s="40" t="n">
        <f aca="false">IF(ISNUMBER($K14),$K14*Parâmetros!$B$6,"")</f>
        <v>21.6240740740741</v>
      </c>
      <c r="N14" s="40" t="n">
        <f aca="false">IF(ISNUMBER($K14),$K14*Parâmetros!$C$6,"")</f>
        <v>6.48722222222222</v>
      </c>
      <c r="O14" s="40" t="n">
        <f aca="false">IF(ISNUMBER($K14),IF(ISNUMBER(Parâmetros!$E$6),Parâmetros!$E$6,0),"")</f>
        <v>0</v>
      </c>
      <c r="P14" s="41" t="n">
        <f aca="false">IF(ISNUMBER($K14),$K14-$D14-IF(ISNUMBER($E14),$E14,0)-$L14-$M14-$N14-$O14,"")</f>
        <v>43.2481481481481</v>
      </c>
      <c r="Q14" s="42" t="n">
        <f aca="false">IF(AND(ISNUMBER($K14),$K14&gt;0),$P14/$K14,"")</f>
        <v>0.2</v>
      </c>
      <c r="R14" s="43"/>
      <c r="S14" s="44" t="str">
        <f aca="false">IF(OR(NOT(ISNUMBER($R14)),$R14=0,NOT(ISNUMBER($K14))),"",$K14*(1-$R14))</f>
        <v/>
      </c>
      <c r="T14" s="45" t="str">
        <f aca="false">IF(ISNUMBER($S14),$S14*$H14,"")</f>
        <v/>
      </c>
      <c r="U14" s="45" t="str">
        <f aca="false">IF(ISNUMBER($S14),$S14*Parâmetros!$B$6,"")</f>
        <v/>
      </c>
      <c r="V14" s="45" t="str">
        <f aca="false">IF(ISNUMBER($S14),$S14*Parâmetros!$C$6,"")</f>
        <v/>
      </c>
      <c r="W14" s="44" t="str">
        <f aca="false">IF(ISNUMBER($S14),$S14-$D14-IF(ISNUMBER($E14),$E14,0)-$O14-$T14-$U14-$V14,"")</f>
        <v/>
      </c>
      <c r="X14" s="46" t="str">
        <f aca="false">IF(AND(ISNUMBER($S14),$S14&gt;0),$W14/$S14,"")</f>
        <v/>
      </c>
      <c r="Y14" s="47"/>
      <c r="Z14" s="19"/>
    </row>
    <row r="15" customFormat="false" ht="15.75" hidden="false" customHeight="true" outlineLevel="0" collapsed="false">
      <c r="A15" s="48" t="str">
        <f aca="false">IF(Produtos!$A15="","",Produtos!$A15)</f>
        <v>L3050</v>
      </c>
      <c r="B15" s="48" t="str">
        <f aca="false">IF(Produtos!$A15="","",Produtos!$B15)</f>
        <v>Lixeira Aço Inox s/Tampa 30x50 35L</v>
      </c>
      <c r="C15" s="48" t="str">
        <f aca="false">IF(Produtos!$A15="","",Produtos!$C15)</f>
        <v>Lixeiras em inox</v>
      </c>
      <c r="D15" s="33" t="n">
        <f aca="false">IF(Produtos!$A15="","",IF(Produtos!$D15="","",Produtos!$D15))</f>
        <v>159.84</v>
      </c>
      <c r="E15" s="11" t="n">
        <v>0</v>
      </c>
      <c r="F15" s="34" t="n">
        <f aca="false">IF($A15="","",IF($C15="","⚠ categoria",IFERROR(INDEX(Parâmetros!$D$13:$D$22,MATCH($C15,Parâmetros!$A$13:$A$22,0)),"⚠ categoria")))</f>
        <v>0.13</v>
      </c>
      <c r="G15" s="35"/>
      <c r="H15" s="36" t="n">
        <f aca="false">IF($A15="","",IF(ISNUMBER($G15),$G15,IF(ISNUMBER($F15),$F15,"")))</f>
        <v>0.13</v>
      </c>
      <c r="I15" s="37" t="n">
        <f aca="false">IF(OR($A15="",NOT(ISNUMBER($D15)),NOT(ISNUMBER($H15))),"",IF((1-$H15-Parâmetros!$B$6-Parâmetros!$C$6-Parâmetros!$D$6)&lt;=0,"INVALIDO",($D15+IF(ISNUMBER($E15),$E15,0)+IF(ISNUMBER(Parâmetros!$E$6),Parâmetros!$E$6,0))/(1-$H15-Parâmetros!$B$6-Parâmetros!$C$6-Parâmetros!$D$6)))</f>
        <v>296</v>
      </c>
      <c r="J15" s="38"/>
      <c r="K15" s="39" t="n">
        <f aca="false">IF(OR($A15="",NOT(ISNUMBER($D15)),NOT(ISNUMBER($H15))),"",IF(AND(ISNUMBER($J15),$J15&gt;0),$J15,IF(ISNUMBER($I15),$I15,"")))</f>
        <v>296</v>
      </c>
      <c r="L15" s="40" t="n">
        <f aca="false">IF(ISNUMBER($K15),$K15*$H15,"")</f>
        <v>38.48</v>
      </c>
      <c r="M15" s="40" t="n">
        <f aca="false">IF(ISNUMBER($K15),$K15*Parâmetros!$B$6,"")</f>
        <v>29.6</v>
      </c>
      <c r="N15" s="40" t="n">
        <f aca="false">IF(ISNUMBER($K15),$K15*Parâmetros!$C$6,"")</f>
        <v>8.88</v>
      </c>
      <c r="O15" s="40" t="n">
        <f aca="false">IF(ISNUMBER($K15),IF(ISNUMBER(Parâmetros!$E$6),Parâmetros!$E$6,0),"")</f>
        <v>0</v>
      </c>
      <c r="P15" s="41" t="n">
        <f aca="false">IF(ISNUMBER($K15),$K15-$D15-IF(ISNUMBER($E15),$E15,0)-$L15-$M15-$N15-$O15,"")</f>
        <v>59.2</v>
      </c>
      <c r="Q15" s="42" t="n">
        <f aca="false">IF(AND(ISNUMBER($K15),$K15&gt;0),$P15/$K15,"")</f>
        <v>0.2</v>
      </c>
      <c r="R15" s="43"/>
      <c r="S15" s="44" t="str">
        <f aca="false">IF(OR(NOT(ISNUMBER($R15)),$R15=0,NOT(ISNUMBER($K15))),"",$K15*(1-$R15))</f>
        <v/>
      </c>
      <c r="T15" s="45" t="str">
        <f aca="false">IF(ISNUMBER($S15),$S15*$H15,"")</f>
        <v/>
      </c>
      <c r="U15" s="45" t="str">
        <f aca="false">IF(ISNUMBER($S15),$S15*Parâmetros!$B$6,"")</f>
        <v/>
      </c>
      <c r="V15" s="45" t="str">
        <f aca="false">IF(ISNUMBER($S15),$S15*Parâmetros!$C$6,"")</f>
        <v/>
      </c>
      <c r="W15" s="44" t="str">
        <f aca="false">IF(ISNUMBER($S15),$S15-$D15-IF(ISNUMBER($E15),$E15,0)-$O15-$T15-$U15-$V15,"")</f>
        <v/>
      </c>
      <c r="X15" s="46" t="str">
        <f aca="false">IF(AND(ISNUMBER($S15),$S15&gt;0),$W15/$S15,"")</f>
        <v/>
      </c>
      <c r="Y15" s="49"/>
      <c r="Z15" s="21"/>
    </row>
    <row r="16" customFormat="false" ht="15.75" hidden="false" customHeight="true" outlineLevel="0" collapsed="false">
      <c r="A16" s="32" t="str">
        <f aca="false">IF(Produtos!$A16="","",Produtos!$A16)</f>
        <v>L3060</v>
      </c>
      <c r="B16" s="32" t="str">
        <f aca="false">IF(Produtos!$A16="","",Produtos!$B16)</f>
        <v>Lixeira Aço Inox s/Tampa 30x60 40L</v>
      </c>
      <c r="C16" s="32" t="str">
        <f aca="false">IF(Produtos!$A16="","",Produtos!$C16)</f>
        <v>Lixeiras em inox</v>
      </c>
      <c r="D16" s="33" t="n">
        <f aca="false">IF(Produtos!$A16="","",IF(Produtos!$D16="","",Produtos!$D16))</f>
        <v>164.99</v>
      </c>
      <c r="E16" s="11" t="n">
        <v>0</v>
      </c>
      <c r="F16" s="34" t="n">
        <f aca="false">IF($A16="","",IF($C16="","⚠ categoria",IFERROR(INDEX(Parâmetros!$D$13:$D$22,MATCH($C16,Parâmetros!$A$13:$A$22,0)),"⚠ categoria")))</f>
        <v>0.13</v>
      </c>
      <c r="G16" s="35"/>
      <c r="H16" s="36" t="n">
        <f aca="false">IF($A16="","",IF(ISNUMBER($G16),$G16,IF(ISNUMBER($F16),$F16,"")))</f>
        <v>0.13</v>
      </c>
      <c r="I16" s="37" t="n">
        <f aca="false">IF(OR($A16="",NOT(ISNUMBER($D16)),NOT(ISNUMBER($H16))),"",IF((1-$H16-Parâmetros!$B$6-Parâmetros!$C$6-Parâmetros!$D$6)&lt;=0,"INVALIDO",($D16+IF(ISNUMBER($E16),$E16,0)+IF(ISNUMBER(Parâmetros!$E$6),Parâmetros!$E$6,0))/(1-$H16-Parâmetros!$B$6-Parâmetros!$C$6-Parâmetros!$D$6)))</f>
        <v>305.537037037037</v>
      </c>
      <c r="J16" s="38"/>
      <c r="K16" s="39" t="n">
        <f aca="false">IF(OR($A16="",NOT(ISNUMBER($D16)),NOT(ISNUMBER($H16))),"",IF(AND(ISNUMBER($J16),$J16&gt;0),$J16,IF(ISNUMBER($I16),$I16,"")))</f>
        <v>305.537037037037</v>
      </c>
      <c r="L16" s="40" t="n">
        <f aca="false">IF(ISNUMBER($K16),$K16*$H16,"")</f>
        <v>39.7198148148148</v>
      </c>
      <c r="M16" s="40" t="n">
        <f aca="false">IF(ISNUMBER($K16),$K16*Parâmetros!$B$6,"")</f>
        <v>30.5537037037037</v>
      </c>
      <c r="N16" s="40" t="n">
        <f aca="false">IF(ISNUMBER($K16),$K16*Parâmetros!$C$6,"")</f>
        <v>9.16611111111111</v>
      </c>
      <c r="O16" s="40" t="n">
        <f aca="false">IF(ISNUMBER($K16),IF(ISNUMBER(Parâmetros!$E$6),Parâmetros!$E$6,0),"")</f>
        <v>0</v>
      </c>
      <c r="P16" s="41" t="n">
        <f aca="false">IF(ISNUMBER($K16),$K16-$D16-IF(ISNUMBER($E16),$E16,0)-$L16-$M16-$N16-$O16,"")</f>
        <v>61.1074074074074</v>
      </c>
      <c r="Q16" s="42" t="n">
        <f aca="false">IF(AND(ISNUMBER($K16),$K16&gt;0),$P16/$K16,"")</f>
        <v>0.2</v>
      </c>
      <c r="R16" s="43"/>
      <c r="S16" s="44" t="str">
        <f aca="false">IF(OR(NOT(ISNUMBER($R16)),$R16=0,NOT(ISNUMBER($K16))),"",$K16*(1-$R16))</f>
        <v/>
      </c>
      <c r="T16" s="45" t="str">
        <f aca="false">IF(ISNUMBER($S16),$S16*$H16,"")</f>
        <v/>
      </c>
      <c r="U16" s="45" t="str">
        <f aca="false">IF(ISNUMBER($S16),$S16*Parâmetros!$B$6,"")</f>
        <v/>
      </c>
      <c r="V16" s="45" t="str">
        <f aca="false">IF(ISNUMBER($S16),$S16*Parâmetros!$C$6,"")</f>
        <v/>
      </c>
      <c r="W16" s="44" t="str">
        <f aca="false">IF(ISNUMBER($S16),$S16-$D16-IF(ISNUMBER($E16),$E16,0)-$O16-$T16-$U16-$V16,"")</f>
        <v/>
      </c>
      <c r="X16" s="46" t="str">
        <f aca="false">IF(AND(ISNUMBER($S16),$S16&gt;0),$W16/$S16,"")</f>
        <v/>
      </c>
      <c r="Y16" s="47"/>
      <c r="Z16" s="19"/>
    </row>
    <row r="17" customFormat="false" ht="15.75" hidden="false" customHeight="true" outlineLevel="0" collapsed="false">
      <c r="A17" s="48" t="str">
        <f aca="false">IF(Produtos!$A17="","",Produtos!$A17)</f>
        <v>L3070</v>
      </c>
      <c r="B17" s="48" t="str">
        <f aca="false">IF(Produtos!$A17="","",Produtos!$B17)</f>
        <v>Lixeira Aço Inox s/Tampa 30x70 50L</v>
      </c>
      <c r="C17" s="48" t="str">
        <f aca="false">IF(Produtos!$A17="","",Produtos!$C17)</f>
        <v>Lixeiras em inox</v>
      </c>
      <c r="D17" s="33" t="n">
        <f aca="false">IF(Produtos!$A17="","",IF(Produtos!$D17="","",Produtos!$D17))</f>
        <v>210.17</v>
      </c>
      <c r="E17" s="11" t="n">
        <v>0</v>
      </c>
      <c r="F17" s="34" t="n">
        <f aca="false">IF($A17="","",IF($C17="","⚠ categoria",IFERROR(INDEX(Parâmetros!$D$13:$D$22,MATCH($C17,Parâmetros!$A$13:$A$22,0)),"⚠ categoria")))</f>
        <v>0.13</v>
      </c>
      <c r="G17" s="35"/>
      <c r="H17" s="36" t="n">
        <f aca="false">IF($A17="","",IF(ISNUMBER($G17),$G17,IF(ISNUMBER($F17),$F17,"")))</f>
        <v>0.13</v>
      </c>
      <c r="I17" s="37" t="n">
        <f aca="false">IF(OR($A17="",NOT(ISNUMBER($D17)),NOT(ISNUMBER($H17))),"",IF((1-$H17-Parâmetros!$B$6-Parâmetros!$C$6-Parâmetros!$D$6)&lt;=0,"INVALIDO",($D17+IF(ISNUMBER($E17),$E17,0)+IF(ISNUMBER(Parâmetros!$E$6),Parâmetros!$E$6,0))/(1-$H17-Parâmetros!$B$6-Parâmetros!$C$6-Parâmetros!$D$6)))</f>
        <v>389.203703703704</v>
      </c>
      <c r="J17" s="38"/>
      <c r="K17" s="39" t="n">
        <f aca="false">IF(OR($A17="",NOT(ISNUMBER($D17)),NOT(ISNUMBER($H17))),"",IF(AND(ISNUMBER($J17),$J17&gt;0),$J17,IF(ISNUMBER($I17),$I17,"")))</f>
        <v>389.203703703704</v>
      </c>
      <c r="L17" s="40" t="n">
        <f aca="false">IF(ISNUMBER($K17),$K17*$H17,"")</f>
        <v>50.5964814814815</v>
      </c>
      <c r="M17" s="40" t="n">
        <f aca="false">IF(ISNUMBER($K17),$K17*Parâmetros!$B$6,"")</f>
        <v>38.9203703703704</v>
      </c>
      <c r="N17" s="40" t="n">
        <f aca="false">IF(ISNUMBER($K17),$K17*Parâmetros!$C$6,"")</f>
        <v>11.6761111111111</v>
      </c>
      <c r="O17" s="40" t="n">
        <f aca="false">IF(ISNUMBER($K17),IF(ISNUMBER(Parâmetros!$E$6),Parâmetros!$E$6,0),"")</f>
        <v>0</v>
      </c>
      <c r="P17" s="41" t="n">
        <f aca="false">IF(ISNUMBER($K17),$K17-$D17-IF(ISNUMBER($E17),$E17,0)-$L17-$M17-$N17-$O17,"")</f>
        <v>77.8407407407407</v>
      </c>
      <c r="Q17" s="42" t="n">
        <f aca="false">IF(AND(ISNUMBER($K17),$K17&gt;0),$P17/$K17,"")</f>
        <v>0.2</v>
      </c>
      <c r="R17" s="43"/>
      <c r="S17" s="44" t="str">
        <f aca="false">IF(OR(NOT(ISNUMBER($R17)),$R17=0,NOT(ISNUMBER($K17))),"",$K17*(1-$R17))</f>
        <v/>
      </c>
      <c r="T17" s="45" t="str">
        <f aca="false">IF(ISNUMBER($S17),$S17*$H17,"")</f>
        <v/>
      </c>
      <c r="U17" s="45" t="str">
        <f aca="false">IF(ISNUMBER($S17),$S17*Parâmetros!$B$6,"")</f>
        <v/>
      </c>
      <c r="V17" s="45" t="str">
        <f aca="false">IF(ISNUMBER($S17),$S17*Parâmetros!$C$6,"")</f>
        <v/>
      </c>
      <c r="W17" s="44" t="str">
        <f aca="false">IF(ISNUMBER($S17),$S17-$D17-IF(ISNUMBER($E17),$E17,0)-$O17-$T17-$U17-$V17,"")</f>
        <v/>
      </c>
      <c r="X17" s="46" t="str">
        <f aca="false">IF(AND(ISNUMBER($S17),$S17&gt;0),$W17/$S17,"")</f>
        <v/>
      </c>
      <c r="Y17" s="49"/>
      <c r="Z17" s="21"/>
    </row>
    <row r="18" customFormat="false" ht="15.75" hidden="false" customHeight="true" outlineLevel="0" collapsed="false">
      <c r="A18" s="32" t="str">
        <f aca="false">IF(Produtos!$A18="","",Produtos!$A18)</f>
        <v>L3085</v>
      </c>
      <c r="B18" s="32" t="str">
        <f aca="false">IF(Produtos!$A18="","",Produtos!$B18)</f>
        <v>Lixeira Aço Inox s/Tampa 30x85 60L</v>
      </c>
      <c r="C18" s="32" t="str">
        <f aca="false">IF(Produtos!$A18="","",Produtos!$C18)</f>
        <v>Lixeiras em inox</v>
      </c>
      <c r="D18" s="33" t="n">
        <f aca="false">IF(Produtos!$A18="","",IF(Produtos!$D18="","",Produtos!$D18))</f>
        <v>266.36</v>
      </c>
      <c r="E18" s="11" t="n">
        <v>0</v>
      </c>
      <c r="F18" s="34" t="n">
        <f aca="false">IF($A18="","",IF($C18="","⚠ categoria",IFERROR(INDEX(Parâmetros!$D$13:$D$22,MATCH($C18,Parâmetros!$A$13:$A$22,0)),"⚠ categoria")))</f>
        <v>0.13</v>
      </c>
      <c r="G18" s="35"/>
      <c r="H18" s="36" t="n">
        <f aca="false">IF($A18="","",IF(ISNUMBER($G18),$G18,IF(ISNUMBER($F18),$F18,"")))</f>
        <v>0.13</v>
      </c>
      <c r="I18" s="37" t="n">
        <f aca="false">IF(OR($A18="",NOT(ISNUMBER($D18)),NOT(ISNUMBER($H18))),"",IF((1-$H18-Parâmetros!$B$6-Parâmetros!$C$6-Parâmetros!$D$6)&lt;=0,"INVALIDO",($D18+IF(ISNUMBER($E18),$E18,0)+IF(ISNUMBER(Parâmetros!$E$6),Parâmetros!$E$6,0))/(1-$H18-Parâmetros!$B$6-Parâmetros!$C$6-Parâmetros!$D$6)))</f>
        <v>493.259259259259</v>
      </c>
      <c r="J18" s="38"/>
      <c r="K18" s="39" t="n">
        <f aca="false">IF(OR($A18="",NOT(ISNUMBER($D18)),NOT(ISNUMBER($H18))),"",IF(AND(ISNUMBER($J18),$J18&gt;0),$J18,IF(ISNUMBER($I18),$I18,"")))</f>
        <v>493.259259259259</v>
      </c>
      <c r="L18" s="40" t="n">
        <f aca="false">IF(ISNUMBER($K18),$K18*$H18,"")</f>
        <v>64.1237037037037</v>
      </c>
      <c r="M18" s="40" t="n">
        <f aca="false">IF(ISNUMBER($K18),$K18*Parâmetros!$B$6,"")</f>
        <v>49.3259259259259</v>
      </c>
      <c r="N18" s="40" t="n">
        <f aca="false">IF(ISNUMBER($K18),$K18*Parâmetros!$C$6,"")</f>
        <v>14.7977777777778</v>
      </c>
      <c r="O18" s="40" t="n">
        <f aca="false">IF(ISNUMBER($K18),IF(ISNUMBER(Parâmetros!$E$6),Parâmetros!$E$6,0),"")</f>
        <v>0</v>
      </c>
      <c r="P18" s="41" t="n">
        <f aca="false">IF(ISNUMBER($K18),$K18-$D18-IF(ISNUMBER($E18),$E18,0)-$L18-$M18-$N18-$O18,"")</f>
        <v>98.6518518518518</v>
      </c>
      <c r="Q18" s="42" t="n">
        <f aca="false">IF(AND(ISNUMBER($K18),$K18&gt;0),$P18/$K18,"")</f>
        <v>0.2</v>
      </c>
      <c r="R18" s="43"/>
      <c r="S18" s="44" t="str">
        <f aca="false">IF(OR(NOT(ISNUMBER($R18)),$R18=0,NOT(ISNUMBER($K18))),"",$K18*(1-$R18))</f>
        <v/>
      </c>
      <c r="T18" s="45" t="str">
        <f aca="false">IF(ISNUMBER($S18),$S18*$H18,"")</f>
        <v/>
      </c>
      <c r="U18" s="45" t="str">
        <f aca="false">IF(ISNUMBER($S18),$S18*Parâmetros!$B$6,"")</f>
        <v/>
      </c>
      <c r="V18" s="45" t="str">
        <f aca="false">IF(ISNUMBER($S18),$S18*Parâmetros!$C$6,"")</f>
        <v/>
      </c>
      <c r="W18" s="44" t="str">
        <f aca="false">IF(ISNUMBER($S18),$S18-$D18-IF(ISNUMBER($E18),$E18,0)-$O18-$T18-$U18-$V18,"")</f>
        <v/>
      </c>
      <c r="X18" s="46" t="str">
        <f aca="false">IF(AND(ISNUMBER($S18),$S18&gt;0),$W18/$S18,"")</f>
        <v/>
      </c>
      <c r="Y18" s="47"/>
      <c r="Z18" s="19"/>
    </row>
    <row r="19" customFormat="false" ht="15.75" hidden="false" customHeight="true" outlineLevel="0" collapsed="false">
      <c r="A19" s="48" t="str">
        <f aca="false">IF(Produtos!$A19="","",Produtos!$A19)</f>
        <v>L4050</v>
      </c>
      <c r="B19" s="48" t="str">
        <f aca="false">IF(Produtos!$A19="","",Produtos!$B19)</f>
        <v>Lixeira Aço Inox s/Tampa 40x50 62L</v>
      </c>
      <c r="C19" s="48" t="str">
        <f aca="false">IF(Produtos!$A19="","",Produtos!$C19)</f>
        <v>Lixeiras em inox</v>
      </c>
      <c r="D19" s="33" t="n">
        <f aca="false">IF(Produtos!$A19="","",IF(Produtos!$D19="","",Produtos!$D19))</f>
        <v>221.01</v>
      </c>
      <c r="E19" s="11" t="n">
        <v>0</v>
      </c>
      <c r="F19" s="34" t="n">
        <f aca="false">IF($A19="","",IF($C19="","⚠ categoria",IFERROR(INDEX(Parâmetros!$D$13:$D$22,MATCH($C19,Parâmetros!$A$13:$A$22,0)),"⚠ categoria")))</f>
        <v>0.13</v>
      </c>
      <c r="G19" s="35"/>
      <c r="H19" s="36" t="n">
        <f aca="false">IF($A19="","",IF(ISNUMBER($G19),$G19,IF(ISNUMBER($F19),$F19,"")))</f>
        <v>0.13</v>
      </c>
      <c r="I19" s="37" t="n">
        <f aca="false">IF(OR($A19="",NOT(ISNUMBER($D19)),NOT(ISNUMBER($H19))),"",IF((1-$H19-Parâmetros!$B$6-Parâmetros!$C$6-Parâmetros!$D$6)&lt;=0,"INVALIDO",($D19+IF(ISNUMBER($E19),$E19,0)+IF(ISNUMBER(Parâmetros!$E$6),Parâmetros!$E$6,0))/(1-$H19-Parâmetros!$B$6-Parâmetros!$C$6-Parâmetros!$D$6)))</f>
        <v>409.277777777778</v>
      </c>
      <c r="J19" s="38"/>
      <c r="K19" s="39" t="n">
        <f aca="false">IF(OR($A19="",NOT(ISNUMBER($D19)),NOT(ISNUMBER($H19))),"",IF(AND(ISNUMBER($J19),$J19&gt;0),$J19,IF(ISNUMBER($I19),$I19,"")))</f>
        <v>409.277777777778</v>
      </c>
      <c r="L19" s="40" t="n">
        <f aca="false">IF(ISNUMBER($K19),$K19*$H19,"")</f>
        <v>53.2061111111111</v>
      </c>
      <c r="M19" s="40" t="n">
        <f aca="false">IF(ISNUMBER($K19),$K19*Parâmetros!$B$6,"")</f>
        <v>40.9277777777778</v>
      </c>
      <c r="N19" s="40" t="n">
        <f aca="false">IF(ISNUMBER($K19),$K19*Parâmetros!$C$6,"")</f>
        <v>12.2783333333333</v>
      </c>
      <c r="O19" s="40" t="n">
        <f aca="false">IF(ISNUMBER($K19),IF(ISNUMBER(Parâmetros!$E$6),Parâmetros!$E$6,0),"")</f>
        <v>0</v>
      </c>
      <c r="P19" s="41" t="n">
        <f aca="false">IF(ISNUMBER($K19),$K19-$D19-IF(ISNUMBER($E19),$E19,0)-$L19-$M19-$N19-$O19,"")</f>
        <v>81.8555555555555</v>
      </c>
      <c r="Q19" s="42" t="n">
        <f aca="false">IF(AND(ISNUMBER($K19),$K19&gt;0),$P19/$K19,"")</f>
        <v>0.2</v>
      </c>
      <c r="R19" s="43"/>
      <c r="S19" s="44" t="str">
        <f aca="false">IF(OR(NOT(ISNUMBER($R19)),$R19=0,NOT(ISNUMBER($K19))),"",$K19*(1-$R19))</f>
        <v/>
      </c>
      <c r="T19" s="45" t="str">
        <f aca="false">IF(ISNUMBER($S19),$S19*$H19,"")</f>
        <v/>
      </c>
      <c r="U19" s="45" t="str">
        <f aca="false">IF(ISNUMBER($S19),$S19*Parâmetros!$B$6,"")</f>
        <v/>
      </c>
      <c r="V19" s="45" t="str">
        <f aca="false">IF(ISNUMBER($S19),$S19*Parâmetros!$C$6,"")</f>
        <v/>
      </c>
      <c r="W19" s="44" t="str">
        <f aca="false">IF(ISNUMBER($S19),$S19-$D19-IF(ISNUMBER($E19),$E19,0)-$O19-$T19-$U19-$V19,"")</f>
        <v/>
      </c>
      <c r="X19" s="46" t="str">
        <f aca="false">IF(AND(ISNUMBER($S19),$S19&gt;0),$W19/$S19,"")</f>
        <v/>
      </c>
      <c r="Y19" s="49"/>
      <c r="Z19" s="21"/>
    </row>
    <row r="20" customFormat="false" ht="15.75" hidden="false" customHeight="true" outlineLevel="0" collapsed="false">
      <c r="A20" s="32" t="str">
        <f aca="false">IF(Produtos!$A20="","",Produtos!$A20)</f>
        <v>L4060</v>
      </c>
      <c r="B20" s="32" t="str">
        <f aca="false">IF(Produtos!$A20="","",Produtos!$B20)</f>
        <v>Lixeira Aço Inox s/Tampa 40x60 75L</v>
      </c>
      <c r="C20" s="32" t="str">
        <f aca="false">IF(Produtos!$A20="","",Produtos!$C20)</f>
        <v>Lixeiras em inox</v>
      </c>
      <c r="D20" s="33" t="n">
        <f aca="false">IF(Produtos!$A20="","",IF(Produtos!$D20="","",Produtos!$D20))</f>
        <v>257.51</v>
      </c>
      <c r="E20" s="11" t="n">
        <v>0</v>
      </c>
      <c r="F20" s="34" t="n">
        <f aca="false">IF($A20="","",IF($C20="","⚠ categoria",IFERROR(INDEX(Parâmetros!$D$13:$D$22,MATCH($C20,Parâmetros!$A$13:$A$22,0)),"⚠ categoria")))</f>
        <v>0.13</v>
      </c>
      <c r="G20" s="35"/>
      <c r="H20" s="36" t="n">
        <f aca="false">IF($A20="","",IF(ISNUMBER($G20),$G20,IF(ISNUMBER($F20),$F20,"")))</f>
        <v>0.13</v>
      </c>
      <c r="I20" s="37" t="n">
        <f aca="false">IF(OR($A20="",NOT(ISNUMBER($D20)),NOT(ISNUMBER($H20))),"",IF((1-$H20-Parâmetros!$B$6-Parâmetros!$C$6-Parâmetros!$D$6)&lt;=0,"INVALIDO",($D20+IF(ISNUMBER($E20),$E20,0)+IF(ISNUMBER(Parâmetros!$E$6),Parâmetros!$E$6,0))/(1-$H20-Parâmetros!$B$6-Parâmetros!$C$6-Parâmetros!$D$6)))</f>
        <v>476.87037037037</v>
      </c>
      <c r="J20" s="38"/>
      <c r="K20" s="39" t="n">
        <f aca="false">IF(OR($A20="",NOT(ISNUMBER($D20)),NOT(ISNUMBER($H20))),"",IF(AND(ISNUMBER($J20),$J20&gt;0),$J20,IF(ISNUMBER($I20),$I20,"")))</f>
        <v>476.87037037037</v>
      </c>
      <c r="L20" s="40" t="n">
        <f aca="false">IF(ISNUMBER($K20),$K20*$H20,"")</f>
        <v>61.9931481481481</v>
      </c>
      <c r="M20" s="40" t="n">
        <f aca="false">IF(ISNUMBER($K20),$K20*Parâmetros!$B$6,"")</f>
        <v>47.687037037037</v>
      </c>
      <c r="N20" s="40" t="n">
        <f aca="false">IF(ISNUMBER($K20),$K20*Parâmetros!$C$6,"")</f>
        <v>14.3061111111111</v>
      </c>
      <c r="O20" s="40" t="n">
        <f aca="false">IF(ISNUMBER($K20),IF(ISNUMBER(Parâmetros!$E$6),Parâmetros!$E$6,0),"")</f>
        <v>0</v>
      </c>
      <c r="P20" s="41" t="n">
        <f aca="false">IF(ISNUMBER($K20),$K20-$D20-IF(ISNUMBER($E20),$E20,0)-$L20-$M20-$N20-$O20,"")</f>
        <v>95.374074074074</v>
      </c>
      <c r="Q20" s="42" t="n">
        <f aca="false">IF(AND(ISNUMBER($K20),$K20&gt;0),$P20/$K20,"")</f>
        <v>0.2</v>
      </c>
      <c r="R20" s="43"/>
      <c r="S20" s="44" t="str">
        <f aca="false">IF(OR(NOT(ISNUMBER($R20)),$R20=0,NOT(ISNUMBER($K20))),"",$K20*(1-$R20))</f>
        <v/>
      </c>
      <c r="T20" s="45" t="str">
        <f aca="false">IF(ISNUMBER($S20),$S20*$H20,"")</f>
        <v/>
      </c>
      <c r="U20" s="45" t="str">
        <f aca="false">IF(ISNUMBER($S20),$S20*Parâmetros!$B$6,"")</f>
        <v/>
      </c>
      <c r="V20" s="45" t="str">
        <f aca="false">IF(ISNUMBER($S20),$S20*Parâmetros!$C$6,"")</f>
        <v/>
      </c>
      <c r="W20" s="44" t="str">
        <f aca="false">IF(ISNUMBER($S20),$S20-$D20-IF(ISNUMBER($E20),$E20,0)-$O20-$T20-$U20-$V20,"")</f>
        <v/>
      </c>
      <c r="X20" s="46" t="str">
        <f aca="false">IF(AND(ISNUMBER($S20),$S20&gt;0),$W20/$S20,"")</f>
        <v/>
      </c>
      <c r="Y20" s="47"/>
      <c r="Z20" s="19"/>
    </row>
    <row r="21" customFormat="false" ht="15.75" hidden="false" customHeight="true" outlineLevel="0" collapsed="false">
      <c r="A21" s="48" t="str">
        <f aca="false">IF(Produtos!$A21="","",Produtos!$A21)</f>
        <v>L4070</v>
      </c>
      <c r="B21" s="48" t="str">
        <f aca="false">IF(Produtos!$A21="","",Produtos!$B21)</f>
        <v>Lixeira Aço Inox s/Tampa 40x70 88L</v>
      </c>
      <c r="C21" s="48" t="str">
        <f aca="false">IF(Produtos!$A21="","",Produtos!$C21)</f>
        <v>Lixeiras em inox</v>
      </c>
      <c r="D21" s="33" t="n">
        <f aca="false">IF(Produtos!$A21="","",IF(Produtos!$D21="","",Produtos!$D21))</f>
        <v>262.59</v>
      </c>
      <c r="E21" s="11" t="n">
        <v>0</v>
      </c>
      <c r="F21" s="34" t="n">
        <f aca="false">IF($A21="","",IF($C21="","⚠ categoria",IFERROR(INDEX(Parâmetros!$D$13:$D$22,MATCH($C21,Parâmetros!$A$13:$A$22,0)),"⚠ categoria")))</f>
        <v>0.13</v>
      </c>
      <c r="G21" s="35"/>
      <c r="H21" s="36" t="n">
        <f aca="false">IF($A21="","",IF(ISNUMBER($G21),$G21,IF(ISNUMBER($F21),$F21,"")))</f>
        <v>0.13</v>
      </c>
      <c r="I21" s="37" t="n">
        <f aca="false">IF(OR($A21="",NOT(ISNUMBER($D21)),NOT(ISNUMBER($H21))),"",IF((1-$H21-Parâmetros!$B$6-Parâmetros!$C$6-Parâmetros!$D$6)&lt;=0,"INVALIDO",($D21+IF(ISNUMBER($E21),$E21,0)+IF(ISNUMBER(Parâmetros!$E$6),Parâmetros!$E$6,0))/(1-$H21-Parâmetros!$B$6-Parâmetros!$C$6-Parâmetros!$D$6)))</f>
        <v>486.277777777778</v>
      </c>
      <c r="J21" s="38"/>
      <c r="K21" s="39" t="n">
        <f aca="false">IF(OR($A21="",NOT(ISNUMBER($D21)),NOT(ISNUMBER($H21))),"",IF(AND(ISNUMBER($J21),$J21&gt;0),$J21,IF(ISNUMBER($I21),$I21,"")))</f>
        <v>486.277777777778</v>
      </c>
      <c r="L21" s="40" t="n">
        <f aca="false">IF(ISNUMBER($K21),$K21*$H21,"")</f>
        <v>63.2161111111111</v>
      </c>
      <c r="M21" s="40" t="n">
        <f aca="false">IF(ISNUMBER($K21),$K21*Parâmetros!$B$6,"")</f>
        <v>48.6277777777778</v>
      </c>
      <c r="N21" s="40" t="n">
        <f aca="false">IF(ISNUMBER($K21),$K21*Parâmetros!$C$6,"")</f>
        <v>14.5883333333333</v>
      </c>
      <c r="O21" s="40" t="n">
        <f aca="false">IF(ISNUMBER($K21),IF(ISNUMBER(Parâmetros!$E$6),Parâmetros!$E$6,0),"")</f>
        <v>0</v>
      </c>
      <c r="P21" s="41" t="n">
        <f aca="false">IF(ISNUMBER($K21),$K21-$D21-IF(ISNUMBER($E21),$E21,0)-$L21-$M21-$N21-$O21,"")</f>
        <v>97.2555555555555</v>
      </c>
      <c r="Q21" s="42" t="n">
        <f aca="false">IF(AND(ISNUMBER($K21),$K21&gt;0),$P21/$K21,"")</f>
        <v>0.2</v>
      </c>
      <c r="R21" s="43"/>
      <c r="S21" s="44" t="str">
        <f aca="false">IF(OR(NOT(ISNUMBER($R21)),$R21=0,NOT(ISNUMBER($K21))),"",$K21*(1-$R21))</f>
        <v/>
      </c>
      <c r="T21" s="45" t="str">
        <f aca="false">IF(ISNUMBER($S21),$S21*$H21,"")</f>
        <v/>
      </c>
      <c r="U21" s="45" t="str">
        <f aca="false">IF(ISNUMBER($S21),$S21*Parâmetros!$B$6,"")</f>
        <v/>
      </c>
      <c r="V21" s="45" t="str">
        <f aca="false">IF(ISNUMBER($S21),$S21*Parâmetros!$C$6,"")</f>
        <v/>
      </c>
      <c r="W21" s="44" t="str">
        <f aca="false">IF(ISNUMBER($S21),$S21-$D21-IF(ISNUMBER($E21),$E21,0)-$O21-$T21-$U21-$V21,"")</f>
        <v/>
      </c>
      <c r="X21" s="46" t="str">
        <f aca="false">IF(AND(ISNUMBER($S21),$S21&gt;0),$W21/$S21,"")</f>
        <v/>
      </c>
      <c r="Y21" s="49"/>
      <c r="Z21" s="21"/>
    </row>
    <row r="22" customFormat="false" ht="15.75" hidden="false" customHeight="true" outlineLevel="0" collapsed="false">
      <c r="A22" s="32" t="str">
        <f aca="false">IF(Produtos!$A22="","",Produtos!$A22)</f>
        <v>L4075</v>
      </c>
      <c r="B22" s="32" t="str">
        <f aca="false">IF(Produtos!$A22="","",Produtos!$B22)</f>
        <v>Lixeira Aço Inox s/Tampa 40x75 95L</v>
      </c>
      <c r="C22" s="32" t="str">
        <f aca="false">IF(Produtos!$A22="","",Produtos!$C22)</f>
        <v>Lixeiras em inox</v>
      </c>
      <c r="D22" s="33" t="n">
        <f aca="false">IF(Produtos!$A22="","",IF(Produtos!$D22="","",Produtos!$D22))</f>
        <v>322.16</v>
      </c>
      <c r="E22" s="11" t="n">
        <v>0</v>
      </c>
      <c r="F22" s="34" t="n">
        <f aca="false">IF($A22="","",IF($C22="","⚠ categoria",IFERROR(INDEX(Parâmetros!$D$13:$D$22,MATCH($C22,Parâmetros!$A$13:$A$22,0)),"⚠ categoria")))</f>
        <v>0.13</v>
      </c>
      <c r="G22" s="35"/>
      <c r="H22" s="36" t="n">
        <f aca="false">IF($A22="","",IF(ISNUMBER($G22),$G22,IF(ISNUMBER($F22),$F22,"")))</f>
        <v>0.13</v>
      </c>
      <c r="I22" s="37" t="n">
        <f aca="false">IF(OR($A22="",NOT(ISNUMBER($D22)),NOT(ISNUMBER($H22))),"",IF((1-$H22-Parâmetros!$B$6-Parâmetros!$C$6-Parâmetros!$D$6)&lt;=0,"INVALIDO",($D22+IF(ISNUMBER($E22),$E22,0)+IF(ISNUMBER(Parâmetros!$E$6),Parâmetros!$E$6,0))/(1-$H22-Parâmetros!$B$6-Parâmetros!$C$6-Parâmetros!$D$6)))</f>
        <v>596.592592592593</v>
      </c>
      <c r="J22" s="38"/>
      <c r="K22" s="39" t="n">
        <f aca="false">IF(OR($A22="",NOT(ISNUMBER($D22)),NOT(ISNUMBER($H22))),"",IF(AND(ISNUMBER($J22),$J22&gt;0),$J22,IF(ISNUMBER($I22),$I22,"")))</f>
        <v>596.592592592593</v>
      </c>
      <c r="L22" s="40" t="n">
        <f aca="false">IF(ISNUMBER($K22),$K22*$H22,"")</f>
        <v>77.5570370370371</v>
      </c>
      <c r="M22" s="40" t="n">
        <f aca="false">IF(ISNUMBER($K22),$K22*Parâmetros!$B$6,"")</f>
        <v>59.6592592592593</v>
      </c>
      <c r="N22" s="40" t="n">
        <f aca="false">IF(ISNUMBER($K22),$K22*Parâmetros!$C$6,"")</f>
        <v>17.8977777777778</v>
      </c>
      <c r="O22" s="40" t="n">
        <f aca="false">IF(ISNUMBER($K22),IF(ISNUMBER(Parâmetros!$E$6),Parâmetros!$E$6,0),"")</f>
        <v>0</v>
      </c>
      <c r="P22" s="41" t="n">
        <f aca="false">IF(ISNUMBER($K22),$K22-$D22-IF(ISNUMBER($E22),$E22,0)-$L22-$M22-$N22-$O22,"")</f>
        <v>119.318518518518</v>
      </c>
      <c r="Q22" s="42" t="n">
        <f aca="false">IF(AND(ISNUMBER($K22),$K22&gt;0),$P22/$K22,"")</f>
        <v>0.2</v>
      </c>
      <c r="R22" s="43"/>
      <c r="S22" s="44" t="str">
        <f aca="false">IF(OR(NOT(ISNUMBER($R22)),$R22=0,NOT(ISNUMBER($K22))),"",$K22*(1-$R22))</f>
        <v/>
      </c>
      <c r="T22" s="45" t="str">
        <f aca="false">IF(ISNUMBER($S22),$S22*$H22,"")</f>
        <v/>
      </c>
      <c r="U22" s="45" t="str">
        <f aca="false">IF(ISNUMBER($S22),$S22*Parâmetros!$B$6,"")</f>
        <v/>
      </c>
      <c r="V22" s="45" t="str">
        <f aca="false">IF(ISNUMBER($S22),$S22*Parâmetros!$C$6,"")</f>
        <v/>
      </c>
      <c r="W22" s="44" t="str">
        <f aca="false">IF(ISNUMBER($S22),$S22-$D22-IF(ISNUMBER($E22),$E22,0)-$O22-$T22-$U22-$V22,"")</f>
        <v/>
      </c>
      <c r="X22" s="46" t="str">
        <f aca="false">IF(AND(ISNUMBER($S22),$S22&gt;0),$W22/$S22,"")</f>
        <v/>
      </c>
      <c r="Y22" s="47"/>
      <c r="Z22" s="19"/>
    </row>
    <row r="23" customFormat="false" ht="15.75" hidden="false" customHeight="true" outlineLevel="0" collapsed="false">
      <c r="A23" s="48" t="str">
        <f aca="false">IF(Produtos!$A23="","",Produtos!$A23)</f>
        <v>L4080</v>
      </c>
      <c r="B23" s="48" t="str">
        <f aca="false">IF(Produtos!$A23="","",Produtos!$B23)</f>
        <v>Lixeira Aço Inox s/Tampa 40x80 100L</v>
      </c>
      <c r="C23" s="48" t="str">
        <f aca="false">IF(Produtos!$A23="","",Produtos!$C23)</f>
        <v>Lixeiras em inox</v>
      </c>
      <c r="D23" s="33" t="n">
        <f aca="false">IF(Produtos!$A23="","",IF(Produtos!$D23="","",Produtos!$D23))</f>
        <v>336.34</v>
      </c>
      <c r="E23" s="11" t="n">
        <v>0</v>
      </c>
      <c r="F23" s="34" t="n">
        <f aca="false">IF($A23="","",IF($C23="","⚠ categoria",IFERROR(INDEX(Parâmetros!$D$13:$D$22,MATCH($C23,Parâmetros!$A$13:$A$22,0)),"⚠ categoria")))</f>
        <v>0.13</v>
      </c>
      <c r="G23" s="35"/>
      <c r="H23" s="36" t="n">
        <f aca="false">IF($A23="","",IF(ISNUMBER($G23),$G23,IF(ISNUMBER($F23),$F23,"")))</f>
        <v>0.13</v>
      </c>
      <c r="I23" s="37" t="n">
        <f aca="false">IF(OR($A23="",NOT(ISNUMBER($D23)),NOT(ISNUMBER($H23))),"",IF((1-$H23-Parâmetros!$B$6-Parâmetros!$C$6-Parâmetros!$D$6)&lt;=0,"INVALIDO",($D23+IF(ISNUMBER($E23),$E23,0)+IF(ISNUMBER(Parâmetros!$E$6),Parâmetros!$E$6,0))/(1-$H23-Parâmetros!$B$6-Parâmetros!$C$6-Parâmetros!$D$6)))</f>
        <v>622.851851851852</v>
      </c>
      <c r="J23" s="38"/>
      <c r="K23" s="39" t="n">
        <f aca="false">IF(OR($A23="",NOT(ISNUMBER($D23)),NOT(ISNUMBER($H23))),"",IF(AND(ISNUMBER($J23),$J23&gt;0),$J23,IF(ISNUMBER($I23),$I23,"")))</f>
        <v>622.851851851852</v>
      </c>
      <c r="L23" s="40" t="n">
        <f aca="false">IF(ISNUMBER($K23),$K23*$H23,"")</f>
        <v>80.9707407407407</v>
      </c>
      <c r="M23" s="40" t="n">
        <f aca="false">IF(ISNUMBER($K23),$K23*Parâmetros!$B$6,"")</f>
        <v>62.2851851851852</v>
      </c>
      <c r="N23" s="40" t="n">
        <f aca="false">IF(ISNUMBER($K23),$K23*Parâmetros!$C$6,"")</f>
        <v>18.6855555555556</v>
      </c>
      <c r="O23" s="40" t="n">
        <f aca="false">IF(ISNUMBER($K23),IF(ISNUMBER(Parâmetros!$E$6),Parâmetros!$E$6,0),"")</f>
        <v>0</v>
      </c>
      <c r="P23" s="41" t="n">
        <f aca="false">IF(ISNUMBER($K23),$K23-$D23-IF(ISNUMBER($E23),$E23,0)-$L23-$M23-$N23-$O23,"")</f>
        <v>124.57037037037</v>
      </c>
      <c r="Q23" s="42" t="n">
        <f aca="false">IF(AND(ISNUMBER($K23),$K23&gt;0),$P23/$K23,"")</f>
        <v>0.2</v>
      </c>
      <c r="R23" s="43"/>
      <c r="S23" s="44" t="str">
        <f aca="false">IF(OR(NOT(ISNUMBER($R23)),$R23=0,NOT(ISNUMBER($K23))),"",$K23*(1-$R23))</f>
        <v/>
      </c>
      <c r="T23" s="45" t="str">
        <f aca="false">IF(ISNUMBER($S23),$S23*$H23,"")</f>
        <v/>
      </c>
      <c r="U23" s="45" t="str">
        <f aca="false">IF(ISNUMBER($S23),$S23*Parâmetros!$B$6,"")</f>
        <v/>
      </c>
      <c r="V23" s="45" t="str">
        <f aca="false">IF(ISNUMBER($S23),$S23*Parâmetros!$C$6,"")</f>
        <v/>
      </c>
      <c r="W23" s="44" t="str">
        <f aca="false">IF(ISNUMBER($S23),$S23-$D23-IF(ISNUMBER($E23),$E23,0)-$O23-$T23-$U23-$V23,"")</f>
        <v/>
      </c>
      <c r="X23" s="46" t="str">
        <f aca="false">IF(AND(ISNUMBER($S23),$S23&gt;0),$W23/$S23,"")</f>
        <v/>
      </c>
      <c r="Y23" s="49"/>
      <c r="Z23" s="21"/>
    </row>
    <row r="24" customFormat="false" ht="15.75" hidden="false" customHeight="true" outlineLevel="0" collapsed="false">
      <c r="A24" s="32" t="str">
        <f aca="false">IF(Produtos!$A24="","",Produtos!$A24)</f>
        <v>L4090</v>
      </c>
      <c r="B24" s="32" t="str">
        <f aca="false">IF(Produtos!$A24="","",Produtos!$B24)</f>
        <v>Lixeira Aço Inox s/Tampa 40x90 120L</v>
      </c>
      <c r="C24" s="32" t="str">
        <f aca="false">IF(Produtos!$A24="","",Produtos!$C24)</f>
        <v>Lixeiras em inox</v>
      </c>
      <c r="D24" s="33" t="n">
        <f aca="false">IF(Produtos!$A24="","",IF(Produtos!$D24="","",Produtos!$D24))</f>
        <v>378.85</v>
      </c>
      <c r="E24" s="11" t="n">
        <v>0</v>
      </c>
      <c r="F24" s="34" t="n">
        <f aca="false">IF($A24="","",IF($C24="","⚠ categoria",IFERROR(INDEX(Parâmetros!$D$13:$D$22,MATCH($C24,Parâmetros!$A$13:$A$22,0)),"⚠ categoria")))</f>
        <v>0.13</v>
      </c>
      <c r="G24" s="35"/>
      <c r="H24" s="36" t="n">
        <f aca="false">IF($A24="","",IF(ISNUMBER($G24),$G24,IF(ISNUMBER($F24),$F24,"")))</f>
        <v>0.13</v>
      </c>
      <c r="I24" s="37" t="n">
        <f aca="false">IF(OR($A24="",NOT(ISNUMBER($D24)),NOT(ISNUMBER($H24))),"",IF((1-$H24-Parâmetros!$B$6-Parâmetros!$C$6-Parâmetros!$D$6)&lt;=0,"INVALIDO",($D24+IF(ISNUMBER($E24),$E24,0)+IF(ISNUMBER(Parâmetros!$E$6),Parâmetros!$E$6,0))/(1-$H24-Parâmetros!$B$6-Parâmetros!$C$6-Parâmetros!$D$6)))</f>
        <v>701.574074074074</v>
      </c>
      <c r="J24" s="38"/>
      <c r="K24" s="39" t="n">
        <f aca="false">IF(OR($A24="",NOT(ISNUMBER($D24)),NOT(ISNUMBER($H24))),"",IF(AND(ISNUMBER($J24),$J24&gt;0),$J24,IF(ISNUMBER($I24),$I24,"")))</f>
        <v>701.574074074074</v>
      </c>
      <c r="L24" s="40" t="n">
        <f aca="false">IF(ISNUMBER($K24),$K24*$H24,"")</f>
        <v>91.2046296296296</v>
      </c>
      <c r="M24" s="40" t="n">
        <f aca="false">IF(ISNUMBER($K24),$K24*Parâmetros!$B$6,"")</f>
        <v>70.1574074074074</v>
      </c>
      <c r="N24" s="40" t="n">
        <f aca="false">IF(ISNUMBER($K24),$K24*Parâmetros!$C$6,"")</f>
        <v>21.0472222222222</v>
      </c>
      <c r="O24" s="40" t="n">
        <f aca="false">IF(ISNUMBER($K24),IF(ISNUMBER(Parâmetros!$E$6),Parâmetros!$E$6,0),"")</f>
        <v>0</v>
      </c>
      <c r="P24" s="41" t="n">
        <f aca="false">IF(ISNUMBER($K24),$K24-$D24-IF(ISNUMBER($E24),$E24,0)-$L24-$M24-$N24-$O24,"")</f>
        <v>140.314814814815</v>
      </c>
      <c r="Q24" s="42" t="n">
        <f aca="false">IF(AND(ISNUMBER($K24),$K24&gt;0),$P24/$K24,"")</f>
        <v>0.2</v>
      </c>
      <c r="R24" s="43"/>
      <c r="S24" s="44" t="str">
        <f aca="false">IF(OR(NOT(ISNUMBER($R24)),$R24=0,NOT(ISNUMBER($K24))),"",$K24*(1-$R24))</f>
        <v/>
      </c>
      <c r="T24" s="45" t="str">
        <f aca="false">IF(ISNUMBER($S24),$S24*$H24,"")</f>
        <v/>
      </c>
      <c r="U24" s="45" t="str">
        <f aca="false">IF(ISNUMBER($S24),$S24*Parâmetros!$B$6,"")</f>
        <v/>
      </c>
      <c r="V24" s="45" t="str">
        <f aca="false">IF(ISNUMBER($S24),$S24*Parâmetros!$C$6,"")</f>
        <v/>
      </c>
      <c r="W24" s="44" t="str">
        <f aca="false">IF(ISNUMBER($S24),$S24-$D24-IF(ISNUMBER($E24),$E24,0)-$O24-$T24-$U24-$V24,"")</f>
        <v/>
      </c>
      <c r="X24" s="46" t="str">
        <f aca="false">IF(AND(ISNUMBER($S24),$S24&gt;0),$W24/$S24,"")</f>
        <v/>
      </c>
      <c r="Y24" s="47"/>
      <c r="Z24" s="19"/>
    </row>
    <row r="25" customFormat="false" ht="15.75" hidden="false" customHeight="true" outlineLevel="0" collapsed="false">
      <c r="A25" s="48" t="str">
        <f aca="false">IF(Produtos!$A25="","",Produtos!$A25)</f>
        <v>L1618-A</v>
      </c>
      <c r="B25" s="48" t="str">
        <f aca="false">IF(Produtos!$A25="","",Produtos!$B25)</f>
        <v>Lixeira Aço Inox c/Aro 16x18 03L</v>
      </c>
      <c r="C25" s="48" t="str">
        <f aca="false">IF(Produtos!$A25="","",Produtos!$C25)</f>
        <v>Lixeiras em inox</v>
      </c>
      <c r="D25" s="33" t="n">
        <f aca="false">IF(Produtos!$A25="","",IF(Produtos!$D25="","",Produtos!$D25))</f>
        <v>48.18</v>
      </c>
      <c r="E25" s="11" t="n">
        <v>0</v>
      </c>
      <c r="F25" s="34" t="n">
        <f aca="false">IF($A25="","",IF($C25="","⚠ categoria",IFERROR(INDEX(Parâmetros!$D$13:$D$22,MATCH($C25,Parâmetros!$A$13:$A$22,0)),"⚠ categoria")))</f>
        <v>0.13</v>
      </c>
      <c r="G25" s="35"/>
      <c r="H25" s="36" t="n">
        <f aca="false">IF($A25="","",IF(ISNUMBER($G25),$G25,IF(ISNUMBER($F25),$F25,"")))</f>
        <v>0.13</v>
      </c>
      <c r="I25" s="37" t="n">
        <f aca="false">IF(OR($A25="",NOT(ISNUMBER($D25)),NOT(ISNUMBER($H25))),"",IF((1-$H25-Parâmetros!$B$6-Parâmetros!$C$6-Parâmetros!$D$6)&lt;=0,"INVALIDO",($D25+IF(ISNUMBER($E25),$E25,0)+IF(ISNUMBER(Parâmetros!$E$6),Parâmetros!$E$6,0))/(1-$H25-Parâmetros!$B$6-Parâmetros!$C$6-Parâmetros!$D$6)))</f>
        <v>89.2222222222222</v>
      </c>
      <c r="J25" s="38" t="n">
        <v>104.9</v>
      </c>
      <c r="K25" s="39" t="n">
        <f aca="false">IF(OR($A25="",NOT(ISNUMBER($D25)),NOT(ISNUMBER($H25))),"",IF(AND(ISNUMBER($J25),$J25&gt;0),$J25,IF(ISNUMBER($I25),$I25,"")))</f>
        <v>104.9</v>
      </c>
      <c r="L25" s="40" t="n">
        <f aca="false">IF(ISNUMBER($K25),$K25*$H25,"")</f>
        <v>13.637</v>
      </c>
      <c r="M25" s="40" t="n">
        <f aca="false">IF(ISNUMBER($K25),$K25*Parâmetros!$B$6,"")</f>
        <v>10.49</v>
      </c>
      <c r="N25" s="40" t="n">
        <f aca="false">IF(ISNUMBER($K25),$K25*Parâmetros!$C$6,"")</f>
        <v>3.147</v>
      </c>
      <c r="O25" s="40" t="n">
        <f aca="false">IF(ISNUMBER($K25),IF(ISNUMBER(Parâmetros!$E$6),Parâmetros!$E$6,0),"")</f>
        <v>0</v>
      </c>
      <c r="P25" s="41" t="n">
        <f aca="false">IF(ISNUMBER($K25),$K25-$D25-IF(ISNUMBER($E25),$E25,0)-$L25-$M25-$N25-$O25,"")</f>
        <v>29.446</v>
      </c>
      <c r="Q25" s="42" t="n">
        <f aca="false">IF(AND(ISNUMBER($K25),$K25&gt;0),$P25/$K25,"")</f>
        <v>0.280705433746425</v>
      </c>
      <c r="R25" s="43"/>
      <c r="S25" s="44" t="str">
        <f aca="false">IF(OR(NOT(ISNUMBER($R25)),$R25=0,NOT(ISNUMBER($K25))),"",$K25*(1-$R25))</f>
        <v/>
      </c>
      <c r="T25" s="45" t="str">
        <f aca="false">IF(ISNUMBER($S25),$S25*$H25,"")</f>
        <v/>
      </c>
      <c r="U25" s="45" t="str">
        <f aca="false">IF(ISNUMBER($S25),$S25*Parâmetros!$B$6,"")</f>
        <v/>
      </c>
      <c r="V25" s="45" t="str">
        <f aca="false">IF(ISNUMBER($S25),$S25*Parâmetros!$C$6,"")</f>
        <v/>
      </c>
      <c r="W25" s="44" t="str">
        <f aca="false">IF(ISNUMBER($S25),$S25-$D25-IF(ISNUMBER($E25),$E25,0)-$O25-$T25-$U25-$V25,"")</f>
        <v/>
      </c>
      <c r="X25" s="46" t="str">
        <f aca="false">IF(AND(ISNUMBER($S25),$S25&gt;0),$W25/$S25,"")</f>
        <v/>
      </c>
      <c r="Y25" s="49" t="s">
        <v>737</v>
      </c>
      <c r="Z25" s="21" t="s">
        <v>747</v>
      </c>
    </row>
    <row r="26" customFormat="false" ht="15.75" hidden="false" customHeight="true" outlineLevel="0" collapsed="false">
      <c r="A26" s="32" t="str">
        <f aca="false">IF(Produtos!$A26="","",Produtos!$A26)</f>
        <v>L1623-A</v>
      </c>
      <c r="B26" s="32" t="str">
        <f aca="false">IF(Produtos!$A26="","",Produtos!$B26)</f>
        <v>Lixeira Aço Inox c/Aro 16x23 05L</v>
      </c>
      <c r="C26" s="32" t="str">
        <f aca="false">IF(Produtos!$A26="","",Produtos!$C26)</f>
        <v>Lixeiras em inox</v>
      </c>
      <c r="D26" s="33" t="n">
        <f aca="false">IF(Produtos!$A26="","",IF(Produtos!$D26="","",Produtos!$D26))</f>
        <v>55.75</v>
      </c>
      <c r="E26" s="11" t="n">
        <v>0</v>
      </c>
      <c r="F26" s="34" t="n">
        <f aca="false">IF($A26="","",IF($C26="","⚠ categoria",IFERROR(INDEX(Parâmetros!$D$13:$D$22,MATCH($C26,Parâmetros!$A$13:$A$22,0)),"⚠ categoria")))</f>
        <v>0.13</v>
      </c>
      <c r="G26" s="35"/>
      <c r="H26" s="36" t="n">
        <f aca="false">IF($A26="","",IF(ISNUMBER($G26),$G26,IF(ISNUMBER($F26),$F26,"")))</f>
        <v>0.13</v>
      </c>
      <c r="I26" s="37" t="n">
        <f aca="false">IF(OR($A26="",NOT(ISNUMBER($D26)),NOT(ISNUMBER($H26))),"",IF((1-$H26-Parâmetros!$B$6-Parâmetros!$C$6-Parâmetros!$D$6)&lt;=0,"INVALIDO",($D26+IF(ISNUMBER($E26),$E26,0)+IF(ISNUMBER(Parâmetros!$E$6),Parâmetros!$E$6,0))/(1-$H26-Parâmetros!$B$6-Parâmetros!$C$6-Parâmetros!$D$6)))</f>
        <v>103.240740740741</v>
      </c>
      <c r="J26" s="38" t="n">
        <v>120.9</v>
      </c>
      <c r="K26" s="39" t="n">
        <f aca="false">IF(OR($A26="",NOT(ISNUMBER($D26)),NOT(ISNUMBER($H26))),"",IF(AND(ISNUMBER($J26),$J26&gt;0),$J26,IF(ISNUMBER($I26),$I26,"")))</f>
        <v>120.9</v>
      </c>
      <c r="L26" s="40" t="n">
        <f aca="false">IF(ISNUMBER($K26),$K26*$H26,"")</f>
        <v>15.717</v>
      </c>
      <c r="M26" s="40" t="n">
        <f aca="false">IF(ISNUMBER($K26),$K26*Parâmetros!$B$6,"")</f>
        <v>12.09</v>
      </c>
      <c r="N26" s="40" t="n">
        <f aca="false">IF(ISNUMBER($K26),$K26*Parâmetros!$C$6,"")</f>
        <v>3.627</v>
      </c>
      <c r="O26" s="40" t="n">
        <f aca="false">IF(ISNUMBER($K26),IF(ISNUMBER(Parâmetros!$E$6),Parâmetros!$E$6,0),"")</f>
        <v>0</v>
      </c>
      <c r="P26" s="41" t="n">
        <f aca="false">IF(ISNUMBER($K26),$K26-$D26-IF(ISNUMBER($E26),$E26,0)-$L26-$M26-$N26-$O26,"")</f>
        <v>33.716</v>
      </c>
      <c r="Q26" s="42" t="n">
        <f aca="false">IF(AND(ISNUMBER($K26),$K26&gt;0),$P26/$K26,"")</f>
        <v>0.278875103391232</v>
      </c>
      <c r="R26" s="43"/>
      <c r="S26" s="44" t="str">
        <f aca="false">IF(OR(NOT(ISNUMBER($R26)),$R26=0,NOT(ISNUMBER($K26))),"",$K26*(1-$R26))</f>
        <v/>
      </c>
      <c r="T26" s="45" t="str">
        <f aca="false">IF(ISNUMBER($S26),$S26*$H26,"")</f>
        <v/>
      </c>
      <c r="U26" s="45" t="str">
        <f aca="false">IF(ISNUMBER($S26),$S26*Parâmetros!$B$6,"")</f>
        <v/>
      </c>
      <c r="V26" s="45" t="str">
        <f aca="false">IF(ISNUMBER($S26),$S26*Parâmetros!$C$6,"")</f>
        <v/>
      </c>
      <c r="W26" s="44" t="str">
        <f aca="false">IF(ISNUMBER($S26),$S26-$D26-IF(ISNUMBER($E26),$E26,0)-$O26-$T26-$U26-$V26,"")</f>
        <v/>
      </c>
      <c r="X26" s="46" t="str">
        <f aca="false">IF(AND(ISNUMBER($S26),$S26&gt;0),$W26/$S26,"")</f>
        <v/>
      </c>
      <c r="Y26" s="47" t="s">
        <v>737</v>
      </c>
      <c r="Z26" s="19" t="s">
        <v>747</v>
      </c>
    </row>
    <row r="27" customFormat="false" ht="15.75" hidden="false" customHeight="true" outlineLevel="0" collapsed="false">
      <c r="A27" s="48" t="str">
        <f aca="false">IF(Produtos!$A27="","",Produtos!$A27)</f>
        <v>L2025-A</v>
      </c>
      <c r="B27" s="48" t="str">
        <f aca="false">IF(Produtos!$A27="","",Produtos!$B27)</f>
        <v>Lixeira Aço Inox c/Aro 20x25 07L</v>
      </c>
      <c r="C27" s="48" t="str">
        <f aca="false">IF(Produtos!$A27="","",Produtos!$C27)</f>
        <v>Lixeiras em inox</v>
      </c>
      <c r="D27" s="33" t="n">
        <f aca="false">IF(Produtos!$A27="","",IF(Produtos!$D27="","",Produtos!$D27))</f>
        <v>60.21</v>
      </c>
      <c r="E27" s="11" t="n">
        <v>0</v>
      </c>
      <c r="F27" s="34" t="n">
        <f aca="false">IF($A27="","",IF($C27="","⚠ categoria",IFERROR(INDEX(Parâmetros!$D$13:$D$22,MATCH($C27,Parâmetros!$A$13:$A$22,0)),"⚠ categoria")))</f>
        <v>0.13</v>
      </c>
      <c r="G27" s="35"/>
      <c r="H27" s="36" t="n">
        <f aca="false">IF($A27="","",IF(ISNUMBER($G27),$G27,IF(ISNUMBER($F27),$F27,"")))</f>
        <v>0.13</v>
      </c>
      <c r="I27" s="37" t="n">
        <f aca="false">IF(OR($A27="",NOT(ISNUMBER($D27)),NOT(ISNUMBER($H27))),"",IF((1-$H27-Parâmetros!$B$6-Parâmetros!$C$6-Parâmetros!$D$6)&lt;=0,"INVALIDO",($D27+IF(ISNUMBER($E27),$E27,0)+IF(ISNUMBER(Parâmetros!$E$6),Parâmetros!$E$6,0))/(1-$H27-Parâmetros!$B$6-Parâmetros!$C$6-Parâmetros!$D$6)))</f>
        <v>111.5</v>
      </c>
      <c r="J27" s="38" t="n">
        <v>127.9</v>
      </c>
      <c r="K27" s="39" t="n">
        <f aca="false">IF(OR($A27="",NOT(ISNUMBER($D27)),NOT(ISNUMBER($H27))),"",IF(AND(ISNUMBER($J27),$J27&gt;0),$J27,IF(ISNUMBER($I27),$I27,"")))</f>
        <v>127.9</v>
      </c>
      <c r="L27" s="40" t="n">
        <f aca="false">IF(ISNUMBER($K27),$K27*$H27,"")</f>
        <v>16.627</v>
      </c>
      <c r="M27" s="40" t="n">
        <f aca="false">IF(ISNUMBER($K27),$K27*Parâmetros!$B$6,"")</f>
        <v>12.79</v>
      </c>
      <c r="N27" s="40" t="n">
        <f aca="false">IF(ISNUMBER($K27),$K27*Parâmetros!$C$6,"")</f>
        <v>3.837</v>
      </c>
      <c r="O27" s="40" t="n">
        <f aca="false">IF(ISNUMBER($K27),IF(ISNUMBER(Parâmetros!$E$6),Parâmetros!$E$6,0),"")</f>
        <v>0</v>
      </c>
      <c r="P27" s="41" t="n">
        <f aca="false">IF(ISNUMBER($K27),$K27-$D27-IF(ISNUMBER($E27),$E27,0)-$L27-$M27-$N27-$O27,"")</f>
        <v>34.436</v>
      </c>
      <c r="Q27" s="42" t="n">
        <f aca="false">IF(AND(ISNUMBER($K27),$K27&gt;0),$P27/$K27,"")</f>
        <v>0.269241594996091</v>
      </c>
      <c r="R27" s="43"/>
      <c r="S27" s="44" t="str">
        <f aca="false">IF(OR(NOT(ISNUMBER($R27)),$R27=0,NOT(ISNUMBER($K27))),"",$K27*(1-$R27))</f>
        <v/>
      </c>
      <c r="T27" s="45" t="str">
        <f aca="false">IF(ISNUMBER($S27),$S27*$H27,"")</f>
        <v/>
      </c>
      <c r="U27" s="45" t="str">
        <f aca="false">IF(ISNUMBER($S27),$S27*Parâmetros!$B$6,"")</f>
        <v/>
      </c>
      <c r="V27" s="45" t="str">
        <f aca="false">IF(ISNUMBER($S27),$S27*Parâmetros!$C$6,"")</f>
        <v/>
      </c>
      <c r="W27" s="44" t="str">
        <f aca="false">IF(ISNUMBER($S27),$S27-$D27-IF(ISNUMBER($E27),$E27,0)-$O27-$T27-$U27-$V27,"")</f>
        <v/>
      </c>
      <c r="X27" s="46" t="str">
        <f aca="false">IF(AND(ISNUMBER($S27),$S27&gt;0),$W27/$S27,"")</f>
        <v/>
      </c>
      <c r="Y27" s="49" t="s">
        <v>737</v>
      </c>
      <c r="Z27" s="21" t="s">
        <v>747</v>
      </c>
    </row>
    <row r="28" customFormat="false" ht="15.75" hidden="false" customHeight="true" outlineLevel="0" collapsed="false">
      <c r="A28" s="32" t="str">
        <f aca="false">IF(Produtos!$A28="","",Produtos!$A28)</f>
        <v>L2030-A</v>
      </c>
      <c r="B28" s="32" t="str">
        <f aca="false">IF(Produtos!$A28="","",Produtos!$B28)</f>
        <v>Lixeira Aço Inox c/Aro 20x30 10L</v>
      </c>
      <c r="C28" s="32" t="str">
        <f aca="false">IF(Produtos!$A28="","",Produtos!$C28)</f>
        <v>Lixeiras em inox</v>
      </c>
      <c r="D28" s="33" t="n">
        <f aca="false">IF(Produtos!$A28="","",IF(Produtos!$D28="","",Produtos!$D28))</f>
        <v>68.57</v>
      </c>
      <c r="E28" s="11" t="n">
        <v>0</v>
      </c>
      <c r="F28" s="34" t="n">
        <f aca="false">IF($A28="","",IF($C28="","⚠ categoria",IFERROR(INDEX(Parâmetros!$D$13:$D$22,MATCH($C28,Parâmetros!$A$13:$A$22,0)),"⚠ categoria")))</f>
        <v>0.13</v>
      </c>
      <c r="G28" s="35"/>
      <c r="H28" s="36" t="n">
        <f aca="false">IF($A28="","",IF(ISNUMBER($G28),$G28,IF(ISNUMBER($F28),$F28,"")))</f>
        <v>0.13</v>
      </c>
      <c r="I28" s="37" t="n">
        <f aca="false">IF(OR($A28="",NOT(ISNUMBER($D28)),NOT(ISNUMBER($H28))),"",IF((1-$H28-Parâmetros!$B$6-Parâmetros!$C$6-Parâmetros!$D$6)&lt;=0,"INVALIDO",($D28+IF(ISNUMBER($E28),$E28,0)+IF(ISNUMBER(Parâmetros!$E$6),Parâmetros!$E$6,0))/(1-$H28-Parâmetros!$B$6-Parâmetros!$C$6-Parâmetros!$D$6)))</f>
        <v>126.981481481481</v>
      </c>
      <c r="J28" s="38" t="n">
        <v>141.9</v>
      </c>
      <c r="K28" s="39" t="n">
        <f aca="false">IF(OR($A28="",NOT(ISNUMBER($D28)),NOT(ISNUMBER($H28))),"",IF(AND(ISNUMBER($J28),$J28&gt;0),$J28,IF(ISNUMBER($I28),$I28,"")))</f>
        <v>141.9</v>
      </c>
      <c r="L28" s="40" t="n">
        <f aca="false">IF(ISNUMBER($K28),$K28*$H28,"")</f>
        <v>18.447</v>
      </c>
      <c r="M28" s="40" t="n">
        <f aca="false">IF(ISNUMBER($K28),$K28*Parâmetros!$B$6,"")</f>
        <v>14.19</v>
      </c>
      <c r="N28" s="40" t="n">
        <f aca="false">IF(ISNUMBER($K28),$K28*Parâmetros!$C$6,"")</f>
        <v>4.257</v>
      </c>
      <c r="O28" s="40" t="n">
        <f aca="false">IF(ISNUMBER($K28),IF(ISNUMBER(Parâmetros!$E$6),Parâmetros!$E$6,0),"")</f>
        <v>0</v>
      </c>
      <c r="P28" s="41" t="n">
        <f aca="false">IF(ISNUMBER($K28),$K28-$D28-IF(ISNUMBER($E28),$E28,0)-$L28-$M28-$N28-$O28,"")</f>
        <v>36.436</v>
      </c>
      <c r="Q28" s="42" t="n">
        <f aca="false">IF(AND(ISNUMBER($K28),$K28&gt;0),$P28/$K28,"")</f>
        <v>0.25677237491191</v>
      </c>
      <c r="R28" s="43"/>
      <c r="S28" s="44" t="str">
        <f aca="false">IF(OR(NOT(ISNUMBER($R28)),$R28=0,NOT(ISNUMBER($K28))),"",$K28*(1-$R28))</f>
        <v/>
      </c>
      <c r="T28" s="45" t="str">
        <f aca="false">IF(ISNUMBER($S28),$S28*$H28,"")</f>
        <v/>
      </c>
      <c r="U28" s="45" t="str">
        <f aca="false">IF(ISNUMBER($S28),$S28*Parâmetros!$B$6,"")</f>
        <v/>
      </c>
      <c r="V28" s="45" t="str">
        <f aca="false">IF(ISNUMBER($S28),$S28*Parâmetros!$C$6,"")</f>
        <v/>
      </c>
      <c r="W28" s="44" t="str">
        <f aca="false">IF(ISNUMBER($S28),$S28-$D28-IF(ISNUMBER($E28),$E28,0)-$O28-$T28-$U28-$V28,"")</f>
        <v/>
      </c>
      <c r="X28" s="46" t="str">
        <f aca="false">IF(AND(ISNUMBER($S28),$S28&gt;0),$W28/$S28,"")</f>
        <v/>
      </c>
      <c r="Y28" s="47" t="s">
        <v>737</v>
      </c>
      <c r="Z28" s="19" t="s">
        <v>747</v>
      </c>
    </row>
    <row r="29" customFormat="false" ht="15.75" hidden="false" customHeight="true" outlineLevel="0" collapsed="false">
      <c r="A29" s="48" t="str">
        <f aca="false">IF(Produtos!$A29="","",Produtos!$A29)</f>
        <v>L2425-A</v>
      </c>
      <c r="B29" s="48" t="str">
        <f aca="false">IF(Produtos!$A29="","",Produtos!$B29)</f>
        <v>Lixeira Aço Inox c/Aro 24x25 13L</v>
      </c>
      <c r="C29" s="48" t="str">
        <f aca="false">IF(Produtos!$A29="","",Produtos!$C29)</f>
        <v>Lixeiras em inox</v>
      </c>
      <c r="D29" s="33" t="n">
        <f aca="false">IF(Produtos!$A29="","",IF(Produtos!$D29="","",Produtos!$D29))</f>
        <v>79.66</v>
      </c>
      <c r="E29" s="11" t="n">
        <v>0</v>
      </c>
      <c r="F29" s="34" t="n">
        <f aca="false">IF($A29="","",IF($C29="","⚠ categoria",IFERROR(INDEX(Parâmetros!$D$13:$D$22,MATCH($C29,Parâmetros!$A$13:$A$22,0)),"⚠ categoria")))</f>
        <v>0.13</v>
      </c>
      <c r="G29" s="35"/>
      <c r="H29" s="36" t="n">
        <f aca="false">IF($A29="","",IF(ISNUMBER($G29),$G29,IF(ISNUMBER($F29),$F29,"")))</f>
        <v>0.13</v>
      </c>
      <c r="I29" s="37" t="n">
        <f aca="false">IF(OR($A29="",NOT(ISNUMBER($D29)),NOT(ISNUMBER($H29))),"",IF((1-$H29-Parâmetros!$B$6-Parâmetros!$C$6-Parâmetros!$D$6)&lt;=0,"INVALIDO",($D29+IF(ISNUMBER($E29),$E29,0)+IF(ISNUMBER(Parâmetros!$E$6),Parâmetros!$E$6,0))/(1-$H29-Parâmetros!$B$6-Parâmetros!$C$6-Parâmetros!$D$6)))</f>
        <v>147.518518518519</v>
      </c>
      <c r="J29" s="38" t="n">
        <v>160.08</v>
      </c>
      <c r="K29" s="39" t="n">
        <f aca="false">IF(OR($A29="",NOT(ISNUMBER($D29)),NOT(ISNUMBER($H29))),"",IF(AND(ISNUMBER($J29),$J29&gt;0),$J29,IF(ISNUMBER($I29),$I29,"")))</f>
        <v>160.08</v>
      </c>
      <c r="L29" s="40" t="n">
        <f aca="false">IF(ISNUMBER($K29),$K29*$H29,"")</f>
        <v>20.8104</v>
      </c>
      <c r="M29" s="40" t="n">
        <f aca="false">IF(ISNUMBER($K29),$K29*Parâmetros!$B$6,"")</f>
        <v>16.008</v>
      </c>
      <c r="N29" s="40" t="n">
        <f aca="false">IF(ISNUMBER($K29),$K29*Parâmetros!$C$6,"")</f>
        <v>4.8024</v>
      </c>
      <c r="O29" s="40" t="n">
        <f aca="false">IF(ISNUMBER($K29),IF(ISNUMBER(Parâmetros!$E$6),Parâmetros!$E$6,0),"")</f>
        <v>0</v>
      </c>
      <c r="P29" s="41" t="n">
        <f aca="false">IF(ISNUMBER($K29),$K29-$D29-IF(ISNUMBER($E29),$E29,0)-$L29-$M29-$N29-$O29,"")</f>
        <v>38.7992</v>
      </c>
      <c r="Q29" s="42" t="n">
        <f aca="false">IF(AND(ISNUMBER($K29),$K29&gt;0),$P29/$K29,"")</f>
        <v>0.242373813093453</v>
      </c>
      <c r="R29" s="43"/>
      <c r="S29" s="44" t="str">
        <f aca="false">IF(OR(NOT(ISNUMBER($R29)),$R29=0,NOT(ISNUMBER($K29))),"",$K29*(1-$R29))</f>
        <v/>
      </c>
      <c r="T29" s="45" t="str">
        <f aca="false">IF(ISNUMBER($S29),$S29*$H29,"")</f>
        <v/>
      </c>
      <c r="U29" s="45" t="str">
        <f aca="false">IF(ISNUMBER($S29),$S29*Parâmetros!$B$6,"")</f>
        <v/>
      </c>
      <c r="V29" s="45" t="str">
        <f aca="false">IF(ISNUMBER($S29),$S29*Parâmetros!$C$6,"")</f>
        <v/>
      </c>
      <c r="W29" s="44" t="str">
        <f aca="false">IF(ISNUMBER($S29),$S29-$D29-IF(ISNUMBER($E29),$E29,0)-$O29-$T29-$U29-$V29,"")</f>
        <v/>
      </c>
      <c r="X29" s="46" t="str">
        <f aca="false">IF(AND(ISNUMBER($S29),$S29&gt;0),$W29/$S29,"")</f>
        <v/>
      </c>
      <c r="Y29" s="49" t="s">
        <v>737</v>
      </c>
      <c r="Z29" s="21" t="s">
        <v>747</v>
      </c>
    </row>
    <row r="30" customFormat="false" ht="15.75" hidden="false" customHeight="true" outlineLevel="0" collapsed="false">
      <c r="A30" s="32" t="str">
        <f aca="false">IF(Produtos!$A30="","",Produtos!$A30)</f>
        <v>L2430-A</v>
      </c>
      <c r="B30" s="32" t="str">
        <f aca="false">IF(Produtos!$A30="","",Produtos!$B30)</f>
        <v>Lixeira Aço Inox c/Aro 24x30 15L</v>
      </c>
      <c r="C30" s="32" t="str">
        <f aca="false">IF(Produtos!$A30="","",Produtos!$C30)</f>
        <v>Lixeiras em inox</v>
      </c>
      <c r="D30" s="33" t="n">
        <f aca="false">IF(Produtos!$A30="","",IF(Produtos!$D30="","",Produtos!$D30))</f>
        <v>91.16</v>
      </c>
      <c r="E30" s="11" t="n">
        <v>0</v>
      </c>
      <c r="F30" s="34" t="n">
        <f aca="false">IF($A30="","",IF($C30="","⚠ categoria",IFERROR(INDEX(Parâmetros!$D$13:$D$22,MATCH($C30,Parâmetros!$A$13:$A$22,0)),"⚠ categoria")))</f>
        <v>0.13</v>
      </c>
      <c r="G30" s="35"/>
      <c r="H30" s="36" t="n">
        <f aca="false">IF($A30="","",IF(ISNUMBER($G30),$G30,IF(ISNUMBER($F30),$F30,"")))</f>
        <v>0.13</v>
      </c>
      <c r="I30" s="37" t="n">
        <f aca="false">IF(OR($A30="",NOT(ISNUMBER($D30)),NOT(ISNUMBER($H30))),"",IF((1-$H30-Parâmetros!$B$6-Parâmetros!$C$6-Parâmetros!$D$6)&lt;=0,"INVALIDO",($D30+IF(ISNUMBER($E30),$E30,0)+IF(ISNUMBER(Parâmetros!$E$6),Parâmetros!$E$6,0))/(1-$H30-Parâmetros!$B$6-Parâmetros!$C$6-Parâmetros!$D$6)))</f>
        <v>168.814814814815</v>
      </c>
      <c r="J30" s="38" t="n">
        <v>178.49</v>
      </c>
      <c r="K30" s="39" t="n">
        <f aca="false">IF(OR($A30="",NOT(ISNUMBER($D30)),NOT(ISNUMBER($H30))),"",IF(AND(ISNUMBER($J30),$J30&gt;0),$J30,IF(ISNUMBER($I30),$I30,"")))</f>
        <v>178.49</v>
      </c>
      <c r="L30" s="40" t="n">
        <f aca="false">IF(ISNUMBER($K30),$K30*$H30,"")</f>
        <v>23.2037</v>
      </c>
      <c r="M30" s="40" t="n">
        <f aca="false">IF(ISNUMBER($K30),$K30*Parâmetros!$B$6,"")</f>
        <v>17.849</v>
      </c>
      <c r="N30" s="40" t="n">
        <f aca="false">IF(ISNUMBER($K30),$K30*Parâmetros!$C$6,"")</f>
        <v>5.3547</v>
      </c>
      <c r="O30" s="40" t="n">
        <f aca="false">IF(ISNUMBER($K30),IF(ISNUMBER(Parâmetros!$E$6),Parâmetros!$E$6,0),"")</f>
        <v>0</v>
      </c>
      <c r="P30" s="41" t="n">
        <f aca="false">IF(ISNUMBER($K30),$K30-$D30-IF(ISNUMBER($E30),$E30,0)-$L30-$M30-$N30-$O30,"")</f>
        <v>40.9226</v>
      </c>
      <c r="Q30" s="42" t="n">
        <f aca="false">IF(AND(ISNUMBER($K30),$K30&gt;0),$P30/$K30,"")</f>
        <v>0.229271107625077</v>
      </c>
      <c r="R30" s="43"/>
      <c r="S30" s="44" t="str">
        <f aca="false">IF(OR(NOT(ISNUMBER($R30)),$R30=0,NOT(ISNUMBER($K30))),"",$K30*(1-$R30))</f>
        <v/>
      </c>
      <c r="T30" s="45" t="str">
        <f aca="false">IF(ISNUMBER($S30),$S30*$H30,"")</f>
        <v/>
      </c>
      <c r="U30" s="45" t="str">
        <f aca="false">IF(ISNUMBER($S30),$S30*Parâmetros!$B$6,"")</f>
        <v/>
      </c>
      <c r="V30" s="45" t="str">
        <f aca="false">IF(ISNUMBER($S30),$S30*Parâmetros!$C$6,"")</f>
        <v/>
      </c>
      <c r="W30" s="44" t="str">
        <f aca="false">IF(ISNUMBER($S30),$S30-$D30-IF(ISNUMBER($E30),$E30,0)-$O30-$T30-$U30-$V30,"")</f>
        <v/>
      </c>
      <c r="X30" s="46" t="str">
        <f aca="false">IF(AND(ISNUMBER($S30),$S30&gt;0),$W30/$S30,"")</f>
        <v/>
      </c>
      <c r="Y30" s="47" t="s">
        <v>737</v>
      </c>
      <c r="Z30" s="19" t="s">
        <v>747</v>
      </c>
    </row>
    <row r="31" customFormat="false" ht="15.75" hidden="false" customHeight="true" outlineLevel="0" collapsed="false">
      <c r="A31" s="48" t="str">
        <f aca="false">IF(Produtos!$A31="","",Produtos!$A31)</f>
        <v>L2440-A</v>
      </c>
      <c r="B31" s="48" t="str">
        <f aca="false">IF(Produtos!$A31="","",Produtos!$B31)</f>
        <v>Lixeira Aço Inox c/Aro 24x40 20L</v>
      </c>
      <c r="C31" s="48" t="str">
        <f aca="false">IF(Produtos!$A31="","",Produtos!$C31)</f>
        <v>Lixeiras em inox</v>
      </c>
      <c r="D31" s="33" t="n">
        <f aca="false">IF(Produtos!$A31="","",IF(Produtos!$D31="","",Produtos!$D31))</f>
        <v>102.19</v>
      </c>
      <c r="E31" s="11" t="n">
        <v>0</v>
      </c>
      <c r="F31" s="34" t="n">
        <f aca="false">IF($A31="","",IF($C31="","⚠ categoria",IFERROR(INDEX(Parâmetros!$D$13:$D$22,MATCH($C31,Parâmetros!$A$13:$A$22,0)),"⚠ categoria")))</f>
        <v>0.13</v>
      </c>
      <c r="G31" s="35"/>
      <c r="H31" s="36" t="n">
        <f aca="false">IF($A31="","",IF(ISNUMBER($G31),$G31,IF(ISNUMBER($F31),$F31,"")))</f>
        <v>0.13</v>
      </c>
      <c r="I31" s="37" t="n">
        <f aca="false">IF(OR($A31="",NOT(ISNUMBER($D31)),NOT(ISNUMBER($H31))),"",IF((1-$H31-Parâmetros!$B$6-Parâmetros!$C$6-Parâmetros!$D$6)&lt;=0,"INVALIDO",($D31+IF(ISNUMBER($E31),$E31,0)+IF(ISNUMBER(Parâmetros!$E$6),Parâmetros!$E$6,0))/(1-$H31-Parâmetros!$B$6-Parâmetros!$C$6-Parâmetros!$D$6)))</f>
        <v>189.240740740741</v>
      </c>
      <c r="J31" s="38" t="n">
        <v>202.69</v>
      </c>
      <c r="K31" s="39" t="n">
        <f aca="false">IF(OR($A31="",NOT(ISNUMBER($D31)),NOT(ISNUMBER($H31))),"",IF(AND(ISNUMBER($J31),$J31&gt;0),$J31,IF(ISNUMBER($I31),$I31,"")))</f>
        <v>202.69</v>
      </c>
      <c r="L31" s="40" t="n">
        <f aca="false">IF(ISNUMBER($K31),$K31*$H31,"")</f>
        <v>26.3497</v>
      </c>
      <c r="M31" s="40" t="n">
        <f aca="false">IF(ISNUMBER($K31),$K31*Parâmetros!$B$6,"")</f>
        <v>20.269</v>
      </c>
      <c r="N31" s="40" t="n">
        <f aca="false">IF(ISNUMBER($K31),$K31*Parâmetros!$C$6,"")</f>
        <v>6.0807</v>
      </c>
      <c r="O31" s="40" t="n">
        <f aca="false">IF(ISNUMBER($K31),IF(ISNUMBER(Parâmetros!$E$6),Parâmetros!$E$6,0),"")</f>
        <v>0</v>
      </c>
      <c r="P31" s="41" t="n">
        <f aca="false">IF(ISNUMBER($K31),$K31-$D31-IF(ISNUMBER($E31),$E31,0)-$L31-$M31-$N31-$O31,"")</f>
        <v>47.8006</v>
      </c>
      <c r="Q31" s="42" t="n">
        <f aca="false">IF(AND(ISNUMBER($K31),$K31&gt;0),$P31/$K31,"")</f>
        <v>0.235831072080517</v>
      </c>
      <c r="R31" s="43"/>
      <c r="S31" s="44" t="str">
        <f aca="false">IF(OR(NOT(ISNUMBER($R31)),$R31=0,NOT(ISNUMBER($K31))),"",$K31*(1-$R31))</f>
        <v/>
      </c>
      <c r="T31" s="45" t="str">
        <f aca="false">IF(ISNUMBER($S31),$S31*$H31,"")</f>
        <v/>
      </c>
      <c r="U31" s="45" t="str">
        <f aca="false">IF(ISNUMBER($S31),$S31*Parâmetros!$B$6,"")</f>
        <v/>
      </c>
      <c r="V31" s="45" t="str">
        <f aca="false">IF(ISNUMBER($S31),$S31*Parâmetros!$C$6,"")</f>
        <v/>
      </c>
      <c r="W31" s="44" t="str">
        <f aca="false">IF(ISNUMBER($S31),$S31-$D31-IF(ISNUMBER($E31),$E31,0)-$O31-$T31-$U31-$V31,"")</f>
        <v/>
      </c>
      <c r="X31" s="46" t="str">
        <f aca="false">IF(AND(ISNUMBER($S31),$S31&gt;0),$W31/$S31,"")</f>
        <v/>
      </c>
      <c r="Y31" s="49" t="s">
        <v>737</v>
      </c>
      <c r="Z31" s="21" t="s">
        <v>747</v>
      </c>
    </row>
    <row r="32" customFormat="false" ht="15.75" hidden="false" customHeight="true" outlineLevel="0" collapsed="false">
      <c r="A32" s="32" t="str">
        <f aca="false">IF(Produtos!$A32="","",Produtos!$A32)</f>
        <v>L2450-A</v>
      </c>
      <c r="B32" s="32" t="str">
        <f aca="false">IF(Produtos!$A32="","",Produtos!$B32)</f>
        <v>Lixeira Aço Inox c/Aro 24x50 25L</v>
      </c>
      <c r="C32" s="32" t="str">
        <f aca="false">IF(Produtos!$A32="","",Produtos!$C32)</f>
        <v>Lixeiras em inox</v>
      </c>
      <c r="D32" s="33" t="n">
        <f aca="false">IF(Produtos!$A32="","",IF(Produtos!$D32="","",Produtos!$D32))</f>
        <v>132.03</v>
      </c>
      <c r="E32" s="11" t="n">
        <v>0</v>
      </c>
      <c r="F32" s="34" t="n">
        <f aca="false">IF($A32="","",IF($C32="","⚠ categoria",IFERROR(INDEX(Parâmetros!$D$13:$D$22,MATCH($C32,Parâmetros!$A$13:$A$22,0)),"⚠ categoria")))</f>
        <v>0.13</v>
      </c>
      <c r="G32" s="35"/>
      <c r="H32" s="36" t="n">
        <f aca="false">IF($A32="","",IF(ISNUMBER($G32),$G32,IF(ISNUMBER($F32),$F32,"")))</f>
        <v>0.13</v>
      </c>
      <c r="I32" s="37" t="n">
        <f aca="false">IF(OR($A32="",NOT(ISNUMBER($D32)),NOT(ISNUMBER($H32))),"",IF((1-$H32-Parâmetros!$B$6-Parâmetros!$C$6-Parâmetros!$D$6)&lt;=0,"INVALIDO",($D32+IF(ISNUMBER($E32),$E32,0)+IF(ISNUMBER(Parâmetros!$E$6),Parâmetros!$E$6,0))/(1-$H32-Parâmetros!$B$6-Parâmetros!$C$6-Parâmetros!$D$6)))</f>
        <v>244.5</v>
      </c>
      <c r="J32" s="38" t="n">
        <v>253.58</v>
      </c>
      <c r="K32" s="39" t="n">
        <f aca="false">IF(OR($A32="",NOT(ISNUMBER($D32)),NOT(ISNUMBER($H32))),"",IF(AND(ISNUMBER($J32),$J32&gt;0),$J32,IF(ISNUMBER($I32),$I32,"")))</f>
        <v>253.58</v>
      </c>
      <c r="L32" s="40" t="n">
        <f aca="false">IF(ISNUMBER($K32),$K32*$H32,"")</f>
        <v>32.9654</v>
      </c>
      <c r="M32" s="40" t="n">
        <f aca="false">IF(ISNUMBER($K32),$K32*Parâmetros!$B$6,"")</f>
        <v>25.358</v>
      </c>
      <c r="N32" s="40" t="n">
        <f aca="false">IF(ISNUMBER($K32),$K32*Parâmetros!$C$6,"")</f>
        <v>7.6074</v>
      </c>
      <c r="O32" s="40" t="n">
        <f aca="false">IF(ISNUMBER($K32),IF(ISNUMBER(Parâmetros!$E$6),Parâmetros!$E$6,0),"")</f>
        <v>0</v>
      </c>
      <c r="P32" s="41" t="n">
        <f aca="false">IF(ISNUMBER($K32),$K32-$D32-IF(ISNUMBER($E32),$E32,0)-$L32-$M32-$N32-$O32,"")</f>
        <v>55.6192</v>
      </c>
      <c r="Q32" s="42" t="n">
        <f aca="false">IF(AND(ISNUMBER($K32),$K32&gt;0),$P32/$K32,"")</f>
        <v>0.219335909772064</v>
      </c>
      <c r="R32" s="43"/>
      <c r="S32" s="44" t="str">
        <f aca="false">IF(OR(NOT(ISNUMBER($R32)),$R32=0,NOT(ISNUMBER($K32))),"",$K32*(1-$R32))</f>
        <v/>
      </c>
      <c r="T32" s="45" t="str">
        <f aca="false">IF(ISNUMBER($S32),$S32*$H32,"")</f>
        <v/>
      </c>
      <c r="U32" s="45" t="str">
        <f aca="false">IF(ISNUMBER($S32),$S32*Parâmetros!$B$6,"")</f>
        <v/>
      </c>
      <c r="V32" s="45" t="str">
        <f aca="false">IF(ISNUMBER($S32),$S32*Parâmetros!$C$6,"")</f>
        <v/>
      </c>
      <c r="W32" s="44" t="str">
        <f aca="false">IF(ISNUMBER($S32),$S32-$D32-IF(ISNUMBER($E32),$E32,0)-$O32-$T32-$U32-$V32,"")</f>
        <v/>
      </c>
      <c r="X32" s="46" t="str">
        <f aca="false">IF(AND(ISNUMBER($S32),$S32&gt;0),$W32/$S32,"")</f>
        <v/>
      </c>
      <c r="Y32" s="47" t="s">
        <v>737</v>
      </c>
      <c r="Z32" s="19" t="s">
        <v>747</v>
      </c>
    </row>
    <row r="33" customFormat="false" ht="15.75" hidden="false" customHeight="true" outlineLevel="0" collapsed="false">
      <c r="A33" s="48" t="str">
        <f aca="false">IF(Produtos!$A33="","",Produtos!$A33)</f>
        <v>L2460-A</v>
      </c>
      <c r="B33" s="48" t="str">
        <f aca="false">IF(Produtos!$A33="","",Produtos!$B33)</f>
        <v>Lixeira Aço Inox c/Aro 24x60 27L</v>
      </c>
      <c r="C33" s="48" t="str">
        <f aca="false">IF(Produtos!$A33="","",Produtos!$C33)</f>
        <v>Lixeiras em inox</v>
      </c>
      <c r="D33" s="33" t="n">
        <f aca="false">IF(Produtos!$A33="","",IF(Produtos!$D33="","",Produtos!$D33))</f>
        <v>136.09</v>
      </c>
      <c r="E33" s="11" t="n">
        <v>0</v>
      </c>
      <c r="F33" s="34" t="n">
        <f aca="false">IF($A33="","",IF($C33="","⚠ categoria",IFERROR(INDEX(Parâmetros!$D$13:$D$22,MATCH($C33,Parâmetros!$A$13:$A$22,0)),"⚠ categoria")))</f>
        <v>0.13</v>
      </c>
      <c r="G33" s="35"/>
      <c r="H33" s="36" t="n">
        <f aca="false">IF($A33="","",IF(ISNUMBER($G33),$G33,IF(ISNUMBER($F33),$F33,"")))</f>
        <v>0.13</v>
      </c>
      <c r="I33" s="37" t="n">
        <f aca="false">IF(OR($A33="",NOT(ISNUMBER($D33)),NOT(ISNUMBER($H33))),"",IF((1-$H33-Parâmetros!$B$6-Parâmetros!$C$6-Parâmetros!$D$6)&lt;=0,"INVALIDO",($D33+IF(ISNUMBER($E33),$E33,0)+IF(ISNUMBER(Parâmetros!$E$6),Parâmetros!$E$6,0))/(1-$H33-Parâmetros!$B$6-Parâmetros!$C$6-Parâmetros!$D$6)))</f>
        <v>252.018518518519</v>
      </c>
      <c r="J33" s="38" t="n">
        <v>272.57</v>
      </c>
      <c r="K33" s="39" t="n">
        <f aca="false">IF(OR($A33="",NOT(ISNUMBER($D33)),NOT(ISNUMBER($H33))),"",IF(AND(ISNUMBER($J33),$J33&gt;0),$J33,IF(ISNUMBER($I33),$I33,"")))</f>
        <v>272.57</v>
      </c>
      <c r="L33" s="40" t="n">
        <f aca="false">IF(ISNUMBER($K33),$K33*$H33,"")</f>
        <v>35.4341</v>
      </c>
      <c r="M33" s="40" t="n">
        <f aca="false">IF(ISNUMBER($K33),$K33*Parâmetros!$B$6,"")</f>
        <v>27.257</v>
      </c>
      <c r="N33" s="40" t="n">
        <f aca="false">IF(ISNUMBER($K33),$K33*Parâmetros!$C$6,"")</f>
        <v>8.1771</v>
      </c>
      <c r="O33" s="40" t="n">
        <f aca="false">IF(ISNUMBER($K33),IF(ISNUMBER(Parâmetros!$E$6),Parâmetros!$E$6,0),"")</f>
        <v>0</v>
      </c>
      <c r="P33" s="41" t="n">
        <f aca="false">IF(ISNUMBER($K33),$K33-$D33-IF(ISNUMBER($E33),$E33,0)-$L33-$M33-$N33-$O33,"")</f>
        <v>65.6118</v>
      </c>
      <c r="Q33" s="42" t="n">
        <f aca="false">IF(AND(ISNUMBER($K33),$K33&gt;0),$P33/$K33,"")</f>
        <v>0.240715412554573</v>
      </c>
      <c r="R33" s="43"/>
      <c r="S33" s="44" t="str">
        <f aca="false">IF(OR(NOT(ISNUMBER($R33)),$R33=0,NOT(ISNUMBER($K33))),"",$K33*(1-$R33))</f>
        <v/>
      </c>
      <c r="T33" s="45" t="str">
        <f aca="false">IF(ISNUMBER($S33),$S33*$H33,"")</f>
        <v/>
      </c>
      <c r="U33" s="45" t="str">
        <f aca="false">IF(ISNUMBER($S33),$S33*Parâmetros!$B$6,"")</f>
        <v/>
      </c>
      <c r="V33" s="45" t="str">
        <f aca="false">IF(ISNUMBER($S33),$S33*Parâmetros!$C$6,"")</f>
        <v/>
      </c>
      <c r="W33" s="44" t="str">
        <f aca="false">IF(ISNUMBER($S33),$S33-$D33-IF(ISNUMBER($E33),$E33,0)-$O33-$T33-$U33-$V33,"")</f>
        <v/>
      </c>
      <c r="X33" s="46" t="str">
        <f aca="false">IF(AND(ISNUMBER($S33),$S33&gt;0),$W33/$S33,"")</f>
        <v/>
      </c>
      <c r="Y33" s="49" t="s">
        <v>737</v>
      </c>
      <c r="Z33" s="21" t="s">
        <v>748</v>
      </c>
    </row>
    <row r="34" customFormat="false" ht="15.75" hidden="false" customHeight="true" outlineLevel="0" collapsed="false">
      <c r="A34" s="32" t="str">
        <f aca="false">IF(Produtos!$A34="","",Produtos!$A34)</f>
        <v>L2470-A</v>
      </c>
      <c r="B34" s="32" t="str">
        <f aca="false">IF(Produtos!$A34="","",Produtos!$B34)</f>
        <v>Lixeira Aço Inox c/Aro 24x70 30L</v>
      </c>
      <c r="C34" s="32" t="str">
        <f aca="false">IF(Produtos!$A34="","",Produtos!$C34)</f>
        <v>Lixeiras em inox</v>
      </c>
      <c r="D34" s="33" t="n">
        <f aca="false">IF(Produtos!$A34="","",IF(Produtos!$D34="","",Produtos!$D34))</f>
        <v>203.27</v>
      </c>
      <c r="E34" s="11" t="n">
        <v>0</v>
      </c>
      <c r="F34" s="34" t="n">
        <f aca="false">IF($A34="","",IF($C34="","⚠ categoria",IFERROR(INDEX(Parâmetros!$D$13:$D$22,MATCH($C34,Parâmetros!$A$13:$A$22,0)),"⚠ categoria")))</f>
        <v>0.13</v>
      </c>
      <c r="G34" s="35"/>
      <c r="H34" s="36" t="n">
        <f aca="false">IF($A34="","",IF(ISNUMBER($G34),$G34,IF(ISNUMBER($F34),$F34,"")))</f>
        <v>0.13</v>
      </c>
      <c r="I34" s="37" t="n">
        <f aca="false">IF(OR($A34="",NOT(ISNUMBER($D34)),NOT(ISNUMBER($H34))),"",IF((1-$H34-Parâmetros!$B$6-Parâmetros!$C$6-Parâmetros!$D$6)&lt;=0,"INVALIDO",($D34+IF(ISNUMBER($E34),$E34,0)+IF(ISNUMBER(Parâmetros!$E$6),Parâmetros!$E$6,0))/(1-$H34-Parâmetros!$B$6-Parâmetros!$C$6-Parâmetros!$D$6)))</f>
        <v>376.425925925926</v>
      </c>
      <c r="J34" s="38" t="n">
        <v>385.56</v>
      </c>
      <c r="K34" s="39" t="n">
        <f aca="false">IF(OR($A34="",NOT(ISNUMBER($D34)),NOT(ISNUMBER($H34))),"",IF(AND(ISNUMBER($J34),$J34&gt;0),$J34,IF(ISNUMBER($I34),$I34,"")))</f>
        <v>385.56</v>
      </c>
      <c r="L34" s="40" t="n">
        <f aca="false">IF(ISNUMBER($K34),$K34*$H34,"")</f>
        <v>50.1228</v>
      </c>
      <c r="M34" s="40" t="n">
        <f aca="false">IF(ISNUMBER($K34),$K34*Parâmetros!$B$6,"")</f>
        <v>38.556</v>
      </c>
      <c r="N34" s="40" t="n">
        <f aca="false">IF(ISNUMBER($K34),$K34*Parâmetros!$C$6,"")</f>
        <v>11.5668</v>
      </c>
      <c r="O34" s="40" t="n">
        <f aca="false">IF(ISNUMBER($K34),IF(ISNUMBER(Parâmetros!$E$6),Parâmetros!$E$6,0),"")</f>
        <v>0</v>
      </c>
      <c r="P34" s="41" t="n">
        <f aca="false">IF(ISNUMBER($K34),$K34-$D34-IF(ISNUMBER($E34),$E34,0)-$L34-$M34-$N34-$O34,"")</f>
        <v>82.0444</v>
      </c>
      <c r="Q34" s="42" t="n">
        <f aca="false">IF(AND(ISNUMBER($K34),$K34&gt;0),$P34/$K34,"")</f>
        <v>0.212792820832036</v>
      </c>
      <c r="R34" s="43"/>
      <c r="S34" s="44" t="str">
        <f aca="false">IF(OR(NOT(ISNUMBER($R34)),$R34=0,NOT(ISNUMBER($K34))),"",$K34*(1-$R34))</f>
        <v/>
      </c>
      <c r="T34" s="45" t="str">
        <f aca="false">IF(ISNUMBER($S34),$S34*$H34,"")</f>
        <v/>
      </c>
      <c r="U34" s="45" t="str">
        <f aca="false">IF(ISNUMBER($S34),$S34*Parâmetros!$B$6,"")</f>
        <v/>
      </c>
      <c r="V34" s="45" t="str">
        <f aca="false">IF(ISNUMBER($S34),$S34*Parâmetros!$C$6,"")</f>
        <v/>
      </c>
      <c r="W34" s="44" t="str">
        <f aca="false">IF(ISNUMBER($S34),$S34-$D34-IF(ISNUMBER($E34),$E34,0)-$O34-$T34-$U34-$V34,"")</f>
        <v/>
      </c>
      <c r="X34" s="46" t="str">
        <f aca="false">IF(AND(ISNUMBER($S34),$S34&gt;0),$W34/$S34,"")</f>
        <v/>
      </c>
      <c r="Y34" s="47" t="s">
        <v>737</v>
      </c>
      <c r="Z34" s="19" t="s">
        <v>748</v>
      </c>
    </row>
    <row r="35" customFormat="false" ht="15.75" hidden="false" customHeight="true" outlineLevel="0" collapsed="false">
      <c r="A35" s="48" t="str">
        <f aca="false">IF(Produtos!$A35="","",Produtos!$A35)</f>
        <v>L3040-A</v>
      </c>
      <c r="B35" s="48" t="str">
        <f aca="false">IF(Produtos!$A35="","",Produtos!$B35)</f>
        <v>Lixeira Aço Inox c/Aro 30x40 30L</v>
      </c>
      <c r="C35" s="48" t="str">
        <f aca="false">IF(Produtos!$A35="","",Produtos!$C35)</f>
        <v>Lixeiras em inox</v>
      </c>
      <c r="D35" s="33" t="n">
        <f aca="false">IF(Produtos!$A35="","",IF(Produtos!$D35="","",Produtos!$D35))</f>
        <v>151.33</v>
      </c>
      <c r="E35" s="11" t="n">
        <v>0</v>
      </c>
      <c r="F35" s="34" t="n">
        <f aca="false">IF($A35="","",IF($C35="","⚠ categoria",IFERROR(INDEX(Parâmetros!$D$13:$D$22,MATCH($C35,Parâmetros!$A$13:$A$22,0)),"⚠ categoria")))</f>
        <v>0.13</v>
      </c>
      <c r="G35" s="35"/>
      <c r="H35" s="36" t="n">
        <f aca="false">IF($A35="","",IF(ISNUMBER($G35),$G35,IF(ISNUMBER($F35),$F35,"")))</f>
        <v>0.13</v>
      </c>
      <c r="I35" s="37" t="n">
        <f aca="false">IF(OR($A35="",NOT(ISNUMBER($D35)),NOT(ISNUMBER($H35))),"",IF((1-$H35-Parâmetros!$B$6-Parâmetros!$C$6-Parâmetros!$D$6)&lt;=0,"INVALIDO",($D35+IF(ISNUMBER($E35),$E35,0)+IF(ISNUMBER(Parâmetros!$E$6),Parâmetros!$E$6,0))/(1-$H35-Parâmetros!$B$6-Parâmetros!$C$6-Parâmetros!$D$6)))</f>
        <v>280.240740740741</v>
      </c>
      <c r="J35" s="38" t="n">
        <v>296.92</v>
      </c>
      <c r="K35" s="39" t="n">
        <f aca="false">IF(OR($A35="",NOT(ISNUMBER($D35)),NOT(ISNUMBER($H35))),"",IF(AND(ISNUMBER($J35),$J35&gt;0),$J35,IF(ISNUMBER($I35),$I35,"")))</f>
        <v>296.92</v>
      </c>
      <c r="L35" s="40" t="n">
        <f aca="false">IF(ISNUMBER($K35),$K35*$H35,"")</f>
        <v>38.5996</v>
      </c>
      <c r="M35" s="40" t="n">
        <f aca="false">IF(ISNUMBER($K35),$K35*Parâmetros!$B$6,"")</f>
        <v>29.692</v>
      </c>
      <c r="N35" s="40" t="n">
        <f aca="false">IF(ISNUMBER($K35),$K35*Parâmetros!$C$6,"")</f>
        <v>8.9076</v>
      </c>
      <c r="O35" s="40" t="n">
        <f aca="false">IF(ISNUMBER($K35),IF(ISNUMBER(Parâmetros!$E$6),Parâmetros!$E$6,0),"")</f>
        <v>0</v>
      </c>
      <c r="P35" s="41" t="n">
        <f aca="false">IF(ISNUMBER($K35),$K35-$D35-IF(ISNUMBER($E35),$E35,0)-$L35-$M35-$N35-$O35,"")</f>
        <v>68.3908</v>
      </c>
      <c r="Q35" s="42" t="n">
        <f aca="false">IF(AND(ISNUMBER($K35),$K35&gt;0),$P35/$K35,"")</f>
        <v>0.230334096726391</v>
      </c>
      <c r="R35" s="43"/>
      <c r="S35" s="44" t="str">
        <f aca="false">IF(OR(NOT(ISNUMBER($R35)),$R35=0,NOT(ISNUMBER($K35))),"",$K35*(1-$R35))</f>
        <v/>
      </c>
      <c r="T35" s="45" t="str">
        <f aca="false">IF(ISNUMBER($S35),$S35*$H35,"")</f>
        <v/>
      </c>
      <c r="U35" s="45" t="str">
        <f aca="false">IF(ISNUMBER($S35),$S35*Parâmetros!$B$6,"")</f>
        <v/>
      </c>
      <c r="V35" s="45" t="str">
        <f aca="false">IF(ISNUMBER($S35),$S35*Parâmetros!$C$6,"")</f>
        <v/>
      </c>
      <c r="W35" s="44" t="str">
        <f aca="false">IF(ISNUMBER($S35),$S35-$D35-IF(ISNUMBER($E35),$E35,0)-$O35-$T35-$U35-$V35,"")</f>
        <v/>
      </c>
      <c r="X35" s="46" t="str">
        <f aca="false">IF(AND(ISNUMBER($S35),$S35&gt;0),$W35/$S35,"")</f>
        <v/>
      </c>
      <c r="Y35" s="49" t="s">
        <v>737</v>
      </c>
      <c r="Z35" s="21" t="s">
        <v>748</v>
      </c>
    </row>
    <row r="36" customFormat="false" ht="15.75" hidden="false" customHeight="true" outlineLevel="0" collapsed="false">
      <c r="A36" s="32" t="str">
        <f aca="false">IF(Produtos!$A36="","",Produtos!$A36)</f>
        <v>L3050-A</v>
      </c>
      <c r="B36" s="32" t="str">
        <f aca="false">IF(Produtos!$A36="","",Produtos!$B36)</f>
        <v>Lixeira Aço Inox c/Aro 30x50 35L</v>
      </c>
      <c r="C36" s="32" t="str">
        <f aca="false">IF(Produtos!$A36="","",Produtos!$C36)</f>
        <v>Lixeiras em inox</v>
      </c>
      <c r="D36" s="33" t="n">
        <f aca="false">IF(Produtos!$A36="","",IF(Produtos!$D36="","",Produtos!$D36))</f>
        <v>189.66</v>
      </c>
      <c r="E36" s="11" t="n">
        <v>0</v>
      </c>
      <c r="F36" s="34" t="n">
        <f aca="false">IF($A36="","",IF($C36="","⚠ categoria",IFERROR(INDEX(Parâmetros!$D$13:$D$22,MATCH($C36,Parâmetros!$A$13:$A$22,0)),"⚠ categoria")))</f>
        <v>0.13</v>
      </c>
      <c r="G36" s="35"/>
      <c r="H36" s="36" t="n">
        <f aca="false">IF($A36="","",IF(ISNUMBER($G36),$G36,IF(ISNUMBER($F36),$F36,"")))</f>
        <v>0.13</v>
      </c>
      <c r="I36" s="37" t="n">
        <f aca="false">IF(OR($A36="",NOT(ISNUMBER($D36)),NOT(ISNUMBER($H36))),"",IF((1-$H36-Parâmetros!$B$6-Parâmetros!$C$6-Parâmetros!$D$6)&lt;=0,"INVALIDO",($D36+IF(ISNUMBER($E36),$E36,0)+IF(ISNUMBER(Parâmetros!$E$6),Parâmetros!$E$6,0))/(1-$H36-Parâmetros!$B$6-Parâmetros!$C$6-Parâmetros!$D$6)))</f>
        <v>351.222222222222</v>
      </c>
      <c r="J36" s="38" t="n">
        <v>369.74</v>
      </c>
      <c r="K36" s="39" t="n">
        <f aca="false">IF(OR($A36="",NOT(ISNUMBER($D36)),NOT(ISNUMBER($H36))),"",IF(AND(ISNUMBER($J36),$J36&gt;0),$J36,IF(ISNUMBER($I36),$I36,"")))</f>
        <v>369.74</v>
      </c>
      <c r="L36" s="40" t="n">
        <f aca="false">IF(ISNUMBER($K36),$K36*$H36,"")</f>
        <v>48.0662</v>
      </c>
      <c r="M36" s="40" t="n">
        <f aca="false">IF(ISNUMBER($K36),$K36*Parâmetros!$B$6,"")</f>
        <v>36.974</v>
      </c>
      <c r="N36" s="40" t="n">
        <f aca="false">IF(ISNUMBER($K36),$K36*Parâmetros!$C$6,"")</f>
        <v>11.0922</v>
      </c>
      <c r="O36" s="40" t="n">
        <f aca="false">IF(ISNUMBER($K36),IF(ISNUMBER(Parâmetros!$E$6),Parâmetros!$E$6,0),"")</f>
        <v>0</v>
      </c>
      <c r="P36" s="41" t="n">
        <f aca="false">IF(ISNUMBER($K36),$K36-$D36-IF(ISNUMBER($E36),$E36,0)-$L36-$M36-$N36-$O36,"")</f>
        <v>83.9476</v>
      </c>
      <c r="Q36" s="42" t="n">
        <f aca="false">IF(AND(ISNUMBER($K36),$K36&gt;0),$P36/$K36,"")</f>
        <v>0.227044950505761</v>
      </c>
      <c r="R36" s="43"/>
      <c r="S36" s="44" t="str">
        <f aca="false">IF(OR(NOT(ISNUMBER($R36)),$R36=0,NOT(ISNUMBER($K36))),"",$K36*(1-$R36))</f>
        <v/>
      </c>
      <c r="T36" s="45" t="str">
        <f aca="false">IF(ISNUMBER($S36),$S36*$H36,"")</f>
        <v/>
      </c>
      <c r="U36" s="45" t="str">
        <f aca="false">IF(ISNUMBER($S36),$S36*Parâmetros!$B$6,"")</f>
        <v/>
      </c>
      <c r="V36" s="45" t="str">
        <f aca="false">IF(ISNUMBER($S36),$S36*Parâmetros!$C$6,"")</f>
        <v/>
      </c>
      <c r="W36" s="44" t="str">
        <f aca="false">IF(ISNUMBER($S36),$S36-$D36-IF(ISNUMBER($E36),$E36,0)-$O36-$T36-$U36-$V36,"")</f>
        <v/>
      </c>
      <c r="X36" s="46" t="str">
        <f aca="false">IF(AND(ISNUMBER($S36),$S36&gt;0),$W36/$S36,"")</f>
        <v/>
      </c>
      <c r="Y36" s="47" t="s">
        <v>737</v>
      </c>
      <c r="Z36" s="19" t="s">
        <v>748</v>
      </c>
    </row>
    <row r="37" customFormat="false" ht="15.75" hidden="false" customHeight="true" outlineLevel="0" collapsed="false">
      <c r="A37" s="48" t="str">
        <f aca="false">IF(Produtos!$A37="","",Produtos!$A37)</f>
        <v>L3060-A</v>
      </c>
      <c r="B37" s="48" t="str">
        <f aca="false">IF(Produtos!$A37="","",Produtos!$B37)</f>
        <v>Lixeira Aço Inox c/Aro 30x60 40L</v>
      </c>
      <c r="C37" s="48" t="str">
        <f aca="false">IF(Produtos!$A37="","",Produtos!$C37)</f>
        <v>Lixeiras em inox</v>
      </c>
      <c r="D37" s="33" t="n">
        <f aca="false">IF(Produtos!$A37="","",IF(Produtos!$D37="","",Produtos!$D37))</f>
        <v>205.57</v>
      </c>
      <c r="E37" s="11" t="n">
        <v>0</v>
      </c>
      <c r="F37" s="34" t="n">
        <f aca="false">IF($A37="","",IF($C37="","⚠ categoria",IFERROR(INDEX(Parâmetros!$D$13:$D$22,MATCH($C37,Parâmetros!$A$13:$A$22,0)),"⚠ categoria")))</f>
        <v>0.13</v>
      </c>
      <c r="G37" s="35"/>
      <c r="H37" s="36" t="n">
        <f aca="false">IF($A37="","",IF(ISNUMBER($G37),$G37,IF(ISNUMBER($F37),$F37,"")))</f>
        <v>0.13</v>
      </c>
      <c r="I37" s="37" t="n">
        <f aca="false">IF(OR($A37="",NOT(ISNUMBER($D37)),NOT(ISNUMBER($H37))),"",IF((1-$H37-Parâmetros!$B$6-Parâmetros!$C$6-Parâmetros!$D$6)&lt;=0,"INVALIDO",($D37+IF(ISNUMBER($E37),$E37,0)+IF(ISNUMBER(Parâmetros!$E$6),Parâmetros!$E$6,0))/(1-$H37-Parâmetros!$B$6-Parâmetros!$C$6-Parâmetros!$D$6)))</f>
        <v>380.685185185185</v>
      </c>
      <c r="J37" s="38" t="n">
        <v>396.88</v>
      </c>
      <c r="K37" s="39" t="n">
        <f aca="false">IF(OR($A37="",NOT(ISNUMBER($D37)),NOT(ISNUMBER($H37))),"",IF(AND(ISNUMBER($J37),$J37&gt;0),$J37,IF(ISNUMBER($I37),$I37,"")))</f>
        <v>396.88</v>
      </c>
      <c r="L37" s="40" t="n">
        <f aca="false">IF(ISNUMBER($K37),$K37*$H37,"")</f>
        <v>51.5944</v>
      </c>
      <c r="M37" s="40" t="n">
        <f aca="false">IF(ISNUMBER($K37),$K37*Parâmetros!$B$6,"")</f>
        <v>39.688</v>
      </c>
      <c r="N37" s="40" t="n">
        <f aca="false">IF(ISNUMBER($K37),$K37*Parâmetros!$C$6,"")</f>
        <v>11.9064</v>
      </c>
      <c r="O37" s="40" t="n">
        <f aca="false">IF(ISNUMBER($K37),IF(ISNUMBER(Parâmetros!$E$6),Parâmetros!$E$6,0),"")</f>
        <v>0</v>
      </c>
      <c r="P37" s="41" t="n">
        <f aca="false">IF(ISNUMBER($K37),$K37-$D37-IF(ISNUMBER($E37),$E37,0)-$L37-$M37-$N37-$O37,"")</f>
        <v>88.1212</v>
      </c>
      <c r="Q37" s="42" t="n">
        <f aca="false">IF(AND(ISNUMBER($K37),$K37&gt;0),$P37/$K37,"")</f>
        <v>0.222034872001613</v>
      </c>
      <c r="R37" s="43"/>
      <c r="S37" s="44" t="str">
        <f aca="false">IF(OR(NOT(ISNUMBER($R37)),$R37=0,NOT(ISNUMBER($K37))),"",$K37*(1-$R37))</f>
        <v/>
      </c>
      <c r="T37" s="45" t="str">
        <f aca="false">IF(ISNUMBER($S37),$S37*$H37,"")</f>
        <v/>
      </c>
      <c r="U37" s="45" t="str">
        <f aca="false">IF(ISNUMBER($S37),$S37*Parâmetros!$B$6,"")</f>
        <v/>
      </c>
      <c r="V37" s="45" t="str">
        <f aca="false">IF(ISNUMBER($S37),$S37*Parâmetros!$C$6,"")</f>
        <v/>
      </c>
      <c r="W37" s="44" t="str">
        <f aca="false">IF(ISNUMBER($S37),$S37-$D37-IF(ISNUMBER($E37),$E37,0)-$O37-$T37-$U37-$V37,"")</f>
        <v/>
      </c>
      <c r="X37" s="46" t="str">
        <f aca="false">IF(AND(ISNUMBER($S37),$S37&gt;0),$W37/$S37,"")</f>
        <v/>
      </c>
      <c r="Y37" s="49" t="s">
        <v>737</v>
      </c>
      <c r="Z37" s="21" t="s">
        <v>748</v>
      </c>
    </row>
    <row r="38" customFormat="false" ht="15.75" hidden="false" customHeight="true" outlineLevel="0" collapsed="false">
      <c r="A38" s="32" t="str">
        <f aca="false">IF(Produtos!$A38="","",Produtos!$A38)</f>
        <v>L3070-A</v>
      </c>
      <c r="B38" s="32" t="str">
        <f aca="false">IF(Produtos!$A38="","",Produtos!$B38)</f>
        <v>Lixeira Aço Inox c/Aro 30x70 50L</v>
      </c>
      <c r="C38" s="32" t="str">
        <f aca="false">IF(Produtos!$A38="","",Produtos!$C38)</f>
        <v>Lixeiras em inox</v>
      </c>
      <c r="D38" s="33" t="n">
        <f aca="false">IF(Produtos!$A38="","",IF(Produtos!$D38="","",Produtos!$D38))</f>
        <v>258.22</v>
      </c>
      <c r="E38" s="11" t="n">
        <v>0</v>
      </c>
      <c r="F38" s="34" t="n">
        <f aca="false">IF($A38="","",IF($C38="","⚠ categoria",IFERROR(INDEX(Parâmetros!$D$13:$D$22,MATCH($C38,Parâmetros!$A$13:$A$22,0)),"⚠ categoria")))</f>
        <v>0.13</v>
      </c>
      <c r="G38" s="35"/>
      <c r="H38" s="36" t="n">
        <f aca="false">IF($A38="","",IF(ISNUMBER($G38),$G38,IF(ISNUMBER($F38),$F38,"")))</f>
        <v>0.13</v>
      </c>
      <c r="I38" s="37" t="n">
        <f aca="false">IF(OR($A38="",NOT(ISNUMBER($D38)),NOT(ISNUMBER($H38))),"",IF((1-$H38-Parâmetros!$B$6-Parâmetros!$C$6-Parâmetros!$D$6)&lt;=0,"INVALIDO",($D38+IF(ISNUMBER($E38),$E38,0)+IF(ISNUMBER(Parâmetros!$E$6),Parâmetros!$E$6,0))/(1-$H38-Parâmetros!$B$6-Parâmetros!$C$6-Parâmetros!$D$6)))</f>
        <v>478.185185185185</v>
      </c>
      <c r="J38" s="38" t="n">
        <v>507.78</v>
      </c>
      <c r="K38" s="39" t="n">
        <f aca="false">IF(OR($A38="",NOT(ISNUMBER($D38)),NOT(ISNUMBER($H38))),"",IF(AND(ISNUMBER($J38),$J38&gt;0),$J38,IF(ISNUMBER($I38),$I38,"")))</f>
        <v>507.78</v>
      </c>
      <c r="L38" s="40" t="n">
        <f aca="false">IF(ISNUMBER($K38),$K38*$H38,"")</f>
        <v>66.0114</v>
      </c>
      <c r="M38" s="40" t="n">
        <f aca="false">IF(ISNUMBER($K38),$K38*Parâmetros!$B$6,"")</f>
        <v>50.778</v>
      </c>
      <c r="N38" s="40" t="n">
        <f aca="false">IF(ISNUMBER($K38),$K38*Parâmetros!$C$6,"")</f>
        <v>15.2334</v>
      </c>
      <c r="O38" s="40" t="n">
        <f aca="false">IF(ISNUMBER($K38),IF(ISNUMBER(Parâmetros!$E$6),Parâmetros!$E$6,0),"")</f>
        <v>0</v>
      </c>
      <c r="P38" s="41" t="n">
        <f aca="false">IF(ISNUMBER($K38),$K38-$D38-IF(ISNUMBER($E38),$E38,0)-$L38-$M38-$N38-$O38,"")</f>
        <v>117.5372</v>
      </c>
      <c r="Q38" s="42" t="n">
        <f aca="false">IF(AND(ISNUMBER($K38),$K38&gt;0),$P38/$K38,"")</f>
        <v>0.231472685021072</v>
      </c>
      <c r="R38" s="43"/>
      <c r="S38" s="44" t="str">
        <f aca="false">IF(OR(NOT(ISNUMBER($R38)),$R38=0,NOT(ISNUMBER($K38))),"",$K38*(1-$R38))</f>
        <v/>
      </c>
      <c r="T38" s="45" t="str">
        <f aca="false">IF(ISNUMBER($S38),$S38*$H38,"")</f>
        <v/>
      </c>
      <c r="U38" s="45" t="str">
        <f aca="false">IF(ISNUMBER($S38),$S38*Parâmetros!$B$6,"")</f>
        <v/>
      </c>
      <c r="V38" s="45" t="str">
        <f aca="false">IF(ISNUMBER($S38),$S38*Parâmetros!$C$6,"")</f>
        <v/>
      </c>
      <c r="W38" s="44" t="str">
        <f aca="false">IF(ISNUMBER($S38),$S38-$D38-IF(ISNUMBER($E38),$E38,0)-$O38-$T38-$U38-$V38,"")</f>
        <v/>
      </c>
      <c r="X38" s="46" t="str">
        <f aca="false">IF(AND(ISNUMBER($S38),$S38&gt;0),$W38/$S38,"")</f>
        <v/>
      </c>
      <c r="Y38" s="47" t="s">
        <v>737</v>
      </c>
      <c r="Z38" s="19" t="s">
        <v>748</v>
      </c>
    </row>
    <row r="39" customFormat="false" ht="15.75" hidden="false" customHeight="true" outlineLevel="0" collapsed="false">
      <c r="A39" s="48" t="str">
        <f aca="false">IF(Produtos!$A39="","",Produtos!$A39)</f>
        <v>L3085-A</v>
      </c>
      <c r="B39" s="48" t="str">
        <f aca="false">IF(Produtos!$A39="","",Produtos!$B39)</f>
        <v>Lixeira Aço Inox c/Aro 30x85 60L</v>
      </c>
      <c r="C39" s="48" t="str">
        <f aca="false">IF(Produtos!$A39="","",Produtos!$C39)</f>
        <v>Lixeiras em inox</v>
      </c>
      <c r="D39" s="33" t="n">
        <f aca="false">IF(Produtos!$A39="","",IF(Produtos!$D39="","",Produtos!$D39))</f>
        <v>321.8</v>
      </c>
      <c r="E39" s="11" t="n">
        <v>0</v>
      </c>
      <c r="F39" s="34" t="n">
        <f aca="false">IF($A39="","",IF($C39="","⚠ categoria",IFERROR(INDEX(Parâmetros!$D$13:$D$22,MATCH($C39,Parâmetros!$A$13:$A$22,0)),"⚠ categoria")))</f>
        <v>0.13</v>
      </c>
      <c r="G39" s="35"/>
      <c r="H39" s="36" t="n">
        <f aca="false">IF($A39="","",IF(ISNUMBER($G39),$G39,IF(ISNUMBER($F39),$F39,"")))</f>
        <v>0.13</v>
      </c>
      <c r="I39" s="37" t="n">
        <f aca="false">IF(OR($A39="",NOT(ISNUMBER($D39)),NOT(ISNUMBER($H39))),"",IF((1-$H39-Parâmetros!$B$6-Parâmetros!$C$6-Parâmetros!$D$6)&lt;=0,"INVALIDO",($D39+IF(ISNUMBER($E39),$E39,0)+IF(ISNUMBER(Parâmetros!$E$6),Parâmetros!$E$6,0))/(1-$H39-Parâmetros!$B$6-Parâmetros!$C$6-Parâmetros!$D$6)))</f>
        <v>595.925925925926</v>
      </c>
      <c r="J39" s="38"/>
      <c r="K39" s="39" t="n">
        <f aca="false">IF(OR($A39="",NOT(ISNUMBER($D39)),NOT(ISNUMBER($H39))),"",IF(AND(ISNUMBER($J39),$J39&gt;0),$J39,IF(ISNUMBER($I39),$I39,"")))</f>
        <v>595.925925925926</v>
      </c>
      <c r="L39" s="40" t="n">
        <f aca="false">IF(ISNUMBER($K39),$K39*$H39,"")</f>
        <v>77.4703703703704</v>
      </c>
      <c r="M39" s="40" t="n">
        <f aca="false">IF(ISNUMBER($K39),$K39*Parâmetros!$B$6,"")</f>
        <v>59.5925925925926</v>
      </c>
      <c r="N39" s="40" t="n">
        <f aca="false">IF(ISNUMBER($K39),$K39*Parâmetros!$C$6,"")</f>
        <v>17.8777777777778</v>
      </c>
      <c r="O39" s="40" t="n">
        <f aca="false">IF(ISNUMBER($K39),IF(ISNUMBER(Parâmetros!$E$6),Parâmetros!$E$6,0),"")</f>
        <v>0</v>
      </c>
      <c r="P39" s="41" t="n">
        <f aca="false">IF(ISNUMBER($K39),$K39-$D39-IF(ISNUMBER($E39),$E39,0)-$L39-$M39-$N39-$O39,"")</f>
        <v>119.185185185185</v>
      </c>
      <c r="Q39" s="42" t="n">
        <f aca="false">IF(AND(ISNUMBER($K39),$K39&gt;0),$P39/$K39,"")</f>
        <v>0.2</v>
      </c>
      <c r="R39" s="43"/>
      <c r="S39" s="44" t="str">
        <f aca="false">IF(OR(NOT(ISNUMBER($R39)),$R39=0,NOT(ISNUMBER($K39))),"",$K39*(1-$R39))</f>
        <v/>
      </c>
      <c r="T39" s="45" t="str">
        <f aca="false">IF(ISNUMBER($S39),$S39*$H39,"")</f>
        <v/>
      </c>
      <c r="U39" s="45" t="str">
        <f aca="false">IF(ISNUMBER($S39),$S39*Parâmetros!$B$6,"")</f>
        <v/>
      </c>
      <c r="V39" s="45" t="str">
        <f aca="false">IF(ISNUMBER($S39),$S39*Parâmetros!$C$6,"")</f>
        <v/>
      </c>
      <c r="W39" s="44" t="str">
        <f aca="false">IF(ISNUMBER($S39),$S39-$D39-IF(ISNUMBER($E39),$E39,0)-$O39-$T39-$U39-$V39,"")</f>
        <v/>
      </c>
      <c r="X39" s="46" t="str">
        <f aca="false">IF(AND(ISNUMBER($S39),$S39&gt;0),$W39/$S39,"")</f>
        <v/>
      </c>
      <c r="Y39" s="49"/>
      <c r="Z39" s="21"/>
    </row>
    <row r="40" customFormat="false" ht="15.75" hidden="false" customHeight="true" outlineLevel="0" collapsed="false">
      <c r="A40" s="32" t="str">
        <f aca="false">IF(Produtos!$A40="","",Produtos!$A40)</f>
        <v>L4050-A</v>
      </c>
      <c r="B40" s="32" t="str">
        <f aca="false">IF(Produtos!$A40="","",Produtos!$B40)</f>
        <v>Lixeira Aço Inox c/Aro 40x50 62L</v>
      </c>
      <c r="C40" s="32" t="str">
        <f aca="false">IF(Produtos!$A40="","",Produtos!$C40)</f>
        <v>Lixeiras em inox</v>
      </c>
      <c r="D40" s="33" t="n">
        <f aca="false">IF(Produtos!$A40="","",IF(Produtos!$D40="","",Produtos!$D40))</f>
        <v>292.43</v>
      </c>
      <c r="E40" s="11" t="n">
        <v>0</v>
      </c>
      <c r="F40" s="34" t="n">
        <f aca="false">IF($A40="","",IF($C40="","⚠ categoria",IFERROR(INDEX(Parâmetros!$D$13:$D$22,MATCH($C40,Parâmetros!$A$13:$A$22,0)),"⚠ categoria")))</f>
        <v>0.13</v>
      </c>
      <c r="G40" s="35"/>
      <c r="H40" s="36" t="n">
        <f aca="false">IF($A40="","",IF(ISNUMBER($G40),$G40,IF(ISNUMBER($F40),$F40,"")))</f>
        <v>0.13</v>
      </c>
      <c r="I40" s="37" t="n">
        <f aca="false">IF(OR($A40="",NOT(ISNUMBER($D40)),NOT(ISNUMBER($H40))),"",IF((1-$H40-Parâmetros!$B$6-Parâmetros!$C$6-Parâmetros!$D$6)&lt;=0,"INVALIDO",($D40+IF(ISNUMBER($E40),$E40,0)+IF(ISNUMBER(Parâmetros!$E$6),Parâmetros!$E$6,0))/(1-$H40-Parâmetros!$B$6-Parâmetros!$C$6-Parâmetros!$D$6)))</f>
        <v>541.537037037037</v>
      </c>
      <c r="J40" s="38" t="n">
        <v>571.15</v>
      </c>
      <c r="K40" s="39" t="n">
        <f aca="false">IF(OR($A40="",NOT(ISNUMBER($D40)),NOT(ISNUMBER($H40))),"",IF(AND(ISNUMBER($J40),$J40&gt;0),$J40,IF(ISNUMBER($I40),$I40,"")))</f>
        <v>571.15</v>
      </c>
      <c r="L40" s="40" t="n">
        <f aca="false">IF(ISNUMBER($K40),$K40*$H40,"")</f>
        <v>74.2495</v>
      </c>
      <c r="M40" s="40" t="n">
        <f aca="false">IF(ISNUMBER($K40),$K40*Parâmetros!$B$6,"")</f>
        <v>57.115</v>
      </c>
      <c r="N40" s="40" t="n">
        <f aca="false">IF(ISNUMBER($K40),$K40*Parâmetros!$C$6,"")</f>
        <v>17.1345</v>
      </c>
      <c r="O40" s="40" t="n">
        <f aca="false">IF(ISNUMBER($K40),IF(ISNUMBER(Parâmetros!$E$6),Parâmetros!$E$6,0),"")</f>
        <v>0</v>
      </c>
      <c r="P40" s="41" t="n">
        <f aca="false">IF(ISNUMBER($K40),$K40-$D40-IF(ISNUMBER($E40),$E40,0)-$L40-$M40-$N40-$O40,"")</f>
        <v>130.221</v>
      </c>
      <c r="Q40" s="42" t="n">
        <f aca="false">IF(AND(ISNUMBER($K40),$K40&gt;0),$P40/$K40,"")</f>
        <v>0.227997898975751</v>
      </c>
      <c r="R40" s="43"/>
      <c r="S40" s="44" t="str">
        <f aca="false">IF(OR(NOT(ISNUMBER($R40)),$R40=0,NOT(ISNUMBER($K40))),"",$K40*(1-$R40))</f>
        <v/>
      </c>
      <c r="T40" s="45" t="str">
        <f aca="false">IF(ISNUMBER($S40),$S40*$H40,"")</f>
        <v/>
      </c>
      <c r="U40" s="45" t="str">
        <f aca="false">IF(ISNUMBER($S40),$S40*Parâmetros!$B$6,"")</f>
        <v/>
      </c>
      <c r="V40" s="45" t="str">
        <f aca="false">IF(ISNUMBER($S40),$S40*Parâmetros!$C$6,"")</f>
        <v/>
      </c>
      <c r="W40" s="44" t="str">
        <f aca="false">IF(ISNUMBER($S40),$S40-$D40-IF(ISNUMBER($E40),$E40,0)-$O40-$T40-$U40-$V40,"")</f>
        <v/>
      </c>
      <c r="X40" s="46" t="str">
        <f aca="false">IF(AND(ISNUMBER($S40),$S40&gt;0),$W40/$S40,"")</f>
        <v/>
      </c>
      <c r="Y40" s="47" t="s">
        <v>737</v>
      </c>
      <c r="Z40" s="19" t="s">
        <v>748</v>
      </c>
    </row>
    <row r="41" customFormat="false" ht="15.75" hidden="false" customHeight="true" outlineLevel="0" collapsed="false">
      <c r="A41" s="48" t="str">
        <f aca="false">IF(Produtos!$A41="","",Produtos!$A41)</f>
        <v>L4060-A</v>
      </c>
      <c r="B41" s="48" t="str">
        <f aca="false">IF(Produtos!$A41="","",Produtos!$B41)</f>
        <v>Lixeira Aço Inox c/Aro 40x60 75L</v>
      </c>
      <c r="C41" s="48" t="str">
        <f aca="false">IF(Produtos!$A41="","",Produtos!$C41)</f>
        <v>Lixeiras em inox</v>
      </c>
      <c r="D41" s="33" t="n">
        <f aca="false">IF(Produtos!$A41="","",IF(Produtos!$D41="","",Produtos!$D41))</f>
        <v>329.38</v>
      </c>
      <c r="E41" s="11" t="n">
        <v>0</v>
      </c>
      <c r="F41" s="34" t="n">
        <f aca="false">IF($A41="","",IF($C41="","⚠ categoria",IFERROR(INDEX(Parâmetros!$D$13:$D$22,MATCH($C41,Parâmetros!$A$13:$A$22,0)),"⚠ categoria")))</f>
        <v>0.13</v>
      </c>
      <c r="G41" s="35"/>
      <c r="H41" s="36" t="n">
        <f aca="false">IF($A41="","",IF(ISNUMBER($G41),$G41,IF(ISNUMBER($F41),$F41,"")))</f>
        <v>0.13</v>
      </c>
      <c r="I41" s="37" t="n">
        <f aca="false">IF(OR($A41="",NOT(ISNUMBER($D41)),NOT(ISNUMBER($H41))),"",IF((1-$H41-Parâmetros!$B$6-Parâmetros!$C$6-Parâmetros!$D$6)&lt;=0,"INVALIDO",($D41+IF(ISNUMBER($E41),$E41,0)+IF(ISNUMBER(Parâmetros!$E$6),Parâmetros!$E$6,0))/(1-$H41-Parâmetros!$B$6-Parâmetros!$C$6-Parâmetros!$D$6)))</f>
        <v>609.962962962963</v>
      </c>
      <c r="J41" s="38" t="n">
        <v>635.32</v>
      </c>
      <c r="K41" s="39" t="n">
        <f aca="false">IF(OR($A41="",NOT(ISNUMBER($D41)),NOT(ISNUMBER($H41))),"",IF(AND(ISNUMBER($J41),$J41&gt;0),$J41,IF(ISNUMBER($I41),$I41,"")))</f>
        <v>635.32</v>
      </c>
      <c r="L41" s="40" t="n">
        <f aca="false">IF(ISNUMBER($K41),$K41*$H41,"")</f>
        <v>82.5916</v>
      </c>
      <c r="M41" s="40" t="n">
        <f aca="false">IF(ISNUMBER($K41),$K41*Parâmetros!$B$6,"")</f>
        <v>63.532</v>
      </c>
      <c r="N41" s="40" t="n">
        <f aca="false">IF(ISNUMBER($K41),$K41*Parâmetros!$C$6,"")</f>
        <v>19.0596</v>
      </c>
      <c r="O41" s="40" t="n">
        <f aca="false">IF(ISNUMBER($K41),IF(ISNUMBER(Parâmetros!$E$6),Parâmetros!$E$6,0),"")</f>
        <v>0</v>
      </c>
      <c r="P41" s="41" t="n">
        <f aca="false">IF(ISNUMBER($K41),$K41-$D41-IF(ISNUMBER($E41),$E41,0)-$L41-$M41-$N41-$O41,"")</f>
        <v>140.7568</v>
      </c>
      <c r="Q41" s="42" t="n">
        <f aca="false">IF(AND(ISNUMBER($K41),$K41&gt;0),$P41/$K41,"")</f>
        <v>0.221552603412454</v>
      </c>
      <c r="R41" s="43"/>
      <c r="S41" s="44" t="str">
        <f aca="false">IF(OR(NOT(ISNUMBER($R41)),$R41=0,NOT(ISNUMBER($K41))),"",$K41*(1-$R41))</f>
        <v/>
      </c>
      <c r="T41" s="45" t="str">
        <f aca="false">IF(ISNUMBER($S41),$S41*$H41,"")</f>
        <v/>
      </c>
      <c r="U41" s="45" t="str">
        <f aca="false">IF(ISNUMBER($S41),$S41*Parâmetros!$B$6,"")</f>
        <v/>
      </c>
      <c r="V41" s="45" t="str">
        <f aca="false">IF(ISNUMBER($S41),$S41*Parâmetros!$C$6,"")</f>
        <v/>
      </c>
      <c r="W41" s="44" t="str">
        <f aca="false">IF(ISNUMBER($S41),$S41-$D41-IF(ISNUMBER($E41),$E41,0)-$O41-$T41-$U41-$V41,"")</f>
        <v/>
      </c>
      <c r="X41" s="46" t="str">
        <f aca="false">IF(AND(ISNUMBER($S41),$S41&gt;0),$W41/$S41,"")</f>
        <v/>
      </c>
      <c r="Y41" s="49" t="s">
        <v>737</v>
      </c>
      <c r="Z41" s="21" t="s">
        <v>748</v>
      </c>
    </row>
    <row r="42" customFormat="false" ht="15.75" hidden="false" customHeight="true" outlineLevel="0" collapsed="false">
      <c r="A42" s="32" t="str">
        <f aca="false">IF(Produtos!$A42="","",Produtos!$A42)</f>
        <v>L4070-A</v>
      </c>
      <c r="B42" s="32" t="str">
        <f aca="false">IF(Produtos!$A42="","",Produtos!$B42)</f>
        <v>Lixeira Aço Inox c/Aro 40x70 88L</v>
      </c>
      <c r="C42" s="32" t="str">
        <f aca="false">IF(Produtos!$A42="","",Produtos!$C42)</f>
        <v>Lixeiras em inox</v>
      </c>
      <c r="D42" s="33" t="n">
        <f aca="false">IF(Produtos!$A42="","",IF(Produtos!$D42="","",Produtos!$D42))</f>
        <v>331.22</v>
      </c>
      <c r="E42" s="11" t="n">
        <v>0</v>
      </c>
      <c r="F42" s="34" t="n">
        <f aca="false">IF($A42="","",IF($C42="","⚠ categoria",IFERROR(INDEX(Parâmetros!$D$13:$D$22,MATCH($C42,Parâmetros!$A$13:$A$22,0)),"⚠ categoria")))</f>
        <v>0.13</v>
      </c>
      <c r="G42" s="35"/>
      <c r="H42" s="36" t="n">
        <f aca="false">IF($A42="","",IF(ISNUMBER($G42),$G42,IF(ISNUMBER($F42),$F42,"")))</f>
        <v>0.13</v>
      </c>
      <c r="I42" s="37" t="n">
        <f aca="false">IF(OR($A42="",NOT(ISNUMBER($D42)),NOT(ISNUMBER($H42))),"",IF((1-$H42-Parâmetros!$B$6-Parâmetros!$C$6-Parâmetros!$D$6)&lt;=0,"INVALIDO",($D42+IF(ISNUMBER($E42),$E42,0)+IF(ISNUMBER(Parâmetros!$E$6),Parâmetros!$E$6,0))/(1-$H42-Parâmetros!$B$6-Parâmetros!$C$6-Parâmetros!$D$6)))</f>
        <v>613.37037037037</v>
      </c>
      <c r="J42" s="38"/>
      <c r="K42" s="39" t="n">
        <f aca="false">IF(OR($A42="",NOT(ISNUMBER($D42)),NOT(ISNUMBER($H42))),"",IF(AND(ISNUMBER($J42),$J42&gt;0),$J42,IF(ISNUMBER($I42),$I42,"")))</f>
        <v>613.37037037037</v>
      </c>
      <c r="L42" s="40" t="n">
        <f aca="false">IF(ISNUMBER($K42),$K42*$H42,"")</f>
        <v>79.7381481481481</v>
      </c>
      <c r="M42" s="40" t="n">
        <f aca="false">IF(ISNUMBER($K42),$K42*Parâmetros!$B$6,"")</f>
        <v>61.337037037037</v>
      </c>
      <c r="N42" s="40" t="n">
        <f aca="false">IF(ISNUMBER($K42),$K42*Parâmetros!$C$6,"")</f>
        <v>18.4011111111111</v>
      </c>
      <c r="O42" s="40" t="n">
        <f aca="false">IF(ISNUMBER($K42),IF(ISNUMBER(Parâmetros!$E$6),Parâmetros!$E$6,0),"")</f>
        <v>0</v>
      </c>
      <c r="P42" s="41" t="n">
        <f aca="false">IF(ISNUMBER($K42),$K42-$D42-IF(ISNUMBER($E42),$E42,0)-$L42-$M42-$N42-$O42,"")</f>
        <v>122.674074074074</v>
      </c>
      <c r="Q42" s="42" t="n">
        <f aca="false">IF(AND(ISNUMBER($K42),$K42&gt;0),$P42/$K42,"")</f>
        <v>0.2</v>
      </c>
      <c r="R42" s="43"/>
      <c r="S42" s="44" t="str">
        <f aca="false">IF(OR(NOT(ISNUMBER($R42)),$R42=0,NOT(ISNUMBER($K42))),"",$K42*(1-$R42))</f>
        <v/>
      </c>
      <c r="T42" s="45" t="str">
        <f aca="false">IF(ISNUMBER($S42),$S42*$H42,"")</f>
        <v/>
      </c>
      <c r="U42" s="45" t="str">
        <f aca="false">IF(ISNUMBER($S42),$S42*Parâmetros!$B$6,"")</f>
        <v/>
      </c>
      <c r="V42" s="45" t="str">
        <f aca="false">IF(ISNUMBER($S42),$S42*Parâmetros!$C$6,"")</f>
        <v/>
      </c>
      <c r="W42" s="44" t="str">
        <f aca="false">IF(ISNUMBER($S42),$S42-$D42-IF(ISNUMBER($E42),$E42,0)-$O42-$T42-$U42-$V42,"")</f>
        <v/>
      </c>
      <c r="X42" s="46" t="str">
        <f aca="false">IF(AND(ISNUMBER($S42),$S42&gt;0),$W42/$S42,"")</f>
        <v/>
      </c>
      <c r="Y42" s="47"/>
      <c r="Z42" s="19"/>
    </row>
    <row r="43" customFormat="false" ht="15.75" hidden="false" customHeight="true" outlineLevel="0" collapsed="false">
      <c r="A43" s="48" t="str">
        <f aca="false">IF(Produtos!$A43="","",Produtos!$A43)</f>
        <v>L4075-A</v>
      </c>
      <c r="B43" s="48" t="str">
        <f aca="false">IF(Produtos!$A43="","",Produtos!$B43)</f>
        <v>Lixeira Aço Inox c/Aro 40x75 95L</v>
      </c>
      <c r="C43" s="48" t="str">
        <f aca="false">IF(Produtos!$A43="","",Produtos!$C43)</f>
        <v>Lixeiras em inox</v>
      </c>
      <c r="D43" s="33" t="n">
        <f aca="false">IF(Produtos!$A43="","",IF(Produtos!$D43="","",Produtos!$D43))</f>
        <v>392.8</v>
      </c>
      <c r="E43" s="11" t="n">
        <v>0</v>
      </c>
      <c r="F43" s="34" t="n">
        <f aca="false">IF($A43="","",IF($C43="","⚠ categoria",IFERROR(INDEX(Parâmetros!$D$13:$D$22,MATCH($C43,Parâmetros!$A$13:$A$22,0)),"⚠ categoria")))</f>
        <v>0.13</v>
      </c>
      <c r="G43" s="35"/>
      <c r="H43" s="36" t="n">
        <f aca="false">IF($A43="","",IF(ISNUMBER($G43),$G43,IF(ISNUMBER($F43),$F43,"")))</f>
        <v>0.13</v>
      </c>
      <c r="I43" s="37" t="n">
        <f aca="false">IF(OR($A43="",NOT(ISNUMBER($D43)),NOT(ISNUMBER($H43))),"",IF((1-$H43-Parâmetros!$B$6-Parâmetros!$C$6-Parâmetros!$D$6)&lt;=0,"INVALIDO",($D43+IF(ISNUMBER($E43),$E43,0)+IF(ISNUMBER(Parâmetros!$E$6),Parâmetros!$E$6,0))/(1-$H43-Parâmetros!$B$6-Parâmetros!$C$6-Parâmetros!$D$6)))</f>
        <v>727.407407407407</v>
      </c>
      <c r="J43" s="38"/>
      <c r="K43" s="39" t="n">
        <f aca="false">IF(OR($A43="",NOT(ISNUMBER($D43)),NOT(ISNUMBER($H43))),"",IF(AND(ISNUMBER($J43),$J43&gt;0),$J43,IF(ISNUMBER($I43),$I43,"")))</f>
        <v>727.407407407407</v>
      </c>
      <c r="L43" s="40" t="n">
        <f aca="false">IF(ISNUMBER($K43),$K43*$H43,"")</f>
        <v>94.562962962963</v>
      </c>
      <c r="M43" s="40" t="n">
        <f aca="false">IF(ISNUMBER($K43),$K43*Parâmetros!$B$6,"")</f>
        <v>72.7407407407408</v>
      </c>
      <c r="N43" s="40" t="n">
        <f aca="false">IF(ISNUMBER($K43),$K43*Parâmetros!$C$6,"")</f>
        <v>21.8222222222222</v>
      </c>
      <c r="O43" s="40" t="n">
        <f aca="false">IF(ISNUMBER($K43),IF(ISNUMBER(Parâmetros!$E$6),Parâmetros!$E$6,0),"")</f>
        <v>0</v>
      </c>
      <c r="P43" s="41" t="n">
        <f aca="false">IF(ISNUMBER($K43),$K43-$D43-IF(ISNUMBER($E43),$E43,0)-$L43-$M43-$N43-$O43,"")</f>
        <v>145.481481481481</v>
      </c>
      <c r="Q43" s="42" t="n">
        <f aca="false">IF(AND(ISNUMBER($K43),$K43&gt;0),$P43/$K43,"")</f>
        <v>0.2</v>
      </c>
      <c r="R43" s="43"/>
      <c r="S43" s="44" t="str">
        <f aca="false">IF(OR(NOT(ISNUMBER($R43)),$R43=0,NOT(ISNUMBER($K43))),"",$K43*(1-$R43))</f>
        <v/>
      </c>
      <c r="T43" s="45" t="str">
        <f aca="false">IF(ISNUMBER($S43),$S43*$H43,"")</f>
        <v/>
      </c>
      <c r="U43" s="45" t="str">
        <f aca="false">IF(ISNUMBER($S43),$S43*Parâmetros!$B$6,"")</f>
        <v/>
      </c>
      <c r="V43" s="45" t="str">
        <f aca="false">IF(ISNUMBER($S43),$S43*Parâmetros!$C$6,"")</f>
        <v/>
      </c>
      <c r="W43" s="44" t="str">
        <f aca="false">IF(ISNUMBER($S43),$S43-$D43-IF(ISNUMBER($E43),$E43,0)-$O43-$T43-$U43-$V43,"")</f>
        <v/>
      </c>
      <c r="X43" s="46" t="str">
        <f aca="false">IF(AND(ISNUMBER($S43),$S43&gt;0),$W43/$S43,"")</f>
        <v/>
      </c>
      <c r="Y43" s="49"/>
      <c r="Z43" s="21"/>
    </row>
    <row r="44" customFormat="false" ht="15.75" hidden="false" customHeight="true" outlineLevel="0" collapsed="false">
      <c r="A44" s="32" t="str">
        <f aca="false">IF(Produtos!$A44="","",Produtos!$A44)</f>
        <v>L4080-A</v>
      </c>
      <c r="B44" s="32" t="str">
        <f aca="false">IF(Produtos!$A44="","",Produtos!$B44)</f>
        <v>Lixeira Aço Inox c/Aro 40x80 100L</v>
      </c>
      <c r="C44" s="32" t="str">
        <f aca="false">IF(Produtos!$A44="","",Produtos!$C44)</f>
        <v>Lixeiras em inox</v>
      </c>
      <c r="D44" s="33" t="n">
        <f aca="false">IF(Produtos!$A44="","",IF(Produtos!$D44="","",Produtos!$D44))</f>
        <v>400.17</v>
      </c>
      <c r="E44" s="11" t="n">
        <v>0</v>
      </c>
      <c r="F44" s="34" t="n">
        <f aca="false">IF($A44="","",IF($C44="","⚠ categoria",IFERROR(INDEX(Parâmetros!$D$13:$D$22,MATCH($C44,Parâmetros!$A$13:$A$22,0)),"⚠ categoria")))</f>
        <v>0.13</v>
      </c>
      <c r="G44" s="35"/>
      <c r="H44" s="36" t="n">
        <f aca="false">IF($A44="","",IF(ISNUMBER($G44),$G44,IF(ISNUMBER($F44),$F44,"")))</f>
        <v>0.13</v>
      </c>
      <c r="I44" s="37" t="n">
        <f aca="false">IF(OR($A44="",NOT(ISNUMBER($D44)),NOT(ISNUMBER($H44))),"",IF((1-$H44-Parâmetros!$B$6-Parâmetros!$C$6-Parâmetros!$D$6)&lt;=0,"INVALIDO",($D44+IF(ISNUMBER($E44),$E44,0)+IF(ISNUMBER(Parâmetros!$E$6),Parâmetros!$E$6,0))/(1-$H44-Parâmetros!$B$6-Parâmetros!$C$6-Parâmetros!$D$6)))</f>
        <v>741.055555555556</v>
      </c>
      <c r="J44" s="38" t="n">
        <v>814.08</v>
      </c>
      <c r="K44" s="39" t="n">
        <f aca="false">IF(OR($A44="",NOT(ISNUMBER($D44)),NOT(ISNUMBER($H44))),"",IF(AND(ISNUMBER($J44),$J44&gt;0),$J44,IF(ISNUMBER($I44),$I44,"")))</f>
        <v>814.08</v>
      </c>
      <c r="L44" s="40" t="n">
        <f aca="false">IF(ISNUMBER($K44),$K44*$H44,"")</f>
        <v>105.8304</v>
      </c>
      <c r="M44" s="40" t="n">
        <f aca="false">IF(ISNUMBER($K44),$K44*Parâmetros!$B$6,"")</f>
        <v>81.408</v>
      </c>
      <c r="N44" s="40" t="n">
        <f aca="false">IF(ISNUMBER($K44),$K44*Parâmetros!$C$6,"")</f>
        <v>24.4224</v>
      </c>
      <c r="O44" s="40" t="n">
        <f aca="false">IF(ISNUMBER($K44),IF(ISNUMBER(Parâmetros!$E$6),Parâmetros!$E$6,0),"")</f>
        <v>0</v>
      </c>
      <c r="P44" s="41" t="n">
        <f aca="false">IF(ISNUMBER($K44),$K44-$D44-IF(ISNUMBER($E44),$E44,0)-$L44-$M44-$N44-$O44,"")</f>
        <v>202.2492</v>
      </c>
      <c r="Q44" s="42" t="n">
        <f aca="false">IF(AND(ISNUMBER($K44),$K44&gt;0),$P44/$K44,"")</f>
        <v>0.248438974056604</v>
      </c>
      <c r="R44" s="43"/>
      <c r="S44" s="44" t="str">
        <f aca="false">IF(OR(NOT(ISNUMBER($R44)),$R44=0,NOT(ISNUMBER($K44))),"",$K44*(1-$R44))</f>
        <v/>
      </c>
      <c r="T44" s="45" t="str">
        <f aca="false">IF(ISNUMBER($S44),$S44*$H44,"")</f>
        <v/>
      </c>
      <c r="U44" s="45" t="str">
        <f aca="false">IF(ISNUMBER($S44),$S44*Parâmetros!$B$6,"")</f>
        <v/>
      </c>
      <c r="V44" s="45" t="str">
        <f aca="false">IF(ISNUMBER($S44),$S44*Parâmetros!$C$6,"")</f>
        <v/>
      </c>
      <c r="W44" s="44" t="str">
        <f aca="false">IF(ISNUMBER($S44),$S44-$D44-IF(ISNUMBER($E44),$E44,0)-$O44-$T44-$U44-$V44,"")</f>
        <v/>
      </c>
      <c r="X44" s="46" t="str">
        <f aca="false">IF(AND(ISNUMBER($S44),$S44&gt;0),$W44/$S44,"")</f>
        <v/>
      </c>
      <c r="Y44" s="47" t="s">
        <v>737</v>
      </c>
      <c r="Z44" s="19" t="s">
        <v>749</v>
      </c>
    </row>
    <row r="45" customFormat="false" ht="15.75" hidden="false" customHeight="true" outlineLevel="0" collapsed="false">
      <c r="A45" s="48" t="str">
        <f aca="false">IF(Produtos!$A45="","",Produtos!$A45)</f>
        <v>L4090-A</v>
      </c>
      <c r="B45" s="48" t="str">
        <f aca="false">IF(Produtos!$A45="","",Produtos!$B45)</f>
        <v>Lixeira Aço Inox c/Aro 40x90 120L</v>
      </c>
      <c r="C45" s="48" t="str">
        <f aca="false">IF(Produtos!$A45="","",Produtos!$C45)</f>
        <v>Lixeiras em inox</v>
      </c>
      <c r="D45" s="33" t="n">
        <f aca="false">IF(Produtos!$A45="","",IF(Produtos!$D45="","",Produtos!$D45))</f>
        <v>405.39</v>
      </c>
      <c r="E45" s="11" t="n">
        <v>0</v>
      </c>
      <c r="F45" s="34" t="n">
        <f aca="false">IF($A45="","",IF($C45="","⚠ categoria",IFERROR(INDEX(Parâmetros!$D$13:$D$22,MATCH($C45,Parâmetros!$A$13:$A$22,0)),"⚠ categoria")))</f>
        <v>0.13</v>
      </c>
      <c r="G45" s="35"/>
      <c r="H45" s="36" t="n">
        <f aca="false">IF($A45="","",IF(ISNUMBER($G45),$G45,IF(ISNUMBER($F45),$F45,"")))</f>
        <v>0.13</v>
      </c>
      <c r="I45" s="37" t="n">
        <f aca="false">IF(OR($A45="",NOT(ISNUMBER($D45)),NOT(ISNUMBER($H45))),"",IF((1-$H45-Parâmetros!$B$6-Parâmetros!$C$6-Parâmetros!$D$6)&lt;=0,"INVALIDO",($D45+IF(ISNUMBER($E45),$E45,0)+IF(ISNUMBER(Parâmetros!$E$6),Parâmetros!$E$6,0))/(1-$H45-Parâmetros!$B$6-Parâmetros!$C$6-Parâmetros!$D$6)))</f>
        <v>750.722222222222</v>
      </c>
      <c r="J45" s="38" t="n">
        <v>822.83</v>
      </c>
      <c r="K45" s="39" t="n">
        <f aca="false">IF(OR($A45="",NOT(ISNUMBER($D45)),NOT(ISNUMBER($H45))),"",IF(AND(ISNUMBER($J45),$J45&gt;0),$J45,IF(ISNUMBER($I45),$I45,"")))</f>
        <v>822.83</v>
      </c>
      <c r="L45" s="40" t="n">
        <f aca="false">IF(ISNUMBER($K45),$K45*$H45,"")</f>
        <v>106.9679</v>
      </c>
      <c r="M45" s="40" t="n">
        <f aca="false">IF(ISNUMBER($K45),$K45*Parâmetros!$B$6,"")</f>
        <v>82.283</v>
      </c>
      <c r="N45" s="40" t="n">
        <f aca="false">IF(ISNUMBER($K45),$K45*Parâmetros!$C$6,"")</f>
        <v>24.6849</v>
      </c>
      <c r="O45" s="40" t="n">
        <f aca="false">IF(ISNUMBER($K45),IF(ISNUMBER(Parâmetros!$E$6),Parâmetros!$E$6,0),"")</f>
        <v>0</v>
      </c>
      <c r="P45" s="41" t="n">
        <f aca="false">IF(ISNUMBER($K45),$K45-$D45-IF(ISNUMBER($E45),$E45,0)-$L45-$M45-$N45-$O45,"")</f>
        <v>203.5042</v>
      </c>
      <c r="Q45" s="42" t="n">
        <f aca="false">IF(AND(ISNUMBER($K45),$K45&gt;0),$P45/$K45,"")</f>
        <v>0.247322290144987</v>
      </c>
      <c r="R45" s="43"/>
      <c r="S45" s="44" t="str">
        <f aca="false">IF(OR(NOT(ISNUMBER($R45)),$R45=0,NOT(ISNUMBER($K45))),"",$K45*(1-$R45))</f>
        <v/>
      </c>
      <c r="T45" s="45" t="str">
        <f aca="false">IF(ISNUMBER($S45),$S45*$H45,"")</f>
        <v/>
      </c>
      <c r="U45" s="45" t="str">
        <f aca="false">IF(ISNUMBER($S45),$S45*Parâmetros!$B$6,"")</f>
        <v/>
      </c>
      <c r="V45" s="45" t="str">
        <f aca="false">IF(ISNUMBER($S45),$S45*Parâmetros!$C$6,"")</f>
        <v/>
      </c>
      <c r="W45" s="44" t="str">
        <f aca="false">IF(ISNUMBER($S45),$S45-$D45-IF(ISNUMBER($E45),$E45,0)-$O45-$T45-$U45-$V45,"")</f>
        <v/>
      </c>
      <c r="X45" s="46" t="str">
        <f aca="false">IF(AND(ISNUMBER($S45),$S45&gt;0),$W45/$S45,"")</f>
        <v/>
      </c>
      <c r="Y45" s="49" t="s">
        <v>737</v>
      </c>
      <c r="Z45" s="21" t="s">
        <v>749</v>
      </c>
    </row>
    <row r="46" customFormat="false" ht="15.75" hidden="false" customHeight="true" outlineLevel="0" collapsed="false">
      <c r="A46" s="32" t="str">
        <f aca="false">IF(Produtos!$A46="","",Produtos!$A46)</f>
        <v>L40100-A</v>
      </c>
      <c r="B46" s="32" t="str">
        <f aca="false">IF(Produtos!$A46="","",Produtos!$B46)</f>
        <v>Lixeira Aço Inox c/Aro 40x100L</v>
      </c>
      <c r="C46" s="32" t="str">
        <f aca="false">IF(Produtos!$A46="","",Produtos!$C46)</f>
        <v>Lixeiras em inox</v>
      </c>
      <c r="D46" s="33" t="n">
        <f aca="false">IF(Produtos!$A46="","",IF(Produtos!$D46="","",Produtos!$D46))</f>
        <v>566.56</v>
      </c>
      <c r="E46" s="11" t="n">
        <v>0</v>
      </c>
      <c r="F46" s="34" t="n">
        <f aca="false">IF($A46="","",IF($C46="","⚠ categoria",IFERROR(INDEX(Parâmetros!$D$13:$D$22,MATCH($C46,Parâmetros!$A$13:$A$22,0)),"⚠ categoria")))</f>
        <v>0.13</v>
      </c>
      <c r="G46" s="35"/>
      <c r="H46" s="36" t="n">
        <f aca="false">IF($A46="","",IF(ISNUMBER($G46),$G46,IF(ISNUMBER($F46),$F46,"")))</f>
        <v>0.13</v>
      </c>
      <c r="I46" s="37" t="n">
        <f aca="false">IF(OR($A46="",NOT(ISNUMBER($D46)),NOT(ISNUMBER($H46))),"",IF((1-$H46-Parâmetros!$B$6-Parâmetros!$C$6-Parâmetros!$D$6)&lt;=0,"INVALIDO",($D46+IF(ISNUMBER($E46),$E46,0)+IF(ISNUMBER(Parâmetros!$E$6),Parâmetros!$E$6,0))/(1-$H46-Parâmetros!$B$6-Parâmetros!$C$6-Parâmetros!$D$6)))</f>
        <v>1049.18518518519</v>
      </c>
      <c r="J46" s="38"/>
      <c r="K46" s="39" t="n">
        <f aca="false">IF(OR($A46="",NOT(ISNUMBER($D46)),NOT(ISNUMBER($H46))),"",IF(AND(ISNUMBER($J46),$J46&gt;0),$J46,IF(ISNUMBER($I46),$I46,"")))</f>
        <v>1049.18518518519</v>
      </c>
      <c r="L46" s="40" t="n">
        <f aca="false">IF(ISNUMBER($K46),$K46*$H46,"")</f>
        <v>136.394074074074</v>
      </c>
      <c r="M46" s="40" t="n">
        <f aca="false">IF(ISNUMBER($K46),$K46*Parâmetros!$B$6,"")</f>
        <v>104.918518518519</v>
      </c>
      <c r="N46" s="40" t="n">
        <f aca="false">IF(ISNUMBER($K46),$K46*Parâmetros!$C$6,"")</f>
        <v>31.4755555555555</v>
      </c>
      <c r="O46" s="40" t="n">
        <f aca="false">IF(ISNUMBER($K46),IF(ISNUMBER(Parâmetros!$E$6),Parâmetros!$E$6,0),"")</f>
        <v>0</v>
      </c>
      <c r="P46" s="41" t="n">
        <f aca="false">IF(ISNUMBER($K46),$K46-$D46-IF(ISNUMBER($E46),$E46,0)-$L46-$M46-$N46-$O46,"")</f>
        <v>209.837037037037</v>
      </c>
      <c r="Q46" s="42" t="n">
        <f aca="false">IF(AND(ISNUMBER($K46),$K46&gt;0),$P46/$K46,"")</f>
        <v>0.2</v>
      </c>
      <c r="R46" s="43"/>
      <c r="S46" s="44" t="str">
        <f aca="false">IF(OR(NOT(ISNUMBER($R46)),$R46=0,NOT(ISNUMBER($K46))),"",$K46*(1-$R46))</f>
        <v/>
      </c>
      <c r="T46" s="45" t="str">
        <f aca="false">IF(ISNUMBER($S46),$S46*$H46,"")</f>
        <v/>
      </c>
      <c r="U46" s="45" t="str">
        <f aca="false">IF(ISNUMBER($S46),$S46*Parâmetros!$B$6,"")</f>
        <v/>
      </c>
      <c r="V46" s="45" t="str">
        <f aca="false">IF(ISNUMBER($S46),$S46*Parâmetros!$C$6,"")</f>
        <v/>
      </c>
      <c r="W46" s="44" t="str">
        <f aca="false">IF(ISNUMBER($S46),$S46-$D46-IF(ISNUMBER($E46),$E46,0)-$O46-$T46-$U46-$V46,"")</f>
        <v/>
      </c>
      <c r="X46" s="46" t="str">
        <f aca="false">IF(AND(ISNUMBER($S46),$S46&gt;0),$W46/$S46,"")</f>
        <v/>
      </c>
      <c r="Y46" s="47"/>
      <c r="Z46" s="19"/>
    </row>
    <row r="47" customFormat="false" ht="15.75" hidden="false" customHeight="true" outlineLevel="0" collapsed="false">
      <c r="A47" s="48" t="str">
        <f aca="false">IF(Produtos!$A47="","",Produtos!$A47)</f>
        <v>L40120-A</v>
      </c>
      <c r="B47" s="48" t="str">
        <f aca="false">IF(Produtos!$A47="","",Produtos!$B47)</f>
        <v>Lixeira Aço Inox c/Aro 40x120L</v>
      </c>
      <c r="C47" s="48" t="str">
        <f aca="false">IF(Produtos!$A47="","",Produtos!$C47)</f>
        <v>Lixeiras em inox</v>
      </c>
      <c r="D47" s="33" t="n">
        <f aca="false">IF(Produtos!$A47="","",IF(Produtos!$D47="","",Produtos!$D47))</f>
        <v>762.87</v>
      </c>
      <c r="E47" s="11" t="n">
        <v>0</v>
      </c>
      <c r="F47" s="34" t="n">
        <f aca="false">IF($A47="","",IF($C47="","⚠ categoria",IFERROR(INDEX(Parâmetros!$D$13:$D$22,MATCH($C47,Parâmetros!$A$13:$A$22,0)),"⚠ categoria")))</f>
        <v>0.13</v>
      </c>
      <c r="G47" s="35"/>
      <c r="H47" s="36" t="n">
        <f aca="false">IF($A47="","",IF(ISNUMBER($G47),$G47,IF(ISNUMBER($F47),$F47,"")))</f>
        <v>0.13</v>
      </c>
      <c r="I47" s="37" t="n">
        <f aca="false">IF(OR($A47="",NOT(ISNUMBER($D47)),NOT(ISNUMBER($H47))),"",IF((1-$H47-Parâmetros!$B$6-Parâmetros!$C$6-Parâmetros!$D$6)&lt;=0,"INVALIDO",($D47+IF(ISNUMBER($E47),$E47,0)+IF(ISNUMBER(Parâmetros!$E$6),Parâmetros!$E$6,0))/(1-$H47-Parâmetros!$B$6-Parâmetros!$C$6-Parâmetros!$D$6)))</f>
        <v>1412.72222222222</v>
      </c>
      <c r="J47" s="38"/>
      <c r="K47" s="39" t="n">
        <f aca="false">IF(OR($A47="",NOT(ISNUMBER($D47)),NOT(ISNUMBER($H47))),"",IF(AND(ISNUMBER($J47),$J47&gt;0),$J47,IF(ISNUMBER($I47),$I47,"")))</f>
        <v>1412.72222222222</v>
      </c>
      <c r="L47" s="40" t="n">
        <f aca="false">IF(ISNUMBER($K47),$K47*$H47,"")</f>
        <v>183.653888888889</v>
      </c>
      <c r="M47" s="40" t="n">
        <f aca="false">IF(ISNUMBER($K47),$K47*Parâmetros!$B$6,"")</f>
        <v>141.272222222222</v>
      </c>
      <c r="N47" s="40" t="n">
        <f aca="false">IF(ISNUMBER($K47),$K47*Parâmetros!$C$6,"")</f>
        <v>42.3816666666667</v>
      </c>
      <c r="O47" s="40" t="n">
        <f aca="false">IF(ISNUMBER($K47),IF(ISNUMBER(Parâmetros!$E$6),Parâmetros!$E$6,0),"")</f>
        <v>0</v>
      </c>
      <c r="P47" s="41" t="n">
        <f aca="false">IF(ISNUMBER($K47),$K47-$D47-IF(ISNUMBER($E47),$E47,0)-$L47-$M47-$N47-$O47,"")</f>
        <v>282.544444444444</v>
      </c>
      <c r="Q47" s="42" t="n">
        <f aca="false">IF(AND(ISNUMBER($K47),$K47&gt;0),$P47/$K47,"")</f>
        <v>0.2</v>
      </c>
      <c r="R47" s="43"/>
      <c r="S47" s="44" t="str">
        <f aca="false">IF(OR(NOT(ISNUMBER($R47)),$R47=0,NOT(ISNUMBER($K47))),"",$K47*(1-$R47))</f>
        <v/>
      </c>
      <c r="T47" s="45" t="str">
        <f aca="false">IF(ISNUMBER($S47),$S47*$H47,"")</f>
        <v/>
      </c>
      <c r="U47" s="45" t="str">
        <f aca="false">IF(ISNUMBER($S47),$S47*Parâmetros!$B$6,"")</f>
        <v/>
      </c>
      <c r="V47" s="45" t="str">
        <f aca="false">IF(ISNUMBER($S47),$S47*Parâmetros!$C$6,"")</f>
        <v/>
      </c>
      <c r="W47" s="44" t="str">
        <f aca="false">IF(ISNUMBER($S47),$S47-$D47-IF(ISNUMBER($E47),$E47,0)-$O47-$T47-$U47-$V47,"")</f>
        <v/>
      </c>
      <c r="X47" s="46" t="str">
        <f aca="false">IF(AND(ISNUMBER($S47),$S47&gt;0),$W47/$S47,"")</f>
        <v/>
      </c>
      <c r="Y47" s="49"/>
      <c r="Z47" s="21"/>
    </row>
    <row r="48" customFormat="false" ht="15.75" hidden="false" customHeight="true" outlineLevel="0" collapsed="false">
      <c r="A48" s="32" t="str">
        <f aca="false">IF(Produtos!$A48="","",Produtos!$A48)</f>
        <v>L2425-AML</v>
      </c>
      <c r="B48" s="32" t="str">
        <f aca="false">IF(Produtos!$A48="","",Produtos!$B48)</f>
        <v>Lixeira c/Aro Meia Lua 24x25 13L</v>
      </c>
      <c r="C48" s="32" t="str">
        <f aca="false">IF(Produtos!$A48="","",Produtos!$C48)</f>
        <v>Lixeiras em inox</v>
      </c>
      <c r="D48" s="33" t="n">
        <f aca="false">IF(Produtos!$A48="","",IF(Produtos!$D48="","",Produtos!$D48))</f>
        <v>86.87</v>
      </c>
      <c r="E48" s="11" t="n">
        <v>0</v>
      </c>
      <c r="F48" s="34" t="n">
        <f aca="false">IF($A48="","",IF($C48="","⚠ categoria",IFERROR(INDEX(Parâmetros!$D$13:$D$22,MATCH($C48,Parâmetros!$A$13:$A$22,0)),"⚠ categoria")))</f>
        <v>0.13</v>
      </c>
      <c r="G48" s="35"/>
      <c r="H48" s="36" t="n">
        <f aca="false">IF($A48="","",IF(ISNUMBER($G48),$G48,IF(ISNUMBER($F48),$F48,"")))</f>
        <v>0.13</v>
      </c>
      <c r="I48" s="37" t="n">
        <f aca="false">IF(OR($A48="",NOT(ISNUMBER($D48)),NOT(ISNUMBER($H48))),"",IF((1-$H48-Parâmetros!$B$6-Parâmetros!$C$6-Parâmetros!$D$6)&lt;=0,"INVALIDO",($D48+IF(ISNUMBER($E48),$E48,0)+IF(ISNUMBER(Parâmetros!$E$6),Parâmetros!$E$6,0))/(1-$H48-Parâmetros!$B$6-Parâmetros!$C$6-Parâmetros!$D$6)))</f>
        <v>160.87037037037</v>
      </c>
      <c r="J48" s="38" t="n">
        <v>174.24</v>
      </c>
      <c r="K48" s="39" t="n">
        <f aca="false">IF(OR($A48="",NOT(ISNUMBER($D48)),NOT(ISNUMBER($H48))),"",IF(AND(ISNUMBER($J48),$J48&gt;0),$J48,IF(ISNUMBER($I48),$I48,"")))</f>
        <v>174.24</v>
      </c>
      <c r="L48" s="40" t="n">
        <f aca="false">IF(ISNUMBER($K48),$K48*$H48,"")</f>
        <v>22.6512</v>
      </c>
      <c r="M48" s="40" t="n">
        <f aca="false">IF(ISNUMBER($K48),$K48*Parâmetros!$B$6,"")</f>
        <v>17.424</v>
      </c>
      <c r="N48" s="40" t="n">
        <f aca="false">IF(ISNUMBER($K48),$K48*Parâmetros!$C$6,"")</f>
        <v>5.2272</v>
      </c>
      <c r="O48" s="40" t="n">
        <f aca="false">IF(ISNUMBER($K48),IF(ISNUMBER(Parâmetros!$E$6),Parâmetros!$E$6,0),"")</f>
        <v>0</v>
      </c>
      <c r="P48" s="41" t="n">
        <f aca="false">IF(ISNUMBER($K48),$K48-$D48-IF(ISNUMBER($E48),$E48,0)-$L48-$M48-$N48-$O48,"")</f>
        <v>42.0676</v>
      </c>
      <c r="Q48" s="42" t="n">
        <f aca="false">IF(AND(ISNUMBER($K48),$K48&gt;0),$P48/$K48,"")</f>
        <v>0.241434802571166</v>
      </c>
      <c r="R48" s="43"/>
      <c r="S48" s="44" t="str">
        <f aca="false">IF(OR(NOT(ISNUMBER($R48)),$R48=0,NOT(ISNUMBER($K48))),"",$K48*(1-$R48))</f>
        <v/>
      </c>
      <c r="T48" s="45" t="str">
        <f aca="false">IF(ISNUMBER($S48),$S48*$H48,"")</f>
        <v/>
      </c>
      <c r="U48" s="45" t="str">
        <f aca="false">IF(ISNUMBER($S48),$S48*Parâmetros!$B$6,"")</f>
        <v/>
      </c>
      <c r="V48" s="45" t="str">
        <f aca="false">IF(ISNUMBER($S48),$S48*Parâmetros!$C$6,"")</f>
        <v/>
      </c>
      <c r="W48" s="44" t="str">
        <f aca="false">IF(ISNUMBER($S48),$S48-$D48-IF(ISNUMBER($E48),$E48,0)-$O48-$T48-$U48-$V48,"")</f>
        <v/>
      </c>
      <c r="X48" s="46" t="str">
        <f aca="false">IF(AND(ISNUMBER($S48),$S48&gt;0),$W48/$S48,"")</f>
        <v/>
      </c>
      <c r="Y48" s="47" t="s">
        <v>737</v>
      </c>
      <c r="Z48" s="19" t="s">
        <v>747</v>
      </c>
    </row>
    <row r="49" customFormat="false" ht="15.75" hidden="false" customHeight="true" outlineLevel="0" collapsed="false">
      <c r="A49" s="48" t="str">
        <f aca="false">IF(Produtos!$A49="","",Produtos!$A49)</f>
        <v>L2430-AML</v>
      </c>
      <c r="B49" s="48" t="str">
        <f aca="false">IF(Produtos!$A49="","",Produtos!$B49)</f>
        <v>Lixeira c/Aro Meia Lua 24x30 15L</v>
      </c>
      <c r="C49" s="48" t="str">
        <f aca="false">IF(Produtos!$A49="","",Produtos!$C49)</f>
        <v>Lixeiras em inox</v>
      </c>
      <c r="D49" s="33" t="n">
        <f aca="false">IF(Produtos!$A49="","",IF(Produtos!$D49="","",Produtos!$D49))</f>
        <v>96.11</v>
      </c>
      <c r="E49" s="11" t="n">
        <v>0</v>
      </c>
      <c r="F49" s="34" t="n">
        <f aca="false">IF($A49="","",IF($C49="","⚠ categoria",IFERROR(INDEX(Parâmetros!$D$13:$D$22,MATCH($C49,Parâmetros!$A$13:$A$22,0)),"⚠ categoria")))</f>
        <v>0.13</v>
      </c>
      <c r="G49" s="35"/>
      <c r="H49" s="36" t="n">
        <f aca="false">IF($A49="","",IF(ISNUMBER($G49),$G49,IF(ISNUMBER($F49),$F49,"")))</f>
        <v>0.13</v>
      </c>
      <c r="I49" s="37" t="n">
        <f aca="false">IF(OR($A49="",NOT(ISNUMBER($D49)),NOT(ISNUMBER($H49))),"",IF((1-$H49-Parâmetros!$B$6-Parâmetros!$C$6-Parâmetros!$D$6)&lt;=0,"INVALIDO",($D49+IF(ISNUMBER($E49),$E49,0)+IF(ISNUMBER(Parâmetros!$E$6),Parâmetros!$E$6,0))/(1-$H49-Parâmetros!$B$6-Parâmetros!$C$6-Parâmetros!$D$6)))</f>
        <v>177.981481481481</v>
      </c>
      <c r="J49" s="38" t="n">
        <v>186.36</v>
      </c>
      <c r="K49" s="39" t="n">
        <f aca="false">IF(OR($A49="",NOT(ISNUMBER($D49)),NOT(ISNUMBER($H49))),"",IF(AND(ISNUMBER($J49),$J49&gt;0),$J49,IF(ISNUMBER($I49),$I49,"")))</f>
        <v>186.36</v>
      </c>
      <c r="L49" s="40" t="n">
        <f aca="false">IF(ISNUMBER($K49),$K49*$H49,"")</f>
        <v>24.2268</v>
      </c>
      <c r="M49" s="40" t="n">
        <f aca="false">IF(ISNUMBER($K49),$K49*Parâmetros!$B$6,"")</f>
        <v>18.636</v>
      </c>
      <c r="N49" s="40" t="n">
        <f aca="false">IF(ISNUMBER($K49),$K49*Parâmetros!$C$6,"")</f>
        <v>5.5908</v>
      </c>
      <c r="O49" s="40" t="n">
        <f aca="false">IF(ISNUMBER($K49),IF(ISNUMBER(Parâmetros!$E$6),Parâmetros!$E$6,0),"")</f>
        <v>0</v>
      </c>
      <c r="P49" s="41" t="n">
        <f aca="false">IF(ISNUMBER($K49),$K49-$D49-IF(ISNUMBER($E49),$E49,0)-$L49-$M49-$N49-$O49,"")</f>
        <v>41.7964</v>
      </c>
      <c r="Q49" s="42" t="n">
        <f aca="false">IF(AND(ISNUMBER($K49),$K49&gt;0),$P49/$K49,"")</f>
        <v>0.224277742004722</v>
      </c>
      <c r="R49" s="43"/>
      <c r="S49" s="44" t="str">
        <f aca="false">IF(OR(NOT(ISNUMBER($R49)),$R49=0,NOT(ISNUMBER($K49))),"",$K49*(1-$R49))</f>
        <v/>
      </c>
      <c r="T49" s="45" t="str">
        <f aca="false">IF(ISNUMBER($S49),$S49*$H49,"")</f>
        <v/>
      </c>
      <c r="U49" s="45" t="str">
        <f aca="false">IF(ISNUMBER($S49),$S49*Parâmetros!$B$6,"")</f>
        <v/>
      </c>
      <c r="V49" s="45" t="str">
        <f aca="false">IF(ISNUMBER($S49),$S49*Parâmetros!$C$6,"")</f>
        <v/>
      </c>
      <c r="W49" s="44" t="str">
        <f aca="false">IF(ISNUMBER($S49),$S49-$D49-IF(ISNUMBER($E49),$E49,0)-$O49-$T49-$U49-$V49,"")</f>
        <v/>
      </c>
      <c r="X49" s="46" t="str">
        <f aca="false">IF(AND(ISNUMBER($S49),$S49&gt;0),$W49/$S49,"")</f>
        <v/>
      </c>
      <c r="Y49" s="49" t="s">
        <v>737</v>
      </c>
      <c r="Z49" s="21" t="s">
        <v>747</v>
      </c>
    </row>
    <row r="50" customFormat="false" ht="15.75" hidden="false" customHeight="true" outlineLevel="0" collapsed="false">
      <c r="A50" s="32" t="str">
        <f aca="false">IF(Produtos!$A50="","",Produtos!$A50)</f>
        <v>L2440-AML</v>
      </c>
      <c r="B50" s="32" t="str">
        <f aca="false">IF(Produtos!$A50="","",Produtos!$B50)</f>
        <v>Lixeira c/Aro Meia Lua 24x40 20L</v>
      </c>
      <c r="C50" s="32" t="str">
        <f aca="false">IF(Produtos!$A50="","",Produtos!$C50)</f>
        <v>Lixeiras em inox</v>
      </c>
      <c r="D50" s="33" t="n">
        <f aca="false">IF(Produtos!$A50="","",IF(Produtos!$D50="","",Produtos!$D50))</f>
        <v>113.2</v>
      </c>
      <c r="E50" s="11" t="n">
        <v>0</v>
      </c>
      <c r="F50" s="34" t="n">
        <f aca="false">IF($A50="","",IF($C50="","⚠ categoria",IFERROR(INDEX(Parâmetros!$D$13:$D$22,MATCH($C50,Parâmetros!$A$13:$A$22,0)),"⚠ categoria")))</f>
        <v>0.13</v>
      </c>
      <c r="G50" s="35"/>
      <c r="H50" s="36" t="n">
        <f aca="false">IF($A50="","",IF(ISNUMBER($G50),$G50,IF(ISNUMBER($F50),$F50,"")))</f>
        <v>0.13</v>
      </c>
      <c r="I50" s="37" t="n">
        <f aca="false">IF(OR($A50="",NOT(ISNUMBER($D50)),NOT(ISNUMBER($H50))),"",IF((1-$H50-Parâmetros!$B$6-Parâmetros!$C$6-Parâmetros!$D$6)&lt;=0,"INVALIDO",($D50+IF(ISNUMBER($E50),$E50,0)+IF(ISNUMBER(Parâmetros!$E$6),Parâmetros!$E$6,0))/(1-$H50-Parâmetros!$B$6-Parâmetros!$C$6-Parâmetros!$D$6)))</f>
        <v>209.62962962963</v>
      </c>
      <c r="J50" s="38" t="n">
        <v>228.04</v>
      </c>
      <c r="K50" s="39" t="n">
        <f aca="false">IF(OR($A50="",NOT(ISNUMBER($D50)),NOT(ISNUMBER($H50))),"",IF(AND(ISNUMBER($J50),$J50&gt;0),$J50,IF(ISNUMBER($I50),$I50,"")))</f>
        <v>228.04</v>
      </c>
      <c r="L50" s="40" t="n">
        <f aca="false">IF(ISNUMBER($K50),$K50*$H50,"")</f>
        <v>29.6452</v>
      </c>
      <c r="M50" s="40" t="n">
        <f aca="false">IF(ISNUMBER($K50),$K50*Parâmetros!$B$6,"")</f>
        <v>22.804</v>
      </c>
      <c r="N50" s="40" t="n">
        <f aca="false">IF(ISNUMBER($K50),$K50*Parâmetros!$C$6,"")</f>
        <v>6.8412</v>
      </c>
      <c r="O50" s="40" t="n">
        <f aca="false">IF(ISNUMBER($K50),IF(ISNUMBER(Parâmetros!$E$6),Parâmetros!$E$6,0),"")</f>
        <v>0</v>
      </c>
      <c r="P50" s="41" t="n">
        <f aca="false">IF(ISNUMBER($K50),$K50-$D50-IF(ISNUMBER($E50),$E50,0)-$L50-$M50-$N50-$O50,"")</f>
        <v>55.5496</v>
      </c>
      <c r="Q50" s="42" t="n">
        <f aca="false">IF(AND(ISNUMBER($K50),$K50&gt;0),$P50/$K50,"")</f>
        <v>0.243595860375373</v>
      </c>
      <c r="R50" s="43"/>
      <c r="S50" s="44" t="str">
        <f aca="false">IF(OR(NOT(ISNUMBER($R50)),$R50=0,NOT(ISNUMBER($K50))),"",$K50*(1-$R50))</f>
        <v/>
      </c>
      <c r="T50" s="45" t="str">
        <f aca="false">IF(ISNUMBER($S50),$S50*$H50,"")</f>
        <v/>
      </c>
      <c r="U50" s="45" t="str">
        <f aca="false">IF(ISNUMBER($S50),$S50*Parâmetros!$B$6,"")</f>
        <v/>
      </c>
      <c r="V50" s="45" t="str">
        <f aca="false">IF(ISNUMBER($S50),$S50*Parâmetros!$C$6,"")</f>
        <v/>
      </c>
      <c r="W50" s="44" t="str">
        <f aca="false">IF(ISNUMBER($S50),$S50-$D50-IF(ISNUMBER($E50),$E50,0)-$O50-$T50-$U50-$V50,"")</f>
        <v/>
      </c>
      <c r="X50" s="46" t="str">
        <f aca="false">IF(AND(ISNUMBER($S50),$S50&gt;0),$W50/$S50,"")</f>
        <v/>
      </c>
      <c r="Y50" s="47" t="s">
        <v>737</v>
      </c>
      <c r="Z50" s="19" t="s">
        <v>747</v>
      </c>
    </row>
    <row r="51" customFormat="false" ht="15.75" hidden="false" customHeight="true" outlineLevel="0" collapsed="false">
      <c r="A51" s="48" t="str">
        <f aca="false">IF(Produtos!$A51="","",Produtos!$A51)</f>
        <v>L2450-AML</v>
      </c>
      <c r="B51" s="48" t="str">
        <f aca="false">IF(Produtos!$A51="","",Produtos!$B51)</f>
        <v>Lixeira c/Aro Meia Lua 24x50 25L</v>
      </c>
      <c r="C51" s="48" t="str">
        <f aca="false">IF(Produtos!$A51="","",Produtos!$C51)</f>
        <v>Lixeiras em inox</v>
      </c>
      <c r="D51" s="33" t="n">
        <f aca="false">IF(Produtos!$A51="","",IF(Produtos!$D51="","",Produtos!$D51))</f>
        <v>139.49</v>
      </c>
      <c r="E51" s="11" t="n">
        <v>0</v>
      </c>
      <c r="F51" s="34" t="n">
        <f aca="false">IF($A51="","",IF($C51="","⚠ categoria",IFERROR(INDEX(Parâmetros!$D$13:$D$22,MATCH($C51,Parâmetros!$A$13:$A$22,0)),"⚠ categoria")))</f>
        <v>0.13</v>
      </c>
      <c r="G51" s="35"/>
      <c r="H51" s="36" t="n">
        <f aca="false">IF($A51="","",IF(ISNUMBER($G51),$G51,IF(ISNUMBER($F51),$F51,"")))</f>
        <v>0.13</v>
      </c>
      <c r="I51" s="37" t="n">
        <f aca="false">IF(OR($A51="",NOT(ISNUMBER($D51)),NOT(ISNUMBER($H51))),"",IF((1-$H51-Parâmetros!$B$6-Parâmetros!$C$6-Parâmetros!$D$6)&lt;=0,"INVALIDO",($D51+IF(ISNUMBER($E51),$E51,0)+IF(ISNUMBER(Parâmetros!$E$6),Parâmetros!$E$6,0))/(1-$H51-Parâmetros!$B$6-Parâmetros!$C$6-Parâmetros!$D$6)))</f>
        <v>258.314814814815</v>
      </c>
      <c r="J51" s="38" t="n">
        <v>259.9</v>
      </c>
      <c r="K51" s="39" t="n">
        <f aca="false">IF(OR($A51="",NOT(ISNUMBER($D51)),NOT(ISNUMBER($H51))),"",IF(AND(ISNUMBER($J51),$J51&gt;0),$J51,IF(ISNUMBER($I51),$I51,"")))</f>
        <v>259.9</v>
      </c>
      <c r="L51" s="40" t="n">
        <f aca="false">IF(ISNUMBER($K51),$K51*$H51,"")</f>
        <v>33.787</v>
      </c>
      <c r="M51" s="40" t="n">
        <f aca="false">IF(ISNUMBER($K51),$K51*Parâmetros!$B$6,"")</f>
        <v>25.99</v>
      </c>
      <c r="N51" s="40" t="n">
        <f aca="false">IF(ISNUMBER($K51),$K51*Parâmetros!$C$6,"")</f>
        <v>7.797</v>
      </c>
      <c r="O51" s="40" t="n">
        <f aca="false">IF(ISNUMBER($K51),IF(ISNUMBER(Parâmetros!$E$6),Parâmetros!$E$6,0),"")</f>
        <v>0</v>
      </c>
      <c r="P51" s="41" t="n">
        <f aca="false">IF(ISNUMBER($K51),$K51-$D51-IF(ISNUMBER($E51),$E51,0)-$L51-$M51-$N51-$O51,"")</f>
        <v>52.836</v>
      </c>
      <c r="Q51" s="42" t="n">
        <f aca="false">IF(AND(ISNUMBER($K51),$K51&gt;0),$P51/$K51,"")</f>
        <v>0.203293574451712</v>
      </c>
      <c r="R51" s="43"/>
      <c r="S51" s="44" t="str">
        <f aca="false">IF(OR(NOT(ISNUMBER($R51)),$R51=0,NOT(ISNUMBER($K51))),"",$K51*(1-$R51))</f>
        <v/>
      </c>
      <c r="T51" s="45" t="str">
        <f aca="false">IF(ISNUMBER($S51),$S51*$H51,"")</f>
        <v/>
      </c>
      <c r="U51" s="45" t="str">
        <f aca="false">IF(ISNUMBER($S51),$S51*Parâmetros!$B$6,"")</f>
        <v/>
      </c>
      <c r="V51" s="45" t="str">
        <f aca="false">IF(ISNUMBER($S51),$S51*Parâmetros!$C$6,"")</f>
        <v/>
      </c>
      <c r="W51" s="44" t="str">
        <f aca="false">IF(ISNUMBER($S51),$S51-$D51-IF(ISNUMBER($E51),$E51,0)-$O51-$T51-$U51-$V51,"")</f>
        <v/>
      </c>
      <c r="X51" s="46" t="str">
        <f aca="false">IF(AND(ISNUMBER($S51),$S51&gt;0),$W51/$S51,"")</f>
        <v/>
      </c>
      <c r="Y51" s="49" t="s">
        <v>737</v>
      </c>
      <c r="Z51" s="21" t="s">
        <v>747</v>
      </c>
    </row>
    <row r="52" customFormat="false" ht="15.75" hidden="false" customHeight="true" outlineLevel="0" collapsed="false">
      <c r="A52" s="32" t="str">
        <f aca="false">IF(Produtos!$A52="","",Produtos!$A52)</f>
        <v>L2460-AML</v>
      </c>
      <c r="B52" s="32" t="str">
        <f aca="false">IF(Produtos!$A52="","",Produtos!$B52)</f>
        <v>Lixeira c/Aro Meia Lua 24x60 27L</v>
      </c>
      <c r="C52" s="32" t="str">
        <f aca="false">IF(Produtos!$A52="","",Produtos!$C52)</f>
        <v>Lixeiras em inox</v>
      </c>
      <c r="D52" s="33" t="n">
        <f aca="false">IF(Produtos!$A52="","",IF(Produtos!$D52="","",Produtos!$D52))</f>
        <v>140.97</v>
      </c>
      <c r="E52" s="11" t="n">
        <v>0</v>
      </c>
      <c r="F52" s="34" t="n">
        <f aca="false">IF($A52="","",IF($C52="","⚠ categoria",IFERROR(INDEX(Parâmetros!$D$13:$D$22,MATCH($C52,Parâmetros!$A$13:$A$22,0)),"⚠ categoria")))</f>
        <v>0.13</v>
      </c>
      <c r="G52" s="35"/>
      <c r="H52" s="36" t="n">
        <f aca="false">IF($A52="","",IF(ISNUMBER($G52),$G52,IF(ISNUMBER($F52),$F52,"")))</f>
        <v>0.13</v>
      </c>
      <c r="I52" s="37" t="n">
        <f aca="false">IF(OR($A52="",NOT(ISNUMBER($D52)),NOT(ISNUMBER($H52))),"",IF((1-$H52-Parâmetros!$B$6-Parâmetros!$C$6-Parâmetros!$D$6)&lt;=0,"INVALIDO",($D52+IF(ISNUMBER($E52),$E52,0)+IF(ISNUMBER(Parâmetros!$E$6),Parâmetros!$E$6,0))/(1-$H52-Parâmetros!$B$6-Parâmetros!$C$6-Parâmetros!$D$6)))</f>
        <v>261.055555555556</v>
      </c>
      <c r="J52" s="38" t="n">
        <v>290.17</v>
      </c>
      <c r="K52" s="39" t="n">
        <f aca="false">IF(OR($A52="",NOT(ISNUMBER($D52)),NOT(ISNUMBER($H52))),"",IF(AND(ISNUMBER($J52),$J52&gt;0),$J52,IF(ISNUMBER($I52),$I52,"")))</f>
        <v>290.17</v>
      </c>
      <c r="L52" s="40" t="n">
        <f aca="false">IF(ISNUMBER($K52),$K52*$H52,"")</f>
        <v>37.7221</v>
      </c>
      <c r="M52" s="40" t="n">
        <f aca="false">IF(ISNUMBER($K52),$K52*Parâmetros!$B$6,"")</f>
        <v>29.017</v>
      </c>
      <c r="N52" s="40" t="n">
        <f aca="false">IF(ISNUMBER($K52),$K52*Parâmetros!$C$6,"")</f>
        <v>8.7051</v>
      </c>
      <c r="O52" s="40" t="n">
        <f aca="false">IF(ISNUMBER($K52),IF(ISNUMBER(Parâmetros!$E$6),Parâmetros!$E$6,0),"")</f>
        <v>0</v>
      </c>
      <c r="P52" s="41" t="n">
        <f aca="false">IF(ISNUMBER($K52),$K52-$D52-IF(ISNUMBER($E52),$E52,0)-$L52-$M52-$N52-$O52,"")</f>
        <v>73.7558</v>
      </c>
      <c r="Q52" s="42" t="n">
        <f aca="false">IF(AND(ISNUMBER($K52),$K52&gt;0),$P52/$K52,"")</f>
        <v>0.254181341971947</v>
      </c>
      <c r="R52" s="43"/>
      <c r="S52" s="44" t="str">
        <f aca="false">IF(OR(NOT(ISNUMBER($R52)),$R52=0,NOT(ISNUMBER($K52))),"",$K52*(1-$R52))</f>
        <v/>
      </c>
      <c r="T52" s="45" t="str">
        <f aca="false">IF(ISNUMBER($S52),$S52*$H52,"")</f>
        <v/>
      </c>
      <c r="U52" s="45" t="str">
        <f aca="false">IF(ISNUMBER($S52),$S52*Parâmetros!$B$6,"")</f>
        <v/>
      </c>
      <c r="V52" s="45" t="str">
        <f aca="false">IF(ISNUMBER($S52),$S52*Parâmetros!$C$6,"")</f>
        <v/>
      </c>
      <c r="W52" s="44" t="str">
        <f aca="false">IF(ISNUMBER($S52),$S52-$D52-IF(ISNUMBER($E52),$E52,0)-$O52-$T52-$U52-$V52,"")</f>
        <v/>
      </c>
      <c r="X52" s="46" t="str">
        <f aca="false">IF(AND(ISNUMBER($S52),$S52&gt;0),$W52/$S52,"")</f>
        <v/>
      </c>
      <c r="Y52" s="47" t="s">
        <v>737</v>
      </c>
      <c r="Z52" s="19" t="s">
        <v>748</v>
      </c>
    </row>
    <row r="53" customFormat="false" ht="15.75" hidden="false" customHeight="true" outlineLevel="0" collapsed="false">
      <c r="A53" s="48" t="str">
        <f aca="false">IF(Produtos!$A53="","",Produtos!$A53)</f>
        <v>L2470-AML</v>
      </c>
      <c r="B53" s="48" t="str">
        <f aca="false">IF(Produtos!$A53="","",Produtos!$B53)</f>
        <v>Lixeira c/Aro Meia Lua 24x70 30L</v>
      </c>
      <c r="C53" s="48" t="str">
        <f aca="false">IF(Produtos!$A53="","",Produtos!$C53)</f>
        <v>Lixeiras em inox</v>
      </c>
      <c r="D53" s="33" t="n">
        <f aca="false">IF(Produtos!$A53="","",IF(Produtos!$D53="","",Produtos!$D53))</f>
        <v>208.28</v>
      </c>
      <c r="E53" s="11" t="n">
        <v>0</v>
      </c>
      <c r="F53" s="34" t="n">
        <f aca="false">IF($A53="","",IF($C53="","⚠ categoria",IFERROR(INDEX(Parâmetros!$D$13:$D$22,MATCH($C53,Parâmetros!$A$13:$A$22,0)),"⚠ categoria")))</f>
        <v>0.13</v>
      </c>
      <c r="G53" s="35"/>
      <c r="H53" s="36" t="n">
        <f aca="false">IF($A53="","",IF(ISNUMBER($G53),$G53,IF(ISNUMBER($F53),$F53,"")))</f>
        <v>0.13</v>
      </c>
      <c r="I53" s="37" t="n">
        <f aca="false">IF(OR($A53="",NOT(ISNUMBER($D53)),NOT(ISNUMBER($H53))),"",IF((1-$H53-Parâmetros!$B$6-Parâmetros!$C$6-Parâmetros!$D$6)&lt;=0,"INVALIDO",($D53+IF(ISNUMBER($E53),$E53,0)+IF(ISNUMBER(Parâmetros!$E$6),Parâmetros!$E$6,0))/(1-$H53-Parâmetros!$B$6-Parâmetros!$C$6-Parâmetros!$D$6)))</f>
        <v>385.703703703704</v>
      </c>
      <c r="J53" s="38" t="n">
        <v>408.32</v>
      </c>
      <c r="K53" s="39" t="n">
        <f aca="false">IF(OR($A53="",NOT(ISNUMBER($D53)),NOT(ISNUMBER($H53))),"",IF(AND(ISNUMBER($J53),$J53&gt;0),$J53,IF(ISNUMBER($I53),$I53,"")))</f>
        <v>408.32</v>
      </c>
      <c r="L53" s="40" t="n">
        <f aca="false">IF(ISNUMBER($K53),$K53*$H53,"")</f>
        <v>53.0816</v>
      </c>
      <c r="M53" s="40" t="n">
        <f aca="false">IF(ISNUMBER($K53),$K53*Parâmetros!$B$6,"")</f>
        <v>40.832</v>
      </c>
      <c r="N53" s="40" t="n">
        <f aca="false">IF(ISNUMBER($K53),$K53*Parâmetros!$C$6,"")</f>
        <v>12.2496</v>
      </c>
      <c r="O53" s="40" t="n">
        <f aca="false">IF(ISNUMBER($K53),IF(ISNUMBER(Parâmetros!$E$6),Parâmetros!$E$6,0),"")</f>
        <v>0</v>
      </c>
      <c r="P53" s="41" t="n">
        <f aca="false">IF(ISNUMBER($K53),$K53-$D53-IF(ISNUMBER($E53),$E53,0)-$L53-$M53-$N53-$O53,"")</f>
        <v>93.8768</v>
      </c>
      <c r="Q53" s="42" t="n">
        <f aca="false">IF(AND(ISNUMBER($K53),$K53&gt;0),$P53/$K53,"")</f>
        <v>0.22990987460815</v>
      </c>
      <c r="R53" s="43"/>
      <c r="S53" s="44" t="str">
        <f aca="false">IF(OR(NOT(ISNUMBER($R53)),$R53=0,NOT(ISNUMBER($K53))),"",$K53*(1-$R53))</f>
        <v/>
      </c>
      <c r="T53" s="45" t="str">
        <f aca="false">IF(ISNUMBER($S53),$S53*$H53,"")</f>
        <v/>
      </c>
      <c r="U53" s="45" t="str">
        <f aca="false">IF(ISNUMBER($S53),$S53*Parâmetros!$B$6,"")</f>
        <v/>
      </c>
      <c r="V53" s="45" t="str">
        <f aca="false">IF(ISNUMBER($S53),$S53*Parâmetros!$C$6,"")</f>
        <v/>
      </c>
      <c r="W53" s="44" t="str">
        <f aca="false">IF(ISNUMBER($S53),$S53-$D53-IF(ISNUMBER($E53),$E53,0)-$O53-$T53-$U53-$V53,"")</f>
        <v/>
      </c>
      <c r="X53" s="46" t="str">
        <f aca="false">IF(AND(ISNUMBER($S53),$S53&gt;0),$W53/$S53,"")</f>
        <v/>
      </c>
      <c r="Y53" s="49" t="s">
        <v>737</v>
      </c>
      <c r="Z53" s="21" t="s">
        <v>748</v>
      </c>
    </row>
    <row r="54" customFormat="false" ht="15.75" hidden="false" customHeight="true" outlineLevel="0" collapsed="false">
      <c r="A54" s="32" t="str">
        <f aca="false">IF(Produtos!$A54="","",Produtos!$A54)</f>
        <v>L3040-AML</v>
      </c>
      <c r="B54" s="32" t="str">
        <f aca="false">IF(Produtos!$A54="","",Produtos!$B54)</f>
        <v>Lixeira c/Aro Meia Lua 30x40 30L</v>
      </c>
      <c r="C54" s="32" t="str">
        <f aca="false">IF(Produtos!$A54="","",Produtos!$C54)</f>
        <v>Lixeiras em inox</v>
      </c>
      <c r="D54" s="33" t="n">
        <f aca="false">IF(Produtos!$A54="","",IF(Produtos!$D54="","",Produtos!$D54))</f>
        <v>161.26</v>
      </c>
      <c r="E54" s="11" t="n">
        <v>0</v>
      </c>
      <c r="F54" s="34" t="n">
        <f aca="false">IF($A54="","",IF($C54="","⚠ categoria",IFERROR(INDEX(Parâmetros!$D$13:$D$22,MATCH($C54,Parâmetros!$A$13:$A$22,0)),"⚠ categoria")))</f>
        <v>0.13</v>
      </c>
      <c r="G54" s="35"/>
      <c r="H54" s="36" t="n">
        <f aca="false">IF($A54="","",IF(ISNUMBER($G54),$G54,IF(ISNUMBER($F54),$F54,"")))</f>
        <v>0.13</v>
      </c>
      <c r="I54" s="37" t="n">
        <f aca="false">IF(OR($A54="",NOT(ISNUMBER($D54)),NOT(ISNUMBER($H54))),"",IF((1-$H54-Parâmetros!$B$6-Parâmetros!$C$6-Parâmetros!$D$6)&lt;=0,"INVALIDO",($D54+IF(ISNUMBER($E54),$E54,0)+IF(ISNUMBER(Parâmetros!$E$6),Parâmetros!$E$6,0))/(1-$H54-Parâmetros!$B$6-Parâmetros!$C$6-Parâmetros!$D$6)))</f>
        <v>298.62962962963</v>
      </c>
      <c r="J54" s="38"/>
      <c r="K54" s="39" t="n">
        <f aca="false">IF(OR($A54="",NOT(ISNUMBER($D54)),NOT(ISNUMBER($H54))),"",IF(AND(ISNUMBER($J54),$J54&gt;0),$J54,IF(ISNUMBER($I54),$I54,"")))</f>
        <v>298.62962962963</v>
      </c>
      <c r="L54" s="40" t="n">
        <f aca="false">IF(ISNUMBER($K54),$K54*$H54,"")</f>
        <v>38.8218518518519</v>
      </c>
      <c r="M54" s="40" t="n">
        <f aca="false">IF(ISNUMBER($K54),$K54*Parâmetros!$B$6,"")</f>
        <v>29.862962962963</v>
      </c>
      <c r="N54" s="40" t="n">
        <f aca="false">IF(ISNUMBER($K54),$K54*Parâmetros!$C$6,"")</f>
        <v>8.95888888888889</v>
      </c>
      <c r="O54" s="40" t="n">
        <f aca="false">IF(ISNUMBER($K54),IF(ISNUMBER(Parâmetros!$E$6),Parâmetros!$E$6,0),"")</f>
        <v>0</v>
      </c>
      <c r="P54" s="41" t="n">
        <f aca="false">IF(ISNUMBER($K54),$K54-$D54-IF(ISNUMBER($E54),$E54,0)-$L54-$M54-$N54-$O54,"")</f>
        <v>59.7259259259259</v>
      </c>
      <c r="Q54" s="42" t="n">
        <f aca="false">IF(AND(ISNUMBER($K54),$K54&gt;0),$P54/$K54,"")</f>
        <v>0.2</v>
      </c>
      <c r="R54" s="43"/>
      <c r="S54" s="44" t="str">
        <f aca="false">IF(OR(NOT(ISNUMBER($R54)),$R54=0,NOT(ISNUMBER($K54))),"",$K54*(1-$R54))</f>
        <v/>
      </c>
      <c r="T54" s="45" t="str">
        <f aca="false">IF(ISNUMBER($S54),$S54*$H54,"")</f>
        <v/>
      </c>
      <c r="U54" s="45" t="str">
        <f aca="false">IF(ISNUMBER($S54),$S54*Parâmetros!$B$6,"")</f>
        <v/>
      </c>
      <c r="V54" s="45" t="str">
        <f aca="false">IF(ISNUMBER($S54),$S54*Parâmetros!$C$6,"")</f>
        <v/>
      </c>
      <c r="W54" s="44" t="str">
        <f aca="false">IF(ISNUMBER($S54),$S54-$D54-IF(ISNUMBER($E54),$E54,0)-$O54-$T54-$U54-$V54,"")</f>
        <v/>
      </c>
      <c r="X54" s="46" t="str">
        <f aca="false">IF(AND(ISNUMBER($S54),$S54&gt;0),$W54/$S54,"")</f>
        <v/>
      </c>
      <c r="Y54" s="47"/>
      <c r="Z54" s="19"/>
    </row>
    <row r="55" customFormat="false" ht="15.75" hidden="false" customHeight="true" outlineLevel="0" collapsed="false">
      <c r="A55" s="48" t="str">
        <f aca="false">IF(Produtos!$A55="","",Produtos!$A55)</f>
        <v>L3050-AML</v>
      </c>
      <c r="B55" s="48" t="str">
        <f aca="false">IF(Produtos!$A55="","",Produtos!$B55)</f>
        <v>Lixeira c/Aro Meia Lua 30x50 35L</v>
      </c>
      <c r="C55" s="48" t="str">
        <f aca="false">IF(Produtos!$A55="","",Produtos!$C55)</f>
        <v>Lixeiras em inox</v>
      </c>
      <c r="D55" s="33" t="n">
        <f aca="false">IF(Produtos!$A55="","",IF(Produtos!$D55="","",Produtos!$D55))</f>
        <v>205.71</v>
      </c>
      <c r="E55" s="11" t="n">
        <v>0</v>
      </c>
      <c r="F55" s="34" t="n">
        <f aca="false">IF($A55="","",IF($C55="","⚠ categoria",IFERROR(INDEX(Parâmetros!$D$13:$D$22,MATCH($C55,Parâmetros!$A$13:$A$22,0)),"⚠ categoria")))</f>
        <v>0.13</v>
      </c>
      <c r="G55" s="35"/>
      <c r="H55" s="36" t="n">
        <f aca="false">IF($A55="","",IF(ISNUMBER($G55),$G55,IF(ISNUMBER($F55),$F55,"")))</f>
        <v>0.13</v>
      </c>
      <c r="I55" s="37" t="n">
        <f aca="false">IF(OR($A55="",NOT(ISNUMBER($D55)),NOT(ISNUMBER($H55))),"",IF((1-$H55-Parâmetros!$B$6-Parâmetros!$C$6-Parâmetros!$D$6)&lt;=0,"INVALIDO",($D55+IF(ISNUMBER($E55),$E55,0)+IF(ISNUMBER(Parâmetros!$E$6),Parâmetros!$E$6,0))/(1-$H55-Parâmetros!$B$6-Parâmetros!$C$6-Parâmetros!$D$6)))</f>
        <v>380.944444444444</v>
      </c>
      <c r="J55" s="38"/>
      <c r="K55" s="39" t="n">
        <f aca="false">IF(OR($A55="",NOT(ISNUMBER($D55)),NOT(ISNUMBER($H55))),"",IF(AND(ISNUMBER($J55),$J55&gt;0),$J55,IF(ISNUMBER($I55),$I55,"")))</f>
        <v>380.944444444444</v>
      </c>
      <c r="L55" s="40" t="n">
        <f aca="false">IF(ISNUMBER($K55),$K55*$H55,"")</f>
        <v>49.5227777777778</v>
      </c>
      <c r="M55" s="40" t="n">
        <f aca="false">IF(ISNUMBER($K55),$K55*Parâmetros!$B$6,"")</f>
        <v>38.0944444444445</v>
      </c>
      <c r="N55" s="40" t="n">
        <f aca="false">IF(ISNUMBER($K55),$K55*Parâmetros!$C$6,"")</f>
        <v>11.4283333333333</v>
      </c>
      <c r="O55" s="40" t="n">
        <f aca="false">IF(ISNUMBER($K55),IF(ISNUMBER(Parâmetros!$E$6),Parâmetros!$E$6,0),"")</f>
        <v>0</v>
      </c>
      <c r="P55" s="41" t="n">
        <f aca="false">IF(ISNUMBER($K55),$K55-$D55-IF(ISNUMBER($E55),$E55,0)-$L55-$M55-$N55-$O55,"")</f>
        <v>76.1888888888889</v>
      </c>
      <c r="Q55" s="42" t="n">
        <f aca="false">IF(AND(ISNUMBER($K55),$K55&gt;0),$P55/$K55,"")</f>
        <v>0.2</v>
      </c>
      <c r="R55" s="43"/>
      <c r="S55" s="44" t="str">
        <f aca="false">IF(OR(NOT(ISNUMBER($R55)),$R55=0,NOT(ISNUMBER($K55))),"",$K55*(1-$R55))</f>
        <v/>
      </c>
      <c r="T55" s="45" t="str">
        <f aca="false">IF(ISNUMBER($S55),$S55*$H55,"")</f>
        <v/>
      </c>
      <c r="U55" s="45" t="str">
        <f aca="false">IF(ISNUMBER($S55),$S55*Parâmetros!$B$6,"")</f>
        <v/>
      </c>
      <c r="V55" s="45" t="str">
        <f aca="false">IF(ISNUMBER($S55),$S55*Parâmetros!$C$6,"")</f>
        <v/>
      </c>
      <c r="W55" s="44" t="str">
        <f aca="false">IF(ISNUMBER($S55),$S55-$D55-IF(ISNUMBER($E55),$E55,0)-$O55-$T55-$U55-$V55,"")</f>
        <v/>
      </c>
      <c r="X55" s="46" t="str">
        <f aca="false">IF(AND(ISNUMBER($S55),$S55&gt;0),$W55/$S55,"")</f>
        <v/>
      </c>
      <c r="Y55" s="49"/>
      <c r="Z55" s="21"/>
    </row>
    <row r="56" customFormat="false" ht="15.75" hidden="false" customHeight="true" outlineLevel="0" collapsed="false">
      <c r="A56" s="32" t="str">
        <f aca="false">IF(Produtos!$A56="","",Produtos!$A56)</f>
        <v>L3060-AML</v>
      </c>
      <c r="B56" s="32" t="str">
        <f aca="false">IF(Produtos!$A56="","",Produtos!$B56)</f>
        <v>Lixeira c/Aro Meia Lua 30x60 40L</v>
      </c>
      <c r="C56" s="32" t="str">
        <f aca="false">IF(Produtos!$A56="","",Produtos!$C56)</f>
        <v>Lixeiras em inox</v>
      </c>
      <c r="D56" s="33" t="n">
        <f aca="false">IF(Produtos!$A56="","",IF(Produtos!$D56="","",Produtos!$D56))</f>
        <v>235.28</v>
      </c>
      <c r="E56" s="11" t="n">
        <v>0</v>
      </c>
      <c r="F56" s="34" t="n">
        <f aca="false">IF($A56="","",IF($C56="","⚠ categoria",IFERROR(INDEX(Parâmetros!$D$13:$D$22,MATCH($C56,Parâmetros!$A$13:$A$22,0)),"⚠ categoria")))</f>
        <v>0.13</v>
      </c>
      <c r="G56" s="35"/>
      <c r="H56" s="36" t="n">
        <f aca="false">IF($A56="","",IF(ISNUMBER($G56),$G56,IF(ISNUMBER($F56),$F56,"")))</f>
        <v>0.13</v>
      </c>
      <c r="I56" s="37" t="n">
        <f aca="false">IF(OR($A56="",NOT(ISNUMBER($D56)),NOT(ISNUMBER($H56))),"",IF((1-$H56-Parâmetros!$B$6-Parâmetros!$C$6-Parâmetros!$D$6)&lt;=0,"INVALIDO",($D56+IF(ISNUMBER($E56),$E56,0)+IF(ISNUMBER(Parâmetros!$E$6),Parâmetros!$E$6,0))/(1-$H56-Parâmetros!$B$6-Parâmetros!$C$6-Parâmetros!$D$6)))</f>
        <v>435.703703703704</v>
      </c>
      <c r="J56" s="38" t="n">
        <v>446.71</v>
      </c>
      <c r="K56" s="39" t="n">
        <f aca="false">IF(OR($A56="",NOT(ISNUMBER($D56)),NOT(ISNUMBER($H56))),"",IF(AND(ISNUMBER($J56),$J56&gt;0),$J56,IF(ISNUMBER($I56),$I56,"")))</f>
        <v>446.71</v>
      </c>
      <c r="L56" s="40" t="n">
        <f aca="false">IF(ISNUMBER($K56),$K56*$H56,"")</f>
        <v>58.0723</v>
      </c>
      <c r="M56" s="40" t="n">
        <f aca="false">IF(ISNUMBER($K56),$K56*Parâmetros!$B$6,"")</f>
        <v>44.671</v>
      </c>
      <c r="N56" s="40" t="n">
        <f aca="false">IF(ISNUMBER($K56),$K56*Parâmetros!$C$6,"")</f>
        <v>13.4013</v>
      </c>
      <c r="O56" s="40" t="n">
        <f aca="false">IF(ISNUMBER($K56),IF(ISNUMBER(Parâmetros!$E$6),Parâmetros!$E$6,0),"")</f>
        <v>0</v>
      </c>
      <c r="P56" s="41" t="n">
        <f aca="false">IF(ISNUMBER($K56),$K56-$D56-IF(ISNUMBER($E56),$E56,0)-$L56-$M56-$N56-$O56,"")</f>
        <v>95.2854</v>
      </c>
      <c r="Q56" s="42" t="n">
        <f aca="false">IF(AND(ISNUMBER($K56),$K56&gt;0),$P56/$K56,"")</f>
        <v>0.213304828636028</v>
      </c>
      <c r="R56" s="43"/>
      <c r="S56" s="44" t="str">
        <f aca="false">IF(OR(NOT(ISNUMBER($R56)),$R56=0,NOT(ISNUMBER($K56))),"",$K56*(1-$R56))</f>
        <v/>
      </c>
      <c r="T56" s="45" t="str">
        <f aca="false">IF(ISNUMBER($S56),$S56*$H56,"")</f>
        <v/>
      </c>
      <c r="U56" s="45" t="str">
        <f aca="false">IF(ISNUMBER($S56),$S56*Parâmetros!$B$6,"")</f>
        <v/>
      </c>
      <c r="V56" s="45" t="str">
        <f aca="false">IF(ISNUMBER($S56),$S56*Parâmetros!$C$6,"")</f>
        <v/>
      </c>
      <c r="W56" s="44" t="str">
        <f aca="false">IF(ISNUMBER($S56),$S56-$D56-IF(ISNUMBER($E56),$E56,0)-$O56-$T56-$U56-$V56,"")</f>
        <v/>
      </c>
      <c r="X56" s="46" t="str">
        <f aca="false">IF(AND(ISNUMBER($S56),$S56&gt;0),$W56/$S56,"")</f>
        <v/>
      </c>
      <c r="Y56" s="47" t="s">
        <v>737</v>
      </c>
      <c r="Z56" s="19" t="s">
        <v>748</v>
      </c>
    </row>
    <row r="57" customFormat="false" ht="15.75" hidden="false" customHeight="true" outlineLevel="0" collapsed="false">
      <c r="A57" s="48" t="str">
        <f aca="false">IF(Produtos!$A57="","",Produtos!$A57)</f>
        <v>L3070-AML</v>
      </c>
      <c r="B57" s="48" t="str">
        <f aca="false">IF(Produtos!$A57="","",Produtos!$B57)</f>
        <v>Lixeira c/Aro Meia Lua 30x70 50L</v>
      </c>
      <c r="C57" s="48" t="str">
        <f aca="false">IF(Produtos!$A57="","",Produtos!$C57)</f>
        <v>Lixeiras em inox</v>
      </c>
      <c r="D57" s="33" t="n">
        <f aca="false">IF(Produtos!$A57="","",IF(Produtos!$D57="","",Produtos!$D57))</f>
        <v>269.82</v>
      </c>
      <c r="E57" s="11" t="n">
        <v>0</v>
      </c>
      <c r="F57" s="34" t="n">
        <f aca="false">IF($A57="","",IF($C57="","⚠ categoria",IFERROR(INDEX(Parâmetros!$D$13:$D$22,MATCH($C57,Parâmetros!$A$13:$A$22,0)),"⚠ categoria")))</f>
        <v>0.13</v>
      </c>
      <c r="G57" s="35"/>
      <c r="H57" s="36" t="n">
        <f aca="false">IF($A57="","",IF(ISNUMBER($G57),$G57,IF(ISNUMBER($F57),$F57,"")))</f>
        <v>0.13</v>
      </c>
      <c r="I57" s="37" t="n">
        <f aca="false">IF(OR($A57="",NOT(ISNUMBER($D57)),NOT(ISNUMBER($H57))),"",IF((1-$H57-Parâmetros!$B$6-Parâmetros!$C$6-Parâmetros!$D$6)&lt;=0,"INVALIDO",($D57+IF(ISNUMBER($E57),$E57,0)+IF(ISNUMBER(Parâmetros!$E$6),Parâmetros!$E$6,0))/(1-$H57-Parâmetros!$B$6-Parâmetros!$C$6-Parâmetros!$D$6)))</f>
        <v>499.666666666667</v>
      </c>
      <c r="J57" s="38" t="n">
        <v>526.32</v>
      </c>
      <c r="K57" s="39" t="n">
        <f aca="false">IF(OR($A57="",NOT(ISNUMBER($D57)),NOT(ISNUMBER($H57))),"",IF(AND(ISNUMBER($J57),$J57&gt;0),$J57,IF(ISNUMBER($I57),$I57,"")))</f>
        <v>526.32</v>
      </c>
      <c r="L57" s="40" t="n">
        <f aca="false">IF(ISNUMBER($K57),$K57*$H57,"")</f>
        <v>68.4216</v>
      </c>
      <c r="M57" s="40" t="n">
        <f aca="false">IF(ISNUMBER($K57),$K57*Parâmetros!$B$6,"")</f>
        <v>52.632</v>
      </c>
      <c r="N57" s="40" t="n">
        <f aca="false">IF(ISNUMBER($K57),$K57*Parâmetros!$C$6,"")</f>
        <v>15.7896</v>
      </c>
      <c r="O57" s="40" t="n">
        <f aca="false">IF(ISNUMBER($K57),IF(ISNUMBER(Parâmetros!$E$6),Parâmetros!$E$6,0),"")</f>
        <v>0</v>
      </c>
      <c r="P57" s="41" t="n">
        <f aca="false">IF(ISNUMBER($K57),$K57-$D57-IF(ISNUMBER($E57),$E57,0)-$L57-$M57-$N57-$O57,"")</f>
        <v>119.6568</v>
      </c>
      <c r="Q57" s="42" t="n">
        <f aca="false">IF(AND(ISNUMBER($K57),$K57&gt;0),$P57/$K57,"")</f>
        <v>0.22734610123119</v>
      </c>
      <c r="R57" s="43"/>
      <c r="S57" s="44" t="str">
        <f aca="false">IF(OR(NOT(ISNUMBER($R57)),$R57=0,NOT(ISNUMBER($K57))),"",$K57*(1-$R57))</f>
        <v/>
      </c>
      <c r="T57" s="45" t="str">
        <f aca="false">IF(ISNUMBER($S57),$S57*$H57,"")</f>
        <v/>
      </c>
      <c r="U57" s="45" t="str">
        <f aca="false">IF(ISNUMBER($S57),$S57*Parâmetros!$B$6,"")</f>
        <v/>
      </c>
      <c r="V57" s="45" t="str">
        <f aca="false">IF(ISNUMBER($S57),$S57*Parâmetros!$C$6,"")</f>
        <v/>
      </c>
      <c r="W57" s="44" t="str">
        <f aca="false">IF(ISNUMBER($S57),$S57-$D57-IF(ISNUMBER($E57),$E57,0)-$O57-$T57-$U57-$V57,"")</f>
        <v/>
      </c>
      <c r="X57" s="46" t="str">
        <f aca="false">IF(AND(ISNUMBER($S57),$S57&gt;0),$W57/$S57,"")</f>
        <v/>
      </c>
      <c r="Y57" s="49" t="s">
        <v>737</v>
      </c>
      <c r="Z57" s="21" t="s">
        <v>748</v>
      </c>
    </row>
    <row r="58" customFormat="false" ht="15.75" hidden="false" customHeight="true" outlineLevel="0" collapsed="false">
      <c r="A58" s="32" t="str">
        <f aca="false">IF(Produtos!$A58="","",Produtos!$A58)</f>
        <v>L3085-AML</v>
      </c>
      <c r="B58" s="32" t="str">
        <f aca="false">IF(Produtos!$A58="","",Produtos!$B58)</f>
        <v>Lixeira c/Aro Meia Lua 30x85 60L</v>
      </c>
      <c r="C58" s="32" t="str">
        <f aca="false">IF(Produtos!$A58="","",Produtos!$C58)</f>
        <v>Lixeiras em inox</v>
      </c>
      <c r="D58" s="33" t="n">
        <f aca="false">IF(Produtos!$A58="","",IF(Produtos!$D58="","",Produtos!$D58))</f>
        <v>360.65</v>
      </c>
      <c r="E58" s="11" t="n">
        <v>0</v>
      </c>
      <c r="F58" s="34" t="n">
        <f aca="false">IF($A58="","",IF($C58="","⚠ categoria",IFERROR(INDEX(Parâmetros!$D$13:$D$22,MATCH($C58,Parâmetros!$A$13:$A$22,0)),"⚠ categoria")))</f>
        <v>0.13</v>
      </c>
      <c r="G58" s="35"/>
      <c r="H58" s="36" t="n">
        <f aca="false">IF($A58="","",IF(ISNUMBER($G58),$G58,IF(ISNUMBER($F58),$F58,"")))</f>
        <v>0.13</v>
      </c>
      <c r="I58" s="37" t="n">
        <f aca="false">IF(OR($A58="",NOT(ISNUMBER($D58)),NOT(ISNUMBER($H58))),"",IF((1-$H58-Parâmetros!$B$6-Parâmetros!$C$6-Parâmetros!$D$6)&lt;=0,"INVALIDO",($D58+IF(ISNUMBER($E58),$E58,0)+IF(ISNUMBER(Parâmetros!$E$6),Parâmetros!$E$6,0))/(1-$H58-Parâmetros!$B$6-Parâmetros!$C$6-Parâmetros!$D$6)))</f>
        <v>667.87037037037</v>
      </c>
      <c r="J58" s="38"/>
      <c r="K58" s="39" t="n">
        <f aca="false">IF(OR($A58="",NOT(ISNUMBER($D58)),NOT(ISNUMBER($H58))),"",IF(AND(ISNUMBER($J58),$J58&gt;0),$J58,IF(ISNUMBER($I58),$I58,"")))</f>
        <v>667.87037037037</v>
      </c>
      <c r="L58" s="40" t="n">
        <f aca="false">IF(ISNUMBER($K58),$K58*$H58,"")</f>
        <v>86.8231481481482</v>
      </c>
      <c r="M58" s="40" t="n">
        <f aca="false">IF(ISNUMBER($K58),$K58*Parâmetros!$B$6,"")</f>
        <v>66.787037037037</v>
      </c>
      <c r="N58" s="40" t="n">
        <f aca="false">IF(ISNUMBER($K58),$K58*Parâmetros!$C$6,"")</f>
        <v>20.0361111111111</v>
      </c>
      <c r="O58" s="40" t="n">
        <f aca="false">IF(ISNUMBER($K58),IF(ISNUMBER(Parâmetros!$E$6),Parâmetros!$E$6,0),"")</f>
        <v>0</v>
      </c>
      <c r="P58" s="41" t="n">
        <f aca="false">IF(ISNUMBER($K58),$K58-$D58-IF(ISNUMBER($E58),$E58,0)-$L58-$M58-$N58-$O58,"")</f>
        <v>133.574074074074</v>
      </c>
      <c r="Q58" s="42" t="n">
        <f aca="false">IF(AND(ISNUMBER($K58),$K58&gt;0),$P58/$K58,"")</f>
        <v>0.2</v>
      </c>
      <c r="R58" s="43"/>
      <c r="S58" s="44" t="str">
        <f aca="false">IF(OR(NOT(ISNUMBER($R58)),$R58=0,NOT(ISNUMBER($K58))),"",$K58*(1-$R58))</f>
        <v/>
      </c>
      <c r="T58" s="45" t="str">
        <f aca="false">IF(ISNUMBER($S58),$S58*$H58,"")</f>
        <v/>
      </c>
      <c r="U58" s="45" t="str">
        <f aca="false">IF(ISNUMBER($S58),$S58*Parâmetros!$B$6,"")</f>
        <v/>
      </c>
      <c r="V58" s="45" t="str">
        <f aca="false">IF(ISNUMBER($S58),$S58*Parâmetros!$C$6,"")</f>
        <v/>
      </c>
      <c r="W58" s="44" t="str">
        <f aca="false">IF(ISNUMBER($S58),$S58-$D58-IF(ISNUMBER($E58),$E58,0)-$O58-$T58-$U58-$V58,"")</f>
        <v/>
      </c>
      <c r="X58" s="46" t="str">
        <f aca="false">IF(AND(ISNUMBER($S58),$S58&gt;0),$W58/$S58,"")</f>
        <v/>
      </c>
      <c r="Y58" s="47"/>
      <c r="Z58" s="19"/>
    </row>
    <row r="59" customFormat="false" ht="15.75" hidden="false" customHeight="true" outlineLevel="0" collapsed="false">
      <c r="A59" s="48" t="str">
        <f aca="false">IF(Produtos!$A59="","",Produtos!$A59)</f>
        <v>L4050-AML</v>
      </c>
      <c r="B59" s="48" t="str">
        <f aca="false">IF(Produtos!$A59="","",Produtos!$B59)</f>
        <v>Lixeira c/Aro Meia Lua 40x50 62L</v>
      </c>
      <c r="C59" s="48" t="str">
        <f aca="false">IF(Produtos!$A59="","",Produtos!$C59)</f>
        <v>Lixeiras em inox</v>
      </c>
      <c r="D59" s="33" t="n">
        <f aca="false">IF(Produtos!$A59="","",IF(Produtos!$D59="","",Produtos!$D59))</f>
        <v>305.35</v>
      </c>
      <c r="E59" s="11" t="n">
        <v>0</v>
      </c>
      <c r="F59" s="34" t="n">
        <f aca="false">IF($A59="","",IF($C59="","⚠ categoria",IFERROR(INDEX(Parâmetros!$D$13:$D$22,MATCH($C59,Parâmetros!$A$13:$A$22,0)),"⚠ categoria")))</f>
        <v>0.13</v>
      </c>
      <c r="G59" s="35"/>
      <c r="H59" s="36" t="n">
        <f aca="false">IF($A59="","",IF(ISNUMBER($G59),$G59,IF(ISNUMBER($F59),$F59,"")))</f>
        <v>0.13</v>
      </c>
      <c r="I59" s="37" t="n">
        <f aca="false">IF(OR($A59="",NOT(ISNUMBER($D59)),NOT(ISNUMBER($H59))),"",IF((1-$H59-Parâmetros!$B$6-Parâmetros!$C$6-Parâmetros!$D$6)&lt;=0,"INVALIDO",($D59+IF(ISNUMBER($E59),$E59,0)+IF(ISNUMBER(Parâmetros!$E$6),Parâmetros!$E$6,0))/(1-$H59-Parâmetros!$B$6-Parâmetros!$C$6-Parâmetros!$D$6)))</f>
        <v>565.462962962963</v>
      </c>
      <c r="J59" s="38"/>
      <c r="K59" s="39" t="n">
        <f aca="false">IF(OR($A59="",NOT(ISNUMBER($D59)),NOT(ISNUMBER($H59))),"",IF(AND(ISNUMBER($J59),$J59&gt;0),$J59,IF(ISNUMBER($I59),$I59,"")))</f>
        <v>565.462962962963</v>
      </c>
      <c r="L59" s="40" t="n">
        <f aca="false">IF(ISNUMBER($K59),$K59*$H59,"")</f>
        <v>73.5101851851852</v>
      </c>
      <c r="M59" s="40" t="n">
        <f aca="false">IF(ISNUMBER($K59),$K59*Parâmetros!$B$6,"")</f>
        <v>56.5462962962963</v>
      </c>
      <c r="N59" s="40" t="n">
        <f aca="false">IF(ISNUMBER($K59),$K59*Parâmetros!$C$6,"")</f>
        <v>16.9638888888889</v>
      </c>
      <c r="O59" s="40" t="n">
        <f aca="false">IF(ISNUMBER($K59),IF(ISNUMBER(Parâmetros!$E$6),Parâmetros!$E$6,0),"")</f>
        <v>0</v>
      </c>
      <c r="P59" s="41" t="n">
        <f aca="false">IF(ISNUMBER($K59),$K59-$D59-IF(ISNUMBER($E59),$E59,0)-$L59-$M59-$N59-$O59,"")</f>
        <v>113.092592592593</v>
      </c>
      <c r="Q59" s="42" t="n">
        <f aca="false">IF(AND(ISNUMBER($K59),$K59&gt;0),$P59/$K59,"")</f>
        <v>0.2</v>
      </c>
      <c r="R59" s="43"/>
      <c r="S59" s="44" t="str">
        <f aca="false">IF(OR(NOT(ISNUMBER($R59)),$R59=0,NOT(ISNUMBER($K59))),"",$K59*(1-$R59))</f>
        <v/>
      </c>
      <c r="T59" s="45" t="str">
        <f aca="false">IF(ISNUMBER($S59),$S59*$H59,"")</f>
        <v/>
      </c>
      <c r="U59" s="45" t="str">
        <f aca="false">IF(ISNUMBER($S59),$S59*Parâmetros!$B$6,"")</f>
        <v/>
      </c>
      <c r="V59" s="45" t="str">
        <f aca="false">IF(ISNUMBER($S59),$S59*Parâmetros!$C$6,"")</f>
        <v/>
      </c>
      <c r="W59" s="44" t="str">
        <f aca="false">IF(ISNUMBER($S59),$S59-$D59-IF(ISNUMBER($E59),$E59,0)-$O59-$T59-$U59-$V59,"")</f>
        <v/>
      </c>
      <c r="X59" s="46" t="str">
        <f aca="false">IF(AND(ISNUMBER($S59),$S59&gt;0),$W59/$S59,"")</f>
        <v/>
      </c>
      <c r="Y59" s="49"/>
      <c r="Z59" s="21"/>
    </row>
    <row r="60" customFormat="false" ht="15.75" hidden="false" customHeight="true" outlineLevel="0" collapsed="false">
      <c r="A60" s="32" t="str">
        <f aca="false">IF(Produtos!$A60="","",Produtos!$A60)</f>
        <v>L4060-AML</v>
      </c>
      <c r="B60" s="32" t="str">
        <f aca="false">IF(Produtos!$A60="","",Produtos!$B60)</f>
        <v>Lixeira c/Aro Meia Lua 40x60 75L</v>
      </c>
      <c r="C60" s="32" t="str">
        <f aca="false">IF(Produtos!$A60="","",Produtos!$C60)</f>
        <v>Lixeiras em inox</v>
      </c>
      <c r="D60" s="33" t="n">
        <f aca="false">IF(Produtos!$A60="","",IF(Produtos!$D60="","",Produtos!$D60))</f>
        <v>342.54</v>
      </c>
      <c r="E60" s="11" t="n">
        <v>0</v>
      </c>
      <c r="F60" s="34" t="n">
        <f aca="false">IF($A60="","",IF($C60="","⚠ categoria",IFERROR(INDEX(Parâmetros!$D$13:$D$22,MATCH($C60,Parâmetros!$A$13:$A$22,0)),"⚠ categoria")))</f>
        <v>0.13</v>
      </c>
      <c r="G60" s="35"/>
      <c r="H60" s="36" t="n">
        <f aca="false">IF($A60="","",IF(ISNUMBER($G60),$G60,IF(ISNUMBER($F60),$F60,"")))</f>
        <v>0.13</v>
      </c>
      <c r="I60" s="37" t="n">
        <f aca="false">IF(OR($A60="",NOT(ISNUMBER($D60)),NOT(ISNUMBER($H60))),"",IF((1-$H60-Parâmetros!$B$6-Parâmetros!$C$6-Parâmetros!$D$6)&lt;=0,"INVALIDO",($D60+IF(ISNUMBER($E60),$E60,0)+IF(ISNUMBER(Parâmetros!$E$6),Parâmetros!$E$6,0))/(1-$H60-Parâmetros!$B$6-Parâmetros!$C$6-Parâmetros!$D$6)))</f>
        <v>634.333333333333</v>
      </c>
      <c r="J60" s="38"/>
      <c r="K60" s="39" t="n">
        <f aca="false">IF(OR($A60="",NOT(ISNUMBER($D60)),NOT(ISNUMBER($H60))),"",IF(AND(ISNUMBER($J60),$J60&gt;0),$J60,IF(ISNUMBER($I60),$I60,"")))</f>
        <v>634.333333333333</v>
      </c>
      <c r="L60" s="40" t="n">
        <f aca="false">IF(ISNUMBER($K60),$K60*$H60,"")</f>
        <v>82.4633333333333</v>
      </c>
      <c r="M60" s="40" t="n">
        <f aca="false">IF(ISNUMBER($K60),$K60*Parâmetros!$B$6,"")</f>
        <v>63.4333333333333</v>
      </c>
      <c r="N60" s="40" t="n">
        <f aca="false">IF(ISNUMBER($K60),$K60*Parâmetros!$C$6,"")</f>
        <v>19.03</v>
      </c>
      <c r="O60" s="40" t="n">
        <f aca="false">IF(ISNUMBER($K60),IF(ISNUMBER(Parâmetros!$E$6),Parâmetros!$E$6,0),"")</f>
        <v>0</v>
      </c>
      <c r="P60" s="41" t="n">
        <f aca="false">IF(ISNUMBER($K60),$K60-$D60-IF(ISNUMBER($E60),$E60,0)-$L60-$M60-$N60-$O60,"")</f>
        <v>126.866666666667</v>
      </c>
      <c r="Q60" s="42" t="n">
        <f aca="false">IF(AND(ISNUMBER($K60),$K60&gt;0),$P60/$K60,"")</f>
        <v>0.2</v>
      </c>
      <c r="R60" s="43"/>
      <c r="S60" s="44" t="str">
        <f aca="false">IF(OR(NOT(ISNUMBER($R60)),$R60=0,NOT(ISNUMBER($K60))),"",$K60*(1-$R60))</f>
        <v/>
      </c>
      <c r="T60" s="45" t="str">
        <f aca="false">IF(ISNUMBER($S60),$S60*$H60,"")</f>
        <v/>
      </c>
      <c r="U60" s="45" t="str">
        <f aca="false">IF(ISNUMBER($S60),$S60*Parâmetros!$B$6,"")</f>
        <v/>
      </c>
      <c r="V60" s="45" t="str">
        <f aca="false">IF(ISNUMBER($S60),$S60*Parâmetros!$C$6,"")</f>
        <v/>
      </c>
      <c r="W60" s="44" t="str">
        <f aca="false">IF(ISNUMBER($S60),$S60-$D60-IF(ISNUMBER($E60),$E60,0)-$O60-$T60-$U60-$V60,"")</f>
        <v/>
      </c>
      <c r="X60" s="46" t="str">
        <f aca="false">IF(AND(ISNUMBER($S60),$S60&gt;0),$W60/$S60,"")</f>
        <v/>
      </c>
      <c r="Y60" s="47"/>
      <c r="Z60" s="19"/>
    </row>
    <row r="61" customFormat="false" ht="15.75" hidden="false" customHeight="true" outlineLevel="0" collapsed="false">
      <c r="A61" s="48" t="str">
        <f aca="false">IF(Produtos!$A61="","",Produtos!$A61)</f>
        <v>L4070-AML</v>
      </c>
      <c r="B61" s="48" t="str">
        <f aca="false">IF(Produtos!$A61="","",Produtos!$B61)</f>
        <v>Lixeira c/Aro Meia Lua 40x70 88L</v>
      </c>
      <c r="C61" s="48" t="str">
        <f aca="false">IF(Produtos!$A61="","",Produtos!$C61)</f>
        <v>Lixeiras em inox</v>
      </c>
      <c r="D61" s="33" t="n">
        <f aca="false">IF(Produtos!$A61="","",IF(Produtos!$D61="","",Produtos!$D61))</f>
        <v>348.66</v>
      </c>
      <c r="E61" s="11" t="n">
        <v>0</v>
      </c>
      <c r="F61" s="34" t="n">
        <f aca="false">IF($A61="","",IF($C61="","⚠ categoria",IFERROR(INDEX(Parâmetros!$D$13:$D$22,MATCH($C61,Parâmetros!$A$13:$A$22,0)),"⚠ categoria")))</f>
        <v>0.13</v>
      </c>
      <c r="G61" s="35"/>
      <c r="H61" s="36" t="n">
        <f aca="false">IF($A61="","",IF(ISNUMBER($G61),$G61,IF(ISNUMBER($F61),$F61,"")))</f>
        <v>0.13</v>
      </c>
      <c r="I61" s="37" t="n">
        <f aca="false">IF(OR($A61="",NOT(ISNUMBER($D61)),NOT(ISNUMBER($H61))),"",IF((1-$H61-Parâmetros!$B$6-Parâmetros!$C$6-Parâmetros!$D$6)&lt;=0,"INVALIDO",($D61+IF(ISNUMBER($E61),$E61,0)+IF(ISNUMBER(Parâmetros!$E$6),Parâmetros!$E$6,0))/(1-$H61-Parâmetros!$B$6-Parâmetros!$C$6-Parâmetros!$D$6)))</f>
        <v>645.666666666667</v>
      </c>
      <c r="J61" s="38"/>
      <c r="K61" s="39" t="n">
        <f aca="false">IF(OR($A61="",NOT(ISNUMBER($D61)),NOT(ISNUMBER($H61))),"",IF(AND(ISNUMBER($J61),$J61&gt;0),$J61,IF(ISNUMBER($I61),$I61,"")))</f>
        <v>645.666666666667</v>
      </c>
      <c r="L61" s="40" t="n">
        <f aca="false">IF(ISNUMBER($K61),$K61*$H61,"")</f>
        <v>83.9366666666667</v>
      </c>
      <c r="M61" s="40" t="n">
        <f aca="false">IF(ISNUMBER($K61),$K61*Parâmetros!$B$6,"")</f>
        <v>64.5666666666667</v>
      </c>
      <c r="N61" s="40" t="n">
        <f aca="false">IF(ISNUMBER($K61),$K61*Parâmetros!$C$6,"")</f>
        <v>19.37</v>
      </c>
      <c r="O61" s="40" t="n">
        <f aca="false">IF(ISNUMBER($K61),IF(ISNUMBER(Parâmetros!$E$6),Parâmetros!$E$6,0),"")</f>
        <v>0</v>
      </c>
      <c r="P61" s="41" t="n">
        <f aca="false">IF(ISNUMBER($K61),$K61-$D61-IF(ISNUMBER($E61),$E61,0)-$L61-$M61-$N61-$O61,"")</f>
        <v>129.133333333333</v>
      </c>
      <c r="Q61" s="42" t="n">
        <f aca="false">IF(AND(ISNUMBER($K61),$K61&gt;0),$P61/$K61,"")</f>
        <v>0.2</v>
      </c>
      <c r="R61" s="43"/>
      <c r="S61" s="44" t="str">
        <f aca="false">IF(OR(NOT(ISNUMBER($R61)),$R61=0,NOT(ISNUMBER($K61))),"",$K61*(1-$R61))</f>
        <v/>
      </c>
      <c r="T61" s="45" t="str">
        <f aca="false">IF(ISNUMBER($S61),$S61*$H61,"")</f>
        <v/>
      </c>
      <c r="U61" s="45" t="str">
        <f aca="false">IF(ISNUMBER($S61),$S61*Parâmetros!$B$6,"")</f>
        <v/>
      </c>
      <c r="V61" s="45" t="str">
        <f aca="false">IF(ISNUMBER($S61),$S61*Parâmetros!$C$6,"")</f>
        <v/>
      </c>
      <c r="W61" s="44" t="str">
        <f aca="false">IF(ISNUMBER($S61),$S61-$D61-IF(ISNUMBER($E61),$E61,0)-$O61-$T61-$U61-$V61,"")</f>
        <v/>
      </c>
      <c r="X61" s="46" t="str">
        <f aca="false">IF(AND(ISNUMBER($S61),$S61&gt;0),$W61/$S61,"")</f>
        <v/>
      </c>
      <c r="Y61" s="49"/>
      <c r="Z61" s="21"/>
    </row>
    <row r="62" customFormat="false" ht="15.75" hidden="false" customHeight="true" outlineLevel="0" collapsed="false">
      <c r="A62" s="32" t="str">
        <f aca="false">IF(Produtos!$A62="","",Produtos!$A62)</f>
        <v>L4075-AML</v>
      </c>
      <c r="B62" s="32" t="str">
        <f aca="false">IF(Produtos!$A62="","",Produtos!$B62)</f>
        <v>Lixeira c/Aro Meia Lua 40x75 95L</v>
      </c>
      <c r="C62" s="32" t="str">
        <f aca="false">IF(Produtos!$A62="","",Produtos!$C62)</f>
        <v>Lixeiras em inox</v>
      </c>
      <c r="D62" s="33" t="n">
        <f aca="false">IF(Produtos!$A62="","",IF(Produtos!$D62="","",Produtos!$D62))</f>
        <v>408.87</v>
      </c>
      <c r="E62" s="11" t="n">
        <v>0</v>
      </c>
      <c r="F62" s="34" t="n">
        <f aca="false">IF($A62="","",IF($C62="","⚠ categoria",IFERROR(INDEX(Parâmetros!$D$13:$D$22,MATCH($C62,Parâmetros!$A$13:$A$22,0)),"⚠ categoria")))</f>
        <v>0.13</v>
      </c>
      <c r="G62" s="35"/>
      <c r="H62" s="36" t="n">
        <f aca="false">IF($A62="","",IF(ISNUMBER($G62),$G62,IF(ISNUMBER($F62),$F62,"")))</f>
        <v>0.13</v>
      </c>
      <c r="I62" s="37" t="n">
        <f aca="false">IF(OR($A62="",NOT(ISNUMBER($D62)),NOT(ISNUMBER($H62))),"",IF((1-$H62-Parâmetros!$B$6-Parâmetros!$C$6-Parâmetros!$D$6)&lt;=0,"INVALIDO",($D62+IF(ISNUMBER($E62),$E62,0)+IF(ISNUMBER(Parâmetros!$E$6),Parâmetros!$E$6,0))/(1-$H62-Parâmetros!$B$6-Parâmetros!$C$6-Parâmetros!$D$6)))</f>
        <v>757.166666666667</v>
      </c>
      <c r="J62" s="38"/>
      <c r="K62" s="39" t="n">
        <f aca="false">IF(OR($A62="",NOT(ISNUMBER($D62)),NOT(ISNUMBER($H62))),"",IF(AND(ISNUMBER($J62),$J62&gt;0),$J62,IF(ISNUMBER($I62),$I62,"")))</f>
        <v>757.166666666667</v>
      </c>
      <c r="L62" s="40" t="n">
        <f aca="false">IF(ISNUMBER($K62),$K62*$H62,"")</f>
        <v>98.4316666666667</v>
      </c>
      <c r="M62" s="40" t="n">
        <f aca="false">IF(ISNUMBER($K62),$K62*Parâmetros!$B$6,"")</f>
        <v>75.7166666666667</v>
      </c>
      <c r="N62" s="40" t="n">
        <f aca="false">IF(ISNUMBER($K62),$K62*Parâmetros!$C$6,"")</f>
        <v>22.715</v>
      </c>
      <c r="O62" s="40" t="n">
        <f aca="false">IF(ISNUMBER($K62),IF(ISNUMBER(Parâmetros!$E$6),Parâmetros!$E$6,0),"")</f>
        <v>0</v>
      </c>
      <c r="P62" s="41" t="n">
        <f aca="false">IF(ISNUMBER($K62),$K62-$D62-IF(ISNUMBER($E62),$E62,0)-$L62-$M62-$N62-$O62,"")</f>
        <v>151.433333333333</v>
      </c>
      <c r="Q62" s="42" t="n">
        <f aca="false">IF(AND(ISNUMBER($K62),$K62&gt;0),$P62/$K62,"")</f>
        <v>0.2</v>
      </c>
      <c r="R62" s="43"/>
      <c r="S62" s="44" t="str">
        <f aca="false">IF(OR(NOT(ISNUMBER($R62)),$R62=0,NOT(ISNUMBER($K62))),"",$K62*(1-$R62))</f>
        <v/>
      </c>
      <c r="T62" s="45" t="str">
        <f aca="false">IF(ISNUMBER($S62),$S62*$H62,"")</f>
        <v/>
      </c>
      <c r="U62" s="45" t="str">
        <f aca="false">IF(ISNUMBER($S62),$S62*Parâmetros!$B$6,"")</f>
        <v/>
      </c>
      <c r="V62" s="45" t="str">
        <f aca="false">IF(ISNUMBER($S62),$S62*Parâmetros!$C$6,"")</f>
        <v/>
      </c>
      <c r="W62" s="44" t="str">
        <f aca="false">IF(ISNUMBER($S62),$S62-$D62-IF(ISNUMBER($E62),$E62,0)-$O62-$T62-$U62-$V62,"")</f>
        <v/>
      </c>
      <c r="X62" s="46" t="str">
        <f aca="false">IF(AND(ISNUMBER($S62),$S62&gt;0),$W62/$S62,"")</f>
        <v/>
      </c>
      <c r="Y62" s="47"/>
      <c r="Z62" s="19"/>
    </row>
    <row r="63" customFormat="false" ht="15.75" hidden="false" customHeight="true" outlineLevel="0" collapsed="false">
      <c r="A63" s="48" t="str">
        <f aca="false">IF(Produtos!$A63="","",Produtos!$A63)</f>
        <v>L4080-AML</v>
      </c>
      <c r="B63" s="48" t="str">
        <f aca="false">IF(Produtos!$A63="","",Produtos!$B63)</f>
        <v>Lixeira c/Aro Meia Lua 40x80 100L</v>
      </c>
      <c r="C63" s="48" t="str">
        <f aca="false">IF(Produtos!$A63="","",Produtos!$C63)</f>
        <v>Lixeiras em inox</v>
      </c>
      <c r="D63" s="33" t="n">
        <f aca="false">IF(Produtos!$A63="","",IF(Produtos!$D63="","",Produtos!$D63))</f>
        <v>411.4</v>
      </c>
      <c r="E63" s="11" t="n">
        <v>0</v>
      </c>
      <c r="F63" s="34" t="n">
        <f aca="false">IF($A63="","",IF($C63="","⚠ categoria",IFERROR(INDEX(Parâmetros!$D$13:$D$22,MATCH($C63,Parâmetros!$A$13:$A$22,0)),"⚠ categoria")))</f>
        <v>0.13</v>
      </c>
      <c r="G63" s="35"/>
      <c r="H63" s="36" t="n">
        <f aca="false">IF($A63="","",IF(ISNUMBER($G63),$G63,IF(ISNUMBER($F63),$F63,"")))</f>
        <v>0.13</v>
      </c>
      <c r="I63" s="37" t="n">
        <f aca="false">IF(OR($A63="",NOT(ISNUMBER($D63)),NOT(ISNUMBER($H63))),"",IF((1-$H63-Parâmetros!$B$6-Parâmetros!$C$6-Parâmetros!$D$6)&lt;=0,"INVALIDO",($D63+IF(ISNUMBER($E63),$E63,0)+IF(ISNUMBER(Parâmetros!$E$6),Parâmetros!$E$6,0))/(1-$H63-Parâmetros!$B$6-Parâmetros!$C$6-Parâmetros!$D$6)))</f>
        <v>761.851851851852</v>
      </c>
      <c r="J63" s="38"/>
      <c r="K63" s="39" t="n">
        <f aca="false">IF(OR($A63="",NOT(ISNUMBER($D63)),NOT(ISNUMBER($H63))),"",IF(AND(ISNUMBER($J63),$J63&gt;0),$J63,IF(ISNUMBER($I63),$I63,"")))</f>
        <v>761.851851851852</v>
      </c>
      <c r="L63" s="40" t="n">
        <f aca="false">IF(ISNUMBER($K63),$K63*$H63,"")</f>
        <v>99.0407407407407</v>
      </c>
      <c r="M63" s="40" t="n">
        <f aca="false">IF(ISNUMBER($K63),$K63*Parâmetros!$B$6,"")</f>
        <v>76.1851851851852</v>
      </c>
      <c r="N63" s="40" t="n">
        <f aca="false">IF(ISNUMBER($K63),$K63*Parâmetros!$C$6,"")</f>
        <v>22.8555555555556</v>
      </c>
      <c r="O63" s="40" t="n">
        <f aca="false">IF(ISNUMBER($K63),IF(ISNUMBER(Parâmetros!$E$6),Parâmetros!$E$6,0),"")</f>
        <v>0</v>
      </c>
      <c r="P63" s="41" t="n">
        <f aca="false">IF(ISNUMBER($K63),$K63-$D63-IF(ISNUMBER($E63),$E63,0)-$L63-$M63-$N63-$O63,"")</f>
        <v>152.37037037037</v>
      </c>
      <c r="Q63" s="42" t="n">
        <f aca="false">IF(AND(ISNUMBER($K63),$K63&gt;0),$P63/$K63,"")</f>
        <v>0.2</v>
      </c>
      <c r="R63" s="43"/>
      <c r="S63" s="44" t="str">
        <f aca="false">IF(OR(NOT(ISNUMBER($R63)),$R63=0,NOT(ISNUMBER($K63))),"",$K63*(1-$R63))</f>
        <v/>
      </c>
      <c r="T63" s="45" t="str">
        <f aca="false">IF(ISNUMBER($S63),$S63*$H63,"")</f>
        <v/>
      </c>
      <c r="U63" s="45" t="str">
        <f aca="false">IF(ISNUMBER($S63),$S63*Parâmetros!$B$6,"")</f>
        <v/>
      </c>
      <c r="V63" s="45" t="str">
        <f aca="false">IF(ISNUMBER($S63),$S63*Parâmetros!$C$6,"")</f>
        <v/>
      </c>
      <c r="W63" s="44" t="str">
        <f aca="false">IF(ISNUMBER($S63),$S63-$D63-IF(ISNUMBER($E63),$E63,0)-$O63-$T63-$U63-$V63,"")</f>
        <v/>
      </c>
      <c r="X63" s="46" t="str">
        <f aca="false">IF(AND(ISNUMBER($S63),$S63&gt;0),$W63/$S63,"")</f>
        <v/>
      </c>
      <c r="Y63" s="49"/>
      <c r="Z63" s="21"/>
    </row>
    <row r="64" customFormat="false" ht="15.75" hidden="false" customHeight="true" outlineLevel="0" collapsed="false">
      <c r="A64" s="32" t="str">
        <f aca="false">IF(Produtos!$A64="","",Produtos!$A64)</f>
        <v>L4090-AML</v>
      </c>
      <c r="B64" s="32" t="str">
        <f aca="false">IF(Produtos!$A64="","",Produtos!$B64)</f>
        <v>Lixeira c/Aro Meia Lua 40x90 120L</v>
      </c>
      <c r="C64" s="32" t="str">
        <f aca="false">IF(Produtos!$A64="","",Produtos!$C64)</f>
        <v>Lixeiras em inox</v>
      </c>
      <c r="D64" s="33" t="n">
        <f aca="false">IF(Produtos!$A64="","",IF(Produtos!$D64="","",Produtos!$D64))</f>
        <v>442.44</v>
      </c>
      <c r="E64" s="11" t="n">
        <v>0</v>
      </c>
      <c r="F64" s="34" t="n">
        <f aca="false">IF($A64="","",IF($C64="","⚠ categoria",IFERROR(INDEX(Parâmetros!$D$13:$D$22,MATCH($C64,Parâmetros!$A$13:$A$22,0)),"⚠ categoria")))</f>
        <v>0.13</v>
      </c>
      <c r="G64" s="35"/>
      <c r="H64" s="36" t="n">
        <f aca="false">IF($A64="","",IF(ISNUMBER($G64),$G64,IF(ISNUMBER($F64),$F64,"")))</f>
        <v>0.13</v>
      </c>
      <c r="I64" s="37" t="n">
        <f aca="false">IF(OR($A64="",NOT(ISNUMBER($D64)),NOT(ISNUMBER($H64))),"",IF((1-$H64-Parâmetros!$B$6-Parâmetros!$C$6-Parâmetros!$D$6)&lt;=0,"INVALIDO",($D64+IF(ISNUMBER($E64),$E64,0)+IF(ISNUMBER(Parâmetros!$E$6),Parâmetros!$E$6,0))/(1-$H64-Parâmetros!$B$6-Parâmetros!$C$6-Parâmetros!$D$6)))</f>
        <v>819.333333333333</v>
      </c>
      <c r="J64" s="38"/>
      <c r="K64" s="39" t="n">
        <f aca="false">IF(OR($A64="",NOT(ISNUMBER($D64)),NOT(ISNUMBER($H64))),"",IF(AND(ISNUMBER($J64),$J64&gt;0),$J64,IF(ISNUMBER($I64),$I64,"")))</f>
        <v>819.333333333333</v>
      </c>
      <c r="L64" s="40" t="n">
        <f aca="false">IF(ISNUMBER($K64),$K64*$H64,"")</f>
        <v>106.513333333333</v>
      </c>
      <c r="M64" s="40" t="n">
        <f aca="false">IF(ISNUMBER($K64),$K64*Parâmetros!$B$6,"")</f>
        <v>81.9333333333333</v>
      </c>
      <c r="N64" s="40" t="n">
        <f aca="false">IF(ISNUMBER($K64),$K64*Parâmetros!$C$6,"")</f>
        <v>24.58</v>
      </c>
      <c r="O64" s="40" t="n">
        <f aca="false">IF(ISNUMBER($K64),IF(ISNUMBER(Parâmetros!$E$6),Parâmetros!$E$6,0),"")</f>
        <v>0</v>
      </c>
      <c r="P64" s="41" t="n">
        <f aca="false">IF(ISNUMBER($K64),$K64-$D64-IF(ISNUMBER($E64),$E64,0)-$L64-$M64-$N64-$O64,"")</f>
        <v>163.866666666667</v>
      </c>
      <c r="Q64" s="42" t="n">
        <f aca="false">IF(AND(ISNUMBER($K64),$K64&gt;0),$P64/$K64,"")</f>
        <v>0.2</v>
      </c>
      <c r="R64" s="43"/>
      <c r="S64" s="44" t="str">
        <f aca="false">IF(OR(NOT(ISNUMBER($R64)),$R64=0,NOT(ISNUMBER($K64))),"",$K64*(1-$R64))</f>
        <v/>
      </c>
      <c r="T64" s="45" t="str">
        <f aca="false">IF(ISNUMBER($S64),$S64*$H64,"")</f>
        <v/>
      </c>
      <c r="U64" s="45" t="str">
        <f aca="false">IF(ISNUMBER($S64),$S64*Parâmetros!$B$6,"")</f>
        <v/>
      </c>
      <c r="V64" s="45" t="str">
        <f aca="false">IF(ISNUMBER($S64),$S64*Parâmetros!$C$6,"")</f>
        <v/>
      </c>
      <c r="W64" s="44" t="str">
        <f aca="false">IF(ISNUMBER($S64),$S64-$D64-IF(ISNUMBER($E64),$E64,0)-$O64-$T64-$U64-$V64,"")</f>
        <v/>
      </c>
      <c r="X64" s="46" t="str">
        <f aca="false">IF(AND(ISNUMBER($S64),$S64&gt;0),$W64/$S64,"")</f>
        <v/>
      </c>
      <c r="Y64" s="47"/>
      <c r="Z64" s="19"/>
    </row>
    <row r="65" customFormat="false" ht="15.75" hidden="false" customHeight="true" outlineLevel="0" collapsed="false">
      <c r="A65" s="48" t="str">
        <f aca="false">IF(Produtos!$A65="","",Produtos!$A65)</f>
        <v>L1618-B</v>
      </c>
      <c r="B65" s="48" t="str">
        <f aca="false">IF(Produtos!$A65="","",Produtos!$B65)</f>
        <v>Lixeira c/Aro Basculante 16x18 03L</v>
      </c>
      <c r="C65" s="48" t="str">
        <f aca="false">IF(Produtos!$A65="","",Produtos!$C65)</f>
        <v>Lixeiras em inox</v>
      </c>
      <c r="D65" s="33" t="n">
        <f aca="false">IF(Produtos!$A65="","",IF(Produtos!$D65="","",Produtos!$D65))</f>
        <v>60.62</v>
      </c>
      <c r="E65" s="11" t="n">
        <v>0</v>
      </c>
      <c r="F65" s="34" t="n">
        <f aca="false">IF($A65="","",IF($C65="","⚠ categoria",IFERROR(INDEX(Parâmetros!$D$13:$D$22,MATCH($C65,Parâmetros!$A$13:$A$22,0)),"⚠ categoria")))</f>
        <v>0.13</v>
      </c>
      <c r="G65" s="35"/>
      <c r="H65" s="36" t="n">
        <f aca="false">IF($A65="","",IF(ISNUMBER($G65),$G65,IF(ISNUMBER($F65),$F65,"")))</f>
        <v>0.13</v>
      </c>
      <c r="I65" s="37" t="n">
        <f aca="false">IF(OR($A65="",NOT(ISNUMBER($D65)),NOT(ISNUMBER($H65))),"",IF((1-$H65-Parâmetros!$B$6-Parâmetros!$C$6-Parâmetros!$D$6)&lt;=0,"INVALIDO",($D65+IF(ISNUMBER($E65),$E65,0)+IF(ISNUMBER(Parâmetros!$E$6),Parâmetros!$E$6,0))/(1-$H65-Parâmetros!$B$6-Parâmetros!$C$6-Parâmetros!$D$6)))</f>
        <v>112.259259259259</v>
      </c>
      <c r="J65" s="38" t="n">
        <v>129.9</v>
      </c>
      <c r="K65" s="39" t="n">
        <f aca="false">IF(OR($A65="",NOT(ISNUMBER($D65)),NOT(ISNUMBER($H65))),"",IF(AND(ISNUMBER($J65),$J65&gt;0),$J65,IF(ISNUMBER($I65),$I65,"")))</f>
        <v>129.9</v>
      </c>
      <c r="L65" s="40" t="n">
        <f aca="false">IF(ISNUMBER($K65),$K65*$H65,"")</f>
        <v>16.887</v>
      </c>
      <c r="M65" s="40" t="n">
        <f aca="false">IF(ISNUMBER($K65),$K65*Parâmetros!$B$6,"")</f>
        <v>12.99</v>
      </c>
      <c r="N65" s="40" t="n">
        <f aca="false">IF(ISNUMBER($K65),$K65*Parâmetros!$C$6,"")</f>
        <v>3.897</v>
      </c>
      <c r="O65" s="40" t="n">
        <f aca="false">IF(ISNUMBER($K65),IF(ISNUMBER(Parâmetros!$E$6),Parâmetros!$E$6,0),"")</f>
        <v>0</v>
      </c>
      <c r="P65" s="41" t="n">
        <f aca="false">IF(ISNUMBER($K65),$K65-$D65-IF(ISNUMBER($E65),$E65,0)-$L65-$M65-$N65-$O65,"")</f>
        <v>35.506</v>
      </c>
      <c r="Q65" s="42" t="n">
        <f aca="false">IF(AND(ISNUMBER($K65),$K65&gt;0),$P65/$K65,"")</f>
        <v>0.273333333333333</v>
      </c>
      <c r="R65" s="43"/>
      <c r="S65" s="44" t="str">
        <f aca="false">IF(OR(NOT(ISNUMBER($R65)),$R65=0,NOT(ISNUMBER($K65))),"",$K65*(1-$R65))</f>
        <v/>
      </c>
      <c r="T65" s="45" t="str">
        <f aca="false">IF(ISNUMBER($S65),$S65*$H65,"")</f>
        <v/>
      </c>
      <c r="U65" s="45" t="str">
        <f aca="false">IF(ISNUMBER($S65),$S65*Parâmetros!$B$6,"")</f>
        <v/>
      </c>
      <c r="V65" s="45" t="str">
        <f aca="false">IF(ISNUMBER($S65),$S65*Parâmetros!$C$6,"")</f>
        <v/>
      </c>
      <c r="W65" s="44" t="str">
        <f aca="false">IF(ISNUMBER($S65),$S65-$D65-IF(ISNUMBER($E65),$E65,0)-$O65-$T65-$U65-$V65,"")</f>
        <v/>
      </c>
      <c r="X65" s="46" t="str">
        <f aca="false">IF(AND(ISNUMBER($S65),$S65&gt;0),$W65/$S65,"")</f>
        <v/>
      </c>
      <c r="Y65" s="49" t="s">
        <v>737</v>
      </c>
      <c r="Z65" s="21" t="s">
        <v>747</v>
      </c>
    </row>
    <row r="66" customFormat="false" ht="15.75" hidden="false" customHeight="true" outlineLevel="0" collapsed="false">
      <c r="A66" s="32" t="str">
        <f aca="false">IF(Produtos!$A66="","",Produtos!$A66)</f>
        <v>L1623-B</v>
      </c>
      <c r="B66" s="32" t="str">
        <f aca="false">IF(Produtos!$A66="","",Produtos!$B66)</f>
        <v>Lixeira c/Aro Basculante 16x23 05L</v>
      </c>
      <c r="C66" s="32" t="str">
        <f aca="false">IF(Produtos!$A66="","",Produtos!$C66)</f>
        <v>Lixeiras em inox</v>
      </c>
      <c r="D66" s="33" t="n">
        <f aca="false">IF(Produtos!$A66="","",IF(Produtos!$D66="","",Produtos!$D66))</f>
        <v>65.95</v>
      </c>
      <c r="E66" s="11" t="n">
        <v>0</v>
      </c>
      <c r="F66" s="34" t="n">
        <f aca="false">IF($A66="","",IF($C66="","⚠ categoria",IFERROR(INDEX(Parâmetros!$D$13:$D$22,MATCH($C66,Parâmetros!$A$13:$A$22,0)),"⚠ categoria")))</f>
        <v>0.13</v>
      </c>
      <c r="G66" s="35"/>
      <c r="H66" s="36" t="n">
        <f aca="false">IF($A66="","",IF(ISNUMBER($G66),$G66,IF(ISNUMBER($F66),$F66,"")))</f>
        <v>0.13</v>
      </c>
      <c r="I66" s="37" t="n">
        <f aca="false">IF(OR($A66="",NOT(ISNUMBER($D66)),NOT(ISNUMBER($H66))),"",IF((1-$H66-Parâmetros!$B$6-Parâmetros!$C$6-Parâmetros!$D$6)&lt;=0,"INVALIDO",($D66+IF(ISNUMBER($E66),$E66,0)+IF(ISNUMBER(Parâmetros!$E$6),Parâmetros!$E$6,0))/(1-$H66-Parâmetros!$B$6-Parâmetros!$C$6-Parâmetros!$D$6)))</f>
        <v>122.12962962963</v>
      </c>
      <c r="J66" s="38" t="n">
        <v>137.9</v>
      </c>
      <c r="K66" s="39" t="n">
        <f aca="false">IF(OR($A66="",NOT(ISNUMBER($D66)),NOT(ISNUMBER($H66))),"",IF(AND(ISNUMBER($J66),$J66&gt;0),$J66,IF(ISNUMBER($I66),$I66,"")))</f>
        <v>137.9</v>
      </c>
      <c r="L66" s="40" t="n">
        <f aca="false">IF(ISNUMBER($K66),$K66*$H66,"")</f>
        <v>17.927</v>
      </c>
      <c r="M66" s="40" t="n">
        <f aca="false">IF(ISNUMBER($K66),$K66*Parâmetros!$B$6,"")</f>
        <v>13.79</v>
      </c>
      <c r="N66" s="40" t="n">
        <f aca="false">IF(ISNUMBER($K66),$K66*Parâmetros!$C$6,"")</f>
        <v>4.137</v>
      </c>
      <c r="O66" s="40" t="n">
        <f aca="false">IF(ISNUMBER($K66),IF(ISNUMBER(Parâmetros!$E$6),Parâmetros!$E$6,0),"")</f>
        <v>0</v>
      </c>
      <c r="P66" s="41" t="n">
        <f aca="false">IF(ISNUMBER($K66),$K66-$D66-IF(ISNUMBER($E66),$E66,0)-$L66-$M66-$N66-$O66,"")</f>
        <v>36.096</v>
      </c>
      <c r="Q66" s="42" t="n">
        <f aca="false">IF(AND(ISNUMBER($K66),$K66&gt;0),$P66/$K66,"")</f>
        <v>0.261754894851342</v>
      </c>
      <c r="R66" s="43"/>
      <c r="S66" s="44" t="str">
        <f aca="false">IF(OR(NOT(ISNUMBER($R66)),$R66=0,NOT(ISNUMBER($K66))),"",$K66*(1-$R66))</f>
        <v/>
      </c>
      <c r="T66" s="45" t="str">
        <f aca="false">IF(ISNUMBER($S66),$S66*$H66,"")</f>
        <v/>
      </c>
      <c r="U66" s="45" t="str">
        <f aca="false">IF(ISNUMBER($S66),$S66*Parâmetros!$B$6,"")</f>
        <v/>
      </c>
      <c r="V66" s="45" t="str">
        <f aca="false">IF(ISNUMBER($S66),$S66*Parâmetros!$C$6,"")</f>
        <v/>
      </c>
      <c r="W66" s="44" t="str">
        <f aca="false">IF(ISNUMBER($S66),$S66-$D66-IF(ISNUMBER($E66),$E66,0)-$O66-$T66-$U66-$V66,"")</f>
        <v/>
      </c>
      <c r="X66" s="46" t="str">
        <f aca="false">IF(AND(ISNUMBER($S66),$S66&gt;0),$W66/$S66,"")</f>
        <v/>
      </c>
      <c r="Y66" s="47" t="s">
        <v>737</v>
      </c>
      <c r="Z66" s="19" t="s">
        <v>747</v>
      </c>
    </row>
    <row r="67" customFormat="false" ht="15.75" hidden="false" customHeight="true" outlineLevel="0" collapsed="false">
      <c r="A67" s="48" t="str">
        <f aca="false">IF(Produtos!$A67="","",Produtos!$A67)</f>
        <v>L2025-B</v>
      </c>
      <c r="B67" s="48" t="str">
        <f aca="false">IF(Produtos!$A67="","",Produtos!$B67)</f>
        <v>Lixeira c/Aro Basculante 20x25 07L</v>
      </c>
      <c r="C67" s="48" t="str">
        <f aca="false">IF(Produtos!$A67="","",Produtos!$C67)</f>
        <v>Lixeiras em inox</v>
      </c>
      <c r="D67" s="33" t="n">
        <f aca="false">IF(Produtos!$A67="","",IF(Produtos!$D67="","",Produtos!$D67))</f>
        <v>69.52</v>
      </c>
      <c r="E67" s="11" t="n">
        <v>0</v>
      </c>
      <c r="F67" s="34" t="n">
        <f aca="false">IF($A67="","",IF($C67="","⚠ categoria",IFERROR(INDEX(Parâmetros!$D$13:$D$22,MATCH($C67,Parâmetros!$A$13:$A$22,0)),"⚠ categoria")))</f>
        <v>0.13</v>
      </c>
      <c r="G67" s="35"/>
      <c r="H67" s="36" t="n">
        <f aca="false">IF($A67="","",IF(ISNUMBER($G67),$G67,IF(ISNUMBER($F67),$F67,"")))</f>
        <v>0.13</v>
      </c>
      <c r="I67" s="37" t="n">
        <f aca="false">IF(OR($A67="",NOT(ISNUMBER($D67)),NOT(ISNUMBER($H67))),"",IF((1-$H67-Parâmetros!$B$6-Parâmetros!$C$6-Parâmetros!$D$6)&lt;=0,"INVALIDO",($D67+IF(ISNUMBER($E67),$E67,0)+IF(ISNUMBER(Parâmetros!$E$6),Parâmetros!$E$6,0))/(1-$H67-Parâmetros!$B$6-Parâmetros!$C$6-Parâmetros!$D$6)))</f>
        <v>128.740740740741</v>
      </c>
      <c r="J67" s="38" t="n">
        <v>139.9</v>
      </c>
      <c r="K67" s="39" t="n">
        <f aca="false">IF(OR($A67="",NOT(ISNUMBER($D67)),NOT(ISNUMBER($H67))),"",IF(AND(ISNUMBER($J67),$J67&gt;0),$J67,IF(ISNUMBER($I67),$I67,"")))</f>
        <v>139.9</v>
      </c>
      <c r="L67" s="40" t="n">
        <f aca="false">IF(ISNUMBER($K67),$K67*$H67,"")</f>
        <v>18.187</v>
      </c>
      <c r="M67" s="40" t="n">
        <f aca="false">IF(ISNUMBER($K67),$K67*Parâmetros!$B$6,"")</f>
        <v>13.99</v>
      </c>
      <c r="N67" s="40" t="n">
        <f aca="false">IF(ISNUMBER($K67),$K67*Parâmetros!$C$6,"")</f>
        <v>4.197</v>
      </c>
      <c r="O67" s="40" t="n">
        <f aca="false">IF(ISNUMBER($K67),IF(ISNUMBER(Parâmetros!$E$6),Parâmetros!$E$6,0),"")</f>
        <v>0</v>
      </c>
      <c r="P67" s="41" t="n">
        <f aca="false">IF(ISNUMBER($K67),$K67-$D67-IF(ISNUMBER($E67),$E67,0)-$L67-$M67-$N67-$O67,"")</f>
        <v>34.006</v>
      </c>
      <c r="Q67" s="42" t="n">
        <f aca="false">IF(AND(ISNUMBER($K67),$K67&gt;0),$P67/$K67,"")</f>
        <v>0.243073624017155</v>
      </c>
      <c r="R67" s="43"/>
      <c r="S67" s="44" t="str">
        <f aca="false">IF(OR(NOT(ISNUMBER($R67)),$R67=0,NOT(ISNUMBER($K67))),"",$K67*(1-$R67))</f>
        <v/>
      </c>
      <c r="T67" s="45" t="str">
        <f aca="false">IF(ISNUMBER($S67),$S67*$H67,"")</f>
        <v/>
      </c>
      <c r="U67" s="45" t="str">
        <f aca="false">IF(ISNUMBER($S67),$S67*Parâmetros!$B$6,"")</f>
        <v/>
      </c>
      <c r="V67" s="45" t="str">
        <f aca="false">IF(ISNUMBER($S67),$S67*Parâmetros!$C$6,"")</f>
        <v/>
      </c>
      <c r="W67" s="44" t="str">
        <f aca="false">IF(ISNUMBER($S67),$S67-$D67-IF(ISNUMBER($E67),$E67,0)-$O67-$T67-$U67-$V67,"")</f>
        <v/>
      </c>
      <c r="X67" s="46" t="str">
        <f aca="false">IF(AND(ISNUMBER($S67),$S67&gt;0),$W67/$S67,"")</f>
        <v/>
      </c>
      <c r="Y67" s="49" t="s">
        <v>737</v>
      </c>
      <c r="Z67" s="21" t="s">
        <v>747</v>
      </c>
    </row>
    <row r="68" customFormat="false" ht="15.75" hidden="false" customHeight="true" outlineLevel="0" collapsed="false">
      <c r="A68" s="32" t="str">
        <f aca="false">IF(Produtos!$A68="","",Produtos!$A68)</f>
        <v>L2030-B</v>
      </c>
      <c r="B68" s="32" t="str">
        <f aca="false">IF(Produtos!$A68="","",Produtos!$B68)</f>
        <v>Lixeira c/Aro Basculante 20x30 10L</v>
      </c>
      <c r="C68" s="32" t="str">
        <f aca="false">IF(Produtos!$A68="","",Produtos!$C68)</f>
        <v>Lixeiras em inox</v>
      </c>
      <c r="D68" s="33" t="n">
        <f aca="false">IF(Produtos!$A68="","",IF(Produtos!$D68="","",Produtos!$D68))</f>
        <v>75.68</v>
      </c>
      <c r="E68" s="11" t="n">
        <v>0</v>
      </c>
      <c r="F68" s="34" t="n">
        <f aca="false">IF($A68="","",IF($C68="","⚠ categoria",IFERROR(INDEX(Parâmetros!$D$13:$D$22,MATCH($C68,Parâmetros!$A$13:$A$22,0)),"⚠ categoria")))</f>
        <v>0.13</v>
      </c>
      <c r="G68" s="35"/>
      <c r="H68" s="36" t="n">
        <f aca="false">IF($A68="","",IF(ISNUMBER($G68),$G68,IF(ISNUMBER($F68),$F68,"")))</f>
        <v>0.13</v>
      </c>
      <c r="I68" s="37" t="n">
        <f aca="false">IF(OR($A68="",NOT(ISNUMBER($D68)),NOT(ISNUMBER($H68))),"",IF((1-$H68-Parâmetros!$B$6-Parâmetros!$C$6-Parâmetros!$D$6)&lt;=0,"INVALIDO",($D68+IF(ISNUMBER($E68),$E68,0)+IF(ISNUMBER(Parâmetros!$E$6),Parâmetros!$E$6,0))/(1-$H68-Parâmetros!$B$6-Parâmetros!$C$6-Parâmetros!$D$6)))</f>
        <v>140.148148148148</v>
      </c>
      <c r="J68" s="38" t="n">
        <v>153.72</v>
      </c>
      <c r="K68" s="39" t="n">
        <f aca="false">IF(OR($A68="",NOT(ISNUMBER($D68)),NOT(ISNUMBER($H68))),"",IF(AND(ISNUMBER($J68),$J68&gt;0),$J68,IF(ISNUMBER($I68),$I68,"")))</f>
        <v>153.72</v>
      </c>
      <c r="L68" s="40" t="n">
        <f aca="false">IF(ISNUMBER($K68),$K68*$H68,"")</f>
        <v>19.9836</v>
      </c>
      <c r="M68" s="40" t="n">
        <f aca="false">IF(ISNUMBER($K68),$K68*Parâmetros!$B$6,"")</f>
        <v>15.372</v>
      </c>
      <c r="N68" s="40" t="n">
        <f aca="false">IF(ISNUMBER($K68),$K68*Parâmetros!$C$6,"")</f>
        <v>4.6116</v>
      </c>
      <c r="O68" s="40" t="n">
        <f aca="false">IF(ISNUMBER($K68),IF(ISNUMBER(Parâmetros!$E$6),Parâmetros!$E$6,0),"")</f>
        <v>0</v>
      </c>
      <c r="P68" s="41" t="n">
        <f aca="false">IF(ISNUMBER($K68),$K68-$D68-IF(ISNUMBER($E68),$E68,0)-$L68-$M68-$N68-$O68,"")</f>
        <v>38.0728</v>
      </c>
      <c r="Q68" s="42" t="n">
        <f aca="false">IF(AND(ISNUMBER($K68),$K68&gt;0),$P68/$K68,"")</f>
        <v>0.24767629456154</v>
      </c>
      <c r="R68" s="43"/>
      <c r="S68" s="44" t="str">
        <f aca="false">IF(OR(NOT(ISNUMBER($R68)),$R68=0,NOT(ISNUMBER($K68))),"",$K68*(1-$R68))</f>
        <v/>
      </c>
      <c r="T68" s="45" t="str">
        <f aca="false">IF(ISNUMBER($S68),$S68*$H68,"")</f>
        <v/>
      </c>
      <c r="U68" s="45" t="str">
        <f aca="false">IF(ISNUMBER($S68),$S68*Parâmetros!$B$6,"")</f>
        <v/>
      </c>
      <c r="V68" s="45" t="str">
        <f aca="false">IF(ISNUMBER($S68),$S68*Parâmetros!$C$6,"")</f>
        <v/>
      </c>
      <c r="W68" s="44" t="str">
        <f aca="false">IF(ISNUMBER($S68),$S68-$D68-IF(ISNUMBER($E68),$E68,0)-$O68-$T68-$U68-$V68,"")</f>
        <v/>
      </c>
      <c r="X68" s="46" t="str">
        <f aca="false">IF(AND(ISNUMBER($S68),$S68&gt;0),$W68/$S68,"")</f>
        <v/>
      </c>
      <c r="Y68" s="47" t="s">
        <v>737</v>
      </c>
      <c r="Z68" s="19" t="s">
        <v>747</v>
      </c>
    </row>
    <row r="69" customFormat="false" ht="15.75" hidden="false" customHeight="true" outlineLevel="0" collapsed="false">
      <c r="A69" s="48" t="str">
        <f aca="false">IF(Produtos!$A69="","",Produtos!$A69)</f>
        <v>L2425-B</v>
      </c>
      <c r="B69" s="48" t="str">
        <f aca="false">IF(Produtos!$A69="","",Produtos!$B69)</f>
        <v>Lixeira c/Aro Basculante 24x25 13L</v>
      </c>
      <c r="C69" s="48" t="str">
        <f aca="false">IF(Produtos!$A69="","",Produtos!$C69)</f>
        <v>Lixeiras em inox</v>
      </c>
      <c r="D69" s="33" t="n">
        <f aca="false">IF(Produtos!$A69="","",IF(Produtos!$D69="","",Produtos!$D69))</f>
        <v>94.18</v>
      </c>
      <c r="E69" s="11" t="n">
        <v>0</v>
      </c>
      <c r="F69" s="34" t="n">
        <f aca="false">IF($A69="","",IF($C69="","⚠ categoria",IFERROR(INDEX(Parâmetros!$D$13:$D$22,MATCH($C69,Parâmetros!$A$13:$A$22,0)),"⚠ categoria")))</f>
        <v>0.13</v>
      </c>
      <c r="G69" s="35"/>
      <c r="H69" s="36" t="n">
        <f aca="false">IF($A69="","",IF(ISNUMBER($G69),$G69,IF(ISNUMBER($F69),$F69,"")))</f>
        <v>0.13</v>
      </c>
      <c r="I69" s="37" t="n">
        <f aca="false">IF(OR($A69="",NOT(ISNUMBER($D69)),NOT(ISNUMBER($H69))),"",IF((1-$H69-Parâmetros!$B$6-Parâmetros!$C$6-Parâmetros!$D$6)&lt;=0,"INVALIDO",($D69+IF(ISNUMBER($E69),$E69,0)+IF(ISNUMBER(Parâmetros!$E$6),Parâmetros!$E$6,0))/(1-$H69-Parâmetros!$B$6-Parâmetros!$C$6-Parâmetros!$D$6)))</f>
        <v>174.407407407407</v>
      </c>
      <c r="J69" s="38" t="n">
        <v>183.28</v>
      </c>
      <c r="K69" s="39" t="n">
        <f aca="false">IF(OR($A69="",NOT(ISNUMBER($D69)),NOT(ISNUMBER($H69))),"",IF(AND(ISNUMBER($J69),$J69&gt;0),$J69,IF(ISNUMBER($I69),$I69,"")))</f>
        <v>183.28</v>
      </c>
      <c r="L69" s="40" t="n">
        <f aca="false">IF(ISNUMBER($K69),$K69*$H69,"")</f>
        <v>23.8264</v>
      </c>
      <c r="M69" s="40" t="n">
        <f aca="false">IF(ISNUMBER($K69),$K69*Parâmetros!$B$6,"")</f>
        <v>18.328</v>
      </c>
      <c r="N69" s="40" t="n">
        <f aca="false">IF(ISNUMBER($K69),$K69*Parâmetros!$C$6,"")</f>
        <v>5.4984</v>
      </c>
      <c r="O69" s="40" t="n">
        <f aca="false">IF(ISNUMBER($K69),IF(ISNUMBER(Parâmetros!$E$6),Parâmetros!$E$6,0),"")</f>
        <v>0</v>
      </c>
      <c r="P69" s="41" t="n">
        <f aca="false">IF(ISNUMBER($K69),$K69-$D69-IF(ISNUMBER($E69),$E69,0)-$L69-$M69-$N69-$O69,"")</f>
        <v>41.4472</v>
      </c>
      <c r="Q69" s="42" t="n">
        <f aca="false">IF(AND(ISNUMBER($K69),$K69&gt;0),$P69/$K69,"")</f>
        <v>0.226141422959406</v>
      </c>
      <c r="R69" s="43"/>
      <c r="S69" s="44" t="str">
        <f aca="false">IF(OR(NOT(ISNUMBER($R69)),$R69=0,NOT(ISNUMBER($K69))),"",$K69*(1-$R69))</f>
        <v/>
      </c>
      <c r="T69" s="45" t="str">
        <f aca="false">IF(ISNUMBER($S69),$S69*$H69,"")</f>
        <v/>
      </c>
      <c r="U69" s="45" t="str">
        <f aca="false">IF(ISNUMBER($S69),$S69*Parâmetros!$B$6,"")</f>
        <v/>
      </c>
      <c r="V69" s="45" t="str">
        <f aca="false">IF(ISNUMBER($S69),$S69*Parâmetros!$C$6,"")</f>
        <v/>
      </c>
      <c r="W69" s="44" t="str">
        <f aca="false">IF(ISNUMBER($S69),$S69-$D69-IF(ISNUMBER($E69),$E69,0)-$O69-$T69-$U69-$V69,"")</f>
        <v/>
      </c>
      <c r="X69" s="46" t="str">
        <f aca="false">IF(AND(ISNUMBER($S69),$S69&gt;0),$W69/$S69,"")</f>
        <v/>
      </c>
      <c r="Y69" s="49" t="s">
        <v>737</v>
      </c>
      <c r="Z69" s="21" t="s">
        <v>747</v>
      </c>
    </row>
    <row r="70" customFormat="false" ht="15.75" hidden="false" customHeight="true" outlineLevel="0" collapsed="false">
      <c r="A70" s="32" t="str">
        <f aca="false">IF(Produtos!$A70="","",Produtos!$A70)</f>
        <v>L2430-B</v>
      </c>
      <c r="B70" s="32" t="str">
        <f aca="false">IF(Produtos!$A70="","",Produtos!$B70)</f>
        <v>Lixeira c/Aro Basculante 24x30 15L</v>
      </c>
      <c r="C70" s="32" t="str">
        <f aca="false">IF(Produtos!$A70="","",Produtos!$C70)</f>
        <v>Lixeiras em inox</v>
      </c>
      <c r="D70" s="33" t="n">
        <f aca="false">IF(Produtos!$A70="","",IF(Produtos!$D70="","",Produtos!$D70))</f>
        <v>103.42</v>
      </c>
      <c r="E70" s="11" t="n">
        <v>0</v>
      </c>
      <c r="F70" s="34" t="n">
        <f aca="false">IF($A70="","",IF($C70="","⚠ categoria",IFERROR(INDEX(Parâmetros!$D$13:$D$22,MATCH($C70,Parâmetros!$A$13:$A$22,0)),"⚠ categoria")))</f>
        <v>0.13</v>
      </c>
      <c r="G70" s="35"/>
      <c r="H70" s="36" t="n">
        <f aca="false">IF($A70="","",IF(ISNUMBER($G70),$G70,IF(ISNUMBER($F70),$F70,"")))</f>
        <v>0.13</v>
      </c>
      <c r="I70" s="37" t="n">
        <f aca="false">IF(OR($A70="",NOT(ISNUMBER($D70)),NOT(ISNUMBER($H70))),"",IF((1-$H70-Parâmetros!$B$6-Parâmetros!$C$6-Parâmetros!$D$6)&lt;=0,"INVALIDO",($D70+IF(ISNUMBER($E70),$E70,0)+IF(ISNUMBER(Parâmetros!$E$6),Parâmetros!$E$6,0))/(1-$H70-Parâmetros!$B$6-Parâmetros!$C$6-Parâmetros!$D$6)))</f>
        <v>191.518518518519</v>
      </c>
      <c r="J70" s="38" t="n">
        <v>198.03</v>
      </c>
      <c r="K70" s="39" t="n">
        <f aca="false">IF(OR($A70="",NOT(ISNUMBER($D70)),NOT(ISNUMBER($H70))),"",IF(AND(ISNUMBER($J70),$J70&gt;0),$J70,IF(ISNUMBER($I70),$I70,"")))</f>
        <v>198.03</v>
      </c>
      <c r="L70" s="40" t="n">
        <f aca="false">IF(ISNUMBER($K70),$K70*$H70,"")</f>
        <v>25.7439</v>
      </c>
      <c r="M70" s="40" t="n">
        <f aca="false">IF(ISNUMBER($K70),$K70*Parâmetros!$B$6,"")</f>
        <v>19.803</v>
      </c>
      <c r="N70" s="40" t="n">
        <f aca="false">IF(ISNUMBER($K70),$K70*Parâmetros!$C$6,"")</f>
        <v>5.9409</v>
      </c>
      <c r="O70" s="40" t="n">
        <f aca="false">IF(ISNUMBER($K70),IF(ISNUMBER(Parâmetros!$E$6),Parâmetros!$E$6,0),"")</f>
        <v>0</v>
      </c>
      <c r="P70" s="41" t="n">
        <f aca="false">IF(ISNUMBER($K70),$K70-$D70-IF(ISNUMBER($E70),$E70,0)-$L70-$M70-$N70-$O70,"")</f>
        <v>43.1222</v>
      </c>
      <c r="Q70" s="42" t="n">
        <f aca="false">IF(AND(ISNUMBER($K70),$K70&gt;0),$P70/$K70,"")</f>
        <v>0.217755895571378</v>
      </c>
      <c r="R70" s="43"/>
      <c r="S70" s="44" t="str">
        <f aca="false">IF(OR(NOT(ISNUMBER($R70)),$R70=0,NOT(ISNUMBER($K70))),"",$K70*(1-$R70))</f>
        <v/>
      </c>
      <c r="T70" s="45" t="str">
        <f aca="false">IF(ISNUMBER($S70),$S70*$H70,"")</f>
        <v/>
      </c>
      <c r="U70" s="45" t="str">
        <f aca="false">IF(ISNUMBER($S70),$S70*Parâmetros!$B$6,"")</f>
        <v/>
      </c>
      <c r="V70" s="45" t="str">
        <f aca="false">IF(ISNUMBER($S70),$S70*Parâmetros!$C$6,"")</f>
        <v/>
      </c>
      <c r="W70" s="44" t="str">
        <f aca="false">IF(ISNUMBER($S70),$S70-$D70-IF(ISNUMBER($E70),$E70,0)-$O70-$T70-$U70-$V70,"")</f>
        <v/>
      </c>
      <c r="X70" s="46" t="str">
        <f aca="false">IF(AND(ISNUMBER($S70),$S70&gt;0),$W70/$S70,"")</f>
        <v/>
      </c>
      <c r="Y70" s="47" t="s">
        <v>737</v>
      </c>
      <c r="Z70" s="19" t="s">
        <v>747</v>
      </c>
    </row>
    <row r="71" customFormat="false" ht="15.75" hidden="false" customHeight="true" outlineLevel="0" collapsed="false">
      <c r="A71" s="48" t="str">
        <f aca="false">IF(Produtos!$A71="","",Produtos!$A71)</f>
        <v>L2440-B</v>
      </c>
      <c r="B71" s="48" t="str">
        <f aca="false">IF(Produtos!$A71="","",Produtos!$B71)</f>
        <v>Lixeira c/Aro Basculante 24x40 20L</v>
      </c>
      <c r="C71" s="48" t="str">
        <f aca="false">IF(Produtos!$A71="","",Produtos!$C71)</f>
        <v>Lixeiras em inox</v>
      </c>
      <c r="D71" s="33" t="n">
        <f aca="false">IF(Produtos!$A71="","",IF(Produtos!$D71="","",Produtos!$D71))</f>
        <v>120.51</v>
      </c>
      <c r="E71" s="11" t="n">
        <v>0</v>
      </c>
      <c r="F71" s="34" t="n">
        <f aca="false">IF($A71="","",IF($C71="","⚠ categoria",IFERROR(INDEX(Parâmetros!$D$13:$D$22,MATCH($C71,Parâmetros!$A$13:$A$22,0)),"⚠ categoria")))</f>
        <v>0.13</v>
      </c>
      <c r="G71" s="35"/>
      <c r="H71" s="36" t="n">
        <f aca="false">IF($A71="","",IF(ISNUMBER($G71),$G71,IF(ISNUMBER($F71),$F71,"")))</f>
        <v>0.13</v>
      </c>
      <c r="I71" s="37" t="n">
        <f aca="false">IF(OR($A71="",NOT(ISNUMBER($D71)),NOT(ISNUMBER($H71))),"",IF((1-$H71-Parâmetros!$B$6-Parâmetros!$C$6-Parâmetros!$D$6)&lt;=0,"INVALIDO",($D71+IF(ISNUMBER($E71),$E71,0)+IF(ISNUMBER(Parâmetros!$E$6),Parâmetros!$E$6,0))/(1-$H71-Parâmetros!$B$6-Parâmetros!$C$6-Parâmetros!$D$6)))</f>
        <v>223.166666666667</v>
      </c>
      <c r="J71" s="38" t="n">
        <v>231.66</v>
      </c>
      <c r="K71" s="39" t="n">
        <f aca="false">IF(OR($A71="",NOT(ISNUMBER($D71)),NOT(ISNUMBER($H71))),"",IF(AND(ISNUMBER($J71),$J71&gt;0),$J71,IF(ISNUMBER($I71),$I71,"")))</f>
        <v>231.66</v>
      </c>
      <c r="L71" s="40" t="n">
        <f aca="false">IF(ISNUMBER($K71),$K71*$H71,"")</f>
        <v>30.1158</v>
      </c>
      <c r="M71" s="40" t="n">
        <f aca="false">IF(ISNUMBER($K71),$K71*Parâmetros!$B$6,"")</f>
        <v>23.166</v>
      </c>
      <c r="N71" s="40" t="n">
        <f aca="false">IF(ISNUMBER($K71),$K71*Parâmetros!$C$6,"")</f>
        <v>6.9498</v>
      </c>
      <c r="O71" s="40" t="n">
        <f aca="false">IF(ISNUMBER($K71),IF(ISNUMBER(Parâmetros!$E$6),Parâmetros!$E$6,0),"")</f>
        <v>0</v>
      </c>
      <c r="P71" s="41" t="n">
        <f aca="false">IF(ISNUMBER($K71),$K71-$D71-IF(ISNUMBER($E71),$E71,0)-$L71-$M71-$N71-$O71,"")</f>
        <v>50.9184</v>
      </c>
      <c r="Q71" s="42" t="n">
        <f aca="false">IF(AND(ISNUMBER($K71),$K71&gt;0),$P71/$K71,"")</f>
        <v>0.21979797979798</v>
      </c>
      <c r="R71" s="43"/>
      <c r="S71" s="44" t="str">
        <f aca="false">IF(OR(NOT(ISNUMBER($R71)),$R71=0,NOT(ISNUMBER($K71))),"",$K71*(1-$R71))</f>
        <v/>
      </c>
      <c r="T71" s="45" t="str">
        <f aca="false">IF(ISNUMBER($S71),$S71*$H71,"")</f>
        <v/>
      </c>
      <c r="U71" s="45" t="str">
        <f aca="false">IF(ISNUMBER($S71),$S71*Parâmetros!$B$6,"")</f>
        <v/>
      </c>
      <c r="V71" s="45" t="str">
        <f aca="false">IF(ISNUMBER($S71),$S71*Parâmetros!$C$6,"")</f>
        <v/>
      </c>
      <c r="W71" s="44" t="str">
        <f aca="false">IF(ISNUMBER($S71),$S71-$D71-IF(ISNUMBER($E71),$E71,0)-$O71-$T71-$U71-$V71,"")</f>
        <v/>
      </c>
      <c r="X71" s="46" t="str">
        <f aca="false">IF(AND(ISNUMBER($S71),$S71&gt;0),$W71/$S71,"")</f>
        <v/>
      </c>
      <c r="Y71" s="49" t="s">
        <v>737</v>
      </c>
      <c r="Z71" s="21" t="s">
        <v>747</v>
      </c>
    </row>
    <row r="72" customFormat="false" ht="15.75" hidden="false" customHeight="true" outlineLevel="0" collapsed="false">
      <c r="A72" s="32" t="str">
        <f aca="false">IF(Produtos!$A72="","",Produtos!$A72)</f>
        <v>L2450-B</v>
      </c>
      <c r="B72" s="32" t="str">
        <f aca="false">IF(Produtos!$A72="","",Produtos!$B72)</f>
        <v>Lixeira c/Aro Basculante 24x50 25L</v>
      </c>
      <c r="C72" s="32" t="str">
        <f aca="false">IF(Produtos!$A72="","",Produtos!$C72)</f>
        <v>Lixeiras em inox</v>
      </c>
      <c r="D72" s="33" t="n">
        <f aca="false">IF(Produtos!$A72="","",IF(Produtos!$D72="","",Produtos!$D72))</f>
        <v>151.31</v>
      </c>
      <c r="E72" s="11" t="n">
        <v>0</v>
      </c>
      <c r="F72" s="34" t="n">
        <f aca="false">IF($A72="","",IF($C72="","⚠ categoria",IFERROR(INDEX(Parâmetros!$D$13:$D$22,MATCH($C72,Parâmetros!$A$13:$A$22,0)),"⚠ categoria")))</f>
        <v>0.13</v>
      </c>
      <c r="G72" s="35"/>
      <c r="H72" s="36" t="n">
        <f aca="false">IF($A72="","",IF(ISNUMBER($G72),$G72,IF(ISNUMBER($F72),$F72,"")))</f>
        <v>0.13</v>
      </c>
      <c r="I72" s="37" t="n">
        <f aca="false">IF(OR($A72="",NOT(ISNUMBER($D72)),NOT(ISNUMBER($H72))),"",IF((1-$H72-Parâmetros!$B$6-Parâmetros!$C$6-Parâmetros!$D$6)&lt;=0,"INVALIDO",($D72+IF(ISNUMBER($E72),$E72,0)+IF(ISNUMBER(Parâmetros!$E$6),Parâmetros!$E$6,0))/(1-$H72-Parâmetros!$B$6-Parâmetros!$C$6-Parâmetros!$D$6)))</f>
        <v>280.203703703704</v>
      </c>
      <c r="J72" s="38" t="n">
        <v>284.39</v>
      </c>
      <c r="K72" s="39" t="n">
        <f aca="false">IF(OR($A72="",NOT(ISNUMBER($D72)),NOT(ISNUMBER($H72))),"",IF(AND(ISNUMBER($J72),$J72&gt;0),$J72,IF(ISNUMBER($I72),$I72,"")))</f>
        <v>284.39</v>
      </c>
      <c r="L72" s="40" t="n">
        <f aca="false">IF(ISNUMBER($K72),$K72*$H72,"")</f>
        <v>36.9707</v>
      </c>
      <c r="M72" s="40" t="n">
        <f aca="false">IF(ISNUMBER($K72),$K72*Parâmetros!$B$6,"")</f>
        <v>28.439</v>
      </c>
      <c r="N72" s="40" t="n">
        <f aca="false">IF(ISNUMBER($K72),$K72*Parâmetros!$C$6,"")</f>
        <v>8.5317</v>
      </c>
      <c r="O72" s="40" t="n">
        <f aca="false">IF(ISNUMBER($K72),IF(ISNUMBER(Parâmetros!$E$6),Parâmetros!$E$6,0),"")</f>
        <v>0</v>
      </c>
      <c r="P72" s="41" t="n">
        <f aca="false">IF(ISNUMBER($K72),$K72-$D72-IF(ISNUMBER($E72),$E72,0)-$L72-$M72-$N72-$O72,"")</f>
        <v>59.1386</v>
      </c>
      <c r="Q72" s="42" t="n">
        <f aca="false">IF(AND(ISNUMBER($K72),$K72&gt;0),$P72/$K72,"")</f>
        <v>0.207948943352439</v>
      </c>
      <c r="R72" s="43"/>
      <c r="S72" s="44" t="str">
        <f aca="false">IF(OR(NOT(ISNUMBER($R72)),$R72=0,NOT(ISNUMBER($K72))),"",$K72*(1-$R72))</f>
        <v/>
      </c>
      <c r="T72" s="45" t="str">
        <f aca="false">IF(ISNUMBER($S72),$S72*$H72,"")</f>
        <v/>
      </c>
      <c r="U72" s="45" t="str">
        <f aca="false">IF(ISNUMBER($S72),$S72*Parâmetros!$B$6,"")</f>
        <v/>
      </c>
      <c r="V72" s="45" t="str">
        <f aca="false">IF(ISNUMBER($S72),$S72*Parâmetros!$C$6,"")</f>
        <v/>
      </c>
      <c r="W72" s="44" t="str">
        <f aca="false">IF(ISNUMBER($S72),$S72-$D72-IF(ISNUMBER($E72),$E72,0)-$O72-$T72-$U72-$V72,"")</f>
        <v/>
      </c>
      <c r="X72" s="46" t="str">
        <f aca="false">IF(AND(ISNUMBER($S72),$S72&gt;0),$W72/$S72,"")</f>
        <v/>
      </c>
      <c r="Y72" s="47" t="s">
        <v>737</v>
      </c>
      <c r="Z72" s="19" t="s">
        <v>747</v>
      </c>
    </row>
    <row r="73" customFormat="false" ht="15.75" hidden="false" customHeight="true" outlineLevel="0" collapsed="false">
      <c r="A73" s="48" t="str">
        <f aca="false">IF(Produtos!$A73="","",Produtos!$A73)</f>
        <v>L2460-B</v>
      </c>
      <c r="B73" s="48" t="str">
        <f aca="false">IF(Produtos!$A73="","",Produtos!$B73)</f>
        <v>Lixeira c/Aro Basculante 24x60 27L</v>
      </c>
      <c r="C73" s="48" t="str">
        <f aca="false">IF(Produtos!$A73="","",Produtos!$C73)</f>
        <v>Lixeiras em inox</v>
      </c>
      <c r="D73" s="33" t="n">
        <f aca="false">IF(Produtos!$A73="","",IF(Produtos!$D73="","",Produtos!$D73))</f>
        <v>152.83</v>
      </c>
      <c r="E73" s="11" t="n">
        <v>0</v>
      </c>
      <c r="F73" s="34" t="n">
        <f aca="false">IF($A73="","",IF($C73="","⚠ categoria",IFERROR(INDEX(Parâmetros!$D$13:$D$22,MATCH($C73,Parâmetros!$A$13:$A$22,0)),"⚠ categoria")))</f>
        <v>0.13</v>
      </c>
      <c r="G73" s="35"/>
      <c r="H73" s="36" t="n">
        <f aca="false">IF($A73="","",IF(ISNUMBER($G73),$G73,IF(ISNUMBER($F73),$F73,"")))</f>
        <v>0.13</v>
      </c>
      <c r="I73" s="37" t="n">
        <f aca="false">IF(OR($A73="",NOT(ISNUMBER($D73)),NOT(ISNUMBER($H73))),"",IF((1-$H73-Parâmetros!$B$6-Parâmetros!$C$6-Parâmetros!$D$6)&lt;=0,"INVALIDO",($D73+IF(ISNUMBER($E73),$E73,0)+IF(ISNUMBER(Parâmetros!$E$6),Parâmetros!$E$6,0))/(1-$H73-Parâmetros!$B$6-Parâmetros!$C$6-Parâmetros!$D$6)))</f>
        <v>283.018518518519</v>
      </c>
      <c r="J73" s="38" t="n">
        <v>299.31</v>
      </c>
      <c r="K73" s="39" t="n">
        <f aca="false">IF(OR($A73="",NOT(ISNUMBER($D73)),NOT(ISNUMBER($H73))),"",IF(AND(ISNUMBER($J73),$J73&gt;0),$J73,IF(ISNUMBER($I73),$I73,"")))</f>
        <v>299.31</v>
      </c>
      <c r="L73" s="40" t="n">
        <f aca="false">IF(ISNUMBER($K73),$K73*$H73,"")</f>
        <v>38.9103</v>
      </c>
      <c r="M73" s="40" t="n">
        <f aca="false">IF(ISNUMBER($K73),$K73*Parâmetros!$B$6,"")</f>
        <v>29.931</v>
      </c>
      <c r="N73" s="40" t="n">
        <f aca="false">IF(ISNUMBER($K73),$K73*Parâmetros!$C$6,"")</f>
        <v>8.9793</v>
      </c>
      <c r="O73" s="40" t="n">
        <f aca="false">IF(ISNUMBER($K73),IF(ISNUMBER(Parâmetros!$E$6),Parâmetros!$E$6,0),"")</f>
        <v>0</v>
      </c>
      <c r="P73" s="41" t="n">
        <f aca="false">IF(ISNUMBER($K73),$K73-$D73-IF(ISNUMBER($E73),$E73,0)-$L73-$M73-$N73-$O73,"")</f>
        <v>68.6594</v>
      </c>
      <c r="Q73" s="42" t="n">
        <f aca="false">IF(AND(ISNUMBER($K73),$K73&gt;0),$P73/$K73,"")</f>
        <v>0.229392268885102</v>
      </c>
      <c r="R73" s="43"/>
      <c r="S73" s="44" t="str">
        <f aca="false">IF(OR(NOT(ISNUMBER($R73)),$R73=0,NOT(ISNUMBER($K73))),"",$K73*(1-$R73))</f>
        <v/>
      </c>
      <c r="T73" s="45" t="str">
        <f aca="false">IF(ISNUMBER($S73),$S73*$H73,"")</f>
        <v/>
      </c>
      <c r="U73" s="45" t="str">
        <f aca="false">IF(ISNUMBER($S73),$S73*Parâmetros!$B$6,"")</f>
        <v/>
      </c>
      <c r="V73" s="45" t="str">
        <f aca="false">IF(ISNUMBER($S73),$S73*Parâmetros!$C$6,"")</f>
        <v/>
      </c>
      <c r="W73" s="44" t="str">
        <f aca="false">IF(ISNUMBER($S73),$S73-$D73-IF(ISNUMBER($E73),$E73,0)-$O73-$T73-$U73-$V73,"")</f>
        <v/>
      </c>
      <c r="X73" s="46" t="str">
        <f aca="false">IF(AND(ISNUMBER($S73),$S73&gt;0),$W73/$S73,"")</f>
        <v/>
      </c>
      <c r="Y73" s="49" t="s">
        <v>737</v>
      </c>
      <c r="Z73" s="21" t="s">
        <v>748</v>
      </c>
    </row>
    <row r="74" customFormat="false" ht="15.75" hidden="false" customHeight="true" outlineLevel="0" collapsed="false">
      <c r="A74" s="32" t="str">
        <f aca="false">IF(Produtos!$A74="","",Produtos!$A74)</f>
        <v>L2470-B</v>
      </c>
      <c r="B74" s="32" t="str">
        <f aca="false">IF(Produtos!$A74="","",Produtos!$B74)</f>
        <v>Lixeira c/Aro Basculante 24x70 30L</v>
      </c>
      <c r="C74" s="32" t="str">
        <f aca="false">IF(Produtos!$A74="","",Produtos!$C74)</f>
        <v>Lixeiras em inox</v>
      </c>
      <c r="D74" s="33" t="n">
        <f aca="false">IF(Produtos!$A74="","",IF(Produtos!$D74="","",Produtos!$D74))</f>
        <v>211.1</v>
      </c>
      <c r="E74" s="11" t="n">
        <v>0</v>
      </c>
      <c r="F74" s="34" t="n">
        <f aca="false">IF($A74="","",IF($C74="","⚠ categoria",IFERROR(INDEX(Parâmetros!$D$13:$D$22,MATCH($C74,Parâmetros!$A$13:$A$22,0)),"⚠ categoria")))</f>
        <v>0.13</v>
      </c>
      <c r="G74" s="35"/>
      <c r="H74" s="36" t="n">
        <f aca="false">IF($A74="","",IF(ISNUMBER($G74),$G74,IF(ISNUMBER($F74),$F74,"")))</f>
        <v>0.13</v>
      </c>
      <c r="I74" s="37" t="n">
        <f aca="false">IF(OR($A74="",NOT(ISNUMBER($D74)),NOT(ISNUMBER($H74))),"",IF((1-$H74-Parâmetros!$B$6-Parâmetros!$C$6-Parâmetros!$D$6)&lt;=0,"INVALIDO",($D74+IF(ISNUMBER($E74),$E74,0)+IF(ISNUMBER(Parâmetros!$E$6),Parâmetros!$E$6,0))/(1-$H74-Parâmetros!$B$6-Parâmetros!$C$6-Parâmetros!$D$6)))</f>
        <v>390.925925925926</v>
      </c>
      <c r="J74" s="38" t="n">
        <v>398.35</v>
      </c>
      <c r="K74" s="39" t="n">
        <f aca="false">IF(OR($A74="",NOT(ISNUMBER($D74)),NOT(ISNUMBER($H74))),"",IF(AND(ISNUMBER($J74),$J74&gt;0),$J74,IF(ISNUMBER($I74),$I74,"")))</f>
        <v>398.35</v>
      </c>
      <c r="L74" s="40" t="n">
        <f aca="false">IF(ISNUMBER($K74),$K74*$H74,"")</f>
        <v>51.7855</v>
      </c>
      <c r="M74" s="40" t="n">
        <f aca="false">IF(ISNUMBER($K74),$K74*Parâmetros!$B$6,"")</f>
        <v>39.835</v>
      </c>
      <c r="N74" s="40" t="n">
        <f aca="false">IF(ISNUMBER($K74),$K74*Parâmetros!$C$6,"")</f>
        <v>11.9505</v>
      </c>
      <c r="O74" s="40" t="n">
        <f aca="false">IF(ISNUMBER($K74),IF(ISNUMBER(Parâmetros!$E$6),Parâmetros!$E$6,0),"")</f>
        <v>0</v>
      </c>
      <c r="P74" s="41" t="n">
        <f aca="false">IF(ISNUMBER($K74),$K74-$D74-IF(ISNUMBER($E74),$E74,0)-$L74-$M74-$N74-$O74,"")</f>
        <v>83.679</v>
      </c>
      <c r="Q74" s="42" t="n">
        <f aca="false">IF(AND(ISNUMBER($K74),$K74&gt;0),$P74/$K74,"")</f>
        <v>0.210064014057989</v>
      </c>
      <c r="R74" s="43"/>
      <c r="S74" s="44" t="str">
        <f aca="false">IF(OR(NOT(ISNUMBER($R74)),$R74=0,NOT(ISNUMBER($K74))),"",$K74*(1-$R74))</f>
        <v/>
      </c>
      <c r="T74" s="45" t="str">
        <f aca="false">IF(ISNUMBER($S74),$S74*$H74,"")</f>
        <v/>
      </c>
      <c r="U74" s="45" t="str">
        <f aca="false">IF(ISNUMBER($S74),$S74*Parâmetros!$B$6,"")</f>
        <v/>
      </c>
      <c r="V74" s="45" t="str">
        <f aca="false">IF(ISNUMBER($S74),$S74*Parâmetros!$C$6,"")</f>
        <v/>
      </c>
      <c r="W74" s="44" t="str">
        <f aca="false">IF(ISNUMBER($S74),$S74-$D74-IF(ISNUMBER($E74),$E74,0)-$O74-$T74-$U74-$V74,"")</f>
        <v/>
      </c>
      <c r="X74" s="46" t="str">
        <f aca="false">IF(AND(ISNUMBER($S74),$S74&gt;0),$W74/$S74,"")</f>
        <v/>
      </c>
      <c r="Y74" s="47" t="s">
        <v>737</v>
      </c>
      <c r="Z74" s="19" t="s">
        <v>748</v>
      </c>
    </row>
    <row r="75" customFormat="false" ht="15.75" hidden="false" customHeight="true" outlineLevel="0" collapsed="false">
      <c r="A75" s="48" t="str">
        <f aca="false">IF(Produtos!$A75="","",Produtos!$A75)</f>
        <v>L3040-B</v>
      </c>
      <c r="B75" s="48" t="str">
        <f aca="false">IF(Produtos!$A75="","",Produtos!$B75)</f>
        <v>Lixeira c/Aro Basculante 30x40 30L</v>
      </c>
      <c r="C75" s="48" t="str">
        <f aca="false">IF(Produtos!$A75="","",Produtos!$C75)</f>
        <v>Lixeiras em inox</v>
      </c>
      <c r="D75" s="33" t="n">
        <f aca="false">IF(Produtos!$A75="","",IF(Produtos!$D75="","",Produtos!$D75))</f>
        <v>172.54</v>
      </c>
      <c r="E75" s="11" t="n">
        <v>0</v>
      </c>
      <c r="F75" s="34" t="n">
        <f aca="false">IF($A75="","",IF($C75="","⚠ categoria",IFERROR(INDEX(Parâmetros!$D$13:$D$22,MATCH($C75,Parâmetros!$A$13:$A$22,0)),"⚠ categoria")))</f>
        <v>0.13</v>
      </c>
      <c r="G75" s="35"/>
      <c r="H75" s="36" t="n">
        <f aca="false">IF($A75="","",IF(ISNUMBER($G75),$G75,IF(ISNUMBER($F75),$F75,"")))</f>
        <v>0.13</v>
      </c>
      <c r="I75" s="37" t="n">
        <f aca="false">IF(OR($A75="",NOT(ISNUMBER($D75)),NOT(ISNUMBER($H75))),"",IF((1-$H75-Parâmetros!$B$6-Parâmetros!$C$6-Parâmetros!$D$6)&lt;=0,"INVALIDO",($D75+IF(ISNUMBER($E75),$E75,0)+IF(ISNUMBER(Parâmetros!$E$6),Parâmetros!$E$6,0))/(1-$H75-Parâmetros!$B$6-Parâmetros!$C$6-Parâmetros!$D$6)))</f>
        <v>319.518518518519</v>
      </c>
      <c r="J75" s="38" t="n">
        <v>330.79</v>
      </c>
      <c r="K75" s="39" t="n">
        <f aca="false">IF(OR($A75="",NOT(ISNUMBER($D75)),NOT(ISNUMBER($H75))),"",IF(AND(ISNUMBER($J75),$J75&gt;0),$J75,IF(ISNUMBER($I75),$I75,"")))</f>
        <v>330.79</v>
      </c>
      <c r="L75" s="40" t="n">
        <f aca="false">IF(ISNUMBER($K75),$K75*$H75,"")</f>
        <v>43.0027</v>
      </c>
      <c r="M75" s="40" t="n">
        <f aca="false">IF(ISNUMBER($K75),$K75*Parâmetros!$B$6,"")</f>
        <v>33.079</v>
      </c>
      <c r="N75" s="40" t="n">
        <f aca="false">IF(ISNUMBER($K75),$K75*Parâmetros!$C$6,"")</f>
        <v>9.9237</v>
      </c>
      <c r="O75" s="40" t="n">
        <f aca="false">IF(ISNUMBER($K75),IF(ISNUMBER(Parâmetros!$E$6),Parâmetros!$E$6,0),"")</f>
        <v>0</v>
      </c>
      <c r="P75" s="41" t="n">
        <f aca="false">IF(ISNUMBER($K75),$K75-$D75-IF(ISNUMBER($E75),$E75,0)-$L75-$M75-$N75-$O75,"")</f>
        <v>72.2446</v>
      </c>
      <c r="Q75" s="42" t="n">
        <f aca="false">IF(AND(ISNUMBER($K75),$K75&gt;0),$P75/$K75,"")</f>
        <v>0.218400193476224</v>
      </c>
      <c r="R75" s="43"/>
      <c r="S75" s="44" t="str">
        <f aca="false">IF(OR(NOT(ISNUMBER($R75)),$R75=0,NOT(ISNUMBER($K75))),"",$K75*(1-$R75))</f>
        <v/>
      </c>
      <c r="T75" s="45" t="str">
        <f aca="false">IF(ISNUMBER($S75),$S75*$H75,"")</f>
        <v/>
      </c>
      <c r="U75" s="45" t="str">
        <f aca="false">IF(ISNUMBER($S75),$S75*Parâmetros!$B$6,"")</f>
        <v/>
      </c>
      <c r="V75" s="45" t="str">
        <f aca="false">IF(ISNUMBER($S75),$S75*Parâmetros!$C$6,"")</f>
        <v/>
      </c>
      <c r="W75" s="44" t="str">
        <f aca="false">IF(ISNUMBER($S75),$S75-$D75-IF(ISNUMBER($E75),$E75,0)-$O75-$T75-$U75-$V75,"")</f>
        <v/>
      </c>
      <c r="X75" s="46" t="str">
        <f aca="false">IF(AND(ISNUMBER($S75),$S75&gt;0),$W75/$S75,"")</f>
        <v/>
      </c>
      <c r="Y75" s="49" t="s">
        <v>737</v>
      </c>
      <c r="Z75" s="21" t="s">
        <v>748</v>
      </c>
    </row>
    <row r="76" customFormat="false" ht="15.75" hidden="false" customHeight="true" outlineLevel="0" collapsed="false">
      <c r="A76" s="32" t="str">
        <f aca="false">IF(Produtos!$A76="","",Produtos!$A76)</f>
        <v>L3050-B</v>
      </c>
      <c r="B76" s="32" t="str">
        <f aca="false">IF(Produtos!$A76="","",Produtos!$B76)</f>
        <v>Lixeira c/Aro Basculante 30x50 35L</v>
      </c>
      <c r="C76" s="32" t="str">
        <f aca="false">IF(Produtos!$A76="","",Produtos!$C76)</f>
        <v>Lixeiras em inox</v>
      </c>
      <c r="D76" s="33" t="n">
        <f aca="false">IF(Produtos!$A76="","",IF(Produtos!$D76="","",Produtos!$D76))</f>
        <v>216.99</v>
      </c>
      <c r="E76" s="11" t="n">
        <v>0</v>
      </c>
      <c r="F76" s="34" t="n">
        <f aca="false">IF($A76="","",IF($C76="","⚠ categoria",IFERROR(INDEX(Parâmetros!$D$13:$D$22,MATCH($C76,Parâmetros!$A$13:$A$22,0)),"⚠ categoria")))</f>
        <v>0.13</v>
      </c>
      <c r="G76" s="35"/>
      <c r="H76" s="36" t="n">
        <f aca="false">IF($A76="","",IF(ISNUMBER($G76),$G76,IF(ISNUMBER($F76),$F76,"")))</f>
        <v>0.13</v>
      </c>
      <c r="I76" s="37" t="n">
        <f aca="false">IF(OR($A76="",NOT(ISNUMBER($D76)),NOT(ISNUMBER($H76))),"",IF((1-$H76-Parâmetros!$B$6-Parâmetros!$C$6-Parâmetros!$D$6)&lt;=0,"INVALIDO",($D76+IF(ISNUMBER($E76),$E76,0)+IF(ISNUMBER(Parâmetros!$E$6),Parâmetros!$E$6,0))/(1-$H76-Parâmetros!$B$6-Parâmetros!$C$6-Parâmetros!$D$6)))</f>
        <v>401.833333333333</v>
      </c>
      <c r="J76" s="38" t="n">
        <v>413.32</v>
      </c>
      <c r="K76" s="39" t="n">
        <f aca="false">IF(OR($A76="",NOT(ISNUMBER($D76)),NOT(ISNUMBER($H76))),"",IF(AND(ISNUMBER($J76),$J76&gt;0),$J76,IF(ISNUMBER($I76),$I76,"")))</f>
        <v>413.32</v>
      </c>
      <c r="L76" s="40" t="n">
        <f aca="false">IF(ISNUMBER($K76),$K76*$H76,"")</f>
        <v>53.7316</v>
      </c>
      <c r="M76" s="40" t="n">
        <f aca="false">IF(ISNUMBER($K76),$K76*Parâmetros!$B$6,"")</f>
        <v>41.332</v>
      </c>
      <c r="N76" s="40" t="n">
        <f aca="false">IF(ISNUMBER($K76),$K76*Parâmetros!$C$6,"")</f>
        <v>12.3996</v>
      </c>
      <c r="O76" s="40" t="n">
        <f aca="false">IF(ISNUMBER($K76),IF(ISNUMBER(Parâmetros!$E$6),Parâmetros!$E$6,0),"")</f>
        <v>0</v>
      </c>
      <c r="P76" s="41" t="n">
        <f aca="false">IF(ISNUMBER($K76),$K76-$D76-IF(ISNUMBER($E76),$E76,0)-$L76-$M76-$N76-$O76,"")</f>
        <v>88.8668</v>
      </c>
      <c r="Q76" s="42" t="n">
        <f aca="false">IF(AND(ISNUMBER($K76),$K76&gt;0),$P76/$K76,"")</f>
        <v>0.215007258298655</v>
      </c>
      <c r="R76" s="43"/>
      <c r="S76" s="44" t="str">
        <f aca="false">IF(OR(NOT(ISNUMBER($R76)),$R76=0,NOT(ISNUMBER($K76))),"",$K76*(1-$R76))</f>
        <v/>
      </c>
      <c r="T76" s="45" t="str">
        <f aca="false">IF(ISNUMBER($S76),$S76*$H76,"")</f>
        <v/>
      </c>
      <c r="U76" s="45" t="str">
        <f aca="false">IF(ISNUMBER($S76),$S76*Parâmetros!$B$6,"")</f>
        <v/>
      </c>
      <c r="V76" s="45" t="str">
        <f aca="false">IF(ISNUMBER($S76),$S76*Parâmetros!$C$6,"")</f>
        <v/>
      </c>
      <c r="W76" s="44" t="str">
        <f aca="false">IF(ISNUMBER($S76),$S76-$D76-IF(ISNUMBER($E76),$E76,0)-$O76-$T76-$U76-$V76,"")</f>
        <v/>
      </c>
      <c r="X76" s="46" t="str">
        <f aca="false">IF(AND(ISNUMBER($S76),$S76&gt;0),$W76/$S76,"")</f>
        <v/>
      </c>
      <c r="Y76" s="47" t="s">
        <v>737</v>
      </c>
      <c r="Z76" s="19" t="s">
        <v>748</v>
      </c>
    </row>
    <row r="77" customFormat="false" ht="15.75" hidden="false" customHeight="true" outlineLevel="0" collapsed="false">
      <c r="A77" s="48" t="str">
        <f aca="false">IF(Produtos!$A77="","",Produtos!$A77)</f>
        <v>L3060-B</v>
      </c>
      <c r="B77" s="48" t="str">
        <f aca="false">IF(Produtos!$A77="","",Produtos!$B77)</f>
        <v>Lixeira c/Aro Basculante 30x60 40L</v>
      </c>
      <c r="C77" s="48" t="str">
        <f aca="false">IF(Produtos!$A77="","",Produtos!$C77)</f>
        <v>Lixeiras em inox</v>
      </c>
      <c r="D77" s="33" t="n">
        <f aca="false">IF(Produtos!$A77="","",IF(Produtos!$D77="","",Produtos!$D77))</f>
        <v>222.41</v>
      </c>
      <c r="E77" s="11" t="n">
        <v>0</v>
      </c>
      <c r="F77" s="34" t="n">
        <f aca="false">IF($A77="","",IF($C77="","⚠ categoria",IFERROR(INDEX(Parâmetros!$D$13:$D$22,MATCH($C77,Parâmetros!$A$13:$A$22,0)),"⚠ categoria")))</f>
        <v>0.13</v>
      </c>
      <c r="G77" s="35"/>
      <c r="H77" s="36" t="n">
        <f aca="false">IF($A77="","",IF(ISNUMBER($G77),$G77,IF(ISNUMBER($F77),$F77,"")))</f>
        <v>0.13</v>
      </c>
      <c r="I77" s="37" t="n">
        <f aca="false">IF(OR($A77="",NOT(ISNUMBER($D77)),NOT(ISNUMBER($H77))),"",IF((1-$H77-Parâmetros!$B$6-Parâmetros!$C$6-Parâmetros!$D$6)&lt;=0,"INVALIDO",($D77+IF(ISNUMBER($E77),$E77,0)+IF(ISNUMBER(Parâmetros!$E$6),Parâmetros!$E$6,0))/(1-$H77-Parâmetros!$B$6-Parâmetros!$C$6-Parâmetros!$D$6)))</f>
        <v>411.87037037037</v>
      </c>
      <c r="J77" s="38" t="n">
        <v>439.24</v>
      </c>
      <c r="K77" s="39" t="n">
        <f aca="false">IF(OR($A77="",NOT(ISNUMBER($D77)),NOT(ISNUMBER($H77))),"",IF(AND(ISNUMBER($J77),$J77&gt;0),$J77,IF(ISNUMBER($I77),$I77,"")))</f>
        <v>439.24</v>
      </c>
      <c r="L77" s="40" t="n">
        <f aca="false">IF(ISNUMBER($K77),$K77*$H77,"")</f>
        <v>57.1012</v>
      </c>
      <c r="M77" s="40" t="n">
        <f aca="false">IF(ISNUMBER($K77),$K77*Parâmetros!$B$6,"")</f>
        <v>43.924</v>
      </c>
      <c r="N77" s="40" t="n">
        <f aca="false">IF(ISNUMBER($K77),$K77*Parâmetros!$C$6,"")</f>
        <v>13.1772</v>
      </c>
      <c r="O77" s="40" t="n">
        <f aca="false">IF(ISNUMBER($K77),IF(ISNUMBER(Parâmetros!$E$6),Parâmetros!$E$6,0),"")</f>
        <v>0</v>
      </c>
      <c r="P77" s="41" t="n">
        <f aca="false">IF(ISNUMBER($K77),$K77-$D77-IF(ISNUMBER($E77),$E77,0)-$L77-$M77-$N77-$O77,"")</f>
        <v>102.6276</v>
      </c>
      <c r="Q77" s="42" t="n">
        <f aca="false">IF(AND(ISNUMBER($K77),$K77&gt;0),$P77/$K77,"")</f>
        <v>0.2336481194791</v>
      </c>
      <c r="R77" s="43"/>
      <c r="S77" s="44" t="str">
        <f aca="false">IF(OR(NOT(ISNUMBER($R77)),$R77=0,NOT(ISNUMBER($K77))),"",$K77*(1-$R77))</f>
        <v/>
      </c>
      <c r="T77" s="45" t="str">
        <f aca="false">IF(ISNUMBER($S77),$S77*$H77,"")</f>
        <v/>
      </c>
      <c r="U77" s="45" t="str">
        <f aca="false">IF(ISNUMBER($S77),$S77*Parâmetros!$B$6,"")</f>
        <v/>
      </c>
      <c r="V77" s="45" t="str">
        <f aca="false">IF(ISNUMBER($S77),$S77*Parâmetros!$C$6,"")</f>
        <v/>
      </c>
      <c r="W77" s="44" t="str">
        <f aca="false">IF(ISNUMBER($S77),$S77-$D77-IF(ISNUMBER($E77),$E77,0)-$O77-$T77-$U77-$V77,"")</f>
        <v/>
      </c>
      <c r="X77" s="46" t="str">
        <f aca="false">IF(AND(ISNUMBER($S77),$S77&gt;0),$W77/$S77,"")</f>
        <v/>
      </c>
      <c r="Y77" s="49" t="s">
        <v>737</v>
      </c>
      <c r="Z77" s="21" t="s">
        <v>748</v>
      </c>
    </row>
    <row r="78" customFormat="false" ht="15.75" hidden="false" customHeight="true" outlineLevel="0" collapsed="false">
      <c r="A78" s="32" t="str">
        <f aca="false">IF(Produtos!$A78="","",Produtos!$A78)</f>
        <v>L3070-B</v>
      </c>
      <c r="B78" s="32" t="str">
        <f aca="false">IF(Produtos!$A78="","",Produtos!$B78)</f>
        <v>Lixeira c/Aro Basculante 30x70 50L</v>
      </c>
      <c r="C78" s="32" t="str">
        <f aca="false">IF(Produtos!$A78="","",Produtos!$C78)</f>
        <v>Lixeiras em inox</v>
      </c>
      <c r="D78" s="33" t="n">
        <f aca="false">IF(Produtos!$A78="","",IF(Produtos!$D78="","",Produtos!$D78))</f>
        <v>279.42</v>
      </c>
      <c r="E78" s="11" t="n">
        <v>0</v>
      </c>
      <c r="F78" s="34" t="n">
        <f aca="false">IF($A78="","",IF($C78="","⚠ categoria",IFERROR(INDEX(Parâmetros!$D$13:$D$22,MATCH($C78,Parâmetros!$A$13:$A$22,0)),"⚠ categoria")))</f>
        <v>0.13</v>
      </c>
      <c r="G78" s="35"/>
      <c r="H78" s="36" t="n">
        <f aca="false">IF($A78="","",IF(ISNUMBER($G78),$G78,IF(ISNUMBER($F78),$F78,"")))</f>
        <v>0.13</v>
      </c>
      <c r="I78" s="37" t="n">
        <f aca="false">IF(OR($A78="",NOT(ISNUMBER($D78)),NOT(ISNUMBER($H78))),"",IF((1-$H78-Parâmetros!$B$6-Parâmetros!$C$6-Parâmetros!$D$6)&lt;=0,"INVALIDO",($D78+IF(ISNUMBER($E78),$E78,0)+IF(ISNUMBER(Parâmetros!$E$6),Parâmetros!$E$6,0))/(1-$H78-Parâmetros!$B$6-Parâmetros!$C$6-Parâmetros!$D$6)))</f>
        <v>517.444444444445</v>
      </c>
      <c r="J78" s="38" t="n">
        <v>543.85</v>
      </c>
      <c r="K78" s="39" t="n">
        <f aca="false">IF(OR($A78="",NOT(ISNUMBER($D78)),NOT(ISNUMBER($H78))),"",IF(AND(ISNUMBER($J78),$J78&gt;0),$J78,IF(ISNUMBER($I78),$I78,"")))</f>
        <v>543.85</v>
      </c>
      <c r="L78" s="40" t="n">
        <f aca="false">IF(ISNUMBER($K78),$K78*$H78,"")</f>
        <v>70.7005</v>
      </c>
      <c r="M78" s="40" t="n">
        <f aca="false">IF(ISNUMBER($K78),$K78*Parâmetros!$B$6,"")</f>
        <v>54.385</v>
      </c>
      <c r="N78" s="40" t="n">
        <f aca="false">IF(ISNUMBER($K78),$K78*Parâmetros!$C$6,"")</f>
        <v>16.3155</v>
      </c>
      <c r="O78" s="40" t="n">
        <f aca="false">IF(ISNUMBER($K78),IF(ISNUMBER(Parâmetros!$E$6),Parâmetros!$E$6,0),"")</f>
        <v>0</v>
      </c>
      <c r="P78" s="41" t="n">
        <f aca="false">IF(ISNUMBER($K78),$K78-$D78-IF(ISNUMBER($E78),$E78,0)-$L78-$M78-$N78-$O78,"")</f>
        <v>123.029</v>
      </c>
      <c r="Q78" s="42" t="n">
        <f aca="false">IF(AND(ISNUMBER($K78),$K78&gt;0),$P78/$K78,"")</f>
        <v>0.226218626459502</v>
      </c>
      <c r="R78" s="43"/>
      <c r="S78" s="44" t="str">
        <f aca="false">IF(OR(NOT(ISNUMBER($R78)),$R78=0,NOT(ISNUMBER($K78))),"",$K78*(1-$R78))</f>
        <v/>
      </c>
      <c r="T78" s="45" t="str">
        <f aca="false">IF(ISNUMBER($S78),$S78*$H78,"")</f>
        <v/>
      </c>
      <c r="U78" s="45" t="str">
        <f aca="false">IF(ISNUMBER($S78),$S78*Parâmetros!$B$6,"")</f>
        <v/>
      </c>
      <c r="V78" s="45" t="str">
        <f aca="false">IF(ISNUMBER($S78),$S78*Parâmetros!$C$6,"")</f>
        <v/>
      </c>
      <c r="W78" s="44" t="str">
        <f aca="false">IF(ISNUMBER($S78),$S78-$D78-IF(ISNUMBER($E78),$E78,0)-$O78-$T78-$U78-$V78,"")</f>
        <v/>
      </c>
      <c r="X78" s="46" t="str">
        <f aca="false">IF(AND(ISNUMBER($S78),$S78&gt;0),$W78/$S78,"")</f>
        <v/>
      </c>
      <c r="Y78" s="47" t="s">
        <v>737</v>
      </c>
      <c r="Z78" s="19" t="s">
        <v>748</v>
      </c>
    </row>
    <row r="79" customFormat="false" ht="15.75" hidden="false" customHeight="true" outlineLevel="0" collapsed="false">
      <c r="A79" s="48" t="str">
        <f aca="false">IF(Produtos!$A79="","",Produtos!$A79)</f>
        <v>L3085-B</v>
      </c>
      <c r="B79" s="48" t="str">
        <f aca="false">IF(Produtos!$A79="","",Produtos!$B79)</f>
        <v>Lixeira c/Aro Basculante 30x85 60L</v>
      </c>
      <c r="C79" s="48" t="str">
        <f aca="false">IF(Produtos!$A79="","",Produtos!$C79)</f>
        <v>Lixeiras em inox</v>
      </c>
      <c r="D79" s="33" t="n">
        <f aca="false">IF(Produtos!$A79="","",IF(Produtos!$D79="","",Produtos!$D79))</f>
        <v>341.01</v>
      </c>
      <c r="E79" s="11" t="n">
        <v>0</v>
      </c>
      <c r="F79" s="34" t="n">
        <f aca="false">IF($A79="","",IF($C79="","⚠ categoria",IFERROR(INDEX(Parâmetros!$D$13:$D$22,MATCH($C79,Parâmetros!$A$13:$A$22,0)),"⚠ categoria")))</f>
        <v>0.13</v>
      </c>
      <c r="G79" s="35"/>
      <c r="H79" s="36" t="n">
        <f aca="false">IF($A79="","",IF(ISNUMBER($G79),$G79,IF(ISNUMBER($F79),$F79,"")))</f>
        <v>0.13</v>
      </c>
      <c r="I79" s="37" t="n">
        <f aca="false">IF(OR($A79="",NOT(ISNUMBER($D79)),NOT(ISNUMBER($H79))),"",IF((1-$H79-Parâmetros!$B$6-Parâmetros!$C$6-Parâmetros!$D$6)&lt;=0,"INVALIDO",($D79+IF(ISNUMBER($E79),$E79,0)+IF(ISNUMBER(Parâmetros!$E$6),Parâmetros!$E$6,0))/(1-$H79-Parâmetros!$B$6-Parâmetros!$C$6-Parâmetros!$D$6)))</f>
        <v>631.5</v>
      </c>
      <c r="J79" s="38" t="n">
        <v>642.24</v>
      </c>
      <c r="K79" s="39" t="n">
        <f aca="false">IF(OR($A79="",NOT(ISNUMBER($D79)),NOT(ISNUMBER($H79))),"",IF(AND(ISNUMBER($J79),$J79&gt;0),$J79,IF(ISNUMBER($I79),$I79,"")))</f>
        <v>642.24</v>
      </c>
      <c r="L79" s="40" t="n">
        <f aca="false">IF(ISNUMBER($K79),$K79*$H79,"")</f>
        <v>83.4912</v>
      </c>
      <c r="M79" s="40" t="n">
        <f aca="false">IF(ISNUMBER($K79),$K79*Parâmetros!$B$6,"")</f>
        <v>64.224</v>
      </c>
      <c r="N79" s="40" t="n">
        <f aca="false">IF(ISNUMBER($K79),$K79*Parâmetros!$C$6,"")</f>
        <v>19.2672</v>
      </c>
      <c r="O79" s="40" t="n">
        <f aca="false">IF(ISNUMBER($K79),IF(ISNUMBER(Parâmetros!$E$6),Parâmetros!$E$6,0),"")</f>
        <v>0</v>
      </c>
      <c r="P79" s="41" t="n">
        <f aca="false">IF(ISNUMBER($K79),$K79-$D79-IF(ISNUMBER($E79),$E79,0)-$L79-$M79-$N79-$O79,"")</f>
        <v>134.2476</v>
      </c>
      <c r="Q79" s="42" t="n">
        <f aca="false">IF(AND(ISNUMBER($K79),$K79&gt;0),$P79/$K79,"")</f>
        <v>0.209030269058296</v>
      </c>
      <c r="R79" s="43"/>
      <c r="S79" s="44" t="str">
        <f aca="false">IF(OR(NOT(ISNUMBER($R79)),$R79=0,NOT(ISNUMBER($K79))),"",$K79*(1-$R79))</f>
        <v/>
      </c>
      <c r="T79" s="45" t="str">
        <f aca="false">IF(ISNUMBER($S79),$S79*$H79,"")</f>
        <v/>
      </c>
      <c r="U79" s="45" t="str">
        <f aca="false">IF(ISNUMBER($S79),$S79*Parâmetros!$B$6,"")</f>
        <v/>
      </c>
      <c r="V79" s="45" t="str">
        <f aca="false">IF(ISNUMBER($S79),$S79*Parâmetros!$C$6,"")</f>
        <v/>
      </c>
      <c r="W79" s="44" t="str">
        <f aca="false">IF(ISNUMBER($S79),$S79-$D79-IF(ISNUMBER($E79),$E79,0)-$O79-$T79-$U79-$V79,"")</f>
        <v/>
      </c>
      <c r="X79" s="46" t="str">
        <f aca="false">IF(AND(ISNUMBER($S79),$S79&gt;0),$W79/$S79,"")</f>
        <v/>
      </c>
      <c r="Y79" s="49" t="s">
        <v>737</v>
      </c>
      <c r="Z79" s="21" t="s">
        <v>748</v>
      </c>
    </row>
    <row r="80" customFormat="false" ht="15.75" hidden="false" customHeight="true" outlineLevel="0" collapsed="false">
      <c r="A80" s="32" t="str">
        <f aca="false">IF(Produtos!$A80="","",Produtos!$A80)</f>
        <v>L4050-B</v>
      </c>
      <c r="B80" s="32" t="str">
        <f aca="false">IF(Produtos!$A80="","",Produtos!$B80)</f>
        <v>Lixeira c/Aro Basculante 40x50 62L</v>
      </c>
      <c r="C80" s="32" t="str">
        <f aca="false">IF(Produtos!$A80="","",Produtos!$C80)</f>
        <v>Lixeiras em inox</v>
      </c>
      <c r="D80" s="33" t="n">
        <f aca="false">IF(Produtos!$A80="","",IF(Produtos!$D80="","",Produtos!$D80))</f>
        <v>342.16</v>
      </c>
      <c r="E80" s="11" t="n">
        <v>0</v>
      </c>
      <c r="F80" s="34" t="n">
        <f aca="false">IF($A80="","",IF($C80="","⚠ categoria",IFERROR(INDEX(Parâmetros!$D$13:$D$22,MATCH($C80,Parâmetros!$A$13:$A$22,0)),"⚠ categoria")))</f>
        <v>0.13</v>
      </c>
      <c r="G80" s="35"/>
      <c r="H80" s="36" t="n">
        <f aca="false">IF($A80="","",IF(ISNUMBER($G80),$G80,IF(ISNUMBER($F80),$F80,"")))</f>
        <v>0.13</v>
      </c>
      <c r="I80" s="37" t="n">
        <f aca="false">IF(OR($A80="",NOT(ISNUMBER($D80)),NOT(ISNUMBER($H80))),"",IF((1-$H80-Parâmetros!$B$6-Parâmetros!$C$6-Parâmetros!$D$6)&lt;=0,"INVALIDO",($D80+IF(ISNUMBER($E80),$E80,0)+IF(ISNUMBER(Parâmetros!$E$6),Parâmetros!$E$6,0))/(1-$H80-Parâmetros!$B$6-Parâmetros!$C$6-Parâmetros!$D$6)))</f>
        <v>633.62962962963</v>
      </c>
      <c r="J80" s="38" t="n">
        <v>650.63</v>
      </c>
      <c r="K80" s="39" t="n">
        <f aca="false">IF(OR($A80="",NOT(ISNUMBER($D80)),NOT(ISNUMBER($H80))),"",IF(AND(ISNUMBER($J80),$J80&gt;0),$J80,IF(ISNUMBER($I80),$I80,"")))</f>
        <v>650.63</v>
      </c>
      <c r="L80" s="40" t="n">
        <f aca="false">IF(ISNUMBER($K80),$K80*$H80,"")</f>
        <v>84.5819</v>
      </c>
      <c r="M80" s="40" t="n">
        <f aca="false">IF(ISNUMBER($K80),$K80*Parâmetros!$B$6,"")</f>
        <v>65.063</v>
      </c>
      <c r="N80" s="40" t="n">
        <f aca="false">IF(ISNUMBER($K80),$K80*Parâmetros!$C$6,"")</f>
        <v>19.5189</v>
      </c>
      <c r="O80" s="40" t="n">
        <f aca="false">IF(ISNUMBER($K80),IF(ISNUMBER(Parâmetros!$E$6),Parâmetros!$E$6,0),"")</f>
        <v>0</v>
      </c>
      <c r="P80" s="41" t="n">
        <f aca="false">IF(ISNUMBER($K80),$K80-$D80-IF(ISNUMBER($E80),$E80,0)-$L80-$M80-$N80-$O80,"")</f>
        <v>139.3062</v>
      </c>
      <c r="Q80" s="42" t="n">
        <f aca="false">IF(AND(ISNUMBER($K80),$K80&gt;0),$P80/$K80,"")</f>
        <v>0.214109709051227</v>
      </c>
      <c r="R80" s="43"/>
      <c r="S80" s="44" t="str">
        <f aca="false">IF(OR(NOT(ISNUMBER($R80)),$R80=0,NOT(ISNUMBER($K80))),"",$K80*(1-$R80))</f>
        <v/>
      </c>
      <c r="T80" s="45" t="str">
        <f aca="false">IF(ISNUMBER($S80),$S80*$H80,"")</f>
        <v/>
      </c>
      <c r="U80" s="45" t="str">
        <f aca="false">IF(ISNUMBER($S80),$S80*Parâmetros!$B$6,"")</f>
        <v/>
      </c>
      <c r="V80" s="45" t="str">
        <f aca="false">IF(ISNUMBER($S80),$S80*Parâmetros!$C$6,"")</f>
        <v/>
      </c>
      <c r="W80" s="44" t="str">
        <f aca="false">IF(ISNUMBER($S80),$S80-$D80-IF(ISNUMBER($E80),$E80,0)-$O80-$T80-$U80-$V80,"")</f>
        <v/>
      </c>
      <c r="X80" s="46" t="str">
        <f aca="false">IF(AND(ISNUMBER($S80),$S80&gt;0),$W80/$S80,"")</f>
        <v/>
      </c>
      <c r="Y80" s="47" t="s">
        <v>737</v>
      </c>
      <c r="Z80" s="19" t="s">
        <v>748</v>
      </c>
    </row>
    <row r="81" customFormat="false" ht="15.75" hidden="false" customHeight="true" outlineLevel="0" collapsed="false">
      <c r="A81" s="48" t="str">
        <f aca="false">IF(Produtos!$A81="","",Produtos!$A81)</f>
        <v>L4060-B</v>
      </c>
      <c r="B81" s="48" t="str">
        <f aca="false">IF(Produtos!$A81="","",Produtos!$B81)</f>
        <v>Lixeira c/Aro Basculante 40x60 75L</v>
      </c>
      <c r="C81" s="48" t="str">
        <f aca="false">IF(Produtos!$A81="","",Produtos!$C81)</f>
        <v>Lixeiras em inox</v>
      </c>
      <c r="D81" s="33" t="n">
        <f aca="false">IF(Produtos!$A81="","",IF(Produtos!$D81="","",Produtos!$D81))</f>
        <v>364.77</v>
      </c>
      <c r="E81" s="11" t="n">
        <v>0</v>
      </c>
      <c r="F81" s="34" t="n">
        <f aca="false">IF($A81="","",IF($C81="","⚠ categoria",IFERROR(INDEX(Parâmetros!$D$13:$D$22,MATCH($C81,Parâmetros!$A$13:$A$22,0)),"⚠ categoria")))</f>
        <v>0.13</v>
      </c>
      <c r="G81" s="35"/>
      <c r="H81" s="36" t="n">
        <f aca="false">IF($A81="","",IF(ISNUMBER($G81),$G81,IF(ISNUMBER($F81),$F81,"")))</f>
        <v>0.13</v>
      </c>
      <c r="I81" s="37" t="n">
        <f aca="false">IF(OR($A81="",NOT(ISNUMBER($D81)),NOT(ISNUMBER($H81))),"",IF((1-$H81-Parâmetros!$B$6-Parâmetros!$C$6-Parâmetros!$D$6)&lt;=0,"INVALIDO",($D81+IF(ISNUMBER($E81),$E81,0)+IF(ISNUMBER(Parâmetros!$E$6),Parâmetros!$E$6,0))/(1-$H81-Parâmetros!$B$6-Parâmetros!$C$6-Parâmetros!$D$6)))</f>
        <v>675.5</v>
      </c>
      <c r="J81" s="38" t="n">
        <v>691.86</v>
      </c>
      <c r="K81" s="39" t="n">
        <f aca="false">IF(OR($A81="",NOT(ISNUMBER($D81)),NOT(ISNUMBER($H81))),"",IF(AND(ISNUMBER($J81),$J81&gt;0),$J81,IF(ISNUMBER($I81),$I81,"")))</f>
        <v>691.86</v>
      </c>
      <c r="L81" s="40" t="n">
        <f aca="false">IF(ISNUMBER($K81),$K81*$H81,"")</f>
        <v>89.9418</v>
      </c>
      <c r="M81" s="40" t="n">
        <f aca="false">IF(ISNUMBER($K81),$K81*Parâmetros!$B$6,"")</f>
        <v>69.186</v>
      </c>
      <c r="N81" s="40" t="n">
        <f aca="false">IF(ISNUMBER($K81),$K81*Parâmetros!$C$6,"")</f>
        <v>20.7558</v>
      </c>
      <c r="O81" s="40" t="n">
        <f aca="false">IF(ISNUMBER($K81),IF(ISNUMBER(Parâmetros!$E$6),Parâmetros!$E$6,0),"")</f>
        <v>0</v>
      </c>
      <c r="P81" s="41" t="n">
        <f aca="false">IF(ISNUMBER($K81),$K81-$D81-IF(ISNUMBER($E81),$E81,0)-$L81-$M81-$N81-$O81,"")</f>
        <v>147.2064</v>
      </c>
      <c r="Q81" s="42" t="n">
        <f aca="false">IF(AND(ISNUMBER($K81),$K81&gt;0),$P81/$K81,"")</f>
        <v>0.212769057323736</v>
      </c>
      <c r="R81" s="43"/>
      <c r="S81" s="44" t="str">
        <f aca="false">IF(OR(NOT(ISNUMBER($R81)),$R81=0,NOT(ISNUMBER($K81))),"",$K81*(1-$R81))</f>
        <v/>
      </c>
      <c r="T81" s="45" t="str">
        <f aca="false">IF(ISNUMBER($S81),$S81*$H81,"")</f>
        <v/>
      </c>
      <c r="U81" s="45" t="str">
        <f aca="false">IF(ISNUMBER($S81),$S81*Parâmetros!$B$6,"")</f>
        <v/>
      </c>
      <c r="V81" s="45" t="str">
        <f aca="false">IF(ISNUMBER($S81),$S81*Parâmetros!$C$6,"")</f>
        <v/>
      </c>
      <c r="W81" s="44" t="str">
        <f aca="false">IF(ISNUMBER($S81),$S81-$D81-IF(ISNUMBER($E81),$E81,0)-$O81-$T81-$U81-$V81,"")</f>
        <v/>
      </c>
      <c r="X81" s="46" t="str">
        <f aca="false">IF(AND(ISNUMBER($S81),$S81&gt;0),$W81/$S81,"")</f>
        <v/>
      </c>
      <c r="Y81" s="49" t="s">
        <v>737</v>
      </c>
      <c r="Z81" s="21" t="s">
        <v>748</v>
      </c>
    </row>
    <row r="82" customFormat="false" ht="15.75" hidden="false" customHeight="true" outlineLevel="0" collapsed="false">
      <c r="A82" s="32" t="str">
        <f aca="false">IF(Produtos!$A82="","",Produtos!$A82)</f>
        <v>L4070-B</v>
      </c>
      <c r="B82" s="32" t="str">
        <f aca="false">IF(Produtos!$A82="","",Produtos!$B82)</f>
        <v>Lixeira c/Aro Basculante 40x70 88L</v>
      </c>
      <c r="C82" s="32" t="str">
        <f aca="false">IF(Produtos!$A82="","",Produtos!$C82)</f>
        <v>Lixeiras em inox</v>
      </c>
      <c r="D82" s="33" t="n">
        <f aca="false">IF(Produtos!$A82="","",IF(Produtos!$D82="","",Produtos!$D82))</f>
        <v>366.6</v>
      </c>
      <c r="E82" s="11" t="n">
        <v>0</v>
      </c>
      <c r="F82" s="34" t="n">
        <f aca="false">IF($A82="","",IF($C82="","⚠ categoria",IFERROR(INDEX(Parâmetros!$D$13:$D$22,MATCH($C82,Parâmetros!$A$13:$A$22,0)),"⚠ categoria")))</f>
        <v>0.13</v>
      </c>
      <c r="G82" s="35"/>
      <c r="H82" s="36" t="n">
        <f aca="false">IF($A82="","",IF(ISNUMBER($G82),$G82,IF(ISNUMBER($F82),$F82,"")))</f>
        <v>0.13</v>
      </c>
      <c r="I82" s="37" t="n">
        <f aca="false">IF(OR($A82="",NOT(ISNUMBER($D82)),NOT(ISNUMBER($H82))),"",IF((1-$H82-Parâmetros!$B$6-Parâmetros!$C$6-Parâmetros!$D$6)&lt;=0,"INVALIDO",($D82+IF(ISNUMBER($E82),$E82,0)+IF(ISNUMBER(Parâmetros!$E$6),Parâmetros!$E$6,0))/(1-$H82-Parâmetros!$B$6-Parâmetros!$C$6-Parâmetros!$D$6)))</f>
        <v>678.888888888889</v>
      </c>
      <c r="J82" s="38" t="n">
        <v>712.14</v>
      </c>
      <c r="K82" s="39" t="n">
        <f aca="false">IF(OR($A82="",NOT(ISNUMBER($D82)),NOT(ISNUMBER($H82))),"",IF(AND(ISNUMBER($J82),$J82&gt;0),$J82,IF(ISNUMBER($I82),$I82,"")))</f>
        <v>712.14</v>
      </c>
      <c r="L82" s="40" t="n">
        <f aca="false">IF(ISNUMBER($K82),$K82*$H82,"")</f>
        <v>92.5782</v>
      </c>
      <c r="M82" s="40" t="n">
        <f aca="false">IF(ISNUMBER($K82),$K82*Parâmetros!$B$6,"")</f>
        <v>71.214</v>
      </c>
      <c r="N82" s="40" t="n">
        <f aca="false">IF(ISNUMBER($K82),$K82*Parâmetros!$C$6,"")</f>
        <v>21.3642</v>
      </c>
      <c r="O82" s="40" t="n">
        <f aca="false">IF(ISNUMBER($K82),IF(ISNUMBER(Parâmetros!$E$6),Parâmetros!$E$6,0),"")</f>
        <v>0</v>
      </c>
      <c r="P82" s="41" t="n">
        <f aca="false">IF(ISNUMBER($K82),$K82-$D82-IF(ISNUMBER($E82),$E82,0)-$L82-$M82-$N82-$O82,"")</f>
        <v>160.3836</v>
      </c>
      <c r="Q82" s="42" t="n">
        <f aca="false">IF(AND(ISNUMBER($K82),$K82&gt;0),$P82/$K82,"")</f>
        <v>0.225213581599124</v>
      </c>
      <c r="R82" s="43"/>
      <c r="S82" s="44" t="str">
        <f aca="false">IF(OR(NOT(ISNUMBER($R82)),$R82=0,NOT(ISNUMBER($K82))),"",$K82*(1-$R82))</f>
        <v/>
      </c>
      <c r="T82" s="45" t="str">
        <f aca="false">IF(ISNUMBER($S82),$S82*$H82,"")</f>
        <v/>
      </c>
      <c r="U82" s="45" t="str">
        <f aca="false">IF(ISNUMBER($S82),$S82*Parâmetros!$B$6,"")</f>
        <v/>
      </c>
      <c r="V82" s="45" t="str">
        <f aca="false">IF(ISNUMBER($S82),$S82*Parâmetros!$C$6,"")</f>
        <v/>
      </c>
      <c r="W82" s="44" t="str">
        <f aca="false">IF(ISNUMBER($S82),$S82-$D82-IF(ISNUMBER($E82),$E82,0)-$O82-$T82-$U82-$V82,"")</f>
        <v/>
      </c>
      <c r="X82" s="46" t="str">
        <f aca="false">IF(AND(ISNUMBER($S82),$S82&gt;0),$W82/$S82,"")</f>
        <v/>
      </c>
      <c r="Y82" s="47" t="s">
        <v>737</v>
      </c>
      <c r="Z82" s="19" t="s">
        <v>749</v>
      </c>
    </row>
    <row r="83" customFormat="false" ht="15.75" hidden="false" customHeight="true" outlineLevel="0" collapsed="false">
      <c r="A83" s="48" t="str">
        <f aca="false">IF(Produtos!$A83="","",Produtos!$A83)</f>
        <v>L4075-B</v>
      </c>
      <c r="B83" s="48" t="str">
        <f aca="false">IF(Produtos!$A83="","",Produtos!$B83)</f>
        <v>Lixeira c/Aro Basculante 40x75 95L</v>
      </c>
      <c r="C83" s="48" t="str">
        <f aca="false">IF(Produtos!$A83="","",Produtos!$C83)</f>
        <v>Lixeiras em inox</v>
      </c>
      <c r="D83" s="33" t="n">
        <f aca="false">IF(Produtos!$A83="","",IF(Produtos!$D83="","",Produtos!$D83))</f>
        <v>428.19</v>
      </c>
      <c r="E83" s="11" t="n">
        <v>0</v>
      </c>
      <c r="F83" s="34" t="n">
        <f aca="false">IF($A83="","",IF($C83="","⚠ categoria",IFERROR(INDEX(Parâmetros!$D$13:$D$22,MATCH($C83,Parâmetros!$A$13:$A$22,0)),"⚠ categoria")))</f>
        <v>0.13</v>
      </c>
      <c r="G83" s="35"/>
      <c r="H83" s="36" t="n">
        <f aca="false">IF($A83="","",IF(ISNUMBER($G83),$G83,IF(ISNUMBER($F83),$F83,"")))</f>
        <v>0.13</v>
      </c>
      <c r="I83" s="37" t="n">
        <f aca="false">IF(OR($A83="",NOT(ISNUMBER($D83)),NOT(ISNUMBER($H83))),"",IF((1-$H83-Parâmetros!$B$6-Parâmetros!$C$6-Parâmetros!$D$6)&lt;=0,"INVALIDO",($D83+IF(ISNUMBER($E83),$E83,0)+IF(ISNUMBER(Parâmetros!$E$6),Parâmetros!$E$6,0))/(1-$H83-Parâmetros!$B$6-Parâmetros!$C$6-Parâmetros!$D$6)))</f>
        <v>792.944444444444</v>
      </c>
      <c r="J83" s="38" t="n">
        <v>810.5</v>
      </c>
      <c r="K83" s="39" t="n">
        <f aca="false">IF(OR($A83="",NOT(ISNUMBER($D83)),NOT(ISNUMBER($H83))),"",IF(AND(ISNUMBER($J83),$J83&gt;0),$J83,IF(ISNUMBER($I83),$I83,"")))</f>
        <v>810.5</v>
      </c>
      <c r="L83" s="40" t="n">
        <f aca="false">IF(ISNUMBER($K83),$K83*$H83,"")</f>
        <v>105.365</v>
      </c>
      <c r="M83" s="40" t="n">
        <f aca="false">IF(ISNUMBER($K83),$K83*Parâmetros!$B$6,"")</f>
        <v>81.05</v>
      </c>
      <c r="N83" s="40" t="n">
        <f aca="false">IF(ISNUMBER($K83),$K83*Parâmetros!$C$6,"")</f>
        <v>24.315</v>
      </c>
      <c r="O83" s="40" t="n">
        <f aca="false">IF(ISNUMBER($K83),IF(ISNUMBER(Parâmetros!$E$6),Parâmetros!$E$6,0),"")</f>
        <v>0</v>
      </c>
      <c r="P83" s="41" t="n">
        <f aca="false">IF(ISNUMBER($K83),$K83-$D83-IF(ISNUMBER($E83),$E83,0)-$L83-$M83-$N83-$O83,"")</f>
        <v>171.58</v>
      </c>
      <c r="Q83" s="42" t="n">
        <f aca="false">IF(AND(ISNUMBER($K83),$K83&gt;0),$P83/$K83,"")</f>
        <v>0.211696483652067</v>
      </c>
      <c r="R83" s="43"/>
      <c r="S83" s="44" t="str">
        <f aca="false">IF(OR(NOT(ISNUMBER($R83)),$R83=0,NOT(ISNUMBER($K83))),"",$K83*(1-$R83))</f>
        <v/>
      </c>
      <c r="T83" s="45" t="str">
        <f aca="false">IF(ISNUMBER($S83),$S83*$H83,"")</f>
        <v/>
      </c>
      <c r="U83" s="45" t="str">
        <f aca="false">IF(ISNUMBER($S83),$S83*Parâmetros!$B$6,"")</f>
        <v/>
      </c>
      <c r="V83" s="45" t="str">
        <f aca="false">IF(ISNUMBER($S83),$S83*Parâmetros!$C$6,"")</f>
        <v/>
      </c>
      <c r="W83" s="44" t="str">
        <f aca="false">IF(ISNUMBER($S83),$S83-$D83-IF(ISNUMBER($E83),$E83,0)-$O83-$T83-$U83-$V83,"")</f>
        <v/>
      </c>
      <c r="X83" s="46" t="str">
        <f aca="false">IF(AND(ISNUMBER($S83),$S83&gt;0),$W83/$S83,"")</f>
        <v/>
      </c>
      <c r="Y83" s="49" t="s">
        <v>737</v>
      </c>
      <c r="Z83" s="21" t="s">
        <v>749</v>
      </c>
    </row>
    <row r="84" customFormat="false" ht="15.75" hidden="false" customHeight="true" outlineLevel="0" collapsed="false">
      <c r="A84" s="32" t="str">
        <f aca="false">IF(Produtos!$A84="","",Produtos!$A84)</f>
        <v>L4080-B</v>
      </c>
      <c r="B84" s="32" t="str">
        <f aca="false">IF(Produtos!$A84="","",Produtos!$B84)</f>
        <v>Lixeira c/Aro Basculante 40x80 100L</v>
      </c>
      <c r="C84" s="32" t="str">
        <f aca="false">IF(Produtos!$A84="","",Produtos!$C84)</f>
        <v>Lixeiras em inox</v>
      </c>
      <c r="D84" s="33" t="n">
        <f aca="false">IF(Produtos!$A84="","",IF(Produtos!$D84="","",Produtos!$D84))</f>
        <v>428.19</v>
      </c>
      <c r="E84" s="11" t="n">
        <v>0</v>
      </c>
      <c r="F84" s="34" t="n">
        <f aca="false">IF($A84="","",IF($C84="","⚠ categoria",IFERROR(INDEX(Parâmetros!$D$13:$D$22,MATCH($C84,Parâmetros!$A$13:$A$22,0)),"⚠ categoria")))</f>
        <v>0.13</v>
      </c>
      <c r="G84" s="35"/>
      <c r="H84" s="36" t="n">
        <f aca="false">IF($A84="","",IF(ISNUMBER($G84),$G84,IF(ISNUMBER($F84),$F84,"")))</f>
        <v>0.13</v>
      </c>
      <c r="I84" s="37" t="n">
        <f aca="false">IF(OR($A84="",NOT(ISNUMBER($D84)),NOT(ISNUMBER($H84))),"",IF((1-$H84-Parâmetros!$B$6-Parâmetros!$C$6-Parâmetros!$D$6)&lt;=0,"INVALIDO",($D84+IF(ISNUMBER($E84),$E84,0)+IF(ISNUMBER(Parâmetros!$E$6),Parâmetros!$E$6,0))/(1-$H84-Parâmetros!$B$6-Parâmetros!$C$6-Parâmetros!$D$6)))</f>
        <v>792.944444444444</v>
      </c>
      <c r="J84" s="38" t="n">
        <v>831.06</v>
      </c>
      <c r="K84" s="39" t="n">
        <f aca="false">IF(OR($A84="",NOT(ISNUMBER($D84)),NOT(ISNUMBER($H84))),"",IF(AND(ISNUMBER($J84),$J84&gt;0),$J84,IF(ISNUMBER($I84),$I84,"")))</f>
        <v>831.06</v>
      </c>
      <c r="L84" s="40" t="n">
        <f aca="false">IF(ISNUMBER($K84),$K84*$H84,"")</f>
        <v>108.0378</v>
      </c>
      <c r="M84" s="40" t="n">
        <f aca="false">IF(ISNUMBER($K84),$K84*Parâmetros!$B$6,"")</f>
        <v>83.106</v>
      </c>
      <c r="N84" s="40" t="n">
        <f aca="false">IF(ISNUMBER($K84),$K84*Parâmetros!$C$6,"")</f>
        <v>24.9318</v>
      </c>
      <c r="O84" s="40" t="n">
        <f aca="false">IF(ISNUMBER($K84),IF(ISNUMBER(Parâmetros!$E$6),Parâmetros!$E$6,0),"")</f>
        <v>0</v>
      </c>
      <c r="P84" s="41" t="n">
        <f aca="false">IF(ISNUMBER($K84),$K84-$D84-IF(ISNUMBER($E84),$E84,0)-$L84-$M84-$N84-$O84,"")</f>
        <v>186.7944</v>
      </c>
      <c r="Q84" s="42" t="n">
        <f aca="false">IF(AND(ISNUMBER($K84),$K84&gt;0),$P84/$K84,"")</f>
        <v>0.224766442856111</v>
      </c>
      <c r="R84" s="43"/>
      <c r="S84" s="44" t="str">
        <f aca="false">IF(OR(NOT(ISNUMBER($R84)),$R84=0,NOT(ISNUMBER($K84))),"",$K84*(1-$R84))</f>
        <v/>
      </c>
      <c r="T84" s="45" t="str">
        <f aca="false">IF(ISNUMBER($S84),$S84*$H84,"")</f>
        <v/>
      </c>
      <c r="U84" s="45" t="str">
        <f aca="false">IF(ISNUMBER($S84),$S84*Parâmetros!$B$6,"")</f>
        <v/>
      </c>
      <c r="V84" s="45" t="str">
        <f aca="false">IF(ISNUMBER($S84),$S84*Parâmetros!$C$6,"")</f>
        <v/>
      </c>
      <c r="W84" s="44" t="str">
        <f aca="false">IF(ISNUMBER($S84),$S84-$D84-IF(ISNUMBER($E84),$E84,0)-$O84-$T84-$U84-$V84,"")</f>
        <v/>
      </c>
      <c r="X84" s="46" t="str">
        <f aca="false">IF(AND(ISNUMBER($S84),$S84&gt;0),$W84/$S84,"")</f>
        <v/>
      </c>
      <c r="Y84" s="47" t="s">
        <v>737</v>
      </c>
      <c r="Z84" s="19" t="s">
        <v>749</v>
      </c>
    </row>
    <row r="85" customFormat="false" ht="15.75" hidden="false" customHeight="true" outlineLevel="0" collapsed="false">
      <c r="A85" s="48" t="str">
        <f aca="false">IF(Produtos!$A85="","",Produtos!$A85)</f>
        <v>L4090-B</v>
      </c>
      <c r="B85" s="48" t="str">
        <f aca="false">IF(Produtos!$A85="","",Produtos!$B85)</f>
        <v>Lixeira c/Aro Basculante 40x90 120L</v>
      </c>
      <c r="C85" s="48" t="str">
        <f aca="false">IF(Produtos!$A85="","",Produtos!$C85)</f>
        <v>Lixeiras em inox</v>
      </c>
      <c r="D85" s="33" t="n">
        <f aca="false">IF(Produtos!$A85="","",IF(Produtos!$D85="","",Produtos!$D85))</f>
        <v>468.32</v>
      </c>
      <c r="E85" s="11" t="n">
        <v>0</v>
      </c>
      <c r="F85" s="34" t="n">
        <f aca="false">IF($A85="","",IF($C85="","⚠ categoria",IFERROR(INDEX(Parâmetros!$D$13:$D$22,MATCH($C85,Parâmetros!$A$13:$A$22,0)),"⚠ categoria")))</f>
        <v>0.13</v>
      </c>
      <c r="G85" s="35"/>
      <c r="H85" s="36" t="n">
        <f aca="false">IF($A85="","",IF(ISNUMBER($G85),$G85,IF(ISNUMBER($F85),$F85,"")))</f>
        <v>0.13</v>
      </c>
      <c r="I85" s="37" t="n">
        <f aca="false">IF(OR($A85="",NOT(ISNUMBER($D85)),NOT(ISNUMBER($H85))),"",IF((1-$H85-Parâmetros!$B$6-Parâmetros!$C$6-Parâmetros!$D$6)&lt;=0,"INVALIDO",($D85+IF(ISNUMBER($E85),$E85,0)+IF(ISNUMBER(Parâmetros!$E$6),Parâmetros!$E$6,0))/(1-$H85-Parâmetros!$B$6-Parâmetros!$C$6-Parâmetros!$D$6)))</f>
        <v>867.259259259259</v>
      </c>
      <c r="J85" s="38" t="n">
        <v>895.15</v>
      </c>
      <c r="K85" s="39" t="n">
        <f aca="false">IF(OR($A85="",NOT(ISNUMBER($D85)),NOT(ISNUMBER($H85))),"",IF(AND(ISNUMBER($J85),$J85&gt;0),$J85,IF(ISNUMBER($I85),$I85,"")))</f>
        <v>895.15</v>
      </c>
      <c r="L85" s="40" t="n">
        <f aca="false">IF(ISNUMBER($K85),$K85*$H85,"")</f>
        <v>116.3695</v>
      </c>
      <c r="M85" s="40" t="n">
        <f aca="false">IF(ISNUMBER($K85),$K85*Parâmetros!$B$6,"")</f>
        <v>89.515</v>
      </c>
      <c r="N85" s="40" t="n">
        <f aca="false">IF(ISNUMBER($K85),$K85*Parâmetros!$C$6,"")</f>
        <v>26.8545</v>
      </c>
      <c r="O85" s="40" t="n">
        <f aca="false">IF(ISNUMBER($K85),IF(ISNUMBER(Parâmetros!$E$6),Parâmetros!$E$6,0),"")</f>
        <v>0</v>
      </c>
      <c r="P85" s="41" t="n">
        <f aca="false">IF(ISNUMBER($K85),$K85-$D85-IF(ISNUMBER($E85),$E85,0)-$L85-$M85-$N85-$O85,"")</f>
        <v>194.091</v>
      </c>
      <c r="Q85" s="42" t="n">
        <f aca="false">IF(AND(ISNUMBER($K85),$K85&gt;0),$P85/$K85,"")</f>
        <v>0.216825113109535</v>
      </c>
      <c r="R85" s="43"/>
      <c r="S85" s="44" t="str">
        <f aca="false">IF(OR(NOT(ISNUMBER($R85)),$R85=0,NOT(ISNUMBER($K85))),"",$K85*(1-$R85))</f>
        <v/>
      </c>
      <c r="T85" s="45" t="str">
        <f aca="false">IF(ISNUMBER($S85),$S85*$H85,"")</f>
        <v/>
      </c>
      <c r="U85" s="45" t="str">
        <f aca="false">IF(ISNUMBER($S85),$S85*Parâmetros!$B$6,"")</f>
        <v/>
      </c>
      <c r="V85" s="45" t="str">
        <f aca="false">IF(ISNUMBER($S85),$S85*Parâmetros!$C$6,"")</f>
        <v/>
      </c>
      <c r="W85" s="44" t="str">
        <f aca="false">IF(ISNUMBER($S85),$S85-$D85-IF(ISNUMBER($E85),$E85,0)-$O85-$T85-$U85-$V85,"")</f>
        <v/>
      </c>
      <c r="X85" s="46" t="str">
        <f aca="false">IF(AND(ISNUMBER($S85),$S85&gt;0),$W85/$S85,"")</f>
        <v/>
      </c>
      <c r="Y85" s="49" t="s">
        <v>737</v>
      </c>
      <c r="Z85" s="21" t="s">
        <v>749</v>
      </c>
    </row>
    <row r="86" customFormat="false" ht="15.75" hidden="false" customHeight="true" outlineLevel="0" collapsed="false">
      <c r="A86" s="32" t="str">
        <f aca="false">IF(Produtos!$A86="","",Produtos!$A86)</f>
        <v>P1618</v>
      </c>
      <c r="B86" s="32" t="str">
        <f aca="false">IF(Produtos!$A86="","",Produtos!$B86)</f>
        <v>Lixeira c/Tampa Pedal 16x18 03L</v>
      </c>
      <c r="C86" s="32" t="str">
        <f aca="false">IF(Produtos!$A86="","",Produtos!$C86)</f>
        <v>Lixeiras com pedal</v>
      </c>
      <c r="D86" s="33" t="n">
        <f aca="false">IF(Produtos!$A86="","",IF(Produtos!$D86="","",Produtos!$D86))</f>
        <v>78.15</v>
      </c>
      <c r="E86" s="11" t="n">
        <v>0</v>
      </c>
      <c r="F86" s="34" t="n">
        <f aca="false">IF($A86="","",IF($C86="","⚠ categoria",IFERROR(INDEX(Parâmetros!$D$13:$D$22,MATCH($C86,Parâmetros!$A$13:$A$22,0)),"⚠ categoria")))</f>
        <v>0.13</v>
      </c>
      <c r="G86" s="35"/>
      <c r="H86" s="36" t="n">
        <f aca="false">IF($A86="","",IF(ISNUMBER($G86),$G86,IF(ISNUMBER($F86),$F86,"")))</f>
        <v>0.13</v>
      </c>
      <c r="I86" s="37" t="n">
        <f aca="false">IF(OR($A86="",NOT(ISNUMBER($D86)),NOT(ISNUMBER($H86))),"",IF((1-$H86-Parâmetros!$B$6-Parâmetros!$C$6-Parâmetros!$D$6)&lt;=0,"INVALIDO",($D86+IF(ISNUMBER($E86),$E86,0)+IF(ISNUMBER(Parâmetros!$E$6),Parâmetros!$E$6,0))/(1-$H86-Parâmetros!$B$6-Parâmetros!$C$6-Parâmetros!$D$6)))</f>
        <v>144.722222222222</v>
      </c>
      <c r="J86" s="38"/>
      <c r="K86" s="39" t="n">
        <f aca="false">IF(OR($A86="",NOT(ISNUMBER($D86)),NOT(ISNUMBER($H86))),"",IF(AND(ISNUMBER($J86),$J86&gt;0),$J86,IF(ISNUMBER($I86),$I86,"")))</f>
        <v>144.722222222222</v>
      </c>
      <c r="L86" s="40" t="n">
        <f aca="false">IF(ISNUMBER($K86),$K86*$H86,"")</f>
        <v>18.8138888888889</v>
      </c>
      <c r="M86" s="40" t="n">
        <f aca="false">IF(ISNUMBER($K86),$K86*Parâmetros!$B$6,"")</f>
        <v>14.4722222222222</v>
      </c>
      <c r="N86" s="40" t="n">
        <f aca="false">IF(ISNUMBER($K86),$K86*Parâmetros!$C$6,"")</f>
        <v>4.34166666666667</v>
      </c>
      <c r="O86" s="40" t="n">
        <f aca="false">IF(ISNUMBER($K86),IF(ISNUMBER(Parâmetros!$E$6),Parâmetros!$E$6,0),"")</f>
        <v>0</v>
      </c>
      <c r="P86" s="41" t="n">
        <f aca="false">IF(ISNUMBER($K86),$K86-$D86-IF(ISNUMBER($E86),$E86,0)-$L86-$M86-$N86-$O86,"")</f>
        <v>28.9444444444444</v>
      </c>
      <c r="Q86" s="42" t="n">
        <f aca="false">IF(AND(ISNUMBER($K86),$K86&gt;0),$P86/$K86,"")</f>
        <v>0.2</v>
      </c>
      <c r="R86" s="43"/>
      <c r="S86" s="44" t="str">
        <f aca="false">IF(OR(NOT(ISNUMBER($R86)),$R86=0,NOT(ISNUMBER($K86))),"",$K86*(1-$R86))</f>
        <v/>
      </c>
      <c r="T86" s="45" t="str">
        <f aca="false">IF(ISNUMBER($S86),$S86*$H86,"")</f>
        <v/>
      </c>
      <c r="U86" s="45" t="str">
        <f aca="false">IF(ISNUMBER($S86),$S86*Parâmetros!$B$6,"")</f>
        <v/>
      </c>
      <c r="V86" s="45" t="str">
        <f aca="false">IF(ISNUMBER($S86),$S86*Parâmetros!$C$6,"")</f>
        <v/>
      </c>
      <c r="W86" s="44" t="str">
        <f aca="false">IF(ISNUMBER($S86),$S86-$D86-IF(ISNUMBER($E86),$E86,0)-$O86-$T86-$U86-$V86,"")</f>
        <v/>
      </c>
      <c r="X86" s="46" t="str">
        <f aca="false">IF(AND(ISNUMBER($S86),$S86&gt;0),$W86/$S86,"")</f>
        <v/>
      </c>
      <c r="Y86" s="47"/>
      <c r="Z86" s="19"/>
    </row>
    <row r="87" customFormat="false" ht="15.75" hidden="false" customHeight="true" outlineLevel="0" collapsed="false">
      <c r="A87" s="48" t="str">
        <f aca="false">IF(Produtos!$A87="","",Produtos!$A87)</f>
        <v>P1623</v>
      </c>
      <c r="B87" s="48" t="str">
        <f aca="false">IF(Produtos!$A87="","",Produtos!$B87)</f>
        <v>Lixeira c/Tampa Pedal 16x23 05L</v>
      </c>
      <c r="C87" s="48" t="str">
        <f aca="false">IF(Produtos!$A87="","",Produtos!$C87)</f>
        <v>Lixeiras com pedal</v>
      </c>
      <c r="D87" s="33" t="n">
        <f aca="false">IF(Produtos!$A87="","",IF(Produtos!$D87="","",Produtos!$D87))</f>
        <v>81.62</v>
      </c>
      <c r="E87" s="11" t="n">
        <v>0</v>
      </c>
      <c r="F87" s="34" t="n">
        <f aca="false">IF($A87="","",IF($C87="","⚠ categoria",IFERROR(INDEX(Parâmetros!$D$13:$D$22,MATCH($C87,Parâmetros!$A$13:$A$22,0)),"⚠ categoria")))</f>
        <v>0.13</v>
      </c>
      <c r="G87" s="35"/>
      <c r="H87" s="36" t="n">
        <f aca="false">IF($A87="","",IF(ISNUMBER($G87),$G87,IF(ISNUMBER($F87),$F87,"")))</f>
        <v>0.13</v>
      </c>
      <c r="I87" s="37" t="n">
        <f aca="false">IF(OR($A87="",NOT(ISNUMBER($D87)),NOT(ISNUMBER($H87))),"",IF((1-$H87-Parâmetros!$B$6-Parâmetros!$C$6-Parâmetros!$D$6)&lt;=0,"INVALIDO",($D87+IF(ISNUMBER($E87),$E87,0)+IF(ISNUMBER(Parâmetros!$E$6),Parâmetros!$E$6,0))/(1-$H87-Parâmetros!$B$6-Parâmetros!$C$6-Parâmetros!$D$6)))</f>
        <v>151.148148148148</v>
      </c>
      <c r="J87" s="38" t="n">
        <v>165.4</v>
      </c>
      <c r="K87" s="39" t="n">
        <f aca="false">IF(OR($A87="",NOT(ISNUMBER($D87)),NOT(ISNUMBER($H87))),"",IF(AND(ISNUMBER($J87),$J87&gt;0),$J87,IF(ISNUMBER($I87),$I87,"")))</f>
        <v>165.4</v>
      </c>
      <c r="L87" s="40" t="n">
        <f aca="false">IF(ISNUMBER($K87),$K87*$H87,"")</f>
        <v>21.502</v>
      </c>
      <c r="M87" s="40" t="n">
        <f aca="false">IF(ISNUMBER($K87),$K87*Parâmetros!$B$6,"")</f>
        <v>16.54</v>
      </c>
      <c r="N87" s="40" t="n">
        <f aca="false">IF(ISNUMBER($K87),$K87*Parâmetros!$C$6,"")</f>
        <v>4.962</v>
      </c>
      <c r="O87" s="40" t="n">
        <f aca="false">IF(ISNUMBER($K87),IF(ISNUMBER(Parâmetros!$E$6),Parâmetros!$E$6,0),"")</f>
        <v>0</v>
      </c>
      <c r="P87" s="41" t="n">
        <f aca="false">IF(ISNUMBER($K87),$K87-$D87-IF(ISNUMBER($E87),$E87,0)-$L87-$M87-$N87-$O87,"")</f>
        <v>40.776</v>
      </c>
      <c r="Q87" s="42" t="n">
        <f aca="false">IF(AND(ISNUMBER($K87),$K87&gt;0),$P87/$K87,"")</f>
        <v>0.246529625151149</v>
      </c>
      <c r="R87" s="43"/>
      <c r="S87" s="44" t="str">
        <f aca="false">IF(OR(NOT(ISNUMBER($R87)),$R87=0,NOT(ISNUMBER($K87))),"",$K87*(1-$R87))</f>
        <v/>
      </c>
      <c r="T87" s="45" t="str">
        <f aca="false">IF(ISNUMBER($S87),$S87*$H87,"")</f>
        <v/>
      </c>
      <c r="U87" s="45" t="str">
        <f aca="false">IF(ISNUMBER($S87),$S87*Parâmetros!$B$6,"")</f>
        <v/>
      </c>
      <c r="V87" s="45" t="str">
        <f aca="false">IF(ISNUMBER($S87),$S87*Parâmetros!$C$6,"")</f>
        <v/>
      </c>
      <c r="W87" s="44" t="str">
        <f aca="false">IF(ISNUMBER($S87),$S87-$D87-IF(ISNUMBER($E87),$E87,0)-$O87-$T87-$U87-$V87,"")</f>
        <v/>
      </c>
      <c r="X87" s="46" t="str">
        <f aca="false">IF(AND(ISNUMBER($S87),$S87&gt;0),$W87/$S87,"")</f>
        <v/>
      </c>
      <c r="Y87" s="49" t="s">
        <v>737</v>
      </c>
      <c r="Z87" s="21" t="s">
        <v>747</v>
      </c>
    </row>
    <row r="88" customFormat="false" ht="15.75" hidden="false" customHeight="true" outlineLevel="0" collapsed="false">
      <c r="A88" s="32" t="str">
        <f aca="false">IF(Produtos!$A88="","",Produtos!$A88)</f>
        <v>P2025</v>
      </c>
      <c r="B88" s="32" t="str">
        <f aca="false">IF(Produtos!$A88="","",Produtos!$B88)</f>
        <v>Lixeira c/Tampa Pedal 20x25 07L</v>
      </c>
      <c r="C88" s="32" t="str">
        <f aca="false">IF(Produtos!$A88="","",Produtos!$C88)</f>
        <v>Lixeiras com pedal</v>
      </c>
      <c r="D88" s="33" t="n">
        <f aca="false">IF(Produtos!$A88="","",IF(Produtos!$D88="","",Produtos!$D88))</f>
        <v>99.57</v>
      </c>
      <c r="E88" s="11" t="n">
        <v>0</v>
      </c>
      <c r="F88" s="34" t="n">
        <f aca="false">IF($A88="","",IF($C88="","⚠ categoria",IFERROR(INDEX(Parâmetros!$D$13:$D$22,MATCH($C88,Parâmetros!$A$13:$A$22,0)),"⚠ categoria")))</f>
        <v>0.13</v>
      </c>
      <c r="G88" s="35"/>
      <c r="H88" s="36" t="n">
        <f aca="false">IF($A88="","",IF(ISNUMBER($G88),$G88,IF(ISNUMBER($F88),$F88,"")))</f>
        <v>0.13</v>
      </c>
      <c r="I88" s="37" t="n">
        <f aca="false">IF(OR($A88="",NOT(ISNUMBER($D88)),NOT(ISNUMBER($H88))),"",IF((1-$H88-Parâmetros!$B$6-Parâmetros!$C$6-Parâmetros!$D$6)&lt;=0,"INVALIDO",($D88+IF(ISNUMBER($E88),$E88,0)+IF(ISNUMBER(Parâmetros!$E$6),Parâmetros!$E$6,0))/(1-$H88-Parâmetros!$B$6-Parâmetros!$C$6-Parâmetros!$D$6)))</f>
        <v>184.388888888889</v>
      </c>
      <c r="J88" s="38" t="n">
        <v>198.79</v>
      </c>
      <c r="K88" s="39" t="n">
        <f aca="false">IF(OR($A88="",NOT(ISNUMBER($D88)),NOT(ISNUMBER($H88))),"",IF(AND(ISNUMBER($J88),$J88&gt;0),$J88,IF(ISNUMBER($I88),$I88,"")))</f>
        <v>198.79</v>
      </c>
      <c r="L88" s="40" t="n">
        <f aca="false">IF(ISNUMBER($K88),$K88*$H88,"")</f>
        <v>25.8427</v>
      </c>
      <c r="M88" s="40" t="n">
        <f aca="false">IF(ISNUMBER($K88),$K88*Parâmetros!$B$6,"")</f>
        <v>19.879</v>
      </c>
      <c r="N88" s="40" t="n">
        <f aca="false">IF(ISNUMBER($K88),$K88*Parâmetros!$C$6,"")</f>
        <v>5.9637</v>
      </c>
      <c r="O88" s="40" t="n">
        <f aca="false">IF(ISNUMBER($K88),IF(ISNUMBER(Parâmetros!$E$6),Parâmetros!$E$6,0),"")</f>
        <v>0</v>
      </c>
      <c r="P88" s="41" t="n">
        <f aca="false">IF(ISNUMBER($K88),$K88-$D88-IF(ISNUMBER($E88),$E88,0)-$L88-$M88-$N88-$O88,"")</f>
        <v>47.5346</v>
      </c>
      <c r="Q88" s="42" t="n">
        <f aca="false">IF(AND(ISNUMBER($K88),$K88&gt;0),$P88/$K88,"")</f>
        <v>0.239119674027869</v>
      </c>
      <c r="R88" s="43"/>
      <c r="S88" s="44" t="str">
        <f aca="false">IF(OR(NOT(ISNUMBER($R88)),$R88=0,NOT(ISNUMBER($K88))),"",$K88*(1-$R88))</f>
        <v/>
      </c>
      <c r="T88" s="45" t="str">
        <f aca="false">IF(ISNUMBER($S88),$S88*$H88,"")</f>
        <v/>
      </c>
      <c r="U88" s="45" t="str">
        <f aca="false">IF(ISNUMBER($S88),$S88*Parâmetros!$B$6,"")</f>
        <v/>
      </c>
      <c r="V88" s="45" t="str">
        <f aca="false">IF(ISNUMBER($S88),$S88*Parâmetros!$C$6,"")</f>
        <v/>
      </c>
      <c r="W88" s="44" t="str">
        <f aca="false">IF(ISNUMBER($S88),$S88-$D88-IF(ISNUMBER($E88),$E88,0)-$O88-$T88-$U88-$V88,"")</f>
        <v/>
      </c>
      <c r="X88" s="46" t="str">
        <f aca="false">IF(AND(ISNUMBER($S88),$S88&gt;0),$W88/$S88,"")</f>
        <v/>
      </c>
      <c r="Y88" s="47" t="s">
        <v>737</v>
      </c>
      <c r="Z88" s="19" t="s">
        <v>747</v>
      </c>
    </row>
    <row r="89" customFormat="false" ht="15.75" hidden="false" customHeight="true" outlineLevel="0" collapsed="false">
      <c r="A89" s="48" t="str">
        <f aca="false">IF(Produtos!$A89="","",Produtos!$A89)</f>
        <v>P2030</v>
      </c>
      <c r="B89" s="48" t="str">
        <f aca="false">IF(Produtos!$A89="","",Produtos!$B89)</f>
        <v>Lixeira c/Tampa Pedal 20x30 10L</v>
      </c>
      <c r="C89" s="48" t="str">
        <f aca="false">IF(Produtos!$A89="","",Produtos!$C89)</f>
        <v>Lixeiras com pedal</v>
      </c>
      <c r="D89" s="33" t="n">
        <f aca="false">IF(Produtos!$A89="","",IF(Produtos!$D89="","",Produtos!$D89))</f>
        <v>111.27</v>
      </c>
      <c r="E89" s="11" t="n">
        <v>0</v>
      </c>
      <c r="F89" s="34" t="n">
        <f aca="false">IF($A89="","",IF($C89="","⚠ categoria",IFERROR(INDEX(Parâmetros!$D$13:$D$22,MATCH($C89,Parâmetros!$A$13:$A$22,0)),"⚠ categoria")))</f>
        <v>0.13</v>
      </c>
      <c r="G89" s="35"/>
      <c r="H89" s="36" t="n">
        <f aca="false">IF($A89="","",IF(ISNUMBER($G89),$G89,IF(ISNUMBER($F89),$F89,"")))</f>
        <v>0.13</v>
      </c>
      <c r="I89" s="37" t="n">
        <f aca="false">IF(OR($A89="",NOT(ISNUMBER($D89)),NOT(ISNUMBER($H89))),"",IF((1-$H89-Parâmetros!$B$6-Parâmetros!$C$6-Parâmetros!$D$6)&lt;=0,"INVALIDO",($D89+IF(ISNUMBER($E89),$E89,0)+IF(ISNUMBER(Parâmetros!$E$6),Parâmetros!$E$6,0))/(1-$H89-Parâmetros!$B$6-Parâmetros!$C$6-Parâmetros!$D$6)))</f>
        <v>206.055555555556</v>
      </c>
      <c r="J89" s="38" t="n">
        <v>219.68</v>
      </c>
      <c r="K89" s="39" t="n">
        <f aca="false">IF(OR($A89="",NOT(ISNUMBER($D89)),NOT(ISNUMBER($H89))),"",IF(AND(ISNUMBER($J89),$J89&gt;0),$J89,IF(ISNUMBER($I89),$I89,"")))</f>
        <v>219.68</v>
      </c>
      <c r="L89" s="40" t="n">
        <f aca="false">IF(ISNUMBER($K89),$K89*$H89,"")</f>
        <v>28.5584</v>
      </c>
      <c r="M89" s="40" t="n">
        <f aca="false">IF(ISNUMBER($K89),$K89*Parâmetros!$B$6,"")</f>
        <v>21.968</v>
      </c>
      <c r="N89" s="40" t="n">
        <f aca="false">IF(ISNUMBER($K89),$K89*Parâmetros!$C$6,"")</f>
        <v>6.5904</v>
      </c>
      <c r="O89" s="40" t="n">
        <f aca="false">IF(ISNUMBER($K89),IF(ISNUMBER(Parâmetros!$E$6),Parâmetros!$E$6,0),"")</f>
        <v>0</v>
      </c>
      <c r="P89" s="41" t="n">
        <f aca="false">IF(ISNUMBER($K89),$K89-$D89-IF(ISNUMBER($E89),$E89,0)-$L89-$M89-$N89-$O89,"")</f>
        <v>51.2932</v>
      </c>
      <c r="Q89" s="42" t="n">
        <f aca="false">IF(AND(ISNUMBER($K89),$K89&gt;0),$P89/$K89,"")</f>
        <v>0.233490531682447</v>
      </c>
      <c r="R89" s="43"/>
      <c r="S89" s="44" t="str">
        <f aca="false">IF(OR(NOT(ISNUMBER($R89)),$R89=0,NOT(ISNUMBER($K89))),"",$K89*(1-$R89))</f>
        <v/>
      </c>
      <c r="T89" s="45" t="str">
        <f aca="false">IF(ISNUMBER($S89),$S89*$H89,"")</f>
        <v/>
      </c>
      <c r="U89" s="45" t="str">
        <f aca="false">IF(ISNUMBER($S89),$S89*Parâmetros!$B$6,"")</f>
        <v/>
      </c>
      <c r="V89" s="45" t="str">
        <f aca="false">IF(ISNUMBER($S89),$S89*Parâmetros!$C$6,"")</f>
        <v/>
      </c>
      <c r="W89" s="44" t="str">
        <f aca="false">IF(ISNUMBER($S89),$S89-$D89-IF(ISNUMBER($E89),$E89,0)-$O89-$T89-$U89-$V89,"")</f>
        <v/>
      </c>
      <c r="X89" s="46" t="str">
        <f aca="false">IF(AND(ISNUMBER($S89),$S89&gt;0),$W89/$S89,"")</f>
        <v/>
      </c>
      <c r="Y89" s="49" t="s">
        <v>737</v>
      </c>
      <c r="Z89" s="21" t="s">
        <v>747</v>
      </c>
    </row>
    <row r="90" customFormat="false" ht="15.75" hidden="false" customHeight="true" outlineLevel="0" collapsed="false">
      <c r="A90" s="32" t="str">
        <f aca="false">IF(Produtos!$A90="","",Produtos!$A90)</f>
        <v>P2425</v>
      </c>
      <c r="B90" s="32" t="str">
        <f aca="false">IF(Produtos!$A90="","",Produtos!$B90)</f>
        <v>Lixeira c/Tampa Pedal 24x25 12L</v>
      </c>
      <c r="C90" s="32" t="str">
        <f aca="false">IF(Produtos!$A90="","",Produtos!$C90)</f>
        <v>Lixeiras com pedal</v>
      </c>
      <c r="D90" s="33" t="n">
        <f aca="false">IF(Produtos!$A90="","",IF(Produtos!$D90="","",Produtos!$D90))</f>
        <v>121.08</v>
      </c>
      <c r="E90" s="11" t="n">
        <v>0</v>
      </c>
      <c r="F90" s="34" t="n">
        <f aca="false">IF($A90="","",IF($C90="","⚠ categoria",IFERROR(INDEX(Parâmetros!$D$13:$D$22,MATCH($C90,Parâmetros!$A$13:$A$22,0)),"⚠ categoria")))</f>
        <v>0.13</v>
      </c>
      <c r="G90" s="35"/>
      <c r="H90" s="36" t="n">
        <f aca="false">IF($A90="","",IF(ISNUMBER($G90),$G90,IF(ISNUMBER($F90),$F90,"")))</f>
        <v>0.13</v>
      </c>
      <c r="I90" s="37" t="n">
        <f aca="false">IF(OR($A90="",NOT(ISNUMBER($D90)),NOT(ISNUMBER($H90))),"",IF((1-$H90-Parâmetros!$B$6-Parâmetros!$C$6-Parâmetros!$D$6)&lt;=0,"INVALIDO",($D90+IF(ISNUMBER($E90),$E90,0)+IF(ISNUMBER(Parâmetros!$E$6),Parâmetros!$E$6,0))/(1-$H90-Parâmetros!$B$6-Parâmetros!$C$6-Parâmetros!$D$6)))</f>
        <v>224.222222222222</v>
      </c>
      <c r="J90" s="38" t="n">
        <v>238.25</v>
      </c>
      <c r="K90" s="39" t="n">
        <f aca="false">IF(OR($A90="",NOT(ISNUMBER($D90)),NOT(ISNUMBER($H90))),"",IF(AND(ISNUMBER($J90),$J90&gt;0),$J90,IF(ISNUMBER($I90),$I90,"")))</f>
        <v>238.25</v>
      </c>
      <c r="L90" s="40" t="n">
        <f aca="false">IF(ISNUMBER($K90),$K90*$H90,"")</f>
        <v>30.9725</v>
      </c>
      <c r="M90" s="40" t="n">
        <f aca="false">IF(ISNUMBER($K90),$K90*Parâmetros!$B$6,"")</f>
        <v>23.825</v>
      </c>
      <c r="N90" s="40" t="n">
        <f aca="false">IF(ISNUMBER($K90),$K90*Parâmetros!$C$6,"")</f>
        <v>7.1475</v>
      </c>
      <c r="O90" s="40" t="n">
        <f aca="false">IF(ISNUMBER($K90),IF(ISNUMBER(Parâmetros!$E$6),Parâmetros!$E$6,0),"")</f>
        <v>0</v>
      </c>
      <c r="P90" s="41" t="n">
        <f aca="false">IF(ISNUMBER($K90),$K90-$D90-IF(ISNUMBER($E90),$E90,0)-$L90-$M90-$N90-$O90,"")</f>
        <v>55.225</v>
      </c>
      <c r="Q90" s="42" t="n">
        <f aca="false">IF(AND(ISNUMBER($K90),$K90&gt;0),$P90/$K90,"")</f>
        <v>0.231794333683106</v>
      </c>
      <c r="R90" s="43"/>
      <c r="S90" s="44" t="str">
        <f aca="false">IF(OR(NOT(ISNUMBER($R90)),$R90=0,NOT(ISNUMBER($K90))),"",$K90*(1-$R90))</f>
        <v/>
      </c>
      <c r="T90" s="45" t="str">
        <f aca="false">IF(ISNUMBER($S90),$S90*$H90,"")</f>
        <v/>
      </c>
      <c r="U90" s="45" t="str">
        <f aca="false">IF(ISNUMBER($S90),$S90*Parâmetros!$B$6,"")</f>
        <v/>
      </c>
      <c r="V90" s="45" t="str">
        <f aca="false">IF(ISNUMBER($S90),$S90*Parâmetros!$C$6,"")</f>
        <v/>
      </c>
      <c r="W90" s="44" t="str">
        <f aca="false">IF(ISNUMBER($S90),$S90-$D90-IF(ISNUMBER($E90),$E90,0)-$O90-$T90-$U90-$V90,"")</f>
        <v/>
      </c>
      <c r="X90" s="46" t="str">
        <f aca="false">IF(AND(ISNUMBER($S90),$S90&gt;0),$W90/$S90,"")</f>
        <v/>
      </c>
      <c r="Y90" s="47" t="s">
        <v>737</v>
      </c>
      <c r="Z90" s="19" t="s">
        <v>747</v>
      </c>
    </row>
    <row r="91" customFormat="false" ht="15.75" hidden="false" customHeight="true" outlineLevel="0" collapsed="false">
      <c r="A91" s="48" t="str">
        <f aca="false">IF(Produtos!$A91="","",Produtos!$A91)</f>
        <v>P2430</v>
      </c>
      <c r="B91" s="48" t="str">
        <f aca="false">IF(Produtos!$A91="","",Produtos!$B91)</f>
        <v>Lixeira c/Tampa Pedal 24x30 15L</v>
      </c>
      <c r="C91" s="48" t="str">
        <f aca="false">IF(Produtos!$A91="","",Produtos!$C91)</f>
        <v>Lixeiras com pedal</v>
      </c>
      <c r="D91" s="33" t="n">
        <f aca="false">IF(Produtos!$A91="","",IF(Produtos!$D91="","",Produtos!$D91))</f>
        <v>124.7</v>
      </c>
      <c r="E91" s="11" t="n">
        <v>0</v>
      </c>
      <c r="F91" s="34" t="n">
        <f aca="false">IF($A91="","",IF($C91="","⚠ categoria",IFERROR(INDEX(Parâmetros!$D$13:$D$22,MATCH($C91,Parâmetros!$A$13:$A$22,0)),"⚠ categoria")))</f>
        <v>0.13</v>
      </c>
      <c r="G91" s="35"/>
      <c r="H91" s="36" t="n">
        <f aca="false">IF($A91="","",IF(ISNUMBER($G91),$G91,IF(ISNUMBER($F91),$F91,"")))</f>
        <v>0.13</v>
      </c>
      <c r="I91" s="37" t="n">
        <f aca="false">IF(OR($A91="",NOT(ISNUMBER($D91)),NOT(ISNUMBER($H91))),"",IF((1-$H91-Parâmetros!$B$6-Parâmetros!$C$6-Parâmetros!$D$6)&lt;=0,"INVALIDO",($D91+IF(ISNUMBER($E91),$E91,0)+IF(ISNUMBER(Parâmetros!$E$6),Parâmetros!$E$6,0))/(1-$H91-Parâmetros!$B$6-Parâmetros!$C$6-Parâmetros!$D$6)))</f>
        <v>230.925925925926</v>
      </c>
      <c r="J91" s="38" t="n">
        <v>244.29</v>
      </c>
      <c r="K91" s="39" t="n">
        <f aca="false">IF(OR($A91="",NOT(ISNUMBER($D91)),NOT(ISNUMBER($H91))),"",IF(AND(ISNUMBER($J91),$J91&gt;0),$J91,IF(ISNUMBER($I91),$I91,"")))</f>
        <v>244.29</v>
      </c>
      <c r="L91" s="40" t="n">
        <f aca="false">IF(ISNUMBER($K91),$K91*$H91,"")</f>
        <v>31.7577</v>
      </c>
      <c r="M91" s="40" t="n">
        <f aca="false">IF(ISNUMBER($K91),$K91*Parâmetros!$B$6,"")</f>
        <v>24.429</v>
      </c>
      <c r="N91" s="40" t="n">
        <f aca="false">IF(ISNUMBER($K91),$K91*Parâmetros!$C$6,"")</f>
        <v>7.3287</v>
      </c>
      <c r="O91" s="40" t="n">
        <f aca="false">IF(ISNUMBER($K91),IF(ISNUMBER(Parâmetros!$E$6),Parâmetros!$E$6,0),"")</f>
        <v>0</v>
      </c>
      <c r="P91" s="41" t="n">
        <f aca="false">IF(ISNUMBER($K91),$K91-$D91-IF(ISNUMBER($E91),$E91,0)-$L91-$M91-$N91-$O91,"")</f>
        <v>56.0746</v>
      </c>
      <c r="Q91" s="42" t="n">
        <f aca="false">IF(AND(ISNUMBER($K91),$K91&gt;0),$P91/$K91,"")</f>
        <v>0.229541119161652</v>
      </c>
      <c r="R91" s="43"/>
      <c r="S91" s="44" t="str">
        <f aca="false">IF(OR(NOT(ISNUMBER($R91)),$R91=0,NOT(ISNUMBER($K91))),"",$K91*(1-$R91))</f>
        <v/>
      </c>
      <c r="T91" s="45" t="str">
        <f aca="false">IF(ISNUMBER($S91),$S91*$H91,"")</f>
        <v/>
      </c>
      <c r="U91" s="45" t="str">
        <f aca="false">IF(ISNUMBER($S91),$S91*Parâmetros!$B$6,"")</f>
        <v/>
      </c>
      <c r="V91" s="45" t="str">
        <f aca="false">IF(ISNUMBER($S91),$S91*Parâmetros!$C$6,"")</f>
        <v/>
      </c>
      <c r="W91" s="44" t="str">
        <f aca="false">IF(ISNUMBER($S91),$S91-$D91-IF(ISNUMBER($E91),$E91,0)-$O91-$T91-$U91-$V91,"")</f>
        <v/>
      </c>
      <c r="X91" s="46" t="str">
        <f aca="false">IF(AND(ISNUMBER($S91),$S91&gt;0),$W91/$S91,"")</f>
        <v/>
      </c>
      <c r="Y91" s="49" t="s">
        <v>737</v>
      </c>
      <c r="Z91" s="21" t="s">
        <v>747</v>
      </c>
    </row>
    <row r="92" customFormat="false" ht="15.75" hidden="false" customHeight="true" outlineLevel="0" collapsed="false">
      <c r="A92" s="32" t="str">
        <f aca="false">IF(Produtos!$A92="","",Produtos!$A92)</f>
        <v>P2440</v>
      </c>
      <c r="B92" s="32" t="str">
        <f aca="false">IF(Produtos!$A92="","",Produtos!$B92)</f>
        <v>Lixeira c/Tampa Pedal 24x40 20L</v>
      </c>
      <c r="C92" s="32" t="str">
        <f aca="false">IF(Produtos!$A92="","",Produtos!$C92)</f>
        <v>Lixeiras com pedal</v>
      </c>
      <c r="D92" s="33" t="n">
        <f aca="false">IF(Produtos!$A92="","",IF(Produtos!$D92="","",Produtos!$D92))</f>
        <v>140.24</v>
      </c>
      <c r="E92" s="11" t="n">
        <v>0</v>
      </c>
      <c r="F92" s="34" t="n">
        <f aca="false">IF($A92="","",IF($C92="","⚠ categoria",IFERROR(INDEX(Parâmetros!$D$13:$D$22,MATCH($C92,Parâmetros!$A$13:$A$22,0)),"⚠ categoria")))</f>
        <v>0.13</v>
      </c>
      <c r="G92" s="35"/>
      <c r="H92" s="36" t="n">
        <f aca="false">IF($A92="","",IF(ISNUMBER($G92),$G92,IF(ISNUMBER($F92),$F92,"")))</f>
        <v>0.13</v>
      </c>
      <c r="I92" s="37" t="n">
        <f aca="false">IF(OR($A92="",NOT(ISNUMBER($D92)),NOT(ISNUMBER($H92))),"",IF((1-$H92-Parâmetros!$B$6-Parâmetros!$C$6-Parâmetros!$D$6)&lt;=0,"INVALIDO",($D92+IF(ISNUMBER($E92),$E92,0)+IF(ISNUMBER(Parâmetros!$E$6),Parâmetros!$E$6,0))/(1-$H92-Parâmetros!$B$6-Parâmetros!$C$6-Parâmetros!$D$6)))</f>
        <v>259.703703703704</v>
      </c>
      <c r="J92" s="38" t="n">
        <v>273.11</v>
      </c>
      <c r="K92" s="39" t="n">
        <f aca="false">IF(OR($A92="",NOT(ISNUMBER($D92)),NOT(ISNUMBER($H92))),"",IF(AND(ISNUMBER($J92),$J92&gt;0),$J92,IF(ISNUMBER($I92),$I92,"")))</f>
        <v>273.11</v>
      </c>
      <c r="L92" s="40" t="n">
        <f aca="false">IF(ISNUMBER($K92),$K92*$H92,"")</f>
        <v>35.5043</v>
      </c>
      <c r="M92" s="40" t="n">
        <f aca="false">IF(ISNUMBER($K92),$K92*Parâmetros!$B$6,"")</f>
        <v>27.311</v>
      </c>
      <c r="N92" s="40" t="n">
        <f aca="false">IF(ISNUMBER($K92),$K92*Parâmetros!$C$6,"")</f>
        <v>8.1933</v>
      </c>
      <c r="O92" s="40" t="n">
        <f aca="false">IF(ISNUMBER($K92),IF(ISNUMBER(Parâmetros!$E$6),Parâmetros!$E$6,0),"")</f>
        <v>0</v>
      </c>
      <c r="P92" s="41" t="n">
        <f aca="false">IF(ISNUMBER($K92),$K92-$D92-IF(ISNUMBER($E92),$E92,0)-$L92-$M92-$N92-$O92,"")</f>
        <v>61.8614</v>
      </c>
      <c r="Q92" s="42" t="n">
        <f aca="false">IF(AND(ISNUMBER($K92),$K92&gt;0),$P92/$K92,"")</f>
        <v>0.226507268133719</v>
      </c>
      <c r="R92" s="43"/>
      <c r="S92" s="44" t="str">
        <f aca="false">IF(OR(NOT(ISNUMBER($R92)),$R92=0,NOT(ISNUMBER($K92))),"",$K92*(1-$R92))</f>
        <v/>
      </c>
      <c r="T92" s="45" t="str">
        <f aca="false">IF(ISNUMBER($S92),$S92*$H92,"")</f>
        <v/>
      </c>
      <c r="U92" s="45" t="str">
        <f aca="false">IF(ISNUMBER($S92),$S92*Parâmetros!$B$6,"")</f>
        <v/>
      </c>
      <c r="V92" s="45" t="str">
        <f aca="false">IF(ISNUMBER($S92),$S92*Parâmetros!$C$6,"")</f>
        <v/>
      </c>
      <c r="W92" s="44" t="str">
        <f aca="false">IF(ISNUMBER($S92),$S92-$D92-IF(ISNUMBER($E92),$E92,0)-$O92-$T92-$U92-$V92,"")</f>
        <v/>
      </c>
      <c r="X92" s="46" t="str">
        <f aca="false">IF(AND(ISNUMBER($S92),$S92&gt;0),$W92/$S92,"")</f>
        <v/>
      </c>
      <c r="Y92" s="47" t="s">
        <v>737</v>
      </c>
      <c r="Z92" s="19" t="s">
        <v>747</v>
      </c>
    </row>
    <row r="93" customFormat="false" ht="15.75" hidden="false" customHeight="true" outlineLevel="0" collapsed="false">
      <c r="A93" s="48" t="str">
        <f aca="false">IF(Produtos!$A93="","",Produtos!$A93)</f>
        <v>P3040</v>
      </c>
      <c r="B93" s="48" t="str">
        <f aca="false">IF(Produtos!$A93="","",Produtos!$B93)</f>
        <v>Lixeira c/Tampa Pedal 30x40 30L</v>
      </c>
      <c r="C93" s="48" t="str">
        <f aca="false">IF(Produtos!$A93="","",Produtos!$C93)</f>
        <v>Lixeiras com pedal</v>
      </c>
      <c r="D93" s="33" t="n">
        <f aca="false">IF(Produtos!$A93="","",IF(Produtos!$D93="","",Produtos!$D93))</f>
        <v>194.88</v>
      </c>
      <c r="E93" s="11" t="n">
        <v>0</v>
      </c>
      <c r="F93" s="34" t="n">
        <f aca="false">IF($A93="","",IF($C93="","⚠ categoria",IFERROR(INDEX(Parâmetros!$D$13:$D$22,MATCH($C93,Parâmetros!$A$13:$A$22,0)),"⚠ categoria")))</f>
        <v>0.13</v>
      </c>
      <c r="G93" s="35"/>
      <c r="H93" s="36" t="n">
        <f aca="false">IF($A93="","",IF(ISNUMBER($G93),$G93,IF(ISNUMBER($F93),$F93,"")))</f>
        <v>0.13</v>
      </c>
      <c r="I93" s="37" t="n">
        <f aca="false">IF(OR($A93="",NOT(ISNUMBER($D93)),NOT(ISNUMBER($H93))),"",IF((1-$H93-Parâmetros!$B$6-Parâmetros!$C$6-Parâmetros!$D$6)&lt;=0,"INVALIDO",($D93+IF(ISNUMBER($E93),$E93,0)+IF(ISNUMBER(Parâmetros!$E$6),Parâmetros!$E$6,0))/(1-$H93-Parâmetros!$B$6-Parâmetros!$C$6-Parâmetros!$D$6)))</f>
        <v>360.888888888889</v>
      </c>
      <c r="J93" s="38" t="n">
        <v>380.01</v>
      </c>
      <c r="K93" s="39" t="n">
        <f aca="false">IF(OR($A93="",NOT(ISNUMBER($D93)),NOT(ISNUMBER($H93))),"",IF(AND(ISNUMBER($J93),$J93&gt;0),$J93,IF(ISNUMBER($I93),$I93,"")))</f>
        <v>380.01</v>
      </c>
      <c r="L93" s="40" t="n">
        <f aca="false">IF(ISNUMBER($K93),$K93*$H93,"")</f>
        <v>49.4013</v>
      </c>
      <c r="M93" s="40" t="n">
        <f aca="false">IF(ISNUMBER($K93),$K93*Parâmetros!$B$6,"")</f>
        <v>38.001</v>
      </c>
      <c r="N93" s="40" t="n">
        <f aca="false">IF(ISNUMBER($K93),$K93*Parâmetros!$C$6,"")</f>
        <v>11.4003</v>
      </c>
      <c r="O93" s="40" t="n">
        <f aca="false">IF(ISNUMBER($K93),IF(ISNUMBER(Parâmetros!$E$6),Parâmetros!$E$6,0),"")</f>
        <v>0</v>
      </c>
      <c r="P93" s="41" t="n">
        <f aca="false">IF(ISNUMBER($K93),$K93-$D93-IF(ISNUMBER($E93),$E93,0)-$L93-$M93-$N93-$O93,"")</f>
        <v>86.3274</v>
      </c>
      <c r="Q93" s="42" t="n">
        <f aca="false">IF(AND(ISNUMBER($K93),$K93&gt;0),$P93/$K93,"")</f>
        <v>0.227171390226573</v>
      </c>
      <c r="R93" s="43"/>
      <c r="S93" s="44" t="str">
        <f aca="false">IF(OR(NOT(ISNUMBER($R93)),$R93=0,NOT(ISNUMBER($K93))),"",$K93*(1-$R93))</f>
        <v/>
      </c>
      <c r="T93" s="45" t="str">
        <f aca="false">IF(ISNUMBER($S93),$S93*$H93,"")</f>
        <v/>
      </c>
      <c r="U93" s="45" t="str">
        <f aca="false">IF(ISNUMBER($S93),$S93*Parâmetros!$B$6,"")</f>
        <v/>
      </c>
      <c r="V93" s="45" t="str">
        <f aca="false">IF(ISNUMBER($S93),$S93*Parâmetros!$C$6,"")</f>
        <v/>
      </c>
      <c r="W93" s="44" t="str">
        <f aca="false">IF(ISNUMBER($S93),$S93-$D93-IF(ISNUMBER($E93),$E93,0)-$O93-$T93-$U93-$V93,"")</f>
        <v/>
      </c>
      <c r="X93" s="46" t="str">
        <f aca="false">IF(AND(ISNUMBER($S93),$S93&gt;0),$W93/$S93,"")</f>
        <v/>
      </c>
      <c r="Y93" s="49" t="s">
        <v>737</v>
      </c>
      <c r="Z93" s="21" t="s">
        <v>748</v>
      </c>
    </row>
    <row r="94" customFormat="false" ht="15.75" hidden="false" customHeight="true" outlineLevel="0" collapsed="false">
      <c r="A94" s="32" t="str">
        <f aca="false">IF(Produtos!$A94="","",Produtos!$A94)</f>
        <v>P3050</v>
      </c>
      <c r="B94" s="32" t="str">
        <f aca="false">IF(Produtos!$A94="","",Produtos!$B94)</f>
        <v>Lixeira c/Tampa Pedal 30x50 40L</v>
      </c>
      <c r="C94" s="32" t="str">
        <f aca="false">IF(Produtos!$A94="","",Produtos!$C94)</f>
        <v>Lixeiras com pedal</v>
      </c>
      <c r="D94" s="33" t="n">
        <f aca="false">IF(Produtos!$A94="","",IF(Produtos!$D94="","",Produtos!$D94))</f>
        <v>240.55</v>
      </c>
      <c r="E94" s="11" t="n">
        <v>0</v>
      </c>
      <c r="F94" s="34" t="n">
        <f aca="false">IF($A94="","",IF($C94="","⚠ categoria",IFERROR(INDEX(Parâmetros!$D$13:$D$22,MATCH($C94,Parâmetros!$A$13:$A$22,0)),"⚠ categoria")))</f>
        <v>0.13</v>
      </c>
      <c r="G94" s="35"/>
      <c r="H94" s="36" t="n">
        <f aca="false">IF($A94="","",IF(ISNUMBER($G94),$G94,IF(ISNUMBER($F94),$F94,"")))</f>
        <v>0.13</v>
      </c>
      <c r="I94" s="37" t="n">
        <f aca="false">IF(OR($A94="",NOT(ISNUMBER($D94)),NOT(ISNUMBER($H94))),"",IF((1-$H94-Parâmetros!$B$6-Parâmetros!$C$6-Parâmetros!$D$6)&lt;=0,"INVALIDO",($D94+IF(ISNUMBER($E94),$E94,0)+IF(ISNUMBER(Parâmetros!$E$6),Parâmetros!$E$6,0))/(1-$H94-Parâmetros!$B$6-Parâmetros!$C$6-Parâmetros!$D$6)))</f>
        <v>445.462962962963</v>
      </c>
      <c r="J94" s="38" t="n">
        <v>467.67</v>
      </c>
      <c r="K94" s="39" t="n">
        <f aca="false">IF(OR($A94="",NOT(ISNUMBER($D94)),NOT(ISNUMBER($H94))),"",IF(AND(ISNUMBER($J94),$J94&gt;0),$J94,IF(ISNUMBER($I94),$I94,"")))</f>
        <v>467.67</v>
      </c>
      <c r="L94" s="40" t="n">
        <f aca="false">IF(ISNUMBER($K94),$K94*$H94,"")</f>
        <v>60.7971</v>
      </c>
      <c r="M94" s="40" t="n">
        <f aca="false">IF(ISNUMBER($K94),$K94*Parâmetros!$B$6,"")</f>
        <v>46.767</v>
      </c>
      <c r="N94" s="40" t="n">
        <f aca="false">IF(ISNUMBER($K94),$K94*Parâmetros!$C$6,"")</f>
        <v>14.0301</v>
      </c>
      <c r="O94" s="40" t="n">
        <f aca="false">IF(ISNUMBER($K94),IF(ISNUMBER(Parâmetros!$E$6),Parâmetros!$E$6,0),"")</f>
        <v>0</v>
      </c>
      <c r="P94" s="41" t="n">
        <f aca="false">IF(ISNUMBER($K94),$K94-$D94-IF(ISNUMBER($E94),$E94,0)-$L94-$M94-$N94-$O94,"")</f>
        <v>105.5258</v>
      </c>
      <c r="Q94" s="42" t="n">
        <f aca="false">IF(AND(ISNUMBER($K94),$K94&gt;0),$P94/$K94,"")</f>
        <v>0.225641584878226</v>
      </c>
      <c r="R94" s="43"/>
      <c r="S94" s="44" t="str">
        <f aca="false">IF(OR(NOT(ISNUMBER($R94)),$R94=0,NOT(ISNUMBER($K94))),"",$K94*(1-$R94))</f>
        <v/>
      </c>
      <c r="T94" s="45" t="str">
        <f aca="false">IF(ISNUMBER($S94),$S94*$H94,"")</f>
        <v/>
      </c>
      <c r="U94" s="45" t="str">
        <f aca="false">IF(ISNUMBER($S94),$S94*Parâmetros!$B$6,"")</f>
        <v/>
      </c>
      <c r="V94" s="45" t="str">
        <f aca="false">IF(ISNUMBER($S94),$S94*Parâmetros!$C$6,"")</f>
        <v/>
      </c>
      <c r="W94" s="44" t="str">
        <f aca="false">IF(ISNUMBER($S94),$S94-$D94-IF(ISNUMBER($E94),$E94,0)-$O94-$T94-$U94-$V94,"")</f>
        <v/>
      </c>
      <c r="X94" s="46" t="str">
        <f aca="false">IF(AND(ISNUMBER($S94),$S94&gt;0),$W94/$S94,"")</f>
        <v/>
      </c>
      <c r="Y94" s="47" t="s">
        <v>737</v>
      </c>
      <c r="Z94" s="19" t="s">
        <v>748</v>
      </c>
    </row>
    <row r="95" customFormat="false" ht="15.75" hidden="false" customHeight="true" outlineLevel="0" collapsed="false">
      <c r="A95" s="48" t="str">
        <f aca="false">IF(Produtos!$A95="","",Produtos!$A95)</f>
        <v>P3060</v>
      </c>
      <c r="B95" s="48" t="str">
        <f aca="false">IF(Produtos!$A95="","",Produtos!$B95)</f>
        <v>Lixeira c/Tampa Pedal 30x60 50L</v>
      </c>
      <c r="C95" s="48" t="str">
        <f aca="false">IF(Produtos!$A95="","",Produtos!$C95)</f>
        <v>Lixeiras com pedal</v>
      </c>
      <c r="D95" s="33" t="n">
        <f aca="false">IF(Produtos!$A95="","",IF(Produtos!$D95="","",Produtos!$D95))</f>
        <v>242.26</v>
      </c>
      <c r="E95" s="11" t="n">
        <v>0</v>
      </c>
      <c r="F95" s="34" t="n">
        <f aca="false">IF($A95="","",IF($C95="","⚠ categoria",IFERROR(INDEX(Parâmetros!$D$13:$D$22,MATCH($C95,Parâmetros!$A$13:$A$22,0)),"⚠ categoria")))</f>
        <v>0.13</v>
      </c>
      <c r="G95" s="35"/>
      <c r="H95" s="36" t="n">
        <f aca="false">IF($A95="","",IF(ISNUMBER($G95),$G95,IF(ISNUMBER($F95),$F95,"")))</f>
        <v>0.13</v>
      </c>
      <c r="I95" s="37" t="n">
        <f aca="false">IF(OR($A95="",NOT(ISNUMBER($D95)),NOT(ISNUMBER($H95))),"",IF((1-$H95-Parâmetros!$B$6-Parâmetros!$C$6-Parâmetros!$D$6)&lt;=0,"INVALIDO",($D95+IF(ISNUMBER($E95),$E95,0)+IF(ISNUMBER(Parâmetros!$E$6),Parâmetros!$E$6,0))/(1-$H95-Parâmetros!$B$6-Parâmetros!$C$6-Parâmetros!$D$6)))</f>
        <v>448.62962962963</v>
      </c>
      <c r="J95" s="38" t="n">
        <v>511.42</v>
      </c>
      <c r="K95" s="39" t="n">
        <f aca="false">IF(OR($A95="",NOT(ISNUMBER($D95)),NOT(ISNUMBER($H95))),"",IF(AND(ISNUMBER($J95),$J95&gt;0),$J95,IF(ISNUMBER($I95),$I95,"")))</f>
        <v>511.42</v>
      </c>
      <c r="L95" s="40" t="n">
        <f aca="false">IF(ISNUMBER($K95),$K95*$H95,"")</f>
        <v>66.4846</v>
      </c>
      <c r="M95" s="40" t="n">
        <f aca="false">IF(ISNUMBER($K95),$K95*Parâmetros!$B$6,"")</f>
        <v>51.142</v>
      </c>
      <c r="N95" s="40" t="n">
        <f aca="false">IF(ISNUMBER($K95),$K95*Parâmetros!$C$6,"")</f>
        <v>15.3426</v>
      </c>
      <c r="O95" s="40" t="n">
        <f aca="false">IF(ISNUMBER($K95),IF(ISNUMBER(Parâmetros!$E$6),Parâmetros!$E$6,0),"")</f>
        <v>0</v>
      </c>
      <c r="P95" s="41" t="n">
        <f aca="false">IF(ISNUMBER($K95),$K95-$D95-IF(ISNUMBER($E95),$E95,0)-$L95-$M95-$N95-$O95,"")</f>
        <v>136.1908</v>
      </c>
      <c r="Q95" s="42" t="n">
        <f aca="false">IF(AND(ISNUMBER($K95),$K95&gt;0),$P95/$K95,"")</f>
        <v>0.266299323452348</v>
      </c>
      <c r="R95" s="43"/>
      <c r="S95" s="44" t="str">
        <f aca="false">IF(OR(NOT(ISNUMBER($R95)),$R95=0,NOT(ISNUMBER($K95))),"",$K95*(1-$R95))</f>
        <v/>
      </c>
      <c r="T95" s="45" t="str">
        <f aca="false">IF(ISNUMBER($S95),$S95*$H95,"")</f>
        <v/>
      </c>
      <c r="U95" s="45" t="str">
        <f aca="false">IF(ISNUMBER($S95),$S95*Parâmetros!$B$6,"")</f>
        <v/>
      </c>
      <c r="V95" s="45" t="str">
        <f aca="false">IF(ISNUMBER($S95),$S95*Parâmetros!$C$6,"")</f>
        <v/>
      </c>
      <c r="W95" s="44" t="str">
        <f aca="false">IF(ISNUMBER($S95),$S95-$D95-IF(ISNUMBER($E95),$E95,0)-$O95-$T95-$U95-$V95,"")</f>
        <v/>
      </c>
      <c r="X95" s="46" t="str">
        <f aca="false">IF(AND(ISNUMBER($S95),$S95&gt;0),$W95/$S95,"")</f>
        <v/>
      </c>
      <c r="Y95" s="49" t="s">
        <v>737</v>
      </c>
      <c r="Z95" s="21" t="s">
        <v>748</v>
      </c>
    </row>
    <row r="96" customFormat="false" ht="15.75" hidden="false" customHeight="true" outlineLevel="0" collapsed="false">
      <c r="A96" s="32" t="str">
        <f aca="false">IF(Produtos!$A96="","",Produtos!$A96)</f>
        <v>P3070</v>
      </c>
      <c r="B96" s="32" t="str">
        <f aca="false">IF(Produtos!$A96="","",Produtos!$B96)</f>
        <v>Lixeira c/Tampa Pedal 30x70 60L</v>
      </c>
      <c r="C96" s="32" t="str">
        <f aca="false">IF(Produtos!$A96="","",Produtos!$C96)</f>
        <v>Lixeiras com pedal</v>
      </c>
      <c r="D96" s="33" t="n">
        <f aca="false">IF(Produtos!$A96="","",IF(Produtos!$D96="","",Produtos!$D96))</f>
        <v>307.26</v>
      </c>
      <c r="E96" s="11" t="n">
        <v>0</v>
      </c>
      <c r="F96" s="34" t="n">
        <f aca="false">IF($A96="","",IF($C96="","⚠ categoria",IFERROR(INDEX(Parâmetros!$D$13:$D$22,MATCH($C96,Parâmetros!$A$13:$A$22,0)),"⚠ categoria")))</f>
        <v>0.13</v>
      </c>
      <c r="G96" s="35"/>
      <c r="H96" s="36" t="n">
        <f aca="false">IF($A96="","",IF(ISNUMBER($G96),$G96,IF(ISNUMBER($F96),$F96,"")))</f>
        <v>0.13</v>
      </c>
      <c r="I96" s="37" t="n">
        <f aca="false">IF(OR($A96="",NOT(ISNUMBER($D96)),NOT(ISNUMBER($H96))),"",IF((1-$H96-Parâmetros!$B$6-Parâmetros!$C$6-Parâmetros!$D$6)&lt;=0,"INVALIDO",($D96+IF(ISNUMBER($E96),$E96,0)+IF(ISNUMBER(Parâmetros!$E$6),Parâmetros!$E$6,0))/(1-$H96-Parâmetros!$B$6-Parâmetros!$C$6-Parâmetros!$D$6)))</f>
        <v>569</v>
      </c>
      <c r="J96" s="38" t="n">
        <v>616.18</v>
      </c>
      <c r="K96" s="39" t="n">
        <f aca="false">IF(OR($A96="",NOT(ISNUMBER($D96)),NOT(ISNUMBER($H96))),"",IF(AND(ISNUMBER($J96),$J96&gt;0),$J96,IF(ISNUMBER($I96),$I96,"")))</f>
        <v>616.18</v>
      </c>
      <c r="L96" s="40" t="n">
        <f aca="false">IF(ISNUMBER($K96),$K96*$H96,"")</f>
        <v>80.1034</v>
      </c>
      <c r="M96" s="40" t="n">
        <f aca="false">IF(ISNUMBER($K96),$K96*Parâmetros!$B$6,"")</f>
        <v>61.618</v>
      </c>
      <c r="N96" s="40" t="n">
        <f aca="false">IF(ISNUMBER($K96),$K96*Parâmetros!$C$6,"")</f>
        <v>18.4854</v>
      </c>
      <c r="O96" s="40" t="n">
        <f aca="false">IF(ISNUMBER($K96),IF(ISNUMBER(Parâmetros!$E$6),Parâmetros!$E$6,0),"")</f>
        <v>0</v>
      </c>
      <c r="P96" s="41" t="n">
        <f aca="false">IF(ISNUMBER($K96),$K96-$D96-IF(ISNUMBER($E96),$E96,0)-$L96-$M96-$N96-$O96,"")</f>
        <v>148.7132</v>
      </c>
      <c r="Q96" s="42" t="n">
        <f aca="false">IF(AND(ISNUMBER($K96),$K96&gt;0),$P96/$K96,"")</f>
        <v>0.241347008990879</v>
      </c>
      <c r="R96" s="43"/>
      <c r="S96" s="44" t="str">
        <f aca="false">IF(OR(NOT(ISNUMBER($R96)),$R96=0,NOT(ISNUMBER($K96))),"",$K96*(1-$R96))</f>
        <v/>
      </c>
      <c r="T96" s="45" t="str">
        <f aca="false">IF(ISNUMBER($S96),$S96*$H96,"")</f>
        <v/>
      </c>
      <c r="U96" s="45" t="str">
        <f aca="false">IF(ISNUMBER($S96),$S96*Parâmetros!$B$6,"")</f>
        <v/>
      </c>
      <c r="V96" s="45" t="str">
        <f aca="false">IF(ISNUMBER($S96),$S96*Parâmetros!$C$6,"")</f>
        <v/>
      </c>
      <c r="W96" s="44" t="str">
        <f aca="false">IF(ISNUMBER($S96),$S96-$D96-IF(ISNUMBER($E96),$E96,0)-$O96-$T96-$U96-$V96,"")</f>
        <v/>
      </c>
      <c r="X96" s="46" t="str">
        <f aca="false">IF(AND(ISNUMBER($S96),$S96&gt;0),$W96/$S96,"")</f>
        <v/>
      </c>
      <c r="Y96" s="47" t="s">
        <v>737</v>
      </c>
      <c r="Z96" s="19" t="s">
        <v>748</v>
      </c>
    </row>
    <row r="97" customFormat="false" ht="15.75" hidden="false" customHeight="true" outlineLevel="0" collapsed="false">
      <c r="A97" s="48" t="str">
        <f aca="false">IF(Produtos!$A97="","",Produtos!$A97)</f>
        <v>P4050</v>
      </c>
      <c r="B97" s="48" t="str">
        <f aca="false">IF(Produtos!$A97="","",Produtos!$B97)</f>
        <v>Lixeira c/Tampa Pedal 40x50 65L</v>
      </c>
      <c r="C97" s="48" t="str">
        <f aca="false">IF(Produtos!$A97="","",Produtos!$C97)</f>
        <v>Lixeiras com pedal</v>
      </c>
      <c r="D97" s="33" t="n">
        <f aca="false">IF(Produtos!$A97="","",IF(Produtos!$D97="","",Produtos!$D97))</f>
        <v>374.18</v>
      </c>
      <c r="E97" s="11" t="n">
        <v>0</v>
      </c>
      <c r="F97" s="34" t="n">
        <f aca="false">IF($A97="","",IF($C97="","⚠ categoria",IFERROR(INDEX(Parâmetros!$D$13:$D$22,MATCH($C97,Parâmetros!$A$13:$A$22,0)),"⚠ categoria")))</f>
        <v>0.13</v>
      </c>
      <c r="G97" s="35"/>
      <c r="H97" s="36" t="n">
        <f aca="false">IF($A97="","",IF(ISNUMBER($G97),$G97,IF(ISNUMBER($F97),$F97,"")))</f>
        <v>0.13</v>
      </c>
      <c r="I97" s="37" t="n">
        <f aca="false">IF(OR($A97="",NOT(ISNUMBER($D97)),NOT(ISNUMBER($H97))),"",IF((1-$H97-Parâmetros!$B$6-Parâmetros!$C$6-Parâmetros!$D$6)&lt;=0,"INVALIDO",($D97+IF(ISNUMBER($E97),$E97,0)+IF(ISNUMBER(Parâmetros!$E$6),Parâmetros!$E$6,0))/(1-$H97-Parâmetros!$B$6-Parâmetros!$C$6-Parâmetros!$D$6)))</f>
        <v>692.925925925926</v>
      </c>
      <c r="J97" s="38" t="n">
        <v>701.76</v>
      </c>
      <c r="K97" s="39" t="n">
        <f aca="false">IF(OR($A97="",NOT(ISNUMBER($D97)),NOT(ISNUMBER($H97))),"",IF(AND(ISNUMBER($J97),$J97&gt;0),$J97,IF(ISNUMBER($I97),$I97,"")))</f>
        <v>701.76</v>
      </c>
      <c r="L97" s="40" t="n">
        <f aca="false">IF(ISNUMBER($K97),$K97*$H97,"")</f>
        <v>91.2288</v>
      </c>
      <c r="M97" s="40" t="n">
        <f aca="false">IF(ISNUMBER($K97),$K97*Parâmetros!$B$6,"")</f>
        <v>70.176</v>
      </c>
      <c r="N97" s="40" t="n">
        <f aca="false">IF(ISNUMBER($K97),$K97*Parâmetros!$C$6,"")</f>
        <v>21.0528</v>
      </c>
      <c r="O97" s="40" t="n">
        <f aca="false">IF(ISNUMBER($K97),IF(ISNUMBER(Parâmetros!$E$6),Parâmetros!$E$6,0),"")</f>
        <v>0</v>
      </c>
      <c r="P97" s="41" t="n">
        <f aca="false">IF(ISNUMBER($K97),$K97-$D97-IF(ISNUMBER($E97),$E97,0)-$L97-$M97-$N97-$O97,"")</f>
        <v>145.1224</v>
      </c>
      <c r="Q97" s="42" t="n">
        <f aca="false">IF(AND(ISNUMBER($K97),$K97&gt;0),$P97/$K97,"")</f>
        <v>0.206797765617875</v>
      </c>
      <c r="R97" s="43"/>
      <c r="S97" s="44" t="str">
        <f aca="false">IF(OR(NOT(ISNUMBER($R97)),$R97=0,NOT(ISNUMBER($K97))),"",$K97*(1-$R97))</f>
        <v/>
      </c>
      <c r="T97" s="45" t="str">
        <f aca="false">IF(ISNUMBER($S97),$S97*$H97,"")</f>
        <v/>
      </c>
      <c r="U97" s="45" t="str">
        <f aca="false">IF(ISNUMBER($S97),$S97*Parâmetros!$B$6,"")</f>
        <v/>
      </c>
      <c r="V97" s="45" t="str">
        <f aca="false">IF(ISNUMBER($S97),$S97*Parâmetros!$C$6,"")</f>
        <v/>
      </c>
      <c r="W97" s="44" t="str">
        <f aca="false">IF(ISNUMBER($S97),$S97-$D97-IF(ISNUMBER($E97),$E97,0)-$O97-$T97-$U97-$V97,"")</f>
        <v/>
      </c>
      <c r="X97" s="46" t="str">
        <f aca="false">IF(AND(ISNUMBER($S97),$S97&gt;0),$W97/$S97,"")</f>
        <v/>
      </c>
      <c r="Y97" s="49" t="s">
        <v>737</v>
      </c>
      <c r="Z97" s="21" t="s">
        <v>748</v>
      </c>
    </row>
    <row r="98" customFormat="false" ht="15.75" hidden="false" customHeight="true" outlineLevel="0" collapsed="false">
      <c r="A98" s="32" t="str">
        <f aca="false">IF(Produtos!$A98="","",Produtos!$A98)</f>
        <v>P4060</v>
      </c>
      <c r="B98" s="32" t="str">
        <f aca="false">IF(Produtos!$A98="","",Produtos!$B98)</f>
        <v>Lixeira c/Tampa Pedal 40x60 75L</v>
      </c>
      <c r="C98" s="32" t="str">
        <f aca="false">IF(Produtos!$A98="","",Produtos!$C98)</f>
        <v>Lixeiras com pedal</v>
      </c>
      <c r="D98" s="33" t="n">
        <f aca="false">IF(Produtos!$A98="","",IF(Produtos!$D98="","",Produtos!$D98))</f>
        <v>411.2</v>
      </c>
      <c r="E98" s="11" t="n">
        <v>0</v>
      </c>
      <c r="F98" s="34" t="n">
        <f aca="false">IF($A98="","",IF($C98="","⚠ categoria",IFERROR(INDEX(Parâmetros!$D$13:$D$22,MATCH($C98,Parâmetros!$A$13:$A$22,0)),"⚠ categoria")))</f>
        <v>0.13</v>
      </c>
      <c r="G98" s="35"/>
      <c r="H98" s="36" t="n">
        <f aca="false">IF($A98="","",IF(ISNUMBER($G98),$G98,IF(ISNUMBER($F98),$F98,"")))</f>
        <v>0.13</v>
      </c>
      <c r="I98" s="37" t="n">
        <f aca="false">IF(OR($A98="",NOT(ISNUMBER($D98)),NOT(ISNUMBER($H98))),"",IF((1-$H98-Parâmetros!$B$6-Parâmetros!$C$6-Parâmetros!$D$6)&lt;=0,"INVALIDO",($D98+IF(ISNUMBER($E98),$E98,0)+IF(ISNUMBER(Parâmetros!$E$6),Parâmetros!$E$6,0))/(1-$H98-Parâmetros!$B$6-Parâmetros!$C$6-Parâmetros!$D$6)))</f>
        <v>761.481481481481</v>
      </c>
      <c r="J98" s="38" t="n">
        <v>811.94</v>
      </c>
      <c r="K98" s="39" t="n">
        <f aca="false">IF(OR($A98="",NOT(ISNUMBER($D98)),NOT(ISNUMBER($H98))),"",IF(AND(ISNUMBER($J98),$J98&gt;0),$J98,IF(ISNUMBER($I98),$I98,"")))</f>
        <v>811.94</v>
      </c>
      <c r="L98" s="40" t="n">
        <f aca="false">IF(ISNUMBER($K98),$K98*$H98,"")</f>
        <v>105.5522</v>
      </c>
      <c r="M98" s="40" t="n">
        <f aca="false">IF(ISNUMBER($K98),$K98*Parâmetros!$B$6,"")</f>
        <v>81.194</v>
      </c>
      <c r="N98" s="40" t="n">
        <f aca="false">IF(ISNUMBER($K98),$K98*Parâmetros!$C$6,"")</f>
        <v>24.3582</v>
      </c>
      <c r="O98" s="40" t="n">
        <f aca="false">IF(ISNUMBER($K98),IF(ISNUMBER(Parâmetros!$E$6),Parâmetros!$E$6,0),"")</f>
        <v>0</v>
      </c>
      <c r="P98" s="41" t="n">
        <f aca="false">IF(ISNUMBER($K98),$K98-$D98-IF(ISNUMBER($E98),$E98,0)-$L98-$M98-$N98-$O98,"")</f>
        <v>189.6356</v>
      </c>
      <c r="Q98" s="42" t="n">
        <f aca="false">IF(AND(ISNUMBER($K98),$K98&gt;0),$P98/$K98,"")</f>
        <v>0.233558637337734</v>
      </c>
      <c r="R98" s="43"/>
      <c r="S98" s="44" t="str">
        <f aca="false">IF(OR(NOT(ISNUMBER($R98)),$R98=0,NOT(ISNUMBER($K98))),"",$K98*(1-$R98))</f>
        <v/>
      </c>
      <c r="T98" s="45" t="str">
        <f aca="false">IF(ISNUMBER($S98),$S98*$H98,"")</f>
        <v/>
      </c>
      <c r="U98" s="45" t="str">
        <f aca="false">IF(ISNUMBER($S98),$S98*Parâmetros!$B$6,"")</f>
        <v/>
      </c>
      <c r="V98" s="45" t="str">
        <f aca="false">IF(ISNUMBER($S98),$S98*Parâmetros!$C$6,"")</f>
        <v/>
      </c>
      <c r="W98" s="44" t="str">
        <f aca="false">IF(ISNUMBER($S98),$S98-$D98-IF(ISNUMBER($E98),$E98,0)-$O98-$T98-$U98-$V98,"")</f>
        <v/>
      </c>
      <c r="X98" s="46" t="str">
        <f aca="false">IF(AND(ISNUMBER($S98),$S98&gt;0),$W98/$S98,"")</f>
        <v/>
      </c>
      <c r="Y98" s="47" t="s">
        <v>737</v>
      </c>
      <c r="Z98" s="19" t="s">
        <v>748</v>
      </c>
    </row>
    <row r="99" customFormat="false" ht="15.75" hidden="false" customHeight="true" outlineLevel="0" collapsed="false">
      <c r="A99" s="48" t="str">
        <f aca="false">IF(Produtos!$A99="","",Produtos!$A99)</f>
        <v>P4070</v>
      </c>
      <c r="B99" s="48" t="str">
        <f aca="false">IF(Produtos!$A99="","",Produtos!$B99)</f>
        <v>Lixeira c/Tampa Pedal 40x70 80L</v>
      </c>
      <c r="C99" s="48" t="str">
        <f aca="false">IF(Produtos!$A99="","",Produtos!$C99)</f>
        <v>Lixeiras com pedal</v>
      </c>
      <c r="D99" s="33" t="n">
        <f aca="false">IF(Produtos!$A99="","",IF(Produtos!$D99="","",Produtos!$D99))</f>
        <v>416.62</v>
      </c>
      <c r="E99" s="11" t="n">
        <v>0</v>
      </c>
      <c r="F99" s="34" t="n">
        <f aca="false">IF($A99="","",IF($C99="","⚠ categoria",IFERROR(INDEX(Parâmetros!$D$13:$D$22,MATCH($C99,Parâmetros!$A$13:$A$22,0)),"⚠ categoria")))</f>
        <v>0.13</v>
      </c>
      <c r="G99" s="35"/>
      <c r="H99" s="36" t="n">
        <f aca="false">IF($A99="","",IF(ISNUMBER($G99),$G99,IF(ISNUMBER($F99),$F99,"")))</f>
        <v>0.13</v>
      </c>
      <c r="I99" s="37" t="n">
        <f aca="false">IF(OR($A99="",NOT(ISNUMBER($D99)),NOT(ISNUMBER($H99))),"",IF((1-$H99-Parâmetros!$B$6-Parâmetros!$C$6-Parâmetros!$D$6)&lt;=0,"INVALIDO",($D99+IF(ISNUMBER($E99),$E99,0)+IF(ISNUMBER(Parâmetros!$E$6),Parâmetros!$E$6,0))/(1-$H99-Parâmetros!$B$6-Parâmetros!$C$6-Parâmetros!$D$6)))</f>
        <v>771.518518518519</v>
      </c>
      <c r="J99" s="38" t="n">
        <v>820.96</v>
      </c>
      <c r="K99" s="39" t="n">
        <f aca="false">IF(OR($A99="",NOT(ISNUMBER($D99)),NOT(ISNUMBER($H99))),"",IF(AND(ISNUMBER($J99),$J99&gt;0),$J99,IF(ISNUMBER($I99),$I99,"")))</f>
        <v>820.96</v>
      </c>
      <c r="L99" s="40" t="n">
        <f aca="false">IF(ISNUMBER($K99),$K99*$H99,"")</f>
        <v>106.7248</v>
      </c>
      <c r="M99" s="40" t="n">
        <f aca="false">IF(ISNUMBER($K99),$K99*Parâmetros!$B$6,"")</f>
        <v>82.096</v>
      </c>
      <c r="N99" s="40" t="n">
        <f aca="false">IF(ISNUMBER($K99),$K99*Parâmetros!$C$6,"")</f>
        <v>24.6288</v>
      </c>
      <c r="O99" s="40" t="n">
        <f aca="false">IF(ISNUMBER($K99),IF(ISNUMBER(Parâmetros!$E$6),Parâmetros!$E$6,0),"")</f>
        <v>0</v>
      </c>
      <c r="P99" s="41" t="n">
        <f aca="false">IF(ISNUMBER($K99),$K99-$D99-IF(ISNUMBER($E99),$E99,0)-$L99-$M99-$N99-$O99,"")</f>
        <v>190.8904</v>
      </c>
      <c r="Q99" s="42" t="n">
        <f aca="false">IF(AND(ISNUMBER($K99),$K99&gt;0),$P99/$K99,"")</f>
        <v>0.232520951081661</v>
      </c>
      <c r="R99" s="43"/>
      <c r="S99" s="44" t="str">
        <f aca="false">IF(OR(NOT(ISNUMBER($R99)),$R99=0,NOT(ISNUMBER($K99))),"",$K99*(1-$R99))</f>
        <v/>
      </c>
      <c r="T99" s="45" t="str">
        <f aca="false">IF(ISNUMBER($S99),$S99*$H99,"")</f>
        <v/>
      </c>
      <c r="U99" s="45" t="str">
        <f aca="false">IF(ISNUMBER($S99),$S99*Parâmetros!$B$6,"")</f>
        <v/>
      </c>
      <c r="V99" s="45" t="str">
        <f aca="false">IF(ISNUMBER($S99),$S99*Parâmetros!$C$6,"")</f>
        <v/>
      </c>
      <c r="W99" s="44" t="str">
        <f aca="false">IF(ISNUMBER($S99),$S99-$D99-IF(ISNUMBER($E99),$E99,0)-$O99-$T99-$U99-$V99,"")</f>
        <v/>
      </c>
      <c r="X99" s="46" t="str">
        <f aca="false">IF(AND(ISNUMBER($S99),$S99&gt;0),$W99/$S99,"")</f>
        <v/>
      </c>
      <c r="Y99" s="49" t="s">
        <v>737</v>
      </c>
      <c r="Z99" s="21" t="s">
        <v>749</v>
      </c>
    </row>
    <row r="100" customFormat="false" ht="15.75" hidden="false" customHeight="true" outlineLevel="0" collapsed="false">
      <c r="A100" s="32" t="str">
        <f aca="false">IF(Produtos!$A100="","",Produtos!$A100)</f>
        <v>P4075</v>
      </c>
      <c r="B100" s="32" t="str">
        <f aca="false">IF(Produtos!$A100="","",Produtos!$B100)</f>
        <v>Lixeira c/Tampa Pedal 40x75 95L</v>
      </c>
      <c r="C100" s="32" t="str">
        <f aca="false">IF(Produtos!$A100="","",Produtos!$C100)</f>
        <v>Lixeiras com pedal</v>
      </c>
      <c r="D100" s="33" t="n">
        <f aca="false">IF(Produtos!$A100="","",IF(Produtos!$D100="","",Produtos!$D100))</f>
        <v>478.21</v>
      </c>
      <c r="E100" s="11" t="n">
        <v>0</v>
      </c>
      <c r="F100" s="34" t="n">
        <f aca="false">IF($A100="","",IF($C100="","⚠ categoria",IFERROR(INDEX(Parâmetros!$D$13:$D$22,MATCH($C100,Parâmetros!$A$13:$A$22,0)),"⚠ categoria")))</f>
        <v>0.13</v>
      </c>
      <c r="G100" s="35"/>
      <c r="H100" s="36" t="n">
        <f aca="false">IF($A100="","",IF(ISNUMBER($G100),$G100,IF(ISNUMBER($F100),$F100,"")))</f>
        <v>0.13</v>
      </c>
      <c r="I100" s="37" t="n">
        <f aca="false">IF(OR($A100="",NOT(ISNUMBER($D100)),NOT(ISNUMBER($H100))),"",IF((1-$H100-Parâmetros!$B$6-Parâmetros!$C$6-Parâmetros!$D$6)&lt;=0,"INVALIDO",($D100+IF(ISNUMBER($E100),$E100,0)+IF(ISNUMBER(Parâmetros!$E$6),Parâmetros!$E$6,0))/(1-$H100-Parâmetros!$B$6-Parâmetros!$C$6-Parâmetros!$D$6)))</f>
        <v>885.574074074074</v>
      </c>
      <c r="J100" s="38" t="n">
        <v>923.64</v>
      </c>
      <c r="K100" s="39" t="n">
        <f aca="false">IF(OR($A100="",NOT(ISNUMBER($D100)),NOT(ISNUMBER($H100))),"",IF(AND(ISNUMBER($J100),$J100&gt;0),$J100,IF(ISNUMBER($I100),$I100,"")))</f>
        <v>923.64</v>
      </c>
      <c r="L100" s="40" t="n">
        <f aca="false">IF(ISNUMBER($K100),$K100*$H100,"")</f>
        <v>120.0732</v>
      </c>
      <c r="M100" s="40" t="n">
        <f aca="false">IF(ISNUMBER($K100),$K100*Parâmetros!$B$6,"")</f>
        <v>92.364</v>
      </c>
      <c r="N100" s="40" t="n">
        <f aca="false">IF(ISNUMBER($K100),$K100*Parâmetros!$C$6,"")</f>
        <v>27.7092</v>
      </c>
      <c r="O100" s="40" t="n">
        <f aca="false">IF(ISNUMBER($K100),IF(ISNUMBER(Parâmetros!$E$6),Parâmetros!$E$6,0),"")</f>
        <v>0</v>
      </c>
      <c r="P100" s="41" t="n">
        <f aca="false">IF(ISNUMBER($K100),$K100-$D100-IF(ISNUMBER($E100),$E100,0)-$L100-$M100-$N100-$O100,"")</f>
        <v>205.2836</v>
      </c>
      <c r="Q100" s="42" t="n">
        <f aca="false">IF(AND(ISNUMBER($K100),$K100&gt;0),$P100/$K100,"")</f>
        <v>0.222254991122082</v>
      </c>
      <c r="R100" s="43"/>
      <c r="S100" s="44" t="str">
        <f aca="false">IF(OR(NOT(ISNUMBER($R100)),$R100=0,NOT(ISNUMBER($K100))),"",$K100*(1-$R100))</f>
        <v/>
      </c>
      <c r="T100" s="45" t="str">
        <f aca="false">IF(ISNUMBER($S100),$S100*$H100,"")</f>
        <v/>
      </c>
      <c r="U100" s="45" t="str">
        <f aca="false">IF(ISNUMBER($S100),$S100*Parâmetros!$B$6,"")</f>
        <v/>
      </c>
      <c r="V100" s="45" t="str">
        <f aca="false">IF(ISNUMBER($S100),$S100*Parâmetros!$C$6,"")</f>
        <v/>
      </c>
      <c r="W100" s="44" t="str">
        <f aca="false">IF(ISNUMBER($S100),$S100-$D100-IF(ISNUMBER($E100),$E100,0)-$O100-$T100-$U100-$V100,"")</f>
        <v/>
      </c>
      <c r="X100" s="46" t="str">
        <f aca="false">IF(AND(ISNUMBER($S100),$S100&gt;0),$W100/$S100,"")</f>
        <v/>
      </c>
      <c r="Y100" s="47" t="s">
        <v>737</v>
      </c>
      <c r="Z100" s="19" t="s">
        <v>749</v>
      </c>
    </row>
    <row r="101" customFormat="false" ht="15.75" hidden="false" customHeight="true" outlineLevel="0" collapsed="false">
      <c r="A101" s="48" t="str">
        <f aca="false">IF(Produtos!$A101="","",Produtos!$A101)</f>
        <v>P4080</v>
      </c>
      <c r="B101" s="48" t="str">
        <f aca="false">IF(Produtos!$A101="","",Produtos!$B101)</f>
        <v>Lixeira c/Tampa Pedal 40x80 100L</v>
      </c>
      <c r="C101" s="48" t="str">
        <f aca="false">IF(Produtos!$A101="","",Produtos!$C101)</f>
        <v>Lixeiras com pedal</v>
      </c>
      <c r="D101" s="33" t="n">
        <f aca="false">IF(Produtos!$A101="","",IF(Produtos!$D101="","",Produtos!$D101))</f>
        <v>553.79</v>
      </c>
      <c r="E101" s="11" t="n">
        <v>0</v>
      </c>
      <c r="F101" s="34" t="n">
        <f aca="false">IF($A101="","",IF($C101="","⚠ categoria",IFERROR(INDEX(Parâmetros!$D$13:$D$22,MATCH($C101,Parâmetros!$A$13:$A$22,0)),"⚠ categoria")))</f>
        <v>0.13</v>
      </c>
      <c r="G101" s="35"/>
      <c r="H101" s="36" t="n">
        <f aca="false">IF($A101="","",IF(ISNUMBER($G101),$G101,IF(ISNUMBER($F101),$F101,"")))</f>
        <v>0.13</v>
      </c>
      <c r="I101" s="37" t="n">
        <f aca="false">IF(OR($A101="",NOT(ISNUMBER($D101)),NOT(ISNUMBER($H101))),"",IF((1-$H101-Parâmetros!$B$6-Parâmetros!$C$6-Parâmetros!$D$6)&lt;=0,"INVALIDO",($D101+IF(ISNUMBER($E101),$E101,0)+IF(ISNUMBER(Parâmetros!$E$6),Parâmetros!$E$6,0))/(1-$H101-Parâmetros!$B$6-Parâmetros!$C$6-Parâmetros!$D$6)))</f>
        <v>1025.53703703704</v>
      </c>
      <c r="J101" s="38" t="n">
        <v>1070.17</v>
      </c>
      <c r="K101" s="39" t="n">
        <f aca="false">IF(OR($A101="",NOT(ISNUMBER($D101)),NOT(ISNUMBER($H101))),"",IF(AND(ISNUMBER($J101),$J101&gt;0),$J101,IF(ISNUMBER($I101),$I101,"")))</f>
        <v>1070.17</v>
      </c>
      <c r="L101" s="40" t="n">
        <f aca="false">IF(ISNUMBER($K101),$K101*$H101,"")</f>
        <v>139.1221</v>
      </c>
      <c r="M101" s="40" t="n">
        <f aca="false">IF(ISNUMBER($K101),$K101*Parâmetros!$B$6,"")</f>
        <v>107.017</v>
      </c>
      <c r="N101" s="40" t="n">
        <f aca="false">IF(ISNUMBER($K101),$K101*Parâmetros!$C$6,"")</f>
        <v>32.1051</v>
      </c>
      <c r="O101" s="40" t="n">
        <f aca="false">IF(ISNUMBER($K101),IF(ISNUMBER(Parâmetros!$E$6),Parâmetros!$E$6,0),"")</f>
        <v>0</v>
      </c>
      <c r="P101" s="41" t="n">
        <f aca="false">IF(ISNUMBER($K101),$K101-$D101-IF(ISNUMBER($E101),$E101,0)-$L101-$M101-$N101-$O101,"")</f>
        <v>238.1358</v>
      </c>
      <c r="Q101" s="42" t="n">
        <f aca="false">IF(AND(ISNUMBER($K101),$K101&gt;0),$P101/$K101,"")</f>
        <v>0.222521468551725</v>
      </c>
      <c r="R101" s="43"/>
      <c r="S101" s="44" t="str">
        <f aca="false">IF(OR(NOT(ISNUMBER($R101)),$R101=0,NOT(ISNUMBER($K101))),"",$K101*(1-$R101))</f>
        <v/>
      </c>
      <c r="T101" s="45" t="str">
        <f aca="false">IF(ISNUMBER($S101),$S101*$H101,"")</f>
        <v/>
      </c>
      <c r="U101" s="45" t="str">
        <f aca="false">IF(ISNUMBER($S101),$S101*Parâmetros!$B$6,"")</f>
        <v/>
      </c>
      <c r="V101" s="45" t="str">
        <f aca="false">IF(ISNUMBER($S101),$S101*Parâmetros!$C$6,"")</f>
        <v/>
      </c>
      <c r="W101" s="44" t="str">
        <f aca="false">IF(ISNUMBER($S101),$S101-$D101-IF(ISNUMBER($E101),$E101,0)-$O101-$T101-$U101-$V101,"")</f>
        <v/>
      </c>
      <c r="X101" s="46" t="str">
        <f aca="false">IF(AND(ISNUMBER($S101),$S101&gt;0),$W101/$S101,"")</f>
        <v/>
      </c>
      <c r="Y101" s="49" t="s">
        <v>737</v>
      </c>
      <c r="Z101" s="21" t="s">
        <v>749</v>
      </c>
    </row>
    <row r="102" customFormat="false" ht="15.75" hidden="false" customHeight="true" outlineLevel="0" collapsed="false">
      <c r="A102" s="32" t="str">
        <f aca="false">IF(Produtos!$A102="","",Produtos!$A102)</f>
        <v>P4090</v>
      </c>
      <c r="B102" s="32" t="str">
        <f aca="false">IF(Produtos!$A102="","",Produtos!$B102)</f>
        <v>Lixeira c/Tampa Pedal 40x90 120L</v>
      </c>
      <c r="C102" s="32" t="str">
        <f aca="false">IF(Produtos!$A102="","",Produtos!$C102)</f>
        <v>Lixeiras com pedal</v>
      </c>
      <c r="D102" s="33" t="n">
        <f aca="false">IF(Produtos!$A102="","",IF(Produtos!$D102="","",Produtos!$D102))</f>
        <v>771.68</v>
      </c>
      <c r="E102" s="11" t="n">
        <v>0</v>
      </c>
      <c r="F102" s="34" t="n">
        <f aca="false">IF($A102="","",IF($C102="","⚠ categoria",IFERROR(INDEX(Parâmetros!$D$13:$D$22,MATCH($C102,Parâmetros!$A$13:$A$22,0)),"⚠ categoria")))</f>
        <v>0.13</v>
      </c>
      <c r="G102" s="35"/>
      <c r="H102" s="36" t="n">
        <f aca="false">IF($A102="","",IF(ISNUMBER($G102),$G102,IF(ISNUMBER($F102),$F102,"")))</f>
        <v>0.13</v>
      </c>
      <c r="I102" s="37" t="n">
        <f aca="false">IF(OR($A102="",NOT(ISNUMBER($D102)),NOT(ISNUMBER($H102))),"",IF((1-$H102-Parâmetros!$B$6-Parâmetros!$C$6-Parâmetros!$D$6)&lt;=0,"INVALIDO",($D102+IF(ISNUMBER($E102),$E102,0)+IF(ISNUMBER(Parâmetros!$E$6),Parâmetros!$E$6,0))/(1-$H102-Parâmetros!$B$6-Parâmetros!$C$6-Parâmetros!$D$6)))</f>
        <v>1429.03703703704</v>
      </c>
      <c r="J102" s="38" t="n">
        <v>1433.32</v>
      </c>
      <c r="K102" s="39" t="n">
        <f aca="false">IF(OR($A102="",NOT(ISNUMBER($D102)),NOT(ISNUMBER($H102))),"",IF(AND(ISNUMBER($J102),$J102&gt;0),$J102,IF(ISNUMBER($I102),$I102,"")))</f>
        <v>1433.32</v>
      </c>
      <c r="L102" s="40" t="n">
        <f aca="false">IF(ISNUMBER($K102),$K102*$H102,"")</f>
        <v>186.3316</v>
      </c>
      <c r="M102" s="40" t="n">
        <f aca="false">IF(ISNUMBER($K102),$K102*Parâmetros!$B$6,"")</f>
        <v>143.332</v>
      </c>
      <c r="N102" s="40" t="n">
        <f aca="false">IF(ISNUMBER($K102),$K102*Parâmetros!$C$6,"")</f>
        <v>42.9996</v>
      </c>
      <c r="O102" s="40" t="n">
        <f aca="false">IF(ISNUMBER($K102),IF(ISNUMBER(Parâmetros!$E$6),Parâmetros!$E$6,0),"")</f>
        <v>0</v>
      </c>
      <c r="P102" s="41" t="n">
        <f aca="false">IF(ISNUMBER($K102),$K102-$D102-IF(ISNUMBER($E102),$E102,0)-$L102-$M102-$N102-$O102,"")</f>
        <v>288.9768</v>
      </c>
      <c r="Q102" s="42" t="n">
        <f aca="false">IF(AND(ISNUMBER($K102),$K102&gt;0),$P102/$K102,"")</f>
        <v>0.201613596405548</v>
      </c>
      <c r="R102" s="43"/>
      <c r="S102" s="44" t="str">
        <f aca="false">IF(OR(NOT(ISNUMBER($R102)),$R102=0,NOT(ISNUMBER($K102))),"",$K102*(1-$R102))</f>
        <v/>
      </c>
      <c r="T102" s="45" t="str">
        <f aca="false">IF(ISNUMBER($S102),$S102*$H102,"")</f>
        <v/>
      </c>
      <c r="U102" s="45" t="str">
        <f aca="false">IF(ISNUMBER($S102),$S102*Parâmetros!$B$6,"")</f>
        <v/>
      </c>
      <c r="V102" s="45" t="str">
        <f aca="false">IF(ISNUMBER($S102),$S102*Parâmetros!$C$6,"")</f>
        <v/>
      </c>
      <c r="W102" s="44" t="str">
        <f aca="false">IF(ISNUMBER($S102),$S102-$D102-IF(ISNUMBER($E102),$E102,0)-$O102-$T102-$U102-$V102,"")</f>
        <v/>
      </c>
      <c r="X102" s="46" t="str">
        <f aca="false">IF(AND(ISNUMBER($S102),$S102&gt;0),$W102/$S102,"")</f>
        <v/>
      </c>
      <c r="Y102" s="47" t="s">
        <v>737</v>
      </c>
      <c r="Z102" s="19" t="s">
        <v>749</v>
      </c>
    </row>
    <row r="103" customFormat="false" ht="15.75" hidden="false" customHeight="true" outlineLevel="0" collapsed="false">
      <c r="A103" s="48" t="str">
        <f aca="false">IF(Produtos!$A103="","",Produtos!$A103)</f>
        <v>L2425-BC</v>
      </c>
      <c r="B103" s="48" t="str">
        <f aca="false">IF(Produtos!$A103="","",Produtos!$B103)</f>
        <v>Lixeira de Aço inox 24x25 13L c/Aro basculante colorido</v>
      </c>
      <c r="C103" s="48" t="str">
        <f aca="false">IF(Produtos!$A103="","",Produtos!$C103)</f>
        <v>Lixeiras em inox</v>
      </c>
      <c r="D103" s="33" t="n">
        <f aca="false">IF(Produtos!$A103="","",IF(Produtos!$D103="","",Produtos!$D103))</f>
        <v>110.45</v>
      </c>
      <c r="E103" s="11" t="n">
        <v>0</v>
      </c>
      <c r="F103" s="34" t="n">
        <f aca="false">IF($A103="","",IF($C103="","⚠ categoria",IFERROR(INDEX(Parâmetros!$D$13:$D$22,MATCH($C103,Parâmetros!$A$13:$A$22,0)),"⚠ categoria")))</f>
        <v>0.13</v>
      </c>
      <c r="G103" s="35"/>
      <c r="H103" s="36" t="n">
        <f aca="false">IF($A103="","",IF(ISNUMBER($G103),$G103,IF(ISNUMBER($F103),$F103,"")))</f>
        <v>0.13</v>
      </c>
      <c r="I103" s="37" t="n">
        <f aca="false">IF(OR($A103="",NOT(ISNUMBER($D103)),NOT(ISNUMBER($H103))),"",IF((1-$H103-Parâmetros!$B$6-Parâmetros!$C$6-Parâmetros!$D$6)&lt;=0,"INVALIDO",($D103+IF(ISNUMBER($E103),$E103,0)+IF(ISNUMBER(Parâmetros!$E$6),Parâmetros!$E$6,0))/(1-$H103-Parâmetros!$B$6-Parâmetros!$C$6-Parâmetros!$D$6)))</f>
        <v>204.537037037037</v>
      </c>
      <c r="J103" s="38"/>
      <c r="K103" s="39" t="n">
        <f aca="false">IF(OR($A103="",NOT(ISNUMBER($D103)),NOT(ISNUMBER($H103))),"",IF(AND(ISNUMBER($J103),$J103&gt;0),$J103,IF(ISNUMBER($I103),$I103,"")))</f>
        <v>204.537037037037</v>
      </c>
      <c r="L103" s="40" t="n">
        <f aca="false">IF(ISNUMBER($K103),$K103*$H103,"")</f>
        <v>26.5898148148148</v>
      </c>
      <c r="M103" s="40" t="n">
        <f aca="false">IF(ISNUMBER($K103),$K103*Parâmetros!$B$6,"")</f>
        <v>20.4537037037037</v>
      </c>
      <c r="N103" s="40" t="n">
        <f aca="false">IF(ISNUMBER($K103),$K103*Parâmetros!$C$6,"")</f>
        <v>6.13611111111111</v>
      </c>
      <c r="O103" s="40" t="n">
        <f aca="false">IF(ISNUMBER($K103),IF(ISNUMBER(Parâmetros!$E$6),Parâmetros!$E$6,0),"")</f>
        <v>0</v>
      </c>
      <c r="P103" s="41" t="n">
        <f aca="false">IF(ISNUMBER($K103),$K103-$D103-IF(ISNUMBER($E103),$E103,0)-$L103-$M103-$N103-$O103,"")</f>
        <v>40.9074074074074</v>
      </c>
      <c r="Q103" s="42" t="n">
        <f aca="false">IF(AND(ISNUMBER($K103),$K103&gt;0),$P103/$K103,"")</f>
        <v>0.2</v>
      </c>
      <c r="R103" s="43"/>
      <c r="S103" s="44" t="str">
        <f aca="false">IF(OR(NOT(ISNUMBER($R103)),$R103=0,NOT(ISNUMBER($K103))),"",$K103*(1-$R103))</f>
        <v/>
      </c>
      <c r="T103" s="45" t="str">
        <f aca="false">IF(ISNUMBER($S103),$S103*$H103,"")</f>
        <v/>
      </c>
      <c r="U103" s="45" t="str">
        <f aca="false">IF(ISNUMBER($S103),$S103*Parâmetros!$B$6,"")</f>
        <v/>
      </c>
      <c r="V103" s="45" t="str">
        <f aca="false">IF(ISNUMBER($S103),$S103*Parâmetros!$C$6,"")</f>
        <v/>
      </c>
      <c r="W103" s="44" t="str">
        <f aca="false">IF(ISNUMBER($S103),$S103-$D103-IF(ISNUMBER($E103),$E103,0)-$O103-$T103-$U103-$V103,"")</f>
        <v/>
      </c>
      <c r="X103" s="46" t="str">
        <f aca="false">IF(AND(ISNUMBER($S103),$S103&gt;0),$W103/$S103,"")</f>
        <v/>
      </c>
      <c r="Y103" s="49"/>
      <c r="Z103" s="21"/>
    </row>
    <row r="104" customFormat="false" ht="15.75" hidden="false" customHeight="true" outlineLevel="0" collapsed="false">
      <c r="A104" s="32" t="str">
        <f aca="false">IF(Produtos!$A104="","",Produtos!$A104)</f>
        <v>L2430-BC</v>
      </c>
      <c r="B104" s="32" t="str">
        <f aca="false">IF(Produtos!$A104="","",Produtos!$B104)</f>
        <v>Lixeira de Aço inox 24x30 15L c/Aro basculante colorido</v>
      </c>
      <c r="C104" s="32" t="str">
        <f aca="false">IF(Produtos!$A104="","",Produtos!$C104)</f>
        <v>Lixeiras em inox</v>
      </c>
      <c r="D104" s="33" t="n">
        <f aca="false">IF(Produtos!$A104="","",IF(Produtos!$D104="","",Produtos!$D104))</f>
        <v>120.38</v>
      </c>
      <c r="E104" s="11" t="n">
        <v>0</v>
      </c>
      <c r="F104" s="34" t="n">
        <f aca="false">IF($A104="","",IF($C104="","⚠ categoria",IFERROR(INDEX(Parâmetros!$D$13:$D$22,MATCH($C104,Parâmetros!$A$13:$A$22,0)),"⚠ categoria")))</f>
        <v>0.13</v>
      </c>
      <c r="G104" s="35"/>
      <c r="H104" s="36" t="n">
        <f aca="false">IF($A104="","",IF(ISNUMBER($G104),$G104,IF(ISNUMBER($F104),$F104,"")))</f>
        <v>0.13</v>
      </c>
      <c r="I104" s="37" t="n">
        <f aca="false">IF(OR($A104="",NOT(ISNUMBER($D104)),NOT(ISNUMBER($H104))),"",IF((1-$H104-Parâmetros!$B$6-Parâmetros!$C$6-Parâmetros!$D$6)&lt;=0,"INVALIDO",($D104+IF(ISNUMBER($E104),$E104,0)+IF(ISNUMBER(Parâmetros!$E$6),Parâmetros!$E$6,0))/(1-$H104-Parâmetros!$B$6-Parâmetros!$C$6-Parâmetros!$D$6)))</f>
        <v>222.925925925926</v>
      </c>
      <c r="J104" s="38"/>
      <c r="K104" s="39" t="n">
        <f aca="false">IF(OR($A104="",NOT(ISNUMBER($D104)),NOT(ISNUMBER($H104))),"",IF(AND(ISNUMBER($J104),$J104&gt;0),$J104,IF(ISNUMBER($I104),$I104,"")))</f>
        <v>222.925925925926</v>
      </c>
      <c r="L104" s="40" t="n">
        <f aca="false">IF(ISNUMBER($K104),$K104*$H104,"")</f>
        <v>28.9803703703704</v>
      </c>
      <c r="M104" s="40" t="n">
        <f aca="false">IF(ISNUMBER($K104),$K104*Parâmetros!$B$6,"")</f>
        <v>22.2925925925926</v>
      </c>
      <c r="N104" s="40" t="n">
        <f aca="false">IF(ISNUMBER($K104),$K104*Parâmetros!$C$6,"")</f>
        <v>6.68777777777778</v>
      </c>
      <c r="O104" s="40" t="n">
        <f aca="false">IF(ISNUMBER($K104),IF(ISNUMBER(Parâmetros!$E$6),Parâmetros!$E$6,0),"")</f>
        <v>0</v>
      </c>
      <c r="P104" s="41" t="n">
        <f aca="false">IF(ISNUMBER($K104),$K104-$D104-IF(ISNUMBER($E104),$E104,0)-$L104-$M104-$N104-$O104,"")</f>
        <v>44.5851851851852</v>
      </c>
      <c r="Q104" s="42" t="n">
        <f aca="false">IF(AND(ISNUMBER($K104),$K104&gt;0),$P104/$K104,"")</f>
        <v>0.2</v>
      </c>
      <c r="R104" s="43"/>
      <c r="S104" s="44" t="str">
        <f aca="false">IF(OR(NOT(ISNUMBER($R104)),$R104=0,NOT(ISNUMBER($K104))),"",$K104*(1-$R104))</f>
        <v/>
      </c>
      <c r="T104" s="45" t="str">
        <f aca="false">IF(ISNUMBER($S104),$S104*$H104,"")</f>
        <v/>
      </c>
      <c r="U104" s="45" t="str">
        <f aca="false">IF(ISNUMBER($S104),$S104*Parâmetros!$B$6,"")</f>
        <v/>
      </c>
      <c r="V104" s="45" t="str">
        <f aca="false">IF(ISNUMBER($S104),$S104*Parâmetros!$C$6,"")</f>
        <v/>
      </c>
      <c r="W104" s="44" t="str">
        <f aca="false">IF(ISNUMBER($S104),$S104-$D104-IF(ISNUMBER($E104),$E104,0)-$O104-$T104-$U104-$V104,"")</f>
        <v/>
      </c>
      <c r="X104" s="46" t="str">
        <f aca="false">IF(AND(ISNUMBER($S104),$S104&gt;0),$W104/$S104,"")</f>
        <v/>
      </c>
      <c r="Y104" s="47"/>
      <c r="Z104" s="19"/>
    </row>
    <row r="105" customFormat="false" ht="15.75" hidden="false" customHeight="true" outlineLevel="0" collapsed="false">
      <c r="A105" s="48" t="str">
        <f aca="false">IF(Produtos!$A105="","",Produtos!$A105)</f>
        <v>L2440-BC</v>
      </c>
      <c r="B105" s="48" t="str">
        <f aca="false">IF(Produtos!$A105="","",Produtos!$B105)</f>
        <v>Lixeira de Aço inox 24x40 20L c/Aro basculante colorido</v>
      </c>
      <c r="C105" s="48" t="str">
        <f aca="false">IF(Produtos!$A105="","",Produtos!$C105)</f>
        <v>Lixeiras em inox</v>
      </c>
      <c r="D105" s="33" t="n">
        <f aca="false">IF(Produtos!$A105="","",IF(Produtos!$D105="","",Produtos!$D105))</f>
        <v>137.47</v>
      </c>
      <c r="E105" s="11" t="n">
        <v>0</v>
      </c>
      <c r="F105" s="34" t="n">
        <f aca="false">IF($A105="","",IF($C105="","⚠ categoria",IFERROR(INDEX(Parâmetros!$D$13:$D$22,MATCH($C105,Parâmetros!$A$13:$A$22,0)),"⚠ categoria")))</f>
        <v>0.13</v>
      </c>
      <c r="G105" s="35"/>
      <c r="H105" s="36" t="n">
        <f aca="false">IF($A105="","",IF(ISNUMBER($G105),$G105,IF(ISNUMBER($F105),$F105,"")))</f>
        <v>0.13</v>
      </c>
      <c r="I105" s="37" t="n">
        <f aca="false">IF(OR($A105="",NOT(ISNUMBER($D105)),NOT(ISNUMBER($H105))),"",IF((1-$H105-Parâmetros!$B$6-Parâmetros!$C$6-Parâmetros!$D$6)&lt;=0,"INVALIDO",($D105+IF(ISNUMBER($E105),$E105,0)+IF(ISNUMBER(Parâmetros!$E$6),Parâmetros!$E$6,0))/(1-$H105-Parâmetros!$B$6-Parâmetros!$C$6-Parâmetros!$D$6)))</f>
        <v>254.574074074074</v>
      </c>
      <c r="J105" s="38"/>
      <c r="K105" s="39" t="n">
        <f aca="false">IF(OR($A105="",NOT(ISNUMBER($D105)),NOT(ISNUMBER($H105))),"",IF(AND(ISNUMBER($J105),$J105&gt;0),$J105,IF(ISNUMBER($I105),$I105,"")))</f>
        <v>254.574074074074</v>
      </c>
      <c r="L105" s="40" t="n">
        <f aca="false">IF(ISNUMBER($K105),$K105*$H105,"")</f>
        <v>33.0946296296296</v>
      </c>
      <c r="M105" s="40" t="n">
        <f aca="false">IF(ISNUMBER($K105),$K105*Parâmetros!$B$6,"")</f>
        <v>25.4574074074074</v>
      </c>
      <c r="N105" s="40" t="n">
        <f aca="false">IF(ISNUMBER($K105),$K105*Parâmetros!$C$6,"")</f>
        <v>7.63722222222222</v>
      </c>
      <c r="O105" s="40" t="n">
        <f aca="false">IF(ISNUMBER($K105),IF(ISNUMBER(Parâmetros!$E$6),Parâmetros!$E$6,0),"")</f>
        <v>0</v>
      </c>
      <c r="P105" s="41" t="n">
        <f aca="false">IF(ISNUMBER($K105),$K105-$D105-IF(ISNUMBER($E105),$E105,0)-$L105-$M105-$N105-$O105,"")</f>
        <v>50.9148148148148</v>
      </c>
      <c r="Q105" s="42" t="n">
        <f aca="false">IF(AND(ISNUMBER($K105),$K105&gt;0),$P105/$K105,"")</f>
        <v>0.2</v>
      </c>
      <c r="R105" s="43"/>
      <c r="S105" s="44" t="str">
        <f aca="false">IF(OR(NOT(ISNUMBER($R105)),$R105=0,NOT(ISNUMBER($K105))),"",$K105*(1-$R105))</f>
        <v/>
      </c>
      <c r="T105" s="45" t="str">
        <f aca="false">IF(ISNUMBER($S105),$S105*$H105,"")</f>
        <v/>
      </c>
      <c r="U105" s="45" t="str">
        <f aca="false">IF(ISNUMBER($S105),$S105*Parâmetros!$B$6,"")</f>
        <v/>
      </c>
      <c r="V105" s="45" t="str">
        <f aca="false">IF(ISNUMBER($S105),$S105*Parâmetros!$C$6,"")</f>
        <v/>
      </c>
      <c r="W105" s="44" t="str">
        <f aca="false">IF(ISNUMBER($S105),$S105-$D105-IF(ISNUMBER($E105),$E105,0)-$O105-$T105-$U105-$V105,"")</f>
        <v/>
      </c>
      <c r="X105" s="46" t="str">
        <f aca="false">IF(AND(ISNUMBER($S105),$S105&gt;0),$W105/$S105,"")</f>
        <v/>
      </c>
      <c r="Y105" s="49"/>
      <c r="Z105" s="21"/>
    </row>
    <row r="106" customFormat="false" ht="15.75" hidden="false" customHeight="true" outlineLevel="0" collapsed="false">
      <c r="A106" s="32" t="str">
        <f aca="false">IF(Produtos!$A106="","",Produtos!$A106)</f>
        <v>L2450-BC</v>
      </c>
      <c r="B106" s="32" t="str">
        <f aca="false">IF(Produtos!$A106="","",Produtos!$B106)</f>
        <v>Lixeira de Aço inox 24x50 25L c/Aro basculante colorido</v>
      </c>
      <c r="C106" s="32" t="str">
        <f aca="false">IF(Produtos!$A106="","",Produtos!$C106)</f>
        <v>Lixeiras em inox</v>
      </c>
      <c r="D106" s="33" t="n">
        <f aca="false">IF(Produtos!$A106="","",IF(Produtos!$D106="","",Produtos!$D106))</f>
        <v>168.27</v>
      </c>
      <c r="E106" s="11" t="n">
        <v>0</v>
      </c>
      <c r="F106" s="34" t="n">
        <f aca="false">IF($A106="","",IF($C106="","⚠ categoria",IFERROR(INDEX(Parâmetros!$D$13:$D$22,MATCH($C106,Parâmetros!$A$13:$A$22,0)),"⚠ categoria")))</f>
        <v>0.13</v>
      </c>
      <c r="G106" s="35"/>
      <c r="H106" s="36" t="n">
        <f aca="false">IF($A106="","",IF(ISNUMBER($G106),$G106,IF(ISNUMBER($F106),$F106,"")))</f>
        <v>0.13</v>
      </c>
      <c r="I106" s="37" t="n">
        <f aca="false">IF(OR($A106="",NOT(ISNUMBER($D106)),NOT(ISNUMBER($H106))),"",IF((1-$H106-Parâmetros!$B$6-Parâmetros!$C$6-Parâmetros!$D$6)&lt;=0,"INVALIDO",($D106+IF(ISNUMBER($E106),$E106,0)+IF(ISNUMBER(Parâmetros!$E$6),Parâmetros!$E$6,0))/(1-$H106-Parâmetros!$B$6-Parâmetros!$C$6-Parâmetros!$D$6)))</f>
        <v>311.611111111111</v>
      </c>
      <c r="J106" s="38"/>
      <c r="K106" s="39" t="n">
        <f aca="false">IF(OR($A106="",NOT(ISNUMBER($D106)),NOT(ISNUMBER($H106))),"",IF(AND(ISNUMBER($J106),$J106&gt;0),$J106,IF(ISNUMBER($I106),$I106,"")))</f>
        <v>311.611111111111</v>
      </c>
      <c r="L106" s="40" t="n">
        <f aca="false">IF(ISNUMBER($K106),$K106*$H106,"")</f>
        <v>40.5094444444444</v>
      </c>
      <c r="M106" s="40" t="n">
        <f aca="false">IF(ISNUMBER($K106),$K106*Parâmetros!$B$6,"")</f>
        <v>31.1611111111111</v>
      </c>
      <c r="N106" s="40" t="n">
        <f aca="false">IF(ISNUMBER($K106),$K106*Parâmetros!$C$6,"")</f>
        <v>9.34833333333333</v>
      </c>
      <c r="O106" s="40" t="n">
        <f aca="false">IF(ISNUMBER($K106),IF(ISNUMBER(Parâmetros!$E$6),Parâmetros!$E$6,0),"")</f>
        <v>0</v>
      </c>
      <c r="P106" s="41" t="n">
        <f aca="false">IF(ISNUMBER($K106),$K106-$D106-IF(ISNUMBER($E106),$E106,0)-$L106-$M106-$N106-$O106,"")</f>
        <v>62.3222222222222</v>
      </c>
      <c r="Q106" s="42" t="n">
        <f aca="false">IF(AND(ISNUMBER($K106),$K106&gt;0),$P106/$K106,"")</f>
        <v>0.2</v>
      </c>
      <c r="R106" s="43"/>
      <c r="S106" s="44" t="str">
        <f aca="false">IF(OR(NOT(ISNUMBER($R106)),$R106=0,NOT(ISNUMBER($K106))),"",$K106*(1-$R106))</f>
        <v/>
      </c>
      <c r="T106" s="45" t="str">
        <f aca="false">IF(ISNUMBER($S106),$S106*$H106,"")</f>
        <v/>
      </c>
      <c r="U106" s="45" t="str">
        <f aca="false">IF(ISNUMBER($S106),$S106*Parâmetros!$B$6,"")</f>
        <v/>
      </c>
      <c r="V106" s="45" t="str">
        <f aca="false">IF(ISNUMBER($S106),$S106*Parâmetros!$C$6,"")</f>
        <v/>
      </c>
      <c r="W106" s="44" t="str">
        <f aca="false">IF(ISNUMBER($S106),$S106-$D106-IF(ISNUMBER($E106),$E106,0)-$O106-$T106-$U106-$V106,"")</f>
        <v/>
      </c>
      <c r="X106" s="46" t="str">
        <f aca="false">IF(AND(ISNUMBER($S106),$S106&gt;0),$W106/$S106,"")</f>
        <v/>
      </c>
      <c r="Y106" s="47"/>
      <c r="Z106" s="19"/>
    </row>
    <row r="107" customFormat="false" ht="15.75" hidden="false" customHeight="true" outlineLevel="0" collapsed="false">
      <c r="A107" s="48" t="str">
        <f aca="false">IF(Produtos!$A107="","",Produtos!$A107)</f>
        <v>L2460-BC</v>
      </c>
      <c r="B107" s="48" t="str">
        <f aca="false">IF(Produtos!$A107="","",Produtos!$B107)</f>
        <v>Lixeira de Aço inox 24x60 27L c/Aro basculante colorido</v>
      </c>
      <c r="C107" s="48" t="str">
        <f aca="false">IF(Produtos!$A107="","",Produtos!$C107)</f>
        <v>Lixeiras em inox</v>
      </c>
      <c r="D107" s="33" t="n">
        <f aca="false">IF(Produtos!$A107="","",IF(Produtos!$D107="","",Produtos!$D107))</f>
        <v>169.79</v>
      </c>
      <c r="E107" s="11" t="n">
        <v>0</v>
      </c>
      <c r="F107" s="34" t="n">
        <f aca="false">IF($A107="","",IF($C107="","⚠ categoria",IFERROR(INDEX(Parâmetros!$D$13:$D$22,MATCH($C107,Parâmetros!$A$13:$A$22,0)),"⚠ categoria")))</f>
        <v>0.13</v>
      </c>
      <c r="G107" s="35"/>
      <c r="H107" s="36" t="n">
        <f aca="false">IF($A107="","",IF(ISNUMBER($G107),$G107,IF(ISNUMBER($F107),$F107,"")))</f>
        <v>0.13</v>
      </c>
      <c r="I107" s="37" t="n">
        <f aca="false">IF(OR($A107="",NOT(ISNUMBER($D107)),NOT(ISNUMBER($H107))),"",IF((1-$H107-Parâmetros!$B$6-Parâmetros!$C$6-Parâmetros!$D$6)&lt;=0,"INVALIDO",($D107+IF(ISNUMBER($E107),$E107,0)+IF(ISNUMBER(Parâmetros!$E$6),Parâmetros!$E$6,0))/(1-$H107-Parâmetros!$B$6-Parâmetros!$C$6-Parâmetros!$D$6)))</f>
        <v>314.425925925926</v>
      </c>
      <c r="J107" s="38"/>
      <c r="K107" s="39" t="n">
        <f aca="false">IF(OR($A107="",NOT(ISNUMBER($D107)),NOT(ISNUMBER($H107))),"",IF(AND(ISNUMBER($J107),$J107&gt;0),$J107,IF(ISNUMBER($I107),$I107,"")))</f>
        <v>314.425925925926</v>
      </c>
      <c r="L107" s="40" t="n">
        <f aca="false">IF(ISNUMBER($K107),$K107*$H107,"")</f>
        <v>40.8753703703704</v>
      </c>
      <c r="M107" s="40" t="n">
        <f aca="false">IF(ISNUMBER($K107),$K107*Parâmetros!$B$6,"")</f>
        <v>31.4425925925926</v>
      </c>
      <c r="N107" s="40" t="n">
        <f aca="false">IF(ISNUMBER($K107),$K107*Parâmetros!$C$6,"")</f>
        <v>9.43277777777778</v>
      </c>
      <c r="O107" s="40" t="n">
        <f aca="false">IF(ISNUMBER($K107),IF(ISNUMBER(Parâmetros!$E$6),Parâmetros!$E$6,0),"")</f>
        <v>0</v>
      </c>
      <c r="P107" s="41" t="n">
        <f aca="false">IF(ISNUMBER($K107),$K107-$D107-IF(ISNUMBER($E107),$E107,0)-$L107-$M107-$N107-$O107,"")</f>
        <v>62.8851851851852</v>
      </c>
      <c r="Q107" s="42" t="n">
        <f aca="false">IF(AND(ISNUMBER($K107),$K107&gt;0),$P107/$K107,"")</f>
        <v>0.2</v>
      </c>
      <c r="R107" s="43"/>
      <c r="S107" s="44" t="str">
        <f aca="false">IF(OR(NOT(ISNUMBER($R107)),$R107=0,NOT(ISNUMBER($K107))),"",$K107*(1-$R107))</f>
        <v/>
      </c>
      <c r="T107" s="45" t="str">
        <f aca="false">IF(ISNUMBER($S107),$S107*$H107,"")</f>
        <v/>
      </c>
      <c r="U107" s="45" t="str">
        <f aca="false">IF(ISNUMBER($S107),$S107*Parâmetros!$B$6,"")</f>
        <v/>
      </c>
      <c r="V107" s="45" t="str">
        <f aca="false">IF(ISNUMBER($S107),$S107*Parâmetros!$C$6,"")</f>
        <v/>
      </c>
      <c r="W107" s="44" t="str">
        <f aca="false">IF(ISNUMBER($S107),$S107-$D107-IF(ISNUMBER($E107),$E107,0)-$O107-$T107-$U107-$V107,"")</f>
        <v/>
      </c>
      <c r="X107" s="46" t="str">
        <f aca="false">IF(AND(ISNUMBER($S107),$S107&gt;0),$W107/$S107,"")</f>
        <v/>
      </c>
      <c r="Y107" s="49"/>
      <c r="Z107" s="21"/>
    </row>
    <row r="108" customFormat="false" ht="15.75" hidden="false" customHeight="true" outlineLevel="0" collapsed="false">
      <c r="A108" s="32" t="str">
        <f aca="false">IF(Produtos!$A108="","",Produtos!$A108)</f>
        <v>L2470-BC</v>
      </c>
      <c r="B108" s="32" t="str">
        <f aca="false">IF(Produtos!$A108="","",Produtos!$B108)</f>
        <v>Lixeira de Aço inox 24x70 30L c/Aro basculante colorido</v>
      </c>
      <c r="C108" s="32" t="str">
        <f aca="false">IF(Produtos!$A108="","",Produtos!$C108)</f>
        <v>Lixeiras em inox</v>
      </c>
      <c r="D108" s="33" t="n">
        <f aca="false">IF(Produtos!$A108="","",IF(Produtos!$D108="","",Produtos!$D108))</f>
        <v>235.59</v>
      </c>
      <c r="E108" s="11" t="n">
        <v>0</v>
      </c>
      <c r="F108" s="34" t="n">
        <f aca="false">IF($A108="","",IF($C108="","⚠ categoria",IFERROR(INDEX(Parâmetros!$D$13:$D$22,MATCH($C108,Parâmetros!$A$13:$A$22,0)),"⚠ categoria")))</f>
        <v>0.13</v>
      </c>
      <c r="G108" s="35"/>
      <c r="H108" s="36" t="n">
        <f aca="false">IF($A108="","",IF(ISNUMBER($G108),$G108,IF(ISNUMBER($F108),$F108,"")))</f>
        <v>0.13</v>
      </c>
      <c r="I108" s="37" t="n">
        <f aca="false">IF(OR($A108="",NOT(ISNUMBER($D108)),NOT(ISNUMBER($H108))),"",IF((1-$H108-Parâmetros!$B$6-Parâmetros!$C$6-Parâmetros!$D$6)&lt;=0,"INVALIDO",($D108+IF(ISNUMBER($E108),$E108,0)+IF(ISNUMBER(Parâmetros!$E$6),Parâmetros!$E$6,0))/(1-$H108-Parâmetros!$B$6-Parâmetros!$C$6-Parâmetros!$D$6)))</f>
        <v>436.277777777778</v>
      </c>
      <c r="J108" s="38"/>
      <c r="K108" s="39" t="n">
        <f aca="false">IF(OR($A108="",NOT(ISNUMBER($D108)),NOT(ISNUMBER($H108))),"",IF(AND(ISNUMBER($J108),$J108&gt;0),$J108,IF(ISNUMBER($I108),$I108,"")))</f>
        <v>436.277777777778</v>
      </c>
      <c r="L108" s="40" t="n">
        <f aca="false">IF(ISNUMBER($K108),$K108*$H108,"")</f>
        <v>56.7161111111111</v>
      </c>
      <c r="M108" s="40" t="n">
        <f aca="false">IF(ISNUMBER($K108),$K108*Parâmetros!$B$6,"")</f>
        <v>43.6277777777778</v>
      </c>
      <c r="N108" s="40" t="n">
        <f aca="false">IF(ISNUMBER($K108),$K108*Parâmetros!$C$6,"")</f>
        <v>13.0883333333333</v>
      </c>
      <c r="O108" s="40" t="n">
        <f aca="false">IF(ISNUMBER($K108),IF(ISNUMBER(Parâmetros!$E$6),Parâmetros!$E$6,0),"")</f>
        <v>0</v>
      </c>
      <c r="P108" s="41" t="n">
        <f aca="false">IF(ISNUMBER($K108),$K108-$D108-IF(ISNUMBER($E108),$E108,0)-$L108-$M108-$N108-$O108,"")</f>
        <v>87.2555555555556</v>
      </c>
      <c r="Q108" s="42" t="n">
        <f aca="false">IF(AND(ISNUMBER($K108),$K108&gt;0),$P108/$K108,"")</f>
        <v>0.2</v>
      </c>
      <c r="R108" s="43"/>
      <c r="S108" s="44" t="str">
        <f aca="false">IF(OR(NOT(ISNUMBER($R108)),$R108=0,NOT(ISNUMBER($K108))),"",$K108*(1-$R108))</f>
        <v/>
      </c>
      <c r="T108" s="45" t="str">
        <f aca="false">IF(ISNUMBER($S108),$S108*$H108,"")</f>
        <v/>
      </c>
      <c r="U108" s="45" t="str">
        <f aca="false">IF(ISNUMBER($S108),$S108*Parâmetros!$B$6,"")</f>
        <v/>
      </c>
      <c r="V108" s="45" t="str">
        <f aca="false">IF(ISNUMBER($S108),$S108*Parâmetros!$C$6,"")</f>
        <v/>
      </c>
      <c r="W108" s="44" t="str">
        <f aca="false">IF(ISNUMBER($S108),$S108-$D108-IF(ISNUMBER($E108),$E108,0)-$O108-$T108-$U108-$V108,"")</f>
        <v/>
      </c>
      <c r="X108" s="46" t="str">
        <f aca="false">IF(AND(ISNUMBER($S108),$S108&gt;0),$W108/$S108,"")</f>
        <v/>
      </c>
      <c r="Y108" s="47"/>
      <c r="Z108" s="19"/>
    </row>
    <row r="109" customFormat="false" ht="15.75" hidden="false" customHeight="true" outlineLevel="0" collapsed="false">
      <c r="A109" s="48" t="str">
        <f aca="false">IF(Produtos!$A109="","",Produtos!$A109)</f>
        <v>L3040-BC</v>
      </c>
      <c r="B109" s="48" t="str">
        <f aca="false">IF(Produtos!$A109="","",Produtos!$B109)</f>
        <v>Lixeira de Aço inox 30x40 30L c/Aro basculante colorido</v>
      </c>
      <c r="C109" s="48" t="str">
        <f aca="false">IF(Produtos!$A109="","",Produtos!$C109)</f>
        <v>Lixeiras em inox</v>
      </c>
      <c r="D109" s="33" t="n">
        <f aca="false">IF(Produtos!$A109="","",IF(Produtos!$D109="","",Produtos!$D109))</f>
        <v>193.14</v>
      </c>
      <c r="E109" s="11" t="n">
        <v>0</v>
      </c>
      <c r="F109" s="34" t="n">
        <f aca="false">IF($A109="","",IF($C109="","⚠ categoria",IFERROR(INDEX(Parâmetros!$D$13:$D$22,MATCH($C109,Parâmetros!$A$13:$A$22,0)),"⚠ categoria")))</f>
        <v>0.13</v>
      </c>
      <c r="G109" s="35"/>
      <c r="H109" s="36" t="n">
        <f aca="false">IF($A109="","",IF(ISNUMBER($G109),$G109,IF(ISNUMBER($F109),$F109,"")))</f>
        <v>0.13</v>
      </c>
      <c r="I109" s="37" t="n">
        <f aca="false">IF(OR($A109="",NOT(ISNUMBER($D109)),NOT(ISNUMBER($H109))),"",IF((1-$H109-Parâmetros!$B$6-Parâmetros!$C$6-Parâmetros!$D$6)&lt;=0,"INVALIDO",($D109+IF(ISNUMBER($E109),$E109,0)+IF(ISNUMBER(Parâmetros!$E$6),Parâmetros!$E$6,0))/(1-$H109-Parâmetros!$B$6-Parâmetros!$C$6-Parâmetros!$D$6)))</f>
        <v>357.666666666667</v>
      </c>
      <c r="J109" s="38"/>
      <c r="K109" s="39" t="n">
        <f aca="false">IF(OR($A109="",NOT(ISNUMBER($D109)),NOT(ISNUMBER($H109))),"",IF(AND(ISNUMBER($J109),$J109&gt;0),$J109,IF(ISNUMBER($I109),$I109,"")))</f>
        <v>357.666666666667</v>
      </c>
      <c r="L109" s="40" t="n">
        <f aca="false">IF(ISNUMBER($K109),$K109*$H109,"")</f>
        <v>46.4966666666667</v>
      </c>
      <c r="M109" s="40" t="n">
        <f aca="false">IF(ISNUMBER($K109),$K109*Parâmetros!$B$6,"")</f>
        <v>35.7666666666667</v>
      </c>
      <c r="N109" s="40" t="n">
        <f aca="false">IF(ISNUMBER($K109),$K109*Parâmetros!$C$6,"")</f>
        <v>10.73</v>
      </c>
      <c r="O109" s="40" t="n">
        <f aca="false">IF(ISNUMBER($K109),IF(ISNUMBER(Parâmetros!$E$6),Parâmetros!$E$6,0),"")</f>
        <v>0</v>
      </c>
      <c r="P109" s="41" t="n">
        <f aca="false">IF(ISNUMBER($K109),$K109-$D109-IF(ISNUMBER($E109),$E109,0)-$L109-$M109-$N109-$O109,"")</f>
        <v>71.5333333333333</v>
      </c>
      <c r="Q109" s="42" t="n">
        <f aca="false">IF(AND(ISNUMBER($K109),$K109&gt;0),$P109/$K109,"")</f>
        <v>0.2</v>
      </c>
      <c r="R109" s="43"/>
      <c r="S109" s="44" t="str">
        <f aca="false">IF(OR(NOT(ISNUMBER($R109)),$R109=0,NOT(ISNUMBER($K109))),"",$K109*(1-$R109))</f>
        <v/>
      </c>
      <c r="T109" s="45" t="str">
        <f aca="false">IF(ISNUMBER($S109),$S109*$H109,"")</f>
        <v/>
      </c>
      <c r="U109" s="45" t="str">
        <f aca="false">IF(ISNUMBER($S109),$S109*Parâmetros!$B$6,"")</f>
        <v/>
      </c>
      <c r="V109" s="45" t="str">
        <f aca="false">IF(ISNUMBER($S109),$S109*Parâmetros!$C$6,"")</f>
        <v/>
      </c>
      <c r="W109" s="44" t="str">
        <f aca="false">IF(ISNUMBER($S109),$S109-$D109-IF(ISNUMBER($E109),$E109,0)-$O109-$T109-$U109-$V109,"")</f>
        <v/>
      </c>
      <c r="X109" s="46" t="str">
        <f aca="false">IF(AND(ISNUMBER($S109),$S109&gt;0),$W109/$S109,"")</f>
        <v/>
      </c>
      <c r="Y109" s="49"/>
      <c r="Z109" s="21"/>
    </row>
    <row r="110" customFormat="false" ht="15.75" hidden="false" customHeight="true" outlineLevel="0" collapsed="false">
      <c r="A110" s="32" t="str">
        <f aca="false">IF(Produtos!$A110="","",Produtos!$A110)</f>
        <v>L3050-BC</v>
      </c>
      <c r="B110" s="32" t="str">
        <f aca="false">IF(Produtos!$A110="","",Produtos!$B110)</f>
        <v>Lixeira de Aço inox 30x50 35L c/Aro basculante colorido</v>
      </c>
      <c r="C110" s="32" t="str">
        <f aca="false">IF(Produtos!$A110="","",Produtos!$C110)</f>
        <v>Lixeiras em inox</v>
      </c>
      <c r="D110" s="33" t="n">
        <f aca="false">IF(Produtos!$A110="","",IF(Produtos!$D110="","",Produtos!$D110))</f>
        <v>237.59</v>
      </c>
      <c r="E110" s="11" t="n">
        <v>0</v>
      </c>
      <c r="F110" s="34" t="n">
        <f aca="false">IF($A110="","",IF($C110="","⚠ categoria",IFERROR(INDEX(Parâmetros!$D$13:$D$22,MATCH($C110,Parâmetros!$A$13:$A$22,0)),"⚠ categoria")))</f>
        <v>0.13</v>
      </c>
      <c r="G110" s="35"/>
      <c r="H110" s="36" t="n">
        <f aca="false">IF($A110="","",IF(ISNUMBER($G110),$G110,IF(ISNUMBER($F110),$F110,"")))</f>
        <v>0.13</v>
      </c>
      <c r="I110" s="37" t="n">
        <f aca="false">IF(OR($A110="",NOT(ISNUMBER($D110)),NOT(ISNUMBER($H110))),"",IF((1-$H110-Parâmetros!$B$6-Parâmetros!$C$6-Parâmetros!$D$6)&lt;=0,"INVALIDO",($D110+IF(ISNUMBER($E110),$E110,0)+IF(ISNUMBER(Parâmetros!$E$6),Parâmetros!$E$6,0))/(1-$H110-Parâmetros!$B$6-Parâmetros!$C$6-Parâmetros!$D$6)))</f>
        <v>439.981481481481</v>
      </c>
      <c r="J110" s="38"/>
      <c r="K110" s="39" t="n">
        <f aca="false">IF(OR($A110="",NOT(ISNUMBER($D110)),NOT(ISNUMBER($H110))),"",IF(AND(ISNUMBER($J110),$J110&gt;0),$J110,IF(ISNUMBER($I110),$I110,"")))</f>
        <v>439.981481481481</v>
      </c>
      <c r="L110" s="40" t="n">
        <f aca="false">IF(ISNUMBER($K110),$K110*$H110,"")</f>
        <v>57.1975925925926</v>
      </c>
      <c r="M110" s="40" t="n">
        <f aca="false">IF(ISNUMBER($K110),$K110*Parâmetros!$B$6,"")</f>
        <v>43.9981481481482</v>
      </c>
      <c r="N110" s="40" t="n">
        <f aca="false">IF(ISNUMBER($K110),$K110*Parâmetros!$C$6,"")</f>
        <v>13.1994444444444</v>
      </c>
      <c r="O110" s="40" t="n">
        <f aca="false">IF(ISNUMBER($K110),IF(ISNUMBER(Parâmetros!$E$6),Parâmetros!$E$6,0),"")</f>
        <v>0</v>
      </c>
      <c r="P110" s="41" t="n">
        <f aca="false">IF(ISNUMBER($K110),$K110-$D110-IF(ISNUMBER($E110),$E110,0)-$L110-$M110-$N110-$O110,"")</f>
        <v>87.9962962962963</v>
      </c>
      <c r="Q110" s="42" t="n">
        <f aca="false">IF(AND(ISNUMBER($K110),$K110&gt;0),$P110/$K110,"")</f>
        <v>0.2</v>
      </c>
      <c r="R110" s="43"/>
      <c r="S110" s="44" t="str">
        <f aca="false">IF(OR(NOT(ISNUMBER($R110)),$R110=0,NOT(ISNUMBER($K110))),"",$K110*(1-$R110))</f>
        <v/>
      </c>
      <c r="T110" s="45" t="str">
        <f aca="false">IF(ISNUMBER($S110),$S110*$H110,"")</f>
        <v/>
      </c>
      <c r="U110" s="45" t="str">
        <f aca="false">IF(ISNUMBER($S110),$S110*Parâmetros!$B$6,"")</f>
        <v/>
      </c>
      <c r="V110" s="45" t="str">
        <f aca="false">IF(ISNUMBER($S110),$S110*Parâmetros!$C$6,"")</f>
        <v/>
      </c>
      <c r="W110" s="44" t="str">
        <f aca="false">IF(ISNUMBER($S110),$S110-$D110-IF(ISNUMBER($E110),$E110,0)-$O110-$T110-$U110-$V110,"")</f>
        <v/>
      </c>
      <c r="X110" s="46" t="str">
        <f aca="false">IF(AND(ISNUMBER($S110),$S110&gt;0),$W110/$S110,"")</f>
        <v/>
      </c>
      <c r="Y110" s="47"/>
      <c r="Z110" s="19"/>
    </row>
    <row r="111" customFormat="false" ht="15.75" hidden="false" customHeight="true" outlineLevel="0" collapsed="false">
      <c r="A111" s="48" t="str">
        <f aca="false">IF(Produtos!$A111="","",Produtos!$A111)</f>
        <v>L3060-BC</v>
      </c>
      <c r="B111" s="48" t="str">
        <f aca="false">IF(Produtos!$A111="","",Produtos!$B111)</f>
        <v>Lixeira de Aço inox 30x60 40L c/Aro basculante colorido</v>
      </c>
      <c r="C111" s="48" t="str">
        <f aca="false">IF(Produtos!$A111="","",Produtos!$C111)</f>
        <v>Lixeiras em inox</v>
      </c>
      <c r="D111" s="33" t="n">
        <f aca="false">IF(Produtos!$A111="","",IF(Produtos!$D111="","",Produtos!$D111))</f>
        <v>258.38</v>
      </c>
      <c r="E111" s="11" t="n">
        <v>0</v>
      </c>
      <c r="F111" s="34" t="n">
        <f aca="false">IF($A111="","",IF($C111="","⚠ categoria",IFERROR(INDEX(Parâmetros!$D$13:$D$22,MATCH($C111,Parâmetros!$A$13:$A$22,0)),"⚠ categoria")))</f>
        <v>0.13</v>
      </c>
      <c r="G111" s="35"/>
      <c r="H111" s="36" t="n">
        <f aca="false">IF($A111="","",IF(ISNUMBER($G111),$G111,IF(ISNUMBER($F111),$F111,"")))</f>
        <v>0.13</v>
      </c>
      <c r="I111" s="37" t="n">
        <f aca="false">IF(OR($A111="",NOT(ISNUMBER($D111)),NOT(ISNUMBER($H111))),"",IF((1-$H111-Parâmetros!$B$6-Parâmetros!$C$6-Parâmetros!$D$6)&lt;=0,"INVALIDO",($D111+IF(ISNUMBER($E111),$E111,0)+IF(ISNUMBER(Parâmetros!$E$6),Parâmetros!$E$6,0))/(1-$H111-Parâmetros!$B$6-Parâmetros!$C$6-Parâmetros!$D$6)))</f>
        <v>478.481481481481</v>
      </c>
      <c r="J111" s="38"/>
      <c r="K111" s="39" t="n">
        <f aca="false">IF(OR($A111="",NOT(ISNUMBER($D111)),NOT(ISNUMBER($H111))),"",IF(AND(ISNUMBER($J111),$J111&gt;0),$J111,IF(ISNUMBER($I111),$I111,"")))</f>
        <v>478.481481481481</v>
      </c>
      <c r="L111" s="40" t="n">
        <f aca="false">IF(ISNUMBER($K111),$K111*$H111,"")</f>
        <v>62.2025925925926</v>
      </c>
      <c r="M111" s="40" t="n">
        <f aca="false">IF(ISNUMBER($K111),$K111*Parâmetros!$B$6,"")</f>
        <v>47.8481481481482</v>
      </c>
      <c r="N111" s="40" t="n">
        <f aca="false">IF(ISNUMBER($K111),$K111*Parâmetros!$C$6,"")</f>
        <v>14.3544444444444</v>
      </c>
      <c r="O111" s="40" t="n">
        <f aca="false">IF(ISNUMBER($K111),IF(ISNUMBER(Parâmetros!$E$6),Parâmetros!$E$6,0),"")</f>
        <v>0</v>
      </c>
      <c r="P111" s="41" t="n">
        <f aca="false">IF(ISNUMBER($K111),$K111-$D111-IF(ISNUMBER($E111),$E111,0)-$L111-$M111-$N111-$O111,"")</f>
        <v>95.6962962962963</v>
      </c>
      <c r="Q111" s="42" t="n">
        <f aca="false">IF(AND(ISNUMBER($K111),$K111&gt;0),$P111/$K111,"")</f>
        <v>0.2</v>
      </c>
      <c r="R111" s="43"/>
      <c r="S111" s="44" t="str">
        <f aca="false">IF(OR(NOT(ISNUMBER($R111)),$R111=0,NOT(ISNUMBER($K111))),"",$K111*(1-$R111))</f>
        <v/>
      </c>
      <c r="T111" s="45" t="str">
        <f aca="false">IF(ISNUMBER($S111),$S111*$H111,"")</f>
        <v/>
      </c>
      <c r="U111" s="45" t="str">
        <f aca="false">IF(ISNUMBER($S111),$S111*Parâmetros!$B$6,"")</f>
        <v/>
      </c>
      <c r="V111" s="45" t="str">
        <f aca="false">IF(ISNUMBER($S111),$S111*Parâmetros!$C$6,"")</f>
        <v/>
      </c>
      <c r="W111" s="44" t="str">
        <f aca="false">IF(ISNUMBER($S111),$S111-$D111-IF(ISNUMBER($E111),$E111,0)-$O111-$T111-$U111-$V111,"")</f>
        <v/>
      </c>
      <c r="X111" s="46" t="str">
        <f aca="false">IF(AND(ISNUMBER($S111),$S111&gt;0),$W111/$S111,"")</f>
        <v/>
      </c>
      <c r="Y111" s="49"/>
      <c r="Z111" s="21"/>
    </row>
    <row r="112" customFormat="false" ht="15.75" hidden="false" customHeight="true" outlineLevel="0" collapsed="false">
      <c r="A112" s="32" t="str">
        <f aca="false">IF(Produtos!$A112="","",Produtos!$A112)</f>
        <v>L3070-BC</v>
      </c>
      <c r="B112" s="32" t="str">
        <f aca="false">IF(Produtos!$A112="","",Produtos!$B112)</f>
        <v>Lixeira de Aço inox 30x70 50L c/Aro basculante colorido</v>
      </c>
      <c r="C112" s="32" t="str">
        <f aca="false">IF(Produtos!$A112="","",Produtos!$C112)</f>
        <v>Lixeiras em inox</v>
      </c>
      <c r="D112" s="33" t="n">
        <f aca="false">IF(Produtos!$A112="","",IF(Produtos!$D112="","",Produtos!$D112))</f>
        <v>300.03</v>
      </c>
      <c r="E112" s="11" t="n">
        <v>0</v>
      </c>
      <c r="F112" s="34" t="n">
        <f aca="false">IF($A112="","",IF($C112="","⚠ categoria",IFERROR(INDEX(Parâmetros!$D$13:$D$22,MATCH($C112,Parâmetros!$A$13:$A$22,0)),"⚠ categoria")))</f>
        <v>0.13</v>
      </c>
      <c r="G112" s="35"/>
      <c r="H112" s="36" t="n">
        <f aca="false">IF($A112="","",IF(ISNUMBER($G112),$G112,IF(ISNUMBER($F112),$F112,"")))</f>
        <v>0.13</v>
      </c>
      <c r="I112" s="37" t="n">
        <f aca="false">IF(OR($A112="",NOT(ISNUMBER($D112)),NOT(ISNUMBER($H112))),"",IF((1-$H112-Parâmetros!$B$6-Parâmetros!$C$6-Parâmetros!$D$6)&lt;=0,"INVALIDO",($D112+IF(ISNUMBER($E112),$E112,0)+IF(ISNUMBER(Parâmetros!$E$6),Parâmetros!$E$6,0))/(1-$H112-Parâmetros!$B$6-Parâmetros!$C$6-Parâmetros!$D$6)))</f>
        <v>555.611111111111</v>
      </c>
      <c r="J112" s="38"/>
      <c r="K112" s="39" t="n">
        <f aca="false">IF(OR($A112="",NOT(ISNUMBER($D112)),NOT(ISNUMBER($H112))),"",IF(AND(ISNUMBER($J112),$J112&gt;0),$J112,IF(ISNUMBER($I112),$I112,"")))</f>
        <v>555.611111111111</v>
      </c>
      <c r="L112" s="40" t="n">
        <f aca="false">IF(ISNUMBER($K112),$K112*$H112,"")</f>
        <v>72.2294444444444</v>
      </c>
      <c r="M112" s="40" t="n">
        <f aca="false">IF(ISNUMBER($K112),$K112*Parâmetros!$B$6,"")</f>
        <v>55.5611111111111</v>
      </c>
      <c r="N112" s="40" t="n">
        <f aca="false">IF(ISNUMBER($K112),$K112*Parâmetros!$C$6,"")</f>
        <v>16.6683333333333</v>
      </c>
      <c r="O112" s="40" t="n">
        <f aca="false">IF(ISNUMBER($K112),IF(ISNUMBER(Parâmetros!$E$6),Parâmetros!$E$6,0),"")</f>
        <v>0</v>
      </c>
      <c r="P112" s="41" t="n">
        <f aca="false">IF(ISNUMBER($K112),$K112-$D112-IF(ISNUMBER($E112),$E112,0)-$L112-$M112-$N112-$O112,"")</f>
        <v>111.122222222222</v>
      </c>
      <c r="Q112" s="42" t="n">
        <f aca="false">IF(AND(ISNUMBER($K112),$K112&gt;0),$P112/$K112,"")</f>
        <v>0.2</v>
      </c>
      <c r="R112" s="43"/>
      <c r="S112" s="44" t="str">
        <f aca="false">IF(OR(NOT(ISNUMBER($R112)),$R112=0,NOT(ISNUMBER($K112))),"",$K112*(1-$R112))</f>
        <v/>
      </c>
      <c r="T112" s="45" t="str">
        <f aca="false">IF(ISNUMBER($S112),$S112*$H112,"")</f>
        <v/>
      </c>
      <c r="U112" s="45" t="str">
        <f aca="false">IF(ISNUMBER($S112),$S112*Parâmetros!$B$6,"")</f>
        <v/>
      </c>
      <c r="V112" s="45" t="str">
        <f aca="false">IF(ISNUMBER($S112),$S112*Parâmetros!$C$6,"")</f>
        <v/>
      </c>
      <c r="W112" s="44" t="str">
        <f aca="false">IF(ISNUMBER($S112),$S112-$D112-IF(ISNUMBER($E112),$E112,0)-$O112-$T112-$U112-$V112,"")</f>
        <v/>
      </c>
      <c r="X112" s="46" t="str">
        <f aca="false">IF(AND(ISNUMBER($S112),$S112&gt;0),$W112/$S112,"")</f>
        <v/>
      </c>
      <c r="Y112" s="47"/>
      <c r="Z112" s="19"/>
    </row>
    <row r="113" customFormat="false" ht="15.75" hidden="false" customHeight="true" outlineLevel="0" collapsed="false">
      <c r="A113" s="48" t="str">
        <f aca="false">IF(Produtos!$A113="","",Produtos!$A113)</f>
        <v>L3085-BC</v>
      </c>
      <c r="B113" s="48" t="str">
        <f aca="false">IF(Produtos!$A113="","",Produtos!$B113)</f>
        <v>Lixeira de Aço inox 30x85 60L c/Aro basculante colorido</v>
      </c>
      <c r="C113" s="48" t="str">
        <f aca="false">IF(Produtos!$A113="","",Produtos!$C113)</f>
        <v>Lixeiras em inox</v>
      </c>
      <c r="D113" s="33" t="n">
        <f aca="false">IF(Produtos!$A113="","",IF(Produtos!$D113="","",Produtos!$D113))</f>
        <v>363.87</v>
      </c>
      <c r="E113" s="11" t="n">
        <v>0</v>
      </c>
      <c r="F113" s="34" t="n">
        <f aca="false">IF($A113="","",IF($C113="","⚠ categoria",IFERROR(INDEX(Parâmetros!$D$13:$D$22,MATCH($C113,Parâmetros!$A$13:$A$22,0)),"⚠ categoria")))</f>
        <v>0.13</v>
      </c>
      <c r="G113" s="35"/>
      <c r="H113" s="36" t="n">
        <f aca="false">IF($A113="","",IF(ISNUMBER($G113),$G113,IF(ISNUMBER($F113),$F113,"")))</f>
        <v>0.13</v>
      </c>
      <c r="I113" s="37" t="n">
        <f aca="false">IF(OR($A113="",NOT(ISNUMBER($D113)),NOT(ISNUMBER($H113))),"",IF((1-$H113-Parâmetros!$B$6-Parâmetros!$C$6-Parâmetros!$D$6)&lt;=0,"INVALIDO",($D113+IF(ISNUMBER($E113),$E113,0)+IF(ISNUMBER(Parâmetros!$E$6),Parâmetros!$E$6,0))/(1-$H113-Parâmetros!$B$6-Parâmetros!$C$6-Parâmetros!$D$6)))</f>
        <v>673.833333333333</v>
      </c>
      <c r="J113" s="38"/>
      <c r="K113" s="39" t="n">
        <f aca="false">IF(OR($A113="",NOT(ISNUMBER($D113)),NOT(ISNUMBER($H113))),"",IF(AND(ISNUMBER($J113),$J113&gt;0),$J113,IF(ISNUMBER($I113),$I113,"")))</f>
        <v>673.833333333333</v>
      </c>
      <c r="L113" s="40" t="n">
        <f aca="false">IF(ISNUMBER($K113),$K113*$H113,"")</f>
        <v>87.5983333333333</v>
      </c>
      <c r="M113" s="40" t="n">
        <f aca="false">IF(ISNUMBER($K113),$K113*Parâmetros!$B$6,"")</f>
        <v>67.3833333333333</v>
      </c>
      <c r="N113" s="40" t="n">
        <f aca="false">IF(ISNUMBER($K113),$K113*Parâmetros!$C$6,"")</f>
        <v>20.215</v>
      </c>
      <c r="O113" s="40" t="n">
        <f aca="false">IF(ISNUMBER($K113),IF(ISNUMBER(Parâmetros!$E$6),Parâmetros!$E$6,0),"")</f>
        <v>0</v>
      </c>
      <c r="P113" s="41" t="n">
        <f aca="false">IF(ISNUMBER($K113),$K113-$D113-IF(ISNUMBER($E113),$E113,0)-$L113-$M113-$N113-$O113,"")</f>
        <v>134.766666666667</v>
      </c>
      <c r="Q113" s="42" t="n">
        <f aca="false">IF(AND(ISNUMBER($K113),$K113&gt;0),$P113/$K113,"")</f>
        <v>0.2</v>
      </c>
      <c r="R113" s="43"/>
      <c r="S113" s="44" t="str">
        <f aca="false">IF(OR(NOT(ISNUMBER($R113)),$R113=0,NOT(ISNUMBER($K113))),"",$K113*(1-$R113))</f>
        <v/>
      </c>
      <c r="T113" s="45" t="str">
        <f aca="false">IF(ISNUMBER($S113),$S113*$H113,"")</f>
        <v/>
      </c>
      <c r="U113" s="45" t="str">
        <f aca="false">IF(ISNUMBER($S113),$S113*Parâmetros!$B$6,"")</f>
        <v/>
      </c>
      <c r="V113" s="45" t="str">
        <f aca="false">IF(ISNUMBER($S113),$S113*Parâmetros!$C$6,"")</f>
        <v/>
      </c>
      <c r="W113" s="44" t="str">
        <f aca="false">IF(ISNUMBER($S113),$S113-$D113-IF(ISNUMBER($E113),$E113,0)-$O113-$T113-$U113-$V113,"")</f>
        <v/>
      </c>
      <c r="X113" s="46" t="str">
        <f aca="false">IF(AND(ISNUMBER($S113),$S113&gt;0),$W113/$S113,"")</f>
        <v/>
      </c>
      <c r="Y113" s="49"/>
      <c r="Z113" s="21"/>
    </row>
    <row r="114" customFormat="false" ht="15.75" hidden="false" customHeight="true" outlineLevel="0" collapsed="false">
      <c r="A114" s="32" t="str">
        <f aca="false">IF(Produtos!$A114="","",Produtos!$A114)</f>
        <v>L4050-BC</v>
      </c>
      <c r="B114" s="32" t="str">
        <f aca="false">IF(Produtos!$A114="","",Produtos!$B114)</f>
        <v>Lixeira de Aço inox 40x50 62L c/Aro basculante colorido</v>
      </c>
      <c r="C114" s="32" t="str">
        <f aca="false">IF(Produtos!$A114="","",Produtos!$C114)</f>
        <v>Lixeiras em inox</v>
      </c>
      <c r="D114" s="33" t="n">
        <f aca="false">IF(Produtos!$A114="","",IF(Produtos!$D114="","",Produtos!$D114))</f>
        <v>372.71</v>
      </c>
      <c r="E114" s="11" t="n">
        <v>0</v>
      </c>
      <c r="F114" s="34" t="n">
        <f aca="false">IF($A114="","",IF($C114="","⚠ categoria",IFERROR(INDEX(Parâmetros!$D$13:$D$22,MATCH($C114,Parâmetros!$A$13:$A$22,0)),"⚠ categoria")))</f>
        <v>0.13</v>
      </c>
      <c r="G114" s="35"/>
      <c r="H114" s="36" t="n">
        <f aca="false">IF($A114="","",IF(ISNUMBER($G114),$G114,IF(ISNUMBER($F114),$F114,"")))</f>
        <v>0.13</v>
      </c>
      <c r="I114" s="37" t="n">
        <f aca="false">IF(OR($A114="",NOT(ISNUMBER($D114)),NOT(ISNUMBER($H114))),"",IF((1-$H114-Parâmetros!$B$6-Parâmetros!$C$6-Parâmetros!$D$6)&lt;=0,"INVALIDO",($D114+IF(ISNUMBER($E114),$E114,0)+IF(ISNUMBER(Parâmetros!$E$6),Parâmetros!$E$6,0))/(1-$H114-Parâmetros!$B$6-Parâmetros!$C$6-Parâmetros!$D$6)))</f>
        <v>690.203703703704</v>
      </c>
      <c r="J114" s="38"/>
      <c r="K114" s="39" t="n">
        <f aca="false">IF(OR($A114="",NOT(ISNUMBER($D114)),NOT(ISNUMBER($H114))),"",IF(AND(ISNUMBER($J114),$J114&gt;0),$J114,IF(ISNUMBER($I114),$I114,"")))</f>
        <v>690.203703703704</v>
      </c>
      <c r="L114" s="40" t="n">
        <f aca="false">IF(ISNUMBER($K114),$K114*$H114,"")</f>
        <v>89.7264814814815</v>
      </c>
      <c r="M114" s="40" t="n">
        <f aca="false">IF(ISNUMBER($K114),$K114*Parâmetros!$B$6,"")</f>
        <v>69.0203703703704</v>
      </c>
      <c r="N114" s="40" t="n">
        <f aca="false">IF(ISNUMBER($K114),$K114*Parâmetros!$C$6,"")</f>
        <v>20.7061111111111</v>
      </c>
      <c r="O114" s="40" t="n">
        <f aca="false">IF(ISNUMBER($K114),IF(ISNUMBER(Parâmetros!$E$6),Parâmetros!$E$6,0),"")</f>
        <v>0</v>
      </c>
      <c r="P114" s="41" t="n">
        <f aca="false">IF(ISNUMBER($K114),$K114-$D114-IF(ISNUMBER($E114),$E114,0)-$L114-$M114-$N114-$O114,"")</f>
        <v>138.040740740741</v>
      </c>
      <c r="Q114" s="42" t="n">
        <f aca="false">IF(AND(ISNUMBER($K114),$K114&gt;0),$P114/$K114,"")</f>
        <v>0.2</v>
      </c>
      <c r="R114" s="43"/>
      <c r="S114" s="44" t="str">
        <f aca="false">IF(OR(NOT(ISNUMBER($R114)),$R114=0,NOT(ISNUMBER($K114))),"",$K114*(1-$R114))</f>
        <v/>
      </c>
      <c r="T114" s="45" t="str">
        <f aca="false">IF(ISNUMBER($S114),$S114*$H114,"")</f>
        <v/>
      </c>
      <c r="U114" s="45" t="str">
        <f aca="false">IF(ISNUMBER($S114),$S114*Parâmetros!$B$6,"")</f>
        <v/>
      </c>
      <c r="V114" s="45" t="str">
        <f aca="false">IF(ISNUMBER($S114),$S114*Parâmetros!$C$6,"")</f>
        <v/>
      </c>
      <c r="W114" s="44" t="str">
        <f aca="false">IF(ISNUMBER($S114),$S114-$D114-IF(ISNUMBER($E114),$E114,0)-$O114-$T114-$U114-$V114,"")</f>
        <v/>
      </c>
      <c r="X114" s="46" t="str">
        <f aca="false">IF(AND(ISNUMBER($S114),$S114&gt;0),$W114/$S114,"")</f>
        <v/>
      </c>
      <c r="Y114" s="47"/>
      <c r="Z114" s="19"/>
    </row>
    <row r="115" customFormat="false" ht="15.75" hidden="false" customHeight="true" outlineLevel="0" collapsed="false">
      <c r="A115" s="48" t="str">
        <f aca="false">IF(Produtos!$A115="","",Produtos!$A115)</f>
        <v>L4060-BC</v>
      </c>
      <c r="B115" s="48" t="str">
        <f aca="false">IF(Produtos!$A115="","",Produtos!$B115)</f>
        <v>Lixeira de Aço inox 40x60 75L c/Aro basculante colorido</v>
      </c>
      <c r="C115" s="48" t="str">
        <f aca="false">IF(Produtos!$A115="","",Produtos!$C115)</f>
        <v>Lixeiras em inox</v>
      </c>
      <c r="D115" s="33" t="n">
        <f aca="false">IF(Produtos!$A115="","",IF(Produtos!$D115="","",Produtos!$D115))</f>
        <v>389.53</v>
      </c>
      <c r="E115" s="11" t="n">
        <v>0</v>
      </c>
      <c r="F115" s="34" t="n">
        <f aca="false">IF($A115="","",IF($C115="","⚠ categoria",IFERROR(INDEX(Parâmetros!$D$13:$D$22,MATCH($C115,Parâmetros!$A$13:$A$22,0)),"⚠ categoria")))</f>
        <v>0.13</v>
      </c>
      <c r="G115" s="35"/>
      <c r="H115" s="36" t="n">
        <f aca="false">IF($A115="","",IF(ISNUMBER($G115),$G115,IF(ISNUMBER($F115),$F115,"")))</f>
        <v>0.13</v>
      </c>
      <c r="I115" s="37" t="n">
        <f aca="false">IF(OR($A115="",NOT(ISNUMBER($D115)),NOT(ISNUMBER($H115))),"",IF((1-$H115-Parâmetros!$B$6-Parâmetros!$C$6-Parâmetros!$D$6)&lt;=0,"INVALIDO",($D115+IF(ISNUMBER($E115),$E115,0)+IF(ISNUMBER(Parâmetros!$E$6),Parâmetros!$E$6,0))/(1-$H115-Parâmetros!$B$6-Parâmetros!$C$6-Parâmetros!$D$6)))</f>
        <v>721.351851851852</v>
      </c>
      <c r="J115" s="38"/>
      <c r="K115" s="39" t="n">
        <f aca="false">IF(OR($A115="",NOT(ISNUMBER($D115)),NOT(ISNUMBER($H115))),"",IF(AND(ISNUMBER($J115),$J115&gt;0),$J115,IF(ISNUMBER($I115),$I115,"")))</f>
        <v>721.351851851852</v>
      </c>
      <c r="L115" s="40" t="n">
        <f aca="false">IF(ISNUMBER($K115),$K115*$H115,"")</f>
        <v>93.7757407407407</v>
      </c>
      <c r="M115" s="40" t="n">
        <f aca="false">IF(ISNUMBER($K115),$K115*Parâmetros!$B$6,"")</f>
        <v>72.1351851851852</v>
      </c>
      <c r="N115" s="40" t="n">
        <f aca="false">IF(ISNUMBER($K115),$K115*Parâmetros!$C$6,"")</f>
        <v>21.6405555555556</v>
      </c>
      <c r="O115" s="40" t="n">
        <f aca="false">IF(ISNUMBER($K115),IF(ISNUMBER(Parâmetros!$E$6),Parâmetros!$E$6,0),"")</f>
        <v>0</v>
      </c>
      <c r="P115" s="41" t="n">
        <f aca="false">IF(ISNUMBER($K115),$K115-$D115-IF(ISNUMBER($E115),$E115,0)-$L115-$M115-$N115-$O115,"")</f>
        <v>144.27037037037</v>
      </c>
      <c r="Q115" s="42" t="n">
        <f aca="false">IF(AND(ISNUMBER($K115),$K115&gt;0),$P115/$K115,"")</f>
        <v>0.2</v>
      </c>
      <c r="R115" s="43"/>
      <c r="S115" s="44" t="str">
        <f aca="false">IF(OR(NOT(ISNUMBER($R115)),$R115=0,NOT(ISNUMBER($K115))),"",$K115*(1-$R115))</f>
        <v/>
      </c>
      <c r="T115" s="45" t="str">
        <f aca="false">IF(ISNUMBER($S115),$S115*$H115,"")</f>
        <v/>
      </c>
      <c r="U115" s="45" t="str">
        <f aca="false">IF(ISNUMBER($S115),$S115*Parâmetros!$B$6,"")</f>
        <v/>
      </c>
      <c r="V115" s="45" t="str">
        <f aca="false">IF(ISNUMBER($S115),$S115*Parâmetros!$C$6,"")</f>
        <v/>
      </c>
      <c r="W115" s="44" t="str">
        <f aca="false">IF(ISNUMBER($S115),$S115-$D115-IF(ISNUMBER($E115),$E115,0)-$O115-$T115-$U115-$V115,"")</f>
        <v/>
      </c>
      <c r="X115" s="46" t="str">
        <f aca="false">IF(AND(ISNUMBER($S115),$S115&gt;0),$W115/$S115,"")</f>
        <v/>
      </c>
      <c r="Y115" s="49"/>
      <c r="Z115" s="21"/>
    </row>
    <row r="116" customFormat="false" ht="15.75" hidden="false" customHeight="true" outlineLevel="0" collapsed="false">
      <c r="A116" s="32" t="str">
        <f aca="false">IF(Produtos!$A116="","",Produtos!$A116)</f>
        <v>L4070-BC</v>
      </c>
      <c r="B116" s="32" t="str">
        <f aca="false">IF(Produtos!$A116="","",Produtos!$B116)</f>
        <v>Lixeira de Aço inox 40x70 88L c/Aro basculante colorido</v>
      </c>
      <c r="C116" s="32" t="str">
        <f aca="false">IF(Produtos!$A116="","",Produtos!$C116)</f>
        <v>Lixeiras em inox</v>
      </c>
      <c r="D116" s="33" t="n">
        <f aca="false">IF(Produtos!$A116="","",IF(Produtos!$D116="","",Produtos!$D116))</f>
        <v>391.36</v>
      </c>
      <c r="E116" s="11" t="n">
        <v>0</v>
      </c>
      <c r="F116" s="34" t="n">
        <f aca="false">IF($A116="","",IF($C116="","⚠ categoria",IFERROR(INDEX(Parâmetros!$D$13:$D$22,MATCH($C116,Parâmetros!$A$13:$A$22,0)),"⚠ categoria")))</f>
        <v>0.13</v>
      </c>
      <c r="G116" s="35"/>
      <c r="H116" s="36" t="n">
        <f aca="false">IF($A116="","",IF(ISNUMBER($G116),$G116,IF(ISNUMBER($F116),$F116,"")))</f>
        <v>0.13</v>
      </c>
      <c r="I116" s="37" t="n">
        <f aca="false">IF(OR($A116="",NOT(ISNUMBER($D116)),NOT(ISNUMBER($H116))),"",IF((1-$H116-Parâmetros!$B$6-Parâmetros!$C$6-Parâmetros!$D$6)&lt;=0,"INVALIDO",($D116+IF(ISNUMBER($E116),$E116,0)+IF(ISNUMBER(Parâmetros!$E$6),Parâmetros!$E$6,0))/(1-$H116-Parâmetros!$B$6-Parâmetros!$C$6-Parâmetros!$D$6)))</f>
        <v>724.740740740741</v>
      </c>
      <c r="J116" s="38"/>
      <c r="K116" s="39" t="n">
        <f aca="false">IF(OR($A116="",NOT(ISNUMBER($D116)),NOT(ISNUMBER($H116))),"",IF(AND(ISNUMBER($J116),$J116&gt;0),$J116,IF(ISNUMBER($I116),$I116,"")))</f>
        <v>724.740740740741</v>
      </c>
      <c r="L116" s="40" t="n">
        <f aca="false">IF(ISNUMBER($K116),$K116*$H116,"")</f>
        <v>94.2162962962963</v>
      </c>
      <c r="M116" s="40" t="n">
        <f aca="false">IF(ISNUMBER($K116),$K116*Parâmetros!$B$6,"")</f>
        <v>72.4740740740741</v>
      </c>
      <c r="N116" s="40" t="n">
        <f aca="false">IF(ISNUMBER($K116),$K116*Parâmetros!$C$6,"")</f>
        <v>21.7422222222222</v>
      </c>
      <c r="O116" s="40" t="n">
        <f aca="false">IF(ISNUMBER($K116),IF(ISNUMBER(Parâmetros!$E$6),Parâmetros!$E$6,0),"")</f>
        <v>0</v>
      </c>
      <c r="P116" s="41" t="n">
        <f aca="false">IF(ISNUMBER($K116),$K116-$D116-IF(ISNUMBER($E116),$E116,0)-$L116-$M116-$N116-$O116,"")</f>
        <v>144.948148148148</v>
      </c>
      <c r="Q116" s="42" t="n">
        <f aca="false">IF(AND(ISNUMBER($K116),$K116&gt;0),$P116/$K116,"")</f>
        <v>0.2</v>
      </c>
      <c r="R116" s="43"/>
      <c r="S116" s="44" t="str">
        <f aca="false">IF(OR(NOT(ISNUMBER($R116)),$R116=0,NOT(ISNUMBER($K116))),"",$K116*(1-$R116))</f>
        <v/>
      </c>
      <c r="T116" s="45" t="str">
        <f aca="false">IF(ISNUMBER($S116),$S116*$H116,"")</f>
        <v/>
      </c>
      <c r="U116" s="45" t="str">
        <f aca="false">IF(ISNUMBER($S116),$S116*Parâmetros!$B$6,"")</f>
        <v/>
      </c>
      <c r="V116" s="45" t="str">
        <f aca="false">IF(ISNUMBER($S116),$S116*Parâmetros!$C$6,"")</f>
        <v/>
      </c>
      <c r="W116" s="44" t="str">
        <f aca="false">IF(ISNUMBER($S116),$S116-$D116-IF(ISNUMBER($E116),$E116,0)-$O116-$T116-$U116-$V116,"")</f>
        <v/>
      </c>
      <c r="X116" s="46" t="str">
        <f aca="false">IF(AND(ISNUMBER($S116),$S116&gt;0),$W116/$S116,"")</f>
        <v/>
      </c>
      <c r="Y116" s="47"/>
      <c r="Z116" s="19"/>
    </row>
    <row r="117" customFormat="false" ht="15.75" hidden="false" customHeight="true" outlineLevel="0" collapsed="false">
      <c r="A117" s="48" t="str">
        <f aca="false">IF(Produtos!$A117="","",Produtos!$A117)</f>
        <v>L4075-BC</v>
      </c>
      <c r="B117" s="48" t="str">
        <f aca="false">IF(Produtos!$A117="","",Produtos!$B117)</f>
        <v>Lixeira de Aço inox 40x75 95L c/Aro basculante colorido</v>
      </c>
      <c r="C117" s="48" t="str">
        <f aca="false">IF(Produtos!$A117="","",Produtos!$C117)</f>
        <v>Lixeiras em inox</v>
      </c>
      <c r="D117" s="33" t="n">
        <f aca="false">IF(Produtos!$A117="","",IF(Produtos!$D117="","",Produtos!$D117))</f>
        <v>452.95</v>
      </c>
      <c r="E117" s="11" t="n">
        <v>0</v>
      </c>
      <c r="F117" s="34" t="n">
        <f aca="false">IF($A117="","",IF($C117="","⚠ categoria",IFERROR(INDEX(Parâmetros!$D$13:$D$22,MATCH($C117,Parâmetros!$A$13:$A$22,0)),"⚠ categoria")))</f>
        <v>0.13</v>
      </c>
      <c r="G117" s="35"/>
      <c r="H117" s="36" t="n">
        <f aca="false">IF($A117="","",IF(ISNUMBER($G117),$G117,IF(ISNUMBER($F117),$F117,"")))</f>
        <v>0.13</v>
      </c>
      <c r="I117" s="37" t="n">
        <f aca="false">IF(OR($A117="",NOT(ISNUMBER($D117)),NOT(ISNUMBER($H117))),"",IF((1-$H117-Parâmetros!$B$6-Parâmetros!$C$6-Parâmetros!$D$6)&lt;=0,"INVALIDO",($D117+IF(ISNUMBER($E117),$E117,0)+IF(ISNUMBER(Parâmetros!$E$6),Parâmetros!$E$6,0))/(1-$H117-Parâmetros!$B$6-Parâmetros!$C$6-Parâmetros!$D$6)))</f>
        <v>838.796296296296</v>
      </c>
      <c r="J117" s="38"/>
      <c r="K117" s="39" t="n">
        <f aca="false">IF(OR($A117="",NOT(ISNUMBER($D117)),NOT(ISNUMBER($H117))),"",IF(AND(ISNUMBER($J117),$J117&gt;0),$J117,IF(ISNUMBER($I117),$I117,"")))</f>
        <v>838.796296296296</v>
      </c>
      <c r="L117" s="40" t="n">
        <f aca="false">IF(ISNUMBER($K117),$K117*$H117,"")</f>
        <v>109.043518518519</v>
      </c>
      <c r="M117" s="40" t="n">
        <f aca="false">IF(ISNUMBER($K117),$K117*Parâmetros!$B$6,"")</f>
        <v>83.8796296296296</v>
      </c>
      <c r="N117" s="40" t="n">
        <f aca="false">IF(ISNUMBER($K117),$K117*Parâmetros!$C$6,"")</f>
        <v>25.1638888888889</v>
      </c>
      <c r="O117" s="40" t="n">
        <f aca="false">IF(ISNUMBER($K117),IF(ISNUMBER(Parâmetros!$E$6),Parâmetros!$E$6,0),"")</f>
        <v>0</v>
      </c>
      <c r="P117" s="41" t="n">
        <f aca="false">IF(ISNUMBER($K117),$K117-$D117-IF(ISNUMBER($E117),$E117,0)-$L117-$M117-$N117-$O117,"")</f>
        <v>167.759259259259</v>
      </c>
      <c r="Q117" s="42" t="n">
        <f aca="false">IF(AND(ISNUMBER($K117),$K117&gt;0),$P117/$K117,"")</f>
        <v>0.2</v>
      </c>
      <c r="R117" s="43"/>
      <c r="S117" s="44" t="str">
        <f aca="false">IF(OR(NOT(ISNUMBER($R117)),$R117=0,NOT(ISNUMBER($K117))),"",$K117*(1-$R117))</f>
        <v/>
      </c>
      <c r="T117" s="45" t="str">
        <f aca="false">IF(ISNUMBER($S117),$S117*$H117,"")</f>
        <v/>
      </c>
      <c r="U117" s="45" t="str">
        <f aca="false">IF(ISNUMBER($S117),$S117*Parâmetros!$B$6,"")</f>
        <v/>
      </c>
      <c r="V117" s="45" t="str">
        <f aca="false">IF(ISNUMBER($S117),$S117*Parâmetros!$C$6,"")</f>
        <v/>
      </c>
      <c r="W117" s="44" t="str">
        <f aca="false">IF(ISNUMBER($S117),$S117-$D117-IF(ISNUMBER($E117),$E117,0)-$O117-$T117-$U117-$V117,"")</f>
        <v/>
      </c>
      <c r="X117" s="46" t="str">
        <f aca="false">IF(AND(ISNUMBER($S117),$S117&gt;0),$W117/$S117,"")</f>
        <v/>
      </c>
      <c r="Y117" s="49"/>
      <c r="Z117" s="21"/>
    </row>
    <row r="118" customFormat="false" ht="15.75" hidden="false" customHeight="true" outlineLevel="0" collapsed="false">
      <c r="A118" s="32" t="str">
        <f aca="false">IF(Produtos!$A118="","",Produtos!$A118)</f>
        <v>L4080-BC</v>
      </c>
      <c r="B118" s="32" t="str">
        <f aca="false">IF(Produtos!$A118="","",Produtos!$B118)</f>
        <v>Lixeira de Aço inox 40x80 100L c/Aro basculante colorido</v>
      </c>
      <c r="C118" s="32" t="str">
        <f aca="false">IF(Produtos!$A118="","",Produtos!$C118)</f>
        <v>Lixeiras em inox</v>
      </c>
      <c r="D118" s="33" t="n">
        <f aca="false">IF(Produtos!$A118="","",IF(Produtos!$D118="","",Produtos!$D118))</f>
        <v>486.92</v>
      </c>
      <c r="E118" s="11" t="n">
        <v>0</v>
      </c>
      <c r="F118" s="34" t="n">
        <f aca="false">IF($A118="","",IF($C118="","⚠ categoria",IFERROR(INDEX(Parâmetros!$D$13:$D$22,MATCH($C118,Parâmetros!$A$13:$A$22,0)),"⚠ categoria")))</f>
        <v>0.13</v>
      </c>
      <c r="G118" s="35"/>
      <c r="H118" s="36" t="n">
        <f aca="false">IF($A118="","",IF(ISNUMBER($G118),$G118,IF(ISNUMBER($F118),$F118,"")))</f>
        <v>0.13</v>
      </c>
      <c r="I118" s="37" t="n">
        <f aca="false">IF(OR($A118="",NOT(ISNUMBER($D118)),NOT(ISNUMBER($H118))),"",IF((1-$H118-Parâmetros!$B$6-Parâmetros!$C$6-Parâmetros!$D$6)&lt;=0,"INVALIDO",($D118+IF(ISNUMBER($E118),$E118,0)+IF(ISNUMBER(Parâmetros!$E$6),Parâmetros!$E$6,0))/(1-$H118-Parâmetros!$B$6-Parâmetros!$C$6-Parâmetros!$D$6)))</f>
        <v>901.703703703704</v>
      </c>
      <c r="J118" s="38"/>
      <c r="K118" s="39" t="n">
        <f aca="false">IF(OR($A118="",NOT(ISNUMBER($D118)),NOT(ISNUMBER($H118))),"",IF(AND(ISNUMBER($J118),$J118&gt;0),$J118,IF(ISNUMBER($I118),$I118,"")))</f>
        <v>901.703703703704</v>
      </c>
      <c r="L118" s="40" t="n">
        <f aca="false">IF(ISNUMBER($K118),$K118*$H118,"")</f>
        <v>117.221481481481</v>
      </c>
      <c r="M118" s="40" t="n">
        <f aca="false">IF(ISNUMBER($K118),$K118*Parâmetros!$B$6,"")</f>
        <v>90.1703703703704</v>
      </c>
      <c r="N118" s="40" t="n">
        <f aca="false">IF(ISNUMBER($K118),$K118*Parâmetros!$C$6,"")</f>
        <v>27.0511111111111</v>
      </c>
      <c r="O118" s="40" t="n">
        <f aca="false">IF(ISNUMBER($K118),IF(ISNUMBER(Parâmetros!$E$6),Parâmetros!$E$6,0),"")</f>
        <v>0</v>
      </c>
      <c r="P118" s="41" t="n">
        <f aca="false">IF(ISNUMBER($K118),$K118-$D118-IF(ISNUMBER($E118),$E118,0)-$L118-$M118-$N118-$O118,"")</f>
        <v>180.340740740741</v>
      </c>
      <c r="Q118" s="42" t="n">
        <f aca="false">IF(AND(ISNUMBER($K118),$K118&gt;0),$P118/$K118,"")</f>
        <v>0.2</v>
      </c>
      <c r="R118" s="43"/>
      <c r="S118" s="44" t="str">
        <f aca="false">IF(OR(NOT(ISNUMBER($R118)),$R118=0,NOT(ISNUMBER($K118))),"",$K118*(1-$R118))</f>
        <v/>
      </c>
      <c r="T118" s="45" t="str">
        <f aca="false">IF(ISNUMBER($S118),$S118*$H118,"")</f>
        <v/>
      </c>
      <c r="U118" s="45" t="str">
        <f aca="false">IF(ISNUMBER($S118),$S118*Parâmetros!$B$6,"")</f>
        <v/>
      </c>
      <c r="V118" s="45" t="str">
        <f aca="false">IF(ISNUMBER($S118),$S118*Parâmetros!$C$6,"")</f>
        <v/>
      </c>
      <c r="W118" s="44" t="str">
        <f aca="false">IF(ISNUMBER($S118),$S118-$D118-IF(ISNUMBER($E118),$E118,0)-$O118-$T118-$U118-$V118,"")</f>
        <v/>
      </c>
      <c r="X118" s="46" t="str">
        <f aca="false">IF(AND(ISNUMBER($S118),$S118&gt;0),$W118/$S118,"")</f>
        <v/>
      </c>
      <c r="Y118" s="47"/>
      <c r="Z118" s="19"/>
    </row>
    <row r="119" customFormat="false" ht="15.75" hidden="false" customHeight="true" outlineLevel="0" collapsed="false">
      <c r="A119" s="48" t="str">
        <f aca="false">IF(Produtos!$A119="","",Produtos!$A119)</f>
        <v>L4090-BC</v>
      </c>
      <c r="B119" s="48" t="str">
        <f aca="false">IF(Produtos!$A119="","",Produtos!$B119)</f>
        <v>Lixeira de Aço inox 40x90 120L c/Aro basculante colorido</v>
      </c>
      <c r="C119" s="48" t="str">
        <f aca="false">IF(Produtos!$A119="","",Produtos!$C119)</f>
        <v>Lixeiras em inox</v>
      </c>
      <c r="D119" s="33" t="n">
        <f aca="false">IF(Produtos!$A119="","",IF(Produtos!$D119="","",Produtos!$D119))</f>
        <v>727.39</v>
      </c>
      <c r="E119" s="11" t="n">
        <v>0</v>
      </c>
      <c r="F119" s="34" t="n">
        <f aca="false">IF($A119="","",IF($C119="","⚠ categoria",IFERROR(INDEX(Parâmetros!$D$13:$D$22,MATCH($C119,Parâmetros!$A$13:$A$22,0)),"⚠ categoria")))</f>
        <v>0.13</v>
      </c>
      <c r="G119" s="35"/>
      <c r="H119" s="36" t="n">
        <f aca="false">IF($A119="","",IF(ISNUMBER($G119),$G119,IF(ISNUMBER($F119),$F119,"")))</f>
        <v>0.13</v>
      </c>
      <c r="I119" s="37" t="n">
        <f aca="false">IF(OR($A119="",NOT(ISNUMBER($D119)),NOT(ISNUMBER($H119))),"",IF((1-$H119-Parâmetros!$B$6-Parâmetros!$C$6-Parâmetros!$D$6)&lt;=0,"INVALIDO",($D119+IF(ISNUMBER($E119),$E119,0)+IF(ISNUMBER(Parâmetros!$E$6),Parâmetros!$E$6,0))/(1-$H119-Parâmetros!$B$6-Parâmetros!$C$6-Parâmetros!$D$6)))</f>
        <v>1347.01851851852</v>
      </c>
      <c r="J119" s="38"/>
      <c r="K119" s="39" t="n">
        <f aca="false">IF(OR($A119="",NOT(ISNUMBER($D119)),NOT(ISNUMBER($H119))),"",IF(AND(ISNUMBER($J119),$J119&gt;0),$J119,IF(ISNUMBER($I119),$I119,"")))</f>
        <v>1347.01851851852</v>
      </c>
      <c r="L119" s="40" t="n">
        <f aca="false">IF(ISNUMBER($K119),$K119*$H119,"")</f>
        <v>175.112407407407</v>
      </c>
      <c r="M119" s="40" t="n">
        <f aca="false">IF(ISNUMBER($K119),$K119*Parâmetros!$B$6,"")</f>
        <v>134.701851851852</v>
      </c>
      <c r="N119" s="40" t="n">
        <f aca="false">IF(ISNUMBER($K119),$K119*Parâmetros!$C$6,"")</f>
        <v>40.4105555555556</v>
      </c>
      <c r="O119" s="40" t="n">
        <f aca="false">IF(ISNUMBER($K119),IF(ISNUMBER(Parâmetros!$E$6),Parâmetros!$E$6,0),"")</f>
        <v>0</v>
      </c>
      <c r="P119" s="41" t="n">
        <f aca="false">IF(ISNUMBER($K119),$K119-$D119-IF(ISNUMBER($E119),$E119,0)-$L119-$M119-$N119-$O119,"")</f>
        <v>269.403703703704</v>
      </c>
      <c r="Q119" s="42" t="n">
        <f aca="false">IF(AND(ISNUMBER($K119),$K119&gt;0),$P119/$K119,"")</f>
        <v>0.2</v>
      </c>
      <c r="R119" s="43"/>
      <c r="S119" s="44" t="str">
        <f aca="false">IF(OR(NOT(ISNUMBER($R119)),$R119=0,NOT(ISNUMBER($K119))),"",$K119*(1-$R119))</f>
        <v/>
      </c>
      <c r="T119" s="45" t="str">
        <f aca="false">IF(ISNUMBER($S119),$S119*$H119,"")</f>
        <v/>
      </c>
      <c r="U119" s="45" t="str">
        <f aca="false">IF(ISNUMBER($S119),$S119*Parâmetros!$B$6,"")</f>
        <v/>
      </c>
      <c r="V119" s="45" t="str">
        <f aca="false">IF(ISNUMBER($S119),$S119*Parâmetros!$C$6,"")</f>
        <v/>
      </c>
      <c r="W119" s="44" t="str">
        <f aca="false">IF(ISNUMBER($S119),$S119-$D119-IF(ISNUMBER($E119),$E119,0)-$O119-$T119-$U119-$V119,"")</f>
        <v/>
      </c>
      <c r="X119" s="46" t="str">
        <f aca="false">IF(AND(ISNUMBER($S119),$S119&gt;0),$W119/$S119,"")</f>
        <v/>
      </c>
      <c r="Y119" s="49"/>
      <c r="Z119" s="21"/>
    </row>
    <row r="120" customFormat="false" ht="15.75" hidden="false" customHeight="true" outlineLevel="0" collapsed="false">
      <c r="A120" s="32" t="str">
        <f aca="false">IF(Produtos!$A120="","",Produtos!$A120)</f>
        <v>P2425-C</v>
      </c>
      <c r="B120" s="32" t="str">
        <f aca="false">IF(Produtos!$A120="","",Produtos!$B120)</f>
        <v>Lixeira Pedal de Aço inox 24x25 12L Tampa colorido</v>
      </c>
      <c r="C120" s="32" t="str">
        <f aca="false">IF(Produtos!$A120="","",Produtos!$C120)</f>
        <v>Lixeiras com pedal</v>
      </c>
      <c r="D120" s="33" t="n">
        <f aca="false">IF(Produtos!$A120="","",IF(Produtos!$D120="","",Produtos!$D120))</f>
        <v>131.86</v>
      </c>
      <c r="E120" s="11" t="n">
        <v>0</v>
      </c>
      <c r="F120" s="34" t="n">
        <f aca="false">IF($A120="","",IF($C120="","⚠ categoria",IFERROR(INDEX(Parâmetros!$D$13:$D$22,MATCH($C120,Parâmetros!$A$13:$A$22,0)),"⚠ categoria")))</f>
        <v>0.13</v>
      </c>
      <c r="G120" s="35"/>
      <c r="H120" s="36" t="n">
        <f aca="false">IF($A120="","",IF(ISNUMBER($G120),$G120,IF(ISNUMBER($F120),$F120,"")))</f>
        <v>0.13</v>
      </c>
      <c r="I120" s="37" t="n">
        <f aca="false">IF(OR($A120="",NOT(ISNUMBER($D120)),NOT(ISNUMBER($H120))),"",IF((1-$H120-Parâmetros!$B$6-Parâmetros!$C$6-Parâmetros!$D$6)&lt;=0,"INVALIDO",($D120+IF(ISNUMBER($E120),$E120,0)+IF(ISNUMBER(Parâmetros!$E$6),Parâmetros!$E$6,0))/(1-$H120-Parâmetros!$B$6-Parâmetros!$C$6-Parâmetros!$D$6)))</f>
        <v>244.185185185185</v>
      </c>
      <c r="J120" s="38"/>
      <c r="K120" s="39" t="n">
        <f aca="false">IF(OR($A120="",NOT(ISNUMBER($D120)),NOT(ISNUMBER($H120))),"",IF(AND(ISNUMBER($J120),$J120&gt;0),$J120,IF(ISNUMBER($I120),$I120,"")))</f>
        <v>244.185185185185</v>
      </c>
      <c r="L120" s="40" t="n">
        <f aca="false">IF(ISNUMBER($K120),$K120*$H120,"")</f>
        <v>31.7440740740741</v>
      </c>
      <c r="M120" s="40" t="n">
        <f aca="false">IF(ISNUMBER($K120),$K120*Parâmetros!$B$6,"")</f>
        <v>24.4185185185185</v>
      </c>
      <c r="N120" s="40" t="n">
        <f aca="false">IF(ISNUMBER($K120),$K120*Parâmetros!$C$6,"")</f>
        <v>7.32555555555556</v>
      </c>
      <c r="O120" s="40" t="n">
        <f aca="false">IF(ISNUMBER($K120),IF(ISNUMBER(Parâmetros!$E$6),Parâmetros!$E$6,0),"")</f>
        <v>0</v>
      </c>
      <c r="P120" s="41" t="n">
        <f aca="false">IF(ISNUMBER($K120),$K120-$D120-IF(ISNUMBER($E120),$E120,0)-$L120-$M120-$N120-$O120,"")</f>
        <v>48.837037037037</v>
      </c>
      <c r="Q120" s="42" t="n">
        <f aca="false">IF(AND(ISNUMBER($K120),$K120&gt;0),$P120/$K120,"")</f>
        <v>0.2</v>
      </c>
      <c r="R120" s="43"/>
      <c r="S120" s="44" t="str">
        <f aca="false">IF(OR(NOT(ISNUMBER($R120)),$R120=0,NOT(ISNUMBER($K120))),"",$K120*(1-$R120))</f>
        <v/>
      </c>
      <c r="T120" s="45" t="str">
        <f aca="false">IF(ISNUMBER($S120),$S120*$H120,"")</f>
        <v/>
      </c>
      <c r="U120" s="45" t="str">
        <f aca="false">IF(ISNUMBER($S120),$S120*Parâmetros!$B$6,"")</f>
        <v/>
      </c>
      <c r="V120" s="45" t="str">
        <f aca="false">IF(ISNUMBER($S120),$S120*Parâmetros!$C$6,"")</f>
        <v/>
      </c>
      <c r="W120" s="44" t="str">
        <f aca="false">IF(ISNUMBER($S120),$S120-$D120-IF(ISNUMBER($E120),$E120,0)-$O120-$T120-$U120-$V120,"")</f>
        <v/>
      </c>
      <c r="X120" s="46" t="str">
        <f aca="false">IF(AND(ISNUMBER($S120),$S120&gt;0),$W120/$S120,"")</f>
        <v/>
      </c>
      <c r="Y120" s="47"/>
      <c r="Z120" s="19"/>
    </row>
    <row r="121" customFormat="false" ht="15.75" hidden="false" customHeight="true" outlineLevel="0" collapsed="false">
      <c r="A121" s="48" t="str">
        <f aca="false">IF(Produtos!$A121="","",Produtos!$A121)</f>
        <v>P2430-C</v>
      </c>
      <c r="B121" s="48" t="str">
        <f aca="false">IF(Produtos!$A121="","",Produtos!$B121)</f>
        <v>Lixeira Pedal de Aço inox 24x30 15L Tampa colorido</v>
      </c>
      <c r="C121" s="48" t="str">
        <f aca="false">IF(Produtos!$A121="","",Produtos!$C121)</f>
        <v>Lixeiras com pedal</v>
      </c>
      <c r="D121" s="33" t="n">
        <f aca="false">IF(Produtos!$A121="","",IF(Produtos!$D121="","",Produtos!$D121))</f>
        <v>140.4</v>
      </c>
      <c r="E121" s="11" t="n">
        <v>0</v>
      </c>
      <c r="F121" s="34" t="n">
        <f aca="false">IF($A121="","",IF($C121="","⚠ categoria",IFERROR(INDEX(Parâmetros!$D$13:$D$22,MATCH($C121,Parâmetros!$A$13:$A$22,0)),"⚠ categoria")))</f>
        <v>0.13</v>
      </c>
      <c r="G121" s="35"/>
      <c r="H121" s="36" t="n">
        <f aca="false">IF($A121="","",IF(ISNUMBER($G121),$G121,IF(ISNUMBER($F121),$F121,"")))</f>
        <v>0.13</v>
      </c>
      <c r="I121" s="37" t="n">
        <f aca="false">IF(OR($A121="",NOT(ISNUMBER($D121)),NOT(ISNUMBER($H121))),"",IF((1-$H121-Parâmetros!$B$6-Parâmetros!$C$6-Parâmetros!$D$6)&lt;=0,"INVALIDO",($D121+IF(ISNUMBER($E121),$E121,0)+IF(ISNUMBER(Parâmetros!$E$6),Parâmetros!$E$6,0))/(1-$H121-Parâmetros!$B$6-Parâmetros!$C$6-Parâmetros!$D$6)))</f>
        <v>260</v>
      </c>
      <c r="J121" s="38"/>
      <c r="K121" s="39" t="n">
        <f aca="false">IF(OR($A121="",NOT(ISNUMBER($D121)),NOT(ISNUMBER($H121))),"",IF(AND(ISNUMBER($J121),$J121&gt;0),$J121,IF(ISNUMBER($I121),$I121,"")))</f>
        <v>260</v>
      </c>
      <c r="L121" s="40" t="n">
        <f aca="false">IF(ISNUMBER($K121),$K121*$H121,"")</f>
        <v>33.8</v>
      </c>
      <c r="M121" s="40" t="n">
        <f aca="false">IF(ISNUMBER($K121),$K121*Parâmetros!$B$6,"")</f>
        <v>26</v>
      </c>
      <c r="N121" s="40" t="n">
        <f aca="false">IF(ISNUMBER($K121),$K121*Parâmetros!$C$6,"")</f>
        <v>7.8</v>
      </c>
      <c r="O121" s="40" t="n">
        <f aca="false">IF(ISNUMBER($K121),IF(ISNUMBER(Parâmetros!$E$6),Parâmetros!$E$6,0),"")</f>
        <v>0</v>
      </c>
      <c r="P121" s="41" t="n">
        <f aca="false">IF(ISNUMBER($K121),$K121-$D121-IF(ISNUMBER($E121),$E121,0)-$L121-$M121-$N121-$O121,"")</f>
        <v>52</v>
      </c>
      <c r="Q121" s="42" t="n">
        <f aca="false">IF(AND(ISNUMBER($K121),$K121&gt;0),$P121/$K121,"")</f>
        <v>0.2</v>
      </c>
      <c r="R121" s="43"/>
      <c r="S121" s="44" t="str">
        <f aca="false">IF(OR(NOT(ISNUMBER($R121)),$R121=0,NOT(ISNUMBER($K121))),"",$K121*(1-$R121))</f>
        <v/>
      </c>
      <c r="T121" s="45" t="str">
        <f aca="false">IF(ISNUMBER($S121),$S121*$H121,"")</f>
        <v/>
      </c>
      <c r="U121" s="45" t="str">
        <f aca="false">IF(ISNUMBER($S121),$S121*Parâmetros!$B$6,"")</f>
        <v/>
      </c>
      <c r="V121" s="45" t="str">
        <f aca="false">IF(ISNUMBER($S121),$S121*Parâmetros!$C$6,"")</f>
        <v/>
      </c>
      <c r="W121" s="44" t="str">
        <f aca="false">IF(ISNUMBER($S121),$S121-$D121-IF(ISNUMBER($E121),$E121,0)-$O121-$T121-$U121-$V121,"")</f>
        <v/>
      </c>
      <c r="X121" s="46" t="str">
        <f aca="false">IF(AND(ISNUMBER($S121),$S121&gt;0),$W121/$S121,"")</f>
        <v/>
      </c>
      <c r="Y121" s="49"/>
      <c r="Z121" s="21"/>
    </row>
    <row r="122" customFormat="false" ht="15.75" hidden="false" customHeight="true" outlineLevel="0" collapsed="false">
      <c r="A122" s="32" t="str">
        <f aca="false">IF(Produtos!$A122="","",Produtos!$A122)</f>
        <v>P2440-C</v>
      </c>
      <c r="B122" s="32" t="str">
        <f aca="false">IF(Produtos!$A122="","",Produtos!$B122)</f>
        <v>Lixeira Pedal de Aço inox 24x40 20L Tampa colorido</v>
      </c>
      <c r="C122" s="32" t="str">
        <f aca="false">IF(Produtos!$A122="","",Produtos!$C122)</f>
        <v>Lixeiras com pedal</v>
      </c>
      <c r="D122" s="33" t="n">
        <f aca="false">IF(Produtos!$A122="","",IF(Produtos!$D122="","",Produtos!$D122))</f>
        <v>148.86</v>
      </c>
      <c r="E122" s="11" t="n">
        <v>0</v>
      </c>
      <c r="F122" s="34" t="n">
        <f aca="false">IF($A122="","",IF($C122="","⚠ categoria",IFERROR(INDEX(Parâmetros!$D$13:$D$22,MATCH($C122,Parâmetros!$A$13:$A$22,0)),"⚠ categoria")))</f>
        <v>0.13</v>
      </c>
      <c r="G122" s="35"/>
      <c r="H122" s="36" t="n">
        <f aca="false">IF($A122="","",IF(ISNUMBER($G122),$G122,IF(ISNUMBER($F122),$F122,"")))</f>
        <v>0.13</v>
      </c>
      <c r="I122" s="37" t="n">
        <f aca="false">IF(OR($A122="",NOT(ISNUMBER($D122)),NOT(ISNUMBER($H122))),"",IF((1-$H122-Parâmetros!$B$6-Parâmetros!$C$6-Parâmetros!$D$6)&lt;=0,"INVALIDO",($D122+IF(ISNUMBER($E122),$E122,0)+IF(ISNUMBER(Parâmetros!$E$6),Parâmetros!$E$6,0))/(1-$H122-Parâmetros!$B$6-Parâmetros!$C$6-Parâmetros!$D$6)))</f>
        <v>275.666666666667</v>
      </c>
      <c r="J122" s="38"/>
      <c r="K122" s="39" t="n">
        <f aca="false">IF(OR($A122="",NOT(ISNUMBER($D122)),NOT(ISNUMBER($H122))),"",IF(AND(ISNUMBER($J122),$J122&gt;0),$J122,IF(ISNUMBER($I122),$I122,"")))</f>
        <v>275.666666666667</v>
      </c>
      <c r="L122" s="40" t="n">
        <f aca="false">IF(ISNUMBER($K122),$K122*$H122,"")</f>
        <v>35.8366666666667</v>
      </c>
      <c r="M122" s="40" t="n">
        <f aca="false">IF(ISNUMBER($K122),$K122*Parâmetros!$B$6,"")</f>
        <v>27.5666666666667</v>
      </c>
      <c r="N122" s="40" t="n">
        <f aca="false">IF(ISNUMBER($K122),$K122*Parâmetros!$C$6,"")</f>
        <v>8.27</v>
      </c>
      <c r="O122" s="40" t="n">
        <f aca="false">IF(ISNUMBER($K122),IF(ISNUMBER(Parâmetros!$E$6),Parâmetros!$E$6,0),"")</f>
        <v>0</v>
      </c>
      <c r="P122" s="41" t="n">
        <f aca="false">IF(ISNUMBER($K122),$K122-$D122-IF(ISNUMBER($E122),$E122,0)-$L122-$M122-$N122-$O122,"")</f>
        <v>55.1333333333333</v>
      </c>
      <c r="Q122" s="42" t="n">
        <f aca="false">IF(AND(ISNUMBER($K122),$K122&gt;0),$P122/$K122,"")</f>
        <v>0.2</v>
      </c>
      <c r="R122" s="43"/>
      <c r="S122" s="44" t="str">
        <f aca="false">IF(OR(NOT(ISNUMBER($R122)),$R122=0,NOT(ISNUMBER($K122))),"",$K122*(1-$R122))</f>
        <v/>
      </c>
      <c r="T122" s="45" t="str">
        <f aca="false">IF(ISNUMBER($S122),$S122*$H122,"")</f>
        <v/>
      </c>
      <c r="U122" s="45" t="str">
        <f aca="false">IF(ISNUMBER($S122),$S122*Parâmetros!$B$6,"")</f>
        <v/>
      </c>
      <c r="V122" s="45" t="str">
        <f aca="false">IF(ISNUMBER($S122),$S122*Parâmetros!$C$6,"")</f>
        <v/>
      </c>
      <c r="W122" s="44" t="str">
        <f aca="false">IF(ISNUMBER($S122),$S122-$D122-IF(ISNUMBER($E122),$E122,0)-$O122-$T122-$U122-$V122,"")</f>
        <v/>
      </c>
      <c r="X122" s="46" t="str">
        <f aca="false">IF(AND(ISNUMBER($S122),$S122&gt;0),$W122/$S122,"")</f>
        <v/>
      </c>
      <c r="Y122" s="47"/>
      <c r="Z122" s="19"/>
    </row>
    <row r="123" customFormat="false" ht="15.75" hidden="false" customHeight="true" outlineLevel="0" collapsed="false">
      <c r="A123" s="48" t="str">
        <f aca="false">IF(Produtos!$A123="","",Produtos!$A123)</f>
        <v>P3040-C</v>
      </c>
      <c r="B123" s="48" t="str">
        <f aca="false">IF(Produtos!$A123="","",Produtos!$B123)</f>
        <v>Lixeira Pedal de Aço inox 30x40 30L Tampa colorido</v>
      </c>
      <c r="C123" s="48" t="str">
        <f aca="false">IF(Produtos!$A123="","",Produtos!$C123)</f>
        <v>Lixeiras com pedal</v>
      </c>
      <c r="D123" s="33" t="n">
        <f aca="false">IF(Produtos!$A123="","",IF(Produtos!$D123="","",Produtos!$D123))</f>
        <v>213.43</v>
      </c>
      <c r="E123" s="11" t="n">
        <v>0</v>
      </c>
      <c r="F123" s="34" t="n">
        <f aca="false">IF($A123="","",IF($C123="","⚠ categoria",IFERROR(INDEX(Parâmetros!$D$13:$D$22,MATCH($C123,Parâmetros!$A$13:$A$22,0)),"⚠ categoria")))</f>
        <v>0.13</v>
      </c>
      <c r="G123" s="35"/>
      <c r="H123" s="36" t="n">
        <f aca="false">IF($A123="","",IF(ISNUMBER($G123),$G123,IF(ISNUMBER($F123),$F123,"")))</f>
        <v>0.13</v>
      </c>
      <c r="I123" s="37" t="n">
        <f aca="false">IF(OR($A123="",NOT(ISNUMBER($D123)),NOT(ISNUMBER($H123))),"",IF((1-$H123-Parâmetros!$B$6-Parâmetros!$C$6-Parâmetros!$D$6)&lt;=0,"INVALIDO",($D123+IF(ISNUMBER($E123),$E123,0)+IF(ISNUMBER(Parâmetros!$E$6),Parâmetros!$E$6,0))/(1-$H123-Parâmetros!$B$6-Parâmetros!$C$6-Parâmetros!$D$6)))</f>
        <v>395.240740740741</v>
      </c>
      <c r="J123" s="38"/>
      <c r="K123" s="39" t="n">
        <f aca="false">IF(OR($A123="",NOT(ISNUMBER($D123)),NOT(ISNUMBER($H123))),"",IF(AND(ISNUMBER($J123),$J123&gt;0),$J123,IF(ISNUMBER($I123),$I123,"")))</f>
        <v>395.240740740741</v>
      </c>
      <c r="L123" s="40" t="n">
        <f aca="false">IF(ISNUMBER($K123),$K123*$H123,"")</f>
        <v>51.3812962962963</v>
      </c>
      <c r="M123" s="40" t="n">
        <f aca="false">IF(ISNUMBER($K123),$K123*Parâmetros!$B$6,"")</f>
        <v>39.5240740740741</v>
      </c>
      <c r="N123" s="40" t="n">
        <f aca="false">IF(ISNUMBER($K123),$K123*Parâmetros!$C$6,"")</f>
        <v>11.8572222222222</v>
      </c>
      <c r="O123" s="40" t="n">
        <f aca="false">IF(ISNUMBER($K123),IF(ISNUMBER(Parâmetros!$E$6),Parâmetros!$E$6,0),"")</f>
        <v>0</v>
      </c>
      <c r="P123" s="41" t="n">
        <f aca="false">IF(ISNUMBER($K123),$K123-$D123-IF(ISNUMBER($E123),$E123,0)-$L123-$M123-$N123-$O123,"")</f>
        <v>79.0481481481481</v>
      </c>
      <c r="Q123" s="42" t="n">
        <f aca="false">IF(AND(ISNUMBER($K123),$K123&gt;0),$P123/$K123,"")</f>
        <v>0.2</v>
      </c>
      <c r="R123" s="43"/>
      <c r="S123" s="44" t="str">
        <f aca="false">IF(OR(NOT(ISNUMBER($R123)),$R123=0,NOT(ISNUMBER($K123))),"",$K123*(1-$R123))</f>
        <v/>
      </c>
      <c r="T123" s="45" t="str">
        <f aca="false">IF(ISNUMBER($S123),$S123*$H123,"")</f>
        <v/>
      </c>
      <c r="U123" s="45" t="str">
        <f aca="false">IF(ISNUMBER($S123),$S123*Parâmetros!$B$6,"")</f>
        <v/>
      </c>
      <c r="V123" s="45" t="str">
        <f aca="false">IF(ISNUMBER($S123),$S123*Parâmetros!$C$6,"")</f>
        <v/>
      </c>
      <c r="W123" s="44" t="str">
        <f aca="false">IF(ISNUMBER($S123),$S123-$D123-IF(ISNUMBER($E123),$E123,0)-$O123-$T123-$U123-$V123,"")</f>
        <v/>
      </c>
      <c r="X123" s="46" t="str">
        <f aca="false">IF(AND(ISNUMBER($S123),$S123&gt;0),$W123/$S123,"")</f>
        <v/>
      </c>
      <c r="Y123" s="49"/>
      <c r="Z123" s="21"/>
    </row>
    <row r="124" customFormat="false" ht="15.75" hidden="false" customHeight="true" outlineLevel="0" collapsed="false">
      <c r="A124" s="32" t="str">
        <f aca="false">IF(Produtos!$A124="","",Produtos!$A124)</f>
        <v>P3050-C</v>
      </c>
      <c r="B124" s="32" t="str">
        <f aca="false">IF(Produtos!$A124="","",Produtos!$B124)</f>
        <v>Lixeira Pedal de Aço inox 30x50 40L Tampa colorido</v>
      </c>
      <c r="C124" s="32" t="str">
        <f aca="false">IF(Produtos!$A124="","",Produtos!$C124)</f>
        <v>Lixeiras com pedal</v>
      </c>
      <c r="D124" s="33" t="n">
        <f aca="false">IF(Produtos!$A124="","",IF(Produtos!$D124="","",Produtos!$D124))</f>
        <v>252.66</v>
      </c>
      <c r="E124" s="11" t="n">
        <v>0</v>
      </c>
      <c r="F124" s="34" t="n">
        <f aca="false">IF($A124="","",IF($C124="","⚠ categoria",IFERROR(INDEX(Parâmetros!$D$13:$D$22,MATCH($C124,Parâmetros!$A$13:$A$22,0)),"⚠ categoria")))</f>
        <v>0.13</v>
      </c>
      <c r="G124" s="35"/>
      <c r="H124" s="36" t="n">
        <f aca="false">IF($A124="","",IF(ISNUMBER($G124),$G124,IF(ISNUMBER($F124),$F124,"")))</f>
        <v>0.13</v>
      </c>
      <c r="I124" s="37" t="n">
        <f aca="false">IF(OR($A124="",NOT(ISNUMBER($D124)),NOT(ISNUMBER($H124))),"",IF((1-$H124-Parâmetros!$B$6-Parâmetros!$C$6-Parâmetros!$D$6)&lt;=0,"INVALIDO",($D124+IF(ISNUMBER($E124),$E124,0)+IF(ISNUMBER(Parâmetros!$E$6),Parâmetros!$E$6,0))/(1-$H124-Parâmetros!$B$6-Parâmetros!$C$6-Parâmetros!$D$6)))</f>
        <v>467.888888888889</v>
      </c>
      <c r="J124" s="38"/>
      <c r="K124" s="39" t="n">
        <f aca="false">IF(OR($A124="",NOT(ISNUMBER($D124)),NOT(ISNUMBER($H124))),"",IF(AND(ISNUMBER($J124),$J124&gt;0),$J124,IF(ISNUMBER($I124),$I124,"")))</f>
        <v>467.888888888889</v>
      </c>
      <c r="L124" s="40" t="n">
        <f aca="false">IF(ISNUMBER($K124),$K124*$H124,"")</f>
        <v>60.8255555555556</v>
      </c>
      <c r="M124" s="40" t="n">
        <f aca="false">IF(ISNUMBER($K124),$K124*Parâmetros!$B$6,"")</f>
        <v>46.7888888888889</v>
      </c>
      <c r="N124" s="40" t="n">
        <f aca="false">IF(ISNUMBER($K124),$K124*Parâmetros!$C$6,"")</f>
        <v>14.0366666666667</v>
      </c>
      <c r="O124" s="40" t="n">
        <f aca="false">IF(ISNUMBER($K124),IF(ISNUMBER(Parâmetros!$E$6),Parâmetros!$E$6,0),"")</f>
        <v>0</v>
      </c>
      <c r="P124" s="41" t="n">
        <f aca="false">IF(ISNUMBER($K124),$K124-$D124-IF(ISNUMBER($E124),$E124,0)-$L124-$M124-$N124-$O124,"")</f>
        <v>93.5777777777778</v>
      </c>
      <c r="Q124" s="42" t="n">
        <f aca="false">IF(AND(ISNUMBER($K124),$K124&gt;0),$P124/$K124,"")</f>
        <v>0.2</v>
      </c>
      <c r="R124" s="43"/>
      <c r="S124" s="44" t="str">
        <f aca="false">IF(OR(NOT(ISNUMBER($R124)),$R124=0,NOT(ISNUMBER($K124))),"",$K124*(1-$R124))</f>
        <v/>
      </c>
      <c r="T124" s="45" t="str">
        <f aca="false">IF(ISNUMBER($S124),$S124*$H124,"")</f>
        <v/>
      </c>
      <c r="U124" s="45" t="str">
        <f aca="false">IF(ISNUMBER($S124),$S124*Parâmetros!$B$6,"")</f>
        <v/>
      </c>
      <c r="V124" s="45" t="str">
        <f aca="false">IF(ISNUMBER($S124),$S124*Parâmetros!$C$6,"")</f>
        <v/>
      </c>
      <c r="W124" s="44" t="str">
        <f aca="false">IF(ISNUMBER($S124),$S124-$D124-IF(ISNUMBER($E124),$E124,0)-$O124-$T124-$U124-$V124,"")</f>
        <v/>
      </c>
      <c r="X124" s="46" t="str">
        <f aca="false">IF(AND(ISNUMBER($S124),$S124&gt;0),$W124/$S124,"")</f>
        <v/>
      </c>
      <c r="Y124" s="47"/>
      <c r="Z124" s="19"/>
    </row>
    <row r="125" customFormat="false" ht="15.75" hidden="false" customHeight="true" outlineLevel="0" collapsed="false">
      <c r="A125" s="48" t="str">
        <f aca="false">IF(Produtos!$A125="","",Produtos!$A125)</f>
        <v>P3060-C</v>
      </c>
      <c r="B125" s="48" t="str">
        <f aca="false">IF(Produtos!$A125="","",Produtos!$B125)</f>
        <v>Lixeira Pedal de Aço inox 30x60 50L Tampa colorido</v>
      </c>
      <c r="C125" s="48" t="str">
        <f aca="false">IF(Produtos!$A125="","",Produtos!$C125)</f>
        <v>Lixeiras com pedal</v>
      </c>
      <c r="D125" s="33" t="n">
        <f aca="false">IF(Produtos!$A125="","",IF(Produtos!$D125="","",Produtos!$D125))</f>
        <v>254.39</v>
      </c>
      <c r="E125" s="11" t="n">
        <v>0</v>
      </c>
      <c r="F125" s="34" t="n">
        <f aca="false">IF($A125="","",IF($C125="","⚠ categoria",IFERROR(INDEX(Parâmetros!$D$13:$D$22,MATCH($C125,Parâmetros!$A$13:$A$22,0)),"⚠ categoria")))</f>
        <v>0.13</v>
      </c>
      <c r="G125" s="35"/>
      <c r="H125" s="36" t="n">
        <f aca="false">IF($A125="","",IF(ISNUMBER($G125),$G125,IF(ISNUMBER($F125),$F125,"")))</f>
        <v>0.13</v>
      </c>
      <c r="I125" s="37" t="n">
        <f aca="false">IF(OR($A125="",NOT(ISNUMBER($D125)),NOT(ISNUMBER($H125))),"",IF((1-$H125-Parâmetros!$B$6-Parâmetros!$C$6-Parâmetros!$D$6)&lt;=0,"INVALIDO",($D125+IF(ISNUMBER($E125),$E125,0)+IF(ISNUMBER(Parâmetros!$E$6),Parâmetros!$E$6,0))/(1-$H125-Parâmetros!$B$6-Parâmetros!$C$6-Parâmetros!$D$6)))</f>
        <v>471.092592592593</v>
      </c>
      <c r="J125" s="38"/>
      <c r="K125" s="39" t="n">
        <f aca="false">IF(OR($A125="",NOT(ISNUMBER($D125)),NOT(ISNUMBER($H125))),"",IF(AND(ISNUMBER($J125),$J125&gt;0),$J125,IF(ISNUMBER($I125),$I125,"")))</f>
        <v>471.092592592593</v>
      </c>
      <c r="L125" s="40" t="n">
        <f aca="false">IF(ISNUMBER($K125),$K125*$H125,"")</f>
        <v>61.242037037037</v>
      </c>
      <c r="M125" s="40" t="n">
        <f aca="false">IF(ISNUMBER($K125),$K125*Parâmetros!$B$6,"")</f>
        <v>47.1092592592593</v>
      </c>
      <c r="N125" s="40" t="n">
        <f aca="false">IF(ISNUMBER($K125),$K125*Parâmetros!$C$6,"")</f>
        <v>14.1327777777778</v>
      </c>
      <c r="O125" s="40" t="n">
        <f aca="false">IF(ISNUMBER($K125),IF(ISNUMBER(Parâmetros!$E$6),Parâmetros!$E$6,0),"")</f>
        <v>0</v>
      </c>
      <c r="P125" s="41" t="n">
        <f aca="false">IF(ISNUMBER($K125),$K125-$D125-IF(ISNUMBER($E125),$E125,0)-$L125-$M125-$N125-$O125,"")</f>
        <v>94.2185185185185</v>
      </c>
      <c r="Q125" s="42" t="n">
        <f aca="false">IF(AND(ISNUMBER($K125),$K125&gt;0),$P125/$K125,"")</f>
        <v>0.2</v>
      </c>
      <c r="R125" s="43"/>
      <c r="S125" s="44" t="str">
        <f aca="false">IF(OR(NOT(ISNUMBER($R125)),$R125=0,NOT(ISNUMBER($K125))),"",$K125*(1-$R125))</f>
        <v/>
      </c>
      <c r="T125" s="45" t="str">
        <f aca="false">IF(ISNUMBER($S125),$S125*$H125,"")</f>
        <v/>
      </c>
      <c r="U125" s="45" t="str">
        <f aca="false">IF(ISNUMBER($S125),$S125*Parâmetros!$B$6,"")</f>
        <v/>
      </c>
      <c r="V125" s="45" t="str">
        <f aca="false">IF(ISNUMBER($S125),$S125*Parâmetros!$C$6,"")</f>
        <v/>
      </c>
      <c r="W125" s="44" t="str">
        <f aca="false">IF(ISNUMBER($S125),$S125-$D125-IF(ISNUMBER($E125),$E125,0)-$O125-$T125-$U125-$V125,"")</f>
        <v/>
      </c>
      <c r="X125" s="46" t="str">
        <f aca="false">IF(AND(ISNUMBER($S125),$S125&gt;0),$W125/$S125,"")</f>
        <v/>
      </c>
      <c r="Y125" s="49"/>
      <c r="Z125" s="21"/>
    </row>
    <row r="126" customFormat="false" ht="15.75" hidden="false" customHeight="true" outlineLevel="0" collapsed="false">
      <c r="A126" s="32" t="str">
        <f aca="false">IF(Produtos!$A126="","",Produtos!$A126)</f>
        <v>P3070-C</v>
      </c>
      <c r="B126" s="32" t="str">
        <f aca="false">IF(Produtos!$A126="","",Produtos!$B126)</f>
        <v>Lixeira Pedal de Aço inox 30x70 60L Tampa colorido</v>
      </c>
      <c r="C126" s="32" t="str">
        <f aca="false">IF(Produtos!$A126="","",Produtos!$C126)</f>
        <v>Lixeiras com pedal</v>
      </c>
      <c r="D126" s="33" t="n">
        <f aca="false">IF(Produtos!$A126="","",IF(Produtos!$D126="","",Produtos!$D126))</f>
        <v>316.25</v>
      </c>
      <c r="E126" s="11" t="n">
        <v>0</v>
      </c>
      <c r="F126" s="34" t="n">
        <f aca="false">IF($A126="","",IF($C126="","⚠ categoria",IFERROR(INDEX(Parâmetros!$D$13:$D$22,MATCH($C126,Parâmetros!$A$13:$A$22,0)),"⚠ categoria")))</f>
        <v>0.13</v>
      </c>
      <c r="G126" s="35"/>
      <c r="H126" s="36" t="n">
        <f aca="false">IF($A126="","",IF(ISNUMBER($G126),$G126,IF(ISNUMBER($F126),$F126,"")))</f>
        <v>0.13</v>
      </c>
      <c r="I126" s="37" t="n">
        <f aca="false">IF(OR($A126="",NOT(ISNUMBER($D126)),NOT(ISNUMBER($H126))),"",IF((1-$H126-Parâmetros!$B$6-Parâmetros!$C$6-Parâmetros!$D$6)&lt;=0,"INVALIDO",($D126+IF(ISNUMBER($E126),$E126,0)+IF(ISNUMBER(Parâmetros!$E$6),Parâmetros!$E$6,0))/(1-$H126-Parâmetros!$B$6-Parâmetros!$C$6-Parâmetros!$D$6)))</f>
        <v>585.648148148148</v>
      </c>
      <c r="J126" s="38"/>
      <c r="K126" s="39" t="n">
        <f aca="false">IF(OR($A126="",NOT(ISNUMBER($D126)),NOT(ISNUMBER($H126))),"",IF(AND(ISNUMBER($J126),$J126&gt;0),$J126,IF(ISNUMBER($I126),$I126,"")))</f>
        <v>585.648148148148</v>
      </c>
      <c r="L126" s="40" t="n">
        <f aca="false">IF(ISNUMBER($K126),$K126*$H126,"")</f>
        <v>76.1342592592593</v>
      </c>
      <c r="M126" s="40" t="n">
        <f aca="false">IF(ISNUMBER($K126),$K126*Parâmetros!$B$6,"")</f>
        <v>58.5648148148148</v>
      </c>
      <c r="N126" s="40" t="n">
        <f aca="false">IF(ISNUMBER($K126),$K126*Parâmetros!$C$6,"")</f>
        <v>17.5694444444444</v>
      </c>
      <c r="O126" s="40" t="n">
        <f aca="false">IF(ISNUMBER($K126),IF(ISNUMBER(Parâmetros!$E$6),Parâmetros!$E$6,0),"")</f>
        <v>0</v>
      </c>
      <c r="P126" s="41" t="n">
        <f aca="false">IF(ISNUMBER($K126),$K126-$D126-IF(ISNUMBER($E126),$E126,0)-$L126-$M126-$N126-$O126,"")</f>
        <v>117.12962962963</v>
      </c>
      <c r="Q126" s="42" t="n">
        <f aca="false">IF(AND(ISNUMBER($K126),$K126&gt;0),$P126/$K126,"")</f>
        <v>0.2</v>
      </c>
      <c r="R126" s="43"/>
      <c r="S126" s="44" t="str">
        <f aca="false">IF(OR(NOT(ISNUMBER($R126)),$R126=0,NOT(ISNUMBER($K126))),"",$K126*(1-$R126))</f>
        <v/>
      </c>
      <c r="T126" s="45" t="str">
        <f aca="false">IF(ISNUMBER($S126),$S126*$H126,"")</f>
        <v/>
      </c>
      <c r="U126" s="45" t="str">
        <f aca="false">IF(ISNUMBER($S126),$S126*Parâmetros!$B$6,"")</f>
        <v/>
      </c>
      <c r="V126" s="45" t="str">
        <f aca="false">IF(ISNUMBER($S126),$S126*Parâmetros!$C$6,"")</f>
        <v/>
      </c>
      <c r="W126" s="44" t="str">
        <f aca="false">IF(ISNUMBER($S126),$S126-$D126-IF(ISNUMBER($E126),$E126,0)-$O126-$T126-$U126-$V126,"")</f>
        <v/>
      </c>
      <c r="X126" s="46" t="str">
        <f aca="false">IF(AND(ISNUMBER($S126),$S126&gt;0),$W126/$S126,"")</f>
        <v/>
      </c>
      <c r="Y126" s="47"/>
      <c r="Z126" s="19"/>
    </row>
    <row r="127" customFormat="false" ht="15.75" hidden="false" customHeight="true" outlineLevel="0" collapsed="false">
      <c r="A127" s="48" t="str">
        <f aca="false">IF(Produtos!$A127="","",Produtos!$A127)</f>
        <v>P4050-C</v>
      </c>
      <c r="B127" s="48" t="str">
        <f aca="false">IF(Produtos!$A127="","",Produtos!$B127)</f>
        <v>Lixeira Pedal de Aço inox 40x50 65L Tampa colorido</v>
      </c>
      <c r="C127" s="48" t="str">
        <f aca="false">IF(Produtos!$A127="","",Produtos!$C127)</f>
        <v>Lixeiras com pedal</v>
      </c>
      <c r="D127" s="33" t="n">
        <f aca="false">IF(Produtos!$A127="","",IF(Produtos!$D127="","",Produtos!$D127))</f>
        <v>383.73</v>
      </c>
      <c r="E127" s="11" t="n">
        <v>0</v>
      </c>
      <c r="F127" s="34" t="n">
        <f aca="false">IF($A127="","",IF($C127="","⚠ categoria",IFERROR(INDEX(Parâmetros!$D$13:$D$22,MATCH($C127,Parâmetros!$A$13:$A$22,0)),"⚠ categoria")))</f>
        <v>0.13</v>
      </c>
      <c r="G127" s="35"/>
      <c r="H127" s="36" t="n">
        <f aca="false">IF($A127="","",IF(ISNUMBER($G127),$G127,IF(ISNUMBER($F127),$F127,"")))</f>
        <v>0.13</v>
      </c>
      <c r="I127" s="37" t="n">
        <f aca="false">IF(OR($A127="",NOT(ISNUMBER($D127)),NOT(ISNUMBER($H127))),"",IF((1-$H127-Parâmetros!$B$6-Parâmetros!$C$6-Parâmetros!$D$6)&lt;=0,"INVALIDO",($D127+IF(ISNUMBER($E127),$E127,0)+IF(ISNUMBER(Parâmetros!$E$6),Parâmetros!$E$6,0))/(1-$H127-Parâmetros!$B$6-Parâmetros!$C$6-Parâmetros!$D$6)))</f>
        <v>710.611111111111</v>
      </c>
      <c r="J127" s="38"/>
      <c r="K127" s="39" t="n">
        <f aca="false">IF(OR($A127="",NOT(ISNUMBER($D127)),NOT(ISNUMBER($H127))),"",IF(AND(ISNUMBER($J127),$J127&gt;0),$J127,IF(ISNUMBER($I127),$I127,"")))</f>
        <v>710.611111111111</v>
      </c>
      <c r="L127" s="40" t="n">
        <f aca="false">IF(ISNUMBER($K127),$K127*$H127,"")</f>
        <v>92.3794444444445</v>
      </c>
      <c r="M127" s="40" t="n">
        <f aca="false">IF(ISNUMBER($K127),$K127*Parâmetros!$B$6,"")</f>
        <v>71.0611111111111</v>
      </c>
      <c r="N127" s="40" t="n">
        <f aca="false">IF(ISNUMBER($K127),$K127*Parâmetros!$C$6,"")</f>
        <v>21.3183333333333</v>
      </c>
      <c r="O127" s="40" t="n">
        <f aca="false">IF(ISNUMBER($K127),IF(ISNUMBER(Parâmetros!$E$6),Parâmetros!$E$6,0),"")</f>
        <v>0</v>
      </c>
      <c r="P127" s="41" t="n">
        <f aca="false">IF(ISNUMBER($K127),$K127-$D127-IF(ISNUMBER($E127),$E127,0)-$L127-$M127-$N127-$O127,"")</f>
        <v>142.122222222222</v>
      </c>
      <c r="Q127" s="42" t="n">
        <f aca="false">IF(AND(ISNUMBER($K127),$K127&gt;0),$P127/$K127,"")</f>
        <v>0.2</v>
      </c>
      <c r="R127" s="43"/>
      <c r="S127" s="44" t="str">
        <f aca="false">IF(OR(NOT(ISNUMBER($R127)),$R127=0,NOT(ISNUMBER($K127))),"",$K127*(1-$R127))</f>
        <v/>
      </c>
      <c r="T127" s="45" t="str">
        <f aca="false">IF(ISNUMBER($S127),$S127*$H127,"")</f>
        <v/>
      </c>
      <c r="U127" s="45" t="str">
        <f aca="false">IF(ISNUMBER($S127),$S127*Parâmetros!$B$6,"")</f>
        <v/>
      </c>
      <c r="V127" s="45" t="str">
        <f aca="false">IF(ISNUMBER($S127),$S127*Parâmetros!$C$6,"")</f>
        <v/>
      </c>
      <c r="W127" s="44" t="str">
        <f aca="false">IF(ISNUMBER($S127),$S127-$D127-IF(ISNUMBER($E127),$E127,0)-$O127-$T127-$U127-$V127,"")</f>
        <v/>
      </c>
      <c r="X127" s="46" t="str">
        <f aca="false">IF(AND(ISNUMBER($S127),$S127&gt;0),$W127/$S127,"")</f>
        <v/>
      </c>
      <c r="Y127" s="49"/>
      <c r="Z127" s="21"/>
    </row>
    <row r="128" customFormat="false" ht="15.75" hidden="false" customHeight="true" outlineLevel="0" collapsed="false">
      <c r="A128" s="32" t="str">
        <f aca="false">IF(Produtos!$A128="","",Produtos!$A128)</f>
        <v>P4060-C</v>
      </c>
      <c r="B128" s="32" t="str">
        <f aca="false">IF(Produtos!$A128="","",Produtos!$B128)</f>
        <v>Lixeira Pedal de Aço inox 40x60 75L Tampa colorido</v>
      </c>
      <c r="C128" s="32" t="str">
        <f aca="false">IF(Produtos!$A128="","",Produtos!$C128)</f>
        <v>Lixeiras com pedal</v>
      </c>
      <c r="D128" s="33" t="n">
        <f aca="false">IF(Produtos!$A128="","",IF(Produtos!$D128="","",Produtos!$D128))</f>
        <v>423.07</v>
      </c>
      <c r="E128" s="11" t="n">
        <v>0</v>
      </c>
      <c r="F128" s="34" t="n">
        <f aca="false">IF($A128="","",IF($C128="","⚠ categoria",IFERROR(INDEX(Parâmetros!$D$13:$D$22,MATCH($C128,Parâmetros!$A$13:$A$22,0)),"⚠ categoria")))</f>
        <v>0.13</v>
      </c>
      <c r="G128" s="35"/>
      <c r="H128" s="36" t="n">
        <f aca="false">IF($A128="","",IF(ISNUMBER($G128),$G128,IF(ISNUMBER($F128),$F128,"")))</f>
        <v>0.13</v>
      </c>
      <c r="I128" s="37" t="n">
        <f aca="false">IF(OR($A128="",NOT(ISNUMBER($D128)),NOT(ISNUMBER($H128))),"",IF((1-$H128-Parâmetros!$B$6-Parâmetros!$C$6-Parâmetros!$D$6)&lt;=0,"INVALIDO",($D128+IF(ISNUMBER($E128),$E128,0)+IF(ISNUMBER(Parâmetros!$E$6),Parâmetros!$E$6,0))/(1-$H128-Parâmetros!$B$6-Parâmetros!$C$6-Parâmetros!$D$6)))</f>
        <v>783.462962962963</v>
      </c>
      <c r="J128" s="38"/>
      <c r="K128" s="39" t="n">
        <f aca="false">IF(OR($A128="",NOT(ISNUMBER($D128)),NOT(ISNUMBER($H128))),"",IF(AND(ISNUMBER($J128),$J128&gt;0),$J128,IF(ISNUMBER($I128),$I128,"")))</f>
        <v>783.462962962963</v>
      </c>
      <c r="L128" s="40" t="n">
        <f aca="false">IF(ISNUMBER($K128),$K128*$H128,"")</f>
        <v>101.850185185185</v>
      </c>
      <c r="M128" s="40" t="n">
        <f aca="false">IF(ISNUMBER($K128),$K128*Parâmetros!$B$6,"")</f>
        <v>78.3462962962963</v>
      </c>
      <c r="N128" s="40" t="n">
        <f aca="false">IF(ISNUMBER($K128),$K128*Parâmetros!$C$6,"")</f>
        <v>23.5038888888889</v>
      </c>
      <c r="O128" s="40" t="n">
        <f aca="false">IF(ISNUMBER($K128),IF(ISNUMBER(Parâmetros!$E$6),Parâmetros!$E$6,0),"")</f>
        <v>0</v>
      </c>
      <c r="P128" s="41" t="n">
        <f aca="false">IF(ISNUMBER($K128),$K128-$D128-IF(ISNUMBER($E128),$E128,0)-$L128-$M128-$N128-$O128,"")</f>
        <v>156.692592592593</v>
      </c>
      <c r="Q128" s="42" t="n">
        <f aca="false">IF(AND(ISNUMBER($K128),$K128&gt;0),$P128/$K128,"")</f>
        <v>0.2</v>
      </c>
      <c r="R128" s="43"/>
      <c r="S128" s="44" t="str">
        <f aca="false">IF(OR(NOT(ISNUMBER($R128)),$R128=0,NOT(ISNUMBER($K128))),"",$K128*(1-$R128))</f>
        <v/>
      </c>
      <c r="T128" s="45" t="str">
        <f aca="false">IF(ISNUMBER($S128),$S128*$H128,"")</f>
        <v/>
      </c>
      <c r="U128" s="45" t="str">
        <f aca="false">IF(ISNUMBER($S128),$S128*Parâmetros!$B$6,"")</f>
        <v/>
      </c>
      <c r="V128" s="45" t="str">
        <f aca="false">IF(ISNUMBER($S128),$S128*Parâmetros!$C$6,"")</f>
        <v/>
      </c>
      <c r="W128" s="44" t="str">
        <f aca="false">IF(ISNUMBER($S128),$S128-$D128-IF(ISNUMBER($E128),$E128,0)-$O128-$T128-$U128-$V128,"")</f>
        <v/>
      </c>
      <c r="X128" s="46" t="str">
        <f aca="false">IF(AND(ISNUMBER($S128),$S128&gt;0),$W128/$S128,"")</f>
        <v/>
      </c>
      <c r="Y128" s="47"/>
      <c r="Z128" s="19"/>
    </row>
    <row r="129" customFormat="false" ht="15.75" hidden="false" customHeight="true" outlineLevel="0" collapsed="false">
      <c r="A129" s="48" t="str">
        <f aca="false">IF(Produtos!$A129="","",Produtos!$A129)</f>
        <v>P4070-C</v>
      </c>
      <c r="B129" s="48" t="str">
        <f aca="false">IF(Produtos!$A129="","",Produtos!$B129)</f>
        <v>Lixeira Pedal de Aço inox 40x70 80L Tampa colorido</v>
      </c>
      <c r="C129" s="48" t="str">
        <f aca="false">IF(Produtos!$A129="","",Produtos!$C129)</f>
        <v>Lixeiras com pedal</v>
      </c>
      <c r="D129" s="33" t="n">
        <f aca="false">IF(Produtos!$A129="","",IF(Produtos!$D129="","",Produtos!$D129))</f>
        <v>428.49</v>
      </c>
      <c r="E129" s="11" t="n">
        <v>0</v>
      </c>
      <c r="F129" s="34" t="n">
        <f aca="false">IF($A129="","",IF($C129="","⚠ categoria",IFERROR(INDEX(Parâmetros!$D$13:$D$22,MATCH($C129,Parâmetros!$A$13:$A$22,0)),"⚠ categoria")))</f>
        <v>0.13</v>
      </c>
      <c r="G129" s="35"/>
      <c r="H129" s="36" t="n">
        <f aca="false">IF($A129="","",IF(ISNUMBER($G129),$G129,IF(ISNUMBER($F129),$F129,"")))</f>
        <v>0.13</v>
      </c>
      <c r="I129" s="37" t="n">
        <f aca="false">IF(OR($A129="",NOT(ISNUMBER($D129)),NOT(ISNUMBER($H129))),"",IF((1-$H129-Parâmetros!$B$6-Parâmetros!$C$6-Parâmetros!$D$6)&lt;=0,"INVALIDO",($D129+IF(ISNUMBER($E129),$E129,0)+IF(ISNUMBER(Parâmetros!$E$6),Parâmetros!$E$6,0))/(1-$H129-Parâmetros!$B$6-Parâmetros!$C$6-Parâmetros!$D$6)))</f>
        <v>793.5</v>
      </c>
      <c r="J129" s="38"/>
      <c r="K129" s="39" t="n">
        <f aca="false">IF(OR($A129="",NOT(ISNUMBER($D129)),NOT(ISNUMBER($H129))),"",IF(AND(ISNUMBER($J129),$J129&gt;0),$J129,IF(ISNUMBER($I129),$I129,"")))</f>
        <v>793.5</v>
      </c>
      <c r="L129" s="40" t="n">
        <f aca="false">IF(ISNUMBER($K129),$K129*$H129,"")</f>
        <v>103.155</v>
      </c>
      <c r="M129" s="40" t="n">
        <f aca="false">IF(ISNUMBER($K129),$K129*Parâmetros!$B$6,"")</f>
        <v>79.35</v>
      </c>
      <c r="N129" s="40" t="n">
        <f aca="false">IF(ISNUMBER($K129),$K129*Parâmetros!$C$6,"")</f>
        <v>23.805</v>
      </c>
      <c r="O129" s="40" t="n">
        <f aca="false">IF(ISNUMBER($K129),IF(ISNUMBER(Parâmetros!$E$6),Parâmetros!$E$6,0),"")</f>
        <v>0</v>
      </c>
      <c r="P129" s="41" t="n">
        <f aca="false">IF(ISNUMBER($K129),$K129-$D129-IF(ISNUMBER($E129),$E129,0)-$L129-$M129-$N129-$O129,"")</f>
        <v>158.7</v>
      </c>
      <c r="Q129" s="42" t="n">
        <f aca="false">IF(AND(ISNUMBER($K129),$K129&gt;0),$P129/$K129,"")</f>
        <v>0.2</v>
      </c>
      <c r="R129" s="43"/>
      <c r="S129" s="44" t="str">
        <f aca="false">IF(OR(NOT(ISNUMBER($R129)),$R129=0,NOT(ISNUMBER($K129))),"",$K129*(1-$R129))</f>
        <v/>
      </c>
      <c r="T129" s="45" t="str">
        <f aca="false">IF(ISNUMBER($S129),$S129*$H129,"")</f>
        <v/>
      </c>
      <c r="U129" s="45" t="str">
        <f aca="false">IF(ISNUMBER($S129),$S129*Parâmetros!$B$6,"")</f>
        <v/>
      </c>
      <c r="V129" s="45" t="str">
        <f aca="false">IF(ISNUMBER($S129),$S129*Parâmetros!$C$6,"")</f>
        <v/>
      </c>
      <c r="W129" s="44" t="str">
        <f aca="false">IF(ISNUMBER($S129),$S129-$D129-IF(ISNUMBER($E129),$E129,0)-$O129-$T129-$U129-$V129,"")</f>
        <v/>
      </c>
      <c r="X129" s="46" t="str">
        <f aca="false">IF(AND(ISNUMBER($S129),$S129&gt;0),$W129/$S129,"")</f>
        <v/>
      </c>
      <c r="Y129" s="49"/>
      <c r="Z129" s="21"/>
    </row>
    <row r="130" customFormat="false" ht="15.75" hidden="false" customHeight="true" outlineLevel="0" collapsed="false">
      <c r="A130" s="32" t="str">
        <f aca="false">IF(Produtos!$A130="","",Produtos!$A130)</f>
        <v>P4075-C</v>
      </c>
      <c r="B130" s="32" t="str">
        <f aca="false">IF(Produtos!$A130="","",Produtos!$B130)</f>
        <v>Lixeira Pedal de Aço inox 40x75 95L Tampa colorido</v>
      </c>
      <c r="C130" s="32" t="str">
        <f aca="false">IF(Produtos!$A130="","",Produtos!$C130)</f>
        <v>Lixeiras com pedal</v>
      </c>
      <c r="D130" s="33" t="n">
        <f aca="false">IF(Produtos!$A130="","",IF(Produtos!$D130="","",Produtos!$D130))</f>
        <v>490.08</v>
      </c>
      <c r="E130" s="11" t="n">
        <v>0</v>
      </c>
      <c r="F130" s="34" t="n">
        <f aca="false">IF($A130="","",IF($C130="","⚠ categoria",IFERROR(INDEX(Parâmetros!$D$13:$D$22,MATCH($C130,Parâmetros!$A$13:$A$22,0)),"⚠ categoria")))</f>
        <v>0.13</v>
      </c>
      <c r="G130" s="35"/>
      <c r="H130" s="36" t="n">
        <f aca="false">IF($A130="","",IF(ISNUMBER($G130),$G130,IF(ISNUMBER($F130),$F130,"")))</f>
        <v>0.13</v>
      </c>
      <c r="I130" s="37" t="n">
        <f aca="false">IF(OR($A130="",NOT(ISNUMBER($D130)),NOT(ISNUMBER($H130))),"",IF((1-$H130-Parâmetros!$B$6-Parâmetros!$C$6-Parâmetros!$D$6)&lt;=0,"INVALIDO",($D130+IF(ISNUMBER($E130),$E130,0)+IF(ISNUMBER(Parâmetros!$E$6),Parâmetros!$E$6,0))/(1-$H130-Parâmetros!$B$6-Parâmetros!$C$6-Parâmetros!$D$6)))</f>
        <v>907.555555555555</v>
      </c>
      <c r="J130" s="38"/>
      <c r="K130" s="39" t="n">
        <f aca="false">IF(OR($A130="",NOT(ISNUMBER($D130)),NOT(ISNUMBER($H130))),"",IF(AND(ISNUMBER($J130),$J130&gt;0),$J130,IF(ISNUMBER($I130),$I130,"")))</f>
        <v>907.555555555555</v>
      </c>
      <c r="L130" s="40" t="n">
        <f aca="false">IF(ISNUMBER($K130),$K130*$H130,"")</f>
        <v>117.982222222222</v>
      </c>
      <c r="M130" s="40" t="n">
        <f aca="false">IF(ISNUMBER($K130),$K130*Parâmetros!$B$6,"")</f>
        <v>90.7555555555556</v>
      </c>
      <c r="N130" s="40" t="n">
        <f aca="false">IF(ISNUMBER($K130),$K130*Parâmetros!$C$6,"")</f>
        <v>27.2266666666667</v>
      </c>
      <c r="O130" s="40" t="n">
        <f aca="false">IF(ISNUMBER($K130),IF(ISNUMBER(Parâmetros!$E$6),Parâmetros!$E$6,0),"")</f>
        <v>0</v>
      </c>
      <c r="P130" s="41" t="n">
        <f aca="false">IF(ISNUMBER($K130),$K130-$D130-IF(ISNUMBER($E130),$E130,0)-$L130-$M130-$N130-$O130,"")</f>
        <v>181.511111111111</v>
      </c>
      <c r="Q130" s="42" t="n">
        <f aca="false">IF(AND(ISNUMBER($K130),$K130&gt;0),$P130/$K130,"")</f>
        <v>0.2</v>
      </c>
      <c r="R130" s="43"/>
      <c r="S130" s="44" t="str">
        <f aca="false">IF(OR(NOT(ISNUMBER($R130)),$R130=0,NOT(ISNUMBER($K130))),"",$K130*(1-$R130))</f>
        <v/>
      </c>
      <c r="T130" s="45" t="str">
        <f aca="false">IF(ISNUMBER($S130),$S130*$H130,"")</f>
        <v/>
      </c>
      <c r="U130" s="45" t="str">
        <f aca="false">IF(ISNUMBER($S130),$S130*Parâmetros!$B$6,"")</f>
        <v/>
      </c>
      <c r="V130" s="45" t="str">
        <f aca="false">IF(ISNUMBER($S130),$S130*Parâmetros!$C$6,"")</f>
        <v/>
      </c>
      <c r="W130" s="44" t="str">
        <f aca="false">IF(ISNUMBER($S130),$S130-$D130-IF(ISNUMBER($E130),$E130,0)-$O130-$T130-$U130-$V130,"")</f>
        <v/>
      </c>
      <c r="X130" s="46" t="str">
        <f aca="false">IF(AND(ISNUMBER($S130),$S130&gt;0),$W130/$S130,"")</f>
        <v/>
      </c>
      <c r="Y130" s="47"/>
      <c r="Z130" s="19"/>
    </row>
    <row r="131" customFormat="false" ht="15.75" hidden="false" customHeight="true" outlineLevel="0" collapsed="false">
      <c r="A131" s="48" t="str">
        <f aca="false">IF(Produtos!$A131="","",Produtos!$A131)</f>
        <v>P4080-C</v>
      </c>
      <c r="B131" s="48" t="str">
        <f aca="false">IF(Produtos!$A131="","",Produtos!$B131)</f>
        <v>Lixeira Pedal de Aço inox 40x80 100L Tampa colorido</v>
      </c>
      <c r="C131" s="48" t="str">
        <f aca="false">IF(Produtos!$A131="","",Produtos!$C131)</f>
        <v>Lixeiras com pedal</v>
      </c>
      <c r="D131" s="33" t="n">
        <f aca="false">IF(Produtos!$A131="","",IF(Produtos!$D131="","",Produtos!$D131))</f>
        <v>548.77</v>
      </c>
      <c r="E131" s="11" t="n">
        <v>0</v>
      </c>
      <c r="F131" s="34" t="n">
        <f aca="false">IF($A131="","",IF($C131="","⚠ categoria",IFERROR(INDEX(Parâmetros!$D$13:$D$22,MATCH($C131,Parâmetros!$A$13:$A$22,0)),"⚠ categoria")))</f>
        <v>0.13</v>
      </c>
      <c r="G131" s="35"/>
      <c r="H131" s="36" t="n">
        <f aca="false">IF($A131="","",IF(ISNUMBER($G131),$G131,IF(ISNUMBER($F131),$F131,"")))</f>
        <v>0.13</v>
      </c>
      <c r="I131" s="37" t="n">
        <f aca="false">IF(OR($A131="",NOT(ISNUMBER($D131)),NOT(ISNUMBER($H131))),"",IF((1-$H131-Parâmetros!$B$6-Parâmetros!$C$6-Parâmetros!$D$6)&lt;=0,"INVALIDO",($D131+IF(ISNUMBER($E131),$E131,0)+IF(ISNUMBER(Parâmetros!$E$6),Parâmetros!$E$6,0))/(1-$H131-Parâmetros!$B$6-Parâmetros!$C$6-Parâmetros!$D$6)))</f>
        <v>1016.24074074074</v>
      </c>
      <c r="J131" s="38"/>
      <c r="K131" s="39" t="n">
        <f aca="false">IF(OR($A131="",NOT(ISNUMBER($D131)),NOT(ISNUMBER($H131))),"",IF(AND(ISNUMBER($J131),$J131&gt;0),$J131,IF(ISNUMBER($I131),$I131,"")))</f>
        <v>1016.24074074074</v>
      </c>
      <c r="L131" s="40" t="n">
        <f aca="false">IF(ISNUMBER($K131),$K131*$H131,"")</f>
        <v>132.111296296296</v>
      </c>
      <c r="M131" s="40" t="n">
        <f aca="false">IF(ISNUMBER($K131),$K131*Parâmetros!$B$6,"")</f>
        <v>101.624074074074</v>
      </c>
      <c r="N131" s="40" t="n">
        <f aca="false">IF(ISNUMBER($K131),$K131*Parâmetros!$C$6,"")</f>
        <v>30.4872222222222</v>
      </c>
      <c r="O131" s="40" t="n">
        <f aca="false">IF(ISNUMBER($K131),IF(ISNUMBER(Parâmetros!$E$6),Parâmetros!$E$6,0),"")</f>
        <v>0</v>
      </c>
      <c r="P131" s="41" t="n">
        <f aca="false">IF(ISNUMBER($K131),$K131-$D131-IF(ISNUMBER($E131),$E131,0)-$L131-$M131-$N131-$O131,"")</f>
        <v>203.248148148148</v>
      </c>
      <c r="Q131" s="42" t="n">
        <f aca="false">IF(AND(ISNUMBER($K131),$K131&gt;0),$P131/$K131,"")</f>
        <v>0.2</v>
      </c>
      <c r="R131" s="43"/>
      <c r="S131" s="44" t="str">
        <f aca="false">IF(OR(NOT(ISNUMBER($R131)),$R131=0,NOT(ISNUMBER($K131))),"",$K131*(1-$R131))</f>
        <v/>
      </c>
      <c r="T131" s="45" t="str">
        <f aca="false">IF(ISNUMBER($S131),$S131*$H131,"")</f>
        <v/>
      </c>
      <c r="U131" s="45" t="str">
        <f aca="false">IF(ISNUMBER($S131),$S131*Parâmetros!$B$6,"")</f>
        <v/>
      </c>
      <c r="V131" s="45" t="str">
        <f aca="false">IF(ISNUMBER($S131),$S131*Parâmetros!$C$6,"")</f>
        <v/>
      </c>
      <c r="W131" s="44" t="str">
        <f aca="false">IF(ISNUMBER($S131),$S131-$D131-IF(ISNUMBER($E131),$E131,0)-$O131-$T131-$U131-$V131,"")</f>
        <v/>
      </c>
      <c r="X131" s="46" t="str">
        <f aca="false">IF(AND(ISNUMBER($S131),$S131&gt;0),$W131/$S131,"")</f>
        <v/>
      </c>
      <c r="Y131" s="49"/>
      <c r="Z131" s="21"/>
    </row>
    <row r="132" customFormat="false" ht="15.75" hidden="false" customHeight="true" outlineLevel="0" collapsed="false">
      <c r="A132" s="32" t="str">
        <f aca="false">IF(Produtos!$A132="","",Produtos!$A132)</f>
        <v>P4090-C</v>
      </c>
      <c r="B132" s="32" t="str">
        <f aca="false">IF(Produtos!$A132="","",Produtos!$B132)</f>
        <v>Lixeira Pedal de Aço inox 40x90 120L Tampa colorido</v>
      </c>
      <c r="C132" s="32" t="str">
        <f aca="false">IF(Produtos!$A132="","",Produtos!$C132)</f>
        <v>Lixeiras com pedal</v>
      </c>
      <c r="D132" s="33" t="n">
        <f aca="false">IF(Produtos!$A132="","",IF(Produtos!$D132="","",Produtos!$D132))</f>
        <v>793.7</v>
      </c>
      <c r="E132" s="11" t="n">
        <v>0</v>
      </c>
      <c r="F132" s="34" t="n">
        <f aca="false">IF($A132="","",IF($C132="","⚠ categoria",IFERROR(INDEX(Parâmetros!$D$13:$D$22,MATCH($C132,Parâmetros!$A$13:$A$22,0)),"⚠ categoria")))</f>
        <v>0.13</v>
      </c>
      <c r="G132" s="35"/>
      <c r="H132" s="36" t="n">
        <f aca="false">IF($A132="","",IF(ISNUMBER($G132),$G132,IF(ISNUMBER($F132),$F132,"")))</f>
        <v>0.13</v>
      </c>
      <c r="I132" s="37" t="n">
        <f aca="false">IF(OR($A132="",NOT(ISNUMBER($D132)),NOT(ISNUMBER($H132))),"",IF((1-$H132-Parâmetros!$B$6-Parâmetros!$C$6-Parâmetros!$D$6)&lt;=0,"INVALIDO",($D132+IF(ISNUMBER($E132),$E132,0)+IF(ISNUMBER(Parâmetros!$E$6),Parâmetros!$E$6,0))/(1-$H132-Parâmetros!$B$6-Parâmetros!$C$6-Parâmetros!$D$6)))</f>
        <v>1469.81481481481</v>
      </c>
      <c r="J132" s="38"/>
      <c r="K132" s="39" t="n">
        <f aca="false">IF(OR($A132="",NOT(ISNUMBER($D132)),NOT(ISNUMBER($H132))),"",IF(AND(ISNUMBER($J132),$J132&gt;0),$J132,IF(ISNUMBER($I132),$I132,"")))</f>
        <v>1469.81481481481</v>
      </c>
      <c r="L132" s="40" t="n">
        <f aca="false">IF(ISNUMBER($K132),$K132*$H132,"")</f>
        <v>191.075925925926</v>
      </c>
      <c r="M132" s="40" t="n">
        <f aca="false">IF(ISNUMBER($K132),$K132*Parâmetros!$B$6,"")</f>
        <v>146.981481481482</v>
      </c>
      <c r="N132" s="40" t="n">
        <f aca="false">IF(ISNUMBER($K132),$K132*Parâmetros!$C$6,"")</f>
        <v>44.0944444444444</v>
      </c>
      <c r="O132" s="40" t="n">
        <f aca="false">IF(ISNUMBER($K132),IF(ISNUMBER(Parâmetros!$E$6),Parâmetros!$E$6,0),"")</f>
        <v>0</v>
      </c>
      <c r="P132" s="41" t="n">
        <f aca="false">IF(ISNUMBER($K132),$K132-$D132-IF(ISNUMBER($E132),$E132,0)-$L132-$M132-$N132-$O132,"")</f>
        <v>293.962962962963</v>
      </c>
      <c r="Q132" s="42" t="n">
        <f aca="false">IF(AND(ISNUMBER($K132),$K132&gt;0),$P132/$K132,"")</f>
        <v>0.2</v>
      </c>
      <c r="R132" s="43"/>
      <c r="S132" s="44" t="str">
        <f aca="false">IF(OR(NOT(ISNUMBER($R132)),$R132=0,NOT(ISNUMBER($K132))),"",$K132*(1-$R132))</f>
        <v/>
      </c>
      <c r="T132" s="45" t="str">
        <f aca="false">IF(ISNUMBER($S132),$S132*$H132,"")</f>
        <v/>
      </c>
      <c r="U132" s="45" t="str">
        <f aca="false">IF(ISNUMBER($S132),$S132*Parâmetros!$B$6,"")</f>
        <v/>
      </c>
      <c r="V132" s="45" t="str">
        <f aca="false">IF(ISNUMBER($S132),$S132*Parâmetros!$C$6,"")</f>
        <v/>
      </c>
      <c r="W132" s="44" t="str">
        <f aca="false">IF(ISNUMBER($S132),$S132-$D132-IF(ISNUMBER($E132),$E132,0)-$O132-$T132-$U132-$V132,"")</f>
        <v/>
      </c>
      <c r="X132" s="46" t="str">
        <f aca="false">IF(AND(ISNUMBER($S132),$S132&gt;0),$W132/$S132,"")</f>
        <v/>
      </c>
      <c r="Y132" s="47"/>
      <c r="Z132" s="19"/>
    </row>
    <row r="133" customFormat="false" ht="15.75" hidden="false" customHeight="true" outlineLevel="0" collapsed="false">
      <c r="A133" s="48" t="str">
        <f aca="false">IF(Produtos!$A133="","",Produtos!$A133)</f>
        <v>L2425-AC</v>
      </c>
      <c r="B133" s="48" t="str">
        <f aca="false">IF(Produtos!$A133="","",Produtos!$B133)</f>
        <v>Lixeira c/Aro Colorido 24x25 13L</v>
      </c>
      <c r="C133" s="48" t="str">
        <f aca="false">IF(Produtos!$A133="","",Produtos!$C133)</f>
        <v>Lixeiras em inox</v>
      </c>
      <c r="D133" s="33" t="n">
        <f aca="false">IF(Produtos!$A133="","",IF(Produtos!$D133="","",Produtos!$D133))</f>
        <v>95.49</v>
      </c>
      <c r="E133" s="11" t="n">
        <v>0</v>
      </c>
      <c r="F133" s="34" t="n">
        <f aca="false">IF($A133="","",IF($C133="","⚠ categoria",IFERROR(INDEX(Parâmetros!$D$13:$D$22,MATCH($C133,Parâmetros!$A$13:$A$22,0)),"⚠ categoria")))</f>
        <v>0.13</v>
      </c>
      <c r="G133" s="35"/>
      <c r="H133" s="36" t="n">
        <f aca="false">IF($A133="","",IF(ISNUMBER($G133),$G133,IF(ISNUMBER($F133),$F133,"")))</f>
        <v>0.13</v>
      </c>
      <c r="I133" s="37" t="n">
        <f aca="false">IF(OR($A133="",NOT(ISNUMBER($D133)),NOT(ISNUMBER($H133))),"",IF((1-$H133-Parâmetros!$B$6-Parâmetros!$C$6-Parâmetros!$D$6)&lt;=0,"INVALIDO",($D133+IF(ISNUMBER($E133),$E133,0)+IF(ISNUMBER(Parâmetros!$E$6),Parâmetros!$E$6,0))/(1-$H133-Parâmetros!$B$6-Parâmetros!$C$6-Parâmetros!$D$6)))</f>
        <v>176.833333333333</v>
      </c>
      <c r="J133" s="38"/>
      <c r="K133" s="39" t="n">
        <f aca="false">IF(OR($A133="",NOT(ISNUMBER($D133)),NOT(ISNUMBER($H133))),"",IF(AND(ISNUMBER($J133),$J133&gt;0),$J133,IF(ISNUMBER($I133),$I133,"")))</f>
        <v>176.833333333333</v>
      </c>
      <c r="L133" s="40" t="n">
        <f aca="false">IF(ISNUMBER($K133),$K133*$H133,"")</f>
        <v>22.9883333333333</v>
      </c>
      <c r="M133" s="40" t="n">
        <f aca="false">IF(ISNUMBER($K133),$K133*Parâmetros!$B$6,"")</f>
        <v>17.6833333333333</v>
      </c>
      <c r="N133" s="40" t="n">
        <f aca="false">IF(ISNUMBER($K133),$K133*Parâmetros!$C$6,"")</f>
        <v>5.305</v>
      </c>
      <c r="O133" s="40" t="n">
        <f aca="false">IF(ISNUMBER($K133),IF(ISNUMBER(Parâmetros!$E$6),Parâmetros!$E$6,0),"")</f>
        <v>0</v>
      </c>
      <c r="P133" s="41" t="n">
        <f aca="false">IF(ISNUMBER($K133),$K133-$D133-IF(ISNUMBER($E133),$E133,0)-$L133-$M133-$N133-$O133,"")</f>
        <v>35.3666666666667</v>
      </c>
      <c r="Q133" s="42" t="n">
        <f aca="false">IF(AND(ISNUMBER($K133),$K133&gt;0),$P133/$K133,"")</f>
        <v>0.2</v>
      </c>
      <c r="R133" s="43"/>
      <c r="S133" s="44" t="str">
        <f aca="false">IF(OR(NOT(ISNUMBER($R133)),$R133=0,NOT(ISNUMBER($K133))),"",$K133*(1-$R133))</f>
        <v/>
      </c>
      <c r="T133" s="45" t="str">
        <f aca="false">IF(ISNUMBER($S133),$S133*$H133,"")</f>
        <v/>
      </c>
      <c r="U133" s="45" t="str">
        <f aca="false">IF(ISNUMBER($S133),$S133*Parâmetros!$B$6,"")</f>
        <v/>
      </c>
      <c r="V133" s="45" t="str">
        <f aca="false">IF(ISNUMBER($S133),$S133*Parâmetros!$C$6,"")</f>
        <v/>
      </c>
      <c r="W133" s="44" t="str">
        <f aca="false">IF(ISNUMBER($S133),$S133-$D133-IF(ISNUMBER($E133),$E133,0)-$O133-$T133-$U133-$V133,"")</f>
        <v/>
      </c>
      <c r="X133" s="46" t="str">
        <f aca="false">IF(AND(ISNUMBER($S133),$S133&gt;0),$W133/$S133,"")</f>
        <v/>
      </c>
      <c r="Y133" s="49"/>
      <c r="Z133" s="21"/>
    </row>
    <row r="134" customFormat="false" ht="15.75" hidden="false" customHeight="true" outlineLevel="0" collapsed="false">
      <c r="A134" s="32" t="str">
        <f aca="false">IF(Produtos!$A134="","",Produtos!$A134)</f>
        <v>L2430-AC</v>
      </c>
      <c r="B134" s="32" t="str">
        <f aca="false">IF(Produtos!$A134="","",Produtos!$B134)</f>
        <v>Lixeira c/Aro Colorido 24x30 15L</v>
      </c>
      <c r="C134" s="32" t="str">
        <f aca="false">IF(Produtos!$A134="","",Produtos!$C134)</f>
        <v>Lixeiras em inox</v>
      </c>
      <c r="D134" s="33" t="n">
        <f aca="false">IF(Produtos!$A134="","",IF(Produtos!$D134="","",Produtos!$D134))</f>
        <v>104.2</v>
      </c>
      <c r="E134" s="11" t="n">
        <v>0</v>
      </c>
      <c r="F134" s="34" t="n">
        <f aca="false">IF($A134="","",IF($C134="","⚠ categoria",IFERROR(INDEX(Parâmetros!$D$13:$D$22,MATCH($C134,Parâmetros!$A$13:$A$22,0)),"⚠ categoria")))</f>
        <v>0.13</v>
      </c>
      <c r="G134" s="35"/>
      <c r="H134" s="36" t="n">
        <f aca="false">IF($A134="","",IF(ISNUMBER($G134),$G134,IF(ISNUMBER($F134),$F134,"")))</f>
        <v>0.13</v>
      </c>
      <c r="I134" s="37" t="n">
        <f aca="false">IF(OR($A134="",NOT(ISNUMBER($D134)),NOT(ISNUMBER($H134))),"",IF((1-$H134-Parâmetros!$B$6-Parâmetros!$C$6-Parâmetros!$D$6)&lt;=0,"INVALIDO",($D134+IF(ISNUMBER($E134),$E134,0)+IF(ISNUMBER(Parâmetros!$E$6),Parâmetros!$E$6,0))/(1-$H134-Parâmetros!$B$6-Parâmetros!$C$6-Parâmetros!$D$6)))</f>
        <v>192.962962962963</v>
      </c>
      <c r="J134" s="38"/>
      <c r="K134" s="39" t="n">
        <f aca="false">IF(OR($A134="",NOT(ISNUMBER($D134)),NOT(ISNUMBER($H134))),"",IF(AND(ISNUMBER($J134),$J134&gt;0),$J134,IF(ISNUMBER($I134),$I134,"")))</f>
        <v>192.962962962963</v>
      </c>
      <c r="L134" s="40" t="n">
        <f aca="false">IF(ISNUMBER($K134),$K134*$H134,"")</f>
        <v>25.0851851851852</v>
      </c>
      <c r="M134" s="40" t="n">
        <f aca="false">IF(ISNUMBER($K134),$K134*Parâmetros!$B$6,"")</f>
        <v>19.2962962962963</v>
      </c>
      <c r="N134" s="40" t="n">
        <f aca="false">IF(ISNUMBER($K134),$K134*Parâmetros!$C$6,"")</f>
        <v>5.78888888888889</v>
      </c>
      <c r="O134" s="40" t="n">
        <f aca="false">IF(ISNUMBER($K134),IF(ISNUMBER(Parâmetros!$E$6),Parâmetros!$E$6,0),"")</f>
        <v>0</v>
      </c>
      <c r="P134" s="41" t="n">
        <f aca="false">IF(ISNUMBER($K134),$K134-$D134-IF(ISNUMBER($E134),$E134,0)-$L134-$M134-$N134-$O134,"")</f>
        <v>38.5925925925926</v>
      </c>
      <c r="Q134" s="42" t="n">
        <f aca="false">IF(AND(ISNUMBER($K134),$K134&gt;0),$P134/$K134,"")</f>
        <v>0.2</v>
      </c>
      <c r="R134" s="43"/>
      <c r="S134" s="44" t="str">
        <f aca="false">IF(OR(NOT(ISNUMBER($R134)),$R134=0,NOT(ISNUMBER($K134))),"",$K134*(1-$R134))</f>
        <v/>
      </c>
      <c r="T134" s="45" t="str">
        <f aca="false">IF(ISNUMBER($S134),$S134*$H134,"")</f>
        <v/>
      </c>
      <c r="U134" s="45" t="str">
        <f aca="false">IF(ISNUMBER($S134),$S134*Parâmetros!$B$6,"")</f>
        <v/>
      </c>
      <c r="V134" s="45" t="str">
        <f aca="false">IF(ISNUMBER($S134),$S134*Parâmetros!$C$6,"")</f>
        <v/>
      </c>
      <c r="W134" s="44" t="str">
        <f aca="false">IF(ISNUMBER($S134),$S134-$D134-IF(ISNUMBER($E134),$E134,0)-$O134-$T134-$U134-$V134,"")</f>
        <v/>
      </c>
      <c r="X134" s="46" t="str">
        <f aca="false">IF(AND(ISNUMBER($S134),$S134&gt;0),$W134/$S134,"")</f>
        <v/>
      </c>
      <c r="Y134" s="47"/>
      <c r="Z134" s="19"/>
    </row>
    <row r="135" customFormat="false" ht="15.75" hidden="false" customHeight="true" outlineLevel="0" collapsed="false">
      <c r="A135" s="48" t="str">
        <f aca="false">IF(Produtos!$A135="","",Produtos!$A135)</f>
        <v>L2440-AC</v>
      </c>
      <c r="B135" s="48" t="str">
        <f aca="false">IF(Produtos!$A135="","",Produtos!$B135)</f>
        <v>Lixeira c/Aro Colorido 24x40 20L</v>
      </c>
      <c r="C135" s="48" t="str">
        <f aca="false">IF(Produtos!$A135="","",Produtos!$C135)</f>
        <v>Lixeiras em inox</v>
      </c>
      <c r="D135" s="33" t="n">
        <f aca="false">IF(Produtos!$A135="","",IF(Produtos!$D135="","",Produtos!$D135))</f>
        <v>115.16</v>
      </c>
      <c r="E135" s="11" t="n">
        <v>0</v>
      </c>
      <c r="F135" s="34" t="n">
        <f aca="false">IF($A135="","",IF($C135="","⚠ categoria",IFERROR(INDEX(Parâmetros!$D$13:$D$22,MATCH($C135,Parâmetros!$A$13:$A$22,0)),"⚠ categoria")))</f>
        <v>0.13</v>
      </c>
      <c r="G135" s="35"/>
      <c r="H135" s="36" t="n">
        <f aca="false">IF($A135="","",IF(ISNUMBER($G135),$G135,IF(ISNUMBER($F135),$F135,"")))</f>
        <v>0.13</v>
      </c>
      <c r="I135" s="37" t="n">
        <f aca="false">IF(OR($A135="",NOT(ISNUMBER($D135)),NOT(ISNUMBER($H135))),"",IF((1-$H135-Parâmetros!$B$6-Parâmetros!$C$6-Parâmetros!$D$6)&lt;=0,"INVALIDO",($D135+IF(ISNUMBER($E135),$E135,0)+IF(ISNUMBER(Parâmetros!$E$6),Parâmetros!$E$6,0))/(1-$H135-Parâmetros!$B$6-Parâmetros!$C$6-Parâmetros!$D$6)))</f>
        <v>213.259259259259</v>
      </c>
      <c r="J135" s="38"/>
      <c r="K135" s="39" t="n">
        <f aca="false">IF(OR($A135="",NOT(ISNUMBER($D135)),NOT(ISNUMBER($H135))),"",IF(AND(ISNUMBER($J135),$J135&gt;0),$J135,IF(ISNUMBER($I135),$I135,"")))</f>
        <v>213.259259259259</v>
      </c>
      <c r="L135" s="40" t="n">
        <f aca="false">IF(ISNUMBER($K135),$K135*$H135,"")</f>
        <v>27.7237037037037</v>
      </c>
      <c r="M135" s="40" t="n">
        <f aca="false">IF(ISNUMBER($K135),$K135*Parâmetros!$B$6,"")</f>
        <v>21.3259259259259</v>
      </c>
      <c r="N135" s="40" t="n">
        <f aca="false">IF(ISNUMBER($K135),$K135*Parâmetros!$C$6,"")</f>
        <v>6.39777777777778</v>
      </c>
      <c r="O135" s="40" t="n">
        <f aca="false">IF(ISNUMBER($K135),IF(ISNUMBER(Parâmetros!$E$6),Parâmetros!$E$6,0),"")</f>
        <v>0</v>
      </c>
      <c r="P135" s="41" t="n">
        <f aca="false">IF(ISNUMBER($K135),$K135-$D135-IF(ISNUMBER($E135),$E135,0)-$L135-$M135-$N135-$O135,"")</f>
        <v>42.6518518518518</v>
      </c>
      <c r="Q135" s="42" t="n">
        <f aca="false">IF(AND(ISNUMBER($K135),$K135&gt;0),$P135/$K135,"")</f>
        <v>0.2</v>
      </c>
      <c r="R135" s="43"/>
      <c r="S135" s="44" t="str">
        <f aca="false">IF(OR(NOT(ISNUMBER($R135)),$R135=0,NOT(ISNUMBER($K135))),"",$K135*(1-$R135))</f>
        <v/>
      </c>
      <c r="T135" s="45" t="str">
        <f aca="false">IF(ISNUMBER($S135),$S135*$H135,"")</f>
        <v/>
      </c>
      <c r="U135" s="45" t="str">
        <f aca="false">IF(ISNUMBER($S135),$S135*Parâmetros!$B$6,"")</f>
        <v/>
      </c>
      <c r="V135" s="45" t="str">
        <f aca="false">IF(ISNUMBER($S135),$S135*Parâmetros!$C$6,"")</f>
        <v/>
      </c>
      <c r="W135" s="44" t="str">
        <f aca="false">IF(ISNUMBER($S135),$S135-$D135-IF(ISNUMBER($E135),$E135,0)-$O135-$T135-$U135-$V135,"")</f>
        <v/>
      </c>
      <c r="X135" s="46" t="str">
        <f aca="false">IF(AND(ISNUMBER($S135),$S135&gt;0),$W135/$S135,"")</f>
        <v/>
      </c>
      <c r="Y135" s="49"/>
      <c r="Z135" s="21"/>
    </row>
    <row r="136" customFormat="false" ht="15.75" hidden="false" customHeight="true" outlineLevel="0" collapsed="false">
      <c r="A136" s="32" t="str">
        <f aca="false">IF(Produtos!$A136="","",Produtos!$A136)</f>
        <v>L2450-AC</v>
      </c>
      <c r="B136" s="32" t="str">
        <f aca="false">IF(Produtos!$A136="","",Produtos!$B136)</f>
        <v>Lixeira c/Aro Colorido 24x50 25L</v>
      </c>
      <c r="C136" s="32" t="str">
        <f aca="false">IF(Produtos!$A136="","",Produtos!$C136)</f>
        <v>Lixeiras em inox</v>
      </c>
      <c r="D136" s="33" t="n">
        <f aca="false">IF(Produtos!$A136="","",IF(Produtos!$D136="","",Produtos!$D136))</f>
        <v>145.95</v>
      </c>
      <c r="E136" s="11" t="n">
        <v>0</v>
      </c>
      <c r="F136" s="34" t="n">
        <f aca="false">IF($A136="","",IF($C136="","⚠ categoria",IFERROR(INDEX(Parâmetros!$D$13:$D$22,MATCH($C136,Parâmetros!$A$13:$A$22,0)),"⚠ categoria")))</f>
        <v>0.13</v>
      </c>
      <c r="G136" s="35"/>
      <c r="H136" s="36" t="n">
        <f aca="false">IF($A136="","",IF(ISNUMBER($G136),$G136,IF(ISNUMBER($F136),$F136,"")))</f>
        <v>0.13</v>
      </c>
      <c r="I136" s="37" t="n">
        <f aca="false">IF(OR($A136="",NOT(ISNUMBER($D136)),NOT(ISNUMBER($H136))),"",IF((1-$H136-Parâmetros!$B$6-Parâmetros!$C$6-Parâmetros!$D$6)&lt;=0,"INVALIDO",($D136+IF(ISNUMBER($E136),$E136,0)+IF(ISNUMBER(Parâmetros!$E$6),Parâmetros!$E$6,0))/(1-$H136-Parâmetros!$B$6-Parâmetros!$C$6-Parâmetros!$D$6)))</f>
        <v>270.277777777778</v>
      </c>
      <c r="J136" s="38"/>
      <c r="K136" s="39" t="n">
        <f aca="false">IF(OR($A136="",NOT(ISNUMBER($D136)),NOT(ISNUMBER($H136))),"",IF(AND(ISNUMBER($J136),$J136&gt;0),$J136,IF(ISNUMBER($I136),$I136,"")))</f>
        <v>270.277777777778</v>
      </c>
      <c r="L136" s="40" t="n">
        <f aca="false">IF(ISNUMBER($K136),$K136*$H136,"")</f>
        <v>35.1361111111111</v>
      </c>
      <c r="M136" s="40" t="n">
        <f aca="false">IF(ISNUMBER($K136),$K136*Parâmetros!$B$6,"")</f>
        <v>27.0277777777778</v>
      </c>
      <c r="N136" s="40" t="n">
        <f aca="false">IF(ISNUMBER($K136),$K136*Parâmetros!$C$6,"")</f>
        <v>8.10833333333333</v>
      </c>
      <c r="O136" s="40" t="n">
        <f aca="false">IF(ISNUMBER($K136),IF(ISNUMBER(Parâmetros!$E$6),Parâmetros!$E$6,0),"")</f>
        <v>0</v>
      </c>
      <c r="P136" s="41" t="n">
        <f aca="false">IF(ISNUMBER($K136),$K136-$D136-IF(ISNUMBER($E136),$E136,0)-$L136-$M136-$N136-$O136,"")</f>
        <v>54.0555555555555</v>
      </c>
      <c r="Q136" s="42" t="n">
        <f aca="false">IF(AND(ISNUMBER($K136),$K136&gt;0),$P136/$K136,"")</f>
        <v>0.2</v>
      </c>
      <c r="R136" s="43"/>
      <c r="S136" s="44" t="str">
        <f aca="false">IF(OR(NOT(ISNUMBER($R136)),$R136=0,NOT(ISNUMBER($K136))),"",$K136*(1-$R136))</f>
        <v/>
      </c>
      <c r="T136" s="45" t="str">
        <f aca="false">IF(ISNUMBER($S136),$S136*$H136,"")</f>
        <v/>
      </c>
      <c r="U136" s="45" t="str">
        <f aca="false">IF(ISNUMBER($S136),$S136*Parâmetros!$B$6,"")</f>
        <v/>
      </c>
      <c r="V136" s="45" t="str">
        <f aca="false">IF(ISNUMBER($S136),$S136*Parâmetros!$C$6,"")</f>
        <v/>
      </c>
      <c r="W136" s="44" t="str">
        <f aca="false">IF(ISNUMBER($S136),$S136-$D136-IF(ISNUMBER($E136),$E136,0)-$O136-$T136-$U136-$V136,"")</f>
        <v/>
      </c>
      <c r="X136" s="46" t="str">
        <f aca="false">IF(AND(ISNUMBER($S136),$S136&gt;0),$W136/$S136,"")</f>
        <v/>
      </c>
      <c r="Y136" s="47"/>
      <c r="Z136" s="19"/>
    </row>
    <row r="137" customFormat="false" ht="15.75" hidden="false" customHeight="true" outlineLevel="0" collapsed="false">
      <c r="A137" s="48" t="str">
        <f aca="false">IF(Produtos!$A137="","",Produtos!$A137)</f>
        <v>L2460-AC</v>
      </c>
      <c r="B137" s="48" t="str">
        <f aca="false">IF(Produtos!$A137="","",Produtos!$B137)</f>
        <v>Lixeira c/Aro Colorido 24x60 27L</v>
      </c>
      <c r="C137" s="48" t="str">
        <f aca="false">IF(Produtos!$A137="","",Produtos!$C137)</f>
        <v>Lixeiras em inox</v>
      </c>
      <c r="D137" s="33" t="n">
        <f aca="false">IF(Produtos!$A137="","",IF(Produtos!$D137="","",Produtos!$D137))</f>
        <v>147.48</v>
      </c>
      <c r="E137" s="11" t="n">
        <v>0</v>
      </c>
      <c r="F137" s="34" t="n">
        <f aca="false">IF($A137="","",IF($C137="","⚠ categoria",IFERROR(INDEX(Parâmetros!$D$13:$D$22,MATCH($C137,Parâmetros!$A$13:$A$22,0)),"⚠ categoria")))</f>
        <v>0.13</v>
      </c>
      <c r="G137" s="35"/>
      <c r="H137" s="36" t="n">
        <f aca="false">IF($A137="","",IF(ISNUMBER($G137),$G137,IF(ISNUMBER($F137),$F137,"")))</f>
        <v>0.13</v>
      </c>
      <c r="I137" s="37" t="n">
        <f aca="false">IF(OR($A137="",NOT(ISNUMBER($D137)),NOT(ISNUMBER($H137))),"",IF((1-$H137-Parâmetros!$B$6-Parâmetros!$C$6-Parâmetros!$D$6)&lt;=0,"INVALIDO",($D137+IF(ISNUMBER($E137),$E137,0)+IF(ISNUMBER(Parâmetros!$E$6),Parâmetros!$E$6,0))/(1-$H137-Parâmetros!$B$6-Parâmetros!$C$6-Parâmetros!$D$6)))</f>
        <v>273.111111111111</v>
      </c>
      <c r="J137" s="38"/>
      <c r="K137" s="39" t="n">
        <f aca="false">IF(OR($A137="",NOT(ISNUMBER($D137)),NOT(ISNUMBER($H137))),"",IF(AND(ISNUMBER($J137),$J137&gt;0),$J137,IF(ISNUMBER($I137),$I137,"")))</f>
        <v>273.111111111111</v>
      </c>
      <c r="L137" s="40" t="n">
        <f aca="false">IF(ISNUMBER($K137),$K137*$H137,"")</f>
        <v>35.5044444444444</v>
      </c>
      <c r="M137" s="40" t="n">
        <f aca="false">IF(ISNUMBER($K137),$K137*Parâmetros!$B$6,"")</f>
        <v>27.3111111111111</v>
      </c>
      <c r="N137" s="40" t="n">
        <f aca="false">IF(ISNUMBER($K137),$K137*Parâmetros!$C$6,"")</f>
        <v>8.19333333333333</v>
      </c>
      <c r="O137" s="40" t="n">
        <f aca="false">IF(ISNUMBER($K137),IF(ISNUMBER(Parâmetros!$E$6),Parâmetros!$E$6,0),"")</f>
        <v>0</v>
      </c>
      <c r="P137" s="41" t="n">
        <f aca="false">IF(ISNUMBER($K137),$K137-$D137-IF(ISNUMBER($E137),$E137,0)-$L137-$M137-$N137-$O137,"")</f>
        <v>54.6222222222222</v>
      </c>
      <c r="Q137" s="42" t="n">
        <f aca="false">IF(AND(ISNUMBER($K137),$K137&gt;0),$P137/$K137,"")</f>
        <v>0.2</v>
      </c>
      <c r="R137" s="43"/>
      <c r="S137" s="44" t="str">
        <f aca="false">IF(OR(NOT(ISNUMBER($R137)),$R137=0,NOT(ISNUMBER($K137))),"",$K137*(1-$R137))</f>
        <v/>
      </c>
      <c r="T137" s="45" t="str">
        <f aca="false">IF(ISNUMBER($S137),$S137*$H137,"")</f>
        <v/>
      </c>
      <c r="U137" s="45" t="str">
        <f aca="false">IF(ISNUMBER($S137),$S137*Parâmetros!$B$6,"")</f>
        <v/>
      </c>
      <c r="V137" s="45" t="str">
        <f aca="false">IF(ISNUMBER($S137),$S137*Parâmetros!$C$6,"")</f>
        <v/>
      </c>
      <c r="W137" s="44" t="str">
        <f aca="false">IF(ISNUMBER($S137),$S137-$D137-IF(ISNUMBER($E137),$E137,0)-$O137-$T137-$U137-$V137,"")</f>
        <v/>
      </c>
      <c r="X137" s="46" t="str">
        <f aca="false">IF(AND(ISNUMBER($S137),$S137&gt;0),$W137/$S137,"")</f>
        <v/>
      </c>
      <c r="Y137" s="49"/>
      <c r="Z137" s="21"/>
    </row>
    <row r="138" customFormat="false" ht="15.75" hidden="false" customHeight="true" outlineLevel="0" collapsed="false">
      <c r="A138" s="32" t="str">
        <f aca="false">IF(Produtos!$A138="","",Produtos!$A138)</f>
        <v>L2470-AC</v>
      </c>
      <c r="B138" s="32" t="str">
        <f aca="false">IF(Produtos!$A138="","",Produtos!$B138)</f>
        <v>Lixeira c/Aro Colorido 24x70 30L</v>
      </c>
      <c r="C138" s="32" t="str">
        <f aca="false">IF(Produtos!$A138="","",Produtos!$C138)</f>
        <v>Lixeiras em inox</v>
      </c>
      <c r="D138" s="33" t="n">
        <f aca="false">IF(Produtos!$A138="","",IF(Produtos!$D138="","",Produtos!$D138))</f>
        <v>220.29</v>
      </c>
      <c r="E138" s="11" t="n">
        <v>0</v>
      </c>
      <c r="F138" s="34" t="n">
        <f aca="false">IF($A138="","",IF($C138="","⚠ categoria",IFERROR(INDEX(Parâmetros!$D$13:$D$22,MATCH($C138,Parâmetros!$A$13:$A$22,0)),"⚠ categoria")))</f>
        <v>0.13</v>
      </c>
      <c r="G138" s="35"/>
      <c r="H138" s="36" t="n">
        <f aca="false">IF($A138="","",IF(ISNUMBER($G138),$G138,IF(ISNUMBER($F138),$F138,"")))</f>
        <v>0.13</v>
      </c>
      <c r="I138" s="37" t="n">
        <f aca="false">IF(OR($A138="",NOT(ISNUMBER($D138)),NOT(ISNUMBER($H138))),"",IF((1-$H138-Parâmetros!$B$6-Parâmetros!$C$6-Parâmetros!$D$6)&lt;=0,"INVALIDO",($D138+IF(ISNUMBER($E138),$E138,0)+IF(ISNUMBER(Parâmetros!$E$6),Parâmetros!$E$6,0))/(1-$H138-Parâmetros!$B$6-Parâmetros!$C$6-Parâmetros!$D$6)))</f>
        <v>407.944444444444</v>
      </c>
      <c r="J138" s="38"/>
      <c r="K138" s="39" t="n">
        <f aca="false">IF(OR($A138="",NOT(ISNUMBER($D138)),NOT(ISNUMBER($H138))),"",IF(AND(ISNUMBER($J138),$J138&gt;0),$J138,IF(ISNUMBER($I138),$I138,"")))</f>
        <v>407.944444444444</v>
      </c>
      <c r="L138" s="40" t="n">
        <f aca="false">IF(ISNUMBER($K138),$K138*$H138,"")</f>
        <v>53.0327777777778</v>
      </c>
      <c r="M138" s="40" t="n">
        <f aca="false">IF(ISNUMBER($K138),$K138*Parâmetros!$B$6,"")</f>
        <v>40.7944444444444</v>
      </c>
      <c r="N138" s="40" t="n">
        <f aca="false">IF(ISNUMBER($K138),$K138*Parâmetros!$C$6,"")</f>
        <v>12.2383333333333</v>
      </c>
      <c r="O138" s="40" t="n">
        <f aca="false">IF(ISNUMBER($K138),IF(ISNUMBER(Parâmetros!$E$6),Parâmetros!$E$6,0),"")</f>
        <v>0</v>
      </c>
      <c r="P138" s="41" t="n">
        <f aca="false">IF(ISNUMBER($K138),$K138-$D138-IF(ISNUMBER($E138),$E138,0)-$L138-$M138-$N138-$O138,"")</f>
        <v>81.5888888888889</v>
      </c>
      <c r="Q138" s="42" t="n">
        <f aca="false">IF(AND(ISNUMBER($K138),$K138&gt;0),$P138/$K138,"")</f>
        <v>0.2</v>
      </c>
      <c r="R138" s="43"/>
      <c r="S138" s="44" t="str">
        <f aca="false">IF(OR(NOT(ISNUMBER($R138)),$R138=0,NOT(ISNUMBER($K138))),"",$K138*(1-$R138))</f>
        <v/>
      </c>
      <c r="T138" s="45" t="str">
        <f aca="false">IF(ISNUMBER($S138),$S138*$H138,"")</f>
        <v/>
      </c>
      <c r="U138" s="45" t="str">
        <f aca="false">IF(ISNUMBER($S138),$S138*Parâmetros!$B$6,"")</f>
        <v/>
      </c>
      <c r="V138" s="45" t="str">
        <f aca="false">IF(ISNUMBER($S138),$S138*Parâmetros!$C$6,"")</f>
        <v/>
      </c>
      <c r="W138" s="44" t="str">
        <f aca="false">IF(ISNUMBER($S138),$S138-$D138-IF(ISNUMBER($E138),$E138,0)-$O138-$T138-$U138-$V138,"")</f>
        <v/>
      </c>
      <c r="X138" s="46" t="str">
        <f aca="false">IF(AND(ISNUMBER($S138),$S138&gt;0),$W138/$S138,"")</f>
        <v/>
      </c>
      <c r="Y138" s="47"/>
      <c r="Z138" s="19"/>
    </row>
    <row r="139" customFormat="false" ht="15.75" hidden="false" customHeight="true" outlineLevel="0" collapsed="false">
      <c r="A139" s="48" t="str">
        <f aca="false">IF(Produtos!$A139="","",Produtos!$A139)</f>
        <v>L3040-AC</v>
      </c>
      <c r="B139" s="48" t="str">
        <f aca="false">IF(Produtos!$A139="","",Produtos!$B139)</f>
        <v>Lixeira c/Aro Colorido 30x40 30L</v>
      </c>
      <c r="C139" s="48" t="str">
        <f aca="false">IF(Produtos!$A139="","",Produtos!$C139)</f>
        <v>Lixeiras em inox</v>
      </c>
      <c r="D139" s="33" t="n">
        <f aca="false">IF(Produtos!$A139="","",IF(Produtos!$D139="","",Produtos!$D139))</f>
        <v>162.44</v>
      </c>
      <c r="E139" s="11" t="n">
        <v>0</v>
      </c>
      <c r="F139" s="34" t="n">
        <f aca="false">IF($A139="","",IF($C139="","⚠ categoria",IFERROR(INDEX(Parâmetros!$D$13:$D$22,MATCH($C139,Parâmetros!$A$13:$A$22,0)),"⚠ categoria")))</f>
        <v>0.13</v>
      </c>
      <c r="G139" s="35"/>
      <c r="H139" s="36" t="n">
        <f aca="false">IF($A139="","",IF(ISNUMBER($G139),$G139,IF(ISNUMBER($F139),$F139,"")))</f>
        <v>0.13</v>
      </c>
      <c r="I139" s="37" t="n">
        <f aca="false">IF(OR($A139="",NOT(ISNUMBER($D139)),NOT(ISNUMBER($H139))),"",IF((1-$H139-Parâmetros!$B$6-Parâmetros!$C$6-Parâmetros!$D$6)&lt;=0,"INVALIDO",($D139+IF(ISNUMBER($E139),$E139,0)+IF(ISNUMBER(Parâmetros!$E$6),Parâmetros!$E$6,0))/(1-$H139-Parâmetros!$B$6-Parâmetros!$C$6-Parâmetros!$D$6)))</f>
        <v>300.814814814815</v>
      </c>
      <c r="J139" s="38"/>
      <c r="K139" s="39" t="n">
        <f aca="false">IF(OR($A139="",NOT(ISNUMBER($D139)),NOT(ISNUMBER($H139))),"",IF(AND(ISNUMBER($J139),$J139&gt;0),$J139,IF(ISNUMBER($I139),$I139,"")))</f>
        <v>300.814814814815</v>
      </c>
      <c r="L139" s="40" t="n">
        <f aca="false">IF(ISNUMBER($K139),$K139*$H139,"")</f>
        <v>39.1059259259259</v>
      </c>
      <c r="M139" s="40" t="n">
        <f aca="false">IF(ISNUMBER($K139),$K139*Parâmetros!$B$6,"")</f>
        <v>30.0814814814815</v>
      </c>
      <c r="N139" s="40" t="n">
        <f aca="false">IF(ISNUMBER($K139),$K139*Parâmetros!$C$6,"")</f>
        <v>9.02444444444444</v>
      </c>
      <c r="O139" s="40" t="n">
        <f aca="false">IF(ISNUMBER($K139),IF(ISNUMBER(Parâmetros!$E$6),Parâmetros!$E$6,0),"")</f>
        <v>0</v>
      </c>
      <c r="P139" s="41" t="n">
        <f aca="false">IF(ISNUMBER($K139),$K139-$D139-IF(ISNUMBER($E139),$E139,0)-$L139-$M139-$N139-$O139,"")</f>
        <v>60.1629629629629</v>
      </c>
      <c r="Q139" s="42" t="n">
        <f aca="false">IF(AND(ISNUMBER($K139),$K139&gt;0),$P139/$K139,"")</f>
        <v>0.2</v>
      </c>
      <c r="R139" s="43"/>
      <c r="S139" s="44" t="str">
        <f aca="false">IF(OR(NOT(ISNUMBER($R139)),$R139=0,NOT(ISNUMBER($K139))),"",$K139*(1-$R139))</f>
        <v/>
      </c>
      <c r="T139" s="45" t="str">
        <f aca="false">IF(ISNUMBER($S139),$S139*$H139,"")</f>
        <v/>
      </c>
      <c r="U139" s="45" t="str">
        <f aca="false">IF(ISNUMBER($S139),$S139*Parâmetros!$B$6,"")</f>
        <v/>
      </c>
      <c r="V139" s="45" t="str">
        <f aca="false">IF(ISNUMBER($S139),$S139*Parâmetros!$C$6,"")</f>
        <v/>
      </c>
      <c r="W139" s="44" t="str">
        <f aca="false">IF(ISNUMBER($S139),$S139-$D139-IF(ISNUMBER($E139),$E139,0)-$O139-$T139-$U139-$V139,"")</f>
        <v/>
      </c>
      <c r="X139" s="46" t="str">
        <f aca="false">IF(AND(ISNUMBER($S139),$S139&gt;0),$W139/$S139,"")</f>
        <v/>
      </c>
      <c r="Y139" s="49"/>
      <c r="Z139" s="21"/>
    </row>
    <row r="140" customFormat="false" ht="15.75" hidden="false" customHeight="true" outlineLevel="0" collapsed="false">
      <c r="A140" s="32" t="str">
        <f aca="false">IF(Produtos!$A140="","",Produtos!$A140)</f>
        <v>L3050-AC</v>
      </c>
      <c r="B140" s="32" t="str">
        <f aca="false">IF(Produtos!$A140="","",Produtos!$B140)</f>
        <v>Lixeira c/Aro Colorido 30x50 35L</v>
      </c>
      <c r="C140" s="32" t="str">
        <f aca="false">IF(Produtos!$A140="","",Produtos!$C140)</f>
        <v>Lixeiras em inox</v>
      </c>
      <c r="D140" s="33" t="n">
        <f aca="false">IF(Produtos!$A140="","",IF(Produtos!$D140="","",Produtos!$D140))</f>
        <v>206.89</v>
      </c>
      <c r="E140" s="11" t="n">
        <v>0</v>
      </c>
      <c r="F140" s="34" t="n">
        <f aca="false">IF($A140="","",IF($C140="","⚠ categoria",IFERROR(INDEX(Parâmetros!$D$13:$D$22,MATCH($C140,Parâmetros!$A$13:$A$22,0)),"⚠ categoria")))</f>
        <v>0.13</v>
      </c>
      <c r="G140" s="35"/>
      <c r="H140" s="36" t="n">
        <f aca="false">IF($A140="","",IF(ISNUMBER($G140),$G140,IF(ISNUMBER($F140),$F140,"")))</f>
        <v>0.13</v>
      </c>
      <c r="I140" s="37" t="n">
        <f aca="false">IF(OR($A140="",NOT(ISNUMBER($D140)),NOT(ISNUMBER($H140))),"",IF((1-$H140-Parâmetros!$B$6-Parâmetros!$C$6-Parâmetros!$D$6)&lt;=0,"INVALIDO",($D140+IF(ISNUMBER($E140),$E140,0)+IF(ISNUMBER(Parâmetros!$E$6),Parâmetros!$E$6,0))/(1-$H140-Parâmetros!$B$6-Parâmetros!$C$6-Parâmetros!$D$6)))</f>
        <v>383.12962962963</v>
      </c>
      <c r="J140" s="38"/>
      <c r="K140" s="39" t="n">
        <f aca="false">IF(OR($A140="",NOT(ISNUMBER($D140)),NOT(ISNUMBER($H140))),"",IF(AND(ISNUMBER($J140),$J140&gt;0),$J140,IF(ISNUMBER($I140),$I140,"")))</f>
        <v>383.12962962963</v>
      </c>
      <c r="L140" s="40" t="n">
        <f aca="false">IF(ISNUMBER($K140),$K140*$H140,"")</f>
        <v>49.8068518518518</v>
      </c>
      <c r="M140" s="40" t="n">
        <f aca="false">IF(ISNUMBER($K140),$K140*Parâmetros!$B$6,"")</f>
        <v>38.312962962963</v>
      </c>
      <c r="N140" s="40" t="n">
        <f aca="false">IF(ISNUMBER($K140),$K140*Parâmetros!$C$6,"")</f>
        <v>11.4938888888889</v>
      </c>
      <c r="O140" s="40" t="n">
        <f aca="false">IF(ISNUMBER($K140),IF(ISNUMBER(Parâmetros!$E$6),Parâmetros!$E$6,0),"")</f>
        <v>0</v>
      </c>
      <c r="P140" s="41" t="n">
        <f aca="false">IF(ISNUMBER($K140),$K140-$D140-IF(ISNUMBER($E140),$E140,0)-$L140-$M140-$N140-$O140,"")</f>
        <v>76.6259259259259</v>
      </c>
      <c r="Q140" s="42" t="n">
        <f aca="false">IF(AND(ISNUMBER($K140),$K140&gt;0),$P140/$K140,"")</f>
        <v>0.2</v>
      </c>
      <c r="R140" s="43"/>
      <c r="S140" s="44" t="str">
        <f aca="false">IF(OR(NOT(ISNUMBER($R140)),$R140=0,NOT(ISNUMBER($K140))),"",$K140*(1-$R140))</f>
        <v/>
      </c>
      <c r="T140" s="45" t="str">
        <f aca="false">IF(ISNUMBER($S140),$S140*$H140,"")</f>
        <v/>
      </c>
      <c r="U140" s="45" t="str">
        <f aca="false">IF(ISNUMBER($S140),$S140*Parâmetros!$B$6,"")</f>
        <v/>
      </c>
      <c r="V140" s="45" t="str">
        <f aca="false">IF(ISNUMBER($S140),$S140*Parâmetros!$C$6,"")</f>
        <v/>
      </c>
      <c r="W140" s="44" t="str">
        <f aca="false">IF(ISNUMBER($S140),$S140-$D140-IF(ISNUMBER($E140),$E140,0)-$O140-$T140-$U140-$V140,"")</f>
        <v/>
      </c>
      <c r="X140" s="46" t="str">
        <f aca="false">IF(AND(ISNUMBER($S140),$S140&gt;0),$W140/$S140,"")</f>
        <v/>
      </c>
      <c r="Y140" s="47"/>
      <c r="Z140" s="19"/>
    </row>
    <row r="141" customFormat="false" ht="15.75" hidden="false" customHeight="true" outlineLevel="0" collapsed="false">
      <c r="A141" s="48" t="str">
        <f aca="false">IF(Produtos!$A141="","",Produtos!$A141)</f>
        <v>L3060-AC</v>
      </c>
      <c r="B141" s="48" t="str">
        <f aca="false">IF(Produtos!$A141="","",Produtos!$B141)</f>
        <v>Lixeira c/Aro Colorido 30x60 40L</v>
      </c>
      <c r="C141" s="48" t="str">
        <f aca="false">IF(Produtos!$A141="","",Produtos!$C141)</f>
        <v>Lixeiras em inox</v>
      </c>
      <c r="D141" s="33" t="n">
        <f aca="false">IF(Produtos!$A141="","",IF(Produtos!$D141="","",Produtos!$D141))</f>
        <v>223.7</v>
      </c>
      <c r="E141" s="11" t="n">
        <v>0</v>
      </c>
      <c r="F141" s="34" t="n">
        <f aca="false">IF($A141="","",IF($C141="","⚠ categoria",IFERROR(INDEX(Parâmetros!$D$13:$D$22,MATCH($C141,Parâmetros!$A$13:$A$22,0)),"⚠ categoria")))</f>
        <v>0.13</v>
      </c>
      <c r="G141" s="35"/>
      <c r="H141" s="36" t="n">
        <f aca="false">IF($A141="","",IF(ISNUMBER($G141),$G141,IF(ISNUMBER($F141),$F141,"")))</f>
        <v>0.13</v>
      </c>
      <c r="I141" s="37" t="n">
        <f aca="false">IF(OR($A141="",NOT(ISNUMBER($D141)),NOT(ISNUMBER($H141))),"",IF((1-$H141-Parâmetros!$B$6-Parâmetros!$C$6-Parâmetros!$D$6)&lt;=0,"INVALIDO",($D141+IF(ISNUMBER($E141),$E141,0)+IF(ISNUMBER(Parâmetros!$E$6),Parâmetros!$E$6,0))/(1-$H141-Parâmetros!$B$6-Parâmetros!$C$6-Parâmetros!$D$6)))</f>
        <v>414.259259259259</v>
      </c>
      <c r="J141" s="38"/>
      <c r="K141" s="39" t="n">
        <f aca="false">IF(OR($A141="",NOT(ISNUMBER($D141)),NOT(ISNUMBER($H141))),"",IF(AND(ISNUMBER($J141),$J141&gt;0),$J141,IF(ISNUMBER($I141),$I141,"")))</f>
        <v>414.259259259259</v>
      </c>
      <c r="L141" s="40" t="n">
        <f aca="false">IF(ISNUMBER($K141),$K141*$H141,"")</f>
        <v>53.8537037037037</v>
      </c>
      <c r="M141" s="40" t="n">
        <f aca="false">IF(ISNUMBER($K141),$K141*Parâmetros!$B$6,"")</f>
        <v>41.4259259259259</v>
      </c>
      <c r="N141" s="40" t="n">
        <f aca="false">IF(ISNUMBER($K141),$K141*Parâmetros!$C$6,"")</f>
        <v>12.4277777777778</v>
      </c>
      <c r="O141" s="40" t="n">
        <f aca="false">IF(ISNUMBER($K141),IF(ISNUMBER(Parâmetros!$E$6),Parâmetros!$E$6,0),"")</f>
        <v>0</v>
      </c>
      <c r="P141" s="41" t="n">
        <f aca="false">IF(ISNUMBER($K141),$K141-$D141-IF(ISNUMBER($E141),$E141,0)-$L141-$M141-$N141-$O141,"")</f>
        <v>82.8518518518519</v>
      </c>
      <c r="Q141" s="42" t="n">
        <f aca="false">IF(AND(ISNUMBER($K141),$K141&gt;0),$P141/$K141,"")</f>
        <v>0.2</v>
      </c>
      <c r="R141" s="43"/>
      <c r="S141" s="44" t="str">
        <f aca="false">IF(OR(NOT(ISNUMBER($R141)),$R141=0,NOT(ISNUMBER($K141))),"",$K141*(1-$R141))</f>
        <v/>
      </c>
      <c r="T141" s="45" t="str">
        <f aca="false">IF(ISNUMBER($S141),$S141*$H141,"")</f>
        <v/>
      </c>
      <c r="U141" s="45" t="str">
        <f aca="false">IF(ISNUMBER($S141),$S141*Parâmetros!$B$6,"")</f>
        <v/>
      </c>
      <c r="V141" s="45" t="str">
        <f aca="false">IF(ISNUMBER($S141),$S141*Parâmetros!$C$6,"")</f>
        <v/>
      </c>
      <c r="W141" s="44" t="str">
        <f aca="false">IF(ISNUMBER($S141),$S141-$D141-IF(ISNUMBER($E141),$E141,0)-$O141-$T141-$U141-$V141,"")</f>
        <v/>
      </c>
      <c r="X141" s="46" t="str">
        <f aca="false">IF(AND(ISNUMBER($S141),$S141&gt;0),$W141/$S141,"")</f>
        <v/>
      </c>
      <c r="Y141" s="49"/>
      <c r="Z141" s="21"/>
    </row>
    <row r="142" customFormat="false" ht="15.75" hidden="false" customHeight="true" outlineLevel="0" collapsed="false">
      <c r="A142" s="32" t="str">
        <f aca="false">IF(Produtos!$A142="","",Produtos!$A142)</f>
        <v>L3070-AC</v>
      </c>
      <c r="B142" s="32" t="str">
        <f aca="false">IF(Produtos!$A142="","",Produtos!$B142)</f>
        <v>Lixeira c/Aro Colorido 30x70 50L</v>
      </c>
      <c r="C142" s="32" t="str">
        <f aca="false">IF(Produtos!$A142="","",Produtos!$C142)</f>
        <v>Lixeiras em inox</v>
      </c>
      <c r="D142" s="33" t="n">
        <f aca="false">IF(Produtos!$A142="","",IF(Produtos!$D142="","",Produtos!$D142))</f>
        <v>269.32</v>
      </c>
      <c r="E142" s="11" t="n">
        <v>0</v>
      </c>
      <c r="F142" s="34" t="n">
        <f aca="false">IF($A142="","",IF($C142="","⚠ categoria",IFERROR(INDEX(Parâmetros!$D$13:$D$22,MATCH($C142,Parâmetros!$A$13:$A$22,0)),"⚠ categoria")))</f>
        <v>0.13</v>
      </c>
      <c r="G142" s="35"/>
      <c r="H142" s="36" t="n">
        <f aca="false">IF($A142="","",IF(ISNUMBER($G142),$G142,IF(ISNUMBER($F142),$F142,"")))</f>
        <v>0.13</v>
      </c>
      <c r="I142" s="37" t="n">
        <f aca="false">IF(OR($A142="",NOT(ISNUMBER($D142)),NOT(ISNUMBER($H142))),"",IF((1-$H142-Parâmetros!$B$6-Parâmetros!$C$6-Parâmetros!$D$6)&lt;=0,"INVALIDO",($D142+IF(ISNUMBER($E142),$E142,0)+IF(ISNUMBER(Parâmetros!$E$6),Parâmetros!$E$6,0))/(1-$H142-Parâmetros!$B$6-Parâmetros!$C$6-Parâmetros!$D$6)))</f>
        <v>498.740740740741</v>
      </c>
      <c r="J142" s="38"/>
      <c r="K142" s="39" t="n">
        <f aca="false">IF(OR($A142="",NOT(ISNUMBER($D142)),NOT(ISNUMBER($H142))),"",IF(AND(ISNUMBER($J142),$J142&gt;0),$J142,IF(ISNUMBER($I142),$I142,"")))</f>
        <v>498.740740740741</v>
      </c>
      <c r="L142" s="40" t="n">
        <f aca="false">IF(ISNUMBER($K142),$K142*$H142,"")</f>
        <v>64.8362962962963</v>
      </c>
      <c r="M142" s="40" t="n">
        <f aca="false">IF(ISNUMBER($K142),$K142*Parâmetros!$B$6,"")</f>
        <v>49.8740740740741</v>
      </c>
      <c r="N142" s="40" t="n">
        <f aca="false">IF(ISNUMBER($K142),$K142*Parâmetros!$C$6,"")</f>
        <v>14.9622222222222</v>
      </c>
      <c r="O142" s="40" t="n">
        <f aca="false">IF(ISNUMBER($K142),IF(ISNUMBER(Parâmetros!$E$6),Parâmetros!$E$6,0),"")</f>
        <v>0</v>
      </c>
      <c r="P142" s="41" t="n">
        <f aca="false">IF(ISNUMBER($K142),$K142-$D142-IF(ISNUMBER($E142),$E142,0)-$L142-$M142-$N142-$O142,"")</f>
        <v>99.7481481481481</v>
      </c>
      <c r="Q142" s="42" t="n">
        <f aca="false">IF(AND(ISNUMBER($K142),$K142&gt;0),$P142/$K142,"")</f>
        <v>0.2</v>
      </c>
      <c r="R142" s="43"/>
      <c r="S142" s="44" t="str">
        <f aca="false">IF(OR(NOT(ISNUMBER($R142)),$R142=0,NOT(ISNUMBER($K142))),"",$K142*(1-$R142))</f>
        <v/>
      </c>
      <c r="T142" s="45" t="str">
        <f aca="false">IF(ISNUMBER($S142),$S142*$H142,"")</f>
        <v/>
      </c>
      <c r="U142" s="45" t="str">
        <f aca="false">IF(ISNUMBER($S142),$S142*Parâmetros!$B$6,"")</f>
        <v/>
      </c>
      <c r="V142" s="45" t="str">
        <f aca="false">IF(ISNUMBER($S142),$S142*Parâmetros!$C$6,"")</f>
        <v/>
      </c>
      <c r="W142" s="44" t="str">
        <f aca="false">IF(ISNUMBER($S142),$S142-$D142-IF(ISNUMBER($E142),$E142,0)-$O142-$T142-$U142-$V142,"")</f>
        <v/>
      </c>
      <c r="X142" s="46" t="str">
        <f aca="false">IF(AND(ISNUMBER($S142),$S142&gt;0),$W142/$S142,"")</f>
        <v/>
      </c>
      <c r="Y142" s="47"/>
      <c r="Z142" s="19"/>
    </row>
    <row r="143" customFormat="false" ht="15.75" hidden="false" customHeight="true" outlineLevel="0" collapsed="false">
      <c r="A143" s="48" t="str">
        <f aca="false">IF(Produtos!$A143="","",Produtos!$A143)</f>
        <v>L3085-AC</v>
      </c>
      <c r="B143" s="48" t="str">
        <f aca="false">IF(Produtos!$A143="","",Produtos!$B143)</f>
        <v>Lixeira c/Aro Colorido 30x85 60L</v>
      </c>
      <c r="C143" s="48" t="str">
        <f aca="false">IF(Produtos!$A143="","",Produtos!$C143)</f>
        <v>Lixeiras em inox</v>
      </c>
      <c r="D143" s="33" t="n">
        <f aca="false">IF(Produtos!$A143="","",IF(Produtos!$D143="","",Produtos!$D143))</f>
        <v>341.25</v>
      </c>
      <c r="E143" s="11" t="n">
        <v>0</v>
      </c>
      <c r="F143" s="34" t="n">
        <f aca="false">IF($A143="","",IF($C143="","⚠ categoria",IFERROR(INDEX(Parâmetros!$D$13:$D$22,MATCH($C143,Parâmetros!$A$13:$A$22,0)),"⚠ categoria")))</f>
        <v>0.13</v>
      </c>
      <c r="G143" s="35"/>
      <c r="H143" s="36" t="n">
        <f aca="false">IF($A143="","",IF(ISNUMBER($G143),$G143,IF(ISNUMBER($F143),$F143,"")))</f>
        <v>0.13</v>
      </c>
      <c r="I143" s="37" t="n">
        <f aca="false">IF(OR($A143="",NOT(ISNUMBER($D143)),NOT(ISNUMBER($H143))),"",IF((1-$H143-Parâmetros!$B$6-Parâmetros!$C$6-Parâmetros!$D$6)&lt;=0,"INVALIDO",($D143+IF(ISNUMBER($E143),$E143,0)+IF(ISNUMBER(Parâmetros!$E$6),Parâmetros!$E$6,0))/(1-$H143-Parâmetros!$B$6-Parâmetros!$C$6-Parâmetros!$D$6)))</f>
        <v>631.944444444445</v>
      </c>
      <c r="J143" s="38"/>
      <c r="K143" s="39" t="n">
        <f aca="false">IF(OR($A143="",NOT(ISNUMBER($D143)),NOT(ISNUMBER($H143))),"",IF(AND(ISNUMBER($J143),$J143&gt;0),$J143,IF(ISNUMBER($I143),$I143,"")))</f>
        <v>631.944444444445</v>
      </c>
      <c r="L143" s="40" t="n">
        <f aca="false">IF(ISNUMBER($K143),$K143*$H143,"")</f>
        <v>82.1527777777778</v>
      </c>
      <c r="M143" s="40" t="n">
        <f aca="false">IF(ISNUMBER($K143),$K143*Parâmetros!$B$6,"")</f>
        <v>63.1944444444445</v>
      </c>
      <c r="N143" s="40" t="n">
        <f aca="false">IF(ISNUMBER($K143),$K143*Parâmetros!$C$6,"")</f>
        <v>18.9583333333333</v>
      </c>
      <c r="O143" s="40" t="n">
        <f aca="false">IF(ISNUMBER($K143),IF(ISNUMBER(Parâmetros!$E$6),Parâmetros!$E$6,0),"")</f>
        <v>0</v>
      </c>
      <c r="P143" s="41" t="n">
        <f aca="false">IF(ISNUMBER($K143),$K143-$D143-IF(ISNUMBER($E143),$E143,0)-$L143-$M143-$N143-$O143,"")</f>
        <v>126.388888888889</v>
      </c>
      <c r="Q143" s="42" t="n">
        <f aca="false">IF(AND(ISNUMBER($K143),$K143&gt;0),$P143/$K143,"")</f>
        <v>0.2</v>
      </c>
      <c r="R143" s="43"/>
      <c r="S143" s="44" t="str">
        <f aca="false">IF(OR(NOT(ISNUMBER($R143)),$R143=0,NOT(ISNUMBER($K143))),"",$K143*(1-$R143))</f>
        <v/>
      </c>
      <c r="T143" s="45" t="str">
        <f aca="false">IF(ISNUMBER($S143),$S143*$H143,"")</f>
        <v/>
      </c>
      <c r="U143" s="45" t="str">
        <f aca="false">IF(ISNUMBER($S143),$S143*Parâmetros!$B$6,"")</f>
        <v/>
      </c>
      <c r="V143" s="45" t="str">
        <f aca="false">IF(ISNUMBER($S143),$S143*Parâmetros!$C$6,"")</f>
        <v/>
      </c>
      <c r="W143" s="44" t="str">
        <f aca="false">IF(ISNUMBER($S143),$S143-$D143-IF(ISNUMBER($E143),$E143,0)-$O143-$T143-$U143-$V143,"")</f>
        <v/>
      </c>
      <c r="X143" s="46" t="str">
        <f aca="false">IF(AND(ISNUMBER($S143),$S143&gt;0),$W143/$S143,"")</f>
        <v/>
      </c>
      <c r="Y143" s="49"/>
      <c r="Z143" s="21"/>
    </row>
    <row r="144" customFormat="false" ht="15.75" hidden="false" customHeight="true" outlineLevel="0" collapsed="false">
      <c r="A144" s="32" t="str">
        <f aca="false">IF(Produtos!$A144="","",Produtos!$A144)</f>
        <v>L4050-AC</v>
      </c>
      <c r="B144" s="32" t="str">
        <f aca="false">IF(Produtos!$A144="","",Produtos!$B144)</f>
        <v>Lixeira c/Aro Colorido 40x50 62L</v>
      </c>
      <c r="C144" s="32" t="str">
        <f aca="false">IF(Produtos!$A144="","",Produtos!$C144)</f>
        <v>Lixeiras em inox</v>
      </c>
      <c r="D144" s="33" t="n">
        <f aca="false">IF(Produtos!$A144="","",IF(Produtos!$D144="","",Produtos!$D144))</f>
        <v>349.81</v>
      </c>
      <c r="E144" s="11" t="n">
        <v>0</v>
      </c>
      <c r="F144" s="34" t="n">
        <f aca="false">IF($A144="","",IF($C144="","⚠ categoria",IFERROR(INDEX(Parâmetros!$D$13:$D$22,MATCH($C144,Parâmetros!$A$13:$A$22,0)),"⚠ categoria")))</f>
        <v>0.13</v>
      </c>
      <c r="G144" s="35"/>
      <c r="H144" s="36" t="n">
        <f aca="false">IF($A144="","",IF(ISNUMBER($G144),$G144,IF(ISNUMBER($F144),$F144,"")))</f>
        <v>0.13</v>
      </c>
      <c r="I144" s="37" t="n">
        <f aca="false">IF(OR($A144="",NOT(ISNUMBER($D144)),NOT(ISNUMBER($H144))),"",IF((1-$H144-Parâmetros!$B$6-Parâmetros!$C$6-Parâmetros!$D$6)&lt;=0,"INVALIDO",($D144+IF(ISNUMBER($E144),$E144,0)+IF(ISNUMBER(Parâmetros!$E$6),Parâmetros!$E$6,0))/(1-$H144-Parâmetros!$B$6-Parâmetros!$C$6-Parâmetros!$D$6)))</f>
        <v>647.796296296296</v>
      </c>
      <c r="J144" s="38"/>
      <c r="K144" s="39" t="n">
        <f aca="false">IF(OR($A144="",NOT(ISNUMBER($D144)),NOT(ISNUMBER($H144))),"",IF(AND(ISNUMBER($J144),$J144&gt;0),$J144,IF(ISNUMBER($I144),$I144,"")))</f>
        <v>647.796296296296</v>
      </c>
      <c r="L144" s="40" t="n">
        <f aca="false">IF(ISNUMBER($K144),$K144*$H144,"")</f>
        <v>84.2135185185185</v>
      </c>
      <c r="M144" s="40" t="n">
        <f aca="false">IF(ISNUMBER($K144),$K144*Parâmetros!$B$6,"")</f>
        <v>64.7796296296296</v>
      </c>
      <c r="N144" s="40" t="n">
        <f aca="false">IF(ISNUMBER($K144),$K144*Parâmetros!$C$6,"")</f>
        <v>19.4338888888889</v>
      </c>
      <c r="O144" s="40" t="n">
        <f aca="false">IF(ISNUMBER($K144),IF(ISNUMBER(Parâmetros!$E$6),Parâmetros!$E$6,0),"")</f>
        <v>0</v>
      </c>
      <c r="P144" s="41" t="n">
        <f aca="false">IF(ISNUMBER($K144),$K144-$D144-IF(ISNUMBER($E144),$E144,0)-$L144-$M144-$N144-$O144,"")</f>
        <v>129.559259259259</v>
      </c>
      <c r="Q144" s="42" t="n">
        <f aca="false">IF(AND(ISNUMBER($K144),$K144&gt;0),$P144/$K144,"")</f>
        <v>0.2</v>
      </c>
      <c r="R144" s="43"/>
      <c r="S144" s="44" t="str">
        <f aca="false">IF(OR(NOT(ISNUMBER($R144)),$R144=0,NOT(ISNUMBER($K144))),"",$K144*(1-$R144))</f>
        <v/>
      </c>
      <c r="T144" s="45" t="str">
        <f aca="false">IF(ISNUMBER($S144),$S144*$H144,"")</f>
        <v/>
      </c>
      <c r="U144" s="45" t="str">
        <f aca="false">IF(ISNUMBER($S144),$S144*Parâmetros!$B$6,"")</f>
        <v/>
      </c>
      <c r="V144" s="45" t="str">
        <f aca="false">IF(ISNUMBER($S144),$S144*Parâmetros!$C$6,"")</f>
        <v/>
      </c>
      <c r="W144" s="44" t="str">
        <f aca="false">IF(ISNUMBER($S144),$S144-$D144-IF(ISNUMBER($E144),$E144,0)-$O144-$T144-$U144-$V144,"")</f>
        <v/>
      </c>
      <c r="X144" s="46" t="str">
        <f aca="false">IF(AND(ISNUMBER($S144),$S144&gt;0),$W144/$S144,"")</f>
        <v/>
      </c>
      <c r="Y144" s="47"/>
      <c r="Z144" s="19"/>
    </row>
    <row r="145" customFormat="false" ht="15.75" hidden="false" customHeight="true" outlineLevel="0" collapsed="false">
      <c r="A145" s="48" t="str">
        <f aca="false">IF(Produtos!$A145="","",Produtos!$A145)</f>
        <v>L4060-AC</v>
      </c>
      <c r="B145" s="48" t="str">
        <f aca="false">IF(Produtos!$A145="","",Produtos!$B145)</f>
        <v>Lixeira c/Aro Colorido 40x60 75L</v>
      </c>
      <c r="C145" s="48" t="str">
        <f aca="false">IF(Produtos!$A145="","",Produtos!$C145)</f>
        <v>Lixeiras em inox</v>
      </c>
      <c r="D145" s="33" t="n">
        <f aca="false">IF(Produtos!$A145="","",IF(Produtos!$D145="","",Produtos!$D145))</f>
        <v>359.34</v>
      </c>
      <c r="E145" s="11" t="n">
        <v>0</v>
      </c>
      <c r="F145" s="34" t="n">
        <f aca="false">IF($A145="","",IF($C145="","⚠ categoria",IFERROR(INDEX(Parâmetros!$D$13:$D$22,MATCH($C145,Parâmetros!$A$13:$A$22,0)),"⚠ categoria")))</f>
        <v>0.13</v>
      </c>
      <c r="G145" s="35"/>
      <c r="H145" s="36" t="n">
        <f aca="false">IF($A145="","",IF(ISNUMBER($G145),$G145,IF(ISNUMBER($F145),$F145,"")))</f>
        <v>0.13</v>
      </c>
      <c r="I145" s="37" t="n">
        <f aca="false">IF(OR($A145="",NOT(ISNUMBER($D145)),NOT(ISNUMBER($H145))),"",IF((1-$H145-Parâmetros!$B$6-Parâmetros!$C$6-Parâmetros!$D$6)&lt;=0,"INVALIDO",($D145+IF(ISNUMBER($E145),$E145,0)+IF(ISNUMBER(Parâmetros!$E$6),Parâmetros!$E$6,0))/(1-$H145-Parâmetros!$B$6-Parâmetros!$C$6-Parâmetros!$D$6)))</f>
        <v>665.444444444444</v>
      </c>
      <c r="J145" s="38"/>
      <c r="K145" s="39" t="n">
        <f aca="false">IF(OR($A145="",NOT(ISNUMBER($D145)),NOT(ISNUMBER($H145))),"",IF(AND(ISNUMBER($J145),$J145&gt;0),$J145,IF(ISNUMBER($I145),$I145,"")))</f>
        <v>665.444444444444</v>
      </c>
      <c r="L145" s="40" t="n">
        <f aca="false">IF(ISNUMBER($K145),$K145*$H145,"")</f>
        <v>86.5077777777778</v>
      </c>
      <c r="M145" s="40" t="n">
        <f aca="false">IF(ISNUMBER($K145),$K145*Parâmetros!$B$6,"")</f>
        <v>66.5444444444444</v>
      </c>
      <c r="N145" s="40" t="n">
        <f aca="false">IF(ISNUMBER($K145),$K145*Parâmetros!$C$6,"")</f>
        <v>19.9633333333333</v>
      </c>
      <c r="O145" s="40" t="n">
        <f aca="false">IF(ISNUMBER($K145),IF(ISNUMBER(Parâmetros!$E$6),Parâmetros!$E$6,0),"")</f>
        <v>0</v>
      </c>
      <c r="P145" s="41" t="n">
        <f aca="false">IF(ISNUMBER($K145),$K145-$D145-IF(ISNUMBER($E145),$E145,0)-$L145-$M145-$N145-$O145,"")</f>
        <v>133.088888888889</v>
      </c>
      <c r="Q145" s="42" t="n">
        <f aca="false">IF(AND(ISNUMBER($K145),$K145&gt;0),$P145/$K145,"")</f>
        <v>0.2</v>
      </c>
      <c r="R145" s="43"/>
      <c r="S145" s="44" t="str">
        <f aca="false">IF(OR(NOT(ISNUMBER($R145)),$R145=0,NOT(ISNUMBER($K145))),"",$K145*(1-$R145))</f>
        <v/>
      </c>
      <c r="T145" s="45" t="str">
        <f aca="false">IF(ISNUMBER($S145),$S145*$H145,"")</f>
        <v/>
      </c>
      <c r="U145" s="45" t="str">
        <f aca="false">IF(ISNUMBER($S145),$S145*Parâmetros!$B$6,"")</f>
        <v/>
      </c>
      <c r="V145" s="45" t="str">
        <f aca="false">IF(ISNUMBER($S145),$S145*Parâmetros!$C$6,"")</f>
        <v/>
      </c>
      <c r="W145" s="44" t="str">
        <f aca="false">IF(ISNUMBER($S145),$S145-$D145-IF(ISNUMBER($E145),$E145,0)-$O145-$T145-$U145-$V145,"")</f>
        <v/>
      </c>
      <c r="X145" s="46" t="str">
        <f aca="false">IF(AND(ISNUMBER($S145),$S145&gt;0),$W145/$S145,"")</f>
        <v/>
      </c>
      <c r="Y145" s="49"/>
      <c r="Z145" s="21"/>
    </row>
    <row r="146" customFormat="false" ht="15.75" hidden="false" customHeight="true" outlineLevel="0" collapsed="false">
      <c r="A146" s="32" t="str">
        <f aca="false">IF(Produtos!$A146="","",Produtos!$A146)</f>
        <v>L4070-AC</v>
      </c>
      <c r="B146" s="32" t="str">
        <f aca="false">IF(Produtos!$A146="","",Produtos!$B146)</f>
        <v>Lixeira c/Aro Colorido 40x70 88L</v>
      </c>
      <c r="C146" s="32" t="str">
        <f aca="false">IF(Produtos!$A146="","",Produtos!$C146)</f>
        <v>Lixeiras em inox</v>
      </c>
      <c r="D146" s="33" t="n">
        <f aca="false">IF(Produtos!$A146="","",IF(Produtos!$D146="","",Produtos!$D146))</f>
        <v>374.18</v>
      </c>
      <c r="E146" s="11" t="n">
        <v>0</v>
      </c>
      <c r="F146" s="34" t="n">
        <f aca="false">IF($A146="","",IF($C146="","⚠ categoria",IFERROR(INDEX(Parâmetros!$D$13:$D$22,MATCH($C146,Parâmetros!$A$13:$A$22,0)),"⚠ categoria")))</f>
        <v>0.13</v>
      </c>
      <c r="G146" s="35"/>
      <c r="H146" s="36" t="n">
        <f aca="false">IF($A146="","",IF(ISNUMBER($G146),$G146,IF(ISNUMBER($F146),$F146,"")))</f>
        <v>0.13</v>
      </c>
      <c r="I146" s="37" t="n">
        <f aca="false">IF(OR($A146="",NOT(ISNUMBER($D146)),NOT(ISNUMBER($H146))),"",IF((1-$H146-Parâmetros!$B$6-Parâmetros!$C$6-Parâmetros!$D$6)&lt;=0,"INVALIDO",($D146+IF(ISNUMBER($E146),$E146,0)+IF(ISNUMBER(Parâmetros!$E$6),Parâmetros!$E$6,0))/(1-$H146-Parâmetros!$B$6-Parâmetros!$C$6-Parâmetros!$D$6)))</f>
        <v>692.925925925926</v>
      </c>
      <c r="J146" s="38"/>
      <c r="K146" s="39" t="n">
        <f aca="false">IF(OR($A146="",NOT(ISNUMBER($D146)),NOT(ISNUMBER($H146))),"",IF(AND(ISNUMBER($J146),$J146&gt;0),$J146,IF(ISNUMBER($I146),$I146,"")))</f>
        <v>692.925925925926</v>
      </c>
      <c r="L146" s="40" t="n">
        <f aca="false">IF(ISNUMBER($K146),$K146*$H146,"")</f>
        <v>90.0803703703704</v>
      </c>
      <c r="M146" s="40" t="n">
        <f aca="false">IF(ISNUMBER($K146),$K146*Parâmetros!$B$6,"")</f>
        <v>69.2925925925926</v>
      </c>
      <c r="N146" s="40" t="n">
        <f aca="false">IF(ISNUMBER($K146),$K146*Parâmetros!$C$6,"")</f>
        <v>20.7877777777778</v>
      </c>
      <c r="O146" s="40" t="n">
        <f aca="false">IF(ISNUMBER($K146),IF(ISNUMBER(Parâmetros!$E$6),Parâmetros!$E$6,0),"")</f>
        <v>0</v>
      </c>
      <c r="P146" s="41" t="n">
        <f aca="false">IF(ISNUMBER($K146),$K146-$D146-IF(ISNUMBER($E146),$E146,0)-$L146-$M146-$N146-$O146,"")</f>
        <v>138.585185185185</v>
      </c>
      <c r="Q146" s="42" t="n">
        <f aca="false">IF(AND(ISNUMBER($K146),$K146&gt;0),$P146/$K146,"")</f>
        <v>0.2</v>
      </c>
      <c r="R146" s="43"/>
      <c r="S146" s="44" t="str">
        <f aca="false">IF(OR(NOT(ISNUMBER($R146)),$R146=0,NOT(ISNUMBER($K146))),"",$K146*(1-$R146))</f>
        <v/>
      </c>
      <c r="T146" s="45" t="str">
        <f aca="false">IF(ISNUMBER($S146),$S146*$H146,"")</f>
        <v/>
      </c>
      <c r="U146" s="45" t="str">
        <f aca="false">IF(ISNUMBER($S146),$S146*Parâmetros!$B$6,"")</f>
        <v/>
      </c>
      <c r="V146" s="45" t="str">
        <f aca="false">IF(ISNUMBER($S146),$S146*Parâmetros!$C$6,"")</f>
        <v/>
      </c>
      <c r="W146" s="44" t="str">
        <f aca="false">IF(ISNUMBER($S146),$S146-$D146-IF(ISNUMBER($E146),$E146,0)-$O146-$T146-$U146-$V146,"")</f>
        <v/>
      </c>
      <c r="X146" s="46" t="str">
        <f aca="false">IF(AND(ISNUMBER($S146),$S146&gt;0),$W146/$S146,"")</f>
        <v/>
      </c>
      <c r="Y146" s="47"/>
      <c r="Z146" s="19"/>
    </row>
    <row r="147" customFormat="false" ht="15.75" hidden="false" customHeight="true" outlineLevel="0" collapsed="false">
      <c r="A147" s="48" t="str">
        <f aca="false">IF(Produtos!$A147="","",Produtos!$A147)</f>
        <v>L4075-AC</v>
      </c>
      <c r="B147" s="48" t="str">
        <f aca="false">IF(Produtos!$A147="","",Produtos!$B147)</f>
        <v>Lixeira c/Aro Colorido 40x75 95L</v>
      </c>
      <c r="C147" s="48" t="str">
        <f aca="false">IF(Produtos!$A147="","",Produtos!$C147)</f>
        <v>Lixeiras em inox</v>
      </c>
      <c r="D147" s="33" t="n">
        <f aca="false">IF(Produtos!$A147="","",IF(Produtos!$D147="","",Produtos!$D147))</f>
        <v>405.18</v>
      </c>
      <c r="E147" s="11" t="n">
        <v>0</v>
      </c>
      <c r="F147" s="34" t="n">
        <f aca="false">IF($A147="","",IF($C147="","⚠ categoria",IFERROR(INDEX(Parâmetros!$D$13:$D$22,MATCH($C147,Parâmetros!$A$13:$A$22,0)),"⚠ categoria")))</f>
        <v>0.13</v>
      </c>
      <c r="G147" s="35"/>
      <c r="H147" s="36" t="n">
        <f aca="false">IF($A147="","",IF(ISNUMBER($G147),$G147,IF(ISNUMBER($F147),$F147,"")))</f>
        <v>0.13</v>
      </c>
      <c r="I147" s="37" t="n">
        <f aca="false">IF(OR($A147="",NOT(ISNUMBER($D147)),NOT(ISNUMBER($H147))),"",IF((1-$H147-Parâmetros!$B$6-Parâmetros!$C$6-Parâmetros!$D$6)&lt;=0,"INVALIDO",($D147+IF(ISNUMBER($E147),$E147,0)+IF(ISNUMBER(Parâmetros!$E$6),Parâmetros!$E$6,0))/(1-$H147-Parâmetros!$B$6-Parâmetros!$C$6-Parâmetros!$D$6)))</f>
        <v>750.333333333333</v>
      </c>
      <c r="J147" s="38"/>
      <c r="K147" s="39" t="n">
        <f aca="false">IF(OR($A147="",NOT(ISNUMBER($D147)),NOT(ISNUMBER($H147))),"",IF(AND(ISNUMBER($J147),$J147&gt;0),$J147,IF(ISNUMBER($I147),$I147,"")))</f>
        <v>750.333333333333</v>
      </c>
      <c r="L147" s="40" t="n">
        <f aca="false">IF(ISNUMBER($K147),$K147*$H147,"")</f>
        <v>97.5433333333333</v>
      </c>
      <c r="M147" s="40" t="n">
        <f aca="false">IF(ISNUMBER($K147),$K147*Parâmetros!$B$6,"")</f>
        <v>75.0333333333333</v>
      </c>
      <c r="N147" s="40" t="n">
        <f aca="false">IF(ISNUMBER($K147),$K147*Parâmetros!$C$6,"")</f>
        <v>22.51</v>
      </c>
      <c r="O147" s="40" t="n">
        <f aca="false">IF(ISNUMBER($K147),IF(ISNUMBER(Parâmetros!$E$6),Parâmetros!$E$6,0),"")</f>
        <v>0</v>
      </c>
      <c r="P147" s="41" t="n">
        <f aca="false">IF(ISNUMBER($K147),$K147-$D147-IF(ISNUMBER($E147),$E147,0)-$L147-$M147-$N147-$O147,"")</f>
        <v>150.066666666667</v>
      </c>
      <c r="Q147" s="42" t="n">
        <f aca="false">IF(AND(ISNUMBER($K147),$K147&gt;0),$P147/$K147,"")</f>
        <v>0.2</v>
      </c>
      <c r="R147" s="43"/>
      <c r="S147" s="44" t="str">
        <f aca="false">IF(OR(NOT(ISNUMBER($R147)),$R147=0,NOT(ISNUMBER($K147))),"",$K147*(1-$R147))</f>
        <v/>
      </c>
      <c r="T147" s="45" t="str">
        <f aca="false">IF(ISNUMBER($S147),$S147*$H147,"")</f>
        <v/>
      </c>
      <c r="U147" s="45" t="str">
        <f aca="false">IF(ISNUMBER($S147),$S147*Parâmetros!$B$6,"")</f>
        <v/>
      </c>
      <c r="V147" s="45" t="str">
        <f aca="false">IF(ISNUMBER($S147),$S147*Parâmetros!$C$6,"")</f>
        <v/>
      </c>
      <c r="W147" s="44" t="str">
        <f aca="false">IF(ISNUMBER($S147),$S147-$D147-IF(ISNUMBER($E147),$E147,0)-$O147-$T147-$U147-$V147,"")</f>
        <v/>
      </c>
      <c r="X147" s="46" t="str">
        <f aca="false">IF(AND(ISNUMBER($S147),$S147&gt;0),$W147/$S147,"")</f>
        <v/>
      </c>
      <c r="Y147" s="49"/>
      <c r="Z147" s="21"/>
    </row>
    <row r="148" customFormat="false" ht="15.75" hidden="false" customHeight="true" outlineLevel="0" collapsed="false">
      <c r="A148" s="32" t="str">
        <f aca="false">IF(Produtos!$A148="","",Produtos!$A148)</f>
        <v>L4080-AC</v>
      </c>
      <c r="B148" s="32" t="str">
        <f aca="false">IF(Produtos!$A148="","",Produtos!$B148)</f>
        <v>Lixeira c/Aro Colorido 40x80 100L</v>
      </c>
      <c r="C148" s="32" t="str">
        <f aca="false">IF(Produtos!$A148="","",Produtos!$C148)</f>
        <v>Lixeiras em inox</v>
      </c>
      <c r="D148" s="33" t="n">
        <f aca="false">IF(Produtos!$A148="","",IF(Produtos!$D148="","",Produtos!$D148))</f>
        <v>425.44</v>
      </c>
      <c r="E148" s="11" t="n">
        <v>0</v>
      </c>
      <c r="F148" s="34" t="n">
        <f aca="false">IF($A148="","",IF($C148="","⚠ categoria",IFERROR(INDEX(Parâmetros!$D$13:$D$22,MATCH($C148,Parâmetros!$A$13:$A$22,0)),"⚠ categoria")))</f>
        <v>0.13</v>
      </c>
      <c r="G148" s="35"/>
      <c r="H148" s="36" t="n">
        <f aca="false">IF($A148="","",IF(ISNUMBER($G148),$G148,IF(ISNUMBER($F148),$F148,"")))</f>
        <v>0.13</v>
      </c>
      <c r="I148" s="37" t="n">
        <f aca="false">IF(OR($A148="",NOT(ISNUMBER($D148)),NOT(ISNUMBER($H148))),"",IF((1-$H148-Parâmetros!$B$6-Parâmetros!$C$6-Parâmetros!$D$6)&lt;=0,"INVALIDO",($D148+IF(ISNUMBER($E148),$E148,0)+IF(ISNUMBER(Parâmetros!$E$6),Parâmetros!$E$6,0))/(1-$H148-Parâmetros!$B$6-Parâmetros!$C$6-Parâmetros!$D$6)))</f>
        <v>787.851851851852</v>
      </c>
      <c r="J148" s="38"/>
      <c r="K148" s="39" t="n">
        <f aca="false">IF(OR($A148="",NOT(ISNUMBER($D148)),NOT(ISNUMBER($H148))),"",IF(AND(ISNUMBER($J148),$J148&gt;0),$J148,IF(ISNUMBER($I148),$I148,"")))</f>
        <v>787.851851851852</v>
      </c>
      <c r="L148" s="40" t="n">
        <f aca="false">IF(ISNUMBER($K148),$K148*$H148,"")</f>
        <v>102.420740740741</v>
      </c>
      <c r="M148" s="40" t="n">
        <f aca="false">IF(ISNUMBER($K148),$K148*Parâmetros!$B$6,"")</f>
        <v>78.7851851851852</v>
      </c>
      <c r="N148" s="40" t="n">
        <f aca="false">IF(ISNUMBER($K148),$K148*Parâmetros!$C$6,"")</f>
        <v>23.6355555555556</v>
      </c>
      <c r="O148" s="40" t="n">
        <f aca="false">IF(ISNUMBER($K148),IF(ISNUMBER(Parâmetros!$E$6),Parâmetros!$E$6,0),"")</f>
        <v>0</v>
      </c>
      <c r="P148" s="41" t="n">
        <f aca="false">IF(ISNUMBER($K148),$K148-$D148-IF(ISNUMBER($E148),$E148,0)-$L148-$M148-$N148-$O148,"")</f>
        <v>157.57037037037</v>
      </c>
      <c r="Q148" s="42" t="n">
        <f aca="false">IF(AND(ISNUMBER($K148),$K148&gt;0),$P148/$K148,"")</f>
        <v>0.2</v>
      </c>
      <c r="R148" s="43"/>
      <c r="S148" s="44" t="str">
        <f aca="false">IF(OR(NOT(ISNUMBER($R148)),$R148=0,NOT(ISNUMBER($K148))),"",$K148*(1-$R148))</f>
        <v/>
      </c>
      <c r="T148" s="45" t="str">
        <f aca="false">IF(ISNUMBER($S148),$S148*$H148,"")</f>
        <v/>
      </c>
      <c r="U148" s="45" t="str">
        <f aca="false">IF(ISNUMBER($S148),$S148*Parâmetros!$B$6,"")</f>
        <v/>
      </c>
      <c r="V148" s="45" t="str">
        <f aca="false">IF(ISNUMBER($S148),$S148*Parâmetros!$C$6,"")</f>
        <v/>
      </c>
      <c r="W148" s="44" t="str">
        <f aca="false">IF(ISNUMBER($S148),$S148-$D148-IF(ISNUMBER($E148),$E148,0)-$O148-$T148-$U148-$V148,"")</f>
        <v/>
      </c>
      <c r="X148" s="46" t="str">
        <f aca="false">IF(AND(ISNUMBER($S148),$S148&gt;0),$W148/$S148,"")</f>
        <v/>
      </c>
      <c r="Y148" s="47"/>
      <c r="Z148" s="19"/>
    </row>
    <row r="149" customFormat="false" ht="15.75" hidden="false" customHeight="true" outlineLevel="0" collapsed="false">
      <c r="A149" s="48" t="str">
        <f aca="false">IF(Produtos!$A149="","",Produtos!$A149)</f>
        <v>L4090-AC</v>
      </c>
      <c r="B149" s="48" t="str">
        <f aca="false">IF(Produtos!$A149="","",Produtos!$B149)</f>
        <v>Lixeira c/Aro Colorido 40x90 120L</v>
      </c>
      <c r="C149" s="48" t="str">
        <f aca="false">IF(Produtos!$A149="","",Produtos!$C149)</f>
        <v>Lixeiras em inox</v>
      </c>
      <c r="D149" s="33" t="n">
        <f aca="false">IF(Produtos!$A149="","",IF(Produtos!$D149="","",Produtos!$D149))</f>
        <v>652.76</v>
      </c>
      <c r="E149" s="11" t="n">
        <v>0</v>
      </c>
      <c r="F149" s="34" t="n">
        <f aca="false">IF($A149="","",IF($C149="","⚠ categoria",IFERROR(INDEX(Parâmetros!$D$13:$D$22,MATCH($C149,Parâmetros!$A$13:$A$22,0)),"⚠ categoria")))</f>
        <v>0.13</v>
      </c>
      <c r="G149" s="35"/>
      <c r="H149" s="36" t="n">
        <f aca="false">IF($A149="","",IF(ISNUMBER($G149),$G149,IF(ISNUMBER($F149),$F149,"")))</f>
        <v>0.13</v>
      </c>
      <c r="I149" s="37" t="n">
        <f aca="false">IF(OR($A149="",NOT(ISNUMBER($D149)),NOT(ISNUMBER($H149))),"",IF((1-$H149-Parâmetros!$B$6-Parâmetros!$C$6-Parâmetros!$D$6)&lt;=0,"INVALIDO",($D149+IF(ISNUMBER($E149),$E149,0)+IF(ISNUMBER(Parâmetros!$E$6),Parâmetros!$E$6,0))/(1-$H149-Parâmetros!$B$6-Parâmetros!$C$6-Parâmetros!$D$6)))</f>
        <v>1208.81481481481</v>
      </c>
      <c r="J149" s="38"/>
      <c r="K149" s="39" t="n">
        <f aca="false">IF(OR($A149="",NOT(ISNUMBER($D149)),NOT(ISNUMBER($H149))),"",IF(AND(ISNUMBER($J149),$J149&gt;0),$J149,IF(ISNUMBER($I149),$I149,"")))</f>
        <v>1208.81481481481</v>
      </c>
      <c r="L149" s="40" t="n">
        <f aca="false">IF(ISNUMBER($K149),$K149*$H149,"")</f>
        <v>157.145925925926</v>
      </c>
      <c r="M149" s="40" t="n">
        <f aca="false">IF(ISNUMBER($K149),$K149*Parâmetros!$B$6,"")</f>
        <v>120.881481481481</v>
      </c>
      <c r="N149" s="40" t="n">
        <f aca="false">IF(ISNUMBER($K149),$K149*Parâmetros!$C$6,"")</f>
        <v>36.2644444444444</v>
      </c>
      <c r="O149" s="40" t="n">
        <f aca="false">IF(ISNUMBER($K149),IF(ISNUMBER(Parâmetros!$E$6),Parâmetros!$E$6,0),"")</f>
        <v>0</v>
      </c>
      <c r="P149" s="41" t="n">
        <f aca="false">IF(ISNUMBER($K149),$K149-$D149-IF(ISNUMBER($E149),$E149,0)-$L149-$M149-$N149-$O149,"")</f>
        <v>241.762962962963</v>
      </c>
      <c r="Q149" s="42" t="n">
        <f aca="false">IF(AND(ISNUMBER($K149),$K149&gt;0),$P149/$K149,"")</f>
        <v>0.2</v>
      </c>
      <c r="R149" s="43"/>
      <c r="S149" s="44" t="str">
        <f aca="false">IF(OR(NOT(ISNUMBER($R149)),$R149=0,NOT(ISNUMBER($K149))),"",$K149*(1-$R149))</f>
        <v/>
      </c>
      <c r="T149" s="45" t="str">
        <f aca="false">IF(ISNUMBER($S149),$S149*$H149,"")</f>
        <v/>
      </c>
      <c r="U149" s="45" t="str">
        <f aca="false">IF(ISNUMBER($S149),$S149*Parâmetros!$B$6,"")</f>
        <v/>
      </c>
      <c r="V149" s="45" t="str">
        <f aca="false">IF(ISNUMBER($S149),$S149*Parâmetros!$C$6,"")</f>
        <v/>
      </c>
      <c r="W149" s="44" t="str">
        <f aca="false">IF(ISNUMBER($S149),$S149-$D149-IF(ISNUMBER($E149),$E149,0)-$O149-$T149-$U149-$V149,"")</f>
        <v/>
      </c>
      <c r="X149" s="46" t="str">
        <f aca="false">IF(AND(ISNUMBER($S149),$S149&gt;0),$W149/$S149,"")</f>
        <v/>
      </c>
      <c r="Y149" s="49"/>
      <c r="Z149" s="21"/>
    </row>
    <row r="150" customFormat="false" ht="15.75" hidden="false" customHeight="true" outlineLevel="0" collapsed="false">
      <c r="A150" s="32" t="str">
        <f aca="false">IF(Produtos!$A150="","",Produtos!$A150)</f>
        <v>L2425-CP</v>
      </c>
      <c r="B150" s="32" t="str">
        <f aca="false">IF(Produtos!$A150="","",Produtos!$B150)</f>
        <v>Lixeira Aço inox Coletor de pilhas e baterias 24x25 13L</v>
      </c>
      <c r="C150" s="32" t="str">
        <f aca="false">IF(Produtos!$A150="","",Produtos!$C150)</f>
        <v>Coletores de pilhas</v>
      </c>
      <c r="D150" s="33" t="n">
        <f aca="false">IF(Produtos!$A150="","",IF(Produtos!$D150="","",Produtos!$D150))</f>
        <v>120.55</v>
      </c>
      <c r="E150" s="11" t="n">
        <v>0</v>
      </c>
      <c r="F150" s="34" t="n">
        <f aca="false">IF($A150="","",IF($C150="","⚠ categoria",IFERROR(INDEX(Parâmetros!$D$13:$D$22,MATCH($C150,Parâmetros!$A$13:$A$22,0)),"⚠ categoria")))</f>
        <v>0.13</v>
      </c>
      <c r="G150" s="35"/>
      <c r="H150" s="36" t="n">
        <f aca="false">IF($A150="","",IF(ISNUMBER($G150),$G150,IF(ISNUMBER($F150),$F150,"")))</f>
        <v>0.13</v>
      </c>
      <c r="I150" s="37" t="n">
        <f aca="false">IF(OR($A150="",NOT(ISNUMBER($D150)),NOT(ISNUMBER($H150))),"",IF((1-$H150-Parâmetros!$B$6-Parâmetros!$C$6-Parâmetros!$D$6)&lt;=0,"INVALIDO",($D150+IF(ISNUMBER($E150),$E150,0)+IF(ISNUMBER(Parâmetros!$E$6),Parâmetros!$E$6,0))/(1-$H150-Parâmetros!$B$6-Parâmetros!$C$6-Parâmetros!$D$6)))</f>
        <v>223.240740740741</v>
      </c>
      <c r="J150" s="38"/>
      <c r="K150" s="39" t="n">
        <f aca="false">IF(OR($A150="",NOT(ISNUMBER($D150)),NOT(ISNUMBER($H150))),"",IF(AND(ISNUMBER($J150),$J150&gt;0),$J150,IF(ISNUMBER($I150),$I150,"")))</f>
        <v>223.240740740741</v>
      </c>
      <c r="L150" s="40" t="n">
        <f aca="false">IF(ISNUMBER($K150),$K150*$H150,"")</f>
        <v>29.0212962962963</v>
      </c>
      <c r="M150" s="40" t="n">
        <f aca="false">IF(ISNUMBER($K150),$K150*Parâmetros!$B$6,"")</f>
        <v>22.3240740740741</v>
      </c>
      <c r="N150" s="40" t="n">
        <f aca="false">IF(ISNUMBER($K150),$K150*Parâmetros!$C$6,"")</f>
        <v>6.69722222222222</v>
      </c>
      <c r="O150" s="40" t="n">
        <f aca="false">IF(ISNUMBER($K150),IF(ISNUMBER(Parâmetros!$E$6),Parâmetros!$E$6,0),"")</f>
        <v>0</v>
      </c>
      <c r="P150" s="41" t="n">
        <f aca="false">IF(ISNUMBER($K150),$K150-$D150-IF(ISNUMBER($E150),$E150,0)-$L150-$M150-$N150-$O150,"")</f>
        <v>44.6481481481481</v>
      </c>
      <c r="Q150" s="42" t="n">
        <f aca="false">IF(AND(ISNUMBER($K150),$K150&gt;0),$P150/$K150,"")</f>
        <v>0.2</v>
      </c>
      <c r="R150" s="43"/>
      <c r="S150" s="44" t="str">
        <f aca="false">IF(OR(NOT(ISNUMBER($R150)),$R150=0,NOT(ISNUMBER($K150))),"",$K150*(1-$R150))</f>
        <v/>
      </c>
      <c r="T150" s="45" t="str">
        <f aca="false">IF(ISNUMBER($S150),$S150*$H150,"")</f>
        <v/>
      </c>
      <c r="U150" s="45" t="str">
        <f aca="false">IF(ISNUMBER($S150),$S150*Parâmetros!$B$6,"")</f>
        <v/>
      </c>
      <c r="V150" s="45" t="str">
        <f aca="false">IF(ISNUMBER($S150),$S150*Parâmetros!$C$6,"")</f>
        <v/>
      </c>
      <c r="W150" s="44" t="str">
        <f aca="false">IF(ISNUMBER($S150),$S150-$D150-IF(ISNUMBER($E150),$E150,0)-$O150-$T150-$U150-$V150,"")</f>
        <v/>
      </c>
      <c r="X150" s="46" t="str">
        <f aca="false">IF(AND(ISNUMBER($S150),$S150&gt;0),$W150/$S150,"")</f>
        <v/>
      </c>
      <c r="Y150" s="47"/>
      <c r="Z150" s="19"/>
    </row>
    <row r="151" customFormat="false" ht="15.75" hidden="false" customHeight="true" outlineLevel="0" collapsed="false">
      <c r="A151" s="48" t="str">
        <f aca="false">IF(Produtos!$A151="","",Produtos!$A151)</f>
        <v>L2430-CP</v>
      </c>
      <c r="B151" s="48" t="str">
        <f aca="false">IF(Produtos!$A151="","",Produtos!$B151)</f>
        <v>Lixeira Aço inox Coletor de pilhas e baterias 24x30 15L</v>
      </c>
      <c r="C151" s="48" t="str">
        <f aca="false">IF(Produtos!$A151="","",Produtos!$C151)</f>
        <v>Coletores de pilhas</v>
      </c>
      <c r="D151" s="33" t="n">
        <f aca="false">IF(Produtos!$A151="","",IF(Produtos!$D151="","",Produtos!$D151))</f>
        <v>134.47</v>
      </c>
      <c r="E151" s="11" t="n">
        <v>0</v>
      </c>
      <c r="F151" s="34" t="n">
        <f aca="false">IF($A151="","",IF($C151="","⚠ categoria",IFERROR(INDEX(Parâmetros!$D$13:$D$22,MATCH($C151,Parâmetros!$A$13:$A$22,0)),"⚠ categoria")))</f>
        <v>0.13</v>
      </c>
      <c r="G151" s="35"/>
      <c r="H151" s="36" t="n">
        <f aca="false">IF($A151="","",IF(ISNUMBER($G151),$G151,IF(ISNUMBER($F151),$F151,"")))</f>
        <v>0.13</v>
      </c>
      <c r="I151" s="37" t="n">
        <f aca="false">IF(OR($A151="",NOT(ISNUMBER($D151)),NOT(ISNUMBER($H151))),"",IF((1-$H151-Parâmetros!$B$6-Parâmetros!$C$6-Parâmetros!$D$6)&lt;=0,"INVALIDO",($D151+IF(ISNUMBER($E151),$E151,0)+IF(ISNUMBER(Parâmetros!$E$6),Parâmetros!$E$6,0))/(1-$H151-Parâmetros!$B$6-Parâmetros!$C$6-Parâmetros!$D$6)))</f>
        <v>249.018518518519</v>
      </c>
      <c r="J151" s="38"/>
      <c r="K151" s="39" t="n">
        <f aca="false">IF(OR($A151="",NOT(ISNUMBER($D151)),NOT(ISNUMBER($H151))),"",IF(AND(ISNUMBER($J151),$J151&gt;0),$J151,IF(ISNUMBER($I151),$I151,"")))</f>
        <v>249.018518518519</v>
      </c>
      <c r="L151" s="40" t="n">
        <f aca="false">IF(ISNUMBER($K151),$K151*$H151,"")</f>
        <v>32.3724074074074</v>
      </c>
      <c r="M151" s="40" t="n">
        <f aca="false">IF(ISNUMBER($K151),$K151*Parâmetros!$B$6,"")</f>
        <v>24.9018518518519</v>
      </c>
      <c r="N151" s="40" t="n">
        <f aca="false">IF(ISNUMBER($K151),$K151*Parâmetros!$C$6,"")</f>
        <v>7.47055555555555</v>
      </c>
      <c r="O151" s="40" t="n">
        <f aca="false">IF(ISNUMBER($K151),IF(ISNUMBER(Parâmetros!$E$6),Parâmetros!$E$6,0),"")</f>
        <v>0</v>
      </c>
      <c r="P151" s="41" t="n">
        <f aca="false">IF(ISNUMBER($K151),$K151-$D151-IF(ISNUMBER($E151),$E151,0)-$L151-$M151-$N151-$O151,"")</f>
        <v>49.8037037037037</v>
      </c>
      <c r="Q151" s="42" t="n">
        <f aca="false">IF(AND(ISNUMBER($K151),$K151&gt;0),$P151/$K151,"")</f>
        <v>0.2</v>
      </c>
      <c r="R151" s="43"/>
      <c r="S151" s="44" t="str">
        <f aca="false">IF(OR(NOT(ISNUMBER($R151)),$R151=0,NOT(ISNUMBER($K151))),"",$K151*(1-$R151))</f>
        <v/>
      </c>
      <c r="T151" s="45" t="str">
        <f aca="false">IF(ISNUMBER($S151),$S151*$H151,"")</f>
        <v/>
      </c>
      <c r="U151" s="45" t="str">
        <f aca="false">IF(ISNUMBER($S151),$S151*Parâmetros!$B$6,"")</f>
        <v/>
      </c>
      <c r="V151" s="45" t="str">
        <f aca="false">IF(ISNUMBER($S151),$S151*Parâmetros!$C$6,"")</f>
        <v/>
      </c>
      <c r="W151" s="44" t="str">
        <f aca="false">IF(ISNUMBER($S151),$S151-$D151-IF(ISNUMBER($E151),$E151,0)-$O151-$T151-$U151-$V151,"")</f>
        <v/>
      </c>
      <c r="X151" s="46" t="str">
        <f aca="false">IF(AND(ISNUMBER($S151),$S151&gt;0),$W151/$S151,"")</f>
        <v/>
      </c>
      <c r="Y151" s="49"/>
      <c r="Z151" s="21"/>
    </row>
    <row r="152" customFormat="false" ht="15.75" hidden="false" customHeight="true" outlineLevel="0" collapsed="false">
      <c r="A152" s="32" t="str">
        <f aca="false">IF(Produtos!$A152="","",Produtos!$A152)</f>
        <v>L2440-CP</v>
      </c>
      <c r="B152" s="32" t="str">
        <f aca="false">IF(Produtos!$A152="","",Produtos!$B152)</f>
        <v>Lixeira Aço inox Coletor de pilhas e baterias 24x40 20L</v>
      </c>
      <c r="C152" s="32" t="str">
        <f aca="false">IF(Produtos!$A152="","",Produtos!$C152)</f>
        <v>Coletores de pilhas</v>
      </c>
      <c r="D152" s="33" t="n">
        <f aca="false">IF(Produtos!$A152="","",IF(Produtos!$D152="","",Produtos!$D152))</f>
        <v>143.62</v>
      </c>
      <c r="E152" s="11" t="n">
        <v>0</v>
      </c>
      <c r="F152" s="34" t="n">
        <f aca="false">IF($A152="","",IF($C152="","⚠ categoria",IFERROR(INDEX(Parâmetros!$D$13:$D$22,MATCH($C152,Parâmetros!$A$13:$A$22,0)),"⚠ categoria")))</f>
        <v>0.13</v>
      </c>
      <c r="G152" s="35"/>
      <c r="H152" s="36" t="n">
        <f aca="false">IF($A152="","",IF(ISNUMBER($G152),$G152,IF(ISNUMBER($F152),$F152,"")))</f>
        <v>0.13</v>
      </c>
      <c r="I152" s="37" t="n">
        <f aca="false">IF(OR($A152="",NOT(ISNUMBER($D152)),NOT(ISNUMBER($H152))),"",IF((1-$H152-Parâmetros!$B$6-Parâmetros!$C$6-Parâmetros!$D$6)&lt;=0,"INVALIDO",($D152+IF(ISNUMBER($E152),$E152,0)+IF(ISNUMBER(Parâmetros!$E$6),Parâmetros!$E$6,0))/(1-$H152-Parâmetros!$B$6-Parâmetros!$C$6-Parâmetros!$D$6)))</f>
        <v>265.962962962963</v>
      </c>
      <c r="J152" s="38"/>
      <c r="K152" s="39" t="n">
        <f aca="false">IF(OR($A152="",NOT(ISNUMBER($D152)),NOT(ISNUMBER($H152))),"",IF(AND(ISNUMBER($J152),$J152&gt;0),$J152,IF(ISNUMBER($I152),$I152,"")))</f>
        <v>265.962962962963</v>
      </c>
      <c r="L152" s="40" t="n">
        <f aca="false">IF(ISNUMBER($K152),$K152*$H152,"")</f>
        <v>34.5751851851852</v>
      </c>
      <c r="M152" s="40" t="n">
        <f aca="false">IF(ISNUMBER($K152),$K152*Parâmetros!$B$6,"")</f>
        <v>26.5962962962963</v>
      </c>
      <c r="N152" s="40" t="n">
        <f aca="false">IF(ISNUMBER($K152),$K152*Parâmetros!$C$6,"")</f>
        <v>7.97888888888889</v>
      </c>
      <c r="O152" s="40" t="n">
        <f aca="false">IF(ISNUMBER($K152),IF(ISNUMBER(Parâmetros!$E$6),Parâmetros!$E$6,0),"")</f>
        <v>0</v>
      </c>
      <c r="P152" s="41" t="n">
        <f aca="false">IF(ISNUMBER($K152),$K152-$D152-IF(ISNUMBER($E152),$E152,0)-$L152-$M152-$N152-$O152,"")</f>
        <v>53.1925925925926</v>
      </c>
      <c r="Q152" s="42" t="n">
        <f aca="false">IF(AND(ISNUMBER($K152),$K152&gt;0),$P152/$K152,"")</f>
        <v>0.2</v>
      </c>
      <c r="R152" s="43"/>
      <c r="S152" s="44" t="str">
        <f aca="false">IF(OR(NOT(ISNUMBER($R152)),$R152=0,NOT(ISNUMBER($K152))),"",$K152*(1-$R152))</f>
        <v/>
      </c>
      <c r="T152" s="45" t="str">
        <f aca="false">IF(ISNUMBER($S152),$S152*$H152,"")</f>
        <v/>
      </c>
      <c r="U152" s="45" t="str">
        <f aca="false">IF(ISNUMBER($S152),$S152*Parâmetros!$B$6,"")</f>
        <v/>
      </c>
      <c r="V152" s="45" t="str">
        <f aca="false">IF(ISNUMBER($S152),$S152*Parâmetros!$C$6,"")</f>
        <v/>
      </c>
      <c r="W152" s="44" t="str">
        <f aca="false">IF(ISNUMBER($S152),$S152-$D152-IF(ISNUMBER($E152),$E152,0)-$O152-$T152-$U152-$V152,"")</f>
        <v/>
      </c>
      <c r="X152" s="46" t="str">
        <f aca="false">IF(AND(ISNUMBER($S152),$S152&gt;0),$W152/$S152,"")</f>
        <v/>
      </c>
      <c r="Y152" s="47"/>
      <c r="Z152" s="19"/>
    </row>
    <row r="153" customFormat="false" ht="15.75" hidden="false" customHeight="true" outlineLevel="0" collapsed="false">
      <c r="A153" s="48" t="str">
        <f aca="false">IF(Produtos!$A153="","",Produtos!$A153)</f>
        <v>L2450-CP</v>
      </c>
      <c r="B153" s="48" t="str">
        <f aca="false">IF(Produtos!$A153="","",Produtos!$B153)</f>
        <v>Lixeira Aço inox Coletor de pilhas e baterias 24x50 25L</v>
      </c>
      <c r="C153" s="48" t="str">
        <f aca="false">IF(Produtos!$A153="","",Produtos!$C153)</f>
        <v>Coletores de pilhas</v>
      </c>
      <c r="D153" s="33" t="n">
        <f aca="false">IF(Produtos!$A153="","",IF(Produtos!$D153="","",Produtos!$D153))</f>
        <v>163.9</v>
      </c>
      <c r="E153" s="11" t="n">
        <v>0</v>
      </c>
      <c r="F153" s="34" t="n">
        <f aca="false">IF($A153="","",IF($C153="","⚠ categoria",IFERROR(INDEX(Parâmetros!$D$13:$D$22,MATCH($C153,Parâmetros!$A$13:$A$22,0)),"⚠ categoria")))</f>
        <v>0.13</v>
      </c>
      <c r="G153" s="35"/>
      <c r="H153" s="36" t="n">
        <f aca="false">IF($A153="","",IF(ISNUMBER($G153),$G153,IF(ISNUMBER($F153),$F153,"")))</f>
        <v>0.13</v>
      </c>
      <c r="I153" s="37" t="n">
        <f aca="false">IF(OR($A153="",NOT(ISNUMBER($D153)),NOT(ISNUMBER($H153))),"",IF((1-$H153-Parâmetros!$B$6-Parâmetros!$C$6-Parâmetros!$D$6)&lt;=0,"INVALIDO",($D153+IF(ISNUMBER($E153),$E153,0)+IF(ISNUMBER(Parâmetros!$E$6),Parâmetros!$E$6,0))/(1-$H153-Parâmetros!$B$6-Parâmetros!$C$6-Parâmetros!$D$6)))</f>
        <v>303.518518518519</v>
      </c>
      <c r="J153" s="38"/>
      <c r="K153" s="39" t="n">
        <f aca="false">IF(OR($A153="",NOT(ISNUMBER($D153)),NOT(ISNUMBER($H153))),"",IF(AND(ISNUMBER($J153),$J153&gt;0),$J153,IF(ISNUMBER($I153),$I153,"")))</f>
        <v>303.518518518519</v>
      </c>
      <c r="L153" s="40" t="n">
        <f aca="false">IF(ISNUMBER($K153),$K153*$H153,"")</f>
        <v>39.4574074074074</v>
      </c>
      <c r="M153" s="40" t="n">
        <f aca="false">IF(ISNUMBER($K153),$K153*Parâmetros!$B$6,"")</f>
        <v>30.3518518518519</v>
      </c>
      <c r="N153" s="40" t="n">
        <f aca="false">IF(ISNUMBER($K153),$K153*Parâmetros!$C$6,"")</f>
        <v>9.10555555555556</v>
      </c>
      <c r="O153" s="40" t="n">
        <f aca="false">IF(ISNUMBER($K153),IF(ISNUMBER(Parâmetros!$E$6),Parâmetros!$E$6,0),"")</f>
        <v>0</v>
      </c>
      <c r="P153" s="41" t="n">
        <f aca="false">IF(ISNUMBER($K153),$K153-$D153-IF(ISNUMBER($E153),$E153,0)-$L153-$M153-$N153-$O153,"")</f>
        <v>60.7037037037037</v>
      </c>
      <c r="Q153" s="42" t="n">
        <f aca="false">IF(AND(ISNUMBER($K153),$K153&gt;0),$P153/$K153,"")</f>
        <v>0.2</v>
      </c>
      <c r="R153" s="43"/>
      <c r="S153" s="44" t="str">
        <f aca="false">IF(OR(NOT(ISNUMBER($R153)),$R153=0,NOT(ISNUMBER($K153))),"",$K153*(1-$R153))</f>
        <v/>
      </c>
      <c r="T153" s="45" t="str">
        <f aca="false">IF(ISNUMBER($S153),$S153*$H153,"")</f>
        <v/>
      </c>
      <c r="U153" s="45" t="str">
        <f aca="false">IF(ISNUMBER($S153),$S153*Parâmetros!$B$6,"")</f>
        <v/>
      </c>
      <c r="V153" s="45" t="str">
        <f aca="false">IF(ISNUMBER($S153),$S153*Parâmetros!$C$6,"")</f>
        <v/>
      </c>
      <c r="W153" s="44" t="str">
        <f aca="false">IF(ISNUMBER($S153),$S153-$D153-IF(ISNUMBER($E153),$E153,0)-$O153-$T153-$U153-$V153,"")</f>
        <v/>
      </c>
      <c r="X153" s="46" t="str">
        <f aca="false">IF(AND(ISNUMBER($S153),$S153&gt;0),$W153/$S153,"")</f>
        <v/>
      </c>
      <c r="Y153" s="49"/>
      <c r="Z153" s="21"/>
    </row>
    <row r="154" customFormat="false" ht="15.75" hidden="false" customHeight="true" outlineLevel="0" collapsed="false">
      <c r="A154" s="32" t="str">
        <f aca="false">IF(Produtos!$A154="","",Produtos!$A154)</f>
        <v>L2460-CP</v>
      </c>
      <c r="B154" s="32" t="str">
        <f aca="false">IF(Produtos!$A154="","",Produtos!$B154)</f>
        <v>Lixeira Aço inox Coletor de pilhas e baterias 24x60 27L</v>
      </c>
      <c r="C154" s="32" t="str">
        <f aca="false">IF(Produtos!$A154="","",Produtos!$C154)</f>
        <v>Coletores de pilhas</v>
      </c>
      <c r="D154" s="33" t="n">
        <f aca="false">IF(Produtos!$A154="","",IF(Produtos!$D154="","",Produtos!$D154))</f>
        <v>172.67</v>
      </c>
      <c r="E154" s="11" t="n">
        <v>0</v>
      </c>
      <c r="F154" s="34" t="n">
        <f aca="false">IF($A154="","",IF($C154="","⚠ categoria",IFERROR(INDEX(Parâmetros!$D$13:$D$22,MATCH($C154,Parâmetros!$A$13:$A$22,0)),"⚠ categoria")))</f>
        <v>0.13</v>
      </c>
      <c r="G154" s="35"/>
      <c r="H154" s="36" t="n">
        <f aca="false">IF($A154="","",IF(ISNUMBER($G154),$G154,IF(ISNUMBER($F154),$F154,"")))</f>
        <v>0.13</v>
      </c>
      <c r="I154" s="37" t="n">
        <f aca="false">IF(OR($A154="",NOT(ISNUMBER($D154)),NOT(ISNUMBER($H154))),"",IF((1-$H154-Parâmetros!$B$6-Parâmetros!$C$6-Parâmetros!$D$6)&lt;=0,"INVALIDO",($D154+IF(ISNUMBER($E154),$E154,0)+IF(ISNUMBER(Parâmetros!$E$6),Parâmetros!$E$6,0))/(1-$H154-Parâmetros!$B$6-Parâmetros!$C$6-Parâmetros!$D$6)))</f>
        <v>319.759259259259</v>
      </c>
      <c r="J154" s="38" t="n">
        <v>335.68</v>
      </c>
      <c r="K154" s="39" t="n">
        <f aca="false">IF(OR($A154="",NOT(ISNUMBER($D154)),NOT(ISNUMBER($H154))),"",IF(AND(ISNUMBER($J154),$J154&gt;0),$J154,IF(ISNUMBER($I154),$I154,"")))</f>
        <v>335.68</v>
      </c>
      <c r="L154" s="40" t="n">
        <f aca="false">IF(ISNUMBER($K154),$K154*$H154,"")</f>
        <v>43.6384</v>
      </c>
      <c r="M154" s="40" t="n">
        <f aca="false">IF(ISNUMBER($K154),$K154*Parâmetros!$B$6,"")</f>
        <v>33.568</v>
      </c>
      <c r="N154" s="40" t="n">
        <f aca="false">IF(ISNUMBER($K154),$K154*Parâmetros!$C$6,"")</f>
        <v>10.0704</v>
      </c>
      <c r="O154" s="40" t="n">
        <f aca="false">IF(ISNUMBER($K154),IF(ISNUMBER(Parâmetros!$E$6),Parâmetros!$E$6,0),"")</f>
        <v>0</v>
      </c>
      <c r="P154" s="41" t="n">
        <f aca="false">IF(ISNUMBER($K154),$K154-$D154-IF(ISNUMBER($E154),$E154,0)-$L154-$M154-$N154-$O154,"")</f>
        <v>75.7332</v>
      </c>
      <c r="Q154" s="42" t="n">
        <f aca="false">IF(AND(ISNUMBER($K154),$K154&gt;0),$P154/$K154,"")</f>
        <v>0.225611296472831</v>
      </c>
      <c r="R154" s="43"/>
      <c r="S154" s="44" t="str">
        <f aca="false">IF(OR(NOT(ISNUMBER($R154)),$R154=0,NOT(ISNUMBER($K154))),"",$K154*(1-$R154))</f>
        <v/>
      </c>
      <c r="T154" s="45" t="str">
        <f aca="false">IF(ISNUMBER($S154),$S154*$H154,"")</f>
        <v/>
      </c>
      <c r="U154" s="45" t="str">
        <f aca="false">IF(ISNUMBER($S154),$S154*Parâmetros!$B$6,"")</f>
        <v/>
      </c>
      <c r="V154" s="45" t="str">
        <f aca="false">IF(ISNUMBER($S154),$S154*Parâmetros!$C$6,"")</f>
        <v/>
      </c>
      <c r="W154" s="44" t="str">
        <f aca="false">IF(ISNUMBER($S154),$S154-$D154-IF(ISNUMBER($E154),$E154,0)-$O154-$T154-$U154-$V154,"")</f>
        <v/>
      </c>
      <c r="X154" s="46" t="str">
        <f aca="false">IF(AND(ISNUMBER($S154),$S154&gt;0),$W154/$S154,"")</f>
        <v/>
      </c>
      <c r="Y154" s="47" t="s">
        <v>737</v>
      </c>
      <c r="Z154" s="19" t="s">
        <v>748</v>
      </c>
    </row>
    <row r="155" customFormat="false" ht="15.75" hidden="false" customHeight="true" outlineLevel="0" collapsed="false">
      <c r="A155" s="48" t="str">
        <f aca="false">IF(Produtos!$A155="","",Produtos!$A155)</f>
        <v>L3040-CP</v>
      </c>
      <c r="B155" s="48" t="str">
        <f aca="false">IF(Produtos!$A155="","",Produtos!$B155)</f>
        <v>Lixeira Aço inox Coletor de pilhas e baterias 30x40 30L</v>
      </c>
      <c r="C155" s="48" t="str">
        <f aca="false">IF(Produtos!$A155="","",Produtos!$C155)</f>
        <v>Coletores de pilhas</v>
      </c>
      <c r="D155" s="33" t="n">
        <f aca="false">IF(Produtos!$A155="","",IF(Produtos!$D155="","",Produtos!$D155))</f>
        <v>157.35</v>
      </c>
      <c r="E155" s="11" t="n">
        <v>0</v>
      </c>
      <c r="F155" s="34" t="n">
        <f aca="false">IF($A155="","",IF($C155="","⚠ categoria",IFERROR(INDEX(Parâmetros!$D$13:$D$22,MATCH($C155,Parâmetros!$A$13:$A$22,0)),"⚠ categoria")))</f>
        <v>0.13</v>
      </c>
      <c r="G155" s="35"/>
      <c r="H155" s="36" t="n">
        <f aca="false">IF($A155="","",IF(ISNUMBER($G155),$G155,IF(ISNUMBER($F155),$F155,"")))</f>
        <v>0.13</v>
      </c>
      <c r="I155" s="37" t="n">
        <f aca="false">IF(OR($A155="",NOT(ISNUMBER($D155)),NOT(ISNUMBER($H155))),"",IF((1-$H155-Parâmetros!$B$6-Parâmetros!$C$6-Parâmetros!$D$6)&lt;=0,"INVALIDO",($D155+IF(ISNUMBER($E155),$E155,0)+IF(ISNUMBER(Parâmetros!$E$6),Parâmetros!$E$6,0))/(1-$H155-Parâmetros!$B$6-Parâmetros!$C$6-Parâmetros!$D$6)))</f>
        <v>291.388888888889</v>
      </c>
      <c r="J155" s="38"/>
      <c r="K155" s="39" t="n">
        <f aca="false">IF(OR($A155="",NOT(ISNUMBER($D155)),NOT(ISNUMBER($H155))),"",IF(AND(ISNUMBER($J155),$J155&gt;0),$J155,IF(ISNUMBER($I155),$I155,"")))</f>
        <v>291.388888888889</v>
      </c>
      <c r="L155" s="40" t="n">
        <f aca="false">IF(ISNUMBER($K155),$K155*$H155,"")</f>
        <v>37.8805555555556</v>
      </c>
      <c r="M155" s="40" t="n">
        <f aca="false">IF(ISNUMBER($K155),$K155*Parâmetros!$B$6,"")</f>
        <v>29.1388888888889</v>
      </c>
      <c r="N155" s="40" t="n">
        <f aca="false">IF(ISNUMBER($K155),$K155*Parâmetros!$C$6,"")</f>
        <v>8.74166666666667</v>
      </c>
      <c r="O155" s="40" t="n">
        <f aca="false">IF(ISNUMBER($K155),IF(ISNUMBER(Parâmetros!$E$6),Parâmetros!$E$6,0),"")</f>
        <v>0</v>
      </c>
      <c r="P155" s="41" t="n">
        <f aca="false">IF(ISNUMBER($K155),$K155-$D155-IF(ISNUMBER($E155),$E155,0)-$L155-$M155-$N155-$O155,"")</f>
        <v>58.2777777777778</v>
      </c>
      <c r="Q155" s="42" t="n">
        <f aca="false">IF(AND(ISNUMBER($K155),$K155&gt;0),$P155/$K155,"")</f>
        <v>0.2</v>
      </c>
      <c r="R155" s="43"/>
      <c r="S155" s="44" t="str">
        <f aca="false">IF(OR(NOT(ISNUMBER($R155)),$R155=0,NOT(ISNUMBER($K155))),"",$K155*(1-$R155))</f>
        <v/>
      </c>
      <c r="T155" s="45" t="str">
        <f aca="false">IF(ISNUMBER($S155),$S155*$H155,"")</f>
        <v/>
      </c>
      <c r="U155" s="45" t="str">
        <f aca="false">IF(ISNUMBER($S155),$S155*Parâmetros!$B$6,"")</f>
        <v/>
      </c>
      <c r="V155" s="45" t="str">
        <f aca="false">IF(ISNUMBER($S155),$S155*Parâmetros!$C$6,"")</f>
        <v/>
      </c>
      <c r="W155" s="44" t="str">
        <f aca="false">IF(ISNUMBER($S155),$S155-$D155-IF(ISNUMBER($E155),$E155,0)-$O155-$T155-$U155-$V155,"")</f>
        <v/>
      </c>
      <c r="X155" s="46" t="str">
        <f aca="false">IF(AND(ISNUMBER($S155),$S155&gt;0),$W155/$S155,"")</f>
        <v/>
      </c>
      <c r="Y155" s="49"/>
      <c r="Z155" s="21"/>
    </row>
    <row r="156" customFormat="false" ht="15.75" hidden="false" customHeight="true" outlineLevel="0" collapsed="false">
      <c r="A156" s="32" t="str">
        <f aca="false">IF(Produtos!$A156="","",Produtos!$A156)</f>
        <v>L3050-CP</v>
      </c>
      <c r="B156" s="32" t="str">
        <f aca="false">IF(Produtos!$A156="","",Produtos!$B156)</f>
        <v>Lixeira Aço inox Coletor de pilhas e baterias 30x50 35L</v>
      </c>
      <c r="C156" s="32" t="str">
        <f aca="false">IF(Produtos!$A156="","",Produtos!$C156)</f>
        <v>Coletores de pilhas</v>
      </c>
      <c r="D156" s="33" t="n">
        <f aca="false">IF(Produtos!$A156="","",IF(Produtos!$D156="","",Produtos!$D156))</f>
        <v>203.19</v>
      </c>
      <c r="E156" s="11" t="n">
        <v>0</v>
      </c>
      <c r="F156" s="34" t="n">
        <f aca="false">IF($A156="","",IF($C156="","⚠ categoria",IFERROR(INDEX(Parâmetros!$D$13:$D$22,MATCH($C156,Parâmetros!$A$13:$A$22,0)),"⚠ categoria")))</f>
        <v>0.13</v>
      </c>
      <c r="G156" s="35"/>
      <c r="H156" s="36" t="n">
        <f aca="false">IF($A156="","",IF(ISNUMBER($G156),$G156,IF(ISNUMBER($F156),$F156,"")))</f>
        <v>0.13</v>
      </c>
      <c r="I156" s="37" t="n">
        <f aca="false">IF(OR($A156="",NOT(ISNUMBER($D156)),NOT(ISNUMBER($H156))),"",IF((1-$H156-Parâmetros!$B$6-Parâmetros!$C$6-Parâmetros!$D$6)&lt;=0,"INVALIDO",($D156+IF(ISNUMBER($E156),$E156,0)+IF(ISNUMBER(Parâmetros!$E$6),Parâmetros!$E$6,0))/(1-$H156-Parâmetros!$B$6-Parâmetros!$C$6-Parâmetros!$D$6)))</f>
        <v>376.277777777778</v>
      </c>
      <c r="J156" s="38"/>
      <c r="K156" s="39" t="n">
        <f aca="false">IF(OR($A156="",NOT(ISNUMBER($D156)),NOT(ISNUMBER($H156))),"",IF(AND(ISNUMBER($J156),$J156&gt;0),$J156,IF(ISNUMBER($I156),$I156,"")))</f>
        <v>376.277777777778</v>
      </c>
      <c r="L156" s="40" t="n">
        <f aca="false">IF(ISNUMBER($K156),$K156*$H156,"")</f>
        <v>48.9161111111111</v>
      </c>
      <c r="M156" s="40" t="n">
        <f aca="false">IF(ISNUMBER($K156),$K156*Parâmetros!$B$6,"")</f>
        <v>37.6277777777778</v>
      </c>
      <c r="N156" s="40" t="n">
        <f aca="false">IF(ISNUMBER($K156),$K156*Parâmetros!$C$6,"")</f>
        <v>11.2883333333333</v>
      </c>
      <c r="O156" s="40" t="n">
        <f aca="false">IF(ISNUMBER($K156),IF(ISNUMBER(Parâmetros!$E$6),Parâmetros!$E$6,0),"")</f>
        <v>0</v>
      </c>
      <c r="P156" s="41" t="n">
        <f aca="false">IF(ISNUMBER($K156),$K156-$D156-IF(ISNUMBER($E156),$E156,0)-$L156-$M156-$N156-$O156,"")</f>
        <v>75.2555555555556</v>
      </c>
      <c r="Q156" s="42" t="n">
        <f aca="false">IF(AND(ISNUMBER($K156),$K156&gt;0),$P156/$K156,"")</f>
        <v>0.2</v>
      </c>
      <c r="R156" s="43"/>
      <c r="S156" s="44" t="str">
        <f aca="false">IF(OR(NOT(ISNUMBER($R156)),$R156=0,NOT(ISNUMBER($K156))),"",$K156*(1-$R156))</f>
        <v/>
      </c>
      <c r="T156" s="45" t="str">
        <f aca="false">IF(ISNUMBER($S156),$S156*$H156,"")</f>
        <v/>
      </c>
      <c r="U156" s="45" t="str">
        <f aca="false">IF(ISNUMBER($S156),$S156*Parâmetros!$B$6,"")</f>
        <v/>
      </c>
      <c r="V156" s="45" t="str">
        <f aca="false">IF(ISNUMBER($S156),$S156*Parâmetros!$C$6,"")</f>
        <v/>
      </c>
      <c r="W156" s="44" t="str">
        <f aca="false">IF(ISNUMBER($S156),$S156-$D156-IF(ISNUMBER($E156),$E156,0)-$O156-$T156-$U156-$V156,"")</f>
        <v/>
      </c>
      <c r="X156" s="46" t="str">
        <f aca="false">IF(AND(ISNUMBER($S156),$S156&gt;0),$W156/$S156,"")</f>
        <v/>
      </c>
      <c r="Y156" s="47"/>
      <c r="Z156" s="19"/>
    </row>
    <row r="157" customFormat="false" ht="15.75" hidden="false" customHeight="true" outlineLevel="0" collapsed="false">
      <c r="A157" s="48" t="str">
        <f aca="false">IF(Produtos!$A157="","",Produtos!$A157)</f>
        <v>L3060-CP</v>
      </c>
      <c r="B157" s="48" t="str">
        <f aca="false">IF(Produtos!$A157="","",Produtos!$B157)</f>
        <v>Lixeira Aço inox Coletor de pilhas e baterias 30x60 40L</v>
      </c>
      <c r="C157" s="48" t="str">
        <f aca="false">IF(Produtos!$A157="","",Produtos!$C157)</f>
        <v>Coletores de pilhas</v>
      </c>
      <c r="D157" s="33" t="n">
        <f aca="false">IF(Produtos!$A157="","",IF(Produtos!$D157="","",Produtos!$D157))</f>
        <v>205.65</v>
      </c>
      <c r="E157" s="11" t="n">
        <v>0</v>
      </c>
      <c r="F157" s="34" t="n">
        <f aca="false">IF($A157="","",IF($C157="","⚠ categoria",IFERROR(INDEX(Parâmetros!$D$13:$D$22,MATCH($C157,Parâmetros!$A$13:$A$22,0)),"⚠ categoria")))</f>
        <v>0.13</v>
      </c>
      <c r="G157" s="35"/>
      <c r="H157" s="36" t="n">
        <f aca="false">IF($A157="","",IF(ISNUMBER($G157),$G157,IF(ISNUMBER($F157),$F157,"")))</f>
        <v>0.13</v>
      </c>
      <c r="I157" s="37" t="n">
        <f aca="false">IF(OR($A157="",NOT(ISNUMBER($D157)),NOT(ISNUMBER($H157))),"",IF((1-$H157-Parâmetros!$B$6-Parâmetros!$C$6-Parâmetros!$D$6)&lt;=0,"INVALIDO",($D157+IF(ISNUMBER($E157),$E157,0)+IF(ISNUMBER(Parâmetros!$E$6),Parâmetros!$E$6,0))/(1-$H157-Parâmetros!$B$6-Parâmetros!$C$6-Parâmetros!$D$6)))</f>
        <v>380.833333333333</v>
      </c>
      <c r="J157" s="38"/>
      <c r="K157" s="39" t="n">
        <f aca="false">IF(OR($A157="",NOT(ISNUMBER($D157)),NOT(ISNUMBER($H157))),"",IF(AND(ISNUMBER($J157),$J157&gt;0),$J157,IF(ISNUMBER($I157),$I157,"")))</f>
        <v>380.833333333333</v>
      </c>
      <c r="L157" s="40" t="n">
        <f aca="false">IF(ISNUMBER($K157),$K157*$H157,"")</f>
        <v>49.5083333333333</v>
      </c>
      <c r="M157" s="40" t="n">
        <f aca="false">IF(ISNUMBER($K157),$K157*Parâmetros!$B$6,"")</f>
        <v>38.0833333333333</v>
      </c>
      <c r="N157" s="40" t="n">
        <f aca="false">IF(ISNUMBER($K157),$K157*Parâmetros!$C$6,"")</f>
        <v>11.425</v>
      </c>
      <c r="O157" s="40" t="n">
        <f aca="false">IF(ISNUMBER($K157),IF(ISNUMBER(Parâmetros!$E$6),Parâmetros!$E$6,0),"")</f>
        <v>0</v>
      </c>
      <c r="P157" s="41" t="n">
        <f aca="false">IF(ISNUMBER($K157),$K157-$D157-IF(ISNUMBER($E157),$E157,0)-$L157-$M157-$N157-$O157,"")</f>
        <v>76.1666666666666</v>
      </c>
      <c r="Q157" s="42" t="n">
        <f aca="false">IF(AND(ISNUMBER($K157),$K157&gt;0),$P157/$K157,"")</f>
        <v>0.2</v>
      </c>
      <c r="R157" s="43"/>
      <c r="S157" s="44" t="str">
        <f aca="false">IF(OR(NOT(ISNUMBER($R157)),$R157=0,NOT(ISNUMBER($K157))),"",$K157*(1-$R157))</f>
        <v/>
      </c>
      <c r="T157" s="45" t="str">
        <f aca="false">IF(ISNUMBER($S157),$S157*$H157,"")</f>
        <v/>
      </c>
      <c r="U157" s="45" t="str">
        <f aca="false">IF(ISNUMBER($S157),$S157*Parâmetros!$B$6,"")</f>
        <v/>
      </c>
      <c r="V157" s="45" t="str">
        <f aca="false">IF(ISNUMBER($S157),$S157*Parâmetros!$C$6,"")</f>
        <v/>
      </c>
      <c r="W157" s="44" t="str">
        <f aca="false">IF(ISNUMBER($S157),$S157-$D157-IF(ISNUMBER($E157),$E157,0)-$O157-$T157-$U157-$V157,"")</f>
        <v/>
      </c>
      <c r="X157" s="46" t="str">
        <f aca="false">IF(AND(ISNUMBER($S157),$S157&gt;0),$W157/$S157,"")</f>
        <v/>
      </c>
      <c r="Y157" s="49"/>
      <c r="Z157" s="21"/>
    </row>
    <row r="158" customFormat="false" ht="15.75" hidden="false" customHeight="true" outlineLevel="0" collapsed="false">
      <c r="A158" s="32" t="str">
        <f aca="false">IF(Produtos!$A158="","",Produtos!$A158)</f>
        <v>L3070-CP</v>
      </c>
      <c r="B158" s="32" t="str">
        <f aca="false">IF(Produtos!$A158="","",Produtos!$B158)</f>
        <v>Lixeira Aço inox Coletor de pilhas e baterias 30x70 50L</v>
      </c>
      <c r="C158" s="32" t="str">
        <f aca="false">IF(Produtos!$A158="","",Produtos!$C158)</f>
        <v>Coletores de pilhas</v>
      </c>
      <c r="D158" s="33" t="n">
        <f aca="false">IF(Produtos!$A158="","",IF(Produtos!$D158="","",Produtos!$D158))</f>
        <v>267.58</v>
      </c>
      <c r="E158" s="11" t="n">
        <v>0</v>
      </c>
      <c r="F158" s="34" t="n">
        <f aca="false">IF($A158="","",IF($C158="","⚠ categoria",IFERROR(INDEX(Parâmetros!$D$13:$D$22,MATCH($C158,Parâmetros!$A$13:$A$22,0)),"⚠ categoria")))</f>
        <v>0.13</v>
      </c>
      <c r="G158" s="35"/>
      <c r="H158" s="36" t="n">
        <f aca="false">IF($A158="","",IF(ISNUMBER($G158),$G158,IF(ISNUMBER($F158),$F158,"")))</f>
        <v>0.13</v>
      </c>
      <c r="I158" s="37" t="n">
        <f aca="false">IF(OR($A158="",NOT(ISNUMBER($D158)),NOT(ISNUMBER($H158))),"",IF((1-$H158-Parâmetros!$B$6-Parâmetros!$C$6-Parâmetros!$D$6)&lt;=0,"INVALIDO",($D158+IF(ISNUMBER($E158),$E158,0)+IF(ISNUMBER(Parâmetros!$E$6),Parâmetros!$E$6,0))/(1-$H158-Parâmetros!$B$6-Parâmetros!$C$6-Parâmetros!$D$6)))</f>
        <v>495.518518518519</v>
      </c>
      <c r="J158" s="38"/>
      <c r="K158" s="39" t="n">
        <f aca="false">IF(OR($A158="",NOT(ISNUMBER($D158)),NOT(ISNUMBER($H158))),"",IF(AND(ISNUMBER($J158),$J158&gt;0),$J158,IF(ISNUMBER($I158),$I158,"")))</f>
        <v>495.518518518519</v>
      </c>
      <c r="L158" s="40" t="n">
        <f aca="false">IF(ISNUMBER($K158),$K158*$H158,"")</f>
        <v>64.4174074074074</v>
      </c>
      <c r="M158" s="40" t="n">
        <f aca="false">IF(ISNUMBER($K158),$K158*Parâmetros!$B$6,"")</f>
        <v>49.5518518518519</v>
      </c>
      <c r="N158" s="40" t="n">
        <f aca="false">IF(ISNUMBER($K158),$K158*Parâmetros!$C$6,"")</f>
        <v>14.8655555555556</v>
      </c>
      <c r="O158" s="40" t="n">
        <f aca="false">IF(ISNUMBER($K158),IF(ISNUMBER(Parâmetros!$E$6),Parâmetros!$E$6,0),"")</f>
        <v>0</v>
      </c>
      <c r="P158" s="41" t="n">
        <f aca="false">IF(ISNUMBER($K158),$K158-$D158-IF(ISNUMBER($E158),$E158,0)-$L158-$M158-$N158-$O158,"")</f>
        <v>99.1037037037037</v>
      </c>
      <c r="Q158" s="42" t="n">
        <f aca="false">IF(AND(ISNUMBER($K158),$K158&gt;0),$P158/$K158,"")</f>
        <v>0.2</v>
      </c>
      <c r="R158" s="43"/>
      <c r="S158" s="44" t="str">
        <f aca="false">IF(OR(NOT(ISNUMBER($R158)),$R158=0,NOT(ISNUMBER($K158))),"",$K158*(1-$R158))</f>
        <v/>
      </c>
      <c r="T158" s="45" t="str">
        <f aca="false">IF(ISNUMBER($S158),$S158*$H158,"")</f>
        <v/>
      </c>
      <c r="U158" s="45" t="str">
        <f aca="false">IF(ISNUMBER($S158),$S158*Parâmetros!$B$6,"")</f>
        <v/>
      </c>
      <c r="V158" s="45" t="str">
        <f aca="false">IF(ISNUMBER($S158),$S158*Parâmetros!$C$6,"")</f>
        <v/>
      </c>
      <c r="W158" s="44" t="str">
        <f aca="false">IF(ISNUMBER($S158),$S158-$D158-IF(ISNUMBER($E158),$E158,0)-$O158-$T158-$U158-$V158,"")</f>
        <v/>
      </c>
      <c r="X158" s="46" t="str">
        <f aca="false">IF(AND(ISNUMBER($S158),$S158&gt;0),$W158/$S158,"")</f>
        <v/>
      </c>
      <c r="Y158" s="47"/>
      <c r="Z158" s="19"/>
    </row>
    <row r="159" customFormat="false" ht="15.75" hidden="false" customHeight="true" outlineLevel="0" collapsed="false">
      <c r="A159" s="48" t="str">
        <f aca="false">IF(Produtos!$A159="","",Produtos!$A159)</f>
        <v>EGC</v>
      </c>
      <c r="B159" s="48" t="str">
        <f aca="false">IF(Produtos!$A159="","",Produtos!$B159)</f>
        <v>Ensacador Guarda-chuvas c/150 saquinhos</v>
      </c>
      <c r="C159" s="48" t="str">
        <f aca="false">IF(Produtos!$A159="","",Produtos!$C159)</f>
        <v>Ensacadores</v>
      </c>
      <c r="D159" s="33" t="n">
        <f aca="false">IF(Produtos!$A159="","",IF(Produtos!$D159="","",Produtos!$D159))</f>
        <v>365.7</v>
      </c>
      <c r="E159" s="11" t="n">
        <v>0</v>
      </c>
      <c r="F159" s="34" t="n">
        <f aca="false">IF($A159="","",IF($C159="","⚠ categoria",IFERROR(INDEX(Parâmetros!$D$13:$D$22,MATCH($C159,Parâmetros!$A$13:$A$22,0)),"⚠ categoria")))</f>
        <v>0.13</v>
      </c>
      <c r="G159" s="35"/>
      <c r="H159" s="36" t="n">
        <f aca="false">IF($A159="","",IF(ISNUMBER($G159),$G159,IF(ISNUMBER($F159),$F159,"")))</f>
        <v>0.13</v>
      </c>
      <c r="I159" s="37" t="n">
        <f aca="false">IF(OR($A159="",NOT(ISNUMBER($D159)),NOT(ISNUMBER($H159))),"",IF((1-$H159-Parâmetros!$B$6-Parâmetros!$C$6-Parâmetros!$D$6)&lt;=0,"INVALIDO",($D159+IF(ISNUMBER($E159),$E159,0)+IF(ISNUMBER(Parâmetros!$E$6),Parâmetros!$E$6,0))/(1-$H159-Parâmetros!$B$6-Parâmetros!$C$6-Parâmetros!$D$6)))</f>
        <v>677.222222222222</v>
      </c>
      <c r="J159" s="38" t="n">
        <v>674.62</v>
      </c>
      <c r="K159" s="39" t="n">
        <f aca="false">IF(OR($A159="",NOT(ISNUMBER($D159)),NOT(ISNUMBER($H159))),"",IF(AND(ISNUMBER($J159),$J159&gt;0),$J159,IF(ISNUMBER($I159),$I159,"")))</f>
        <v>674.62</v>
      </c>
      <c r="L159" s="40" t="n">
        <f aca="false">IF(ISNUMBER($K159),$K159*$H159,"")</f>
        <v>87.7006</v>
      </c>
      <c r="M159" s="40" t="n">
        <f aca="false">IF(ISNUMBER($K159),$K159*Parâmetros!$B$6,"")</f>
        <v>67.462</v>
      </c>
      <c r="N159" s="40" t="n">
        <f aca="false">IF(ISNUMBER($K159),$K159*Parâmetros!$C$6,"")</f>
        <v>20.2386</v>
      </c>
      <c r="O159" s="40" t="n">
        <f aca="false">IF(ISNUMBER($K159),IF(ISNUMBER(Parâmetros!$E$6),Parâmetros!$E$6,0),"")</f>
        <v>0</v>
      </c>
      <c r="P159" s="41" t="n">
        <f aca="false">IF(ISNUMBER($K159),$K159-$D159-IF(ISNUMBER($E159),$E159,0)-$L159-$M159-$N159-$O159,"")</f>
        <v>133.5188</v>
      </c>
      <c r="Q159" s="42" t="n">
        <f aca="false">IF(AND(ISNUMBER($K159),$K159&gt;0),$P159/$K159,"")</f>
        <v>0.197917049598292</v>
      </c>
      <c r="R159" s="43"/>
      <c r="S159" s="44" t="str">
        <f aca="false">IF(OR(NOT(ISNUMBER($R159)),$R159=0,NOT(ISNUMBER($K159))),"",$K159*(1-$R159))</f>
        <v/>
      </c>
      <c r="T159" s="45" t="str">
        <f aca="false">IF(ISNUMBER($S159),$S159*$H159,"")</f>
        <v/>
      </c>
      <c r="U159" s="45" t="str">
        <f aca="false">IF(ISNUMBER($S159),$S159*Parâmetros!$B$6,"")</f>
        <v/>
      </c>
      <c r="V159" s="45" t="str">
        <f aca="false">IF(ISNUMBER($S159),$S159*Parâmetros!$C$6,"")</f>
        <v/>
      </c>
      <c r="W159" s="44" t="str">
        <f aca="false">IF(ISNUMBER($S159),$S159-$D159-IF(ISNUMBER($E159),$E159,0)-$O159-$T159-$U159-$V159,"")</f>
        <v/>
      </c>
      <c r="X159" s="46" t="str">
        <f aca="false">IF(AND(ISNUMBER($S159),$S159&gt;0),$W159/$S159,"")</f>
        <v/>
      </c>
      <c r="Y159" s="49" t="s">
        <v>737</v>
      </c>
      <c r="Z159" s="21" t="s">
        <v>748</v>
      </c>
    </row>
    <row r="160" customFormat="false" ht="15.75" hidden="false" customHeight="true" outlineLevel="0" collapsed="false">
      <c r="A160" s="32" t="str">
        <f aca="false">IF(Produtos!$A160="","",Produtos!$A160)</f>
        <v>REGC</v>
      </c>
      <c r="B160" s="32" t="str">
        <f aca="false">IF(Produtos!$A160="","",Produtos!$B160)</f>
        <v>Refil Ensacador c/1000 saquinhos</v>
      </c>
      <c r="C160" s="32" t="str">
        <f aca="false">IF(Produtos!$A160="","",Produtos!$C160)</f>
        <v>Ensacadores</v>
      </c>
      <c r="D160" s="33" t="n">
        <f aca="false">IF(Produtos!$A160="","",IF(Produtos!$D160="","",Produtos!$D160))</f>
        <v>271.36</v>
      </c>
      <c r="E160" s="11" t="n">
        <v>0</v>
      </c>
      <c r="F160" s="34" t="n">
        <f aca="false">IF($A160="","",IF($C160="","⚠ categoria",IFERROR(INDEX(Parâmetros!$D$13:$D$22,MATCH($C160,Parâmetros!$A$13:$A$22,0)),"⚠ categoria")))</f>
        <v>0.13</v>
      </c>
      <c r="G160" s="35"/>
      <c r="H160" s="36" t="n">
        <f aca="false">IF($A160="","",IF(ISNUMBER($G160),$G160,IF(ISNUMBER($F160),$F160,"")))</f>
        <v>0.13</v>
      </c>
      <c r="I160" s="37" t="n">
        <f aca="false">IF(OR($A160="",NOT(ISNUMBER($D160)),NOT(ISNUMBER($H160))),"",IF((1-$H160-Parâmetros!$B$6-Parâmetros!$C$6-Parâmetros!$D$6)&lt;=0,"INVALIDO",($D160+IF(ISNUMBER($E160),$E160,0)+IF(ISNUMBER(Parâmetros!$E$6),Parâmetros!$E$6,0))/(1-$H160-Parâmetros!$B$6-Parâmetros!$C$6-Parâmetros!$D$6)))</f>
        <v>502.518518518519</v>
      </c>
      <c r="J160" s="38"/>
      <c r="K160" s="39" t="n">
        <f aca="false">IF(OR($A160="",NOT(ISNUMBER($D160)),NOT(ISNUMBER($H160))),"",IF(AND(ISNUMBER($J160),$J160&gt;0),$J160,IF(ISNUMBER($I160),$I160,"")))</f>
        <v>502.518518518519</v>
      </c>
      <c r="L160" s="40" t="n">
        <f aca="false">IF(ISNUMBER($K160),$K160*$H160,"")</f>
        <v>65.3274074074074</v>
      </c>
      <c r="M160" s="40" t="n">
        <f aca="false">IF(ISNUMBER($K160),$K160*Parâmetros!$B$6,"")</f>
        <v>50.2518518518519</v>
      </c>
      <c r="N160" s="40" t="n">
        <f aca="false">IF(ISNUMBER($K160),$K160*Parâmetros!$C$6,"")</f>
        <v>15.0755555555556</v>
      </c>
      <c r="O160" s="40" t="n">
        <f aca="false">IF(ISNUMBER($K160),IF(ISNUMBER(Parâmetros!$E$6),Parâmetros!$E$6,0),"")</f>
        <v>0</v>
      </c>
      <c r="P160" s="41" t="n">
        <f aca="false">IF(ISNUMBER($K160),$K160-$D160-IF(ISNUMBER($E160),$E160,0)-$L160-$M160-$N160-$O160,"")</f>
        <v>100.503703703704</v>
      </c>
      <c r="Q160" s="42" t="n">
        <f aca="false">IF(AND(ISNUMBER($K160),$K160&gt;0),$P160/$K160,"")</f>
        <v>0.2</v>
      </c>
      <c r="R160" s="43"/>
      <c r="S160" s="44" t="str">
        <f aca="false">IF(OR(NOT(ISNUMBER($R160)),$R160=0,NOT(ISNUMBER($K160))),"",$K160*(1-$R160))</f>
        <v/>
      </c>
      <c r="T160" s="45" t="str">
        <f aca="false">IF(ISNUMBER($S160),$S160*$H160,"")</f>
        <v/>
      </c>
      <c r="U160" s="45" t="str">
        <f aca="false">IF(ISNUMBER($S160),$S160*Parâmetros!$B$6,"")</f>
        <v/>
      </c>
      <c r="V160" s="45" t="str">
        <f aca="false">IF(ISNUMBER($S160),$S160*Parâmetros!$C$6,"")</f>
        <v/>
      </c>
      <c r="W160" s="44" t="str">
        <f aca="false">IF(ISNUMBER($S160),$S160-$D160-IF(ISNUMBER($E160),$E160,0)-$O160-$T160-$U160-$V160,"")</f>
        <v/>
      </c>
      <c r="X160" s="46" t="str">
        <f aca="false">IF(AND(ISNUMBER($S160),$S160&gt;0),$W160/$S160,"")</f>
        <v/>
      </c>
      <c r="Y160" s="47"/>
      <c r="Z160" s="19"/>
    </row>
    <row r="161" customFormat="false" ht="15.75" hidden="false" customHeight="true" outlineLevel="0" collapsed="false">
      <c r="A161" s="48" t="str">
        <f aca="false">IF(Produtos!$A161="","",Produtos!$A161)</f>
        <v>PG2450</v>
      </c>
      <c r="B161" s="48" t="str">
        <f aca="false">IF(Produtos!$A161="","",Produtos!$B161)</f>
        <v>Porta Guarda-chuvas 24x50</v>
      </c>
      <c r="C161" s="48" t="str">
        <f aca="false">IF(Produtos!$A161="","",Produtos!$C161)</f>
        <v>Porta-guarda-chuvas</v>
      </c>
      <c r="D161" s="33" t="n">
        <f aca="false">IF(Produtos!$A161="","",IF(Produtos!$D161="","",Produtos!$D161))</f>
        <v>122.9</v>
      </c>
      <c r="E161" s="11" t="n">
        <v>0</v>
      </c>
      <c r="F161" s="34" t="n">
        <f aca="false">IF($A161="","",IF($C161="","⚠ categoria",IFERROR(INDEX(Parâmetros!$D$13:$D$22,MATCH($C161,Parâmetros!$A$13:$A$22,0)),"⚠ categoria")))</f>
        <v>0.13</v>
      </c>
      <c r="G161" s="35"/>
      <c r="H161" s="36" t="n">
        <f aca="false">IF($A161="","",IF(ISNUMBER($G161),$G161,IF(ISNUMBER($F161),$F161,"")))</f>
        <v>0.13</v>
      </c>
      <c r="I161" s="37" t="n">
        <f aca="false">IF(OR($A161="",NOT(ISNUMBER($D161)),NOT(ISNUMBER($H161))),"",IF((1-$H161-Parâmetros!$B$6-Parâmetros!$C$6-Parâmetros!$D$6)&lt;=0,"INVALIDO",($D161+IF(ISNUMBER($E161),$E161,0)+IF(ISNUMBER(Parâmetros!$E$6),Parâmetros!$E$6,0))/(1-$H161-Parâmetros!$B$6-Parâmetros!$C$6-Parâmetros!$D$6)))</f>
        <v>227.592592592593</v>
      </c>
      <c r="J161" s="38" t="n">
        <v>234.12</v>
      </c>
      <c r="K161" s="39" t="n">
        <f aca="false">IF(OR($A161="",NOT(ISNUMBER($D161)),NOT(ISNUMBER($H161))),"",IF(AND(ISNUMBER($J161),$J161&gt;0),$J161,IF(ISNUMBER($I161),$I161,"")))</f>
        <v>234.12</v>
      </c>
      <c r="L161" s="40" t="n">
        <f aca="false">IF(ISNUMBER($K161),$K161*$H161,"")</f>
        <v>30.4356</v>
      </c>
      <c r="M161" s="40" t="n">
        <f aca="false">IF(ISNUMBER($K161),$K161*Parâmetros!$B$6,"")</f>
        <v>23.412</v>
      </c>
      <c r="N161" s="40" t="n">
        <f aca="false">IF(ISNUMBER($K161),$K161*Parâmetros!$C$6,"")</f>
        <v>7.0236</v>
      </c>
      <c r="O161" s="40" t="n">
        <f aca="false">IF(ISNUMBER($K161),IF(ISNUMBER(Parâmetros!$E$6),Parâmetros!$E$6,0),"")</f>
        <v>0</v>
      </c>
      <c r="P161" s="41" t="n">
        <f aca="false">IF(ISNUMBER($K161),$K161-$D161-IF(ISNUMBER($E161),$E161,0)-$L161-$M161-$N161-$O161,"")</f>
        <v>50.3488</v>
      </c>
      <c r="Q161" s="42" t="n">
        <f aca="false">IF(AND(ISNUMBER($K161),$K161&gt;0),$P161/$K161,"")</f>
        <v>0.21505552708013</v>
      </c>
      <c r="R161" s="43"/>
      <c r="S161" s="44" t="str">
        <f aca="false">IF(OR(NOT(ISNUMBER($R161)),$R161=0,NOT(ISNUMBER($K161))),"",$K161*(1-$R161))</f>
        <v/>
      </c>
      <c r="T161" s="45" t="str">
        <f aca="false">IF(ISNUMBER($S161),$S161*$H161,"")</f>
        <v/>
      </c>
      <c r="U161" s="45" t="str">
        <f aca="false">IF(ISNUMBER($S161),$S161*Parâmetros!$B$6,"")</f>
        <v/>
      </c>
      <c r="V161" s="45" t="str">
        <f aca="false">IF(ISNUMBER($S161),$S161*Parâmetros!$C$6,"")</f>
        <v/>
      </c>
      <c r="W161" s="44" t="str">
        <f aca="false">IF(ISNUMBER($S161),$S161-$D161-IF(ISNUMBER($E161),$E161,0)-$O161-$T161-$U161-$V161,"")</f>
        <v/>
      </c>
      <c r="X161" s="46" t="str">
        <f aca="false">IF(AND(ISNUMBER($S161),$S161&gt;0),$W161/$S161,"")</f>
        <v/>
      </c>
      <c r="Y161" s="49" t="s">
        <v>737</v>
      </c>
      <c r="Z161" s="21" t="s">
        <v>747</v>
      </c>
    </row>
    <row r="162" customFormat="false" ht="15.75" hidden="false" customHeight="true" outlineLevel="0" collapsed="false">
      <c r="A162" s="32" t="str">
        <f aca="false">IF(Produtos!$A162="","",Produtos!$A162)</f>
        <v>PG2460</v>
      </c>
      <c r="B162" s="32" t="str">
        <f aca="false">IF(Produtos!$A162="","",Produtos!$B162)</f>
        <v>Porta Guarda-chuvas 24x60</v>
      </c>
      <c r="C162" s="32" t="str">
        <f aca="false">IF(Produtos!$A162="","",Produtos!$C162)</f>
        <v>Porta-guarda-chuvas</v>
      </c>
      <c r="D162" s="33" t="n">
        <f aca="false">IF(Produtos!$A162="","",IF(Produtos!$D162="","",Produtos!$D162))</f>
        <v>124.42</v>
      </c>
      <c r="E162" s="11" t="n">
        <v>0</v>
      </c>
      <c r="F162" s="34" t="n">
        <f aca="false">IF($A162="","",IF($C162="","⚠ categoria",IFERROR(INDEX(Parâmetros!$D$13:$D$22,MATCH($C162,Parâmetros!$A$13:$A$22,0)),"⚠ categoria")))</f>
        <v>0.13</v>
      </c>
      <c r="G162" s="35"/>
      <c r="H162" s="36" t="n">
        <f aca="false">IF($A162="","",IF(ISNUMBER($G162),$G162,IF(ISNUMBER($F162),$F162,"")))</f>
        <v>0.13</v>
      </c>
      <c r="I162" s="37" t="n">
        <f aca="false">IF(OR($A162="",NOT(ISNUMBER($D162)),NOT(ISNUMBER($H162))),"",IF((1-$H162-Parâmetros!$B$6-Parâmetros!$C$6-Parâmetros!$D$6)&lt;=0,"INVALIDO",($D162+IF(ISNUMBER($E162),$E162,0)+IF(ISNUMBER(Parâmetros!$E$6),Parâmetros!$E$6,0))/(1-$H162-Parâmetros!$B$6-Parâmetros!$C$6-Parâmetros!$D$6)))</f>
        <v>230.407407407407</v>
      </c>
      <c r="J162" s="38" t="n">
        <v>248.75</v>
      </c>
      <c r="K162" s="39" t="n">
        <f aca="false">IF(OR($A162="",NOT(ISNUMBER($D162)),NOT(ISNUMBER($H162))),"",IF(AND(ISNUMBER($J162),$J162&gt;0),$J162,IF(ISNUMBER($I162),$I162,"")))</f>
        <v>248.75</v>
      </c>
      <c r="L162" s="40" t="n">
        <f aca="false">IF(ISNUMBER($K162),$K162*$H162,"")</f>
        <v>32.3375</v>
      </c>
      <c r="M162" s="40" t="n">
        <f aca="false">IF(ISNUMBER($K162),$K162*Parâmetros!$B$6,"")</f>
        <v>24.875</v>
      </c>
      <c r="N162" s="40" t="n">
        <f aca="false">IF(ISNUMBER($K162),$K162*Parâmetros!$C$6,"")</f>
        <v>7.4625</v>
      </c>
      <c r="O162" s="40" t="n">
        <f aca="false">IF(ISNUMBER($K162),IF(ISNUMBER(Parâmetros!$E$6),Parâmetros!$E$6,0),"")</f>
        <v>0</v>
      </c>
      <c r="P162" s="41" t="n">
        <f aca="false">IF(ISNUMBER($K162),$K162-$D162-IF(ISNUMBER($E162),$E162,0)-$L162-$M162-$N162-$O162,"")</f>
        <v>59.655</v>
      </c>
      <c r="Q162" s="42" t="n">
        <f aca="false">IF(AND(ISNUMBER($K162),$K162&gt;0),$P162/$K162,"")</f>
        <v>0.239819095477387</v>
      </c>
      <c r="R162" s="43"/>
      <c r="S162" s="44" t="str">
        <f aca="false">IF(OR(NOT(ISNUMBER($R162)),$R162=0,NOT(ISNUMBER($K162))),"",$K162*(1-$R162))</f>
        <v/>
      </c>
      <c r="T162" s="45" t="str">
        <f aca="false">IF(ISNUMBER($S162),$S162*$H162,"")</f>
        <v/>
      </c>
      <c r="U162" s="45" t="str">
        <f aca="false">IF(ISNUMBER($S162),$S162*Parâmetros!$B$6,"")</f>
        <v/>
      </c>
      <c r="V162" s="45" t="str">
        <f aca="false">IF(ISNUMBER($S162),$S162*Parâmetros!$C$6,"")</f>
        <v/>
      </c>
      <c r="W162" s="44" t="str">
        <f aca="false">IF(ISNUMBER($S162),$S162-$D162-IF(ISNUMBER($E162),$E162,0)-$O162-$T162-$U162-$V162,"")</f>
        <v/>
      </c>
      <c r="X162" s="46" t="str">
        <f aca="false">IF(AND(ISNUMBER($S162),$S162&gt;0),$W162/$S162,"")</f>
        <v/>
      </c>
      <c r="Y162" s="47" t="s">
        <v>737</v>
      </c>
      <c r="Z162" s="19" t="s">
        <v>748</v>
      </c>
    </row>
    <row r="163" customFormat="false" ht="15.75" hidden="false" customHeight="true" outlineLevel="0" collapsed="false">
      <c r="A163" s="48" t="str">
        <f aca="false">IF(Produtos!$A163="","",Produtos!$A163)</f>
        <v>PG2470</v>
      </c>
      <c r="B163" s="48" t="str">
        <f aca="false">IF(Produtos!$A163="","",Produtos!$B163)</f>
        <v>Porta Guarda-chuvas 24x70</v>
      </c>
      <c r="C163" s="48" t="str">
        <f aca="false">IF(Produtos!$A163="","",Produtos!$C163)</f>
        <v>Porta-guarda-chuvas</v>
      </c>
      <c r="D163" s="33" t="n">
        <f aca="false">IF(Produtos!$A163="","",IF(Produtos!$D163="","",Produtos!$D163))</f>
        <v>194.41</v>
      </c>
      <c r="E163" s="11" t="n">
        <v>0</v>
      </c>
      <c r="F163" s="34" t="n">
        <f aca="false">IF($A163="","",IF($C163="","⚠ categoria",IFERROR(INDEX(Parâmetros!$D$13:$D$22,MATCH($C163,Parâmetros!$A$13:$A$22,0)),"⚠ categoria")))</f>
        <v>0.13</v>
      </c>
      <c r="G163" s="35"/>
      <c r="H163" s="36" t="n">
        <f aca="false">IF($A163="","",IF(ISNUMBER($G163),$G163,IF(ISNUMBER($F163),$F163,"")))</f>
        <v>0.13</v>
      </c>
      <c r="I163" s="37" t="n">
        <f aca="false">IF(OR($A163="",NOT(ISNUMBER($D163)),NOT(ISNUMBER($H163))),"",IF((1-$H163-Parâmetros!$B$6-Parâmetros!$C$6-Parâmetros!$D$6)&lt;=0,"INVALIDO",($D163+IF(ISNUMBER($E163),$E163,0)+IF(ISNUMBER(Parâmetros!$E$6),Parâmetros!$E$6,0))/(1-$H163-Parâmetros!$B$6-Parâmetros!$C$6-Parâmetros!$D$6)))</f>
        <v>360.018518518519</v>
      </c>
      <c r="J163" s="38" t="n">
        <v>360.6</v>
      </c>
      <c r="K163" s="39" t="n">
        <f aca="false">IF(OR($A163="",NOT(ISNUMBER($D163)),NOT(ISNUMBER($H163))),"",IF(AND(ISNUMBER($J163),$J163&gt;0),$J163,IF(ISNUMBER($I163),$I163,"")))</f>
        <v>360.6</v>
      </c>
      <c r="L163" s="40" t="n">
        <f aca="false">IF(ISNUMBER($K163),$K163*$H163,"")</f>
        <v>46.878</v>
      </c>
      <c r="M163" s="40" t="n">
        <f aca="false">IF(ISNUMBER($K163),$K163*Parâmetros!$B$6,"")</f>
        <v>36.06</v>
      </c>
      <c r="N163" s="40" t="n">
        <f aca="false">IF(ISNUMBER($K163),$K163*Parâmetros!$C$6,"")</f>
        <v>10.818</v>
      </c>
      <c r="O163" s="40" t="n">
        <f aca="false">IF(ISNUMBER($K163),IF(ISNUMBER(Parâmetros!$E$6),Parâmetros!$E$6,0),"")</f>
        <v>0</v>
      </c>
      <c r="P163" s="41" t="n">
        <f aca="false">IF(ISNUMBER($K163),$K163-$D163-IF(ISNUMBER($E163),$E163,0)-$L163-$M163-$N163-$O163,"")</f>
        <v>72.434</v>
      </c>
      <c r="Q163" s="42" t="n">
        <f aca="false">IF(AND(ISNUMBER($K163),$K163&gt;0),$P163/$K163,"")</f>
        <v>0.200870770937327</v>
      </c>
      <c r="R163" s="43"/>
      <c r="S163" s="44" t="str">
        <f aca="false">IF(OR(NOT(ISNUMBER($R163)),$R163=0,NOT(ISNUMBER($K163))),"",$K163*(1-$R163))</f>
        <v/>
      </c>
      <c r="T163" s="45" t="str">
        <f aca="false">IF(ISNUMBER($S163),$S163*$H163,"")</f>
        <v/>
      </c>
      <c r="U163" s="45" t="str">
        <f aca="false">IF(ISNUMBER($S163),$S163*Parâmetros!$B$6,"")</f>
        <v/>
      </c>
      <c r="V163" s="45" t="str">
        <f aca="false">IF(ISNUMBER($S163),$S163*Parâmetros!$C$6,"")</f>
        <v/>
      </c>
      <c r="W163" s="44" t="str">
        <f aca="false">IF(ISNUMBER($S163),$S163-$D163-IF(ISNUMBER($E163),$E163,0)-$O163-$T163-$U163-$V163,"")</f>
        <v/>
      </c>
      <c r="X163" s="46" t="str">
        <f aca="false">IF(AND(ISNUMBER($S163),$S163&gt;0),$W163/$S163,"")</f>
        <v/>
      </c>
      <c r="Y163" s="49" t="s">
        <v>737</v>
      </c>
      <c r="Z163" s="21" t="s">
        <v>748</v>
      </c>
    </row>
    <row r="164" customFormat="false" ht="15.75" hidden="false" customHeight="true" outlineLevel="0" collapsed="false">
      <c r="A164" s="32" t="str">
        <f aca="false">IF(Produtos!$A164="","",Produtos!$A164)</f>
        <v>PG3060</v>
      </c>
      <c r="B164" s="32" t="str">
        <f aca="false">IF(Produtos!$A164="","",Produtos!$B164)</f>
        <v>Porta Guarda-chuvas 30x60</v>
      </c>
      <c r="C164" s="32" t="str">
        <f aca="false">IF(Produtos!$A164="","",Produtos!$C164)</f>
        <v>Porta-guarda-chuvas</v>
      </c>
      <c r="D164" s="33" t="n">
        <f aca="false">IF(Produtos!$A164="","",IF(Produtos!$D164="","",Produtos!$D164))</f>
        <v>170.08</v>
      </c>
      <c r="E164" s="11" t="n">
        <v>0</v>
      </c>
      <c r="F164" s="34" t="n">
        <f aca="false">IF($A164="","",IF($C164="","⚠ categoria",IFERROR(INDEX(Parâmetros!$D$13:$D$22,MATCH($C164,Parâmetros!$A$13:$A$22,0)),"⚠ categoria")))</f>
        <v>0.13</v>
      </c>
      <c r="G164" s="35"/>
      <c r="H164" s="36" t="n">
        <f aca="false">IF($A164="","",IF(ISNUMBER($G164),$G164,IF(ISNUMBER($F164),$F164,"")))</f>
        <v>0.13</v>
      </c>
      <c r="I164" s="37" t="n">
        <f aca="false">IF(OR($A164="",NOT(ISNUMBER($D164)),NOT(ISNUMBER($H164))),"",IF((1-$H164-Parâmetros!$B$6-Parâmetros!$C$6-Parâmetros!$D$6)&lt;=0,"INVALIDO",($D164+IF(ISNUMBER($E164),$E164,0)+IF(ISNUMBER(Parâmetros!$E$6),Parâmetros!$E$6,0))/(1-$H164-Parâmetros!$B$6-Parâmetros!$C$6-Parâmetros!$D$6)))</f>
        <v>314.962962962963</v>
      </c>
      <c r="J164" s="38" t="n">
        <v>321.21</v>
      </c>
      <c r="K164" s="39" t="n">
        <f aca="false">IF(OR($A164="",NOT(ISNUMBER($D164)),NOT(ISNUMBER($H164))),"",IF(AND(ISNUMBER($J164),$J164&gt;0),$J164,IF(ISNUMBER($I164),$I164,"")))</f>
        <v>321.21</v>
      </c>
      <c r="L164" s="40" t="n">
        <f aca="false">IF(ISNUMBER($K164),$K164*$H164,"")</f>
        <v>41.7573</v>
      </c>
      <c r="M164" s="40" t="n">
        <f aca="false">IF(ISNUMBER($K164),$K164*Parâmetros!$B$6,"")</f>
        <v>32.121</v>
      </c>
      <c r="N164" s="40" t="n">
        <f aca="false">IF(ISNUMBER($K164),$K164*Parâmetros!$C$6,"")</f>
        <v>9.6363</v>
      </c>
      <c r="O164" s="40" t="n">
        <f aca="false">IF(ISNUMBER($K164),IF(ISNUMBER(Parâmetros!$E$6),Parâmetros!$E$6,0),"")</f>
        <v>0</v>
      </c>
      <c r="P164" s="41" t="n">
        <f aca="false">IF(ISNUMBER($K164),$K164-$D164-IF(ISNUMBER($E164),$E164,0)-$L164-$M164-$N164-$O164,"")</f>
        <v>67.6154</v>
      </c>
      <c r="Q164" s="42" t="n">
        <f aca="false">IF(AND(ISNUMBER($K164),$K164&gt;0),$P164/$K164,"")</f>
        <v>0.210502163693534</v>
      </c>
      <c r="R164" s="43"/>
      <c r="S164" s="44" t="str">
        <f aca="false">IF(OR(NOT(ISNUMBER($R164)),$R164=0,NOT(ISNUMBER($K164))),"",$K164*(1-$R164))</f>
        <v/>
      </c>
      <c r="T164" s="45" t="str">
        <f aca="false">IF(ISNUMBER($S164),$S164*$H164,"")</f>
        <v/>
      </c>
      <c r="U164" s="45" t="str">
        <f aca="false">IF(ISNUMBER($S164),$S164*Parâmetros!$B$6,"")</f>
        <v/>
      </c>
      <c r="V164" s="45" t="str">
        <f aca="false">IF(ISNUMBER($S164),$S164*Parâmetros!$C$6,"")</f>
        <v/>
      </c>
      <c r="W164" s="44" t="str">
        <f aca="false">IF(ISNUMBER($S164),$S164-$D164-IF(ISNUMBER($E164),$E164,0)-$O164-$T164-$U164-$V164,"")</f>
        <v/>
      </c>
      <c r="X164" s="46" t="str">
        <f aca="false">IF(AND(ISNUMBER($S164),$S164&gt;0),$W164/$S164,"")</f>
        <v/>
      </c>
      <c r="Y164" s="47" t="s">
        <v>737</v>
      </c>
      <c r="Z164" s="19" t="s">
        <v>748</v>
      </c>
    </row>
    <row r="165" customFormat="false" ht="15.75" hidden="false" customHeight="true" outlineLevel="0" collapsed="false">
      <c r="A165" s="48" t="str">
        <f aca="false">IF(Produtos!$A165="","",Produtos!$A165)</f>
        <v>PG3070</v>
      </c>
      <c r="B165" s="48" t="str">
        <f aca="false">IF(Produtos!$A165="","",Produtos!$B165)</f>
        <v>Porta Guarda-chuvas 30x70</v>
      </c>
      <c r="C165" s="48" t="str">
        <f aca="false">IF(Produtos!$A165="","",Produtos!$C165)</f>
        <v>Porta-guarda-chuvas</v>
      </c>
      <c r="D165" s="33" t="n">
        <f aca="false">IF(Produtos!$A165="","",IF(Produtos!$D165="","",Produtos!$D165))</f>
        <v>232.51</v>
      </c>
      <c r="E165" s="11" t="n">
        <v>0</v>
      </c>
      <c r="F165" s="34" t="n">
        <f aca="false">IF($A165="","",IF($C165="","⚠ categoria",IFERROR(INDEX(Parâmetros!$D$13:$D$22,MATCH($C165,Parâmetros!$A$13:$A$22,0)),"⚠ categoria")))</f>
        <v>0.13</v>
      </c>
      <c r="G165" s="35"/>
      <c r="H165" s="36" t="n">
        <f aca="false">IF($A165="","",IF(ISNUMBER($G165),$G165,IF(ISNUMBER($F165),$F165,"")))</f>
        <v>0.13</v>
      </c>
      <c r="I165" s="37" t="n">
        <f aca="false">IF(OR($A165="",NOT(ISNUMBER($D165)),NOT(ISNUMBER($H165))),"",IF((1-$H165-Parâmetros!$B$6-Parâmetros!$C$6-Parâmetros!$D$6)&lt;=0,"INVALIDO",($D165+IF(ISNUMBER($E165),$E165,0)+IF(ISNUMBER(Parâmetros!$E$6),Parâmetros!$E$6,0))/(1-$H165-Parâmetros!$B$6-Parâmetros!$C$6-Parâmetros!$D$6)))</f>
        <v>430.574074074074</v>
      </c>
      <c r="J165" s="38" t="n">
        <v>451.17</v>
      </c>
      <c r="K165" s="39" t="n">
        <f aca="false">IF(OR($A165="",NOT(ISNUMBER($D165)),NOT(ISNUMBER($H165))),"",IF(AND(ISNUMBER($J165),$J165&gt;0),$J165,IF(ISNUMBER($I165),$I165,"")))</f>
        <v>451.17</v>
      </c>
      <c r="L165" s="40" t="n">
        <f aca="false">IF(ISNUMBER($K165),$K165*$H165,"")</f>
        <v>58.6521</v>
      </c>
      <c r="M165" s="40" t="n">
        <f aca="false">IF(ISNUMBER($K165),$K165*Parâmetros!$B$6,"")</f>
        <v>45.117</v>
      </c>
      <c r="N165" s="40" t="n">
        <f aca="false">IF(ISNUMBER($K165),$K165*Parâmetros!$C$6,"")</f>
        <v>13.5351</v>
      </c>
      <c r="O165" s="40" t="n">
        <f aca="false">IF(ISNUMBER($K165),IF(ISNUMBER(Parâmetros!$E$6),Parâmetros!$E$6,0),"")</f>
        <v>0</v>
      </c>
      <c r="P165" s="41" t="n">
        <f aca="false">IF(ISNUMBER($K165),$K165-$D165-IF(ISNUMBER($E165),$E165,0)-$L165-$M165-$N165-$O165,"")</f>
        <v>101.3558</v>
      </c>
      <c r="Q165" s="42" t="n">
        <f aca="false">IF(AND(ISNUMBER($K165),$K165&gt;0),$P165/$K165,"")</f>
        <v>0.224651018463107</v>
      </c>
      <c r="R165" s="43"/>
      <c r="S165" s="44" t="str">
        <f aca="false">IF(OR(NOT(ISNUMBER($R165)),$R165=0,NOT(ISNUMBER($K165))),"",$K165*(1-$R165))</f>
        <v/>
      </c>
      <c r="T165" s="45" t="str">
        <f aca="false">IF(ISNUMBER($S165),$S165*$H165,"")</f>
        <v/>
      </c>
      <c r="U165" s="45" t="str">
        <f aca="false">IF(ISNUMBER($S165),$S165*Parâmetros!$B$6,"")</f>
        <v/>
      </c>
      <c r="V165" s="45" t="str">
        <f aca="false">IF(ISNUMBER($S165),$S165*Parâmetros!$C$6,"")</f>
        <v/>
      </c>
      <c r="W165" s="44" t="str">
        <f aca="false">IF(ISNUMBER($S165),$S165-$D165-IF(ISNUMBER($E165),$E165,0)-$O165-$T165-$U165-$V165,"")</f>
        <v/>
      </c>
      <c r="X165" s="46" t="str">
        <f aca="false">IF(AND(ISNUMBER($S165),$S165&gt;0),$W165/$S165,"")</f>
        <v/>
      </c>
      <c r="Y165" s="49" t="s">
        <v>737</v>
      </c>
      <c r="Z165" s="21" t="s">
        <v>748</v>
      </c>
    </row>
    <row r="166" customFormat="false" ht="15.75" hidden="false" customHeight="true" outlineLevel="0" collapsed="false">
      <c r="A166" s="32" t="str">
        <f aca="false">IF(Produtos!$A166="","",Produtos!$A166)</f>
        <v>PG4050</v>
      </c>
      <c r="B166" s="32" t="str">
        <f aca="false">IF(Produtos!$A166="","",Produtos!$B166)</f>
        <v>Porta Guarda-chuvas 40x50</v>
      </c>
      <c r="C166" s="32" t="str">
        <f aca="false">IF(Produtos!$A166="","",Produtos!$C166)</f>
        <v>Porta-guarda-chuvas</v>
      </c>
      <c r="D166" s="33" t="n">
        <f aca="false">IF(Produtos!$A166="","",IF(Produtos!$D166="","",Produtos!$D166))</f>
        <v>228.9</v>
      </c>
      <c r="E166" s="11" t="n">
        <v>0</v>
      </c>
      <c r="F166" s="34" t="n">
        <f aca="false">IF($A166="","",IF($C166="","⚠ categoria",IFERROR(INDEX(Parâmetros!$D$13:$D$22,MATCH($C166,Parâmetros!$A$13:$A$22,0)),"⚠ categoria")))</f>
        <v>0.13</v>
      </c>
      <c r="G166" s="35"/>
      <c r="H166" s="36" t="n">
        <f aca="false">IF($A166="","",IF(ISNUMBER($G166),$G166,IF(ISNUMBER($F166),$F166,"")))</f>
        <v>0.13</v>
      </c>
      <c r="I166" s="37" t="n">
        <f aca="false">IF(OR($A166="",NOT(ISNUMBER($D166)),NOT(ISNUMBER($H166))),"",IF((1-$H166-Parâmetros!$B$6-Parâmetros!$C$6-Parâmetros!$D$6)&lt;=0,"INVALIDO",($D166+IF(ISNUMBER($E166),$E166,0)+IF(ISNUMBER(Parâmetros!$E$6),Parâmetros!$E$6,0))/(1-$H166-Parâmetros!$B$6-Parâmetros!$C$6-Parâmetros!$D$6)))</f>
        <v>423.888888888889</v>
      </c>
      <c r="J166" s="38" t="n">
        <v>460.12</v>
      </c>
      <c r="K166" s="39" t="n">
        <f aca="false">IF(OR($A166="",NOT(ISNUMBER($D166)),NOT(ISNUMBER($H166))),"",IF(AND(ISNUMBER($J166),$J166&gt;0),$J166,IF(ISNUMBER($I166),$I166,"")))</f>
        <v>460.12</v>
      </c>
      <c r="L166" s="40" t="n">
        <f aca="false">IF(ISNUMBER($K166),$K166*$H166,"")</f>
        <v>59.8156</v>
      </c>
      <c r="M166" s="40" t="n">
        <f aca="false">IF(ISNUMBER($K166),$K166*Parâmetros!$B$6,"")</f>
        <v>46.012</v>
      </c>
      <c r="N166" s="40" t="n">
        <f aca="false">IF(ISNUMBER($K166),$K166*Parâmetros!$C$6,"")</f>
        <v>13.8036</v>
      </c>
      <c r="O166" s="40" t="n">
        <f aca="false">IF(ISNUMBER($K166),IF(ISNUMBER(Parâmetros!$E$6),Parâmetros!$E$6,0),"")</f>
        <v>0</v>
      </c>
      <c r="P166" s="41" t="n">
        <f aca="false">IF(ISNUMBER($K166),$K166-$D166-IF(ISNUMBER($E166),$E166,0)-$L166-$M166-$N166-$O166,"")</f>
        <v>111.5888</v>
      </c>
      <c r="Q166" s="42" t="n">
        <f aca="false">IF(AND(ISNUMBER($K166),$K166&gt;0),$P166/$K166,"")</f>
        <v>0.242521081457011</v>
      </c>
      <c r="R166" s="43"/>
      <c r="S166" s="44" t="str">
        <f aca="false">IF(OR(NOT(ISNUMBER($R166)),$R166=0,NOT(ISNUMBER($K166))),"",$K166*(1-$R166))</f>
        <v/>
      </c>
      <c r="T166" s="45" t="str">
        <f aca="false">IF(ISNUMBER($S166),$S166*$H166,"")</f>
        <v/>
      </c>
      <c r="U166" s="45" t="str">
        <f aca="false">IF(ISNUMBER($S166),$S166*Parâmetros!$B$6,"")</f>
        <v/>
      </c>
      <c r="V166" s="45" t="str">
        <f aca="false">IF(ISNUMBER($S166),$S166*Parâmetros!$C$6,"")</f>
        <v/>
      </c>
      <c r="W166" s="44" t="str">
        <f aca="false">IF(ISNUMBER($S166),$S166-$D166-IF(ISNUMBER($E166),$E166,0)-$O166-$T166-$U166-$V166,"")</f>
        <v/>
      </c>
      <c r="X166" s="46" t="str">
        <f aca="false">IF(AND(ISNUMBER($S166),$S166&gt;0),$W166/$S166,"")</f>
        <v/>
      </c>
      <c r="Y166" s="47" t="s">
        <v>737</v>
      </c>
      <c r="Z166" s="19" t="s">
        <v>748</v>
      </c>
    </row>
    <row r="167" customFormat="false" ht="15.75" hidden="false" customHeight="true" outlineLevel="0" collapsed="false">
      <c r="A167" s="48" t="str">
        <f aca="false">IF(Produtos!$A167="","",Produtos!$A167)</f>
        <v>PG4060</v>
      </c>
      <c r="B167" s="48" t="str">
        <f aca="false">IF(Produtos!$A167="","",Produtos!$B167)</f>
        <v>Porta Guarda-chuvas 40x60</v>
      </c>
      <c r="C167" s="48" t="str">
        <f aca="false">IF(Produtos!$A167="","",Produtos!$C167)</f>
        <v>Porta-guarda-chuvas</v>
      </c>
      <c r="D167" s="33" t="n">
        <f aca="false">IF(Produtos!$A167="","",IF(Produtos!$D167="","",Produtos!$D167))</f>
        <v>265.85</v>
      </c>
      <c r="E167" s="11" t="n">
        <v>0</v>
      </c>
      <c r="F167" s="34" t="n">
        <f aca="false">IF($A167="","",IF($C167="","⚠ categoria",IFERROR(INDEX(Parâmetros!$D$13:$D$22,MATCH($C167,Parâmetros!$A$13:$A$22,0)),"⚠ categoria")))</f>
        <v>0.13</v>
      </c>
      <c r="G167" s="35"/>
      <c r="H167" s="36" t="n">
        <f aca="false">IF($A167="","",IF(ISNUMBER($G167),$G167,IF(ISNUMBER($F167),$F167,"")))</f>
        <v>0.13</v>
      </c>
      <c r="I167" s="37" t="n">
        <f aca="false">IF(OR($A167="",NOT(ISNUMBER($D167)),NOT(ISNUMBER($H167))),"",IF((1-$H167-Parâmetros!$B$6-Parâmetros!$C$6-Parâmetros!$D$6)&lt;=0,"INVALIDO",($D167+IF(ISNUMBER($E167),$E167,0)+IF(ISNUMBER(Parâmetros!$E$6),Parâmetros!$E$6,0))/(1-$H167-Parâmetros!$B$6-Parâmetros!$C$6-Parâmetros!$D$6)))</f>
        <v>492.314814814815</v>
      </c>
      <c r="J167" s="38"/>
      <c r="K167" s="39" t="n">
        <f aca="false">IF(OR($A167="",NOT(ISNUMBER($D167)),NOT(ISNUMBER($H167))),"",IF(AND(ISNUMBER($J167),$J167&gt;0),$J167,IF(ISNUMBER($I167),$I167,"")))</f>
        <v>492.314814814815</v>
      </c>
      <c r="L167" s="40" t="n">
        <f aca="false">IF(ISNUMBER($K167),$K167*$H167,"")</f>
        <v>64.0009259259259</v>
      </c>
      <c r="M167" s="40" t="n">
        <f aca="false">IF(ISNUMBER($K167),$K167*Parâmetros!$B$6,"")</f>
        <v>49.2314814814815</v>
      </c>
      <c r="N167" s="40" t="n">
        <f aca="false">IF(ISNUMBER($K167),$K167*Parâmetros!$C$6,"")</f>
        <v>14.7694444444444</v>
      </c>
      <c r="O167" s="40" t="n">
        <f aca="false">IF(ISNUMBER($K167),IF(ISNUMBER(Parâmetros!$E$6),Parâmetros!$E$6,0),"")</f>
        <v>0</v>
      </c>
      <c r="P167" s="41" t="n">
        <f aca="false">IF(ISNUMBER($K167),$K167-$D167-IF(ISNUMBER($E167),$E167,0)-$L167-$M167-$N167-$O167,"")</f>
        <v>98.462962962963</v>
      </c>
      <c r="Q167" s="42" t="n">
        <f aca="false">IF(AND(ISNUMBER($K167),$K167&gt;0),$P167/$K167,"")</f>
        <v>0.2</v>
      </c>
      <c r="R167" s="43"/>
      <c r="S167" s="44" t="str">
        <f aca="false">IF(OR(NOT(ISNUMBER($R167)),$R167=0,NOT(ISNUMBER($K167))),"",$K167*(1-$R167))</f>
        <v/>
      </c>
      <c r="T167" s="45" t="str">
        <f aca="false">IF(ISNUMBER($S167),$S167*$H167,"")</f>
        <v/>
      </c>
      <c r="U167" s="45" t="str">
        <f aca="false">IF(ISNUMBER($S167),$S167*Parâmetros!$B$6,"")</f>
        <v/>
      </c>
      <c r="V167" s="45" t="str">
        <f aca="false">IF(ISNUMBER($S167),$S167*Parâmetros!$C$6,"")</f>
        <v/>
      </c>
      <c r="W167" s="44" t="str">
        <f aca="false">IF(ISNUMBER($S167),$S167-$D167-IF(ISNUMBER($E167),$E167,0)-$O167-$T167-$U167-$V167,"")</f>
        <v/>
      </c>
      <c r="X167" s="46" t="str">
        <f aca="false">IF(AND(ISNUMBER($S167),$S167&gt;0),$W167/$S167,"")</f>
        <v/>
      </c>
      <c r="Y167" s="49"/>
      <c r="Z167" s="21"/>
    </row>
    <row r="168" customFormat="false" ht="15.75" hidden="false" customHeight="true" outlineLevel="0" collapsed="false">
      <c r="A168" s="32" t="str">
        <f aca="false">IF(Produtos!$A168="","",Produtos!$A168)</f>
        <v>PG4070</v>
      </c>
      <c r="B168" s="32" t="str">
        <f aca="false">IF(Produtos!$A168="","",Produtos!$B168)</f>
        <v>Porta Guarda-chuvas 40x70</v>
      </c>
      <c r="C168" s="32" t="str">
        <f aca="false">IF(Produtos!$A168="","",Produtos!$C168)</f>
        <v>Porta-guarda-chuvas</v>
      </c>
      <c r="D168" s="33" t="n">
        <f aca="false">IF(Produtos!$A168="","",IF(Produtos!$D168="","",Produtos!$D168))</f>
        <v>267.68</v>
      </c>
      <c r="E168" s="11" t="n">
        <v>0</v>
      </c>
      <c r="F168" s="34" t="n">
        <f aca="false">IF($A168="","",IF($C168="","⚠ categoria",IFERROR(INDEX(Parâmetros!$D$13:$D$22,MATCH($C168,Parâmetros!$A$13:$A$22,0)),"⚠ categoria")))</f>
        <v>0.13</v>
      </c>
      <c r="G168" s="35"/>
      <c r="H168" s="36" t="n">
        <f aca="false">IF($A168="","",IF(ISNUMBER($G168),$G168,IF(ISNUMBER($F168),$F168,"")))</f>
        <v>0.13</v>
      </c>
      <c r="I168" s="37" t="n">
        <f aca="false">IF(OR($A168="",NOT(ISNUMBER($D168)),NOT(ISNUMBER($H168))),"",IF((1-$H168-Parâmetros!$B$6-Parâmetros!$C$6-Parâmetros!$D$6)&lt;=0,"INVALIDO",($D168+IF(ISNUMBER($E168),$E168,0)+IF(ISNUMBER(Parâmetros!$E$6),Parâmetros!$E$6,0))/(1-$H168-Parâmetros!$B$6-Parâmetros!$C$6-Parâmetros!$D$6)))</f>
        <v>495.703703703704</v>
      </c>
      <c r="J168" s="38"/>
      <c r="K168" s="39" t="n">
        <f aca="false">IF(OR($A168="",NOT(ISNUMBER($D168)),NOT(ISNUMBER($H168))),"",IF(AND(ISNUMBER($J168),$J168&gt;0),$J168,IF(ISNUMBER($I168),$I168,"")))</f>
        <v>495.703703703704</v>
      </c>
      <c r="L168" s="40" t="n">
        <f aca="false">IF(ISNUMBER($K168),$K168*$H168,"")</f>
        <v>64.4414814814815</v>
      </c>
      <c r="M168" s="40" t="n">
        <f aca="false">IF(ISNUMBER($K168),$K168*Parâmetros!$B$6,"")</f>
        <v>49.5703703703704</v>
      </c>
      <c r="N168" s="40" t="n">
        <f aca="false">IF(ISNUMBER($K168),$K168*Parâmetros!$C$6,"")</f>
        <v>14.8711111111111</v>
      </c>
      <c r="O168" s="40" t="n">
        <f aca="false">IF(ISNUMBER($K168),IF(ISNUMBER(Parâmetros!$E$6),Parâmetros!$E$6,0),"")</f>
        <v>0</v>
      </c>
      <c r="P168" s="41" t="n">
        <f aca="false">IF(ISNUMBER($K168),$K168-$D168-IF(ISNUMBER($E168),$E168,0)-$L168-$M168-$N168-$O168,"")</f>
        <v>99.1407407407407</v>
      </c>
      <c r="Q168" s="42" t="n">
        <f aca="false">IF(AND(ISNUMBER($K168),$K168&gt;0),$P168/$K168,"")</f>
        <v>0.2</v>
      </c>
      <c r="R168" s="43"/>
      <c r="S168" s="44" t="str">
        <f aca="false">IF(OR(NOT(ISNUMBER($R168)),$R168=0,NOT(ISNUMBER($K168))),"",$K168*(1-$R168))</f>
        <v/>
      </c>
      <c r="T168" s="45" t="str">
        <f aca="false">IF(ISNUMBER($S168),$S168*$H168,"")</f>
        <v/>
      </c>
      <c r="U168" s="45" t="str">
        <f aca="false">IF(ISNUMBER($S168),$S168*Parâmetros!$B$6,"")</f>
        <v/>
      </c>
      <c r="V168" s="45" t="str">
        <f aca="false">IF(ISNUMBER($S168),$S168*Parâmetros!$C$6,"")</f>
        <v/>
      </c>
      <c r="W168" s="44" t="str">
        <f aca="false">IF(ISNUMBER($S168),$S168-$D168-IF(ISNUMBER($E168),$E168,0)-$O168-$T168-$U168-$V168,"")</f>
        <v/>
      </c>
      <c r="X168" s="46" t="str">
        <f aca="false">IF(AND(ISNUMBER($S168),$S168&gt;0),$W168/$S168,"")</f>
        <v/>
      </c>
      <c r="Y168" s="47"/>
      <c r="Z168" s="19"/>
    </row>
    <row r="169" customFormat="false" ht="15.75" hidden="false" customHeight="true" outlineLevel="0" collapsed="false">
      <c r="A169" s="48" t="str">
        <f aca="false">IF(Produtos!$A169="","",Produtos!$A169)</f>
        <v>PG4080</v>
      </c>
      <c r="B169" s="48" t="str">
        <f aca="false">IF(Produtos!$A169="","",Produtos!$B169)</f>
        <v>Porta Guarda-chuvas 40x80</v>
      </c>
      <c r="C169" s="48" t="str">
        <f aca="false">IF(Produtos!$A169="","",Produtos!$C169)</f>
        <v>Porta-guarda-chuvas</v>
      </c>
      <c r="D169" s="33" t="n">
        <f aca="false">IF(Produtos!$A169="","",IF(Produtos!$D169="","",Produtos!$D169))</f>
        <v>329.27</v>
      </c>
      <c r="E169" s="11" t="n">
        <v>0</v>
      </c>
      <c r="F169" s="34" t="n">
        <f aca="false">IF($A169="","",IF($C169="","⚠ categoria",IFERROR(INDEX(Parâmetros!$D$13:$D$22,MATCH($C169,Parâmetros!$A$13:$A$22,0)),"⚠ categoria")))</f>
        <v>0.13</v>
      </c>
      <c r="G169" s="35"/>
      <c r="H169" s="36" t="n">
        <f aca="false">IF($A169="","",IF(ISNUMBER($G169),$G169,IF(ISNUMBER($F169),$F169,"")))</f>
        <v>0.13</v>
      </c>
      <c r="I169" s="37" t="n">
        <f aca="false">IF(OR($A169="",NOT(ISNUMBER($D169)),NOT(ISNUMBER($H169))),"",IF((1-$H169-Parâmetros!$B$6-Parâmetros!$C$6-Parâmetros!$D$6)&lt;=0,"INVALIDO",($D169+IF(ISNUMBER($E169),$E169,0)+IF(ISNUMBER(Parâmetros!$E$6),Parâmetros!$E$6,0))/(1-$H169-Parâmetros!$B$6-Parâmetros!$C$6-Parâmetros!$D$6)))</f>
        <v>609.759259259259</v>
      </c>
      <c r="J169" s="38" t="n">
        <v>639.57</v>
      </c>
      <c r="K169" s="39" t="n">
        <f aca="false">IF(OR($A169="",NOT(ISNUMBER($D169)),NOT(ISNUMBER($H169))),"",IF(AND(ISNUMBER($J169),$J169&gt;0),$J169,IF(ISNUMBER($I169),$I169,"")))</f>
        <v>639.57</v>
      </c>
      <c r="L169" s="40" t="n">
        <f aca="false">IF(ISNUMBER($K169),$K169*$H169,"")</f>
        <v>83.1441</v>
      </c>
      <c r="M169" s="40" t="n">
        <f aca="false">IF(ISNUMBER($K169),$K169*Parâmetros!$B$6,"")</f>
        <v>63.957</v>
      </c>
      <c r="N169" s="40" t="n">
        <f aca="false">IF(ISNUMBER($K169),$K169*Parâmetros!$C$6,"")</f>
        <v>19.1871</v>
      </c>
      <c r="O169" s="40" t="n">
        <f aca="false">IF(ISNUMBER($K169),IF(ISNUMBER(Parâmetros!$E$6),Parâmetros!$E$6,0),"")</f>
        <v>0</v>
      </c>
      <c r="P169" s="41" t="n">
        <f aca="false">IF(ISNUMBER($K169),$K169-$D169-IF(ISNUMBER($E169),$E169,0)-$L169-$M169-$N169-$O169,"")</f>
        <v>144.0118</v>
      </c>
      <c r="Q169" s="42" t="n">
        <f aca="false">IF(AND(ISNUMBER($K169),$K169&gt;0),$P169/$K169,"")</f>
        <v>0.225169723407915</v>
      </c>
      <c r="R169" s="43"/>
      <c r="S169" s="44" t="str">
        <f aca="false">IF(OR(NOT(ISNUMBER($R169)),$R169=0,NOT(ISNUMBER($K169))),"",$K169*(1-$R169))</f>
        <v/>
      </c>
      <c r="T169" s="45" t="str">
        <f aca="false">IF(ISNUMBER($S169),$S169*$H169,"")</f>
        <v/>
      </c>
      <c r="U169" s="45" t="str">
        <f aca="false">IF(ISNUMBER($S169),$S169*Parâmetros!$B$6,"")</f>
        <v/>
      </c>
      <c r="V169" s="45" t="str">
        <f aca="false">IF(ISNUMBER($S169),$S169*Parâmetros!$C$6,"")</f>
        <v/>
      </c>
      <c r="W169" s="44" t="str">
        <f aca="false">IF(ISNUMBER($S169),$S169-$D169-IF(ISNUMBER($E169),$E169,0)-$O169-$T169-$U169-$V169,"")</f>
        <v/>
      </c>
      <c r="X169" s="46" t="str">
        <f aca="false">IF(AND(ISNUMBER($S169),$S169&gt;0),$W169/$S169,"")</f>
        <v/>
      </c>
      <c r="Y169" s="49" t="s">
        <v>737</v>
      </c>
      <c r="Z169" s="21" t="s">
        <v>749</v>
      </c>
    </row>
    <row r="170" customFormat="false" ht="15.75" hidden="false" customHeight="true" outlineLevel="0" collapsed="false">
      <c r="A170" s="32" t="str">
        <f aca="false">IF(Produtos!$A170="","",Produtos!$A170)</f>
        <v>PG4085</v>
      </c>
      <c r="B170" s="32" t="str">
        <f aca="false">IF(Produtos!$A170="","",Produtos!$B170)</f>
        <v>Porta Guarda-chuvas 40x85 105L</v>
      </c>
      <c r="C170" s="32" t="str">
        <f aca="false">IF(Produtos!$A170="","",Produtos!$C170)</f>
        <v>Porta-guarda-chuvas</v>
      </c>
      <c r="D170" s="33" t="n">
        <f aca="false">IF(Produtos!$A170="","",IF(Produtos!$D170="","",Produtos!$D170))</f>
        <v>331.32</v>
      </c>
      <c r="E170" s="11" t="n">
        <v>0</v>
      </c>
      <c r="F170" s="34" t="n">
        <f aca="false">IF($A170="","",IF($C170="","⚠ categoria",IFERROR(INDEX(Parâmetros!$D$13:$D$22,MATCH($C170,Parâmetros!$A$13:$A$22,0)),"⚠ categoria")))</f>
        <v>0.13</v>
      </c>
      <c r="G170" s="35"/>
      <c r="H170" s="36" t="n">
        <f aca="false">IF($A170="","",IF(ISNUMBER($G170),$G170,IF(ISNUMBER($F170),$F170,"")))</f>
        <v>0.13</v>
      </c>
      <c r="I170" s="37" t="n">
        <f aca="false">IF(OR($A170="",NOT(ISNUMBER($D170)),NOT(ISNUMBER($H170))),"",IF((1-$H170-Parâmetros!$B$6-Parâmetros!$C$6-Parâmetros!$D$6)&lt;=0,"INVALIDO",($D170+IF(ISNUMBER($E170),$E170,0)+IF(ISNUMBER(Parâmetros!$E$6),Parâmetros!$E$6,0))/(1-$H170-Parâmetros!$B$6-Parâmetros!$C$6-Parâmetros!$D$6)))</f>
        <v>613.555555555556</v>
      </c>
      <c r="J170" s="38"/>
      <c r="K170" s="39" t="n">
        <f aca="false">IF(OR($A170="",NOT(ISNUMBER($D170)),NOT(ISNUMBER($H170))),"",IF(AND(ISNUMBER($J170),$J170&gt;0),$J170,IF(ISNUMBER($I170),$I170,"")))</f>
        <v>613.555555555556</v>
      </c>
      <c r="L170" s="40" t="n">
        <f aca="false">IF(ISNUMBER($K170),$K170*$H170,"")</f>
        <v>79.7622222222222</v>
      </c>
      <c r="M170" s="40" t="n">
        <f aca="false">IF(ISNUMBER($K170),$K170*Parâmetros!$B$6,"")</f>
        <v>61.3555555555556</v>
      </c>
      <c r="N170" s="40" t="n">
        <f aca="false">IF(ISNUMBER($K170),$K170*Parâmetros!$C$6,"")</f>
        <v>18.4066666666667</v>
      </c>
      <c r="O170" s="40" t="n">
        <f aca="false">IF(ISNUMBER($K170),IF(ISNUMBER(Parâmetros!$E$6),Parâmetros!$E$6,0),"")</f>
        <v>0</v>
      </c>
      <c r="P170" s="41" t="n">
        <f aca="false">IF(ISNUMBER($K170),$K170-$D170-IF(ISNUMBER($E170),$E170,0)-$L170-$M170-$N170-$O170,"")</f>
        <v>122.711111111111</v>
      </c>
      <c r="Q170" s="42" t="n">
        <f aca="false">IF(AND(ISNUMBER($K170),$K170&gt;0),$P170/$K170,"")</f>
        <v>0.2</v>
      </c>
      <c r="R170" s="43"/>
      <c r="S170" s="44" t="str">
        <f aca="false">IF(OR(NOT(ISNUMBER($R170)),$R170=0,NOT(ISNUMBER($K170))),"",$K170*(1-$R170))</f>
        <v/>
      </c>
      <c r="T170" s="45" t="str">
        <f aca="false">IF(ISNUMBER($S170),$S170*$H170,"")</f>
        <v/>
      </c>
      <c r="U170" s="45" t="str">
        <f aca="false">IF(ISNUMBER($S170),$S170*Parâmetros!$B$6,"")</f>
        <v/>
      </c>
      <c r="V170" s="45" t="str">
        <f aca="false">IF(ISNUMBER($S170),$S170*Parâmetros!$C$6,"")</f>
        <v/>
      </c>
      <c r="W170" s="44" t="str">
        <f aca="false">IF(ISNUMBER($S170),$S170-$D170-IF(ISNUMBER($E170),$E170,0)-$O170-$T170-$U170-$V170,"")</f>
        <v/>
      </c>
      <c r="X170" s="46" t="str">
        <f aca="false">IF(AND(ISNUMBER($S170),$S170&gt;0),$W170/$S170,"")</f>
        <v/>
      </c>
      <c r="Y170" s="47"/>
      <c r="Z170" s="19"/>
    </row>
    <row r="171" customFormat="false" ht="15.75" hidden="false" customHeight="true" outlineLevel="0" collapsed="false">
      <c r="A171" s="48" t="str">
        <f aca="false">IF(Produtos!$A171="","",Produtos!$A171)</f>
        <v>PG4090</v>
      </c>
      <c r="B171" s="48" t="str">
        <f aca="false">IF(Produtos!$A171="","",Produtos!$B171)</f>
        <v>Porta Guarda-chuvas 40x90</v>
      </c>
      <c r="C171" s="48" t="str">
        <f aca="false">IF(Produtos!$A171="","",Produtos!$C171)</f>
        <v>Porta-guarda-chuvas</v>
      </c>
      <c r="D171" s="33" t="n">
        <f aca="false">IF(Produtos!$A171="","",IF(Produtos!$D171="","",Produtos!$D171))</f>
        <v>329.27</v>
      </c>
      <c r="E171" s="11" t="n">
        <v>0</v>
      </c>
      <c r="F171" s="34" t="n">
        <f aca="false">IF($A171="","",IF($C171="","⚠ categoria",IFERROR(INDEX(Parâmetros!$D$13:$D$22,MATCH($C171,Parâmetros!$A$13:$A$22,0)),"⚠ categoria")))</f>
        <v>0.13</v>
      </c>
      <c r="G171" s="35"/>
      <c r="H171" s="36" t="n">
        <f aca="false">IF($A171="","",IF(ISNUMBER($G171),$G171,IF(ISNUMBER($F171),$F171,"")))</f>
        <v>0.13</v>
      </c>
      <c r="I171" s="37" t="n">
        <f aca="false">IF(OR($A171="",NOT(ISNUMBER($D171)),NOT(ISNUMBER($H171))),"",IF((1-$H171-Parâmetros!$B$6-Parâmetros!$C$6-Parâmetros!$D$6)&lt;=0,"INVALIDO",($D171+IF(ISNUMBER($E171),$E171,0)+IF(ISNUMBER(Parâmetros!$E$6),Parâmetros!$E$6,0))/(1-$H171-Parâmetros!$B$6-Parâmetros!$C$6-Parâmetros!$D$6)))</f>
        <v>609.759259259259</v>
      </c>
      <c r="J171" s="38"/>
      <c r="K171" s="39" t="n">
        <f aca="false">IF(OR($A171="",NOT(ISNUMBER($D171)),NOT(ISNUMBER($H171))),"",IF(AND(ISNUMBER($J171),$J171&gt;0),$J171,IF(ISNUMBER($I171),$I171,"")))</f>
        <v>609.759259259259</v>
      </c>
      <c r="L171" s="40" t="n">
        <f aca="false">IF(ISNUMBER($K171),$K171*$H171,"")</f>
        <v>79.2687037037037</v>
      </c>
      <c r="M171" s="40" t="n">
        <f aca="false">IF(ISNUMBER($K171),$K171*Parâmetros!$B$6,"")</f>
        <v>60.9759259259259</v>
      </c>
      <c r="N171" s="40" t="n">
        <f aca="false">IF(ISNUMBER($K171),$K171*Parâmetros!$C$6,"")</f>
        <v>18.2927777777778</v>
      </c>
      <c r="O171" s="40" t="n">
        <f aca="false">IF(ISNUMBER($K171),IF(ISNUMBER(Parâmetros!$E$6),Parâmetros!$E$6,0),"")</f>
        <v>0</v>
      </c>
      <c r="P171" s="41" t="n">
        <f aca="false">IF(ISNUMBER($K171),$K171-$D171-IF(ISNUMBER($E171),$E171,0)-$L171-$M171-$N171-$O171,"")</f>
        <v>121.951851851852</v>
      </c>
      <c r="Q171" s="42" t="n">
        <f aca="false">IF(AND(ISNUMBER($K171),$K171&gt;0),$P171/$K171,"")</f>
        <v>0.2</v>
      </c>
      <c r="R171" s="43"/>
      <c r="S171" s="44" t="str">
        <f aca="false">IF(OR(NOT(ISNUMBER($R171)),$R171=0,NOT(ISNUMBER($K171))),"",$K171*(1-$R171))</f>
        <v/>
      </c>
      <c r="T171" s="45" t="str">
        <f aca="false">IF(ISNUMBER($S171),$S171*$H171,"")</f>
        <v/>
      </c>
      <c r="U171" s="45" t="str">
        <f aca="false">IF(ISNUMBER($S171),$S171*Parâmetros!$B$6,"")</f>
        <v/>
      </c>
      <c r="V171" s="45" t="str">
        <f aca="false">IF(ISNUMBER($S171),$S171*Parâmetros!$C$6,"")</f>
        <v/>
      </c>
      <c r="W171" s="44" t="str">
        <f aca="false">IF(ISNUMBER($S171),$S171-$D171-IF(ISNUMBER($E171),$E171,0)-$O171-$T171-$U171-$V171,"")</f>
        <v/>
      </c>
      <c r="X171" s="46" t="str">
        <f aca="false">IF(AND(ISNUMBER($S171),$S171&gt;0),$W171/$S171,"")</f>
        <v/>
      </c>
      <c r="Y171" s="49"/>
      <c r="Z171" s="21"/>
    </row>
    <row r="172" customFormat="false" ht="15.75" hidden="false" customHeight="true" outlineLevel="0" collapsed="false">
      <c r="A172" s="32" t="str">
        <f aca="false">IF(Produtos!$A172="","",Produtos!$A172)</f>
        <v>EMB-03</v>
      </c>
      <c r="B172" s="32" t="str">
        <f aca="false">IF(Produtos!$A172="","",Produtos!$B172)</f>
        <v>Lixeira Embutir Pia 3L c/Balde Alumínio</v>
      </c>
      <c r="C172" s="32" t="str">
        <f aca="false">IF(Produtos!$A172="","",Produtos!$C172)</f>
        <v>Lixeiras em inox</v>
      </c>
      <c r="D172" s="33" t="n">
        <f aca="false">IF(Produtos!$A172="","",IF(Produtos!$D172="","",Produtos!$D172))</f>
        <v>97.42</v>
      </c>
      <c r="E172" s="11" t="n">
        <v>0</v>
      </c>
      <c r="F172" s="34" t="n">
        <f aca="false">IF($A172="","",IF($C172="","⚠ categoria",IFERROR(INDEX(Parâmetros!$D$13:$D$22,MATCH($C172,Parâmetros!$A$13:$A$22,0)),"⚠ categoria")))</f>
        <v>0.13</v>
      </c>
      <c r="G172" s="35"/>
      <c r="H172" s="36" t="n">
        <f aca="false">IF($A172="","",IF(ISNUMBER($G172),$G172,IF(ISNUMBER($F172),$F172,"")))</f>
        <v>0.13</v>
      </c>
      <c r="I172" s="37" t="n">
        <f aca="false">IF(OR($A172="",NOT(ISNUMBER($D172)),NOT(ISNUMBER($H172))),"",IF((1-$H172-Parâmetros!$B$6-Parâmetros!$C$6-Parâmetros!$D$6)&lt;=0,"INVALIDO",($D172+IF(ISNUMBER($E172),$E172,0)+IF(ISNUMBER(Parâmetros!$E$6),Parâmetros!$E$6,0))/(1-$H172-Parâmetros!$B$6-Parâmetros!$C$6-Parâmetros!$D$6)))</f>
        <v>180.407407407407</v>
      </c>
      <c r="J172" s="38" t="n">
        <v>195.21</v>
      </c>
      <c r="K172" s="39" t="n">
        <f aca="false">IF(OR($A172="",NOT(ISNUMBER($D172)),NOT(ISNUMBER($H172))),"",IF(AND(ISNUMBER($J172),$J172&gt;0),$J172,IF(ISNUMBER($I172),$I172,"")))</f>
        <v>195.21</v>
      </c>
      <c r="L172" s="40" t="n">
        <f aca="false">IF(ISNUMBER($K172),$K172*$H172,"")</f>
        <v>25.3773</v>
      </c>
      <c r="M172" s="40" t="n">
        <f aca="false">IF(ISNUMBER($K172),$K172*Parâmetros!$B$6,"")</f>
        <v>19.521</v>
      </c>
      <c r="N172" s="40" t="n">
        <f aca="false">IF(ISNUMBER($K172),$K172*Parâmetros!$C$6,"")</f>
        <v>5.8563</v>
      </c>
      <c r="O172" s="40" t="n">
        <f aca="false">IF(ISNUMBER($K172),IF(ISNUMBER(Parâmetros!$E$6),Parâmetros!$E$6,0),"")</f>
        <v>0</v>
      </c>
      <c r="P172" s="41" t="n">
        <f aca="false">IF(ISNUMBER($K172),$K172-$D172-IF(ISNUMBER($E172),$E172,0)-$L172-$M172-$N172-$O172,"")</f>
        <v>47.0354</v>
      </c>
      <c r="Q172" s="42" t="n">
        <f aca="false">IF(AND(ISNUMBER($K172),$K172&gt;0),$P172/$K172,"")</f>
        <v>0.24094769735157</v>
      </c>
      <c r="R172" s="43"/>
      <c r="S172" s="44" t="str">
        <f aca="false">IF(OR(NOT(ISNUMBER($R172)),$R172=0,NOT(ISNUMBER($K172))),"",$K172*(1-$R172))</f>
        <v/>
      </c>
      <c r="T172" s="45" t="str">
        <f aca="false">IF(ISNUMBER($S172),$S172*$H172,"")</f>
        <v/>
      </c>
      <c r="U172" s="45" t="str">
        <f aca="false">IF(ISNUMBER($S172),$S172*Parâmetros!$B$6,"")</f>
        <v/>
      </c>
      <c r="V172" s="45" t="str">
        <f aca="false">IF(ISNUMBER($S172),$S172*Parâmetros!$C$6,"")</f>
        <v/>
      </c>
      <c r="W172" s="44" t="str">
        <f aca="false">IF(ISNUMBER($S172),$S172-$D172-IF(ISNUMBER($E172),$E172,0)-$O172-$T172-$U172-$V172,"")</f>
        <v/>
      </c>
      <c r="X172" s="46" t="str">
        <f aca="false">IF(AND(ISNUMBER($S172),$S172&gt;0),$W172/$S172,"")</f>
        <v/>
      </c>
      <c r="Y172" s="47" t="s">
        <v>737</v>
      </c>
      <c r="Z172" s="19" t="s">
        <v>747</v>
      </c>
    </row>
    <row r="173" customFormat="false" ht="15.75" hidden="false" customHeight="true" outlineLevel="0" collapsed="false">
      <c r="A173" s="48" t="str">
        <f aca="false">IF(Produtos!$A173="","",Produtos!$A173)</f>
        <v>EMB-05</v>
      </c>
      <c r="B173" s="48" t="str">
        <f aca="false">IF(Produtos!$A173="","",Produtos!$B173)</f>
        <v>Lixeira Embutir Pia 5L c/Balde Alumínio</v>
      </c>
      <c r="C173" s="48" t="str">
        <f aca="false">IF(Produtos!$A173="","",Produtos!$C173)</f>
        <v>Lixeiras em inox</v>
      </c>
      <c r="D173" s="33" t="n">
        <f aca="false">IF(Produtos!$A173="","",IF(Produtos!$D173="","",Produtos!$D173))</f>
        <v>134.46</v>
      </c>
      <c r="E173" s="11" t="n">
        <v>0</v>
      </c>
      <c r="F173" s="34" t="n">
        <f aca="false">IF($A173="","",IF($C173="","⚠ categoria",IFERROR(INDEX(Parâmetros!$D$13:$D$22,MATCH($C173,Parâmetros!$A$13:$A$22,0)),"⚠ categoria")))</f>
        <v>0.13</v>
      </c>
      <c r="G173" s="35"/>
      <c r="H173" s="36" t="n">
        <f aca="false">IF($A173="","",IF(ISNUMBER($G173),$G173,IF(ISNUMBER($F173),$F173,"")))</f>
        <v>0.13</v>
      </c>
      <c r="I173" s="37" t="n">
        <f aca="false">IF(OR($A173="",NOT(ISNUMBER($D173)),NOT(ISNUMBER($H173))),"",IF((1-$H173-Parâmetros!$B$6-Parâmetros!$C$6-Parâmetros!$D$6)&lt;=0,"INVALIDO",($D173+IF(ISNUMBER($E173),$E173,0)+IF(ISNUMBER(Parâmetros!$E$6),Parâmetros!$E$6,0))/(1-$H173-Parâmetros!$B$6-Parâmetros!$C$6-Parâmetros!$D$6)))</f>
        <v>249</v>
      </c>
      <c r="J173" s="38" t="n">
        <v>244.9</v>
      </c>
      <c r="K173" s="39" t="n">
        <f aca="false">IF(OR($A173="",NOT(ISNUMBER($D173)),NOT(ISNUMBER($H173))),"",IF(AND(ISNUMBER($J173),$J173&gt;0),$J173,IF(ISNUMBER($I173),$I173,"")))</f>
        <v>244.9</v>
      </c>
      <c r="L173" s="40" t="n">
        <f aca="false">IF(ISNUMBER($K173),$K173*$H173,"")</f>
        <v>31.837</v>
      </c>
      <c r="M173" s="40" t="n">
        <f aca="false">IF(ISNUMBER($K173),$K173*Parâmetros!$B$6,"")</f>
        <v>24.49</v>
      </c>
      <c r="N173" s="40" t="n">
        <f aca="false">IF(ISNUMBER($K173),$K173*Parâmetros!$C$6,"")</f>
        <v>7.347</v>
      </c>
      <c r="O173" s="40" t="n">
        <f aca="false">IF(ISNUMBER($K173),IF(ISNUMBER(Parâmetros!$E$6),Parâmetros!$E$6,0),"")</f>
        <v>0</v>
      </c>
      <c r="P173" s="41" t="n">
        <f aca="false">IF(ISNUMBER($K173),$K173-$D173-IF(ISNUMBER($E173),$E173,0)-$L173-$M173-$N173-$O173,"")</f>
        <v>46.766</v>
      </c>
      <c r="Q173" s="42" t="n">
        <f aca="false">IF(AND(ISNUMBER($K173),$K173&gt;0),$P173/$K173,"")</f>
        <v>0.190959575336872</v>
      </c>
      <c r="R173" s="43"/>
      <c r="S173" s="44" t="str">
        <f aca="false">IF(OR(NOT(ISNUMBER($R173)),$R173=0,NOT(ISNUMBER($K173))),"",$K173*(1-$R173))</f>
        <v/>
      </c>
      <c r="T173" s="45" t="str">
        <f aca="false">IF(ISNUMBER($S173),$S173*$H173,"")</f>
        <v/>
      </c>
      <c r="U173" s="45" t="str">
        <f aca="false">IF(ISNUMBER($S173),$S173*Parâmetros!$B$6,"")</f>
        <v/>
      </c>
      <c r="V173" s="45" t="str">
        <f aca="false">IF(ISNUMBER($S173),$S173*Parâmetros!$C$6,"")</f>
        <v/>
      </c>
      <c r="W173" s="44" t="str">
        <f aca="false">IF(ISNUMBER($S173),$S173-$D173-IF(ISNUMBER($E173),$E173,0)-$O173-$T173-$U173-$V173,"")</f>
        <v/>
      </c>
      <c r="X173" s="46" t="str">
        <f aca="false">IF(AND(ISNUMBER($S173),$S173&gt;0),$W173/$S173,"")</f>
        <v/>
      </c>
      <c r="Y173" s="49" t="s">
        <v>737</v>
      </c>
      <c r="Z173" s="21" t="s">
        <v>747</v>
      </c>
    </row>
    <row r="174" customFormat="false" ht="15.75" hidden="false" customHeight="true" outlineLevel="0" collapsed="false">
      <c r="A174" s="32" t="str">
        <f aca="false">IF(Produtos!$A174="","",Produtos!$A174)</f>
        <v>EMB-08</v>
      </c>
      <c r="B174" s="32" t="str">
        <f aca="false">IF(Produtos!$A174="","",Produtos!$B174)</f>
        <v>Lixeira Embutir Pia 8L c/Balde Alumínio</v>
      </c>
      <c r="C174" s="32" t="str">
        <f aca="false">IF(Produtos!$A174="","",Produtos!$C174)</f>
        <v>Lixeiras em inox</v>
      </c>
      <c r="D174" s="33" t="n">
        <f aca="false">IF(Produtos!$A174="","",IF(Produtos!$D174="","",Produtos!$D174))</f>
        <v>181.23</v>
      </c>
      <c r="E174" s="11" t="n">
        <v>0</v>
      </c>
      <c r="F174" s="34" t="n">
        <f aca="false">IF($A174="","",IF($C174="","⚠ categoria",IFERROR(INDEX(Parâmetros!$D$13:$D$22,MATCH($C174,Parâmetros!$A$13:$A$22,0)),"⚠ categoria")))</f>
        <v>0.13</v>
      </c>
      <c r="G174" s="35"/>
      <c r="H174" s="36" t="n">
        <f aca="false">IF($A174="","",IF(ISNUMBER($G174),$G174,IF(ISNUMBER($F174),$F174,"")))</f>
        <v>0.13</v>
      </c>
      <c r="I174" s="37" t="n">
        <f aca="false">IF(OR($A174="",NOT(ISNUMBER($D174)),NOT(ISNUMBER($H174))),"",IF((1-$H174-Parâmetros!$B$6-Parâmetros!$C$6-Parâmetros!$D$6)&lt;=0,"INVALIDO",($D174+IF(ISNUMBER($E174),$E174,0)+IF(ISNUMBER(Parâmetros!$E$6),Parâmetros!$E$6,0))/(1-$H174-Parâmetros!$B$6-Parâmetros!$C$6-Parâmetros!$D$6)))</f>
        <v>335.611111111111</v>
      </c>
      <c r="J174" s="38" t="n">
        <v>344.76</v>
      </c>
      <c r="K174" s="39" t="n">
        <f aca="false">IF(OR($A174="",NOT(ISNUMBER($D174)),NOT(ISNUMBER($H174))),"",IF(AND(ISNUMBER($J174),$J174&gt;0),$J174,IF(ISNUMBER($I174),$I174,"")))</f>
        <v>344.76</v>
      </c>
      <c r="L174" s="40" t="n">
        <f aca="false">IF(ISNUMBER($K174),$K174*$H174,"")</f>
        <v>44.8188</v>
      </c>
      <c r="M174" s="40" t="n">
        <f aca="false">IF(ISNUMBER($K174),$K174*Parâmetros!$B$6,"")</f>
        <v>34.476</v>
      </c>
      <c r="N174" s="40" t="n">
        <f aca="false">IF(ISNUMBER($K174),$K174*Parâmetros!$C$6,"")</f>
        <v>10.3428</v>
      </c>
      <c r="O174" s="40" t="n">
        <f aca="false">IF(ISNUMBER($K174),IF(ISNUMBER(Parâmetros!$E$6),Parâmetros!$E$6,0),"")</f>
        <v>0</v>
      </c>
      <c r="P174" s="41" t="n">
        <f aca="false">IF(ISNUMBER($K174),$K174-$D174-IF(ISNUMBER($E174),$E174,0)-$L174-$M174-$N174-$O174,"")</f>
        <v>73.8924</v>
      </c>
      <c r="Q174" s="42" t="n">
        <f aca="false">IF(AND(ISNUMBER($K174),$K174&gt;0),$P174/$K174,"")</f>
        <v>0.21432996867386</v>
      </c>
      <c r="R174" s="43"/>
      <c r="S174" s="44" t="str">
        <f aca="false">IF(OR(NOT(ISNUMBER($R174)),$R174=0,NOT(ISNUMBER($K174))),"",$K174*(1-$R174))</f>
        <v/>
      </c>
      <c r="T174" s="45" t="str">
        <f aca="false">IF(ISNUMBER($S174),$S174*$H174,"")</f>
        <v/>
      </c>
      <c r="U174" s="45" t="str">
        <f aca="false">IF(ISNUMBER($S174),$S174*Parâmetros!$B$6,"")</f>
        <v/>
      </c>
      <c r="V174" s="45" t="str">
        <f aca="false">IF(ISNUMBER($S174),$S174*Parâmetros!$C$6,"")</f>
        <v/>
      </c>
      <c r="W174" s="44" t="str">
        <f aca="false">IF(ISNUMBER($S174),$S174-$D174-IF(ISNUMBER($E174),$E174,0)-$O174-$T174-$U174-$V174,"")</f>
        <v/>
      </c>
      <c r="X174" s="46" t="str">
        <f aca="false">IF(AND(ISNUMBER($S174),$S174&gt;0),$W174/$S174,"")</f>
        <v/>
      </c>
      <c r="Y174" s="47" t="s">
        <v>737</v>
      </c>
      <c r="Z174" s="19" t="s">
        <v>747</v>
      </c>
    </row>
    <row r="175" customFormat="false" ht="15.75" hidden="false" customHeight="true" outlineLevel="0" collapsed="false">
      <c r="A175" s="48" t="str">
        <f aca="false">IF(Produtos!$A175="","",Produtos!$A175)</f>
        <v>EMB-03P</v>
      </c>
      <c r="B175" s="48" t="str">
        <f aca="false">IF(Produtos!$A175="","",Produtos!$B175)</f>
        <v>Lixeira Embutir Pia 3L c/Balde Alumínio e Tampa Preta</v>
      </c>
      <c r="C175" s="48" t="str">
        <f aca="false">IF(Produtos!$A175="","",Produtos!$C175)</f>
        <v>Lixeiras em inox</v>
      </c>
      <c r="D175" s="33" t="n">
        <f aca="false">IF(Produtos!$A175="","",IF(Produtos!$D175="","",Produtos!$D175))</f>
        <v>127.42</v>
      </c>
      <c r="E175" s="11" t="n">
        <v>0</v>
      </c>
      <c r="F175" s="34" t="n">
        <f aca="false">IF($A175="","",IF($C175="","⚠ categoria",IFERROR(INDEX(Parâmetros!$D$13:$D$22,MATCH($C175,Parâmetros!$A$13:$A$22,0)),"⚠ categoria")))</f>
        <v>0.13</v>
      </c>
      <c r="G175" s="35"/>
      <c r="H175" s="36" t="n">
        <f aca="false">IF($A175="","",IF(ISNUMBER($G175),$G175,IF(ISNUMBER($F175),$F175,"")))</f>
        <v>0.13</v>
      </c>
      <c r="I175" s="37" t="n">
        <f aca="false">IF(OR($A175="",NOT(ISNUMBER($D175)),NOT(ISNUMBER($H175))),"",IF((1-$H175-Parâmetros!$B$6-Parâmetros!$C$6-Parâmetros!$D$6)&lt;=0,"INVALIDO",($D175+IF(ISNUMBER($E175),$E175,0)+IF(ISNUMBER(Parâmetros!$E$6),Parâmetros!$E$6,0))/(1-$H175-Parâmetros!$B$6-Parâmetros!$C$6-Parâmetros!$D$6)))</f>
        <v>235.962962962963</v>
      </c>
      <c r="J175" s="38" t="n">
        <v>245.9</v>
      </c>
      <c r="K175" s="39" t="n">
        <f aca="false">IF(OR($A175="",NOT(ISNUMBER($D175)),NOT(ISNUMBER($H175))),"",IF(AND(ISNUMBER($J175),$J175&gt;0),$J175,IF(ISNUMBER($I175),$I175,"")))</f>
        <v>245.9</v>
      </c>
      <c r="L175" s="40" t="n">
        <f aca="false">IF(ISNUMBER($K175),$K175*$H175,"")</f>
        <v>31.967</v>
      </c>
      <c r="M175" s="40" t="n">
        <f aca="false">IF(ISNUMBER($K175),$K175*Parâmetros!$B$6,"")</f>
        <v>24.59</v>
      </c>
      <c r="N175" s="40" t="n">
        <f aca="false">IF(ISNUMBER($K175),$K175*Parâmetros!$C$6,"")</f>
        <v>7.377</v>
      </c>
      <c r="O175" s="40" t="n">
        <f aca="false">IF(ISNUMBER($K175),IF(ISNUMBER(Parâmetros!$E$6),Parâmetros!$E$6,0),"")</f>
        <v>0</v>
      </c>
      <c r="P175" s="41" t="n">
        <f aca="false">IF(ISNUMBER($K175),$K175-$D175-IF(ISNUMBER($E175),$E175,0)-$L175-$M175-$N175-$O175,"")</f>
        <v>54.546</v>
      </c>
      <c r="Q175" s="42" t="n">
        <f aca="false">IF(AND(ISNUMBER($K175),$K175&gt;0),$P175/$K175,"")</f>
        <v>0.221821878812525</v>
      </c>
      <c r="R175" s="43"/>
      <c r="S175" s="44" t="str">
        <f aca="false">IF(OR(NOT(ISNUMBER($R175)),$R175=0,NOT(ISNUMBER($K175))),"",$K175*(1-$R175))</f>
        <v/>
      </c>
      <c r="T175" s="45" t="str">
        <f aca="false">IF(ISNUMBER($S175),$S175*$H175,"")</f>
        <v/>
      </c>
      <c r="U175" s="45" t="str">
        <f aca="false">IF(ISNUMBER($S175),$S175*Parâmetros!$B$6,"")</f>
        <v/>
      </c>
      <c r="V175" s="45" t="str">
        <f aca="false">IF(ISNUMBER($S175),$S175*Parâmetros!$C$6,"")</f>
        <v/>
      </c>
      <c r="W175" s="44" t="str">
        <f aca="false">IF(ISNUMBER($S175),$S175-$D175-IF(ISNUMBER($E175),$E175,0)-$O175-$T175-$U175-$V175,"")</f>
        <v/>
      </c>
      <c r="X175" s="46" t="str">
        <f aca="false">IF(AND(ISNUMBER($S175),$S175&gt;0),$W175/$S175,"")</f>
        <v/>
      </c>
      <c r="Y175" s="49" t="s">
        <v>737</v>
      </c>
      <c r="Z175" s="21" t="s">
        <v>747</v>
      </c>
    </row>
    <row r="176" customFormat="false" ht="15.75" hidden="false" customHeight="true" outlineLevel="0" collapsed="false">
      <c r="A176" s="32" t="str">
        <f aca="false">IF(Produtos!$A176="","",Produtos!$A176)</f>
        <v>EMB-05P</v>
      </c>
      <c r="B176" s="32" t="str">
        <f aca="false">IF(Produtos!$A176="","",Produtos!$B176)</f>
        <v>Lixeira Embutir Pia 5L c/Balde Alumínio e Tampa Preta</v>
      </c>
      <c r="C176" s="32" t="str">
        <f aca="false">IF(Produtos!$A176="","",Produtos!$C176)</f>
        <v>Lixeiras em inox</v>
      </c>
      <c r="D176" s="33" t="n">
        <f aca="false">IF(Produtos!$A176="","",IF(Produtos!$D176="","",Produtos!$D176))</f>
        <v>154.46</v>
      </c>
      <c r="E176" s="11" t="n">
        <v>0</v>
      </c>
      <c r="F176" s="34" t="n">
        <f aca="false">IF($A176="","",IF($C176="","⚠ categoria",IFERROR(INDEX(Parâmetros!$D$13:$D$22,MATCH($C176,Parâmetros!$A$13:$A$22,0)),"⚠ categoria")))</f>
        <v>0.13</v>
      </c>
      <c r="G176" s="35"/>
      <c r="H176" s="36" t="n">
        <f aca="false">IF($A176="","",IF(ISNUMBER($G176),$G176,IF(ISNUMBER($F176),$F176,"")))</f>
        <v>0.13</v>
      </c>
      <c r="I176" s="37" t="n">
        <f aca="false">IF(OR($A176="",NOT(ISNUMBER($D176)),NOT(ISNUMBER($H176))),"",IF((1-$H176-Parâmetros!$B$6-Parâmetros!$C$6-Parâmetros!$D$6)&lt;=0,"INVALIDO",($D176+IF(ISNUMBER($E176),$E176,0)+IF(ISNUMBER(Parâmetros!$E$6),Parâmetros!$E$6,0))/(1-$H176-Parâmetros!$B$6-Parâmetros!$C$6-Parâmetros!$D$6)))</f>
        <v>286.037037037037</v>
      </c>
      <c r="J176" s="38" t="n">
        <v>290</v>
      </c>
      <c r="K176" s="39" t="n">
        <f aca="false">IF(OR($A176="",NOT(ISNUMBER($D176)),NOT(ISNUMBER($H176))),"",IF(AND(ISNUMBER($J176),$J176&gt;0),$J176,IF(ISNUMBER($I176),$I176,"")))</f>
        <v>290</v>
      </c>
      <c r="L176" s="40" t="n">
        <f aca="false">IF(ISNUMBER($K176),$K176*$H176,"")</f>
        <v>37.7</v>
      </c>
      <c r="M176" s="40" t="n">
        <f aca="false">IF(ISNUMBER($K176),$K176*Parâmetros!$B$6,"")</f>
        <v>29</v>
      </c>
      <c r="N176" s="40" t="n">
        <f aca="false">IF(ISNUMBER($K176),$K176*Parâmetros!$C$6,"")</f>
        <v>8.7</v>
      </c>
      <c r="O176" s="40" t="n">
        <f aca="false">IF(ISNUMBER($K176),IF(ISNUMBER(Parâmetros!$E$6),Parâmetros!$E$6,0),"")</f>
        <v>0</v>
      </c>
      <c r="P176" s="41" t="n">
        <f aca="false">IF(ISNUMBER($K176),$K176-$D176-IF(ISNUMBER($E176),$E176,0)-$L176-$M176-$N176-$O176,"")</f>
        <v>60.14</v>
      </c>
      <c r="Q176" s="42" t="n">
        <f aca="false">IF(AND(ISNUMBER($K176),$K176&gt;0),$P176/$K176,"")</f>
        <v>0.207379310344828</v>
      </c>
      <c r="R176" s="43"/>
      <c r="S176" s="44" t="str">
        <f aca="false">IF(OR(NOT(ISNUMBER($R176)),$R176=0,NOT(ISNUMBER($K176))),"",$K176*(1-$R176))</f>
        <v/>
      </c>
      <c r="T176" s="45" t="str">
        <f aca="false">IF(ISNUMBER($S176),$S176*$H176,"")</f>
        <v/>
      </c>
      <c r="U176" s="45" t="str">
        <f aca="false">IF(ISNUMBER($S176),$S176*Parâmetros!$B$6,"")</f>
        <v/>
      </c>
      <c r="V176" s="45" t="str">
        <f aca="false">IF(ISNUMBER($S176),$S176*Parâmetros!$C$6,"")</f>
        <v/>
      </c>
      <c r="W176" s="44" t="str">
        <f aca="false">IF(ISNUMBER($S176),$S176-$D176-IF(ISNUMBER($E176),$E176,0)-$O176-$T176-$U176-$V176,"")</f>
        <v/>
      </c>
      <c r="X176" s="46" t="str">
        <f aca="false">IF(AND(ISNUMBER($S176),$S176&gt;0),$W176/$S176,"")</f>
        <v/>
      </c>
      <c r="Y176" s="47" t="s">
        <v>737</v>
      </c>
      <c r="Z176" s="19" t="s">
        <v>747</v>
      </c>
    </row>
    <row r="177" customFormat="false" ht="15.75" hidden="false" customHeight="true" outlineLevel="0" collapsed="false">
      <c r="A177" s="48" t="str">
        <f aca="false">IF(Produtos!$A177="","",Produtos!$A177)</f>
        <v>Q2430-A</v>
      </c>
      <c r="B177" s="48" t="str">
        <f aca="false">IF(Produtos!$A177="","",Produtos!$B177)</f>
        <v>Lixeira Quadrada c/Aro 24x30 15L</v>
      </c>
      <c r="C177" s="48" t="str">
        <f aca="false">IF(Produtos!$A177="","",Produtos!$C177)</f>
        <v>Lixeiras em inox</v>
      </c>
      <c r="D177" s="33" t="n">
        <f aca="false">IF(Produtos!$A177="","",IF(Produtos!$D177="","",Produtos!$D177))</f>
        <v>121.07</v>
      </c>
      <c r="E177" s="11" t="n">
        <v>0</v>
      </c>
      <c r="F177" s="34" t="n">
        <f aca="false">IF($A177="","",IF($C177="","⚠ categoria",IFERROR(INDEX(Parâmetros!$D$13:$D$22,MATCH($C177,Parâmetros!$A$13:$A$22,0)),"⚠ categoria")))</f>
        <v>0.13</v>
      </c>
      <c r="G177" s="35"/>
      <c r="H177" s="36" t="n">
        <f aca="false">IF($A177="","",IF(ISNUMBER($G177),$G177,IF(ISNUMBER($F177),$F177,"")))</f>
        <v>0.13</v>
      </c>
      <c r="I177" s="37" t="n">
        <f aca="false">IF(OR($A177="",NOT(ISNUMBER($D177)),NOT(ISNUMBER($H177))),"",IF((1-$H177-Parâmetros!$B$6-Parâmetros!$C$6-Parâmetros!$D$6)&lt;=0,"INVALIDO",($D177+IF(ISNUMBER($E177),$E177,0)+IF(ISNUMBER(Parâmetros!$E$6),Parâmetros!$E$6,0))/(1-$H177-Parâmetros!$B$6-Parâmetros!$C$6-Parâmetros!$D$6)))</f>
        <v>224.203703703704</v>
      </c>
      <c r="J177" s="38" t="n">
        <v>231.21</v>
      </c>
      <c r="K177" s="39" t="n">
        <f aca="false">IF(OR($A177="",NOT(ISNUMBER($D177)),NOT(ISNUMBER($H177))),"",IF(AND(ISNUMBER($J177),$J177&gt;0),$J177,IF(ISNUMBER($I177),$I177,"")))</f>
        <v>231.21</v>
      </c>
      <c r="L177" s="40" t="n">
        <f aca="false">IF(ISNUMBER($K177),$K177*$H177,"")</f>
        <v>30.0573</v>
      </c>
      <c r="M177" s="40" t="n">
        <f aca="false">IF(ISNUMBER($K177),$K177*Parâmetros!$B$6,"")</f>
        <v>23.121</v>
      </c>
      <c r="N177" s="40" t="n">
        <f aca="false">IF(ISNUMBER($K177),$K177*Parâmetros!$C$6,"")</f>
        <v>6.9363</v>
      </c>
      <c r="O177" s="40" t="n">
        <f aca="false">IF(ISNUMBER($K177),IF(ISNUMBER(Parâmetros!$E$6),Parâmetros!$E$6,0),"")</f>
        <v>0</v>
      </c>
      <c r="P177" s="41" t="n">
        <f aca="false">IF(ISNUMBER($K177),$K177-$D177-IF(ISNUMBER($E177),$E177,0)-$L177-$M177-$N177-$O177,"")</f>
        <v>50.0254</v>
      </c>
      <c r="Q177" s="42" t="n">
        <f aca="false">IF(AND(ISNUMBER($K177),$K177&gt;0),$P177/$K177,"")</f>
        <v>0.216363479088275</v>
      </c>
      <c r="R177" s="43"/>
      <c r="S177" s="44" t="str">
        <f aca="false">IF(OR(NOT(ISNUMBER($R177)),$R177=0,NOT(ISNUMBER($K177))),"",$K177*(1-$R177))</f>
        <v/>
      </c>
      <c r="T177" s="45" t="str">
        <f aca="false">IF(ISNUMBER($S177),$S177*$H177,"")</f>
        <v/>
      </c>
      <c r="U177" s="45" t="str">
        <f aca="false">IF(ISNUMBER($S177),$S177*Parâmetros!$B$6,"")</f>
        <v/>
      </c>
      <c r="V177" s="45" t="str">
        <f aca="false">IF(ISNUMBER($S177),$S177*Parâmetros!$C$6,"")</f>
        <v/>
      </c>
      <c r="W177" s="44" t="str">
        <f aca="false">IF(ISNUMBER($S177),$S177-$D177-IF(ISNUMBER($E177),$E177,0)-$O177-$T177-$U177-$V177,"")</f>
        <v/>
      </c>
      <c r="X177" s="46" t="str">
        <f aca="false">IF(AND(ISNUMBER($S177),$S177&gt;0),$W177/$S177,"")</f>
        <v/>
      </c>
      <c r="Y177" s="49" t="s">
        <v>737</v>
      </c>
      <c r="Z177" s="21" t="s">
        <v>747</v>
      </c>
    </row>
    <row r="178" customFormat="false" ht="15.75" hidden="false" customHeight="true" outlineLevel="0" collapsed="false">
      <c r="A178" s="32" t="str">
        <f aca="false">IF(Produtos!$A178="","",Produtos!$A178)</f>
        <v>Q2460-A</v>
      </c>
      <c r="B178" s="32" t="str">
        <f aca="false">IF(Produtos!$A178="","",Produtos!$B178)</f>
        <v>Lixeira Quadrada c/Aro 24x60 30L</v>
      </c>
      <c r="C178" s="32" t="str">
        <f aca="false">IF(Produtos!$A178="","",Produtos!$C178)</f>
        <v>Lixeiras em inox</v>
      </c>
      <c r="D178" s="33" t="n">
        <f aca="false">IF(Produtos!$A178="","",IF(Produtos!$D178="","",Produtos!$D178))</f>
        <v>183.04</v>
      </c>
      <c r="E178" s="11" t="n">
        <v>0</v>
      </c>
      <c r="F178" s="34" t="n">
        <f aca="false">IF($A178="","",IF($C178="","⚠ categoria",IFERROR(INDEX(Parâmetros!$D$13:$D$22,MATCH($C178,Parâmetros!$A$13:$A$22,0)),"⚠ categoria")))</f>
        <v>0.13</v>
      </c>
      <c r="G178" s="35"/>
      <c r="H178" s="36" t="n">
        <f aca="false">IF($A178="","",IF(ISNUMBER($G178),$G178,IF(ISNUMBER($F178),$F178,"")))</f>
        <v>0.13</v>
      </c>
      <c r="I178" s="37" t="n">
        <f aca="false">IF(OR($A178="",NOT(ISNUMBER($D178)),NOT(ISNUMBER($H178))),"",IF((1-$H178-Parâmetros!$B$6-Parâmetros!$C$6-Parâmetros!$D$6)&lt;=0,"INVALIDO",($D178+IF(ISNUMBER($E178),$E178,0)+IF(ISNUMBER(Parâmetros!$E$6),Parâmetros!$E$6,0))/(1-$H178-Parâmetros!$B$6-Parâmetros!$C$6-Parâmetros!$D$6)))</f>
        <v>338.962962962963</v>
      </c>
      <c r="J178" s="38" t="n">
        <v>349.45</v>
      </c>
      <c r="K178" s="39" t="n">
        <f aca="false">IF(OR($A178="",NOT(ISNUMBER($D178)),NOT(ISNUMBER($H178))),"",IF(AND(ISNUMBER($J178),$J178&gt;0),$J178,IF(ISNUMBER($I178),$I178,"")))</f>
        <v>349.45</v>
      </c>
      <c r="L178" s="40" t="n">
        <f aca="false">IF(ISNUMBER($K178),$K178*$H178,"")</f>
        <v>45.4285</v>
      </c>
      <c r="M178" s="40" t="n">
        <f aca="false">IF(ISNUMBER($K178),$K178*Parâmetros!$B$6,"")</f>
        <v>34.945</v>
      </c>
      <c r="N178" s="40" t="n">
        <f aca="false">IF(ISNUMBER($K178),$K178*Parâmetros!$C$6,"")</f>
        <v>10.4835</v>
      </c>
      <c r="O178" s="40" t="n">
        <f aca="false">IF(ISNUMBER($K178),IF(ISNUMBER(Parâmetros!$E$6),Parâmetros!$E$6,0),"")</f>
        <v>0</v>
      </c>
      <c r="P178" s="41" t="n">
        <f aca="false">IF(ISNUMBER($K178),$K178-$D178-IF(ISNUMBER($E178),$E178,0)-$L178-$M178-$N178-$O178,"")</f>
        <v>75.553</v>
      </c>
      <c r="Q178" s="42" t="n">
        <f aca="false">IF(AND(ISNUMBER($K178),$K178&gt;0),$P178/$K178,"")</f>
        <v>0.216205465731864</v>
      </c>
      <c r="R178" s="43"/>
      <c r="S178" s="44" t="str">
        <f aca="false">IF(OR(NOT(ISNUMBER($R178)),$R178=0,NOT(ISNUMBER($K178))),"",$K178*(1-$R178))</f>
        <v/>
      </c>
      <c r="T178" s="45" t="str">
        <f aca="false">IF(ISNUMBER($S178),$S178*$H178,"")</f>
        <v/>
      </c>
      <c r="U178" s="45" t="str">
        <f aca="false">IF(ISNUMBER($S178),$S178*Parâmetros!$B$6,"")</f>
        <v/>
      </c>
      <c r="V178" s="45" t="str">
        <f aca="false">IF(ISNUMBER($S178),$S178*Parâmetros!$C$6,"")</f>
        <v/>
      </c>
      <c r="W178" s="44" t="str">
        <f aca="false">IF(ISNUMBER($S178),$S178-$D178-IF(ISNUMBER($E178),$E178,0)-$O178-$T178-$U178-$V178,"")</f>
        <v/>
      </c>
      <c r="X178" s="46" t="str">
        <f aca="false">IF(AND(ISNUMBER($S178),$S178&gt;0),$W178/$S178,"")</f>
        <v/>
      </c>
      <c r="Y178" s="47" t="s">
        <v>737</v>
      </c>
      <c r="Z178" s="19" t="s">
        <v>748</v>
      </c>
    </row>
    <row r="179" customFormat="false" ht="15.75" hidden="false" customHeight="true" outlineLevel="0" collapsed="false">
      <c r="A179" s="48" t="str">
        <f aca="false">IF(Produtos!$A179="","",Produtos!$A179)</f>
        <v>Q3060-A</v>
      </c>
      <c r="B179" s="48" t="str">
        <f aca="false">IF(Produtos!$A179="","",Produtos!$B179)</f>
        <v>Lixeira Quadrada c/Aro 30x60 50L</v>
      </c>
      <c r="C179" s="48" t="str">
        <f aca="false">IF(Produtos!$A179="","",Produtos!$C179)</f>
        <v>Lixeiras em inox</v>
      </c>
      <c r="D179" s="33" t="n">
        <f aca="false">IF(Produtos!$A179="","",IF(Produtos!$D179="","",Produtos!$D179))</f>
        <v>277.75</v>
      </c>
      <c r="E179" s="11" t="n">
        <v>0</v>
      </c>
      <c r="F179" s="34" t="n">
        <f aca="false">IF($A179="","",IF($C179="","⚠ categoria",IFERROR(INDEX(Parâmetros!$D$13:$D$22,MATCH($C179,Parâmetros!$A$13:$A$22,0)),"⚠ categoria")))</f>
        <v>0.13</v>
      </c>
      <c r="G179" s="35"/>
      <c r="H179" s="36" t="n">
        <f aca="false">IF($A179="","",IF(ISNUMBER($G179),$G179,IF(ISNUMBER($F179),$F179,"")))</f>
        <v>0.13</v>
      </c>
      <c r="I179" s="37" t="n">
        <f aca="false">IF(OR($A179="",NOT(ISNUMBER($D179)),NOT(ISNUMBER($H179))),"",IF((1-$H179-Parâmetros!$B$6-Parâmetros!$C$6-Parâmetros!$D$6)&lt;=0,"INVALIDO",($D179+IF(ISNUMBER($E179),$E179,0)+IF(ISNUMBER(Parâmetros!$E$6),Parâmetros!$E$6,0))/(1-$H179-Parâmetros!$B$6-Parâmetros!$C$6-Parâmetros!$D$6)))</f>
        <v>514.351851851852</v>
      </c>
      <c r="J179" s="38" t="n">
        <v>580.52</v>
      </c>
      <c r="K179" s="39" t="n">
        <f aca="false">IF(OR($A179="",NOT(ISNUMBER($D179)),NOT(ISNUMBER($H179))),"",IF(AND(ISNUMBER($J179),$J179&gt;0),$J179,IF(ISNUMBER($I179),$I179,"")))</f>
        <v>580.52</v>
      </c>
      <c r="L179" s="40" t="n">
        <f aca="false">IF(ISNUMBER($K179),$K179*$H179,"")</f>
        <v>75.4676</v>
      </c>
      <c r="M179" s="40" t="n">
        <f aca="false">IF(ISNUMBER($K179),$K179*Parâmetros!$B$6,"")</f>
        <v>58.052</v>
      </c>
      <c r="N179" s="40" t="n">
        <f aca="false">IF(ISNUMBER($K179),$K179*Parâmetros!$C$6,"")</f>
        <v>17.4156</v>
      </c>
      <c r="O179" s="40" t="n">
        <f aca="false">IF(ISNUMBER($K179),IF(ISNUMBER(Parâmetros!$E$6),Parâmetros!$E$6,0),"")</f>
        <v>0</v>
      </c>
      <c r="P179" s="41" t="n">
        <f aca="false">IF(ISNUMBER($K179),$K179-$D179-IF(ISNUMBER($E179),$E179,0)-$L179-$M179-$N179-$O179,"")</f>
        <v>151.8348</v>
      </c>
      <c r="Q179" s="42" t="n">
        <f aca="false">IF(AND(ISNUMBER($K179),$K179&gt;0),$P179/$K179,"")</f>
        <v>0.261549645145731</v>
      </c>
      <c r="R179" s="43"/>
      <c r="S179" s="44" t="str">
        <f aca="false">IF(OR(NOT(ISNUMBER($R179)),$R179=0,NOT(ISNUMBER($K179))),"",$K179*(1-$R179))</f>
        <v/>
      </c>
      <c r="T179" s="45" t="str">
        <f aca="false">IF(ISNUMBER($S179),$S179*$H179,"")</f>
        <v/>
      </c>
      <c r="U179" s="45" t="str">
        <f aca="false">IF(ISNUMBER($S179),$S179*Parâmetros!$B$6,"")</f>
        <v/>
      </c>
      <c r="V179" s="45" t="str">
        <f aca="false">IF(ISNUMBER($S179),$S179*Parâmetros!$C$6,"")</f>
        <v/>
      </c>
      <c r="W179" s="44" t="str">
        <f aca="false">IF(ISNUMBER($S179),$S179-$D179-IF(ISNUMBER($E179),$E179,0)-$O179-$T179-$U179-$V179,"")</f>
        <v/>
      </c>
      <c r="X179" s="46" t="str">
        <f aca="false">IF(AND(ISNUMBER($S179),$S179&gt;0),$W179/$S179,"")</f>
        <v/>
      </c>
      <c r="Y179" s="49" t="s">
        <v>737</v>
      </c>
      <c r="Z179" s="21" t="s">
        <v>748</v>
      </c>
    </row>
    <row r="180" customFormat="false" ht="15.75" hidden="false" customHeight="true" outlineLevel="0" collapsed="false">
      <c r="A180" s="32" t="str">
        <f aca="false">IF(Produtos!$A180="","",Produtos!$A180)</f>
        <v>Q4070-A</v>
      </c>
      <c r="B180" s="32" t="str">
        <f aca="false">IF(Produtos!$A180="","",Produtos!$B180)</f>
        <v>Lixeira Quadrada c/Aro 40x70 100L</v>
      </c>
      <c r="C180" s="32" t="str">
        <f aca="false">IF(Produtos!$A180="","",Produtos!$C180)</f>
        <v>Lixeiras em inox</v>
      </c>
      <c r="D180" s="33" t="n">
        <f aca="false">IF(Produtos!$A180="","",IF(Produtos!$D180="","",Produtos!$D180))</f>
        <v>580.13</v>
      </c>
      <c r="E180" s="11" t="n">
        <v>0</v>
      </c>
      <c r="F180" s="34" t="n">
        <f aca="false">IF($A180="","",IF($C180="","⚠ categoria",IFERROR(INDEX(Parâmetros!$D$13:$D$22,MATCH($C180,Parâmetros!$A$13:$A$22,0)),"⚠ categoria")))</f>
        <v>0.13</v>
      </c>
      <c r="G180" s="35"/>
      <c r="H180" s="36" t="n">
        <f aca="false">IF($A180="","",IF(ISNUMBER($G180),$G180,IF(ISNUMBER($F180),$F180,"")))</f>
        <v>0.13</v>
      </c>
      <c r="I180" s="37" t="n">
        <f aca="false">IF(OR($A180="",NOT(ISNUMBER($D180)),NOT(ISNUMBER($H180))),"",IF((1-$H180-Parâmetros!$B$6-Parâmetros!$C$6-Parâmetros!$D$6)&lt;=0,"INVALIDO",($D180+IF(ISNUMBER($E180),$E180,0)+IF(ISNUMBER(Parâmetros!$E$6),Parâmetros!$E$6,0))/(1-$H180-Parâmetros!$B$6-Parâmetros!$C$6-Parâmetros!$D$6)))</f>
        <v>1074.31481481481</v>
      </c>
      <c r="J180" s="38" t="n">
        <v>1053.17</v>
      </c>
      <c r="K180" s="39" t="n">
        <f aca="false">IF(OR($A180="",NOT(ISNUMBER($D180)),NOT(ISNUMBER($H180))),"",IF(AND(ISNUMBER($J180),$J180&gt;0),$J180,IF(ISNUMBER($I180),$I180,"")))</f>
        <v>1053.17</v>
      </c>
      <c r="L180" s="40" t="n">
        <f aca="false">IF(ISNUMBER($K180),$K180*$H180,"")</f>
        <v>136.9121</v>
      </c>
      <c r="M180" s="40" t="n">
        <f aca="false">IF(ISNUMBER($K180),$K180*Parâmetros!$B$6,"")</f>
        <v>105.317</v>
      </c>
      <c r="N180" s="40" t="n">
        <f aca="false">IF(ISNUMBER($K180),$K180*Parâmetros!$C$6,"")</f>
        <v>31.5951</v>
      </c>
      <c r="O180" s="40" t="n">
        <f aca="false">IF(ISNUMBER($K180),IF(ISNUMBER(Parâmetros!$E$6),Parâmetros!$E$6,0),"")</f>
        <v>0</v>
      </c>
      <c r="P180" s="41" t="n">
        <f aca="false">IF(ISNUMBER($K180),$K180-$D180-IF(ISNUMBER($E180),$E180,0)-$L180-$M180-$N180-$O180,"")</f>
        <v>199.2158</v>
      </c>
      <c r="Q180" s="42" t="n">
        <f aca="false">IF(AND(ISNUMBER($K180),$K180&gt;0),$P180/$K180,"")</f>
        <v>0.189158255552285</v>
      </c>
      <c r="R180" s="43"/>
      <c r="S180" s="44" t="str">
        <f aca="false">IF(OR(NOT(ISNUMBER($R180)),$R180=0,NOT(ISNUMBER($K180))),"",$K180*(1-$R180))</f>
        <v/>
      </c>
      <c r="T180" s="45" t="str">
        <f aca="false">IF(ISNUMBER($S180),$S180*$H180,"")</f>
        <v/>
      </c>
      <c r="U180" s="45" t="str">
        <f aca="false">IF(ISNUMBER($S180),$S180*Parâmetros!$B$6,"")</f>
        <v/>
      </c>
      <c r="V180" s="45" t="str">
        <f aca="false">IF(ISNUMBER($S180),$S180*Parâmetros!$C$6,"")</f>
        <v/>
      </c>
      <c r="W180" s="44" t="str">
        <f aca="false">IF(ISNUMBER($S180),$S180-$D180-IF(ISNUMBER($E180),$E180,0)-$O180-$T180-$U180-$V180,"")</f>
        <v/>
      </c>
      <c r="X180" s="46" t="str">
        <f aca="false">IF(AND(ISNUMBER($S180),$S180&gt;0),$W180/$S180,"")</f>
        <v/>
      </c>
      <c r="Y180" s="47" t="s">
        <v>737</v>
      </c>
      <c r="Z180" s="19" t="s">
        <v>749</v>
      </c>
    </row>
    <row r="181" customFormat="false" ht="15.75" hidden="false" customHeight="true" outlineLevel="0" collapsed="false">
      <c r="A181" s="48" t="str">
        <f aca="false">IF(Produtos!$A181="","",Produtos!$A181)</f>
        <v>Q2430-B</v>
      </c>
      <c r="B181" s="48" t="str">
        <f aca="false">IF(Produtos!$A181="","",Produtos!$B181)</f>
        <v>Lixeira Quadrada c/Aro Basculante 24x30 15L</v>
      </c>
      <c r="C181" s="48" t="str">
        <f aca="false">IF(Produtos!$A181="","",Produtos!$C181)</f>
        <v>Lixeiras em inox</v>
      </c>
      <c r="D181" s="33" t="n">
        <f aca="false">IF(Produtos!$A181="","",IF(Produtos!$D181="","",Produtos!$D181))</f>
        <v>149.88</v>
      </c>
      <c r="E181" s="11" t="n">
        <v>0</v>
      </c>
      <c r="F181" s="34" t="n">
        <f aca="false">IF($A181="","",IF($C181="","⚠ categoria",IFERROR(INDEX(Parâmetros!$D$13:$D$22,MATCH($C181,Parâmetros!$A$13:$A$22,0)),"⚠ categoria")))</f>
        <v>0.13</v>
      </c>
      <c r="G181" s="35"/>
      <c r="H181" s="36" t="n">
        <f aca="false">IF($A181="","",IF(ISNUMBER($G181),$G181,IF(ISNUMBER($F181),$F181,"")))</f>
        <v>0.13</v>
      </c>
      <c r="I181" s="37" t="n">
        <f aca="false">IF(OR($A181="",NOT(ISNUMBER($D181)),NOT(ISNUMBER($H181))),"",IF((1-$H181-Parâmetros!$B$6-Parâmetros!$C$6-Parâmetros!$D$6)&lt;=0,"INVALIDO",($D181+IF(ISNUMBER($E181),$E181,0)+IF(ISNUMBER(Parâmetros!$E$6),Parâmetros!$E$6,0))/(1-$H181-Parâmetros!$B$6-Parâmetros!$C$6-Parâmetros!$D$6)))</f>
        <v>277.555555555556</v>
      </c>
      <c r="J181" s="38" t="n">
        <v>273.9</v>
      </c>
      <c r="K181" s="39" t="n">
        <f aca="false">IF(OR($A181="",NOT(ISNUMBER($D181)),NOT(ISNUMBER($H181))),"",IF(AND(ISNUMBER($J181),$J181&gt;0),$J181,IF(ISNUMBER($I181),$I181,"")))</f>
        <v>273.9</v>
      </c>
      <c r="L181" s="40" t="n">
        <f aca="false">IF(ISNUMBER($K181),$K181*$H181,"")</f>
        <v>35.607</v>
      </c>
      <c r="M181" s="40" t="n">
        <f aca="false">IF(ISNUMBER($K181),$K181*Parâmetros!$B$6,"")</f>
        <v>27.39</v>
      </c>
      <c r="N181" s="40" t="n">
        <f aca="false">IF(ISNUMBER($K181),$K181*Parâmetros!$C$6,"")</f>
        <v>8.217</v>
      </c>
      <c r="O181" s="40" t="n">
        <f aca="false">IF(ISNUMBER($K181),IF(ISNUMBER(Parâmetros!$E$6),Parâmetros!$E$6,0),"")</f>
        <v>0</v>
      </c>
      <c r="P181" s="41" t="n">
        <f aca="false">IF(ISNUMBER($K181),$K181-$D181-IF(ISNUMBER($E181),$E181,0)-$L181-$M181-$N181-$O181,"")</f>
        <v>52.806</v>
      </c>
      <c r="Q181" s="42" t="n">
        <f aca="false">IF(AND(ISNUMBER($K181),$K181&gt;0),$P181/$K181,"")</f>
        <v>0.192792990142388</v>
      </c>
      <c r="R181" s="43"/>
      <c r="S181" s="44" t="str">
        <f aca="false">IF(OR(NOT(ISNUMBER($R181)),$R181=0,NOT(ISNUMBER($K181))),"",$K181*(1-$R181))</f>
        <v/>
      </c>
      <c r="T181" s="45" t="str">
        <f aca="false">IF(ISNUMBER($S181),$S181*$H181,"")</f>
        <v/>
      </c>
      <c r="U181" s="45" t="str">
        <f aca="false">IF(ISNUMBER($S181),$S181*Parâmetros!$B$6,"")</f>
        <v/>
      </c>
      <c r="V181" s="45" t="str">
        <f aca="false">IF(ISNUMBER($S181),$S181*Parâmetros!$C$6,"")</f>
        <v/>
      </c>
      <c r="W181" s="44" t="str">
        <f aca="false">IF(ISNUMBER($S181),$S181-$D181-IF(ISNUMBER($E181),$E181,0)-$O181-$T181-$U181-$V181,"")</f>
        <v/>
      </c>
      <c r="X181" s="46" t="str">
        <f aca="false">IF(AND(ISNUMBER($S181),$S181&gt;0),$W181/$S181,"")</f>
        <v/>
      </c>
      <c r="Y181" s="49" t="s">
        <v>737</v>
      </c>
      <c r="Z181" s="21" t="s">
        <v>747</v>
      </c>
    </row>
    <row r="182" customFormat="false" ht="15.75" hidden="false" customHeight="true" outlineLevel="0" collapsed="false">
      <c r="A182" s="32" t="str">
        <f aca="false">IF(Produtos!$A182="","",Produtos!$A182)</f>
        <v>Q2460-B</v>
      </c>
      <c r="B182" s="32" t="str">
        <f aca="false">IF(Produtos!$A182="","",Produtos!$B182)</f>
        <v>Lixeira Quadrada c/Aro Basculante 24x60 30L</v>
      </c>
      <c r="C182" s="32" t="str">
        <f aca="false">IF(Produtos!$A182="","",Produtos!$C182)</f>
        <v>Lixeiras em inox</v>
      </c>
      <c r="D182" s="33" t="n">
        <f aca="false">IF(Produtos!$A182="","",IF(Produtos!$D182="","",Produtos!$D182))</f>
        <v>198.38</v>
      </c>
      <c r="E182" s="11" t="n">
        <v>0</v>
      </c>
      <c r="F182" s="34" t="n">
        <f aca="false">IF($A182="","",IF($C182="","⚠ categoria",IFERROR(INDEX(Parâmetros!$D$13:$D$22,MATCH($C182,Parâmetros!$A$13:$A$22,0)),"⚠ categoria")))</f>
        <v>0.13</v>
      </c>
      <c r="G182" s="35"/>
      <c r="H182" s="36" t="n">
        <f aca="false">IF($A182="","",IF(ISNUMBER($G182),$G182,IF(ISNUMBER($F182),$F182,"")))</f>
        <v>0.13</v>
      </c>
      <c r="I182" s="37" t="n">
        <f aca="false">IF(OR($A182="",NOT(ISNUMBER($D182)),NOT(ISNUMBER($H182))),"",IF((1-$H182-Parâmetros!$B$6-Parâmetros!$C$6-Parâmetros!$D$6)&lt;=0,"INVALIDO",($D182+IF(ISNUMBER($E182),$E182,0)+IF(ISNUMBER(Parâmetros!$E$6),Parâmetros!$E$6,0))/(1-$H182-Parâmetros!$B$6-Parâmetros!$C$6-Parâmetros!$D$6)))</f>
        <v>367.37037037037</v>
      </c>
      <c r="J182" s="38" t="n">
        <v>360.97</v>
      </c>
      <c r="K182" s="39" t="n">
        <f aca="false">IF(OR($A182="",NOT(ISNUMBER($D182)),NOT(ISNUMBER($H182))),"",IF(AND(ISNUMBER($J182),$J182&gt;0),$J182,IF(ISNUMBER($I182),$I182,"")))</f>
        <v>360.97</v>
      </c>
      <c r="L182" s="40" t="n">
        <f aca="false">IF(ISNUMBER($K182),$K182*$H182,"")</f>
        <v>46.9261</v>
      </c>
      <c r="M182" s="40" t="n">
        <f aca="false">IF(ISNUMBER($K182),$K182*Parâmetros!$B$6,"")</f>
        <v>36.097</v>
      </c>
      <c r="N182" s="40" t="n">
        <f aca="false">IF(ISNUMBER($K182),$K182*Parâmetros!$C$6,"")</f>
        <v>10.8291</v>
      </c>
      <c r="O182" s="40" t="n">
        <f aca="false">IF(ISNUMBER($K182),IF(ISNUMBER(Parâmetros!$E$6),Parâmetros!$E$6,0),"")</f>
        <v>0</v>
      </c>
      <c r="P182" s="41" t="n">
        <f aca="false">IF(ISNUMBER($K182),$K182-$D182-IF(ISNUMBER($E182),$E182,0)-$L182-$M182-$N182-$O182,"")</f>
        <v>68.7378</v>
      </c>
      <c r="Q182" s="42" t="n">
        <f aca="false">IF(AND(ISNUMBER($K182),$K182&gt;0),$P182/$K182,"")</f>
        <v>0.190425243094994</v>
      </c>
      <c r="R182" s="43"/>
      <c r="S182" s="44" t="str">
        <f aca="false">IF(OR(NOT(ISNUMBER($R182)),$R182=0,NOT(ISNUMBER($K182))),"",$K182*(1-$R182))</f>
        <v/>
      </c>
      <c r="T182" s="45" t="str">
        <f aca="false">IF(ISNUMBER($S182),$S182*$H182,"")</f>
        <v/>
      </c>
      <c r="U182" s="45" t="str">
        <f aca="false">IF(ISNUMBER($S182),$S182*Parâmetros!$B$6,"")</f>
        <v/>
      </c>
      <c r="V182" s="45" t="str">
        <f aca="false">IF(ISNUMBER($S182),$S182*Parâmetros!$C$6,"")</f>
        <v/>
      </c>
      <c r="W182" s="44" t="str">
        <f aca="false">IF(ISNUMBER($S182),$S182-$D182-IF(ISNUMBER($E182),$E182,0)-$O182-$T182-$U182-$V182,"")</f>
        <v/>
      </c>
      <c r="X182" s="46" t="str">
        <f aca="false">IF(AND(ISNUMBER($S182),$S182&gt;0),$W182/$S182,"")</f>
        <v/>
      </c>
      <c r="Y182" s="47" t="s">
        <v>737</v>
      </c>
      <c r="Z182" s="19" t="s">
        <v>748</v>
      </c>
    </row>
    <row r="183" customFormat="false" ht="15.75" hidden="false" customHeight="true" outlineLevel="0" collapsed="false">
      <c r="A183" s="48" t="str">
        <f aca="false">IF(Produtos!$A183="","",Produtos!$A183)</f>
        <v>Q3060-B</v>
      </c>
      <c r="B183" s="48" t="str">
        <f aca="false">IF(Produtos!$A183="","",Produtos!$B183)</f>
        <v>Lixeira Quadrada c/Aro Basculante 30x60 50L</v>
      </c>
      <c r="C183" s="48" t="str">
        <f aca="false">IF(Produtos!$A183="","",Produtos!$C183)</f>
        <v>Lixeiras em inox</v>
      </c>
      <c r="D183" s="33" t="n">
        <f aca="false">IF(Produtos!$A183="","",IF(Produtos!$D183="","",Produtos!$D183))</f>
        <v>301.03</v>
      </c>
      <c r="E183" s="11" t="n">
        <v>0</v>
      </c>
      <c r="F183" s="34" t="n">
        <f aca="false">IF($A183="","",IF($C183="","⚠ categoria",IFERROR(INDEX(Parâmetros!$D$13:$D$22,MATCH($C183,Parâmetros!$A$13:$A$22,0)),"⚠ categoria")))</f>
        <v>0.13</v>
      </c>
      <c r="G183" s="35"/>
      <c r="H183" s="36" t="n">
        <f aca="false">IF($A183="","",IF(ISNUMBER($G183),$G183,IF(ISNUMBER($F183),$F183,"")))</f>
        <v>0.13</v>
      </c>
      <c r="I183" s="37" t="n">
        <f aca="false">IF(OR($A183="",NOT(ISNUMBER($D183)),NOT(ISNUMBER($H183))),"",IF((1-$H183-Parâmetros!$B$6-Parâmetros!$C$6-Parâmetros!$D$6)&lt;=0,"INVALIDO",($D183+IF(ISNUMBER($E183),$E183,0)+IF(ISNUMBER(Parâmetros!$E$6),Parâmetros!$E$6,0))/(1-$H183-Parâmetros!$B$6-Parâmetros!$C$6-Parâmetros!$D$6)))</f>
        <v>557.462962962963</v>
      </c>
      <c r="J183" s="38" t="n">
        <v>532.93</v>
      </c>
      <c r="K183" s="39" t="n">
        <f aca="false">IF(OR($A183="",NOT(ISNUMBER($D183)),NOT(ISNUMBER($H183))),"",IF(AND(ISNUMBER($J183),$J183&gt;0),$J183,IF(ISNUMBER($I183),$I183,"")))</f>
        <v>532.93</v>
      </c>
      <c r="L183" s="40" t="n">
        <f aca="false">IF(ISNUMBER($K183),$K183*$H183,"")</f>
        <v>69.2809</v>
      </c>
      <c r="M183" s="40" t="n">
        <f aca="false">IF(ISNUMBER($K183),$K183*Parâmetros!$B$6,"")</f>
        <v>53.293</v>
      </c>
      <c r="N183" s="40" t="n">
        <f aca="false">IF(ISNUMBER($K183),$K183*Parâmetros!$C$6,"")</f>
        <v>15.9879</v>
      </c>
      <c r="O183" s="40" t="n">
        <f aca="false">IF(ISNUMBER($K183),IF(ISNUMBER(Parâmetros!$E$6),Parâmetros!$E$6,0),"")</f>
        <v>0</v>
      </c>
      <c r="P183" s="41" t="n">
        <f aca="false">IF(ISNUMBER($K183),$K183-$D183-IF(ISNUMBER($E183),$E183,0)-$L183-$M183-$N183-$O183,"")</f>
        <v>93.3382</v>
      </c>
      <c r="Q183" s="42" t="n">
        <f aca="false">IF(AND(ISNUMBER($K183),$K183&gt;0),$P183/$K183,"")</f>
        <v>0.175141575816711</v>
      </c>
      <c r="R183" s="43"/>
      <c r="S183" s="44" t="str">
        <f aca="false">IF(OR(NOT(ISNUMBER($R183)),$R183=0,NOT(ISNUMBER($K183))),"",$K183*(1-$R183))</f>
        <v/>
      </c>
      <c r="T183" s="45" t="str">
        <f aca="false">IF(ISNUMBER($S183),$S183*$H183,"")</f>
        <v/>
      </c>
      <c r="U183" s="45" t="str">
        <f aca="false">IF(ISNUMBER($S183),$S183*Parâmetros!$B$6,"")</f>
        <v/>
      </c>
      <c r="V183" s="45" t="str">
        <f aca="false">IF(ISNUMBER($S183),$S183*Parâmetros!$C$6,"")</f>
        <v/>
      </c>
      <c r="W183" s="44" t="str">
        <f aca="false">IF(ISNUMBER($S183),$S183-$D183-IF(ISNUMBER($E183),$E183,0)-$O183-$T183-$U183-$V183,"")</f>
        <v/>
      </c>
      <c r="X183" s="46" t="str">
        <f aca="false">IF(AND(ISNUMBER($S183),$S183&gt;0),$W183/$S183,"")</f>
        <v/>
      </c>
      <c r="Y183" s="49" t="s">
        <v>737</v>
      </c>
      <c r="Z183" s="21" t="s">
        <v>748</v>
      </c>
    </row>
    <row r="184" customFormat="false" ht="15.75" hidden="false" customHeight="true" outlineLevel="0" collapsed="false">
      <c r="A184" s="32" t="str">
        <f aca="false">IF(Produtos!$A184="","",Produtos!$A184)</f>
        <v>Q4070-B</v>
      </c>
      <c r="B184" s="32" t="str">
        <f aca="false">IF(Produtos!$A184="","",Produtos!$B184)</f>
        <v>Lixeira Quadrada c/Aro Basculante 40x70 100L</v>
      </c>
      <c r="C184" s="32" t="str">
        <f aca="false">IF(Produtos!$A184="","",Produtos!$C184)</f>
        <v>Lixeiras em inox</v>
      </c>
      <c r="D184" s="33" t="n">
        <f aca="false">IF(Produtos!$A184="","",IF(Produtos!$D184="","",Produtos!$D184))</f>
        <v>619.95</v>
      </c>
      <c r="E184" s="11" t="n">
        <v>0</v>
      </c>
      <c r="F184" s="34" t="n">
        <f aca="false">IF($A184="","",IF($C184="","⚠ categoria",IFERROR(INDEX(Parâmetros!$D$13:$D$22,MATCH($C184,Parâmetros!$A$13:$A$22,0)),"⚠ categoria")))</f>
        <v>0.13</v>
      </c>
      <c r="G184" s="35"/>
      <c r="H184" s="36" t="n">
        <f aca="false">IF($A184="","",IF(ISNUMBER($G184),$G184,IF(ISNUMBER($F184),$F184,"")))</f>
        <v>0.13</v>
      </c>
      <c r="I184" s="37" t="n">
        <f aca="false">IF(OR($A184="",NOT(ISNUMBER($D184)),NOT(ISNUMBER($H184))),"",IF((1-$H184-Parâmetros!$B$6-Parâmetros!$C$6-Parâmetros!$D$6)&lt;=0,"INVALIDO",($D184+IF(ISNUMBER($E184),$E184,0)+IF(ISNUMBER(Parâmetros!$E$6),Parâmetros!$E$6,0))/(1-$H184-Parâmetros!$B$6-Parâmetros!$C$6-Parâmetros!$D$6)))</f>
        <v>1148.05555555556</v>
      </c>
      <c r="J184" s="38" t="n">
        <v>1116.81</v>
      </c>
      <c r="K184" s="39" t="n">
        <f aca="false">IF(OR($A184="",NOT(ISNUMBER($D184)),NOT(ISNUMBER($H184))),"",IF(AND(ISNUMBER($J184),$J184&gt;0),$J184,IF(ISNUMBER($I184),$I184,"")))</f>
        <v>1116.81</v>
      </c>
      <c r="L184" s="40" t="n">
        <f aca="false">IF(ISNUMBER($K184),$K184*$H184,"")</f>
        <v>145.1853</v>
      </c>
      <c r="M184" s="40" t="n">
        <f aca="false">IF(ISNUMBER($K184),$K184*Parâmetros!$B$6,"")</f>
        <v>111.681</v>
      </c>
      <c r="N184" s="40" t="n">
        <f aca="false">IF(ISNUMBER($K184),$K184*Parâmetros!$C$6,"")</f>
        <v>33.5043</v>
      </c>
      <c r="O184" s="40" t="n">
        <f aca="false">IF(ISNUMBER($K184),IF(ISNUMBER(Parâmetros!$E$6),Parâmetros!$E$6,0),"")</f>
        <v>0</v>
      </c>
      <c r="P184" s="41" t="n">
        <f aca="false">IF(ISNUMBER($K184),$K184-$D184-IF(ISNUMBER($E184),$E184,0)-$L184-$M184-$N184-$O184,"")</f>
        <v>206.4894</v>
      </c>
      <c r="Q184" s="42" t="n">
        <f aca="false">IF(AND(ISNUMBER($K184),$K184&gt;0),$P184/$K184,"")</f>
        <v>0.184892148172026</v>
      </c>
      <c r="R184" s="43"/>
      <c r="S184" s="44" t="str">
        <f aca="false">IF(OR(NOT(ISNUMBER($R184)),$R184=0,NOT(ISNUMBER($K184))),"",$K184*(1-$R184))</f>
        <v/>
      </c>
      <c r="T184" s="45" t="str">
        <f aca="false">IF(ISNUMBER($S184),$S184*$H184,"")</f>
        <v/>
      </c>
      <c r="U184" s="45" t="str">
        <f aca="false">IF(ISNUMBER($S184),$S184*Parâmetros!$B$6,"")</f>
        <v/>
      </c>
      <c r="V184" s="45" t="str">
        <f aca="false">IF(ISNUMBER($S184),$S184*Parâmetros!$C$6,"")</f>
        <v/>
      </c>
      <c r="W184" s="44" t="str">
        <f aca="false">IF(ISNUMBER($S184),$S184-$D184-IF(ISNUMBER($E184),$E184,0)-$O184-$T184-$U184-$V184,"")</f>
        <v/>
      </c>
      <c r="X184" s="46" t="str">
        <f aca="false">IF(AND(ISNUMBER($S184),$S184&gt;0),$W184/$S184,"")</f>
        <v/>
      </c>
      <c r="Y184" s="47" t="s">
        <v>737</v>
      </c>
      <c r="Z184" s="19" t="s">
        <v>749</v>
      </c>
    </row>
    <row r="185" customFormat="false" ht="15.75" hidden="false" customHeight="true" outlineLevel="0" collapsed="false">
      <c r="A185" s="48" t="str">
        <f aca="false">IF(Produtos!$A185="","",Produtos!$A185)</f>
        <v>PQ-2430</v>
      </c>
      <c r="B185" s="48" t="str">
        <f aca="false">IF(Produtos!$A185="","",Produtos!$B185)</f>
        <v>Lixeira quadrada com Tampa Pedal de Aço inox 24x30 15L</v>
      </c>
      <c r="C185" s="48" t="str">
        <f aca="false">IF(Produtos!$A185="","",Produtos!$C185)</f>
        <v>Lixeiras com pedal</v>
      </c>
      <c r="D185" s="33" t="n">
        <f aca="false">IF(Produtos!$A185="","",IF(Produtos!$D185="","",Produtos!$D185))</f>
        <v>220.94</v>
      </c>
      <c r="E185" s="11" t="n">
        <v>0</v>
      </c>
      <c r="F185" s="34" t="n">
        <f aca="false">IF($A185="","",IF($C185="","⚠ categoria",IFERROR(INDEX(Parâmetros!$D$13:$D$22,MATCH($C185,Parâmetros!$A$13:$A$22,0)),"⚠ categoria")))</f>
        <v>0.13</v>
      </c>
      <c r="G185" s="35"/>
      <c r="H185" s="36" t="n">
        <f aca="false">IF($A185="","",IF(ISNUMBER($G185),$G185,IF(ISNUMBER($F185),$F185,"")))</f>
        <v>0.13</v>
      </c>
      <c r="I185" s="37" t="n">
        <f aca="false">IF(OR($A185="",NOT(ISNUMBER($D185)),NOT(ISNUMBER($H185))),"",IF((1-$H185-Parâmetros!$B$6-Parâmetros!$C$6-Parâmetros!$D$6)&lt;=0,"INVALIDO",($D185+IF(ISNUMBER($E185),$E185,0)+IF(ISNUMBER(Parâmetros!$E$6),Parâmetros!$E$6,0))/(1-$H185-Parâmetros!$B$6-Parâmetros!$C$6-Parâmetros!$D$6)))</f>
        <v>409.148148148148</v>
      </c>
      <c r="J185" s="38"/>
      <c r="K185" s="39" t="n">
        <f aca="false">IF(OR($A185="",NOT(ISNUMBER($D185)),NOT(ISNUMBER($H185))),"",IF(AND(ISNUMBER($J185),$J185&gt;0),$J185,IF(ISNUMBER($I185),$I185,"")))</f>
        <v>409.148148148148</v>
      </c>
      <c r="L185" s="40" t="n">
        <f aca="false">IF(ISNUMBER($K185),$K185*$H185,"")</f>
        <v>53.1892592592593</v>
      </c>
      <c r="M185" s="40" t="n">
        <f aca="false">IF(ISNUMBER($K185),$K185*Parâmetros!$B$6,"")</f>
        <v>40.9148148148148</v>
      </c>
      <c r="N185" s="40" t="n">
        <f aca="false">IF(ISNUMBER($K185),$K185*Parâmetros!$C$6,"")</f>
        <v>12.2744444444444</v>
      </c>
      <c r="O185" s="40" t="n">
        <f aca="false">IF(ISNUMBER($K185),IF(ISNUMBER(Parâmetros!$E$6),Parâmetros!$E$6,0),"")</f>
        <v>0</v>
      </c>
      <c r="P185" s="41" t="n">
        <f aca="false">IF(ISNUMBER($K185),$K185-$D185-IF(ISNUMBER($E185),$E185,0)-$L185-$M185-$N185-$O185,"")</f>
        <v>81.8296296296296</v>
      </c>
      <c r="Q185" s="42" t="n">
        <f aca="false">IF(AND(ISNUMBER($K185),$K185&gt;0),$P185/$K185,"")</f>
        <v>0.2</v>
      </c>
      <c r="R185" s="43"/>
      <c r="S185" s="44" t="str">
        <f aca="false">IF(OR(NOT(ISNUMBER($R185)),$R185=0,NOT(ISNUMBER($K185))),"",$K185*(1-$R185))</f>
        <v/>
      </c>
      <c r="T185" s="45" t="str">
        <f aca="false">IF(ISNUMBER($S185),$S185*$H185,"")</f>
        <v/>
      </c>
      <c r="U185" s="45" t="str">
        <f aca="false">IF(ISNUMBER($S185),$S185*Parâmetros!$B$6,"")</f>
        <v/>
      </c>
      <c r="V185" s="45" t="str">
        <f aca="false">IF(ISNUMBER($S185),$S185*Parâmetros!$C$6,"")</f>
        <v/>
      </c>
      <c r="W185" s="44" t="str">
        <f aca="false">IF(ISNUMBER($S185),$S185-$D185-IF(ISNUMBER($E185),$E185,0)-$O185-$T185-$U185-$V185,"")</f>
        <v/>
      </c>
      <c r="X185" s="46" t="str">
        <f aca="false">IF(AND(ISNUMBER($S185),$S185&gt;0),$W185/$S185,"")</f>
        <v/>
      </c>
      <c r="Y185" s="49"/>
      <c r="Z185" s="21"/>
    </row>
    <row r="186" customFormat="false" ht="15.75" hidden="false" customHeight="true" outlineLevel="0" collapsed="false">
      <c r="A186" s="32" t="str">
        <f aca="false">IF(Produtos!$A186="","",Produtos!$A186)</f>
        <v>PQ-2460</v>
      </c>
      <c r="B186" s="32" t="str">
        <f aca="false">IF(Produtos!$A186="","",Produtos!$B186)</f>
        <v>Lixeira quadrada com Tampa Pedal de Aço inox 24x60 30L</v>
      </c>
      <c r="C186" s="32" t="str">
        <f aca="false">IF(Produtos!$A186="","",Produtos!$C186)</f>
        <v>Lixeiras com pedal</v>
      </c>
      <c r="D186" s="33" t="n">
        <f aca="false">IF(Produtos!$A186="","",IF(Produtos!$D186="","",Produtos!$D186))</f>
        <v>303.74</v>
      </c>
      <c r="E186" s="11" t="n">
        <v>0</v>
      </c>
      <c r="F186" s="34" t="n">
        <f aca="false">IF($A186="","",IF($C186="","⚠ categoria",IFERROR(INDEX(Parâmetros!$D$13:$D$22,MATCH($C186,Parâmetros!$A$13:$A$22,0)),"⚠ categoria")))</f>
        <v>0.13</v>
      </c>
      <c r="G186" s="35"/>
      <c r="H186" s="36" t="n">
        <f aca="false">IF($A186="","",IF(ISNUMBER($G186),$G186,IF(ISNUMBER($F186),$F186,"")))</f>
        <v>0.13</v>
      </c>
      <c r="I186" s="37" t="n">
        <f aca="false">IF(OR($A186="",NOT(ISNUMBER($D186)),NOT(ISNUMBER($H186))),"",IF((1-$H186-Parâmetros!$B$6-Parâmetros!$C$6-Parâmetros!$D$6)&lt;=0,"INVALIDO",($D186+IF(ISNUMBER($E186),$E186,0)+IF(ISNUMBER(Parâmetros!$E$6),Parâmetros!$E$6,0))/(1-$H186-Parâmetros!$B$6-Parâmetros!$C$6-Parâmetros!$D$6)))</f>
        <v>562.481481481481</v>
      </c>
      <c r="J186" s="38"/>
      <c r="K186" s="39" t="n">
        <f aca="false">IF(OR($A186="",NOT(ISNUMBER($D186)),NOT(ISNUMBER($H186))),"",IF(AND(ISNUMBER($J186),$J186&gt;0),$J186,IF(ISNUMBER($I186),$I186,"")))</f>
        <v>562.481481481481</v>
      </c>
      <c r="L186" s="40" t="n">
        <f aca="false">IF(ISNUMBER($K186),$K186*$H186,"")</f>
        <v>73.1225925925926</v>
      </c>
      <c r="M186" s="40" t="n">
        <f aca="false">IF(ISNUMBER($K186),$K186*Parâmetros!$B$6,"")</f>
        <v>56.2481481481482</v>
      </c>
      <c r="N186" s="40" t="n">
        <f aca="false">IF(ISNUMBER($K186),$K186*Parâmetros!$C$6,"")</f>
        <v>16.8744444444444</v>
      </c>
      <c r="O186" s="40" t="n">
        <f aca="false">IF(ISNUMBER($K186),IF(ISNUMBER(Parâmetros!$E$6),Parâmetros!$E$6,0),"")</f>
        <v>0</v>
      </c>
      <c r="P186" s="41" t="n">
        <f aca="false">IF(ISNUMBER($K186),$K186-$D186-IF(ISNUMBER($E186),$E186,0)-$L186-$M186-$N186-$O186,"")</f>
        <v>112.496296296296</v>
      </c>
      <c r="Q186" s="42" t="n">
        <f aca="false">IF(AND(ISNUMBER($K186),$K186&gt;0),$P186/$K186,"")</f>
        <v>0.2</v>
      </c>
      <c r="R186" s="43"/>
      <c r="S186" s="44" t="str">
        <f aca="false">IF(OR(NOT(ISNUMBER($R186)),$R186=0,NOT(ISNUMBER($K186))),"",$K186*(1-$R186))</f>
        <v/>
      </c>
      <c r="T186" s="45" t="str">
        <f aca="false">IF(ISNUMBER($S186),$S186*$H186,"")</f>
        <v/>
      </c>
      <c r="U186" s="45" t="str">
        <f aca="false">IF(ISNUMBER($S186),$S186*Parâmetros!$B$6,"")</f>
        <v/>
      </c>
      <c r="V186" s="45" t="str">
        <f aca="false">IF(ISNUMBER($S186),$S186*Parâmetros!$C$6,"")</f>
        <v/>
      </c>
      <c r="W186" s="44" t="str">
        <f aca="false">IF(ISNUMBER($S186),$S186-$D186-IF(ISNUMBER($E186),$E186,0)-$O186-$T186-$U186-$V186,"")</f>
        <v/>
      </c>
      <c r="X186" s="46" t="str">
        <f aca="false">IF(AND(ISNUMBER($S186),$S186&gt;0),$W186/$S186,"")</f>
        <v/>
      </c>
      <c r="Y186" s="47"/>
      <c r="Z186" s="19"/>
    </row>
    <row r="187" customFormat="false" ht="15.75" hidden="false" customHeight="true" outlineLevel="0" collapsed="false">
      <c r="A187" s="48" t="str">
        <f aca="false">IF(Produtos!$A187="","",Produtos!$A187)</f>
        <v>PQ-3060</v>
      </c>
      <c r="B187" s="48" t="str">
        <f aca="false">IF(Produtos!$A187="","",Produtos!$B187)</f>
        <v>Lixeira quadrada com Tampa Pedal de Aço inox 30x60 50L</v>
      </c>
      <c r="C187" s="48" t="str">
        <f aca="false">IF(Produtos!$A187="","",Produtos!$C187)</f>
        <v>Lixeiras com pedal</v>
      </c>
      <c r="D187" s="33" t="n">
        <f aca="false">IF(Produtos!$A187="","",IF(Produtos!$D187="","",Produtos!$D187))</f>
        <v>408.87</v>
      </c>
      <c r="E187" s="11" t="n">
        <v>0</v>
      </c>
      <c r="F187" s="34" t="n">
        <f aca="false">IF($A187="","",IF($C187="","⚠ categoria",IFERROR(INDEX(Parâmetros!$D$13:$D$22,MATCH($C187,Parâmetros!$A$13:$A$22,0)),"⚠ categoria")))</f>
        <v>0.13</v>
      </c>
      <c r="G187" s="35"/>
      <c r="H187" s="36" t="n">
        <f aca="false">IF($A187="","",IF(ISNUMBER($G187),$G187,IF(ISNUMBER($F187),$F187,"")))</f>
        <v>0.13</v>
      </c>
      <c r="I187" s="37" t="n">
        <f aca="false">IF(OR($A187="",NOT(ISNUMBER($D187)),NOT(ISNUMBER($H187))),"",IF((1-$H187-Parâmetros!$B$6-Parâmetros!$C$6-Parâmetros!$D$6)&lt;=0,"INVALIDO",($D187+IF(ISNUMBER($E187),$E187,0)+IF(ISNUMBER(Parâmetros!$E$6),Parâmetros!$E$6,0))/(1-$H187-Parâmetros!$B$6-Parâmetros!$C$6-Parâmetros!$D$6)))</f>
        <v>757.166666666667</v>
      </c>
      <c r="J187" s="38" t="n">
        <v>721.69</v>
      </c>
      <c r="K187" s="39" t="n">
        <f aca="false">IF(OR($A187="",NOT(ISNUMBER($D187)),NOT(ISNUMBER($H187))),"",IF(AND(ISNUMBER($J187),$J187&gt;0),$J187,IF(ISNUMBER($I187),$I187,"")))</f>
        <v>721.69</v>
      </c>
      <c r="L187" s="40" t="n">
        <f aca="false">IF(ISNUMBER($K187),$K187*$H187,"")</f>
        <v>93.8197</v>
      </c>
      <c r="M187" s="40" t="n">
        <f aca="false">IF(ISNUMBER($K187),$K187*Parâmetros!$B$6,"")</f>
        <v>72.169</v>
      </c>
      <c r="N187" s="40" t="n">
        <f aca="false">IF(ISNUMBER($K187),$K187*Parâmetros!$C$6,"")</f>
        <v>21.6507</v>
      </c>
      <c r="O187" s="40" t="n">
        <f aca="false">IF(ISNUMBER($K187),IF(ISNUMBER(Parâmetros!$E$6),Parâmetros!$E$6,0),"")</f>
        <v>0</v>
      </c>
      <c r="P187" s="41" t="n">
        <f aca="false">IF(ISNUMBER($K187),$K187-$D187-IF(ISNUMBER($E187),$E187,0)-$L187-$M187-$N187-$O187,"")</f>
        <v>125.1806</v>
      </c>
      <c r="Q187" s="42" t="n">
        <f aca="false">IF(AND(ISNUMBER($K187),$K187&gt;0),$P187/$K187,"")</f>
        <v>0.173454807465809</v>
      </c>
      <c r="R187" s="43"/>
      <c r="S187" s="44" t="str">
        <f aca="false">IF(OR(NOT(ISNUMBER($R187)),$R187=0,NOT(ISNUMBER($K187))),"",$K187*(1-$R187))</f>
        <v/>
      </c>
      <c r="T187" s="45" t="str">
        <f aca="false">IF(ISNUMBER($S187),$S187*$H187,"")</f>
        <v/>
      </c>
      <c r="U187" s="45" t="str">
        <f aca="false">IF(ISNUMBER($S187),$S187*Parâmetros!$B$6,"")</f>
        <v/>
      </c>
      <c r="V187" s="45" t="str">
        <f aca="false">IF(ISNUMBER($S187),$S187*Parâmetros!$C$6,"")</f>
        <v/>
      </c>
      <c r="W187" s="44" t="str">
        <f aca="false">IF(ISNUMBER($S187),$S187-$D187-IF(ISNUMBER($E187),$E187,0)-$O187-$T187-$U187-$V187,"")</f>
        <v/>
      </c>
      <c r="X187" s="46" t="str">
        <f aca="false">IF(AND(ISNUMBER($S187),$S187&gt;0),$W187/$S187,"")</f>
        <v/>
      </c>
      <c r="Y187" s="49" t="s">
        <v>737</v>
      </c>
      <c r="Z187" s="21" t="s">
        <v>748</v>
      </c>
    </row>
    <row r="188" customFormat="false" ht="15.75" hidden="false" customHeight="true" outlineLevel="0" collapsed="false">
      <c r="A188" s="32" t="str">
        <f aca="false">IF(Produtos!$A188="","",Produtos!$A188)</f>
        <v>PQ-4070</v>
      </c>
      <c r="B188" s="32" t="str">
        <f aca="false">IF(Produtos!$A188="","",Produtos!$B188)</f>
        <v>Lixeira quadrada com Tampa Pedal de Aço inox 40x70 100L</v>
      </c>
      <c r="C188" s="32" t="str">
        <f aca="false">IF(Produtos!$A188="","",Produtos!$C188)</f>
        <v>Lixeiras com pedal</v>
      </c>
      <c r="D188" s="33" t="n">
        <f aca="false">IF(Produtos!$A188="","",IF(Produtos!$D188="","",Produtos!$D188))</f>
        <v>905.26</v>
      </c>
      <c r="E188" s="11" t="n">
        <v>0</v>
      </c>
      <c r="F188" s="34" t="n">
        <f aca="false">IF($A188="","",IF($C188="","⚠ categoria",IFERROR(INDEX(Parâmetros!$D$13:$D$22,MATCH($C188,Parâmetros!$A$13:$A$22,0)),"⚠ categoria")))</f>
        <v>0.13</v>
      </c>
      <c r="G188" s="35"/>
      <c r="H188" s="36" t="n">
        <f aca="false">IF($A188="","",IF(ISNUMBER($G188),$G188,IF(ISNUMBER($F188),$F188,"")))</f>
        <v>0.13</v>
      </c>
      <c r="I188" s="37" t="n">
        <f aca="false">IF(OR($A188="",NOT(ISNUMBER($D188)),NOT(ISNUMBER($H188))),"",IF((1-$H188-Parâmetros!$B$6-Parâmetros!$C$6-Parâmetros!$D$6)&lt;=0,"INVALIDO",($D188+IF(ISNUMBER($E188),$E188,0)+IF(ISNUMBER(Parâmetros!$E$6),Parâmetros!$E$6,0))/(1-$H188-Parâmetros!$B$6-Parâmetros!$C$6-Parâmetros!$D$6)))</f>
        <v>1676.40740740741</v>
      </c>
      <c r="J188" s="38"/>
      <c r="K188" s="39" t="n">
        <f aca="false">IF(OR($A188="",NOT(ISNUMBER($D188)),NOT(ISNUMBER($H188))),"",IF(AND(ISNUMBER($J188),$J188&gt;0),$J188,IF(ISNUMBER($I188),$I188,"")))</f>
        <v>1676.40740740741</v>
      </c>
      <c r="L188" s="40" t="n">
        <f aca="false">IF(ISNUMBER($K188),$K188*$H188,"")</f>
        <v>217.932962962963</v>
      </c>
      <c r="M188" s="40" t="n">
        <f aca="false">IF(ISNUMBER($K188),$K188*Parâmetros!$B$6,"")</f>
        <v>167.640740740741</v>
      </c>
      <c r="N188" s="40" t="n">
        <f aca="false">IF(ISNUMBER($K188),$K188*Parâmetros!$C$6,"")</f>
        <v>50.2922222222222</v>
      </c>
      <c r="O188" s="40" t="n">
        <f aca="false">IF(ISNUMBER($K188),IF(ISNUMBER(Parâmetros!$E$6),Parâmetros!$E$6,0),"")</f>
        <v>0</v>
      </c>
      <c r="P188" s="41" t="n">
        <f aca="false">IF(ISNUMBER($K188),$K188-$D188-IF(ISNUMBER($E188),$E188,0)-$L188-$M188-$N188-$O188,"")</f>
        <v>335.281481481482</v>
      </c>
      <c r="Q188" s="42" t="n">
        <f aca="false">IF(AND(ISNUMBER($K188),$K188&gt;0),$P188/$K188,"")</f>
        <v>0.2</v>
      </c>
      <c r="R188" s="43"/>
      <c r="S188" s="44" t="str">
        <f aca="false">IF(OR(NOT(ISNUMBER($R188)),$R188=0,NOT(ISNUMBER($K188))),"",$K188*(1-$R188))</f>
        <v/>
      </c>
      <c r="T188" s="45" t="str">
        <f aca="false">IF(ISNUMBER($S188),$S188*$H188,"")</f>
        <v/>
      </c>
      <c r="U188" s="45" t="str">
        <f aca="false">IF(ISNUMBER($S188),$S188*Parâmetros!$B$6,"")</f>
        <v/>
      </c>
      <c r="V188" s="45" t="str">
        <f aca="false">IF(ISNUMBER($S188),$S188*Parâmetros!$C$6,"")</f>
        <v/>
      </c>
      <c r="W188" s="44" t="str">
        <f aca="false">IF(ISNUMBER($S188),$S188-$D188-IF(ISNUMBER($E188),$E188,0)-$O188-$T188-$U188-$V188,"")</f>
        <v/>
      </c>
      <c r="X188" s="46" t="str">
        <f aca="false">IF(AND(ISNUMBER($S188),$S188&gt;0),$W188/$S188,"")</f>
        <v/>
      </c>
      <c r="Y188" s="47"/>
      <c r="Z188" s="19"/>
    </row>
    <row r="189" customFormat="false" ht="15.75" hidden="false" customHeight="true" outlineLevel="0" collapsed="false">
      <c r="A189" s="48" t="str">
        <f aca="false">IF(Produtos!$A189="","",Produtos!$A189)</f>
        <v>PQ-4090</v>
      </c>
      <c r="B189" s="48" t="str">
        <f aca="false">IF(Produtos!$A189="","",Produtos!$B189)</f>
        <v>Lixeira quadrada com Tampa Pedal de Aço inox 40x90 120L</v>
      </c>
      <c r="C189" s="48" t="str">
        <f aca="false">IF(Produtos!$A189="","",Produtos!$C189)</f>
        <v>Lixeiras com pedal</v>
      </c>
      <c r="D189" s="33" t="n">
        <f aca="false">IF(Produtos!$A189="","",IF(Produtos!$D189="","",Produtos!$D189))</f>
        <v>956.96</v>
      </c>
      <c r="E189" s="11" t="n">
        <v>0</v>
      </c>
      <c r="F189" s="34" t="n">
        <f aca="false">IF($A189="","",IF($C189="","⚠ categoria",IFERROR(INDEX(Parâmetros!$D$13:$D$22,MATCH($C189,Parâmetros!$A$13:$A$22,0)),"⚠ categoria")))</f>
        <v>0.13</v>
      </c>
      <c r="G189" s="35"/>
      <c r="H189" s="36" t="n">
        <f aca="false">IF($A189="","",IF(ISNUMBER($G189),$G189,IF(ISNUMBER($F189),$F189,"")))</f>
        <v>0.13</v>
      </c>
      <c r="I189" s="37" t="n">
        <f aca="false">IF(OR($A189="",NOT(ISNUMBER($D189)),NOT(ISNUMBER($H189))),"",IF((1-$H189-Parâmetros!$B$6-Parâmetros!$C$6-Parâmetros!$D$6)&lt;=0,"INVALIDO",($D189+IF(ISNUMBER($E189),$E189,0)+IF(ISNUMBER(Parâmetros!$E$6),Parâmetros!$E$6,0))/(1-$H189-Parâmetros!$B$6-Parâmetros!$C$6-Parâmetros!$D$6)))</f>
        <v>1772.14814814815</v>
      </c>
      <c r="J189" s="38"/>
      <c r="K189" s="39" t="n">
        <f aca="false">IF(OR($A189="",NOT(ISNUMBER($D189)),NOT(ISNUMBER($H189))),"",IF(AND(ISNUMBER($J189),$J189&gt;0),$J189,IF(ISNUMBER($I189),$I189,"")))</f>
        <v>1772.14814814815</v>
      </c>
      <c r="L189" s="40" t="n">
        <f aca="false">IF(ISNUMBER($K189),$K189*$H189,"")</f>
        <v>230.379259259259</v>
      </c>
      <c r="M189" s="40" t="n">
        <f aca="false">IF(ISNUMBER($K189),$K189*Parâmetros!$B$6,"")</f>
        <v>177.214814814815</v>
      </c>
      <c r="N189" s="40" t="n">
        <f aca="false">IF(ISNUMBER($K189),$K189*Parâmetros!$C$6,"")</f>
        <v>53.1644444444444</v>
      </c>
      <c r="O189" s="40" t="n">
        <f aca="false">IF(ISNUMBER($K189),IF(ISNUMBER(Parâmetros!$E$6),Parâmetros!$E$6,0),"")</f>
        <v>0</v>
      </c>
      <c r="P189" s="41" t="n">
        <f aca="false">IF(ISNUMBER($K189),$K189-$D189-IF(ISNUMBER($E189),$E189,0)-$L189-$M189-$N189-$O189,"")</f>
        <v>354.42962962963</v>
      </c>
      <c r="Q189" s="42" t="n">
        <f aca="false">IF(AND(ISNUMBER($K189),$K189&gt;0),$P189/$K189,"")</f>
        <v>0.2</v>
      </c>
      <c r="R189" s="43"/>
      <c r="S189" s="44" t="str">
        <f aca="false">IF(OR(NOT(ISNUMBER($R189)),$R189=0,NOT(ISNUMBER($K189))),"",$K189*(1-$R189))</f>
        <v/>
      </c>
      <c r="T189" s="45" t="str">
        <f aca="false">IF(ISNUMBER($S189),$S189*$H189,"")</f>
        <v/>
      </c>
      <c r="U189" s="45" t="str">
        <f aca="false">IF(ISNUMBER($S189),$S189*Parâmetros!$B$6,"")</f>
        <v/>
      </c>
      <c r="V189" s="45" t="str">
        <f aca="false">IF(ISNUMBER($S189),$S189*Parâmetros!$C$6,"")</f>
        <v/>
      </c>
      <c r="W189" s="44" t="str">
        <f aca="false">IF(ISNUMBER($S189),$S189-$D189-IF(ISNUMBER($E189),$E189,0)-$O189-$T189-$U189-$V189,"")</f>
        <v/>
      </c>
      <c r="X189" s="46" t="str">
        <f aca="false">IF(AND(ISNUMBER($S189),$S189&gt;0),$W189/$S189,"")</f>
        <v/>
      </c>
      <c r="Y189" s="49"/>
      <c r="Z189" s="21"/>
    </row>
    <row r="190" customFormat="false" ht="15.75" hidden="false" customHeight="true" outlineLevel="0" collapsed="false">
      <c r="A190" s="32" t="str">
        <f aca="false">IF(Produtos!$A190="","",Produtos!$A190)</f>
        <v>PQ-5080</v>
      </c>
      <c r="B190" s="32" t="str">
        <f aca="false">IF(Produtos!$A190="","",Produtos!$B190)</f>
        <v>Lixeira quadrada com Tampa Pedal de Aço inox 50x80 150L</v>
      </c>
      <c r="C190" s="32" t="str">
        <f aca="false">IF(Produtos!$A190="","",Produtos!$C190)</f>
        <v>Lixeiras com pedal</v>
      </c>
      <c r="D190" s="33" t="n">
        <f aca="false">IF(Produtos!$A190="","",IF(Produtos!$D190="","",Produtos!$D190))</f>
        <v>1393</v>
      </c>
      <c r="E190" s="11" t="n">
        <v>0</v>
      </c>
      <c r="F190" s="34" t="n">
        <f aca="false">IF($A190="","",IF($C190="","⚠ categoria",IFERROR(INDEX(Parâmetros!$D$13:$D$22,MATCH($C190,Parâmetros!$A$13:$A$22,0)),"⚠ categoria")))</f>
        <v>0.13</v>
      </c>
      <c r="G190" s="35"/>
      <c r="H190" s="36" t="n">
        <f aca="false">IF($A190="","",IF(ISNUMBER($G190),$G190,IF(ISNUMBER($F190),$F190,"")))</f>
        <v>0.13</v>
      </c>
      <c r="I190" s="37" t="n">
        <f aca="false">IF(OR($A190="",NOT(ISNUMBER($D190)),NOT(ISNUMBER($H190))),"",IF((1-$H190-Parâmetros!$B$6-Parâmetros!$C$6-Parâmetros!$D$6)&lt;=0,"INVALIDO",($D190+IF(ISNUMBER($E190),$E190,0)+IF(ISNUMBER(Parâmetros!$E$6),Parâmetros!$E$6,0))/(1-$H190-Parâmetros!$B$6-Parâmetros!$C$6-Parâmetros!$D$6)))</f>
        <v>2579.62962962963</v>
      </c>
      <c r="J190" s="38"/>
      <c r="K190" s="39" t="n">
        <f aca="false">IF(OR($A190="",NOT(ISNUMBER($D190)),NOT(ISNUMBER($H190))),"",IF(AND(ISNUMBER($J190),$J190&gt;0),$J190,IF(ISNUMBER($I190),$I190,"")))</f>
        <v>2579.62962962963</v>
      </c>
      <c r="L190" s="40" t="n">
        <f aca="false">IF(ISNUMBER($K190),$K190*$H190,"")</f>
        <v>335.351851851852</v>
      </c>
      <c r="M190" s="40" t="n">
        <f aca="false">IF(ISNUMBER($K190),$K190*Parâmetros!$B$6,"")</f>
        <v>257.962962962963</v>
      </c>
      <c r="N190" s="40" t="n">
        <f aca="false">IF(ISNUMBER($K190),$K190*Parâmetros!$C$6,"")</f>
        <v>77.3888888888889</v>
      </c>
      <c r="O190" s="40" t="n">
        <f aca="false">IF(ISNUMBER($K190),IF(ISNUMBER(Parâmetros!$E$6),Parâmetros!$E$6,0),"")</f>
        <v>0</v>
      </c>
      <c r="P190" s="41" t="n">
        <f aca="false">IF(ISNUMBER($K190),$K190-$D190-IF(ISNUMBER($E190),$E190,0)-$L190-$M190-$N190-$O190,"")</f>
        <v>515.925925925926</v>
      </c>
      <c r="Q190" s="42" t="n">
        <f aca="false">IF(AND(ISNUMBER($K190),$K190&gt;0),$P190/$K190,"")</f>
        <v>0.2</v>
      </c>
      <c r="R190" s="43"/>
      <c r="S190" s="44" t="str">
        <f aca="false">IF(OR(NOT(ISNUMBER($R190)),$R190=0,NOT(ISNUMBER($K190))),"",$K190*(1-$R190))</f>
        <v/>
      </c>
      <c r="T190" s="45" t="str">
        <f aca="false">IF(ISNUMBER($S190),$S190*$H190,"")</f>
        <v/>
      </c>
      <c r="U190" s="45" t="str">
        <f aca="false">IF(ISNUMBER($S190),$S190*Parâmetros!$B$6,"")</f>
        <v/>
      </c>
      <c r="V190" s="45" t="str">
        <f aca="false">IF(ISNUMBER($S190),$S190*Parâmetros!$C$6,"")</f>
        <v/>
      </c>
      <c r="W190" s="44" t="str">
        <f aca="false">IF(ISNUMBER($S190),$S190-$D190-IF(ISNUMBER($E190),$E190,0)-$O190-$T190-$U190-$V190,"")</f>
        <v/>
      </c>
      <c r="X190" s="46" t="str">
        <f aca="false">IF(AND(ISNUMBER($S190),$S190&gt;0),$W190/$S190,"")</f>
        <v/>
      </c>
      <c r="Y190" s="47"/>
      <c r="Z190" s="19"/>
    </row>
    <row r="191" customFormat="false" ht="15.75" hidden="false" customHeight="true" outlineLevel="0" collapsed="false">
      <c r="A191" s="48" t="str">
        <f aca="false">IF(Produtos!$A191="","",Produtos!$A191)</f>
        <v>Q2430-AC</v>
      </c>
      <c r="B191" s="48" t="str">
        <f aca="false">IF(Produtos!$A191="","",Produtos!$B191)</f>
        <v>Lixeira Quadrada 24x30 15L c/Aro Colorido</v>
      </c>
      <c r="C191" s="48" t="str">
        <f aca="false">IF(Produtos!$A191="","",Produtos!$C191)</f>
        <v>Lixeiras em inox</v>
      </c>
      <c r="D191" s="33" t="n">
        <f aca="false">IF(Produtos!$A191="","",IF(Produtos!$D191="","",Produtos!$D191))</f>
        <v>143.24</v>
      </c>
      <c r="E191" s="11" t="n">
        <v>0</v>
      </c>
      <c r="F191" s="34" t="n">
        <f aca="false">IF($A191="","",IF($C191="","⚠ categoria",IFERROR(INDEX(Parâmetros!$D$13:$D$22,MATCH($C191,Parâmetros!$A$13:$A$22,0)),"⚠ categoria")))</f>
        <v>0.13</v>
      </c>
      <c r="G191" s="35"/>
      <c r="H191" s="36" t="n">
        <f aca="false">IF($A191="","",IF(ISNUMBER($G191),$G191,IF(ISNUMBER($F191),$F191,"")))</f>
        <v>0.13</v>
      </c>
      <c r="I191" s="37" t="n">
        <f aca="false">IF(OR($A191="",NOT(ISNUMBER($D191)),NOT(ISNUMBER($H191))),"",IF((1-$H191-Parâmetros!$B$6-Parâmetros!$C$6-Parâmetros!$D$6)&lt;=0,"INVALIDO",($D191+IF(ISNUMBER($E191),$E191,0)+IF(ISNUMBER(Parâmetros!$E$6),Parâmetros!$E$6,0))/(1-$H191-Parâmetros!$B$6-Parâmetros!$C$6-Parâmetros!$D$6)))</f>
        <v>265.259259259259</v>
      </c>
      <c r="J191" s="38"/>
      <c r="K191" s="39" t="n">
        <f aca="false">IF(OR($A191="",NOT(ISNUMBER($D191)),NOT(ISNUMBER($H191))),"",IF(AND(ISNUMBER($J191),$J191&gt;0),$J191,IF(ISNUMBER($I191),$I191,"")))</f>
        <v>265.259259259259</v>
      </c>
      <c r="L191" s="40" t="n">
        <f aca="false">IF(ISNUMBER($K191),$K191*$H191,"")</f>
        <v>34.4837037037037</v>
      </c>
      <c r="M191" s="40" t="n">
        <f aca="false">IF(ISNUMBER($K191),$K191*Parâmetros!$B$6,"")</f>
        <v>26.5259259259259</v>
      </c>
      <c r="N191" s="40" t="n">
        <f aca="false">IF(ISNUMBER($K191),$K191*Parâmetros!$C$6,"")</f>
        <v>7.95777777777778</v>
      </c>
      <c r="O191" s="40" t="n">
        <f aca="false">IF(ISNUMBER($K191),IF(ISNUMBER(Parâmetros!$E$6),Parâmetros!$E$6,0),"")</f>
        <v>0</v>
      </c>
      <c r="P191" s="41" t="n">
        <f aca="false">IF(ISNUMBER($K191),$K191-$D191-IF(ISNUMBER($E191),$E191,0)-$L191-$M191-$N191-$O191,"")</f>
        <v>53.0518518518518</v>
      </c>
      <c r="Q191" s="42" t="n">
        <f aca="false">IF(AND(ISNUMBER($K191),$K191&gt;0),$P191/$K191,"")</f>
        <v>0.2</v>
      </c>
      <c r="R191" s="43"/>
      <c r="S191" s="44" t="str">
        <f aca="false">IF(OR(NOT(ISNUMBER($R191)),$R191=0,NOT(ISNUMBER($K191))),"",$K191*(1-$R191))</f>
        <v/>
      </c>
      <c r="T191" s="45" t="str">
        <f aca="false">IF(ISNUMBER($S191),$S191*$H191,"")</f>
        <v/>
      </c>
      <c r="U191" s="45" t="str">
        <f aca="false">IF(ISNUMBER($S191),$S191*Parâmetros!$B$6,"")</f>
        <v/>
      </c>
      <c r="V191" s="45" t="str">
        <f aca="false">IF(ISNUMBER($S191),$S191*Parâmetros!$C$6,"")</f>
        <v/>
      </c>
      <c r="W191" s="44" t="str">
        <f aca="false">IF(ISNUMBER($S191),$S191-$D191-IF(ISNUMBER($E191),$E191,0)-$O191-$T191-$U191-$V191,"")</f>
        <v/>
      </c>
      <c r="X191" s="46" t="str">
        <f aca="false">IF(AND(ISNUMBER($S191),$S191&gt;0),$W191/$S191,"")</f>
        <v/>
      </c>
      <c r="Y191" s="49"/>
      <c r="Z191" s="21"/>
    </row>
    <row r="192" customFormat="false" ht="15.75" hidden="false" customHeight="true" outlineLevel="0" collapsed="false">
      <c r="A192" s="32" t="str">
        <f aca="false">IF(Produtos!$A192="","",Produtos!$A192)</f>
        <v>Q2460-AC</v>
      </c>
      <c r="B192" s="32" t="str">
        <f aca="false">IF(Produtos!$A192="","",Produtos!$B192)</f>
        <v>Lixeira Quadrada 24x60 30L c/Aro Colorido</v>
      </c>
      <c r="C192" s="32" t="str">
        <f aca="false">IF(Produtos!$A192="","",Produtos!$C192)</f>
        <v>Lixeiras em inox</v>
      </c>
      <c r="D192" s="33" t="n">
        <f aca="false">IF(Produtos!$A192="","",IF(Produtos!$D192="","",Produtos!$D192))</f>
        <v>215.68</v>
      </c>
      <c r="E192" s="11" t="n">
        <v>0</v>
      </c>
      <c r="F192" s="34" t="n">
        <f aca="false">IF($A192="","",IF($C192="","⚠ categoria",IFERROR(INDEX(Parâmetros!$D$13:$D$22,MATCH($C192,Parâmetros!$A$13:$A$22,0)),"⚠ categoria")))</f>
        <v>0.13</v>
      </c>
      <c r="G192" s="35"/>
      <c r="H192" s="36" t="n">
        <f aca="false">IF($A192="","",IF(ISNUMBER($G192),$G192,IF(ISNUMBER($F192),$F192,"")))</f>
        <v>0.13</v>
      </c>
      <c r="I192" s="37" t="n">
        <f aca="false">IF(OR($A192="",NOT(ISNUMBER($D192)),NOT(ISNUMBER($H192))),"",IF((1-$H192-Parâmetros!$B$6-Parâmetros!$C$6-Parâmetros!$D$6)&lt;=0,"INVALIDO",($D192+IF(ISNUMBER($E192),$E192,0)+IF(ISNUMBER(Parâmetros!$E$6),Parâmetros!$E$6,0))/(1-$H192-Parâmetros!$B$6-Parâmetros!$C$6-Parâmetros!$D$6)))</f>
        <v>399.407407407407</v>
      </c>
      <c r="J192" s="38"/>
      <c r="K192" s="39" t="n">
        <f aca="false">IF(OR($A192="",NOT(ISNUMBER($D192)),NOT(ISNUMBER($H192))),"",IF(AND(ISNUMBER($J192),$J192&gt;0),$J192,IF(ISNUMBER($I192),$I192,"")))</f>
        <v>399.407407407407</v>
      </c>
      <c r="L192" s="40" t="n">
        <f aca="false">IF(ISNUMBER($K192),$K192*$H192,"")</f>
        <v>51.922962962963</v>
      </c>
      <c r="M192" s="40" t="n">
        <f aca="false">IF(ISNUMBER($K192),$K192*Parâmetros!$B$6,"")</f>
        <v>39.9407407407407</v>
      </c>
      <c r="N192" s="40" t="n">
        <f aca="false">IF(ISNUMBER($K192),$K192*Parâmetros!$C$6,"")</f>
        <v>11.9822222222222</v>
      </c>
      <c r="O192" s="40" t="n">
        <f aca="false">IF(ISNUMBER($K192),IF(ISNUMBER(Parâmetros!$E$6),Parâmetros!$E$6,0),"")</f>
        <v>0</v>
      </c>
      <c r="P192" s="41" t="n">
        <f aca="false">IF(ISNUMBER($K192),$K192-$D192-IF(ISNUMBER($E192),$E192,0)-$L192-$M192-$N192-$O192,"")</f>
        <v>79.8814814814814</v>
      </c>
      <c r="Q192" s="42" t="n">
        <f aca="false">IF(AND(ISNUMBER($K192),$K192&gt;0),$P192/$K192,"")</f>
        <v>0.2</v>
      </c>
      <c r="R192" s="43"/>
      <c r="S192" s="44" t="str">
        <f aca="false">IF(OR(NOT(ISNUMBER($R192)),$R192=0,NOT(ISNUMBER($K192))),"",$K192*(1-$R192))</f>
        <v/>
      </c>
      <c r="T192" s="45" t="str">
        <f aca="false">IF(ISNUMBER($S192),$S192*$H192,"")</f>
        <v/>
      </c>
      <c r="U192" s="45" t="str">
        <f aca="false">IF(ISNUMBER($S192),$S192*Parâmetros!$B$6,"")</f>
        <v/>
      </c>
      <c r="V192" s="45" t="str">
        <f aca="false">IF(ISNUMBER($S192),$S192*Parâmetros!$C$6,"")</f>
        <v/>
      </c>
      <c r="W192" s="44" t="str">
        <f aca="false">IF(ISNUMBER($S192),$S192-$D192-IF(ISNUMBER($E192),$E192,0)-$O192-$T192-$U192-$V192,"")</f>
        <v/>
      </c>
      <c r="X192" s="46" t="str">
        <f aca="false">IF(AND(ISNUMBER($S192),$S192&gt;0),$W192/$S192,"")</f>
        <v/>
      </c>
      <c r="Y192" s="47"/>
      <c r="Z192" s="19"/>
    </row>
    <row r="193" customFormat="false" ht="15.75" hidden="false" customHeight="true" outlineLevel="0" collapsed="false">
      <c r="A193" s="48" t="str">
        <f aca="false">IF(Produtos!$A193="","",Produtos!$A193)</f>
        <v>Q3060-AC</v>
      </c>
      <c r="B193" s="48" t="str">
        <f aca="false">IF(Produtos!$A193="","",Produtos!$B193)</f>
        <v>Lixeira Quadrada 30x60 50L c/Aro Colorido</v>
      </c>
      <c r="C193" s="48" t="str">
        <f aca="false">IF(Produtos!$A193="","",Produtos!$C193)</f>
        <v>Lixeiras em inox</v>
      </c>
      <c r="D193" s="33" t="n">
        <f aca="false">IF(Produtos!$A193="","",IF(Produtos!$D193="","",Produtos!$D193))</f>
        <v>317.1</v>
      </c>
      <c r="E193" s="11" t="n">
        <v>0</v>
      </c>
      <c r="F193" s="34" t="n">
        <f aca="false">IF($A193="","",IF($C193="","⚠ categoria",IFERROR(INDEX(Parâmetros!$D$13:$D$22,MATCH($C193,Parâmetros!$A$13:$A$22,0)),"⚠ categoria")))</f>
        <v>0.13</v>
      </c>
      <c r="G193" s="35"/>
      <c r="H193" s="36" t="n">
        <f aca="false">IF($A193="","",IF(ISNUMBER($G193),$G193,IF(ISNUMBER($F193),$F193,"")))</f>
        <v>0.13</v>
      </c>
      <c r="I193" s="37" t="n">
        <f aca="false">IF(OR($A193="",NOT(ISNUMBER($D193)),NOT(ISNUMBER($H193))),"",IF((1-$H193-Parâmetros!$B$6-Parâmetros!$C$6-Parâmetros!$D$6)&lt;=0,"INVALIDO",($D193+IF(ISNUMBER($E193),$E193,0)+IF(ISNUMBER(Parâmetros!$E$6),Parâmetros!$E$6,0))/(1-$H193-Parâmetros!$B$6-Parâmetros!$C$6-Parâmetros!$D$6)))</f>
        <v>587.222222222222</v>
      </c>
      <c r="J193" s="38"/>
      <c r="K193" s="39" t="n">
        <f aca="false">IF(OR($A193="",NOT(ISNUMBER($D193)),NOT(ISNUMBER($H193))),"",IF(AND(ISNUMBER($J193),$J193&gt;0),$J193,IF(ISNUMBER($I193),$I193,"")))</f>
        <v>587.222222222222</v>
      </c>
      <c r="L193" s="40" t="n">
        <f aca="false">IF(ISNUMBER($K193),$K193*$H193,"")</f>
        <v>76.3388888888889</v>
      </c>
      <c r="M193" s="40" t="n">
        <f aca="false">IF(ISNUMBER($K193),$K193*Parâmetros!$B$6,"")</f>
        <v>58.7222222222222</v>
      </c>
      <c r="N193" s="40" t="n">
        <f aca="false">IF(ISNUMBER($K193),$K193*Parâmetros!$C$6,"")</f>
        <v>17.6166666666667</v>
      </c>
      <c r="O193" s="40" t="n">
        <f aca="false">IF(ISNUMBER($K193),IF(ISNUMBER(Parâmetros!$E$6),Parâmetros!$E$6,0),"")</f>
        <v>0</v>
      </c>
      <c r="P193" s="41" t="n">
        <f aca="false">IF(ISNUMBER($K193),$K193-$D193-IF(ISNUMBER($E193),$E193,0)-$L193-$M193-$N193-$O193,"")</f>
        <v>117.444444444444</v>
      </c>
      <c r="Q193" s="42" t="n">
        <f aca="false">IF(AND(ISNUMBER($K193),$K193&gt;0),$P193/$K193,"")</f>
        <v>0.2</v>
      </c>
      <c r="R193" s="43"/>
      <c r="S193" s="44" t="str">
        <f aca="false">IF(OR(NOT(ISNUMBER($R193)),$R193=0,NOT(ISNUMBER($K193))),"",$K193*(1-$R193))</f>
        <v/>
      </c>
      <c r="T193" s="45" t="str">
        <f aca="false">IF(ISNUMBER($S193),$S193*$H193,"")</f>
        <v/>
      </c>
      <c r="U193" s="45" t="str">
        <f aca="false">IF(ISNUMBER($S193),$S193*Parâmetros!$B$6,"")</f>
        <v/>
      </c>
      <c r="V193" s="45" t="str">
        <f aca="false">IF(ISNUMBER($S193),$S193*Parâmetros!$C$6,"")</f>
        <v/>
      </c>
      <c r="W193" s="44" t="str">
        <f aca="false">IF(ISNUMBER($S193),$S193-$D193-IF(ISNUMBER($E193),$E193,0)-$O193-$T193-$U193-$V193,"")</f>
        <v/>
      </c>
      <c r="X193" s="46" t="str">
        <f aca="false">IF(AND(ISNUMBER($S193),$S193&gt;0),$W193/$S193,"")</f>
        <v/>
      </c>
      <c r="Y193" s="49"/>
      <c r="Z193" s="21"/>
    </row>
    <row r="194" customFormat="false" ht="15.75" hidden="false" customHeight="true" outlineLevel="0" collapsed="false">
      <c r="A194" s="32" t="str">
        <f aca="false">IF(Produtos!$A194="","",Produtos!$A194)</f>
        <v>Q4070-AC</v>
      </c>
      <c r="B194" s="32" t="str">
        <f aca="false">IF(Produtos!$A194="","",Produtos!$B194)</f>
        <v>Lixeira Quadrada 40x70 100L c/Aro Colorido</v>
      </c>
      <c r="C194" s="32" t="str">
        <f aca="false">IF(Produtos!$A194="","",Produtos!$C194)</f>
        <v>Lixeiras em inox</v>
      </c>
      <c r="D194" s="33" t="n">
        <f aca="false">IF(Produtos!$A194="","",IF(Produtos!$D194="","",Produtos!$D194))</f>
        <v>651.12</v>
      </c>
      <c r="E194" s="11" t="n">
        <v>0</v>
      </c>
      <c r="F194" s="34" t="n">
        <f aca="false">IF($A194="","",IF($C194="","⚠ categoria",IFERROR(INDEX(Parâmetros!$D$13:$D$22,MATCH($C194,Parâmetros!$A$13:$A$22,0)),"⚠ categoria")))</f>
        <v>0.13</v>
      </c>
      <c r="G194" s="35"/>
      <c r="H194" s="36" t="n">
        <f aca="false">IF($A194="","",IF(ISNUMBER($G194),$G194,IF(ISNUMBER($F194),$F194,"")))</f>
        <v>0.13</v>
      </c>
      <c r="I194" s="37" t="n">
        <f aca="false">IF(OR($A194="",NOT(ISNUMBER($D194)),NOT(ISNUMBER($H194))),"",IF((1-$H194-Parâmetros!$B$6-Parâmetros!$C$6-Parâmetros!$D$6)&lt;=0,"INVALIDO",($D194+IF(ISNUMBER($E194),$E194,0)+IF(ISNUMBER(Parâmetros!$E$6),Parâmetros!$E$6,0))/(1-$H194-Parâmetros!$B$6-Parâmetros!$C$6-Parâmetros!$D$6)))</f>
        <v>1205.77777777778</v>
      </c>
      <c r="J194" s="38"/>
      <c r="K194" s="39" t="n">
        <f aca="false">IF(OR($A194="",NOT(ISNUMBER($D194)),NOT(ISNUMBER($H194))),"",IF(AND(ISNUMBER($J194),$J194&gt;0),$J194,IF(ISNUMBER($I194),$I194,"")))</f>
        <v>1205.77777777778</v>
      </c>
      <c r="L194" s="40" t="n">
        <f aca="false">IF(ISNUMBER($K194),$K194*$H194,"")</f>
        <v>156.751111111111</v>
      </c>
      <c r="M194" s="40" t="n">
        <f aca="false">IF(ISNUMBER($K194),$K194*Parâmetros!$B$6,"")</f>
        <v>120.577777777778</v>
      </c>
      <c r="N194" s="40" t="n">
        <f aca="false">IF(ISNUMBER($K194),$K194*Parâmetros!$C$6,"")</f>
        <v>36.1733333333333</v>
      </c>
      <c r="O194" s="40" t="n">
        <f aca="false">IF(ISNUMBER($K194),IF(ISNUMBER(Parâmetros!$E$6),Parâmetros!$E$6,0),"")</f>
        <v>0</v>
      </c>
      <c r="P194" s="41" t="n">
        <f aca="false">IF(ISNUMBER($K194),$K194-$D194-IF(ISNUMBER($E194),$E194,0)-$L194-$M194-$N194-$O194,"")</f>
        <v>241.155555555555</v>
      </c>
      <c r="Q194" s="42" t="n">
        <f aca="false">IF(AND(ISNUMBER($K194),$K194&gt;0),$P194/$K194,"")</f>
        <v>0.2</v>
      </c>
      <c r="R194" s="43"/>
      <c r="S194" s="44" t="str">
        <f aca="false">IF(OR(NOT(ISNUMBER($R194)),$R194=0,NOT(ISNUMBER($K194))),"",$K194*(1-$R194))</f>
        <v/>
      </c>
      <c r="T194" s="45" t="str">
        <f aca="false">IF(ISNUMBER($S194),$S194*$H194,"")</f>
        <v/>
      </c>
      <c r="U194" s="45" t="str">
        <f aca="false">IF(ISNUMBER($S194),$S194*Parâmetros!$B$6,"")</f>
        <v/>
      </c>
      <c r="V194" s="45" t="str">
        <f aca="false">IF(ISNUMBER($S194),$S194*Parâmetros!$C$6,"")</f>
        <v/>
      </c>
      <c r="W194" s="44" t="str">
        <f aca="false">IF(ISNUMBER($S194),$S194-$D194-IF(ISNUMBER($E194),$E194,0)-$O194-$T194-$U194-$V194,"")</f>
        <v/>
      </c>
      <c r="X194" s="46" t="str">
        <f aca="false">IF(AND(ISNUMBER($S194),$S194&gt;0),$W194/$S194,"")</f>
        <v/>
      </c>
      <c r="Y194" s="47"/>
      <c r="Z194" s="19"/>
    </row>
    <row r="195" customFormat="false" ht="15.75" hidden="false" customHeight="true" outlineLevel="0" collapsed="false">
      <c r="A195" s="48" t="str">
        <f aca="false">IF(Produtos!$A195="","",Produtos!$A195)</f>
        <v>Q2430-BC</v>
      </c>
      <c r="B195" s="48" t="str">
        <f aca="false">IF(Produtos!$A195="","",Produtos!$B195)</f>
        <v>Lixeira Quadrada 24x30 15L c/Aro Basculante Colorido</v>
      </c>
      <c r="C195" s="48" t="str">
        <f aca="false">IF(Produtos!$A195="","",Produtos!$C195)</f>
        <v>Lixeiras em inox</v>
      </c>
      <c r="D195" s="33" t="n">
        <f aca="false">IF(Produtos!$A195="","",IF(Produtos!$D195="","",Produtos!$D195))</f>
        <v>173.65</v>
      </c>
      <c r="E195" s="11" t="n">
        <v>0</v>
      </c>
      <c r="F195" s="34" t="n">
        <f aca="false">IF($A195="","",IF($C195="","⚠ categoria",IFERROR(INDEX(Parâmetros!$D$13:$D$22,MATCH($C195,Parâmetros!$A$13:$A$22,0)),"⚠ categoria")))</f>
        <v>0.13</v>
      </c>
      <c r="G195" s="35"/>
      <c r="H195" s="36" t="n">
        <f aca="false">IF($A195="","",IF(ISNUMBER($G195),$G195,IF(ISNUMBER($F195),$F195,"")))</f>
        <v>0.13</v>
      </c>
      <c r="I195" s="37" t="n">
        <f aca="false">IF(OR($A195="",NOT(ISNUMBER($D195)),NOT(ISNUMBER($H195))),"",IF((1-$H195-Parâmetros!$B$6-Parâmetros!$C$6-Parâmetros!$D$6)&lt;=0,"INVALIDO",($D195+IF(ISNUMBER($E195),$E195,0)+IF(ISNUMBER(Parâmetros!$E$6),Parâmetros!$E$6,0))/(1-$H195-Parâmetros!$B$6-Parâmetros!$C$6-Parâmetros!$D$6)))</f>
        <v>321.574074074074</v>
      </c>
      <c r="J195" s="38"/>
      <c r="K195" s="39" t="n">
        <f aca="false">IF(OR($A195="",NOT(ISNUMBER($D195)),NOT(ISNUMBER($H195))),"",IF(AND(ISNUMBER($J195),$J195&gt;0),$J195,IF(ISNUMBER($I195),$I195,"")))</f>
        <v>321.574074074074</v>
      </c>
      <c r="L195" s="40" t="n">
        <f aca="false">IF(ISNUMBER($K195),$K195*$H195,"")</f>
        <v>41.8046296296296</v>
      </c>
      <c r="M195" s="40" t="n">
        <f aca="false">IF(ISNUMBER($K195),$K195*Parâmetros!$B$6,"")</f>
        <v>32.1574074074074</v>
      </c>
      <c r="N195" s="40" t="n">
        <f aca="false">IF(ISNUMBER($K195),$K195*Parâmetros!$C$6,"")</f>
        <v>9.64722222222222</v>
      </c>
      <c r="O195" s="40" t="n">
        <f aca="false">IF(ISNUMBER($K195),IF(ISNUMBER(Parâmetros!$E$6),Parâmetros!$E$6,0),"")</f>
        <v>0</v>
      </c>
      <c r="P195" s="41" t="n">
        <f aca="false">IF(ISNUMBER($K195),$K195-$D195-IF(ISNUMBER($E195),$E195,0)-$L195-$M195-$N195-$O195,"")</f>
        <v>64.3148148148148</v>
      </c>
      <c r="Q195" s="42" t="n">
        <f aca="false">IF(AND(ISNUMBER($K195),$K195&gt;0),$P195/$K195,"")</f>
        <v>0.2</v>
      </c>
      <c r="R195" s="43"/>
      <c r="S195" s="44" t="str">
        <f aca="false">IF(OR(NOT(ISNUMBER($R195)),$R195=0,NOT(ISNUMBER($K195))),"",$K195*(1-$R195))</f>
        <v/>
      </c>
      <c r="T195" s="45" t="str">
        <f aca="false">IF(ISNUMBER($S195),$S195*$H195,"")</f>
        <v/>
      </c>
      <c r="U195" s="45" t="str">
        <f aca="false">IF(ISNUMBER($S195),$S195*Parâmetros!$B$6,"")</f>
        <v/>
      </c>
      <c r="V195" s="45" t="str">
        <f aca="false">IF(ISNUMBER($S195),$S195*Parâmetros!$C$6,"")</f>
        <v/>
      </c>
      <c r="W195" s="44" t="str">
        <f aca="false">IF(ISNUMBER($S195),$S195-$D195-IF(ISNUMBER($E195),$E195,0)-$O195-$T195-$U195-$V195,"")</f>
        <v/>
      </c>
      <c r="X195" s="46" t="str">
        <f aca="false">IF(AND(ISNUMBER($S195),$S195&gt;0),$W195/$S195,"")</f>
        <v/>
      </c>
      <c r="Y195" s="49"/>
      <c r="Z195" s="21"/>
    </row>
    <row r="196" customFormat="false" ht="15.75" hidden="false" customHeight="true" outlineLevel="0" collapsed="false">
      <c r="A196" s="32" t="str">
        <f aca="false">IF(Produtos!$A196="","",Produtos!$A196)</f>
        <v>Q2460-BC</v>
      </c>
      <c r="B196" s="32" t="str">
        <f aca="false">IF(Produtos!$A196="","",Produtos!$B196)</f>
        <v>Lixeira Quadrada 24x60 30L c/Aro Basculante Colorido</v>
      </c>
      <c r="C196" s="32" t="str">
        <f aca="false">IF(Produtos!$A196="","",Produtos!$C196)</f>
        <v>Lixeiras em inox</v>
      </c>
      <c r="D196" s="33" t="n">
        <f aca="false">IF(Produtos!$A196="","",IF(Produtos!$D196="","",Produtos!$D196))</f>
        <v>234.63</v>
      </c>
      <c r="E196" s="11" t="n">
        <v>0</v>
      </c>
      <c r="F196" s="34" t="n">
        <f aca="false">IF($A196="","",IF($C196="","⚠ categoria",IFERROR(INDEX(Parâmetros!$D$13:$D$22,MATCH($C196,Parâmetros!$A$13:$A$22,0)),"⚠ categoria")))</f>
        <v>0.13</v>
      </c>
      <c r="G196" s="35"/>
      <c r="H196" s="36" t="n">
        <f aca="false">IF($A196="","",IF(ISNUMBER($G196),$G196,IF(ISNUMBER($F196),$F196,"")))</f>
        <v>0.13</v>
      </c>
      <c r="I196" s="37" t="n">
        <f aca="false">IF(OR($A196="",NOT(ISNUMBER($D196)),NOT(ISNUMBER($H196))),"",IF((1-$H196-Parâmetros!$B$6-Parâmetros!$C$6-Parâmetros!$D$6)&lt;=0,"INVALIDO",($D196+IF(ISNUMBER($E196),$E196,0)+IF(ISNUMBER(Parâmetros!$E$6),Parâmetros!$E$6,0))/(1-$H196-Parâmetros!$B$6-Parâmetros!$C$6-Parâmetros!$D$6)))</f>
        <v>434.5</v>
      </c>
      <c r="J196" s="38"/>
      <c r="K196" s="39" t="n">
        <f aca="false">IF(OR($A196="",NOT(ISNUMBER($D196)),NOT(ISNUMBER($H196))),"",IF(AND(ISNUMBER($J196),$J196&gt;0),$J196,IF(ISNUMBER($I196),$I196,"")))</f>
        <v>434.5</v>
      </c>
      <c r="L196" s="40" t="n">
        <f aca="false">IF(ISNUMBER($K196),$K196*$H196,"")</f>
        <v>56.485</v>
      </c>
      <c r="M196" s="40" t="n">
        <f aca="false">IF(ISNUMBER($K196),$K196*Parâmetros!$B$6,"")</f>
        <v>43.45</v>
      </c>
      <c r="N196" s="40" t="n">
        <f aca="false">IF(ISNUMBER($K196),$K196*Parâmetros!$C$6,"")</f>
        <v>13.035</v>
      </c>
      <c r="O196" s="40" t="n">
        <f aca="false">IF(ISNUMBER($K196),IF(ISNUMBER(Parâmetros!$E$6),Parâmetros!$E$6,0),"")</f>
        <v>0</v>
      </c>
      <c r="P196" s="41" t="n">
        <f aca="false">IF(ISNUMBER($K196),$K196-$D196-IF(ISNUMBER($E196),$E196,0)-$L196-$M196-$N196-$O196,"")</f>
        <v>86.9</v>
      </c>
      <c r="Q196" s="42" t="n">
        <f aca="false">IF(AND(ISNUMBER($K196),$K196&gt;0),$P196/$K196,"")</f>
        <v>0.2</v>
      </c>
      <c r="R196" s="43"/>
      <c r="S196" s="44" t="str">
        <f aca="false">IF(OR(NOT(ISNUMBER($R196)),$R196=0,NOT(ISNUMBER($K196))),"",$K196*(1-$R196))</f>
        <v/>
      </c>
      <c r="T196" s="45" t="str">
        <f aca="false">IF(ISNUMBER($S196),$S196*$H196,"")</f>
        <v/>
      </c>
      <c r="U196" s="45" t="str">
        <f aca="false">IF(ISNUMBER($S196),$S196*Parâmetros!$B$6,"")</f>
        <v/>
      </c>
      <c r="V196" s="45" t="str">
        <f aca="false">IF(ISNUMBER($S196),$S196*Parâmetros!$C$6,"")</f>
        <v/>
      </c>
      <c r="W196" s="44" t="str">
        <f aca="false">IF(ISNUMBER($S196),$S196-$D196-IF(ISNUMBER($E196),$E196,0)-$O196-$T196-$U196-$V196,"")</f>
        <v/>
      </c>
      <c r="X196" s="46" t="str">
        <f aca="false">IF(AND(ISNUMBER($S196),$S196&gt;0),$W196/$S196,"")</f>
        <v/>
      </c>
      <c r="Y196" s="47"/>
      <c r="Z196" s="19"/>
    </row>
    <row r="197" customFormat="false" ht="15.75" hidden="false" customHeight="true" outlineLevel="0" collapsed="false">
      <c r="A197" s="48" t="str">
        <f aca="false">IF(Produtos!$A197="","",Produtos!$A197)</f>
        <v>Q3060-BC</v>
      </c>
      <c r="B197" s="48" t="str">
        <f aca="false">IF(Produtos!$A197="","",Produtos!$B197)</f>
        <v>Lixeira Quadrada 30x60 50L c/Aro Basculante Colorido</v>
      </c>
      <c r="C197" s="48" t="str">
        <f aca="false">IF(Produtos!$A197="","",Produtos!$C197)</f>
        <v>Lixeiras em inox</v>
      </c>
      <c r="D197" s="33" t="n">
        <f aca="false">IF(Produtos!$A197="","",IF(Produtos!$D197="","",Produtos!$D197))</f>
        <v>342.51</v>
      </c>
      <c r="E197" s="11" t="n">
        <v>0</v>
      </c>
      <c r="F197" s="34" t="n">
        <f aca="false">IF($A197="","",IF($C197="","⚠ categoria",IFERROR(INDEX(Parâmetros!$D$13:$D$22,MATCH($C197,Parâmetros!$A$13:$A$22,0)),"⚠ categoria")))</f>
        <v>0.13</v>
      </c>
      <c r="G197" s="35"/>
      <c r="H197" s="36" t="n">
        <f aca="false">IF($A197="","",IF(ISNUMBER($G197),$G197,IF(ISNUMBER($F197),$F197,"")))</f>
        <v>0.13</v>
      </c>
      <c r="I197" s="37" t="n">
        <f aca="false">IF(OR($A197="",NOT(ISNUMBER($D197)),NOT(ISNUMBER($H197))),"",IF((1-$H197-Parâmetros!$B$6-Parâmetros!$C$6-Parâmetros!$D$6)&lt;=0,"INVALIDO",($D197+IF(ISNUMBER($E197),$E197,0)+IF(ISNUMBER(Parâmetros!$E$6),Parâmetros!$E$6,0))/(1-$H197-Parâmetros!$B$6-Parâmetros!$C$6-Parâmetros!$D$6)))</f>
        <v>634.277777777778</v>
      </c>
      <c r="J197" s="38"/>
      <c r="K197" s="39" t="n">
        <f aca="false">IF(OR($A197="",NOT(ISNUMBER($D197)),NOT(ISNUMBER($H197))),"",IF(AND(ISNUMBER($J197),$J197&gt;0),$J197,IF(ISNUMBER($I197),$I197,"")))</f>
        <v>634.277777777778</v>
      </c>
      <c r="L197" s="40" t="n">
        <f aca="false">IF(ISNUMBER($K197),$K197*$H197,"")</f>
        <v>82.4561111111111</v>
      </c>
      <c r="M197" s="40" t="n">
        <f aca="false">IF(ISNUMBER($K197),$K197*Parâmetros!$B$6,"")</f>
        <v>63.4277777777778</v>
      </c>
      <c r="N197" s="40" t="n">
        <f aca="false">IF(ISNUMBER($K197),$K197*Parâmetros!$C$6,"")</f>
        <v>19.0283333333333</v>
      </c>
      <c r="O197" s="40" t="n">
        <f aca="false">IF(ISNUMBER($K197),IF(ISNUMBER(Parâmetros!$E$6),Parâmetros!$E$6,0),"")</f>
        <v>0</v>
      </c>
      <c r="P197" s="41" t="n">
        <f aca="false">IF(ISNUMBER($K197),$K197-$D197-IF(ISNUMBER($E197),$E197,0)-$L197-$M197-$N197-$O197,"")</f>
        <v>126.855555555556</v>
      </c>
      <c r="Q197" s="42" t="n">
        <f aca="false">IF(AND(ISNUMBER($K197),$K197&gt;0),$P197/$K197,"")</f>
        <v>0.2</v>
      </c>
      <c r="R197" s="43"/>
      <c r="S197" s="44" t="str">
        <f aca="false">IF(OR(NOT(ISNUMBER($R197)),$R197=0,NOT(ISNUMBER($K197))),"",$K197*(1-$R197))</f>
        <v/>
      </c>
      <c r="T197" s="45" t="str">
        <f aca="false">IF(ISNUMBER($S197),$S197*$H197,"")</f>
        <v/>
      </c>
      <c r="U197" s="45" t="str">
        <f aca="false">IF(ISNUMBER($S197),$S197*Parâmetros!$B$6,"")</f>
        <v/>
      </c>
      <c r="V197" s="45" t="str">
        <f aca="false">IF(ISNUMBER($S197),$S197*Parâmetros!$C$6,"")</f>
        <v/>
      </c>
      <c r="W197" s="44" t="str">
        <f aca="false">IF(ISNUMBER($S197),$S197-$D197-IF(ISNUMBER($E197),$E197,0)-$O197-$T197-$U197-$V197,"")</f>
        <v/>
      </c>
      <c r="X197" s="46" t="str">
        <f aca="false">IF(AND(ISNUMBER($S197),$S197&gt;0),$W197/$S197,"")</f>
        <v/>
      </c>
      <c r="Y197" s="49"/>
      <c r="Z197" s="21"/>
    </row>
    <row r="198" customFormat="false" ht="15.75" hidden="false" customHeight="true" outlineLevel="0" collapsed="false">
      <c r="A198" s="32" t="str">
        <f aca="false">IF(Produtos!$A198="","",Produtos!$A198)</f>
        <v>Q4070-BC</v>
      </c>
      <c r="B198" s="32" t="str">
        <f aca="false">IF(Produtos!$A198="","",Produtos!$B198)</f>
        <v>Lixeira Quadrada 40x70 100L c/Aro Basculante Colorido</v>
      </c>
      <c r="C198" s="32" t="str">
        <f aca="false">IF(Produtos!$A198="","",Produtos!$C198)</f>
        <v>Lixeiras em inox</v>
      </c>
      <c r="D198" s="33" t="n">
        <f aca="false">IF(Produtos!$A198="","",IF(Produtos!$D198="","",Produtos!$D198))</f>
        <v>686.97</v>
      </c>
      <c r="E198" s="11" t="n">
        <v>0</v>
      </c>
      <c r="F198" s="34" t="n">
        <f aca="false">IF($A198="","",IF($C198="","⚠ categoria",IFERROR(INDEX(Parâmetros!$D$13:$D$22,MATCH($C198,Parâmetros!$A$13:$A$22,0)),"⚠ categoria")))</f>
        <v>0.13</v>
      </c>
      <c r="G198" s="35"/>
      <c r="H198" s="36" t="n">
        <f aca="false">IF($A198="","",IF(ISNUMBER($G198),$G198,IF(ISNUMBER($F198),$F198,"")))</f>
        <v>0.13</v>
      </c>
      <c r="I198" s="37" t="n">
        <f aca="false">IF(OR($A198="",NOT(ISNUMBER($D198)),NOT(ISNUMBER($H198))),"",IF((1-$H198-Parâmetros!$B$6-Parâmetros!$C$6-Parâmetros!$D$6)&lt;=0,"INVALIDO",($D198+IF(ISNUMBER($E198),$E198,0)+IF(ISNUMBER(Parâmetros!$E$6),Parâmetros!$E$6,0))/(1-$H198-Parâmetros!$B$6-Parâmetros!$C$6-Parâmetros!$D$6)))</f>
        <v>1272.16666666667</v>
      </c>
      <c r="J198" s="38"/>
      <c r="K198" s="39" t="n">
        <f aca="false">IF(OR($A198="",NOT(ISNUMBER($D198)),NOT(ISNUMBER($H198))),"",IF(AND(ISNUMBER($J198),$J198&gt;0),$J198,IF(ISNUMBER($I198),$I198,"")))</f>
        <v>1272.16666666667</v>
      </c>
      <c r="L198" s="40" t="n">
        <f aca="false">IF(ISNUMBER($K198),$K198*$H198,"")</f>
        <v>165.381666666667</v>
      </c>
      <c r="M198" s="40" t="n">
        <f aca="false">IF(ISNUMBER($K198),$K198*Parâmetros!$B$6,"")</f>
        <v>127.216666666667</v>
      </c>
      <c r="N198" s="40" t="n">
        <f aca="false">IF(ISNUMBER($K198),$K198*Parâmetros!$C$6,"")</f>
        <v>38.165</v>
      </c>
      <c r="O198" s="40" t="n">
        <f aca="false">IF(ISNUMBER($K198),IF(ISNUMBER(Parâmetros!$E$6),Parâmetros!$E$6,0),"")</f>
        <v>0</v>
      </c>
      <c r="P198" s="41" t="n">
        <f aca="false">IF(ISNUMBER($K198),$K198-$D198-IF(ISNUMBER($E198),$E198,0)-$L198-$M198-$N198-$O198,"")</f>
        <v>254.433333333333</v>
      </c>
      <c r="Q198" s="42" t="n">
        <f aca="false">IF(AND(ISNUMBER($K198),$K198&gt;0),$P198/$K198,"")</f>
        <v>0.2</v>
      </c>
      <c r="R198" s="43"/>
      <c r="S198" s="44" t="str">
        <f aca="false">IF(OR(NOT(ISNUMBER($R198)),$R198=0,NOT(ISNUMBER($K198))),"",$K198*(1-$R198))</f>
        <v/>
      </c>
      <c r="T198" s="45" t="str">
        <f aca="false">IF(ISNUMBER($S198),$S198*$H198,"")</f>
        <v/>
      </c>
      <c r="U198" s="45" t="str">
        <f aca="false">IF(ISNUMBER($S198),$S198*Parâmetros!$B$6,"")</f>
        <v/>
      </c>
      <c r="V198" s="45" t="str">
        <f aca="false">IF(ISNUMBER($S198),$S198*Parâmetros!$C$6,"")</f>
        <v/>
      </c>
      <c r="W198" s="44" t="str">
        <f aca="false">IF(ISNUMBER($S198),$S198-$D198-IF(ISNUMBER($E198),$E198,0)-$O198-$T198-$U198-$V198,"")</f>
        <v/>
      </c>
      <c r="X198" s="46" t="str">
        <f aca="false">IF(AND(ISNUMBER($S198),$S198&gt;0),$W198/$S198,"")</f>
        <v/>
      </c>
      <c r="Y198" s="47"/>
      <c r="Z198" s="19"/>
    </row>
    <row r="199" customFormat="false" ht="15.75" hidden="false" customHeight="true" outlineLevel="0" collapsed="false">
      <c r="A199" s="48" t="str">
        <f aca="false">IF(Produtos!$A199="","",Produtos!$A199)</f>
        <v>PQ-2430C</v>
      </c>
      <c r="B199" s="48" t="str">
        <f aca="false">IF(Produtos!$A199="","",Produtos!$B199)</f>
        <v>Lixeira quadrada c/Tampa colorida e Pedal 24x30 15L</v>
      </c>
      <c r="C199" s="48" t="str">
        <f aca="false">IF(Produtos!$A199="","",Produtos!$C199)</f>
        <v>Lixeiras com pedal</v>
      </c>
      <c r="D199" s="33" t="n">
        <f aca="false">IF(Produtos!$A199="","",IF(Produtos!$D199="","",Produtos!$D199))</f>
        <v>293.67</v>
      </c>
      <c r="E199" s="11" t="n">
        <v>0</v>
      </c>
      <c r="F199" s="34" t="n">
        <f aca="false">IF($A199="","",IF($C199="","⚠ categoria",IFERROR(INDEX(Parâmetros!$D$13:$D$22,MATCH($C199,Parâmetros!$A$13:$A$22,0)),"⚠ categoria")))</f>
        <v>0.13</v>
      </c>
      <c r="G199" s="35"/>
      <c r="H199" s="36" t="n">
        <f aca="false">IF($A199="","",IF(ISNUMBER($G199),$G199,IF(ISNUMBER($F199),$F199,"")))</f>
        <v>0.13</v>
      </c>
      <c r="I199" s="37" t="n">
        <f aca="false">IF(OR($A199="",NOT(ISNUMBER($D199)),NOT(ISNUMBER($H199))),"",IF((1-$H199-Parâmetros!$B$6-Parâmetros!$C$6-Parâmetros!$D$6)&lt;=0,"INVALIDO",($D199+IF(ISNUMBER($E199),$E199,0)+IF(ISNUMBER(Parâmetros!$E$6),Parâmetros!$E$6,0))/(1-$H199-Parâmetros!$B$6-Parâmetros!$C$6-Parâmetros!$D$6)))</f>
        <v>543.833333333333</v>
      </c>
      <c r="J199" s="38"/>
      <c r="K199" s="39" t="n">
        <f aca="false">IF(OR($A199="",NOT(ISNUMBER($D199)),NOT(ISNUMBER($H199))),"",IF(AND(ISNUMBER($J199),$J199&gt;0),$J199,IF(ISNUMBER($I199),$I199,"")))</f>
        <v>543.833333333333</v>
      </c>
      <c r="L199" s="40" t="n">
        <f aca="false">IF(ISNUMBER($K199),$K199*$H199,"")</f>
        <v>70.6983333333333</v>
      </c>
      <c r="M199" s="40" t="n">
        <f aca="false">IF(ISNUMBER($K199),$K199*Parâmetros!$B$6,"")</f>
        <v>54.3833333333333</v>
      </c>
      <c r="N199" s="40" t="n">
        <f aca="false">IF(ISNUMBER($K199),$K199*Parâmetros!$C$6,"")</f>
        <v>16.315</v>
      </c>
      <c r="O199" s="40" t="n">
        <f aca="false">IF(ISNUMBER($K199),IF(ISNUMBER(Parâmetros!$E$6),Parâmetros!$E$6,0),"")</f>
        <v>0</v>
      </c>
      <c r="P199" s="41" t="n">
        <f aca="false">IF(ISNUMBER($K199),$K199-$D199-IF(ISNUMBER($E199),$E199,0)-$L199-$M199-$N199-$O199,"")</f>
        <v>108.766666666667</v>
      </c>
      <c r="Q199" s="42" t="n">
        <f aca="false">IF(AND(ISNUMBER($K199),$K199&gt;0),$P199/$K199,"")</f>
        <v>0.2</v>
      </c>
      <c r="R199" s="43"/>
      <c r="S199" s="44" t="str">
        <f aca="false">IF(OR(NOT(ISNUMBER($R199)),$R199=0,NOT(ISNUMBER($K199))),"",$K199*(1-$R199))</f>
        <v/>
      </c>
      <c r="T199" s="45" t="str">
        <f aca="false">IF(ISNUMBER($S199),$S199*$H199,"")</f>
        <v/>
      </c>
      <c r="U199" s="45" t="str">
        <f aca="false">IF(ISNUMBER($S199),$S199*Parâmetros!$B$6,"")</f>
        <v/>
      </c>
      <c r="V199" s="45" t="str">
        <f aca="false">IF(ISNUMBER($S199),$S199*Parâmetros!$C$6,"")</f>
        <v/>
      </c>
      <c r="W199" s="44" t="str">
        <f aca="false">IF(ISNUMBER($S199),$S199-$D199-IF(ISNUMBER($E199),$E199,0)-$O199-$T199-$U199-$V199,"")</f>
        <v/>
      </c>
      <c r="X199" s="46" t="str">
        <f aca="false">IF(AND(ISNUMBER($S199),$S199&gt;0),$W199/$S199,"")</f>
        <v/>
      </c>
      <c r="Y199" s="49"/>
      <c r="Z199" s="21"/>
    </row>
    <row r="200" customFormat="false" ht="15.75" hidden="false" customHeight="true" outlineLevel="0" collapsed="false">
      <c r="A200" s="32" t="str">
        <f aca="false">IF(Produtos!$A200="","",Produtos!$A200)</f>
        <v>PQ-2460C</v>
      </c>
      <c r="B200" s="32" t="str">
        <f aca="false">IF(Produtos!$A200="","",Produtos!$B200)</f>
        <v>Lixeira quadrada c/Tampa colorida e Pedal 24x60 30L</v>
      </c>
      <c r="C200" s="32" t="str">
        <f aca="false">IF(Produtos!$A200="","",Produtos!$C200)</f>
        <v>Lixeiras com pedal</v>
      </c>
      <c r="D200" s="33" t="n">
        <f aca="false">IF(Produtos!$A200="","",IF(Produtos!$D200="","",Produtos!$D200))</f>
        <v>360.26</v>
      </c>
      <c r="E200" s="11" t="n">
        <v>0</v>
      </c>
      <c r="F200" s="34" t="n">
        <f aca="false">IF($A200="","",IF($C200="","⚠ categoria",IFERROR(INDEX(Parâmetros!$D$13:$D$22,MATCH($C200,Parâmetros!$A$13:$A$22,0)),"⚠ categoria")))</f>
        <v>0.13</v>
      </c>
      <c r="G200" s="35"/>
      <c r="H200" s="36" t="n">
        <f aca="false">IF($A200="","",IF(ISNUMBER($G200),$G200,IF(ISNUMBER($F200),$F200,"")))</f>
        <v>0.13</v>
      </c>
      <c r="I200" s="37" t="n">
        <f aca="false">IF(OR($A200="",NOT(ISNUMBER($D200)),NOT(ISNUMBER($H200))),"",IF((1-$H200-Parâmetros!$B$6-Parâmetros!$C$6-Parâmetros!$D$6)&lt;=0,"INVALIDO",($D200+IF(ISNUMBER($E200),$E200,0)+IF(ISNUMBER(Parâmetros!$E$6),Parâmetros!$E$6,0))/(1-$H200-Parâmetros!$B$6-Parâmetros!$C$6-Parâmetros!$D$6)))</f>
        <v>667.148148148148</v>
      </c>
      <c r="J200" s="38"/>
      <c r="K200" s="39" t="n">
        <f aca="false">IF(OR($A200="",NOT(ISNUMBER($D200)),NOT(ISNUMBER($H200))),"",IF(AND(ISNUMBER($J200),$J200&gt;0),$J200,IF(ISNUMBER($I200),$I200,"")))</f>
        <v>667.148148148148</v>
      </c>
      <c r="L200" s="40" t="n">
        <f aca="false">IF(ISNUMBER($K200),$K200*$H200,"")</f>
        <v>86.7292592592593</v>
      </c>
      <c r="M200" s="40" t="n">
        <f aca="false">IF(ISNUMBER($K200),$K200*Parâmetros!$B$6,"")</f>
        <v>66.7148148148148</v>
      </c>
      <c r="N200" s="40" t="n">
        <f aca="false">IF(ISNUMBER($K200),$K200*Parâmetros!$C$6,"")</f>
        <v>20.0144444444444</v>
      </c>
      <c r="O200" s="40" t="n">
        <f aca="false">IF(ISNUMBER($K200),IF(ISNUMBER(Parâmetros!$E$6),Parâmetros!$E$6,0),"")</f>
        <v>0</v>
      </c>
      <c r="P200" s="41" t="n">
        <f aca="false">IF(ISNUMBER($K200),$K200-$D200-IF(ISNUMBER($E200),$E200,0)-$L200-$M200-$N200-$O200,"")</f>
        <v>133.42962962963</v>
      </c>
      <c r="Q200" s="42" t="n">
        <f aca="false">IF(AND(ISNUMBER($K200),$K200&gt;0),$P200/$K200,"")</f>
        <v>0.2</v>
      </c>
      <c r="R200" s="43"/>
      <c r="S200" s="44" t="str">
        <f aca="false">IF(OR(NOT(ISNUMBER($R200)),$R200=0,NOT(ISNUMBER($K200))),"",$K200*(1-$R200))</f>
        <v/>
      </c>
      <c r="T200" s="45" t="str">
        <f aca="false">IF(ISNUMBER($S200),$S200*$H200,"")</f>
        <v/>
      </c>
      <c r="U200" s="45" t="str">
        <f aca="false">IF(ISNUMBER($S200),$S200*Parâmetros!$B$6,"")</f>
        <v/>
      </c>
      <c r="V200" s="45" t="str">
        <f aca="false">IF(ISNUMBER($S200),$S200*Parâmetros!$C$6,"")</f>
        <v/>
      </c>
      <c r="W200" s="44" t="str">
        <f aca="false">IF(ISNUMBER($S200),$S200-$D200-IF(ISNUMBER($E200),$E200,0)-$O200-$T200-$U200-$V200,"")</f>
        <v/>
      </c>
      <c r="X200" s="46" t="str">
        <f aca="false">IF(AND(ISNUMBER($S200),$S200&gt;0),$W200/$S200,"")</f>
        <v/>
      </c>
      <c r="Y200" s="47"/>
      <c r="Z200" s="19"/>
    </row>
    <row r="201" customFormat="false" ht="15.75" hidden="false" customHeight="true" outlineLevel="0" collapsed="false">
      <c r="A201" s="48" t="str">
        <f aca="false">IF(Produtos!$A201="","",Produtos!$A201)</f>
        <v>PQ-3060C</v>
      </c>
      <c r="B201" s="48" t="str">
        <f aca="false">IF(Produtos!$A201="","",Produtos!$B201)</f>
        <v>Lixeira quadrada c/Tampa colorida e Pedal 30x60 50L</v>
      </c>
      <c r="C201" s="48" t="str">
        <f aca="false">IF(Produtos!$A201="","",Produtos!$C201)</f>
        <v>Lixeiras com pedal</v>
      </c>
      <c r="D201" s="33" t="n">
        <f aca="false">IF(Produtos!$A201="","",IF(Produtos!$D201="","",Produtos!$D201))</f>
        <v>449.58</v>
      </c>
      <c r="E201" s="11" t="n">
        <v>0</v>
      </c>
      <c r="F201" s="34" t="n">
        <f aca="false">IF($A201="","",IF($C201="","⚠ categoria",IFERROR(INDEX(Parâmetros!$D$13:$D$22,MATCH($C201,Parâmetros!$A$13:$A$22,0)),"⚠ categoria")))</f>
        <v>0.13</v>
      </c>
      <c r="G201" s="35"/>
      <c r="H201" s="36" t="n">
        <f aca="false">IF($A201="","",IF(ISNUMBER($G201),$G201,IF(ISNUMBER($F201),$F201,"")))</f>
        <v>0.13</v>
      </c>
      <c r="I201" s="37" t="n">
        <f aca="false">IF(OR($A201="",NOT(ISNUMBER($D201)),NOT(ISNUMBER($H201))),"",IF((1-$H201-Parâmetros!$B$6-Parâmetros!$C$6-Parâmetros!$D$6)&lt;=0,"INVALIDO",($D201+IF(ISNUMBER($E201),$E201,0)+IF(ISNUMBER(Parâmetros!$E$6),Parâmetros!$E$6,0))/(1-$H201-Parâmetros!$B$6-Parâmetros!$C$6-Parâmetros!$D$6)))</f>
        <v>832.555555555555</v>
      </c>
      <c r="J201" s="38"/>
      <c r="K201" s="39" t="n">
        <f aca="false">IF(OR($A201="",NOT(ISNUMBER($D201)),NOT(ISNUMBER($H201))),"",IF(AND(ISNUMBER($J201),$J201&gt;0),$J201,IF(ISNUMBER($I201),$I201,"")))</f>
        <v>832.555555555555</v>
      </c>
      <c r="L201" s="40" t="n">
        <f aca="false">IF(ISNUMBER($K201),$K201*$H201,"")</f>
        <v>108.232222222222</v>
      </c>
      <c r="M201" s="40" t="n">
        <f aca="false">IF(ISNUMBER($K201),$K201*Parâmetros!$B$6,"")</f>
        <v>83.2555555555556</v>
      </c>
      <c r="N201" s="40" t="n">
        <f aca="false">IF(ISNUMBER($K201),$K201*Parâmetros!$C$6,"")</f>
        <v>24.9766666666667</v>
      </c>
      <c r="O201" s="40" t="n">
        <f aca="false">IF(ISNUMBER($K201),IF(ISNUMBER(Parâmetros!$E$6),Parâmetros!$E$6,0),"")</f>
        <v>0</v>
      </c>
      <c r="P201" s="41" t="n">
        <f aca="false">IF(ISNUMBER($K201),$K201-$D201-IF(ISNUMBER($E201),$E201,0)-$L201-$M201-$N201-$O201,"")</f>
        <v>166.511111111111</v>
      </c>
      <c r="Q201" s="42" t="n">
        <f aca="false">IF(AND(ISNUMBER($K201),$K201&gt;0),$P201/$K201,"")</f>
        <v>0.2</v>
      </c>
      <c r="R201" s="43"/>
      <c r="S201" s="44" t="str">
        <f aca="false">IF(OR(NOT(ISNUMBER($R201)),$R201=0,NOT(ISNUMBER($K201))),"",$K201*(1-$R201))</f>
        <v/>
      </c>
      <c r="T201" s="45" t="str">
        <f aca="false">IF(ISNUMBER($S201),$S201*$H201,"")</f>
        <v/>
      </c>
      <c r="U201" s="45" t="str">
        <f aca="false">IF(ISNUMBER($S201),$S201*Parâmetros!$B$6,"")</f>
        <v/>
      </c>
      <c r="V201" s="45" t="str">
        <f aca="false">IF(ISNUMBER($S201),$S201*Parâmetros!$C$6,"")</f>
        <v/>
      </c>
      <c r="W201" s="44" t="str">
        <f aca="false">IF(ISNUMBER($S201),$S201-$D201-IF(ISNUMBER($E201),$E201,0)-$O201-$T201-$U201-$V201,"")</f>
        <v/>
      </c>
      <c r="X201" s="46" t="str">
        <f aca="false">IF(AND(ISNUMBER($S201),$S201&gt;0),$W201/$S201,"")</f>
        <v/>
      </c>
      <c r="Y201" s="49"/>
      <c r="Z201" s="21"/>
    </row>
    <row r="202" customFormat="false" ht="15.75" hidden="false" customHeight="true" outlineLevel="0" collapsed="false">
      <c r="A202" s="32" t="str">
        <f aca="false">IF(Produtos!$A202="","",Produtos!$A202)</f>
        <v>PQ-4070C</v>
      </c>
      <c r="B202" s="32" t="str">
        <f aca="false">IF(Produtos!$A202="","",Produtos!$B202)</f>
        <v>Lixeira quadrada c/Tampa colorida e Pedal 40x70 100L</v>
      </c>
      <c r="C202" s="32" t="str">
        <f aca="false">IF(Produtos!$A202="","",Produtos!$C202)</f>
        <v>Lixeiras com pedal</v>
      </c>
      <c r="D202" s="33" t="n">
        <f aca="false">IF(Produtos!$A202="","",IF(Produtos!$D202="","",Produtos!$D202))</f>
        <v>980.21</v>
      </c>
      <c r="E202" s="11" t="n">
        <v>0</v>
      </c>
      <c r="F202" s="34" t="n">
        <f aca="false">IF($A202="","",IF($C202="","⚠ categoria",IFERROR(INDEX(Parâmetros!$D$13:$D$22,MATCH($C202,Parâmetros!$A$13:$A$22,0)),"⚠ categoria")))</f>
        <v>0.13</v>
      </c>
      <c r="G202" s="35"/>
      <c r="H202" s="36" t="n">
        <f aca="false">IF($A202="","",IF(ISNUMBER($G202),$G202,IF(ISNUMBER($F202),$F202,"")))</f>
        <v>0.13</v>
      </c>
      <c r="I202" s="37" t="n">
        <f aca="false">IF(OR($A202="",NOT(ISNUMBER($D202)),NOT(ISNUMBER($H202))),"",IF((1-$H202-Parâmetros!$B$6-Parâmetros!$C$6-Parâmetros!$D$6)&lt;=0,"INVALIDO",($D202+IF(ISNUMBER($E202),$E202,0)+IF(ISNUMBER(Parâmetros!$E$6),Parâmetros!$E$6,0))/(1-$H202-Parâmetros!$B$6-Parâmetros!$C$6-Parâmetros!$D$6)))</f>
        <v>1815.2037037037</v>
      </c>
      <c r="J202" s="38"/>
      <c r="K202" s="39" t="n">
        <f aca="false">IF(OR($A202="",NOT(ISNUMBER($D202)),NOT(ISNUMBER($H202))),"",IF(AND(ISNUMBER($J202),$J202&gt;0),$J202,IF(ISNUMBER($I202),$I202,"")))</f>
        <v>1815.2037037037</v>
      </c>
      <c r="L202" s="40" t="n">
        <f aca="false">IF(ISNUMBER($K202),$K202*$H202,"")</f>
        <v>235.976481481482</v>
      </c>
      <c r="M202" s="40" t="n">
        <f aca="false">IF(ISNUMBER($K202),$K202*Parâmetros!$B$6,"")</f>
        <v>181.52037037037</v>
      </c>
      <c r="N202" s="40" t="n">
        <f aca="false">IF(ISNUMBER($K202),$K202*Parâmetros!$C$6,"")</f>
        <v>54.4561111111111</v>
      </c>
      <c r="O202" s="40" t="n">
        <f aca="false">IF(ISNUMBER($K202),IF(ISNUMBER(Parâmetros!$E$6),Parâmetros!$E$6,0),"")</f>
        <v>0</v>
      </c>
      <c r="P202" s="41" t="n">
        <f aca="false">IF(ISNUMBER($K202),$K202-$D202-IF(ISNUMBER($E202),$E202,0)-$L202-$M202-$N202-$O202,"")</f>
        <v>363.040740740741</v>
      </c>
      <c r="Q202" s="42" t="n">
        <f aca="false">IF(AND(ISNUMBER($K202),$K202&gt;0),$P202/$K202,"")</f>
        <v>0.2</v>
      </c>
      <c r="R202" s="43"/>
      <c r="S202" s="44" t="str">
        <f aca="false">IF(OR(NOT(ISNUMBER($R202)),$R202=0,NOT(ISNUMBER($K202))),"",$K202*(1-$R202))</f>
        <v/>
      </c>
      <c r="T202" s="45" t="str">
        <f aca="false">IF(ISNUMBER($S202),$S202*$H202,"")</f>
        <v/>
      </c>
      <c r="U202" s="45" t="str">
        <f aca="false">IF(ISNUMBER($S202),$S202*Parâmetros!$B$6,"")</f>
        <v/>
      </c>
      <c r="V202" s="45" t="str">
        <f aca="false">IF(ISNUMBER($S202),$S202*Parâmetros!$C$6,"")</f>
        <v/>
      </c>
      <c r="W202" s="44" t="str">
        <f aca="false">IF(ISNUMBER($S202),$S202-$D202-IF(ISNUMBER($E202),$E202,0)-$O202-$T202-$U202-$V202,"")</f>
        <v/>
      </c>
      <c r="X202" s="46" t="str">
        <f aca="false">IF(AND(ISNUMBER($S202),$S202&gt;0),$W202/$S202,"")</f>
        <v/>
      </c>
      <c r="Y202" s="47"/>
      <c r="Z202" s="19"/>
    </row>
    <row r="203" customFormat="false" ht="15.75" hidden="false" customHeight="true" outlineLevel="0" collapsed="false">
      <c r="A203" s="48" t="str">
        <f aca="false">IF(Produtos!$A203="","",Produtos!$A203)</f>
        <v>PQ-4090C</v>
      </c>
      <c r="B203" s="48" t="str">
        <f aca="false">IF(Produtos!$A203="","",Produtos!$B203)</f>
        <v>Lixeira quadrada c/Tampa colorida e Pedal 40x90 120L</v>
      </c>
      <c r="C203" s="48" t="str">
        <f aca="false">IF(Produtos!$A203="","",Produtos!$C203)</f>
        <v>Lixeiras com pedal</v>
      </c>
      <c r="D203" s="33" t="n">
        <f aca="false">IF(Produtos!$A203="","",IF(Produtos!$D203="","",Produtos!$D203))</f>
        <v>1078.18</v>
      </c>
      <c r="E203" s="11" t="n">
        <v>0</v>
      </c>
      <c r="F203" s="34" t="n">
        <f aca="false">IF($A203="","",IF($C203="","⚠ categoria",IFERROR(INDEX(Parâmetros!$D$13:$D$22,MATCH($C203,Parâmetros!$A$13:$A$22,0)),"⚠ categoria")))</f>
        <v>0.13</v>
      </c>
      <c r="G203" s="35"/>
      <c r="H203" s="36" t="n">
        <f aca="false">IF($A203="","",IF(ISNUMBER($G203),$G203,IF(ISNUMBER($F203),$F203,"")))</f>
        <v>0.13</v>
      </c>
      <c r="I203" s="37" t="n">
        <f aca="false">IF(OR($A203="",NOT(ISNUMBER($D203)),NOT(ISNUMBER($H203))),"",IF((1-$H203-Parâmetros!$B$6-Parâmetros!$C$6-Parâmetros!$D$6)&lt;=0,"INVALIDO",($D203+IF(ISNUMBER($E203),$E203,0)+IF(ISNUMBER(Parâmetros!$E$6),Parâmetros!$E$6,0))/(1-$H203-Parâmetros!$B$6-Parâmetros!$C$6-Parâmetros!$D$6)))</f>
        <v>1996.62962962963</v>
      </c>
      <c r="J203" s="38"/>
      <c r="K203" s="39" t="n">
        <f aca="false">IF(OR($A203="",NOT(ISNUMBER($D203)),NOT(ISNUMBER($H203))),"",IF(AND(ISNUMBER($J203),$J203&gt;0),$J203,IF(ISNUMBER($I203),$I203,"")))</f>
        <v>1996.62962962963</v>
      </c>
      <c r="L203" s="40" t="n">
        <f aca="false">IF(ISNUMBER($K203),$K203*$H203,"")</f>
        <v>259.561851851852</v>
      </c>
      <c r="M203" s="40" t="n">
        <f aca="false">IF(ISNUMBER($K203),$K203*Parâmetros!$B$6,"")</f>
        <v>199.662962962963</v>
      </c>
      <c r="N203" s="40" t="n">
        <f aca="false">IF(ISNUMBER($K203),$K203*Parâmetros!$C$6,"")</f>
        <v>59.8988888888889</v>
      </c>
      <c r="O203" s="40" t="n">
        <f aca="false">IF(ISNUMBER($K203),IF(ISNUMBER(Parâmetros!$E$6),Parâmetros!$E$6,0),"")</f>
        <v>0</v>
      </c>
      <c r="P203" s="41" t="n">
        <f aca="false">IF(ISNUMBER($K203),$K203-$D203-IF(ISNUMBER($E203),$E203,0)-$L203-$M203-$N203-$O203,"")</f>
        <v>399.325925925926</v>
      </c>
      <c r="Q203" s="42" t="n">
        <f aca="false">IF(AND(ISNUMBER($K203),$K203&gt;0),$P203/$K203,"")</f>
        <v>0.2</v>
      </c>
      <c r="R203" s="43"/>
      <c r="S203" s="44" t="str">
        <f aca="false">IF(OR(NOT(ISNUMBER($R203)),$R203=0,NOT(ISNUMBER($K203))),"",$K203*(1-$R203))</f>
        <v/>
      </c>
      <c r="T203" s="45" t="str">
        <f aca="false">IF(ISNUMBER($S203),$S203*$H203,"")</f>
        <v/>
      </c>
      <c r="U203" s="45" t="str">
        <f aca="false">IF(ISNUMBER($S203),$S203*Parâmetros!$B$6,"")</f>
        <v/>
      </c>
      <c r="V203" s="45" t="str">
        <f aca="false">IF(ISNUMBER($S203),$S203*Parâmetros!$C$6,"")</f>
        <v/>
      </c>
      <c r="W203" s="44" t="str">
        <f aca="false">IF(ISNUMBER($S203),$S203-$D203-IF(ISNUMBER($E203),$E203,0)-$O203-$T203-$U203-$V203,"")</f>
        <v/>
      </c>
      <c r="X203" s="46" t="str">
        <f aca="false">IF(AND(ISNUMBER($S203),$S203&gt;0),$W203/$S203,"")</f>
        <v/>
      </c>
      <c r="Y203" s="49"/>
      <c r="Z203" s="21"/>
    </row>
    <row r="204" customFormat="false" ht="15.75" hidden="false" customHeight="true" outlineLevel="0" collapsed="false">
      <c r="A204" s="32" t="str">
        <f aca="false">IF(Produtos!$A204="","",Produtos!$A204)</f>
        <v>PQ-5080C</v>
      </c>
      <c r="B204" s="32" t="str">
        <f aca="false">IF(Produtos!$A204="","",Produtos!$B204)</f>
        <v>Lixeira quadrada c/Tampa colorida e Pedal 50x80 150L</v>
      </c>
      <c r="C204" s="32" t="str">
        <f aca="false">IF(Produtos!$A204="","",Produtos!$C204)</f>
        <v>Lixeiras com pedal</v>
      </c>
      <c r="D204" s="33" t="n">
        <f aca="false">IF(Produtos!$A204="","",IF(Produtos!$D204="","",Produtos!$D204))</f>
        <v>1393</v>
      </c>
      <c r="E204" s="11" t="n">
        <v>0</v>
      </c>
      <c r="F204" s="34" t="n">
        <f aca="false">IF($A204="","",IF($C204="","⚠ categoria",IFERROR(INDEX(Parâmetros!$D$13:$D$22,MATCH($C204,Parâmetros!$A$13:$A$22,0)),"⚠ categoria")))</f>
        <v>0.13</v>
      </c>
      <c r="G204" s="35"/>
      <c r="H204" s="36" t="n">
        <f aca="false">IF($A204="","",IF(ISNUMBER($G204),$G204,IF(ISNUMBER($F204),$F204,"")))</f>
        <v>0.13</v>
      </c>
      <c r="I204" s="37" t="n">
        <f aca="false">IF(OR($A204="",NOT(ISNUMBER($D204)),NOT(ISNUMBER($H204))),"",IF((1-$H204-Parâmetros!$B$6-Parâmetros!$C$6-Parâmetros!$D$6)&lt;=0,"INVALIDO",($D204+IF(ISNUMBER($E204),$E204,0)+IF(ISNUMBER(Parâmetros!$E$6),Parâmetros!$E$6,0))/(1-$H204-Parâmetros!$B$6-Parâmetros!$C$6-Parâmetros!$D$6)))</f>
        <v>2579.62962962963</v>
      </c>
      <c r="J204" s="38"/>
      <c r="K204" s="39" t="n">
        <f aca="false">IF(OR($A204="",NOT(ISNUMBER($D204)),NOT(ISNUMBER($H204))),"",IF(AND(ISNUMBER($J204),$J204&gt;0),$J204,IF(ISNUMBER($I204),$I204,"")))</f>
        <v>2579.62962962963</v>
      </c>
      <c r="L204" s="40" t="n">
        <f aca="false">IF(ISNUMBER($K204),$K204*$H204,"")</f>
        <v>335.351851851852</v>
      </c>
      <c r="M204" s="40" t="n">
        <f aca="false">IF(ISNUMBER($K204),$K204*Parâmetros!$B$6,"")</f>
        <v>257.962962962963</v>
      </c>
      <c r="N204" s="40" t="n">
        <f aca="false">IF(ISNUMBER($K204),$K204*Parâmetros!$C$6,"")</f>
        <v>77.3888888888889</v>
      </c>
      <c r="O204" s="40" t="n">
        <f aca="false">IF(ISNUMBER($K204),IF(ISNUMBER(Parâmetros!$E$6),Parâmetros!$E$6,0),"")</f>
        <v>0</v>
      </c>
      <c r="P204" s="41" t="n">
        <f aca="false">IF(ISNUMBER($K204),$K204-$D204-IF(ISNUMBER($E204),$E204,0)-$L204-$M204-$N204-$O204,"")</f>
        <v>515.925925925926</v>
      </c>
      <c r="Q204" s="42" t="n">
        <f aca="false">IF(AND(ISNUMBER($K204),$K204&gt;0),$P204/$K204,"")</f>
        <v>0.2</v>
      </c>
      <c r="R204" s="43"/>
      <c r="S204" s="44" t="str">
        <f aca="false">IF(OR(NOT(ISNUMBER($R204)),$R204=0,NOT(ISNUMBER($K204))),"",$K204*(1-$R204))</f>
        <v/>
      </c>
      <c r="T204" s="45" t="str">
        <f aca="false">IF(ISNUMBER($S204),$S204*$H204,"")</f>
        <v/>
      </c>
      <c r="U204" s="45" t="str">
        <f aca="false">IF(ISNUMBER($S204),$S204*Parâmetros!$B$6,"")</f>
        <v/>
      </c>
      <c r="V204" s="45" t="str">
        <f aca="false">IF(ISNUMBER($S204),$S204*Parâmetros!$C$6,"")</f>
        <v/>
      </c>
      <c r="W204" s="44" t="str">
        <f aca="false">IF(ISNUMBER($S204),$S204-$D204-IF(ISNUMBER($E204),$E204,0)-$O204-$T204-$U204-$V204,"")</f>
        <v/>
      </c>
      <c r="X204" s="46" t="str">
        <f aca="false">IF(AND(ISNUMBER($S204),$S204&gt;0),$W204/$S204,"")</f>
        <v/>
      </c>
      <c r="Y204" s="47"/>
      <c r="Z204" s="19"/>
    </row>
    <row r="205" customFormat="false" ht="15.75" hidden="false" customHeight="true" outlineLevel="0" collapsed="false">
      <c r="A205" s="48" t="str">
        <f aca="false">IF(Produtos!$A205="","",Produtos!$A205)</f>
        <v>L1618-T</v>
      </c>
      <c r="B205" s="48" t="str">
        <f aca="false">IF(Produtos!$A205="","",Produtos!$B205)</f>
        <v>Lixeira de Aço inox 16x18 03L com tampa</v>
      </c>
      <c r="C205" s="48" t="str">
        <f aca="false">IF(Produtos!$A205="","",Produtos!$C205)</f>
        <v>Lixeiras em inox</v>
      </c>
      <c r="D205" s="33" t="n">
        <f aca="false">IF(Produtos!$A205="","",IF(Produtos!$D205="","",Produtos!$D205))</f>
        <v>54.47</v>
      </c>
      <c r="E205" s="11" t="n">
        <v>0</v>
      </c>
      <c r="F205" s="34" t="n">
        <f aca="false">IF($A205="","",IF($C205="","⚠ categoria",IFERROR(INDEX(Parâmetros!$D$13:$D$22,MATCH($C205,Parâmetros!$A$13:$A$22,0)),"⚠ categoria")))</f>
        <v>0.13</v>
      </c>
      <c r="G205" s="35"/>
      <c r="H205" s="36" t="n">
        <f aca="false">IF($A205="","",IF(ISNUMBER($G205),$G205,IF(ISNUMBER($F205),$F205,"")))</f>
        <v>0.13</v>
      </c>
      <c r="I205" s="37" t="n">
        <f aca="false">IF(OR($A205="",NOT(ISNUMBER($D205)),NOT(ISNUMBER($H205))),"",IF((1-$H205-Parâmetros!$B$6-Parâmetros!$C$6-Parâmetros!$D$6)&lt;=0,"INVALIDO",($D205+IF(ISNUMBER($E205),$E205,0)+IF(ISNUMBER(Parâmetros!$E$6),Parâmetros!$E$6,0))/(1-$H205-Parâmetros!$B$6-Parâmetros!$C$6-Parâmetros!$D$6)))</f>
        <v>100.87037037037</v>
      </c>
      <c r="J205" s="38" t="n">
        <v>116</v>
      </c>
      <c r="K205" s="39" t="n">
        <f aca="false">IF(OR($A205="",NOT(ISNUMBER($D205)),NOT(ISNUMBER($H205))),"",IF(AND(ISNUMBER($J205),$J205&gt;0),$J205,IF(ISNUMBER($I205),$I205,"")))</f>
        <v>116</v>
      </c>
      <c r="L205" s="40" t="n">
        <f aca="false">IF(ISNUMBER($K205),$K205*$H205,"")</f>
        <v>15.08</v>
      </c>
      <c r="M205" s="40" t="n">
        <f aca="false">IF(ISNUMBER($K205),$K205*Parâmetros!$B$6,"")</f>
        <v>11.6</v>
      </c>
      <c r="N205" s="40" t="n">
        <f aca="false">IF(ISNUMBER($K205),$K205*Parâmetros!$C$6,"")</f>
        <v>3.48</v>
      </c>
      <c r="O205" s="40" t="n">
        <f aca="false">IF(ISNUMBER($K205),IF(ISNUMBER(Parâmetros!$E$6),Parâmetros!$E$6,0),"")</f>
        <v>0</v>
      </c>
      <c r="P205" s="41" t="n">
        <f aca="false">IF(ISNUMBER($K205),$K205-$D205-IF(ISNUMBER($E205),$E205,0)-$L205-$M205-$N205-$O205,"")</f>
        <v>31.37</v>
      </c>
      <c r="Q205" s="42" t="n">
        <f aca="false">IF(AND(ISNUMBER($K205),$K205&gt;0),$P205/$K205,"")</f>
        <v>0.270431034482759</v>
      </c>
      <c r="R205" s="43"/>
      <c r="S205" s="44" t="str">
        <f aca="false">IF(OR(NOT(ISNUMBER($R205)),$R205=0,NOT(ISNUMBER($K205))),"",$K205*(1-$R205))</f>
        <v/>
      </c>
      <c r="T205" s="45" t="str">
        <f aca="false">IF(ISNUMBER($S205),$S205*$H205,"")</f>
        <v/>
      </c>
      <c r="U205" s="45" t="str">
        <f aca="false">IF(ISNUMBER($S205),$S205*Parâmetros!$B$6,"")</f>
        <v/>
      </c>
      <c r="V205" s="45" t="str">
        <f aca="false">IF(ISNUMBER($S205),$S205*Parâmetros!$C$6,"")</f>
        <v/>
      </c>
      <c r="W205" s="44" t="str">
        <f aca="false">IF(ISNUMBER($S205),$S205-$D205-IF(ISNUMBER($E205),$E205,0)-$O205-$T205-$U205-$V205,"")</f>
        <v/>
      </c>
      <c r="X205" s="46" t="str">
        <f aca="false">IF(AND(ISNUMBER($S205),$S205&gt;0),$W205/$S205,"")</f>
        <v/>
      </c>
      <c r="Y205" s="49" t="s">
        <v>737</v>
      </c>
      <c r="Z205" s="21" t="s">
        <v>747</v>
      </c>
    </row>
    <row r="206" customFormat="false" ht="15.75" hidden="false" customHeight="true" outlineLevel="0" collapsed="false">
      <c r="A206" s="32" t="str">
        <f aca="false">IF(Produtos!$A206="","",Produtos!$A206)</f>
        <v>L1623-T</v>
      </c>
      <c r="B206" s="32" t="str">
        <f aca="false">IF(Produtos!$A206="","",Produtos!$B206)</f>
        <v>Lixeira de Aço inox 16x23 05L com tampa</v>
      </c>
      <c r="C206" s="32" t="str">
        <f aca="false">IF(Produtos!$A206="","",Produtos!$C206)</f>
        <v>Lixeiras em inox</v>
      </c>
      <c r="D206" s="33" t="n">
        <f aca="false">IF(Produtos!$A206="","",IF(Produtos!$D206="","",Produtos!$D206))</f>
        <v>59.8</v>
      </c>
      <c r="E206" s="11" t="n">
        <v>0</v>
      </c>
      <c r="F206" s="34" t="n">
        <f aca="false">IF($A206="","",IF($C206="","⚠ categoria",IFERROR(INDEX(Parâmetros!$D$13:$D$22,MATCH($C206,Parâmetros!$A$13:$A$22,0)),"⚠ categoria")))</f>
        <v>0.13</v>
      </c>
      <c r="G206" s="35"/>
      <c r="H206" s="36" t="n">
        <f aca="false">IF($A206="","",IF(ISNUMBER($G206),$G206,IF(ISNUMBER($F206),$F206,"")))</f>
        <v>0.13</v>
      </c>
      <c r="I206" s="37" t="n">
        <f aca="false">IF(OR($A206="",NOT(ISNUMBER($D206)),NOT(ISNUMBER($H206))),"",IF((1-$H206-Parâmetros!$B$6-Parâmetros!$C$6-Parâmetros!$D$6)&lt;=0,"INVALIDO",($D206+IF(ISNUMBER($E206),$E206,0)+IF(ISNUMBER(Parâmetros!$E$6),Parâmetros!$E$6,0))/(1-$H206-Parâmetros!$B$6-Parâmetros!$C$6-Parâmetros!$D$6)))</f>
        <v>110.740740740741</v>
      </c>
      <c r="J206" s="38" t="n">
        <v>123.93</v>
      </c>
      <c r="K206" s="39" t="n">
        <f aca="false">IF(OR($A206="",NOT(ISNUMBER($D206)),NOT(ISNUMBER($H206))),"",IF(AND(ISNUMBER($J206),$J206&gt;0),$J206,IF(ISNUMBER($I206),$I206,"")))</f>
        <v>123.93</v>
      </c>
      <c r="L206" s="40" t="n">
        <f aca="false">IF(ISNUMBER($K206),$K206*$H206,"")</f>
        <v>16.1109</v>
      </c>
      <c r="M206" s="40" t="n">
        <f aca="false">IF(ISNUMBER($K206),$K206*Parâmetros!$B$6,"")</f>
        <v>12.393</v>
      </c>
      <c r="N206" s="40" t="n">
        <f aca="false">IF(ISNUMBER($K206),$K206*Parâmetros!$C$6,"")</f>
        <v>3.7179</v>
      </c>
      <c r="O206" s="40" t="n">
        <f aca="false">IF(ISNUMBER($K206),IF(ISNUMBER(Parâmetros!$E$6),Parâmetros!$E$6,0),"")</f>
        <v>0</v>
      </c>
      <c r="P206" s="41" t="n">
        <f aca="false">IF(ISNUMBER($K206),$K206-$D206-IF(ISNUMBER($E206),$E206,0)-$L206-$M206-$N206-$O206,"")</f>
        <v>31.9082</v>
      </c>
      <c r="Q206" s="42" t="n">
        <f aca="false">IF(AND(ISNUMBER($K206),$K206&gt;0),$P206/$K206,"")</f>
        <v>0.257469539256032</v>
      </c>
      <c r="R206" s="43"/>
      <c r="S206" s="44" t="str">
        <f aca="false">IF(OR(NOT(ISNUMBER($R206)),$R206=0,NOT(ISNUMBER($K206))),"",$K206*(1-$R206))</f>
        <v/>
      </c>
      <c r="T206" s="45" t="str">
        <f aca="false">IF(ISNUMBER($S206),$S206*$H206,"")</f>
        <v/>
      </c>
      <c r="U206" s="45" t="str">
        <f aca="false">IF(ISNUMBER($S206),$S206*Parâmetros!$B$6,"")</f>
        <v/>
      </c>
      <c r="V206" s="45" t="str">
        <f aca="false">IF(ISNUMBER($S206),$S206*Parâmetros!$C$6,"")</f>
        <v/>
      </c>
      <c r="W206" s="44" t="str">
        <f aca="false">IF(ISNUMBER($S206),$S206-$D206-IF(ISNUMBER($E206),$E206,0)-$O206-$T206-$U206-$V206,"")</f>
        <v/>
      </c>
      <c r="X206" s="46" t="str">
        <f aca="false">IF(AND(ISNUMBER($S206),$S206&gt;0),$W206/$S206,"")</f>
        <v/>
      </c>
      <c r="Y206" s="47" t="s">
        <v>737</v>
      </c>
      <c r="Z206" s="19" t="s">
        <v>747</v>
      </c>
    </row>
    <row r="207" customFormat="false" ht="15.75" hidden="false" customHeight="true" outlineLevel="0" collapsed="false">
      <c r="A207" s="48" t="str">
        <f aca="false">IF(Produtos!$A207="","",Produtos!$A207)</f>
        <v>L2025-T</v>
      </c>
      <c r="B207" s="48" t="str">
        <f aca="false">IF(Produtos!$A207="","",Produtos!$B207)</f>
        <v>Lixeira de Aço inox 20x25 07L com tampa</v>
      </c>
      <c r="C207" s="48" t="str">
        <f aca="false">IF(Produtos!$A207="","",Produtos!$C207)</f>
        <v>Lixeiras em inox</v>
      </c>
      <c r="D207" s="33" t="n">
        <f aca="false">IF(Produtos!$A207="","",IF(Produtos!$D207="","",Produtos!$D207))</f>
        <v>63.11</v>
      </c>
      <c r="E207" s="11" t="n">
        <v>0</v>
      </c>
      <c r="F207" s="34" t="n">
        <f aca="false">IF($A207="","",IF($C207="","⚠ categoria",IFERROR(INDEX(Parâmetros!$D$13:$D$22,MATCH($C207,Parâmetros!$A$13:$A$22,0)),"⚠ categoria")))</f>
        <v>0.13</v>
      </c>
      <c r="G207" s="35"/>
      <c r="H207" s="36" t="n">
        <f aca="false">IF($A207="","",IF(ISNUMBER($G207),$G207,IF(ISNUMBER($F207),$F207,"")))</f>
        <v>0.13</v>
      </c>
      <c r="I207" s="37" t="n">
        <f aca="false">IF(OR($A207="",NOT(ISNUMBER($D207)),NOT(ISNUMBER($H207))),"",IF((1-$H207-Parâmetros!$B$6-Parâmetros!$C$6-Parâmetros!$D$6)&lt;=0,"INVALIDO",($D207+IF(ISNUMBER($E207),$E207,0)+IF(ISNUMBER(Parâmetros!$E$6),Parâmetros!$E$6,0))/(1-$H207-Parâmetros!$B$6-Parâmetros!$C$6-Parâmetros!$D$6)))</f>
        <v>116.87037037037</v>
      </c>
      <c r="J207" s="38" t="n">
        <v>132.9</v>
      </c>
      <c r="K207" s="39" t="n">
        <f aca="false">IF(OR($A207="",NOT(ISNUMBER($D207)),NOT(ISNUMBER($H207))),"",IF(AND(ISNUMBER($J207),$J207&gt;0),$J207,IF(ISNUMBER($I207),$I207,"")))</f>
        <v>132.9</v>
      </c>
      <c r="L207" s="40" t="n">
        <f aca="false">IF(ISNUMBER($K207),$K207*$H207,"")</f>
        <v>17.277</v>
      </c>
      <c r="M207" s="40" t="n">
        <f aca="false">IF(ISNUMBER($K207),$K207*Parâmetros!$B$6,"")</f>
        <v>13.29</v>
      </c>
      <c r="N207" s="40" t="n">
        <f aca="false">IF(ISNUMBER($K207),$K207*Parâmetros!$C$6,"")</f>
        <v>3.987</v>
      </c>
      <c r="O207" s="40" t="n">
        <f aca="false">IF(ISNUMBER($K207),IF(ISNUMBER(Parâmetros!$E$6),Parâmetros!$E$6,0),"")</f>
        <v>0</v>
      </c>
      <c r="P207" s="41" t="n">
        <f aca="false">IF(ISNUMBER($K207),$K207-$D207-IF(ISNUMBER($E207),$E207,0)-$L207-$M207-$N207-$O207,"")</f>
        <v>35.236</v>
      </c>
      <c r="Q207" s="42" t="n">
        <f aca="false">IF(AND(ISNUMBER($K207),$K207&gt;0),$P207/$K207,"")</f>
        <v>0.265131677953348</v>
      </c>
      <c r="R207" s="43"/>
      <c r="S207" s="44" t="str">
        <f aca="false">IF(OR(NOT(ISNUMBER($R207)),$R207=0,NOT(ISNUMBER($K207))),"",$K207*(1-$R207))</f>
        <v/>
      </c>
      <c r="T207" s="45" t="str">
        <f aca="false">IF(ISNUMBER($S207),$S207*$H207,"")</f>
        <v/>
      </c>
      <c r="U207" s="45" t="str">
        <f aca="false">IF(ISNUMBER($S207),$S207*Parâmetros!$B$6,"")</f>
        <v/>
      </c>
      <c r="V207" s="45" t="str">
        <f aca="false">IF(ISNUMBER($S207),$S207*Parâmetros!$C$6,"")</f>
        <v/>
      </c>
      <c r="W207" s="44" t="str">
        <f aca="false">IF(ISNUMBER($S207),$S207-$D207-IF(ISNUMBER($E207),$E207,0)-$O207-$T207-$U207-$V207,"")</f>
        <v/>
      </c>
      <c r="X207" s="46" t="str">
        <f aca="false">IF(AND(ISNUMBER($S207),$S207&gt;0),$W207/$S207,"")</f>
        <v/>
      </c>
      <c r="Y207" s="49" t="s">
        <v>737</v>
      </c>
      <c r="Z207" s="21" t="s">
        <v>747</v>
      </c>
    </row>
    <row r="208" customFormat="false" ht="15.75" hidden="false" customHeight="true" outlineLevel="0" collapsed="false">
      <c r="A208" s="32" t="str">
        <f aca="false">IF(Produtos!$A208="","",Produtos!$A208)</f>
        <v>L2030-T</v>
      </c>
      <c r="B208" s="32" t="str">
        <f aca="false">IF(Produtos!$A208="","",Produtos!$B208)</f>
        <v>Lixeira de Aço inox 20x30 10L com tampa</v>
      </c>
      <c r="C208" s="32" t="str">
        <f aca="false">IF(Produtos!$A208="","",Produtos!$C208)</f>
        <v>Lixeiras em inox</v>
      </c>
      <c r="D208" s="33" t="n">
        <f aca="false">IF(Produtos!$A208="","",IF(Produtos!$D208="","",Produtos!$D208))</f>
        <v>69.27</v>
      </c>
      <c r="E208" s="11" t="n">
        <v>0</v>
      </c>
      <c r="F208" s="34" t="n">
        <f aca="false">IF($A208="","",IF($C208="","⚠ categoria",IFERROR(INDEX(Parâmetros!$D$13:$D$22,MATCH($C208,Parâmetros!$A$13:$A$22,0)),"⚠ categoria")))</f>
        <v>0.13</v>
      </c>
      <c r="G208" s="35"/>
      <c r="H208" s="36" t="n">
        <f aca="false">IF($A208="","",IF(ISNUMBER($G208),$G208,IF(ISNUMBER($F208),$F208,"")))</f>
        <v>0.13</v>
      </c>
      <c r="I208" s="37" t="n">
        <f aca="false">IF(OR($A208="",NOT(ISNUMBER($D208)),NOT(ISNUMBER($H208))),"",IF((1-$H208-Parâmetros!$B$6-Parâmetros!$C$6-Parâmetros!$D$6)&lt;=0,"INVALIDO",($D208+IF(ISNUMBER($E208),$E208,0)+IF(ISNUMBER(Parâmetros!$E$6),Parâmetros!$E$6,0))/(1-$H208-Parâmetros!$B$6-Parâmetros!$C$6-Parâmetros!$D$6)))</f>
        <v>128.277777777778</v>
      </c>
      <c r="J208" s="38" t="n">
        <v>143.13</v>
      </c>
      <c r="K208" s="39" t="n">
        <f aca="false">IF(OR($A208="",NOT(ISNUMBER($D208)),NOT(ISNUMBER($H208))),"",IF(AND(ISNUMBER($J208),$J208&gt;0),$J208,IF(ISNUMBER($I208),$I208,"")))</f>
        <v>143.13</v>
      </c>
      <c r="L208" s="40" t="n">
        <f aca="false">IF(ISNUMBER($K208),$K208*$H208,"")</f>
        <v>18.6069</v>
      </c>
      <c r="M208" s="40" t="n">
        <f aca="false">IF(ISNUMBER($K208),$K208*Parâmetros!$B$6,"")</f>
        <v>14.313</v>
      </c>
      <c r="N208" s="40" t="n">
        <f aca="false">IF(ISNUMBER($K208),$K208*Parâmetros!$C$6,"")</f>
        <v>4.2939</v>
      </c>
      <c r="O208" s="40" t="n">
        <f aca="false">IF(ISNUMBER($K208),IF(ISNUMBER(Parâmetros!$E$6),Parâmetros!$E$6,0),"")</f>
        <v>0</v>
      </c>
      <c r="P208" s="41" t="n">
        <f aca="false">IF(ISNUMBER($K208),$K208-$D208-IF(ISNUMBER($E208),$E208,0)-$L208-$M208-$N208-$O208,"")</f>
        <v>36.6462</v>
      </c>
      <c r="Q208" s="42" t="n">
        <f aca="false">IF(AND(ISNUMBER($K208),$K208&gt;0),$P208/$K208,"")</f>
        <v>0.256034374345001</v>
      </c>
      <c r="R208" s="43"/>
      <c r="S208" s="44" t="str">
        <f aca="false">IF(OR(NOT(ISNUMBER($R208)),$R208=0,NOT(ISNUMBER($K208))),"",$K208*(1-$R208))</f>
        <v/>
      </c>
      <c r="T208" s="45" t="str">
        <f aca="false">IF(ISNUMBER($S208),$S208*$H208,"")</f>
        <v/>
      </c>
      <c r="U208" s="45" t="str">
        <f aca="false">IF(ISNUMBER($S208),$S208*Parâmetros!$B$6,"")</f>
        <v/>
      </c>
      <c r="V208" s="45" t="str">
        <f aca="false">IF(ISNUMBER($S208),$S208*Parâmetros!$C$6,"")</f>
        <v/>
      </c>
      <c r="W208" s="44" t="str">
        <f aca="false">IF(ISNUMBER($S208),$S208-$D208-IF(ISNUMBER($E208),$E208,0)-$O208-$T208-$U208-$V208,"")</f>
        <v/>
      </c>
      <c r="X208" s="46" t="str">
        <f aca="false">IF(AND(ISNUMBER($S208),$S208&gt;0),$W208/$S208,"")</f>
        <v/>
      </c>
      <c r="Y208" s="47" t="s">
        <v>737</v>
      </c>
      <c r="Z208" s="19" t="s">
        <v>747</v>
      </c>
    </row>
    <row r="209" customFormat="false" ht="15.75" hidden="false" customHeight="true" outlineLevel="0" collapsed="false">
      <c r="A209" s="48" t="str">
        <f aca="false">IF(Produtos!$A209="","",Produtos!$A209)</f>
        <v>A24</v>
      </c>
      <c r="B209" s="48" t="str">
        <f aca="false">IF(Produtos!$A209="","",Produtos!$B209)</f>
        <v>Aro 24cm Aço Inox</v>
      </c>
      <c r="C209" s="48" t="str">
        <f aca="false">IF(Produtos!$A209="","",Produtos!$C209)</f>
        <v>Acessórios (aros e tampas)</v>
      </c>
      <c r="D209" s="33" t="n">
        <f aca="false">IF(Produtos!$A209="","",IF(Produtos!$D209="","",Produtos!$D209))</f>
        <v>38.11</v>
      </c>
      <c r="E209" s="11" t="n">
        <v>0</v>
      </c>
      <c r="F209" s="34" t="n">
        <f aca="false">IF($A209="","",IF($C209="","⚠ categoria",IFERROR(INDEX(Parâmetros!$D$13:$D$22,MATCH($C209,Parâmetros!$A$13:$A$22,0)),"⚠ categoria")))</f>
        <v>0.13</v>
      </c>
      <c r="G209" s="35"/>
      <c r="H209" s="36" t="n">
        <f aca="false">IF($A209="","",IF(ISNUMBER($G209),$G209,IF(ISNUMBER($F209),$F209,"")))</f>
        <v>0.13</v>
      </c>
      <c r="I209" s="37" t="n">
        <f aca="false">IF(OR($A209="",NOT(ISNUMBER($D209)),NOT(ISNUMBER($H209))),"",IF((1-$H209-Parâmetros!$B$6-Parâmetros!$C$6-Parâmetros!$D$6)&lt;=0,"INVALIDO",($D209+IF(ISNUMBER($E209),$E209,0)+IF(ISNUMBER(Parâmetros!$E$6),Parâmetros!$E$6,0))/(1-$H209-Parâmetros!$B$6-Parâmetros!$C$6-Parâmetros!$D$6)))</f>
        <v>70.5740740740741</v>
      </c>
      <c r="J209" s="38"/>
      <c r="K209" s="39" t="n">
        <f aca="false">IF(OR($A209="",NOT(ISNUMBER($D209)),NOT(ISNUMBER($H209))),"",IF(AND(ISNUMBER($J209),$J209&gt;0),$J209,IF(ISNUMBER($I209),$I209,"")))</f>
        <v>70.5740740740741</v>
      </c>
      <c r="L209" s="40" t="n">
        <f aca="false">IF(ISNUMBER($K209),$K209*$H209,"")</f>
        <v>9.17462962962963</v>
      </c>
      <c r="M209" s="40" t="n">
        <f aca="false">IF(ISNUMBER($K209),$K209*Parâmetros!$B$6,"")</f>
        <v>7.05740740740741</v>
      </c>
      <c r="N209" s="40" t="n">
        <f aca="false">IF(ISNUMBER($K209),$K209*Parâmetros!$C$6,"")</f>
        <v>2.11722222222222</v>
      </c>
      <c r="O209" s="40" t="n">
        <f aca="false">IF(ISNUMBER($K209),IF(ISNUMBER(Parâmetros!$E$6),Parâmetros!$E$6,0),"")</f>
        <v>0</v>
      </c>
      <c r="P209" s="41" t="n">
        <f aca="false">IF(ISNUMBER($K209),$K209-$D209-IF(ISNUMBER($E209),$E209,0)-$L209-$M209-$N209-$O209,"")</f>
        <v>14.1148148148148</v>
      </c>
      <c r="Q209" s="42" t="n">
        <f aca="false">IF(AND(ISNUMBER($K209),$K209&gt;0),$P209/$K209,"")</f>
        <v>0.2</v>
      </c>
      <c r="R209" s="43"/>
      <c r="S209" s="44" t="str">
        <f aca="false">IF(OR(NOT(ISNUMBER($R209)),$R209=0,NOT(ISNUMBER($K209))),"",$K209*(1-$R209))</f>
        <v/>
      </c>
      <c r="T209" s="45" t="str">
        <f aca="false">IF(ISNUMBER($S209),$S209*$H209,"")</f>
        <v/>
      </c>
      <c r="U209" s="45" t="str">
        <f aca="false">IF(ISNUMBER($S209),$S209*Parâmetros!$B$6,"")</f>
        <v/>
      </c>
      <c r="V209" s="45" t="str">
        <f aca="false">IF(ISNUMBER($S209),$S209*Parâmetros!$C$6,"")</f>
        <v/>
      </c>
      <c r="W209" s="44" t="str">
        <f aca="false">IF(ISNUMBER($S209),$S209-$D209-IF(ISNUMBER($E209),$E209,0)-$O209-$T209-$U209-$V209,"")</f>
        <v/>
      </c>
      <c r="X209" s="46" t="str">
        <f aca="false">IF(AND(ISNUMBER($S209),$S209&gt;0),$W209/$S209,"")</f>
        <v/>
      </c>
      <c r="Y209" s="49"/>
      <c r="Z209" s="21"/>
    </row>
    <row r="210" customFormat="false" ht="15.75" hidden="false" customHeight="true" outlineLevel="0" collapsed="false">
      <c r="A210" s="32" t="str">
        <f aca="false">IF(Produtos!$A210="","",Produtos!$A210)</f>
        <v>A30</v>
      </c>
      <c r="B210" s="32" t="str">
        <f aca="false">IF(Produtos!$A210="","",Produtos!$B210)</f>
        <v>Aro 30cm Aço Inox</v>
      </c>
      <c r="C210" s="32" t="str">
        <f aca="false">IF(Produtos!$A210="","",Produtos!$C210)</f>
        <v>Acessórios (aros e tampas)</v>
      </c>
      <c r="D210" s="33" t="n">
        <f aca="false">IF(Produtos!$A210="","",IF(Produtos!$D210="","",Produtos!$D210))</f>
        <v>44.27</v>
      </c>
      <c r="E210" s="11" t="n">
        <v>0</v>
      </c>
      <c r="F210" s="34" t="n">
        <f aca="false">IF($A210="","",IF($C210="","⚠ categoria",IFERROR(INDEX(Parâmetros!$D$13:$D$22,MATCH($C210,Parâmetros!$A$13:$A$22,0)),"⚠ categoria")))</f>
        <v>0.13</v>
      </c>
      <c r="G210" s="35"/>
      <c r="H210" s="36" t="n">
        <f aca="false">IF($A210="","",IF(ISNUMBER($G210),$G210,IF(ISNUMBER($F210),$F210,"")))</f>
        <v>0.13</v>
      </c>
      <c r="I210" s="37" t="n">
        <f aca="false">IF(OR($A210="",NOT(ISNUMBER($D210)),NOT(ISNUMBER($H210))),"",IF((1-$H210-Parâmetros!$B$6-Parâmetros!$C$6-Parâmetros!$D$6)&lt;=0,"INVALIDO",($D210+IF(ISNUMBER($E210),$E210,0)+IF(ISNUMBER(Parâmetros!$E$6),Parâmetros!$E$6,0))/(1-$H210-Parâmetros!$B$6-Parâmetros!$C$6-Parâmetros!$D$6)))</f>
        <v>81.9814814814815</v>
      </c>
      <c r="J210" s="38"/>
      <c r="K210" s="39" t="n">
        <f aca="false">IF(OR($A210="",NOT(ISNUMBER($D210)),NOT(ISNUMBER($H210))),"",IF(AND(ISNUMBER($J210),$J210&gt;0),$J210,IF(ISNUMBER($I210),$I210,"")))</f>
        <v>81.9814814814815</v>
      </c>
      <c r="L210" s="40" t="n">
        <f aca="false">IF(ISNUMBER($K210),$K210*$H210,"")</f>
        <v>10.6575925925926</v>
      </c>
      <c r="M210" s="40" t="n">
        <f aca="false">IF(ISNUMBER($K210),$K210*Parâmetros!$B$6,"")</f>
        <v>8.19814814814815</v>
      </c>
      <c r="N210" s="40" t="n">
        <f aca="false">IF(ISNUMBER($K210),$K210*Parâmetros!$C$6,"")</f>
        <v>2.45944444444444</v>
      </c>
      <c r="O210" s="40" t="n">
        <f aca="false">IF(ISNUMBER($K210),IF(ISNUMBER(Parâmetros!$E$6),Parâmetros!$E$6,0),"")</f>
        <v>0</v>
      </c>
      <c r="P210" s="41" t="n">
        <f aca="false">IF(ISNUMBER($K210),$K210-$D210-IF(ISNUMBER($E210),$E210,0)-$L210-$M210-$N210-$O210,"")</f>
        <v>16.3962962962963</v>
      </c>
      <c r="Q210" s="42" t="n">
        <f aca="false">IF(AND(ISNUMBER($K210),$K210&gt;0),$P210/$K210,"")</f>
        <v>0.2</v>
      </c>
      <c r="R210" s="43"/>
      <c r="S210" s="44" t="str">
        <f aca="false">IF(OR(NOT(ISNUMBER($R210)),$R210=0,NOT(ISNUMBER($K210))),"",$K210*(1-$R210))</f>
        <v/>
      </c>
      <c r="T210" s="45" t="str">
        <f aca="false">IF(ISNUMBER($S210),$S210*$H210,"")</f>
        <v/>
      </c>
      <c r="U210" s="45" t="str">
        <f aca="false">IF(ISNUMBER($S210),$S210*Parâmetros!$B$6,"")</f>
        <v/>
      </c>
      <c r="V210" s="45" t="str">
        <f aca="false">IF(ISNUMBER($S210),$S210*Parâmetros!$C$6,"")</f>
        <v/>
      </c>
      <c r="W210" s="44" t="str">
        <f aca="false">IF(ISNUMBER($S210),$S210-$D210-IF(ISNUMBER($E210),$E210,0)-$O210-$T210-$U210-$V210,"")</f>
        <v/>
      </c>
      <c r="X210" s="46" t="str">
        <f aca="false">IF(AND(ISNUMBER($S210),$S210&gt;0),$W210/$S210,"")</f>
        <v/>
      </c>
      <c r="Y210" s="47"/>
      <c r="Z210" s="19"/>
    </row>
    <row r="211" customFormat="false" ht="15.75" hidden="false" customHeight="true" outlineLevel="0" collapsed="false">
      <c r="A211" s="48" t="str">
        <f aca="false">IF(Produtos!$A211="","",Produtos!$A211)</f>
        <v>A40</v>
      </c>
      <c r="B211" s="48" t="str">
        <f aca="false">IF(Produtos!$A211="","",Produtos!$B211)</f>
        <v>Aro 40cm Aço Inox</v>
      </c>
      <c r="C211" s="48" t="str">
        <f aca="false">IF(Produtos!$A211="","",Produtos!$C211)</f>
        <v>Acessórios (aros e tampas)</v>
      </c>
      <c r="D211" s="33" t="n">
        <f aca="false">IF(Produtos!$A211="","",IF(Produtos!$D211="","",Produtos!$D211))</f>
        <v>94.36</v>
      </c>
      <c r="E211" s="11" t="n">
        <v>0</v>
      </c>
      <c r="F211" s="34" t="n">
        <f aca="false">IF($A211="","",IF($C211="","⚠ categoria",IFERROR(INDEX(Parâmetros!$D$13:$D$22,MATCH($C211,Parâmetros!$A$13:$A$22,0)),"⚠ categoria")))</f>
        <v>0.13</v>
      </c>
      <c r="G211" s="35"/>
      <c r="H211" s="36" t="n">
        <f aca="false">IF($A211="","",IF(ISNUMBER($G211),$G211,IF(ISNUMBER($F211),$F211,"")))</f>
        <v>0.13</v>
      </c>
      <c r="I211" s="37" t="n">
        <f aca="false">IF(OR($A211="",NOT(ISNUMBER($D211)),NOT(ISNUMBER($H211))),"",IF((1-$H211-Parâmetros!$B$6-Parâmetros!$C$6-Parâmetros!$D$6)&lt;=0,"INVALIDO",($D211+IF(ISNUMBER($E211),$E211,0)+IF(ISNUMBER(Parâmetros!$E$6),Parâmetros!$E$6,0))/(1-$H211-Parâmetros!$B$6-Parâmetros!$C$6-Parâmetros!$D$6)))</f>
        <v>174.740740740741</v>
      </c>
      <c r="J211" s="38"/>
      <c r="K211" s="39" t="n">
        <f aca="false">IF(OR($A211="",NOT(ISNUMBER($D211)),NOT(ISNUMBER($H211))),"",IF(AND(ISNUMBER($J211),$J211&gt;0),$J211,IF(ISNUMBER($I211),$I211,"")))</f>
        <v>174.740740740741</v>
      </c>
      <c r="L211" s="40" t="n">
        <f aca="false">IF(ISNUMBER($K211),$K211*$H211,"")</f>
        <v>22.7162962962963</v>
      </c>
      <c r="M211" s="40" t="n">
        <f aca="false">IF(ISNUMBER($K211),$K211*Parâmetros!$B$6,"")</f>
        <v>17.4740740740741</v>
      </c>
      <c r="N211" s="40" t="n">
        <f aca="false">IF(ISNUMBER($K211),$K211*Parâmetros!$C$6,"")</f>
        <v>5.24222222222222</v>
      </c>
      <c r="O211" s="40" t="n">
        <f aca="false">IF(ISNUMBER($K211),IF(ISNUMBER(Parâmetros!$E$6),Parâmetros!$E$6,0),"")</f>
        <v>0</v>
      </c>
      <c r="P211" s="41" t="n">
        <f aca="false">IF(ISNUMBER($K211),$K211-$D211-IF(ISNUMBER($E211),$E211,0)-$L211-$M211-$N211-$O211,"")</f>
        <v>34.9481481481481</v>
      </c>
      <c r="Q211" s="42" t="n">
        <f aca="false">IF(AND(ISNUMBER($K211),$K211&gt;0),$P211/$K211,"")</f>
        <v>0.2</v>
      </c>
      <c r="R211" s="43"/>
      <c r="S211" s="44" t="str">
        <f aca="false">IF(OR(NOT(ISNUMBER($R211)),$R211=0,NOT(ISNUMBER($K211))),"",$K211*(1-$R211))</f>
        <v/>
      </c>
      <c r="T211" s="45" t="str">
        <f aca="false">IF(ISNUMBER($S211),$S211*$H211,"")</f>
        <v/>
      </c>
      <c r="U211" s="45" t="str">
        <f aca="false">IF(ISNUMBER($S211),$S211*Parâmetros!$B$6,"")</f>
        <v/>
      </c>
      <c r="V211" s="45" t="str">
        <f aca="false">IF(ISNUMBER($S211),$S211*Parâmetros!$C$6,"")</f>
        <v/>
      </c>
      <c r="W211" s="44" t="str">
        <f aca="false">IF(ISNUMBER($S211),$S211-$D211-IF(ISNUMBER($E211),$E211,0)-$O211-$T211-$U211-$V211,"")</f>
        <v/>
      </c>
      <c r="X211" s="46" t="str">
        <f aca="false">IF(AND(ISNUMBER($S211),$S211&gt;0),$W211/$S211,"")</f>
        <v/>
      </c>
      <c r="Y211" s="49"/>
      <c r="Z211" s="21"/>
    </row>
    <row r="212" customFormat="false" ht="15.75" hidden="false" customHeight="true" outlineLevel="0" collapsed="false">
      <c r="A212" s="32" t="str">
        <f aca="false">IF(Produtos!$A212="","",Produtos!$A212)</f>
        <v>A24B</v>
      </c>
      <c r="B212" s="32" t="str">
        <f aca="false">IF(Produtos!$A212="","",Produtos!$B212)</f>
        <v>Aro 24cm c/Basculante Aço Inox</v>
      </c>
      <c r="C212" s="32" t="str">
        <f aca="false">IF(Produtos!$A212="","",Produtos!$C212)</f>
        <v>Acessórios (aros e tampas)</v>
      </c>
      <c r="D212" s="33" t="n">
        <f aca="false">IF(Produtos!$A212="","",IF(Produtos!$D212="","",Produtos!$D212))</f>
        <v>52.34</v>
      </c>
      <c r="E212" s="11" t="n">
        <v>0</v>
      </c>
      <c r="F212" s="34" t="n">
        <f aca="false">IF($A212="","",IF($C212="","⚠ categoria",IFERROR(INDEX(Parâmetros!$D$13:$D$22,MATCH($C212,Parâmetros!$A$13:$A$22,0)),"⚠ categoria")))</f>
        <v>0.13</v>
      </c>
      <c r="G212" s="35"/>
      <c r="H212" s="36" t="n">
        <f aca="false">IF($A212="","",IF(ISNUMBER($G212),$G212,IF(ISNUMBER($F212),$F212,"")))</f>
        <v>0.13</v>
      </c>
      <c r="I212" s="37" t="n">
        <f aca="false">IF(OR($A212="",NOT(ISNUMBER($D212)),NOT(ISNUMBER($H212))),"",IF((1-$H212-Parâmetros!$B$6-Parâmetros!$C$6-Parâmetros!$D$6)&lt;=0,"INVALIDO",($D212+IF(ISNUMBER($E212),$E212,0)+IF(ISNUMBER(Parâmetros!$E$6),Parâmetros!$E$6,0))/(1-$H212-Parâmetros!$B$6-Parâmetros!$C$6-Parâmetros!$D$6)))</f>
        <v>96.9259259259259</v>
      </c>
      <c r="J212" s="38"/>
      <c r="K212" s="39" t="n">
        <f aca="false">IF(OR($A212="",NOT(ISNUMBER($D212)),NOT(ISNUMBER($H212))),"",IF(AND(ISNUMBER($J212),$J212&gt;0),$J212,IF(ISNUMBER($I212),$I212,"")))</f>
        <v>96.9259259259259</v>
      </c>
      <c r="L212" s="40" t="n">
        <f aca="false">IF(ISNUMBER($K212),$K212*$H212,"")</f>
        <v>12.6003703703704</v>
      </c>
      <c r="M212" s="40" t="n">
        <f aca="false">IF(ISNUMBER($K212),$K212*Parâmetros!$B$6,"")</f>
        <v>9.69259259259259</v>
      </c>
      <c r="N212" s="40" t="n">
        <f aca="false">IF(ISNUMBER($K212),$K212*Parâmetros!$C$6,"")</f>
        <v>2.90777777777778</v>
      </c>
      <c r="O212" s="40" t="n">
        <f aca="false">IF(ISNUMBER($K212),IF(ISNUMBER(Parâmetros!$E$6),Parâmetros!$E$6,0),"")</f>
        <v>0</v>
      </c>
      <c r="P212" s="41" t="n">
        <f aca="false">IF(ISNUMBER($K212),$K212-$D212-IF(ISNUMBER($E212),$E212,0)-$L212-$M212-$N212-$O212,"")</f>
        <v>19.3851851851852</v>
      </c>
      <c r="Q212" s="42" t="n">
        <f aca="false">IF(AND(ISNUMBER($K212),$K212&gt;0),$P212/$K212,"")</f>
        <v>0.2</v>
      </c>
      <c r="R212" s="43"/>
      <c r="S212" s="44" t="str">
        <f aca="false">IF(OR(NOT(ISNUMBER($R212)),$R212=0,NOT(ISNUMBER($K212))),"",$K212*(1-$R212))</f>
        <v/>
      </c>
      <c r="T212" s="45" t="str">
        <f aca="false">IF(ISNUMBER($S212),$S212*$H212,"")</f>
        <v/>
      </c>
      <c r="U212" s="45" t="str">
        <f aca="false">IF(ISNUMBER($S212),$S212*Parâmetros!$B$6,"")</f>
        <v/>
      </c>
      <c r="V212" s="45" t="str">
        <f aca="false">IF(ISNUMBER($S212),$S212*Parâmetros!$C$6,"")</f>
        <v/>
      </c>
      <c r="W212" s="44" t="str">
        <f aca="false">IF(ISNUMBER($S212),$S212-$D212-IF(ISNUMBER($E212),$E212,0)-$O212-$T212-$U212-$V212,"")</f>
        <v/>
      </c>
      <c r="X212" s="46" t="str">
        <f aca="false">IF(AND(ISNUMBER($S212),$S212&gt;0),$W212/$S212,"")</f>
        <v/>
      </c>
      <c r="Y212" s="47"/>
      <c r="Z212" s="19"/>
    </row>
    <row r="213" customFormat="false" ht="15.75" hidden="false" customHeight="true" outlineLevel="0" collapsed="false">
      <c r="A213" s="48" t="str">
        <f aca="false">IF(Produtos!$A213="","",Produtos!$A213)</f>
        <v>A30B</v>
      </c>
      <c r="B213" s="48" t="str">
        <f aca="false">IF(Produtos!$A213="","",Produtos!$B213)</f>
        <v>Aro 30cm c/Basculante Aço Inox</v>
      </c>
      <c r="C213" s="48" t="str">
        <f aca="false">IF(Produtos!$A213="","",Produtos!$C213)</f>
        <v>Acessórios (aros e tampas)</v>
      </c>
      <c r="D213" s="33" t="n">
        <f aca="false">IF(Produtos!$A213="","",IF(Produtos!$D213="","",Produtos!$D213))</f>
        <v>68.24</v>
      </c>
      <c r="E213" s="11" t="n">
        <v>0</v>
      </c>
      <c r="F213" s="34" t="n">
        <f aca="false">IF($A213="","",IF($C213="","⚠ categoria",IFERROR(INDEX(Parâmetros!$D$13:$D$22,MATCH($C213,Parâmetros!$A$13:$A$22,0)),"⚠ categoria")))</f>
        <v>0.13</v>
      </c>
      <c r="G213" s="35"/>
      <c r="H213" s="36" t="n">
        <f aca="false">IF($A213="","",IF(ISNUMBER($G213),$G213,IF(ISNUMBER($F213),$F213,"")))</f>
        <v>0.13</v>
      </c>
      <c r="I213" s="37" t="n">
        <f aca="false">IF(OR($A213="",NOT(ISNUMBER($D213)),NOT(ISNUMBER($H213))),"",IF((1-$H213-Parâmetros!$B$6-Parâmetros!$C$6-Parâmetros!$D$6)&lt;=0,"INVALIDO",($D213+IF(ISNUMBER($E213),$E213,0)+IF(ISNUMBER(Parâmetros!$E$6),Parâmetros!$E$6,0))/(1-$H213-Parâmetros!$B$6-Parâmetros!$C$6-Parâmetros!$D$6)))</f>
        <v>126.37037037037</v>
      </c>
      <c r="J213" s="38"/>
      <c r="K213" s="39" t="n">
        <f aca="false">IF(OR($A213="",NOT(ISNUMBER($D213)),NOT(ISNUMBER($H213))),"",IF(AND(ISNUMBER($J213),$J213&gt;0),$J213,IF(ISNUMBER($I213),$I213,"")))</f>
        <v>126.37037037037</v>
      </c>
      <c r="L213" s="40" t="n">
        <f aca="false">IF(ISNUMBER($K213),$K213*$H213,"")</f>
        <v>16.4281481481481</v>
      </c>
      <c r="M213" s="40" t="n">
        <f aca="false">IF(ISNUMBER($K213),$K213*Parâmetros!$B$6,"")</f>
        <v>12.637037037037</v>
      </c>
      <c r="N213" s="40" t="n">
        <f aca="false">IF(ISNUMBER($K213),$K213*Parâmetros!$C$6,"")</f>
        <v>3.79111111111111</v>
      </c>
      <c r="O213" s="40" t="n">
        <f aca="false">IF(ISNUMBER($K213),IF(ISNUMBER(Parâmetros!$E$6),Parâmetros!$E$6,0),"")</f>
        <v>0</v>
      </c>
      <c r="P213" s="41" t="n">
        <f aca="false">IF(ISNUMBER($K213),$K213-$D213-IF(ISNUMBER($E213),$E213,0)-$L213-$M213-$N213-$O213,"")</f>
        <v>25.2740740740741</v>
      </c>
      <c r="Q213" s="42" t="n">
        <f aca="false">IF(AND(ISNUMBER($K213),$K213&gt;0),$P213/$K213,"")</f>
        <v>0.2</v>
      </c>
      <c r="R213" s="43"/>
      <c r="S213" s="44" t="str">
        <f aca="false">IF(OR(NOT(ISNUMBER($R213)),$R213=0,NOT(ISNUMBER($K213))),"",$K213*(1-$R213))</f>
        <v/>
      </c>
      <c r="T213" s="45" t="str">
        <f aca="false">IF(ISNUMBER($S213),$S213*$H213,"")</f>
        <v/>
      </c>
      <c r="U213" s="45" t="str">
        <f aca="false">IF(ISNUMBER($S213),$S213*Parâmetros!$B$6,"")</f>
        <v/>
      </c>
      <c r="V213" s="45" t="str">
        <f aca="false">IF(ISNUMBER($S213),$S213*Parâmetros!$C$6,"")</f>
        <v/>
      </c>
      <c r="W213" s="44" t="str">
        <f aca="false">IF(ISNUMBER($S213),$S213-$D213-IF(ISNUMBER($E213),$E213,0)-$O213-$T213-$U213-$V213,"")</f>
        <v/>
      </c>
      <c r="X213" s="46" t="str">
        <f aca="false">IF(AND(ISNUMBER($S213),$S213&gt;0),$W213/$S213,"")</f>
        <v/>
      </c>
      <c r="Y213" s="49"/>
      <c r="Z213" s="21"/>
    </row>
    <row r="214" customFormat="false" ht="15.75" hidden="false" customHeight="true" outlineLevel="0" collapsed="false">
      <c r="A214" s="32" t="str">
        <f aca="false">IF(Produtos!$A214="","",Produtos!$A214)</f>
        <v>A40B</v>
      </c>
      <c r="B214" s="32" t="str">
        <f aca="false">IF(Produtos!$A214="","",Produtos!$B214)</f>
        <v>Aro 40cm c/Basculante Aço Inox</v>
      </c>
      <c r="C214" s="32" t="str">
        <f aca="false">IF(Produtos!$A214="","",Produtos!$C214)</f>
        <v>Acessórios (aros e tampas)</v>
      </c>
      <c r="D214" s="33" t="n">
        <f aca="false">IF(Produtos!$A214="","",IF(Produtos!$D214="","",Produtos!$D214))</f>
        <v>136.51</v>
      </c>
      <c r="E214" s="11" t="n">
        <v>0</v>
      </c>
      <c r="F214" s="34" t="n">
        <f aca="false">IF($A214="","",IF($C214="","⚠ categoria",IFERROR(INDEX(Parâmetros!$D$13:$D$22,MATCH($C214,Parâmetros!$A$13:$A$22,0)),"⚠ categoria")))</f>
        <v>0.13</v>
      </c>
      <c r="G214" s="35"/>
      <c r="H214" s="36" t="n">
        <f aca="false">IF($A214="","",IF(ISNUMBER($G214),$G214,IF(ISNUMBER($F214),$F214,"")))</f>
        <v>0.13</v>
      </c>
      <c r="I214" s="37" t="n">
        <f aca="false">IF(OR($A214="",NOT(ISNUMBER($D214)),NOT(ISNUMBER($H214))),"",IF((1-$H214-Parâmetros!$B$6-Parâmetros!$C$6-Parâmetros!$D$6)&lt;=0,"INVALIDO",($D214+IF(ISNUMBER($E214),$E214,0)+IF(ISNUMBER(Parâmetros!$E$6),Parâmetros!$E$6,0))/(1-$H214-Parâmetros!$B$6-Parâmetros!$C$6-Parâmetros!$D$6)))</f>
        <v>252.796296296296</v>
      </c>
      <c r="J214" s="38"/>
      <c r="K214" s="39" t="n">
        <f aca="false">IF(OR($A214="",NOT(ISNUMBER($D214)),NOT(ISNUMBER($H214))),"",IF(AND(ISNUMBER($J214),$J214&gt;0),$J214,IF(ISNUMBER($I214),$I214,"")))</f>
        <v>252.796296296296</v>
      </c>
      <c r="L214" s="40" t="n">
        <f aca="false">IF(ISNUMBER($K214),$K214*$H214,"")</f>
        <v>32.8635185185185</v>
      </c>
      <c r="M214" s="40" t="n">
        <f aca="false">IF(ISNUMBER($K214),$K214*Parâmetros!$B$6,"")</f>
        <v>25.2796296296296</v>
      </c>
      <c r="N214" s="40" t="n">
        <f aca="false">IF(ISNUMBER($K214),$K214*Parâmetros!$C$6,"")</f>
        <v>7.58388888888889</v>
      </c>
      <c r="O214" s="40" t="n">
        <f aca="false">IF(ISNUMBER($K214),IF(ISNUMBER(Parâmetros!$E$6),Parâmetros!$E$6,0),"")</f>
        <v>0</v>
      </c>
      <c r="P214" s="41" t="n">
        <f aca="false">IF(ISNUMBER($K214),$K214-$D214-IF(ISNUMBER($E214),$E214,0)-$L214-$M214-$N214-$O214,"")</f>
        <v>50.5592592592593</v>
      </c>
      <c r="Q214" s="42" t="n">
        <f aca="false">IF(AND(ISNUMBER($K214),$K214&gt;0),$P214/$K214,"")</f>
        <v>0.2</v>
      </c>
      <c r="R214" s="43"/>
      <c r="S214" s="44" t="str">
        <f aca="false">IF(OR(NOT(ISNUMBER($R214)),$R214=0,NOT(ISNUMBER($K214))),"",$K214*(1-$R214))</f>
        <v/>
      </c>
      <c r="T214" s="45" t="str">
        <f aca="false">IF(ISNUMBER($S214),$S214*$H214,"")</f>
        <v/>
      </c>
      <c r="U214" s="45" t="str">
        <f aca="false">IF(ISNUMBER($S214),$S214*Parâmetros!$B$6,"")</f>
        <v/>
      </c>
      <c r="V214" s="45" t="str">
        <f aca="false">IF(ISNUMBER($S214),$S214*Parâmetros!$C$6,"")</f>
        <v/>
      </c>
      <c r="W214" s="44" t="str">
        <f aca="false">IF(ISNUMBER($S214),$S214-$D214-IF(ISNUMBER($E214),$E214,0)-$O214-$T214-$U214-$V214,"")</f>
        <v/>
      </c>
      <c r="X214" s="46" t="str">
        <f aca="false">IF(AND(ISNUMBER($S214),$S214&gt;0),$W214/$S214,"")</f>
        <v/>
      </c>
      <c r="Y214" s="47"/>
      <c r="Z214" s="19"/>
    </row>
    <row r="215" customFormat="false" ht="15.75" hidden="false" customHeight="true" outlineLevel="0" collapsed="false">
      <c r="A215" s="48" t="str">
        <f aca="false">IF(Produtos!$A215="","",Produtos!$A215)</f>
        <v>A24C</v>
      </c>
      <c r="B215" s="48" t="str">
        <f aca="false">IF(Produtos!$A215="","",Produtos!$B215)</f>
        <v>Aro 24cm Pintado</v>
      </c>
      <c r="C215" s="48" t="str">
        <f aca="false">IF(Produtos!$A215="","",Produtos!$C215)</f>
        <v>Acessórios (aros e tampas)</v>
      </c>
      <c r="D215" s="33" t="n">
        <f aca="false">IF(Produtos!$A215="","",IF(Produtos!$D215="","",Produtos!$D215))</f>
        <v>50.43</v>
      </c>
      <c r="E215" s="11" t="n">
        <v>0</v>
      </c>
      <c r="F215" s="34" t="n">
        <f aca="false">IF($A215="","",IF($C215="","⚠ categoria",IFERROR(INDEX(Parâmetros!$D$13:$D$22,MATCH($C215,Parâmetros!$A$13:$A$22,0)),"⚠ categoria")))</f>
        <v>0.13</v>
      </c>
      <c r="G215" s="35"/>
      <c r="H215" s="36" t="n">
        <f aca="false">IF($A215="","",IF(ISNUMBER($G215),$G215,IF(ISNUMBER($F215),$F215,"")))</f>
        <v>0.13</v>
      </c>
      <c r="I215" s="37" t="n">
        <f aca="false">IF(OR($A215="",NOT(ISNUMBER($D215)),NOT(ISNUMBER($H215))),"",IF((1-$H215-Parâmetros!$B$6-Parâmetros!$C$6-Parâmetros!$D$6)&lt;=0,"INVALIDO",($D215+IF(ISNUMBER($E215),$E215,0)+IF(ISNUMBER(Parâmetros!$E$6),Parâmetros!$E$6,0))/(1-$H215-Parâmetros!$B$6-Parâmetros!$C$6-Parâmetros!$D$6)))</f>
        <v>93.3888888888889</v>
      </c>
      <c r="J215" s="38"/>
      <c r="K215" s="39" t="n">
        <f aca="false">IF(OR($A215="",NOT(ISNUMBER($D215)),NOT(ISNUMBER($H215))),"",IF(AND(ISNUMBER($J215),$J215&gt;0),$J215,IF(ISNUMBER($I215),$I215,"")))</f>
        <v>93.3888888888889</v>
      </c>
      <c r="L215" s="40" t="n">
        <f aca="false">IF(ISNUMBER($K215),$K215*$H215,"")</f>
        <v>12.1405555555556</v>
      </c>
      <c r="M215" s="40" t="n">
        <f aca="false">IF(ISNUMBER($K215),$K215*Parâmetros!$B$6,"")</f>
        <v>9.33888888888889</v>
      </c>
      <c r="N215" s="40" t="n">
        <f aca="false">IF(ISNUMBER($K215),$K215*Parâmetros!$C$6,"")</f>
        <v>2.80166666666667</v>
      </c>
      <c r="O215" s="40" t="n">
        <f aca="false">IF(ISNUMBER($K215),IF(ISNUMBER(Parâmetros!$E$6),Parâmetros!$E$6,0),"")</f>
        <v>0</v>
      </c>
      <c r="P215" s="41" t="n">
        <f aca="false">IF(ISNUMBER($K215),$K215-$D215-IF(ISNUMBER($E215),$E215,0)-$L215-$M215-$N215-$O215,"")</f>
        <v>18.6777777777778</v>
      </c>
      <c r="Q215" s="42" t="n">
        <f aca="false">IF(AND(ISNUMBER($K215),$K215&gt;0),$P215/$K215,"")</f>
        <v>0.2</v>
      </c>
      <c r="R215" s="43"/>
      <c r="S215" s="44" t="str">
        <f aca="false">IF(OR(NOT(ISNUMBER($R215)),$R215=0,NOT(ISNUMBER($K215))),"",$K215*(1-$R215))</f>
        <v/>
      </c>
      <c r="T215" s="45" t="str">
        <f aca="false">IF(ISNUMBER($S215),$S215*$H215,"")</f>
        <v/>
      </c>
      <c r="U215" s="45" t="str">
        <f aca="false">IF(ISNUMBER($S215),$S215*Parâmetros!$B$6,"")</f>
        <v/>
      </c>
      <c r="V215" s="45" t="str">
        <f aca="false">IF(ISNUMBER($S215),$S215*Parâmetros!$C$6,"")</f>
        <v/>
      </c>
      <c r="W215" s="44" t="str">
        <f aca="false">IF(ISNUMBER($S215),$S215-$D215-IF(ISNUMBER($E215),$E215,0)-$O215-$T215-$U215-$V215,"")</f>
        <v/>
      </c>
      <c r="X215" s="46" t="str">
        <f aca="false">IF(AND(ISNUMBER($S215),$S215&gt;0),$W215/$S215,"")</f>
        <v/>
      </c>
      <c r="Y215" s="49"/>
      <c r="Z215" s="21"/>
    </row>
    <row r="216" customFormat="false" ht="15.75" hidden="false" customHeight="true" outlineLevel="0" collapsed="false">
      <c r="A216" s="32" t="str">
        <f aca="false">IF(Produtos!$A216="","",Produtos!$A216)</f>
        <v>A30C</v>
      </c>
      <c r="B216" s="32" t="str">
        <f aca="false">IF(Produtos!$A216="","",Produtos!$B216)</f>
        <v>Aro 30cm Pintado</v>
      </c>
      <c r="C216" s="32" t="str">
        <f aca="false">IF(Produtos!$A216="","",Produtos!$C216)</f>
        <v>Acessórios (aros e tampas)</v>
      </c>
      <c r="D216" s="33" t="n">
        <f aca="false">IF(Produtos!$A216="","",IF(Produtos!$D216="","",Produtos!$D216))</f>
        <v>64.43</v>
      </c>
      <c r="E216" s="11" t="n">
        <v>0</v>
      </c>
      <c r="F216" s="34" t="n">
        <f aca="false">IF($A216="","",IF($C216="","⚠ categoria",IFERROR(INDEX(Parâmetros!$D$13:$D$22,MATCH($C216,Parâmetros!$A$13:$A$22,0)),"⚠ categoria")))</f>
        <v>0.13</v>
      </c>
      <c r="G216" s="35"/>
      <c r="H216" s="36" t="n">
        <f aca="false">IF($A216="","",IF(ISNUMBER($G216),$G216,IF(ISNUMBER($F216),$F216,"")))</f>
        <v>0.13</v>
      </c>
      <c r="I216" s="37" t="n">
        <f aca="false">IF(OR($A216="",NOT(ISNUMBER($D216)),NOT(ISNUMBER($H216))),"",IF((1-$H216-Parâmetros!$B$6-Parâmetros!$C$6-Parâmetros!$D$6)&lt;=0,"INVALIDO",($D216+IF(ISNUMBER($E216),$E216,0)+IF(ISNUMBER(Parâmetros!$E$6),Parâmetros!$E$6,0))/(1-$H216-Parâmetros!$B$6-Parâmetros!$C$6-Parâmetros!$D$6)))</f>
        <v>119.314814814815</v>
      </c>
      <c r="J216" s="38"/>
      <c r="K216" s="39" t="n">
        <f aca="false">IF(OR($A216="",NOT(ISNUMBER($D216)),NOT(ISNUMBER($H216))),"",IF(AND(ISNUMBER($J216),$J216&gt;0),$J216,IF(ISNUMBER($I216),$I216,"")))</f>
        <v>119.314814814815</v>
      </c>
      <c r="L216" s="40" t="n">
        <f aca="false">IF(ISNUMBER($K216),$K216*$H216,"")</f>
        <v>15.5109259259259</v>
      </c>
      <c r="M216" s="40" t="n">
        <f aca="false">IF(ISNUMBER($K216),$K216*Parâmetros!$B$6,"")</f>
        <v>11.9314814814815</v>
      </c>
      <c r="N216" s="40" t="n">
        <f aca="false">IF(ISNUMBER($K216),$K216*Parâmetros!$C$6,"")</f>
        <v>3.57944444444444</v>
      </c>
      <c r="O216" s="40" t="n">
        <f aca="false">IF(ISNUMBER($K216),IF(ISNUMBER(Parâmetros!$E$6),Parâmetros!$E$6,0),"")</f>
        <v>0</v>
      </c>
      <c r="P216" s="41" t="n">
        <f aca="false">IF(ISNUMBER($K216),$K216-$D216-IF(ISNUMBER($E216),$E216,0)-$L216-$M216-$N216-$O216,"")</f>
        <v>23.862962962963</v>
      </c>
      <c r="Q216" s="42" t="n">
        <f aca="false">IF(AND(ISNUMBER($K216),$K216&gt;0),$P216/$K216,"")</f>
        <v>0.2</v>
      </c>
      <c r="R216" s="43"/>
      <c r="S216" s="44" t="str">
        <f aca="false">IF(OR(NOT(ISNUMBER($R216)),$R216=0,NOT(ISNUMBER($K216))),"",$K216*(1-$R216))</f>
        <v/>
      </c>
      <c r="T216" s="45" t="str">
        <f aca="false">IF(ISNUMBER($S216),$S216*$H216,"")</f>
        <v/>
      </c>
      <c r="U216" s="45" t="str">
        <f aca="false">IF(ISNUMBER($S216),$S216*Parâmetros!$B$6,"")</f>
        <v/>
      </c>
      <c r="V216" s="45" t="str">
        <f aca="false">IF(ISNUMBER($S216),$S216*Parâmetros!$C$6,"")</f>
        <v/>
      </c>
      <c r="W216" s="44" t="str">
        <f aca="false">IF(ISNUMBER($S216),$S216-$D216-IF(ISNUMBER($E216),$E216,0)-$O216-$T216-$U216-$V216,"")</f>
        <v/>
      </c>
      <c r="X216" s="46" t="str">
        <f aca="false">IF(AND(ISNUMBER($S216),$S216&gt;0),$W216/$S216,"")</f>
        <v/>
      </c>
      <c r="Y216" s="47"/>
      <c r="Z216" s="19"/>
    </row>
    <row r="217" customFormat="false" ht="15.75" hidden="false" customHeight="true" outlineLevel="0" collapsed="false">
      <c r="A217" s="48" t="str">
        <f aca="false">IF(Produtos!$A217="","",Produtos!$A217)</f>
        <v>A40BP</v>
      </c>
      <c r="B217" s="48" t="str">
        <f aca="false">IF(Produtos!$A217="","",Produtos!$B217)</f>
        <v>Aro 40cm Pintado</v>
      </c>
      <c r="C217" s="48" t="str">
        <f aca="false">IF(Produtos!$A217="","",Produtos!$C217)</f>
        <v>Acessórios (aros e tampas)</v>
      </c>
      <c r="D217" s="33" t="n">
        <f aca="false">IF(Produtos!$A217="","",IF(Produtos!$D217="","",Produtos!$D217))</f>
        <v>118.62</v>
      </c>
      <c r="E217" s="11" t="n">
        <v>0</v>
      </c>
      <c r="F217" s="34" t="n">
        <f aca="false">IF($A217="","",IF($C217="","⚠ categoria",IFERROR(INDEX(Parâmetros!$D$13:$D$22,MATCH($C217,Parâmetros!$A$13:$A$22,0)),"⚠ categoria")))</f>
        <v>0.13</v>
      </c>
      <c r="G217" s="35"/>
      <c r="H217" s="36" t="n">
        <f aca="false">IF($A217="","",IF(ISNUMBER($G217),$G217,IF(ISNUMBER($F217),$F217,"")))</f>
        <v>0.13</v>
      </c>
      <c r="I217" s="37" t="n">
        <f aca="false">IF(OR($A217="",NOT(ISNUMBER($D217)),NOT(ISNUMBER($H217))),"",IF((1-$H217-Parâmetros!$B$6-Parâmetros!$C$6-Parâmetros!$D$6)&lt;=0,"INVALIDO",($D217+IF(ISNUMBER($E217),$E217,0)+IF(ISNUMBER(Parâmetros!$E$6),Parâmetros!$E$6,0))/(1-$H217-Parâmetros!$B$6-Parâmetros!$C$6-Parâmetros!$D$6)))</f>
        <v>219.666666666667</v>
      </c>
      <c r="J217" s="38"/>
      <c r="K217" s="39" t="n">
        <f aca="false">IF(OR($A217="",NOT(ISNUMBER($D217)),NOT(ISNUMBER($H217))),"",IF(AND(ISNUMBER($J217),$J217&gt;0),$J217,IF(ISNUMBER($I217),$I217,"")))</f>
        <v>219.666666666667</v>
      </c>
      <c r="L217" s="40" t="n">
        <f aca="false">IF(ISNUMBER($K217),$K217*$H217,"")</f>
        <v>28.5566666666667</v>
      </c>
      <c r="M217" s="40" t="n">
        <f aca="false">IF(ISNUMBER($K217),$K217*Parâmetros!$B$6,"")</f>
        <v>21.9666666666667</v>
      </c>
      <c r="N217" s="40" t="n">
        <f aca="false">IF(ISNUMBER($K217),$K217*Parâmetros!$C$6,"")</f>
        <v>6.59</v>
      </c>
      <c r="O217" s="40" t="n">
        <f aca="false">IF(ISNUMBER($K217),IF(ISNUMBER(Parâmetros!$E$6),Parâmetros!$E$6,0),"")</f>
        <v>0</v>
      </c>
      <c r="P217" s="41" t="n">
        <f aca="false">IF(ISNUMBER($K217),$K217-$D217-IF(ISNUMBER($E217),$E217,0)-$L217-$M217-$N217-$O217,"")</f>
        <v>43.9333333333333</v>
      </c>
      <c r="Q217" s="42" t="n">
        <f aca="false">IF(AND(ISNUMBER($K217),$K217&gt;0),$P217/$K217,"")</f>
        <v>0.2</v>
      </c>
      <c r="R217" s="43"/>
      <c r="S217" s="44" t="str">
        <f aca="false">IF(OR(NOT(ISNUMBER($R217)),$R217=0,NOT(ISNUMBER($K217))),"",$K217*(1-$R217))</f>
        <v/>
      </c>
      <c r="T217" s="45" t="str">
        <f aca="false">IF(ISNUMBER($S217),$S217*$H217,"")</f>
        <v/>
      </c>
      <c r="U217" s="45" t="str">
        <f aca="false">IF(ISNUMBER($S217),$S217*Parâmetros!$B$6,"")</f>
        <v/>
      </c>
      <c r="V217" s="45" t="str">
        <f aca="false">IF(ISNUMBER($S217),$S217*Parâmetros!$C$6,"")</f>
        <v/>
      </c>
      <c r="W217" s="44" t="str">
        <f aca="false">IF(ISNUMBER($S217),$S217-$D217-IF(ISNUMBER($E217),$E217,0)-$O217-$T217-$U217-$V217,"")</f>
        <v/>
      </c>
      <c r="X217" s="46" t="str">
        <f aca="false">IF(AND(ISNUMBER($S217),$S217&gt;0),$W217/$S217,"")</f>
        <v/>
      </c>
      <c r="Y217" s="49"/>
      <c r="Z217" s="21"/>
    </row>
    <row r="218" customFormat="false" ht="15.75" hidden="false" customHeight="true" outlineLevel="0" collapsed="false">
      <c r="A218" s="32" t="str">
        <f aca="false">IF(Produtos!$A218="","",Produtos!$A218)</f>
        <v>A24BC</v>
      </c>
      <c r="B218" s="32" t="str">
        <f aca="false">IF(Produtos!$A218="","",Produtos!$B218)</f>
        <v>Aro 24cm c/Basculante Pintado</v>
      </c>
      <c r="C218" s="32" t="str">
        <f aca="false">IF(Produtos!$A218="","",Produtos!$C218)</f>
        <v>Acessórios (aros e tampas)</v>
      </c>
      <c r="D218" s="33" t="n">
        <f aca="false">IF(Produtos!$A218="","",IF(Produtos!$D218="","",Produtos!$D218))</f>
        <v>76.56</v>
      </c>
      <c r="E218" s="11" t="n">
        <v>0</v>
      </c>
      <c r="F218" s="34" t="n">
        <f aca="false">IF($A218="","",IF($C218="","⚠ categoria",IFERROR(INDEX(Parâmetros!$D$13:$D$22,MATCH($C218,Parâmetros!$A$13:$A$22,0)),"⚠ categoria")))</f>
        <v>0.13</v>
      </c>
      <c r="G218" s="35"/>
      <c r="H218" s="36" t="n">
        <f aca="false">IF($A218="","",IF(ISNUMBER($G218),$G218,IF(ISNUMBER($F218),$F218,"")))</f>
        <v>0.13</v>
      </c>
      <c r="I218" s="37" t="n">
        <f aca="false">IF(OR($A218="",NOT(ISNUMBER($D218)),NOT(ISNUMBER($H218))),"",IF((1-$H218-Parâmetros!$B$6-Parâmetros!$C$6-Parâmetros!$D$6)&lt;=0,"INVALIDO",($D218+IF(ISNUMBER($E218),$E218,0)+IF(ISNUMBER(Parâmetros!$E$6),Parâmetros!$E$6,0))/(1-$H218-Parâmetros!$B$6-Parâmetros!$C$6-Parâmetros!$D$6)))</f>
        <v>141.777777777778</v>
      </c>
      <c r="J218" s="38"/>
      <c r="K218" s="39" t="n">
        <f aca="false">IF(OR($A218="",NOT(ISNUMBER($D218)),NOT(ISNUMBER($H218))),"",IF(AND(ISNUMBER($J218),$J218&gt;0),$J218,IF(ISNUMBER($I218),$I218,"")))</f>
        <v>141.777777777778</v>
      </c>
      <c r="L218" s="40" t="n">
        <f aca="false">IF(ISNUMBER($K218),$K218*$H218,"")</f>
        <v>18.4311111111111</v>
      </c>
      <c r="M218" s="40" t="n">
        <f aca="false">IF(ISNUMBER($K218),$K218*Parâmetros!$B$6,"")</f>
        <v>14.1777777777778</v>
      </c>
      <c r="N218" s="40" t="n">
        <f aca="false">IF(ISNUMBER($K218),$K218*Parâmetros!$C$6,"")</f>
        <v>4.25333333333333</v>
      </c>
      <c r="O218" s="40" t="n">
        <f aca="false">IF(ISNUMBER($K218),IF(ISNUMBER(Parâmetros!$E$6),Parâmetros!$E$6,0),"")</f>
        <v>0</v>
      </c>
      <c r="P218" s="41" t="n">
        <f aca="false">IF(ISNUMBER($K218),$K218-$D218-IF(ISNUMBER($E218),$E218,0)-$L218-$M218-$N218-$O218,"")</f>
        <v>28.3555555555556</v>
      </c>
      <c r="Q218" s="42" t="n">
        <f aca="false">IF(AND(ISNUMBER($K218),$K218&gt;0),$P218/$K218,"")</f>
        <v>0.2</v>
      </c>
      <c r="R218" s="43"/>
      <c r="S218" s="44" t="str">
        <f aca="false">IF(OR(NOT(ISNUMBER($R218)),$R218=0,NOT(ISNUMBER($K218))),"",$K218*(1-$R218))</f>
        <v/>
      </c>
      <c r="T218" s="45" t="str">
        <f aca="false">IF(ISNUMBER($S218),$S218*$H218,"")</f>
        <v/>
      </c>
      <c r="U218" s="45" t="str">
        <f aca="false">IF(ISNUMBER($S218),$S218*Parâmetros!$B$6,"")</f>
        <v/>
      </c>
      <c r="V218" s="45" t="str">
        <f aca="false">IF(ISNUMBER($S218),$S218*Parâmetros!$C$6,"")</f>
        <v/>
      </c>
      <c r="W218" s="44" t="str">
        <f aca="false">IF(ISNUMBER($S218),$S218-$D218-IF(ISNUMBER($E218),$E218,0)-$O218-$T218-$U218-$V218,"")</f>
        <v/>
      </c>
      <c r="X218" s="46" t="str">
        <f aca="false">IF(AND(ISNUMBER($S218),$S218&gt;0),$W218/$S218,"")</f>
        <v/>
      </c>
      <c r="Y218" s="47"/>
      <c r="Z218" s="19"/>
    </row>
    <row r="219" customFormat="false" ht="15.75" hidden="false" customHeight="true" outlineLevel="0" collapsed="false">
      <c r="A219" s="48" t="str">
        <f aca="false">IF(Produtos!$A219="","",Produtos!$A219)</f>
        <v>A30BC</v>
      </c>
      <c r="B219" s="48" t="str">
        <f aca="false">IF(Produtos!$A219="","",Produtos!$B219)</f>
        <v>Aro 30cm c/Basculante Pintado</v>
      </c>
      <c r="C219" s="48" t="str">
        <f aca="false">IF(Produtos!$A219="","",Produtos!$C219)</f>
        <v>Acessórios (aros e tampas)</v>
      </c>
      <c r="D219" s="33" t="n">
        <f aca="false">IF(Produtos!$A219="","",IF(Produtos!$D219="","",Produtos!$D219))</f>
        <v>90.73</v>
      </c>
      <c r="E219" s="11" t="n">
        <v>0</v>
      </c>
      <c r="F219" s="34" t="n">
        <f aca="false">IF($A219="","",IF($C219="","⚠ categoria",IFERROR(INDEX(Parâmetros!$D$13:$D$22,MATCH($C219,Parâmetros!$A$13:$A$22,0)),"⚠ categoria")))</f>
        <v>0.13</v>
      </c>
      <c r="G219" s="35"/>
      <c r="H219" s="36" t="n">
        <f aca="false">IF($A219="","",IF(ISNUMBER($G219),$G219,IF(ISNUMBER($F219),$F219,"")))</f>
        <v>0.13</v>
      </c>
      <c r="I219" s="37" t="n">
        <f aca="false">IF(OR($A219="",NOT(ISNUMBER($D219)),NOT(ISNUMBER($H219))),"",IF((1-$H219-Parâmetros!$B$6-Parâmetros!$C$6-Parâmetros!$D$6)&lt;=0,"INVALIDO",($D219+IF(ISNUMBER($E219),$E219,0)+IF(ISNUMBER(Parâmetros!$E$6),Parâmetros!$E$6,0))/(1-$H219-Parâmetros!$B$6-Parâmetros!$C$6-Parâmetros!$D$6)))</f>
        <v>168.018518518519</v>
      </c>
      <c r="J219" s="38"/>
      <c r="K219" s="39" t="n">
        <f aca="false">IF(OR($A219="",NOT(ISNUMBER($D219)),NOT(ISNUMBER($H219))),"",IF(AND(ISNUMBER($J219),$J219&gt;0),$J219,IF(ISNUMBER($I219),$I219,"")))</f>
        <v>168.018518518519</v>
      </c>
      <c r="L219" s="40" t="n">
        <f aca="false">IF(ISNUMBER($K219),$K219*$H219,"")</f>
        <v>21.8424074074074</v>
      </c>
      <c r="M219" s="40" t="n">
        <f aca="false">IF(ISNUMBER($K219),$K219*Parâmetros!$B$6,"")</f>
        <v>16.8018518518519</v>
      </c>
      <c r="N219" s="40" t="n">
        <f aca="false">IF(ISNUMBER($K219),$K219*Parâmetros!$C$6,"")</f>
        <v>5.04055555555556</v>
      </c>
      <c r="O219" s="40" t="n">
        <f aca="false">IF(ISNUMBER($K219),IF(ISNUMBER(Parâmetros!$E$6),Parâmetros!$E$6,0),"")</f>
        <v>0</v>
      </c>
      <c r="P219" s="41" t="n">
        <f aca="false">IF(ISNUMBER($K219),$K219-$D219-IF(ISNUMBER($E219),$E219,0)-$L219-$M219-$N219-$O219,"")</f>
        <v>33.6037037037037</v>
      </c>
      <c r="Q219" s="42" t="n">
        <f aca="false">IF(AND(ISNUMBER($K219),$K219&gt;0),$P219/$K219,"")</f>
        <v>0.2</v>
      </c>
      <c r="R219" s="43"/>
      <c r="S219" s="44" t="str">
        <f aca="false">IF(OR(NOT(ISNUMBER($R219)),$R219=0,NOT(ISNUMBER($K219))),"",$K219*(1-$R219))</f>
        <v/>
      </c>
      <c r="T219" s="45" t="str">
        <f aca="false">IF(ISNUMBER($S219),$S219*$H219,"")</f>
        <v/>
      </c>
      <c r="U219" s="45" t="str">
        <f aca="false">IF(ISNUMBER($S219),$S219*Parâmetros!$B$6,"")</f>
        <v/>
      </c>
      <c r="V219" s="45" t="str">
        <f aca="false">IF(ISNUMBER($S219),$S219*Parâmetros!$C$6,"")</f>
        <v/>
      </c>
      <c r="W219" s="44" t="str">
        <f aca="false">IF(ISNUMBER($S219),$S219-$D219-IF(ISNUMBER($E219),$E219,0)-$O219-$T219-$U219-$V219,"")</f>
        <v/>
      </c>
      <c r="X219" s="46" t="str">
        <f aca="false">IF(AND(ISNUMBER($S219),$S219&gt;0),$W219/$S219,"")</f>
        <v/>
      </c>
      <c r="Y219" s="49"/>
      <c r="Z219" s="21"/>
    </row>
    <row r="220" customFormat="false" ht="15.75" hidden="false" customHeight="true" outlineLevel="0" collapsed="false">
      <c r="A220" s="32" t="str">
        <f aca="false">IF(Produtos!$A220="","",Produtos!$A220)</f>
        <v>A40BC</v>
      </c>
      <c r="B220" s="32" t="str">
        <f aca="false">IF(Produtos!$A220="","",Produtos!$B220)</f>
        <v>Aro 40cm c/Basculante Pintado</v>
      </c>
      <c r="C220" s="32" t="str">
        <f aca="false">IF(Produtos!$A220="","",Produtos!$C220)</f>
        <v>Acessórios (aros e tampas)</v>
      </c>
      <c r="D220" s="33" t="n">
        <f aca="false">IF(Produtos!$A220="","",IF(Produtos!$D220="","",Produtos!$D220))</f>
        <v>170.07</v>
      </c>
      <c r="E220" s="11" t="n">
        <v>0</v>
      </c>
      <c r="F220" s="34" t="n">
        <f aca="false">IF($A220="","",IF($C220="","⚠ categoria",IFERROR(INDEX(Parâmetros!$D$13:$D$22,MATCH($C220,Parâmetros!$A$13:$A$22,0)),"⚠ categoria")))</f>
        <v>0.13</v>
      </c>
      <c r="G220" s="35"/>
      <c r="H220" s="36" t="n">
        <f aca="false">IF($A220="","",IF(ISNUMBER($G220),$G220,IF(ISNUMBER($F220),$F220,"")))</f>
        <v>0.13</v>
      </c>
      <c r="I220" s="37" t="n">
        <f aca="false">IF(OR($A220="",NOT(ISNUMBER($D220)),NOT(ISNUMBER($H220))),"",IF((1-$H220-Parâmetros!$B$6-Parâmetros!$C$6-Parâmetros!$D$6)&lt;=0,"INVALIDO",($D220+IF(ISNUMBER($E220),$E220,0)+IF(ISNUMBER(Parâmetros!$E$6),Parâmetros!$E$6,0))/(1-$H220-Parâmetros!$B$6-Parâmetros!$C$6-Parâmetros!$D$6)))</f>
        <v>314.944444444444</v>
      </c>
      <c r="J220" s="38"/>
      <c r="K220" s="39" t="n">
        <f aca="false">IF(OR($A220="",NOT(ISNUMBER($D220)),NOT(ISNUMBER($H220))),"",IF(AND(ISNUMBER($J220),$J220&gt;0),$J220,IF(ISNUMBER($I220),$I220,"")))</f>
        <v>314.944444444444</v>
      </c>
      <c r="L220" s="40" t="n">
        <f aca="false">IF(ISNUMBER($K220),$K220*$H220,"")</f>
        <v>40.9427777777778</v>
      </c>
      <c r="M220" s="40" t="n">
        <f aca="false">IF(ISNUMBER($K220),$K220*Parâmetros!$B$6,"")</f>
        <v>31.4944444444444</v>
      </c>
      <c r="N220" s="40" t="n">
        <f aca="false">IF(ISNUMBER($K220),$K220*Parâmetros!$C$6,"")</f>
        <v>9.44833333333333</v>
      </c>
      <c r="O220" s="40" t="n">
        <f aca="false">IF(ISNUMBER($K220),IF(ISNUMBER(Parâmetros!$E$6),Parâmetros!$E$6,0),"")</f>
        <v>0</v>
      </c>
      <c r="P220" s="41" t="n">
        <f aca="false">IF(ISNUMBER($K220),$K220-$D220-IF(ISNUMBER($E220),$E220,0)-$L220-$M220-$N220-$O220,"")</f>
        <v>62.9888888888889</v>
      </c>
      <c r="Q220" s="42" t="n">
        <f aca="false">IF(AND(ISNUMBER($K220),$K220&gt;0),$P220/$K220,"")</f>
        <v>0.2</v>
      </c>
      <c r="R220" s="43"/>
      <c r="S220" s="44" t="str">
        <f aca="false">IF(OR(NOT(ISNUMBER($R220)),$R220=0,NOT(ISNUMBER($K220))),"",$K220*(1-$R220))</f>
        <v/>
      </c>
      <c r="T220" s="45" t="str">
        <f aca="false">IF(ISNUMBER($S220),$S220*$H220,"")</f>
        <v/>
      </c>
      <c r="U220" s="45" t="str">
        <f aca="false">IF(ISNUMBER($S220),$S220*Parâmetros!$B$6,"")</f>
        <v/>
      </c>
      <c r="V220" s="45" t="str">
        <f aca="false">IF(ISNUMBER($S220),$S220*Parâmetros!$C$6,"")</f>
        <v/>
      </c>
      <c r="W220" s="44" t="str">
        <f aca="false">IF(ISNUMBER($S220),$S220-$D220-IF(ISNUMBER($E220),$E220,0)-$O220-$T220-$U220-$V220,"")</f>
        <v/>
      </c>
      <c r="X220" s="46" t="str">
        <f aca="false">IF(AND(ISNUMBER($S220),$S220&gt;0),$W220/$S220,"")</f>
        <v/>
      </c>
      <c r="Y220" s="47"/>
      <c r="Z220" s="19"/>
    </row>
    <row r="221" customFormat="false" ht="15.75" hidden="false" customHeight="true" outlineLevel="0" collapsed="false">
      <c r="A221" s="48" t="str">
        <f aca="false">IF(Produtos!$A221="","",Produtos!$A221)</f>
        <v>T24-PILHAS</v>
      </c>
      <c r="B221" s="48" t="str">
        <f aca="false">IF(Produtos!$A221="","",Produtos!$B221)</f>
        <v>Tampa 24cm Coletor de Pilhas e Baterias</v>
      </c>
      <c r="C221" s="48" t="str">
        <f aca="false">IF(Produtos!$A221="","",Produtos!$C221)</f>
        <v>Coletores de pilhas</v>
      </c>
      <c r="D221" s="33" t="n">
        <f aca="false">IF(Produtos!$A221="","",IF(Produtos!$D221="","",Produtos!$D221))</f>
        <v>57.21</v>
      </c>
      <c r="E221" s="11" t="n">
        <v>0</v>
      </c>
      <c r="F221" s="34" t="n">
        <f aca="false">IF($A221="","",IF($C221="","⚠ categoria",IFERROR(INDEX(Parâmetros!$D$13:$D$22,MATCH($C221,Parâmetros!$A$13:$A$22,0)),"⚠ categoria")))</f>
        <v>0.13</v>
      </c>
      <c r="G221" s="35"/>
      <c r="H221" s="36" t="n">
        <f aca="false">IF($A221="","",IF(ISNUMBER($G221),$G221,IF(ISNUMBER($F221),$F221,"")))</f>
        <v>0.13</v>
      </c>
      <c r="I221" s="37" t="n">
        <f aca="false">IF(OR($A221="",NOT(ISNUMBER($D221)),NOT(ISNUMBER($H221))),"",IF((1-$H221-Parâmetros!$B$6-Parâmetros!$C$6-Parâmetros!$D$6)&lt;=0,"INVALIDO",($D221+IF(ISNUMBER($E221),$E221,0)+IF(ISNUMBER(Parâmetros!$E$6),Parâmetros!$E$6,0))/(1-$H221-Parâmetros!$B$6-Parâmetros!$C$6-Parâmetros!$D$6)))</f>
        <v>105.944444444444</v>
      </c>
      <c r="J221" s="38"/>
      <c r="K221" s="39" t="n">
        <f aca="false">IF(OR($A221="",NOT(ISNUMBER($D221)),NOT(ISNUMBER($H221))),"",IF(AND(ISNUMBER($J221),$J221&gt;0),$J221,IF(ISNUMBER($I221),$I221,"")))</f>
        <v>105.944444444444</v>
      </c>
      <c r="L221" s="40" t="n">
        <f aca="false">IF(ISNUMBER($K221),$K221*$H221,"")</f>
        <v>13.7727777777778</v>
      </c>
      <c r="M221" s="40" t="n">
        <f aca="false">IF(ISNUMBER($K221),$K221*Parâmetros!$B$6,"")</f>
        <v>10.5944444444444</v>
      </c>
      <c r="N221" s="40" t="n">
        <f aca="false">IF(ISNUMBER($K221),$K221*Parâmetros!$C$6,"")</f>
        <v>3.17833333333333</v>
      </c>
      <c r="O221" s="40" t="n">
        <f aca="false">IF(ISNUMBER($K221),IF(ISNUMBER(Parâmetros!$E$6),Parâmetros!$E$6,0),"")</f>
        <v>0</v>
      </c>
      <c r="P221" s="41" t="n">
        <f aca="false">IF(ISNUMBER($K221),$K221-$D221-IF(ISNUMBER($E221),$E221,0)-$L221-$M221-$N221-$O221,"")</f>
        <v>21.1888888888889</v>
      </c>
      <c r="Q221" s="42" t="n">
        <f aca="false">IF(AND(ISNUMBER($K221),$K221&gt;0),$P221/$K221,"")</f>
        <v>0.2</v>
      </c>
      <c r="R221" s="43"/>
      <c r="S221" s="44" t="str">
        <f aca="false">IF(OR(NOT(ISNUMBER($R221)),$R221=0,NOT(ISNUMBER($K221))),"",$K221*(1-$R221))</f>
        <v/>
      </c>
      <c r="T221" s="45" t="str">
        <f aca="false">IF(ISNUMBER($S221),$S221*$H221,"")</f>
        <v/>
      </c>
      <c r="U221" s="45" t="str">
        <f aca="false">IF(ISNUMBER($S221),$S221*Parâmetros!$B$6,"")</f>
        <v/>
      </c>
      <c r="V221" s="45" t="str">
        <f aca="false">IF(ISNUMBER($S221),$S221*Parâmetros!$C$6,"")</f>
        <v/>
      </c>
      <c r="W221" s="44" t="str">
        <f aca="false">IF(ISNUMBER($S221),$S221-$D221-IF(ISNUMBER($E221),$E221,0)-$O221-$T221-$U221-$V221,"")</f>
        <v/>
      </c>
      <c r="X221" s="46" t="str">
        <f aca="false">IF(AND(ISNUMBER($S221),$S221&gt;0),$W221/$S221,"")</f>
        <v/>
      </c>
      <c r="Y221" s="49"/>
      <c r="Z221" s="21"/>
    </row>
    <row r="222" customFormat="false" ht="15.75" hidden="false" customHeight="true" outlineLevel="0" collapsed="false">
      <c r="A222" s="32" t="str">
        <f aca="false">IF(Produtos!$A222="","",Produtos!$A222)</f>
        <v>T30-PILHAS</v>
      </c>
      <c r="B222" s="32" t="str">
        <f aca="false">IF(Produtos!$A222="","",Produtos!$B222)</f>
        <v>Tampa 30cm Coletor de Pilhas e Baterias</v>
      </c>
      <c r="C222" s="32" t="str">
        <f aca="false">IF(Produtos!$A222="","",Produtos!$C222)</f>
        <v>Coletores de pilhas</v>
      </c>
      <c r="D222" s="33" t="n">
        <f aca="false">IF(Produtos!$A222="","",IF(Produtos!$D222="","",Produtos!$D222))</f>
        <v>46.19</v>
      </c>
      <c r="E222" s="11" t="n">
        <v>0</v>
      </c>
      <c r="F222" s="34" t="n">
        <f aca="false">IF($A222="","",IF($C222="","⚠ categoria",IFERROR(INDEX(Parâmetros!$D$13:$D$22,MATCH($C222,Parâmetros!$A$13:$A$22,0)),"⚠ categoria")))</f>
        <v>0.13</v>
      </c>
      <c r="G222" s="35"/>
      <c r="H222" s="36" t="n">
        <f aca="false">IF($A222="","",IF(ISNUMBER($G222),$G222,IF(ISNUMBER($F222),$F222,"")))</f>
        <v>0.13</v>
      </c>
      <c r="I222" s="37" t="n">
        <f aca="false">IF(OR($A222="",NOT(ISNUMBER($D222)),NOT(ISNUMBER($H222))),"",IF((1-$H222-Parâmetros!$B$6-Parâmetros!$C$6-Parâmetros!$D$6)&lt;=0,"INVALIDO",($D222+IF(ISNUMBER($E222),$E222,0)+IF(ISNUMBER(Parâmetros!$E$6),Parâmetros!$E$6,0))/(1-$H222-Parâmetros!$B$6-Parâmetros!$C$6-Parâmetros!$D$6)))</f>
        <v>85.537037037037</v>
      </c>
      <c r="J222" s="38"/>
      <c r="K222" s="39" t="n">
        <f aca="false">IF(OR($A222="",NOT(ISNUMBER($D222)),NOT(ISNUMBER($H222))),"",IF(AND(ISNUMBER($J222),$J222&gt;0),$J222,IF(ISNUMBER($I222),$I222,"")))</f>
        <v>85.537037037037</v>
      </c>
      <c r="L222" s="40" t="n">
        <f aca="false">IF(ISNUMBER($K222),$K222*$H222,"")</f>
        <v>11.1198148148148</v>
      </c>
      <c r="M222" s="40" t="n">
        <f aca="false">IF(ISNUMBER($K222),$K222*Parâmetros!$B$6,"")</f>
        <v>8.5537037037037</v>
      </c>
      <c r="N222" s="40" t="n">
        <f aca="false">IF(ISNUMBER($K222),$K222*Parâmetros!$C$6,"")</f>
        <v>2.56611111111111</v>
      </c>
      <c r="O222" s="40" t="n">
        <f aca="false">IF(ISNUMBER($K222),IF(ISNUMBER(Parâmetros!$E$6),Parâmetros!$E$6,0),"")</f>
        <v>0</v>
      </c>
      <c r="P222" s="41" t="n">
        <f aca="false">IF(ISNUMBER($K222),$K222-$D222-IF(ISNUMBER($E222),$E222,0)-$L222-$M222-$N222-$O222,"")</f>
        <v>17.1074074074074</v>
      </c>
      <c r="Q222" s="42" t="n">
        <f aca="false">IF(AND(ISNUMBER($K222),$K222&gt;0),$P222/$K222,"")</f>
        <v>0.2</v>
      </c>
      <c r="R222" s="43"/>
      <c r="S222" s="44" t="str">
        <f aca="false">IF(OR(NOT(ISNUMBER($R222)),$R222=0,NOT(ISNUMBER($K222))),"",$K222*(1-$R222))</f>
        <v/>
      </c>
      <c r="T222" s="45" t="str">
        <f aca="false">IF(ISNUMBER($S222),$S222*$H222,"")</f>
        <v/>
      </c>
      <c r="U222" s="45" t="str">
        <f aca="false">IF(ISNUMBER($S222),$S222*Parâmetros!$B$6,"")</f>
        <v/>
      </c>
      <c r="V222" s="45" t="str">
        <f aca="false">IF(ISNUMBER($S222),$S222*Parâmetros!$C$6,"")</f>
        <v/>
      </c>
      <c r="W222" s="44" t="str">
        <f aca="false">IF(ISNUMBER($S222),$S222-$D222-IF(ISNUMBER($E222),$E222,0)-$O222-$T222-$U222-$V222,"")</f>
        <v/>
      </c>
      <c r="X222" s="46" t="str">
        <f aca="false">IF(AND(ISNUMBER($S222),$S222&gt;0),$W222/$S222,"")</f>
        <v/>
      </c>
      <c r="Y222" s="47"/>
      <c r="Z222" s="19"/>
    </row>
    <row r="223" customFormat="false" ht="15.75" hidden="false" customHeight="true" outlineLevel="0" collapsed="false">
      <c r="A223" s="48" t="str">
        <f aca="false">IF(Produtos!$A223="","",Produtos!$A223)</f>
        <v>T40-PILHAS</v>
      </c>
      <c r="B223" s="48" t="str">
        <f aca="false">IF(Produtos!$A223="","",Produtos!$B223)</f>
        <v>Tampa 40cm Coletor de Pilhas e Baterias</v>
      </c>
      <c r="C223" s="48" t="str">
        <f aca="false">IF(Produtos!$A223="","",Produtos!$C223)</f>
        <v>Coletores de pilhas</v>
      </c>
      <c r="D223" s="33" t="n">
        <f aca="false">IF(Produtos!$A223="","",IF(Produtos!$D223="","",Produtos!$D223))</f>
        <v>98.64</v>
      </c>
      <c r="E223" s="11" t="n">
        <v>0</v>
      </c>
      <c r="F223" s="34" t="n">
        <f aca="false">IF($A223="","",IF($C223="","⚠ categoria",IFERROR(INDEX(Parâmetros!$D$13:$D$22,MATCH($C223,Parâmetros!$A$13:$A$22,0)),"⚠ categoria")))</f>
        <v>0.13</v>
      </c>
      <c r="G223" s="35"/>
      <c r="H223" s="36" t="n">
        <f aca="false">IF($A223="","",IF(ISNUMBER($G223),$G223,IF(ISNUMBER($F223),$F223,"")))</f>
        <v>0.13</v>
      </c>
      <c r="I223" s="37" t="n">
        <f aca="false">IF(OR($A223="",NOT(ISNUMBER($D223)),NOT(ISNUMBER($H223))),"",IF((1-$H223-Parâmetros!$B$6-Parâmetros!$C$6-Parâmetros!$D$6)&lt;=0,"INVALIDO",($D223+IF(ISNUMBER($E223),$E223,0)+IF(ISNUMBER(Parâmetros!$E$6),Parâmetros!$E$6,0))/(1-$H223-Parâmetros!$B$6-Parâmetros!$C$6-Parâmetros!$D$6)))</f>
        <v>182.666666666667</v>
      </c>
      <c r="J223" s="38"/>
      <c r="K223" s="39" t="n">
        <f aca="false">IF(OR($A223="",NOT(ISNUMBER($D223)),NOT(ISNUMBER($H223))),"",IF(AND(ISNUMBER($J223),$J223&gt;0),$J223,IF(ISNUMBER($I223),$I223,"")))</f>
        <v>182.666666666667</v>
      </c>
      <c r="L223" s="40" t="n">
        <f aca="false">IF(ISNUMBER($K223),$K223*$H223,"")</f>
        <v>23.7466666666667</v>
      </c>
      <c r="M223" s="40" t="n">
        <f aca="false">IF(ISNUMBER($K223),$K223*Parâmetros!$B$6,"")</f>
        <v>18.2666666666667</v>
      </c>
      <c r="N223" s="40" t="n">
        <f aca="false">IF(ISNUMBER($K223),$K223*Parâmetros!$C$6,"")</f>
        <v>5.48</v>
      </c>
      <c r="O223" s="40" t="n">
        <f aca="false">IF(ISNUMBER($K223),IF(ISNUMBER(Parâmetros!$E$6),Parâmetros!$E$6,0),"")</f>
        <v>0</v>
      </c>
      <c r="P223" s="41" t="n">
        <f aca="false">IF(ISNUMBER($K223),$K223-$D223-IF(ISNUMBER($E223),$E223,0)-$L223-$M223-$N223-$O223,"")</f>
        <v>36.5333333333333</v>
      </c>
      <c r="Q223" s="42" t="n">
        <f aca="false">IF(AND(ISNUMBER($K223),$K223&gt;0),$P223/$K223,"")</f>
        <v>0.2</v>
      </c>
      <c r="R223" s="43"/>
      <c r="S223" s="44" t="str">
        <f aca="false">IF(OR(NOT(ISNUMBER($R223)),$R223=0,NOT(ISNUMBER($K223))),"",$K223*(1-$R223))</f>
        <v/>
      </c>
      <c r="T223" s="45" t="str">
        <f aca="false">IF(ISNUMBER($S223),$S223*$H223,"")</f>
        <v/>
      </c>
      <c r="U223" s="45" t="str">
        <f aca="false">IF(ISNUMBER($S223),$S223*Parâmetros!$B$6,"")</f>
        <v/>
      </c>
      <c r="V223" s="45" t="str">
        <f aca="false">IF(ISNUMBER($S223),$S223*Parâmetros!$C$6,"")</f>
        <v/>
      </c>
      <c r="W223" s="44" t="str">
        <f aca="false">IF(ISNUMBER($S223),$S223-$D223-IF(ISNUMBER($E223),$E223,0)-$O223-$T223-$U223-$V223,"")</f>
        <v/>
      </c>
      <c r="X223" s="46" t="str">
        <f aca="false">IF(AND(ISNUMBER($S223),$S223&gt;0),$W223/$S223,"")</f>
        <v/>
      </c>
      <c r="Y223" s="49"/>
      <c r="Z223" s="21"/>
    </row>
    <row r="224" customFormat="false" ht="15.75" hidden="false" customHeight="true" outlineLevel="0" collapsed="false">
      <c r="A224" s="32" t="str">
        <f aca="false">IF(Produtos!$A224="","",Produtos!$A224)</f>
        <v>A24ML</v>
      </c>
      <c r="B224" s="32" t="str">
        <f aca="false">IF(Produtos!$A224="","",Produtos!$B224)</f>
        <v>Aro 24cm Meia Lua Aço Inox</v>
      </c>
      <c r="C224" s="32" t="str">
        <f aca="false">IF(Produtos!$A224="","",Produtos!$C224)</f>
        <v>Acessórios (aros e tampas)</v>
      </c>
      <c r="D224" s="33" t="n">
        <f aca="false">IF(Produtos!$A224="","",IF(Produtos!$D224="","",Produtos!$D224))</f>
        <v>60.74</v>
      </c>
      <c r="E224" s="11" t="n">
        <v>0</v>
      </c>
      <c r="F224" s="34" t="n">
        <f aca="false">IF($A224="","",IF($C224="","⚠ categoria",IFERROR(INDEX(Parâmetros!$D$13:$D$22,MATCH($C224,Parâmetros!$A$13:$A$22,0)),"⚠ categoria")))</f>
        <v>0.13</v>
      </c>
      <c r="G224" s="35"/>
      <c r="H224" s="36" t="n">
        <f aca="false">IF($A224="","",IF(ISNUMBER($G224),$G224,IF(ISNUMBER($F224),$F224,"")))</f>
        <v>0.13</v>
      </c>
      <c r="I224" s="37" t="n">
        <f aca="false">IF(OR($A224="",NOT(ISNUMBER($D224)),NOT(ISNUMBER($H224))),"",IF((1-$H224-Parâmetros!$B$6-Parâmetros!$C$6-Parâmetros!$D$6)&lt;=0,"INVALIDO",($D224+IF(ISNUMBER($E224),$E224,0)+IF(ISNUMBER(Parâmetros!$E$6),Parâmetros!$E$6,0))/(1-$H224-Parâmetros!$B$6-Parâmetros!$C$6-Parâmetros!$D$6)))</f>
        <v>112.481481481481</v>
      </c>
      <c r="J224" s="38"/>
      <c r="K224" s="39" t="n">
        <f aca="false">IF(OR($A224="",NOT(ISNUMBER($D224)),NOT(ISNUMBER($H224))),"",IF(AND(ISNUMBER($J224),$J224&gt;0),$J224,IF(ISNUMBER($I224),$I224,"")))</f>
        <v>112.481481481481</v>
      </c>
      <c r="L224" s="40" t="n">
        <f aca="false">IF(ISNUMBER($K224),$K224*$H224,"")</f>
        <v>14.6225925925926</v>
      </c>
      <c r="M224" s="40" t="n">
        <f aca="false">IF(ISNUMBER($K224),$K224*Parâmetros!$B$6,"")</f>
        <v>11.2481481481481</v>
      </c>
      <c r="N224" s="40" t="n">
        <f aca="false">IF(ISNUMBER($K224),$K224*Parâmetros!$C$6,"")</f>
        <v>3.37444444444444</v>
      </c>
      <c r="O224" s="40" t="n">
        <f aca="false">IF(ISNUMBER($K224),IF(ISNUMBER(Parâmetros!$E$6),Parâmetros!$E$6,0),"")</f>
        <v>0</v>
      </c>
      <c r="P224" s="41" t="n">
        <f aca="false">IF(ISNUMBER($K224),$K224-$D224-IF(ISNUMBER($E224),$E224,0)-$L224-$M224-$N224-$O224,"")</f>
        <v>22.4962962962963</v>
      </c>
      <c r="Q224" s="42" t="n">
        <f aca="false">IF(AND(ISNUMBER($K224),$K224&gt;0),$P224/$K224,"")</f>
        <v>0.2</v>
      </c>
      <c r="R224" s="43"/>
      <c r="S224" s="44" t="str">
        <f aca="false">IF(OR(NOT(ISNUMBER($R224)),$R224=0,NOT(ISNUMBER($K224))),"",$K224*(1-$R224))</f>
        <v/>
      </c>
      <c r="T224" s="45" t="str">
        <f aca="false">IF(ISNUMBER($S224),$S224*$H224,"")</f>
        <v/>
      </c>
      <c r="U224" s="45" t="str">
        <f aca="false">IF(ISNUMBER($S224),$S224*Parâmetros!$B$6,"")</f>
        <v/>
      </c>
      <c r="V224" s="45" t="str">
        <f aca="false">IF(ISNUMBER($S224),$S224*Parâmetros!$C$6,"")</f>
        <v/>
      </c>
      <c r="W224" s="44" t="str">
        <f aca="false">IF(ISNUMBER($S224),$S224-$D224-IF(ISNUMBER($E224),$E224,0)-$O224-$T224-$U224-$V224,"")</f>
        <v/>
      </c>
      <c r="X224" s="46" t="str">
        <f aca="false">IF(AND(ISNUMBER($S224),$S224&gt;0),$W224/$S224,"")</f>
        <v/>
      </c>
      <c r="Y224" s="47"/>
      <c r="Z224" s="19"/>
    </row>
    <row r="225" customFormat="false" ht="15.75" hidden="false" customHeight="true" outlineLevel="0" collapsed="false">
      <c r="A225" s="48" t="str">
        <f aca="false">IF(Produtos!$A225="","",Produtos!$A225)</f>
        <v>A30ML</v>
      </c>
      <c r="B225" s="48" t="str">
        <f aca="false">IF(Produtos!$A225="","",Produtos!$B225)</f>
        <v>Aro 30cm Meia Lua Aço Inox</v>
      </c>
      <c r="C225" s="48" t="str">
        <f aca="false">IF(Produtos!$A225="","",Produtos!$C225)</f>
        <v>Acessórios (aros e tampas)</v>
      </c>
      <c r="D225" s="33" t="n">
        <f aca="false">IF(Produtos!$A225="","",IF(Produtos!$D225="","",Produtos!$D225))</f>
        <v>76.36</v>
      </c>
      <c r="E225" s="11" t="n">
        <v>0</v>
      </c>
      <c r="F225" s="34" t="n">
        <f aca="false">IF($A225="","",IF($C225="","⚠ categoria",IFERROR(INDEX(Parâmetros!$D$13:$D$22,MATCH($C225,Parâmetros!$A$13:$A$22,0)),"⚠ categoria")))</f>
        <v>0.13</v>
      </c>
      <c r="G225" s="35"/>
      <c r="H225" s="36" t="n">
        <f aca="false">IF($A225="","",IF(ISNUMBER($G225),$G225,IF(ISNUMBER($F225),$F225,"")))</f>
        <v>0.13</v>
      </c>
      <c r="I225" s="37" t="n">
        <f aca="false">IF(OR($A225="",NOT(ISNUMBER($D225)),NOT(ISNUMBER($H225))),"",IF((1-$H225-Parâmetros!$B$6-Parâmetros!$C$6-Parâmetros!$D$6)&lt;=0,"INVALIDO",($D225+IF(ISNUMBER($E225),$E225,0)+IF(ISNUMBER(Parâmetros!$E$6),Parâmetros!$E$6,0))/(1-$H225-Parâmetros!$B$6-Parâmetros!$C$6-Parâmetros!$D$6)))</f>
        <v>141.407407407407</v>
      </c>
      <c r="J225" s="38"/>
      <c r="K225" s="39" t="n">
        <f aca="false">IF(OR($A225="",NOT(ISNUMBER($D225)),NOT(ISNUMBER($H225))),"",IF(AND(ISNUMBER($J225),$J225&gt;0),$J225,IF(ISNUMBER($I225),$I225,"")))</f>
        <v>141.407407407407</v>
      </c>
      <c r="L225" s="40" t="n">
        <f aca="false">IF(ISNUMBER($K225),$K225*$H225,"")</f>
        <v>18.382962962963</v>
      </c>
      <c r="M225" s="40" t="n">
        <f aca="false">IF(ISNUMBER($K225),$K225*Parâmetros!$B$6,"")</f>
        <v>14.1407407407407</v>
      </c>
      <c r="N225" s="40" t="n">
        <f aca="false">IF(ISNUMBER($K225),$K225*Parâmetros!$C$6,"")</f>
        <v>4.24222222222222</v>
      </c>
      <c r="O225" s="40" t="n">
        <f aca="false">IF(ISNUMBER($K225),IF(ISNUMBER(Parâmetros!$E$6),Parâmetros!$E$6,0),"")</f>
        <v>0</v>
      </c>
      <c r="P225" s="41" t="n">
        <f aca="false">IF(ISNUMBER($K225),$K225-$D225-IF(ISNUMBER($E225),$E225,0)-$L225-$M225-$N225-$O225,"")</f>
        <v>28.2814814814815</v>
      </c>
      <c r="Q225" s="42" t="n">
        <f aca="false">IF(AND(ISNUMBER($K225),$K225&gt;0),$P225/$K225,"")</f>
        <v>0.2</v>
      </c>
      <c r="R225" s="43"/>
      <c r="S225" s="44" t="str">
        <f aca="false">IF(OR(NOT(ISNUMBER($R225)),$R225=0,NOT(ISNUMBER($K225))),"",$K225*(1-$R225))</f>
        <v/>
      </c>
      <c r="T225" s="45" t="str">
        <f aca="false">IF(ISNUMBER($S225),$S225*$H225,"")</f>
        <v/>
      </c>
      <c r="U225" s="45" t="str">
        <f aca="false">IF(ISNUMBER($S225),$S225*Parâmetros!$B$6,"")</f>
        <v/>
      </c>
      <c r="V225" s="45" t="str">
        <f aca="false">IF(ISNUMBER($S225),$S225*Parâmetros!$C$6,"")</f>
        <v/>
      </c>
      <c r="W225" s="44" t="str">
        <f aca="false">IF(ISNUMBER($S225),$S225-$D225-IF(ISNUMBER($E225),$E225,0)-$O225-$T225-$U225-$V225,"")</f>
        <v/>
      </c>
      <c r="X225" s="46" t="str">
        <f aca="false">IF(AND(ISNUMBER($S225),$S225&gt;0),$W225/$S225,"")</f>
        <v/>
      </c>
      <c r="Y225" s="49"/>
      <c r="Z225" s="21"/>
    </row>
    <row r="226" customFormat="false" ht="15.75" hidden="false" customHeight="true" outlineLevel="0" collapsed="false">
      <c r="A226" s="32" t="str">
        <f aca="false">IF(Produtos!$A226="","",Produtos!$A226)</f>
        <v>A40ML</v>
      </c>
      <c r="B226" s="32" t="str">
        <f aca="false">IF(Produtos!$A226="","",Produtos!$B226)</f>
        <v>Aro 40cm Meia Lua Aço Inox</v>
      </c>
      <c r="C226" s="32" t="str">
        <f aca="false">IF(Produtos!$A226="","",Produtos!$C226)</f>
        <v>Acessórios (aros e tampas)</v>
      </c>
      <c r="D226" s="33" t="n">
        <f aca="false">IF(Produtos!$A226="","",IF(Produtos!$D226="","",Produtos!$D226))</f>
        <v>116.98</v>
      </c>
      <c r="E226" s="11" t="n">
        <v>0</v>
      </c>
      <c r="F226" s="34" t="n">
        <f aca="false">IF($A226="","",IF($C226="","⚠ categoria",IFERROR(INDEX(Parâmetros!$D$13:$D$22,MATCH($C226,Parâmetros!$A$13:$A$22,0)),"⚠ categoria")))</f>
        <v>0.13</v>
      </c>
      <c r="G226" s="35"/>
      <c r="H226" s="36" t="n">
        <f aca="false">IF($A226="","",IF(ISNUMBER($G226),$G226,IF(ISNUMBER($F226),$F226,"")))</f>
        <v>0.13</v>
      </c>
      <c r="I226" s="37" t="n">
        <f aca="false">IF(OR($A226="",NOT(ISNUMBER($D226)),NOT(ISNUMBER($H226))),"",IF((1-$H226-Parâmetros!$B$6-Parâmetros!$C$6-Parâmetros!$D$6)&lt;=0,"INVALIDO",($D226+IF(ISNUMBER($E226),$E226,0)+IF(ISNUMBER(Parâmetros!$E$6),Parâmetros!$E$6,0))/(1-$H226-Parâmetros!$B$6-Parâmetros!$C$6-Parâmetros!$D$6)))</f>
        <v>216.62962962963</v>
      </c>
      <c r="J226" s="38"/>
      <c r="K226" s="39" t="n">
        <f aca="false">IF(OR($A226="",NOT(ISNUMBER($D226)),NOT(ISNUMBER($H226))),"",IF(AND(ISNUMBER($J226),$J226&gt;0),$J226,IF(ISNUMBER($I226),$I226,"")))</f>
        <v>216.62962962963</v>
      </c>
      <c r="L226" s="40" t="n">
        <f aca="false">IF(ISNUMBER($K226),$K226*$H226,"")</f>
        <v>28.1618518518519</v>
      </c>
      <c r="M226" s="40" t="n">
        <f aca="false">IF(ISNUMBER($K226),$K226*Parâmetros!$B$6,"")</f>
        <v>21.662962962963</v>
      </c>
      <c r="N226" s="40" t="n">
        <f aca="false">IF(ISNUMBER($K226),$K226*Parâmetros!$C$6,"")</f>
        <v>6.49888888888889</v>
      </c>
      <c r="O226" s="40" t="n">
        <f aca="false">IF(ISNUMBER($K226),IF(ISNUMBER(Parâmetros!$E$6),Parâmetros!$E$6,0),"")</f>
        <v>0</v>
      </c>
      <c r="P226" s="41" t="n">
        <f aca="false">IF(ISNUMBER($K226),$K226-$D226-IF(ISNUMBER($E226),$E226,0)-$L226-$M226-$N226-$O226,"")</f>
        <v>43.3259259259259</v>
      </c>
      <c r="Q226" s="42" t="n">
        <f aca="false">IF(AND(ISNUMBER($K226),$K226&gt;0),$P226/$K226,"")</f>
        <v>0.2</v>
      </c>
      <c r="R226" s="43"/>
      <c r="S226" s="44" t="str">
        <f aca="false">IF(OR(NOT(ISNUMBER($R226)),$R226=0,NOT(ISNUMBER($K226))),"",$K226*(1-$R226))</f>
        <v/>
      </c>
      <c r="T226" s="45" t="str">
        <f aca="false">IF(ISNUMBER($S226),$S226*$H226,"")</f>
        <v/>
      </c>
      <c r="U226" s="45" t="str">
        <f aca="false">IF(ISNUMBER($S226),$S226*Parâmetros!$B$6,"")</f>
        <v/>
      </c>
      <c r="V226" s="45" t="str">
        <f aca="false">IF(ISNUMBER($S226),$S226*Parâmetros!$C$6,"")</f>
        <v/>
      </c>
      <c r="W226" s="44" t="str">
        <f aca="false">IF(ISNUMBER($S226),$S226-$D226-IF(ISNUMBER($E226),$E226,0)-$O226-$T226-$U226-$V226,"")</f>
        <v/>
      </c>
      <c r="X226" s="46" t="str">
        <f aca="false">IF(AND(ISNUMBER($S226),$S226&gt;0),$W226/$S226,"")</f>
        <v/>
      </c>
      <c r="Y226" s="47"/>
      <c r="Z226" s="19"/>
    </row>
    <row r="227" customFormat="false" ht="15.75" hidden="false" customHeight="true" outlineLevel="0" collapsed="false">
      <c r="A227" s="48" t="str">
        <f aca="false">IF(Produtos!$A227="","",Produtos!$A227)</f>
        <v>AQ-24</v>
      </c>
      <c r="B227" s="48" t="str">
        <f aca="false">IF(Produtos!$A227="","",Produtos!$B227)</f>
        <v>Aro Quadrado 24cm Aço Inox</v>
      </c>
      <c r="C227" s="48" t="str">
        <f aca="false">IF(Produtos!$A227="","",Produtos!$C227)</f>
        <v>Acessórios (aros e tampas)</v>
      </c>
      <c r="D227" s="33" t="n">
        <f aca="false">IF(Produtos!$A227="","",IF(Produtos!$D227="","",Produtos!$D227))</f>
        <v>39.22</v>
      </c>
      <c r="E227" s="11" t="n">
        <v>0</v>
      </c>
      <c r="F227" s="34" t="n">
        <f aca="false">IF($A227="","",IF($C227="","⚠ categoria",IFERROR(INDEX(Parâmetros!$D$13:$D$22,MATCH($C227,Parâmetros!$A$13:$A$22,0)),"⚠ categoria")))</f>
        <v>0.13</v>
      </c>
      <c r="G227" s="35"/>
      <c r="H227" s="36" t="n">
        <f aca="false">IF($A227="","",IF(ISNUMBER($G227),$G227,IF(ISNUMBER($F227),$F227,"")))</f>
        <v>0.13</v>
      </c>
      <c r="I227" s="37" t="n">
        <f aca="false">IF(OR($A227="",NOT(ISNUMBER($D227)),NOT(ISNUMBER($H227))),"",IF((1-$H227-Parâmetros!$B$6-Parâmetros!$C$6-Parâmetros!$D$6)&lt;=0,"INVALIDO",($D227+IF(ISNUMBER($E227),$E227,0)+IF(ISNUMBER(Parâmetros!$E$6),Parâmetros!$E$6,0))/(1-$H227-Parâmetros!$B$6-Parâmetros!$C$6-Parâmetros!$D$6)))</f>
        <v>72.6296296296296</v>
      </c>
      <c r="J227" s="38"/>
      <c r="K227" s="39" t="n">
        <f aca="false">IF(OR($A227="",NOT(ISNUMBER($D227)),NOT(ISNUMBER($H227))),"",IF(AND(ISNUMBER($J227),$J227&gt;0),$J227,IF(ISNUMBER($I227),$I227,"")))</f>
        <v>72.6296296296296</v>
      </c>
      <c r="L227" s="40" t="n">
        <f aca="false">IF(ISNUMBER($K227),$K227*$H227,"")</f>
        <v>9.44185185185185</v>
      </c>
      <c r="M227" s="40" t="n">
        <f aca="false">IF(ISNUMBER($K227),$K227*Parâmetros!$B$6,"")</f>
        <v>7.26296296296296</v>
      </c>
      <c r="N227" s="40" t="n">
        <f aca="false">IF(ISNUMBER($K227),$K227*Parâmetros!$C$6,"")</f>
        <v>2.17888888888889</v>
      </c>
      <c r="O227" s="40" t="n">
        <f aca="false">IF(ISNUMBER($K227),IF(ISNUMBER(Parâmetros!$E$6),Parâmetros!$E$6,0),"")</f>
        <v>0</v>
      </c>
      <c r="P227" s="41" t="n">
        <f aca="false">IF(ISNUMBER($K227),$K227-$D227-IF(ISNUMBER($E227),$E227,0)-$L227-$M227-$N227-$O227,"")</f>
        <v>14.5259259259259</v>
      </c>
      <c r="Q227" s="42" t="n">
        <f aca="false">IF(AND(ISNUMBER($K227),$K227&gt;0),$P227/$K227,"")</f>
        <v>0.2</v>
      </c>
      <c r="R227" s="43"/>
      <c r="S227" s="44" t="str">
        <f aca="false">IF(OR(NOT(ISNUMBER($R227)),$R227=0,NOT(ISNUMBER($K227))),"",$K227*(1-$R227))</f>
        <v/>
      </c>
      <c r="T227" s="45" t="str">
        <f aca="false">IF(ISNUMBER($S227),$S227*$H227,"")</f>
        <v/>
      </c>
      <c r="U227" s="45" t="str">
        <f aca="false">IF(ISNUMBER($S227),$S227*Parâmetros!$B$6,"")</f>
        <v/>
      </c>
      <c r="V227" s="45" t="str">
        <f aca="false">IF(ISNUMBER($S227),$S227*Parâmetros!$C$6,"")</f>
        <v/>
      </c>
      <c r="W227" s="44" t="str">
        <f aca="false">IF(ISNUMBER($S227),$S227-$D227-IF(ISNUMBER($E227),$E227,0)-$O227-$T227-$U227-$V227,"")</f>
        <v/>
      </c>
      <c r="X227" s="46" t="str">
        <f aca="false">IF(AND(ISNUMBER($S227),$S227&gt;0),$W227/$S227,"")</f>
        <v/>
      </c>
      <c r="Y227" s="49"/>
      <c r="Z227" s="21"/>
    </row>
    <row r="228" customFormat="false" ht="15.75" hidden="false" customHeight="true" outlineLevel="0" collapsed="false">
      <c r="A228" s="32" t="str">
        <f aca="false">IF(Produtos!$A228="","",Produtos!$A228)</f>
        <v>AQ-30</v>
      </c>
      <c r="B228" s="32" t="str">
        <f aca="false">IF(Produtos!$A228="","",Produtos!$B228)</f>
        <v>Aro Quadrado 30cm Aço Inox</v>
      </c>
      <c r="C228" s="32" t="str">
        <f aca="false">IF(Produtos!$A228="","",Produtos!$C228)</f>
        <v>Acessórios (aros e tampas)</v>
      </c>
      <c r="D228" s="33" t="n">
        <f aca="false">IF(Produtos!$A228="","",IF(Produtos!$D228="","",Produtos!$D228))</f>
        <v>45.58</v>
      </c>
      <c r="E228" s="11" t="n">
        <v>0</v>
      </c>
      <c r="F228" s="34" t="n">
        <f aca="false">IF($A228="","",IF($C228="","⚠ categoria",IFERROR(INDEX(Parâmetros!$D$13:$D$22,MATCH($C228,Parâmetros!$A$13:$A$22,0)),"⚠ categoria")))</f>
        <v>0.13</v>
      </c>
      <c r="G228" s="35"/>
      <c r="H228" s="36" t="n">
        <f aca="false">IF($A228="","",IF(ISNUMBER($G228),$G228,IF(ISNUMBER($F228),$F228,"")))</f>
        <v>0.13</v>
      </c>
      <c r="I228" s="37" t="n">
        <f aca="false">IF(OR($A228="",NOT(ISNUMBER($D228)),NOT(ISNUMBER($H228))),"",IF((1-$H228-Parâmetros!$B$6-Parâmetros!$C$6-Parâmetros!$D$6)&lt;=0,"INVALIDO",($D228+IF(ISNUMBER($E228),$E228,0)+IF(ISNUMBER(Parâmetros!$E$6),Parâmetros!$E$6,0))/(1-$H228-Parâmetros!$B$6-Parâmetros!$C$6-Parâmetros!$D$6)))</f>
        <v>84.4074074074074</v>
      </c>
      <c r="J228" s="38"/>
      <c r="K228" s="39" t="n">
        <f aca="false">IF(OR($A228="",NOT(ISNUMBER($D228)),NOT(ISNUMBER($H228))),"",IF(AND(ISNUMBER($J228),$J228&gt;0),$J228,IF(ISNUMBER($I228),$I228,"")))</f>
        <v>84.4074074074074</v>
      </c>
      <c r="L228" s="40" t="n">
        <f aca="false">IF(ISNUMBER($K228),$K228*$H228,"")</f>
        <v>10.972962962963</v>
      </c>
      <c r="M228" s="40" t="n">
        <f aca="false">IF(ISNUMBER($K228),$K228*Parâmetros!$B$6,"")</f>
        <v>8.44074074074074</v>
      </c>
      <c r="N228" s="40" t="n">
        <f aca="false">IF(ISNUMBER($K228),$K228*Parâmetros!$C$6,"")</f>
        <v>2.53222222222222</v>
      </c>
      <c r="O228" s="40" t="n">
        <f aca="false">IF(ISNUMBER($K228),IF(ISNUMBER(Parâmetros!$E$6),Parâmetros!$E$6,0),"")</f>
        <v>0</v>
      </c>
      <c r="P228" s="41" t="n">
        <f aca="false">IF(ISNUMBER($K228),$K228-$D228-IF(ISNUMBER($E228),$E228,0)-$L228-$M228-$N228-$O228,"")</f>
        <v>16.8814814814815</v>
      </c>
      <c r="Q228" s="42" t="n">
        <f aca="false">IF(AND(ISNUMBER($K228),$K228&gt;0),$P228/$K228,"")</f>
        <v>0.2</v>
      </c>
      <c r="R228" s="43"/>
      <c r="S228" s="44" t="str">
        <f aca="false">IF(OR(NOT(ISNUMBER($R228)),$R228=0,NOT(ISNUMBER($K228))),"",$K228*(1-$R228))</f>
        <v/>
      </c>
      <c r="T228" s="45" t="str">
        <f aca="false">IF(ISNUMBER($S228),$S228*$H228,"")</f>
        <v/>
      </c>
      <c r="U228" s="45" t="str">
        <f aca="false">IF(ISNUMBER($S228),$S228*Parâmetros!$B$6,"")</f>
        <v/>
      </c>
      <c r="V228" s="45" t="str">
        <f aca="false">IF(ISNUMBER($S228),$S228*Parâmetros!$C$6,"")</f>
        <v/>
      </c>
      <c r="W228" s="44" t="str">
        <f aca="false">IF(ISNUMBER($S228),$S228-$D228-IF(ISNUMBER($E228),$E228,0)-$O228-$T228-$U228-$V228,"")</f>
        <v/>
      </c>
      <c r="X228" s="46" t="str">
        <f aca="false">IF(AND(ISNUMBER($S228),$S228&gt;0),$W228/$S228,"")</f>
        <v/>
      </c>
      <c r="Y228" s="47"/>
      <c r="Z228" s="19"/>
    </row>
    <row r="229" customFormat="false" ht="15.75" hidden="false" customHeight="true" outlineLevel="0" collapsed="false">
      <c r="A229" s="48" t="str">
        <f aca="false">IF(Produtos!$A229="","",Produtos!$A229)</f>
        <v>AQ-40</v>
      </c>
      <c r="B229" s="48" t="str">
        <f aca="false">IF(Produtos!$A229="","",Produtos!$B229)</f>
        <v>Aro Quadrado 40cm Aço Inox</v>
      </c>
      <c r="C229" s="48" t="str">
        <f aca="false">IF(Produtos!$A229="","",Produtos!$C229)</f>
        <v>Acessórios (aros e tampas)</v>
      </c>
      <c r="D229" s="33" t="n">
        <f aca="false">IF(Produtos!$A229="","",IF(Produtos!$D229="","",Produtos!$D229))</f>
        <v>96.46</v>
      </c>
      <c r="E229" s="11" t="n">
        <v>0</v>
      </c>
      <c r="F229" s="34" t="n">
        <f aca="false">IF($A229="","",IF($C229="","⚠ categoria",IFERROR(INDEX(Parâmetros!$D$13:$D$22,MATCH($C229,Parâmetros!$A$13:$A$22,0)),"⚠ categoria")))</f>
        <v>0.13</v>
      </c>
      <c r="G229" s="35"/>
      <c r="H229" s="36" t="n">
        <f aca="false">IF($A229="","",IF(ISNUMBER($G229),$G229,IF(ISNUMBER($F229),$F229,"")))</f>
        <v>0.13</v>
      </c>
      <c r="I229" s="37" t="n">
        <f aca="false">IF(OR($A229="",NOT(ISNUMBER($D229)),NOT(ISNUMBER($H229))),"",IF((1-$H229-Parâmetros!$B$6-Parâmetros!$C$6-Parâmetros!$D$6)&lt;=0,"INVALIDO",($D229+IF(ISNUMBER($E229),$E229,0)+IF(ISNUMBER(Parâmetros!$E$6),Parâmetros!$E$6,0))/(1-$H229-Parâmetros!$B$6-Parâmetros!$C$6-Parâmetros!$D$6)))</f>
        <v>178.62962962963</v>
      </c>
      <c r="J229" s="38"/>
      <c r="K229" s="39" t="n">
        <f aca="false">IF(OR($A229="",NOT(ISNUMBER($D229)),NOT(ISNUMBER($H229))),"",IF(AND(ISNUMBER($J229),$J229&gt;0),$J229,IF(ISNUMBER($I229),$I229,"")))</f>
        <v>178.62962962963</v>
      </c>
      <c r="L229" s="40" t="n">
        <f aca="false">IF(ISNUMBER($K229),$K229*$H229,"")</f>
        <v>23.2218518518519</v>
      </c>
      <c r="M229" s="40" t="n">
        <f aca="false">IF(ISNUMBER($K229),$K229*Parâmetros!$B$6,"")</f>
        <v>17.862962962963</v>
      </c>
      <c r="N229" s="40" t="n">
        <f aca="false">IF(ISNUMBER($K229),$K229*Parâmetros!$C$6,"")</f>
        <v>5.35888888888889</v>
      </c>
      <c r="O229" s="40" t="n">
        <f aca="false">IF(ISNUMBER($K229),IF(ISNUMBER(Parâmetros!$E$6),Parâmetros!$E$6,0),"")</f>
        <v>0</v>
      </c>
      <c r="P229" s="41" t="n">
        <f aca="false">IF(ISNUMBER($K229),$K229-$D229-IF(ISNUMBER($E229),$E229,0)-$L229-$M229-$N229-$O229,"")</f>
        <v>35.7259259259259</v>
      </c>
      <c r="Q229" s="42" t="n">
        <f aca="false">IF(AND(ISNUMBER($K229),$K229&gt;0),$P229/$K229,"")</f>
        <v>0.2</v>
      </c>
      <c r="R229" s="43"/>
      <c r="S229" s="44" t="str">
        <f aca="false">IF(OR(NOT(ISNUMBER($R229)),$R229=0,NOT(ISNUMBER($K229))),"",$K229*(1-$R229))</f>
        <v/>
      </c>
      <c r="T229" s="45" t="str">
        <f aca="false">IF(ISNUMBER($S229),$S229*$H229,"")</f>
        <v/>
      </c>
      <c r="U229" s="45" t="str">
        <f aca="false">IF(ISNUMBER($S229),$S229*Parâmetros!$B$6,"")</f>
        <v/>
      </c>
      <c r="V229" s="45" t="str">
        <f aca="false">IF(ISNUMBER($S229),$S229*Parâmetros!$C$6,"")</f>
        <v/>
      </c>
      <c r="W229" s="44" t="str">
        <f aca="false">IF(ISNUMBER($S229),$S229-$D229-IF(ISNUMBER($E229),$E229,0)-$O229-$T229-$U229-$V229,"")</f>
        <v/>
      </c>
      <c r="X229" s="46" t="str">
        <f aca="false">IF(AND(ISNUMBER($S229),$S229&gt;0),$W229/$S229,"")</f>
        <v/>
      </c>
      <c r="Y229" s="49"/>
      <c r="Z229" s="21"/>
    </row>
    <row r="230" customFormat="false" ht="15.75" hidden="false" customHeight="true" outlineLevel="0" collapsed="false">
      <c r="A230" s="32" t="str">
        <f aca="false">IF(Produtos!$A230="","",Produtos!$A230)</f>
        <v>AQ-24B</v>
      </c>
      <c r="B230" s="32" t="str">
        <f aca="false">IF(Produtos!$A230="","",Produtos!$B230)</f>
        <v>Aro Quadrado 24cm c/Basculante</v>
      </c>
      <c r="C230" s="32" t="str">
        <f aca="false">IF(Produtos!$A230="","",Produtos!$C230)</f>
        <v>Acessórios (aros e tampas)</v>
      </c>
      <c r="D230" s="33" t="n">
        <f aca="false">IF(Produtos!$A230="","",IF(Produtos!$D230="","",Produtos!$D230))</f>
        <v>54.06</v>
      </c>
      <c r="E230" s="11" t="n">
        <v>0</v>
      </c>
      <c r="F230" s="34" t="n">
        <f aca="false">IF($A230="","",IF($C230="","⚠ categoria",IFERROR(INDEX(Parâmetros!$D$13:$D$22,MATCH($C230,Parâmetros!$A$13:$A$22,0)),"⚠ categoria")))</f>
        <v>0.13</v>
      </c>
      <c r="G230" s="35"/>
      <c r="H230" s="36" t="n">
        <f aca="false">IF($A230="","",IF(ISNUMBER($G230),$G230,IF(ISNUMBER($F230),$F230,"")))</f>
        <v>0.13</v>
      </c>
      <c r="I230" s="37" t="n">
        <f aca="false">IF(OR($A230="",NOT(ISNUMBER($D230)),NOT(ISNUMBER($H230))),"",IF((1-$H230-Parâmetros!$B$6-Parâmetros!$C$6-Parâmetros!$D$6)&lt;=0,"INVALIDO",($D230+IF(ISNUMBER($E230),$E230,0)+IF(ISNUMBER(Parâmetros!$E$6),Parâmetros!$E$6,0))/(1-$H230-Parâmetros!$B$6-Parâmetros!$C$6-Parâmetros!$D$6)))</f>
        <v>100.111111111111</v>
      </c>
      <c r="J230" s="38"/>
      <c r="K230" s="39" t="n">
        <f aca="false">IF(OR($A230="",NOT(ISNUMBER($D230)),NOT(ISNUMBER($H230))),"",IF(AND(ISNUMBER($J230),$J230&gt;0),$J230,IF(ISNUMBER($I230),$I230,"")))</f>
        <v>100.111111111111</v>
      </c>
      <c r="L230" s="40" t="n">
        <f aca="false">IF(ISNUMBER($K230),$K230*$H230,"")</f>
        <v>13.0144444444444</v>
      </c>
      <c r="M230" s="40" t="n">
        <f aca="false">IF(ISNUMBER($K230),$K230*Parâmetros!$B$6,"")</f>
        <v>10.0111111111111</v>
      </c>
      <c r="N230" s="40" t="n">
        <f aca="false">IF(ISNUMBER($K230),$K230*Parâmetros!$C$6,"")</f>
        <v>3.00333333333333</v>
      </c>
      <c r="O230" s="40" t="n">
        <f aca="false">IF(ISNUMBER($K230),IF(ISNUMBER(Parâmetros!$E$6),Parâmetros!$E$6,0),"")</f>
        <v>0</v>
      </c>
      <c r="P230" s="41" t="n">
        <f aca="false">IF(ISNUMBER($K230),$K230-$D230-IF(ISNUMBER($E230),$E230,0)-$L230-$M230-$N230-$O230,"")</f>
        <v>20.0222222222222</v>
      </c>
      <c r="Q230" s="42" t="n">
        <f aca="false">IF(AND(ISNUMBER($K230),$K230&gt;0),$P230/$K230,"")</f>
        <v>0.2</v>
      </c>
      <c r="R230" s="43"/>
      <c r="S230" s="44" t="str">
        <f aca="false">IF(OR(NOT(ISNUMBER($R230)),$R230=0,NOT(ISNUMBER($K230))),"",$K230*(1-$R230))</f>
        <v/>
      </c>
      <c r="T230" s="45" t="str">
        <f aca="false">IF(ISNUMBER($S230),$S230*$H230,"")</f>
        <v/>
      </c>
      <c r="U230" s="45" t="str">
        <f aca="false">IF(ISNUMBER($S230),$S230*Parâmetros!$B$6,"")</f>
        <v/>
      </c>
      <c r="V230" s="45" t="str">
        <f aca="false">IF(ISNUMBER($S230),$S230*Parâmetros!$C$6,"")</f>
        <v/>
      </c>
      <c r="W230" s="44" t="str">
        <f aca="false">IF(ISNUMBER($S230),$S230-$D230-IF(ISNUMBER($E230),$E230,0)-$O230-$T230-$U230-$V230,"")</f>
        <v/>
      </c>
      <c r="X230" s="46" t="str">
        <f aca="false">IF(AND(ISNUMBER($S230),$S230&gt;0),$W230/$S230,"")</f>
        <v/>
      </c>
      <c r="Y230" s="47"/>
      <c r="Z230" s="19"/>
    </row>
    <row r="231" customFormat="false" ht="15.75" hidden="false" customHeight="true" outlineLevel="0" collapsed="false">
      <c r="A231" s="48" t="str">
        <f aca="false">IF(Produtos!$A231="","",Produtos!$A231)</f>
        <v>AQ-30B</v>
      </c>
      <c r="B231" s="48" t="str">
        <f aca="false">IF(Produtos!$A231="","",Produtos!$B231)</f>
        <v>Aro Quadrado 30cm c/Basculante</v>
      </c>
      <c r="C231" s="48" t="str">
        <f aca="false">IF(Produtos!$A231="","",Produtos!$C231)</f>
        <v>Acessórios (aros e tampas)</v>
      </c>
      <c r="D231" s="33" t="n">
        <f aca="false">IF(Produtos!$A231="","",IF(Produtos!$D231="","",Produtos!$D231))</f>
        <v>69.96</v>
      </c>
      <c r="E231" s="11" t="n">
        <v>0</v>
      </c>
      <c r="F231" s="34" t="n">
        <f aca="false">IF($A231="","",IF($C231="","⚠ categoria",IFERROR(INDEX(Parâmetros!$D$13:$D$22,MATCH($C231,Parâmetros!$A$13:$A$22,0)),"⚠ categoria")))</f>
        <v>0.13</v>
      </c>
      <c r="G231" s="35"/>
      <c r="H231" s="36" t="n">
        <f aca="false">IF($A231="","",IF(ISNUMBER($G231),$G231,IF(ISNUMBER($F231),$F231,"")))</f>
        <v>0.13</v>
      </c>
      <c r="I231" s="37" t="n">
        <f aca="false">IF(OR($A231="",NOT(ISNUMBER($D231)),NOT(ISNUMBER($H231))),"",IF((1-$H231-Parâmetros!$B$6-Parâmetros!$C$6-Parâmetros!$D$6)&lt;=0,"INVALIDO",($D231+IF(ISNUMBER($E231),$E231,0)+IF(ISNUMBER(Parâmetros!$E$6),Parâmetros!$E$6,0))/(1-$H231-Parâmetros!$B$6-Parâmetros!$C$6-Parâmetros!$D$6)))</f>
        <v>129.555555555556</v>
      </c>
      <c r="J231" s="38"/>
      <c r="K231" s="39" t="n">
        <f aca="false">IF(OR($A231="",NOT(ISNUMBER($D231)),NOT(ISNUMBER($H231))),"",IF(AND(ISNUMBER($J231),$J231&gt;0),$J231,IF(ISNUMBER($I231),$I231,"")))</f>
        <v>129.555555555556</v>
      </c>
      <c r="L231" s="40" t="n">
        <f aca="false">IF(ISNUMBER($K231),$K231*$H231,"")</f>
        <v>16.8422222222222</v>
      </c>
      <c r="M231" s="40" t="n">
        <f aca="false">IF(ISNUMBER($K231),$K231*Parâmetros!$B$6,"")</f>
        <v>12.9555555555556</v>
      </c>
      <c r="N231" s="40" t="n">
        <f aca="false">IF(ISNUMBER($K231),$K231*Parâmetros!$C$6,"")</f>
        <v>3.88666666666667</v>
      </c>
      <c r="O231" s="40" t="n">
        <f aca="false">IF(ISNUMBER($K231),IF(ISNUMBER(Parâmetros!$E$6),Parâmetros!$E$6,0),"")</f>
        <v>0</v>
      </c>
      <c r="P231" s="41" t="n">
        <f aca="false">IF(ISNUMBER($K231),$K231-$D231-IF(ISNUMBER($E231),$E231,0)-$L231-$M231-$N231-$O231,"")</f>
        <v>25.9111111111111</v>
      </c>
      <c r="Q231" s="42" t="n">
        <f aca="false">IF(AND(ISNUMBER($K231),$K231&gt;0),$P231/$K231,"")</f>
        <v>0.2</v>
      </c>
      <c r="R231" s="43"/>
      <c r="S231" s="44" t="str">
        <f aca="false">IF(OR(NOT(ISNUMBER($R231)),$R231=0,NOT(ISNUMBER($K231))),"",$K231*(1-$R231))</f>
        <v/>
      </c>
      <c r="T231" s="45" t="str">
        <f aca="false">IF(ISNUMBER($S231),$S231*$H231,"")</f>
        <v/>
      </c>
      <c r="U231" s="45" t="str">
        <f aca="false">IF(ISNUMBER($S231),$S231*Parâmetros!$B$6,"")</f>
        <v/>
      </c>
      <c r="V231" s="45" t="str">
        <f aca="false">IF(ISNUMBER($S231),$S231*Parâmetros!$C$6,"")</f>
        <v/>
      </c>
      <c r="W231" s="44" t="str">
        <f aca="false">IF(ISNUMBER($S231),$S231-$D231-IF(ISNUMBER($E231),$E231,0)-$O231-$T231-$U231-$V231,"")</f>
        <v/>
      </c>
      <c r="X231" s="46" t="str">
        <f aca="false">IF(AND(ISNUMBER($S231),$S231&gt;0),$W231/$S231,"")</f>
        <v/>
      </c>
      <c r="Y231" s="49"/>
      <c r="Z231" s="21"/>
    </row>
    <row r="232" customFormat="false" ht="15.75" hidden="false" customHeight="true" outlineLevel="0" collapsed="false">
      <c r="A232" s="32" t="str">
        <f aca="false">IF(Produtos!$A232="","",Produtos!$A232)</f>
        <v>AQ-40B</v>
      </c>
      <c r="B232" s="32" t="str">
        <f aca="false">IF(Produtos!$A232="","",Produtos!$B232)</f>
        <v>Aro Quadrado 40cm c/Basculante</v>
      </c>
      <c r="C232" s="32" t="str">
        <f aca="false">IF(Produtos!$A232="","",Produtos!$C232)</f>
        <v>Acessórios (aros e tampas)</v>
      </c>
      <c r="D232" s="33" t="n">
        <f aca="false">IF(Produtos!$A232="","",IF(Produtos!$D232="","",Produtos!$D232))</f>
        <v>121.9</v>
      </c>
      <c r="E232" s="11" t="n">
        <v>0</v>
      </c>
      <c r="F232" s="34" t="n">
        <f aca="false">IF($A232="","",IF($C232="","⚠ categoria",IFERROR(INDEX(Parâmetros!$D$13:$D$22,MATCH($C232,Parâmetros!$A$13:$A$22,0)),"⚠ categoria")))</f>
        <v>0.13</v>
      </c>
      <c r="G232" s="35"/>
      <c r="H232" s="36" t="n">
        <f aca="false">IF($A232="","",IF(ISNUMBER($G232),$G232,IF(ISNUMBER($F232),$F232,"")))</f>
        <v>0.13</v>
      </c>
      <c r="I232" s="37" t="n">
        <f aca="false">IF(OR($A232="",NOT(ISNUMBER($D232)),NOT(ISNUMBER($H232))),"",IF((1-$H232-Parâmetros!$B$6-Parâmetros!$C$6-Parâmetros!$D$6)&lt;=0,"INVALIDO",($D232+IF(ISNUMBER($E232),$E232,0)+IF(ISNUMBER(Parâmetros!$E$6),Parâmetros!$E$6,0))/(1-$H232-Parâmetros!$B$6-Parâmetros!$C$6-Parâmetros!$D$6)))</f>
        <v>225.740740740741</v>
      </c>
      <c r="J232" s="38"/>
      <c r="K232" s="39" t="n">
        <f aca="false">IF(OR($A232="",NOT(ISNUMBER($D232)),NOT(ISNUMBER($H232))),"",IF(AND(ISNUMBER($J232),$J232&gt;0),$J232,IF(ISNUMBER($I232),$I232,"")))</f>
        <v>225.740740740741</v>
      </c>
      <c r="L232" s="40" t="n">
        <f aca="false">IF(ISNUMBER($K232),$K232*$H232,"")</f>
        <v>29.3462962962963</v>
      </c>
      <c r="M232" s="40" t="n">
        <f aca="false">IF(ISNUMBER($K232),$K232*Parâmetros!$B$6,"")</f>
        <v>22.5740740740741</v>
      </c>
      <c r="N232" s="40" t="n">
        <f aca="false">IF(ISNUMBER($K232),$K232*Parâmetros!$C$6,"")</f>
        <v>6.77222222222222</v>
      </c>
      <c r="O232" s="40" t="n">
        <f aca="false">IF(ISNUMBER($K232),IF(ISNUMBER(Parâmetros!$E$6),Parâmetros!$E$6,0),"")</f>
        <v>0</v>
      </c>
      <c r="P232" s="41" t="n">
        <f aca="false">IF(ISNUMBER($K232),$K232-$D232-IF(ISNUMBER($E232),$E232,0)-$L232-$M232-$N232-$O232,"")</f>
        <v>45.1481481481481</v>
      </c>
      <c r="Q232" s="42" t="n">
        <f aca="false">IF(AND(ISNUMBER($K232),$K232&gt;0),$P232/$K232,"")</f>
        <v>0.2</v>
      </c>
      <c r="R232" s="43"/>
      <c r="S232" s="44" t="str">
        <f aca="false">IF(OR(NOT(ISNUMBER($R232)),$R232=0,NOT(ISNUMBER($K232))),"",$K232*(1-$R232))</f>
        <v/>
      </c>
      <c r="T232" s="45" t="str">
        <f aca="false">IF(ISNUMBER($S232),$S232*$H232,"")</f>
        <v/>
      </c>
      <c r="U232" s="45" t="str">
        <f aca="false">IF(ISNUMBER($S232),$S232*Parâmetros!$B$6,"")</f>
        <v/>
      </c>
      <c r="V232" s="45" t="str">
        <f aca="false">IF(ISNUMBER($S232),$S232*Parâmetros!$C$6,"")</f>
        <v/>
      </c>
      <c r="W232" s="44" t="str">
        <f aca="false">IF(ISNUMBER($S232),$S232-$D232-IF(ISNUMBER($E232),$E232,0)-$O232-$T232-$U232-$V232,"")</f>
        <v/>
      </c>
      <c r="X232" s="46" t="str">
        <f aca="false">IF(AND(ISNUMBER($S232),$S232&gt;0),$W232/$S232,"")</f>
        <v/>
      </c>
      <c r="Y232" s="47"/>
      <c r="Z232" s="19"/>
    </row>
    <row r="233" customFormat="false" ht="15.75" hidden="false" customHeight="true" outlineLevel="0" collapsed="false">
      <c r="A233" s="48" t="str">
        <f aca="false">IF(Produtos!$A233="","",Produtos!$A233)</f>
        <v>AQ-24C</v>
      </c>
      <c r="B233" s="48" t="str">
        <f aca="false">IF(Produtos!$A233="","",Produtos!$B233)</f>
        <v>Aro Quadrado 24cm Pintado</v>
      </c>
      <c r="C233" s="48" t="str">
        <f aca="false">IF(Produtos!$A233="","",Produtos!$C233)</f>
        <v>Acessórios (aros e tampas)</v>
      </c>
      <c r="D233" s="33" t="n">
        <f aca="false">IF(Produtos!$A233="","",IF(Produtos!$D233="","",Produtos!$D233))</f>
        <v>45.58</v>
      </c>
      <c r="E233" s="11" t="n">
        <v>0</v>
      </c>
      <c r="F233" s="34" t="n">
        <f aca="false">IF($A233="","",IF($C233="","⚠ categoria",IFERROR(INDEX(Parâmetros!$D$13:$D$22,MATCH($C233,Parâmetros!$A$13:$A$22,0)),"⚠ categoria")))</f>
        <v>0.13</v>
      </c>
      <c r="G233" s="35"/>
      <c r="H233" s="36" t="n">
        <f aca="false">IF($A233="","",IF(ISNUMBER($G233),$G233,IF(ISNUMBER($F233),$F233,"")))</f>
        <v>0.13</v>
      </c>
      <c r="I233" s="37" t="n">
        <f aca="false">IF(OR($A233="",NOT(ISNUMBER($D233)),NOT(ISNUMBER($H233))),"",IF((1-$H233-Parâmetros!$B$6-Parâmetros!$C$6-Parâmetros!$D$6)&lt;=0,"INVALIDO",($D233+IF(ISNUMBER($E233),$E233,0)+IF(ISNUMBER(Parâmetros!$E$6),Parâmetros!$E$6,0))/(1-$H233-Parâmetros!$B$6-Parâmetros!$C$6-Parâmetros!$D$6)))</f>
        <v>84.4074074074074</v>
      </c>
      <c r="J233" s="38"/>
      <c r="K233" s="39" t="n">
        <f aca="false">IF(OR($A233="",NOT(ISNUMBER($D233)),NOT(ISNUMBER($H233))),"",IF(AND(ISNUMBER($J233),$J233&gt;0),$J233,IF(ISNUMBER($I233),$I233,"")))</f>
        <v>84.4074074074074</v>
      </c>
      <c r="L233" s="40" t="n">
        <f aca="false">IF(ISNUMBER($K233),$K233*$H233,"")</f>
        <v>10.972962962963</v>
      </c>
      <c r="M233" s="40" t="n">
        <f aca="false">IF(ISNUMBER($K233),$K233*Parâmetros!$B$6,"")</f>
        <v>8.44074074074074</v>
      </c>
      <c r="N233" s="40" t="n">
        <f aca="false">IF(ISNUMBER($K233),$K233*Parâmetros!$C$6,"")</f>
        <v>2.53222222222222</v>
      </c>
      <c r="O233" s="40" t="n">
        <f aca="false">IF(ISNUMBER($K233),IF(ISNUMBER(Parâmetros!$E$6),Parâmetros!$E$6,0),"")</f>
        <v>0</v>
      </c>
      <c r="P233" s="41" t="n">
        <f aca="false">IF(ISNUMBER($K233),$K233-$D233-IF(ISNUMBER($E233),$E233,0)-$L233-$M233-$N233-$O233,"")</f>
        <v>16.8814814814815</v>
      </c>
      <c r="Q233" s="42" t="n">
        <f aca="false">IF(AND(ISNUMBER($K233),$K233&gt;0),$P233/$K233,"")</f>
        <v>0.2</v>
      </c>
      <c r="R233" s="43"/>
      <c r="S233" s="44" t="str">
        <f aca="false">IF(OR(NOT(ISNUMBER($R233)),$R233=0,NOT(ISNUMBER($K233))),"",$K233*(1-$R233))</f>
        <v/>
      </c>
      <c r="T233" s="45" t="str">
        <f aca="false">IF(ISNUMBER($S233),$S233*$H233,"")</f>
        <v/>
      </c>
      <c r="U233" s="45" t="str">
        <f aca="false">IF(ISNUMBER($S233),$S233*Parâmetros!$B$6,"")</f>
        <v/>
      </c>
      <c r="V233" s="45" t="str">
        <f aca="false">IF(ISNUMBER($S233),$S233*Parâmetros!$C$6,"")</f>
        <v/>
      </c>
      <c r="W233" s="44" t="str">
        <f aca="false">IF(ISNUMBER($S233),$S233-$D233-IF(ISNUMBER($E233),$E233,0)-$O233-$T233-$U233-$V233,"")</f>
        <v/>
      </c>
      <c r="X233" s="46" t="str">
        <f aca="false">IF(AND(ISNUMBER($S233),$S233&gt;0),$W233/$S233,"")</f>
        <v/>
      </c>
      <c r="Y233" s="49"/>
      <c r="Z233" s="21"/>
    </row>
    <row r="234" customFormat="false" ht="15.75" hidden="false" customHeight="true" outlineLevel="0" collapsed="false">
      <c r="A234" s="32" t="str">
        <f aca="false">IF(Produtos!$A234="","",Produtos!$A234)</f>
        <v>AQ-30C</v>
      </c>
      <c r="B234" s="32" t="str">
        <f aca="false">IF(Produtos!$A234="","",Produtos!$B234)</f>
        <v>Aro Quadrado 30cm Pintado</v>
      </c>
      <c r="C234" s="32" t="str">
        <f aca="false">IF(Produtos!$A234="","",Produtos!$C234)</f>
        <v>Acessórios (aros e tampas)</v>
      </c>
      <c r="D234" s="33" t="n">
        <f aca="false">IF(Produtos!$A234="","",IF(Produtos!$D234="","",Produtos!$D234))</f>
        <v>53</v>
      </c>
      <c r="E234" s="11" t="n">
        <v>0</v>
      </c>
      <c r="F234" s="34" t="n">
        <f aca="false">IF($A234="","",IF($C234="","⚠ categoria",IFERROR(INDEX(Parâmetros!$D$13:$D$22,MATCH($C234,Parâmetros!$A$13:$A$22,0)),"⚠ categoria")))</f>
        <v>0.13</v>
      </c>
      <c r="G234" s="35"/>
      <c r="H234" s="36" t="n">
        <f aca="false">IF($A234="","",IF(ISNUMBER($G234),$G234,IF(ISNUMBER($F234),$F234,"")))</f>
        <v>0.13</v>
      </c>
      <c r="I234" s="37" t="n">
        <f aca="false">IF(OR($A234="",NOT(ISNUMBER($D234)),NOT(ISNUMBER($H234))),"",IF((1-$H234-Parâmetros!$B$6-Parâmetros!$C$6-Parâmetros!$D$6)&lt;=0,"INVALIDO",($D234+IF(ISNUMBER($E234),$E234,0)+IF(ISNUMBER(Parâmetros!$E$6),Parâmetros!$E$6,0))/(1-$H234-Parâmetros!$B$6-Parâmetros!$C$6-Parâmetros!$D$6)))</f>
        <v>98.1481481481481</v>
      </c>
      <c r="J234" s="38"/>
      <c r="K234" s="39" t="n">
        <f aca="false">IF(OR($A234="",NOT(ISNUMBER($D234)),NOT(ISNUMBER($H234))),"",IF(AND(ISNUMBER($J234),$J234&gt;0),$J234,IF(ISNUMBER($I234),$I234,"")))</f>
        <v>98.1481481481481</v>
      </c>
      <c r="L234" s="40" t="n">
        <f aca="false">IF(ISNUMBER($K234),$K234*$H234,"")</f>
        <v>12.7592592592593</v>
      </c>
      <c r="M234" s="40" t="n">
        <f aca="false">IF(ISNUMBER($K234),$K234*Parâmetros!$B$6,"")</f>
        <v>9.81481481481482</v>
      </c>
      <c r="N234" s="40" t="n">
        <f aca="false">IF(ISNUMBER($K234),$K234*Parâmetros!$C$6,"")</f>
        <v>2.94444444444444</v>
      </c>
      <c r="O234" s="40" t="n">
        <f aca="false">IF(ISNUMBER($K234),IF(ISNUMBER(Parâmetros!$E$6),Parâmetros!$E$6,0),"")</f>
        <v>0</v>
      </c>
      <c r="P234" s="41" t="n">
        <f aca="false">IF(ISNUMBER($K234),$K234-$D234-IF(ISNUMBER($E234),$E234,0)-$L234-$M234-$N234-$O234,"")</f>
        <v>19.6296296296296</v>
      </c>
      <c r="Q234" s="42" t="n">
        <f aca="false">IF(AND(ISNUMBER($K234),$K234&gt;0),$P234/$K234,"")</f>
        <v>0.2</v>
      </c>
      <c r="R234" s="43"/>
      <c r="S234" s="44" t="str">
        <f aca="false">IF(OR(NOT(ISNUMBER($R234)),$R234=0,NOT(ISNUMBER($K234))),"",$K234*(1-$R234))</f>
        <v/>
      </c>
      <c r="T234" s="45" t="str">
        <f aca="false">IF(ISNUMBER($S234),$S234*$H234,"")</f>
        <v/>
      </c>
      <c r="U234" s="45" t="str">
        <f aca="false">IF(ISNUMBER($S234),$S234*Parâmetros!$B$6,"")</f>
        <v/>
      </c>
      <c r="V234" s="45" t="str">
        <f aca="false">IF(ISNUMBER($S234),$S234*Parâmetros!$C$6,"")</f>
        <v/>
      </c>
      <c r="W234" s="44" t="str">
        <f aca="false">IF(ISNUMBER($S234),$S234-$D234-IF(ISNUMBER($E234),$E234,0)-$O234-$T234-$U234-$V234,"")</f>
        <v/>
      </c>
      <c r="X234" s="46" t="str">
        <f aca="false">IF(AND(ISNUMBER($S234),$S234&gt;0),$W234/$S234,"")</f>
        <v/>
      </c>
      <c r="Y234" s="47"/>
      <c r="Z234" s="19"/>
    </row>
    <row r="235" customFormat="false" ht="15.75" hidden="false" customHeight="true" outlineLevel="0" collapsed="false">
      <c r="A235" s="48" t="str">
        <f aca="false">IF(Produtos!$A235="","",Produtos!$A235)</f>
        <v>AQ-40C</v>
      </c>
      <c r="B235" s="48" t="str">
        <f aca="false">IF(Produtos!$A235="","",Produtos!$B235)</f>
        <v>Aro Quadrado 40cm Pintado</v>
      </c>
      <c r="C235" s="48" t="str">
        <f aca="false">IF(Produtos!$A235="","",Produtos!$C235)</f>
        <v>Acessórios (aros e tampas)</v>
      </c>
      <c r="D235" s="33" t="n">
        <f aca="false">IF(Produtos!$A235="","",IF(Produtos!$D235="","",Produtos!$D235))</f>
        <v>104.94</v>
      </c>
      <c r="E235" s="11" t="n">
        <v>0</v>
      </c>
      <c r="F235" s="34" t="n">
        <f aca="false">IF($A235="","",IF($C235="","⚠ categoria",IFERROR(INDEX(Parâmetros!$D$13:$D$22,MATCH($C235,Parâmetros!$A$13:$A$22,0)),"⚠ categoria")))</f>
        <v>0.13</v>
      </c>
      <c r="G235" s="35"/>
      <c r="H235" s="36" t="n">
        <f aca="false">IF($A235="","",IF(ISNUMBER($G235),$G235,IF(ISNUMBER($F235),$F235,"")))</f>
        <v>0.13</v>
      </c>
      <c r="I235" s="37" t="n">
        <f aca="false">IF(OR($A235="",NOT(ISNUMBER($D235)),NOT(ISNUMBER($H235))),"",IF((1-$H235-Parâmetros!$B$6-Parâmetros!$C$6-Parâmetros!$D$6)&lt;=0,"INVALIDO",($D235+IF(ISNUMBER($E235),$E235,0)+IF(ISNUMBER(Parâmetros!$E$6),Parâmetros!$E$6,0))/(1-$H235-Parâmetros!$B$6-Parâmetros!$C$6-Parâmetros!$D$6)))</f>
        <v>194.333333333333</v>
      </c>
      <c r="J235" s="38"/>
      <c r="K235" s="39" t="n">
        <f aca="false">IF(OR($A235="",NOT(ISNUMBER($D235)),NOT(ISNUMBER($H235))),"",IF(AND(ISNUMBER($J235),$J235&gt;0),$J235,IF(ISNUMBER($I235),$I235,"")))</f>
        <v>194.333333333333</v>
      </c>
      <c r="L235" s="40" t="n">
        <f aca="false">IF(ISNUMBER($K235),$K235*$H235,"")</f>
        <v>25.2633333333333</v>
      </c>
      <c r="M235" s="40" t="n">
        <f aca="false">IF(ISNUMBER($K235),$K235*Parâmetros!$B$6,"")</f>
        <v>19.4333333333333</v>
      </c>
      <c r="N235" s="40" t="n">
        <f aca="false">IF(ISNUMBER($K235),$K235*Parâmetros!$C$6,"")</f>
        <v>5.83</v>
      </c>
      <c r="O235" s="40" t="n">
        <f aca="false">IF(ISNUMBER($K235),IF(ISNUMBER(Parâmetros!$E$6),Parâmetros!$E$6,0),"")</f>
        <v>0</v>
      </c>
      <c r="P235" s="41" t="n">
        <f aca="false">IF(ISNUMBER($K235),$K235-$D235-IF(ISNUMBER($E235),$E235,0)-$L235-$M235-$N235-$O235,"")</f>
        <v>38.8666666666666</v>
      </c>
      <c r="Q235" s="42" t="n">
        <f aca="false">IF(AND(ISNUMBER($K235),$K235&gt;0),$P235/$K235,"")</f>
        <v>0.2</v>
      </c>
      <c r="R235" s="43"/>
      <c r="S235" s="44" t="str">
        <f aca="false">IF(OR(NOT(ISNUMBER($R235)),$R235=0,NOT(ISNUMBER($K235))),"",$K235*(1-$R235))</f>
        <v/>
      </c>
      <c r="T235" s="45" t="str">
        <f aca="false">IF(ISNUMBER($S235),$S235*$H235,"")</f>
        <v/>
      </c>
      <c r="U235" s="45" t="str">
        <f aca="false">IF(ISNUMBER($S235),$S235*Parâmetros!$B$6,"")</f>
        <v/>
      </c>
      <c r="V235" s="45" t="str">
        <f aca="false">IF(ISNUMBER($S235),$S235*Parâmetros!$C$6,"")</f>
        <v/>
      </c>
      <c r="W235" s="44" t="str">
        <f aca="false">IF(ISNUMBER($S235),$S235-$D235-IF(ISNUMBER($E235),$E235,0)-$O235-$T235-$U235-$V235,"")</f>
        <v/>
      </c>
      <c r="X235" s="46" t="str">
        <f aca="false">IF(AND(ISNUMBER($S235),$S235&gt;0),$W235/$S235,"")</f>
        <v/>
      </c>
      <c r="Y235" s="49"/>
      <c r="Z235" s="21"/>
    </row>
    <row r="236" customFormat="false" ht="15.75" hidden="false" customHeight="true" outlineLevel="0" collapsed="false">
      <c r="A236" s="32" t="str">
        <f aca="false">IF(Produtos!$A236="","",Produtos!$A236)</f>
        <v>AQ-24BC</v>
      </c>
      <c r="B236" s="32" t="str">
        <f aca="false">IF(Produtos!$A236="","",Produtos!$B236)</f>
        <v>Aro Quadrado 24cm c/Basculante Pintado</v>
      </c>
      <c r="C236" s="32" t="str">
        <f aca="false">IF(Produtos!$A236="","",Produtos!$C236)</f>
        <v>Acessórios (aros e tampas)</v>
      </c>
      <c r="D236" s="33" t="n">
        <f aca="false">IF(Produtos!$A236="","",IF(Produtos!$D236="","",Produtos!$D236))</f>
        <v>64.66</v>
      </c>
      <c r="E236" s="11" t="n">
        <v>0</v>
      </c>
      <c r="F236" s="34" t="n">
        <f aca="false">IF($A236="","",IF($C236="","⚠ categoria",IFERROR(INDEX(Parâmetros!$D$13:$D$22,MATCH($C236,Parâmetros!$A$13:$A$22,0)),"⚠ categoria")))</f>
        <v>0.13</v>
      </c>
      <c r="G236" s="35"/>
      <c r="H236" s="36" t="n">
        <f aca="false">IF($A236="","",IF(ISNUMBER($G236),$G236,IF(ISNUMBER($F236),$F236,"")))</f>
        <v>0.13</v>
      </c>
      <c r="I236" s="37" t="n">
        <f aca="false">IF(OR($A236="",NOT(ISNUMBER($D236)),NOT(ISNUMBER($H236))),"",IF((1-$H236-Parâmetros!$B$6-Parâmetros!$C$6-Parâmetros!$D$6)&lt;=0,"INVALIDO",($D236+IF(ISNUMBER($E236),$E236,0)+IF(ISNUMBER(Parâmetros!$E$6),Parâmetros!$E$6,0))/(1-$H236-Parâmetros!$B$6-Parâmetros!$C$6-Parâmetros!$D$6)))</f>
        <v>119.740740740741</v>
      </c>
      <c r="J236" s="38"/>
      <c r="K236" s="39" t="n">
        <f aca="false">IF(OR($A236="",NOT(ISNUMBER($D236)),NOT(ISNUMBER($H236))),"",IF(AND(ISNUMBER($J236),$J236&gt;0),$J236,IF(ISNUMBER($I236),$I236,"")))</f>
        <v>119.740740740741</v>
      </c>
      <c r="L236" s="40" t="n">
        <f aca="false">IF(ISNUMBER($K236),$K236*$H236,"")</f>
        <v>15.5662962962963</v>
      </c>
      <c r="M236" s="40" t="n">
        <f aca="false">IF(ISNUMBER($K236),$K236*Parâmetros!$B$6,"")</f>
        <v>11.9740740740741</v>
      </c>
      <c r="N236" s="40" t="n">
        <f aca="false">IF(ISNUMBER($K236),$K236*Parâmetros!$C$6,"")</f>
        <v>3.59222222222222</v>
      </c>
      <c r="O236" s="40" t="n">
        <f aca="false">IF(ISNUMBER($K236),IF(ISNUMBER(Parâmetros!$E$6),Parâmetros!$E$6,0),"")</f>
        <v>0</v>
      </c>
      <c r="P236" s="41" t="n">
        <f aca="false">IF(ISNUMBER($K236),$K236-$D236-IF(ISNUMBER($E236),$E236,0)-$L236-$M236-$N236-$O236,"")</f>
        <v>23.9481481481481</v>
      </c>
      <c r="Q236" s="42" t="n">
        <f aca="false">IF(AND(ISNUMBER($K236),$K236&gt;0),$P236/$K236,"")</f>
        <v>0.2</v>
      </c>
      <c r="R236" s="43"/>
      <c r="S236" s="44" t="str">
        <f aca="false">IF(OR(NOT(ISNUMBER($R236)),$R236=0,NOT(ISNUMBER($K236))),"",$K236*(1-$R236))</f>
        <v/>
      </c>
      <c r="T236" s="45" t="str">
        <f aca="false">IF(ISNUMBER($S236),$S236*$H236,"")</f>
        <v/>
      </c>
      <c r="U236" s="45" t="str">
        <f aca="false">IF(ISNUMBER($S236),$S236*Parâmetros!$B$6,"")</f>
        <v/>
      </c>
      <c r="V236" s="45" t="str">
        <f aca="false">IF(ISNUMBER($S236),$S236*Parâmetros!$C$6,"")</f>
        <v/>
      </c>
      <c r="W236" s="44" t="str">
        <f aca="false">IF(ISNUMBER($S236),$S236-$D236-IF(ISNUMBER($E236),$E236,0)-$O236-$T236-$U236-$V236,"")</f>
        <v/>
      </c>
      <c r="X236" s="46" t="str">
        <f aca="false">IF(AND(ISNUMBER($S236),$S236&gt;0),$W236/$S236,"")</f>
        <v/>
      </c>
      <c r="Y236" s="47"/>
      <c r="Z236" s="19"/>
    </row>
    <row r="237" customFormat="false" ht="15.75" hidden="false" customHeight="true" outlineLevel="0" collapsed="false">
      <c r="A237" s="48" t="str">
        <f aca="false">IF(Produtos!$A237="","",Produtos!$A237)</f>
        <v>AQ-30BC</v>
      </c>
      <c r="B237" s="48" t="str">
        <f aca="false">IF(Produtos!$A237="","",Produtos!$B237)</f>
        <v>Aro Quadrado 30cm c/Basculante Pintado</v>
      </c>
      <c r="C237" s="48" t="str">
        <f aca="false">IF(Produtos!$A237="","",Produtos!$C237)</f>
        <v>Acessórios (aros e tampas)</v>
      </c>
      <c r="D237" s="33" t="n">
        <f aca="false">IF(Produtos!$A237="","",IF(Produtos!$D237="","",Produtos!$D237))</f>
        <v>80.56</v>
      </c>
      <c r="E237" s="11" t="n">
        <v>0</v>
      </c>
      <c r="F237" s="34" t="n">
        <f aca="false">IF($A237="","",IF($C237="","⚠ categoria",IFERROR(INDEX(Parâmetros!$D$13:$D$22,MATCH($C237,Parâmetros!$A$13:$A$22,0)),"⚠ categoria")))</f>
        <v>0.13</v>
      </c>
      <c r="G237" s="35"/>
      <c r="H237" s="36" t="n">
        <f aca="false">IF($A237="","",IF(ISNUMBER($G237),$G237,IF(ISNUMBER($F237),$F237,"")))</f>
        <v>0.13</v>
      </c>
      <c r="I237" s="37" t="n">
        <f aca="false">IF(OR($A237="",NOT(ISNUMBER($D237)),NOT(ISNUMBER($H237))),"",IF((1-$H237-Parâmetros!$B$6-Parâmetros!$C$6-Parâmetros!$D$6)&lt;=0,"INVALIDO",($D237+IF(ISNUMBER($E237),$E237,0)+IF(ISNUMBER(Parâmetros!$E$6),Parâmetros!$E$6,0))/(1-$H237-Parâmetros!$B$6-Parâmetros!$C$6-Parâmetros!$D$6)))</f>
        <v>149.185185185185</v>
      </c>
      <c r="J237" s="38"/>
      <c r="K237" s="39" t="n">
        <f aca="false">IF(OR($A237="",NOT(ISNUMBER($D237)),NOT(ISNUMBER($H237))),"",IF(AND(ISNUMBER($J237),$J237&gt;0),$J237,IF(ISNUMBER($I237),$I237,"")))</f>
        <v>149.185185185185</v>
      </c>
      <c r="L237" s="40" t="n">
        <f aca="false">IF(ISNUMBER($K237),$K237*$H237,"")</f>
        <v>19.3940740740741</v>
      </c>
      <c r="M237" s="40" t="n">
        <f aca="false">IF(ISNUMBER($K237),$K237*Parâmetros!$B$6,"")</f>
        <v>14.9185185185185</v>
      </c>
      <c r="N237" s="40" t="n">
        <f aca="false">IF(ISNUMBER($K237),$K237*Parâmetros!$C$6,"")</f>
        <v>4.47555555555556</v>
      </c>
      <c r="O237" s="40" t="n">
        <f aca="false">IF(ISNUMBER($K237),IF(ISNUMBER(Parâmetros!$E$6),Parâmetros!$E$6,0),"")</f>
        <v>0</v>
      </c>
      <c r="P237" s="41" t="n">
        <f aca="false">IF(ISNUMBER($K237),$K237-$D237-IF(ISNUMBER($E237),$E237,0)-$L237-$M237-$N237-$O237,"")</f>
        <v>29.837037037037</v>
      </c>
      <c r="Q237" s="42" t="n">
        <f aca="false">IF(AND(ISNUMBER($K237),$K237&gt;0),$P237/$K237,"")</f>
        <v>0.2</v>
      </c>
      <c r="R237" s="43"/>
      <c r="S237" s="44" t="str">
        <f aca="false">IF(OR(NOT(ISNUMBER($R237)),$R237=0,NOT(ISNUMBER($K237))),"",$K237*(1-$R237))</f>
        <v/>
      </c>
      <c r="T237" s="45" t="str">
        <f aca="false">IF(ISNUMBER($S237),$S237*$H237,"")</f>
        <v/>
      </c>
      <c r="U237" s="45" t="str">
        <f aca="false">IF(ISNUMBER($S237),$S237*Parâmetros!$B$6,"")</f>
        <v/>
      </c>
      <c r="V237" s="45" t="str">
        <f aca="false">IF(ISNUMBER($S237),$S237*Parâmetros!$C$6,"")</f>
        <v/>
      </c>
      <c r="W237" s="44" t="str">
        <f aca="false">IF(ISNUMBER($S237),$S237-$D237-IF(ISNUMBER($E237),$E237,0)-$O237-$T237-$U237-$V237,"")</f>
        <v/>
      </c>
      <c r="X237" s="46" t="str">
        <f aca="false">IF(AND(ISNUMBER($S237),$S237&gt;0),$W237/$S237,"")</f>
        <v/>
      </c>
      <c r="Y237" s="49"/>
      <c r="Z237" s="21"/>
    </row>
    <row r="238" customFormat="false" ht="15.75" hidden="false" customHeight="true" outlineLevel="0" collapsed="false">
      <c r="A238" s="32" t="str">
        <f aca="false">IF(Produtos!$A238="","",Produtos!$A238)</f>
        <v>AQ-40BC</v>
      </c>
      <c r="B238" s="32" t="str">
        <f aca="false">IF(Produtos!$A238="","",Produtos!$B238)</f>
        <v>Aro Quadrado 40cm c/Basculante Pintado</v>
      </c>
      <c r="C238" s="32" t="str">
        <f aca="false">IF(Produtos!$A238="","",Produtos!$C238)</f>
        <v>Acessórios (aros e tampas)</v>
      </c>
      <c r="D238" s="33" t="n">
        <f aca="false">IF(Produtos!$A238="","",IF(Produtos!$D238="","",Produtos!$D238))</f>
        <v>132.5</v>
      </c>
      <c r="E238" s="11" t="n">
        <v>0</v>
      </c>
      <c r="F238" s="34" t="n">
        <f aca="false">IF($A238="","",IF($C238="","⚠ categoria",IFERROR(INDEX(Parâmetros!$D$13:$D$22,MATCH($C238,Parâmetros!$A$13:$A$22,0)),"⚠ categoria")))</f>
        <v>0.13</v>
      </c>
      <c r="G238" s="35"/>
      <c r="H238" s="36" t="n">
        <f aca="false">IF($A238="","",IF(ISNUMBER($G238),$G238,IF(ISNUMBER($F238),$F238,"")))</f>
        <v>0.13</v>
      </c>
      <c r="I238" s="37" t="n">
        <f aca="false">IF(OR($A238="",NOT(ISNUMBER($D238)),NOT(ISNUMBER($H238))),"",IF((1-$H238-Parâmetros!$B$6-Parâmetros!$C$6-Parâmetros!$D$6)&lt;=0,"INVALIDO",($D238+IF(ISNUMBER($E238),$E238,0)+IF(ISNUMBER(Parâmetros!$E$6),Parâmetros!$E$6,0))/(1-$H238-Parâmetros!$B$6-Parâmetros!$C$6-Parâmetros!$D$6)))</f>
        <v>245.37037037037</v>
      </c>
      <c r="J238" s="38"/>
      <c r="K238" s="39" t="n">
        <f aca="false">IF(OR($A238="",NOT(ISNUMBER($D238)),NOT(ISNUMBER($H238))),"",IF(AND(ISNUMBER($J238),$J238&gt;0),$J238,IF(ISNUMBER($I238),$I238,"")))</f>
        <v>245.37037037037</v>
      </c>
      <c r="L238" s="40" t="n">
        <f aca="false">IF(ISNUMBER($K238),$K238*$H238,"")</f>
        <v>31.8981481481481</v>
      </c>
      <c r="M238" s="40" t="n">
        <f aca="false">IF(ISNUMBER($K238),$K238*Parâmetros!$B$6,"")</f>
        <v>24.537037037037</v>
      </c>
      <c r="N238" s="40" t="n">
        <f aca="false">IF(ISNUMBER($K238),$K238*Parâmetros!$C$6,"")</f>
        <v>7.36111111111111</v>
      </c>
      <c r="O238" s="40" t="n">
        <f aca="false">IF(ISNUMBER($K238),IF(ISNUMBER(Parâmetros!$E$6),Parâmetros!$E$6,0),"")</f>
        <v>0</v>
      </c>
      <c r="P238" s="41" t="n">
        <f aca="false">IF(ISNUMBER($K238),$K238-$D238-IF(ISNUMBER($E238),$E238,0)-$L238-$M238-$N238-$O238,"")</f>
        <v>49.0740740740741</v>
      </c>
      <c r="Q238" s="42" t="n">
        <f aca="false">IF(AND(ISNUMBER($K238),$K238&gt;0),$P238/$K238,"")</f>
        <v>0.2</v>
      </c>
      <c r="R238" s="43"/>
      <c r="S238" s="44" t="str">
        <f aca="false">IF(OR(NOT(ISNUMBER($R238)),$R238=0,NOT(ISNUMBER($K238))),"",$K238*(1-$R238))</f>
        <v/>
      </c>
      <c r="T238" s="45" t="str">
        <f aca="false">IF(ISNUMBER($S238),$S238*$H238,"")</f>
        <v/>
      </c>
      <c r="U238" s="45" t="str">
        <f aca="false">IF(ISNUMBER($S238),$S238*Parâmetros!$B$6,"")</f>
        <v/>
      </c>
      <c r="V238" s="45" t="str">
        <f aca="false">IF(ISNUMBER($S238),$S238*Parâmetros!$C$6,"")</f>
        <v/>
      </c>
      <c r="W238" s="44" t="str">
        <f aca="false">IF(ISNUMBER($S238),$S238-$D238-IF(ISNUMBER($E238),$E238,0)-$O238-$T238-$U238-$V238,"")</f>
        <v/>
      </c>
      <c r="X238" s="46" t="str">
        <f aca="false">IF(AND(ISNUMBER($S238),$S238&gt;0),$W238/$S238,"")</f>
        <v/>
      </c>
      <c r="Y238" s="47"/>
      <c r="Z238" s="19"/>
    </row>
    <row r="239" customFormat="false" ht="15.75" hidden="false" customHeight="true" outlineLevel="0" collapsed="false">
      <c r="A239" s="48" t="str">
        <f aca="false">IF(Produtos!$A239="","",Produtos!$A239)</f>
        <v>PXP</v>
      </c>
      <c r="B239" s="48" t="str">
        <f aca="false">IF(Produtos!$A239="","",Produtos!$B239)</f>
        <v>Porta Extintor 160x310</v>
      </c>
      <c r="C239" s="48" t="str">
        <f aca="false">IF(Produtos!$A239="","",Produtos!$C239)</f>
        <v>Porta-extintores</v>
      </c>
      <c r="D239" s="33" t="n">
        <f aca="false">IF(Produtos!$A239="","",IF(Produtos!$D239="","",Produtos!$D239))</f>
        <v>84.79</v>
      </c>
      <c r="E239" s="11" t="n">
        <v>0</v>
      </c>
      <c r="F239" s="34" t="n">
        <f aca="false">IF($A239="","",IF($C239="","⚠ categoria",IFERROR(INDEX(Parâmetros!$D$13:$D$22,MATCH($C239,Parâmetros!$A$13:$A$22,0)),"⚠ categoria")))</f>
        <v>0.13</v>
      </c>
      <c r="G239" s="35"/>
      <c r="H239" s="36" t="n">
        <f aca="false">IF($A239="","",IF(ISNUMBER($G239),$G239,IF(ISNUMBER($F239),$F239,"")))</f>
        <v>0.13</v>
      </c>
      <c r="I239" s="37" t="n">
        <f aca="false">IF(OR($A239="",NOT(ISNUMBER($D239)),NOT(ISNUMBER($H239))),"",IF((1-$H239-Parâmetros!$B$6-Parâmetros!$C$6-Parâmetros!$D$6)&lt;=0,"INVALIDO",($D239+IF(ISNUMBER($E239),$E239,0)+IF(ISNUMBER(Parâmetros!$E$6),Parâmetros!$E$6,0))/(1-$H239-Parâmetros!$B$6-Parâmetros!$C$6-Parâmetros!$D$6)))</f>
        <v>157.018518518519</v>
      </c>
      <c r="J239" s="38" t="n">
        <v>167.89</v>
      </c>
      <c r="K239" s="39" t="n">
        <f aca="false">IF(OR($A239="",NOT(ISNUMBER($D239)),NOT(ISNUMBER($H239))),"",IF(AND(ISNUMBER($J239),$J239&gt;0),$J239,IF(ISNUMBER($I239),$I239,"")))</f>
        <v>167.89</v>
      </c>
      <c r="L239" s="40" t="n">
        <f aca="false">IF(ISNUMBER($K239),$K239*$H239,"")</f>
        <v>21.8257</v>
      </c>
      <c r="M239" s="40" t="n">
        <f aca="false">IF(ISNUMBER($K239),$K239*Parâmetros!$B$6,"")</f>
        <v>16.789</v>
      </c>
      <c r="N239" s="40" t="n">
        <f aca="false">IF(ISNUMBER($K239),$K239*Parâmetros!$C$6,"")</f>
        <v>5.0367</v>
      </c>
      <c r="O239" s="40" t="n">
        <f aca="false">IF(ISNUMBER($K239),IF(ISNUMBER(Parâmetros!$E$6),Parâmetros!$E$6,0),"")</f>
        <v>0</v>
      </c>
      <c r="P239" s="41" t="n">
        <f aca="false">IF(ISNUMBER($K239),$K239-$D239-IF(ISNUMBER($E239),$E239,0)-$L239-$M239-$N239-$O239,"")</f>
        <v>39.4486</v>
      </c>
      <c r="Q239" s="42" t="n">
        <f aca="false">IF(AND(ISNUMBER($K239),$K239&gt;0),$P239/$K239,"")</f>
        <v>0.234966942641015</v>
      </c>
      <c r="R239" s="43"/>
      <c r="S239" s="44" t="str">
        <f aca="false">IF(OR(NOT(ISNUMBER($R239)),$R239=0,NOT(ISNUMBER($K239))),"",$K239*(1-$R239))</f>
        <v/>
      </c>
      <c r="T239" s="45" t="str">
        <f aca="false">IF(ISNUMBER($S239),$S239*$H239,"")</f>
        <v/>
      </c>
      <c r="U239" s="45" t="str">
        <f aca="false">IF(ISNUMBER($S239),$S239*Parâmetros!$B$6,"")</f>
        <v/>
      </c>
      <c r="V239" s="45" t="str">
        <f aca="false">IF(ISNUMBER($S239),$S239*Parâmetros!$C$6,"")</f>
        <v/>
      </c>
      <c r="W239" s="44" t="str">
        <f aca="false">IF(ISNUMBER($S239),$S239-$D239-IF(ISNUMBER($E239),$E239,0)-$O239-$T239-$U239-$V239,"")</f>
        <v/>
      </c>
      <c r="X239" s="46" t="str">
        <f aca="false">IF(AND(ISNUMBER($S239),$S239&gt;0),$W239/$S239,"")</f>
        <v/>
      </c>
      <c r="Y239" s="49" t="s">
        <v>737</v>
      </c>
      <c r="Z239" s="21" t="s">
        <v>747</v>
      </c>
    </row>
    <row r="240" customFormat="false" ht="15.75" hidden="false" customHeight="true" outlineLevel="0" collapsed="false">
      <c r="A240" s="32" t="str">
        <f aca="false">IF(Produtos!$A240="","",Produtos!$A240)</f>
        <v>PXM</v>
      </c>
      <c r="B240" s="32" t="str">
        <f aca="false">IF(Produtos!$A240="","",Produtos!$B240)</f>
        <v>Porta Extintor 200x495</v>
      </c>
      <c r="C240" s="32" t="str">
        <f aca="false">IF(Produtos!$A240="","",Produtos!$C240)</f>
        <v>Porta-extintores</v>
      </c>
      <c r="D240" s="33" t="n">
        <f aca="false">IF(Produtos!$A240="","",IF(Produtos!$D240="","",Produtos!$D240))</f>
        <v>102.8</v>
      </c>
      <c r="E240" s="11" t="n">
        <v>0</v>
      </c>
      <c r="F240" s="34" t="n">
        <f aca="false">IF($A240="","",IF($C240="","⚠ categoria",IFERROR(INDEX(Parâmetros!$D$13:$D$22,MATCH($C240,Parâmetros!$A$13:$A$22,0)),"⚠ categoria")))</f>
        <v>0.13</v>
      </c>
      <c r="G240" s="35"/>
      <c r="H240" s="36" t="n">
        <f aca="false">IF($A240="","",IF(ISNUMBER($G240),$G240,IF(ISNUMBER($F240),$F240,"")))</f>
        <v>0.13</v>
      </c>
      <c r="I240" s="37" t="n">
        <f aca="false">IF(OR($A240="",NOT(ISNUMBER($D240)),NOT(ISNUMBER($H240))),"",IF((1-$H240-Parâmetros!$B$6-Parâmetros!$C$6-Parâmetros!$D$6)&lt;=0,"INVALIDO",($D240+IF(ISNUMBER($E240),$E240,0)+IF(ISNUMBER(Parâmetros!$E$6),Parâmetros!$E$6,0))/(1-$H240-Parâmetros!$B$6-Parâmetros!$C$6-Parâmetros!$D$6)))</f>
        <v>190.37037037037</v>
      </c>
      <c r="J240" s="38" t="n">
        <v>203.54</v>
      </c>
      <c r="K240" s="39" t="n">
        <f aca="false">IF(OR($A240="",NOT(ISNUMBER($D240)),NOT(ISNUMBER($H240))),"",IF(AND(ISNUMBER($J240),$J240&gt;0),$J240,IF(ISNUMBER($I240),$I240,"")))</f>
        <v>203.54</v>
      </c>
      <c r="L240" s="40" t="n">
        <f aca="false">IF(ISNUMBER($K240),$K240*$H240,"")</f>
        <v>26.4602</v>
      </c>
      <c r="M240" s="40" t="n">
        <f aca="false">IF(ISNUMBER($K240),$K240*Parâmetros!$B$6,"")</f>
        <v>20.354</v>
      </c>
      <c r="N240" s="40" t="n">
        <f aca="false">IF(ISNUMBER($K240),$K240*Parâmetros!$C$6,"")</f>
        <v>6.1062</v>
      </c>
      <c r="O240" s="40" t="n">
        <f aca="false">IF(ISNUMBER($K240),IF(ISNUMBER(Parâmetros!$E$6),Parâmetros!$E$6,0),"")</f>
        <v>0</v>
      </c>
      <c r="P240" s="41" t="n">
        <f aca="false">IF(ISNUMBER($K240),$K240-$D240-IF(ISNUMBER($E240),$E240,0)-$L240-$M240-$N240-$O240,"")</f>
        <v>47.8196</v>
      </c>
      <c r="Q240" s="42" t="n">
        <f aca="false">IF(AND(ISNUMBER($K240),$K240&gt;0),$P240/$K240,"")</f>
        <v>0.234939569617766</v>
      </c>
      <c r="R240" s="43"/>
      <c r="S240" s="44" t="str">
        <f aca="false">IF(OR(NOT(ISNUMBER($R240)),$R240=0,NOT(ISNUMBER($K240))),"",$K240*(1-$R240))</f>
        <v/>
      </c>
      <c r="T240" s="45" t="str">
        <f aca="false">IF(ISNUMBER($S240),$S240*$H240,"")</f>
        <v/>
      </c>
      <c r="U240" s="45" t="str">
        <f aca="false">IF(ISNUMBER($S240),$S240*Parâmetros!$B$6,"")</f>
        <v/>
      </c>
      <c r="V240" s="45" t="str">
        <f aca="false">IF(ISNUMBER($S240),$S240*Parâmetros!$C$6,"")</f>
        <v/>
      </c>
      <c r="W240" s="44" t="str">
        <f aca="false">IF(ISNUMBER($S240),$S240-$D240-IF(ISNUMBER($E240),$E240,0)-$O240-$T240-$U240-$V240,"")</f>
        <v/>
      </c>
      <c r="X240" s="46" t="str">
        <f aca="false">IF(AND(ISNUMBER($S240),$S240&gt;0),$W240/$S240,"")</f>
        <v/>
      </c>
      <c r="Y240" s="47" t="s">
        <v>737</v>
      </c>
      <c r="Z240" s="19" t="s">
        <v>747</v>
      </c>
    </row>
    <row r="241" customFormat="false" ht="15.75" hidden="false" customHeight="true" outlineLevel="0" collapsed="false">
      <c r="A241" s="48" t="str">
        <f aca="false">IF(Produtos!$A241="","",Produtos!$A241)</f>
        <v>PL-SD</v>
      </c>
      <c r="B241" s="48" t="str">
        <f aca="false">IF(Produtos!$A241="","",Produtos!$B241)</f>
        <v>Placa Sinalizadora Piso Molhado Aço Inox 430</v>
      </c>
      <c r="C241" s="48" t="str">
        <f aca="false">IF(Produtos!$A241="","",Produtos!$C241)</f>
        <v>Placas de piso molhado</v>
      </c>
      <c r="D241" s="33" t="n">
        <f aca="false">IF(Produtos!$A241="","",IF(Produtos!$D241="","",Produtos!$D241))</f>
        <v>242.68</v>
      </c>
      <c r="E241" s="11" t="n">
        <v>0</v>
      </c>
      <c r="F241" s="34" t="n">
        <f aca="false">IF($A241="","",IF($C241="","⚠ categoria",IFERROR(INDEX(Parâmetros!$D$13:$D$22,MATCH($C241,Parâmetros!$A$13:$A$22,0)),"⚠ categoria")))</f>
        <v>0.13</v>
      </c>
      <c r="G241" s="35"/>
      <c r="H241" s="36" t="n">
        <f aca="false">IF($A241="","",IF(ISNUMBER($G241),$G241,IF(ISNUMBER($F241),$F241,"")))</f>
        <v>0.13</v>
      </c>
      <c r="I241" s="37" t="n">
        <f aca="false">IF(OR($A241="",NOT(ISNUMBER($D241)),NOT(ISNUMBER($H241))),"",IF((1-$H241-Parâmetros!$B$6-Parâmetros!$C$6-Parâmetros!$D$6)&lt;=0,"INVALIDO",($D241+IF(ISNUMBER($E241),$E241,0)+IF(ISNUMBER(Parâmetros!$E$6),Parâmetros!$E$6,0))/(1-$H241-Parâmetros!$B$6-Parâmetros!$C$6-Parâmetros!$D$6)))</f>
        <v>449.407407407407</v>
      </c>
      <c r="J241" s="38"/>
      <c r="K241" s="39" t="n">
        <f aca="false">IF(OR($A241="",NOT(ISNUMBER($D241)),NOT(ISNUMBER($H241))),"",IF(AND(ISNUMBER($J241),$J241&gt;0),$J241,IF(ISNUMBER($I241),$I241,"")))</f>
        <v>449.407407407407</v>
      </c>
      <c r="L241" s="40" t="n">
        <f aca="false">IF(ISNUMBER($K241),$K241*$H241,"")</f>
        <v>58.422962962963</v>
      </c>
      <c r="M241" s="40" t="n">
        <f aca="false">IF(ISNUMBER($K241),$K241*Parâmetros!$B$6,"")</f>
        <v>44.9407407407407</v>
      </c>
      <c r="N241" s="40" t="n">
        <f aca="false">IF(ISNUMBER($K241),$K241*Parâmetros!$C$6,"")</f>
        <v>13.4822222222222</v>
      </c>
      <c r="O241" s="40" t="n">
        <f aca="false">IF(ISNUMBER($K241),IF(ISNUMBER(Parâmetros!$E$6),Parâmetros!$E$6,0),"")</f>
        <v>0</v>
      </c>
      <c r="P241" s="41" t="n">
        <f aca="false">IF(ISNUMBER($K241),$K241-$D241-IF(ISNUMBER($E241),$E241,0)-$L241-$M241-$N241-$O241,"")</f>
        <v>89.8814814814814</v>
      </c>
      <c r="Q241" s="42" t="n">
        <f aca="false">IF(AND(ISNUMBER($K241),$K241&gt;0),$P241/$K241,"")</f>
        <v>0.2</v>
      </c>
      <c r="R241" s="43"/>
      <c r="S241" s="44" t="str">
        <f aca="false">IF(OR(NOT(ISNUMBER($R241)),$R241=0,NOT(ISNUMBER($K241))),"",$K241*(1-$R241))</f>
        <v/>
      </c>
      <c r="T241" s="45" t="str">
        <f aca="false">IF(ISNUMBER($S241),$S241*$H241,"")</f>
        <v/>
      </c>
      <c r="U241" s="45" t="str">
        <f aca="false">IF(ISNUMBER($S241),$S241*Parâmetros!$B$6,"")</f>
        <v/>
      </c>
      <c r="V241" s="45" t="str">
        <f aca="false">IF(ISNUMBER($S241),$S241*Parâmetros!$C$6,"")</f>
        <v/>
      </c>
      <c r="W241" s="44" t="str">
        <f aca="false">IF(ISNUMBER($S241),$S241-$D241-IF(ISNUMBER($E241),$E241,0)-$O241-$T241-$U241-$V241,"")</f>
        <v/>
      </c>
      <c r="X241" s="46" t="str">
        <f aca="false">IF(AND(ISNUMBER($S241),$S241&gt;0),$W241/$S241,"")</f>
        <v/>
      </c>
      <c r="Y241" s="49"/>
      <c r="Z241" s="21"/>
    </row>
    <row r="242" customFormat="false" ht="15.75" hidden="false" customHeight="true" outlineLevel="0" collapsed="false">
      <c r="A242" s="32" t="str">
        <f aca="false">IF(Produtos!$A242="","",Produtos!$A242)</f>
        <v>SP-01</v>
      </c>
      <c r="B242" s="32" t="str">
        <f aca="false">IF(Produtos!$A242="","",Produtos!$B242)</f>
        <v>Coletor Cigarros SPACE 27x92 Aço Inox</v>
      </c>
      <c r="C242" s="32" t="str">
        <f aca="false">IF(Produtos!$A242="","",Produtos!$C242)</f>
        <v>Bituqueiras e cinzeiros</v>
      </c>
      <c r="D242" s="33" t="n">
        <f aca="false">IF(Produtos!$A242="","",IF(Produtos!$D242="","",Produtos!$D242))</f>
        <v>247.86</v>
      </c>
      <c r="E242" s="11" t="n">
        <v>0</v>
      </c>
      <c r="F242" s="34" t="n">
        <f aca="false">IF($A242="","",IF($C242="","⚠ categoria",IFERROR(INDEX(Parâmetros!$D$13:$D$22,MATCH($C242,Parâmetros!$A$13:$A$22,0)),"⚠ categoria")))</f>
        <v>0.13</v>
      </c>
      <c r="G242" s="35"/>
      <c r="H242" s="36" t="n">
        <f aca="false">IF($A242="","",IF(ISNUMBER($G242),$G242,IF(ISNUMBER($F242),$F242,"")))</f>
        <v>0.13</v>
      </c>
      <c r="I242" s="37" t="n">
        <f aca="false">IF(OR($A242="",NOT(ISNUMBER($D242)),NOT(ISNUMBER($H242))),"",IF((1-$H242-Parâmetros!$B$6-Parâmetros!$C$6-Parâmetros!$D$6)&lt;=0,"INVALIDO",($D242+IF(ISNUMBER($E242),$E242,0)+IF(ISNUMBER(Parâmetros!$E$6),Parâmetros!$E$6,0))/(1-$H242-Parâmetros!$B$6-Parâmetros!$C$6-Parâmetros!$D$6)))</f>
        <v>459</v>
      </c>
      <c r="J242" s="38" t="n">
        <v>475.31</v>
      </c>
      <c r="K242" s="39" t="n">
        <f aca="false">IF(OR($A242="",NOT(ISNUMBER($D242)),NOT(ISNUMBER($H242))),"",IF(AND(ISNUMBER($J242),$J242&gt;0),$J242,IF(ISNUMBER($I242),$I242,"")))</f>
        <v>475.31</v>
      </c>
      <c r="L242" s="40" t="n">
        <f aca="false">IF(ISNUMBER($K242),$K242*$H242,"")</f>
        <v>61.7903</v>
      </c>
      <c r="M242" s="40" t="n">
        <f aca="false">IF(ISNUMBER($K242),$K242*Parâmetros!$B$6,"")</f>
        <v>47.531</v>
      </c>
      <c r="N242" s="40" t="n">
        <f aca="false">IF(ISNUMBER($K242),$K242*Parâmetros!$C$6,"")</f>
        <v>14.2593</v>
      </c>
      <c r="O242" s="40" t="n">
        <f aca="false">IF(ISNUMBER($K242),IF(ISNUMBER(Parâmetros!$E$6),Parâmetros!$E$6,0),"")</f>
        <v>0</v>
      </c>
      <c r="P242" s="41" t="n">
        <f aca="false">IF(ISNUMBER($K242),$K242-$D242-IF(ISNUMBER($E242),$E242,0)-$L242-$M242-$N242-$O242,"")</f>
        <v>103.8694</v>
      </c>
      <c r="Q242" s="42" t="n">
        <f aca="false">IF(AND(ISNUMBER($K242),$K242&gt;0),$P242/$K242,"")</f>
        <v>0.218529801603164</v>
      </c>
      <c r="R242" s="43"/>
      <c r="S242" s="44" t="str">
        <f aca="false">IF(OR(NOT(ISNUMBER($R242)),$R242=0,NOT(ISNUMBER($K242))),"",$K242*(1-$R242))</f>
        <v/>
      </c>
      <c r="T242" s="45" t="str">
        <f aca="false">IF(ISNUMBER($S242),$S242*$H242,"")</f>
        <v/>
      </c>
      <c r="U242" s="45" t="str">
        <f aca="false">IF(ISNUMBER($S242),$S242*Parâmetros!$B$6,"")</f>
        <v/>
      </c>
      <c r="V242" s="45" t="str">
        <f aca="false">IF(ISNUMBER($S242),$S242*Parâmetros!$C$6,"")</f>
        <v/>
      </c>
      <c r="W242" s="44" t="str">
        <f aca="false">IF(ISNUMBER($S242),$S242-$D242-IF(ISNUMBER($E242),$E242,0)-$O242-$T242-$U242-$V242,"")</f>
        <v/>
      </c>
      <c r="X242" s="46" t="str">
        <f aca="false">IF(AND(ISNUMBER($S242),$S242&gt;0),$W242/$S242,"")</f>
        <v/>
      </c>
      <c r="Y242" s="47" t="s">
        <v>737</v>
      </c>
      <c r="Z242" s="19" t="s">
        <v>748</v>
      </c>
    </row>
    <row r="243" customFormat="false" ht="15.75" hidden="false" customHeight="true" outlineLevel="0" collapsed="false">
      <c r="A243" s="48" t="str">
        <f aca="false">IF(Produtos!$A243="","",Produtos!$A243)</f>
        <v>SP-F</v>
      </c>
      <c r="B243" s="48" t="str">
        <f aca="false">IF(Produtos!$A243="","",Produtos!$B243)</f>
        <v>Coletor Cigarros SPACE FIXO 21x92 Aço Inox</v>
      </c>
      <c r="C243" s="48" t="str">
        <f aca="false">IF(Produtos!$A243="","",Produtos!$C243)</f>
        <v>Bituqueiras e cinzeiros</v>
      </c>
      <c r="D243" s="33" t="n">
        <f aca="false">IF(Produtos!$A243="","",IF(Produtos!$D243="","",Produtos!$D243))</f>
        <v>236.22</v>
      </c>
      <c r="E243" s="11" t="n">
        <v>0</v>
      </c>
      <c r="F243" s="34" t="n">
        <f aca="false">IF($A243="","",IF($C243="","⚠ categoria",IFERROR(INDEX(Parâmetros!$D$13:$D$22,MATCH($C243,Parâmetros!$A$13:$A$22,0)),"⚠ categoria")))</f>
        <v>0.13</v>
      </c>
      <c r="G243" s="35"/>
      <c r="H243" s="36" t="n">
        <f aca="false">IF($A243="","",IF(ISNUMBER($G243),$G243,IF(ISNUMBER($F243),$F243,"")))</f>
        <v>0.13</v>
      </c>
      <c r="I243" s="37" t="n">
        <f aca="false">IF(OR($A243="",NOT(ISNUMBER($D243)),NOT(ISNUMBER($H243))),"",IF((1-$H243-Parâmetros!$B$6-Parâmetros!$C$6-Parâmetros!$D$6)&lt;=0,"INVALIDO",($D243+IF(ISNUMBER($E243),$E243,0)+IF(ISNUMBER(Parâmetros!$E$6),Parâmetros!$E$6,0))/(1-$H243-Parâmetros!$B$6-Parâmetros!$C$6-Parâmetros!$D$6)))</f>
        <v>437.444444444444</v>
      </c>
      <c r="J243" s="38" t="n">
        <v>457.17</v>
      </c>
      <c r="K243" s="39" t="n">
        <f aca="false">IF(OR($A243="",NOT(ISNUMBER($D243)),NOT(ISNUMBER($H243))),"",IF(AND(ISNUMBER($J243),$J243&gt;0),$J243,IF(ISNUMBER($I243),$I243,"")))</f>
        <v>457.17</v>
      </c>
      <c r="L243" s="40" t="n">
        <f aca="false">IF(ISNUMBER($K243),$K243*$H243,"")</f>
        <v>59.4321</v>
      </c>
      <c r="M243" s="40" t="n">
        <f aca="false">IF(ISNUMBER($K243),$K243*Parâmetros!$B$6,"")</f>
        <v>45.717</v>
      </c>
      <c r="N243" s="40" t="n">
        <f aca="false">IF(ISNUMBER($K243),$K243*Parâmetros!$C$6,"")</f>
        <v>13.7151</v>
      </c>
      <c r="O243" s="40" t="n">
        <f aca="false">IF(ISNUMBER($K243),IF(ISNUMBER(Parâmetros!$E$6),Parâmetros!$E$6,0),"")</f>
        <v>0</v>
      </c>
      <c r="P243" s="41" t="n">
        <f aca="false">IF(ISNUMBER($K243),$K243-$D243-IF(ISNUMBER($E243),$E243,0)-$L243-$M243-$N243-$O243,"")</f>
        <v>102.0858</v>
      </c>
      <c r="Q243" s="42" t="n">
        <f aca="false">IF(AND(ISNUMBER($K243),$K243&gt;0),$P243/$K243,"")</f>
        <v>0.223299429096397</v>
      </c>
      <c r="R243" s="43"/>
      <c r="S243" s="44" t="str">
        <f aca="false">IF(OR(NOT(ISNUMBER($R243)),$R243=0,NOT(ISNUMBER($K243))),"",$K243*(1-$R243))</f>
        <v/>
      </c>
      <c r="T243" s="45" t="str">
        <f aca="false">IF(ISNUMBER($S243),$S243*$H243,"")</f>
        <v/>
      </c>
      <c r="U243" s="45" t="str">
        <f aca="false">IF(ISNUMBER($S243),$S243*Parâmetros!$B$6,"")</f>
        <v/>
      </c>
      <c r="V243" s="45" t="str">
        <f aca="false">IF(ISNUMBER($S243),$S243*Parâmetros!$C$6,"")</f>
        <v/>
      </c>
      <c r="W243" s="44" t="str">
        <f aca="false">IF(ISNUMBER($S243),$S243-$D243-IF(ISNUMBER($E243),$E243,0)-$O243-$T243-$U243-$V243,"")</f>
        <v/>
      </c>
      <c r="X243" s="46" t="str">
        <f aca="false">IF(AND(ISNUMBER($S243),$S243&gt;0),$W243/$S243,"")</f>
        <v/>
      </c>
      <c r="Y243" s="49" t="s">
        <v>737</v>
      </c>
      <c r="Z243" s="21" t="s">
        <v>748</v>
      </c>
    </row>
    <row r="244" customFormat="false" ht="15.75" hidden="false" customHeight="true" outlineLevel="0" collapsed="false">
      <c r="A244" s="32" t="str">
        <f aca="false">IF(Produtos!$A244="","",Produtos!$A244)</f>
        <v>SP-T</v>
      </c>
      <c r="B244" s="32" t="str">
        <f aca="false">IF(Produtos!$A244="","",Produtos!$B244)</f>
        <v>Coletor Cigarros SPACE TORRE 28x92 Aço Inox</v>
      </c>
      <c r="C244" s="32" t="str">
        <f aca="false">IF(Produtos!$A244="","",Produtos!$C244)</f>
        <v>Bituqueiras e cinzeiros</v>
      </c>
      <c r="D244" s="33" t="n">
        <f aca="false">IF(Produtos!$A244="","",IF(Produtos!$D244="","",Produtos!$D244))</f>
        <v>238.66</v>
      </c>
      <c r="E244" s="11" t="n">
        <v>0</v>
      </c>
      <c r="F244" s="34" t="n">
        <f aca="false">IF($A244="","",IF($C244="","⚠ categoria",IFERROR(INDEX(Parâmetros!$D$13:$D$22,MATCH($C244,Parâmetros!$A$13:$A$22,0)),"⚠ categoria")))</f>
        <v>0.13</v>
      </c>
      <c r="G244" s="35"/>
      <c r="H244" s="36" t="n">
        <f aca="false">IF($A244="","",IF(ISNUMBER($G244),$G244,IF(ISNUMBER($F244),$F244,"")))</f>
        <v>0.13</v>
      </c>
      <c r="I244" s="37" t="n">
        <f aca="false">IF(OR($A244="",NOT(ISNUMBER($D244)),NOT(ISNUMBER($H244))),"",IF((1-$H244-Parâmetros!$B$6-Parâmetros!$C$6-Parâmetros!$D$6)&lt;=0,"INVALIDO",($D244+IF(ISNUMBER($E244),$E244,0)+IF(ISNUMBER(Parâmetros!$E$6),Parâmetros!$E$6,0))/(1-$H244-Parâmetros!$B$6-Parâmetros!$C$6-Parâmetros!$D$6)))</f>
        <v>441.962962962963</v>
      </c>
      <c r="J244" s="38" t="n">
        <v>462.37</v>
      </c>
      <c r="K244" s="39" t="n">
        <f aca="false">IF(OR($A244="",NOT(ISNUMBER($D244)),NOT(ISNUMBER($H244))),"",IF(AND(ISNUMBER($J244),$J244&gt;0),$J244,IF(ISNUMBER($I244),$I244,"")))</f>
        <v>462.37</v>
      </c>
      <c r="L244" s="40" t="n">
        <f aca="false">IF(ISNUMBER($K244),$K244*$H244,"")</f>
        <v>60.1081</v>
      </c>
      <c r="M244" s="40" t="n">
        <f aca="false">IF(ISNUMBER($K244),$K244*Parâmetros!$B$6,"")</f>
        <v>46.237</v>
      </c>
      <c r="N244" s="40" t="n">
        <f aca="false">IF(ISNUMBER($K244),$K244*Parâmetros!$C$6,"")</f>
        <v>13.8711</v>
      </c>
      <c r="O244" s="40" t="n">
        <f aca="false">IF(ISNUMBER($K244),IF(ISNUMBER(Parâmetros!$E$6),Parâmetros!$E$6,0),"")</f>
        <v>0</v>
      </c>
      <c r="P244" s="41" t="n">
        <f aca="false">IF(ISNUMBER($K244),$K244-$D244-IF(ISNUMBER($E244),$E244,0)-$L244-$M244-$N244-$O244,"")</f>
        <v>103.4938</v>
      </c>
      <c r="Q244" s="42" t="n">
        <f aca="false">IF(AND(ISNUMBER($K244),$K244&gt;0),$P244/$K244,"")</f>
        <v>0.223833293682549</v>
      </c>
      <c r="R244" s="43"/>
      <c r="S244" s="44" t="str">
        <f aca="false">IF(OR(NOT(ISNUMBER($R244)),$R244=0,NOT(ISNUMBER($K244))),"",$K244*(1-$R244))</f>
        <v/>
      </c>
      <c r="T244" s="45" t="str">
        <f aca="false">IF(ISNUMBER($S244),$S244*$H244,"")</f>
        <v/>
      </c>
      <c r="U244" s="45" t="str">
        <f aca="false">IF(ISNUMBER($S244),$S244*Parâmetros!$B$6,"")</f>
        <v/>
      </c>
      <c r="V244" s="45" t="str">
        <f aca="false">IF(ISNUMBER($S244),$S244*Parâmetros!$C$6,"")</f>
        <v/>
      </c>
      <c r="W244" s="44" t="str">
        <f aca="false">IF(ISNUMBER($S244),$S244-$D244-IF(ISNUMBER($E244),$E244,0)-$O244-$T244-$U244-$V244,"")</f>
        <v/>
      </c>
      <c r="X244" s="46" t="str">
        <f aca="false">IF(AND(ISNUMBER($S244),$S244&gt;0),$W244/$S244,"")</f>
        <v/>
      </c>
      <c r="Y244" s="47" t="s">
        <v>737</v>
      </c>
      <c r="Z244" s="19" t="s">
        <v>748</v>
      </c>
    </row>
    <row r="245" customFormat="false" ht="15.75" hidden="false" customHeight="true" outlineLevel="0" collapsed="false">
      <c r="A245" s="48" t="str">
        <f aca="false">IF(Produtos!$A245="","",Produtos!$A245)</f>
        <v>SP-P</v>
      </c>
      <c r="B245" s="48" t="str">
        <f aca="false">IF(Produtos!$A245="","",Produtos!$B245)</f>
        <v>Coletor Cigarros SPACE PAREDE ø0,76x50 Aço Inox</v>
      </c>
      <c r="C245" s="48" t="str">
        <f aca="false">IF(Produtos!$A245="","",Produtos!$C245)</f>
        <v>Bituqueiras e cinzeiros</v>
      </c>
      <c r="D245" s="33" t="n">
        <f aca="false">IF(Produtos!$A245="","",IF(Produtos!$D245="","",Produtos!$D245))</f>
        <v>139.81</v>
      </c>
      <c r="E245" s="11" t="n">
        <v>0</v>
      </c>
      <c r="F245" s="34" t="n">
        <f aca="false">IF($A245="","",IF($C245="","⚠ categoria",IFERROR(INDEX(Parâmetros!$D$13:$D$22,MATCH($C245,Parâmetros!$A$13:$A$22,0)),"⚠ categoria")))</f>
        <v>0.13</v>
      </c>
      <c r="G245" s="35"/>
      <c r="H245" s="36" t="n">
        <f aca="false">IF($A245="","",IF(ISNUMBER($G245),$G245,IF(ISNUMBER($F245),$F245,"")))</f>
        <v>0.13</v>
      </c>
      <c r="I245" s="37" t="n">
        <f aca="false">IF(OR($A245="",NOT(ISNUMBER($D245)),NOT(ISNUMBER($H245))),"",IF((1-$H245-Parâmetros!$B$6-Parâmetros!$C$6-Parâmetros!$D$6)&lt;=0,"INVALIDO",($D245+IF(ISNUMBER($E245),$E245,0)+IF(ISNUMBER(Parâmetros!$E$6),Parâmetros!$E$6,0))/(1-$H245-Parâmetros!$B$6-Parâmetros!$C$6-Parâmetros!$D$6)))</f>
        <v>258.907407407407</v>
      </c>
      <c r="J245" s="38" t="n">
        <v>258.97</v>
      </c>
      <c r="K245" s="39" t="n">
        <f aca="false">IF(OR($A245="",NOT(ISNUMBER($D245)),NOT(ISNUMBER($H245))),"",IF(AND(ISNUMBER($J245),$J245&gt;0),$J245,IF(ISNUMBER($I245),$I245,"")))</f>
        <v>258.97</v>
      </c>
      <c r="L245" s="40" t="n">
        <f aca="false">IF(ISNUMBER($K245),$K245*$H245,"")</f>
        <v>33.6661</v>
      </c>
      <c r="M245" s="40" t="n">
        <f aca="false">IF(ISNUMBER($K245),$K245*Parâmetros!$B$6,"")</f>
        <v>25.897</v>
      </c>
      <c r="N245" s="40" t="n">
        <f aca="false">IF(ISNUMBER($K245),$K245*Parâmetros!$C$6,"")</f>
        <v>7.7691</v>
      </c>
      <c r="O245" s="40" t="n">
        <f aca="false">IF(ISNUMBER($K245),IF(ISNUMBER(Parâmetros!$E$6),Parâmetros!$E$6,0),"")</f>
        <v>0</v>
      </c>
      <c r="P245" s="41" t="n">
        <f aca="false">IF(ISNUMBER($K245),$K245-$D245-IF(ISNUMBER($E245),$E245,0)-$L245-$M245-$N245-$O245,"")</f>
        <v>51.8278</v>
      </c>
      <c r="Q245" s="42" t="n">
        <f aca="false">IF(AND(ISNUMBER($K245),$K245&gt;0),$P245/$K245,"")</f>
        <v>0.200130517048307</v>
      </c>
      <c r="R245" s="43"/>
      <c r="S245" s="44" t="str">
        <f aca="false">IF(OR(NOT(ISNUMBER($R245)),$R245=0,NOT(ISNUMBER($K245))),"",$K245*(1-$R245))</f>
        <v/>
      </c>
      <c r="T245" s="45" t="str">
        <f aca="false">IF(ISNUMBER($S245),$S245*$H245,"")</f>
        <v/>
      </c>
      <c r="U245" s="45" t="str">
        <f aca="false">IF(ISNUMBER($S245),$S245*Parâmetros!$B$6,"")</f>
        <v/>
      </c>
      <c r="V245" s="45" t="str">
        <f aca="false">IF(ISNUMBER($S245),$S245*Parâmetros!$C$6,"")</f>
        <v/>
      </c>
      <c r="W245" s="44" t="str">
        <f aca="false">IF(ISNUMBER($S245),$S245-$D245-IF(ISNUMBER($E245),$E245,0)-$O245-$T245-$U245-$V245,"")</f>
        <v/>
      </c>
      <c r="X245" s="46" t="str">
        <f aca="false">IF(AND(ISNUMBER($S245),$S245&gt;0),$W245/$S245,"")</f>
        <v/>
      </c>
      <c r="Y245" s="49" t="s">
        <v>737</v>
      </c>
      <c r="Z245" s="21" t="s">
        <v>747</v>
      </c>
    </row>
    <row r="246" customFormat="false" ht="15.75" hidden="false" customHeight="true" outlineLevel="0" collapsed="false">
      <c r="A246" s="32" t="str">
        <f aca="false">IF(Produtos!$A246="","",Produtos!$A246)</f>
        <v>SP-FT</v>
      </c>
      <c r="B246" s="32" t="str">
        <f aca="false">IF(Produtos!$A246="","",Produtos!$B246)</f>
        <v>Tampa Space Fixa</v>
      </c>
      <c r="C246" s="32" t="str">
        <f aca="false">IF(Produtos!$A246="","",Produtos!$C246)</f>
        <v>Bituqueiras e cinzeiros</v>
      </c>
      <c r="D246" s="33" t="n">
        <f aca="false">IF(Produtos!$A246="","",IF(Produtos!$D246="","",Produtos!$D246))</f>
        <v>75</v>
      </c>
      <c r="E246" s="11" t="n">
        <v>0</v>
      </c>
      <c r="F246" s="34" t="n">
        <f aca="false">IF($A246="","",IF($C246="","⚠ categoria",IFERROR(INDEX(Parâmetros!$D$13:$D$22,MATCH($C246,Parâmetros!$A$13:$A$22,0)),"⚠ categoria")))</f>
        <v>0.13</v>
      </c>
      <c r="G246" s="35"/>
      <c r="H246" s="36" t="n">
        <f aca="false">IF($A246="","",IF(ISNUMBER($G246),$G246,IF(ISNUMBER($F246),$F246,"")))</f>
        <v>0.13</v>
      </c>
      <c r="I246" s="37" t="n">
        <f aca="false">IF(OR($A246="",NOT(ISNUMBER($D246)),NOT(ISNUMBER($H246))),"",IF((1-$H246-Parâmetros!$B$6-Parâmetros!$C$6-Parâmetros!$D$6)&lt;=0,"INVALIDO",($D246+IF(ISNUMBER($E246),$E246,0)+IF(ISNUMBER(Parâmetros!$E$6),Parâmetros!$E$6,0))/(1-$H246-Parâmetros!$B$6-Parâmetros!$C$6-Parâmetros!$D$6)))</f>
        <v>138.888888888889</v>
      </c>
      <c r="J246" s="38"/>
      <c r="K246" s="39" t="n">
        <f aca="false">IF(OR($A246="",NOT(ISNUMBER($D246)),NOT(ISNUMBER($H246))),"",IF(AND(ISNUMBER($J246),$J246&gt;0),$J246,IF(ISNUMBER($I246),$I246,"")))</f>
        <v>138.888888888889</v>
      </c>
      <c r="L246" s="40" t="n">
        <f aca="false">IF(ISNUMBER($K246),$K246*$H246,"")</f>
        <v>18.0555555555556</v>
      </c>
      <c r="M246" s="40" t="n">
        <f aca="false">IF(ISNUMBER($K246),$K246*Parâmetros!$B$6,"")</f>
        <v>13.8888888888889</v>
      </c>
      <c r="N246" s="40" t="n">
        <f aca="false">IF(ISNUMBER($K246),$K246*Parâmetros!$C$6,"")</f>
        <v>4.16666666666667</v>
      </c>
      <c r="O246" s="40" t="n">
        <f aca="false">IF(ISNUMBER($K246),IF(ISNUMBER(Parâmetros!$E$6),Parâmetros!$E$6,0),"")</f>
        <v>0</v>
      </c>
      <c r="P246" s="41" t="n">
        <f aca="false">IF(ISNUMBER($K246),$K246-$D246-IF(ISNUMBER($E246),$E246,0)-$L246-$M246-$N246-$O246,"")</f>
        <v>27.7777777777778</v>
      </c>
      <c r="Q246" s="42" t="n">
        <f aca="false">IF(AND(ISNUMBER($K246),$K246&gt;0),$P246/$K246,"")</f>
        <v>0.2</v>
      </c>
      <c r="R246" s="43"/>
      <c r="S246" s="44" t="str">
        <f aca="false">IF(OR(NOT(ISNUMBER($R246)),$R246=0,NOT(ISNUMBER($K246))),"",$K246*(1-$R246))</f>
        <v/>
      </c>
      <c r="T246" s="45" t="str">
        <f aca="false">IF(ISNUMBER($S246),$S246*$H246,"")</f>
        <v/>
      </c>
      <c r="U246" s="45" t="str">
        <f aca="false">IF(ISNUMBER($S246),$S246*Parâmetros!$B$6,"")</f>
        <v/>
      </c>
      <c r="V246" s="45" t="str">
        <f aca="false">IF(ISNUMBER($S246),$S246*Parâmetros!$C$6,"")</f>
        <v/>
      </c>
      <c r="W246" s="44" t="str">
        <f aca="false">IF(ISNUMBER($S246),$S246-$D246-IF(ISNUMBER($E246),$E246,0)-$O246-$T246-$U246-$V246,"")</f>
        <v/>
      </c>
      <c r="X246" s="46" t="str">
        <f aca="false">IF(AND(ISNUMBER($S246),$S246&gt;0),$W246/$S246,"")</f>
        <v/>
      </c>
      <c r="Y246" s="47"/>
      <c r="Z246" s="19"/>
    </row>
    <row r="247" customFormat="false" ht="15.75" hidden="false" customHeight="true" outlineLevel="0" collapsed="false">
      <c r="A247" s="48" t="str">
        <f aca="false">IF(Produtos!$A247="","",Produtos!$A247)</f>
        <v>L2450-CZ</v>
      </c>
      <c r="B247" s="48" t="str">
        <f aca="false">IF(Produtos!$A247="","",Produtos!$B247)</f>
        <v>Lixeira Cinzeiro Aço Inox 24x50 25L</v>
      </c>
      <c r="C247" s="48" t="str">
        <f aca="false">IF(Produtos!$A247="","",Produtos!$C247)</f>
        <v>Bituqueiras e cinzeiros</v>
      </c>
      <c r="D247" s="33" t="n">
        <f aca="false">IF(Produtos!$A247="","",IF(Produtos!$D247="","",Produtos!$D247))</f>
        <v>156</v>
      </c>
      <c r="E247" s="11" t="n">
        <v>0</v>
      </c>
      <c r="F247" s="34" t="n">
        <f aca="false">IF($A247="","",IF($C247="","⚠ categoria",IFERROR(INDEX(Parâmetros!$D$13:$D$22,MATCH($C247,Parâmetros!$A$13:$A$22,0)),"⚠ categoria")))</f>
        <v>0.13</v>
      </c>
      <c r="G247" s="35"/>
      <c r="H247" s="36" t="n">
        <f aca="false">IF($A247="","",IF(ISNUMBER($G247),$G247,IF(ISNUMBER($F247),$F247,"")))</f>
        <v>0.13</v>
      </c>
      <c r="I247" s="37" t="n">
        <f aca="false">IF(OR($A247="",NOT(ISNUMBER($D247)),NOT(ISNUMBER($H247))),"",IF((1-$H247-Parâmetros!$B$6-Parâmetros!$C$6-Parâmetros!$D$6)&lt;=0,"INVALIDO",($D247+IF(ISNUMBER($E247),$E247,0)+IF(ISNUMBER(Parâmetros!$E$6),Parâmetros!$E$6,0))/(1-$H247-Parâmetros!$B$6-Parâmetros!$C$6-Parâmetros!$D$6)))</f>
        <v>288.888888888889</v>
      </c>
      <c r="J247" s="38" t="n">
        <v>319.58</v>
      </c>
      <c r="K247" s="39" t="n">
        <f aca="false">IF(OR($A247="",NOT(ISNUMBER($D247)),NOT(ISNUMBER($H247))),"",IF(AND(ISNUMBER($J247),$J247&gt;0),$J247,IF(ISNUMBER($I247),$I247,"")))</f>
        <v>319.58</v>
      </c>
      <c r="L247" s="40" t="n">
        <f aca="false">IF(ISNUMBER($K247),$K247*$H247,"")</f>
        <v>41.5454</v>
      </c>
      <c r="M247" s="40" t="n">
        <f aca="false">IF(ISNUMBER($K247),$K247*Parâmetros!$B$6,"")</f>
        <v>31.958</v>
      </c>
      <c r="N247" s="40" t="n">
        <f aca="false">IF(ISNUMBER($K247),$K247*Parâmetros!$C$6,"")</f>
        <v>9.5874</v>
      </c>
      <c r="O247" s="40" t="n">
        <f aca="false">IF(ISNUMBER($K247),IF(ISNUMBER(Parâmetros!$E$6),Parâmetros!$E$6,0),"")</f>
        <v>0</v>
      </c>
      <c r="P247" s="41" t="n">
        <f aca="false">IF(ISNUMBER($K247),$K247-$D247-IF(ISNUMBER($E247),$E247,0)-$L247-$M247-$N247-$O247,"")</f>
        <v>80.4892</v>
      </c>
      <c r="Q247" s="42" t="n">
        <f aca="false">IF(AND(ISNUMBER($K247),$K247&gt;0),$P247/$K247,"")</f>
        <v>0.251859315351399</v>
      </c>
      <c r="R247" s="43"/>
      <c r="S247" s="44" t="str">
        <f aca="false">IF(OR(NOT(ISNUMBER($R247)),$R247=0,NOT(ISNUMBER($K247))),"",$K247*(1-$R247))</f>
        <v/>
      </c>
      <c r="T247" s="45" t="str">
        <f aca="false">IF(ISNUMBER($S247),$S247*$H247,"")</f>
        <v/>
      </c>
      <c r="U247" s="45" t="str">
        <f aca="false">IF(ISNUMBER($S247),$S247*Parâmetros!$B$6,"")</f>
        <v/>
      </c>
      <c r="V247" s="45" t="str">
        <f aca="false">IF(ISNUMBER($S247),$S247*Parâmetros!$C$6,"")</f>
        <v/>
      </c>
      <c r="W247" s="44" t="str">
        <f aca="false">IF(ISNUMBER($S247),$S247-$D247-IF(ISNUMBER($E247),$E247,0)-$O247-$T247-$U247-$V247,"")</f>
        <v/>
      </c>
      <c r="X247" s="46" t="str">
        <f aca="false">IF(AND(ISNUMBER($S247),$S247&gt;0),$W247/$S247,"")</f>
        <v/>
      </c>
      <c r="Y247" s="49" t="s">
        <v>737</v>
      </c>
      <c r="Z247" s="21" t="s">
        <v>747</v>
      </c>
    </row>
    <row r="248" customFormat="false" ht="15.75" hidden="false" customHeight="true" outlineLevel="0" collapsed="false">
      <c r="A248" s="32" t="str">
        <f aca="false">IF(Produtos!$A248="","",Produtos!$A248)</f>
        <v>L2460-CZ</v>
      </c>
      <c r="B248" s="32" t="str">
        <f aca="false">IF(Produtos!$A248="","",Produtos!$B248)</f>
        <v>Lixeira Cinzeiro Aço Inox 24x60 27L</v>
      </c>
      <c r="C248" s="32" t="str">
        <f aca="false">IF(Produtos!$A248="","",Produtos!$C248)</f>
        <v>Bituqueiras e cinzeiros</v>
      </c>
      <c r="D248" s="33" t="n">
        <f aca="false">IF(Produtos!$A248="","",IF(Produtos!$D248="","",Produtos!$D248))</f>
        <v>159</v>
      </c>
      <c r="E248" s="11" t="n">
        <v>0</v>
      </c>
      <c r="F248" s="34" t="n">
        <f aca="false">IF($A248="","",IF($C248="","⚠ categoria",IFERROR(INDEX(Parâmetros!$D$13:$D$22,MATCH($C248,Parâmetros!$A$13:$A$22,0)),"⚠ categoria")))</f>
        <v>0.13</v>
      </c>
      <c r="G248" s="35"/>
      <c r="H248" s="36" t="n">
        <f aca="false">IF($A248="","",IF(ISNUMBER($G248),$G248,IF(ISNUMBER($F248),$F248,"")))</f>
        <v>0.13</v>
      </c>
      <c r="I248" s="37" t="n">
        <f aca="false">IF(OR($A248="",NOT(ISNUMBER($D248)),NOT(ISNUMBER($H248))),"",IF((1-$H248-Parâmetros!$B$6-Parâmetros!$C$6-Parâmetros!$D$6)&lt;=0,"INVALIDO",($D248+IF(ISNUMBER($E248),$E248,0)+IF(ISNUMBER(Parâmetros!$E$6),Parâmetros!$E$6,0))/(1-$H248-Parâmetros!$B$6-Parâmetros!$C$6-Parâmetros!$D$6)))</f>
        <v>294.444444444444</v>
      </c>
      <c r="J248" s="38" t="n">
        <v>318.56</v>
      </c>
      <c r="K248" s="39" t="n">
        <f aca="false">IF(OR($A248="",NOT(ISNUMBER($D248)),NOT(ISNUMBER($H248))),"",IF(AND(ISNUMBER($J248),$J248&gt;0),$J248,IF(ISNUMBER($I248),$I248,"")))</f>
        <v>318.56</v>
      </c>
      <c r="L248" s="40" t="n">
        <f aca="false">IF(ISNUMBER($K248),$K248*$H248,"")</f>
        <v>41.4128</v>
      </c>
      <c r="M248" s="40" t="n">
        <f aca="false">IF(ISNUMBER($K248),$K248*Parâmetros!$B$6,"")</f>
        <v>31.856</v>
      </c>
      <c r="N248" s="40" t="n">
        <f aca="false">IF(ISNUMBER($K248),$K248*Parâmetros!$C$6,"")</f>
        <v>9.5568</v>
      </c>
      <c r="O248" s="40" t="n">
        <f aca="false">IF(ISNUMBER($K248),IF(ISNUMBER(Parâmetros!$E$6),Parâmetros!$E$6,0),"")</f>
        <v>0</v>
      </c>
      <c r="P248" s="41" t="n">
        <f aca="false">IF(ISNUMBER($K248),$K248-$D248-IF(ISNUMBER($E248),$E248,0)-$L248-$M248-$N248-$O248,"")</f>
        <v>76.7344</v>
      </c>
      <c r="Q248" s="42" t="n">
        <f aca="false">IF(AND(ISNUMBER($K248),$K248&gt;0),$P248/$K248,"")</f>
        <v>0.240878955298845</v>
      </c>
      <c r="R248" s="43"/>
      <c r="S248" s="44" t="str">
        <f aca="false">IF(OR(NOT(ISNUMBER($R248)),$R248=0,NOT(ISNUMBER($K248))),"",$K248*(1-$R248))</f>
        <v/>
      </c>
      <c r="T248" s="45" t="str">
        <f aca="false">IF(ISNUMBER($S248),$S248*$H248,"")</f>
        <v/>
      </c>
      <c r="U248" s="45" t="str">
        <f aca="false">IF(ISNUMBER($S248),$S248*Parâmetros!$B$6,"")</f>
        <v/>
      </c>
      <c r="V248" s="45" t="str">
        <f aca="false">IF(ISNUMBER($S248),$S248*Parâmetros!$C$6,"")</f>
        <v/>
      </c>
      <c r="W248" s="44" t="str">
        <f aca="false">IF(ISNUMBER($S248),$S248-$D248-IF(ISNUMBER($E248),$E248,0)-$O248-$T248-$U248-$V248,"")</f>
        <v/>
      </c>
      <c r="X248" s="46" t="str">
        <f aca="false">IF(AND(ISNUMBER($S248),$S248&gt;0),$W248/$S248,"")</f>
        <v/>
      </c>
      <c r="Y248" s="47" t="s">
        <v>737</v>
      </c>
      <c r="Z248" s="19" t="s">
        <v>748</v>
      </c>
    </row>
    <row r="249" customFormat="false" ht="15.75" hidden="false" customHeight="true" outlineLevel="0" collapsed="false">
      <c r="A249" s="48" t="str">
        <f aca="false">IF(Produtos!$A249="","",Produtos!$A249)</f>
        <v>L2470-CZ</v>
      </c>
      <c r="B249" s="48" t="str">
        <f aca="false">IF(Produtos!$A249="","",Produtos!$B249)</f>
        <v>Lixeira Cinzeiro Aço Inox 24x70 30L</v>
      </c>
      <c r="C249" s="48" t="str">
        <f aca="false">IF(Produtos!$A249="","",Produtos!$C249)</f>
        <v>Bituqueiras e cinzeiros</v>
      </c>
      <c r="D249" s="33" t="n">
        <f aca="false">IF(Produtos!$A249="","",IF(Produtos!$D249="","",Produtos!$D249))</f>
        <v>164.3</v>
      </c>
      <c r="E249" s="11" t="n">
        <v>0</v>
      </c>
      <c r="F249" s="34" t="n">
        <f aca="false">IF($A249="","",IF($C249="","⚠ categoria",IFERROR(INDEX(Parâmetros!$D$13:$D$22,MATCH($C249,Parâmetros!$A$13:$A$22,0)),"⚠ categoria")))</f>
        <v>0.13</v>
      </c>
      <c r="G249" s="35"/>
      <c r="H249" s="36" t="n">
        <f aca="false">IF($A249="","",IF(ISNUMBER($G249),$G249,IF(ISNUMBER($F249),$F249,"")))</f>
        <v>0.13</v>
      </c>
      <c r="I249" s="37" t="n">
        <f aca="false">IF(OR($A249="",NOT(ISNUMBER($D249)),NOT(ISNUMBER($H249))),"",IF((1-$H249-Parâmetros!$B$6-Parâmetros!$C$6-Parâmetros!$D$6)&lt;=0,"INVALIDO",($D249+IF(ISNUMBER($E249),$E249,0)+IF(ISNUMBER(Parâmetros!$E$6),Parâmetros!$E$6,0))/(1-$H249-Parâmetros!$B$6-Parâmetros!$C$6-Parâmetros!$D$6)))</f>
        <v>304.259259259259</v>
      </c>
      <c r="J249" s="38" t="n">
        <v>356.3</v>
      </c>
      <c r="K249" s="39" t="n">
        <f aca="false">IF(OR($A249="",NOT(ISNUMBER($D249)),NOT(ISNUMBER($H249))),"",IF(AND(ISNUMBER($J249),$J249&gt;0),$J249,IF(ISNUMBER($I249),$I249,"")))</f>
        <v>356.3</v>
      </c>
      <c r="L249" s="40" t="n">
        <f aca="false">IF(ISNUMBER($K249),$K249*$H249,"")</f>
        <v>46.319</v>
      </c>
      <c r="M249" s="40" t="n">
        <f aca="false">IF(ISNUMBER($K249),$K249*Parâmetros!$B$6,"")</f>
        <v>35.63</v>
      </c>
      <c r="N249" s="40" t="n">
        <f aca="false">IF(ISNUMBER($K249),$K249*Parâmetros!$C$6,"")</f>
        <v>10.689</v>
      </c>
      <c r="O249" s="40" t="n">
        <f aca="false">IF(ISNUMBER($K249),IF(ISNUMBER(Parâmetros!$E$6),Parâmetros!$E$6,0),"")</f>
        <v>0</v>
      </c>
      <c r="P249" s="41" t="n">
        <f aca="false">IF(ISNUMBER($K249),$K249-$D249-IF(ISNUMBER($E249),$E249,0)-$L249-$M249-$N249-$O249,"")</f>
        <v>99.362</v>
      </c>
      <c r="Q249" s="42" t="n">
        <f aca="false">IF(AND(ISNUMBER($K249),$K249&gt;0),$P249/$K249,"")</f>
        <v>0.278871737300028</v>
      </c>
      <c r="R249" s="43"/>
      <c r="S249" s="44" t="str">
        <f aca="false">IF(OR(NOT(ISNUMBER($R249)),$R249=0,NOT(ISNUMBER($K249))),"",$K249*(1-$R249))</f>
        <v/>
      </c>
      <c r="T249" s="45" t="str">
        <f aca="false">IF(ISNUMBER($S249),$S249*$H249,"")</f>
        <v/>
      </c>
      <c r="U249" s="45" t="str">
        <f aca="false">IF(ISNUMBER($S249),$S249*Parâmetros!$B$6,"")</f>
        <v/>
      </c>
      <c r="V249" s="45" t="str">
        <f aca="false">IF(ISNUMBER($S249),$S249*Parâmetros!$C$6,"")</f>
        <v/>
      </c>
      <c r="W249" s="44" t="str">
        <f aca="false">IF(ISNUMBER($S249),$S249-$D249-IF(ISNUMBER($E249),$E249,0)-$O249-$T249-$U249-$V249,"")</f>
        <v/>
      </c>
      <c r="X249" s="46" t="str">
        <f aca="false">IF(AND(ISNUMBER($S249),$S249&gt;0),$W249/$S249,"")</f>
        <v/>
      </c>
      <c r="Y249" s="49" t="s">
        <v>737</v>
      </c>
      <c r="Z249" s="21" t="s">
        <v>748</v>
      </c>
    </row>
    <row r="250" customFormat="false" ht="15.75" hidden="false" customHeight="true" outlineLevel="0" collapsed="false">
      <c r="A250" s="32" t="str">
        <f aca="false">IF(Produtos!$A250="","",Produtos!$A250)</f>
        <v>L4045-P</v>
      </c>
      <c r="B250" s="32" t="str">
        <f aca="false">IF(Produtos!$A250="","",Produtos!$B250)</f>
        <v>Lixeira de Parede c/Aro 40x19x45 20L</v>
      </c>
      <c r="C250" s="32" t="str">
        <f aca="false">IF(Produtos!$A250="","",Produtos!$C250)</f>
        <v>Lixeiras em inox</v>
      </c>
      <c r="D250" s="33" t="n">
        <f aca="false">IF(Produtos!$A250="","",IF(Produtos!$D250="","",Produtos!$D250))</f>
        <v>277.43</v>
      </c>
      <c r="E250" s="11" t="n">
        <v>0</v>
      </c>
      <c r="F250" s="34" t="n">
        <f aca="false">IF($A250="","",IF($C250="","⚠ categoria",IFERROR(INDEX(Parâmetros!$D$13:$D$22,MATCH($C250,Parâmetros!$A$13:$A$22,0)),"⚠ categoria")))</f>
        <v>0.13</v>
      </c>
      <c r="G250" s="35"/>
      <c r="H250" s="36" t="n">
        <f aca="false">IF($A250="","",IF(ISNUMBER($G250),$G250,IF(ISNUMBER($F250),$F250,"")))</f>
        <v>0.13</v>
      </c>
      <c r="I250" s="37" t="n">
        <f aca="false">IF(OR($A250="",NOT(ISNUMBER($D250)),NOT(ISNUMBER($H250))),"",IF((1-$H250-Parâmetros!$B$6-Parâmetros!$C$6-Parâmetros!$D$6)&lt;=0,"INVALIDO",($D250+IF(ISNUMBER($E250),$E250,0)+IF(ISNUMBER(Parâmetros!$E$6),Parâmetros!$E$6,0))/(1-$H250-Parâmetros!$B$6-Parâmetros!$C$6-Parâmetros!$D$6)))</f>
        <v>513.759259259259</v>
      </c>
      <c r="J250" s="38"/>
      <c r="K250" s="39" t="n">
        <f aca="false">IF(OR($A250="",NOT(ISNUMBER($D250)),NOT(ISNUMBER($H250))),"",IF(AND(ISNUMBER($J250),$J250&gt;0),$J250,IF(ISNUMBER($I250),$I250,"")))</f>
        <v>513.759259259259</v>
      </c>
      <c r="L250" s="40" t="n">
        <f aca="false">IF(ISNUMBER($K250),$K250*$H250,"")</f>
        <v>66.7887037037037</v>
      </c>
      <c r="M250" s="40" t="n">
        <f aca="false">IF(ISNUMBER($K250),$K250*Parâmetros!$B$6,"")</f>
        <v>51.3759259259259</v>
      </c>
      <c r="N250" s="40" t="n">
        <f aca="false">IF(ISNUMBER($K250),$K250*Parâmetros!$C$6,"")</f>
        <v>15.4127777777778</v>
      </c>
      <c r="O250" s="40" t="n">
        <f aca="false">IF(ISNUMBER($K250),IF(ISNUMBER(Parâmetros!$E$6),Parâmetros!$E$6,0),"")</f>
        <v>0</v>
      </c>
      <c r="P250" s="41" t="n">
        <f aca="false">IF(ISNUMBER($K250),$K250-$D250-IF(ISNUMBER($E250),$E250,0)-$L250-$M250-$N250-$O250,"")</f>
        <v>102.751851851852</v>
      </c>
      <c r="Q250" s="42" t="n">
        <f aca="false">IF(AND(ISNUMBER($K250),$K250&gt;0),$P250/$K250,"")</f>
        <v>0.2</v>
      </c>
      <c r="R250" s="43"/>
      <c r="S250" s="44" t="str">
        <f aca="false">IF(OR(NOT(ISNUMBER($R250)),$R250=0,NOT(ISNUMBER($K250))),"",$K250*(1-$R250))</f>
        <v/>
      </c>
      <c r="T250" s="45" t="str">
        <f aca="false">IF(ISNUMBER($S250),$S250*$H250,"")</f>
        <v/>
      </c>
      <c r="U250" s="45" t="str">
        <f aca="false">IF(ISNUMBER($S250),$S250*Parâmetros!$B$6,"")</f>
        <v/>
      </c>
      <c r="V250" s="45" t="str">
        <f aca="false">IF(ISNUMBER($S250),$S250*Parâmetros!$C$6,"")</f>
        <v/>
      </c>
      <c r="W250" s="44" t="str">
        <f aca="false">IF(ISNUMBER($S250),$S250-$D250-IF(ISNUMBER($E250),$E250,0)-$O250-$T250-$U250-$V250,"")</f>
        <v/>
      </c>
      <c r="X250" s="46" t="str">
        <f aca="false">IF(AND(ISNUMBER($S250),$S250&gt;0),$W250/$S250,"")</f>
        <v/>
      </c>
      <c r="Y250" s="47"/>
      <c r="Z250" s="19"/>
    </row>
    <row r="251" customFormat="false" ht="15.75" hidden="false" customHeight="true" outlineLevel="0" collapsed="false">
      <c r="A251" s="48" t="str">
        <f aca="false">IF(Produtos!$A251="","",Produtos!$A251)</f>
        <v>L4055-P</v>
      </c>
      <c r="B251" s="48" t="str">
        <f aca="false">IF(Produtos!$A251="","",Produtos!$B251)</f>
        <v>Lixeira de Parede c/Aro 40x19x55 25L</v>
      </c>
      <c r="C251" s="48" t="str">
        <f aca="false">IF(Produtos!$A251="","",Produtos!$C251)</f>
        <v>Lixeiras em inox</v>
      </c>
      <c r="D251" s="33" t="n">
        <f aca="false">IF(Produtos!$A251="","",IF(Produtos!$D251="","",Produtos!$D251))</f>
        <v>288.65</v>
      </c>
      <c r="E251" s="11" t="n">
        <v>0</v>
      </c>
      <c r="F251" s="34" t="n">
        <f aca="false">IF($A251="","",IF($C251="","⚠ categoria",IFERROR(INDEX(Parâmetros!$D$13:$D$22,MATCH($C251,Parâmetros!$A$13:$A$22,0)),"⚠ categoria")))</f>
        <v>0.13</v>
      </c>
      <c r="G251" s="35"/>
      <c r="H251" s="36" t="n">
        <f aca="false">IF($A251="","",IF(ISNUMBER($G251),$G251,IF(ISNUMBER($F251),$F251,"")))</f>
        <v>0.13</v>
      </c>
      <c r="I251" s="37" t="n">
        <f aca="false">IF(OR($A251="",NOT(ISNUMBER($D251)),NOT(ISNUMBER($H251))),"",IF((1-$H251-Parâmetros!$B$6-Parâmetros!$C$6-Parâmetros!$D$6)&lt;=0,"INVALIDO",($D251+IF(ISNUMBER($E251),$E251,0)+IF(ISNUMBER(Parâmetros!$E$6),Parâmetros!$E$6,0))/(1-$H251-Parâmetros!$B$6-Parâmetros!$C$6-Parâmetros!$D$6)))</f>
        <v>534.537037037037</v>
      </c>
      <c r="J251" s="38"/>
      <c r="K251" s="39" t="n">
        <f aca="false">IF(OR($A251="",NOT(ISNUMBER($D251)),NOT(ISNUMBER($H251))),"",IF(AND(ISNUMBER($J251),$J251&gt;0),$J251,IF(ISNUMBER($I251),$I251,"")))</f>
        <v>534.537037037037</v>
      </c>
      <c r="L251" s="40" t="n">
        <f aca="false">IF(ISNUMBER($K251),$K251*$H251,"")</f>
        <v>69.4898148148148</v>
      </c>
      <c r="M251" s="40" t="n">
        <f aca="false">IF(ISNUMBER($K251),$K251*Parâmetros!$B$6,"")</f>
        <v>53.4537037037037</v>
      </c>
      <c r="N251" s="40" t="n">
        <f aca="false">IF(ISNUMBER($K251),$K251*Parâmetros!$C$6,"")</f>
        <v>16.0361111111111</v>
      </c>
      <c r="O251" s="40" t="n">
        <f aca="false">IF(ISNUMBER($K251),IF(ISNUMBER(Parâmetros!$E$6),Parâmetros!$E$6,0),"")</f>
        <v>0</v>
      </c>
      <c r="P251" s="41" t="n">
        <f aca="false">IF(ISNUMBER($K251),$K251-$D251-IF(ISNUMBER($E251),$E251,0)-$L251-$M251-$N251-$O251,"")</f>
        <v>106.907407407407</v>
      </c>
      <c r="Q251" s="42" t="n">
        <f aca="false">IF(AND(ISNUMBER($K251),$K251&gt;0),$P251/$K251,"")</f>
        <v>0.2</v>
      </c>
      <c r="R251" s="43"/>
      <c r="S251" s="44" t="str">
        <f aca="false">IF(OR(NOT(ISNUMBER($R251)),$R251=0,NOT(ISNUMBER($K251))),"",$K251*(1-$R251))</f>
        <v/>
      </c>
      <c r="T251" s="45" t="str">
        <f aca="false">IF(ISNUMBER($S251),$S251*$H251,"")</f>
        <v/>
      </c>
      <c r="U251" s="45" t="str">
        <f aca="false">IF(ISNUMBER($S251),$S251*Parâmetros!$B$6,"")</f>
        <v/>
      </c>
      <c r="V251" s="45" t="str">
        <f aca="false">IF(ISNUMBER($S251),$S251*Parâmetros!$C$6,"")</f>
        <v/>
      </c>
      <c r="W251" s="44" t="str">
        <f aca="false">IF(ISNUMBER($S251),$S251-$D251-IF(ISNUMBER($E251),$E251,0)-$O251-$T251-$U251-$V251,"")</f>
        <v/>
      </c>
      <c r="X251" s="46" t="str">
        <f aca="false">IF(AND(ISNUMBER($S251),$S251&gt;0),$W251/$S251,"")</f>
        <v/>
      </c>
      <c r="Y251" s="49"/>
      <c r="Z251" s="21"/>
    </row>
    <row r="252" customFormat="false" ht="15.75" hidden="false" customHeight="true" outlineLevel="0" collapsed="false">
      <c r="A252" s="32" t="str">
        <f aca="false">IF(Produtos!$A252="","",Produtos!$A252)</f>
        <v>L4060-P</v>
      </c>
      <c r="B252" s="32" t="str">
        <f aca="false">IF(Produtos!$A252="","",Produtos!$B252)</f>
        <v>Lixeira de Parede c/Aro 40x19x60 30L</v>
      </c>
      <c r="C252" s="32" t="str">
        <f aca="false">IF(Produtos!$A252="","",Produtos!$C252)</f>
        <v>Lixeiras em inox</v>
      </c>
      <c r="D252" s="33" t="n">
        <f aca="false">IF(Produtos!$A252="","",IF(Produtos!$D252="","",Produtos!$D252))</f>
        <v>297.96</v>
      </c>
      <c r="E252" s="11" t="n">
        <v>0</v>
      </c>
      <c r="F252" s="34" t="n">
        <f aca="false">IF($A252="","",IF($C252="","⚠ categoria",IFERROR(INDEX(Parâmetros!$D$13:$D$22,MATCH($C252,Parâmetros!$A$13:$A$22,0)),"⚠ categoria")))</f>
        <v>0.13</v>
      </c>
      <c r="G252" s="35"/>
      <c r="H252" s="36" t="n">
        <f aca="false">IF($A252="","",IF(ISNUMBER($G252),$G252,IF(ISNUMBER($F252),$F252,"")))</f>
        <v>0.13</v>
      </c>
      <c r="I252" s="37" t="n">
        <f aca="false">IF(OR($A252="",NOT(ISNUMBER($D252)),NOT(ISNUMBER($H252))),"",IF((1-$H252-Parâmetros!$B$6-Parâmetros!$C$6-Parâmetros!$D$6)&lt;=0,"INVALIDO",($D252+IF(ISNUMBER($E252),$E252,0)+IF(ISNUMBER(Parâmetros!$E$6),Parâmetros!$E$6,0))/(1-$H252-Parâmetros!$B$6-Parâmetros!$C$6-Parâmetros!$D$6)))</f>
        <v>551.777777777778</v>
      </c>
      <c r="J252" s="38"/>
      <c r="K252" s="39" t="n">
        <f aca="false">IF(OR($A252="",NOT(ISNUMBER($D252)),NOT(ISNUMBER($H252))),"",IF(AND(ISNUMBER($J252),$J252&gt;0),$J252,IF(ISNUMBER($I252),$I252,"")))</f>
        <v>551.777777777778</v>
      </c>
      <c r="L252" s="40" t="n">
        <f aca="false">IF(ISNUMBER($K252),$K252*$H252,"")</f>
        <v>71.7311111111111</v>
      </c>
      <c r="M252" s="40" t="n">
        <f aca="false">IF(ISNUMBER($K252),$K252*Parâmetros!$B$6,"")</f>
        <v>55.1777777777778</v>
      </c>
      <c r="N252" s="40" t="n">
        <f aca="false">IF(ISNUMBER($K252),$K252*Parâmetros!$C$6,"")</f>
        <v>16.5533333333333</v>
      </c>
      <c r="O252" s="40" t="n">
        <f aca="false">IF(ISNUMBER($K252),IF(ISNUMBER(Parâmetros!$E$6),Parâmetros!$E$6,0),"")</f>
        <v>0</v>
      </c>
      <c r="P252" s="41" t="n">
        <f aca="false">IF(ISNUMBER($K252),$K252-$D252-IF(ISNUMBER($E252),$E252,0)-$L252-$M252-$N252-$O252,"")</f>
        <v>110.355555555556</v>
      </c>
      <c r="Q252" s="42" t="n">
        <f aca="false">IF(AND(ISNUMBER($K252),$K252&gt;0),$P252/$K252,"")</f>
        <v>0.2</v>
      </c>
      <c r="R252" s="43"/>
      <c r="S252" s="44" t="str">
        <f aca="false">IF(OR(NOT(ISNUMBER($R252)),$R252=0,NOT(ISNUMBER($K252))),"",$K252*(1-$R252))</f>
        <v/>
      </c>
      <c r="T252" s="45" t="str">
        <f aca="false">IF(ISNUMBER($S252),$S252*$H252,"")</f>
        <v/>
      </c>
      <c r="U252" s="45" t="str">
        <f aca="false">IF(ISNUMBER($S252),$S252*Parâmetros!$B$6,"")</f>
        <v/>
      </c>
      <c r="V252" s="45" t="str">
        <f aca="false">IF(ISNUMBER($S252),$S252*Parâmetros!$C$6,"")</f>
        <v/>
      </c>
      <c r="W252" s="44" t="str">
        <f aca="false">IF(ISNUMBER($S252),$S252-$D252-IF(ISNUMBER($E252),$E252,0)-$O252-$T252-$U252-$V252,"")</f>
        <v/>
      </c>
      <c r="X252" s="46" t="str">
        <f aca="false">IF(AND(ISNUMBER($S252),$S252&gt;0),$W252/$S252,"")</f>
        <v/>
      </c>
      <c r="Y252" s="47"/>
      <c r="Z252" s="19"/>
    </row>
    <row r="253" customFormat="false" ht="15.75" hidden="false" customHeight="true" outlineLevel="0" collapsed="false">
      <c r="A253" s="48" t="str">
        <f aca="false">IF(Produtos!$A253="","",Produtos!$A253)</f>
        <v>L4065-P</v>
      </c>
      <c r="B253" s="48" t="str">
        <f aca="false">IF(Produtos!$A253="","",Produtos!$B253)</f>
        <v>Lixeira de Parede c/Aro 40x19x65 35L</v>
      </c>
      <c r="C253" s="48" t="str">
        <f aca="false">IF(Produtos!$A253="","",Produtos!$C253)</f>
        <v>Lixeiras em inox</v>
      </c>
      <c r="D253" s="33" t="n">
        <f aca="false">IF(Produtos!$A253="","",IF(Produtos!$D253="","",Produtos!$D253))</f>
        <v>388.44</v>
      </c>
      <c r="E253" s="11" t="n">
        <v>0</v>
      </c>
      <c r="F253" s="34" t="n">
        <f aca="false">IF($A253="","",IF($C253="","⚠ categoria",IFERROR(INDEX(Parâmetros!$D$13:$D$22,MATCH($C253,Parâmetros!$A$13:$A$22,0)),"⚠ categoria")))</f>
        <v>0.13</v>
      </c>
      <c r="G253" s="35"/>
      <c r="H253" s="36" t="n">
        <f aca="false">IF($A253="","",IF(ISNUMBER($G253),$G253,IF(ISNUMBER($F253),$F253,"")))</f>
        <v>0.13</v>
      </c>
      <c r="I253" s="37" t="n">
        <f aca="false">IF(OR($A253="",NOT(ISNUMBER($D253)),NOT(ISNUMBER($H253))),"",IF((1-$H253-Parâmetros!$B$6-Parâmetros!$C$6-Parâmetros!$D$6)&lt;=0,"INVALIDO",($D253+IF(ISNUMBER($E253),$E253,0)+IF(ISNUMBER(Parâmetros!$E$6),Parâmetros!$E$6,0))/(1-$H253-Parâmetros!$B$6-Parâmetros!$C$6-Parâmetros!$D$6)))</f>
        <v>719.333333333333</v>
      </c>
      <c r="J253" s="38"/>
      <c r="K253" s="39" t="n">
        <f aca="false">IF(OR($A253="",NOT(ISNUMBER($D253)),NOT(ISNUMBER($H253))),"",IF(AND(ISNUMBER($J253),$J253&gt;0),$J253,IF(ISNUMBER($I253),$I253,"")))</f>
        <v>719.333333333333</v>
      </c>
      <c r="L253" s="40" t="n">
        <f aca="false">IF(ISNUMBER($K253),$K253*$H253,"")</f>
        <v>93.5133333333333</v>
      </c>
      <c r="M253" s="40" t="n">
        <f aca="false">IF(ISNUMBER($K253),$K253*Parâmetros!$B$6,"")</f>
        <v>71.9333333333333</v>
      </c>
      <c r="N253" s="40" t="n">
        <f aca="false">IF(ISNUMBER($K253),$K253*Parâmetros!$C$6,"")</f>
        <v>21.58</v>
      </c>
      <c r="O253" s="40" t="n">
        <f aca="false">IF(ISNUMBER($K253),IF(ISNUMBER(Parâmetros!$E$6),Parâmetros!$E$6,0),"")</f>
        <v>0</v>
      </c>
      <c r="P253" s="41" t="n">
        <f aca="false">IF(ISNUMBER($K253),$K253-$D253-IF(ISNUMBER($E253),$E253,0)-$L253-$M253-$N253-$O253,"")</f>
        <v>143.866666666667</v>
      </c>
      <c r="Q253" s="42" t="n">
        <f aca="false">IF(AND(ISNUMBER($K253),$K253&gt;0),$P253/$K253,"")</f>
        <v>0.2</v>
      </c>
      <c r="R253" s="43"/>
      <c r="S253" s="44" t="str">
        <f aca="false">IF(OR(NOT(ISNUMBER($R253)),$R253=0,NOT(ISNUMBER($K253))),"",$K253*(1-$R253))</f>
        <v/>
      </c>
      <c r="T253" s="45" t="str">
        <f aca="false">IF(ISNUMBER($S253),$S253*$H253,"")</f>
        <v/>
      </c>
      <c r="U253" s="45" t="str">
        <f aca="false">IF(ISNUMBER($S253),$S253*Parâmetros!$B$6,"")</f>
        <v/>
      </c>
      <c r="V253" s="45" t="str">
        <f aca="false">IF(ISNUMBER($S253),$S253*Parâmetros!$C$6,"")</f>
        <v/>
      </c>
      <c r="W253" s="44" t="str">
        <f aca="false">IF(ISNUMBER($S253),$S253-$D253-IF(ISNUMBER($E253),$E253,0)-$O253-$T253-$U253-$V253,"")</f>
        <v/>
      </c>
      <c r="X253" s="46" t="str">
        <f aca="false">IF(AND(ISNUMBER($S253),$S253&gt;0),$W253/$S253,"")</f>
        <v/>
      </c>
      <c r="Y253" s="49"/>
      <c r="Z253" s="21"/>
    </row>
    <row r="254" customFormat="false" ht="15.75" hidden="false" customHeight="true" outlineLevel="0" collapsed="false">
      <c r="A254" s="32" t="str">
        <f aca="false">IF(Produtos!$A254="","",Produtos!$A254)</f>
        <v>L4070-P</v>
      </c>
      <c r="B254" s="32" t="str">
        <f aca="false">IF(Produtos!$A254="","",Produtos!$B254)</f>
        <v>Lixeira de Parede c/Aro 40x19x70 40L</v>
      </c>
      <c r="C254" s="32" t="str">
        <f aca="false">IF(Produtos!$A254="","",Produtos!$C254)</f>
        <v>Lixeiras em inox</v>
      </c>
      <c r="D254" s="33" t="n">
        <f aca="false">IF(Produtos!$A254="","",IF(Produtos!$D254="","",Produtos!$D254))</f>
        <v>394.64</v>
      </c>
      <c r="E254" s="11" t="n">
        <v>0</v>
      </c>
      <c r="F254" s="34" t="n">
        <f aca="false">IF($A254="","",IF($C254="","⚠ categoria",IFERROR(INDEX(Parâmetros!$D$13:$D$22,MATCH($C254,Parâmetros!$A$13:$A$22,0)),"⚠ categoria")))</f>
        <v>0.13</v>
      </c>
      <c r="G254" s="35"/>
      <c r="H254" s="36" t="n">
        <f aca="false">IF($A254="","",IF(ISNUMBER($G254),$G254,IF(ISNUMBER($F254),$F254,"")))</f>
        <v>0.13</v>
      </c>
      <c r="I254" s="37" t="n">
        <f aca="false">IF(OR($A254="",NOT(ISNUMBER($D254)),NOT(ISNUMBER($H254))),"",IF((1-$H254-Parâmetros!$B$6-Parâmetros!$C$6-Parâmetros!$D$6)&lt;=0,"INVALIDO",($D254+IF(ISNUMBER($E254),$E254,0)+IF(ISNUMBER(Parâmetros!$E$6),Parâmetros!$E$6,0))/(1-$H254-Parâmetros!$B$6-Parâmetros!$C$6-Parâmetros!$D$6)))</f>
        <v>730.814814814815</v>
      </c>
      <c r="J254" s="38"/>
      <c r="K254" s="39" t="n">
        <f aca="false">IF(OR($A254="",NOT(ISNUMBER($D254)),NOT(ISNUMBER($H254))),"",IF(AND(ISNUMBER($J254),$J254&gt;0),$J254,IF(ISNUMBER($I254),$I254,"")))</f>
        <v>730.814814814815</v>
      </c>
      <c r="L254" s="40" t="n">
        <f aca="false">IF(ISNUMBER($K254),$K254*$H254,"")</f>
        <v>95.0059259259259</v>
      </c>
      <c r="M254" s="40" t="n">
        <f aca="false">IF(ISNUMBER($K254),$K254*Parâmetros!$B$6,"")</f>
        <v>73.0814814814815</v>
      </c>
      <c r="N254" s="40" t="n">
        <f aca="false">IF(ISNUMBER($K254),$K254*Parâmetros!$C$6,"")</f>
        <v>21.9244444444444</v>
      </c>
      <c r="O254" s="40" t="n">
        <f aca="false">IF(ISNUMBER($K254),IF(ISNUMBER(Parâmetros!$E$6),Parâmetros!$E$6,0),"")</f>
        <v>0</v>
      </c>
      <c r="P254" s="41" t="n">
        <f aca="false">IF(ISNUMBER($K254),$K254-$D254-IF(ISNUMBER($E254),$E254,0)-$L254-$M254-$N254-$O254,"")</f>
        <v>146.162962962963</v>
      </c>
      <c r="Q254" s="42" t="n">
        <f aca="false">IF(AND(ISNUMBER($K254),$K254&gt;0),$P254/$K254,"")</f>
        <v>0.2</v>
      </c>
      <c r="R254" s="43"/>
      <c r="S254" s="44" t="str">
        <f aca="false">IF(OR(NOT(ISNUMBER($R254)),$R254=0,NOT(ISNUMBER($K254))),"",$K254*(1-$R254))</f>
        <v/>
      </c>
      <c r="T254" s="45" t="str">
        <f aca="false">IF(ISNUMBER($S254),$S254*$H254,"")</f>
        <v/>
      </c>
      <c r="U254" s="45" t="str">
        <f aca="false">IF(ISNUMBER($S254),$S254*Parâmetros!$B$6,"")</f>
        <v/>
      </c>
      <c r="V254" s="45" t="str">
        <f aca="false">IF(ISNUMBER($S254),$S254*Parâmetros!$C$6,"")</f>
        <v/>
      </c>
      <c r="W254" s="44" t="str">
        <f aca="false">IF(ISNUMBER($S254),$S254-$D254-IF(ISNUMBER($E254),$E254,0)-$O254-$T254-$U254-$V254,"")</f>
        <v/>
      </c>
      <c r="X254" s="46" t="str">
        <f aca="false">IF(AND(ISNUMBER($S254),$S254&gt;0),$W254/$S254,"")</f>
        <v/>
      </c>
      <c r="Y254" s="47"/>
      <c r="Z254" s="19"/>
    </row>
    <row r="255" customFormat="false" ht="15.75" hidden="false" customHeight="true" outlineLevel="0" collapsed="false">
      <c r="A255" s="48" t="str">
        <f aca="false">IF(Produtos!$A255="","",Produtos!$A255)</f>
        <v>L4080-P</v>
      </c>
      <c r="B255" s="48" t="str">
        <f aca="false">IF(Produtos!$A255="","",Produtos!$B255)</f>
        <v>Lixeira de Parede c/Aro 40x19x80 50L</v>
      </c>
      <c r="C255" s="48" t="str">
        <f aca="false">IF(Produtos!$A255="","",Produtos!$C255)</f>
        <v>Lixeiras em inox</v>
      </c>
      <c r="D255" s="33" t="n">
        <f aca="false">IF(Produtos!$A255="","",IF(Produtos!$D255="","",Produtos!$D255))</f>
        <v>401</v>
      </c>
      <c r="E255" s="11" t="n">
        <v>0</v>
      </c>
      <c r="F255" s="34" t="n">
        <f aca="false">IF($A255="","",IF($C255="","⚠ categoria",IFERROR(INDEX(Parâmetros!$D$13:$D$22,MATCH($C255,Parâmetros!$A$13:$A$22,0)),"⚠ categoria")))</f>
        <v>0.13</v>
      </c>
      <c r="G255" s="35"/>
      <c r="H255" s="36" t="n">
        <f aca="false">IF($A255="","",IF(ISNUMBER($G255),$G255,IF(ISNUMBER($F255),$F255,"")))</f>
        <v>0.13</v>
      </c>
      <c r="I255" s="37" t="n">
        <f aca="false">IF(OR($A255="",NOT(ISNUMBER($D255)),NOT(ISNUMBER($H255))),"",IF((1-$H255-Parâmetros!$B$6-Parâmetros!$C$6-Parâmetros!$D$6)&lt;=0,"INVALIDO",($D255+IF(ISNUMBER($E255),$E255,0)+IF(ISNUMBER(Parâmetros!$E$6),Parâmetros!$E$6,0))/(1-$H255-Parâmetros!$B$6-Parâmetros!$C$6-Parâmetros!$D$6)))</f>
        <v>742.592592592593</v>
      </c>
      <c r="J255" s="38"/>
      <c r="K255" s="39" t="n">
        <f aca="false">IF(OR($A255="",NOT(ISNUMBER($D255)),NOT(ISNUMBER($H255))),"",IF(AND(ISNUMBER($J255),$J255&gt;0),$J255,IF(ISNUMBER($I255),$I255,"")))</f>
        <v>742.592592592593</v>
      </c>
      <c r="L255" s="40" t="n">
        <f aca="false">IF(ISNUMBER($K255),$K255*$H255,"")</f>
        <v>96.537037037037</v>
      </c>
      <c r="M255" s="40" t="n">
        <f aca="false">IF(ISNUMBER($K255),$K255*Parâmetros!$B$6,"")</f>
        <v>74.2592592592593</v>
      </c>
      <c r="N255" s="40" t="n">
        <f aca="false">IF(ISNUMBER($K255),$K255*Parâmetros!$C$6,"")</f>
        <v>22.2777777777778</v>
      </c>
      <c r="O255" s="40" t="n">
        <f aca="false">IF(ISNUMBER($K255),IF(ISNUMBER(Parâmetros!$E$6),Parâmetros!$E$6,0),"")</f>
        <v>0</v>
      </c>
      <c r="P255" s="41" t="n">
        <f aca="false">IF(ISNUMBER($K255),$K255-$D255-IF(ISNUMBER($E255),$E255,0)-$L255-$M255-$N255-$O255,"")</f>
        <v>148.518518518518</v>
      </c>
      <c r="Q255" s="42" t="n">
        <f aca="false">IF(AND(ISNUMBER($K255),$K255&gt;0),$P255/$K255,"")</f>
        <v>0.2</v>
      </c>
      <c r="R255" s="43"/>
      <c r="S255" s="44" t="str">
        <f aca="false">IF(OR(NOT(ISNUMBER($R255)),$R255=0,NOT(ISNUMBER($K255))),"",$K255*(1-$R255))</f>
        <v/>
      </c>
      <c r="T255" s="45" t="str">
        <f aca="false">IF(ISNUMBER($S255),$S255*$H255,"")</f>
        <v/>
      </c>
      <c r="U255" s="45" t="str">
        <f aca="false">IF(ISNUMBER($S255),$S255*Parâmetros!$B$6,"")</f>
        <v/>
      </c>
      <c r="V255" s="45" t="str">
        <f aca="false">IF(ISNUMBER($S255),$S255*Parâmetros!$C$6,"")</f>
        <v/>
      </c>
      <c r="W255" s="44" t="str">
        <f aca="false">IF(ISNUMBER($S255),$S255-$D255-IF(ISNUMBER($E255),$E255,0)-$O255-$T255-$U255-$V255,"")</f>
        <v/>
      </c>
      <c r="X255" s="46" t="str">
        <f aca="false">IF(AND(ISNUMBER($S255),$S255&gt;0),$W255/$S255,"")</f>
        <v/>
      </c>
      <c r="Y255" s="49"/>
      <c r="Z255" s="21"/>
    </row>
    <row r="256" customFormat="false" ht="15.75" hidden="false" customHeight="true" outlineLevel="0" collapsed="false">
      <c r="A256" s="32" t="str">
        <f aca="false">IF(Produtos!$A256="","",Produtos!$A256)</f>
        <v>L4045-PC</v>
      </c>
      <c r="B256" s="32" t="str">
        <f aca="false">IF(Produtos!$A256="","",Produtos!$B256)</f>
        <v>Lixeira de Parede c/Aro Colorido 40x19x45 20L</v>
      </c>
      <c r="C256" s="32" t="str">
        <f aca="false">IF(Produtos!$A256="","",Produtos!$C256)</f>
        <v>Lixeiras em inox</v>
      </c>
      <c r="D256" s="33" t="n">
        <f aca="false">IF(Produtos!$A256="","",IF(Produtos!$D256="","",Produtos!$D256))</f>
        <v>291.85</v>
      </c>
      <c r="E256" s="11" t="n">
        <v>0</v>
      </c>
      <c r="F256" s="34" t="n">
        <f aca="false">IF($A256="","",IF($C256="","⚠ categoria",IFERROR(INDEX(Parâmetros!$D$13:$D$22,MATCH($C256,Parâmetros!$A$13:$A$22,0)),"⚠ categoria")))</f>
        <v>0.13</v>
      </c>
      <c r="G256" s="35"/>
      <c r="H256" s="36" t="n">
        <f aca="false">IF($A256="","",IF(ISNUMBER($G256),$G256,IF(ISNUMBER($F256),$F256,"")))</f>
        <v>0.13</v>
      </c>
      <c r="I256" s="37" t="n">
        <f aca="false">IF(OR($A256="",NOT(ISNUMBER($D256)),NOT(ISNUMBER($H256))),"",IF((1-$H256-Parâmetros!$B$6-Parâmetros!$C$6-Parâmetros!$D$6)&lt;=0,"INVALIDO",($D256+IF(ISNUMBER($E256),$E256,0)+IF(ISNUMBER(Parâmetros!$E$6),Parâmetros!$E$6,0))/(1-$H256-Parâmetros!$B$6-Parâmetros!$C$6-Parâmetros!$D$6)))</f>
        <v>540.462962962963</v>
      </c>
      <c r="J256" s="38"/>
      <c r="K256" s="39" t="n">
        <f aca="false">IF(OR($A256="",NOT(ISNUMBER($D256)),NOT(ISNUMBER($H256))),"",IF(AND(ISNUMBER($J256),$J256&gt;0),$J256,IF(ISNUMBER($I256),$I256,"")))</f>
        <v>540.462962962963</v>
      </c>
      <c r="L256" s="40" t="n">
        <f aca="false">IF(ISNUMBER($K256),$K256*$H256,"")</f>
        <v>70.2601851851852</v>
      </c>
      <c r="M256" s="40" t="n">
        <f aca="false">IF(ISNUMBER($K256),$K256*Parâmetros!$B$6,"")</f>
        <v>54.0462962962963</v>
      </c>
      <c r="N256" s="40" t="n">
        <f aca="false">IF(ISNUMBER($K256),$K256*Parâmetros!$C$6,"")</f>
        <v>16.2138888888889</v>
      </c>
      <c r="O256" s="40" t="n">
        <f aca="false">IF(ISNUMBER($K256),IF(ISNUMBER(Parâmetros!$E$6),Parâmetros!$E$6,0),"")</f>
        <v>0</v>
      </c>
      <c r="P256" s="41" t="n">
        <f aca="false">IF(ISNUMBER($K256),$K256-$D256-IF(ISNUMBER($E256),$E256,0)-$L256-$M256-$N256-$O256,"")</f>
        <v>108.092592592593</v>
      </c>
      <c r="Q256" s="42" t="n">
        <f aca="false">IF(AND(ISNUMBER($K256),$K256&gt;0),$P256/$K256,"")</f>
        <v>0.2</v>
      </c>
      <c r="R256" s="43"/>
      <c r="S256" s="44" t="str">
        <f aca="false">IF(OR(NOT(ISNUMBER($R256)),$R256=0,NOT(ISNUMBER($K256))),"",$K256*(1-$R256))</f>
        <v/>
      </c>
      <c r="T256" s="45" t="str">
        <f aca="false">IF(ISNUMBER($S256),$S256*$H256,"")</f>
        <v/>
      </c>
      <c r="U256" s="45" t="str">
        <f aca="false">IF(ISNUMBER($S256),$S256*Parâmetros!$B$6,"")</f>
        <v/>
      </c>
      <c r="V256" s="45" t="str">
        <f aca="false">IF(ISNUMBER($S256),$S256*Parâmetros!$C$6,"")</f>
        <v/>
      </c>
      <c r="W256" s="44" t="str">
        <f aca="false">IF(ISNUMBER($S256),$S256-$D256-IF(ISNUMBER($E256),$E256,0)-$O256-$T256-$U256-$V256,"")</f>
        <v/>
      </c>
      <c r="X256" s="46" t="str">
        <f aca="false">IF(AND(ISNUMBER($S256),$S256&gt;0),$W256/$S256,"")</f>
        <v/>
      </c>
      <c r="Y256" s="47"/>
      <c r="Z256" s="19"/>
    </row>
    <row r="257" customFormat="false" ht="15.75" hidden="false" customHeight="true" outlineLevel="0" collapsed="false">
      <c r="A257" s="48" t="str">
        <f aca="false">IF(Produtos!$A257="","",Produtos!$A257)</f>
        <v>L4055-PC</v>
      </c>
      <c r="B257" s="48" t="str">
        <f aca="false">IF(Produtos!$A257="","",Produtos!$B257)</f>
        <v>Lixeira de Parede c/Aro Colorido 40x19x55 25L</v>
      </c>
      <c r="C257" s="48" t="str">
        <f aca="false">IF(Produtos!$A257="","",Produtos!$C257)</f>
        <v>Lixeiras em inox</v>
      </c>
      <c r="D257" s="33" t="n">
        <f aca="false">IF(Produtos!$A257="","",IF(Produtos!$D257="","",Produtos!$D257))</f>
        <v>301.44</v>
      </c>
      <c r="E257" s="11" t="n">
        <v>0</v>
      </c>
      <c r="F257" s="34" t="n">
        <f aca="false">IF($A257="","",IF($C257="","⚠ categoria",IFERROR(INDEX(Parâmetros!$D$13:$D$22,MATCH($C257,Parâmetros!$A$13:$A$22,0)),"⚠ categoria")))</f>
        <v>0.13</v>
      </c>
      <c r="G257" s="35"/>
      <c r="H257" s="36" t="n">
        <f aca="false">IF($A257="","",IF(ISNUMBER($G257),$G257,IF(ISNUMBER($F257),$F257,"")))</f>
        <v>0.13</v>
      </c>
      <c r="I257" s="37" t="n">
        <f aca="false">IF(OR($A257="",NOT(ISNUMBER($D257)),NOT(ISNUMBER($H257))),"",IF((1-$H257-Parâmetros!$B$6-Parâmetros!$C$6-Parâmetros!$D$6)&lt;=0,"INVALIDO",($D257+IF(ISNUMBER($E257),$E257,0)+IF(ISNUMBER(Parâmetros!$E$6),Parâmetros!$E$6,0))/(1-$H257-Parâmetros!$B$6-Parâmetros!$C$6-Parâmetros!$D$6)))</f>
        <v>558.222222222222</v>
      </c>
      <c r="J257" s="38"/>
      <c r="K257" s="39" t="n">
        <f aca="false">IF(OR($A257="",NOT(ISNUMBER($D257)),NOT(ISNUMBER($H257))),"",IF(AND(ISNUMBER($J257),$J257&gt;0),$J257,IF(ISNUMBER($I257),$I257,"")))</f>
        <v>558.222222222222</v>
      </c>
      <c r="L257" s="40" t="n">
        <f aca="false">IF(ISNUMBER($K257),$K257*$H257,"")</f>
        <v>72.5688888888889</v>
      </c>
      <c r="M257" s="40" t="n">
        <f aca="false">IF(ISNUMBER($K257),$K257*Parâmetros!$B$6,"")</f>
        <v>55.8222222222222</v>
      </c>
      <c r="N257" s="40" t="n">
        <f aca="false">IF(ISNUMBER($K257),$K257*Parâmetros!$C$6,"")</f>
        <v>16.7466666666667</v>
      </c>
      <c r="O257" s="40" t="n">
        <f aca="false">IF(ISNUMBER($K257),IF(ISNUMBER(Parâmetros!$E$6),Parâmetros!$E$6,0),"")</f>
        <v>0</v>
      </c>
      <c r="P257" s="41" t="n">
        <f aca="false">IF(ISNUMBER($K257),$K257-$D257-IF(ISNUMBER($E257),$E257,0)-$L257-$M257-$N257-$O257,"")</f>
        <v>111.644444444444</v>
      </c>
      <c r="Q257" s="42" t="n">
        <f aca="false">IF(AND(ISNUMBER($K257),$K257&gt;0),$P257/$K257,"")</f>
        <v>0.2</v>
      </c>
      <c r="R257" s="43"/>
      <c r="S257" s="44" t="str">
        <f aca="false">IF(OR(NOT(ISNUMBER($R257)),$R257=0,NOT(ISNUMBER($K257))),"",$K257*(1-$R257))</f>
        <v/>
      </c>
      <c r="T257" s="45" t="str">
        <f aca="false">IF(ISNUMBER($S257),$S257*$H257,"")</f>
        <v/>
      </c>
      <c r="U257" s="45" t="str">
        <f aca="false">IF(ISNUMBER($S257),$S257*Parâmetros!$B$6,"")</f>
        <v/>
      </c>
      <c r="V257" s="45" t="str">
        <f aca="false">IF(ISNUMBER($S257),$S257*Parâmetros!$C$6,"")</f>
        <v/>
      </c>
      <c r="W257" s="44" t="str">
        <f aca="false">IF(ISNUMBER($S257),$S257-$D257-IF(ISNUMBER($E257),$E257,0)-$O257-$T257-$U257-$V257,"")</f>
        <v/>
      </c>
      <c r="X257" s="46" t="str">
        <f aca="false">IF(AND(ISNUMBER($S257),$S257&gt;0),$W257/$S257,"")</f>
        <v/>
      </c>
      <c r="Y257" s="49"/>
      <c r="Z257" s="21"/>
    </row>
    <row r="258" customFormat="false" ht="15.75" hidden="false" customHeight="true" outlineLevel="0" collapsed="false">
      <c r="A258" s="32" t="str">
        <f aca="false">IF(Produtos!$A258="","",Produtos!$A258)</f>
        <v>L4060-PC</v>
      </c>
      <c r="B258" s="32" t="str">
        <f aca="false">IF(Produtos!$A258="","",Produtos!$B258)</f>
        <v>Lixeira de Parede c/Aro Colorido 40x19x60 30L</v>
      </c>
      <c r="C258" s="32" t="str">
        <f aca="false">IF(Produtos!$A258="","",Produtos!$C258)</f>
        <v>Lixeiras em inox</v>
      </c>
      <c r="D258" s="33" t="n">
        <f aca="false">IF(Produtos!$A258="","",IF(Produtos!$D258="","",Produtos!$D258))</f>
        <v>314.8</v>
      </c>
      <c r="E258" s="11" t="n">
        <v>0</v>
      </c>
      <c r="F258" s="34" t="n">
        <f aca="false">IF($A258="","",IF($C258="","⚠ categoria",IFERROR(INDEX(Parâmetros!$D$13:$D$22,MATCH($C258,Parâmetros!$A$13:$A$22,0)),"⚠ categoria")))</f>
        <v>0.13</v>
      </c>
      <c r="G258" s="35"/>
      <c r="H258" s="36" t="n">
        <f aca="false">IF($A258="","",IF(ISNUMBER($G258),$G258,IF(ISNUMBER($F258),$F258,"")))</f>
        <v>0.13</v>
      </c>
      <c r="I258" s="37" t="n">
        <f aca="false">IF(OR($A258="",NOT(ISNUMBER($D258)),NOT(ISNUMBER($H258))),"",IF((1-$H258-Parâmetros!$B$6-Parâmetros!$C$6-Parâmetros!$D$6)&lt;=0,"INVALIDO",($D258+IF(ISNUMBER($E258),$E258,0)+IF(ISNUMBER(Parâmetros!$E$6),Parâmetros!$E$6,0))/(1-$H258-Parâmetros!$B$6-Parâmetros!$C$6-Parâmetros!$D$6)))</f>
        <v>582.962962962963</v>
      </c>
      <c r="J258" s="38"/>
      <c r="K258" s="39" t="n">
        <f aca="false">IF(OR($A258="",NOT(ISNUMBER($D258)),NOT(ISNUMBER($H258))),"",IF(AND(ISNUMBER($J258),$J258&gt;0),$J258,IF(ISNUMBER($I258),$I258,"")))</f>
        <v>582.962962962963</v>
      </c>
      <c r="L258" s="40" t="n">
        <f aca="false">IF(ISNUMBER($K258),$K258*$H258,"")</f>
        <v>75.7851851851852</v>
      </c>
      <c r="M258" s="40" t="n">
        <f aca="false">IF(ISNUMBER($K258),$K258*Parâmetros!$B$6,"")</f>
        <v>58.2962962962963</v>
      </c>
      <c r="N258" s="40" t="n">
        <f aca="false">IF(ISNUMBER($K258),$K258*Parâmetros!$C$6,"")</f>
        <v>17.4888888888889</v>
      </c>
      <c r="O258" s="40" t="n">
        <f aca="false">IF(ISNUMBER($K258),IF(ISNUMBER(Parâmetros!$E$6),Parâmetros!$E$6,0),"")</f>
        <v>0</v>
      </c>
      <c r="P258" s="41" t="n">
        <f aca="false">IF(ISNUMBER($K258),$K258-$D258-IF(ISNUMBER($E258),$E258,0)-$L258-$M258-$N258-$O258,"")</f>
        <v>116.592592592593</v>
      </c>
      <c r="Q258" s="42" t="n">
        <f aca="false">IF(AND(ISNUMBER($K258),$K258&gt;0),$P258/$K258,"")</f>
        <v>0.2</v>
      </c>
      <c r="R258" s="43"/>
      <c r="S258" s="44" t="str">
        <f aca="false">IF(OR(NOT(ISNUMBER($R258)),$R258=0,NOT(ISNUMBER($K258))),"",$K258*(1-$R258))</f>
        <v/>
      </c>
      <c r="T258" s="45" t="str">
        <f aca="false">IF(ISNUMBER($S258),$S258*$H258,"")</f>
        <v/>
      </c>
      <c r="U258" s="45" t="str">
        <f aca="false">IF(ISNUMBER($S258),$S258*Parâmetros!$B$6,"")</f>
        <v/>
      </c>
      <c r="V258" s="45" t="str">
        <f aca="false">IF(ISNUMBER($S258),$S258*Parâmetros!$C$6,"")</f>
        <v/>
      </c>
      <c r="W258" s="44" t="str">
        <f aca="false">IF(ISNUMBER($S258),$S258-$D258-IF(ISNUMBER($E258),$E258,0)-$O258-$T258-$U258-$V258,"")</f>
        <v/>
      </c>
      <c r="X258" s="46" t="str">
        <f aca="false">IF(AND(ISNUMBER($S258),$S258&gt;0),$W258/$S258,"")</f>
        <v/>
      </c>
      <c r="Y258" s="47"/>
      <c r="Z258" s="19"/>
    </row>
    <row r="259" customFormat="false" ht="15.75" hidden="false" customHeight="true" outlineLevel="0" collapsed="false">
      <c r="A259" s="48" t="str">
        <f aca="false">IF(Produtos!$A259="","",Produtos!$A259)</f>
        <v>L4065-PC</v>
      </c>
      <c r="B259" s="48" t="str">
        <f aca="false">IF(Produtos!$A259="","",Produtos!$B259)</f>
        <v>Lixeira de Parede c/Aro Colorido 40x19x65 35L</v>
      </c>
      <c r="C259" s="48" t="str">
        <f aca="false">IF(Produtos!$A259="","",Produtos!$C259)</f>
        <v>Lixeiras em inox</v>
      </c>
      <c r="D259" s="33" t="n">
        <f aca="false">IF(Produtos!$A259="","",IF(Produtos!$D259="","",Produtos!$D259))</f>
        <v>405.46</v>
      </c>
      <c r="E259" s="11" t="n">
        <v>0</v>
      </c>
      <c r="F259" s="34" t="n">
        <f aca="false">IF($A259="","",IF($C259="","⚠ categoria",IFERROR(INDEX(Parâmetros!$D$13:$D$22,MATCH($C259,Parâmetros!$A$13:$A$22,0)),"⚠ categoria")))</f>
        <v>0.13</v>
      </c>
      <c r="G259" s="35"/>
      <c r="H259" s="36" t="n">
        <f aca="false">IF($A259="","",IF(ISNUMBER($G259),$G259,IF(ISNUMBER($F259),$F259,"")))</f>
        <v>0.13</v>
      </c>
      <c r="I259" s="37" t="n">
        <f aca="false">IF(OR($A259="",NOT(ISNUMBER($D259)),NOT(ISNUMBER($H259))),"",IF((1-$H259-Parâmetros!$B$6-Parâmetros!$C$6-Parâmetros!$D$6)&lt;=0,"INVALIDO",($D259+IF(ISNUMBER($E259),$E259,0)+IF(ISNUMBER(Parâmetros!$E$6),Parâmetros!$E$6,0))/(1-$H259-Parâmetros!$B$6-Parâmetros!$C$6-Parâmetros!$D$6)))</f>
        <v>750.851851851852</v>
      </c>
      <c r="J259" s="38"/>
      <c r="K259" s="39" t="n">
        <f aca="false">IF(OR($A259="",NOT(ISNUMBER($D259)),NOT(ISNUMBER($H259))),"",IF(AND(ISNUMBER($J259),$J259&gt;0),$J259,IF(ISNUMBER($I259),$I259,"")))</f>
        <v>750.851851851852</v>
      </c>
      <c r="L259" s="40" t="n">
        <f aca="false">IF(ISNUMBER($K259),$K259*$H259,"")</f>
        <v>97.6107407407407</v>
      </c>
      <c r="M259" s="40" t="n">
        <f aca="false">IF(ISNUMBER($K259),$K259*Parâmetros!$B$6,"")</f>
        <v>75.0851851851852</v>
      </c>
      <c r="N259" s="40" t="n">
        <f aca="false">IF(ISNUMBER($K259),$K259*Parâmetros!$C$6,"")</f>
        <v>22.5255555555556</v>
      </c>
      <c r="O259" s="40" t="n">
        <f aca="false">IF(ISNUMBER($K259),IF(ISNUMBER(Parâmetros!$E$6),Parâmetros!$E$6,0),"")</f>
        <v>0</v>
      </c>
      <c r="P259" s="41" t="n">
        <f aca="false">IF(ISNUMBER($K259),$K259-$D259-IF(ISNUMBER($E259),$E259,0)-$L259-$M259-$N259-$O259,"")</f>
        <v>150.17037037037</v>
      </c>
      <c r="Q259" s="42" t="n">
        <f aca="false">IF(AND(ISNUMBER($K259),$K259&gt;0),$P259/$K259,"")</f>
        <v>0.2</v>
      </c>
      <c r="R259" s="43"/>
      <c r="S259" s="44" t="str">
        <f aca="false">IF(OR(NOT(ISNUMBER($R259)),$R259=0,NOT(ISNUMBER($K259))),"",$K259*(1-$R259))</f>
        <v/>
      </c>
      <c r="T259" s="45" t="str">
        <f aca="false">IF(ISNUMBER($S259),$S259*$H259,"")</f>
        <v/>
      </c>
      <c r="U259" s="45" t="str">
        <f aca="false">IF(ISNUMBER($S259),$S259*Parâmetros!$B$6,"")</f>
        <v/>
      </c>
      <c r="V259" s="45" t="str">
        <f aca="false">IF(ISNUMBER($S259),$S259*Parâmetros!$C$6,"")</f>
        <v/>
      </c>
      <c r="W259" s="44" t="str">
        <f aca="false">IF(ISNUMBER($S259),$S259-$D259-IF(ISNUMBER($E259),$E259,0)-$O259-$T259-$U259-$V259,"")</f>
        <v/>
      </c>
      <c r="X259" s="46" t="str">
        <f aca="false">IF(AND(ISNUMBER($S259),$S259&gt;0),$W259/$S259,"")</f>
        <v/>
      </c>
      <c r="Y259" s="49"/>
      <c r="Z259" s="21"/>
    </row>
    <row r="260" customFormat="false" ht="15.75" hidden="false" customHeight="true" outlineLevel="0" collapsed="false">
      <c r="A260" s="32" t="str">
        <f aca="false">IF(Produtos!$A260="","",Produtos!$A260)</f>
        <v>L4070-PC</v>
      </c>
      <c r="B260" s="32" t="str">
        <f aca="false">IF(Produtos!$A260="","",Produtos!$B260)</f>
        <v>Lixeira de Parede c/Aro Colorido 40x19x70 40L</v>
      </c>
      <c r="C260" s="32" t="str">
        <f aca="false">IF(Produtos!$A260="","",Produtos!$C260)</f>
        <v>Lixeiras em inox</v>
      </c>
      <c r="D260" s="33" t="n">
        <f aca="false">IF(Produtos!$A260="","",IF(Produtos!$D260="","",Produtos!$D260))</f>
        <v>428.69</v>
      </c>
      <c r="E260" s="11" t="n">
        <v>0</v>
      </c>
      <c r="F260" s="34" t="n">
        <f aca="false">IF($A260="","",IF($C260="","⚠ categoria",IFERROR(INDEX(Parâmetros!$D$13:$D$22,MATCH($C260,Parâmetros!$A$13:$A$22,0)),"⚠ categoria")))</f>
        <v>0.13</v>
      </c>
      <c r="G260" s="35"/>
      <c r="H260" s="36" t="n">
        <f aca="false">IF($A260="","",IF(ISNUMBER($G260),$G260,IF(ISNUMBER($F260),$F260,"")))</f>
        <v>0.13</v>
      </c>
      <c r="I260" s="37" t="n">
        <f aca="false">IF(OR($A260="",NOT(ISNUMBER($D260)),NOT(ISNUMBER($H260))),"",IF((1-$H260-Parâmetros!$B$6-Parâmetros!$C$6-Parâmetros!$D$6)&lt;=0,"INVALIDO",($D260+IF(ISNUMBER($E260),$E260,0)+IF(ISNUMBER(Parâmetros!$E$6),Parâmetros!$E$6,0))/(1-$H260-Parâmetros!$B$6-Parâmetros!$C$6-Parâmetros!$D$6)))</f>
        <v>793.87037037037</v>
      </c>
      <c r="J260" s="38"/>
      <c r="K260" s="39" t="n">
        <f aca="false">IF(OR($A260="",NOT(ISNUMBER($D260)),NOT(ISNUMBER($H260))),"",IF(AND(ISNUMBER($J260),$J260&gt;0),$J260,IF(ISNUMBER($I260),$I260,"")))</f>
        <v>793.87037037037</v>
      </c>
      <c r="L260" s="40" t="n">
        <f aca="false">IF(ISNUMBER($K260),$K260*$H260,"")</f>
        <v>103.203148148148</v>
      </c>
      <c r="M260" s="40" t="n">
        <f aca="false">IF(ISNUMBER($K260),$K260*Parâmetros!$B$6,"")</f>
        <v>79.387037037037</v>
      </c>
      <c r="N260" s="40" t="n">
        <f aca="false">IF(ISNUMBER($K260),$K260*Parâmetros!$C$6,"")</f>
        <v>23.8161111111111</v>
      </c>
      <c r="O260" s="40" t="n">
        <f aca="false">IF(ISNUMBER($K260),IF(ISNUMBER(Parâmetros!$E$6),Parâmetros!$E$6,0),"")</f>
        <v>0</v>
      </c>
      <c r="P260" s="41" t="n">
        <f aca="false">IF(ISNUMBER($K260),$K260-$D260-IF(ISNUMBER($E260),$E260,0)-$L260-$M260-$N260-$O260,"")</f>
        <v>158.774074074074</v>
      </c>
      <c r="Q260" s="42" t="n">
        <f aca="false">IF(AND(ISNUMBER($K260),$K260&gt;0),$P260/$K260,"")</f>
        <v>0.2</v>
      </c>
      <c r="R260" s="43"/>
      <c r="S260" s="44" t="str">
        <f aca="false">IF(OR(NOT(ISNUMBER($R260)),$R260=0,NOT(ISNUMBER($K260))),"",$K260*(1-$R260))</f>
        <v/>
      </c>
      <c r="T260" s="45" t="str">
        <f aca="false">IF(ISNUMBER($S260),$S260*$H260,"")</f>
        <v/>
      </c>
      <c r="U260" s="45" t="str">
        <f aca="false">IF(ISNUMBER($S260),$S260*Parâmetros!$B$6,"")</f>
        <v/>
      </c>
      <c r="V260" s="45" t="str">
        <f aca="false">IF(ISNUMBER($S260),$S260*Parâmetros!$C$6,"")</f>
        <v/>
      </c>
      <c r="W260" s="44" t="str">
        <f aca="false">IF(ISNUMBER($S260),$S260-$D260-IF(ISNUMBER($E260),$E260,0)-$O260-$T260-$U260-$V260,"")</f>
        <v/>
      </c>
      <c r="X260" s="46" t="str">
        <f aca="false">IF(AND(ISNUMBER($S260),$S260&gt;0),$W260/$S260,"")</f>
        <v/>
      </c>
      <c r="Y260" s="47"/>
      <c r="Z260" s="19"/>
    </row>
    <row r="261" customFormat="false" ht="15.75" hidden="false" customHeight="true" outlineLevel="0" collapsed="false">
      <c r="A261" s="48" t="str">
        <f aca="false">IF(Produtos!$A261="","",Produtos!$A261)</f>
        <v>L4080-PC</v>
      </c>
      <c r="B261" s="48" t="str">
        <f aca="false">IF(Produtos!$A261="","",Produtos!$B261)</f>
        <v>Lixeira de Parede c/Aro Colorido 40x19x80 50L</v>
      </c>
      <c r="C261" s="48" t="str">
        <f aca="false">IF(Produtos!$A261="","",Produtos!$C261)</f>
        <v>Lixeiras em inox</v>
      </c>
      <c r="D261" s="33" t="n">
        <f aca="false">IF(Produtos!$A261="","",IF(Produtos!$D261="","",Produtos!$D261))</f>
        <v>418.39</v>
      </c>
      <c r="E261" s="11" t="n">
        <v>0</v>
      </c>
      <c r="F261" s="34" t="n">
        <f aca="false">IF($A261="","",IF($C261="","⚠ categoria",IFERROR(INDEX(Parâmetros!$D$13:$D$22,MATCH($C261,Parâmetros!$A$13:$A$22,0)),"⚠ categoria")))</f>
        <v>0.13</v>
      </c>
      <c r="G261" s="35"/>
      <c r="H261" s="36" t="n">
        <f aca="false">IF($A261="","",IF(ISNUMBER($G261),$G261,IF(ISNUMBER($F261),$F261,"")))</f>
        <v>0.13</v>
      </c>
      <c r="I261" s="37" t="n">
        <f aca="false">IF(OR($A261="",NOT(ISNUMBER($D261)),NOT(ISNUMBER($H261))),"",IF((1-$H261-Parâmetros!$B$6-Parâmetros!$C$6-Parâmetros!$D$6)&lt;=0,"INVALIDO",($D261+IF(ISNUMBER($E261),$E261,0)+IF(ISNUMBER(Parâmetros!$E$6),Parâmetros!$E$6,0))/(1-$H261-Parâmetros!$B$6-Parâmetros!$C$6-Parâmetros!$D$6)))</f>
        <v>774.796296296296</v>
      </c>
      <c r="J261" s="38"/>
      <c r="K261" s="39" t="n">
        <f aca="false">IF(OR($A261="",NOT(ISNUMBER($D261)),NOT(ISNUMBER($H261))),"",IF(AND(ISNUMBER($J261),$J261&gt;0),$J261,IF(ISNUMBER($I261),$I261,"")))</f>
        <v>774.796296296296</v>
      </c>
      <c r="L261" s="40" t="n">
        <f aca="false">IF(ISNUMBER($K261),$K261*$H261,"")</f>
        <v>100.723518518519</v>
      </c>
      <c r="M261" s="40" t="n">
        <f aca="false">IF(ISNUMBER($K261),$K261*Parâmetros!$B$6,"")</f>
        <v>77.4796296296296</v>
      </c>
      <c r="N261" s="40" t="n">
        <f aca="false">IF(ISNUMBER($K261),$K261*Parâmetros!$C$6,"")</f>
        <v>23.2438888888889</v>
      </c>
      <c r="O261" s="40" t="n">
        <f aca="false">IF(ISNUMBER($K261),IF(ISNUMBER(Parâmetros!$E$6),Parâmetros!$E$6,0),"")</f>
        <v>0</v>
      </c>
      <c r="P261" s="41" t="n">
        <f aca="false">IF(ISNUMBER($K261),$K261-$D261-IF(ISNUMBER($E261),$E261,0)-$L261-$M261-$N261-$O261,"")</f>
        <v>154.959259259259</v>
      </c>
      <c r="Q261" s="42" t="n">
        <f aca="false">IF(AND(ISNUMBER($K261),$K261&gt;0),$P261/$K261,"")</f>
        <v>0.2</v>
      </c>
      <c r="R261" s="43"/>
      <c r="S261" s="44" t="str">
        <f aca="false">IF(OR(NOT(ISNUMBER($R261)),$R261=0,NOT(ISNUMBER($K261))),"",$K261*(1-$R261))</f>
        <v/>
      </c>
      <c r="T261" s="45" t="str">
        <f aca="false">IF(ISNUMBER($S261),$S261*$H261,"")</f>
        <v/>
      </c>
      <c r="U261" s="45" t="str">
        <f aca="false">IF(ISNUMBER($S261),$S261*Parâmetros!$B$6,"")</f>
        <v/>
      </c>
      <c r="V261" s="45" t="str">
        <f aca="false">IF(ISNUMBER($S261),$S261*Parâmetros!$C$6,"")</f>
        <v/>
      </c>
      <c r="W261" s="44" t="str">
        <f aca="false">IF(ISNUMBER($S261),$S261-$D261-IF(ISNUMBER($E261),$E261,0)-$O261-$T261-$U261-$V261,"")</f>
        <v/>
      </c>
      <c r="X261" s="46" t="str">
        <f aca="false">IF(AND(ISNUMBER($S261),$S261&gt;0),$W261/$S261,"")</f>
        <v/>
      </c>
      <c r="Y261" s="49"/>
      <c r="Z261" s="21"/>
    </row>
    <row r="262" customFormat="false" ht="15.75" hidden="false" customHeight="true" outlineLevel="0" collapsed="false">
      <c r="A262" s="32" t="str">
        <f aca="false">IF(Produtos!$A262="","",Produtos!$A262)</f>
        <v>LM3040-2D</v>
      </c>
      <c r="B262" s="32" t="str">
        <f aca="false">IF(Produtos!$A262="","",Produtos!$B262)</f>
        <v>Lixeira Aço Inox 30x40 c/02 Divisões 30L</v>
      </c>
      <c r="C262" s="32" t="str">
        <f aca="false">IF(Produtos!$A262="","",Produtos!$C262)</f>
        <v>Lixeiras de coleta seletiva</v>
      </c>
      <c r="D262" s="33" t="n">
        <f aca="false">IF(Produtos!$A262="","",IF(Produtos!$D262="","",Produtos!$D262))</f>
        <v>318.15</v>
      </c>
      <c r="E262" s="11" t="n">
        <v>0</v>
      </c>
      <c r="F262" s="34" t="n">
        <f aca="false">IF($A262="","",IF($C262="","⚠ categoria",IFERROR(INDEX(Parâmetros!$D$13:$D$22,MATCH($C262,Parâmetros!$A$13:$A$22,0)),"⚠ categoria")))</f>
        <v>0.13</v>
      </c>
      <c r="G262" s="35"/>
      <c r="H262" s="36" t="n">
        <f aca="false">IF($A262="","",IF(ISNUMBER($G262),$G262,IF(ISNUMBER($F262),$F262,"")))</f>
        <v>0.13</v>
      </c>
      <c r="I262" s="37" t="n">
        <f aca="false">IF(OR($A262="",NOT(ISNUMBER($D262)),NOT(ISNUMBER($H262))),"",IF((1-$H262-Parâmetros!$B$6-Parâmetros!$C$6-Parâmetros!$D$6)&lt;=0,"INVALIDO",($D262+IF(ISNUMBER($E262),$E262,0)+IF(ISNUMBER(Parâmetros!$E$6),Parâmetros!$E$6,0))/(1-$H262-Parâmetros!$B$6-Parâmetros!$C$6-Parâmetros!$D$6)))</f>
        <v>589.166666666667</v>
      </c>
      <c r="J262" s="38"/>
      <c r="K262" s="39" t="n">
        <f aca="false">IF(OR($A262="",NOT(ISNUMBER($D262)),NOT(ISNUMBER($H262))),"",IF(AND(ISNUMBER($J262),$J262&gt;0),$J262,IF(ISNUMBER($I262),$I262,"")))</f>
        <v>589.166666666667</v>
      </c>
      <c r="L262" s="40" t="n">
        <f aca="false">IF(ISNUMBER($K262),$K262*$H262,"")</f>
        <v>76.5916666666667</v>
      </c>
      <c r="M262" s="40" t="n">
        <f aca="false">IF(ISNUMBER($K262),$K262*Parâmetros!$B$6,"")</f>
        <v>58.9166666666667</v>
      </c>
      <c r="N262" s="40" t="n">
        <f aca="false">IF(ISNUMBER($K262),$K262*Parâmetros!$C$6,"")</f>
        <v>17.675</v>
      </c>
      <c r="O262" s="40" t="n">
        <f aca="false">IF(ISNUMBER($K262),IF(ISNUMBER(Parâmetros!$E$6),Parâmetros!$E$6,0),"")</f>
        <v>0</v>
      </c>
      <c r="P262" s="41" t="n">
        <f aca="false">IF(ISNUMBER($K262),$K262-$D262-IF(ISNUMBER($E262),$E262,0)-$L262-$M262-$N262-$O262,"")</f>
        <v>117.833333333333</v>
      </c>
      <c r="Q262" s="42" t="n">
        <f aca="false">IF(AND(ISNUMBER($K262),$K262&gt;0),$P262/$K262,"")</f>
        <v>0.2</v>
      </c>
      <c r="R262" s="43"/>
      <c r="S262" s="44" t="str">
        <f aca="false">IF(OR(NOT(ISNUMBER($R262)),$R262=0,NOT(ISNUMBER($K262))),"",$K262*(1-$R262))</f>
        <v/>
      </c>
      <c r="T262" s="45" t="str">
        <f aca="false">IF(ISNUMBER($S262),$S262*$H262,"")</f>
        <v/>
      </c>
      <c r="U262" s="45" t="str">
        <f aca="false">IF(ISNUMBER($S262),$S262*Parâmetros!$B$6,"")</f>
        <v/>
      </c>
      <c r="V262" s="45" t="str">
        <f aca="false">IF(ISNUMBER($S262),$S262*Parâmetros!$C$6,"")</f>
        <v/>
      </c>
      <c r="W262" s="44" t="str">
        <f aca="false">IF(ISNUMBER($S262),$S262-$D262-IF(ISNUMBER($E262),$E262,0)-$O262-$T262-$U262-$V262,"")</f>
        <v/>
      </c>
      <c r="X262" s="46" t="str">
        <f aca="false">IF(AND(ISNUMBER($S262),$S262&gt;0),$W262/$S262,"")</f>
        <v/>
      </c>
      <c r="Y262" s="47"/>
      <c r="Z262" s="19"/>
    </row>
    <row r="263" customFormat="false" ht="15.75" hidden="false" customHeight="true" outlineLevel="0" collapsed="false">
      <c r="A263" s="48" t="str">
        <f aca="false">IF(Produtos!$A263="","",Produtos!$A263)</f>
        <v>LM3040-3D</v>
      </c>
      <c r="B263" s="48" t="str">
        <f aca="false">IF(Produtos!$A263="","",Produtos!$B263)</f>
        <v>Lixeira Aço Inox 30x40 c/03 Divisões 30L</v>
      </c>
      <c r="C263" s="48" t="str">
        <f aca="false">IF(Produtos!$A263="","",Produtos!$C263)</f>
        <v>Lixeiras de coleta seletiva</v>
      </c>
      <c r="D263" s="33" t="n">
        <f aca="false">IF(Produtos!$A263="","",IF(Produtos!$D263="","",Produtos!$D263))</f>
        <v>324.51</v>
      </c>
      <c r="E263" s="11" t="n">
        <v>0</v>
      </c>
      <c r="F263" s="34" t="n">
        <f aca="false">IF($A263="","",IF($C263="","⚠ categoria",IFERROR(INDEX(Parâmetros!$D$13:$D$22,MATCH($C263,Parâmetros!$A$13:$A$22,0)),"⚠ categoria")))</f>
        <v>0.13</v>
      </c>
      <c r="G263" s="35"/>
      <c r="H263" s="36" t="n">
        <f aca="false">IF($A263="","",IF(ISNUMBER($G263),$G263,IF(ISNUMBER($F263),$F263,"")))</f>
        <v>0.13</v>
      </c>
      <c r="I263" s="37" t="n">
        <f aca="false">IF(OR($A263="",NOT(ISNUMBER($D263)),NOT(ISNUMBER($H263))),"",IF((1-$H263-Parâmetros!$B$6-Parâmetros!$C$6-Parâmetros!$D$6)&lt;=0,"INVALIDO",($D263+IF(ISNUMBER($E263),$E263,0)+IF(ISNUMBER(Parâmetros!$E$6),Parâmetros!$E$6,0))/(1-$H263-Parâmetros!$B$6-Parâmetros!$C$6-Parâmetros!$D$6)))</f>
        <v>600.944444444444</v>
      </c>
      <c r="J263" s="38"/>
      <c r="K263" s="39" t="n">
        <f aca="false">IF(OR($A263="",NOT(ISNUMBER($D263)),NOT(ISNUMBER($H263))),"",IF(AND(ISNUMBER($J263),$J263&gt;0),$J263,IF(ISNUMBER($I263),$I263,"")))</f>
        <v>600.944444444444</v>
      </c>
      <c r="L263" s="40" t="n">
        <f aca="false">IF(ISNUMBER($K263),$K263*$H263,"")</f>
        <v>78.1227777777778</v>
      </c>
      <c r="M263" s="40" t="n">
        <f aca="false">IF(ISNUMBER($K263),$K263*Parâmetros!$B$6,"")</f>
        <v>60.0944444444444</v>
      </c>
      <c r="N263" s="40" t="n">
        <f aca="false">IF(ISNUMBER($K263),$K263*Parâmetros!$C$6,"")</f>
        <v>18.0283333333333</v>
      </c>
      <c r="O263" s="40" t="n">
        <f aca="false">IF(ISNUMBER($K263),IF(ISNUMBER(Parâmetros!$E$6),Parâmetros!$E$6,0),"")</f>
        <v>0</v>
      </c>
      <c r="P263" s="41" t="n">
        <f aca="false">IF(ISNUMBER($K263),$K263-$D263-IF(ISNUMBER($E263),$E263,0)-$L263-$M263-$N263-$O263,"")</f>
        <v>120.188888888889</v>
      </c>
      <c r="Q263" s="42" t="n">
        <f aca="false">IF(AND(ISNUMBER($K263),$K263&gt;0),$P263/$K263,"")</f>
        <v>0.2</v>
      </c>
      <c r="R263" s="43"/>
      <c r="S263" s="44" t="str">
        <f aca="false">IF(OR(NOT(ISNUMBER($R263)),$R263=0,NOT(ISNUMBER($K263))),"",$K263*(1-$R263))</f>
        <v/>
      </c>
      <c r="T263" s="45" t="str">
        <f aca="false">IF(ISNUMBER($S263),$S263*$H263,"")</f>
        <v/>
      </c>
      <c r="U263" s="45" t="str">
        <f aca="false">IF(ISNUMBER($S263),$S263*Parâmetros!$B$6,"")</f>
        <v/>
      </c>
      <c r="V263" s="45" t="str">
        <f aca="false">IF(ISNUMBER($S263),$S263*Parâmetros!$C$6,"")</f>
        <v/>
      </c>
      <c r="W263" s="44" t="str">
        <f aca="false">IF(ISNUMBER($S263),$S263-$D263-IF(ISNUMBER($E263),$E263,0)-$O263-$T263-$U263-$V263,"")</f>
        <v/>
      </c>
      <c r="X263" s="46" t="str">
        <f aca="false">IF(AND(ISNUMBER($S263),$S263&gt;0),$W263/$S263,"")</f>
        <v/>
      </c>
      <c r="Y263" s="49"/>
      <c r="Z263" s="21"/>
    </row>
    <row r="264" customFormat="false" ht="15.75" hidden="false" customHeight="true" outlineLevel="0" collapsed="false">
      <c r="A264" s="32" t="str">
        <f aca="false">IF(Produtos!$A264="","",Produtos!$A264)</f>
        <v>LM4050-4D</v>
      </c>
      <c r="B264" s="32" t="str">
        <f aca="false">IF(Produtos!$A264="","",Produtos!$B264)</f>
        <v>Lixeira Aço Inox 40x50 c/04 Divisões 50L</v>
      </c>
      <c r="C264" s="32" t="str">
        <f aca="false">IF(Produtos!$A264="","",Produtos!$C264)</f>
        <v>Lixeiras de coleta seletiva</v>
      </c>
      <c r="D264" s="33" t="n">
        <f aca="false">IF(Produtos!$A264="","",IF(Produtos!$D264="","",Produtos!$D264))</f>
        <v>574.44</v>
      </c>
      <c r="E264" s="11" t="n">
        <v>0</v>
      </c>
      <c r="F264" s="34" t="n">
        <f aca="false">IF($A264="","",IF($C264="","⚠ categoria",IFERROR(INDEX(Parâmetros!$D$13:$D$22,MATCH($C264,Parâmetros!$A$13:$A$22,0)),"⚠ categoria")))</f>
        <v>0.13</v>
      </c>
      <c r="G264" s="35"/>
      <c r="H264" s="36" t="n">
        <f aca="false">IF($A264="","",IF(ISNUMBER($G264),$G264,IF(ISNUMBER($F264),$F264,"")))</f>
        <v>0.13</v>
      </c>
      <c r="I264" s="37" t="n">
        <f aca="false">IF(OR($A264="",NOT(ISNUMBER($D264)),NOT(ISNUMBER($H264))),"",IF((1-$H264-Parâmetros!$B$6-Parâmetros!$C$6-Parâmetros!$D$6)&lt;=0,"INVALIDO",($D264+IF(ISNUMBER($E264),$E264,0)+IF(ISNUMBER(Parâmetros!$E$6),Parâmetros!$E$6,0))/(1-$H264-Parâmetros!$B$6-Parâmetros!$C$6-Parâmetros!$D$6)))</f>
        <v>1063.77777777778</v>
      </c>
      <c r="J264" s="38"/>
      <c r="K264" s="39" t="n">
        <f aca="false">IF(OR($A264="",NOT(ISNUMBER($D264)),NOT(ISNUMBER($H264))),"",IF(AND(ISNUMBER($J264),$J264&gt;0),$J264,IF(ISNUMBER($I264),$I264,"")))</f>
        <v>1063.77777777778</v>
      </c>
      <c r="L264" s="40" t="n">
        <f aca="false">IF(ISNUMBER($K264),$K264*$H264,"")</f>
        <v>138.291111111111</v>
      </c>
      <c r="M264" s="40" t="n">
        <f aca="false">IF(ISNUMBER($K264),$K264*Parâmetros!$B$6,"")</f>
        <v>106.377777777778</v>
      </c>
      <c r="N264" s="40" t="n">
        <f aca="false">IF(ISNUMBER($K264),$K264*Parâmetros!$C$6,"")</f>
        <v>31.9133333333333</v>
      </c>
      <c r="O264" s="40" t="n">
        <f aca="false">IF(ISNUMBER($K264),IF(ISNUMBER(Parâmetros!$E$6),Parâmetros!$E$6,0),"")</f>
        <v>0</v>
      </c>
      <c r="P264" s="41" t="n">
        <f aca="false">IF(ISNUMBER($K264),$K264-$D264-IF(ISNUMBER($E264),$E264,0)-$L264-$M264-$N264-$O264,"")</f>
        <v>212.755555555556</v>
      </c>
      <c r="Q264" s="42" t="n">
        <f aca="false">IF(AND(ISNUMBER($K264),$K264&gt;0),$P264/$K264,"")</f>
        <v>0.2</v>
      </c>
      <c r="R264" s="43"/>
      <c r="S264" s="44" t="str">
        <f aca="false">IF(OR(NOT(ISNUMBER($R264)),$R264=0,NOT(ISNUMBER($K264))),"",$K264*(1-$R264))</f>
        <v/>
      </c>
      <c r="T264" s="45" t="str">
        <f aca="false">IF(ISNUMBER($S264),$S264*$H264,"")</f>
        <v/>
      </c>
      <c r="U264" s="45" t="str">
        <f aca="false">IF(ISNUMBER($S264),$S264*Parâmetros!$B$6,"")</f>
        <v/>
      </c>
      <c r="V264" s="45" t="str">
        <f aca="false">IF(ISNUMBER($S264),$S264*Parâmetros!$C$6,"")</f>
        <v/>
      </c>
      <c r="W264" s="44" t="str">
        <f aca="false">IF(ISNUMBER($S264),$S264-$D264-IF(ISNUMBER($E264),$E264,0)-$O264-$T264-$U264-$V264,"")</f>
        <v/>
      </c>
      <c r="X264" s="46" t="str">
        <f aca="false">IF(AND(ISNUMBER($S264),$S264&gt;0),$W264/$S264,"")</f>
        <v/>
      </c>
      <c r="Y264" s="47"/>
      <c r="Z264" s="19"/>
    </row>
    <row r="265" customFormat="false" ht="15.75" hidden="false" customHeight="true" outlineLevel="0" collapsed="false">
      <c r="A265" s="48" t="str">
        <f aca="false">IF(Produtos!$A265="","",Produtos!$A265)</f>
        <v>P3050RA</v>
      </c>
      <c r="B265" s="48" t="str">
        <f aca="false">IF(Produtos!$A265="","",Produtos!$B265)</f>
        <v>Lixeira c/Tampa Pedal 30x50 40L c/Rodízios e Alças</v>
      </c>
      <c r="C265" s="48" t="str">
        <f aca="false">IF(Produtos!$A265="","",Produtos!$C265)</f>
        <v>Lixeiras com pedal</v>
      </c>
      <c r="D265" s="33" t="n">
        <f aca="false">IF(Produtos!$A265="","",IF(Produtos!$D265="","",Produtos!$D265))</f>
        <v>451.04</v>
      </c>
      <c r="E265" s="11" t="n">
        <v>0</v>
      </c>
      <c r="F265" s="34" t="n">
        <f aca="false">IF($A265="","",IF($C265="","⚠ categoria",IFERROR(INDEX(Parâmetros!$D$13:$D$22,MATCH($C265,Parâmetros!$A$13:$A$22,0)),"⚠ categoria")))</f>
        <v>0.13</v>
      </c>
      <c r="G265" s="35"/>
      <c r="H265" s="36" t="n">
        <f aca="false">IF($A265="","",IF(ISNUMBER($G265),$G265,IF(ISNUMBER($F265),$F265,"")))</f>
        <v>0.13</v>
      </c>
      <c r="I265" s="37" t="n">
        <f aca="false">IF(OR($A265="",NOT(ISNUMBER($D265)),NOT(ISNUMBER($H265))),"",IF((1-$H265-Parâmetros!$B$6-Parâmetros!$C$6-Parâmetros!$D$6)&lt;=0,"INVALIDO",($D265+IF(ISNUMBER($E265),$E265,0)+IF(ISNUMBER(Parâmetros!$E$6),Parâmetros!$E$6,0))/(1-$H265-Parâmetros!$B$6-Parâmetros!$C$6-Parâmetros!$D$6)))</f>
        <v>835.259259259259</v>
      </c>
      <c r="J265" s="38"/>
      <c r="K265" s="39" t="n">
        <f aca="false">IF(OR($A265="",NOT(ISNUMBER($D265)),NOT(ISNUMBER($H265))),"",IF(AND(ISNUMBER($J265),$J265&gt;0),$J265,IF(ISNUMBER($I265),$I265,"")))</f>
        <v>835.259259259259</v>
      </c>
      <c r="L265" s="40" t="n">
        <f aca="false">IF(ISNUMBER($K265),$K265*$H265,"")</f>
        <v>108.583703703704</v>
      </c>
      <c r="M265" s="40" t="n">
        <f aca="false">IF(ISNUMBER($K265),$K265*Parâmetros!$B$6,"")</f>
        <v>83.5259259259259</v>
      </c>
      <c r="N265" s="40" t="n">
        <f aca="false">IF(ISNUMBER($K265),$K265*Parâmetros!$C$6,"")</f>
        <v>25.0577777777778</v>
      </c>
      <c r="O265" s="40" t="n">
        <f aca="false">IF(ISNUMBER($K265),IF(ISNUMBER(Parâmetros!$E$6),Parâmetros!$E$6,0),"")</f>
        <v>0</v>
      </c>
      <c r="P265" s="41" t="n">
        <f aca="false">IF(ISNUMBER($K265),$K265-$D265-IF(ISNUMBER($E265),$E265,0)-$L265-$M265-$N265-$O265,"")</f>
        <v>167.051851851852</v>
      </c>
      <c r="Q265" s="42" t="n">
        <f aca="false">IF(AND(ISNUMBER($K265),$K265&gt;0),$P265/$K265,"")</f>
        <v>0.2</v>
      </c>
      <c r="R265" s="43"/>
      <c r="S265" s="44" t="str">
        <f aca="false">IF(OR(NOT(ISNUMBER($R265)),$R265=0,NOT(ISNUMBER($K265))),"",$K265*(1-$R265))</f>
        <v/>
      </c>
      <c r="T265" s="45" t="str">
        <f aca="false">IF(ISNUMBER($S265),$S265*$H265,"")</f>
        <v/>
      </c>
      <c r="U265" s="45" t="str">
        <f aca="false">IF(ISNUMBER($S265),$S265*Parâmetros!$B$6,"")</f>
        <v/>
      </c>
      <c r="V265" s="45" t="str">
        <f aca="false">IF(ISNUMBER($S265),$S265*Parâmetros!$C$6,"")</f>
        <v/>
      </c>
      <c r="W265" s="44" t="str">
        <f aca="false">IF(ISNUMBER($S265),$S265-$D265-IF(ISNUMBER($E265),$E265,0)-$O265-$T265-$U265-$V265,"")</f>
        <v/>
      </c>
      <c r="X265" s="46" t="str">
        <f aca="false">IF(AND(ISNUMBER($S265),$S265&gt;0),$W265/$S265,"")</f>
        <v/>
      </c>
      <c r="Y265" s="49"/>
      <c r="Z265" s="21"/>
    </row>
    <row r="266" customFormat="false" ht="15.75" hidden="false" customHeight="true" outlineLevel="0" collapsed="false">
      <c r="A266" s="32" t="str">
        <f aca="false">IF(Produtos!$A266="","",Produtos!$A266)</f>
        <v>P3060RA</v>
      </c>
      <c r="B266" s="32" t="str">
        <f aca="false">IF(Produtos!$A266="","",Produtos!$B266)</f>
        <v>Lixeira c/Tampa Pedal 30x60 50L c/Rodízios e Alças</v>
      </c>
      <c r="C266" s="32" t="str">
        <f aca="false">IF(Produtos!$A266="","",Produtos!$C266)</f>
        <v>Lixeiras com pedal</v>
      </c>
      <c r="D266" s="33" t="n">
        <f aca="false">IF(Produtos!$A266="","",IF(Produtos!$D266="","",Produtos!$D266))</f>
        <v>461.27</v>
      </c>
      <c r="E266" s="11" t="n">
        <v>0</v>
      </c>
      <c r="F266" s="34" t="n">
        <f aca="false">IF($A266="","",IF($C266="","⚠ categoria",IFERROR(INDEX(Parâmetros!$D$13:$D$22,MATCH($C266,Parâmetros!$A$13:$A$22,0)),"⚠ categoria")))</f>
        <v>0.13</v>
      </c>
      <c r="G266" s="35"/>
      <c r="H266" s="36" t="n">
        <f aca="false">IF($A266="","",IF(ISNUMBER($G266),$G266,IF(ISNUMBER($F266),$F266,"")))</f>
        <v>0.13</v>
      </c>
      <c r="I266" s="37" t="n">
        <f aca="false">IF(OR($A266="",NOT(ISNUMBER($D266)),NOT(ISNUMBER($H266))),"",IF((1-$H266-Parâmetros!$B$6-Parâmetros!$C$6-Parâmetros!$D$6)&lt;=0,"INVALIDO",($D266+IF(ISNUMBER($E266),$E266,0)+IF(ISNUMBER(Parâmetros!$E$6),Parâmetros!$E$6,0))/(1-$H266-Parâmetros!$B$6-Parâmetros!$C$6-Parâmetros!$D$6)))</f>
        <v>854.203703703704</v>
      </c>
      <c r="J266" s="38"/>
      <c r="K266" s="39" t="n">
        <f aca="false">IF(OR($A266="",NOT(ISNUMBER($D266)),NOT(ISNUMBER($H266))),"",IF(AND(ISNUMBER($J266),$J266&gt;0),$J266,IF(ISNUMBER($I266),$I266,"")))</f>
        <v>854.203703703704</v>
      </c>
      <c r="L266" s="40" t="n">
        <f aca="false">IF(ISNUMBER($K266),$K266*$H266,"")</f>
        <v>111.046481481481</v>
      </c>
      <c r="M266" s="40" t="n">
        <f aca="false">IF(ISNUMBER($K266),$K266*Parâmetros!$B$6,"")</f>
        <v>85.4203703703704</v>
      </c>
      <c r="N266" s="40" t="n">
        <f aca="false">IF(ISNUMBER($K266),$K266*Parâmetros!$C$6,"")</f>
        <v>25.6261111111111</v>
      </c>
      <c r="O266" s="40" t="n">
        <f aca="false">IF(ISNUMBER($K266),IF(ISNUMBER(Parâmetros!$E$6),Parâmetros!$E$6,0),"")</f>
        <v>0</v>
      </c>
      <c r="P266" s="41" t="n">
        <f aca="false">IF(ISNUMBER($K266),$K266-$D266-IF(ISNUMBER($E266),$E266,0)-$L266-$M266-$N266-$O266,"")</f>
        <v>170.840740740741</v>
      </c>
      <c r="Q266" s="42" t="n">
        <f aca="false">IF(AND(ISNUMBER($K266),$K266&gt;0),$P266/$K266,"")</f>
        <v>0.2</v>
      </c>
      <c r="R266" s="43"/>
      <c r="S266" s="44" t="str">
        <f aca="false">IF(OR(NOT(ISNUMBER($R266)),$R266=0,NOT(ISNUMBER($K266))),"",$K266*(1-$R266))</f>
        <v/>
      </c>
      <c r="T266" s="45" t="str">
        <f aca="false">IF(ISNUMBER($S266),$S266*$H266,"")</f>
        <v/>
      </c>
      <c r="U266" s="45" t="str">
        <f aca="false">IF(ISNUMBER($S266),$S266*Parâmetros!$B$6,"")</f>
        <v/>
      </c>
      <c r="V266" s="45" t="str">
        <f aca="false">IF(ISNUMBER($S266),$S266*Parâmetros!$C$6,"")</f>
        <v/>
      </c>
      <c r="W266" s="44" t="str">
        <f aca="false">IF(ISNUMBER($S266),$S266-$D266-IF(ISNUMBER($E266),$E266,0)-$O266-$T266-$U266-$V266,"")</f>
        <v/>
      </c>
      <c r="X266" s="46" t="str">
        <f aca="false">IF(AND(ISNUMBER($S266),$S266&gt;0),$W266/$S266,"")</f>
        <v/>
      </c>
      <c r="Y266" s="47"/>
      <c r="Z266" s="19"/>
    </row>
    <row r="267" customFormat="false" ht="15.75" hidden="false" customHeight="true" outlineLevel="0" collapsed="false">
      <c r="A267" s="48" t="str">
        <f aca="false">IF(Produtos!$A267="","",Produtos!$A267)</f>
        <v>P3070RA</v>
      </c>
      <c r="B267" s="48" t="str">
        <f aca="false">IF(Produtos!$A267="","",Produtos!$B267)</f>
        <v>Lixeira c/Tampa Pedal 30x70 60L c/Rodízios e Alças</v>
      </c>
      <c r="C267" s="48" t="str">
        <f aca="false">IF(Produtos!$A267="","",Produtos!$C267)</f>
        <v>Lixeiras com pedal</v>
      </c>
      <c r="D267" s="33" t="n">
        <f aca="false">IF(Produtos!$A267="","",IF(Produtos!$D267="","",Produtos!$D267))</f>
        <v>535.39</v>
      </c>
      <c r="E267" s="11" t="n">
        <v>0</v>
      </c>
      <c r="F267" s="34" t="n">
        <f aca="false">IF($A267="","",IF($C267="","⚠ categoria",IFERROR(INDEX(Parâmetros!$D$13:$D$22,MATCH($C267,Parâmetros!$A$13:$A$22,0)),"⚠ categoria")))</f>
        <v>0.13</v>
      </c>
      <c r="G267" s="35"/>
      <c r="H267" s="36" t="n">
        <f aca="false">IF($A267="","",IF(ISNUMBER($G267),$G267,IF(ISNUMBER($F267),$F267,"")))</f>
        <v>0.13</v>
      </c>
      <c r="I267" s="37" t="n">
        <f aca="false">IF(OR($A267="",NOT(ISNUMBER($D267)),NOT(ISNUMBER($H267))),"",IF((1-$H267-Parâmetros!$B$6-Parâmetros!$C$6-Parâmetros!$D$6)&lt;=0,"INVALIDO",($D267+IF(ISNUMBER($E267),$E267,0)+IF(ISNUMBER(Parâmetros!$E$6),Parâmetros!$E$6,0))/(1-$H267-Parâmetros!$B$6-Parâmetros!$C$6-Parâmetros!$D$6)))</f>
        <v>991.462962962963</v>
      </c>
      <c r="J267" s="38"/>
      <c r="K267" s="39" t="n">
        <f aca="false">IF(OR($A267="",NOT(ISNUMBER($D267)),NOT(ISNUMBER($H267))),"",IF(AND(ISNUMBER($J267),$J267&gt;0),$J267,IF(ISNUMBER($I267),$I267,"")))</f>
        <v>991.462962962963</v>
      </c>
      <c r="L267" s="40" t="n">
        <f aca="false">IF(ISNUMBER($K267),$K267*$H267,"")</f>
        <v>128.890185185185</v>
      </c>
      <c r="M267" s="40" t="n">
        <f aca="false">IF(ISNUMBER($K267),$K267*Parâmetros!$B$6,"")</f>
        <v>99.1462962962963</v>
      </c>
      <c r="N267" s="40" t="n">
        <f aca="false">IF(ISNUMBER($K267),$K267*Parâmetros!$C$6,"")</f>
        <v>29.7438888888889</v>
      </c>
      <c r="O267" s="40" t="n">
        <f aca="false">IF(ISNUMBER($K267),IF(ISNUMBER(Parâmetros!$E$6),Parâmetros!$E$6,0),"")</f>
        <v>0</v>
      </c>
      <c r="P267" s="41" t="n">
        <f aca="false">IF(ISNUMBER($K267),$K267-$D267-IF(ISNUMBER($E267),$E267,0)-$L267-$M267-$N267-$O267,"")</f>
        <v>198.292592592593</v>
      </c>
      <c r="Q267" s="42" t="n">
        <f aca="false">IF(AND(ISNUMBER($K267),$K267&gt;0),$P267/$K267,"")</f>
        <v>0.2</v>
      </c>
      <c r="R267" s="43"/>
      <c r="S267" s="44" t="str">
        <f aca="false">IF(OR(NOT(ISNUMBER($R267)),$R267=0,NOT(ISNUMBER($K267))),"",$K267*(1-$R267))</f>
        <v/>
      </c>
      <c r="T267" s="45" t="str">
        <f aca="false">IF(ISNUMBER($S267),$S267*$H267,"")</f>
        <v/>
      </c>
      <c r="U267" s="45" t="str">
        <f aca="false">IF(ISNUMBER($S267),$S267*Parâmetros!$B$6,"")</f>
        <v/>
      </c>
      <c r="V267" s="45" t="str">
        <f aca="false">IF(ISNUMBER($S267),$S267*Parâmetros!$C$6,"")</f>
        <v/>
      </c>
      <c r="W267" s="44" t="str">
        <f aca="false">IF(ISNUMBER($S267),$S267-$D267-IF(ISNUMBER($E267),$E267,0)-$O267-$T267-$U267-$V267,"")</f>
        <v/>
      </c>
      <c r="X267" s="46" t="str">
        <f aca="false">IF(AND(ISNUMBER($S267),$S267&gt;0),$W267/$S267,"")</f>
        <v/>
      </c>
      <c r="Y267" s="49"/>
      <c r="Z267" s="21"/>
    </row>
    <row r="268" customFormat="false" ht="15.75" hidden="false" customHeight="true" outlineLevel="0" collapsed="false">
      <c r="A268" s="32" t="str">
        <f aca="false">IF(Produtos!$A268="","",Produtos!$A268)</f>
        <v>P4050RA</v>
      </c>
      <c r="B268" s="32" t="str">
        <f aca="false">IF(Produtos!$A268="","",Produtos!$B268)</f>
        <v>Lixeira c/Tampa Pedal 40x50 65L c/Rodízios e Alças</v>
      </c>
      <c r="C268" s="32" t="str">
        <f aca="false">IF(Produtos!$A268="","",Produtos!$C268)</f>
        <v>Lixeiras com pedal</v>
      </c>
      <c r="D268" s="33" t="n">
        <f aca="false">IF(Produtos!$A268="","",IF(Produtos!$D268="","",Produtos!$D268))</f>
        <v>617.39</v>
      </c>
      <c r="E268" s="11" t="n">
        <v>0</v>
      </c>
      <c r="F268" s="34" t="n">
        <f aca="false">IF($A268="","",IF($C268="","⚠ categoria",IFERROR(INDEX(Parâmetros!$D$13:$D$22,MATCH($C268,Parâmetros!$A$13:$A$22,0)),"⚠ categoria")))</f>
        <v>0.13</v>
      </c>
      <c r="G268" s="35"/>
      <c r="H268" s="36" t="n">
        <f aca="false">IF($A268="","",IF(ISNUMBER($G268),$G268,IF(ISNUMBER($F268),$F268,"")))</f>
        <v>0.13</v>
      </c>
      <c r="I268" s="37" t="n">
        <f aca="false">IF(OR($A268="",NOT(ISNUMBER($D268)),NOT(ISNUMBER($H268))),"",IF((1-$H268-Parâmetros!$B$6-Parâmetros!$C$6-Parâmetros!$D$6)&lt;=0,"INVALIDO",($D268+IF(ISNUMBER($E268),$E268,0)+IF(ISNUMBER(Parâmetros!$E$6),Parâmetros!$E$6,0))/(1-$H268-Parâmetros!$B$6-Parâmetros!$C$6-Parâmetros!$D$6)))</f>
        <v>1143.31481481481</v>
      </c>
      <c r="J268" s="38"/>
      <c r="K268" s="39" t="n">
        <f aca="false">IF(OR($A268="",NOT(ISNUMBER($D268)),NOT(ISNUMBER($H268))),"",IF(AND(ISNUMBER($J268),$J268&gt;0),$J268,IF(ISNUMBER($I268),$I268,"")))</f>
        <v>1143.31481481481</v>
      </c>
      <c r="L268" s="40" t="n">
        <f aca="false">IF(ISNUMBER($K268),$K268*$H268,"")</f>
        <v>148.630925925926</v>
      </c>
      <c r="M268" s="40" t="n">
        <f aca="false">IF(ISNUMBER($K268),$K268*Parâmetros!$B$6,"")</f>
        <v>114.331481481481</v>
      </c>
      <c r="N268" s="40" t="n">
        <f aca="false">IF(ISNUMBER($K268),$K268*Parâmetros!$C$6,"")</f>
        <v>34.2994444444444</v>
      </c>
      <c r="O268" s="40" t="n">
        <f aca="false">IF(ISNUMBER($K268),IF(ISNUMBER(Parâmetros!$E$6),Parâmetros!$E$6,0),"")</f>
        <v>0</v>
      </c>
      <c r="P268" s="41" t="n">
        <f aca="false">IF(ISNUMBER($K268),$K268-$D268-IF(ISNUMBER($E268),$E268,0)-$L268-$M268-$N268-$O268,"")</f>
        <v>228.662962962963</v>
      </c>
      <c r="Q268" s="42" t="n">
        <f aca="false">IF(AND(ISNUMBER($K268),$K268&gt;0),$P268/$K268,"")</f>
        <v>0.2</v>
      </c>
      <c r="R268" s="43"/>
      <c r="S268" s="44" t="str">
        <f aca="false">IF(OR(NOT(ISNUMBER($R268)),$R268=0,NOT(ISNUMBER($K268))),"",$K268*(1-$R268))</f>
        <v/>
      </c>
      <c r="T268" s="45" t="str">
        <f aca="false">IF(ISNUMBER($S268),$S268*$H268,"")</f>
        <v/>
      </c>
      <c r="U268" s="45" t="str">
        <f aca="false">IF(ISNUMBER($S268),$S268*Parâmetros!$B$6,"")</f>
        <v/>
      </c>
      <c r="V268" s="45" t="str">
        <f aca="false">IF(ISNUMBER($S268),$S268*Parâmetros!$C$6,"")</f>
        <v/>
      </c>
      <c r="W268" s="44" t="str">
        <f aca="false">IF(ISNUMBER($S268),$S268-$D268-IF(ISNUMBER($E268),$E268,0)-$O268-$T268-$U268-$V268,"")</f>
        <v/>
      </c>
      <c r="X268" s="46" t="str">
        <f aca="false">IF(AND(ISNUMBER($S268),$S268&gt;0),$W268/$S268,"")</f>
        <v/>
      </c>
      <c r="Y268" s="47"/>
      <c r="Z268" s="19"/>
    </row>
    <row r="269" customFormat="false" ht="15.75" hidden="false" customHeight="true" outlineLevel="0" collapsed="false">
      <c r="A269" s="48" t="str">
        <f aca="false">IF(Produtos!$A269="","",Produtos!$A269)</f>
        <v>P4060RA</v>
      </c>
      <c r="B269" s="48" t="str">
        <f aca="false">IF(Produtos!$A269="","",Produtos!$B269)</f>
        <v>Lixeira c/Tampa Pedal 40x60 75L c/Rodízios e Alças</v>
      </c>
      <c r="C269" s="48" t="str">
        <f aca="false">IF(Produtos!$A269="","",Produtos!$C269)</f>
        <v>Lixeiras com pedal</v>
      </c>
      <c r="D269" s="33" t="n">
        <f aca="false">IF(Produtos!$A269="","",IF(Produtos!$D269="","",Produtos!$D269))</f>
        <v>659.48</v>
      </c>
      <c r="E269" s="11" t="n">
        <v>0</v>
      </c>
      <c r="F269" s="34" t="n">
        <f aca="false">IF($A269="","",IF($C269="","⚠ categoria",IFERROR(INDEX(Parâmetros!$D$13:$D$22,MATCH($C269,Parâmetros!$A$13:$A$22,0)),"⚠ categoria")))</f>
        <v>0.13</v>
      </c>
      <c r="G269" s="35"/>
      <c r="H269" s="36" t="n">
        <f aca="false">IF($A269="","",IF(ISNUMBER($G269),$G269,IF(ISNUMBER($F269),$F269,"")))</f>
        <v>0.13</v>
      </c>
      <c r="I269" s="37" t="n">
        <f aca="false">IF(OR($A269="",NOT(ISNUMBER($D269)),NOT(ISNUMBER($H269))),"",IF((1-$H269-Parâmetros!$B$6-Parâmetros!$C$6-Parâmetros!$D$6)&lt;=0,"INVALIDO",($D269+IF(ISNUMBER($E269),$E269,0)+IF(ISNUMBER(Parâmetros!$E$6),Parâmetros!$E$6,0))/(1-$H269-Parâmetros!$B$6-Parâmetros!$C$6-Parâmetros!$D$6)))</f>
        <v>1221.25925925926</v>
      </c>
      <c r="J269" s="38"/>
      <c r="K269" s="39" t="n">
        <f aca="false">IF(OR($A269="",NOT(ISNUMBER($D269)),NOT(ISNUMBER($H269))),"",IF(AND(ISNUMBER($J269),$J269&gt;0),$J269,IF(ISNUMBER($I269),$I269,"")))</f>
        <v>1221.25925925926</v>
      </c>
      <c r="L269" s="40" t="n">
        <f aca="false">IF(ISNUMBER($K269),$K269*$H269,"")</f>
        <v>158.763703703704</v>
      </c>
      <c r="M269" s="40" t="n">
        <f aca="false">IF(ISNUMBER($K269),$K269*Parâmetros!$B$6,"")</f>
        <v>122.125925925926</v>
      </c>
      <c r="N269" s="40" t="n">
        <f aca="false">IF(ISNUMBER($K269),$K269*Parâmetros!$C$6,"")</f>
        <v>36.6377777777778</v>
      </c>
      <c r="O269" s="40" t="n">
        <f aca="false">IF(ISNUMBER($K269),IF(ISNUMBER(Parâmetros!$E$6),Parâmetros!$E$6,0),"")</f>
        <v>0</v>
      </c>
      <c r="P269" s="41" t="n">
        <f aca="false">IF(ISNUMBER($K269),$K269-$D269-IF(ISNUMBER($E269),$E269,0)-$L269-$M269-$N269-$O269,"")</f>
        <v>244.251851851852</v>
      </c>
      <c r="Q269" s="42" t="n">
        <f aca="false">IF(AND(ISNUMBER($K269),$K269&gt;0),$P269/$K269,"")</f>
        <v>0.2</v>
      </c>
      <c r="R269" s="43"/>
      <c r="S269" s="44" t="str">
        <f aca="false">IF(OR(NOT(ISNUMBER($R269)),$R269=0,NOT(ISNUMBER($K269))),"",$K269*(1-$R269))</f>
        <v/>
      </c>
      <c r="T269" s="45" t="str">
        <f aca="false">IF(ISNUMBER($S269),$S269*$H269,"")</f>
        <v/>
      </c>
      <c r="U269" s="45" t="str">
        <f aca="false">IF(ISNUMBER($S269),$S269*Parâmetros!$B$6,"")</f>
        <v/>
      </c>
      <c r="V269" s="45" t="str">
        <f aca="false">IF(ISNUMBER($S269),$S269*Parâmetros!$C$6,"")</f>
        <v/>
      </c>
      <c r="W269" s="44" t="str">
        <f aca="false">IF(ISNUMBER($S269),$S269-$D269-IF(ISNUMBER($E269),$E269,0)-$O269-$T269-$U269-$V269,"")</f>
        <v/>
      </c>
      <c r="X269" s="46" t="str">
        <f aca="false">IF(AND(ISNUMBER($S269),$S269&gt;0),$W269/$S269,"")</f>
        <v/>
      </c>
      <c r="Y269" s="49"/>
      <c r="Z269" s="21"/>
    </row>
    <row r="270" customFormat="false" ht="15.75" hidden="false" customHeight="true" outlineLevel="0" collapsed="false">
      <c r="A270" s="32" t="str">
        <f aca="false">IF(Produtos!$A270="","",Produtos!$A270)</f>
        <v>P4070RA</v>
      </c>
      <c r="B270" s="32" t="str">
        <f aca="false">IF(Produtos!$A270="","",Produtos!$B270)</f>
        <v>Lixeira c/Tampa Pedal 40x70 80L c/Rodízios e Alças</v>
      </c>
      <c r="C270" s="32" t="str">
        <f aca="false">IF(Produtos!$A270="","",Produtos!$C270)</f>
        <v>Lixeiras com pedal</v>
      </c>
      <c r="D270" s="33" t="n">
        <f aca="false">IF(Produtos!$A270="","",IF(Produtos!$D270="","",Produtos!$D270))</f>
        <v>698.31</v>
      </c>
      <c r="E270" s="11" t="n">
        <v>0</v>
      </c>
      <c r="F270" s="34" t="n">
        <f aca="false">IF($A270="","",IF($C270="","⚠ categoria",IFERROR(INDEX(Parâmetros!$D$13:$D$22,MATCH($C270,Parâmetros!$A$13:$A$22,0)),"⚠ categoria")))</f>
        <v>0.13</v>
      </c>
      <c r="G270" s="35"/>
      <c r="H270" s="36" t="n">
        <f aca="false">IF($A270="","",IF(ISNUMBER($G270),$G270,IF(ISNUMBER($F270),$F270,"")))</f>
        <v>0.13</v>
      </c>
      <c r="I270" s="37" t="n">
        <f aca="false">IF(OR($A270="",NOT(ISNUMBER($D270)),NOT(ISNUMBER($H270))),"",IF((1-$H270-Parâmetros!$B$6-Parâmetros!$C$6-Parâmetros!$D$6)&lt;=0,"INVALIDO",($D270+IF(ISNUMBER($E270),$E270,0)+IF(ISNUMBER(Parâmetros!$E$6),Parâmetros!$E$6,0))/(1-$H270-Parâmetros!$B$6-Parâmetros!$C$6-Parâmetros!$D$6)))</f>
        <v>1293.16666666667</v>
      </c>
      <c r="J270" s="38" t="n">
        <v>1290.49</v>
      </c>
      <c r="K270" s="39" t="n">
        <f aca="false">IF(OR($A270="",NOT(ISNUMBER($D270)),NOT(ISNUMBER($H270))),"",IF(AND(ISNUMBER($J270),$J270&gt;0),$J270,IF(ISNUMBER($I270),$I270,"")))</f>
        <v>1290.49</v>
      </c>
      <c r="L270" s="40" t="n">
        <f aca="false">IF(ISNUMBER($K270),$K270*$H270,"")</f>
        <v>167.7637</v>
      </c>
      <c r="M270" s="40" t="n">
        <f aca="false">IF(ISNUMBER($K270),$K270*Parâmetros!$B$6,"")</f>
        <v>129.049</v>
      </c>
      <c r="N270" s="40" t="n">
        <f aca="false">IF(ISNUMBER($K270),$K270*Parâmetros!$C$6,"")</f>
        <v>38.7147</v>
      </c>
      <c r="O270" s="40" t="n">
        <f aca="false">IF(ISNUMBER($K270),IF(ISNUMBER(Parâmetros!$E$6),Parâmetros!$E$6,0),"")</f>
        <v>0</v>
      </c>
      <c r="P270" s="41" t="n">
        <f aca="false">IF(ISNUMBER($K270),$K270-$D270-IF(ISNUMBER($E270),$E270,0)-$L270-$M270-$N270-$O270,"")</f>
        <v>256.6526</v>
      </c>
      <c r="Q270" s="42" t="n">
        <f aca="false">IF(AND(ISNUMBER($K270),$K270&gt;0),$P270/$K270,"")</f>
        <v>0.198879960325148</v>
      </c>
      <c r="R270" s="43"/>
      <c r="S270" s="44" t="str">
        <f aca="false">IF(OR(NOT(ISNUMBER($R270)),$R270=0,NOT(ISNUMBER($K270))),"",$K270*(1-$R270))</f>
        <v/>
      </c>
      <c r="T270" s="45" t="str">
        <f aca="false">IF(ISNUMBER($S270),$S270*$H270,"")</f>
        <v/>
      </c>
      <c r="U270" s="45" t="str">
        <f aca="false">IF(ISNUMBER($S270),$S270*Parâmetros!$B$6,"")</f>
        <v/>
      </c>
      <c r="V270" s="45" t="str">
        <f aca="false">IF(ISNUMBER($S270),$S270*Parâmetros!$C$6,"")</f>
        <v/>
      </c>
      <c r="W270" s="44" t="str">
        <f aca="false">IF(ISNUMBER($S270),$S270-$D270-IF(ISNUMBER($E270),$E270,0)-$O270-$T270-$U270-$V270,"")</f>
        <v/>
      </c>
      <c r="X270" s="46" t="str">
        <f aca="false">IF(AND(ISNUMBER($S270),$S270&gt;0),$W270/$S270,"")</f>
        <v/>
      </c>
      <c r="Y270" s="47" t="s">
        <v>737</v>
      </c>
      <c r="Z270" s="19" t="s">
        <v>749</v>
      </c>
    </row>
    <row r="271" customFormat="false" ht="15.75" hidden="false" customHeight="true" outlineLevel="0" collapsed="false">
      <c r="A271" s="48" t="str">
        <f aca="false">IF(Produtos!$A271="","",Produtos!$A271)</f>
        <v>P4075RA</v>
      </c>
      <c r="B271" s="48" t="str">
        <f aca="false">IF(Produtos!$A271="","",Produtos!$B271)</f>
        <v>Lixeira c/Tampa Pedal 40x75 95L c/Rodízios e Alças</v>
      </c>
      <c r="C271" s="48" t="str">
        <f aca="false">IF(Produtos!$A271="","",Produtos!$C271)</f>
        <v>Lixeiras com pedal</v>
      </c>
      <c r="D271" s="33" t="n">
        <f aca="false">IF(Produtos!$A271="","",IF(Produtos!$D271="","",Produtos!$D271))</f>
        <v>731.92</v>
      </c>
      <c r="E271" s="11" t="n">
        <v>0</v>
      </c>
      <c r="F271" s="34" t="n">
        <f aca="false">IF($A271="","",IF($C271="","⚠ categoria",IFERROR(INDEX(Parâmetros!$D$13:$D$22,MATCH($C271,Parâmetros!$A$13:$A$22,0)),"⚠ categoria")))</f>
        <v>0.13</v>
      </c>
      <c r="G271" s="35"/>
      <c r="H271" s="36" t="n">
        <f aca="false">IF($A271="","",IF(ISNUMBER($G271),$G271,IF(ISNUMBER($F271),$F271,"")))</f>
        <v>0.13</v>
      </c>
      <c r="I271" s="37" t="n">
        <f aca="false">IF(OR($A271="",NOT(ISNUMBER($D271)),NOT(ISNUMBER($H271))),"",IF((1-$H271-Parâmetros!$B$6-Parâmetros!$C$6-Parâmetros!$D$6)&lt;=0,"INVALIDO",($D271+IF(ISNUMBER($E271),$E271,0)+IF(ISNUMBER(Parâmetros!$E$6),Parâmetros!$E$6,0))/(1-$H271-Parâmetros!$B$6-Parâmetros!$C$6-Parâmetros!$D$6)))</f>
        <v>1355.40740740741</v>
      </c>
      <c r="J271" s="38"/>
      <c r="K271" s="39" t="n">
        <f aca="false">IF(OR($A271="",NOT(ISNUMBER($D271)),NOT(ISNUMBER($H271))),"",IF(AND(ISNUMBER($J271),$J271&gt;0),$J271,IF(ISNUMBER($I271),$I271,"")))</f>
        <v>1355.40740740741</v>
      </c>
      <c r="L271" s="40" t="n">
        <f aca="false">IF(ISNUMBER($K271),$K271*$H271,"")</f>
        <v>176.202962962963</v>
      </c>
      <c r="M271" s="40" t="n">
        <f aca="false">IF(ISNUMBER($K271),$K271*Parâmetros!$B$6,"")</f>
        <v>135.540740740741</v>
      </c>
      <c r="N271" s="40" t="n">
        <f aca="false">IF(ISNUMBER($K271),$K271*Parâmetros!$C$6,"")</f>
        <v>40.6622222222222</v>
      </c>
      <c r="O271" s="40" t="n">
        <f aca="false">IF(ISNUMBER($K271),IF(ISNUMBER(Parâmetros!$E$6),Parâmetros!$E$6,0),"")</f>
        <v>0</v>
      </c>
      <c r="P271" s="41" t="n">
        <f aca="false">IF(ISNUMBER($K271),$K271-$D271-IF(ISNUMBER($E271),$E271,0)-$L271-$M271-$N271-$O271,"")</f>
        <v>271.081481481481</v>
      </c>
      <c r="Q271" s="42" t="n">
        <f aca="false">IF(AND(ISNUMBER($K271),$K271&gt;0),$P271/$K271,"")</f>
        <v>0.2</v>
      </c>
      <c r="R271" s="43"/>
      <c r="S271" s="44" t="str">
        <f aca="false">IF(OR(NOT(ISNUMBER($R271)),$R271=0,NOT(ISNUMBER($K271))),"",$K271*(1-$R271))</f>
        <v/>
      </c>
      <c r="T271" s="45" t="str">
        <f aca="false">IF(ISNUMBER($S271),$S271*$H271,"")</f>
        <v/>
      </c>
      <c r="U271" s="45" t="str">
        <f aca="false">IF(ISNUMBER($S271),$S271*Parâmetros!$B$6,"")</f>
        <v/>
      </c>
      <c r="V271" s="45" t="str">
        <f aca="false">IF(ISNUMBER($S271),$S271*Parâmetros!$C$6,"")</f>
        <v/>
      </c>
      <c r="W271" s="44" t="str">
        <f aca="false">IF(ISNUMBER($S271),$S271-$D271-IF(ISNUMBER($E271),$E271,0)-$O271-$T271-$U271-$V271,"")</f>
        <v/>
      </c>
      <c r="X271" s="46" t="str">
        <f aca="false">IF(AND(ISNUMBER($S271),$S271&gt;0),$W271/$S271,"")</f>
        <v/>
      </c>
      <c r="Y271" s="49"/>
      <c r="Z271" s="21"/>
    </row>
    <row r="272" customFormat="false" ht="15.75" hidden="false" customHeight="true" outlineLevel="0" collapsed="false">
      <c r="A272" s="32" t="str">
        <f aca="false">IF(Produtos!$A272="","",Produtos!$A272)</f>
        <v>P4080RA</v>
      </c>
      <c r="B272" s="32" t="str">
        <f aca="false">IF(Produtos!$A272="","",Produtos!$B272)</f>
        <v>Lixeira c/Tampa Pedal 40x80 100L c/Rodízios e Alças</v>
      </c>
      <c r="C272" s="32" t="str">
        <f aca="false">IF(Produtos!$A272="","",Produtos!$C272)</f>
        <v>Lixeiras com pedal</v>
      </c>
      <c r="D272" s="33" t="n">
        <f aca="false">IF(Produtos!$A272="","",IF(Produtos!$D272="","",Produtos!$D272))</f>
        <v>816.17</v>
      </c>
      <c r="E272" s="11" t="n">
        <v>0</v>
      </c>
      <c r="F272" s="34" t="n">
        <f aca="false">IF($A272="","",IF($C272="","⚠ categoria",IFERROR(INDEX(Parâmetros!$D$13:$D$22,MATCH($C272,Parâmetros!$A$13:$A$22,0)),"⚠ categoria")))</f>
        <v>0.13</v>
      </c>
      <c r="G272" s="35"/>
      <c r="H272" s="36" t="n">
        <f aca="false">IF($A272="","",IF(ISNUMBER($G272),$G272,IF(ISNUMBER($F272),$F272,"")))</f>
        <v>0.13</v>
      </c>
      <c r="I272" s="37" t="n">
        <f aca="false">IF(OR($A272="",NOT(ISNUMBER($D272)),NOT(ISNUMBER($H272))),"",IF((1-$H272-Parâmetros!$B$6-Parâmetros!$C$6-Parâmetros!$D$6)&lt;=0,"INVALIDO",($D272+IF(ISNUMBER($E272),$E272,0)+IF(ISNUMBER(Parâmetros!$E$6),Parâmetros!$E$6,0))/(1-$H272-Parâmetros!$B$6-Parâmetros!$C$6-Parâmetros!$D$6)))</f>
        <v>1511.42592592593</v>
      </c>
      <c r="J272" s="38"/>
      <c r="K272" s="39" t="n">
        <f aca="false">IF(OR($A272="",NOT(ISNUMBER($D272)),NOT(ISNUMBER($H272))),"",IF(AND(ISNUMBER($J272),$J272&gt;0),$J272,IF(ISNUMBER($I272),$I272,"")))</f>
        <v>1511.42592592593</v>
      </c>
      <c r="L272" s="40" t="n">
        <f aca="false">IF(ISNUMBER($K272),$K272*$H272,"")</f>
        <v>196.48537037037</v>
      </c>
      <c r="M272" s="40" t="n">
        <f aca="false">IF(ISNUMBER($K272),$K272*Parâmetros!$B$6,"")</f>
        <v>151.142592592593</v>
      </c>
      <c r="N272" s="40" t="n">
        <f aca="false">IF(ISNUMBER($K272),$K272*Parâmetros!$C$6,"")</f>
        <v>45.3427777777778</v>
      </c>
      <c r="O272" s="40" t="n">
        <f aca="false">IF(ISNUMBER($K272),IF(ISNUMBER(Parâmetros!$E$6),Parâmetros!$E$6,0),"")</f>
        <v>0</v>
      </c>
      <c r="P272" s="41" t="n">
        <f aca="false">IF(ISNUMBER($K272),$K272-$D272-IF(ISNUMBER($E272),$E272,0)-$L272-$M272-$N272-$O272,"")</f>
        <v>302.285185185185</v>
      </c>
      <c r="Q272" s="42" t="n">
        <f aca="false">IF(AND(ISNUMBER($K272),$K272&gt;0),$P272/$K272,"")</f>
        <v>0.2</v>
      </c>
      <c r="R272" s="43"/>
      <c r="S272" s="44" t="str">
        <f aca="false">IF(OR(NOT(ISNUMBER($R272)),$R272=0,NOT(ISNUMBER($K272))),"",$K272*(1-$R272))</f>
        <v/>
      </c>
      <c r="T272" s="45" t="str">
        <f aca="false">IF(ISNUMBER($S272),$S272*$H272,"")</f>
        <v/>
      </c>
      <c r="U272" s="45" t="str">
        <f aca="false">IF(ISNUMBER($S272),$S272*Parâmetros!$B$6,"")</f>
        <v/>
      </c>
      <c r="V272" s="45" t="str">
        <f aca="false">IF(ISNUMBER($S272),$S272*Parâmetros!$C$6,"")</f>
        <v/>
      </c>
      <c r="W272" s="44" t="str">
        <f aca="false">IF(ISNUMBER($S272),$S272-$D272-IF(ISNUMBER($E272),$E272,0)-$O272-$T272-$U272-$V272,"")</f>
        <v/>
      </c>
      <c r="X272" s="46" t="str">
        <f aca="false">IF(AND(ISNUMBER($S272),$S272&gt;0),$W272/$S272,"")</f>
        <v/>
      </c>
      <c r="Y272" s="47"/>
      <c r="Z272" s="19"/>
    </row>
    <row r="273" customFormat="false" ht="15.75" hidden="false" customHeight="true" outlineLevel="0" collapsed="false">
      <c r="A273" s="48" t="str">
        <f aca="false">IF(Produtos!$A273="","",Produtos!$A273)</f>
        <v>P4090RA</v>
      </c>
      <c r="B273" s="48" t="str">
        <f aca="false">IF(Produtos!$A273="","",Produtos!$B273)</f>
        <v>Lixeira c/Tampa Pedal 40x90 120L c/Rodízios e Alças</v>
      </c>
      <c r="C273" s="48" t="str">
        <f aca="false">IF(Produtos!$A273="","",Produtos!$C273)</f>
        <v>Lixeiras com pedal</v>
      </c>
      <c r="D273" s="33" t="n">
        <f aca="false">IF(Produtos!$A273="","",IF(Produtos!$D273="","",Produtos!$D273))</f>
        <v>1058.68</v>
      </c>
      <c r="E273" s="11" t="n">
        <v>0</v>
      </c>
      <c r="F273" s="34" t="n">
        <f aca="false">IF($A273="","",IF($C273="","⚠ categoria",IFERROR(INDEX(Parâmetros!$D$13:$D$22,MATCH($C273,Parâmetros!$A$13:$A$22,0)),"⚠ categoria")))</f>
        <v>0.13</v>
      </c>
      <c r="G273" s="35"/>
      <c r="H273" s="36" t="n">
        <f aca="false">IF($A273="","",IF(ISNUMBER($G273),$G273,IF(ISNUMBER($F273),$F273,"")))</f>
        <v>0.13</v>
      </c>
      <c r="I273" s="37" t="n">
        <f aca="false">IF(OR($A273="",NOT(ISNUMBER($D273)),NOT(ISNUMBER($H273))),"",IF((1-$H273-Parâmetros!$B$6-Parâmetros!$C$6-Parâmetros!$D$6)&lt;=0,"INVALIDO",($D273+IF(ISNUMBER($E273),$E273,0)+IF(ISNUMBER(Parâmetros!$E$6),Parâmetros!$E$6,0))/(1-$H273-Parâmetros!$B$6-Parâmetros!$C$6-Parâmetros!$D$6)))</f>
        <v>1960.51851851852</v>
      </c>
      <c r="J273" s="38"/>
      <c r="K273" s="39" t="n">
        <f aca="false">IF(OR($A273="",NOT(ISNUMBER($D273)),NOT(ISNUMBER($H273))),"",IF(AND(ISNUMBER($J273),$J273&gt;0),$J273,IF(ISNUMBER($I273),$I273,"")))</f>
        <v>1960.51851851852</v>
      </c>
      <c r="L273" s="40" t="n">
        <f aca="false">IF(ISNUMBER($K273),$K273*$H273,"")</f>
        <v>254.867407407407</v>
      </c>
      <c r="M273" s="40" t="n">
        <f aca="false">IF(ISNUMBER($K273),$K273*Parâmetros!$B$6,"")</f>
        <v>196.051851851852</v>
      </c>
      <c r="N273" s="40" t="n">
        <f aca="false">IF(ISNUMBER($K273),$K273*Parâmetros!$C$6,"")</f>
        <v>58.8155555555556</v>
      </c>
      <c r="O273" s="40" t="n">
        <f aca="false">IF(ISNUMBER($K273),IF(ISNUMBER(Parâmetros!$E$6),Parâmetros!$E$6,0),"")</f>
        <v>0</v>
      </c>
      <c r="P273" s="41" t="n">
        <f aca="false">IF(ISNUMBER($K273),$K273-$D273-IF(ISNUMBER($E273),$E273,0)-$L273-$M273-$N273-$O273,"")</f>
        <v>392.103703703704</v>
      </c>
      <c r="Q273" s="42" t="n">
        <f aca="false">IF(AND(ISNUMBER($K273),$K273&gt;0),$P273/$K273,"")</f>
        <v>0.2</v>
      </c>
      <c r="R273" s="43"/>
      <c r="S273" s="44" t="str">
        <f aca="false">IF(OR(NOT(ISNUMBER($R273)),$R273=0,NOT(ISNUMBER($K273))),"",$K273*(1-$R273))</f>
        <v/>
      </c>
      <c r="T273" s="45" t="str">
        <f aca="false">IF(ISNUMBER($S273),$S273*$H273,"")</f>
        <v/>
      </c>
      <c r="U273" s="45" t="str">
        <f aca="false">IF(ISNUMBER($S273),$S273*Parâmetros!$B$6,"")</f>
        <v/>
      </c>
      <c r="V273" s="45" t="str">
        <f aca="false">IF(ISNUMBER($S273),$S273*Parâmetros!$C$6,"")</f>
        <v/>
      </c>
      <c r="W273" s="44" t="str">
        <f aca="false">IF(ISNUMBER($S273),$S273-$D273-IF(ISNUMBER($E273),$E273,0)-$O273-$T273-$U273-$V273,"")</f>
        <v/>
      </c>
      <c r="X273" s="46" t="str">
        <f aca="false">IF(AND(ISNUMBER($S273),$S273&gt;0),$W273/$S273,"")</f>
        <v/>
      </c>
      <c r="Y273" s="49"/>
      <c r="Z273" s="21"/>
    </row>
    <row r="274" customFormat="false" ht="15.75" hidden="false" customHeight="true" outlineLevel="0" collapsed="false">
      <c r="A274" s="32" t="str">
        <f aca="false">IF(Produtos!$A274="","",Produtos!$A274)</f>
        <v>P3050R</v>
      </c>
      <c r="B274" s="32" t="str">
        <f aca="false">IF(Produtos!$A274="","",Produtos!$B274)</f>
        <v>Lixeira c/Tampa Pedal 30x50 40L c/Rodízios</v>
      </c>
      <c r="C274" s="32" t="str">
        <f aca="false">IF(Produtos!$A274="","",Produtos!$C274)</f>
        <v>Lixeiras com pedal</v>
      </c>
      <c r="D274" s="33" t="n">
        <f aca="false">IF(Produtos!$A274="","",IF(Produtos!$D274="","",Produtos!$D274))</f>
        <v>418.9</v>
      </c>
      <c r="E274" s="11" t="n">
        <v>0</v>
      </c>
      <c r="F274" s="34" t="n">
        <f aca="false">IF($A274="","",IF($C274="","⚠ categoria",IFERROR(INDEX(Parâmetros!$D$13:$D$22,MATCH($C274,Parâmetros!$A$13:$A$22,0)),"⚠ categoria")))</f>
        <v>0.13</v>
      </c>
      <c r="G274" s="35"/>
      <c r="H274" s="36" t="n">
        <f aca="false">IF($A274="","",IF(ISNUMBER($G274),$G274,IF(ISNUMBER($F274),$F274,"")))</f>
        <v>0.13</v>
      </c>
      <c r="I274" s="37" t="n">
        <f aca="false">IF(OR($A274="",NOT(ISNUMBER($D274)),NOT(ISNUMBER($H274))),"",IF((1-$H274-Parâmetros!$B$6-Parâmetros!$C$6-Parâmetros!$D$6)&lt;=0,"INVALIDO",($D274+IF(ISNUMBER($E274),$E274,0)+IF(ISNUMBER(Parâmetros!$E$6),Parâmetros!$E$6,0))/(1-$H274-Parâmetros!$B$6-Parâmetros!$C$6-Parâmetros!$D$6)))</f>
        <v>775.740740740741</v>
      </c>
      <c r="J274" s="38"/>
      <c r="K274" s="39" t="n">
        <f aca="false">IF(OR($A274="",NOT(ISNUMBER($D274)),NOT(ISNUMBER($H274))),"",IF(AND(ISNUMBER($J274),$J274&gt;0),$J274,IF(ISNUMBER($I274),$I274,"")))</f>
        <v>775.740740740741</v>
      </c>
      <c r="L274" s="40" t="n">
        <f aca="false">IF(ISNUMBER($K274),$K274*$H274,"")</f>
        <v>100.846296296296</v>
      </c>
      <c r="M274" s="40" t="n">
        <f aca="false">IF(ISNUMBER($K274),$K274*Parâmetros!$B$6,"")</f>
        <v>77.5740740740741</v>
      </c>
      <c r="N274" s="40" t="n">
        <f aca="false">IF(ISNUMBER($K274),$K274*Parâmetros!$C$6,"")</f>
        <v>23.2722222222222</v>
      </c>
      <c r="O274" s="40" t="n">
        <f aca="false">IF(ISNUMBER($K274),IF(ISNUMBER(Parâmetros!$E$6),Parâmetros!$E$6,0),"")</f>
        <v>0</v>
      </c>
      <c r="P274" s="41" t="n">
        <f aca="false">IF(ISNUMBER($K274),$K274-$D274-IF(ISNUMBER($E274),$E274,0)-$L274-$M274-$N274-$O274,"")</f>
        <v>155.148148148148</v>
      </c>
      <c r="Q274" s="42" t="n">
        <f aca="false">IF(AND(ISNUMBER($K274),$K274&gt;0),$P274/$K274,"")</f>
        <v>0.2</v>
      </c>
      <c r="R274" s="43"/>
      <c r="S274" s="44" t="str">
        <f aca="false">IF(OR(NOT(ISNUMBER($R274)),$R274=0,NOT(ISNUMBER($K274))),"",$K274*(1-$R274))</f>
        <v/>
      </c>
      <c r="T274" s="45" t="str">
        <f aca="false">IF(ISNUMBER($S274),$S274*$H274,"")</f>
        <v/>
      </c>
      <c r="U274" s="45" t="str">
        <f aca="false">IF(ISNUMBER($S274),$S274*Parâmetros!$B$6,"")</f>
        <v/>
      </c>
      <c r="V274" s="45" t="str">
        <f aca="false">IF(ISNUMBER($S274),$S274*Parâmetros!$C$6,"")</f>
        <v/>
      </c>
      <c r="W274" s="44" t="str">
        <f aca="false">IF(ISNUMBER($S274),$S274-$D274-IF(ISNUMBER($E274),$E274,0)-$O274-$T274-$U274-$V274,"")</f>
        <v/>
      </c>
      <c r="X274" s="46" t="str">
        <f aca="false">IF(AND(ISNUMBER($S274),$S274&gt;0),$W274/$S274,"")</f>
        <v/>
      </c>
      <c r="Y274" s="47"/>
      <c r="Z274" s="19"/>
    </row>
    <row r="275" customFormat="false" ht="15.75" hidden="false" customHeight="true" outlineLevel="0" collapsed="false">
      <c r="A275" s="48" t="str">
        <f aca="false">IF(Produtos!$A275="","",Produtos!$A275)</f>
        <v>P3060R</v>
      </c>
      <c r="B275" s="48" t="str">
        <f aca="false">IF(Produtos!$A275="","",Produtos!$B275)</f>
        <v>Lixeira c/Tampa Pedal 30x60 50L c/Rodízios</v>
      </c>
      <c r="C275" s="48" t="str">
        <f aca="false">IF(Produtos!$A275="","",Produtos!$C275)</f>
        <v>Lixeiras com pedal</v>
      </c>
      <c r="D275" s="33" t="n">
        <f aca="false">IF(Produtos!$A275="","",IF(Produtos!$D275="","",Produtos!$D275))</f>
        <v>421.43</v>
      </c>
      <c r="E275" s="11" t="n">
        <v>0</v>
      </c>
      <c r="F275" s="34" t="n">
        <f aca="false">IF($A275="","",IF($C275="","⚠ categoria",IFERROR(INDEX(Parâmetros!$D$13:$D$22,MATCH($C275,Parâmetros!$A$13:$A$22,0)),"⚠ categoria")))</f>
        <v>0.13</v>
      </c>
      <c r="G275" s="35"/>
      <c r="H275" s="36" t="n">
        <f aca="false">IF($A275="","",IF(ISNUMBER($G275),$G275,IF(ISNUMBER($F275),$F275,"")))</f>
        <v>0.13</v>
      </c>
      <c r="I275" s="37" t="n">
        <f aca="false">IF(OR($A275="",NOT(ISNUMBER($D275)),NOT(ISNUMBER($H275))),"",IF((1-$H275-Parâmetros!$B$6-Parâmetros!$C$6-Parâmetros!$D$6)&lt;=0,"INVALIDO",($D275+IF(ISNUMBER($E275),$E275,0)+IF(ISNUMBER(Parâmetros!$E$6),Parâmetros!$E$6,0))/(1-$H275-Parâmetros!$B$6-Parâmetros!$C$6-Parâmetros!$D$6)))</f>
        <v>780.425925925926</v>
      </c>
      <c r="J275" s="38"/>
      <c r="K275" s="39" t="n">
        <f aca="false">IF(OR($A275="",NOT(ISNUMBER($D275)),NOT(ISNUMBER($H275))),"",IF(AND(ISNUMBER($J275),$J275&gt;0),$J275,IF(ISNUMBER($I275),$I275,"")))</f>
        <v>780.425925925926</v>
      </c>
      <c r="L275" s="40" t="n">
        <f aca="false">IF(ISNUMBER($K275),$K275*$H275,"")</f>
        <v>101.45537037037</v>
      </c>
      <c r="M275" s="40" t="n">
        <f aca="false">IF(ISNUMBER($K275),$K275*Parâmetros!$B$6,"")</f>
        <v>78.0425925925926</v>
      </c>
      <c r="N275" s="40" t="n">
        <f aca="false">IF(ISNUMBER($K275),$K275*Parâmetros!$C$6,"")</f>
        <v>23.4127777777778</v>
      </c>
      <c r="O275" s="40" t="n">
        <f aca="false">IF(ISNUMBER($K275),IF(ISNUMBER(Parâmetros!$E$6),Parâmetros!$E$6,0),"")</f>
        <v>0</v>
      </c>
      <c r="P275" s="41" t="n">
        <f aca="false">IF(ISNUMBER($K275),$K275-$D275-IF(ISNUMBER($E275),$E275,0)-$L275-$M275-$N275-$O275,"")</f>
        <v>156.085185185185</v>
      </c>
      <c r="Q275" s="42" t="n">
        <f aca="false">IF(AND(ISNUMBER($K275),$K275&gt;0),$P275/$K275,"")</f>
        <v>0.2</v>
      </c>
      <c r="R275" s="43"/>
      <c r="S275" s="44" t="str">
        <f aca="false">IF(OR(NOT(ISNUMBER($R275)),$R275=0,NOT(ISNUMBER($K275))),"",$K275*(1-$R275))</f>
        <v/>
      </c>
      <c r="T275" s="45" t="str">
        <f aca="false">IF(ISNUMBER($S275),$S275*$H275,"")</f>
        <v/>
      </c>
      <c r="U275" s="45" t="str">
        <f aca="false">IF(ISNUMBER($S275),$S275*Parâmetros!$B$6,"")</f>
        <v/>
      </c>
      <c r="V275" s="45" t="str">
        <f aca="false">IF(ISNUMBER($S275),$S275*Parâmetros!$C$6,"")</f>
        <v/>
      </c>
      <c r="W275" s="44" t="str">
        <f aca="false">IF(ISNUMBER($S275),$S275-$D275-IF(ISNUMBER($E275),$E275,0)-$O275-$T275-$U275-$V275,"")</f>
        <v/>
      </c>
      <c r="X275" s="46" t="str">
        <f aca="false">IF(AND(ISNUMBER($S275),$S275&gt;0),$W275/$S275,"")</f>
        <v/>
      </c>
      <c r="Y275" s="49"/>
      <c r="Z275" s="21"/>
    </row>
    <row r="276" customFormat="false" ht="15.75" hidden="false" customHeight="true" outlineLevel="0" collapsed="false">
      <c r="A276" s="32" t="str">
        <f aca="false">IF(Produtos!$A276="","",Produtos!$A276)</f>
        <v>P3070R</v>
      </c>
      <c r="B276" s="32" t="str">
        <f aca="false">IF(Produtos!$A276="","",Produtos!$B276)</f>
        <v>Lixeira c/Tampa Pedal 30x70 60L c/Rodízios</v>
      </c>
      <c r="C276" s="32" t="str">
        <f aca="false">IF(Produtos!$A276="","",Produtos!$C276)</f>
        <v>Lixeiras com pedal</v>
      </c>
      <c r="D276" s="33" t="n">
        <f aca="false">IF(Produtos!$A276="","",IF(Produtos!$D276="","",Produtos!$D276))</f>
        <v>491.65</v>
      </c>
      <c r="E276" s="11" t="n">
        <v>0</v>
      </c>
      <c r="F276" s="34" t="n">
        <f aca="false">IF($A276="","",IF($C276="","⚠ categoria",IFERROR(INDEX(Parâmetros!$D$13:$D$22,MATCH($C276,Parâmetros!$A$13:$A$22,0)),"⚠ categoria")))</f>
        <v>0.13</v>
      </c>
      <c r="G276" s="35"/>
      <c r="H276" s="36" t="n">
        <f aca="false">IF($A276="","",IF(ISNUMBER($G276),$G276,IF(ISNUMBER($F276),$F276,"")))</f>
        <v>0.13</v>
      </c>
      <c r="I276" s="37" t="n">
        <f aca="false">IF(OR($A276="",NOT(ISNUMBER($D276)),NOT(ISNUMBER($H276))),"",IF((1-$H276-Parâmetros!$B$6-Parâmetros!$C$6-Parâmetros!$D$6)&lt;=0,"INVALIDO",($D276+IF(ISNUMBER($E276),$E276,0)+IF(ISNUMBER(Parâmetros!$E$6),Parâmetros!$E$6,0))/(1-$H276-Parâmetros!$B$6-Parâmetros!$C$6-Parâmetros!$D$6)))</f>
        <v>910.462962962963</v>
      </c>
      <c r="J276" s="38"/>
      <c r="K276" s="39" t="n">
        <f aca="false">IF(OR($A276="",NOT(ISNUMBER($D276)),NOT(ISNUMBER($H276))),"",IF(AND(ISNUMBER($J276),$J276&gt;0),$J276,IF(ISNUMBER($I276),$I276,"")))</f>
        <v>910.462962962963</v>
      </c>
      <c r="L276" s="40" t="n">
        <f aca="false">IF(ISNUMBER($K276),$K276*$H276,"")</f>
        <v>118.360185185185</v>
      </c>
      <c r="M276" s="40" t="n">
        <f aca="false">IF(ISNUMBER($K276),$K276*Parâmetros!$B$6,"")</f>
        <v>91.0462962962963</v>
      </c>
      <c r="N276" s="40" t="n">
        <f aca="false">IF(ISNUMBER($K276),$K276*Parâmetros!$C$6,"")</f>
        <v>27.3138888888889</v>
      </c>
      <c r="O276" s="40" t="n">
        <f aca="false">IF(ISNUMBER($K276),IF(ISNUMBER(Parâmetros!$E$6),Parâmetros!$E$6,0),"")</f>
        <v>0</v>
      </c>
      <c r="P276" s="41" t="n">
        <f aca="false">IF(ISNUMBER($K276),$K276-$D276-IF(ISNUMBER($E276),$E276,0)-$L276-$M276-$N276-$O276,"")</f>
        <v>182.092592592593</v>
      </c>
      <c r="Q276" s="42" t="n">
        <f aca="false">IF(AND(ISNUMBER($K276),$K276&gt;0),$P276/$K276,"")</f>
        <v>0.2</v>
      </c>
      <c r="R276" s="43"/>
      <c r="S276" s="44" t="str">
        <f aca="false">IF(OR(NOT(ISNUMBER($R276)),$R276=0,NOT(ISNUMBER($K276))),"",$K276*(1-$R276))</f>
        <v/>
      </c>
      <c r="T276" s="45" t="str">
        <f aca="false">IF(ISNUMBER($S276),$S276*$H276,"")</f>
        <v/>
      </c>
      <c r="U276" s="45" t="str">
        <f aca="false">IF(ISNUMBER($S276),$S276*Parâmetros!$B$6,"")</f>
        <v/>
      </c>
      <c r="V276" s="45" t="str">
        <f aca="false">IF(ISNUMBER($S276),$S276*Parâmetros!$C$6,"")</f>
        <v/>
      </c>
      <c r="W276" s="44" t="str">
        <f aca="false">IF(ISNUMBER($S276),$S276-$D276-IF(ISNUMBER($E276),$E276,0)-$O276-$T276-$U276-$V276,"")</f>
        <v/>
      </c>
      <c r="X276" s="46" t="str">
        <f aca="false">IF(AND(ISNUMBER($S276),$S276&gt;0),$W276/$S276,"")</f>
        <v/>
      </c>
      <c r="Y276" s="47"/>
      <c r="Z276" s="19"/>
    </row>
    <row r="277" customFormat="false" ht="15.75" hidden="false" customHeight="true" outlineLevel="0" collapsed="false">
      <c r="A277" s="48" t="str">
        <f aca="false">IF(Produtos!$A277="","",Produtos!$A277)</f>
        <v>P4050R</v>
      </c>
      <c r="B277" s="48" t="str">
        <f aca="false">IF(Produtos!$A277="","",Produtos!$B277)</f>
        <v>Lixeira c/Tampa Pedal 40x50 65L c/Rodízios</v>
      </c>
      <c r="C277" s="48" t="str">
        <f aca="false">IF(Produtos!$A277="","",Produtos!$C277)</f>
        <v>Lixeiras com pedal</v>
      </c>
      <c r="D277" s="33" t="n">
        <f aca="false">IF(Produtos!$A277="","",IF(Produtos!$D277="","",Produtos!$D277))</f>
        <v>659.48</v>
      </c>
      <c r="E277" s="11" t="n">
        <v>0</v>
      </c>
      <c r="F277" s="34" t="n">
        <f aca="false">IF($A277="","",IF($C277="","⚠ categoria",IFERROR(INDEX(Parâmetros!$D$13:$D$22,MATCH($C277,Parâmetros!$A$13:$A$22,0)),"⚠ categoria")))</f>
        <v>0.13</v>
      </c>
      <c r="G277" s="35"/>
      <c r="H277" s="36" t="n">
        <f aca="false">IF($A277="","",IF(ISNUMBER($G277),$G277,IF(ISNUMBER($F277),$F277,"")))</f>
        <v>0.13</v>
      </c>
      <c r="I277" s="37" t="n">
        <f aca="false">IF(OR($A277="",NOT(ISNUMBER($D277)),NOT(ISNUMBER($H277))),"",IF((1-$H277-Parâmetros!$B$6-Parâmetros!$C$6-Parâmetros!$D$6)&lt;=0,"INVALIDO",($D277+IF(ISNUMBER($E277),$E277,0)+IF(ISNUMBER(Parâmetros!$E$6),Parâmetros!$E$6,0))/(1-$H277-Parâmetros!$B$6-Parâmetros!$C$6-Parâmetros!$D$6)))</f>
        <v>1221.25925925926</v>
      </c>
      <c r="J277" s="38"/>
      <c r="K277" s="39" t="n">
        <f aca="false">IF(OR($A277="",NOT(ISNUMBER($D277)),NOT(ISNUMBER($H277))),"",IF(AND(ISNUMBER($J277),$J277&gt;0),$J277,IF(ISNUMBER($I277),$I277,"")))</f>
        <v>1221.25925925926</v>
      </c>
      <c r="L277" s="40" t="n">
        <f aca="false">IF(ISNUMBER($K277),$K277*$H277,"")</f>
        <v>158.763703703704</v>
      </c>
      <c r="M277" s="40" t="n">
        <f aca="false">IF(ISNUMBER($K277),$K277*Parâmetros!$B$6,"")</f>
        <v>122.125925925926</v>
      </c>
      <c r="N277" s="40" t="n">
        <f aca="false">IF(ISNUMBER($K277),$K277*Parâmetros!$C$6,"")</f>
        <v>36.6377777777778</v>
      </c>
      <c r="O277" s="40" t="n">
        <f aca="false">IF(ISNUMBER($K277),IF(ISNUMBER(Parâmetros!$E$6),Parâmetros!$E$6,0),"")</f>
        <v>0</v>
      </c>
      <c r="P277" s="41" t="n">
        <f aca="false">IF(ISNUMBER($K277),$K277-$D277-IF(ISNUMBER($E277),$E277,0)-$L277-$M277-$N277-$O277,"")</f>
        <v>244.251851851852</v>
      </c>
      <c r="Q277" s="42" t="n">
        <f aca="false">IF(AND(ISNUMBER($K277),$K277&gt;0),$P277/$K277,"")</f>
        <v>0.2</v>
      </c>
      <c r="R277" s="43"/>
      <c r="S277" s="44" t="str">
        <f aca="false">IF(OR(NOT(ISNUMBER($R277)),$R277=0,NOT(ISNUMBER($K277))),"",$K277*(1-$R277))</f>
        <v/>
      </c>
      <c r="T277" s="45" t="str">
        <f aca="false">IF(ISNUMBER($S277),$S277*$H277,"")</f>
        <v/>
      </c>
      <c r="U277" s="45" t="str">
        <f aca="false">IF(ISNUMBER($S277),$S277*Parâmetros!$B$6,"")</f>
        <v/>
      </c>
      <c r="V277" s="45" t="str">
        <f aca="false">IF(ISNUMBER($S277),$S277*Parâmetros!$C$6,"")</f>
        <v/>
      </c>
      <c r="W277" s="44" t="str">
        <f aca="false">IF(ISNUMBER($S277),$S277-$D277-IF(ISNUMBER($E277),$E277,0)-$O277-$T277-$U277-$V277,"")</f>
        <v/>
      </c>
      <c r="X277" s="46" t="str">
        <f aca="false">IF(AND(ISNUMBER($S277),$S277&gt;0),$W277/$S277,"")</f>
        <v/>
      </c>
      <c r="Y277" s="49"/>
      <c r="Z277" s="21"/>
    </row>
    <row r="278" customFormat="false" ht="15.75" hidden="false" customHeight="true" outlineLevel="0" collapsed="false">
      <c r="A278" s="32" t="str">
        <f aca="false">IF(Produtos!$A278="","",Produtos!$A278)</f>
        <v>P4060R</v>
      </c>
      <c r="B278" s="32" t="str">
        <f aca="false">IF(Produtos!$A278="","",Produtos!$B278)</f>
        <v>Lixeira c/Tampa Pedal 40x60 75L c/Rodízios</v>
      </c>
      <c r="C278" s="32" t="str">
        <f aca="false">IF(Produtos!$A278="","",Produtos!$C278)</f>
        <v>Lixeiras com pedal</v>
      </c>
      <c r="D278" s="33" t="n">
        <f aca="false">IF(Produtos!$A278="","",IF(Produtos!$D278="","",Produtos!$D278))</f>
        <v>700.75</v>
      </c>
      <c r="E278" s="11" t="n">
        <v>0</v>
      </c>
      <c r="F278" s="34" t="n">
        <f aca="false">IF($A278="","",IF($C278="","⚠ categoria",IFERROR(INDEX(Parâmetros!$D$13:$D$22,MATCH($C278,Parâmetros!$A$13:$A$22,0)),"⚠ categoria")))</f>
        <v>0.13</v>
      </c>
      <c r="G278" s="35"/>
      <c r="H278" s="36" t="n">
        <f aca="false">IF($A278="","",IF(ISNUMBER($G278),$G278,IF(ISNUMBER($F278),$F278,"")))</f>
        <v>0.13</v>
      </c>
      <c r="I278" s="37" t="n">
        <f aca="false">IF(OR($A278="",NOT(ISNUMBER($D278)),NOT(ISNUMBER($H278))),"",IF((1-$H278-Parâmetros!$B$6-Parâmetros!$C$6-Parâmetros!$D$6)&lt;=0,"INVALIDO",($D278+IF(ISNUMBER($E278),$E278,0)+IF(ISNUMBER(Parâmetros!$E$6),Parâmetros!$E$6,0))/(1-$H278-Parâmetros!$B$6-Parâmetros!$C$6-Parâmetros!$D$6)))</f>
        <v>1297.68518518519</v>
      </c>
      <c r="J278" s="38"/>
      <c r="K278" s="39" t="n">
        <f aca="false">IF(OR($A278="",NOT(ISNUMBER($D278)),NOT(ISNUMBER($H278))),"",IF(AND(ISNUMBER($J278),$J278&gt;0),$J278,IF(ISNUMBER($I278),$I278,"")))</f>
        <v>1297.68518518519</v>
      </c>
      <c r="L278" s="40" t="n">
        <f aca="false">IF(ISNUMBER($K278),$K278*$H278,"")</f>
        <v>168.699074074074</v>
      </c>
      <c r="M278" s="40" t="n">
        <f aca="false">IF(ISNUMBER($K278),$K278*Parâmetros!$B$6,"")</f>
        <v>129.768518518519</v>
      </c>
      <c r="N278" s="40" t="n">
        <f aca="false">IF(ISNUMBER($K278),$K278*Parâmetros!$C$6,"")</f>
        <v>38.9305555555556</v>
      </c>
      <c r="O278" s="40" t="n">
        <f aca="false">IF(ISNUMBER($K278),IF(ISNUMBER(Parâmetros!$E$6),Parâmetros!$E$6,0),"")</f>
        <v>0</v>
      </c>
      <c r="P278" s="41" t="n">
        <f aca="false">IF(ISNUMBER($K278),$K278-$D278-IF(ISNUMBER($E278),$E278,0)-$L278-$M278-$N278-$O278,"")</f>
        <v>259.537037037037</v>
      </c>
      <c r="Q278" s="42" t="n">
        <f aca="false">IF(AND(ISNUMBER($K278),$K278&gt;0),$P278/$K278,"")</f>
        <v>0.2</v>
      </c>
      <c r="R278" s="43"/>
      <c r="S278" s="44" t="str">
        <f aca="false">IF(OR(NOT(ISNUMBER($R278)),$R278=0,NOT(ISNUMBER($K278))),"",$K278*(1-$R278))</f>
        <v/>
      </c>
      <c r="T278" s="45" t="str">
        <f aca="false">IF(ISNUMBER($S278),$S278*$H278,"")</f>
        <v/>
      </c>
      <c r="U278" s="45" t="str">
        <f aca="false">IF(ISNUMBER($S278),$S278*Parâmetros!$B$6,"")</f>
        <v/>
      </c>
      <c r="V278" s="45" t="str">
        <f aca="false">IF(ISNUMBER($S278),$S278*Parâmetros!$C$6,"")</f>
        <v/>
      </c>
      <c r="W278" s="44" t="str">
        <f aca="false">IF(ISNUMBER($S278),$S278-$D278-IF(ISNUMBER($E278),$E278,0)-$O278-$T278-$U278-$V278,"")</f>
        <v/>
      </c>
      <c r="X278" s="46" t="str">
        <f aca="false">IF(AND(ISNUMBER($S278),$S278&gt;0),$W278/$S278,"")</f>
        <v/>
      </c>
      <c r="Y278" s="47"/>
      <c r="Z278" s="19"/>
    </row>
    <row r="279" customFormat="false" ht="15.75" hidden="false" customHeight="true" outlineLevel="0" collapsed="false">
      <c r="A279" s="48" t="str">
        <f aca="false">IF(Produtos!$A279="","",Produtos!$A279)</f>
        <v>P4070R</v>
      </c>
      <c r="B279" s="48" t="str">
        <f aca="false">IF(Produtos!$A279="","",Produtos!$B279)</f>
        <v>Lixeira c/Tampa Pedal 40x70 80L c/Rodízios</v>
      </c>
      <c r="C279" s="48" t="str">
        <f aca="false">IF(Produtos!$A279="","",Produtos!$C279)</f>
        <v>Lixeiras com pedal</v>
      </c>
      <c r="D279" s="33" t="n">
        <f aca="false">IF(Produtos!$A279="","",IF(Produtos!$D279="","",Produtos!$D279))</f>
        <v>709.85</v>
      </c>
      <c r="E279" s="11" t="n">
        <v>0</v>
      </c>
      <c r="F279" s="34" t="n">
        <f aca="false">IF($A279="","",IF($C279="","⚠ categoria",IFERROR(INDEX(Parâmetros!$D$13:$D$22,MATCH($C279,Parâmetros!$A$13:$A$22,0)),"⚠ categoria")))</f>
        <v>0.13</v>
      </c>
      <c r="G279" s="35"/>
      <c r="H279" s="36" t="n">
        <f aca="false">IF($A279="","",IF(ISNUMBER($G279),$G279,IF(ISNUMBER($F279),$F279,"")))</f>
        <v>0.13</v>
      </c>
      <c r="I279" s="37" t="n">
        <f aca="false">IF(OR($A279="",NOT(ISNUMBER($D279)),NOT(ISNUMBER($H279))),"",IF((1-$H279-Parâmetros!$B$6-Parâmetros!$C$6-Parâmetros!$D$6)&lt;=0,"INVALIDO",($D279+IF(ISNUMBER($E279),$E279,0)+IF(ISNUMBER(Parâmetros!$E$6),Parâmetros!$E$6,0))/(1-$H279-Parâmetros!$B$6-Parâmetros!$C$6-Parâmetros!$D$6)))</f>
        <v>1314.53703703704</v>
      </c>
      <c r="J279" s="38"/>
      <c r="K279" s="39" t="n">
        <f aca="false">IF(OR($A279="",NOT(ISNUMBER($D279)),NOT(ISNUMBER($H279))),"",IF(AND(ISNUMBER($J279),$J279&gt;0),$J279,IF(ISNUMBER($I279),$I279,"")))</f>
        <v>1314.53703703704</v>
      </c>
      <c r="L279" s="40" t="n">
        <f aca="false">IF(ISNUMBER($K279),$K279*$H279,"")</f>
        <v>170.889814814815</v>
      </c>
      <c r="M279" s="40" t="n">
        <f aca="false">IF(ISNUMBER($K279),$K279*Parâmetros!$B$6,"")</f>
        <v>131.453703703704</v>
      </c>
      <c r="N279" s="40" t="n">
        <f aca="false">IF(ISNUMBER($K279),$K279*Parâmetros!$C$6,"")</f>
        <v>39.4361111111111</v>
      </c>
      <c r="O279" s="40" t="n">
        <f aca="false">IF(ISNUMBER($K279),IF(ISNUMBER(Parâmetros!$E$6),Parâmetros!$E$6,0),"")</f>
        <v>0</v>
      </c>
      <c r="P279" s="41" t="n">
        <f aca="false">IF(ISNUMBER($K279),$K279-$D279-IF(ISNUMBER($E279),$E279,0)-$L279-$M279-$N279-$O279,"")</f>
        <v>262.907407407407</v>
      </c>
      <c r="Q279" s="42" t="n">
        <f aca="false">IF(AND(ISNUMBER($K279),$K279&gt;0),$P279/$K279,"")</f>
        <v>0.2</v>
      </c>
      <c r="R279" s="43"/>
      <c r="S279" s="44" t="str">
        <f aca="false">IF(OR(NOT(ISNUMBER($R279)),$R279=0,NOT(ISNUMBER($K279))),"",$K279*(1-$R279))</f>
        <v/>
      </c>
      <c r="T279" s="45" t="str">
        <f aca="false">IF(ISNUMBER($S279),$S279*$H279,"")</f>
        <v/>
      </c>
      <c r="U279" s="45" t="str">
        <f aca="false">IF(ISNUMBER($S279),$S279*Parâmetros!$B$6,"")</f>
        <v/>
      </c>
      <c r="V279" s="45" t="str">
        <f aca="false">IF(ISNUMBER($S279),$S279*Parâmetros!$C$6,"")</f>
        <v/>
      </c>
      <c r="W279" s="44" t="str">
        <f aca="false">IF(ISNUMBER($S279),$S279-$D279-IF(ISNUMBER($E279),$E279,0)-$O279-$T279-$U279-$V279,"")</f>
        <v/>
      </c>
      <c r="X279" s="46" t="str">
        <f aca="false">IF(AND(ISNUMBER($S279),$S279&gt;0),$W279/$S279,"")</f>
        <v/>
      </c>
      <c r="Y279" s="49"/>
      <c r="Z279" s="21"/>
    </row>
    <row r="280" customFormat="false" ht="15.75" hidden="false" customHeight="true" outlineLevel="0" collapsed="false">
      <c r="A280" s="32" t="str">
        <f aca="false">IF(Produtos!$A280="","",Produtos!$A280)</f>
        <v>P4075R</v>
      </c>
      <c r="B280" s="32" t="str">
        <f aca="false">IF(Produtos!$A280="","",Produtos!$B280)</f>
        <v>Lixeira c/Tampa Pedal 40x75 95L c/Rodízios</v>
      </c>
      <c r="C280" s="32" t="str">
        <f aca="false">IF(Produtos!$A280="","",Produtos!$C280)</f>
        <v>Lixeiras com pedal</v>
      </c>
      <c r="D280" s="33" t="n">
        <f aca="false">IF(Produtos!$A280="","",IF(Produtos!$D280="","",Produtos!$D280))</f>
        <v>771.39</v>
      </c>
      <c r="E280" s="11" t="n">
        <v>0</v>
      </c>
      <c r="F280" s="34" t="n">
        <f aca="false">IF($A280="","",IF($C280="","⚠ categoria",IFERROR(INDEX(Parâmetros!$D$13:$D$22,MATCH($C280,Parâmetros!$A$13:$A$22,0)),"⚠ categoria")))</f>
        <v>0.13</v>
      </c>
      <c r="G280" s="35"/>
      <c r="H280" s="36" t="n">
        <f aca="false">IF($A280="","",IF(ISNUMBER($G280),$G280,IF(ISNUMBER($F280),$F280,"")))</f>
        <v>0.13</v>
      </c>
      <c r="I280" s="37" t="n">
        <f aca="false">IF(OR($A280="",NOT(ISNUMBER($D280)),NOT(ISNUMBER($H280))),"",IF((1-$H280-Parâmetros!$B$6-Parâmetros!$C$6-Parâmetros!$D$6)&lt;=0,"INVALIDO",($D280+IF(ISNUMBER($E280),$E280,0)+IF(ISNUMBER(Parâmetros!$E$6),Parâmetros!$E$6,0))/(1-$H280-Parâmetros!$B$6-Parâmetros!$C$6-Parâmetros!$D$6)))</f>
        <v>1428.5</v>
      </c>
      <c r="J280" s="38"/>
      <c r="K280" s="39" t="n">
        <f aca="false">IF(OR($A280="",NOT(ISNUMBER($D280)),NOT(ISNUMBER($H280))),"",IF(AND(ISNUMBER($J280),$J280&gt;0),$J280,IF(ISNUMBER($I280),$I280,"")))</f>
        <v>1428.5</v>
      </c>
      <c r="L280" s="40" t="n">
        <f aca="false">IF(ISNUMBER($K280),$K280*$H280,"")</f>
        <v>185.705</v>
      </c>
      <c r="M280" s="40" t="n">
        <f aca="false">IF(ISNUMBER($K280),$K280*Parâmetros!$B$6,"")</f>
        <v>142.85</v>
      </c>
      <c r="N280" s="40" t="n">
        <f aca="false">IF(ISNUMBER($K280),$K280*Parâmetros!$C$6,"")</f>
        <v>42.855</v>
      </c>
      <c r="O280" s="40" t="n">
        <f aca="false">IF(ISNUMBER($K280),IF(ISNUMBER(Parâmetros!$E$6),Parâmetros!$E$6,0),"")</f>
        <v>0</v>
      </c>
      <c r="P280" s="41" t="n">
        <f aca="false">IF(ISNUMBER($K280),$K280-$D280-IF(ISNUMBER($E280),$E280,0)-$L280-$M280-$N280-$O280,"")</f>
        <v>285.7</v>
      </c>
      <c r="Q280" s="42" t="n">
        <f aca="false">IF(AND(ISNUMBER($K280),$K280&gt;0),$P280/$K280,"")</f>
        <v>0.2</v>
      </c>
      <c r="R280" s="43"/>
      <c r="S280" s="44" t="str">
        <f aca="false">IF(OR(NOT(ISNUMBER($R280)),$R280=0,NOT(ISNUMBER($K280))),"",$K280*(1-$R280))</f>
        <v/>
      </c>
      <c r="T280" s="45" t="str">
        <f aca="false">IF(ISNUMBER($S280),$S280*$H280,"")</f>
        <v/>
      </c>
      <c r="U280" s="45" t="str">
        <f aca="false">IF(ISNUMBER($S280),$S280*Parâmetros!$B$6,"")</f>
        <v/>
      </c>
      <c r="V280" s="45" t="str">
        <f aca="false">IF(ISNUMBER($S280),$S280*Parâmetros!$C$6,"")</f>
        <v/>
      </c>
      <c r="W280" s="44" t="str">
        <f aca="false">IF(ISNUMBER($S280),$S280-$D280-IF(ISNUMBER($E280),$E280,0)-$O280-$T280-$U280-$V280,"")</f>
        <v/>
      </c>
      <c r="X280" s="46" t="str">
        <f aca="false">IF(AND(ISNUMBER($S280),$S280&gt;0),$W280/$S280,"")</f>
        <v/>
      </c>
      <c r="Y280" s="47"/>
      <c r="Z280" s="19"/>
    </row>
    <row r="281" customFormat="false" ht="15.75" hidden="false" customHeight="true" outlineLevel="0" collapsed="false">
      <c r="A281" s="48" t="str">
        <f aca="false">IF(Produtos!$A281="","",Produtos!$A281)</f>
        <v>P4080R</v>
      </c>
      <c r="B281" s="48" t="str">
        <f aca="false">IF(Produtos!$A281="","",Produtos!$B281)</f>
        <v>Lixeira c/Tampa Pedal 40x80 100L c/Rodízios</v>
      </c>
      <c r="C281" s="48" t="str">
        <f aca="false">IF(Produtos!$A281="","",Produtos!$C281)</f>
        <v>Lixeiras com pedal</v>
      </c>
      <c r="D281" s="33" t="n">
        <f aca="false">IF(Produtos!$A281="","",IF(Produtos!$D281="","",Produtos!$D281))</f>
        <v>847.75</v>
      </c>
      <c r="E281" s="11" t="n">
        <v>0</v>
      </c>
      <c r="F281" s="34" t="n">
        <f aca="false">IF($A281="","",IF($C281="","⚠ categoria",IFERROR(INDEX(Parâmetros!$D$13:$D$22,MATCH($C281,Parâmetros!$A$13:$A$22,0)),"⚠ categoria")))</f>
        <v>0.13</v>
      </c>
      <c r="G281" s="35"/>
      <c r="H281" s="36" t="n">
        <f aca="false">IF($A281="","",IF(ISNUMBER($G281),$G281,IF(ISNUMBER($F281),$F281,"")))</f>
        <v>0.13</v>
      </c>
      <c r="I281" s="37" t="n">
        <f aca="false">IF(OR($A281="",NOT(ISNUMBER($D281)),NOT(ISNUMBER($H281))),"",IF((1-$H281-Parâmetros!$B$6-Parâmetros!$C$6-Parâmetros!$D$6)&lt;=0,"INVALIDO",($D281+IF(ISNUMBER($E281),$E281,0)+IF(ISNUMBER(Parâmetros!$E$6),Parâmetros!$E$6,0))/(1-$H281-Parâmetros!$B$6-Parâmetros!$C$6-Parâmetros!$D$6)))</f>
        <v>1569.90740740741</v>
      </c>
      <c r="J281" s="38"/>
      <c r="K281" s="39" t="n">
        <f aca="false">IF(OR($A281="",NOT(ISNUMBER($D281)),NOT(ISNUMBER($H281))),"",IF(AND(ISNUMBER($J281),$J281&gt;0),$J281,IF(ISNUMBER($I281),$I281,"")))</f>
        <v>1569.90740740741</v>
      </c>
      <c r="L281" s="40" t="n">
        <f aca="false">IF(ISNUMBER($K281),$K281*$H281,"")</f>
        <v>204.087962962963</v>
      </c>
      <c r="M281" s="40" t="n">
        <f aca="false">IF(ISNUMBER($K281),$K281*Parâmetros!$B$6,"")</f>
        <v>156.990740740741</v>
      </c>
      <c r="N281" s="40" t="n">
        <f aca="false">IF(ISNUMBER($K281),$K281*Parâmetros!$C$6,"")</f>
        <v>47.0972222222222</v>
      </c>
      <c r="O281" s="40" t="n">
        <f aca="false">IF(ISNUMBER($K281),IF(ISNUMBER(Parâmetros!$E$6),Parâmetros!$E$6,0),"")</f>
        <v>0</v>
      </c>
      <c r="P281" s="41" t="n">
        <f aca="false">IF(ISNUMBER($K281),$K281-$D281-IF(ISNUMBER($E281),$E281,0)-$L281-$M281-$N281-$O281,"")</f>
        <v>313.981481481481</v>
      </c>
      <c r="Q281" s="42" t="n">
        <f aca="false">IF(AND(ISNUMBER($K281),$K281&gt;0),$P281/$K281,"")</f>
        <v>0.2</v>
      </c>
      <c r="R281" s="43"/>
      <c r="S281" s="44" t="str">
        <f aca="false">IF(OR(NOT(ISNUMBER($R281)),$R281=0,NOT(ISNUMBER($K281))),"",$K281*(1-$R281))</f>
        <v/>
      </c>
      <c r="T281" s="45" t="str">
        <f aca="false">IF(ISNUMBER($S281),$S281*$H281,"")</f>
        <v/>
      </c>
      <c r="U281" s="45" t="str">
        <f aca="false">IF(ISNUMBER($S281),$S281*Parâmetros!$B$6,"")</f>
        <v/>
      </c>
      <c r="V281" s="45" t="str">
        <f aca="false">IF(ISNUMBER($S281),$S281*Parâmetros!$C$6,"")</f>
        <v/>
      </c>
      <c r="W281" s="44" t="str">
        <f aca="false">IF(ISNUMBER($S281),$S281-$D281-IF(ISNUMBER($E281),$E281,0)-$O281-$T281-$U281-$V281,"")</f>
        <v/>
      </c>
      <c r="X281" s="46" t="str">
        <f aca="false">IF(AND(ISNUMBER($S281),$S281&gt;0),$W281/$S281,"")</f>
        <v/>
      </c>
      <c r="Y281" s="49"/>
      <c r="Z281" s="21"/>
    </row>
    <row r="282" customFormat="false" ht="15.75" hidden="false" customHeight="true" outlineLevel="0" collapsed="false">
      <c r="A282" s="32" t="str">
        <f aca="false">IF(Produtos!$A282="","",Produtos!$A282)</f>
        <v>P4090R</v>
      </c>
      <c r="B282" s="32" t="str">
        <f aca="false">IF(Produtos!$A282="","",Produtos!$B282)</f>
        <v>Lixeira c/Tampa Pedal 40x90 120L c/Rodízios</v>
      </c>
      <c r="C282" s="32" t="str">
        <f aca="false">IF(Produtos!$A282="","",Produtos!$C282)</f>
        <v>Lixeiras com pedal</v>
      </c>
      <c r="D282" s="33" t="n">
        <f aca="false">IF(Produtos!$A282="","",IF(Produtos!$D282="","",Produtos!$D282))</f>
        <v>1057.78</v>
      </c>
      <c r="E282" s="11" t="n">
        <v>0</v>
      </c>
      <c r="F282" s="34" t="n">
        <f aca="false">IF($A282="","",IF($C282="","⚠ categoria",IFERROR(INDEX(Parâmetros!$D$13:$D$22,MATCH($C282,Parâmetros!$A$13:$A$22,0)),"⚠ categoria")))</f>
        <v>0.13</v>
      </c>
      <c r="G282" s="35"/>
      <c r="H282" s="36" t="n">
        <f aca="false">IF($A282="","",IF(ISNUMBER($G282),$G282,IF(ISNUMBER($F282),$F282,"")))</f>
        <v>0.13</v>
      </c>
      <c r="I282" s="37" t="n">
        <f aca="false">IF(OR($A282="",NOT(ISNUMBER($D282)),NOT(ISNUMBER($H282))),"",IF((1-$H282-Parâmetros!$B$6-Parâmetros!$C$6-Parâmetros!$D$6)&lt;=0,"INVALIDO",($D282+IF(ISNUMBER($E282),$E282,0)+IF(ISNUMBER(Parâmetros!$E$6),Parâmetros!$E$6,0))/(1-$H282-Parâmetros!$B$6-Parâmetros!$C$6-Parâmetros!$D$6)))</f>
        <v>1958.85185185185</v>
      </c>
      <c r="J282" s="38"/>
      <c r="K282" s="39" t="n">
        <f aca="false">IF(OR($A282="",NOT(ISNUMBER($D282)),NOT(ISNUMBER($H282))),"",IF(AND(ISNUMBER($J282),$J282&gt;0),$J282,IF(ISNUMBER($I282),$I282,"")))</f>
        <v>1958.85185185185</v>
      </c>
      <c r="L282" s="40" t="n">
        <f aca="false">IF(ISNUMBER($K282),$K282*$H282,"")</f>
        <v>254.650740740741</v>
      </c>
      <c r="M282" s="40" t="n">
        <f aca="false">IF(ISNUMBER($K282),$K282*Parâmetros!$B$6,"")</f>
        <v>195.885185185185</v>
      </c>
      <c r="N282" s="40" t="n">
        <f aca="false">IF(ISNUMBER($K282),$K282*Parâmetros!$C$6,"")</f>
        <v>58.7655555555556</v>
      </c>
      <c r="O282" s="40" t="n">
        <f aca="false">IF(ISNUMBER($K282),IF(ISNUMBER(Parâmetros!$E$6),Parâmetros!$E$6,0),"")</f>
        <v>0</v>
      </c>
      <c r="P282" s="41" t="n">
        <f aca="false">IF(ISNUMBER($K282),$K282-$D282-IF(ISNUMBER($E282),$E282,0)-$L282-$M282-$N282-$O282,"")</f>
        <v>391.77037037037</v>
      </c>
      <c r="Q282" s="42" t="n">
        <f aca="false">IF(AND(ISNUMBER($K282),$K282&gt;0),$P282/$K282,"")</f>
        <v>0.2</v>
      </c>
      <c r="R282" s="43"/>
      <c r="S282" s="44" t="str">
        <f aca="false">IF(OR(NOT(ISNUMBER($R282)),$R282=0,NOT(ISNUMBER($K282))),"",$K282*(1-$R282))</f>
        <v/>
      </c>
      <c r="T282" s="45" t="str">
        <f aca="false">IF(ISNUMBER($S282),$S282*$H282,"")</f>
        <v/>
      </c>
      <c r="U282" s="45" t="str">
        <f aca="false">IF(ISNUMBER($S282),$S282*Parâmetros!$B$6,"")</f>
        <v/>
      </c>
      <c r="V282" s="45" t="str">
        <f aca="false">IF(ISNUMBER($S282),$S282*Parâmetros!$C$6,"")</f>
        <v/>
      </c>
      <c r="W282" s="44" t="str">
        <f aca="false">IF(ISNUMBER($S282),$S282-$D282-IF(ISNUMBER($E282),$E282,0)-$O282-$T282-$U282-$V282,"")</f>
        <v/>
      </c>
      <c r="X282" s="46" t="str">
        <f aca="false">IF(AND(ISNUMBER($S282),$S282&gt;0),$W282/$S282,"")</f>
        <v/>
      </c>
      <c r="Y282" s="47"/>
      <c r="Z282" s="19"/>
    </row>
    <row r="283" customFormat="false" ht="15.75" hidden="false" customHeight="true" outlineLevel="0" collapsed="false">
      <c r="A283" s="48" t="str">
        <f aca="false">IF(Produtos!$A283="","",Produtos!$A283)</f>
        <v>P1618ALC</v>
      </c>
      <c r="B283" s="48" t="str">
        <f aca="false">IF(Produtos!$A283="","",Produtos!$B283)</f>
        <v>Lixeira c/Tampa Pedal 16x18 03L c/Alças</v>
      </c>
      <c r="C283" s="48" t="str">
        <f aca="false">IF(Produtos!$A283="","",Produtos!$C283)</f>
        <v>Lixeiras com pedal</v>
      </c>
      <c r="D283" s="33" t="n">
        <f aca="false">IF(Produtos!$A283="","",IF(Produtos!$D283="","",Produtos!$D283))</f>
        <v>156.92</v>
      </c>
      <c r="E283" s="11" t="n">
        <v>0</v>
      </c>
      <c r="F283" s="34" t="n">
        <f aca="false">IF($A283="","",IF($C283="","⚠ categoria",IFERROR(INDEX(Parâmetros!$D$13:$D$22,MATCH($C283,Parâmetros!$A$13:$A$22,0)),"⚠ categoria")))</f>
        <v>0.13</v>
      </c>
      <c r="G283" s="35"/>
      <c r="H283" s="36" t="n">
        <f aca="false">IF($A283="","",IF(ISNUMBER($G283),$G283,IF(ISNUMBER($F283),$F283,"")))</f>
        <v>0.13</v>
      </c>
      <c r="I283" s="37" t="n">
        <f aca="false">IF(OR($A283="",NOT(ISNUMBER($D283)),NOT(ISNUMBER($H283))),"",IF((1-$H283-Parâmetros!$B$6-Parâmetros!$C$6-Parâmetros!$D$6)&lt;=0,"INVALIDO",($D283+IF(ISNUMBER($E283),$E283,0)+IF(ISNUMBER(Parâmetros!$E$6),Parâmetros!$E$6,0))/(1-$H283-Parâmetros!$B$6-Parâmetros!$C$6-Parâmetros!$D$6)))</f>
        <v>290.592592592593</v>
      </c>
      <c r="J283" s="38"/>
      <c r="K283" s="39" t="n">
        <f aca="false">IF(OR($A283="",NOT(ISNUMBER($D283)),NOT(ISNUMBER($H283))),"",IF(AND(ISNUMBER($J283),$J283&gt;0),$J283,IF(ISNUMBER($I283),$I283,"")))</f>
        <v>290.592592592593</v>
      </c>
      <c r="L283" s="40" t="n">
        <f aca="false">IF(ISNUMBER($K283),$K283*$H283,"")</f>
        <v>37.777037037037</v>
      </c>
      <c r="M283" s="40" t="n">
        <f aca="false">IF(ISNUMBER($K283),$K283*Parâmetros!$B$6,"")</f>
        <v>29.0592592592593</v>
      </c>
      <c r="N283" s="40" t="n">
        <f aca="false">IF(ISNUMBER($K283),$K283*Parâmetros!$C$6,"")</f>
        <v>8.71777777777778</v>
      </c>
      <c r="O283" s="40" t="n">
        <f aca="false">IF(ISNUMBER($K283),IF(ISNUMBER(Parâmetros!$E$6),Parâmetros!$E$6,0),"")</f>
        <v>0</v>
      </c>
      <c r="P283" s="41" t="n">
        <f aca="false">IF(ISNUMBER($K283),$K283-$D283-IF(ISNUMBER($E283),$E283,0)-$L283-$M283-$N283-$O283,"")</f>
        <v>58.1185185185185</v>
      </c>
      <c r="Q283" s="42" t="n">
        <f aca="false">IF(AND(ISNUMBER($K283),$K283&gt;0),$P283/$K283,"")</f>
        <v>0.2</v>
      </c>
      <c r="R283" s="43"/>
      <c r="S283" s="44" t="str">
        <f aca="false">IF(OR(NOT(ISNUMBER($R283)),$R283=0,NOT(ISNUMBER($K283))),"",$K283*(1-$R283))</f>
        <v/>
      </c>
      <c r="T283" s="45" t="str">
        <f aca="false">IF(ISNUMBER($S283),$S283*$H283,"")</f>
        <v/>
      </c>
      <c r="U283" s="45" t="str">
        <f aca="false">IF(ISNUMBER($S283),$S283*Parâmetros!$B$6,"")</f>
        <v/>
      </c>
      <c r="V283" s="45" t="str">
        <f aca="false">IF(ISNUMBER($S283),$S283*Parâmetros!$C$6,"")</f>
        <v/>
      </c>
      <c r="W283" s="44" t="str">
        <f aca="false">IF(ISNUMBER($S283),$S283-$D283-IF(ISNUMBER($E283),$E283,0)-$O283-$T283-$U283-$V283,"")</f>
        <v/>
      </c>
      <c r="X283" s="46" t="str">
        <f aca="false">IF(AND(ISNUMBER($S283),$S283&gt;0),$W283/$S283,"")</f>
        <v/>
      </c>
      <c r="Y283" s="49"/>
      <c r="Z283" s="21"/>
    </row>
    <row r="284" customFormat="false" ht="15.75" hidden="false" customHeight="true" outlineLevel="0" collapsed="false">
      <c r="A284" s="32" t="str">
        <f aca="false">IF(Produtos!$A284="","",Produtos!$A284)</f>
        <v>P1623ALC</v>
      </c>
      <c r="B284" s="32" t="str">
        <f aca="false">IF(Produtos!$A284="","",Produtos!$B284)</f>
        <v>Lixeira c/Tampa Pedal 16x23 05L c/Alças</v>
      </c>
      <c r="C284" s="32" t="str">
        <f aca="false">IF(Produtos!$A284="","",Produtos!$C284)</f>
        <v>Lixeiras com pedal</v>
      </c>
      <c r="D284" s="33" t="n">
        <f aca="false">IF(Produtos!$A284="","",IF(Produtos!$D284="","",Produtos!$D284))</f>
        <v>170.79</v>
      </c>
      <c r="E284" s="11" t="n">
        <v>0</v>
      </c>
      <c r="F284" s="34" t="n">
        <f aca="false">IF($A284="","",IF($C284="","⚠ categoria",IFERROR(INDEX(Parâmetros!$D$13:$D$22,MATCH($C284,Parâmetros!$A$13:$A$22,0)),"⚠ categoria")))</f>
        <v>0.13</v>
      </c>
      <c r="G284" s="35"/>
      <c r="H284" s="36" t="n">
        <f aca="false">IF($A284="","",IF(ISNUMBER($G284),$G284,IF(ISNUMBER($F284),$F284,"")))</f>
        <v>0.13</v>
      </c>
      <c r="I284" s="37" t="n">
        <f aca="false">IF(OR($A284="",NOT(ISNUMBER($D284)),NOT(ISNUMBER($H284))),"",IF((1-$H284-Parâmetros!$B$6-Parâmetros!$C$6-Parâmetros!$D$6)&lt;=0,"INVALIDO",($D284+IF(ISNUMBER($E284),$E284,0)+IF(ISNUMBER(Parâmetros!$E$6),Parâmetros!$E$6,0))/(1-$H284-Parâmetros!$B$6-Parâmetros!$C$6-Parâmetros!$D$6)))</f>
        <v>316.277777777778</v>
      </c>
      <c r="J284" s="38"/>
      <c r="K284" s="39" t="n">
        <f aca="false">IF(OR($A284="",NOT(ISNUMBER($D284)),NOT(ISNUMBER($H284))),"",IF(AND(ISNUMBER($J284),$J284&gt;0),$J284,IF(ISNUMBER($I284),$I284,"")))</f>
        <v>316.277777777778</v>
      </c>
      <c r="L284" s="40" t="n">
        <f aca="false">IF(ISNUMBER($K284),$K284*$H284,"")</f>
        <v>41.1161111111111</v>
      </c>
      <c r="M284" s="40" t="n">
        <f aca="false">IF(ISNUMBER($K284),$K284*Parâmetros!$B$6,"")</f>
        <v>31.6277777777778</v>
      </c>
      <c r="N284" s="40" t="n">
        <f aca="false">IF(ISNUMBER($K284),$K284*Parâmetros!$C$6,"")</f>
        <v>9.48833333333333</v>
      </c>
      <c r="O284" s="40" t="n">
        <f aca="false">IF(ISNUMBER($K284),IF(ISNUMBER(Parâmetros!$E$6),Parâmetros!$E$6,0),"")</f>
        <v>0</v>
      </c>
      <c r="P284" s="41" t="n">
        <f aca="false">IF(ISNUMBER($K284),$K284-$D284-IF(ISNUMBER($E284),$E284,0)-$L284-$M284-$N284-$O284,"")</f>
        <v>63.2555555555555</v>
      </c>
      <c r="Q284" s="42" t="n">
        <f aca="false">IF(AND(ISNUMBER($K284),$K284&gt;0),$P284/$K284,"")</f>
        <v>0.2</v>
      </c>
      <c r="R284" s="43"/>
      <c r="S284" s="44" t="str">
        <f aca="false">IF(OR(NOT(ISNUMBER($R284)),$R284=0,NOT(ISNUMBER($K284))),"",$K284*(1-$R284))</f>
        <v/>
      </c>
      <c r="T284" s="45" t="str">
        <f aca="false">IF(ISNUMBER($S284),$S284*$H284,"")</f>
        <v/>
      </c>
      <c r="U284" s="45" t="str">
        <f aca="false">IF(ISNUMBER($S284),$S284*Parâmetros!$B$6,"")</f>
        <v/>
      </c>
      <c r="V284" s="45" t="str">
        <f aca="false">IF(ISNUMBER($S284),$S284*Parâmetros!$C$6,"")</f>
        <v/>
      </c>
      <c r="W284" s="44" t="str">
        <f aca="false">IF(ISNUMBER($S284),$S284-$D284-IF(ISNUMBER($E284),$E284,0)-$O284-$T284-$U284-$V284,"")</f>
        <v/>
      </c>
      <c r="X284" s="46" t="str">
        <f aca="false">IF(AND(ISNUMBER($S284),$S284&gt;0),$W284/$S284,"")</f>
        <v/>
      </c>
      <c r="Y284" s="47"/>
      <c r="Z284" s="19"/>
    </row>
    <row r="285" customFormat="false" ht="15.75" hidden="false" customHeight="true" outlineLevel="0" collapsed="false">
      <c r="A285" s="48" t="str">
        <f aca="false">IF(Produtos!$A285="","",Produtos!$A285)</f>
        <v>P2025ALC</v>
      </c>
      <c r="B285" s="48" t="str">
        <f aca="false">IF(Produtos!$A285="","",Produtos!$B285)</f>
        <v>Lixeira c/Tampa Pedal 20x25 07L c/Alças</v>
      </c>
      <c r="C285" s="48" t="str">
        <f aca="false">IF(Produtos!$A285="","",Produtos!$C285)</f>
        <v>Lixeiras com pedal</v>
      </c>
      <c r="D285" s="33" t="n">
        <f aca="false">IF(Produtos!$A285="","",IF(Produtos!$D285="","",Produtos!$D285))</f>
        <v>175.76</v>
      </c>
      <c r="E285" s="11" t="n">
        <v>0</v>
      </c>
      <c r="F285" s="34" t="n">
        <f aca="false">IF($A285="","",IF($C285="","⚠ categoria",IFERROR(INDEX(Parâmetros!$D$13:$D$22,MATCH($C285,Parâmetros!$A$13:$A$22,0)),"⚠ categoria")))</f>
        <v>0.13</v>
      </c>
      <c r="G285" s="35"/>
      <c r="H285" s="36" t="n">
        <f aca="false">IF($A285="","",IF(ISNUMBER($G285),$G285,IF(ISNUMBER($F285),$F285,"")))</f>
        <v>0.13</v>
      </c>
      <c r="I285" s="37" t="n">
        <f aca="false">IF(OR($A285="",NOT(ISNUMBER($D285)),NOT(ISNUMBER($H285))),"",IF((1-$H285-Parâmetros!$B$6-Parâmetros!$C$6-Parâmetros!$D$6)&lt;=0,"INVALIDO",($D285+IF(ISNUMBER($E285),$E285,0)+IF(ISNUMBER(Parâmetros!$E$6),Parâmetros!$E$6,0))/(1-$H285-Parâmetros!$B$6-Parâmetros!$C$6-Parâmetros!$D$6)))</f>
        <v>325.481481481481</v>
      </c>
      <c r="J285" s="38"/>
      <c r="K285" s="39" t="n">
        <f aca="false">IF(OR($A285="",NOT(ISNUMBER($D285)),NOT(ISNUMBER($H285))),"",IF(AND(ISNUMBER($J285),$J285&gt;0),$J285,IF(ISNUMBER($I285),$I285,"")))</f>
        <v>325.481481481481</v>
      </c>
      <c r="L285" s="40" t="n">
        <f aca="false">IF(ISNUMBER($K285),$K285*$H285,"")</f>
        <v>42.3125925925926</v>
      </c>
      <c r="M285" s="40" t="n">
        <f aca="false">IF(ISNUMBER($K285),$K285*Parâmetros!$B$6,"")</f>
        <v>32.5481481481482</v>
      </c>
      <c r="N285" s="40" t="n">
        <f aca="false">IF(ISNUMBER($K285),$K285*Parâmetros!$C$6,"")</f>
        <v>9.76444444444444</v>
      </c>
      <c r="O285" s="40" t="n">
        <f aca="false">IF(ISNUMBER($K285),IF(ISNUMBER(Parâmetros!$E$6),Parâmetros!$E$6,0),"")</f>
        <v>0</v>
      </c>
      <c r="P285" s="41" t="n">
        <f aca="false">IF(ISNUMBER($K285),$K285-$D285-IF(ISNUMBER($E285),$E285,0)-$L285-$M285-$N285-$O285,"")</f>
        <v>65.0962962962963</v>
      </c>
      <c r="Q285" s="42" t="n">
        <f aca="false">IF(AND(ISNUMBER($K285),$K285&gt;0),$P285/$K285,"")</f>
        <v>0.2</v>
      </c>
      <c r="R285" s="43"/>
      <c r="S285" s="44" t="str">
        <f aca="false">IF(OR(NOT(ISNUMBER($R285)),$R285=0,NOT(ISNUMBER($K285))),"",$K285*(1-$R285))</f>
        <v/>
      </c>
      <c r="T285" s="45" t="str">
        <f aca="false">IF(ISNUMBER($S285),$S285*$H285,"")</f>
        <v/>
      </c>
      <c r="U285" s="45" t="str">
        <f aca="false">IF(ISNUMBER($S285),$S285*Parâmetros!$B$6,"")</f>
        <v/>
      </c>
      <c r="V285" s="45" t="str">
        <f aca="false">IF(ISNUMBER($S285),$S285*Parâmetros!$C$6,"")</f>
        <v/>
      </c>
      <c r="W285" s="44" t="str">
        <f aca="false">IF(ISNUMBER($S285),$S285-$D285-IF(ISNUMBER($E285),$E285,0)-$O285-$T285-$U285-$V285,"")</f>
        <v/>
      </c>
      <c r="X285" s="46" t="str">
        <f aca="false">IF(AND(ISNUMBER($S285),$S285&gt;0),$W285/$S285,"")</f>
        <v/>
      </c>
      <c r="Y285" s="49"/>
      <c r="Z285" s="21"/>
    </row>
    <row r="286" customFormat="false" ht="15.75" hidden="false" customHeight="true" outlineLevel="0" collapsed="false">
      <c r="A286" s="32" t="str">
        <f aca="false">IF(Produtos!$A286="","",Produtos!$A286)</f>
        <v>P2030ALC</v>
      </c>
      <c r="B286" s="32" t="str">
        <f aca="false">IF(Produtos!$A286="","",Produtos!$B286)</f>
        <v>Lixeira c/Tampa Pedal 20x30 10L c/Alças</v>
      </c>
      <c r="C286" s="32" t="str">
        <f aca="false">IF(Produtos!$A286="","",Produtos!$C286)</f>
        <v>Lixeiras com pedal</v>
      </c>
      <c r="D286" s="33" t="n">
        <f aca="false">IF(Produtos!$A286="","",IF(Produtos!$D286="","",Produtos!$D286))</f>
        <v>190.1</v>
      </c>
      <c r="E286" s="11" t="n">
        <v>0</v>
      </c>
      <c r="F286" s="34" t="n">
        <f aca="false">IF($A286="","",IF($C286="","⚠ categoria",IFERROR(INDEX(Parâmetros!$D$13:$D$22,MATCH($C286,Parâmetros!$A$13:$A$22,0)),"⚠ categoria")))</f>
        <v>0.13</v>
      </c>
      <c r="G286" s="35"/>
      <c r="H286" s="36" t="n">
        <f aca="false">IF($A286="","",IF(ISNUMBER($G286),$G286,IF(ISNUMBER($F286),$F286,"")))</f>
        <v>0.13</v>
      </c>
      <c r="I286" s="37" t="n">
        <f aca="false">IF(OR($A286="",NOT(ISNUMBER($D286)),NOT(ISNUMBER($H286))),"",IF((1-$H286-Parâmetros!$B$6-Parâmetros!$C$6-Parâmetros!$D$6)&lt;=0,"INVALIDO",($D286+IF(ISNUMBER($E286),$E286,0)+IF(ISNUMBER(Parâmetros!$E$6),Parâmetros!$E$6,0))/(1-$H286-Parâmetros!$B$6-Parâmetros!$C$6-Parâmetros!$D$6)))</f>
        <v>352.037037037037</v>
      </c>
      <c r="J286" s="38"/>
      <c r="K286" s="39" t="n">
        <f aca="false">IF(OR($A286="",NOT(ISNUMBER($D286)),NOT(ISNUMBER($H286))),"",IF(AND(ISNUMBER($J286),$J286&gt;0),$J286,IF(ISNUMBER($I286),$I286,"")))</f>
        <v>352.037037037037</v>
      </c>
      <c r="L286" s="40" t="n">
        <f aca="false">IF(ISNUMBER($K286),$K286*$H286,"")</f>
        <v>45.7648148148148</v>
      </c>
      <c r="M286" s="40" t="n">
        <f aca="false">IF(ISNUMBER($K286),$K286*Parâmetros!$B$6,"")</f>
        <v>35.2037037037037</v>
      </c>
      <c r="N286" s="40" t="n">
        <f aca="false">IF(ISNUMBER($K286),$K286*Parâmetros!$C$6,"")</f>
        <v>10.5611111111111</v>
      </c>
      <c r="O286" s="40" t="n">
        <f aca="false">IF(ISNUMBER($K286),IF(ISNUMBER(Parâmetros!$E$6),Parâmetros!$E$6,0),"")</f>
        <v>0</v>
      </c>
      <c r="P286" s="41" t="n">
        <f aca="false">IF(ISNUMBER($K286),$K286-$D286-IF(ISNUMBER($E286),$E286,0)-$L286-$M286-$N286-$O286,"")</f>
        <v>70.4074074074074</v>
      </c>
      <c r="Q286" s="42" t="n">
        <f aca="false">IF(AND(ISNUMBER($K286),$K286&gt;0),$P286/$K286,"")</f>
        <v>0.2</v>
      </c>
      <c r="R286" s="43"/>
      <c r="S286" s="44" t="str">
        <f aca="false">IF(OR(NOT(ISNUMBER($R286)),$R286=0,NOT(ISNUMBER($K286))),"",$K286*(1-$R286))</f>
        <v/>
      </c>
      <c r="T286" s="45" t="str">
        <f aca="false">IF(ISNUMBER($S286),$S286*$H286,"")</f>
        <v/>
      </c>
      <c r="U286" s="45" t="str">
        <f aca="false">IF(ISNUMBER($S286),$S286*Parâmetros!$B$6,"")</f>
        <v/>
      </c>
      <c r="V286" s="45" t="str">
        <f aca="false">IF(ISNUMBER($S286),$S286*Parâmetros!$C$6,"")</f>
        <v/>
      </c>
      <c r="W286" s="44" t="str">
        <f aca="false">IF(ISNUMBER($S286),$S286-$D286-IF(ISNUMBER($E286),$E286,0)-$O286-$T286-$U286-$V286,"")</f>
        <v/>
      </c>
      <c r="X286" s="46" t="str">
        <f aca="false">IF(AND(ISNUMBER($S286),$S286&gt;0),$W286/$S286,"")</f>
        <v/>
      </c>
      <c r="Y286" s="47"/>
      <c r="Z286" s="19"/>
    </row>
    <row r="287" customFormat="false" ht="15.75" hidden="false" customHeight="true" outlineLevel="0" collapsed="false">
      <c r="A287" s="48" t="str">
        <f aca="false">IF(Produtos!$A287="","",Produtos!$A287)</f>
        <v>P2425ALC</v>
      </c>
      <c r="B287" s="48" t="str">
        <f aca="false">IF(Produtos!$A287="","",Produtos!$B287)</f>
        <v>Lixeira c/Tampa Pedal 24x25 12L c/Alças</v>
      </c>
      <c r="C287" s="48" t="str">
        <f aca="false">IF(Produtos!$A287="","",Produtos!$C287)</f>
        <v>Lixeiras com pedal</v>
      </c>
      <c r="D287" s="33" t="n">
        <f aca="false">IF(Produtos!$A287="","",IF(Produtos!$D287="","",Produtos!$D287))</f>
        <v>192.87</v>
      </c>
      <c r="E287" s="11" t="n">
        <v>0</v>
      </c>
      <c r="F287" s="34" t="n">
        <f aca="false">IF($A287="","",IF($C287="","⚠ categoria",IFERROR(INDEX(Parâmetros!$D$13:$D$22,MATCH($C287,Parâmetros!$A$13:$A$22,0)),"⚠ categoria")))</f>
        <v>0.13</v>
      </c>
      <c r="G287" s="35"/>
      <c r="H287" s="36" t="n">
        <f aca="false">IF($A287="","",IF(ISNUMBER($G287),$G287,IF(ISNUMBER($F287),$F287,"")))</f>
        <v>0.13</v>
      </c>
      <c r="I287" s="37" t="n">
        <f aca="false">IF(OR($A287="",NOT(ISNUMBER($D287)),NOT(ISNUMBER($H287))),"",IF((1-$H287-Parâmetros!$B$6-Parâmetros!$C$6-Parâmetros!$D$6)&lt;=0,"INVALIDO",($D287+IF(ISNUMBER($E287),$E287,0)+IF(ISNUMBER(Parâmetros!$E$6),Parâmetros!$E$6,0))/(1-$H287-Parâmetros!$B$6-Parâmetros!$C$6-Parâmetros!$D$6)))</f>
        <v>357.166666666667</v>
      </c>
      <c r="J287" s="38"/>
      <c r="K287" s="39" t="n">
        <f aca="false">IF(OR($A287="",NOT(ISNUMBER($D287)),NOT(ISNUMBER($H287))),"",IF(AND(ISNUMBER($J287),$J287&gt;0),$J287,IF(ISNUMBER($I287),$I287,"")))</f>
        <v>357.166666666667</v>
      </c>
      <c r="L287" s="40" t="n">
        <f aca="false">IF(ISNUMBER($K287),$K287*$H287,"")</f>
        <v>46.4316666666667</v>
      </c>
      <c r="M287" s="40" t="n">
        <f aca="false">IF(ISNUMBER($K287),$K287*Parâmetros!$B$6,"")</f>
        <v>35.7166666666667</v>
      </c>
      <c r="N287" s="40" t="n">
        <f aca="false">IF(ISNUMBER($K287),$K287*Parâmetros!$C$6,"")</f>
        <v>10.715</v>
      </c>
      <c r="O287" s="40" t="n">
        <f aca="false">IF(ISNUMBER($K287),IF(ISNUMBER(Parâmetros!$E$6),Parâmetros!$E$6,0),"")</f>
        <v>0</v>
      </c>
      <c r="P287" s="41" t="n">
        <f aca="false">IF(ISNUMBER($K287),$K287-$D287-IF(ISNUMBER($E287),$E287,0)-$L287-$M287-$N287-$O287,"")</f>
        <v>71.4333333333333</v>
      </c>
      <c r="Q287" s="42" t="n">
        <f aca="false">IF(AND(ISNUMBER($K287),$K287&gt;0),$P287/$K287,"")</f>
        <v>0.2</v>
      </c>
      <c r="R287" s="43"/>
      <c r="S287" s="44" t="str">
        <f aca="false">IF(OR(NOT(ISNUMBER($R287)),$R287=0,NOT(ISNUMBER($K287))),"",$K287*(1-$R287))</f>
        <v/>
      </c>
      <c r="T287" s="45" t="str">
        <f aca="false">IF(ISNUMBER($S287),$S287*$H287,"")</f>
        <v/>
      </c>
      <c r="U287" s="45" t="str">
        <f aca="false">IF(ISNUMBER($S287),$S287*Parâmetros!$B$6,"")</f>
        <v/>
      </c>
      <c r="V287" s="45" t="str">
        <f aca="false">IF(ISNUMBER($S287),$S287*Parâmetros!$C$6,"")</f>
        <v/>
      </c>
      <c r="W287" s="44" t="str">
        <f aca="false">IF(ISNUMBER($S287),$S287-$D287-IF(ISNUMBER($E287),$E287,0)-$O287-$T287-$U287-$V287,"")</f>
        <v/>
      </c>
      <c r="X287" s="46" t="str">
        <f aca="false">IF(AND(ISNUMBER($S287),$S287&gt;0),$W287/$S287,"")</f>
        <v/>
      </c>
      <c r="Y287" s="49"/>
      <c r="Z287" s="21"/>
    </row>
    <row r="288" customFormat="false" ht="15.75" hidden="false" customHeight="true" outlineLevel="0" collapsed="false">
      <c r="A288" s="32" t="str">
        <f aca="false">IF(Produtos!$A288="","",Produtos!$A288)</f>
        <v>P2430ALC</v>
      </c>
      <c r="B288" s="32" t="str">
        <f aca="false">IF(Produtos!$A288="","",Produtos!$B288)</f>
        <v>Lixeira c/Tampa Pedal 24x30 15L c/Alças</v>
      </c>
      <c r="C288" s="32" t="str">
        <f aca="false">IF(Produtos!$A288="","",Produtos!$C288)</f>
        <v>Lixeiras com pedal</v>
      </c>
      <c r="D288" s="33" t="n">
        <f aca="false">IF(Produtos!$A288="","",IF(Produtos!$D288="","",Produtos!$D288))</f>
        <v>206.44</v>
      </c>
      <c r="E288" s="11" t="n">
        <v>0</v>
      </c>
      <c r="F288" s="34" t="n">
        <f aca="false">IF($A288="","",IF($C288="","⚠ categoria",IFERROR(INDEX(Parâmetros!$D$13:$D$22,MATCH($C288,Parâmetros!$A$13:$A$22,0)),"⚠ categoria")))</f>
        <v>0.13</v>
      </c>
      <c r="G288" s="35"/>
      <c r="H288" s="36" t="n">
        <f aca="false">IF($A288="","",IF(ISNUMBER($G288),$G288,IF(ISNUMBER($F288),$F288,"")))</f>
        <v>0.13</v>
      </c>
      <c r="I288" s="37" t="n">
        <f aca="false">IF(OR($A288="",NOT(ISNUMBER($D288)),NOT(ISNUMBER($H288))),"",IF((1-$H288-Parâmetros!$B$6-Parâmetros!$C$6-Parâmetros!$D$6)&lt;=0,"INVALIDO",($D288+IF(ISNUMBER($E288),$E288,0)+IF(ISNUMBER(Parâmetros!$E$6),Parâmetros!$E$6,0))/(1-$H288-Parâmetros!$B$6-Parâmetros!$C$6-Parâmetros!$D$6)))</f>
        <v>382.296296296296</v>
      </c>
      <c r="J288" s="38"/>
      <c r="K288" s="39" t="n">
        <f aca="false">IF(OR($A288="",NOT(ISNUMBER($D288)),NOT(ISNUMBER($H288))),"",IF(AND(ISNUMBER($J288),$J288&gt;0),$J288,IF(ISNUMBER($I288),$I288,"")))</f>
        <v>382.296296296296</v>
      </c>
      <c r="L288" s="40" t="n">
        <f aca="false">IF(ISNUMBER($K288),$K288*$H288,"")</f>
        <v>49.6985185185185</v>
      </c>
      <c r="M288" s="40" t="n">
        <f aca="false">IF(ISNUMBER($K288),$K288*Parâmetros!$B$6,"")</f>
        <v>38.2296296296296</v>
      </c>
      <c r="N288" s="40" t="n">
        <f aca="false">IF(ISNUMBER($K288),$K288*Parâmetros!$C$6,"")</f>
        <v>11.4688888888889</v>
      </c>
      <c r="O288" s="40" t="n">
        <f aca="false">IF(ISNUMBER($K288),IF(ISNUMBER(Parâmetros!$E$6),Parâmetros!$E$6,0),"")</f>
        <v>0</v>
      </c>
      <c r="P288" s="41" t="n">
        <f aca="false">IF(ISNUMBER($K288),$K288-$D288-IF(ISNUMBER($E288),$E288,0)-$L288-$M288-$N288-$O288,"")</f>
        <v>76.4592592592592</v>
      </c>
      <c r="Q288" s="42" t="n">
        <f aca="false">IF(AND(ISNUMBER($K288),$K288&gt;0),$P288/$K288,"")</f>
        <v>0.2</v>
      </c>
      <c r="R288" s="43"/>
      <c r="S288" s="44" t="str">
        <f aca="false">IF(OR(NOT(ISNUMBER($R288)),$R288=0,NOT(ISNUMBER($K288))),"",$K288*(1-$R288))</f>
        <v/>
      </c>
      <c r="T288" s="45" t="str">
        <f aca="false">IF(ISNUMBER($S288),$S288*$H288,"")</f>
        <v/>
      </c>
      <c r="U288" s="45" t="str">
        <f aca="false">IF(ISNUMBER($S288),$S288*Parâmetros!$B$6,"")</f>
        <v/>
      </c>
      <c r="V288" s="45" t="str">
        <f aca="false">IF(ISNUMBER($S288),$S288*Parâmetros!$C$6,"")</f>
        <v/>
      </c>
      <c r="W288" s="44" t="str">
        <f aca="false">IF(ISNUMBER($S288),$S288-$D288-IF(ISNUMBER($E288),$E288,0)-$O288-$T288-$U288-$V288,"")</f>
        <v/>
      </c>
      <c r="X288" s="46" t="str">
        <f aca="false">IF(AND(ISNUMBER($S288),$S288&gt;0),$W288/$S288,"")</f>
        <v/>
      </c>
      <c r="Y288" s="47"/>
      <c r="Z288" s="19"/>
    </row>
    <row r="289" customFormat="false" ht="15.75" hidden="false" customHeight="true" outlineLevel="0" collapsed="false">
      <c r="A289" s="48" t="str">
        <f aca="false">IF(Produtos!$A289="","",Produtos!$A289)</f>
        <v>P2440ALC</v>
      </c>
      <c r="B289" s="48" t="str">
        <f aca="false">IF(Produtos!$A289="","",Produtos!$B289)</f>
        <v>Lixeira c/Tampa Pedal 24x40 20L c/Alças</v>
      </c>
      <c r="C289" s="48" t="str">
        <f aca="false">IF(Produtos!$A289="","",Produtos!$C289)</f>
        <v>Lixeiras com pedal</v>
      </c>
      <c r="D289" s="33" t="n">
        <f aca="false">IF(Produtos!$A289="","",IF(Produtos!$D289="","",Produtos!$D289))</f>
        <v>217.38</v>
      </c>
      <c r="E289" s="11" t="n">
        <v>0</v>
      </c>
      <c r="F289" s="34" t="n">
        <f aca="false">IF($A289="","",IF($C289="","⚠ categoria",IFERROR(INDEX(Parâmetros!$D$13:$D$22,MATCH($C289,Parâmetros!$A$13:$A$22,0)),"⚠ categoria")))</f>
        <v>0.13</v>
      </c>
      <c r="G289" s="35"/>
      <c r="H289" s="36" t="n">
        <f aca="false">IF($A289="","",IF(ISNUMBER($G289),$G289,IF(ISNUMBER($F289),$F289,"")))</f>
        <v>0.13</v>
      </c>
      <c r="I289" s="37" t="n">
        <f aca="false">IF(OR($A289="",NOT(ISNUMBER($D289)),NOT(ISNUMBER($H289))),"",IF((1-$H289-Parâmetros!$B$6-Parâmetros!$C$6-Parâmetros!$D$6)&lt;=0,"INVALIDO",($D289+IF(ISNUMBER($E289),$E289,0)+IF(ISNUMBER(Parâmetros!$E$6),Parâmetros!$E$6,0))/(1-$H289-Parâmetros!$B$6-Parâmetros!$C$6-Parâmetros!$D$6)))</f>
        <v>402.555555555556</v>
      </c>
      <c r="J289" s="38"/>
      <c r="K289" s="39" t="n">
        <f aca="false">IF(OR($A289="",NOT(ISNUMBER($D289)),NOT(ISNUMBER($H289))),"",IF(AND(ISNUMBER($J289),$J289&gt;0),$J289,IF(ISNUMBER($I289),$I289,"")))</f>
        <v>402.555555555556</v>
      </c>
      <c r="L289" s="40" t="n">
        <f aca="false">IF(ISNUMBER($K289),$K289*$H289,"")</f>
        <v>52.3322222222222</v>
      </c>
      <c r="M289" s="40" t="n">
        <f aca="false">IF(ISNUMBER($K289),$K289*Parâmetros!$B$6,"")</f>
        <v>40.2555555555556</v>
      </c>
      <c r="N289" s="40" t="n">
        <f aca="false">IF(ISNUMBER($K289),$K289*Parâmetros!$C$6,"")</f>
        <v>12.0766666666667</v>
      </c>
      <c r="O289" s="40" t="n">
        <f aca="false">IF(ISNUMBER($K289),IF(ISNUMBER(Parâmetros!$E$6),Parâmetros!$E$6,0),"")</f>
        <v>0</v>
      </c>
      <c r="P289" s="41" t="n">
        <f aca="false">IF(ISNUMBER($K289),$K289-$D289-IF(ISNUMBER($E289),$E289,0)-$L289-$M289-$N289-$O289,"")</f>
        <v>80.5111111111111</v>
      </c>
      <c r="Q289" s="42" t="n">
        <f aca="false">IF(AND(ISNUMBER($K289),$K289&gt;0),$P289/$K289,"")</f>
        <v>0.2</v>
      </c>
      <c r="R289" s="43"/>
      <c r="S289" s="44" t="str">
        <f aca="false">IF(OR(NOT(ISNUMBER($R289)),$R289=0,NOT(ISNUMBER($K289))),"",$K289*(1-$R289))</f>
        <v/>
      </c>
      <c r="T289" s="45" t="str">
        <f aca="false">IF(ISNUMBER($S289),$S289*$H289,"")</f>
        <v/>
      </c>
      <c r="U289" s="45" t="str">
        <f aca="false">IF(ISNUMBER($S289),$S289*Parâmetros!$B$6,"")</f>
        <v/>
      </c>
      <c r="V289" s="45" t="str">
        <f aca="false">IF(ISNUMBER($S289),$S289*Parâmetros!$C$6,"")</f>
        <v/>
      </c>
      <c r="W289" s="44" t="str">
        <f aca="false">IF(ISNUMBER($S289),$S289-$D289-IF(ISNUMBER($E289),$E289,0)-$O289-$T289-$U289-$V289,"")</f>
        <v/>
      </c>
      <c r="X289" s="46" t="str">
        <f aca="false">IF(AND(ISNUMBER($S289),$S289&gt;0),$W289/$S289,"")</f>
        <v/>
      </c>
      <c r="Y289" s="49"/>
      <c r="Z289" s="21"/>
    </row>
    <row r="290" customFormat="false" ht="15.75" hidden="false" customHeight="true" outlineLevel="0" collapsed="false">
      <c r="A290" s="32" t="str">
        <f aca="false">IF(Produtos!$A290="","",Produtos!$A290)</f>
        <v>P3040ALC</v>
      </c>
      <c r="B290" s="32" t="str">
        <f aca="false">IF(Produtos!$A290="","",Produtos!$B290)</f>
        <v>Lixeira c/Tampa Pedal 30x40 30L c/Alças</v>
      </c>
      <c r="C290" s="32" t="str">
        <f aca="false">IF(Produtos!$A290="","",Produtos!$C290)</f>
        <v>Lixeiras com pedal</v>
      </c>
      <c r="D290" s="33" t="n">
        <f aca="false">IF(Produtos!$A290="","",IF(Produtos!$D290="","",Produtos!$D290))</f>
        <v>296.61</v>
      </c>
      <c r="E290" s="11" t="n">
        <v>0</v>
      </c>
      <c r="F290" s="34" t="n">
        <f aca="false">IF($A290="","",IF($C290="","⚠ categoria",IFERROR(INDEX(Parâmetros!$D$13:$D$22,MATCH($C290,Parâmetros!$A$13:$A$22,0)),"⚠ categoria")))</f>
        <v>0.13</v>
      </c>
      <c r="G290" s="35"/>
      <c r="H290" s="36" t="n">
        <f aca="false">IF($A290="","",IF(ISNUMBER($G290),$G290,IF(ISNUMBER($F290),$F290,"")))</f>
        <v>0.13</v>
      </c>
      <c r="I290" s="37" t="n">
        <f aca="false">IF(OR($A290="",NOT(ISNUMBER($D290)),NOT(ISNUMBER($H290))),"",IF((1-$H290-Parâmetros!$B$6-Parâmetros!$C$6-Parâmetros!$D$6)&lt;=0,"INVALIDO",($D290+IF(ISNUMBER($E290),$E290,0)+IF(ISNUMBER(Parâmetros!$E$6),Parâmetros!$E$6,0))/(1-$H290-Parâmetros!$B$6-Parâmetros!$C$6-Parâmetros!$D$6)))</f>
        <v>549.277777777778</v>
      </c>
      <c r="J290" s="38"/>
      <c r="K290" s="39" t="n">
        <f aca="false">IF(OR($A290="",NOT(ISNUMBER($D290)),NOT(ISNUMBER($H290))),"",IF(AND(ISNUMBER($J290),$J290&gt;0),$J290,IF(ISNUMBER($I290),$I290,"")))</f>
        <v>549.277777777778</v>
      </c>
      <c r="L290" s="40" t="n">
        <f aca="false">IF(ISNUMBER($K290),$K290*$H290,"")</f>
        <v>71.4061111111111</v>
      </c>
      <c r="M290" s="40" t="n">
        <f aca="false">IF(ISNUMBER($K290),$K290*Parâmetros!$B$6,"")</f>
        <v>54.9277777777778</v>
      </c>
      <c r="N290" s="40" t="n">
        <f aca="false">IF(ISNUMBER($K290),$K290*Parâmetros!$C$6,"")</f>
        <v>16.4783333333333</v>
      </c>
      <c r="O290" s="40" t="n">
        <f aca="false">IF(ISNUMBER($K290),IF(ISNUMBER(Parâmetros!$E$6),Parâmetros!$E$6,0),"")</f>
        <v>0</v>
      </c>
      <c r="P290" s="41" t="n">
        <f aca="false">IF(ISNUMBER($K290),$K290-$D290-IF(ISNUMBER($E290),$E290,0)-$L290-$M290-$N290-$O290,"")</f>
        <v>109.855555555556</v>
      </c>
      <c r="Q290" s="42" t="n">
        <f aca="false">IF(AND(ISNUMBER($K290),$K290&gt;0),$P290/$K290,"")</f>
        <v>0.2</v>
      </c>
      <c r="R290" s="43"/>
      <c r="S290" s="44" t="str">
        <f aca="false">IF(OR(NOT(ISNUMBER($R290)),$R290=0,NOT(ISNUMBER($K290))),"",$K290*(1-$R290))</f>
        <v/>
      </c>
      <c r="T290" s="45" t="str">
        <f aca="false">IF(ISNUMBER($S290),$S290*$H290,"")</f>
        <v/>
      </c>
      <c r="U290" s="45" t="str">
        <f aca="false">IF(ISNUMBER($S290),$S290*Parâmetros!$B$6,"")</f>
        <v/>
      </c>
      <c r="V290" s="45" t="str">
        <f aca="false">IF(ISNUMBER($S290),$S290*Parâmetros!$C$6,"")</f>
        <v/>
      </c>
      <c r="W290" s="44" t="str">
        <f aca="false">IF(ISNUMBER($S290),$S290-$D290-IF(ISNUMBER($E290),$E290,0)-$O290-$T290-$U290-$V290,"")</f>
        <v/>
      </c>
      <c r="X290" s="46" t="str">
        <f aca="false">IF(AND(ISNUMBER($S290),$S290&gt;0),$W290/$S290,"")</f>
        <v/>
      </c>
      <c r="Y290" s="47"/>
      <c r="Z290" s="19"/>
    </row>
    <row r="291" customFormat="false" ht="15.75" hidden="false" customHeight="true" outlineLevel="0" collapsed="false">
      <c r="A291" s="48" t="str">
        <f aca="false">IF(Produtos!$A291="","",Produtos!$A291)</f>
        <v>P3050ALC</v>
      </c>
      <c r="B291" s="48" t="str">
        <f aca="false">IF(Produtos!$A291="","",Produtos!$B291)</f>
        <v>Lixeira c/Tampa Pedal 30x50 40L c/Alças</v>
      </c>
      <c r="C291" s="48" t="str">
        <f aca="false">IF(Produtos!$A291="","",Produtos!$C291)</f>
        <v>Lixeiras com pedal</v>
      </c>
      <c r="D291" s="33" t="n">
        <f aca="false">IF(Produtos!$A291="","",IF(Produtos!$D291="","",Produtos!$D291))</f>
        <v>345.63</v>
      </c>
      <c r="E291" s="11" t="n">
        <v>0</v>
      </c>
      <c r="F291" s="34" t="n">
        <f aca="false">IF($A291="","",IF($C291="","⚠ categoria",IFERROR(INDEX(Parâmetros!$D$13:$D$22,MATCH($C291,Parâmetros!$A$13:$A$22,0)),"⚠ categoria")))</f>
        <v>0.13</v>
      </c>
      <c r="G291" s="35"/>
      <c r="H291" s="36" t="n">
        <f aca="false">IF($A291="","",IF(ISNUMBER($G291),$G291,IF(ISNUMBER($F291),$F291,"")))</f>
        <v>0.13</v>
      </c>
      <c r="I291" s="37" t="n">
        <f aca="false">IF(OR($A291="",NOT(ISNUMBER($D291)),NOT(ISNUMBER($H291))),"",IF((1-$H291-Parâmetros!$B$6-Parâmetros!$C$6-Parâmetros!$D$6)&lt;=0,"INVALIDO",($D291+IF(ISNUMBER($E291),$E291,0)+IF(ISNUMBER(Parâmetros!$E$6),Parâmetros!$E$6,0))/(1-$H291-Parâmetros!$B$6-Parâmetros!$C$6-Parâmetros!$D$6)))</f>
        <v>640.055555555556</v>
      </c>
      <c r="J291" s="38" t="n">
        <v>623.5</v>
      </c>
      <c r="K291" s="39" t="n">
        <f aca="false">IF(OR($A291="",NOT(ISNUMBER($D291)),NOT(ISNUMBER($H291))),"",IF(AND(ISNUMBER($J291),$J291&gt;0),$J291,IF(ISNUMBER($I291),$I291,"")))</f>
        <v>623.5</v>
      </c>
      <c r="L291" s="40" t="n">
        <f aca="false">IF(ISNUMBER($K291),$K291*$H291,"")</f>
        <v>81.055</v>
      </c>
      <c r="M291" s="40" t="n">
        <f aca="false">IF(ISNUMBER($K291),$K291*Parâmetros!$B$6,"")</f>
        <v>62.35</v>
      </c>
      <c r="N291" s="40" t="n">
        <f aca="false">IF(ISNUMBER($K291),$K291*Parâmetros!$C$6,"")</f>
        <v>18.705</v>
      </c>
      <c r="O291" s="40" t="n">
        <f aca="false">IF(ISNUMBER($K291),IF(ISNUMBER(Parâmetros!$E$6),Parâmetros!$E$6,0),"")</f>
        <v>0</v>
      </c>
      <c r="P291" s="41" t="n">
        <f aca="false">IF(ISNUMBER($K291),$K291-$D291-IF(ISNUMBER($E291),$E291,0)-$L291-$M291-$N291-$O291,"")</f>
        <v>115.76</v>
      </c>
      <c r="Q291" s="42" t="n">
        <f aca="false">IF(AND(ISNUMBER($K291),$K291&gt;0),$P291/$K291,"")</f>
        <v>0.185661587810746</v>
      </c>
      <c r="R291" s="43"/>
      <c r="S291" s="44" t="str">
        <f aca="false">IF(OR(NOT(ISNUMBER($R291)),$R291=0,NOT(ISNUMBER($K291))),"",$K291*(1-$R291))</f>
        <v/>
      </c>
      <c r="T291" s="45" t="str">
        <f aca="false">IF(ISNUMBER($S291),$S291*$H291,"")</f>
        <v/>
      </c>
      <c r="U291" s="45" t="str">
        <f aca="false">IF(ISNUMBER($S291),$S291*Parâmetros!$B$6,"")</f>
        <v/>
      </c>
      <c r="V291" s="45" t="str">
        <f aca="false">IF(ISNUMBER($S291),$S291*Parâmetros!$C$6,"")</f>
        <v/>
      </c>
      <c r="W291" s="44" t="str">
        <f aca="false">IF(ISNUMBER($S291),$S291-$D291-IF(ISNUMBER($E291),$E291,0)-$O291-$T291-$U291-$V291,"")</f>
        <v/>
      </c>
      <c r="X291" s="46" t="str">
        <f aca="false">IF(AND(ISNUMBER($S291),$S291&gt;0),$W291/$S291,"")</f>
        <v/>
      </c>
      <c r="Y291" s="49" t="s">
        <v>737</v>
      </c>
      <c r="Z291" s="21" t="s">
        <v>748</v>
      </c>
    </row>
    <row r="292" customFormat="false" ht="15.75" hidden="false" customHeight="true" outlineLevel="0" collapsed="false">
      <c r="A292" s="32" t="str">
        <f aca="false">IF(Produtos!$A292="","",Produtos!$A292)</f>
        <v>P3060ALC</v>
      </c>
      <c r="B292" s="32" t="str">
        <f aca="false">IF(Produtos!$A292="","",Produtos!$B292)</f>
        <v>Lixeira c/Tampa Pedal 30x60 50L c/Alças</v>
      </c>
      <c r="C292" s="32" t="str">
        <f aca="false">IF(Produtos!$A292="","",Produtos!$C292)</f>
        <v>Lixeiras com pedal</v>
      </c>
      <c r="D292" s="33" t="n">
        <f aca="false">IF(Produtos!$A292="","",IF(Produtos!$D292="","",Produtos!$D292))</f>
        <v>347.99</v>
      </c>
      <c r="E292" s="11" t="n">
        <v>0</v>
      </c>
      <c r="F292" s="34" t="n">
        <f aca="false">IF($A292="","",IF($C292="","⚠ categoria",IFERROR(INDEX(Parâmetros!$D$13:$D$22,MATCH($C292,Parâmetros!$A$13:$A$22,0)),"⚠ categoria")))</f>
        <v>0.13</v>
      </c>
      <c r="G292" s="35"/>
      <c r="H292" s="36" t="n">
        <f aca="false">IF($A292="","",IF(ISNUMBER($G292),$G292,IF(ISNUMBER($F292),$F292,"")))</f>
        <v>0.13</v>
      </c>
      <c r="I292" s="37" t="n">
        <f aca="false">IF(OR($A292="",NOT(ISNUMBER($D292)),NOT(ISNUMBER($H292))),"",IF((1-$H292-Parâmetros!$B$6-Parâmetros!$C$6-Parâmetros!$D$6)&lt;=0,"INVALIDO",($D292+IF(ISNUMBER($E292),$E292,0)+IF(ISNUMBER(Parâmetros!$E$6),Parâmetros!$E$6,0))/(1-$H292-Parâmetros!$B$6-Parâmetros!$C$6-Parâmetros!$D$6)))</f>
        <v>644.425925925926</v>
      </c>
      <c r="J292" s="38" t="n">
        <v>629.08</v>
      </c>
      <c r="K292" s="39" t="n">
        <f aca="false">IF(OR($A292="",NOT(ISNUMBER($D292)),NOT(ISNUMBER($H292))),"",IF(AND(ISNUMBER($J292),$J292&gt;0),$J292,IF(ISNUMBER($I292),$I292,"")))</f>
        <v>629.08</v>
      </c>
      <c r="L292" s="40" t="n">
        <f aca="false">IF(ISNUMBER($K292),$K292*$H292,"")</f>
        <v>81.7804</v>
      </c>
      <c r="M292" s="40" t="n">
        <f aca="false">IF(ISNUMBER($K292),$K292*Parâmetros!$B$6,"")</f>
        <v>62.908</v>
      </c>
      <c r="N292" s="40" t="n">
        <f aca="false">IF(ISNUMBER($K292),$K292*Parâmetros!$C$6,"")</f>
        <v>18.8724</v>
      </c>
      <c r="O292" s="40" t="n">
        <f aca="false">IF(ISNUMBER($K292),IF(ISNUMBER(Parâmetros!$E$6),Parâmetros!$E$6,0),"")</f>
        <v>0</v>
      </c>
      <c r="P292" s="41" t="n">
        <f aca="false">IF(ISNUMBER($K292),$K292-$D292-IF(ISNUMBER($E292),$E292,0)-$L292-$M292-$N292-$O292,"")</f>
        <v>117.5292</v>
      </c>
      <c r="Q292" s="42" t="n">
        <f aca="false">IF(AND(ISNUMBER($K292),$K292&gt;0),$P292/$K292,"")</f>
        <v>0.186827112608889</v>
      </c>
      <c r="R292" s="43"/>
      <c r="S292" s="44" t="str">
        <f aca="false">IF(OR(NOT(ISNUMBER($R292)),$R292=0,NOT(ISNUMBER($K292))),"",$K292*(1-$R292))</f>
        <v/>
      </c>
      <c r="T292" s="45" t="str">
        <f aca="false">IF(ISNUMBER($S292),$S292*$H292,"")</f>
        <v/>
      </c>
      <c r="U292" s="45" t="str">
        <f aca="false">IF(ISNUMBER($S292),$S292*Parâmetros!$B$6,"")</f>
        <v/>
      </c>
      <c r="V292" s="45" t="str">
        <f aca="false">IF(ISNUMBER($S292),$S292*Parâmetros!$C$6,"")</f>
        <v/>
      </c>
      <c r="W292" s="44" t="str">
        <f aca="false">IF(ISNUMBER($S292),$S292-$D292-IF(ISNUMBER($E292),$E292,0)-$O292-$T292-$U292-$V292,"")</f>
        <v/>
      </c>
      <c r="X292" s="46" t="str">
        <f aca="false">IF(AND(ISNUMBER($S292),$S292&gt;0),$W292/$S292,"")</f>
        <v/>
      </c>
      <c r="Y292" s="47" t="s">
        <v>737</v>
      </c>
      <c r="Z292" s="19" t="s">
        <v>748</v>
      </c>
    </row>
    <row r="293" customFormat="false" ht="15.75" hidden="false" customHeight="true" outlineLevel="0" collapsed="false">
      <c r="A293" s="48" t="str">
        <f aca="false">IF(Produtos!$A293="","",Produtos!$A293)</f>
        <v>P3070ALC</v>
      </c>
      <c r="B293" s="48" t="str">
        <f aca="false">IF(Produtos!$A293="","",Produtos!$B293)</f>
        <v>Lixeira c/Tampa Pedal 30x70 60L c/Alças</v>
      </c>
      <c r="C293" s="48" t="str">
        <f aca="false">IF(Produtos!$A293="","",Produtos!$C293)</f>
        <v>Lixeiras com pedal</v>
      </c>
      <c r="D293" s="33" t="n">
        <f aca="false">IF(Produtos!$A293="","",IF(Produtos!$D293="","",Produtos!$D293))</f>
        <v>421.92</v>
      </c>
      <c r="E293" s="11" t="n">
        <v>0</v>
      </c>
      <c r="F293" s="34" t="n">
        <f aca="false">IF($A293="","",IF($C293="","⚠ categoria",IFERROR(INDEX(Parâmetros!$D$13:$D$22,MATCH($C293,Parâmetros!$A$13:$A$22,0)),"⚠ categoria")))</f>
        <v>0.13</v>
      </c>
      <c r="G293" s="35"/>
      <c r="H293" s="36" t="n">
        <f aca="false">IF($A293="","",IF(ISNUMBER($G293),$G293,IF(ISNUMBER($F293),$F293,"")))</f>
        <v>0.13</v>
      </c>
      <c r="I293" s="37" t="n">
        <f aca="false">IF(OR($A293="",NOT(ISNUMBER($D293)),NOT(ISNUMBER($H293))),"",IF((1-$H293-Parâmetros!$B$6-Parâmetros!$C$6-Parâmetros!$D$6)&lt;=0,"INVALIDO",($D293+IF(ISNUMBER($E293),$E293,0)+IF(ISNUMBER(Parâmetros!$E$6),Parâmetros!$E$6,0))/(1-$H293-Parâmetros!$B$6-Parâmetros!$C$6-Parâmetros!$D$6)))</f>
        <v>781.333333333333</v>
      </c>
      <c r="J293" s="38" t="n">
        <v>840.63</v>
      </c>
      <c r="K293" s="39" t="n">
        <f aca="false">IF(OR($A293="",NOT(ISNUMBER($D293)),NOT(ISNUMBER($H293))),"",IF(AND(ISNUMBER($J293),$J293&gt;0),$J293,IF(ISNUMBER($I293),$I293,"")))</f>
        <v>840.63</v>
      </c>
      <c r="L293" s="40" t="n">
        <f aca="false">IF(ISNUMBER($K293),$K293*$H293,"")</f>
        <v>109.2819</v>
      </c>
      <c r="M293" s="40" t="n">
        <f aca="false">IF(ISNUMBER($K293),$K293*Parâmetros!$B$6,"")</f>
        <v>84.063</v>
      </c>
      <c r="N293" s="40" t="n">
        <f aca="false">IF(ISNUMBER($K293),$K293*Parâmetros!$C$6,"")</f>
        <v>25.2189</v>
      </c>
      <c r="O293" s="40" t="n">
        <f aca="false">IF(ISNUMBER($K293),IF(ISNUMBER(Parâmetros!$E$6),Parâmetros!$E$6,0),"")</f>
        <v>0</v>
      </c>
      <c r="P293" s="41" t="n">
        <f aca="false">IF(ISNUMBER($K293),$K293-$D293-IF(ISNUMBER($E293),$E293,0)-$L293-$M293-$N293-$O293,"")</f>
        <v>200.1462</v>
      </c>
      <c r="Q293" s="42" t="n">
        <f aca="false">IF(AND(ISNUMBER($K293),$K293&gt;0),$P293/$K293,"")</f>
        <v>0.238090717676029</v>
      </c>
      <c r="R293" s="43"/>
      <c r="S293" s="44" t="str">
        <f aca="false">IF(OR(NOT(ISNUMBER($R293)),$R293=0,NOT(ISNUMBER($K293))),"",$K293*(1-$R293))</f>
        <v/>
      </c>
      <c r="T293" s="45" t="str">
        <f aca="false">IF(ISNUMBER($S293),$S293*$H293,"")</f>
        <v/>
      </c>
      <c r="U293" s="45" t="str">
        <f aca="false">IF(ISNUMBER($S293),$S293*Parâmetros!$B$6,"")</f>
        <v/>
      </c>
      <c r="V293" s="45" t="str">
        <f aca="false">IF(ISNUMBER($S293),$S293*Parâmetros!$C$6,"")</f>
        <v/>
      </c>
      <c r="W293" s="44" t="str">
        <f aca="false">IF(ISNUMBER($S293),$S293-$D293-IF(ISNUMBER($E293),$E293,0)-$O293-$T293-$U293-$V293,"")</f>
        <v/>
      </c>
      <c r="X293" s="46" t="str">
        <f aca="false">IF(AND(ISNUMBER($S293),$S293&gt;0),$W293/$S293,"")</f>
        <v/>
      </c>
      <c r="Y293" s="49" t="s">
        <v>737</v>
      </c>
      <c r="Z293" s="21" t="s">
        <v>748</v>
      </c>
    </row>
    <row r="294" customFormat="false" ht="15.75" hidden="false" customHeight="true" outlineLevel="0" collapsed="false">
      <c r="A294" s="32" t="str">
        <f aca="false">IF(Produtos!$A294="","",Produtos!$A294)</f>
        <v>P4050ALC</v>
      </c>
      <c r="B294" s="32" t="str">
        <f aca="false">IF(Produtos!$A294="","",Produtos!$B294)</f>
        <v>Lixeira c/Tampa Pedal 40x50 65L c/Alças</v>
      </c>
      <c r="C294" s="32" t="str">
        <f aca="false">IF(Produtos!$A294="","",Produtos!$C294)</f>
        <v>Lixeiras com pedal</v>
      </c>
      <c r="D294" s="33" t="n">
        <f aca="false">IF(Produtos!$A294="","",IF(Produtos!$D294="","",Produtos!$D294))</f>
        <v>485.02</v>
      </c>
      <c r="E294" s="11" t="n">
        <v>0</v>
      </c>
      <c r="F294" s="34" t="n">
        <f aca="false">IF($A294="","",IF($C294="","⚠ categoria",IFERROR(INDEX(Parâmetros!$D$13:$D$22,MATCH($C294,Parâmetros!$A$13:$A$22,0)),"⚠ categoria")))</f>
        <v>0.13</v>
      </c>
      <c r="G294" s="35"/>
      <c r="H294" s="36" t="n">
        <f aca="false">IF($A294="","",IF(ISNUMBER($G294),$G294,IF(ISNUMBER($F294),$F294,"")))</f>
        <v>0.13</v>
      </c>
      <c r="I294" s="37" t="n">
        <f aca="false">IF(OR($A294="",NOT(ISNUMBER($D294)),NOT(ISNUMBER($H294))),"",IF((1-$H294-Parâmetros!$B$6-Parâmetros!$C$6-Parâmetros!$D$6)&lt;=0,"INVALIDO",($D294+IF(ISNUMBER($E294),$E294,0)+IF(ISNUMBER(Parâmetros!$E$6),Parâmetros!$E$6,0))/(1-$H294-Parâmetros!$B$6-Parâmetros!$C$6-Parâmetros!$D$6)))</f>
        <v>898.185185185185</v>
      </c>
      <c r="J294" s="38" t="n">
        <v>912.46</v>
      </c>
      <c r="K294" s="39" t="n">
        <f aca="false">IF(OR($A294="",NOT(ISNUMBER($D294)),NOT(ISNUMBER($H294))),"",IF(AND(ISNUMBER($J294),$J294&gt;0),$J294,IF(ISNUMBER($I294),$I294,"")))</f>
        <v>912.46</v>
      </c>
      <c r="L294" s="40" t="n">
        <f aca="false">IF(ISNUMBER($K294),$K294*$H294,"")</f>
        <v>118.6198</v>
      </c>
      <c r="M294" s="40" t="n">
        <f aca="false">IF(ISNUMBER($K294),$K294*Parâmetros!$B$6,"")</f>
        <v>91.246</v>
      </c>
      <c r="N294" s="40" t="n">
        <f aca="false">IF(ISNUMBER($K294),$K294*Parâmetros!$C$6,"")</f>
        <v>27.3738</v>
      </c>
      <c r="O294" s="40" t="n">
        <f aca="false">IF(ISNUMBER($K294),IF(ISNUMBER(Parâmetros!$E$6),Parâmetros!$E$6,0),"")</f>
        <v>0</v>
      </c>
      <c r="P294" s="41" t="n">
        <f aca="false">IF(ISNUMBER($K294),$K294-$D294-IF(ISNUMBER($E294),$E294,0)-$L294-$M294-$N294-$O294,"")</f>
        <v>190.2004</v>
      </c>
      <c r="Q294" s="42" t="n">
        <f aca="false">IF(AND(ISNUMBER($K294),$K294&gt;0),$P294/$K294,"")</f>
        <v>0.208447931964141</v>
      </c>
      <c r="R294" s="43"/>
      <c r="S294" s="44" t="str">
        <f aca="false">IF(OR(NOT(ISNUMBER($R294)),$R294=0,NOT(ISNUMBER($K294))),"",$K294*(1-$R294))</f>
        <v/>
      </c>
      <c r="T294" s="45" t="str">
        <f aca="false">IF(ISNUMBER($S294),$S294*$H294,"")</f>
        <v/>
      </c>
      <c r="U294" s="45" t="str">
        <f aca="false">IF(ISNUMBER($S294),$S294*Parâmetros!$B$6,"")</f>
        <v/>
      </c>
      <c r="V294" s="45" t="str">
        <f aca="false">IF(ISNUMBER($S294),$S294*Parâmetros!$C$6,"")</f>
        <v/>
      </c>
      <c r="W294" s="44" t="str">
        <f aca="false">IF(ISNUMBER($S294),$S294-$D294-IF(ISNUMBER($E294),$E294,0)-$O294-$T294-$U294-$V294,"")</f>
        <v/>
      </c>
      <c r="X294" s="46" t="str">
        <f aca="false">IF(AND(ISNUMBER($S294),$S294&gt;0),$W294/$S294,"")</f>
        <v/>
      </c>
      <c r="Y294" s="47" t="s">
        <v>737</v>
      </c>
      <c r="Z294" s="19" t="s">
        <v>748</v>
      </c>
    </row>
    <row r="295" customFormat="false" ht="15.75" hidden="false" customHeight="true" outlineLevel="0" collapsed="false">
      <c r="A295" s="48" t="str">
        <f aca="false">IF(Produtos!$A295="","",Produtos!$A295)</f>
        <v>P4060ALC</v>
      </c>
      <c r="B295" s="48" t="str">
        <f aca="false">IF(Produtos!$A295="","",Produtos!$B295)</f>
        <v>Lixeira c/Tampa Pedal 40x60 75L c/Alças</v>
      </c>
      <c r="C295" s="48" t="str">
        <f aca="false">IF(Produtos!$A295="","",Produtos!$C295)</f>
        <v>Lixeiras com pedal</v>
      </c>
      <c r="D295" s="33" t="n">
        <f aca="false">IF(Produtos!$A295="","",IF(Produtos!$D295="","",Produtos!$D295))</f>
        <v>527.41</v>
      </c>
      <c r="E295" s="11" t="n">
        <v>0</v>
      </c>
      <c r="F295" s="34" t="n">
        <f aca="false">IF($A295="","",IF($C295="","⚠ categoria",IFERROR(INDEX(Parâmetros!$D$13:$D$22,MATCH($C295,Parâmetros!$A$13:$A$22,0)),"⚠ categoria")))</f>
        <v>0.13</v>
      </c>
      <c r="G295" s="35"/>
      <c r="H295" s="36" t="n">
        <f aca="false">IF($A295="","",IF(ISNUMBER($G295),$G295,IF(ISNUMBER($F295),$F295,"")))</f>
        <v>0.13</v>
      </c>
      <c r="I295" s="37" t="n">
        <f aca="false">IF(OR($A295="",NOT(ISNUMBER($D295)),NOT(ISNUMBER($H295))),"",IF((1-$H295-Parâmetros!$B$6-Parâmetros!$C$6-Parâmetros!$D$6)&lt;=0,"INVALIDO",($D295+IF(ISNUMBER($E295),$E295,0)+IF(ISNUMBER(Parâmetros!$E$6),Parâmetros!$E$6,0))/(1-$H295-Parâmetros!$B$6-Parâmetros!$C$6-Parâmetros!$D$6)))</f>
        <v>976.685185185185</v>
      </c>
      <c r="J295" s="38" t="n">
        <v>988.28</v>
      </c>
      <c r="K295" s="39" t="n">
        <f aca="false">IF(OR($A295="",NOT(ISNUMBER($D295)),NOT(ISNUMBER($H295))),"",IF(AND(ISNUMBER($J295),$J295&gt;0),$J295,IF(ISNUMBER($I295),$I295,"")))</f>
        <v>988.28</v>
      </c>
      <c r="L295" s="40" t="n">
        <f aca="false">IF(ISNUMBER($K295),$K295*$H295,"")</f>
        <v>128.4764</v>
      </c>
      <c r="M295" s="40" t="n">
        <f aca="false">IF(ISNUMBER($K295),$K295*Parâmetros!$B$6,"")</f>
        <v>98.828</v>
      </c>
      <c r="N295" s="40" t="n">
        <f aca="false">IF(ISNUMBER($K295),$K295*Parâmetros!$C$6,"")</f>
        <v>29.6484</v>
      </c>
      <c r="O295" s="40" t="n">
        <f aca="false">IF(ISNUMBER($K295),IF(ISNUMBER(Parâmetros!$E$6),Parâmetros!$E$6,0),"")</f>
        <v>0</v>
      </c>
      <c r="P295" s="41" t="n">
        <f aca="false">IF(ISNUMBER($K295),$K295-$D295-IF(ISNUMBER($E295),$E295,0)-$L295-$M295-$N295-$O295,"")</f>
        <v>203.9172</v>
      </c>
      <c r="Q295" s="42" t="n">
        <f aca="false">IF(AND(ISNUMBER($K295),$K295&gt;0),$P295/$K295,"")</f>
        <v>0.20633545149148</v>
      </c>
      <c r="R295" s="43"/>
      <c r="S295" s="44" t="str">
        <f aca="false">IF(OR(NOT(ISNUMBER($R295)),$R295=0,NOT(ISNUMBER($K295))),"",$K295*(1-$R295))</f>
        <v/>
      </c>
      <c r="T295" s="45" t="str">
        <f aca="false">IF(ISNUMBER($S295),$S295*$H295,"")</f>
        <v/>
      </c>
      <c r="U295" s="45" t="str">
        <f aca="false">IF(ISNUMBER($S295),$S295*Parâmetros!$B$6,"")</f>
        <v/>
      </c>
      <c r="V295" s="45" t="str">
        <f aca="false">IF(ISNUMBER($S295),$S295*Parâmetros!$C$6,"")</f>
        <v/>
      </c>
      <c r="W295" s="44" t="str">
        <f aca="false">IF(ISNUMBER($S295),$S295-$D295-IF(ISNUMBER($E295),$E295,0)-$O295-$T295-$U295-$V295,"")</f>
        <v/>
      </c>
      <c r="X295" s="46" t="str">
        <f aca="false">IF(AND(ISNUMBER($S295),$S295&gt;0),$W295/$S295,"")</f>
        <v/>
      </c>
      <c r="Y295" s="49" t="s">
        <v>737</v>
      </c>
      <c r="Z295" s="21" t="s">
        <v>748</v>
      </c>
    </row>
    <row r="296" customFormat="false" ht="15.75" hidden="false" customHeight="true" outlineLevel="0" collapsed="false">
      <c r="A296" s="32" t="str">
        <f aca="false">IF(Produtos!$A296="","",Produtos!$A296)</f>
        <v>P4070ALC</v>
      </c>
      <c r="B296" s="32" t="str">
        <f aca="false">IF(Produtos!$A296="","",Produtos!$B296)</f>
        <v>Lixeira c/Tampa Pedal 40x70 80L c/Alças</v>
      </c>
      <c r="C296" s="32" t="str">
        <f aca="false">IF(Produtos!$A296="","",Produtos!$C296)</f>
        <v>Lixeiras com pedal</v>
      </c>
      <c r="D296" s="33" t="n">
        <f aca="false">IF(Produtos!$A296="","",IF(Produtos!$D296="","",Produtos!$D296))</f>
        <v>539.53</v>
      </c>
      <c r="E296" s="11" t="n">
        <v>0</v>
      </c>
      <c r="F296" s="34" t="n">
        <f aca="false">IF($A296="","",IF($C296="","⚠ categoria",IFERROR(INDEX(Parâmetros!$D$13:$D$22,MATCH($C296,Parâmetros!$A$13:$A$22,0)),"⚠ categoria")))</f>
        <v>0.13</v>
      </c>
      <c r="G296" s="35"/>
      <c r="H296" s="36" t="n">
        <f aca="false">IF($A296="","",IF(ISNUMBER($G296),$G296,IF(ISNUMBER($F296),$F296,"")))</f>
        <v>0.13</v>
      </c>
      <c r="I296" s="37" t="n">
        <f aca="false">IF(OR($A296="",NOT(ISNUMBER($D296)),NOT(ISNUMBER($H296))),"",IF((1-$H296-Parâmetros!$B$6-Parâmetros!$C$6-Parâmetros!$D$6)&lt;=0,"INVALIDO",($D296+IF(ISNUMBER($E296),$E296,0)+IF(ISNUMBER(Parâmetros!$E$6),Parâmetros!$E$6,0))/(1-$H296-Parâmetros!$B$6-Parâmetros!$C$6-Parâmetros!$D$6)))</f>
        <v>999.12962962963</v>
      </c>
      <c r="J296" s="38" t="n">
        <v>1025.83</v>
      </c>
      <c r="K296" s="39" t="n">
        <f aca="false">IF(OR($A296="",NOT(ISNUMBER($D296)),NOT(ISNUMBER($H296))),"",IF(AND(ISNUMBER($J296),$J296&gt;0),$J296,IF(ISNUMBER($I296),$I296,"")))</f>
        <v>1025.83</v>
      </c>
      <c r="L296" s="40" t="n">
        <f aca="false">IF(ISNUMBER($K296),$K296*$H296,"")</f>
        <v>133.3579</v>
      </c>
      <c r="M296" s="40" t="n">
        <f aca="false">IF(ISNUMBER($K296),$K296*Parâmetros!$B$6,"")</f>
        <v>102.583</v>
      </c>
      <c r="N296" s="40" t="n">
        <f aca="false">IF(ISNUMBER($K296),$K296*Parâmetros!$C$6,"")</f>
        <v>30.7749</v>
      </c>
      <c r="O296" s="40" t="n">
        <f aca="false">IF(ISNUMBER($K296),IF(ISNUMBER(Parâmetros!$E$6),Parâmetros!$E$6,0),"")</f>
        <v>0</v>
      </c>
      <c r="P296" s="41" t="n">
        <f aca="false">IF(ISNUMBER($K296),$K296-$D296-IF(ISNUMBER($E296),$E296,0)-$L296-$M296-$N296-$O296,"")</f>
        <v>219.5842</v>
      </c>
      <c r="Q296" s="42" t="n">
        <f aca="false">IF(AND(ISNUMBER($K296),$K296&gt;0),$P296/$K296,"")</f>
        <v>0.214055155337629</v>
      </c>
      <c r="R296" s="43"/>
      <c r="S296" s="44" t="str">
        <f aca="false">IF(OR(NOT(ISNUMBER($R296)),$R296=0,NOT(ISNUMBER($K296))),"",$K296*(1-$R296))</f>
        <v/>
      </c>
      <c r="T296" s="45" t="str">
        <f aca="false">IF(ISNUMBER($S296),$S296*$H296,"")</f>
        <v/>
      </c>
      <c r="U296" s="45" t="str">
        <f aca="false">IF(ISNUMBER($S296),$S296*Parâmetros!$B$6,"")</f>
        <v/>
      </c>
      <c r="V296" s="45" t="str">
        <f aca="false">IF(ISNUMBER($S296),$S296*Parâmetros!$C$6,"")</f>
        <v/>
      </c>
      <c r="W296" s="44" t="str">
        <f aca="false">IF(ISNUMBER($S296),$S296-$D296-IF(ISNUMBER($E296),$E296,0)-$O296-$T296-$U296-$V296,"")</f>
        <v/>
      </c>
      <c r="X296" s="46" t="str">
        <f aca="false">IF(AND(ISNUMBER($S296),$S296&gt;0),$W296/$S296,"")</f>
        <v/>
      </c>
      <c r="Y296" s="47" t="s">
        <v>737</v>
      </c>
      <c r="Z296" s="19" t="s">
        <v>749</v>
      </c>
    </row>
    <row r="297" customFormat="false" ht="15.75" hidden="false" customHeight="true" outlineLevel="0" collapsed="false">
      <c r="A297" s="48" t="str">
        <f aca="false">IF(Produtos!$A297="","",Produtos!$A297)</f>
        <v>P4075ALC</v>
      </c>
      <c r="B297" s="48" t="str">
        <f aca="false">IF(Produtos!$A297="","",Produtos!$B297)</f>
        <v>Lixeira c/Tampa Pedal 40x75 95L c/Alças</v>
      </c>
      <c r="C297" s="48" t="str">
        <f aca="false">IF(Produtos!$A297="","",Produtos!$C297)</f>
        <v>Lixeiras com pedal</v>
      </c>
      <c r="D297" s="33" t="n">
        <f aca="false">IF(Produtos!$A297="","",IF(Produtos!$D297="","",Produtos!$D297))</f>
        <v>605.28</v>
      </c>
      <c r="E297" s="11" t="n">
        <v>0</v>
      </c>
      <c r="F297" s="34" t="n">
        <f aca="false">IF($A297="","",IF($C297="","⚠ categoria",IFERROR(INDEX(Parâmetros!$D$13:$D$22,MATCH($C297,Parâmetros!$A$13:$A$22,0)),"⚠ categoria")))</f>
        <v>0.13</v>
      </c>
      <c r="G297" s="35"/>
      <c r="H297" s="36" t="n">
        <f aca="false">IF($A297="","",IF(ISNUMBER($G297),$G297,IF(ISNUMBER($F297),$F297,"")))</f>
        <v>0.13</v>
      </c>
      <c r="I297" s="37" t="n">
        <f aca="false">IF(OR($A297="",NOT(ISNUMBER($D297)),NOT(ISNUMBER($H297))),"",IF((1-$H297-Parâmetros!$B$6-Parâmetros!$C$6-Parâmetros!$D$6)&lt;=0,"INVALIDO",($D297+IF(ISNUMBER($E297),$E297,0)+IF(ISNUMBER(Parâmetros!$E$6),Parâmetros!$E$6,0))/(1-$H297-Parâmetros!$B$6-Parâmetros!$C$6-Parâmetros!$D$6)))</f>
        <v>1120.88888888889</v>
      </c>
      <c r="J297" s="38" t="n">
        <v>1135.46</v>
      </c>
      <c r="K297" s="39" t="n">
        <f aca="false">IF(OR($A297="",NOT(ISNUMBER($D297)),NOT(ISNUMBER($H297))),"",IF(AND(ISNUMBER($J297),$J297&gt;0),$J297,IF(ISNUMBER($I297),$I297,"")))</f>
        <v>1135.46</v>
      </c>
      <c r="L297" s="40" t="n">
        <f aca="false">IF(ISNUMBER($K297),$K297*$H297,"")</f>
        <v>147.6098</v>
      </c>
      <c r="M297" s="40" t="n">
        <f aca="false">IF(ISNUMBER($K297),$K297*Parâmetros!$B$6,"")</f>
        <v>113.546</v>
      </c>
      <c r="N297" s="40" t="n">
        <f aca="false">IF(ISNUMBER($K297),$K297*Parâmetros!$C$6,"")</f>
        <v>34.0638</v>
      </c>
      <c r="O297" s="40" t="n">
        <f aca="false">IF(ISNUMBER($K297),IF(ISNUMBER(Parâmetros!$E$6),Parâmetros!$E$6,0),"")</f>
        <v>0</v>
      </c>
      <c r="P297" s="41" t="n">
        <f aca="false">IF(ISNUMBER($K297),$K297-$D297-IF(ISNUMBER($E297),$E297,0)-$L297-$M297-$N297-$O297,"")</f>
        <v>234.9604</v>
      </c>
      <c r="Q297" s="42" t="n">
        <f aca="false">IF(AND(ISNUMBER($K297),$K297&gt;0),$P297/$K297,"")</f>
        <v>0.206929702499428</v>
      </c>
      <c r="R297" s="43"/>
      <c r="S297" s="44" t="str">
        <f aca="false">IF(OR(NOT(ISNUMBER($R297)),$R297=0,NOT(ISNUMBER($K297))),"",$K297*(1-$R297))</f>
        <v/>
      </c>
      <c r="T297" s="45" t="str">
        <f aca="false">IF(ISNUMBER($S297),$S297*$H297,"")</f>
        <v/>
      </c>
      <c r="U297" s="45" t="str">
        <f aca="false">IF(ISNUMBER($S297),$S297*Parâmetros!$B$6,"")</f>
        <v/>
      </c>
      <c r="V297" s="45" t="str">
        <f aca="false">IF(ISNUMBER($S297),$S297*Parâmetros!$C$6,"")</f>
        <v/>
      </c>
      <c r="W297" s="44" t="str">
        <f aca="false">IF(ISNUMBER($S297),$S297-$D297-IF(ISNUMBER($E297),$E297,0)-$O297-$T297-$U297-$V297,"")</f>
        <v/>
      </c>
      <c r="X297" s="46" t="str">
        <f aca="false">IF(AND(ISNUMBER($S297),$S297&gt;0),$W297/$S297,"")</f>
        <v/>
      </c>
      <c r="Y297" s="49" t="s">
        <v>737</v>
      </c>
      <c r="Z297" s="21" t="s">
        <v>749</v>
      </c>
    </row>
    <row r="298" customFormat="false" ht="15.75" hidden="false" customHeight="true" outlineLevel="0" collapsed="false">
      <c r="A298" s="32" t="str">
        <f aca="false">IF(Produtos!$A298="","",Produtos!$A298)</f>
        <v>P4080ALC</v>
      </c>
      <c r="B298" s="32" t="str">
        <f aca="false">IF(Produtos!$A298="","",Produtos!$B298)</f>
        <v>Lixeira c/Tampa Pedal 40x80 100L c/Alças</v>
      </c>
      <c r="C298" s="32" t="str">
        <f aca="false">IF(Produtos!$A298="","",Produtos!$C298)</f>
        <v>Lixeiras com pedal</v>
      </c>
      <c r="D298" s="33" t="n">
        <f aca="false">IF(Produtos!$A298="","",IF(Produtos!$D298="","",Produtos!$D298))</f>
        <v>642.03</v>
      </c>
      <c r="E298" s="11" t="n">
        <v>0</v>
      </c>
      <c r="F298" s="34" t="n">
        <f aca="false">IF($A298="","",IF($C298="","⚠ categoria",IFERROR(INDEX(Parâmetros!$D$13:$D$22,MATCH($C298,Parâmetros!$A$13:$A$22,0)),"⚠ categoria")))</f>
        <v>0.13</v>
      </c>
      <c r="G298" s="35"/>
      <c r="H298" s="36" t="n">
        <f aca="false">IF($A298="","",IF(ISNUMBER($G298),$G298,IF(ISNUMBER($F298),$F298,"")))</f>
        <v>0.13</v>
      </c>
      <c r="I298" s="37" t="n">
        <f aca="false">IF(OR($A298="",NOT(ISNUMBER($D298)),NOT(ISNUMBER($H298))),"",IF((1-$H298-Parâmetros!$B$6-Parâmetros!$C$6-Parâmetros!$D$6)&lt;=0,"INVALIDO",($D298+IF(ISNUMBER($E298),$E298,0)+IF(ISNUMBER(Parâmetros!$E$6),Parâmetros!$E$6,0))/(1-$H298-Parâmetros!$B$6-Parâmetros!$C$6-Parâmetros!$D$6)))</f>
        <v>1188.94444444444</v>
      </c>
      <c r="J298" s="38" t="n">
        <v>1217.17</v>
      </c>
      <c r="K298" s="39" t="n">
        <f aca="false">IF(OR($A298="",NOT(ISNUMBER($D298)),NOT(ISNUMBER($H298))),"",IF(AND(ISNUMBER($J298),$J298&gt;0),$J298,IF(ISNUMBER($I298),$I298,"")))</f>
        <v>1217.17</v>
      </c>
      <c r="L298" s="40" t="n">
        <f aca="false">IF(ISNUMBER($K298),$K298*$H298,"")</f>
        <v>158.2321</v>
      </c>
      <c r="M298" s="40" t="n">
        <f aca="false">IF(ISNUMBER($K298),$K298*Parâmetros!$B$6,"")</f>
        <v>121.717</v>
      </c>
      <c r="N298" s="40" t="n">
        <f aca="false">IF(ISNUMBER($K298),$K298*Parâmetros!$C$6,"")</f>
        <v>36.5151</v>
      </c>
      <c r="O298" s="40" t="n">
        <f aca="false">IF(ISNUMBER($K298),IF(ISNUMBER(Parâmetros!$E$6),Parâmetros!$E$6,0),"")</f>
        <v>0</v>
      </c>
      <c r="P298" s="41" t="n">
        <f aca="false">IF(ISNUMBER($K298),$K298-$D298-IF(ISNUMBER($E298),$E298,0)-$L298-$M298-$N298-$O298,"")</f>
        <v>258.6758</v>
      </c>
      <c r="Q298" s="42" t="n">
        <f aca="false">IF(AND(ISNUMBER($K298),$K298&gt;0),$P298/$K298,"")</f>
        <v>0.212522326380046</v>
      </c>
      <c r="R298" s="43"/>
      <c r="S298" s="44" t="str">
        <f aca="false">IF(OR(NOT(ISNUMBER($R298)),$R298=0,NOT(ISNUMBER($K298))),"",$K298*(1-$R298))</f>
        <v/>
      </c>
      <c r="T298" s="45" t="str">
        <f aca="false">IF(ISNUMBER($S298),$S298*$H298,"")</f>
        <v/>
      </c>
      <c r="U298" s="45" t="str">
        <f aca="false">IF(ISNUMBER($S298),$S298*Parâmetros!$B$6,"")</f>
        <v/>
      </c>
      <c r="V298" s="45" t="str">
        <f aca="false">IF(ISNUMBER($S298),$S298*Parâmetros!$C$6,"")</f>
        <v/>
      </c>
      <c r="W298" s="44" t="str">
        <f aca="false">IF(ISNUMBER($S298),$S298-$D298-IF(ISNUMBER($E298),$E298,0)-$O298-$T298-$U298-$V298,"")</f>
        <v/>
      </c>
      <c r="X298" s="46" t="str">
        <f aca="false">IF(AND(ISNUMBER($S298),$S298&gt;0),$W298/$S298,"")</f>
        <v/>
      </c>
      <c r="Y298" s="47" t="s">
        <v>737</v>
      </c>
      <c r="Z298" s="19" t="s">
        <v>749</v>
      </c>
    </row>
    <row r="299" customFormat="false" ht="15.75" hidden="false" customHeight="true" outlineLevel="0" collapsed="false">
      <c r="A299" s="48" t="str">
        <f aca="false">IF(Produtos!$A299="","",Produtos!$A299)</f>
        <v>P4090ALC</v>
      </c>
      <c r="B299" s="48" t="str">
        <f aca="false">IF(Produtos!$A299="","",Produtos!$B299)</f>
        <v>Lixeira c/Tampa Pedal 40x90 120L c/Alças</v>
      </c>
      <c r="C299" s="48" t="str">
        <f aca="false">IF(Produtos!$A299="","",Produtos!$C299)</f>
        <v>Lixeiras com pedal</v>
      </c>
      <c r="D299" s="33" t="n">
        <f aca="false">IF(Produtos!$A299="","",IF(Produtos!$D299="","",Produtos!$D299))</f>
        <v>828.46</v>
      </c>
      <c r="E299" s="11" t="n">
        <v>0</v>
      </c>
      <c r="F299" s="34" t="n">
        <f aca="false">IF($A299="","",IF($C299="","⚠ categoria",IFERROR(INDEX(Parâmetros!$D$13:$D$22,MATCH($C299,Parâmetros!$A$13:$A$22,0)),"⚠ categoria")))</f>
        <v>0.13</v>
      </c>
      <c r="G299" s="35"/>
      <c r="H299" s="36" t="n">
        <f aca="false">IF($A299="","",IF(ISNUMBER($G299),$G299,IF(ISNUMBER($F299),$F299,"")))</f>
        <v>0.13</v>
      </c>
      <c r="I299" s="37" t="n">
        <f aca="false">IF(OR($A299="",NOT(ISNUMBER($D299)),NOT(ISNUMBER($H299))),"",IF((1-$H299-Parâmetros!$B$6-Parâmetros!$C$6-Parâmetros!$D$6)&lt;=0,"INVALIDO",($D299+IF(ISNUMBER($E299),$E299,0)+IF(ISNUMBER(Parâmetros!$E$6),Parâmetros!$E$6,0))/(1-$H299-Parâmetros!$B$6-Parâmetros!$C$6-Parâmetros!$D$6)))</f>
        <v>1534.18518518519</v>
      </c>
      <c r="J299" s="38" t="n">
        <v>1527.88</v>
      </c>
      <c r="K299" s="39" t="n">
        <f aca="false">IF(OR($A299="",NOT(ISNUMBER($D299)),NOT(ISNUMBER($H299))),"",IF(AND(ISNUMBER($J299),$J299&gt;0),$J299,IF(ISNUMBER($I299),$I299,"")))</f>
        <v>1527.88</v>
      </c>
      <c r="L299" s="40" t="n">
        <f aca="false">IF(ISNUMBER($K299),$K299*$H299,"")</f>
        <v>198.6244</v>
      </c>
      <c r="M299" s="40" t="n">
        <f aca="false">IF(ISNUMBER($K299),$K299*Parâmetros!$B$6,"")</f>
        <v>152.788</v>
      </c>
      <c r="N299" s="40" t="n">
        <f aca="false">IF(ISNUMBER($K299),$K299*Parâmetros!$C$6,"")</f>
        <v>45.8364</v>
      </c>
      <c r="O299" s="40" t="n">
        <f aca="false">IF(ISNUMBER($K299),IF(ISNUMBER(Parâmetros!$E$6),Parâmetros!$E$6,0),"")</f>
        <v>0</v>
      </c>
      <c r="P299" s="41" t="n">
        <f aca="false">IF(ISNUMBER($K299),$K299-$D299-IF(ISNUMBER($E299),$E299,0)-$L299-$M299-$N299-$O299,"")</f>
        <v>302.1712</v>
      </c>
      <c r="Q299" s="42" t="n">
        <f aca="false">IF(AND(ISNUMBER($K299),$K299&gt;0),$P299/$K299,"")</f>
        <v>0.197771552739744</v>
      </c>
      <c r="R299" s="43"/>
      <c r="S299" s="44" t="str">
        <f aca="false">IF(OR(NOT(ISNUMBER($R299)),$R299=0,NOT(ISNUMBER($K299))),"",$K299*(1-$R299))</f>
        <v/>
      </c>
      <c r="T299" s="45" t="str">
        <f aca="false">IF(ISNUMBER($S299),$S299*$H299,"")</f>
        <v/>
      </c>
      <c r="U299" s="45" t="str">
        <f aca="false">IF(ISNUMBER($S299),$S299*Parâmetros!$B$6,"")</f>
        <v/>
      </c>
      <c r="V299" s="45" t="str">
        <f aca="false">IF(ISNUMBER($S299),$S299*Parâmetros!$C$6,"")</f>
        <v/>
      </c>
      <c r="W299" s="44" t="str">
        <f aca="false">IF(ISNUMBER($S299),$S299-$D299-IF(ISNUMBER($E299),$E299,0)-$O299-$T299-$U299-$V299,"")</f>
        <v/>
      </c>
      <c r="X299" s="46" t="str">
        <f aca="false">IF(AND(ISNUMBER($S299),$S299&gt;0),$W299/$S299,"")</f>
        <v/>
      </c>
      <c r="Y299" s="49" t="s">
        <v>737</v>
      </c>
      <c r="Z299" s="21" t="s">
        <v>749</v>
      </c>
    </row>
    <row r="300" customFormat="false" ht="15.75" hidden="false" customHeight="true" outlineLevel="0" collapsed="false">
      <c r="A300" s="32" t="str">
        <f aca="false">IF(Produtos!$A300="","",Produtos!$A300)</f>
        <v/>
      </c>
      <c r="B300" s="32" t="str">
        <f aca="false">IF(Produtos!$A300="","",Produtos!$B300)</f>
        <v/>
      </c>
      <c r="C300" s="32" t="str">
        <f aca="false">IF(Produtos!$A300="","",Produtos!$C300)</f>
        <v/>
      </c>
      <c r="D300" s="33" t="str">
        <f aca="false">IF(Produtos!$A300="","",IF(Produtos!$D300="","",Produtos!$D300))</f>
        <v/>
      </c>
      <c r="E300" s="11"/>
      <c r="F300" s="34" t="str">
        <f aca="false">IF($A300="","",IF($C300="","⚠ categoria",IFERROR(INDEX(Parâmetros!$D$13:$D$22,MATCH($C300,Parâmetros!$A$13:$A$22,0)),"⚠ categoria")))</f>
        <v/>
      </c>
      <c r="G300" s="35"/>
      <c r="H300" s="36" t="str">
        <f aca="false">IF($A300="","",IF(ISNUMBER($G300),$G300,IF(ISNUMBER($F300),$F300,"")))</f>
        <v/>
      </c>
      <c r="I300" s="37" t="str">
        <f aca="false">IF(OR($A300="",NOT(ISNUMBER($D300)),NOT(ISNUMBER($H300))),"",IF((1-$H300-Parâmetros!$B$6-Parâmetros!$C$6-Parâmetros!$D$6)&lt;=0,"INVALIDO",($D300+IF(ISNUMBER($E300),$E300,0)+IF(ISNUMBER(Parâmetros!$E$6),Parâmetros!$E$6,0))/(1-$H300-Parâmetros!$B$6-Parâmetros!$C$6-Parâmetros!$D$6)))</f>
        <v/>
      </c>
      <c r="J300" s="38"/>
      <c r="K300" s="39" t="str">
        <f aca="false">IF(OR($A300="",NOT(ISNUMBER($D300)),NOT(ISNUMBER($H300))),"",IF(AND(ISNUMBER($J300),$J300&gt;0),$J300,IF(ISNUMBER($I300),$I300,"")))</f>
        <v/>
      </c>
      <c r="L300" s="40" t="str">
        <f aca="false">IF(ISNUMBER($K300),$K300*$H300,"")</f>
        <v/>
      </c>
      <c r="M300" s="40" t="str">
        <f aca="false">IF(ISNUMBER($K300),$K300*Parâmetros!$B$6,"")</f>
        <v/>
      </c>
      <c r="N300" s="40" t="str">
        <f aca="false">IF(ISNUMBER($K300),$K300*Parâmetros!$C$6,"")</f>
        <v/>
      </c>
      <c r="O300" s="40" t="str">
        <f aca="false">IF(ISNUMBER($K300),IF(ISNUMBER(Parâmetros!$E$6),Parâmetros!$E$6,0),"")</f>
        <v/>
      </c>
      <c r="P300" s="41" t="str">
        <f aca="false">IF(ISNUMBER($K300),$K300-$D300-IF(ISNUMBER($E300),$E300,0)-$L300-$M300-$N300-$O300,"")</f>
        <v/>
      </c>
      <c r="Q300" s="42" t="str">
        <f aca="false">IF(AND(ISNUMBER($K300),$K300&gt;0),$P300/$K300,"")</f>
        <v/>
      </c>
      <c r="R300" s="43"/>
      <c r="S300" s="44" t="str">
        <f aca="false">IF(OR(NOT(ISNUMBER($R300)),$R300=0,NOT(ISNUMBER($K300))),"",$K300*(1-$R300))</f>
        <v/>
      </c>
      <c r="T300" s="45" t="str">
        <f aca="false">IF(ISNUMBER($S300),$S300*$H300,"")</f>
        <v/>
      </c>
      <c r="U300" s="45" t="str">
        <f aca="false">IF(ISNUMBER($S300),$S300*Parâmetros!$B$6,"")</f>
        <v/>
      </c>
      <c r="V300" s="45" t="str">
        <f aca="false">IF(ISNUMBER($S300),$S300*Parâmetros!$C$6,"")</f>
        <v/>
      </c>
      <c r="W300" s="44" t="str">
        <f aca="false">IF(ISNUMBER($S300),$S300-$D300-IF(ISNUMBER($E300),$E300,0)-$O300-$T300-$U300-$V300,"")</f>
        <v/>
      </c>
      <c r="X300" s="46" t="str">
        <f aca="false">IF(AND(ISNUMBER($S300),$S300&gt;0),$W300/$S300,"")</f>
        <v/>
      </c>
      <c r="Y300" s="47"/>
      <c r="Z300" s="19"/>
    </row>
    <row r="301" customFormat="false" ht="15.75" hidden="false" customHeight="true" outlineLevel="0" collapsed="false">
      <c r="A301" s="48" t="str">
        <f aca="false">IF(Produtos!$A301="","",Produtos!$A301)</f>
        <v/>
      </c>
      <c r="B301" s="48" t="str">
        <f aca="false">IF(Produtos!$A301="","",Produtos!$B301)</f>
        <v/>
      </c>
      <c r="C301" s="48" t="str">
        <f aca="false">IF(Produtos!$A301="","",Produtos!$C301)</f>
        <v/>
      </c>
      <c r="D301" s="33" t="str">
        <f aca="false">IF(Produtos!$A301="","",IF(Produtos!$D301="","",Produtos!$D301))</f>
        <v/>
      </c>
      <c r="E301" s="11"/>
      <c r="F301" s="34" t="str">
        <f aca="false">IF($A301="","",IF($C301="","⚠ categoria",IFERROR(INDEX(Parâmetros!$D$13:$D$22,MATCH($C301,Parâmetros!$A$13:$A$22,0)),"⚠ categoria")))</f>
        <v/>
      </c>
      <c r="G301" s="35"/>
      <c r="H301" s="36" t="str">
        <f aca="false">IF($A301="","",IF(ISNUMBER($G301),$G301,IF(ISNUMBER($F301),$F301,"")))</f>
        <v/>
      </c>
      <c r="I301" s="37" t="str">
        <f aca="false">IF(OR($A301="",NOT(ISNUMBER($D301)),NOT(ISNUMBER($H301))),"",IF((1-$H301-Parâmetros!$B$6-Parâmetros!$C$6-Parâmetros!$D$6)&lt;=0,"INVALIDO",($D301+IF(ISNUMBER($E301),$E301,0)+IF(ISNUMBER(Parâmetros!$E$6),Parâmetros!$E$6,0))/(1-$H301-Parâmetros!$B$6-Parâmetros!$C$6-Parâmetros!$D$6)))</f>
        <v/>
      </c>
      <c r="J301" s="38"/>
      <c r="K301" s="39" t="str">
        <f aca="false">IF(OR($A301="",NOT(ISNUMBER($D301)),NOT(ISNUMBER($H301))),"",IF(AND(ISNUMBER($J301),$J301&gt;0),$J301,IF(ISNUMBER($I301),$I301,"")))</f>
        <v/>
      </c>
      <c r="L301" s="40" t="str">
        <f aca="false">IF(ISNUMBER($K301),$K301*$H301,"")</f>
        <v/>
      </c>
      <c r="M301" s="40" t="str">
        <f aca="false">IF(ISNUMBER($K301),$K301*Parâmetros!$B$6,"")</f>
        <v/>
      </c>
      <c r="N301" s="40" t="str">
        <f aca="false">IF(ISNUMBER($K301),$K301*Parâmetros!$C$6,"")</f>
        <v/>
      </c>
      <c r="O301" s="40" t="str">
        <f aca="false">IF(ISNUMBER($K301),IF(ISNUMBER(Parâmetros!$E$6),Parâmetros!$E$6,0),"")</f>
        <v/>
      </c>
      <c r="P301" s="41" t="str">
        <f aca="false">IF(ISNUMBER($K301),$K301-$D301-IF(ISNUMBER($E301),$E301,0)-$L301-$M301-$N301-$O301,"")</f>
        <v/>
      </c>
      <c r="Q301" s="42" t="str">
        <f aca="false">IF(AND(ISNUMBER($K301),$K301&gt;0),$P301/$K301,"")</f>
        <v/>
      </c>
      <c r="R301" s="43"/>
      <c r="S301" s="44" t="str">
        <f aca="false">IF(OR(NOT(ISNUMBER($R301)),$R301=0,NOT(ISNUMBER($K301))),"",$K301*(1-$R301))</f>
        <v/>
      </c>
      <c r="T301" s="45" t="str">
        <f aca="false">IF(ISNUMBER($S301),$S301*$H301,"")</f>
        <v/>
      </c>
      <c r="U301" s="45" t="str">
        <f aca="false">IF(ISNUMBER($S301),$S301*Parâmetros!$B$6,"")</f>
        <v/>
      </c>
      <c r="V301" s="45" t="str">
        <f aca="false">IF(ISNUMBER($S301),$S301*Parâmetros!$C$6,"")</f>
        <v/>
      </c>
      <c r="W301" s="44" t="str">
        <f aca="false">IF(ISNUMBER($S301),$S301-$D301-IF(ISNUMBER($E301),$E301,0)-$O301-$T301-$U301-$V301,"")</f>
        <v/>
      </c>
      <c r="X301" s="46" t="str">
        <f aca="false">IF(AND(ISNUMBER($S301),$S301&gt;0),$W301/$S301,"")</f>
        <v/>
      </c>
      <c r="Y301" s="49"/>
      <c r="Z301" s="21"/>
    </row>
    <row r="302" customFormat="false" ht="15.75" hidden="false" customHeight="true" outlineLevel="0" collapsed="false">
      <c r="A302" s="32" t="str">
        <f aca="false">IF(Produtos!$A302="","",Produtos!$A302)</f>
        <v/>
      </c>
      <c r="B302" s="32" t="str">
        <f aca="false">IF(Produtos!$A302="","",Produtos!$B302)</f>
        <v/>
      </c>
      <c r="C302" s="32" t="str">
        <f aca="false">IF(Produtos!$A302="","",Produtos!$C302)</f>
        <v/>
      </c>
      <c r="D302" s="33" t="str">
        <f aca="false">IF(Produtos!$A302="","",IF(Produtos!$D302="","",Produtos!$D302))</f>
        <v/>
      </c>
      <c r="E302" s="11"/>
      <c r="F302" s="34" t="str">
        <f aca="false">IF($A302="","",IF($C302="","⚠ categoria",IFERROR(INDEX(Parâmetros!$D$13:$D$22,MATCH($C302,Parâmetros!$A$13:$A$22,0)),"⚠ categoria")))</f>
        <v/>
      </c>
      <c r="G302" s="35"/>
      <c r="H302" s="36" t="str">
        <f aca="false">IF($A302="","",IF(ISNUMBER($G302),$G302,IF(ISNUMBER($F302),$F302,"")))</f>
        <v/>
      </c>
      <c r="I302" s="37" t="str">
        <f aca="false">IF(OR($A302="",NOT(ISNUMBER($D302)),NOT(ISNUMBER($H302))),"",IF((1-$H302-Parâmetros!$B$6-Parâmetros!$C$6-Parâmetros!$D$6)&lt;=0,"INVALIDO",($D302+IF(ISNUMBER($E302),$E302,0)+IF(ISNUMBER(Parâmetros!$E$6),Parâmetros!$E$6,0))/(1-$H302-Parâmetros!$B$6-Parâmetros!$C$6-Parâmetros!$D$6)))</f>
        <v/>
      </c>
      <c r="J302" s="38"/>
      <c r="K302" s="39" t="str">
        <f aca="false">IF(OR($A302="",NOT(ISNUMBER($D302)),NOT(ISNUMBER($H302))),"",IF(AND(ISNUMBER($J302),$J302&gt;0),$J302,IF(ISNUMBER($I302),$I302,"")))</f>
        <v/>
      </c>
      <c r="L302" s="40" t="str">
        <f aca="false">IF(ISNUMBER($K302),$K302*$H302,"")</f>
        <v/>
      </c>
      <c r="M302" s="40" t="str">
        <f aca="false">IF(ISNUMBER($K302),$K302*Parâmetros!$B$6,"")</f>
        <v/>
      </c>
      <c r="N302" s="40" t="str">
        <f aca="false">IF(ISNUMBER($K302),$K302*Parâmetros!$C$6,"")</f>
        <v/>
      </c>
      <c r="O302" s="40" t="str">
        <f aca="false">IF(ISNUMBER($K302),IF(ISNUMBER(Parâmetros!$E$6),Parâmetros!$E$6,0),"")</f>
        <v/>
      </c>
      <c r="P302" s="41" t="str">
        <f aca="false">IF(ISNUMBER($K302),$K302-$D302-IF(ISNUMBER($E302),$E302,0)-$L302-$M302-$N302-$O302,"")</f>
        <v/>
      </c>
      <c r="Q302" s="42" t="str">
        <f aca="false">IF(AND(ISNUMBER($K302),$K302&gt;0),$P302/$K302,"")</f>
        <v/>
      </c>
      <c r="R302" s="43"/>
      <c r="S302" s="44" t="str">
        <f aca="false">IF(OR(NOT(ISNUMBER($R302)),$R302=0,NOT(ISNUMBER($K302))),"",$K302*(1-$R302))</f>
        <v/>
      </c>
      <c r="T302" s="45" t="str">
        <f aca="false">IF(ISNUMBER($S302),$S302*$H302,"")</f>
        <v/>
      </c>
      <c r="U302" s="45" t="str">
        <f aca="false">IF(ISNUMBER($S302),$S302*Parâmetros!$B$6,"")</f>
        <v/>
      </c>
      <c r="V302" s="45" t="str">
        <f aca="false">IF(ISNUMBER($S302),$S302*Parâmetros!$C$6,"")</f>
        <v/>
      </c>
      <c r="W302" s="44" t="str">
        <f aca="false">IF(ISNUMBER($S302),$S302-$D302-IF(ISNUMBER($E302),$E302,0)-$O302-$T302-$U302-$V302,"")</f>
        <v/>
      </c>
      <c r="X302" s="46" t="str">
        <f aca="false">IF(AND(ISNUMBER($S302),$S302&gt;0),$W302/$S302,"")</f>
        <v/>
      </c>
      <c r="Y302" s="47"/>
      <c r="Z302" s="19"/>
    </row>
    <row r="303" customFormat="false" ht="15.75" hidden="false" customHeight="true" outlineLevel="0" collapsed="false">
      <c r="A303" s="48" t="str">
        <f aca="false">IF(Produtos!$A303="","",Produtos!$A303)</f>
        <v/>
      </c>
      <c r="B303" s="48" t="str">
        <f aca="false">IF(Produtos!$A303="","",Produtos!$B303)</f>
        <v/>
      </c>
      <c r="C303" s="48" t="str">
        <f aca="false">IF(Produtos!$A303="","",Produtos!$C303)</f>
        <v/>
      </c>
      <c r="D303" s="33" t="str">
        <f aca="false">IF(Produtos!$A303="","",IF(Produtos!$D303="","",Produtos!$D303))</f>
        <v/>
      </c>
      <c r="E303" s="11"/>
      <c r="F303" s="34" t="str">
        <f aca="false">IF($A303="","",IF($C303="","⚠ categoria",IFERROR(INDEX(Parâmetros!$D$13:$D$22,MATCH($C303,Parâmetros!$A$13:$A$22,0)),"⚠ categoria")))</f>
        <v/>
      </c>
      <c r="G303" s="35"/>
      <c r="H303" s="36" t="str">
        <f aca="false">IF($A303="","",IF(ISNUMBER($G303),$G303,IF(ISNUMBER($F303),$F303,"")))</f>
        <v/>
      </c>
      <c r="I303" s="37" t="str">
        <f aca="false">IF(OR($A303="",NOT(ISNUMBER($D303)),NOT(ISNUMBER($H303))),"",IF((1-$H303-Parâmetros!$B$6-Parâmetros!$C$6-Parâmetros!$D$6)&lt;=0,"INVALIDO",($D303+IF(ISNUMBER($E303),$E303,0)+IF(ISNUMBER(Parâmetros!$E$6),Parâmetros!$E$6,0))/(1-$H303-Parâmetros!$B$6-Parâmetros!$C$6-Parâmetros!$D$6)))</f>
        <v/>
      </c>
      <c r="J303" s="38"/>
      <c r="K303" s="39" t="str">
        <f aca="false">IF(OR($A303="",NOT(ISNUMBER($D303)),NOT(ISNUMBER($H303))),"",IF(AND(ISNUMBER($J303),$J303&gt;0),$J303,IF(ISNUMBER($I303),$I303,"")))</f>
        <v/>
      </c>
      <c r="L303" s="40" t="str">
        <f aca="false">IF(ISNUMBER($K303),$K303*$H303,"")</f>
        <v/>
      </c>
      <c r="M303" s="40" t="str">
        <f aca="false">IF(ISNUMBER($K303),$K303*Parâmetros!$B$6,"")</f>
        <v/>
      </c>
      <c r="N303" s="40" t="str">
        <f aca="false">IF(ISNUMBER($K303),$K303*Parâmetros!$C$6,"")</f>
        <v/>
      </c>
      <c r="O303" s="40" t="str">
        <f aca="false">IF(ISNUMBER($K303),IF(ISNUMBER(Parâmetros!$E$6),Parâmetros!$E$6,0),"")</f>
        <v/>
      </c>
      <c r="P303" s="41" t="str">
        <f aca="false">IF(ISNUMBER($K303),$K303-$D303-IF(ISNUMBER($E303),$E303,0)-$L303-$M303-$N303-$O303,"")</f>
        <v/>
      </c>
      <c r="Q303" s="42" t="str">
        <f aca="false">IF(AND(ISNUMBER($K303),$K303&gt;0),$P303/$K303,"")</f>
        <v/>
      </c>
      <c r="R303" s="43"/>
      <c r="S303" s="44" t="str">
        <f aca="false">IF(OR(NOT(ISNUMBER($R303)),$R303=0,NOT(ISNUMBER($K303))),"",$K303*(1-$R303))</f>
        <v/>
      </c>
      <c r="T303" s="45" t="str">
        <f aca="false">IF(ISNUMBER($S303),$S303*$H303,"")</f>
        <v/>
      </c>
      <c r="U303" s="45" t="str">
        <f aca="false">IF(ISNUMBER($S303),$S303*Parâmetros!$B$6,"")</f>
        <v/>
      </c>
      <c r="V303" s="45" t="str">
        <f aca="false">IF(ISNUMBER($S303),$S303*Parâmetros!$C$6,"")</f>
        <v/>
      </c>
      <c r="W303" s="44" t="str">
        <f aca="false">IF(ISNUMBER($S303),$S303-$D303-IF(ISNUMBER($E303),$E303,0)-$O303-$T303-$U303-$V303,"")</f>
        <v/>
      </c>
      <c r="X303" s="46" t="str">
        <f aca="false">IF(AND(ISNUMBER($S303),$S303&gt;0),$W303/$S303,"")</f>
        <v/>
      </c>
      <c r="Y303" s="49"/>
      <c r="Z303" s="21"/>
    </row>
    <row r="304" customFormat="false" ht="15.75" hidden="false" customHeight="true" outlineLevel="0" collapsed="false">
      <c r="A304" s="32" t="str">
        <f aca="false">IF(Produtos!$A304="","",Produtos!$A304)</f>
        <v/>
      </c>
      <c r="B304" s="32" t="str">
        <f aca="false">IF(Produtos!$A304="","",Produtos!$B304)</f>
        <v/>
      </c>
      <c r="C304" s="32" t="str">
        <f aca="false">IF(Produtos!$A304="","",Produtos!$C304)</f>
        <v/>
      </c>
      <c r="D304" s="33" t="str">
        <f aca="false">IF(Produtos!$A304="","",IF(Produtos!$D304="","",Produtos!$D304))</f>
        <v/>
      </c>
      <c r="E304" s="11"/>
      <c r="F304" s="34" t="str">
        <f aca="false">IF($A304="","",IF($C304="","⚠ categoria",IFERROR(INDEX(Parâmetros!$D$13:$D$22,MATCH($C304,Parâmetros!$A$13:$A$22,0)),"⚠ categoria")))</f>
        <v/>
      </c>
      <c r="G304" s="35"/>
      <c r="H304" s="36" t="str">
        <f aca="false">IF($A304="","",IF(ISNUMBER($G304),$G304,IF(ISNUMBER($F304),$F304,"")))</f>
        <v/>
      </c>
      <c r="I304" s="37" t="str">
        <f aca="false">IF(OR($A304="",NOT(ISNUMBER($D304)),NOT(ISNUMBER($H304))),"",IF((1-$H304-Parâmetros!$B$6-Parâmetros!$C$6-Parâmetros!$D$6)&lt;=0,"INVALIDO",($D304+IF(ISNUMBER($E304),$E304,0)+IF(ISNUMBER(Parâmetros!$E$6),Parâmetros!$E$6,0))/(1-$H304-Parâmetros!$B$6-Parâmetros!$C$6-Parâmetros!$D$6)))</f>
        <v/>
      </c>
      <c r="J304" s="38"/>
      <c r="K304" s="39" t="str">
        <f aca="false">IF(OR($A304="",NOT(ISNUMBER($D304)),NOT(ISNUMBER($H304))),"",IF(AND(ISNUMBER($J304),$J304&gt;0),$J304,IF(ISNUMBER($I304),$I304,"")))</f>
        <v/>
      </c>
      <c r="L304" s="40" t="str">
        <f aca="false">IF(ISNUMBER($K304),$K304*$H304,"")</f>
        <v/>
      </c>
      <c r="M304" s="40" t="str">
        <f aca="false">IF(ISNUMBER($K304),$K304*Parâmetros!$B$6,"")</f>
        <v/>
      </c>
      <c r="N304" s="40" t="str">
        <f aca="false">IF(ISNUMBER($K304),$K304*Parâmetros!$C$6,"")</f>
        <v/>
      </c>
      <c r="O304" s="40" t="str">
        <f aca="false">IF(ISNUMBER($K304),IF(ISNUMBER(Parâmetros!$E$6),Parâmetros!$E$6,0),"")</f>
        <v/>
      </c>
      <c r="P304" s="41" t="str">
        <f aca="false">IF(ISNUMBER($K304),$K304-$D304-IF(ISNUMBER($E304),$E304,0)-$L304-$M304-$N304-$O304,"")</f>
        <v/>
      </c>
      <c r="Q304" s="42" t="str">
        <f aca="false">IF(AND(ISNUMBER($K304),$K304&gt;0),$P304/$K304,"")</f>
        <v/>
      </c>
      <c r="R304" s="43"/>
      <c r="S304" s="44" t="str">
        <f aca="false">IF(OR(NOT(ISNUMBER($R304)),$R304=0,NOT(ISNUMBER($K304))),"",$K304*(1-$R304))</f>
        <v/>
      </c>
      <c r="T304" s="45" t="str">
        <f aca="false">IF(ISNUMBER($S304),$S304*$H304,"")</f>
        <v/>
      </c>
      <c r="U304" s="45" t="str">
        <f aca="false">IF(ISNUMBER($S304),$S304*Parâmetros!$B$6,"")</f>
        <v/>
      </c>
      <c r="V304" s="45" t="str">
        <f aca="false">IF(ISNUMBER($S304),$S304*Parâmetros!$C$6,"")</f>
        <v/>
      </c>
      <c r="W304" s="44" t="str">
        <f aca="false">IF(ISNUMBER($S304),$S304-$D304-IF(ISNUMBER($E304),$E304,0)-$O304-$T304-$U304-$V304,"")</f>
        <v/>
      </c>
      <c r="X304" s="46" t="str">
        <f aca="false">IF(AND(ISNUMBER($S304),$S304&gt;0),$W304/$S304,"")</f>
        <v/>
      </c>
      <c r="Y304" s="47"/>
      <c r="Z304" s="19"/>
    </row>
    <row r="305" customFormat="false" ht="15.75" hidden="false" customHeight="true" outlineLevel="0" collapsed="false">
      <c r="A305" s="48" t="str">
        <f aca="false">IF(Produtos!$A305="","",Produtos!$A305)</f>
        <v/>
      </c>
      <c r="B305" s="48" t="str">
        <f aca="false">IF(Produtos!$A305="","",Produtos!$B305)</f>
        <v/>
      </c>
      <c r="C305" s="48" t="str">
        <f aca="false">IF(Produtos!$A305="","",Produtos!$C305)</f>
        <v/>
      </c>
      <c r="D305" s="33" t="str">
        <f aca="false">IF(Produtos!$A305="","",IF(Produtos!$D305="","",Produtos!$D305))</f>
        <v/>
      </c>
      <c r="E305" s="11"/>
      <c r="F305" s="34" t="str">
        <f aca="false">IF($A305="","",IF($C305="","⚠ categoria",IFERROR(INDEX(Parâmetros!$D$13:$D$22,MATCH($C305,Parâmetros!$A$13:$A$22,0)),"⚠ categoria")))</f>
        <v/>
      </c>
      <c r="G305" s="35"/>
      <c r="H305" s="36" t="str">
        <f aca="false">IF($A305="","",IF(ISNUMBER($G305),$G305,IF(ISNUMBER($F305),$F305,"")))</f>
        <v/>
      </c>
      <c r="I305" s="37" t="str">
        <f aca="false">IF(OR($A305="",NOT(ISNUMBER($D305)),NOT(ISNUMBER($H305))),"",IF((1-$H305-Parâmetros!$B$6-Parâmetros!$C$6-Parâmetros!$D$6)&lt;=0,"INVALIDO",($D305+IF(ISNUMBER($E305),$E305,0)+IF(ISNUMBER(Parâmetros!$E$6),Parâmetros!$E$6,0))/(1-$H305-Parâmetros!$B$6-Parâmetros!$C$6-Parâmetros!$D$6)))</f>
        <v/>
      </c>
      <c r="J305" s="38"/>
      <c r="K305" s="39" t="str">
        <f aca="false">IF(OR($A305="",NOT(ISNUMBER($D305)),NOT(ISNUMBER($H305))),"",IF(AND(ISNUMBER($J305),$J305&gt;0),$J305,IF(ISNUMBER($I305),$I305,"")))</f>
        <v/>
      </c>
      <c r="L305" s="40" t="str">
        <f aca="false">IF(ISNUMBER($K305),$K305*$H305,"")</f>
        <v/>
      </c>
      <c r="M305" s="40" t="str">
        <f aca="false">IF(ISNUMBER($K305),$K305*Parâmetros!$B$6,"")</f>
        <v/>
      </c>
      <c r="N305" s="40" t="str">
        <f aca="false">IF(ISNUMBER($K305),$K305*Parâmetros!$C$6,"")</f>
        <v/>
      </c>
      <c r="O305" s="40" t="str">
        <f aca="false">IF(ISNUMBER($K305),IF(ISNUMBER(Parâmetros!$E$6),Parâmetros!$E$6,0),"")</f>
        <v/>
      </c>
      <c r="P305" s="41" t="str">
        <f aca="false">IF(ISNUMBER($K305),$K305-$D305-IF(ISNUMBER($E305),$E305,0)-$L305-$M305-$N305-$O305,"")</f>
        <v/>
      </c>
      <c r="Q305" s="42" t="str">
        <f aca="false">IF(AND(ISNUMBER($K305),$K305&gt;0),$P305/$K305,"")</f>
        <v/>
      </c>
      <c r="R305" s="43"/>
      <c r="S305" s="44" t="str">
        <f aca="false">IF(OR(NOT(ISNUMBER($R305)),$R305=0,NOT(ISNUMBER($K305))),"",$K305*(1-$R305))</f>
        <v/>
      </c>
      <c r="T305" s="45" t="str">
        <f aca="false">IF(ISNUMBER($S305),$S305*$H305,"")</f>
        <v/>
      </c>
      <c r="U305" s="45" t="str">
        <f aca="false">IF(ISNUMBER($S305),$S305*Parâmetros!$B$6,"")</f>
        <v/>
      </c>
      <c r="V305" s="45" t="str">
        <f aca="false">IF(ISNUMBER($S305),$S305*Parâmetros!$C$6,"")</f>
        <v/>
      </c>
      <c r="W305" s="44" t="str">
        <f aca="false">IF(ISNUMBER($S305),$S305-$D305-IF(ISNUMBER($E305),$E305,0)-$O305-$T305-$U305-$V305,"")</f>
        <v/>
      </c>
      <c r="X305" s="46" t="str">
        <f aca="false">IF(AND(ISNUMBER($S305),$S305&gt;0),$W305/$S305,"")</f>
        <v/>
      </c>
      <c r="Y305" s="49"/>
      <c r="Z305" s="21"/>
    </row>
    <row r="306" customFormat="false" ht="15.75" hidden="false" customHeight="true" outlineLevel="0" collapsed="false">
      <c r="A306" s="32" t="str">
        <f aca="false">IF(Produtos!$A306="","",Produtos!$A306)</f>
        <v/>
      </c>
      <c r="B306" s="32" t="str">
        <f aca="false">IF(Produtos!$A306="","",Produtos!$B306)</f>
        <v/>
      </c>
      <c r="C306" s="32" t="str">
        <f aca="false">IF(Produtos!$A306="","",Produtos!$C306)</f>
        <v/>
      </c>
      <c r="D306" s="33" t="str">
        <f aca="false">IF(Produtos!$A306="","",IF(Produtos!$D306="","",Produtos!$D306))</f>
        <v/>
      </c>
      <c r="E306" s="11"/>
      <c r="F306" s="34" t="str">
        <f aca="false">IF($A306="","",IF($C306="","⚠ categoria",IFERROR(INDEX(Parâmetros!$D$13:$D$22,MATCH($C306,Parâmetros!$A$13:$A$22,0)),"⚠ categoria")))</f>
        <v/>
      </c>
      <c r="G306" s="35"/>
      <c r="H306" s="36" t="str">
        <f aca="false">IF($A306="","",IF(ISNUMBER($G306),$G306,IF(ISNUMBER($F306),$F306,"")))</f>
        <v/>
      </c>
      <c r="I306" s="37" t="str">
        <f aca="false">IF(OR($A306="",NOT(ISNUMBER($D306)),NOT(ISNUMBER($H306))),"",IF((1-$H306-Parâmetros!$B$6-Parâmetros!$C$6-Parâmetros!$D$6)&lt;=0,"INVALIDO",($D306+IF(ISNUMBER($E306),$E306,0)+IF(ISNUMBER(Parâmetros!$E$6),Parâmetros!$E$6,0))/(1-$H306-Parâmetros!$B$6-Parâmetros!$C$6-Parâmetros!$D$6)))</f>
        <v/>
      </c>
      <c r="J306" s="38"/>
      <c r="K306" s="39" t="str">
        <f aca="false">IF(OR($A306="",NOT(ISNUMBER($D306)),NOT(ISNUMBER($H306))),"",IF(AND(ISNUMBER($J306),$J306&gt;0),$J306,IF(ISNUMBER($I306),$I306,"")))</f>
        <v/>
      </c>
      <c r="L306" s="40" t="str">
        <f aca="false">IF(ISNUMBER($K306),$K306*$H306,"")</f>
        <v/>
      </c>
      <c r="M306" s="40" t="str">
        <f aca="false">IF(ISNUMBER($K306),$K306*Parâmetros!$B$6,"")</f>
        <v/>
      </c>
      <c r="N306" s="40" t="str">
        <f aca="false">IF(ISNUMBER($K306),$K306*Parâmetros!$C$6,"")</f>
        <v/>
      </c>
      <c r="O306" s="40" t="str">
        <f aca="false">IF(ISNUMBER($K306),IF(ISNUMBER(Parâmetros!$E$6),Parâmetros!$E$6,0),"")</f>
        <v/>
      </c>
      <c r="P306" s="41" t="str">
        <f aca="false">IF(ISNUMBER($K306),$K306-$D306-IF(ISNUMBER($E306),$E306,0)-$L306-$M306-$N306-$O306,"")</f>
        <v/>
      </c>
      <c r="Q306" s="42" t="str">
        <f aca="false">IF(AND(ISNUMBER($K306),$K306&gt;0),$P306/$K306,"")</f>
        <v/>
      </c>
      <c r="R306" s="43"/>
      <c r="S306" s="44" t="str">
        <f aca="false">IF(OR(NOT(ISNUMBER($R306)),$R306=0,NOT(ISNUMBER($K306))),"",$K306*(1-$R306))</f>
        <v/>
      </c>
      <c r="T306" s="45" t="str">
        <f aca="false">IF(ISNUMBER($S306),$S306*$H306,"")</f>
        <v/>
      </c>
      <c r="U306" s="45" t="str">
        <f aca="false">IF(ISNUMBER($S306),$S306*Parâmetros!$B$6,"")</f>
        <v/>
      </c>
      <c r="V306" s="45" t="str">
        <f aca="false">IF(ISNUMBER($S306),$S306*Parâmetros!$C$6,"")</f>
        <v/>
      </c>
      <c r="W306" s="44" t="str">
        <f aca="false">IF(ISNUMBER($S306),$S306-$D306-IF(ISNUMBER($E306),$E306,0)-$O306-$T306-$U306-$V306,"")</f>
        <v/>
      </c>
      <c r="X306" s="46" t="str">
        <f aca="false">IF(AND(ISNUMBER($S306),$S306&gt;0),$W306/$S306,"")</f>
        <v/>
      </c>
      <c r="Y306" s="47"/>
      <c r="Z306" s="19"/>
    </row>
    <row r="307" customFormat="false" ht="15.75" hidden="false" customHeight="true" outlineLevel="0" collapsed="false">
      <c r="A307" s="48" t="str">
        <f aca="false">IF(Produtos!$A307="","",Produtos!$A307)</f>
        <v/>
      </c>
      <c r="B307" s="48" t="str">
        <f aca="false">IF(Produtos!$A307="","",Produtos!$B307)</f>
        <v/>
      </c>
      <c r="C307" s="48" t="str">
        <f aca="false">IF(Produtos!$A307="","",Produtos!$C307)</f>
        <v/>
      </c>
      <c r="D307" s="33" t="str">
        <f aca="false">IF(Produtos!$A307="","",IF(Produtos!$D307="","",Produtos!$D307))</f>
        <v/>
      </c>
      <c r="E307" s="11"/>
      <c r="F307" s="34" t="str">
        <f aca="false">IF($A307="","",IF($C307="","⚠ categoria",IFERROR(INDEX(Parâmetros!$D$13:$D$22,MATCH($C307,Parâmetros!$A$13:$A$22,0)),"⚠ categoria")))</f>
        <v/>
      </c>
      <c r="G307" s="35"/>
      <c r="H307" s="36" t="str">
        <f aca="false">IF($A307="","",IF(ISNUMBER($G307),$G307,IF(ISNUMBER($F307),$F307,"")))</f>
        <v/>
      </c>
      <c r="I307" s="37" t="str">
        <f aca="false">IF(OR($A307="",NOT(ISNUMBER($D307)),NOT(ISNUMBER($H307))),"",IF((1-$H307-Parâmetros!$B$6-Parâmetros!$C$6-Parâmetros!$D$6)&lt;=0,"INVALIDO",($D307+IF(ISNUMBER($E307),$E307,0)+IF(ISNUMBER(Parâmetros!$E$6),Parâmetros!$E$6,0))/(1-$H307-Parâmetros!$B$6-Parâmetros!$C$6-Parâmetros!$D$6)))</f>
        <v/>
      </c>
      <c r="J307" s="38"/>
      <c r="K307" s="39" t="str">
        <f aca="false">IF(OR($A307="",NOT(ISNUMBER($D307)),NOT(ISNUMBER($H307))),"",IF(AND(ISNUMBER($J307),$J307&gt;0),$J307,IF(ISNUMBER($I307),$I307,"")))</f>
        <v/>
      </c>
      <c r="L307" s="40" t="str">
        <f aca="false">IF(ISNUMBER($K307),$K307*$H307,"")</f>
        <v/>
      </c>
      <c r="M307" s="40" t="str">
        <f aca="false">IF(ISNUMBER($K307),$K307*Parâmetros!$B$6,"")</f>
        <v/>
      </c>
      <c r="N307" s="40" t="str">
        <f aca="false">IF(ISNUMBER($K307),$K307*Parâmetros!$C$6,"")</f>
        <v/>
      </c>
      <c r="O307" s="40" t="str">
        <f aca="false">IF(ISNUMBER($K307),IF(ISNUMBER(Parâmetros!$E$6),Parâmetros!$E$6,0),"")</f>
        <v/>
      </c>
      <c r="P307" s="41" t="str">
        <f aca="false">IF(ISNUMBER($K307),$K307-$D307-IF(ISNUMBER($E307),$E307,0)-$L307-$M307-$N307-$O307,"")</f>
        <v/>
      </c>
      <c r="Q307" s="42" t="str">
        <f aca="false">IF(AND(ISNUMBER($K307),$K307&gt;0),$P307/$K307,"")</f>
        <v/>
      </c>
      <c r="R307" s="43"/>
      <c r="S307" s="44" t="str">
        <f aca="false">IF(OR(NOT(ISNUMBER($R307)),$R307=0,NOT(ISNUMBER($K307))),"",$K307*(1-$R307))</f>
        <v/>
      </c>
      <c r="T307" s="45" t="str">
        <f aca="false">IF(ISNUMBER($S307),$S307*$H307,"")</f>
        <v/>
      </c>
      <c r="U307" s="45" t="str">
        <f aca="false">IF(ISNUMBER($S307),$S307*Parâmetros!$B$6,"")</f>
        <v/>
      </c>
      <c r="V307" s="45" t="str">
        <f aca="false">IF(ISNUMBER($S307),$S307*Parâmetros!$C$6,"")</f>
        <v/>
      </c>
      <c r="W307" s="44" t="str">
        <f aca="false">IF(ISNUMBER($S307),$S307-$D307-IF(ISNUMBER($E307),$E307,0)-$O307-$T307-$U307-$V307,"")</f>
        <v/>
      </c>
      <c r="X307" s="46" t="str">
        <f aca="false">IF(AND(ISNUMBER($S307),$S307&gt;0),$W307/$S307,"")</f>
        <v/>
      </c>
      <c r="Y307" s="49"/>
      <c r="Z307" s="21"/>
    </row>
    <row r="308" customFormat="false" ht="15.75" hidden="false" customHeight="true" outlineLevel="0" collapsed="false">
      <c r="A308" s="32" t="str">
        <f aca="false">IF(Produtos!$A308="","",Produtos!$A308)</f>
        <v/>
      </c>
      <c r="B308" s="32" t="str">
        <f aca="false">IF(Produtos!$A308="","",Produtos!$B308)</f>
        <v/>
      </c>
      <c r="C308" s="32" t="str">
        <f aca="false">IF(Produtos!$A308="","",Produtos!$C308)</f>
        <v/>
      </c>
      <c r="D308" s="33" t="str">
        <f aca="false">IF(Produtos!$A308="","",IF(Produtos!$D308="","",Produtos!$D308))</f>
        <v/>
      </c>
      <c r="E308" s="11"/>
      <c r="F308" s="34" t="str">
        <f aca="false">IF($A308="","",IF($C308="","⚠ categoria",IFERROR(INDEX(Parâmetros!$D$13:$D$22,MATCH($C308,Parâmetros!$A$13:$A$22,0)),"⚠ categoria")))</f>
        <v/>
      </c>
      <c r="G308" s="35"/>
      <c r="H308" s="36" t="str">
        <f aca="false">IF($A308="","",IF(ISNUMBER($G308),$G308,IF(ISNUMBER($F308),$F308,"")))</f>
        <v/>
      </c>
      <c r="I308" s="37" t="str">
        <f aca="false">IF(OR($A308="",NOT(ISNUMBER($D308)),NOT(ISNUMBER($H308))),"",IF((1-$H308-Parâmetros!$B$6-Parâmetros!$C$6-Parâmetros!$D$6)&lt;=0,"INVALIDO",($D308+IF(ISNUMBER($E308),$E308,0)+IF(ISNUMBER(Parâmetros!$E$6),Parâmetros!$E$6,0))/(1-$H308-Parâmetros!$B$6-Parâmetros!$C$6-Parâmetros!$D$6)))</f>
        <v/>
      </c>
      <c r="J308" s="38"/>
      <c r="K308" s="39" t="str">
        <f aca="false">IF(OR($A308="",NOT(ISNUMBER($D308)),NOT(ISNUMBER($H308))),"",IF(AND(ISNUMBER($J308),$J308&gt;0),$J308,IF(ISNUMBER($I308),$I308,"")))</f>
        <v/>
      </c>
      <c r="L308" s="40" t="str">
        <f aca="false">IF(ISNUMBER($K308),$K308*$H308,"")</f>
        <v/>
      </c>
      <c r="M308" s="40" t="str">
        <f aca="false">IF(ISNUMBER($K308),$K308*Parâmetros!$B$6,"")</f>
        <v/>
      </c>
      <c r="N308" s="40" t="str">
        <f aca="false">IF(ISNUMBER($K308),$K308*Parâmetros!$C$6,"")</f>
        <v/>
      </c>
      <c r="O308" s="40" t="str">
        <f aca="false">IF(ISNUMBER($K308),IF(ISNUMBER(Parâmetros!$E$6),Parâmetros!$E$6,0),"")</f>
        <v/>
      </c>
      <c r="P308" s="41" t="str">
        <f aca="false">IF(ISNUMBER($K308),$K308-$D308-IF(ISNUMBER($E308),$E308,0)-$L308-$M308-$N308-$O308,"")</f>
        <v/>
      </c>
      <c r="Q308" s="42" t="str">
        <f aca="false">IF(AND(ISNUMBER($K308),$K308&gt;0),$P308/$K308,"")</f>
        <v/>
      </c>
      <c r="R308" s="43"/>
      <c r="S308" s="44" t="str">
        <f aca="false">IF(OR(NOT(ISNUMBER($R308)),$R308=0,NOT(ISNUMBER($K308))),"",$K308*(1-$R308))</f>
        <v/>
      </c>
      <c r="T308" s="45" t="str">
        <f aca="false">IF(ISNUMBER($S308),$S308*$H308,"")</f>
        <v/>
      </c>
      <c r="U308" s="45" t="str">
        <f aca="false">IF(ISNUMBER($S308),$S308*Parâmetros!$B$6,"")</f>
        <v/>
      </c>
      <c r="V308" s="45" t="str">
        <f aca="false">IF(ISNUMBER($S308),$S308*Parâmetros!$C$6,"")</f>
        <v/>
      </c>
      <c r="W308" s="44" t="str">
        <f aca="false">IF(ISNUMBER($S308),$S308-$D308-IF(ISNUMBER($E308),$E308,0)-$O308-$T308-$U308-$V308,"")</f>
        <v/>
      </c>
      <c r="X308" s="46" t="str">
        <f aca="false">IF(AND(ISNUMBER($S308),$S308&gt;0),$W308/$S308,"")</f>
        <v/>
      </c>
      <c r="Y308" s="47"/>
      <c r="Z308" s="19"/>
    </row>
    <row r="309" customFormat="false" ht="15.75" hidden="false" customHeight="true" outlineLevel="0" collapsed="false">
      <c r="A309" s="48" t="str">
        <f aca="false">IF(Produtos!$A309="","",Produtos!$A309)</f>
        <v/>
      </c>
      <c r="B309" s="48" t="str">
        <f aca="false">IF(Produtos!$A309="","",Produtos!$B309)</f>
        <v/>
      </c>
      <c r="C309" s="48" t="str">
        <f aca="false">IF(Produtos!$A309="","",Produtos!$C309)</f>
        <v/>
      </c>
      <c r="D309" s="33" t="str">
        <f aca="false">IF(Produtos!$A309="","",IF(Produtos!$D309="","",Produtos!$D309))</f>
        <v/>
      </c>
      <c r="E309" s="11"/>
      <c r="F309" s="34" t="str">
        <f aca="false">IF($A309="","",IF($C309="","⚠ categoria",IFERROR(INDEX(Parâmetros!$D$13:$D$22,MATCH($C309,Parâmetros!$A$13:$A$22,0)),"⚠ categoria")))</f>
        <v/>
      </c>
      <c r="G309" s="35"/>
      <c r="H309" s="36" t="str">
        <f aca="false">IF($A309="","",IF(ISNUMBER($G309),$G309,IF(ISNUMBER($F309),$F309,"")))</f>
        <v/>
      </c>
      <c r="I309" s="37" t="str">
        <f aca="false">IF(OR($A309="",NOT(ISNUMBER($D309)),NOT(ISNUMBER($H309))),"",IF((1-$H309-Parâmetros!$B$6-Parâmetros!$C$6-Parâmetros!$D$6)&lt;=0,"INVALIDO",($D309+IF(ISNUMBER($E309),$E309,0)+IF(ISNUMBER(Parâmetros!$E$6),Parâmetros!$E$6,0))/(1-$H309-Parâmetros!$B$6-Parâmetros!$C$6-Parâmetros!$D$6)))</f>
        <v/>
      </c>
      <c r="J309" s="38"/>
      <c r="K309" s="39" t="str">
        <f aca="false">IF(OR($A309="",NOT(ISNUMBER($D309)),NOT(ISNUMBER($H309))),"",IF(AND(ISNUMBER($J309),$J309&gt;0),$J309,IF(ISNUMBER($I309),$I309,"")))</f>
        <v/>
      </c>
      <c r="L309" s="40" t="str">
        <f aca="false">IF(ISNUMBER($K309),$K309*$H309,"")</f>
        <v/>
      </c>
      <c r="M309" s="40" t="str">
        <f aca="false">IF(ISNUMBER($K309),$K309*Parâmetros!$B$6,"")</f>
        <v/>
      </c>
      <c r="N309" s="40" t="str">
        <f aca="false">IF(ISNUMBER($K309),$K309*Parâmetros!$C$6,"")</f>
        <v/>
      </c>
      <c r="O309" s="40" t="str">
        <f aca="false">IF(ISNUMBER($K309),IF(ISNUMBER(Parâmetros!$E$6),Parâmetros!$E$6,0),"")</f>
        <v/>
      </c>
      <c r="P309" s="41" t="str">
        <f aca="false">IF(ISNUMBER($K309),$K309-$D309-IF(ISNUMBER($E309),$E309,0)-$L309-$M309-$N309-$O309,"")</f>
        <v/>
      </c>
      <c r="Q309" s="42" t="str">
        <f aca="false">IF(AND(ISNUMBER($K309),$K309&gt;0),$P309/$K309,"")</f>
        <v/>
      </c>
      <c r="R309" s="43"/>
      <c r="S309" s="44" t="str">
        <f aca="false">IF(OR(NOT(ISNUMBER($R309)),$R309=0,NOT(ISNUMBER($K309))),"",$K309*(1-$R309))</f>
        <v/>
      </c>
      <c r="T309" s="45" t="str">
        <f aca="false">IF(ISNUMBER($S309),$S309*$H309,"")</f>
        <v/>
      </c>
      <c r="U309" s="45" t="str">
        <f aca="false">IF(ISNUMBER($S309),$S309*Parâmetros!$B$6,"")</f>
        <v/>
      </c>
      <c r="V309" s="45" t="str">
        <f aca="false">IF(ISNUMBER($S309),$S309*Parâmetros!$C$6,"")</f>
        <v/>
      </c>
      <c r="W309" s="44" t="str">
        <f aca="false">IF(ISNUMBER($S309),$S309-$D309-IF(ISNUMBER($E309),$E309,0)-$O309-$T309-$U309-$V309,"")</f>
        <v/>
      </c>
      <c r="X309" s="46" t="str">
        <f aca="false">IF(AND(ISNUMBER($S309),$S309&gt;0),$W309/$S309,"")</f>
        <v/>
      </c>
      <c r="Y309" s="49"/>
      <c r="Z309" s="21"/>
    </row>
    <row r="310" customFormat="false" ht="15.75" hidden="false" customHeight="true" outlineLevel="0" collapsed="false">
      <c r="A310" s="32" t="str">
        <f aca="false">IF(Produtos!$A310="","",Produtos!$A310)</f>
        <v/>
      </c>
      <c r="B310" s="32" t="str">
        <f aca="false">IF(Produtos!$A310="","",Produtos!$B310)</f>
        <v/>
      </c>
      <c r="C310" s="32" t="str">
        <f aca="false">IF(Produtos!$A310="","",Produtos!$C310)</f>
        <v/>
      </c>
      <c r="D310" s="33" t="str">
        <f aca="false">IF(Produtos!$A310="","",IF(Produtos!$D310="","",Produtos!$D310))</f>
        <v/>
      </c>
      <c r="E310" s="11"/>
      <c r="F310" s="34" t="str">
        <f aca="false">IF($A310="","",IF($C310="","⚠ categoria",IFERROR(INDEX(Parâmetros!$D$13:$D$22,MATCH($C310,Parâmetros!$A$13:$A$22,0)),"⚠ categoria")))</f>
        <v/>
      </c>
      <c r="G310" s="35"/>
      <c r="H310" s="36" t="str">
        <f aca="false">IF($A310="","",IF(ISNUMBER($G310),$G310,IF(ISNUMBER($F310),$F310,"")))</f>
        <v/>
      </c>
      <c r="I310" s="37" t="str">
        <f aca="false">IF(OR($A310="",NOT(ISNUMBER($D310)),NOT(ISNUMBER($H310))),"",IF((1-$H310-Parâmetros!$B$6-Parâmetros!$C$6-Parâmetros!$D$6)&lt;=0,"INVALIDO",($D310+IF(ISNUMBER($E310),$E310,0)+IF(ISNUMBER(Parâmetros!$E$6),Parâmetros!$E$6,0))/(1-$H310-Parâmetros!$B$6-Parâmetros!$C$6-Parâmetros!$D$6)))</f>
        <v/>
      </c>
      <c r="J310" s="38"/>
      <c r="K310" s="39" t="str">
        <f aca="false">IF(OR($A310="",NOT(ISNUMBER($D310)),NOT(ISNUMBER($H310))),"",IF(AND(ISNUMBER($J310),$J310&gt;0),$J310,IF(ISNUMBER($I310),$I310,"")))</f>
        <v/>
      </c>
      <c r="L310" s="40" t="str">
        <f aca="false">IF(ISNUMBER($K310),$K310*$H310,"")</f>
        <v/>
      </c>
      <c r="M310" s="40" t="str">
        <f aca="false">IF(ISNUMBER($K310),$K310*Parâmetros!$B$6,"")</f>
        <v/>
      </c>
      <c r="N310" s="40" t="str">
        <f aca="false">IF(ISNUMBER($K310),$K310*Parâmetros!$C$6,"")</f>
        <v/>
      </c>
      <c r="O310" s="40" t="str">
        <f aca="false">IF(ISNUMBER($K310),IF(ISNUMBER(Parâmetros!$E$6),Parâmetros!$E$6,0),"")</f>
        <v/>
      </c>
      <c r="P310" s="41" t="str">
        <f aca="false">IF(ISNUMBER($K310),$K310-$D310-IF(ISNUMBER($E310),$E310,0)-$L310-$M310-$N310-$O310,"")</f>
        <v/>
      </c>
      <c r="Q310" s="42" t="str">
        <f aca="false">IF(AND(ISNUMBER($K310),$K310&gt;0),$P310/$K310,"")</f>
        <v/>
      </c>
      <c r="R310" s="43"/>
      <c r="S310" s="44" t="str">
        <f aca="false">IF(OR(NOT(ISNUMBER($R310)),$R310=0,NOT(ISNUMBER($K310))),"",$K310*(1-$R310))</f>
        <v/>
      </c>
      <c r="T310" s="45" t="str">
        <f aca="false">IF(ISNUMBER($S310),$S310*$H310,"")</f>
        <v/>
      </c>
      <c r="U310" s="45" t="str">
        <f aca="false">IF(ISNUMBER($S310),$S310*Parâmetros!$B$6,"")</f>
        <v/>
      </c>
      <c r="V310" s="45" t="str">
        <f aca="false">IF(ISNUMBER($S310),$S310*Parâmetros!$C$6,"")</f>
        <v/>
      </c>
      <c r="W310" s="44" t="str">
        <f aca="false">IF(ISNUMBER($S310),$S310-$D310-IF(ISNUMBER($E310),$E310,0)-$O310-$T310-$U310-$V310,"")</f>
        <v/>
      </c>
      <c r="X310" s="46" t="str">
        <f aca="false">IF(AND(ISNUMBER($S310),$S310&gt;0),$W310/$S310,"")</f>
        <v/>
      </c>
      <c r="Y310" s="47"/>
      <c r="Z310" s="19"/>
    </row>
    <row r="311" customFormat="false" ht="15.75" hidden="false" customHeight="true" outlineLevel="0" collapsed="false">
      <c r="A311" s="48" t="str">
        <f aca="false">IF(Produtos!$A311="","",Produtos!$A311)</f>
        <v/>
      </c>
      <c r="B311" s="48" t="str">
        <f aca="false">IF(Produtos!$A311="","",Produtos!$B311)</f>
        <v/>
      </c>
      <c r="C311" s="48" t="str">
        <f aca="false">IF(Produtos!$A311="","",Produtos!$C311)</f>
        <v/>
      </c>
      <c r="D311" s="33" t="str">
        <f aca="false">IF(Produtos!$A311="","",IF(Produtos!$D311="","",Produtos!$D311))</f>
        <v/>
      </c>
      <c r="E311" s="11"/>
      <c r="F311" s="34" t="str">
        <f aca="false">IF($A311="","",IF($C311="","⚠ categoria",IFERROR(INDEX(Parâmetros!$D$13:$D$22,MATCH($C311,Parâmetros!$A$13:$A$22,0)),"⚠ categoria")))</f>
        <v/>
      </c>
      <c r="G311" s="35"/>
      <c r="H311" s="36" t="str">
        <f aca="false">IF($A311="","",IF(ISNUMBER($G311),$G311,IF(ISNUMBER($F311),$F311,"")))</f>
        <v/>
      </c>
      <c r="I311" s="37" t="str">
        <f aca="false">IF(OR($A311="",NOT(ISNUMBER($D311)),NOT(ISNUMBER($H311))),"",IF((1-$H311-Parâmetros!$B$6-Parâmetros!$C$6-Parâmetros!$D$6)&lt;=0,"INVALIDO",($D311+IF(ISNUMBER($E311),$E311,0)+IF(ISNUMBER(Parâmetros!$E$6),Parâmetros!$E$6,0))/(1-$H311-Parâmetros!$B$6-Parâmetros!$C$6-Parâmetros!$D$6)))</f>
        <v/>
      </c>
      <c r="J311" s="38"/>
      <c r="K311" s="39" t="str">
        <f aca="false">IF(OR($A311="",NOT(ISNUMBER($D311)),NOT(ISNUMBER($H311))),"",IF(AND(ISNUMBER($J311),$J311&gt;0),$J311,IF(ISNUMBER($I311),$I311,"")))</f>
        <v/>
      </c>
      <c r="L311" s="40" t="str">
        <f aca="false">IF(ISNUMBER($K311),$K311*$H311,"")</f>
        <v/>
      </c>
      <c r="M311" s="40" t="str">
        <f aca="false">IF(ISNUMBER($K311),$K311*Parâmetros!$B$6,"")</f>
        <v/>
      </c>
      <c r="N311" s="40" t="str">
        <f aca="false">IF(ISNUMBER($K311),$K311*Parâmetros!$C$6,"")</f>
        <v/>
      </c>
      <c r="O311" s="40" t="str">
        <f aca="false">IF(ISNUMBER($K311),IF(ISNUMBER(Parâmetros!$E$6),Parâmetros!$E$6,0),"")</f>
        <v/>
      </c>
      <c r="P311" s="41" t="str">
        <f aca="false">IF(ISNUMBER($K311),$K311-$D311-IF(ISNUMBER($E311),$E311,0)-$L311-$M311-$N311-$O311,"")</f>
        <v/>
      </c>
      <c r="Q311" s="42" t="str">
        <f aca="false">IF(AND(ISNUMBER($K311),$K311&gt;0),$P311/$K311,"")</f>
        <v/>
      </c>
      <c r="R311" s="43"/>
      <c r="S311" s="44" t="str">
        <f aca="false">IF(OR(NOT(ISNUMBER($R311)),$R311=0,NOT(ISNUMBER($K311))),"",$K311*(1-$R311))</f>
        <v/>
      </c>
      <c r="T311" s="45" t="str">
        <f aca="false">IF(ISNUMBER($S311),$S311*$H311,"")</f>
        <v/>
      </c>
      <c r="U311" s="45" t="str">
        <f aca="false">IF(ISNUMBER($S311),$S311*Parâmetros!$B$6,"")</f>
        <v/>
      </c>
      <c r="V311" s="45" t="str">
        <f aca="false">IF(ISNUMBER($S311),$S311*Parâmetros!$C$6,"")</f>
        <v/>
      </c>
      <c r="W311" s="44" t="str">
        <f aca="false">IF(ISNUMBER($S311),$S311-$D311-IF(ISNUMBER($E311),$E311,0)-$O311-$T311-$U311-$V311,"")</f>
        <v/>
      </c>
      <c r="X311" s="46" t="str">
        <f aca="false">IF(AND(ISNUMBER($S311),$S311&gt;0),$W311/$S311,"")</f>
        <v/>
      </c>
      <c r="Y311" s="49"/>
      <c r="Z311" s="21"/>
    </row>
    <row r="312" customFormat="false" ht="15.75" hidden="false" customHeight="true" outlineLevel="0" collapsed="false">
      <c r="A312" s="32" t="str">
        <f aca="false">IF(Produtos!$A312="","",Produtos!$A312)</f>
        <v/>
      </c>
      <c r="B312" s="32" t="str">
        <f aca="false">IF(Produtos!$A312="","",Produtos!$B312)</f>
        <v/>
      </c>
      <c r="C312" s="32" t="str">
        <f aca="false">IF(Produtos!$A312="","",Produtos!$C312)</f>
        <v/>
      </c>
      <c r="D312" s="33" t="str">
        <f aca="false">IF(Produtos!$A312="","",IF(Produtos!$D312="","",Produtos!$D312))</f>
        <v/>
      </c>
      <c r="E312" s="11"/>
      <c r="F312" s="34" t="str">
        <f aca="false">IF($A312="","",IF($C312="","⚠ categoria",IFERROR(INDEX(Parâmetros!$D$13:$D$22,MATCH($C312,Parâmetros!$A$13:$A$22,0)),"⚠ categoria")))</f>
        <v/>
      </c>
      <c r="G312" s="35"/>
      <c r="H312" s="36" t="str">
        <f aca="false">IF($A312="","",IF(ISNUMBER($G312),$G312,IF(ISNUMBER($F312),$F312,"")))</f>
        <v/>
      </c>
      <c r="I312" s="37" t="str">
        <f aca="false">IF(OR($A312="",NOT(ISNUMBER($D312)),NOT(ISNUMBER($H312))),"",IF((1-$H312-Parâmetros!$B$6-Parâmetros!$C$6-Parâmetros!$D$6)&lt;=0,"INVALIDO",($D312+IF(ISNUMBER($E312),$E312,0)+IF(ISNUMBER(Parâmetros!$E$6),Parâmetros!$E$6,0))/(1-$H312-Parâmetros!$B$6-Parâmetros!$C$6-Parâmetros!$D$6)))</f>
        <v/>
      </c>
      <c r="J312" s="38"/>
      <c r="K312" s="39" t="str">
        <f aca="false">IF(OR($A312="",NOT(ISNUMBER($D312)),NOT(ISNUMBER($H312))),"",IF(AND(ISNUMBER($J312),$J312&gt;0),$J312,IF(ISNUMBER($I312),$I312,"")))</f>
        <v/>
      </c>
      <c r="L312" s="40" t="str">
        <f aca="false">IF(ISNUMBER($K312),$K312*$H312,"")</f>
        <v/>
      </c>
      <c r="M312" s="40" t="str">
        <f aca="false">IF(ISNUMBER($K312),$K312*Parâmetros!$B$6,"")</f>
        <v/>
      </c>
      <c r="N312" s="40" t="str">
        <f aca="false">IF(ISNUMBER($K312),$K312*Parâmetros!$C$6,"")</f>
        <v/>
      </c>
      <c r="O312" s="40" t="str">
        <f aca="false">IF(ISNUMBER($K312),IF(ISNUMBER(Parâmetros!$E$6),Parâmetros!$E$6,0),"")</f>
        <v/>
      </c>
      <c r="P312" s="41" t="str">
        <f aca="false">IF(ISNUMBER($K312),$K312-$D312-IF(ISNUMBER($E312),$E312,0)-$L312-$M312-$N312-$O312,"")</f>
        <v/>
      </c>
      <c r="Q312" s="42" t="str">
        <f aca="false">IF(AND(ISNUMBER($K312),$K312&gt;0),$P312/$K312,"")</f>
        <v/>
      </c>
      <c r="R312" s="43"/>
      <c r="S312" s="44" t="str">
        <f aca="false">IF(OR(NOT(ISNUMBER($R312)),$R312=0,NOT(ISNUMBER($K312))),"",$K312*(1-$R312))</f>
        <v/>
      </c>
      <c r="T312" s="45" t="str">
        <f aca="false">IF(ISNUMBER($S312),$S312*$H312,"")</f>
        <v/>
      </c>
      <c r="U312" s="45" t="str">
        <f aca="false">IF(ISNUMBER($S312),$S312*Parâmetros!$B$6,"")</f>
        <v/>
      </c>
      <c r="V312" s="45" t="str">
        <f aca="false">IF(ISNUMBER($S312),$S312*Parâmetros!$C$6,"")</f>
        <v/>
      </c>
      <c r="W312" s="44" t="str">
        <f aca="false">IF(ISNUMBER($S312),$S312-$D312-IF(ISNUMBER($E312),$E312,0)-$O312-$T312-$U312-$V312,"")</f>
        <v/>
      </c>
      <c r="X312" s="46" t="str">
        <f aca="false">IF(AND(ISNUMBER($S312),$S312&gt;0),$W312/$S312,"")</f>
        <v/>
      </c>
      <c r="Y312" s="47"/>
      <c r="Z312" s="19"/>
    </row>
    <row r="313" customFormat="false" ht="15.75" hidden="false" customHeight="true" outlineLevel="0" collapsed="false">
      <c r="A313" s="48" t="str">
        <f aca="false">IF(Produtos!$A313="","",Produtos!$A313)</f>
        <v/>
      </c>
      <c r="B313" s="48" t="str">
        <f aca="false">IF(Produtos!$A313="","",Produtos!$B313)</f>
        <v/>
      </c>
      <c r="C313" s="48" t="str">
        <f aca="false">IF(Produtos!$A313="","",Produtos!$C313)</f>
        <v/>
      </c>
      <c r="D313" s="33" t="str">
        <f aca="false">IF(Produtos!$A313="","",IF(Produtos!$D313="","",Produtos!$D313))</f>
        <v/>
      </c>
      <c r="E313" s="11"/>
      <c r="F313" s="34" t="str">
        <f aca="false">IF($A313="","",IF($C313="","⚠ categoria",IFERROR(INDEX(Parâmetros!$D$13:$D$22,MATCH($C313,Parâmetros!$A$13:$A$22,0)),"⚠ categoria")))</f>
        <v/>
      </c>
      <c r="G313" s="35"/>
      <c r="H313" s="36" t="str">
        <f aca="false">IF($A313="","",IF(ISNUMBER($G313),$G313,IF(ISNUMBER($F313),$F313,"")))</f>
        <v/>
      </c>
      <c r="I313" s="37" t="str">
        <f aca="false">IF(OR($A313="",NOT(ISNUMBER($D313)),NOT(ISNUMBER($H313))),"",IF((1-$H313-Parâmetros!$B$6-Parâmetros!$C$6-Parâmetros!$D$6)&lt;=0,"INVALIDO",($D313+IF(ISNUMBER($E313),$E313,0)+IF(ISNUMBER(Parâmetros!$E$6),Parâmetros!$E$6,0))/(1-$H313-Parâmetros!$B$6-Parâmetros!$C$6-Parâmetros!$D$6)))</f>
        <v/>
      </c>
      <c r="J313" s="38"/>
      <c r="K313" s="39" t="str">
        <f aca="false">IF(OR($A313="",NOT(ISNUMBER($D313)),NOT(ISNUMBER($H313))),"",IF(AND(ISNUMBER($J313),$J313&gt;0),$J313,IF(ISNUMBER($I313),$I313,"")))</f>
        <v/>
      </c>
      <c r="L313" s="40" t="str">
        <f aca="false">IF(ISNUMBER($K313),$K313*$H313,"")</f>
        <v/>
      </c>
      <c r="M313" s="40" t="str">
        <f aca="false">IF(ISNUMBER($K313),$K313*Parâmetros!$B$6,"")</f>
        <v/>
      </c>
      <c r="N313" s="40" t="str">
        <f aca="false">IF(ISNUMBER($K313),$K313*Parâmetros!$C$6,"")</f>
        <v/>
      </c>
      <c r="O313" s="40" t="str">
        <f aca="false">IF(ISNUMBER($K313),IF(ISNUMBER(Parâmetros!$E$6),Parâmetros!$E$6,0),"")</f>
        <v/>
      </c>
      <c r="P313" s="41" t="str">
        <f aca="false">IF(ISNUMBER($K313),$K313-$D313-IF(ISNUMBER($E313),$E313,0)-$L313-$M313-$N313-$O313,"")</f>
        <v/>
      </c>
      <c r="Q313" s="42" t="str">
        <f aca="false">IF(AND(ISNUMBER($K313),$K313&gt;0),$P313/$K313,"")</f>
        <v/>
      </c>
      <c r="R313" s="43"/>
      <c r="S313" s="44" t="str">
        <f aca="false">IF(OR(NOT(ISNUMBER($R313)),$R313=0,NOT(ISNUMBER($K313))),"",$K313*(1-$R313))</f>
        <v/>
      </c>
      <c r="T313" s="45" t="str">
        <f aca="false">IF(ISNUMBER($S313),$S313*$H313,"")</f>
        <v/>
      </c>
      <c r="U313" s="45" t="str">
        <f aca="false">IF(ISNUMBER($S313),$S313*Parâmetros!$B$6,"")</f>
        <v/>
      </c>
      <c r="V313" s="45" t="str">
        <f aca="false">IF(ISNUMBER($S313),$S313*Parâmetros!$C$6,"")</f>
        <v/>
      </c>
      <c r="W313" s="44" t="str">
        <f aca="false">IF(ISNUMBER($S313),$S313-$D313-IF(ISNUMBER($E313),$E313,0)-$O313-$T313-$U313-$V313,"")</f>
        <v/>
      </c>
      <c r="X313" s="46" t="str">
        <f aca="false">IF(AND(ISNUMBER($S313),$S313&gt;0),$W313/$S313,"")</f>
        <v/>
      </c>
      <c r="Y313" s="49"/>
      <c r="Z313" s="21"/>
    </row>
    <row r="314" customFormat="false" ht="15.75" hidden="false" customHeight="true" outlineLevel="0" collapsed="false">
      <c r="A314" s="32" t="str">
        <f aca="false">IF(Produtos!$A314="","",Produtos!$A314)</f>
        <v/>
      </c>
      <c r="B314" s="32" t="str">
        <f aca="false">IF(Produtos!$A314="","",Produtos!$B314)</f>
        <v/>
      </c>
      <c r="C314" s="32" t="str">
        <f aca="false">IF(Produtos!$A314="","",Produtos!$C314)</f>
        <v/>
      </c>
      <c r="D314" s="33" t="str">
        <f aca="false">IF(Produtos!$A314="","",IF(Produtos!$D314="","",Produtos!$D314))</f>
        <v/>
      </c>
      <c r="E314" s="11"/>
      <c r="F314" s="34" t="str">
        <f aca="false">IF($A314="","",IF($C314="","⚠ categoria",IFERROR(INDEX(Parâmetros!$D$13:$D$22,MATCH($C314,Parâmetros!$A$13:$A$22,0)),"⚠ categoria")))</f>
        <v/>
      </c>
      <c r="G314" s="35"/>
      <c r="H314" s="36" t="str">
        <f aca="false">IF($A314="","",IF(ISNUMBER($G314),$G314,IF(ISNUMBER($F314),$F314,"")))</f>
        <v/>
      </c>
      <c r="I314" s="37" t="str">
        <f aca="false">IF(OR($A314="",NOT(ISNUMBER($D314)),NOT(ISNUMBER($H314))),"",IF((1-$H314-Parâmetros!$B$6-Parâmetros!$C$6-Parâmetros!$D$6)&lt;=0,"INVALIDO",($D314+IF(ISNUMBER($E314),$E314,0)+IF(ISNUMBER(Parâmetros!$E$6),Parâmetros!$E$6,0))/(1-$H314-Parâmetros!$B$6-Parâmetros!$C$6-Parâmetros!$D$6)))</f>
        <v/>
      </c>
      <c r="J314" s="38"/>
      <c r="K314" s="39" t="str">
        <f aca="false">IF(OR($A314="",NOT(ISNUMBER($D314)),NOT(ISNUMBER($H314))),"",IF(AND(ISNUMBER($J314),$J314&gt;0),$J314,IF(ISNUMBER($I314),$I314,"")))</f>
        <v/>
      </c>
      <c r="L314" s="40" t="str">
        <f aca="false">IF(ISNUMBER($K314),$K314*$H314,"")</f>
        <v/>
      </c>
      <c r="M314" s="40" t="str">
        <f aca="false">IF(ISNUMBER($K314),$K314*Parâmetros!$B$6,"")</f>
        <v/>
      </c>
      <c r="N314" s="40" t="str">
        <f aca="false">IF(ISNUMBER($K314),$K314*Parâmetros!$C$6,"")</f>
        <v/>
      </c>
      <c r="O314" s="40" t="str">
        <f aca="false">IF(ISNUMBER($K314),IF(ISNUMBER(Parâmetros!$E$6),Parâmetros!$E$6,0),"")</f>
        <v/>
      </c>
      <c r="P314" s="41" t="str">
        <f aca="false">IF(ISNUMBER($K314),$K314-$D314-IF(ISNUMBER($E314),$E314,0)-$L314-$M314-$N314-$O314,"")</f>
        <v/>
      </c>
      <c r="Q314" s="42" t="str">
        <f aca="false">IF(AND(ISNUMBER($K314),$K314&gt;0),$P314/$K314,"")</f>
        <v/>
      </c>
      <c r="R314" s="43"/>
      <c r="S314" s="44" t="str">
        <f aca="false">IF(OR(NOT(ISNUMBER($R314)),$R314=0,NOT(ISNUMBER($K314))),"",$K314*(1-$R314))</f>
        <v/>
      </c>
      <c r="T314" s="45" t="str">
        <f aca="false">IF(ISNUMBER($S314),$S314*$H314,"")</f>
        <v/>
      </c>
      <c r="U314" s="45" t="str">
        <f aca="false">IF(ISNUMBER($S314),$S314*Parâmetros!$B$6,"")</f>
        <v/>
      </c>
      <c r="V314" s="45" t="str">
        <f aca="false">IF(ISNUMBER($S314),$S314*Parâmetros!$C$6,"")</f>
        <v/>
      </c>
      <c r="W314" s="44" t="str">
        <f aca="false">IF(ISNUMBER($S314),$S314-$D314-IF(ISNUMBER($E314),$E314,0)-$O314-$T314-$U314-$V314,"")</f>
        <v/>
      </c>
      <c r="X314" s="46" t="str">
        <f aca="false">IF(AND(ISNUMBER($S314),$S314&gt;0),$W314/$S314,"")</f>
        <v/>
      </c>
      <c r="Y314" s="47"/>
      <c r="Z314" s="19"/>
    </row>
    <row r="315" customFormat="false" ht="15.75" hidden="false" customHeight="true" outlineLevel="0" collapsed="false">
      <c r="A315" s="48" t="str">
        <f aca="false">IF(Produtos!$A315="","",Produtos!$A315)</f>
        <v/>
      </c>
      <c r="B315" s="48" t="str">
        <f aca="false">IF(Produtos!$A315="","",Produtos!$B315)</f>
        <v/>
      </c>
      <c r="C315" s="48" t="str">
        <f aca="false">IF(Produtos!$A315="","",Produtos!$C315)</f>
        <v/>
      </c>
      <c r="D315" s="33" t="str">
        <f aca="false">IF(Produtos!$A315="","",IF(Produtos!$D315="","",Produtos!$D315))</f>
        <v/>
      </c>
      <c r="E315" s="11"/>
      <c r="F315" s="34" t="str">
        <f aca="false">IF($A315="","",IF($C315="","⚠ categoria",IFERROR(INDEX(Parâmetros!$D$13:$D$22,MATCH($C315,Parâmetros!$A$13:$A$22,0)),"⚠ categoria")))</f>
        <v/>
      </c>
      <c r="G315" s="35"/>
      <c r="H315" s="36" t="str">
        <f aca="false">IF($A315="","",IF(ISNUMBER($G315),$G315,IF(ISNUMBER($F315),$F315,"")))</f>
        <v/>
      </c>
      <c r="I315" s="37" t="str">
        <f aca="false">IF(OR($A315="",NOT(ISNUMBER($D315)),NOT(ISNUMBER($H315))),"",IF((1-$H315-Parâmetros!$B$6-Parâmetros!$C$6-Parâmetros!$D$6)&lt;=0,"INVALIDO",($D315+IF(ISNUMBER($E315),$E315,0)+IF(ISNUMBER(Parâmetros!$E$6),Parâmetros!$E$6,0))/(1-$H315-Parâmetros!$B$6-Parâmetros!$C$6-Parâmetros!$D$6)))</f>
        <v/>
      </c>
      <c r="J315" s="38"/>
      <c r="K315" s="39" t="str">
        <f aca="false">IF(OR($A315="",NOT(ISNUMBER($D315)),NOT(ISNUMBER($H315))),"",IF(AND(ISNUMBER($J315),$J315&gt;0),$J315,IF(ISNUMBER($I315),$I315,"")))</f>
        <v/>
      </c>
      <c r="L315" s="40" t="str">
        <f aca="false">IF(ISNUMBER($K315),$K315*$H315,"")</f>
        <v/>
      </c>
      <c r="M315" s="40" t="str">
        <f aca="false">IF(ISNUMBER($K315),$K315*Parâmetros!$B$6,"")</f>
        <v/>
      </c>
      <c r="N315" s="40" t="str">
        <f aca="false">IF(ISNUMBER($K315),$K315*Parâmetros!$C$6,"")</f>
        <v/>
      </c>
      <c r="O315" s="40" t="str">
        <f aca="false">IF(ISNUMBER($K315),IF(ISNUMBER(Parâmetros!$E$6),Parâmetros!$E$6,0),"")</f>
        <v/>
      </c>
      <c r="P315" s="41" t="str">
        <f aca="false">IF(ISNUMBER($K315),$K315-$D315-IF(ISNUMBER($E315),$E315,0)-$L315-$M315-$N315-$O315,"")</f>
        <v/>
      </c>
      <c r="Q315" s="42" t="str">
        <f aca="false">IF(AND(ISNUMBER($K315),$K315&gt;0),$P315/$K315,"")</f>
        <v/>
      </c>
      <c r="R315" s="43"/>
      <c r="S315" s="44" t="str">
        <f aca="false">IF(OR(NOT(ISNUMBER($R315)),$R315=0,NOT(ISNUMBER($K315))),"",$K315*(1-$R315))</f>
        <v/>
      </c>
      <c r="T315" s="45" t="str">
        <f aca="false">IF(ISNUMBER($S315),$S315*$H315,"")</f>
        <v/>
      </c>
      <c r="U315" s="45" t="str">
        <f aca="false">IF(ISNUMBER($S315),$S315*Parâmetros!$B$6,"")</f>
        <v/>
      </c>
      <c r="V315" s="45" t="str">
        <f aca="false">IF(ISNUMBER($S315),$S315*Parâmetros!$C$6,"")</f>
        <v/>
      </c>
      <c r="W315" s="44" t="str">
        <f aca="false">IF(ISNUMBER($S315),$S315-$D315-IF(ISNUMBER($E315),$E315,0)-$O315-$T315-$U315-$V315,"")</f>
        <v/>
      </c>
      <c r="X315" s="46" t="str">
        <f aca="false">IF(AND(ISNUMBER($S315),$S315&gt;0),$W315/$S315,"")</f>
        <v/>
      </c>
      <c r="Y315" s="49"/>
      <c r="Z315" s="21"/>
    </row>
    <row r="316" customFormat="false" ht="15.75" hidden="false" customHeight="true" outlineLevel="0" collapsed="false">
      <c r="A316" s="32" t="str">
        <f aca="false">IF(Produtos!$A316="","",Produtos!$A316)</f>
        <v/>
      </c>
      <c r="B316" s="32" t="str">
        <f aca="false">IF(Produtos!$A316="","",Produtos!$B316)</f>
        <v/>
      </c>
      <c r="C316" s="32" t="str">
        <f aca="false">IF(Produtos!$A316="","",Produtos!$C316)</f>
        <v/>
      </c>
      <c r="D316" s="33" t="str">
        <f aca="false">IF(Produtos!$A316="","",IF(Produtos!$D316="","",Produtos!$D316))</f>
        <v/>
      </c>
      <c r="E316" s="11"/>
      <c r="F316" s="34" t="str">
        <f aca="false">IF($A316="","",IF($C316="","⚠ categoria",IFERROR(INDEX(Parâmetros!$D$13:$D$22,MATCH($C316,Parâmetros!$A$13:$A$22,0)),"⚠ categoria")))</f>
        <v/>
      </c>
      <c r="G316" s="35"/>
      <c r="H316" s="36" t="str">
        <f aca="false">IF($A316="","",IF(ISNUMBER($G316),$G316,IF(ISNUMBER($F316),$F316,"")))</f>
        <v/>
      </c>
      <c r="I316" s="37" t="str">
        <f aca="false">IF(OR($A316="",NOT(ISNUMBER($D316)),NOT(ISNUMBER($H316))),"",IF((1-$H316-Parâmetros!$B$6-Parâmetros!$C$6-Parâmetros!$D$6)&lt;=0,"INVALIDO",($D316+IF(ISNUMBER($E316),$E316,0)+IF(ISNUMBER(Parâmetros!$E$6),Parâmetros!$E$6,0))/(1-$H316-Parâmetros!$B$6-Parâmetros!$C$6-Parâmetros!$D$6)))</f>
        <v/>
      </c>
      <c r="J316" s="38"/>
      <c r="K316" s="39" t="str">
        <f aca="false">IF(OR($A316="",NOT(ISNUMBER($D316)),NOT(ISNUMBER($H316))),"",IF(AND(ISNUMBER($J316),$J316&gt;0),$J316,IF(ISNUMBER($I316),$I316,"")))</f>
        <v/>
      </c>
      <c r="L316" s="40" t="str">
        <f aca="false">IF(ISNUMBER($K316),$K316*$H316,"")</f>
        <v/>
      </c>
      <c r="M316" s="40" t="str">
        <f aca="false">IF(ISNUMBER($K316),$K316*Parâmetros!$B$6,"")</f>
        <v/>
      </c>
      <c r="N316" s="40" t="str">
        <f aca="false">IF(ISNUMBER($K316),$K316*Parâmetros!$C$6,"")</f>
        <v/>
      </c>
      <c r="O316" s="40" t="str">
        <f aca="false">IF(ISNUMBER($K316),IF(ISNUMBER(Parâmetros!$E$6),Parâmetros!$E$6,0),"")</f>
        <v/>
      </c>
      <c r="P316" s="41" t="str">
        <f aca="false">IF(ISNUMBER($K316),$K316-$D316-IF(ISNUMBER($E316),$E316,0)-$L316-$M316-$N316-$O316,"")</f>
        <v/>
      </c>
      <c r="Q316" s="42" t="str">
        <f aca="false">IF(AND(ISNUMBER($K316),$K316&gt;0),$P316/$K316,"")</f>
        <v/>
      </c>
      <c r="R316" s="43"/>
      <c r="S316" s="44" t="str">
        <f aca="false">IF(OR(NOT(ISNUMBER($R316)),$R316=0,NOT(ISNUMBER($K316))),"",$K316*(1-$R316))</f>
        <v/>
      </c>
      <c r="T316" s="45" t="str">
        <f aca="false">IF(ISNUMBER($S316),$S316*$H316,"")</f>
        <v/>
      </c>
      <c r="U316" s="45" t="str">
        <f aca="false">IF(ISNUMBER($S316),$S316*Parâmetros!$B$6,"")</f>
        <v/>
      </c>
      <c r="V316" s="45" t="str">
        <f aca="false">IF(ISNUMBER($S316),$S316*Parâmetros!$C$6,"")</f>
        <v/>
      </c>
      <c r="W316" s="44" t="str">
        <f aca="false">IF(ISNUMBER($S316),$S316-$D316-IF(ISNUMBER($E316),$E316,0)-$O316-$T316-$U316-$V316,"")</f>
        <v/>
      </c>
      <c r="X316" s="46" t="str">
        <f aca="false">IF(AND(ISNUMBER($S316),$S316&gt;0),$W316/$S316,"")</f>
        <v/>
      </c>
      <c r="Y316" s="47"/>
      <c r="Z316" s="19"/>
    </row>
    <row r="317" customFormat="false" ht="15.75" hidden="false" customHeight="true" outlineLevel="0" collapsed="false">
      <c r="A317" s="48" t="str">
        <f aca="false">IF(Produtos!$A317="","",Produtos!$A317)</f>
        <v/>
      </c>
      <c r="B317" s="48" t="str">
        <f aca="false">IF(Produtos!$A317="","",Produtos!$B317)</f>
        <v/>
      </c>
      <c r="C317" s="48" t="str">
        <f aca="false">IF(Produtos!$A317="","",Produtos!$C317)</f>
        <v/>
      </c>
      <c r="D317" s="33" t="str">
        <f aca="false">IF(Produtos!$A317="","",IF(Produtos!$D317="","",Produtos!$D317))</f>
        <v/>
      </c>
      <c r="E317" s="11"/>
      <c r="F317" s="34" t="str">
        <f aca="false">IF($A317="","",IF($C317="","⚠ categoria",IFERROR(INDEX(Parâmetros!$D$13:$D$22,MATCH($C317,Parâmetros!$A$13:$A$22,0)),"⚠ categoria")))</f>
        <v/>
      </c>
      <c r="G317" s="35"/>
      <c r="H317" s="36" t="str">
        <f aca="false">IF($A317="","",IF(ISNUMBER($G317),$G317,IF(ISNUMBER($F317),$F317,"")))</f>
        <v/>
      </c>
      <c r="I317" s="37" t="str">
        <f aca="false">IF(OR($A317="",NOT(ISNUMBER($D317)),NOT(ISNUMBER($H317))),"",IF((1-$H317-Parâmetros!$B$6-Parâmetros!$C$6-Parâmetros!$D$6)&lt;=0,"INVALIDO",($D317+IF(ISNUMBER($E317),$E317,0)+IF(ISNUMBER(Parâmetros!$E$6),Parâmetros!$E$6,0))/(1-$H317-Parâmetros!$B$6-Parâmetros!$C$6-Parâmetros!$D$6)))</f>
        <v/>
      </c>
      <c r="J317" s="38"/>
      <c r="K317" s="39" t="str">
        <f aca="false">IF(OR($A317="",NOT(ISNUMBER($D317)),NOT(ISNUMBER($H317))),"",IF(AND(ISNUMBER($J317),$J317&gt;0),$J317,IF(ISNUMBER($I317),$I317,"")))</f>
        <v/>
      </c>
      <c r="L317" s="40" t="str">
        <f aca="false">IF(ISNUMBER($K317),$K317*$H317,"")</f>
        <v/>
      </c>
      <c r="M317" s="40" t="str">
        <f aca="false">IF(ISNUMBER($K317),$K317*Parâmetros!$B$6,"")</f>
        <v/>
      </c>
      <c r="N317" s="40" t="str">
        <f aca="false">IF(ISNUMBER($K317),$K317*Parâmetros!$C$6,"")</f>
        <v/>
      </c>
      <c r="O317" s="40" t="str">
        <f aca="false">IF(ISNUMBER($K317),IF(ISNUMBER(Parâmetros!$E$6),Parâmetros!$E$6,0),"")</f>
        <v/>
      </c>
      <c r="P317" s="41" t="str">
        <f aca="false">IF(ISNUMBER($K317),$K317-$D317-IF(ISNUMBER($E317),$E317,0)-$L317-$M317-$N317-$O317,"")</f>
        <v/>
      </c>
      <c r="Q317" s="42" t="str">
        <f aca="false">IF(AND(ISNUMBER($K317),$K317&gt;0),$P317/$K317,"")</f>
        <v/>
      </c>
      <c r="R317" s="43"/>
      <c r="S317" s="44" t="str">
        <f aca="false">IF(OR(NOT(ISNUMBER($R317)),$R317=0,NOT(ISNUMBER($K317))),"",$K317*(1-$R317))</f>
        <v/>
      </c>
      <c r="T317" s="45" t="str">
        <f aca="false">IF(ISNUMBER($S317),$S317*$H317,"")</f>
        <v/>
      </c>
      <c r="U317" s="45" t="str">
        <f aca="false">IF(ISNUMBER($S317),$S317*Parâmetros!$B$6,"")</f>
        <v/>
      </c>
      <c r="V317" s="45" t="str">
        <f aca="false">IF(ISNUMBER($S317),$S317*Parâmetros!$C$6,"")</f>
        <v/>
      </c>
      <c r="W317" s="44" t="str">
        <f aca="false">IF(ISNUMBER($S317),$S317-$D317-IF(ISNUMBER($E317),$E317,0)-$O317-$T317-$U317-$V317,"")</f>
        <v/>
      </c>
      <c r="X317" s="46" t="str">
        <f aca="false">IF(AND(ISNUMBER($S317),$S317&gt;0),$W317/$S317,"")</f>
        <v/>
      </c>
      <c r="Y317" s="49"/>
      <c r="Z317" s="21"/>
    </row>
    <row r="318" customFormat="false" ht="15.75" hidden="false" customHeight="true" outlineLevel="0" collapsed="false">
      <c r="A318" s="32" t="str">
        <f aca="false">IF(Produtos!$A318="","",Produtos!$A318)</f>
        <v/>
      </c>
      <c r="B318" s="32" t="str">
        <f aca="false">IF(Produtos!$A318="","",Produtos!$B318)</f>
        <v/>
      </c>
      <c r="C318" s="32" t="str">
        <f aca="false">IF(Produtos!$A318="","",Produtos!$C318)</f>
        <v/>
      </c>
      <c r="D318" s="33" t="str">
        <f aca="false">IF(Produtos!$A318="","",IF(Produtos!$D318="","",Produtos!$D318))</f>
        <v/>
      </c>
      <c r="E318" s="11"/>
      <c r="F318" s="34" t="str">
        <f aca="false">IF($A318="","",IF($C318="","⚠ categoria",IFERROR(INDEX(Parâmetros!$D$13:$D$22,MATCH($C318,Parâmetros!$A$13:$A$22,0)),"⚠ categoria")))</f>
        <v/>
      </c>
      <c r="G318" s="35"/>
      <c r="H318" s="36" t="str">
        <f aca="false">IF($A318="","",IF(ISNUMBER($G318),$G318,IF(ISNUMBER($F318),$F318,"")))</f>
        <v/>
      </c>
      <c r="I318" s="37" t="str">
        <f aca="false">IF(OR($A318="",NOT(ISNUMBER($D318)),NOT(ISNUMBER($H318))),"",IF((1-$H318-Parâmetros!$B$6-Parâmetros!$C$6-Parâmetros!$D$6)&lt;=0,"INVALIDO",($D318+IF(ISNUMBER($E318),$E318,0)+IF(ISNUMBER(Parâmetros!$E$6),Parâmetros!$E$6,0))/(1-$H318-Parâmetros!$B$6-Parâmetros!$C$6-Parâmetros!$D$6)))</f>
        <v/>
      </c>
      <c r="J318" s="38"/>
      <c r="K318" s="39" t="str">
        <f aca="false">IF(OR($A318="",NOT(ISNUMBER($D318)),NOT(ISNUMBER($H318))),"",IF(AND(ISNUMBER($J318),$J318&gt;0),$J318,IF(ISNUMBER($I318),$I318,"")))</f>
        <v/>
      </c>
      <c r="L318" s="40" t="str">
        <f aca="false">IF(ISNUMBER($K318),$K318*$H318,"")</f>
        <v/>
      </c>
      <c r="M318" s="40" t="str">
        <f aca="false">IF(ISNUMBER($K318),$K318*Parâmetros!$B$6,"")</f>
        <v/>
      </c>
      <c r="N318" s="40" t="str">
        <f aca="false">IF(ISNUMBER($K318),$K318*Parâmetros!$C$6,"")</f>
        <v/>
      </c>
      <c r="O318" s="40" t="str">
        <f aca="false">IF(ISNUMBER($K318),IF(ISNUMBER(Parâmetros!$E$6),Parâmetros!$E$6,0),"")</f>
        <v/>
      </c>
      <c r="P318" s="41" t="str">
        <f aca="false">IF(ISNUMBER($K318),$K318-$D318-IF(ISNUMBER($E318),$E318,0)-$L318-$M318-$N318-$O318,"")</f>
        <v/>
      </c>
      <c r="Q318" s="42" t="str">
        <f aca="false">IF(AND(ISNUMBER($K318),$K318&gt;0),$P318/$K318,"")</f>
        <v/>
      </c>
      <c r="R318" s="43"/>
      <c r="S318" s="44" t="str">
        <f aca="false">IF(OR(NOT(ISNUMBER($R318)),$R318=0,NOT(ISNUMBER($K318))),"",$K318*(1-$R318))</f>
        <v/>
      </c>
      <c r="T318" s="45" t="str">
        <f aca="false">IF(ISNUMBER($S318),$S318*$H318,"")</f>
        <v/>
      </c>
      <c r="U318" s="45" t="str">
        <f aca="false">IF(ISNUMBER($S318),$S318*Parâmetros!$B$6,"")</f>
        <v/>
      </c>
      <c r="V318" s="45" t="str">
        <f aca="false">IF(ISNUMBER($S318),$S318*Parâmetros!$C$6,"")</f>
        <v/>
      </c>
      <c r="W318" s="44" t="str">
        <f aca="false">IF(ISNUMBER($S318),$S318-$D318-IF(ISNUMBER($E318),$E318,0)-$O318-$T318-$U318-$V318,"")</f>
        <v/>
      </c>
      <c r="X318" s="46" t="str">
        <f aca="false">IF(AND(ISNUMBER($S318),$S318&gt;0),$W318/$S318,"")</f>
        <v/>
      </c>
      <c r="Y318" s="47"/>
      <c r="Z318" s="19"/>
    </row>
    <row r="319" customFormat="false" ht="15.75" hidden="false" customHeight="true" outlineLevel="0" collapsed="false">
      <c r="A319" s="48" t="str">
        <f aca="false">IF(Produtos!$A319="","",Produtos!$A319)</f>
        <v/>
      </c>
      <c r="B319" s="48" t="str">
        <f aca="false">IF(Produtos!$A319="","",Produtos!$B319)</f>
        <v/>
      </c>
      <c r="C319" s="48" t="str">
        <f aca="false">IF(Produtos!$A319="","",Produtos!$C319)</f>
        <v/>
      </c>
      <c r="D319" s="33" t="str">
        <f aca="false">IF(Produtos!$A319="","",IF(Produtos!$D319="","",Produtos!$D319))</f>
        <v/>
      </c>
      <c r="E319" s="11"/>
      <c r="F319" s="34" t="str">
        <f aca="false">IF($A319="","",IF($C319="","⚠ categoria",IFERROR(INDEX(Parâmetros!$D$13:$D$22,MATCH($C319,Parâmetros!$A$13:$A$22,0)),"⚠ categoria")))</f>
        <v/>
      </c>
      <c r="G319" s="35"/>
      <c r="H319" s="36" t="str">
        <f aca="false">IF($A319="","",IF(ISNUMBER($G319),$G319,IF(ISNUMBER($F319),$F319,"")))</f>
        <v/>
      </c>
      <c r="I319" s="37" t="str">
        <f aca="false">IF(OR($A319="",NOT(ISNUMBER($D319)),NOT(ISNUMBER($H319))),"",IF((1-$H319-Parâmetros!$B$6-Parâmetros!$C$6-Parâmetros!$D$6)&lt;=0,"INVALIDO",($D319+IF(ISNUMBER($E319),$E319,0)+IF(ISNUMBER(Parâmetros!$E$6),Parâmetros!$E$6,0))/(1-$H319-Parâmetros!$B$6-Parâmetros!$C$6-Parâmetros!$D$6)))</f>
        <v/>
      </c>
      <c r="J319" s="38"/>
      <c r="K319" s="39" t="str">
        <f aca="false">IF(OR($A319="",NOT(ISNUMBER($D319)),NOT(ISNUMBER($H319))),"",IF(AND(ISNUMBER($J319),$J319&gt;0),$J319,IF(ISNUMBER($I319),$I319,"")))</f>
        <v/>
      </c>
      <c r="L319" s="40" t="str">
        <f aca="false">IF(ISNUMBER($K319),$K319*$H319,"")</f>
        <v/>
      </c>
      <c r="M319" s="40" t="str">
        <f aca="false">IF(ISNUMBER($K319),$K319*Parâmetros!$B$6,"")</f>
        <v/>
      </c>
      <c r="N319" s="40" t="str">
        <f aca="false">IF(ISNUMBER($K319),$K319*Parâmetros!$C$6,"")</f>
        <v/>
      </c>
      <c r="O319" s="40" t="str">
        <f aca="false">IF(ISNUMBER($K319),IF(ISNUMBER(Parâmetros!$E$6),Parâmetros!$E$6,0),"")</f>
        <v/>
      </c>
      <c r="P319" s="41" t="str">
        <f aca="false">IF(ISNUMBER($K319),$K319-$D319-IF(ISNUMBER($E319),$E319,0)-$L319-$M319-$N319-$O319,"")</f>
        <v/>
      </c>
      <c r="Q319" s="42" t="str">
        <f aca="false">IF(AND(ISNUMBER($K319),$K319&gt;0),$P319/$K319,"")</f>
        <v/>
      </c>
      <c r="R319" s="43"/>
      <c r="S319" s="44" t="str">
        <f aca="false">IF(OR(NOT(ISNUMBER($R319)),$R319=0,NOT(ISNUMBER($K319))),"",$K319*(1-$R319))</f>
        <v/>
      </c>
      <c r="T319" s="45" t="str">
        <f aca="false">IF(ISNUMBER($S319),$S319*$H319,"")</f>
        <v/>
      </c>
      <c r="U319" s="45" t="str">
        <f aca="false">IF(ISNUMBER($S319),$S319*Parâmetros!$B$6,"")</f>
        <v/>
      </c>
      <c r="V319" s="45" t="str">
        <f aca="false">IF(ISNUMBER($S319),$S319*Parâmetros!$C$6,"")</f>
        <v/>
      </c>
      <c r="W319" s="44" t="str">
        <f aca="false">IF(ISNUMBER($S319),$S319-$D319-IF(ISNUMBER($E319),$E319,0)-$O319-$T319-$U319-$V319,"")</f>
        <v/>
      </c>
      <c r="X319" s="46" t="str">
        <f aca="false">IF(AND(ISNUMBER($S319),$S319&gt;0),$W319/$S319,"")</f>
        <v/>
      </c>
      <c r="Y319" s="49"/>
      <c r="Z319" s="21"/>
    </row>
    <row r="320" customFormat="false" ht="15.75" hidden="false" customHeight="true" outlineLevel="0" collapsed="false">
      <c r="A320" s="32" t="str">
        <f aca="false">IF(Produtos!$A320="","",Produtos!$A320)</f>
        <v/>
      </c>
      <c r="B320" s="32" t="str">
        <f aca="false">IF(Produtos!$A320="","",Produtos!$B320)</f>
        <v/>
      </c>
      <c r="C320" s="32" t="str">
        <f aca="false">IF(Produtos!$A320="","",Produtos!$C320)</f>
        <v/>
      </c>
      <c r="D320" s="33" t="str">
        <f aca="false">IF(Produtos!$A320="","",IF(Produtos!$D320="","",Produtos!$D320))</f>
        <v/>
      </c>
      <c r="E320" s="11"/>
      <c r="F320" s="34" t="str">
        <f aca="false">IF($A320="","",IF($C320="","⚠ categoria",IFERROR(INDEX(Parâmetros!$D$13:$D$22,MATCH($C320,Parâmetros!$A$13:$A$22,0)),"⚠ categoria")))</f>
        <v/>
      </c>
      <c r="G320" s="35"/>
      <c r="H320" s="36" t="str">
        <f aca="false">IF($A320="","",IF(ISNUMBER($G320),$G320,IF(ISNUMBER($F320),$F320,"")))</f>
        <v/>
      </c>
      <c r="I320" s="37" t="str">
        <f aca="false">IF(OR($A320="",NOT(ISNUMBER($D320)),NOT(ISNUMBER($H320))),"",IF((1-$H320-Parâmetros!$B$6-Parâmetros!$C$6-Parâmetros!$D$6)&lt;=0,"INVALIDO",($D320+IF(ISNUMBER($E320),$E320,0)+IF(ISNUMBER(Parâmetros!$E$6),Parâmetros!$E$6,0))/(1-$H320-Parâmetros!$B$6-Parâmetros!$C$6-Parâmetros!$D$6)))</f>
        <v/>
      </c>
      <c r="J320" s="38"/>
      <c r="K320" s="39" t="str">
        <f aca="false">IF(OR($A320="",NOT(ISNUMBER($D320)),NOT(ISNUMBER($H320))),"",IF(AND(ISNUMBER($J320),$J320&gt;0),$J320,IF(ISNUMBER($I320),$I320,"")))</f>
        <v/>
      </c>
      <c r="L320" s="40" t="str">
        <f aca="false">IF(ISNUMBER($K320),$K320*$H320,"")</f>
        <v/>
      </c>
      <c r="M320" s="40" t="str">
        <f aca="false">IF(ISNUMBER($K320),$K320*Parâmetros!$B$6,"")</f>
        <v/>
      </c>
      <c r="N320" s="40" t="str">
        <f aca="false">IF(ISNUMBER($K320),$K320*Parâmetros!$C$6,"")</f>
        <v/>
      </c>
      <c r="O320" s="40" t="str">
        <f aca="false">IF(ISNUMBER($K320),IF(ISNUMBER(Parâmetros!$E$6),Parâmetros!$E$6,0),"")</f>
        <v/>
      </c>
      <c r="P320" s="41" t="str">
        <f aca="false">IF(ISNUMBER($K320),$K320-$D320-IF(ISNUMBER($E320),$E320,0)-$L320-$M320-$N320-$O320,"")</f>
        <v/>
      </c>
      <c r="Q320" s="42" t="str">
        <f aca="false">IF(AND(ISNUMBER($K320),$K320&gt;0),$P320/$K320,"")</f>
        <v/>
      </c>
      <c r="R320" s="43"/>
      <c r="S320" s="44" t="str">
        <f aca="false">IF(OR(NOT(ISNUMBER($R320)),$R320=0,NOT(ISNUMBER($K320))),"",$K320*(1-$R320))</f>
        <v/>
      </c>
      <c r="T320" s="45" t="str">
        <f aca="false">IF(ISNUMBER($S320),$S320*$H320,"")</f>
        <v/>
      </c>
      <c r="U320" s="45" t="str">
        <f aca="false">IF(ISNUMBER($S320),$S320*Parâmetros!$B$6,"")</f>
        <v/>
      </c>
      <c r="V320" s="45" t="str">
        <f aca="false">IF(ISNUMBER($S320),$S320*Parâmetros!$C$6,"")</f>
        <v/>
      </c>
      <c r="W320" s="44" t="str">
        <f aca="false">IF(ISNUMBER($S320),$S320-$D320-IF(ISNUMBER($E320),$E320,0)-$O320-$T320-$U320-$V320,"")</f>
        <v/>
      </c>
      <c r="X320" s="46" t="str">
        <f aca="false">IF(AND(ISNUMBER($S320),$S320&gt;0),$W320/$S320,"")</f>
        <v/>
      </c>
      <c r="Y320" s="47"/>
      <c r="Z320" s="19"/>
    </row>
    <row r="321" customFormat="false" ht="15.75" hidden="false" customHeight="true" outlineLevel="0" collapsed="false">
      <c r="A321" s="48" t="str">
        <f aca="false">IF(Produtos!$A321="","",Produtos!$A321)</f>
        <v/>
      </c>
      <c r="B321" s="48" t="str">
        <f aca="false">IF(Produtos!$A321="","",Produtos!$B321)</f>
        <v/>
      </c>
      <c r="C321" s="48" t="str">
        <f aca="false">IF(Produtos!$A321="","",Produtos!$C321)</f>
        <v/>
      </c>
      <c r="D321" s="33" t="str">
        <f aca="false">IF(Produtos!$A321="","",IF(Produtos!$D321="","",Produtos!$D321))</f>
        <v/>
      </c>
      <c r="E321" s="11"/>
      <c r="F321" s="34" t="str">
        <f aca="false">IF($A321="","",IF($C321="","⚠ categoria",IFERROR(INDEX(Parâmetros!$D$13:$D$22,MATCH($C321,Parâmetros!$A$13:$A$22,0)),"⚠ categoria")))</f>
        <v/>
      </c>
      <c r="G321" s="35"/>
      <c r="H321" s="36" t="str">
        <f aca="false">IF($A321="","",IF(ISNUMBER($G321),$G321,IF(ISNUMBER($F321),$F321,"")))</f>
        <v/>
      </c>
      <c r="I321" s="37" t="str">
        <f aca="false">IF(OR($A321="",NOT(ISNUMBER($D321)),NOT(ISNUMBER($H321))),"",IF((1-$H321-Parâmetros!$B$6-Parâmetros!$C$6-Parâmetros!$D$6)&lt;=0,"INVALIDO",($D321+IF(ISNUMBER($E321),$E321,0)+IF(ISNUMBER(Parâmetros!$E$6),Parâmetros!$E$6,0))/(1-$H321-Parâmetros!$B$6-Parâmetros!$C$6-Parâmetros!$D$6)))</f>
        <v/>
      </c>
      <c r="J321" s="38"/>
      <c r="K321" s="39" t="str">
        <f aca="false">IF(OR($A321="",NOT(ISNUMBER($D321)),NOT(ISNUMBER($H321))),"",IF(AND(ISNUMBER($J321),$J321&gt;0),$J321,IF(ISNUMBER($I321),$I321,"")))</f>
        <v/>
      </c>
      <c r="L321" s="40" t="str">
        <f aca="false">IF(ISNUMBER($K321),$K321*$H321,"")</f>
        <v/>
      </c>
      <c r="M321" s="40" t="str">
        <f aca="false">IF(ISNUMBER($K321),$K321*Parâmetros!$B$6,"")</f>
        <v/>
      </c>
      <c r="N321" s="40" t="str">
        <f aca="false">IF(ISNUMBER($K321),$K321*Parâmetros!$C$6,"")</f>
        <v/>
      </c>
      <c r="O321" s="40" t="str">
        <f aca="false">IF(ISNUMBER($K321),IF(ISNUMBER(Parâmetros!$E$6),Parâmetros!$E$6,0),"")</f>
        <v/>
      </c>
      <c r="P321" s="41" t="str">
        <f aca="false">IF(ISNUMBER($K321),$K321-$D321-IF(ISNUMBER($E321),$E321,0)-$L321-$M321-$N321-$O321,"")</f>
        <v/>
      </c>
      <c r="Q321" s="42" t="str">
        <f aca="false">IF(AND(ISNUMBER($K321),$K321&gt;0),$P321/$K321,"")</f>
        <v/>
      </c>
      <c r="R321" s="43"/>
      <c r="S321" s="44" t="str">
        <f aca="false">IF(OR(NOT(ISNUMBER($R321)),$R321=0,NOT(ISNUMBER($K321))),"",$K321*(1-$R321))</f>
        <v/>
      </c>
      <c r="T321" s="45" t="str">
        <f aca="false">IF(ISNUMBER($S321),$S321*$H321,"")</f>
        <v/>
      </c>
      <c r="U321" s="45" t="str">
        <f aca="false">IF(ISNUMBER($S321),$S321*Parâmetros!$B$6,"")</f>
        <v/>
      </c>
      <c r="V321" s="45" t="str">
        <f aca="false">IF(ISNUMBER($S321),$S321*Parâmetros!$C$6,"")</f>
        <v/>
      </c>
      <c r="W321" s="44" t="str">
        <f aca="false">IF(ISNUMBER($S321),$S321-$D321-IF(ISNUMBER($E321),$E321,0)-$O321-$T321-$U321-$V321,"")</f>
        <v/>
      </c>
      <c r="X321" s="46" t="str">
        <f aca="false">IF(AND(ISNUMBER($S321),$S321&gt;0),$W321/$S321,"")</f>
        <v/>
      </c>
      <c r="Y321" s="49"/>
      <c r="Z321" s="21"/>
    </row>
    <row r="322" customFormat="false" ht="15.75" hidden="false" customHeight="true" outlineLevel="0" collapsed="false">
      <c r="A322" s="32" t="str">
        <f aca="false">IF(Produtos!$A322="","",Produtos!$A322)</f>
        <v/>
      </c>
      <c r="B322" s="32" t="str">
        <f aca="false">IF(Produtos!$A322="","",Produtos!$B322)</f>
        <v/>
      </c>
      <c r="C322" s="32" t="str">
        <f aca="false">IF(Produtos!$A322="","",Produtos!$C322)</f>
        <v/>
      </c>
      <c r="D322" s="33" t="str">
        <f aca="false">IF(Produtos!$A322="","",IF(Produtos!$D322="","",Produtos!$D322))</f>
        <v/>
      </c>
      <c r="E322" s="11"/>
      <c r="F322" s="34" t="str">
        <f aca="false">IF($A322="","",IF($C322="","⚠ categoria",IFERROR(INDEX(Parâmetros!$D$13:$D$22,MATCH($C322,Parâmetros!$A$13:$A$22,0)),"⚠ categoria")))</f>
        <v/>
      </c>
      <c r="G322" s="35"/>
      <c r="H322" s="36" t="str">
        <f aca="false">IF($A322="","",IF(ISNUMBER($G322),$G322,IF(ISNUMBER($F322),$F322,"")))</f>
        <v/>
      </c>
      <c r="I322" s="37" t="str">
        <f aca="false">IF(OR($A322="",NOT(ISNUMBER($D322)),NOT(ISNUMBER($H322))),"",IF((1-$H322-Parâmetros!$B$6-Parâmetros!$C$6-Parâmetros!$D$6)&lt;=0,"INVALIDO",($D322+IF(ISNUMBER($E322),$E322,0)+IF(ISNUMBER(Parâmetros!$E$6),Parâmetros!$E$6,0))/(1-$H322-Parâmetros!$B$6-Parâmetros!$C$6-Parâmetros!$D$6)))</f>
        <v/>
      </c>
      <c r="J322" s="38"/>
      <c r="K322" s="39" t="str">
        <f aca="false">IF(OR($A322="",NOT(ISNUMBER($D322)),NOT(ISNUMBER($H322))),"",IF(AND(ISNUMBER($J322),$J322&gt;0),$J322,IF(ISNUMBER($I322),$I322,"")))</f>
        <v/>
      </c>
      <c r="L322" s="40" t="str">
        <f aca="false">IF(ISNUMBER($K322),$K322*$H322,"")</f>
        <v/>
      </c>
      <c r="M322" s="40" t="str">
        <f aca="false">IF(ISNUMBER($K322),$K322*Parâmetros!$B$6,"")</f>
        <v/>
      </c>
      <c r="N322" s="40" t="str">
        <f aca="false">IF(ISNUMBER($K322),$K322*Parâmetros!$C$6,"")</f>
        <v/>
      </c>
      <c r="O322" s="40" t="str">
        <f aca="false">IF(ISNUMBER($K322),IF(ISNUMBER(Parâmetros!$E$6),Parâmetros!$E$6,0),"")</f>
        <v/>
      </c>
      <c r="P322" s="41" t="str">
        <f aca="false">IF(ISNUMBER($K322),$K322-$D322-IF(ISNUMBER($E322),$E322,0)-$L322-$M322-$N322-$O322,"")</f>
        <v/>
      </c>
      <c r="Q322" s="42" t="str">
        <f aca="false">IF(AND(ISNUMBER($K322),$K322&gt;0),$P322/$K322,"")</f>
        <v/>
      </c>
      <c r="R322" s="43"/>
      <c r="S322" s="44" t="str">
        <f aca="false">IF(OR(NOT(ISNUMBER($R322)),$R322=0,NOT(ISNUMBER($K322))),"",$K322*(1-$R322))</f>
        <v/>
      </c>
      <c r="T322" s="45" t="str">
        <f aca="false">IF(ISNUMBER($S322),$S322*$H322,"")</f>
        <v/>
      </c>
      <c r="U322" s="45" t="str">
        <f aca="false">IF(ISNUMBER($S322),$S322*Parâmetros!$B$6,"")</f>
        <v/>
      </c>
      <c r="V322" s="45" t="str">
        <f aca="false">IF(ISNUMBER($S322),$S322*Parâmetros!$C$6,"")</f>
        <v/>
      </c>
      <c r="W322" s="44" t="str">
        <f aca="false">IF(ISNUMBER($S322),$S322-$D322-IF(ISNUMBER($E322),$E322,0)-$O322-$T322-$U322-$V322,"")</f>
        <v/>
      </c>
      <c r="X322" s="46" t="str">
        <f aca="false">IF(AND(ISNUMBER($S322),$S322&gt;0),$W322/$S322,"")</f>
        <v/>
      </c>
      <c r="Y322" s="47"/>
      <c r="Z322" s="19"/>
    </row>
    <row r="323" customFormat="false" ht="15.75" hidden="false" customHeight="true" outlineLevel="0" collapsed="false">
      <c r="A323" s="48" t="str">
        <f aca="false">IF(Produtos!$A323="","",Produtos!$A323)</f>
        <v/>
      </c>
      <c r="B323" s="48" t="str">
        <f aca="false">IF(Produtos!$A323="","",Produtos!$B323)</f>
        <v/>
      </c>
      <c r="C323" s="48" t="str">
        <f aca="false">IF(Produtos!$A323="","",Produtos!$C323)</f>
        <v/>
      </c>
      <c r="D323" s="33" t="str">
        <f aca="false">IF(Produtos!$A323="","",IF(Produtos!$D323="","",Produtos!$D323))</f>
        <v/>
      </c>
      <c r="E323" s="11"/>
      <c r="F323" s="34" t="str">
        <f aca="false">IF($A323="","",IF($C323="","⚠ categoria",IFERROR(INDEX(Parâmetros!$D$13:$D$22,MATCH($C323,Parâmetros!$A$13:$A$22,0)),"⚠ categoria")))</f>
        <v/>
      </c>
      <c r="G323" s="35"/>
      <c r="H323" s="36" t="str">
        <f aca="false">IF($A323="","",IF(ISNUMBER($G323),$G323,IF(ISNUMBER($F323),$F323,"")))</f>
        <v/>
      </c>
      <c r="I323" s="37" t="str">
        <f aca="false">IF(OR($A323="",NOT(ISNUMBER($D323)),NOT(ISNUMBER($H323))),"",IF((1-$H323-Parâmetros!$B$6-Parâmetros!$C$6-Parâmetros!$D$6)&lt;=0,"INVALIDO",($D323+IF(ISNUMBER($E323),$E323,0)+IF(ISNUMBER(Parâmetros!$E$6),Parâmetros!$E$6,0))/(1-$H323-Parâmetros!$B$6-Parâmetros!$C$6-Parâmetros!$D$6)))</f>
        <v/>
      </c>
      <c r="J323" s="38"/>
      <c r="K323" s="39" t="str">
        <f aca="false">IF(OR($A323="",NOT(ISNUMBER($D323)),NOT(ISNUMBER($H323))),"",IF(AND(ISNUMBER($J323),$J323&gt;0),$J323,IF(ISNUMBER($I323),$I323,"")))</f>
        <v/>
      </c>
      <c r="L323" s="40" t="str">
        <f aca="false">IF(ISNUMBER($K323),$K323*$H323,"")</f>
        <v/>
      </c>
      <c r="M323" s="40" t="str">
        <f aca="false">IF(ISNUMBER($K323),$K323*Parâmetros!$B$6,"")</f>
        <v/>
      </c>
      <c r="N323" s="40" t="str">
        <f aca="false">IF(ISNUMBER($K323),$K323*Parâmetros!$C$6,"")</f>
        <v/>
      </c>
      <c r="O323" s="40" t="str">
        <f aca="false">IF(ISNUMBER($K323),IF(ISNUMBER(Parâmetros!$E$6),Parâmetros!$E$6,0),"")</f>
        <v/>
      </c>
      <c r="P323" s="41" t="str">
        <f aca="false">IF(ISNUMBER($K323),$K323-$D323-IF(ISNUMBER($E323),$E323,0)-$L323-$M323-$N323-$O323,"")</f>
        <v/>
      </c>
      <c r="Q323" s="42" t="str">
        <f aca="false">IF(AND(ISNUMBER($K323),$K323&gt;0),$P323/$K323,"")</f>
        <v/>
      </c>
      <c r="R323" s="43"/>
      <c r="S323" s="44" t="str">
        <f aca="false">IF(OR(NOT(ISNUMBER($R323)),$R323=0,NOT(ISNUMBER($K323))),"",$K323*(1-$R323))</f>
        <v/>
      </c>
      <c r="T323" s="45" t="str">
        <f aca="false">IF(ISNUMBER($S323),$S323*$H323,"")</f>
        <v/>
      </c>
      <c r="U323" s="45" t="str">
        <f aca="false">IF(ISNUMBER($S323),$S323*Parâmetros!$B$6,"")</f>
        <v/>
      </c>
      <c r="V323" s="45" t="str">
        <f aca="false">IF(ISNUMBER($S323),$S323*Parâmetros!$C$6,"")</f>
        <v/>
      </c>
      <c r="W323" s="44" t="str">
        <f aca="false">IF(ISNUMBER($S323),$S323-$D323-IF(ISNUMBER($E323),$E323,0)-$O323-$T323-$U323-$V323,"")</f>
        <v/>
      </c>
      <c r="X323" s="46" t="str">
        <f aca="false">IF(AND(ISNUMBER($S323),$S323&gt;0),$W323/$S323,"")</f>
        <v/>
      </c>
      <c r="Y323" s="49"/>
      <c r="Z323" s="21"/>
    </row>
    <row r="324" customFormat="false" ht="15.75" hidden="false" customHeight="true" outlineLevel="0" collapsed="false">
      <c r="A324" s="32" t="str">
        <f aca="false">IF(Produtos!$A324="","",Produtos!$A324)</f>
        <v/>
      </c>
      <c r="B324" s="32" t="str">
        <f aca="false">IF(Produtos!$A324="","",Produtos!$B324)</f>
        <v/>
      </c>
      <c r="C324" s="32" t="str">
        <f aca="false">IF(Produtos!$A324="","",Produtos!$C324)</f>
        <v/>
      </c>
      <c r="D324" s="33" t="str">
        <f aca="false">IF(Produtos!$A324="","",IF(Produtos!$D324="","",Produtos!$D324))</f>
        <v/>
      </c>
      <c r="E324" s="11"/>
      <c r="F324" s="34" t="str">
        <f aca="false">IF($A324="","",IF($C324="","⚠ categoria",IFERROR(INDEX(Parâmetros!$D$13:$D$22,MATCH($C324,Parâmetros!$A$13:$A$22,0)),"⚠ categoria")))</f>
        <v/>
      </c>
      <c r="G324" s="35"/>
      <c r="H324" s="36" t="str">
        <f aca="false">IF($A324="","",IF(ISNUMBER($G324),$G324,IF(ISNUMBER($F324),$F324,"")))</f>
        <v/>
      </c>
      <c r="I324" s="37" t="str">
        <f aca="false">IF(OR($A324="",NOT(ISNUMBER($D324)),NOT(ISNUMBER($H324))),"",IF((1-$H324-Parâmetros!$B$6-Parâmetros!$C$6-Parâmetros!$D$6)&lt;=0,"INVALIDO",($D324+IF(ISNUMBER($E324),$E324,0)+IF(ISNUMBER(Parâmetros!$E$6),Parâmetros!$E$6,0))/(1-$H324-Parâmetros!$B$6-Parâmetros!$C$6-Parâmetros!$D$6)))</f>
        <v/>
      </c>
      <c r="J324" s="38"/>
      <c r="K324" s="39" t="str">
        <f aca="false">IF(OR($A324="",NOT(ISNUMBER($D324)),NOT(ISNUMBER($H324))),"",IF(AND(ISNUMBER($J324),$J324&gt;0),$J324,IF(ISNUMBER($I324),$I324,"")))</f>
        <v/>
      </c>
      <c r="L324" s="40" t="str">
        <f aca="false">IF(ISNUMBER($K324),$K324*$H324,"")</f>
        <v/>
      </c>
      <c r="M324" s="40" t="str">
        <f aca="false">IF(ISNUMBER($K324),$K324*Parâmetros!$B$6,"")</f>
        <v/>
      </c>
      <c r="N324" s="40" t="str">
        <f aca="false">IF(ISNUMBER($K324),$K324*Parâmetros!$C$6,"")</f>
        <v/>
      </c>
      <c r="O324" s="40" t="str">
        <f aca="false">IF(ISNUMBER($K324),IF(ISNUMBER(Parâmetros!$E$6),Parâmetros!$E$6,0),"")</f>
        <v/>
      </c>
      <c r="P324" s="41" t="str">
        <f aca="false">IF(ISNUMBER($K324),$K324-$D324-IF(ISNUMBER($E324),$E324,0)-$L324-$M324-$N324-$O324,"")</f>
        <v/>
      </c>
      <c r="Q324" s="42" t="str">
        <f aca="false">IF(AND(ISNUMBER($K324),$K324&gt;0),$P324/$K324,"")</f>
        <v/>
      </c>
      <c r="R324" s="43"/>
      <c r="S324" s="44" t="str">
        <f aca="false">IF(OR(NOT(ISNUMBER($R324)),$R324=0,NOT(ISNUMBER($K324))),"",$K324*(1-$R324))</f>
        <v/>
      </c>
      <c r="T324" s="45" t="str">
        <f aca="false">IF(ISNUMBER($S324),$S324*$H324,"")</f>
        <v/>
      </c>
      <c r="U324" s="45" t="str">
        <f aca="false">IF(ISNUMBER($S324),$S324*Parâmetros!$B$6,"")</f>
        <v/>
      </c>
      <c r="V324" s="45" t="str">
        <f aca="false">IF(ISNUMBER($S324),$S324*Parâmetros!$C$6,"")</f>
        <v/>
      </c>
      <c r="W324" s="44" t="str">
        <f aca="false">IF(ISNUMBER($S324),$S324-$D324-IF(ISNUMBER($E324),$E324,0)-$O324-$T324-$U324-$V324,"")</f>
        <v/>
      </c>
      <c r="X324" s="46" t="str">
        <f aca="false">IF(AND(ISNUMBER($S324),$S324&gt;0),$W324/$S324,"")</f>
        <v/>
      </c>
      <c r="Y324" s="47"/>
      <c r="Z324" s="19"/>
    </row>
    <row r="325" customFormat="false" ht="15.75" hidden="false" customHeight="true" outlineLevel="0" collapsed="false">
      <c r="A325" s="48" t="str">
        <f aca="false">IF(Produtos!$A325="","",Produtos!$A325)</f>
        <v/>
      </c>
      <c r="B325" s="48" t="str">
        <f aca="false">IF(Produtos!$A325="","",Produtos!$B325)</f>
        <v/>
      </c>
      <c r="C325" s="48" t="str">
        <f aca="false">IF(Produtos!$A325="","",Produtos!$C325)</f>
        <v/>
      </c>
      <c r="D325" s="33" t="str">
        <f aca="false">IF(Produtos!$A325="","",IF(Produtos!$D325="","",Produtos!$D325))</f>
        <v/>
      </c>
      <c r="E325" s="11"/>
      <c r="F325" s="34" t="str">
        <f aca="false">IF($A325="","",IF($C325="","⚠ categoria",IFERROR(INDEX(Parâmetros!$D$13:$D$22,MATCH($C325,Parâmetros!$A$13:$A$22,0)),"⚠ categoria")))</f>
        <v/>
      </c>
      <c r="G325" s="35"/>
      <c r="H325" s="36" t="str">
        <f aca="false">IF($A325="","",IF(ISNUMBER($G325),$G325,IF(ISNUMBER($F325),$F325,"")))</f>
        <v/>
      </c>
      <c r="I325" s="37" t="str">
        <f aca="false">IF(OR($A325="",NOT(ISNUMBER($D325)),NOT(ISNUMBER($H325))),"",IF((1-$H325-Parâmetros!$B$6-Parâmetros!$C$6-Parâmetros!$D$6)&lt;=0,"INVALIDO",($D325+IF(ISNUMBER($E325),$E325,0)+IF(ISNUMBER(Parâmetros!$E$6),Parâmetros!$E$6,0))/(1-$H325-Parâmetros!$B$6-Parâmetros!$C$6-Parâmetros!$D$6)))</f>
        <v/>
      </c>
      <c r="J325" s="38"/>
      <c r="K325" s="39" t="str">
        <f aca="false">IF(OR($A325="",NOT(ISNUMBER($D325)),NOT(ISNUMBER($H325))),"",IF(AND(ISNUMBER($J325),$J325&gt;0),$J325,IF(ISNUMBER($I325),$I325,"")))</f>
        <v/>
      </c>
      <c r="L325" s="40" t="str">
        <f aca="false">IF(ISNUMBER($K325),$K325*$H325,"")</f>
        <v/>
      </c>
      <c r="M325" s="40" t="str">
        <f aca="false">IF(ISNUMBER($K325),$K325*Parâmetros!$B$6,"")</f>
        <v/>
      </c>
      <c r="N325" s="40" t="str">
        <f aca="false">IF(ISNUMBER($K325),$K325*Parâmetros!$C$6,"")</f>
        <v/>
      </c>
      <c r="O325" s="40" t="str">
        <f aca="false">IF(ISNUMBER($K325),IF(ISNUMBER(Parâmetros!$E$6),Parâmetros!$E$6,0),"")</f>
        <v/>
      </c>
      <c r="P325" s="41" t="str">
        <f aca="false">IF(ISNUMBER($K325),$K325-$D325-IF(ISNUMBER($E325),$E325,0)-$L325-$M325-$N325-$O325,"")</f>
        <v/>
      </c>
      <c r="Q325" s="42" t="str">
        <f aca="false">IF(AND(ISNUMBER($K325),$K325&gt;0),$P325/$K325,"")</f>
        <v/>
      </c>
      <c r="R325" s="43"/>
      <c r="S325" s="44" t="str">
        <f aca="false">IF(OR(NOT(ISNUMBER($R325)),$R325=0,NOT(ISNUMBER($K325))),"",$K325*(1-$R325))</f>
        <v/>
      </c>
      <c r="T325" s="45" t="str">
        <f aca="false">IF(ISNUMBER($S325),$S325*$H325,"")</f>
        <v/>
      </c>
      <c r="U325" s="45" t="str">
        <f aca="false">IF(ISNUMBER($S325),$S325*Parâmetros!$B$6,"")</f>
        <v/>
      </c>
      <c r="V325" s="45" t="str">
        <f aca="false">IF(ISNUMBER($S325),$S325*Parâmetros!$C$6,"")</f>
        <v/>
      </c>
      <c r="W325" s="44" t="str">
        <f aca="false">IF(ISNUMBER($S325),$S325-$D325-IF(ISNUMBER($E325),$E325,0)-$O325-$T325-$U325-$V325,"")</f>
        <v/>
      </c>
      <c r="X325" s="46" t="str">
        <f aca="false">IF(AND(ISNUMBER($S325),$S325&gt;0),$W325/$S325,"")</f>
        <v/>
      </c>
      <c r="Y325" s="49"/>
      <c r="Z325" s="21"/>
    </row>
    <row r="326" customFormat="false" ht="15.75" hidden="false" customHeight="true" outlineLevel="0" collapsed="false">
      <c r="A326" s="32" t="str">
        <f aca="false">IF(Produtos!$A326="","",Produtos!$A326)</f>
        <v/>
      </c>
      <c r="B326" s="32" t="str">
        <f aca="false">IF(Produtos!$A326="","",Produtos!$B326)</f>
        <v/>
      </c>
      <c r="C326" s="32" t="str">
        <f aca="false">IF(Produtos!$A326="","",Produtos!$C326)</f>
        <v/>
      </c>
      <c r="D326" s="33" t="str">
        <f aca="false">IF(Produtos!$A326="","",IF(Produtos!$D326="","",Produtos!$D326))</f>
        <v/>
      </c>
      <c r="E326" s="11"/>
      <c r="F326" s="34" t="str">
        <f aca="false">IF($A326="","",IF($C326="","⚠ categoria",IFERROR(INDEX(Parâmetros!$D$13:$D$22,MATCH($C326,Parâmetros!$A$13:$A$22,0)),"⚠ categoria")))</f>
        <v/>
      </c>
      <c r="G326" s="35"/>
      <c r="H326" s="36" t="str">
        <f aca="false">IF($A326="","",IF(ISNUMBER($G326),$G326,IF(ISNUMBER($F326),$F326,"")))</f>
        <v/>
      </c>
      <c r="I326" s="37" t="str">
        <f aca="false">IF(OR($A326="",NOT(ISNUMBER($D326)),NOT(ISNUMBER($H326))),"",IF((1-$H326-Parâmetros!$B$6-Parâmetros!$C$6-Parâmetros!$D$6)&lt;=0,"INVALIDO",($D326+IF(ISNUMBER($E326),$E326,0)+IF(ISNUMBER(Parâmetros!$E$6),Parâmetros!$E$6,0))/(1-$H326-Parâmetros!$B$6-Parâmetros!$C$6-Parâmetros!$D$6)))</f>
        <v/>
      </c>
      <c r="J326" s="38"/>
      <c r="K326" s="39" t="str">
        <f aca="false">IF(OR($A326="",NOT(ISNUMBER($D326)),NOT(ISNUMBER($H326))),"",IF(AND(ISNUMBER($J326),$J326&gt;0),$J326,IF(ISNUMBER($I326),$I326,"")))</f>
        <v/>
      </c>
      <c r="L326" s="40" t="str">
        <f aca="false">IF(ISNUMBER($K326),$K326*$H326,"")</f>
        <v/>
      </c>
      <c r="M326" s="40" t="str">
        <f aca="false">IF(ISNUMBER($K326),$K326*Parâmetros!$B$6,"")</f>
        <v/>
      </c>
      <c r="N326" s="40" t="str">
        <f aca="false">IF(ISNUMBER($K326),$K326*Parâmetros!$C$6,"")</f>
        <v/>
      </c>
      <c r="O326" s="40" t="str">
        <f aca="false">IF(ISNUMBER($K326),IF(ISNUMBER(Parâmetros!$E$6),Parâmetros!$E$6,0),"")</f>
        <v/>
      </c>
      <c r="P326" s="41" t="str">
        <f aca="false">IF(ISNUMBER($K326),$K326-$D326-IF(ISNUMBER($E326),$E326,0)-$L326-$M326-$N326-$O326,"")</f>
        <v/>
      </c>
      <c r="Q326" s="42" t="str">
        <f aca="false">IF(AND(ISNUMBER($K326),$K326&gt;0),$P326/$K326,"")</f>
        <v/>
      </c>
      <c r="R326" s="43"/>
      <c r="S326" s="44" t="str">
        <f aca="false">IF(OR(NOT(ISNUMBER($R326)),$R326=0,NOT(ISNUMBER($K326))),"",$K326*(1-$R326))</f>
        <v/>
      </c>
      <c r="T326" s="45" t="str">
        <f aca="false">IF(ISNUMBER($S326),$S326*$H326,"")</f>
        <v/>
      </c>
      <c r="U326" s="45" t="str">
        <f aca="false">IF(ISNUMBER($S326),$S326*Parâmetros!$B$6,"")</f>
        <v/>
      </c>
      <c r="V326" s="45" t="str">
        <f aca="false">IF(ISNUMBER($S326),$S326*Parâmetros!$C$6,"")</f>
        <v/>
      </c>
      <c r="W326" s="44" t="str">
        <f aca="false">IF(ISNUMBER($S326),$S326-$D326-IF(ISNUMBER($E326),$E326,0)-$O326-$T326-$U326-$V326,"")</f>
        <v/>
      </c>
      <c r="X326" s="46" t="str">
        <f aca="false">IF(AND(ISNUMBER($S326),$S326&gt;0),$W326/$S326,"")</f>
        <v/>
      </c>
      <c r="Y326" s="47"/>
      <c r="Z326" s="19"/>
    </row>
    <row r="327" customFormat="false" ht="15.75" hidden="false" customHeight="true" outlineLevel="0" collapsed="false">
      <c r="A327" s="48" t="str">
        <f aca="false">IF(Produtos!$A327="","",Produtos!$A327)</f>
        <v/>
      </c>
      <c r="B327" s="48" t="str">
        <f aca="false">IF(Produtos!$A327="","",Produtos!$B327)</f>
        <v/>
      </c>
      <c r="C327" s="48" t="str">
        <f aca="false">IF(Produtos!$A327="","",Produtos!$C327)</f>
        <v/>
      </c>
      <c r="D327" s="33" t="str">
        <f aca="false">IF(Produtos!$A327="","",IF(Produtos!$D327="","",Produtos!$D327))</f>
        <v/>
      </c>
      <c r="E327" s="11"/>
      <c r="F327" s="34" t="str">
        <f aca="false">IF($A327="","",IF($C327="","⚠ categoria",IFERROR(INDEX(Parâmetros!$D$13:$D$22,MATCH($C327,Parâmetros!$A$13:$A$22,0)),"⚠ categoria")))</f>
        <v/>
      </c>
      <c r="G327" s="35"/>
      <c r="H327" s="36" t="str">
        <f aca="false">IF($A327="","",IF(ISNUMBER($G327),$G327,IF(ISNUMBER($F327),$F327,"")))</f>
        <v/>
      </c>
      <c r="I327" s="37" t="str">
        <f aca="false">IF(OR($A327="",NOT(ISNUMBER($D327)),NOT(ISNUMBER($H327))),"",IF((1-$H327-Parâmetros!$B$6-Parâmetros!$C$6-Parâmetros!$D$6)&lt;=0,"INVALIDO",($D327+IF(ISNUMBER($E327),$E327,0)+IF(ISNUMBER(Parâmetros!$E$6),Parâmetros!$E$6,0))/(1-$H327-Parâmetros!$B$6-Parâmetros!$C$6-Parâmetros!$D$6)))</f>
        <v/>
      </c>
      <c r="J327" s="38"/>
      <c r="K327" s="39" t="str">
        <f aca="false">IF(OR($A327="",NOT(ISNUMBER($D327)),NOT(ISNUMBER($H327))),"",IF(AND(ISNUMBER($J327),$J327&gt;0),$J327,IF(ISNUMBER($I327),$I327,"")))</f>
        <v/>
      </c>
      <c r="L327" s="40" t="str">
        <f aca="false">IF(ISNUMBER($K327),$K327*$H327,"")</f>
        <v/>
      </c>
      <c r="M327" s="40" t="str">
        <f aca="false">IF(ISNUMBER($K327),$K327*Parâmetros!$B$6,"")</f>
        <v/>
      </c>
      <c r="N327" s="40" t="str">
        <f aca="false">IF(ISNUMBER($K327),$K327*Parâmetros!$C$6,"")</f>
        <v/>
      </c>
      <c r="O327" s="40" t="str">
        <f aca="false">IF(ISNUMBER($K327),IF(ISNUMBER(Parâmetros!$E$6),Parâmetros!$E$6,0),"")</f>
        <v/>
      </c>
      <c r="P327" s="41" t="str">
        <f aca="false">IF(ISNUMBER($K327),$K327-$D327-IF(ISNUMBER($E327),$E327,0)-$L327-$M327-$N327-$O327,"")</f>
        <v/>
      </c>
      <c r="Q327" s="42" t="str">
        <f aca="false">IF(AND(ISNUMBER($K327),$K327&gt;0),$P327/$K327,"")</f>
        <v/>
      </c>
      <c r="R327" s="43"/>
      <c r="S327" s="44" t="str">
        <f aca="false">IF(OR(NOT(ISNUMBER($R327)),$R327=0,NOT(ISNUMBER($K327))),"",$K327*(1-$R327))</f>
        <v/>
      </c>
      <c r="T327" s="45" t="str">
        <f aca="false">IF(ISNUMBER($S327),$S327*$H327,"")</f>
        <v/>
      </c>
      <c r="U327" s="45" t="str">
        <f aca="false">IF(ISNUMBER($S327),$S327*Parâmetros!$B$6,"")</f>
        <v/>
      </c>
      <c r="V327" s="45" t="str">
        <f aca="false">IF(ISNUMBER($S327),$S327*Parâmetros!$C$6,"")</f>
        <v/>
      </c>
      <c r="W327" s="44" t="str">
        <f aca="false">IF(ISNUMBER($S327),$S327-$D327-IF(ISNUMBER($E327),$E327,0)-$O327-$T327-$U327-$V327,"")</f>
        <v/>
      </c>
      <c r="X327" s="46" t="str">
        <f aca="false">IF(AND(ISNUMBER($S327),$S327&gt;0),$W327/$S327,"")</f>
        <v/>
      </c>
      <c r="Y327" s="49"/>
      <c r="Z327" s="21"/>
    </row>
    <row r="328" customFormat="false" ht="15.75" hidden="false" customHeight="true" outlineLevel="0" collapsed="false">
      <c r="A328" s="32" t="str">
        <f aca="false">IF(Produtos!$A328="","",Produtos!$A328)</f>
        <v/>
      </c>
      <c r="B328" s="32" t="str">
        <f aca="false">IF(Produtos!$A328="","",Produtos!$B328)</f>
        <v/>
      </c>
      <c r="C328" s="32" t="str">
        <f aca="false">IF(Produtos!$A328="","",Produtos!$C328)</f>
        <v/>
      </c>
      <c r="D328" s="33" t="str">
        <f aca="false">IF(Produtos!$A328="","",IF(Produtos!$D328="","",Produtos!$D328))</f>
        <v/>
      </c>
      <c r="E328" s="11"/>
      <c r="F328" s="34" t="str">
        <f aca="false">IF($A328="","",IF($C328="","⚠ categoria",IFERROR(INDEX(Parâmetros!$D$13:$D$22,MATCH($C328,Parâmetros!$A$13:$A$22,0)),"⚠ categoria")))</f>
        <v/>
      </c>
      <c r="G328" s="35"/>
      <c r="H328" s="36" t="str">
        <f aca="false">IF($A328="","",IF(ISNUMBER($G328),$G328,IF(ISNUMBER($F328),$F328,"")))</f>
        <v/>
      </c>
      <c r="I328" s="37" t="str">
        <f aca="false">IF(OR($A328="",NOT(ISNUMBER($D328)),NOT(ISNUMBER($H328))),"",IF((1-$H328-Parâmetros!$B$6-Parâmetros!$C$6-Parâmetros!$D$6)&lt;=0,"INVALIDO",($D328+IF(ISNUMBER($E328),$E328,0)+IF(ISNUMBER(Parâmetros!$E$6),Parâmetros!$E$6,0))/(1-$H328-Parâmetros!$B$6-Parâmetros!$C$6-Parâmetros!$D$6)))</f>
        <v/>
      </c>
      <c r="J328" s="38"/>
      <c r="K328" s="39" t="str">
        <f aca="false">IF(OR($A328="",NOT(ISNUMBER($D328)),NOT(ISNUMBER($H328))),"",IF(AND(ISNUMBER($J328),$J328&gt;0),$J328,IF(ISNUMBER($I328),$I328,"")))</f>
        <v/>
      </c>
      <c r="L328" s="40" t="str">
        <f aca="false">IF(ISNUMBER($K328),$K328*$H328,"")</f>
        <v/>
      </c>
      <c r="M328" s="40" t="str">
        <f aca="false">IF(ISNUMBER($K328),$K328*Parâmetros!$B$6,"")</f>
        <v/>
      </c>
      <c r="N328" s="40" t="str">
        <f aca="false">IF(ISNUMBER($K328),$K328*Parâmetros!$C$6,"")</f>
        <v/>
      </c>
      <c r="O328" s="40" t="str">
        <f aca="false">IF(ISNUMBER($K328),IF(ISNUMBER(Parâmetros!$E$6),Parâmetros!$E$6,0),"")</f>
        <v/>
      </c>
      <c r="P328" s="41" t="str">
        <f aca="false">IF(ISNUMBER($K328),$K328-$D328-IF(ISNUMBER($E328),$E328,0)-$L328-$M328-$N328-$O328,"")</f>
        <v/>
      </c>
      <c r="Q328" s="42" t="str">
        <f aca="false">IF(AND(ISNUMBER($K328),$K328&gt;0),$P328/$K328,"")</f>
        <v/>
      </c>
      <c r="R328" s="43"/>
      <c r="S328" s="44" t="str">
        <f aca="false">IF(OR(NOT(ISNUMBER($R328)),$R328=0,NOT(ISNUMBER($K328))),"",$K328*(1-$R328))</f>
        <v/>
      </c>
      <c r="T328" s="45" t="str">
        <f aca="false">IF(ISNUMBER($S328),$S328*$H328,"")</f>
        <v/>
      </c>
      <c r="U328" s="45" t="str">
        <f aca="false">IF(ISNUMBER($S328),$S328*Parâmetros!$B$6,"")</f>
        <v/>
      </c>
      <c r="V328" s="45" t="str">
        <f aca="false">IF(ISNUMBER($S328),$S328*Parâmetros!$C$6,"")</f>
        <v/>
      </c>
      <c r="W328" s="44" t="str">
        <f aca="false">IF(ISNUMBER($S328),$S328-$D328-IF(ISNUMBER($E328),$E328,0)-$O328-$T328-$U328-$V328,"")</f>
        <v/>
      </c>
      <c r="X328" s="46" t="str">
        <f aca="false">IF(AND(ISNUMBER($S328),$S328&gt;0),$W328/$S328,"")</f>
        <v/>
      </c>
      <c r="Y328" s="47"/>
      <c r="Z328" s="19"/>
    </row>
    <row r="329" customFormat="false" ht="15.75" hidden="false" customHeight="true" outlineLevel="0" collapsed="false">
      <c r="A329" s="48" t="str">
        <f aca="false">IF(Produtos!$A329="","",Produtos!$A329)</f>
        <v/>
      </c>
      <c r="B329" s="48" t="str">
        <f aca="false">IF(Produtos!$A329="","",Produtos!$B329)</f>
        <v/>
      </c>
      <c r="C329" s="48" t="str">
        <f aca="false">IF(Produtos!$A329="","",Produtos!$C329)</f>
        <v/>
      </c>
      <c r="D329" s="33" t="str">
        <f aca="false">IF(Produtos!$A329="","",IF(Produtos!$D329="","",Produtos!$D329))</f>
        <v/>
      </c>
      <c r="E329" s="11"/>
      <c r="F329" s="34" t="str">
        <f aca="false">IF($A329="","",IF($C329="","⚠ categoria",IFERROR(INDEX(Parâmetros!$D$13:$D$22,MATCH($C329,Parâmetros!$A$13:$A$22,0)),"⚠ categoria")))</f>
        <v/>
      </c>
      <c r="G329" s="35"/>
      <c r="H329" s="36" t="str">
        <f aca="false">IF($A329="","",IF(ISNUMBER($G329),$G329,IF(ISNUMBER($F329),$F329,"")))</f>
        <v/>
      </c>
      <c r="I329" s="37" t="str">
        <f aca="false">IF(OR($A329="",NOT(ISNUMBER($D329)),NOT(ISNUMBER($H329))),"",IF((1-$H329-Parâmetros!$B$6-Parâmetros!$C$6-Parâmetros!$D$6)&lt;=0,"INVALIDO",($D329+IF(ISNUMBER($E329),$E329,0)+IF(ISNUMBER(Parâmetros!$E$6),Parâmetros!$E$6,0))/(1-$H329-Parâmetros!$B$6-Parâmetros!$C$6-Parâmetros!$D$6)))</f>
        <v/>
      </c>
      <c r="J329" s="38"/>
      <c r="K329" s="39" t="str">
        <f aca="false">IF(OR($A329="",NOT(ISNUMBER($D329)),NOT(ISNUMBER($H329))),"",IF(AND(ISNUMBER($J329),$J329&gt;0),$J329,IF(ISNUMBER($I329),$I329,"")))</f>
        <v/>
      </c>
      <c r="L329" s="40" t="str">
        <f aca="false">IF(ISNUMBER($K329),$K329*$H329,"")</f>
        <v/>
      </c>
      <c r="M329" s="40" t="str">
        <f aca="false">IF(ISNUMBER($K329),$K329*Parâmetros!$B$6,"")</f>
        <v/>
      </c>
      <c r="N329" s="40" t="str">
        <f aca="false">IF(ISNUMBER($K329),$K329*Parâmetros!$C$6,"")</f>
        <v/>
      </c>
      <c r="O329" s="40" t="str">
        <f aca="false">IF(ISNUMBER($K329),IF(ISNUMBER(Parâmetros!$E$6),Parâmetros!$E$6,0),"")</f>
        <v/>
      </c>
      <c r="P329" s="41" t="str">
        <f aca="false">IF(ISNUMBER($K329),$K329-$D329-IF(ISNUMBER($E329),$E329,0)-$L329-$M329-$N329-$O329,"")</f>
        <v/>
      </c>
      <c r="Q329" s="42" t="str">
        <f aca="false">IF(AND(ISNUMBER($K329),$K329&gt;0),$P329/$K329,"")</f>
        <v/>
      </c>
      <c r="R329" s="43"/>
      <c r="S329" s="44" t="str">
        <f aca="false">IF(OR(NOT(ISNUMBER($R329)),$R329=0,NOT(ISNUMBER($K329))),"",$K329*(1-$R329))</f>
        <v/>
      </c>
      <c r="T329" s="45" t="str">
        <f aca="false">IF(ISNUMBER($S329),$S329*$H329,"")</f>
        <v/>
      </c>
      <c r="U329" s="45" t="str">
        <f aca="false">IF(ISNUMBER($S329),$S329*Parâmetros!$B$6,"")</f>
        <v/>
      </c>
      <c r="V329" s="45" t="str">
        <f aca="false">IF(ISNUMBER($S329),$S329*Parâmetros!$C$6,"")</f>
        <v/>
      </c>
      <c r="W329" s="44" t="str">
        <f aca="false">IF(ISNUMBER($S329),$S329-$D329-IF(ISNUMBER($E329),$E329,0)-$O329-$T329-$U329-$V329,"")</f>
        <v/>
      </c>
      <c r="X329" s="46" t="str">
        <f aca="false">IF(AND(ISNUMBER($S329),$S329&gt;0),$W329/$S329,"")</f>
        <v/>
      </c>
      <c r="Y329" s="49"/>
      <c r="Z329" s="21"/>
    </row>
    <row r="330" customFormat="false" ht="15.75" hidden="false" customHeight="true" outlineLevel="0" collapsed="false">
      <c r="A330" s="32" t="str">
        <f aca="false">IF(Produtos!$A330="","",Produtos!$A330)</f>
        <v/>
      </c>
      <c r="B330" s="32" t="str">
        <f aca="false">IF(Produtos!$A330="","",Produtos!$B330)</f>
        <v/>
      </c>
      <c r="C330" s="32" t="str">
        <f aca="false">IF(Produtos!$A330="","",Produtos!$C330)</f>
        <v/>
      </c>
      <c r="D330" s="33" t="str">
        <f aca="false">IF(Produtos!$A330="","",IF(Produtos!$D330="","",Produtos!$D330))</f>
        <v/>
      </c>
      <c r="E330" s="11"/>
      <c r="F330" s="34" t="str">
        <f aca="false">IF($A330="","",IF($C330="","⚠ categoria",IFERROR(INDEX(Parâmetros!$D$13:$D$22,MATCH($C330,Parâmetros!$A$13:$A$22,0)),"⚠ categoria")))</f>
        <v/>
      </c>
      <c r="G330" s="35"/>
      <c r="H330" s="36" t="str">
        <f aca="false">IF($A330="","",IF(ISNUMBER($G330),$G330,IF(ISNUMBER($F330),$F330,"")))</f>
        <v/>
      </c>
      <c r="I330" s="37" t="str">
        <f aca="false">IF(OR($A330="",NOT(ISNUMBER($D330)),NOT(ISNUMBER($H330))),"",IF((1-$H330-Parâmetros!$B$6-Parâmetros!$C$6-Parâmetros!$D$6)&lt;=0,"INVALIDO",($D330+IF(ISNUMBER($E330),$E330,0)+IF(ISNUMBER(Parâmetros!$E$6),Parâmetros!$E$6,0))/(1-$H330-Parâmetros!$B$6-Parâmetros!$C$6-Parâmetros!$D$6)))</f>
        <v/>
      </c>
      <c r="J330" s="38"/>
      <c r="K330" s="39" t="str">
        <f aca="false">IF(OR($A330="",NOT(ISNUMBER($D330)),NOT(ISNUMBER($H330))),"",IF(AND(ISNUMBER($J330),$J330&gt;0),$J330,IF(ISNUMBER($I330),$I330,"")))</f>
        <v/>
      </c>
      <c r="L330" s="40" t="str">
        <f aca="false">IF(ISNUMBER($K330),$K330*$H330,"")</f>
        <v/>
      </c>
      <c r="M330" s="40" t="str">
        <f aca="false">IF(ISNUMBER($K330),$K330*Parâmetros!$B$6,"")</f>
        <v/>
      </c>
      <c r="N330" s="40" t="str">
        <f aca="false">IF(ISNUMBER($K330),$K330*Parâmetros!$C$6,"")</f>
        <v/>
      </c>
      <c r="O330" s="40" t="str">
        <f aca="false">IF(ISNUMBER($K330),IF(ISNUMBER(Parâmetros!$E$6),Parâmetros!$E$6,0),"")</f>
        <v/>
      </c>
      <c r="P330" s="41" t="str">
        <f aca="false">IF(ISNUMBER($K330),$K330-$D330-IF(ISNUMBER($E330),$E330,0)-$L330-$M330-$N330-$O330,"")</f>
        <v/>
      </c>
      <c r="Q330" s="42" t="str">
        <f aca="false">IF(AND(ISNUMBER($K330),$K330&gt;0),$P330/$K330,"")</f>
        <v/>
      </c>
      <c r="R330" s="43"/>
      <c r="S330" s="44" t="str">
        <f aca="false">IF(OR(NOT(ISNUMBER($R330)),$R330=0,NOT(ISNUMBER($K330))),"",$K330*(1-$R330))</f>
        <v/>
      </c>
      <c r="T330" s="45" t="str">
        <f aca="false">IF(ISNUMBER($S330),$S330*$H330,"")</f>
        <v/>
      </c>
      <c r="U330" s="45" t="str">
        <f aca="false">IF(ISNUMBER($S330),$S330*Parâmetros!$B$6,"")</f>
        <v/>
      </c>
      <c r="V330" s="45" t="str">
        <f aca="false">IF(ISNUMBER($S330),$S330*Parâmetros!$C$6,"")</f>
        <v/>
      </c>
      <c r="W330" s="44" t="str">
        <f aca="false">IF(ISNUMBER($S330),$S330-$D330-IF(ISNUMBER($E330),$E330,0)-$O330-$T330-$U330-$V330,"")</f>
        <v/>
      </c>
      <c r="X330" s="46" t="str">
        <f aca="false">IF(AND(ISNUMBER($S330),$S330&gt;0),$W330/$S330,"")</f>
        <v/>
      </c>
      <c r="Y330" s="47"/>
      <c r="Z330" s="19"/>
    </row>
    <row r="331" customFormat="false" ht="15.75" hidden="false" customHeight="true" outlineLevel="0" collapsed="false">
      <c r="A331" s="48" t="str">
        <f aca="false">IF(Produtos!$A331="","",Produtos!$A331)</f>
        <v/>
      </c>
      <c r="B331" s="48" t="str">
        <f aca="false">IF(Produtos!$A331="","",Produtos!$B331)</f>
        <v/>
      </c>
      <c r="C331" s="48" t="str">
        <f aca="false">IF(Produtos!$A331="","",Produtos!$C331)</f>
        <v/>
      </c>
      <c r="D331" s="33" t="str">
        <f aca="false">IF(Produtos!$A331="","",IF(Produtos!$D331="","",Produtos!$D331))</f>
        <v/>
      </c>
      <c r="E331" s="11"/>
      <c r="F331" s="34" t="str">
        <f aca="false">IF($A331="","",IF($C331="","⚠ categoria",IFERROR(INDEX(Parâmetros!$D$13:$D$22,MATCH($C331,Parâmetros!$A$13:$A$22,0)),"⚠ categoria")))</f>
        <v/>
      </c>
      <c r="G331" s="35"/>
      <c r="H331" s="36" t="str">
        <f aca="false">IF($A331="","",IF(ISNUMBER($G331),$G331,IF(ISNUMBER($F331),$F331,"")))</f>
        <v/>
      </c>
      <c r="I331" s="37" t="str">
        <f aca="false">IF(OR($A331="",NOT(ISNUMBER($D331)),NOT(ISNUMBER($H331))),"",IF((1-$H331-Parâmetros!$B$6-Parâmetros!$C$6-Parâmetros!$D$6)&lt;=0,"INVALIDO",($D331+IF(ISNUMBER($E331),$E331,0)+IF(ISNUMBER(Parâmetros!$E$6),Parâmetros!$E$6,0))/(1-$H331-Parâmetros!$B$6-Parâmetros!$C$6-Parâmetros!$D$6)))</f>
        <v/>
      </c>
      <c r="J331" s="38"/>
      <c r="K331" s="39" t="str">
        <f aca="false">IF(OR($A331="",NOT(ISNUMBER($D331)),NOT(ISNUMBER($H331))),"",IF(AND(ISNUMBER($J331),$J331&gt;0),$J331,IF(ISNUMBER($I331),$I331,"")))</f>
        <v/>
      </c>
      <c r="L331" s="40" t="str">
        <f aca="false">IF(ISNUMBER($K331),$K331*$H331,"")</f>
        <v/>
      </c>
      <c r="M331" s="40" t="str">
        <f aca="false">IF(ISNUMBER($K331),$K331*Parâmetros!$B$6,"")</f>
        <v/>
      </c>
      <c r="N331" s="40" t="str">
        <f aca="false">IF(ISNUMBER($K331),$K331*Parâmetros!$C$6,"")</f>
        <v/>
      </c>
      <c r="O331" s="40" t="str">
        <f aca="false">IF(ISNUMBER($K331),IF(ISNUMBER(Parâmetros!$E$6),Parâmetros!$E$6,0),"")</f>
        <v/>
      </c>
      <c r="P331" s="41" t="str">
        <f aca="false">IF(ISNUMBER($K331),$K331-$D331-IF(ISNUMBER($E331),$E331,0)-$L331-$M331-$N331-$O331,"")</f>
        <v/>
      </c>
      <c r="Q331" s="42" t="str">
        <f aca="false">IF(AND(ISNUMBER($K331),$K331&gt;0),$P331/$K331,"")</f>
        <v/>
      </c>
      <c r="R331" s="43"/>
      <c r="S331" s="44" t="str">
        <f aca="false">IF(OR(NOT(ISNUMBER($R331)),$R331=0,NOT(ISNUMBER($K331))),"",$K331*(1-$R331))</f>
        <v/>
      </c>
      <c r="T331" s="45" t="str">
        <f aca="false">IF(ISNUMBER($S331),$S331*$H331,"")</f>
        <v/>
      </c>
      <c r="U331" s="45" t="str">
        <f aca="false">IF(ISNUMBER($S331),$S331*Parâmetros!$B$6,"")</f>
        <v/>
      </c>
      <c r="V331" s="45" t="str">
        <f aca="false">IF(ISNUMBER($S331),$S331*Parâmetros!$C$6,"")</f>
        <v/>
      </c>
      <c r="W331" s="44" t="str">
        <f aca="false">IF(ISNUMBER($S331),$S331-$D331-IF(ISNUMBER($E331),$E331,0)-$O331-$T331-$U331-$V331,"")</f>
        <v/>
      </c>
      <c r="X331" s="46" t="str">
        <f aca="false">IF(AND(ISNUMBER($S331),$S331&gt;0),$W331/$S331,"")</f>
        <v/>
      </c>
      <c r="Y331" s="49"/>
      <c r="Z331" s="21"/>
    </row>
    <row r="332" customFormat="false" ht="15.75" hidden="false" customHeight="true" outlineLevel="0" collapsed="false">
      <c r="A332" s="32" t="str">
        <f aca="false">IF(Produtos!$A332="","",Produtos!$A332)</f>
        <v/>
      </c>
      <c r="B332" s="32" t="str">
        <f aca="false">IF(Produtos!$A332="","",Produtos!$B332)</f>
        <v/>
      </c>
      <c r="C332" s="32" t="str">
        <f aca="false">IF(Produtos!$A332="","",Produtos!$C332)</f>
        <v/>
      </c>
      <c r="D332" s="33" t="str">
        <f aca="false">IF(Produtos!$A332="","",IF(Produtos!$D332="","",Produtos!$D332))</f>
        <v/>
      </c>
      <c r="E332" s="11"/>
      <c r="F332" s="34" t="str">
        <f aca="false">IF($A332="","",IF($C332="","⚠ categoria",IFERROR(INDEX(Parâmetros!$D$13:$D$22,MATCH($C332,Parâmetros!$A$13:$A$22,0)),"⚠ categoria")))</f>
        <v/>
      </c>
      <c r="G332" s="35"/>
      <c r="H332" s="36" t="str">
        <f aca="false">IF($A332="","",IF(ISNUMBER($G332),$G332,IF(ISNUMBER($F332),$F332,"")))</f>
        <v/>
      </c>
      <c r="I332" s="37" t="str">
        <f aca="false">IF(OR($A332="",NOT(ISNUMBER($D332)),NOT(ISNUMBER($H332))),"",IF((1-$H332-Parâmetros!$B$6-Parâmetros!$C$6-Parâmetros!$D$6)&lt;=0,"INVALIDO",($D332+IF(ISNUMBER($E332),$E332,0)+IF(ISNUMBER(Parâmetros!$E$6),Parâmetros!$E$6,0))/(1-$H332-Parâmetros!$B$6-Parâmetros!$C$6-Parâmetros!$D$6)))</f>
        <v/>
      </c>
      <c r="J332" s="38"/>
      <c r="K332" s="39" t="str">
        <f aca="false">IF(OR($A332="",NOT(ISNUMBER($D332)),NOT(ISNUMBER($H332))),"",IF(AND(ISNUMBER($J332),$J332&gt;0),$J332,IF(ISNUMBER($I332),$I332,"")))</f>
        <v/>
      </c>
      <c r="L332" s="40" t="str">
        <f aca="false">IF(ISNUMBER($K332),$K332*$H332,"")</f>
        <v/>
      </c>
      <c r="M332" s="40" t="str">
        <f aca="false">IF(ISNUMBER($K332),$K332*Parâmetros!$B$6,"")</f>
        <v/>
      </c>
      <c r="N332" s="40" t="str">
        <f aca="false">IF(ISNUMBER($K332),$K332*Parâmetros!$C$6,"")</f>
        <v/>
      </c>
      <c r="O332" s="40" t="str">
        <f aca="false">IF(ISNUMBER($K332),IF(ISNUMBER(Parâmetros!$E$6),Parâmetros!$E$6,0),"")</f>
        <v/>
      </c>
      <c r="P332" s="41" t="str">
        <f aca="false">IF(ISNUMBER($K332),$K332-$D332-IF(ISNUMBER($E332),$E332,0)-$L332-$M332-$N332-$O332,"")</f>
        <v/>
      </c>
      <c r="Q332" s="42" t="str">
        <f aca="false">IF(AND(ISNUMBER($K332),$K332&gt;0),$P332/$K332,"")</f>
        <v/>
      </c>
      <c r="R332" s="43"/>
      <c r="S332" s="44" t="str">
        <f aca="false">IF(OR(NOT(ISNUMBER($R332)),$R332=0,NOT(ISNUMBER($K332))),"",$K332*(1-$R332))</f>
        <v/>
      </c>
      <c r="T332" s="45" t="str">
        <f aca="false">IF(ISNUMBER($S332),$S332*$H332,"")</f>
        <v/>
      </c>
      <c r="U332" s="45" t="str">
        <f aca="false">IF(ISNUMBER($S332),$S332*Parâmetros!$B$6,"")</f>
        <v/>
      </c>
      <c r="V332" s="45" t="str">
        <f aca="false">IF(ISNUMBER($S332),$S332*Parâmetros!$C$6,"")</f>
        <v/>
      </c>
      <c r="W332" s="44" t="str">
        <f aca="false">IF(ISNUMBER($S332),$S332-$D332-IF(ISNUMBER($E332),$E332,0)-$O332-$T332-$U332-$V332,"")</f>
        <v/>
      </c>
      <c r="X332" s="46" t="str">
        <f aca="false">IF(AND(ISNUMBER($S332),$S332&gt;0),$W332/$S332,"")</f>
        <v/>
      </c>
      <c r="Y332" s="47"/>
      <c r="Z332" s="19"/>
    </row>
    <row r="333" customFormat="false" ht="15.75" hidden="false" customHeight="true" outlineLevel="0" collapsed="false">
      <c r="A333" s="48" t="str">
        <f aca="false">IF(Produtos!$A333="","",Produtos!$A333)</f>
        <v/>
      </c>
      <c r="B333" s="48" t="str">
        <f aca="false">IF(Produtos!$A333="","",Produtos!$B333)</f>
        <v/>
      </c>
      <c r="C333" s="48" t="str">
        <f aca="false">IF(Produtos!$A333="","",Produtos!$C333)</f>
        <v/>
      </c>
      <c r="D333" s="33" t="str">
        <f aca="false">IF(Produtos!$A333="","",IF(Produtos!$D333="","",Produtos!$D333))</f>
        <v/>
      </c>
      <c r="E333" s="11"/>
      <c r="F333" s="34" t="str">
        <f aca="false">IF($A333="","",IF($C333="","⚠ categoria",IFERROR(INDEX(Parâmetros!$D$13:$D$22,MATCH($C333,Parâmetros!$A$13:$A$22,0)),"⚠ categoria")))</f>
        <v/>
      </c>
      <c r="G333" s="35"/>
      <c r="H333" s="36" t="str">
        <f aca="false">IF($A333="","",IF(ISNUMBER($G333),$G333,IF(ISNUMBER($F333),$F333,"")))</f>
        <v/>
      </c>
      <c r="I333" s="37" t="str">
        <f aca="false">IF(OR($A333="",NOT(ISNUMBER($D333)),NOT(ISNUMBER($H333))),"",IF((1-$H333-Parâmetros!$B$6-Parâmetros!$C$6-Parâmetros!$D$6)&lt;=0,"INVALIDO",($D333+IF(ISNUMBER($E333),$E333,0)+IF(ISNUMBER(Parâmetros!$E$6),Parâmetros!$E$6,0))/(1-$H333-Parâmetros!$B$6-Parâmetros!$C$6-Parâmetros!$D$6)))</f>
        <v/>
      </c>
      <c r="J333" s="38"/>
      <c r="K333" s="39" t="str">
        <f aca="false">IF(OR($A333="",NOT(ISNUMBER($D333)),NOT(ISNUMBER($H333))),"",IF(AND(ISNUMBER($J333),$J333&gt;0),$J333,IF(ISNUMBER($I333),$I333,"")))</f>
        <v/>
      </c>
      <c r="L333" s="40" t="str">
        <f aca="false">IF(ISNUMBER($K333),$K333*$H333,"")</f>
        <v/>
      </c>
      <c r="M333" s="40" t="str">
        <f aca="false">IF(ISNUMBER($K333),$K333*Parâmetros!$B$6,"")</f>
        <v/>
      </c>
      <c r="N333" s="40" t="str">
        <f aca="false">IF(ISNUMBER($K333),$K333*Parâmetros!$C$6,"")</f>
        <v/>
      </c>
      <c r="O333" s="40" t="str">
        <f aca="false">IF(ISNUMBER($K333),IF(ISNUMBER(Parâmetros!$E$6),Parâmetros!$E$6,0),"")</f>
        <v/>
      </c>
      <c r="P333" s="41" t="str">
        <f aca="false">IF(ISNUMBER($K333),$K333-$D333-IF(ISNUMBER($E333),$E333,0)-$L333-$M333-$N333-$O333,"")</f>
        <v/>
      </c>
      <c r="Q333" s="42" t="str">
        <f aca="false">IF(AND(ISNUMBER($K333),$K333&gt;0),$P333/$K333,"")</f>
        <v/>
      </c>
      <c r="R333" s="43"/>
      <c r="S333" s="44" t="str">
        <f aca="false">IF(OR(NOT(ISNUMBER($R333)),$R333=0,NOT(ISNUMBER($K333))),"",$K333*(1-$R333))</f>
        <v/>
      </c>
      <c r="T333" s="45" t="str">
        <f aca="false">IF(ISNUMBER($S333),$S333*$H333,"")</f>
        <v/>
      </c>
      <c r="U333" s="45" t="str">
        <f aca="false">IF(ISNUMBER($S333),$S333*Parâmetros!$B$6,"")</f>
        <v/>
      </c>
      <c r="V333" s="45" t="str">
        <f aca="false">IF(ISNUMBER($S333),$S333*Parâmetros!$C$6,"")</f>
        <v/>
      </c>
      <c r="W333" s="44" t="str">
        <f aca="false">IF(ISNUMBER($S333),$S333-$D333-IF(ISNUMBER($E333),$E333,0)-$O333-$T333-$U333-$V333,"")</f>
        <v/>
      </c>
      <c r="X333" s="46" t="str">
        <f aca="false">IF(AND(ISNUMBER($S333),$S333&gt;0),$W333/$S333,"")</f>
        <v/>
      </c>
      <c r="Y333" s="49"/>
      <c r="Z333" s="21"/>
    </row>
    <row r="334" customFormat="false" ht="15.75" hidden="false" customHeight="true" outlineLevel="0" collapsed="false">
      <c r="A334" s="32" t="str">
        <f aca="false">IF(Produtos!$A334="","",Produtos!$A334)</f>
        <v/>
      </c>
      <c r="B334" s="32" t="str">
        <f aca="false">IF(Produtos!$A334="","",Produtos!$B334)</f>
        <v/>
      </c>
      <c r="C334" s="32" t="str">
        <f aca="false">IF(Produtos!$A334="","",Produtos!$C334)</f>
        <v/>
      </c>
      <c r="D334" s="33" t="str">
        <f aca="false">IF(Produtos!$A334="","",IF(Produtos!$D334="","",Produtos!$D334))</f>
        <v/>
      </c>
      <c r="E334" s="11"/>
      <c r="F334" s="34" t="str">
        <f aca="false">IF($A334="","",IF($C334="","⚠ categoria",IFERROR(INDEX(Parâmetros!$D$13:$D$22,MATCH($C334,Parâmetros!$A$13:$A$22,0)),"⚠ categoria")))</f>
        <v/>
      </c>
      <c r="G334" s="35"/>
      <c r="H334" s="36" t="str">
        <f aca="false">IF($A334="","",IF(ISNUMBER($G334),$G334,IF(ISNUMBER($F334),$F334,"")))</f>
        <v/>
      </c>
      <c r="I334" s="37" t="str">
        <f aca="false">IF(OR($A334="",NOT(ISNUMBER($D334)),NOT(ISNUMBER($H334))),"",IF((1-$H334-Parâmetros!$B$6-Parâmetros!$C$6-Parâmetros!$D$6)&lt;=0,"INVALIDO",($D334+IF(ISNUMBER($E334),$E334,0)+IF(ISNUMBER(Parâmetros!$E$6),Parâmetros!$E$6,0))/(1-$H334-Parâmetros!$B$6-Parâmetros!$C$6-Parâmetros!$D$6)))</f>
        <v/>
      </c>
      <c r="J334" s="38"/>
      <c r="K334" s="39" t="str">
        <f aca="false">IF(OR($A334="",NOT(ISNUMBER($D334)),NOT(ISNUMBER($H334))),"",IF(AND(ISNUMBER($J334),$J334&gt;0),$J334,IF(ISNUMBER($I334),$I334,"")))</f>
        <v/>
      </c>
      <c r="L334" s="40" t="str">
        <f aca="false">IF(ISNUMBER($K334),$K334*$H334,"")</f>
        <v/>
      </c>
      <c r="M334" s="40" t="str">
        <f aca="false">IF(ISNUMBER($K334),$K334*Parâmetros!$B$6,"")</f>
        <v/>
      </c>
      <c r="N334" s="40" t="str">
        <f aca="false">IF(ISNUMBER($K334),$K334*Parâmetros!$C$6,"")</f>
        <v/>
      </c>
      <c r="O334" s="40" t="str">
        <f aca="false">IF(ISNUMBER($K334),IF(ISNUMBER(Parâmetros!$E$6),Parâmetros!$E$6,0),"")</f>
        <v/>
      </c>
      <c r="P334" s="41" t="str">
        <f aca="false">IF(ISNUMBER($K334),$K334-$D334-IF(ISNUMBER($E334),$E334,0)-$L334-$M334-$N334-$O334,"")</f>
        <v/>
      </c>
      <c r="Q334" s="42" t="str">
        <f aca="false">IF(AND(ISNUMBER($K334),$K334&gt;0),$P334/$K334,"")</f>
        <v/>
      </c>
      <c r="R334" s="43"/>
      <c r="S334" s="44" t="str">
        <f aca="false">IF(OR(NOT(ISNUMBER($R334)),$R334=0,NOT(ISNUMBER($K334))),"",$K334*(1-$R334))</f>
        <v/>
      </c>
      <c r="T334" s="45" t="str">
        <f aca="false">IF(ISNUMBER($S334),$S334*$H334,"")</f>
        <v/>
      </c>
      <c r="U334" s="45" t="str">
        <f aca="false">IF(ISNUMBER($S334),$S334*Parâmetros!$B$6,"")</f>
        <v/>
      </c>
      <c r="V334" s="45" t="str">
        <f aca="false">IF(ISNUMBER($S334),$S334*Parâmetros!$C$6,"")</f>
        <v/>
      </c>
      <c r="W334" s="44" t="str">
        <f aca="false">IF(ISNUMBER($S334),$S334-$D334-IF(ISNUMBER($E334),$E334,0)-$O334-$T334-$U334-$V334,"")</f>
        <v/>
      </c>
      <c r="X334" s="46" t="str">
        <f aca="false">IF(AND(ISNUMBER($S334),$S334&gt;0),$W334/$S334,"")</f>
        <v/>
      </c>
      <c r="Y334" s="47"/>
      <c r="Z334" s="19"/>
    </row>
    <row r="335" customFormat="false" ht="15.75" hidden="false" customHeight="true" outlineLevel="0" collapsed="false">
      <c r="A335" s="48" t="str">
        <f aca="false">IF(Produtos!$A335="","",Produtos!$A335)</f>
        <v/>
      </c>
      <c r="B335" s="48" t="str">
        <f aca="false">IF(Produtos!$A335="","",Produtos!$B335)</f>
        <v/>
      </c>
      <c r="C335" s="48" t="str">
        <f aca="false">IF(Produtos!$A335="","",Produtos!$C335)</f>
        <v/>
      </c>
      <c r="D335" s="33" t="str">
        <f aca="false">IF(Produtos!$A335="","",IF(Produtos!$D335="","",Produtos!$D335))</f>
        <v/>
      </c>
      <c r="E335" s="11"/>
      <c r="F335" s="34" t="str">
        <f aca="false">IF($A335="","",IF($C335="","⚠ categoria",IFERROR(INDEX(Parâmetros!$D$13:$D$22,MATCH($C335,Parâmetros!$A$13:$A$22,0)),"⚠ categoria")))</f>
        <v/>
      </c>
      <c r="G335" s="35"/>
      <c r="H335" s="36" t="str">
        <f aca="false">IF($A335="","",IF(ISNUMBER($G335),$G335,IF(ISNUMBER($F335),$F335,"")))</f>
        <v/>
      </c>
      <c r="I335" s="37" t="str">
        <f aca="false">IF(OR($A335="",NOT(ISNUMBER($D335)),NOT(ISNUMBER($H335))),"",IF((1-$H335-Parâmetros!$B$6-Parâmetros!$C$6-Parâmetros!$D$6)&lt;=0,"INVALIDO",($D335+IF(ISNUMBER($E335),$E335,0)+IF(ISNUMBER(Parâmetros!$E$6),Parâmetros!$E$6,0))/(1-$H335-Parâmetros!$B$6-Parâmetros!$C$6-Parâmetros!$D$6)))</f>
        <v/>
      </c>
      <c r="J335" s="38"/>
      <c r="K335" s="39" t="str">
        <f aca="false">IF(OR($A335="",NOT(ISNUMBER($D335)),NOT(ISNUMBER($H335))),"",IF(AND(ISNUMBER($J335),$J335&gt;0),$J335,IF(ISNUMBER($I335),$I335,"")))</f>
        <v/>
      </c>
      <c r="L335" s="40" t="str">
        <f aca="false">IF(ISNUMBER($K335),$K335*$H335,"")</f>
        <v/>
      </c>
      <c r="M335" s="40" t="str">
        <f aca="false">IF(ISNUMBER($K335),$K335*Parâmetros!$B$6,"")</f>
        <v/>
      </c>
      <c r="N335" s="40" t="str">
        <f aca="false">IF(ISNUMBER($K335),$K335*Parâmetros!$C$6,"")</f>
        <v/>
      </c>
      <c r="O335" s="40" t="str">
        <f aca="false">IF(ISNUMBER($K335),IF(ISNUMBER(Parâmetros!$E$6),Parâmetros!$E$6,0),"")</f>
        <v/>
      </c>
      <c r="P335" s="41" t="str">
        <f aca="false">IF(ISNUMBER($K335),$K335-$D335-IF(ISNUMBER($E335),$E335,0)-$L335-$M335-$N335-$O335,"")</f>
        <v/>
      </c>
      <c r="Q335" s="42" t="str">
        <f aca="false">IF(AND(ISNUMBER($K335),$K335&gt;0),$P335/$K335,"")</f>
        <v/>
      </c>
      <c r="R335" s="43"/>
      <c r="S335" s="44" t="str">
        <f aca="false">IF(OR(NOT(ISNUMBER($R335)),$R335=0,NOT(ISNUMBER($K335))),"",$K335*(1-$R335))</f>
        <v/>
      </c>
      <c r="T335" s="45" t="str">
        <f aca="false">IF(ISNUMBER($S335),$S335*$H335,"")</f>
        <v/>
      </c>
      <c r="U335" s="45" t="str">
        <f aca="false">IF(ISNUMBER($S335),$S335*Parâmetros!$B$6,"")</f>
        <v/>
      </c>
      <c r="V335" s="45" t="str">
        <f aca="false">IF(ISNUMBER($S335),$S335*Parâmetros!$C$6,"")</f>
        <v/>
      </c>
      <c r="W335" s="44" t="str">
        <f aca="false">IF(ISNUMBER($S335),$S335-$D335-IF(ISNUMBER($E335),$E335,0)-$O335-$T335-$U335-$V335,"")</f>
        <v/>
      </c>
      <c r="X335" s="46" t="str">
        <f aca="false">IF(AND(ISNUMBER($S335),$S335&gt;0),$W335/$S335,"")</f>
        <v/>
      </c>
      <c r="Y335" s="49"/>
      <c r="Z335" s="21"/>
    </row>
    <row r="336" customFormat="false" ht="15.75" hidden="false" customHeight="true" outlineLevel="0" collapsed="false">
      <c r="A336" s="32" t="str">
        <f aca="false">IF(Produtos!$A336="","",Produtos!$A336)</f>
        <v/>
      </c>
      <c r="B336" s="32" t="str">
        <f aca="false">IF(Produtos!$A336="","",Produtos!$B336)</f>
        <v/>
      </c>
      <c r="C336" s="32" t="str">
        <f aca="false">IF(Produtos!$A336="","",Produtos!$C336)</f>
        <v/>
      </c>
      <c r="D336" s="33" t="str">
        <f aca="false">IF(Produtos!$A336="","",IF(Produtos!$D336="","",Produtos!$D336))</f>
        <v/>
      </c>
      <c r="E336" s="11"/>
      <c r="F336" s="34" t="str">
        <f aca="false">IF($A336="","",IF($C336="","⚠ categoria",IFERROR(INDEX(Parâmetros!$D$13:$D$22,MATCH($C336,Parâmetros!$A$13:$A$22,0)),"⚠ categoria")))</f>
        <v/>
      </c>
      <c r="G336" s="35"/>
      <c r="H336" s="36" t="str">
        <f aca="false">IF($A336="","",IF(ISNUMBER($G336),$G336,IF(ISNUMBER($F336),$F336,"")))</f>
        <v/>
      </c>
      <c r="I336" s="37" t="str">
        <f aca="false">IF(OR($A336="",NOT(ISNUMBER($D336)),NOT(ISNUMBER($H336))),"",IF((1-$H336-Parâmetros!$B$6-Parâmetros!$C$6-Parâmetros!$D$6)&lt;=0,"INVALIDO",($D336+IF(ISNUMBER($E336),$E336,0)+IF(ISNUMBER(Parâmetros!$E$6),Parâmetros!$E$6,0))/(1-$H336-Parâmetros!$B$6-Parâmetros!$C$6-Parâmetros!$D$6)))</f>
        <v/>
      </c>
      <c r="J336" s="38"/>
      <c r="K336" s="39" t="str">
        <f aca="false">IF(OR($A336="",NOT(ISNUMBER($D336)),NOT(ISNUMBER($H336))),"",IF(AND(ISNUMBER($J336),$J336&gt;0),$J336,IF(ISNUMBER($I336),$I336,"")))</f>
        <v/>
      </c>
      <c r="L336" s="40" t="str">
        <f aca="false">IF(ISNUMBER($K336),$K336*$H336,"")</f>
        <v/>
      </c>
      <c r="M336" s="40" t="str">
        <f aca="false">IF(ISNUMBER($K336),$K336*Parâmetros!$B$6,"")</f>
        <v/>
      </c>
      <c r="N336" s="40" t="str">
        <f aca="false">IF(ISNUMBER($K336),$K336*Parâmetros!$C$6,"")</f>
        <v/>
      </c>
      <c r="O336" s="40" t="str">
        <f aca="false">IF(ISNUMBER($K336),IF(ISNUMBER(Parâmetros!$E$6),Parâmetros!$E$6,0),"")</f>
        <v/>
      </c>
      <c r="P336" s="41" t="str">
        <f aca="false">IF(ISNUMBER($K336),$K336-$D336-IF(ISNUMBER($E336),$E336,0)-$L336-$M336-$N336-$O336,"")</f>
        <v/>
      </c>
      <c r="Q336" s="42" t="str">
        <f aca="false">IF(AND(ISNUMBER($K336),$K336&gt;0),$P336/$K336,"")</f>
        <v/>
      </c>
      <c r="R336" s="43"/>
      <c r="S336" s="44" t="str">
        <f aca="false">IF(OR(NOT(ISNUMBER($R336)),$R336=0,NOT(ISNUMBER($K336))),"",$K336*(1-$R336))</f>
        <v/>
      </c>
      <c r="T336" s="45" t="str">
        <f aca="false">IF(ISNUMBER($S336),$S336*$H336,"")</f>
        <v/>
      </c>
      <c r="U336" s="45" t="str">
        <f aca="false">IF(ISNUMBER($S336),$S336*Parâmetros!$B$6,"")</f>
        <v/>
      </c>
      <c r="V336" s="45" t="str">
        <f aca="false">IF(ISNUMBER($S336),$S336*Parâmetros!$C$6,"")</f>
        <v/>
      </c>
      <c r="W336" s="44" t="str">
        <f aca="false">IF(ISNUMBER($S336),$S336-$D336-IF(ISNUMBER($E336),$E336,0)-$O336-$T336-$U336-$V336,"")</f>
        <v/>
      </c>
      <c r="X336" s="46" t="str">
        <f aca="false">IF(AND(ISNUMBER($S336),$S336&gt;0),$W336/$S336,"")</f>
        <v/>
      </c>
      <c r="Y336" s="47"/>
      <c r="Z336" s="19"/>
    </row>
    <row r="337" customFormat="false" ht="15.75" hidden="false" customHeight="true" outlineLevel="0" collapsed="false">
      <c r="A337" s="48" t="str">
        <f aca="false">IF(Produtos!$A337="","",Produtos!$A337)</f>
        <v/>
      </c>
      <c r="B337" s="48" t="str">
        <f aca="false">IF(Produtos!$A337="","",Produtos!$B337)</f>
        <v/>
      </c>
      <c r="C337" s="48" t="str">
        <f aca="false">IF(Produtos!$A337="","",Produtos!$C337)</f>
        <v/>
      </c>
      <c r="D337" s="33" t="str">
        <f aca="false">IF(Produtos!$A337="","",IF(Produtos!$D337="","",Produtos!$D337))</f>
        <v/>
      </c>
      <c r="E337" s="11"/>
      <c r="F337" s="34" t="str">
        <f aca="false">IF($A337="","",IF($C337="","⚠ categoria",IFERROR(INDEX(Parâmetros!$D$13:$D$22,MATCH($C337,Parâmetros!$A$13:$A$22,0)),"⚠ categoria")))</f>
        <v/>
      </c>
      <c r="G337" s="35"/>
      <c r="H337" s="36" t="str">
        <f aca="false">IF($A337="","",IF(ISNUMBER($G337),$G337,IF(ISNUMBER($F337),$F337,"")))</f>
        <v/>
      </c>
      <c r="I337" s="37" t="str">
        <f aca="false">IF(OR($A337="",NOT(ISNUMBER($D337)),NOT(ISNUMBER($H337))),"",IF((1-$H337-Parâmetros!$B$6-Parâmetros!$C$6-Parâmetros!$D$6)&lt;=0,"INVALIDO",($D337+IF(ISNUMBER($E337),$E337,0)+IF(ISNUMBER(Parâmetros!$E$6),Parâmetros!$E$6,0))/(1-$H337-Parâmetros!$B$6-Parâmetros!$C$6-Parâmetros!$D$6)))</f>
        <v/>
      </c>
      <c r="J337" s="38"/>
      <c r="K337" s="39" t="str">
        <f aca="false">IF(OR($A337="",NOT(ISNUMBER($D337)),NOT(ISNUMBER($H337))),"",IF(AND(ISNUMBER($J337),$J337&gt;0),$J337,IF(ISNUMBER($I337),$I337,"")))</f>
        <v/>
      </c>
      <c r="L337" s="40" t="str">
        <f aca="false">IF(ISNUMBER($K337),$K337*$H337,"")</f>
        <v/>
      </c>
      <c r="M337" s="40" t="str">
        <f aca="false">IF(ISNUMBER($K337),$K337*Parâmetros!$B$6,"")</f>
        <v/>
      </c>
      <c r="N337" s="40" t="str">
        <f aca="false">IF(ISNUMBER($K337),$K337*Parâmetros!$C$6,"")</f>
        <v/>
      </c>
      <c r="O337" s="40" t="str">
        <f aca="false">IF(ISNUMBER($K337),IF(ISNUMBER(Parâmetros!$E$6),Parâmetros!$E$6,0),"")</f>
        <v/>
      </c>
      <c r="P337" s="41" t="str">
        <f aca="false">IF(ISNUMBER($K337),$K337-$D337-IF(ISNUMBER($E337),$E337,0)-$L337-$M337-$N337-$O337,"")</f>
        <v/>
      </c>
      <c r="Q337" s="42" t="str">
        <f aca="false">IF(AND(ISNUMBER($K337),$K337&gt;0),$P337/$K337,"")</f>
        <v/>
      </c>
      <c r="R337" s="43"/>
      <c r="S337" s="44" t="str">
        <f aca="false">IF(OR(NOT(ISNUMBER($R337)),$R337=0,NOT(ISNUMBER($K337))),"",$K337*(1-$R337))</f>
        <v/>
      </c>
      <c r="T337" s="45" t="str">
        <f aca="false">IF(ISNUMBER($S337),$S337*$H337,"")</f>
        <v/>
      </c>
      <c r="U337" s="45" t="str">
        <f aca="false">IF(ISNUMBER($S337),$S337*Parâmetros!$B$6,"")</f>
        <v/>
      </c>
      <c r="V337" s="45" t="str">
        <f aca="false">IF(ISNUMBER($S337),$S337*Parâmetros!$C$6,"")</f>
        <v/>
      </c>
      <c r="W337" s="44" t="str">
        <f aca="false">IF(ISNUMBER($S337),$S337-$D337-IF(ISNUMBER($E337),$E337,0)-$O337-$T337-$U337-$V337,"")</f>
        <v/>
      </c>
      <c r="X337" s="46" t="str">
        <f aca="false">IF(AND(ISNUMBER($S337),$S337&gt;0),$W337/$S337,"")</f>
        <v/>
      </c>
      <c r="Y337" s="49"/>
      <c r="Z337" s="21"/>
    </row>
    <row r="338" customFormat="false" ht="15.75" hidden="false" customHeight="true" outlineLevel="0" collapsed="false">
      <c r="A338" s="32" t="str">
        <f aca="false">IF(Produtos!$A338="","",Produtos!$A338)</f>
        <v/>
      </c>
      <c r="B338" s="32" t="str">
        <f aca="false">IF(Produtos!$A338="","",Produtos!$B338)</f>
        <v/>
      </c>
      <c r="C338" s="32" t="str">
        <f aca="false">IF(Produtos!$A338="","",Produtos!$C338)</f>
        <v/>
      </c>
      <c r="D338" s="33" t="str">
        <f aca="false">IF(Produtos!$A338="","",IF(Produtos!$D338="","",Produtos!$D338))</f>
        <v/>
      </c>
      <c r="E338" s="11"/>
      <c r="F338" s="34" t="str">
        <f aca="false">IF($A338="","",IF($C338="","⚠ categoria",IFERROR(INDEX(Parâmetros!$D$13:$D$22,MATCH($C338,Parâmetros!$A$13:$A$22,0)),"⚠ categoria")))</f>
        <v/>
      </c>
      <c r="G338" s="35"/>
      <c r="H338" s="36" t="str">
        <f aca="false">IF($A338="","",IF(ISNUMBER($G338),$G338,IF(ISNUMBER($F338),$F338,"")))</f>
        <v/>
      </c>
      <c r="I338" s="37" t="str">
        <f aca="false">IF(OR($A338="",NOT(ISNUMBER($D338)),NOT(ISNUMBER($H338))),"",IF((1-$H338-Parâmetros!$B$6-Parâmetros!$C$6-Parâmetros!$D$6)&lt;=0,"INVALIDO",($D338+IF(ISNUMBER($E338),$E338,0)+IF(ISNUMBER(Parâmetros!$E$6),Parâmetros!$E$6,0))/(1-$H338-Parâmetros!$B$6-Parâmetros!$C$6-Parâmetros!$D$6)))</f>
        <v/>
      </c>
      <c r="J338" s="38"/>
      <c r="K338" s="39" t="str">
        <f aca="false">IF(OR($A338="",NOT(ISNUMBER($D338)),NOT(ISNUMBER($H338))),"",IF(AND(ISNUMBER($J338),$J338&gt;0),$J338,IF(ISNUMBER($I338),$I338,"")))</f>
        <v/>
      </c>
      <c r="L338" s="40" t="str">
        <f aca="false">IF(ISNUMBER($K338),$K338*$H338,"")</f>
        <v/>
      </c>
      <c r="M338" s="40" t="str">
        <f aca="false">IF(ISNUMBER($K338),$K338*Parâmetros!$B$6,"")</f>
        <v/>
      </c>
      <c r="N338" s="40" t="str">
        <f aca="false">IF(ISNUMBER($K338),$K338*Parâmetros!$C$6,"")</f>
        <v/>
      </c>
      <c r="O338" s="40" t="str">
        <f aca="false">IF(ISNUMBER($K338),IF(ISNUMBER(Parâmetros!$E$6),Parâmetros!$E$6,0),"")</f>
        <v/>
      </c>
      <c r="P338" s="41" t="str">
        <f aca="false">IF(ISNUMBER($K338),$K338-$D338-IF(ISNUMBER($E338),$E338,0)-$L338-$M338-$N338-$O338,"")</f>
        <v/>
      </c>
      <c r="Q338" s="42" t="str">
        <f aca="false">IF(AND(ISNUMBER($K338),$K338&gt;0),$P338/$K338,"")</f>
        <v/>
      </c>
      <c r="R338" s="43"/>
      <c r="S338" s="44" t="str">
        <f aca="false">IF(OR(NOT(ISNUMBER($R338)),$R338=0,NOT(ISNUMBER($K338))),"",$K338*(1-$R338))</f>
        <v/>
      </c>
      <c r="T338" s="45" t="str">
        <f aca="false">IF(ISNUMBER($S338),$S338*$H338,"")</f>
        <v/>
      </c>
      <c r="U338" s="45" t="str">
        <f aca="false">IF(ISNUMBER($S338),$S338*Parâmetros!$B$6,"")</f>
        <v/>
      </c>
      <c r="V338" s="45" t="str">
        <f aca="false">IF(ISNUMBER($S338),$S338*Parâmetros!$C$6,"")</f>
        <v/>
      </c>
      <c r="W338" s="44" t="str">
        <f aca="false">IF(ISNUMBER($S338),$S338-$D338-IF(ISNUMBER($E338),$E338,0)-$O338-$T338-$U338-$V338,"")</f>
        <v/>
      </c>
      <c r="X338" s="46" t="str">
        <f aca="false">IF(AND(ISNUMBER($S338),$S338&gt;0),$W338/$S338,"")</f>
        <v/>
      </c>
      <c r="Y338" s="47"/>
      <c r="Z338" s="19"/>
    </row>
    <row r="339" customFormat="false" ht="15.75" hidden="false" customHeight="true" outlineLevel="0" collapsed="false">
      <c r="A339" s="48" t="str">
        <f aca="false">IF(Produtos!$A339="","",Produtos!$A339)</f>
        <v/>
      </c>
      <c r="B339" s="48" t="str">
        <f aca="false">IF(Produtos!$A339="","",Produtos!$B339)</f>
        <v/>
      </c>
      <c r="C339" s="48" t="str">
        <f aca="false">IF(Produtos!$A339="","",Produtos!$C339)</f>
        <v/>
      </c>
      <c r="D339" s="33" t="str">
        <f aca="false">IF(Produtos!$A339="","",IF(Produtos!$D339="","",Produtos!$D339))</f>
        <v/>
      </c>
      <c r="E339" s="11"/>
      <c r="F339" s="34" t="str">
        <f aca="false">IF($A339="","",IF($C339="","⚠ categoria",IFERROR(INDEX(Parâmetros!$D$13:$D$22,MATCH($C339,Parâmetros!$A$13:$A$22,0)),"⚠ categoria")))</f>
        <v/>
      </c>
      <c r="G339" s="35"/>
      <c r="H339" s="36" t="str">
        <f aca="false">IF($A339="","",IF(ISNUMBER($G339),$G339,IF(ISNUMBER($F339),$F339,"")))</f>
        <v/>
      </c>
      <c r="I339" s="37" t="str">
        <f aca="false">IF(OR($A339="",NOT(ISNUMBER($D339)),NOT(ISNUMBER($H339))),"",IF((1-$H339-Parâmetros!$B$6-Parâmetros!$C$6-Parâmetros!$D$6)&lt;=0,"INVALIDO",($D339+IF(ISNUMBER($E339),$E339,0)+IF(ISNUMBER(Parâmetros!$E$6),Parâmetros!$E$6,0))/(1-$H339-Parâmetros!$B$6-Parâmetros!$C$6-Parâmetros!$D$6)))</f>
        <v/>
      </c>
      <c r="J339" s="38"/>
      <c r="K339" s="39" t="str">
        <f aca="false">IF(OR($A339="",NOT(ISNUMBER($D339)),NOT(ISNUMBER($H339))),"",IF(AND(ISNUMBER($J339),$J339&gt;0),$J339,IF(ISNUMBER($I339),$I339,"")))</f>
        <v/>
      </c>
      <c r="L339" s="40" t="str">
        <f aca="false">IF(ISNUMBER($K339),$K339*$H339,"")</f>
        <v/>
      </c>
      <c r="M339" s="40" t="str">
        <f aca="false">IF(ISNUMBER($K339),$K339*Parâmetros!$B$6,"")</f>
        <v/>
      </c>
      <c r="N339" s="40" t="str">
        <f aca="false">IF(ISNUMBER($K339),$K339*Parâmetros!$C$6,"")</f>
        <v/>
      </c>
      <c r="O339" s="40" t="str">
        <f aca="false">IF(ISNUMBER($K339),IF(ISNUMBER(Parâmetros!$E$6),Parâmetros!$E$6,0),"")</f>
        <v/>
      </c>
      <c r="P339" s="41" t="str">
        <f aca="false">IF(ISNUMBER($K339),$K339-$D339-IF(ISNUMBER($E339),$E339,0)-$L339-$M339-$N339-$O339,"")</f>
        <v/>
      </c>
      <c r="Q339" s="42" t="str">
        <f aca="false">IF(AND(ISNUMBER($K339),$K339&gt;0),$P339/$K339,"")</f>
        <v/>
      </c>
      <c r="R339" s="43"/>
      <c r="S339" s="44" t="str">
        <f aca="false">IF(OR(NOT(ISNUMBER($R339)),$R339=0,NOT(ISNUMBER($K339))),"",$K339*(1-$R339))</f>
        <v/>
      </c>
      <c r="T339" s="45" t="str">
        <f aca="false">IF(ISNUMBER($S339),$S339*$H339,"")</f>
        <v/>
      </c>
      <c r="U339" s="45" t="str">
        <f aca="false">IF(ISNUMBER($S339),$S339*Parâmetros!$B$6,"")</f>
        <v/>
      </c>
      <c r="V339" s="45" t="str">
        <f aca="false">IF(ISNUMBER($S339),$S339*Parâmetros!$C$6,"")</f>
        <v/>
      </c>
      <c r="W339" s="44" t="str">
        <f aca="false">IF(ISNUMBER($S339),$S339-$D339-IF(ISNUMBER($E339),$E339,0)-$O339-$T339-$U339-$V339,"")</f>
        <v/>
      </c>
      <c r="X339" s="46" t="str">
        <f aca="false">IF(AND(ISNUMBER($S339),$S339&gt;0),$W339/$S339,"")</f>
        <v/>
      </c>
      <c r="Y339" s="49"/>
      <c r="Z339" s="21"/>
    </row>
    <row r="340" customFormat="false" ht="15.75" hidden="false" customHeight="true" outlineLevel="0" collapsed="false">
      <c r="A340" s="32" t="str">
        <f aca="false">IF(Produtos!$A340="","",Produtos!$A340)</f>
        <v/>
      </c>
      <c r="B340" s="32" t="str">
        <f aca="false">IF(Produtos!$A340="","",Produtos!$B340)</f>
        <v/>
      </c>
      <c r="C340" s="32" t="str">
        <f aca="false">IF(Produtos!$A340="","",Produtos!$C340)</f>
        <v/>
      </c>
      <c r="D340" s="33" t="str">
        <f aca="false">IF(Produtos!$A340="","",IF(Produtos!$D340="","",Produtos!$D340))</f>
        <v/>
      </c>
      <c r="E340" s="11"/>
      <c r="F340" s="34" t="str">
        <f aca="false">IF($A340="","",IF($C340="","⚠ categoria",IFERROR(INDEX(Parâmetros!$D$13:$D$22,MATCH($C340,Parâmetros!$A$13:$A$22,0)),"⚠ categoria")))</f>
        <v/>
      </c>
      <c r="G340" s="35"/>
      <c r="H340" s="36" t="str">
        <f aca="false">IF($A340="","",IF(ISNUMBER($G340),$G340,IF(ISNUMBER($F340),$F340,"")))</f>
        <v/>
      </c>
      <c r="I340" s="37" t="str">
        <f aca="false">IF(OR($A340="",NOT(ISNUMBER($D340)),NOT(ISNUMBER($H340))),"",IF((1-$H340-Parâmetros!$B$6-Parâmetros!$C$6-Parâmetros!$D$6)&lt;=0,"INVALIDO",($D340+IF(ISNUMBER($E340),$E340,0)+IF(ISNUMBER(Parâmetros!$E$6),Parâmetros!$E$6,0))/(1-$H340-Parâmetros!$B$6-Parâmetros!$C$6-Parâmetros!$D$6)))</f>
        <v/>
      </c>
      <c r="J340" s="38"/>
      <c r="K340" s="39" t="str">
        <f aca="false">IF(OR($A340="",NOT(ISNUMBER($D340)),NOT(ISNUMBER($H340))),"",IF(AND(ISNUMBER($J340),$J340&gt;0),$J340,IF(ISNUMBER($I340),$I340,"")))</f>
        <v/>
      </c>
      <c r="L340" s="40" t="str">
        <f aca="false">IF(ISNUMBER($K340),$K340*$H340,"")</f>
        <v/>
      </c>
      <c r="M340" s="40" t="str">
        <f aca="false">IF(ISNUMBER($K340),$K340*Parâmetros!$B$6,"")</f>
        <v/>
      </c>
      <c r="N340" s="40" t="str">
        <f aca="false">IF(ISNUMBER($K340),$K340*Parâmetros!$C$6,"")</f>
        <v/>
      </c>
      <c r="O340" s="40" t="str">
        <f aca="false">IF(ISNUMBER($K340),IF(ISNUMBER(Parâmetros!$E$6),Parâmetros!$E$6,0),"")</f>
        <v/>
      </c>
      <c r="P340" s="41" t="str">
        <f aca="false">IF(ISNUMBER($K340),$K340-$D340-IF(ISNUMBER($E340),$E340,0)-$L340-$M340-$N340-$O340,"")</f>
        <v/>
      </c>
      <c r="Q340" s="42" t="str">
        <f aca="false">IF(AND(ISNUMBER($K340),$K340&gt;0),$P340/$K340,"")</f>
        <v/>
      </c>
      <c r="R340" s="43"/>
      <c r="S340" s="44" t="str">
        <f aca="false">IF(OR(NOT(ISNUMBER($R340)),$R340=0,NOT(ISNUMBER($K340))),"",$K340*(1-$R340))</f>
        <v/>
      </c>
      <c r="T340" s="45" t="str">
        <f aca="false">IF(ISNUMBER($S340),$S340*$H340,"")</f>
        <v/>
      </c>
      <c r="U340" s="45" t="str">
        <f aca="false">IF(ISNUMBER($S340),$S340*Parâmetros!$B$6,"")</f>
        <v/>
      </c>
      <c r="V340" s="45" t="str">
        <f aca="false">IF(ISNUMBER($S340),$S340*Parâmetros!$C$6,"")</f>
        <v/>
      </c>
      <c r="W340" s="44" t="str">
        <f aca="false">IF(ISNUMBER($S340),$S340-$D340-IF(ISNUMBER($E340),$E340,0)-$O340-$T340-$U340-$V340,"")</f>
        <v/>
      </c>
      <c r="X340" s="46" t="str">
        <f aca="false">IF(AND(ISNUMBER($S340),$S340&gt;0),$W340/$S340,"")</f>
        <v/>
      </c>
      <c r="Y340" s="47"/>
      <c r="Z340" s="19"/>
    </row>
    <row r="341" customFormat="false" ht="15.75" hidden="false" customHeight="true" outlineLevel="0" collapsed="false">
      <c r="A341" s="48" t="str">
        <f aca="false">IF(Produtos!$A341="","",Produtos!$A341)</f>
        <v/>
      </c>
      <c r="B341" s="48" t="str">
        <f aca="false">IF(Produtos!$A341="","",Produtos!$B341)</f>
        <v/>
      </c>
      <c r="C341" s="48" t="str">
        <f aca="false">IF(Produtos!$A341="","",Produtos!$C341)</f>
        <v/>
      </c>
      <c r="D341" s="33" t="str">
        <f aca="false">IF(Produtos!$A341="","",IF(Produtos!$D341="","",Produtos!$D341))</f>
        <v/>
      </c>
      <c r="E341" s="11"/>
      <c r="F341" s="34" t="str">
        <f aca="false">IF($A341="","",IF($C341="","⚠ categoria",IFERROR(INDEX(Parâmetros!$D$13:$D$22,MATCH($C341,Parâmetros!$A$13:$A$22,0)),"⚠ categoria")))</f>
        <v/>
      </c>
      <c r="G341" s="35"/>
      <c r="H341" s="36" t="str">
        <f aca="false">IF($A341="","",IF(ISNUMBER($G341),$G341,IF(ISNUMBER($F341),$F341,"")))</f>
        <v/>
      </c>
      <c r="I341" s="37" t="str">
        <f aca="false">IF(OR($A341="",NOT(ISNUMBER($D341)),NOT(ISNUMBER($H341))),"",IF((1-$H341-Parâmetros!$B$6-Parâmetros!$C$6-Parâmetros!$D$6)&lt;=0,"INVALIDO",($D341+IF(ISNUMBER($E341),$E341,0)+IF(ISNUMBER(Parâmetros!$E$6),Parâmetros!$E$6,0))/(1-$H341-Parâmetros!$B$6-Parâmetros!$C$6-Parâmetros!$D$6)))</f>
        <v/>
      </c>
      <c r="J341" s="38"/>
      <c r="K341" s="39" t="str">
        <f aca="false">IF(OR($A341="",NOT(ISNUMBER($D341)),NOT(ISNUMBER($H341))),"",IF(AND(ISNUMBER($J341),$J341&gt;0),$J341,IF(ISNUMBER($I341),$I341,"")))</f>
        <v/>
      </c>
      <c r="L341" s="40" t="str">
        <f aca="false">IF(ISNUMBER($K341),$K341*$H341,"")</f>
        <v/>
      </c>
      <c r="M341" s="40" t="str">
        <f aca="false">IF(ISNUMBER($K341),$K341*Parâmetros!$B$6,"")</f>
        <v/>
      </c>
      <c r="N341" s="40" t="str">
        <f aca="false">IF(ISNUMBER($K341),$K341*Parâmetros!$C$6,"")</f>
        <v/>
      </c>
      <c r="O341" s="40" t="str">
        <f aca="false">IF(ISNUMBER($K341),IF(ISNUMBER(Parâmetros!$E$6),Parâmetros!$E$6,0),"")</f>
        <v/>
      </c>
      <c r="P341" s="41" t="str">
        <f aca="false">IF(ISNUMBER($K341),$K341-$D341-IF(ISNUMBER($E341),$E341,0)-$L341-$M341-$N341-$O341,"")</f>
        <v/>
      </c>
      <c r="Q341" s="42" t="str">
        <f aca="false">IF(AND(ISNUMBER($K341),$K341&gt;0),$P341/$K341,"")</f>
        <v/>
      </c>
      <c r="R341" s="43"/>
      <c r="S341" s="44" t="str">
        <f aca="false">IF(OR(NOT(ISNUMBER($R341)),$R341=0,NOT(ISNUMBER($K341))),"",$K341*(1-$R341))</f>
        <v/>
      </c>
      <c r="T341" s="45" t="str">
        <f aca="false">IF(ISNUMBER($S341),$S341*$H341,"")</f>
        <v/>
      </c>
      <c r="U341" s="45" t="str">
        <f aca="false">IF(ISNUMBER($S341),$S341*Parâmetros!$B$6,"")</f>
        <v/>
      </c>
      <c r="V341" s="45" t="str">
        <f aca="false">IF(ISNUMBER($S341),$S341*Parâmetros!$C$6,"")</f>
        <v/>
      </c>
      <c r="W341" s="44" t="str">
        <f aca="false">IF(ISNUMBER($S341),$S341-$D341-IF(ISNUMBER($E341),$E341,0)-$O341-$T341-$U341-$V341,"")</f>
        <v/>
      </c>
      <c r="X341" s="46" t="str">
        <f aca="false">IF(AND(ISNUMBER($S341),$S341&gt;0),$W341/$S341,"")</f>
        <v/>
      </c>
      <c r="Y341" s="49"/>
      <c r="Z341" s="21"/>
    </row>
    <row r="342" customFormat="false" ht="15.75" hidden="false" customHeight="true" outlineLevel="0" collapsed="false">
      <c r="A342" s="32" t="str">
        <f aca="false">IF(Produtos!$A342="","",Produtos!$A342)</f>
        <v/>
      </c>
      <c r="B342" s="32" t="str">
        <f aca="false">IF(Produtos!$A342="","",Produtos!$B342)</f>
        <v/>
      </c>
      <c r="C342" s="32" t="str">
        <f aca="false">IF(Produtos!$A342="","",Produtos!$C342)</f>
        <v/>
      </c>
      <c r="D342" s="33" t="str">
        <f aca="false">IF(Produtos!$A342="","",IF(Produtos!$D342="","",Produtos!$D342))</f>
        <v/>
      </c>
      <c r="E342" s="11"/>
      <c r="F342" s="34" t="str">
        <f aca="false">IF($A342="","",IF($C342="","⚠ categoria",IFERROR(INDEX(Parâmetros!$D$13:$D$22,MATCH($C342,Parâmetros!$A$13:$A$22,0)),"⚠ categoria")))</f>
        <v/>
      </c>
      <c r="G342" s="35"/>
      <c r="H342" s="36" t="str">
        <f aca="false">IF($A342="","",IF(ISNUMBER($G342),$G342,IF(ISNUMBER($F342),$F342,"")))</f>
        <v/>
      </c>
      <c r="I342" s="37" t="str">
        <f aca="false">IF(OR($A342="",NOT(ISNUMBER($D342)),NOT(ISNUMBER($H342))),"",IF((1-$H342-Parâmetros!$B$6-Parâmetros!$C$6-Parâmetros!$D$6)&lt;=0,"INVALIDO",($D342+IF(ISNUMBER($E342),$E342,0)+IF(ISNUMBER(Parâmetros!$E$6),Parâmetros!$E$6,0))/(1-$H342-Parâmetros!$B$6-Parâmetros!$C$6-Parâmetros!$D$6)))</f>
        <v/>
      </c>
      <c r="J342" s="38"/>
      <c r="K342" s="39" t="str">
        <f aca="false">IF(OR($A342="",NOT(ISNUMBER($D342)),NOT(ISNUMBER($H342))),"",IF(AND(ISNUMBER($J342),$J342&gt;0),$J342,IF(ISNUMBER($I342),$I342,"")))</f>
        <v/>
      </c>
      <c r="L342" s="40" t="str">
        <f aca="false">IF(ISNUMBER($K342),$K342*$H342,"")</f>
        <v/>
      </c>
      <c r="M342" s="40" t="str">
        <f aca="false">IF(ISNUMBER($K342),$K342*Parâmetros!$B$6,"")</f>
        <v/>
      </c>
      <c r="N342" s="40" t="str">
        <f aca="false">IF(ISNUMBER($K342),$K342*Parâmetros!$C$6,"")</f>
        <v/>
      </c>
      <c r="O342" s="40" t="str">
        <f aca="false">IF(ISNUMBER($K342),IF(ISNUMBER(Parâmetros!$E$6),Parâmetros!$E$6,0),"")</f>
        <v/>
      </c>
      <c r="P342" s="41" t="str">
        <f aca="false">IF(ISNUMBER($K342),$K342-$D342-IF(ISNUMBER($E342),$E342,0)-$L342-$M342-$N342-$O342,"")</f>
        <v/>
      </c>
      <c r="Q342" s="42" t="str">
        <f aca="false">IF(AND(ISNUMBER($K342),$K342&gt;0),$P342/$K342,"")</f>
        <v/>
      </c>
      <c r="R342" s="43"/>
      <c r="S342" s="44" t="str">
        <f aca="false">IF(OR(NOT(ISNUMBER($R342)),$R342=0,NOT(ISNUMBER($K342))),"",$K342*(1-$R342))</f>
        <v/>
      </c>
      <c r="T342" s="45" t="str">
        <f aca="false">IF(ISNUMBER($S342),$S342*$H342,"")</f>
        <v/>
      </c>
      <c r="U342" s="45" t="str">
        <f aca="false">IF(ISNUMBER($S342),$S342*Parâmetros!$B$6,"")</f>
        <v/>
      </c>
      <c r="V342" s="45" t="str">
        <f aca="false">IF(ISNUMBER($S342),$S342*Parâmetros!$C$6,"")</f>
        <v/>
      </c>
      <c r="W342" s="44" t="str">
        <f aca="false">IF(ISNUMBER($S342),$S342-$D342-IF(ISNUMBER($E342),$E342,0)-$O342-$T342-$U342-$V342,"")</f>
        <v/>
      </c>
      <c r="X342" s="46" t="str">
        <f aca="false">IF(AND(ISNUMBER($S342),$S342&gt;0),$W342/$S342,"")</f>
        <v/>
      </c>
      <c r="Y342" s="47"/>
      <c r="Z342" s="19"/>
    </row>
    <row r="343" customFormat="false" ht="15.75" hidden="false" customHeight="true" outlineLevel="0" collapsed="false">
      <c r="A343" s="48" t="str">
        <f aca="false">IF(Produtos!$A343="","",Produtos!$A343)</f>
        <v/>
      </c>
      <c r="B343" s="48" t="str">
        <f aca="false">IF(Produtos!$A343="","",Produtos!$B343)</f>
        <v/>
      </c>
      <c r="C343" s="48" t="str">
        <f aca="false">IF(Produtos!$A343="","",Produtos!$C343)</f>
        <v/>
      </c>
      <c r="D343" s="33" t="str">
        <f aca="false">IF(Produtos!$A343="","",IF(Produtos!$D343="","",Produtos!$D343))</f>
        <v/>
      </c>
      <c r="E343" s="11"/>
      <c r="F343" s="34" t="str">
        <f aca="false">IF($A343="","",IF($C343="","⚠ categoria",IFERROR(INDEX(Parâmetros!$D$13:$D$22,MATCH($C343,Parâmetros!$A$13:$A$22,0)),"⚠ categoria")))</f>
        <v/>
      </c>
      <c r="G343" s="35"/>
      <c r="H343" s="36" t="str">
        <f aca="false">IF($A343="","",IF(ISNUMBER($G343),$G343,IF(ISNUMBER($F343),$F343,"")))</f>
        <v/>
      </c>
      <c r="I343" s="37" t="str">
        <f aca="false">IF(OR($A343="",NOT(ISNUMBER($D343)),NOT(ISNUMBER($H343))),"",IF((1-$H343-Parâmetros!$B$6-Parâmetros!$C$6-Parâmetros!$D$6)&lt;=0,"INVALIDO",($D343+IF(ISNUMBER($E343),$E343,0)+IF(ISNUMBER(Parâmetros!$E$6),Parâmetros!$E$6,0))/(1-$H343-Parâmetros!$B$6-Parâmetros!$C$6-Parâmetros!$D$6)))</f>
        <v/>
      </c>
      <c r="J343" s="38"/>
      <c r="K343" s="39" t="str">
        <f aca="false">IF(OR($A343="",NOT(ISNUMBER($D343)),NOT(ISNUMBER($H343))),"",IF(AND(ISNUMBER($J343),$J343&gt;0),$J343,IF(ISNUMBER($I343),$I343,"")))</f>
        <v/>
      </c>
      <c r="L343" s="40" t="str">
        <f aca="false">IF(ISNUMBER($K343),$K343*$H343,"")</f>
        <v/>
      </c>
      <c r="M343" s="40" t="str">
        <f aca="false">IF(ISNUMBER($K343),$K343*Parâmetros!$B$6,"")</f>
        <v/>
      </c>
      <c r="N343" s="40" t="str">
        <f aca="false">IF(ISNUMBER($K343),$K343*Parâmetros!$C$6,"")</f>
        <v/>
      </c>
      <c r="O343" s="40" t="str">
        <f aca="false">IF(ISNUMBER($K343),IF(ISNUMBER(Parâmetros!$E$6),Parâmetros!$E$6,0),"")</f>
        <v/>
      </c>
      <c r="P343" s="41" t="str">
        <f aca="false">IF(ISNUMBER($K343),$K343-$D343-IF(ISNUMBER($E343),$E343,0)-$L343-$M343-$N343-$O343,"")</f>
        <v/>
      </c>
      <c r="Q343" s="42" t="str">
        <f aca="false">IF(AND(ISNUMBER($K343),$K343&gt;0),$P343/$K343,"")</f>
        <v/>
      </c>
      <c r="R343" s="43"/>
      <c r="S343" s="44" t="str">
        <f aca="false">IF(OR(NOT(ISNUMBER($R343)),$R343=0,NOT(ISNUMBER($K343))),"",$K343*(1-$R343))</f>
        <v/>
      </c>
      <c r="T343" s="45" t="str">
        <f aca="false">IF(ISNUMBER($S343),$S343*$H343,"")</f>
        <v/>
      </c>
      <c r="U343" s="45" t="str">
        <f aca="false">IF(ISNUMBER($S343),$S343*Parâmetros!$B$6,"")</f>
        <v/>
      </c>
      <c r="V343" s="45" t="str">
        <f aca="false">IF(ISNUMBER($S343),$S343*Parâmetros!$C$6,"")</f>
        <v/>
      </c>
      <c r="W343" s="44" t="str">
        <f aca="false">IF(ISNUMBER($S343),$S343-$D343-IF(ISNUMBER($E343),$E343,0)-$O343-$T343-$U343-$V343,"")</f>
        <v/>
      </c>
      <c r="X343" s="46" t="str">
        <f aca="false">IF(AND(ISNUMBER($S343),$S343&gt;0),$W343/$S343,"")</f>
        <v/>
      </c>
      <c r="Y343" s="49"/>
      <c r="Z343" s="21"/>
    </row>
    <row r="344" customFormat="false" ht="15.75" hidden="false" customHeight="true" outlineLevel="0" collapsed="false">
      <c r="A344" s="32" t="str">
        <f aca="false">IF(Produtos!$A344="","",Produtos!$A344)</f>
        <v/>
      </c>
      <c r="B344" s="32" t="str">
        <f aca="false">IF(Produtos!$A344="","",Produtos!$B344)</f>
        <v/>
      </c>
      <c r="C344" s="32" t="str">
        <f aca="false">IF(Produtos!$A344="","",Produtos!$C344)</f>
        <v/>
      </c>
      <c r="D344" s="33" t="str">
        <f aca="false">IF(Produtos!$A344="","",IF(Produtos!$D344="","",Produtos!$D344))</f>
        <v/>
      </c>
      <c r="E344" s="11"/>
      <c r="F344" s="34" t="str">
        <f aca="false">IF($A344="","",IF($C344="","⚠ categoria",IFERROR(INDEX(Parâmetros!$D$13:$D$22,MATCH($C344,Parâmetros!$A$13:$A$22,0)),"⚠ categoria")))</f>
        <v/>
      </c>
      <c r="G344" s="35"/>
      <c r="H344" s="36" t="str">
        <f aca="false">IF($A344="","",IF(ISNUMBER($G344),$G344,IF(ISNUMBER($F344),$F344,"")))</f>
        <v/>
      </c>
      <c r="I344" s="37" t="str">
        <f aca="false">IF(OR($A344="",NOT(ISNUMBER($D344)),NOT(ISNUMBER($H344))),"",IF((1-$H344-Parâmetros!$B$6-Parâmetros!$C$6-Parâmetros!$D$6)&lt;=0,"INVALIDO",($D344+IF(ISNUMBER($E344),$E344,0)+IF(ISNUMBER(Parâmetros!$E$6),Parâmetros!$E$6,0))/(1-$H344-Parâmetros!$B$6-Parâmetros!$C$6-Parâmetros!$D$6)))</f>
        <v/>
      </c>
      <c r="J344" s="38"/>
      <c r="K344" s="39" t="str">
        <f aca="false">IF(OR($A344="",NOT(ISNUMBER($D344)),NOT(ISNUMBER($H344))),"",IF(AND(ISNUMBER($J344),$J344&gt;0),$J344,IF(ISNUMBER($I344),$I344,"")))</f>
        <v/>
      </c>
      <c r="L344" s="40" t="str">
        <f aca="false">IF(ISNUMBER($K344),$K344*$H344,"")</f>
        <v/>
      </c>
      <c r="M344" s="40" t="str">
        <f aca="false">IF(ISNUMBER($K344),$K344*Parâmetros!$B$6,"")</f>
        <v/>
      </c>
      <c r="N344" s="40" t="str">
        <f aca="false">IF(ISNUMBER($K344),$K344*Parâmetros!$C$6,"")</f>
        <v/>
      </c>
      <c r="O344" s="40" t="str">
        <f aca="false">IF(ISNUMBER($K344),IF(ISNUMBER(Parâmetros!$E$6),Parâmetros!$E$6,0),"")</f>
        <v/>
      </c>
      <c r="P344" s="41" t="str">
        <f aca="false">IF(ISNUMBER($K344),$K344-$D344-IF(ISNUMBER($E344),$E344,0)-$L344-$M344-$N344-$O344,"")</f>
        <v/>
      </c>
      <c r="Q344" s="42" t="str">
        <f aca="false">IF(AND(ISNUMBER($K344),$K344&gt;0),$P344/$K344,"")</f>
        <v/>
      </c>
      <c r="R344" s="43"/>
      <c r="S344" s="44" t="str">
        <f aca="false">IF(OR(NOT(ISNUMBER($R344)),$R344=0,NOT(ISNUMBER($K344))),"",$K344*(1-$R344))</f>
        <v/>
      </c>
      <c r="T344" s="45" t="str">
        <f aca="false">IF(ISNUMBER($S344),$S344*$H344,"")</f>
        <v/>
      </c>
      <c r="U344" s="45" t="str">
        <f aca="false">IF(ISNUMBER($S344),$S344*Parâmetros!$B$6,"")</f>
        <v/>
      </c>
      <c r="V344" s="45" t="str">
        <f aca="false">IF(ISNUMBER($S344),$S344*Parâmetros!$C$6,"")</f>
        <v/>
      </c>
      <c r="W344" s="44" t="str">
        <f aca="false">IF(ISNUMBER($S344),$S344-$D344-IF(ISNUMBER($E344),$E344,0)-$O344-$T344-$U344-$V344,"")</f>
        <v/>
      </c>
      <c r="X344" s="46" t="str">
        <f aca="false">IF(AND(ISNUMBER($S344),$S344&gt;0),$W344/$S344,"")</f>
        <v/>
      </c>
      <c r="Y344" s="47"/>
      <c r="Z344" s="19"/>
    </row>
    <row r="345" customFormat="false" ht="15.75" hidden="false" customHeight="true" outlineLevel="0" collapsed="false">
      <c r="A345" s="48" t="str">
        <f aca="false">IF(Produtos!$A345="","",Produtos!$A345)</f>
        <v/>
      </c>
      <c r="B345" s="48" t="str">
        <f aca="false">IF(Produtos!$A345="","",Produtos!$B345)</f>
        <v/>
      </c>
      <c r="C345" s="48" t="str">
        <f aca="false">IF(Produtos!$A345="","",Produtos!$C345)</f>
        <v/>
      </c>
      <c r="D345" s="33" t="str">
        <f aca="false">IF(Produtos!$A345="","",IF(Produtos!$D345="","",Produtos!$D345))</f>
        <v/>
      </c>
      <c r="E345" s="11"/>
      <c r="F345" s="34" t="str">
        <f aca="false">IF($A345="","",IF($C345="","⚠ categoria",IFERROR(INDEX(Parâmetros!$D$13:$D$22,MATCH($C345,Parâmetros!$A$13:$A$22,0)),"⚠ categoria")))</f>
        <v/>
      </c>
      <c r="G345" s="35"/>
      <c r="H345" s="36" t="str">
        <f aca="false">IF($A345="","",IF(ISNUMBER($G345),$G345,IF(ISNUMBER($F345),$F345,"")))</f>
        <v/>
      </c>
      <c r="I345" s="37" t="str">
        <f aca="false">IF(OR($A345="",NOT(ISNUMBER($D345)),NOT(ISNUMBER($H345))),"",IF((1-$H345-Parâmetros!$B$6-Parâmetros!$C$6-Parâmetros!$D$6)&lt;=0,"INVALIDO",($D345+IF(ISNUMBER($E345),$E345,0)+IF(ISNUMBER(Parâmetros!$E$6),Parâmetros!$E$6,0))/(1-$H345-Parâmetros!$B$6-Parâmetros!$C$6-Parâmetros!$D$6)))</f>
        <v/>
      </c>
      <c r="J345" s="38"/>
      <c r="K345" s="39" t="str">
        <f aca="false">IF(OR($A345="",NOT(ISNUMBER($D345)),NOT(ISNUMBER($H345))),"",IF(AND(ISNUMBER($J345),$J345&gt;0),$J345,IF(ISNUMBER($I345),$I345,"")))</f>
        <v/>
      </c>
      <c r="L345" s="40" t="str">
        <f aca="false">IF(ISNUMBER($K345),$K345*$H345,"")</f>
        <v/>
      </c>
      <c r="M345" s="40" t="str">
        <f aca="false">IF(ISNUMBER($K345),$K345*Parâmetros!$B$6,"")</f>
        <v/>
      </c>
      <c r="N345" s="40" t="str">
        <f aca="false">IF(ISNUMBER($K345),$K345*Parâmetros!$C$6,"")</f>
        <v/>
      </c>
      <c r="O345" s="40" t="str">
        <f aca="false">IF(ISNUMBER($K345),IF(ISNUMBER(Parâmetros!$E$6),Parâmetros!$E$6,0),"")</f>
        <v/>
      </c>
      <c r="P345" s="41" t="str">
        <f aca="false">IF(ISNUMBER($K345),$K345-$D345-IF(ISNUMBER($E345),$E345,0)-$L345-$M345-$N345-$O345,"")</f>
        <v/>
      </c>
      <c r="Q345" s="42" t="str">
        <f aca="false">IF(AND(ISNUMBER($K345),$K345&gt;0),$P345/$K345,"")</f>
        <v/>
      </c>
      <c r="R345" s="43"/>
      <c r="S345" s="44" t="str">
        <f aca="false">IF(OR(NOT(ISNUMBER($R345)),$R345=0,NOT(ISNUMBER($K345))),"",$K345*(1-$R345))</f>
        <v/>
      </c>
      <c r="T345" s="45" t="str">
        <f aca="false">IF(ISNUMBER($S345),$S345*$H345,"")</f>
        <v/>
      </c>
      <c r="U345" s="45" t="str">
        <f aca="false">IF(ISNUMBER($S345),$S345*Parâmetros!$B$6,"")</f>
        <v/>
      </c>
      <c r="V345" s="45" t="str">
        <f aca="false">IF(ISNUMBER($S345),$S345*Parâmetros!$C$6,"")</f>
        <v/>
      </c>
      <c r="W345" s="44" t="str">
        <f aca="false">IF(ISNUMBER($S345),$S345-$D345-IF(ISNUMBER($E345),$E345,0)-$O345-$T345-$U345-$V345,"")</f>
        <v/>
      </c>
      <c r="X345" s="46" t="str">
        <f aca="false">IF(AND(ISNUMBER($S345),$S345&gt;0),$W345/$S345,"")</f>
        <v/>
      </c>
      <c r="Y345" s="49"/>
      <c r="Z345" s="21"/>
    </row>
    <row r="346" customFormat="false" ht="15.75" hidden="false" customHeight="true" outlineLevel="0" collapsed="false">
      <c r="A346" s="32" t="str">
        <f aca="false">IF(Produtos!$A346="","",Produtos!$A346)</f>
        <v/>
      </c>
      <c r="B346" s="32" t="str">
        <f aca="false">IF(Produtos!$A346="","",Produtos!$B346)</f>
        <v/>
      </c>
      <c r="C346" s="32" t="str">
        <f aca="false">IF(Produtos!$A346="","",Produtos!$C346)</f>
        <v/>
      </c>
      <c r="D346" s="33" t="str">
        <f aca="false">IF(Produtos!$A346="","",IF(Produtos!$D346="","",Produtos!$D346))</f>
        <v/>
      </c>
      <c r="E346" s="11"/>
      <c r="F346" s="34" t="str">
        <f aca="false">IF($A346="","",IF($C346="","⚠ categoria",IFERROR(INDEX(Parâmetros!$D$13:$D$22,MATCH($C346,Parâmetros!$A$13:$A$22,0)),"⚠ categoria")))</f>
        <v/>
      </c>
      <c r="G346" s="35"/>
      <c r="H346" s="36" t="str">
        <f aca="false">IF($A346="","",IF(ISNUMBER($G346),$G346,IF(ISNUMBER($F346),$F346,"")))</f>
        <v/>
      </c>
      <c r="I346" s="37" t="str">
        <f aca="false">IF(OR($A346="",NOT(ISNUMBER($D346)),NOT(ISNUMBER($H346))),"",IF((1-$H346-Parâmetros!$B$6-Parâmetros!$C$6-Parâmetros!$D$6)&lt;=0,"INVALIDO",($D346+IF(ISNUMBER($E346),$E346,0)+IF(ISNUMBER(Parâmetros!$E$6),Parâmetros!$E$6,0))/(1-$H346-Parâmetros!$B$6-Parâmetros!$C$6-Parâmetros!$D$6)))</f>
        <v/>
      </c>
      <c r="J346" s="38"/>
      <c r="K346" s="39" t="str">
        <f aca="false">IF(OR($A346="",NOT(ISNUMBER($D346)),NOT(ISNUMBER($H346))),"",IF(AND(ISNUMBER($J346),$J346&gt;0),$J346,IF(ISNUMBER($I346),$I346,"")))</f>
        <v/>
      </c>
      <c r="L346" s="40" t="str">
        <f aca="false">IF(ISNUMBER($K346),$K346*$H346,"")</f>
        <v/>
      </c>
      <c r="M346" s="40" t="str">
        <f aca="false">IF(ISNUMBER($K346),$K346*Parâmetros!$B$6,"")</f>
        <v/>
      </c>
      <c r="N346" s="40" t="str">
        <f aca="false">IF(ISNUMBER($K346),$K346*Parâmetros!$C$6,"")</f>
        <v/>
      </c>
      <c r="O346" s="40" t="str">
        <f aca="false">IF(ISNUMBER($K346),IF(ISNUMBER(Parâmetros!$E$6),Parâmetros!$E$6,0),"")</f>
        <v/>
      </c>
      <c r="P346" s="41" t="str">
        <f aca="false">IF(ISNUMBER($K346),$K346-$D346-IF(ISNUMBER($E346),$E346,0)-$L346-$M346-$N346-$O346,"")</f>
        <v/>
      </c>
      <c r="Q346" s="42" t="str">
        <f aca="false">IF(AND(ISNUMBER($K346),$K346&gt;0),$P346/$K346,"")</f>
        <v/>
      </c>
      <c r="R346" s="43"/>
      <c r="S346" s="44" t="str">
        <f aca="false">IF(OR(NOT(ISNUMBER($R346)),$R346=0,NOT(ISNUMBER($K346))),"",$K346*(1-$R346))</f>
        <v/>
      </c>
      <c r="T346" s="45" t="str">
        <f aca="false">IF(ISNUMBER($S346),$S346*$H346,"")</f>
        <v/>
      </c>
      <c r="U346" s="45" t="str">
        <f aca="false">IF(ISNUMBER($S346),$S346*Parâmetros!$B$6,"")</f>
        <v/>
      </c>
      <c r="V346" s="45" t="str">
        <f aca="false">IF(ISNUMBER($S346),$S346*Parâmetros!$C$6,"")</f>
        <v/>
      </c>
      <c r="W346" s="44" t="str">
        <f aca="false">IF(ISNUMBER($S346),$S346-$D346-IF(ISNUMBER($E346),$E346,0)-$O346-$T346-$U346-$V346,"")</f>
        <v/>
      </c>
      <c r="X346" s="46" t="str">
        <f aca="false">IF(AND(ISNUMBER($S346),$S346&gt;0),$W346/$S346,"")</f>
        <v/>
      </c>
      <c r="Y346" s="47"/>
      <c r="Z346" s="19"/>
    </row>
    <row r="347" customFormat="false" ht="15.75" hidden="false" customHeight="true" outlineLevel="0" collapsed="false">
      <c r="A347" s="48" t="str">
        <f aca="false">IF(Produtos!$A347="","",Produtos!$A347)</f>
        <v/>
      </c>
      <c r="B347" s="48" t="str">
        <f aca="false">IF(Produtos!$A347="","",Produtos!$B347)</f>
        <v/>
      </c>
      <c r="C347" s="48" t="str">
        <f aca="false">IF(Produtos!$A347="","",Produtos!$C347)</f>
        <v/>
      </c>
      <c r="D347" s="33" t="str">
        <f aca="false">IF(Produtos!$A347="","",IF(Produtos!$D347="","",Produtos!$D347))</f>
        <v/>
      </c>
      <c r="E347" s="11"/>
      <c r="F347" s="34" t="str">
        <f aca="false">IF($A347="","",IF($C347="","⚠ categoria",IFERROR(INDEX(Parâmetros!$D$13:$D$22,MATCH($C347,Parâmetros!$A$13:$A$22,0)),"⚠ categoria")))</f>
        <v/>
      </c>
      <c r="G347" s="35"/>
      <c r="H347" s="36" t="str">
        <f aca="false">IF($A347="","",IF(ISNUMBER($G347),$G347,IF(ISNUMBER($F347),$F347,"")))</f>
        <v/>
      </c>
      <c r="I347" s="37" t="str">
        <f aca="false">IF(OR($A347="",NOT(ISNUMBER($D347)),NOT(ISNUMBER($H347))),"",IF((1-$H347-Parâmetros!$B$6-Parâmetros!$C$6-Parâmetros!$D$6)&lt;=0,"INVALIDO",($D347+IF(ISNUMBER($E347),$E347,0)+IF(ISNUMBER(Parâmetros!$E$6),Parâmetros!$E$6,0))/(1-$H347-Parâmetros!$B$6-Parâmetros!$C$6-Parâmetros!$D$6)))</f>
        <v/>
      </c>
      <c r="J347" s="38"/>
      <c r="K347" s="39" t="str">
        <f aca="false">IF(OR($A347="",NOT(ISNUMBER($D347)),NOT(ISNUMBER($H347))),"",IF(AND(ISNUMBER($J347),$J347&gt;0),$J347,IF(ISNUMBER($I347),$I347,"")))</f>
        <v/>
      </c>
      <c r="L347" s="40" t="str">
        <f aca="false">IF(ISNUMBER($K347),$K347*$H347,"")</f>
        <v/>
      </c>
      <c r="M347" s="40" t="str">
        <f aca="false">IF(ISNUMBER($K347),$K347*Parâmetros!$B$6,"")</f>
        <v/>
      </c>
      <c r="N347" s="40" t="str">
        <f aca="false">IF(ISNUMBER($K347),$K347*Parâmetros!$C$6,"")</f>
        <v/>
      </c>
      <c r="O347" s="40" t="str">
        <f aca="false">IF(ISNUMBER($K347),IF(ISNUMBER(Parâmetros!$E$6),Parâmetros!$E$6,0),"")</f>
        <v/>
      </c>
      <c r="P347" s="41" t="str">
        <f aca="false">IF(ISNUMBER($K347),$K347-$D347-IF(ISNUMBER($E347),$E347,0)-$L347-$M347-$N347-$O347,"")</f>
        <v/>
      </c>
      <c r="Q347" s="42" t="str">
        <f aca="false">IF(AND(ISNUMBER($K347),$K347&gt;0),$P347/$K347,"")</f>
        <v/>
      </c>
      <c r="R347" s="43"/>
      <c r="S347" s="44" t="str">
        <f aca="false">IF(OR(NOT(ISNUMBER($R347)),$R347=0,NOT(ISNUMBER($K347))),"",$K347*(1-$R347))</f>
        <v/>
      </c>
      <c r="T347" s="45" t="str">
        <f aca="false">IF(ISNUMBER($S347),$S347*$H347,"")</f>
        <v/>
      </c>
      <c r="U347" s="45" t="str">
        <f aca="false">IF(ISNUMBER($S347),$S347*Parâmetros!$B$6,"")</f>
        <v/>
      </c>
      <c r="V347" s="45" t="str">
        <f aca="false">IF(ISNUMBER($S347),$S347*Parâmetros!$C$6,"")</f>
        <v/>
      </c>
      <c r="W347" s="44" t="str">
        <f aca="false">IF(ISNUMBER($S347),$S347-$D347-IF(ISNUMBER($E347),$E347,0)-$O347-$T347-$U347-$V347,"")</f>
        <v/>
      </c>
      <c r="X347" s="46" t="str">
        <f aca="false">IF(AND(ISNUMBER($S347),$S347&gt;0),$W347/$S347,"")</f>
        <v/>
      </c>
      <c r="Y347" s="49"/>
      <c r="Z347" s="21"/>
    </row>
    <row r="348" customFormat="false" ht="15.75" hidden="false" customHeight="true" outlineLevel="0" collapsed="false">
      <c r="A348" s="32" t="str">
        <f aca="false">IF(Produtos!$A348="","",Produtos!$A348)</f>
        <v/>
      </c>
      <c r="B348" s="32" t="str">
        <f aca="false">IF(Produtos!$A348="","",Produtos!$B348)</f>
        <v/>
      </c>
      <c r="C348" s="32" t="str">
        <f aca="false">IF(Produtos!$A348="","",Produtos!$C348)</f>
        <v/>
      </c>
      <c r="D348" s="33" t="str">
        <f aca="false">IF(Produtos!$A348="","",IF(Produtos!$D348="","",Produtos!$D348))</f>
        <v/>
      </c>
      <c r="E348" s="11"/>
      <c r="F348" s="34" t="str">
        <f aca="false">IF($A348="","",IF($C348="","⚠ categoria",IFERROR(INDEX(Parâmetros!$D$13:$D$22,MATCH($C348,Parâmetros!$A$13:$A$22,0)),"⚠ categoria")))</f>
        <v/>
      </c>
      <c r="G348" s="35"/>
      <c r="H348" s="36" t="str">
        <f aca="false">IF($A348="","",IF(ISNUMBER($G348),$G348,IF(ISNUMBER($F348),$F348,"")))</f>
        <v/>
      </c>
      <c r="I348" s="37" t="str">
        <f aca="false">IF(OR($A348="",NOT(ISNUMBER($D348)),NOT(ISNUMBER($H348))),"",IF((1-$H348-Parâmetros!$B$6-Parâmetros!$C$6-Parâmetros!$D$6)&lt;=0,"INVALIDO",($D348+IF(ISNUMBER($E348),$E348,0)+IF(ISNUMBER(Parâmetros!$E$6),Parâmetros!$E$6,0))/(1-$H348-Parâmetros!$B$6-Parâmetros!$C$6-Parâmetros!$D$6)))</f>
        <v/>
      </c>
      <c r="J348" s="38"/>
      <c r="K348" s="39" t="str">
        <f aca="false">IF(OR($A348="",NOT(ISNUMBER($D348)),NOT(ISNUMBER($H348))),"",IF(AND(ISNUMBER($J348),$J348&gt;0),$J348,IF(ISNUMBER($I348),$I348,"")))</f>
        <v/>
      </c>
      <c r="L348" s="40" t="str">
        <f aca="false">IF(ISNUMBER($K348),$K348*$H348,"")</f>
        <v/>
      </c>
      <c r="M348" s="40" t="str">
        <f aca="false">IF(ISNUMBER($K348),$K348*Parâmetros!$B$6,"")</f>
        <v/>
      </c>
      <c r="N348" s="40" t="str">
        <f aca="false">IF(ISNUMBER($K348),$K348*Parâmetros!$C$6,"")</f>
        <v/>
      </c>
      <c r="O348" s="40" t="str">
        <f aca="false">IF(ISNUMBER($K348),IF(ISNUMBER(Parâmetros!$E$6),Parâmetros!$E$6,0),"")</f>
        <v/>
      </c>
      <c r="P348" s="41" t="str">
        <f aca="false">IF(ISNUMBER($K348),$K348-$D348-IF(ISNUMBER($E348),$E348,0)-$L348-$M348-$N348-$O348,"")</f>
        <v/>
      </c>
      <c r="Q348" s="42" t="str">
        <f aca="false">IF(AND(ISNUMBER($K348),$K348&gt;0),$P348/$K348,"")</f>
        <v/>
      </c>
      <c r="R348" s="43"/>
      <c r="S348" s="44" t="str">
        <f aca="false">IF(OR(NOT(ISNUMBER($R348)),$R348=0,NOT(ISNUMBER($K348))),"",$K348*(1-$R348))</f>
        <v/>
      </c>
      <c r="T348" s="45" t="str">
        <f aca="false">IF(ISNUMBER($S348),$S348*$H348,"")</f>
        <v/>
      </c>
      <c r="U348" s="45" t="str">
        <f aca="false">IF(ISNUMBER($S348),$S348*Parâmetros!$B$6,"")</f>
        <v/>
      </c>
      <c r="V348" s="45" t="str">
        <f aca="false">IF(ISNUMBER($S348),$S348*Parâmetros!$C$6,"")</f>
        <v/>
      </c>
      <c r="W348" s="44" t="str">
        <f aca="false">IF(ISNUMBER($S348),$S348-$D348-IF(ISNUMBER($E348),$E348,0)-$O348-$T348-$U348-$V348,"")</f>
        <v/>
      </c>
      <c r="X348" s="46" t="str">
        <f aca="false">IF(AND(ISNUMBER($S348),$S348&gt;0),$W348/$S348,"")</f>
        <v/>
      </c>
      <c r="Y348" s="47"/>
      <c r="Z348" s="19"/>
    </row>
    <row r="349" customFormat="false" ht="15.75" hidden="false" customHeight="true" outlineLevel="0" collapsed="false">
      <c r="A349" s="48" t="str">
        <f aca="false">IF(Produtos!$A349="","",Produtos!$A349)</f>
        <v/>
      </c>
      <c r="B349" s="48" t="str">
        <f aca="false">IF(Produtos!$A349="","",Produtos!$B349)</f>
        <v/>
      </c>
      <c r="C349" s="48" t="str">
        <f aca="false">IF(Produtos!$A349="","",Produtos!$C349)</f>
        <v/>
      </c>
      <c r="D349" s="33" t="str">
        <f aca="false">IF(Produtos!$A349="","",IF(Produtos!$D349="","",Produtos!$D349))</f>
        <v/>
      </c>
      <c r="E349" s="11"/>
      <c r="F349" s="34" t="str">
        <f aca="false">IF($A349="","",IF($C349="","⚠ categoria",IFERROR(INDEX(Parâmetros!$D$13:$D$22,MATCH($C349,Parâmetros!$A$13:$A$22,0)),"⚠ categoria")))</f>
        <v/>
      </c>
      <c r="G349" s="35"/>
      <c r="H349" s="36" t="str">
        <f aca="false">IF($A349="","",IF(ISNUMBER($G349),$G349,IF(ISNUMBER($F349),$F349,"")))</f>
        <v/>
      </c>
      <c r="I349" s="37" t="str">
        <f aca="false">IF(OR($A349="",NOT(ISNUMBER($D349)),NOT(ISNUMBER($H349))),"",IF((1-$H349-Parâmetros!$B$6-Parâmetros!$C$6-Parâmetros!$D$6)&lt;=0,"INVALIDO",($D349+IF(ISNUMBER($E349),$E349,0)+IF(ISNUMBER(Parâmetros!$E$6),Parâmetros!$E$6,0))/(1-$H349-Parâmetros!$B$6-Parâmetros!$C$6-Parâmetros!$D$6)))</f>
        <v/>
      </c>
      <c r="J349" s="38"/>
      <c r="K349" s="39" t="str">
        <f aca="false">IF(OR($A349="",NOT(ISNUMBER($D349)),NOT(ISNUMBER($H349))),"",IF(AND(ISNUMBER($J349),$J349&gt;0),$J349,IF(ISNUMBER($I349),$I349,"")))</f>
        <v/>
      </c>
      <c r="L349" s="40" t="str">
        <f aca="false">IF(ISNUMBER($K349),$K349*$H349,"")</f>
        <v/>
      </c>
      <c r="M349" s="40" t="str">
        <f aca="false">IF(ISNUMBER($K349),$K349*Parâmetros!$B$6,"")</f>
        <v/>
      </c>
      <c r="N349" s="40" t="str">
        <f aca="false">IF(ISNUMBER($K349),$K349*Parâmetros!$C$6,"")</f>
        <v/>
      </c>
      <c r="O349" s="40" t="str">
        <f aca="false">IF(ISNUMBER($K349),IF(ISNUMBER(Parâmetros!$E$6),Parâmetros!$E$6,0),"")</f>
        <v/>
      </c>
      <c r="P349" s="41" t="str">
        <f aca="false">IF(ISNUMBER($K349),$K349-$D349-IF(ISNUMBER($E349),$E349,0)-$L349-$M349-$N349-$O349,"")</f>
        <v/>
      </c>
      <c r="Q349" s="42" t="str">
        <f aca="false">IF(AND(ISNUMBER($K349),$K349&gt;0),$P349/$K349,"")</f>
        <v/>
      </c>
      <c r="R349" s="43"/>
      <c r="S349" s="44" t="str">
        <f aca="false">IF(OR(NOT(ISNUMBER($R349)),$R349=0,NOT(ISNUMBER($K349))),"",$K349*(1-$R349))</f>
        <v/>
      </c>
      <c r="T349" s="45" t="str">
        <f aca="false">IF(ISNUMBER($S349),$S349*$H349,"")</f>
        <v/>
      </c>
      <c r="U349" s="45" t="str">
        <f aca="false">IF(ISNUMBER($S349),$S349*Parâmetros!$B$6,"")</f>
        <v/>
      </c>
      <c r="V349" s="45" t="str">
        <f aca="false">IF(ISNUMBER($S349),$S349*Parâmetros!$C$6,"")</f>
        <v/>
      </c>
      <c r="W349" s="44" t="str">
        <f aca="false">IF(ISNUMBER($S349),$S349-$D349-IF(ISNUMBER($E349),$E349,0)-$O349-$T349-$U349-$V349,"")</f>
        <v/>
      </c>
      <c r="X349" s="46" t="str">
        <f aca="false">IF(AND(ISNUMBER($S349),$S349&gt;0),$W349/$S349,"")</f>
        <v/>
      </c>
      <c r="Y349" s="49"/>
      <c r="Z349" s="21"/>
    </row>
  </sheetData>
  <autoFilter ref="A3:Z349"/>
  <mergeCells count="7">
    <mergeCell ref="A1:Z1"/>
    <mergeCell ref="A2:C2"/>
    <mergeCell ref="D2:E2"/>
    <mergeCell ref="F2:H2"/>
    <mergeCell ref="L2:Q2"/>
    <mergeCell ref="R2:X2"/>
    <mergeCell ref="Y2:Z2"/>
  </mergeCells>
  <conditionalFormatting sqref="P4:P349">
    <cfRule type="expression" priority="2" aboveAverage="0" equalAverage="0" bottom="0" percent="0" rank="0" text="" dxfId="19">
      <formula>AND(ISNUMBER($P4),$P4&lt;0)</formula>
    </cfRule>
  </conditionalFormatting>
  <conditionalFormatting sqref="Q4:Q349">
    <cfRule type="expression" priority="3" aboveAverage="0" equalAverage="0" bottom="0" percent="0" rank="0" text="" dxfId="19">
      <formula>AND(ISNUMBER($Q4),$Q4&lt;0)</formula>
    </cfRule>
    <cfRule type="expression" priority="4" aboveAverage="0" equalAverage="0" bottom="0" percent="0" rank="0" text="" dxfId="20">
      <formula>AND(ISNUMBER($Q4),$Q4&lt;Parâmetros!$D$6)</formula>
    </cfRule>
  </conditionalFormatting>
  <conditionalFormatting sqref="W4:W349">
    <cfRule type="expression" priority="5" aboveAverage="0" equalAverage="0" bottom="0" percent="0" rank="0" text="" dxfId="19">
      <formula>AND(ISNUMBER($W4),$W4&lt;0)</formula>
    </cfRule>
  </conditionalFormatting>
  <conditionalFormatting sqref="X4:X349">
    <cfRule type="expression" priority="6" aboveAverage="0" equalAverage="0" bottom="0" percent="0" rank="0" text="" dxfId="19">
      <formula>AND(ISNUMBER($X4),$X4&lt;0)</formula>
    </cfRule>
    <cfRule type="expression" priority="7" aboveAverage="0" equalAverage="0" bottom="0" percent="0" rank="0" text="" dxfId="20">
      <formula>AND(ISNUMBER($X4),$X4&lt;Parâmetros!$D$6)</formula>
    </cfRule>
  </conditionalFormatting>
  <conditionalFormatting sqref="F4:F349">
    <cfRule type="expression" priority="8" aboveAverage="0" equalAverage="0" bottom="0" percent="0" rank="0" text="" dxfId="19">
      <formula>$F4="⚠ categoria"</formula>
    </cfRule>
  </conditionalFormatting>
  <conditionalFormatting sqref="I4:I349">
    <cfRule type="expression" priority="9" aboveAverage="0" equalAverage="0" bottom="0" percent="0" rank="0" text="" dxfId="19">
      <formula>$I4="INVALIDO"</formula>
    </cfRule>
  </conditionalFormatting>
  <dataValidations count="2">
    <dataValidation allowBlank="true" error="Digite o desconto como fração (0,10 = 10%)." errorStyle="stop" errorTitle="% Desconto" operator="between" showDropDown="false" showErrorMessage="true" showInputMessage="false" sqref="R4:R349" type="decimal">
      <formula1>0</formula1>
      <formula2>1</formula2>
    </dataValidation>
    <dataValidation allowBlank="true" error="Digite a comissão como fração (0,12 = 12%)." errorStyle="stop" errorTitle="Comissão manual" operator="between" showDropDown="false" showErrorMessage="true" showInputMessage="false" sqref="G4:G349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6B3"/>
    <pageSetUpPr fitToPage="false"/>
  </sheetPr>
  <dimension ref="A1:Z34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4"/>
    <col collapsed="false" customWidth="true" hidden="false" outlineLevel="0" max="3" min="3" style="0" width="22"/>
    <col collapsed="false" customWidth="true" hidden="false" outlineLevel="0" max="4" min="4" style="0" width="13"/>
    <col collapsed="false" customWidth="true" hidden="false" outlineLevel="0" max="8" min="5" style="0" width="11"/>
    <col collapsed="false" customWidth="true" hidden="false" outlineLevel="0" max="11" min="9" style="0" width="13"/>
    <col collapsed="false" customWidth="true" hidden="false" outlineLevel="0" max="13" min="12" style="0" width="12"/>
    <col collapsed="false" customWidth="true" hidden="false" outlineLevel="0" max="15" min="14" style="0" width="11"/>
    <col collapsed="false" customWidth="true" hidden="false" outlineLevel="0" max="16" min="16" style="0" width="13"/>
    <col collapsed="false" customWidth="true" hidden="false" outlineLevel="0" max="18" min="17" style="0" width="10"/>
    <col collapsed="false" customWidth="true" hidden="false" outlineLevel="0" max="19" min="19" style="0" width="13"/>
    <col collapsed="false" customWidth="true" hidden="false" outlineLevel="0" max="21" min="20" style="0" width="12"/>
    <col collapsed="false" customWidth="true" hidden="false" outlineLevel="0" max="22" min="22" style="0" width="11"/>
    <col collapsed="false" customWidth="true" hidden="false" outlineLevel="0" max="23" min="23" style="0" width="13"/>
    <col collapsed="false" customWidth="true" hidden="false" outlineLevel="0" max="24" min="24" style="0" width="10"/>
    <col collapsed="false" customWidth="true" hidden="false" outlineLevel="0" max="25" min="25" style="0" width="11"/>
    <col collapsed="false" customWidth="true" hidden="false" outlineLevel="0" max="26" min="26" style="0" width="34"/>
  </cols>
  <sheetData>
    <row r="1" customFormat="false" ht="24" hidden="false" customHeight="true" outlineLevel="0" collapsed="false">
      <c r="A1" s="51" t="str">
        <f aca="false">"VIA / CASAS BAHIA  |  Comissão por categoria (aba Parâmetros) ou manual por linha  |  Imposto "&amp;TEXT(Parâmetros!$B$7,"0%")&amp;"  |  ADS "&amp;TEXT(Parâmetros!$C$7,"0.0%")&amp;"  |  Margem mín. "&amp;TEXT(Parâmetros!$D$7,"0%")&amp;"  |  Custo fixo/un. R$ "&amp;TEXT(Parâmetros!$E$7,"0.00")</f>
        <v>VIA / CASAS BAHIA  |  Comissão por categoria (aba Parâmetros) ou manual por linha  |  Imposto 10%  |  ADS 3.0%  |  Margem mín. 20%  |  Custo fixo/un. R$ 0.00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 customFormat="false" ht="27.75" hidden="false" customHeight="true" outlineLevel="0" collapsed="false">
      <c r="A2" s="23" t="s">
        <v>704</v>
      </c>
      <c r="B2" s="23"/>
      <c r="C2" s="23"/>
      <c r="D2" s="24" t="s">
        <v>705</v>
      </c>
      <c r="E2" s="24"/>
      <c r="F2" s="25" t="s">
        <v>706</v>
      </c>
      <c r="G2" s="25"/>
      <c r="H2" s="25"/>
      <c r="I2" s="26" t="s">
        <v>707</v>
      </c>
      <c r="J2" s="27" t="s">
        <v>708</v>
      </c>
      <c r="K2" s="28" t="s">
        <v>709</v>
      </c>
      <c r="L2" s="29" t="s">
        <v>710</v>
      </c>
      <c r="M2" s="29"/>
      <c r="N2" s="29"/>
      <c r="O2" s="29"/>
      <c r="P2" s="29"/>
      <c r="Q2" s="29"/>
      <c r="R2" s="30" t="s">
        <v>711</v>
      </c>
      <c r="S2" s="30"/>
      <c r="T2" s="30"/>
      <c r="U2" s="30"/>
      <c r="V2" s="30"/>
      <c r="W2" s="30"/>
      <c r="X2" s="30"/>
      <c r="Y2" s="31" t="s">
        <v>712</v>
      </c>
      <c r="Z2" s="31"/>
    </row>
    <row r="3" customFormat="false" ht="39.75" hidden="false" customHeight="true" outlineLevel="0" collapsed="false">
      <c r="A3" s="7" t="s">
        <v>101</v>
      </c>
      <c r="B3" s="7" t="s">
        <v>102</v>
      </c>
      <c r="C3" s="7" t="s">
        <v>82</v>
      </c>
      <c r="D3" s="7" t="s">
        <v>104</v>
      </c>
      <c r="E3" s="7" t="s">
        <v>713</v>
      </c>
      <c r="F3" s="7" t="s">
        <v>714</v>
      </c>
      <c r="G3" s="7" t="s">
        <v>715</v>
      </c>
      <c r="H3" s="7" t="s">
        <v>716</v>
      </c>
      <c r="I3" s="7" t="s">
        <v>717</v>
      </c>
      <c r="J3" s="7" t="s">
        <v>718</v>
      </c>
      <c r="K3" s="7" t="s">
        <v>719</v>
      </c>
      <c r="L3" s="7" t="s">
        <v>720</v>
      </c>
      <c r="M3" s="7" t="s">
        <v>721</v>
      </c>
      <c r="N3" s="7" t="s">
        <v>722</v>
      </c>
      <c r="O3" s="7" t="s">
        <v>723</v>
      </c>
      <c r="P3" s="7" t="s">
        <v>724</v>
      </c>
      <c r="Q3" s="7" t="s">
        <v>725</v>
      </c>
      <c r="R3" s="7" t="s">
        <v>726</v>
      </c>
      <c r="S3" s="7" t="s">
        <v>727</v>
      </c>
      <c r="T3" s="7" t="s">
        <v>728</v>
      </c>
      <c r="U3" s="7" t="s">
        <v>729</v>
      </c>
      <c r="V3" s="7" t="s">
        <v>730</v>
      </c>
      <c r="W3" s="7" t="s">
        <v>731</v>
      </c>
      <c r="X3" s="7" t="s">
        <v>732</v>
      </c>
      <c r="Y3" s="7" t="s">
        <v>733</v>
      </c>
      <c r="Z3" s="7" t="s">
        <v>71</v>
      </c>
    </row>
    <row r="4" customFormat="false" ht="15.75" hidden="false" customHeight="true" outlineLevel="0" collapsed="false">
      <c r="A4" s="32" t="str">
        <f aca="false">IF(Produtos!$A4="","",Produtos!$A4)</f>
        <v>L1618</v>
      </c>
      <c r="B4" s="32" t="str">
        <f aca="false">IF(Produtos!$A4="","",Produtos!$B4)</f>
        <v>Lixeira Aço Inox s/Tampa 16x18 03L</v>
      </c>
      <c r="C4" s="32" t="str">
        <f aca="false">IF(Produtos!$A4="","",Produtos!$C4)</f>
        <v>Lixeiras em inox</v>
      </c>
      <c r="D4" s="33" t="n">
        <f aca="false">IF(Produtos!$A4="","",IF(Produtos!$D4="","",Produtos!$D4))</f>
        <v>39.8</v>
      </c>
      <c r="E4" s="11" t="n">
        <v>0</v>
      </c>
      <c r="F4" s="34" t="n">
        <f aca="false">IF($A4="","",IF($C4="","⚠ categoria",IFERROR(INDEX(Parâmetros!$E$13:$E$22,MATCH($C4,Parâmetros!$A$13:$A$22,0)),"⚠ categoria")))</f>
        <v>0.21</v>
      </c>
      <c r="G4" s="35"/>
      <c r="H4" s="36" t="n">
        <f aca="false">IF($A4="","",IF(ISNUMBER($G4),$G4,IF(ISNUMBER($F4),$F4,"")))</f>
        <v>0.21</v>
      </c>
      <c r="I4" s="37" t="n">
        <f aca="false">IF(OR($A4="",NOT(ISNUMBER($D4)),NOT(ISNUMBER($H4))),"",IF((1-$H4-Parâmetros!$B$7-Parâmetros!$C$7-Parâmetros!$D$7)&lt;=0,"INVALIDO",($D4+IF(ISNUMBER($E4),$E4,0)+IF(ISNUMBER(Parâmetros!$E$7),Parâmetros!$E$7,0))/(1-$H4-Parâmetros!$B$7-Parâmetros!$C$7-Parâmetros!$D$7)))</f>
        <v>86.5217391304348</v>
      </c>
      <c r="J4" s="38"/>
      <c r="K4" s="39" t="n">
        <f aca="false">IF(OR($A4="",NOT(ISNUMBER($D4)),NOT(ISNUMBER($H4))),"",IF(AND(ISNUMBER($J4),$J4&gt;0),$J4,IF(ISNUMBER($I4),$I4,"")))</f>
        <v>86.5217391304348</v>
      </c>
      <c r="L4" s="40" t="n">
        <f aca="false">IF(ISNUMBER($K4),$K4*$H4,"")</f>
        <v>18.1695652173913</v>
      </c>
      <c r="M4" s="40" t="n">
        <f aca="false">IF(ISNUMBER($K4),$K4*Parâmetros!$B$7,"")</f>
        <v>8.65217391304348</v>
      </c>
      <c r="N4" s="40" t="n">
        <f aca="false">IF(ISNUMBER($K4),$K4*Parâmetros!$C$7,"")</f>
        <v>2.59565217391304</v>
      </c>
      <c r="O4" s="40" t="n">
        <f aca="false">IF(ISNUMBER($K4),IF(ISNUMBER(Parâmetros!$E$7),Parâmetros!$E$7,0),"")</f>
        <v>0</v>
      </c>
      <c r="P4" s="41" t="n">
        <f aca="false">IF(ISNUMBER($K4),$K4-$D4-IF(ISNUMBER($E4),$E4,0)-$L4-$M4-$N4-$O4,"")</f>
        <v>17.304347826087</v>
      </c>
      <c r="Q4" s="42" t="n">
        <f aca="false">IF(AND(ISNUMBER($K4),$K4&gt;0),$P4/$K4,"")</f>
        <v>0.2</v>
      </c>
      <c r="R4" s="43"/>
      <c r="S4" s="44" t="str">
        <f aca="false">IF(OR(NOT(ISNUMBER($R4)),$R4=0,NOT(ISNUMBER($K4))),"",$K4*(1-$R4))</f>
        <v/>
      </c>
      <c r="T4" s="45" t="str">
        <f aca="false">IF(ISNUMBER($S4),$S4*$H4,"")</f>
        <v/>
      </c>
      <c r="U4" s="45" t="str">
        <f aca="false">IF(ISNUMBER($S4),$S4*Parâmetros!$B$7,"")</f>
        <v/>
      </c>
      <c r="V4" s="45" t="str">
        <f aca="false">IF(ISNUMBER($S4),$S4*Parâmetros!$C$7,"")</f>
        <v/>
      </c>
      <c r="W4" s="44" t="str">
        <f aca="false">IF(ISNUMBER($S4),$S4-$D4-IF(ISNUMBER($E4),$E4,0)-$O4-$T4-$U4-$V4,"")</f>
        <v/>
      </c>
      <c r="X4" s="46" t="str">
        <f aca="false">IF(AND(ISNUMBER($S4),$S4&gt;0),$W4/$S4,"")</f>
        <v/>
      </c>
      <c r="Y4" s="47"/>
      <c r="Z4" s="19"/>
    </row>
    <row r="5" customFormat="false" ht="15.75" hidden="false" customHeight="true" outlineLevel="0" collapsed="false">
      <c r="A5" s="48" t="str">
        <f aca="false">IF(Produtos!$A5="","",Produtos!$A5)</f>
        <v>L1623</v>
      </c>
      <c r="B5" s="48" t="str">
        <f aca="false">IF(Produtos!$A5="","",Produtos!$B5)</f>
        <v>Lixeira Aço Inox s/Tampa 16x23 05L</v>
      </c>
      <c r="C5" s="48" t="str">
        <f aca="false">IF(Produtos!$A5="","",Produtos!$C5)</f>
        <v>Lixeiras em inox</v>
      </c>
      <c r="D5" s="33" t="n">
        <f aca="false">IF(Produtos!$A5="","",IF(Produtos!$D5="","",Produtos!$D5))</f>
        <v>49.15</v>
      </c>
      <c r="E5" s="11" t="n">
        <v>0</v>
      </c>
      <c r="F5" s="34" t="n">
        <f aca="false">IF($A5="","",IF($C5="","⚠ categoria",IFERROR(INDEX(Parâmetros!$E$13:$E$22,MATCH($C5,Parâmetros!$A$13:$A$22,0)),"⚠ categoria")))</f>
        <v>0.21</v>
      </c>
      <c r="G5" s="35"/>
      <c r="H5" s="36" t="n">
        <f aca="false">IF($A5="","",IF(ISNUMBER($G5),$G5,IF(ISNUMBER($F5),$F5,"")))</f>
        <v>0.21</v>
      </c>
      <c r="I5" s="37" t="n">
        <f aca="false">IF(OR($A5="",NOT(ISNUMBER($D5)),NOT(ISNUMBER($H5))),"",IF((1-$H5-Parâmetros!$B$7-Parâmetros!$C$7-Parâmetros!$D$7)&lt;=0,"INVALIDO",($D5+IF(ISNUMBER($E5),$E5,0)+IF(ISNUMBER(Parâmetros!$E$7),Parâmetros!$E$7,0))/(1-$H5-Parâmetros!$B$7-Parâmetros!$C$7-Parâmetros!$D$7)))</f>
        <v>106.847826086957</v>
      </c>
      <c r="J5" s="38"/>
      <c r="K5" s="39" t="n">
        <f aca="false">IF(OR($A5="",NOT(ISNUMBER($D5)),NOT(ISNUMBER($H5))),"",IF(AND(ISNUMBER($J5),$J5&gt;0),$J5,IF(ISNUMBER($I5),$I5,"")))</f>
        <v>106.847826086957</v>
      </c>
      <c r="L5" s="40" t="n">
        <f aca="false">IF(ISNUMBER($K5),$K5*$H5,"")</f>
        <v>22.4380434782609</v>
      </c>
      <c r="M5" s="40" t="n">
        <f aca="false">IF(ISNUMBER($K5),$K5*Parâmetros!$B$7,"")</f>
        <v>10.6847826086957</v>
      </c>
      <c r="N5" s="40" t="n">
        <f aca="false">IF(ISNUMBER($K5),$K5*Parâmetros!$C$7,"")</f>
        <v>3.2054347826087</v>
      </c>
      <c r="O5" s="40" t="n">
        <f aca="false">IF(ISNUMBER($K5),IF(ISNUMBER(Parâmetros!$E$7),Parâmetros!$E$7,0),"")</f>
        <v>0</v>
      </c>
      <c r="P5" s="41" t="n">
        <f aca="false">IF(ISNUMBER($K5),$K5-$D5-IF(ISNUMBER($E5),$E5,0)-$L5-$M5-$N5-$O5,"")</f>
        <v>21.3695652173913</v>
      </c>
      <c r="Q5" s="42" t="n">
        <f aca="false">IF(AND(ISNUMBER($K5),$K5&gt;0),$P5/$K5,"")</f>
        <v>0.2</v>
      </c>
      <c r="R5" s="43"/>
      <c r="S5" s="44" t="str">
        <f aca="false">IF(OR(NOT(ISNUMBER($R5)),$R5=0,NOT(ISNUMBER($K5))),"",$K5*(1-$R5))</f>
        <v/>
      </c>
      <c r="T5" s="45" t="str">
        <f aca="false">IF(ISNUMBER($S5),$S5*$H5,"")</f>
        <v/>
      </c>
      <c r="U5" s="45" t="str">
        <f aca="false">IF(ISNUMBER($S5),$S5*Parâmetros!$B$7,"")</f>
        <v/>
      </c>
      <c r="V5" s="45" t="str">
        <f aca="false">IF(ISNUMBER($S5),$S5*Parâmetros!$C$7,"")</f>
        <v/>
      </c>
      <c r="W5" s="44" t="str">
        <f aca="false">IF(ISNUMBER($S5),$S5-$D5-IF(ISNUMBER($E5),$E5,0)-$O5-$T5-$U5-$V5,"")</f>
        <v/>
      </c>
      <c r="X5" s="46" t="str">
        <f aca="false">IF(AND(ISNUMBER($S5),$S5&gt;0),$W5/$S5,"")</f>
        <v/>
      </c>
      <c r="Y5" s="49"/>
      <c r="Z5" s="21"/>
    </row>
    <row r="6" customFormat="false" ht="15.75" hidden="false" customHeight="true" outlineLevel="0" collapsed="false">
      <c r="A6" s="32" t="str">
        <f aca="false">IF(Produtos!$A6="","",Produtos!$A6)</f>
        <v>L2025</v>
      </c>
      <c r="B6" s="32" t="str">
        <f aca="false">IF(Produtos!$A6="","",Produtos!$B6)</f>
        <v>Lixeira Aço Inox s/Tampa 20x25 07L</v>
      </c>
      <c r="C6" s="32" t="str">
        <f aca="false">IF(Produtos!$A6="","",Produtos!$C6)</f>
        <v>Lixeiras em inox</v>
      </c>
      <c r="D6" s="33" t="n">
        <f aca="false">IF(Produtos!$A6="","",IF(Produtos!$D6="","",Produtos!$D6))</f>
        <v>51.82</v>
      </c>
      <c r="E6" s="11" t="n">
        <v>0</v>
      </c>
      <c r="F6" s="34" t="n">
        <f aca="false">IF($A6="","",IF($C6="","⚠ categoria",IFERROR(INDEX(Parâmetros!$E$13:$E$22,MATCH($C6,Parâmetros!$A$13:$A$22,0)),"⚠ categoria")))</f>
        <v>0.21</v>
      </c>
      <c r="G6" s="35"/>
      <c r="H6" s="36" t="n">
        <f aca="false">IF($A6="","",IF(ISNUMBER($G6),$G6,IF(ISNUMBER($F6),$F6,"")))</f>
        <v>0.21</v>
      </c>
      <c r="I6" s="37" t="n">
        <f aca="false">IF(OR($A6="",NOT(ISNUMBER($D6)),NOT(ISNUMBER($H6))),"",IF((1-$H6-Parâmetros!$B$7-Parâmetros!$C$7-Parâmetros!$D$7)&lt;=0,"INVALIDO",($D6+IF(ISNUMBER($E6),$E6,0)+IF(ISNUMBER(Parâmetros!$E$7),Parâmetros!$E$7,0))/(1-$H6-Parâmetros!$B$7-Parâmetros!$C$7-Parâmetros!$D$7)))</f>
        <v>112.652173913043</v>
      </c>
      <c r="J6" s="38"/>
      <c r="K6" s="39" t="n">
        <f aca="false">IF(OR($A6="",NOT(ISNUMBER($D6)),NOT(ISNUMBER($H6))),"",IF(AND(ISNUMBER($J6),$J6&gt;0),$J6,IF(ISNUMBER($I6),$I6,"")))</f>
        <v>112.652173913043</v>
      </c>
      <c r="L6" s="40" t="n">
        <f aca="false">IF(ISNUMBER($K6),$K6*$H6,"")</f>
        <v>23.6569565217391</v>
      </c>
      <c r="M6" s="40" t="n">
        <f aca="false">IF(ISNUMBER($K6),$K6*Parâmetros!$B$7,"")</f>
        <v>11.2652173913043</v>
      </c>
      <c r="N6" s="40" t="n">
        <f aca="false">IF(ISNUMBER($K6),$K6*Parâmetros!$C$7,"")</f>
        <v>3.3795652173913</v>
      </c>
      <c r="O6" s="40" t="n">
        <f aca="false">IF(ISNUMBER($K6),IF(ISNUMBER(Parâmetros!$E$7),Parâmetros!$E$7,0),"")</f>
        <v>0</v>
      </c>
      <c r="P6" s="41" t="n">
        <f aca="false">IF(ISNUMBER($K6),$K6-$D6-IF(ISNUMBER($E6),$E6,0)-$L6-$M6-$N6-$O6,"")</f>
        <v>22.5304347826087</v>
      </c>
      <c r="Q6" s="42" t="n">
        <f aca="false">IF(AND(ISNUMBER($K6),$K6&gt;0),$P6/$K6,"")</f>
        <v>0.2</v>
      </c>
      <c r="R6" s="43"/>
      <c r="S6" s="44" t="str">
        <f aca="false">IF(OR(NOT(ISNUMBER($R6)),$R6=0,NOT(ISNUMBER($K6))),"",$K6*(1-$R6))</f>
        <v/>
      </c>
      <c r="T6" s="45" t="str">
        <f aca="false">IF(ISNUMBER($S6),$S6*$H6,"")</f>
        <v/>
      </c>
      <c r="U6" s="45" t="str">
        <f aca="false">IF(ISNUMBER($S6),$S6*Parâmetros!$B$7,"")</f>
        <v/>
      </c>
      <c r="V6" s="45" t="str">
        <f aca="false">IF(ISNUMBER($S6),$S6*Parâmetros!$C$7,"")</f>
        <v/>
      </c>
      <c r="W6" s="44" t="str">
        <f aca="false">IF(ISNUMBER($S6),$S6-$D6-IF(ISNUMBER($E6),$E6,0)-$O6-$T6-$U6-$V6,"")</f>
        <v/>
      </c>
      <c r="X6" s="46" t="str">
        <f aca="false">IF(AND(ISNUMBER($S6),$S6&gt;0),$W6/$S6,"")</f>
        <v/>
      </c>
      <c r="Y6" s="47"/>
      <c r="Z6" s="19"/>
    </row>
    <row r="7" customFormat="false" ht="15.75" hidden="false" customHeight="true" outlineLevel="0" collapsed="false">
      <c r="A7" s="48" t="str">
        <f aca="false">IF(Produtos!$A7="","",Produtos!$A7)</f>
        <v>L2030</v>
      </c>
      <c r="B7" s="48" t="str">
        <f aca="false">IF(Produtos!$A7="","",Produtos!$B7)</f>
        <v>Lixeira Aço Inox s/Tampa 20x30 10L</v>
      </c>
      <c r="C7" s="48" t="str">
        <f aca="false">IF(Produtos!$A7="","",Produtos!$C7)</f>
        <v>Lixeiras em inox</v>
      </c>
      <c r="D7" s="33" t="n">
        <f aca="false">IF(Produtos!$A7="","",IF(Produtos!$D7="","",Produtos!$D7))</f>
        <v>55.49</v>
      </c>
      <c r="E7" s="11" t="n">
        <v>0</v>
      </c>
      <c r="F7" s="34" t="n">
        <f aca="false">IF($A7="","",IF($C7="","⚠ categoria",IFERROR(INDEX(Parâmetros!$E$13:$E$22,MATCH($C7,Parâmetros!$A$13:$A$22,0)),"⚠ categoria")))</f>
        <v>0.21</v>
      </c>
      <c r="G7" s="35"/>
      <c r="H7" s="36" t="n">
        <f aca="false">IF($A7="","",IF(ISNUMBER($G7),$G7,IF(ISNUMBER($F7),$F7,"")))</f>
        <v>0.21</v>
      </c>
      <c r="I7" s="37" t="n">
        <f aca="false">IF(OR($A7="",NOT(ISNUMBER($D7)),NOT(ISNUMBER($H7))),"",IF((1-$H7-Parâmetros!$B$7-Parâmetros!$C$7-Parâmetros!$D$7)&lt;=0,"INVALIDO",($D7+IF(ISNUMBER($E7),$E7,0)+IF(ISNUMBER(Parâmetros!$E$7),Parâmetros!$E$7,0))/(1-$H7-Parâmetros!$B$7-Parâmetros!$C$7-Parâmetros!$D$7)))</f>
        <v>120.630434782609</v>
      </c>
      <c r="J7" s="38"/>
      <c r="K7" s="39" t="n">
        <f aca="false">IF(OR($A7="",NOT(ISNUMBER($D7)),NOT(ISNUMBER($H7))),"",IF(AND(ISNUMBER($J7),$J7&gt;0),$J7,IF(ISNUMBER($I7),$I7,"")))</f>
        <v>120.630434782609</v>
      </c>
      <c r="L7" s="40" t="n">
        <f aca="false">IF(ISNUMBER($K7),$K7*$H7,"")</f>
        <v>25.3323913043478</v>
      </c>
      <c r="M7" s="40" t="n">
        <f aca="false">IF(ISNUMBER($K7),$K7*Parâmetros!$B$7,"")</f>
        <v>12.0630434782609</v>
      </c>
      <c r="N7" s="40" t="n">
        <f aca="false">IF(ISNUMBER($K7),$K7*Parâmetros!$C$7,"")</f>
        <v>3.61891304347826</v>
      </c>
      <c r="O7" s="40" t="n">
        <f aca="false">IF(ISNUMBER($K7),IF(ISNUMBER(Parâmetros!$E$7),Parâmetros!$E$7,0),"")</f>
        <v>0</v>
      </c>
      <c r="P7" s="41" t="n">
        <f aca="false">IF(ISNUMBER($K7),$K7-$D7-IF(ISNUMBER($E7),$E7,0)-$L7-$M7-$N7-$O7,"")</f>
        <v>24.1260869565217</v>
      </c>
      <c r="Q7" s="42" t="n">
        <f aca="false">IF(AND(ISNUMBER($K7),$K7&gt;0),$P7/$K7,"")</f>
        <v>0.2</v>
      </c>
      <c r="R7" s="43"/>
      <c r="S7" s="44" t="str">
        <f aca="false">IF(OR(NOT(ISNUMBER($R7)),$R7=0,NOT(ISNUMBER($K7))),"",$K7*(1-$R7))</f>
        <v/>
      </c>
      <c r="T7" s="45" t="str">
        <f aca="false">IF(ISNUMBER($S7),$S7*$H7,"")</f>
        <v/>
      </c>
      <c r="U7" s="45" t="str">
        <f aca="false">IF(ISNUMBER($S7),$S7*Parâmetros!$B$7,"")</f>
        <v/>
      </c>
      <c r="V7" s="45" t="str">
        <f aca="false">IF(ISNUMBER($S7),$S7*Parâmetros!$C$7,"")</f>
        <v/>
      </c>
      <c r="W7" s="44" t="str">
        <f aca="false">IF(ISNUMBER($S7),$S7-$D7-IF(ISNUMBER($E7),$E7,0)-$O7-$T7-$U7-$V7,"")</f>
        <v/>
      </c>
      <c r="X7" s="46" t="str">
        <f aca="false">IF(AND(ISNUMBER($S7),$S7&gt;0),$W7/$S7,"")</f>
        <v/>
      </c>
      <c r="Y7" s="49"/>
      <c r="Z7" s="21"/>
    </row>
    <row r="8" customFormat="false" ht="15.75" hidden="false" customHeight="true" outlineLevel="0" collapsed="false">
      <c r="A8" s="32" t="str">
        <f aca="false">IF(Produtos!$A8="","",Produtos!$A8)</f>
        <v>L2425</v>
      </c>
      <c r="B8" s="32" t="str">
        <f aca="false">IF(Produtos!$A8="","",Produtos!$B8)</f>
        <v>Lixeira Aço Inox s/Tampa 24x25 13L</v>
      </c>
      <c r="C8" s="32" t="str">
        <f aca="false">IF(Produtos!$A8="","",Produtos!$C8)</f>
        <v>Lixeiras em inox</v>
      </c>
      <c r="D8" s="33" t="n">
        <f aca="false">IF(Produtos!$A8="","",IF(Produtos!$D8="","",Produtos!$D8))</f>
        <v>62.2</v>
      </c>
      <c r="E8" s="11" t="n">
        <v>0</v>
      </c>
      <c r="F8" s="34" t="n">
        <f aca="false">IF($A8="","",IF($C8="","⚠ categoria",IFERROR(INDEX(Parâmetros!$E$13:$E$22,MATCH($C8,Parâmetros!$A$13:$A$22,0)),"⚠ categoria")))</f>
        <v>0.21</v>
      </c>
      <c r="G8" s="35"/>
      <c r="H8" s="36" t="n">
        <f aca="false">IF($A8="","",IF(ISNUMBER($G8),$G8,IF(ISNUMBER($F8),$F8,"")))</f>
        <v>0.21</v>
      </c>
      <c r="I8" s="37" t="n">
        <f aca="false">IF(OR($A8="",NOT(ISNUMBER($D8)),NOT(ISNUMBER($H8))),"",IF((1-$H8-Parâmetros!$B$7-Parâmetros!$C$7-Parâmetros!$D$7)&lt;=0,"INVALIDO",($D8+IF(ISNUMBER($E8),$E8,0)+IF(ISNUMBER(Parâmetros!$E$7),Parâmetros!$E$7,0))/(1-$H8-Parâmetros!$B$7-Parâmetros!$C$7-Parâmetros!$D$7)))</f>
        <v>135.217391304348</v>
      </c>
      <c r="J8" s="38"/>
      <c r="K8" s="39" t="n">
        <f aca="false">IF(OR($A8="",NOT(ISNUMBER($D8)),NOT(ISNUMBER($H8))),"",IF(AND(ISNUMBER($J8),$J8&gt;0),$J8,IF(ISNUMBER($I8),$I8,"")))</f>
        <v>135.217391304348</v>
      </c>
      <c r="L8" s="40" t="n">
        <f aca="false">IF(ISNUMBER($K8),$K8*$H8,"")</f>
        <v>28.395652173913</v>
      </c>
      <c r="M8" s="40" t="n">
        <f aca="false">IF(ISNUMBER($K8),$K8*Parâmetros!$B$7,"")</f>
        <v>13.5217391304348</v>
      </c>
      <c r="N8" s="40" t="n">
        <f aca="false">IF(ISNUMBER($K8),$K8*Parâmetros!$C$7,"")</f>
        <v>4.05652173913043</v>
      </c>
      <c r="O8" s="40" t="n">
        <f aca="false">IF(ISNUMBER($K8),IF(ISNUMBER(Parâmetros!$E$7),Parâmetros!$E$7,0),"")</f>
        <v>0</v>
      </c>
      <c r="P8" s="41" t="n">
        <f aca="false">IF(ISNUMBER($K8),$K8-$D8-IF(ISNUMBER($E8),$E8,0)-$L8-$M8-$N8-$O8,"")</f>
        <v>27.0434782608696</v>
      </c>
      <c r="Q8" s="42" t="n">
        <f aca="false">IF(AND(ISNUMBER($K8),$K8&gt;0),$P8/$K8,"")</f>
        <v>0.2</v>
      </c>
      <c r="R8" s="43"/>
      <c r="S8" s="44" t="str">
        <f aca="false">IF(OR(NOT(ISNUMBER($R8)),$R8=0,NOT(ISNUMBER($K8))),"",$K8*(1-$R8))</f>
        <v/>
      </c>
      <c r="T8" s="45" t="str">
        <f aca="false">IF(ISNUMBER($S8),$S8*$H8,"")</f>
        <v/>
      </c>
      <c r="U8" s="45" t="str">
        <f aca="false">IF(ISNUMBER($S8),$S8*Parâmetros!$B$7,"")</f>
        <v/>
      </c>
      <c r="V8" s="45" t="str">
        <f aca="false">IF(ISNUMBER($S8),$S8*Parâmetros!$C$7,"")</f>
        <v/>
      </c>
      <c r="W8" s="44" t="str">
        <f aca="false">IF(ISNUMBER($S8),$S8-$D8-IF(ISNUMBER($E8),$E8,0)-$O8-$T8-$U8-$V8,"")</f>
        <v/>
      </c>
      <c r="X8" s="46" t="str">
        <f aca="false">IF(AND(ISNUMBER($S8),$S8&gt;0),$W8/$S8,"")</f>
        <v/>
      </c>
      <c r="Y8" s="47"/>
      <c r="Z8" s="19"/>
    </row>
    <row r="9" customFormat="false" ht="15.75" hidden="false" customHeight="true" outlineLevel="0" collapsed="false">
      <c r="A9" s="48" t="str">
        <f aca="false">IF(Produtos!$A9="","",Produtos!$A9)</f>
        <v>L2430</v>
      </c>
      <c r="B9" s="48" t="str">
        <f aca="false">IF(Produtos!$A9="","",Produtos!$B9)</f>
        <v>Lixeira Aço Inox s/Tampa 24x30 15L</v>
      </c>
      <c r="C9" s="48" t="str">
        <f aca="false">IF(Produtos!$A9="","",Produtos!$C9)</f>
        <v>Lixeiras em inox</v>
      </c>
      <c r="D9" s="33" t="n">
        <f aca="false">IF(Produtos!$A9="","",IF(Produtos!$D9="","",Produtos!$D9))</f>
        <v>69.93</v>
      </c>
      <c r="E9" s="11" t="n">
        <v>0</v>
      </c>
      <c r="F9" s="34" t="n">
        <f aca="false">IF($A9="","",IF($C9="","⚠ categoria",IFERROR(INDEX(Parâmetros!$E$13:$E$22,MATCH($C9,Parâmetros!$A$13:$A$22,0)),"⚠ categoria")))</f>
        <v>0.21</v>
      </c>
      <c r="G9" s="35"/>
      <c r="H9" s="36" t="n">
        <f aca="false">IF($A9="","",IF(ISNUMBER($G9),$G9,IF(ISNUMBER($F9),$F9,"")))</f>
        <v>0.21</v>
      </c>
      <c r="I9" s="37" t="n">
        <f aca="false">IF(OR($A9="",NOT(ISNUMBER($D9)),NOT(ISNUMBER($H9))),"",IF((1-$H9-Parâmetros!$B$7-Parâmetros!$C$7-Parâmetros!$D$7)&lt;=0,"INVALIDO",($D9+IF(ISNUMBER($E9),$E9,0)+IF(ISNUMBER(Parâmetros!$E$7),Parâmetros!$E$7,0))/(1-$H9-Parâmetros!$B$7-Parâmetros!$C$7-Parâmetros!$D$7)))</f>
        <v>152.021739130435</v>
      </c>
      <c r="J9" s="38"/>
      <c r="K9" s="39" t="n">
        <f aca="false">IF(OR($A9="",NOT(ISNUMBER($D9)),NOT(ISNUMBER($H9))),"",IF(AND(ISNUMBER($J9),$J9&gt;0),$J9,IF(ISNUMBER($I9),$I9,"")))</f>
        <v>152.021739130435</v>
      </c>
      <c r="L9" s="40" t="n">
        <f aca="false">IF(ISNUMBER($K9),$K9*$H9,"")</f>
        <v>31.9245652173913</v>
      </c>
      <c r="M9" s="40" t="n">
        <f aca="false">IF(ISNUMBER($K9),$K9*Parâmetros!$B$7,"")</f>
        <v>15.2021739130435</v>
      </c>
      <c r="N9" s="40" t="n">
        <f aca="false">IF(ISNUMBER($K9),$K9*Parâmetros!$C$7,"")</f>
        <v>4.56065217391304</v>
      </c>
      <c r="O9" s="40" t="n">
        <f aca="false">IF(ISNUMBER($K9),IF(ISNUMBER(Parâmetros!$E$7),Parâmetros!$E$7,0),"")</f>
        <v>0</v>
      </c>
      <c r="P9" s="41" t="n">
        <f aca="false">IF(ISNUMBER($K9),$K9-$D9-IF(ISNUMBER($E9),$E9,0)-$L9-$M9-$N9-$O9,"")</f>
        <v>30.4043478260869</v>
      </c>
      <c r="Q9" s="42" t="n">
        <f aca="false">IF(AND(ISNUMBER($K9),$K9&gt;0),$P9/$K9,"")</f>
        <v>0.2</v>
      </c>
      <c r="R9" s="43"/>
      <c r="S9" s="44" t="str">
        <f aca="false">IF(OR(NOT(ISNUMBER($R9)),$R9=0,NOT(ISNUMBER($K9))),"",$K9*(1-$R9))</f>
        <v/>
      </c>
      <c r="T9" s="45" t="str">
        <f aca="false">IF(ISNUMBER($S9),$S9*$H9,"")</f>
        <v/>
      </c>
      <c r="U9" s="45" t="str">
        <f aca="false">IF(ISNUMBER($S9),$S9*Parâmetros!$B$7,"")</f>
        <v/>
      </c>
      <c r="V9" s="45" t="str">
        <f aca="false">IF(ISNUMBER($S9),$S9*Parâmetros!$C$7,"")</f>
        <v/>
      </c>
      <c r="W9" s="44" t="str">
        <f aca="false">IF(ISNUMBER($S9),$S9-$D9-IF(ISNUMBER($E9),$E9,0)-$O9-$T9-$U9-$V9,"")</f>
        <v/>
      </c>
      <c r="X9" s="46" t="str">
        <f aca="false">IF(AND(ISNUMBER($S9),$S9&gt;0),$W9/$S9,"")</f>
        <v/>
      </c>
      <c r="Y9" s="49"/>
      <c r="Z9" s="21"/>
    </row>
    <row r="10" customFormat="false" ht="15.75" hidden="false" customHeight="true" outlineLevel="0" collapsed="false">
      <c r="A10" s="32" t="str">
        <f aca="false">IF(Produtos!$A10="","",Produtos!$A10)</f>
        <v>L2440</v>
      </c>
      <c r="B10" s="32" t="str">
        <f aca="false">IF(Produtos!$A10="","",Produtos!$B10)</f>
        <v>Lixeira Aço Inox s/Tampa 24x40 20L</v>
      </c>
      <c r="C10" s="32" t="str">
        <f aca="false">IF(Produtos!$A10="","",Produtos!$C10)</f>
        <v>Lixeiras em inox</v>
      </c>
      <c r="D10" s="33" t="n">
        <f aca="false">IF(Produtos!$A10="","",IF(Produtos!$D10="","",Produtos!$D10))</f>
        <v>85.92</v>
      </c>
      <c r="E10" s="11" t="n">
        <v>0</v>
      </c>
      <c r="F10" s="34" t="n">
        <f aca="false">IF($A10="","",IF($C10="","⚠ categoria",IFERROR(INDEX(Parâmetros!$E$13:$E$22,MATCH($C10,Parâmetros!$A$13:$A$22,0)),"⚠ categoria")))</f>
        <v>0.21</v>
      </c>
      <c r="G10" s="35"/>
      <c r="H10" s="36" t="n">
        <f aca="false">IF($A10="","",IF(ISNUMBER($G10),$G10,IF(ISNUMBER($F10),$F10,"")))</f>
        <v>0.21</v>
      </c>
      <c r="I10" s="37" t="n">
        <f aca="false">IF(OR($A10="",NOT(ISNUMBER($D10)),NOT(ISNUMBER($H10))),"",IF((1-$H10-Parâmetros!$B$7-Parâmetros!$C$7-Parâmetros!$D$7)&lt;=0,"INVALIDO",($D10+IF(ISNUMBER($E10),$E10,0)+IF(ISNUMBER(Parâmetros!$E$7),Parâmetros!$E$7,0))/(1-$H10-Parâmetros!$B$7-Parâmetros!$C$7-Parâmetros!$D$7)))</f>
        <v>186.782608695652</v>
      </c>
      <c r="J10" s="38"/>
      <c r="K10" s="39" t="n">
        <f aca="false">IF(OR($A10="",NOT(ISNUMBER($D10)),NOT(ISNUMBER($H10))),"",IF(AND(ISNUMBER($J10),$J10&gt;0),$J10,IF(ISNUMBER($I10),$I10,"")))</f>
        <v>186.782608695652</v>
      </c>
      <c r="L10" s="40" t="n">
        <f aca="false">IF(ISNUMBER($K10),$K10*$H10,"")</f>
        <v>39.224347826087</v>
      </c>
      <c r="M10" s="40" t="n">
        <f aca="false">IF(ISNUMBER($K10),$K10*Parâmetros!$B$7,"")</f>
        <v>18.6782608695652</v>
      </c>
      <c r="N10" s="40" t="n">
        <f aca="false">IF(ISNUMBER($K10),$K10*Parâmetros!$C$7,"")</f>
        <v>5.60347826086956</v>
      </c>
      <c r="O10" s="40" t="n">
        <f aca="false">IF(ISNUMBER($K10),IF(ISNUMBER(Parâmetros!$E$7),Parâmetros!$E$7,0),"")</f>
        <v>0</v>
      </c>
      <c r="P10" s="41" t="n">
        <f aca="false">IF(ISNUMBER($K10),$K10-$D10-IF(ISNUMBER($E10),$E10,0)-$L10-$M10-$N10-$O10,"")</f>
        <v>37.3565217391304</v>
      </c>
      <c r="Q10" s="42" t="n">
        <f aca="false">IF(AND(ISNUMBER($K10),$K10&gt;0),$P10/$K10,"")</f>
        <v>0.2</v>
      </c>
      <c r="R10" s="43"/>
      <c r="S10" s="44" t="str">
        <f aca="false">IF(OR(NOT(ISNUMBER($R10)),$R10=0,NOT(ISNUMBER($K10))),"",$K10*(1-$R10))</f>
        <v/>
      </c>
      <c r="T10" s="45" t="str">
        <f aca="false">IF(ISNUMBER($S10),$S10*$H10,"")</f>
        <v/>
      </c>
      <c r="U10" s="45" t="str">
        <f aca="false">IF(ISNUMBER($S10),$S10*Parâmetros!$B$7,"")</f>
        <v/>
      </c>
      <c r="V10" s="45" t="str">
        <f aca="false">IF(ISNUMBER($S10),$S10*Parâmetros!$C$7,"")</f>
        <v/>
      </c>
      <c r="W10" s="44" t="str">
        <f aca="false">IF(ISNUMBER($S10),$S10-$D10-IF(ISNUMBER($E10),$E10,0)-$O10-$T10-$U10-$V10,"")</f>
        <v/>
      </c>
      <c r="X10" s="46" t="str">
        <f aca="false">IF(AND(ISNUMBER($S10),$S10&gt;0),$W10/$S10,"")</f>
        <v/>
      </c>
      <c r="Y10" s="47"/>
      <c r="Z10" s="19"/>
    </row>
    <row r="11" customFormat="false" ht="15.75" hidden="false" customHeight="true" outlineLevel="0" collapsed="false">
      <c r="A11" s="48" t="str">
        <f aca="false">IF(Produtos!$A11="","",Produtos!$A11)</f>
        <v>L2450</v>
      </c>
      <c r="B11" s="48" t="str">
        <f aca="false">IF(Produtos!$A11="","",Produtos!$B11)</f>
        <v>Lixeira Aço Inox s/Tampa 24x50 25L</v>
      </c>
      <c r="C11" s="48" t="str">
        <f aca="false">IF(Produtos!$A11="","",Produtos!$C11)</f>
        <v>Lixeiras em inox</v>
      </c>
      <c r="D11" s="33" t="n">
        <f aca="false">IF(Produtos!$A11="","",IF(Produtos!$D11="","",Produtos!$D11))</f>
        <v>116.34</v>
      </c>
      <c r="E11" s="11" t="n">
        <v>0</v>
      </c>
      <c r="F11" s="34" t="n">
        <f aca="false">IF($A11="","",IF($C11="","⚠ categoria",IFERROR(INDEX(Parâmetros!$E$13:$E$22,MATCH($C11,Parâmetros!$A$13:$A$22,0)),"⚠ categoria")))</f>
        <v>0.21</v>
      </c>
      <c r="G11" s="35"/>
      <c r="H11" s="36" t="n">
        <f aca="false">IF($A11="","",IF(ISNUMBER($G11),$G11,IF(ISNUMBER($F11),$F11,"")))</f>
        <v>0.21</v>
      </c>
      <c r="I11" s="37" t="n">
        <f aca="false">IF(OR($A11="",NOT(ISNUMBER($D11)),NOT(ISNUMBER($H11))),"",IF((1-$H11-Parâmetros!$B$7-Parâmetros!$C$7-Parâmetros!$D$7)&lt;=0,"INVALIDO",($D11+IF(ISNUMBER($E11),$E11,0)+IF(ISNUMBER(Parâmetros!$E$7),Parâmetros!$E$7,0))/(1-$H11-Parâmetros!$B$7-Parâmetros!$C$7-Parâmetros!$D$7)))</f>
        <v>252.913043478261</v>
      </c>
      <c r="J11" s="38"/>
      <c r="K11" s="39" t="n">
        <f aca="false">IF(OR($A11="",NOT(ISNUMBER($D11)),NOT(ISNUMBER($H11))),"",IF(AND(ISNUMBER($J11),$J11&gt;0),$J11,IF(ISNUMBER($I11),$I11,"")))</f>
        <v>252.913043478261</v>
      </c>
      <c r="L11" s="40" t="n">
        <f aca="false">IF(ISNUMBER($K11),$K11*$H11,"")</f>
        <v>53.1117391304348</v>
      </c>
      <c r="M11" s="40" t="n">
        <f aca="false">IF(ISNUMBER($K11),$K11*Parâmetros!$B$7,"")</f>
        <v>25.2913043478261</v>
      </c>
      <c r="N11" s="40" t="n">
        <f aca="false">IF(ISNUMBER($K11),$K11*Parâmetros!$C$7,"")</f>
        <v>7.58739130434783</v>
      </c>
      <c r="O11" s="40" t="n">
        <f aca="false">IF(ISNUMBER($K11),IF(ISNUMBER(Parâmetros!$E$7),Parâmetros!$E$7,0),"")</f>
        <v>0</v>
      </c>
      <c r="P11" s="41" t="n">
        <f aca="false">IF(ISNUMBER($K11),$K11-$D11-IF(ISNUMBER($E11),$E11,0)-$L11-$M11-$N11-$O11,"")</f>
        <v>50.5826086956522</v>
      </c>
      <c r="Q11" s="42" t="n">
        <f aca="false">IF(AND(ISNUMBER($K11),$K11&gt;0),$P11/$K11,"")</f>
        <v>0.2</v>
      </c>
      <c r="R11" s="43"/>
      <c r="S11" s="44" t="str">
        <f aca="false">IF(OR(NOT(ISNUMBER($R11)),$R11=0,NOT(ISNUMBER($K11))),"",$K11*(1-$R11))</f>
        <v/>
      </c>
      <c r="T11" s="45" t="str">
        <f aca="false">IF(ISNUMBER($S11),$S11*$H11,"")</f>
        <v/>
      </c>
      <c r="U11" s="45" t="str">
        <f aca="false">IF(ISNUMBER($S11),$S11*Parâmetros!$B$7,"")</f>
        <v/>
      </c>
      <c r="V11" s="45" t="str">
        <f aca="false">IF(ISNUMBER($S11),$S11*Parâmetros!$C$7,"")</f>
        <v/>
      </c>
      <c r="W11" s="44" t="str">
        <f aca="false">IF(ISNUMBER($S11),$S11-$D11-IF(ISNUMBER($E11),$E11,0)-$O11-$T11-$U11-$V11,"")</f>
        <v/>
      </c>
      <c r="X11" s="46" t="str">
        <f aca="false">IF(AND(ISNUMBER($S11),$S11&gt;0),$W11/$S11,"")</f>
        <v/>
      </c>
      <c r="Y11" s="49"/>
      <c r="Z11" s="21"/>
    </row>
    <row r="12" customFormat="false" ht="15.75" hidden="false" customHeight="true" outlineLevel="0" collapsed="false">
      <c r="A12" s="32" t="str">
        <f aca="false">IF(Produtos!$A12="","",Produtos!$A12)</f>
        <v>L2460</v>
      </c>
      <c r="B12" s="32" t="str">
        <f aca="false">IF(Produtos!$A12="","",Produtos!$B12)</f>
        <v>Lixeira Aço Inox s/Tampa 24x60 27L</v>
      </c>
      <c r="C12" s="32" t="str">
        <f aca="false">IF(Produtos!$A12="","",Produtos!$C12)</f>
        <v>Lixeiras em inox</v>
      </c>
      <c r="D12" s="33" t="n">
        <f aca="false">IF(Produtos!$A12="","",IF(Produtos!$D12="","",Produtos!$D12))</f>
        <v>117.84</v>
      </c>
      <c r="E12" s="11" t="n">
        <v>0</v>
      </c>
      <c r="F12" s="34" t="n">
        <f aca="false">IF($A12="","",IF($C12="","⚠ categoria",IFERROR(INDEX(Parâmetros!$E$13:$E$22,MATCH($C12,Parâmetros!$A$13:$A$22,0)),"⚠ categoria")))</f>
        <v>0.21</v>
      </c>
      <c r="G12" s="35"/>
      <c r="H12" s="36" t="n">
        <f aca="false">IF($A12="","",IF(ISNUMBER($G12),$G12,IF(ISNUMBER($F12),$F12,"")))</f>
        <v>0.21</v>
      </c>
      <c r="I12" s="37" t="n">
        <f aca="false">IF(OR($A12="",NOT(ISNUMBER($D12)),NOT(ISNUMBER($H12))),"",IF((1-$H12-Parâmetros!$B$7-Parâmetros!$C$7-Parâmetros!$D$7)&lt;=0,"INVALIDO",($D12+IF(ISNUMBER($E12),$E12,0)+IF(ISNUMBER(Parâmetros!$E$7),Parâmetros!$E$7,0))/(1-$H12-Parâmetros!$B$7-Parâmetros!$C$7-Parâmetros!$D$7)))</f>
        <v>256.173913043478</v>
      </c>
      <c r="J12" s="38"/>
      <c r="K12" s="39" t="n">
        <f aca="false">IF(OR($A12="",NOT(ISNUMBER($D12)),NOT(ISNUMBER($H12))),"",IF(AND(ISNUMBER($J12),$J12&gt;0),$J12,IF(ISNUMBER($I12),$I12,"")))</f>
        <v>256.173913043478</v>
      </c>
      <c r="L12" s="40" t="n">
        <f aca="false">IF(ISNUMBER($K12),$K12*$H12,"")</f>
        <v>53.7965217391304</v>
      </c>
      <c r="M12" s="40" t="n">
        <f aca="false">IF(ISNUMBER($K12),$K12*Parâmetros!$B$7,"")</f>
        <v>25.6173913043478</v>
      </c>
      <c r="N12" s="40" t="n">
        <f aca="false">IF(ISNUMBER($K12),$K12*Parâmetros!$C$7,"")</f>
        <v>7.68521739130435</v>
      </c>
      <c r="O12" s="40" t="n">
        <f aca="false">IF(ISNUMBER($K12),IF(ISNUMBER(Parâmetros!$E$7),Parâmetros!$E$7,0),"")</f>
        <v>0</v>
      </c>
      <c r="P12" s="41" t="n">
        <f aca="false">IF(ISNUMBER($K12),$K12-$D12-IF(ISNUMBER($E12),$E12,0)-$L12-$M12-$N12-$O12,"")</f>
        <v>51.2347826086956</v>
      </c>
      <c r="Q12" s="42" t="n">
        <f aca="false">IF(AND(ISNUMBER($K12),$K12&gt;0),$P12/$K12,"")</f>
        <v>0.2</v>
      </c>
      <c r="R12" s="43"/>
      <c r="S12" s="44" t="str">
        <f aca="false">IF(OR(NOT(ISNUMBER($R12)),$R12=0,NOT(ISNUMBER($K12))),"",$K12*(1-$R12))</f>
        <v/>
      </c>
      <c r="T12" s="45" t="str">
        <f aca="false">IF(ISNUMBER($S12),$S12*$H12,"")</f>
        <v/>
      </c>
      <c r="U12" s="45" t="str">
        <f aca="false">IF(ISNUMBER($S12),$S12*Parâmetros!$B$7,"")</f>
        <v/>
      </c>
      <c r="V12" s="45" t="str">
        <f aca="false">IF(ISNUMBER($S12),$S12*Parâmetros!$C$7,"")</f>
        <v/>
      </c>
      <c r="W12" s="44" t="str">
        <f aca="false">IF(ISNUMBER($S12),$S12-$D12-IF(ISNUMBER($E12),$E12,0)-$O12-$T12-$U12-$V12,"")</f>
        <v/>
      </c>
      <c r="X12" s="46" t="str">
        <f aca="false">IF(AND(ISNUMBER($S12),$S12&gt;0),$W12/$S12,"")</f>
        <v/>
      </c>
      <c r="Y12" s="47"/>
      <c r="Z12" s="19"/>
    </row>
    <row r="13" customFormat="false" ht="15.75" hidden="false" customHeight="true" outlineLevel="0" collapsed="false">
      <c r="A13" s="48" t="str">
        <f aca="false">IF(Produtos!$A13="","",Produtos!$A13)</f>
        <v>L2470</v>
      </c>
      <c r="B13" s="48" t="str">
        <f aca="false">IF(Produtos!$A13="","",Produtos!$B13)</f>
        <v>Lixeira Aço Inox s/Tampa 24x70 30L</v>
      </c>
      <c r="C13" s="48" t="str">
        <f aca="false">IF(Produtos!$A13="","",Produtos!$C13)</f>
        <v>Lixeiras em inox</v>
      </c>
      <c r="D13" s="33" t="n">
        <f aca="false">IF(Produtos!$A13="","",IF(Produtos!$D13="","",Produtos!$D13))</f>
        <v>186.46</v>
      </c>
      <c r="E13" s="11" t="n">
        <v>0</v>
      </c>
      <c r="F13" s="34" t="n">
        <f aca="false">IF($A13="","",IF($C13="","⚠ categoria",IFERROR(INDEX(Parâmetros!$E$13:$E$22,MATCH($C13,Parâmetros!$A$13:$A$22,0)),"⚠ categoria")))</f>
        <v>0.21</v>
      </c>
      <c r="G13" s="35"/>
      <c r="H13" s="36" t="n">
        <f aca="false">IF($A13="","",IF(ISNUMBER($G13),$G13,IF(ISNUMBER($F13),$F13,"")))</f>
        <v>0.21</v>
      </c>
      <c r="I13" s="37" t="n">
        <f aca="false">IF(OR($A13="",NOT(ISNUMBER($D13)),NOT(ISNUMBER($H13))),"",IF((1-$H13-Parâmetros!$B$7-Parâmetros!$C$7-Parâmetros!$D$7)&lt;=0,"INVALIDO",($D13+IF(ISNUMBER($E13),$E13,0)+IF(ISNUMBER(Parâmetros!$E$7),Parâmetros!$E$7,0))/(1-$H13-Parâmetros!$B$7-Parâmetros!$C$7-Parâmetros!$D$7)))</f>
        <v>405.347826086957</v>
      </c>
      <c r="J13" s="38"/>
      <c r="K13" s="39" t="n">
        <f aca="false">IF(OR($A13="",NOT(ISNUMBER($D13)),NOT(ISNUMBER($H13))),"",IF(AND(ISNUMBER($J13),$J13&gt;0),$J13,IF(ISNUMBER($I13),$I13,"")))</f>
        <v>405.347826086957</v>
      </c>
      <c r="L13" s="40" t="n">
        <f aca="false">IF(ISNUMBER($K13),$K13*$H13,"")</f>
        <v>85.1230434782609</v>
      </c>
      <c r="M13" s="40" t="n">
        <f aca="false">IF(ISNUMBER($K13),$K13*Parâmetros!$B$7,"")</f>
        <v>40.5347826086957</v>
      </c>
      <c r="N13" s="40" t="n">
        <f aca="false">IF(ISNUMBER($K13),$K13*Parâmetros!$C$7,"")</f>
        <v>12.1604347826087</v>
      </c>
      <c r="O13" s="40" t="n">
        <f aca="false">IF(ISNUMBER($K13),IF(ISNUMBER(Parâmetros!$E$7),Parâmetros!$E$7,0),"")</f>
        <v>0</v>
      </c>
      <c r="P13" s="41" t="n">
        <f aca="false">IF(ISNUMBER($K13),$K13-$D13-IF(ISNUMBER($E13),$E13,0)-$L13-$M13-$N13-$O13,"")</f>
        <v>81.0695652173913</v>
      </c>
      <c r="Q13" s="42" t="n">
        <f aca="false">IF(AND(ISNUMBER($K13),$K13&gt;0),$P13/$K13,"")</f>
        <v>0.2</v>
      </c>
      <c r="R13" s="43"/>
      <c r="S13" s="44" t="str">
        <f aca="false">IF(OR(NOT(ISNUMBER($R13)),$R13=0,NOT(ISNUMBER($K13))),"",$K13*(1-$R13))</f>
        <v/>
      </c>
      <c r="T13" s="45" t="str">
        <f aca="false">IF(ISNUMBER($S13),$S13*$H13,"")</f>
        <v/>
      </c>
      <c r="U13" s="45" t="str">
        <f aca="false">IF(ISNUMBER($S13),$S13*Parâmetros!$B$7,"")</f>
        <v/>
      </c>
      <c r="V13" s="45" t="str">
        <f aca="false">IF(ISNUMBER($S13),$S13*Parâmetros!$C$7,"")</f>
        <v/>
      </c>
      <c r="W13" s="44" t="str">
        <f aca="false">IF(ISNUMBER($S13),$S13-$D13-IF(ISNUMBER($E13),$E13,0)-$O13-$T13-$U13-$V13,"")</f>
        <v/>
      </c>
      <c r="X13" s="46" t="str">
        <f aca="false">IF(AND(ISNUMBER($S13),$S13&gt;0),$W13/$S13,"")</f>
        <v/>
      </c>
      <c r="Y13" s="49"/>
      <c r="Z13" s="21"/>
    </row>
    <row r="14" customFormat="false" ht="15.75" hidden="false" customHeight="true" outlineLevel="0" collapsed="false">
      <c r="A14" s="32" t="str">
        <f aca="false">IF(Produtos!$A14="","",Produtos!$A14)</f>
        <v>L3040</v>
      </c>
      <c r="B14" s="32" t="str">
        <f aca="false">IF(Produtos!$A14="","",Produtos!$B14)</f>
        <v>Lixeira Aço Inox s/Tampa 30x40 30L</v>
      </c>
      <c r="C14" s="32" t="str">
        <f aca="false">IF(Produtos!$A14="","",Produtos!$C14)</f>
        <v>Lixeiras em inox</v>
      </c>
      <c r="D14" s="33" t="n">
        <f aca="false">IF(Produtos!$A14="","",IF(Produtos!$D14="","",Produtos!$D14))</f>
        <v>116.77</v>
      </c>
      <c r="E14" s="11" t="n">
        <v>0</v>
      </c>
      <c r="F14" s="34" t="n">
        <f aca="false">IF($A14="","",IF($C14="","⚠ categoria",IFERROR(INDEX(Parâmetros!$E$13:$E$22,MATCH($C14,Parâmetros!$A$13:$A$22,0)),"⚠ categoria")))</f>
        <v>0.21</v>
      </c>
      <c r="G14" s="35"/>
      <c r="H14" s="36" t="n">
        <f aca="false">IF($A14="","",IF(ISNUMBER($G14),$G14,IF(ISNUMBER($F14),$F14,"")))</f>
        <v>0.21</v>
      </c>
      <c r="I14" s="37" t="n">
        <f aca="false">IF(OR($A14="",NOT(ISNUMBER($D14)),NOT(ISNUMBER($H14))),"",IF((1-$H14-Parâmetros!$B$7-Parâmetros!$C$7-Parâmetros!$D$7)&lt;=0,"INVALIDO",($D14+IF(ISNUMBER($E14),$E14,0)+IF(ISNUMBER(Parâmetros!$E$7),Parâmetros!$E$7,0))/(1-$H14-Parâmetros!$B$7-Parâmetros!$C$7-Parâmetros!$D$7)))</f>
        <v>253.847826086957</v>
      </c>
      <c r="J14" s="38"/>
      <c r="K14" s="39" t="n">
        <f aca="false">IF(OR($A14="",NOT(ISNUMBER($D14)),NOT(ISNUMBER($H14))),"",IF(AND(ISNUMBER($J14),$J14&gt;0),$J14,IF(ISNUMBER($I14),$I14,"")))</f>
        <v>253.847826086957</v>
      </c>
      <c r="L14" s="40" t="n">
        <f aca="false">IF(ISNUMBER($K14),$K14*$H14,"")</f>
        <v>53.3080434782609</v>
      </c>
      <c r="M14" s="40" t="n">
        <f aca="false">IF(ISNUMBER($K14),$K14*Parâmetros!$B$7,"")</f>
        <v>25.3847826086957</v>
      </c>
      <c r="N14" s="40" t="n">
        <f aca="false">IF(ISNUMBER($K14),$K14*Parâmetros!$C$7,"")</f>
        <v>7.6154347826087</v>
      </c>
      <c r="O14" s="40" t="n">
        <f aca="false">IF(ISNUMBER($K14),IF(ISNUMBER(Parâmetros!$E$7),Parâmetros!$E$7,0),"")</f>
        <v>0</v>
      </c>
      <c r="P14" s="41" t="n">
        <f aca="false">IF(ISNUMBER($K14),$K14-$D14-IF(ISNUMBER($E14),$E14,0)-$L14-$M14-$N14-$O14,"")</f>
        <v>50.7695652173913</v>
      </c>
      <c r="Q14" s="42" t="n">
        <f aca="false">IF(AND(ISNUMBER($K14),$K14&gt;0),$P14/$K14,"")</f>
        <v>0.2</v>
      </c>
      <c r="R14" s="43"/>
      <c r="S14" s="44" t="str">
        <f aca="false">IF(OR(NOT(ISNUMBER($R14)),$R14=0,NOT(ISNUMBER($K14))),"",$K14*(1-$R14))</f>
        <v/>
      </c>
      <c r="T14" s="45" t="str">
        <f aca="false">IF(ISNUMBER($S14),$S14*$H14,"")</f>
        <v/>
      </c>
      <c r="U14" s="45" t="str">
        <f aca="false">IF(ISNUMBER($S14),$S14*Parâmetros!$B$7,"")</f>
        <v/>
      </c>
      <c r="V14" s="45" t="str">
        <f aca="false">IF(ISNUMBER($S14),$S14*Parâmetros!$C$7,"")</f>
        <v/>
      </c>
      <c r="W14" s="44" t="str">
        <f aca="false">IF(ISNUMBER($S14),$S14-$D14-IF(ISNUMBER($E14),$E14,0)-$O14-$T14-$U14-$V14,"")</f>
        <v/>
      </c>
      <c r="X14" s="46" t="str">
        <f aca="false">IF(AND(ISNUMBER($S14),$S14&gt;0),$W14/$S14,"")</f>
        <v/>
      </c>
      <c r="Y14" s="47"/>
      <c r="Z14" s="19"/>
    </row>
    <row r="15" customFormat="false" ht="15.75" hidden="false" customHeight="true" outlineLevel="0" collapsed="false">
      <c r="A15" s="48" t="str">
        <f aca="false">IF(Produtos!$A15="","",Produtos!$A15)</f>
        <v>L3050</v>
      </c>
      <c r="B15" s="48" t="str">
        <f aca="false">IF(Produtos!$A15="","",Produtos!$B15)</f>
        <v>Lixeira Aço Inox s/Tampa 30x50 35L</v>
      </c>
      <c r="C15" s="48" t="str">
        <f aca="false">IF(Produtos!$A15="","",Produtos!$C15)</f>
        <v>Lixeiras em inox</v>
      </c>
      <c r="D15" s="33" t="n">
        <f aca="false">IF(Produtos!$A15="","",IF(Produtos!$D15="","",Produtos!$D15))</f>
        <v>159.84</v>
      </c>
      <c r="E15" s="11" t="n">
        <v>0</v>
      </c>
      <c r="F15" s="34" t="n">
        <f aca="false">IF($A15="","",IF($C15="","⚠ categoria",IFERROR(INDEX(Parâmetros!$E$13:$E$22,MATCH($C15,Parâmetros!$A$13:$A$22,0)),"⚠ categoria")))</f>
        <v>0.21</v>
      </c>
      <c r="G15" s="35"/>
      <c r="H15" s="36" t="n">
        <f aca="false">IF($A15="","",IF(ISNUMBER($G15),$G15,IF(ISNUMBER($F15),$F15,"")))</f>
        <v>0.21</v>
      </c>
      <c r="I15" s="37" t="n">
        <f aca="false">IF(OR($A15="",NOT(ISNUMBER($D15)),NOT(ISNUMBER($H15))),"",IF((1-$H15-Parâmetros!$B$7-Parâmetros!$C$7-Parâmetros!$D$7)&lt;=0,"INVALIDO",($D15+IF(ISNUMBER($E15),$E15,0)+IF(ISNUMBER(Parâmetros!$E$7),Parâmetros!$E$7,0))/(1-$H15-Parâmetros!$B$7-Parâmetros!$C$7-Parâmetros!$D$7)))</f>
        <v>347.478260869565</v>
      </c>
      <c r="J15" s="38"/>
      <c r="K15" s="39" t="n">
        <f aca="false">IF(OR($A15="",NOT(ISNUMBER($D15)),NOT(ISNUMBER($H15))),"",IF(AND(ISNUMBER($J15),$J15&gt;0),$J15,IF(ISNUMBER($I15),$I15,"")))</f>
        <v>347.478260869565</v>
      </c>
      <c r="L15" s="40" t="n">
        <f aca="false">IF(ISNUMBER($K15),$K15*$H15,"")</f>
        <v>72.9704347826087</v>
      </c>
      <c r="M15" s="40" t="n">
        <f aca="false">IF(ISNUMBER($K15),$K15*Parâmetros!$B$7,"")</f>
        <v>34.7478260869565</v>
      </c>
      <c r="N15" s="40" t="n">
        <f aca="false">IF(ISNUMBER($K15),$K15*Parâmetros!$C$7,"")</f>
        <v>10.424347826087</v>
      </c>
      <c r="O15" s="40" t="n">
        <f aca="false">IF(ISNUMBER($K15),IF(ISNUMBER(Parâmetros!$E$7),Parâmetros!$E$7,0),"")</f>
        <v>0</v>
      </c>
      <c r="P15" s="41" t="n">
        <f aca="false">IF(ISNUMBER($K15),$K15-$D15-IF(ISNUMBER($E15),$E15,0)-$L15-$M15-$N15-$O15,"")</f>
        <v>69.495652173913</v>
      </c>
      <c r="Q15" s="42" t="n">
        <f aca="false">IF(AND(ISNUMBER($K15),$K15&gt;0),$P15/$K15,"")</f>
        <v>0.2</v>
      </c>
      <c r="R15" s="43"/>
      <c r="S15" s="44" t="str">
        <f aca="false">IF(OR(NOT(ISNUMBER($R15)),$R15=0,NOT(ISNUMBER($K15))),"",$K15*(1-$R15))</f>
        <v/>
      </c>
      <c r="T15" s="45" t="str">
        <f aca="false">IF(ISNUMBER($S15),$S15*$H15,"")</f>
        <v/>
      </c>
      <c r="U15" s="45" t="str">
        <f aca="false">IF(ISNUMBER($S15),$S15*Parâmetros!$B$7,"")</f>
        <v/>
      </c>
      <c r="V15" s="45" t="str">
        <f aca="false">IF(ISNUMBER($S15),$S15*Parâmetros!$C$7,"")</f>
        <v/>
      </c>
      <c r="W15" s="44" t="str">
        <f aca="false">IF(ISNUMBER($S15),$S15-$D15-IF(ISNUMBER($E15),$E15,0)-$O15-$T15-$U15-$V15,"")</f>
        <v/>
      </c>
      <c r="X15" s="46" t="str">
        <f aca="false">IF(AND(ISNUMBER($S15),$S15&gt;0),$W15/$S15,"")</f>
        <v/>
      </c>
      <c r="Y15" s="49"/>
      <c r="Z15" s="21"/>
    </row>
    <row r="16" customFormat="false" ht="15.75" hidden="false" customHeight="true" outlineLevel="0" collapsed="false">
      <c r="A16" s="32" t="str">
        <f aca="false">IF(Produtos!$A16="","",Produtos!$A16)</f>
        <v>L3060</v>
      </c>
      <c r="B16" s="32" t="str">
        <f aca="false">IF(Produtos!$A16="","",Produtos!$B16)</f>
        <v>Lixeira Aço Inox s/Tampa 30x60 40L</v>
      </c>
      <c r="C16" s="32" t="str">
        <f aca="false">IF(Produtos!$A16="","",Produtos!$C16)</f>
        <v>Lixeiras em inox</v>
      </c>
      <c r="D16" s="33" t="n">
        <f aca="false">IF(Produtos!$A16="","",IF(Produtos!$D16="","",Produtos!$D16))</f>
        <v>164.99</v>
      </c>
      <c r="E16" s="11" t="n">
        <v>0</v>
      </c>
      <c r="F16" s="34" t="n">
        <f aca="false">IF($A16="","",IF($C16="","⚠ categoria",IFERROR(INDEX(Parâmetros!$E$13:$E$22,MATCH($C16,Parâmetros!$A$13:$A$22,0)),"⚠ categoria")))</f>
        <v>0.21</v>
      </c>
      <c r="G16" s="35"/>
      <c r="H16" s="36" t="n">
        <f aca="false">IF($A16="","",IF(ISNUMBER($G16),$G16,IF(ISNUMBER($F16),$F16,"")))</f>
        <v>0.21</v>
      </c>
      <c r="I16" s="37" t="n">
        <f aca="false">IF(OR($A16="",NOT(ISNUMBER($D16)),NOT(ISNUMBER($H16))),"",IF((1-$H16-Parâmetros!$B$7-Parâmetros!$C$7-Parâmetros!$D$7)&lt;=0,"INVALIDO",($D16+IF(ISNUMBER($E16),$E16,0)+IF(ISNUMBER(Parâmetros!$E$7),Parâmetros!$E$7,0))/(1-$H16-Parâmetros!$B$7-Parâmetros!$C$7-Parâmetros!$D$7)))</f>
        <v>358.673913043478</v>
      </c>
      <c r="J16" s="38"/>
      <c r="K16" s="39" t="n">
        <f aca="false">IF(OR($A16="",NOT(ISNUMBER($D16)),NOT(ISNUMBER($H16))),"",IF(AND(ISNUMBER($J16),$J16&gt;0),$J16,IF(ISNUMBER($I16),$I16,"")))</f>
        <v>358.673913043478</v>
      </c>
      <c r="L16" s="40" t="n">
        <f aca="false">IF(ISNUMBER($K16),$K16*$H16,"")</f>
        <v>75.3215217391304</v>
      </c>
      <c r="M16" s="40" t="n">
        <f aca="false">IF(ISNUMBER($K16),$K16*Parâmetros!$B$7,"")</f>
        <v>35.8673913043478</v>
      </c>
      <c r="N16" s="40" t="n">
        <f aca="false">IF(ISNUMBER($K16),$K16*Parâmetros!$C$7,"")</f>
        <v>10.7602173913043</v>
      </c>
      <c r="O16" s="40" t="n">
        <f aca="false">IF(ISNUMBER($K16),IF(ISNUMBER(Parâmetros!$E$7),Parâmetros!$E$7,0),"")</f>
        <v>0</v>
      </c>
      <c r="P16" s="41" t="n">
        <f aca="false">IF(ISNUMBER($K16),$K16-$D16-IF(ISNUMBER($E16),$E16,0)-$L16-$M16-$N16-$O16,"")</f>
        <v>71.7347826086956</v>
      </c>
      <c r="Q16" s="42" t="n">
        <f aca="false">IF(AND(ISNUMBER($K16),$K16&gt;0),$P16/$K16,"")</f>
        <v>0.2</v>
      </c>
      <c r="R16" s="43"/>
      <c r="S16" s="44" t="str">
        <f aca="false">IF(OR(NOT(ISNUMBER($R16)),$R16=0,NOT(ISNUMBER($K16))),"",$K16*(1-$R16))</f>
        <v/>
      </c>
      <c r="T16" s="45" t="str">
        <f aca="false">IF(ISNUMBER($S16),$S16*$H16,"")</f>
        <v/>
      </c>
      <c r="U16" s="45" t="str">
        <f aca="false">IF(ISNUMBER($S16),$S16*Parâmetros!$B$7,"")</f>
        <v/>
      </c>
      <c r="V16" s="45" t="str">
        <f aca="false">IF(ISNUMBER($S16),$S16*Parâmetros!$C$7,"")</f>
        <v/>
      </c>
      <c r="W16" s="44" t="str">
        <f aca="false">IF(ISNUMBER($S16),$S16-$D16-IF(ISNUMBER($E16),$E16,0)-$O16-$T16-$U16-$V16,"")</f>
        <v/>
      </c>
      <c r="X16" s="46" t="str">
        <f aca="false">IF(AND(ISNUMBER($S16),$S16&gt;0),$W16/$S16,"")</f>
        <v/>
      </c>
      <c r="Y16" s="47"/>
      <c r="Z16" s="19"/>
    </row>
    <row r="17" customFormat="false" ht="15.75" hidden="false" customHeight="true" outlineLevel="0" collapsed="false">
      <c r="A17" s="48" t="str">
        <f aca="false">IF(Produtos!$A17="","",Produtos!$A17)</f>
        <v>L3070</v>
      </c>
      <c r="B17" s="48" t="str">
        <f aca="false">IF(Produtos!$A17="","",Produtos!$B17)</f>
        <v>Lixeira Aço Inox s/Tampa 30x70 50L</v>
      </c>
      <c r="C17" s="48" t="str">
        <f aca="false">IF(Produtos!$A17="","",Produtos!$C17)</f>
        <v>Lixeiras em inox</v>
      </c>
      <c r="D17" s="33" t="n">
        <f aca="false">IF(Produtos!$A17="","",IF(Produtos!$D17="","",Produtos!$D17))</f>
        <v>210.17</v>
      </c>
      <c r="E17" s="11" t="n">
        <v>0</v>
      </c>
      <c r="F17" s="34" t="n">
        <f aca="false">IF($A17="","",IF($C17="","⚠ categoria",IFERROR(INDEX(Parâmetros!$E$13:$E$22,MATCH($C17,Parâmetros!$A$13:$A$22,0)),"⚠ categoria")))</f>
        <v>0.21</v>
      </c>
      <c r="G17" s="35"/>
      <c r="H17" s="36" t="n">
        <f aca="false">IF($A17="","",IF(ISNUMBER($G17),$G17,IF(ISNUMBER($F17),$F17,"")))</f>
        <v>0.21</v>
      </c>
      <c r="I17" s="37" t="n">
        <f aca="false">IF(OR($A17="",NOT(ISNUMBER($D17)),NOT(ISNUMBER($H17))),"",IF((1-$H17-Parâmetros!$B$7-Parâmetros!$C$7-Parâmetros!$D$7)&lt;=0,"INVALIDO",($D17+IF(ISNUMBER($E17),$E17,0)+IF(ISNUMBER(Parâmetros!$E$7),Parâmetros!$E$7,0))/(1-$H17-Parâmetros!$B$7-Parâmetros!$C$7-Parâmetros!$D$7)))</f>
        <v>456.891304347826</v>
      </c>
      <c r="J17" s="38"/>
      <c r="K17" s="39" t="n">
        <f aca="false">IF(OR($A17="",NOT(ISNUMBER($D17)),NOT(ISNUMBER($H17))),"",IF(AND(ISNUMBER($J17),$J17&gt;0),$J17,IF(ISNUMBER($I17),$I17,"")))</f>
        <v>456.891304347826</v>
      </c>
      <c r="L17" s="40" t="n">
        <f aca="false">IF(ISNUMBER($K17),$K17*$H17,"")</f>
        <v>95.9471739130435</v>
      </c>
      <c r="M17" s="40" t="n">
        <f aca="false">IF(ISNUMBER($K17),$K17*Parâmetros!$B$7,"")</f>
        <v>45.6891304347826</v>
      </c>
      <c r="N17" s="40" t="n">
        <f aca="false">IF(ISNUMBER($K17),$K17*Parâmetros!$C$7,"")</f>
        <v>13.7067391304348</v>
      </c>
      <c r="O17" s="40" t="n">
        <f aca="false">IF(ISNUMBER($K17),IF(ISNUMBER(Parâmetros!$E$7),Parâmetros!$E$7,0),"")</f>
        <v>0</v>
      </c>
      <c r="P17" s="41" t="n">
        <f aca="false">IF(ISNUMBER($K17),$K17-$D17-IF(ISNUMBER($E17),$E17,0)-$L17-$M17-$N17-$O17,"")</f>
        <v>91.3782608695652</v>
      </c>
      <c r="Q17" s="42" t="n">
        <f aca="false">IF(AND(ISNUMBER($K17),$K17&gt;0),$P17/$K17,"")</f>
        <v>0.2</v>
      </c>
      <c r="R17" s="43"/>
      <c r="S17" s="44" t="str">
        <f aca="false">IF(OR(NOT(ISNUMBER($R17)),$R17=0,NOT(ISNUMBER($K17))),"",$K17*(1-$R17))</f>
        <v/>
      </c>
      <c r="T17" s="45" t="str">
        <f aca="false">IF(ISNUMBER($S17),$S17*$H17,"")</f>
        <v/>
      </c>
      <c r="U17" s="45" t="str">
        <f aca="false">IF(ISNUMBER($S17),$S17*Parâmetros!$B$7,"")</f>
        <v/>
      </c>
      <c r="V17" s="45" t="str">
        <f aca="false">IF(ISNUMBER($S17),$S17*Parâmetros!$C$7,"")</f>
        <v/>
      </c>
      <c r="W17" s="44" t="str">
        <f aca="false">IF(ISNUMBER($S17),$S17-$D17-IF(ISNUMBER($E17),$E17,0)-$O17-$T17-$U17-$V17,"")</f>
        <v/>
      </c>
      <c r="X17" s="46" t="str">
        <f aca="false">IF(AND(ISNUMBER($S17),$S17&gt;0),$W17/$S17,"")</f>
        <v/>
      </c>
      <c r="Y17" s="49"/>
      <c r="Z17" s="21"/>
    </row>
    <row r="18" customFormat="false" ht="15.75" hidden="false" customHeight="true" outlineLevel="0" collapsed="false">
      <c r="A18" s="32" t="str">
        <f aca="false">IF(Produtos!$A18="","",Produtos!$A18)</f>
        <v>L3085</v>
      </c>
      <c r="B18" s="32" t="str">
        <f aca="false">IF(Produtos!$A18="","",Produtos!$B18)</f>
        <v>Lixeira Aço Inox s/Tampa 30x85 60L</v>
      </c>
      <c r="C18" s="32" t="str">
        <f aca="false">IF(Produtos!$A18="","",Produtos!$C18)</f>
        <v>Lixeiras em inox</v>
      </c>
      <c r="D18" s="33" t="n">
        <f aca="false">IF(Produtos!$A18="","",IF(Produtos!$D18="","",Produtos!$D18))</f>
        <v>266.36</v>
      </c>
      <c r="E18" s="11" t="n">
        <v>0</v>
      </c>
      <c r="F18" s="34" t="n">
        <f aca="false">IF($A18="","",IF($C18="","⚠ categoria",IFERROR(INDEX(Parâmetros!$E$13:$E$22,MATCH($C18,Parâmetros!$A$13:$A$22,0)),"⚠ categoria")))</f>
        <v>0.21</v>
      </c>
      <c r="G18" s="35"/>
      <c r="H18" s="36" t="n">
        <f aca="false">IF($A18="","",IF(ISNUMBER($G18),$G18,IF(ISNUMBER($F18),$F18,"")))</f>
        <v>0.21</v>
      </c>
      <c r="I18" s="37" t="n">
        <f aca="false">IF(OR($A18="",NOT(ISNUMBER($D18)),NOT(ISNUMBER($H18))),"",IF((1-$H18-Parâmetros!$B$7-Parâmetros!$C$7-Parâmetros!$D$7)&lt;=0,"INVALIDO",($D18+IF(ISNUMBER($E18),$E18,0)+IF(ISNUMBER(Parâmetros!$E$7),Parâmetros!$E$7,0))/(1-$H18-Parâmetros!$B$7-Parâmetros!$C$7-Parâmetros!$D$7)))</f>
        <v>579.04347826087</v>
      </c>
      <c r="J18" s="38"/>
      <c r="K18" s="39" t="n">
        <f aca="false">IF(OR($A18="",NOT(ISNUMBER($D18)),NOT(ISNUMBER($H18))),"",IF(AND(ISNUMBER($J18),$J18&gt;0),$J18,IF(ISNUMBER($I18),$I18,"")))</f>
        <v>579.04347826087</v>
      </c>
      <c r="L18" s="40" t="n">
        <f aca="false">IF(ISNUMBER($K18),$K18*$H18,"")</f>
        <v>121.599130434783</v>
      </c>
      <c r="M18" s="40" t="n">
        <f aca="false">IF(ISNUMBER($K18),$K18*Parâmetros!$B$7,"")</f>
        <v>57.904347826087</v>
      </c>
      <c r="N18" s="40" t="n">
        <f aca="false">IF(ISNUMBER($K18),$K18*Parâmetros!$C$7,"")</f>
        <v>17.3713043478261</v>
      </c>
      <c r="O18" s="40" t="n">
        <f aca="false">IF(ISNUMBER($K18),IF(ISNUMBER(Parâmetros!$E$7),Parâmetros!$E$7,0),"")</f>
        <v>0</v>
      </c>
      <c r="P18" s="41" t="n">
        <f aca="false">IF(ISNUMBER($K18),$K18-$D18-IF(ISNUMBER($E18),$E18,0)-$L18-$M18-$N18-$O18,"")</f>
        <v>115.808695652174</v>
      </c>
      <c r="Q18" s="42" t="n">
        <f aca="false">IF(AND(ISNUMBER($K18),$K18&gt;0),$P18/$K18,"")</f>
        <v>0.2</v>
      </c>
      <c r="R18" s="43"/>
      <c r="S18" s="44" t="str">
        <f aca="false">IF(OR(NOT(ISNUMBER($R18)),$R18=0,NOT(ISNUMBER($K18))),"",$K18*(1-$R18))</f>
        <v/>
      </c>
      <c r="T18" s="45" t="str">
        <f aca="false">IF(ISNUMBER($S18),$S18*$H18,"")</f>
        <v/>
      </c>
      <c r="U18" s="45" t="str">
        <f aca="false">IF(ISNUMBER($S18),$S18*Parâmetros!$B$7,"")</f>
        <v/>
      </c>
      <c r="V18" s="45" t="str">
        <f aca="false">IF(ISNUMBER($S18),$S18*Parâmetros!$C$7,"")</f>
        <v/>
      </c>
      <c r="W18" s="44" t="str">
        <f aca="false">IF(ISNUMBER($S18),$S18-$D18-IF(ISNUMBER($E18),$E18,0)-$O18-$T18-$U18-$V18,"")</f>
        <v/>
      </c>
      <c r="X18" s="46" t="str">
        <f aca="false">IF(AND(ISNUMBER($S18),$S18&gt;0),$W18/$S18,"")</f>
        <v/>
      </c>
      <c r="Y18" s="47"/>
      <c r="Z18" s="19"/>
    </row>
    <row r="19" customFormat="false" ht="15.75" hidden="false" customHeight="true" outlineLevel="0" collapsed="false">
      <c r="A19" s="48" t="str">
        <f aca="false">IF(Produtos!$A19="","",Produtos!$A19)</f>
        <v>L4050</v>
      </c>
      <c r="B19" s="48" t="str">
        <f aca="false">IF(Produtos!$A19="","",Produtos!$B19)</f>
        <v>Lixeira Aço Inox s/Tampa 40x50 62L</v>
      </c>
      <c r="C19" s="48" t="str">
        <f aca="false">IF(Produtos!$A19="","",Produtos!$C19)</f>
        <v>Lixeiras em inox</v>
      </c>
      <c r="D19" s="33" t="n">
        <f aca="false">IF(Produtos!$A19="","",IF(Produtos!$D19="","",Produtos!$D19))</f>
        <v>221.01</v>
      </c>
      <c r="E19" s="11" t="n">
        <v>0</v>
      </c>
      <c r="F19" s="34" t="n">
        <f aca="false">IF($A19="","",IF($C19="","⚠ categoria",IFERROR(INDEX(Parâmetros!$E$13:$E$22,MATCH($C19,Parâmetros!$A$13:$A$22,0)),"⚠ categoria")))</f>
        <v>0.21</v>
      </c>
      <c r="G19" s="35"/>
      <c r="H19" s="36" t="n">
        <f aca="false">IF($A19="","",IF(ISNUMBER($G19),$G19,IF(ISNUMBER($F19),$F19,"")))</f>
        <v>0.21</v>
      </c>
      <c r="I19" s="37" t="n">
        <f aca="false">IF(OR($A19="",NOT(ISNUMBER($D19)),NOT(ISNUMBER($H19))),"",IF((1-$H19-Parâmetros!$B$7-Parâmetros!$C$7-Parâmetros!$D$7)&lt;=0,"INVALIDO",($D19+IF(ISNUMBER($E19),$E19,0)+IF(ISNUMBER(Parâmetros!$E$7),Parâmetros!$E$7,0))/(1-$H19-Parâmetros!$B$7-Parâmetros!$C$7-Parâmetros!$D$7)))</f>
        <v>480.45652173913</v>
      </c>
      <c r="J19" s="38"/>
      <c r="K19" s="39" t="n">
        <f aca="false">IF(OR($A19="",NOT(ISNUMBER($D19)),NOT(ISNUMBER($H19))),"",IF(AND(ISNUMBER($J19),$J19&gt;0),$J19,IF(ISNUMBER($I19),$I19,"")))</f>
        <v>480.45652173913</v>
      </c>
      <c r="L19" s="40" t="n">
        <f aca="false">IF(ISNUMBER($K19),$K19*$H19,"")</f>
        <v>100.895869565217</v>
      </c>
      <c r="M19" s="40" t="n">
        <f aca="false">IF(ISNUMBER($K19),$K19*Parâmetros!$B$7,"")</f>
        <v>48.045652173913</v>
      </c>
      <c r="N19" s="40" t="n">
        <f aca="false">IF(ISNUMBER($K19),$K19*Parâmetros!$C$7,"")</f>
        <v>14.4136956521739</v>
      </c>
      <c r="O19" s="40" t="n">
        <f aca="false">IF(ISNUMBER($K19),IF(ISNUMBER(Parâmetros!$E$7),Parâmetros!$E$7,0),"")</f>
        <v>0</v>
      </c>
      <c r="P19" s="41" t="n">
        <f aca="false">IF(ISNUMBER($K19),$K19-$D19-IF(ISNUMBER($E19),$E19,0)-$L19-$M19-$N19-$O19,"")</f>
        <v>96.0913043478261</v>
      </c>
      <c r="Q19" s="42" t="n">
        <f aca="false">IF(AND(ISNUMBER($K19),$K19&gt;0),$P19/$K19,"")</f>
        <v>0.2</v>
      </c>
      <c r="R19" s="43"/>
      <c r="S19" s="44" t="str">
        <f aca="false">IF(OR(NOT(ISNUMBER($R19)),$R19=0,NOT(ISNUMBER($K19))),"",$K19*(1-$R19))</f>
        <v/>
      </c>
      <c r="T19" s="45" t="str">
        <f aca="false">IF(ISNUMBER($S19),$S19*$H19,"")</f>
        <v/>
      </c>
      <c r="U19" s="45" t="str">
        <f aca="false">IF(ISNUMBER($S19),$S19*Parâmetros!$B$7,"")</f>
        <v/>
      </c>
      <c r="V19" s="45" t="str">
        <f aca="false">IF(ISNUMBER($S19),$S19*Parâmetros!$C$7,"")</f>
        <v/>
      </c>
      <c r="W19" s="44" t="str">
        <f aca="false">IF(ISNUMBER($S19),$S19-$D19-IF(ISNUMBER($E19),$E19,0)-$O19-$T19-$U19-$V19,"")</f>
        <v/>
      </c>
      <c r="X19" s="46" t="str">
        <f aca="false">IF(AND(ISNUMBER($S19),$S19&gt;0),$W19/$S19,"")</f>
        <v/>
      </c>
      <c r="Y19" s="49"/>
      <c r="Z19" s="21"/>
    </row>
    <row r="20" customFormat="false" ht="15.75" hidden="false" customHeight="true" outlineLevel="0" collapsed="false">
      <c r="A20" s="32" t="str">
        <f aca="false">IF(Produtos!$A20="","",Produtos!$A20)</f>
        <v>L4060</v>
      </c>
      <c r="B20" s="32" t="str">
        <f aca="false">IF(Produtos!$A20="","",Produtos!$B20)</f>
        <v>Lixeira Aço Inox s/Tampa 40x60 75L</v>
      </c>
      <c r="C20" s="32" t="str">
        <f aca="false">IF(Produtos!$A20="","",Produtos!$C20)</f>
        <v>Lixeiras em inox</v>
      </c>
      <c r="D20" s="33" t="n">
        <f aca="false">IF(Produtos!$A20="","",IF(Produtos!$D20="","",Produtos!$D20))</f>
        <v>257.51</v>
      </c>
      <c r="E20" s="11" t="n">
        <v>0</v>
      </c>
      <c r="F20" s="34" t="n">
        <f aca="false">IF($A20="","",IF($C20="","⚠ categoria",IFERROR(INDEX(Parâmetros!$E$13:$E$22,MATCH($C20,Parâmetros!$A$13:$A$22,0)),"⚠ categoria")))</f>
        <v>0.21</v>
      </c>
      <c r="G20" s="35"/>
      <c r="H20" s="36" t="n">
        <f aca="false">IF($A20="","",IF(ISNUMBER($G20),$G20,IF(ISNUMBER($F20),$F20,"")))</f>
        <v>0.21</v>
      </c>
      <c r="I20" s="37" t="n">
        <f aca="false">IF(OR($A20="",NOT(ISNUMBER($D20)),NOT(ISNUMBER($H20))),"",IF((1-$H20-Parâmetros!$B$7-Parâmetros!$C$7-Parâmetros!$D$7)&lt;=0,"INVALIDO",($D20+IF(ISNUMBER($E20),$E20,0)+IF(ISNUMBER(Parâmetros!$E$7),Parâmetros!$E$7,0))/(1-$H20-Parâmetros!$B$7-Parâmetros!$C$7-Parâmetros!$D$7)))</f>
        <v>559.804347826087</v>
      </c>
      <c r="J20" s="38"/>
      <c r="K20" s="39" t="n">
        <f aca="false">IF(OR($A20="",NOT(ISNUMBER($D20)),NOT(ISNUMBER($H20))),"",IF(AND(ISNUMBER($J20),$J20&gt;0),$J20,IF(ISNUMBER($I20),$I20,"")))</f>
        <v>559.804347826087</v>
      </c>
      <c r="L20" s="40" t="n">
        <f aca="false">IF(ISNUMBER($K20),$K20*$H20,"")</f>
        <v>117.558913043478</v>
      </c>
      <c r="M20" s="40" t="n">
        <f aca="false">IF(ISNUMBER($K20),$K20*Parâmetros!$B$7,"")</f>
        <v>55.9804347826087</v>
      </c>
      <c r="N20" s="40" t="n">
        <f aca="false">IF(ISNUMBER($K20),$K20*Parâmetros!$C$7,"")</f>
        <v>16.7941304347826</v>
      </c>
      <c r="O20" s="40" t="n">
        <f aca="false">IF(ISNUMBER($K20),IF(ISNUMBER(Parâmetros!$E$7),Parâmetros!$E$7,0),"")</f>
        <v>0</v>
      </c>
      <c r="P20" s="41" t="n">
        <f aca="false">IF(ISNUMBER($K20),$K20-$D20-IF(ISNUMBER($E20),$E20,0)-$L20-$M20-$N20-$O20,"")</f>
        <v>111.960869565217</v>
      </c>
      <c r="Q20" s="42" t="n">
        <f aca="false">IF(AND(ISNUMBER($K20),$K20&gt;0),$P20/$K20,"")</f>
        <v>0.2</v>
      </c>
      <c r="R20" s="43"/>
      <c r="S20" s="44" t="str">
        <f aca="false">IF(OR(NOT(ISNUMBER($R20)),$R20=0,NOT(ISNUMBER($K20))),"",$K20*(1-$R20))</f>
        <v/>
      </c>
      <c r="T20" s="45" t="str">
        <f aca="false">IF(ISNUMBER($S20),$S20*$H20,"")</f>
        <v/>
      </c>
      <c r="U20" s="45" t="str">
        <f aca="false">IF(ISNUMBER($S20),$S20*Parâmetros!$B$7,"")</f>
        <v/>
      </c>
      <c r="V20" s="45" t="str">
        <f aca="false">IF(ISNUMBER($S20),$S20*Parâmetros!$C$7,"")</f>
        <v/>
      </c>
      <c r="W20" s="44" t="str">
        <f aca="false">IF(ISNUMBER($S20),$S20-$D20-IF(ISNUMBER($E20),$E20,0)-$O20-$T20-$U20-$V20,"")</f>
        <v/>
      </c>
      <c r="X20" s="46" t="str">
        <f aca="false">IF(AND(ISNUMBER($S20),$S20&gt;0),$W20/$S20,"")</f>
        <v/>
      </c>
      <c r="Y20" s="47"/>
      <c r="Z20" s="19"/>
    </row>
    <row r="21" customFormat="false" ht="15.75" hidden="false" customHeight="true" outlineLevel="0" collapsed="false">
      <c r="A21" s="48" t="str">
        <f aca="false">IF(Produtos!$A21="","",Produtos!$A21)</f>
        <v>L4070</v>
      </c>
      <c r="B21" s="48" t="str">
        <f aca="false">IF(Produtos!$A21="","",Produtos!$B21)</f>
        <v>Lixeira Aço Inox s/Tampa 40x70 88L</v>
      </c>
      <c r="C21" s="48" t="str">
        <f aca="false">IF(Produtos!$A21="","",Produtos!$C21)</f>
        <v>Lixeiras em inox</v>
      </c>
      <c r="D21" s="33" t="n">
        <f aca="false">IF(Produtos!$A21="","",IF(Produtos!$D21="","",Produtos!$D21))</f>
        <v>262.59</v>
      </c>
      <c r="E21" s="11" t="n">
        <v>0</v>
      </c>
      <c r="F21" s="34" t="n">
        <f aca="false">IF($A21="","",IF($C21="","⚠ categoria",IFERROR(INDEX(Parâmetros!$E$13:$E$22,MATCH($C21,Parâmetros!$A$13:$A$22,0)),"⚠ categoria")))</f>
        <v>0.21</v>
      </c>
      <c r="G21" s="35"/>
      <c r="H21" s="36" t="n">
        <f aca="false">IF($A21="","",IF(ISNUMBER($G21),$G21,IF(ISNUMBER($F21),$F21,"")))</f>
        <v>0.21</v>
      </c>
      <c r="I21" s="37" t="n">
        <f aca="false">IF(OR($A21="",NOT(ISNUMBER($D21)),NOT(ISNUMBER($H21))),"",IF((1-$H21-Parâmetros!$B$7-Parâmetros!$C$7-Parâmetros!$D$7)&lt;=0,"INVALIDO",($D21+IF(ISNUMBER($E21),$E21,0)+IF(ISNUMBER(Parâmetros!$E$7),Parâmetros!$E$7,0))/(1-$H21-Parâmetros!$B$7-Parâmetros!$C$7-Parâmetros!$D$7)))</f>
        <v>570.847826086956</v>
      </c>
      <c r="J21" s="38"/>
      <c r="K21" s="39" t="n">
        <f aca="false">IF(OR($A21="",NOT(ISNUMBER($D21)),NOT(ISNUMBER($H21))),"",IF(AND(ISNUMBER($J21),$J21&gt;0),$J21,IF(ISNUMBER($I21),$I21,"")))</f>
        <v>570.847826086956</v>
      </c>
      <c r="L21" s="40" t="n">
        <f aca="false">IF(ISNUMBER($K21),$K21*$H21,"")</f>
        <v>119.878043478261</v>
      </c>
      <c r="M21" s="40" t="n">
        <f aca="false">IF(ISNUMBER($K21),$K21*Parâmetros!$B$7,"")</f>
        <v>57.0847826086956</v>
      </c>
      <c r="N21" s="40" t="n">
        <f aca="false">IF(ISNUMBER($K21),$K21*Parâmetros!$C$7,"")</f>
        <v>17.1254347826087</v>
      </c>
      <c r="O21" s="40" t="n">
        <f aca="false">IF(ISNUMBER($K21),IF(ISNUMBER(Parâmetros!$E$7),Parâmetros!$E$7,0),"")</f>
        <v>0</v>
      </c>
      <c r="P21" s="41" t="n">
        <f aca="false">IF(ISNUMBER($K21),$K21-$D21-IF(ISNUMBER($E21),$E21,0)-$L21-$M21-$N21-$O21,"")</f>
        <v>114.169565217391</v>
      </c>
      <c r="Q21" s="42" t="n">
        <f aca="false">IF(AND(ISNUMBER($K21),$K21&gt;0),$P21/$K21,"")</f>
        <v>0.2</v>
      </c>
      <c r="R21" s="43"/>
      <c r="S21" s="44" t="str">
        <f aca="false">IF(OR(NOT(ISNUMBER($R21)),$R21=0,NOT(ISNUMBER($K21))),"",$K21*(1-$R21))</f>
        <v/>
      </c>
      <c r="T21" s="45" t="str">
        <f aca="false">IF(ISNUMBER($S21),$S21*$H21,"")</f>
        <v/>
      </c>
      <c r="U21" s="45" t="str">
        <f aca="false">IF(ISNUMBER($S21),$S21*Parâmetros!$B$7,"")</f>
        <v/>
      </c>
      <c r="V21" s="45" t="str">
        <f aca="false">IF(ISNUMBER($S21),$S21*Parâmetros!$C$7,"")</f>
        <v/>
      </c>
      <c r="W21" s="44" t="str">
        <f aca="false">IF(ISNUMBER($S21),$S21-$D21-IF(ISNUMBER($E21),$E21,0)-$O21-$T21-$U21-$V21,"")</f>
        <v/>
      </c>
      <c r="X21" s="46" t="str">
        <f aca="false">IF(AND(ISNUMBER($S21),$S21&gt;0),$W21/$S21,"")</f>
        <v/>
      </c>
      <c r="Y21" s="49"/>
      <c r="Z21" s="21"/>
    </row>
    <row r="22" customFormat="false" ht="15.75" hidden="false" customHeight="true" outlineLevel="0" collapsed="false">
      <c r="A22" s="32" t="str">
        <f aca="false">IF(Produtos!$A22="","",Produtos!$A22)</f>
        <v>L4075</v>
      </c>
      <c r="B22" s="32" t="str">
        <f aca="false">IF(Produtos!$A22="","",Produtos!$B22)</f>
        <v>Lixeira Aço Inox s/Tampa 40x75 95L</v>
      </c>
      <c r="C22" s="32" t="str">
        <f aca="false">IF(Produtos!$A22="","",Produtos!$C22)</f>
        <v>Lixeiras em inox</v>
      </c>
      <c r="D22" s="33" t="n">
        <f aca="false">IF(Produtos!$A22="","",IF(Produtos!$D22="","",Produtos!$D22))</f>
        <v>322.16</v>
      </c>
      <c r="E22" s="11" t="n">
        <v>0</v>
      </c>
      <c r="F22" s="34" t="n">
        <f aca="false">IF($A22="","",IF($C22="","⚠ categoria",IFERROR(INDEX(Parâmetros!$E$13:$E$22,MATCH($C22,Parâmetros!$A$13:$A$22,0)),"⚠ categoria")))</f>
        <v>0.21</v>
      </c>
      <c r="G22" s="35"/>
      <c r="H22" s="36" t="n">
        <f aca="false">IF($A22="","",IF(ISNUMBER($G22),$G22,IF(ISNUMBER($F22),$F22,"")))</f>
        <v>0.21</v>
      </c>
      <c r="I22" s="37" t="n">
        <f aca="false">IF(OR($A22="",NOT(ISNUMBER($D22)),NOT(ISNUMBER($H22))),"",IF((1-$H22-Parâmetros!$B$7-Parâmetros!$C$7-Parâmetros!$D$7)&lt;=0,"INVALIDO",($D22+IF(ISNUMBER($E22),$E22,0)+IF(ISNUMBER(Parâmetros!$E$7),Parâmetros!$E$7,0))/(1-$H22-Parâmetros!$B$7-Parâmetros!$C$7-Parâmetros!$D$7)))</f>
        <v>700.347826086957</v>
      </c>
      <c r="J22" s="38"/>
      <c r="K22" s="39" t="n">
        <f aca="false">IF(OR($A22="",NOT(ISNUMBER($D22)),NOT(ISNUMBER($H22))),"",IF(AND(ISNUMBER($J22),$J22&gt;0),$J22,IF(ISNUMBER($I22),$I22,"")))</f>
        <v>700.347826086957</v>
      </c>
      <c r="L22" s="40" t="n">
        <f aca="false">IF(ISNUMBER($K22),$K22*$H22,"")</f>
        <v>147.073043478261</v>
      </c>
      <c r="M22" s="40" t="n">
        <f aca="false">IF(ISNUMBER($K22),$K22*Parâmetros!$B$7,"")</f>
        <v>70.0347826086957</v>
      </c>
      <c r="N22" s="40" t="n">
        <f aca="false">IF(ISNUMBER($K22),$K22*Parâmetros!$C$7,"")</f>
        <v>21.0104347826087</v>
      </c>
      <c r="O22" s="40" t="n">
        <f aca="false">IF(ISNUMBER($K22),IF(ISNUMBER(Parâmetros!$E$7),Parâmetros!$E$7,0),"")</f>
        <v>0</v>
      </c>
      <c r="P22" s="41" t="n">
        <f aca="false">IF(ISNUMBER($K22),$K22-$D22-IF(ISNUMBER($E22),$E22,0)-$L22-$M22-$N22-$O22,"")</f>
        <v>140.069565217391</v>
      </c>
      <c r="Q22" s="42" t="n">
        <f aca="false">IF(AND(ISNUMBER($K22),$K22&gt;0),$P22/$K22,"")</f>
        <v>0.2</v>
      </c>
      <c r="R22" s="43"/>
      <c r="S22" s="44" t="str">
        <f aca="false">IF(OR(NOT(ISNUMBER($R22)),$R22=0,NOT(ISNUMBER($K22))),"",$K22*(1-$R22))</f>
        <v/>
      </c>
      <c r="T22" s="45" t="str">
        <f aca="false">IF(ISNUMBER($S22),$S22*$H22,"")</f>
        <v/>
      </c>
      <c r="U22" s="45" t="str">
        <f aca="false">IF(ISNUMBER($S22),$S22*Parâmetros!$B$7,"")</f>
        <v/>
      </c>
      <c r="V22" s="45" t="str">
        <f aca="false">IF(ISNUMBER($S22),$S22*Parâmetros!$C$7,"")</f>
        <v/>
      </c>
      <c r="W22" s="44" t="str">
        <f aca="false">IF(ISNUMBER($S22),$S22-$D22-IF(ISNUMBER($E22),$E22,0)-$O22-$T22-$U22-$V22,"")</f>
        <v/>
      </c>
      <c r="X22" s="46" t="str">
        <f aca="false">IF(AND(ISNUMBER($S22),$S22&gt;0),$W22/$S22,"")</f>
        <v/>
      </c>
      <c r="Y22" s="47"/>
      <c r="Z22" s="19"/>
    </row>
    <row r="23" customFormat="false" ht="15.75" hidden="false" customHeight="true" outlineLevel="0" collapsed="false">
      <c r="A23" s="48" t="str">
        <f aca="false">IF(Produtos!$A23="","",Produtos!$A23)</f>
        <v>L4080</v>
      </c>
      <c r="B23" s="48" t="str">
        <f aca="false">IF(Produtos!$A23="","",Produtos!$B23)</f>
        <v>Lixeira Aço Inox s/Tampa 40x80 100L</v>
      </c>
      <c r="C23" s="48" t="str">
        <f aca="false">IF(Produtos!$A23="","",Produtos!$C23)</f>
        <v>Lixeiras em inox</v>
      </c>
      <c r="D23" s="33" t="n">
        <f aca="false">IF(Produtos!$A23="","",IF(Produtos!$D23="","",Produtos!$D23))</f>
        <v>336.34</v>
      </c>
      <c r="E23" s="11" t="n">
        <v>0</v>
      </c>
      <c r="F23" s="34" t="n">
        <f aca="false">IF($A23="","",IF($C23="","⚠ categoria",IFERROR(INDEX(Parâmetros!$E$13:$E$22,MATCH($C23,Parâmetros!$A$13:$A$22,0)),"⚠ categoria")))</f>
        <v>0.21</v>
      </c>
      <c r="G23" s="35"/>
      <c r="H23" s="36" t="n">
        <f aca="false">IF($A23="","",IF(ISNUMBER($G23),$G23,IF(ISNUMBER($F23),$F23,"")))</f>
        <v>0.21</v>
      </c>
      <c r="I23" s="37" t="n">
        <f aca="false">IF(OR($A23="",NOT(ISNUMBER($D23)),NOT(ISNUMBER($H23))),"",IF((1-$H23-Parâmetros!$B$7-Parâmetros!$C$7-Parâmetros!$D$7)&lt;=0,"INVALIDO",($D23+IF(ISNUMBER($E23),$E23,0)+IF(ISNUMBER(Parâmetros!$E$7),Parâmetros!$E$7,0))/(1-$H23-Parâmetros!$B$7-Parâmetros!$C$7-Parâmetros!$D$7)))</f>
        <v>731.173913043478</v>
      </c>
      <c r="J23" s="38"/>
      <c r="K23" s="39" t="n">
        <f aca="false">IF(OR($A23="",NOT(ISNUMBER($D23)),NOT(ISNUMBER($H23))),"",IF(AND(ISNUMBER($J23),$J23&gt;0),$J23,IF(ISNUMBER($I23),$I23,"")))</f>
        <v>731.173913043478</v>
      </c>
      <c r="L23" s="40" t="n">
        <f aca="false">IF(ISNUMBER($K23),$K23*$H23,"")</f>
        <v>153.54652173913</v>
      </c>
      <c r="M23" s="40" t="n">
        <f aca="false">IF(ISNUMBER($K23),$K23*Parâmetros!$B$7,"")</f>
        <v>73.1173913043478</v>
      </c>
      <c r="N23" s="40" t="n">
        <f aca="false">IF(ISNUMBER($K23),$K23*Parâmetros!$C$7,"")</f>
        <v>21.9352173913043</v>
      </c>
      <c r="O23" s="40" t="n">
        <f aca="false">IF(ISNUMBER($K23),IF(ISNUMBER(Parâmetros!$E$7),Parâmetros!$E$7,0),"")</f>
        <v>0</v>
      </c>
      <c r="P23" s="41" t="n">
        <f aca="false">IF(ISNUMBER($K23),$K23-$D23-IF(ISNUMBER($E23),$E23,0)-$L23-$M23-$N23-$O23,"")</f>
        <v>146.234782608696</v>
      </c>
      <c r="Q23" s="42" t="n">
        <f aca="false">IF(AND(ISNUMBER($K23),$K23&gt;0),$P23/$K23,"")</f>
        <v>0.2</v>
      </c>
      <c r="R23" s="43"/>
      <c r="S23" s="44" t="str">
        <f aca="false">IF(OR(NOT(ISNUMBER($R23)),$R23=0,NOT(ISNUMBER($K23))),"",$K23*(1-$R23))</f>
        <v/>
      </c>
      <c r="T23" s="45" t="str">
        <f aca="false">IF(ISNUMBER($S23),$S23*$H23,"")</f>
        <v/>
      </c>
      <c r="U23" s="45" t="str">
        <f aca="false">IF(ISNUMBER($S23),$S23*Parâmetros!$B$7,"")</f>
        <v/>
      </c>
      <c r="V23" s="45" t="str">
        <f aca="false">IF(ISNUMBER($S23),$S23*Parâmetros!$C$7,"")</f>
        <v/>
      </c>
      <c r="W23" s="44" t="str">
        <f aca="false">IF(ISNUMBER($S23),$S23-$D23-IF(ISNUMBER($E23),$E23,0)-$O23-$T23-$U23-$V23,"")</f>
        <v/>
      </c>
      <c r="X23" s="46" t="str">
        <f aca="false">IF(AND(ISNUMBER($S23),$S23&gt;0),$W23/$S23,"")</f>
        <v/>
      </c>
      <c r="Y23" s="49"/>
      <c r="Z23" s="21"/>
    </row>
    <row r="24" customFormat="false" ht="15.75" hidden="false" customHeight="true" outlineLevel="0" collapsed="false">
      <c r="A24" s="32" t="str">
        <f aca="false">IF(Produtos!$A24="","",Produtos!$A24)</f>
        <v>L4090</v>
      </c>
      <c r="B24" s="32" t="str">
        <f aca="false">IF(Produtos!$A24="","",Produtos!$B24)</f>
        <v>Lixeira Aço Inox s/Tampa 40x90 120L</v>
      </c>
      <c r="C24" s="32" t="str">
        <f aca="false">IF(Produtos!$A24="","",Produtos!$C24)</f>
        <v>Lixeiras em inox</v>
      </c>
      <c r="D24" s="33" t="n">
        <f aca="false">IF(Produtos!$A24="","",IF(Produtos!$D24="","",Produtos!$D24))</f>
        <v>378.85</v>
      </c>
      <c r="E24" s="11" t="n">
        <v>0</v>
      </c>
      <c r="F24" s="34" t="n">
        <f aca="false">IF($A24="","",IF($C24="","⚠ categoria",IFERROR(INDEX(Parâmetros!$E$13:$E$22,MATCH($C24,Parâmetros!$A$13:$A$22,0)),"⚠ categoria")))</f>
        <v>0.21</v>
      </c>
      <c r="G24" s="35"/>
      <c r="H24" s="36" t="n">
        <f aca="false">IF($A24="","",IF(ISNUMBER($G24),$G24,IF(ISNUMBER($F24),$F24,"")))</f>
        <v>0.21</v>
      </c>
      <c r="I24" s="37" t="n">
        <f aca="false">IF(OR($A24="",NOT(ISNUMBER($D24)),NOT(ISNUMBER($H24))),"",IF((1-$H24-Parâmetros!$B$7-Parâmetros!$C$7-Parâmetros!$D$7)&lt;=0,"INVALIDO",($D24+IF(ISNUMBER($E24),$E24,0)+IF(ISNUMBER(Parâmetros!$E$7),Parâmetros!$E$7,0))/(1-$H24-Parâmetros!$B$7-Parâmetros!$C$7-Parâmetros!$D$7)))</f>
        <v>823.586956521739</v>
      </c>
      <c r="J24" s="38"/>
      <c r="K24" s="39" t="n">
        <f aca="false">IF(OR($A24="",NOT(ISNUMBER($D24)),NOT(ISNUMBER($H24))),"",IF(AND(ISNUMBER($J24),$J24&gt;0),$J24,IF(ISNUMBER($I24),$I24,"")))</f>
        <v>823.586956521739</v>
      </c>
      <c r="L24" s="40" t="n">
        <f aca="false">IF(ISNUMBER($K24),$K24*$H24,"")</f>
        <v>172.953260869565</v>
      </c>
      <c r="M24" s="40" t="n">
        <f aca="false">IF(ISNUMBER($K24),$K24*Parâmetros!$B$7,"")</f>
        <v>82.3586956521739</v>
      </c>
      <c r="N24" s="40" t="n">
        <f aca="false">IF(ISNUMBER($K24),$K24*Parâmetros!$C$7,"")</f>
        <v>24.7076086956522</v>
      </c>
      <c r="O24" s="40" t="n">
        <f aca="false">IF(ISNUMBER($K24),IF(ISNUMBER(Parâmetros!$E$7),Parâmetros!$E$7,0),"")</f>
        <v>0</v>
      </c>
      <c r="P24" s="41" t="n">
        <f aca="false">IF(ISNUMBER($K24),$K24-$D24-IF(ISNUMBER($E24),$E24,0)-$L24-$M24-$N24-$O24,"")</f>
        <v>164.717391304348</v>
      </c>
      <c r="Q24" s="42" t="n">
        <f aca="false">IF(AND(ISNUMBER($K24),$K24&gt;0),$P24/$K24,"")</f>
        <v>0.2</v>
      </c>
      <c r="R24" s="43"/>
      <c r="S24" s="44" t="str">
        <f aca="false">IF(OR(NOT(ISNUMBER($R24)),$R24=0,NOT(ISNUMBER($K24))),"",$K24*(1-$R24))</f>
        <v/>
      </c>
      <c r="T24" s="45" t="str">
        <f aca="false">IF(ISNUMBER($S24),$S24*$H24,"")</f>
        <v/>
      </c>
      <c r="U24" s="45" t="str">
        <f aca="false">IF(ISNUMBER($S24),$S24*Parâmetros!$B$7,"")</f>
        <v/>
      </c>
      <c r="V24" s="45" t="str">
        <f aca="false">IF(ISNUMBER($S24),$S24*Parâmetros!$C$7,"")</f>
        <v/>
      </c>
      <c r="W24" s="44" t="str">
        <f aca="false">IF(ISNUMBER($S24),$S24-$D24-IF(ISNUMBER($E24),$E24,0)-$O24-$T24-$U24-$V24,"")</f>
        <v/>
      </c>
      <c r="X24" s="46" t="str">
        <f aca="false">IF(AND(ISNUMBER($S24),$S24&gt;0),$W24/$S24,"")</f>
        <v/>
      </c>
      <c r="Y24" s="47"/>
      <c r="Z24" s="19"/>
    </row>
    <row r="25" customFormat="false" ht="15.75" hidden="false" customHeight="true" outlineLevel="0" collapsed="false">
      <c r="A25" s="48" t="str">
        <f aca="false">IF(Produtos!$A25="","",Produtos!$A25)</f>
        <v>L1618-A</v>
      </c>
      <c r="B25" s="48" t="str">
        <f aca="false">IF(Produtos!$A25="","",Produtos!$B25)</f>
        <v>Lixeira Aço Inox c/Aro 16x18 03L</v>
      </c>
      <c r="C25" s="48" t="str">
        <f aca="false">IF(Produtos!$A25="","",Produtos!$C25)</f>
        <v>Lixeiras em inox</v>
      </c>
      <c r="D25" s="33" t="n">
        <f aca="false">IF(Produtos!$A25="","",IF(Produtos!$D25="","",Produtos!$D25))</f>
        <v>48.18</v>
      </c>
      <c r="E25" s="11" t="n">
        <v>0</v>
      </c>
      <c r="F25" s="34" t="n">
        <f aca="false">IF($A25="","",IF($C25="","⚠ categoria",IFERROR(INDEX(Parâmetros!$E$13:$E$22,MATCH($C25,Parâmetros!$A$13:$A$22,0)),"⚠ categoria")))</f>
        <v>0.21</v>
      </c>
      <c r="G25" s="35"/>
      <c r="H25" s="36" t="n">
        <f aca="false">IF($A25="","",IF(ISNUMBER($G25),$G25,IF(ISNUMBER($F25),$F25,"")))</f>
        <v>0.21</v>
      </c>
      <c r="I25" s="37" t="n">
        <f aca="false">IF(OR($A25="",NOT(ISNUMBER($D25)),NOT(ISNUMBER($H25))),"",IF((1-$H25-Parâmetros!$B$7-Parâmetros!$C$7-Parâmetros!$D$7)&lt;=0,"INVALIDO",($D25+IF(ISNUMBER($E25),$E25,0)+IF(ISNUMBER(Parâmetros!$E$7),Parâmetros!$E$7,0))/(1-$H25-Parâmetros!$B$7-Parâmetros!$C$7-Parâmetros!$D$7)))</f>
        <v>104.739130434783</v>
      </c>
      <c r="J25" s="38"/>
      <c r="K25" s="39" t="n">
        <f aca="false">IF(OR($A25="",NOT(ISNUMBER($D25)),NOT(ISNUMBER($H25))),"",IF(AND(ISNUMBER($J25),$J25&gt;0),$J25,IF(ISNUMBER($I25),$I25,"")))</f>
        <v>104.739130434783</v>
      </c>
      <c r="L25" s="40" t="n">
        <f aca="false">IF(ISNUMBER($K25),$K25*$H25,"")</f>
        <v>21.9952173913043</v>
      </c>
      <c r="M25" s="40" t="n">
        <f aca="false">IF(ISNUMBER($K25),$K25*Parâmetros!$B$7,"")</f>
        <v>10.4739130434783</v>
      </c>
      <c r="N25" s="40" t="n">
        <f aca="false">IF(ISNUMBER($K25),$K25*Parâmetros!$C$7,"")</f>
        <v>3.14217391304348</v>
      </c>
      <c r="O25" s="40" t="n">
        <f aca="false">IF(ISNUMBER($K25),IF(ISNUMBER(Parâmetros!$E$7),Parâmetros!$E$7,0),"")</f>
        <v>0</v>
      </c>
      <c r="P25" s="41" t="n">
        <f aca="false">IF(ISNUMBER($K25),$K25-$D25-IF(ISNUMBER($E25),$E25,0)-$L25-$M25-$N25-$O25,"")</f>
        <v>20.9478260869565</v>
      </c>
      <c r="Q25" s="42" t="n">
        <f aca="false">IF(AND(ISNUMBER($K25),$K25&gt;0),$P25/$K25,"")</f>
        <v>0.2</v>
      </c>
      <c r="R25" s="43"/>
      <c r="S25" s="44" t="str">
        <f aca="false">IF(OR(NOT(ISNUMBER($R25)),$R25=0,NOT(ISNUMBER($K25))),"",$K25*(1-$R25))</f>
        <v/>
      </c>
      <c r="T25" s="45" t="str">
        <f aca="false">IF(ISNUMBER($S25),$S25*$H25,"")</f>
        <v/>
      </c>
      <c r="U25" s="45" t="str">
        <f aca="false">IF(ISNUMBER($S25),$S25*Parâmetros!$B$7,"")</f>
        <v/>
      </c>
      <c r="V25" s="45" t="str">
        <f aca="false">IF(ISNUMBER($S25),$S25*Parâmetros!$C$7,"")</f>
        <v/>
      </c>
      <c r="W25" s="44" t="str">
        <f aca="false">IF(ISNUMBER($S25),$S25-$D25-IF(ISNUMBER($E25),$E25,0)-$O25-$T25-$U25-$V25,"")</f>
        <v/>
      </c>
      <c r="X25" s="46" t="str">
        <f aca="false">IF(AND(ISNUMBER($S25),$S25&gt;0),$W25/$S25,"")</f>
        <v/>
      </c>
      <c r="Y25" s="49"/>
      <c r="Z25" s="21"/>
    </row>
    <row r="26" customFormat="false" ht="15.75" hidden="false" customHeight="true" outlineLevel="0" collapsed="false">
      <c r="A26" s="32" t="str">
        <f aca="false">IF(Produtos!$A26="","",Produtos!$A26)</f>
        <v>L1623-A</v>
      </c>
      <c r="B26" s="32" t="str">
        <f aca="false">IF(Produtos!$A26="","",Produtos!$B26)</f>
        <v>Lixeira Aço Inox c/Aro 16x23 05L</v>
      </c>
      <c r="C26" s="32" t="str">
        <f aca="false">IF(Produtos!$A26="","",Produtos!$C26)</f>
        <v>Lixeiras em inox</v>
      </c>
      <c r="D26" s="33" t="n">
        <f aca="false">IF(Produtos!$A26="","",IF(Produtos!$D26="","",Produtos!$D26))</f>
        <v>55.75</v>
      </c>
      <c r="E26" s="11" t="n">
        <v>0</v>
      </c>
      <c r="F26" s="34" t="n">
        <f aca="false">IF($A26="","",IF($C26="","⚠ categoria",IFERROR(INDEX(Parâmetros!$E$13:$E$22,MATCH($C26,Parâmetros!$A$13:$A$22,0)),"⚠ categoria")))</f>
        <v>0.21</v>
      </c>
      <c r="G26" s="35"/>
      <c r="H26" s="36" t="n">
        <f aca="false">IF($A26="","",IF(ISNUMBER($G26),$G26,IF(ISNUMBER($F26),$F26,"")))</f>
        <v>0.21</v>
      </c>
      <c r="I26" s="37" t="n">
        <f aca="false">IF(OR($A26="",NOT(ISNUMBER($D26)),NOT(ISNUMBER($H26))),"",IF((1-$H26-Parâmetros!$B$7-Parâmetros!$C$7-Parâmetros!$D$7)&lt;=0,"INVALIDO",($D26+IF(ISNUMBER($E26),$E26,0)+IF(ISNUMBER(Parâmetros!$E$7),Parâmetros!$E$7,0))/(1-$H26-Parâmetros!$B$7-Parâmetros!$C$7-Parâmetros!$D$7)))</f>
        <v>121.195652173913</v>
      </c>
      <c r="J26" s="38"/>
      <c r="K26" s="39" t="n">
        <f aca="false">IF(OR($A26="",NOT(ISNUMBER($D26)),NOT(ISNUMBER($H26))),"",IF(AND(ISNUMBER($J26),$J26&gt;0),$J26,IF(ISNUMBER($I26),$I26,"")))</f>
        <v>121.195652173913</v>
      </c>
      <c r="L26" s="40" t="n">
        <f aca="false">IF(ISNUMBER($K26),$K26*$H26,"")</f>
        <v>25.4510869565217</v>
      </c>
      <c r="M26" s="40" t="n">
        <f aca="false">IF(ISNUMBER($K26),$K26*Parâmetros!$B$7,"")</f>
        <v>12.1195652173913</v>
      </c>
      <c r="N26" s="40" t="n">
        <f aca="false">IF(ISNUMBER($K26),$K26*Parâmetros!$C$7,"")</f>
        <v>3.63586956521739</v>
      </c>
      <c r="O26" s="40" t="n">
        <f aca="false">IF(ISNUMBER($K26),IF(ISNUMBER(Parâmetros!$E$7),Parâmetros!$E$7,0),"")</f>
        <v>0</v>
      </c>
      <c r="P26" s="41" t="n">
        <f aca="false">IF(ISNUMBER($K26),$K26-$D26-IF(ISNUMBER($E26),$E26,0)-$L26-$M26-$N26-$O26,"")</f>
        <v>24.2391304347826</v>
      </c>
      <c r="Q26" s="42" t="n">
        <f aca="false">IF(AND(ISNUMBER($K26),$K26&gt;0),$P26/$K26,"")</f>
        <v>0.2</v>
      </c>
      <c r="R26" s="43"/>
      <c r="S26" s="44" t="str">
        <f aca="false">IF(OR(NOT(ISNUMBER($R26)),$R26=0,NOT(ISNUMBER($K26))),"",$K26*(1-$R26))</f>
        <v/>
      </c>
      <c r="T26" s="45" t="str">
        <f aca="false">IF(ISNUMBER($S26),$S26*$H26,"")</f>
        <v/>
      </c>
      <c r="U26" s="45" t="str">
        <f aca="false">IF(ISNUMBER($S26),$S26*Parâmetros!$B$7,"")</f>
        <v/>
      </c>
      <c r="V26" s="45" t="str">
        <f aca="false">IF(ISNUMBER($S26),$S26*Parâmetros!$C$7,"")</f>
        <v/>
      </c>
      <c r="W26" s="44" t="str">
        <f aca="false">IF(ISNUMBER($S26),$S26-$D26-IF(ISNUMBER($E26),$E26,0)-$O26-$T26-$U26-$V26,"")</f>
        <v/>
      </c>
      <c r="X26" s="46" t="str">
        <f aca="false">IF(AND(ISNUMBER($S26),$S26&gt;0),$W26/$S26,"")</f>
        <v/>
      </c>
      <c r="Y26" s="47"/>
      <c r="Z26" s="19"/>
    </row>
    <row r="27" customFormat="false" ht="15.75" hidden="false" customHeight="true" outlineLevel="0" collapsed="false">
      <c r="A27" s="48" t="str">
        <f aca="false">IF(Produtos!$A27="","",Produtos!$A27)</f>
        <v>L2025-A</v>
      </c>
      <c r="B27" s="48" t="str">
        <f aca="false">IF(Produtos!$A27="","",Produtos!$B27)</f>
        <v>Lixeira Aço Inox c/Aro 20x25 07L</v>
      </c>
      <c r="C27" s="48" t="str">
        <f aca="false">IF(Produtos!$A27="","",Produtos!$C27)</f>
        <v>Lixeiras em inox</v>
      </c>
      <c r="D27" s="33" t="n">
        <f aca="false">IF(Produtos!$A27="","",IF(Produtos!$D27="","",Produtos!$D27))</f>
        <v>60.21</v>
      </c>
      <c r="E27" s="11" t="n">
        <v>0</v>
      </c>
      <c r="F27" s="34" t="n">
        <f aca="false">IF($A27="","",IF($C27="","⚠ categoria",IFERROR(INDEX(Parâmetros!$E$13:$E$22,MATCH($C27,Parâmetros!$A$13:$A$22,0)),"⚠ categoria")))</f>
        <v>0.21</v>
      </c>
      <c r="G27" s="35"/>
      <c r="H27" s="36" t="n">
        <f aca="false">IF($A27="","",IF(ISNUMBER($G27),$G27,IF(ISNUMBER($F27),$F27,"")))</f>
        <v>0.21</v>
      </c>
      <c r="I27" s="37" t="n">
        <f aca="false">IF(OR($A27="",NOT(ISNUMBER($D27)),NOT(ISNUMBER($H27))),"",IF((1-$H27-Parâmetros!$B$7-Parâmetros!$C$7-Parâmetros!$D$7)&lt;=0,"INVALIDO",($D27+IF(ISNUMBER($E27),$E27,0)+IF(ISNUMBER(Parâmetros!$E$7),Parâmetros!$E$7,0))/(1-$H27-Parâmetros!$B$7-Parâmetros!$C$7-Parâmetros!$D$7)))</f>
        <v>130.891304347826</v>
      </c>
      <c r="J27" s="38"/>
      <c r="K27" s="39" t="n">
        <f aca="false">IF(OR($A27="",NOT(ISNUMBER($D27)),NOT(ISNUMBER($H27))),"",IF(AND(ISNUMBER($J27),$J27&gt;0),$J27,IF(ISNUMBER($I27),$I27,"")))</f>
        <v>130.891304347826</v>
      </c>
      <c r="L27" s="40" t="n">
        <f aca="false">IF(ISNUMBER($K27),$K27*$H27,"")</f>
        <v>27.4871739130435</v>
      </c>
      <c r="M27" s="40" t="n">
        <f aca="false">IF(ISNUMBER($K27),$K27*Parâmetros!$B$7,"")</f>
        <v>13.0891304347826</v>
      </c>
      <c r="N27" s="40" t="n">
        <f aca="false">IF(ISNUMBER($K27),$K27*Parâmetros!$C$7,"")</f>
        <v>3.92673913043478</v>
      </c>
      <c r="O27" s="40" t="n">
        <f aca="false">IF(ISNUMBER($K27),IF(ISNUMBER(Parâmetros!$E$7),Parâmetros!$E$7,0),"")</f>
        <v>0</v>
      </c>
      <c r="P27" s="41" t="n">
        <f aca="false">IF(ISNUMBER($K27),$K27-$D27-IF(ISNUMBER($E27),$E27,0)-$L27-$M27-$N27-$O27,"")</f>
        <v>26.1782608695652</v>
      </c>
      <c r="Q27" s="42" t="n">
        <f aca="false">IF(AND(ISNUMBER($K27),$K27&gt;0),$P27/$K27,"")</f>
        <v>0.2</v>
      </c>
      <c r="R27" s="43"/>
      <c r="S27" s="44" t="str">
        <f aca="false">IF(OR(NOT(ISNUMBER($R27)),$R27=0,NOT(ISNUMBER($K27))),"",$K27*(1-$R27))</f>
        <v/>
      </c>
      <c r="T27" s="45" t="str">
        <f aca="false">IF(ISNUMBER($S27),$S27*$H27,"")</f>
        <v/>
      </c>
      <c r="U27" s="45" t="str">
        <f aca="false">IF(ISNUMBER($S27),$S27*Parâmetros!$B$7,"")</f>
        <v/>
      </c>
      <c r="V27" s="45" t="str">
        <f aca="false">IF(ISNUMBER($S27),$S27*Parâmetros!$C$7,"")</f>
        <v/>
      </c>
      <c r="W27" s="44" t="str">
        <f aca="false">IF(ISNUMBER($S27),$S27-$D27-IF(ISNUMBER($E27),$E27,0)-$O27-$T27-$U27-$V27,"")</f>
        <v/>
      </c>
      <c r="X27" s="46" t="str">
        <f aca="false">IF(AND(ISNUMBER($S27),$S27&gt;0),$W27/$S27,"")</f>
        <v/>
      </c>
      <c r="Y27" s="49"/>
      <c r="Z27" s="21"/>
    </row>
    <row r="28" customFormat="false" ht="15.75" hidden="false" customHeight="true" outlineLevel="0" collapsed="false">
      <c r="A28" s="32" t="str">
        <f aca="false">IF(Produtos!$A28="","",Produtos!$A28)</f>
        <v>L2030-A</v>
      </c>
      <c r="B28" s="32" t="str">
        <f aca="false">IF(Produtos!$A28="","",Produtos!$B28)</f>
        <v>Lixeira Aço Inox c/Aro 20x30 10L</v>
      </c>
      <c r="C28" s="32" t="str">
        <f aca="false">IF(Produtos!$A28="","",Produtos!$C28)</f>
        <v>Lixeiras em inox</v>
      </c>
      <c r="D28" s="33" t="n">
        <f aca="false">IF(Produtos!$A28="","",IF(Produtos!$D28="","",Produtos!$D28))</f>
        <v>68.57</v>
      </c>
      <c r="E28" s="11" t="n">
        <v>0</v>
      </c>
      <c r="F28" s="34" t="n">
        <f aca="false">IF($A28="","",IF($C28="","⚠ categoria",IFERROR(INDEX(Parâmetros!$E$13:$E$22,MATCH($C28,Parâmetros!$A$13:$A$22,0)),"⚠ categoria")))</f>
        <v>0.21</v>
      </c>
      <c r="G28" s="35"/>
      <c r="H28" s="36" t="n">
        <f aca="false">IF($A28="","",IF(ISNUMBER($G28),$G28,IF(ISNUMBER($F28),$F28,"")))</f>
        <v>0.21</v>
      </c>
      <c r="I28" s="37" t="n">
        <f aca="false">IF(OR($A28="",NOT(ISNUMBER($D28)),NOT(ISNUMBER($H28))),"",IF((1-$H28-Parâmetros!$B$7-Parâmetros!$C$7-Parâmetros!$D$7)&lt;=0,"INVALIDO",($D28+IF(ISNUMBER($E28),$E28,0)+IF(ISNUMBER(Parâmetros!$E$7),Parâmetros!$E$7,0))/(1-$H28-Parâmetros!$B$7-Parâmetros!$C$7-Parâmetros!$D$7)))</f>
        <v>149.065217391304</v>
      </c>
      <c r="J28" s="38"/>
      <c r="K28" s="39" t="n">
        <f aca="false">IF(OR($A28="",NOT(ISNUMBER($D28)),NOT(ISNUMBER($H28))),"",IF(AND(ISNUMBER($J28),$J28&gt;0),$J28,IF(ISNUMBER($I28),$I28,"")))</f>
        <v>149.065217391304</v>
      </c>
      <c r="L28" s="40" t="n">
        <f aca="false">IF(ISNUMBER($K28),$K28*$H28,"")</f>
        <v>31.3036956521739</v>
      </c>
      <c r="M28" s="40" t="n">
        <f aca="false">IF(ISNUMBER($K28),$K28*Parâmetros!$B$7,"")</f>
        <v>14.9065217391304</v>
      </c>
      <c r="N28" s="40" t="n">
        <f aca="false">IF(ISNUMBER($K28),$K28*Parâmetros!$C$7,"")</f>
        <v>4.47195652173913</v>
      </c>
      <c r="O28" s="40" t="n">
        <f aca="false">IF(ISNUMBER($K28),IF(ISNUMBER(Parâmetros!$E$7),Parâmetros!$E$7,0),"")</f>
        <v>0</v>
      </c>
      <c r="P28" s="41" t="n">
        <f aca="false">IF(ISNUMBER($K28),$K28-$D28-IF(ISNUMBER($E28),$E28,0)-$L28-$M28-$N28-$O28,"")</f>
        <v>29.8130434782609</v>
      </c>
      <c r="Q28" s="42" t="n">
        <f aca="false">IF(AND(ISNUMBER($K28),$K28&gt;0),$P28/$K28,"")</f>
        <v>0.2</v>
      </c>
      <c r="R28" s="43"/>
      <c r="S28" s="44" t="str">
        <f aca="false">IF(OR(NOT(ISNUMBER($R28)),$R28=0,NOT(ISNUMBER($K28))),"",$K28*(1-$R28))</f>
        <v/>
      </c>
      <c r="T28" s="45" t="str">
        <f aca="false">IF(ISNUMBER($S28),$S28*$H28,"")</f>
        <v/>
      </c>
      <c r="U28" s="45" t="str">
        <f aca="false">IF(ISNUMBER($S28),$S28*Parâmetros!$B$7,"")</f>
        <v/>
      </c>
      <c r="V28" s="45" t="str">
        <f aca="false">IF(ISNUMBER($S28),$S28*Parâmetros!$C$7,"")</f>
        <v/>
      </c>
      <c r="W28" s="44" t="str">
        <f aca="false">IF(ISNUMBER($S28),$S28-$D28-IF(ISNUMBER($E28),$E28,0)-$O28-$T28-$U28-$V28,"")</f>
        <v/>
      </c>
      <c r="X28" s="46" t="str">
        <f aca="false">IF(AND(ISNUMBER($S28),$S28&gt;0),$W28/$S28,"")</f>
        <v/>
      </c>
      <c r="Y28" s="47"/>
      <c r="Z28" s="19"/>
    </row>
    <row r="29" customFormat="false" ht="15.75" hidden="false" customHeight="true" outlineLevel="0" collapsed="false">
      <c r="A29" s="48" t="str">
        <f aca="false">IF(Produtos!$A29="","",Produtos!$A29)</f>
        <v>L2425-A</v>
      </c>
      <c r="B29" s="48" t="str">
        <f aca="false">IF(Produtos!$A29="","",Produtos!$B29)</f>
        <v>Lixeira Aço Inox c/Aro 24x25 13L</v>
      </c>
      <c r="C29" s="48" t="str">
        <f aca="false">IF(Produtos!$A29="","",Produtos!$C29)</f>
        <v>Lixeiras em inox</v>
      </c>
      <c r="D29" s="33" t="n">
        <f aca="false">IF(Produtos!$A29="","",IF(Produtos!$D29="","",Produtos!$D29))</f>
        <v>79.66</v>
      </c>
      <c r="E29" s="11" t="n">
        <v>0</v>
      </c>
      <c r="F29" s="34" t="n">
        <f aca="false">IF($A29="","",IF($C29="","⚠ categoria",IFERROR(INDEX(Parâmetros!$E$13:$E$22,MATCH($C29,Parâmetros!$A$13:$A$22,0)),"⚠ categoria")))</f>
        <v>0.21</v>
      </c>
      <c r="G29" s="35"/>
      <c r="H29" s="36" t="n">
        <f aca="false">IF($A29="","",IF(ISNUMBER($G29),$G29,IF(ISNUMBER($F29),$F29,"")))</f>
        <v>0.21</v>
      </c>
      <c r="I29" s="37" t="n">
        <f aca="false">IF(OR($A29="",NOT(ISNUMBER($D29)),NOT(ISNUMBER($H29))),"",IF((1-$H29-Parâmetros!$B$7-Parâmetros!$C$7-Parâmetros!$D$7)&lt;=0,"INVALIDO",($D29+IF(ISNUMBER($E29),$E29,0)+IF(ISNUMBER(Parâmetros!$E$7),Parâmetros!$E$7,0))/(1-$H29-Parâmetros!$B$7-Parâmetros!$C$7-Parâmetros!$D$7)))</f>
        <v>173.173913043478</v>
      </c>
      <c r="J29" s="38"/>
      <c r="K29" s="39" t="n">
        <f aca="false">IF(OR($A29="",NOT(ISNUMBER($D29)),NOT(ISNUMBER($H29))),"",IF(AND(ISNUMBER($J29),$J29&gt;0),$J29,IF(ISNUMBER($I29),$I29,"")))</f>
        <v>173.173913043478</v>
      </c>
      <c r="L29" s="40" t="n">
        <f aca="false">IF(ISNUMBER($K29),$K29*$H29,"")</f>
        <v>36.3665217391304</v>
      </c>
      <c r="M29" s="40" t="n">
        <f aca="false">IF(ISNUMBER($K29),$K29*Parâmetros!$B$7,"")</f>
        <v>17.3173913043478</v>
      </c>
      <c r="N29" s="40" t="n">
        <f aca="false">IF(ISNUMBER($K29),$K29*Parâmetros!$C$7,"")</f>
        <v>5.19521739130435</v>
      </c>
      <c r="O29" s="40" t="n">
        <f aca="false">IF(ISNUMBER($K29),IF(ISNUMBER(Parâmetros!$E$7),Parâmetros!$E$7,0),"")</f>
        <v>0</v>
      </c>
      <c r="P29" s="41" t="n">
        <f aca="false">IF(ISNUMBER($K29),$K29-$D29-IF(ISNUMBER($E29),$E29,0)-$L29-$M29-$N29-$O29,"")</f>
        <v>34.6347826086957</v>
      </c>
      <c r="Q29" s="42" t="n">
        <f aca="false">IF(AND(ISNUMBER($K29),$K29&gt;0),$P29/$K29,"")</f>
        <v>0.2</v>
      </c>
      <c r="R29" s="43"/>
      <c r="S29" s="44" t="str">
        <f aca="false">IF(OR(NOT(ISNUMBER($R29)),$R29=0,NOT(ISNUMBER($K29))),"",$K29*(1-$R29))</f>
        <v/>
      </c>
      <c r="T29" s="45" t="str">
        <f aca="false">IF(ISNUMBER($S29),$S29*$H29,"")</f>
        <v/>
      </c>
      <c r="U29" s="45" t="str">
        <f aca="false">IF(ISNUMBER($S29),$S29*Parâmetros!$B$7,"")</f>
        <v/>
      </c>
      <c r="V29" s="45" t="str">
        <f aca="false">IF(ISNUMBER($S29),$S29*Parâmetros!$C$7,"")</f>
        <v/>
      </c>
      <c r="W29" s="44" t="str">
        <f aca="false">IF(ISNUMBER($S29),$S29-$D29-IF(ISNUMBER($E29),$E29,0)-$O29-$T29-$U29-$V29,"")</f>
        <v/>
      </c>
      <c r="X29" s="46" t="str">
        <f aca="false">IF(AND(ISNUMBER($S29),$S29&gt;0),$W29/$S29,"")</f>
        <v/>
      </c>
      <c r="Y29" s="49"/>
      <c r="Z29" s="21"/>
    </row>
    <row r="30" customFormat="false" ht="15.75" hidden="false" customHeight="true" outlineLevel="0" collapsed="false">
      <c r="A30" s="32" t="str">
        <f aca="false">IF(Produtos!$A30="","",Produtos!$A30)</f>
        <v>L2430-A</v>
      </c>
      <c r="B30" s="32" t="str">
        <f aca="false">IF(Produtos!$A30="","",Produtos!$B30)</f>
        <v>Lixeira Aço Inox c/Aro 24x30 15L</v>
      </c>
      <c r="C30" s="32" t="str">
        <f aca="false">IF(Produtos!$A30="","",Produtos!$C30)</f>
        <v>Lixeiras em inox</v>
      </c>
      <c r="D30" s="33" t="n">
        <f aca="false">IF(Produtos!$A30="","",IF(Produtos!$D30="","",Produtos!$D30))</f>
        <v>91.16</v>
      </c>
      <c r="E30" s="11" t="n">
        <v>0</v>
      </c>
      <c r="F30" s="34" t="n">
        <f aca="false">IF($A30="","",IF($C30="","⚠ categoria",IFERROR(INDEX(Parâmetros!$E$13:$E$22,MATCH($C30,Parâmetros!$A$13:$A$22,0)),"⚠ categoria")))</f>
        <v>0.21</v>
      </c>
      <c r="G30" s="35"/>
      <c r="H30" s="36" t="n">
        <f aca="false">IF($A30="","",IF(ISNUMBER($G30),$G30,IF(ISNUMBER($F30),$F30,"")))</f>
        <v>0.21</v>
      </c>
      <c r="I30" s="37" t="n">
        <f aca="false">IF(OR($A30="",NOT(ISNUMBER($D30)),NOT(ISNUMBER($H30))),"",IF((1-$H30-Parâmetros!$B$7-Parâmetros!$C$7-Parâmetros!$D$7)&lt;=0,"INVALIDO",($D30+IF(ISNUMBER($E30),$E30,0)+IF(ISNUMBER(Parâmetros!$E$7),Parâmetros!$E$7,0))/(1-$H30-Parâmetros!$B$7-Parâmetros!$C$7-Parâmetros!$D$7)))</f>
        <v>198.173913043478</v>
      </c>
      <c r="J30" s="38"/>
      <c r="K30" s="39" t="n">
        <f aca="false">IF(OR($A30="",NOT(ISNUMBER($D30)),NOT(ISNUMBER($H30))),"",IF(AND(ISNUMBER($J30),$J30&gt;0),$J30,IF(ISNUMBER($I30),$I30,"")))</f>
        <v>198.173913043478</v>
      </c>
      <c r="L30" s="40" t="n">
        <f aca="false">IF(ISNUMBER($K30),$K30*$H30,"")</f>
        <v>41.6165217391304</v>
      </c>
      <c r="M30" s="40" t="n">
        <f aca="false">IF(ISNUMBER($K30),$K30*Parâmetros!$B$7,"")</f>
        <v>19.8173913043478</v>
      </c>
      <c r="N30" s="40" t="n">
        <f aca="false">IF(ISNUMBER($K30),$K30*Parâmetros!$C$7,"")</f>
        <v>5.94521739130435</v>
      </c>
      <c r="O30" s="40" t="n">
        <f aca="false">IF(ISNUMBER($K30),IF(ISNUMBER(Parâmetros!$E$7),Parâmetros!$E$7,0),"")</f>
        <v>0</v>
      </c>
      <c r="P30" s="41" t="n">
        <f aca="false">IF(ISNUMBER($K30),$K30-$D30-IF(ISNUMBER($E30),$E30,0)-$L30-$M30-$N30-$O30,"")</f>
        <v>39.6347826086957</v>
      </c>
      <c r="Q30" s="42" t="n">
        <f aca="false">IF(AND(ISNUMBER($K30),$K30&gt;0),$P30/$K30,"")</f>
        <v>0.2</v>
      </c>
      <c r="R30" s="43"/>
      <c r="S30" s="44" t="str">
        <f aca="false">IF(OR(NOT(ISNUMBER($R30)),$R30=0,NOT(ISNUMBER($K30))),"",$K30*(1-$R30))</f>
        <v/>
      </c>
      <c r="T30" s="45" t="str">
        <f aca="false">IF(ISNUMBER($S30),$S30*$H30,"")</f>
        <v/>
      </c>
      <c r="U30" s="45" t="str">
        <f aca="false">IF(ISNUMBER($S30),$S30*Parâmetros!$B$7,"")</f>
        <v/>
      </c>
      <c r="V30" s="45" t="str">
        <f aca="false">IF(ISNUMBER($S30),$S30*Parâmetros!$C$7,"")</f>
        <v/>
      </c>
      <c r="W30" s="44" t="str">
        <f aca="false">IF(ISNUMBER($S30),$S30-$D30-IF(ISNUMBER($E30),$E30,0)-$O30-$T30-$U30-$V30,"")</f>
        <v/>
      </c>
      <c r="X30" s="46" t="str">
        <f aca="false">IF(AND(ISNUMBER($S30),$S30&gt;0),$W30/$S30,"")</f>
        <v/>
      </c>
      <c r="Y30" s="47"/>
      <c r="Z30" s="19"/>
    </row>
    <row r="31" customFormat="false" ht="15.75" hidden="false" customHeight="true" outlineLevel="0" collapsed="false">
      <c r="A31" s="48" t="str">
        <f aca="false">IF(Produtos!$A31="","",Produtos!$A31)</f>
        <v>L2440-A</v>
      </c>
      <c r="B31" s="48" t="str">
        <f aca="false">IF(Produtos!$A31="","",Produtos!$B31)</f>
        <v>Lixeira Aço Inox c/Aro 24x40 20L</v>
      </c>
      <c r="C31" s="48" t="str">
        <f aca="false">IF(Produtos!$A31="","",Produtos!$C31)</f>
        <v>Lixeiras em inox</v>
      </c>
      <c r="D31" s="33" t="n">
        <f aca="false">IF(Produtos!$A31="","",IF(Produtos!$D31="","",Produtos!$D31))</f>
        <v>102.19</v>
      </c>
      <c r="E31" s="11" t="n">
        <v>0</v>
      </c>
      <c r="F31" s="34" t="n">
        <f aca="false">IF($A31="","",IF($C31="","⚠ categoria",IFERROR(INDEX(Parâmetros!$E$13:$E$22,MATCH($C31,Parâmetros!$A$13:$A$22,0)),"⚠ categoria")))</f>
        <v>0.21</v>
      </c>
      <c r="G31" s="35"/>
      <c r="H31" s="36" t="n">
        <f aca="false">IF($A31="","",IF(ISNUMBER($G31),$G31,IF(ISNUMBER($F31),$F31,"")))</f>
        <v>0.21</v>
      </c>
      <c r="I31" s="37" t="n">
        <f aca="false">IF(OR($A31="",NOT(ISNUMBER($D31)),NOT(ISNUMBER($H31))),"",IF((1-$H31-Parâmetros!$B$7-Parâmetros!$C$7-Parâmetros!$D$7)&lt;=0,"INVALIDO",($D31+IF(ISNUMBER($E31),$E31,0)+IF(ISNUMBER(Parâmetros!$E$7),Parâmetros!$E$7,0))/(1-$H31-Parâmetros!$B$7-Parâmetros!$C$7-Parâmetros!$D$7)))</f>
        <v>222.152173913043</v>
      </c>
      <c r="J31" s="38"/>
      <c r="K31" s="39" t="n">
        <f aca="false">IF(OR($A31="",NOT(ISNUMBER($D31)),NOT(ISNUMBER($H31))),"",IF(AND(ISNUMBER($J31),$J31&gt;0),$J31,IF(ISNUMBER($I31),$I31,"")))</f>
        <v>222.152173913043</v>
      </c>
      <c r="L31" s="40" t="n">
        <f aca="false">IF(ISNUMBER($K31),$K31*$H31,"")</f>
        <v>46.6519565217391</v>
      </c>
      <c r="M31" s="40" t="n">
        <f aca="false">IF(ISNUMBER($K31),$K31*Parâmetros!$B$7,"")</f>
        <v>22.2152173913044</v>
      </c>
      <c r="N31" s="40" t="n">
        <f aca="false">IF(ISNUMBER($K31),$K31*Parâmetros!$C$7,"")</f>
        <v>6.6645652173913</v>
      </c>
      <c r="O31" s="40" t="n">
        <f aca="false">IF(ISNUMBER($K31),IF(ISNUMBER(Parâmetros!$E$7),Parâmetros!$E$7,0),"")</f>
        <v>0</v>
      </c>
      <c r="P31" s="41" t="n">
        <f aca="false">IF(ISNUMBER($K31),$K31-$D31-IF(ISNUMBER($E31),$E31,0)-$L31-$M31-$N31-$O31,"")</f>
        <v>44.4304347826087</v>
      </c>
      <c r="Q31" s="42" t="n">
        <f aca="false">IF(AND(ISNUMBER($K31),$K31&gt;0),$P31/$K31,"")</f>
        <v>0.2</v>
      </c>
      <c r="R31" s="43"/>
      <c r="S31" s="44" t="str">
        <f aca="false">IF(OR(NOT(ISNUMBER($R31)),$R31=0,NOT(ISNUMBER($K31))),"",$K31*(1-$R31))</f>
        <v/>
      </c>
      <c r="T31" s="45" t="str">
        <f aca="false">IF(ISNUMBER($S31),$S31*$H31,"")</f>
        <v/>
      </c>
      <c r="U31" s="45" t="str">
        <f aca="false">IF(ISNUMBER($S31),$S31*Parâmetros!$B$7,"")</f>
        <v/>
      </c>
      <c r="V31" s="45" t="str">
        <f aca="false">IF(ISNUMBER($S31),$S31*Parâmetros!$C$7,"")</f>
        <v/>
      </c>
      <c r="W31" s="44" t="str">
        <f aca="false">IF(ISNUMBER($S31),$S31-$D31-IF(ISNUMBER($E31),$E31,0)-$O31-$T31-$U31-$V31,"")</f>
        <v/>
      </c>
      <c r="X31" s="46" t="str">
        <f aca="false">IF(AND(ISNUMBER($S31),$S31&gt;0),$W31/$S31,"")</f>
        <v/>
      </c>
      <c r="Y31" s="49"/>
      <c r="Z31" s="21"/>
    </row>
    <row r="32" customFormat="false" ht="15.75" hidden="false" customHeight="true" outlineLevel="0" collapsed="false">
      <c r="A32" s="32" t="str">
        <f aca="false">IF(Produtos!$A32="","",Produtos!$A32)</f>
        <v>L2450-A</v>
      </c>
      <c r="B32" s="32" t="str">
        <f aca="false">IF(Produtos!$A32="","",Produtos!$B32)</f>
        <v>Lixeira Aço Inox c/Aro 24x50 25L</v>
      </c>
      <c r="C32" s="32" t="str">
        <f aca="false">IF(Produtos!$A32="","",Produtos!$C32)</f>
        <v>Lixeiras em inox</v>
      </c>
      <c r="D32" s="33" t="n">
        <f aca="false">IF(Produtos!$A32="","",IF(Produtos!$D32="","",Produtos!$D32))</f>
        <v>132.03</v>
      </c>
      <c r="E32" s="11" t="n">
        <v>0</v>
      </c>
      <c r="F32" s="34" t="n">
        <f aca="false">IF($A32="","",IF($C32="","⚠ categoria",IFERROR(INDEX(Parâmetros!$E$13:$E$22,MATCH($C32,Parâmetros!$A$13:$A$22,0)),"⚠ categoria")))</f>
        <v>0.21</v>
      </c>
      <c r="G32" s="35"/>
      <c r="H32" s="36" t="n">
        <f aca="false">IF($A32="","",IF(ISNUMBER($G32),$G32,IF(ISNUMBER($F32),$F32,"")))</f>
        <v>0.21</v>
      </c>
      <c r="I32" s="37" t="n">
        <f aca="false">IF(OR($A32="",NOT(ISNUMBER($D32)),NOT(ISNUMBER($H32))),"",IF((1-$H32-Parâmetros!$B$7-Parâmetros!$C$7-Parâmetros!$D$7)&lt;=0,"INVALIDO",($D32+IF(ISNUMBER($E32),$E32,0)+IF(ISNUMBER(Parâmetros!$E$7),Parâmetros!$E$7,0))/(1-$H32-Parâmetros!$B$7-Parâmetros!$C$7-Parâmetros!$D$7)))</f>
        <v>287.021739130435</v>
      </c>
      <c r="J32" s="38"/>
      <c r="K32" s="39" t="n">
        <f aca="false">IF(OR($A32="",NOT(ISNUMBER($D32)),NOT(ISNUMBER($H32))),"",IF(AND(ISNUMBER($J32),$J32&gt;0),$J32,IF(ISNUMBER($I32),$I32,"")))</f>
        <v>287.021739130435</v>
      </c>
      <c r="L32" s="40" t="n">
        <f aca="false">IF(ISNUMBER($K32),$K32*$H32,"")</f>
        <v>60.2745652173913</v>
      </c>
      <c r="M32" s="40" t="n">
        <f aca="false">IF(ISNUMBER($K32),$K32*Parâmetros!$B$7,"")</f>
        <v>28.7021739130435</v>
      </c>
      <c r="N32" s="40" t="n">
        <f aca="false">IF(ISNUMBER($K32),$K32*Parâmetros!$C$7,"")</f>
        <v>8.61065217391304</v>
      </c>
      <c r="O32" s="40" t="n">
        <f aca="false">IF(ISNUMBER($K32),IF(ISNUMBER(Parâmetros!$E$7),Parâmetros!$E$7,0),"")</f>
        <v>0</v>
      </c>
      <c r="P32" s="41" t="n">
        <f aca="false">IF(ISNUMBER($K32),$K32-$D32-IF(ISNUMBER($E32),$E32,0)-$L32-$M32-$N32-$O32,"")</f>
        <v>57.4043478260869</v>
      </c>
      <c r="Q32" s="42" t="n">
        <f aca="false">IF(AND(ISNUMBER($K32),$K32&gt;0),$P32/$K32,"")</f>
        <v>0.2</v>
      </c>
      <c r="R32" s="43"/>
      <c r="S32" s="44" t="str">
        <f aca="false">IF(OR(NOT(ISNUMBER($R32)),$R32=0,NOT(ISNUMBER($K32))),"",$K32*(1-$R32))</f>
        <v/>
      </c>
      <c r="T32" s="45" t="str">
        <f aca="false">IF(ISNUMBER($S32),$S32*$H32,"")</f>
        <v/>
      </c>
      <c r="U32" s="45" t="str">
        <f aca="false">IF(ISNUMBER($S32),$S32*Parâmetros!$B$7,"")</f>
        <v/>
      </c>
      <c r="V32" s="45" t="str">
        <f aca="false">IF(ISNUMBER($S32),$S32*Parâmetros!$C$7,"")</f>
        <v/>
      </c>
      <c r="W32" s="44" t="str">
        <f aca="false">IF(ISNUMBER($S32),$S32-$D32-IF(ISNUMBER($E32),$E32,0)-$O32-$T32-$U32-$V32,"")</f>
        <v/>
      </c>
      <c r="X32" s="46" t="str">
        <f aca="false">IF(AND(ISNUMBER($S32),$S32&gt;0),$W32/$S32,"")</f>
        <v/>
      </c>
      <c r="Y32" s="47"/>
      <c r="Z32" s="19"/>
    </row>
    <row r="33" customFormat="false" ht="15.75" hidden="false" customHeight="true" outlineLevel="0" collapsed="false">
      <c r="A33" s="48" t="str">
        <f aca="false">IF(Produtos!$A33="","",Produtos!$A33)</f>
        <v>L2460-A</v>
      </c>
      <c r="B33" s="48" t="str">
        <f aca="false">IF(Produtos!$A33="","",Produtos!$B33)</f>
        <v>Lixeira Aço Inox c/Aro 24x60 27L</v>
      </c>
      <c r="C33" s="48" t="str">
        <f aca="false">IF(Produtos!$A33="","",Produtos!$C33)</f>
        <v>Lixeiras em inox</v>
      </c>
      <c r="D33" s="33" t="n">
        <f aca="false">IF(Produtos!$A33="","",IF(Produtos!$D33="","",Produtos!$D33))</f>
        <v>136.09</v>
      </c>
      <c r="E33" s="11" t="n">
        <v>0</v>
      </c>
      <c r="F33" s="34" t="n">
        <f aca="false">IF($A33="","",IF($C33="","⚠ categoria",IFERROR(INDEX(Parâmetros!$E$13:$E$22,MATCH($C33,Parâmetros!$A$13:$A$22,0)),"⚠ categoria")))</f>
        <v>0.21</v>
      </c>
      <c r="G33" s="35"/>
      <c r="H33" s="36" t="n">
        <f aca="false">IF($A33="","",IF(ISNUMBER($G33),$G33,IF(ISNUMBER($F33),$F33,"")))</f>
        <v>0.21</v>
      </c>
      <c r="I33" s="37" t="n">
        <f aca="false">IF(OR($A33="",NOT(ISNUMBER($D33)),NOT(ISNUMBER($H33))),"",IF((1-$H33-Parâmetros!$B$7-Parâmetros!$C$7-Parâmetros!$D$7)&lt;=0,"INVALIDO",($D33+IF(ISNUMBER($E33),$E33,0)+IF(ISNUMBER(Parâmetros!$E$7),Parâmetros!$E$7,0))/(1-$H33-Parâmetros!$B$7-Parâmetros!$C$7-Parâmetros!$D$7)))</f>
        <v>295.847826086957</v>
      </c>
      <c r="J33" s="38"/>
      <c r="K33" s="39" t="n">
        <f aca="false">IF(OR($A33="",NOT(ISNUMBER($D33)),NOT(ISNUMBER($H33))),"",IF(AND(ISNUMBER($J33),$J33&gt;0),$J33,IF(ISNUMBER($I33),$I33,"")))</f>
        <v>295.847826086957</v>
      </c>
      <c r="L33" s="40" t="n">
        <f aca="false">IF(ISNUMBER($K33),$K33*$H33,"")</f>
        <v>62.1280434782609</v>
      </c>
      <c r="M33" s="40" t="n">
        <f aca="false">IF(ISNUMBER($K33),$K33*Parâmetros!$B$7,"")</f>
        <v>29.5847826086957</v>
      </c>
      <c r="N33" s="40" t="n">
        <f aca="false">IF(ISNUMBER($K33),$K33*Parâmetros!$C$7,"")</f>
        <v>8.8754347826087</v>
      </c>
      <c r="O33" s="40" t="n">
        <f aca="false">IF(ISNUMBER($K33),IF(ISNUMBER(Parâmetros!$E$7),Parâmetros!$E$7,0),"")</f>
        <v>0</v>
      </c>
      <c r="P33" s="41" t="n">
        <f aca="false">IF(ISNUMBER($K33),$K33-$D33-IF(ISNUMBER($E33),$E33,0)-$L33-$M33-$N33-$O33,"")</f>
        <v>59.1695652173913</v>
      </c>
      <c r="Q33" s="42" t="n">
        <f aca="false">IF(AND(ISNUMBER($K33),$K33&gt;0),$P33/$K33,"")</f>
        <v>0.2</v>
      </c>
      <c r="R33" s="43"/>
      <c r="S33" s="44" t="str">
        <f aca="false">IF(OR(NOT(ISNUMBER($R33)),$R33=0,NOT(ISNUMBER($K33))),"",$K33*(1-$R33))</f>
        <v/>
      </c>
      <c r="T33" s="45" t="str">
        <f aca="false">IF(ISNUMBER($S33),$S33*$H33,"")</f>
        <v/>
      </c>
      <c r="U33" s="45" t="str">
        <f aca="false">IF(ISNUMBER($S33),$S33*Parâmetros!$B$7,"")</f>
        <v/>
      </c>
      <c r="V33" s="45" t="str">
        <f aca="false">IF(ISNUMBER($S33),$S33*Parâmetros!$C$7,"")</f>
        <v/>
      </c>
      <c r="W33" s="44" t="str">
        <f aca="false">IF(ISNUMBER($S33),$S33-$D33-IF(ISNUMBER($E33),$E33,0)-$O33-$T33-$U33-$V33,"")</f>
        <v/>
      </c>
      <c r="X33" s="46" t="str">
        <f aca="false">IF(AND(ISNUMBER($S33),$S33&gt;0),$W33/$S33,"")</f>
        <v/>
      </c>
      <c r="Y33" s="49"/>
      <c r="Z33" s="21"/>
    </row>
    <row r="34" customFormat="false" ht="15.75" hidden="false" customHeight="true" outlineLevel="0" collapsed="false">
      <c r="A34" s="32" t="str">
        <f aca="false">IF(Produtos!$A34="","",Produtos!$A34)</f>
        <v>L2470-A</v>
      </c>
      <c r="B34" s="32" t="str">
        <f aca="false">IF(Produtos!$A34="","",Produtos!$B34)</f>
        <v>Lixeira Aço Inox c/Aro 24x70 30L</v>
      </c>
      <c r="C34" s="32" t="str">
        <f aca="false">IF(Produtos!$A34="","",Produtos!$C34)</f>
        <v>Lixeiras em inox</v>
      </c>
      <c r="D34" s="33" t="n">
        <f aca="false">IF(Produtos!$A34="","",IF(Produtos!$D34="","",Produtos!$D34))</f>
        <v>203.27</v>
      </c>
      <c r="E34" s="11" t="n">
        <v>0</v>
      </c>
      <c r="F34" s="34" t="n">
        <f aca="false">IF($A34="","",IF($C34="","⚠ categoria",IFERROR(INDEX(Parâmetros!$E$13:$E$22,MATCH($C34,Parâmetros!$A$13:$A$22,0)),"⚠ categoria")))</f>
        <v>0.21</v>
      </c>
      <c r="G34" s="35"/>
      <c r="H34" s="36" t="n">
        <f aca="false">IF($A34="","",IF(ISNUMBER($G34),$G34,IF(ISNUMBER($F34),$F34,"")))</f>
        <v>0.21</v>
      </c>
      <c r="I34" s="37" t="n">
        <f aca="false">IF(OR($A34="",NOT(ISNUMBER($D34)),NOT(ISNUMBER($H34))),"",IF((1-$H34-Parâmetros!$B$7-Parâmetros!$C$7-Parâmetros!$D$7)&lt;=0,"INVALIDO",($D34+IF(ISNUMBER($E34),$E34,0)+IF(ISNUMBER(Parâmetros!$E$7),Parâmetros!$E$7,0))/(1-$H34-Parâmetros!$B$7-Parâmetros!$C$7-Parâmetros!$D$7)))</f>
        <v>441.891304347826</v>
      </c>
      <c r="J34" s="38"/>
      <c r="K34" s="39" t="n">
        <f aca="false">IF(OR($A34="",NOT(ISNUMBER($D34)),NOT(ISNUMBER($H34))),"",IF(AND(ISNUMBER($J34),$J34&gt;0),$J34,IF(ISNUMBER($I34),$I34,"")))</f>
        <v>441.891304347826</v>
      </c>
      <c r="L34" s="40" t="n">
        <f aca="false">IF(ISNUMBER($K34),$K34*$H34,"")</f>
        <v>92.7971739130435</v>
      </c>
      <c r="M34" s="40" t="n">
        <f aca="false">IF(ISNUMBER($K34),$K34*Parâmetros!$B$7,"")</f>
        <v>44.1891304347826</v>
      </c>
      <c r="N34" s="40" t="n">
        <f aca="false">IF(ISNUMBER($K34),$K34*Parâmetros!$C$7,"")</f>
        <v>13.2567391304348</v>
      </c>
      <c r="O34" s="40" t="n">
        <f aca="false">IF(ISNUMBER($K34),IF(ISNUMBER(Parâmetros!$E$7),Parâmetros!$E$7,0),"")</f>
        <v>0</v>
      </c>
      <c r="P34" s="41" t="n">
        <f aca="false">IF(ISNUMBER($K34),$K34-$D34-IF(ISNUMBER($E34),$E34,0)-$L34-$M34-$N34-$O34,"")</f>
        <v>88.3782608695652</v>
      </c>
      <c r="Q34" s="42" t="n">
        <f aca="false">IF(AND(ISNUMBER($K34),$K34&gt;0),$P34/$K34,"")</f>
        <v>0.2</v>
      </c>
      <c r="R34" s="43"/>
      <c r="S34" s="44" t="str">
        <f aca="false">IF(OR(NOT(ISNUMBER($R34)),$R34=0,NOT(ISNUMBER($K34))),"",$K34*(1-$R34))</f>
        <v/>
      </c>
      <c r="T34" s="45" t="str">
        <f aca="false">IF(ISNUMBER($S34),$S34*$H34,"")</f>
        <v/>
      </c>
      <c r="U34" s="45" t="str">
        <f aca="false">IF(ISNUMBER($S34),$S34*Parâmetros!$B$7,"")</f>
        <v/>
      </c>
      <c r="V34" s="45" t="str">
        <f aca="false">IF(ISNUMBER($S34),$S34*Parâmetros!$C$7,"")</f>
        <v/>
      </c>
      <c r="W34" s="44" t="str">
        <f aca="false">IF(ISNUMBER($S34),$S34-$D34-IF(ISNUMBER($E34),$E34,0)-$O34-$T34-$U34-$V34,"")</f>
        <v/>
      </c>
      <c r="X34" s="46" t="str">
        <f aca="false">IF(AND(ISNUMBER($S34),$S34&gt;0),$W34/$S34,"")</f>
        <v/>
      </c>
      <c r="Y34" s="47"/>
      <c r="Z34" s="19"/>
    </row>
    <row r="35" customFormat="false" ht="15.75" hidden="false" customHeight="true" outlineLevel="0" collapsed="false">
      <c r="A35" s="48" t="str">
        <f aca="false">IF(Produtos!$A35="","",Produtos!$A35)</f>
        <v>L3040-A</v>
      </c>
      <c r="B35" s="48" t="str">
        <f aca="false">IF(Produtos!$A35="","",Produtos!$B35)</f>
        <v>Lixeira Aço Inox c/Aro 30x40 30L</v>
      </c>
      <c r="C35" s="48" t="str">
        <f aca="false">IF(Produtos!$A35="","",Produtos!$C35)</f>
        <v>Lixeiras em inox</v>
      </c>
      <c r="D35" s="33" t="n">
        <f aca="false">IF(Produtos!$A35="","",IF(Produtos!$D35="","",Produtos!$D35))</f>
        <v>151.33</v>
      </c>
      <c r="E35" s="11" t="n">
        <v>0</v>
      </c>
      <c r="F35" s="34" t="n">
        <f aca="false">IF($A35="","",IF($C35="","⚠ categoria",IFERROR(INDEX(Parâmetros!$E$13:$E$22,MATCH($C35,Parâmetros!$A$13:$A$22,0)),"⚠ categoria")))</f>
        <v>0.21</v>
      </c>
      <c r="G35" s="35"/>
      <c r="H35" s="36" t="n">
        <f aca="false">IF($A35="","",IF(ISNUMBER($G35),$G35,IF(ISNUMBER($F35),$F35,"")))</f>
        <v>0.21</v>
      </c>
      <c r="I35" s="37" t="n">
        <f aca="false">IF(OR($A35="",NOT(ISNUMBER($D35)),NOT(ISNUMBER($H35))),"",IF((1-$H35-Parâmetros!$B$7-Parâmetros!$C$7-Parâmetros!$D$7)&lt;=0,"INVALIDO",($D35+IF(ISNUMBER($E35),$E35,0)+IF(ISNUMBER(Parâmetros!$E$7),Parâmetros!$E$7,0))/(1-$H35-Parâmetros!$B$7-Parâmetros!$C$7-Parâmetros!$D$7)))</f>
        <v>328.978260869565</v>
      </c>
      <c r="J35" s="38"/>
      <c r="K35" s="39" t="n">
        <f aca="false">IF(OR($A35="",NOT(ISNUMBER($D35)),NOT(ISNUMBER($H35))),"",IF(AND(ISNUMBER($J35),$J35&gt;0),$J35,IF(ISNUMBER($I35),$I35,"")))</f>
        <v>328.978260869565</v>
      </c>
      <c r="L35" s="40" t="n">
        <f aca="false">IF(ISNUMBER($K35),$K35*$H35,"")</f>
        <v>69.0854347826087</v>
      </c>
      <c r="M35" s="40" t="n">
        <f aca="false">IF(ISNUMBER($K35),$K35*Parâmetros!$B$7,"")</f>
        <v>32.8978260869565</v>
      </c>
      <c r="N35" s="40" t="n">
        <f aca="false">IF(ISNUMBER($K35),$K35*Parâmetros!$C$7,"")</f>
        <v>9.86934782608696</v>
      </c>
      <c r="O35" s="40" t="n">
        <f aca="false">IF(ISNUMBER($K35),IF(ISNUMBER(Parâmetros!$E$7),Parâmetros!$E$7,0),"")</f>
        <v>0</v>
      </c>
      <c r="P35" s="41" t="n">
        <f aca="false">IF(ISNUMBER($K35),$K35-$D35-IF(ISNUMBER($E35),$E35,0)-$L35-$M35-$N35-$O35,"")</f>
        <v>65.7956521739131</v>
      </c>
      <c r="Q35" s="42" t="n">
        <f aca="false">IF(AND(ISNUMBER($K35),$K35&gt;0),$P35/$K35,"")</f>
        <v>0.2</v>
      </c>
      <c r="R35" s="43"/>
      <c r="S35" s="44" t="str">
        <f aca="false">IF(OR(NOT(ISNUMBER($R35)),$R35=0,NOT(ISNUMBER($K35))),"",$K35*(1-$R35))</f>
        <v/>
      </c>
      <c r="T35" s="45" t="str">
        <f aca="false">IF(ISNUMBER($S35),$S35*$H35,"")</f>
        <v/>
      </c>
      <c r="U35" s="45" t="str">
        <f aca="false">IF(ISNUMBER($S35),$S35*Parâmetros!$B$7,"")</f>
        <v/>
      </c>
      <c r="V35" s="45" t="str">
        <f aca="false">IF(ISNUMBER($S35),$S35*Parâmetros!$C$7,"")</f>
        <v/>
      </c>
      <c r="W35" s="44" t="str">
        <f aca="false">IF(ISNUMBER($S35),$S35-$D35-IF(ISNUMBER($E35),$E35,0)-$O35-$T35-$U35-$V35,"")</f>
        <v/>
      </c>
      <c r="X35" s="46" t="str">
        <f aca="false">IF(AND(ISNUMBER($S35),$S35&gt;0),$W35/$S35,"")</f>
        <v/>
      </c>
      <c r="Y35" s="49"/>
      <c r="Z35" s="21"/>
    </row>
    <row r="36" customFormat="false" ht="15.75" hidden="false" customHeight="true" outlineLevel="0" collapsed="false">
      <c r="A36" s="32" t="str">
        <f aca="false">IF(Produtos!$A36="","",Produtos!$A36)</f>
        <v>L3050-A</v>
      </c>
      <c r="B36" s="32" t="str">
        <f aca="false">IF(Produtos!$A36="","",Produtos!$B36)</f>
        <v>Lixeira Aço Inox c/Aro 30x50 35L</v>
      </c>
      <c r="C36" s="32" t="str">
        <f aca="false">IF(Produtos!$A36="","",Produtos!$C36)</f>
        <v>Lixeiras em inox</v>
      </c>
      <c r="D36" s="33" t="n">
        <f aca="false">IF(Produtos!$A36="","",IF(Produtos!$D36="","",Produtos!$D36))</f>
        <v>189.66</v>
      </c>
      <c r="E36" s="11" t="n">
        <v>0</v>
      </c>
      <c r="F36" s="34" t="n">
        <f aca="false">IF($A36="","",IF($C36="","⚠ categoria",IFERROR(INDEX(Parâmetros!$E$13:$E$22,MATCH($C36,Parâmetros!$A$13:$A$22,0)),"⚠ categoria")))</f>
        <v>0.21</v>
      </c>
      <c r="G36" s="35"/>
      <c r="H36" s="36" t="n">
        <f aca="false">IF($A36="","",IF(ISNUMBER($G36),$G36,IF(ISNUMBER($F36),$F36,"")))</f>
        <v>0.21</v>
      </c>
      <c r="I36" s="37" t="n">
        <f aca="false">IF(OR($A36="",NOT(ISNUMBER($D36)),NOT(ISNUMBER($H36))),"",IF((1-$H36-Parâmetros!$B$7-Parâmetros!$C$7-Parâmetros!$D$7)&lt;=0,"INVALIDO",($D36+IF(ISNUMBER($E36),$E36,0)+IF(ISNUMBER(Parâmetros!$E$7),Parâmetros!$E$7,0))/(1-$H36-Parâmetros!$B$7-Parâmetros!$C$7-Parâmetros!$D$7)))</f>
        <v>412.304347826087</v>
      </c>
      <c r="J36" s="38"/>
      <c r="K36" s="39" t="n">
        <f aca="false">IF(OR($A36="",NOT(ISNUMBER($D36)),NOT(ISNUMBER($H36))),"",IF(AND(ISNUMBER($J36),$J36&gt;0),$J36,IF(ISNUMBER($I36),$I36,"")))</f>
        <v>412.304347826087</v>
      </c>
      <c r="L36" s="40" t="n">
        <f aca="false">IF(ISNUMBER($K36),$K36*$H36,"")</f>
        <v>86.5839130434783</v>
      </c>
      <c r="M36" s="40" t="n">
        <f aca="false">IF(ISNUMBER($K36),$K36*Parâmetros!$B$7,"")</f>
        <v>41.2304347826087</v>
      </c>
      <c r="N36" s="40" t="n">
        <f aca="false">IF(ISNUMBER($K36),$K36*Parâmetros!$C$7,"")</f>
        <v>12.3691304347826</v>
      </c>
      <c r="O36" s="40" t="n">
        <f aca="false">IF(ISNUMBER($K36),IF(ISNUMBER(Parâmetros!$E$7),Parâmetros!$E$7,0),"")</f>
        <v>0</v>
      </c>
      <c r="P36" s="41" t="n">
        <f aca="false">IF(ISNUMBER($K36),$K36-$D36-IF(ISNUMBER($E36),$E36,0)-$L36-$M36-$N36-$O36,"")</f>
        <v>82.4608695652174</v>
      </c>
      <c r="Q36" s="42" t="n">
        <f aca="false">IF(AND(ISNUMBER($K36),$K36&gt;0),$P36/$K36,"")</f>
        <v>0.2</v>
      </c>
      <c r="R36" s="43"/>
      <c r="S36" s="44" t="str">
        <f aca="false">IF(OR(NOT(ISNUMBER($R36)),$R36=0,NOT(ISNUMBER($K36))),"",$K36*(1-$R36))</f>
        <v/>
      </c>
      <c r="T36" s="45" t="str">
        <f aca="false">IF(ISNUMBER($S36),$S36*$H36,"")</f>
        <v/>
      </c>
      <c r="U36" s="45" t="str">
        <f aca="false">IF(ISNUMBER($S36),$S36*Parâmetros!$B$7,"")</f>
        <v/>
      </c>
      <c r="V36" s="45" t="str">
        <f aca="false">IF(ISNUMBER($S36),$S36*Parâmetros!$C$7,"")</f>
        <v/>
      </c>
      <c r="W36" s="44" t="str">
        <f aca="false">IF(ISNUMBER($S36),$S36-$D36-IF(ISNUMBER($E36),$E36,0)-$O36-$T36-$U36-$V36,"")</f>
        <v/>
      </c>
      <c r="X36" s="46" t="str">
        <f aca="false">IF(AND(ISNUMBER($S36),$S36&gt;0),$W36/$S36,"")</f>
        <v/>
      </c>
      <c r="Y36" s="47"/>
      <c r="Z36" s="19"/>
    </row>
    <row r="37" customFormat="false" ht="15.75" hidden="false" customHeight="true" outlineLevel="0" collapsed="false">
      <c r="A37" s="48" t="str">
        <f aca="false">IF(Produtos!$A37="","",Produtos!$A37)</f>
        <v>L3060-A</v>
      </c>
      <c r="B37" s="48" t="str">
        <f aca="false">IF(Produtos!$A37="","",Produtos!$B37)</f>
        <v>Lixeira Aço Inox c/Aro 30x60 40L</v>
      </c>
      <c r="C37" s="48" t="str">
        <f aca="false">IF(Produtos!$A37="","",Produtos!$C37)</f>
        <v>Lixeiras em inox</v>
      </c>
      <c r="D37" s="33" t="n">
        <f aca="false">IF(Produtos!$A37="","",IF(Produtos!$D37="","",Produtos!$D37))</f>
        <v>205.57</v>
      </c>
      <c r="E37" s="11" t="n">
        <v>0</v>
      </c>
      <c r="F37" s="34" t="n">
        <f aca="false">IF($A37="","",IF($C37="","⚠ categoria",IFERROR(INDEX(Parâmetros!$E$13:$E$22,MATCH($C37,Parâmetros!$A$13:$A$22,0)),"⚠ categoria")))</f>
        <v>0.21</v>
      </c>
      <c r="G37" s="35"/>
      <c r="H37" s="36" t="n">
        <f aca="false">IF($A37="","",IF(ISNUMBER($G37),$G37,IF(ISNUMBER($F37),$F37,"")))</f>
        <v>0.21</v>
      </c>
      <c r="I37" s="37" t="n">
        <f aca="false">IF(OR($A37="",NOT(ISNUMBER($D37)),NOT(ISNUMBER($H37))),"",IF((1-$H37-Parâmetros!$B$7-Parâmetros!$C$7-Parâmetros!$D$7)&lt;=0,"INVALIDO",($D37+IF(ISNUMBER($E37),$E37,0)+IF(ISNUMBER(Parâmetros!$E$7),Parâmetros!$E$7,0))/(1-$H37-Parâmetros!$B$7-Parâmetros!$C$7-Parâmetros!$D$7)))</f>
        <v>446.891304347826</v>
      </c>
      <c r="J37" s="38"/>
      <c r="K37" s="39" t="n">
        <f aca="false">IF(OR($A37="",NOT(ISNUMBER($D37)),NOT(ISNUMBER($H37))),"",IF(AND(ISNUMBER($J37),$J37&gt;0),$J37,IF(ISNUMBER($I37),$I37,"")))</f>
        <v>446.891304347826</v>
      </c>
      <c r="L37" s="40" t="n">
        <f aca="false">IF(ISNUMBER($K37),$K37*$H37,"")</f>
        <v>93.8471739130435</v>
      </c>
      <c r="M37" s="40" t="n">
        <f aca="false">IF(ISNUMBER($K37),$K37*Parâmetros!$B$7,"")</f>
        <v>44.6891304347826</v>
      </c>
      <c r="N37" s="40" t="n">
        <f aca="false">IF(ISNUMBER($K37),$K37*Parâmetros!$C$7,"")</f>
        <v>13.4067391304348</v>
      </c>
      <c r="O37" s="40" t="n">
        <f aca="false">IF(ISNUMBER($K37),IF(ISNUMBER(Parâmetros!$E$7),Parâmetros!$E$7,0),"")</f>
        <v>0</v>
      </c>
      <c r="P37" s="41" t="n">
        <f aca="false">IF(ISNUMBER($K37),$K37-$D37-IF(ISNUMBER($E37),$E37,0)-$L37-$M37-$N37-$O37,"")</f>
        <v>89.3782608695652</v>
      </c>
      <c r="Q37" s="42" t="n">
        <f aca="false">IF(AND(ISNUMBER($K37),$K37&gt;0),$P37/$K37,"")</f>
        <v>0.2</v>
      </c>
      <c r="R37" s="43"/>
      <c r="S37" s="44" t="str">
        <f aca="false">IF(OR(NOT(ISNUMBER($R37)),$R37=0,NOT(ISNUMBER($K37))),"",$K37*(1-$R37))</f>
        <v/>
      </c>
      <c r="T37" s="45" t="str">
        <f aca="false">IF(ISNUMBER($S37),$S37*$H37,"")</f>
        <v/>
      </c>
      <c r="U37" s="45" t="str">
        <f aca="false">IF(ISNUMBER($S37),$S37*Parâmetros!$B$7,"")</f>
        <v/>
      </c>
      <c r="V37" s="45" t="str">
        <f aca="false">IF(ISNUMBER($S37),$S37*Parâmetros!$C$7,"")</f>
        <v/>
      </c>
      <c r="W37" s="44" t="str">
        <f aca="false">IF(ISNUMBER($S37),$S37-$D37-IF(ISNUMBER($E37),$E37,0)-$O37-$T37-$U37-$V37,"")</f>
        <v/>
      </c>
      <c r="X37" s="46" t="str">
        <f aca="false">IF(AND(ISNUMBER($S37),$S37&gt;0),$W37/$S37,"")</f>
        <v/>
      </c>
      <c r="Y37" s="49"/>
      <c r="Z37" s="21"/>
    </row>
    <row r="38" customFormat="false" ht="15.75" hidden="false" customHeight="true" outlineLevel="0" collapsed="false">
      <c r="A38" s="32" t="str">
        <f aca="false">IF(Produtos!$A38="","",Produtos!$A38)</f>
        <v>L3070-A</v>
      </c>
      <c r="B38" s="32" t="str">
        <f aca="false">IF(Produtos!$A38="","",Produtos!$B38)</f>
        <v>Lixeira Aço Inox c/Aro 30x70 50L</v>
      </c>
      <c r="C38" s="32" t="str">
        <f aca="false">IF(Produtos!$A38="","",Produtos!$C38)</f>
        <v>Lixeiras em inox</v>
      </c>
      <c r="D38" s="33" t="n">
        <f aca="false">IF(Produtos!$A38="","",IF(Produtos!$D38="","",Produtos!$D38))</f>
        <v>258.22</v>
      </c>
      <c r="E38" s="11" t="n">
        <v>0</v>
      </c>
      <c r="F38" s="34" t="n">
        <f aca="false">IF($A38="","",IF($C38="","⚠ categoria",IFERROR(INDEX(Parâmetros!$E$13:$E$22,MATCH($C38,Parâmetros!$A$13:$A$22,0)),"⚠ categoria")))</f>
        <v>0.21</v>
      </c>
      <c r="G38" s="35"/>
      <c r="H38" s="36" t="n">
        <f aca="false">IF($A38="","",IF(ISNUMBER($G38),$G38,IF(ISNUMBER($F38),$F38,"")))</f>
        <v>0.21</v>
      </c>
      <c r="I38" s="37" t="n">
        <f aca="false">IF(OR($A38="",NOT(ISNUMBER($D38)),NOT(ISNUMBER($H38))),"",IF((1-$H38-Parâmetros!$B$7-Parâmetros!$C$7-Parâmetros!$D$7)&lt;=0,"INVALIDO",($D38+IF(ISNUMBER($E38),$E38,0)+IF(ISNUMBER(Parâmetros!$E$7),Parâmetros!$E$7,0))/(1-$H38-Parâmetros!$B$7-Parâmetros!$C$7-Parâmetros!$D$7)))</f>
        <v>561.347826086957</v>
      </c>
      <c r="J38" s="38"/>
      <c r="K38" s="39" t="n">
        <f aca="false">IF(OR($A38="",NOT(ISNUMBER($D38)),NOT(ISNUMBER($H38))),"",IF(AND(ISNUMBER($J38),$J38&gt;0),$J38,IF(ISNUMBER($I38),$I38,"")))</f>
        <v>561.347826086957</v>
      </c>
      <c r="L38" s="40" t="n">
        <f aca="false">IF(ISNUMBER($K38),$K38*$H38,"")</f>
        <v>117.883043478261</v>
      </c>
      <c r="M38" s="40" t="n">
        <f aca="false">IF(ISNUMBER($K38),$K38*Parâmetros!$B$7,"")</f>
        <v>56.1347826086957</v>
      </c>
      <c r="N38" s="40" t="n">
        <f aca="false">IF(ISNUMBER($K38),$K38*Parâmetros!$C$7,"")</f>
        <v>16.8404347826087</v>
      </c>
      <c r="O38" s="40" t="n">
        <f aca="false">IF(ISNUMBER($K38),IF(ISNUMBER(Parâmetros!$E$7),Parâmetros!$E$7,0),"")</f>
        <v>0</v>
      </c>
      <c r="P38" s="41" t="n">
        <f aca="false">IF(ISNUMBER($K38),$K38-$D38-IF(ISNUMBER($E38),$E38,0)-$L38-$M38-$N38-$O38,"")</f>
        <v>112.269565217391</v>
      </c>
      <c r="Q38" s="42" t="n">
        <f aca="false">IF(AND(ISNUMBER($K38),$K38&gt;0),$P38/$K38,"")</f>
        <v>0.2</v>
      </c>
      <c r="R38" s="43"/>
      <c r="S38" s="44" t="str">
        <f aca="false">IF(OR(NOT(ISNUMBER($R38)),$R38=0,NOT(ISNUMBER($K38))),"",$K38*(1-$R38))</f>
        <v/>
      </c>
      <c r="T38" s="45" t="str">
        <f aca="false">IF(ISNUMBER($S38),$S38*$H38,"")</f>
        <v/>
      </c>
      <c r="U38" s="45" t="str">
        <f aca="false">IF(ISNUMBER($S38),$S38*Parâmetros!$B$7,"")</f>
        <v/>
      </c>
      <c r="V38" s="45" t="str">
        <f aca="false">IF(ISNUMBER($S38),$S38*Parâmetros!$C$7,"")</f>
        <v/>
      </c>
      <c r="W38" s="44" t="str">
        <f aca="false">IF(ISNUMBER($S38),$S38-$D38-IF(ISNUMBER($E38),$E38,0)-$O38-$T38-$U38-$V38,"")</f>
        <v/>
      </c>
      <c r="X38" s="46" t="str">
        <f aca="false">IF(AND(ISNUMBER($S38),$S38&gt;0),$W38/$S38,"")</f>
        <v/>
      </c>
      <c r="Y38" s="47"/>
      <c r="Z38" s="19"/>
    </row>
    <row r="39" customFormat="false" ht="15.75" hidden="false" customHeight="true" outlineLevel="0" collapsed="false">
      <c r="A39" s="48" t="str">
        <f aca="false">IF(Produtos!$A39="","",Produtos!$A39)</f>
        <v>L3085-A</v>
      </c>
      <c r="B39" s="48" t="str">
        <f aca="false">IF(Produtos!$A39="","",Produtos!$B39)</f>
        <v>Lixeira Aço Inox c/Aro 30x85 60L</v>
      </c>
      <c r="C39" s="48" t="str">
        <f aca="false">IF(Produtos!$A39="","",Produtos!$C39)</f>
        <v>Lixeiras em inox</v>
      </c>
      <c r="D39" s="33" t="n">
        <f aca="false">IF(Produtos!$A39="","",IF(Produtos!$D39="","",Produtos!$D39))</f>
        <v>321.8</v>
      </c>
      <c r="E39" s="11" t="n">
        <v>0</v>
      </c>
      <c r="F39" s="34" t="n">
        <f aca="false">IF($A39="","",IF($C39="","⚠ categoria",IFERROR(INDEX(Parâmetros!$E$13:$E$22,MATCH($C39,Parâmetros!$A$13:$A$22,0)),"⚠ categoria")))</f>
        <v>0.21</v>
      </c>
      <c r="G39" s="35"/>
      <c r="H39" s="36" t="n">
        <f aca="false">IF($A39="","",IF(ISNUMBER($G39),$G39,IF(ISNUMBER($F39),$F39,"")))</f>
        <v>0.21</v>
      </c>
      <c r="I39" s="37" t="n">
        <f aca="false">IF(OR($A39="",NOT(ISNUMBER($D39)),NOT(ISNUMBER($H39))),"",IF((1-$H39-Parâmetros!$B$7-Parâmetros!$C$7-Parâmetros!$D$7)&lt;=0,"INVALIDO",($D39+IF(ISNUMBER($E39),$E39,0)+IF(ISNUMBER(Parâmetros!$E$7),Parâmetros!$E$7,0))/(1-$H39-Parâmetros!$B$7-Parâmetros!$C$7-Parâmetros!$D$7)))</f>
        <v>699.565217391304</v>
      </c>
      <c r="J39" s="38"/>
      <c r="K39" s="39" t="n">
        <f aca="false">IF(OR($A39="",NOT(ISNUMBER($D39)),NOT(ISNUMBER($H39))),"",IF(AND(ISNUMBER($J39),$J39&gt;0),$J39,IF(ISNUMBER($I39),$I39,"")))</f>
        <v>699.565217391304</v>
      </c>
      <c r="L39" s="40" t="n">
        <f aca="false">IF(ISNUMBER($K39),$K39*$H39,"")</f>
        <v>146.908695652174</v>
      </c>
      <c r="M39" s="40" t="n">
        <f aca="false">IF(ISNUMBER($K39),$K39*Parâmetros!$B$7,"")</f>
        <v>69.9565217391304</v>
      </c>
      <c r="N39" s="40" t="n">
        <f aca="false">IF(ISNUMBER($K39),$K39*Parâmetros!$C$7,"")</f>
        <v>20.9869565217391</v>
      </c>
      <c r="O39" s="40" t="n">
        <f aca="false">IF(ISNUMBER($K39),IF(ISNUMBER(Parâmetros!$E$7),Parâmetros!$E$7,0),"")</f>
        <v>0</v>
      </c>
      <c r="P39" s="41" t="n">
        <f aca="false">IF(ISNUMBER($K39),$K39-$D39-IF(ISNUMBER($E39),$E39,0)-$L39-$M39-$N39-$O39,"")</f>
        <v>139.913043478261</v>
      </c>
      <c r="Q39" s="42" t="n">
        <f aca="false">IF(AND(ISNUMBER($K39),$K39&gt;0),$P39/$K39,"")</f>
        <v>0.2</v>
      </c>
      <c r="R39" s="43"/>
      <c r="S39" s="44" t="str">
        <f aca="false">IF(OR(NOT(ISNUMBER($R39)),$R39=0,NOT(ISNUMBER($K39))),"",$K39*(1-$R39))</f>
        <v/>
      </c>
      <c r="T39" s="45" t="str">
        <f aca="false">IF(ISNUMBER($S39),$S39*$H39,"")</f>
        <v/>
      </c>
      <c r="U39" s="45" t="str">
        <f aca="false">IF(ISNUMBER($S39),$S39*Parâmetros!$B$7,"")</f>
        <v/>
      </c>
      <c r="V39" s="45" t="str">
        <f aca="false">IF(ISNUMBER($S39),$S39*Parâmetros!$C$7,"")</f>
        <v/>
      </c>
      <c r="W39" s="44" t="str">
        <f aca="false">IF(ISNUMBER($S39),$S39-$D39-IF(ISNUMBER($E39),$E39,0)-$O39-$T39-$U39-$V39,"")</f>
        <v/>
      </c>
      <c r="X39" s="46" t="str">
        <f aca="false">IF(AND(ISNUMBER($S39),$S39&gt;0),$W39/$S39,"")</f>
        <v/>
      </c>
      <c r="Y39" s="49"/>
      <c r="Z39" s="21"/>
    </row>
    <row r="40" customFormat="false" ht="15.75" hidden="false" customHeight="true" outlineLevel="0" collapsed="false">
      <c r="A40" s="32" t="str">
        <f aca="false">IF(Produtos!$A40="","",Produtos!$A40)</f>
        <v>L4050-A</v>
      </c>
      <c r="B40" s="32" t="str">
        <f aca="false">IF(Produtos!$A40="","",Produtos!$B40)</f>
        <v>Lixeira Aço Inox c/Aro 40x50 62L</v>
      </c>
      <c r="C40" s="32" t="str">
        <f aca="false">IF(Produtos!$A40="","",Produtos!$C40)</f>
        <v>Lixeiras em inox</v>
      </c>
      <c r="D40" s="33" t="n">
        <f aca="false">IF(Produtos!$A40="","",IF(Produtos!$D40="","",Produtos!$D40))</f>
        <v>292.43</v>
      </c>
      <c r="E40" s="11" t="n">
        <v>0</v>
      </c>
      <c r="F40" s="34" t="n">
        <f aca="false">IF($A40="","",IF($C40="","⚠ categoria",IFERROR(INDEX(Parâmetros!$E$13:$E$22,MATCH($C40,Parâmetros!$A$13:$A$22,0)),"⚠ categoria")))</f>
        <v>0.21</v>
      </c>
      <c r="G40" s="35"/>
      <c r="H40" s="36" t="n">
        <f aca="false">IF($A40="","",IF(ISNUMBER($G40),$G40,IF(ISNUMBER($F40),$F40,"")))</f>
        <v>0.21</v>
      </c>
      <c r="I40" s="37" t="n">
        <f aca="false">IF(OR($A40="",NOT(ISNUMBER($D40)),NOT(ISNUMBER($H40))),"",IF((1-$H40-Parâmetros!$B$7-Parâmetros!$C$7-Parâmetros!$D$7)&lt;=0,"INVALIDO",($D40+IF(ISNUMBER($E40),$E40,0)+IF(ISNUMBER(Parâmetros!$E$7),Parâmetros!$E$7,0))/(1-$H40-Parâmetros!$B$7-Parâmetros!$C$7-Parâmetros!$D$7)))</f>
        <v>635.717391304348</v>
      </c>
      <c r="J40" s="38"/>
      <c r="K40" s="39" t="n">
        <f aca="false">IF(OR($A40="",NOT(ISNUMBER($D40)),NOT(ISNUMBER($H40))),"",IF(AND(ISNUMBER($J40),$J40&gt;0),$J40,IF(ISNUMBER($I40),$I40,"")))</f>
        <v>635.717391304348</v>
      </c>
      <c r="L40" s="40" t="n">
        <f aca="false">IF(ISNUMBER($K40),$K40*$H40,"")</f>
        <v>133.500652173913</v>
      </c>
      <c r="M40" s="40" t="n">
        <f aca="false">IF(ISNUMBER($K40),$K40*Parâmetros!$B$7,"")</f>
        <v>63.5717391304348</v>
      </c>
      <c r="N40" s="40" t="n">
        <f aca="false">IF(ISNUMBER($K40),$K40*Parâmetros!$C$7,"")</f>
        <v>19.0715217391304</v>
      </c>
      <c r="O40" s="40" t="n">
        <f aca="false">IF(ISNUMBER($K40),IF(ISNUMBER(Parâmetros!$E$7),Parâmetros!$E$7,0),"")</f>
        <v>0</v>
      </c>
      <c r="P40" s="41" t="n">
        <f aca="false">IF(ISNUMBER($K40),$K40-$D40-IF(ISNUMBER($E40),$E40,0)-$L40-$M40-$N40-$O40,"")</f>
        <v>127.14347826087</v>
      </c>
      <c r="Q40" s="42" t="n">
        <f aca="false">IF(AND(ISNUMBER($K40),$K40&gt;0),$P40/$K40,"")</f>
        <v>0.2</v>
      </c>
      <c r="R40" s="43"/>
      <c r="S40" s="44" t="str">
        <f aca="false">IF(OR(NOT(ISNUMBER($R40)),$R40=0,NOT(ISNUMBER($K40))),"",$K40*(1-$R40))</f>
        <v/>
      </c>
      <c r="T40" s="45" t="str">
        <f aca="false">IF(ISNUMBER($S40),$S40*$H40,"")</f>
        <v/>
      </c>
      <c r="U40" s="45" t="str">
        <f aca="false">IF(ISNUMBER($S40),$S40*Parâmetros!$B$7,"")</f>
        <v/>
      </c>
      <c r="V40" s="45" t="str">
        <f aca="false">IF(ISNUMBER($S40),$S40*Parâmetros!$C$7,"")</f>
        <v/>
      </c>
      <c r="W40" s="44" t="str">
        <f aca="false">IF(ISNUMBER($S40),$S40-$D40-IF(ISNUMBER($E40),$E40,0)-$O40-$T40-$U40-$V40,"")</f>
        <v/>
      </c>
      <c r="X40" s="46" t="str">
        <f aca="false">IF(AND(ISNUMBER($S40),$S40&gt;0),$W40/$S40,"")</f>
        <v/>
      </c>
      <c r="Y40" s="47"/>
      <c r="Z40" s="19"/>
    </row>
    <row r="41" customFormat="false" ht="15.75" hidden="false" customHeight="true" outlineLevel="0" collapsed="false">
      <c r="A41" s="48" t="str">
        <f aca="false">IF(Produtos!$A41="","",Produtos!$A41)</f>
        <v>L4060-A</v>
      </c>
      <c r="B41" s="48" t="str">
        <f aca="false">IF(Produtos!$A41="","",Produtos!$B41)</f>
        <v>Lixeira Aço Inox c/Aro 40x60 75L</v>
      </c>
      <c r="C41" s="48" t="str">
        <f aca="false">IF(Produtos!$A41="","",Produtos!$C41)</f>
        <v>Lixeiras em inox</v>
      </c>
      <c r="D41" s="33" t="n">
        <f aca="false">IF(Produtos!$A41="","",IF(Produtos!$D41="","",Produtos!$D41))</f>
        <v>329.38</v>
      </c>
      <c r="E41" s="11" t="n">
        <v>0</v>
      </c>
      <c r="F41" s="34" t="n">
        <f aca="false">IF($A41="","",IF($C41="","⚠ categoria",IFERROR(INDEX(Parâmetros!$E$13:$E$22,MATCH($C41,Parâmetros!$A$13:$A$22,0)),"⚠ categoria")))</f>
        <v>0.21</v>
      </c>
      <c r="G41" s="35"/>
      <c r="H41" s="36" t="n">
        <f aca="false">IF($A41="","",IF(ISNUMBER($G41),$G41,IF(ISNUMBER($F41),$F41,"")))</f>
        <v>0.21</v>
      </c>
      <c r="I41" s="37" t="n">
        <f aca="false">IF(OR($A41="",NOT(ISNUMBER($D41)),NOT(ISNUMBER($H41))),"",IF((1-$H41-Parâmetros!$B$7-Parâmetros!$C$7-Parâmetros!$D$7)&lt;=0,"INVALIDO",($D41+IF(ISNUMBER($E41),$E41,0)+IF(ISNUMBER(Parâmetros!$E$7),Parâmetros!$E$7,0))/(1-$H41-Parâmetros!$B$7-Parâmetros!$C$7-Parâmetros!$D$7)))</f>
        <v>716.04347826087</v>
      </c>
      <c r="J41" s="38"/>
      <c r="K41" s="39" t="n">
        <f aca="false">IF(OR($A41="",NOT(ISNUMBER($D41)),NOT(ISNUMBER($H41))),"",IF(AND(ISNUMBER($J41),$J41&gt;0),$J41,IF(ISNUMBER($I41),$I41,"")))</f>
        <v>716.04347826087</v>
      </c>
      <c r="L41" s="40" t="n">
        <f aca="false">IF(ISNUMBER($K41),$K41*$H41,"")</f>
        <v>150.369130434783</v>
      </c>
      <c r="M41" s="40" t="n">
        <f aca="false">IF(ISNUMBER($K41),$K41*Parâmetros!$B$7,"")</f>
        <v>71.604347826087</v>
      </c>
      <c r="N41" s="40" t="n">
        <f aca="false">IF(ISNUMBER($K41),$K41*Parâmetros!$C$7,"")</f>
        <v>21.4813043478261</v>
      </c>
      <c r="O41" s="40" t="n">
        <f aca="false">IF(ISNUMBER($K41),IF(ISNUMBER(Parâmetros!$E$7),Parâmetros!$E$7,0),"")</f>
        <v>0</v>
      </c>
      <c r="P41" s="41" t="n">
        <f aca="false">IF(ISNUMBER($K41),$K41-$D41-IF(ISNUMBER($E41),$E41,0)-$L41-$M41-$N41-$O41,"")</f>
        <v>143.208695652174</v>
      </c>
      <c r="Q41" s="42" t="n">
        <f aca="false">IF(AND(ISNUMBER($K41),$K41&gt;0),$P41/$K41,"")</f>
        <v>0.2</v>
      </c>
      <c r="R41" s="43"/>
      <c r="S41" s="44" t="str">
        <f aca="false">IF(OR(NOT(ISNUMBER($R41)),$R41=0,NOT(ISNUMBER($K41))),"",$K41*(1-$R41))</f>
        <v/>
      </c>
      <c r="T41" s="45" t="str">
        <f aca="false">IF(ISNUMBER($S41),$S41*$H41,"")</f>
        <v/>
      </c>
      <c r="U41" s="45" t="str">
        <f aca="false">IF(ISNUMBER($S41),$S41*Parâmetros!$B$7,"")</f>
        <v/>
      </c>
      <c r="V41" s="45" t="str">
        <f aca="false">IF(ISNUMBER($S41),$S41*Parâmetros!$C$7,"")</f>
        <v/>
      </c>
      <c r="W41" s="44" t="str">
        <f aca="false">IF(ISNUMBER($S41),$S41-$D41-IF(ISNUMBER($E41),$E41,0)-$O41-$T41-$U41-$V41,"")</f>
        <v/>
      </c>
      <c r="X41" s="46" t="str">
        <f aca="false">IF(AND(ISNUMBER($S41),$S41&gt;0),$W41/$S41,"")</f>
        <v/>
      </c>
      <c r="Y41" s="49"/>
      <c r="Z41" s="21"/>
    </row>
    <row r="42" customFormat="false" ht="15.75" hidden="false" customHeight="true" outlineLevel="0" collapsed="false">
      <c r="A42" s="32" t="str">
        <f aca="false">IF(Produtos!$A42="","",Produtos!$A42)</f>
        <v>L4070-A</v>
      </c>
      <c r="B42" s="32" t="str">
        <f aca="false">IF(Produtos!$A42="","",Produtos!$B42)</f>
        <v>Lixeira Aço Inox c/Aro 40x70 88L</v>
      </c>
      <c r="C42" s="32" t="str">
        <f aca="false">IF(Produtos!$A42="","",Produtos!$C42)</f>
        <v>Lixeiras em inox</v>
      </c>
      <c r="D42" s="33" t="n">
        <f aca="false">IF(Produtos!$A42="","",IF(Produtos!$D42="","",Produtos!$D42))</f>
        <v>331.22</v>
      </c>
      <c r="E42" s="11" t="n">
        <v>0</v>
      </c>
      <c r="F42" s="34" t="n">
        <f aca="false">IF($A42="","",IF($C42="","⚠ categoria",IFERROR(INDEX(Parâmetros!$E$13:$E$22,MATCH($C42,Parâmetros!$A$13:$A$22,0)),"⚠ categoria")))</f>
        <v>0.21</v>
      </c>
      <c r="G42" s="35"/>
      <c r="H42" s="36" t="n">
        <f aca="false">IF($A42="","",IF(ISNUMBER($G42),$G42,IF(ISNUMBER($F42),$F42,"")))</f>
        <v>0.21</v>
      </c>
      <c r="I42" s="37" t="n">
        <f aca="false">IF(OR($A42="",NOT(ISNUMBER($D42)),NOT(ISNUMBER($H42))),"",IF((1-$H42-Parâmetros!$B$7-Parâmetros!$C$7-Parâmetros!$D$7)&lt;=0,"INVALIDO",($D42+IF(ISNUMBER($E42),$E42,0)+IF(ISNUMBER(Parâmetros!$E$7),Parâmetros!$E$7,0))/(1-$H42-Parâmetros!$B$7-Parâmetros!$C$7-Parâmetros!$D$7)))</f>
        <v>720.04347826087</v>
      </c>
      <c r="J42" s="38"/>
      <c r="K42" s="39" t="n">
        <f aca="false">IF(OR($A42="",NOT(ISNUMBER($D42)),NOT(ISNUMBER($H42))),"",IF(AND(ISNUMBER($J42),$J42&gt;0),$J42,IF(ISNUMBER($I42),$I42,"")))</f>
        <v>720.04347826087</v>
      </c>
      <c r="L42" s="40" t="n">
        <f aca="false">IF(ISNUMBER($K42),$K42*$H42,"")</f>
        <v>151.209130434783</v>
      </c>
      <c r="M42" s="40" t="n">
        <f aca="false">IF(ISNUMBER($K42),$K42*Parâmetros!$B$7,"")</f>
        <v>72.004347826087</v>
      </c>
      <c r="N42" s="40" t="n">
        <f aca="false">IF(ISNUMBER($K42),$K42*Parâmetros!$C$7,"")</f>
        <v>21.6013043478261</v>
      </c>
      <c r="O42" s="40" t="n">
        <f aca="false">IF(ISNUMBER($K42),IF(ISNUMBER(Parâmetros!$E$7),Parâmetros!$E$7,0),"")</f>
        <v>0</v>
      </c>
      <c r="P42" s="41" t="n">
        <f aca="false">IF(ISNUMBER($K42),$K42-$D42-IF(ISNUMBER($E42),$E42,0)-$L42-$M42-$N42-$O42,"")</f>
        <v>144.008695652174</v>
      </c>
      <c r="Q42" s="42" t="n">
        <f aca="false">IF(AND(ISNUMBER($K42),$K42&gt;0),$P42/$K42,"")</f>
        <v>0.2</v>
      </c>
      <c r="R42" s="43"/>
      <c r="S42" s="44" t="str">
        <f aca="false">IF(OR(NOT(ISNUMBER($R42)),$R42=0,NOT(ISNUMBER($K42))),"",$K42*(1-$R42))</f>
        <v/>
      </c>
      <c r="T42" s="45" t="str">
        <f aca="false">IF(ISNUMBER($S42),$S42*$H42,"")</f>
        <v/>
      </c>
      <c r="U42" s="45" t="str">
        <f aca="false">IF(ISNUMBER($S42),$S42*Parâmetros!$B$7,"")</f>
        <v/>
      </c>
      <c r="V42" s="45" t="str">
        <f aca="false">IF(ISNUMBER($S42),$S42*Parâmetros!$C$7,"")</f>
        <v/>
      </c>
      <c r="W42" s="44" t="str">
        <f aca="false">IF(ISNUMBER($S42),$S42-$D42-IF(ISNUMBER($E42),$E42,0)-$O42-$T42-$U42-$V42,"")</f>
        <v/>
      </c>
      <c r="X42" s="46" t="str">
        <f aca="false">IF(AND(ISNUMBER($S42),$S42&gt;0),$W42/$S42,"")</f>
        <v/>
      </c>
      <c r="Y42" s="47"/>
      <c r="Z42" s="19"/>
    </row>
    <row r="43" customFormat="false" ht="15.75" hidden="false" customHeight="true" outlineLevel="0" collapsed="false">
      <c r="A43" s="48" t="str">
        <f aca="false">IF(Produtos!$A43="","",Produtos!$A43)</f>
        <v>L4075-A</v>
      </c>
      <c r="B43" s="48" t="str">
        <f aca="false">IF(Produtos!$A43="","",Produtos!$B43)</f>
        <v>Lixeira Aço Inox c/Aro 40x75 95L</v>
      </c>
      <c r="C43" s="48" t="str">
        <f aca="false">IF(Produtos!$A43="","",Produtos!$C43)</f>
        <v>Lixeiras em inox</v>
      </c>
      <c r="D43" s="33" t="n">
        <f aca="false">IF(Produtos!$A43="","",IF(Produtos!$D43="","",Produtos!$D43))</f>
        <v>392.8</v>
      </c>
      <c r="E43" s="11" t="n">
        <v>0</v>
      </c>
      <c r="F43" s="34" t="n">
        <f aca="false">IF($A43="","",IF($C43="","⚠ categoria",IFERROR(INDEX(Parâmetros!$E$13:$E$22,MATCH($C43,Parâmetros!$A$13:$A$22,0)),"⚠ categoria")))</f>
        <v>0.21</v>
      </c>
      <c r="G43" s="35"/>
      <c r="H43" s="36" t="n">
        <f aca="false">IF($A43="","",IF(ISNUMBER($G43),$G43,IF(ISNUMBER($F43),$F43,"")))</f>
        <v>0.21</v>
      </c>
      <c r="I43" s="37" t="n">
        <f aca="false">IF(OR($A43="",NOT(ISNUMBER($D43)),NOT(ISNUMBER($H43))),"",IF((1-$H43-Parâmetros!$B$7-Parâmetros!$C$7-Parâmetros!$D$7)&lt;=0,"INVALIDO",($D43+IF(ISNUMBER($E43),$E43,0)+IF(ISNUMBER(Parâmetros!$E$7),Parâmetros!$E$7,0))/(1-$H43-Parâmetros!$B$7-Parâmetros!$C$7-Parâmetros!$D$7)))</f>
        <v>853.913043478261</v>
      </c>
      <c r="J43" s="38"/>
      <c r="K43" s="39" t="n">
        <f aca="false">IF(OR($A43="",NOT(ISNUMBER($D43)),NOT(ISNUMBER($H43))),"",IF(AND(ISNUMBER($J43),$J43&gt;0),$J43,IF(ISNUMBER($I43),$I43,"")))</f>
        <v>853.913043478261</v>
      </c>
      <c r="L43" s="40" t="n">
        <f aca="false">IF(ISNUMBER($K43),$K43*$H43,"")</f>
        <v>179.321739130435</v>
      </c>
      <c r="M43" s="40" t="n">
        <f aca="false">IF(ISNUMBER($K43),$K43*Parâmetros!$B$7,"")</f>
        <v>85.3913043478261</v>
      </c>
      <c r="N43" s="40" t="n">
        <f aca="false">IF(ISNUMBER($K43),$K43*Parâmetros!$C$7,"")</f>
        <v>25.6173913043478</v>
      </c>
      <c r="O43" s="40" t="n">
        <f aca="false">IF(ISNUMBER($K43),IF(ISNUMBER(Parâmetros!$E$7),Parâmetros!$E$7,0),"")</f>
        <v>0</v>
      </c>
      <c r="P43" s="41" t="n">
        <f aca="false">IF(ISNUMBER($K43),$K43-$D43-IF(ISNUMBER($E43),$E43,0)-$L43-$M43-$N43-$O43,"")</f>
        <v>170.782608695652</v>
      </c>
      <c r="Q43" s="42" t="n">
        <f aca="false">IF(AND(ISNUMBER($K43),$K43&gt;0),$P43/$K43,"")</f>
        <v>0.2</v>
      </c>
      <c r="R43" s="43"/>
      <c r="S43" s="44" t="str">
        <f aca="false">IF(OR(NOT(ISNUMBER($R43)),$R43=0,NOT(ISNUMBER($K43))),"",$K43*(1-$R43))</f>
        <v/>
      </c>
      <c r="T43" s="45" t="str">
        <f aca="false">IF(ISNUMBER($S43),$S43*$H43,"")</f>
        <v/>
      </c>
      <c r="U43" s="45" t="str">
        <f aca="false">IF(ISNUMBER($S43),$S43*Parâmetros!$B$7,"")</f>
        <v/>
      </c>
      <c r="V43" s="45" t="str">
        <f aca="false">IF(ISNUMBER($S43),$S43*Parâmetros!$C$7,"")</f>
        <v/>
      </c>
      <c r="W43" s="44" t="str">
        <f aca="false">IF(ISNUMBER($S43),$S43-$D43-IF(ISNUMBER($E43),$E43,0)-$O43-$T43-$U43-$V43,"")</f>
        <v/>
      </c>
      <c r="X43" s="46" t="str">
        <f aca="false">IF(AND(ISNUMBER($S43),$S43&gt;0),$W43/$S43,"")</f>
        <v/>
      </c>
      <c r="Y43" s="49"/>
      <c r="Z43" s="21"/>
    </row>
    <row r="44" customFormat="false" ht="15.75" hidden="false" customHeight="true" outlineLevel="0" collapsed="false">
      <c r="A44" s="32" t="str">
        <f aca="false">IF(Produtos!$A44="","",Produtos!$A44)</f>
        <v>L4080-A</v>
      </c>
      <c r="B44" s="32" t="str">
        <f aca="false">IF(Produtos!$A44="","",Produtos!$B44)</f>
        <v>Lixeira Aço Inox c/Aro 40x80 100L</v>
      </c>
      <c r="C44" s="32" t="str">
        <f aca="false">IF(Produtos!$A44="","",Produtos!$C44)</f>
        <v>Lixeiras em inox</v>
      </c>
      <c r="D44" s="33" t="n">
        <f aca="false">IF(Produtos!$A44="","",IF(Produtos!$D44="","",Produtos!$D44))</f>
        <v>400.17</v>
      </c>
      <c r="E44" s="11" t="n">
        <v>0</v>
      </c>
      <c r="F44" s="34" t="n">
        <f aca="false">IF($A44="","",IF($C44="","⚠ categoria",IFERROR(INDEX(Parâmetros!$E$13:$E$22,MATCH($C44,Parâmetros!$A$13:$A$22,0)),"⚠ categoria")))</f>
        <v>0.21</v>
      </c>
      <c r="G44" s="35"/>
      <c r="H44" s="36" t="n">
        <f aca="false">IF($A44="","",IF(ISNUMBER($G44),$G44,IF(ISNUMBER($F44),$F44,"")))</f>
        <v>0.21</v>
      </c>
      <c r="I44" s="37" t="n">
        <f aca="false">IF(OR($A44="",NOT(ISNUMBER($D44)),NOT(ISNUMBER($H44))),"",IF((1-$H44-Parâmetros!$B$7-Parâmetros!$C$7-Parâmetros!$D$7)&lt;=0,"INVALIDO",($D44+IF(ISNUMBER($E44),$E44,0)+IF(ISNUMBER(Parâmetros!$E$7),Parâmetros!$E$7,0))/(1-$H44-Parâmetros!$B$7-Parâmetros!$C$7-Parâmetros!$D$7)))</f>
        <v>869.934782608696</v>
      </c>
      <c r="J44" s="38"/>
      <c r="K44" s="39" t="n">
        <f aca="false">IF(OR($A44="",NOT(ISNUMBER($D44)),NOT(ISNUMBER($H44))),"",IF(AND(ISNUMBER($J44),$J44&gt;0),$J44,IF(ISNUMBER($I44),$I44,"")))</f>
        <v>869.934782608696</v>
      </c>
      <c r="L44" s="40" t="n">
        <f aca="false">IF(ISNUMBER($K44),$K44*$H44,"")</f>
        <v>182.686304347826</v>
      </c>
      <c r="M44" s="40" t="n">
        <f aca="false">IF(ISNUMBER($K44),$K44*Parâmetros!$B$7,"")</f>
        <v>86.9934782608696</v>
      </c>
      <c r="N44" s="40" t="n">
        <f aca="false">IF(ISNUMBER($K44),$K44*Parâmetros!$C$7,"")</f>
        <v>26.0980434782609</v>
      </c>
      <c r="O44" s="40" t="n">
        <f aca="false">IF(ISNUMBER($K44),IF(ISNUMBER(Parâmetros!$E$7),Parâmetros!$E$7,0),"")</f>
        <v>0</v>
      </c>
      <c r="P44" s="41" t="n">
        <f aca="false">IF(ISNUMBER($K44),$K44-$D44-IF(ISNUMBER($E44),$E44,0)-$L44-$M44-$N44-$O44,"")</f>
        <v>173.986956521739</v>
      </c>
      <c r="Q44" s="42" t="n">
        <f aca="false">IF(AND(ISNUMBER($K44),$K44&gt;0),$P44/$K44,"")</f>
        <v>0.2</v>
      </c>
      <c r="R44" s="43"/>
      <c r="S44" s="44" t="str">
        <f aca="false">IF(OR(NOT(ISNUMBER($R44)),$R44=0,NOT(ISNUMBER($K44))),"",$K44*(1-$R44))</f>
        <v/>
      </c>
      <c r="T44" s="45" t="str">
        <f aca="false">IF(ISNUMBER($S44),$S44*$H44,"")</f>
        <v/>
      </c>
      <c r="U44" s="45" t="str">
        <f aca="false">IF(ISNUMBER($S44),$S44*Parâmetros!$B$7,"")</f>
        <v/>
      </c>
      <c r="V44" s="45" t="str">
        <f aca="false">IF(ISNUMBER($S44),$S44*Parâmetros!$C$7,"")</f>
        <v/>
      </c>
      <c r="W44" s="44" t="str">
        <f aca="false">IF(ISNUMBER($S44),$S44-$D44-IF(ISNUMBER($E44),$E44,0)-$O44-$T44-$U44-$V44,"")</f>
        <v/>
      </c>
      <c r="X44" s="46" t="str">
        <f aca="false">IF(AND(ISNUMBER($S44),$S44&gt;0),$W44/$S44,"")</f>
        <v/>
      </c>
      <c r="Y44" s="47"/>
      <c r="Z44" s="19"/>
    </row>
    <row r="45" customFormat="false" ht="15.75" hidden="false" customHeight="true" outlineLevel="0" collapsed="false">
      <c r="A45" s="48" t="str">
        <f aca="false">IF(Produtos!$A45="","",Produtos!$A45)</f>
        <v>L4090-A</v>
      </c>
      <c r="B45" s="48" t="str">
        <f aca="false">IF(Produtos!$A45="","",Produtos!$B45)</f>
        <v>Lixeira Aço Inox c/Aro 40x90 120L</v>
      </c>
      <c r="C45" s="48" t="str">
        <f aca="false">IF(Produtos!$A45="","",Produtos!$C45)</f>
        <v>Lixeiras em inox</v>
      </c>
      <c r="D45" s="33" t="n">
        <f aca="false">IF(Produtos!$A45="","",IF(Produtos!$D45="","",Produtos!$D45))</f>
        <v>405.39</v>
      </c>
      <c r="E45" s="11" t="n">
        <v>0</v>
      </c>
      <c r="F45" s="34" t="n">
        <f aca="false">IF($A45="","",IF($C45="","⚠ categoria",IFERROR(INDEX(Parâmetros!$E$13:$E$22,MATCH($C45,Parâmetros!$A$13:$A$22,0)),"⚠ categoria")))</f>
        <v>0.21</v>
      </c>
      <c r="G45" s="35"/>
      <c r="H45" s="36" t="n">
        <f aca="false">IF($A45="","",IF(ISNUMBER($G45),$G45,IF(ISNUMBER($F45),$F45,"")))</f>
        <v>0.21</v>
      </c>
      <c r="I45" s="37" t="n">
        <f aca="false">IF(OR($A45="",NOT(ISNUMBER($D45)),NOT(ISNUMBER($H45))),"",IF((1-$H45-Parâmetros!$B$7-Parâmetros!$C$7-Parâmetros!$D$7)&lt;=0,"INVALIDO",($D45+IF(ISNUMBER($E45),$E45,0)+IF(ISNUMBER(Parâmetros!$E$7),Parâmetros!$E$7,0))/(1-$H45-Parâmetros!$B$7-Parâmetros!$C$7-Parâmetros!$D$7)))</f>
        <v>881.282608695652</v>
      </c>
      <c r="J45" s="38"/>
      <c r="K45" s="39" t="n">
        <f aca="false">IF(OR($A45="",NOT(ISNUMBER($D45)),NOT(ISNUMBER($H45))),"",IF(AND(ISNUMBER($J45),$J45&gt;0),$J45,IF(ISNUMBER($I45),$I45,"")))</f>
        <v>881.282608695652</v>
      </c>
      <c r="L45" s="40" t="n">
        <f aca="false">IF(ISNUMBER($K45),$K45*$H45,"")</f>
        <v>185.069347826087</v>
      </c>
      <c r="M45" s="40" t="n">
        <f aca="false">IF(ISNUMBER($K45),$K45*Parâmetros!$B$7,"")</f>
        <v>88.1282608695652</v>
      </c>
      <c r="N45" s="40" t="n">
        <f aca="false">IF(ISNUMBER($K45),$K45*Parâmetros!$C$7,"")</f>
        <v>26.4384782608696</v>
      </c>
      <c r="O45" s="40" t="n">
        <f aca="false">IF(ISNUMBER($K45),IF(ISNUMBER(Parâmetros!$E$7),Parâmetros!$E$7,0),"")</f>
        <v>0</v>
      </c>
      <c r="P45" s="41" t="n">
        <f aca="false">IF(ISNUMBER($K45),$K45-$D45-IF(ISNUMBER($E45),$E45,0)-$L45-$M45-$N45-$O45,"")</f>
        <v>176.25652173913</v>
      </c>
      <c r="Q45" s="42" t="n">
        <f aca="false">IF(AND(ISNUMBER($K45),$K45&gt;0),$P45/$K45,"")</f>
        <v>0.2</v>
      </c>
      <c r="R45" s="43"/>
      <c r="S45" s="44" t="str">
        <f aca="false">IF(OR(NOT(ISNUMBER($R45)),$R45=0,NOT(ISNUMBER($K45))),"",$K45*(1-$R45))</f>
        <v/>
      </c>
      <c r="T45" s="45" t="str">
        <f aca="false">IF(ISNUMBER($S45),$S45*$H45,"")</f>
        <v/>
      </c>
      <c r="U45" s="45" t="str">
        <f aca="false">IF(ISNUMBER($S45),$S45*Parâmetros!$B$7,"")</f>
        <v/>
      </c>
      <c r="V45" s="45" t="str">
        <f aca="false">IF(ISNUMBER($S45),$S45*Parâmetros!$C$7,"")</f>
        <v/>
      </c>
      <c r="W45" s="44" t="str">
        <f aca="false">IF(ISNUMBER($S45),$S45-$D45-IF(ISNUMBER($E45),$E45,0)-$O45-$T45-$U45-$V45,"")</f>
        <v/>
      </c>
      <c r="X45" s="46" t="str">
        <f aca="false">IF(AND(ISNUMBER($S45),$S45&gt;0),$W45/$S45,"")</f>
        <v/>
      </c>
      <c r="Y45" s="49"/>
      <c r="Z45" s="21"/>
    </row>
    <row r="46" customFormat="false" ht="15.75" hidden="false" customHeight="true" outlineLevel="0" collapsed="false">
      <c r="A46" s="32" t="str">
        <f aca="false">IF(Produtos!$A46="","",Produtos!$A46)</f>
        <v>L40100-A</v>
      </c>
      <c r="B46" s="32" t="str">
        <f aca="false">IF(Produtos!$A46="","",Produtos!$B46)</f>
        <v>Lixeira Aço Inox c/Aro 40x100L</v>
      </c>
      <c r="C46" s="32" t="str">
        <f aca="false">IF(Produtos!$A46="","",Produtos!$C46)</f>
        <v>Lixeiras em inox</v>
      </c>
      <c r="D46" s="33" t="n">
        <f aca="false">IF(Produtos!$A46="","",IF(Produtos!$D46="","",Produtos!$D46))</f>
        <v>566.56</v>
      </c>
      <c r="E46" s="11" t="n">
        <v>0</v>
      </c>
      <c r="F46" s="34" t="n">
        <f aca="false">IF($A46="","",IF($C46="","⚠ categoria",IFERROR(INDEX(Parâmetros!$E$13:$E$22,MATCH($C46,Parâmetros!$A$13:$A$22,0)),"⚠ categoria")))</f>
        <v>0.21</v>
      </c>
      <c r="G46" s="35"/>
      <c r="H46" s="36" t="n">
        <f aca="false">IF($A46="","",IF(ISNUMBER($G46),$G46,IF(ISNUMBER($F46),$F46,"")))</f>
        <v>0.21</v>
      </c>
      <c r="I46" s="37" t="n">
        <f aca="false">IF(OR($A46="",NOT(ISNUMBER($D46)),NOT(ISNUMBER($H46))),"",IF((1-$H46-Parâmetros!$B$7-Parâmetros!$C$7-Parâmetros!$D$7)&lt;=0,"INVALIDO",($D46+IF(ISNUMBER($E46),$E46,0)+IF(ISNUMBER(Parâmetros!$E$7),Parâmetros!$E$7,0))/(1-$H46-Parâmetros!$B$7-Parâmetros!$C$7-Parâmetros!$D$7)))</f>
        <v>1231.65217391304</v>
      </c>
      <c r="J46" s="38"/>
      <c r="K46" s="39" t="n">
        <f aca="false">IF(OR($A46="",NOT(ISNUMBER($D46)),NOT(ISNUMBER($H46))),"",IF(AND(ISNUMBER($J46),$J46&gt;0),$J46,IF(ISNUMBER($I46),$I46,"")))</f>
        <v>1231.65217391304</v>
      </c>
      <c r="L46" s="40" t="n">
        <f aca="false">IF(ISNUMBER($K46),$K46*$H46,"")</f>
        <v>258.646956521739</v>
      </c>
      <c r="M46" s="40" t="n">
        <f aca="false">IF(ISNUMBER($K46),$K46*Parâmetros!$B$7,"")</f>
        <v>123.165217391304</v>
      </c>
      <c r="N46" s="40" t="n">
        <f aca="false">IF(ISNUMBER($K46),$K46*Parâmetros!$C$7,"")</f>
        <v>36.9495652173913</v>
      </c>
      <c r="O46" s="40" t="n">
        <f aca="false">IF(ISNUMBER($K46),IF(ISNUMBER(Parâmetros!$E$7),Parâmetros!$E$7,0),"")</f>
        <v>0</v>
      </c>
      <c r="P46" s="41" t="n">
        <f aca="false">IF(ISNUMBER($K46),$K46-$D46-IF(ISNUMBER($E46),$E46,0)-$L46-$M46-$N46-$O46,"")</f>
        <v>246.330434782609</v>
      </c>
      <c r="Q46" s="42" t="n">
        <f aca="false">IF(AND(ISNUMBER($K46),$K46&gt;0),$P46/$K46,"")</f>
        <v>0.2</v>
      </c>
      <c r="R46" s="43"/>
      <c r="S46" s="44" t="str">
        <f aca="false">IF(OR(NOT(ISNUMBER($R46)),$R46=0,NOT(ISNUMBER($K46))),"",$K46*(1-$R46))</f>
        <v/>
      </c>
      <c r="T46" s="45" t="str">
        <f aca="false">IF(ISNUMBER($S46),$S46*$H46,"")</f>
        <v/>
      </c>
      <c r="U46" s="45" t="str">
        <f aca="false">IF(ISNUMBER($S46),$S46*Parâmetros!$B$7,"")</f>
        <v/>
      </c>
      <c r="V46" s="45" t="str">
        <f aca="false">IF(ISNUMBER($S46),$S46*Parâmetros!$C$7,"")</f>
        <v/>
      </c>
      <c r="W46" s="44" t="str">
        <f aca="false">IF(ISNUMBER($S46),$S46-$D46-IF(ISNUMBER($E46),$E46,0)-$O46-$T46-$U46-$V46,"")</f>
        <v/>
      </c>
      <c r="X46" s="46" t="str">
        <f aca="false">IF(AND(ISNUMBER($S46),$S46&gt;0),$W46/$S46,"")</f>
        <v/>
      </c>
      <c r="Y46" s="47"/>
      <c r="Z46" s="19"/>
    </row>
    <row r="47" customFormat="false" ht="15.75" hidden="false" customHeight="true" outlineLevel="0" collapsed="false">
      <c r="A47" s="48" t="str">
        <f aca="false">IF(Produtos!$A47="","",Produtos!$A47)</f>
        <v>L40120-A</v>
      </c>
      <c r="B47" s="48" t="str">
        <f aca="false">IF(Produtos!$A47="","",Produtos!$B47)</f>
        <v>Lixeira Aço Inox c/Aro 40x120L</v>
      </c>
      <c r="C47" s="48" t="str">
        <f aca="false">IF(Produtos!$A47="","",Produtos!$C47)</f>
        <v>Lixeiras em inox</v>
      </c>
      <c r="D47" s="33" t="n">
        <f aca="false">IF(Produtos!$A47="","",IF(Produtos!$D47="","",Produtos!$D47))</f>
        <v>762.87</v>
      </c>
      <c r="E47" s="11" t="n">
        <v>0</v>
      </c>
      <c r="F47" s="34" t="n">
        <f aca="false">IF($A47="","",IF($C47="","⚠ categoria",IFERROR(INDEX(Parâmetros!$E$13:$E$22,MATCH($C47,Parâmetros!$A$13:$A$22,0)),"⚠ categoria")))</f>
        <v>0.21</v>
      </c>
      <c r="G47" s="35"/>
      <c r="H47" s="36" t="n">
        <f aca="false">IF($A47="","",IF(ISNUMBER($G47),$G47,IF(ISNUMBER($F47),$F47,"")))</f>
        <v>0.21</v>
      </c>
      <c r="I47" s="37" t="n">
        <f aca="false">IF(OR($A47="",NOT(ISNUMBER($D47)),NOT(ISNUMBER($H47))),"",IF((1-$H47-Parâmetros!$B$7-Parâmetros!$C$7-Parâmetros!$D$7)&lt;=0,"INVALIDO",($D47+IF(ISNUMBER($E47),$E47,0)+IF(ISNUMBER(Parâmetros!$E$7),Parâmetros!$E$7,0))/(1-$H47-Parâmetros!$B$7-Parâmetros!$C$7-Parâmetros!$D$7)))</f>
        <v>1658.41304347826</v>
      </c>
      <c r="J47" s="38"/>
      <c r="K47" s="39" t="n">
        <f aca="false">IF(OR($A47="",NOT(ISNUMBER($D47)),NOT(ISNUMBER($H47))),"",IF(AND(ISNUMBER($J47),$J47&gt;0),$J47,IF(ISNUMBER($I47),$I47,"")))</f>
        <v>1658.41304347826</v>
      </c>
      <c r="L47" s="40" t="n">
        <f aca="false">IF(ISNUMBER($K47),$K47*$H47,"")</f>
        <v>348.266739130435</v>
      </c>
      <c r="M47" s="40" t="n">
        <f aca="false">IF(ISNUMBER($K47),$K47*Parâmetros!$B$7,"")</f>
        <v>165.841304347826</v>
      </c>
      <c r="N47" s="40" t="n">
        <f aca="false">IF(ISNUMBER($K47),$K47*Parâmetros!$C$7,"")</f>
        <v>49.7523913043478</v>
      </c>
      <c r="O47" s="40" t="n">
        <f aca="false">IF(ISNUMBER($K47),IF(ISNUMBER(Parâmetros!$E$7),Parâmetros!$E$7,0),"")</f>
        <v>0</v>
      </c>
      <c r="P47" s="41" t="n">
        <f aca="false">IF(ISNUMBER($K47),$K47-$D47-IF(ISNUMBER($E47),$E47,0)-$L47-$M47-$N47-$O47,"")</f>
        <v>331.682608695652</v>
      </c>
      <c r="Q47" s="42" t="n">
        <f aca="false">IF(AND(ISNUMBER($K47),$K47&gt;0),$P47/$K47,"")</f>
        <v>0.2</v>
      </c>
      <c r="R47" s="43"/>
      <c r="S47" s="44" t="str">
        <f aca="false">IF(OR(NOT(ISNUMBER($R47)),$R47=0,NOT(ISNUMBER($K47))),"",$K47*(1-$R47))</f>
        <v/>
      </c>
      <c r="T47" s="45" t="str">
        <f aca="false">IF(ISNUMBER($S47),$S47*$H47,"")</f>
        <v/>
      </c>
      <c r="U47" s="45" t="str">
        <f aca="false">IF(ISNUMBER($S47),$S47*Parâmetros!$B$7,"")</f>
        <v/>
      </c>
      <c r="V47" s="45" t="str">
        <f aca="false">IF(ISNUMBER($S47),$S47*Parâmetros!$C$7,"")</f>
        <v/>
      </c>
      <c r="W47" s="44" t="str">
        <f aca="false">IF(ISNUMBER($S47),$S47-$D47-IF(ISNUMBER($E47),$E47,0)-$O47-$T47-$U47-$V47,"")</f>
        <v/>
      </c>
      <c r="X47" s="46" t="str">
        <f aca="false">IF(AND(ISNUMBER($S47),$S47&gt;0),$W47/$S47,"")</f>
        <v/>
      </c>
      <c r="Y47" s="49"/>
      <c r="Z47" s="21"/>
    </row>
    <row r="48" customFormat="false" ht="15.75" hidden="false" customHeight="true" outlineLevel="0" collapsed="false">
      <c r="A48" s="32" t="str">
        <f aca="false">IF(Produtos!$A48="","",Produtos!$A48)</f>
        <v>L2425-AML</v>
      </c>
      <c r="B48" s="32" t="str">
        <f aca="false">IF(Produtos!$A48="","",Produtos!$B48)</f>
        <v>Lixeira c/Aro Meia Lua 24x25 13L</v>
      </c>
      <c r="C48" s="32" t="str">
        <f aca="false">IF(Produtos!$A48="","",Produtos!$C48)</f>
        <v>Lixeiras em inox</v>
      </c>
      <c r="D48" s="33" t="n">
        <f aca="false">IF(Produtos!$A48="","",IF(Produtos!$D48="","",Produtos!$D48))</f>
        <v>86.87</v>
      </c>
      <c r="E48" s="11" t="n">
        <v>0</v>
      </c>
      <c r="F48" s="34" t="n">
        <f aca="false">IF($A48="","",IF($C48="","⚠ categoria",IFERROR(INDEX(Parâmetros!$E$13:$E$22,MATCH($C48,Parâmetros!$A$13:$A$22,0)),"⚠ categoria")))</f>
        <v>0.21</v>
      </c>
      <c r="G48" s="35"/>
      <c r="H48" s="36" t="n">
        <f aca="false">IF($A48="","",IF(ISNUMBER($G48),$G48,IF(ISNUMBER($F48),$F48,"")))</f>
        <v>0.21</v>
      </c>
      <c r="I48" s="37" t="n">
        <f aca="false">IF(OR($A48="",NOT(ISNUMBER($D48)),NOT(ISNUMBER($H48))),"",IF((1-$H48-Parâmetros!$B$7-Parâmetros!$C$7-Parâmetros!$D$7)&lt;=0,"INVALIDO",($D48+IF(ISNUMBER($E48),$E48,0)+IF(ISNUMBER(Parâmetros!$E$7),Parâmetros!$E$7,0))/(1-$H48-Parâmetros!$B$7-Parâmetros!$C$7-Parâmetros!$D$7)))</f>
        <v>188.847826086957</v>
      </c>
      <c r="J48" s="38"/>
      <c r="K48" s="39" t="n">
        <f aca="false">IF(OR($A48="",NOT(ISNUMBER($D48)),NOT(ISNUMBER($H48))),"",IF(AND(ISNUMBER($J48),$J48&gt;0),$J48,IF(ISNUMBER($I48),$I48,"")))</f>
        <v>188.847826086957</v>
      </c>
      <c r="L48" s="40" t="n">
        <f aca="false">IF(ISNUMBER($K48),$K48*$H48,"")</f>
        <v>39.6580434782609</v>
      </c>
      <c r="M48" s="40" t="n">
        <f aca="false">IF(ISNUMBER($K48),$K48*Parâmetros!$B$7,"")</f>
        <v>18.8847826086957</v>
      </c>
      <c r="N48" s="40" t="n">
        <f aca="false">IF(ISNUMBER($K48),$K48*Parâmetros!$C$7,"")</f>
        <v>5.6654347826087</v>
      </c>
      <c r="O48" s="40" t="n">
        <f aca="false">IF(ISNUMBER($K48),IF(ISNUMBER(Parâmetros!$E$7),Parâmetros!$E$7,0),"")</f>
        <v>0</v>
      </c>
      <c r="P48" s="41" t="n">
        <f aca="false">IF(ISNUMBER($K48),$K48-$D48-IF(ISNUMBER($E48),$E48,0)-$L48-$M48-$N48-$O48,"")</f>
        <v>37.7695652173913</v>
      </c>
      <c r="Q48" s="42" t="n">
        <f aca="false">IF(AND(ISNUMBER($K48),$K48&gt;0),$P48/$K48,"")</f>
        <v>0.2</v>
      </c>
      <c r="R48" s="43"/>
      <c r="S48" s="44" t="str">
        <f aca="false">IF(OR(NOT(ISNUMBER($R48)),$R48=0,NOT(ISNUMBER($K48))),"",$K48*(1-$R48))</f>
        <v/>
      </c>
      <c r="T48" s="45" t="str">
        <f aca="false">IF(ISNUMBER($S48),$S48*$H48,"")</f>
        <v/>
      </c>
      <c r="U48" s="45" t="str">
        <f aca="false">IF(ISNUMBER($S48),$S48*Parâmetros!$B$7,"")</f>
        <v/>
      </c>
      <c r="V48" s="45" t="str">
        <f aca="false">IF(ISNUMBER($S48),$S48*Parâmetros!$C$7,"")</f>
        <v/>
      </c>
      <c r="W48" s="44" t="str">
        <f aca="false">IF(ISNUMBER($S48),$S48-$D48-IF(ISNUMBER($E48),$E48,0)-$O48-$T48-$U48-$V48,"")</f>
        <v/>
      </c>
      <c r="X48" s="46" t="str">
        <f aca="false">IF(AND(ISNUMBER($S48),$S48&gt;0),$W48/$S48,"")</f>
        <v/>
      </c>
      <c r="Y48" s="47"/>
      <c r="Z48" s="19"/>
    </row>
    <row r="49" customFormat="false" ht="15.75" hidden="false" customHeight="true" outlineLevel="0" collapsed="false">
      <c r="A49" s="48" t="str">
        <f aca="false">IF(Produtos!$A49="","",Produtos!$A49)</f>
        <v>L2430-AML</v>
      </c>
      <c r="B49" s="48" t="str">
        <f aca="false">IF(Produtos!$A49="","",Produtos!$B49)</f>
        <v>Lixeira c/Aro Meia Lua 24x30 15L</v>
      </c>
      <c r="C49" s="48" t="str">
        <f aca="false">IF(Produtos!$A49="","",Produtos!$C49)</f>
        <v>Lixeiras em inox</v>
      </c>
      <c r="D49" s="33" t="n">
        <f aca="false">IF(Produtos!$A49="","",IF(Produtos!$D49="","",Produtos!$D49))</f>
        <v>96.11</v>
      </c>
      <c r="E49" s="11" t="n">
        <v>0</v>
      </c>
      <c r="F49" s="34" t="n">
        <f aca="false">IF($A49="","",IF($C49="","⚠ categoria",IFERROR(INDEX(Parâmetros!$E$13:$E$22,MATCH($C49,Parâmetros!$A$13:$A$22,0)),"⚠ categoria")))</f>
        <v>0.21</v>
      </c>
      <c r="G49" s="35"/>
      <c r="H49" s="36" t="n">
        <f aca="false">IF($A49="","",IF(ISNUMBER($G49),$G49,IF(ISNUMBER($F49),$F49,"")))</f>
        <v>0.21</v>
      </c>
      <c r="I49" s="37" t="n">
        <f aca="false">IF(OR($A49="",NOT(ISNUMBER($D49)),NOT(ISNUMBER($H49))),"",IF((1-$H49-Parâmetros!$B$7-Parâmetros!$C$7-Parâmetros!$D$7)&lt;=0,"INVALIDO",($D49+IF(ISNUMBER($E49),$E49,0)+IF(ISNUMBER(Parâmetros!$E$7),Parâmetros!$E$7,0))/(1-$H49-Parâmetros!$B$7-Parâmetros!$C$7-Parâmetros!$D$7)))</f>
        <v>208.934782608696</v>
      </c>
      <c r="J49" s="38"/>
      <c r="K49" s="39" t="n">
        <f aca="false">IF(OR($A49="",NOT(ISNUMBER($D49)),NOT(ISNUMBER($H49))),"",IF(AND(ISNUMBER($J49),$J49&gt;0),$J49,IF(ISNUMBER($I49),$I49,"")))</f>
        <v>208.934782608696</v>
      </c>
      <c r="L49" s="40" t="n">
        <f aca="false">IF(ISNUMBER($K49),$K49*$H49,"")</f>
        <v>43.8763043478261</v>
      </c>
      <c r="M49" s="40" t="n">
        <f aca="false">IF(ISNUMBER($K49),$K49*Parâmetros!$B$7,"")</f>
        <v>20.8934782608696</v>
      </c>
      <c r="N49" s="40" t="n">
        <f aca="false">IF(ISNUMBER($K49),$K49*Parâmetros!$C$7,"")</f>
        <v>6.26804347826087</v>
      </c>
      <c r="O49" s="40" t="n">
        <f aca="false">IF(ISNUMBER($K49),IF(ISNUMBER(Parâmetros!$E$7),Parâmetros!$E$7,0),"")</f>
        <v>0</v>
      </c>
      <c r="P49" s="41" t="n">
        <f aca="false">IF(ISNUMBER($K49),$K49-$D49-IF(ISNUMBER($E49),$E49,0)-$L49-$M49-$N49-$O49,"")</f>
        <v>41.7869565217391</v>
      </c>
      <c r="Q49" s="42" t="n">
        <f aca="false">IF(AND(ISNUMBER($K49),$K49&gt;0),$P49/$K49,"")</f>
        <v>0.2</v>
      </c>
      <c r="R49" s="43"/>
      <c r="S49" s="44" t="str">
        <f aca="false">IF(OR(NOT(ISNUMBER($R49)),$R49=0,NOT(ISNUMBER($K49))),"",$K49*(1-$R49))</f>
        <v/>
      </c>
      <c r="T49" s="45" t="str">
        <f aca="false">IF(ISNUMBER($S49),$S49*$H49,"")</f>
        <v/>
      </c>
      <c r="U49" s="45" t="str">
        <f aca="false">IF(ISNUMBER($S49),$S49*Parâmetros!$B$7,"")</f>
        <v/>
      </c>
      <c r="V49" s="45" t="str">
        <f aca="false">IF(ISNUMBER($S49),$S49*Parâmetros!$C$7,"")</f>
        <v/>
      </c>
      <c r="W49" s="44" t="str">
        <f aca="false">IF(ISNUMBER($S49),$S49-$D49-IF(ISNUMBER($E49),$E49,0)-$O49-$T49-$U49-$V49,"")</f>
        <v/>
      </c>
      <c r="X49" s="46" t="str">
        <f aca="false">IF(AND(ISNUMBER($S49),$S49&gt;0),$W49/$S49,"")</f>
        <v/>
      </c>
      <c r="Y49" s="49"/>
      <c r="Z49" s="21"/>
    </row>
    <row r="50" customFormat="false" ht="15.75" hidden="false" customHeight="true" outlineLevel="0" collapsed="false">
      <c r="A50" s="32" t="str">
        <f aca="false">IF(Produtos!$A50="","",Produtos!$A50)</f>
        <v>L2440-AML</v>
      </c>
      <c r="B50" s="32" t="str">
        <f aca="false">IF(Produtos!$A50="","",Produtos!$B50)</f>
        <v>Lixeira c/Aro Meia Lua 24x40 20L</v>
      </c>
      <c r="C50" s="32" t="str">
        <f aca="false">IF(Produtos!$A50="","",Produtos!$C50)</f>
        <v>Lixeiras em inox</v>
      </c>
      <c r="D50" s="33" t="n">
        <f aca="false">IF(Produtos!$A50="","",IF(Produtos!$D50="","",Produtos!$D50))</f>
        <v>113.2</v>
      </c>
      <c r="E50" s="11" t="n">
        <v>0</v>
      </c>
      <c r="F50" s="34" t="n">
        <f aca="false">IF($A50="","",IF($C50="","⚠ categoria",IFERROR(INDEX(Parâmetros!$E$13:$E$22,MATCH($C50,Parâmetros!$A$13:$A$22,0)),"⚠ categoria")))</f>
        <v>0.21</v>
      </c>
      <c r="G50" s="35"/>
      <c r="H50" s="36" t="n">
        <f aca="false">IF($A50="","",IF(ISNUMBER($G50),$G50,IF(ISNUMBER($F50),$F50,"")))</f>
        <v>0.21</v>
      </c>
      <c r="I50" s="37" t="n">
        <f aca="false">IF(OR($A50="",NOT(ISNUMBER($D50)),NOT(ISNUMBER($H50))),"",IF((1-$H50-Parâmetros!$B$7-Parâmetros!$C$7-Parâmetros!$D$7)&lt;=0,"INVALIDO",($D50+IF(ISNUMBER($E50),$E50,0)+IF(ISNUMBER(Parâmetros!$E$7),Parâmetros!$E$7,0))/(1-$H50-Parâmetros!$B$7-Parâmetros!$C$7-Parâmetros!$D$7)))</f>
        <v>246.086956521739</v>
      </c>
      <c r="J50" s="38"/>
      <c r="K50" s="39" t="n">
        <f aca="false">IF(OR($A50="",NOT(ISNUMBER($D50)),NOT(ISNUMBER($H50))),"",IF(AND(ISNUMBER($J50),$J50&gt;0),$J50,IF(ISNUMBER($I50),$I50,"")))</f>
        <v>246.086956521739</v>
      </c>
      <c r="L50" s="40" t="n">
        <f aca="false">IF(ISNUMBER($K50),$K50*$H50,"")</f>
        <v>51.6782608695652</v>
      </c>
      <c r="M50" s="40" t="n">
        <f aca="false">IF(ISNUMBER($K50),$K50*Parâmetros!$B$7,"")</f>
        <v>24.6086956521739</v>
      </c>
      <c r="N50" s="40" t="n">
        <f aca="false">IF(ISNUMBER($K50),$K50*Parâmetros!$C$7,"")</f>
        <v>7.38260869565217</v>
      </c>
      <c r="O50" s="40" t="n">
        <f aca="false">IF(ISNUMBER($K50),IF(ISNUMBER(Parâmetros!$E$7),Parâmetros!$E$7,0),"")</f>
        <v>0</v>
      </c>
      <c r="P50" s="41" t="n">
        <f aca="false">IF(ISNUMBER($K50),$K50-$D50-IF(ISNUMBER($E50),$E50,0)-$L50-$M50-$N50-$O50,"")</f>
        <v>49.2173913043478</v>
      </c>
      <c r="Q50" s="42" t="n">
        <f aca="false">IF(AND(ISNUMBER($K50),$K50&gt;0),$P50/$K50,"")</f>
        <v>0.2</v>
      </c>
      <c r="R50" s="43"/>
      <c r="S50" s="44" t="str">
        <f aca="false">IF(OR(NOT(ISNUMBER($R50)),$R50=0,NOT(ISNUMBER($K50))),"",$K50*(1-$R50))</f>
        <v/>
      </c>
      <c r="T50" s="45" t="str">
        <f aca="false">IF(ISNUMBER($S50),$S50*$H50,"")</f>
        <v/>
      </c>
      <c r="U50" s="45" t="str">
        <f aca="false">IF(ISNUMBER($S50),$S50*Parâmetros!$B$7,"")</f>
        <v/>
      </c>
      <c r="V50" s="45" t="str">
        <f aca="false">IF(ISNUMBER($S50),$S50*Parâmetros!$C$7,"")</f>
        <v/>
      </c>
      <c r="W50" s="44" t="str">
        <f aca="false">IF(ISNUMBER($S50),$S50-$D50-IF(ISNUMBER($E50),$E50,0)-$O50-$T50-$U50-$V50,"")</f>
        <v/>
      </c>
      <c r="X50" s="46" t="str">
        <f aca="false">IF(AND(ISNUMBER($S50),$S50&gt;0),$W50/$S50,"")</f>
        <v/>
      </c>
      <c r="Y50" s="47"/>
      <c r="Z50" s="19"/>
    </row>
    <row r="51" customFormat="false" ht="15.75" hidden="false" customHeight="true" outlineLevel="0" collapsed="false">
      <c r="A51" s="48" t="str">
        <f aca="false">IF(Produtos!$A51="","",Produtos!$A51)</f>
        <v>L2450-AML</v>
      </c>
      <c r="B51" s="48" t="str">
        <f aca="false">IF(Produtos!$A51="","",Produtos!$B51)</f>
        <v>Lixeira c/Aro Meia Lua 24x50 25L</v>
      </c>
      <c r="C51" s="48" t="str">
        <f aca="false">IF(Produtos!$A51="","",Produtos!$C51)</f>
        <v>Lixeiras em inox</v>
      </c>
      <c r="D51" s="33" t="n">
        <f aca="false">IF(Produtos!$A51="","",IF(Produtos!$D51="","",Produtos!$D51))</f>
        <v>139.49</v>
      </c>
      <c r="E51" s="11" t="n">
        <v>0</v>
      </c>
      <c r="F51" s="34" t="n">
        <f aca="false">IF($A51="","",IF($C51="","⚠ categoria",IFERROR(INDEX(Parâmetros!$E$13:$E$22,MATCH($C51,Parâmetros!$A$13:$A$22,0)),"⚠ categoria")))</f>
        <v>0.21</v>
      </c>
      <c r="G51" s="35"/>
      <c r="H51" s="36" t="n">
        <f aca="false">IF($A51="","",IF(ISNUMBER($G51),$G51,IF(ISNUMBER($F51),$F51,"")))</f>
        <v>0.21</v>
      </c>
      <c r="I51" s="37" t="n">
        <f aca="false">IF(OR($A51="",NOT(ISNUMBER($D51)),NOT(ISNUMBER($H51))),"",IF((1-$H51-Parâmetros!$B$7-Parâmetros!$C$7-Parâmetros!$D$7)&lt;=0,"INVALIDO",($D51+IF(ISNUMBER($E51),$E51,0)+IF(ISNUMBER(Parâmetros!$E$7),Parâmetros!$E$7,0))/(1-$H51-Parâmetros!$B$7-Parâmetros!$C$7-Parâmetros!$D$7)))</f>
        <v>303.239130434783</v>
      </c>
      <c r="J51" s="38"/>
      <c r="K51" s="39" t="n">
        <f aca="false">IF(OR($A51="",NOT(ISNUMBER($D51)),NOT(ISNUMBER($H51))),"",IF(AND(ISNUMBER($J51),$J51&gt;0),$J51,IF(ISNUMBER($I51),$I51,"")))</f>
        <v>303.239130434783</v>
      </c>
      <c r="L51" s="40" t="n">
        <f aca="false">IF(ISNUMBER($K51),$K51*$H51,"")</f>
        <v>63.6802173913043</v>
      </c>
      <c r="M51" s="40" t="n">
        <f aca="false">IF(ISNUMBER($K51),$K51*Parâmetros!$B$7,"")</f>
        <v>30.3239130434783</v>
      </c>
      <c r="N51" s="40" t="n">
        <f aca="false">IF(ISNUMBER($K51),$K51*Parâmetros!$C$7,"")</f>
        <v>9.09717391304348</v>
      </c>
      <c r="O51" s="40" t="n">
        <f aca="false">IF(ISNUMBER($K51),IF(ISNUMBER(Parâmetros!$E$7),Parâmetros!$E$7,0),"")</f>
        <v>0</v>
      </c>
      <c r="P51" s="41" t="n">
        <f aca="false">IF(ISNUMBER($K51),$K51-$D51-IF(ISNUMBER($E51),$E51,0)-$L51-$M51-$N51-$O51,"")</f>
        <v>60.6478260869565</v>
      </c>
      <c r="Q51" s="42" t="n">
        <f aca="false">IF(AND(ISNUMBER($K51),$K51&gt;0),$P51/$K51,"")</f>
        <v>0.2</v>
      </c>
      <c r="R51" s="43"/>
      <c r="S51" s="44" t="str">
        <f aca="false">IF(OR(NOT(ISNUMBER($R51)),$R51=0,NOT(ISNUMBER($K51))),"",$K51*(1-$R51))</f>
        <v/>
      </c>
      <c r="T51" s="45" t="str">
        <f aca="false">IF(ISNUMBER($S51),$S51*$H51,"")</f>
        <v/>
      </c>
      <c r="U51" s="45" t="str">
        <f aca="false">IF(ISNUMBER($S51),$S51*Parâmetros!$B$7,"")</f>
        <v/>
      </c>
      <c r="V51" s="45" t="str">
        <f aca="false">IF(ISNUMBER($S51),$S51*Parâmetros!$C$7,"")</f>
        <v/>
      </c>
      <c r="W51" s="44" t="str">
        <f aca="false">IF(ISNUMBER($S51),$S51-$D51-IF(ISNUMBER($E51),$E51,0)-$O51-$T51-$U51-$V51,"")</f>
        <v/>
      </c>
      <c r="X51" s="46" t="str">
        <f aca="false">IF(AND(ISNUMBER($S51),$S51&gt;0),$W51/$S51,"")</f>
        <v/>
      </c>
      <c r="Y51" s="49"/>
      <c r="Z51" s="21"/>
    </row>
    <row r="52" customFormat="false" ht="15.75" hidden="false" customHeight="true" outlineLevel="0" collapsed="false">
      <c r="A52" s="32" t="str">
        <f aca="false">IF(Produtos!$A52="","",Produtos!$A52)</f>
        <v>L2460-AML</v>
      </c>
      <c r="B52" s="32" t="str">
        <f aca="false">IF(Produtos!$A52="","",Produtos!$B52)</f>
        <v>Lixeira c/Aro Meia Lua 24x60 27L</v>
      </c>
      <c r="C52" s="32" t="str">
        <f aca="false">IF(Produtos!$A52="","",Produtos!$C52)</f>
        <v>Lixeiras em inox</v>
      </c>
      <c r="D52" s="33" t="n">
        <f aca="false">IF(Produtos!$A52="","",IF(Produtos!$D52="","",Produtos!$D52))</f>
        <v>140.97</v>
      </c>
      <c r="E52" s="11" t="n">
        <v>0</v>
      </c>
      <c r="F52" s="34" t="n">
        <f aca="false">IF($A52="","",IF($C52="","⚠ categoria",IFERROR(INDEX(Parâmetros!$E$13:$E$22,MATCH($C52,Parâmetros!$A$13:$A$22,0)),"⚠ categoria")))</f>
        <v>0.21</v>
      </c>
      <c r="G52" s="35"/>
      <c r="H52" s="36" t="n">
        <f aca="false">IF($A52="","",IF(ISNUMBER($G52),$G52,IF(ISNUMBER($F52),$F52,"")))</f>
        <v>0.21</v>
      </c>
      <c r="I52" s="37" t="n">
        <f aca="false">IF(OR($A52="",NOT(ISNUMBER($D52)),NOT(ISNUMBER($H52))),"",IF((1-$H52-Parâmetros!$B$7-Parâmetros!$C$7-Parâmetros!$D$7)&lt;=0,"INVALIDO",($D52+IF(ISNUMBER($E52),$E52,0)+IF(ISNUMBER(Parâmetros!$E$7),Parâmetros!$E$7,0))/(1-$H52-Parâmetros!$B$7-Parâmetros!$C$7-Parâmetros!$D$7)))</f>
        <v>306.45652173913</v>
      </c>
      <c r="J52" s="38"/>
      <c r="K52" s="39" t="n">
        <f aca="false">IF(OR($A52="",NOT(ISNUMBER($D52)),NOT(ISNUMBER($H52))),"",IF(AND(ISNUMBER($J52),$J52&gt;0),$J52,IF(ISNUMBER($I52),$I52,"")))</f>
        <v>306.45652173913</v>
      </c>
      <c r="L52" s="40" t="n">
        <f aca="false">IF(ISNUMBER($K52),$K52*$H52,"")</f>
        <v>64.3558695652174</v>
      </c>
      <c r="M52" s="40" t="n">
        <f aca="false">IF(ISNUMBER($K52),$K52*Parâmetros!$B$7,"")</f>
        <v>30.645652173913</v>
      </c>
      <c r="N52" s="40" t="n">
        <f aca="false">IF(ISNUMBER($K52),$K52*Parâmetros!$C$7,"")</f>
        <v>9.19369565217391</v>
      </c>
      <c r="O52" s="40" t="n">
        <f aca="false">IF(ISNUMBER($K52),IF(ISNUMBER(Parâmetros!$E$7),Parâmetros!$E$7,0),"")</f>
        <v>0</v>
      </c>
      <c r="P52" s="41" t="n">
        <f aca="false">IF(ISNUMBER($K52),$K52-$D52-IF(ISNUMBER($E52),$E52,0)-$L52-$M52-$N52-$O52,"")</f>
        <v>61.2913043478261</v>
      </c>
      <c r="Q52" s="42" t="n">
        <f aca="false">IF(AND(ISNUMBER($K52),$K52&gt;0),$P52/$K52,"")</f>
        <v>0.2</v>
      </c>
      <c r="R52" s="43"/>
      <c r="S52" s="44" t="str">
        <f aca="false">IF(OR(NOT(ISNUMBER($R52)),$R52=0,NOT(ISNUMBER($K52))),"",$K52*(1-$R52))</f>
        <v/>
      </c>
      <c r="T52" s="45" t="str">
        <f aca="false">IF(ISNUMBER($S52),$S52*$H52,"")</f>
        <v/>
      </c>
      <c r="U52" s="45" t="str">
        <f aca="false">IF(ISNUMBER($S52),$S52*Parâmetros!$B$7,"")</f>
        <v/>
      </c>
      <c r="V52" s="45" t="str">
        <f aca="false">IF(ISNUMBER($S52),$S52*Parâmetros!$C$7,"")</f>
        <v/>
      </c>
      <c r="W52" s="44" t="str">
        <f aca="false">IF(ISNUMBER($S52),$S52-$D52-IF(ISNUMBER($E52),$E52,0)-$O52-$T52-$U52-$V52,"")</f>
        <v/>
      </c>
      <c r="X52" s="46" t="str">
        <f aca="false">IF(AND(ISNUMBER($S52),$S52&gt;0),$W52/$S52,"")</f>
        <v/>
      </c>
      <c r="Y52" s="47"/>
      <c r="Z52" s="19"/>
    </row>
    <row r="53" customFormat="false" ht="15.75" hidden="false" customHeight="true" outlineLevel="0" collapsed="false">
      <c r="A53" s="48" t="str">
        <f aca="false">IF(Produtos!$A53="","",Produtos!$A53)</f>
        <v>L2470-AML</v>
      </c>
      <c r="B53" s="48" t="str">
        <f aca="false">IF(Produtos!$A53="","",Produtos!$B53)</f>
        <v>Lixeira c/Aro Meia Lua 24x70 30L</v>
      </c>
      <c r="C53" s="48" t="str">
        <f aca="false">IF(Produtos!$A53="","",Produtos!$C53)</f>
        <v>Lixeiras em inox</v>
      </c>
      <c r="D53" s="33" t="n">
        <f aca="false">IF(Produtos!$A53="","",IF(Produtos!$D53="","",Produtos!$D53))</f>
        <v>208.28</v>
      </c>
      <c r="E53" s="11" t="n">
        <v>0</v>
      </c>
      <c r="F53" s="34" t="n">
        <f aca="false">IF($A53="","",IF($C53="","⚠ categoria",IFERROR(INDEX(Parâmetros!$E$13:$E$22,MATCH($C53,Parâmetros!$A$13:$A$22,0)),"⚠ categoria")))</f>
        <v>0.21</v>
      </c>
      <c r="G53" s="35"/>
      <c r="H53" s="36" t="n">
        <f aca="false">IF($A53="","",IF(ISNUMBER($G53),$G53,IF(ISNUMBER($F53),$F53,"")))</f>
        <v>0.21</v>
      </c>
      <c r="I53" s="37" t="n">
        <f aca="false">IF(OR($A53="",NOT(ISNUMBER($D53)),NOT(ISNUMBER($H53))),"",IF((1-$H53-Parâmetros!$B$7-Parâmetros!$C$7-Parâmetros!$D$7)&lt;=0,"INVALIDO",($D53+IF(ISNUMBER($E53),$E53,0)+IF(ISNUMBER(Parâmetros!$E$7),Parâmetros!$E$7,0))/(1-$H53-Parâmetros!$B$7-Parâmetros!$C$7-Parâmetros!$D$7)))</f>
        <v>452.782608695652</v>
      </c>
      <c r="J53" s="38"/>
      <c r="K53" s="39" t="n">
        <f aca="false">IF(OR($A53="",NOT(ISNUMBER($D53)),NOT(ISNUMBER($H53))),"",IF(AND(ISNUMBER($J53),$J53&gt;0),$J53,IF(ISNUMBER($I53),$I53,"")))</f>
        <v>452.782608695652</v>
      </c>
      <c r="L53" s="40" t="n">
        <f aca="false">IF(ISNUMBER($K53),$K53*$H53,"")</f>
        <v>95.0843478260869</v>
      </c>
      <c r="M53" s="40" t="n">
        <f aca="false">IF(ISNUMBER($K53),$K53*Parâmetros!$B$7,"")</f>
        <v>45.2782608695652</v>
      </c>
      <c r="N53" s="40" t="n">
        <f aca="false">IF(ISNUMBER($K53),$K53*Parâmetros!$C$7,"")</f>
        <v>13.5834782608696</v>
      </c>
      <c r="O53" s="40" t="n">
        <f aca="false">IF(ISNUMBER($K53),IF(ISNUMBER(Parâmetros!$E$7),Parâmetros!$E$7,0),"")</f>
        <v>0</v>
      </c>
      <c r="P53" s="41" t="n">
        <f aca="false">IF(ISNUMBER($K53),$K53-$D53-IF(ISNUMBER($E53),$E53,0)-$L53-$M53-$N53-$O53,"")</f>
        <v>90.5565217391304</v>
      </c>
      <c r="Q53" s="42" t="n">
        <f aca="false">IF(AND(ISNUMBER($K53),$K53&gt;0),$P53/$K53,"")</f>
        <v>0.2</v>
      </c>
      <c r="R53" s="43"/>
      <c r="S53" s="44" t="str">
        <f aca="false">IF(OR(NOT(ISNUMBER($R53)),$R53=0,NOT(ISNUMBER($K53))),"",$K53*(1-$R53))</f>
        <v/>
      </c>
      <c r="T53" s="45" t="str">
        <f aca="false">IF(ISNUMBER($S53),$S53*$H53,"")</f>
        <v/>
      </c>
      <c r="U53" s="45" t="str">
        <f aca="false">IF(ISNUMBER($S53),$S53*Parâmetros!$B$7,"")</f>
        <v/>
      </c>
      <c r="V53" s="45" t="str">
        <f aca="false">IF(ISNUMBER($S53),$S53*Parâmetros!$C$7,"")</f>
        <v/>
      </c>
      <c r="W53" s="44" t="str">
        <f aca="false">IF(ISNUMBER($S53),$S53-$D53-IF(ISNUMBER($E53),$E53,0)-$O53-$T53-$U53-$V53,"")</f>
        <v/>
      </c>
      <c r="X53" s="46" t="str">
        <f aca="false">IF(AND(ISNUMBER($S53),$S53&gt;0),$W53/$S53,"")</f>
        <v/>
      </c>
      <c r="Y53" s="49"/>
      <c r="Z53" s="21"/>
    </row>
    <row r="54" customFormat="false" ht="15.75" hidden="false" customHeight="true" outlineLevel="0" collapsed="false">
      <c r="A54" s="32" t="str">
        <f aca="false">IF(Produtos!$A54="","",Produtos!$A54)</f>
        <v>L3040-AML</v>
      </c>
      <c r="B54" s="32" t="str">
        <f aca="false">IF(Produtos!$A54="","",Produtos!$B54)</f>
        <v>Lixeira c/Aro Meia Lua 30x40 30L</v>
      </c>
      <c r="C54" s="32" t="str">
        <f aca="false">IF(Produtos!$A54="","",Produtos!$C54)</f>
        <v>Lixeiras em inox</v>
      </c>
      <c r="D54" s="33" t="n">
        <f aca="false">IF(Produtos!$A54="","",IF(Produtos!$D54="","",Produtos!$D54))</f>
        <v>161.26</v>
      </c>
      <c r="E54" s="11" t="n">
        <v>0</v>
      </c>
      <c r="F54" s="34" t="n">
        <f aca="false">IF($A54="","",IF($C54="","⚠ categoria",IFERROR(INDEX(Parâmetros!$E$13:$E$22,MATCH($C54,Parâmetros!$A$13:$A$22,0)),"⚠ categoria")))</f>
        <v>0.21</v>
      </c>
      <c r="G54" s="35"/>
      <c r="H54" s="36" t="n">
        <f aca="false">IF($A54="","",IF(ISNUMBER($G54),$G54,IF(ISNUMBER($F54),$F54,"")))</f>
        <v>0.21</v>
      </c>
      <c r="I54" s="37" t="n">
        <f aca="false">IF(OR($A54="",NOT(ISNUMBER($D54)),NOT(ISNUMBER($H54))),"",IF((1-$H54-Parâmetros!$B$7-Parâmetros!$C$7-Parâmetros!$D$7)&lt;=0,"INVALIDO",($D54+IF(ISNUMBER($E54),$E54,0)+IF(ISNUMBER(Parâmetros!$E$7),Parâmetros!$E$7,0))/(1-$H54-Parâmetros!$B$7-Parâmetros!$C$7-Parâmetros!$D$7)))</f>
        <v>350.565217391304</v>
      </c>
      <c r="J54" s="38"/>
      <c r="K54" s="39" t="n">
        <f aca="false">IF(OR($A54="",NOT(ISNUMBER($D54)),NOT(ISNUMBER($H54))),"",IF(AND(ISNUMBER($J54),$J54&gt;0),$J54,IF(ISNUMBER($I54),$I54,"")))</f>
        <v>350.565217391304</v>
      </c>
      <c r="L54" s="40" t="n">
        <f aca="false">IF(ISNUMBER($K54),$K54*$H54,"")</f>
        <v>73.6186956521739</v>
      </c>
      <c r="M54" s="40" t="n">
        <f aca="false">IF(ISNUMBER($K54),$K54*Parâmetros!$B$7,"")</f>
        <v>35.0565217391304</v>
      </c>
      <c r="N54" s="40" t="n">
        <f aca="false">IF(ISNUMBER($K54),$K54*Parâmetros!$C$7,"")</f>
        <v>10.5169565217391</v>
      </c>
      <c r="O54" s="40" t="n">
        <f aca="false">IF(ISNUMBER($K54),IF(ISNUMBER(Parâmetros!$E$7),Parâmetros!$E$7,0),"")</f>
        <v>0</v>
      </c>
      <c r="P54" s="41" t="n">
        <f aca="false">IF(ISNUMBER($K54),$K54-$D54-IF(ISNUMBER($E54),$E54,0)-$L54-$M54-$N54-$O54,"")</f>
        <v>70.1130434782609</v>
      </c>
      <c r="Q54" s="42" t="n">
        <f aca="false">IF(AND(ISNUMBER($K54),$K54&gt;0),$P54/$K54,"")</f>
        <v>0.2</v>
      </c>
      <c r="R54" s="43"/>
      <c r="S54" s="44" t="str">
        <f aca="false">IF(OR(NOT(ISNUMBER($R54)),$R54=0,NOT(ISNUMBER($K54))),"",$K54*(1-$R54))</f>
        <v/>
      </c>
      <c r="T54" s="45" t="str">
        <f aca="false">IF(ISNUMBER($S54),$S54*$H54,"")</f>
        <v/>
      </c>
      <c r="U54" s="45" t="str">
        <f aca="false">IF(ISNUMBER($S54),$S54*Parâmetros!$B$7,"")</f>
        <v/>
      </c>
      <c r="V54" s="45" t="str">
        <f aca="false">IF(ISNUMBER($S54),$S54*Parâmetros!$C$7,"")</f>
        <v/>
      </c>
      <c r="W54" s="44" t="str">
        <f aca="false">IF(ISNUMBER($S54),$S54-$D54-IF(ISNUMBER($E54),$E54,0)-$O54-$T54-$U54-$V54,"")</f>
        <v/>
      </c>
      <c r="X54" s="46" t="str">
        <f aca="false">IF(AND(ISNUMBER($S54),$S54&gt;0),$W54/$S54,"")</f>
        <v/>
      </c>
      <c r="Y54" s="47"/>
      <c r="Z54" s="19"/>
    </row>
    <row r="55" customFormat="false" ht="15.75" hidden="false" customHeight="true" outlineLevel="0" collapsed="false">
      <c r="A55" s="48" t="str">
        <f aca="false">IF(Produtos!$A55="","",Produtos!$A55)</f>
        <v>L3050-AML</v>
      </c>
      <c r="B55" s="48" t="str">
        <f aca="false">IF(Produtos!$A55="","",Produtos!$B55)</f>
        <v>Lixeira c/Aro Meia Lua 30x50 35L</v>
      </c>
      <c r="C55" s="48" t="str">
        <f aca="false">IF(Produtos!$A55="","",Produtos!$C55)</f>
        <v>Lixeiras em inox</v>
      </c>
      <c r="D55" s="33" t="n">
        <f aca="false">IF(Produtos!$A55="","",IF(Produtos!$D55="","",Produtos!$D55))</f>
        <v>205.71</v>
      </c>
      <c r="E55" s="11" t="n">
        <v>0</v>
      </c>
      <c r="F55" s="34" t="n">
        <f aca="false">IF($A55="","",IF($C55="","⚠ categoria",IFERROR(INDEX(Parâmetros!$E$13:$E$22,MATCH($C55,Parâmetros!$A$13:$A$22,0)),"⚠ categoria")))</f>
        <v>0.21</v>
      </c>
      <c r="G55" s="35"/>
      <c r="H55" s="36" t="n">
        <f aca="false">IF($A55="","",IF(ISNUMBER($G55),$G55,IF(ISNUMBER($F55),$F55,"")))</f>
        <v>0.21</v>
      </c>
      <c r="I55" s="37" t="n">
        <f aca="false">IF(OR($A55="",NOT(ISNUMBER($D55)),NOT(ISNUMBER($H55))),"",IF((1-$H55-Parâmetros!$B$7-Parâmetros!$C$7-Parâmetros!$D$7)&lt;=0,"INVALIDO",($D55+IF(ISNUMBER($E55),$E55,0)+IF(ISNUMBER(Parâmetros!$E$7),Parâmetros!$E$7,0))/(1-$H55-Parâmetros!$B$7-Parâmetros!$C$7-Parâmetros!$D$7)))</f>
        <v>447.195652173913</v>
      </c>
      <c r="J55" s="38"/>
      <c r="K55" s="39" t="n">
        <f aca="false">IF(OR($A55="",NOT(ISNUMBER($D55)),NOT(ISNUMBER($H55))),"",IF(AND(ISNUMBER($J55),$J55&gt;0),$J55,IF(ISNUMBER($I55),$I55,"")))</f>
        <v>447.195652173913</v>
      </c>
      <c r="L55" s="40" t="n">
        <f aca="false">IF(ISNUMBER($K55),$K55*$H55,"")</f>
        <v>93.9110869565217</v>
      </c>
      <c r="M55" s="40" t="n">
        <f aca="false">IF(ISNUMBER($K55),$K55*Parâmetros!$B$7,"")</f>
        <v>44.7195652173913</v>
      </c>
      <c r="N55" s="40" t="n">
        <f aca="false">IF(ISNUMBER($K55),$K55*Parâmetros!$C$7,"")</f>
        <v>13.4158695652174</v>
      </c>
      <c r="O55" s="40" t="n">
        <f aca="false">IF(ISNUMBER($K55),IF(ISNUMBER(Parâmetros!$E$7),Parâmetros!$E$7,0),"")</f>
        <v>0</v>
      </c>
      <c r="P55" s="41" t="n">
        <f aca="false">IF(ISNUMBER($K55),$K55-$D55-IF(ISNUMBER($E55),$E55,0)-$L55-$M55-$N55-$O55,"")</f>
        <v>89.4391304347826</v>
      </c>
      <c r="Q55" s="42" t="n">
        <f aca="false">IF(AND(ISNUMBER($K55),$K55&gt;0),$P55/$K55,"")</f>
        <v>0.2</v>
      </c>
      <c r="R55" s="43"/>
      <c r="S55" s="44" t="str">
        <f aca="false">IF(OR(NOT(ISNUMBER($R55)),$R55=0,NOT(ISNUMBER($K55))),"",$K55*(1-$R55))</f>
        <v/>
      </c>
      <c r="T55" s="45" t="str">
        <f aca="false">IF(ISNUMBER($S55),$S55*$H55,"")</f>
        <v/>
      </c>
      <c r="U55" s="45" t="str">
        <f aca="false">IF(ISNUMBER($S55),$S55*Parâmetros!$B$7,"")</f>
        <v/>
      </c>
      <c r="V55" s="45" t="str">
        <f aca="false">IF(ISNUMBER($S55),$S55*Parâmetros!$C$7,"")</f>
        <v/>
      </c>
      <c r="W55" s="44" t="str">
        <f aca="false">IF(ISNUMBER($S55),$S55-$D55-IF(ISNUMBER($E55),$E55,0)-$O55-$T55-$U55-$V55,"")</f>
        <v/>
      </c>
      <c r="X55" s="46" t="str">
        <f aca="false">IF(AND(ISNUMBER($S55),$S55&gt;0),$W55/$S55,"")</f>
        <v/>
      </c>
      <c r="Y55" s="49"/>
      <c r="Z55" s="21"/>
    </row>
    <row r="56" customFormat="false" ht="15.75" hidden="false" customHeight="true" outlineLevel="0" collapsed="false">
      <c r="A56" s="32" t="str">
        <f aca="false">IF(Produtos!$A56="","",Produtos!$A56)</f>
        <v>L3060-AML</v>
      </c>
      <c r="B56" s="32" t="str">
        <f aca="false">IF(Produtos!$A56="","",Produtos!$B56)</f>
        <v>Lixeira c/Aro Meia Lua 30x60 40L</v>
      </c>
      <c r="C56" s="32" t="str">
        <f aca="false">IF(Produtos!$A56="","",Produtos!$C56)</f>
        <v>Lixeiras em inox</v>
      </c>
      <c r="D56" s="33" t="n">
        <f aca="false">IF(Produtos!$A56="","",IF(Produtos!$D56="","",Produtos!$D56))</f>
        <v>235.28</v>
      </c>
      <c r="E56" s="11" t="n">
        <v>0</v>
      </c>
      <c r="F56" s="34" t="n">
        <f aca="false">IF($A56="","",IF($C56="","⚠ categoria",IFERROR(INDEX(Parâmetros!$E$13:$E$22,MATCH($C56,Parâmetros!$A$13:$A$22,0)),"⚠ categoria")))</f>
        <v>0.21</v>
      </c>
      <c r="G56" s="35"/>
      <c r="H56" s="36" t="n">
        <f aca="false">IF($A56="","",IF(ISNUMBER($G56),$G56,IF(ISNUMBER($F56),$F56,"")))</f>
        <v>0.21</v>
      </c>
      <c r="I56" s="37" t="n">
        <f aca="false">IF(OR($A56="",NOT(ISNUMBER($D56)),NOT(ISNUMBER($H56))),"",IF((1-$H56-Parâmetros!$B$7-Parâmetros!$C$7-Parâmetros!$D$7)&lt;=0,"INVALIDO",($D56+IF(ISNUMBER($E56),$E56,0)+IF(ISNUMBER(Parâmetros!$E$7),Parâmetros!$E$7,0))/(1-$H56-Parâmetros!$B$7-Parâmetros!$C$7-Parâmetros!$D$7)))</f>
        <v>511.478260869565</v>
      </c>
      <c r="J56" s="38"/>
      <c r="K56" s="39" t="n">
        <f aca="false">IF(OR($A56="",NOT(ISNUMBER($D56)),NOT(ISNUMBER($H56))),"",IF(AND(ISNUMBER($J56),$J56&gt;0),$J56,IF(ISNUMBER($I56),$I56,"")))</f>
        <v>511.478260869565</v>
      </c>
      <c r="L56" s="40" t="n">
        <f aca="false">IF(ISNUMBER($K56),$K56*$H56,"")</f>
        <v>107.410434782609</v>
      </c>
      <c r="M56" s="40" t="n">
        <f aca="false">IF(ISNUMBER($K56),$K56*Parâmetros!$B$7,"")</f>
        <v>51.1478260869565</v>
      </c>
      <c r="N56" s="40" t="n">
        <f aca="false">IF(ISNUMBER($K56),$K56*Parâmetros!$C$7,"")</f>
        <v>15.344347826087</v>
      </c>
      <c r="O56" s="40" t="n">
        <f aca="false">IF(ISNUMBER($K56),IF(ISNUMBER(Parâmetros!$E$7),Parâmetros!$E$7,0),"")</f>
        <v>0</v>
      </c>
      <c r="P56" s="41" t="n">
        <f aca="false">IF(ISNUMBER($K56),$K56-$D56-IF(ISNUMBER($E56),$E56,0)-$L56-$M56-$N56-$O56,"")</f>
        <v>102.295652173913</v>
      </c>
      <c r="Q56" s="42" t="n">
        <f aca="false">IF(AND(ISNUMBER($K56),$K56&gt;0),$P56/$K56,"")</f>
        <v>0.2</v>
      </c>
      <c r="R56" s="43"/>
      <c r="S56" s="44" t="str">
        <f aca="false">IF(OR(NOT(ISNUMBER($R56)),$R56=0,NOT(ISNUMBER($K56))),"",$K56*(1-$R56))</f>
        <v/>
      </c>
      <c r="T56" s="45" t="str">
        <f aca="false">IF(ISNUMBER($S56),$S56*$H56,"")</f>
        <v/>
      </c>
      <c r="U56" s="45" t="str">
        <f aca="false">IF(ISNUMBER($S56),$S56*Parâmetros!$B$7,"")</f>
        <v/>
      </c>
      <c r="V56" s="45" t="str">
        <f aca="false">IF(ISNUMBER($S56),$S56*Parâmetros!$C$7,"")</f>
        <v/>
      </c>
      <c r="W56" s="44" t="str">
        <f aca="false">IF(ISNUMBER($S56),$S56-$D56-IF(ISNUMBER($E56),$E56,0)-$O56-$T56-$U56-$V56,"")</f>
        <v/>
      </c>
      <c r="X56" s="46" t="str">
        <f aca="false">IF(AND(ISNUMBER($S56),$S56&gt;0),$W56/$S56,"")</f>
        <v/>
      </c>
      <c r="Y56" s="47"/>
      <c r="Z56" s="19"/>
    </row>
    <row r="57" customFormat="false" ht="15.75" hidden="false" customHeight="true" outlineLevel="0" collapsed="false">
      <c r="A57" s="48" t="str">
        <f aca="false">IF(Produtos!$A57="","",Produtos!$A57)</f>
        <v>L3070-AML</v>
      </c>
      <c r="B57" s="48" t="str">
        <f aca="false">IF(Produtos!$A57="","",Produtos!$B57)</f>
        <v>Lixeira c/Aro Meia Lua 30x70 50L</v>
      </c>
      <c r="C57" s="48" t="str">
        <f aca="false">IF(Produtos!$A57="","",Produtos!$C57)</f>
        <v>Lixeiras em inox</v>
      </c>
      <c r="D57" s="33" t="n">
        <f aca="false">IF(Produtos!$A57="","",IF(Produtos!$D57="","",Produtos!$D57))</f>
        <v>269.82</v>
      </c>
      <c r="E57" s="11" t="n">
        <v>0</v>
      </c>
      <c r="F57" s="34" t="n">
        <f aca="false">IF($A57="","",IF($C57="","⚠ categoria",IFERROR(INDEX(Parâmetros!$E$13:$E$22,MATCH($C57,Parâmetros!$A$13:$A$22,0)),"⚠ categoria")))</f>
        <v>0.21</v>
      </c>
      <c r="G57" s="35"/>
      <c r="H57" s="36" t="n">
        <f aca="false">IF($A57="","",IF(ISNUMBER($G57),$G57,IF(ISNUMBER($F57),$F57,"")))</f>
        <v>0.21</v>
      </c>
      <c r="I57" s="37" t="n">
        <f aca="false">IF(OR($A57="",NOT(ISNUMBER($D57)),NOT(ISNUMBER($H57))),"",IF((1-$H57-Parâmetros!$B$7-Parâmetros!$C$7-Parâmetros!$D$7)&lt;=0,"INVALIDO",($D57+IF(ISNUMBER($E57),$E57,0)+IF(ISNUMBER(Parâmetros!$E$7),Parâmetros!$E$7,0))/(1-$H57-Parâmetros!$B$7-Parâmetros!$C$7-Parâmetros!$D$7)))</f>
        <v>586.565217391304</v>
      </c>
      <c r="J57" s="38"/>
      <c r="K57" s="39" t="n">
        <f aca="false">IF(OR($A57="",NOT(ISNUMBER($D57)),NOT(ISNUMBER($H57))),"",IF(AND(ISNUMBER($J57),$J57&gt;0),$J57,IF(ISNUMBER($I57),$I57,"")))</f>
        <v>586.565217391304</v>
      </c>
      <c r="L57" s="40" t="n">
        <f aca="false">IF(ISNUMBER($K57),$K57*$H57,"")</f>
        <v>123.178695652174</v>
      </c>
      <c r="M57" s="40" t="n">
        <f aca="false">IF(ISNUMBER($K57),$K57*Parâmetros!$B$7,"")</f>
        <v>58.6565217391304</v>
      </c>
      <c r="N57" s="40" t="n">
        <f aca="false">IF(ISNUMBER($K57),$K57*Parâmetros!$C$7,"")</f>
        <v>17.5969565217391</v>
      </c>
      <c r="O57" s="40" t="n">
        <f aca="false">IF(ISNUMBER($K57),IF(ISNUMBER(Parâmetros!$E$7),Parâmetros!$E$7,0),"")</f>
        <v>0</v>
      </c>
      <c r="P57" s="41" t="n">
        <f aca="false">IF(ISNUMBER($K57),$K57-$D57-IF(ISNUMBER($E57),$E57,0)-$L57-$M57-$N57-$O57,"")</f>
        <v>117.313043478261</v>
      </c>
      <c r="Q57" s="42" t="n">
        <f aca="false">IF(AND(ISNUMBER($K57),$K57&gt;0),$P57/$K57,"")</f>
        <v>0.2</v>
      </c>
      <c r="R57" s="43"/>
      <c r="S57" s="44" t="str">
        <f aca="false">IF(OR(NOT(ISNUMBER($R57)),$R57=0,NOT(ISNUMBER($K57))),"",$K57*(1-$R57))</f>
        <v/>
      </c>
      <c r="T57" s="45" t="str">
        <f aca="false">IF(ISNUMBER($S57),$S57*$H57,"")</f>
        <v/>
      </c>
      <c r="U57" s="45" t="str">
        <f aca="false">IF(ISNUMBER($S57),$S57*Parâmetros!$B$7,"")</f>
        <v/>
      </c>
      <c r="V57" s="45" t="str">
        <f aca="false">IF(ISNUMBER($S57),$S57*Parâmetros!$C$7,"")</f>
        <v/>
      </c>
      <c r="W57" s="44" t="str">
        <f aca="false">IF(ISNUMBER($S57),$S57-$D57-IF(ISNUMBER($E57),$E57,0)-$O57-$T57-$U57-$V57,"")</f>
        <v/>
      </c>
      <c r="X57" s="46" t="str">
        <f aca="false">IF(AND(ISNUMBER($S57),$S57&gt;0),$W57/$S57,"")</f>
        <v/>
      </c>
      <c r="Y57" s="49"/>
      <c r="Z57" s="21"/>
    </row>
    <row r="58" customFormat="false" ht="15.75" hidden="false" customHeight="true" outlineLevel="0" collapsed="false">
      <c r="A58" s="32" t="str">
        <f aca="false">IF(Produtos!$A58="","",Produtos!$A58)</f>
        <v>L3085-AML</v>
      </c>
      <c r="B58" s="32" t="str">
        <f aca="false">IF(Produtos!$A58="","",Produtos!$B58)</f>
        <v>Lixeira c/Aro Meia Lua 30x85 60L</v>
      </c>
      <c r="C58" s="32" t="str">
        <f aca="false">IF(Produtos!$A58="","",Produtos!$C58)</f>
        <v>Lixeiras em inox</v>
      </c>
      <c r="D58" s="33" t="n">
        <f aca="false">IF(Produtos!$A58="","",IF(Produtos!$D58="","",Produtos!$D58))</f>
        <v>360.65</v>
      </c>
      <c r="E58" s="11" t="n">
        <v>0</v>
      </c>
      <c r="F58" s="34" t="n">
        <f aca="false">IF($A58="","",IF($C58="","⚠ categoria",IFERROR(INDEX(Parâmetros!$E$13:$E$22,MATCH($C58,Parâmetros!$A$13:$A$22,0)),"⚠ categoria")))</f>
        <v>0.21</v>
      </c>
      <c r="G58" s="35"/>
      <c r="H58" s="36" t="n">
        <f aca="false">IF($A58="","",IF(ISNUMBER($G58),$G58,IF(ISNUMBER($F58),$F58,"")))</f>
        <v>0.21</v>
      </c>
      <c r="I58" s="37" t="n">
        <f aca="false">IF(OR($A58="",NOT(ISNUMBER($D58)),NOT(ISNUMBER($H58))),"",IF((1-$H58-Parâmetros!$B$7-Parâmetros!$C$7-Parâmetros!$D$7)&lt;=0,"INVALIDO",($D58+IF(ISNUMBER($E58),$E58,0)+IF(ISNUMBER(Parâmetros!$E$7),Parâmetros!$E$7,0))/(1-$H58-Parâmetros!$B$7-Parâmetros!$C$7-Parâmetros!$D$7)))</f>
        <v>784.021739130435</v>
      </c>
      <c r="J58" s="38"/>
      <c r="K58" s="39" t="n">
        <f aca="false">IF(OR($A58="",NOT(ISNUMBER($D58)),NOT(ISNUMBER($H58))),"",IF(AND(ISNUMBER($J58),$J58&gt;0),$J58,IF(ISNUMBER($I58),$I58,"")))</f>
        <v>784.021739130435</v>
      </c>
      <c r="L58" s="40" t="n">
        <f aca="false">IF(ISNUMBER($K58),$K58*$H58,"")</f>
        <v>164.644565217391</v>
      </c>
      <c r="M58" s="40" t="n">
        <f aca="false">IF(ISNUMBER($K58),$K58*Parâmetros!$B$7,"")</f>
        <v>78.4021739130435</v>
      </c>
      <c r="N58" s="40" t="n">
        <f aca="false">IF(ISNUMBER($K58),$K58*Parâmetros!$C$7,"")</f>
        <v>23.520652173913</v>
      </c>
      <c r="O58" s="40" t="n">
        <f aca="false">IF(ISNUMBER($K58),IF(ISNUMBER(Parâmetros!$E$7),Parâmetros!$E$7,0),"")</f>
        <v>0</v>
      </c>
      <c r="P58" s="41" t="n">
        <f aca="false">IF(ISNUMBER($K58),$K58-$D58-IF(ISNUMBER($E58),$E58,0)-$L58-$M58-$N58-$O58,"")</f>
        <v>156.804347826087</v>
      </c>
      <c r="Q58" s="42" t="n">
        <f aca="false">IF(AND(ISNUMBER($K58),$K58&gt;0),$P58/$K58,"")</f>
        <v>0.2</v>
      </c>
      <c r="R58" s="43"/>
      <c r="S58" s="44" t="str">
        <f aca="false">IF(OR(NOT(ISNUMBER($R58)),$R58=0,NOT(ISNUMBER($K58))),"",$K58*(1-$R58))</f>
        <v/>
      </c>
      <c r="T58" s="45" t="str">
        <f aca="false">IF(ISNUMBER($S58),$S58*$H58,"")</f>
        <v/>
      </c>
      <c r="U58" s="45" t="str">
        <f aca="false">IF(ISNUMBER($S58),$S58*Parâmetros!$B$7,"")</f>
        <v/>
      </c>
      <c r="V58" s="45" t="str">
        <f aca="false">IF(ISNUMBER($S58),$S58*Parâmetros!$C$7,"")</f>
        <v/>
      </c>
      <c r="W58" s="44" t="str">
        <f aca="false">IF(ISNUMBER($S58),$S58-$D58-IF(ISNUMBER($E58),$E58,0)-$O58-$T58-$U58-$V58,"")</f>
        <v/>
      </c>
      <c r="X58" s="46" t="str">
        <f aca="false">IF(AND(ISNUMBER($S58),$S58&gt;0),$W58/$S58,"")</f>
        <v/>
      </c>
      <c r="Y58" s="47"/>
      <c r="Z58" s="19"/>
    </row>
    <row r="59" customFormat="false" ht="15.75" hidden="false" customHeight="true" outlineLevel="0" collapsed="false">
      <c r="A59" s="48" t="str">
        <f aca="false">IF(Produtos!$A59="","",Produtos!$A59)</f>
        <v>L4050-AML</v>
      </c>
      <c r="B59" s="48" t="str">
        <f aca="false">IF(Produtos!$A59="","",Produtos!$B59)</f>
        <v>Lixeira c/Aro Meia Lua 40x50 62L</v>
      </c>
      <c r="C59" s="48" t="str">
        <f aca="false">IF(Produtos!$A59="","",Produtos!$C59)</f>
        <v>Lixeiras em inox</v>
      </c>
      <c r="D59" s="33" t="n">
        <f aca="false">IF(Produtos!$A59="","",IF(Produtos!$D59="","",Produtos!$D59))</f>
        <v>305.35</v>
      </c>
      <c r="E59" s="11" t="n">
        <v>0</v>
      </c>
      <c r="F59" s="34" t="n">
        <f aca="false">IF($A59="","",IF($C59="","⚠ categoria",IFERROR(INDEX(Parâmetros!$E$13:$E$22,MATCH($C59,Parâmetros!$A$13:$A$22,0)),"⚠ categoria")))</f>
        <v>0.21</v>
      </c>
      <c r="G59" s="35"/>
      <c r="H59" s="36" t="n">
        <f aca="false">IF($A59="","",IF(ISNUMBER($G59),$G59,IF(ISNUMBER($F59),$F59,"")))</f>
        <v>0.21</v>
      </c>
      <c r="I59" s="37" t="n">
        <f aca="false">IF(OR($A59="",NOT(ISNUMBER($D59)),NOT(ISNUMBER($H59))),"",IF((1-$H59-Parâmetros!$B$7-Parâmetros!$C$7-Parâmetros!$D$7)&lt;=0,"INVALIDO",($D59+IF(ISNUMBER($E59),$E59,0)+IF(ISNUMBER(Parâmetros!$E$7),Parâmetros!$E$7,0))/(1-$H59-Parâmetros!$B$7-Parâmetros!$C$7-Parâmetros!$D$7)))</f>
        <v>663.804347826087</v>
      </c>
      <c r="J59" s="38"/>
      <c r="K59" s="39" t="n">
        <f aca="false">IF(OR($A59="",NOT(ISNUMBER($D59)),NOT(ISNUMBER($H59))),"",IF(AND(ISNUMBER($J59),$J59&gt;0),$J59,IF(ISNUMBER($I59),$I59,"")))</f>
        <v>663.804347826087</v>
      </c>
      <c r="L59" s="40" t="n">
        <f aca="false">IF(ISNUMBER($K59),$K59*$H59,"")</f>
        <v>139.398913043478</v>
      </c>
      <c r="M59" s="40" t="n">
        <f aca="false">IF(ISNUMBER($K59),$K59*Parâmetros!$B$7,"")</f>
        <v>66.3804347826087</v>
      </c>
      <c r="N59" s="40" t="n">
        <f aca="false">IF(ISNUMBER($K59),$K59*Parâmetros!$C$7,"")</f>
        <v>19.9141304347826</v>
      </c>
      <c r="O59" s="40" t="n">
        <f aca="false">IF(ISNUMBER($K59),IF(ISNUMBER(Parâmetros!$E$7),Parâmetros!$E$7,0),"")</f>
        <v>0</v>
      </c>
      <c r="P59" s="41" t="n">
        <f aca="false">IF(ISNUMBER($K59),$K59-$D59-IF(ISNUMBER($E59),$E59,0)-$L59-$M59-$N59-$O59,"")</f>
        <v>132.760869565217</v>
      </c>
      <c r="Q59" s="42" t="n">
        <f aca="false">IF(AND(ISNUMBER($K59),$K59&gt;0),$P59/$K59,"")</f>
        <v>0.2</v>
      </c>
      <c r="R59" s="43"/>
      <c r="S59" s="44" t="str">
        <f aca="false">IF(OR(NOT(ISNUMBER($R59)),$R59=0,NOT(ISNUMBER($K59))),"",$K59*(1-$R59))</f>
        <v/>
      </c>
      <c r="T59" s="45" t="str">
        <f aca="false">IF(ISNUMBER($S59),$S59*$H59,"")</f>
        <v/>
      </c>
      <c r="U59" s="45" t="str">
        <f aca="false">IF(ISNUMBER($S59),$S59*Parâmetros!$B$7,"")</f>
        <v/>
      </c>
      <c r="V59" s="45" t="str">
        <f aca="false">IF(ISNUMBER($S59),$S59*Parâmetros!$C$7,"")</f>
        <v/>
      </c>
      <c r="W59" s="44" t="str">
        <f aca="false">IF(ISNUMBER($S59),$S59-$D59-IF(ISNUMBER($E59),$E59,0)-$O59-$T59-$U59-$V59,"")</f>
        <v/>
      </c>
      <c r="X59" s="46" t="str">
        <f aca="false">IF(AND(ISNUMBER($S59),$S59&gt;0),$W59/$S59,"")</f>
        <v/>
      </c>
      <c r="Y59" s="49"/>
      <c r="Z59" s="21"/>
    </row>
    <row r="60" customFormat="false" ht="15.75" hidden="false" customHeight="true" outlineLevel="0" collapsed="false">
      <c r="A60" s="32" t="str">
        <f aca="false">IF(Produtos!$A60="","",Produtos!$A60)</f>
        <v>L4060-AML</v>
      </c>
      <c r="B60" s="32" t="str">
        <f aca="false">IF(Produtos!$A60="","",Produtos!$B60)</f>
        <v>Lixeira c/Aro Meia Lua 40x60 75L</v>
      </c>
      <c r="C60" s="32" t="str">
        <f aca="false">IF(Produtos!$A60="","",Produtos!$C60)</f>
        <v>Lixeiras em inox</v>
      </c>
      <c r="D60" s="33" t="n">
        <f aca="false">IF(Produtos!$A60="","",IF(Produtos!$D60="","",Produtos!$D60))</f>
        <v>342.54</v>
      </c>
      <c r="E60" s="11" t="n">
        <v>0</v>
      </c>
      <c r="F60" s="34" t="n">
        <f aca="false">IF($A60="","",IF($C60="","⚠ categoria",IFERROR(INDEX(Parâmetros!$E$13:$E$22,MATCH($C60,Parâmetros!$A$13:$A$22,0)),"⚠ categoria")))</f>
        <v>0.21</v>
      </c>
      <c r="G60" s="35"/>
      <c r="H60" s="36" t="n">
        <f aca="false">IF($A60="","",IF(ISNUMBER($G60),$G60,IF(ISNUMBER($F60),$F60,"")))</f>
        <v>0.21</v>
      </c>
      <c r="I60" s="37" t="n">
        <f aca="false">IF(OR($A60="",NOT(ISNUMBER($D60)),NOT(ISNUMBER($H60))),"",IF((1-$H60-Parâmetros!$B$7-Parâmetros!$C$7-Parâmetros!$D$7)&lt;=0,"INVALIDO",($D60+IF(ISNUMBER($E60),$E60,0)+IF(ISNUMBER(Parâmetros!$E$7),Parâmetros!$E$7,0))/(1-$H60-Parâmetros!$B$7-Parâmetros!$C$7-Parâmetros!$D$7)))</f>
        <v>744.652173913044</v>
      </c>
      <c r="J60" s="38"/>
      <c r="K60" s="39" t="n">
        <f aca="false">IF(OR($A60="",NOT(ISNUMBER($D60)),NOT(ISNUMBER($H60))),"",IF(AND(ISNUMBER($J60),$J60&gt;0),$J60,IF(ISNUMBER($I60),$I60,"")))</f>
        <v>744.652173913044</v>
      </c>
      <c r="L60" s="40" t="n">
        <f aca="false">IF(ISNUMBER($K60),$K60*$H60,"")</f>
        <v>156.376956521739</v>
      </c>
      <c r="M60" s="40" t="n">
        <f aca="false">IF(ISNUMBER($K60),$K60*Parâmetros!$B$7,"")</f>
        <v>74.4652173913044</v>
      </c>
      <c r="N60" s="40" t="n">
        <f aca="false">IF(ISNUMBER($K60),$K60*Parâmetros!$C$7,"")</f>
        <v>22.3395652173913</v>
      </c>
      <c r="O60" s="40" t="n">
        <f aca="false">IF(ISNUMBER($K60),IF(ISNUMBER(Parâmetros!$E$7),Parâmetros!$E$7,0),"")</f>
        <v>0</v>
      </c>
      <c r="P60" s="41" t="n">
        <f aca="false">IF(ISNUMBER($K60),$K60-$D60-IF(ISNUMBER($E60),$E60,0)-$L60-$M60-$N60-$O60,"")</f>
        <v>148.930434782609</v>
      </c>
      <c r="Q60" s="42" t="n">
        <f aca="false">IF(AND(ISNUMBER($K60),$K60&gt;0),$P60/$K60,"")</f>
        <v>0.2</v>
      </c>
      <c r="R60" s="43"/>
      <c r="S60" s="44" t="str">
        <f aca="false">IF(OR(NOT(ISNUMBER($R60)),$R60=0,NOT(ISNUMBER($K60))),"",$K60*(1-$R60))</f>
        <v/>
      </c>
      <c r="T60" s="45" t="str">
        <f aca="false">IF(ISNUMBER($S60),$S60*$H60,"")</f>
        <v/>
      </c>
      <c r="U60" s="45" t="str">
        <f aca="false">IF(ISNUMBER($S60),$S60*Parâmetros!$B$7,"")</f>
        <v/>
      </c>
      <c r="V60" s="45" t="str">
        <f aca="false">IF(ISNUMBER($S60),$S60*Parâmetros!$C$7,"")</f>
        <v/>
      </c>
      <c r="W60" s="44" t="str">
        <f aca="false">IF(ISNUMBER($S60),$S60-$D60-IF(ISNUMBER($E60),$E60,0)-$O60-$T60-$U60-$V60,"")</f>
        <v/>
      </c>
      <c r="X60" s="46" t="str">
        <f aca="false">IF(AND(ISNUMBER($S60),$S60&gt;0),$W60/$S60,"")</f>
        <v/>
      </c>
      <c r="Y60" s="47"/>
      <c r="Z60" s="19"/>
    </row>
    <row r="61" customFormat="false" ht="15.75" hidden="false" customHeight="true" outlineLevel="0" collapsed="false">
      <c r="A61" s="48" t="str">
        <f aca="false">IF(Produtos!$A61="","",Produtos!$A61)</f>
        <v>L4070-AML</v>
      </c>
      <c r="B61" s="48" t="str">
        <f aca="false">IF(Produtos!$A61="","",Produtos!$B61)</f>
        <v>Lixeira c/Aro Meia Lua 40x70 88L</v>
      </c>
      <c r="C61" s="48" t="str">
        <f aca="false">IF(Produtos!$A61="","",Produtos!$C61)</f>
        <v>Lixeiras em inox</v>
      </c>
      <c r="D61" s="33" t="n">
        <f aca="false">IF(Produtos!$A61="","",IF(Produtos!$D61="","",Produtos!$D61))</f>
        <v>348.66</v>
      </c>
      <c r="E61" s="11" t="n">
        <v>0</v>
      </c>
      <c r="F61" s="34" t="n">
        <f aca="false">IF($A61="","",IF($C61="","⚠ categoria",IFERROR(INDEX(Parâmetros!$E$13:$E$22,MATCH($C61,Parâmetros!$A$13:$A$22,0)),"⚠ categoria")))</f>
        <v>0.21</v>
      </c>
      <c r="G61" s="35"/>
      <c r="H61" s="36" t="n">
        <f aca="false">IF($A61="","",IF(ISNUMBER($G61),$G61,IF(ISNUMBER($F61),$F61,"")))</f>
        <v>0.21</v>
      </c>
      <c r="I61" s="37" t="n">
        <f aca="false">IF(OR($A61="",NOT(ISNUMBER($D61)),NOT(ISNUMBER($H61))),"",IF((1-$H61-Parâmetros!$B$7-Parâmetros!$C$7-Parâmetros!$D$7)&lt;=0,"INVALIDO",($D61+IF(ISNUMBER($E61),$E61,0)+IF(ISNUMBER(Parâmetros!$E$7),Parâmetros!$E$7,0))/(1-$H61-Parâmetros!$B$7-Parâmetros!$C$7-Parâmetros!$D$7)))</f>
        <v>757.956521739131</v>
      </c>
      <c r="J61" s="38"/>
      <c r="K61" s="39" t="n">
        <f aca="false">IF(OR($A61="",NOT(ISNUMBER($D61)),NOT(ISNUMBER($H61))),"",IF(AND(ISNUMBER($J61),$J61&gt;0),$J61,IF(ISNUMBER($I61),$I61,"")))</f>
        <v>757.956521739131</v>
      </c>
      <c r="L61" s="40" t="n">
        <f aca="false">IF(ISNUMBER($K61),$K61*$H61,"")</f>
        <v>159.170869565217</v>
      </c>
      <c r="M61" s="40" t="n">
        <f aca="false">IF(ISNUMBER($K61),$K61*Parâmetros!$B$7,"")</f>
        <v>75.7956521739131</v>
      </c>
      <c r="N61" s="40" t="n">
        <f aca="false">IF(ISNUMBER($K61),$K61*Parâmetros!$C$7,"")</f>
        <v>22.7386956521739</v>
      </c>
      <c r="O61" s="40" t="n">
        <f aca="false">IF(ISNUMBER($K61),IF(ISNUMBER(Parâmetros!$E$7),Parâmetros!$E$7,0),"")</f>
        <v>0</v>
      </c>
      <c r="P61" s="41" t="n">
        <f aca="false">IF(ISNUMBER($K61),$K61-$D61-IF(ISNUMBER($E61),$E61,0)-$L61-$M61-$N61-$O61,"")</f>
        <v>151.591304347826</v>
      </c>
      <c r="Q61" s="42" t="n">
        <f aca="false">IF(AND(ISNUMBER($K61),$K61&gt;0),$P61/$K61,"")</f>
        <v>0.2</v>
      </c>
      <c r="R61" s="43"/>
      <c r="S61" s="44" t="str">
        <f aca="false">IF(OR(NOT(ISNUMBER($R61)),$R61=0,NOT(ISNUMBER($K61))),"",$K61*(1-$R61))</f>
        <v/>
      </c>
      <c r="T61" s="45" t="str">
        <f aca="false">IF(ISNUMBER($S61),$S61*$H61,"")</f>
        <v/>
      </c>
      <c r="U61" s="45" t="str">
        <f aca="false">IF(ISNUMBER($S61),$S61*Parâmetros!$B$7,"")</f>
        <v/>
      </c>
      <c r="V61" s="45" t="str">
        <f aca="false">IF(ISNUMBER($S61),$S61*Parâmetros!$C$7,"")</f>
        <v/>
      </c>
      <c r="W61" s="44" t="str">
        <f aca="false">IF(ISNUMBER($S61),$S61-$D61-IF(ISNUMBER($E61),$E61,0)-$O61-$T61-$U61-$V61,"")</f>
        <v/>
      </c>
      <c r="X61" s="46" t="str">
        <f aca="false">IF(AND(ISNUMBER($S61),$S61&gt;0),$W61/$S61,"")</f>
        <v/>
      </c>
      <c r="Y61" s="49"/>
      <c r="Z61" s="21"/>
    </row>
    <row r="62" customFormat="false" ht="15.75" hidden="false" customHeight="true" outlineLevel="0" collapsed="false">
      <c r="A62" s="32" t="str">
        <f aca="false">IF(Produtos!$A62="","",Produtos!$A62)</f>
        <v>L4075-AML</v>
      </c>
      <c r="B62" s="32" t="str">
        <f aca="false">IF(Produtos!$A62="","",Produtos!$B62)</f>
        <v>Lixeira c/Aro Meia Lua 40x75 95L</v>
      </c>
      <c r="C62" s="32" t="str">
        <f aca="false">IF(Produtos!$A62="","",Produtos!$C62)</f>
        <v>Lixeiras em inox</v>
      </c>
      <c r="D62" s="33" t="n">
        <f aca="false">IF(Produtos!$A62="","",IF(Produtos!$D62="","",Produtos!$D62))</f>
        <v>408.87</v>
      </c>
      <c r="E62" s="11" t="n">
        <v>0</v>
      </c>
      <c r="F62" s="34" t="n">
        <f aca="false">IF($A62="","",IF($C62="","⚠ categoria",IFERROR(INDEX(Parâmetros!$E$13:$E$22,MATCH($C62,Parâmetros!$A$13:$A$22,0)),"⚠ categoria")))</f>
        <v>0.21</v>
      </c>
      <c r="G62" s="35"/>
      <c r="H62" s="36" t="n">
        <f aca="false">IF($A62="","",IF(ISNUMBER($G62),$G62,IF(ISNUMBER($F62),$F62,"")))</f>
        <v>0.21</v>
      </c>
      <c r="I62" s="37" t="n">
        <f aca="false">IF(OR($A62="",NOT(ISNUMBER($D62)),NOT(ISNUMBER($H62))),"",IF((1-$H62-Parâmetros!$B$7-Parâmetros!$C$7-Parâmetros!$D$7)&lt;=0,"INVALIDO",($D62+IF(ISNUMBER($E62),$E62,0)+IF(ISNUMBER(Parâmetros!$E$7),Parâmetros!$E$7,0))/(1-$H62-Parâmetros!$B$7-Parâmetros!$C$7-Parâmetros!$D$7)))</f>
        <v>888.847826086957</v>
      </c>
      <c r="J62" s="38"/>
      <c r="K62" s="39" t="n">
        <f aca="false">IF(OR($A62="",NOT(ISNUMBER($D62)),NOT(ISNUMBER($H62))),"",IF(AND(ISNUMBER($J62),$J62&gt;0),$J62,IF(ISNUMBER($I62),$I62,"")))</f>
        <v>888.847826086957</v>
      </c>
      <c r="L62" s="40" t="n">
        <f aca="false">IF(ISNUMBER($K62),$K62*$H62,"")</f>
        <v>186.658043478261</v>
      </c>
      <c r="M62" s="40" t="n">
        <f aca="false">IF(ISNUMBER($K62),$K62*Parâmetros!$B$7,"")</f>
        <v>88.8847826086957</v>
      </c>
      <c r="N62" s="40" t="n">
        <f aca="false">IF(ISNUMBER($K62),$K62*Parâmetros!$C$7,"")</f>
        <v>26.6654347826087</v>
      </c>
      <c r="O62" s="40" t="n">
        <f aca="false">IF(ISNUMBER($K62),IF(ISNUMBER(Parâmetros!$E$7),Parâmetros!$E$7,0),"")</f>
        <v>0</v>
      </c>
      <c r="P62" s="41" t="n">
        <f aca="false">IF(ISNUMBER($K62),$K62-$D62-IF(ISNUMBER($E62),$E62,0)-$L62-$M62-$N62-$O62,"")</f>
        <v>177.769565217391</v>
      </c>
      <c r="Q62" s="42" t="n">
        <f aca="false">IF(AND(ISNUMBER($K62),$K62&gt;0),$P62/$K62,"")</f>
        <v>0.2</v>
      </c>
      <c r="R62" s="43"/>
      <c r="S62" s="44" t="str">
        <f aca="false">IF(OR(NOT(ISNUMBER($R62)),$R62=0,NOT(ISNUMBER($K62))),"",$K62*(1-$R62))</f>
        <v/>
      </c>
      <c r="T62" s="45" t="str">
        <f aca="false">IF(ISNUMBER($S62),$S62*$H62,"")</f>
        <v/>
      </c>
      <c r="U62" s="45" t="str">
        <f aca="false">IF(ISNUMBER($S62),$S62*Parâmetros!$B$7,"")</f>
        <v/>
      </c>
      <c r="V62" s="45" t="str">
        <f aca="false">IF(ISNUMBER($S62),$S62*Parâmetros!$C$7,"")</f>
        <v/>
      </c>
      <c r="W62" s="44" t="str">
        <f aca="false">IF(ISNUMBER($S62),$S62-$D62-IF(ISNUMBER($E62),$E62,0)-$O62-$T62-$U62-$V62,"")</f>
        <v/>
      </c>
      <c r="X62" s="46" t="str">
        <f aca="false">IF(AND(ISNUMBER($S62),$S62&gt;0),$W62/$S62,"")</f>
        <v/>
      </c>
      <c r="Y62" s="47"/>
      <c r="Z62" s="19"/>
    </row>
    <row r="63" customFormat="false" ht="15.75" hidden="false" customHeight="true" outlineLevel="0" collapsed="false">
      <c r="A63" s="48" t="str">
        <f aca="false">IF(Produtos!$A63="","",Produtos!$A63)</f>
        <v>L4080-AML</v>
      </c>
      <c r="B63" s="48" t="str">
        <f aca="false">IF(Produtos!$A63="","",Produtos!$B63)</f>
        <v>Lixeira c/Aro Meia Lua 40x80 100L</v>
      </c>
      <c r="C63" s="48" t="str">
        <f aca="false">IF(Produtos!$A63="","",Produtos!$C63)</f>
        <v>Lixeiras em inox</v>
      </c>
      <c r="D63" s="33" t="n">
        <f aca="false">IF(Produtos!$A63="","",IF(Produtos!$D63="","",Produtos!$D63))</f>
        <v>411.4</v>
      </c>
      <c r="E63" s="11" t="n">
        <v>0</v>
      </c>
      <c r="F63" s="34" t="n">
        <f aca="false">IF($A63="","",IF($C63="","⚠ categoria",IFERROR(INDEX(Parâmetros!$E$13:$E$22,MATCH($C63,Parâmetros!$A$13:$A$22,0)),"⚠ categoria")))</f>
        <v>0.21</v>
      </c>
      <c r="G63" s="35"/>
      <c r="H63" s="36" t="n">
        <f aca="false">IF($A63="","",IF(ISNUMBER($G63),$G63,IF(ISNUMBER($F63),$F63,"")))</f>
        <v>0.21</v>
      </c>
      <c r="I63" s="37" t="n">
        <f aca="false">IF(OR($A63="",NOT(ISNUMBER($D63)),NOT(ISNUMBER($H63))),"",IF((1-$H63-Parâmetros!$B$7-Parâmetros!$C$7-Parâmetros!$D$7)&lt;=0,"INVALIDO",($D63+IF(ISNUMBER($E63),$E63,0)+IF(ISNUMBER(Parâmetros!$E$7),Parâmetros!$E$7,0))/(1-$H63-Parâmetros!$B$7-Parâmetros!$C$7-Parâmetros!$D$7)))</f>
        <v>894.347826086956</v>
      </c>
      <c r="J63" s="38"/>
      <c r="K63" s="39" t="n">
        <f aca="false">IF(OR($A63="",NOT(ISNUMBER($D63)),NOT(ISNUMBER($H63))),"",IF(AND(ISNUMBER($J63),$J63&gt;0),$J63,IF(ISNUMBER($I63),$I63,"")))</f>
        <v>894.347826086956</v>
      </c>
      <c r="L63" s="40" t="n">
        <f aca="false">IF(ISNUMBER($K63),$K63*$H63,"")</f>
        <v>187.813043478261</v>
      </c>
      <c r="M63" s="40" t="n">
        <f aca="false">IF(ISNUMBER($K63),$K63*Parâmetros!$B$7,"")</f>
        <v>89.4347826086956</v>
      </c>
      <c r="N63" s="40" t="n">
        <f aca="false">IF(ISNUMBER($K63),$K63*Parâmetros!$C$7,"")</f>
        <v>26.8304347826087</v>
      </c>
      <c r="O63" s="40" t="n">
        <f aca="false">IF(ISNUMBER($K63),IF(ISNUMBER(Parâmetros!$E$7),Parâmetros!$E$7,0),"")</f>
        <v>0</v>
      </c>
      <c r="P63" s="41" t="n">
        <f aca="false">IF(ISNUMBER($K63),$K63-$D63-IF(ISNUMBER($E63),$E63,0)-$L63-$M63-$N63-$O63,"")</f>
        <v>178.869565217391</v>
      </c>
      <c r="Q63" s="42" t="n">
        <f aca="false">IF(AND(ISNUMBER($K63),$K63&gt;0),$P63/$K63,"")</f>
        <v>0.2</v>
      </c>
      <c r="R63" s="43"/>
      <c r="S63" s="44" t="str">
        <f aca="false">IF(OR(NOT(ISNUMBER($R63)),$R63=0,NOT(ISNUMBER($K63))),"",$K63*(1-$R63))</f>
        <v/>
      </c>
      <c r="T63" s="45" t="str">
        <f aca="false">IF(ISNUMBER($S63),$S63*$H63,"")</f>
        <v/>
      </c>
      <c r="U63" s="45" t="str">
        <f aca="false">IF(ISNUMBER($S63),$S63*Parâmetros!$B$7,"")</f>
        <v/>
      </c>
      <c r="V63" s="45" t="str">
        <f aca="false">IF(ISNUMBER($S63),$S63*Parâmetros!$C$7,"")</f>
        <v/>
      </c>
      <c r="W63" s="44" t="str">
        <f aca="false">IF(ISNUMBER($S63),$S63-$D63-IF(ISNUMBER($E63),$E63,0)-$O63-$T63-$U63-$V63,"")</f>
        <v/>
      </c>
      <c r="X63" s="46" t="str">
        <f aca="false">IF(AND(ISNUMBER($S63),$S63&gt;0),$W63/$S63,"")</f>
        <v/>
      </c>
      <c r="Y63" s="49"/>
      <c r="Z63" s="21"/>
    </row>
    <row r="64" customFormat="false" ht="15.75" hidden="false" customHeight="true" outlineLevel="0" collapsed="false">
      <c r="A64" s="32" t="str">
        <f aca="false">IF(Produtos!$A64="","",Produtos!$A64)</f>
        <v>L4090-AML</v>
      </c>
      <c r="B64" s="32" t="str">
        <f aca="false">IF(Produtos!$A64="","",Produtos!$B64)</f>
        <v>Lixeira c/Aro Meia Lua 40x90 120L</v>
      </c>
      <c r="C64" s="32" t="str">
        <f aca="false">IF(Produtos!$A64="","",Produtos!$C64)</f>
        <v>Lixeiras em inox</v>
      </c>
      <c r="D64" s="33" t="n">
        <f aca="false">IF(Produtos!$A64="","",IF(Produtos!$D64="","",Produtos!$D64))</f>
        <v>442.44</v>
      </c>
      <c r="E64" s="11" t="n">
        <v>0</v>
      </c>
      <c r="F64" s="34" t="n">
        <f aca="false">IF($A64="","",IF($C64="","⚠ categoria",IFERROR(INDEX(Parâmetros!$E$13:$E$22,MATCH($C64,Parâmetros!$A$13:$A$22,0)),"⚠ categoria")))</f>
        <v>0.21</v>
      </c>
      <c r="G64" s="35"/>
      <c r="H64" s="36" t="n">
        <f aca="false">IF($A64="","",IF(ISNUMBER($G64),$G64,IF(ISNUMBER($F64),$F64,"")))</f>
        <v>0.21</v>
      </c>
      <c r="I64" s="37" t="n">
        <f aca="false">IF(OR($A64="",NOT(ISNUMBER($D64)),NOT(ISNUMBER($H64))),"",IF((1-$H64-Parâmetros!$B$7-Parâmetros!$C$7-Parâmetros!$D$7)&lt;=0,"INVALIDO",($D64+IF(ISNUMBER($E64),$E64,0)+IF(ISNUMBER(Parâmetros!$E$7),Parâmetros!$E$7,0))/(1-$H64-Parâmetros!$B$7-Parâmetros!$C$7-Parâmetros!$D$7)))</f>
        <v>961.826086956522</v>
      </c>
      <c r="J64" s="38"/>
      <c r="K64" s="39" t="n">
        <f aca="false">IF(OR($A64="",NOT(ISNUMBER($D64)),NOT(ISNUMBER($H64))),"",IF(AND(ISNUMBER($J64),$J64&gt;0),$J64,IF(ISNUMBER($I64),$I64,"")))</f>
        <v>961.826086956522</v>
      </c>
      <c r="L64" s="40" t="n">
        <f aca="false">IF(ISNUMBER($K64),$K64*$H64,"")</f>
        <v>201.98347826087</v>
      </c>
      <c r="M64" s="40" t="n">
        <f aca="false">IF(ISNUMBER($K64),$K64*Parâmetros!$B$7,"")</f>
        <v>96.1826086956522</v>
      </c>
      <c r="N64" s="40" t="n">
        <f aca="false">IF(ISNUMBER($K64),$K64*Parâmetros!$C$7,"")</f>
        <v>28.8547826086957</v>
      </c>
      <c r="O64" s="40" t="n">
        <f aca="false">IF(ISNUMBER($K64),IF(ISNUMBER(Parâmetros!$E$7),Parâmetros!$E$7,0),"")</f>
        <v>0</v>
      </c>
      <c r="P64" s="41" t="n">
        <f aca="false">IF(ISNUMBER($K64),$K64-$D64-IF(ISNUMBER($E64),$E64,0)-$L64-$M64-$N64-$O64,"")</f>
        <v>192.365217391304</v>
      </c>
      <c r="Q64" s="42" t="n">
        <f aca="false">IF(AND(ISNUMBER($K64),$K64&gt;0),$P64/$K64,"")</f>
        <v>0.2</v>
      </c>
      <c r="R64" s="43"/>
      <c r="S64" s="44" t="str">
        <f aca="false">IF(OR(NOT(ISNUMBER($R64)),$R64=0,NOT(ISNUMBER($K64))),"",$K64*(1-$R64))</f>
        <v/>
      </c>
      <c r="T64" s="45" t="str">
        <f aca="false">IF(ISNUMBER($S64),$S64*$H64,"")</f>
        <v/>
      </c>
      <c r="U64" s="45" t="str">
        <f aca="false">IF(ISNUMBER($S64),$S64*Parâmetros!$B$7,"")</f>
        <v/>
      </c>
      <c r="V64" s="45" t="str">
        <f aca="false">IF(ISNUMBER($S64),$S64*Parâmetros!$C$7,"")</f>
        <v/>
      </c>
      <c r="W64" s="44" t="str">
        <f aca="false">IF(ISNUMBER($S64),$S64-$D64-IF(ISNUMBER($E64),$E64,0)-$O64-$T64-$U64-$V64,"")</f>
        <v/>
      </c>
      <c r="X64" s="46" t="str">
        <f aca="false">IF(AND(ISNUMBER($S64),$S64&gt;0),$W64/$S64,"")</f>
        <v/>
      </c>
      <c r="Y64" s="47"/>
      <c r="Z64" s="19"/>
    </row>
    <row r="65" customFormat="false" ht="15.75" hidden="false" customHeight="true" outlineLevel="0" collapsed="false">
      <c r="A65" s="48" t="str">
        <f aca="false">IF(Produtos!$A65="","",Produtos!$A65)</f>
        <v>L1618-B</v>
      </c>
      <c r="B65" s="48" t="str">
        <f aca="false">IF(Produtos!$A65="","",Produtos!$B65)</f>
        <v>Lixeira c/Aro Basculante 16x18 03L</v>
      </c>
      <c r="C65" s="48" t="str">
        <f aca="false">IF(Produtos!$A65="","",Produtos!$C65)</f>
        <v>Lixeiras em inox</v>
      </c>
      <c r="D65" s="33" t="n">
        <f aca="false">IF(Produtos!$A65="","",IF(Produtos!$D65="","",Produtos!$D65))</f>
        <v>60.62</v>
      </c>
      <c r="E65" s="11" t="n">
        <v>0</v>
      </c>
      <c r="F65" s="34" t="n">
        <f aca="false">IF($A65="","",IF($C65="","⚠ categoria",IFERROR(INDEX(Parâmetros!$E$13:$E$22,MATCH($C65,Parâmetros!$A$13:$A$22,0)),"⚠ categoria")))</f>
        <v>0.21</v>
      </c>
      <c r="G65" s="35"/>
      <c r="H65" s="36" t="n">
        <f aca="false">IF($A65="","",IF(ISNUMBER($G65),$G65,IF(ISNUMBER($F65),$F65,"")))</f>
        <v>0.21</v>
      </c>
      <c r="I65" s="37" t="n">
        <f aca="false">IF(OR($A65="",NOT(ISNUMBER($D65)),NOT(ISNUMBER($H65))),"",IF((1-$H65-Parâmetros!$B$7-Parâmetros!$C$7-Parâmetros!$D$7)&lt;=0,"INVALIDO",($D65+IF(ISNUMBER($E65),$E65,0)+IF(ISNUMBER(Parâmetros!$E$7),Parâmetros!$E$7,0))/(1-$H65-Parâmetros!$B$7-Parâmetros!$C$7-Parâmetros!$D$7)))</f>
        <v>131.782608695652</v>
      </c>
      <c r="J65" s="38"/>
      <c r="K65" s="39" t="n">
        <f aca="false">IF(OR($A65="",NOT(ISNUMBER($D65)),NOT(ISNUMBER($H65))),"",IF(AND(ISNUMBER($J65),$J65&gt;0),$J65,IF(ISNUMBER($I65),$I65,"")))</f>
        <v>131.782608695652</v>
      </c>
      <c r="L65" s="40" t="n">
        <f aca="false">IF(ISNUMBER($K65),$K65*$H65,"")</f>
        <v>27.674347826087</v>
      </c>
      <c r="M65" s="40" t="n">
        <f aca="false">IF(ISNUMBER($K65),$K65*Parâmetros!$B$7,"")</f>
        <v>13.1782608695652</v>
      </c>
      <c r="N65" s="40" t="n">
        <f aca="false">IF(ISNUMBER($K65),$K65*Parâmetros!$C$7,"")</f>
        <v>3.95347826086956</v>
      </c>
      <c r="O65" s="40" t="n">
        <f aca="false">IF(ISNUMBER($K65),IF(ISNUMBER(Parâmetros!$E$7),Parâmetros!$E$7,0),"")</f>
        <v>0</v>
      </c>
      <c r="P65" s="41" t="n">
        <f aca="false">IF(ISNUMBER($K65),$K65-$D65-IF(ISNUMBER($E65),$E65,0)-$L65-$M65-$N65-$O65,"")</f>
        <v>26.3565217391304</v>
      </c>
      <c r="Q65" s="42" t="n">
        <f aca="false">IF(AND(ISNUMBER($K65),$K65&gt;0),$P65/$K65,"")</f>
        <v>0.2</v>
      </c>
      <c r="R65" s="43"/>
      <c r="S65" s="44" t="str">
        <f aca="false">IF(OR(NOT(ISNUMBER($R65)),$R65=0,NOT(ISNUMBER($K65))),"",$K65*(1-$R65))</f>
        <v/>
      </c>
      <c r="T65" s="45" t="str">
        <f aca="false">IF(ISNUMBER($S65),$S65*$H65,"")</f>
        <v/>
      </c>
      <c r="U65" s="45" t="str">
        <f aca="false">IF(ISNUMBER($S65),$S65*Parâmetros!$B$7,"")</f>
        <v/>
      </c>
      <c r="V65" s="45" t="str">
        <f aca="false">IF(ISNUMBER($S65),$S65*Parâmetros!$C$7,"")</f>
        <v/>
      </c>
      <c r="W65" s="44" t="str">
        <f aca="false">IF(ISNUMBER($S65),$S65-$D65-IF(ISNUMBER($E65),$E65,0)-$O65-$T65-$U65-$V65,"")</f>
        <v/>
      </c>
      <c r="X65" s="46" t="str">
        <f aca="false">IF(AND(ISNUMBER($S65),$S65&gt;0),$W65/$S65,"")</f>
        <v/>
      </c>
      <c r="Y65" s="49"/>
      <c r="Z65" s="21"/>
    </row>
    <row r="66" customFormat="false" ht="15.75" hidden="false" customHeight="true" outlineLevel="0" collapsed="false">
      <c r="A66" s="32" t="str">
        <f aca="false">IF(Produtos!$A66="","",Produtos!$A66)</f>
        <v>L1623-B</v>
      </c>
      <c r="B66" s="32" t="str">
        <f aca="false">IF(Produtos!$A66="","",Produtos!$B66)</f>
        <v>Lixeira c/Aro Basculante 16x23 05L</v>
      </c>
      <c r="C66" s="32" t="str">
        <f aca="false">IF(Produtos!$A66="","",Produtos!$C66)</f>
        <v>Lixeiras em inox</v>
      </c>
      <c r="D66" s="33" t="n">
        <f aca="false">IF(Produtos!$A66="","",IF(Produtos!$D66="","",Produtos!$D66))</f>
        <v>65.95</v>
      </c>
      <c r="E66" s="11" t="n">
        <v>0</v>
      </c>
      <c r="F66" s="34" t="n">
        <f aca="false">IF($A66="","",IF($C66="","⚠ categoria",IFERROR(INDEX(Parâmetros!$E$13:$E$22,MATCH($C66,Parâmetros!$A$13:$A$22,0)),"⚠ categoria")))</f>
        <v>0.21</v>
      </c>
      <c r="G66" s="35"/>
      <c r="H66" s="36" t="n">
        <f aca="false">IF($A66="","",IF(ISNUMBER($G66),$G66,IF(ISNUMBER($F66),$F66,"")))</f>
        <v>0.21</v>
      </c>
      <c r="I66" s="37" t="n">
        <f aca="false">IF(OR($A66="",NOT(ISNUMBER($D66)),NOT(ISNUMBER($H66))),"",IF((1-$H66-Parâmetros!$B$7-Parâmetros!$C$7-Parâmetros!$D$7)&lt;=0,"INVALIDO",($D66+IF(ISNUMBER($E66),$E66,0)+IF(ISNUMBER(Parâmetros!$E$7),Parâmetros!$E$7,0))/(1-$H66-Parâmetros!$B$7-Parâmetros!$C$7-Parâmetros!$D$7)))</f>
        <v>143.369565217391</v>
      </c>
      <c r="J66" s="38"/>
      <c r="K66" s="39" t="n">
        <f aca="false">IF(OR($A66="",NOT(ISNUMBER($D66)),NOT(ISNUMBER($H66))),"",IF(AND(ISNUMBER($J66),$J66&gt;0),$J66,IF(ISNUMBER($I66),$I66,"")))</f>
        <v>143.369565217391</v>
      </c>
      <c r="L66" s="40" t="n">
        <f aca="false">IF(ISNUMBER($K66),$K66*$H66,"")</f>
        <v>30.1076086956522</v>
      </c>
      <c r="M66" s="40" t="n">
        <f aca="false">IF(ISNUMBER($K66),$K66*Parâmetros!$B$7,"")</f>
        <v>14.3369565217391</v>
      </c>
      <c r="N66" s="40" t="n">
        <f aca="false">IF(ISNUMBER($K66),$K66*Parâmetros!$C$7,"")</f>
        <v>4.30108695652174</v>
      </c>
      <c r="O66" s="40" t="n">
        <f aca="false">IF(ISNUMBER($K66),IF(ISNUMBER(Parâmetros!$E$7),Parâmetros!$E$7,0),"")</f>
        <v>0</v>
      </c>
      <c r="P66" s="41" t="n">
        <f aca="false">IF(ISNUMBER($K66),$K66-$D66-IF(ISNUMBER($E66),$E66,0)-$L66-$M66-$N66-$O66,"")</f>
        <v>28.6739130434783</v>
      </c>
      <c r="Q66" s="42" t="n">
        <f aca="false">IF(AND(ISNUMBER($K66),$K66&gt;0),$P66/$K66,"")</f>
        <v>0.2</v>
      </c>
      <c r="R66" s="43"/>
      <c r="S66" s="44" t="str">
        <f aca="false">IF(OR(NOT(ISNUMBER($R66)),$R66=0,NOT(ISNUMBER($K66))),"",$K66*(1-$R66))</f>
        <v/>
      </c>
      <c r="T66" s="45" t="str">
        <f aca="false">IF(ISNUMBER($S66),$S66*$H66,"")</f>
        <v/>
      </c>
      <c r="U66" s="45" t="str">
        <f aca="false">IF(ISNUMBER($S66),$S66*Parâmetros!$B$7,"")</f>
        <v/>
      </c>
      <c r="V66" s="45" t="str">
        <f aca="false">IF(ISNUMBER($S66),$S66*Parâmetros!$C$7,"")</f>
        <v/>
      </c>
      <c r="W66" s="44" t="str">
        <f aca="false">IF(ISNUMBER($S66),$S66-$D66-IF(ISNUMBER($E66),$E66,0)-$O66-$T66-$U66-$V66,"")</f>
        <v/>
      </c>
      <c r="X66" s="46" t="str">
        <f aca="false">IF(AND(ISNUMBER($S66),$S66&gt;0),$W66/$S66,"")</f>
        <v/>
      </c>
      <c r="Y66" s="47"/>
      <c r="Z66" s="19"/>
    </row>
    <row r="67" customFormat="false" ht="15.75" hidden="false" customHeight="true" outlineLevel="0" collapsed="false">
      <c r="A67" s="48" t="str">
        <f aca="false">IF(Produtos!$A67="","",Produtos!$A67)</f>
        <v>L2025-B</v>
      </c>
      <c r="B67" s="48" t="str">
        <f aca="false">IF(Produtos!$A67="","",Produtos!$B67)</f>
        <v>Lixeira c/Aro Basculante 20x25 07L</v>
      </c>
      <c r="C67" s="48" t="str">
        <f aca="false">IF(Produtos!$A67="","",Produtos!$C67)</f>
        <v>Lixeiras em inox</v>
      </c>
      <c r="D67" s="33" t="n">
        <f aca="false">IF(Produtos!$A67="","",IF(Produtos!$D67="","",Produtos!$D67))</f>
        <v>69.52</v>
      </c>
      <c r="E67" s="11" t="n">
        <v>0</v>
      </c>
      <c r="F67" s="34" t="n">
        <f aca="false">IF($A67="","",IF($C67="","⚠ categoria",IFERROR(INDEX(Parâmetros!$E$13:$E$22,MATCH($C67,Parâmetros!$A$13:$A$22,0)),"⚠ categoria")))</f>
        <v>0.21</v>
      </c>
      <c r="G67" s="35"/>
      <c r="H67" s="36" t="n">
        <f aca="false">IF($A67="","",IF(ISNUMBER($G67),$G67,IF(ISNUMBER($F67),$F67,"")))</f>
        <v>0.21</v>
      </c>
      <c r="I67" s="37" t="n">
        <f aca="false">IF(OR($A67="",NOT(ISNUMBER($D67)),NOT(ISNUMBER($H67))),"",IF((1-$H67-Parâmetros!$B$7-Parâmetros!$C$7-Parâmetros!$D$7)&lt;=0,"INVALIDO",($D67+IF(ISNUMBER($E67),$E67,0)+IF(ISNUMBER(Parâmetros!$E$7),Parâmetros!$E$7,0))/(1-$H67-Parâmetros!$B$7-Parâmetros!$C$7-Parâmetros!$D$7)))</f>
        <v>151.130434782609</v>
      </c>
      <c r="J67" s="38"/>
      <c r="K67" s="39" t="n">
        <f aca="false">IF(OR($A67="",NOT(ISNUMBER($D67)),NOT(ISNUMBER($H67))),"",IF(AND(ISNUMBER($J67),$J67&gt;0),$J67,IF(ISNUMBER($I67),$I67,"")))</f>
        <v>151.130434782609</v>
      </c>
      <c r="L67" s="40" t="n">
        <f aca="false">IF(ISNUMBER($K67),$K67*$H67,"")</f>
        <v>31.7373913043478</v>
      </c>
      <c r="M67" s="40" t="n">
        <f aca="false">IF(ISNUMBER($K67),$K67*Parâmetros!$B$7,"")</f>
        <v>15.1130434782609</v>
      </c>
      <c r="N67" s="40" t="n">
        <f aca="false">IF(ISNUMBER($K67),$K67*Parâmetros!$C$7,"")</f>
        <v>4.53391304347826</v>
      </c>
      <c r="O67" s="40" t="n">
        <f aca="false">IF(ISNUMBER($K67),IF(ISNUMBER(Parâmetros!$E$7),Parâmetros!$E$7,0),"")</f>
        <v>0</v>
      </c>
      <c r="P67" s="41" t="n">
        <f aca="false">IF(ISNUMBER($K67),$K67-$D67-IF(ISNUMBER($E67),$E67,0)-$L67-$M67-$N67-$O67,"")</f>
        <v>30.2260869565217</v>
      </c>
      <c r="Q67" s="42" t="n">
        <f aca="false">IF(AND(ISNUMBER($K67),$K67&gt;0),$P67/$K67,"")</f>
        <v>0.2</v>
      </c>
      <c r="R67" s="43"/>
      <c r="S67" s="44" t="str">
        <f aca="false">IF(OR(NOT(ISNUMBER($R67)),$R67=0,NOT(ISNUMBER($K67))),"",$K67*(1-$R67))</f>
        <v/>
      </c>
      <c r="T67" s="45" t="str">
        <f aca="false">IF(ISNUMBER($S67),$S67*$H67,"")</f>
        <v/>
      </c>
      <c r="U67" s="45" t="str">
        <f aca="false">IF(ISNUMBER($S67),$S67*Parâmetros!$B$7,"")</f>
        <v/>
      </c>
      <c r="V67" s="45" t="str">
        <f aca="false">IF(ISNUMBER($S67),$S67*Parâmetros!$C$7,"")</f>
        <v/>
      </c>
      <c r="W67" s="44" t="str">
        <f aca="false">IF(ISNUMBER($S67),$S67-$D67-IF(ISNUMBER($E67),$E67,0)-$O67-$T67-$U67-$V67,"")</f>
        <v/>
      </c>
      <c r="X67" s="46" t="str">
        <f aca="false">IF(AND(ISNUMBER($S67),$S67&gt;0),$W67/$S67,"")</f>
        <v/>
      </c>
      <c r="Y67" s="49"/>
      <c r="Z67" s="21"/>
    </row>
    <row r="68" customFormat="false" ht="15.75" hidden="false" customHeight="true" outlineLevel="0" collapsed="false">
      <c r="A68" s="32" t="str">
        <f aca="false">IF(Produtos!$A68="","",Produtos!$A68)</f>
        <v>L2030-B</v>
      </c>
      <c r="B68" s="32" t="str">
        <f aca="false">IF(Produtos!$A68="","",Produtos!$B68)</f>
        <v>Lixeira c/Aro Basculante 20x30 10L</v>
      </c>
      <c r="C68" s="32" t="str">
        <f aca="false">IF(Produtos!$A68="","",Produtos!$C68)</f>
        <v>Lixeiras em inox</v>
      </c>
      <c r="D68" s="33" t="n">
        <f aca="false">IF(Produtos!$A68="","",IF(Produtos!$D68="","",Produtos!$D68))</f>
        <v>75.68</v>
      </c>
      <c r="E68" s="11" t="n">
        <v>0</v>
      </c>
      <c r="F68" s="34" t="n">
        <f aca="false">IF($A68="","",IF($C68="","⚠ categoria",IFERROR(INDEX(Parâmetros!$E$13:$E$22,MATCH($C68,Parâmetros!$A$13:$A$22,0)),"⚠ categoria")))</f>
        <v>0.21</v>
      </c>
      <c r="G68" s="35"/>
      <c r="H68" s="36" t="n">
        <f aca="false">IF($A68="","",IF(ISNUMBER($G68),$G68,IF(ISNUMBER($F68),$F68,"")))</f>
        <v>0.21</v>
      </c>
      <c r="I68" s="37" t="n">
        <f aca="false">IF(OR($A68="",NOT(ISNUMBER($D68)),NOT(ISNUMBER($H68))),"",IF((1-$H68-Parâmetros!$B$7-Parâmetros!$C$7-Parâmetros!$D$7)&lt;=0,"INVALIDO",($D68+IF(ISNUMBER($E68),$E68,0)+IF(ISNUMBER(Parâmetros!$E$7),Parâmetros!$E$7,0))/(1-$H68-Parâmetros!$B$7-Parâmetros!$C$7-Parâmetros!$D$7)))</f>
        <v>164.521739130435</v>
      </c>
      <c r="J68" s="38"/>
      <c r="K68" s="39" t="n">
        <f aca="false">IF(OR($A68="",NOT(ISNUMBER($D68)),NOT(ISNUMBER($H68))),"",IF(AND(ISNUMBER($J68),$J68&gt;0),$J68,IF(ISNUMBER($I68),$I68,"")))</f>
        <v>164.521739130435</v>
      </c>
      <c r="L68" s="40" t="n">
        <f aca="false">IF(ISNUMBER($K68),$K68*$H68,"")</f>
        <v>34.5495652173913</v>
      </c>
      <c r="M68" s="40" t="n">
        <f aca="false">IF(ISNUMBER($K68),$K68*Parâmetros!$B$7,"")</f>
        <v>16.4521739130435</v>
      </c>
      <c r="N68" s="40" t="n">
        <f aca="false">IF(ISNUMBER($K68),$K68*Parâmetros!$C$7,"")</f>
        <v>4.93565217391304</v>
      </c>
      <c r="O68" s="40" t="n">
        <f aca="false">IF(ISNUMBER($K68),IF(ISNUMBER(Parâmetros!$E$7),Parâmetros!$E$7,0),"")</f>
        <v>0</v>
      </c>
      <c r="P68" s="41" t="n">
        <f aca="false">IF(ISNUMBER($K68),$K68-$D68-IF(ISNUMBER($E68),$E68,0)-$L68-$M68-$N68-$O68,"")</f>
        <v>32.904347826087</v>
      </c>
      <c r="Q68" s="42" t="n">
        <f aca="false">IF(AND(ISNUMBER($K68),$K68&gt;0),$P68/$K68,"")</f>
        <v>0.2</v>
      </c>
      <c r="R68" s="43"/>
      <c r="S68" s="44" t="str">
        <f aca="false">IF(OR(NOT(ISNUMBER($R68)),$R68=0,NOT(ISNUMBER($K68))),"",$K68*(1-$R68))</f>
        <v/>
      </c>
      <c r="T68" s="45" t="str">
        <f aca="false">IF(ISNUMBER($S68),$S68*$H68,"")</f>
        <v/>
      </c>
      <c r="U68" s="45" t="str">
        <f aca="false">IF(ISNUMBER($S68),$S68*Parâmetros!$B$7,"")</f>
        <v/>
      </c>
      <c r="V68" s="45" t="str">
        <f aca="false">IF(ISNUMBER($S68),$S68*Parâmetros!$C$7,"")</f>
        <v/>
      </c>
      <c r="W68" s="44" t="str">
        <f aca="false">IF(ISNUMBER($S68),$S68-$D68-IF(ISNUMBER($E68),$E68,0)-$O68-$T68-$U68-$V68,"")</f>
        <v/>
      </c>
      <c r="X68" s="46" t="str">
        <f aca="false">IF(AND(ISNUMBER($S68),$S68&gt;0),$W68/$S68,"")</f>
        <v/>
      </c>
      <c r="Y68" s="47"/>
      <c r="Z68" s="19"/>
    </row>
    <row r="69" customFormat="false" ht="15.75" hidden="false" customHeight="true" outlineLevel="0" collapsed="false">
      <c r="A69" s="48" t="str">
        <f aca="false">IF(Produtos!$A69="","",Produtos!$A69)</f>
        <v>L2425-B</v>
      </c>
      <c r="B69" s="48" t="str">
        <f aca="false">IF(Produtos!$A69="","",Produtos!$B69)</f>
        <v>Lixeira c/Aro Basculante 24x25 13L</v>
      </c>
      <c r="C69" s="48" t="str">
        <f aca="false">IF(Produtos!$A69="","",Produtos!$C69)</f>
        <v>Lixeiras em inox</v>
      </c>
      <c r="D69" s="33" t="n">
        <f aca="false">IF(Produtos!$A69="","",IF(Produtos!$D69="","",Produtos!$D69))</f>
        <v>94.18</v>
      </c>
      <c r="E69" s="11" t="n">
        <v>0</v>
      </c>
      <c r="F69" s="34" t="n">
        <f aca="false">IF($A69="","",IF($C69="","⚠ categoria",IFERROR(INDEX(Parâmetros!$E$13:$E$22,MATCH($C69,Parâmetros!$A$13:$A$22,0)),"⚠ categoria")))</f>
        <v>0.21</v>
      </c>
      <c r="G69" s="35"/>
      <c r="H69" s="36" t="n">
        <f aca="false">IF($A69="","",IF(ISNUMBER($G69),$G69,IF(ISNUMBER($F69),$F69,"")))</f>
        <v>0.21</v>
      </c>
      <c r="I69" s="37" t="n">
        <f aca="false">IF(OR($A69="",NOT(ISNUMBER($D69)),NOT(ISNUMBER($H69))),"",IF((1-$H69-Parâmetros!$B$7-Parâmetros!$C$7-Parâmetros!$D$7)&lt;=0,"INVALIDO",($D69+IF(ISNUMBER($E69),$E69,0)+IF(ISNUMBER(Parâmetros!$E$7),Parâmetros!$E$7,0))/(1-$H69-Parâmetros!$B$7-Parâmetros!$C$7-Parâmetros!$D$7)))</f>
        <v>204.739130434783</v>
      </c>
      <c r="J69" s="38"/>
      <c r="K69" s="39" t="n">
        <f aca="false">IF(OR($A69="",NOT(ISNUMBER($D69)),NOT(ISNUMBER($H69))),"",IF(AND(ISNUMBER($J69),$J69&gt;0),$J69,IF(ISNUMBER($I69),$I69,"")))</f>
        <v>204.739130434783</v>
      </c>
      <c r="L69" s="40" t="n">
        <f aca="false">IF(ISNUMBER($K69),$K69*$H69,"")</f>
        <v>42.9952173913044</v>
      </c>
      <c r="M69" s="40" t="n">
        <f aca="false">IF(ISNUMBER($K69),$K69*Parâmetros!$B$7,"")</f>
        <v>20.4739130434783</v>
      </c>
      <c r="N69" s="40" t="n">
        <f aca="false">IF(ISNUMBER($K69),$K69*Parâmetros!$C$7,"")</f>
        <v>6.14217391304348</v>
      </c>
      <c r="O69" s="40" t="n">
        <f aca="false">IF(ISNUMBER($K69),IF(ISNUMBER(Parâmetros!$E$7),Parâmetros!$E$7,0),"")</f>
        <v>0</v>
      </c>
      <c r="P69" s="41" t="n">
        <f aca="false">IF(ISNUMBER($K69),$K69-$D69-IF(ISNUMBER($E69),$E69,0)-$L69-$M69-$N69-$O69,"")</f>
        <v>40.9478260869565</v>
      </c>
      <c r="Q69" s="42" t="n">
        <f aca="false">IF(AND(ISNUMBER($K69),$K69&gt;0),$P69/$K69,"")</f>
        <v>0.2</v>
      </c>
      <c r="R69" s="43"/>
      <c r="S69" s="44" t="str">
        <f aca="false">IF(OR(NOT(ISNUMBER($R69)),$R69=0,NOT(ISNUMBER($K69))),"",$K69*(1-$R69))</f>
        <v/>
      </c>
      <c r="T69" s="45" t="str">
        <f aca="false">IF(ISNUMBER($S69),$S69*$H69,"")</f>
        <v/>
      </c>
      <c r="U69" s="45" t="str">
        <f aca="false">IF(ISNUMBER($S69),$S69*Parâmetros!$B$7,"")</f>
        <v/>
      </c>
      <c r="V69" s="45" t="str">
        <f aca="false">IF(ISNUMBER($S69),$S69*Parâmetros!$C$7,"")</f>
        <v/>
      </c>
      <c r="W69" s="44" t="str">
        <f aca="false">IF(ISNUMBER($S69),$S69-$D69-IF(ISNUMBER($E69),$E69,0)-$O69-$T69-$U69-$V69,"")</f>
        <v/>
      </c>
      <c r="X69" s="46" t="str">
        <f aca="false">IF(AND(ISNUMBER($S69),$S69&gt;0),$W69/$S69,"")</f>
        <v/>
      </c>
      <c r="Y69" s="49"/>
      <c r="Z69" s="21"/>
    </row>
    <row r="70" customFormat="false" ht="15.75" hidden="false" customHeight="true" outlineLevel="0" collapsed="false">
      <c r="A70" s="32" t="str">
        <f aca="false">IF(Produtos!$A70="","",Produtos!$A70)</f>
        <v>L2430-B</v>
      </c>
      <c r="B70" s="32" t="str">
        <f aca="false">IF(Produtos!$A70="","",Produtos!$B70)</f>
        <v>Lixeira c/Aro Basculante 24x30 15L</v>
      </c>
      <c r="C70" s="32" t="str">
        <f aca="false">IF(Produtos!$A70="","",Produtos!$C70)</f>
        <v>Lixeiras em inox</v>
      </c>
      <c r="D70" s="33" t="n">
        <f aca="false">IF(Produtos!$A70="","",IF(Produtos!$D70="","",Produtos!$D70))</f>
        <v>103.42</v>
      </c>
      <c r="E70" s="11" t="n">
        <v>0</v>
      </c>
      <c r="F70" s="34" t="n">
        <f aca="false">IF($A70="","",IF($C70="","⚠ categoria",IFERROR(INDEX(Parâmetros!$E$13:$E$22,MATCH($C70,Parâmetros!$A$13:$A$22,0)),"⚠ categoria")))</f>
        <v>0.21</v>
      </c>
      <c r="G70" s="35"/>
      <c r="H70" s="36" t="n">
        <f aca="false">IF($A70="","",IF(ISNUMBER($G70),$G70,IF(ISNUMBER($F70),$F70,"")))</f>
        <v>0.21</v>
      </c>
      <c r="I70" s="37" t="n">
        <f aca="false">IF(OR($A70="",NOT(ISNUMBER($D70)),NOT(ISNUMBER($H70))),"",IF((1-$H70-Parâmetros!$B$7-Parâmetros!$C$7-Parâmetros!$D$7)&lt;=0,"INVALIDO",($D70+IF(ISNUMBER($E70),$E70,0)+IF(ISNUMBER(Parâmetros!$E$7),Parâmetros!$E$7,0))/(1-$H70-Parâmetros!$B$7-Parâmetros!$C$7-Parâmetros!$D$7)))</f>
        <v>224.826086956522</v>
      </c>
      <c r="J70" s="38"/>
      <c r="K70" s="39" t="n">
        <f aca="false">IF(OR($A70="",NOT(ISNUMBER($D70)),NOT(ISNUMBER($H70))),"",IF(AND(ISNUMBER($J70),$J70&gt;0),$J70,IF(ISNUMBER($I70),$I70,"")))</f>
        <v>224.826086956522</v>
      </c>
      <c r="L70" s="40" t="n">
        <f aca="false">IF(ISNUMBER($K70),$K70*$H70,"")</f>
        <v>47.2134782608696</v>
      </c>
      <c r="M70" s="40" t="n">
        <f aca="false">IF(ISNUMBER($K70),$K70*Parâmetros!$B$7,"")</f>
        <v>22.4826086956522</v>
      </c>
      <c r="N70" s="40" t="n">
        <f aca="false">IF(ISNUMBER($K70),$K70*Parâmetros!$C$7,"")</f>
        <v>6.74478260869565</v>
      </c>
      <c r="O70" s="40" t="n">
        <f aca="false">IF(ISNUMBER($K70),IF(ISNUMBER(Parâmetros!$E$7),Parâmetros!$E$7,0),"")</f>
        <v>0</v>
      </c>
      <c r="P70" s="41" t="n">
        <f aca="false">IF(ISNUMBER($K70),$K70-$D70-IF(ISNUMBER($E70),$E70,0)-$L70-$M70-$N70-$O70,"")</f>
        <v>44.9652173913043</v>
      </c>
      <c r="Q70" s="42" t="n">
        <f aca="false">IF(AND(ISNUMBER($K70),$K70&gt;0),$P70/$K70,"")</f>
        <v>0.2</v>
      </c>
      <c r="R70" s="43"/>
      <c r="S70" s="44" t="str">
        <f aca="false">IF(OR(NOT(ISNUMBER($R70)),$R70=0,NOT(ISNUMBER($K70))),"",$K70*(1-$R70))</f>
        <v/>
      </c>
      <c r="T70" s="45" t="str">
        <f aca="false">IF(ISNUMBER($S70),$S70*$H70,"")</f>
        <v/>
      </c>
      <c r="U70" s="45" t="str">
        <f aca="false">IF(ISNUMBER($S70),$S70*Parâmetros!$B$7,"")</f>
        <v/>
      </c>
      <c r="V70" s="45" t="str">
        <f aca="false">IF(ISNUMBER($S70),$S70*Parâmetros!$C$7,"")</f>
        <v/>
      </c>
      <c r="W70" s="44" t="str">
        <f aca="false">IF(ISNUMBER($S70),$S70-$D70-IF(ISNUMBER($E70),$E70,0)-$O70-$T70-$U70-$V70,"")</f>
        <v/>
      </c>
      <c r="X70" s="46" t="str">
        <f aca="false">IF(AND(ISNUMBER($S70),$S70&gt;0),$W70/$S70,"")</f>
        <v/>
      </c>
      <c r="Y70" s="47"/>
      <c r="Z70" s="19"/>
    </row>
    <row r="71" customFormat="false" ht="15.75" hidden="false" customHeight="true" outlineLevel="0" collapsed="false">
      <c r="A71" s="48" t="str">
        <f aca="false">IF(Produtos!$A71="","",Produtos!$A71)</f>
        <v>L2440-B</v>
      </c>
      <c r="B71" s="48" t="str">
        <f aca="false">IF(Produtos!$A71="","",Produtos!$B71)</f>
        <v>Lixeira c/Aro Basculante 24x40 20L</v>
      </c>
      <c r="C71" s="48" t="str">
        <f aca="false">IF(Produtos!$A71="","",Produtos!$C71)</f>
        <v>Lixeiras em inox</v>
      </c>
      <c r="D71" s="33" t="n">
        <f aca="false">IF(Produtos!$A71="","",IF(Produtos!$D71="","",Produtos!$D71))</f>
        <v>120.51</v>
      </c>
      <c r="E71" s="11" t="n">
        <v>0</v>
      </c>
      <c r="F71" s="34" t="n">
        <f aca="false">IF($A71="","",IF($C71="","⚠ categoria",IFERROR(INDEX(Parâmetros!$E$13:$E$22,MATCH($C71,Parâmetros!$A$13:$A$22,0)),"⚠ categoria")))</f>
        <v>0.21</v>
      </c>
      <c r="G71" s="35"/>
      <c r="H71" s="36" t="n">
        <f aca="false">IF($A71="","",IF(ISNUMBER($G71),$G71,IF(ISNUMBER($F71),$F71,"")))</f>
        <v>0.21</v>
      </c>
      <c r="I71" s="37" t="n">
        <f aca="false">IF(OR($A71="",NOT(ISNUMBER($D71)),NOT(ISNUMBER($H71))),"",IF((1-$H71-Parâmetros!$B$7-Parâmetros!$C$7-Parâmetros!$D$7)&lt;=0,"INVALIDO",($D71+IF(ISNUMBER($E71),$E71,0)+IF(ISNUMBER(Parâmetros!$E$7),Parâmetros!$E$7,0))/(1-$H71-Parâmetros!$B$7-Parâmetros!$C$7-Parâmetros!$D$7)))</f>
        <v>261.978260869565</v>
      </c>
      <c r="J71" s="38"/>
      <c r="K71" s="39" t="n">
        <f aca="false">IF(OR($A71="",NOT(ISNUMBER($D71)),NOT(ISNUMBER($H71))),"",IF(AND(ISNUMBER($J71),$J71&gt;0),$J71,IF(ISNUMBER($I71),$I71,"")))</f>
        <v>261.978260869565</v>
      </c>
      <c r="L71" s="40" t="n">
        <f aca="false">IF(ISNUMBER($K71),$K71*$H71,"")</f>
        <v>55.0154347826087</v>
      </c>
      <c r="M71" s="40" t="n">
        <f aca="false">IF(ISNUMBER($K71),$K71*Parâmetros!$B$7,"")</f>
        <v>26.1978260869565</v>
      </c>
      <c r="N71" s="40" t="n">
        <f aca="false">IF(ISNUMBER($K71),$K71*Parâmetros!$C$7,"")</f>
        <v>7.85934782608696</v>
      </c>
      <c r="O71" s="40" t="n">
        <f aca="false">IF(ISNUMBER($K71),IF(ISNUMBER(Parâmetros!$E$7),Parâmetros!$E$7,0),"")</f>
        <v>0</v>
      </c>
      <c r="P71" s="41" t="n">
        <f aca="false">IF(ISNUMBER($K71),$K71-$D71-IF(ISNUMBER($E71),$E71,0)-$L71-$M71-$N71-$O71,"")</f>
        <v>52.395652173913</v>
      </c>
      <c r="Q71" s="42" t="n">
        <f aca="false">IF(AND(ISNUMBER($K71),$K71&gt;0),$P71/$K71,"")</f>
        <v>0.2</v>
      </c>
      <c r="R71" s="43"/>
      <c r="S71" s="44" t="str">
        <f aca="false">IF(OR(NOT(ISNUMBER($R71)),$R71=0,NOT(ISNUMBER($K71))),"",$K71*(1-$R71))</f>
        <v/>
      </c>
      <c r="T71" s="45" t="str">
        <f aca="false">IF(ISNUMBER($S71),$S71*$H71,"")</f>
        <v/>
      </c>
      <c r="U71" s="45" t="str">
        <f aca="false">IF(ISNUMBER($S71),$S71*Parâmetros!$B$7,"")</f>
        <v/>
      </c>
      <c r="V71" s="45" t="str">
        <f aca="false">IF(ISNUMBER($S71),$S71*Parâmetros!$C$7,"")</f>
        <v/>
      </c>
      <c r="W71" s="44" t="str">
        <f aca="false">IF(ISNUMBER($S71),$S71-$D71-IF(ISNUMBER($E71),$E71,0)-$O71-$T71-$U71-$V71,"")</f>
        <v/>
      </c>
      <c r="X71" s="46" t="str">
        <f aca="false">IF(AND(ISNUMBER($S71),$S71&gt;0),$W71/$S71,"")</f>
        <v/>
      </c>
      <c r="Y71" s="49"/>
      <c r="Z71" s="21"/>
    </row>
    <row r="72" customFormat="false" ht="15.75" hidden="false" customHeight="true" outlineLevel="0" collapsed="false">
      <c r="A72" s="32" t="str">
        <f aca="false">IF(Produtos!$A72="","",Produtos!$A72)</f>
        <v>L2450-B</v>
      </c>
      <c r="B72" s="32" t="str">
        <f aca="false">IF(Produtos!$A72="","",Produtos!$B72)</f>
        <v>Lixeira c/Aro Basculante 24x50 25L</v>
      </c>
      <c r="C72" s="32" t="str">
        <f aca="false">IF(Produtos!$A72="","",Produtos!$C72)</f>
        <v>Lixeiras em inox</v>
      </c>
      <c r="D72" s="33" t="n">
        <f aca="false">IF(Produtos!$A72="","",IF(Produtos!$D72="","",Produtos!$D72))</f>
        <v>151.31</v>
      </c>
      <c r="E72" s="11" t="n">
        <v>0</v>
      </c>
      <c r="F72" s="34" t="n">
        <f aca="false">IF($A72="","",IF($C72="","⚠ categoria",IFERROR(INDEX(Parâmetros!$E$13:$E$22,MATCH($C72,Parâmetros!$A$13:$A$22,0)),"⚠ categoria")))</f>
        <v>0.21</v>
      </c>
      <c r="G72" s="35"/>
      <c r="H72" s="36" t="n">
        <f aca="false">IF($A72="","",IF(ISNUMBER($G72),$G72,IF(ISNUMBER($F72),$F72,"")))</f>
        <v>0.21</v>
      </c>
      <c r="I72" s="37" t="n">
        <f aca="false">IF(OR($A72="",NOT(ISNUMBER($D72)),NOT(ISNUMBER($H72))),"",IF((1-$H72-Parâmetros!$B$7-Parâmetros!$C$7-Parâmetros!$D$7)&lt;=0,"INVALIDO",($D72+IF(ISNUMBER($E72),$E72,0)+IF(ISNUMBER(Parâmetros!$E$7),Parâmetros!$E$7,0))/(1-$H72-Parâmetros!$B$7-Parâmetros!$C$7-Parâmetros!$D$7)))</f>
        <v>328.934782608696</v>
      </c>
      <c r="J72" s="38"/>
      <c r="K72" s="39" t="n">
        <f aca="false">IF(OR($A72="",NOT(ISNUMBER($D72)),NOT(ISNUMBER($H72))),"",IF(AND(ISNUMBER($J72),$J72&gt;0),$J72,IF(ISNUMBER($I72),$I72,"")))</f>
        <v>328.934782608696</v>
      </c>
      <c r="L72" s="40" t="n">
        <f aca="false">IF(ISNUMBER($K72),$K72*$H72,"")</f>
        <v>69.0763043478261</v>
      </c>
      <c r="M72" s="40" t="n">
        <f aca="false">IF(ISNUMBER($K72),$K72*Parâmetros!$B$7,"")</f>
        <v>32.8934782608696</v>
      </c>
      <c r="N72" s="40" t="n">
        <f aca="false">IF(ISNUMBER($K72),$K72*Parâmetros!$C$7,"")</f>
        <v>9.86804347826087</v>
      </c>
      <c r="O72" s="40" t="n">
        <f aca="false">IF(ISNUMBER($K72),IF(ISNUMBER(Parâmetros!$E$7),Parâmetros!$E$7,0),"")</f>
        <v>0</v>
      </c>
      <c r="P72" s="41" t="n">
        <f aca="false">IF(ISNUMBER($K72),$K72-$D72-IF(ISNUMBER($E72),$E72,0)-$L72-$M72-$N72-$O72,"")</f>
        <v>65.7869565217391</v>
      </c>
      <c r="Q72" s="42" t="n">
        <f aca="false">IF(AND(ISNUMBER($K72),$K72&gt;0),$P72/$K72,"")</f>
        <v>0.2</v>
      </c>
      <c r="R72" s="43"/>
      <c r="S72" s="44" t="str">
        <f aca="false">IF(OR(NOT(ISNUMBER($R72)),$R72=0,NOT(ISNUMBER($K72))),"",$K72*(1-$R72))</f>
        <v/>
      </c>
      <c r="T72" s="45" t="str">
        <f aca="false">IF(ISNUMBER($S72),$S72*$H72,"")</f>
        <v/>
      </c>
      <c r="U72" s="45" t="str">
        <f aca="false">IF(ISNUMBER($S72),$S72*Parâmetros!$B$7,"")</f>
        <v/>
      </c>
      <c r="V72" s="45" t="str">
        <f aca="false">IF(ISNUMBER($S72),$S72*Parâmetros!$C$7,"")</f>
        <v/>
      </c>
      <c r="W72" s="44" t="str">
        <f aca="false">IF(ISNUMBER($S72),$S72-$D72-IF(ISNUMBER($E72),$E72,0)-$O72-$T72-$U72-$V72,"")</f>
        <v/>
      </c>
      <c r="X72" s="46" t="str">
        <f aca="false">IF(AND(ISNUMBER($S72),$S72&gt;0),$W72/$S72,"")</f>
        <v/>
      </c>
      <c r="Y72" s="47"/>
      <c r="Z72" s="19"/>
    </row>
    <row r="73" customFormat="false" ht="15.75" hidden="false" customHeight="true" outlineLevel="0" collapsed="false">
      <c r="A73" s="48" t="str">
        <f aca="false">IF(Produtos!$A73="","",Produtos!$A73)</f>
        <v>L2460-B</v>
      </c>
      <c r="B73" s="48" t="str">
        <f aca="false">IF(Produtos!$A73="","",Produtos!$B73)</f>
        <v>Lixeira c/Aro Basculante 24x60 27L</v>
      </c>
      <c r="C73" s="48" t="str">
        <f aca="false">IF(Produtos!$A73="","",Produtos!$C73)</f>
        <v>Lixeiras em inox</v>
      </c>
      <c r="D73" s="33" t="n">
        <f aca="false">IF(Produtos!$A73="","",IF(Produtos!$D73="","",Produtos!$D73))</f>
        <v>152.83</v>
      </c>
      <c r="E73" s="11" t="n">
        <v>0</v>
      </c>
      <c r="F73" s="34" t="n">
        <f aca="false">IF($A73="","",IF($C73="","⚠ categoria",IFERROR(INDEX(Parâmetros!$E$13:$E$22,MATCH($C73,Parâmetros!$A$13:$A$22,0)),"⚠ categoria")))</f>
        <v>0.21</v>
      </c>
      <c r="G73" s="35"/>
      <c r="H73" s="36" t="n">
        <f aca="false">IF($A73="","",IF(ISNUMBER($G73),$G73,IF(ISNUMBER($F73),$F73,"")))</f>
        <v>0.21</v>
      </c>
      <c r="I73" s="37" t="n">
        <f aca="false">IF(OR($A73="",NOT(ISNUMBER($D73)),NOT(ISNUMBER($H73))),"",IF((1-$H73-Parâmetros!$B$7-Parâmetros!$C$7-Parâmetros!$D$7)&lt;=0,"INVALIDO",($D73+IF(ISNUMBER($E73),$E73,0)+IF(ISNUMBER(Parâmetros!$E$7),Parâmetros!$E$7,0))/(1-$H73-Parâmetros!$B$7-Parâmetros!$C$7-Parâmetros!$D$7)))</f>
        <v>332.239130434783</v>
      </c>
      <c r="J73" s="38"/>
      <c r="K73" s="39" t="n">
        <f aca="false">IF(OR($A73="",NOT(ISNUMBER($D73)),NOT(ISNUMBER($H73))),"",IF(AND(ISNUMBER($J73),$J73&gt;0),$J73,IF(ISNUMBER($I73),$I73,"")))</f>
        <v>332.239130434783</v>
      </c>
      <c r="L73" s="40" t="n">
        <f aca="false">IF(ISNUMBER($K73),$K73*$H73,"")</f>
        <v>69.7702173913043</v>
      </c>
      <c r="M73" s="40" t="n">
        <f aca="false">IF(ISNUMBER($K73),$K73*Parâmetros!$B$7,"")</f>
        <v>33.2239130434783</v>
      </c>
      <c r="N73" s="40" t="n">
        <f aca="false">IF(ISNUMBER($K73),$K73*Parâmetros!$C$7,"")</f>
        <v>9.96717391304348</v>
      </c>
      <c r="O73" s="40" t="n">
        <f aca="false">IF(ISNUMBER($K73),IF(ISNUMBER(Parâmetros!$E$7),Parâmetros!$E$7,0),"")</f>
        <v>0</v>
      </c>
      <c r="P73" s="41" t="n">
        <f aca="false">IF(ISNUMBER($K73),$K73-$D73-IF(ISNUMBER($E73),$E73,0)-$L73-$M73-$N73-$O73,"")</f>
        <v>66.4478260869565</v>
      </c>
      <c r="Q73" s="42" t="n">
        <f aca="false">IF(AND(ISNUMBER($K73),$K73&gt;0),$P73/$K73,"")</f>
        <v>0.2</v>
      </c>
      <c r="R73" s="43"/>
      <c r="S73" s="44" t="str">
        <f aca="false">IF(OR(NOT(ISNUMBER($R73)),$R73=0,NOT(ISNUMBER($K73))),"",$K73*(1-$R73))</f>
        <v/>
      </c>
      <c r="T73" s="45" t="str">
        <f aca="false">IF(ISNUMBER($S73),$S73*$H73,"")</f>
        <v/>
      </c>
      <c r="U73" s="45" t="str">
        <f aca="false">IF(ISNUMBER($S73),$S73*Parâmetros!$B$7,"")</f>
        <v/>
      </c>
      <c r="V73" s="45" t="str">
        <f aca="false">IF(ISNUMBER($S73),$S73*Parâmetros!$C$7,"")</f>
        <v/>
      </c>
      <c r="W73" s="44" t="str">
        <f aca="false">IF(ISNUMBER($S73),$S73-$D73-IF(ISNUMBER($E73),$E73,0)-$O73-$T73-$U73-$V73,"")</f>
        <v/>
      </c>
      <c r="X73" s="46" t="str">
        <f aca="false">IF(AND(ISNUMBER($S73),$S73&gt;0),$W73/$S73,"")</f>
        <v/>
      </c>
      <c r="Y73" s="49"/>
      <c r="Z73" s="21"/>
    </row>
    <row r="74" customFormat="false" ht="15.75" hidden="false" customHeight="true" outlineLevel="0" collapsed="false">
      <c r="A74" s="32" t="str">
        <f aca="false">IF(Produtos!$A74="","",Produtos!$A74)</f>
        <v>L2470-B</v>
      </c>
      <c r="B74" s="32" t="str">
        <f aca="false">IF(Produtos!$A74="","",Produtos!$B74)</f>
        <v>Lixeira c/Aro Basculante 24x70 30L</v>
      </c>
      <c r="C74" s="32" t="str">
        <f aca="false">IF(Produtos!$A74="","",Produtos!$C74)</f>
        <v>Lixeiras em inox</v>
      </c>
      <c r="D74" s="33" t="n">
        <f aca="false">IF(Produtos!$A74="","",IF(Produtos!$D74="","",Produtos!$D74))</f>
        <v>211.1</v>
      </c>
      <c r="E74" s="11" t="n">
        <v>0</v>
      </c>
      <c r="F74" s="34" t="n">
        <f aca="false">IF($A74="","",IF($C74="","⚠ categoria",IFERROR(INDEX(Parâmetros!$E$13:$E$22,MATCH($C74,Parâmetros!$A$13:$A$22,0)),"⚠ categoria")))</f>
        <v>0.21</v>
      </c>
      <c r="G74" s="35"/>
      <c r="H74" s="36" t="n">
        <f aca="false">IF($A74="","",IF(ISNUMBER($G74),$G74,IF(ISNUMBER($F74),$F74,"")))</f>
        <v>0.21</v>
      </c>
      <c r="I74" s="37" t="n">
        <f aca="false">IF(OR($A74="",NOT(ISNUMBER($D74)),NOT(ISNUMBER($H74))),"",IF((1-$H74-Parâmetros!$B$7-Parâmetros!$C$7-Parâmetros!$D$7)&lt;=0,"INVALIDO",($D74+IF(ISNUMBER($E74),$E74,0)+IF(ISNUMBER(Parâmetros!$E$7),Parâmetros!$E$7,0))/(1-$H74-Parâmetros!$B$7-Parâmetros!$C$7-Parâmetros!$D$7)))</f>
        <v>458.913043478261</v>
      </c>
      <c r="J74" s="38"/>
      <c r="K74" s="39" t="n">
        <f aca="false">IF(OR($A74="",NOT(ISNUMBER($D74)),NOT(ISNUMBER($H74))),"",IF(AND(ISNUMBER($J74),$J74&gt;0),$J74,IF(ISNUMBER($I74),$I74,"")))</f>
        <v>458.913043478261</v>
      </c>
      <c r="L74" s="40" t="n">
        <f aca="false">IF(ISNUMBER($K74),$K74*$H74,"")</f>
        <v>96.3717391304348</v>
      </c>
      <c r="M74" s="40" t="n">
        <f aca="false">IF(ISNUMBER($K74),$K74*Parâmetros!$B$7,"")</f>
        <v>45.8913043478261</v>
      </c>
      <c r="N74" s="40" t="n">
        <f aca="false">IF(ISNUMBER($K74),$K74*Parâmetros!$C$7,"")</f>
        <v>13.7673913043478</v>
      </c>
      <c r="O74" s="40" t="n">
        <f aca="false">IF(ISNUMBER($K74),IF(ISNUMBER(Parâmetros!$E$7),Parâmetros!$E$7,0),"")</f>
        <v>0</v>
      </c>
      <c r="P74" s="41" t="n">
        <f aca="false">IF(ISNUMBER($K74),$K74-$D74-IF(ISNUMBER($E74),$E74,0)-$L74-$M74-$N74-$O74,"")</f>
        <v>91.7826086956522</v>
      </c>
      <c r="Q74" s="42" t="n">
        <f aca="false">IF(AND(ISNUMBER($K74),$K74&gt;0),$P74/$K74,"")</f>
        <v>0.2</v>
      </c>
      <c r="R74" s="43"/>
      <c r="S74" s="44" t="str">
        <f aca="false">IF(OR(NOT(ISNUMBER($R74)),$R74=0,NOT(ISNUMBER($K74))),"",$K74*(1-$R74))</f>
        <v/>
      </c>
      <c r="T74" s="45" t="str">
        <f aca="false">IF(ISNUMBER($S74),$S74*$H74,"")</f>
        <v/>
      </c>
      <c r="U74" s="45" t="str">
        <f aca="false">IF(ISNUMBER($S74),$S74*Parâmetros!$B$7,"")</f>
        <v/>
      </c>
      <c r="V74" s="45" t="str">
        <f aca="false">IF(ISNUMBER($S74),$S74*Parâmetros!$C$7,"")</f>
        <v/>
      </c>
      <c r="W74" s="44" t="str">
        <f aca="false">IF(ISNUMBER($S74),$S74-$D74-IF(ISNUMBER($E74),$E74,0)-$O74-$T74-$U74-$V74,"")</f>
        <v/>
      </c>
      <c r="X74" s="46" t="str">
        <f aca="false">IF(AND(ISNUMBER($S74),$S74&gt;0),$W74/$S74,"")</f>
        <v/>
      </c>
      <c r="Y74" s="47"/>
      <c r="Z74" s="19"/>
    </row>
    <row r="75" customFormat="false" ht="15.75" hidden="false" customHeight="true" outlineLevel="0" collapsed="false">
      <c r="A75" s="48" t="str">
        <f aca="false">IF(Produtos!$A75="","",Produtos!$A75)</f>
        <v>L3040-B</v>
      </c>
      <c r="B75" s="48" t="str">
        <f aca="false">IF(Produtos!$A75="","",Produtos!$B75)</f>
        <v>Lixeira c/Aro Basculante 30x40 30L</v>
      </c>
      <c r="C75" s="48" t="str">
        <f aca="false">IF(Produtos!$A75="","",Produtos!$C75)</f>
        <v>Lixeiras em inox</v>
      </c>
      <c r="D75" s="33" t="n">
        <f aca="false">IF(Produtos!$A75="","",IF(Produtos!$D75="","",Produtos!$D75))</f>
        <v>172.54</v>
      </c>
      <c r="E75" s="11" t="n">
        <v>0</v>
      </c>
      <c r="F75" s="34" t="n">
        <f aca="false">IF($A75="","",IF($C75="","⚠ categoria",IFERROR(INDEX(Parâmetros!$E$13:$E$22,MATCH($C75,Parâmetros!$A$13:$A$22,0)),"⚠ categoria")))</f>
        <v>0.21</v>
      </c>
      <c r="G75" s="35"/>
      <c r="H75" s="36" t="n">
        <f aca="false">IF($A75="","",IF(ISNUMBER($G75),$G75,IF(ISNUMBER($F75),$F75,"")))</f>
        <v>0.21</v>
      </c>
      <c r="I75" s="37" t="n">
        <f aca="false">IF(OR($A75="",NOT(ISNUMBER($D75)),NOT(ISNUMBER($H75))),"",IF((1-$H75-Parâmetros!$B$7-Parâmetros!$C$7-Parâmetros!$D$7)&lt;=0,"INVALIDO",($D75+IF(ISNUMBER($E75),$E75,0)+IF(ISNUMBER(Parâmetros!$E$7),Parâmetros!$E$7,0))/(1-$H75-Parâmetros!$B$7-Parâmetros!$C$7-Parâmetros!$D$7)))</f>
        <v>375.086956521739</v>
      </c>
      <c r="J75" s="38"/>
      <c r="K75" s="39" t="n">
        <f aca="false">IF(OR($A75="",NOT(ISNUMBER($D75)),NOT(ISNUMBER($H75))),"",IF(AND(ISNUMBER($J75),$J75&gt;0),$J75,IF(ISNUMBER($I75),$I75,"")))</f>
        <v>375.086956521739</v>
      </c>
      <c r="L75" s="40" t="n">
        <f aca="false">IF(ISNUMBER($K75),$K75*$H75,"")</f>
        <v>78.7682608695652</v>
      </c>
      <c r="M75" s="40" t="n">
        <f aca="false">IF(ISNUMBER($K75),$K75*Parâmetros!$B$7,"")</f>
        <v>37.5086956521739</v>
      </c>
      <c r="N75" s="40" t="n">
        <f aca="false">IF(ISNUMBER($K75),$K75*Parâmetros!$C$7,"")</f>
        <v>11.2526086956522</v>
      </c>
      <c r="O75" s="40" t="n">
        <f aca="false">IF(ISNUMBER($K75),IF(ISNUMBER(Parâmetros!$E$7),Parâmetros!$E$7,0),"")</f>
        <v>0</v>
      </c>
      <c r="P75" s="41" t="n">
        <f aca="false">IF(ISNUMBER($K75),$K75-$D75-IF(ISNUMBER($E75),$E75,0)-$L75-$M75-$N75-$O75,"")</f>
        <v>75.0173913043478</v>
      </c>
      <c r="Q75" s="42" t="n">
        <f aca="false">IF(AND(ISNUMBER($K75),$K75&gt;0),$P75/$K75,"")</f>
        <v>0.2</v>
      </c>
      <c r="R75" s="43"/>
      <c r="S75" s="44" t="str">
        <f aca="false">IF(OR(NOT(ISNUMBER($R75)),$R75=0,NOT(ISNUMBER($K75))),"",$K75*(1-$R75))</f>
        <v/>
      </c>
      <c r="T75" s="45" t="str">
        <f aca="false">IF(ISNUMBER($S75),$S75*$H75,"")</f>
        <v/>
      </c>
      <c r="U75" s="45" t="str">
        <f aca="false">IF(ISNUMBER($S75),$S75*Parâmetros!$B$7,"")</f>
        <v/>
      </c>
      <c r="V75" s="45" t="str">
        <f aca="false">IF(ISNUMBER($S75),$S75*Parâmetros!$C$7,"")</f>
        <v/>
      </c>
      <c r="W75" s="44" t="str">
        <f aca="false">IF(ISNUMBER($S75),$S75-$D75-IF(ISNUMBER($E75),$E75,0)-$O75-$T75-$U75-$V75,"")</f>
        <v/>
      </c>
      <c r="X75" s="46" t="str">
        <f aca="false">IF(AND(ISNUMBER($S75),$S75&gt;0),$W75/$S75,"")</f>
        <v/>
      </c>
      <c r="Y75" s="49"/>
      <c r="Z75" s="21"/>
    </row>
    <row r="76" customFormat="false" ht="15.75" hidden="false" customHeight="true" outlineLevel="0" collapsed="false">
      <c r="A76" s="32" t="str">
        <f aca="false">IF(Produtos!$A76="","",Produtos!$A76)</f>
        <v>L3050-B</v>
      </c>
      <c r="B76" s="32" t="str">
        <f aca="false">IF(Produtos!$A76="","",Produtos!$B76)</f>
        <v>Lixeira c/Aro Basculante 30x50 35L</v>
      </c>
      <c r="C76" s="32" t="str">
        <f aca="false">IF(Produtos!$A76="","",Produtos!$C76)</f>
        <v>Lixeiras em inox</v>
      </c>
      <c r="D76" s="33" t="n">
        <f aca="false">IF(Produtos!$A76="","",IF(Produtos!$D76="","",Produtos!$D76))</f>
        <v>216.99</v>
      </c>
      <c r="E76" s="11" t="n">
        <v>0</v>
      </c>
      <c r="F76" s="34" t="n">
        <f aca="false">IF($A76="","",IF($C76="","⚠ categoria",IFERROR(INDEX(Parâmetros!$E$13:$E$22,MATCH($C76,Parâmetros!$A$13:$A$22,0)),"⚠ categoria")))</f>
        <v>0.21</v>
      </c>
      <c r="G76" s="35"/>
      <c r="H76" s="36" t="n">
        <f aca="false">IF($A76="","",IF(ISNUMBER($G76),$G76,IF(ISNUMBER($F76),$F76,"")))</f>
        <v>0.21</v>
      </c>
      <c r="I76" s="37" t="n">
        <f aca="false">IF(OR($A76="",NOT(ISNUMBER($D76)),NOT(ISNUMBER($H76))),"",IF((1-$H76-Parâmetros!$B$7-Parâmetros!$C$7-Parâmetros!$D$7)&lt;=0,"INVALIDO",($D76+IF(ISNUMBER($E76),$E76,0)+IF(ISNUMBER(Parâmetros!$E$7),Parâmetros!$E$7,0))/(1-$H76-Parâmetros!$B$7-Parâmetros!$C$7-Parâmetros!$D$7)))</f>
        <v>471.717391304348</v>
      </c>
      <c r="J76" s="38"/>
      <c r="K76" s="39" t="n">
        <f aca="false">IF(OR($A76="",NOT(ISNUMBER($D76)),NOT(ISNUMBER($H76))),"",IF(AND(ISNUMBER($J76),$J76&gt;0),$J76,IF(ISNUMBER($I76),$I76,"")))</f>
        <v>471.717391304348</v>
      </c>
      <c r="L76" s="40" t="n">
        <f aca="false">IF(ISNUMBER($K76),$K76*$H76,"")</f>
        <v>99.060652173913</v>
      </c>
      <c r="M76" s="40" t="n">
        <f aca="false">IF(ISNUMBER($K76),$K76*Parâmetros!$B$7,"")</f>
        <v>47.1717391304348</v>
      </c>
      <c r="N76" s="40" t="n">
        <f aca="false">IF(ISNUMBER($K76),$K76*Parâmetros!$C$7,"")</f>
        <v>14.1515217391304</v>
      </c>
      <c r="O76" s="40" t="n">
        <f aca="false">IF(ISNUMBER($K76),IF(ISNUMBER(Parâmetros!$E$7),Parâmetros!$E$7,0),"")</f>
        <v>0</v>
      </c>
      <c r="P76" s="41" t="n">
        <f aca="false">IF(ISNUMBER($K76),$K76-$D76-IF(ISNUMBER($E76),$E76,0)-$L76-$M76-$N76-$O76,"")</f>
        <v>94.3434782608696</v>
      </c>
      <c r="Q76" s="42" t="n">
        <f aca="false">IF(AND(ISNUMBER($K76),$K76&gt;0),$P76/$K76,"")</f>
        <v>0.2</v>
      </c>
      <c r="R76" s="43"/>
      <c r="S76" s="44" t="str">
        <f aca="false">IF(OR(NOT(ISNUMBER($R76)),$R76=0,NOT(ISNUMBER($K76))),"",$K76*(1-$R76))</f>
        <v/>
      </c>
      <c r="T76" s="45" t="str">
        <f aca="false">IF(ISNUMBER($S76),$S76*$H76,"")</f>
        <v/>
      </c>
      <c r="U76" s="45" t="str">
        <f aca="false">IF(ISNUMBER($S76),$S76*Parâmetros!$B$7,"")</f>
        <v/>
      </c>
      <c r="V76" s="45" t="str">
        <f aca="false">IF(ISNUMBER($S76),$S76*Parâmetros!$C$7,"")</f>
        <v/>
      </c>
      <c r="W76" s="44" t="str">
        <f aca="false">IF(ISNUMBER($S76),$S76-$D76-IF(ISNUMBER($E76),$E76,0)-$O76-$T76-$U76-$V76,"")</f>
        <v/>
      </c>
      <c r="X76" s="46" t="str">
        <f aca="false">IF(AND(ISNUMBER($S76),$S76&gt;0),$W76/$S76,"")</f>
        <v/>
      </c>
      <c r="Y76" s="47"/>
      <c r="Z76" s="19"/>
    </row>
    <row r="77" customFormat="false" ht="15.75" hidden="false" customHeight="true" outlineLevel="0" collapsed="false">
      <c r="A77" s="48" t="str">
        <f aca="false">IF(Produtos!$A77="","",Produtos!$A77)</f>
        <v>L3060-B</v>
      </c>
      <c r="B77" s="48" t="str">
        <f aca="false">IF(Produtos!$A77="","",Produtos!$B77)</f>
        <v>Lixeira c/Aro Basculante 30x60 40L</v>
      </c>
      <c r="C77" s="48" t="str">
        <f aca="false">IF(Produtos!$A77="","",Produtos!$C77)</f>
        <v>Lixeiras em inox</v>
      </c>
      <c r="D77" s="33" t="n">
        <f aca="false">IF(Produtos!$A77="","",IF(Produtos!$D77="","",Produtos!$D77))</f>
        <v>222.41</v>
      </c>
      <c r="E77" s="11" t="n">
        <v>0</v>
      </c>
      <c r="F77" s="34" t="n">
        <f aca="false">IF($A77="","",IF($C77="","⚠ categoria",IFERROR(INDEX(Parâmetros!$E$13:$E$22,MATCH($C77,Parâmetros!$A$13:$A$22,0)),"⚠ categoria")))</f>
        <v>0.21</v>
      </c>
      <c r="G77" s="35"/>
      <c r="H77" s="36" t="n">
        <f aca="false">IF($A77="","",IF(ISNUMBER($G77),$G77,IF(ISNUMBER($F77),$F77,"")))</f>
        <v>0.21</v>
      </c>
      <c r="I77" s="37" t="n">
        <f aca="false">IF(OR($A77="",NOT(ISNUMBER($D77)),NOT(ISNUMBER($H77))),"",IF((1-$H77-Parâmetros!$B$7-Parâmetros!$C$7-Parâmetros!$D$7)&lt;=0,"INVALIDO",($D77+IF(ISNUMBER($E77),$E77,0)+IF(ISNUMBER(Parâmetros!$E$7),Parâmetros!$E$7,0))/(1-$H77-Parâmetros!$B$7-Parâmetros!$C$7-Parâmetros!$D$7)))</f>
        <v>483.5</v>
      </c>
      <c r="J77" s="38"/>
      <c r="K77" s="39" t="n">
        <f aca="false">IF(OR($A77="",NOT(ISNUMBER($D77)),NOT(ISNUMBER($H77))),"",IF(AND(ISNUMBER($J77),$J77&gt;0),$J77,IF(ISNUMBER($I77),$I77,"")))</f>
        <v>483.5</v>
      </c>
      <c r="L77" s="40" t="n">
        <f aca="false">IF(ISNUMBER($K77),$K77*$H77,"")</f>
        <v>101.535</v>
      </c>
      <c r="M77" s="40" t="n">
        <f aca="false">IF(ISNUMBER($K77),$K77*Parâmetros!$B$7,"")</f>
        <v>48.35</v>
      </c>
      <c r="N77" s="40" t="n">
        <f aca="false">IF(ISNUMBER($K77),$K77*Parâmetros!$C$7,"")</f>
        <v>14.505</v>
      </c>
      <c r="O77" s="40" t="n">
        <f aca="false">IF(ISNUMBER($K77),IF(ISNUMBER(Parâmetros!$E$7),Parâmetros!$E$7,0),"")</f>
        <v>0</v>
      </c>
      <c r="P77" s="41" t="n">
        <f aca="false">IF(ISNUMBER($K77),$K77-$D77-IF(ISNUMBER($E77),$E77,0)-$L77-$M77-$N77-$O77,"")</f>
        <v>96.7000000000001</v>
      </c>
      <c r="Q77" s="42" t="n">
        <f aca="false">IF(AND(ISNUMBER($K77),$K77&gt;0),$P77/$K77,"")</f>
        <v>0.2</v>
      </c>
      <c r="R77" s="43"/>
      <c r="S77" s="44" t="str">
        <f aca="false">IF(OR(NOT(ISNUMBER($R77)),$R77=0,NOT(ISNUMBER($K77))),"",$K77*(1-$R77))</f>
        <v/>
      </c>
      <c r="T77" s="45" t="str">
        <f aca="false">IF(ISNUMBER($S77),$S77*$H77,"")</f>
        <v/>
      </c>
      <c r="U77" s="45" t="str">
        <f aca="false">IF(ISNUMBER($S77),$S77*Parâmetros!$B$7,"")</f>
        <v/>
      </c>
      <c r="V77" s="45" t="str">
        <f aca="false">IF(ISNUMBER($S77),$S77*Parâmetros!$C$7,"")</f>
        <v/>
      </c>
      <c r="W77" s="44" t="str">
        <f aca="false">IF(ISNUMBER($S77),$S77-$D77-IF(ISNUMBER($E77),$E77,0)-$O77-$T77-$U77-$V77,"")</f>
        <v/>
      </c>
      <c r="X77" s="46" t="str">
        <f aca="false">IF(AND(ISNUMBER($S77),$S77&gt;0),$W77/$S77,"")</f>
        <v/>
      </c>
      <c r="Y77" s="49"/>
      <c r="Z77" s="21"/>
    </row>
    <row r="78" customFormat="false" ht="15.75" hidden="false" customHeight="true" outlineLevel="0" collapsed="false">
      <c r="A78" s="32" t="str">
        <f aca="false">IF(Produtos!$A78="","",Produtos!$A78)</f>
        <v>L3070-B</v>
      </c>
      <c r="B78" s="32" t="str">
        <f aca="false">IF(Produtos!$A78="","",Produtos!$B78)</f>
        <v>Lixeira c/Aro Basculante 30x70 50L</v>
      </c>
      <c r="C78" s="32" t="str">
        <f aca="false">IF(Produtos!$A78="","",Produtos!$C78)</f>
        <v>Lixeiras em inox</v>
      </c>
      <c r="D78" s="33" t="n">
        <f aca="false">IF(Produtos!$A78="","",IF(Produtos!$D78="","",Produtos!$D78))</f>
        <v>279.42</v>
      </c>
      <c r="E78" s="11" t="n">
        <v>0</v>
      </c>
      <c r="F78" s="34" t="n">
        <f aca="false">IF($A78="","",IF($C78="","⚠ categoria",IFERROR(INDEX(Parâmetros!$E$13:$E$22,MATCH($C78,Parâmetros!$A$13:$A$22,0)),"⚠ categoria")))</f>
        <v>0.21</v>
      </c>
      <c r="G78" s="35"/>
      <c r="H78" s="36" t="n">
        <f aca="false">IF($A78="","",IF(ISNUMBER($G78),$G78,IF(ISNUMBER($F78),$F78,"")))</f>
        <v>0.21</v>
      </c>
      <c r="I78" s="37" t="n">
        <f aca="false">IF(OR($A78="",NOT(ISNUMBER($D78)),NOT(ISNUMBER($H78))),"",IF((1-$H78-Parâmetros!$B$7-Parâmetros!$C$7-Parâmetros!$D$7)&lt;=0,"INVALIDO",($D78+IF(ISNUMBER($E78),$E78,0)+IF(ISNUMBER(Parâmetros!$E$7),Parâmetros!$E$7,0))/(1-$H78-Parâmetros!$B$7-Parâmetros!$C$7-Parâmetros!$D$7)))</f>
        <v>607.434782608696</v>
      </c>
      <c r="J78" s="38"/>
      <c r="K78" s="39" t="n">
        <f aca="false">IF(OR($A78="",NOT(ISNUMBER($D78)),NOT(ISNUMBER($H78))),"",IF(AND(ISNUMBER($J78),$J78&gt;0),$J78,IF(ISNUMBER($I78),$I78,"")))</f>
        <v>607.434782608696</v>
      </c>
      <c r="L78" s="40" t="n">
        <f aca="false">IF(ISNUMBER($K78),$K78*$H78,"")</f>
        <v>127.561304347826</v>
      </c>
      <c r="M78" s="40" t="n">
        <f aca="false">IF(ISNUMBER($K78),$K78*Parâmetros!$B$7,"")</f>
        <v>60.7434782608696</v>
      </c>
      <c r="N78" s="40" t="n">
        <f aca="false">IF(ISNUMBER($K78),$K78*Parâmetros!$C$7,"")</f>
        <v>18.2230434782609</v>
      </c>
      <c r="O78" s="40" t="n">
        <f aca="false">IF(ISNUMBER($K78),IF(ISNUMBER(Parâmetros!$E$7),Parâmetros!$E$7,0),"")</f>
        <v>0</v>
      </c>
      <c r="P78" s="41" t="n">
        <f aca="false">IF(ISNUMBER($K78),$K78-$D78-IF(ISNUMBER($E78),$E78,0)-$L78-$M78-$N78-$O78,"")</f>
        <v>121.486956521739</v>
      </c>
      <c r="Q78" s="42" t="n">
        <f aca="false">IF(AND(ISNUMBER($K78),$K78&gt;0),$P78/$K78,"")</f>
        <v>0.2</v>
      </c>
      <c r="R78" s="43"/>
      <c r="S78" s="44" t="str">
        <f aca="false">IF(OR(NOT(ISNUMBER($R78)),$R78=0,NOT(ISNUMBER($K78))),"",$K78*(1-$R78))</f>
        <v/>
      </c>
      <c r="T78" s="45" t="str">
        <f aca="false">IF(ISNUMBER($S78),$S78*$H78,"")</f>
        <v/>
      </c>
      <c r="U78" s="45" t="str">
        <f aca="false">IF(ISNUMBER($S78),$S78*Parâmetros!$B$7,"")</f>
        <v/>
      </c>
      <c r="V78" s="45" t="str">
        <f aca="false">IF(ISNUMBER($S78),$S78*Parâmetros!$C$7,"")</f>
        <v/>
      </c>
      <c r="W78" s="44" t="str">
        <f aca="false">IF(ISNUMBER($S78),$S78-$D78-IF(ISNUMBER($E78),$E78,0)-$O78-$T78-$U78-$V78,"")</f>
        <v/>
      </c>
      <c r="X78" s="46" t="str">
        <f aca="false">IF(AND(ISNUMBER($S78),$S78&gt;0),$W78/$S78,"")</f>
        <v/>
      </c>
      <c r="Y78" s="47"/>
      <c r="Z78" s="19"/>
    </row>
    <row r="79" customFormat="false" ht="15.75" hidden="false" customHeight="true" outlineLevel="0" collapsed="false">
      <c r="A79" s="48" t="str">
        <f aca="false">IF(Produtos!$A79="","",Produtos!$A79)</f>
        <v>L3085-B</v>
      </c>
      <c r="B79" s="48" t="str">
        <f aca="false">IF(Produtos!$A79="","",Produtos!$B79)</f>
        <v>Lixeira c/Aro Basculante 30x85 60L</v>
      </c>
      <c r="C79" s="48" t="str">
        <f aca="false">IF(Produtos!$A79="","",Produtos!$C79)</f>
        <v>Lixeiras em inox</v>
      </c>
      <c r="D79" s="33" t="n">
        <f aca="false">IF(Produtos!$A79="","",IF(Produtos!$D79="","",Produtos!$D79))</f>
        <v>341.01</v>
      </c>
      <c r="E79" s="11" t="n">
        <v>0</v>
      </c>
      <c r="F79" s="34" t="n">
        <f aca="false">IF($A79="","",IF($C79="","⚠ categoria",IFERROR(INDEX(Parâmetros!$E$13:$E$22,MATCH($C79,Parâmetros!$A$13:$A$22,0)),"⚠ categoria")))</f>
        <v>0.21</v>
      </c>
      <c r="G79" s="35"/>
      <c r="H79" s="36" t="n">
        <f aca="false">IF($A79="","",IF(ISNUMBER($G79),$G79,IF(ISNUMBER($F79),$F79,"")))</f>
        <v>0.21</v>
      </c>
      <c r="I79" s="37" t="n">
        <f aca="false">IF(OR($A79="",NOT(ISNUMBER($D79)),NOT(ISNUMBER($H79))),"",IF((1-$H79-Parâmetros!$B$7-Parâmetros!$C$7-Parâmetros!$D$7)&lt;=0,"INVALIDO",($D79+IF(ISNUMBER($E79),$E79,0)+IF(ISNUMBER(Parâmetros!$E$7),Parâmetros!$E$7,0))/(1-$H79-Parâmetros!$B$7-Parâmetros!$C$7-Parâmetros!$D$7)))</f>
        <v>741.326086956522</v>
      </c>
      <c r="J79" s="38"/>
      <c r="K79" s="39" t="n">
        <f aca="false">IF(OR($A79="",NOT(ISNUMBER($D79)),NOT(ISNUMBER($H79))),"",IF(AND(ISNUMBER($J79),$J79&gt;0),$J79,IF(ISNUMBER($I79),$I79,"")))</f>
        <v>741.326086956522</v>
      </c>
      <c r="L79" s="40" t="n">
        <f aca="false">IF(ISNUMBER($K79),$K79*$H79,"")</f>
        <v>155.67847826087</v>
      </c>
      <c r="M79" s="40" t="n">
        <f aca="false">IF(ISNUMBER($K79),$K79*Parâmetros!$B$7,"")</f>
        <v>74.1326086956522</v>
      </c>
      <c r="N79" s="40" t="n">
        <f aca="false">IF(ISNUMBER($K79),$K79*Parâmetros!$C$7,"")</f>
        <v>22.2397826086957</v>
      </c>
      <c r="O79" s="40" t="n">
        <f aca="false">IF(ISNUMBER($K79),IF(ISNUMBER(Parâmetros!$E$7),Parâmetros!$E$7,0),"")</f>
        <v>0</v>
      </c>
      <c r="P79" s="41" t="n">
        <f aca="false">IF(ISNUMBER($K79),$K79-$D79-IF(ISNUMBER($E79),$E79,0)-$L79-$M79-$N79-$O79,"")</f>
        <v>148.265217391304</v>
      </c>
      <c r="Q79" s="42" t="n">
        <f aca="false">IF(AND(ISNUMBER($K79),$K79&gt;0),$P79/$K79,"")</f>
        <v>0.2</v>
      </c>
      <c r="R79" s="43"/>
      <c r="S79" s="44" t="str">
        <f aca="false">IF(OR(NOT(ISNUMBER($R79)),$R79=0,NOT(ISNUMBER($K79))),"",$K79*(1-$R79))</f>
        <v/>
      </c>
      <c r="T79" s="45" t="str">
        <f aca="false">IF(ISNUMBER($S79),$S79*$H79,"")</f>
        <v/>
      </c>
      <c r="U79" s="45" t="str">
        <f aca="false">IF(ISNUMBER($S79),$S79*Parâmetros!$B$7,"")</f>
        <v/>
      </c>
      <c r="V79" s="45" t="str">
        <f aca="false">IF(ISNUMBER($S79),$S79*Parâmetros!$C$7,"")</f>
        <v/>
      </c>
      <c r="W79" s="44" t="str">
        <f aca="false">IF(ISNUMBER($S79),$S79-$D79-IF(ISNUMBER($E79),$E79,0)-$O79-$T79-$U79-$V79,"")</f>
        <v/>
      </c>
      <c r="X79" s="46" t="str">
        <f aca="false">IF(AND(ISNUMBER($S79),$S79&gt;0),$W79/$S79,"")</f>
        <v/>
      </c>
      <c r="Y79" s="49"/>
      <c r="Z79" s="21"/>
    </row>
    <row r="80" customFormat="false" ht="15.75" hidden="false" customHeight="true" outlineLevel="0" collapsed="false">
      <c r="A80" s="32" t="str">
        <f aca="false">IF(Produtos!$A80="","",Produtos!$A80)</f>
        <v>L4050-B</v>
      </c>
      <c r="B80" s="32" t="str">
        <f aca="false">IF(Produtos!$A80="","",Produtos!$B80)</f>
        <v>Lixeira c/Aro Basculante 40x50 62L</v>
      </c>
      <c r="C80" s="32" t="str">
        <f aca="false">IF(Produtos!$A80="","",Produtos!$C80)</f>
        <v>Lixeiras em inox</v>
      </c>
      <c r="D80" s="33" t="n">
        <f aca="false">IF(Produtos!$A80="","",IF(Produtos!$D80="","",Produtos!$D80))</f>
        <v>342.16</v>
      </c>
      <c r="E80" s="11" t="n">
        <v>0</v>
      </c>
      <c r="F80" s="34" t="n">
        <f aca="false">IF($A80="","",IF($C80="","⚠ categoria",IFERROR(INDEX(Parâmetros!$E$13:$E$22,MATCH($C80,Parâmetros!$A$13:$A$22,0)),"⚠ categoria")))</f>
        <v>0.21</v>
      </c>
      <c r="G80" s="35"/>
      <c r="H80" s="36" t="n">
        <f aca="false">IF($A80="","",IF(ISNUMBER($G80),$G80,IF(ISNUMBER($F80),$F80,"")))</f>
        <v>0.21</v>
      </c>
      <c r="I80" s="37" t="n">
        <f aca="false">IF(OR($A80="",NOT(ISNUMBER($D80)),NOT(ISNUMBER($H80))),"",IF((1-$H80-Parâmetros!$B$7-Parâmetros!$C$7-Parâmetros!$D$7)&lt;=0,"INVALIDO",($D80+IF(ISNUMBER($E80),$E80,0)+IF(ISNUMBER(Parâmetros!$E$7),Parâmetros!$E$7,0))/(1-$H80-Parâmetros!$B$7-Parâmetros!$C$7-Parâmetros!$D$7)))</f>
        <v>743.826086956522</v>
      </c>
      <c r="J80" s="38"/>
      <c r="K80" s="39" t="n">
        <f aca="false">IF(OR($A80="",NOT(ISNUMBER($D80)),NOT(ISNUMBER($H80))),"",IF(AND(ISNUMBER($J80),$J80&gt;0),$J80,IF(ISNUMBER($I80),$I80,"")))</f>
        <v>743.826086956522</v>
      </c>
      <c r="L80" s="40" t="n">
        <f aca="false">IF(ISNUMBER($K80),$K80*$H80,"")</f>
        <v>156.20347826087</v>
      </c>
      <c r="M80" s="40" t="n">
        <f aca="false">IF(ISNUMBER($K80),$K80*Parâmetros!$B$7,"")</f>
        <v>74.3826086956522</v>
      </c>
      <c r="N80" s="40" t="n">
        <f aca="false">IF(ISNUMBER($K80),$K80*Parâmetros!$C$7,"")</f>
        <v>22.3147826086957</v>
      </c>
      <c r="O80" s="40" t="n">
        <f aca="false">IF(ISNUMBER($K80),IF(ISNUMBER(Parâmetros!$E$7),Parâmetros!$E$7,0),"")</f>
        <v>0</v>
      </c>
      <c r="P80" s="41" t="n">
        <f aca="false">IF(ISNUMBER($K80),$K80-$D80-IF(ISNUMBER($E80),$E80,0)-$L80-$M80-$N80-$O80,"")</f>
        <v>148.765217391304</v>
      </c>
      <c r="Q80" s="42" t="n">
        <f aca="false">IF(AND(ISNUMBER($K80),$K80&gt;0),$P80/$K80,"")</f>
        <v>0.2</v>
      </c>
      <c r="R80" s="43"/>
      <c r="S80" s="44" t="str">
        <f aca="false">IF(OR(NOT(ISNUMBER($R80)),$R80=0,NOT(ISNUMBER($K80))),"",$K80*(1-$R80))</f>
        <v/>
      </c>
      <c r="T80" s="45" t="str">
        <f aca="false">IF(ISNUMBER($S80),$S80*$H80,"")</f>
        <v/>
      </c>
      <c r="U80" s="45" t="str">
        <f aca="false">IF(ISNUMBER($S80),$S80*Parâmetros!$B$7,"")</f>
        <v/>
      </c>
      <c r="V80" s="45" t="str">
        <f aca="false">IF(ISNUMBER($S80),$S80*Parâmetros!$C$7,"")</f>
        <v/>
      </c>
      <c r="W80" s="44" t="str">
        <f aca="false">IF(ISNUMBER($S80),$S80-$D80-IF(ISNUMBER($E80),$E80,0)-$O80-$T80-$U80-$V80,"")</f>
        <v/>
      </c>
      <c r="X80" s="46" t="str">
        <f aca="false">IF(AND(ISNUMBER($S80),$S80&gt;0),$W80/$S80,"")</f>
        <v/>
      </c>
      <c r="Y80" s="47"/>
      <c r="Z80" s="19"/>
    </row>
    <row r="81" customFormat="false" ht="15.75" hidden="false" customHeight="true" outlineLevel="0" collapsed="false">
      <c r="A81" s="48" t="str">
        <f aca="false">IF(Produtos!$A81="","",Produtos!$A81)</f>
        <v>L4060-B</v>
      </c>
      <c r="B81" s="48" t="str">
        <f aca="false">IF(Produtos!$A81="","",Produtos!$B81)</f>
        <v>Lixeira c/Aro Basculante 40x60 75L</v>
      </c>
      <c r="C81" s="48" t="str">
        <f aca="false">IF(Produtos!$A81="","",Produtos!$C81)</f>
        <v>Lixeiras em inox</v>
      </c>
      <c r="D81" s="33" t="n">
        <f aca="false">IF(Produtos!$A81="","",IF(Produtos!$D81="","",Produtos!$D81))</f>
        <v>364.77</v>
      </c>
      <c r="E81" s="11" t="n">
        <v>0</v>
      </c>
      <c r="F81" s="34" t="n">
        <f aca="false">IF($A81="","",IF($C81="","⚠ categoria",IFERROR(INDEX(Parâmetros!$E$13:$E$22,MATCH($C81,Parâmetros!$A$13:$A$22,0)),"⚠ categoria")))</f>
        <v>0.21</v>
      </c>
      <c r="G81" s="35"/>
      <c r="H81" s="36" t="n">
        <f aca="false">IF($A81="","",IF(ISNUMBER($G81),$G81,IF(ISNUMBER($F81),$F81,"")))</f>
        <v>0.21</v>
      </c>
      <c r="I81" s="37" t="n">
        <f aca="false">IF(OR($A81="",NOT(ISNUMBER($D81)),NOT(ISNUMBER($H81))),"",IF((1-$H81-Parâmetros!$B$7-Parâmetros!$C$7-Parâmetros!$D$7)&lt;=0,"INVALIDO",($D81+IF(ISNUMBER($E81),$E81,0)+IF(ISNUMBER(Parâmetros!$E$7),Parâmetros!$E$7,0))/(1-$H81-Parâmetros!$B$7-Parâmetros!$C$7-Parâmetros!$D$7)))</f>
        <v>792.978260869565</v>
      </c>
      <c r="J81" s="38"/>
      <c r="K81" s="39" t="n">
        <f aca="false">IF(OR($A81="",NOT(ISNUMBER($D81)),NOT(ISNUMBER($H81))),"",IF(AND(ISNUMBER($J81),$J81&gt;0),$J81,IF(ISNUMBER($I81),$I81,"")))</f>
        <v>792.978260869565</v>
      </c>
      <c r="L81" s="40" t="n">
        <f aca="false">IF(ISNUMBER($K81),$K81*$H81,"")</f>
        <v>166.525434782609</v>
      </c>
      <c r="M81" s="40" t="n">
        <f aca="false">IF(ISNUMBER($K81),$K81*Parâmetros!$B$7,"")</f>
        <v>79.2978260869565</v>
      </c>
      <c r="N81" s="40" t="n">
        <f aca="false">IF(ISNUMBER($K81),$K81*Parâmetros!$C$7,"")</f>
        <v>23.789347826087</v>
      </c>
      <c r="O81" s="40" t="n">
        <f aca="false">IF(ISNUMBER($K81),IF(ISNUMBER(Parâmetros!$E$7),Parâmetros!$E$7,0),"")</f>
        <v>0</v>
      </c>
      <c r="P81" s="41" t="n">
        <f aca="false">IF(ISNUMBER($K81),$K81-$D81-IF(ISNUMBER($E81),$E81,0)-$L81-$M81-$N81-$O81,"")</f>
        <v>158.595652173913</v>
      </c>
      <c r="Q81" s="42" t="n">
        <f aca="false">IF(AND(ISNUMBER($K81),$K81&gt;0),$P81/$K81,"")</f>
        <v>0.2</v>
      </c>
      <c r="R81" s="43"/>
      <c r="S81" s="44" t="str">
        <f aca="false">IF(OR(NOT(ISNUMBER($R81)),$R81=0,NOT(ISNUMBER($K81))),"",$K81*(1-$R81))</f>
        <v/>
      </c>
      <c r="T81" s="45" t="str">
        <f aca="false">IF(ISNUMBER($S81),$S81*$H81,"")</f>
        <v/>
      </c>
      <c r="U81" s="45" t="str">
        <f aca="false">IF(ISNUMBER($S81),$S81*Parâmetros!$B$7,"")</f>
        <v/>
      </c>
      <c r="V81" s="45" t="str">
        <f aca="false">IF(ISNUMBER($S81),$S81*Parâmetros!$C$7,"")</f>
        <v/>
      </c>
      <c r="W81" s="44" t="str">
        <f aca="false">IF(ISNUMBER($S81),$S81-$D81-IF(ISNUMBER($E81),$E81,0)-$O81-$T81-$U81-$V81,"")</f>
        <v/>
      </c>
      <c r="X81" s="46" t="str">
        <f aca="false">IF(AND(ISNUMBER($S81),$S81&gt;0),$W81/$S81,"")</f>
        <v/>
      </c>
      <c r="Y81" s="49"/>
      <c r="Z81" s="21"/>
    </row>
    <row r="82" customFormat="false" ht="15.75" hidden="false" customHeight="true" outlineLevel="0" collapsed="false">
      <c r="A82" s="32" t="str">
        <f aca="false">IF(Produtos!$A82="","",Produtos!$A82)</f>
        <v>L4070-B</v>
      </c>
      <c r="B82" s="32" t="str">
        <f aca="false">IF(Produtos!$A82="","",Produtos!$B82)</f>
        <v>Lixeira c/Aro Basculante 40x70 88L</v>
      </c>
      <c r="C82" s="32" t="str">
        <f aca="false">IF(Produtos!$A82="","",Produtos!$C82)</f>
        <v>Lixeiras em inox</v>
      </c>
      <c r="D82" s="33" t="n">
        <f aca="false">IF(Produtos!$A82="","",IF(Produtos!$D82="","",Produtos!$D82))</f>
        <v>366.6</v>
      </c>
      <c r="E82" s="11" t="n">
        <v>0</v>
      </c>
      <c r="F82" s="34" t="n">
        <f aca="false">IF($A82="","",IF($C82="","⚠ categoria",IFERROR(INDEX(Parâmetros!$E$13:$E$22,MATCH($C82,Parâmetros!$A$13:$A$22,0)),"⚠ categoria")))</f>
        <v>0.21</v>
      </c>
      <c r="G82" s="35"/>
      <c r="H82" s="36" t="n">
        <f aca="false">IF($A82="","",IF(ISNUMBER($G82),$G82,IF(ISNUMBER($F82),$F82,"")))</f>
        <v>0.21</v>
      </c>
      <c r="I82" s="37" t="n">
        <f aca="false">IF(OR($A82="",NOT(ISNUMBER($D82)),NOT(ISNUMBER($H82))),"",IF((1-$H82-Parâmetros!$B$7-Parâmetros!$C$7-Parâmetros!$D$7)&lt;=0,"INVALIDO",($D82+IF(ISNUMBER($E82),$E82,0)+IF(ISNUMBER(Parâmetros!$E$7),Parâmetros!$E$7,0))/(1-$H82-Parâmetros!$B$7-Parâmetros!$C$7-Parâmetros!$D$7)))</f>
        <v>796.956521739131</v>
      </c>
      <c r="J82" s="38"/>
      <c r="K82" s="39" t="n">
        <f aca="false">IF(OR($A82="",NOT(ISNUMBER($D82)),NOT(ISNUMBER($H82))),"",IF(AND(ISNUMBER($J82),$J82&gt;0),$J82,IF(ISNUMBER($I82),$I82,"")))</f>
        <v>796.956521739131</v>
      </c>
      <c r="L82" s="40" t="n">
        <f aca="false">IF(ISNUMBER($K82),$K82*$H82,"")</f>
        <v>167.360869565217</v>
      </c>
      <c r="M82" s="40" t="n">
        <f aca="false">IF(ISNUMBER($K82),$K82*Parâmetros!$B$7,"")</f>
        <v>79.6956521739131</v>
      </c>
      <c r="N82" s="40" t="n">
        <f aca="false">IF(ISNUMBER($K82),$K82*Parâmetros!$C$7,"")</f>
        <v>23.9086956521739</v>
      </c>
      <c r="O82" s="40" t="n">
        <f aca="false">IF(ISNUMBER($K82),IF(ISNUMBER(Parâmetros!$E$7),Parâmetros!$E$7,0),"")</f>
        <v>0</v>
      </c>
      <c r="P82" s="41" t="n">
        <f aca="false">IF(ISNUMBER($K82),$K82-$D82-IF(ISNUMBER($E82),$E82,0)-$L82-$M82-$N82-$O82,"")</f>
        <v>159.391304347826</v>
      </c>
      <c r="Q82" s="42" t="n">
        <f aca="false">IF(AND(ISNUMBER($K82),$K82&gt;0),$P82/$K82,"")</f>
        <v>0.2</v>
      </c>
      <c r="R82" s="43"/>
      <c r="S82" s="44" t="str">
        <f aca="false">IF(OR(NOT(ISNUMBER($R82)),$R82=0,NOT(ISNUMBER($K82))),"",$K82*(1-$R82))</f>
        <v/>
      </c>
      <c r="T82" s="45" t="str">
        <f aca="false">IF(ISNUMBER($S82),$S82*$H82,"")</f>
        <v/>
      </c>
      <c r="U82" s="45" t="str">
        <f aca="false">IF(ISNUMBER($S82),$S82*Parâmetros!$B$7,"")</f>
        <v/>
      </c>
      <c r="V82" s="45" t="str">
        <f aca="false">IF(ISNUMBER($S82),$S82*Parâmetros!$C$7,"")</f>
        <v/>
      </c>
      <c r="W82" s="44" t="str">
        <f aca="false">IF(ISNUMBER($S82),$S82-$D82-IF(ISNUMBER($E82),$E82,0)-$O82-$T82-$U82-$V82,"")</f>
        <v/>
      </c>
      <c r="X82" s="46" t="str">
        <f aca="false">IF(AND(ISNUMBER($S82),$S82&gt;0),$W82/$S82,"")</f>
        <v/>
      </c>
      <c r="Y82" s="47"/>
      <c r="Z82" s="19"/>
    </row>
    <row r="83" customFormat="false" ht="15.75" hidden="false" customHeight="true" outlineLevel="0" collapsed="false">
      <c r="A83" s="48" t="str">
        <f aca="false">IF(Produtos!$A83="","",Produtos!$A83)</f>
        <v>L4075-B</v>
      </c>
      <c r="B83" s="48" t="str">
        <f aca="false">IF(Produtos!$A83="","",Produtos!$B83)</f>
        <v>Lixeira c/Aro Basculante 40x75 95L</v>
      </c>
      <c r="C83" s="48" t="str">
        <f aca="false">IF(Produtos!$A83="","",Produtos!$C83)</f>
        <v>Lixeiras em inox</v>
      </c>
      <c r="D83" s="33" t="n">
        <f aca="false">IF(Produtos!$A83="","",IF(Produtos!$D83="","",Produtos!$D83))</f>
        <v>428.19</v>
      </c>
      <c r="E83" s="11" t="n">
        <v>0</v>
      </c>
      <c r="F83" s="34" t="n">
        <f aca="false">IF($A83="","",IF($C83="","⚠ categoria",IFERROR(INDEX(Parâmetros!$E$13:$E$22,MATCH($C83,Parâmetros!$A$13:$A$22,0)),"⚠ categoria")))</f>
        <v>0.21</v>
      </c>
      <c r="G83" s="35"/>
      <c r="H83" s="36" t="n">
        <f aca="false">IF($A83="","",IF(ISNUMBER($G83),$G83,IF(ISNUMBER($F83),$F83,"")))</f>
        <v>0.21</v>
      </c>
      <c r="I83" s="37" t="n">
        <f aca="false">IF(OR($A83="",NOT(ISNUMBER($D83)),NOT(ISNUMBER($H83))),"",IF((1-$H83-Parâmetros!$B$7-Parâmetros!$C$7-Parâmetros!$D$7)&lt;=0,"INVALIDO",($D83+IF(ISNUMBER($E83),$E83,0)+IF(ISNUMBER(Parâmetros!$E$7),Parâmetros!$E$7,0))/(1-$H83-Parâmetros!$B$7-Parâmetros!$C$7-Parâmetros!$D$7)))</f>
        <v>930.847826086957</v>
      </c>
      <c r="J83" s="38"/>
      <c r="K83" s="39" t="n">
        <f aca="false">IF(OR($A83="",NOT(ISNUMBER($D83)),NOT(ISNUMBER($H83))),"",IF(AND(ISNUMBER($J83),$J83&gt;0),$J83,IF(ISNUMBER($I83),$I83,"")))</f>
        <v>930.847826086957</v>
      </c>
      <c r="L83" s="40" t="n">
        <f aca="false">IF(ISNUMBER($K83),$K83*$H83,"")</f>
        <v>195.478043478261</v>
      </c>
      <c r="M83" s="40" t="n">
        <f aca="false">IF(ISNUMBER($K83),$K83*Parâmetros!$B$7,"")</f>
        <v>93.0847826086957</v>
      </c>
      <c r="N83" s="40" t="n">
        <f aca="false">IF(ISNUMBER($K83),$K83*Parâmetros!$C$7,"")</f>
        <v>27.9254347826087</v>
      </c>
      <c r="O83" s="40" t="n">
        <f aca="false">IF(ISNUMBER($K83),IF(ISNUMBER(Parâmetros!$E$7),Parâmetros!$E$7,0),"")</f>
        <v>0</v>
      </c>
      <c r="P83" s="41" t="n">
        <f aca="false">IF(ISNUMBER($K83),$K83-$D83-IF(ISNUMBER($E83),$E83,0)-$L83-$M83-$N83-$O83,"")</f>
        <v>186.169565217391</v>
      </c>
      <c r="Q83" s="42" t="n">
        <f aca="false">IF(AND(ISNUMBER($K83),$K83&gt;0),$P83/$K83,"")</f>
        <v>0.2</v>
      </c>
      <c r="R83" s="43"/>
      <c r="S83" s="44" t="str">
        <f aca="false">IF(OR(NOT(ISNUMBER($R83)),$R83=0,NOT(ISNUMBER($K83))),"",$K83*(1-$R83))</f>
        <v/>
      </c>
      <c r="T83" s="45" t="str">
        <f aca="false">IF(ISNUMBER($S83),$S83*$H83,"")</f>
        <v/>
      </c>
      <c r="U83" s="45" t="str">
        <f aca="false">IF(ISNUMBER($S83),$S83*Parâmetros!$B$7,"")</f>
        <v/>
      </c>
      <c r="V83" s="45" t="str">
        <f aca="false">IF(ISNUMBER($S83),$S83*Parâmetros!$C$7,"")</f>
        <v/>
      </c>
      <c r="W83" s="44" t="str">
        <f aca="false">IF(ISNUMBER($S83),$S83-$D83-IF(ISNUMBER($E83),$E83,0)-$O83-$T83-$U83-$V83,"")</f>
        <v/>
      </c>
      <c r="X83" s="46" t="str">
        <f aca="false">IF(AND(ISNUMBER($S83),$S83&gt;0),$W83/$S83,"")</f>
        <v/>
      </c>
      <c r="Y83" s="49"/>
      <c r="Z83" s="21"/>
    </row>
    <row r="84" customFormat="false" ht="15.75" hidden="false" customHeight="true" outlineLevel="0" collapsed="false">
      <c r="A84" s="32" t="str">
        <f aca="false">IF(Produtos!$A84="","",Produtos!$A84)</f>
        <v>L4080-B</v>
      </c>
      <c r="B84" s="32" t="str">
        <f aca="false">IF(Produtos!$A84="","",Produtos!$B84)</f>
        <v>Lixeira c/Aro Basculante 40x80 100L</v>
      </c>
      <c r="C84" s="32" t="str">
        <f aca="false">IF(Produtos!$A84="","",Produtos!$C84)</f>
        <v>Lixeiras em inox</v>
      </c>
      <c r="D84" s="33" t="n">
        <f aca="false">IF(Produtos!$A84="","",IF(Produtos!$D84="","",Produtos!$D84))</f>
        <v>428.19</v>
      </c>
      <c r="E84" s="11" t="n">
        <v>0</v>
      </c>
      <c r="F84" s="34" t="n">
        <f aca="false">IF($A84="","",IF($C84="","⚠ categoria",IFERROR(INDEX(Parâmetros!$E$13:$E$22,MATCH($C84,Parâmetros!$A$13:$A$22,0)),"⚠ categoria")))</f>
        <v>0.21</v>
      </c>
      <c r="G84" s="35"/>
      <c r="H84" s="36" t="n">
        <f aca="false">IF($A84="","",IF(ISNUMBER($G84),$G84,IF(ISNUMBER($F84),$F84,"")))</f>
        <v>0.21</v>
      </c>
      <c r="I84" s="37" t="n">
        <f aca="false">IF(OR($A84="",NOT(ISNUMBER($D84)),NOT(ISNUMBER($H84))),"",IF((1-$H84-Parâmetros!$B$7-Parâmetros!$C$7-Parâmetros!$D$7)&lt;=0,"INVALIDO",($D84+IF(ISNUMBER($E84),$E84,0)+IF(ISNUMBER(Parâmetros!$E$7),Parâmetros!$E$7,0))/(1-$H84-Parâmetros!$B$7-Parâmetros!$C$7-Parâmetros!$D$7)))</f>
        <v>930.847826086957</v>
      </c>
      <c r="J84" s="38"/>
      <c r="K84" s="39" t="n">
        <f aca="false">IF(OR($A84="",NOT(ISNUMBER($D84)),NOT(ISNUMBER($H84))),"",IF(AND(ISNUMBER($J84),$J84&gt;0),$J84,IF(ISNUMBER($I84),$I84,"")))</f>
        <v>930.847826086957</v>
      </c>
      <c r="L84" s="40" t="n">
        <f aca="false">IF(ISNUMBER($K84),$K84*$H84,"")</f>
        <v>195.478043478261</v>
      </c>
      <c r="M84" s="40" t="n">
        <f aca="false">IF(ISNUMBER($K84),$K84*Parâmetros!$B$7,"")</f>
        <v>93.0847826086957</v>
      </c>
      <c r="N84" s="40" t="n">
        <f aca="false">IF(ISNUMBER($K84),$K84*Parâmetros!$C$7,"")</f>
        <v>27.9254347826087</v>
      </c>
      <c r="O84" s="40" t="n">
        <f aca="false">IF(ISNUMBER($K84),IF(ISNUMBER(Parâmetros!$E$7),Parâmetros!$E$7,0),"")</f>
        <v>0</v>
      </c>
      <c r="P84" s="41" t="n">
        <f aca="false">IF(ISNUMBER($K84),$K84-$D84-IF(ISNUMBER($E84),$E84,0)-$L84-$M84-$N84-$O84,"")</f>
        <v>186.169565217391</v>
      </c>
      <c r="Q84" s="42" t="n">
        <f aca="false">IF(AND(ISNUMBER($K84),$K84&gt;0),$P84/$K84,"")</f>
        <v>0.2</v>
      </c>
      <c r="R84" s="43"/>
      <c r="S84" s="44" t="str">
        <f aca="false">IF(OR(NOT(ISNUMBER($R84)),$R84=0,NOT(ISNUMBER($K84))),"",$K84*(1-$R84))</f>
        <v/>
      </c>
      <c r="T84" s="45" t="str">
        <f aca="false">IF(ISNUMBER($S84),$S84*$H84,"")</f>
        <v/>
      </c>
      <c r="U84" s="45" t="str">
        <f aca="false">IF(ISNUMBER($S84),$S84*Parâmetros!$B$7,"")</f>
        <v/>
      </c>
      <c r="V84" s="45" t="str">
        <f aca="false">IF(ISNUMBER($S84),$S84*Parâmetros!$C$7,"")</f>
        <v/>
      </c>
      <c r="W84" s="44" t="str">
        <f aca="false">IF(ISNUMBER($S84),$S84-$D84-IF(ISNUMBER($E84),$E84,0)-$O84-$T84-$U84-$V84,"")</f>
        <v/>
      </c>
      <c r="X84" s="46" t="str">
        <f aca="false">IF(AND(ISNUMBER($S84),$S84&gt;0),$W84/$S84,"")</f>
        <v/>
      </c>
      <c r="Y84" s="47"/>
      <c r="Z84" s="19"/>
    </row>
    <row r="85" customFormat="false" ht="15.75" hidden="false" customHeight="true" outlineLevel="0" collapsed="false">
      <c r="A85" s="48" t="str">
        <f aca="false">IF(Produtos!$A85="","",Produtos!$A85)</f>
        <v>L4090-B</v>
      </c>
      <c r="B85" s="48" t="str">
        <f aca="false">IF(Produtos!$A85="","",Produtos!$B85)</f>
        <v>Lixeira c/Aro Basculante 40x90 120L</v>
      </c>
      <c r="C85" s="48" t="str">
        <f aca="false">IF(Produtos!$A85="","",Produtos!$C85)</f>
        <v>Lixeiras em inox</v>
      </c>
      <c r="D85" s="33" t="n">
        <f aca="false">IF(Produtos!$A85="","",IF(Produtos!$D85="","",Produtos!$D85))</f>
        <v>468.32</v>
      </c>
      <c r="E85" s="11" t="n">
        <v>0</v>
      </c>
      <c r="F85" s="34" t="n">
        <f aca="false">IF($A85="","",IF($C85="","⚠ categoria",IFERROR(INDEX(Parâmetros!$E$13:$E$22,MATCH($C85,Parâmetros!$A$13:$A$22,0)),"⚠ categoria")))</f>
        <v>0.21</v>
      </c>
      <c r="G85" s="35"/>
      <c r="H85" s="36" t="n">
        <f aca="false">IF($A85="","",IF(ISNUMBER($G85),$G85,IF(ISNUMBER($F85),$F85,"")))</f>
        <v>0.21</v>
      </c>
      <c r="I85" s="37" t="n">
        <f aca="false">IF(OR($A85="",NOT(ISNUMBER($D85)),NOT(ISNUMBER($H85))),"",IF((1-$H85-Parâmetros!$B$7-Parâmetros!$C$7-Parâmetros!$D$7)&lt;=0,"INVALIDO",($D85+IF(ISNUMBER($E85),$E85,0)+IF(ISNUMBER(Parâmetros!$E$7),Parâmetros!$E$7,0))/(1-$H85-Parâmetros!$B$7-Parâmetros!$C$7-Parâmetros!$D$7)))</f>
        <v>1018.08695652174</v>
      </c>
      <c r="J85" s="38"/>
      <c r="K85" s="39" t="n">
        <f aca="false">IF(OR($A85="",NOT(ISNUMBER($D85)),NOT(ISNUMBER($H85))),"",IF(AND(ISNUMBER($J85),$J85&gt;0),$J85,IF(ISNUMBER($I85),$I85,"")))</f>
        <v>1018.08695652174</v>
      </c>
      <c r="L85" s="40" t="n">
        <f aca="false">IF(ISNUMBER($K85),$K85*$H85,"")</f>
        <v>213.798260869565</v>
      </c>
      <c r="M85" s="40" t="n">
        <f aca="false">IF(ISNUMBER($K85),$K85*Parâmetros!$B$7,"")</f>
        <v>101.808695652174</v>
      </c>
      <c r="N85" s="40" t="n">
        <f aca="false">IF(ISNUMBER($K85),$K85*Parâmetros!$C$7,"")</f>
        <v>30.5426086956522</v>
      </c>
      <c r="O85" s="40" t="n">
        <f aca="false">IF(ISNUMBER($K85),IF(ISNUMBER(Parâmetros!$E$7),Parâmetros!$E$7,0),"")</f>
        <v>0</v>
      </c>
      <c r="P85" s="41" t="n">
        <f aca="false">IF(ISNUMBER($K85),$K85-$D85-IF(ISNUMBER($E85),$E85,0)-$L85-$M85-$N85-$O85,"")</f>
        <v>203.617391304348</v>
      </c>
      <c r="Q85" s="42" t="n">
        <f aca="false">IF(AND(ISNUMBER($K85),$K85&gt;0),$P85/$K85,"")</f>
        <v>0.2</v>
      </c>
      <c r="R85" s="43"/>
      <c r="S85" s="44" t="str">
        <f aca="false">IF(OR(NOT(ISNUMBER($R85)),$R85=0,NOT(ISNUMBER($K85))),"",$K85*(1-$R85))</f>
        <v/>
      </c>
      <c r="T85" s="45" t="str">
        <f aca="false">IF(ISNUMBER($S85),$S85*$H85,"")</f>
        <v/>
      </c>
      <c r="U85" s="45" t="str">
        <f aca="false">IF(ISNUMBER($S85),$S85*Parâmetros!$B$7,"")</f>
        <v/>
      </c>
      <c r="V85" s="45" t="str">
        <f aca="false">IF(ISNUMBER($S85),$S85*Parâmetros!$C$7,"")</f>
        <v/>
      </c>
      <c r="W85" s="44" t="str">
        <f aca="false">IF(ISNUMBER($S85),$S85-$D85-IF(ISNUMBER($E85),$E85,0)-$O85-$T85-$U85-$V85,"")</f>
        <v/>
      </c>
      <c r="X85" s="46" t="str">
        <f aca="false">IF(AND(ISNUMBER($S85),$S85&gt;0),$W85/$S85,"")</f>
        <v/>
      </c>
      <c r="Y85" s="49"/>
      <c r="Z85" s="21"/>
    </row>
    <row r="86" customFormat="false" ht="15.75" hidden="false" customHeight="true" outlineLevel="0" collapsed="false">
      <c r="A86" s="32" t="str">
        <f aca="false">IF(Produtos!$A86="","",Produtos!$A86)</f>
        <v>P1618</v>
      </c>
      <c r="B86" s="32" t="str">
        <f aca="false">IF(Produtos!$A86="","",Produtos!$B86)</f>
        <v>Lixeira c/Tampa Pedal 16x18 03L</v>
      </c>
      <c r="C86" s="32" t="str">
        <f aca="false">IF(Produtos!$A86="","",Produtos!$C86)</f>
        <v>Lixeiras com pedal</v>
      </c>
      <c r="D86" s="33" t="n">
        <f aca="false">IF(Produtos!$A86="","",IF(Produtos!$D86="","",Produtos!$D86))</f>
        <v>78.15</v>
      </c>
      <c r="E86" s="11" t="n">
        <v>0</v>
      </c>
      <c r="F86" s="34" t="n">
        <f aca="false">IF($A86="","",IF($C86="","⚠ categoria",IFERROR(INDEX(Parâmetros!$E$13:$E$22,MATCH($C86,Parâmetros!$A$13:$A$22,0)),"⚠ categoria")))</f>
        <v>0.21</v>
      </c>
      <c r="G86" s="35"/>
      <c r="H86" s="36" t="n">
        <f aca="false">IF($A86="","",IF(ISNUMBER($G86),$G86,IF(ISNUMBER($F86),$F86,"")))</f>
        <v>0.21</v>
      </c>
      <c r="I86" s="37" t="n">
        <f aca="false">IF(OR($A86="",NOT(ISNUMBER($D86)),NOT(ISNUMBER($H86))),"",IF((1-$H86-Parâmetros!$B$7-Parâmetros!$C$7-Parâmetros!$D$7)&lt;=0,"INVALIDO",($D86+IF(ISNUMBER($E86),$E86,0)+IF(ISNUMBER(Parâmetros!$E$7),Parâmetros!$E$7,0))/(1-$H86-Parâmetros!$B$7-Parâmetros!$C$7-Parâmetros!$D$7)))</f>
        <v>169.891304347826</v>
      </c>
      <c r="J86" s="38"/>
      <c r="K86" s="39" t="n">
        <f aca="false">IF(OR($A86="",NOT(ISNUMBER($D86)),NOT(ISNUMBER($H86))),"",IF(AND(ISNUMBER($J86),$J86&gt;0),$J86,IF(ISNUMBER($I86),$I86,"")))</f>
        <v>169.891304347826</v>
      </c>
      <c r="L86" s="40" t="n">
        <f aca="false">IF(ISNUMBER($K86),$K86*$H86,"")</f>
        <v>35.6771739130435</v>
      </c>
      <c r="M86" s="40" t="n">
        <f aca="false">IF(ISNUMBER($K86),$K86*Parâmetros!$B$7,"")</f>
        <v>16.9891304347826</v>
      </c>
      <c r="N86" s="40" t="n">
        <f aca="false">IF(ISNUMBER($K86),$K86*Parâmetros!$C$7,"")</f>
        <v>5.09673913043478</v>
      </c>
      <c r="O86" s="40" t="n">
        <f aca="false">IF(ISNUMBER($K86),IF(ISNUMBER(Parâmetros!$E$7),Parâmetros!$E$7,0),"")</f>
        <v>0</v>
      </c>
      <c r="P86" s="41" t="n">
        <f aca="false">IF(ISNUMBER($K86),$K86-$D86-IF(ISNUMBER($E86),$E86,0)-$L86-$M86-$N86-$O86,"")</f>
        <v>33.9782608695652</v>
      </c>
      <c r="Q86" s="42" t="n">
        <f aca="false">IF(AND(ISNUMBER($K86),$K86&gt;0),$P86/$K86,"")</f>
        <v>0.2</v>
      </c>
      <c r="R86" s="43"/>
      <c r="S86" s="44" t="str">
        <f aca="false">IF(OR(NOT(ISNUMBER($R86)),$R86=0,NOT(ISNUMBER($K86))),"",$K86*(1-$R86))</f>
        <v/>
      </c>
      <c r="T86" s="45" t="str">
        <f aca="false">IF(ISNUMBER($S86),$S86*$H86,"")</f>
        <v/>
      </c>
      <c r="U86" s="45" t="str">
        <f aca="false">IF(ISNUMBER($S86),$S86*Parâmetros!$B$7,"")</f>
        <v/>
      </c>
      <c r="V86" s="45" t="str">
        <f aca="false">IF(ISNUMBER($S86),$S86*Parâmetros!$C$7,"")</f>
        <v/>
      </c>
      <c r="W86" s="44" t="str">
        <f aca="false">IF(ISNUMBER($S86),$S86-$D86-IF(ISNUMBER($E86),$E86,0)-$O86-$T86-$U86-$V86,"")</f>
        <v/>
      </c>
      <c r="X86" s="46" t="str">
        <f aca="false">IF(AND(ISNUMBER($S86),$S86&gt;0),$W86/$S86,"")</f>
        <v/>
      </c>
      <c r="Y86" s="47"/>
      <c r="Z86" s="19"/>
    </row>
    <row r="87" customFormat="false" ht="15.75" hidden="false" customHeight="true" outlineLevel="0" collapsed="false">
      <c r="A87" s="48" t="str">
        <f aca="false">IF(Produtos!$A87="","",Produtos!$A87)</f>
        <v>P1623</v>
      </c>
      <c r="B87" s="48" t="str">
        <f aca="false">IF(Produtos!$A87="","",Produtos!$B87)</f>
        <v>Lixeira c/Tampa Pedal 16x23 05L</v>
      </c>
      <c r="C87" s="48" t="str">
        <f aca="false">IF(Produtos!$A87="","",Produtos!$C87)</f>
        <v>Lixeiras com pedal</v>
      </c>
      <c r="D87" s="33" t="n">
        <f aca="false">IF(Produtos!$A87="","",IF(Produtos!$D87="","",Produtos!$D87))</f>
        <v>81.62</v>
      </c>
      <c r="E87" s="11" t="n">
        <v>0</v>
      </c>
      <c r="F87" s="34" t="n">
        <f aca="false">IF($A87="","",IF($C87="","⚠ categoria",IFERROR(INDEX(Parâmetros!$E$13:$E$22,MATCH($C87,Parâmetros!$A$13:$A$22,0)),"⚠ categoria")))</f>
        <v>0.21</v>
      </c>
      <c r="G87" s="35"/>
      <c r="H87" s="36" t="n">
        <f aca="false">IF($A87="","",IF(ISNUMBER($G87),$G87,IF(ISNUMBER($F87),$F87,"")))</f>
        <v>0.21</v>
      </c>
      <c r="I87" s="37" t="n">
        <f aca="false">IF(OR($A87="",NOT(ISNUMBER($D87)),NOT(ISNUMBER($H87))),"",IF((1-$H87-Parâmetros!$B$7-Parâmetros!$C$7-Parâmetros!$D$7)&lt;=0,"INVALIDO",($D87+IF(ISNUMBER($E87),$E87,0)+IF(ISNUMBER(Parâmetros!$E$7),Parâmetros!$E$7,0))/(1-$H87-Parâmetros!$B$7-Parâmetros!$C$7-Parâmetros!$D$7)))</f>
        <v>177.434782608696</v>
      </c>
      <c r="J87" s="38"/>
      <c r="K87" s="39" t="n">
        <f aca="false">IF(OR($A87="",NOT(ISNUMBER($D87)),NOT(ISNUMBER($H87))),"",IF(AND(ISNUMBER($J87),$J87&gt;0),$J87,IF(ISNUMBER($I87),$I87,"")))</f>
        <v>177.434782608696</v>
      </c>
      <c r="L87" s="40" t="n">
        <f aca="false">IF(ISNUMBER($K87),$K87*$H87,"")</f>
        <v>37.2613043478261</v>
      </c>
      <c r="M87" s="40" t="n">
        <f aca="false">IF(ISNUMBER($K87),$K87*Parâmetros!$B$7,"")</f>
        <v>17.7434782608696</v>
      </c>
      <c r="N87" s="40" t="n">
        <f aca="false">IF(ISNUMBER($K87),$K87*Parâmetros!$C$7,"")</f>
        <v>5.32304347826087</v>
      </c>
      <c r="O87" s="40" t="n">
        <f aca="false">IF(ISNUMBER($K87),IF(ISNUMBER(Parâmetros!$E$7),Parâmetros!$E$7,0),"")</f>
        <v>0</v>
      </c>
      <c r="P87" s="41" t="n">
        <f aca="false">IF(ISNUMBER($K87),$K87-$D87-IF(ISNUMBER($E87),$E87,0)-$L87-$M87-$N87-$O87,"")</f>
        <v>35.4869565217391</v>
      </c>
      <c r="Q87" s="42" t="n">
        <f aca="false">IF(AND(ISNUMBER($K87),$K87&gt;0),$P87/$K87,"")</f>
        <v>0.2</v>
      </c>
      <c r="R87" s="43"/>
      <c r="S87" s="44" t="str">
        <f aca="false">IF(OR(NOT(ISNUMBER($R87)),$R87=0,NOT(ISNUMBER($K87))),"",$K87*(1-$R87))</f>
        <v/>
      </c>
      <c r="T87" s="45" t="str">
        <f aca="false">IF(ISNUMBER($S87),$S87*$H87,"")</f>
        <v/>
      </c>
      <c r="U87" s="45" t="str">
        <f aca="false">IF(ISNUMBER($S87),$S87*Parâmetros!$B$7,"")</f>
        <v/>
      </c>
      <c r="V87" s="45" t="str">
        <f aca="false">IF(ISNUMBER($S87),$S87*Parâmetros!$C$7,"")</f>
        <v/>
      </c>
      <c r="W87" s="44" t="str">
        <f aca="false">IF(ISNUMBER($S87),$S87-$D87-IF(ISNUMBER($E87),$E87,0)-$O87-$T87-$U87-$V87,"")</f>
        <v/>
      </c>
      <c r="X87" s="46" t="str">
        <f aca="false">IF(AND(ISNUMBER($S87),$S87&gt;0),$W87/$S87,"")</f>
        <v/>
      </c>
      <c r="Y87" s="49"/>
      <c r="Z87" s="21"/>
    </row>
    <row r="88" customFormat="false" ht="15.75" hidden="false" customHeight="true" outlineLevel="0" collapsed="false">
      <c r="A88" s="32" t="str">
        <f aca="false">IF(Produtos!$A88="","",Produtos!$A88)</f>
        <v>P2025</v>
      </c>
      <c r="B88" s="32" t="str">
        <f aca="false">IF(Produtos!$A88="","",Produtos!$B88)</f>
        <v>Lixeira c/Tampa Pedal 20x25 07L</v>
      </c>
      <c r="C88" s="32" t="str">
        <f aca="false">IF(Produtos!$A88="","",Produtos!$C88)</f>
        <v>Lixeiras com pedal</v>
      </c>
      <c r="D88" s="33" t="n">
        <f aca="false">IF(Produtos!$A88="","",IF(Produtos!$D88="","",Produtos!$D88))</f>
        <v>99.57</v>
      </c>
      <c r="E88" s="11" t="n">
        <v>0</v>
      </c>
      <c r="F88" s="34" t="n">
        <f aca="false">IF($A88="","",IF($C88="","⚠ categoria",IFERROR(INDEX(Parâmetros!$E$13:$E$22,MATCH($C88,Parâmetros!$A$13:$A$22,0)),"⚠ categoria")))</f>
        <v>0.21</v>
      </c>
      <c r="G88" s="35"/>
      <c r="H88" s="36" t="n">
        <f aca="false">IF($A88="","",IF(ISNUMBER($G88),$G88,IF(ISNUMBER($F88),$F88,"")))</f>
        <v>0.21</v>
      </c>
      <c r="I88" s="37" t="n">
        <f aca="false">IF(OR($A88="",NOT(ISNUMBER($D88)),NOT(ISNUMBER($H88))),"",IF((1-$H88-Parâmetros!$B$7-Parâmetros!$C$7-Parâmetros!$D$7)&lt;=0,"INVALIDO",($D88+IF(ISNUMBER($E88),$E88,0)+IF(ISNUMBER(Parâmetros!$E$7),Parâmetros!$E$7,0))/(1-$H88-Parâmetros!$B$7-Parâmetros!$C$7-Parâmetros!$D$7)))</f>
        <v>216.45652173913</v>
      </c>
      <c r="J88" s="38"/>
      <c r="K88" s="39" t="n">
        <f aca="false">IF(OR($A88="",NOT(ISNUMBER($D88)),NOT(ISNUMBER($H88))),"",IF(AND(ISNUMBER($J88),$J88&gt;0),$J88,IF(ISNUMBER($I88),$I88,"")))</f>
        <v>216.45652173913</v>
      </c>
      <c r="L88" s="40" t="n">
        <f aca="false">IF(ISNUMBER($K88),$K88*$H88,"")</f>
        <v>45.4558695652174</v>
      </c>
      <c r="M88" s="40" t="n">
        <f aca="false">IF(ISNUMBER($K88),$K88*Parâmetros!$B$7,"")</f>
        <v>21.645652173913</v>
      </c>
      <c r="N88" s="40" t="n">
        <f aca="false">IF(ISNUMBER($K88),$K88*Parâmetros!$C$7,"")</f>
        <v>6.49369565217391</v>
      </c>
      <c r="O88" s="40" t="n">
        <f aca="false">IF(ISNUMBER($K88),IF(ISNUMBER(Parâmetros!$E$7),Parâmetros!$E$7,0),"")</f>
        <v>0</v>
      </c>
      <c r="P88" s="41" t="n">
        <f aca="false">IF(ISNUMBER($K88),$K88-$D88-IF(ISNUMBER($E88),$E88,0)-$L88-$M88-$N88-$O88,"")</f>
        <v>43.2913043478261</v>
      </c>
      <c r="Q88" s="42" t="n">
        <f aca="false">IF(AND(ISNUMBER($K88),$K88&gt;0),$P88/$K88,"")</f>
        <v>0.2</v>
      </c>
      <c r="R88" s="43"/>
      <c r="S88" s="44" t="str">
        <f aca="false">IF(OR(NOT(ISNUMBER($R88)),$R88=0,NOT(ISNUMBER($K88))),"",$K88*(1-$R88))</f>
        <v/>
      </c>
      <c r="T88" s="45" t="str">
        <f aca="false">IF(ISNUMBER($S88),$S88*$H88,"")</f>
        <v/>
      </c>
      <c r="U88" s="45" t="str">
        <f aca="false">IF(ISNUMBER($S88),$S88*Parâmetros!$B$7,"")</f>
        <v/>
      </c>
      <c r="V88" s="45" t="str">
        <f aca="false">IF(ISNUMBER($S88),$S88*Parâmetros!$C$7,"")</f>
        <v/>
      </c>
      <c r="W88" s="44" t="str">
        <f aca="false">IF(ISNUMBER($S88),$S88-$D88-IF(ISNUMBER($E88),$E88,0)-$O88-$T88-$U88-$V88,"")</f>
        <v/>
      </c>
      <c r="X88" s="46" t="str">
        <f aca="false">IF(AND(ISNUMBER($S88),$S88&gt;0),$W88/$S88,"")</f>
        <v/>
      </c>
      <c r="Y88" s="47"/>
      <c r="Z88" s="19"/>
    </row>
    <row r="89" customFormat="false" ht="15.75" hidden="false" customHeight="true" outlineLevel="0" collapsed="false">
      <c r="A89" s="48" t="str">
        <f aca="false">IF(Produtos!$A89="","",Produtos!$A89)</f>
        <v>P2030</v>
      </c>
      <c r="B89" s="48" t="str">
        <f aca="false">IF(Produtos!$A89="","",Produtos!$B89)</f>
        <v>Lixeira c/Tampa Pedal 20x30 10L</v>
      </c>
      <c r="C89" s="48" t="str">
        <f aca="false">IF(Produtos!$A89="","",Produtos!$C89)</f>
        <v>Lixeiras com pedal</v>
      </c>
      <c r="D89" s="33" t="n">
        <f aca="false">IF(Produtos!$A89="","",IF(Produtos!$D89="","",Produtos!$D89))</f>
        <v>111.27</v>
      </c>
      <c r="E89" s="11" t="n">
        <v>0</v>
      </c>
      <c r="F89" s="34" t="n">
        <f aca="false">IF($A89="","",IF($C89="","⚠ categoria",IFERROR(INDEX(Parâmetros!$E$13:$E$22,MATCH($C89,Parâmetros!$A$13:$A$22,0)),"⚠ categoria")))</f>
        <v>0.21</v>
      </c>
      <c r="G89" s="35"/>
      <c r="H89" s="36" t="n">
        <f aca="false">IF($A89="","",IF(ISNUMBER($G89),$G89,IF(ISNUMBER($F89),$F89,"")))</f>
        <v>0.21</v>
      </c>
      <c r="I89" s="37" t="n">
        <f aca="false">IF(OR($A89="",NOT(ISNUMBER($D89)),NOT(ISNUMBER($H89))),"",IF((1-$H89-Parâmetros!$B$7-Parâmetros!$C$7-Parâmetros!$D$7)&lt;=0,"INVALIDO",($D89+IF(ISNUMBER($E89),$E89,0)+IF(ISNUMBER(Parâmetros!$E$7),Parâmetros!$E$7,0))/(1-$H89-Parâmetros!$B$7-Parâmetros!$C$7-Parâmetros!$D$7)))</f>
        <v>241.891304347826</v>
      </c>
      <c r="J89" s="38"/>
      <c r="K89" s="39" t="n">
        <f aca="false">IF(OR($A89="",NOT(ISNUMBER($D89)),NOT(ISNUMBER($H89))),"",IF(AND(ISNUMBER($J89),$J89&gt;0),$J89,IF(ISNUMBER($I89),$I89,"")))</f>
        <v>241.891304347826</v>
      </c>
      <c r="L89" s="40" t="n">
        <f aca="false">IF(ISNUMBER($K89),$K89*$H89,"")</f>
        <v>50.7971739130435</v>
      </c>
      <c r="M89" s="40" t="n">
        <f aca="false">IF(ISNUMBER($K89),$K89*Parâmetros!$B$7,"")</f>
        <v>24.1891304347826</v>
      </c>
      <c r="N89" s="40" t="n">
        <f aca="false">IF(ISNUMBER($K89),$K89*Parâmetros!$C$7,"")</f>
        <v>7.25673913043478</v>
      </c>
      <c r="O89" s="40" t="n">
        <f aca="false">IF(ISNUMBER($K89),IF(ISNUMBER(Parâmetros!$E$7),Parâmetros!$E$7,0),"")</f>
        <v>0</v>
      </c>
      <c r="P89" s="41" t="n">
        <f aca="false">IF(ISNUMBER($K89),$K89-$D89-IF(ISNUMBER($E89),$E89,0)-$L89-$M89-$N89-$O89,"")</f>
        <v>48.3782608695652</v>
      </c>
      <c r="Q89" s="42" t="n">
        <f aca="false">IF(AND(ISNUMBER($K89),$K89&gt;0),$P89/$K89,"")</f>
        <v>0.2</v>
      </c>
      <c r="R89" s="43"/>
      <c r="S89" s="44" t="str">
        <f aca="false">IF(OR(NOT(ISNUMBER($R89)),$R89=0,NOT(ISNUMBER($K89))),"",$K89*(1-$R89))</f>
        <v/>
      </c>
      <c r="T89" s="45" t="str">
        <f aca="false">IF(ISNUMBER($S89),$S89*$H89,"")</f>
        <v/>
      </c>
      <c r="U89" s="45" t="str">
        <f aca="false">IF(ISNUMBER($S89),$S89*Parâmetros!$B$7,"")</f>
        <v/>
      </c>
      <c r="V89" s="45" t="str">
        <f aca="false">IF(ISNUMBER($S89),$S89*Parâmetros!$C$7,"")</f>
        <v/>
      </c>
      <c r="W89" s="44" t="str">
        <f aca="false">IF(ISNUMBER($S89),$S89-$D89-IF(ISNUMBER($E89),$E89,0)-$O89-$T89-$U89-$V89,"")</f>
        <v/>
      </c>
      <c r="X89" s="46" t="str">
        <f aca="false">IF(AND(ISNUMBER($S89),$S89&gt;0),$W89/$S89,"")</f>
        <v/>
      </c>
      <c r="Y89" s="49"/>
      <c r="Z89" s="21"/>
    </row>
    <row r="90" customFormat="false" ht="15.75" hidden="false" customHeight="true" outlineLevel="0" collapsed="false">
      <c r="A90" s="32" t="str">
        <f aca="false">IF(Produtos!$A90="","",Produtos!$A90)</f>
        <v>P2425</v>
      </c>
      <c r="B90" s="32" t="str">
        <f aca="false">IF(Produtos!$A90="","",Produtos!$B90)</f>
        <v>Lixeira c/Tampa Pedal 24x25 12L</v>
      </c>
      <c r="C90" s="32" t="str">
        <f aca="false">IF(Produtos!$A90="","",Produtos!$C90)</f>
        <v>Lixeiras com pedal</v>
      </c>
      <c r="D90" s="33" t="n">
        <f aca="false">IF(Produtos!$A90="","",IF(Produtos!$D90="","",Produtos!$D90))</f>
        <v>121.08</v>
      </c>
      <c r="E90" s="11" t="n">
        <v>0</v>
      </c>
      <c r="F90" s="34" t="n">
        <f aca="false">IF($A90="","",IF($C90="","⚠ categoria",IFERROR(INDEX(Parâmetros!$E$13:$E$22,MATCH($C90,Parâmetros!$A$13:$A$22,0)),"⚠ categoria")))</f>
        <v>0.21</v>
      </c>
      <c r="G90" s="35"/>
      <c r="H90" s="36" t="n">
        <f aca="false">IF($A90="","",IF(ISNUMBER($G90),$G90,IF(ISNUMBER($F90),$F90,"")))</f>
        <v>0.21</v>
      </c>
      <c r="I90" s="37" t="n">
        <f aca="false">IF(OR($A90="",NOT(ISNUMBER($D90)),NOT(ISNUMBER($H90))),"",IF((1-$H90-Parâmetros!$B$7-Parâmetros!$C$7-Parâmetros!$D$7)&lt;=0,"INVALIDO",($D90+IF(ISNUMBER($E90),$E90,0)+IF(ISNUMBER(Parâmetros!$E$7),Parâmetros!$E$7,0))/(1-$H90-Parâmetros!$B$7-Parâmetros!$C$7-Parâmetros!$D$7)))</f>
        <v>263.217391304348</v>
      </c>
      <c r="J90" s="38"/>
      <c r="K90" s="39" t="n">
        <f aca="false">IF(OR($A90="",NOT(ISNUMBER($D90)),NOT(ISNUMBER($H90))),"",IF(AND(ISNUMBER($J90),$J90&gt;0),$J90,IF(ISNUMBER($I90),$I90,"")))</f>
        <v>263.217391304348</v>
      </c>
      <c r="L90" s="40" t="n">
        <f aca="false">IF(ISNUMBER($K90),$K90*$H90,"")</f>
        <v>55.275652173913</v>
      </c>
      <c r="M90" s="40" t="n">
        <f aca="false">IF(ISNUMBER($K90),$K90*Parâmetros!$B$7,"")</f>
        <v>26.3217391304348</v>
      </c>
      <c r="N90" s="40" t="n">
        <f aca="false">IF(ISNUMBER($K90),$K90*Parâmetros!$C$7,"")</f>
        <v>7.89652173913043</v>
      </c>
      <c r="O90" s="40" t="n">
        <f aca="false">IF(ISNUMBER($K90),IF(ISNUMBER(Parâmetros!$E$7),Parâmetros!$E$7,0),"")</f>
        <v>0</v>
      </c>
      <c r="P90" s="41" t="n">
        <f aca="false">IF(ISNUMBER($K90),$K90-$D90-IF(ISNUMBER($E90),$E90,0)-$L90-$M90-$N90-$O90,"")</f>
        <v>52.6434782608696</v>
      </c>
      <c r="Q90" s="42" t="n">
        <f aca="false">IF(AND(ISNUMBER($K90),$K90&gt;0),$P90/$K90,"")</f>
        <v>0.2</v>
      </c>
      <c r="R90" s="43"/>
      <c r="S90" s="44" t="str">
        <f aca="false">IF(OR(NOT(ISNUMBER($R90)),$R90=0,NOT(ISNUMBER($K90))),"",$K90*(1-$R90))</f>
        <v/>
      </c>
      <c r="T90" s="45" t="str">
        <f aca="false">IF(ISNUMBER($S90),$S90*$H90,"")</f>
        <v/>
      </c>
      <c r="U90" s="45" t="str">
        <f aca="false">IF(ISNUMBER($S90),$S90*Parâmetros!$B$7,"")</f>
        <v/>
      </c>
      <c r="V90" s="45" t="str">
        <f aca="false">IF(ISNUMBER($S90),$S90*Parâmetros!$C$7,"")</f>
        <v/>
      </c>
      <c r="W90" s="44" t="str">
        <f aca="false">IF(ISNUMBER($S90),$S90-$D90-IF(ISNUMBER($E90),$E90,0)-$O90-$T90-$U90-$V90,"")</f>
        <v/>
      </c>
      <c r="X90" s="46" t="str">
        <f aca="false">IF(AND(ISNUMBER($S90),$S90&gt;0),$W90/$S90,"")</f>
        <v/>
      </c>
      <c r="Y90" s="47"/>
      <c r="Z90" s="19"/>
    </row>
    <row r="91" customFormat="false" ht="15.75" hidden="false" customHeight="true" outlineLevel="0" collapsed="false">
      <c r="A91" s="48" t="str">
        <f aca="false">IF(Produtos!$A91="","",Produtos!$A91)</f>
        <v>P2430</v>
      </c>
      <c r="B91" s="48" t="str">
        <f aca="false">IF(Produtos!$A91="","",Produtos!$B91)</f>
        <v>Lixeira c/Tampa Pedal 24x30 15L</v>
      </c>
      <c r="C91" s="48" t="str">
        <f aca="false">IF(Produtos!$A91="","",Produtos!$C91)</f>
        <v>Lixeiras com pedal</v>
      </c>
      <c r="D91" s="33" t="n">
        <f aca="false">IF(Produtos!$A91="","",IF(Produtos!$D91="","",Produtos!$D91))</f>
        <v>124.7</v>
      </c>
      <c r="E91" s="11" t="n">
        <v>0</v>
      </c>
      <c r="F91" s="34" t="n">
        <f aca="false">IF($A91="","",IF($C91="","⚠ categoria",IFERROR(INDEX(Parâmetros!$E$13:$E$22,MATCH($C91,Parâmetros!$A$13:$A$22,0)),"⚠ categoria")))</f>
        <v>0.21</v>
      </c>
      <c r="G91" s="35"/>
      <c r="H91" s="36" t="n">
        <f aca="false">IF($A91="","",IF(ISNUMBER($G91),$G91,IF(ISNUMBER($F91),$F91,"")))</f>
        <v>0.21</v>
      </c>
      <c r="I91" s="37" t="n">
        <f aca="false">IF(OR($A91="",NOT(ISNUMBER($D91)),NOT(ISNUMBER($H91))),"",IF((1-$H91-Parâmetros!$B$7-Parâmetros!$C$7-Parâmetros!$D$7)&lt;=0,"INVALIDO",($D91+IF(ISNUMBER($E91),$E91,0)+IF(ISNUMBER(Parâmetros!$E$7),Parâmetros!$E$7,0))/(1-$H91-Parâmetros!$B$7-Parâmetros!$C$7-Parâmetros!$D$7)))</f>
        <v>271.086956521739</v>
      </c>
      <c r="J91" s="38"/>
      <c r="K91" s="39" t="n">
        <f aca="false">IF(OR($A91="",NOT(ISNUMBER($D91)),NOT(ISNUMBER($H91))),"",IF(AND(ISNUMBER($J91),$J91&gt;0),$J91,IF(ISNUMBER($I91),$I91,"")))</f>
        <v>271.086956521739</v>
      </c>
      <c r="L91" s="40" t="n">
        <f aca="false">IF(ISNUMBER($K91),$K91*$H91,"")</f>
        <v>56.9282608695652</v>
      </c>
      <c r="M91" s="40" t="n">
        <f aca="false">IF(ISNUMBER($K91),$K91*Parâmetros!$B$7,"")</f>
        <v>27.1086956521739</v>
      </c>
      <c r="N91" s="40" t="n">
        <f aca="false">IF(ISNUMBER($K91),$K91*Parâmetros!$C$7,"")</f>
        <v>8.13260869565217</v>
      </c>
      <c r="O91" s="40" t="n">
        <f aca="false">IF(ISNUMBER($K91),IF(ISNUMBER(Parâmetros!$E$7),Parâmetros!$E$7,0),"")</f>
        <v>0</v>
      </c>
      <c r="P91" s="41" t="n">
        <f aca="false">IF(ISNUMBER($K91),$K91-$D91-IF(ISNUMBER($E91),$E91,0)-$L91-$M91-$N91-$O91,"")</f>
        <v>54.2173913043478</v>
      </c>
      <c r="Q91" s="42" t="n">
        <f aca="false">IF(AND(ISNUMBER($K91),$K91&gt;0),$P91/$K91,"")</f>
        <v>0.2</v>
      </c>
      <c r="R91" s="43"/>
      <c r="S91" s="44" t="str">
        <f aca="false">IF(OR(NOT(ISNUMBER($R91)),$R91=0,NOT(ISNUMBER($K91))),"",$K91*(1-$R91))</f>
        <v/>
      </c>
      <c r="T91" s="45" t="str">
        <f aca="false">IF(ISNUMBER($S91),$S91*$H91,"")</f>
        <v/>
      </c>
      <c r="U91" s="45" t="str">
        <f aca="false">IF(ISNUMBER($S91),$S91*Parâmetros!$B$7,"")</f>
        <v/>
      </c>
      <c r="V91" s="45" t="str">
        <f aca="false">IF(ISNUMBER($S91),$S91*Parâmetros!$C$7,"")</f>
        <v/>
      </c>
      <c r="W91" s="44" t="str">
        <f aca="false">IF(ISNUMBER($S91),$S91-$D91-IF(ISNUMBER($E91),$E91,0)-$O91-$T91-$U91-$V91,"")</f>
        <v/>
      </c>
      <c r="X91" s="46" t="str">
        <f aca="false">IF(AND(ISNUMBER($S91),$S91&gt;0),$W91/$S91,"")</f>
        <v/>
      </c>
      <c r="Y91" s="49"/>
      <c r="Z91" s="21"/>
    </row>
    <row r="92" customFormat="false" ht="15.75" hidden="false" customHeight="true" outlineLevel="0" collapsed="false">
      <c r="A92" s="32" t="str">
        <f aca="false">IF(Produtos!$A92="","",Produtos!$A92)</f>
        <v>P2440</v>
      </c>
      <c r="B92" s="32" t="str">
        <f aca="false">IF(Produtos!$A92="","",Produtos!$B92)</f>
        <v>Lixeira c/Tampa Pedal 24x40 20L</v>
      </c>
      <c r="C92" s="32" t="str">
        <f aca="false">IF(Produtos!$A92="","",Produtos!$C92)</f>
        <v>Lixeiras com pedal</v>
      </c>
      <c r="D92" s="33" t="n">
        <f aca="false">IF(Produtos!$A92="","",IF(Produtos!$D92="","",Produtos!$D92))</f>
        <v>140.24</v>
      </c>
      <c r="E92" s="11" t="n">
        <v>0</v>
      </c>
      <c r="F92" s="34" t="n">
        <f aca="false">IF($A92="","",IF($C92="","⚠ categoria",IFERROR(INDEX(Parâmetros!$E$13:$E$22,MATCH($C92,Parâmetros!$A$13:$A$22,0)),"⚠ categoria")))</f>
        <v>0.21</v>
      </c>
      <c r="G92" s="35"/>
      <c r="H92" s="36" t="n">
        <f aca="false">IF($A92="","",IF(ISNUMBER($G92),$G92,IF(ISNUMBER($F92),$F92,"")))</f>
        <v>0.21</v>
      </c>
      <c r="I92" s="37" t="n">
        <f aca="false">IF(OR($A92="",NOT(ISNUMBER($D92)),NOT(ISNUMBER($H92))),"",IF((1-$H92-Parâmetros!$B$7-Parâmetros!$C$7-Parâmetros!$D$7)&lt;=0,"INVALIDO",($D92+IF(ISNUMBER($E92),$E92,0)+IF(ISNUMBER(Parâmetros!$E$7),Parâmetros!$E$7,0))/(1-$H92-Parâmetros!$B$7-Parâmetros!$C$7-Parâmetros!$D$7)))</f>
        <v>304.869565217391</v>
      </c>
      <c r="J92" s="38"/>
      <c r="K92" s="39" t="n">
        <f aca="false">IF(OR($A92="",NOT(ISNUMBER($D92)),NOT(ISNUMBER($H92))),"",IF(AND(ISNUMBER($J92),$J92&gt;0),$J92,IF(ISNUMBER($I92),$I92,"")))</f>
        <v>304.869565217391</v>
      </c>
      <c r="L92" s="40" t="n">
        <f aca="false">IF(ISNUMBER($K92),$K92*$H92,"")</f>
        <v>64.0226086956522</v>
      </c>
      <c r="M92" s="40" t="n">
        <f aca="false">IF(ISNUMBER($K92),$K92*Parâmetros!$B$7,"")</f>
        <v>30.4869565217391</v>
      </c>
      <c r="N92" s="40" t="n">
        <f aca="false">IF(ISNUMBER($K92),$K92*Parâmetros!$C$7,"")</f>
        <v>9.14608695652174</v>
      </c>
      <c r="O92" s="40" t="n">
        <f aca="false">IF(ISNUMBER($K92),IF(ISNUMBER(Parâmetros!$E$7),Parâmetros!$E$7,0),"")</f>
        <v>0</v>
      </c>
      <c r="P92" s="41" t="n">
        <f aca="false">IF(ISNUMBER($K92),$K92-$D92-IF(ISNUMBER($E92),$E92,0)-$L92-$M92-$N92-$O92,"")</f>
        <v>60.9739130434783</v>
      </c>
      <c r="Q92" s="42" t="n">
        <f aca="false">IF(AND(ISNUMBER($K92),$K92&gt;0),$P92/$K92,"")</f>
        <v>0.2</v>
      </c>
      <c r="R92" s="43"/>
      <c r="S92" s="44" t="str">
        <f aca="false">IF(OR(NOT(ISNUMBER($R92)),$R92=0,NOT(ISNUMBER($K92))),"",$K92*(1-$R92))</f>
        <v/>
      </c>
      <c r="T92" s="45" t="str">
        <f aca="false">IF(ISNUMBER($S92),$S92*$H92,"")</f>
        <v/>
      </c>
      <c r="U92" s="45" t="str">
        <f aca="false">IF(ISNUMBER($S92),$S92*Parâmetros!$B$7,"")</f>
        <v/>
      </c>
      <c r="V92" s="45" t="str">
        <f aca="false">IF(ISNUMBER($S92),$S92*Parâmetros!$C$7,"")</f>
        <v/>
      </c>
      <c r="W92" s="44" t="str">
        <f aca="false">IF(ISNUMBER($S92),$S92-$D92-IF(ISNUMBER($E92),$E92,0)-$O92-$T92-$U92-$V92,"")</f>
        <v/>
      </c>
      <c r="X92" s="46" t="str">
        <f aca="false">IF(AND(ISNUMBER($S92),$S92&gt;0),$W92/$S92,"")</f>
        <v/>
      </c>
      <c r="Y92" s="47"/>
      <c r="Z92" s="19"/>
    </row>
    <row r="93" customFormat="false" ht="15.75" hidden="false" customHeight="true" outlineLevel="0" collapsed="false">
      <c r="A93" s="48" t="str">
        <f aca="false">IF(Produtos!$A93="","",Produtos!$A93)</f>
        <v>P3040</v>
      </c>
      <c r="B93" s="48" t="str">
        <f aca="false">IF(Produtos!$A93="","",Produtos!$B93)</f>
        <v>Lixeira c/Tampa Pedal 30x40 30L</v>
      </c>
      <c r="C93" s="48" t="str">
        <f aca="false">IF(Produtos!$A93="","",Produtos!$C93)</f>
        <v>Lixeiras com pedal</v>
      </c>
      <c r="D93" s="33" t="n">
        <f aca="false">IF(Produtos!$A93="","",IF(Produtos!$D93="","",Produtos!$D93))</f>
        <v>194.88</v>
      </c>
      <c r="E93" s="11" t="n">
        <v>0</v>
      </c>
      <c r="F93" s="34" t="n">
        <f aca="false">IF($A93="","",IF($C93="","⚠ categoria",IFERROR(INDEX(Parâmetros!$E$13:$E$22,MATCH($C93,Parâmetros!$A$13:$A$22,0)),"⚠ categoria")))</f>
        <v>0.21</v>
      </c>
      <c r="G93" s="35"/>
      <c r="H93" s="36" t="n">
        <f aca="false">IF($A93="","",IF(ISNUMBER($G93),$G93,IF(ISNUMBER($F93),$F93,"")))</f>
        <v>0.21</v>
      </c>
      <c r="I93" s="37" t="n">
        <f aca="false">IF(OR($A93="",NOT(ISNUMBER($D93)),NOT(ISNUMBER($H93))),"",IF((1-$H93-Parâmetros!$B$7-Parâmetros!$C$7-Parâmetros!$D$7)&lt;=0,"INVALIDO",($D93+IF(ISNUMBER($E93),$E93,0)+IF(ISNUMBER(Parâmetros!$E$7),Parâmetros!$E$7,0))/(1-$H93-Parâmetros!$B$7-Parâmetros!$C$7-Parâmetros!$D$7)))</f>
        <v>423.652173913043</v>
      </c>
      <c r="J93" s="38"/>
      <c r="K93" s="39" t="n">
        <f aca="false">IF(OR($A93="",NOT(ISNUMBER($D93)),NOT(ISNUMBER($H93))),"",IF(AND(ISNUMBER($J93),$J93&gt;0),$J93,IF(ISNUMBER($I93),$I93,"")))</f>
        <v>423.652173913043</v>
      </c>
      <c r="L93" s="40" t="n">
        <f aca="false">IF(ISNUMBER($K93),$K93*$H93,"")</f>
        <v>88.9669565217391</v>
      </c>
      <c r="M93" s="40" t="n">
        <f aca="false">IF(ISNUMBER($K93),$K93*Parâmetros!$B$7,"")</f>
        <v>42.3652173913044</v>
      </c>
      <c r="N93" s="40" t="n">
        <f aca="false">IF(ISNUMBER($K93),$K93*Parâmetros!$C$7,"")</f>
        <v>12.7095652173913</v>
      </c>
      <c r="O93" s="40" t="n">
        <f aca="false">IF(ISNUMBER($K93),IF(ISNUMBER(Parâmetros!$E$7),Parâmetros!$E$7,0),"")</f>
        <v>0</v>
      </c>
      <c r="P93" s="41" t="n">
        <f aca="false">IF(ISNUMBER($K93),$K93-$D93-IF(ISNUMBER($E93),$E93,0)-$L93-$M93-$N93-$O93,"")</f>
        <v>84.7304347826087</v>
      </c>
      <c r="Q93" s="42" t="n">
        <f aca="false">IF(AND(ISNUMBER($K93),$K93&gt;0),$P93/$K93,"")</f>
        <v>0.2</v>
      </c>
      <c r="R93" s="43"/>
      <c r="S93" s="44" t="str">
        <f aca="false">IF(OR(NOT(ISNUMBER($R93)),$R93=0,NOT(ISNUMBER($K93))),"",$K93*(1-$R93))</f>
        <v/>
      </c>
      <c r="T93" s="45" t="str">
        <f aca="false">IF(ISNUMBER($S93),$S93*$H93,"")</f>
        <v/>
      </c>
      <c r="U93" s="45" t="str">
        <f aca="false">IF(ISNUMBER($S93),$S93*Parâmetros!$B$7,"")</f>
        <v/>
      </c>
      <c r="V93" s="45" t="str">
        <f aca="false">IF(ISNUMBER($S93),$S93*Parâmetros!$C$7,"")</f>
        <v/>
      </c>
      <c r="W93" s="44" t="str">
        <f aca="false">IF(ISNUMBER($S93),$S93-$D93-IF(ISNUMBER($E93),$E93,0)-$O93-$T93-$U93-$V93,"")</f>
        <v/>
      </c>
      <c r="X93" s="46" t="str">
        <f aca="false">IF(AND(ISNUMBER($S93),$S93&gt;0),$W93/$S93,"")</f>
        <v/>
      </c>
      <c r="Y93" s="49"/>
      <c r="Z93" s="21"/>
    </row>
    <row r="94" customFormat="false" ht="15.75" hidden="false" customHeight="true" outlineLevel="0" collapsed="false">
      <c r="A94" s="32" t="str">
        <f aca="false">IF(Produtos!$A94="","",Produtos!$A94)</f>
        <v>P3050</v>
      </c>
      <c r="B94" s="32" t="str">
        <f aca="false">IF(Produtos!$A94="","",Produtos!$B94)</f>
        <v>Lixeira c/Tampa Pedal 30x50 40L</v>
      </c>
      <c r="C94" s="32" t="str">
        <f aca="false">IF(Produtos!$A94="","",Produtos!$C94)</f>
        <v>Lixeiras com pedal</v>
      </c>
      <c r="D94" s="33" t="n">
        <f aca="false">IF(Produtos!$A94="","",IF(Produtos!$D94="","",Produtos!$D94))</f>
        <v>240.55</v>
      </c>
      <c r="E94" s="11" t="n">
        <v>0</v>
      </c>
      <c r="F94" s="34" t="n">
        <f aca="false">IF($A94="","",IF($C94="","⚠ categoria",IFERROR(INDEX(Parâmetros!$E$13:$E$22,MATCH($C94,Parâmetros!$A$13:$A$22,0)),"⚠ categoria")))</f>
        <v>0.21</v>
      </c>
      <c r="G94" s="35"/>
      <c r="H94" s="36" t="n">
        <f aca="false">IF($A94="","",IF(ISNUMBER($G94),$G94,IF(ISNUMBER($F94),$F94,"")))</f>
        <v>0.21</v>
      </c>
      <c r="I94" s="37" t="n">
        <f aca="false">IF(OR($A94="",NOT(ISNUMBER($D94)),NOT(ISNUMBER($H94))),"",IF((1-$H94-Parâmetros!$B$7-Parâmetros!$C$7-Parâmetros!$D$7)&lt;=0,"INVALIDO",($D94+IF(ISNUMBER($E94),$E94,0)+IF(ISNUMBER(Parâmetros!$E$7),Parâmetros!$E$7,0))/(1-$H94-Parâmetros!$B$7-Parâmetros!$C$7-Parâmetros!$D$7)))</f>
        <v>522.934782608696</v>
      </c>
      <c r="J94" s="38"/>
      <c r="K94" s="39" t="n">
        <f aca="false">IF(OR($A94="",NOT(ISNUMBER($D94)),NOT(ISNUMBER($H94))),"",IF(AND(ISNUMBER($J94),$J94&gt;0),$J94,IF(ISNUMBER($I94),$I94,"")))</f>
        <v>522.934782608696</v>
      </c>
      <c r="L94" s="40" t="n">
        <f aca="false">IF(ISNUMBER($K94),$K94*$H94,"")</f>
        <v>109.816304347826</v>
      </c>
      <c r="M94" s="40" t="n">
        <f aca="false">IF(ISNUMBER($K94),$K94*Parâmetros!$B$7,"")</f>
        <v>52.2934782608696</v>
      </c>
      <c r="N94" s="40" t="n">
        <f aca="false">IF(ISNUMBER($K94),$K94*Parâmetros!$C$7,"")</f>
        <v>15.6880434782609</v>
      </c>
      <c r="O94" s="40" t="n">
        <f aca="false">IF(ISNUMBER($K94),IF(ISNUMBER(Parâmetros!$E$7),Parâmetros!$E$7,0),"")</f>
        <v>0</v>
      </c>
      <c r="P94" s="41" t="n">
        <f aca="false">IF(ISNUMBER($K94),$K94-$D94-IF(ISNUMBER($E94),$E94,0)-$L94-$M94-$N94-$O94,"")</f>
        <v>104.586956521739</v>
      </c>
      <c r="Q94" s="42" t="n">
        <f aca="false">IF(AND(ISNUMBER($K94),$K94&gt;0),$P94/$K94,"")</f>
        <v>0.2</v>
      </c>
      <c r="R94" s="43"/>
      <c r="S94" s="44" t="str">
        <f aca="false">IF(OR(NOT(ISNUMBER($R94)),$R94=0,NOT(ISNUMBER($K94))),"",$K94*(1-$R94))</f>
        <v/>
      </c>
      <c r="T94" s="45" t="str">
        <f aca="false">IF(ISNUMBER($S94),$S94*$H94,"")</f>
        <v/>
      </c>
      <c r="U94" s="45" t="str">
        <f aca="false">IF(ISNUMBER($S94),$S94*Parâmetros!$B$7,"")</f>
        <v/>
      </c>
      <c r="V94" s="45" t="str">
        <f aca="false">IF(ISNUMBER($S94),$S94*Parâmetros!$C$7,"")</f>
        <v/>
      </c>
      <c r="W94" s="44" t="str">
        <f aca="false">IF(ISNUMBER($S94),$S94-$D94-IF(ISNUMBER($E94),$E94,0)-$O94-$T94-$U94-$V94,"")</f>
        <v/>
      </c>
      <c r="X94" s="46" t="str">
        <f aca="false">IF(AND(ISNUMBER($S94),$S94&gt;0),$W94/$S94,"")</f>
        <v/>
      </c>
      <c r="Y94" s="47"/>
      <c r="Z94" s="19"/>
    </row>
    <row r="95" customFormat="false" ht="15.75" hidden="false" customHeight="true" outlineLevel="0" collapsed="false">
      <c r="A95" s="48" t="str">
        <f aca="false">IF(Produtos!$A95="","",Produtos!$A95)</f>
        <v>P3060</v>
      </c>
      <c r="B95" s="48" t="str">
        <f aca="false">IF(Produtos!$A95="","",Produtos!$B95)</f>
        <v>Lixeira c/Tampa Pedal 30x60 50L</v>
      </c>
      <c r="C95" s="48" t="str">
        <f aca="false">IF(Produtos!$A95="","",Produtos!$C95)</f>
        <v>Lixeiras com pedal</v>
      </c>
      <c r="D95" s="33" t="n">
        <f aca="false">IF(Produtos!$A95="","",IF(Produtos!$D95="","",Produtos!$D95))</f>
        <v>242.26</v>
      </c>
      <c r="E95" s="11" t="n">
        <v>0</v>
      </c>
      <c r="F95" s="34" t="n">
        <f aca="false">IF($A95="","",IF($C95="","⚠ categoria",IFERROR(INDEX(Parâmetros!$E$13:$E$22,MATCH($C95,Parâmetros!$A$13:$A$22,0)),"⚠ categoria")))</f>
        <v>0.21</v>
      </c>
      <c r="G95" s="35"/>
      <c r="H95" s="36" t="n">
        <f aca="false">IF($A95="","",IF(ISNUMBER($G95),$G95,IF(ISNUMBER($F95),$F95,"")))</f>
        <v>0.21</v>
      </c>
      <c r="I95" s="37" t="n">
        <f aca="false">IF(OR($A95="",NOT(ISNUMBER($D95)),NOT(ISNUMBER($H95))),"",IF((1-$H95-Parâmetros!$B$7-Parâmetros!$C$7-Parâmetros!$D$7)&lt;=0,"INVALIDO",($D95+IF(ISNUMBER($E95),$E95,0)+IF(ISNUMBER(Parâmetros!$E$7),Parâmetros!$E$7,0))/(1-$H95-Parâmetros!$B$7-Parâmetros!$C$7-Parâmetros!$D$7)))</f>
        <v>526.652173913043</v>
      </c>
      <c r="J95" s="38"/>
      <c r="K95" s="39" t="n">
        <f aca="false">IF(OR($A95="",NOT(ISNUMBER($D95)),NOT(ISNUMBER($H95))),"",IF(AND(ISNUMBER($J95),$J95&gt;0),$J95,IF(ISNUMBER($I95),$I95,"")))</f>
        <v>526.652173913043</v>
      </c>
      <c r="L95" s="40" t="n">
        <f aca="false">IF(ISNUMBER($K95),$K95*$H95,"")</f>
        <v>110.596956521739</v>
      </c>
      <c r="M95" s="40" t="n">
        <f aca="false">IF(ISNUMBER($K95),$K95*Parâmetros!$B$7,"")</f>
        <v>52.6652173913043</v>
      </c>
      <c r="N95" s="40" t="n">
        <f aca="false">IF(ISNUMBER($K95),$K95*Parâmetros!$C$7,"")</f>
        <v>15.7995652173913</v>
      </c>
      <c r="O95" s="40" t="n">
        <f aca="false">IF(ISNUMBER($K95),IF(ISNUMBER(Parâmetros!$E$7),Parâmetros!$E$7,0),"")</f>
        <v>0</v>
      </c>
      <c r="P95" s="41" t="n">
        <f aca="false">IF(ISNUMBER($K95),$K95-$D95-IF(ISNUMBER($E95),$E95,0)-$L95-$M95-$N95-$O95,"")</f>
        <v>105.330434782609</v>
      </c>
      <c r="Q95" s="42" t="n">
        <f aca="false">IF(AND(ISNUMBER($K95),$K95&gt;0),$P95/$K95,"")</f>
        <v>0.2</v>
      </c>
      <c r="R95" s="43"/>
      <c r="S95" s="44" t="str">
        <f aca="false">IF(OR(NOT(ISNUMBER($R95)),$R95=0,NOT(ISNUMBER($K95))),"",$K95*(1-$R95))</f>
        <v/>
      </c>
      <c r="T95" s="45" t="str">
        <f aca="false">IF(ISNUMBER($S95),$S95*$H95,"")</f>
        <v/>
      </c>
      <c r="U95" s="45" t="str">
        <f aca="false">IF(ISNUMBER($S95),$S95*Parâmetros!$B$7,"")</f>
        <v/>
      </c>
      <c r="V95" s="45" t="str">
        <f aca="false">IF(ISNUMBER($S95),$S95*Parâmetros!$C$7,"")</f>
        <v/>
      </c>
      <c r="W95" s="44" t="str">
        <f aca="false">IF(ISNUMBER($S95),$S95-$D95-IF(ISNUMBER($E95),$E95,0)-$O95-$T95-$U95-$V95,"")</f>
        <v/>
      </c>
      <c r="X95" s="46" t="str">
        <f aca="false">IF(AND(ISNUMBER($S95),$S95&gt;0),$W95/$S95,"")</f>
        <v/>
      </c>
      <c r="Y95" s="49"/>
      <c r="Z95" s="21"/>
    </row>
    <row r="96" customFormat="false" ht="15.75" hidden="false" customHeight="true" outlineLevel="0" collapsed="false">
      <c r="A96" s="32" t="str">
        <f aca="false">IF(Produtos!$A96="","",Produtos!$A96)</f>
        <v>P3070</v>
      </c>
      <c r="B96" s="32" t="str">
        <f aca="false">IF(Produtos!$A96="","",Produtos!$B96)</f>
        <v>Lixeira c/Tampa Pedal 30x70 60L</v>
      </c>
      <c r="C96" s="32" t="str">
        <f aca="false">IF(Produtos!$A96="","",Produtos!$C96)</f>
        <v>Lixeiras com pedal</v>
      </c>
      <c r="D96" s="33" t="n">
        <f aca="false">IF(Produtos!$A96="","",IF(Produtos!$D96="","",Produtos!$D96))</f>
        <v>307.26</v>
      </c>
      <c r="E96" s="11" t="n">
        <v>0</v>
      </c>
      <c r="F96" s="34" t="n">
        <f aca="false">IF($A96="","",IF($C96="","⚠ categoria",IFERROR(INDEX(Parâmetros!$E$13:$E$22,MATCH($C96,Parâmetros!$A$13:$A$22,0)),"⚠ categoria")))</f>
        <v>0.21</v>
      </c>
      <c r="G96" s="35"/>
      <c r="H96" s="36" t="n">
        <f aca="false">IF($A96="","",IF(ISNUMBER($G96),$G96,IF(ISNUMBER($F96),$F96,"")))</f>
        <v>0.21</v>
      </c>
      <c r="I96" s="37" t="n">
        <f aca="false">IF(OR($A96="",NOT(ISNUMBER($D96)),NOT(ISNUMBER($H96))),"",IF((1-$H96-Parâmetros!$B$7-Parâmetros!$C$7-Parâmetros!$D$7)&lt;=0,"INVALIDO",($D96+IF(ISNUMBER($E96),$E96,0)+IF(ISNUMBER(Parâmetros!$E$7),Parâmetros!$E$7,0))/(1-$H96-Parâmetros!$B$7-Parâmetros!$C$7-Parâmetros!$D$7)))</f>
        <v>667.95652173913</v>
      </c>
      <c r="J96" s="38"/>
      <c r="K96" s="39" t="n">
        <f aca="false">IF(OR($A96="",NOT(ISNUMBER($D96)),NOT(ISNUMBER($H96))),"",IF(AND(ISNUMBER($J96),$J96&gt;0),$J96,IF(ISNUMBER($I96),$I96,"")))</f>
        <v>667.95652173913</v>
      </c>
      <c r="L96" s="40" t="n">
        <f aca="false">IF(ISNUMBER($K96),$K96*$H96,"")</f>
        <v>140.270869565217</v>
      </c>
      <c r="M96" s="40" t="n">
        <f aca="false">IF(ISNUMBER($K96),$K96*Parâmetros!$B$7,"")</f>
        <v>66.795652173913</v>
      </c>
      <c r="N96" s="40" t="n">
        <f aca="false">IF(ISNUMBER($K96),$K96*Parâmetros!$C$7,"")</f>
        <v>20.0386956521739</v>
      </c>
      <c r="O96" s="40" t="n">
        <f aca="false">IF(ISNUMBER($K96),IF(ISNUMBER(Parâmetros!$E$7),Parâmetros!$E$7,0),"")</f>
        <v>0</v>
      </c>
      <c r="P96" s="41" t="n">
        <f aca="false">IF(ISNUMBER($K96),$K96-$D96-IF(ISNUMBER($E96),$E96,0)-$L96-$M96-$N96-$O96,"")</f>
        <v>133.591304347826</v>
      </c>
      <c r="Q96" s="42" t="n">
        <f aca="false">IF(AND(ISNUMBER($K96),$K96&gt;0),$P96/$K96,"")</f>
        <v>0.2</v>
      </c>
      <c r="R96" s="43"/>
      <c r="S96" s="44" t="str">
        <f aca="false">IF(OR(NOT(ISNUMBER($R96)),$R96=0,NOT(ISNUMBER($K96))),"",$K96*(1-$R96))</f>
        <v/>
      </c>
      <c r="T96" s="45" t="str">
        <f aca="false">IF(ISNUMBER($S96),$S96*$H96,"")</f>
        <v/>
      </c>
      <c r="U96" s="45" t="str">
        <f aca="false">IF(ISNUMBER($S96),$S96*Parâmetros!$B$7,"")</f>
        <v/>
      </c>
      <c r="V96" s="45" t="str">
        <f aca="false">IF(ISNUMBER($S96),$S96*Parâmetros!$C$7,"")</f>
        <v/>
      </c>
      <c r="W96" s="44" t="str">
        <f aca="false">IF(ISNUMBER($S96),$S96-$D96-IF(ISNUMBER($E96),$E96,0)-$O96-$T96-$U96-$V96,"")</f>
        <v/>
      </c>
      <c r="X96" s="46" t="str">
        <f aca="false">IF(AND(ISNUMBER($S96),$S96&gt;0),$W96/$S96,"")</f>
        <v/>
      </c>
      <c r="Y96" s="47"/>
      <c r="Z96" s="19"/>
    </row>
    <row r="97" customFormat="false" ht="15.75" hidden="false" customHeight="true" outlineLevel="0" collapsed="false">
      <c r="A97" s="48" t="str">
        <f aca="false">IF(Produtos!$A97="","",Produtos!$A97)</f>
        <v>P4050</v>
      </c>
      <c r="B97" s="48" t="str">
        <f aca="false">IF(Produtos!$A97="","",Produtos!$B97)</f>
        <v>Lixeira c/Tampa Pedal 40x50 65L</v>
      </c>
      <c r="C97" s="48" t="str">
        <f aca="false">IF(Produtos!$A97="","",Produtos!$C97)</f>
        <v>Lixeiras com pedal</v>
      </c>
      <c r="D97" s="33" t="n">
        <f aca="false">IF(Produtos!$A97="","",IF(Produtos!$D97="","",Produtos!$D97))</f>
        <v>374.18</v>
      </c>
      <c r="E97" s="11" t="n">
        <v>0</v>
      </c>
      <c r="F97" s="34" t="n">
        <f aca="false">IF($A97="","",IF($C97="","⚠ categoria",IFERROR(INDEX(Parâmetros!$E$13:$E$22,MATCH($C97,Parâmetros!$A$13:$A$22,0)),"⚠ categoria")))</f>
        <v>0.21</v>
      </c>
      <c r="G97" s="35"/>
      <c r="H97" s="36" t="n">
        <f aca="false">IF($A97="","",IF(ISNUMBER($G97),$G97,IF(ISNUMBER($F97),$F97,"")))</f>
        <v>0.21</v>
      </c>
      <c r="I97" s="37" t="n">
        <f aca="false">IF(OR($A97="",NOT(ISNUMBER($D97)),NOT(ISNUMBER($H97))),"",IF((1-$H97-Parâmetros!$B$7-Parâmetros!$C$7-Parâmetros!$D$7)&lt;=0,"INVALIDO",($D97+IF(ISNUMBER($E97),$E97,0)+IF(ISNUMBER(Parâmetros!$E$7),Parâmetros!$E$7,0))/(1-$H97-Parâmetros!$B$7-Parâmetros!$C$7-Parâmetros!$D$7)))</f>
        <v>813.434782608696</v>
      </c>
      <c r="J97" s="38"/>
      <c r="K97" s="39" t="n">
        <f aca="false">IF(OR($A97="",NOT(ISNUMBER($D97)),NOT(ISNUMBER($H97))),"",IF(AND(ISNUMBER($J97),$J97&gt;0),$J97,IF(ISNUMBER($I97),$I97,"")))</f>
        <v>813.434782608696</v>
      </c>
      <c r="L97" s="40" t="n">
        <f aca="false">IF(ISNUMBER($K97),$K97*$H97,"")</f>
        <v>170.821304347826</v>
      </c>
      <c r="M97" s="40" t="n">
        <f aca="false">IF(ISNUMBER($K97),$K97*Parâmetros!$B$7,"")</f>
        <v>81.3434782608696</v>
      </c>
      <c r="N97" s="40" t="n">
        <f aca="false">IF(ISNUMBER($K97),$K97*Parâmetros!$C$7,"")</f>
        <v>24.4030434782609</v>
      </c>
      <c r="O97" s="40" t="n">
        <f aca="false">IF(ISNUMBER($K97),IF(ISNUMBER(Parâmetros!$E$7),Parâmetros!$E$7,0),"")</f>
        <v>0</v>
      </c>
      <c r="P97" s="41" t="n">
        <f aca="false">IF(ISNUMBER($K97),$K97-$D97-IF(ISNUMBER($E97),$E97,0)-$L97-$M97-$N97-$O97,"")</f>
        <v>162.686956521739</v>
      </c>
      <c r="Q97" s="42" t="n">
        <f aca="false">IF(AND(ISNUMBER($K97),$K97&gt;0),$P97/$K97,"")</f>
        <v>0.2</v>
      </c>
      <c r="R97" s="43"/>
      <c r="S97" s="44" t="str">
        <f aca="false">IF(OR(NOT(ISNUMBER($R97)),$R97=0,NOT(ISNUMBER($K97))),"",$K97*(1-$R97))</f>
        <v/>
      </c>
      <c r="T97" s="45" t="str">
        <f aca="false">IF(ISNUMBER($S97),$S97*$H97,"")</f>
        <v/>
      </c>
      <c r="U97" s="45" t="str">
        <f aca="false">IF(ISNUMBER($S97),$S97*Parâmetros!$B$7,"")</f>
        <v/>
      </c>
      <c r="V97" s="45" t="str">
        <f aca="false">IF(ISNUMBER($S97),$S97*Parâmetros!$C$7,"")</f>
        <v/>
      </c>
      <c r="W97" s="44" t="str">
        <f aca="false">IF(ISNUMBER($S97),$S97-$D97-IF(ISNUMBER($E97),$E97,0)-$O97-$T97-$U97-$V97,"")</f>
        <v/>
      </c>
      <c r="X97" s="46" t="str">
        <f aca="false">IF(AND(ISNUMBER($S97),$S97&gt;0),$W97/$S97,"")</f>
        <v/>
      </c>
      <c r="Y97" s="49"/>
      <c r="Z97" s="21"/>
    </row>
    <row r="98" customFormat="false" ht="15.75" hidden="false" customHeight="true" outlineLevel="0" collapsed="false">
      <c r="A98" s="32" t="str">
        <f aca="false">IF(Produtos!$A98="","",Produtos!$A98)</f>
        <v>P4060</v>
      </c>
      <c r="B98" s="32" t="str">
        <f aca="false">IF(Produtos!$A98="","",Produtos!$B98)</f>
        <v>Lixeira c/Tampa Pedal 40x60 75L</v>
      </c>
      <c r="C98" s="32" t="str">
        <f aca="false">IF(Produtos!$A98="","",Produtos!$C98)</f>
        <v>Lixeiras com pedal</v>
      </c>
      <c r="D98" s="33" t="n">
        <f aca="false">IF(Produtos!$A98="","",IF(Produtos!$D98="","",Produtos!$D98))</f>
        <v>411.2</v>
      </c>
      <c r="E98" s="11" t="n">
        <v>0</v>
      </c>
      <c r="F98" s="34" t="n">
        <f aca="false">IF($A98="","",IF($C98="","⚠ categoria",IFERROR(INDEX(Parâmetros!$E$13:$E$22,MATCH($C98,Parâmetros!$A$13:$A$22,0)),"⚠ categoria")))</f>
        <v>0.21</v>
      </c>
      <c r="G98" s="35"/>
      <c r="H98" s="36" t="n">
        <f aca="false">IF($A98="","",IF(ISNUMBER($G98),$G98,IF(ISNUMBER($F98),$F98,"")))</f>
        <v>0.21</v>
      </c>
      <c r="I98" s="37" t="n">
        <f aca="false">IF(OR($A98="",NOT(ISNUMBER($D98)),NOT(ISNUMBER($H98))),"",IF((1-$H98-Parâmetros!$B$7-Parâmetros!$C$7-Parâmetros!$D$7)&lt;=0,"INVALIDO",($D98+IF(ISNUMBER($E98),$E98,0)+IF(ISNUMBER(Parâmetros!$E$7),Parâmetros!$E$7,0))/(1-$H98-Parâmetros!$B$7-Parâmetros!$C$7-Parâmetros!$D$7)))</f>
        <v>893.913043478261</v>
      </c>
      <c r="J98" s="38"/>
      <c r="K98" s="39" t="n">
        <f aca="false">IF(OR($A98="",NOT(ISNUMBER($D98)),NOT(ISNUMBER($H98))),"",IF(AND(ISNUMBER($J98),$J98&gt;0),$J98,IF(ISNUMBER($I98),$I98,"")))</f>
        <v>893.913043478261</v>
      </c>
      <c r="L98" s="40" t="n">
        <f aca="false">IF(ISNUMBER($K98),$K98*$H98,"")</f>
        <v>187.721739130435</v>
      </c>
      <c r="M98" s="40" t="n">
        <f aca="false">IF(ISNUMBER($K98),$K98*Parâmetros!$B$7,"")</f>
        <v>89.3913043478261</v>
      </c>
      <c r="N98" s="40" t="n">
        <f aca="false">IF(ISNUMBER($K98),$K98*Parâmetros!$C$7,"")</f>
        <v>26.8173913043478</v>
      </c>
      <c r="O98" s="40" t="n">
        <f aca="false">IF(ISNUMBER($K98),IF(ISNUMBER(Parâmetros!$E$7),Parâmetros!$E$7,0),"")</f>
        <v>0</v>
      </c>
      <c r="P98" s="41" t="n">
        <f aca="false">IF(ISNUMBER($K98),$K98-$D98-IF(ISNUMBER($E98),$E98,0)-$L98-$M98-$N98-$O98,"")</f>
        <v>178.782608695652</v>
      </c>
      <c r="Q98" s="42" t="n">
        <f aca="false">IF(AND(ISNUMBER($K98),$K98&gt;0),$P98/$K98,"")</f>
        <v>0.2</v>
      </c>
      <c r="R98" s="43"/>
      <c r="S98" s="44" t="str">
        <f aca="false">IF(OR(NOT(ISNUMBER($R98)),$R98=0,NOT(ISNUMBER($K98))),"",$K98*(1-$R98))</f>
        <v/>
      </c>
      <c r="T98" s="45" t="str">
        <f aca="false">IF(ISNUMBER($S98),$S98*$H98,"")</f>
        <v/>
      </c>
      <c r="U98" s="45" t="str">
        <f aca="false">IF(ISNUMBER($S98),$S98*Parâmetros!$B$7,"")</f>
        <v/>
      </c>
      <c r="V98" s="45" t="str">
        <f aca="false">IF(ISNUMBER($S98),$S98*Parâmetros!$C$7,"")</f>
        <v/>
      </c>
      <c r="W98" s="44" t="str">
        <f aca="false">IF(ISNUMBER($S98),$S98-$D98-IF(ISNUMBER($E98),$E98,0)-$O98-$T98-$U98-$V98,"")</f>
        <v/>
      </c>
      <c r="X98" s="46" t="str">
        <f aca="false">IF(AND(ISNUMBER($S98),$S98&gt;0),$W98/$S98,"")</f>
        <v/>
      </c>
      <c r="Y98" s="47"/>
      <c r="Z98" s="19"/>
    </row>
    <row r="99" customFormat="false" ht="15.75" hidden="false" customHeight="true" outlineLevel="0" collapsed="false">
      <c r="A99" s="48" t="str">
        <f aca="false">IF(Produtos!$A99="","",Produtos!$A99)</f>
        <v>P4070</v>
      </c>
      <c r="B99" s="48" t="str">
        <f aca="false">IF(Produtos!$A99="","",Produtos!$B99)</f>
        <v>Lixeira c/Tampa Pedal 40x70 80L</v>
      </c>
      <c r="C99" s="48" t="str">
        <f aca="false">IF(Produtos!$A99="","",Produtos!$C99)</f>
        <v>Lixeiras com pedal</v>
      </c>
      <c r="D99" s="33" t="n">
        <f aca="false">IF(Produtos!$A99="","",IF(Produtos!$D99="","",Produtos!$D99))</f>
        <v>416.62</v>
      </c>
      <c r="E99" s="11" t="n">
        <v>0</v>
      </c>
      <c r="F99" s="34" t="n">
        <f aca="false">IF($A99="","",IF($C99="","⚠ categoria",IFERROR(INDEX(Parâmetros!$E$13:$E$22,MATCH($C99,Parâmetros!$A$13:$A$22,0)),"⚠ categoria")))</f>
        <v>0.21</v>
      </c>
      <c r="G99" s="35"/>
      <c r="H99" s="36" t="n">
        <f aca="false">IF($A99="","",IF(ISNUMBER($G99),$G99,IF(ISNUMBER($F99),$F99,"")))</f>
        <v>0.21</v>
      </c>
      <c r="I99" s="37" t="n">
        <f aca="false">IF(OR($A99="",NOT(ISNUMBER($D99)),NOT(ISNUMBER($H99))),"",IF((1-$H99-Parâmetros!$B$7-Parâmetros!$C$7-Parâmetros!$D$7)&lt;=0,"INVALIDO",($D99+IF(ISNUMBER($E99),$E99,0)+IF(ISNUMBER(Parâmetros!$E$7),Parâmetros!$E$7,0))/(1-$H99-Parâmetros!$B$7-Parâmetros!$C$7-Parâmetros!$D$7)))</f>
        <v>905.695652173913</v>
      </c>
      <c r="J99" s="38"/>
      <c r="K99" s="39" t="n">
        <f aca="false">IF(OR($A99="",NOT(ISNUMBER($D99)),NOT(ISNUMBER($H99))),"",IF(AND(ISNUMBER($J99),$J99&gt;0),$J99,IF(ISNUMBER($I99),$I99,"")))</f>
        <v>905.695652173913</v>
      </c>
      <c r="L99" s="40" t="n">
        <f aca="false">IF(ISNUMBER($K99),$K99*$H99,"")</f>
        <v>190.196086956522</v>
      </c>
      <c r="M99" s="40" t="n">
        <f aca="false">IF(ISNUMBER($K99),$K99*Parâmetros!$B$7,"")</f>
        <v>90.5695652173913</v>
      </c>
      <c r="N99" s="40" t="n">
        <f aca="false">IF(ISNUMBER($K99),$K99*Parâmetros!$C$7,"")</f>
        <v>27.1708695652174</v>
      </c>
      <c r="O99" s="40" t="n">
        <f aca="false">IF(ISNUMBER($K99),IF(ISNUMBER(Parâmetros!$E$7),Parâmetros!$E$7,0),"")</f>
        <v>0</v>
      </c>
      <c r="P99" s="41" t="n">
        <f aca="false">IF(ISNUMBER($K99),$K99-$D99-IF(ISNUMBER($E99),$E99,0)-$L99-$M99-$N99-$O99,"")</f>
        <v>181.139130434783</v>
      </c>
      <c r="Q99" s="42" t="n">
        <f aca="false">IF(AND(ISNUMBER($K99),$K99&gt;0),$P99/$K99,"")</f>
        <v>0.2</v>
      </c>
      <c r="R99" s="43"/>
      <c r="S99" s="44" t="str">
        <f aca="false">IF(OR(NOT(ISNUMBER($R99)),$R99=0,NOT(ISNUMBER($K99))),"",$K99*(1-$R99))</f>
        <v/>
      </c>
      <c r="T99" s="45" t="str">
        <f aca="false">IF(ISNUMBER($S99),$S99*$H99,"")</f>
        <v/>
      </c>
      <c r="U99" s="45" t="str">
        <f aca="false">IF(ISNUMBER($S99),$S99*Parâmetros!$B$7,"")</f>
        <v/>
      </c>
      <c r="V99" s="45" t="str">
        <f aca="false">IF(ISNUMBER($S99),$S99*Parâmetros!$C$7,"")</f>
        <v/>
      </c>
      <c r="W99" s="44" t="str">
        <f aca="false">IF(ISNUMBER($S99),$S99-$D99-IF(ISNUMBER($E99),$E99,0)-$O99-$T99-$U99-$V99,"")</f>
        <v/>
      </c>
      <c r="X99" s="46" t="str">
        <f aca="false">IF(AND(ISNUMBER($S99),$S99&gt;0),$W99/$S99,"")</f>
        <v/>
      </c>
      <c r="Y99" s="49"/>
      <c r="Z99" s="21"/>
    </row>
    <row r="100" customFormat="false" ht="15.75" hidden="false" customHeight="true" outlineLevel="0" collapsed="false">
      <c r="A100" s="32" t="str">
        <f aca="false">IF(Produtos!$A100="","",Produtos!$A100)</f>
        <v>P4075</v>
      </c>
      <c r="B100" s="32" t="str">
        <f aca="false">IF(Produtos!$A100="","",Produtos!$B100)</f>
        <v>Lixeira c/Tampa Pedal 40x75 95L</v>
      </c>
      <c r="C100" s="32" t="str">
        <f aca="false">IF(Produtos!$A100="","",Produtos!$C100)</f>
        <v>Lixeiras com pedal</v>
      </c>
      <c r="D100" s="33" t="n">
        <f aca="false">IF(Produtos!$A100="","",IF(Produtos!$D100="","",Produtos!$D100))</f>
        <v>478.21</v>
      </c>
      <c r="E100" s="11" t="n">
        <v>0</v>
      </c>
      <c r="F100" s="34" t="n">
        <f aca="false">IF($A100="","",IF($C100="","⚠ categoria",IFERROR(INDEX(Parâmetros!$E$13:$E$22,MATCH($C100,Parâmetros!$A$13:$A$22,0)),"⚠ categoria")))</f>
        <v>0.21</v>
      </c>
      <c r="G100" s="35"/>
      <c r="H100" s="36" t="n">
        <f aca="false">IF($A100="","",IF(ISNUMBER($G100),$G100,IF(ISNUMBER($F100),$F100,"")))</f>
        <v>0.21</v>
      </c>
      <c r="I100" s="37" t="n">
        <f aca="false">IF(OR($A100="",NOT(ISNUMBER($D100)),NOT(ISNUMBER($H100))),"",IF((1-$H100-Parâmetros!$B$7-Parâmetros!$C$7-Parâmetros!$D$7)&lt;=0,"INVALIDO",($D100+IF(ISNUMBER($E100),$E100,0)+IF(ISNUMBER(Parâmetros!$E$7),Parâmetros!$E$7,0))/(1-$H100-Parâmetros!$B$7-Parâmetros!$C$7-Parâmetros!$D$7)))</f>
        <v>1039.58695652174</v>
      </c>
      <c r="J100" s="38"/>
      <c r="K100" s="39" t="n">
        <f aca="false">IF(OR($A100="",NOT(ISNUMBER($D100)),NOT(ISNUMBER($H100))),"",IF(AND(ISNUMBER($J100),$J100&gt;0),$J100,IF(ISNUMBER($I100),$I100,"")))</f>
        <v>1039.58695652174</v>
      </c>
      <c r="L100" s="40" t="n">
        <f aca="false">IF(ISNUMBER($K100),$K100*$H100,"")</f>
        <v>218.313260869565</v>
      </c>
      <c r="M100" s="40" t="n">
        <f aca="false">IF(ISNUMBER($K100),$K100*Parâmetros!$B$7,"")</f>
        <v>103.958695652174</v>
      </c>
      <c r="N100" s="40" t="n">
        <f aca="false">IF(ISNUMBER($K100),$K100*Parâmetros!$C$7,"")</f>
        <v>31.1876086956522</v>
      </c>
      <c r="O100" s="40" t="n">
        <f aca="false">IF(ISNUMBER($K100),IF(ISNUMBER(Parâmetros!$E$7),Parâmetros!$E$7,0),"")</f>
        <v>0</v>
      </c>
      <c r="P100" s="41" t="n">
        <f aca="false">IF(ISNUMBER($K100),$K100-$D100-IF(ISNUMBER($E100),$E100,0)-$L100-$M100-$N100-$O100,"")</f>
        <v>207.917391304348</v>
      </c>
      <c r="Q100" s="42" t="n">
        <f aca="false">IF(AND(ISNUMBER($K100),$K100&gt;0),$P100/$K100,"")</f>
        <v>0.2</v>
      </c>
      <c r="R100" s="43"/>
      <c r="S100" s="44" t="str">
        <f aca="false">IF(OR(NOT(ISNUMBER($R100)),$R100=0,NOT(ISNUMBER($K100))),"",$K100*(1-$R100))</f>
        <v/>
      </c>
      <c r="T100" s="45" t="str">
        <f aca="false">IF(ISNUMBER($S100),$S100*$H100,"")</f>
        <v/>
      </c>
      <c r="U100" s="45" t="str">
        <f aca="false">IF(ISNUMBER($S100),$S100*Parâmetros!$B$7,"")</f>
        <v/>
      </c>
      <c r="V100" s="45" t="str">
        <f aca="false">IF(ISNUMBER($S100),$S100*Parâmetros!$C$7,"")</f>
        <v/>
      </c>
      <c r="W100" s="44" t="str">
        <f aca="false">IF(ISNUMBER($S100),$S100-$D100-IF(ISNUMBER($E100),$E100,0)-$O100-$T100-$U100-$V100,"")</f>
        <v/>
      </c>
      <c r="X100" s="46" t="str">
        <f aca="false">IF(AND(ISNUMBER($S100),$S100&gt;0),$W100/$S100,"")</f>
        <v/>
      </c>
      <c r="Y100" s="47"/>
      <c r="Z100" s="19"/>
    </row>
    <row r="101" customFormat="false" ht="15.75" hidden="false" customHeight="true" outlineLevel="0" collapsed="false">
      <c r="A101" s="48" t="str">
        <f aca="false">IF(Produtos!$A101="","",Produtos!$A101)</f>
        <v>P4080</v>
      </c>
      <c r="B101" s="48" t="str">
        <f aca="false">IF(Produtos!$A101="","",Produtos!$B101)</f>
        <v>Lixeira c/Tampa Pedal 40x80 100L</v>
      </c>
      <c r="C101" s="48" t="str">
        <f aca="false">IF(Produtos!$A101="","",Produtos!$C101)</f>
        <v>Lixeiras com pedal</v>
      </c>
      <c r="D101" s="33" t="n">
        <f aca="false">IF(Produtos!$A101="","",IF(Produtos!$D101="","",Produtos!$D101))</f>
        <v>553.79</v>
      </c>
      <c r="E101" s="11" t="n">
        <v>0</v>
      </c>
      <c r="F101" s="34" t="n">
        <f aca="false">IF($A101="","",IF($C101="","⚠ categoria",IFERROR(INDEX(Parâmetros!$E$13:$E$22,MATCH($C101,Parâmetros!$A$13:$A$22,0)),"⚠ categoria")))</f>
        <v>0.21</v>
      </c>
      <c r="G101" s="35"/>
      <c r="H101" s="36" t="n">
        <f aca="false">IF($A101="","",IF(ISNUMBER($G101),$G101,IF(ISNUMBER($F101),$F101,"")))</f>
        <v>0.21</v>
      </c>
      <c r="I101" s="37" t="n">
        <f aca="false">IF(OR($A101="",NOT(ISNUMBER($D101)),NOT(ISNUMBER($H101))),"",IF((1-$H101-Parâmetros!$B$7-Parâmetros!$C$7-Parâmetros!$D$7)&lt;=0,"INVALIDO",($D101+IF(ISNUMBER($E101),$E101,0)+IF(ISNUMBER(Parâmetros!$E$7),Parâmetros!$E$7,0))/(1-$H101-Parâmetros!$B$7-Parâmetros!$C$7-Parâmetros!$D$7)))</f>
        <v>1203.89130434783</v>
      </c>
      <c r="J101" s="38"/>
      <c r="K101" s="39" t="n">
        <f aca="false">IF(OR($A101="",NOT(ISNUMBER($D101)),NOT(ISNUMBER($H101))),"",IF(AND(ISNUMBER($J101),$J101&gt;0),$J101,IF(ISNUMBER($I101),$I101,"")))</f>
        <v>1203.89130434783</v>
      </c>
      <c r="L101" s="40" t="n">
        <f aca="false">IF(ISNUMBER($K101),$K101*$H101,"")</f>
        <v>252.817173913043</v>
      </c>
      <c r="M101" s="40" t="n">
        <f aca="false">IF(ISNUMBER($K101),$K101*Parâmetros!$B$7,"")</f>
        <v>120.389130434783</v>
      </c>
      <c r="N101" s="40" t="n">
        <f aca="false">IF(ISNUMBER($K101),$K101*Parâmetros!$C$7,"")</f>
        <v>36.1167391304348</v>
      </c>
      <c r="O101" s="40" t="n">
        <f aca="false">IF(ISNUMBER($K101),IF(ISNUMBER(Parâmetros!$E$7),Parâmetros!$E$7,0),"")</f>
        <v>0</v>
      </c>
      <c r="P101" s="41" t="n">
        <f aca="false">IF(ISNUMBER($K101),$K101-$D101-IF(ISNUMBER($E101),$E101,0)-$L101-$M101-$N101-$O101,"")</f>
        <v>240.778260869565</v>
      </c>
      <c r="Q101" s="42" t="n">
        <f aca="false">IF(AND(ISNUMBER($K101),$K101&gt;0),$P101/$K101,"")</f>
        <v>0.2</v>
      </c>
      <c r="R101" s="43"/>
      <c r="S101" s="44" t="str">
        <f aca="false">IF(OR(NOT(ISNUMBER($R101)),$R101=0,NOT(ISNUMBER($K101))),"",$K101*(1-$R101))</f>
        <v/>
      </c>
      <c r="T101" s="45" t="str">
        <f aca="false">IF(ISNUMBER($S101),$S101*$H101,"")</f>
        <v/>
      </c>
      <c r="U101" s="45" t="str">
        <f aca="false">IF(ISNUMBER($S101),$S101*Parâmetros!$B$7,"")</f>
        <v/>
      </c>
      <c r="V101" s="45" t="str">
        <f aca="false">IF(ISNUMBER($S101),$S101*Parâmetros!$C$7,"")</f>
        <v/>
      </c>
      <c r="W101" s="44" t="str">
        <f aca="false">IF(ISNUMBER($S101),$S101-$D101-IF(ISNUMBER($E101),$E101,0)-$O101-$T101-$U101-$V101,"")</f>
        <v/>
      </c>
      <c r="X101" s="46" t="str">
        <f aca="false">IF(AND(ISNUMBER($S101),$S101&gt;0),$W101/$S101,"")</f>
        <v/>
      </c>
      <c r="Y101" s="49"/>
      <c r="Z101" s="21"/>
    </row>
    <row r="102" customFormat="false" ht="15.75" hidden="false" customHeight="true" outlineLevel="0" collapsed="false">
      <c r="A102" s="32" t="str">
        <f aca="false">IF(Produtos!$A102="","",Produtos!$A102)</f>
        <v>P4090</v>
      </c>
      <c r="B102" s="32" t="str">
        <f aca="false">IF(Produtos!$A102="","",Produtos!$B102)</f>
        <v>Lixeira c/Tampa Pedal 40x90 120L</v>
      </c>
      <c r="C102" s="32" t="str">
        <f aca="false">IF(Produtos!$A102="","",Produtos!$C102)</f>
        <v>Lixeiras com pedal</v>
      </c>
      <c r="D102" s="33" t="n">
        <f aca="false">IF(Produtos!$A102="","",IF(Produtos!$D102="","",Produtos!$D102))</f>
        <v>771.68</v>
      </c>
      <c r="E102" s="11" t="n">
        <v>0</v>
      </c>
      <c r="F102" s="34" t="n">
        <f aca="false">IF($A102="","",IF($C102="","⚠ categoria",IFERROR(INDEX(Parâmetros!$E$13:$E$22,MATCH($C102,Parâmetros!$A$13:$A$22,0)),"⚠ categoria")))</f>
        <v>0.21</v>
      </c>
      <c r="G102" s="35"/>
      <c r="H102" s="36" t="n">
        <f aca="false">IF($A102="","",IF(ISNUMBER($G102),$G102,IF(ISNUMBER($F102),$F102,"")))</f>
        <v>0.21</v>
      </c>
      <c r="I102" s="37" t="n">
        <f aca="false">IF(OR($A102="",NOT(ISNUMBER($D102)),NOT(ISNUMBER($H102))),"",IF((1-$H102-Parâmetros!$B$7-Parâmetros!$C$7-Parâmetros!$D$7)&lt;=0,"INVALIDO",($D102+IF(ISNUMBER($E102),$E102,0)+IF(ISNUMBER(Parâmetros!$E$7),Parâmetros!$E$7,0))/(1-$H102-Parâmetros!$B$7-Parâmetros!$C$7-Parâmetros!$D$7)))</f>
        <v>1677.5652173913</v>
      </c>
      <c r="J102" s="38"/>
      <c r="K102" s="39" t="n">
        <f aca="false">IF(OR($A102="",NOT(ISNUMBER($D102)),NOT(ISNUMBER($H102))),"",IF(AND(ISNUMBER($J102),$J102&gt;0),$J102,IF(ISNUMBER($I102),$I102,"")))</f>
        <v>1677.5652173913</v>
      </c>
      <c r="L102" s="40" t="n">
        <f aca="false">IF(ISNUMBER($K102),$K102*$H102,"")</f>
        <v>352.288695652174</v>
      </c>
      <c r="M102" s="40" t="n">
        <f aca="false">IF(ISNUMBER($K102),$K102*Parâmetros!$B$7,"")</f>
        <v>167.75652173913</v>
      </c>
      <c r="N102" s="40" t="n">
        <f aca="false">IF(ISNUMBER($K102),$K102*Parâmetros!$C$7,"")</f>
        <v>50.3269565217391</v>
      </c>
      <c r="O102" s="40" t="n">
        <f aca="false">IF(ISNUMBER($K102),IF(ISNUMBER(Parâmetros!$E$7),Parâmetros!$E$7,0),"")</f>
        <v>0</v>
      </c>
      <c r="P102" s="41" t="n">
        <f aca="false">IF(ISNUMBER($K102),$K102-$D102-IF(ISNUMBER($E102),$E102,0)-$L102-$M102-$N102-$O102,"")</f>
        <v>335.513043478261</v>
      </c>
      <c r="Q102" s="42" t="n">
        <f aca="false">IF(AND(ISNUMBER($K102),$K102&gt;0),$P102/$K102,"")</f>
        <v>0.2</v>
      </c>
      <c r="R102" s="43"/>
      <c r="S102" s="44" t="str">
        <f aca="false">IF(OR(NOT(ISNUMBER($R102)),$R102=0,NOT(ISNUMBER($K102))),"",$K102*(1-$R102))</f>
        <v/>
      </c>
      <c r="T102" s="45" t="str">
        <f aca="false">IF(ISNUMBER($S102),$S102*$H102,"")</f>
        <v/>
      </c>
      <c r="U102" s="45" t="str">
        <f aca="false">IF(ISNUMBER($S102),$S102*Parâmetros!$B$7,"")</f>
        <v/>
      </c>
      <c r="V102" s="45" t="str">
        <f aca="false">IF(ISNUMBER($S102),$S102*Parâmetros!$C$7,"")</f>
        <v/>
      </c>
      <c r="W102" s="44" t="str">
        <f aca="false">IF(ISNUMBER($S102),$S102-$D102-IF(ISNUMBER($E102),$E102,0)-$O102-$T102-$U102-$V102,"")</f>
        <v/>
      </c>
      <c r="X102" s="46" t="str">
        <f aca="false">IF(AND(ISNUMBER($S102),$S102&gt;0),$W102/$S102,"")</f>
        <v/>
      </c>
      <c r="Y102" s="47"/>
      <c r="Z102" s="19"/>
    </row>
    <row r="103" customFormat="false" ht="15.75" hidden="false" customHeight="true" outlineLevel="0" collapsed="false">
      <c r="A103" s="48" t="str">
        <f aca="false">IF(Produtos!$A103="","",Produtos!$A103)</f>
        <v>L2425-BC</v>
      </c>
      <c r="B103" s="48" t="str">
        <f aca="false">IF(Produtos!$A103="","",Produtos!$B103)</f>
        <v>Lixeira de Aço inox 24x25 13L c/Aro basculante colorido</v>
      </c>
      <c r="C103" s="48" t="str">
        <f aca="false">IF(Produtos!$A103="","",Produtos!$C103)</f>
        <v>Lixeiras em inox</v>
      </c>
      <c r="D103" s="33" t="n">
        <f aca="false">IF(Produtos!$A103="","",IF(Produtos!$D103="","",Produtos!$D103))</f>
        <v>110.45</v>
      </c>
      <c r="E103" s="11" t="n">
        <v>0</v>
      </c>
      <c r="F103" s="34" t="n">
        <f aca="false">IF($A103="","",IF($C103="","⚠ categoria",IFERROR(INDEX(Parâmetros!$E$13:$E$22,MATCH($C103,Parâmetros!$A$13:$A$22,0)),"⚠ categoria")))</f>
        <v>0.21</v>
      </c>
      <c r="G103" s="35"/>
      <c r="H103" s="36" t="n">
        <f aca="false">IF($A103="","",IF(ISNUMBER($G103),$G103,IF(ISNUMBER($F103),$F103,"")))</f>
        <v>0.21</v>
      </c>
      <c r="I103" s="37" t="n">
        <f aca="false">IF(OR($A103="",NOT(ISNUMBER($D103)),NOT(ISNUMBER($H103))),"",IF((1-$H103-Parâmetros!$B$7-Parâmetros!$C$7-Parâmetros!$D$7)&lt;=0,"INVALIDO",($D103+IF(ISNUMBER($E103),$E103,0)+IF(ISNUMBER(Parâmetros!$E$7),Parâmetros!$E$7,0))/(1-$H103-Parâmetros!$B$7-Parâmetros!$C$7-Parâmetros!$D$7)))</f>
        <v>240.108695652174</v>
      </c>
      <c r="J103" s="38"/>
      <c r="K103" s="39" t="n">
        <f aca="false">IF(OR($A103="",NOT(ISNUMBER($D103)),NOT(ISNUMBER($H103))),"",IF(AND(ISNUMBER($J103),$J103&gt;0),$J103,IF(ISNUMBER($I103),$I103,"")))</f>
        <v>240.108695652174</v>
      </c>
      <c r="L103" s="40" t="n">
        <f aca="false">IF(ISNUMBER($K103),$K103*$H103,"")</f>
        <v>50.4228260869565</v>
      </c>
      <c r="M103" s="40" t="n">
        <f aca="false">IF(ISNUMBER($K103),$K103*Parâmetros!$B$7,"")</f>
        <v>24.0108695652174</v>
      </c>
      <c r="N103" s="40" t="n">
        <f aca="false">IF(ISNUMBER($K103),$K103*Parâmetros!$C$7,"")</f>
        <v>7.20326086956522</v>
      </c>
      <c r="O103" s="40" t="n">
        <f aca="false">IF(ISNUMBER($K103),IF(ISNUMBER(Parâmetros!$E$7),Parâmetros!$E$7,0),"")</f>
        <v>0</v>
      </c>
      <c r="P103" s="41" t="n">
        <f aca="false">IF(ISNUMBER($K103),$K103-$D103-IF(ISNUMBER($E103),$E103,0)-$L103-$M103-$N103-$O103,"")</f>
        <v>48.0217391304348</v>
      </c>
      <c r="Q103" s="42" t="n">
        <f aca="false">IF(AND(ISNUMBER($K103),$K103&gt;0),$P103/$K103,"")</f>
        <v>0.2</v>
      </c>
      <c r="R103" s="43"/>
      <c r="S103" s="44" t="str">
        <f aca="false">IF(OR(NOT(ISNUMBER($R103)),$R103=0,NOT(ISNUMBER($K103))),"",$K103*(1-$R103))</f>
        <v/>
      </c>
      <c r="T103" s="45" t="str">
        <f aca="false">IF(ISNUMBER($S103),$S103*$H103,"")</f>
        <v/>
      </c>
      <c r="U103" s="45" t="str">
        <f aca="false">IF(ISNUMBER($S103),$S103*Parâmetros!$B$7,"")</f>
        <v/>
      </c>
      <c r="V103" s="45" t="str">
        <f aca="false">IF(ISNUMBER($S103),$S103*Parâmetros!$C$7,"")</f>
        <v/>
      </c>
      <c r="W103" s="44" t="str">
        <f aca="false">IF(ISNUMBER($S103),$S103-$D103-IF(ISNUMBER($E103),$E103,0)-$O103-$T103-$U103-$V103,"")</f>
        <v/>
      </c>
      <c r="X103" s="46" t="str">
        <f aca="false">IF(AND(ISNUMBER($S103),$S103&gt;0),$W103/$S103,"")</f>
        <v/>
      </c>
      <c r="Y103" s="49"/>
      <c r="Z103" s="21"/>
    </row>
    <row r="104" customFormat="false" ht="15.75" hidden="false" customHeight="true" outlineLevel="0" collapsed="false">
      <c r="A104" s="32" t="str">
        <f aca="false">IF(Produtos!$A104="","",Produtos!$A104)</f>
        <v>L2430-BC</v>
      </c>
      <c r="B104" s="32" t="str">
        <f aca="false">IF(Produtos!$A104="","",Produtos!$B104)</f>
        <v>Lixeira de Aço inox 24x30 15L c/Aro basculante colorido</v>
      </c>
      <c r="C104" s="32" t="str">
        <f aca="false">IF(Produtos!$A104="","",Produtos!$C104)</f>
        <v>Lixeiras em inox</v>
      </c>
      <c r="D104" s="33" t="n">
        <f aca="false">IF(Produtos!$A104="","",IF(Produtos!$D104="","",Produtos!$D104))</f>
        <v>120.38</v>
      </c>
      <c r="E104" s="11" t="n">
        <v>0</v>
      </c>
      <c r="F104" s="34" t="n">
        <f aca="false">IF($A104="","",IF($C104="","⚠ categoria",IFERROR(INDEX(Parâmetros!$E$13:$E$22,MATCH($C104,Parâmetros!$A$13:$A$22,0)),"⚠ categoria")))</f>
        <v>0.21</v>
      </c>
      <c r="G104" s="35"/>
      <c r="H104" s="36" t="n">
        <f aca="false">IF($A104="","",IF(ISNUMBER($G104),$G104,IF(ISNUMBER($F104),$F104,"")))</f>
        <v>0.21</v>
      </c>
      <c r="I104" s="37" t="n">
        <f aca="false">IF(OR($A104="",NOT(ISNUMBER($D104)),NOT(ISNUMBER($H104))),"",IF((1-$H104-Parâmetros!$B$7-Parâmetros!$C$7-Parâmetros!$D$7)&lt;=0,"INVALIDO",($D104+IF(ISNUMBER($E104),$E104,0)+IF(ISNUMBER(Parâmetros!$E$7),Parâmetros!$E$7,0))/(1-$H104-Parâmetros!$B$7-Parâmetros!$C$7-Parâmetros!$D$7)))</f>
        <v>261.695652173913</v>
      </c>
      <c r="J104" s="38"/>
      <c r="K104" s="39" t="n">
        <f aca="false">IF(OR($A104="",NOT(ISNUMBER($D104)),NOT(ISNUMBER($H104))),"",IF(AND(ISNUMBER($J104),$J104&gt;0),$J104,IF(ISNUMBER($I104),$I104,"")))</f>
        <v>261.695652173913</v>
      </c>
      <c r="L104" s="40" t="n">
        <f aca="false">IF(ISNUMBER($K104),$K104*$H104,"")</f>
        <v>54.9560869565217</v>
      </c>
      <c r="M104" s="40" t="n">
        <f aca="false">IF(ISNUMBER($K104),$K104*Parâmetros!$B$7,"")</f>
        <v>26.1695652173913</v>
      </c>
      <c r="N104" s="40" t="n">
        <f aca="false">IF(ISNUMBER($K104),$K104*Parâmetros!$C$7,"")</f>
        <v>7.85086956521739</v>
      </c>
      <c r="O104" s="40" t="n">
        <f aca="false">IF(ISNUMBER($K104),IF(ISNUMBER(Parâmetros!$E$7),Parâmetros!$E$7,0),"")</f>
        <v>0</v>
      </c>
      <c r="P104" s="41" t="n">
        <f aca="false">IF(ISNUMBER($K104),$K104-$D104-IF(ISNUMBER($E104),$E104,0)-$L104-$M104-$N104-$O104,"")</f>
        <v>52.3391304347826</v>
      </c>
      <c r="Q104" s="42" t="n">
        <f aca="false">IF(AND(ISNUMBER($K104),$K104&gt;0),$P104/$K104,"")</f>
        <v>0.2</v>
      </c>
      <c r="R104" s="43"/>
      <c r="S104" s="44" t="str">
        <f aca="false">IF(OR(NOT(ISNUMBER($R104)),$R104=0,NOT(ISNUMBER($K104))),"",$K104*(1-$R104))</f>
        <v/>
      </c>
      <c r="T104" s="45" t="str">
        <f aca="false">IF(ISNUMBER($S104),$S104*$H104,"")</f>
        <v/>
      </c>
      <c r="U104" s="45" t="str">
        <f aca="false">IF(ISNUMBER($S104),$S104*Parâmetros!$B$7,"")</f>
        <v/>
      </c>
      <c r="V104" s="45" t="str">
        <f aca="false">IF(ISNUMBER($S104),$S104*Parâmetros!$C$7,"")</f>
        <v/>
      </c>
      <c r="W104" s="44" t="str">
        <f aca="false">IF(ISNUMBER($S104),$S104-$D104-IF(ISNUMBER($E104),$E104,0)-$O104-$T104-$U104-$V104,"")</f>
        <v/>
      </c>
      <c r="X104" s="46" t="str">
        <f aca="false">IF(AND(ISNUMBER($S104),$S104&gt;0),$W104/$S104,"")</f>
        <v/>
      </c>
      <c r="Y104" s="47"/>
      <c r="Z104" s="19"/>
    </row>
    <row r="105" customFormat="false" ht="15.75" hidden="false" customHeight="true" outlineLevel="0" collapsed="false">
      <c r="A105" s="48" t="str">
        <f aca="false">IF(Produtos!$A105="","",Produtos!$A105)</f>
        <v>L2440-BC</v>
      </c>
      <c r="B105" s="48" t="str">
        <f aca="false">IF(Produtos!$A105="","",Produtos!$B105)</f>
        <v>Lixeira de Aço inox 24x40 20L c/Aro basculante colorido</v>
      </c>
      <c r="C105" s="48" t="str">
        <f aca="false">IF(Produtos!$A105="","",Produtos!$C105)</f>
        <v>Lixeiras em inox</v>
      </c>
      <c r="D105" s="33" t="n">
        <f aca="false">IF(Produtos!$A105="","",IF(Produtos!$D105="","",Produtos!$D105))</f>
        <v>137.47</v>
      </c>
      <c r="E105" s="11" t="n">
        <v>0</v>
      </c>
      <c r="F105" s="34" t="n">
        <f aca="false">IF($A105="","",IF($C105="","⚠ categoria",IFERROR(INDEX(Parâmetros!$E$13:$E$22,MATCH($C105,Parâmetros!$A$13:$A$22,0)),"⚠ categoria")))</f>
        <v>0.21</v>
      </c>
      <c r="G105" s="35"/>
      <c r="H105" s="36" t="n">
        <f aca="false">IF($A105="","",IF(ISNUMBER($G105),$G105,IF(ISNUMBER($F105),$F105,"")))</f>
        <v>0.21</v>
      </c>
      <c r="I105" s="37" t="n">
        <f aca="false">IF(OR($A105="",NOT(ISNUMBER($D105)),NOT(ISNUMBER($H105))),"",IF((1-$H105-Parâmetros!$B$7-Parâmetros!$C$7-Parâmetros!$D$7)&lt;=0,"INVALIDO",($D105+IF(ISNUMBER($E105),$E105,0)+IF(ISNUMBER(Parâmetros!$E$7),Parâmetros!$E$7,0))/(1-$H105-Parâmetros!$B$7-Parâmetros!$C$7-Parâmetros!$D$7)))</f>
        <v>298.847826086957</v>
      </c>
      <c r="J105" s="38"/>
      <c r="K105" s="39" t="n">
        <f aca="false">IF(OR($A105="",NOT(ISNUMBER($D105)),NOT(ISNUMBER($H105))),"",IF(AND(ISNUMBER($J105),$J105&gt;0),$J105,IF(ISNUMBER($I105),$I105,"")))</f>
        <v>298.847826086957</v>
      </c>
      <c r="L105" s="40" t="n">
        <f aca="false">IF(ISNUMBER($K105),$K105*$H105,"")</f>
        <v>62.7580434782609</v>
      </c>
      <c r="M105" s="40" t="n">
        <f aca="false">IF(ISNUMBER($K105),$K105*Parâmetros!$B$7,"")</f>
        <v>29.8847826086957</v>
      </c>
      <c r="N105" s="40" t="n">
        <f aca="false">IF(ISNUMBER($K105),$K105*Parâmetros!$C$7,"")</f>
        <v>8.96543478260869</v>
      </c>
      <c r="O105" s="40" t="n">
        <f aca="false">IF(ISNUMBER($K105),IF(ISNUMBER(Parâmetros!$E$7),Parâmetros!$E$7,0),"")</f>
        <v>0</v>
      </c>
      <c r="P105" s="41" t="n">
        <f aca="false">IF(ISNUMBER($K105),$K105-$D105-IF(ISNUMBER($E105),$E105,0)-$L105-$M105-$N105-$O105,"")</f>
        <v>59.7695652173913</v>
      </c>
      <c r="Q105" s="42" t="n">
        <f aca="false">IF(AND(ISNUMBER($K105),$K105&gt;0),$P105/$K105,"")</f>
        <v>0.2</v>
      </c>
      <c r="R105" s="43"/>
      <c r="S105" s="44" t="str">
        <f aca="false">IF(OR(NOT(ISNUMBER($R105)),$R105=0,NOT(ISNUMBER($K105))),"",$K105*(1-$R105))</f>
        <v/>
      </c>
      <c r="T105" s="45" t="str">
        <f aca="false">IF(ISNUMBER($S105),$S105*$H105,"")</f>
        <v/>
      </c>
      <c r="U105" s="45" t="str">
        <f aca="false">IF(ISNUMBER($S105),$S105*Parâmetros!$B$7,"")</f>
        <v/>
      </c>
      <c r="V105" s="45" t="str">
        <f aca="false">IF(ISNUMBER($S105),$S105*Parâmetros!$C$7,"")</f>
        <v/>
      </c>
      <c r="W105" s="44" t="str">
        <f aca="false">IF(ISNUMBER($S105),$S105-$D105-IF(ISNUMBER($E105),$E105,0)-$O105-$T105-$U105-$V105,"")</f>
        <v/>
      </c>
      <c r="X105" s="46" t="str">
        <f aca="false">IF(AND(ISNUMBER($S105),$S105&gt;0),$W105/$S105,"")</f>
        <v/>
      </c>
      <c r="Y105" s="49"/>
      <c r="Z105" s="21"/>
    </row>
    <row r="106" customFormat="false" ht="15.75" hidden="false" customHeight="true" outlineLevel="0" collapsed="false">
      <c r="A106" s="32" t="str">
        <f aca="false">IF(Produtos!$A106="","",Produtos!$A106)</f>
        <v>L2450-BC</v>
      </c>
      <c r="B106" s="32" t="str">
        <f aca="false">IF(Produtos!$A106="","",Produtos!$B106)</f>
        <v>Lixeira de Aço inox 24x50 25L c/Aro basculante colorido</v>
      </c>
      <c r="C106" s="32" t="str">
        <f aca="false">IF(Produtos!$A106="","",Produtos!$C106)</f>
        <v>Lixeiras em inox</v>
      </c>
      <c r="D106" s="33" t="n">
        <f aca="false">IF(Produtos!$A106="","",IF(Produtos!$D106="","",Produtos!$D106))</f>
        <v>168.27</v>
      </c>
      <c r="E106" s="11" t="n">
        <v>0</v>
      </c>
      <c r="F106" s="34" t="n">
        <f aca="false">IF($A106="","",IF($C106="","⚠ categoria",IFERROR(INDEX(Parâmetros!$E$13:$E$22,MATCH($C106,Parâmetros!$A$13:$A$22,0)),"⚠ categoria")))</f>
        <v>0.21</v>
      </c>
      <c r="G106" s="35"/>
      <c r="H106" s="36" t="n">
        <f aca="false">IF($A106="","",IF(ISNUMBER($G106),$G106,IF(ISNUMBER($F106),$F106,"")))</f>
        <v>0.21</v>
      </c>
      <c r="I106" s="37" t="n">
        <f aca="false">IF(OR($A106="",NOT(ISNUMBER($D106)),NOT(ISNUMBER($H106))),"",IF((1-$H106-Parâmetros!$B$7-Parâmetros!$C$7-Parâmetros!$D$7)&lt;=0,"INVALIDO",($D106+IF(ISNUMBER($E106),$E106,0)+IF(ISNUMBER(Parâmetros!$E$7),Parâmetros!$E$7,0))/(1-$H106-Parâmetros!$B$7-Parâmetros!$C$7-Parâmetros!$D$7)))</f>
        <v>365.804347826087</v>
      </c>
      <c r="J106" s="38"/>
      <c r="K106" s="39" t="n">
        <f aca="false">IF(OR($A106="",NOT(ISNUMBER($D106)),NOT(ISNUMBER($H106))),"",IF(AND(ISNUMBER($J106),$J106&gt;0),$J106,IF(ISNUMBER($I106),$I106,"")))</f>
        <v>365.804347826087</v>
      </c>
      <c r="L106" s="40" t="n">
        <f aca="false">IF(ISNUMBER($K106),$K106*$H106,"")</f>
        <v>76.8189130434783</v>
      </c>
      <c r="M106" s="40" t="n">
        <f aca="false">IF(ISNUMBER($K106),$K106*Parâmetros!$B$7,"")</f>
        <v>36.5804347826087</v>
      </c>
      <c r="N106" s="40" t="n">
        <f aca="false">IF(ISNUMBER($K106),$K106*Parâmetros!$C$7,"")</f>
        <v>10.9741304347826</v>
      </c>
      <c r="O106" s="40" t="n">
        <f aca="false">IF(ISNUMBER($K106),IF(ISNUMBER(Parâmetros!$E$7),Parâmetros!$E$7,0),"")</f>
        <v>0</v>
      </c>
      <c r="P106" s="41" t="n">
        <f aca="false">IF(ISNUMBER($K106),$K106-$D106-IF(ISNUMBER($E106),$E106,0)-$L106-$M106-$N106-$O106,"")</f>
        <v>73.1608695652174</v>
      </c>
      <c r="Q106" s="42" t="n">
        <f aca="false">IF(AND(ISNUMBER($K106),$K106&gt;0),$P106/$K106,"")</f>
        <v>0.2</v>
      </c>
      <c r="R106" s="43"/>
      <c r="S106" s="44" t="str">
        <f aca="false">IF(OR(NOT(ISNUMBER($R106)),$R106=0,NOT(ISNUMBER($K106))),"",$K106*(1-$R106))</f>
        <v/>
      </c>
      <c r="T106" s="45" t="str">
        <f aca="false">IF(ISNUMBER($S106),$S106*$H106,"")</f>
        <v/>
      </c>
      <c r="U106" s="45" t="str">
        <f aca="false">IF(ISNUMBER($S106),$S106*Parâmetros!$B$7,"")</f>
        <v/>
      </c>
      <c r="V106" s="45" t="str">
        <f aca="false">IF(ISNUMBER($S106),$S106*Parâmetros!$C$7,"")</f>
        <v/>
      </c>
      <c r="W106" s="44" t="str">
        <f aca="false">IF(ISNUMBER($S106),$S106-$D106-IF(ISNUMBER($E106),$E106,0)-$O106-$T106-$U106-$V106,"")</f>
        <v/>
      </c>
      <c r="X106" s="46" t="str">
        <f aca="false">IF(AND(ISNUMBER($S106),$S106&gt;0),$W106/$S106,"")</f>
        <v/>
      </c>
      <c r="Y106" s="47"/>
      <c r="Z106" s="19"/>
    </row>
    <row r="107" customFormat="false" ht="15.75" hidden="false" customHeight="true" outlineLevel="0" collapsed="false">
      <c r="A107" s="48" t="str">
        <f aca="false">IF(Produtos!$A107="","",Produtos!$A107)</f>
        <v>L2460-BC</v>
      </c>
      <c r="B107" s="48" t="str">
        <f aca="false">IF(Produtos!$A107="","",Produtos!$B107)</f>
        <v>Lixeira de Aço inox 24x60 27L c/Aro basculante colorido</v>
      </c>
      <c r="C107" s="48" t="str">
        <f aca="false">IF(Produtos!$A107="","",Produtos!$C107)</f>
        <v>Lixeiras em inox</v>
      </c>
      <c r="D107" s="33" t="n">
        <f aca="false">IF(Produtos!$A107="","",IF(Produtos!$D107="","",Produtos!$D107))</f>
        <v>169.79</v>
      </c>
      <c r="E107" s="11" t="n">
        <v>0</v>
      </c>
      <c r="F107" s="34" t="n">
        <f aca="false">IF($A107="","",IF($C107="","⚠ categoria",IFERROR(INDEX(Parâmetros!$E$13:$E$22,MATCH($C107,Parâmetros!$A$13:$A$22,0)),"⚠ categoria")))</f>
        <v>0.21</v>
      </c>
      <c r="G107" s="35"/>
      <c r="H107" s="36" t="n">
        <f aca="false">IF($A107="","",IF(ISNUMBER($G107),$G107,IF(ISNUMBER($F107),$F107,"")))</f>
        <v>0.21</v>
      </c>
      <c r="I107" s="37" t="n">
        <f aca="false">IF(OR($A107="",NOT(ISNUMBER($D107)),NOT(ISNUMBER($H107))),"",IF((1-$H107-Parâmetros!$B$7-Parâmetros!$C$7-Parâmetros!$D$7)&lt;=0,"INVALIDO",($D107+IF(ISNUMBER($E107),$E107,0)+IF(ISNUMBER(Parâmetros!$E$7),Parâmetros!$E$7,0))/(1-$H107-Parâmetros!$B$7-Parâmetros!$C$7-Parâmetros!$D$7)))</f>
        <v>369.108695652174</v>
      </c>
      <c r="J107" s="38"/>
      <c r="K107" s="39" t="n">
        <f aca="false">IF(OR($A107="",NOT(ISNUMBER($D107)),NOT(ISNUMBER($H107))),"",IF(AND(ISNUMBER($J107),$J107&gt;0),$J107,IF(ISNUMBER($I107),$I107,"")))</f>
        <v>369.108695652174</v>
      </c>
      <c r="L107" s="40" t="n">
        <f aca="false">IF(ISNUMBER($K107),$K107*$H107,"")</f>
        <v>77.5128260869565</v>
      </c>
      <c r="M107" s="40" t="n">
        <f aca="false">IF(ISNUMBER($K107),$K107*Parâmetros!$B$7,"")</f>
        <v>36.9108695652174</v>
      </c>
      <c r="N107" s="40" t="n">
        <f aca="false">IF(ISNUMBER($K107),$K107*Parâmetros!$C$7,"")</f>
        <v>11.0732608695652</v>
      </c>
      <c r="O107" s="40" t="n">
        <f aca="false">IF(ISNUMBER($K107),IF(ISNUMBER(Parâmetros!$E$7),Parâmetros!$E$7,0),"")</f>
        <v>0</v>
      </c>
      <c r="P107" s="41" t="n">
        <f aca="false">IF(ISNUMBER($K107),$K107-$D107-IF(ISNUMBER($E107),$E107,0)-$L107-$M107-$N107-$O107,"")</f>
        <v>73.8217391304348</v>
      </c>
      <c r="Q107" s="42" t="n">
        <f aca="false">IF(AND(ISNUMBER($K107),$K107&gt;0),$P107/$K107,"")</f>
        <v>0.2</v>
      </c>
      <c r="R107" s="43"/>
      <c r="S107" s="44" t="str">
        <f aca="false">IF(OR(NOT(ISNUMBER($R107)),$R107=0,NOT(ISNUMBER($K107))),"",$K107*(1-$R107))</f>
        <v/>
      </c>
      <c r="T107" s="45" t="str">
        <f aca="false">IF(ISNUMBER($S107),$S107*$H107,"")</f>
        <v/>
      </c>
      <c r="U107" s="45" t="str">
        <f aca="false">IF(ISNUMBER($S107),$S107*Parâmetros!$B$7,"")</f>
        <v/>
      </c>
      <c r="V107" s="45" t="str">
        <f aca="false">IF(ISNUMBER($S107),$S107*Parâmetros!$C$7,"")</f>
        <v/>
      </c>
      <c r="W107" s="44" t="str">
        <f aca="false">IF(ISNUMBER($S107),$S107-$D107-IF(ISNUMBER($E107),$E107,0)-$O107-$T107-$U107-$V107,"")</f>
        <v/>
      </c>
      <c r="X107" s="46" t="str">
        <f aca="false">IF(AND(ISNUMBER($S107),$S107&gt;0),$W107/$S107,"")</f>
        <v/>
      </c>
      <c r="Y107" s="49"/>
      <c r="Z107" s="21"/>
    </row>
    <row r="108" customFormat="false" ht="15.75" hidden="false" customHeight="true" outlineLevel="0" collapsed="false">
      <c r="A108" s="32" t="str">
        <f aca="false">IF(Produtos!$A108="","",Produtos!$A108)</f>
        <v>L2470-BC</v>
      </c>
      <c r="B108" s="32" t="str">
        <f aca="false">IF(Produtos!$A108="","",Produtos!$B108)</f>
        <v>Lixeira de Aço inox 24x70 30L c/Aro basculante colorido</v>
      </c>
      <c r="C108" s="32" t="str">
        <f aca="false">IF(Produtos!$A108="","",Produtos!$C108)</f>
        <v>Lixeiras em inox</v>
      </c>
      <c r="D108" s="33" t="n">
        <f aca="false">IF(Produtos!$A108="","",IF(Produtos!$D108="","",Produtos!$D108))</f>
        <v>235.59</v>
      </c>
      <c r="E108" s="11" t="n">
        <v>0</v>
      </c>
      <c r="F108" s="34" t="n">
        <f aca="false">IF($A108="","",IF($C108="","⚠ categoria",IFERROR(INDEX(Parâmetros!$E$13:$E$22,MATCH($C108,Parâmetros!$A$13:$A$22,0)),"⚠ categoria")))</f>
        <v>0.21</v>
      </c>
      <c r="G108" s="35"/>
      <c r="H108" s="36" t="n">
        <f aca="false">IF($A108="","",IF(ISNUMBER($G108),$G108,IF(ISNUMBER($F108),$F108,"")))</f>
        <v>0.21</v>
      </c>
      <c r="I108" s="37" t="n">
        <f aca="false">IF(OR($A108="",NOT(ISNUMBER($D108)),NOT(ISNUMBER($H108))),"",IF((1-$H108-Parâmetros!$B$7-Parâmetros!$C$7-Parâmetros!$D$7)&lt;=0,"INVALIDO",($D108+IF(ISNUMBER($E108),$E108,0)+IF(ISNUMBER(Parâmetros!$E$7),Parâmetros!$E$7,0))/(1-$H108-Parâmetros!$B$7-Parâmetros!$C$7-Parâmetros!$D$7)))</f>
        <v>512.152173913044</v>
      </c>
      <c r="J108" s="38"/>
      <c r="K108" s="39" t="n">
        <f aca="false">IF(OR($A108="",NOT(ISNUMBER($D108)),NOT(ISNUMBER($H108))),"",IF(AND(ISNUMBER($J108),$J108&gt;0),$J108,IF(ISNUMBER($I108),$I108,"")))</f>
        <v>512.152173913044</v>
      </c>
      <c r="L108" s="40" t="n">
        <f aca="false">IF(ISNUMBER($K108),$K108*$H108,"")</f>
        <v>107.551956521739</v>
      </c>
      <c r="M108" s="40" t="n">
        <f aca="false">IF(ISNUMBER($K108),$K108*Parâmetros!$B$7,"")</f>
        <v>51.2152173913044</v>
      </c>
      <c r="N108" s="40" t="n">
        <f aca="false">IF(ISNUMBER($K108),$K108*Parâmetros!$C$7,"")</f>
        <v>15.3645652173913</v>
      </c>
      <c r="O108" s="40" t="n">
        <f aca="false">IF(ISNUMBER($K108),IF(ISNUMBER(Parâmetros!$E$7),Parâmetros!$E$7,0),"")</f>
        <v>0</v>
      </c>
      <c r="P108" s="41" t="n">
        <f aca="false">IF(ISNUMBER($K108),$K108-$D108-IF(ISNUMBER($E108),$E108,0)-$L108-$M108-$N108-$O108,"")</f>
        <v>102.430434782609</v>
      </c>
      <c r="Q108" s="42" t="n">
        <f aca="false">IF(AND(ISNUMBER($K108),$K108&gt;0),$P108/$K108,"")</f>
        <v>0.2</v>
      </c>
      <c r="R108" s="43"/>
      <c r="S108" s="44" t="str">
        <f aca="false">IF(OR(NOT(ISNUMBER($R108)),$R108=0,NOT(ISNUMBER($K108))),"",$K108*(1-$R108))</f>
        <v/>
      </c>
      <c r="T108" s="45" t="str">
        <f aca="false">IF(ISNUMBER($S108),$S108*$H108,"")</f>
        <v/>
      </c>
      <c r="U108" s="45" t="str">
        <f aca="false">IF(ISNUMBER($S108),$S108*Parâmetros!$B$7,"")</f>
        <v/>
      </c>
      <c r="V108" s="45" t="str">
        <f aca="false">IF(ISNUMBER($S108),$S108*Parâmetros!$C$7,"")</f>
        <v/>
      </c>
      <c r="W108" s="44" t="str">
        <f aca="false">IF(ISNUMBER($S108),$S108-$D108-IF(ISNUMBER($E108),$E108,0)-$O108-$T108-$U108-$V108,"")</f>
        <v/>
      </c>
      <c r="X108" s="46" t="str">
        <f aca="false">IF(AND(ISNUMBER($S108),$S108&gt;0),$W108/$S108,"")</f>
        <v/>
      </c>
      <c r="Y108" s="47"/>
      <c r="Z108" s="19"/>
    </row>
    <row r="109" customFormat="false" ht="15.75" hidden="false" customHeight="true" outlineLevel="0" collapsed="false">
      <c r="A109" s="48" t="str">
        <f aca="false">IF(Produtos!$A109="","",Produtos!$A109)</f>
        <v>L3040-BC</v>
      </c>
      <c r="B109" s="48" t="str">
        <f aca="false">IF(Produtos!$A109="","",Produtos!$B109)</f>
        <v>Lixeira de Aço inox 30x40 30L c/Aro basculante colorido</v>
      </c>
      <c r="C109" s="48" t="str">
        <f aca="false">IF(Produtos!$A109="","",Produtos!$C109)</f>
        <v>Lixeiras em inox</v>
      </c>
      <c r="D109" s="33" t="n">
        <f aca="false">IF(Produtos!$A109="","",IF(Produtos!$D109="","",Produtos!$D109))</f>
        <v>193.14</v>
      </c>
      <c r="E109" s="11" t="n">
        <v>0</v>
      </c>
      <c r="F109" s="34" t="n">
        <f aca="false">IF($A109="","",IF($C109="","⚠ categoria",IFERROR(INDEX(Parâmetros!$E$13:$E$22,MATCH($C109,Parâmetros!$A$13:$A$22,0)),"⚠ categoria")))</f>
        <v>0.21</v>
      </c>
      <c r="G109" s="35"/>
      <c r="H109" s="36" t="n">
        <f aca="false">IF($A109="","",IF(ISNUMBER($G109),$G109,IF(ISNUMBER($F109),$F109,"")))</f>
        <v>0.21</v>
      </c>
      <c r="I109" s="37" t="n">
        <f aca="false">IF(OR($A109="",NOT(ISNUMBER($D109)),NOT(ISNUMBER($H109))),"",IF((1-$H109-Parâmetros!$B$7-Parâmetros!$C$7-Parâmetros!$D$7)&lt;=0,"INVALIDO",($D109+IF(ISNUMBER($E109),$E109,0)+IF(ISNUMBER(Parâmetros!$E$7),Parâmetros!$E$7,0))/(1-$H109-Parâmetros!$B$7-Parâmetros!$C$7-Parâmetros!$D$7)))</f>
        <v>419.869565217391</v>
      </c>
      <c r="J109" s="38"/>
      <c r="K109" s="39" t="n">
        <f aca="false">IF(OR($A109="",NOT(ISNUMBER($D109)),NOT(ISNUMBER($H109))),"",IF(AND(ISNUMBER($J109),$J109&gt;0),$J109,IF(ISNUMBER($I109),$I109,"")))</f>
        <v>419.869565217391</v>
      </c>
      <c r="L109" s="40" t="n">
        <f aca="false">IF(ISNUMBER($K109),$K109*$H109,"")</f>
        <v>88.1726086956522</v>
      </c>
      <c r="M109" s="40" t="n">
        <f aca="false">IF(ISNUMBER($K109),$K109*Parâmetros!$B$7,"")</f>
        <v>41.9869565217391</v>
      </c>
      <c r="N109" s="40" t="n">
        <f aca="false">IF(ISNUMBER($K109),$K109*Parâmetros!$C$7,"")</f>
        <v>12.5960869565217</v>
      </c>
      <c r="O109" s="40" t="n">
        <f aca="false">IF(ISNUMBER($K109),IF(ISNUMBER(Parâmetros!$E$7),Parâmetros!$E$7,0),"")</f>
        <v>0</v>
      </c>
      <c r="P109" s="41" t="n">
        <f aca="false">IF(ISNUMBER($K109),$K109-$D109-IF(ISNUMBER($E109),$E109,0)-$L109-$M109-$N109-$O109,"")</f>
        <v>83.9739130434782</v>
      </c>
      <c r="Q109" s="42" t="n">
        <f aca="false">IF(AND(ISNUMBER($K109),$K109&gt;0),$P109/$K109,"")</f>
        <v>0.2</v>
      </c>
      <c r="R109" s="43"/>
      <c r="S109" s="44" t="str">
        <f aca="false">IF(OR(NOT(ISNUMBER($R109)),$R109=0,NOT(ISNUMBER($K109))),"",$K109*(1-$R109))</f>
        <v/>
      </c>
      <c r="T109" s="45" t="str">
        <f aca="false">IF(ISNUMBER($S109),$S109*$H109,"")</f>
        <v/>
      </c>
      <c r="U109" s="45" t="str">
        <f aca="false">IF(ISNUMBER($S109),$S109*Parâmetros!$B$7,"")</f>
        <v/>
      </c>
      <c r="V109" s="45" t="str">
        <f aca="false">IF(ISNUMBER($S109),$S109*Parâmetros!$C$7,"")</f>
        <v/>
      </c>
      <c r="W109" s="44" t="str">
        <f aca="false">IF(ISNUMBER($S109),$S109-$D109-IF(ISNUMBER($E109),$E109,0)-$O109-$T109-$U109-$V109,"")</f>
        <v/>
      </c>
      <c r="X109" s="46" t="str">
        <f aca="false">IF(AND(ISNUMBER($S109),$S109&gt;0),$W109/$S109,"")</f>
        <v/>
      </c>
      <c r="Y109" s="49"/>
      <c r="Z109" s="21"/>
    </row>
    <row r="110" customFormat="false" ht="15.75" hidden="false" customHeight="true" outlineLevel="0" collapsed="false">
      <c r="A110" s="32" t="str">
        <f aca="false">IF(Produtos!$A110="","",Produtos!$A110)</f>
        <v>L3050-BC</v>
      </c>
      <c r="B110" s="32" t="str">
        <f aca="false">IF(Produtos!$A110="","",Produtos!$B110)</f>
        <v>Lixeira de Aço inox 30x50 35L c/Aro basculante colorido</v>
      </c>
      <c r="C110" s="32" t="str">
        <f aca="false">IF(Produtos!$A110="","",Produtos!$C110)</f>
        <v>Lixeiras em inox</v>
      </c>
      <c r="D110" s="33" t="n">
        <f aca="false">IF(Produtos!$A110="","",IF(Produtos!$D110="","",Produtos!$D110))</f>
        <v>237.59</v>
      </c>
      <c r="E110" s="11" t="n">
        <v>0</v>
      </c>
      <c r="F110" s="34" t="n">
        <f aca="false">IF($A110="","",IF($C110="","⚠ categoria",IFERROR(INDEX(Parâmetros!$E$13:$E$22,MATCH($C110,Parâmetros!$A$13:$A$22,0)),"⚠ categoria")))</f>
        <v>0.21</v>
      </c>
      <c r="G110" s="35"/>
      <c r="H110" s="36" t="n">
        <f aca="false">IF($A110="","",IF(ISNUMBER($G110),$G110,IF(ISNUMBER($F110),$F110,"")))</f>
        <v>0.21</v>
      </c>
      <c r="I110" s="37" t="n">
        <f aca="false">IF(OR($A110="",NOT(ISNUMBER($D110)),NOT(ISNUMBER($H110))),"",IF((1-$H110-Parâmetros!$B$7-Parâmetros!$C$7-Parâmetros!$D$7)&lt;=0,"INVALIDO",($D110+IF(ISNUMBER($E110),$E110,0)+IF(ISNUMBER(Parâmetros!$E$7),Parâmetros!$E$7,0))/(1-$H110-Parâmetros!$B$7-Parâmetros!$C$7-Parâmetros!$D$7)))</f>
        <v>516.5</v>
      </c>
      <c r="J110" s="38"/>
      <c r="K110" s="39" t="n">
        <f aca="false">IF(OR($A110="",NOT(ISNUMBER($D110)),NOT(ISNUMBER($H110))),"",IF(AND(ISNUMBER($J110),$J110&gt;0),$J110,IF(ISNUMBER($I110),$I110,"")))</f>
        <v>516.5</v>
      </c>
      <c r="L110" s="40" t="n">
        <f aca="false">IF(ISNUMBER($K110),$K110*$H110,"")</f>
        <v>108.465</v>
      </c>
      <c r="M110" s="40" t="n">
        <f aca="false">IF(ISNUMBER($K110),$K110*Parâmetros!$B$7,"")</f>
        <v>51.65</v>
      </c>
      <c r="N110" s="40" t="n">
        <f aca="false">IF(ISNUMBER($K110),$K110*Parâmetros!$C$7,"")</f>
        <v>15.495</v>
      </c>
      <c r="O110" s="40" t="n">
        <f aca="false">IF(ISNUMBER($K110),IF(ISNUMBER(Parâmetros!$E$7),Parâmetros!$E$7,0),"")</f>
        <v>0</v>
      </c>
      <c r="P110" s="41" t="n">
        <f aca="false">IF(ISNUMBER($K110),$K110-$D110-IF(ISNUMBER($E110),$E110,0)-$L110-$M110-$N110-$O110,"")</f>
        <v>103.3</v>
      </c>
      <c r="Q110" s="42" t="n">
        <f aca="false">IF(AND(ISNUMBER($K110),$K110&gt;0),$P110/$K110,"")</f>
        <v>0.2</v>
      </c>
      <c r="R110" s="43"/>
      <c r="S110" s="44" t="str">
        <f aca="false">IF(OR(NOT(ISNUMBER($R110)),$R110=0,NOT(ISNUMBER($K110))),"",$K110*(1-$R110))</f>
        <v/>
      </c>
      <c r="T110" s="45" t="str">
        <f aca="false">IF(ISNUMBER($S110),$S110*$H110,"")</f>
        <v/>
      </c>
      <c r="U110" s="45" t="str">
        <f aca="false">IF(ISNUMBER($S110),$S110*Parâmetros!$B$7,"")</f>
        <v/>
      </c>
      <c r="V110" s="45" t="str">
        <f aca="false">IF(ISNUMBER($S110),$S110*Parâmetros!$C$7,"")</f>
        <v/>
      </c>
      <c r="W110" s="44" t="str">
        <f aca="false">IF(ISNUMBER($S110),$S110-$D110-IF(ISNUMBER($E110),$E110,0)-$O110-$T110-$U110-$V110,"")</f>
        <v/>
      </c>
      <c r="X110" s="46" t="str">
        <f aca="false">IF(AND(ISNUMBER($S110),$S110&gt;0),$W110/$S110,"")</f>
        <v/>
      </c>
      <c r="Y110" s="47"/>
      <c r="Z110" s="19"/>
    </row>
    <row r="111" customFormat="false" ht="15.75" hidden="false" customHeight="true" outlineLevel="0" collapsed="false">
      <c r="A111" s="48" t="str">
        <f aca="false">IF(Produtos!$A111="","",Produtos!$A111)</f>
        <v>L3060-BC</v>
      </c>
      <c r="B111" s="48" t="str">
        <f aca="false">IF(Produtos!$A111="","",Produtos!$B111)</f>
        <v>Lixeira de Aço inox 30x60 40L c/Aro basculante colorido</v>
      </c>
      <c r="C111" s="48" t="str">
        <f aca="false">IF(Produtos!$A111="","",Produtos!$C111)</f>
        <v>Lixeiras em inox</v>
      </c>
      <c r="D111" s="33" t="n">
        <f aca="false">IF(Produtos!$A111="","",IF(Produtos!$D111="","",Produtos!$D111))</f>
        <v>258.38</v>
      </c>
      <c r="E111" s="11" t="n">
        <v>0</v>
      </c>
      <c r="F111" s="34" t="n">
        <f aca="false">IF($A111="","",IF($C111="","⚠ categoria",IFERROR(INDEX(Parâmetros!$E$13:$E$22,MATCH($C111,Parâmetros!$A$13:$A$22,0)),"⚠ categoria")))</f>
        <v>0.21</v>
      </c>
      <c r="G111" s="35"/>
      <c r="H111" s="36" t="n">
        <f aca="false">IF($A111="","",IF(ISNUMBER($G111),$G111,IF(ISNUMBER($F111),$F111,"")))</f>
        <v>0.21</v>
      </c>
      <c r="I111" s="37" t="n">
        <f aca="false">IF(OR($A111="",NOT(ISNUMBER($D111)),NOT(ISNUMBER($H111))),"",IF((1-$H111-Parâmetros!$B$7-Parâmetros!$C$7-Parâmetros!$D$7)&lt;=0,"INVALIDO",($D111+IF(ISNUMBER($E111),$E111,0)+IF(ISNUMBER(Parâmetros!$E$7),Parâmetros!$E$7,0))/(1-$H111-Parâmetros!$B$7-Parâmetros!$C$7-Parâmetros!$D$7)))</f>
        <v>561.695652173913</v>
      </c>
      <c r="J111" s="38"/>
      <c r="K111" s="39" t="n">
        <f aca="false">IF(OR($A111="",NOT(ISNUMBER($D111)),NOT(ISNUMBER($H111))),"",IF(AND(ISNUMBER($J111),$J111&gt;0),$J111,IF(ISNUMBER($I111),$I111,"")))</f>
        <v>561.695652173913</v>
      </c>
      <c r="L111" s="40" t="n">
        <f aca="false">IF(ISNUMBER($K111),$K111*$H111,"")</f>
        <v>117.956086956522</v>
      </c>
      <c r="M111" s="40" t="n">
        <f aca="false">IF(ISNUMBER($K111),$K111*Parâmetros!$B$7,"")</f>
        <v>56.1695652173913</v>
      </c>
      <c r="N111" s="40" t="n">
        <f aca="false">IF(ISNUMBER($K111),$K111*Parâmetros!$C$7,"")</f>
        <v>16.8508695652174</v>
      </c>
      <c r="O111" s="40" t="n">
        <f aca="false">IF(ISNUMBER($K111),IF(ISNUMBER(Parâmetros!$E$7),Parâmetros!$E$7,0),"")</f>
        <v>0</v>
      </c>
      <c r="P111" s="41" t="n">
        <f aca="false">IF(ISNUMBER($K111),$K111-$D111-IF(ISNUMBER($E111),$E111,0)-$L111-$M111-$N111-$O111,"")</f>
        <v>112.339130434783</v>
      </c>
      <c r="Q111" s="42" t="n">
        <f aca="false">IF(AND(ISNUMBER($K111),$K111&gt;0),$P111/$K111,"")</f>
        <v>0.2</v>
      </c>
      <c r="R111" s="43"/>
      <c r="S111" s="44" t="str">
        <f aca="false">IF(OR(NOT(ISNUMBER($R111)),$R111=0,NOT(ISNUMBER($K111))),"",$K111*(1-$R111))</f>
        <v/>
      </c>
      <c r="T111" s="45" t="str">
        <f aca="false">IF(ISNUMBER($S111),$S111*$H111,"")</f>
        <v/>
      </c>
      <c r="U111" s="45" t="str">
        <f aca="false">IF(ISNUMBER($S111),$S111*Parâmetros!$B$7,"")</f>
        <v/>
      </c>
      <c r="V111" s="45" t="str">
        <f aca="false">IF(ISNUMBER($S111),$S111*Parâmetros!$C$7,"")</f>
        <v/>
      </c>
      <c r="W111" s="44" t="str">
        <f aca="false">IF(ISNUMBER($S111),$S111-$D111-IF(ISNUMBER($E111),$E111,0)-$O111-$T111-$U111-$V111,"")</f>
        <v/>
      </c>
      <c r="X111" s="46" t="str">
        <f aca="false">IF(AND(ISNUMBER($S111),$S111&gt;0),$W111/$S111,"")</f>
        <v/>
      </c>
      <c r="Y111" s="49"/>
      <c r="Z111" s="21"/>
    </row>
    <row r="112" customFormat="false" ht="15.75" hidden="false" customHeight="true" outlineLevel="0" collapsed="false">
      <c r="A112" s="32" t="str">
        <f aca="false">IF(Produtos!$A112="","",Produtos!$A112)</f>
        <v>L3070-BC</v>
      </c>
      <c r="B112" s="32" t="str">
        <f aca="false">IF(Produtos!$A112="","",Produtos!$B112)</f>
        <v>Lixeira de Aço inox 30x70 50L c/Aro basculante colorido</v>
      </c>
      <c r="C112" s="32" t="str">
        <f aca="false">IF(Produtos!$A112="","",Produtos!$C112)</f>
        <v>Lixeiras em inox</v>
      </c>
      <c r="D112" s="33" t="n">
        <f aca="false">IF(Produtos!$A112="","",IF(Produtos!$D112="","",Produtos!$D112))</f>
        <v>300.03</v>
      </c>
      <c r="E112" s="11" t="n">
        <v>0</v>
      </c>
      <c r="F112" s="34" t="n">
        <f aca="false">IF($A112="","",IF($C112="","⚠ categoria",IFERROR(INDEX(Parâmetros!$E$13:$E$22,MATCH($C112,Parâmetros!$A$13:$A$22,0)),"⚠ categoria")))</f>
        <v>0.21</v>
      </c>
      <c r="G112" s="35"/>
      <c r="H112" s="36" t="n">
        <f aca="false">IF($A112="","",IF(ISNUMBER($G112),$G112,IF(ISNUMBER($F112),$F112,"")))</f>
        <v>0.21</v>
      </c>
      <c r="I112" s="37" t="n">
        <f aca="false">IF(OR($A112="",NOT(ISNUMBER($D112)),NOT(ISNUMBER($H112))),"",IF((1-$H112-Parâmetros!$B$7-Parâmetros!$C$7-Parâmetros!$D$7)&lt;=0,"INVALIDO",($D112+IF(ISNUMBER($E112),$E112,0)+IF(ISNUMBER(Parâmetros!$E$7),Parâmetros!$E$7,0))/(1-$H112-Parâmetros!$B$7-Parâmetros!$C$7-Parâmetros!$D$7)))</f>
        <v>652.239130434783</v>
      </c>
      <c r="J112" s="38"/>
      <c r="K112" s="39" t="n">
        <f aca="false">IF(OR($A112="",NOT(ISNUMBER($D112)),NOT(ISNUMBER($H112))),"",IF(AND(ISNUMBER($J112),$J112&gt;0),$J112,IF(ISNUMBER($I112),$I112,"")))</f>
        <v>652.239130434783</v>
      </c>
      <c r="L112" s="40" t="n">
        <f aca="false">IF(ISNUMBER($K112),$K112*$H112,"")</f>
        <v>136.970217391304</v>
      </c>
      <c r="M112" s="40" t="n">
        <f aca="false">IF(ISNUMBER($K112),$K112*Parâmetros!$B$7,"")</f>
        <v>65.2239130434783</v>
      </c>
      <c r="N112" s="40" t="n">
        <f aca="false">IF(ISNUMBER($K112),$K112*Parâmetros!$C$7,"")</f>
        <v>19.5671739130435</v>
      </c>
      <c r="O112" s="40" t="n">
        <f aca="false">IF(ISNUMBER($K112),IF(ISNUMBER(Parâmetros!$E$7),Parâmetros!$E$7,0),"")</f>
        <v>0</v>
      </c>
      <c r="P112" s="41" t="n">
        <f aca="false">IF(ISNUMBER($K112),$K112-$D112-IF(ISNUMBER($E112),$E112,0)-$L112-$M112-$N112-$O112,"")</f>
        <v>130.447826086957</v>
      </c>
      <c r="Q112" s="42" t="n">
        <f aca="false">IF(AND(ISNUMBER($K112),$K112&gt;0),$P112/$K112,"")</f>
        <v>0.2</v>
      </c>
      <c r="R112" s="43"/>
      <c r="S112" s="44" t="str">
        <f aca="false">IF(OR(NOT(ISNUMBER($R112)),$R112=0,NOT(ISNUMBER($K112))),"",$K112*(1-$R112))</f>
        <v/>
      </c>
      <c r="T112" s="45" t="str">
        <f aca="false">IF(ISNUMBER($S112),$S112*$H112,"")</f>
        <v/>
      </c>
      <c r="U112" s="45" t="str">
        <f aca="false">IF(ISNUMBER($S112),$S112*Parâmetros!$B$7,"")</f>
        <v/>
      </c>
      <c r="V112" s="45" t="str">
        <f aca="false">IF(ISNUMBER($S112),$S112*Parâmetros!$C$7,"")</f>
        <v/>
      </c>
      <c r="W112" s="44" t="str">
        <f aca="false">IF(ISNUMBER($S112),$S112-$D112-IF(ISNUMBER($E112),$E112,0)-$O112-$T112-$U112-$V112,"")</f>
        <v/>
      </c>
      <c r="X112" s="46" t="str">
        <f aca="false">IF(AND(ISNUMBER($S112),$S112&gt;0),$W112/$S112,"")</f>
        <v/>
      </c>
      <c r="Y112" s="47"/>
      <c r="Z112" s="19"/>
    </row>
    <row r="113" customFormat="false" ht="15.75" hidden="false" customHeight="true" outlineLevel="0" collapsed="false">
      <c r="A113" s="48" t="str">
        <f aca="false">IF(Produtos!$A113="","",Produtos!$A113)</f>
        <v>L3085-BC</v>
      </c>
      <c r="B113" s="48" t="str">
        <f aca="false">IF(Produtos!$A113="","",Produtos!$B113)</f>
        <v>Lixeira de Aço inox 30x85 60L c/Aro basculante colorido</v>
      </c>
      <c r="C113" s="48" t="str">
        <f aca="false">IF(Produtos!$A113="","",Produtos!$C113)</f>
        <v>Lixeiras em inox</v>
      </c>
      <c r="D113" s="33" t="n">
        <f aca="false">IF(Produtos!$A113="","",IF(Produtos!$D113="","",Produtos!$D113))</f>
        <v>363.87</v>
      </c>
      <c r="E113" s="11" t="n">
        <v>0</v>
      </c>
      <c r="F113" s="34" t="n">
        <f aca="false">IF($A113="","",IF($C113="","⚠ categoria",IFERROR(INDEX(Parâmetros!$E$13:$E$22,MATCH($C113,Parâmetros!$A$13:$A$22,0)),"⚠ categoria")))</f>
        <v>0.21</v>
      </c>
      <c r="G113" s="35"/>
      <c r="H113" s="36" t="n">
        <f aca="false">IF($A113="","",IF(ISNUMBER($G113),$G113,IF(ISNUMBER($F113),$F113,"")))</f>
        <v>0.21</v>
      </c>
      <c r="I113" s="37" t="n">
        <f aca="false">IF(OR($A113="",NOT(ISNUMBER($D113)),NOT(ISNUMBER($H113))),"",IF((1-$H113-Parâmetros!$B$7-Parâmetros!$C$7-Parâmetros!$D$7)&lt;=0,"INVALIDO",($D113+IF(ISNUMBER($E113),$E113,0)+IF(ISNUMBER(Parâmetros!$E$7),Parâmetros!$E$7,0))/(1-$H113-Parâmetros!$B$7-Parâmetros!$C$7-Parâmetros!$D$7)))</f>
        <v>791.021739130435</v>
      </c>
      <c r="J113" s="38"/>
      <c r="K113" s="39" t="n">
        <f aca="false">IF(OR($A113="",NOT(ISNUMBER($D113)),NOT(ISNUMBER($H113))),"",IF(AND(ISNUMBER($J113),$J113&gt;0),$J113,IF(ISNUMBER($I113),$I113,"")))</f>
        <v>791.021739130435</v>
      </c>
      <c r="L113" s="40" t="n">
        <f aca="false">IF(ISNUMBER($K113),$K113*$H113,"")</f>
        <v>166.114565217391</v>
      </c>
      <c r="M113" s="40" t="n">
        <f aca="false">IF(ISNUMBER($K113),$K113*Parâmetros!$B$7,"")</f>
        <v>79.1021739130435</v>
      </c>
      <c r="N113" s="40" t="n">
        <f aca="false">IF(ISNUMBER($K113),$K113*Parâmetros!$C$7,"")</f>
        <v>23.730652173913</v>
      </c>
      <c r="O113" s="40" t="n">
        <f aca="false">IF(ISNUMBER($K113),IF(ISNUMBER(Parâmetros!$E$7),Parâmetros!$E$7,0),"")</f>
        <v>0</v>
      </c>
      <c r="P113" s="41" t="n">
        <f aca="false">IF(ISNUMBER($K113),$K113-$D113-IF(ISNUMBER($E113),$E113,0)-$L113-$M113-$N113-$O113,"")</f>
        <v>158.204347826087</v>
      </c>
      <c r="Q113" s="42" t="n">
        <f aca="false">IF(AND(ISNUMBER($K113),$K113&gt;0),$P113/$K113,"")</f>
        <v>0.2</v>
      </c>
      <c r="R113" s="43"/>
      <c r="S113" s="44" t="str">
        <f aca="false">IF(OR(NOT(ISNUMBER($R113)),$R113=0,NOT(ISNUMBER($K113))),"",$K113*(1-$R113))</f>
        <v/>
      </c>
      <c r="T113" s="45" t="str">
        <f aca="false">IF(ISNUMBER($S113),$S113*$H113,"")</f>
        <v/>
      </c>
      <c r="U113" s="45" t="str">
        <f aca="false">IF(ISNUMBER($S113),$S113*Parâmetros!$B$7,"")</f>
        <v/>
      </c>
      <c r="V113" s="45" t="str">
        <f aca="false">IF(ISNUMBER($S113),$S113*Parâmetros!$C$7,"")</f>
        <v/>
      </c>
      <c r="W113" s="44" t="str">
        <f aca="false">IF(ISNUMBER($S113),$S113-$D113-IF(ISNUMBER($E113),$E113,0)-$O113-$T113-$U113-$V113,"")</f>
        <v/>
      </c>
      <c r="X113" s="46" t="str">
        <f aca="false">IF(AND(ISNUMBER($S113),$S113&gt;0),$W113/$S113,"")</f>
        <v/>
      </c>
      <c r="Y113" s="49"/>
      <c r="Z113" s="21"/>
    </row>
    <row r="114" customFormat="false" ht="15.75" hidden="false" customHeight="true" outlineLevel="0" collapsed="false">
      <c r="A114" s="32" t="str">
        <f aca="false">IF(Produtos!$A114="","",Produtos!$A114)</f>
        <v>L4050-BC</v>
      </c>
      <c r="B114" s="32" t="str">
        <f aca="false">IF(Produtos!$A114="","",Produtos!$B114)</f>
        <v>Lixeira de Aço inox 40x50 62L c/Aro basculante colorido</v>
      </c>
      <c r="C114" s="32" t="str">
        <f aca="false">IF(Produtos!$A114="","",Produtos!$C114)</f>
        <v>Lixeiras em inox</v>
      </c>
      <c r="D114" s="33" t="n">
        <f aca="false">IF(Produtos!$A114="","",IF(Produtos!$D114="","",Produtos!$D114))</f>
        <v>372.71</v>
      </c>
      <c r="E114" s="11" t="n">
        <v>0</v>
      </c>
      <c r="F114" s="34" t="n">
        <f aca="false">IF($A114="","",IF($C114="","⚠ categoria",IFERROR(INDEX(Parâmetros!$E$13:$E$22,MATCH($C114,Parâmetros!$A$13:$A$22,0)),"⚠ categoria")))</f>
        <v>0.21</v>
      </c>
      <c r="G114" s="35"/>
      <c r="H114" s="36" t="n">
        <f aca="false">IF($A114="","",IF(ISNUMBER($G114),$G114,IF(ISNUMBER($F114),$F114,"")))</f>
        <v>0.21</v>
      </c>
      <c r="I114" s="37" t="n">
        <f aca="false">IF(OR($A114="",NOT(ISNUMBER($D114)),NOT(ISNUMBER($H114))),"",IF((1-$H114-Parâmetros!$B$7-Parâmetros!$C$7-Parâmetros!$D$7)&lt;=0,"INVALIDO",($D114+IF(ISNUMBER($E114),$E114,0)+IF(ISNUMBER(Parâmetros!$E$7),Parâmetros!$E$7,0))/(1-$H114-Parâmetros!$B$7-Parâmetros!$C$7-Parâmetros!$D$7)))</f>
        <v>810.239130434783</v>
      </c>
      <c r="J114" s="38"/>
      <c r="K114" s="39" t="n">
        <f aca="false">IF(OR($A114="",NOT(ISNUMBER($D114)),NOT(ISNUMBER($H114))),"",IF(AND(ISNUMBER($J114),$J114&gt;0),$J114,IF(ISNUMBER($I114),$I114,"")))</f>
        <v>810.239130434783</v>
      </c>
      <c r="L114" s="40" t="n">
        <f aca="false">IF(ISNUMBER($K114),$K114*$H114,"")</f>
        <v>170.150217391304</v>
      </c>
      <c r="M114" s="40" t="n">
        <f aca="false">IF(ISNUMBER($K114),$K114*Parâmetros!$B$7,"")</f>
        <v>81.0239130434783</v>
      </c>
      <c r="N114" s="40" t="n">
        <f aca="false">IF(ISNUMBER($K114),$K114*Parâmetros!$C$7,"")</f>
        <v>24.3071739130435</v>
      </c>
      <c r="O114" s="40" t="n">
        <f aca="false">IF(ISNUMBER($K114),IF(ISNUMBER(Parâmetros!$E$7),Parâmetros!$E$7,0),"")</f>
        <v>0</v>
      </c>
      <c r="P114" s="41" t="n">
        <f aca="false">IF(ISNUMBER($K114),$K114-$D114-IF(ISNUMBER($E114),$E114,0)-$L114-$M114-$N114-$O114,"")</f>
        <v>162.047826086956</v>
      </c>
      <c r="Q114" s="42" t="n">
        <f aca="false">IF(AND(ISNUMBER($K114),$K114&gt;0),$P114/$K114,"")</f>
        <v>0.2</v>
      </c>
      <c r="R114" s="43"/>
      <c r="S114" s="44" t="str">
        <f aca="false">IF(OR(NOT(ISNUMBER($R114)),$R114=0,NOT(ISNUMBER($K114))),"",$K114*(1-$R114))</f>
        <v/>
      </c>
      <c r="T114" s="45" t="str">
        <f aca="false">IF(ISNUMBER($S114),$S114*$H114,"")</f>
        <v/>
      </c>
      <c r="U114" s="45" t="str">
        <f aca="false">IF(ISNUMBER($S114),$S114*Parâmetros!$B$7,"")</f>
        <v/>
      </c>
      <c r="V114" s="45" t="str">
        <f aca="false">IF(ISNUMBER($S114),$S114*Parâmetros!$C$7,"")</f>
        <v/>
      </c>
      <c r="W114" s="44" t="str">
        <f aca="false">IF(ISNUMBER($S114),$S114-$D114-IF(ISNUMBER($E114),$E114,0)-$O114-$T114-$U114-$V114,"")</f>
        <v/>
      </c>
      <c r="X114" s="46" t="str">
        <f aca="false">IF(AND(ISNUMBER($S114),$S114&gt;0),$W114/$S114,"")</f>
        <v/>
      </c>
      <c r="Y114" s="47"/>
      <c r="Z114" s="19"/>
    </row>
    <row r="115" customFormat="false" ht="15.75" hidden="false" customHeight="true" outlineLevel="0" collapsed="false">
      <c r="A115" s="48" t="str">
        <f aca="false">IF(Produtos!$A115="","",Produtos!$A115)</f>
        <v>L4060-BC</v>
      </c>
      <c r="B115" s="48" t="str">
        <f aca="false">IF(Produtos!$A115="","",Produtos!$B115)</f>
        <v>Lixeira de Aço inox 40x60 75L c/Aro basculante colorido</v>
      </c>
      <c r="C115" s="48" t="str">
        <f aca="false">IF(Produtos!$A115="","",Produtos!$C115)</f>
        <v>Lixeiras em inox</v>
      </c>
      <c r="D115" s="33" t="n">
        <f aca="false">IF(Produtos!$A115="","",IF(Produtos!$D115="","",Produtos!$D115))</f>
        <v>389.53</v>
      </c>
      <c r="E115" s="11" t="n">
        <v>0</v>
      </c>
      <c r="F115" s="34" t="n">
        <f aca="false">IF($A115="","",IF($C115="","⚠ categoria",IFERROR(INDEX(Parâmetros!$E$13:$E$22,MATCH($C115,Parâmetros!$A$13:$A$22,0)),"⚠ categoria")))</f>
        <v>0.21</v>
      </c>
      <c r="G115" s="35"/>
      <c r="H115" s="36" t="n">
        <f aca="false">IF($A115="","",IF(ISNUMBER($G115),$G115,IF(ISNUMBER($F115),$F115,"")))</f>
        <v>0.21</v>
      </c>
      <c r="I115" s="37" t="n">
        <f aca="false">IF(OR($A115="",NOT(ISNUMBER($D115)),NOT(ISNUMBER($H115))),"",IF((1-$H115-Parâmetros!$B$7-Parâmetros!$C$7-Parâmetros!$D$7)&lt;=0,"INVALIDO",($D115+IF(ISNUMBER($E115),$E115,0)+IF(ISNUMBER(Parâmetros!$E$7),Parâmetros!$E$7,0))/(1-$H115-Parâmetros!$B$7-Parâmetros!$C$7-Parâmetros!$D$7)))</f>
        <v>846.804347826087</v>
      </c>
      <c r="J115" s="38"/>
      <c r="K115" s="39" t="n">
        <f aca="false">IF(OR($A115="",NOT(ISNUMBER($D115)),NOT(ISNUMBER($H115))),"",IF(AND(ISNUMBER($J115),$J115&gt;0),$J115,IF(ISNUMBER($I115),$I115,"")))</f>
        <v>846.804347826087</v>
      </c>
      <c r="L115" s="40" t="n">
        <f aca="false">IF(ISNUMBER($K115),$K115*$H115,"")</f>
        <v>177.828913043478</v>
      </c>
      <c r="M115" s="40" t="n">
        <f aca="false">IF(ISNUMBER($K115),$K115*Parâmetros!$B$7,"")</f>
        <v>84.6804347826087</v>
      </c>
      <c r="N115" s="40" t="n">
        <f aca="false">IF(ISNUMBER($K115),$K115*Parâmetros!$C$7,"")</f>
        <v>25.4041304347826</v>
      </c>
      <c r="O115" s="40" t="n">
        <f aca="false">IF(ISNUMBER($K115),IF(ISNUMBER(Parâmetros!$E$7),Parâmetros!$E$7,0),"")</f>
        <v>0</v>
      </c>
      <c r="P115" s="41" t="n">
        <f aca="false">IF(ISNUMBER($K115),$K115-$D115-IF(ISNUMBER($E115),$E115,0)-$L115-$M115-$N115-$O115,"")</f>
        <v>169.360869565217</v>
      </c>
      <c r="Q115" s="42" t="n">
        <f aca="false">IF(AND(ISNUMBER($K115),$K115&gt;0),$P115/$K115,"")</f>
        <v>0.2</v>
      </c>
      <c r="R115" s="43"/>
      <c r="S115" s="44" t="str">
        <f aca="false">IF(OR(NOT(ISNUMBER($R115)),$R115=0,NOT(ISNUMBER($K115))),"",$K115*(1-$R115))</f>
        <v/>
      </c>
      <c r="T115" s="45" t="str">
        <f aca="false">IF(ISNUMBER($S115),$S115*$H115,"")</f>
        <v/>
      </c>
      <c r="U115" s="45" t="str">
        <f aca="false">IF(ISNUMBER($S115),$S115*Parâmetros!$B$7,"")</f>
        <v/>
      </c>
      <c r="V115" s="45" t="str">
        <f aca="false">IF(ISNUMBER($S115),$S115*Parâmetros!$C$7,"")</f>
        <v/>
      </c>
      <c r="W115" s="44" t="str">
        <f aca="false">IF(ISNUMBER($S115),$S115-$D115-IF(ISNUMBER($E115),$E115,0)-$O115-$T115-$U115-$V115,"")</f>
        <v/>
      </c>
      <c r="X115" s="46" t="str">
        <f aca="false">IF(AND(ISNUMBER($S115),$S115&gt;0),$W115/$S115,"")</f>
        <v/>
      </c>
      <c r="Y115" s="49"/>
      <c r="Z115" s="21"/>
    </row>
    <row r="116" customFormat="false" ht="15.75" hidden="false" customHeight="true" outlineLevel="0" collapsed="false">
      <c r="A116" s="32" t="str">
        <f aca="false">IF(Produtos!$A116="","",Produtos!$A116)</f>
        <v>L4070-BC</v>
      </c>
      <c r="B116" s="32" t="str">
        <f aca="false">IF(Produtos!$A116="","",Produtos!$B116)</f>
        <v>Lixeira de Aço inox 40x70 88L c/Aro basculante colorido</v>
      </c>
      <c r="C116" s="32" t="str">
        <f aca="false">IF(Produtos!$A116="","",Produtos!$C116)</f>
        <v>Lixeiras em inox</v>
      </c>
      <c r="D116" s="33" t="n">
        <f aca="false">IF(Produtos!$A116="","",IF(Produtos!$D116="","",Produtos!$D116))</f>
        <v>391.36</v>
      </c>
      <c r="E116" s="11" t="n">
        <v>0</v>
      </c>
      <c r="F116" s="34" t="n">
        <f aca="false">IF($A116="","",IF($C116="","⚠ categoria",IFERROR(INDEX(Parâmetros!$E$13:$E$22,MATCH($C116,Parâmetros!$A$13:$A$22,0)),"⚠ categoria")))</f>
        <v>0.21</v>
      </c>
      <c r="G116" s="35"/>
      <c r="H116" s="36" t="n">
        <f aca="false">IF($A116="","",IF(ISNUMBER($G116),$G116,IF(ISNUMBER($F116),$F116,"")))</f>
        <v>0.21</v>
      </c>
      <c r="I116" s="37" t="n">
        <f aca="false">IF(OR($A116="",NOT(ISNUMBER($D116)),NOT(ISNUMBER($H116))),"",IF((1-$H116-Parâmetros!$B$7-Parâmetros!$C$7-Parâmetros!$D$7)&lt;=0,"INVALIDO",($D116+IF(ISNUMBER($E116),$E116,0)+IF(ISNUMBER(Parâmetros!$E$7),Parâmetros!$E$7,0))/(1-$H116-Parâmetros!$B$7-Parâmetros!$C$7-Parâmetros!$D$7)))</f>
        <v>850.782608695652</v>
      </c>
      <c r="J116" s="38"/>
      <c r="K116" s="39" t="n">
        <f aca="false">IF(OR($A116="",NOT(ISNUMBER($D116)),NOT(ISNUMBER($H116))),"",IF(AND(ISNUMBER($J116),$J116&gt;0),$J116,IF(ISNUMBER($I116),$I116,"")))</f>
        <v>850.782608695652</v>
      </c>
      <c r="L116" s="40" t="n">
        <f aca="false">IF(ISNUMBER($K116),$K116*$H116,"")</f>
        <v>178.664347826087</v>
      </c>
      <c r="M116" s="40" t="n">
        <f aca="false">IF(ISNUMBER($K116),$K116*Parâmetros!$B$7,"")</f>
        <v>85.0782608695652</v>
      </c>
      <c r="N116" s="40" t="n">
        <f aca="false">IF(ISNUMBER($K116),$K116*Parâmetros!$C$7,"")</f>
        <v>25.5234782608696</v>
      </c>
      <c r="O116" s="40" t="n">
        <f aca="false">IF(ISNUMBER($K116),IF(ISNUMBER(Parâmetros!$E$7),Parâmetros!$E$7,0),"")</f>
        <v>0</v>
      </c>
      <c r="P116" s="41" t="n">
        <f aca="false">IF(ISNUMBER($K116),$K116-$D116-IF(ISNUMBER($E116),$E116,0)-$L116-$M116-$N116-$O116,"")</f>
        <v>170.15652173913</v>
      </c>
      <c r="Q116" s="42" t="n">
        <f aca="false">IF(AND(ISNUMBER($K116),$K116&gt;0),$P116/$K116,"")</f>
        <v>0.2</v>
      </c>
      <c r="R116" s="43"/>
      <c r="S116" s="44" t="str">
        <f aca="false">IF(OR(NOT(ISNUMBER($R116)),$R116=0,NOT(ISNUMBER($K116))),"",$K116*(1-$R116))</f>
        <v/>
      </c>
      <c r="T116" s="45" t="str">
        <f aca="false">IF(ISNUMBER($S116),$S116*$H116,"")</f>
        <v/>
      </c>
      <c r="U116" s="45" t="str">
        <f aca="false">IF(ISNUMBER($S116),$S116*Parâmetros!$B$7,"")</f>
        <v/>
      </c>
      <c r="V116" s="45" t="str">
        <f aca="false">IF(ISNUMBER($S116),$S116*Parâmetros!$C$7,"")</f>
        <v/>
      </c>
      <c r="W116" s="44" t="str">
        <f aca="false">IF(ISNUMBER($S116),$S116-$D116-IF(ISNUMBER($E116),$E116,0)-$O116-$T116-$U116-$V116,"")</f>
        <v/>
      </c>
      <c r="X116" s="46" t="str">
        <f aca="false">IF(AND(ISNUMBER($S116),$S116&gt;0),$W116/$S116,"")</f>
        <v/>
      </c>
      <c r="Y116" s="47"/>
      <c r="Z116" s="19"/>
    </row>
    <row r="117" customFormat="false" ht="15.75" hidden="false" customHeight="true" outlineLevel="0" collapsed="false">
      <c r="A117" s="48" t="str">
        <f aca="false">IF(Produtos!$A117="","",Produtos!$A117)</f>
        <v>L4075-BC</v>
      </c>
      <c r="B117" s="48" t="str">
        <f aca="false">IF(Produtos!$A117="","",Produtos!$B117)</f>
        <v>Lixeira de Aço inox 40x75 95L c/Aro basculante colorido</v>
      </c>
      <c r="C117" s="48" t="str">
        <f aca="false">IF(Produtos!$A117="","",Produtos!$C117)</f>
        <v>Lixeiras em inox</v>
      </c>
      <c r="D117" s="33" t="n">
        <f aca="false">IF(Produtos!$A117="","",IF(Produtos!$D117="","",Produtos!$D117))</f>
        <v>452.95</v>
      </c>
      <c r="E117" s="11" t="n">
        <v>0</v>
      </c>
      <c r="F117" s="34" t="n">
        <f aca="false">IF($A117="","",IF($C117="","⚠ categoria",IFERROR(INDEX(Parâmetros!$E$13:$E$22,MATCH($C117,Parâmetros!$A$13:$A$22,0)),"⚠ categoria")))</f>
        <v>0.21</v>
      </c>
      <c r="G117" s="35"/>
      <c r="H117" s="36" t="n">
        <f aca="false">IF($A117="","",IF(ISNUMBER($G117),$G117,IF(ISNUMBER($F117),$F117,"")))</f>
        <v>0.21</v>
      </c>
      <c r="I117" s="37" t="n">
        <f aca="false">IF(OR($A117="",NOT(ISNUMBER($D117)),NOT(ISNUMBER($H117))),"",IF((1-$H117-Parâmetros!$B$7-Parâmetros!$C$7-Parâmetros!$D$7)&lt;=0,"INVALIDO",($D117+IF(ISNUMBER($E117),$E117,0)+IF(ISNUMBER(Parâmetros!$E$7),Parâmetros!$E$7,0))/(1-$H117-Parâmetros!$B$7-Parâmetros!$C$7-Parâmetros!$D$7)))</f>
        <v>984.673913043478</v>
      </c>
      <c r="J117" s="38"/>
      <c r="K117" s="39" t="n">
        <f aca="false">IF(OR($A117="",NOT(ISNUMBER($D117)),NOT(ISNUMBER($H117))),"",IF(AND(ISNUMBER($J117),$J117&gt;0),$J117,IF(ISNUMBER($I117),$I117,"")))</f>
        <v>984.673913043478</v>
      </c>
      <c r="L117" s="40" t="n">
        <f aca="false">IF(ISNUMBER($K117),$K117*$H117,"")</f>
        <v>206.78152173913</v>
      </c>
      <c r="M117" s="40" t="n">
        <f aca="false">IF(ISNUMBER($K117),$K117*Parâmetros!$B$7,"")</f>
        <v>98.4673913043478</v>
      </c>
      <c r="N117" s="40" t="n">
        <f aca="false">IF(ISNUMBER($K117),$K117*Parâmetros!$C$7,"")</f>
        <v>29.5402173913043</v>
      </c>
      <c r="O117" s="40" t="n">
        <f aca="false">IF(ISNUMBER($K117),IF(ISNUMBER(Parâmetros!$E$7),Parâmetros!$E$7,0),"")</f>
        <v>0</v>
      </c>
      <c r="P117" s="41" t="n">
        <f aca="false">IF(ISNUMBER($K117),$K117-$D117-IF(ISNUMBER($E117),$E117,0)-$L117-$M117-$N117-$O117,"")</f>
        <v>196.934782608696</v>
      </c>
      <c r="Q117" s="42" t="n">
        <f aca="false">IF(AND(ISNUMBER($K117),$K117&gt;0),$P117/$K117,"")</f>
        <v>0.2</v>
      </c>
      <c r="R117" s="43"/>
      <c r="S117" s="44" t="str">
        <f aca="false">IF(OR(NOT(ISNUMBER($R117)),$R117=0,NOT(ISNUMBER($K117))),"",$K117*(1-$R117))</f>
        <v/>
      </c>
      <c r="T117" s="45" t="str">
        <f aca="false">IF(ISNUMBER($S117),$S117*$H117,"")</f>
        <v/>
      </c>
      <c r="U117" s="45" t="str">
        <f aca="false">IF(ISNUMBER($S117),$S117*Parâmetros!$B$7,"")</f>
        <v/>
      </c>
      <c r="V117" s="45" t="str">
        <f aca="false">IF(ISNUMBER($S117),$S117*Parâmetros!$C$7,"")</f>
        <v/>
      </c>
      <c r="W117" s="44" t="str">
        <f aca="false">IF(ISNUMBER($S117),$S117-$D117-IF(ISNUMBER($E117),$E117,0)-$O117-$T117-$U117-$V117,"")</f>
        <v/>
      </c>
      <c r="X117" s="46" t="str">
        <f aca="false">IF(AND(ISNUMBER($S117),$S117&gt;0),$W117/$S117,"")</f>
        <v/>
      </c>
      <c r="Y117" s="49"/>
      <c r="Z117" s="21"/>
    </row>
    <row r="118" customFormat="false" ht="15.75" hidden="false" customHeight="true" outlineLevel="0" collapsed="false">
      <c r="A118" s="32" t="str">
        <f aca="false">IF(Produtos!$A118="","",Produtos!$A118)</f>
        <v>L4080-BC</v>
      </c>
      <c r="B118" s="32" t="str">
        <f aca="false">IF(Produtos!$A118="","",Produtos!$B118)</f>
        <v>Lixeira de Aço inox 40x80 100L c/Aro basculante colorido</v>
      </c>
      <c r="C118" s="32" t="str">
        <f aca="false">IF(Produtos!$A118="","",Produtos!$C118)</f>
        <v>Lixeiras em inox</v>
      </c>
      <c r="D118" s="33" t="n">
        <f aca="false">IF(Produtos!$A118="","",IF(Produtos!$D118="","",Produtos!$D118))</f>
        <v>486.92</v>
      </c>
      <c r="E118" s="11" t="n">
        <v>0</v>
      </c>
      <c r="F118" s="34" t="n">
        <f aca="false">IF($A118="","",IF($C118="","⚠ categoria",IFERROR(INDEX(Parâmetros!$E$13:$E$22,MATCH($C118,Parâmetros!$A$13:$A$22,0)),"⚠ categoria")))</f>
        <v>0.21</v>
      </c>
      <c r="G118" s="35"/>
      <c r="H118" s="36" t="n">
        <f aca="false">IF($A118="","",IF(ISNUMBER($G118),$G118,IF(ISNUMBER($F118),$F118,"")))</f>
        <v>0.21</v>
      </c>
      <c r="I118" s="37" t="n">
        <f aca="false">IF(OR($A118="",NOT(ISNUMBER($D118)),NOT(ISNUMBER($H118))),"",IF((1-$H118-Parâmetros!$B$7-Parâmetros!$C$7-Parâmetros!$D$7)&lt;=0,"INVALIDO",($D118+IF(ISNUMBER($E118),$E118,0)+IF(ISNUMBER(Parâmetros!$E$7),Parâmetros!$E$7,0))/(1-$H118-Parâmetros!$B$7-Parâmetros!$C$7-Parâmetros!$D$7)))</f>
        <v>1058.52173913043</v>
      </c>
      <c r="J118" s="38"/>
      <c r="K118" s="39" t="n">
        <f aca="false">IF(OR($A118="",NOT(ISNUMBER($D118)),NOT(ISNUMBER($H118))),"",IF(AND(ISNUMBER($J118),$J118&gt;0),$J118,IF(ISNUMBER($I118),$I118,"")))</f>
        <v>1058.52173913043</v>
      </c>
      <c r="L118" s="40" t="n">
        <f aca="false">IF(ISNUMBER($K118),$K118*$H118,"")</f>
        <v>222.289565217391</v>
      </c>
      <c r="M118" s="40" t="n">
        <f aca="false">IF(ISNUMBER($K118),$K118*Parâmetros!$B$7,"")</f>
        <v>105.852173913043</v>
      </c>
      <c r="N118" s="40" t="n">
        <f aca="false">IF(ISNUMBER($K118),$K118*Parâmetros!$C$7,"")</f>
        <v>31.755652173913</v>
      </c>
      <c r="O118" s="40" t="n">
        <f aca="false">IF(ISNUMBER($K118),IF(ISNUMBER(Parâmetros!$E$7),Parâmetros!$E$7,0),"")</f>
        <v>0</v>
      </c>
      <c r="P118" s="41" t="n">
        <f aca="false">IF(ISNUMBER($K118),$K118-$D118-IF(ISNUMBER($E118),$E118,0)-$L118-$M118-$N118-$O118,"")</f>
        <v>211.704347826087</v>
      </c>
      <c r="Q118" s="42" t="n">
        <f aca="false">IF(AND(ISNUMBER($K118),$K118&gt;0),$P118/$K118,"")</f>
        <v>0.2</v>
      </c>
      <c r="R118" s="43"/>
      <c r="S118" s="44" t="str">
        <f aca="false">IF(OR(NOT(ISNUMBER($R118)),$R118=0,NOT(ISNUMBER($K118))),"",$K118*(1-$R118))</f>
        <v/>
      </c>
      <c r="T118" s="45" t="str">
        <f aca="false">IF(ISNUMBER($S118),$S118*$H118,"")</f>
        <v/>
      </c>
      <c r="U118" s="45" t="str">
        <f aca="false">IF(ISNUMBER($S118),$S118*Parâmetros!$B$7,"")</f>
        <v/>
      </c>
      <c r="V118" s="45" t="str">
        <f aca="false">IF(ISNUMBER($S118),$S118*Parâmetros!$C$7,"")</f>
        <v/>
      </c>
      <c r="W118" s="44" t="str">
        <f aca="false">IF(ISNUMBER($S118),$S118-$D118-IF(ISNUMBER($E118),$E118,0)-$O118-$T118-$U118-$V118,"")</f>
        <v/>
      </c>
      <c r="X118" s="46" t="str">
        <f aca="false">IF(AND(ISNUMBER($S118),$S118&gt;0),$W118/$S118,"")</f>
        <v/>
      </c>
      <c r="Y118" s="47"/>
      <c r="Z118" s="19"/>
    </row>
    <row r="119" customFormat="false" ht="15.75" hidden="false" customHeight="true" outlineLevel="0" collapsed="false">
      <c r="A119" s="48" t="str">
        <f aca="false">IF(Produtos!$A119="","",Produtos!$A119)</f>
        <v>L4090-BC</v>
      </c>
      <c r="B119" s="48" t="str">
        <f aca="false">IF(Produtos!$A119="","",Produtos!$B119)</f>
        <v>Lixeira de Aço inox 40x90 120L c/Aro basculante colorido</v>
      </c>
      <c r="C119" s="48" t="str">
        <f aca="false">IF(Produtos!$A119="","",Produtos!$C119)</f>
        <v>Lixeiras em inox</v>
      </c>
      <c r="D119" s="33" t="n">
        <f aca="false">IF(Produtos!$A119="","",IF(Produtos!$D119="","",Produtos!$D119))</f>
        <v>727.39</v>
      </c>
      <c r="E119" s="11" t="n">
        <v>0</v>
      </c>
      <c r="F119" s="34" t="n">
        <f aca="false">IF($A119="","",IF($C119="","⚠ categoria",IFERROR(INDEX(Parâmetros!$E$13:$E$22,MATCH($C119,Parâmetros!$A$13:$A$22,0)),"⚠ categoria")))</f>
        <v>0.21</v>
      </c>
      <c r="G119" s="35"/>
      <c r="H119" s="36" t="n">
        <f aca="false">IF($A119="","",IF(ISNUMBER($G119),$G119,IF(ISNUMBER($F119),$F119,"")))</f>
        <v>0.21</v>
      </c>
      <c r="I119" s="37" t="n">
        <f aca="false">IF(OR($A119="",NOT(ISNUMBER($D119)),NOT(ISNUMBER($H119))),"",IF((1-$H119-Parâmetros!$B$7-Parâmetros!$C$7-Parâmetros!$D$7)&lt;=0,"INVALIDO",($D119+IF(ISNUMBER($E119),$E119,0)+IF(ISNUMBER(Parâmetros!$E$7),Parâmetros!$E$7,0))/(1-$H119-Parâmetros!$B$7-Parâmetros!$C$7-Parâmetros!$D$7)))</f>
        <v>1581.28260869565</v>
      </c>
      <c r="J119" s="38"/>
      <c r="K119" s="39" t="n">
        <f aca="false">IF(OR($A119="",NOT(ISNUMBER($D119)),NOT(ISNUMBER($H119))),"",IF(AND(ISNUMBER($J119),$J119&gt;0),$J119,IF(ISNUMBER($I119),$I119,"")))</f>
        <v>1581.28260869565</v>
      </c>
      <c r="L119" s="40" t="n">
        <f aca="false">IF(ISNUMBER($K119),$K119*$H119,"")</f>
        <v>332.069347826087</v>
      </c>
      <c r="M119" s="40" t="n">
        <f aca="false">IF(ISNUMBER($K119),$K119*Parâmetros!$B$7,"")</f>
        <v>158.128260869565</v>
      </c>
      <c r="N119" s="40" t="n">
        <f aca="false">IF(ISNUMBER($K119),$K119*Parâmetros!$C$7,"")</f>
        <v>47.4384782608696</v>
      </c>
      <c r="O119" s="40" t="n">
        <f aca="false">IF(ISNUMBER($K119),IF(ISNUMBER(Parâmetros!$E$7),Parâmetros!$E$7,0),"")</f>
        <v>0</v>
      </c>
      <c r="P119" s="41" t="n">
        <f aca="false">IF(ISNUMBER($K119),$K119-$D119-IF(ISNUMBER($E119),$E119,0)-$L119-$M119-$N119-$O119,"")</f>
        <v>316.25652173913</v>
      </c>
      <c r="Q119" s="42" t="n">
        <f aca="false">IF(AND(ISNUMBER($K119),$K119&gt;0),$P119/$K119,"")</f>
        <v>0.2</v>
      </c>
      <c r="R119" s="43"/>
      <c r="S119" s="44" t="str">
        <f aca="false">IF(OR(NOT(ISNUMBER($R119)),$R119=0,NOT(ISNUMBER($K119))),"",$K119*(1-$R119))</f>
        <v/>
      </c>
      <c r="T119" s="45" t="str">
        <f aca="false">IF(ISNUMBER($S119),$S119*$H119,"")</f>
        <v/>
      </c>
      <c r="U119" s="45" t="str">
        <f aca="false">IF(ISNUMBER($S119),$S119*Parâmetros!$B$7,"")</f>
        <v/>
      </c>
      <c r="V119" s="45" t="str">
        <f aca="false">IF(ISNUMBER($S119),$S119*Parâmetros!$C$7,"")</f>
        <v/>
      </c>
      <c r="W119" s="44" t="str">
        <f aca="false">IF(ISNUMBER($S119),$S119-$D119-IF(ISNUMBER($E119),$E119,0)-$O119-$T119-$U119-$V119,"")</f>
        <v/>
      </c>
      <c r="X119" s="46" t="str">
        <f aca="false">IF(AND(ISNUMBER($S119),$S119&gt;0),$W119/$S119,"")</f>
        <v/>
      </c>
      <c r="Y119" s="49"/>
      <c r="Z119" s="21"/>
    </row>
    <row r="120" customFormat="false" ht="15.75" hidden="false" customHeight="true" outlineLevel="0" collapsed="false">
      <c r="A120" s="32" t="str">
        <f aca="false">IF(Produtos!$A120="","",Produtos!$A120)</f>
        <v>P2425-C</v>
      </c>
      <c r="B120" s="32" t="str">
        <f aca="false">IF(Produtos!$A120="","",Produtos!$B120)</f>
        <v>Lixeira Pedal de Aço inox 24x25 12L Tampa colorido</v>
      </c>
      <c r="C120" s="32" t="str">
        <f aca="false">IF(Produtos!$A120="","",Produtos!$C120)</f>
        <v>Lixeiras com pedal</v>
      </c>
      <c r="D120" s="33" t="n">
        <f aca="false">IF(Produtos!$A120="","",IF(Produtos!$D120="","",Produtos!$D120))</f>
        <v>131.86</v>
      </c>
      <c r="E120" s="11" t="n">
        <v>0</v>
      </c>
      <c r="F120" s="34" t="n">
        <f aca="false">IF($A120="","",IF($C120="","⚠ categoria",IFERROR(INDEX(Parâmetros!$E$13:$E$22,MATCH($C120,Parâmetros!$A$13:$A$22,0)),"⚠ categoria")))</f>
        <v>0.21</v>
      </c>
      <c r="G120" s="35"/>
      <c r="H120" s="36" t="n">
        <f aca="false">IF($A120="","",IF(ISNUMBER($G120),$G120,IF(ISNUMBER($F120),$F120,"")))</f>
        <v>0.21</v>
      </c>
      <c r="I120" s="37" t="n">
        <f aca="false">IF(OR($A120="",NOT(ISNUMBER($D120)),NOT(ISNUMBER($H120))),"",IF((1-$H120-Parâmetros!$B$7-Parâmetros!$C$7-Parâmetros!$D$7)&lt;=0,"INVALIDO",($D120+IF(ISNUMBER($E120),$E120,0)+IF(ISNUMBER(Parâmetros!$E$7),Parâmetros!$E$7,0))/(1-$H120-Parâmetros!$B$7-Parâmetros!$C$7-Parâmetros!$D$7)))</f>
        <v>286.652173913044</v>
      </c>
      <c r="J120" s="38"/>
      <c r="K120" s="39" t="n">
        <f aca="false">IF(OR($A120="",NOT(ISNUMBER($D120)),NOT(ISNUMBER($H120))),"",IF(AND(ISNUMBER($J120),$J120&gt;0),$J120,IF(ISNUMBER($I120),$I120,"")))</f>
        <v>286.652173913044</v>
      </c>
      <c r="L120" s="40" t="n">
        <f aca="false">IF(ISNUMBER($K120),$K120*$H120,"")</f>
        <v>60.1969565217391</v>
      </c>
      <c r="M120" s="40" t="n">
        <f aca="false">IF(ISNUMBER($K120),$K120*Parâmetros!$B$7,"")</f>
        <v>28.6652173913044</v>
      </c>
      <c r="N120" s="40" t="n">
        <f aca="false">IF(ISNUMBER($K120),$K120*Parâmetros!$C$7,"")</f>
        <v>8.59956521739131</v>
      </c>
      <c r="O120" s="40" t="n">
        <f aca="false">IF(ISNUMBER($K120),IF(ISNUMBER(Parâmetros!$E$7),Parâmetros!$E$7,0),"")</f>
        <v>0</v>
      </c>
      <c r="P120" s="41" t="n">
        <f aca="false">IF(ISNUMBER($K120),$K120-$D120-IF(ISNUMBER($E120),$E120,0)-$L120-$M120-$N120-$O120,"")</f>
        <v>57.3304347826087</v>
      </c>
      <c r="Q120" s="42" t="n">
        <f aca="false">IF(AND(ISNUMBER($K120),$K120&gt;0),$P120/$K120,"")</f>
        <v>0.2</v>
      </c>
      <c r="R120" s="43"/>
      <c r="S120" s="44" t="str">
        <f aca="false">IF(OR(NOT(ISNUMBER($R120)),$R120=0,NOT(ISNUMBER($K120))),"",$K120*(1-$R120))</f>
        <v/>
      </c>
      <c r="T120" s="45" t="str">
        <f aca="false">IF(ISNUMBER($S120),$S120*$H120,"")</f>
        <v/>
      </c>
      <c r="U120" s="45" t="str">
        <f aca="false">IF(ISNUMBER($S120),$S120*Parâmetros!$B$7,"")</f>
        <v/>
      </c>
      <c r="V120" s="45" t="str">
        <f aca="false">IF(ISNUMBER($S120),$S120*Parâmetros!$C$7,"")</f>
        <v/>
      </c>
      <c r="W120" s="44" t="str">
        <f aca="false">IF(ISNUMBER($S120),$S120-$D120-IF(ISNUMBER($E120),$E120,0)-$O120-$T120-$U120-$V120,"")</f>
        <v/>
      </c>
      <c r="X120" s="46" t="str">
        <f aca="false">IF(AND(ISNUMBER($S120),$S120&gt;0),$W120/$S120,"")</f>
        <v/>
      </c>
      <c r="Y120" s="47"/>
      <c r="Z120" s="19"/>
    </row>
    <row r="121" customFormat="false" ht="15.75" hidden="false" customHeight="true" outlineLevel="0" collapsed="false">
      <c r="A121" s="48" t="str">
        <f aca="false">IF(Produtos!$A121="","",Produtos!$A121)</f>
        <v>P2430-C</v>
      </c>
      <c r="B121" s="48" t="str">
        <f aca="false">IF(Produtos!$A121="","",Produtos!$B121)</f>
        <v>Lixeira Pedal de Aço inox 24x30 15L Tampa colorido</v>
      </c>
      <c r="C121" s="48" t="str">
        <f aca="false">IF(Produtos!$A121="","",Produtos!$C121)</f>
        <v>Lixeiras com pedal</v>
      </c>
      <c r="D121" s="33" t="n">
        <f aca="false">IF(Produtos!$A121="","",IF(Produtos!$D121="","",Produtos!$D121))</f>
        <v>140.4</v>
      </c>
      <c r="E121" s="11" t="n">
        <v>0</v>
      </c>
      <c r="F121" s="34" t="n">
        <f aca="false">IF($A121="","",IF($C121="","⚠ categoria",IFERROR(INDEX(Parâmetros!$E$13:$E$22,MATCH($C121,Parâmetros!$A$13:$A$22,0)),"⚠ categoria")))</f>
        <v>0.21</v>
      </c>
      <c r="G121" s="35"/>
      <c r="H121" s="36" t="n">
        <f aca="false">IF($A121="","",IF(ISNUMBER($G121),$G121,IF(ISNUMBER($F121),$F121,"")))</f>
        <v>0.21</v>
      </c>
      <c r="I121" s="37" t="n">
        <f aca="false">IF(OR($A121="",NOT(ISNUMBER($D121)),NOT(ISNUMBER($H121))),"",IF((1-$H121-Parâmetros!$B$7-Parâmetros!$C$7-Parâmetros!$D$7)&lt;=0,"INVALIDO",($D121+IF(ISNUMBER($E121),$E121,0)+IF(ISNUMBER(Parâmetros!$E$7),Parâmetros!$E$7,0))/(1-$H121-Parâmetros!$B$7-Parâmetros!$C$7-Parâmetros!$D$7)))</f>
        <v>305.217391304348</v>
      </c>
      <c r="J121" s="38"/>
      <c r="K121" s="39" t="n">
        <f aca="false">IF(OR($A121="",NOT(ISNUMBER($D121)),NOT(ISNUMBER($H121))),"",IF(AND(ISNUMBER($J121),$J121&gt;0),$J121,IF(ISNUMBER($I121),$I121,"")))</f>
        <v>305.217391304348</v>
      </c>
      <c r="L121" s="40" t="n">
        <f aca="false">IF(ISNUMBER($K121),$K121*$H121,"")</f>
        <v>64.095652173913</v>
      </c>
      <c r="M121" s="40" t="n">
        <f aca="false">IF(ISNUMBER($K121),$K121*Parâmetros!$B$7,"")</f>
        <v>30.5217391304348</v>
      </c>
      <c r="N121" s="40" t="n">
        <f aca="false">IF(ISNUMBER($K121),$K121*Parâmetros!$C$7,"")</f>
        <v>9.15652173913044</v>
      </c>
      <c r="O121" s="40" t="n">
        <f aca="false">IF(ISNUMBER($K121),IF(ISNUMBER(Parâmetros!$E$7),Parâmetros!$E$7,0),"")</f>
        <v>0</v>
      </c>
      <c r="P121" s="41" t="n">
        <f aca="false">IF(ISNUMBER($K121),$K121-$D121-IF(ISNUMBER($E121),$E121,0)-$L121-$M121-$N121-$O121,"")</f>
        <v>61.0434782608696</v>
      </c>
      <c r="Q121" s="42" t="n">
        <f aca="false">IF(AND(ISNUMBER($K121),$K121&gt;0),$P121/$K121,"")</f>
        <v>0.2</v>
      </c>
      <c r="R121" s="43"/>
      <c r="S121" s="44" t="str">
        <f aca="false">IF(OR(NOT(ISNUMBER($R121)),$R121=0,NOT(ISNUMBER($K121))),"",$K121*(1-$R121))</f>
        <v/>
      </c>
      <c r="T121" s="45" t="str">
        <f aca="false">IF(ISNUMBER($S121),$S121*$H121,"")</f>
        <v/>
      </c>
      <c r="U121" s="45" t="str">
        <f aca="false">IF(ISNUMBER($S121),$S121*Parâmetros!$B$7,"")</f>
        <v/>
      </c>
      <c r="V121" s="45" t="str">
        <f aca="false">IF(ISNUMBER($S121),$S121*Parâmetros!$C$7,"")</f>
        <v/>
      </c>
      <c r="W121" s="44" t="str">
        <f aca="false">IF(ISNUMBER($S121),$S121-$D121-IF(ISNUMBER($E121),$E121,0)-$O121-$T121-$U121-$V121,"")</f>
        <v/>
      </c>
      <c r="X121" s="46" t="str">
        <f aca="false">IF(AND(ISNUMBER($S121),$S121&gt;0),$W121/$S121,"")</f>
        <v/>
      </c>
      <c r="Y121" s="49"/>
      <c r="Z121" s="21"/>
    </row>
    <row r="122" customFormat="false" ht="15.75" hidden="false" customHeight="true" outlineLevel="0" collapsed="false">
      <c r="A122" s="32" t="str">
        <f aca="false">IF(Produtos!$A122="","",Produtos!$A122)</f>
        <v>P2440-C</v>
      </c>
      <c r="B122" s="32" t="str">
        <f aca="false">IF(Produtos!$A122="","",Produtos!$B122)</f>
        <v>Lixeira Pedal de Aço inox 24x40 20L Tampa colorido</v>
      </c>
      <c r="C122" s="32" t="str">
        <f aca="false">IF(Produtos!$A122="","",Produtos!$C122)</f>
        <v>Lixeiras com pedal</v>
      </c>
      <c r="D122" s="33" t="n">
        <f aca="false">IF(Produtos!$A122="","",IF(Produtos!$D122="","",Produtos!$D122))</f>
        <v>148.86</v>
      </c>
      <c r="E122" s="11" t="n">
        <v>0</v>
      </c>
      <c r="F122" s="34" t="n">
        <f aca="false">IF($A122="","",IF($C122="","⚠ categoria",IFERROR(INDEX(Parâmetros!$E$13:$E$22,MATCH($C122,Parâmetros!$A$13:$A$22,0)),"⚠ categoria")))</f>
        <v>0.21</v>
      </c>
      <c r="G122" s="35"/>
      <c r="H122" s="36" t="n">
        <f aca="false">IF($A122="","",IF(ISNUMBER($G122),$G122,IF(ISNUMBER($F122),$F122,"")))</f>
        <v>0.21</v>
      </c>
      <c r="I122" s="37" t="n">
        <f aca="false">IF(OR($A122="",NOT(ISNUMBER($D122)),NOT(ISNUMBER($H122))),"",IF((1-$H122-Parâmetros!$B$7-Parâmetros!$C$7-Parâmetros!$D$7)&lt;=0,"INVALIDO",($D122+IF(ISNUMBER($E122),$E122,0)+IF(ISNUMBER(Parâmetros!$E$7),Parâmetros!$E$7,0))/(1-$H122-Parâmetros!$B$7-Parâmetros!$C$7-Parâmetros!$D$7)))</f>
        <v>323.608695652174</v>
      </c>
      <c r="J122" s="38"/>
      <c r="K122" s="39" t="n">
        <f aca="false">IF(OR($A122="",NOT(ISNUMBER($D122)),NOT(ISNUMBER($H122))),"",IF(AND(ISNUMBER($J122),$J122&gt;0),$J122,IF(ISNUMBER($I122),$I122,"")))</f>
        <v>323.608695652174</v>
      </c>
      <c r="L122" s="40" t="n">
        <f aca="false">IF(ISNUMBER($K122),$K122*$H122,"")</f>
        <v>67.9578260869565</v>
      </c>
      <c r="M122" s="40" t="n">
        <f aca="false">IF(ISNUMBER($K122),$K122*Parâmetros!$B$7,"")</f>
        <v>32.3608695652174</v>
      </c>
      <c r="N122" s="40" t="n">
        <f aca="false">IF(ISNUMBER($K122),$K122*Parâmetros!$C$7,"")</f>
        <v>9.70826086956522</v>
      </c>
      <c r="O122" s="40" t="n">
        <f aca="false">IF(ISNUMBER($K122),IF(ISNUMBER(Parâmetros!$E$7),Parâmetros!$E$7,0),"")</f>
        <v>0</v>
      </c>
      <c r="P122" s="41" t="n">
        <f aca="false">IF(ISNUMBER($K122),$K122-$D122-IF(ISNUMBER($E122),$E122,0)-$L122-$M122-$N122-$O122,"")</f>
        <v>64.7217391304348</v>
      </c>
      <c r="Q122" s="42" t="n">
        <f aca="false">IF(AND(ISNUMBER($K122),$K122&gt;0),$P122/$K122,"")</f>
        <v>0.2</v>
      </c>
      <c r="R122" s="43"/>
      <c r="S122" s="44" t="str">
        <f aca="false">IF(OR(NOT(ISNUMBER($R122)),$R122=0,NOT(ISNUMBER($K122))),"",$K122*(1-$R122))</f>
        <v/>
      </c>
      <c r="T122" s="45" t="str">
        <f aca="false">IF(ISNUMBER($S122),$S122*$H122,"")</f>
        <v/>
      </c>
      <c r="U122" s="45" t="str">
        <f aca="false">IF(ISNUMBER($S122),$S122*Parâmetros!$B$7,"")</f>
        <v/>
      </c>
      <c r="V122" s="45" t="str">
        <f aca="false">IF(ISNUMBER($S122),$S122*Parâmetros!$C$7,"")</f>
        <v/>
      </c>
      <c r="W122" s="44" t="str">
        <f aca="false">IF(ISNUMBER($S122),$S122-$D122-IF(ISNUMBER($E122),$E122,0)-$O122-$T122-$U122-$V122,"")</f>
        <v/>
      </c>
      <c r="X122" s="46" t="str">
        <f aca="false">IF(AND(ISNUMBER($S122),$S122&gt;0),$W122/$S122,"")</f>
        <v/>
      </c>
      <c r="Y122" s="47"/>
      <c r="Z122" s="19"/>
    </row>
    <row r="123" customFormat="false" ht="15.75" hidden="false" customHeight="true" outlineLevel="0" collapsed="false">
      <c r="A123" s="48" t="str">
        <f aca="false">IF(Produtos!$A123="","",Produtos!$A123)</f>
        <v>P3040-C</v>
      </c>
      <c r="B123" s="48" t="str">
        <f aca="false">IF(Produtos!$A123="","",Produtos!$B123)</f>
        <v>Lixeira Pedal de Aço inox 30x40 30L Tampa colorido</v>
      </c>
      <c r="C123" s="48" t="str">
        <f aca="false">IF(Produtos!$A123="","",Produtos!$C123)</f>
        <v>Lixeiras com pedal</v>
      </c>
      <c r="D123" s="33" t="n">
        <f aca="false">IF(Produtos!$A123="","",IF(Produtos!$D123="","",Produtos!$D123))</f>
        <v>213.43</v>
      </c>
      <c r="E123" s="11" t="n">
        <v>0</v>
      </c>
      <c r="F123" s="34" t="n">
        <f aca="false">IF($A123="","",IF($C123="","⚠ categoria",IFERROR(INDEX(Parâmetros!$E$13:$E$22,MATCH($C123,Parâmetros!$A$13:$A$22,0)),"⚠ categoria")))</f>
        <v>0.21</v>
      </c>
      <c r="G123" s="35"/>
      <c r="H123" s="36" t="n">
        <f aca="false">IF($A123="","",IF(ISNUMBER($G123),$G123,IF(ISNUMBER($F123),$F123,"")))</f>
        <v>0.21</v>
      </c>
      <c r="I123" s="37" t="n">
        <f aca="false">IF(OR($A123="",NOT(ISNUMBER($D123)),NOT(ISNUMBER($H123))),"",IF((1-$H123-Parâmetros!$B$7-Parâmetros!$C$7-Parâmetros!$D$7)&lt;=0,"INVALIDO",($D123+IF(ISNUMBER($E123),$E123,0)+IF(ISNUMBER(Parâmetros!$E$7),Parâmetros!$E$7,0))/(1-$H123-Parâmetros!$B$7-Parâmetros!$C$7-Parâmetros!$D$7)))</f>
        <v>463.978260869565</v>
      </c>
      <c r="J123" s="38"/>
      <c r="K123" s="39" t="n">
        <f aca="false">IF(OR($A123="",NOT(ISNUMBER($D123)),NOT(ISNUMBER($H123))),"",IF(AND(ISNUMBER($J123),$J123&gt;0),$J123,IF(ISNUMBER($I123),$I123,"")))</f>
        <v>463.978260869565</v>
      </c>
      <c r="L123" s="40" t="n">
        <f aca="false">IF(ISNUMBER($K123),$K123*$H123,"")</f>
        <v>97.4354347826087</v>
      </c>
      <c r="M123" s="40" t="n">
        <f aca="false">IF(ISNUMBER($K123),$K123*Parâmetros!$B$7,"")</f>
        <v>46.3978260869565</v>
      </c>
      <c r="N123" s="40" t="n">
        <f aca="false">IF(ISNUMBER($K123),$K123*Parâmetros!$C$7,"")</f>
        <v>13.919347826087</v>
      </c>
      <c r="O123" s="40" t="n">
        <f aca="false">IF(ISNUMBER($K123),IF(ISNUMBER(Parâmetros!$E$7),Parâmetros!$E$7,0),"")</f>
        <v>0</v>
      </c>
      <c r="P123" s="41" t="n">
        <f aca="false">IF(ISNUMBER($K123),$K123-$D123-IF(ISNUMBER($E123),$E123,0)-$L123-$M123-$N123-$O123,"")</f>
        <v>92.795652173913</v>
      </c>
      <c r="Q123" s="42" t="n">
        <f aca="false">IF(AND(ISNUMBER($K123),$K123&gt;0),$P123/$K123,"")</f>
        <v>0.2</v>
      </c>
      <c r="R123" s="43"/>
      <c r="S123" s="44" t="str">
        <f aca="false">IF(OR(NOT(ISNUMBER($R123)),$R123=0,NOT(ISNUMBER($K123))),"",$K123*(1-$R123))</f>
        <v/>
      </c>
      <c r="T123" s="45" t="str">
        <f aca="false">IF(ISNUMBER($S123),$S123*$H123,"")</f>
        <v/>
      </c>
      <c r="U123" s="45" t="str">
        <f aca="false">IF(ISNUMBER($S123),$S123*Parâmetros!$B$7,"")</f>
        <v/>
      </c>
      <c r="V123" s="45" t="str">
        <f aca="false">IF(ISNUMBER($S123),$S123*Parâmetros!$C$7,"")</f>
        <v/>
      </c>
      <c r="W123" s="44" t="str">
        <f aca="false">IF(ISNUMBER($S123),$S123-$D123-IF(ISNUMBER($E123),$E123,0)-$O123-$T123-$U123-$V123,"")</f>
        <v/>
      </c>
      <c r="X123" s="46" t="str">
        <f aca="false">IF(AND(ISNUMBER($S123),$S123&gt;0),$W123/$S123,"")</f>
        <v/>
      </c>
      <c r="Y123" s="49"/>
      <c r="Z123" s="21"/>
    </row>
    <row r="124" customFormat="false" ht="15.75" hidden="false" customHeight="true" outlineLevel="0" collapsed="false">
      <c r="A124" s="32" t="str">
        <f aca="false">IF(Produtos!$A124="","",Produtos!$A124)</f>
        <v>P3050-C</v>
      </c>
      <c r="B124" s="32" t="str">
        <f aca="false">IF(Produtos!$A124="","",Produtos!$B124)</f>
        <v>Lixeira Pedal de Aço inox 30x50 40L Tampa colorido</v>
      </c>
      <c r="C124" s="32" t="str">
        <f aca="false">IF(Produtos!$A124="","",Produtos!$C124)</f>
        <v>Lixeiras com pedal</v>
      </c>
      <c r="D124" s="33" t="n">
        <f aca="false">IF(Produtos!$A124="","",IF(Produtos!$D124="","",Produtos!$D124))</f>
        <v>252.66</v>
      </c>
      <c r="E124" s="11" t="n">
        <v>0</v>
      </c>
      <c r="F124" s="34" t="n">
        <f aca="false">IF($A124="","",IF($C124="","⚠ categoria",IFERROR(INDEX(Parâmetros!$E$13:$E$22,MATCH($C124,Parâmetros!$A$13:$A$22,0)),"⚠ categoria")))</f>
        <v>0.21</v>
      </c>
      <c r="G124" s="35"/>
      <c r="H124" s="36" t="n">
        <f aca="false">IF($A124="","",IF(ISNUMBER($G124),$G124,IF(ISNUMBER($F124),$F124,"")))</f>
        <v>0.21</v>
      </c>
      <c r="I124" s="37" t="n">
        <f aca="false">IF(OR($A124="",NOT(ISNUMBER($D124)),NOT(ISNUMBER($H124))),"",IF((1-$H124-Parâmetros!$B$7-Parâmetros!$C$7-Parâmetros!$D$7)&lt;=0,"INVALIDO",($D124+IF(ISNUMBER($E124),$E124,0)+IF(ISNUMBER(Parâmetros!$E$7),Parâmetros!$E$7,0))/(1-$H124-Parâmetros!$B$7-Parâmetros!$C$7-Parâmetros!$D$7)))</f>
        <v>549.260869565217</v>
      </c>
      <c r="J124" s="38"/>
      <c r="K124" s="39" t="n">
        <f aca="false">IF(OR($A124="",NOT(ISNUMBER($D124)),NOT(ISNUMBER($H124))),"",IF(AND(ISNUMBER($J124),$J124&gt;0),$J124,IF(ISNUMBER($I124),$I124,"")))</f>
        <v>549.260869565217</v>
      </c>
      <c r="L124" s="40" t="n">
        <f aca="false">IF(ISNUMBER($K124),$K124*$H124,"")</f>
        <v>115.344782608696</v>
      </c>
      <c r="M124" s="40" t="n">
        <f aca="false">IF(ISNUMBER($K124),$K124*Parâmetros!$B$7,"")</f>
        <v>54.9260869565217</v>
      </c>
      <c r="N124" s="40" t="n">
        <f aca="false">IF(ISNUMBER($K124),$K124*Parâmetros!$C$7,"")</f>
        <v>16.4778260869565</v>
      </c>
      <c r="O124" s="40" t="n">
        <f aca="false">IF(ISNUMBER($K124),IF(ISNUMBER(Parâmetros!$E$7),Parâmetros!$E$7,0),"")</f>
        <v>0</v>
      </c>
      <c r="P124" s="41" t="n">
        <f aca="false">IF(ISNUMBER($K124),$K124-$D124-IF(ISNUMBER($E124),$E124,0)-$L124-$M124-$N124-$O124,"")</f>
        <v>109.852173913043</v>
      </c>
      <c r="Q124" s="42" t="n">
        <f aca="false">IF(AND(ISNUMBER($K124),$K124&gt;0),$P124/$K124,"")</f>
        <v>0.2</v>
      </c>
      <c r="R124" s="43"/>
      <c r="S124" s="44" t="str">
        <f aca="false">IF(OR(NOT(ISNUMBER($R124)),$R124=0,NOT(ISNUMBER($K124))),"",$K124*(1-$R124))</f>
        <v/>
      </c>
      <c r="T124" s="45" t="str">
        <f aca="false">IF(ISNUMBER($S124),$S124*$H124,"")</f>
        <v/>
      </c>
      <c r="U124" s="45" t="str">
        <f aca="false">IF(ISNUMBER($S124),$S124*Parâmetros!$B$7,"")</f>
        <v/>
      </c>
      <c r="V124" s="45" t="str">
        <f aca="false">IF(ISNUMBER($S124),$S124*Parâmetros!$C$7,"")</f>
        <v/>
      </c>
      <c r="W124" s="44" t="str">
        <f aca="false">IF(ISNUMBER($S124),$S124-$D124-IF(ISNUMBER($E124),$E124,0)-$O124-$T124-$U124-$V124,"")</f>
        <v/>
      </c>
      <c r="X124" s="46" t="str">
        <f aca="false">IF(AND(ISNUMBER($S124),$S124&gt;0),$W124/$S124,"")</f>
        <v/>
      </c>
      <c r="Y124" s="47"/>
      <c r="Z124" s="19"/>
    </row>
    <row r="125" customFormat="false" ht="15.75" hidden="false" customHeight="true" outlineLevel="0" collapsed="false">
      <c r="A125" s="48" t="str">
        <f aca="false">IF(Produtos!$A125="","",Produtos!$A125)</f>
        <v>P3060-C</v>
      </c>
      <c r="B125" s="48" t="str">
        <f aca="false">IF(Produtos!$A125="","",Produtos!$B125)</f>
        <v>Lixeira Pedal de Aço inox 30x60 50L Tampa colorido</v>
      </c>
      <c r="C125" s="48" t="str">
        <f aca="false">IF(Produtos!$A125="","",Produtos!$C125)</f>
        <v>Lixeiras com pedal</v>
      </c>
      <c r="D125" s="33" t="n">
        <f aca="false">IF(Produtos!$A125="","",IF(Produtos!$D125="","",Produtos!$D125))</f>
        <v>254.39</v>
      </c>
      <c r="E125" s="11" t="n">
        <v>0</v>
      </c>
      <c r="F125" s="34" t="n">
        <f aca="false">IF($A125="","",IF($C125="","⚠ categoria",IFERROR(INDEX(Parâmetros!$E$13:$E$22,MATCH($C125,Parâmetros!$A$13:$A$22,0)),"⚠ categoria")))</f>
        <v>0.21</v>
      </c>
      <c r="G125" s="35"/>
      <c r="H125" s="36" t="n">
        <f aca="false">IF($A125="","",IF(ISNUMBER($G125),$G125,IF(ISNUMBER($F125),$F125,"")))</f>
        <v>0.21</v>
      </c>
      <c r="I125" s="37" t="n">
        <f aca="false">IF(OR($A125="",NOT(ISNUMBER($D125)),NOT(ISNUMBER($H125))),"",IF((1-$H125-Parâmetros!$B$7-Parâmetros!$C$7-Parâmetros!$D$7)&lt;=0,"INVALIDO",($D125+IF(ISNUMBER($E125),$E125,0)+IF(ISNUMBER(Parâmetros!$E$7),Parâmetros!$E$7,0))/(1-$H125-Parâmetros!$B$7-Parâmetros!$C$7-Parâmetros!$D$7)))</f>
        <v>553.021739130435</v>
      </c>
      <c r="J125" s="38"/>
      <c r="K125" s="39" t="n">
        <f aca="false">IF(OR($A125="",NOT(ISNUMBER($D125)),NOT(ISNUMBER($H125))),"",IF(AND(ISNUMBER($J125),$J125&gt;0),$J125,IF(ISNUMBER($I125),$I125,"")))</f>
        <v>553.021739130435</v>
      </c>
      <c r="L125" s="40" t="n">
        <f aca="false">IF(ISNUMBER($K125),$K125*$H125,"")</f>
        <v>116.134565217391</v>
      </c>
      <c r="M125" s="40" t="n">
        <f aca="false">IF(ISNUMBER($K125),$K125*Parâmetros!$B$7,"")</f>
        <v>55.3021739130435</v>
      </c>
      <c r="N125" s="40" t="n">
        <f aca="false">IF(ISNUMBER($K125),$K125*Parâmetros!$C$7,"")</f>
        <v>16.590652173913</v>
      </c>
      <c r="O125" s="40" t="n">
        <f aca="false">IF(ISNUMBER($K125),IF(ISNUMBER(Parâmetros!$E$7),Parâmetros!$E$7,0),"")</f>
        <v>0</v>
      </c>
      <c r="P125" s="41" t="n">
        <f aca="false">IF(ISNUMBER($K125),$K125-$D125-IF(ISNUMBER($E125),$E125,0)-$L125-$M125-$N125-$O125,"")</f>
        <v>110.604347826087</v>
      </c>
      <c r="Q125" s="42" t="n">
        <f aca="false">IF(AND(ISNUMBER($K125),$K125&gt;0),$P125/$K125,"")</f>
        <v>0.2</v>
      </c>
      <c r="R125" s="43"/>
      <c r="S125" s="44" t="str">
        <f aca="false">IF(OR(NOT(ISNUMBER($R125)),$R125=0,NOT(ISNUMBER($K125))),"",$K125*(1-$R125))</f>
        <v/>
      </c>
      <c r="T125" s="45" t="str">
        <f aca="false">IF(ISNUMBER($S125),$S125*$H125,"")</f>
        <v/>
      </c>
      <c r="U125" s="45" t="str">
        <f aca="false">IF(ISNUMBER($S125),$S125*Parâmetros!$B$7,"")</f>
        <v/>
      </c>
      <c r="V125" s="45" t="str">
        <f aca="false">IF(ISNUMBER($S125),$S125*Parâmetros!$C$7,"")</f>
        <v/>
      </c>
      <c r="W125" s="44" t="str">
        <f aca="false">IF(ISNUMBER($S125),$S125-$D125-IF(ISNUMBER($E125),$E125,0)-$O125-$T125-$U125-$V125,"")</f>
        <v/>
      </c>
      <c r="X125" s="46" t="str">
        <f aca="false">IF(AND(ISNUMBER($S125),$S125&gt;0),$W125/$S125,"")</f>
        <v/>
      </c>
      <c r="Y125" s="49"/>
      <c r="Z125" s="21"/>
    </row>
    <row r="126" customFormat="false" ht="15.75" hidden="false" customHeight="true" outlineLevel="0" collapsed="false">
      <c r="A126" s="32" t="str">
        <f aca="false">IF(Produtos!$A126="","",Produtos!$A126)</f>
        <v>P3070-C</v>
      </c>
      <c r="B126" s="32" t="str">
        <f aca="false">IF(Produtos!$A126="","",Produtos!$B126)</f>
        <v>Lixeira Pedal de Aço inox 30x70 60L Tampa colorido</v>
      </c>
      <c r="C126" s="32" t="str">
        <f aca="false">IF(Produtos!$A126="","",Produtos!$C126)</f>
        <v>Lixeiras com pedal</v>
      </c>
      <c r="D126" s="33" t="n">
        <f aca="false">IF(Produtos!$A126="","",IF(Produtos!$D126="","",Produtos!$D126))</f>
        <v>316.25</v>
      </c>
      <c r="E126" s="11" t="n">
        <v>0</v>
      </c>
      <c r="F126" s="34" t="n">
        <f aca="false">IF($A126="","",IF($C126="","⚠ categoria",IFERROR(INDEX(Parâmetros!$E$13:$E$22,MATCH($C126,Parâmetros!$A$13:$A$22,0)),"⚠ categoria")))</f>
        <v>0.21</v>
      </c>
      <c r="G126" s="35"/>
      <c r="H126" s="36" t="n">
        <f aca="false">IF($A126="","",IF(ISNUMBER($G126),$G126,IF(ISNUMBER($F126),$F126,"")))</f>
        <v>0.21</v>
      </c>
      <c r="I126" s="37" t="n">
        <f aca="false">IF(OR($A126="",NOT(ISNUMBER($D126)),NOT(ISNUMBER($H126))),"",IF((1-$H126-Parâmetros!$B$7-Parâmetros!$C$7-Parâmetros!$D$7)&lt;=0,"INVALIDO",($D126+IF(ISNUMBER($E126),$E126,0)+IF(ISNUMBER(Parâmetros!$E$7),Parâmetros!$E$7,0))/(1-$H126-Parâmetros!$B$7-Parâmetros!$C$7-Parâmetros!$D$7)))</f>
        <v>687.5</v>
      </c>
      <c r="J126" s="38"/>
      <c r="K126" s="39" t="n">
        <f aca="false">IF(OR($A126="",NOT(ISNUMBER($D126)),NOT(ISNUMBER($H126))),"",IF(AND(ISNUMBER($J126),$J126&gt;0),$J126,IF(ISNUMBER($I126),$I126,"")))</f>
        <v>687.5</v>
      </c>
      <c r="L126" s="40" t="n">
        <f aca="false">IF(ISNUMBER($K126),$K126*$H126,"")</f>
        <v>144.375</v>
      </c>
      <c r="M126" s="40" t="n">
        <f aca="false">IF(ISNUMBER($K126),$K126*Parâmetros!$B$7,"")</f>
        <v>68.75</v>
      </c>
      <c r="N126" s="40" t="n">
        <f aca="false">IF(ISNUMBER($K126),$K126*Parâmetros!$C$7,"")</f>
        <v>20.625</v>
      </c>
      <c r="O126" s="40" t="n">
        <f aca="false">IF(ISNUMBER($K126),IF(ISNUMBER(Parâmetros!$E$7),Parâmetros!$E$7,0),"")</f>
        <v>0</v>
      </c>
      <c r="P126" s="41" t="n">
        <f aca="false">IF(ISNUMBER($K126),$K126-$D126-IF(ISNUMBER($E126),$E126,0)-$L126-$M126-$N126-$O126,"")</f>
        <v>137.5</v>
      </c>
      <c r="Q126" s="42" t="n">
        <f aca="false">IF(AND(ISNUMBER($K126),$K126&gt;0),$P126/$K126,"")</f>
        <v>0.2</v>
      </c>
      <c r="R126" s="43"/>
      <c r="S126" s="44" t="str">
        <f aca="false">IF(OR(NOT(ISNUMBER($R126)),$R126=0,NOT(ISNUMBER($K126))),"",$K126*(1-$R126))</f>
        <v/>
      </c>
      <c r="T126" s="45" t="str">
        <f aca="false">IF(ISNUMBER($S126),$S126*$H126,"")</f>
        <v/>
      </c>
      <c r="U126" s="45" t="str">
        <f aca="false">IF(ISNUMBER($S126),$S126*Parâmetros!$B$7,"")</f>
        <v/>
      </c>
      <c r="V126" s="45" t="str">
        <f aca="false">IF(ISNUMBER($S126),$S126*Parâmetros!$C$7,"")</f>
        <v/>
      </c>
      <c r="W126" s="44" t="str">
        <f aca="false">IF(ISNUMBER($S126),$S126-$D126-IF(ISNUMBER($E126),$E126,0)-$O126-$T126-$U126-$V126,"")</f>
        <v/>
      </c>
      <c r="X126" s="46" t="str">
        <f aca="false">IF(AND(ISNUMBER($S126),$S126&gt;0),$W126/$S126,"")</f>
        <v/>
      </c>
      <c r="Y126" s="47"/>
      <c r="Z126" s="19"/>
    </row>
    <row r="127" customFormat="false" ht="15.75" hidden="false" customHeight="true" outlineLevel="0" collapsed="false">
      <c r="A127" s="48" t="str">
        <f aca="false">IF(Produtos!$A127="","",Produtos!$A127)</f>
        <v>P4050-C</v>
      </c>
      <c r="B127" s="48" t="str">
        <f aca="false">IF(Produtos!$A127="","",Produtos!$B127)</f>
        <v>Lixeira Pedal de Aço inox 40x50 65L Tampa colorido</v>
      </c>
      <c r="C127" s="48" t="str">
        <f aca="false">IF(Produtos!$A127="","",Produtos!$C127)</f>
        <v>Lixeiras com pedal</v>
      </c>
      <c r="D127" s="33" t="n">
        <f aca="false">IF(Produtos!$A127="","",IF(Produtos!$D127="","",Produtos!$D127))</f>
        <v>383.73</v>
      </c>
      <c r="E127" s="11" t="n">
        <v>0</v>
      </c>
      <c r="F127" s="34" t="n">
        <f aca="false">IF($A127="","",IF($C127="","⚠ categoria",IFERROR(INDEX(Parâmetros!$E$13:$E$22,MATCH($C127,Parâmetros!$A$13:$A$22,0)),"⚠ categoria")))</f>
        <v>0.21</v>
      </c>
      <c r="G127" s="35"/>
      <c r="H127" s="36" t="n">
        <f aca="false">IF($A127="","",IF(ISNUMBER($G127),$G127,IF(ISNUMBER($F127),$F127,"")))</f>
        <v>0.21</v>
      </c>
      <c r="I127" s="37" t="n">
        <f aca="false">IF(OR($A127="",NOT(ISNUMBER($D127)),NOT(ISNUMBER($H127))),"",IF((1-$H127-Parâmetros!$B$7-Parâmetros!$C$7-Parâmetros!$D$7)&lt;=0,"INVALIDO",($D127+IF(ISNUMBER($E127),$E127,0)+IF(ISNUMBER(Parâmetros!$E$7),Parâmetros!$E$7,0))/(1-$H127-Parâmetros!$B$7-Parâmetros!$C$7-Parâmetros!$D$7)))</f>
        <v>834.195652173913</v>
      </c>
      <c r="J127" s="38"/>
      <c r="K127" s="39" t="n">
        <f aca="false">IF(OR($A127="",NOT(ISNUMBER($D127)),NOT(ISNUMBER($H127))),"",IF(AND(ISNUMBER($J127),$J127&gt;0),$J127,IF(ISNUMBER($I127),$I127,"")))</f>
        <v>834.195652173913</v>
      </c>
      <c r="L127" s="40" t="n">
        <f aca="false">IF(ISNUMBER($K127),$K127*$H127,"")</f>
        <v>175.181086956522</v>
      </c>
      <c r="M127" s="40" t="n">
        <f aca="false">IF(ISNUMBER($K127),$K127*Parâmetros!$B$7,"")</f>
        <v>83.4195652173913</v>
      </c>
      <c r="N127" s="40" t="n">
        <f aca="false">IF(ISNUMBER($K127),$K127*Parâmetros!$C$7,"")</f>
        <v>25.0258695652174</v>
      </c>
      <c r="O127" s="40" t="n">
        <f aca="false">IF(ISNUMBER($K127),IF(ISNUMBER(Parâmetros!$E$7),Parâmetros!$E$7,0),"")</f>
        <v>0</v>
      </c>
      <c r="P127" s="41" t="n">
        <f aca="false">IF(ISNUMBER($K127),$K127-$D127-IF(ISNUMBER($E127),$E127,0)-$L127-$M127-$N127-$O127,"")</f>
        <v>166.839130434783</v>
      </c>
      <c r="Q127" s="42" t="n">
        <f aca="false">IF(AND(ISNUMBER($K127),$K127&gt;0),$P127/$K127,"")</f>
        <v>0.2</v>
      </c>
      <c r="R127" s="43"/>
      <c r="S127" s="44" t="str">
        <f aca="false">IF(OR(NOT(ISNUMBER($R127)),$R127=0,NOT(ISNUMBER($K127))),"",$K127*(1-$R127))</f>
        <v/>
      </c>
      <c r="T127" s="45" t="str">
        <f aca="false">IF(ISNUMBER($S127),$S127*$H127,"")</f>
        <v/>
      </c>
      <c r="U127" s="45" t="str">
        <f aca="false">IF(ISNUMBER($S127),$S127*Parâmetros!$B$7,"")</f>
        <v/>
      </c>
      <c r="V127" s="45" t="str">
        <f aca="false">IF(ISNUMBER($S127),$S127*Parâmetros!$C$7,"")</f>
        <v/>
      </c>
      <c r="W127" s="44" t="str">
        <f aca="false">IF(ISNUMBER($S127),$S127-$D127-IF(ISNUMBER($E127),$E127,0)-$O127-$T127-$U127-$V127,"")</f>
        <v/>
      </c>
      <c r="X127" s="46" t="str">
        <f aca="false">IF(AND(ISNUMBER($S127),$S127&gt;0),$W127/$S127,"")</f>
        <v/>
      </c>
      <c r="Y127" s="49"/>
      <c r="Z127" s="21"/>
    </row>
    <row r="128" customFormat="false" ht="15.75" hidden="false" customHeight="true" outlineLevel="0" collapsed="false">
      <c r="A128" s="32" t="str">
        <f aca="false">IF(Produtos!$A128="","",Produtos!$A128)</f>
        <v>P4060-C</v>
      </c>
      <c r="B128" s="32" t="str">
        <f aca="false">IF(Produtos!$A128="","",Produtos!$B128)</f>
        <v>Lixeira Pedal de Aço inox 40x60 75L Tampa colorido</v>
      </c>
      <c r="C128" s="32" t="str">
        <f aca="false">IF(Produtos!$A128="","",Produtos!$C128)</f>
        <v>Lixeiras com pedal</v>
      </c>
      <c r="D128" s="33" t="n">
        <f aca="false">IF(Produtos!$A128="","",IF(Produtos!$D128="","",Produtos!$D128))</f>
        <v>423.07</v>
      </c>
      <c r="E128" s="11" t="n">
        <v>0</v>
      </c>
      <c r="F128" s="34" t="n">
        <f aca="false">IF($A128="","",IF($C128="","⚠ categoria",IFERROR(INDEX(Parâmetros!$E$13:$E$22,MATCH($C128,Parâmetros!$A$13:$A$22,0)),"⚠ categoria")))</f>
        <v>0.21</v>
      </c>
      <c r="G128" s="35"/>
      <c r="H128" s="36" t="n">
        <f aca="false">IF($A128="","",IF(ISNUMBER($G128),$G128,IF(ISNUMBER($F128),$F128,"")))</f>
        <v>0.21</v>
      </c>
      <c r="I128" s="37" t="n">
        <f aca="false">IF(OR($A128="",NOT(ISNUMBER($D128)),NOT(ISNUMBER($H128))),"",IF((1-$H128-Parâmetros!$B$7-Parâmetros!$C$7-Parâmetros!$D$7)&lt;=0,"INVALIDO",($D128+IF(ISNUMBER($E128),$E128,0)+IF(ISNUMBER(Parâmetros!$E$7),Parâmetros!$E$7,0))/(1-$H128-Parâmetros!$B$7-Parâmetros!$C$7-Parâmetros!$D$7)))</f>
        <v>919.717391304348</v>
      </c>
      <c r="J128" s="38"/>
      <c r="K128" s="39" t="n">
        <f aca="false">IF(OR($A128="",NOT(ISNUMBER($D128)),NOT(ISNUMBER($H128))),"",IF(AND(ISNUMBER($J128),$J128&gt;0),$J128,IF(ISNUMBER($I128),$I128,"")))</f>
        <v>919.717391304348</v>
      </c>
      <c r="L128" s="40" t="n">
        <f aca="false">IF(ISNUMBER($K128),$K128*$H128,"")</f>
        <v>193.140652173913</v>
      </c>
      <c r="M128" s="40" t="n">
        <f aca="false">IF(ISNUMBER($K128),$K128*Parâmetros!$B$7,"")</f>
        <v>91.9717391304348</v>
      </c>
      <c r="N128" s="40" t="n">
        <f aca="false">IF(ISNUMBER($K128),$K128*Parâmetros!$C$7,"")</f>
        <v>27.5915217391304</v>
      </c>
      <c r="O128" s="40" t="n">
        <f aca="false">IF(ISNUMBER($K128),IF(ISNUMBER(Parâmetros!$E$7),Parâmetros!$E$7,0),"")</f>
        <v>0</v>
      </c>
      <c r="P128" s="41" t="n">
        <f aca="false">IF(ISNUMBER($K128),$K128-$D128-IF(ISNUMBER($E128),$E128,0)-$L128-$M128-$N128-$O128,"")</f>
        <v>183.94347826087</v>
      </c>
      <c r="Q128" s="42" t="n">
        <f aca="false">IF(AND(ISNUMBER($K128),$K128&gt;0),$P128/$K128,"")</f>
        <v>0.2</v>
      </c>
      <c r="R128" s="43"/>
      <c r="S128" s="44" t="str">
        <f aca="false">IF(OR(NOT(ISNUMBER($R128)),$R128=0,NOT(ISNUMBER($K128))),"",$K128*(1-$R128))</f>
        <v/>
      </c>
      <c r="T128" s="45" t="str">
        <f aca="false">IF(ISNUMBER($S128),$S128*$H128,"")</f>
        <v/>
      </c>
      <c r="U128" s="45" t="str">
        <f aca="false">IF(ISNUMBER($S128),$S128*Parâmetros!$B$7,"")</f>
        <v/>
      </c>
      <c r="V128" s="45" t="str">
        <f aca="false">IF(ISNUMBER($S128),$S128*Parâmetros!$C$7,"")</f>
        <v/>
      </c>
      <c r="W128" s="44" t="str">
        <f aca="false">IF(ISNUMBER($S128),$S128-$D128-IF(ISNUMBER($E128),$E128,0)-$O128-$T128-$U128-$V128,"")</f>
        <v/>
      </c>
      <c r="X128" s="46" t="str">
        <f aca="false">IF(AND(ISNUMBER($S128),$S128&gt;0),$W128/$S128,"")</f>
        <v/>
      </c>
      <c r="Y128" s="47"/>
      <c r="Z128" s="19"/>
    </row>
    <row r="129" customFormat="false" ht="15.75" hidden="false" customHeight="true" outlineLevel="0" collapsed="false">
      <c r="A129" s="48" t="str">
        <f aca="false">IF(Produtos!$A129="","",Produtos!$A129)</f>
        <v>P4070-C</v>
      </c>
      <c r="B129" s="48" t="str">
        <f aca="false">IF(Produtos!$A129="","",Produtos!$B129)</f>
        <v>Lixeira Pedal de Aço inox 40x70 80L Tampa colorido</v>
      </c>
      <c r="C129" s="48" t="str">
        <f aca="false">IF(Produtos!$A129="","",Produtos!$C129)</f>
        <v>Lixeiras com pedal</v>
      </c>
      <c r="D129" s="33" t="n">
        <f aca="false">IF(Produtos!$A129="","",IF(Produtos!$D129="","",Produtos!$D129))</f>
        <v>428.49</v>
      </c>
      <c r="E129" s="11" t="n">
        <v>0</v>
      </c>
      <c r="F129" s="34" t="n">
        <f aca="false">IF($A129="","",IF($C129="","⚠ categoria",IFERROR(INDEX(Parâmetros!$E$13:$E$22,MATCH($C129,Parâmetros!$A$13:$A$22,0)),"⚠ categoria")))</f>
        <v>0.21</v>
      </c>
      <c r="G129" s="35"/>
      <c r="H129" s="36" t="n">
        <f aca="false">IF($A129="","",IF(ISNUMBER($G129),$G129,IF(ISNUMBER($F129),$F129,"")))</f>
        <v>0.21</v>
      </c>
      <c r="I129" s="37" t="n">
        <f aca="false">IF(OR($A129="",NOT(ISNUMBER($D129)),NOT(ISNUMBER($H129))),"",IF((1-$H129-Parâmetros!$B$7-Parâmetros!$C$7-Parâmetros!$D$7)&lt;=0,"INVALIDO",($D129+IF(ISNUMBER($E129),$E129,0)+IF(ISNUMBER(Parâmetros!$E$7),Parâmetros!$E$7,0))/(1-$H129-Parâmetros!$B$7-Parâmetros!$C$7-Parâmetros!$D$7)))</f>
        <v>931.5</v>
      </c>
      <c r="J129" s="38"/>
      <c r="K129" s="39" t="n">
        <f aca="false">IF(OR($A129="",NOT(ISNUMBER($D129)),NOT(ISNUMBER($H129))),"",IF(AND(ISNUMBER($J129),$J129&gt;0),$J129,IF(ISNUMBER($I129),$I129,"")))</f>
        <v>931.5</v>
      </c>
      <c r="L129" s="40" t="n">
        <f aca="false">IF(ISNUMBER($K129),$K129*$H129,"")</f>
        <v>195.615</v>
      </c>
      <c r="M129" s="40" t="n">
        <f aca="false">IF(ISNUMBER($K129),$K129*Parâmetros!$B$7,"")</f>
        <v>93.15</v>
      </c>
      <c r="N129" s="40" t="n">
        <f aca="false">IF(ISNUMBER($K129),$K129*Parâmetros!$C$7,"")</f>
        <v>27.945</v>
      </c>
      <c r="O129" s="40" t="n">
        <f aca="false">IF(ISNUMBER($K129),IF(ISNUMBER(Parâmetros!$E$7),Parâmetros!$E$7,0),"")</f>
        <v>0</v>
      </c>
      <c r="P129" s="41" t="n">
        <f aca="false">IF(ISNUMBER($K129),$K129-$D129-IF(ISNUMBER($E129),$E129,0)-$L129-$M129-$N129-$O129,"")</f>
        <v>186.3</v>
      </c>
      <c r="Q129" s="42" t="n">
        <f aca="false">IF(AND(ISNUMBER($K129),$K129&gt;0),$P129/$K129,"")</f>
        <v>0.2</v>
      </c>
      <c r="R129" s="43"/>
      <c r="S129" s="44" t="str">
        <f aca="false">IF(OR(NOT(ISNUMBER($R129)),$R129=0,NOT(ISNUMBER($K129))),"",$K129*(1-$R129))</f>
        <v/>
      </c>
      <c r="T129" s="45" t="str">
        <f aca="false">IF(ISNUMBER($S129),$S129*$H129,"")</f>
        <v/>
      </c>
      <c r="U129" s="45" t="str">
        <f aca="false">IF(ISNUMBER($S129),$S129*Parâmetros!$B$7,"")</f>
        <v/>
      </c>
      <c r="V129" s="45" t="str">
        <f aca="false">IF(ISNUMBER($S129),$S129*Parâmetros!$C$7,"")</f>
        <v/>
      </c>
      <c r="W129" s="44" t="str">
        <f aca="false">IF(ISNUMBER($S129),$S129-$D129-IF(ISNUMBER($E129),$E129,0)-$O129-$T129-$U129-$V129,"")</f>
        <v/>
      </c>
      <c r="X129" s="46" t="str">
        <f aca="false">IF(AND(ISNUMBER($S129),$S129&gt;0),$W129/$S129,"")</f>
        <v/>
      </c>
      <c r="Y129" s="49"/>
      <c r="Z129" s="21"/>
    </row>
    <row r="130" customFormat="false" ht="15.75" hidden="false" customHeight="true" outlineLevel="0" collapsed="false">
      <c r="A130" s="32" t="str">
        <f aca="false">IF(Produtos!$A130="","",Produtos!$A130)</f>
        <v>P4075-C</v>
      </c>
      <c r="B130" s="32" t="str">
        <f aca="false">IF(Produtos!$A130="","",Produtos!$B130)</f>
        <v>Lixeira Pedal de Aço inox 40x75 95L Tampa colorido</v>
      </c>
      <c r="C130" s="32" t="str">
        <f aca="false">IF(Produtos!$A130="","",Produtos!$C130)</f>
        <v>Lixeiras com pedal</v>
      </c>
      <c r="D130" s="33" t="n">
        <f aca="false">IF(Produtos!$A130="","",IF(Produtos!$D130="","",Produtos!$D130))</f>
        <v>490.08</v>
      </c>
      <c r="E130" s="11" t="n">
        <v>0</v>
      </c>
      <c r="F130" s="34" t="n">
        <f aca="false">IF($A130="","",IF($C130="","⚠ categoria",IFERROR(INDEX(Parâmetros!$E$13:$E$22,MATCH($C130,Parâmetros!$A$13:$A$22,0)),"⚠ categoria")))</f>
        <v>0.21</v>
      </c>
      <c r="G130" s="35"/>
      <c r="H130" s="36" t="n">
        <f aca="false">IF($A130="","",IF(ISNUMBER($G130),$G130,IF(ISNUMBER($F130),$F130,"")))</f>
        <v>0.21</v>
      </c>
      <c r="I130" s="37" t="n">
        <f aca="false">IF(OR($A130="",NOT(ISNUMBER($D130)),NOT(ISNUMBER($H130))),"",IF((1-$H130-Parâmetros!$B$7-Parâmetros!$C$7-Parâmetros!$D$7)&lt;=0,"INVALIDO",($D130+IF(ISNUMBER($E130),$E130,0)+IF(ISNUMBER(Parâmetros!$E$7),Parâmetros!$E$7,0))/(1-$H130-Parâmetros!$B$7-Parâmetros!$C$7-Parâmetros!$D$7)))</f>
        <v>1065.39130434783</v>
      </c>
      <c r="J130" s="38"/>
      <c r="K130" s="39" t="n">
        <f aca="false">IF(OR($A130="",NOT(ISNUMBER($D130)),NOT(ISNUMBER($H130))),"",IF(AND(ISNUMBER($J130),$J130&gt;0),$J130,IF(ISNUMBER($I130),$I130,"")))</f>
        <v>1065.39130434783</v>
      </c>
      <c r="L130" s="40" t="n">
        <f aca="false">IF(ISNUMBER($K130),$K130*$H130,"")</f>
        <v>223.732173913043</v>
      </c>
      <c r="M130" s="40" t="n">
        <f aca="false">IF(ISNUMBER($K130),$K130*Parâmetros!$B$7,"")</f>
        <v>106.539130434783</v>
      </c>
      <c r="N130" s="40" t="n">
        <f aca="false">IF(ISNUMBER($K130),$K130*Parâmetros!$C$7,"")</f>
        <v>31.9617391304348</v>
      </c>
      <c r="O130" s="40" t="n">
        <f aca="false">IF(ISNUMBER($K130),IF(ISNUMBER(Parâmetros!$E$7),Parâmetros!$E$7,0),"")</f>
        <v>0</v>
      </c>
      <c r="P130" s="41" t="n">
        <f aca="false">IF(ISNUMBER($K130),$K130-$D130-IF(ISNUMBER($E130),$E130,0)-$L130-$M130-$N130-$O130,"")</f>
        <v>213.078260869565</v>
      </c>
      <c r="Q130" s="42" t="n">
        <f aca="false">IF(AND(ISNUMBER($K130),$K130&gt;0),$P130/$K130,"")</f>
        <v>0.2</v>
      </c>
      <c r="R130" s="43"/>
      <c r="S130" s="44" t="str">
        <f aca="false">IF(OR(NOT(ISNUMBER($R130)),$R130=0,NOT(ISNUMBER($K130))),"",$K130*(1-$R130))</f>
        <v/>
      </c>
      <c r="T130" s="45" t="str">
        <f aca="false">IF(ISNUMBER($S130),$S130*$H130,"")</f>
        <v/>
      </c>
      <c r="U130" s="45" t="str">
        <f aca="false">IF(ISNUMBER($S130),$S130*Parâmetros!$B$7,"")</f>
        <v/>
      </c>
      <c r="V130" s="45" t="str">
        <f aca="false">IF(ISNUMBER($S130),$S130*Parâmetros!$C$7,"")</f>
        <v/>
      </c>
      <c r="W130" s="44" t="str">
        <f aca="false">IF(ISNUMBER($S130),$S130-$D130-IF(ISNUMBER($E130),$E130,0)-$O130-$T130-$U130-$V130,"")</f>
        <v/>
      </c>
      <c r="X130" s="46" t="str">
        <f aca="false">IF(AND(ISNUMBER($S130),$S130&gt;0),$W130/$S130,"")</f>
        <v/>
      </c>
      <c r="Y130" s="47"/>
      <c r="Z130" s="19"/>
    </row>
    <row r="131" customFormat="false" ht="15.75" hidden="false" customHeight="true" outlineLevel="0" collapsed="false">
      <c r="A131" s="48" t="str">
        <f aca="false">IF(Produtos!$A131="","",Produtos!$A131)</f>
        <v>P4080-C</v>
      </c>
      <c r="B131" s="48" t="str">
        <f aca="false">IF(Produtos!$A131="","",Produtos!$B131)</f>
        <v>Lixeira Pedal de Aço inox 40x80 100L Tampa colorido</v>
      </c>
      <c r="C131" s="48" t="str">
        <f aca="false">IF(Produtos!$A131="","",Produtos!$C131)</f>
        <v>Lixeiras com pedal</v>
      </c>
      <c r="D131" s="33" t="n">
        <f aca="false">IF(Produtos!$A131="","",IF(Produtos!$D131="","",Produtos!$D131))</f>
        <v>548.77</v>
      </c>
      <c r="E131" s="11" t="n">
        <v>0</v>
      </c>
      <c r="F131" s="34" t="n">
        <f aca="false">IF($A131="","",IF($C131="","⚠ categoria",IFERROR(INDEX(Parâmetros!$E$13:$E$22,MATCH($C131,Parâmetros!$A$13:$A$22,0)),"⚠ categoria")))</f>
        <v>0.21</v>
      </c>
      <c r="G131" s="35"/>
      <c r="H131" s="36" t="n">
        <f aca="false">IF($A131="","",IF(ISNUMBER($G131),$G131,IF(ISNUMBER($F131),$F131,"")))</f>
        <v>0.21</v>
      </c>
      <c r="I131" s="37" t="n">
        <f aca="false">IF(OR($A131="",NOT(ISNUMBER($D131)),NOT(ISNUMBER($H131))),"",IF((1-$H131-Parâmetros!$B$7-Parâmetros!$C$7-Parâmetros!$D$7)&lt;=0,"INVALIDO",($D131+IF(ISNUMBER($E131),$E131,0)+IF(ISNUMBER(Parâmetros!$E$7),Parâmetros!$E$7,0))/(1-$H131-Parâmetros!$B$7-Parâmetros!$C$7-Parâmetros!$D$7)))</f>
        <v>1192.97826086957</v>
      </c>
      <c r="J131" s="38"/>
      <c r="K131" s="39" t="n">
        <f aca="false">IF(OR($A131="",NOT(ISNUMBER($D131)),NOT(ISNUMBER($H131))),"",IF(AND(ISNUMBER($J131),$J131&gt;0),$J131,IF(ISNUMBER($I131),$I131,"")))</f>
        <v>1192.97826086957</v>
      </c>
      <c r="L131" s="40" t="n">
        <f aca="false">IF(ISNUMBER($K131),$K131*$H131,"")</f>
        <v>250.525434782609</v>
      </c>
      <c r="M131" s="40" t="n">
        <f aca="false">IF(ISNUMBER($K131),$K131*Parâmetros!$B$7,"")</f>
        <v>119.297826086957</v>
      </c>
      <c r="N131" s="40" t="n">
        <f aca="false">IF(ISNUMBER($K131),$K131*Parâmetros!$C$7,"")</f>
        <v>35.7893478260869</v>
      </c>
      <c r="O131" s="40" t="n">
        <f aca="false">IF(ISNUMBER($K131),IF(ISNUMBER(Parâmetros!$E$7),Parâmetros!$E$7,0),"")</f>
        <v>0</v>
      </c>
      <c r="P131" s="41" t="n">
        <f aca="false">IF(ISNUMBER($K131),$K131-$D131-IF(ISNUMBER($E131),$E131,0)-$L131-$M131-$N131-$O131,"")</f>
        <v>238.595652173913</v>
      </c>
      <c r="Q131" s="42" t="n">
        <f aca="false">IF(AND(ISNUMBER($K131),$K131&gt;0),$P131/$K131,"")</f>
        <v>0.2</v>
      </c>
      <c r="R131" s="43"/>
      <c r="S131" s="44" t="str">
        <f aca="false">IF(OR(NOT(ISNUMBER($R131)),$R131=0,NOT(ISNUMBER($K131))),"",$K131*(1-$R131))</f>
        <v/>
      </c>
      <c r="T131" s="45" t="str">
        <f aca="false">IF(ISNUMBER($S131),$S131*$H131,"")</f>
        <v/>
      </c>
      <c r="U131" s="45" t="str">
        <f aca="false">IF(ISNUMBER($S131),$S131*Parâmetros!$B$7,"")</f>
        <v/>
      </c>
      <c r="V131" s="45" t="str">
        <f aca="false">IF(ISNUMBER($S131),$S131*Parâmetros!$C$7,"")</f>
        <v/>
      </c>
      <c r="W131" s="44" t="str">
        <f aca="false">IF(ISNUMBER($S131),$S131-$D131-IF(ISNUMBER($E131),$E131,0)-$O131-$T131-$U131-$V131,"")</f>
        <v/>
      </c>
      <c r="X131" s="46" t="str">
        <f aca="false">IF(AND(ISNUMBER($S131),$S131&gt;0),$W131/$S131,"")</f>
        <v/>
      </c>
      <c r="Y131" s="49"/>
      <c r="Z131" s="21"/>
    </row>
    <row r="132" customFormat="false" ht="15.75" hidden="false" customHeight="true" outlineLevel="0" collapsed="false">
      <c r="A132" s="32" t="str">
        <f aca="false">IF(Produtos!$A132="","",Produtos!$A132)</f>
        <v>P4090-C</v>
      </c>
      <c r="B132" s="32" t="str">
        <f aca="false">IF(Produtos!$A132="","",Produtos!$B132)</f>
        <v>Lixeira Pedal de Aço inox 40x90 120L Tampa colorido</v>
      </c>
      <c r="C132" s="32" t="str">
        <f aca="false">IF(Produtos!$A132="","",Produtos!$C132)</f>
        <v>Lixeiras com pedal</v>
      </c>
      <c r="D132" s="33" t="n">
        <f aca="false">IF(Produtos!$A132="","",IF(Produtos!$D132="","",Produtos!$D132))</f>
        <v>793.7</v>
      </c>
      <c r="E132" s="11" t="n">
        <v>0</v>
      </c>
      <c r="F132" s="34" t="n">
        <f aca="false">IF($A132="","",IF($C132="","⚠ categoria",IFERROR(INDEX(Parâmetros!$E$13:$E$22,MATCH($C132,Parâmetros!$A$13:$A$22,0)),"⚠ categoria")))</f>
        <v>0.21</v>
      </c>
      <c r="G132" s="35"/>
      <c r="H132" s="36" t="n">
        <f aca="false">IF($A132="","",IF(ISNUMBER($G132),$G132,IF(ISNUMBER($F132),$F132,"")))</f>
        <v>0.21</v>
      </c>
      <c r="I132" s="37" t="n">
        <f aca="false">IF(OR($A132="",NOT(ISNUMBER($D132)),NOT(ISNUMBER($H132))),"",IF((1-$H132-Parâmetros!$B$7-Parâmetros!$C$7-Parâmetros!$D$7)&lt;=0,"INVALIDO",($D132+IF(ISNUMBER($E132),$E132,0)+IF(ISNUMBER(Parâmetros!$E$7),Parâmetros!$E$7,0))/(1-$H132-Parâmetros!$B$7-Parâmetros!$C$7-Parâmetros!$D$7)))</f>
        <v>1725.4347826087</v>
      </c>
      <c r="J132" s="38"/>
      <c r="K132" s="39" t="n">
        <f aca="false">IF(OR($A132="",NOT(ISNUMBER($D132)),NOT(ISNUMBER($H132))),"",IF(AND(ISNUMBER($J132),$J132&gt;0),$J132,IF(ISNUMBER($I132),$I132,"")))</f>
        <v>1725.4347826087</v>
      </c>
      <c r="L132" s="40" t="n">
        <f aca="false">IF(ISNUMBER($K132),$K132*$H132,"")</f>
        <v>362.341304347826</v>
      </c>
      <c r="M132" s="40" t="n">
        <f aca="false">IF(ISNUMBER($K132),$K132*Parâmetros!$B$7,"")</f>
        <v>172.54347826087</v>
      </c>
      <c r="N132" s="40" t="n">
        <f aca="false">IF(ISNUMBER($K132),$K132*Parâmetros!$C$7,"")</f>
        <v>51.7630434782609</v>
      </c>
      <c r="O132" s="40" t="n">
        <f aca="false">IF(ISNUMBER($K132),IF(ISNUMBER(Parâmetros!$E$7),Parâmetros!$E$7,0),"")</f>
        <v>0</v>
      </c>
      <c r="P132" s="41" t="n">
        <f aca="false">IF(ISNUMBER($K132),$K132-$D132-IF(ISNUMBER($E132),$E132,0)-$L132-$M132-$N132-$O132,"")</f>
        <v>345.086956521739</v>
      </c>
      <c r="Q132" s="42" t="n">
        <f aca="false">IF(AND(ISNUMBER($K132),$K132&gt;0),$P132/$K132,"")</f>
        <v>0.2</v>
      </c>
      <c r="R132" s="43"/>
      <c r="S132" s="44" t="str">
        <f aca="false">IF(OR(NOT(ISNUMBER($R132)),$R132=0,NOT(ISNUMBER($K132))),"",$K132*(1-$R132))</f>
        <v/>
      </c>
      <c r="T132" s="45" t="str">
        <f aca="false">IF(ISNUMBER($S132),$S132*$H132,"")</f>
        <v/>
      </c>
      <c r="U132" s="45" t="str">
        <f aca="false">IF(ISNUMBER($S132),$S132*Parâmetros!$B$7,"")</f>
        <v/>
      </c>
      <c r="V132" s="45" t="str">
        <f aca="false">IF(ISNUMBER($S132),$S132*Parâmetros!$C$7,"")</f>
        <v/>
      </c>
      <c r="W132" s="44" t="str">
        <f aca="false">IF(ISNUMBER($S132),$S132-$D132-IF(ISNUMBER($E132),$E132,0)-$O132-$T132-$U132-$V132,"")</f>
        <v/>
      </c>
      <c r="X132" s="46" t="str">
        <f aca="false">IF(AND(ISNUMBER($S132),$S132&gt;0),$W132/$S132,"")</f>
        <v/>
      </c>
      <c r="Y132" s="47"/>
      <c r="Z132" s="19"/>
    </row>
    <row r="133" customFormat="false" ht="15.75" hidden="false" customHeight="true" outlineLevel="0" collapsed="false">
      <c r="A133" s="48" t="str">
        <f aca="false">IF(Produtos!$A133="","",Produtos!$A133)</f>
        <v>L2425-AC</v>
      </c>
      <c r="B133" s="48" t="str">
        <f aca="false">IF(Produtos!$A133="","",Produtos!$B133)</f>
        <v>Lixeira c/Aro Colorido 24x25 13L</v>
      </c>
      <c r="C133" s="48" t="str">
        <f aca="false">IF(Produtos!$A133="","",Produtos!$C133)</f>
        <v>Lixeiras em inox</v>
      </c>
      <c r="D133" s="33" t="n">
        <f aca="false">IF(Produtos!$A133="","",IF(Produtos!$D133="","",Produtos!$D133))</f>
        <v>95.49</v>
      </c>
      <c r="E133" s="11" t="n">
        <v>0</v>
      </c>
      <c r="F133" s="34" t="n">
        <f aca="false">IF($A133="","",IF($C133="","⚠ categoria",IFERROR(INDEX(Parâmetros!$E$13:$E$22,MATCH($C133,Parâmetros!$A$13:$A$22,0)),"⚠ categoria")))</f>
        <v>0.21</v>
      </c>
      <c r="G133" s="35"/>
      <c r="H133" s="36" t="n">
        <f aca="false">IF($A133="","",IF(ISNUMBER($G133),$G133,IF(ISNUMBER($F133),$F133,"")))</f>
        <v>0.21</v>
      </c>
      <c r="I133" s="37" t="n">
        <f aca="false">IF(OR($A133="",NOT(ISNUMBER($D133)),NOT(ISNUMBER($H133))),"",IF((1-$H133-Parâmetros!$B$7-Parâmetros!$C$7-Parâmetros!$D$7)&lt;=0,"INVALIDO",($D133+IF(ISNUMBER($E133),$E133,0)+IF(ISNUMBER(Parâmetros!$E$7),Parâmetros!$E$7,0))/(1-$H133-Parâmetros!$B$7-Parâmetros!$C$7-Parâmetros!$D$7)))</f>
        <v>207.586956521739</v>
      </c>
      <c r="J133" s="38"/>
      <c r="K133" s="39" t="n">
        <f aca="false">IF(OR($A133="",NOT(ISNUMBER($D133)),NOT(ISNUMBER($H133))),"",IF(AND(ISNUMBER($J133),$J133&gt;0),$J133,IF(ISNUMBER($I133),$I133,"")))</f>
        <v>207.586956521739</v>
      </c>
      <c r="L133" s="40" t="n">
        <f aca="false">IF(ISNUMBER($K133),$K133*$H133,"")</f>
        <v>43.5932608695652</v>
      </c>
      <c r="M133" s="40" t="n">
        <f aca="false">IF(ISNUMBER($K133),$K133*Parâmetros!$B$7,"")</f>
        <v>20.7586956521739</v>
      </c>
      <c r="N133" s="40" t="n">
        <f aca="false">IF(ISNUMBER($K133),$K133*Parâmetros!$C$7,"")</f>
        <v>6.22760869565217</v>
      </c>
      <c r="O133" s="40" t="n">
        <f aca="false">IF(ISNUMBER($K133),IF(ISNUMBER(Parâmetros!$E$7),Parâmetros!$E$7,0),"")</f>
        <v>0</v>
      </c>
      <c r="P133" s="41" t="n">
        <f aca="false">IF(ISNUMBER($K133),$K133-$D133-IF(ISNUMBER($E133),$E133,0)-$L133-$M133-$N133-$O133,"")</f>
        <v>41.5173913043478</v>
      </c>
      <c r="Q133" s="42" t="n">
        <f aca="false">IF(AND(ISNUMBER($K133),$K133&gt;0),$P133/$K133,"")</f>
        <v>0.2</v>
      </c>
      <c r="R133" s="43"/>
      <c r="S133" s="44" t="str">
        <f aca="false">IF(OR(NOT(ISNUMBER($R133)),$R133=0,NOT(ISNUMBER($K133))),"",$K133*(1-$R133))</f>
        <v/>
      </c>
      <c r="T133" s="45" t="str">
        <f aca="false">IF(ISNUMBER($S133),$S133*$H133,"")</f>
        <v/>
      </c>
      <c r="U133" s="45" t="str">
        <f aca="false">IF(ISNUMBER($S133),$S133*Parâmetros!$B$7,"")</f>
        <v/>
      </c>
      <c r="V133" s="45" t="str">
        <f aca="false">IF(ISNUMBER($S133),$S133*Parâmetros!$C$7,"")</f>
        <v/>
      </c>
      <c r="W133" s="44" t="str">
        <f aca="false">IF(ISNUMBER($S133),$S133-$D133-IF(ISNUMBER($E133),$E133,0)-$O133-$T133-$U133-$V133,"")</f>
        <v/>
      </c>
      <c r="X133" s="46" t="str">
        <f aca="false">IF(AND(ISNUMBER($S133),$S133&gt;0),$W133/$S133,"")</f>
        <v/>
      </c>
      <c r="Y133" s="49"/>
      <c r="Z133" s="21"/>
    </row>
    <row r="134" customFormat="false" ht="15.75" hidden="false" customHeight="true" outlineLevel="0" collapsed="false">
      <c r="A134" s="32" t="str">
        <f aca="false">IF(Produtos!$A134="","",Produtos!$A134)</f>
        <v>L2430-AC</v>
      </c>
      <c r="B134" s="32" t="str">
        <f aca="false">IF(Produtos!$A134="","",Produtos!$B134)</f>
        <v>Lixeira c/Aro Colorido 24x30 15L</v>
      </c>
      <c r="C134" s="32" t="str">
        <f aca="false">IF(Produtos!$A134="","",Produtos!$C134)</f>
        <v>Lixeiras em inox</v>
      </c>
      <c r="D134" s="33" t="n">
        <f aca="false">IF(Produtos!$A134="","",IF(Produtos!$D134="","",Produtos!$D134))</f>
        <v>104.2</v>
      </c>
      <c r="E134" s="11" t="n">
        <v>0</v>
      </c>
      <c r="F134" s="34" t="n">
        <f aca="false">IF($A134="","",IF($C134="","⚠ categoria",IFERROR(INDEX(Parâmetros!$E$13:$E$22,MATCH($C134,Parâmetros!$A$13:$A$22,0)),"⚠ categoria")))</f>
        <v>0.21</v>
      </c>
      <c r="G134" s="35"/>
      <c r="H134" s="36" t="n">
        <f aca="false">IF($A134="","",IF(ISNUMBER($G134),$G134,IF(ISNUMBER($F134),$F134,"")))</f>
        <v>0.21</v>
      </c>
      <c r="I134" s="37" t="n">
        <f aca="false">IF(OR($A134="",NOT(ISNUMBER($D134)),NOT(ISNUMBER($H134))),"",IF((1-$H134-Parâmetros!$B$7-Parâmetros!$C$7-Parâmetros!$D$7)&lt;=0,"INVALIDO",($D134+IF(ISNUMBER($E134),$E134,0)+IF(ISNUMBER(Parâmetros!$E$7),Parâmetros!$E$7,0))/(1-$H134-Parâmetros!$B$7-Parâmetros!$C$7-Parâmetros!$D$7)))</f>
        <v>226.521739130435</v>
      </c>
      <c r="J134" s="38"/>
      <c r="K134" s="39" t="n">
        <f aca="false">IF(OR($A134="",NOT(ISNUMBER($D134)),NOT(ISNUMBER($H134))),"",IF(AND(ISNUMBER($J134),$J134&gt;0),$J134,IF(ISNUMBER($I134),$I134,"")))</f>
        <v>226.521739130435</v>
      </c>
      <c r="L134" s="40" t="n">
        <f aca="false">IF(ISNUMBER($K134),$K134*$H134,"")</f>
        <v>47.5695652173913</v>
      </c>
      <c r="M134" s="40" t="n">
        <f aca="false">IF(ISNUMBER($K134),$K134*Parâmetros!$B$7,"")</f>
        <v>22.6521739130435</v>
      </c>
      <c r="N134" s="40" t="n">
        <f aca="false">IF(ISNUMBER($K134),$K134*Parâmetros!$C$7,"")</f>
        <v>6.79565217391304</v>
      </c>
      <c r="O134" s="40" t="n">
        <f aca="false">IF(ISNUMBER($K134),IF(ISNUMBER(Parâmetros!$E$7),Parâmetros!$E$7,0),"")</f>
        <v>0</v>
      </c>
      <c r="P134" s="41" t="n">
        <f aca="false">IF(ISNUMBER($K134),$K134-$D134-IF(ISNUMBER($E134),$E134,0)-$L134-$M134-$N134-$O134,"")</f>
        <v>45.304347826087</v>
      </c>
      <c r="Q134" s="42" t="n">
        <f aca="false">IF(AND(ISNUMBER($K134),$K134&gt;0),$P134/$K134,"")</f>
        <v>0.2</v>
      </c>
      <c r="R134" s="43"/>
      <c r="S134" s="44" t="str">
        <f aca="false">IF(OR(NOT(ISNUMBER($R134)),$R134=0,NOT(ISNUMBER($K134))),"",$K134*(1-$R134))</f>
        <v/>
      </c>
      <c r="T134" s="45" t="str">
        <f aca="false">IF(ISNUMBER($S134),$S134*$H134,"")</f>
        <v/>
      </c>
      <c r="U134" s="45" t="str">
        <f aca="false">IF(ISNUMBER($S134),$S134*Parâmetros!$B$7,"")</f>
        <v/>
      </c>
      <c r="V134" s="45" t="str">
        <f aca="false">IF(ISNUMBER($S134),$S134*Parâmetros!$C$7,"")</f>
        <v/>
      </c>
      <c r="W134" s="44" t="str">
        <f aca="false">IF(ISNUMBER($S134),$S134-$D134-IF(ISNUMBER($E134),$E134,0)-$O134-$T134-$U134-$V134,"")</f>
        <v/>
      </c>
      <c r="X134" s="46" t="str">
        <f aca="false">IF(AND(ISNUMBER($S134),$S134&gt;0),$W134/$S134,"")</f>
        <v/>
      </c>
      <c r="Y134" s="47"/>
      <c r="Z134" s="19"/>
    </row>
    <row r="135" customFormat="false" ht="15.75" hidden="false" customHeight="true" outlineLevel="0" collapsed="false">
      <c r="A135" s="48" t="str">
        <f aca="false">IF(Produtos!$A135="","",Produtos!$A135)</f>
        <v>L2440-AC</v>
      </c>
      <c r="B135" s="48" t="str">
        <f aca="false">IF(Produtos!$A135="","",Produtos!$B135)</f>
        <v>Lixeira c/Aro Colorido 24x40 20L</v>
      </c>
      <c r="C135" s="48" t="str">
        <f aca="false">IF(Produtos!$A135="","",Produtos!$C135)</f>
        <v>Lixeiras em inox</v>
      </c>
      <c r="D135" s="33" t="n">
        <f aca="false">IF(Produtos!$A135="","",IF(Produtos!$D135="","",Produtos!$D135))</f>
        <v>115.16</v>
      </c>
      <c r="E135" s="11" t="n">
        <v>0</v>
      </c>
      <c r="F135" s="34" t="n">
        <f aca="false">IF($A135="","",IF($C135="","⚠ categoria",IFERROR(INDEX(Parâmetros!$E$13:$E$22,MATCH($C135,Parâmetros!$A$13:$A$22,0)),"⚠ categoria")))</f>
        <v>0.21</v>
      </c>
      <c r="G135" s="35"/>
      <c r="H135" s="36" t="n">
        <f aca="false">IF($A135="","",IF(ISNUMBER($G135),$G135,IF(ISNUMBER($F135),$F135,"")))</f>
        <v>0.21</v>
      </c>
      <c r="I135" s="37" t="n">
        <f aca="false">IF(OR($A135="",NOT(ISNUMBER($D135)),NOT(ISNUMBER($H135))),"",IF((1-$H135-Parâmetros!$B$7-Parâmetros!$C$7-Parâmetros!$D$7)&lt;=0,"INVALIDO",($D135+IF(ISNUMBER($E135),$E135,0)+IF(ISNUMBER(Parâmetros!$E$7),Parâmetros!$E$7,0))/(1-$H135-Parâmetros!$B$7-Parâmetros!$C$7-Parâmetros!$D$7)))</f>
        <v>250.347826086957</v>
      </c>
      <c r="J135" s="38"/>
      <c r="K135" s="39" t="n">
        <f aca="false">IF(OR($A135="",NOT(ISNUMBER($D135)),NOT(ISNUMBER($H135))),"",IF(AND(ISNUMBER($J135),$J135&gt;0),$J135,IF(ISNUMBER($I135),$I135,"")))</f>
        <v>250.347826086957</v>
      </c>
      <c r="L135" s="40" t="n">
        <f aca="false">IF(ISNUMBER($K135),$K135*$H135,"")</f>
        <v>52.5730434782609</v>
      </c>
      <c r="M135" s="40" t="n">
        <f aca="false">IF(ISNUMBER($K135),$K135*Parâmetros!$B$7,"")</f>
        <v>25.0347826086957</v>
      </c>
      <c r="N135" s="40" t="n">
        <f aca="false">IF(ISNUMBER($K135),$K135*Parâmetros!$C$7,"")</f>
        <v>7.51043478260869</v>
      </c>
      <c r="O135" s="40" t="n">
        <f aca="false">IF(ISNUMBER($K135),IF(ISNUMBER(Parâmetros!$E$7),Parâmetros!$E$7,0),"")</f>
        <v>0</v>
      </c>
      <c r="P135" s="41" t="n">
        <f aca="false">IF(ISNUMBER($K135),$K135-$D135-IF(ISNUMBER($E135),$E135,0)-$L135-$M135-$N135-$O135,"")</f>
        <v>50.0695652173913</v>
      </c>
      <c r="Q135" s="42" t="n">
        <f aca="false">IF(AND(ISNUMBER($K135),$K135&gt;0),$P135/$K135,"")</f>
        <v>0.2</v>
      </c>
      <c r="R135" s="43"/>
      <c r="S135" s="44" t="str">
        <f aca="false">IF(OR(NOT(ISNUMBER($R135)),$R135=0,NOT(ISNUMBER($K135))),"",$K135*(1-$R135))</f>
        <v/>
      </c>
      <c r="T135" s="45" t="str">
        <f aca="false">IF(ISNUMBER($S135),$S135*$H135,"")</f>
        <v/>
      </c>
      <c r="U135" s="45" t="str">
        <f aca="false">IF(ISNUMBER($S135),$S135*Parâmetros!$B$7,"")</f>
        <v/>
      </c>
      <c r="V135" s="45" t="str">
        <f aca="false">IF(ISNUMBER($S135),$S135*Parâmetros!$C$7,"")</f>
        <v/>
      </c>
      <c r="W135" s="44" t="str">
        <f aca="false">IF(ISNUMBER($S135),$S135-$D135-IF(ISNUMBER($E135),$E135,0)-$O135-$T135-$U135-$V135,"")</f>
        <v/>
      </c>
      <c r="X135" s="46" t="str">
        <f aca="false">IF(AND(ISNUMBER($S135),$S135&gt;0),$W135/$S135,"")</f>
        <v/>
      </c>
      <c r="Y135" s="49"/>
      <c r="Z135" s="21"/>
    </row>
    <row r="136" customFormat="false" ht="15.75" hidden="false" customHeight="true" outlineLevel="0" collapsed="false">
      <c r="A136" s="32" t="str">
        <f aca="false">IF(Produtos!$A136="","",Produtos!$A136)</f>
        <v>L2450-AC</v>
      </c>
      <c r="B136" s="32" t="str">
        <f aca="false">IF(Produtos!$A136="","",Produtos!$B136)</f>
        <v>Lixeira c/Aro Colorido 24x50 25L</v>
      </c>
      <c r="C136" s="32" t="str">
        <f aca="false">IF(Produtos!$A136="","",Produtos!$C136)</f>
        <v>Lixeiras em inox</v>
      </c>
      <c r="D136" s="33" t="n">
        <f aca="false">IF(Produtos!$A136="","",IF(Produtos!$D136="","",Produtos!$D136))</f>
        <v>145.95</v>
      </c>
      <c r="E136" s="11" t="n">
        <v>0</v>
      </c>
      <c r="F136" s="34" t="n">
        <f aca="false">IF($A136="","",IF($C136="","⚠ categoria",IFERROR(INDEX(Parâmetros!$E$13:$E$22,MATCH($C136,Parâmetros!$A$13:$A$22,0)),"⚠ categoria")))</f>
        <v>0.21</v>
      </c>
      <c r="G136" s="35"/>
      <c r="H136" s="36" t="n">
        <f aca="false">IF($A136="","",IF(ISNUMBER($G136),$G136,IF(ISNUMBER($F136),$F136,"")))</f>
        <v>0.21</v>
      </c>
      <c r="I136" s="37" t="n">
        <f aca="false">IF(OR($A136="",NOT(ISNUMBER($D136)),NOT(ISNUMBER($H136))),"",IF((1-$H136-Parâmetros!$B$7-Parâmetros!$C$7-Parâmetros!$D$7)&lt;=0,"INVALIDO",($D136+IF(ISNUMBER($E136),$E136,0)+IF(ISNUMBER(Parâmetros!$E$7),Parâmetros!$E$7,0))/(1-$H136-Parâmetros!$B$7-Parâmetros!$C$7-Parâmetros!$D$7)))</f>
        <v>317.282608695652</v>
      </c>
      <c r="J136" s="38"/>
      <c r="K136" s="39" t="n">
        <f aca="false">IF(OR($A136="",NOT(ISNUMBER($D136)),NOT(ISNUMBER($H136))),"",IF(AND(ISNUMBER($J136),$J136&gt;0),$J136,IF(ISNUMBER($I136),$I136,"")))</f>
        <v>317.282608695652</v>
      </c>
      <c r="L136" s="40" t="n">
        <f aca="false">IF(ISNUMBER($K136),$K136*$H136,"")</f>
        <v>66.6293478260869</v>
      </c>
      <c r="M136" s="40" t="n">
        <f aca="false">IF(ISNUMBER($K136),$K136*Parâmetros!$B$7,"")</f>
        <v>31.7282608695652</v>
      </c>
      <c r="N136" s="40" t="n">
        <f aca="false">IF(ISNUMBER($K136),$K136*Parâmetros!$C$7,"")</f>
        <v>9.51847826086956</v>
      </c>
      <c r="O136" s="40" t="n">
        <f aca="false">IF(ISNUMBER($K136),IF(ISNUMBER(Parâmetros!$E$7),Parâmetros!$E$7,0),"")</f>
        <v>0</v>
      </c>
      <c r="P136" s="41" t="n">
        <f aca="false">IF(ISNUMBER($K136),$K136-$D136-IF(ISNUMBER($E136),$E136,0)-$L136-$M136-$N136-$O136,"")</f>
        <v>63.4565217391304</v>
      </c>
      <c r="Q136" s="42" t="n">
        <f aca="false">IF(AND(ISNUMBER($K136),$K136&gt;0),$P136/$K136,"")</f>
        <v>0.2</v>
      </c>
      <c r="R136" s="43"/>
      <c r="S136" s="44" t="str">
        <f aca="false">IF(OR(NOT(ISNUMBER($R136)),$R136=0,NOT(ISNUMBER($K136))),"",$K136*(1-$R136))</f>
        <v/>
      </c>
      <c r="T136" s="45" t="str">
        <f aca="false">IF(ISNUMBER($S136),$S136*$H136,"")</f>
        <v/>
      </c>
      <c r="U136" s="45" t="str">
        <f aca="false">IF(ISNUMBER($S136),$S136*Parâmetros!$B$7,"")</f>
        <v/>
      </c>
      <c r="V136" s="45" t="str">
        <f aca="false">IF(ISNUMBER($S136),$S136*Parâmetros!$C$7,"")</f>
        <v/>
      </c>
      <c r="W136" s="44" t="str">
        <f aca="false">IF(ISNUMBER($S136),$S136-$D136-IF(ISNUMBER($E136),$E136,0)-$O136-$T136-$U136-$V136,"")</f>
        <v/>
      </c>
      <c r="X136" s="46" t="str">
        <f aca="false">IF(AND(ISNUMBER($S136),$S136&gt;0),$W136/$S136,"")</f>
        <v/>
      </c>
      <c r="Y136" s="47"/>
      <c r="Z136" s="19"/>
    </row>
    <row r="137" customFormat="false" ht="15.75" hidden="false" customHeight="true" outlineLevel="0" collapsed="false">
      <c r="A137" s="48" t="str">
        <f aca="false">IF(Produtos!$A137="","",Produtos!$A137)</f>
        <v>L2460-AC</v>
      </c>
      <c r="B137" s="48" t="str">
        <f aca="false">IF(Produtos!$A137="","",Produtos!$B137)</f>
        <v>Lixeira c/Aro Colorido 24x60 27L</v>
      </c>
      <c r="C137" s="48" t="str">
        <f aca="false">IF(Produtos!$A137="","",Produtos!$C137)</f>
        <v>Lixeiras em inox</v>
      </c>
      <c r="D137" s="33" t="n">
        <f aca="false">IF(Produtos!$A137="","",IF(Produtos!$D137="","",Produtos!$D137))</f>
        <v>147.48</v>
      </c>
      <c r="E137" s="11" t="n">
        <v>0</v>
      </c>
      <c r="F137" s="34" t="n">
        <f aca="false">IF($A137="","",IF($C137="","⚠ categoria",IFERROR(INDEX(Parâmetros!$E$13:$E$22,MATCH($C137,Parâmetros!$A$13:$A$22,0)),"⚠ categoria")))</f>
        <v>0.21</v>
      </c>
      <c r="G137" s="35"/>
      <c r="H137" s="36" t="n">
        <f aca="false">IF($A137="","",IF(ISNUMBER($G137),$G137,IF(ISNUMBER($F137),$F137,"")))</f>
        <v>0.21</v>
      </c>
      <c r="I137" s="37" t="n">
        <f aca="false">IF(OR($A137="",NOT(ISNUMBER($D137)),NOT(ISNUMBER($H137))),"",IF((1-$H137-Parâmetros!$B$7-Parâmetros!$C$7-Parâmetros!$D$7)&lt;=0,"INVALIDO",($D137+IF(ISNUMBER($E137),$E137,0)+IF(ISNUMBER(Parâmetros!$E$7),Parâmetros!$E$7,0))/(1-$H137-Parâmetros!$B$7-Parâmetros!$C$7-Parâmetros!$D$7)))</f>
        <v>320.608695652174</v>
      </c>
      <c r="J137" s="38"/>
      <c r="K137" s="39" t="n">
        <f aca="false">IF(OR($A137="",NOT(ISNUMBER($D137)),NOT(ISNUMBER($H137))),"",IF(AND(ISNUMBER($J137),$J137&gt;0),$J137,IF(ISNUMBER($I137),$I137,"")))</f>
        <v>320.608695652174</v>
      </c>
      <c r="L137" s="40" t="n">
        <f aca="false">IF(ISNUMBER($K137),$K137*$H137,"")</f>
        <v>67.3278260869565</v>
      </c>
      <c r="M137" s="40" t="n">
        <f aca="false">IF(ISNUMBER($K137),$K137*Parâmetros!$B$7,"")</f>
        <v>32.0608695652174</v>
      </c>
      <c r="N137" s="40" t="n">
        <f aca="false">IF(ISNUMBER($K137),$K137*Parâmetros!$C$7,"")</f>
        <v>9.61826086956522</v>
      </c>
      <c r="O137" s="40" t="n">
        <f aca="false">IF(ISNUMBER($K137),IF(ISNUMBER(Parâmetros!$E$7),Parâmetros!$E$7,0),"")</f>
        <v>0</v>
      </c>
      <c r="P137" s="41" t="n">
        <f aca="false">IF(ISNUMBER($K137),$K137-$D137-IF(ISNUMBER($E137),$E137,0)-$L137-$M137-$N137-$O137,"")</f>
        <v>64.1217391304348</v>
      </c>
      <c r="Q137" s="42" t="n">
        <f aca="false">IF(AND(ISNUMBER($K137),$K137&gt;0),$P137/$K137,"")</f>
        <v>0.2</v>
      </c>
      <c r="R137" s="43"/>
      <c r="S137" s="44" t="str">
        <f aca="false">IF(OR(NOT(ISNUMBER($R137)),$R137=0,NOT(ISNUMBER($K137))),"",$K137*(1-$R137))</f>
        <v/>
      </c>
      <c r="T137" s="45" t="str">
        <f aca="false">IF(ISNUMBER($S137),$S137*$H137,"")</f>
        <v/>
      </c>
      <c r="U137" s="45" t="str">
        <f aca="false">IF(ISNUMBER($S137),$S137*Parâmetros!$B$7,"")</f>
        <v/>
      </c>
      <c r="V137" s="45" t="str">
        <f aca="false">IF(ISNUMBER($S137),$S137*Parâmetros!$C$7,"")</f>
        <v/>
      </c>
      <c r="W137" s="44" t="str">
        <f aca="false">IF(ISNUMBER($S137),$S137-$D137-IF(ISNUMBER($E137),$E137,0)-$O137-$T137-$U137-$V137,"")</f>
        <v/>
      </c>
      <c r="X137" s="46" t="str">
        <f aca="false">IF(AND(ISNUMBER($S137),$S137&gt;0),$W137/$S137,"")</f>
        <v/>
      </c>
      <c r="Y137" s="49"/>
      <c r="Z137" s="21"/>
    </row>
    <row r="138" customFormat="false" ht="15.75" hidden="false" customHeight="true" outlineLevel="0" collapsed="false">
      <c r="A138" s="32" t="str">
        <f aca="false">IF(Produtos!$A138="","",Produtos!$A138)</f>
        <v>L2470-AC</v>
      </c>
      <c r="B138" s="32" t="str">
        <f aca="false">IF(Produtos!$A138="","",Produtos!$B138)</f>
        <v>Lixeira c/Aro Colorido 24x70 30L</v>
      </c>
      <c r="C138" s="32" t="str">
        <f aca="false">IF(Produtos!$A138="","",Produtos!$C138)</f>
        <v>Lixeiras em inox</v>
      </c>
      <c r="D138" s="33" t="n">
        <f aca="false">IF(Produtos!$A138="","",IF(Produtos!$D138="","",Produtos!$D138))</f>
        <v>220.29</v>
      </c>
      <c r="E138" s="11" t="n">
        <v>0</v>
      </c>
      <c r="F138" s="34" t="n">
        <f aca="false">IF($A138="","",IF($C138="","⚠ categoria",IFERROR(INDEX(Parâmetros!$E$13:$E$22,MATCH($C138,Parâmetros!$A$13:$A$22,0)),"⚠ categoria")))</f>
        <v>0.21</v>
      </c>
      <c r="G138" s="35"/>
      <c r="H138" s="36" t="n">
        <f aca="false">IF($A138="","",IF(ISNUMBER($G138),$G138,IF(ISNUMBER($F138),$F138,"")))</f>
        <v>0.21</v>
      </c>
      <c r="I138" s="37" t="n">
        <f aca="false">IF(OR($A138="",NOT(ISNUMBER($D138)),NOT(ISNUMBER($H138))),"",IF((1-$H138-Parâmetros!$B$7-Parâmetros!$C$7-Parâmetros!$D$7)&lt;=0,"INVALIDO",($D138+IF(ISNUMBER($E138),$E138,0)+IF(ISNUMBER(Parâmetros!$E$7),Parâmetros!$E$7,0))/(1-$H138-Parâmetros!$B$7-Parâmetros!$C$7-Parâmetros!$D$7)))</f>
        <v>478.891304347826</v>
      </c>
      <c r="J138" s="38"/>
      <c r="K138" s="39" t="n">
        <f aca="false">IF(OR($A138="",NOT(ISNUMBER($D138)),NOT(ISNUMBER($H138))),"",IF(AND(ISNUMBER($J138),$J138&gt;0),$J138,IF(ISNUMBER($I138),$I138,"")))</f>
        <v>478.891304347826</v>
      </c>
      <c r="L138" s="40" t="n">
        <f aca="false">IF(ISNUMBER($K138),$K138*$H138,"")</f>
        <v>100.567173913043</v>
      </c>
      <c r="M138" s="40" t="n">
        <f aca="false">IF(ISNUMBER($K138),$K138*Parâmetros!$B$7,"")</f>
        <v>47.8891304347826</v>
      </c>
      <c r="N138" s="40" t="n">
        <f aca="false">IF(ISNUMBER($K138),$K138*Parâmetros!$C$7,"")</f>
        <v>14.3667391304348</v>
      </c>
      <c r="O138" s="40" t="n">
        <f aca="false">IF(ISNUMBER($K138),IF(ISNUMBER(Parâmetros!$E$7),Parâmetros!$E$7,0),"")</f>
        <v>0</v>
      </c>
      <c r="P138" s="41" t="n">
        <f aca="false">IF(ISNUMBER($K138),$K138-$D138-IF(ISNUMBER($E138),$E138,0)-$L138-$M138-$N138-$O138,"")</f>
        <v>95.7782608695652</v>
      </c>
      <c r="Q138" s="42" t="n">
        <f aca="false">IF(AND(ISNUMBER($K138),$K138&gt;0),$P138/$K138,"")</f>
        <v>0.2</v>
      </c>
      <c r="R138" s="43"/>
      <c r="S138" s="44" t="str">
        <f aca="false">IF(OR(NOT(ISNUMBER($R138)),$R138=0,NOT(ISNUMBER($K138))),"",$K138*(1-$R138))</f>
        <v/>
      </c>
      <c r="T138" s="45" t="str">
        <f aca="false">IF(ISNUMBER($S138),$S138*$H138,"")</f>
        <v/>
      </c>
      <c r="U138" s="45" t="str">
        <f aca="false">IF(ISNUMBER($S138),$S138*Parâmetros!$B$7,"")</f>
        <v/>
      </c>
      <c r="V138" s="45" t="str">
        <f aca="false">IF(ISNUMBER($S138),$S138*Parâmetros!$C$7,"")</f>
        <v/>
      </c>
      <c r="W138" s="44" t="str">
        <f aca="false">IF(ISNUMBER($S138),$S138-$D138-IF(ISNUMBER($E138),$E138,0)-$O138-$T138-$U138-$V138,"")</f>
        <v/>
      </c>
      <c r="X138" s="46" t="str">
        <f aca="false">IF(AND(ISNUMBER($S138),$S138&gt;0),$W138/$S138,"")</f>
        <v/>
      </c>
      <c r="Y138" s="47"/>
      <c r="Z138" s="19"/>
    </row>
    <row r="139" customFormat="false" ht="15.75" hidden="false" customHeight="true" outlineLevel="0" collapsed="false">
      <c r="A139" s="48" t="str">
        <f aca="false">IF(Produtos!$A139="","",Produtos!$A139)</f>
        <v>L3040-AC</v>
      </c>
      <c r="B139" s="48" t="str">
        <f aca="false">IF(Produtos!$A139="","",Produtos!$B139)</f>
        <v>Lixeira c/Aro Colorido 30x40 30L</v>
      </c>
      <c r="C139" s="48" t="str">
        <f aca="false">IF(Produtos!$A139="","",Produtos!$C139)</f>
        <v>Lixeiras em inox</v>
      </c>
      <c r="D139" s="33" t="n">
        <f aca="false">IF(Produtos!$A139="","",IF(Produtos!$D139="","",Produtos!$D139))</f>
        <v>162.44</v>
      </c>
      <c r="E139" s="11" t="n">
        <v>0</v>
      </c>
      <c r="F139" s="34" t="n">
        <f aca="false">IF($A139="","",IF($C139="","⚠ categoria",IFERROR(INDEX(Parâmetros!$E$13:$E$22,MATCH($C139,Parâmetros!$A$13:$A$22,0)),"⚠ categoria")))</f>
        <v>0.21</v>
      </c>
      <c r="G139" s="35"/>
      <c r="H139" s="36" t="n">
        <f aca="false">IF($A139="","",IF(ISNUMBER($G139),$G139,IF(ISNUMBER($F139),$F139,"")))</f>
        <v>0.21</v>
      </c>
      <c r="I139" s="37" t="n">
        <f aca="false">IF(OR($A139="",NOT(ISNUMBER($D139)),NOT(ISNUMBER($H139))),"",IF((1-$H139-Parâmetros!$B$7-Parâmetros!$C$7-Parâmetros!$D$7)&lt;=0,"INVALIDO",($D139+IF(ISNUMBER($E139),$E139,0)+IF(ISNUMBER(Parâmetros!$E$7),Parâmetros!$E$7,0))/(1-$H139-Parâmetros!$B$7-Parâmetros!$C$7-Parâmetros!$D$7)))</f>
        <v>353.130434782609</v>
      </c>
      <c r="J139" s="38"/>
      <c r="K139" s="39" t="n">
        <f aca="false">IF(OR($A139="",NOT(ISNUMBER($D139)),NOT(ISNUMBER($H139))),"",IF(AND(ISNUMBER($J139),$J139&gt;0),$J139,IF(ISNUMBER($I139),$I139,"")))</f>
        <v>353.130434782609</v>
      </c>
      <c r="L139" s="40" t="n">
        <f aca="false">IF(ISNUMBER($K139),$K139*$H139,"")</f>
        <v>74.1573913043478</v>
      </c>
      <c r="M139" s="40" t="n">
        <f aca="false">IF(ISNUMBER($K139),$K139*Parâmetros!$B$7,"")</f>
        <v>35.3130434782609</v>
      </c>
      <c r="N139" s="40" t="n">
        <f aca="false">IF(ISNUMBER($K139),$K139*Parâmetros!$C$7,"")</f>
        <v>10.5939130434783</v>
      </c>
      <c r="O139" s="40" t="n">
        <f aca="false">IF(ISNUMBER($K139),IF(ISNUMBER(Parâmetros!$E$7),Parâmetros!$E$7,0),"")</f>
        <v>0</v>
      </c>
      <c r="P139" s="41" t="n">
        <f aca="false">IF(ISNUMBER($K139),$K139-$D139-IF(ISNUMBER($E139),$E139,0)-$L139-$M139-$N139-$O139,"")</f>
        <v>70.6260869565217</v>
      </c>
      <c r="Q139" s="42" t="n">
        <f aca="false">IF(AND(ISNUMBER($K139),$K139&gt;0),$P139/$K139,"")</f>
        <v>0.2</v>
      </c>
      <c r="R139" s="43"/>
      <c r="S139" s="44" t="str">
        <f aca="false">IF(OR(NOT(ISNUMBER($R139)),$R139=0,NOT(ISNUMBER($K139))),"",$K139*(1-$R139))</f>
        <v/>
      </c>
      <c r="T139" s="45" t="str">
        <f aca="false">IF(ISNUMBER($S139),$S139*$H139,"")</f>
        <v/>
      </c>
      <c r="U139" s="45" t="str">
        <f aca="false">IF(ISNUMBER($S139),$S139*Parâmetros!$B$7,"")</f>
        <v/>
      </c>
      <c r="V139" s="45" t="str">
        <f aca="false">IF(ISNUMBER($S139),$S139*Parâmetros!$C$7,"")</f>
        <v/>
      </c>
      <c r="W139" s="44" t="str">
        <f aca="false">IF(ISNUMBER($S139),$S139-$D139-IF(ISNUMBER($E139),$E139,0)-$O139-$T139-$U139-$V139,"")</f>
        <v/>
      </c>
      <c r="X139" s="46" t="str">
        <f aca="false">IF(AND(ISNUMBER($S139),$S139&gt;0),$W139/$S139,"")</f>
        <v/>
      </c>
      <c r="Y139" s="49"/>
      <c r="Z139" s="21"/>
    </row>
    <row r="140" customFormat="false" ht="15.75" hidden="false" customHeight="true" outlineLevel="0" collapsed="false">
      <c r="A140" s="32" t="str">
        <f aca="false">IF(Produtos!$A140="","",Produtos!$A140)</f>
        <v>L3050-AC</v>
      </c>
      <c r="B140" s="32" t="str">
        <f aca="false">IF(Produtos!$A140="","",Produtos!$B140)</f>
        <v>Lixeira c/Aro Colorido 30x50 35L</v>
      </c>
      <c r="C140" s="32" t="str">
        <f aca="false">IF(Produtos!$A140="","",Produtos!$C140)</f>
        <v>Lixeiras em inox</v>
      </c>
      <c r="D140" s="33" t="n">
        <f aca="false">IF(Produtos!$A140="","",IF(Produtos!$D140="","",Produtos!$D140))</f>
        <v>206.89</v>
      </c>
      <c r="E140" s="11" t="n">
        <v>0</v>
      </c>
      <c r="F140" s="34" t="n">
        <f aca="false">IF($A140="","",IF($C140="","⚠ categoria",IFERROR(INDEX(Parâmetros!$E$13:$E$22,MATCH($C140,Parâmetros!$A$13:$A$22,0)),"⚠ categoria")))</f>
        <v>0.21</v>
      </c>
      <c r="G140" s="35"/>
      <c r="H140" s="36" t="n">
        <f aca="false">IF($A140="","",IF(ISNUMBER($G140),$G140,IF(ISNUMBER($F140),$F140,"")))</f>
        <v>0.21</v>
      </c>
      <c r="I140" s="37" t="n">
        <f aca="false">IF(OR($A140="",NOT(ISNUMBER($D140)),NOT(ISNUMBER($H140))),"",IF((1-$H140-Parâmetros!$B$7-Parâmetros!$C$7-Parâmetros!$D$7)&lt;=0,"INVALIDO",($D140+IF(ISNUMBER($E140),$E140,0)+IF(ISNUMBER(Parâmetros!$E$7),Parâmetros!$E$7,0))/(1-$H140-Parâmetros!$B$7-Parâmetros!$C$7-Parâmetros!$D$7)))</f>
        <v>449.760869565217</v>
      </c>
      <c r="J140" s="38"/>
      <c r="K140" s="39" t="n">
        <f aca="false">IF(OR($A140="",NOT(ISNUMBER($D140)),NOT(ISNUMBER($H140))),"",IF(AND(ISNUMBER($J140),$J140&gt;0),$J140,IF(ISNUMBER($I140),$I140,"")))</f>
        <v>449.760869565217</v>
      </c>
      <c r="L140" s="40" t="n">
        <f aca="false">IF(ISNUMBER($K140),$K140*$H140,"")</f>
        <v>94.4497826086956</v>
      </c>
      <c r="M140" s="40" t="n">
        <f aca="false">IF(ISNUMBER($K140),$K140*Parâmetros!$B$7,"")</f>
        <v>44.9760869565217</v>
      </c>
      <c r="N140" s="40" t="n">
        <f aca="false">IF(ISNUMBER($K140),$K140*Parâmetros!$C$7,"")</f>
        <v>13.4928260869565</v>
      </c>
      <c r="O140" s="40" t="n">
        <f aca="false">IF(ISNUMBER($K140),IF(ISNUMBER(Parâmetros!$E$7),Parâmetros!$E$7,0),"")</f>
        <v>0</v>
      </c>
      <c r="P140" s="41" t="n">
        <f aca="false">IF(ISNUMBER($K140),$K140-$D140-IF(ISNUMBER($E140),$E140,0)-$L140-$M140-$N140-$O140,"")</f>
        <v>89.9521739130435</v>
      </c>
      <c r="Q140" s="42" t="n">
        <f aca="false">IF(AND(ISNUMBER($K140),$K140&gt;0),$P140/$K140,"")</f>
        <v>0.2</v>
      </c>
      <c r="R140" s="43"/>
      <c r="S140" s="44" t="str">
        <f aca="false">IF(OR(NOT(ISNUMBER($R140)),$R140=0,NOT(ISNUMBER($K140))),"",$K140*(1-$R140))</f>
        <v/>
      </c>
      <c r="T140" s="45" t="str">
        <f aca="false">IF(ISNUMBER($S140),$S140*$H140,"")</f>
        <v/>
      </c>
      <c r="U140" s="45" t="str">
        <f aca="false">IF(ISNUMBER($S140),$S140*Parâmetros!$B$7,"")</f>
        <v/>
      </c>
      <c r="V140" s="45" t="str">
        <f aca="false">IF(ISNUMBER($S140),$S140*Parâmetros!$C$7,"")</f>
        <v/>
      </c>
      <c r="W140" s="44" t="str">
        <f aca="false">IF(ISNUMBER($S140),$S140-$D140-IF(ISNUMBER($E140),$E140,0)-$O140-$T140-$U140-$V140,"")</f>
        <v/>
      </c>
      <c r="X140" s="46" t="str">
        <f aca="false">IF(AND(ISNUMBER($S140),$S140&gt;0),$W140/$S140,"")</f>
        <v/>
      </c>
      <c r="Y140" s="47"/>
      <c r="Z140" s="19"/>
    </row>
    <row r="141" customFormat="false" ht="15.75" hidden="false" customHeight="true" outlineLevel="0" collapsed="false">
      <c r="A141" s="48" t="str">
        <f aca="false">IF(Produtos!$A141="","",Produtos!$A141)</f>
        <v>L3060-AC</v>
      </c>
      <c r="B141" s="48" t="str">
        <f aca="false">IF(Produtos!$A141="","",Produtos!$B141)</f>
        <v>Lixeira c/Aro Colorido 30x60 40L</v>
      </c>
      <c r="C141" s="48" t="str">
        <f aca="false">IF(Produtos!$A141="","",Produtos!$C141)</f>
        <v>Lixeiras em inox</v>
      </c>
      <c r="D141" s="33" t="n">
        <f aca="false">IF(Produtos!$A141="","",IF(Produtos!$D141="","",Produtos!$D141))</f>
        <v>223.7</v>
      </c>
      <c r="E141" s="11" t="n">
        <v>0</v>
      </c>
      <c r="F141" s="34" t="n">
        <f aca="false">IF($A141="","",IF($C141="","⚠ categoria",IFERROR(INDEX(Parâmetros!$E$13:$E$22,MATCH($C141,Parâmetros!$A$13:$A$22,0)),"⚠ categoria")))</f>
        <v>0.21</v>
      </c>
      <c r="G141" s="35"/>
      <c r="H141" s="36" t="n">
        <f aca="false">IF($A141="","",IF(ISNUMBER($G141),$G141,IF(ISNUMBER($F141),$F141,"")))</f>
        <v>0.21</v>
      </c>
      <c r="I141" s="37" t="n">
        <f aca="false">IF(OR($A141="",NOT(ISNUMBER($D141)),NOT(ISNUMBER($H141))),"",IF((1-$H141-Parâmetros!$B$7-Parâmetros!$C$7-Parâmetros!$D$7)&lt;=0,"INVALIDO",($D141+IF(ISNUMBER($E141),$E141,0)+IF(ISNUMBER(Parâmetros!$E$7),Parâmetros!$E$7,0))/(1-$H141-Parâmetros!$B$7-Parâmetros!$C$7-Parâmetros!$D$7)))</f>
        <v>486.304347826087</v>
      </c>
      <c r="J141" s="38"/>
      <c r="K141" s="39" t="n">
        <f aca="false">IF(OR($A141="",NOT(ISNUMBER($D141)),NOT(ISNUMBER($H141))),"",IF(AND(ISNUMBER($J141),$J141&gt;0),$J141,IF(ISNUMBER($I141),$I141,"")))</f>
        <v>486.304347826087</v>
      </c>
      <c r="L141" s="40" t="n">
        <f aca="false">IF(ISNUMBER($K141),$K141*$H141,"")</f>
        <v>102.123913043478</v>
      </c>
      <c r="M141" s="40" t="n">
        <f aca="false">IF(ISNUMBER($K141),$K141*Parâmetros!$B$7,"")</f>
        <v>48.6304347826087</v>
      </c>
      <c r="N141" s="40" t="n">
        <f aca="false">IF(ISNUMBER($K141),$K141*Parâmetros!$C$7,"")</f>
        <v>14.5891304347826</v>
      </c>
      <c r="O141" s="40" t="n">
        <f aca="false">IF(ISNUMBER($K141),IF(ISNUMBER(Parâmetros!$E$7),Parâmetros!$E$7,0),"")</f>
        <v>0</v>
      </c>
      <c r="P141" s="41" t="n">
        <f aca="false">IF(ISNUMBER($K141),$K141-$D141-IF(ISNUMBER($E141),$E141,0)-$L141-$M141-$N141-$O141,"")</f>
        <v>97.2608695652174</v>
      </c>
      <c r="Q141" s="42" t="n">
        <f aca="false">IF(AND(ISNUMBER($K141),$K141&gt;0),$P141/$K141,"")</f>
        <v>0.2</v>
      </c>
      <c r="R141" s="43"/>
      <c r="S141" s="44" t="str">
        <f aca="false">IF(OR(NOT(ISNUMBER($R141)),$R141=0,NOT(ISNUMBER($K141))),"",$K141*(1-$R141))</f>
        <v/>
      </c>
      <c r="T141" s="45" t="str">
        <f aca="false">IF(ISNUMBER($S141),$S141*$H141,"")</f>
        <v/>
      </c>
      <c r="U141" s="45" t="str">
        <f aca="false">IF(ISNUMBER($S141),$S141*Parâmetros!$B$7,"")</f>
        <v/>
      </c>
      <c r="V141" s="45" t="str">
        <f aca="false">IF(ISNUMBER($S141),$S141*Parâmetros!$C$7,"")</f>
        <v/>
      </c>
      <c r="W141" s="44" t="str">
        <f aca="false">IF(ISNUMBER($S141),$S141-$D141-IF(ISNUMBER($E141),$E141,0)-$O141-$T141-$U141-$V141,"")</f>
        <v/>
      </c>
      <c r="X141" s="46" t="str">
        <f aca="false">IF(AND(ISNUMBER($S141),$S141&gt;0),$W141/$S141,"")</f>
        <v/>
      </c>
      <c r="Y141" s="49"/>
      <c r="Z141" s="21"/>
    </row>
    <row r="142" customFormat="false" ht="15.75" hidden="false" customHeight="true" outlineLevel="0" collapsed="false">
      <c r="A142" s="32" t="str">
        <f aca="false">IF(Produtos!$A142="","",Produtos!$A142)</f>
        <v>L3070-AC</v>
      </c>
      <c r="B142" s="32" t="str">
        <f aca="false">IF(Produtos!$A142="","",Produtos!$B142)</f>
        <v>Lixeira c/Aro Colorido 30x70 50L</v>
      </c>
      <c r="C142" s="32" t="str">
        <f aca="false">IF(Produtos!$A142="","",Produtos!$C142)</f>
        <v>Lixeiras em inox</v>
      </c>
      <c r="D142" s="33" t="n">
        <f aca="false">IF(Produtos!$A142="","",IF(Produtos!$D142="","",Produtos!$D142))</f>
        <v>269.32</v>
      </c>
      <c r="E142" s="11" t="n">
        <v>0</v>
      </c>
      <c r="F142" s="34" t="n">
        <f aca="false">IF($A142="","",IF($C142="","⚠ categoria",IFERROR(INDEX(Parâmetros!$E$13:$E$22,MATCH($C142,Parâmetros!$A$13:$A$22,0)),"⚠ categoria")))</f>
        <v>0.21</v>
      </c>
      <c r="G142" s="35"/>
      <c r="H142" s="36" t="n">
        <f aca="false">IF($A142="","",IF(ISNUMBER($G142),$G142,IF(ISNUMBER($F142),$F142,"")))</f>
        <v>0.21</v>
      </c>
      <c r="I142" s="37" t="n">
        <f aca="false">IF(OR($A142="",NOT(ISNUMBER($D142)),NOT(ISNUMBER($H142))),"",IF((1-$H142-Parâmetros!$B$7-Parâmetros!$C$7-Parâmetros!$D$7)&lt;=0,"INVALIDO",($D142+IF(ISNUMBER($E142),$E142,0)+IF(ISNUMBER(Parâmetros!$E$7),Parâmetros!$E$7,0))/(1-$H142-Parâmetros!$B$7-Parâmetros!$C$7-Parâmetros!$D$7)))</f>
        <v>585.478260869565</v>
      </c>
      <c r="J142" s="38"/>
      <c r="K142" s="39" t="n">
        <f aca="false">IF(OR($A142="",NOT(ISNUMBER($D142)),NOT(ISNUMBER($H142))),"",IF(AND(ISNUMBER($J142),$J142&gt;0),$J142,IF(ISNUMBER($I142),$I142,"")))</f>
        <v>585.478260869565</v>
      </c>
      <c r="L142" s="40" t="n">
        <f aca="false">IF(ISNUMBER($K142),$K142*$H142,"")</f>
        <v>122.950434782609</v>
      </c>
      <c r="M142" s="40" t="n">
        <f aca="false">IF(ISNUMBER($K142),$K142*Parâmetros!$B$7,"")</f>
        <v>58.5478260869565</v>
      </c>
      <c r="N142" s="40" t="n">
        <f aca="false">IF(ISNUMBER($K142),$K142*Parâmetros!$C$7,"")</f>
        <v>17.564347826087</v>
      </c>
      <c r="O142" s="40" t="n">
        <f aca="false">IF(ISNUMBER($K142),IF(ISNUMBER(Parâmetros!$E$7),Parâmetros!$E$7,0),"")</f>
        <v>0</v>
      </c>
      <c r="P142" s="41" t="n">
        <f aca="false">IF(ISNUMBER($K142),$K142-$D142-IF(ISNUMBER($E142),$E142,0)-$L142-$M142-$N142-$O142,"")</f>
        <v>117.095652173913</v>
      </c>
      <c r="Q142" s="42" t="n">
        <f aca="false">IF(AND(ISNUMBER($K142),$K142&gt;0),$P142/$K142,"")</f>
        <v>0.2</v>
      </c>
      <c r="R142" s="43"/>
      <c r="S142" s="44" t="str">
        <f aca="false">IF(OR(NOT(ISNUMBER($R142)),$R142=0,NOT(ISNUMBER($K142))),"",$K142*(1-$R142))</f>
        <v/>
      </c>
      <c r="T142" s="45" t="str">
        <f aca="false">IF(ISNUMBER($S142),$S142*$H142,"")</f>
        <v/>
      </c>
      <c r="U142" s="45" t="str">
        <f aca="false">IF(ISNUMBER($S142),$S142*Parâmetros!$B$7,"")</f>
        <v/>
      </c>
      <c r="V142" s="45" t="str">
        <f aca="false">IF(ISNUMBER($S142),$S142*Parâmetros!$C$7,"")</f>
        <v/>
      </c>
      <c r="W142" s="44" t="str">
        <f aca="false">IF(ISNUMBER($S142),$S142-$D142-IF(ISNUMBER($E142),$E142,0)-$O142-$T142-$U142-$V142,"")</f>
        <v/>
      </c>
      <c r="X142" s="46" t="str">
        <f aca="false">IF(AND(ISNUMBER($S142),$S142&gt;0),$W142/$S142,"")</f>
        <v/>
      </c>
      <c r="Y142" s="47"/>
      <c r="Z142" s="19"/>
    </row>
    <row r="143" customFormat="false" ht="15.75" hidden="false" customHeight="true" outlineLevel="0" collapsed="false">
      <c r="A143" s="48" t="str">
        <f aca="false">IF(Produtos!$A143="","",Produtos!$A143)</f>
        <v>L3085-AC</v>
      </c>
      <c r="B143" s="48" t="str">
        <f aca="false">IF(Produtos!$A143="","",Produtos!$B143)</f>
        <v>Lixeira c/Aro Colorido 30x85 60L</v>
      </c>
      <c r="C143" s="48" t="str">
        <f aca="false">IF(Produtos!$A143="","",Produtos!$C143)</f>
        <v>Lixeiras em inox</v>
      </c>
      <c r="D143" s="33" t="n">
        <f aca="false">IF(Produtos!$A143="","",IF(Produtos!$D143="","",Produtos!$D143))</f>
        <v>341.25</v>
      </c>
      <c r="E143" s="11" t="n">
        <v>0</v>
      </c>
      <c r="F143" s="34" t="n">
        <f aca="false">IF($A143="","",IF($C143="","⚠ categoria",IFERROR(INDEX(Parâmetros!$E$13:$E$22,MATCH($C143,Parâmetros!$A$13:$A$22,0)),"⚠ categoria")))</f>
        <v>0.21</v>
      </c>
      <c r="G143" s="35"/>
      <c r="H143" s="36" t="n">
        <f aca="false">IF($A143="","",IF(ISNUMBER($G143),$G143,IF(ISNUMBER($F143),$F143,"")))</f>
        <v>0.21</v>
      </c>
      <c r="I143" s="37" t="n">
        <f aca="false">IF(OR($A143="",NOT(ISNUMBER($D143)),NOT(ISNUMBER($H143))),"",IF((1-$H143-Parâmetros!$B$7-Parâmetros!$C$7-Parâmetros!$D$7)&lt;=0,"INVALIDO",($D143+IF(ISNUMBER($E143),$E143,0)+IF(ISNUMBER(Parâmetros!$E$7),Parâmetros!$E$7,0))/(1-$H143-Parâmetros!$B$7-Parâmetros!$C$7-Parâmetros!$D$7)))</f>
        <v>741.847826086957</v>
      </c>
      <c r="J143" s="38"/>
      <c r="K143" s="39" t="n">
        <f aca="false">IF(OR($A143="",NOT(ISNUMBER($D143)),NOT(ISNUMBER($H143))),"",IF(AND(ISNUMBER($J143),$J143&gt;0),$J143,IF(ISNUMBER($I143),$I143,"")))</f>
        <v>741.847826086957</v>
      </c>
      <c r="L143" s="40" t="n">
        <f aca="false">IF(ISNUMBER($K143),$K143*$H143,"")</f>
        <v>155.788043478261</v>
      </c>
      <c r="M143" s="40" t="n">
        <f aca="false">IF(ISNUMBER($K143),$K143*Parâmetros!$B$7,"")</f>
        <v>74.1847826086957</v>
      </c>
      <c r="N143" s="40" t="n">
        <f aca="false">IF(ISNUMBER($K143),$K143*Parâmetros!$C$7,"")</f>
        <v>22.2554347826087</v>
      </c>
      <c r="O143" s="40" t="n">
        <f aca="false">IF(ISNUMBER($K143),IF(ISNUMBER(Parâmetros!$E$7),Parâmetros!$E$7,0),"")</f>
        <v>0</v>
      </c>
      <c r="P143" s="41" t="n">
        <f aca="false">IF(ISNUMBER($K143),$K143-$D143-IF(ISNUMBER($E143),$E143,0)-$L143-$M143-$N143-$O143,"")</f>
        <v>148.369565217391</v>
      </c>
      <c r="Q143" s="42" t="n">
        <f aca="false">IF(AND(ISNUMBER($K143),$K143&gt;0),$P143/$K143,"")</f>
        <v>0.2</v>
      </c>
      <c r="R143" s="43"/>
      <c r="S143" s="44" t="str">
        <f aca="false">IF(OR(NOT(ISNUMBER($R143)),$R143=0,NOT(ISNUMBER($K143))),"",$K143*(1-$R143))</f>
        <v/>
      </c>
      <c r="T143" s="45" t="str">
        <f aca="false">IF(ISNUMBER($S143),$S143*$H143,"")</f>
        <v/>
      </c>
      <c r="U143" s="45" t="str">
        <f aca="false">IF(ISNUMBER($S143),$S143*Parâmetros!$B$7,"")</f>
        <v/>
      </c>
      <c r="V143" s="45" t="str">
        <f aca="false">IF(ISNUMBER($S143),$S143*Parâmetros!$C$7,"")</f>
        <v/>
      </c>
      <c r="W143" s="44" t="str">
        <f aca="false">IF(ISNUMBER($S143),$S143-$D143-IF(ISNUMBER($E143),$E143,0)-$O143-$T143-$U143-$V143,"")</f>
        <v/>
      </c>
      <c r="X143" s="46" t="str">
        <f aca="false">IF(AND(ISNUMBER($S143),$S143&gt;0),$W143/$S143,"")</f>
        <v/>
      </c>
      <c r="Y143" s="49"/>
      <c r="Z143" s="21"/>
    </row>
    <row r="144" customFormat="false" ht="15.75" hidden="false" customHeight="true" outlineLevel="0" collapsed="false">
      <c r="A144" s="32" t="str">
        <f aca="false">IF(Produtos!$A144="","",Produtos!$A144)</f>
        <v>L4050-AC</v>
      </c>
      <c r="B144" s="32" t="str">
        <f aca="false">IF(Produtos!$A144="","",Produtos!$B144)</f>
        <v>Lixeira c/Aro Colorido 40x50 62L</v>
      </c>
      <c r="C144" s="32" t="str">
        <f aca="false">IF(Produtos!$A144="","",Produtos!$C144)</f>
        <v>Lixeiras em inox</v>
      </c>
      <c r="D144" s="33" t="n">
        <f aca="false">IF(Produtos!$A144="","",IF(Produtos!$D144="","",Produtos!$D144))</f>
        <v>349.81</v>
      </c>
      <c r="E144" s="11" t="n">
        <v>0</v>
      </c>
      <c r="F144" s="34" t="n">
        <f aca="false">IF($A144="","",IF($C144="","⚠ categoria",IFERROR(INDEX(Parâmetros!$E$13:$E$22,MATCH($C144,Parâmetros!$A$13:$A$22,0)),"⚠ categoria")))</f>
        <v>0.21</v>
      </c>
      <c r="G144" s="35"/>
      <c r="H144" s="36" t="n">
        <f aca="false">IF($A144="","",IF(ISNUMBER($G144),$G144,IF(ISNUMBER($F144),$F144,"")))</f>
        <v>0.21</v>
      </c>
      <c r="I144" s="37" t="n">
        <f aca="false">IF(OR($A144="",NOT(ISNUMBER($D144)),NOT(ISNUMBER($H144))),"",IF((1-$H144-Parâmetros!$B$7-Parâmetros!$C$7-Parâmetros!$D$7)&lt;=0,"INVALIDO",($D144+IF(ISNUMBER($E144),$E144,0)+IF(ISNUMBER(Parâmetros!$E$7),Parâmetros!$E$7,0))/(1-$H144-Parâmetros!$B$7-Parâmetros!$C$7-Parâmetros!$D$7)))</f>
        <v>760.45652173913</v>
      </c>
      <c r="J144" s="38"/>
      <c r="K144" s="39" t="n">
        <f aca="false">IF(OR($A144="",NOT(ISNUMBER($D144)),NOT(ISNUMBER($H144))),"",IF(AND(ISNUMBER($J144),$J144&gt;0),$J144,IF(ISNUMBER($I144),$I144,"")))</f>
        <v>760.45652173913</v>
      </c>
      <c r="L144" s="40" t="n">
        <f aca="false">IF(ISNUMBER($K144),$K144*$H144,"")</f>
        <v>159.695869565217</v>
      </c>
      <c r="M144" s="40" t="n">
        <f aca="false">IF(ISNUMBER($K144),$K144*Parâmetros!$B$7,"")</f>
        <v>76.045652173913</v>
      </c>
      <c r="N144" s="40" t="n">
        <f aca="false">IF(ISNUMBER($K144),$K144*Parâmetros!$C$7,"")</f>
        <v>22.8136956521739</v>
      </c>
      <c r="O144" s="40" t="n">
        <f aca="false">IF(ISNUMBER($K144),IF(ISNUMBER(Parâmetros!$E$7),Parâmetros!$E$7,0),"")</f>
        <v>0</v>
      </c>
      <c r="P144" s="41" t="n">
        <f aca="false">IF(ISNUMBER($K144),$K144-$D144-IF(ISNUMBER($E144),$E144,0)-$L144-$M144-$N144-$O144,"")</f>
        <v>152.091304347826</v>
      </c>
      <c r="Q144" s="42" t="n">
        <f aca="false">IF(AND(ISNUMBER($K144),$K144&gt;0),$P144/$K144,"")</f>
        <v>0.2</v>
      </c>
      <c r="R144" s="43"/>
      <c r="S144" s="44" t="str">
        <f aca="false">IF(OR(NOT(ISNUMBER($R144)),$R144=0,NOT(ISNUMBER($K144))),"",$K144*(1-$R144))</f>
        <v/>
      </c>
      <c r="T144" s="45" t="str">
        <f aca="false">IF(ISNUMBER($S144),$S144*$H144,"")</f>
        <v/>
      </c>
      <c r="U144" s="45" t="str">
        <f aca="false">IF(ISNUMBER($S144),$S144*Parâmetros!$B$7,"")</f>
        <v/>
      </c>
      <c r="V144" s="45" t="str">
        <f aca="false">IF(ISNUMBER($S144),$S144*Parâmetros!$C$7,"")</f>
        <v/>
      </c>
      <c r="W144" s="44" t="str">
        <f aca="false">IF(ISNUMBER($S144),$S144-$D144-IF(ISNUMBER($E144),$E144,0)-$O144-$T144-$U144-$V144,"")</f>
        <v/>
      </c>
      <c r="X144" s="46" t="str">
        <f aca="false">IF(AND(ISNUMBER($S144),$S144&gt;0),$W144/$S144,"")</f>
        <v/>
      </c>
      <c r="Y144" s="47"/>
      <c r="Z144" s="19"/>
    </row>
    <row r="145" customFormat="false" ht="15.75" hidden="false" customHeight="true" outlineLevel="0" collapsed="false">
      <c r="A145" s="48" t="str">
        <f aca="false">IF(Produtos!$A145="","",Produtos!$A145)</f>
        <v>L4060-AC</v>
      </c>
      <c r="B145" s="48" t="str">
        <f aca="false">IF(Produtos!$A145="","",Produtos!$B145)</f>
        <v>Lixeira c/Aro Colorido 40x60 75L</v>
      </c>
      <c r="C145" s="48" t="str">
        <f aca="false">IF(Produtos!$A145="","",Produtos!$C145)</f>
        <v>Lixeiras em inox</v>
      </c>
      <c r="D145" s="33" t="n">
        <f aca="false">IF(Produtos!$A145="","",IF(Produtos!$D145="","",Produtos!$D145))</f>
        <v>359.34</v>
      </c>
      <c r="E145" s="11" t="n">
        <v>0</v>
      </c>
      <c r="F145" s="34" t="n">
        <f aca="false">IF($A145="","",IF($C145="","⚠ categoria",IFERROR(INDEX(Parâmetros!$E$13:$E$22,MATCH($C145,Parâmetros!$A$13:$A$22,0)),"⚠ categoria")))</f>
        <v>0.21</v>
      </c>
      <c r="G145" s="35"/>
      <c r="H145" s="36" t="n">
        <f aca="false">IF($A145="","",IF(ISNUMBER($G145),$G145,IF(ISNUMBER($F145),$F145,"")))</f>
        <v>0.21</v>
      </c>
      <c r="I145" s="37" t="n">
        <f aca="false">IF(OR($A145="",NOT(ISNUMBER($D145)),NOT(ISNUMBER($H145))),"",IF((1-$H145-Parâmetros!$B$7-Parâmetros!$C$7-Parâmetros!$D$7)&lt;=0,"INVALIDO",($D145+IF(ISNUMBER($E145),$E145,0)+IF(ISNUMBER(Parâmetros!$E$7),Parâmetros!$E$7,0))/(1-$H145-Parâmetros!$B$7-Parâmetros!$C$7-Parâmetros!$D$7)))</f>
        <v>781.173913043478</v>
      </c>
      <c r="J145" s="38"/>
      <c r="K145" s="39" t="n">
        <f aca="false">IF(OR($A145="",NOT(ISNUMBER($D145)),NOT(ISNUMBER($H145))),"",IF(AND(ISNUMBER($J145),$J145&gt;0),$J145,IF(ISNUMBER($I145),$I145,"")))</f>
        <v>781.173913043478</v>
      </c>
      <c r="L145" s="40" t="n">
        <f aca="false">IF(ISNUMBER($K145),$K145*$H145,"")</f>
        <v>164.04652173913</v>
      </c>
      <c r="M145" s="40" t="n">
        <f aca="false">IF(ISNUMBER($K145),$K145*Parâmetros!$B$7,"")</f>
        <v>78.1173913043478</v>
      </c>
      <c r="N145" s="40" t="n">
        <f aca="false">IF(ISNUMBER($K145),$K145*Parâmetros!$C$7,"")</f>
        <v>23.4352173913043</v>
      </c>
      <c r="O145" s="40" t="n">
        <f aca="false">IF(ISNUMBER($K145),IF(ISNUMBER(Parâmetros!$E$7),Parâmetros!$E$7,0),"")</f>
        <v>0</v>
      </c>
      <c r="P145" s="41" t="n">
        <f aca="false">IF(ISNUMBER($K145),$K145-$D145-IF(ISNUMBER($E145),$E145,0)-$L145-$M145-$N145-$O145,"")</f>
        <v>156.234782608696</v>
      </c>
      <c r="Q145" s="42" t="n">
        <f aca="false">IF(AND(ISNUMBER($K145),$K145&gt;0),$P145/$K145,"")</f>
        <v>0.2</v>
      </c>
      <c r="R145" s="43"/>
      <c r="S145" s="44" t="str">
        <f aca="false">IF(OR(NOT(ISNUMBER($R145)),$R145=0,NOT(ISNUMBER($K145))),"",$K145*(1-$R145))</f>
        <v/>
      </c>
      <c r="T145" s="45" t="str">
        <f aca="false">IF(ISNUMBER($S145),$S145*$H145,"")</f>
        <v/>
      </c>
      <c r="U145" s="45" t="str">
        <f aca="false">IF(ISNUMBER($S145),$S145*Parâmetros!$B$7,"")</f>
        <v/>
      </c>
      <c r="V145" s="45" t="str">
        <f aca="false">IF(ISNUMBER($S145),$S145*Parâmetros!$C$7,"")</f>
        <v/>
      </c>
      <c r="W145" s="44" t="str">
        <f aca="false">IF(ISNUMBER($S145),$S145-$D145-IF(ISNUMBER($E145),$E145,0)-$O145-$T145-$U145-$V145,"")</f>
        <v/>
      </c>
      <c r="X145" s="46" t="str">
        <f aca="false">IF(AND(ISNUMBER($S145),$S145&gt;0),$W145/$S145,"")</f>
        <v/>
      </c>
      <c r="Y145" s="49"/>
      <c r="Z145" s="21"/>
    </row>
    <row r="146" customFormat="false" ht="15.75" hidden="false" customHeight="true" outlineLevel="0" collapsed="false">
      <c r="A146" s="32" t="str">
        <f aca="false">IF(Produtos!$A146="","",Produtos!$A146)</f>
        <v>L4070-AC</v>
      </c>
      <c r="B146" s="32" t="str">
        <f aca="false">IF(Produtos!$A146="","",Produtos!$B146)</f>
        <v>Lixeira c/Aro Colorido 40x70 88L</v>
      </c>
      <c r="C146" s="32" t="str">
        <f aca="false">IF(Produtos!$A146="","",Produtos!$C146)</f>
        <v>Lixeiras em inox</v>
      </c>
      <c r="D146" s="33" t="n">
        <f aca="false">IF(Produtos!$A146="","",IF(Produtos!$D146="","",Produtos!$D146))</f>
        <v>374.18</v>
      </c>
      <c r="E146" s="11" t="n">
        <v>0</v>
      </c>
      <c r="F146" s="34" t="n">
        <f aca="false">IF($A146="","",IF($C146="","⚠ categoria",IFERROR(INDEX(Parâmetros!$E$13:$E$22,MATCH($C146,Parâmetros!$A$13:$A$22,0)),"⚠ categoria")))</f>
        <v>0.21</v>
      </c>
      <c r="G146" s="35"/>
      <c r="H146" s="36" t="n">
        <f aca="false">IF($A146="","",IF(ISNUMBER($G146),$G146,IF(ISNUMBER($F146),$F146,"")))</f>
        <v>0.21</v>
      </c>
      <c r="I146" s="37" t="n">
        <f aca="false">IF(OR($A146="",NOT(ISNUMBER($D146)),NOT(ISNUMBER($H146))),"",IF((1-$H146-Parâmetros!$B$7-Parâmetros!$C$7-Parâmetros!$D$7)&lt;=0,"INVALIDO",($D146+IF(ISNUMBER($E146),$E146,0)+IF(ISNUMBER(Parâmetros!$E$7),Parâmetros!$E$7,0))/(1-$H146-Parâmetros!$B$7-Parâmetros!$C$7-Parâmetros!$D$7)))</f>
        <v>813.434782608696</v>
      </c>
      <c r="J146" s="38"/>
      <c r="K146" s="39" t="n">
        <f aca="false">IF(OR($A146="",NOT(ISNUMBER($D146)),NOT(ISNUMBER($H146))),"",IF(AND(ISNUMBER($J146),$J146&gt;0),$J146,IF(ISNUMBER($I146),$I146,"")))</f>
        <v>813.434782608696</v>
      </c>
      <c r="L146" s="40" t="n">
        <f aca="false">IF(ISNUMBER($K146),$K146*$H146,"")</f>
        <v>170.821304347826</v>
      </c>
      <c r="M146" s="40" t="n">
        <f aca="false">IF(ISNUMBER($K146),$K146*Parâmetros!$B$7,"")</f>
        <v>81.3434782608696</v>
      </c>
      <c r="N146" s="40" t="n">
        <f aca="false">IF(ISNUMBER($K146),$K146*Parâmetros!$C$7,"")</f>
        <v>24.4030434782609</v>
      </c>
      <c r="O146" s="40" t="n">
        <f aca="false">IF(ISNUMBER($K146),IF(ISNUMBER(Parâmetros!$E$7),Parâmetros!$E$7,0),"")</f>
        <v>0</v>
      </c>
      <c r="P146" s="41" t="n">
        <f aca="false">IF(ISNUMBER($K146),$K146-$D146-IF(ISNUMBER($E146),$E146,0)-$L146-$M146-$N146-$O146,"")</f>
        <v>162.686956521739</v>
      </c>
      <c r="Q146" s="42" t="n">
        <f aca="false">IF(AND(ISNUMBER($K146),$K146&gt;0),$P146/$K146,"")</f>
        <v>0.2</v>
      </c>
      <c r="R146" s="43"/>
      <c r="S146" s="44" t="str">
        <f aca="false">IF(OR(NOT(ISNUMBER($R146)),$R146=0,NOT(ISNUMBER($K146))),"",$K146*(1-$R146))</f>
        <v/>
      </c>
      <c r="T146" s="45" t="str">
        <f aca="false">IF(ISNUMBER($S146),$S146*$H146,"")</f>
        <v/>
      </c>
      <c r="U146" s="45" t="str">
        <f aca="false">IF(ISNUMBER($S146),$S146*Parâmetros!$B$7,"")</f>
        <v/>
      </c>
      <c r="V146" s="45" t="str">
        <f aca="false">IF(ISNUMBER($S146),$S146*Parâmetros!$C$7,"")</f>
        <v/>
      </c>
      <c r="W146" s="44" t="str">
        <f aca="false">IF(ISNUMBER($S146),$S146-$D146-IF(ISNUMBER($E146),$E146,0)-$O146-$T146-$U146-$V146,"")</f>
        <v/>
      </c>
      <c r="X146" s="46" t="str">
        <f aca="false">IF(AND(ISNUMBER($S146),$S146&gt;0),$W146/$S146,"")</f>
        <v/>
      </c>
      <c r="Y146" s="47"/>
      <c r="Z146" s="19"/>
    </row>
    <row r="147" customFormat="false" ht="15.75" hidden="false" customHeight="true" outlineLevel="0" collapsed="false">
      <c r="A147" s="48" t="str">
        <f aca="false">IF(Produtos!$A147="","",Produtos!$A147)</f>
        <v>L4075-AC</v>
      </c>
      <c r="B147" s="48" t="str">
        <f aca="false">IF(Produtos!$A147="","",Produtos!$B147)</f>
        <v>Lixeira c/Aro Colorido 40x75 95L</v>
      </c>
      <c r="C147" s="48" t="str">
        <f aca="false">IF(Produtos!$A147="","",Produtos!$C147)</f>
        <v>Lixeiras em inox</v>
      </c>
      <c r="D147" s="33" t="n">
        <f aca="false">IF(Produtos!$A147="","",IF(Produtos!$D147="","",Produtos!$D147))</f>
        <v>405.18</v>
      </c>
      <c r="E147" s="11" t="n">
        <v>0</v>
      </c>
      <c r="F147" s="34" t="n">
        <f aca="false">IF($A147="","",IF($C147="","⚠ categoria",IFERROR(INDEX(Parâmetros!$E$13:$E$22,MATCH($C147,Parâmetros!$A$13:$A$22,0)),"⚠ categoria")))</f>
        <v>0.21</v>
      </c>
      <c r="G147" s="35"/>
      <c r="H147" s="36" t="n">
        <f aca="false">IF($A147="","",IF(ISNUMBER($G147),$G147,IF(ISNUMBER($F147),$F147,"")))</f>
        <v>0.21</v>
      </c>
      <c r="I147" s="37" t="n">
        <f aca="false">IF(OR($A147="",NOT(ISNUMBER($D147)),NOT(ISNUMBER($H147))),"",IF((1-$H147-Parâmetros!$B$7-Parâmetros!$C$7-Parâmetros!$D$7)&lt;=0,"INVALIDO",($D147+IF(ISNUMBER($E147),$E147,0)+IF(ISNUMBER(Parâmetros!$E$7),Parâmetros!$E$7,0))/(1-$H147-Parâmetros!$B$7-Parâmetros!$C$7-Parâmetros!$D$7)))</f>
        <v>880.826086956522</v>
      </c>
      <c r="J147" s="38"/>
      <c r="K147" s="39" t="n">
        <f aca="false">IF(OR($A147="",NOT(ISNUMBER($D147)),NOT(ISNUMBER($H147))),"",IF(AND(ISNUMBER($J147),$J147&gt;0),$J147,IF(ISNUMBER($I147),$I147,"")))</f>
        <v>880.826086956522</v>
      </c>
      <c r="L147" s="40" t="n">
        <f aca="false">IF(ISNUMBER($K147),$K147*$H147,"")</f>
        <v>184.97347826087</v>
      </c>
      <c r="M147" s="40" t="n">
        <f aca="false">IF(ISNUMBER($K147),$K147*Parâmetros!$B$7,"")</f>
        <v>88.0826086956522</v>
      </c>
      <c r="N147" s="40" t="n">
        <f aca="false">IF(ISNUMBER($K147),$K147*Parâmetros!$C$7,"")</f>
        <v>26.4247826086957</v>
      </c>
      <c r="O147" s="40" t="n">
        <f aca="false">IF(ISNUMBER($K147),IF(ISNUMBER(Parâmetros!$E$7),Parâmetros!$E$7,0),"")</f>
        <v>0</v>
      </c>
      <c r="P147" s="41" t="n">
        <f aca="false">IF(ISNUMBER($K147),$K147-$D147-IF(ISNUMBER($E147),$E147,0)-$L147-$M147-$N147-$O147,"")</f>
        <v>176.165217391304</v>
      </c>
      <c r="Q147" s="42" t="n">
        <f aca="false">IF(AND(ISNUMBER($K147),$K147&gt;0),$P147/$K147,"")</f>
        <v>0.2</v>
      </c>
      <c r="R147" s="43"/>
      <c r="S147" s="44" t="str">
        <f aca="false">IF(OR(NOT(ISNUMBER($R147)),$R147=0,NOT(ISNUMBER($K147))),"",$K147*(1-$R147))</f>
        <v/>
      </c>
      <c r="T147" s="45" t="str">
        <f aca="false">IF(ISNUMBER($S147),$S147*$H147,"")</f>
        <v/>
      </c>
      <c r="U147" s="45" t="str">
        <f aca="false">IF(ISNUMBER($S147),$S147*Parâmetros!$B$7,"")</f>
        <v/>
      </c>
      <c r="V147" s="45" t="str">
        <f aca="false">IF(ISNUMBER($S147),$S147*Parâmetros!$C$7,"")</f>
        <v/>
      </c>
      <c r="W147" s="44" t="str">
        <f aca="false">IF(ISNUMBER($S147),$S147-$D147-IF(ISNUMBER($E147),$E147,0)-$O147-$T147-$U147-$V147,"")</f>
        <v/>
      </c>
      <c r="X147" s="46" t="str">
        <f aca="false">IF(AND(ISNUMBER($S147),$S147&gt;0),$W147/$S147,"")</f>
        <v/>
      </c>
      <c r="Y147" s="49"/>
      <c r="Z147" s="21"/>
    </row>
    <row r="148" customFormat="false" ht="15.75" hidden="false" customHeight="true" outlineLevel="0" collapsed="false">
      <c r="A148" s="32" t="str">
        <f aca="false">IF(Produtos!$A148="","",Produtos!$A148)</f>
        <v>L4080-AC</v>
      </c>
      <c r="B148" s="32" t="str">
        <f aca="false">IF(Produtos!$A148="","",Produtos!$B148)</f>
        <v>Lixeira c/Aro Colorido 40x80 100L</v>
      </c>
      <c r="C148" s="32" t="str">
        <f aca="false">IF(Produtos!$A148="","",Produtos!$C148)</f>
        <v>Lixeiras em inox</v>
      </c>
      <c r="D148" s="33" t="n">
        <f aca="false">IF(Produtos!$A148="","",IF(Produtos!$D148="","",Produtos!$D148))</f>
        <v>425.44</v>
      </c>
      <c r="E148" s="11" t="n">
        <v>0</v>
      </c>
      <c r="F148" s="34" t="n">
        <f aca="false">IF($A148="","",IF($C148="","⚠ categoria",IFERROR(INDEX(Parâmetros!$E$13:$E$22,MATCH($C148,Parâmetros!$A$13:$A$22,0)),"⚠ categoria")))</f>
        <v>0.21</v>
      </c>
      <c r="G148" s="35"/>
      <c r="H148" s="36" t="n">
        <f aca="false">IF($A148="","",IF(ISNUMBER($G148),$G148,IF(ISNUMBER($F148),$F148,"")))</f>
        <v>0.21</v>
      </c>
      <c r="I148" s="37" t="n">
        <f aca="false">IF(OR($A148="",NOT(ISNUMBER($D148)),NOT(ISNUMBER($H148))),"",IF((1-$H148-Parâmetros!$B$7-Parâmetros!$C$7-Parâmetros!$D$7)&lt;=0,"INVALIDO",($D148+IF(ISNUMBER($E148),$E148,0)+IF(ISNUMBER(Parâmetros!$E$7),Parâmetros!$E$7,0))/(1-$H148-Parâmetros!$B$7-Parâmetros!$C$7-Parâmetros!$D$7)))</f>
        <v>924.869565217391</v>
      </c>
      <c r="J148" s="38"/>
      <c r="K148" s="39" t="n">
        <f aca="false">IF(OR($A148="",NOT(ISNUMBER($D148)),NOT(ISNUMBER($H148))),"",IF(AND(ISNUMBER($J148),$J148&gt;0),$J148,IF(ISNUMBER($I148),$I148,"")))</f>
        <v>924.869565217391</v>
      </c>
      <c r="L148" s="40" t="n">
        <f aca="false">IF(ISNUMBER($K148),$K148*$H148,"")</f>
        <v>194.222608695652</v>
      </c>
      <c r="M148" s="40" t="n">
        <f aca="false">IF(ISNUMBER($K148),$K148*Parâmetros!$B$7,"")</f>
        <v>92.4869565217391</v>
      </c>
      <c r="N148" s="40" t="n">
        <f aca="false">IF(ISNUMBER($K148),$K148*Parâmetros!$C$7,"")</f>
        <v>27.7460869565217</v>
      </c>
      <c r="O148" s="40" t="n">
        <f aca="false">IF(ISNUMBER($K148),IF(ISNUMBER(Parâmetros!$E$7),Parâmetros!$E$7,0),"")</f>
        <v>0</v>
      </c>
      <c r="P148" s="41" t="n">
        <f aca="false">IF(ISNUMBER($K148),$K148-$D148-IF(ISNUMBER($E148),$E148,0)-$L148-$M148-$N148-$O148,"")</f>
        <v>184.973913043478</v>
      </c>
      <c r="Q148" s="42" t="n">
        <f aca="false">IF(AND(ISNUMBER($K148),$K148&gt;0),$P148/$K148,"")</f>
        <v>0.2</v>
      </c>
      <c r="R148" s="43"/>
      <c r="S148" s="44" t="str">
        <f aca="false">IF(OR(NOT(ISNUMBER($R148)),$R148=0,NOT(ISNUMBER($K148))),"",$K148*(1-$R148))</f>
        <v/>
      </c>
      <c r="T148" s="45" t="str">
        <f aca="false">IF(ISNUMBER($S148),$S148*$H148,"")</f>
        <v/>
      </c>
      <c r="U148" s="45" t="str">
        <f aca="false">IF(ISNUMBER($S148),$S148*Parâmetros!$B$7,"")</f>
        <v/>
      </c>
      <c r="V148" s="45" t="str">
        <f aca="false">IF(ISNUMBER($S148),$S148*Parâmetros!$C$7,"")</f>
        <v/>
      </c>
      <c r="W148" s="44" t="str">
        <f aca="false">IF(ISNUMBER($S148),$S148-$D148-IF(ISNUMBER($E148),$E148,0)-$O148-$T148-$U148-$V148,"")</f>
        <v/>
      </c>
      <c r="X148" s="46" t="str">
        <f aca="false">IF(AND(ISNUMBER($S148),$S148&gt;0),$W148/$S148,"")</f>
        <v/>
      </c>
      <c r="Y148" s="47"/>
      <c r="Z148" s="19"/>
    </row>
    <row r="149" customFormat="false" ht="15.75" hidden="false" customHeight="true" outlineLevel="0" collapsed="false">
      <c r="A149" s="48" t="str">
        <f aca="false">IF(Produtos!$A149="","",Produtos!$A149)</f>
        <v>L4090-AC</v>
      </c>
      <c r="B149" s="48" t="str">
        <f aca="false">IF(Produtos!$A149="","",Produtos!$B149)</f>
        <v>Lixeira c/Aro Colorido 40x90 120L</v>
      </c>
      <c r="C149" s="48" t="str">
        <f aca="false">IF(Produtos!$A149="","",Produtos!$C149)</f>
        <v>Lixeiras em inox</v>
      </c>
      <c r="D149" s="33" t="n">
        <f aca="false">IF(Produtos!$A149="","",IF(Produtos!$D149="","",Produtos!$D149))</f>
        <v>652.76</v>
      </c>
      <c r="E149" s="11" t="n">
        <v>0</v>
      </c>
      <c r="F149" s="34" t="n">
        <f aca="false">IF($A149="","",IF($C149="","⚠ categoria",IFERROR(INDEX(Parâmetros!$E$13:$E$22,MATCH($C149,Parâmetros!$A$13:$A$22,0)),"⚠ categoria")))</f>
        <v>0.21</v>
      </c>
      <c r="G149" s="35"/>
      <c r="H149" s="36" t="n">
        <f aca="false">IF($A149="","",IF(ISNUMBER($G149),$G149,IF(ISNUMBER($F149),$F149,"")))</f>
        <v>0.21</v>
      </c>
      <c r="I149" s="37" t="n">
        <f aca="false">IF(OR($A149="",NOT(ISNUMBER($D149)),NOT(ISNUMBER($H149))),"",IF((1-$H149-Parâmetros!$B$7-Parâmetros!$C$7-Parâmetros!$D$7)&lt;=0,"INVALIDO",($D149+IF(ISNUMBER($E149),$E149,0)+IF(ISNUMBER(Parâmetros!$E$7),Parâmetros!$E$7,0))/(1-$H149-Parâmetros!$B$7-Parâmetros!$C$7-Parâmetros!$D$7)))</f>
        <v>1419.04347826087</v>
      </c>
      <c r="J149" s="38"/>
      <c r="K149" s="39" t="n">
        <f aca="false">IF(OR($A149="",NOT(ISNUMBER($D149)),NOT(ISNUMBER($H149))),"",IF(AND(ISNUMBER($J149),$J149&gt;0),$J149,IF(ISNUMBER($I149),$I149,"")))</f>
        <v>1419.04347826087</v>
      </c>
      <c r="L149" s="40" t="n">
        <f aca="false">IF(ISNUMBER($K149),$K149*$H149,"")</f>
        <v>297.999130434783</v>
      </c>
      <c r="M149" s="40" t="n">
        <f aca="false">IF(ISNUMBER($K149),$K149*Parâmetros!$B$7,"")</f>
        <v>141.904347826087</v>
      </c>
      <c r="N149" s="40" t="n">
        <f aca="false">IF(ISNUMBER($K149),$K149*Parâmetros!$C$7,"")</f>
        <v>42.5713043478261</v>
      </c>
      <c r="O149" s="40" t="n">
        <f aca="false">IF(ISNUMBER($K149),IF(ISNUMBER(Parâmetros!$E$7),Parâmetros!$E$7,0),"")</f>
        <v>0</v>
      </c>
      <c r="P149" s="41" t="n">
        <f aca="false">IF(ISNUMBER($K149),$K149-$D149-IF(ISNUMBER($E149),$E149,0)-$L149-$M149-$N149-$O149,"")</f>
        <v>283.808695652174</v>
      </c>
      <c r="Q149" s="42" t="n">
        <f aca="false">IF(AND(ISNUMBER($K149),$K149&gt;0),$P149/$K149,"")</f>
        <v>0.2</v>
      </c>
      <c r="R149" s="43"/>
      <c r="S149" s="44" t="str">
        <f aca="false">IF(OR(NOT(ISNUMBER($R149)),$R149=0,NOT(ISNUMBER($K149))),"",$K149*(1-$R149))</f>
        <v/>
      </c>
      <c r="T149" s="45" t="str">
        <f aca="false">IF(ISNUMBER($S149),$S149*$H149,"")</f>
        <v/>
      </c>
      <c r="U149" s="45" t="str">
        <f aca="false">IF(ISNUMBER($S149),$S149*Parâmetros!$B$7,"")</f>
        <v/>
      </c>
      <c r="V149" s="45" t="str">
        <f aca="false">IF(ISNUMBER($S149),$S149*Parâmetros!$C$7,"")</f>
        <v/>
      </c>
      <c r="W149" s="44" t="str">
        <f aca="false">IF(ISNUMBER($S149),$S149-$D149-IF(ISNUMBER($E149),$E149,0)-$O149-$T149-$U149-$V149,"")</f>
        <v/>
      </c>
      <c r="X149" s="46" t="str">
        <f aca="false">IF(AND(ISNUMBER($S149),$S149&gt;0),$W149/$S149,"")</f>
        <v/>
      </c>
      <c r="Y149" s="49"/>
      <c r="Z149" s="21"/>
    </row>
    <row r="150" customFormat="false" ht="15.75" hidden="false" customHeight="true" outlineLevel="0" collapsed="false">
      <c r="A150" s="32" t="str">
        <f aca="false">IF(Produtos!$A150="","",Produtos!$A150)</f>
        <v>L2425-CP</v>
      </c>
      <c r="B150" s="32" t="str">
        <f aca="false">IF(Produtos!$A150="","",Produtos!$B150)</f>
        <v>Lixeira Aço inox Coletor de pilhas e baterias 24x25 13L</v>
      </c>
      <c r="C150" s="32" t="str">
        <f aca="false">IF(Produtos!$A150="","",Produtos!$C150)</f>
        <v>Coletores de pilhas</v>
      </c>
      <c r="D150" s="33" t="n">
        <f aca="false">IF(Produtos!$A150="","",IF(Produtos!$D150="","",Produtos!$D150))</f>
        <v>120.55</v>
      </c>
      <c r="E150" s="11" t="n">
        <v>0</v>
      </c>
      <c r="F150" s="34" t="n">
        <f aca="false">IF($A150="","",IF($C150="","⚠ categoria",IFERROR(INDEX(Parâmetros!$E$13:$E$22,MATCH($C150,Parâmetros!$A$13:$A$22,0)),"⚠ categoria")))</f>
        <v>0.21</v>
      </c>
      <c r="G150" s="35"/>
      <c r="H150" s="36" t="n">
        <f aca="false">IF($A150="","",IF(ISNUMBER($G150),$G150,IF(ISNUMBER($F150),$F150,"")))</f>
        <v>0.21</v>
      </c>
      <c r="I150" s="37" t="n">
        <f aca="false">IF(OR($A150="",NOT(ISNUMBER($D150)),NOT(ISNUMBER($H150))),"",IF((1-$H150-Parâmetros!$B$7-Parâmetros!$C$7-Parâmetros!$D$7)&lt;=0,"INVALIDO",($D150+IF(ISNUMBER($E150),$E150,0)+IF(ISNUMBER(Parâmetros!$E$7),Parâmetros!$E$7,0))/(1-$H150-Parâmetros!$B$7-Parâmetros!$C$7-Parâmetros!$D$7)))</f>
        <v>262.065217391304</v>
      </c>
      <c r="J150" s="38"/>
      <c r="K150" s="39" t="n">
        <f aca="false">IF(OR($A150="",NOT(ISNUMBER($D150)),NOT(ISNUMBER($H150))),"",IF(AND(ISNUMBER($J150),$J150&gt;0),$J150,IF(ISNUMBER($I150),$I150,"")))</f>
        <v>262.065217391304</v>
      </c>
      <c r="L150" s="40" t="n">
        <f aca="false">IF(ISNUMBER($K150),$K150*$H150,"")</f>
        <v>55.0336956521739</v>
      </c>
      <c r="M150" s="40" t="n">
        <f aca="false">IF(ISNUMBER($K150),$K150*Parâmetros!$B$7,"")</f>
        <v>26.2065217391304</v>
      </c>
      <c r="N150" s="40" t="n">
        <f aca="false">IF(ISNUMBER($K150),$K150*Parâmetros!$C$7,"")</f>
        <v>7.86195652173913</v>
      </c>
      <c r="O150" s="40" t="n">
        <f aca="false">IF(ISNUMBER($K150),IF(ISNUMBER(Parâmetros!$E$7),Parâmetros!$E$7,0),"")</f>
        <v>0</v>
      </c>
      <c r="P150" s="41" t="n">
        <f aca="false">IF(ISNUMBER($K150),$K150-$D150-IF(ISNUMBER($E150),$E150,0)-$L150-$M150-$N150-$O150,"")</f>
        <v>52.4130434782608</v>
      </c>
      <c r="Q150" s="42" t="n">
        <f aca="false">IF(AND(ISNUMBER($K150),$K150&gt;0),$P150/$K150,"")</f>
        <v>0.2</v>
      </c>
      <c r="R150" s="43"/>
      <c r="S150" s="44" t="str">
        <f aca="false">IF(OR(NOT(ISNUMBER($R150)),$R150=0,NOT(ISNUMBER($K150))),"",$K150*(1-$R150))</f>
        <v/>
      </c>
      <c r="T150" s="45" t="str">
        <f aca="false">IF(ISNUMBER($S150),$S150*$H150,"")</f>
        <v/>
      </c>
      <c r="U150" s="45" t="str">
        <f aca="false">IF(ISNUMBER($S150),$S150*Parâmetros!$B$7,"")</f>
        <v/>
      </c>
      <c r="V150" s="45" t="str">
        <f aca="false">IF(ISNUMBER($S150),$S150*Parâmetros!$C$7,"")</f>
        <v/>
      </c>
      <c r="W150" s="44" t="str">
        <f aca="false">IF(ISNUMBER($S150),$S150-$D150-IF(ISNUMBER($E150),$E150,0)-$O150-$T150-$U150-$V150,"")</f>
        <v/>
      </c>
      <c r="X150" s="46" t="str">
        <f aca="false">IF(AND(ISNUMBER($S150),$S150&gt;0),$W150/$S150,"")</f>
        <v/>
      </c>
      <c r="Y150" s="47"/>
      <c r="Z150" s="19"/>
    </row>
    <row r="151" customFormat="false" ht="15.75" hidden="false" customHeight="true" outlineLevel="0" collapsed="false">
      <c r="A151" s="48" t="str">
        <f aca="false">IF(Produtos!$A151="","",Produtos!$A151)</f>
        <v>L2430-CP</v>
      </c>
      <c r="B151" s="48" t="str">
        <f aca="false">IF(Produtos!$A151="","",Produtos!$B151)</f>
        <v>Lixeira Aço inox Coletor de pilhas e baterias 24x30 15L</v>
      </c>
      <c r="C151" s="48" t="str">
        <f aca="false">IF(Produtos!$A151="","",Produtos!$C151)</f>
        <v>Coletores de pilhas</v>
      </c>
      <c r="D151" s="33" t="n">
        <f aca="false">IF(Produtos!$A151="","",IF(Produtos!$D151="","",Produtos!$D151))</f>
        <v>134.47</v>
      </c>
      <c r="E151" s="11" t="n">
        <v>0</v>
      </c>
      <c r="F151" s="34" t="n">
        <f aca="false">IF($A151="","",IF($C151="","⚠ categoria",IFERROR(INDEX(Parâmetros!$E$13:$E$22,MATCH($C151,Parâmetros!$A$13:$A$22,0)),"⚠ categoria")))</f>
        <v>0.21</v>
      </c>
      <c r="G151" s="35"/>
      <c r="H151" s="36" t="n">
        <f aca="false">IF($A151="","",IF(ISNUMBER($G151),$G151,IF(ISNUMBER($F151),$F151,"")))</f>
        <v>0.21</v>
      </c>
      <c r="I151" s="37" t="n">
        <f aca="false">IF(OR($A151="",NOT(ISNUMBER($D151)),NOT(ISNUMBER($H151))),"",IF((1-$H151-Parâmetros!$B$7-Parâmetros!$C$7-Parâmetros!$D$7)&lt;=0,"INVALIDO",($D151+IF(ISNUMBER($E151),$E151,0)+IF(ISNUMBER(Parâmetros!$E$7),Parâmetros!$E$7,0))/(1-$H151-Parâmetros!$B$7-Parâmetros!$C$7-Parâmetros!$D$7)))</f>
        <v>292.326086956522</v>
      </c>
      <c r="J151" s="38"/>
      <c r="K151" s="39" t="n">
        <f aca="false">IF(OR($A151="",NOT(ISNUMBER($D151)),NOT(ISNUMBER($H151))),"",IF(AND(ISNUMBER($J151),$J151&gt;0),$J151,IF(ISNUMBER($I151),$I151,"")))</f>
        <v>292.326086956522</v>
      </c>
      <c r="L151" s="40" t="n">
        <f aca="false">IF(ISNUMBER($K151),$K151*$H151,"")</f>
        <v>61.3884782608696</v>
      </c>
      <c r="M151" s="40" t="n">
        <f aca="false">IF(ISNUMBER($K151),$K151*Parâmetros!$B$7,"")</f>
        <v>29.2326086956522</v>
      </c>
      <c r="N151" s="40" t="n">
        <f aca="false">IF(ISNUMBER($K151),$K151*Parâmetros!$C$7,"")</f>
        <v>8.76978260869565</v>
      </c>
      <c r="O151" s="40" t="n">
        <f aca="false">IF(ISNUMBER($K151),IF(ISNUMBER(Parâmetros!$E$7),Parâmetros!$E$7,0),"")</f>
        <v>0</v>
      </c>
      <c r="P151" s="41" t="n">
        <f aca="false">IF(ISNUMBER($K151),$K151-$D151-IF(ISNUMBER($E151),$E151,0)-$L151-$M151-$N151-$O151,"")</f>
        <v>58.4652173913044</v>
      </c>
      <c r="Q151" s="42" t="n">
        <f aca="false">IF(AND(ISNUMBER($K151),$K151&gt;0),$P151/$K151,"")</f>
        <v>0.2</v>
      </c>
      <c r="R151" s="43"/>
      <c r="S151" s="44" t="str">
        <f aca="false">IF(OR(NOT(ISNUMBER($R151)),$R151=0,NOT(ISNUMBER($K151))),"",$K151*(1-$R151))</f>
        <v/>
      </c>
      <c r="T151" s="45" t="str">
        <f aca="false">IF(ISNUMBER($S151),$S151*$H151,"")</f>
        <v/>
      </c>
      <c r="U151" s="45" t="str">
        <f aca="false">IF(ISNUMBER($S151),$S151*Parâmetros!$B$7,"")</f>
        <v/>
      </c>
      <c r="V151" s="45" t="str">
        <f aca="false">IF(ISNUMBER($S151),$S151*Parâmetros!$C$7,"")</f>
        <v/>
      </c>
      <c r="W151" s="44" t="str">
        <f aca="false">IF(ISNUMBER($S151),$S151-$D151-IF(ISNUMBER($E151),$E151,0)-$O151-$T151-$U151-$V151,"")</f>
        <v/>
      </c>
      <c r="X151" s="46" t="str">
        <f aca="false">IF(AND(ISNUMBER($S151),$S151&gt;0),$W151/$S151,"")</f>
        <v/>
      </c>
      <c r="Y151" s="49"/>
      <c r="Z151" s="21"/>
    </row>
    <row r="152" customFormat="false" ht="15.75" hidden="false" customHeight="true" outlineLevel="0" collapsed="false">
      <c r="A152" s="32" t="str">
        <f aca="false">IF(Produtos!$A152="","",Produtos!$A152)</f>
        <v>L2440-CP</v>
      </c>
      <c r="B152" s="32" t="str">
        <f aca="false">IF(Produtos!$A152="","",Produtos!$B152)</f>
        <v>Lixeira Aço inox Coletor de pilhas e baterias 24x40 20L</v>
      </c>
      <c r="C152" s="32" t="str">
        <f aca="false">IF(Produtos!$A152="","",Produtos!$C152)</f>
        <v>Coletores de pilhas</v>
      </c>
      <c r="D152" s="33" t="n">
        <f aca="false">IF(Produtos!$A152="","",IF(Produtos!$D152="","",Produtos!$D152))</f>
        <v>143.62</v>
      </c>
      <c r="E152" s="11" t="n">
        <v>0</v>
      </c>
      <c r="F152" s="34" t="n">
        <f aca="false">IF($A152="","",IF($C152="","⚠ categoria",IFERROR(INDEX(Parâmetros!$E$13:$E$22,MATCH($C152,Parâmetros!$A$13:$A$22,0)),"⚠ categoria")))</f>
        <v>0.21</v>
      </c>
      <c r="G152" s="35"/>
      <c r="H152" s="36" t="n">
        <f aca="false">IF($A152="","",IF(ISNUMBER($G152),$G152,IF(ISNUMBER($F152),$F152,"")))</f>
        <v>0.21</v>
      </c>
      <c r="I152" s="37" t="n">
        <f aca="false">IF(OR($A152="",NOT(ISNUMBER($D152)),NOT(ISNUMBER($H152))),"",IF((1-$H152-Parâmetros!$B$7-Parâmetros!$C$7-Parâmetros!$D$7)&lt;=0,"INVALIDO",($D152+IF(ISNUMBER($E152),$E152,0)+IF(ISNUMBER(Parâmetros!$E$7),Parâmetros!$E$7,0))/(1-$H152-Parâmetros!$B$7-Parâmetros!$C$7-Parâmetros!$D$7)))</f>
        <v>312.217391304348</v>
      </c>
      <c r="J152" s="38"/>
      <c r="K152" s="39" t="n">
        <f aca="false">IF(OR($A152="",NOT(ISNUMBER($D152)),NOT(ISNUMBER($H152))),"",IF(AND(ISNUMBER($J152),$J152&gt;0),$J152,IF(ISNUMBER($I152),$I152,"")))</f>
        <v>312.217391304348</v>
      </c>
      <c r="L152" s="40" t="n">
        <f aca="false">IF(ISNUMBER($K152),$K152*$H152,"")</f>
        <v>65.565652173913</v>
      </c>
      <c r="M152" s="40" t="n">
        <f aca="false">IF(ISNUMBER($K152),$K152*Parâmetros!$B$7,"")</f>
        <v>31.2217391304348</v>
      </c>
      <c r="N152" s="40" t="n">
        <f aca="false">IF(ISNUMBER($K152),$K152*Parâmetros!$C$7,"")</f>
        <v>9.36652173913043</v>
      </c>
      <c r="O152" s="40" t="n">
        <f aca="false">IF(ISNUMBER($K152),IF(ISNUMBER(Parâmetros!$E$7),Parâmetros!$E$7,0),"")</f>
        <v>0</v>
      </c>
      <c r="P152" s="41" t="n">
        <f aca="false">IF(ISNUMBER($K152),$K152-$D152-IF(ISNUMBER($E152),$E152,0)-$L152-$M152-$N152-$O152,"")</f>
        <v>62.4434782608696</v>
      </c>
      <c r="Q152" s="42" t="n">
        <f aca="false">IF(AND(ISNUMBER($K152),$K152&gt;0),$P152/$K152,"")</f>
        <v>0.2</v>
      </c>
      <c r="R152" s="43"/>
      <c r="S152" s="44" t="str">
        <f aca="false">IF(OR(NOT(ISNUMBER($R152)),$R152=0,NOT(ISNUMBER($K152))),"",$K152*(1-$R152))</f>
        <v/>
      </c>
      <c r="T152" s="45" t="str">
        <f aca="false">IF(ISNUMBER($S152),$S152*$H152,"")</f>
        <v/>
      </c>
      <c r="U152" s="45" t="str">
        <f aca="false">IF(ISNUMBER($S152),$S152*Parâmetros!$B$7,"")</f>
        <v/>
      </c>
      <c r="V152" s="45" t="str">
        <f aca="false">IF(ISNUMBER($S152),$S152*Parâmetros!$C$7,"")</f>
        <v/>
      </c>
      <c r="W152" s="44" t="str">
        <f aca="false">IF(ISNUMBER($S152),$S152-$D152-IF(ISNUMBER($E152),$E152,0)-$O152-$T152-$U152-$V152,"")</f>
        <v/>
      </c>
      <c r="X152" s="46" t="str">
        <f aca="false">IF(AND(ISNUMBER($S152),$S152&gt;0),$W152/$S152,"")</f>
        <v/>
      </c>
      <c r="Y152" s="47"/>
      <c r="Z152" s="19"/>
    </row>
    <row r="153" customFormat="false" ht="15.75" hidden="false" customHeight="true" outlineLevel="0" collapsed="false">
      <c r="A153" s="48" t="str">
        <f aca="false">IF(Produtos!$A153="","",Produtos!$A153)</f>
        <v>L2450-CP</v>
      </c>
      <c r="B153" s="48" t="str">
        <f aca="false">IF(Produtos!$A153="","",Produtos!$B153)</f>
        <v>Lixeira Aço inox Coletor de pilhas e baterias 24x50 25L</v>
      </c>
      <c r="C153" s="48" t="str">
        <f aca="false">IF(Produtos!$A153="","",Produtos!$C153)</f>
        <v>Coletores de pilhas</v>
      </c>
      <c r="D153" s="33" t="n">
        <f aca="false">IF(Produtos!$A153="","",IF(Produtos!$D153="","",Produtos!$D153))</f>
        <v>163.9</v>
      </c>
      <c r="E153" s="11" t="n">
        <v>0</v>
      </c>
      <c r="F153" s="34" t="n">
        <f aca="false">IF($A153="","",IF($C153="","⚠ categoria",IFERROR(INDEX(Parâmetros!$E$13:$E$22,MATCH($C153,Parâmetros!$A$13:$A$22,0)),"⚠ categoria")))</f>
        <v>0.21</v>
      </c>
      <c r="G153" s="35"/>
      <c r="H153" s="36" t="n">
        <f aca="false">IF($A153="","",IF(ISNUMBER($G153),$G153,IF(ISNUMBER($F153),$F153,"")))</f>
        <v>0.21</v>
      </c>
      <c r="I153" s="37" t="n">
        <f aca="false">IF(OR($A153="",NOT(ISNUMBER($D153)),NOT(ISNUMBER($H153))),"",IF((1-$H153-Parâmetros!$B$7-Parâmetros!$C$7-Parâmetros!$D$7)&lt;=0,"INVALIDO",($D153+IF(ISNUMBER($E153),$E153,0)+IF(ISNUMBER(Parâmetros!$E$7),Parâmetros!$E$7,0))/(1-$H153-Parâmetros!$B$7-Parâmetros!$C$7-Parâmetros!$D$7)))</f>
        <v>356.304347826087</v>
      </c>
      <c r="J153" s="38"/>
      <c r="K153" s="39" t="n">
        <f aca="false">IF(OR($A153="",NOT(ISNUMBER($D153)),NOT(ISNUMBER($H153))),"",IF(AND(ISNUMBER($J153),$J153&gt;0),$J153,IF(ISNUMBER($I153),$I153,"")))</f>
        <v>356.304347826087</v>
      </c>
      <c r="L153" s="40" t="n">
        <f aca="false">IF(ISNUMBER($K153),$K153*$H153,"")</f>
        <v>74.8239130434783</v>
      </c>
      <c r="M153" s="40" t="n">
        <f aca="false">IF(ISNUMBER($K153),$K153*Parâmetros!$B$7,"")</f>
        <v>35.6304347826087</v>
      </c>
      <c r="N153" s="40" t="n">
        <f aca="false">IF(ISNUMBER($K153),$K153*Parâmetros!$C$7,"")</f>
        <v>10.6891304347826</v>
      </c>
      <c r="O153" s="40" t="n">
        <f aca="false">IF(ISNUMBER($K153),IF(ISNUMBER(Parâmetros!$E$7),Parâmetros!$E$7,0),"")</f>
        <v>0</v>
      </c>
      <c r="P153" s="41" t="n">
        <f aca="false">IF(ISNUMBER($K153),$K153-$D153-IF(ISNUMBER($E153),$E153,0)-$L153-$M153-$N153-$O153,"")</f>
        <v>71.2608695652174</v>
      </c>
      <c r="Q153" s="42" t="n">
        <f aca="false">IF(AND(ISNUMBER($K153),$K153&gt;0),$P153/$K153,"")</f>
        <v>0.2</v>
      </c>
      <c r="R153" s="43"/>
      <c r="S153" s="44" t="str">
        <f aca="false">IF(OR(NOT(ISNUMBER($R153)),$R153=0,NOT(ISNUMBER($K153))),"",$K153*(1-$R153))</f>
        <v/>
      </c>
      <c r="T153" s="45" t="str">
        <f aca="false">IF(ISNUMBER($S153),$S153*$H153,"")</f>
        <v/>
      </c>
      <c r="U153" s="45" t="str">
        <f aca="false">IF(ISNUMBER($S153),$S153*Parâmetros!$B$7,"")</f>
        <v/>
      </c>
      <c r="V153" s="45" t="str">
        <f aca="false">IF(ISNUMBER($S153),$S153*Parâmetros!$C$7,"")</f>
        <v/>
      </c>
      <c r="W153" s="44" t="str">
        <f aca="false">IF(ISNUMBER($S153),$S153-$D153-IF(ISNUMBER($E153),$E153,0)-$O153-$T153-$U153-$V153,"")</f>
        <v/>
      </c>
      <c r="X153" s="46" t="str">
        <f aca="false">IF(AND(ISNUMBER($S153),$S153&gt;0),$W153/$S153,"")</f>
        <v/>
      </c>
      <c r="Y153" s="49"/>
      <c r="Z153" s="21"/>
    </row>
    <row r="154" customFormat="false" ht="15.75" hidden="false" customHeight="true" outlineLevel="0" collapsed="false">
      <c r="A154" s="32" t="str">
        <f aca="false">IF(Produtos!$A154="","",Produtos!$A154)</f>
        <v>L2460-CP</v>
      </c>
      <c r="B154" s="32" t="str">
        <f aca="false">IF(Produtos!$A154="","",Produtos!$B154)</f>
        <v>Lixeira Aço inox Coletor de pilhas e baterias 24x60 27L</v>
      </c>
      <c r="C154" s="32" t="str">
        <f aca="false">IF(Produtos!$A154="","",Produtos!$C154)</f>
        <v>Coletores de pilhas</v>
      </c>
      <c r="D154" s="33" t="n">
        <f aca="false">IF(Produtos!$A154="","",IF(Produtos!$D154="","",Produtos!$D154))</f>
        <v>172.67</v>
      </c>
      <c r="E154" s="11" t="n">
        <v>0</v>
      </c>
      <c r="F154" s="34" t="n">
        <f aca="false">IF($A154="","",IF($C154="","⚠ categoria",IFERROR(INDEX(Parâmetros!$E$13:$E$22,MATCH($C154,Parâmetros!$A$13:$A$22,0)),"⚠ categoria")))</f>
        <v>0.21</v>
      </c>
      <c r="G154" s="35"/>
      <c r="H154" s="36" t="n">
        <f aca="false">IF($A154="","",IF(ISNUMBER($G154),$G154,IF(ISNUMBER($F154),$F154,"")))</f>
        <v>0.21</v>
      </c>
      <c r="I154" s="37" t="n">
        <f aca="false">IF(OR($A154="",NOT(ISNUMBER($D154)),NOT(ISNUMBER($H154))),"",IF((1-$H154-Parâmetros!$B$7-Parâmetros!$C$7-Parâmetros!$D$7)&lt;=0,"INVALIDO",($D154+IF(ISNUMBER($E154),$E154,0)+IF(ISNUMBER(Parâmetros!$E$7),Parâmetros!$E$7,0))/(1-$H154-Parâmetros!$B$7-Parâmetros!$C$7-Parâmetros!$D$7)))</f>
        <v>375.369565217391</v>
      </c>
      <c r="J154" s="38"/>
      <c r="K154" s="39" t="n">
        <f aca="false">IF(OR($A154="",NOT(ISNUMBER($D154)),NOT(ISNUMBER($H154))),"",IF(AND(ISNUMBER($J154),$J154&gt;0),$J154,IF(ISNUMBER($I154),$I154,"")))</f>
        <v>375.369565217391</v>
      </c>
      <c r="L154" s="40" t="n">
        <f aca="false">IF(ISNUMBER($K154),$K154*$H154,"")</f>
        <v>78.8276086956522</v>
      </c>
      <c r="M154" s="40" t="n">
        <f aca="false">IF(ISNUMBER($K154),$K154*Parâmetros!$B$7,"")</f>
        <v>37.5369565217391</v>
      </c>
      <c r="N154" s="40" t="n">
        <f aca="false">IF(ISNUMBER($K154),$K154*Parâmetros!$C$7,"")</f>
        <v>11.2610869565217</v>
      </c>
      <c r="O154" s="40" t="n">
        <f aca="false">IF(ISNUMBER($K154),IF(ISNUMBER(Parâmetros!$E$7),Parâmetros!$E$7,0),"")</f>
        <v>0</v>
      </c>
      <c r="P154" s="41" t="n">
        <f aca="false">IF(ISNUMBER($K154),$K154-$D154-IF(ISNUMBER($E154),$E154,0)-$L154-$M154-$N154-$O154,"")</f>
        <v>75.0739130434782</v>
      </c>
      <c r="Q154" s="42" t="n">
        <f aca="false">IF(AND(ISNUMBER($K154),$K154&gt;0),$P154/$K154,"")</f>
        <v>0.2</v>
      </c>
      <c r="R154" s="43"/>
      <c r="S154" s="44" t="str">
        <f aca="false">IF(OR(NOT(ISNUMBER($R154)),$R154=0,NOT(ISNUMBER($K154))),"",$K154*(1-$R154))</f>
        <v/>
      </c>
      <c r="T154" s="45" t="str">
        <f aca="false">IF(ISNUMBER($S154),$S154*$H154,"")</f>
        <v/>
      </c>
      <c r="U154" s="45" t="str">
        <f aca="false">IF(ISNUMBER($S154),$S154*Parâmetros!$B$7,"")</f>
        <v/>
      </c>
      <c r="V154" s="45" t="str">
        <f aca="false">IF(ISNUMBER($S154),$S154*Parâmetros!$C$7,"")</f>
        <v/>
      </c>
      <c r="W154" s="44" t="str">
        <f aca="false">IF(ISNUMBER($S154),$S154-$D154-IF(ISNUMBER($E154),$E154,0)-$O154-$T154-$U154-$V154,"")</f>
        <v/>
      </c>
      <c r="X154" s="46" t="str">
        <f aca="false">IF(AND(ISNUMBER($S154),$S154&gt;0),$W154/$S154,"")</f>
        <v/>
      </c>
      <c r="Y154" s="47"/>
      <c r="Z154" s="19"/>
    </row>
    <row r="155" customFormat="false" ht="15.75" hidden="false" customHeight="true" outlineLevel="0" collapsed="false">
      <c r="A155" s="48" t="str">
        <f aca="false">IF(Produtos!$A155="","",Produtos!$A155)</f>
        <v>L3040-CP</v>
      </c>
      <c r="B155" s="48" t="str">
        <f aca="false">IF(Produtos!$A155="","",Produtos!$B155)</f>
        <v>Lixeira Aço inox Coletor de pilhas e baterias 30x40 30L</v>
      </c>
      <c r="C155" s="48" t="str">
        <f aca="false">IF(Produtos!$A155="","",Produtos!$C155)</f>
        <v>Coletores de pilhas</v>
      </c>
      <c r="D155" s="33" t="n">
        <f aca="false">IF(Produtos!$A155="","",IF(Produtos!$D155="","",Produtos!$D155))</f>
        <v>157.35</v>
      </c>
      <c r="E155" s="11" t="n">
        <v>0</v>
      </c>
      <c r="F155" s="34" t="n">
        <f aca="false">IF($A155="","",IF($C155="","⚠ categoria",IFERROR(INDEX(Parâmetros!$E$13:$E$22,MATCH($C155,Parâmetros!$A$13:$A$22,0)),"⚠ categoria")))</f>
        <v>0.21</v>
      </c>
      <c r="G155" s="35"/>
      <c r="H155" s="36" t="n">
        <f aca="false">IF($A155="","",IF(ISNUMBER($G155),$G155,IF(ISNUMBER($F155),$F155,"")))</f>
        <v>0.21</v>
      </c>
      <c r="I155" s="37" t="n">
        <f aca="false">IF(OR($A155="",NOT(ISNUMBER($D155)),NOT(ISNUMBER($H155))),"",IF((1-$H155-Parâmetros!$B$7-Parâmetros!$C$7-Parâmetros!$D$7)&lt;=0,"INVALIDO",($D155+IF(ISNUMBER($E155),$E155,0)+IF(ISNUMBER(Parâmetros!$E$7),Parâmetros!$E$7,0))/(1-$H155-Parâmetros!$B$7-Parâmetros!$C$7-Parâmetros!$D$7)))</f>
        <v>342.065217391304</v>
      </c>
      <c r="J155" s="38"/>
      <c r="K155" s="39" t="n">
        <f aca="false">IF(OR($A155="",NOT(ISNUMBER($D155)),NOT(ISNUMBER($H155))),"",IF(AND(ISNUMBER($J155),$J155&gt;0),$J155,IF(ISNUMBER($I155),$I155,"")))</f>
        <v>342.065217391304</v>
      </c>
      <c r="L155" s="40" t="n">
        <f aca="false">IF(ISNUMBER($K155),$K155*$H155,"")</f>
        <v>71.8336956521739</v>
      </c>
      <c r="M155" s="40" t="n">
        <f aca="false">IF(ISNUMBER($K155),$K155*Parâmetros!$B$7,"")</f>
        <v>34.2065217391304</v>
      </c>
      <c r="N155" s="40" t="n">
        <f aca="false">IF(ISNUMBER($K155),$K155*Parâmetros!$C$7,"")</f>
        <v>10.2619565217391</v>
      </c>
      <c r="O155" s="40" t="n">
        <f aca="false">IF(ISNUMBER($K155),IF(ISNUMBER(Parâmetros!$E$7),Parâmetros!$E$7,0),"")</f>
        <v>0</v>
      </c>
      <c r="P155" s="41" t="n">
        <f aca="false">IF(ISNUMBER($K155),$K155-$D155-IF(ISNUMBER($E155),$E155,0)-$L155-$M155-$N155-$O155,"")</f>
        <v>68.4130434782609</v>
      </c>
      <c r="Q155" s="42" t="n">
        <f aca="false">IF(AND(ISNUMBER($K155),$K155&gt;0),$P155/$K155,"")</f>
        <v>0.2</v>
      </c>
      <c r="R155" s="43"/>
      <c r="S155" s="44" t="str">
        <f aca="false">IF(OR(NOT(ISNUMBER($R155)),$R155=0,NOT(ISNUMBER($K155))),"",$K155*(1-$R155))</f>
        <v/>
      </c>
      <c r="T155" s="45" t="str">
        <f aca="false">IF(ISNUMBER($S155),$S155*$H155,"")</f>
        <v/>
      </c>
      <c r="U155" s="45" t="str">
        <f aca="false">IF(ISNUMBER($S155),$S155*Parâmetros!$B$7,"")</f>
        <v/>
      </c>
      <c r="V155" s="45" t="str">
        <f aca="false">IF(ISNUMBER($S155),$S155*Parâmetros!$C$7,"")</f>
        <v/>
      </c>
      <c r="W155" s="44" t="str">
        <f aca="false">IF(ISNUMBER($S155),$S155-$D155-IF(ISNUMBER($E155),$E155,0)-$O155-$T155-$U155-$V155,"")</f>
        <v/>
      </c>
      <c r="X155" s="46" t="str">
        <f aca="false">IF(AND(ISNUMBER($S155),$S155&gt;0),$W155/$S155,"")</f>
        <v/>
      </c>
      <c r="Y155" s="49"/>
      <c r="Z155" s="21"/>
    </row>
    <row r="156" customFormat="false" ht="15.75" hidden="false" customHeight="true" outlineLevel="0" collapsed="false">
      <c r="A156" s="32" t="str">
        <f aca="false">IF(Produtos!$A156="","",Produtos!$A156)</f>
        <v>L3050-CP</v>
      </c>
      <c r="B156" s="32" t="str">
        <f aca="false">IF(Produtos!$A156="","",Produtos!$B156)</f>
        <v>Lixeira Aço inox Coletor de pilhas e baterias 30x50 35L</v>
      </c>
      <c r="C156" s="32" t="str">
        <f aca="false">IF(Produtos!$A156="","",Produtos!$C156)</f>
        <v>Coletores de pilhas</v>
      </c>
      <c r="D156" s="33" t="n">
        <f aca="false">IF(Produtos!$A156="","",IF(Produtos!$D156="","",Produtos!$D156))</f>
        <v>203.19</v>
      </c>
      <c r="E156" s="11" t="n">
        <v>0</v>
      </c>
      <c r="F156" s="34" t="n">
        <f aca="false">IF($A156="","",IF($C156="","⚠ categoria",IFERROR(INDEX(Parâmetros!$E$13:$E$22,MATCH($C156,Parâmetros!$A$13:$A$22,0)),"⚠ categoria")))</f>
        <v>0.21</v>
      </c>
      <c r="G156" s="35"/>
      <c r="H156" s="36" t="n">
        <f aca="false">IF($A156="","",IF(ISNUMBER($G156),$G156,IF(ISNUMBER($F156),$F156,"")))</f>
        <v>0.21</v>
      </c>
      <c r="I156" s="37" t="n">
        <f aca="false">IF(OR($A156="",NOT(ISNUMBER($D156)),NOT(ISNUMBER($H156))),"",IF((1-$H156-Parâmetros!$B$7-Parâmetros!$C$7-Parâmetros!$D$7)&lt;=0,"INVALIDO",($D156+IF(ISNUMBER($E156),$E156,0)+IF(ISNUMBER(Parâmetros!$E$7),Parâmetros!$E$7,0))/(1-$H156-Parâmetros!$B$7-Parâmetros!$C$7-Parâmetros!$D$7)))</f>
        <v>441.717391304348</v>
      </c>
      <c r="J156" s="38"/>
      <c r="K156" s="39" t="n">
        <f aca="false">IF(OR($A156="",NOT(ISNUMBER($D156)),NOT(ISNUMBER($H156))),"",IF(AND(ISNUMBER($J156),$J156&gt;0),$J156,IF(ISNUMBER($I156),$I156,"")))</f>
        <v>441.717391304348</v>
      </c>
      <c r="L156" s="40" t="n">
        <f aca="false">IF(ISNUMBER($K156),$K156*$H156,"")</f>
        <v>92.760652173913</v>
      </c>
      <c r="M156" s="40" t="n">
        <f aca="false">IF(ISNUMBER($K156),$K156*Parâmetros!$B$7,"")</f>
        <v>44.1717391304348</v>
      </c>
      <c r="N156" s="40" t="n">
        <f aca="false">IF(ISNUMBER($K156),$K156*Parâmetros!$C$7,"")</f>
        <v>13.2515217391304</v>
      </c>
      <c r="O156" s="40" t="n">
        <f aca="false">IF(ISNUMBER($K156),IF(ISNUMBER(Parâmetros!$E$7),Parâmetros!$E$7,0),"")</f>
        <v>0</v>
      </c>
      <c r="P156" s="41" t="n">
        <f aca="false">IF(ISNUMBER($K156),$K156-$D156-IF(ISNUMBER($E156),$E156,0)-$L156-$M156-$N156-$O156,"")</f>
        <v>88.3434782608695</v>
      </c>
      <c r="Q156" s="42" t="n">
        <f aca="false">IF(AND(ISNUMBER($K156),$K156&gt;0),$P156/$K156,"")</f>
        <v>0.2</v>
      </c>
      <c r="R156" s="43"/>
      <c r="S156" s="44" t="str">
        <f aca="false">IF(OR(NOT(ISNUMBER($R156)),$R156=0,NOT(ISNUMBER($K156))),"",$K156*(1-$R156))</f>
        <v/>
      </c>
      <c r="T156" s="45" t="str">
        <f aca="false">IF(ISNUMBER($S156),$S156*$H156,"")</f>
        <v/>
      </c>
      <c r="U156" s="45" t="str">
        <f aca="false">IF(ISNUMBER($S156),$S156*Parâmetros!$B$7,"")</f>
        <v/>
      </c>
      <c r="V156" s="45" t="str">
        <f aca="false">IF(ISNUMBER($S156),$S156*Parâmetros!$C$7,"")</f>
        <v/>
      </c>
      <c r="W156" s="44" t="str">
        <f aca="false">IF(ISNUMBER($S156),$S156-$D156-IF(ISNUMBER($E156),$E156,0)-$O156-$T156-$U156-$V156,"")</f>
        <v/>
      </c>
      <c r="X156" s="46" t="str">
        <f aca="false">IF(AND(ISNUMBER($S156),$S156&gt;0),$W156/$S156,"")</f>
        <v/>
      </c>
      <c r="Y156" s="47"/>
      <c r="Z156" s="19"/>
    </row>
    <row r="157" customFormat="false" ht="15.75" hidden="false" customHeight="true" outlineLevel="0" collapsed="false">
      <c r="A157" s="48" t="str">
        <f aca="false">IF(Produtos!$A157="","",Produtos!$A157)</f>
        <v>L3060-CP</v>
      </c>
      <c r="B157" s="48" t="str">
        <f aca="false">IF(Produtos!$A157="","",Produtos!$B157)</f>
        <v>Lixeira Aço inox Coletor de pilhas e baterias 30x60 40L</v>
      </c>
      <c r="C157" s="48" t="str">
        <f aca="false">IF(Produtos!$A157="","",Produtos!$C157)</f>
        <v>Coletores de pilhas</v>
      </c>
      <c r="D157" s="33" t="n">
        <f aca="false">IF(Produtos!$A157="","",IF(Produtos!$D157="","",Produtos!$D157))</f>
        <v>205.65</v>
      </c>
      <c r="E157" s="11" t="n">
        <v>0</v>
      </c>
      <c r="F157" s="34" t="n">
        <f aca="false">IF($A157="","",IF($C157="","⚠ categoria",IFERROR(INDEX(Parâmetros!$E$13:$E$22,MATCH($C157,Parâmetros!$A$13:$A$22,0)),"⚠ categoria")))</f>
        <v>0.21</v>
      </c>
      <c r="G157" s="35"/>
      <c r="H157" s="36" t="n">
        <f aca="false">IF($A157="","",IF(ISNUMBER($G157),$G157,IF(ISNUMBER($F157),$F157,"")))</f>
        <v>0.21</v>
      </c>
      <c r="I157" s="37" t="n">
        <f aca="false">IF(OR($A157="",NOT(ISNUMBER($D157)),NOT(ISNUMBER($H157))),"",IF((1-$H157-Parâmetros!$B$7-Parâmetros!$C$7-Parâmetros!$D$7)&lt;=0,"INVALIDO",($D157+IF(ISNUMBER($E157),$E157,0)+IF(ISNUMBER(Parâmetros!$E$7),Parâmetros!$E$7,0))/(1-$H157-Parâmetros!$B$7-Parâmetros!$C$7-Parâmetros!$D$7)))</f>
        <v>447.065217391304</v>
      </c>
      <c r="J157" s="38"/>
      <c r="K157" s="39" t="n">
        <f aca="false">IF(OR($A157="",NOT(ISNUMBER($D157)),NOT(ISNUMBER($H157))),"",IF(AND(ISNUMBER($J157),$J157&gt;0),$J157,IF(ISNUMBER($I157),$I157,"")))</f>
        <v>447.065217391304</v>
      </c>
      <c r="L157" s="40" t="n">
        <f aca="false">IF(ISNUMBER($K157),$K157*$H157,"")</f>
        <v>93.8836956521739</v>
      </c>
      <c r="M157" s="40" t="n">
        <f aca="false">IF(ISNUMBER($K157),$K157*Parâmetros!$B$7,"")</f>
        <v>44.7065217391304</v>
      </c>
      <c r="N157" s="40" t="n">
        <f aca="false">IF(ISNUMBER($K157),$K157*Parâmetros!$C$7,"")</f>
        <v>13.4119565217391</v>
      </c>
      <c r="O157" s="40" t="n">
        <f aca="false">IF(ISNUMBER($K157),IF(ISNUMBER(Parâmetros!$E$7),Parâmetros!$E$7,0),"")</f>
        <v>0</v>
      </c>
      <c r="P157" s="41" t="n">
        <f aca="false">IF(ISNUMBER($K157),$K157-$D157-IF(ISNUMBER($E157),$E157,0)-$L157-$M157-$N157-$O157,"")</f>
        <v>89.4130434782609</v>
      </c>
      <c r="Q157" s="42" t="n">
        <f aca="false">IF(AND(ISNUMBER($K157),$K157&gt;0),$P157/$K157,"")</f>
        <v>0.2</v>
      </c>
      <c r="R157" s="43"/>
      <c r="S157" s="44" t="str">
        <f aca="false">IF(OR(NOT(ISNUMBER($R157)),$R157=0,NOT(ISNUMBER($K157))),"",$K157*(1-$R157))</f>
        <v/>
      </c>
      <c r="T157" s="45" t="str">
        <f aca="false">IF(ISNUMBER($S157),$S157*$H157,"")</f>
        <v/>
      </c>
      <c r="U157" s="45" t="str">
        <f aca="false">IF(ISNUMBER($S157),$S157*Parâmetros!$B$7,"")</f>
        <v/>
      </c>
      <c r="V157" s="45" t="str">
        <f aca="false">IF(ISNUMBER($S157),$S157*Parâmetros!$C$7,"")</f>
        <v/>
      </c>
      <c r="W157" s="44" t="str">
        <f aca="false">IF(ISNUMBER($S157),$S157-$D157-IF(ISNUMBER($E157),$E157,0)-$O157-$T157-$U157-$V157,"")</f>
        <v/>
      </c>
      <c r="X157" s="46" t="str">
        <f aca="false">IF(AND(ISNUMBER($S157),$S157&gt;0),$W157/$S157,"")</f>
        <v/>
      </c>
      <c r="Y157" s="49"/>
      <c r="Z157" s="21"/>
    </row>
    <row r="158" customFormat="false" ht="15.75" hidden="false" customHeight="true" outlineLevel="0" collapsed="false">
      <c r="A158" s="32" t="str">
        <f aca="false">IF(Produtos!$A158="","",Produtos!$A158)</f>
        <v>L3070-CP</v>
      </c>
      <c r="B158" s="32" t="str">
        <f aca="false">IF(Produtos!$A158="","",Produtos!$B158)</f>
        <v>Lixeira Aço inox Coletor de pilhas e baterias 30x70 50L</v>
      </c>
      <c r="C158" s="32" t="str">
        <f aca="false">IF(Produtos!$A158="","",Produtos!$C158)</f>
        <v>Coletores de pilhas</v>
      </c>
      <c r="D158" s="33" t="n">
        <f aca="false">IF(Produtos!$A158="","",IF(Produtos!$D158="","",Produtos!$D158))</f>
        <v>267.58</v>
      </c>
      <c r="E158" s="11" t="n">
        <v>0</v>
      </c>
      <c r="F158" s="34" t="n">
        <f aca="false">IF($A158="","",IF($C158="","⚠ categoria",IFERROR(INDEX(Parâmetros!$E$13:$E$22,MATCH($C158,Parâmetros!$A$13:$A$22,0)),"⚠ categoria")))</f>
        <v>0.21</v>
      </c>
      <c r="G158" s="35"/>
      <c r="H158" s="36" t="n">
        <f aca="false">IF($A158="","",IF(ISNUMBER($G158),$G158,IF(ISNUMBER($F158),$F158,"")))</f>
        <v>0.21</v>
      </c>
      <c r="I158" s="37" t="n">
        <f aca="false">IF(OR($A158="",NOT(ISNUMBER($D158)),NOT(ISNUMBER($H158))),"",IF((1-$H158-Parâmetros!$B$7-Parâmetros!$C$7-Parâmetros!$D$7)&lt;=0,"INVALIDO",($D158+IF(ISNUMBER($E158),$E158,0)+IF(ISNUMBER(Parâmetros!$E$7),Parâmetros!$E$7,0))/(1-$H158-Parâmetros!$B$7-Parâmetros!$C$7-Parâmetros!$D$7)))</f>
        <v>581.695652173913</v>
      </c>
      <c r="J158" s="38"/>
      <c r="K158" s="39" t="n">
        <f aca="false">IF(OR($A158="",NOT(ISNUMBER($D158)),NOT(ISNUMBER($H158))),"",IF(AND(ISNUMBER($J158),$J158&gt;0),$J158,IF(ISNUMBER($I158),$I158,"")))</f>
        <v>581.695652173913</v>
      </c>
      <c r="L158" s="40" t="n">
        <f aca="false">IF(ISNUMBER($K158),$K158*$H158,"")</f>
        <v>122.156086956522</v>
      </c>
      <c r="M158" s="40" t="n">
        <f aca="false">IF(ISNUMBER($K158),$K158*Parâmetros!$B$7,"")</f>
        <v>58.1695652173913</v>
      </c>
      <c r="N158" s="40" t="n">
        <f aca="false">IF(ISNUMBER($K158),$K158*Parâmetros!$C$7,"")</f>
        <v>17.4508695652174</v>
      </c>
      <c r="O158" s="40" t="n">
        <f aca="false">IF(ISNUMBER($K158),IF(ISNUMBER(Parâmetros!$E$7),Parâmetros!$E$7,0),"")</f>
        <v>0</v>
      </c>
      <c r="P158" s="41" t="n">
        <f aca="false">IF(ISNUMBER($K158),$K158-$D158-IF(ISNUMBER($E158),$E158,0)-$L158-$M158-$N158-$O158,"")</f>
        <v>116.339130434783</v>
      </c>
      <c r="Q158" s="42" t="n">
        <f aca="false">IF(AND(ISNUMBER($K158),$K158&gt;0),$P158/$K158,"")</f>
        <v>0.2</v>
      </c>
      <c r="R158" s="43"/>
      <c r="S158" s="44" t="str">
        <f aca="false">IF(OR(NOT(ISNUMBER($R158)),$R158=0,NOT(ISNUMBER($K158))),"",$K158*(1-$R158))</f>
        <v/>
      </c>
      <c r="T158" s="45" t="str">
        <f aca="false">IF(ISNUMBER($S158),$S158*$H158,"")</f>
        <v/>
      </c>
      <c r="U158" s="45" t="str">
        <f aca="false">IF(ISNUMBER($S158),$S158*Parâmetros!$B$7,"")</f>
        <v/>
      </c>
      <c r="V158" s="45" t="str">
        <f aca="false">IF(ISNUMBER($S158),$S158*Parâmetros!$C$7,"")</f>
        <v/>
      </c>
      <c r="W158" s="44" t="str">
        <f aca="false">IF(ISNUMBER($S158),$S158-$D158-IF(ISNUMBER($E158),$E158,0)-$O158-$T158-$U158-$V158,"")</f>
        <v/>
      </c>
      <c r="X158" s="46" t="str">
        <f aca="false">IF(AND(ISNUMBER($S158),$S158&gt;0),$W158/$S158,"")</f>
        <v/>
      </c>
      <c r="Y158" s="47"/>
      <c r="Z158" s="19"/>
    </row>
    <row r="159" customFormat="false" ht="15.75" hidden="false" customHeight="true" outlineLevel="0" collapsed="false">
      <c r="A159" s="48" t="str">
        <f aca="false">IF(Produtos!$A159="","",Produtos!$A159)</f>
        <v>EGC</v>
      </c>
      <c r="B159" s="48" t="str">
        <f aca="false">IF(Produtos!$A159="","",Produtos!$B159)</f>
        <v>Ensacador Guarda-chuvas c/150 saquinhos</v>
      </c>
      <c r="C159" s="48" t="str">
        <f aca="false">IF(Produtos!$A159="","",Produtos!$C159)</f>
        <v>Ensacadores</v>
      </c>
      <c r="D159" s="33" t="n">
        <f aca="false">IF(Produtos!$A159="","",IF(Produtos!$D159="","",Produtos!$D159))</f>
        <v>365.7</v>
      </c>
      <c r="E159" s="11" t="n">
        <v>0</v>
      </c>
      <c r="F159" s="34" t="n">
        <f aca="false">IF($A159="","",IF($C159="","⚠ categoria",IFERROR(INDEX(Parâmetros!$E$13:$E$22,MATCH($C159,Parâmetros!$A$13:$A$22,0)),"⚠ categoria")))</f>
        <v>0.21</v>
      </c>
      <c r="G159" s="35"/>
      <c r="H159" s="36" t="n">
        <f aca="false">IF($A159="","",IF(ISNUMBER($G159),$G159,IF(ISNUMBER($F159),$F159,"")))</f>
        <v>0.21</v>
      </c>
      <c r="I159" s="37" t="n">
        <f aca="false">IF(OR($A159="",NOT(ISNUMBER($D159)),NOT(ISNUMBER($H159))),"",IF((1-$H159-Parâmetros!$B$7-Parâmetros!$C$7-Parâmetros!$D$7)&lt;=0,"INVALIDO",($D159+IF(ISNUMBER($E159),$E159,0)+IF(ISNUMBER(Parâmetros!$E$7),Parâmetros!$E$7,0))/(1-$H159-Parâmetros!$B$7-Parâmetros!$C$7-Parâmetros!$D$7)))</f>
        <v>795</v>
      </c>
      <c r="J159" s="38"/>
      <c r="K159" s="39" t="n">
        <f aca="false">IF(OR($A159="",NOT(ISNUMBER($D159)),NOT(ISNUMBER($H159))),"",IF(AND(ISNUMBER($J159),$J159&gt;0),$J159,IF(ISNUMBER($I159),$I159,"")))</f>
        <v>795</v>
      </c>
      <c r="L159" s="40" t="n">
        <f aca="false">IF(ISNUMBER($K159),$K159*$H159,"")</f>
        <v>166.95</v>
      </c>
      <c r="M159" s="40" t="n">
        <f aca="false">IF(ISNUMBER($K159),$K159*Parâmetros!$B$7,"")</f>
        <v>79.5</v>
      </c>
      <c r="N159" s="40" t="n">
        <f aca="false">IF(ISNUMBER($K159),$K159*Parâmetros!$C$7,"")</f>
        <v>23.85</v>
      </c>
      <c r="O159" s="40" t="n">
        <f aca="false">IF(ISNUMBER($K159),IF(ISNUMBER(Parâmetros!$E$7),Parâmetros!$E$7,0),"")</f>
        <v>0</v>
      </c>
      <c r="P159" s="41" t="n">
        <f aca="false">IF(ISNUMBER($K159),$K159-$D159-IF(ISNUMBER($E159),$E159,0)-$L159-$M159-$N159-$O159,"")</f>
        <v>159</v>
      </c>
      <c r="Q159" s="42" t="n">
        <f aca="false">IF(AND(ISNUMBER($K159),$K159&gt;0),$P159/$K159,"")</f>
        <v>0.2</v>
      </c>
      <c r="R159" s="43"/>
      <c r="S159" s="44" t="str">
        <f aca="false">IF(OR(NOT(ISNUMBER($R159)),$R159=0,NOT(ISNUMBER($K159))),"",$K159*(1-$R159))</f>
        <v/>
      </c>
      <c r="T159" s="45" t="str">
        <f aca="false">IF(ISNUMBER($S159),$S159*$H159,"")</f>
        <v/>
      </c>
      <c r="U159" s="45" t="str">
        <f aca="false">IF(ISNUMBER($S159),$S159*Parâmetros!$B$7,"")</f>
        <v/>
      </c>
      <c r="V159" s="45" t="str">
        <f aca="false">IF(ISNUMBER($S159),$S159*Parâmetros!$C$7,"")</f>
        <v/>
      </c>
      <c r="W159" s="44" t="str">
        <f aca="false">IF(ISNUMBER($S159),$S159-$D159-IF(ISNUMBER($E159),$E159,0)-$O159-$T159-$U159-$V159,"")</f>
        <v/>
      </c>
      <c r="X159" s="46" t="str">
        <f aca="false">IF(AND(ISNUMBER($S159),$S159&gt;0),$W159/$S159,"")</f>
        <v/>
      </c>
      <c r="Y159" s="49"/>
      <c r="Z159" s="21"/>
    </row>
    <row r="160" customFormat="false" ht="15.75" hidden="false" customHeight="true" outlineLevel="0" collapsed="false">
      <c r="A160" s="32" t="str">
        <f aca="false">IF(Produtos!$A160="","",Produtos!$A160)</f>
        <v>REGC</v>
      </c>
      <c r="B160" s="32" t="str">
        <f aca="false">IF(Produtos!$A160="","",Produtos!$B160)</f>
        <v>Refil Ensacador c/1000 saquinhos</v>
      </c>
      <c r="C160" s="32" t="str">
        <f aca="false">IF(Produtos!$A160="","",Produtos!$C160)</f>
        <v>Ensacadores</v>
      </c>
      <c r="D160" s="33" t="n">
        <f aca="false">IF(Produtos!$A160="","",IF(Produtos!$D160="","",Produtos!$D160))</f>
        <v>271.36</v>
      </c>
      <c r="E160" s="11" t="n">
        <v>0</v>
      </c>
      <c r="F160" s="34" t="n">
        <f aca="false">IF($A160="","",IF($C160="","⚠ categoria",IFERROR(INDEX(Parâmetros!$E$13:$E$22,MATCH($C160,Parâmetros!$A$13:$A$22,0)),"⚠ categoria")))</f>
        <v>0.21</v>
      </c>
      <c r="G160" s="35"/>
      <c r="H160" s="36" t="n">
        <f aca="false">IF($A160="","",IF(ISNUMBER($G160),$G160,IF(ISNUMBER($F160),$F160,"")))</f>
        <v>0.21</v>
      </c>
      <c r="I160" s="37" t="n">
        <f aca="false">IF(OR($A160="",NOT(ISNUMBER($D160)),NOT(ISNUMBER($H160))),"",IF((1-$H160-Parâmetros!$B$7-Parâmetros!$C$7-Parâmetros!$D$7)&lt;=0,"INVALIDO",($D160+IF(ISNUMBER($E160),$E160,0)+IF(ISNUMBER(Parâmetros!$E$7),Parâmetros!$E$7,0))/(1-$H160-Parâmetros!$B$7-Parâmetros!$C$7-Parâmetros!$D$7)))</f>
        <v>589.913043478261</v>
      </c>
      <c r="J160" s="38"/>
      <c r="K160" s="39" t="n">
        <f aca="false">IF(OR($A160="",NOT(ISNUMBER($D160)),NOT(ISNUMBER($H160))),"",IF(AND(ISNUMBER($J160),$J160&gt;0),$J160,IF(ISNUMBER($I160),$I160,"")))</f>
        <v>589.913043478261</v>
      </c>
      <c r="L160" s="40" t="n">
        <f aca="false">IF(ISNUMBER($K160),$K160*$H160,"")</f>
        <v>123.881739130435</v>
      </c>
      <c r="M160" s="40" t="n">
        <f aca="false">IF(ISNUMBER($K160),$K160*Parâmetros!$B$7,"")</f>
        <v>58.9913043478261</v>
      </c>
      <c r="N160" s="40" t="n">
        <f aca="false">IF(ISNUMBER($K160),$K160*Parâmetros!$C$7,"")</f>
        <v>17.6973913043478</v>
      </c>
      <c r="O160" s="40" t="n">
        <f aca="false">IF(ISNUMBER($K160),IF(ISNUMBER(Parâmetros!$E$7),Parâmetros!$E$7,0),"")</f>
        <v>0</v>
      </c>
      <c r="P160" s="41" t="n">
        <f aca="false">IF(ISNUMBER($K160),$K160-$D160-IF(ISNUMBER($E160),$E160,0)-$L160-$M160-$N160-$O160,"")</f>
        <v>117.982608695652</v>
      </c>
      <c r="Q160" s="42" t="n">
        <f aca="false">IF(AND(ISNUMBER($K160),$K160&gt;0),$P160/$K160,"")</f>
        <v>0.2</v>
      </c>
      <c r="R160" s="43"/>
      <c r="S160" s="44" t="str">
        <f aca="false">IF(OR(NOT(ISNUMBER($R160)),$R160=0,NOT(ISNUMBER($K160))),"",$K160*(1-$R160))</f>
        <v/>
      </c>
      <c r="T160" s="45" t="str">
        <f aca="false">IF(ISNUMBER($S160),$S160*$H160,"")</f>
        <v/>
      </c>
      <c r="U160" s="45" t="str">
        <f aca="false">IF(ISNUMBER($S160),$S160*Parâmetros!$B$7,"")</f>
        <v/>
      </c>
      <c r="V160" s="45" t="str">
        <f aca="false">IF(ISNUMBER($S160),$S160*Parâmetros!$C$7,"")</f>
        <v/>
      </c>
      <c r="W160" s="44" t="str">
        <f aca="false">IF(ISNUMBER($S160),$S160-$D160-IF(ISNUMBER($E160),$E160,0)-$O160-$T160-$U160-$V160,"")</f>
        <v/>
      </c>
      <c r="X160" s="46" t="str">
        <f aca="false">IF(AND(ISNUMBER($S160),$S160&gt;0),$W160/$S160,"")</f>
        <v/>
      </c>
      <c r="Y160" s="47"/>
      <c r="Z160" s="19"/>
    </row>
    <row r="161" customFormat="false" ht="15.75" hidden="false" customHeight="true" outlineLevel="0" collapsed="false">
      <c r="A161" s="48" t="str">
        <f aca="false">IF(Produtos!$A161="","",Produtos!$A161)</f>
        <v>PG2450</v>
      </c>
      <c r="B161" s="48" t="str">
        <f aca="false">IF(Produtos!$A161="","",Produtos!$B161)</f>
        <v>Porta Guarda-chuvas 24x50</v>
      </c>
      <c r="C161" s="48" t="str">
        <f aca="false">IF(Produtos!$A161="","",Produtos!$C161)</f>
        <v>Porta-guarda-chuvas</v>
      </c>
      <c r="D161" s="33" t="n">
        <f aca="false">IF(Produtos!$A161="","",IF(Produtos!$D161="","",Produtos!$D161))</f>
        <v>122.9</v>
      </c>
      <c r="E161" s="11" t="n">
        <v>0</v>
      </c>
      <c r="F161" s="34" t="n">
        <f aca="false">IF($A161="","",IF($C161="","⚠ categoria",IFERROR(INDEX(Parâmetros!$E$13:$E$22,MATCH($C161,Parâmetros!$A$13:$A$22,0)),"⚠ categoria")))</f>
        <v>0.21</v>
      </c>
      <c r="G161" s="35"/>
      <c r="H161" s="36" t="n">
        <f aca="false">IF($A161="","",IF(ISNUMBER($G161),$G161,IF(ISNUMBER($F161),$F161,"")))</f>
        <v>0.21</v>
      </c>
      <c r="I161" s="37" t="n">
        <f aca="false">IF(OR($A161="",NOT(ISNUMBER($D161)),NOT(ISNUMBER($H161))),"",IF((1-$H161-Parâmetros!$B$7-Parâmetros!$C$7-Parâmetros!$D$7)&lt;=0,"INVALIDO",($D161+IF(ISNUMBER($E161),$E161,0)+IF(ISNUMBER(Parâmetros!$E$7),Parâmetros!$E$7,0))/(1-$H161-Parâmetros!$B$7-Parâmetros!$C$7-Parâmetros!$D$7)))</f>
        <v>267.173913043478</v>
      </c>
      <c r="J161" s="38"/>
      <c r="K161" s="39" t="n">
        <f aca="false">IF(OR($A161="",NOT(ISNUMBER($D161)),NOT(ISNUMBER($H161))),"",IF(AND(ISNUMBER($J161),$J161&gt;0),$J161,IF(ISNUMBER($I161),$I161,"")))</f>
        <v>267.173913043478</v>
      </c>
      <c r="L161" s="40" t="n">
        <f aca="false">IF(ISNUMBER($K161),$K161*$H161,"")</f>
        <v>56.1065217391304</v>
      </c>
      <c r="M161" s="40" t="n">
        <f aca="false">IF(ISNUMBER($K161),$K161*Parâmetros!$B$7,"")</f>
        <v>26.7173913043478</v>
      </c>
      <c r="N161" s="40" t="n">
        <f aca="false">IF(ISNUMBER($K161),$K161*Parâmetros!$C$7,"")</f>
        <v>8.01521739130435</v>
      </c>
      <c r="O161" s="40" t="n">
        <f aca="false">IF(ISNUMBER($K161),IF(ISNUMBER(Parâmetros!$E$7),Parâmetros!$E$7,0),"")</f>
        <v>0</v>
      </c>
      <c r="P161" s="41" t="n">
        <f aca="false">IF(ISNUMBER($K161),$K161-$D161-IF(ISNUMBER($E161),$E161,0)-$L161-$M161-$N161-$O161,"")</f>
        <v>53.4347826086956</v>
      </c>
      <c r="Q161" s="42" t="n">
        <f aca="false">IF(AND(ISNUMBER($K161),$K161&gt;0),$P161/$K161,"")</f>
        <v>0.2</v>
      </c>
      <c r="R161" s="43"/>
      <c r="S161" s="44" t="str">
        <f aca="false">IF(OR(NOT(ISNUMBER($R161)),$R161=0,NOT(ISNUMBER($K161))),"",$K161*(1-$R161))</f>
        <v/>
      </c>
      <c r="T161" s="45" t="str">
        <f aca="false">IF(ISNUMBER($S161),$S161*$H161,"")</f>
        <v/>
      </c>
      <c r="U161" s="45" t="str">
        <f aca="false">IF(ISNUMBER($S161),$S161*Parâmetros!$B$7,"")</f>
        <v/>
      </c>
      <c r="V161" s="45" t="str">
        <f aca="false">IF(ISNUMBER($S161),$S161*Parâmetros!$C$7,"")</f>
        <v/>
      </c>
      <c r="W161" s="44" t="str">
        <f aca="false">IF(ISNUMBER($S161),$S161-$D161-IF(ISNUMBER($E161),$E161,0)-$O161-$T161-$U161-$V161,"")</f>
        <v/>
      </c>
      <c r="X161" s="46" t="str">
        <f aca="false">IF(AND(ISNUMBER($S161),$S161&gt;0),$W161/$S161,"")</f>
        <v/>
      </c>
      <c r="Y161" s="49"/>
      <c r="Z161" s="21"/>
    </row>
    <row r="162" customFormat="false" ht="15.75" hidden="false" customHeight="true" outlineLevel="0" collapsed="false">
      <c r="A162" s="32" t="str">
        <f aca="false">IF(Produtos!$A162="","",Produtos!$A162)</f>
        <v>PG2460</v>
      </c>
      <c r="B162" s="32" t="str">
        <f aca="false">IF(Produtos!$A162="","",Produtos!$B162)</f>
        <v>Porta Guarda-chuvas 24x60</v>
      </c>
      <c r="C162" s="32" t="str">
        <f aca="false">IF(Produtos!$A162="","",Produtos!$C162)</f>
        <v>Porta-guarda-chuvas</v>
      </c>
      <c r="D162" s="33" t="n">
        <f aca="false">IF(Produtos!$A162="","",IF(Produtos!$D162="","",Produtos!$D162))</f>
        <v>124.42</v>
      </c>
      <c r="E162" s="11" t="n">
        <v>0</v>
      </c>
      <c r="F162" s="34" t="n">
        <f aca="false">IF($A162="","",IF($C162="","⚠ categoria",IFERROR(INDEX(Parâmetros!$E$13:$E$22,MATCH($C162,Parâmetros!$A$13:$A$22,0)),"⚠ categoria")))</f>
        <v>0.21</v>
      </c>
      <c r="G162" s="35"/>
      <c r="H162" s="36" t="n">
        <f aca="false">IF($A162="","",IF(ISNUMBER($G162),$G162,IF(ISNUMBER($F162),$F162,"")))</f>
        <v>0.21</v>
      </c>
      <c r="I162" s="37" t="n">
        <f aca="false">IF(OR($A162="",NOT(ISNUMBER($D162)),NOT(ISNUMBER($H162))),"",IF((1-$H162-Parâmetros!$B$7-Parâmetros!$C$7-Parâmetros!$D$7)&lt;=0,"INVALIDO",($D162+IF(ISNUMBER($E162),$E162,0)+IF(ISNUMBER(Parâmetros!$E$7),Parâmetros!$E$7,0))/(1-$H162-Parâmetros!$B$7-Parâmetros!$C$7-Parâmetros!$D$7)))</f>
        <v>270.478260869565</v>
      </c>
      <c r="J162" s="38"/>
      <c r="K162" s="39" t="n">
        <f aca="false">IF(OR($A162="",NOT(ISNUMBER($D162)),NOT(ISNUMBER($H162))),"",IF(AND(ISNUMBER($J162),$J162&gt;0),$J162,IF(ISNUMBER($I162),$I162,"")))</f>
        <v>270.478260869565</v>
      </c>
      <c r="L162" s="40" t="n">
        <f aca="false">IF(ISNUMBER($K162),$K162*$H162,"")</f>
        <v>56.8004347826087</v>
      </c>
      <c r="M162" s="40" t="n">
        <f aca="false">IF(ISNUMBER($K162),$K162*Parâmetros!$B$7,"")</f>
        <v>27.0478260869565</v>
      </c>
      <c r="N162" s="40" t="n">
        <f aca="false">IF(ISNUMBER($K162),$K162*Parâmetros!$C$7,"")</f>
        <v>8.11434782608696</v>
      </c>
      <c r="O162" s="40" t="n">
        <f aca="false">IF(ISNUMBER($K162),IF(ISNUMBER(Parâmetros!$E$7),Parâmetros!$E$7,0),"")</f>
        <v>0</v>
      </c>
      <c r="P162" s="41" t="n">
        <f aca="false">IF(ISNUMBER($K162),$K162-$D162-IF(ISNUMBER($E162),$E162,0)-$L162-$M162-$N162-$O162,"")</f>
        <v>54.095652173913</v>
      </c>
      <c r="Q162" s="42" t="n">
        <f aca="false">IF(AND(ISNUMBER($K162),$K162&gt;0),$P162/$K162,"")</f>
        <v>0.2</v>
      </c>
      <c r="R162" s="43"/>
      <c r="S162" s="44" t="str">
        <f aca="false">IF(OR(NOT(ISNUMBER($R162)),$R162=0,NOT(ISNUMBER($K162))),"",$K162*(1-$R162))</f>
        <v/>
      </c>
      <c r="T162" s="45" t="str">
        <f aca="false">IF(ISNUMBER($S162),$S162*$H162,"")</f>
        <v/>
      </c>
      <c r="U162" s="45" t="str">
        <f aca="false">IF(ISNUMBER($S162),$S162*Parâmetros!$B$7,"")</f>
        <v/>
      </c>
      <c r="V162" s="45" t="str">
        <f aca="false">IF(ISNUMBER($S162),$S162*Parâmetros!$C$7,"")</f>
        <v/>
      </c>
      <c r="W162" s="44" t="str">
        <f aca="false">IF(ISNUMBER($S162),$S162-$D162-IF(ISNUMBER($E162),$E162,0)-$O162-$T162-$U162-$V162,"")</f>
        <v/>
      </c>
      <c r="X162" s="46" t="str">
        <f aca="false">IF(AND(ISNUMBER($S162),$S162&gt;0),$W162/$S162,"")</f>
        <v/>
      </c>
      <c r="Y162" s="47"/>
      <c r="Z162" s="19"/>
    </row>
    <row r="163" customFormat="false" ht="15.75" hidden="false" customHeight="true" outlineLevel="0" collapsed="false">
      <c r="A163" s="48" t="str">
        <f aca="false">IF(Produtos!$A163="","",Produtos!$A163)</f>
        <v>PG2470</v>
      </c>
      <c r="B163" s="48" t="str">
        <f aca="false">IF(Produtos!$A163="","",Produtos!$B163)</f>
        <v>Porta Guarda-chuvas 24x70</v>
      </c>
      <c r="C163" s="48" t="str">
        <f aca="false">IF(Produtos!$A163="","",Produtos!$C163)</f>
        <v>Porta-guarda-chuvas</v>
      </c>
      <c r="D163" s="33" t="n">
        <f aca="false">IF(Produtos!$A163="","",IF(Produtos!$D163="","",Produtos!$D163))</f>
        <v>194.41</v>
      </c>
      <c r="E163" s="11" t="n">
        <v>0</v>
      </c>
      <c r="F163" s="34" t="n">
        <f aca="false">IF($A163="","",IF($C163="","⚠ categoria",IFERROR(INDEX(Parâmetros!$E$13:$E$22,MATCH($C163,Parâmetros!$A$13:$A$22,0)),"⚠ categoria")))</f>
        <v>0.21</v>
      </c>
      <c r="G163" s="35"/>
      <c r="H163" s="36" t="n">
        <f aca="false">IF($A163="","",IF(ISNUMBER($G163),$G163,IF(ISNUMBER($F163),$F163,"")))</f>
        <v>0.21</v>
      </c>
      <c r="I163" s="37" t="n">
        <f aca="false">IF(OR($A163="",NOT(ISNUMBER($D163)),NOT(ISNUMBER($H163))),"",IF((1-$H163-Parâmetros!$B$7-Parâmetros!$C$7-Parâmetros!$D$7)&lt;=0,"INVALIDO",($D163+IF(ISNUMBER($E163),$E163,0)+IF(ISNUMBER(Parâmetros!$E$7),Parâmetros!$E$7,0))/(1-$H163-Parâmetros!$B$7-Parâmetros!$C$7-Parâmetros!$D$7)))</f>
        <v>422.630434782609</v>
      </c>
      <c r="J163" s="38"/>
      <c r="K163" s="39" t="n">
        <f aca="false">IF(OR($A163="",NOT(ISNUMBER($D163)),NOT(ISNUMBER($H163))),"",IF(AND(ISNUMBER($J163),$J163&gt;0),$J163,IF(ISNUMBER($I163),$I163,"")))</f>
        <v>422.630434782609</v>
      </c>
      <c r="L163" s="40" t="n">
        <f aca="false">IF(ISNUMBER($K163),$K163*$H163,"")</f>
        <v>88.7523913043478</v>
      </c>
      <c r="M163" s="40" t="n">
        <f aca="false">IF(ISNUMBER($K163),$K163*Parâmetros!$B$7,"")</f>
        <v>42.2630434782609</v>
      </c>
      <c r="N163" s="40" t="n">
        <f aca="false">IF(ISNUMBER($K163),$K163*Parâmetros!$C$7,"")</f>
        <v>12.6789130434783</v>
      </c>
      <c r="O163" s="40" t="n">
        <f aca="false">IF(ISNUMBER($K163),IF(ISNUMBER(Parâmetros!$E$7),Parâmetros!$E$7,0),"")</f>
        <v>0</v>
      </c>
      <c r="P163" s="41" t="n">
        <f aca="false">IF(ISNUMBER($K163),$K163-$D163-IF(ISNUMBER($E163),$E163,0)-$L163-$M163-$N163-$O163,"")</f>
        <v>84.5260869565218</v>
      </c>
      <c r="Q163" s="42" t="n">
        <f aca="false">IF(AND(ISNUMBER($K163),$K163&gt;0),$P163/$K163,"")</f>
        <v>0.2</v>
      </c>
      <c r="R163" s="43"/>
      <c r="S163" s="44" t="str">
        <f aca="false">IF(OR(NOT(ISNUMBER($R163)),$R163=0,NOT(ISNUMBER($K163))),"",$K163*(1-$R163))</f>
        <v/>
      </c>
      <c r="T163" s="45" t="str">
        <f aca="false">IF(ISNUMBER($S163),$S163*$H163,"")</f>
        <v/>
      </c>
      <c r="U163" s="45" t="str">
        <f aca="false">IF(ISNUMBER($S163),$S163*Parâmetros!$B$7,"")</f>
        <v/>
      </c>
      <c r="V163" s="45" t="str">
        <f aca="false">IF(ISNUMBER($S163),$S163*Parâmetros!$C$7,"")</f>
        <v/>
      </c>
      <c r="W163" s="44" t="str">
        <f aca="false">IF(ISNUMBER($S163),$S163-$D163-IF(ISNUMBER($E163),$E163,0)-$O163-$T163-$U163-$V163,"")</f>
        <v/>
      </c>
      <c r="X163" s="46" t="str">
        <f aca="false">IF(AND(ISNUMBER($S163),$S163&gt;0),$W163/$S163,"")</f>
        <v/>
      </c>
      <c r="Y163" s="49"/>
      <c r="Z163" s="21"/>
    </row>
    <row r="164" customFormat="false" ht="15.75" hidden="false" customHeight="true" outlineLevel="0" collapsed="false">
      <c r="A164" s="32" t="str">
        <f aca="false">IF(Produtos!$A164="","",Produtos!$A164)</f>
        <v>PG3060</v>
      </c>
      <c r="B164" s="32" t="str">
        <f aca="false">IF(Produtos!$A164="","",Produtos!$B164)</f>
        <v>Porta Guarda-chuvas 30x60</v>
      </c>
      <c r="C164" s="32" t="str">
        <f aca="false">IF(Produtos!$A164="","",Produtos!$C164)</f>
        <v>Porta-guarda-chuvas</v>
      </c>
      <c r="D164" s="33" t="n">
        <f aca="false">IF(Produtos!$A164="","",IF(Produtos!$D164="","",Produtos!$D164))</f>
        <v>170.08</v>
      </c>
      <c r="E164" s="11" t="n">
        <v>0</v>
      </c>
      <c r="F164" s="34" t="n">
        <f aca="false">IF($A164="","",IF($C164="","⚠ categoria",IFERROR(INDEX(Parâmetros!$E$13:$E$22,MATCH($C164,Parâmetros!$A$13:$A$22,0)),"⚠ categoria")))</f>
        <v>0.21</v>
      </c>
      <c r="G164" s="35"/>
      <c r="H164" s="36" t="n">
        <f aca="false">IF($A164="","",IF(ISNUMBER($G164),$G164,IF(ISNUMBER($F164),$F164,"")))</f>
        <v>0.21</v>
      </c>
      <c r="I164" s="37" t="n">
        <f aca="false">IF(OR($A164="",NOT(ISNUMBER($D164)),NOT(ISNUMBER($H164))),"",IF((1-$H164-Parâmetros!$B$7-Parâmetros!$C$7-Parâmetros!$D$7)&lt;=0,"INVALIDO",($D164+IF(ISNUMBER($E164),$E164,0)+IF(ISNUMBER(Parâmetros!$E$7),Parâmetros!$E$7,0))/(1-$H164-Parâmetros!$B$7-Parâmetros!$C$7-Parâmetros!$D$7)))</f>
        <v>369.739130434783</v>
      </c>
      <c r="J164" s="38"/>
      <c r="K164" s="39" t="n">
        <f aca="false">IF(OR($A164="",NOT(ISNUMBER($D164)),NOT(ISNUMBER($H164))),"",IF(AND(ISNUMBER($J164),$J164&gt;0),$J164,IF(ISNUMBER($I164),$I164,"")))</f>
        <v>369.739130434783</v>
      </c>
      <c r="L164" s="40" t="n">
        <f aca="false">IF(ISNUMBER($K164),$K164*$H164,"")</f>
        <v>77.6452173913043</v>
      </c>
      <c r="M164" s="40" t="n">
        <f aca="false">IF(ISNUMBER($K164),$K164*Parâmetros!$B$7,"")</f>
        <v>36.9739130434783</v>
      </c>
      <c r="N164" s="40" t="n">
        <f aca="false">IF(ISNUMBER($K164),$K164*Parâmetros!$C$7,"")</f>
        <v>11.0921739130435</v>
      </c>
      <c r="O164" s="40" t="n">
        <f aca="false">IF(ISNUMBER($K164),IF(ISNUMBER(Parâmetros!$E$7),Parâmetros!$E$7,0),"")</f>
        <v>0</v>
      </c>
      <c r="P164" s="41" t="n">
        <f aca="false">IF(ISNUMBER($K164),$K164-$D164-IF(ISNUMBER($E164),$E164,0)-$L164-$M164-$N164-$O164,"")</f>
        <v>73.9478260869565</v>
      </c>
      <c r="Q164" s="42" t="n">
        <f aca="false">IF(AND(ISNUMBER($K164),$K164&gt;0),$P164/$K164,"")</f>
        <v>0.2</v>
      </c>
      <c r="R164" s="43"/>
      <c r="S164" s="44" t="str">
        <f aca="false">IF(OR(NOT(ISNUMBER($R164)),$R164=0,NOT(ISNUMBER($K164))),"",$K164*(1-$R164))</f>
        <v/>
      </c>
      <c r="T164" s="45" t="str">
        <f aca="false">IF(ISNUMBER($S164),$S164*$H164,"")</f>
        <v/>
      </c>
      <c r="U164" s="45" t="str">
        <f aca="false">IF(ISNUMBER($S164),$S164*Parâmetros!$B$7,"")</f>
        <v/>
      </c>
      <c r="V164" s="45" t="str">
        <f aca="false">IF(ISNUMBER($S164),$S164*Parâmetros!$C$7,"")</f>
        <v/>
      </c>
      <c r="W164" s="44" t="str">
        <f aca="false">IF(ISNUMBER($S164),$S164-$D164-IF(ISNUMBER($E164),$E164,0)-$O164-$T164-$U164-$V164,"")</f>
        <v/>
      </c>
      <c r="X164" s="46" t="str">
        <f aca="false">IF(AND(ISNUMBER($S164),$S164&gt;0),$W164/$S164,"")</f>
        <v/>
      </c>
      <c r="Y164" s="47"/>
      <c r="Z164" s="19"/>
    </row>
    <row r="165" customFormat="false" ht="15.75" hidden="false" customHeight="true" outlineLevel="0" collapsed="false">
      <c r="A165" s="48" t="str">
        <f aca="false">IF(Produtos!$A165="","",Produtos!$A165)</f>
        <v>PG3070</v>
      </c>
      <c r="B165" s="48" t="str">
        <f aca="false">IF(Produtos!$A165="","",Produtos!$B165)</f>
        <v>Porta Guarda-chuvas 30x70</v>
      </c>
      <c r="C165" s="48" t="str">
        <f aca="false">IF(Produtos!$A165="","",Produtos!$C165)</f>
        <v>Porta-guarda-chuvas</v>
      </c>
      <c r="D165" s="33" t="n">
        <f aca="false">IF(Produtos!$A165="","",IF(Produtos!$D165="","",Produtos!$D165))</f>
        <v>232.51</v>
      </c>
      <c r="E165" s="11" t="n">
        <v>0</v>
      </c>
      <c r="F165" s="34" t="n">
        <f aca="false">IF($A165="","",IF($C165="","⚠ categoria",IFERROR(INDEX(Parâmetros!$E$13:$E$22,MATCH($C165,Parâmetros!$A$13:$A$22,0)),"⚠ categoria")))</f>
        <v>0.21</v>
      </c>
      <c r="G165" s="35"/>
      <c r="H165" s="36" t="n">
        <f aca="false">IF($A165="","",IF(ISNUMBER($G165),$G165,IF(ISNUMBER($F165),$F165,"")))</f>
        <v>0.21</v>
      </c>
      <c r="I165" s="37" t="n">
        <f aca="false">IF(OR($A165="",NOT(ISNUMBER($D165)),NOT(ISNUMBER($H165))),"",IF((1-$H165-Parâmetros!$B$7-Parâmetros!$C$7-Parâmetros!$D$7)&lt;=0,"INVALIDO",($D165+IF(ISNUMBER($E165),$E165,0)+IF(ISNUMBER(Parâmetros!$E$7),Parâmetros!$E$7,0))/(1-$H165-Parâmetros!$B$7-Parâmetros!$C$7-Parâmetros!$D$7)))</f>
        <v>505.45652173913</v>
      </c>
      <c r="J165" s="38"/>
      <c r="K165" s="39" t="n">
        <f aca="false">IF(OR($A165="",NOT(ISNUMBER($D165)),NOT(ISNUMBER($H165))),"",IF(AND(ISNUMBER($J165),$J165&gt;0),$J165,IF(ISNUMBER($I165),$I165,"")))</f>
        <v>505.45652173913</v>
      </c>
      <c r="L165" s="40" t="n">
        <f aca="false">IF(ISNUMBER($K165),$K165*$H165,"")</f>
        <v>106.145869565217</v>
      </c>
      <c r="M165" s="40" t="n">
        <f aca="false">IF(ISNUMBER($K165),$K165*Parâmetros!$B$7,"")</f>
        <v>50.545652173913</v>
      </c>
      <c r="N165" s="40" t="n">
        <f aca="false">IF(ISNUMBER($K165),$K165*Parâmetros!$C$7,"")</f>
        <v>15.1636956521739</v>
      </c>
      <c r="O165" s="40" t="n">
        <f aca="false">IF(ISNUMBER($K165),IF(ISNUMBER(Parâmetros!$E$7),Parâmetros!$E$7,0),"")</f>
        <v>0</v>
      </c>
      <c r="P165" s="41" t="n">
        <f aca="false">IF(ISNUMBER($K165),$K165-$D165-IF(ISNUMBER($E165),$E165,0)-$L165-$M165-$N165-$O165,"")</f>
        <v>101.091304347826</v>
      </c>
      <c r="Q165" s="42" t="n">
        <f aca="false">IF(AND(ISNUMBER($K165),$K165&gt;0),$P165/$K165,"")</f>
        <v>0.2</v>
      </c>
      <c r="R165" s="43"/>
      <c r="S165" s="44" t="str">
        <f aca="false">IF(OR(NOT(ISNUMBER($R165)),$R165=0,NOT(ISNUMBER($K165))),"",$K165*(1-$R165))</f>
        <v/>
      </c>
      <c r="T165" s="45" t="str">
        <f aca="false">IF(ISNUMBER($S165),$S165*$H165,"")</f>
        <v/>
      </c>
      <c r="U165" s="45" t="str">
        <f aca="false">IF(ISNUMBER($S165),$S165*Parâmetros!$B$7,"")</f>
        <v/>
      </c>
      <c r="V165" s="45" t="str">
        <f aca="false">IF(ISNUMBER($S165),$S165*Parâmetros!$C$7,"")</f>
        <v/>
      </c>
      <c r="W165" s="44" t="str">
        <f aca="false">IF(ISNUMBER($S165),$S165-$D165-IF(ISNUMBER($E165),$E165,0)-$O165-$T165-$U165-$V165,"")</f>
        <v/>
      </c>
      <c r="X165" s="46" t="str">
        <f aca="false">IF(AND(ISNUMBER($S165),$S165&gt;0),$W165/$S165,"")</f>
        <v/>
      </c>
      <c r="Y165" s="49"/>
      <c r="Z165" s="21"/>
    </row>
    <row r="166" customFormat="false" ht="15.75" hidden="false" customHeight="true" outlineLevel="0" collapsed="false">
      <c r="A166" s="32" t="str">
        <f aca="false">IF(Produtos!$A166="","",Produtos!$A166)</f>
        <v>PG4050</v>
      </c>
      <c r="B166" s="32" t="str">
        <f aca="false">IF(Produtos!$A166="","",Produtos!$B166)</f>
        <v>Porta Guarda-chuvas 40x50</v>
      </c>
      <c r="C166" s="32" t="str">
        <f aca="false">IF(Produtos!$A166="","",Produtos!$C166)</f>
        <v>Porta-guarda-chuvas</v>
      </c>
      <c r="D166" s="33" t="n">
        <f aca="false">IF(Produtos!$A166="","",IF(Produtos!$D166="","",Produtos!$D166))</f>
        <v>228.9</v>
      </c>
      <c r="E166" s="11" t="n">
        <v>0</v>
      </c>
      <c r="F166" s="34" t="n">
        <f aca="false">IF($A166="","",IF($C166="","⚠ categoria",IFERROR(INDEX(Parâmetros!$E$13:$E$22,MATCH($C166,Parâmetros!$A$13:$A$22,0)),"⚠ categoria")))</f>
        <v>0.21</v>
      </c>
      <c r="G166" s="35"/>
      <c r="H166" s="36" t="n">
        <f aca="false">IF($A166="","",IF(ISNUMBER($G166),$G166,IF(ISNUMBER($F166),$F166,"")))</f>
        <v>0.21</v>
      </c>
      <c r="I166" s="37" t="n">
        <f aca="false">IF(OR($A166="",NOT(ISNUMBER($D166)),NOT(ISNUMBER($H166))),"",IF((1-$H166-Parâmetros!$B$7-Parâmetros!$C$7-Parâmetros!$D$7)&lt;=0,"INVALIDO",($D166+IF(ISNUMBER($E166),$E166,0)+IF(ISNUMBER(Parâmetros!$E$7),Parâmetros!$E$7,0))/(1-$H166-Parâmetros!$B$7-Parâmetros!$C$7-Parâmetros!$D$7)))</f>
        <v>497.608695652174</v>
      </c>
      <c r="J166" s="38"/>
      <c r="K166" s="39" t="n">
        <f aca="false">IF(OR($A166="",NOT(ISNUMBER($D166)),NOT(ISNUMBER($H166))),"",IF(AND(ISNUMBER($J166),$J166&gt;0),$J166,IF(ISNUMBER($I166),$I166,"")))</f>
        <v>497.608695652174</v>
      </c>
      <c r="L166" s="40" t="n">
        <f aca="false">IF(ISNUMBER($K166),$K166*$H166,"")</f>
        <v>104.497826086957</v>
      </c>
      <c r="M166" s="40" t="n">
        <f aca="false">IF(ISNUMBER($K166),$K166*Parâmetros!$B$7,"")</f>
        <v>49.7608695652174</v>
      </c>
      <c r="N166" s="40" t="n">
        <f aca="false">IF(ISNUMBER($K166),$K166*Parâmetros!$C$7,"")</f>
        <v>14.9282608695652</v>
      </c>
      <c r="O166" s="40" t="n">
        <f aca="false">IF(ISNUMBER($K166),IF(ISNUMBER(Parâmetros!$E$7),Parâmetros!$E$7,0),"")</f>
        <v>0</v>
      </c>
      <c r="P166" s="41" t="n">
        <f aca="false">IF(ISNUMBER($K166),$K166-$D166-IF(ISNUMBER($E166),$E166,0)-$L166-$M166-$N166-$O166,"")</f>
        <v>99.5217391304348</v>
      </c>
      <c r="Q166" s="42" t="n">
        <f aca="false">IF(AND(ISNUMBER($K166),$K166&gt;0),$P166/$K166,"")</f>
        <v>0.2</v>
      </c>
      <c r="R166" s="43"/>
      <c r="S166" s="44" t="str">
        <f aca="false">IF(OR(NOT(ISNUMBER($R166)),$R166=0,NOT(ISNUMBER($K166))),"",$K166*(1-$R166))</f>
        <v/>
      </c>
      <c r="T166" s="45" t="str">
        <f aca="false">IF(ISNUMBER($S166),$S166*$H166,"")</f>
        <v/>
      </c>
      <c r="U166" s="45" t="str">
        <f aca="false">IF(ISNUMBER($S166),$S166*Parâmetros!$B$7,"")</f>
        <v/>
      </c>
      <c r="V166" s="45" t="str">
        <f aca="false">IF(ISNUMBER($S166),$S166*Parâmetros!$C$7,"")</f>
        <v/>
      </c>
      <c r="W166" s="44" t="str">
        <f aca="false">IF(ISNUMBER($S166),$S166-$D166-IF(ISNUMBER($E166),$E166,0)-$O166-$T166-$U166-$V166,"")</f>
        <v/>
      </c>
      <c r="X166" s="46" t="str">
        <f aca="false">IF(AND(ISNUMBER($S166),$S166&gt;0),$W166/$S166,"")</f>
        <v/>
      </c>
      <c r="Y166" s="47"/>
      <c r="Z166" s="19"/>
    </row>
    <row r="167" customFormat="false" ht="15.75" hidden="false" customHeight="true" outlineLevel="0" collapsed="false">
      <c r="A167" s="48" t="str">
        <f aca="false">IF(Produtos!$A167="","",Produtos!$A167)</f>
        <v>PG4060</v>
      </c>
      <c r="B167" s="48" t="str">
        <f aca="false">IF(Produtos!$A167="","",Produtos!$B167)</f>
        <v>Porta Guarda-chuvas 40x60</v>
      </c>
      <c r="C167" s="48" t="str">
        <f aca="false">IF(Produtos!$A167="","",Produtos!$C167)</f>
        <v>Porta-guarda-chuvas</v>
      </c>
      <c r="D167" s="33" t="n">
        <f aca="false">IF(Produtos!$A167="","",IF(Produtos!$D167="","",Produtos!$D167))</f>
        <v>265.85</v>
      </c>
      <c r="E167" s="11" t="n">
        <v>0</v>
      </c>
      <c r="F167" s="34" t="n">
        <f aca="false">IF($A167="","",IF($C167="","⚠ categoria",IFERROR(INDEX(Parâmetros!$E$13:$E$22,MATCH($C167,Parâmetros!$A$13:$A$22,0)),"⚠ categoria")))</f>
        <v>0.21</v>
      </c>
      <c r="G167" s="35"/>
      <c r="H167" s="36" t="n">
        <f aca="false">IF($A167="","",IF(ISNUMBER($G167),$G167,IF(ISNUMBER($F167),$F167,"")))</f>
        <v>0.21</v>
      </c>
      <c r="I167" s="37" t="n">
        <f aca="false">IF(OR($A167="",NOT(ISNUMBER($D167)),NOT(ISNUMBER($H167))),"",IF((1-$H167-Parâmetros!$B$7-Parâmetros!$C$7-Parâmetros!$D$7)&lt;=0,"INVALIDO",($D167+IF(ISNUMBER($E167),$E167,0)+IF(ISNUMBER(Parâmetros!$E$7),Parâmetros!$E$7,0))/(1-$H167-Parâmetros!$B$7-Parâmetros!$C$7-Parâmetros!$D$7)))</f>
        <v>577.934782608696</v>
      </c>
      <c r="J167" s="38"/>
      <c r="K167" s="39" t="n">
        <f aca="false">IF(OR($A167="",NOT(ISNUMBER($D167)),NOT(ISNUMBER($H167))),"",IF(AND(ISNUMBER($J167),$J167&gt;0),$J167,IF(ISNUMBER($I167),$I167,"")))</f>
        <v>577.934782608696</v>
      </c>
      <c r="L167" s="40" t="n">
        <f aca="false">IF(ISNUMBER($K167),$K167*$H167,"")</f>
        <v>121.366304347826</v>
      </c>
      <c r="M167" s="40" t="n">
        <f aca="false">IF(ISNUMBER($K167),$K167*Parâmetros!$B$7,"")</f>
        <v>57.7934782608696</v>
      </c>
      <c r="N167" s="40" t="n">
        <f aca="false">IF(ISNUMBER($K167),$K167*Parâmetros!$C$7,"")</f>
        <v>17.3380434782609</v>
      </c>
      <c r="O167" s="40" t="n">
        <f aca="false">IF(ISNUMBER($K167),IF(ISNUMBER(Parâmetros!$E$7),Parâmetros!$E$7,0),"")</f>
        <v>0</v>
      </c>
      <c r="P167" s="41" t="n">
        <f aca="false">IF(ISNUMBER($K167),$K167-$D167-IF(ISNUMBER($E167),$E167,0)-$L167-$M167-$N167-$O167,"")</f>
        <v>115.586956521739</v>
      </c>
      <c r="Q167" s="42" t="n">
        <f aca="false">IF(AND(ISNUMBER($K167),$K167&gt;0),$P167/$K167,"")</f>
        <v>0.2</v>
      </c>
      <c r="R167" s="43"/>
      <c r="S167" s="44" t="str">
        <f aca="false">IF(OR(NOT(ISNUMBER($R167)),$R167=0,NOT(ISNUMBER($K167))),"",$K167*(1-$R167))</f>
        <v/>
      </c>
      <c r="T167" s="45" t="str">
        <f aca="false">IF(ISNUMBER($S167),$S167*$H167,"")</f>
        <v/>
      </c>
      <c r="U167" s="45" t="str">
        <f aca="false">IF(ISNUMBER($S167),$S167*Parâmetros!$B$7,"")</f>
        <v/>
      </c>
      <c r="V167" s="45" t="str">
        <f aca="false">IF(ISNUMBER($S167),$S167*Parâmetros!$C$7,"")</f>
        <v/>
      </c>
      <c r="W167" s="44" t="str">
        <f aca="false">IF(ISNUMBER($S167),$S167-$D167-IF(ISNUMBER($E167),$E167,0)-$O167-$T167-$U167-$V167,"")</f>
        <v/>
      </c>
      <c r="X167" s="46" t="str">
        <f aca="false">IF(AND(ISNUMBER($S167),$S167&gt;0),$W167/$S167,"")</f>
        <v/>
      </c>
      <c r="Y167" s="49"/>
      <c r="Z167" s="21"/>
    </row>
    <row r="168" customFormat="false" ht="15.75" hidden="false" customHeight="true" outlineLevel="0" collapsed="false">
      <c r="A168" s="32" t="str">
        <f aca="false">IF(Produtos!$A168="","",Produtos!$A168)</f>
        <v>PG4070</v>
      </c>
      <c r="B168" s="32" t="str">
        <f aca="false">IF(Produtos!$A168="","",Produtos!$B168)</f>
        <v>Porta Guarda-chuvas 40x70</v>
      </c>
      <c r="C168" s="32" t="str">
        <f aca="false">IF(Produtos!$A168="","",Produtos!$C168)</f>
        <v>Porta-guarda-chuvas</v>
      </c>
      <c r="D168" s="33" t="n">
        <f aca="false">IF(Produtos!$A168="","",IF(Produtos!$D168="","",Produtos!$D168))</f>
        <v>267.68</v>
      </c>
      <c r="E168" s="11" t="n">
        <v>0</v>
      </c>
      <c r="F168" s="34" t="n">
        <f aca="false">IF($A168="","",IF($C168="","⚠ categoria",IFERROR(INDEX(Parâmetros!$E$13:$E$22,MATCH($C168,Parâmetros!$A$13:$A$22,0)),"⚠ categoria")))</f>
        <v>0.21</v>
      </c>
      <c r="G168" s="35"/>
      <c r="H168" s="36" t="n">
        <f aca="false">IF($A168="","",IF(ISNUMBER($G168),$G168,IF(ISNUMBER($F168),$F168,"")))</f>
        <v>0.21</v>
      </c>
      <c r="I168" s="37" t="n">
        <f aca="false">IF(OR($A168="",NOT(ISNUMBER($D168)),NOT(ISNUMBER($H168))),"",IF((1-$H168-Parâmetros!$B$7-Parâmetros!$C$7-Parâmetros!$D$7)&lt;=0,"INVALIDO",($D168+IF(ISNUMBER($E168),$E168,0)+IF(ISNUMBER(Parâmetros!$E$7),Parâmetros!$E$7,0))/(1-$H168-Parâmetros!$B$7-Parâmetros!$C$7-Parâmetros!$D$7)))</f>
        <v>581.913043478261</v>
      </c>
      <c r="J168" s="38"/>
      <c r="K168" s="39" t="n">
        <f aca="false">IF(OR($A168="",NOT(ISNUMBER($D168)),NOT(ISNUMBER($H168))),"",IF(AND(ISNUMBER($J168),$J168&gt;0),$J168,IF(ISNUMBER($I168),$I168,"")))</f>
        <v>581.913043478261</v>
      </c>
      <c r="L168" s="40" t="n">
        <f aca="false">IF(ISNUMBER($K168),$K168*$H168,"")</f>
        <v>122.201739130435</v>
      </c>
      <c r="M168" s="40" t="n">
        <f aca="false">IF(ISNUMBER($K168),$K168*Parâmetros!$B$7,"")</f>
        <v>58.1913043478261</v>
      </c>
      <c r="N168" s="40" t="n">
        <f aca="false">IF(ISNUMBER($K168),$K168*Parâmetros!$C$7,"")</f>
        <v>17.4573913043478</v>
      </c>
      <c r="O168" s="40" t="n">
        <f aca="false">IF(ISNUMBER($K168),IF(ISNUMBER(Parâmetros!$E$7),Parâmetros!$E$7,0),"")</f>
        <v>0</v>
      </c>
      <c r="P168" s="41" t="n">
        <f aca="false">IF(ISNUMBER($K168),$K168-$D168-IF(ISNUMBER($E168),$E168,0)-$L168-$M168-$N168-$O168,"")</f>
        <v>116.382608695652</v>
      </c>
      <c r="Q168" s="42" t="n">
        <f aca="false">IF(AND(ISNUMBER($K168),$K168&gt;0),$P168/$K168,"")</f>
        <v>0.2</v>
      </c>
      <c r="R168" s="43"/>
      <c r="S168" s="44" t="str">
        <f aca="false">IF(OR(NOT(ISNUMBER($R168)),$R168=0,NOT(ISNUMBER($K168))),"",$K168*(1-$R168))</f>
        <v/>
      </c>
      <c r="T168" s="45" t="str">
        <f aca="false">IF(ISNUMBER($S168),$S168*$H168,"")</f>
        <v/>
      </c>
      <c r="U168" s="45" t="str">
        <f aca="false">IF(ISNUMBER($S168),$S168*Parâmetros!$B$7,"")</f>
        <v/>
      </c>
      <c r="V168" s="45" t="str">
        <f aca="false">IF(ISNUMBER($S168),$S168*Parâmetros!$C$7,"")</f>
        <v/>
      </c>
      <c r="W168" s="44" t="str">
        <f aca="false">IF(ISNUMBER($S168),$S168-$D168-IF(ISNUMBER($E168),$E168,0)-$O168-$T168-$U168-$V168,"")</f>
        <v/>
      </c>
      <c r="X168" s="46" t="str">
        <f aca="false">IF(AND(ISNUMBER($S168),$S168&gt;0),$W168/$S168,"")</f>
        <v/>
      </c>
      <c r="Y168" s="47"/>
      <c r="Z168" s="19"/>
    </row>
    <row r="169" customFormat="false" ht="15.75" hidden="false" customHeight="true" outlineLevel="0" collapsed="false">
      <c r="A169" s="48" t="str">
        <f aca="false">IF(Produtos!$A169="","",Produtos!$A169)</f>
        <v>PG4080</v>
      </c>
      <c r="B169" s="48" t="str">
        <f aca="false">IF(Produtos!$A169="","",Produtos!$B169)</f>
        <v>Porta Guarda-chuvas 40x80</v>
      </c>
      <c r="C169" s="48" t="str">
        <f aca="false">IF(Produtos!$A169="","",Produtos!$C169)</f>
        <v>Porta-guarda-chuvas</v>
      </c>
      <c r="D169" s="33" t="n">
        <f aca="false">IF(Produtos!$A169="","",IF(Produtos!$D169="","",Produtos!$D169))</f>
        <v>329.27</v>
      </c>
      <c r="E169" s="11" t="n">
        <v>0</v>
      </c>
      <c r="F169" s="34" t="n">
        <f aca="false">IF($A169="","",IF($C169="","⚠ categoria",IFERROR(INDEX(Parâmetros!$E$13:$E$22,MATCH($C169,Parâmetros!$A$13:$A$22,0)),"⚠ categoria")))</f>
        <v>0.21</v>
      </c>
      <c r="G169" s="35"/>
      <c r="H169" s="36" t="n">
        <f aca="false">IF($A169="","",IF(ISNUMBER($G169),$G169,IF(ISNUMBER($F169),$F169,"")))</f>
        <v>0.21</v>
      </c>
      <c r="I169" s="37" t="n">
        <f aca="false">IF(OR($A169="",NOT(ISNUMBER($D169)),NOT(ISNUMBER($H169))),"",IF((1-$H169-Parâmetros!$B$7-Parâmetros!$C$7-Parâmetros!$D$7)&lt;=0,"INVALIDO",($D169+IF(ISNUMBER($E169),$E169,0)+IF(ISNUMBER(Parâmetros!$E$7),Parâmetros!$E$7,0))/(1-$H169-Parâmetros!$B$7-Parâmetros!$C$7-Parâmetros!$D$7)))</f>
        <v>715.804347826087</v>
      </c>
      <c r="J169" s="38"/>
      <c r="K169" s="39" t="n">
        <f aca="false">IF(OR($A169="",NOT(ISNUMBER($D169)),NOT(ISNUMBER($H169))),"",IF(AND(ISNUMBER($J169),$J169&gt;0),$J169,IF(ISNUMBER($I169),$I169,"")))</f>
        <v>715.804347826087</v>
      </c>
      <c r="L169" s="40" t="n">
        <f aca="false">IF(ISNUMBER($K169),$K169*$H169,"")</f>
        <v>150.318913043478</v>
      </c>
      <c r="M169" s="40" t="n">
        <f aca="false">IF(ISNUMBER($K169),$K169*Parâmetros!$B$7,"")</f>
        <v>71.5804347826087</v>
      </c>
      <c r="N169" s="40" t="n">
        <f aca="false">IF(ISNUMBER($K169),$K169*Parâmetros!$C$7,"")</f>
        <v>21.4741304347826</v>
      </c>
      <c r="O169" s="40" t="n">
        <f aca="false">IF(ISNUMBER($K169),IF(ISNUMBER(Parâmetros!$E$7),Parâmetros!$E$7,0),"")</f>
        <v>0</v>
      </c>
      <c r="P169" s="41" t="n">
        <f aca="false">IF(ISNUMBER($K169),$K169-$D169-IF(ISNUMBER($E169),$E169,0)-$L169-$M169-$N169-$O169,"")</f>
        <v>143.160869565217</v>
      </c>
      <c r="Q169" s="42" t="n">
        <f aca="false">IF(AND(ISNUMBER($K169),$K169&gt;0),$P169/$K169,"")</f>
        <v>0.2</v>
      </c>
      <c r="R169" s="43"/>
      <c r="S169" s="44" t="str">
        <f aca="false">IF(OR(NOT(ISNUMBER($R169)),$R169=0,NOT(ISNUMBER($K169))),"",$K169*(1-$R169))</f>
        <v/>
      </c>
      <c r="T169" s="45" t="str">
        <f aca="false">IF(ISNUMBER($S169),$S169*$H169,"")</f>
        <v/>
      </c>
      <c r="U169" s="45" t="str">
        <f aca="false">IF(ISNUMBER($S169),$S169*Parâmetros!$B$7,"")</f>
        <v/>
      </c>
      <c r="V169" s="45" t="str">
        <f aca="false">IF(ISNUMBER($S169),$S169*Parâmetros!$C$7,"")</f>
        <v/>
      </c>
      <c r="W169" s="44" t="str">
        <f aca="false">IF(ISNUMBER($S169),$S169-$D169-IF(ISNUMBER($E169),$E169,0)-$O169-$T169-$U169-$V169,"")</f>
        <v/>
      </c>
      <c r="X169" s="46" t="str">
        <f aca="false">IF(AND(ISNUMBER($S169),$S169&gt;0),$W169/$S169,"")</f>
        <v/>
      </c>
      <c r="Y169" s="49"/>
      <c r="Z169" s="21"/>
    </row>
    <row r="170" customFormat="false" ht="15.75" hidden="false" customHeight="true" outlineLevel="0" collapsed="false">
      <c r="A170" s="32" t="str">
        <f aca="false">IF(Produtos!$A170="","",Produtos!$A170)</f>
        <v>PG4085</v>
      </c>
      <c r="B170" s="32" t="str">
        <f aca="false">IF(Produtos!$A170="","",Produtos!$B170)</f>
        <v>Porta Guarda-chuvas 40x85 105L</v>
      </c>
      <c r="C170" s="32" t="str">
        <f aca="false">IF(Produtos!$A170="","",Produtos!$C170)</f>
        <v>Porta-guarda-chuvas</v>
      </c>
      <c r="D170" s="33" t="n">
        <f aca="false">IF(Produtos!$A170="","",IF(Produtos!$D170="","",Produtos!$D170))</f>
        <v>331.32</v>
      </c>
      <c r="E170" s="11" t="n">
        <v>0</v>
      </c>
      <c r="F170" s="34" t="n">
        <f aca="false">IF($A170="","",IF($C170="","⚠ categoria",IFERROR(INDEX(Parâmetros!$E$13:$E$22,MATCH($C170,Parâmetros!$A$13:$A$22,0)),"⚠ categoria")))</f>
        <v>0.21</v>
      </c>
      <c r="G170" s="35"/>
      <c r="H170" s="36" t="n">
        <f aca="false">IF($A170="","",IF(ISNUMBER($G170),$G170,IF(ISNUMBER($F170),$F170,"")))</f>
        <v>0.21</v>
      </c>
      <c r="I170" s="37" t="n">
        <f aca="false">IF(OR($A170="",NOT(ISNUMBER($D170)),NOT(ISNUMBER($H170))),"",IF((1-$H170-Parâmetros!$B$7-Parâmetros!$C$7-Parâmetros!$D$7)&lt;=0,"INVALIDO",($D170+IF(ISNUMBER($E170),$E170,0)+IF(ISNUMBER(Parâmetros!$E$7),Parâmetros!$E$7,0))/(1-$H170-Parâmetros!$B$7-Parâmetros!$C$7-Parâmetros!$D$7)))</f>
        <v>720.260869565217</v>
      </c>
      <c r="J170" s="38"/>
      <c r="K170" s="39" t="n">
        <f aca="false">IF(OR($A170="",NOT(ISNUMBER($D170)),NOT(ISNUMBER($H170))),"",IF(AND(ISNUMBER($J170),$J170&gt;0),$J170,IF(ISNUMBER($I170),$I170,"")))</f>
        <v>720.260869565217</v>
      </c>
      <c r="L170" s="40" t="n">
        <f aca="false">IF(ISNUMBER($K170),$K170*$H170,"")</f>
        <v>151.254782608696</v>
      </c>
      <c r="M170" s="40" t="n">
        <f aca="false">IF(ISNUMBER($K170),$K170*Parâmetros!$B$7,"")</f>
        <v>72.0260869565217</v>
      </c>
      <c r="N170" s="40" t="n">
        <f aca="false">IF(ISNUMBER($K170),$K170*Parâmetros!$C$7,"")</f>
        <v>21.6078260869565</v>
      </c>
      <c r="O170" s="40" t="n">
        <f aca="false">IF(ISNUMBER($K170),IF(ISNUMBER(Parâmetros!$E$7),Parâmetros!$E$7,0),"")</f>
        <v>0</v>
      </c>
      <c r="P170" s="41" t="n">
        <f aca="false">IF(ISNUMBER($K170),$K170-$D170-IF(ISNUMBER($E170),$E170,0)-$L170-$M170-$N170-$O170,"")</f>
        <v>144.052173913043</v>
      </c>
      <c r="Q170" s="42" t="n">
        <f aca="false">IF(AND(ISNUMBER($K170),$K170&gt;0),$P170/$K170,"")</f>
        <v>0.2</v>
      </c>
      <c r="R170" s="43"/>
      <c r="S170" s="44" t="str">
        <f aca="false">IF(OR(NOT(ISNUMBER($R170)),$R170=0,NOT(ISNUMBER($K170))),"",$K170*(1-$R170))</f>
        <v/>
      </c>
      <c r="T170" s="45" t="str">
        <f aca="false">IF(ISNUMBER($S170),$S170*$H170,"")</f>
        <v/>
      </c>
      <c r="U170" s="45" t="str">
        <f aca="false">IF(ISNUMBER($S170),$S170*Parâmetros!$B$7,"")</f>
        <v/>
      </c>
      <c r="V170" s="45" t="str">
        <f aca="false">IF(ISNUMBER($S170),$S170*Parâmetros!$C$7,"")</f>
        <v/>
      </c>
      <c r="W170" s="44" t="str">
        <f aca="false">IF(ISNUMBER($S170),$S170-$D170-IF(ISNUMBER($E170),$E170,0)-$O170-$T170-$U170-$V170,"")</f>
        <v/>
      </c>
      <c r="X170" s="46" t="str">
        <f aca="false">IF(AND(ISNUMBER($S170),$S170&gt;0),$W170/$S170,"")</f>
        <v/>
      </c>
      <c r="Y170" s="47"/>
      <c r="Z170" s="19"/>
    </row>
    <row r="171" customFormat="false" ht="15.75" hidden="false" customHeight="true" outlineLevel="0" collapsed="false">
      <c r="A171" s="48" t="str">
        <f aca="false">IF(Produtos!$A171="","",Produtos!$A171)</f>
        <v>PG4090</v>
      </c>
      <c r="B171" s="48" t="str">
        <f aca="false">IF(Produtos!$A171="","",Produtos!$B171)</f>
        <v>Porta Guarda-chuvas 40x90</v>
      </c>
      <c r="C171" s="48" t="str">
        <f aca="false">IF(Produtos!$A171="","",Produtos!$C171)</f>
        <v>Porta-guarda-chuvas</v>
      </c>
      <c r="D171" s="33" t="n">
        <f aca="false">IF(Produtos!$A171="","",IF(Produtos!$D171="","",Produtos!$D171))</f>
        <v>329.27</v>
      </c>
      <c r="E171" s="11" t="n">
        <v>0</v>
      </c>
      <c r="F171" s="34" t="n">
        <f aca="false">IF($A171="","",IF($C171="","⚠ categoria",IFERROR(INDEX(Parâmetros!$E$13:$E$22,MATCH($C171,Parâmetros!$A$13:$A$22,0)),"⚠ categoria")))</f>
        <v>0.21</v>
      </c>
      <c r="G171" s="35"/>
      <c r="H171" s="36" t="n">
        <f aca="false">IF($A171="","",IF(ISNUMBER($G171),$G171,IF(ISNUMBER($F171),$F171,"")))</f>
        <v>0.21</v>
      </c>
      <c r="I171" s="37" t="n">
        <f aca="false">IF(OR($A171="",NOT(ISNUMBER($D171)),NOT(ISNUMBER($H171))),"",IF((1-$H171-Parâmetros!$B$7-Parâmetros!$C$7-Parâmetros!$D$7)&lt;=0,"INVALIDO",($D171+IF(ISNUMBER($E171),$E171,0)+IF(ISNUMBER(Parâmetros!$E$7),Parâmetros!$E$7,0))/(1-$H171-Parâmetros!$B$7-Parâmetros!$C$7-Parâmetros!$D$7)))</f>
        <v>715.804347826087</v>
      </c>
      <c r="J171" s="38"/>
      <c r="K171" s="39" t="n">
        <f aca="false">IF(OR($A171="",NOT(ISNUMBER($D171)),NOT(ISNUMBER($H171))),"",IF(AND(ISNUMBER($J171),$J171&gt;0),$J171,IF(ISNUMBER($I171),$I171,"")))</f>
        <v>715.804347826087</v>
      </c>
      <c r="L171" s="40" t="n">
        <f aca="false">IF(ISNUMBER($K171),$K171*$H171,"")</f>
        <v>150.318913043478</v>
      </c>
      <c r="M171" s="40" t="n">
        <f aca="false">IF(ISNUMBER($K171),$K171*Parâmetros!$B$7,"")</f>
        <v>71.5804347826087</v>
      </c>
      <c r="N171" s="40" t="n">
        <f aca="false">IF(ISNUMBER($K171),$K171*Parâmetros!$C$7,"")</f>
        <v>21.4741304347826</v>
      </c>
      <c r="O171" s="40" t="n">
        <f aca="false">IF(ISNUMBER($K171),IF(ISNUMBER(Parâmetros!$E$7),Parâmetros!$E$7,0),"")</f>
        <v>0</v>
      </c>
      <c r="P171" s="41" t="n">
        <f aca="false">IF(ISNUMBER($K171),$K171-$D171-IF(ISNUMBER($E171),$E171,0)-$L171-$M171-$N171-$O171,"")</f>
        <v>143.160869565217</v>
      </c>
      <c r="Q171" s="42" t="n">
        <f aca="false">IF(AND(ISNUMBER($K171),$K171&gt;0),$P171/$K171,"")</f>
        <v>0.2</v>
      </c>
      <c r="R171" s="43"/>
      <c r="S171" s="44" t="str">
        <f aca="false">IF(OR(NOT(ISNUMBER($R171)),$R171=0,NOT(ISNUMBER($K171))),"",$K171*(1-$R171))</f>
        <v/>
      </c>
      <c r="T171" s="45" t="str">
        <f aca="false">IF(ISNUMBER($S171),$S171*$H171,"")</f>
        <v/>
      </c>
      <c r="U171" s="45" t="str">
        <f aca="false">IF(ISNUMBER($S171),$S171*Parâmetros!$B$7,"")</f>
        <v/>
      </c>
      <c r="V171" s="45" t="str">
        <f aca="false">IF(ISNUMBER($S171),$S171*Parâmetros!$C$7,"")</f>
        <v/>
      </c>
      <c r="W171" s="44" t="str">
        <f aca="false">IF(ISNUMBER($S171),$S171-$D171-IF(ISNUMBER($E171),$E171,0)-$O171-$T171-$U171-$V171,"")</f>
        <v/>
      </c>
      <c r="X171" s="46" t="str">
        <f aca="false">IF(AND(ISNUMBER($S171),$S171&gt;0),$W171/$S171,"")</f>
        <v/>
      </c>
      <c r="Y171" s="49"/>
      <c r="Z171" s="21"/>
    </row>
    <row r="172" customFormat="false" ht="15.75" hidden="false" customHeight="true" outlineLevel="0" collapsed="false">
      <c r="A172" s="32" t="str">
        <f aca="false">IF(Produtos!$A172="","",Produtos!$A172)</f>
        <v>EMB-03</v>
      </c>
      <c r="B172" s="32" t="str">
        <f aca="false">IF(Produtos!$A172="","",Produtos!$B172)</f>
        <v>Lixeira Embutir Pia 3L c/Balde Alumínio</v>
      </c>
      <c r="C172" s="32" t="str">
        <f aca="false">IF(Produtos!$A172="","",Produtos!$C172)</f>
        <v>Lixeiras em inox</v>
      </c>
      <c r="D172" s="33" t="n">
        <f aca="false">IF(Produtos!$A172="","",IF(Produtos!$D172="","",Produtos!$D172))</f>
        <v>97.42</v>
      </c>
      <c r="E172" s="11" t="n">
        <v>0</v>
      </c>
      <c r="F172" s="34" t="n">
        <f aca="false">IF($A172="","",IF($C172="","⚠ categoria",IFERROR(INDEX(Parâmetros!$E$13:$E$22,MATCH($C172,Parâmetros!$A$13:$A$22,0)),"⚠ categoria")))</f>
        <v>0.21</v>
      </c>
      <c r="G172" s="35"/>
      <c r="H172" s="36" t="n">
        <f aca="false">IF($A172="","",IF(ISNUMBER($G172),$G172,IF(ISNUMBER($F172),$F172,"")))</f>
        <v>0.21</v>
      </c>
      <c r="I172" s="37" t="n">
        <f aca="false">IF(OR($A172="",NOT(ISNUMBER($D172)),NOT(ISNUMBER($H172))),"",IF((1-$H172-Parâmetros!$B$7-Parâmetros!$C$7-Parâmetros!$D$7)&lt;=0,"INVALIDO",($D172+IF(ISNUMBER($E172),$E172,0)+IF(ISNUMBER(Parâmetros!$E$7),Parâmetros!$E$7,0))/(1-$H172-Parâmetros!$B$7-Parâmetros!$C$7-Parâmetros!$D$7)))</f>
        <v>211.782608695652</v>
      </c>
      <c r="J172" s="38"/>
      <c r="K172" s="39" t="n">
        <f aca="false">IF(OR($A172="",NOT(ISNUMBER($D172)),NOT(ISNUMBER($H172))),"",IF(AND(ISNUMBER($J172),$J172&gt;0),$J172,IF(ISNUMBER($I172),$I172,"")))</f>
        <v>211.782608695652</v>
      </c>
      <c r="L172" s="40" t="n">
        <f aca="false">IF(ISNUMBER($K172),$K172*$H172,"")</f>
        <v>44.474347826087</v>
      </c>
      <c r="M172" s="40" t="n">
        <f aca="false">IF(ISNUMBER($K172),$K172*Parâmetros!$B$7,"")</f>
        <v>21.1782608695652</v>
      </c>
      <c r="N172" s="40" t="n">
        <f aca="false">IF(ISNUMBER($K172),$K172*Parâmetros!$C$7,"")</f>
        <v>6.35347826086956</v>
      </c>
      <c r="O172" s="40" t="n">
        <f aca="false">IF(ISNUMBER($K172),IF(ISNUMBER(Parâmetros!$E$7),Parâmetros!$E$7,0),"")</f>
        <v>0</v>
      </c>
      <c r="P172" s="41" t="n">
        <f aca="false">IF(ISNUMBER($K172),$K172-$D172-IF(ISNUMBER($E172),$E172,0)-$L172-$M172-$N172-$O172,"")</f>
        <v>42.3565217391304</v>
      </c>
      <c r="Q172" s="42" t="n">
        <f aca="false">IF(AND(ISNUMBER($K172),$K172&gt;0),$P172/$K172,"")</f>
        <v>0.2</v>
      </c>
      <c r="R172" s="43"/>
      <c r="S172" s="44" t="str">
        <f aca="false">IF(OR(NOT(ISNUMBER($R172)),$R172=0,NOT(ISNUMBER($K172))),"",$K172*(1-$R172))</f>
        <v/>
      </c>
      <c r="T172" s="45" t="str">
        <f aca="false">IF(ISNUMBER($S172),$S172*$H172,"")</f>
        <v/>
      </c>
      <c r="U172" s="45" t="str">
        <f aca="false">IF(ISNUMBER($S172),$S172*Parâmetros!$B$7,"")</f>
        <v/>
      </c>
      <c r="V172" s="45" t="str">
        <f aca="false">IF(ISNUMBER($S172),$S172*Parâmetros!$C$7,"")</f>
        <v/>
      </c>
      <c r="W172" s="44" t="str">
        <f aca="false">IF(ISNUMBER($S172),$S172-$D172-IF(ISNUMBER($E172),$E172,0)-$O172-$T172-$U172-$V172,"")</f>
        <v/>
      </c>
      <c r="X172" s="46" t="str">
        <f aca="false">IF(AND(ISNUMBER($S172),$S172&gt;0),$W172/$S172,"")</f>
        <v/>
      </c>
      <c r="Y172" s="47"/>
      <c r="Z172" s="19"/>
    </row>
    <row r="173" customFormat="false" ht="15.75" hidden="false" customHeight="true" outlineLevel="0" collapsed="false">
      <c r="A173" s="48" t="str">
        <f aca="false">IF(Produtos!$A173="","",Produtos!$A173)</f>
        <v>EMB-05</v>
      </c>
      <c r="B173" s="48" t="str">
        <f aca="false">IF(Produtos!$A173="","",Produtos!$B173)</f>
        <v>Lixeira Embutir Pia 5L c/Balde Alumínio</v>
      </c>
      <c r="C173" s="48" t="str">
        <f aca="false">IF(Produtos!$A173="","",Produtos!$C173)</f>
        <v>Lixeiras em inox</v>
      </c>
      <c r="D173" s="33" t="n">
        <f aca="false">IF(Produtos!$A173="","",IF(Produtos!$D173="","",Produtos!$D173))</f>
        <v>134.46</v>
      </c>
      <c r="E173" s="11" t="n">
        <v>0</v>
      </c>
      <c r="F173" s="34" t="n">
        <f aca="false">IF($A173="","",IF($C173="","⚠ categoria",IFERROR(INDEX(Parâmetros!$E$13:$E$22,MATCH($C173,Parâmetros!$A$13:$A$22,0)),"⚠ categoria")))</f>
        <v>0.21</v>
      </c>
      <c r="G173" s="35"/>
      <c r="H173" s="36" t="n">
        <f aca="false">IF($A173="","",IF(ISNUMBER($G173),$G173,IF(ISNUMBER($F173),$F173,"")))</f>
        <v>0.21</v>
      </c>
      <c r="I173" s="37" t="n">
        <f aca="false">IF(OR($A173="",NOT(ISNUMBER($D173)),NOT(ISNUMBER($H173))),"",IF((1-$H173-Parâmetros!$B$7-Parâmetros!$C$7-Parâmetros!$D$7)&lt;=0,"INVALIDO",($D173+IF(ISNUMBER($E173),$E173,0)+IF(ISNUMBER(Parâmetros!$E$7),Parâmetros!$E$7,0))/(1-$H173-Parâmetros!$B$7-Parâmetros!$C$7-Parâmetros!$D$7)))</f>
        <v>292.304347826087</v>
      </c>
      <c r="J173" s="38"/>
      <c r="K173" s="39" t="n">
        <f aca="false">IF(OR($A173="",NOT(ISNUMBER($D173)),NOT(ISNUMBER($H173))),"",IF(AND(ISNUMBER($J173),$J173&gt;0),$J173,IF(ISNUMBER($I173),$I173,"")))</f>
        <v>292.304347826087</v>
      </c>
      <c r="L173" s="40" t="n">
        <f aca="false">IF(ISNUMBER($K173),$K173*$H173,"")</f>
        <v>61.3839130434783</v>
      </c>
      <c r="M173" s="40" t="n">
        <f aca="false">IF(ISNUMBER($K173),$K173*Parâmetros!$B$7,"")</f>
        <v>29.2304347826087</v>
      </c>
      <c r="N173" s="40" t="n">
        <f aca="false">IF(ISNUMBER($K173),$K173*Parâmetros!$C$7,"")</f>
        <v>8.76913043478261</v>
      </c>
      <c r="O173" s="40" t="n">
        <f aca="false">IF(ISNUMBER($K173),IF(ISNUMBER(Parâmetros!$E$7),Parâmetros!$E$7,0),"")</f>
        <v>0</v>
      </c>
      <c r="P173" s="41" t="n">
        <f aca="false">IF(ISNUMBER($K173),$K173-$D173-IF(ISNUMBER($E173),$E173,0)-$L173-$M173-$N173-$O173,"")</f>
        <v>58.4608695652174</v>
      </c>
      <c r="Q173" s="42" t="n">
        <f aca="false">IF(AND(ISNUMBER($K173),$K173&gt;0),$P173/$K173,"")</f>
        <v>0.2</v>
      </c>
      <c r="R173" s="43"/>
      <c r="S173" s="44" t="str">
        <f aca="false">IF(OR(NOT(ISNUMBER($R173)),$R173=0,NOT(ISNUMBER($K173))),"",$K173*(1-$R173))</f>
        <v/>
      </c>
      <c r="T173" s="45" t="str">
        <f aca="false">IF(ISNUMBER($S173),$S173*$H173,"")</f>
        <v/>
      </c>
      <c r="U173" s="45" t="str">
        <f aca="false">IF(ISNUMBER($S173),$S173*Parâmetros!$B$7,"")</f>
        <v/>
      </c>
      <c r="V173" s="45" t="str">
        <f aca="false">IF(ISNUMBER($S173),$S173*Parâmetros!$C$7,"")</f>
        <v/>
      </c>
      <c r="W173" s="44" t="str">
        <f aca="false">IF(ISNUMBER($S173),$S173-$D173-IF(ISNUMBER($E173),$E173,0)-$O173-$T173-$U173-$V173,"")</f>
        <v/>
      </c>
      <c r="X173" s="46" t="str">
        <f aca="false">IF(AND(ISNUMBER($S173),$S173&gt;0),$W173/$S173,"")</f>
        <v/>
      </c>
      <c r="Y173" s="49"/>
      <c r="Z173" s="21"/>
    </row>
    <row r="174" customFormat="false" ht="15.75" hidden="false" customHeight="true" outlineLevel="0" collapsed="false">
      <c r="A174" s="32" t="str">
        <f aca="false">IF(Produtos!$A174="","",Produtos!$A174)</f>
        <v>EMB-08</v>
      </c>
      <c r="B174" s="32" t="str">
        <f aca="false">IF(Produtos!$A174="","",Produtos!$B174)</f>
        <v>Lixeira Embutir Pia 8L c/Balde Alumínio</v>
      </c>
      <c r="C174" s="32" t="str">
        <f aca="false">IF(Produtos!$A174="","",Produtos!$C174)</f>
        <v>Lixeiras em inox</v>
      </c>
      <c r="D174" s="33" t="n">
        <f aca="false">IF(Produtos!$A174="","",IF(Produtos!$D174="","",Produtos!$D174))</f>
        <v>181.23</v>
      </c>
      <c r="E174" s="11" t="n">
        <v>0</v>
      </c>
      <c r="F174" s="34" t="n">
        <f aca="false">IF($A174="","",IF($C174="","⚠ categoria",IFERROR(INDEX(Parâmetros!$E$13:$E$22,MATCH($C174,Parâmetros!$A$13:$A$22,0)),"⚠ categoria")))</f>
        <v>0.21</v>
      </c>
      <c r="G174" s="35"/>
      <c r="H174" s="36" t="n">
        <f aca="false">IF($A174="","",IF(ISNUMBER($G174),$G174,IF(ISNUMBER($F174),$F174,"")))</f>
        <v>0.21</v>
      </c>
      <c r="I174" s="37" t="n">
        <f aca="false">IF(OR($A174="",NOT(ISNUMBER($D174)),NOT(ISNUMBER($H174))),"",IF((1-$H174-Parâmetros!$B$7-Parâmetros!$C$7-Parâmetros!$D$7)&lt;=0,"INVALIDO",($D174+IF(ISNUMBER($E174),$E174,0)+IF(ISNUMBER(Parâmetros!$E$7),Parâmetros!$E$7,0))/(1-$H174-Parâmetros!$B$7-Parâmetros!$C$7-Parâmetros!$D$7)))</f>
        <v>393.978260869565</v>
      </c>
      <c r="J174" s="38"/>
      <c r="K174" s="39" t="n">
        <f aca="false">IF(OR($A174="",NOT(ISNUMBER($D174)),NOT(ISNUMBER($H174))),"",IF(AND(ISNUMBER($J174),$J174&gt;0),$J174,IF(ISNUMBER($I174),$I174,"")))</f>
        <v>393.978260869565</v>
      </c>
      <c r="L174" s="40" t="n">
        <f aca="false">IF(ISNUMBER($K174),$K174*$H174,"")</f>
        <v>82.7354347826087</v>
      </c>
      <c r="M174" s="40" t="n">
        <f aca="false">IF(ISNUMBER($K174),$K174*Parâmetros!$B$7,"")</f>
        <v>39.3978260869565</v>
      </c>
      <c r="N174" s="40" t="n">
        <f aca="false">IF(ISNUMBER($K174),$K174*Parâmetros!$C$7,"")</f>
        <v>11.819347826087</v>
      </c>
      <c r="O174" s="40" t="n">
        <f aca="false">IF(ISNUMBER($K174),IF(ISNUMBER(Parâmetros!$E$7),Parâmetros!$E$7,0),"")</f>
        <v>0</v>
      </c>
      <c r="P174" s="41" t="n">
        <f aca="false">IF(ISNUMBER($K174),$K174-$D174-IF(ISNUMBER($E174),$E174,0)-$L174-$M174-$N174-$O174,"")</f>
        <v>78.7956521739131</v>
      </c>
      <c r="Q174" s="42" t="n">
        <f aca="false">IF(AND(ISNUMBER($K174),$K174&gt;0),$P174/$K174,"")</f>
        <v>0.2</v>
      </c>
      <c r="R174" s="43"/>
      <c r="S174" s="44" t="str">
        <f aca="false">IF(OR(NOT(ISNUMBER($R174)),$R174=0,NOT(ISNUMBER($K174))),"",$K174*(1-$R174))</f>
        <v/>
      </c>
      <c r="T174" s="45" t="str">
        <f aca="false">IF(ISNUMBER($S174),$S174*$H174,"")</f>
        <v/>
      </c>
      <c r="U174" s="45" t="str">
        <f aca="false">IF(ISNUMBER($S174),$S174*Parâmetros!$B$7,"")</f>
        <v/>
      </c>
      <c r="V174" s="45" t="str">
        <f aca="false">IF(ISNUMBER($S174),$S174*Parâmetros!$C$7,"")</f>
        <v/>
      </c>
      <c r="W174" s="44" t="str">
        <f aca="false">IF(ISNUMBER($S174),$S174-$D174-IF(ISNUMBER($E174),$E174,0)-$O174-$T174-$U174-$V174,"")</f>
        <v/>
      </c>
      <c r="X174" s="46" t="str">
        <f aca="false">IF(AND(ISNUMBER($S174),$S174&gt;0),$W174/$S174,"")</f>
        <v/>
      </c>
      <c r="Y174" s="47"/>
      <c r="Z174" s="19"/>
    </row>
    <row r="175" customFormat="false" ht="15.75" hidden="false" customHeight="true" outlineLevel="0" collapsed="false">
      <c r="A175" s="48" t="str">
        <f aca="false">IF(Produtos!$A175="","",Produtos!$A175)</f>
        <v>EMB-03P</v>
      </c>
      <c r="B175" s="48" t="str">
        <f aca="false">IF(Produtos!$A175="","",Produtos!$B175)</f>
        <v>Lixeira Embutir Pia 3L c/Balde Alumínio e Tampa Preta</v>
      </c>
      <c r="C175" s="48" t="str">
        <f aca="false">IF(Produtos!$A175="","",Produtos!$C175)</f>
        <v>Lixeiras em inox</v>
      </c>
      <c r="D175" s="33" t="n">
        <f aca="false">IF(Produtos!$A175="","",IF(Produtos!$D175="","",Produtos!$D175))</f>
        <v>127.42</v>
      </c>
      <c r="E175" s="11" t="n">
        <v>0</v>
      </c>
      <c r="F175" s="34" t="n">
        <f aca="false">IF($A175="","",IF($C175="","⚠ categoria",IFERROR(INDEX(Parâmetros!$E$13:$E$22,MATCH($C175,Parâmetros!$A$13:$A$22,0)),"⚠ categoria")))</f>
        <v>0.21</v>
      </c>
      <c r="G175" s="35"/>
      <c r="H175" s="36" t="n">
        <f aca="false">IF($A175="","",IF(ISNUMBER($G175),$G175,IF(ISNUMBER($F175),$F175,"")))</f>
        <v>0.21</v>
      </c>
      <c r="I175" s="37" t="n">
        <f aca="false">IF(OR($A175="",NOT(ISNUMBER($D175)),NOT(ISNUMBER($H175))),"",IF((1-$H175-Parâmetros!$B$7-Parâmetros!$C$7-Parâmetros!$D$7)&lt;=0,"INVALIDO",($D175+IF(ISNUMBER($E175),$E175,0)+IF(ISNUMBER(Parâmetros!$E$7),Parâmetros!$E$7,0))/(1-$H175-Parâmetros!$B$7-Parâmetros!$C$7-Parâmetros!$D$7)))</f>
        <v>277</v>
      </c>
      <c r="J175" s="38"/>
      <c r="K175" s="39" t="n">
        <f aca="false">IF(OR($A175="",NOT(ISNUMBER($D175)),NOT(ISNUMBER($H175))),"",IF(AND(ISNUMBER($J175),$J175&gt;0),$J175,IF(ISNUMBER($I175),$I175,"")))</f>
        <v>277</v>
      </c>
      <c r="L175" s="40" t="n">
        <f aca="false">IF(ISNUMBER($K175),$K175*$H175,"")</f>
        <v>58.17</v>
      </c>
      <c r="M175" s="40" t="n">
        <f aca="false">IF(ISNUMBER($K175),$K175*Parâmetros!$B$7,"")</f>
        <v>27.7</v>
      </c>
      <c r="N175" s="40" t="n">
        <f aca="false">IF(ISNUMBER($K175),$K175*Parâmetros!$C$7,"")</f>
        <v>8.31</v>
      </c>
      <c r="O175" s="40" t="n">
        <f aca="false">IF(ISNUMBER($K175),IF(ISNUMBER(Parâmetros!$E$7),Parâmetros!$E$7,0),"")</f>
        <v>0</v>
      </c>
      <c r="P175" s="41" t="n">
        <f aca="false">IF(ISNUMBER($K175),$K175-$D175-IF(ISNUMBER($E175),$E175,0)-$L175-$M175-$N175-$O175,"")</f>
        <v>55.4</v>
      </c>
      <c r="Q175" s="42" t="n">
        <f aca="false">IF(AND(ISNUMBER($K175),$K175&gt;0),$P175/$K175,"")</f>
        <v>0.2</v>
      </c>
      <c r="R175" s="43"/>
      <c r="S175" s="44" t="str">
        <f aca="false">IF(OR(NOT(ISNUMBER($R175)),$R175=0,NOT(ISNUMBER($K175))),"",$K175*(1-$R175))</f>
        <v/>
      </c>
      <c r="T175" s="45" t="str">
        <f aca="false">IF(ISNUMBER($S175),$S175*$H175,"")</f>
        <v/>
      </c>
      <c r="U175" s="45" t="str">
        <f aca="false">IF(ISNUMBER($S175),$S175*Parâmetros!$B$7,"")</f>
        <v/>
      </c>
      <c r="V175" s="45" t="str">
        <f aca="false">IF(ISNUMBER($S175),$S175*Parâmetros!$C$7,"")</f>
        <v/>
      </c>
      <c r="W175" s="44" t="str">
        <f aca="false">IF(ISNUMBER($S175),$S175-$D175-IF(ISNUMBER($E175),$E175,0)-$O175-$T175-$U175-$V175,"")</f>
        <v/>
      </c>
      <c r="X175" s="46" t="str">
        <f aca="false">IF(AND(ISNUMBER($S175),$S175&gt;0),$W175/$S175,"")</f>
        <v/>
      </c>
      <c r="Y175" s="49"/>
      <c r="Z175" s="21"/>
    </row>
    <row r="176" customFormat="false" ht="15.75" hidden="false" customHeight="true" outlineLevel="0" collapsed="false">
      <c r="A176" s="32" t="str">
        <f aca="false">IF(Produtos!$A176="","",Produtos!$A176)</f>
        <v>EMB-05P</v>
      </c>
      <c r="B176" s="32" t="str">
        <f aca="false">IF(Produtos!$A176="","",Produtos!$B176)</f>
        <v>Lixeira Embutir Pia 5L c/Balde Alumínio e Tampa Preta</v>
      </c>
      <c r="C176" s="32" t="str">
        <f aca="false">IF(Produtos!$A176="","",Produtos!$C176)</f>
        <v>Lixeiras em inox</v>
      </c>
      <c r="D176" s="33" t="n">
        <f aca="false">IF(Produtos!$A176="","",IF(Produtos!$D176="","",Produtos!$D176))</f>
        <v>154.46</v>
      </c>
      <c r="E176" s="11" t="n">
        <v>0</v>
      </c>
      <c r="F176" s="34" t="n">
        <f aca="false">IF($A176="","",IF($C176="","⚠ categoria",IFERROR(INDEX(Parâmetros!$E$13:$E$22,MATCH($C176,Parâmetros!$A$13:$A$22,0)),"⚠ categoria")))</f>
        <v>0.21</v>
      </c>
      <c r="G176" s="35"/>
      <c r="H176" s="36" t="n">
        <f aca="false">IF($A176="","",IF(ISNUMBER($G176),$G176,IF(ISNUMBER($F176),$F176,"")))</f>
        <v>0.21</v>
      </c>
      <c r="I176" s="37" t="n">
        <f aca="false">IF(OR($A176="",NOT(ISNUMBER($D176)),NOT(ISNUMBER($H176))),"",IF((1-$H176-Parâmetros!$B$7-Parâmetros!$C$7-Parâmetros!$D$7)&lt;=0,"INVALIDO",($D176+IF(ISNUMBER($E176),$E176,0)+IF(ISNUMBER(Parâmetros!$E$7),Parâmetros!$E$7,0))/(1-$H176-Parâmetros!$B$7-Parâmetros!$C$7-Parâmetros!$D$7)))</f>
        <v>335.782608695652</v>
      </c>
      <c r="J176" s="38"/>
      <c r="K176" s="39" t="n">
        <f aca="false">IF(OR($A176="",NOT(ISNUMBER($D176)),NOT(ISNUMBER($H176))),"",IF(AND(ISNUMBER($J176),$J176&gt;0),$J176,IF(ISNUMBER($I176),$I176,"")))</f>
        <v>335.782608695652</v>
      </c>
      <c r="L176" s="40" t="n">
        <f aca="false">IF(ISNUMBER($K176),$K176*$H176,"")</f>
        <v>70.514347826087</v>
      </c>
      <c r="M176" s="40" t="n">
        <f aca="false">IF(ISNUMBER($K176),$K176*Parâmetros!$B$7,"")</f>
        <v>33.5782608695652</v>
      </c>
      <c r="N176" s="40" t="n">
        <f aca="false">IF(ISNUMBER($K176),$K176*Parâmetros!$C$7,"")</f>
        <v>10.0734782608696</v>
      </c>
      <c r="O176" s="40" t="n">
        <f aca="false">IF(ISNUMBER($K176),IF(ISNUMBER(Parâmetros!$E$7),Parâmetros!$E$7,0),"")</f>
        <v>0</v>
      </c>
      <c r="P176" s="41" t="n">
        <f aca="false">IF(ISNUMBER($K176),$K176-$D176-IF(ISNUMBER($E176),$E176,0)-$L176-$M176-$N176-$O176,"")</f>
        <v>67.1565217391304</v>
      </c>
      <c r="Q176" s="42" t="n">
        <f aca="false">IF(AND(ISNUMBER($K176),$K176&gt;0),$P176/$K176,"")</f>
        <v>0.2</v>
      </c>
      <c r="R176" s="43"/>
      <c r="S176" s="44" t="str">
        <f aca="false">IF(OR(NOT(ISNUMBER($R176)),$R176=0,NOT(ISNUMBER($K176))),"",$K176*(1-$R176))</f>
        <v/>
      </c>
      <c r="T176" s="45" t="str">
        <f aca="false">IF(ISNUMBER($S176),$S176*$H176,"")</f>
        <v/>
      </c>
      <c r="U176" s="45" t="str">
        <f aca="false">IF(ISNUMBER($S176),$S176*Parâmetros!$B$7,"")</f>
        <v/>
      </c>
      <c r="V176" s="45" t="str">
        <f aca="false">IF(ISNUMBER($S176),$S176*Parâmetros!$C$7,"")</f>
        <v/>
      </c>
      <c r="W176" s="44" t="str">
        <f aca="false">IF(ISNUMBER($S176),$S176-$D176-IF(ISNUMBER($E176),$E176,0)-$O176-$T176-$U176-$V176,"")</f>
        <v/>
      </c>
      <c r="X176" s="46" t="str">
        <f aca="false">IF(AND(ISNUMBER($S176),$S176&gt;0),$W176/$S176,"")</f>
        <v/>
      </c>
      <c r="Y176" s="47"/>
      <c r="Z176" s="19"/>
    </row>
    <row r="177" customFormat="false" ht="15.75" hidden="false" customHeight="true" outlineLevel="0" collapsed="false">
      <c r="A177" s="48" t="str">
        <f aca="false">IF(Produtos!$A177="","",Produtos!$A177)</f>
        <v>Q2430-A</v>
      </c>
      <c r="B177" s="48" t="str">
        <f aca="false">IF(Produtos!$A177="","",Produtos!$B177)</f>
        <v>Lixeira Quadrada c/Aro 24x30 15L</v>
      </c>
      <c r="C177" s="48" t="str">
        <f aca="false">IF(Produtos!$A177="","",Produtos!$C177)</f>
        <v>Lixeiras em inox</v>
      </c>
      <c r="D177" s="33" t="n">
        <f aca="false">IF(Produtos!$A177="","",IF(Produtos!$D177="","",Produtos!$D177))</f>
        <v>121.07</v>
      </c>
      <c r="E177" s="11" t="n">
        <v>0</v>
      </c>
      <c r="F177" s="34" t="n">
        <f aca="false">IF($A177="","",IF($C177="","⚠ categoria",IFERROR(INDEX(Parâmetros!$E$13:$E$22,MATCH($C177,Parâmetros!$A$13:$A$22,0)),"⚠ categoria")))</f>
        <v>0.21</v>
      </c>
      <c r="G177" s="35"/>
      <c r="H177" s="36" t="n">
        <f aca="false">IF($A177="","",IF(ISNUMBER($G177),$G177,IF(ISNUMBER($F177),$F177,"")))</f>
        <v>0.21</v>
      </c>
      <c r="I177" s="37" t="n">
        <f aca="false">IF(OR($A177="",NOT(ISNUMBER($D177)),NOT(ISNUMBER($H177))),"",IF((1-$H177-Parâmetros!$B$7-Parâmetros!$C$7-Parâmetros!$D$7)&lt;=0,"INVALIDO",($D177+IF(ISNUMBER($E177),$E177,0)+IF(ISNUMBER(Parâmetros!$E$7),Parâmetros!$E$7,0))/(1-$H177-Parâmetros!$B$7-Parâmetros!$C$7-Parâmetros!$D$7)))</f>
        <v>263.195652173913</v>
      </c>
      <c r="J177" s="38"/>
      <c r="K177" s="39" t="n">
        <f aca="false">IF(OR($A177="",NOT(ISNUMBER($D177)),NOT(ISNUMBER($H177))),"",IF(AND(ISNUMBER($J177),$J177&gt;0),$J177,IF(ISNUMBER($I177),$I177,"")))</f>
        <v>263.195652173913</v>
      </c>
      <c r="L177" s="40" t="n">
        <f aca="false">IF(ISNUMBER($K177),$K177*$H177,"")</f>
        <v>55.2710869565217</v>
      </c>
      <c r="M177" s="40" t="n">
        <f aca="false">IF(ISNUMBER($K177),$K177*Parâmetros!$B$7,"")</f>
        <v>26.3195652173913</v>
      </c>
      <c r="N177" s="40" t="n">
        <f aca="false">IF(ISNUMBER($K177),$K177*Parâmetros!$C$7,"")</f>
        <v>7.89586956521739</v>
      </c>
      <c r="O177" s="40" t="n">
        <f aca="false">IF(ISNUMBER($K177),IF(ISNUMBER(Parâmetros!$E$7),Parâmetros!$E$7,0),"")</f>
        <v>0</v>
      </c>
      <c r="P177" s="41" t="n">
        <f aca="false">IF(ISNUMBER($K177),$K177-$D177-IF(ISNUMBER($E177),$E177,0)-$L177-$M177-$N177-$O177,"")</f>
        <v>52.6391304347826</v>
      </c>
      <c r="Q177" s="42" t="n">
        <f aca="false">IF(AND(ISNUMBER($K177),$K177&gt;0),$P177/$K177,"")</f>
        <v>0.2</v>
      </c>
      <c r="R177" s="43"/>
      <c r="S177" s="44" t="str">
        <f aca="false">IF(OR(NOT(ISNUMBER($R177)),$R177=0,NOT(ISNUMBER($K177))),"",$K177*(1-$R177))</f>
        <v/>
      </c>
      <c r="T177" s="45" t="str">
        <f aca="false">IF(ISNUMBER($S177),$S177*$H177,"")</f>
        <v/>
      </c>
      <c r="U177" s="45" t="str">
        <f aca="false">IF(ISNUMBER($S177),$S177*Parâmetros!$B$7,"")</f>
        <v/>
      </c>
      <c r="V177" s="45" t="str">
        <f aca="false">IF(ISNUMBER($S177),$S177*Parâmetros!$C$7,"")</f>
        <v/>
      </c>
      <c r="W177" s="44" t="str">
        <f aca="false">IF(ISNUMBER($S177),$S177-$D177-IF(ISNUMBER($E177),$E177,0)-$O177-$T177-$U177-$V177,"")</f>
        <v/>
      </c>
      <c r="X177" s="46" t="str">
        <f aca="false">IF(AND(ISNUMBER($S177),$S177&gt;0),$W177/$S177,"")</f>
        <v/>
      </c>
      <c r="Y177" s="49"/>
      <c r="Z177" s="21"/>
    </row>
    <row r="178" customFormat="false" ht="15.75" hidden="false" customHeight="true" outlineLevel="0" collapsed="false">
      <c r="A178" s="32" t="str">
        <f aca="false">IF(Produtos!$A178="","",Produtos!$A178)</f>
        <v>Q2460-A</v>
      </c>
      <c r="B178" s="32" t="str">
        <f aca="false">IF(Produtos!$A178="","",Produtos!$B178)</f>
        <v>Lixeira Quadrada c/Aro 24x60 30L</v>
      </c>
      <c r="C178" s="32" t="str">
        <f aca="false">IF(Produtos!$A178="","",Produtos!$C178)</f>
        <v>Lixeiras em inox</v>
      </c>
      <c r="D178" s="33" t="n">
        <f aca="false">IF(Produtos!$A178="","",IF(Produtos!$D178="","",Produtos!$D178))</f>
        <v>183.04</v>
      </c>
      <c r="E178" s="11" t="n">
        <v>0</v>
      </c>
      <c r="F178" s="34" t="n">
        <f aca="false">IF($A178="","",IF($C178="","⚠ categoria",IFERROR(INDEX(Parâmetros!$E$13:$E$22,MATCH($C178,Parâmetros!$A$13:$A$22,0)),"⚠ categoria")))</f>
        <v>0.21</v>
      </c>
      <c r="G178" s="35"/>
      <c r="H178" s="36" t="n">
        <f aca="false">IF($A178="","",IF(ISNUMBER($G178),$G178,IF(ISNUMBER($F178),$F178,"")))</f>
        <v>0.21</v>
      </c>
      <c r="I178" s="37" t="n">
        <f aca="false">IF(OR($A178="",NOT(ISNUMBER($D178)),NOT(ISNUMBER($H178))),"",IF((1-$H178-Parâmetros!$B$7-Parâmetros!$C$7-Parâmetros!$D$7)&lt;=0,"INVALIDO",($D178+IF(ISNUMBER($E178),$E178,0)+IF(ISNUMBER(Parâmetros!$E$7),Parâmetros!$E$7,0))/(1-$H178-Parâmetros!$B$7-Parâmetros!$C$7-Parâmetros!$D$7)))</f>
        <v>397.913043478261</v>
      </c>
      <c r="J178" s="38"/>
      <c r="K178" s="39" t="n">
        <f aca="false">IF(OR($A178="",NOT(ISNUMBER($D178)),NOT(ISNUMBER($H178))),"",IF(AND(ISNUMBER($J178),$J178&gt;0),$J178,IF(ISNUMBER($I178),$I178,"")))</f>
        <v>397.913043478261</v>
      </c>
      <c r="L178" s="40" t="n">
        <f aca="false">IF(ISNUMBER($K178),$K178*$H178,"")</f>
        <v>83.5617391304348</v>
      </c>
      <c r="M178" s="40" t="n">
        <f aca="false">IF(ISNUMBER($K178),$K178*Parâmetros!$B$7,"")</f>
        <v>39.7913043478261</v>
      </c>
      <c r="N178" s="40" t="n">
        <f aca="false">IF(ISNUMBER($K178),$K178*Parâmetros!$C$7,"")</f>
        <v>11.9373913043478</v>
      </c>
      <c r="O178" s="40" t="n">
        <f aca="false">IF(ISNUMBER($K178),IF(ISNUMBER(Parâmetros!$E$7),Parâmetros!$E$7,0),"")</f>
        <v>0</v>
      </c>
      <c r="P178" s="41" t="n">
        <f aca="false">IF(ISNUMBER($K178),$K178-$D178-IF(ISNUMBER($E178),$E178,0)-$L178-$M178-$N178-$O178,"")</f>
        <v>79.5826086956521</v>
      </c>
      <c r="Q178" s="42" t="n">
        <f aca="false">IF(AND(ISNUMBER($K178),$K178&gt;0),$P178/$K178,"")</f>
        <v>0.2</v>
      </c>
      <c r="R178" s="43"/>
      <c r="S178" s="44" t="str">
        <f aca="false">IF(OR(NOT(ISNUMBER($R178)),$R178=0,NOT(ISNUMBER($K178))),"",$K178*(1-$R178))</f>
        <v/>
      </c>
      <c r="T178" s="45" t="str">
        <f aca="false">IF(ISNUMBER($S178),$S178*$H178,"")</f>
        <v/>
      </c>
      <c r="U178" s="45" t="str">
        <f aca="false">IF(ISNUMBER($S178),$S178*Parâmetros!$B$7,"")</f>
        <v/>
      </c>
      <c r="V178" s="45" t="str">
        <f aca="false">IF(ISNUMBER($S178),$S178*Parâmetros!$C$7,"")</f>
        <v/>
      </c>
      <c r="W178" s="44" t="str">
        <f aca="false">IF(ISNUMBER($S178),$S178-$D178-IF(ISNUMBER($E178),$E178,0)-$O178-$T178-$U178-$V178,"")</f>
        <v/>
      </c>
      <c r="X178" s="46" t="str">
        <f aca="false">IF(AND(ISNUMBER($S178),$S178&gt;0),$W178/$S178,"")</f>
        <v/>
      </c>
      <c r="Y178" s="47"/>
      <c r="Z178" s="19"/>
    </row>
    <row r="179" customFormat="false" ht="15.75" hidden="false" customHeight="true" outlineLevel="0" collapsed="false">
      <c r="A179" s="48" t="str">
        <f aca="false">IF(Produtos!$A179="","",Produtos!$A179)</f>
        <v>Q3060-A</v>
      </c>
      <c r="B179" s="48" t="str">
        <f aca="false">IF(Produtos!$A179="","",Produtos!$B179)</f>
        <v>Lixeira Quadrada c/Aro 30x60 50L</v>
      </c>
      <c r="C179" s="48" t="str">
        <f aca="false">IF(Produtos!$A179="","",Produtos!$C179)</f>
        <v>Lixeiras em inox</v>
      </c>
      <c r="D179" s="33" t="n">
        <f aca="false">IF(Produtos!$A179="","",IF(Produtos!$D179="","",Produtos!$D179))</f>
        <v>277.75</v>
      </c>
      <c r="E179" s="11" t="n">
        <v>0</v>
      </c>
      <c r="F179" s="34" t="n">
        <f aca="false">IF($A179="","",IF($C179="","⚠ categoria",IFERROR(INDEX(Parâmetros!$E$13:$E$22,MATCH($C179,Parâmetros!$A$13:$A$22,0)),"⚠ categoria")))</f>
        <v>0.21</v>
      </c>
      <c r="G179" s="35"/>
      <c r="H179" s="36" t="n">
        <f aca="false">IF($A179="","",IF(ISNUMBER($G179),$G179,IF(ISNUMBER($F179),$F179,"")))</f>
        <v>0.21</v>
      </c>
      <c r="I179" s="37" t="n">
        <f aca="false">IF(OR($A179="",NOT(ISNUMBER($D179)),NOT(ISNUMBER($H179))),"",IF((1-$H179-Parâmetros!$B$7-Parâmetros!$C$7-Parâmetros!$D$7)&lt;=0,"INVALIDO",($D179+IF(ISNUMBER($E179),$E179,0)+IF(ISNUMBER(Parâmetros!$E$7),Parâmetros!$E$7,0))/(1-$H179-Parâmetros!$B$7-Parâmetros!$C$7-Parâmetros!$D$7)))</f>
        <v>603.804347826087</v>
      </c>
      <c r="J179" s="38"/>
      <c r="K179" s="39" t="n">
        <f aca="false">IF(OR($A179="",NOT(ISNUMBER($D179)),NOT(ISNUMBER($H179))),"",IF(AND(ISNUMBER($J179),$J179&gt;0),$J179,IF(ISNUMBER($I179),$I179,"")))</f>
        <v>603.804347826087</v>
      </c>
      <c r="L179" s="40" t="n">
        <f aca="false">IF(ISNUMBER($K179),$K179*$H179,"")</f>
        <v>126.798913043478</v>
      </c>
      <c r="M179" s="40" t="n">
        <f aca="false">IF(ISNUMBER($K179),$K179*Parâmetros!$B$7,"")</f>
        <v>60.3804347826087</v>
      </c>
      <c r="N179" s="40" t="n">
        <f aca="false">IF(ISNUMBER($K179),$K179*Parâmetros!$C$7,"")</f>
        <v>18.1141304347826</v>
      </c>
      <c r="O179" s="40" t="n">
        <f aca="false">IF(ISNUMBER($K179),IF(ISNUMBER(Parâmetros!$E$7),Parâmetros!$E$7,0),"")</f>
        <v>0</v>
      </c>
      <c r="P179" s="41" t="n">
        <f aca="false">IF(ISNUMBER($K179),$K179-$D179-IF(ISNUMBER($E179),$E179,0)-$L179-$M179-$N179-$O179,"")</f>
        <v>120.760869565217</v>
      </c>
      <c r="Q179" s="42" t="n">
        <f aca="false">IF(AND(ISNUMBER($K179),$K179&gt;0),$P179/$K179,"")</f>
        <v>0.2</v>
      </c>
      <c r="R179" s="43"/>
      <c r="S179" s="44" t="str">
        <f aca="false">IF(OR(NOT(ISNUMBER($R179)),$R179=0,NOT(ISNUMBER($K179))),"",$K179*(1-$R179))</f>
        <v/>
      </c>
      <c r="T179" s="45" t="str">
        <f aca="false">IF(ISNUMBER($S179),$S179*$H179,"")</f>
        <v/>
      </c>
      <c r="U179" s="45" t="str">
        <f aca="false">IF(ISNUMBER($S179),$S179*Parâmetros!$B$7,"")</f>
        <v/>
      </c>
      <c r="V179" s="45" t="str">
        <f aca="false">IF(ISNUMBER($S179),$S179*Parâmetros!$C$7,"")</f>
        <v/>
      </c>
      <c r="W179" s="44" t="str">
        <f aca="false">IF(ISNUMBER($S179),$S179-$D179-IF(ISNUMBER($E179),$E179,0)-$O179-$T179-$U179-$V179,"")</f>
        <v/>
      </c>
      <c r="X179" s="46" t="str">
        <f aca="false">IF(AND(ISNUMBER($S179),$S179&gt;0),$W179/$S179,"")</f>
        <v/>
      </c>
      <c r="Y179" s="49"/>
      <c r="Z179" s="21"/>
    </row>
    <row r="180" customFormat="false" ht="15.75" hidden="false" customHeight="true" outlineLevel="0" collapsed="false">
      <c r="A180" s="32" t="str">
        <f aca="false">IF(Produtos!$A180="","",Produtos!$A180)</f>
        <v>Q4070-A</v>
      </c>
      <c r="B180" s="32" t="str">
        <f aca="false">IF(Produtos!$A180="","",Produtos!$B180)</f>
        <v>Lixeira Quadrada c/Aro 40x70 100L</v>
      </c>
      <c r="C180" s="32" t="str">
        <f aca="false">IF(Produtos!$A180="","",Produtos!$C180)</f>
        <v>Lixeiras em inox</v>
      </c>
      <c r="D180" s="33" t="n">
        <f aca="false">IF(Produtos!$A180="","",IF(Produtos!$D180="","",Produtos!$D180))</f>
        <v>580.13</v>
      </c>
      <c r="E180" s="11" t="n">
        <v>0</v>
      </c>
      <c r="F180" s="34" t="n">
        <f aca="false">IF($A180="","",IF($C180="","⚠ categoria",IFERROR(INDEX(Parâmetros!$E$13:$E$22,MATCH($C180,Parâmetros!$A$13:$A$22,0)),"⚠ categoria")))</f>
        <v>0.21</v>
      </c>
      <c r="G180" s="35"/>
      <c r="H180" s="36" t="n">
        <f aca="false">IF($A180="","",IF(ISNUMBER($G180),$G180,IF(ISNUMBER($F180),$F180,"")))</f>
        <v>0.21</v>
      </c>
      <c r="I180" s="37" t="n">
        <f aca="false">IF(OR($A180="",NOT(ISNUMBER($D180)),NOT(ISNUMBER($H180))),"",IF((1-$H180-Parâmetros!$B$7-Parâmetros!$C$7-Parâmetros!$D$7)&lt;=0,"INVALIDO",($D180+IF(ISNUMBER($E180),$E180,0)+IF(ISNUMBER(Parâmetros!$E$7),Parâmetros!$E$7,0))/(1-$H180-Parâmetros!$B$7-Parâmetros!$C$7-Parâmetros!$D$7)))</f>
        <v>1261.15217391304</v>
      </c>
      <c r="J180" s="38"/>
      <c r="K180" s="39" t="n">
        <f aca="false">IF(OR($A180="",NOT(ISNUMBER($D180)),NOT(ISNUMBER($H180))),"",IF(AND(ISNUMBER($J180),$J180&gt;0),$J180,IF(ISNUMBER($I180),$I180,"")))</f>
        <v>1261.15217391304</v>
      </c>
      <c r="L180" s="40" t="n">
        <f aca="false">IF(ISNUMBER($K180),$K180*$H180,"")</f>
        <v>264.841956521739</v>
      </c>
      <c r="M180" s="40" t="n">
        <f aca="false">IF(ISNUMBER($K180),$K180*Parâmetros!$B$7,"")</f>
        <v>126.115217391304</v>
      </c>
      <c r="N180" s="40" t="n">
        <f aca="false">IF(ISNUMBER($K180),$K180*Parâmetros!$C$7,"")</f>
        <v>37.8345652173913</v>
      </c>
      <c r="O180" s="40" t="n">
        <f aca="false">IF(ISNUMBER($K180),IF(ISNUMBER(Parâmetros!$E$7),Parâmetros!$E$7,0),"")</f>
        <v>0</v>
      </c>
      <c r="P180" s="41" t="n">
        <f aca="false">IF(ISNUMBER($K180),$K180-$D180-IF(ISNUMBER($E180),$E180,0)-$L180-$M180-$N180-$O180,"")</f>
        <v>252.230434782609</v>
      </c>
      <c r="Q180" s="42" t="n">
        <f aca="false">IF(AND(ISNUMBER($K180),$K180&gt;0),$P180/$K180,"")</f>
        <v>0.2</v>
      </c>
      <c r="R180" s="43"/>
      <c r="S180" s="44" t="str">
        <f aca="false">IF(OR(NOT(ISNUMBER($R180)),$R180=0,NOT(ISNUMBER($K180))),"",$K180*(1-$R180))</f>
        <v/>
      </c>
      <c r="T180" s="45" t="str">
        <f aca="false">IF(ISNUMBER($S180),$S180*$H180,"")</f>
        <v/>
      </c>
      <c r="U180" s="45" t="str">
        <f aca="false">IF(ISNUMBER($S180),$S180*Parâmetros!$B$7,"")</f>
        <v/>
      </c>
      <c r="V180" s="45" t="str">
        <f aca="false">IF(ISNUMBER($S180),$S180*Parâmetros!$C$7,"")</f>
        <v/>
      </c>
      <c r="W180" s="44" t="str">
        <f aca="false">IF(ISNUMBER($S180),$S180-$D180-IF(ISNUMBER($E180),$E180,0)-$O180-$T180-$U180-$V180,"")</f>
        <v/>
      </c>
      <c r="X180" s="46" t="str">
        <f aca="false">IF(AND(ISNUMBER($S180),$S180&gt;0),$W180/$S180,"")</f>
        <v/>
      </c>
      <c r="Y180" s="47"/>
      <c r="Z180" s="19"/>
    </row>
    <row r="181" customFormat="false" ht="15.75" hidden="false" customHeight="true" outlineLevel="0" collapsed="false">
      <c r="A181" s="48" t="str">
        <f aca="false">IF(Produtos!$A181="","",Produtos!$A181)</f>
        <v>Q2430-B</v>
      </c>
      <c r="B181" s="48" t="str">
        <f aca="false">IF(Produtos!$A181="","",Produtos!$B181)</f>
        <v>Lixeira Quadrada c/Aro Basculante 24x30 15L</v>
      </c>
      <c r="C181" s="48" t="str">
        <f aca="false">IF(Produtos!$A181="","",Produtos!$C181)</f>
        <v>Lixeiras em inox</v>
      </c>
      <c r="D181" s="33" t="n">
        <f aca="false">IF(Produtos!$A181="","",IF(Produtos!$D181="","",Produtos!$D181))</f>
        <v>149.88</v>
      </c>
      <c r="E181" s="11" t="n">
        <v>0</v>
      </c>
      <c r="F181" s="34" t="n">
        <f aca="false">IF($A181="","",IF($C181="","⚠ categoria",IFERROR(INDEX(Parâmetros!$E$13:$E$22,MATCH($C181,Parâmetros!$A$13:$A$22,0)),"⚠ categoria")))</f>
        <v>0.21</v>
      </c>
      <c r="G181" s="35"/>
      <c r="H181" s="36" t="n">
        <f aca="false">IF($A181="","",IF(ISNUMBER($G181),$G181,IF(ISNUMBER($F181),$F181,"")))</f>
        <v>0.21</v>
      </c>
      <c r="I181" s="37" t="n">
        <f aca="false">IF(OR($A181="",NOT(ISNUMBER($D181)),NOT(ISNUMBER($H181))),"",IF((1-$H181-Parâmetros!$B$7-Parâmetros!$C$7-Parâmetros!$D$7)&lt;=0,"INVALIDO",($D181+IF(ISNUMBER($E181),$E181,0)+IF(ISNUMBER(Parâmetros!$E$7),Parâmetros!$E$7,0))/(1-$H181-Parâmetros!$B$7-Parâmetros!$C$7-Parâmetros!$D$7)))</f>
        <v>325.826086956522</v>
      </c>
      <c r="J181" s="38"/>
      <c r="K181" s="39" t="n">
        <f aca="false">IF(OR($A181="",NOT(ISNUMBER($D181)),NOT(ISNUMBER($H181))),"",IF(AND(ISNUMBER($J181),$J181&gt;0),$J181,IF(ISNUMBER($I181),$I181,"")))</f>
        <v>325.826086956522</v>
      </c>
      <c r="L181" s="40" t="n">
        <f aca="false">IF(ISNUMBER($K181),$K181*$H181,"")</f>
        <v>68.4234782608696</v>
      </c>
      <c r="M181" s="40" t="n">
        <f aca="false">IF(ISNUMBER($K181),$K181*Parâmetros!$B$7,"")</f>
        <v>32.5826086956522</v>
      </c>
      <c r="N181" s="40" t="n">
        <f aca="false">IF(ISNUMBER($K181),$K181*Parâmetros!$C$7,"")</f>
        <v>9.77478260869565</v>
      </c>
      <c r="O181" s="40" t="n">
        <f aca="false">IF(ISNUMBER($K181),IF(ISNUMBER(Parâmetros!$E$7),Parâmetros!$E$7,0),"")</f>
        <v>0</v>
      </c>
      <c r="P181" s="41" t="n">
        <f aca="false">IF(ISNUMBER($K181),$K181-$D181-IF(ISNUMBER($E181),$E181,0)-$L181-$M181-$N181-$O181,"")</f>
        <v>65.1652173913043</v>
      </c>
      <c r="Q181" s="42" t="n">
        <f aca="false">IF(AND(ISNUMBER($K181),$K181&gt;0),$P181/$K181,"")</f>
        <v>0.2</v>
      </c>
      <c r="R181" s="43"/>
      <c r="S181" s="44" t="str">
        <f aca="false">IF(OR(NOT(ISNUMBER($R181)),$R181=0,NOT(ISNUMBER($K181))),"",$K181*(1-$R181))</f>
        <v/>
      </c>
      <c r="T181" s="45" t="str">
        <f aca="false">IF(ISNUMBER($S181),$S181*$H181,"")</f>
        <v/>
      </c>
      <c r="U181" s="45" t="str">
        <f aca="false">IF(ISNUMBER($S181),$S181*Parâmetros!$B$7,"")</f>
        <v/>
      </c>
      <c r="V181" s="45" t="str">
        <f aca="false">IF(ISNUMBER($S181),$S181*Parâmetros!$C$7,"")</f>
        <v/>
      </c>
      <c r="W181" s="44" t="str">
        <f aca="false">IF(ISNUMBER($S181),$S181-$D181-IF(ISNUMBER($E181),$E181,0)-$O181-$T181-$U181-$V181,"")</f>
        <v/>
      </c>
      <c r="X181" s="46" t="str">
        <f aca="false">IF(AND(ISNUMBER($S181),$S181&gt;0),$W181/$S181,"")</f>
        <v/>
      </c>
      <c r="Y181" s="49"/>
      <c r="Z181" s="21"/>
    </row>
    <row r="182" customFormat="false" ht="15.75" hidden="false" customHeight="true" outlineLevel="0" collapsed="false">
      <c r="A182" s="32" t="str">
        <f aca="false">IF(Produtos!$A182="","",Produtos!$A182)</f>
        <v>Q2460-B</v>
      </c>
      <c r="B182" s="32" t="str">
        <f aca="false">IF(Produtos!$A182="","",Produtos!$B182)</f>
        <v>Lixeira Quadrada c/Aro Basculante 24x60 30L</v>
      </c>
      <c r="C182" s="32" t="str">
        <f aca="false">IF(Produtos!$A182="","",Produtos!$C182)</f>
        <v>Lixeiras em inox</v>
      </c>
      <c r="D182" s="33" t="n">
        <f aca="false">IF(Produtos!$A182="","",IF(Produtos!$D182="","",Produtos!$D182))</f>
        <v>198.38</v>
      </c>
      <c r="E182" s="11" t="n">
        <v>0</v>
      </c>
      <c r="F182" s="34" t="n">
        <f aca="false">IF($A182="","",IF($C182="","⚠ categoria",IFERROR(INDEX(Parâmetros!$E$13:$E$22,MATCH($C182,Parâmetros!$A$13:$A$22,0)),"⚠ categoria")))</f>
        <v>0.21</v>
      </c>
      <c r="G182" s="35"/>
      <c r="H182" s="36" t="n">
        <f aca="false">IF($A182="","",IF(ISNUMBER($G182),$G182,IF(ISNUMBER($F182),$F182,"")))</f>
        <v>0.21</v>
      </c>
      <c r="I182" s="37" t="n">
        <f aca="false">IF(OR($A182="",NOT(ISNUMBER($D182)),NOT(ISNUMBER($H182))),"",IF((1-$H182-Parâmetros!$B$7-Parâmetros!$C$7-Parâmetros!$D$7)&lt;=0,"INVALIDO",($D182+IF(ISNUMBER($E182),$E182,0)+IF(ISNUMBER(Parâmetros!$E$7),Parâmetros!$E$7,0))/(1-$H182-Parâmetros!$B$7-Parâmetros!$C$7-Parâmetros!$D$7)))</f>
        <v>431.260869565217</v>
      </c>
      <c r="J182" s="38"/>
      <c r="K182" s="39" t="n">
        <f aca="false">IF(OR($A182="",NOT(ISNUMBER($D182)),NOT(ISNUMBER($H182))),"",IF(AND(ISNUMBER($J182),$J182&gt;0),$J182,IF(ISNUMBER($I182),$I182,"")))</f>
        <v>431.260869565217</v>
      </c>
      <c r="L182" s="40" t="n">
        <f aca="false">IF(ISNUMBER($K182),$K182*$H182,"")</f>
        <v>90.5647826086957</v>
      </c>
      <c r="M182" s="40" t="n">
        <f aca="false">IF(ISNUMBER($K182),$K182*Parâmetros!$B$7,"")</f>
        <v>43.1260869565217</v>
      </c>
      <c r="N182" s="40" t="n">
        <f aca="false">IF(ISNUMBER($K182),$K182*Parâmetros!$C$7,"")</f>
        <v>12.9378260869565</v>
      </c>
      <c r="O182" s="40" t="n">
        <f aca="false">IF(ISNUMBER($K182),IF(ISNUMBER(Parâmetros!$E$7),Parâmetros!$E$7,0),"")</f>
        <v>0</v>
      </c>
      <c r="P182" s="41" t="n">
        <f aca="false">IF(ISNUMBER($K182),$K182-$D182-IF(ISNUMBER($E182),$E182,0)-$L182-$M182-$N182-$O182,"")</f>
        <v>86.2521739130435</v>
      </c>
      <c r="Q182" s="42" t="n">
        <f aca="false">IF(AND(ISNUMBER($K182),$K182&gt;0),$P182/$K182,"")</f>
        <v>0.2</v>
      </c>
      <c r="R182" s="43"/>
      <c r="S182" s="44" t="str">
        <f aca="false">IF(OR(NOT(ISNUMBER($R182)),$R182=0,NOT(ISNUMBER($K182))),"",$K182*(1-$R182))</f>
        <v/>
      </c>
      <c r="T182" s="45" t="str">
        <f aca="false">IF(ISNUMBER($S182),$S182*$H182,"")</f>
        <v/>
      </c>
      <c r="U182" s="45" t="str">
        <f aca="false">IF(ISNUMBER($S182),$S182*Parâmetros!$B$7,"")</f>
        <v/>
      </c>
      <c r="V182" s="45" t="str">
        <f aca="false">IF(ISNUMBER($S182),$S182*Parâmetros!$C$7,"")</f>
        <v/>
      </c>
      <c r="W182" s="44" t="str">
        <f aca="false">IF(ISNUMBER($S182),$S182-$D182-IF(ISNUMBER($E182),$E182,0)-$O182-$T182-$U182-$V182,"")</f>
        <v/>
      </c>
      <c r="X182" s="46" t="str">
        <f aca="false">IF(AND(ISNUMBER($S182),$S182&gt;0),$W182/$S182,"")</f>
        <v/>
      </c>
      <c r="Y182" s="47"/>
      <c r="Z182" s="19"/>
    </row>
    <row r="183" customFormat="false" ht="15.75" hidden="false" customHeight="true" outlineLevel="0" collapsed="false">
      <c r="A183" s="48" t="str">
        <f aca="false">IF(Produtos!$A183="","",Produtos!$A183)</f>
        <v>Q3060-B</v>
      </c>
      <c r="B183" s="48" t="str">
        <f aca="false">IF(Produtos!$A183="","",Produtos!$B183)</f>
        <v>Lixeira Quadrada c/Aro Basculante 30x60 50L</v>
      </c>
      <c r="C183" s="48" t="str">
        <f aca="false">IF(Produtos!$A183="","",Produtos!$C183)</f>
        <v>Lixeiras em inox</v>
      </c>
      <c r="D183" s="33" t="n">
        <f aca="false">IF(Produtos!$A183="","",IF(Produtos!$D183="","",Produtos!$D183))</f>
        <v>301.03</v>
      </c>
      <c r="E183" s="11" t="n">
        <v>0</v>
      </c>
      <c r="F183" s="34" t="n">
        <f aca="false">IF($A183="","",IF($C183="","⚠ categoria",IFERROR(INDEX(Parâmetros!$E$13:$E$22,MATCH($C183,Parâmetros!$A$13:$A$22,0)),"⚠ categoria")))</f>
        <v>0.21</v>
      </c>
      <c r="G183" s="35"/>
      <c r="H183" s="36" t="n">
        <f aca="false">IF($A183="","",IF(ISNUMBER($G183),$G183,IF(ISNUMBER($F183),$F183,"")))</f>
        <v>0.21</v>
      </c>
      <c r="I183" s="37" t="n">
        <f aca="false">IF(OR($A183="",NOT(ISNUMBER($D183)),NOT(ISNUMBER($H183))),"",IF((1-$H183-Parâmetros!$B$7-Parâmetros!$C$7-Parâmetros!$D$7)&lt;=0,"INVALIDO",($D183+IF(ISNUMBER($E183),$E183,0)+IF(ISNUMBER(Parâmetros!$E$7),Parâmetros!$E$7,0))/(1-$H183-Parâmetros!$B$7-Parâmetros!$C$7-Parâmetros!$D$7)))</f>
        <v>654.413043478261</v>
      </c>
      <c r="J183" s="38"/>
      <c r="K183" s="39" t="n">
        <f aca="false">IF(OR($A183="",NOT(ISNUMBER($D183)),NOT(ISNUMBER($H183))),"",IF(AND(ISNUMBER($J183),$J183&gt;0),$J183,IF(ISNUMBER($I183),$I183,"")))</f>
        <v>654.413043478261</v>
      </c>
      <c r="L183" s="40" t="n">
        <f aca="false">IF(ISNUMBER($K183),$K183*$H183,"")</f>
        <v>137.426739130435</v>
      </c>
      <c r="M183" s="40" t="n">
        <f aca="false">IF(ISNUMBER($K183),$K183*Parâmetros!$B$7,"")</f>
        <v>65.4413043478261</v>
      </c>
      <c r="N183" s="40" t="n">
        <f aca="false">IF(ISNUMBER($K183),$K183*Parâmetros!$C$7,"")</f>
        <v>19.6323913043478</v>
      </c>
      <c r="O183" s="40" t="n">
        <f aca="false">IF(ISNUMBER($K183),IF(ISNUMBER(Parâmetros!$E$7),Parâmetros!$E$7,0),"")</f>
        <v>0</v>
      </c>
      <c r="P183" s="41" t="n">
        <f aca="false">IF(ISNUMBER($K183),$K183-$D183-IF(ISNUMBER($E183),$E183,0)-$L183-$M183-$N183-$O183,"")</f>
        <v>130.882608695652</v>
      </c>
      <c r="Q183" s="42" t="n">
        <f aca="false">IF(AND(ISNUMBER($K183),$K183&gt;0),$P183/$K183,"")</f>
        <v>0.2</v>
      </c>
      <c r="R183" s="43"/>
      <c r="S183" s="44" t="str">
        <f aca="false">IF(OR(NOT(ISNUMBER($R183)),$R183=0,NOT(ISNUMBER($K183))),"",$K183*(1-$R183))</f>
        <v/>
      </c>
      <c r="T183" s="45" t="str">
        <f aca="false">IF(ISNUMBER($S183),$S183*$H183,"")</f>
        <v/>
      </c>
      <c r="U183" s="45" t="str">
        <f aca="false">IF(ISNUMBER($S183),$S183*Parâmetros!$B$7,"")</f>
        <v/>
      </c>
      <c r="V183" s="45" t="str">
        <f aca="false">IF(ISNUMBER($S183),$S183*Parâmetros!$C$7,"")</f>
        <v/>
      </c>
      <c r="W183" s="44" t="str">
        <f aca="false">IF(ISNUMBER($S183),$S183-$D183-IF(ISNUMBER($E183),$E183,0)-$O183-$T183-$U183-$V183,"")</f>
        <v/>
      </c>
      <c r="X183" s="46" t="str">
        <f aca="false">IF(AND(ISNUMBER($S183),$S183&gt;0),$W183/$S183,"")</f>
        <v/>
      </c>
      <c r="Y183" s="49"/>
      <c r="Z183" s="21"/>
    </row>
    <row r="184" customFormat="false" ht="15.75" hidden="false" customHeight="true" outlineLevel="0" collapsed="false">
      <c r="A184" s="32" t="str">
        <f aca="false">IF(Produtos!$A184="","",Produtos!$A184)</f>
        <v>Q4070-B</v>
      </c>
      <c r="B184" s="32" t="str">
        <f aca="false">IF(Produtos!$A184="","",Produtos!$B184)</f>
        <v>Lixeira Quadrada c/Aro Basculante 40x70 100L</v>
      </c>
      <c r="C184" s="32" t="str">
        <f aca="false">IF(Produtos!$A184="","",Produtos!$C184)</f>
        <v>Lixeiras em inox</v>
      </c>
      <c r="D184" s="33" t="n">
        <f aca="false">IF(Produtos!$A184="","",IF(Produtos!$D184="","",Produtos!$D184))</f>
        <v>619.95</v>
      </c>
      <c r="E184" s="11" t="n">
        <v>0</v>
      </c>
      <c r="F184" s="34" t="n">
        <f aca="false">IF($A184="","",IF($C184="","⚠ categoria",IFERROR(INDEX(Parâmetros!$E$13:$E$22,MATCH($C184,Parâmetros!$A$13:$A$22,0)),"⚠ categoria")))</f>
        <v>0.21</v>
      </c>
      <c r="G184" s="35"/>
      <c r="H184" s="36" t="n">
        <f aca="false">IF($A184="","",IF(ISNUMBER($G184),$G184,IF(ISNUMBER($F184),$F184,"")))</f>
        <v>0.21</v>
      </c>
      <c r="I184" s="37" t="n">
        <f aca="false">IF(OR($A184="",NOT(ISNUMBER($D184)),NOT(ISNUMBER($H184))),"",IF((1-$H184-Parâmetros!$B$7-Parâmetros!$C$7-Parâmetros!$D$7)&lt;=0,"INVALIDO",($D184+IF(ISNUMBER($E184),$E184,0)+IF(ISNUMBER(Parâmetros!$E$7),Parâmetros!$E$7,0))/(1-$H184-Parâmetros!$B$7-Parâmetros!$C$7-Parâmetros!$D$7)))</f>
        <v>1347.71739130435</v>
      </c>
      <c r="J184" s="38"/>
      <c r="K184" s="39" t="n">
        <f aca="false">IF(OR($A184="",NOT(ISNUMBER($D184)),NOT(ISNUMBER($H184))),"",IF(AND(ISNUMBER($J184),$J184&gt;0),$J184,IF(ISNUMBER($I184),$I184,"")))</f>
        <v>1347.71739130435</v>
      </c>
      <c r="L184" s="40" t="n">
        <f aca="false">IF(ISNUMBER($K184),$K184*$H184,"")</f>
        <v>283.020652173913</v>
      </c>
      <c r="M184" s="40" t="n">
        <f aca="false">IF(ISNUMBER($K184),$K184*Parâmetros!$B$7,"")</f>
        <v>134.771739130435</v>
      </c>
      <c r="N184" s="40" t="n">
        <f aca="false">IF(ISNUMBER($K184),$K184*Parâmetros!$C$7,"")</f>
        <v>40.4315217391304</v>
      </c>
      <c r="O184" s="40" t="n">
        <f aca="false">IF(ISNUMBER($K184),IF(ISNUMBER(Parâmetros!$E$7),Parâmetros!$E$7,0),"")</f>
        <v>0</v>
      </c>
      <c r="P184" s="41" t="n">
        <f aca="false">IF(ISNUMBER($K184),$K184-$D184-IF(ISNUMBER($E184),$E184,0)-$L184-$M184-$N184-$O184,"")</f>
        <v>269.54347826087</v>
      </c>
      <c r="Q184" s="42" t="n">
        <f aca="false">IF(AND(ISNUMBER($K184),$K184&gt;0),$P184/$K184,"")</f>
        <v>0.2</v>
      </c>
      <c r="R184" s="43"/>
      <c r="S184" s="44" t="str">
        <f aca="false">IF(OR(NOT(ISNUMBER($R184)),$R184=0,NOT(ISNUMBER($K184))),"",$K184*(1-$R184))</f>
        <v/>
      </c>
      <c r="T184" s="45" t="str">
        <f aca="false">IF(ISNUMBER($S184),$S184*$H184,"")</f>
        <v/>
      </c>
      <c r="U184" s="45" t="str">
        <f aca="false">IF(ISNUMBER($S184),$S184*Parâmetros!$B$7,"")</f>
        <v/>
      </c>
      <c r="V184" s="45" t="str">
        <f aca="false">IF(ISNUMBER($S184),$S184*Parâmetros!$C$7,"")</f>
        <v/>
      </c>
      <c r="W184" s="44" t="str">
        <f aca="false">IF(ISNUMBER($S184),$S184-$D184-IF(ISNUMBER($E184),$E184,0)-$O184-$T184-$U184-$V184,"")</f>
        <v/>
      </c>
      <c r="X184" s="46" t="str">
        <f aca="false">IF(AND(ISNUMBER($S184),$S184&gt;0),$W184/$S184,"")</f>
        <v/>
      </c>
      <c r="Y184" s="47"/>
      <c r="Z184" s="19"/>
    </row>
    <row r="185" customFormat="false" ht="15.75" hidden="false" customHeight="true" outlineLevel="0" collapsed="false">
      <c r="A185" s="48" t="str">
        <f aca="false">IF(Produtos!$A185="","",Produtos!$A185)</f>
        <v>PQ-2430</v>
      </c>
      <c r="B185" s="48" t="str">
        <f aca="false">IF(Produtos!$A185="","",Produtos!$B185)</f>
        <v>Lixeira quadrada com Tampa Pedal de Aço inox 24x30 15L</v>
      </c>
      <c r="C185" s="48" t="str">
        <f aca="false">IF(Produtos!$A185="","",Produtos!$C185)</f>
        <v>Lixeiras com pedal</v>
      </c>
      <c r="D185" s="33" t="n">
        <f aca="false">IF(Produtos!$A185="","",IF(Produtos!$D185="","",Produtos!$D185))</f>
        <v>220.94</v>
      </c>
      <c r="E185" s="11" t="n">
        <v>0</v>
      </c>
      <c r="F185" s="34" t="n">
        <f aca="false">IF($A185="","",IF($C185="","⚠ categoria",IFERROR(INDEX(Parâmetros!$E$13:$E$22,MATCH($C185,Parâmetros!$A$13:$A$22,0)),"⚠ categoria")))</f>
        <v>0.21</v>
      </c>
      <c r="G185" s="35"/>
      <c r="H185" s="36" t="n">
        <f aca="false">IF($A185="","",IF(ISNUMBER($G185),$G185,IF(ISNUMBER($F185),$F185,"")))</f>
        <v>0.21</v>
      </c>
      <c r="I185" s="37" t="n">
        <f aca="false">IF(OR($A185="",NOT(ISNUMBER($D185)),NOT(ISNUMBER($H185))),"",IF((1-$H185-Parâmetros!$B$7-Parâmetros!$C$7-Parâmetros!$D$7)&lt;=0,"INVALIDO",($D185+IF(ISNUMBER($E185),$E185,0)+IF(ISNUMBER(Parâmetros!$E$7),Parâmetros!$E$7,0))/(1-$H185-Parâmetros!$B$7-Parâmetros!$C$7-Parâmetros!$D$7)))</f>
        <v>480.304347826087</v>
      </c>
      <c r="J185" s="38"/>
      <c r="K185" s="39" t="n">
        <f aca="false">IF(OR($A185="",NOT(ISNUMBER($D185)),NOT(ISNUMBER($H185))),"",IF(AND(ISNUMBER($J185),$J185&gt;0),$J185,IF(ISNUMBER($I185),$I185,"")))</f>
        <v>480.304347826087</v>
      </c>
      <c r="L185" s="40" t="n">
        <f aca="false">IF(ISNUMBER($K185),$K185*$H185,"")</f>
        <v>100.863913043478</v>
      </c>
      <c r="M185" s="40" t="n">
        <f aca="false">IF(ISNUMBER($K185),$K185*Parâmetros!$B$7,"")</f>
        <v>48.0304347826087</v>
      </c>
      <c r="N185" s="40" t="n">
        <f aca="false">IF(ISNUMBER($K185),$K185*Parâmetros!$C$7,"")</f>
        <v>14.4091304347826</v>
      </c>
      <c r="O185" s="40" t="n">
        <f aca="false">IF(ISNUMBER($K185),IF(ISNUMBER(Parâmetros!$E$7),Parâmetros!$E$7,0),"")</f>
        <v>0</v>
      </c>
      <c r="P185" s="41" t="n">
        <f aca="false">IF(ISNUMBER($K185),$K185-$D185-IF(ISNUMBER($E185),$E185,0)-$L185-$M185-$N185-$O185,"")</f>
        <v>96.0608695652174</v>
      </c>
      <c r="Q185" s="42" t="n">
        <f aca="false">IF(AND(ISNUMBER($K185),$K185&gt;0),$P185/$K185,"")</f>
        <v>0.2</v>
      </c>
      <c r="R185" s="43"/>
      <c r="S185" s="44" t="str">
        <f aca="false">IF(OR(NOT(ISNUMBER($R185)),$R185=0,NOT(ISNUMBER($K185))),"",$K185*(1-$R185))</f>
        <v/>
      </c>
      <c r="T185" s="45" t="str">
        <f aca="false">IF(ISNUMBER($S185),$S185*$H185,"")</f>
        <v/>
      </c>
      <c r="U185" s="45" t="str">
        <f aca="false">IF(ISNUMBER($S185),$S185*Parâmetros!$B$7,"")</f>
        <v/>
      </c>
      <c r="V185" s="45" t="str">
        <f aca="false">IF(ISNUMBER($S185),$S185*Parâmetros!$C$7,"")</f>
        <v/>
      </c>
      <c r="W185" s="44" t="str">
        <f aca="false">IF(ISNUMBER($S185),$S185-$D185-IF(ISNUMBER($E185),$E185,0)-$O185-$T185-$U185-$V185,"")</f>
        <v/>
      </c>
      <c r="X185" s="46" t="str">
        <f aca="false">IF(AND(ISNUMBER($S185),$S185&gt;0),$W185/$S185,"")</f>
        <v/>
      </c>
      <c r="Y185" s="49"/>
      <c r="Z185" s="21"/>
    </row>
    <row r="186" customFormat="false" ht="15.75" hidden="false" customHeight="true" outlineLevel="0" collapsed="false">
      <c r="A186" s="32" t="str">
        <f aca="false">IF(Produtos!$A186="","",Produtos!$A186)</f>
        <v>PQ-2460</v>
      </c>
      <c r="B186" s="32" t="str">
        <f aca="false">IF(Produtos!$A186="","",Produtos!$B186)</f>
        <v>Lixeira quadrada com Tampa Pedal de Aço inox 24x60 30L</v>
      </c>
      <c r="C186" s="32" t="str">
        <f aca="false">IF(Produtos!$A186="","",Produtos!$C186)</f>
        <v>Lixeiras com pedal</v>
      </c>
      <c r="D186" s="33" t="n">
        <f aca="false">IF(Produtos!$A186="","",IF(Produtos!$D186="","",Produtos!$D186))</f>
        <v>303.74</v>
      </c>
      <c r="E186" s="11" t="n">
        <v>0</v>
      </c>
      <c r="F186" s="34" t="n">
        <f aca="false">IF($A186="","",IF($C186="","⚠ categoria",IFERROR(INDEX(Parâmetros!$E$13:$E$22,MATCH($C186,Parâmetros!$A$13:$A$22,0)),"⚠ categoria")))</f>
        <v>0.21</v>
      </c>
      <c r="G186" s="35"/>
      <c r="H186" s="36" t="n">
        <f aca="false">IF($A186="","",IF(ISNUMBER($G186),$G186,IF(ISNUMBER($F186),$F186,"")))</f>
        <v>0.21</v>
      </c>
      <c r="I186" s="37" t="n">
        <f aca="false">IF(OR($A186="",NOT(ISNUMBER($D186)),NOT(ISNUMBER($H186))),"",IF((1-$H186-Parâmetros!$B$7-Parâmetros!$C$7-Parâmetros!$D$7)&lt;=0,"INVALIDO",($D186+IF(ISNUMBER($E186),$E186,0)+IF(ISNUMBER(Parâmetros!$E$7),Parâmetros!$E$7,0))/(1-$H186-Parâmetros!$B$7-Parâmetros!$C$7-Parâmetros!$D$7)))</f>
        <v>660.304347826087</v>
      </c>
      <c r="J186" s="38"/>
      <c r="K186" s="39" t="n">
        <f aca="false">IF(OR($A186="",NOT(ISNUMBER($D186)),NOT(ISNUMBER($H186))),"",IF(AND(ISNUMBER($J186),$J186&gt;0),$J186,IF(ISNUMBER($I186),$I186,"")))</f>
        <v>660.304347826087</v>
      </c>
      <c r="L186" s="40" t="n">
        <f aca="false">IF(ISNUMBER($K186),$K186*$H186,"")</f>
        <v>138.663913043478</v>
      </c>
      <c r="M186" s="40" t="n">
        <f aca="false">IF(ISNUMBER($K186),$K186*Parâmetros!$B$7,"")</f>
        <v>66.0304347826087</v>
      </c>
      <c r="N186" s="40" t="n">
        <f aca="false">IF(ISNUMBER($K186),$K186*Parâmetros!$C$7,"")</f>
        <v>19.8091304347826</v>
      </c>
      <c r="O186" s="40" t="n">
        <f aca="false">IF(ISNUMBER($K186),IF(ISNUMBER(Parâmetros!$E$7),Parâmetros!$E$7,0),"")</f>
        <v>0</v>
      </c>
      <c r="P186" s="41" t="n">
        <f aca="false">IF(ISNUMBER($K186),$K186-$D186-IF(ISNUMBER($E186),$E186,0)-$L186-$M186-$N186-$O186,"")</f>
        <v>132.060869565217</v>
      </c>
      <c r="Q186" s="42" t="n">
        <f aca="false">IF(AND(ISNUMBER($K186),$K186&gt;0),$P186/$K186,"")</f>
        <v>0.2</v>
      </c>
      <c r="R186" s="43"/>
      <c r="S186" s="44" t="str">
        <f aca="false">IF(OR(NOT(ISNUMBER($R186)),$R186=0,NOT(ISNUMBER($K186))),"",$K186*(1-$R186))</f>
        <v/>
      </c>
      <c r="T186" s="45" t="str">
        <f aca="false">IF(ISNUMBER($S186),$S186*$H186,"")</f>
        <v/>
      </c>
      <c r="U186" s="45" t="str">
        <f aca="false">IF(ISNUMBER($S186),$S186*Parâmetros!$B$7,"")</f>
        <v/>
      </c>
      <c r="V186" s="45" t="str">
        <f aca="false">IF(ISNUMBER($S186),$S186*Parâmetros!$C$7,"")</f>
        <v/>
      </c>
      <c r="W186" s="44" t="str">
        <f aca="false">IF(ISNUMBER($S186),$S186-$D186-IF(ISNUMBER($E186),$E186,0)-$O186-$T186-$U186-$V186,"")</f>
        <v/>
      </c>
      <c r="X186" s="46" t="str">
        <f aca="false">IF(AND(ISNUMBER($S186),$S186&gt;0),$W186/$S186,"")</f>
        <v/>
      </c>
      <c r="Y186" s="47"/>
      <c r="Z186" s="19"/>
    </row>
    <row r="187" customFormat="false" ht="15.75" hidden="false" customHeight="true" outlineLevel="0" collapsed="false">
      <c r="A187" s="48" t="str">
        <f aca="false">IF(Produtos!$A187="","",Produtos!$A187)</f>
        <v>PQ-3060</v>
      </c>
      <c r="B187" s="48" t="str">
        <f aca="false">IF(Produtos!$A187="","",Produtos!$B187)</f>
        <v>Lixeira quadrada com Tampa Pedal de Aço inox 30x60 50L</v>
      </c>
      <c r="C187" s="48" t="str">
        <f aca="false">IF(Produtos!$A187="","",Produtos!$C187)</f>
        <v>Lixeiras com pedal</v>
      </c>
      <c r="D187" s="33" t="n">
        <f aca="false">IF(Produtos!$A187="","",IF(Produtos!$D187="","",Produtos!$D187))</f>
        <v>408.87</v>
      </c>
      <c r="E187" s="11" t="n">
        <v>0</v>
      </c>
      <c r="F187" s="34" t="n">
        <f aca="false">IF($A187="","",IF($C187="","⚠ categoria",IFERROR(INDEX(Parâmetros!$E$13:$E$22,MATCH($C187,Parâmetros!$A$13:$A$22,0)),"⚠ categoria")))</f>
        <v>0.21</v>
      </c>
      <c r="G187" s="35"/>
      <c r="H187" s="36" t="n">
        <f aca="false">IF($A187="","",IF(ISNUMBER($G187),$G187,IF(ISNUMBER($F187),$F187,"")))</f>
        <v>0.21</v>
      </c>
      <c r="I187" s="37" t="n">
        <f aca="false">IF(OR($A187="",NOT(ISNUMBER($D187)),NOT(ISNUMBER($H187))),"",IF((1-$H187-Parâmetros!$B$7-Parâmetros!$C$7-Parâmetros!$D$7)&lt;=0,"INVALIDO",($D187+IF(ISNUMBER($E187),$E187,0)+IF(ISNUMBER(Parâmetros!$E$7),Parâmetros!$E$7,0))/(1-$H187-Parâmetros!$B$7-Parâmetros!$C$7-Parâmetros!$D$7)))</f>
        <v>888.847826086957</v>
      </c>
      <c r="J187" s="38"/>
      <c r="K187" s="39" t="n">
        <f aca="false">IF(OR($A187="",NOT(ISNUMBER($D187)),NOT(ISNUMBER($H187))),"",IF(AND(ISNUMBER($J187),$J187&gt;0),$J187,IF(ISNUMBER($I187),$I187,"")))</f>
        <v>888.847826086957</v>
      </c>
      <c r="L187" s="40" t="n">
        <f aca="false">IF(ISNUMBER($K187),$K187*$H187,"")</f>
        <v>186.658043478261</v>
      </c>
      <c r="M187" s="40" t="n">
        <f aca="false">IF(ISNUMBER($K187),$K187*Parâmetros!$B$7,"")</f>
        <v>88.8847826086957</v>
      </c>
      <c r="N187" s="40" t="n">
        <f aca="false">IF(ISNUMBER($K187),$K187*Parâmetros!$C$7,"")</f>
        <v>26.6654347826087</v>
      </c>
      <c r="O187" s="40" t="n">
        <f aca="false">IF(ISNUMBER($K187),IF(ISNUMBER(Parâmetros!$E$7),Parâmetros!$E$7,0),"")</f>
        <v>0</v>
      </c>
      <c r="P187" s="41" t="n">
        <f aca="false">IF(ISNUMBER($K187),$K187-$D187-IF(ISNUMBER($E187),$E187,0)-$L187-$M187-$N187-$O187,"")</f>
        <v>177.769565217391</v>
      </c>
      <c r="Q187" s="42" t="n">
        <f aca="false">IF(AND(ISNUMBER($K187),$K187&gt;0),$P187/$K187,"")</f>
        <v>0.2</v>
      </c>
      <c r="R187" s="43"/>
      <c r="S187" s="44" t="str">
        <f aca="false">IF(OR(NOT(ISNUMBER($R187)),$R187=0,NOT(ISNUMBER($K187))),"",$K187*(1-$R187))</f>
        <v/>
      </c>
      <c r="T187" s="45" t="str">
        <f aca="false">IF(ISNUMBER($S187),$S187*$H187,"")</f>
        <v/>
      </c>
      <c r="U187" s="45" t="str">
        <f aca="false">IF(ISNUMBER($S187),$S187*Parâmetros!$B$7,"")</f>
        <v/>
      </c>
      <c r="V187" s="45" t="str">
        <f aca="false">IF(ISNUMBER($S187),$S187*Parâmetros!$C$7,"")</f>
        <v/>
      </c>
      <c r="W187" s="44" t="str">
        <f aca="false">IF(ISNUMBER($S187),$S187-$D187-IF(ISNUMBER($E187),$E187,0)-$O187-$T187-$U187-$V187,"")</f>
        <v/>
      </c>
      <c r="X187" s="46" t="str">
        <f aca="false">IF(AND(ISNUMBER($S187),$S187&gt;0),$W187/$S187,"")</f>
        <v/>
      </c>
      <c r="Y187" s="49"/>
      <c r="Z187" s="21"/>
    </row>
    <row r="188" customFormat="false" ht="15.75" hidden="false" customHeight="true" outlineLevel="0" collapsed="false">
      <c r="A188" s="32" t="str">
        <f aca="false">IF(Produtos!$A188="","",Produtos!$A188)</f>
        <v>PQ-4070</v>
      </c>
      <c r="B188" s="32" t="str">
        <f aca="false">IF(Produtos!$A188="","",Produtos!$B188)</f>
        <v>Lixeira quadrada com Tampa Pedal de Aço inox 40x70 100L</v>
      </c>
      <c r="C188" s="32" t="str">
        <f aca="false">IF(Produtos!$A188="","",Produtos!$C188)</f>
        <v>Lixeiras com pedal</v>
      </c>
      <c r="D188" s="33" t="n">
        <f aca="false">IF(Produtos!$A188="","",IF(Produtos!$D188="","",Produtos!$D188))</f>
        <v>905.26</v>
      </c>
      <c r="E188" s="11" t="n">
        <v>0</v>
      </c>
      <c r="F188" s="34" t="n">
        <f aca="false">IF($A188="","",IF($C188="","⚠ categoria",IFERROR(INDEX(Parâmetros!$E$13:$E$22,MATCH($C188,Parâmetros!$A$13:$A$22,0)),"⚠ categoria")))</f>
        <v>0.21</v>
      </c>
      <c r="G188" s="35"/>
      <c r="H188" s="36" t="n">
        <f aca="false">IF($A188="","",IF(ISNUMBER($G188),$G188,IF(ISNUMBER($F188),$F188,"")))</f>
        <v>0.21</v>
      </c>
      <c r="I188" s="37" t="n">
        <f aca="false">IF(OR($A188="",NOT(ISNUMBER($D188)),NOT(ISNUMBER($H188))),"",IF((1-$H188-Parâmetros!$B$7-Parâmetros!$C$7-Parâmetros!$D$7)&lt;=0,"INVALIDO",($D188+IF(ISNUMBER($E188),$E188,0)+IF(ISNUMBER(Parâmetros!$E$7),Parâmetros!$E$7,0))/(1-$H188-Parâmetros!$B$7-Parâmetros!$C$7-Parâmetros!$D$7)))</f>
        <v>1967.95652173913</v>
      </c>
      <c r="J188" s="38"/>
      <c r="K188" s="39" t="n">
        <f aca="false">IF(OR($A188="",NOT(ISNUMBER($D188)),NOT(ISNUMBER($H188))),"",IF(AND(ISNUMBER($J188),$J188&gt;0),$J188,IF(ISNUMBER($I188),$I188,"")))</f>
        <v>1967.95652173913</v>
      </c>
      <c r="L188" s="40" t="n">
        <f aca="false">IF(ISNUMBER($K188),$K188*$H188,"")</f>
        <v>413.270869565217</v>
      </c>
      <c r="M188" s="40" t="n">
        <f aca="false">IF(ISNUMBER($K188),$K188*Parâmetros!$B$7,"")</f>
        <v>196.795652173913</v>
      </c>
      <c r="N188" s="40" t="n">
        <f aca="false">IF(ISNUMBER($K188),$K188*Parâmetros!$C$7,"")</f>
        <v>59.0386956521739</v>
      </c>
      <c r="O188" s="40" t="n">
        <f aca="false">IF(ISNUMBER($K188),IF(ISNUMBER(Parâmetros!$E$7),Parâmetros!$E$7,0),"")</f>
        <v>0</v>
      </c>
      <c r="P188" s="41" t="n">
        <f aca="false">IF(ISNUMBER($K188),$K188-$D188-IF(ISNUMBER($E188),$E188,0)-$L188-$M188-$N188-$O188,"")</f>
        <v>393.591304347826</v>
      </c>
      <c r="Q188" s="42" t="n">
        <f aca="false">IF(AND(ISNUMBER($K188),$K188&gt;0),$P188/$K188,"")</f>
        <v>0.2</v>
      </c>
      <c r="R188" s="43"/>
      <c r="S188" s="44" t="str">
        <f aca="false">IF(OR(NOT(ISNUMBER($R188)),$R188=0,NOT(ISNUMBER($K188))),"",$K188*(1-$R188))</f>
        <v/>
      </c>
      <c r="T188" s="45" t="str">
        <f aca="false">IF(ISNUMBER($S188),$S188*$H188,"")</f>
        <v/>
      </c>
      <c r="U188" s="45" t="str">
        <f aca="false">IF(ISNUMBER($S188),$S188*Parâmetros!$B$7,"")</f>
        <v/>
      </c>
      <c r="V188" s="45" t="str">
        <f aca="false">IF(ISNUMBER($S188),$S188*Parâmetros!$C$7,"")</f>
        <v/>
      </c>
      <c r="W188" s="44" t="str">
        <f aca="false">IF(ISNUMBER($S188),$S188-$D188-IF(ISNUMBER($E188),$E188,0)-$O188-$T188-$U188-$V188,"")</f>
        <v/>
      </c>
      <c r="X188" s="46" t="str">
        <f aca="false">IF(AND(ISNUMBER($S188),$S188&gt;0),$W188/$S188,"")</f>
        <v/>
      </c>
      <c r="Y188" s="47"/>
      <c r="Z188" s="19"/>
    </row>
    <row r="189" customFormat="false" ht="15.75" hidden="false" customHeight="true" outlineLevel="0" collapsed="false">
      <c r="A189" s="48" t="str">
        <f aca="false">IF(Produtos!$A189="","",Produtos!$A189)</f>
        <v>PQ-4090</v>
      </c>
      <c r="B189" s="48" t="str">
        <f aca="false">IF(Produtos!$A189="","",Produtos!$B189)</f>
        <v>Lixeira quadrada com Tampa Pedal de Aço inox 40x90 120L</v>
      </c>
      <c r="C189" s="48" t="str">
        <f aca="false">IF(Produtos!$A189="","",Produtos!$C189)</f>
        <v>Lixeiras com pedal</v>
      </c>
      <c r="D189" s="33" t="n">
        <f aca="false">IF(Produtos!$A189="","",IF(Produtos!$D189="","",Produtos!$D189))</f>
        <v>956.96</v>
      </c>
      <c r="E189" s="11" t="n">
        <v>0</v>
      </c>
      <c r="F189" s="34" t="n">
        <f aca="false">IF($A189="","",IF($C189="","⚠ categoria",IFERROR(INDEX(Parâmetros!$E$13:$E$22,MATCH($C189,Parâmetros!$A$13:$A$22,0)),"⚠ categoria")))</f>
        <v>0.21</v>
      </c>
      <c r="G189" s="35"/>
      <c r="H189" s="36" t="n">
        <f aca="false">IF($A189="","",IF(ISNUMBER($G189),$G189,IF(ISNUMBER($F189),$F189,"")))</f>
        <v>0.21</v>
      </c>
      <c r="I189" s="37" t="n">
        <f aca="false">IF(OR($A189="",NOT(ISNUMBER($D189)),NOT(ISNUMBER($H189))),"",IF((1-$H189-Parâmetros!$B$7-Parâmetros!$C$7-Parâmetros!$D$7)&lt;=0,"INVALIDO",($D189+IF(ISNUMBER($E189),$E189,0)+IF(ISNUMBER(Parâmetros!$E$7),Parâmetros!$E$7,0))/(1-$H189-Parâmetros!$B$7-Parâmetros!$C$7-Parâmetros!$D$7)))</f>
        <v>2080.34782608696</v>
      </c>
      <c r="J189" s="38"/>
      <c r="K189" s="39" t="n">
        <f aca="false">IF(OR($A189="",NOT(ISNUMBER($D189)),NOT(ISNUMBER($H189))),"",IF(AND(ISNUMBER($J189),$J189&gt;0),$J189,IF(ISNUMBER($I189),$I189,"")))</f>
        <v>2080.34782608696</v>
      </c>
      <c r="L189" s="40" t="n">
        <f aca="false">IF(ISNUMBER($K189),$K189*$H189,"")</f>
        <v>436.873043478261</v>
      </c>
      <c r="M189" s="40" t="n">
        <f aca="false">IF(ISNUMBER($K189),$K189*Parâmetros!$B$7,"")</f>
        <v>208.034782608696</v>
      </c>
      <c r="N189" s="40" t="n">
        <f aca="false">IF(ISNUMBER($K189),$K189*Parâmetros!$C$7,"")</f>
        <v>62.4104347826087</v>
      </c>
      <c r="O189" s="40" t="n">
        <f aca="false">IF(ISNUMBER($K189),IF(ISNUMBER(Parâmetros!$E$7),Parâmetros!$E$7,0),"")</f>
        <v>0</v>
      </c>
      <c r="P189" s="41" t="n">
        <f aca="false">IF(ISNUMBER($K189),$K189-$D189-IF(ISNUMBER($E189),$E189,0)-$L189-$M189-$N189-$O189,"")</f>
        <v>416.069565217391</v>
      </c>
      <c r="Q189" s="42" t="n">
        <f aca="false">IF(AND(ISNUMBER($K189),$K189&gt;0),$P189/$K189,"")</f>
        <v>0.2</v>
      </c>
      <c r="R189" s="43"/>
      <c r="S189" s="44" t="str">
        <f aca="false">IF(OR(NOT(ISNUMBER($R189)),$R189=0,NOT(ISNUMBER($K189))),"",$K189*(1-$R189))</f>
        <v/>
      </c>
      <c r="T189" s="45" t="str">
        <f aca="false">IF(ISNUMBER($S189),$S189*$H189,"")</f>
        <v/>
      </c>
      <c r="U189" s="45" t="str">
        <f aca="false">IF(ISNUMBER($S189),$S189*Parâmetros!$B$7,"")</f>
        <v/>
      </c>
      <c r="V189" s="45" t="str">
        <f aca="false">IF(ISNUMBER($S189),$S189*Parâmetros!$C$7,"")</f>
        <v/>
      </c>
      <c r="W189" s="44" t="str">
        <f aca="false">IF(ISNUMBER($S189),$S189-$D189-IF(ISNUMBER($E189),$E189,0)-$O189-$T189-$U189-$V189,"")</f>
        <v/>
      </c>
      <c r="X189" s="46" t="str">
        <f aca="false">IF(AND(ISNUMBER($S189),$S189&gt;0),$W189/$S189,"")</f>
        <v/>
      </c>
      <c r="Y189" s="49"/>
      <c r="Z189" s="21"/>
    </row>
    <row r="190" customFormat="false" ht="15.75" hidden="false" customHeight="true" outlineLevel="0" collapsed="false">
      <c r="A190" s="32" t="str">
        <f aca="false">IF(Produtos!$A190="","",Produtos!$A190)</f>
        <v>PQ-5080</v>
      </c>
      <c r="B190" s="32" t="str">
        <f aca="false">IF(Produtos!$A190="","",Produtos!$B190)</f>
        <v>Lixeira quadrada com Tampa Pedal de Aço inox 50x80 150L</v>
      </c>
      <c r="C190" s="32" t="str">
        <f aca="false">IF(Produtos!$A190="","",Produtos!$C190)</f>
        <v>Lixeiras com pedal</v>
      </c>
      <c r="D190" s="33" t="n">
        <f aca="false">IF(Produtos!$A190="","",IF(Produtos!$D190="","",Produtos!$D190))</f>
        <v>1393</v>
      </c>
      <c r="E190" s="11" t="n">
        <v>0</v>
      </c>
      <c r="F190" s="34" t="n">
        <f aca="false">IF($A190="","",IF($C190="","⚠ categoria",IFERROR(INDEX(Parâmetros!$E$13:$E$22,MATCH($C190,Parâmetros!$A$13:$A$22,0)),"⚠ categoria")))</f>
        <v>0.21</v>
      </c>
      <c r="G190" s="35"/>
      <c r="H190" s="36" t="n">
        <f aca="false">IF($A190="","",IF(ISNUMBER($G190),$G190,IF(ISNUMBER($F190),$F190,"")))</f>
        <v>0.21</v>
      </c>
      <c r="I190" s="37" t="n">
        <f aca="false">IF(OR($A190="",NOT(ISNUMBER($D190)),NOT(ISNUMBER($H190))),"",IF((1-$H190-Parâmetros!$B$7-Parâmetros!$C$7-Parâmetros!$D$7)&lt;=0,"INVALIDO",($D190+IF(ISNUMBER($E190),$E190,0)+IF(ISNUMBER(Parâmetros!$E$7),Parâmetros!$E$7,0))/(1-$H190-Parâmetros!$B$7-Parâmetros!$C$7-Parâmetros!$D$7)))</f>
        <v>3028.26086956522</v>
      </c>
      <c r="J190" s="38"/>
      <c r="K190" s="39" t="n">
        <f aca="false">IF(OR($A190="",NOT(ISNUMBER($D190)),NOT(ISNUMBER($H190))),"",IF(AND(ISNUMBER($J190),$J190&gt;0),$J190,IF(ISNUMBER($I190),$I190,"")))</f>
        <v>3028.26086956522</v>
      </c>
      <c r="L190" s="40" t="n">
        <f aca="false">IF(ISNUMBER($K190),$K190*$H190,"")</f>
        <v>635.934782608696</v>
      </c>
      <c r="M190" s="40" t="n">
        <f aca="false">IF(ISNUMBER($K190),$K190*Parâmetros!$B$7,"")</f>
        <v>302.826086956522</v>
      </c>
      <c r="N190" s="40" t="n">
        <f aca="false">IF(ISNUMBER($K190),$K190*Parâmetros!$C$7,"")</f>
        <v>90.8478260869565</v>
      </c>
      <c r="O190" s="40" t="n">
        <f aca="false">IF(ISNUMBER($K190),IF(ISNUMBER(Parâmetros!$E$7),Parâmetros!$E$7,0),"")</f>
        <v>0</v>
      </c>
      <c r="P190" s="41" t="n">
        <f aca="false">IF(ISNUMBER($K190),$K190-$D190-IF(ISNUMBER($E190),$E190,0)-$L190-$M190-$N190-$O190,"")</f>
        <v>605.652173913043</v>
      </c>
      <c r="Q190" s="42" t="n">
        <f aca="false">IF(AND(ISNUMBER($K190),$K190&gt;0),$P190/$K190,"")</f>
        <v>0.2</v>
      </c>
      <c r="R190" s="43"/>
      <c r="S190" s="44" t="str">
        <f aca="false">IF(OR(NOT(ISNUMBER($R190)),$R190=0,NOT(ISNUMBER($K190))),"",$K190*(1-$R190))</f>
        <v/>
      </c>
      <c r="T190" s="45" t="str">
        <f aca="false">IF(ISNUMBER($S190),$S190*$H190,"")</f>
        <v/>
      </c>
      <c r="U190" s="45" t="str">
        <f aca="false">IF(ISNUMBER($S190),$S190*Parâmetros!$B$7,"")</f>
        <v/>
      </c>
      <c r="V190" s="45" t="str">
        <f aca="false">IF(ISNUMBER($S190),$S190*Parâmetros!$C$7,"")</f>
        <v/>
      </c>
      <c r="W190" s="44" t="str">
        <f aca="false">IF(ISNUMBER($S190),$S190-$D190-IF(ISNUMBER($E190),$E190,0)-$O190-$T190-$U190-$V190,"")</f>
        <v/>
      </c>
      <c r="X190" s="46" t="str">
        <f aca="false">IF(AND(ISNUMBER($S190),$S190&gt;0),$W190/$S190,"")</f>
        <v/>
      </c>
      <c r="Y190" s="47"/>
      <c r="Z190" s="19"/>
    </row>
    <row r="191" customFormat="false" ht="15.75" hidden="false" customHeight="true" outlineLevel="0" collapsed="false">
      <c r="A191" s="48" t="str">
        <f aca="false">IF(Produtos!$A191="","",Produtos!$A191)</f>
        <v>Q2430-AC</v>
      </c>
      <c r="B191" s="48" t="str">
        <f aca="false">IF(Produtos!$A191="","",Produtos!$B191)</f>
        <v>Lixeira Quadrada 24x30 15L c/Aro Colorido</v>
      </c>
      <c r="C191" s="48" t="str">
        <f aca="false">IF(Produtos!$A191="","",Produtos!$C191)</f>
        <v>Lixeiras em inox</v>
      </c>
      <c r="D191" s="33" t="n">
        <f aca="false">IF(Produtos!$A191="","",IF(Produtos!$D191="","",Produtos!$D191))</f>
        <v>143.24</v>
      </c>
      <c r="E191" s="11" t="n">
        <v>0</v>
      </c>
      <c r="F191" s="34" t="n">
        <f aca="false">IF($A191="","",IF($C191="","⚠ categoria",IFERROR(INDEX(Parâmetros!$E$13:$E$22,MATCH($C191,Parâmetros!$A$13:$A$22,0)),"⚠ categoria")))</f>
        <v>0.21</v>
      </c>
      <c r="G191" s="35"/>
      <c r="H191" s="36" t="n">
        <f aca="false">IF($A191="","",IF(ISNUMBER($G191),$G191,IF(ISNUMBER($F191),$F191,"")))</f>
        <v>0.21</v>
      </c>
      <c r="I191" s="37" t="n">
        <f aca="false">IF(OR($A191="",NOT(ISNUMBER($D191)),NOT(ISNUMBER($H191))),"",IF((1-$H191-Parâmetros!$B$7-Parâmetros!$C$7-Parâmetros!$D$7)&lt;=0,"INVALIDO",($D191+IF(ISNUMBER($E191),$E191,0)+IF(ISNUMBER(Parâmetros!$E$7),Parâmetros!$E$7,0))/(1-$H191-Parâmetros!$B$7-Parâmetros!$C$7-Parâmetros!$D$7)))</f>
        <v>311.391304347826</v>
      </c>
      <c r="J191" s="38"/>
      <c r="K191" s="39" t="n">
        <f aca="false">IF(OR($A191="",NOT(ISNUMBER($D191)),NOT(ISNUMBER($H191))),"",IF(AND(ISNUMBER($J191),$J191&gt;0),$J191,IF(ISNUMBER($I191),$I191,"")))</f>
        <v>311.391304347826</v>
      </c>
      <c r="L191" s="40" t="n">
        <f aca="false">IF(ISNUMBER($K191),$K191*$H191,"")</f>
        <v>65.3921739130435</v>
      </c>
      <c r="M191" s="40" t="n">
        <f aca="false">IF(ISNUMBER($K191),$K191*Parâmetros!$B$7,"")</f>
        <v>31.1391304347826</v>
      </c>
      <c r="N191" s="40" t="n">
        <f aca="false">IF(ISNUMBER($K191),$K191*Parâmetros!$C$7,"")</f>
        <v>9.34173913043478</v>
      </c>
      <c r="O191" s="40" t="n">
        <f aca="false">IF(ISNUMBER($K191),IF(ISNUMBER(Parâmetros!$E$7),Parâmetros!$E$7,0),"")</f>
        <v>0</v>
      </c>
      <c r="P191" s="41" t="n">
        <f aca="false">IF(ISNUMBER($K191),$K191-$D191-IF(ISNUMBER($E191),$E191,0)-$L191-$M191-$N191-$O191,"")</f>
        <v>62.2782608695652</v>
      </c>
      <c r="Q191" s="42" t="n">
        <f aca="false">IF(AND(ISNUMBER($K191),$K191&gt;0),$P191/$K191,"")</f>
        <v>0.2</v>
      </c>
      <c r="R191" s="43"/>
      <c r="S191" s="44" t="str">
        <f aca="false">IF(OR(NOT(ISNUMBER($R191)),$R191=0,NOT(ISNUMBER($K191))),"",$K191*(1-$R191))</f>
        <v/>
      </c>
      <c r="T191" s="45" t="str">
        <f aca="false">IF(ISNUMBER($S191),$S191*$H191,"")</f>
        <v/>
      </c>
      <c r="U191" s="45" t="str">
        <f aca="false">IF(ISNUMBER($S191),$S191*Parâmetros!$B$7,"")</f>
        <v/>
      </c>
      <c r="V191" s="45" t="str">
        <f aca="false">IF(ISNUMBER($S191),$S191*Parâmetros!$C$7,"")</f>
        <v/>
      </c>
      <c r="W191" s="44" t="str">
        <f aca="false">IF(ISNUMBER($S191),$S191-$D191-IF(ISNUMBER($E191),$E191,0)-$O191-$T191-$U191-$V191,"")</f>
        <v/>
      </c>
      <c r="X191" s="46" t="str">
        <f aca="false">IF(AND(ISNUMBER($S191),$S191&gt;0),$W191/$S191,"")</f>
        <v/>
      </c>
      <c r="Y191" s="49"/>
      <c r="Z191" s="21"/>
    </row>
    <row r="192" customFormat="false" ht="15.75" hidden="false" customHeight="true" outlineLevel="0" collapsed="false">
      <c r="A192" s="32" t="str">
        <f aca="false">IF(Produtos!$A192="","",Produtos!$A192)</f>
        <v>Q2460-AC</v>
      </c>
      <c r="B192" s="32" t="str">
        <f aca="false">IF(Produtos!$A192="","",Produtos!$B192)</f>
        <v>Lixeira Quadrada 24x60 30L c/Aro Colorido</v>
      </c>
      <c r="C192" s="32" t="str">
        <f aca="false">IF(Produtos!$A192="","",Produtos!$C192)</f>
        <v>Lixeiras em inox</v>
      </c>
      <c r="D192" s="33" t="n">
        <f aca="false">IF(Produtos!$A192="","",IF(Produtos!$D192="","",Produtos!$D192))</f>
        <v>215.68</v>
      </c>
      <c r="E192" s="11" t="n">
        <v>0</v>
      </c>
      <c r="F192" s="34" t="n">
        <f aca="false">IF($A192="","",IF($C192="","⚠ categoria",IFERROR(INDEX(Parâmetros!$E$13:$E$22,MATCH($C192,Parâmetros!$A$13:$A$22,0)),"⚠ categoria")))</f>
        <v>0.21</v>
      </c>
      <c r="G192" s="35"/>
      <c r="H192" s="36" t="n">
        <f aca="false">IF($A192="","",IF(ISNUMBER($G192),$G192,IF(ISNUMBER($F192),$F192,"")))</f>
        <v>0.21</v>
      </c>
      <c r="I192" s="37" t="n">
        <f aca="false">IF(OR($A192="",NOT(ISNUMBER($D192)),NOT(ISNUMBER($H192))),"",IF((1-$H192-Parâmetros!$B$7-Parâmetros!$C$7-Parâmetros!$D$7)&lt;=0,"INVALIDO",($D192+IF(ISNUMBER($E192),$E192,0)+IF(ISNUMBER(Parâmetros!$E$7),Parâmetros!$E$7,0))/(1-$H192-Parâmetros!$B$7-Parâmetros!$C$7-Parâmetros!$D$7)))</f>
        <v>468.869565217391</v>
      </c>
      <c r="J192" s="38"/>
      <c r="K192" s="39" t="n">
        <f aca="false">IF(OR($A192="",NOT(ISNUMBER($D192)),NOT(ISNUMBER($H192))),"",IF(AND(ISNUMBER($J192),$J192&gt;0),$J192,IF(ISNUMBER($I192),$I192,"")))</f>
        <v>468.869565217391</v>
      </c>
      <c r="L192" s="40" t="n">
        <f aca="false">IF(ISNUMBER($K192),$K192*$H192,"")</f>
        <v>98.4626086956522</v>
      </c>
      <c r="M192" s="40" t="n">
        <f aca="false">IF(ISNUMBER($K192),$K192*Parâmetros!$B$7,"")</f>
        <v>46.8869565217391</v>
      </c>
      <c r="N192" s="40" t="n">
        <f aca="false">IF(ISNUMBER($K192),$K192*Parâmetros!$C$7,"")</f>
        <v>14.0660869565217</v>
      </c>
      <c r="O192" s="40" t="n">
        <f aca="false">IF(ISNUMBER($K192),IF(ISNUMBER(Parâmetros!$E$7),Parâmetros!$E$7,0),"")</f>
        <v>0</v>
      </c>
      <c r="P192" s="41" t="n">
        <f aca="false">IF(ISNUMBER($K192),$K192-$D192-IF(ISNUMBER($E192),$E192,0)-$L192-$M192-$N192-$O192,"")</f>
        <v>93.7739130434782</v>
      </c>
      <c r="Q192" s="42" t="n">
        <f aca="false">IF(AND(ISNUMBER($K192),$K192&gt;0),$P192/$K192,"")</f>
        <v>0.2</v>
      </c>
      <c r="R192" s="43"/>
      <c r="S192" s="44" t="str">
        <f aca="false">IF(OR(NOT(ISNUMBER($R192)),$R192=0,NOT(ISNUMBER($K192))),"",$K192*(1-$R192))</f>
        <v/>
      </c>
      <c r="T192" s="45" t="str">
        <f aca="false">IF(ISNUMBER($S192),$S192*$H192,"")</f>
        <v/>
      </c>
      <c r="U192" s="45" t="str">
        <f aca="false">IF(ISNUMBER($S192),$S192*Parâmetros!$B$7,"")</f>
        <v/>
      </c>
      <c r="V192" s="45" t="str">
        <f aca="false">IF(ISNUMBER($S192),$S192*Parâmetros!$C$7,"")</f>
        <v/>
      </c>
      <c r="W192" s="44" t="str">
        <f aca="false">IF(ISNUMBER($S192),$S192-$D192-IF(ISNUMBER($E192),$E192,0)-$O192-$T192-$U192-$V192,"")</f>
        <v/>
      </c>
      <c r="X192" s="46" t="str">
        <f aca="false">IF(AND(ISNUMBER($S192),$S192&gt;0),$W192/$S192,"")</f>
        <v/>
      </c>
      <c r="Y192" s="47"/>
      <c r="Z192" s="19"/>
    </row>
    <row r="193" customFormat="false" ht="15.75" hidden="false" customHeight="true" outlineLevel="0" collapsed="false">
      <c r="A193" s="48" t="str">
        <f aca="false">IF(Produtos!$A193="","",Produtos!$A193)</f>
        <v>Q3060-AC</v>
      </c>
      <c r="B193" s="48" t="str">
        <f aca="false">IF(Produtos!$A193="","",Produtos!$B193)</f>
        <v>Lixeira Quadrada 30x60 50L c/Aro Colorido</v>
      </c>
      <c r="C193" s="48" t="str">
        <f aca="false">IF(Produtos!$A193="","",Produtos!$C193)</f>
        <v>Lixeiras em inox</v>
      </c>
      <c r="D193" s="33" t="n">
        <f aca="false">IF(Produtos!$A193="","",IF(Produtos!$D193="","",Produtos!$D193))</f>
        <v>317.1</v>
      </c>
      <c r="E193" s="11" t="n">
        <v>0</v>
      </c>
      <c r="F193" s="34" t="n">
        <f aca="false">IF($A193="","",IF($C193="","⚠ categoria",IFERROR(INDEX(Parâmetros!$E$13:$E$22,MATCH($C193,Parâmetros!$A$13:$A$22,0)),"⚠ categoria")))</f>
        <v>0.21</v>
      </c>
      <c r="G193" s="35"/>
      <c r="H193" s="36" t="n">
        <f aca="false">IF($A193="","",IF(ISNUMBER($G193),$G193,IF(ISNUMBER($F193),$F193,"")))</f>
        <v>0.21</v>
      </c>
      <c r="I193" s="37" t="n">
        <f aca="false">IF(OR($A193="",NOT(ISNUMBER($D193)),NOT(ISNUMBER($H193))),"",IF((1-$H193-Parâmetros!$B$7-Parâmetros!$C$7-Parâmetros!$D$7)&lt;=0,"INVALIDO",($D193+IF(ISNUMBER($E193),$E193,0)+IF(ISNUMBER(Parâmetros!$E$7),Parâmetros!$E$7,0))/(1-$H193-Parâmetros!$B$7-Parâmetros!$C$7-Parâmetros!$D$7)))</f>
        <v>689.347826086957</v>
      </c>
      <c r="J193" s="38"/>
      <c r="K193" s="39" t="n">
        <f aca="false">IF(OR($A193="",NOT(ISNUMBER($D193)),NOT(ISNUMBER($H193))),"",IF(AND(ISNUMBER($J193),$J193&gt;0),$J193,IF(ISNUMBER($I193),$I193,"")))</f>
        <v>689.347826086957</v>
      </c>
      <c r="L193" s="40" t="n">
        <f aca="false">IF(ISNUMBER($K193),$K193*$H193,"")</f>
        <v>144.763043478261</v>
      </c>
      <c r="M193" s="40" t="n">
        <f aca="false">IF(ISNUMBER($K193),$K193*Parâmetros!$B$7,"")</f>
        <v>68.9347826086957</v>
      </c>
      <c r="N193" s="40" t="n">
        <f aca="false">IF(ISNUMBER($K193),$K193*Parâmetros!$C$7,"")</f>
        <v>20.6804347826087</v>
      </c>
      <c r="O193" s="40" t="n">
        <f aca="false">IF(ISNUMBER($K193),IF(ISNUMBER(Parâmetros!$E$7),Parâmetros!$E$7,0),"")</f>
        <v>0</v>
      </c>
      <c r="P193" s="41" t="n">
        <f aca="false">IF(ISNUMBER($K193),$K193-$D193-IF(ISNUMBER($E193),$E193,0)-$L193-$M193-$N193-$O193,"")</f>
        <v>137.869565217391</v>
      </c>
      <c r="Q193" s="42" t="n">
        <f aca="false">IF(AND(ISNUMBER($K193),$K193&gt;0),$P193/$K193,"")</f>
        <v>0.2</v>
      </c>
      <c r="R193" s="43"/>
      <c r="S193" s="44" t="str">
        <f aca="false">IF(OR(NOT(ISNUMBER($R193)),$R193=0,NOT(ISNUMBER($K193))),"",$K193*(1-$R193))</f>
        <v/>
      </c>
      <c r="T193" s="45" t="str">
        <f aca="false">IF(ISNUMBER($S193),$S193*$H193,"")</f>
        <v/>
      </c>
      <c r="U193" s="45" t="str">
        <f aca="false">IF(ISNUMBER($S193),$S193*Parâmetros!$B$7,"")</f>
        <v/>
      </c>
      <c r="V193" s="45" t="str">
        <f aca="false">IF(ISNUMBER($S193),$S193*Parâmetros!$C$7,"")</f>
        <v/>
      </c>
      <c r="W193" s="44" t="str">
        <f aca="false">IF(ISNUMBER($S193),$S193-$D193-IF(ISNUMBER($E193),$E193,0)-$O193-$T193-$U193-$V193,"")</f>
        <v/>
      </c>
      <c r="X193" s="46" t="str">
        <f aca="false">IF(AND(ISNUMBER($S193),$S193&gt;0),$W193/$S193,"")</f>
        <v/>
      </c>
      <c r="Y193" s="49"/>
      <c r="Z193" s="21"/>
    </row>
    <row r="194" customFormat="false" ht="15.75" hidden="false" customHeight="true" outlineLevel="0" collapsed="false">
      <c r="A194" s="32" t="str">
        <f aca="false">IF(Produtos!$A194="","",Produtos!$A194)</f>
        <v>Q4070-AC</v>
      </c>
      <c r="B194" s="32" t="str">
        <f aca="false">IF(Produtos!$A194="","",Produtos!$B194)</f>
        <v>Lixeira Quadrada 40x70 100L c/Aro Colorido</v>
      </c>
      <c r="C194" s="32" t="str">
        <f aca="false">IF(Produtos!$A194="","",Produtos!$C194)</f>
        <v>Lixeiras em inox</v>
      </c>
      <c r="D194" s="33" t="n">
        <f aca="false">IF(Produtos!$A194="","",IF(Produtos!$D194="","",Produtos!$D194))</f>
        <v>651.12</v>
      </c>
      <c r="E194" s="11" t="n">
        <v>0</v>
      </c>
      <c r="F194" s="34" t="n">
        <f aca="false">IF($A194="","",IF($C194="","⚠ categoria",IFERROR(INDEX(Parâmetros!$E$13:$E$22,MATCH($C194,Parâmetros!$A$13:$A$22,0)),"⚠ categoria")))</f>
        <v>0.21</v>
      </c>
      <c r="G194" s="35"/>
      <c r="H194" s="36" t="n">
        <f aca="false">IF($A194="","",IF(ISNUMBER($G194),$G194,IF(ISNUMBER($F194),$F194,"")))</f>
        <v>0.21</v>
      </c>
      <c r="I194" s="37" t="n">
        <f aca="false">IF(OR($A194="",NOT(ISNUMBER($D194)),NOT(ISNUMBER($H194))),"",IF((1-$H194-Parâmetros!$B$7-Parâmetros!$C$7-Parâmetros!$D$7)&lt;=0,"INVALIDO",($D194+IF(ISNUMBER($E194),$E194,0)+IF(ISNUMBER(Parâmetros!$E$7),Parâmetros!$E$7,0))/(1-$H194-Parâmetros!$B$7-Parâmetros!$C$7-Parâmetros!$D$7)))</f>
        <v>1415.47826086957</v>
      </c>
      <c r="J194" s="38"/>
      <c r="K194" s="39" t="n">
        <f aca="false">IF(OR($A194="",NOT(ISNUMBER($D194)),NOT(ISNUMBER($H194))),"",IF(AND(ISNUMBER($J194),$J194&gt;0),$J194,IF(ISNUMBER($I194),$I194,"")))</f>
        <v>1415.47826086957</v>
      </c>
      <c r="L194" s="40" t="n">
        <f aca="false">IF(ISNUMBER($K194),$K194*$H194,"")</f>
        <v>297.250434782609</v>
      </c>
      <c r="M194" s="40" t="n">
        <f aca="false">IF(ISNUMBER($K194),$K194*Parâmetros!$B$7,"")</f>
        <v>141.547826086957</v>
      </c>
      <c r="N194" s="40" t="n">
        <f aca="false">IF(ISNUMBER($K194),$K194*Parâmetros!$C$7,"")</f>
        <v>42.464347826087</v>
      </c>
      <c r="O194" s="40" t="n">
        <f aca="false">IF(ISNUMBER($K194),IF(ISNUMBER(Parâmetros!$E$7),Parâmetros!$E$7,0),"")</f>
        <v>0</v>
      </c>
      <c r="P194" s="41" t="n">
        <f aca="false">IF(ISNUMBER($K194),$K194-$D194-IF(ISNUMBER($E194),$E194,0)-$L194-$M194-$N194-$O194,"")</f>
        <v>283.095652173913</v>
      </c>
      <c r="Q194" s="42" t="n">
        <f aca="false">IF(AND(ISNUMBER($K194),$K194&gt;0),$P194/$K194,"")</f>
        <v>0.2</v>
      </c>
      <c r="R194" s="43"/>
      <c r="S194" s="44" t="str">
        <f aca="false">IF(OR(NOT(ISNUMBER($R194)),$R194=0,NOT(ISNUMBER($K194))),"",$K194*(1-$R194))</f>
        <v/>
      </c>
      <c r="T194" s="45" t="str">
        <f aca="false">IF(ISNUMBER($S194),$S194*$H194,"")</f>
        <v/>
      </c>
      <c r="U194" s="45" t="str">
        <f aca="false">IF(ISNUMBER($S194),$S194*Parâmetros!$B$7,"")</f>
        <v/>
      </c>
      <c r="V194" s="45" t="str">
        <f aca="false">IF(ISNUMBER($S194),$S194*Parâmetros!$C$7,"")</f>
        <v/>
      </c>
      <c r="W194" s="44" t="str">
        <f aca="false">IF(ISNUMBER($S194),$S194-$D194-IF(ISNUMBER($E194),$E194,0)-$O194-$T194-$U194-$V194,"")</f>
        <v/>
      </c>
      <c r="X194" s="46" t="str">
        <f aca="false">IF(AND(ISNUMBER($S194),$S194&gt;0),$W194/$S194,"")</f>
        <v/>
      </c>
      <c r="Y194" s="47"/>
      <c r="Z194" s="19"/>
    </row>
    <row r="195" customFormat="false" ht="15.75" hidden="false" customHeight="true" outlineLevel="0" collapsed="false">
      <c r="A195" s="48" t="str">
        <f aca="false">IF(Produtos!$A195="","",Produtos!$A195)</f>
        <v>Q2430-BC</v>
      </c>
      <c r="B195" s="48" t="str">
        <f aca="false">IF(Produtos!$A195="","",Produtos!$B195)</f>
        <v>Lixeira Quadrada 24x30 15L c/Aro Basculante Colorido</v>
      </c>
      <c r="C195" s="48" t="str">
        <f aca="false">IF(Produtos!$A195="","",Produtos!$C195)</f>
        <v>Lixeiras em inox</v>
      </c>
      <c r="D195" s="33" t="n">
        <f aca="false">IF(Produtos!$A195="","",IF(Produtos!$D195="","",Produtos!$D195))</f>
        <v>173.65</v>
      </c>
      <c r="E195" s="11" t="n">
        <v>0</v>
      </c>
      <c r="F195" s="34" t="n">
        <f aca="false">IF($A195="","",IF($C195="","⚠ categoria",IFERROR(INDEX(Parâmetros!$E$13:$E$22,MATCH($C195,Parâmetros!$A$13:$A$22,0)),"⚠ categoria")))</f>
        <v>0.21</v>
      </c>
      <c r="G195" s="35"/>
      <c r="H195" s="36" t="n">
        <f aca="false">IF($A195="","",IF(ISNUMBER($G195),$G195,IF(ISNUMBER($F195),$F195,"")))</f>
        <v>0.21</v>
      </c>
      <c r="I195" s="37" t="n">
        <f aca="false">IF(OR($A195="",NOT(ISNUMBER($D195)),NOT(ISNUMBER($H195))),"",IF((1-$H195-Parâmetros!$B$7-Parâmetros!$C$7-Parâmetros!$D$7)&lt;=0,"INVALIDO",($D195+IF(ISNUMBER($E195),$E195,0)+IF(ISNUMBER(Parâmetros!$E$7),Parâmetros!$E$7,0))/(1-$H195-Parâmetros!$B$7-Parâmetros!$C$7-Parâmetros!$D$7)))</f>
        <v>377.5</v>
      </c>
      <c r="J195" s="38"/>
      <c r="K195" s="39" t="n">
        <f aca="false">IF(OR($A195="",NOT(ISNUMBER($D195)),NOT(ISNUMBER($H195))),"",IF(AND(ISNUMBER($J195),$J195&gt;0),$J195,IF(ISNUMBER($I195),$I195,"")))</f>
        <v>377.5</v>
      </c>
      <c r="L195" s="40" t="n">
        <f aca="false">IF(ISNUMBER($K195),$K195*$H195,"")</f>
        <v>79.275</v>
      </c>
      <c r="M195" s="40" t="n">
        <f aca="false">IF(ISNUMBER($K195),$K195*Parâmetros!$B$7,"")</f>
        <v>37.75</v>
      </c>
      <c r="N195" s="40" t="n">
        <f aca="false">IF(ISNUMBER($K195),$K195*Parâmetros!$C$7,"")</f>
        <v>11.325</v>
      </c>
      <c r="O195" s="40" t="n">
        <f aca="false">IF(ISNUMBER($K195),IF(ISNUMBER(Parâmetros!$E$7),Parâmetros!$E$7,0),"")</f>
        <v>0</v>
      </c>
      <c r="P195" s="41" t="n">
        <f aca="false">IF(ISNUMBER($K195),$K195-$D195-IF(ISNUMBER($E195),$E195,0)-$L195-$M195-$N195-$O195,"")</f>
        <v>75.5</v>
      </c>
      <c r="Q195" s="42" t="n">
        <f aca="false">IF(AND(ISNUMBER($K195),$K195&gt;0),$P195/$K195,"")</f>
        <v>0.2</v>
      </c>
      <c r="R195" s="43"/>
      <c r="S195" s="44" t="str">
        <f aca="false">IF(OR(NOT(ISNUMBER($R195)),$R195=0,NOT(ISNUMBER($K195))),"",$K195*(1-$R195))</f>
        <v/>
      </c>
      <c r="T195" s="45" t="str">
        <f aca="false">IF(ISNUMBER($S195),$S195*$H195,"")</f>
        <v/>
      </c>
      <c r="U195" s="45" t="str">
        <f aca="false">IF(ISNUMBER($S195),$S195*Parâmetros!$B$7,"")</f>
        <v/>
      </c>
      <c r="V195" s="45" t="str">
        <f aca="false">IF(ISNUMBER($S195),$S195*Parâmetros!$C$7,"")</f>
        <v/>
      </c>
      <c r="W195" s="44" t="str">
        <f aca="false">IF(ISNUMBER($S195),$S195-$D195-IF(ISNUMBER($E195),$E195,0)-$O195-$T195-$U195-$V195,"")</f>
        <v/>
      </c>
      <c r="X195" s="46" t="str">
        <f aca="false">IF(AND(ISNUMBER($S195),$S195&gt;0),$W195/$S195,"")</f>
        <v/>
      </c>
      <c r="Y195" s="49"/>
      <c r="Z195" s="21"/>
    </row>
    <row r="196" customFormat="false" ht="15.75" hidden="false" customHeight="true" outlineLevel="0" collapsed="false">
      <c r="A196" s="32" t="str">
        <f aca="false">IF(Produtos!$A196="","",Produtos!$A196)</f>
        <v>Q2460-BC</v>
      </c>
      <c r="B196" s="32" t="str">
        <f aca="false">IF(Produtos!$A196="","",Produtos!$B196)</f>
        <v>Lixeira Quadrada 24x60 30L c/Aro Basculante Colorido</v>
      </c>
      <c r="C196" s="32" t="str">
        <f aca="false">IF(Produtos!$A196="","",Produtos!$C196)</f>
        <v>Lixeiras em inox</v>
      </c>
      <c r="D196" s="33" t="n">
        <f aca="false">IF(Produtos!$A196="","",IF(Produtos!$D196="","",Produtos!$D196))</f>
        <v>234.63</v>
      </c>
      <c r="E196" s="11" t="n">
        <v>0</v>
      </c>
      <c r="F196" s="34" t="n">
        <f aca="false">IF($A196="","",IF($C196="","⚠ categoria",IFERROR(INDEX(Parâmetros!$E$13:$E$22,MATCH($C196,Parâmetros!$A$13:$A$22,0)),"⚠ categoria")))</f>
        <v>0.21</v>
      </c>
      <c r="G196" s="35"/>
      <c r="H196" s="36" t="n">
        <f aca="false">IF($A196="","",IF(ISNUMBER($G196),$G196,IF(ISNUMBER($F196),$F196,"")))</f>
        <v>0.21</v>
      </c>
      <c r="I196" s="37" t="n">
        <f aca="false">IF(OR($A196="",NOT(ISNUMBER($D196)),NOT(ISNUMBER($H196))),"",IF((1-$H196-Parâmetros!$B$7-Parâmetros!$C$7-Parâmetros!$D$7)&lt;=0,"INVALIDO",($D196+IF(ISNUMBER($E196),$E196,0)+IF(ISNUMBER(Parâmetros!$E$7),Parâmetros!$E$7,0))/(1-$H196-Parâmetros!$B$7-Parâmetros!$C$7-Parâmetros!$D$7)))</f>
        <v>510.065217391304</v>
      </c>
      <c r="J196" s="38"/>
      <c r="K196" s="39" t="n">
        <f aca="false">IF(OR($A196="",NOT(ISNUMBER($D196)),NOT(ISNUMBER($H196))),"",IF(AND(ISNUMBER($J196),$J196&gt;0),$J196,IF(ISNUMBER($I196),$I196,"")))</f>
        <v>510.065217391304</v>
      </c>
      <c r="L196" s="40" t="n">
        <f aca="false">IF(ISNUMBER($K196),$K196*$H196,"")</f>
        <v>107.113695652174</v>
      </c>
      <c r="M196" s="40" t="n">
        <f aca="false">IF(ISNUMBER($K196),$K196*Parâmetros!$B$7,"")</f>
        <v>51.0065217391304</v>
      </c>
      <c r="N196" s="40" t="n">
        <f aca="false">IF(ISNUMBER($K196),$K196*Parâmetros!$C$7,"")</f>
        <v>15.3019565217391</v>
      </c>
      <c r="O196" s="40" t="n">
        <f aca="false">IF(ISNUMBER($K196),IF(ISNUMBER(Parâmetros!$E$7),Parâmetros!$E$7,0),"")</f>
        <v>0</v>
      </c>
      <c r="P196" s="41" t="n">
        <f aca="false">IF(ISNUMBER($K196),$K196-$D196-IF(ISNUMBER($E196),$E196,0)-$L196-$M196-$N196-$O196,"")</f>
        <v>102.013043478261</v>
      </c>
      <c r="Q196" s="42" t="n">
        <f aca="false">IF(AND(ISNUMBER($K196),$K196&gt;0),$P196/$K196,"")</f>
        <v>0.2</v>
      </c>
      <c r="R196" s="43"/>
      <c r="S196" s="44" t="str">
        <f aca="false">IF(OR(NOT(ISNUMBER($R196)),$R196=0,NOT(ISNUMBER($K196))),"",$K196*(1-$R196))</f>
        <v/>
      </c>
      <c r="T196" s="45" t="str">
        <f aca="false">IF(ISNUMBER($S196),$S196*$H196,"")</f>
        <v/>
      </c>
      <c r="U196" s="45" t="str">
        <f aca="false">IF(ISNUMBER($S196),$S196*Parâmetros!$B$7,"")</f>
        <v/>
      </c>
      <c r="V196" s="45" t="str">
        <f aca="false">IF(ISNUMBER($S196),$S196*Parâmetros!$C$7,"")</f>
        <v/>
      </c>
      <c r="W196" s="44" t="str">
        <f aca="false">IF(ISNUMBER($S196),$S196-$D196-IF(ISNUMBER($E196),$E196,0)-$O196-$T196-$U196-$V196,"")</f>
        <v/>
      </c>
      <c r="X196" s="46" t="str">
        <f aca="false">IF(AND(ISNUMBER($S196),$S196&gt;0),$W196/$S196,"")</f>
        <v/>
      </c>
      <c r="Y196" s="47"/>
      <c r="Z196" s="19"/>
    </row>
    <row r="197" customFormat="false" ht="15.75" hidden="false" customHeight="true" outlineLevel="0" collapsed="false">
      <c r="A197" s="48" t="str">
        <f aca="false">IF(Produtos!$A197="","",Produtos!$A197)</f>
        <v>Q3060-BC</v>
      </c>
      <c r="B197" s="48" t="str">
        <f aca="false">IF(Produtos!$A197="","",Produtos!$B197)</f>
        <v>Lixeira Quadrada 30x60 50L c/Aro Basculante Colorido</v>
      </c>
      <c r="C197" s="48" t="str">
        <f aca="false">IF(Produtos!$A197="","",Produtos!$C197)</f>
        <v>Lixeiras em inox</v>
      </c>
      <c r="D197" s="33" t="n">
        <f aca="false">IF(Produtos!$A197="","",IF(Produtos!$D197="","",Produtos!$D197))</f>
        <v>342.51</v>
      </c>
      <c r="E197" s="11" t="n">
        <v>0</v>
      </c>
      <c r="F197" s="34" t="n">
        <f aca="false">IF($A197="","",IF($C197="","⚠ categoria",IFERROR(INDEX(Parâmetros!$E$13:$E$22,MATCH($C197,Parâmetros!$A$13:$A$22,0)),"⚠ categoria")))</f>
        <v>0.21</v>
      </c>
      <c r="G197" s="35"/>
      <c r="H197" s="36" t="n">
        <f aca="false">IF($A197="","",IF(ISNUMBER($G197),$G197,IF(ISNUMBER($F197),$F197,"")))</f>
        <v>0.21</v>
      </c>
      <c r="I197" s="37" t="n">
        <f aca="false">IF(OR($A197="",NOT(ISNUMBER($D197)),NOT(ISNUMBER($H197))),"",IF((1-$H197-Parâmetros!$B$7-Parâmetros!$C$7-Parâmetros!$D$7)&lt;=0,"INVALIDO",($D197+IF(ISNUMBER($E197),$E197,0)+IF(ISNUMBER(Parâmetros!$E$7),Parâmetros!$E$7,0))/(1-$H197-Parâmetros!$B$7-Parâmetros!$C$7-Parâmetros!$D$7)))</f>
        <v>744.586956521739</v>
      </c>
      <c r="J197" s="38"/>
      <c r="K197" s="39" t="n">
        <f aca="false">IF(OR($A197="",NOT(ISNUMBER($D197)),NOT(ISNUMBER($H197))),"",IF(AND(ISNUMBER($J197),$J197&gt;0),$J197,IF(ISNUMBER($I197),$I197,"")))</f>
        <v>744.586956521739</v>
      </c>
      <c r="L197" s="40" t="n">
        <f aca="false">IF(ISNUMBER($K197),$K197*$H197,"")</f>
        <v>156.363260869565</v>
      </c>
      <c r="M197" s="40" t="n">
        <f aca="false">IF(ISNUMBER($K197),$K197*Parâmetros!$B$7,"")</f>
        <v>74.4586956521739</v>
      </c>
      <c r="N197" s="40" t="n">
        <f aca="false">IF(ISNUMBER($K197),$K197*Parâmetros!$C$7,"")</f>
        <v>22.3376086956522</v>
      </c>
      <c r="O197" s="40" t="n">
        <f aca="false">IF(ISNUMBER($K197),IF(ISNUMBER(Parâmetros!$E$7),Parâmetros!$E$7,0),"")</f>
        <v>0</v>
      </c>
      <c r="P197" s="41" t="n">
        <f aca="false">IF(ISNUMBER($K197),$K197-$D197-IF(ISNUMBER($E197),$E197,0)-$L197-$M197-$N197-$O197,"")</f>
        <v>148.917391304348</v>
      </c>
      <c r="Q197" s="42" t="n">
        <f aca="false">IF(AND(ISNUMBER($K197),$K197&gt;0),$P197/$K197,"")</f>
        <v>0.2</v>
      </c>
      <c r="R197" s="43"/>
      <c r="S197" s="44" t="str">
        <f aca="false">IF(OR(NOT(ISNUMBER($R197)),$R197=0,NOT(ISNUMBER($K197))),"",$K197*(1-$R197))</f>
        <v/>
      </c>
      <c r="T197" s="45" t="str">
        <f aca="false">IF(ISNUMBER($S197),$S197*$H197,"")</f>
        <v/>
      </c>
      <c r="U197" s="45" t="str">
        <f aca="false">IF(ISNUMBER($S197),$S197*Parâmetros!$B$7,"")</f>
        <v/>
      </c>
      <c r="V197" s="45" t="str">
        <f aca="false">IF(ISNUMBER($S197),$S197*Parâmetros!$C$7,"")</f>
        <v/>
      </c>
      <c r="W197" s="44" t="str">
        <f aca="false">IF(ISNUMBER($S197),$S197-$D197-IF(ISNUMBER($E197),$E197,0)-$O197-$T197-$U197-$V197,"")</f>
        <v/>
      </c>
      <c r="X197" s="46" t="str">
        <f aca="false">IF(AND(ISNUMBER($S197),$S197&gt;0),$W197/$S197,"")</f>
        <v/>
      </c>
      <c r="Y197" s="49"/>
      <c r="Z197" s="21"/>
    </row>
    <row r="198" customFormat="false" ht="15.75" hidden="false" customHeight="true" outlineLevel="0" collapsed="false">
      <c r="A198" s="32" t="str">
        <f aca="false">IF(Produtos!$A198="","",Produtos!$A198)</f>
        <v>Q4070-BC</v>
      </c>
      <c r="B198" s="32" t="str">
        <f aca="false">IF(Produtos!$A198="","",Produtos!$B198)</f>
        <v>Lixeira Quadrada 40x70 100L c/Aro Basculante Colorido</v>
      </c>
      <c r="C198" s="32" t="str">
        <f aca="false">IF(Produtos!$A198="","",Produtos!$C198)</f>
        <v>Lixeiras em inox</v>
      </c>
      <c r="D198" s="33" t="n">
        <f aca="false">IF(Produtos!$A198="","",IF(Produtos!$D198="","",Produtos!$D198))</f>
        <v>686.97</v>
      </c>
      <c r="E198" s="11" t="n">
        <v>0</v>
      </c>
      <c r="F198" s="34" t="n">
        <f aca="false">IF($A198="","",IF($C198="","⚠ categoria",IFERROR(INDEX(Parâmetros!$E$13:$E$22,MATCH($C198,Parâmetros!$A$13:$A$22,0)),"⚠ categoria")))</f>
        <v>0.21</v>
      </c>
      <c r="G198" s="35"/>
      <c r="H198" s="36" t="n">
        <f aca="false">IF($A198="","",IF(ISNUMBER($G198),$G198,IF(ISNUMBER($F198),$F198,"")))</f>
        <v>0.21</v>
      </c>
      <c r="I198" s="37" t="n">
        <f aca="false">IF(OR($A198="",NOT(ISNUMBER($D198)),NOT(ISNUMBER($H198))),"",IF((1-$H198-Parâmetros!$B$7-Parâmetros!$C$7-Parâmetros!$D$7)&lt;=0,"INVALIDO",($D198+IF(ISNUMBER($E198),$E198,0)+IF(ISNUMBER(Parâmetros!$E$7),Parâmetros!$E$7,0))/(1-$H198-Parâmetros!$B$7-Parâmetros!$C$7-Parâmetros!$D$7)))</f>
        <v>1493.41304347826</v>
      </c>
      <c r="J198" s="38"/>
      <c r="K198" s="39" t="n">
        <f aca="false">IF(OR($A198="",NOT(ISNUMBER($D198)),NOT(ISNUMBER($H198))),"",IF(AND(ISNUMBER($J198),$J198&gt;0),$J198,IF(ISNUMBER($I198),$I198,"")))</f>
        <v>1493.41304347826</v>
      </c>
      <c r="L198" s="40" t="n">
        <f aca="false">IF(ISNUMBER($K198),$K198*$H198,"")</f>
        <v>313.616739130435</v>
      </c>
      <c r="M198" s="40" t="n">
        <f aca="false">IF(ISNUMBER($K198),$K198*Parâmetros!$B$7,"")</f>
        <v>149.341304347826</v>
      </c>
      <c r="N198" s="40" t="n">
        <f aca="false">IF(ISNUMBER($K198),$K198*Parâmetros!$C$7,"")</f>
        <v>44.8023913043478</v>
      </c>
      <c r="O198" s="40" t="n">
        <f aca="false">IF(ISNUMBER($K198),IF(ISNUMBER(Parâmetros!$E$7),Parâmetros!$E$7,0),"")</f>
        <v>0</v>
      </c>
      <c r="P198" s="41" t="n">
        <f aca="false">IF(ISNUMBER($K198),$K198-$D198-IF(ISNUMBER($E198),$E198,0)-$L198-$M198-$N198-$O198,"")</f>
        <v>298.682608695652</v>
      </c>
      <c r="Q198" s="42" t="n">
        <f aca="false">IF(AND(ISNUMBER($K198),$K198&gt;0),$P198/$K198,"")</f>
        <v>0.2</v>
      </c>
      <c r="R198" s="43"/>
      <c r="S198" s="44" t="str">
        <f aca="false">IF(OR(NOT(ISNUMBER($R198)),$R198=0,NOT(ISNUMBER($K198))),"",$K198*(1-$R198))</f>
        <v/>
      </c>
      <c r="T198" s="45" t="str">
        <f aca="false">IF(ISNUMBER($S198),$S198*$H198,"")</f>
        <v/>
      </c>
      <c r="U198" s="45" t="str">
        <f aca="false">IF(ISNUMBER($S198),$S198*Parâmetros!$B$7,"")</f>
        <v/>
      </c>
      <c r="V198" s="45" t="str">
        <f aca="false">IF(ISNUMBER($S198),$S198*Parâmetros!$C$7,"")</f>
        <v/>
      </c>
      <c r="W198" s="44" t="str">
        <f aca="false">IF(ISNUMBER($S198),$S198-$D198-IF(ISNUMBER($E198),$E198,0)-$O198-$T198-$U198-$V198,"")</f>
        <v/>
      </c>
      <c r="X198" s="46" t="str">
        <f aca="false">IF(AND(ISNUMBER($S198),$S198&gt;0),$W198/$S198,"")</f>
        <v/>
      </c>
      <c r="Y198" s="47"/>
      <c r="Z198" s="19"/>
    </row>
    <row r="199" customFormat="false" ht="15.75" hidden="false" customHeight="true" outlineLevel="0" collapsed="false">
      <c r="A199" s="48" t="str">
        <f aca="false">IF(Produtos!$A199="","",Produtos!$A199)</f>
        <v>PQ-2430C</v>
      </c>
      <c r="B199" s="48" t="str">
        <f aca="false">IF(Produtos!$A199="","",Produtos!$B199)</f>
        <v>Lixeira quadrada c/Tampa colorida e Pedal 24x30 15L</v>
      </c>
      <c r="C199" s="48" t="str">
        <f aca="false">IF(Produtos!$A199="","",Produtos!$C199)</f>
        <v>Lixeiras com pedal</v>
      </c>
      <c r="D199" s="33" t="n">
        <f aca="false">IF(Produtos!$A199="","",IF(Produtos!$D199="","",Produtos!$D199))</f>
        <v>293.67</v>
      </c>
      <c r="E199" s="11" t="n">
        <v>0</v>
      </c>
      <c r="F199" s="34" t="n">
        <f aca="false">IF($A199="","",IF($C199="","⚠ categoria",IFERROR(INDEX(Parâmetros!$E$13:$E$22,MATCH($C199,Parâmetros!$A$13:$A$22,0)),"⚠ categoria")))</f>
        <v>0.21</v>
      </c>
      <c r="G199" s="35"/>
      <c r="H199" s="36" t="n">
        <f aca="false">IF($A199="","",IF(ISNUMBER($G199),$G199,IF(ISNUMBER($F199),$F199,"")))</f>
        <v>0.21</v>
      </c>
      <c r="I199" s="37" t="n">
        <f aca="false">IF(OR($A199="",NOT(ISNUMBER($D199)),NOT(ISNUMBER($H199))),"",IF((1-$H199-Parâmetros!$B$7-Parâmetros!$C$7-Parâmetros!$D$7)&lt;=0,"INVALIDO",($D199+IF(ISNUMBER($E199),$E199,0)+IF(ISNUMBER(Parâmetros!$E$7),Parâmetros!$E$7,0))/(1-$H199-Parâmetros!$B$7-Parâmetros!$C$7-Parâmetros!$D$7)))</f>
        <v>638.413043478261</v>
      </c>
      <c r="J199" s="38"/>
      <c r="K199" s="39" t="n">
        <f aca="false">IF(OR($A199="",NOT(ISNUMBER($D199)),NOT(ISNUMBER($H199))),"",IF(AND(ISNUMBER($J199),$J199&gt;0),$J199,IF(ISNUMBER($I199),$I199,"")))</f>
        <v>638.413043478261</v>
      </c>
      <c r="L199" s="40" t="n">
        <f aca="false">IF(ISNUMBER($K199),$K199*$H199,"")</f>
        <v>134.066739130435</v>
      </c>
      <c r="M199" s="40" t="n">
        <f aca="false">IF(ISNUMBER($K199),$K199*Parâmetros!$B$7,"")</f>
        <v>63.8413043478261</v>
      </c>
      <c r="N199" s="40" t="n">
        <f aca="false">IF(ISNUMBER($K199),$K199*Parâmetros!$C$7,"")</f>
        <v>19.1523913043478</v>
      </c>
      <c r="O199" s="40" t="n">
        <f aca="false">IF(ISNUMBER($K199),IF(ISNUMBER(Parâmetros!$E$7),Parâmetros!$E$7,0),"")</f>
        <v>0</v>
      </c>
      <c r="P199" s="41" t="n">
        <f aca="false">IF(ISNUMBER($K199),$K199-$D199-IF(ISNUMBER($E199),$E199,0)-$L199-$M199-$N199-$O199,"")</f>
        <v>127.682608695652</v>
      </c>
      <c r="Q199" s="42" t="n">
        <f aca="false">IF(AND(ISNUMBER($K199),$K199&gt;0),$P199/$K199,"")</f>
        <v>0.2</v>
      </c>
      <c r="R199" s="43"/>
      <c r="S199" s="44" t="str">
        <f aca="false">IF(OR(NOT(ISNUMBER($R199)),$R199=0,NOT(ISNUMBER($K199))),"",$K199*(1-$R199))</f>
        <v/>
      </c>
      <c r="T199" s="45" t="str">
        <f aca="false">IF(ISNUMBER($S199),$S199*$H199,"")</f>
        <v/>
      </c>
      <c r="U199" s="45" t="str">
        <f aca="false">IF(ISNUMBER($S199),$S199*Parâmetros!$B$7,"")</f>
        <v/>
      </c>
      <c r="V199" s="45" t="str">
        <f aca="false">IF(ISNUMBER($S199),$S199*Parâmetros!$C$7,"")</f>
        <v/>
      </c>
      <c r="W199" s="44" t="str">
        <f aca="false">IF(ISNUMBER($S199),$S199-$D199-IF(ISNUMBER($E199),$E199,0)-$O199-$T199-$U199-$V199,"")</f>
        <v/>
      </c>
      <c r="X199" s="46" t="str">
        <f aca="false">IF(AND(ISNUMBER($S199),$S199&gt;0),$W199/$S199,"")</f>
        <v/>
      </c>
      <c r="Y199" s="49"/>
      <c r="Z199" s="21"/>
    </row>
    <row r="200" customFormat="false" ht="15.75" hidden="false" customHeight="true" outlineLevel="0" collapsed="false">
      <c r="A200" s="32" t="str">
        <f aca="false">IF(Produtos!$A200="","",Produtos!$A200)</f>
        <v>PQ-2460C</v>
      </c>
      <c r="B200" s="32" t="str">
        <f aca="false">IF(Produtos!$A200="","",Produtos!$B200)</f>
        <v>Lixeira quadrada c/Tampa colorida e Pedal 24x60 30L</v>
      </c>
      <c r="C200" s="32" t="str">
        <f aca="false">IF(Produtos!$A200="","",Produtos!$C200)</f>
        <v>Lixeiras com pedal</v>
      </c>
      <c r="D200" s="33" t="n">
        <f aca="false">IF(Produtos!$A200="","",IF(Produtos!$D200="","",Produtos!$D200))</f>
        <v>360.26</v>
      </c>
      <c r="E200" s="11" t="n">
        <v>0</v>
      </c>
      <c r="F200" s="34" t="n">
        <f aca="false">IF($A200="","",IF($C200="","⚠ categoria",IFERROR(INDEX(Parâmetros!$E$13:$E$22,MATCH($C200,Parâmetros!$A$13:$A$22,0)),"⚠ categoria")))</f>
        <v>0.21</v>
      </c>
      <c r="G200" s="35"/>
      <c r="H200" s="36" t="n">
        <f aca="false">IF($A200="","",IF(ISNUMBER($G200),$G200,IF(ISNUMBER($F200),$F200,"")))</f>
        <v>0.21</v>
      </c>
      <c r="I200" s="37" t="n">
        <f aca="false">IF(OR($A200="",NOT(ISNUMBER($D200)),NOT(ISNUMBER($H200))),"",IF((1-$H200-Parâmetros!$B$7-Parâmetros!$C$7-Parâmetros!$D$7)&lt;=0,"INVALIDO",($D200+IF(ISNUMBER($E200),$E200,0)+IF(ISNUMBER(Parâmetros!$E$7),Parâmetros!$E$7,0))/(1-$H200-Parâmetros!$B$7-Parâmetros!$C$7-Parâmetros!$D$7)))</f>
        <v>783.173913043478</v>
      </c>
      <c r="J200" s="38"/>
      <c r="K200" s="39" t="n">
        <f aca="false">IF(OR($A200="",NOT(ISNUMBER($D200)),NOT(ISNUMBER($H200))),"",IF(AND(ISNUMBER($J200),$J200&gt;0),$J200,IF(ISNUMBER($I200),$I200,"")))</f>
        <v>783.173913043478</v>
      </c>
      <c r="L200" s="40" t="n">
        <f aca="false">IF(ISNUMBER($K200),$K200*$H200,"")</f>
        <v>164.46652173913</v>
      </c>
      <c r="M200" s="40" t="n">
        <f aca="false">IF(ISNUMBER($K200),$K200*Parâmetros!$B$7,"")</f>
        <v>78.3173913043478</v>
      </c>
      <c r="N200" s="40" t="n">
        <f aca="false">IF(ISNUMBER($K200),$K200*Parâmetros!$C$7,"")</f>
        <v>23.4952173913043</v>
      </c>
      <c r="O200" s="40" t="n">
        <f aca="false">IF(ISNUMBER($K200),IF(ISNUMBER(Parâmetros!$E$7),Parâmetros!$E$7,0),"")</f>
        <v>0</v>
      </c>
      <c r="P200" s="41" t="n">
        <f aca="false">IF(ISNUMBER($K200),$K200-$D200-IF(ISNUMBER($E200),$E200,0)-$L200-$M200-$N200-$O200,"")</f>
        <v>156.634782608696</v>
      </c>
      <c r="Q200" s="42" t="n">
        <f aca="false">IF(AND(ISNUMBER($K200),$K200&gt;0),$P200/$K200,"")</f>
        <v>0.2</v>
      </c>
      <c r="R200" s="43"/>
      <c r="S200" s="44" t="str">
        <f aca="false">IF(OR(NOT(ISNUMBER($R200)),$R200=0,NOT(ISNUMBER($K200))),"",$K200*(1-$R200))</f>
        <v/>
      </c>
      <c r="T200" s="45" t="str">
        <f aca="false">IF(ISNUMBER($S200),$S200*$H200,"")</f>
        <v/>
      </c>
      <c r="U200" s="45" t="str">
        <f aca="false">IF(ISNUMBER($S200),$S200*Parâmetros!$B$7,"")</f>
        <v/>
      </c>
      <c r="V200" s="45" t="str">
        <f aca="false">IF(ISNUMBER($S200),$S200*Parâmetros!$C$7,"")</f>
        <v/>
      </c>
      <c r="W200" s="44" t="str">
        <f aca="false">IF(ISNUMBER($S200),$S200-$D200-IF(ISNUMBER($E200),$E200,0)-$O200-$T200-$U200-$V200,"")</f>
        <v/>
      </c>
      <c r="X200" s="46" t="str">
        <f aca="false">IF(AND(ISNUMBER($S200),$S200&gt;0),$W200/$S200,"")</f>
        <v/>
      </c>
      <c r="Y200" s="47"/>
      <c r="Z200" s="19"/>
    </row>
    <row r="201" customFormat="false" ht="15.75" hidden="false" customHeight="true" outlineLevel="0" collapsed="false">
      <c r="A201" s="48" t="str">
        <f aca="false">IF(Produtos!$A201="","",Produtos!$A201)</f>
        <v>PQ-3060C</v>
      </c>
      <c r="B201" s="48" t="str">
        <f aca="false">IF(Produtos!$A201="","",Produtos!$B201)</f>
        <v>Lixeira quadrada c/Tampa colorida e Pedal 30x60 50L</v>
      </c>
      <c r="C201" s="48" t="str">
        <f aca="false">IF(Produtos!$A201="","",Produtos!$C201)</f>
        <v>Lixeiras com pedal</v>
      </c>
      <c r="D201" s="33" t="n">
        <f aca="false">IF(Produtos!$A201="","",IF(Produtos!$D201="","",Produtos!$D201))</f>
        <v>449.58</v>
      </c>
      <c r="E201" s="11" t="n">
        <v>0</v>
      </c>
      <c r="F201" s="34" t="n">
        <f aca="false">IF($A201="","",IF($C201="","⚠ categoria",IFERROR(INDEX(Parâmetros!$E$13:$E$22,MATCH($C201,Parâmetros!$A$13:$A$22,0)),"⚠ categoria")))</f>
        <v>0.21</v>
      </c>
      <c r="G201" s="35"/>
      <c r="H201" s="36" t="n">
        <f aca="false">IF($A201="","",IF(ISNUMBER($G201),$G201,IF(ISNUMBER($F201),$F201,"")))</f>
        <v>0.21</v>
      </c>
      <c r="I201" s="37" t="n">
        <f aca="false">IF(OR($A201="",NOT(ISNUMBER($D201)),NOT(ISNUMBER($H201))),"",IF((1-$H201-Parâmetros!$B$7-Parâmetros!$C$7-Parâmetros!$D$7)&lt;=0,"INVALIDO",($D201+IF(ISNUMBER($E201),$E201,0)+IF(ISNUMBER(Parâmetros!$E$7),Parâmetros!$E$7,0))/(1-$H201-Parâmetros!$B$7-Parâmetros!$C$7-Parâmetros!$D$7)))</f>
        <v>977.347826086956</v>
      </c>
      <c r="J201" s="38"/>
      <c r="K201" s="39" t="n">
        <f aca="false">IF(OR($A201="",NOT(ISNUMBER($D201)),NOT(ISNUMBER($H201))),"",IF(AND(ISNUMBER($J201),$J201&gt;0),$J201,IF(ISNUMBER($I201),$I201,"")))</f>
        <v>977.347826086956</v>
      </c>
      <c r="L201" s="40" t="n">
        <f aca="false">IF(ISNUMBER($K201),$K201*$H201,"")</f>
        <v>205.243043478261</v>
      </c>
      <c r="M201" s="40" t="n">
        <f aca="false">IF(ISNUMBER($K201),$K201*Parâmetros!$B$7,"")</f>
        <v>97.7347826086956</v>
      </c>
      <c r="N201" s="40" t="n">
        <f aca="false">IF(ISNUMBER($K201),$K201*Parâmetros!$C$7,"")</f>
        <v>29.3204347826087</v>
      </c>
      <c r="O201" s="40" t="n">
        <f aca="false">IF(ISNUMBER($K201),IF(ISNUMBER(Parâmetros!$E$7),Parâmetros!$E$7,0),"")</f>
        <v>0</v>
      </c>
      <c r="P201" s="41" t="n">
        <f aca="false">IF(ISNUMBER($K201),$K201-$D201-IF(ISNUMBER($E201),$E201,0)-$L201-$M201-$N201-$O201,"")</f>
        <v>195.469565217391</v>
      </c>
      <c r="Q201" s="42" t="n">
        <f aca="false">IF(AND(ISNUMBER($K201),$K201&gt;0),$P201/$K201,"")</f>
        <v>0.2</v>
      </c>
      <c r="R201" s="43"/>
      <c r="S201" s="44" t="str">
        <f aca="false">IF(OR(NOT(ISNUMBER($R201)),$R201=0,NOT(ISNUMBER($K201))),"",$K201*(1-$R201))</f>
        <v/>
      </c>
      <c r="T201" s="45" t="str">
        <f aca="false">IF(ISNUMBER($S201),$S201*$H201,"")</f>
        <v/>
      </c>
      <c r="U201" s="45" t="str">
        <f aca="false">IF(ISNUMBER($S201),$S201*Parâmetros!$B$7,"")</f>
        <v/>
      </c>
      <c r="V201" s="45" t="str">
        <f aca="false">IF(ISNUMBER($S201),$S201*Parâmetros!$C$7,"")</f>
        <v/>
      </c>
      <c r="W201" s="44" t="str">
        <f aca="false">IF(ISNUMBER($S201),$S201-$D201-IF(ISNUMBER($E201),$E201,0)-$O201-$T201-$U201-$V201,"")</f>
        <v/>
      </c>
      <c r="X201" s="46" t="str">
        <f aca="false">IF(AND(ISNUMBER($S201),$S201&gt;0),$W201/$S201,"")</f>
        <v/>
      </c>
      <c r="Y201" s="49"/>
      <c r="Z201" s="21"/>
    </row>
    <row r="202" customFormat="false" ht="15.75" hidden="false" customHeight="true" outlineLevel="0" collapsed="false">
      <c r="A202" s="32" t="str">
        <f aca="false">IF(Produtos!$A202="","",Produtos!$A202)</f>
        <v>PQ-4070C</v>
      </c>
      <c r="B202" s="32" t="str">
        <f aca="false">IF(Produtos!$A202="","",Produtos!$B202)</f>
        <v>Lixeira quadrada c/Tampa colorida e Pedal 40x70 100L</v>
      </c>
      <c r="C202" s="32" t="str">
        <f aca="false">IF(Produtos!$A202="","",Produtos!$C202)</f>
        <v>Lixeiras com pedal</v>
      </c>
      <c r="D202" s="33" t="n">
        <f aca="false">IF(Produtos!$A202="","",IF(Produtos!$D202="","",Produtos!$D202))</f>
        <v>980.21</v>
      </c>
      <c r="E202" s="11" t="n">
        <v>0</v>
      </c>
      <c r="F202" s="34" t="n">
        <f aca="false">IF($A202="","",IF($C202="","⚠ categoria",IFERROR(INDEX(Parâmetros!$E$13:$E$22,MATCH($C202,Parâmetros!$A$13:$A$22,0)),"⚠ categoria")))</f>
        <v>0.21</v>
      </c>
      <c r="G202" s="35"/>
      <c r="H202" s="36" t="n">
        <f aca="false">IF($A202="","",IF(ISNUMBER($G202),$G202,IF(ISNUMBER($F202),$F202,"")))</f>
        <v>0.21</v>
      </c>
      <c r="I202" s="37" t="n">
        <f aca="false">IF(OR($A202="",NOT(ISNUMBER($D202)),NOT(ISNUMBER($H202))),"",IF((1-$H202-Parâmetros!$B$7-Parâmetros!$C$7-Parâmetros!$D$7)&lt;=0,"INVALIDO",($D202+IF(ISNUMBER($E202),$E202,0)+IF(ISNUMBER(Parâmetros!$E$7),Parâmetros!$E$7,0))/(1-$H202-Parâmetros!$B$7-Parâmetros!$C$7-Parâmetros!$D$7)))</f>
        <v>2130.89130434783</v>
      </c>
      <c r="J202" s="38"/>
      <c r="K202" s="39" t="n">
        <f aca="false">IF(OR($A202="",NOT(ISNUMBER($D202)),NOT(ISNUMBER($H202))),"",IF(AND(ISNUMBER($J202),$J202&gt;0),$J202,IF(ISNUMBER($I202),$I202,"")))</f>
        <v>2130.89130434783</v>
      </c>
      <c r="L202" s="40" t="n">
        <f aca="false">IF(ISNUMBER($K202),$K202*$H202,"")</f>
        <v>447.487173913043</v>
      </c>
      <c r="M202" s="40" t="n">
        <f aca="false">IF(ISNUMBER($K202),$K202*Parâmetros!$B$7,"")</f>
        <v>213.089130434783</v>
      </c>
      <c r="N202" s="40" t="n">
        <f aca="false">IF(ISNUMBER($K202),$K202*Parâmetros!$C$7,"")</f>
        <v>63.9267391304348</v>
      </c>
      <c r="O202" s="40" t="n">
        <f aca="false">IF(ISNUMBER($K202),IF(ISNUMBER(Parâmetros!$E$7),Parâmetros!$E$7,0),"")</f>
        <v>0</v>
      </c>
      <c r="P202" s="41" t="n">
        <f aca="false">IF(ISNUMBER($K202),$K202-$D202-IF(ISNUMBER($E202),$E202,0)-$L202-$M202-$N202-$O202,"")</f>
        <v>426.178260869565</v>
      </c>
      <c r="Q202" s="42" t="n">
        <f aca="false">IF(AND(ISNUMBER($K202),$K202&gt;0),$P202/$K202,"")</f>
        <v>0.2</v>
      </c>
      <c r="R202" s="43"/>
      <c r="S202" s="44" t="str">
        <f aca="false">IF(OR(NOT(ISNUMBER($R202)),$R202=0,NOT(ISNUMBER($K202))),"",$K202*(1-$R202))</f>
        <v/>
      </c>
      <c r="T202" s="45" t="str">
        <f aca="false">IF(ISNUMBER($S202),$S202*$H202,"")</f>
        <v/>
      </c>
      <c r="U202" s="45" t="str">
        <f aca="false">IF(ISNUMBER($S202),$S202*Parâmetros!$B$7,"")</f>
        <v/>
      </c>
      <c r="V202" s="45" t="str">
        <f aca="false">IF(ISNUMBER($S202),$S202*Parâmetros!$C$7,"")</f>
        <v/>
      </c>
      <c r="W202" s="44" t="str">
        <f aca="false">IF(ISNUMBER($S202),$S202-$D202-IF(ISNUMBER($E202),$E202,0)-$O202-$T202-$U202-$V202,"")</f>
        <v/>
      </c>
      <c r="X202" s="46" t="str">
        <f aca="false">IF(AND(ISNUMBER($S202),$S202&gt;0),$W202/$S202,"")</f>
        <v/>
      </c>
      <c r="Y202" s="47"/>
      <c r="Z202" s="19"/>
    </row>
    <row r="203" customFormat="false" ht="15.75" hidden="false" customHeight="true" outlineLevel="0" collapsed="false">
      <c r="A203" s="48" t="str">
        <f aca="false">IF(Produtos!$A203="","",Produtos!$A203)</f>
        <v>PQ-4090C</v>
      </c>
      <c r="B203" s="48" t="str">
        <f aca="false">IF(Produtos!$A203="","",Produtos!$B203)</f>
        <v>Lixeira quadrada c/Tampa colorida e Pedal 40x90 120L</v>
      </c>
      <c r="C203" s="48" t="str">
        <f aca="false">IF(Produtos!$A203="","",Produtos!$C203)</f>
        <v>Lixeiras com pedal</v>
      </c>
      <c r="D203" s="33" t="n">
        <f aca="false">IF(Produtos!$A203="","",IF(Produtos!$D203="","",Produtos!$D203))</f>
        <v>1078.18</v>
      </c>
      <c r="E203" s="11" t="n">
        <v>0</v>
      </c>
      <c r="F203" s="34" t="n">
        <f aca="false">IF($A203="","",IF($C203="","⚠ categoria",IFERROR(INDEX(Parâmetros!$E$13:$E$22,MATCH($C203,Parâmetros!$A$13:$A$22,0)),"⚠ categoria")))</f>
        <v>0.21</v>
      </c>
      <c r="G203" s="35"/>
      <c r="H203" s="36" t="n">
        <f aca="false">IF($A203="","",IF(ISNUMBER($G203),$G203,IF(ISNUMBER($F203),$F203,"")))</f>
        <v>0.21</v>
      </c>
      <c r="I203" s="37" t="n">
        <f aca="false">IF(OR($A203="",NOT(ISNUMBER($D203)),NOT(ISNUMBER($H203))),"",IF((1-$H203-Parâmetros!$B$7-Parâmetros!$C$7-Parâmetros!$D$7)&lt;=0,"INVALIDO",($D203+IF(ISNUMBER($E203),$E203,0)+IF(ISNUMBER(Parâmetros!$E$7),Parâmetros!$E$7,0))/(1-$H203-Parâmetros!$B$7-Parâmetros!$C$7-Parâmetros!$D$7)))</f>
        <v>2343.86956521739</v>
      </c>
      <c r="J203" s="38"/>
      <c r="K203" s="39" t="n">
        <f aca="false">IF(OR($A203="",NOT(ISNUMBER($D203)),NOT(ISNUMBER($H203))),"",IF(AND(ISNUMBER($J203),$J203&gt;0),$J203,IF(ISNUMBER($I203),$I203,"")))</f>
        <v>2343.86956521739</v>
      </c>
      <c r="L203" s="40" t="n">
        <f aca="false">IF(ISNUMBER($K203),$K203*$H203,"")</f>
        <v>492.212608695652</v>
      </c>
      <c r="M203" s="40" t="n">
        <f aca="false">IF(ISNUMBER($K203),$K203*Parâmetros!$B$7,"")</f>
        <v>234.386956521739</v>
      </c>
      <c r="N203" s="40" t="n">
        <f aca="false">IF(ISNUMBER($K203),$K203*Parâmetros!$C$7,"")</f>
        <v>70.3160869565217</v>
      </c>
      <c r="O203" s="40" t="n">
        <f aca="false">IF(ISNUMBER($K203),IF(ISNUMBER(Parâmetros!$E$7),Parâmetros!$E$7,0),"")</f>
        <v>0</v>
      </c>
      <c r="P203" s="41" t="n">
        <f aca="false">IF(ISNUMBER($K203),$K203-$D203-IF(ISNUMBER($E203),$E203,0)-$L203-$M203-$N203-$O203,"")</f>
        <v>468.773913043478</v>
      </c>
      <c r="Q203" s="42" t="n">
        <f aca="false">IF(AND(ISNUMBER($K203),$K203&gt;0),$P203/$K203,"")</f>
        <v>0.2</v>
      </c>
      <c r="R203" s="43"/>
      <c r="S203" s="44" t="str">
        <f aca="false">IF(OR(NOT(ISNUMBER($R203)),$R203=0,NOT(ISNUMBER($K203))),"",$K203*(1-$R203))</f>
        <v/>
      </c>
      <c r="T203" s="45" t="str">
        <f aca="false">IF(ISNUMBER($S203),$S203*$H203,"")</f>
        <v/>
      </c>
      <c r="U203" s="45" t="str">
        <f aca="false">IF(ISNUMBER($S203),$S203*Parâmetros!$B$7,"")</f>
        <v/>
      </c>
      <c r="V203" s="45" t="str">
        <f aca="false">IF(ISNUMBER($S203),$S203*Parâmetros!$C$7,"")</f>
        <v/>
      </c>
      <c r="W203" s="44" t="str">
        <f aca="false">IF(ISNUMBER($S203),$S203-$D203-IF(ISNUMBER($E203),$E203,0)-$O203-$T203-$U203-$V203,"")</f>
        <v/>
      </c>
      <c r="X203" s="46" t="str">
        <f aca="false">IF(AND(ISNUMBER($S203),$S203&gt;0),$W203/$S203,"")</f>
        <v/>
      </c>
      <c r="Y203" s="49"/>
      <c r="Z203" s="21"/>
    </row>
    <row r="204" customFormat="false" ht="15.75" hidden="false" customHeight="true" outlineLevel="0" collapsed="false">
      <c r="A204" s="32" t="str">
        <f aca="false">IF(Produtos!$A204="","",Produtos!$A204)</f>
        <v>PQ-5080C</v>
      </c>
      <c r="B204" s="32" t="str">
        <f aca="false">IF(Produtos!$A204="","",Produtos!$B204)</f>
        <v>Lixeira quadrada c/Tampa colorida e Pedal 50x80 150L</v>
      </c>
      <c r="C204" s="32" t="str">
        <f aca="false">IF(Produtos!$A204="","",Produtos!$C204)</f>
        <v>Lixeiras com pedal</v>
      </c>
      <c r="D204" s="33" t="n">
        <f aca="false">IF(Produtos!$A204="","",IF(Produtos!$D204="","",Produtos!$D204))</f>
        <v>1393</v>
      </c>
      <c r="E204" s="11" t="n">
        <v>0</v>
      </c>
      <c r="F204" s="34" t="n">
        <f aca="false">IF($A204="","",IF($C204="","⚠ categoria",IFERROR(INDEX(Parâmetros!$E$13:$E$22,MATCH($C204,Parâmetros!$A$13:$A$22,0)),"⚠ categoria")))</f>
        <v>0.21</v>
      </c>
      <c r="G204" s="35"/>
      <c r="H204" s="36" t="n">
        <f aca="false">IF($A204="","",IF(ISNUMBER($G204),$G204,IF(ISNUMBER($F204),$F204,"")))</f>
        <v>0.21</v>
      </c>
      <c r="I204" s="37" t="n">
        <f aca="false">IF(OR($A204="",NOT(ISNUMBER($D204)),NOT(ISNUMBER($H204))),"",IF((1-$H204-Parâmetros!$B$7-Parâmetros!$C$7-Parâmetros!$D$7)&lt;=0,"INVALIDO",($D204+IF(ISNUMBER($E204),$E204,0)+IF(ISNUMBER(Parâmetros!$E$7),Parâmetros!$E$7,0))/(1-$H204-Parâmetros!$B$7-Parâmetros!$C$7-Parâmetros!$D$7)))</f>
        <v>3028.26086956522</v>
      </c>
      <c r="J204" s="38"/>
      <c r="K204" s="39" t="n">
        <f aca="false">IF(OR($A204="",NOT(ISNUMBER($D204)),NOT(ISNUMBER($H204))),"",IF(AND(ISNUMBER($J204),$J204&gt;0),$J204,IF(ISNUMBER($I204),$I204,"")))</f>
        <v>3028.26086956522</v>
      </c>
      <c r="L204" s="40" t="n">
        <f aca="false">IF(ISNUMBER($K204),$K204*$H204,"")</f>
        <v>635.934782608696</v>
      </c>
      <c r="M204" s="40" t="n">
        <f aca="false">IF(ISNUMBER($K204),$K204*Parâmetros!$B$7,"")</f>
        <v>302.826086956522</v>
      </c>
      <c r="N204" s="40" t="n">
        <f aca="false">IF(ISNUMBER($K204),$K204*Parâmetros!$C$7,"")</f>
        <v>90.8478260869565</v>
      </c>
      <c r="O204" s="40" t="n">
        <f aca="false">IF(ISNUMBER($K204),IF(ISNUMBER(Parâmetros!$E$7),Parâmetros!$E$7,0),"")</f>
        <v>0</v>
      </c>
      <c r="P204" s="41" t="n">
        <f aca="false">IF(ISNUMBER($K204),$K204-$D204-IF(ISNUMBER($E204),$E204,0)-$L204-$M204-$N204-$O204,"")</f>
        <v>605.652173913043</v>
      </c>
      <c r="Q204" s="42" t="n">
        <f aca="false">IF(AND(ISNUMBER($K204),$K204&gt;0),$P204/$K204,"")</f>
        <v>0.2</v>
      </c>
      <c r="R204" s="43"/>
      <c r="S204" s="44" t="str">
        <f aca="false">IF(OR(NOT(ISNUMBER($R204)),$R204=0,NOT(ISNUMBER($K204))),"",$K204*(1-$R204))</f>
        <v/>
      </c>
      <c r="T204" s="45" t="str">
        <f aca="false">IF(ISNUMBER($S204),$S204*$H204,"")</f>
        <v/>
      </c>
      <c r="U204" s="45" t="str">
        <f aca="false">IF(ISNUMBER($S204),$S204*Parâmetros!$B$7,"")</f>
        <v/>
      </c>
      <c r="V204" s="45" t="str">
        <f aca="false">IF(ISNUMBER($S204),$S204*Parâmetros!$C$7,"")</f>
        <v/>
      </c>
      <c r="W204" s="44" t="str">
        <f aca="false">IF(ISNUMBER($S204),$S204-$D204-IF(ISNUMBER($E204),$E204,0)-$O204-$T204-$U204-$V204,"")</f>
        <v/>
      </c>
      <c r="X204" s="46" t="str">
        <f aca="false">IF(AND(ISNUMBER($S204),$S204&gt;0),$W204/$S204,"")</f>
        <v/>
      </c>
      <c r="Y204" s="47"/>
      <c r="Z204" s="19"/>
    </row>
    <row r="205" customFormat="false" ht="15.75" hidden="false" customHeight="true" outlineLevel="0" collapsed="false">
      <c r="A205" s="48" t="str">
        <f aca="false">IF(Produtos!$A205="","",Produtos!$A205)</f>
        <v>L1618-T</v>
      </c>
      <c r="B205" s="48" t="str">
        <f aca="false">IF(Produtos!$A205="","",Produtos!$B205)</f>
        <v>Lixeira de Aço inox 16x18 03L com tampa</v>
      </c>
      <c r="C205" s="48" t="str">
        <f aca="false">IF(Produtos!$A205="","",Produtos!$C205)</f>
        <v>Lixeiras em inox</v>
      </c>
      <c r="D205" s="33" t="n">
        <f aca="false">IF(Produtos!$A205="","",IF(Produtos!$D205="","",Produtos!$D205))</f>
        <v>54.47</v>
      </c>
      <c r="E205" s="11" t="n">
        <v>0</v>
      </c>
      <c r="F205" s="34" t="n">
        <f aca="false">IF($A205="","",IF($C205="","⚠ categoria",IFERROR(INDEX(Parâmetros!$E$13:$E$22,MATCH($C205,Parâmetros!$A$13:$A$22,0)),"⚠ categoria")))</f>
        <v>0.21</v>
      </c>
      <c r="G205" s="35"/>
      <c r="H205" s="36" t="n">
        <f aca="false">IF($A205="","",IF(ISNUMBER($G205),$G205,IF(ISNUMBER($F205),$F205,"")))</f>
        <v>0.21</v>
      </c>
      <c r="I205" s="37" t="n">
        <f aca="false">IF(OR($A205="",NOT(ISNUMBER($D205)),NOT(ISNUMBER($H205))),"",IF((1-$H205-Parâmetros!$B$7-Parâmetros!$C$7-Parâmetros!$D$7)&lt;=0,"INVALIDO",($D205+IF(ISNUMBER($E205),$E205,0)+IF(ISNUMBER(Parâmetros!$E$7),Parâmetros!$E$7,0))/(1-$H205-Parâmetros!$B$7-Parâmetros!$C$7-Parâmetros!$D$7)))</f>
        <v>118.413043478261</v>
      </c>
      <c r="J205" s="38"/>
      <c r="K205" s="39" t="n">
        <f aca="false">IF(OR($A205="",NOT(ISNUMBER($D205)),NOT(ISNUMBER($H205))),"",IF(AND(ISNUMBER($J205),$J205&gt;0),$J205,IF(ISNUMBER($I205),$I205,"")))</f>
        <v>118.413043478261</v>
      </c>
      <c r="L205" s="40" t="n">
        <f aca="false">IF(ISNUMBER($K205),$K205*$H205,"")</f>
        <v>24.8667391304348</v>
      </c>
      <c r="M205" s="40" t="n">
        <f aca="false">IF(ISNUMBER($K205),$K205*Parâmetros!$B$7,"")</f>
        <v>11.8413043478261</v>
      </c>
      <c r="N205" s="40" t="n">
        <f aca="false">IF(ISNUMBER($K205),$K205*Parâmetros!$C$7,"")</f>
        <v>3.55239130434783</v>
      </c>
      <c r="O205" s="40" t="n">
        <f aca="false">IF(ISNUMBER($K205),IF(ISNUMBER(Parâmetros!$E$7),Parâmetros!$E$7,0),"")</f>
        <v>0</v>
      </c>
      <c r="P205" s="41" t="n">
        <f aca="false">IF(ISNUMBER($K205),$K205-$D205-IF(ISNUMBER($E205),$E205,0)-$L205-$M205-$N205-$O205,"")</f>
        <v>23.6826086956522</v>
      </c>
      <c r="Q205" s="42" t="n">
        <f aca="false">IF(AND(ISNUMBER($K205),$K205&gt;0),$P205/$K205,"")</f>
        <v>0.2</v>
      </c>
      <c r="R205" s="43"/>
      <c r="S205" s="44" t="str">
        <f aca="false">IF(OR(NOT(ISNUMBER($R205)),$R205=0,NOT(ISNUMBER($K205))),"",$K205*(1-$R205))</f>
        <v/>
      </c>
      <c r="T205" s="45" t="str">
        <f aca="false">IF(ISNUMBER($S205),$S205*$H205,"")</f>
        <v/>
      </c>
      <c r="U205" s="45" t="str">
        <f aca="false">IF(ISNUMBER($S205),$S205*Parâmetros!$B$7,"")</f>
        <v/>
      </c>
      <c r="V205" s="45" t="str">
        <f aca="false">IF(ISNUMBER($S205),$S205*Parâmetros!$C$7,"")</f>
        <v/>
      </c>
      <c r="W205" s="44" t="str">
        <f aca="false">IF(ISNUMBER($S205),$S205-$D205-IF(ISNUMBER($E205),$E205,0)-$O205-$T205-$U205-$V205,"")</f>
        <v/>
      </c>
      <c r="X205" s="46" t="str">
        <f aca="false">IF(AND(ISNUMBER($S205),$S205&gt;0),$W205/$S205,"")</f>
        <v/>
      </c>
      <c r="Y205" s="49"/>
      <c r="Z205" s="21"/>
    </row>
    <row r="206" customFormat="false" ht="15.75" hidden="false" customHeight="true" outlineLevel="0" collapsed="false">
      <c r="A206" s="32" t="str">
        <f aca="false">IF(Produtos!$A206="","",Produtos!$A206)</f>
        <v>L1623-T</v>
      </c>
      <c r="B206" s="32" t="str">
        <f aca="false">IF(Produtos!$A206="","",Produtos!$B206)</f>
        <v>Lixeira de Aço inox 16x23 05L com tampa</v>
      </c>
      <c r="C206" s="32" t="str">
        <f aca="false">IF(Produtos!$A206="","",Produtos!$C206)</f>
        <v>Lixeiras em inox</v>
      </c>
      <c r="D206" s="33" t="n">
        <f aca="false">IF(Produtos!$A206="","",IF(Produtos!$D206="","",Produtos!$D206))</f>
        <v>59.8</v>
      </c>
      <c r="E206" s="11" t="n">
        <v>0</v>
      </c>
      <c r="F206" s="34" t="n">
        <f aca="false">IF($A206="","",IF($C206="","⚠ categoria",IFERROR(INDEX(Parâmetros!$E$13:$E$22,MATCH($C206,Parâmetros!$A$13:$A$22,0)),"⚠ categoria")))</f>
        <v>0.21</v>
      </c>
      <c r="G206" s="35"/>
      <c r="H206" s="36" t="n">
        <f aca="false">IF($A206="","",IF(ISNUMBER($G206),$G206,IF(ISNUMBER($F206),$F206,"")))</f>
        <v>0.21</v>
      </c>
      <c r="I206" s="37" t="n">
        <f aca="false">IF(OR($A206="",NOT(ISNUMBER($D206)),NOT(ISNUMBER($H206))),"",IF((1-$H206-Parâmetros!$B$7-Parâmetros!$C$7-Parâmetros!$D$7)&lt;=0,"INVALIDO",($D206+IF(ISNUMBER($E206),$E206,0)+IF(ISNUMBER(Parâmetros!$E$7),Parâmetros!$E$7,0))/(1-$H206-Parâmetros!$B$7-Parâmetros!$C$7-Parâmetros!$D$7)))</f>
        <v>130</v>
      </c>
      <c r="J206" s="38"/>
      <c r="K206" s="39" t="n">
        <f aca="false">IF(OR($A206="",NOT(ISNUMBER($D206)),NOT(ISNUMBER($H206))),"",IF(AND(ISNUMBER($J206),$J206&gt;0),$J206,IF(ISNUMBER($I206),$I206,"")))</f>
        <v>130</v>
      </c>
      <c r="L206" s="40" t="n">
        <f aca="false">IF(ISNUMBER($K206),$K206*$H206,"")</f>
        <v>27.3</v>
      </c>
      <c r="M206" s="40" t="n">
        <f aca="false">IF(ISNUMBER($K206),$K206*Parâmetros!$B$7,"")</f>
        <v>13</v>
      </c>
      <c r="N206" s="40" t="n">
        <f aca="false">IF(ISNUMBER($K206),$K206*Parâmetros!$C$7,"")</f>
        <v>3.9</v>
      </c>
      <c r="O206" s="40" t="n">
        <f aca="false">IF(ISNUMBER($K206),IF(ISNUMBER(Parâmetros!$E$7),Parâmetros!$E$7,0),"")</f>
        <v>0</v>
      </c>
      <c r="P206" s="41" t="n">
        <f aca="false">IF(ISNUMBER($K206),$K206-$D206-IF(ISNUMBER($E206),$E206,0)-$L206-$M206-$N206-$O206,"")</f>
        <v>26</v>
      </c>
      <c r="Q206" s="42" t="n">
        <f aca="false">IF(AND(ISNUMBER($K206),$K206&gt;0),$P206/$K206,"")</f>
        <v>0.2</v>
      </c>
      <c r="R206" s="43"/>
      <c r="S206" s="44" t="str">
        <f aca="false">IF(OR(NOT(ISNUMBER($R206)),$R206=0,NOT(ISNUMBER($K206))),"",$K206*(1-$R206))</f>
        <v/>
      </c>
      <c r="T206" s="45" t="str">
        <f aca="false">IF(ISNUMBER($S206),$S206*$H206,"")</f>
        <v/>
      </c>
      <c r="U206" s="45" t="str">
        <f aca="false">IF(ISNUMBER($S206),$S206*Parâmetros!$B$7,"")</f>
        <v/>
      </c>
      <c r="V206" s="45" t="str">
        <f aca="false">IF(ISNUMBER($S206),$S206*Parâmetros!$C$7,"")</f>
        <v/>
      </c>
      <c r="W206" s="44" t="str">
        <f aca="false">IF(ISNUMBER($S206),$S206-$D206-IF(ISNUMBER($E206),$E206,0)-$O206-$T206-$U206-$V206,"")</f>
        <v/>
      </c>
      <c r="X206" s="46" t="str">
        <f aca="false">IF(AND(ISNUMBER($S206),$S206&gt;0),$W206/$S206,"")</f>
        <v/>
      </c>
      <c r="Y206" s="47"/>
      <c r="Z206" s="19"/>
    </row>
    <row r="207" customFormat="false" ht="15.75" hidden="false" customHeight="true" outlineLevel="0" collapsed="false">
      <c r="A207" s="48" t="str">
        <f aca="false">IF(Produtos!$A207="","",Produtos!$A207)</f>
        <v>L2025-T</v>
      </c>
      <c r="B207" s="48" t="str">
        <f aca="false">IF(Produtos!$A207="","",Produtos!$B207)</f>
        <v>Lixeira de Aço inox 20x25 07L com tampa</v>
      </c>
      <c r="C207" s="48" t="str">
        <f aca="false">IF(Produtos!$A207="","",Produtos!$C207)</f>
        <v>Lixeiras em inox</v>
      </c>
      <c r="D207" s="33" t="n">
        <f aca="false">IF(Produtos!$A207="","",IF(Produtos!$D207="","",Produtos!$D207))</f>
        <v>63.11</v>
      </c>
      <c r="E207" s="11" t="n">
        <v>0</v>
      </c>
      <c r="F207" s="34" t="n">
        <f aca="false">IF($A207="","",IF($C207="","⚠ categoria",IFERROR(INDEX(Parâmetros!$E$13:$E$22,MATCH($C207,Parâmetros!$A$13:$A$22,0)),"⚠ categoria")))</f>
        <v>0.21</v>
      </c>
      <c r="G207" s="35"/>
      <c r="H207" s="36" t="n">
        <f aca="false">IF($A207="","",IF(ISNUMBER($G207),$G207,IF(ISNUMBER($F207),$F207,"")))</f>
        <v>0.21</v>
      </c>
      <c r="I207" s="37" t="n">
        <f aca="false">IF(OR($A207="",NOT(ISNUMBER($D207)),NOT(ISNUMBER($H207))),"",IF((1-$H207-Parâmetros!$B$7-Parâmetros!$C$7-Parâmetros!$D$7)&lt;=0,"INVALIDO",($D207+IF(ISNUMBER($E207),$E207,0)+IF(ISNUMBER(Parâmetros!$E$7),Parâmetros!$E$7,0))/(1-$H207-Parâmetros!$B$7-Parâmetros!$C$7-Parâmetros!$D$7)))</f>
        <v>137.195652173913</v>
      </c>
      <c r="J207" s="38"/>
      <c r="K207" s="39" t="n">
        <f aca="false">IF(OR($A207="",NOT(ISNUMBER($D207)),NOT(ISNUMBER($H207))),"",IF(AND(ISNUMBER($J207),$J207&gt;0),$J207,IF(ISNUMBER($I207),$I207,"")))</f>
        <v>137.195652173913</v>
      </c>
      <c r="L207" s="40" t="n">
        <f aca="false">IF(ISNUMBER($K207),$K207*$H207,"")</f>
        <v>28.8110869565217</v>
      </c>
      <c r="M207" s="40" t="n">
        <f aca="false">IF(ISNUMBER($K207),$K207*Parâmetros!$B$7,"")</f>
        <v>13.7195652173913</v>
      </c>
      <c r="N207" s="40" t="n">
        <f aca="false">IF(ISNUMBER($K207),$K207*Parâmetros!$C$7,"")</f>
        <v>4.11586956521739</v>
      </c>
      <c r="O207" s="40" t="n">
        <f aca="false">IF(ISNUMBER($K207),IF(ISNUMBER(Parâmetros!$E$7),Parâmetros!$E$7,0),"")</f>
        <v>0</v>
      </c>
      <c r="P207" s="41" t="n">
        <f aca="false">IF(ISNUMBER($K207),$K207-$D207-IF(ISNUMBER($E207),$E207,0)-$L207-$M207-$N207-$O207,"")</f>
        <v>27.4391304347826</v>
      </c>
      <c r="Q207" s="42" t="n">
        <f aca="false">IF(AND(ISNUMBER($K207),$K207&gt;0),$P207/$K207,"")</f>
        <v>0.2</v>
      </c>
      <c r="R207" s="43"/>
      <c r="S207" s="44" t="str">
        <f aca="false">IF(OR(NOT(ISNUMBER($R207)),$R207=0,NOT(ISNUMBER($K207))),"",$K207*(1-$R207))</f>
        <v/>
      </c>
      <c r="T207" s="45" t="str">
        <f aca="false">IF(ISNUMBER($S207),$S207*$H207,"")</f>
        <v/>
      </c>
      <c r="U207" s="45" t="str">
        <f aca="false">IF(ISNUMBER($S207),$S207*Parâmetros!$B$7,"")</f>
        <v/>
      </c>
      <c r="V207" s="45" t="str">
        <f aca="false">IF(ISNUMBER($S207),$S207*Parâmetros!$C$7,"")</f>
        <v/>
      </c>
      <c r="W207" s="44" t="str">
        <f aca="false">IF(ISNUMBER($S207),$S207-$D207-IF(ISNUMBER($E207),$E207,0)-$O207-$T207-$U207-$V207,"")</f>
        <v/>
      </c>
      <c r="X207" s="46" t="str">
        <f aca="false">IF(AND(ISNUMBER($S207),$S207&gt;0),$W207/$S207,"")</f>
        <v/>
      </c>
      <c r="Y207" s="49"/>
      <c r="Z207" s="21"/>
    </row>
    <row r="208" customFormat="false" ht="15.75" hidden="false" customHeight="true" outlineLevel="0" collapsed="false">
      <c r="A208" s="32" t="str">
        <f aca="false">IF(Produtos!$A208="","",Produtos!$A208)</f>
        <v>L2030-T</v>
      </c>
      <c r="B208" s="32" t="str">
        <f aca="false">IF(Produtos!$A208="","",Produtos!$B208)</f>
        <v>Lixeira de Aço inox 20x30 10L com tampa</v>
      </c>
      <c r="C208" s="32" t="str">
        <f aca="false">IF(Produtos!$A208="","",Produtos!$C208)</f>
        <v>Lixeiras em inox</v>
      </c>
      <c r="D208" s="33" t="n">
        <f aca="false">IF(Produtos!$A208="","",IF(Produtos!$D208="","",Produtos!$D208))</f>
        <v>69.27</v>
      </c>
      <c r="E208" s="11" t="n">
        <v>0</v>
      </c>
      <c r="F208" s="34" t="n">
        <f aca="false">IF($A208="","",IF($C208="","⚠ categoria",IFERROR(INDEX(Parâmetros!$E$13:$E$22,MATCH($C208,Parâmetros!$A$13:$A$22,0)),"⚠ categoria")))</f>
        <v>0.21</v>
      </c>
      <c r="G208" s="35"/>
      <c r="H208" s="36" t="n">
        <f aca="false">IF($A208="","",IF(ISNUMBER($G208),$G208,IF(ISNUMBER($F208),$F208,"")))</f>
        <v>0.21</v>
      </c>
      <c r="I208" s="37" t="n">
        <f aca="false">IF(OR($A208="",NOT(ISNUMBER($D208)),NOT(ISNUMBER($H208))),"",IF((1-$H208-Parâmetros!$B$7-Parâmetros!$C$7-Parâmetros!$D$7)&lt;=0,"INVALIDO",($D208+IF(ISNUMBER($E208),$E208,0)+IF(ISNUMBER(Parâmetros!$E$7),Parâmetros!$E$7,0))/(1-$H208-Parâmetros!$B$7-Parâmetros!$C$7-Parâmetros!$D$7)))</f>
        <v>150.586956521739</v>
      </c>
      <c r="J208" s="38"/>
      <c r="K208" s="39" t="n">
        <f aca="false">IF(OR($A208="",NOT(ISNUMBER($D208)),NOT(ISNUMBER($H208))),"",IF(AND(ISNUMBER($J208),$J208&gt;0),$J208,IF(ISNUMBER($I208),$I208,"")))</f>
        <v>150.586956521739</v>
      </c>
      <c r="L208" s="40" t="n">
        <f aca="false">IF(ISNUMBER($K208),$K208*$H208,"")</f>
        <v>31.6232608695652</v>
      </c>
      <c r="M208" s="40" t="n">
        <f aca="false">IF(ISNUMBER($K208),$K208*Parâmetros!$B$7,"")</f>
        <v>15.0586956521739</v>
      </c>
      <c r="N208" s="40" t="n">
        <f aca="false">IF(ISNUMBER($K208),$K208*Parâmetros!$C$7,"")</f>
        <v>4.51760869565217</v>
      </c>
      <c r="O208" s="40" t="n">
        <f aca="false">IF(ISNUMBER($K208),IF(ISNUMBER(Parâmetros!$E$7),Parâmetros!$E$7,0),"")</f>
        <v>0</v>
      </c>
      <c r="P208" s="41" t="n">
        <f aca="false">IF(ISNUMBER($K208),$K208-$D208-IF(ISNUMBER($E208),$E208,0)-$L208-$M208-$N208-$O208,"")</f>
        <v>30.1173913043478</v>
      </c>
      <c r="Q208" s="42" t="n">
        <f aca="false">IF(AND(ISNUMBER($K208),$K208&gt;0),$P208/$K208,"")</f>
        <v>0.2</v>
      </c>
      <c r="R208" s="43"/>
      <c r="S208" s="44" t="str">
        <f aca="false">IF(OR(NOT(ISNUMBER($R208)),$R208=0,NOT(ISNUMBER($K208))),"",$K208*(1-$R208))</f>
        <v/>
      </c>
      <c r="T208" s="45" t="str">
        <f aca="false">IF(ISNUMBER($S208),$S208*$H208,"")</f>
        <v/>
      </c>
      <c r="U208" s="45" t="str">
        <f aca="false">IF(ISNUMBER($S208),$S208*Parâmetros!$B$7,"")</f>
        <v/>
      </c>
      <c r="V208" s="45" t="str">
        <f aca="false">IF(ISNUMBER($S208),$S208*Parâmetros!$C$7,"")</f>
        <v/>
      </c>
      <c r="W208" s="44" t="str">
        <f aca="false">IF(ISNUMBER($S208),$S208-$D208-IF(ISNUMBER($E208),$E208,0)-$O208-$T208-$U208-$V208,"")</f>
        <v/>
      </c>
      <c r="X208" s="46" t="str">
        <f aca="false">IF(AND(ISNUMBER($S208),$S208&gt;0),$W208/$S208,"")</f>
        <v/>
      </c>
      <c r="Y208" s="47"/>
      <c r="Z208" s="19"/>
    </row>
    <row r="209" customFormat="false" ht="15.75" hidden="false" customHeight="true" outlineLevel="0" collapsed="false">
      <c r="A209" s="48" t="str">
        <f aca="false">IF(Produtos!$A209="","",Produtos!$A209)</f>
        <v>A24</v>
      </c>
      <c r="B209" s="48" t="str">
        <f aca="false">IF(Produtos!$A209="","",Produtos!$B209)</f>
        <v>Aro 24cm Aço Inox</v>
      </c>
      <c r="C209" s="48" t="str">
        <f aca="false">IF(Produtos!$A209="","",Produtos!$C209)</f>
        <v>Acessórios (aros e tampas)</v>
      </c>
      <c r="D209" s="33" t="n">
        <f aca="false">IF(Produtos!$A209="","",IF(Produtos!$D209="","",Produtos!$D209))</f>
        <v>38.11</v>
      </c>
      <c r="E209" s="11" t="n">
        <v>0</v>
      </c>
      <c r="F209" s="34" t="n">
        <f aca="false">IF($A209="","",IF($C209="","⚠ categoria",IFERROR(INDEX(Parâmetros!$E$13:$E$22,MATCH($C209,Parâmetros!$A$13:$A$22,0)),"⚠ categoria")))</f>
        <v>0.21</v>
      </c>
      <c r="G209" s="35"/>
      <c r="H209" s="36" t="n">
        <f aca="false">IF($A209="","",IF(ISNUMBER($G209),$G209,IF(ISNUMBER($F209),$F209,"")))</f>
        <v>0.21</v>
      </c>
      <c r="I209" s="37" t="n">
        <f aca="false">IF(OR($A209="",NOT(ISNUMBER($D209)),NOT(ISNUMBER($H209))),"",IF((1-$H209-Parâmetros!$B$7-Parâmetros!$C$7-Parâmetros!$D$7)&lt;=0,"INVALIDO",($D209+IF(ISNUMBER($E209),$E209,0)+IF(ISNUMBER(Parâmetros!$E$7),Parâmetros!$E$7,0))/(1-$H209-Parâmetros!$B$7-Parâmetros!$C$7-Parâmetros!$D$7)))</f>
        <v>82.8478260869565</v>
      </c>
      <c r="J209" s="38"/>
      <c r="K209" s="39" t="n">
        <f aca="false">IF(OR($A209="",NOT(ISNUMBER($D209)),NOT(ISNUMBER($H209))),"",IF(AND(ISNUMBER($J209),$J209&gt;0),$J209,IF(ISNUMBER($I209),$I209,"")))</f>
        <v>82.8478260869565</v>
      </c>
      <c r="L209" s="40" t="n">
        <f aca="false">IF(ISNUMBER($K209),$K209*$H209,"")</f>
        <v>17.3980434782609</v>
      </c>
      <c r="M209" s="40" t="n">
        <f aca="false">IF(ISNUMBER($K209),$K209*Parâmetros!$B$7,"")</f>
        <v>8.28478260869565</v>
      </c>
      <c r="N209" s="40" t="n">
        <f aca="false">IF(ISNUMBER($K209),$K209*Parâmetros!$C$7,"")</f>
        <v>2.4854347826087</v>
      </c>
      <c r="O209" s="40" t="n">
        <f aca="false">IF(ISNUMBER($K209),IF(ISNUMBER(Parâmetros!$E$7),Parâmetros!$E$7,0),"")</f>
        <v>0</v>
      </c>
      <c r="P209" s="41" t="n">
        <f aca="false">IF(ISNUMBER($K209),$K209-$D209-IF(ISNUMBER($E209),$E209,0)-$L209-$M209-$N209-$O209,"")</f>
        <v>16.5695652173913</v>
      </c>
      <c r="Q209" s="42" t="n">
        <f aca="false">IF(AND(ISNUMBER($K209),$K209&gt;0),$P209/$K209,"")</f>
        <v>0.2</v>
      </c>
      <c r="R209" s="43"/>
      <c r="S209" s="44" t="str">
        <f aca="false">IF(OR(NOT(ISNUMBER($R209)),$R209=0,NOT(ISNUMBER($K209))),"",$K209*(1-$R209))</f>
        <v/>
      </c>
      <c r="T209" s="45" t="str">
        <f aca="false">IF(ISNUMBER($S209),$S209*$H209,"")</f>
        <v/>
      </c>
      <c r="U209" s="45" t="str">
        <f aca="false">IF(ISNUMBER($S209),$S209*Parâmetros!$B$7,"")</f>
        <v/>
      </c>
      <c r="V209" s="45" t="str">
        <f aca="false">IF(ISNUMBER($S209),$S209*Parâmetros!$C$7,"")</f>
        <v/>
      </c>
      <c r="W209" s="44" t="str">
        <f aca="false">IF(ISNUMBER($S209),$S209-$D209-IF(ISNUMBER($E209),$E209,0)-$O209-$T209-$U209-$V209,"")</f>
        <v/>
      </c>
      <c r="X209" s="46" t="str">
        <f aca="false">IF(AND(ISNUMBER($S209),$S209&gt;0),$W209/$S209,"")</f>
        <v/>
      </c>
      <c r="Y209" s="49"/>
      <c r="Z209" s="21"/>
    </row>
    <row r="210" customFormat="false" ht="15.75" hidden="false" customHeight="true" outlineLevel="0" collapsed="false">
      <c r="A210" s="32" t="str">
        <f aca="false">IF(Produtos!$A210="","",Produtos!$A210)</f>
        <v>A30</v>
      </c>
      <c r="B210" s="32" t="str">
        <f aca="false">IF(Produtos!$A210="","",Produtos!$B210)</f>
        <v>Aro 30cm Aço Inox</v>
      </c>
      <c r="C210" s="32" t="str">
        <f aca="false">IF(Produtos!$A210="","",Produtos!$C210)</f>
        <v>Acessórios (aros e tampas)</v>
      </c>
      <c r="D210" s="33" t="n">
        <f aca="false">IF(Produtos!$A210="","",IF(Produtos!$D210="","",Produtos!$D210))</f>
        <v>44.27</v>
      </c>
      <c r="E210" s="11" t="n">
        <v>0</v>
      </c>
      <c r="F210" s="34" t="n">
        <f aca="false">IF($A210="","",IF($C210="","⚠ categoria",IFERROR(INDEX(Parâmetros!$E$13:$E$22,MATCH($C210,Parâmetros!$A$13:$A$22,0)),"⚠ categoria")))</f>
        <v>0.21</v>
      </c>
      <c r="G210" s="35"/>
      <c r="H210" s="36" t="n">
        <f aca="false">IF($A210="","",IF(ISNUMBER($G210),$G210,IF(ISNUMBER($F210),$F210,"")))</f>
        <v>0.21</v>
      </c>
      <c r="I210" s="37" t="n">
        <f aca="false">IF(OR($A210="",NOT(ISNUMBER($D210)),NOT(ISNUMBER($H210))),"",IF((1-$H210-Parâmetros!$B$7-Parâmetros!$C$7-Parâmetros!$D$7)&lt;=0,"INVALIDO",($D210+IF(ISNUMBER($E210),$E210,0)+IF(ISNUMBER(Parâmetros!$E$7),Parâmetros!$E$7,0))/(1-$H210-Parâmetros!$B$7-Parâmetros!$C$7-Parâmetros!$D$7)))</f>
        <v>96.2391304347826</v>
      </c>
      <c r="J210" s="38"/>
      <c r="K210" s="39" t="n">
        <f aca="false">IF(OR($A210="",NOT(ISNUMBER($D210)),NOT(ISNUMBER($H210))),"",IF(AND(ISNUMBER($J210),$J210&gt;0),$J210,IF(ISNUMBER($I210),$I210,"")))</f>
        <v>96.2391304347826</v>
      </c>
      <c r="L210" s="40" t="n">
        <f aca="false">IF(ISNUMBER($K210),$K210*$H210,"")</f>
        <v>20.2102173913043</v>
      </c>
      <c r="M210" s="40" t="n">
        <f aca="false">IF(ISNUMBER($K210),$K210*Parâmetros!$B$7,"")</f>
        <v>9.62391304347826</v>
      </c>
      <c r="N210" s="40" t="n">
        <f aca="false">IF(ISNUMBER($K210),$K210*Parâmetros!$C$7,"")</f>
        <v>2.88717391304348</v>
      </c>
      <c r="O210" s="40" t="n">
        <f aca="false">IF(ISNUMBER($K210),IF(ISNUMBER(Parâmetros!$E$7),Parâmetros!$E$7,0),"")</f>
        <v>0</v>
      </c>
      <c r="P210" s="41" t="n">
        <f aca="false">IF(ISNUMBER($K210),$K210-$D210-IF(ISNUMBER($E210),$E210,0)-$L210-$M210-$N210-$O210,"")</f>
        <v>19.2478260869565</v>
      </c>
      <c r="Q210" s="42" t="n">
        <f aca="false">IF(AND(ISNUMBER($K210),$K210&gt;0),$P210/$K210,"")</f>
        <v>0.2</v>
      </c>
      <c r="R210" s="43"/>
      <c r="S210" s="44" t="str">
        <f aca="false">IF(OR(NOT(ISNUMBER($R210)),$R210=0,NOT(ISNUMBER($K210))),"",$K210*(1-$R210))</f>
        <v/>
      </c>
      <c r="T210" s="45" t="str">
        <f aca="false">IF(ISNUMBER($S210),$S210*$H210,"")</f>
        <v/>
      </c>
      <c r="U210" s="45" t="str">
        <f aca="false">IF(ISNUMBER($S210),$S210*Parâmetros!$B$7,"")</f>
        <v/>
      </c>
      <c r="V210" s="45" t="str">
        <f aca="false">IF(ISNUMBER($S210),$S210*Parâmetros!$C$7,"")</f>
        <v/>
      </c>
      <c r="W210" s="44" t="str">
        <f aca="false">IF(ISNUMBER($S210),$S210-$D210-IF(ISNUMBER($E210),$E210,0)-$O210-$T210-$U210-$V210,"")</f>
        <v/>
      </c>
      <c r="X210" s="46" t="str">
        <f aca="false">IF(AND(ISNUMBER($S210),$S210&gt;0),$W210/$S210,"")</f>
        <v/>
      </c>
      <c r="Y210" s="47"/>
      <c r="Z210" s="19"/>
    </row>
    <row r="211" customFormat="false" ht="15.75" hidden="false" customHeight="true" outlineLevel="0" collapsed="false">
      <c r="A211" s="48" t="str">
        <f aca="false">IF(Produtos!$A211="","",Produtos!$A211)</f>
        <v>A40</v>
      </c>
      <c r="B211" s="48" t="str">
        <f aca="false">IF(Produtos!$A211="","",Produtos!$B211)</f>
        <v>Aro 40cm Aço Inox</v>
      </c>
      <c r="C211" s="48" t="str">
        <f aca="false">IF(Produtos!$A211="","",Produtos!$C211)</f>
        <v>Acessórios (aros e tampas)</v>
      </c>
      <c r="D211" s="33" t="n">
        <f aca="false">IF(Produtos!$A211="","",IF(Produtos!$D211="","",Produtos!$D211))</f>
        <v>94.36</v>
      </c>
      <c r="E211" s="11" t="n">
        <v>0</v>
      </c>
      <c r="F211" s="34" t="n">
        <f aca="false">IF($A211="","",IF($C211="","⚠ categoria",IFERROR(INDEX(Parâmetros!$E$13:$E$22,MATCH($C211,Parâmetros!$A$13:$A$22,0)),"⚠ categoria")))</f>
        <v>0.21</v>
      </c>
      <c r="G211" s="35"/>
      <c r="H211" s="36" t="n">
        <f aca="false">IF($A211="","",IF(ISNUMBER($G211),$G211,IF(ISNUMBER($F211),$F211,"")))</f>
        <v>0.21</v>
      </c>
      <c r="I211" s="37" t="n">
        <f aca="false">IF(OR($A211="",NOT(ISNUMBER($D211)),NOT(ISNUMBER($H211))),"",IF((1-$H211-Parâmetros!$B$7-Parâmetros!$C$7-Parâmetros!$D$7)&lt;=0,"INVALIDO",($D211+IF(ISNUMBER($E211),$E211,0)+IF(ISNUMBER(Parâmetros!$E$7),Parâmetros!$E$7,0))/(1-$H211-Parâmetros!$B$7-Parâmetros!$C$7-Parâmetros!$D$7)))</f>
        <v>205.130434782609</v>
      </c>
      <c r="J211" s="38"/>
      <c r="K211" s="39" t="n">
        <f aca="false">IF(OR($A211="",NOT(ISNUMBER($D211)),NOT(ISNUMBER($H211))),"",IF(AND(ISNUMBER($J211),$J211&gt;0),$J211,IF(ISNUMBER($I211),$I211,"")))</f>
        <v>205.130434782609</v>
      </c>
      <c r="L211" s="40" t="n">
        <f aca="false">IF(ISNUMBER($K211),$K211*$H211,"")</f>
        <v>43.0773913043478</v>
      </c>
      <c r="M211" s="40" t="n">
        <f aca="false">IF(ISNUMBER($K211),$K211*Parâmetros!$B$7,"")</f>
        <v>20.5130434782609</v>
      </c>
      <c r="N211" s="40" t="n">
        <f aca="false">IF(ISNUMBER($K211),$K211*Parâmetros!$C$7,"")</f>
        <v>6.15391304347826</v>
      </c>
      <c r="O211" s="40" t="n">
        <f aca="false">IF(ISNUMBER($K211),IF(ISNUMBER(Parâmetros!$E$7),Parâmetros!$E$7,0),"")</f>
        <v>0</v>
      </c>
      <c r="P211" s="41" t="n">
        <f aca="false">IF(ISNUMBER($K211),$K211-$D211-IF(ISNUMBER($E211),$E211,0)-$L211-$M211-$N211-$O211,"")</f>
        <v>41.0260869565217</v>
      </c>
      <c r="Q211" s="42" t="n">
        <f aca="false">IF(AND(ISNUMBER($K211),$K211&gt;0),$P211/$K211,"")</f>
        <v>0.2</v>
      </c>
      <c r="R211" s="43"/>
      <c r="S211" s="44" t="str">
        <f aca="false">IF(OR(NOT(ISNUMBER($R211)),$R211=0,NOT(ISNUMBER($K211))),"",$K211*(1-$R211))</f>
        <v/>
      </c>
      <c r="T211" s="45" t="str">
        <f aca="false">IF(ISNUMBER($S211),$S211*$H211,"")</f>
        <v/>
      </c>
      <c r="U211" s="45" t="str">
        <f aca="false">IF(ISNUMBER($S211),$S211*Parâmetros!$B$7,"")</f>
        <v/>
      </c>
      <c r="V211" s="45" t="str">
        <f aca="false">IF(ISNUMBER($S211),$S211*Parâmetros!$C$7,"")</f>
        <v/>
      </c>
      <c r="W211" s="44" t="str">
        <f aca="false">IF(ISNUMBER($S211),$S211-$D211-IF(ISNUMBER($E211),$E211,0)-$O211-$T211-$U211-$V211,"")</f>
        <v/>
      </c>
      <c r="X211" s="46" t="str">
        <f aca="false">IF(AND(ISNUMBER($S211),$S211&gt;0),$W211/$S211,"")</f>
        <v/>
      </c>
      <c r="Y211" s="49"/>
      <c r="Z211" s="21"/>
    </row>
    <row r="212" customFormat="false" ht="15.75" hidden="false" customHeight="true" outlineLevel="0" collapsed="false">
      <c r="A212" s="32" t="str">
        <f aca="false">IF(Produtos!$A212="","",Produtos!$A212)</f>
        <v>A24B</v>
      </c>
      <c r="B212" s="32" t="str">
        <f aca="false">IF(Produtos!$A212="","",Produtos!$B212)</f>
        <v>Aro 24cm c/Basculante Aço Inox</v>
      </c>
      <c r="C212" s="32" t="str">
        <f aca="false">IF(Produtos!$A212="","",Produtos!$C212)</f>
        <v>Acessórios (aros e tampas)</v>
      </c>
      <c r="D212" s="33" t="n">
        <f aca="false">IF(Produtos!$A212="","",IF(Produtos!$D212="","",Produtos!$D212))</f>
        <v>52.34</v>
      </c>
      <c r="E212" s="11" t="n">
        <v>0</v>
      </c>
      <c r="F212" s="34" t="n">
        <f aca="false">IF($A212="","",IF($C212="","⚠ categoria",IFERROR(INDEX(Parâmetros!$E$13:$E$22,MATCH($C212,Parâmetros!$A$13:$A$22,0)),"⚠ categoria")))</f>
        <v>0.21</v>
      </c>
      <c r="G212" s="35"/>
      <c r="H212" s="36" t="n">
        <f aca="false">IF($A212="","",IF(ISNUMBER($G212),$G212,IF(ISNUMBER($F212),$F212,"")))</f>
        <v>0.21</v>
      </c>
      <c r="I212" s="37" t="n">
        <f aca="false">IF(OR($A212="",NOT(ISNUMBER($D212)),NOT(ISNUMBER($H212))),"",IF((1-$H212-Parâmetros!$B$7-Parâmetros!$C$7-Parâmetros!$D$7)&lt;=0,"INVALIDO",($D212+IF(ISNUMBER($E212),$E212,0)+IF(ISNUMBER(Parâmetros!$E$7),Parâmetros!$E$7,0))/(1-$H212-Parâmetros!$B$7-Parâmetros!$C$7-Parâmetros!$D$7)))</f>
        <v>113.782608695652</v>
      </c>
      <c r="J212" s="38"/>
      <c r="K212" s="39" t="n">
        <f aca="false">IF(OR($A212="",NOT(ISNUMBER($D212)),NOT(ISNUMBER($H212))),"",IF(AND(ISNUMBER($J212),$J212&gt;0),$J212,IF(ISNUMBER($I212),$I212,"")))</f>
        <v>113.782608695652</v>
      </c>
      <c r="L212" s="40" t="n">
        <f aca="false">IF(ISNUMBER($K212),$K212*$H212,"")</f>
        <v>23.894347826087</v>
      </c>
      <c r="M212" s="40" t="n">
        <f aca="false">IF(ISNUMBER($K212),$K212*Parâmetros!$B$7,"")</f>
        <v>11.3782608695652</v>
      </c>
      <c r="N212" s="40" t="n">
        <f aca="false">IF(ISNUMBER($K212),$K212*Parâmetros!$C$7,"")</f>
        <v>3.41347826086957</v>
      </c>
      <c r="O212" s="40" t="n">
        <f aca="false">IF(ISNUMBER($K212),IF(ISNUMBER(Parâmetros!$E$7),Parâmetros!$E$7,0),"")</f>
        <v>0</v>
      </c>
      <c r="P212" s="41" t="n">
        <f aca="false">IF(ISNUMBER($K212),$K212-$D212-IF(ISNUMBER($E212),$E212,0)-$L212-$M212-$N212-$O212,"")</f>
        <v>22.7565217391304</v>
      </c>
      <c r="Q212" s="42" t="n">
        <f aca="false">IF(AND(ISNUMBER($K212),$K212&gt;0),$P212/$K212,"")</f>
        <v>0.2</v>
      </c>
      <c r="R212" s="43"/>
      <c r="S212" s="44" t="str">
        <f aca="false">IF(OR(NOT(ISNUMBER($R212)),$R212=0,NOT(ISNUMBER($K212))),"",$K212*(1-$R212))</f>
        <v/>
      </c>
      <c r="T212" s="45" t="str">
        <f aca="false">IF(ISNUMBER($S212),$S212*$H212,"")</f>
        <v/>
      </c>
      <c r="U212" s="45" t="str">
        <f aca="false">IF(ISNUMBER($S212),$S212*Parâmetros!$B$7,"")</f>
        <v/>
      </c>
      <c r="V212" s="45" t="str">
        <f aca="false">IF(ISNUMBER($S212),$S212*Parâmetros!$C$7,"")</f>
        <v/>
      </c>
      <c r="W212" s="44" t="str">
        <f aca="false">IF(ISNUMBER($S212),$S212-$D212-IF(ISNUMBER($E212),$E212,0)-$O212-$T212-$U212-$V212,"")</f>
        <v/>
      </c>
      <c r="X212" s="46" t="str">
        <f aca="false">IF(AND(ISNUMBER($S212),$S212&gt;0),$W212/$S212,"")</f>
        <v/>
      </c>
      <c r="Y212" s="47"/>
      <c r="Z212" s="19"/>
    </row>
    <row r="213" customFormat="false" ht="15.75" hidden="false" customHeight="true" outlineLevel="0" collapsed="false">
      <c r="A213" s="48" t="str">
        <f aca="false">IF(Produtos!$A213="","",Produtos!$A213)</f>
        <v>A30B</v>
      </c>
      <c r="B213" s="48" t="str">
        <f aca="false">IF(Produtos!$A213="","",Produtos!$B213)</f>
        <v>Aro 30cm c/Basculante Aço Inox</v>
      </c>
      <c r="C213" s="48" t="str">
        <f aca="false">IF(Produtos!$A213="","",Produtos!$C213)</f>
        <v>Acessórios (aros e tampas)</v>
      </c>
      <c r="D213" s="33" t="n">
        <f aca="false">IF(Produtos!$A213="","",IF(Produtos!$D213="","",Produtos!$D213))</f>
        <v>68.24</v>
      </c>
      <c r="E213" s="11" t="n">
        <v>0</v>
      </c>
      <c r="F213" s="34" t="n">
        <f aca="false">IF($A213="","",IF($C213="","⚠ categoria",IFERROR(INDEX(Parâmetros!$E$13:$E$22,MATCH($C213,Parâmetros!$A$13:$A$22,0)),"⚠ categoria")))</f>
        <v>0.21</v>
      </c>
      <c r="G213" s="35"/>
      <c r="H213" s="36" t="n">
        <f aca="false">IF($A213="","",IF(ISNUMBER($G213),$G213,IF(ISNUMBER($F213),$F213,"")))</f>
        <v>0.21</v>
      </c>
      <c r="I213" s="37" t="n">
        <f aca="false">IF(OR($A213="",NOT(ISNUMBER($D213)),NOT(ISNUMBER($H213))),"",IF((1-$H213-Parâmetros!$B$7-Parâmetros!$C$7-Parâmetros!$D$7)&lt;=0,"INVALIDO",($D213+IF(ISNUMBER($E213),$E213,0)+IF(ISNUMBER(Parâmetros!$E$7),Parâmetros!$E$7,0))/(1-$H213-Parâmetros!$B$7-Parâmetros!$C$7-Parâmetros!$D$7)))</f>
        <v>148.347826086957</v>
      </c>
      <c r="J213" s="38"/>
      <c r="K213" s="39" t="n">
        <f aca="false">IF(OR($A213="",NOT(ISNUMBER($D213)),NOT(ISNUMBER($H213))),"",IF(AND(ISNUMBER($J213),$J213&gt;0),$J213,IF(ISNUMBER($I213),$I213,"")))</f>
        <v>148.347826086957</v>
      </c>
      <c r="L213" s="40" t="n">
        <f aca="false">IF(ISNUMBER($K213),$K213*$H213,"")</f>
        <v>31.1530434782609</v>
      </c>
      <c r="M213" s="40" t="n">
        <f aca="false">IF(ISNUMBER($K213),$K213*Parâmetros!$B$7,"")</f>
        <v>14.8347826086957</v>
      </c>
      <c r="N213" s="40" t="n">
        <f aca="false">IF(ISNUMBER($K213),$K213*Parâmetros!$C$7,"")</f>
        <v>4.4504347826087</v>
      </c>
      <c r="O213" s="40" t="n">
        <f aca="false">IF(ISNUMBER($K213),IF(ISNUMBER(Parâmetros!$E$7),Parâmetros!$E$7,0),"")</f>
        <v>0</v>
      </c>
      <c r="P213" s="41" t="n">
        <f aca="false">IF(ISNUMBER($K213),$K213-$D213-IF(ISNUMBER($E213),$E213,0)-$L213-$M213-$N213-$O213,"")</f>
        <v>29.6695652173913</v>
      </c>
      <c r="Q213" s="42" t="n">
        <f aca="false">IF(AND(ISNUMBER($K213),$K213&gt;0),$P213/$K213,"")</f>
        <v>0.2</v>
      </c>
      <c r="R213" s="43"/>
      <c r="S213" s="44" t="str">
        <f aca="false">IF(OR(NOT(ISNUMBER($R213)),$R213=0,NOT(ISNUMBER($K213))),"",$K213*(1-$R213))</f>
        <v/>
      </c>
      <c r="T213" s="45" t="str">
        <f aca="false">IF(ISNUMBER($S213),$S213*$H213,"")</f>
        <v/>
      </c>
      <c r="U213" s="45" t="str">
        <f aca="false">IF(ISNUMBER($S213),$S213*Parâmetros!$B$7,"")</f>
        <v/>
      </c>
      <c r="V213" s="45" t="str">
        <f aca="false">IF(ISNUMBER($S213),$S213*Parâmetros!$C$7,"")</f>
        <v/>
      </c>
      <c r="W213" s="44" t="str">
        <f aca="false">IF(ISNUMBER($S213),$S213-$D213-IF(ISNUMBER($E213),$E213,0)-$O213-$T213-$U213-$V213,"")</f>
        <v/>
      </c>
      <c r="X213" s="46" t="str">
        <f aca="false">IF(AND(ISNUMBER($S213),$S213&gt;0),$W213/$S213,"")</f>
        <v/>
      </c>
      <c r="Y213" s="49"/>
      <c r="Z213" s="21"/>
    </row>
    <row r="214" customFormat="false" ht="15.75" hidden="false" customHeight="true" outlineLevel="0" collapsed="false">
      <c r="A214" s="32" t="str">
        <f aca="false">IF(Produtos!$A214="","",Produtos!$A214)</f>
        <v>A40B</v>
      </c>
      <c r="B214" s="32" t="str">
        <f aca="false">IF(Produtos!$A214="","",Produtos!$B214)</f>
        <v>Aro 40cm c/Basculante Aço Inox</v>
      </c>
      <c r="C214" s="32" t="str">
        <f aca="false">IF(Produtos!$A214="","",Produtos!$C214)</f>
        <v>Acessórios (aros e tampas)</v>
      </c>
      <c r="D214" s="33" t="n">
        <f aca="false">IF(Produtos!$A214="","",IF(Produtos!$D214="","",Produtos!$D214))</f>
        <v>136.51</v>
      </c>
      <c r="E214" s="11" t="n">
        <v>0</v>
      </c>
      <c r="F214" s="34" t="n">
        <f aca="false">IF($A214="","",IF($C214="","⚠ categoria",IFERROR(INDEX(Parâmetros!$E$13:$E$22,MATCH($C214,Parâmetros!$A$13:$A$22,0)),"⚠ categoria")))</f>
        <v>0.21</v>
      </c>
      <c r="G214" s="35"/>
      <c r="H214" s="36" t="n">
        <f aca="false">IF($A214="","",IF(ISNUMBER($G214),$G214,IF(ISNUMBER($F214),$F214,"")))</f>
        <v>0.21</v>
      </c>
      <c r="I214" s="37" t="n">
        <f aca="false">IF(OR($A214="",NOT(ISNUMBER($D214)),NOT(ISNUMBER($H214))),"",IF((1-$H214-Parâmetros!$B$7-Parâmetros!$C$7-Parâmetros!$D$7)&lt;=0,"INVALIDO",($D214+IF(ISNUMBER($E214),$E214,0)+IF(ISNUMBER(Parâmetros!$E$7),Parâmetros!$E$7,0))/(1-$H214-Parâmetros!$B$7-Parâmetros!$C$7-Parâmetros!$D$7)))</f>
        <v>296.760869565217</v>
      </c>
      <c r="J214" s="38"/>
      <c r="K214" s="39" t="n">
        <f aca="false">IF(OR($A214="",NOT(ISNUMBER($D214)),NOT(ISNUMBER($H214))),"",IF(AND(ISNUMBER($J214),$J214&gt;0),$J214,IF(ISNUMBER($I214),$I214,"")))</f>
        <v>296.760869565217</v>
      </c>
      <c r="L214" s="40" t="n">
        <f aca="false">IF(ISNUMBER($K214),$K214*$H214,"")</f>
        <v>62.3197826086957</v>
      </c>
      <c r="M214" s="40" t="n">
        <f aca="false">IF(ISNUMBER($K214),$K214*Parâmetros!$B$7,"")</f>
        <v>29.6760869565217</v>
      </c>
      <c r="N214" s="40" t="n">
        <f aca="false">IF(ISNUMBER($K214),$K214*Parâmetros!$C$7,"")</f>
        <v>8.90282608695652</v>
      </c>
      <c r="O214" s="40" t="n">
        <f aca="false">IF(ISNUMBER($K214),IF(ISNUMBER(Parâmetros!$E$7),Parâmetros!$E$7,0),"")</f>
        <v>0</v>
      </c>
      <c r="P214" s="41" t="n">
        <f aca="false">IF(ISNUMBER($K214),$K214-$D214-IF(ISNUMBER($E214),$E214,0)-$L214-$M214-$N214-$O214,"")</f>
        <v>59.3521739130435</v>
      </c>
      <c r="Q214" s="42" t="n">
        <f aca="false">IF(AND(ISNUMBER($K214),$K214&gt;0),$P214/$K214,"")</f>
        <v>0.2</v>
      </c>
      <c r="R214" s="43"/>
      <c r="S214" s="44" t="str">
        <f aca="false">IF(OR(NOT(ISNUMBER($R214)),$R214=0,NOT(ISNUMBER($K214))),"",$K214*(1-$R214))</f>
        <v/>
      </c>
      <c r="T214" s="45" t="str">
        <f aca="false">IF(ISNUMBER($S214),$S214*$H214,"")</f>
        <v/>
      </c>
      <c r="U214" s="45" t="str">
        <f aca="false">IF(ISNUMBER($S214),$S214*Parâmetros!$B$7,"")</f>
        <v/>
      </c>
      <c r="V214" s="45" t="str">
        <f aca="false">IF(ISNUMBER($S214),$S214*Parâmetros!$C$7,"")</f>
        <v/>
      </c>
      <c r="W214" s="44" t="str">
        <f aca="false">IF(ISNUMBER($S214),$S214-$D214-IF(ISNUMBER($E214),$E214,0)-$O214-$T214-$U214-$V214,"")</f>
        <v/>
      </c>
      <c r="X214" s="46" t="str">
        <f aca="false">IF(AND(ISNUMBER($S214),$S214&gt;0),$W214/$S214,"")</f>
        <v/>
      </c>
      <c r="Y214" s="47"/>
      <c r="Z214" s="19"/>
    </row>
    <row r="215" customFormat="false" ht="15.75" hidden="false" customHeight="true" outlineLevel="0" collapsed="false">
      <c r="A215" s="48" t="str">
        <f aca="false">IF(Produtos!$A215="","",Produtos!$A215)</f>
        <v>A24C</v>
      </c>
      <c r="B215" s="48" t="str">
        <f aca="false">IF(Produtos!$A215="","",Produtos!$B215)</f>
        <v>Aro 24cm Pintado</v>
      </c>
      <c r="C215" s="48" t="str">
        <f aca="false">IF(Produtos!$A215="","",Produtos!$C215)</f>
        <v>Acessórios (aros e tampas)</v>
      </c>
      <c r="D215" s="33" t="n">
        <f aca="false">IF(Produtos!$A215="","",IF(Produtos!$D215="","",Produtos!$D215))</f>
        <v>50.43</v>
      </c>
      <c r="E215" s="11" t="n">
        <v>0</v>
      </c>
      <c r="F215" s="34" t="n">
        <f aca="false">IF($A215="","",IF($C215="","⚠ categoria",IFERROR(INDEX(Parâmetros!$E$13:$E$22,MATCH($C215,Parâmetros!$A$13:$A$22,0)),"⚠ categoria")))</f>
        <v>0.21</v>
      </c>
      <c r="G215" s="35"/>
      <c r="H215" s="36" t="n">
        <f aca="false">IF($A215="","",IF(ISNUMBER($G215),$G215,IF(ISNUMBER($F215),$F215,"")))</f>
        <v>0.21</v>
      </c>
      <c r="I215" s="37" t="n">
        <f aca="false">IF(OR($A215="",NOT(ISNUMBER($D215)),NOT(ISNUMBER($H215))),"",IF((1-$H215-Parâmetros!$B$7-Parâmetros!$C$7-Parâmetros!$D$7)&lt;=0,"INVALIDO",($D215+IF(ISNUMBER($E215),$E215,0)+IF(ISNUMBER(Parâmetros!$E$7),Parâmetros!$E$7,0))/(1-$H215-Parâmetros!$B$7-Parâmetros!$C$7-Parâmetros!$D$7)))</f>
        <v>109.630434782609</v>
      </c>
      <c r="J215" s="38"/>
      <c r="K215" s="39" t="n">
        <f aca="false">IF(OR($A215="",NOT(ISNUMBER($D215)),NOT(ISNUMBER($H215))),"",IF(AND(ISNUMBER($J215),$J215&gt;0),$J215,IF(ISNUMBER($I215),$I215,"")))</f>
        <v>109.630434782609</v>
      </c>
      <c r="L215" s="40" t="n">
        <f aca="false">IF(ISNUMBER($K215),$K215*$H215,"")</f>
        <v>23.0223913043478</v>
      </c>
      <c r="M215" s="40" t="n">
        <f aca="false">IF(ISNUMBER($K215),$K215*Parâmetros!$B$7,"")</f>
        <v>10.9630434782609</v>
      </c>
      <c r="N215" s="40" t="n">
        <f aca="false">IF(ISNUMBER($K215),$K215*Parâmetros!$C$7,"")</f>
        <v>3.28891304347826</v>
      </c>
      <c r="O215" s="40" t="n">
        <f aca="false">IF(ISNUMBER($K215),IF(ISNUMBER(Parâmetros!$E$7),Parâmetros!$E$7,0),"")</f>
        <v>0</v>
      </c>
      <c r="P215" s="41" t="n">
        <f aca="false">IF(ISNUMBER($K215),$K215-$D215-IF(ISNUMBER($E215),$E215,0)-$L215-$M215-$N215-$O215,"")</f>
        <v>21.9260869565217</v>
      </c>
      <c r="Q215" s="42" t="n">
        <f aca="false">IF(AND(ISNUMBER($K215),$K215&gt;0),$P215/$K215,"")</f>
        <v>0.2</v>
      </c>
      <c r="R215" s="43"/>
      <c r="S215" s="44" t="str">
        <f aca="false">IF(OR(NOT(ISNUMBER($R215)),$R215=0,NOT(ISNUMBER($K215))),"",$K215*(1-$R215))</f>
        <v/>
      </c>
      <c r="T215" s="45" t="str">
        <f aca="false">IF(ISNUMBER($S215),$S215*$H215,"")</f>
        <v/>
      </c>
      <c r="U215" s="45" t="str">
        <f aca="false">IF(ISNUMBER($S215),$S215*Parâmetros!$B$7,"")</f>
        <v/>
      </c>
      <c r="V215" s="45" t="str">
        <f aca="false">IF(ISNUMBER($S215),$S215*Parâmetros!$C$7,"")</f>
        <v/>
      </c>
      <c r="W215" s="44" t="str">
        <f aca="false">IF(ISNUMBER($S215),$S215-$D215-IF(ISNUMBER($E215),$E215,0)-$O215-$T215-$U215-$V215,"")</f>
        <v/>
      </c>
      <c r="X215" s="46" t="str">
        <f aca="false">IF(AND(ISNUMBER($S215),$S215&gt;0),$W215/$S215,"")</f>
        <v/>
      </c>
      <c r="Y215" s="49"/>
      <c r="Z215" s="21"/>
    </row>
    <row r="216" customFormat="false" ht="15.75" hidden="false" customHeight="true" outlineLevel="0" collapsed="false">
      <c r="A216" s="32" t="str">
        <f aca="false">IF(Produtos!$A216="","",Produtos!$A216)</f>
        <v>A30C</v>
      </c>
      <c r="B216" s="32" t="str">
        <f aca="false">IF(Produtos!$A216="","",Produtos!$B216)</f>
        <v>Aro 30cm Pintado</v>
      </c>
      <c r="C216" s="32" t="str">
        <f aca="false">IF(Produtos!$A216="","",Produtos!$C216)</f>
        <v>Acessórios (aros e tampas)</v>
      </c>
      <c r="D216" s="33" t="n">
        <f aca="false">IF(Produtos!$A216="","",IF(Produtos!$D216="","",Produtos!$D216))</f>
        <v>64.43</v>
      </c>
      <c r="E216" s="11" t="n">
        <v>0</v>
      </c>
      <c r="F216" s="34" t="n">
        <f aca="false">IF($A216="","",IF($C216="","⚠ categoria",IFERROR(INDEX(Parâmetros!$E$13:$E$22,MATCH($C216,Parâmetros!$A$13:$A$22,0)),"⚠ categoria")))</f>
        <v>0.21</v>
      </c>
      <c r="G216" s="35"/>
      <c r="H216" s="36" t="n">
        <f aca="false">IF($A216="","",IF(ISNUMBER($G216),$G216,IF(ISNUMBER($F216),$F216,"")))</f>
        <v>0.21</v>
      </c>
      <c r="I216" s="37" t="n">
        <f aca="false">IF(OR($A216="",NOT(ISNUMBER($D216)),NOT(ISNUMBER($H216))),"",IF((1-$H216-Parâmetros!$B$7-Parâmetros!$C$7-Parâmetros!$D$7)&lt;=0,"INVALIDO",($D216+IF(ISNUMBER($E216),$E216,0)+IF(ISNUMBER(Parâmetros!$E$7),Parâmetros!$E$7,0))/(1-$H216-Parâmetros!$B$7-Parâmetros!$C$7-Parâmetros!$D$7)))</f>
        <v>140.065217391304</v>
      </c>
      <c r="J216" s="38"/>
      <c r="K216" s="39" t="n">
        <f aca="false">IF(OR($A216="",NOT(ISNUMBER($D216)),NOT(ISNUMBER($H216))),"",IF(AND(ISNUMBER($J216),$J216&gt;0),$J216,IF(ISNUMBER($I216),$I216,"")))</f>
        <v>140.065217391304</v>
      </c>
      <c r="L216" s="40" t="n">
        <f aca="false">IF(ISNUMBER($K216),$K216*$H216,"")</f>
        <v>29.4136956521739</v>
      </c>
      <c r="M216" s="40" t="n">
        <f aca="false">IF(ISNUMBER($K216),$K216*Parâmetros!$B$7,"")</f>
        <v>14.0065217391304</v>
      </c>
      <c r="N216" s="40" t="n">
        <f aca="false">IF(ISNUMBER($K216),$K216*Parâmetros!$C$7,"")</f>
        <v>4.20195652173913</v>
      </c>
      <c r="O216" s="40" t="n">
        <f aca="false">IF(ISNUMBER($K216),IF(ISNUMBER(Parâmetros!$E$7),Parâmetros!$E$7,0),"")</f>
        <v>0</v>
      </c>
      <c r="P216" s="41" t="n">
        <f aca="false">IF(ISNUMBER($K216),$K216-$D216-IF(ISNUMBER($E216),$E216,0)-$L216-$M216-$N216-$O216,"")</f>
        <v>28.0130434782609</v>
      </c>
      <c r="Q216" s="42" t="n">
        <f aca="false">IF(AND(ISNUMBER($K216),$K216&gt;0),$P216/$K216,"")</f>
        <v>0.2</v>
      </c>
      <c r="R216" s="43"/>
      <c r="S216" s="44" t="str">
        <f aca="false">IF(OR(NOT(ISNUMBER($R216)),$R216=0,NOT(ISNUMBER($K216))),"",$K216*(1-$R216))</f>
        <v/>
      </c>
      <c r="T216" s="45" t="str">
        <f aca="false">IF(ISNUMBER($S216),$S216*$H216,"")</f>
        <v/>
      </c>
      <c r="U216" s="45" t="str">
        <f aca="false">IF(ISNUMBER($S216),$S216*Parâmetros!$B$7,"")</f>
        <v/>
      </c>
      <c r="V216" s="45" t="str">
        <f aca="false">IF(ISNUMBER($S216),$S216*Parâmetros!$C$7,"")</f>
        <v/>
      </c>
      <c r="W216" s="44" t="str">
        <f aca="false">IF(ISNUMBER($S216),$S216-$D216-IF(ISNUMBER($E216),$E216,0)-$O216-$T216-$U216-$V216,"")</f>
        <v/>
      </c>
      <c r="X216" s="46" t="str">
        <f aca="false">IF(AND(ISNUMBER($S216),$S216&gt;0),$W216/$S216,"")</f>
        <v/>
      </c>
      <c r="Y216" s="47"/>
      <c r="Z216" s="19"/>
    </row>
    <row r="217" customFormat="false" ht="15.75" hidden="false" customHeight="true" outlineLevel="0" collapsed="false">
      <c r="A217" s="48" t="str">
        <f aca="false">IF(Produtos!$A217="","",Produtos!$A217)</f>
        <v>A40BP</v>
      </c>
      <c r="B217" s="48" t="str">
        <f aca="false">IF(Produtos!$A217="","",Produtos!$B217)</f>
        <v>Aro 40cm Pintado</v>
      </c>
      <c r="C217" s="48" t="str">
        <f aca="false">IF(Produtos!$A217="","",Produtos!$C217)</f>
        <v>Acessórios (aros e tampas)</v>
      </c>
      <c r="D217" s="33" t="n">
        <f aca="false">IF(Produtos!$A217="","",IF(Produtos!$D217="","",Produtos!$D217))</f>
        <v>118.62</v>
      </c>
      <c r="E217" s="11" t="n">
        <v>0</v>
      </c>
      <c r="F217" s="34" t="n">
        <f aca="false">IF($A217="","",IF($C217="","⚠ categoria",IFERROR(INDEX(Parâmetros!$E$13:$E$22,MATCH($C217,Parâmetros!$A$13:$A$22,0)),"⚠ categoria")))</f>
        <v>0.21</v>
      </c>
      <c r="G217" s="35"/>
      <c r="H217" s="36" t="n">
        <f aca="false">IF($A217="","",IF(ISNUMBER($G217),$G217,IF(ISNUMBER($F217),$F217,"")))</f>
        <v>0.21</v>
      </c>
      <c r="I217" s="37" t="n">
        <f aca="false">IF(OR($A217="",NOT(ISNUMBER($D217)),NOT(ISNUMBER($H217))),"",IF((1-$H217-Parâmetros!$B$7-Parâmetros!$C$7-Parâmetros!$D$7)&lt;=0,"INVALIDO",($D217+IF(ISNUMBER($E217),$E217,0)+IF(ISNUMBER(Parâmetros!$E$7),Parâmetros!$E$7,0))/(1-$H217-Parâmetros!$B$7-Parâmetros!$C$7-Parâmetros!$D$7)))</f>
        <v>257.869565217391</v>
      </c>
      <c r="J217" s="38"/>
      <c r="K217" s="39" t="n">
        <f aca="false">IF(OR($A217="",NOT(ISNUMBER($D217)),NOT(ISNUMBER($H217))),"",IF(AND(ISNUMBER($J217),$J217&gt;0),$J217,IF(ISNUMBER($I217),$I217,"")))</f>
        <v>257.869565217391</v>
      </c>
      <c r="L217" s="40" t="n">
        <f aca="false">IF(ISNUMBER($K217),$K217*$H217,"")</f>
        <v>54.1526086956522</v>
      </c>
      <c r="M217" s="40" t="n">
        <f aca="false">IF(ISNUMBER($K217),$K217*Parâmetros!$B$7,"")</f>
        <v>25.7869565217391</v>
      </c>
      <c r="N217" s="40" t="n">
        <f aca="false">IF(ISNUMBER($K217),$K217*Parâmetros!$C$7,"")</f>
        <v>7.73608695652174</v>
      </c>
      <c r="O217" s="40" t="n">
        <f aca="false">IF(ISNUMBER($K217),IF(ISNUMBER(Parâmetros!$E$7),Parâmetros!$E$7,0),"")</f>
        <v>0</v>
      </c>
      <c r="P217" s="41" t="n">
        <f aca="false">IF(ISNUMBER($K217),$K217-$D217-IF(ISNUMBER($E217),$E217,0)-$L217-$M217-$N217-$O217,"")</f>
        <v>51.5739130434783</v>
      </c>
      <c r="Q217" s="42" t="n">
        <f aca="false">IF(AND(ISNUMBER($K217),$K217&gt;0),$P217/$K217,"")</f>
        <v>0.2</v>
      </c>
      <c r="R217" s="43"/>
      <c r="S217" s="44" t="str">
        <f aca="false">IF(OR(NOT(ISNUMBER($R217)),$R217=0,NOT(ISNUMBER($K217))),"",$K217*(1-$R217))</f>
        <v/>
      </c>
      <c r="T217" s="45" t="str">
        <f aca="false">IF(ISNUMBER($S217),$S217*$H217,"")</f>
        <v/>
      </c>
      <c r="U217" s="45" t="str">
        <f aca="false">IF(ISNUMBER($S217),$S217*Parâmetros!$B$7,"")</f>
        <v/>
      </c>
      <c r="V217" s="45" t="str">
        <f aca="false">IF(ISNUMBER($S217),$S217*Parâmetros!$C$7,"")</f>
        <v/>
      </c>
      <c r="W217" s="44" t="str">
        <f aca="false">IF(ISNUMBER($S217),$S217-$D217-IF(ISNUMBER($E217),$E217,0)-$O217-$T217-$U217-$V217,"")</f>
        <v/>
      </c>
      <c r="X217" s="46" t="str">
        <f aca="false">IF(AND(ISNUMBER($S217),$S217&gt;0),$W217/$S217,"")</f>
        <v/>
      </c>
      <c r="Y217" s="49"/>
      <c r="Z217" s="21"/>
    </row>
    <row r="218" customFormat="false" ht="15.75" hidden="false" customHeight="true" outlineLevel="0" collapsed="false">
      <c r="A218" s="32" t="str">
        <f aca="false">IF(Produtos!$A218="","",Produtos!$A218)</f>
        <v>A24BC</v>
      </c>
      <c r="B218" s="32" t="str">
        <f aca="false">IF(Produtos!$A218="","",Produtos!$B218)</f>
        <v>Aro 24cm c/Basculante Pintado</v>
      </c>
      <c r="C218" s="32" t="str">
        <f aca="false">IF(Produtos!$A218="","",Produtos!$C218)</f>
        <v>Acessórios (aros e tampas)</v>
      </c>
      <c r="D218" s="33" t="n">
        <f aca="false">IF(Produtos!$A218="","",IF(Produtos!$D218="","",Produtos!$D218))</f>
        <v>76.56</v>
      </c>
      <c r="E218" s="11" t="n">
        <v>0</v>
      </c>
      <c r="F218" s="34" t="n">
        <f aca="false">IF($A218="","",IF($C218="","⚠ categoria",IFERROR(INDEX(Parâmetros!$E$13:$E$22,MATCH($C218,Parâmetros!$A$13:$A$22,0)),"⚠ categoria")))</f>
        <v>0.21</v>
      </c>
      <c r="G218" s="35"/>
      <c r="H218" s="36" t="n">
        <f aca="false">IF($A218="","",IF(ISNUMBER($G218),$G218,IF(ISNUMBER($F218),$F218,"")))</f>
        <v>0.21</v>
      </c>
      <c r="I218" s="37" t="n">
        <f aca="false">IF(OR($A218="",NOT(ISNUMBER($D218)),NOT(ISNUMBER($H218))),"",IF((1-$H218-Parâmetros!$B$7-Parâmetros!$C$7-Parâmetros!$D$7)&lt;=0,"INVALIDO",($D218+IF(ISNUMBER($E218),$E218,0)+IF(ISNUMBER(Parâmetros!$E$7),Parâmetros!$E$7,0))/(1-$H218-Parâmetros!$B$7-Parâmetros!$C$7-Parâmetros!$D$7)))</f>
        <v>166.434782608696</v>
      </c>
      <c r="J218" s="38"/>
      <c r="K218" s="39" t="n">
        <f aca="false">IF(OR($A218="",NOT(ISNUMBER($D218)),NOT(ISNUMBER($H218))),"",IF(AND(ISNUMBER($J218),$J218&gt;0),$J218,IF(ISNUMBER($I218),$I218,"")))</f>
        <v>166.434782608696</v>
      </c>
      <c r="L218" s="40" t="n">
        <f aca="false">IF(ISNUMBER($K218),$K218*$H218,"")</f>
        <v>34.9513043478261</v>
      </c>
      <c r="M218" s="40" t="n">
        <f aca="false">IF(ISNUMBER($K218),$K218*Parâmetros!$B$7,"")</f>
        <v>16.6434782608696</v>
      </c>
      <c r="N218" s="40" t="n">
        <f aca="false">IF(ISNUMBER($K218),$K218*Parâmetros!$C$7,"")</f>
        <v>4.99304347826087</v>
      </c>
      <c r="O218" s="40" t="n">
        <f aca="false">IF(ISNUMBER($K218),IF(ISNUMBER(Parâmetros!$E$7),Parâmetros!$E$7,0),"")</f>
        <v>0</v>
      </c>
      <c r="P218" s="41" t="n">
        <f aca="false">IF(ISNUMBER($K218),$K218-$D218-IF(ISNUMBER($E218),$E218,0)-$L218-$M218-$N218-$O218,"")</f>
        <v>33.2869565217391</v>
      </c>
      <c r="Q218" s="42" t="n">
        <f aca="false">IF(AND(ISNUMBER($K218),$K218&gt;0),$P218/$K218,"")</f>
        <v>0.2</v>
      </c>
      <c r="R218" s="43"/>
      <c r="S218" s="44" t="str">
        <f aca="false">IF(OR(NOT(ISNUMBER($R218)),$R218=0,NOT(ISNUMBER($K218))),"",$K218*(1-$R218))</f>
        <v/>
      </c>
      <c r="T218" s="45" t="str">
        <f aca="false">IF(ISNUMBER($S218),$S218*$H218,"")</f>
        <v/>
      </c>
      <c r="U218" s="45" t="str">
        <f aca="false">IF(ISNUMBER($S218),$S218*Parâmetros!$B$7,"")</f>
        <v/>
      </c>
      <c r="V218" s="45" t="str">
        <f aca="false">IF(ISNUMBER($S218),$S218*Parâmetros!$C$7,"")</f>
        <v/>
      </c>
      <c r="W218" s="44" t="str">
        <f aca="false">IF(ISNUMBER($S218),$S218-$D218-IF(ISNUMBER($E218),$E218,0)-$O218-$T218-$U218-$V218,"")</f>
        <v/>
      </c>
      <c r="X218" s="46" t="str">
        <f aca="false">IF(AND(ISNUMBER($S218),$S218&gt;0),$W218/$S218,"")</f>
        <v/>
      </c>
      <c r="Y218" s="47"/>
      <c r="Z218" s="19"/>
    </row>
    <row r="219" customFormat="false" ht="15.75" hidden="false" customHeight="true" outlineLevel="0" collapsed="false">
      <c r="A219" s="48" t="str">
        <f aca="false">IF(Produtos!$A219="","",Produtos!$A219)</f>
        <v>A30BC</v>
      </c>
      <c r="B219" s="48" t="str">
        <f aca="false">IF(Produtos!$A219="","",Produtos!$B219)</f>
        <v>Aro 30cm c/Basculante Pintado</v>
      </c>
      <c r="C219" s="48" t="str">
        <f aca="false">IF(Produtos!$A219="","",Produtos!$C219)</f>
        <v>Acessórios (aros e tampas)</v>
      </c>
      <c r="D219" s="33" t="n">
        <f aca="false">IF(Produtos!$A219="","",IF(Produtos!$D219="","",Produtos!$D219))</f>
        <v>90.73</v>
      </c>
      <c r="E219" s="11" t="n">
        <v>0</v>
      </c>
      <c r="F219" s="34" t="n">
        <f aca="false">IF($A219="","",IF($C219="","⚠ categoria",IFERROR(INDEX(Parâmetros!$E$13:$E$22,MATCH($C219,Parâmetros!$A$13:$A$22,0)),"⚠ categoria")))</f>
        <v>0.21</v>
      </c>
      <c r="G219" s="35"/>
      <c r="H219" s="36" t="n">
        <f aca="false">IF($A219="","",IF(ISNUMBER($G219),$G219,IF(ISNUMBER($F219),$F219,"")))</f>
        <v>0.21</v>
      </c>
      <c r="I219" s="37" t="n">
        <f aca="false">IF(OR($A219="",NOT(ISNUMBER($D219)),NOT(ISNUMBER($H219))),"",IF((1-$H219-Parâmetros!$B$7-Parâmetros!$C$7-Parâmetros!$D$7)&lt;=0,"INVALIDO",($D219+IF(ISNUMBER($E219),$E219,0)+IF(ISNUMBER(Parâmetros!$E$7),Parâmetros!$E$7,0))/(1-$H219-Parâmetros!$B$7-Parâmetros!$C$7-Parâmetros!$D$7)))</f>
        <v>197.239130434783</v>
      </c>
      <c r="J219" s="38"/>
      <c r="K219" s="39" t="n">
        <f aca="false">IF(OR($A219="",NOT(ISNUMBER($D219)),NOT(ISNUMBER($H219))),"",IF(AND(ISNUMBER($J219),$J219&gt;0),$J219,IF(ISNUMBER($I219),$I219,"")))</f>
        <v>197.239130434783</v>
      </c>
      <c r="L219" s="40" t="n">
        <f aca="false">IF(ISNUMBER($K219),$K219*$H219,"")</f>
        <v>41.4202173913043</v>
      </c>
      <c r="M219" s="40" t="n">
        <f aca="false">IF(ISNUMBER($K219),$K219*Parâmetros!$B$7,"")</f>
        <v>19.7239130434783</v>
      </c>
      <c r="N219" s="40" t="n">
        <f aca="false">IF(ISNUMBER($K219),$K219*Parâmetros!$C$7,"")</f>
        <v>5.91717391304348</v>
      </c>
      <c r="O219" s="40" t="n">
        <f aca="false">IF(ISNUMBER($K219),IF(ISNUMBER(Parâmetros!$E$7),Parâmetros!$E$7,0),"")</f>
        <v>0</v>
      </c>
      <c r="P219" s="41" t="n">
        <f aca="false">IF(ISNUMBER($K219),$K219-$D219-IF(ISNUMBER($E219),$E219,0)-$L219-$M219-$N219-$O219,"")</f>
        <v>39.4478260869565</v>
      </c>
      <c r="Q219" s="42" t="n">
        <f aca="false">IF(AND(ISNUMBER($K219),$K219&gt;0),$P219/$K219,"")</f>
        <v>0.2</v>
      </c>
      <c r="R219" s="43"/>
      <c r="S219" s="44" t="str">
        <f aca="false">IF(OR(NOT(ISNUMBER($R219)),$R219=0,NOT(ISNUMBER($K219))),"",$K219*(1-$R219))</f>
        <v/>
      </c>
      <c r="T219" s="45" t="str">
        <f aca="false">IF(ISNUMBER($S219),$S219*$H219,"")</f>
        <v/>
      </c>
      <c r="U219" s="45" t="str">
        <f aca="false">IF(ISNUMBER($S219),$S219*Parâmetros!$B$7,"")</f>
        <v/>
      </c>
      <c r="V219" s="45" t="str">
        <f aca="false">IF(ISNUMBER($S219),$S219*Parâmetros!$C$7,"")</f>
        <v/>
      </c>
      <c r="W219" s="44" t="str">
        <f aca="false">IF(ISNUMBER($S219),$S219-$D219-IF(ISNUMBER($E219),$E219,0)-$O219-$T219-$U219-$V219,"")</f>
        <v/>
      </c>
      <c r="X219" s="46" t="str">
        <f aca="false">IF(AND(ISNUMBER($S219),$S219&gt;0),$W219/$S219,"")</f>
        <v/>
      </c>
      <c r="Y219" s="49"/>
      <c r="Z219" s="21"/>
    </row>
    <row r="220" customFormat="false" ht="15.75" hidden="false" customHeight="true" outlineLevel="0" collapsed="false">
      <c r="A220" s="32" t="str">
        <f aca="false">IF(Produtos!$A220="","",Produtos!$A220)</f>
        <v>A40BC</v>
      </c>
      <c r="B220" s="32" t="str">
        <f aca="false">IF(Produtos!$A220="","",Produtos!$B220)</f>
        <v>Aro 40cm c/Basculante Pintado</v>
      </c>
      <c r="C220" s="32" t="str">
        <f aca="false">IF(Produtos!$A220="","",Produtos!$C220)</f>
        <v>Acessórios (aros e tampas)</v>
      </c>
      <c r="D220" s="33" t="n">
        <f aca="false">IF(Produtos!$A220="","",IF(Produtos!$D220="","",Produtos!$D220))</f>
        <v>170.07</v>
      </c>
      <c r="E220" s="11" t="n">
        <v>0</v>
      </c>
      <c r="F220" s="34" t="n">
        <f aca="false">IF($A220="","",IF($C220="","⚠ categoria",IFERROR(INDEX(Parâmetros!$E$13:$E$22,MATCH($C220,Parâmetros!$A$13:$A$22,0)),"⚠ categoria")))</f>
        <v>0.21</v>
      </c>
      <c r="G220" s="35"/>
      <c r="H220" s="36" t="n">
        <f aca="false">IF($A220="","",IF(ISNUMBER($G220),$G220,IF(ISNUMBER($F220),$F220,"")))</f>
        <v>0.21</v>
      </c>
      <c r="I220" s="37" t="n">
        <f aca="false">IF(OR($A220="",NOT(ISNUMBER($D220)),NOT(ISNUMBER($H220))),"",IF((1-$H220-Parâmetros!$B$7-Parâmetros!$C$7-Parâmetros!$D$7)&lt;=0,"INVALIDO",($D220+IF(ISNUMBER($E220),$E220,0)+IF(ISNUMBER(Parâmetros!$E$7),Parâmetros!$E$7,0))/(1-$H220-Parâmetros!$B$7-Parâmetros!$C$7-Parâmetros!$D$7)))</f>
        <v>369.717391304348</v>
      </c>
      <c r="J220" s="38"/>
      <c r="K220" s="39" t="n">
        <f aca="false">IF(OR($A220="",NOT(ISNUMBER($D220)),NOT(ISNUMBER($H220))),"",IF(AND(ISNUMBER($J220),$J220&gt;0),$J220,IF(ISNUMBER($I220),$I220,"")))</f>
        <v>369.717391304348</v>
      </c>
      <c r="L220" s="40" t="n">
        <f aca="false">IF(ISNUMBER($K220),$K220*$H220,"")</f>
        <v>77.640652173913</v>
      </c>
      <c r="M220" s="40" t="n">
        <f aca="false">IF(ISNUMBER($K220),$K220*Parâmetros!$B$7,"")</f>
        <v>36.9717391304348</v>
      </c>
      <c r="N220" s="40" t="n">
        <f aca="false">IF(ISNUMBER($K220),$K220*Parâmetros!$C$7,"")</f>
        <v>11.0915217391304</v>
      </c>
      <c r="O220" s="40" t="n">
        <f aca="false">IF(ISNUMBER($K220),IF(ISNUMBER(Parâmetros!$E$7),Parâmetros!$E$7,0),"")</f>
        <v>0</v>
      </c>
      <c r="P220" s="41" t="n">
        <f aca="false">IF(ISNUMBER($K220),$K220-$D220-IF(ISNUMBER($E220),$E220,0)-$L220-$M220-$N220-$O220,"")</f>
        <v>73.9434782608696</v>
      </c>
      <c r="Q220" s="42" t="n">
        <f aca="false">IF(AND(ISNUMBER($K220),$K220&gt;0),$P220/$K220,"")</f>
        <v>0.2</v>
      </c>
      <c r="R220" s="43"/>
      <c r="S220" s="44" t="str">
        <f aca="false">IF(OR(NOT(ISNUMBER($R220)),$R220=0,NOT(ISNUMBER($K220))),"",$K220*(1-$R220))</f>
        <v/>
      </c>
      <c r="T220" s="45" t="str">
        <f aca="false">IF(ISNUMBER($S220),$S220*$H220,"")</f>
        <v/>
      </c>
      <c r="U220" s="45" t="str">
        <f aca="false">IF(ISNUMBER($S220),$S220*Parâmetros!$B$7,"")</f>
        <v/>
      </c>
      <c r="V220" s="45" t="str">
        <f aca="false">IF(ISNUMBER($S220),$S220*Parâmetros!$C$7,"")</f>
        <v/>
      </c>
      <c r="W220" s="44" t="str">
        <f aca="false">IF(ISNUMBER($S220),$S220-$D220-IF(ISNUMBER($E220),$E220,0)-$O220-$T220-$U220-$V220,"")</f>
        <v/>
      </c>
      <c r="X220" s="46" t="str">
        <f aca="false">IF(AND(ISNUMBER($S220),$S220&gt;0),$W220/$S220,"")</f>
        <v/>
      </c>
      <c r="Y220" s="47"/>
      <c r="Z220" s="19"/>
    </row>
    <row r="221" customFormat="false" ht="15.75" hidden="false" customHeight="true" outlineLevel="0" collapsed="false">
      <c r="A221" s="48" t="str">
        <f aca="false">IF(Produtos!$A221="","",Produtos!$A221)</f>
        <v>T24-PILHAS</v>
      </c>
      <c r="B221" s="48" t="str">
        <f aca="false">IF(Produtos!$A221="","",Produtos!$B221)</f>
        <v>Tampa 24cm Coletor de Pilhas e Baterias</v>
      </c>
      <c r="C221" s="48" t="str">
        <f aca="false">IF(Produtos!$A221="","",Produtos!$C221)</f>
        <v>Coletores de pilhas</v>
      </c>
      <c r="D221" s="33" t="n">
        <f aca="false">IF(Produtos!$A221="","",IF(Produtos!$D221="","",Produtos!$D221))</f>
        <v>57.21</v>
      </c>
      <c r="E221" s="11" t="n">
        <v>0</v>
      </c>
      <c r="F221" s="34" t="n">
        <f aca="false">IF($A221="","",IF($C221="","⚠ categoria",IFERROR(INDEX(Parâmetros!$E$13:$E$22,MATCH($C221,Parâmetros!$A$13:$A$22,0)),"⚠ categoria")))</f>
        <v>0.21</v>
      </c>
      <c r="G221" s="35"/>
      <c r="H221" s="36" t="n">
        <f aca="false">IF($A221="","",IF(ISNUMBER($G221),$G221,IF(ISNUMBER($F221),$F221,"")))</f>
        <v>0.21</v>
      </c>
      <c r="I221" s="37" t="n">
        <f aca="false">IF(OR($A221="",NOT(ISNUMBER($D221)),NOT(ISNUMBER($H221))),"",IF((1-$H221-Parâmetros!$B$7-Parâmetros!$C$7-Parâmetros!$D$7)&lt;=0,"INVALIDO",($D221+IF(ISNUMBER($E221),$E221,0)+IF(ISNUMBER(Parâmetros!$E$7),Parâmetros!$E$7,0))/(1-$H221-Parâmetros!$B$7-Parâmetros!$C$7-Parâmetros!$D$7)))</f>
        <v>124.369565217391</v>
      </c>
      <c r="J221" s="38"/>
      <c r="K221" s="39" t="n">
        <f aca="false">IF(OR($A221="",NOT(ISNUMBER($D221)),NOT(ISNUMBER($H221))),"",IF(AND(ISNUMBER($J221),$J221&gt;0),$J221,IF(ISNUMBER($I221),$I221,"")))</f>
        <v>124.369565217391</v>
      </c>
      <c r="L221" s="40" t="n">
        <f aca="false">IF(ISNUMBER($K221),$K221*$H221,"")</f>
        <v>26.1176086956522</v>
      </c>
      <c r="M221" s="40" t="n">
        <f aca="false">IF(ISNUMBER($K221),$K221*Parâmetros!$B$7,"")</f>
        <v>12.4369565217391</v>
      </c>
      <c r="N221" s="40" t="n">
        <f aca="false">IF(ISNUMBER($K221),$K221*Parâmetros!$C$7,"")</f>
        <v>3.73108695652174</v>
      </c>
      <c r="O221" s="40" t="n">
        <f aca="false">IF(ISNUMBER($K221),IF(ISNUMBER(Parâmetros!$E$7),Parâmetros!$E$7,0),"")</f>
        <v>0</v>
      </c>
      <c r="P221" s="41" t="n">
        <f aca="false">IF(ISNUMBER($K221),$K221-$D221-IF(ISNUMBER($E221),$E221,0)-$L221-$M221-$N221-$O221,"")</f>
        <v>24.8739130434783</v>
      </c>
      <c r="Q221" s="42" t="n">
        <f aca="false">IF(AND(ISNUMBER($K221),$K221&gt;0),$P221/$K221,"")</f>
        <v>0.2</v>
      </c>
      <c r="R221" s="43"/>
      <c r="S221" s="44" t="str">
        <f aca="false">IF(OR(NOT(ISNUMBER($R221)),$R221=0,NOT(ISNUMBER($K221))),"",$K221*(1-$R221))</f>
        <v/>
      </c>
      <c r="T221" s="45" t="str">
        <f aca="false">IF(ISNUMBER($S221),$S221*$H221,"")</f>
        <v/>
      </c>
      <c r="U221" s="45" t="str">
        <f aca="false">IF(ISNUMBER($S221),$S221*Parâmetros!$B$7,"")</f>
        <v/>
      </c>
      <c r="V221" s="45" t="str">
        <f aca="false">IF(ISNUMBER($S221),$S221*Parâmetros!$C$7,"")</f>
        <v/>
      </c>
      <c r="W221" s="44" t="str">
        <f aca="false">IF(ISNUMBER($S221),$S221-$D221-IF(ISNUMBER($E221),$E221,0)-$O221-$T221-$U221-$V221,"")</f>
        <v/>
      </c>
      <c r="X221" s="46" t="str">
        <f aca="false">IF(AND(ISNUMBER($S221),$S221&gt;0),$W221/$S221,"")</f>
        <v/>
      </c>
      <c r="Y221" s="49"/>
      <c r="Z221" s="21"/>
    </row>
    <row r="222" customFormat="false" ht="15.75" hidden="false" customHeight="true" outlineLevel="0" collapsed="false">
      <c r="A222" s="32" t="str">
        <f aca="false">IF(Produtos!$A222="","",Produtos!$A222)</f>
        <v>T30-PILHAS</v>
      </c>
      <c r="B222" s="32" t="str">
        <f aca="false">IF(Produtos!$A222="","",Produtos!$B222)</f>
        <v>Tampa 30cm Coletor de Pilhas e Baterias</v>
      </c>
      <c r="C222" s="32" t="str">
        <f aca="false">IF(Produtos!$A222="","",Produtos!$C222)</f>
        <v>Coletores de pilhas</v>
      </c>
      <c r="D222" s="33" t="n">
        <f aca="false">IF(Produtos!$A222="","",IF(Produtos!$D222="","",Produtos!$D222))</f>
        <v>46.19</v>
      </c>
      <c r="E222" s="11" t="n">
        <v>0</v>
      </c>
      <c r="F222" s="34" t="n">
        <f aca="false">IF($A222="","",IF($C222="","⚠ categoria",IFERROR(INDEX(Parâmetros!$E$13:$E$22,MATCH($C222,Parâmetros!$A$13:$A$22,0)),"⚠ categoria")))</f>
        <v>0.21</v>
      </c>
      <c r="G222" s="35"/>
      <c r="H222" s="36" t="n">
        <f aca="false">IF($A222="","",IF(ISNUMBER($G222),$G222,IF(ISNUMBER($F222),$F222,"")))</f>
        <v>0.21</v>
      </c>
      <c r="I222" s="37" t="n">
        <f aca="false">IF(OR($A222="",NOT(ISNUMBER($D222)),NOT(ISNUMBER($H222))),"",IF((1-$H222-Parâmetros!$B$7-Parâmetros!$C$7-Parâmetros!$D$7)&lt;=0,"INVALIDO",($D222+IF(ISNUMBER($E222),$E222,0)+IF(ISNUMBER(Parâmetros!$E$7),Parâmetros!$E$7,0))/(1-$H222-Parâmetros!$B$7-Parâmetros!$C$7-Parâmetros!$D$7)))</f>
        <v>100.413043478261</v>
      </c>
      <c r="J222" s="38"/>
      <c r="K222" s="39" t="n">
        <f aca="false">IF(OR($A222="",NOT(ISNUMBER($D222)),NOT(ISNUMBER($H222))),"",IF(AND(ISNUMBER($J222),$J222&gt;0),$J222,IF(ISNUMBER($I222),$I222,"")))</f>
        <v>100.413043478261</v>
      </c>
      <c r="L222" s="40" t="n">
        <f aca="false">IF(ISNUMBER($K222),$K222*$H222,"")</f>
        <v>21.0867391304348</v>
      </c>
      <c r="M222" s="40" t="n">
        <f aca="false">IF(ISNUMBER($K222),$K222*Parâmetros!$B$7,"")</f>
        <v>10.0413043478261</v>
      </c>
      <c r="N222" s="40" t="n">
        <f aca="false">IF(ISNUMBER($K222),$K222*Parâmetros!$C$7,"")</f>
        <v>3.01239130434783</v>
      </c>
      <c r="O222" s="40" t="n">
        <f aca="false">IF(ISNUMBER($K222),IF(ISNUMBER(Parâmetros!$E$7),Parâmetros!$E$7,0),"")</f>
        <v>0</v>
      </c>
      <c r="P222" s="41" t="n">
        <f aca="false">IF(ISNUMBER($K222),$K222-$D222-IF(ISNUMBER($E222),$E222,0)-$L222-$M222-$N222-$O222,"")</f>
        <v>20.0826086956522</v>
      </c>
      <c r="Q222" s="42" t="n">
        <f aca="false">IF(AND(ISNUMBER($K222),$K222&gt;0),$P222/$K222,"")</f>
        <v>0.2</v>
      </c>
      <c r="R222" s="43"/>
      <c r="S222" s="44" t="str">
        <f aca="false">IF(OR(NOT(ISNUMBER($R222)),$R222=0,NOT(ISNUMBER($K222))),"",$K222*(1-$R222))</f>
        <v/>
      </c>
      <c r="T222" s="45" t="str">
        <f aca="false">IF(ISNUMBER($S222),$S222*$H222,"")</f>
        <v/>
      </c>
      <c r="U222" s="45" t="str">
        <f aca="false">IF(ISNUMBER($S222),$S222*Parâmetros!$B$7,"")</f>
        <v/>
      </c>
      <c r="V222" s="45" t="str">
        <f aca="false">IF(ISNUMBER($S222),$S222*Parâmetros!$C$7,"")</f>
        <v/>
      </c>
      <c r="W222" s="44" t="str">
        <f aca="false">IF(ISNUMBER($S222),$S222-$D222-IF(ISNUMBER($E222),$E222,0)-$O222-$T222-$U222-$V222,"")</f>
        <v/>
      </c>
      <c r="X222" s="46" t="str">
        <f aca="false">IF(AND(ISNUMBER($S222),$S222&gt;0),$W222/$S222,"")</f>
        <v/>
      </c>
      <c r="Y222" s="47"/>
      <c r="Z222" s="19"/>
    </row>
    <row r="223" customFormat="false" ht="15.75" hidden="false" customHeight="true" outlineLevel="0" collapsed="false">
      <c r="A223" s="48" t="str">
        <f aca="false">IF(Produtos!$A223="","",Produtos!$A223)</f>
        <v>T40-PILHAS</v>
      </c>
      <c r="B223" s="48" t="str">
        <f aca="false">IF(Produtos!$A223="","",Produtos!$B223)</f>
        <v>Tampa 40cm Coletor de Pilhas e Baterias</v>
      </c>
      <c r="C223" s="48" t="str">
        <f aca="false">IF(Produtos!$A223="","",Produtos!$C223)</f>
        <v>Coletores de pilhas</v>
      </c>
      <c r="D223" s="33" t="n">
        <f aca="false">IF(Produtos!$A223="","",IF(Produtos!$D223="","",Produtos!$D223))</f>
        <v>98.64</v>
      </c>
      <c r="E223" s="11" t="n">
        <v>0</v>
      </c>
      <c r="F223" s="34" t="n">
        <f aca="false">IF($A223="","",IF($C223="","⚠ categoria",IFERROR(INDEX(Parâmetros!$E$13:$E$22,MATCH($C223,Parâmetros!$A$13:$A$22,0)),"⚠ categoria")))</f>
        <v>0.21</v>
      </c>
      <c r="G223" s="35"/>
      <c r="H223" s="36" t="n">
        <f aca="false">IF($A223="","",IF(ISNUMBER($G223),$G223,IF(ISNUMBER($F223),$F223,"")))</f>
        <v>0.21</v>
      </c>
      <c r="I223" s="37" t="n">
        <f aca="false">IF(OR($A223="",NOT(ISNUMBER($D223)),NOT(ISNUMBER($H223))),"",IF((1-$H223-Parâmetros!$B$7-Parâmetros!$C$7-Parâmetros!$D$7)&lt;=0,"INVALIDO",($D223+IF(ISNUMBER($E223),$E223,0)+IF(ISNUMBER(Parâmetros!$E$7),Parâmetros!$E$7,0))/(1-$H223-Parâmetros!$B$7-Parâmetros!$C$7-Parâmetros!$D$7)))</f>
        <v>214.434782608696</v>
      </c>
      <c r="J223" s="38"/>
      <c r="K223" s="39" t="n">
        <f aca="false">IF(OR($A223="",NOT(ISNUMBER($D223)),NOT(ISNUMBER($H223))),"",IF(AND(ISNUMBER($J223),$J223&gt;0),$J223,IF(ISNUMBER($I223),$I223,"")))</f>
        <v>214.434782608696</v>
      </c>
      <c r="L223" s="40" t="n">
        <f aca="false">IF(ISNUMBER($K223),$K223*$H223,"")</f>
        <v>45.0313043478261</v>
      </c>
      <c r="M223" s="40" t="n">
        <f aca="false">IF(ISNUMBER($K223),$K223*Parâmetros!$B$7,"")</f>
        <v>21.4434782608696</v>
      </c>
      <c r="N223" s="40" t="n">
        <f aca="false">IF(ISNUMBER($K223),$K223*Parâmetros!$C$7,"")</f>
        <v>6.43304347826087</v>
      </c>
      <c r="O223" s="40" t="n">
        <f aca="false">IF(ISNUMBER($K223),IF(ISNUMBER(Parâmetros!$E$7),Parâmetros!$E$7,0),"")</f>
        <v>0</v>
      </c>
      <c r="P223" s="41" t="n">
        <f aca="false">IF(ISNUMBER($K223),$K223-$D223-IF(ISNUMBER($E223),$E223,0)-$L223-$M223-$N223-$O223,"")</f>
        <v>42.8869565217391</v>
      </c>
      <c r="Q223" s="42" t="n">
        <f aca="false">IF(AND(ISNUMBER($K223),$K223&gt;0),$P223/$K223,"")</f>
        <v>0.2</v>
      </c>
      <c r="R223" s="43"/>
      <c r="S223" s="44" t="str">
        <f aca="false">IF(OR(NOT(ISNUMBER($R223)),$R223=0,NOT(ISNUMBER($K223))),"",$K223*(1-$R223))</f>
        <v/>
      </c>
      <c r="T223" s="45" t="str">
        <f aca="false">IF(ISNUMBER($S223),$S223*$H223,"")</f>
        <v/>
      </c>
      <c r="U223" s="45" t="str">
        <f aca="false">IF(ISNUMBER($S223),$S223*Parâmetros!$B$7,"")</f>
        <v/>
      </c>
      <c r="V223" s="45" t="str">
        <f aca="false">IF(ISNUMBER($S223),$S223*Parâmetros!$C$7,"")</f>
        <v/>
      </c>
      <c r="W223" s="44" t="str">
        <f aca="false">IF(ISNUMBER($S223),$S223-$D223-IF(ISNUMBER($E223),$E223,0)-$O223-$T223-$U223-$V223,"")</f>
        <v/>
      </c>
      <c r="X223" s="46" t="str">
        <f aca="false">IF(AND(ISNUMBER($S223),$S223&gt;0),$W223/$S223,"")</f>
        <v/>
      </c>
      <c r="Y223" s="49"/>
      <c r="Z223" s="21"/>
    </row>
    <row r="224" customFormat="false" ht="15.75" hidden="false" customHeight="true" outlineLevel="0" collapsed="false">
      <c r="A224" s="32" t="str">
        <f aca="false">IF(Produtos!$A224="","",Produtos!$A224)</f>
        <v>A24ML</v>
      </c>
      <c r="B224" s="32" t="str">
        <f aca="false">IF(Produtos!$A224="","",Produtos!$B224)</f>
        <v>Aro 24cm Meia Lua Aço Inox</v>
      </c>
      <c r="C224" s="32" t="str">
        <f aca="false">IF(Produtos!$A224="","",Produtos!$C224)</f>
        <v>Acessórios (aros e tampas)</v>
      </c>
      <c r="D224" s="33" t="n">
        <f aca="false">IF(Produtos!$A224="","",IF(Produtos!$D224="","",Produtos!$D224))</f>
        <v>60.74</v>
      </c>
      <c r="E224" s="11" t="n">
        <v>0</v>
      </c>
      <c r="F224" s="34" t="n">
        <f aca="false">IF($A224="","",IF($C224="","⚠ categoria",IFERROR(INDEX(Parâmetros!$E$13:$E$22,MATCH($C224,Parâmetros!$A$13:$A$22,0)),"⚠ categoria")))</f>
        <v>0.21</v>
      </c>
      <c r="G224" s="35"/>
      <c r="H224" s="36" t="n">
        <f aca="false">IF($A224="","",IF(ISNUMBER($G224),$G224,IF(ISNUMBER($F224),$F224,"")))</f>
        <v>0.21</v>
      </c>
      <c r="I224" s="37" t="n">
        <f aca="false">IF(OR($A224="",NOT(ISNUMBER($D224)),NOT(ISNUMBER($H224))),"",IF((1-$H224-Parâmetros!$B$7-Parâmetros!$C$7-Parâmetros!$D$7)&lt;=0,"INVALIDO",($D224+IF(ISNUMBER($E224),$E224,0)+IF(ISNUMBER(Parâmetros!$E$7),Parâmetros!$E$7,0))/(1-$H224-Parâmetros!$B$7-Parâmetros!$C$7-Parâmetros!$D$7)))</f>
        <v>132.04347826087</v>
      </c>
      <c r="J224" s="38"/>
      <c r="K224" s="39" t="n">
        <f aca="false">IF(OR($A224="",NOT(ISNUMBER($D224)),NOT(ISNUMBER($H224))),"",IF(AND(ISNUMBER($J224),$J224&gt;0),$J224,IF(ISNUMBER($I224),$I224,"")))</f>
        <v>132.04347826087</v>
      </c>
      <c r="L224" s="40" t="n">
        <f aca="false">IF(ISNUMBER($K224),$K224*$H224,"")</f>
        <v>27.7291304347826</v>
      </c>
      <c r="M224" s="40" t="n">
        <f aca="false">IF(ISNUMBER($K224),$K224*Parâmetros!$B$7,"")</f>
        <v>13.204347826087</v>
      </c>
      <c r="N224" s="40" t="n">
        <f aca="false">IF(ISNUMBER($K224),$K224*Parâmetros!$C$7,"")</f>
        <v>3.96130434782609</v>
      </c>
      <c r="O224" s="40" t="n">
        <f aca="false">IF(ISNUMBER($K224),IF(ISNUMBER(Parâmetros!$E$7),Parâmetros!$E$7,0),"")</f>
        <v>0</v>
      </c>
      <c r="P224" s="41" t="n">
        <f aca="false">IF(ISNUMBER($K224),$K224-$D224-IF(ISNUMBER($E224),$E224,0)-$L224-$M224-$N224-$O224,"")</f>
        <v>26.4086956521739</v>
      </c>
      <c r="Q224" s="42" t="n">
        <f aca="false">IF(AND(ISNUMBER($K224),$K224&gt;0),$P224/$K224,"")</f>
        <v>0.2</v>
      </c>
      <c r="R224" s="43"/>
      <c r="S224" s="44" t="str">
        <f aca="false">IF(OR(NOT(ISNUMBER($R224)),$R224=0,NOT(ISNUMBER($K224))),"",$K224*(1-$R224))</f>
        <v/>
      </c>
      <c r="T224" s="45" t="str">
        <f aca="false">IF(ISNUMBER($S224),$S224*$H224,"")</f>
        <v/>
      </c>
      <c r="U224" s="45" t="str">
        <f aca="false">IF(ISNUMBER($S224),$S224*Parâmetros!$B$7,"")</f>
        <v/>
      </c>
      <c r="V224" s="45" t="str">
        <f aca="false">IF(ISNUMBER($S224),$S224*Parâmetros!$C$7,"")</f>
        <v/>
      </c>
      <c r="W224" s="44" t="str">
        <f aca="false">IF(ISNUMBER($S224),$S224-$D224-IF(ISNUMBER($E224),$E224,0)-$O224-$T224-$U224-$V224,"")</f>
        <v/>
      </c>
      <c r="X224" s="46" t="str">
        <f aca="false">IF(AND(ISNUMBER($S224),$S224&gt;0),$W224/$S224,"")</f>
        <v/>
      </c>
      <c r="Y224" s="47"/>
      <c r="Z224" s="19"/>
    </row>
    <row r="225" customFormat="false" ht="15.75" hidden="false" customHeight="true" outlineLevel="0" collapsed="false">
      <c r="A225" s="48" t="str">
        <f aca="false">IF(Produtos!$A225="","",Produtos!$A225)</f>
        <v>A30ML</v>
      </c>
      <c r="B225" s="48" t="str">
        <f aca="false">IF(Produtos!$A225="","",Produtos!$B225)</f>
        <v>Aro 30cm Meia Lua Aço Inox</v>
      </c>
      <c r="C225" s="48" t="str">
        <f aca="false">IF(Produtos!$A225="","",Produtos!$C225)</f>
        <v>Acessórios (aros e tampas)</v>
      </c>
      <c r="D225" s="33" t="n">
        <f aca="false">IF(Produtos!$A225="","",IF(Produtos!$D225="","",Produtos!$D225))</f>
        <v>76.36</v>
      </c>
      <c r="E225" s="11" t="n">
        <v>0</v>
      </c>
      <c r="F225" s="34" t="n">
        <f aca="false">IF($A225="","",IF($C225="","⚠ categoria",IFERROR(INDEX(Parâmetros!$E$13:$E$22,MATCH($C225,Parâmetros!$A$13:$A$22,0)),"⚠ categoria")))</f>
        <v>0.21</v>
      </c>
      <c r="G225" s="35"/>
      <c r="H225" s="36" t="n">
        <f aca="false">IF($A225="","",IF(ISNUMBER($G225),$G225,IF(ISNUMBER($F225),$F225,"")))</f>
        <v>0.21</v>
      </c>
      <c r="I225" s="37" t="n">
        <f aca="false">IF(OR($A225="",NOT(ISNUMBER($D225)),NOT(ISNUMBER($H225))),"",IF((1-$H225-Parâmetros!$B$7-Parâmetros!$C$7-Parâmetros!$D$7)&lt;=0,"INVALIDO",($D225+IF(ISNUMBER($E225),$E225,0)+IF(ISNUMBER(Parâmetros!$E$7),Parâmetros!$E$7,0))/(1-$H225-Parâmetros!$B$7-Parâmetros!$C$7-Parâmetros!$D$7)))</f>
        <v>166</v>
      </c>
      <c r="J225" s="38"/>
      <c r="K225" s="39" t="n">
        <f aca="false">IF(OR($A225="",NOT(ISNUMBER($D225)),NOT(ISNUMBER($H225))),"",IF(AND(ISNUMBER($J225),$J225&gt;0),$J225,IF(ISNUMBER($I225),$I225,"")))</f>
        <v>166</v>
      </c>
      <c r="L225" s="40" t="n">
        <f aca="false">IF(ISNUMBER($K225),$K225*$H225,"")</f>
        <v>34.86</v>
      </c>
      <c r="M225" s="40" t="n">
        <f aca="false">IF(ISNUMBER($K225),$K225*Parâmetros!$B$7,"")</f>
        <v>16.6</v>
      </c>
      <c r="N225" s="40" t="n">
        <f aca="false">IF(ISNUMBER($K225),$K225*Parâmetros!$C$7,"")</f>
        <v>4.98</v>
      </c>
      <c r="O225" s="40" t="n">
        <f aca="false">IF(ISNUMBER($K225),IF(ISNUMBER(Parâmetros!$E$7),Parâmetros!$E$7,0),"")</f>
        <v>0</v>
      </c>
      <c r="P225" s="41" t="n">
        <f aca="false">IF(ISNUMBER($K225),$K225-$D225-IF(ISNUMBER($E225),$E225,0)-$L225-$M225-$N225-$O225,"")</f>
        <v>33.2</v>
      </c>
      <c r="Q225" s="42" t="n">
        <f aca="false">IF(AND(ISNUMBER($K225),$K225&gt;0),$P225/$K225,"")</f>
        <v>0.2</v>
      </c>
      <c r="R225" s="43"/>
      <c r="S225" s="44" t="str">
        <f aca="false">IF(OR(NOT(ISNUMBER($R225)),$R225=0,NOT(ISNUMBER($K225))),"",$K225*(1-$R225))</f>
        <v/>
      </c>
      <c r="T225" s="45" t="str">
        <f aca="false">IF(ISNUMBER($S225),$S225*$H225,"")</f>
        <v/>
      </c>
      <c r="U225" s="45" t="str">
        <f aca="false">IF(ISNUMBER($S225),$S225*Parâmetros!$B$7,"")</f>
        <v/>
      </c>
      <c r="V225" s="45" t="str">
        <f aca="false">IF(ISNUMBER($S225),$S225*Parâmetros!$C$7,"")</f>
        <v/>
      </c>
      <c r="W225" s="44" t="str">
        <f aca="false">IF(ISNUMBER($S225),$S225-$D225-IF(ISNUMBER($E225),$E225,0)-$O225-$T225-$U225-$V225,"")</f>
        <v/>
      </c>
      <c r="X225" s="46" t="str">
        <f aca="false">IF(AND(ISNUMBER($S225),$S225&gt;0),$W225/$S225,"")</f>
        <v/>
      </c>
      <c r="Y225" s="49"/>
      <c r="Z225" s="21"/>
    </row>
    <row r="226" customFormat="false" ht="15.75" hidden="false" customHeight="true" outlineLevel="0" collapsed="false">
      <c r="A226" s="32" t="str">
        <f aca="false">IF(Produtos!$A226="","",Produtos!$A226)</f>
        <v>A40ML</v>
      </c>
      <c r="B226" s="32" t="str">
        <f aca="false">IF(Produtos!$A226="","",Produtos!$B226)</f>
        <v>Aro 40cm Meia Lua Aço Inox</v>
      </c>
      <c r="C226" s="32" t="str">
        <f aca="false">IF(Produtos!$A226="","",Produtos!$C226)</f>
        <v>Acessórios (aros e tampas)</v>
      </c>
      <c r="D226" s="33" t="n">
        <f aca="false">IF(Produtos!$A226="","",IF(Produtos!$D226="","",Produtos!$D226))</f>
        <v>116.98</v>
      </c>
      <c r="E226" s="11" t="n">
        <v>0</v>
      </c>
      <c r="F226" s="34" t="n">
        <f aca="false">IF($A226="","",IF($C226="","⚠ categoria",IFERROR(INDEX(Parâmetros!$E$13:$E$22,MATCH($C226,Parâmetros!$A$13:$A$22,0)),"⚠ categoria")))</f>
        <v>0.21</v>
      </c>
      <c r="G226" s="35"/>
      <c r="H226" s="36" t="n">
        <f aca="false">IF($A226="","",IF(ISNUMBER($G226),$G226,IF(ISNUMBER($F226),$F226,"")))</f>
        <v>0.21</v>
      </c>
      <c r="I226" s="37" t="n">
        <f aca="false">IF(OR($A226="",NOT(ISNUMBER($D226)),NOT(ISNUMBER($H226))),"",IF((1-$H226-Parâmetros!$B$7-Parâmetros!$C$7-Parâmetros!$D$7)&lt;=0,"INVALIDO",($D226+IF(ISNUMBER($E226),$E226,0)+IF(ISNUMBER(Parâmetros!$E$7),Parâmetros!$E$7,0))/(1-$H226-Parâmetros!$B$7-Parâmetros!$C$7-Parâmetros!$D$7)))</f>
        <v>254.304347826087</v>
      </c>
      <c r="J226" s="38"/>
      <c r="K226" s="39" t="n">
        <f aca="false">IF(OR($A226="",NOT(ISNUMBER($D226)),NOT(ISNUMBER($H226))),"",IF(AND(ISNUMBER($J226),$J226&gt;0),$J226,IF(ISNUMBER($I226),$I226,"")))</f>
        <v>254.304347826087</v>
      </c>
      <c r="L226" s="40" t="n">
        <f aca="false">IF(ISNUMBER($K226),$K226*$H226,"")</f>
        <v>53.4039130434783</v>
      </c>
      <c r="M226" s="40" t="n">
        <f aca="false">IF(ISNUMBER($K226),$K226*Parâmetros!$B$7,"")</f>
        <v>25.4304347826087</v>
      </c>
      <c r="N226" s="40" t="n">
        <f aca="false">IF(ISNUMBER($K226),$K226*Parâmetros!$C$7,"")</f>
        <v>7.62913043478261</v>
      </c>
      <c r="O226" s="40" t="n">
        <f aca="false">IF(ISNUMBER($K226),IF(ISNUMBER(Parâmetros!$E$7),Parâmetros!$E$7,0),"")</f>
        <v>0</v>
      </c>
      <c r="P226" s="41" t="n">
        <f aca="false">IF(ISNUMBER($K226),$K226-$D226-IF(ISNUMBER($E226),$E226,0)-$L226-$M226-$N226-$O226,"")</f>
        <v>50.8608695652174</v>
      </c>
      <c r="Q226" s="42" t="n">
        <f aca="false">IF(AND(ISNUMBER($K226),$K226&gt;0),$P226/$K226,"")</f>
        <v>0.2</v>
      </c>
      <c r="R226" s="43"/>
      <c r="S226" s="44" t="str">
        <f aca="false">IF(OR(NOT(ISNUMBER($R226)),$R226=0,NOT(ISNUMBER($K226))),"",$K226*(1-$R226))</f>
        <v/>
      </c>
      <c r="T226" s="45" t="str">
        <f aca="false">IF(ISNUMBER($S226),$S226*$H226,"")</f>
        <v/>
      </c>
      <c r="U226" s="45" t="str">
        <f aca="false">IF(ISNUMBER($S226),$S226*Parâmetros!$B$7,"")</f>
        <v/>
      </c>
      <c r="V226" s="45" t="str">
        <f aca="false">IF(ISNUMBER($S226),$S226*Parâmetros!$C$7,"")</f>
        <v/>
      </c>
      <c r="W226" s="44" t="str">
        <f aca="false">IF(ISNUMBER($S226),$S226-$D226-IF(ISNUMBER($E226),$E226,0)-$O226-$T226-$U226-$V226,"")</f>
        <v/>
      </c>
      <c r="X226" s="46" t="str">
        <f aca="false">IF(AND(ISNUMBER($S226),$S226&gt;0),$W226/$S226,"")</f>
        <v/>
      </c>
      <c r="Y226" s="47"/>
      <c r="Z226" s="19"/>
    </row>
    <row r="227" customFormat="false" ht="15.75" hidden="false" customHeight="true" outlineLevel="0" collapsed="false">
      <c r="A227" s="48" t="str">
        <f aca="false">IF(Produtos!$A227="","",Produtos!$A227)</f>
        <v>AQ-24</v>
      </c>
      <c r="B227" s="48" t="str">
        <f aca="false">IF(Produtos!$A227="","",Produtos!$B227)</f>
        <v>Aro Quadrado 24cm Aço Inox</v>
      </c>
      <c r="C227" s="48" t="str">
        <f aca="false">IF(Produtos!$A227="","",Produtos!$C227)</f>
        <v>Acessórios (aros e tampas)</v>
      </c>
      <c r="D227" s="33" t="n">
        <f aca="false">IF(Produtos!$A227="","",IF(Produtos!$D227="","",Produtos!$D227))</f>
        <v>39.22</v>
      </c>
      <c r="E227" s="11" t="n">
        <v>0</v>
      </c>
      <c r="F227" s="34" t="n">
        <f aca="false">IF($A227="","",IF($C227="","⚠ categoria",IFERROR(INDEX(Parâmetros!$E$13:$E$22,MATCH($C227,Parâmetros!$A$13:$A$22,0)),"⚠ categoria")))</f>
        <v>0.21</v>
      </c>
      <c r="G227" s="35"/>
      <c r="H227" s="36" t="n">
        <f aca="false">IF($A227="","",IF(ISNUMBER($G227),$G227,IF(ISNUMBER($F227),$F227,"")))</f>
        <v>0.21</v>
      </c>
      <c r="I227" s="37" t="n">
        <f aca="false">IF(OR($A227="",NOT(ISNUMBER($D227)),NOT(ISNUMBER($H227))),"",IF((1-$H227-Parâmetros!$B$7-Parâmetros!$C$7-Parâmetros!$D$7)&lt;=0,"INVALIDO",($D227+IF(ISNUMBER($E227),$E227,0)+IF(ISNUMBER(Parâmetros!$E$7),Parâmetros!$E$7,0))/(1-$H227-Parâmetros!$B$7-Parâmetros!$C$7-Parâmetros!$D$7)))</f>
        <v>85.2608695652174</v>
      </c>
      <c r="J227" s="38"/>
      <c r="K227" s="39" t="n">
        <f aca="false">IF(OR($A227="",NOT(ISNUMBER($D227)),NOT(ISNUMBER($H227))),"",IF(AND(ISNUMBER($J227),$J227&gt;0),$J227,IF(ISNUMBER($I227),$I227,"")))</f>
        <v>85.2608695652174</v>
      </c>
      <c r="L227" s="40" t="n">
        <f aca="false">IF(ISNUMBER($K227),$K227*$H227,"")</f>
        <v>17.9047826086957</v>
      </c>
      <c r="M227" s="40" t="n">
        <f aca="false">IF(ISNUMBER($K227),$K227*Parâmetros!$B$7,"")</f>
        <v>8.52608695652174</v>
      </c>
      <c r="N227" s="40" t="n">
        <f aca="false">IF(ISNUMBER($K227),$K227*Parâmetros!$C$7,"")</f>
        <v>2.55782608695652</v>
      </c>
      <c r="O227" s="40" t="n">
        <f aca="false">IF(ISNUMBER($K227),IF(ISNUMBER(Parâmetros!$E$7),Parâmetros!$E$7,0),"")</f>
        <v>0</v>
      </c>
      <c r="P227" s="41" t="n">
        <f aca="false">IF(ISNUMBER($K227),$K227-$D227-IF(ISNUMBER($E227),$E227,0)-$L227-$M227-$N227-$O227,"")</f>
        <v>17.0521739130435</v>
      </c>
      <c r="Q227" s="42" t="n">
        <f aca="false">IF(AND(ISNUMBER($K227),$K227&gt;0),$P227/$K227,"")</f>
        <v>0.2</v>
      </c>
      <c r="R227" s="43"/>
      <c r="S227" s="44" t="str">
        <f aca="false">IF(OR(NOT(ISNUMBER($R227)),$R227=0,NOT(ISNUMBER($K227))),"",$K227*(1-$R227))</f>
        <v/>
      </c>
      <c r="T227" s="45" t="str">
        <f aca="false">IF(ISNUMBER($S227),$S227*$H227,"")</f>
        <v/>
      </c>
      <c r="U227" s="45" t="str">
        <f aca="false">IF(ISNUMBER($S227),$S227*Parâmetros!$B$7,"")</f>
        <v/>
      </c>
      <c r="V227" s="45" t="str">
        <f aca="false">IF(ISNUMBER($S227),$S227*Parâmetros!$C$7,"")</f>
        <v/>
      </c>
      <c r="W227" s="44" t="str">
        <f aca="false">IF(ISNUMBER($S227),$S227-$D227-IF(ISNUMBER($E227),$E227,0)-$O227-$T227-$U227-$V227,"")</f>
        <v/>
      </c>
      <c r="X227" s="46" t="str">
        <f aca="false">IF(AND(ISNUMBER($S227),$S227&gt;0),$W227/$S227,"")</f>
        <v/>
      </c>
      <c r="Y227" s="49"/>
      <c r="Z227" s="21"/>
    </row>
    <row r="228" customFormat="false" ht="15.75" hidden="false" customHeight="true" outlineLevel="0" collapsed="false">
      <c r="A228" s="32" t="str">
        <f aca="false">IF(Produtos!$A228="","",Produtos!$A228)</f>
        <v>AQ-30</v>
      </c>
      <c r="B228" s="32" t="str">
        <f aca="false">IF(Produtos!$A228="","",Produtos!$B228)</f>
        <v>Aro Quadrado 30cm Aço Inox</v>
      </c>
      <c r="C228" s="32" t="str">
        <f aca="false">IF(Produtos!$A228="","",Produtos!$C228)</f>
        <v>Acessórios (aros e tampas)</v>
      </c>
      <c r="D228" s="33" t="n">
        <f aca="false">IF(Produtos!$A228="","",IF(Produtos!$D228="","",Produtos!$D228))</f>
        <v>45.58</v>
      </c>
      <c r="E228" s="11" t="n">
        <v>0</v>
      </c>
      <c r="F228" s="34" t="n">
        <f aca="false">IF($A228="","",IF($C228="","⚠ categoria",IFERROR(INDEX(Parâmetros!$E$13:$E$22,MATCH($C228,Parâmetros!$A$13:$A$22,0)),"⚠ categoria")))</f>
        <v>0.21</v>
      </c>
      <c r="G228" s="35"/>
      <c r="H228" s="36" t="n">
        <f aca="false">IF($A228="","",IF(ISNUMBER($G228),$G228,IF(ISNUMBER($F228),$F228,"")))</f>
        <v>0.21</v>
      </c>
      <c r="I228" s="37" t="n">
        <f aca="false">IF(OR($A228="",NOT(ISNUMBER($D228)),NOT(ISNUMBER($H228))),"",IF((1-$H228-Parâmetros!$B$7-Parâmetros!$C$7-Parâmetros!$D$7)&lt;=0,"INVALIDO",($D228+IF(ISNUMBER($E228),$E228,0)+IF(ISNUMBER(Parâmetros!$E$7),Parâmetros!$E$7,0))/(1-$H228-Parâmetros!$B$7-Parâmetros!$C$7-Parâmetros!$D$7)))</f>
        <v>99.0869565217391</v>
      </c>
      <c r="J228" s="38"/>
      <c r="K228" s="39" t="n">
        <f aca="false">IF(OR($A228="",NOT(ISNUMBER($D228)),NOT(ISNUMBER($H228))),"",IF(AND(ISNUMBER($J228),$J228&gt;0),$J228,IF(ISNUMBER($I228),$I228,"")))</f>
        <v>99.0869565217391</v>
      </c>
      <c r="L228" s="40" t="n">
        <f aca="false">IF(ISNUMBER($K228),$K228*$H228,"")</f>
        <v>20.8082608695652</v>
      </c>
      <c r="M228" s="40" t="n">
        <f aca="false">IF(ISNUMBER($K228),$K228*Parâmetros!$B$7,"")</f>
        <v>9.90869565217391</v>
      </c>
      <c r="N228" s="40" t="n">
        <f aca="false">IF(ISNUMBER($K228),$K228*Parâmetros!$C$7,"")</f>
        <v>2.97260869565217</v>
      </c>
      <c r="O228" s="40" t="n">
        <f aca="false">IF(ISNUMBER($K228),IF(ISNUMBER(Parâmetros!$E$7),Parâmetros!$E$7,0),"")</f>
        <v>0</v>
      </c>
      <c r="P228" s="41" t="n">
        <f aca="false">IF(ISNUMBER($K228),$K228-$D228-IF(ISNUMBER($E228),$E228,0)-$L228-$M228-$N228-$O228,"")</f>
        <v>19.8173913043478</v>
      </c>
      <c r="Q228" s="42" t="n">
        <f aca="false">IF(AND(ISNUMBER($K228),$K228&gt;0),$P228/$K228,"")</f>
        <v>0.2</v>
      </c>
      <c r="R228" s="43"/>
      <c r="S228" s="44" t="str">
        <f aca="false">IF(OR(NOT(ISNUMBER($R228)),$R228=0,NOT(ISNUMBER($K228))),"",$K228*(1-$R228))</f>
        <v/>
      </c>
      <c r="T228" s="45" t="str">
        <f aca="false">IF(ISNUMBER($S228),$S228*$H228,"")</f>
        <v/>
      </c>
      <c r="U228" s="45" t="str">
        <f aca="false">IF(ISNUMBER($S228),$S228*Parâmetros!$B$7,"")</f>
        <v/>
      </c>
      <c r="V228" s="45" t="str">
        <f aca="false">IF(ISNUMBER($S228),$S228*Parâmetros!$C$7,"")</f>
        <v/>
      </c>
      <c r="W228" s="44" t="str">
        <f aca="false">IF(ISNUMBER($S228),$S228-$D228-IF(ISNUMBER($E228),$E228,0)-$O228-$T228-$U228-$V228,"")</f>
        <v/>
      </c>
      <c r="X228" s="46" t="str">
        <f aca="false">IF(AND(ISNUMBER($S228),$S228&gt;0),$W228/$S228,"")</f>
        <v/>
      </c>
      <c r="Y228" s="47"/>
      <c r="Z228" s="19"/>
    </row>
    <row r="229" customFormat="false" ht="15.75" hidden="false" customHeight="true" outlineLevel="0" collapsed="false">
      <c r="A229" s="48" t="str">
        <f aca="false">IF(Produtos!$A229="","",Produtos!$A229)</f>
        <v>AQ-40</v>
      </c>
      <c r="B229" s="48" t="str">
        <f aca="false">IF(Produtos!$A229="","",Produtos!$B229)</f>
        <v>Aro Quadrado 40cm Aço Inox</v>
      </c>
      <c r="C229" s="48" t="str">
        <f aca="false">IF(Produtos!$A229="","",Produtos!$C229)</f>
        <v>Acessórios (aros e tampas)</v>
      </c>
      <c r="D229" s="33" t="n">
        <f aca="false">IF(Produtos!$A229="","",IF(Produtos!$D229="","",Produtos!$D229))</f>
        <v>96.46</v>
      </c>
      <c r="E229" s="11" t="n">
        <v>0</v>
      </c>
      <c r="F229" s="34" t="n">
        <f aca="false">IF($A229="","",IF($C229="","⚠ categoria",IFERROR(INDEX(Parâmetros!$E$13:$E$22,MATCH($C229,Parâmetros!$A$13:$A$22,0)),"⚠ categoria")))</f>
        <v>0.21</v>
      </c>
      <c r="G229" s="35"/>
      <c r="H229" s="36" t="n">
        <f aca="false">IF($A229="","",IF(ISNUMBER($G229),$G229,IF(ISNUMBER($F229),$F229,"")))</f>
        <v>0.21</v>
      </c>
      <c r="I229" s="37" t="n">
        <f aca="false">IF(OR($A229="",NOT(ISNUMBER($D229)),NOT(ISNUMBER($H229))),"",IF((1-$H229-Parâmetros!$B$7-Parâmetros!$C$7-Parâmetros!$D$7)&lt;=0,"INVALIDO",($D229+IF(ISNUMBER($E229),$E229,0)+IF(ISNUMBER(Parâmetros!$E$7),Parâmetros!$E$7,0))/(1-$H229-Parâmetros!$B$7-Parâmetros!$C$7-Parâmetros!$D$7)))</f>
        <v>209.695652173913</v>
      </c>
      <c r="J229" s="38"/>
      <c r="K229" s="39" t="n">
        <f aca="false">IF(OR($A229="",NOT(ISNUMBER($D229)),NOT(ISNUMBER($H229))),"",IF(AND(ISNUMBER($J229),$J229&gt;0),$J229,IF(ISNUMBER($I229),$I229,"")))</f>
        <v>209.695652173913</v>
      </c>
      <c r="L229" s="40" t="n">
        <f aca="false">IF(ISNUMBER($K229),$K229*$H229,"")</f>
        <v>44.0360869565217</v>
      </c>
      <c r="M229" s="40" t="n">
        <f aca="false">IF(ISNUMBER($K229),$K229*Parâmetros!$B$7,"")</f>
        <v>20.9695652173913</v>
      </c>
      <c r="N229" s="40" t="n">
        <f aca="false">IF(ISNUMBER($K229),$K229*Parâmetros!$C$7,"")</f>
        <v>6.29086956521739</v>
      </c>
      <c r="O229" s="40" t="n">
        <f aca="false">IF(ISNUMBER($K229),IF(ISNUMBER(Parâmetros!$E$7),Parâmetros!$E$7,0),"")</f>
        <v>0</v>
      </c>
      <c r="P229" s="41" t="n">
        <f aca="false">IF(ISNUMBER($K229),$K229-$D229-IF(ISNUMBER($E229),$E229,0)-$L229-$M229-$N229-$O229,"")</f>
        <v>41.9391304347826</v>
      </c>
      <c r="Q229" s="42" t="n">
        <f aca="false">IF(AND(ISNUMBER($K229),$K229&gt;0),$P229/$K229,"")</f>
        <v>0.2</v>
      </c>
      <c r="R229" s="43"/>
      <c r="S229" s="44" t="str">
        <f aca="false">IF(OR(NOT(ISNUMBER($R229)),$R229=0,NOT(ISNUMBER($K229))),"",$K229*(1-$R229))</f>
        <v/>
      </c>
      <c r="T229" s="45" t="str">
        <f aca="false">IF(ISNUMBER($S229),$S229*$H229,"")</f>
        <v/>
      </c>
      <c r="U229" s="45" t="str">
        <f aca="false">IF(ISNUMBER($S229),$S229*Parâmetros!$B$7,"")</f>
        <v/>
      </c>
      <c r="V229" s="45" t="str">
        <f aca="false">IF(ISNUMBER($S229),$S229*Parâmetros!$C$7,"")</f>
        <v/>
      </c>
      <c r="W229" s="44" t="str">
        <f aca="false">IF(ISNUMBER($S229),$S229-$D229-IF(ISNUMBER($E229),$E229,0)-$O229-$T229-$U229-$V229,"")</f>
        <v/>
      </c>
      <c r="X229" s="46" t="str">
        <f aca="false">IF(AND(ISNUMBER($S229),$S229&gt;0),$W229/$S229,"")</f>
        <v/>
      </c>
      <c r="Y229" s="49"/>
      <c r="Z229" s="21"/>
    </row>
    <row r="230" customFormat="false" ht="15.75" hidden="false" customHeight="true" outlineLevel="0" collapsed="false">
      <c r="A230" s="32" t="str">
        <f aca="false">IF(Produtos!$A230="","",Produtos!$A230)</f>
        <v>AQ-24B</v>
      </c>
      <c r="B230" s="32" t="str">
        <f aca="false">IF(Produtos!$A230="","",Produtos!$B230)</f>
        <v>Aro Quadrado 24cm c/Basculante</v>
      </c>
      <c r="C230" s="32" t="str">
        <f aca="false">IF(Produtos!$A230="","",Produtos!$C230)</f>
        <v>Acessórios (aros e tampas)</v>
      </c>
      <c r="D230" s="33" t="n">
        <f aca="false">IF(Produtos!$A230="","",IF(Produtos!$D230="","",Produtos!$D230))</f>
        <v>54.06</v>
      </c>
      <c r="E230" s="11" t="n">
        <v>0</v>
      </c>
      <c r="F230" s="34" t="n">
        <f aca="false">IF($A230="","",IF($C230="","⚠ categoria",IFERROR(INDEX(Parâmetros!$E$13:$E$22,MATCH($C230,Parâmetros!$A$13:$A$22,0)),"⚠ categoria")))</f>
        <v>0.21</v>
      </c>
      <c r="G230" s="35"/>
      <c r="H230" s="36" t="n">
        <f aca="false">IF($A230="","",IF(ISNUMBER($G230),$G230,IF(ISNUMBER($F230),$F230,"")))</f>
        <v>0.21</v>
      </c>
      <c r="I230" s="37" t="n">
        <f aca="false">IF(OR($A230="",NOT(ISNUMBER($D230)),NOT(ISNUMBER($H230))),"",IF((1-$H230-Parâmetros!$B$7-Parâmetros!$C$7-Parâmetros!$D$7)&lt;=0,"INVALIDO",($D230+IF(ISNUMBER($E230),$E230,0)+IF(ISNUMBER(Parâmetros!$E$7),Parâmetros!$E$7,0))/(1-$H230-Parâmetros!$B$7-Parâmetros!$C$7-Parâmetros!$D$7)))</f>
        <v>117.521739130435</v>
      </c>
      <c r="J230" s="38"/>
      <c r="K230" s="39" t="n">
        <f aca="false">IF(OR($A230="",NOT(ISNUMBER($D230)),NOT(ISNUMBER($H230))),"",IF(AND(ISNUMBER($J230),$J230&gt;0),$J230,IF(ISNUMBER($I230),$I230,"")))</f>
        <v>117.521739130435</v>
      </c>
      <c r="L230" s="40" t="n">
        <f aca="false">IF(ISNUMBER($K230),$K230*$H230,"")</f>
        <v>24.6795652173913</v>
      </c>
      <c r="M230" s="40" t="n">
        <f aca="false">IF(ISNUMBER($K230),$K230*Parâmetros!$B$7,"")</f>
        <v>11.7521739130435</v>
      </c>
      <c r="N230" s="40" t="n">
        <f aca="false">IF(ISNUMBER($K230),$K230*Parâmetros!$C$7,"")</f>
        <v>3.52565217391304</v>
      </c>
      <c r="O230" s="40" t="n">
        <f aca="false">IF(ISNUMBER($K230),IF(ISNUMBER(Parâmetros!$E$7),Parâmetros!$E$7,0),"")</f>
        <v>0</v>
      </c>
      <c r="P230" s="41" t="n">
        <f aca="false">IF(ISNUMBER($K230),$K230-$D230-IF(ISNUMBER($E230),$E230,0)-$L230-$M230-$N230-$O230,"")</f>
        <v>23.504347826087</v>
      </c>
      <c r="Q230" s="42" t="n">
        <f aca="false">IF(AND(ISNUMBER($K230),$K230&gt;0),$P230/$K230,"")</f>
        <v>0.2</v>
      </c>
      <c r="R230" s="43"/>
      <c r="S230" s="44" t="str">
        <f aca="false">IF(OR(NOT(ISNUMBER($R230)),$R230=0,NOT(ISNUMBER($K230))),"",$K230*(1-$R230))</f>
        <v/>
      </c>
      <c r="T230" s="45" t="str">
        <f aca="false">IF(ISNUMBER($S230),$S230*$H230,"")</f>
        <v/>
      </c>
      <c r="U230" s="45" t="str">
        <f aca="false">IF(ISNUMBER($S230),$S230*Parâmetros!$B$7,"")</f>
        <v/>
      </c>
      <c r="V230" s="45" t="str">
        <f aca="false">IF(ISNUMBER($S230),$S230*Parâmetros!$C$7,"")</f>
        <v/>
      </c>
      <c r="W230" s="44" t="str">
        <f aca="false">IF(ISNUMBER($S230),$S230-$D230-IF(ISNUMBER($E230),$E230,0)-$O230-$T230-$U230-$V230,"")</f>
        <v/>
      </c>
      <c r="X230" s="46" t="str">
        <f aca="false">IF(AND(ISNUMBER($S230),$S230&gt;0),$W230/$S230,"")</f>
        <v/>
      </c>
      <c r="Y230" s="47"/>
      <c r="Z230" s="19"/>
    </row>
    <row r="231" customFormat="false" ht="15.75" hidden="false" customHeight="true" outlineLevel="0" collapsed="false">
      <c r="A231" s="48" t="str">
        <f aca="false">IF(Produtos!$A231="","",Produtos!$A231)</f>
        <v>AQ-30B</v>
      </c>
      <c r="B231" s="48" t="str">
        <f aca="false">IF(Produtos!$A231="","",Produtos!$B231)</f>
        <v>Aro Quadrado 30cm c/Basculante</v>
      </c>
      <c r="C231" s="48" t="str">
        <f aca="false">IF(Produtos!$A231="","",Produtos!$C231)</f>
        <v>Acessórios (aros e tampas)</v>
      </c>
      <c r="D231" s="33" t="n">
        <f aca="false">IF(Produtos!$A231="","",IF(Produtos!$D231="","",Produtos!$D231))</f>
        <v>69.96</v>
      </c>
      <c r="E231" s="11" t="n">
        <v>0</v>
      </c>
      <c r="F231" s="34" t="n">
        <f aca="false">IF($A231="","",IF($C231="","⚠ categoria",IFERROR(INDEX(Parâmetros!$E$13:$E$22,MATCH($C231,Parâmetros!$A$13:$A$22,0)),"⚠ categoria")))</f>
        <v>0.21</v>
      </c>
      <c r="G231" s="35"/>
      <c r="H231" s="36" t="n">
        <f aca="false">IF($A231="","",IF(ISNUMBER($G231),$G231,IF(ISNUMBER($F231),$F231,"")))</f>
        <v>0.21</v>
      </c>
      <c r="I231" s="37" t="n">
        <f aca="false">IF(OR($A231="",NOT(ISNUMBER($D231)),NOT(ISNUMBER($H231))),"",IF((1-$H231-Parâmetros!$B$7-Parâmetros!$C$7-Parâmetros!$D$7)&lt;=0,"INVALIDO",($D231+IF(ISNUMBER($E231),$E231,0)+IF(ISNUMBER(Parâmetros!$E$7),Parâmetros!$E$7,0))/(1-$H231-Parâmetros!$B$7-Parâmetros!$C$7-Parâmetros!$D$7)))</f>
        <v>152.086956521739</v>
      </c>
      <c r="J231" s="38"/>
      <c r="K231" s="39" t="n">
        <f aca="false">IF(OR($A231="",NOT(ISNUMBER($D231)),NOT(ISNUMBER($H231))),"",IF(AND(ISNUMBER($J231),$J231&gt;0),$J231,IF(ISNUMBER($I231),$I231,"")))</f>
        <v>152.086956521739</v>
      </c>
      <c r="L231" s="40" t="n">
        <f aca="false">IF(ISNUMBER($K231),$K231*$H231,"")</f>
        <v>31.9382608695652</v>
      </c>
      <c r="M231" s="40" t="n">
        <f aca="false">IF(ISNUMBER($K231),$K231*Parâmetros!$B$7,"")</f>
        <v>15.2086956521739</v>
      </c>
      <c r="N231" s="40" t="n">
        <f aca="false">IF(ISNUMBER($K231),$K231*Parâmetros!$C$7,"")</f>
        <v>4.56260869565217</v>
      </c>
      <c r="O231" s="40" t="n">
        <f aca="false">IF(ISNUMBER($K231),IF(ISNUMBER(Parâmetros!$E$7),Parâmetros!$E$7,0),"")</f>
        <v>0</v>
      </c>
      <c r="P231" s="41" t="n">
        <f aca="false">IF(ISNUMBER($K231),$K231-$D231-IF(ISNUMBER($E231),$E231,0)-$L231-$M231-$N231-$O231,"")</f>
        <v>30.4173913043478</v>
      </c>
      <c r="Q231" s="42" t="n">
        <f aca="false">IF(AND(ISNUMBER($K231),$K231&gt;0),$P231/$K231,"")</f>
        <v>0.2</v>
      </c>
      <c r="R231" s="43"/>
      <c r="S231" s="44" t="str">
        <f aca="false">IF(OR(NOT(ISNUMBER($R231)),$R231=0,NOT(ISNUMBER($K231))),"",$K231*(1-$R231))</f>
        <v/>
      </c>
      <c r="T231" s="45" t="str">
        <f aca="false">IF(ISNUMBER($S231),$S231*$H231,"")</f>
        <v/>
      </c>
      <c r="U231" s="45" t="str">
        <f aca="false">IF(ISNUMBER($S231),$S231*Parâmetros!$B$7,"")</f>
        <v/>
      </c>
      <c r="V231" s="45" t="str">
        <f aca="false">IF(ISNUMBER($S231),$S231*Parâmetros!$C$7,"")</f>
        <v/>
      </c>
      <c r="W231" s="44" t="str">
        <f aca="false">IF(ISNUMBER($S231),$S231-$D231-IF(ISNUMBER($E231),$E231,0)-$O231-$T231-$U231-$V231,"")</f>
        <v/>
      </c>
      <c r="X231" s="46" t="str">
        <f aca="false">IF(AND(ISNUMBER($S231),$S231&gt;0),$W231/$S231,"")</f>
        <v/>
      </c>
      <c r="Y231" s="49"/>
      <c r="Z231" s="21"/>
    </row>
    <row r="232" customFormat="false" ht="15.75" hidden="false" customHeight="true" outlineLevel="0" collapsed="false">
      <c r="A232" s="32" t="str">
        <f aca="false">IF(Produtos!$A232="","",Produtos!$A232)</f>
        <v>AQ-40B</v>
      </c>
      <c r="B232" s="32" t="str">
        <f aca="false">IF(Produtos!$A232="","",Produtos!$B232)</f>
        <v>Aro Quadrado 40cm c/Basculante</v>
      </c>
      <c r="C232" s="32" t="str">
        <f aca="false">IF(Produtos!$A232="","",Produtos!$C232)</f>
        <v>Acessórios (aros e tampas)</v>
      </c>
      <c r="D232" s="33" t="n">
        <f aca="false">IF(Produtos!$A232="","",IF(Produtos!$D232="","",Produtos!$D232))</f>
        <v>121.9</v>
      </c>
      <c r="E232" s="11" t="n">
        <v>0</v>
      </c>
      <c r="F232" s="34" t="n">
        <f aca="false">IF($A232="","",IF($C232="","⚠ categoria",IFERROR(INDEX(Parâmetros!$E$13:$E$22,MATCH($C232,Parâmetros!$A$13:$A$22,0)),"⚠ categoria")))</f>
        <v>0.21</v>
      </c>
      <c r="G232" s="35"/>
      <c r="H232" s="36" t="n">
        <f aca="false">IF($A232="","",IF(ISNUMBER($G232),$G232,IF(ISNUMBER($F232),$F232,"")))</f>
        <v>0.21</v>
      </c>
      <c r="I232" s="37" t="n">
        <f aca="false">IF(OR($A232="",NOT(ISNUMBER($D232)),NOT(ISNUMBER($H232))),"",IF((1-$H232-Parâmetros!$B$7-Parâmetros!$C$7-Parâmetros!$D$7)&lt;=0,"INVALIDO",($D232+IF(ISNUMBER($E232),$E232,0)+IF(ISNUMBER(Parâmetros!$E$7),Parâmetros!$E$7,0))/(1-$H232-Parâmetros!$B$7-Parâmetros!$C$7-Parâmetros!$D$7)))</f>
        <v>265</v>
      </c>
      <c r="J232" s="38"/>
      <c r="K232" s="39" t="n">
        <f aca="false">IF(OR($A232="",NOT(ISNUMBER($D232)),NOT(ISNUMBER($H232))),"",IF(AND(ISNUMBER($J232),$J232&gt;0),$J232,IF(ISNUMBER($I232),$I232,"")))</f>
        <v>265</v>
      </c>
      <c r="L232" s="40" t="n">
        <f aca="false">IF(ISNUMBER($K232),$K232*$H232,"")</f>
        <v>55.65</v>
      </c>
      <c r="M232" s="40" t="n">
        <f aca="false">IF(ISNUMBER($K232),$K232*Parâmetros!$B$7,"")</f>
        <v>26.5</v>
      </c>
      <c r="N232" s="40" t="n">
        <f aca="false">IF(ISNUMBER($K232),$K232*Parâmetros!$C$7,"")</f>
        <v>7.95</v>
      </c>
      <c r="O232" s="40" t="n">
        <f aca="false">IF(ISNUMBER($K232),IF(ISNUMBER(Parâmetros!$E$7),Parâmetros!$E$7,0),"")</f>
        <v>0</v>
      </c>
      <c r="P232" s="41" t="n">
        <f aca="false">IF(ISNUMBER($K232),$K232-$D232-IF(ISNUMBER($E232),$E232,0)-$L232-$M232-$N232-$O232,"")</f>
        <v>53</v>
      </c>
      <c r="Q232" s="42" t="n">
        <f aca="false">IF(AND(ISNUMBER($K232),$K232&gt;0),$P232/$K232,"")</f>
        <v>0.2</v>
      </c>
      <c r="R232" s="43"/>
      <c r="S232" s="44" t="str">
        <f aca="false">IF(OR(NOT(ISNUMBER($R232)),$R232=0,NOT(ISNUMBER($K232))),"",$K232*(1-$R232))</f>
        <v/>
      </c>
      <c r="T232" s="45" t="str">
        <f aca="false">IF(ISNUMBER($S232),$S232*$H232,"")</f>
        <v/>
      </c>
      <c r="U232" s="45" t="str">
        <f aca="false">IF(ISNUMBER($S232),$S232*Parâmetros!$B$7,"")</f>
        <v/>
      </c>
      <c r="V232" s="45" t="str">
        <f aca="false">IF(ISNUMBER($S232),$S232*Parâmetros!$C$7,"")</f>
        <v/>
      </c>
      <c r="W232" s="44" t="str">
        <f aca="false">IF(ISNUMBER($S232),$S232-$D232-IF(ISNUMBER($E232),$E232,0)-$O232-$T232-$U232-$V232,"")</f>
        <v/>
      </c>
      <c r="X232" s="46" t="str">
        <f aca="false">IF(AND(ISNUMBER($S232),$S232&gt;0),$W232/$S232,"")</f>
        <v/>
      </c>
      <c r="Y232" s="47"/>
      <c r="Z232" s="19"/>
    </row>
    <row r="233" customFormat="false" ht="15.75" hidden="false" customHeight="true" outlineLevel="0" collapsed="false">
      <c r="A233" s="48" t="str">
        <f aca="false">IF(Produtos!$A233="","",Produtos!$A233)</f>
        <v>AQ-24C</v>
      </c>
      <c r="B233" s="48" t="str">
        <f aca="false">IF(Produtos!$A233="","",Produtos!$B233)</f>
        <v>Aro Quadrado 24cm Pintado</v>
      </c>
      <c r="C233" s="48" t="str">
        <f aca="false">IF(Produtos!$A233="","",Produtos!$C233)</f>
        <v>Acessórios (aros e tampas)</v>
      </c>
      <c r="D233" s="33" t="n">
        <f aca="false">IF(Produtos!$A233="","",IF(Produtos!$D233="","",Produtos!$D233))</f>
        <v>45.58</v>
      </c>
      <c r="E233" s="11" t="n">
        <v>0</v>
      </c>
      <c r="F233" s="34" t="n">
        <f aca="false">IF($A233="","",IF($C233="","⚠ categoria",IFERROR(INDEX(Parâmetros!$E$13:$E$22,MATCH($C233,Parâmetros!$A$13:$A$22,0)),"⚠ categoria")))</f>
        <v>0.21</v>
      </c>
      <c r="G233" s="35"/>
      <c r="H233" s="36" t="n">
        <f aca="false">IF($A233="","",IF(ISNUMBER($G233),$G233,IF(ISNUMBER($F233),$F233,"")))</f>
        <v>0.21</v>
      </c>
      <c r="I233" s="37" t="n">
        <f aca="false">IF(OR($A233="",NOT(ISNUMBER($D233)),NOT(ISNUMBER($H233))),"",IF((1-$H233-Parâmetros!$B$7-Parâmetros!$C$7-Parâmetros!$D$7)&lt;=0,"INVALIDO",($D233+IF(ISNUMBER($E233),$E233,0)+IF(ISNUMBER(Parâmetros!$E$7),Parâmetros!$E$7,0))/(1-$H233-Parâmetros!$B$7-Parâmetros!$C$7-Parâmetros!$D$7)))</f>
        <v>99.0869565217391</v>
      </c>
      <c r="J233" s="38"/>
      <c r="K233" s="39" t="n">
        <f aca="false">IF(OR($A233="",NOT(ISNUMBER($D233)),NOT(ISNUMBER($H233))),"",IF(AND(ISNUMBER($J233),$J233&gt;0),$J233,IF(ISNUMBER($I233),$I233,"")))</f>
        <v>99.0869565217391</v>
      </c>
      <c r="L233" s="40" t="n">
        <f aca="false">IF(ISNUMBER($K233),$K233*$H233,"")</f>
        <v>20.8082608695652</v>
      </c>
      <c r="M233" s="40" t="n">
        <f aca="false">IF(ISNUMBER($K233),$K233*Parâmetros!$B$7,"")</f>
        <v>9.90869565217391</v>
      </c>
      <c r="N233" s="40" t="n">
        <f aca="false">IF(ISNUMBER($K233),$K233*Parâmetros!$C$7,"")</f>
        <v>2.97260869565217</v>
      </c>
      <c r="O233" s="40" t="n">
        <f aca="false">IF(ISNUMBER($K233),IF(ISNUMBER(Parâmetros!$E$7),Parâmetros!$E$7,0),"")</f>
        <v>0</v>
      </c>
      <c r="P233" s="41" t="n">
        <f aca="false">IF(ISNUMBER($K233),$K233-$D233-IF(ISNUMBER($E233),$E233,0)-$L233-$M233-$N233-$O233,"")</f>
        <v>19.8173913043478</v>
      </c>
      <c r="Q233" s="42" t="n">
        <f aca="false">IF(AND(ISNUMBER($K233),$K233&gt;0),$P233/$K233,"")</f>
        <v>0.2</v>
      </c>
      <c r="R233" s="43"/>
      <c r="S233" s="44" t="str">
        <f aca="false">IF(OR(NOT(ISNUMBER($R233)),$R233=0,NOT(ISNUMBER($K233))),"",$K233*(1-$R233))</f>
        <v/>
      </c>
      <c r="T233" s="45" t="str">
        <f aca="false">IF(ISNUMBER($S233),$S233*$H233,"")</f>
        <v/>
      </c>
      <c r="U233" s="45" t="str">
        <f aca="false">IF(ISNUMBER($S233),$S233*Parâmetros!$B$7,"")</f>
        <v/>
      </c>
      <c r="V233" s="45" t="str">
        <f aca="false">IF(ISNUMBER($S233),$S233*Parâmetros!$C$7,"")</f>
        <v/>
      </c>
      <c r="W233" s="44" t="str">
        <f aca="false">IF(ISNUMBER($S233),$S233-$D233-IF(ISNUMBER($E233),$E233,0)-$O233-$T233-$U233-$V233,"")</f>
        <v/>
      </c>
      <c r="X233" s="46" t="str">
        <f aca="false">IF(AND(ISNUMBER($S233),$S233&gt;0),$W233/$S233,"")</f>
        <v/>
      </c>
      <c r="Y233" s="49"/>
      <c r="Z233" s="21"/>
    </row>
    <row r="234" customFormat="false" ht="15.75" hidden="false" customHeight="true" outlineLevel="0" collapsed="false">
      <c r="A234" s="32" t="str">
        <f aca="false">IF(Produtos!$A234="","",Produtos!$A234)</f>
        <v>AQ-30C</v>
      </c>
      <c r="B234" s="32" t="str">
        <f aca="false">IF(Produtos!$A234="","",Produtos!$B234)</f>
        <v>Aro Quadrado 30cm Pintado</v>
      </c>
      <c r="C234" s="32" t="str">
        <f aca="false">IF(Produtos!$A234="","",Produtos!$C234)</f>
        <v>Acessórios (aros e tampas)</v>
      </c>
      <c r="D234" s="33" t="n">
        <f aca="false">IF(Produtos!$A234="","",IF(Produtos!$D234="","",Produtos!$D234))</f>
        <v>53</v>
      </c>
      <c r="E234" s="11" t="n">
        <v>0</v>
      </c>
      <c r="F234" s="34" t="n">
        <f aca="false">IF($A234="","",IF($C234="","⚠ categoria",IFERROR(INDEX(Parâmetros!$E$13:$E$22,MATCH($C234,Parâmetros!$A$13:$A$22,0)),"⚠ categoria")))</f>
        <v>0.21</v>
      </c>
      <c r="G234" s="35"/>
      <c r="H234" s="36" t="n">
        <f aca="false">IF($A234="","",IF(ISNUMBER($G234),$G234,IF(ISNUMBER($F234),$F234,"")))</f>
        <v>0.21</v>
      </c>
      <c r="I234" s="37" t="n">
        <f aca="false">IF(OR($A234="",NOT(ISNUMBER($D234)),NOT(ISNUMBER($H234))),"",IF((1-$H234-Parâmetros!$B$7-Parâmetros!$C$7-Parâmetros!$D$7)&lt;=0,"INVALIDO",($D234+IF(ISNUMBER($E234),$E234,0)+IF(ISNUMBER(Parâmetros!$E$7),Parâmetros!$E$7,0))/(1-$H234-Parâmetros!$B$7-Parâmetros!$C$7-Parâmetros!$D$7)))</f>
        <v>115.217391304348</v>
      </c>
      <c r="J234" s="38"/>
      <c r="K234" s="39" t="n">
        <f aca="false">IF(OR($A234="",NOT(ISNUMBER($D234)),NOT(ISNUMBER($H234))),"",IF(AND(ISNUMBER($J234),$J234&gt;0),$J234,IF(ISNUMBER($I234),$I234,"")))</f>
        <v>115.217391304348</v>
      </c>
      <c r="L234" s="40" t="n">
        <f aca="false">IF(ISNUMBER($K234),$K234*$H234,"")</f>
        <v>24.195652173913</v>
      </c>
      <c r="M234" s="40" t="n">
        <f aca="false">IF(ISNUMBER($K234),$K234*Parâmetros!$B$7,"")</f>
        <v>11.5217391304348</v>
      </c>
      <c r="N234" s="40" t="n">
        <f aca="false">IF(ISNUMBER($K234),$K234*Parâmetros!$C$7,"")</f>
        <v>3.45652173913043</v>
      </c>
      <c r="O234" s="40" t="n">
        <f aca="false">IF(ISNUMBER($K234),IF(ISNUMBER(Parâmetros!$E$7),Parâmetros!$E$7,0),"")</f>
        <v>0</v>
      </c>
      <c r="P234" s="41" t="n">
        <f aca="false">IF(ISNUMBER($K234),$K234-$D234-IF(ISNUMBER($E234),$E234,0)-$L234-$M234-$N234-$O234,"")</f>
        <v>23.0434782608696</v>
      </c>
      <c r="Q234" s="42" t="n">
        <f aca="false">IF(AND(ISNUMBER($K234),$K234&gt;0),$P234/$K234,"")</f>
        <v>0.2</v>
      </c>
      <c r="R234" s="43"/>
      <c r="S234" s="44" t="str">
        <f aca="false">IF(OR(NOT(ISNUMBER($R234)),$R234=0,NOT(ISNUMBER($K234))),"",$K234*(1-$R234))</f>
        <v/>
      </c>
      <c r="T234" s="45" t="str">
        <f aca="false">IF(ISNUMBER($S234),$S234*$H234,"")</f>
        <v/>
      </c>
      <c r="U234" s="45" t="str">
        <f aca="false">IF(ISNUMBER($S234),$S234*Parâmetros!$B$7,"")</f>
        <v/>
      </c>
      <c r="V234" s="45" t="str">
        <f aca="false">IF(ISNUMBER($S234),$S234*Parâmetros!$C$7,"")</f>
        <v/>
      </c>
      <c r="W234" s="44" t="str">
        <f aca="false">IF(ISNUMBER($S234),$S234-$D234-IF(ISNUMBER($E234),$E234,0)-$O234-$T234-$U234-$V234,"")</f>
        <v/>
      </c>
      <c r="X234" s="46" t="str">
        <f aca="false">IF(AND(ISNUMBER($S234),$S234&gt;0),$W234/$S234,"")</f>
        <v/>
      </c>
      <c r="Y234" s="47"/>
      <c r="Z234" s="19"/>
    </row>
    <row r="235" customFormat="false" ht="15.75" hidden="false" customHeight="true" outlineLevel="0" collapsed="false">
      <c r="A235" s="48" t="str">
        <f aca="false">IF(Produtos!$A235="","",Produtos!$A235)</f>
        <v>AQ-40C</v>
      </c>
      <c r="B235" s="48" t="str">
        <f aca="false">IF(Produtos!$A235="","",Produtos!$B235)</f>
        <v>Aro Quadrado 40cm Pintado</v>
      </c>
      <c r="C235" s="48" t="str">
        <f aca="false">IF(Produtos!$A235="","",Produtos!$C235)</f>
        <v>Acessórios (aros e tampas)</v>
      </c>
      <c r="D235" s="33" t="n">
        <f aca="false">IF(Produtos!$A235="","",IF(Produtos!$D235="","",Produtos!$D235))</f>
        <v>104.94</v>
      </c>
      <c r="E235" s="11" t="n">
        <v>0</v>
      </c>
      <c r="F235" s="34" t="n">
        <f aca="false">IF($A235="","",IF($C235="","⚠ categoria",IFERROR(INDEX(Parâmetros!$E$13:$E$22,MATCH($C235,Parâmetros!$A$13:$A$22,0)),"⚠ categoria")))</f>
        <v>0.21</v>
      </c>
      <c r="G235" s="35"/>
      <c r="H235" s="36" t="n">
        <f aca="false">IF($A235="","",IF(ISNUMBER($G235),$G235,IF(ISNUMBER($F235),$F235,"")))</f>
        <v>0.21</v>
      </c>
      <c r="I235" s="37" t="n">
        <f aca="false">IF(OR($A235="",NOT(ISNUMBER($D235)),NOT(ISNUMBER($H235))),"",IF((1-$H235-Parâmetros!$B$7-Parâmetros!$C$7-Parâmetros!$D$7)&lt;=0,"INVALIDO",($D235+IF(ISNUMBER($E235),$E235,0)+IF(ISNUMBER(Parâmetros!$E$7),Parâmetros!$E$7,0))/(1-$H235-Parâmetros!$B$7-Parâmetros!$C$7-Parâmetros!$D$7)))</f>
        <v>228.130434782609</v>
      </c>
      <c r="J235" s="38"/>
      <c r="K235" s="39" t="n">
        <f aca="false">IF(OR($A235="",NOT(ISNUMBER($D235)),NOT(ISNUMBER($H235))),"",IF(AND(ISNUMBER($J235),$J235&gt;0),$J235,IF(ISNUMBER($I235),$I235,"")))</f>
        <v>228.130434782609</v>
      </c>
      <c r="L235" s="40" t="n">
        <f aca="false">IF(ISNUMBER($K235),$K235*$H235,"")</f>
        <v>47.9073913043478</v>
      </c>
      <c r="M235" s="40" t="n">
        <f aca="false">IF(ISNUMBER($K235),$K235*Parâmetros!$B$7,"")</f>
        <v>22.8130434782609</v>
      </c>
      <c r="N235" s="40" t="n">
        <f aca="false">IF(ISNUMBER($K235),$K235*Parâmetros!$C$7,"")</f>
        <v>6.84391304347826</v>
      </c>
      <c r="O235" s="40" t="n">
        <f aca="false">IF(ISNUMBER($K235),IF(ISNUMBER(Parâmetros!$E$7),Parâmetros!$E$7,0),"")</f>
        <v>0</v>
      </c>
      <c r="P235" s="41" t="n">
        <f aca="false">IF(ISNUMBER($K235),$K235-$D235-IF(ISNUMBER($E235),$E235,0)-$L235-$M235-$N235-$O235,"")</f>
        <v>45.6260869565217</v>
      </c>
      <c r="Q235" s="42" t="n">
        <f aca="false">IF(AND(ISNUMBER($K235),$K235&gt;0),$P235/$K235,"")</f>
        <v>0.2</v>
      </c>
      <c r="R235" s="43"/>
      <c r="S235" s="44" t="str">
        <f aca="false">IF(OR(NOT(ISNUMBER($R235)),$R235=0,NOT(ISNUMBER($K235))),"",$K235*(1-$R235))</f>
        <v/>
      </c>
      <c r="T235" s="45" t="str">
        <f aca="false">IF(ISNUMBER($S235),$S235*$H235,"")</f>
        <v/>
      </c>
      <c r="U235" s="45" t="str">
        <f aca="false">IF(ISNUMBER($S235),$S235*Parâmetros!$B$7,"")</f>
        <v/>
      </c>
      <c r="V235" s="45" t="str">
        <f aca="false">IF(ISNUMBER($S235),$S235*Parâmetros!$C$7,"")</f>
        <v/>
      </c>
      <c r="W235" s="44" t="str">
        <f aca="false">IF(ISNUMBER($S235),$S235-$D235-IF(ISNUMBER($E235),$E235,0)-$O235-$T235-$U235-$V235,"")</f>
        <v/>
      </c>
      <c r="X235" s="46" t="str">
        <f aca="false">IF(AND(ISNUMBER($S235),$S235&gt;0),$W235/$S235,"")</f>
        <v/>
      </c>
      <c r="Y235" s="49"/>
      <c r="Z235" s="21"/>
    </row>
    <row r="236" customFormat="false" ht="15.75" hidden="false" customHeight="true" outlineLevel="0" collapsed="false">
      <c r="A236" s="32" t="str">
        <f aca="false">IF(Produtos!$A236="","",Produtos!$A236)</f>
        <v>AQ-24BC</v>
      </c>
      <c r="B236" s="32" t="str">
        <f aca="false">IF(Produtos!$A236="","",Produtos!$B236)</f>
        <v>Aro Quadrado 24cm c/Basculante Pintado</v>
      </c>
      <c r="C236" s="32" t="str">
        <f aca="false">IF(Produtos!$A236="","",Produtos!$C236)</f>
        <v>Acessórios (aros e tampas)</v>
      </c>
      <c r="D236" s="33" t="n">
        <f aca="false">IF(Produtos!$A236="","",IF(Produtos!$D236="","",Produtos!$D236))</f>
        <v>64.66</v>
      </c>
      <c r="E236" s="11" t="n">
        <v>0</v>
      </c>
      <c r="F236" s="34" t="n">
        <f aca="false">IF($A236="","",IF($C236="","⚠ categoria",IFERROR(INDEX(Parâmetros!$E$13:$E$22,MATCH($C236,Parâmetros!$A$13:$A$22,0)),"⚠ categoria")))</f>
        <v>0.21</v>
      </c>
      <c r="G236" s="35"/>
      <c r="H236" s="36" t="n">
        <f aca="false">IF($A236="","",IF(ISNUMBER($G236),$G236,IF(ISNUMBER($F236),$F236,"")))</f>
        <v>0.21</v>
      </c>
      <c r="I236" s="37" t="n">
        <f aca="false">IF(OR($A236="",NOT(ISNUMBER($D236)),NOT(ISNUMBER($H236))),"",IF((1-$H236-Parâmetros!$B$7-Parâmetros!$C$7-Parâmetros!$D$7)&lt;=0,"INVALIDO",($D236+IF(ISNUMBER($E236),$E236,0)+IF(ISNUMBER(Parâmetros!$E$7),Parâmetros!$E$7,0))/(1-$H236-Parâmetros!$B$7-Parâmetros!$C$7-Parâmetros!$D$7)))</f>
        <v>140.565217391304</v>
      </c>
      <c r="J236" s="38"/>
      <c r="K236" s="39" t="n">
        <f aca="false">IF(OR($A236="",NOT(ISNUMBER($D236)),NOT(ISNUMBER($H236))),"",IF(AND(ISNUMBER($J236),$J236&gt;0),$J236,IF(ISNUMBER($I236),$I236,"")))</f>
        <v>140.565217391304</v>
      </c>
      <c r="L236" s="40" t="n">
        <f aca="false">IF(ISNUMBER($K236),$K236*$H236,"")</f>
        <v>29.5186956521739</v>
      </c>
      <c r="M236" s="40" t="n">
        <f aca="false">IF(ISNUMBER($K236),$K236*Parâmetros!$B$7,"")</f>
        <v>14.0565217391304</v>
      </c>
      <c r="N236" s="40" t="n">
        <f aca="false">IF(ISNUMBER($K236),$K236*Parâmetros!$C$7,"")</f>
        <v>4.21695652173913</v>
      </c>
      <c r="O236" s="40" t="n">
        <f aca="false">IF(ISNUMBER($K236),IF(ISNUMBER(Parâmetros!$E$7),Parâmetros!$E$7,0),"")</f>
        <v>0</v>
      </c>
      <c r="P236" s="41" t="n">
        <f aca="false">IF(ISNUMBER($K236),$K236-$D236-IF(ISNUMBER($E236),$E236,0)-$L236-$M236-$N236-$O236,"")</f>
        <v>28.1130434782609</v>
      </c>
      <c r="Q236" s="42" t="n">
        <f aca="false">IF(AND(ISNUMBER($K236),$K236&gt;0),$P236/$K236,"")</f>
        <v>0.2</v>
      </c>
      <c r="R236" s="43"/>
      <c r="S236" s="44" t="str">
        <f aca="false">IF(OR(NOT(ISNUMBER($R236)),$R236=0,NOT(ISNUMBER($K236))),"",$K236*(1-$R236))</f>
        <v/>
      </c>
      <c r="T236" s="45" t="str">
        <f aca="false">IF(ISNUMBER($S236),$S236*$H236,"")</f>
        <v/>
      </c>
      <c r="U236" s="45" t="str">
        <f aca="false">IF(ISNUMBER($S236),$S236*Parâmetros!$B$7,"")</f>
        <v/>
      </c>
      <c r="V236" s="45" t="str">
        <f aca="false">IF(ISNUMBER($S236),$S236*Parâmetros!$C$7,"")</f>
        <v/>
      </c>
      <c r="W236" s="44" t="str">
        <f aca="false">IF(ISNUMBER($S236),$S236-$D236-IF(ISNUMBER($E236),$E236,0)-$O236-$T236-$U236-$V236,"")</f>
        <v/>
      </c>
      <c r="X236" s="46" t="str">
        <f aca="false">IF(AND(ISNUMBER($S236),$S236&gt;0),$W236/$S236,"")</f>
        <v/>
      </c>
      <c r="Y236" s="47"/>
      <c r="Z236" s="19"/>
    </row>
    <row r="237" customFormat="false" ht="15.75" hidden="false" customHeight="true" outlineLevel="0" collapsed="false">
      <c r="A237" s="48" t="str">
        <f aca="false">IF(Produtos!$A237="","",Produtos!$A237)</f>
        <v>AQ-30BC</v>
      </c>
      <c r="B237" s="48" t="str">
        <f aca="false">IF(Produtos!$A237="","",Produtos!$B237)</f>
        <v>Aro Quadrado 30cm c/Basculante Pintado</v>
      </c>
      <c r="C237" s="48" t="str">
        <f aca="false">IF(Produtos!$A237="","",Produtos!$C237)</f>
        <v>Acessórios (aros e tampas)</v>
      </c>
      <c r="D237" s="33" t="n">
        <f aca="false">IF(Produtos!$A237="","",IF(Produtos!$D237="","",Produtos!$D237))</f>
        <v>80.56</v>
      </c>
      <c r="E237" s="11" t="n">
        <v>0</v>
      </c>
      <c r="F237" s="34" t="n">
        <f aca="false">IF($A237="","",IF($C237="","⚠ categoria",IFERROR(INDEX(Parâmetros!$E$13:$E$22,MATCH($C237,Parâmetros!$A$13:$A$22,0)),"⚠ categoria")))</f>
        <v>0.21</v>
      </c>
      <c r="G237" s="35"/>
      <c r="H237" s="36" t="n">
        <f aca="false">IF($A237="","",IF(ISNUMBER($G237),$G237,IF(ISNUMBER($F237),$F237,"")))</f>
        <v>0.21</v>
      </c>
      <c r="I237" s="37" t="n">
        <f aca="false">IF(OR($A237="",NOT(ISNUMBER($D237)),NOT(ISNUMBER($H237))),"",IF((1-$H237-Parâmetros!$B$7-Parâmetros!$C$7-Parâmetros!$D$7)&lt;=0,"INVALIDO",($D237+IF(ISNUMBER($E237),$E237,0)+IF(ISNUMBER(Parâmetros!$E$7),Parâmetros!$E$7,0))/(1-$H237-Parâmetros!$B$7-Parâmetros!$C$7-Parâmetros!$D$7)))</f>
        <v>175.130434782609</v>
      </c>
      <c r="J237" s="38"/>
      <c r="K237" s="39" t="n">
        <f aca="false">IF(OR($A237="",NOT(ISNUMBER($D237)),NOT(ISNUMBER($H237))),"",IF(AND(ISNUMBER($J237),$J237&gt;0),$J237,IF(ISNUMBER($I237),$I237,"")))</f>
        <v>175.130434782609</v>
      </c>
      <c r="L237" s="40" t="n">
        <f aca="false">IF(ISNUMBER($K237),$K237*$H237,"")</f>
        <v>36.7773913043478</v>
      </c>
      <c r="M237" s="40" t="n">
        <f aca="false">IF(ISNUMBER($K237),$K237*Parâmetros!$B$7,"")</f>
        <v>17.5130434782609</v>
      </c>
      <c r="N237" s="40" t="n">
        <f aca="false">IF(ISNUMBER($K237),$K237*Parâmetros!$C$7,"")</f>
        <v>5.25391304347826</v>
      </c>
      <c r="O237" s="40" t="n">
        <f aca="false">IF(ISNUMBER($K237),IF(ISNUMBER(Parâmetros!$E$7),Parâmetros!$E$7,0),"")</f>
        <v>0</v>
      </c>
      <c r="P237" s="41" t="n">
        <f aca="false">IF(ISNUMBER($K237),$K237-$D237-IF(ISNUMBER($E237),$E237,0)-$L237-$M237-$N237-$O237,"")</f>
        <v>35.0260869565217</v>
      </c>
      <c r="Q237" s="42" t="n">
        <f aca="false">IF(AND(ISNUMBER($K237),$K237&gt;0),$P237/$K237,"")</f>
        <v>0.2</v>
      </c>
      <c r="R237" s="43"/>
      <c r="S237" s="44" t="str">
        <f aca="false">IF(OR(NOT(ISNUMBER($R237)),$R237=0,NOT(ISNUMBER($K237))),"",$K237*(1-$R237))</f>
        <v/>
      </c>
      <c r="T237" s="45" t="str">
        <f aca="false">IF(ISNUMBER($S237),$S237*$H237,"")</f>
        <v/>
      </c>
      <c r="U237" s="45" t="str">
        <f aca="false">IF(ISNUMBER($S237),$S237*Parâmetros!$B$7,"")</f>
        <v/>
      </c>
      <c r="V237" s="45" t="str">
        <f aca="false">IF(ISNUMBER($S237),$S237*Parâmetros!$C$7,"")</f>
        <v/>
      </c>
      <c r="W237" s="44" t="str">
        <f aca="false">IF(ISNUMBER($S237),$S237-$D237-IF(ISNUMBER($E237),$E237,0)-$O237-$T237-$U237-$V237,"")</f>
        <v/>
      </c>
      <c r="X237" s="46" t="str">
        <f aca="false">IF(AND(ISNUMBER($S237),$S237&gt;0),$W237/$S237,"")</f>
        <v/>
      </c>
      <c r="Y237" s="49"/>
      <c r="Z237" s="21"/>
    </row>
    <row r="238" customFormat="false" ht="15.75" hidden="false" customHeight="true" outlineLevel="0" collapsed="false">
      <c r="A238" s="32" t="str">
        <f aca="false">IF(Produtos!$A238="","",Produtos!$A238)</f>
        <v>AQ-40BC</v>
      </c>
      <c r="B238" s="32" t="str">
        <f aca="false">IF(Produtos!$A238="","",Produtos!$B238)</f>
        <v>Aro Quadrado 40cm c/Basculante Pintado</v>
      </c>
      <c r="C238" s="32" t="str">
        <f aca="false">IF(Produtos!$A238="","",Produtos!$C238)</f>
        <v>Acessórios (aros e tampas)</v>
      </c>
      <c r="D238" s="33" t="n">
        <f aca="false">IF(Produtos!$A238="","",IF(Produtos!$D238="","",Produtos!$D238))</f>
        <v>132.5</v>
      </c>
      <c r="E238" s="11" t="n">
        <v>0</v>
      </c>
      <c r="F238" s="34" t="n">
        <f aca="false">IF($A238="","",IF($C238="","⚠ categoria",IFERROR(INDEX(Parâmetros!$E$13:$E$22,MATCH($C238,Parâmetros!$A$13:$A$22,0)),"⚠ categoria")))</f>
        <v>0.21</v>
      </c>
      <c r="G238" s="35"/>
      <c r="H238" s="36" t="n">
        <f aca="false">IF($A238="","",IF(ISNUMBER($G238),$G238,IF(ISNUMBER($F238),$F238,"")))</f>
        <v>0.21</v>
      </c>
      <c r="I238" s="37" t="n">
        <f aca="false">IF(OR($A238="",NOT(ISNUMBER($D238)),NOT(ISNUMBER($H238))),"",IF((1-$H238-Parâmetros!$B$7-Parâmetros!$C$7-Parâmetros!$D$7)&lt;=0,"INVALIDO",($D238+IF(ISNUMBER($E238),$E238,0)+IF(ISNUMBER(Parâmetros!$E$7),Parâmetros!$E$7,0))/(1-$H238-Parâmetros!$B$7-Parâmetros!$C$7-Parâmetros!$D$7)))</f>
        <v>288.04347826087</v>
      </c>
      <c r="J238" s="38"/>
      <c r="K238" s="39" t="n">
        <f aca="false">IF(OR($A238="",NOT(ISNUMBER($D238)),NOT(ISNUMBER($H238))),"",IF(AND(ISNUMBER($J238),$J238&gt;0),$J238,IF(ISNUMBER($I238),$I238,"")))</f>
        <v>288.04347826087</v>
      </c>
      <c r="L238" s="40" t="n">
        <f aca="false">IF(ISNUMBER($K238),$K238*$H238,"")</f>
        <v>60.4891304347826</v>
      </c>
      <c r="M238" s="40" t="n">
        <f aca="false">IF(ISNUMBER($K238),$K238*Parâmetros!$B$7,"")</f>
        <v>28.804347826087</v>
      </c>
      <c r="N238" s="40" t="n">
        <f aca="false">IF(ISNUMBER($K238),$K238*Parâmetros!$C$7,"")</f>
        <v>8.64130434782609</v>
      </c>
      <c r="O238" s="40" t="n">
        <f aca="false">IF(ISNUMBER($K238),IF(ISNUMBER(Parâmetros!$E$7),Parâmetros!$E$7,0),"")</f>
        <v>0</v>
      </c>
      <c r="P238" s="41" t="n">
        <f aca="false">IF(ISNUMBER($K238),$K238-$D238-IF(ISNUMBER($E238),$E238,0)-$L238-$M238-$N238-$O238,"")</f>
        <v>57.6086956521739</v>
      </c>
      <c r="Q238" s="42" t="n">
        <f aca="false">IF(AND(ISNUMBER($K238),$K238&gt;0),$P238/$K238,"")</f>
        <v>0.2</v>
      </c>
      <c r="R238" s="43"/>
      <c r="S238" s="44" t="str">
        <f aca="false">IF(OR(NOT(ISNUMBER($R238)),$R238=0,NOT(ISNUMBER($K238))),"",$K238*(1-$R238))</f>
        <v/>
      </c>
      <c r="T238" s="45" t="str">
        <f aca="false">IF(ISNUMBER($S238),$S238*$H238,"")</f>
        <v/>
      </c>
      <c r="U238" s="45" t="str">
        <f aca="false">IF(ISNUMBER($S238),$S238*Parâmetros!$B$7,"")</f>
        <v/>
      </c>
      <c r="V238" s="45" t="str">
        <f aca="false">IF(ISNUMBER($S238),$S238*Parâmetros!$C$7,"")</f>
        <v/>
      </c>
      <c r="W238" s="44" t="str">
        <f aca="false">IF(ISNUMBER($S238),$S238-$D238-IF(ISNUMBER($E238),$E238,0)-$O238-$T238-$U238-$V238,"")</f>
        <v/>
      </c>
      <c r="X238" s="46" t="str">
        <f aca="false">IF(AND(ISNUMBER($S238),$S238&gt;0),$W238/$S238,"")</f>
        <v/>
      </c>
      <c r="Y238" s="47"/>
      <c r="Z238" s="19"/>
    </row>
    <row r="239" customFormat="false" ht="15.75" hidden="false" customHeight="true" outlineLevel="0" collapsed="false">
      <c r="A239" s="48" t="str">
        <f aca="false">IF(Produtos!$A239="","",Produtos!$A239)</f>
        <v>PXP</v>
      </c>
      <c r="B239" s="48" t="str">
        <f aca="false">IF(Produtos!$A239="","",Produtos!$B239)</f>
        <v>Porta Extintor 160x310</v>
      </c>
      <c r="C239" s="48" t="str">
        <f aca="false">IF(Produtos!$A239="","",Produtos!$C239)</f>
        <v>Porta-extintores</v>
      </c>
      <c r="D239" s="33" t="n">
        <f aca="false">IF(Produtos!$A239="","",IF(Produtos!$D239="","",Produtos!$D239))</f>
        <v>84.79</v>
      </c>
      <c r="E239" s="11" t="n">
        <v>0</v>
      </c>
      <c r="F239" s="34" t="n">
        <f aca="false">IF($A239="","",IF($C239="","⚠ categoria",IFERROR(INDEX(Parâmetros!$E$13:$E$22,MATCH($C239,Parâmetros!$A$13:$A$22,0)),"⚠ categoria")))</f>
        <v>0.21</v>
      </c>
      <c r="G239" s="35"/>
      <c r="H239" s="36" t="n">
        <f aca="false">IF($A239="","",IF(ISNUMBER($G239),$G239,IF(ISNUMBER($F239),$F239,"")))</f>
        <v>0.21</v>
      </c>
      <c r="I239" s="37" t="n">
        <f aca="false">IF(OR($A239="",NOT(ISNUMBER($D239)),NOT(ISNUMBER($H239))),"",IF((1-$H239-Parâmetros!$B$7-Parâmetros!$C$7-Parâmetros!$D$7)&lt;=0,"INVALIDO",($D239+IF(ISNUMBER($E239),$E239,0)+IF(ISNUMBER(Parâmetros!$E$7),Parâmetros!$E$7,0))/(1-$H239-Parâmetros!$B$7-Parâmetros!$C$7-Parâmetros!$D$7)))</f>
        <v>184.326086956522</v>
      </c>
      <c r="J239" s="38"/>
      <c r="K239" s="39" t="n">
        <f aca="false">IF(OR($A239="",NOT(ISNUMBER($D239)),NOT(ISNUMBER($H239))),"",IF(AND(ISNUMBER($J239),$J239&gt;0),$J239,IF(ISNUMBER($I239),$I239,"")))</f>
        <v>184.326086956522</v>
      </c>
      <c r="L239" s="40" t="n">
        <f aca="false">IF(ISNUMBER($K239),$K239*$H239,"")</f>
        <v>38.7084782608696</v>
      </c>
      <c r="M239" s="40" t="n">
        <f aca="false">IF(ISNUMBER($K239),$K239*Parâmetros!$B$7,"")</f>
        <v>18.4326086956522</v>
      </c>
      <c r="N239" s="40" t="n">
        <f aca="false">IF(ISNUMBER($K239),$K239*Parâmetros!$C$7,"")</f>
        <v>5.52978260869565</v>
      </c>
      <c r="O239" s="40" t="n">
        <f aca="false">IF(ISNUMBER($K239),IF(ISNUMBER(Parâmetros!$E$7),Parâmetros!$E$7,0),"")</f>
        <v>0</v>
      </c>
      <c r="P239" s="41" t="n">
        <f aca="false">IF(ISNUMBER($K239),$K239-$D239-IF(ISNUMBER($E239),$E239,0)-$L239-$M239-$N239-$O239,"")</f>
        <v>36.8652173913043</v>
      </c>
      <c r="Q239" s="42" t="n">
        <f aca="false">IF(AND(ISNUMBER($K239),$K239&gt;0),$P239/$K239,"")</f>
        <v>0.2</v>
      </c>
      <c r="R239" s="43"/>
      <c r="S239" s="44" t="str">
        <f aca="false">IF(OR(NOT(ISNUMBER($R239)),$R239=0,NOT(ISNUMBER($K239))),"",$K239*(1-$R239))</f>
        <v/>
      </c>
      <c r="T239" s="45" t="str">
        <f aca="false">IF(ISNUMBER($S239),$S239*$H239,"")</f>
        <v/>
      </c>
      <c r="U239" s="45" t="str">
        <f aca="false">IF(ISNUMBER($S239),$S239*Parâmetros!$B$7,"")</f>
        <v/>
      </c>
      <c r="V239" s="45" t="str">
        <f aca="false">IF(ISNUMBER($S239),$S239*Parâmetros!$C$7,"")</f>
        <v/>
      </c>
      <c r="W239" s="44" t="str">
        <f aca="false">IF(ISNUMBER($S239),$S239-$D239-IF(ISNUMBER($E239),$E239,0)-$O239-$T239-$U239-$V239,"")</f>
        <v/>
      </c>
      <c r="X239" s="46" t="str">
        <f aca="false">IF(AND(ISNUMBER($S239),$S239&gt;0),$W239/$S239,"")</f>
        <v/>
      </c>
      <c r="Y239" s="49"/>
      <c r="Z239" s="21"/>
    </row>
    <row r="240" customFormat="false" ht="15.75" hidden="false" customHeight="true" outlineLevel="0" collapsed="false">
      <c r="A240" s="32" t="str">
        <f aca="false">IF(Produtos!$A240="","",Produtos!$A240)</f>
        <v>PXM</v>
      </c>
      <c r="B240" s="32" t="str">
        <f aca="false">IF(Produtos!$A240="","",Produtos!$B240)</f>
        <v>Porta Extintor 200x495</v>
      </c>
      <c r="C240" s="32" t="str">
        <f aca="false">IF(Produtos!$A240="","",Produtos!$C240)</f>
        <v>Porta-extintores</v>
      </c>
      <c r="D240" s="33" t="n">
        <f aca="false">IF(Produtos!$A240="","",IF(Produtos!$D240="","",Produtos!$D240))</f>
        <v>102.8</v>
      </c>
      <c r="E240" s="11" t="n">
        <v>0</v>
      </c>
      <c r="F240" s="34" t="n">
        <f aca="false">IF($A240="","",IF($C240="","⚠ categoria",IFERROR(INDEX(Parâmetros!$E$13:$E$22,MATCH($C240,Parâmetros!$A$13:$A$22,0)),"⚠ categoria")))</f>
        <v>0.21</v>
      </c>
      <c r="G240" s="35"/>
      <c r="H240" s="36" t="n">
        <f aca="false">IF($A240="","",IF(ISNUMBER($G240),$G240,IF(ISNUMBER($F240),$F240,"")))</f>
        <v>0.21</v>
      </c>
      <c r="I240" s="37" t="n">
        <f aca="false">IF(OR($A240="",NOT(ISNUMBER($D240)),NOT(ISNUMBER($H240))),"",IF((1-$H240-Parâmetros!$B$7-Parâmetros!$C$7-Parâmetros!$D$7)&lt;=0,"INVALIDO",($D240+IF(ISNUMBER($E240),$E240,0)+IF(ISNUMBER(Parâmetros!$E$7),Parâmetros!$E$7,0))/(1-$H240-Parâmetros!$B$7-Parâmetros!$C$7-Parâmetros!$D$7)))</f>
        <v>223.478260869565</v>
      </c>
      <c r="J240" s="38"/>
      <c r="K240" s="39" t="n">
        <f aca="false">IF(OR($A240="",NOT(ISNUMBER($D240)),NOT(ISNUMBER($H240))),"",IF(AND(ISNUMBER($J240),$J240&gt;0),$J240,IF(ISNUMBER($I240),$I240,"")))</f>
        <v>223.478260869565</v>
      </c>
      <c r="L240" s="40" t="n">
        <f aca="false">IF(ISNUMBER($K240),$K240*$H240,"")</f>
        <v>46.9304347826087</v>
      </c>
      <c r="M240" s="40" t="n">
        <f aca="false">IF(ISNUMBER($K240),$K240*Parâmetros!$B$7,"")</f>
        <v>22.3478260869565</v>
      </c>
      <c r="N240" s="40" t="n">
        <f aca="false">IF(ISNUMBER($K240),$K240*Parâmetros!$C$7,"")</f>
        <v>6.70434782608696</v>
      </c>
      <c r="O240" s="40" t="n">
        <f aca="false">IF(ISNUMBER($K240),IF(ISNUMBER(Parâmetros!$E$7),Parâmetros!$E$7,0),"")</f>
        <v>0</v>
      </c>
      <c r="P240" s="41" t="n">
        <f aca="false">IF(ISNUMBER($K240),$K240-$D240-IF(ISNUMBER($E240),$E240,0)-$L240-$M240-$N240-$O240,"")</f>
        <v>44.695652173913</v>
      </c>
      <c r="Q240" s="42" t="n">
        <f aca="false">IF(AND(ISNUMBER($K240),$K240&gt;0),$P240/$K240,"")</f>
        <v>0.2</v>
      </c>
      <c r="R240" s="43"/>
      <c r="S240" s="44" t="str">
        <f aca="false">IF(OR(NOT(ISNUMBER($R240)),$R240=0,NOT(ISNUMBER($K240))),"",$K240*(1-$R240))</f>
        <v/>
      </c>
      <c r="T240" s="45" t="str">
        <f aca="false">IF(ISNUMBER($S240),$S240*$H240,"")</f>
        <v/>
      </c>
      <c r="U240" s="45" t="str">
        <f aca="false">IF(ISNUMBER($S240),$S240*Parâmetros!$B$7,"")</f>
        <v/>
      </c>
      <c r="V240" s="45" t="str">
        <f aca="false">IF(ISNUMBER($S240),$S240*Parâmetros!$C$7,"")</f>
        <v/>
      </c>
      <c r="W240" s="44" t="str">
        <f aca="false">IF(ISNUMBER($S240),$S240-$D240-IF(ISNUMBER($E240),$E240,0)-$O240-$T240-$U240-$V240,"")</f>
        <v/>
      </c>
      <c r="X240" s="46" t="str">
        <f aca="false">IF(AND(ISNUMBER($S240),$S240&gt;0),$W240/$S240,"")</f>
        <v/>
      </c>
      <c r="Y240" s="47"/>
      <c r="Z240" s="19"/>
    </row>
    <row r="241" customFormat="false" ht="15.75" hidden="false" customHeight="true" outlineLevel="0" collapsed="false">
      <c r="A241" s="48" t="str">
        <f aca="false">IF(Produtos!$A241="","",Produtos!$A241)</f>
        <v>PL-SD</v>
      </c>
      <c r="B241" s="48" t="str">
        <f aca="false">IF(Produtos!$A241="","",Produtos!$B241)</f>
        <v>Placa Sinalizadora Piso Molhado Aço Inox 430</v>
      </c>
      <c r="C241" s="48" t="str">
        <f aca="false">IF(Produtos!$A241="","",Produtos!$C241)</f>
        <v>Placas de piso molhado</v>
      </c>
      <c r="D241" s="33" t="n">
        <f aca="false">IF(Produtos!$A241="","",IF(Produtos!$D241="","",Produtos!$D241))</f>
        <v>242.68</v>
      </c>
      <c r="E241" s="11" t="n">
        <v>0</v>
      </c>
      <c r="F241" s="34" t="n">
        <f aca="false">IF($A241="","",IF($C241="","⚠ categoria",IFERROR(INDEX(Parâmetros!$E$13:$E$22,MATCH($C241,Parâmetros!$A$13:$A$22,0)),"⚠ categoria")))</f>
        <v>0.21</v>
      </c>
      <c r="G241" s="35"/>
      <c r="H241" s="36" t="n">
        <f aca="false">IF($A241="","",IF(ISNUMBER($G241),$G241,IF(ISNUMBER($F241),$F241,"")))</f>
        <v>0.21</v>
      </c>
      <c r="I241" s="37" t="n">
        <f aca="false">IF(OR($A241="",NOT(ISNUMBER($D241)),NOT(ISNUMBER($H241))),"",IF((1-$H241-Parâmetros!$B$7-Parâmetros!$C$7-Parâmetros!$D$7)&lt;=0,"INVALIDO",($D241+IF(ISNUMBER($E241),$E241,0)+IF(ISNUMBER(Parâmetros!$E$7),Parâmetros!$E$7,0))/(1-$H241-Parâmetros!$B$7-Parâmetros!$C$7-Parâmetros!$D$7)))</f>
        <v>527.565217391304</v>
      </c>
      <c r="J241" s="38"/>
      <c r="K241" s="39" t="n">
        <f aca="false">IF(OR($A241="",NOT(ISNUMBER($D241)),NOT(ISNUMBER($H241))),"",IF(AND(ISNUMBER($J241),$J241&gt;0),$J241,IF(ISNUMBER($I241),$I241,"")))</f>
        <v>527.565217391304</v>
      </c>
      <c r="L241" s="40" t="n">
        <f aca="false">IF(ISNUMBER($K241),$K241*$H241,"")</f>
        <v>110.788695652174</v>
      </c>
      <c r="M241" s="40" t="n">
        <f aca="false">IF(ISNUMBER($K241),$K241*Parâmetros!$B$7,"")</f>
        <v>52.7565217391304</v>
      </c>
      <c r="N241" s="40" t="n">
        <f aca="false">IF(ISNUMBER($K241),$K241*Parâmetros!$C$7,"")</f>
        <v>15.8269565217391</v>
      </c>
      <c r="O241" s="40" t="n">
        <f aca="false">IF(ISNUMBER($K241),IF(ISNUMBER(Parâmetros!$E$7),Parâmetros!$E$7,0),"")</f>
        <v>0</v>
      </c>
      <c r="P241" s="41" t="n">
        <f aca="false">IF(ISNUMBER($K241),$K241-$D241-IF(ISNUMBER($E241),$E241,0)-$L241-$M241-$N241-$O241,"")</f>
        <v>105.513043478261</v>
      </c>
      <c r="Q241" s="42" t="n">
        <f aca="false">IF(AND(ISNUMBER($K241),$K241&gt;0),$P241/$K241,"")</f>
        <v>0.2</v>
      </c>
      <c r="R241" s="43"/>
      <c r="S241" s="44" t="str">
        <f aca="false">IF(OR(NOT(ISNUMBER($R241)),$R241=0,NOT(ISNUMBER($K241))),"",$K241*(1-$R241))</f>
        <v/>
      </c>
      <c r="T241" s="45" t="str">
        <f aca="false">IF(ISNUMBER($S241),$S241*$H241,"")</f>
        <v/>
      </c>
      <c r="U241" s="45" t="str">
        <f aca="false">IF(ISNUMBER($S241),$S241*Parâmetros!$B$7,"")</f>
        <v/>
      </c>
      <c r="V241" s="45" t="str">
        <f aca="false">IF(ISNUMBER($S241),$S241*Parâmetros!$C$7,"")</f>
        <v/>
      </c>
      <c r="W241" s="44" t="str">
        <f aca="false">IF(ISNUMBER($S241),$S241-$D241-IF(ISNUMBER($E241),$E241,0)-$O241-$T241-$U241-$V241,"")</f>
        <v/>
      </c>
      <c r="X241" s="46" t="str">
        <f aca="false">IF(AND(ISNUMBER($S241),$S241&gt;0),$W241/$S241,"")</f>
        <v/>
      </c>
      <c r="Y241" s="49"/>
      <c r="Z241" s="21"/>
    </row>
    <row r="242" customFormat="false" ht="15.75" hidden="false" customHeight="true" outlineLevel="0" collapsed="false">
      <c r="A242" s="32" t="str">
        <f aca="false">IF(Produtos!$A242="","",Produtos!$A242)</f>
        <v>SP-01</v>
      </c>
      <c r="B242" s="32" t="str">
        <f aca="false">IF(Produtos!$A242="","",Produtos!$B242)</f>
        <v>Coletor Cigarros SPACE 27x92 Aço Inox</v>
      </c>
      <c r="C242" s="32" t="str">
        <f aca="false">IF(Produtos!$A242="","",Produtos!$C242)</f>
        <v>Bituqueiras e cinzeiros</v>
      </c>
      <c r="D242" s="33" t="n">
        <f aca="false">IF(Produtos!$A242="","",IF(Produtos!$D242="","",Produtos!$D242))</f>
        <v>247.86</v>
      </c>
      <c r="E242" s="11" t="n">
        <v>0</v>
      </c>
      <c r="F242" s="34" t="n">
        <f aca="false">IF($A242="","",IF($C242="","⚠ categoria",IFERROR(INDEX(Parâmetros!$E$13:$E$22,MATCH($C242,Parâmetros!$A$13:$A$22,0)),"⚠ categoria")))</f>
        <v>0.21</v>
      </c>
      <c r="G242" s="35"/>
      <c r="H242" s="36" t="n">
        <f aca="false">IF($A242="","",IF(ISNUMBER($G242),$G242,IF(ISNUMBER($F242),$F242,"")))</f>
        <v>0.21</v>
      </c>
      <c r="I242" s="37" t="n">
        <f aca="false">IF(OR($A242="",NOT(ISNUMBER($D242)),NOT(ISNUMBER($H242))),"",IF((1-$H242-Parâmetros!$B$7-Parâmetros!$C$7-Parâmetros!$D$7)&lt;=0,"INVALIDO",($D242+IF(ISNUMBER($E242),$E242,0)+IF(ISNUMBER(Parâmetros!$E$7),Parâmetros!$E$7,0))/(1-$H242-Parâmetros!$B$7-Parâmetros!$C$7-Parâmetros!$D$7)))</f>
        <v>538.826086956522</v>
      </c>
      <c r="J242" s="38"/>
      <c r="K242" s="39" t="n">
        <f aca="false">IF(OR($A242="",NOT(ISNUMBER($D242)),NOT(ISNUMBER($H242))),"",IF(AND(ISNUMBER($J242),$J242&gt;0),$J242,IF(ISNUMBER($I242),$I242,"")))</f>
        <v>538.826086956522</v>
      </c>
      <c r="L242" s="40" t="n">
        <f aca="false">IF(ISNUMBER($K242),$K242*$H242,"")</f>
        <v>113.15347826087</v>
      </c>
      <c r="M242" s="40" t="n">
        <f aca="false">IF(ISNUMBER($K242),$K242*Parâmetros!$B$7,"")</f>
        <v>53.8826086956522</v>
      </c>
      <c r="N242" s="40" t="n">
        <f aca="false">IF(ISNUMBER($K242),$K242*Parâmetros!$C$7,"")</f>
        <v>16.1647826086957</v>
      </c>
      <c r="O242" s="40" t="n">
        <f aca="false">IF(ISNUMBER($K242),IF(ISNUMBER(Parâmetros!$E$7),Parâmetros!$E$7,0),"")</f>
        <v>0</v>
      </c>
      <c r="P242" s="41" t="n">
        <f aca="false">IF(ISNUMBER($K242),$K242-$D242-IF(ISNUMBER($E242),$E242,0)-$L242-$M242-$N242-$O242,"")</f>
        <v>107.765217391304</v>
      </c>
      <c r="Q242" s="42" t="n">
        <f aca="false">IF(AND(ISNUMBER($K242),$K242&gt;0),$P242/$K242,"")</f>
        <v>0.2</v>
      </c>
      <c r="R242" s="43"/>
      <c r="S242" s="44" t="str">
        <f aca="false">IF(OR(NOT(ISNUMBER($R242)),$R242=0,NOT(ISNUMBER($K242))),"",$K242*(1-$R242))</f>
        <v/>
      </c>
      <c r="T242" s="45" t="str">
        <f aca="false">IF(ISNUMBER($S242),$S242*$H242,"")</f>
        <v/>
      </c>
      <c r="U242" s="45" t="str">
        <f aca="false">IF(ISNUMBER($S242),$S242*Parâmetros!$B$7,"")</f>
        <v/>
      </c>
      <c r="V242" s="45" t="str">
        <f aca="false">IF(ISNUMBER($S242),$S242*Parâmetros!$C$7,"")</f>
        <v/>
      </c>
      <c r="W242" s="44" t="str">
        <f aca="false">IF(ISNUMBER($S242),$S242-$D242-IF(ISNUMBER($E242),$E242,0)-$O242-$T242-$U242-$V242,"")</f>
        <v/>
      </c>
      <c r="X242" s="46" t="str">
        <f aca="false">IF(AND(ISNUMBER($S242),$S242&gt;0),$W242/$S242,"")</f>
        <v/>
      </c>
      <c r="Y242" s="47"/>
      <c r="Z242" s="19"/>
    </row>
    <row r="243" customFormat="false" ht="15.75" hidden="false" customHeight="true" outlineLevel="0" collapsed="false">
      <c r="A243" s="48" t="str">
        <f aca="false">IF(Produtos!$A243="","",Produtos!$A243)</f>
        <v>SP-F</v>
      </c>
      <c r="B243" s="48" t="str">
        <f aca="false">IF(Produtos!$A243="","",Produtos!$B243)</f>
        <v>Coletor Cigarros SPACE FIXO 21x92 Aço Inox</v>
      </c>
      <c r="C243" s="48" t="str">
        <f aca="false">IF(Produtos!$A243="","",Produtos!$C243)</f>
        <v>Bituqueiras e cinzeiros</v>
      </c>
      <c r="D243" s="33" t="n">
        <f aca="false">IF(Produtos!$A243="","",IF(Produtos!$D243="","",Produtos!$D243))</f>
        <v>236.22</v>
      </c>
      <c r="E243" s="11" t="n">
        <v>0</v>
      </c>
      <c r="F243" s="34" t="n">
        <f aca="false">IF($A243="","",IF($C243="","⚠ categoria",IFERROR(INDEX(Parâmetros!$E$13:$E$22,MATCH($C243,Parâmetros!$A$13:$A$22,0)),"⚠ categoria")))</f>
        <v>0.21</v>
      </c>
      <c r="G243" s="35"/>
      <c r="H243" s="36" t="n">
        <f aca="false">IF($A243="","",IF(ISNUMBER($G243),$G243,IF(ISNUMBER($F243),$F243,"")))</f>
        <v>0.21</v>
      </c>
      <c r="I243" s="37" t="n">
        <f aca="false">IF(OR($A243="",NOT(ISNUMBER($D243)),NOT(ISNUMBER($H243))),"",IF((1-$H243-Parâmetros!$B$7-Parâmetros!$C$7-Parâmetros!$D$7)&lt;=0,"INVALIDO",($D243+IF(ISNUMBER($E243),$E243,0)+IF(ISNUMBER(Parâmetros!$E$7),Parâmetros!$E$7,0))/(1-$H243-Parâmetros!$B$7-Parâmetros!$C$7-Parâmetros!$D$7)))</f>
        <v>513.521739130435</v>
      </c>
      <c r="J243" s="38"/>
      <c r="K243" s="39" t="n">
        <f aca="false">IF(OR($A243="",NOT(ISNUMBER($D243)),NOT(ISNUMBER($H243))),"",IF(AND(ISNUMBER($J243),$J243&gt;0),$J243,IF(ISNUMBER($I243),$I243,"")))</f>
        <v>513.521739130435</v>
      </c>
      <c r="L243" s="40" t="n">
        <f aca="false">IF(ISNUMBER($K243),$K243*$H243,"")</f>
        <v>107.839565217391</v>
      </c>
      <c r="M243" s="40" t="n">
        <f aca="false">IF(ISNUMBER($K243),$K243*Parâmetros!$B$7,"")</f>
        <v>51.3521739130435</v>
      </c>
      <c r="N243" s="40" t="n">
        <f aca="false">IF(ISNUMBER($K243),$K243*Parâmetros!$C$7,"")</f>
        <v>15.405652173913</v>
      </c>
      <c r="O243" s="40" t="n">
        <f aca="false">IF(ISNUMBER($K243),IF(ISNUMBER(Parâmetros!$E$7),Parâmetros!$E$7,0),"")</f>
        <v>0</v>
      </c>
      <c r="P243" s="41" t="n">
        <f aca="false">IF(ISNUMBER($K243),$K243-$D243-IF(ISNUMBER($E243),$E243,0)-$L243-$M243-$N243-$O243,"")</f>
        <v>102.704347826087</v>
      </c>
      <c r="Q243" s="42" t="n">
        <f aca="false">IF(AND(ISNUMBER($K243),$K243&gt;0),$P243/$K243,"")</f>
        <v>0.2</v>
      </c>
      <c r="R243" s="43"/>
      <c r="S243" s="44" t="str">
        <f aca="false">IF(OR(NOT(ISNUMBER($R243)),$R243=0,NOT(ISNUMBER($K243))),"",$K243*(1-$R243))</f>
        <v/>
      </c>
      <c r="T243" s="45" t="str">
        <f aca="false">IF(ISNUMBER($S243),$S243*$H243,"")</f>
        <v/>
      </c>
      <c r="U243" s="45" t="str">
        <f aca="false">IF(ISNUMBER($S243),$S243*Parâmetros!$B$7,"")</f>
        <v/>
      </c>
      <c r="V243" s="45" t="str">
        <f aca="false">IF(ISNUMBER($S243),$S243*Parâmetros!$C$7,"")</f>
        <v/>
      </c>
      <c r="W243" s="44" t="str">
        <f aca="false">IF(ISNUMBER($S243),$S243-$D243-IF(ISNUMBER($E243),$E243,0)-$O243-$T243-$U243-$V243,"")</f>
        <v/>
      </c>
      <c r="X243" s="46" t="str">
        <f aca="false">IF(AND(ISNUMBER($S243),$S243&gt;0),$W243/$S243,"")</f>
        <v/>
      </c>
      <c r="Y243" s="49"/>
      <c r="Z243" s="21"/>
    </row>
    <row r="244" customFormat="false" ht="15.75" hidden="false" customHeight="true" outlineLevel="0" collapsed="false">
      <c r="A244" s="32" t="str">
        <f aca="false">IF(Produtos!$A244="","",Produtos!$A244)</f>
        <v>SP-T</v>
      </c>
      <c r="B244" s="32" t="str">
        <f aca="false">IF(Produtos!$A244="","",Produtos!$B244)</f>
        <v>Coletor Cigarros SPACE TORRE 28x92 Aço Inox</v>
      </c>
      <c r="C244" s="32" t="str">
        <f aca="false">IF(Produtos!$A244="","",Produtos!$C244)</f>
        <v>Bituqueiras e cinzeiros</v>
      </c>
      <c r="D244" s="33" t="n">
        <f aca="false">IF(Produtos!$A244="","",IF(Produtos!$D244="","",Produtos!$D244))</f>
        <v>238.66</v>
      </c>
      <c r="E244" s="11" t="n">
        <v>0</v>
      </c>
      <c r="F244" s="34" t="n">
        <f aca="false">IF($A244="","",IF($C244="","⚠ categoria",IFERROR(INDEX(Parâmetros!$E$13:$E$22,MATCH($C244,Parâmetros!$A$13:$A$22,0)),"⚠ categoria")))</f>
        <v>0.21</v>
      </c>
      <c r="G244" s="35"/>
      <c r="H244" s="36" t="n">
        <f aca="false">IF($A244="","",IF(ISNUMBER($G244),$G244,IF(ISNUMBER($F244),$F244,"")))</f>
        <v>0.21</v>
      </c>
      <c r="I244" s="37" t="n">
        <f aca="false">IF(OR($A244="",NOT(ISNUMBER($D244)),NOT(ISNUMBER($H244))),"",IF((1-$H244-Parâmetros!$B$7-Parâmetros!$C$7-Parâmetros!$D$7)&lt;=0,"INVALIDO",($D244+IF(ISNUMBER($E244),$E244,0)+IF(ISNUMBER(Parâmetros!$E$7),Parâmetros!$E$7,0))/(1-$H244-Parâmetros!$B$7-Parâmetros!$C$7-Parâmetros!$D$7)))</f>
        <v>518.826086956522</v>
      </c>
      <c r="J244" s="38"/>
      <c r="K244" s="39" t="n">
        <f aca="false">IF(OR($A244="",NOT(ISNUMBER($D244)),NOT(ISNUMBER($H244))),"",IF(AND(ISNUMBER($J244),$J244&gt;0),$J244,IF(ISNUMBER($I244),$I244,"")))</f>
        <v>518.826086956522</v>
      </c>
      <c r="L244" s="40" t="n">
        <f aca="false">IF(ISNUMBER($K244),$K244*$H244,"")</f>
        <v>108.95347826087</v>
      </c>
      <c r="M244" s="40" t="n">
        <f aca="false">IF(ISNUMBER($K244),$K244*Parâmetros!$B$7,"")</f>
        <v>51.8826086956522</v>
      </c>
      <c r="N244" s="40" t="n">
        <f aca="false">IF(ISNUMBER($K244),$K244*Parâmetros!$C$7,"")</f>
        <v>15.5647826086957</v>
      </c>
      <c r="O244" s="40" t="n">
        <f aca="false">IF(ISNUMBER($K244),IF(ISNUMBER(Parâmetros!$E$7),Parâmetros!$E$7,0),"")</f>
        <v>0</v>
      </c>
      <c r="P244" s="41" t="n">
        <f aca="false">IF(ISNUMBER($K244),$K244-$D244-IF(ISNUMBER($E244),$E244,0)-$L244-$M244-$N244-$O244,"")</f>
        <v>103.765217391304</v>
      </c>
      <c r="Q244" s="42" t="n">
        <f aca="false">IF(AND(ISNUMBER($K244),$K244&gt;0),$P244/$K244,"")</f>
        <v>0.2</v>
      </c>
      <c r="R244" s="43"/>
      <c r="S244" s="44" t="str">
        <f aca="false">IF(OR(NOT(ISNUMBER($R244)),$R244=0,NOT(ISNUMBER($K244))),"",$K244*(1-$R244))</f>
        <v/>
      </c>
      <c r="T244" s="45" t="str">
        <f aca="false">IF(ISNUMBER($S244),$S244*$H244,"")</f>
        <v/>
      </c>
      <c r="U244" s="45" t="str">
        <f aca="false">IF(ISNUMBER($S244),$S244*Parâmetros!$B$7,"")</f>
        <v/>
      </c>
      <c r="V244" s="45" t="str">
        <f aca="false">IF(ISNUMBER($S244),$S244*Parâmetros!$C$7,"")</f>
        <v/>
      </c>
      <c r="W244" s="44" t="str">
        <f aca="false">IF(ISNUMBER($S244),$S244-$D244-IF(ISNUMBER($E244),$E244,0)-$O244-$T244-$U244-$V244,"")</f>
        <v/>
      </c>
      <c r="X244" s="46" t="str">
        <f aca="false">IF(AND(ISNUMBER($S244),$S244&gt;0),$W244/$S244,"")</f>
        <v/>
      </c>
      <c r="Y244" s="47"/>
      <c r="Z244" s="19"/>
    </row>
    <row r="245" customFormat="false" ht="15.75" hidden="false" customHeight="true" outlineLevel="0" collapsed="false">
      <c r="A245" s="48" t="str">
        <f aca="false">IF(Produtos!$A245="","",Produtos!$A245)</f>
        <v>SP-P</v>
      </c>
      <c r="B245" s="48" t="str">
        <f aca="false">IF(Produtos!$A245="","",Produtos!$B245)</f>
        <v>Coletor Cigarros SPACE PAREDE ø0,76x50 Aço Inox</v>
      </c>
      <c r="C245" s="48" t="str">
        <f aca="false">IF(Produtos!$A245="","",Produtos!$C245)</f>
        <v>Bituqueiras e cinzeiros</v>
      </c>
      <c r="D245" s="33" t="n">
        <f aca="false">IF(Produtos!$A245="","",IF(Produtos!$D245="","",Produtos!$D245))</f>
        <v>139.81</v>
      </c>
      <c r="E245" s="11" t="n">
        <v>0</v>
      </c>
      <c r="F245" s="34" t="n">
        <f aca="false">IF($A245="","",IF($C245="","⚠ categoria",IFERROR(INDEX(Parâmetros!$E$13:$E$22,MATCH($C245,Parâmetros!$A$13:$A$22,0)),"⚠ categoria")))</f>
        <v>0.21</v>
      </c>
      <c r="G245" s="35"/>
      <c r="H245" s="36" t="n">
        <f aca="false">IF($A245="","",IF(ISNUMBER($G245),$G245,IF(ISNUMBER($F245),$F245,"")))</f>
        <v>0.21</v>
      </c>
      <c r="I245" s="37" t="n">
        <f aca="false">IF(OR($A245="",NOT(ISNUMBER($D245)),NOT(ISNUMBER($H245))),"",IF((1-$H245-Parâmetros!$B$7-Parâmetros!$C$7-Parâmetros!$D$7)&lt;=0,"INVALIDO",($D245+IF(ISNUMBER($E245),$E245,0)+IF(ISNUMBER(Parâmetros!$E$7),Parâmetros!$E$7,0))/(1-$H245-Parâmetros!$B$7-Parâmetros!$C$7-Parâmetros!$D$7)))</f>
        <v>303.934782608696</v>
      </c>
      <c r="J245" s="38"/>
      <c r="K245" s="39" t="n">
        <f aca="false">IF(OR($A245="",NOT(ISNUMBER($D245)),NOT(ISNUMBER($H245))),"",IF(AND(ISNUMBER($J245),$J245&gt;0),$J245,IF(ISNUMBER($I245),$I245,"")))</f>
        <v>303.934782608696</v>
      </c>
      <c r="L245" s="40" t="n">
        <f aca="false">IF(ISNUMBER($K245),$K245*$H245,"")</f>
        <v>63.8263043478261</v>
      </c>
      <c r="M245" s="40" t="n">
        <f aca="false">IF(ISNUMBER($K245),$K245*Parâmetros!$B$7,"")</f>
        <v>30.3934782608696</v>
      </c>
      <c r="N245" s="40" t="n">
        <f aca="false">IF(ISNUMBER($K245),$K245*Parâmetros!$C$7,"")</f>
        <v>9.11804347826087</v>
      </c>
      <c r="O245" s="40" t="n">
        <f aca="false">IF(ISNUMBER($K245),IF(ISNUMBER(Parâmetros!$E$7),Parâmetros!$E$7,0),"")</f>
        <v>0</v>
      </c>
      <c r="P245" s="41" t="n">
        <f aca="false">IF(ISNUMBER($K245),$K245-$D245-IF(ISNUMBER($E245),$E245,0)-$L245-$M245-$N245-$O245,"")</f>
        <v>60.7869565217391</v>
      </c>
      <c r="Q245" s="42" t="n">
        <f aca="false">IF(AND(ISNUMBER($K245),$K245&gt;0),$P245/$K245,"")</f>
        <v>0.2</v>
      </c>
      <c r="R245" s="43"/>
      <c r="S245" s="44" t="str">
        <f aca="false">IF(OR(NOT(ISNUMBER($R245)),$R245=0,NOT(ISNUMBER($K245))),"",$K245*(1-$R245))</f>
        <v/>
      </c>
      <c r="T245" s="45" t="str">
        <f aca="false">IF(ISNUMBER($S245),$S245*$H245,"")</f>
        <v/>
      </c>
      <c r="U245" s="45" t="str">
        <f aca="false">IF(ISNUMBER($S245),$S245*Parâmetros!$B$7,"")</f>
        <v/>
      </c>
      <c r="V245" s="45" t="str">
        <f aca="false">IF(ISNUMBER($S245),$S245*Parâmetros!$C$7,"")</f>
        <v/>
      </c>
      <c r="W245" s="44" t="str">
        <f aca="false">IF(ISNUMBER($S245),$S245-$D245-IF(ISNUMBER($E245),$E245,0)-$O245-$T245-$U245-$V245,"")</f>
        <v/>
      </c>
      <c r="X245" s="46" t="str">
        <f aca="false">IF(AND(ISNUMBER($S245),$S245&gt;0),$W245/$S245,"")</f>
        <v/>
      </c>
      <c r="Y245" s="49"/>
      <c r="Z245" s="21"/>
    </row>
    <row r="246" customFormat="false" ht="15.75" hidden="false" customHeight="true" outlineLevel="0" collapsed="false">
      <c r="A246" s="32" t="str">
        <f aca="false">IF(Produtos!$A246="","",Produtos!$A246)</f>
        <v>SP-FT</v>
      </c>
      <c r="B246" s="32" t="str">
        <f aca="false">IF(Produtos!$A246="","",Produtos!$B246)</f>
        <v>Tampa Space Fixa</v>
      </c>
      <c r="C246" s="32" t="str">
        <f aca="false">IF(Produtos!$A246="","",Produtos!$C246)</f>
        <v>Bituqueiras e cinzeiros</v>
      </c>
      <c r="D246" s="33" t="n">
        <f aca="false">IF(Produtos!$A246="","",IF(Produtos!$D246="","",Produtos!$D246))</f>
        <v>75</v>
      </c>
      <c r="E246" s="11" t="n">
        <v>0</v>
      </c>
      <c r="F246" s="34" t="n">
        <f aca="false">IF($A246="","",IF($C246="","⚠ categoria",IFERROR(INDEX(Parâmetros!$E$13:$E$22,MATCH($C246,Parâmetros!$A$13:$A$22,0)),"⚠ categoria")))</f>
        <v>0.21</v>
      </c>
      <c r="G246" s="35"/>
      <c r="H246" s="36" t="n">
        <f aca="false">IF($A246="","",IF(ISNUMBER($G246),$G246,IF(ISNUMBER($F246),$F246,"")))</f>
        <v>0.21</v>
      </c>
      <c r="I246" s="37" t="n">
        <f aca="false">IF(OR($A246="",NOT(ISNUMBER($D246)),NOT(ISNUMBER($H246))),"",IF((1-$H246-Parâmetros!$B$7-Parâmetros!$C$7-Parâmetros!$D$7)&lt;=0,"INVALIDO",($D246+IF(ISNUMBER($E246),$E246,0)+IF(ISNUMBER(Parâmetros!$E$7),Parâmetros!$E$7,0))/(1-$H246-Parâmetros!$B$7-Parâmetros!$C$7-Parâmetros!$D$7)))</f>
        <v>163.04347826087</v>
      </c>
      <c r="J246" s="38"/>
      <c r="K246" s="39" t="n">
        <f aca="false">IF(OR($A246="",NOT(ISNUMBER($D246)),NOT(ISNUMBER($H246))),"",IF(AND(ISNUMBER($J246),$J246&gt;0),$J246,IF(ISNUMBER($I246),$I246,"")))</f>
        <v>163.04347826087</v>
      </c>
      <c r="L246" s="40" t="n">
        <f aca="false">IF(ISNUMBER($K246),$K246*$H246,"")</f>
        <v>34.2391304347826</v>
      </c>
      <c r="M246" s="40" t="n">
        <f aca="false">IF(ISNUMBER($K246),$K246*Parâmetros!$B$7,"")</f>
        <v>16.304347826087</v>
      </c>
      <c r="N246" s="40" t="n">
        <f aca="false">IF(ISNUMBER($K246),$K246*Parâmetros!$C$7,"")</f>
        <v>4.89130434782609</v>
      </c>
      <c r="O246" s="40" t="n">
        <f aca="false">IF(ISNUMBER($K246),IF(ISNUMBER(Parâmetros!$E$7),Parâmetros!$E$7,0),"")</f>
        <v>0</v>
      </c>
      <c r="P246" s="41" t="n">
        <f aca="false">IF(ISNUMBER($K246),$K246-$D246-IF(ISNUMBER($E246),$E246,0)-$L246-$M246-$N246-$O246,"")</f>
        <v>32.6086956521739</v>
      </c>
      <c r="Q246" s="42" t="n">
        <f aca="false">IF(AND(ISNUMBER($K246),$K246&gt;0),$P246/$K246,"")</f>
        <v>0.2</v>
      </c>
      <c r="R246" s="43"/>
      <c r="S246" s="44" t="str">
        <f aca="false">IF(OR(NOT(ISNUMBER($R246)),$R246=0,NOT(ISNUMBER($K246))),"",$K246*(1-$R246))</f>
        <v/>
      </c>
      <c r="T246" s="45" t="str">
        <f aca="false">IF(ISNUMBER($S246),$S246*$H246,"")</f>
        <v/>
      </c>
      <c r="U246" s="45" t="str">
        <f aca="false">IF(ISNUMBER($S246),$S246*Parâmetros!$B$7,"")</f>
        <v/>
      </c>
      <c r="V246" s="45" t="str">
        <f aca="false">IF(ISNUMBER($S246),$S246*Parâmetros!$C$7,"")</f>
        <v/>
      </c>
      <c r="W246" s="44" t="str">
        <f aca="false">IF(ISNUMBER($S246),$S246-$D246-IF(ISNUMBER($E246),$E246,0)-$O246-$T246-$U246-$V246,"")</f>
        <v/>
      </c>
      <c r="X246" s="46" t="str">
        <f aca="false">IF(AND(ISNUMBER($S246),$S246&gt;0),$W246/$S246,"")</f>
        <v/>
      </c>
      <c r="Y246" s="47"/>
      <c r="Z246" s="19"/>
    </row>
    <row r="247" customFormat="false" ht="15.75" hidden="false" customHeight="true" outlineLevel="0" collapsed="false">
      <c r="A247" s="48" t="str">
        <f aca="false">IF(Produtos!$A247="","",Produtos!$A247)</f>
        <v>L2450-CZ</v>
      </c>
      <c r="B247" s="48" t="str">
        <f aca="false">IF(Produtos!$A247="","",Produtos!$B247)</f>
        <v>Lixeira Cinzeiro Aço Inox 24x50 25L</v>
      </c>
      <c r="C247" s="48" t="str">
        <f aca="false">IF(Produtos!$A247="","",Produtos!$C247)</f>
        <v>Bituqueiras e cinzeiros</v>
      </c>
      <c r="D247" s="33" t="n">
        <f aca="false">IF(Produtos!$A247="","",IF(Produtos!$D247="","",Produtos!$D247))</f>
        <v>156</v>
      </c>
      <c r="E247" s="11" t="n">
        <v>0</v>
      </c>
      <c r="F247" s="34" t="n">
        <f aca="false">IF($A247="","",IF($C247="","⚠ categoria",IFERROR(INDEX(Parâmetros!$E$13:$E$22,MATCH($C247,Parâmetros!$A$13:$A$22,0)),"⚠ categoria")))</f>
        <v>0.21</v>
      </c>
      <c r="G247" s="35"/>
      <c r="H247" s="36" t="n">
        <f aca="false">IF($A247="","",IF(ISNUMBER($G247),$G247,IF(ISNUMBER($F247),$F247,"")))</f>
        <v>0.21</v>
      </c>
      <c r="I247" s="37" t="n">
        <f aca="false">IF(OR($A247="",NOT(ISNUMBER($D247)),NOT(ISNUMBER($H247))),"",IF((1-$H247-Parâmetros!$B$7-Parâmetros!$C$7-Parâmetros!$D$7)&lt;=0,"INVALIDO",($D247+IF(ISNUMBER($E247),$E247,0)+IF(ISNUMBER(Parâmetros!$E$7),Parâmetros!$E$7,0))/(1-$H247-Parâmetros!$B$7-Parâmetros!$C$7-Parâmetros!$D$7)))</f>
        <v>339.130434782609</v>
      </c>
      <c r="J247" s="38"/>
      <c r="K247" s="39" t="n">
        <f aca="false">IF(OR($A247="",NOT(ISNUMBER($D247)),NOT(ISNUMBER($H247))),"",IF(AND(ISNUMBER($J247),$J247&gt;0),$J247,IF(ISNUMBER($I247),$I247,"")))</f>
        <v>339.130434782609</v>
      </c>
      <c r="L247" s="40" t="n">
        <f aca="false">IF(ISNUMBER($K247),$K247*$H247,"")</f>
        <v>71.2173913043478</v>
      </c>
      <c r="M247" s="40" t="n">
        <f aca="false">IF(ISNUMBER($K247),$K247*Parâmetros!$B$7,"")</f>
        <v>33.9130434782609</v>
      </c>
      <c r="N247" s="40" t="n">
        <f aca="false">IF(ISNUMBER($K247),$K247*Parâmetros!$C$7,"")</f>
        <v>10.1739130434783</v>
      </c>
      <c r="O247" s="40" t="n">
        <f aca="false">IF(ISNUMBER($K247),IF(ISNUMBER(Parâmetros!$E$7),Parâmetros!$E$7,0),"")</f>
        <v>0</v>
      </c>
      <c r="P247" s="41" t="n">
        <f aca="false">IF(ISNUMBER($K247),$K247-$D247-IF(ISNUMBER($E247),$E247,0)-$L247-$M247-$N247-$O247,"")</f>
        <v>67.8260869565217</v>
      </c>
      <c r="Q247" s="42" t="n">
        <f aca="false">IF(AND(ISNUMBER($K247),$K247&gt;0),$P247/$K247,"")</f>
        <v>0.2</v>
      </c>
      <c r="R247" s="43"/>
      <c r="S247" s="44" t="str">
        <f aca="false">IF(OR(NOT(ISNUMBER($R247)),$R247=0,NOT(ISNUMBER($K247))),"",$K247*(1-$R247))</f>
        <v/>
      </c>
      <c r="T247" s="45" t="str">
        <f aca="false">IF(ISNUMBER($S247),$S247*$H247,"")</f>
        <v/>
      </c>
      <c r="U247" s="45" t="str">
        <f aca="false">IF(ISNUMBER($S247),$S247*Parâmetros!$B$7,"")</f>
        <v/>
      </c>
      <c r="V247" s="45" t="str">
        <f aca="false">IF(ISNUMBER($S247),$S247*Parâmetros!$C$7,"")</f>
        <v/>
      </c>
      <c r="W247" s="44" t="str">
        <f aca="false">IF(ISNUMBER($S247),$S247-$D247-IF(ISNUMBER($E247),$E247,0)-$O247-$T247-$U247-$V247,"")</f>
        <v/>
      </c>
      <c r="X247" s="46" t="str">
        <f aca="false">IF(AND(ISNUMBER($S247),$S247&gt;0),$W247/$S247,"")</f>
        <v/>
      </c>
      <c r="Y247" s="49"/>
      <c r="Z247" s="21"/>
    </row>
    <row r="248" customFormat="false" ht="15.75" hidden="false" customHeight="true" outlineLevel="0" collapsed="false">
      <c r="A248" s="32" t="str">
        <f aca="false">IF(Produtos!$A248="","",Produtos!$A248)</f>
        <v>L2460-CZ</v>
      </c>
      <c r="B248" s="32" t="str">
        <f aca="false">IF(Produtos!$A248="","",Produtos!$B248)</f>
        <v>Lixeira Cinzeiro Aço Inox 24x60 27L</v>
      </c>
      <c r="C248" s="32" t="str">
        <f aca="false">IF(Produtos!$A248="","",Produtos!$C248)</f>
        <v>Bituqueiras e cinzeiros</v>
      </c>
      <c r="D248" s="33" t="n">
        <f aca="false">IF(Produtos!$A248="","",IF(Produtos!$D248="","",Produtos!$D248))</f>
        <v>159</v>
      </c>
      <c r="E248" s="11" t="n">
        <v>0</v>
      </c>
      <c r="F248" s="34" t="n">
        <f aca="false">IF($A248="","",IF($C248="","⚠ categoria",IFERROR(INDEX(Parâmetros!$E$13:$E$22,MATCH($C248,Parâmetros!$A$13:$A$22,0)),"⚠ categoria")))</f>
        <v>0.21</v>
      </c>
      <c r="G248" s="35"/>
      <c r="H248" s="36" t="n">
        <f aca="false">IF($A248="","",IF(ISNUMBER($G248),$G248,IF(ISNUMBER($F248),$F248,"")))</f>
        <v>0.21</v>
      </c>
      <c r="I248" s="37" t="n">
        <f aca="false">IF(OR($A248="",NOT(ISNUMBER($D248)),NOT(ISNUMBER($H248))),"",IF((1-$H248-Parâmetros!$B$7-Parâmetros!$C$7-Parâmetros!$D$7)&lt;=0,"INVALIDO",($D248+IF(ISNUMBER($E248),$E248,0)+IF(ISNUMBER(Parâmetros!$E$7),Parâmetros!$E$7,0))/(1-$H248-Parâmetros!$B$7-Parâmetros!$C$7-Parâmetros!$D$7)))</f>
        <v>345.652173913043</v>
      </c>
      <c r="J248" s="38"/>
      <c r="K248" s="39" t="n">
        <f aca="false">IF(OR($A248="",NOT(ISNUMBER($D248)),NOT(ISNUMBER($H248))),"",IF(AND(ISNUMBER($J248),$J248&gt;0),$J248,IF(ISNUMBER($I248),$I248,"")))</f>
        <v>345.652173913043</v>
      </c>
      <c r="L248" s="40" t="n">
        <f aca="false">IF(ISNUMBER($K248),$K248*$H248,"")</f>
        <v>72.5869565217391</v>
      </c>
      <c r="M248" s="40" t="n">
        <f aca="false">IF(ISNUMBER($K248),$K248*Parâmetros!$B$7,"")</f>
        <v>34.5652173913043</v>
      </c>
      <c r="N248" s="40" t="n">
        <f aca="false">IF(ISNUMBER($K248),$K248*Parâmetros!$C$7,"")</f>
        <v>10.3695652173913</v>
      </c>
      <c r="O248" s="40" t="n">
        <f aca="false">IF(ISNUMBER($K248),IF(ISNUMBER(Parâmetros!$E$7),Parâmetros!$E$7,0),"")</f>
        <v>0</v>
      </c>
      <c r="P248" s="41" t="n">
        <f aca="false">IF(ISNUMBER($K248),$K248-$D248-IF(ISNUMBER($E248),$E248,0)-$L248-$M248-$N248-$O248,"")</f>
        <v>69.1304347826087</v>
      </c>
      <c r="Q248" s="42" t="n">
        <f aca="false">IF(AND(ISNUMBER($K248),$K248&gt;0),$P248/$K248,"")</f>
        <v>0.2</v>
      </c>
      <c r="R248" s="43"/>
      <c r="S248" s="44" t="str">
        <f aca="false">IF(OR(NOT(ISNUMBER($R248)),$R248=0,NOT(ISNUMBER($K248))),"",$K248*(1-$R248))</f>
        <v/>
      </c>
      <c r="T248" s="45" t="str">
        <f aca="false">IF(ISNUMBER($S248),$S248*$H248,"")</f>
        <v/>
      </c>
      <c r="U248" s="45" t="str">
        <f aca="false">IF(ISNUMBER($S248),$S248*Parâmetros!$B$7,"")</f>
        <v/>
      </c>
      <c r="V248" s="45" t="str">
        <f aca="false">IF(ISNUMBER($S248),$S248*Parâmetros!$C$7,"")</f>
        <v/>
      </c>
      <c r="W248" s="44" t="str">
        <f aca="false">IF(ISNUMBER($S248),$S248-$D248-IF(ISNUMBER($E248),$E248,0)-$O248-$T248-$U248-$V248,"")</f>
        <v/>
      </c>
      <c r="X248" s="46" t="str">
        <f aca="false">IF(AND(ISNUMBER($S248),$S248&gt;0),$W248/$S248,"")</f>
        <v/>
      </c>
      <c r="Y248" s="47"/>
      <c r="Z248" s="19"/>
    </row>
    <row r="249" customFormat="false" ht="15.75" hidden="false" customHeight="true" outlineLevel="0" collapsed="false">
      <c r="A249" s="48" t="str">
        <f aca="false">IF(Produtos!$A249="","",Produtos!$A249)</f>
        <v>L2470-CZ</v>
      </c>
      <c r="B249" s="48" t="str">
        <f aca="false">IF(Produtos!$A249="","",Produtos!$B249)</f>
        <v>Lixeira Cinzeiro Aço Inox 24x70 30L</v>
      </c>
      <c r="C249" s="48" t="str">
        <f aca="false">IF(Produtos!$A249="","",Produtos!$C249)</f>
        <v>Bituqueiras e cinzeiros</v>
      </c>
      <c r="D249" s="33" t="n">
        <f aca="false">IF(Produtos!$A249="","",IF(Produtos!$D249="","",Produtos!$D249))</f>
        <v>164.3</v>
      </c>
      <c r="E249" s="11" t="n">
        <v>0</v>
      </c>
      <c r="F249" s="34" t="n">
        <f aca="false">IF($A249="","",IF($C249="","⚠ categoria",IFERROR(INDEX(Parâmetros!$E$13:$E$22,MATCH($C249,Parâmetros!$A$13:$A$22,0)),"⚠ categoria")))</f>
        <v>0.21</v>
      </c>
      <c r="G249" s="35"/>
      <c r="H249" s="36" t="n">
        <f aca="false">IF($A249="","",IF(ISNUMBER($G249),$G249,IF(ISNUMBER($F249),$F249,"")))</f>
        <v>0.21</v>
      </c>
      <c r="I249" s="37" t="n">
        <f aca="false">IF(OR($A249="",NOT(ISNUMBER($D249)),NOT(ISNUMBER($H249))),"",IF((1-$H249-Parâmetros!$B$7-Parâmetros!$C$7-Parâmetros!$D$7)&lt;=0,"INVALIDO",($D249+IF(ISNUMBER($E249),$E249,0)+IF(ISNUMBER(Parâmetros!$E$7),Parâmetros!$E$7,0))/(1-$H249-Parâmetros!$B$7-Parâmetros!$C$7-Parâmetros!$D$7)))</f>
        <v>357.173913043478</v>
      </c>
      <c r="J249" s="38"/>
      <c r="K249" s="39" t="n">
        <f aca="false">IF(OR($A249="",NOT(ISNUMBER($D249)),NOT(ISNUMBER($H249))),"",IF(AND(ISNUMBER($J249),$J249&gt;0),$J249,IF(ISNUMBER($I249),$I249,"")))</f>
        <v>357.173913043478</v>
      </c>
      <c r="L249" s="40" t="n">
        <f aca="false">IF(ISNUMBER($K249),$K249*$H249,"")</f>
        <v>75.0065217391304</v>
      </c>
      <c r="M249" s="40" t="n">
        <f aca="false">IF(ISNUMBER($K249),$K249*Parâmetros!$B$7,"")</f>
        <v>35.7173913043478</v>
      </c>
      <c r="N249" s="40" t="n">
        <f aca="false">IF(ISNUMBER($K249),$K249*Parâmetros!$C$7,"")</f>
        <v>10.7152173913043</v>
      </c>
      <c r="O249" s="40" t="n">
        <f aca="false">IF(ISNUMBER($K249),IF(ISNUMBER(Parâmetros!$E$7),Parâmetros!$E$7,0),"")</f>
        <v>0</v>
      </c>
      <c r="P249" s="41" t="n">
        <f aca="false">IF(ISNUMBER($K249),$K249-$D249-IF(ISNUMBER($E249),$E249,0)-$L249-$M249-$N249-$O249,"")</f>
        <v>71.4347826086956</v>
      </c>
      <c r="Q249" s="42" t="n">
        <f aca="false">IF(AND(ISNUMBER($K249),$K249&gt;0),$P249/$K249,"")</f>
        <v>0.2</v>
      </c>
      <c r="R249" s="43"/>
      <c r="S249" s="44" t="str">
        <f aca="false">IF(OR(NOT(ISNUMBER($R249)),$R249=0,NOT(ISNUMBER($K249))),"",$K249*(1-$R249))</f>
        <v/>
      </c>
      <c r="T249" s="45" t="str">
        <f aca="false">IF(ISNUMBER($S249),$S249*$H249,"")</f>
        <v/>
      </c>
      <c r="U249" s="45" t="str">
        <f aca="false">IF(ISNUMBER($S249),$S249*Parâmetros!$B$7,"")</f>
        <v/>
      </c>
      <c r="V249" s="45" t="str">
        <f aca="false">IF(ISNUMBER($S249),$S249*Parâmetros!$C$7,"")</f>
        <v/>
      </c>
      <c r="W249" s="44" t="str">
        <f aca="false">IF(ISNUMBER($S249),$S249-$D249-IF(ISNUMBER($E249),$E249,0)-$O249-$T249-$U249-$V249,"")</f>
        <v/>
      </c>
      <c r="X249" s="46" t="str">
        <f aca="false">IF(AND(ISNUMBER($S249),$S249&gt;0),$W249/$S249,"")</f>
        <v/>
      </c>
      <c r="Y249" s="49"/>
      <c r="Z249" s="21"/>
    </row>
    <row r="250" customFormat="false" ht="15.75" hidden="false" customHeight="true" outlineLevel="0" collapsed="false">
      <c r="A250" s="32" t="str">
        <f aca="false">IF(Produtos!$A250="","",Produtos!$A250)</f>
        <v>L4045-P</v>
      </c>
      <c r="B250" s="32" t="str">
        <f aca="false">IF(Produtos!$A250="","",Produtos!$B250)</f>
        <v>Lixeira de Parede c/Aro 40x19x45 20L</v>
      </c>
      <c r="C250" s="32" t="str">
        <f aca="false">IF(Produtos!$A250="","",Produtos!$C250)</f>
        <v>Lixeiras em inox</v>
      </c>
      <c r="D250" s="33" t="n">
        <f aca="false">IF(Produtos!$A250="","",IF(Produtos!$D250="","",Produtos!$D250))</f>
        <v>277.43</v>
      </c>
      <c r="E250" s="11" t="n">
        <v>0</v>
      </c>
      <c r="F250" s="34" t="n">
        <f aca="false">IF($A250="","",IF($C250="","⚠ categoria",IFERROR(INDEX(Parâmetros!$E$13:$E$22,MATCH($C250,Parâmetros!$A$13:$A$22,0)),"⚠ categoria")))</f>
        <v>0.21</v>
      </c>
      <c r="G250" s="35"/>
      <c r="H250" s="36" t="n">
        <f aca="false">IF($A250="","",IF(ISNUMBER($G250),$G250,IF(ISNUMBER($F250),$F250,"")))</f>
        <v>0.21</v>
      </c>
      <c r="I250" s="37" t="n">
        <f aca="false">IF(OR($A250="",NOT(ISNUMBER($D250)),NOT(ISNUMBER($H250))),"",IF((1-$H250-Parâmetros!$B$7-Parâmetros!$C$7-Parâmetros!$D$7)&lt;=0,"INVALIDO",($D250+IF(ISNUMBER($E250),$E250,0)+IF(ISNUMBER(Parâmetros!$E$7),Parâmetros!$E$7,0))/(1-$H250-Parâmetros!$B$7-Parâmetros!$C$7-Parâmetros!$D$7)))</f>
        <v>603.108695652174</v>
      </c>
      <c r="J250" s="38"/>
      <c r="K250" s="39" t="n">
        <f aca="false">IF(OR($A250="",NOT(ISNUMBER($D250)),NOT(ISNUMBER($H250))),"",IF(AND(ISNUMBER($J250),$J250&gt;0),$J250,IF(ISNUMBER($I250),$I250,"")))</f>
        <v>603.108695652174</v>
      </c>
      <c r="L250" s="40" t="n">
        <f aca="false">IF(ISNUMBER($K250),$K250*$H250,"")</f>
        <v>126.652826086957</v>
      </c>
      <c r="M250" s="40" t="n">
        <f aca="false">IF(ISNUMBER($K250),$K250*Parâmetros!$B$7,"")</f>
        <v>60.3108695652174</v>
      </c>
      <c r="N250" s="40" t="n">
        <f aca="false">IF(ISNUMBER($K250),$K250*Parâmetros!$C$7,"")</f>
        <v>18.0932608695652</v>
      </c>
      <c r="O250" s="40" t="n">
        <f aca="false">IF(ISNUMBER($K250),IF(ISNUMBER(Parâmetros!$E$7),Parâmetros!$E$7,0),"")</f>
        <v>0</v>
      </c>
      <c r="P250" s="41" t="n">
        <f aca="false">IF(ISNUMBER($K250),$K250-$D250-IF(ISNUMBER($E250),$E250,0)-$L250-$M250-$N250-$O250,"")</f>
        <v>120.621739130435</v>
      </c>
      <c r="Q250" s="42" t="n">
        <f aca="false">IF(AND(ISNUMBER($K250),$K250&gt;0),$P250/$K250,"")</f>
        <v>0.2</v>
      </c>
      <c r="R250" s="43"/>
      <c r="S250" s="44" t="str">
        <f aca="false">IF(OR(NOT(ISNUMBER($R250)),$R250=0,NOT(ISNUMBER($K250))),"",$K250*(1-$R250))</f>
        <v/>
      </c>
      <c r="T250" s="45" t="str">
        <f aca="false">IF(ISNUMBER($S250),$S250*$H250,"")</f>
        <v/>
      </c>
      <c r="U250" s="45" t="str">
        <f aca="false">IF(ISNUMBER($S250),$S250*Parâmetros!$B$7,"")</f>
        <v/>
      </c>
      <c r="V250" s="45" t="str">
        <f aca="false">IF(ISNUMBER($S250),$S250*Parâmetros!$C$7,"")</f>
        <v/>
      </c>
      <c r="W250" s="44" t="str">
        <f aca="false">IF(ISNUMBER($S250),$S250-$D250-IF(ISNUMBER($E250),$E250,0)-$O250-$T250-$U250-$V250,"")</f>
        <v/>
      </c>
      <c r="X250" s="46" t="str">
        <f aca="false">IF(AND(ISNUMBER($S250),$S250&gt;0),$W250/$S250,"")</f>
        <v/>
      </c>
      <c r="Y250" s="47"/>
      <c r="Z250" s="19"/>
    </row>
    <row r="251" customFormat="false" ht="15.75" hidden="false" customHeight="true" outlineLevel="0" collapsed="false">
      <c r="A251" s="48" t="str">
        <f aca="false">IF(Produtos!$A251="","",Produtos!$A251)</f>
        <v>L4055-P</v>
      </c>
      <c r="B251" s="48" t="str">
        <f aca="false">IF(Produtos!$A251="","",Produtos!$B251)</f>
        <v>Lixeira de Parede c/Aro 40x19x55 25L</v>
      </c>
      <c r="C251" s="48" t="str">
        <f aca="false">IF(Produtos!$A251="","",Produtos!$C251)</f>
        <v>Lixeiras em inox</v>
      </c>
      <c r="D251" s="33" t="n">
        <f aca="false">IF(Produtos!$A251="","",IF(Produtos!$D251="","",Produtos!$D251))</f>
        <v>288.65</v>
      </c>
      <c r="E251" s="11" t="n">
        <v>0</v>
      </c>
      <c r="F251" s="34" t="n">
        <f aca="false">IF($A251="","",IF($C251="","⚠ categoria",IFERROR(INDEX(Parâmetros!$E$13:$E$22,MATCH($C251,Parâmetros!$A$13:$A$22,0)),"⚠ categoria")))</f>
        <v>0.21</v>
      </c>
      <c r="G251" s="35"/>
      <c r="H251" s="36" t="n">
        <f aca="false">IF($A251="","",IF(ISNUMBER($G251),$G251,IF(ISNUMBER($F251),$F251,"")))</f>
        <v>0.21</v>
      </c>
      <c r="I251" s="37" t="n">
        <f aca="false">IF(OR($A251="",NOT(ISNUMBER($D251)),NOT(ISNUMBER($H251))),"",IF((1-$H251-Parâmetros!$B$7-Parâmetros!$C$7-Parâmetros!$D$7)&lt;=0,"INVALIDO",($D251+IF(ISNUMBER($E251),$E251,0)+IF(ISNUMBER(Parâmetros!$E$7),Parâmetros!$E$7,0))/(1-$H251-Parâmetros!$B$7-Parâmetros!$C$7-Parâmetros!$D$7)))</f>
        <v>627.5</v>
      </c>
      <c r="J251" s="38"/>
      <c r="K251" s="39" t="n">
        <f aca="false">IF(OR($A251="",NOT(ISNUMBER($D251)),NOT(ISNUMBER($H251))),"",IF(AND(ISNUMBER($J251),$J251&gt;0),$J251,IF(ISNUMBER($I251),$I251,"")))</f>
        <v>627.5</v>
      </c>
      <c r="L251" s="40" t="n">
        <f aca="false">IF(ISNUMBER($K251),$K251*$H251,"")</f>
        <v>131.775</v>
      </c>
      <c r="M251" s="40" t="n">
        <f aca="false">IF(ISNUMBER($K251),$K251*Parâmetros!$B$7,"")</f>
        <v>62.75</v>
      </c>
      <c r="N251" s="40" t="n">
        <f aca="false">IF(ISNUMBER($K251),$K251*Parâmetros!$C$7,"")</f>
        <v>18.825</v>
      </c>
      <c r="O251" s="40" t="n">
        <f aca="false">IF(ISNUMBER($K251),IF(ISNUMBER(Parâmetros!$E$7),Parâmetros!$E$7,0),"")</f>
        <v>0</v>
      </c>
      <c r="P251" s="41" t="n">
        <f aca="false">IF(ISNUMBER($K251),$K251-$D251-IF(ISNUMBER($E251),$E251,0)-$L251-$M251-$N251-$O251,"")</f>
        <v>125.5</v>
      </c>
      <c r="Q251" s="42" t="n">
        <f aca="false">IF(AND(ISNUMBER($K251),$K251&gt;0),$P251/$K251,"")</f>
        <v>0.2</v>
      </c>
      <c r="R251" s="43"/>
      <c r="S251" s="44" t="str">
        <f aca="false">IF(OR(NOT(ISNUMBER($R251)),$R251=0,NOT(ISNUMBER($K251))),"",$K251*(1-$R251))</f>
        <v/>
      </c>
      <c r="T251" s="45" t="str">
        <f aca="false">IF(ISNUMBER($S251),$S251*$H251,"")</f>
        <v/>
      </c>
      <c r="U251" s="45" t="str">
        <f aca="false">IF(ISNUMBER($S251),$S251*Parâmetros!$B$7,"")</f>
        <v/>
      </c>
      <c r="V251" s="45" t="str">
        <f aca="false">IF(ISNUMBER($S251),$S251*Parâmetros!$C$7,"")</f>
        <v/>
      </c>
      <c r="W251" s="44" t="str">
        <f aca="false">IF(ISNUMBER($S251),$S251-$D251-IF(ISNUMBER($E251),$E251,0)-$O251-$T251-$U251-$V251,"")</f>
        <v/>
      </c>
      <c r="X251" s="46" t="str">
        <f aca="false">IF(AND(ISNUMBER($S251),$S251&gt;0),$W251/$S251,"")</f>
        <v/>
      </c>
      <c r="Y251" s="49"/>
      <c r="Z251" s="21"/>
    </row>
    <row r="252" customFormat="false" ht="15.75" hidden="false" customHeight="true" outlineLevel="0" collapsed="false">
      <c r="A252" s="32" t="str">
        <f aca="false">IF(Produtos!$A252="","",Produtos!$A252)</f>
        <v>L4060-P</v>
      </c>
      <c r="B252" s="32" t="str">
        <f aca="false">IF(Produtos!$A252="","",Produtos!$B252)</f>
        <v>Lixeira de Parede c/Aro 40x19x60 30L</v>
      </c>
      <c r="C252" s="32" t="str">
        <f aca="false">IF(Produtos!$A252="","",Produtos!$C252)</f>
        <v>Lixeiras em inox</v>
      </c>
      <c r="D252" s="33" t="n">
        <f aca="false">IF(Produtos!$A252="","",IF(Produtos!$D252="","",Produtos!$D252))</f>
        <v>297.96</v>
      </c>
      <c r="E252" s="11" t="n">
        <v>0</v>
      </c>
      <c r="F252" s="34" t="n">
        <f aca="false">IF($A252="","",IF($C252="","⚠ categoria",IFERROR(INDEX(Parâmetros!$E$13:$E$22,MATCH($C252,Parâmetros!$A$13:$A$22,0)),"⚠ categoria")))</f>
        <v>0.21</v>
      </c>
      <c r="G252" s="35"/>
      <c r="H252" s="36" t="n">
        <f aca="false">IF($A252="","",IF(ISNUMBER($G252),$G252,IF(ISNUMBER($F252),$F252,"")))</f>
        <v>0.21</v>
      </c>
      <c r="I252" s="37" t="n">
        <f aca="false">IF(OR($A252="",NOT(ISNUMBER($D252)),NOT(ISNUMBER($H252))),"",IF((1-$H252-Parâmetros!$B$7-Parâmetros!$C$7-Parâmetros!$D$7)&lt;=0,"INVALIDO",($D252+IF(ISNUMBER($E252),$E252,0)+IF(ISNUMBER(Parâmetros!$E$7),Parâmetros!$E$7,0))/(1-$H252-Parâmetros!$B$7-Parâmetros!$C$7-Parâmetros!$D$7)))</f>
        <v>647.739130434783</v>
      </c>
      <c r="J252" s="38"/>
      <c r="K252" s="39" t="n">
        <f aca="false">IF(OR($A252="",NOT(ISNUMBER($D252)),NOT(ISNUMBER($H252))),"",IF(AND(ISNUMBER($J252),$J252&gt;0),$J252,IF(ISNUMBER($I252),$I252,"")))</f>
        <v>647.739130434783</v>
      </c>
      <c r="L252" s="40" t="n">
        <f aca="false">IF(ISNUMBER($K252),$K252*$H252,"")</f>
        <v>136.025217391304</v>
      </c>
      <c r="M252" s="40" t="n">
        <f aca="false">IF(ISNUMBER($K252),$K252*Parâmetros!$B$7,"")</f>
        <v>64.7739130434783</v>
      </c>
      <c r="N252" s="40" t="n">
        <f aca="false">IF(ISNUMBER($K252),$K252*Parâmetros!$C$7,"")</f>
        <v>19.4321739130435</v>
      </c>
      <c r="O252" s="40" t="n">
        <f aca="false">IF(ISNUMBER($K252),IF(ISNUMBER(Parâmetros!$E$7),Parâmetros!$E$7,0),"")</f>
        <v>0</v>
      </c>
      <c r="P252" s="41" t="n">
        <f aca="false">IF(ISNUMBER($K252),$K252-$D252-IF(ISNUMBER($E252),$E252,0)-$L252-$M252-$N252-$O252,"")</f>
        <v>129.547826086957</v>
      </c>
      <c r="Q252" s="42" t="n">
        <f aca="false">IF(AND(ISNUMBER($K252),$K252&gt;0),$P252/$K252,"")</f>
        <v>0.2</v>
      </c>
      <c r="R252" s="43"/>
      <c r="S252" s="44" t="str">
        <f aca="false">IF(OR(NOT(ISNUMBER($R252)),$R252=0,NOT(ISNUMBER($K252))),"",$K252*(1-$R252))</f>
        <v/>
      </c>
      <c r="T252" s="45" t="str">
        <f aca="false">IF(ISNUMBER($S252),$S252*$H252,"")</f>
        <v/>
      </c>
      <c r="U252" s="45" t="str">
        <f aca="false">IF(ISNUMBER($S252),$S252*Parâmetros!$B$7,"")</f>
        <v/>
      </c>
      <c r="V252" s="45" t="str">
        <f aca="false">IF(ISNUMBER($S252),$S252*Parâmetros!$C$7,"")</f>
        <v/>
      </c>
      <c r="W252" s="44" t="str">
        <f aca="false">IF(ISNUMBER($S252),$S252-$D252-IF(ISNUMBER($E252),$E252,0)-$O252-$T252-$U252-$V252,"")</f>
        <v/>
      </c>
      <c r="X252" s="46" t="str">
        <f aca="false">IF(AND(ISNUMBER($S252),$S252&gt;0),$W252/$S252,"")</f>
        <v/>
      </c>
      <c r="Y252" s="47"/>
      <c r="Z252" s="19"/>
    </row>
    <row r="253" customFormat="false" ht="15.75" hidden="false" customHeight="true" outlineLevel="0" collapsed="false">
      <c r="A253" s="48" t="str">
        <f aca="false">IF(Produtos!$A253="","",Produtos!$A253)</f>
        <v>L4065-P</v>
      </c>
      <c r="B253" s="48" t="str">
        <f aca="false">IF(Produtos!$A253="","",Produtos!$B253)</f>
        <v>Lixeira de Parede c/Aro 40x19x65 35L</v>
      </c>
      <c r="C253" s="48" t="str">
        <f aca="false">IF(Produtos!$A253="","",Produtos!$C253)</f>
        <v>Lixeiras em inox</v>
      </c>
      <c r="D253" s="33" t="n">
        <f aca="false">IF(Produtos!$A253="","",IF(Produtos!$D253="","",Produtos!$D253))</f>
        <v>388.44</v>
      </c>
      <c r="E253" s="11" t="n">
        <v>0</v>
      </c>
      <c r="F253" s="34" t="n">
        <f aca="false">IF($A253="","",IF($C253="","⚠ categoria",IFERROR(INDEX(Parâmetros!$E$13:$E$22,MATCH($C253,Parâmetros!$A$13:$A$22,0)),"⚠ categoria")))</f>
        <v>0.21</v>
      </c>
      <c r="G253" s="35"/>
      <c r="H253" s="36" t="n">
        <f aca="false">IF($A253="","",IF(ISNUMBER($G253),$G253,IF(ISNUMBER($F253),$F253,"")))</f>
        <v>0.21</v>
      </c>
      <c r="I253" s="37" t="n">
        <f aca="false">IF(OR($A253="",NOT(ISNUMBER($D253)),NOT(ISNUMBER($H253))),"",IF((1-$H253-Parâmetros!$B$7-Parâmetros!$C$7-Parâmetros!$D$7)&lt;=0,"INVALIDO",($D253+IF(ISNUMBER($E253),$E253,0)+IF(ISNUMBER(Parâmetros!$E$7),Parâmetros!$E$7,0))/(1-$H253-Parâmetros!$B$7-Parâmetros!$C$7-Parâmetros!$D$7)))</f>
        <v>844.434782608696</v>
      </c>
      <c r="J253" s="38"/>
      <c r="K253" s="39" t="n">
        <f aca="false">IF(OR($A253="",NOT(ISNUMBER($D253)),NOT(ISNUMBER($H253))),"",IF(AND(ISNUMBER($J253),$J253&gt;0),$J253,IF(ISNUMBER($I253),$I253,"")))</f>
        <v>844.434782608696</v>
      </c>
      <c r="L253" s="40" t="n">
        <f aca="false">IF(ISNUMBER($K253),$K253*$H253,"")</f>
        <v>177.331304347826</v>
      </c>
      <c r="M253" s="40" t="n">
        <f aca="false">IF(ISNUMBER($K253),$K253*Parâmetros!$B$7,"")</f>
        <v>84.4434782608696</v>
      </c>
      <c r="N253" s="40" t="n">
        <f aca="false">IF(ISNUMBER($K253),$K253*Parâmetros!$C$7,"")</f>
        <v>25.3330434782609</v>
      </c>
      <c r="O253" s="40" t="n">
        <f aca="false">IF(ISNUMBER($K253),IF(ISNUMBER(Parâmetros!$E$7),Parâmetros!$E$7,0),"")</f>
        <v>0</v>
      </c>
      <c r="P253" s="41" t="n">
        <f aca="false">IF(ISNUMBER($K253),$K253-$D253-IF(ISNUMBER($E253),$E253,0)-$L253-$M253-$N253-$O253,"")</f>
        <v>168.886956521739</v>
      </c>
      <c r="Q253" s="42" t="n">
        <f aca="false">IF(AND(ISNUMBER($K253),$K253&gt;0),$P253/$K253,"")</f>
        <v>0.2</v>
      </c>
      <c r="R253" s="43"/>
      <c r="S253" s="44" t="str">
        <f aca="false">IF(OR(NOT(ISNUMBER($R253)),$R253=0,NOT(ISNUMBER($K253))),"",$K253*(1-$R253))</f>
        <v/>
      </c>
      <c r="T253" s="45" t="str">
        <f aca="false">IF(ISNUMBER($S253),$S253*$H253,"")</f>
        <v/>
      </c>
      <c r="U253" s="45" t="str">
        <f aca="false">IF(ISNUMBER($S253),$S253*Parâmetros!$B$7,"")</f>
        <v/>
      </c>
      <c r="V253" s="45" t="str">
        <f aca="false">IF(ISNUMBER($S253),$S253*Parâmetros!$C$7,"")</f>
        <v/>
      </c>
      <c r="W253" s="44" t="str">
        <f aca="false">IF(ISNUMBER($S253),$S253-$D253-IF(ISNUMBER($E253),$E253,0)-$O253-$T253-$U253-$V253,"")</f>
        <v/>
      </c>
      <c r="X253" s="46" t="str">
        <f aca="false">IF(AND(ISNUMBER($S253),$S253&gt;0),$W253/$S253,"")</f>
        <v/>
      </c>
      <c r="Y253" s="49"/>
      <c r="Z253" s="21"/>
    </row>
    <row r="254" customFormat="false" ht="15.75" hidden="false" customHeight="true" outlineLevel="0" collapsed="false">
      <c r="A254" s="32" t="str">
        <f aca="false">IF(Produtos!$A254="","",Produtos!$A254)</f>
        <v>L4070-P</v>
      </c>
      <c r="B254" s="32" t="str">
        <f aca="false">IF(Produtos!$A254="","",Produtos!$B254)</f>
        <v>Lixeira de Parede c/Aro 40x19x70 40L</v>
      </c>
      <c r="C254" s="32" t="str">
        <f aca="false">IF(Produtos!$A254="","",Produtos!$C254)</f>
        <v>Lixeiras em inox</v>
      </c>
      <c r="D254" s="33" t="n">
        <f aca="false">IF(Produtos!$A254="","",IF(Produtos!$D254="","",Produtos!$D254))</f>
        <v>394.64</v>
      </c>
      <c r="E254" s="11" t="n">
        <v>0</v>
      </c>
      <c r="F254" s="34" t="n">
        <f aca="false">IF($A254="","",IF($C254="","⚠ categoria",IFERROR(INDEX(Parâmetros!$E$13:$E$22,MATCH($C254,Parâmetros!$A$13:$A$22,0)),"⚠ categoria")))</f>
        <v>0.21</v>
      </c>
      <c r="G254" s="35"/>
      <c r="H254" s="36" t="n">
        <f aca="false">IF($A254="","",IF(ISNUMBER($G254),$G254,IF(ISNUMBER($F254),$F254,"")))</f>
        <v>0.21</v>
      </c>
      <c r="I254" s="37" t="n">
        <f aca="false">IF(OR($A254="",NOT(ISNUMBER($D254)),NOT(ISNUMBER($H254))),"",IF((1-$H254-Parâmetros!$B$7-Parâmetros!$C$7-Parâmetros!$D$7)&lt;=0,"INVALIDO",($D254+IF(ISNUMBER($E254),$E254,0)+IF(ISNUMBER(Parâmetros!$E$7),Parâmetros!$E$7,0))/(1-$H254-Parâmetros!$B$7-Parâmetros!$C$7-Parâmetros!$D$7)))</f>
        <v>857.913043478261</v>
      </c>
      <c r="J254" s="38"/>
      <c r="K254" s="39" t="n">
        <f aca="false">IF(OR($A254="",NOT(ISNUMBER($D254)),NOT(ISNUMBER($H254))),"",IF(AND(ISNUMBER($J254),$J254&gt;0),$J254,IF(ISNUMBER($I254),$I254,"")))</f>
        <v>857.913043478261</v>
      </c>
      <c r="L254" s="40" t="n">
        <f aca="false">IF(ISNUMBER($K254),$K254*$H254,"")</f>
        <v>180.161739130435</v>
      </c>
      <c r="M254" s="40" t="n">
        <f aca="false">IF(ISNUMBER($K254),$K254*Parâmetros!$B$7,"")</f>
        <v>85.7913043478261</v>
      </c>
      <c r="N254" s="40" t="n">
        <f aca="false">IF(ISNUMBER($K254),$K254*Parâmetros!$C$7,"")</f>
        <v>25.7373913043478</v>
      </c>
      <c r="O254" s="40" t="n">
        <f aca="false">IF(ISNUMBER($K254),IF(ISNUMBER(Parâmetros!$E$7),Parâmetros!$E$7,0),"")</f>
        <v>0</v>
      </c>
      <c r="P254" s="41" t="n">
        <f aca="false">IF(ISNUMBER($K254),$K254-$D254-IF(ISNUMBER($E254),$E254,0)-$L254-$M254-$N254-$O254,"")</f>
        <v>171.582608695652</v>
      </c>
      <c r="Q254" s="42" t="n">
        <f aca="false">IF(AND(ISNUMBER($K254),$K254&gt;0),$P254/$K254,"")</f>
        <v>0.2</v>
      </c>
      <c r="R254" s="43"/>
      <c r="S254" s="44" t="str">
        <f aca="false">IF(OR(NOT(ISNUMBER($R254)),$R254=0,NOT(ISNUMBER($K254))),"",$K254*(1-$R254))</f>
        <v/>
      </c>
      <c r="T254" s="45" t="str">
        <f aca="false">IF(ISNUMBER($S254),$S254*$H254,"")</f>
        <v/>
      </c>
      <c r="U254" s="45" t="str">
        <f aca="false">IF(ISNUMBER($S254),$S254*Parâmetros!$B$7,"")</f>
        <v/>
      </c>
      <c r="V254" s="45" t="str">
        <f aca="false">IF(ISNUMBER($S254),$S254*Parâmetros!$C$7,"")</f>
        <v/>
      </c>
      <c r="W254" s="44" t="str">
        <f aca="false">IF(ISNUMBER($S254),$S254-$D254-IF(ISNUMBER($E254),$E254,0)-$O254-$T254-$U254-$V254,"")</f>
        <v/>
      </c>
      <c r="X254" s="46" t="str">
        <f aca="false">IF(AND(ISNUMBER($S254),$S254&gt;0),$W254/$S254,"")</f>
        <v/>
      </c>
      <c r="Y254" s="47"/>
      <c r="Z254" s="19"/>
    </row>
    <row r="255" customFormat="false" ht="15.75" hidden="false" customHeight="true" outlineLevel="0" collapsed="false">
      <c r="A255" s="48" t="str">
        <f aca="false">IF(Produtos!$A255="","",Produtos!$A255)</f>
        <v>L4080-P</v>
      </c>
      <c r="B255" s="48" t="str">
        <f aca="false">IF(Produtos!$A255="","",Produtos!$B255)</f>
        <v>Lixeira de Parede c/Aro 40x19x80 50L</v>
      </c>
      <c r="C255" s="48" t="str">
        <f aca="false">IF(Produtos!$A255="","",Produtos!$C255)</f>
        <v>Lixeiras em inox</v>
      </c>
      <c r="D255" s="33" t="n">
        <f aca="false">IF(Produtos!$A255="","",IF(Produtos!$D255="","",Produtos!$D255))</f>
        <v>401</v>
      </c>
      <c r="E255" s="11" t="n">
        <v>0</v>
      </c>
      <c r="F255" s="34" t="n">
        <f aca="false">IF($A255="","",IF($C255="","⚠ categoria",IFERROR(INDEX(Parâmetros!$E$13:$E$22,MATCH($C255,Parâmetros!$A$13:$A$22,0)),"⚠ categoria")))</f>
        <v>0.21</v>
      </c>
      <c r="G255" s="35"/>
      <c r="H255" s="36" t="n">
        <f aca="false">IF($A255="","",IF(ISNUMBER($G255),$G255,IF(ISNUMBER($F255),$F255,"")))</f>
        <v>0.21</v>
      </c>
      <c r="I255" s="37" t="n">
        <f aca="false">IF(OR($A255="",NOT(ISNUMBER($D255)),NOT(ISNUMBER($H255))),"",IF((1-$H255-Parâmetros!$B$7-Parâmetros!$C$7-Parâmetros!$D$7)&lt;=0,"INVALIDO",($D255+IF(ISNUMBER($E255),$E255,0)+IF(ISNUMBER(Parâmetros!$E$7),Parâmetros!$E$7,0))/(1-$H255-Parâmetros!$B$7-Parâmetros!$C$7-Parâmetros!$D$7)))</f>
        <v>871.739130434783</v>
      </c>
      <c r="J255" s="38"/>
      <c r="K255" s="39" t="n">
        <f aca="false">IF(OR($A255="",NOT(ISNUMBER($D255)),NOT(ISNUMBER($H255))),"",IF(AND(ISNUMBER($J255),$J255&gt;0),$J255,IF(ISNUMBER($I255),$I255,"")))</f>
        <v>871.739130434783</v>
      </c>
      <c r="L255" s="40" t="n">
        <f aca="false">IF(ISNUMBER($K255),$K255*$H255,"")</f>
        <v>183.065217391304</v>
      </c>
      <c r="M255" s="40" t="n">
        <f aca="false">IF(ISNUMBER($K255),$K255*Parâmetros!$B$7,"")</f>
        <v>87.1739130434783</v>
      </c>
      <c r="N255" s="40" t="n">
        <f aca="false">IF(ISNUMBER($K255),$K255*Parâmetros!$C$7,"")</f>
        <v>26.1521739130435</v>
      </c>
      <c r="O255" s="40" t="n">
        <f aca="false">IF(ISNUMBER($K255),IF(ISNUMBER(Parâmetros!$E$7),Parâmetros!$E$7,0),"")</f>
        <v>0</v>
      </c>
      <c r="P255" s="41" t="n">
        <f aca="false">IF(ISNUMBER($K255),$K255-$D255-IF(ISNUMBER($E255),$E255,0)-$L255-$M255-$N255-$O255,"")</f>
        <v>174.347826086957</v>
      </c>
      <c r="Q255" s="42" t="n">
        <f aca="false">IF(AND(ISNUMBER($K255),$K255&gt;0),$P255/$K255,"")</f>
        <v>0.2</v>
      </c>
      <c r="R255" s="43"/>
      <c r="S255" s="44" t="str">
        <f aca="false">IF(OR(NOT(ISNUMBER($R255)),$R255=0,NOT(ISNUMBER($K255))),"",$K255*(1-$R255))</f>
        <v/>
      </c>
      <c r="T255" s="45" t="str">
        <f aca="false">IF(ISNUMBER($S255),$S255*$H255,"")</f>
        <v/>
      </c>
      <c r="U255" s="45" t="str">
        <f aca="false">IF(ISNUMBER($S255),$S255*Parâmetros!$B$7,"")</f>
        <v/>
      </c>
      <c r="V255" s="45" t="str">
        <f aca="false">IF(ISNUMBER($S255),$S255*Parâmetros!$C$7,"")</f>
        <v/>
      </c>
      <c r="W255" s="44" t="str">
        <f aca="false">IF(ISNUMBER($S255),$S255-$D255-IF(ISNUMBER($E255),$E255,0)-$O255-$T255-$U255-$V255,"")</f>
        <v/>
      </c>
      <c r="X255" s="46" t="str">
        <f aca="false">IF(AND(ISNUMBER($S255),$S255&gt;0),$W255/$S255,"")</f>
        <v/>
      </c>
      <c r="Y255" s="49"/>
      <c r="Z255" s="21"/>
    </row>
    <row r="256" customFormat="false" ht="15.75" hidden="false" customHeight="true" outlineLevel="0" collapsed="false">
      <c r="A256" s="32" t="str">
        <f aca="false">IF(Produtos!$A256="","",Produtos!$A256)</f>
        <v>L4045-PC</v>
      </c>
      <c r="B256" s="32" t="str">
        <f aca="false">IF(Produtos!$A256="","",Produtos!$B256)</f>
        <v>Lixeira de Parede c/Aro Colorido 40x19x45 20L</v>
      </c>
      <c r="C256" s="32" t="str">
        <f aca="false">IF(Produtos!$A256="","",Produtos!$C256)</f>
        <v>Lixeiras em inox</v>
      </c>
      <c r="D256" s="33" t="n">
        <f aca="false">IF(Produtos!$A256="","",IF(Produtos!$D256="","",Produtos!$D256))</f>
        <v>291.85</v>
      </c>
      <c r="E256" s="11" t="n">
        <v>0</v>
      </c>
      <c r="F256" s="34" t="n">
        <f aca="false">IF($A256="","",IF($C256="","⚠ categoria",IFERROR(INDEX(Parâmetros!$E$13:$E$22,MATCH($C256,Parâmetros!$A$13:$A$22,0)),"⚠ categoria")))</f>
        <v>0.21</v>
      </c>
      <c r="G256" s="35"/>
      <c r="H256" s="36" t="n">
        <f aca="false">IF($A256="","",IF(ISNUMBER($G256),$G256,IF(ISNUMBER($F256),$F256,"")))</f>
        <v>0.21</v>
      </c>
      <c r="I256" s="37" t="n">
        <f aca="false">IF(OR($A256="",NOT(ISNUMBER($D256)),NOT(ISNUMBER($H256))),"",IF((1-$H256-Parâmetros!$B$7-Parâmetros!$C$7-Parâmetros!$D$7)&lt;=0,"INVALIDO",($D256+IF(ISNUMBER($E256),$E256,0)+IF(ISNUMBER(Parâmetros!$E$7),Parâmetros!$E$7,0))/(1-$H256-Parâmetros!$B$7-Parâmetros!$C$7-Parâmetros!$D$7)))</f>
        <v>634.456521739131</v>
      </c>
      <c r="J256" s="38"/>
      <c r="K256" s="39" t="n">
        <f aca="false">IF(OR($A256="",NOT(ISNUMBER($D256)),NOT(ISNUMBER($H256))),"",IF(AND(ISNUMBER($J256),$J256&gt;0),$J256,IF(ISNUMBER($I256),$I256,"")))</f>
        <v>634.456521739131</v>
      </c>
      <c r="L256" s="40" t="n">
        <f aca="false">IF(ISNUMBER($K256),$K256*$H256,"")</f>
        <v>133.235869565217</v>
      </c>
      <c r="M256" s="40" t="n">
        <f aca="false">IF(ISNUMBER($K256),$K256*Parâmetros!$B$7,"")</f>
        <v>63.4456521739131</v>
      </c>
      <c r="N256" s="40" t="n">
        <f aca="false">IF(ISNUMBER($K256),$K256*Parâmetros!$C$7,"")</f>
        <v>19.0336956521739</v>
      </c>
      <c r="O256" s="40" t="n">
        <f aca="false">IF(ISNUMBER($K256),IF(ISNUMBER(Parâmetros!$E$7),Parâmetros!$E$7,0),"")</f>
        <v>0</v>
      </c>
      <c r="P256" s="41" t="n">
        <f aca="false">IF(ISNUMBER($K256),$K256-$D256-IF(ISNUMBER($E256),$E256,0)-$L256-$M256-$N256-$O256,"")</f>
        <v>126.891304347826</v>
      </c>
      <c r="Q256" s="42" t="n">
        <f aca="false">IF(AND(ISNUMBER($K256),$K256&gt;0),$P256/$K256,"")</f>
        <v>0.2</v>
      </c>
      <c r="R256" s="43"/>
      <c r="S256" s="44" t="str">
        <f aca="false">IF(OR(NOT(ISNUMBER($R256)),$R256=0,NOT(ISNUMBER($K256))),"",$K256*(1-$R256))</f>
        <v/>
      </c>
      <c r="T256" s="45" t="str">
        <f aca="false">IF(ISNUMBER($S256),$S256*$H256,"")</f>
        <v/>
      </c>
      <c r="U256" s="45" t="str">
        <f aca="false">IF(ISNUMBER($S256),$S256*Parâmetros!$B$7,"")</f>
        <v/>
      </c>
      <c r="V256" s="45" t="str">
        <f aca="false">IF(ISNUMBER($S256),$S256*Parâmetros!$C$7,"")</f>
        <v/>
      </c>
      <c r="W256" s="44" t="str">
        <f aca="false">IF(ISNUMBER($S256),$S256-$D256-IF(ISNUMBER($E256),$E256,0)-$O256-$T256-$U256-$V256,"")</f>
        <v/>
      </c>
      <c r="X256" s="46" t="str">
        <f aca="false">IF(AND(ISNUMBER($S256),$S256&gt;0),$W256/$S256,"")</f>
        <v/>
      </c>
      <c r="Y256" s="47"/>
      <c r="Z256" s="19"/>
    </row>
    <row r="257" customFormat="false" ht="15.75" hidden="false" customHeight="true" outlineLevel="0" collapsed="false">
      <c r="A257" s="48" t="str">
        <f aca="false">IF(Produtos!$A257="","",Produtos!$A257)</f>
        <v>L4055-PC</v>
      </c>
      <c r="B257" s="48" t="str">
        <f aca="false">IF(Produtos!$A257="","",Produtos!$B257)</f>
        <v>Lixeira de Parede c/Aro Colorido 40x19x55 25L</v>
      </c>
      <c r="C257" s="48" t="str">
        <f aca="false">IF(Produtos!$A257="","",Produtos!$C257)</f>
        <v>Lixeiras em inox</v>
      </c>
      <c r="D257" s="33" t="n">
        <f aca="false">IF(Produtos!$A257="","",IF(Produtos!$D257="","",Produtos!$D257))</f>
        <v>301.44</v>
      </c>
      <c r="E257" s="11" t="n">
        <v>0</v>
      </c>
      <c r="F257" s="34" t="n">
        <f aca="false">IF($A257="","",IF($C257="","⚠ categoria",IFERROR(INDEX(Parâmetros!$E$13:$E$22,MATCH($C257,Parâmetros!$A$13:$A$22,0)),"⚠ categoria")))</f>
        <v>0.21</v>
      </c>
      <c r="G257" s="35"/>
      <c r="H257" s="36" t="n">
        <f aca="false">IF($A257="","",IF(ISNUMBER($G257),$G257,IF(ISNUMBER($F257),$F257,"")))</f>
        <v>0.21</v>
      </c>
      <c r="I257" s="37" t="n">
        <f aca="false">IF(OR($A257="",NOT(ISNUMBER($D257)),NOT(ISNUMBER($H257))),"",IF((1-$H257-Parâmetros!$B$7-Parâmetros!$C$7-Parâmetros!$D$7)&lt;=0,"INVALIDO",($D257+IF(ISNUMBER($E257),$E257,0)+IF(ISNUMBER(Parâmetros!$E$7),Parâmetros!$E$7,0))/(1-$H257-Parâmetros!$B$7-Parâmetros!$C$7-Parâmetros!$D$7)))</f>
        <v>655.304347826087</v>
      </c>
      <c r="J257" s="38"/>
      <c r="K257" s="39" t="n">
        <f aca="false">IF(OR($A257="",NOT(ISNUMBER($D257)),NOT(ISNUMBER($H257))),"",IF(AND(ISNUMBER($J257),$J257&gt;0),$J257,IF(ISNUMBER($I257),$I257,"")))</f>
        <v>655.304347826087</v>
      </c>
      <c r="L257" s="40" t="n">
        <f aca="false">IF(ISNUMBER($K257),$K257*$H257,"")</f>
        <v>137.613913043478</v>
      </c>
      <c r="M257" s="40" t="n">
        <f aca="false">IF(ISNUMBER($K257),$K257*Parâmetros!$B$7,"")</f>
        <v>65.5304347826087</v>
      </c>
      <c r="N257" s="40" t="n">
        <f aca="false">IF(ISNUMBER($K257),$K257*Parâmetros!$C$7,"")</f>
        <v>19.6591304347826</v>
      </c>
      <c r="O257" s="40" t="n">
        <f aca="false">IF(ISNUMBER($K257),IF(ISNUMBER(Parâmetros!$E$7),Parâmetros!$E$7,0),"")</f>
        <v>0</v>
      </c>
      <c r="P257" s="41" t="n">
        <f aca="false">IF(ISNUMBER($K257),$K257-$D257-IF(ISNUMBER($E257),$E257,0)-$L257-$M257-$N257-$O257,"")</f>
        <v>131.060869565217</v>
      </c>
      <c r="Q257" s="42" t="n">
        <f aca="false">IF(AND(ISNUMBER($K257),$K257&gt;0),$P257/$K257,"")</f>
        <v>0.2</v>
      </c>
      <c r="R257" s="43"/>
      <c r="S257" s="44" t="str">
        <f aca="false">IF(OR(NOT(ISNUMBER($R257)),$R257=0,NOT(ISNUMBER($K257))),"",$K257*(1-$R257))</f>
        <v/>
      </c>
      <c r="T257" s="45" t="str">
        <f aca="false">IF(ISNUMBER($S257),$S257*$H257,"")</f>
        <v/>
      </c>
      <c r="U257" s="45" t="str">
        <f aca="false">IF(ISNUMBER($S257),$S257*Parâmetros!$B$7,"")</f>
        <v/>
      </c>
      <c r="V257" s="45" t="str">
        <f aca="false">IF(ISNUMBER($S257),$S257*Parâmetros!$C$7,"")</f>
        <v/>
      </c>
      <c r="W257" s="44" t="str">
        <f aca="false">IF(ISNUMBER($S257),$S257-$D257-IF(ISNUMBER($E257),$E257,0)-$O257-$T257-$U257-$V257,"")</f>
        <v/>
      </c>
      <c r="X257" s="46" t="str">
        <f aca="false">IF(AND(ISNUMBER($S257),$S257&gt;0),$W257/$S257,"")</f>
        <v/>
      </c>
      <c r="Y257" s="49"/>
      <c r="Z257" s="21"/>
    </row>
    <row r="258" customFormat="false" ht="15.75" hidden="false" customHeight="true" outlineLevel="0" collapsed="false">
      <c r="A258" s="32" t="str">
        <f aca="false">IF(Produtos!$A258="","",Produtos!$A258)</f>
        <v>L4060-PC</v>
      </c>
      <c r="B258" s="32" t="str">
        <f aca="false">IF(Produtos!$A258="","",Produtos!$B258)</f>
        <v>Lixeira de Parede c/Aro Colorido 40x19x60 30L</v>
      </c>
      <c r="C258" s="32" t="str">
        <f aca="false">IF(Produtos!$A258="","",Produtos!$C258)</f>
        <v>Lixeiras em inox</v>
      </c>
      <c r="D258" s="33" t="n">
        <f aca="false">IF(Produtos!$A258="","",IF(Produtos!$D258="","",Produtos!$D258))</f>
        <v>314.8</v>
      </c>
      <c r="E258" s="11" t="n">
        <v>0</v>
      </c>
      <c r="F258" s="34" t="n">
        <f aca="false">IF($A258="","",IF($C258="","⚠ categoria",IFERROR(INDEX(Parâmetros!$E$13:$E$22,MATCH($C258,Parâmetros!$A$13:$A$22,0)),"⚠ categoria")))</f>
        <v>0.21</v>
      </c>
      <c r="G258" s="35"/>
      <c r="H258" s="36" t="n">
        <f aca="false">IF($A258="","",IF(ISNUMBER($G258),$G258,IF(ISNUMBER($F258),$F258,"")))</f>
        <v>0.21</v>
      </c>
      <c r="I258" s="37" t="n">
        <f aca="false">IF(OR($A258="",NOT(ISNUMBER($D258)),NOT(ISNUMBER($H258))),"",IF((1-$H258-Parâmetros!$B$7-Parâmetros!$C$7-Parâmetros!$D$7)&lt;=0,"INVALIDO",($D258+IF(ISNUMBER($E258),$E258,0)+IF(ISNUMBER(Parâmetros!$E$7),Parâmetros!$E$7,0))/(1-$H258-Parâmetros!$B$7-Parâmetros!$C$7-Parâmetros!$D$7)))</f>
        <v>684.347826086957</v>
      </c>
      <c r="J258" s="38"/>
      <c r="K258" s="39" t="n">
        <f aca="false">IF(OR($A258="",NOT(ISNUMBER($D258)),NOT(ISNUMBER($H258))),"",IF(AND(ISNUMBER($J258),$J258&gt;0),$J258,IF(ISNUMBER($I258),$I258,"")))</f>
        <v>684.347826086957</v>
      </c>
      <c r="L258" s="40" t="n">
        <f aca="false">IF(ISNUMBER($K258),$K258*$H258,"")</f>
        <v>143.713043478261</v>
      </c>
      <c r="M258" s="40" t="n">
        <f aca="false">IF(ISNUMBER($K258),$K258*Parâmetros!$B$7,"")</f>
        <v>68.4347826086957</v>
      </c>
      <c r="N258" s="40" t="n">
        <f aca="false">IF(ISNUMBER($K258),$K258*Parâmetros!$C$7,"")</f>
        <v>20.5304347826087</v>
      </c>
      <c r="O258" s="40" t="n">
        <f aca="false">IF(ISNUMBER($K258),IF(ISNUMBER(Parâmetros!$E$7),Parâmetros!$E$7,0),"")</f>
        <v>0</v>
      </c>
      <c r="P258" s="41" t="n">
        <f aca="false">IF(ISNUMBER($K258),$K258-$D258-IF(ISNUMBER($E258),$E258,0)-$L258-$M258-$N258-$O258,"")</f>
        <v>136.869565217391</v>
      </c>
      <c r="Q258" s="42" t="n">
        <f aca="false">IF(AND(ISNUMBER($K258),$K258&gt;0),$P258/$K258,"")</f>
        <v>0.2</v>
      </c>
      <c r="R258" s="43"/>
      <c r="S258" s="44" t="str">
        <f aca="false">IF(OR(NOT(ISNUMBER($R258)),$R258=0,NOT(ISNUMBER($K258))),"",$K258*(1-$R258))</f>
        <v/>
      </c>
      <c r="T258" s="45" t="str">
        <f aca="false">IF(ISNUMBER($S258),$S258*$H258,"")</f>
        <v/>
      </c>
      <c r="U258" s="45" t="str">
        <f aca="false">IF(ISNUMBER($S258),$S258*Parâmetros!$B$7,"")</f>
        <v/>
      </c>
      <c r="V258" s="45" t="str">
        <f aca="false">IF(ISNUMBER($S258),$S258*Parâmetros!$C$7,"")</f>
        <v/>
      </c>
      <c r="W258" s="44" t="str">
        <f aca="false">IF(ISNUMBER($S258),$S258-$D258-IF(ISNUMBER($E258),$E258,0)-$O258-$T258-$U258-$V258,"")</f>
        <v/>
      </c>
      <c r="X258" s="46" t="str">
        <f aca="false">IF(AND(ISNUMBER($S258),$S258&gt;0),$W258/$S258,"")</f>
        <v/>
      </c>
      <c r="Y258" s="47"/>
      <c r="Z258" s="19"/>
    </row>
    <row r="259" customFormat="false" ht="15.75" hidden="false" customHeight="true" outlineLevel="0" collapsed="false">
      <c r="A259" s="48" t="str">
        <f aca="false">IF(Produtos!$A259="","",Produtos!$A259)</f>
        <v>L4065-PC</v>
      </c>
      <c r="B259" s="48" t="str">
        <f aca="false">IF(Produtos!$A259="","",Produtos!$B259)</f>
        <v>Lixeira de Parede c/Aro Colorido 40x19x65 35L</v>
      </c>
      <c r="C259" s="48" t="str">
        <f aca="false">IF(Produtos!$A259="","",Produtos!$C259)</f>
        <v>Lixeiras em inox</v>
      </c>
      <c r="D259" s="33" t="n">
        <f aca="false">IF(Produtos!$A259="","",IF(Produtos!$D259="","",Produtos!$D259))</f>
        <v>405.46</v>
      </c>
      <c r="E259" s="11" t="n">
        <v>0</v>
      </c>
      <c r="F259" s="34" t="n">
        <f aca="false">IF($A259="","",IF($C259="","⚠ categoria",IFERROR(INDEX(Parâmetros!$E$13:$E$22,MATCH($C259,Parâmetros!$A$13:$A$22,0)),"⚠ categoria")))</f>
        <v>0.21</v>
      </c>
      <c r="G259" s="35"/>
      <c r="H259" s="36" t="n">
        <f aca="false">IF($A259="","",IF(ISNUMBER($G259),$G259,IF(ISNUMBER($F259),$F259,"")))</f>
        <v>0.21</v>
      </c>
      <c r="I259" s="37" t="n">
        <f aca="false">IF(OR($A259="",NOT(ISNUMBER($D259)),NOT(ISNUMBER($H259))),"",IF((1-$H259-Parâmetros!$B$7-Parâmetros!$C$7-Parâmetros!$D$7)&lt;=0,"INVALIDO",($D259+IF(ISNUMBER($E259),$E259,0)+IF(ISNUMBER(Parâmetros!$E$7),Parâmetros!$E$7,0))/(1-$H259-Parâmetros!$B$7-Parâmetros!$C$7-Parâmetros!$D$7)))</f>
        <v>881.434782608696</v>
      </c>
      <c r="J259" s="38"/>
      <c r="K259" s="39" t="n">
        <f aca="false">IF(OR($A259="",NOT(ISNUMBER($D259)),NOT(ISNUMBER($H259))),"",IF(AND(ISNUMBER($J259),$J259&gt;0),$J259,IF(ISNUMBER($I259),$I259,"")))</f>
        <v>881.434782608696</v>
      </c>
      <c r="L259" s="40" t="n">
        <f aca="false">IF(ISNUMBER($K259),$K259*$H259,"")</f>
        <v>185.101304347826</v>
      </c>
      <c r="M259" s="40" t="n">
        <f aca="false">IF(ISNUMBER($K259),$K259*Parâmetros!$B$7,"")</f>
        <v>88.1434782608696</v>
      </c>
      <c r="N259" s="40" t="n">
        <f aca="false">IF(ISNUMBER($K259),$K259*Parâmetros!$C$7,"")</f>
        <v>26.4430434782609</v>
      </c>
      <c r="O259" s="40" t="n">
        <f aca="false">IF(ISNUMBER($K259),IF(ISNUMBER(Parâmetros!$E$7),Parâmetros!$E$7,0),"")</f>
        <v>0</v>
      </c>
      <c r="P259" s="41" t="n">
        <f aca="false">IF(ISNUMBER($K259),$K259-$D259-IF(ISNUMBER($E259),$E259,0)-$L259-$M259-$N259-$O259,"")</f>
        <v>176.286956521739</v>
      </c>
      <c r="Q259" s="42" t="n">
        <f aca="false">IF(AND(ISNUMBER($K259),$K259&gt;0),$P259/$K259,"")</f>
        <v>0.2</v>
      </c>
      <c r="R259" s="43"/>
      <c r="S259" s="44" t="str">
        <f aca="false">IF(OR(NOT(ISNUMBER($R259)),$R259=0,NOT(ISNUMBER($K259))),"",$K259*(1-$R259))</f>
        <v/>
      </c>
      <c r="T259" s="45" t="str">
        <f aca="false">IF(ISNUMBER($S259),$S259*$H259,"")</f>
        <v/>
      </c>
      <c r="U259" s="45" t="str">
        <f aca="false">IF(ISNUMBER($S259),$S259*Parâmetros!$B$7,"")</f>
        <v/>
      </c>
      <c r="V259" s="45" t="str">
        <f aca="false">IF(ISNUMBER($S259),$S259*Parâmetros!$C$7,"")</f>
        <v/>
      </c>
      <c r="W259" s="44" t="str">
        <f aca="false">IF(ISNUMBER($S259),$S259-$D259-IF(ISNUMBER($E259),$E259,0)-$O259-$T259-$U259-$V259,"")</f>
        <v/>
      </c>
      <c r="X259" s="46" t="str">
        <f aca="false">IF(AND(ISNUMBER($S259),$S259&gt;0),$W259/$S259,"")</f>
        <v/>
      </c>
      <c r="Y259" s="49"/>
      <c r="Z259" s="21"/>
    </row>
    <row r="260" customFormat="false" ht="15.75" hidden="false" customHeight="true" outlineLevel="0" collapsed="false">
      <c r="A260" s="32" t="str">
        <f aca="false">IF(Produtos!$A260="","",Produtos!$A260)</f>
        <v>L4070-PC</v>
      </c>
      <c r="B260" s="32" t="str">
        <f aca="false">IF(Produtos!$A260="","",Produtos!$B260)</f>
        <v>Lixeira de Parede c/Aro Colorido 40x19x70 40L</v>
      </c>
      <c r="C260" s="32" t="str">
        <f aca="false">IF(Produtos!$A260="","",Produtos!$C260)</f>
        <v>Lixeiras em inox</v>
      </c>
      <c r="D260" s="33" t="n">
        <f aca="false">IF(Produtos!$A260="","",IF(Produtos!$D260="","",Produtos!$D260))</f>
        <v>428.69</v>
      </c>
      <c r="E260" s="11" t="n">
        <v>0</v>
      </c>
      <c r="F260" s="34" t="n">
        <f aca="false">IF($A260="","",IF($C260="","⚠ categoria",IFERROR(INDEX(Parâmetros!$E$13:$E$22,MATCH($C260,Parâmetros!$A$13:$A$22,0)),"⚠ categoria")))</f>
        <v>0.21</v>
      </c>
      <c r="G260" s="35"/>
      <c r="H260" s="36" t="n">
        <f aca="false">IF($A260="","",IF(ISNUMBER($G260),$G260,IF(ISNUMBER($F260),$F260,"")))</f>
        <v>0.21</v>
      </c>
      <c r="I260" s="37" t="n">
        <f aca="false">IF(OR($A260="",NOT(ISNUMBER($D260)),NOT(ISNUMBER($H260))),"",IF((1-$H260-Parâmetros!$B$7-Parâmetros!$C$7-Parâmetros!$D$7)&lt;=0,"INVALIDO",($D260+IF(ISNUMBER($E260),$E260,0)+IF(ISNUMBER(Parâmetros!$E$7),Parâmetros!$E$7,0))/(1-$H260-Parâmetros!$B$7-Parâmetros!$C$7-Parâmetros!$D$7)))</f>
        <v>931.934782608696</v>
      </c>
      <c r="J260" s="38"/>
      <c r="K260" s="39" t="n">
        <f aca="false">IF(OR($A260="",NOT(ISNUMBER($D260)),NOT(ISNUMBER($H260))),"",IF(AND(ISNUMBER($J260),$J260&gt;0),$J260,IF(ISNUMBER($I260),$I260,"")))</f>
        <v>931.934782608696</v>
      </c>
      <c r="L260" s="40" t="n">
        <f aca="false">IF(ISNUMBER($K260),$K260*$H260,"")</f>
        <v>195.706304347826</v>
      </c>
      <c r="M260" s="40" t="n">
        <f aca="false">IF(ISNUMBER($K260),$K260*Parâmetros!$B$7,"")</f>
        <v>93.1934782608696</v>
      </c>
      <c r="N260" s="40" t="n">
        <f aca="false">IF(ISNUMBER($K260),$K260*Parâmetros!$C$7,"")</f>
        <v>27.9580434782609</v>
      </c>
      <c r="O260" s="40" t="n">
        <f aca="false">IF(ISNUMBER($K260),IF(ISNUMBER(Parâmetros!$E$7),Parâmetros!$E$7,0),"")</f>
        <v>0</v>
      </c>
      <c r="P260" s="41" t="n">
        <f aca="false">IF(ISNUMBER($K260),$K260-$D260-IF(ISNUMBER($E260),$E260,0)-$L260-$M260-$N260-$O260,"")</f>
        <v>186.386956521739</v>
      </c>
      <c r="Q260" s="42" t="n">
        <f aca="false">IF(AND(ISNUMBER($K260),$K260&gt;0),$P260/$K260,"")</f>
        <v>0.2</v>
      </c>
      <c r="R260" s="43"/>
      <c r="S260" s="44" t="str">
        <f aca="false">IF(OR(NOT(ISNUMBER($R260)),$R260=0,NOT(ISNUMBER($K260))),"",$K260*(1-$R260))</f>
        <v/>
      </c>
      <c r="T260" s="45" t="str">
        <f aca="false">IF(ISNUMBER($S260),$S260*$H260,"")</f>
        <v/>
      </c>
      <c r="U260" s="45" t="str">
        <f aca="false">IF(ISNUMBER($S260),$S260*Parâmetros!$B$7,"")</f>
        <v/>
      </c>
      <c r="V260" s="45" t="str">
        <f aca="false">IF(ISNUMBER($S260),$S260*Parâmetros!$C$7,"")</f>
        <v/>
      </c>
      <c r="W260" s="44" t="str">
        <f aca="false">IF(ISNUMBER($S260),$S260-$D260-IF(ISNUMBER($E260),$E260,0)-$O260-$T260-$U260-$V260,"")</f>
        <v/>
      </c>
      <c r="X260" s="46" t="str">
        <f aca="false">IF(AND(ISNUMBER($S260),$S260&gt;0),$W260/$S260,"")</f>
        <v/>
      </c>
      <c r="Y260" s="47"/>
      <c r="Z260" s="19"/>
    </row>
    <row r="261" customFormat="false" ht="15.75" hidden="false" customHeight="true" outlineLevel="0" collapsed="false">
      <c r="A261" s="48" t="str">
        <f aca="false">IF(Produtos!$A261="","",Produtos!$A261)</f>
        <v>L4080-PC</v>
      </c>
      <c r="B261" s="48" t="str">
        <f aca="false">IF(Produtos!$A261="","",Produtos!$B261)</f>
        <v>Lixeira de Parede c/Aro Colorido 40x19x80 50L</v>
      </c>
      <c r="C261" s="48" t="str">
        <f aca="false">IF(Produtos!$A261="","",Produtos!$C261)</f>
        <v>Lixeiras em inox</v>
      </c>
      <c r="D261" s="33" t="n">
        <f aca="false">IF(Produtos!$A261="","",IF(Produtos!$D261="","",Produtos!$D261))</f>
        <v>418.39</v>
      </c>
      <c r="E261" s="11" t="n">
        <v>0</v>
      </c>
      <c r="F261" s="34" t="n">
        <f aca="false">IF($A261="","",IF($C261="","⚠ categoria",IFERROR(INDEX(Parâmetros!$E$13:$E$22,MATCH($C261,Parâmetros!$A$13:$A$22,0)),"⚠ categoria")))</f>
        <v>0.21</v>
      </c>
      <c r="G261" s="35"/>
      <c r="H261" s="36" t="n">
        <f aca="false">IF($A261="","",IF(ISNUMBER($G261),$G261,IF(ISNUMBER($F261),$F261,"")))</f>
        <v>0.21</v>
      </c>
      <c r="I261" s="37" t="n">
        <f aca="false">IF(OR($A261="",NOT(ISNUMBER($D261)),NOT(ISNUMBER($H261))),"",IF((1-$H261-Parâmetros!$B$7-Parâmetros!$C$7-Parâmetros!$D$7)&lt;=0,"INVALIDO",($D261+IF(ISNUMBER($E261),$E261,0)+IF(ISNUMBER(Parâmetros!$E$7),Parâmetros!$E$7,0))/(1-$H261-Parâmetros!$B$7-Parâmetros!$C$7-Parâmetros!$D$7)))</f>
        <v>909.54347826087</v>
      </c>
      <c r="J261" s="38"/>
      <c r="K261" s="39" t="n">
        <f aca="false">IF(OR($A261="",NOT(ISNUMBER($D261)),NOT(ISNUMBER($H261))),"",IF(AND(ISNUMBER($J261),$J261&gt;0),$J261,IF(ISNUMBER($I261),$I261,"")))</f>
        <v>909.54347826087</v>
      </c>
      <c r="L261" s="40" t="n">
        <f aca="false">IF(ISNUMBER($K261),$K261*$H261,"")</f>
        <v>191.004130434783</v>
      </c>
      <c r="M261" s="40" t="n">
        <f aca="false">IF(ISNUMBER($K261),$K261*Parâmetros!$B$7,"")</f>
        <v>90.954347826087</v>
      </c>
      <c r="N261" s="40" t="n">
        <f aca="false">IF(ISNUMBER($K261),$K261*Parâmetros!$C$7,"")</f>
        <v>27.2863043478261</v>
      </c>
      <c r="O261" s="40" t="n">
        <f aca="false">IF(ISNUMBER($K261),IF(ISNUMBER(Parâmetros!$E$7),Parâmetros!$E$7,0),"")</f>
        <v>0</v>
      </c>
      <c r="P261" s="41" t="n">
        <f aca="false">IF(ISNUMBER($K261),$K261-$D261-IF(ISNUMBER($E261),$E261,0)-$L261-$M261-$N261-$O261,"")</f>
        <v>181.908695652174</v>
      </c>
      <c r="Q261" s="42" t="n">
        <f aca="false">IF(AND(ISNUMBER($K261),$K261&gt;0),$P261/$K261,"")</f>
        <v>0.2</v>
      </c>
      <c r="R261" s="43"/>
      <c r="S261" s="44" t="str">
        <f aca="false">IF(OR(NOT(ISNUMBER($R261)),$R261=0,NOT(ISNUMBER($K261))),"",$K261*(1-$R261))</f>
        <v/>
      </c>
      <c r="T261" s="45" t="str">
        <f aca="false">IF(ISNUMBER($S261),$S261*$H261,"")</f>
        <v/>
      </c>
      <c r="U261" s="45" t="str">
        <f aca="false">IF(ISNUMBER($S261),$S261*Parâmetros!$B$7,"")</f>
        <v/>
      </c>
      <c r="V261" s="45" t="str">
        <f aca="false">IF(ISNUMBER($S261),$S261*Parâmetros!$C$7,"")</f>
        <v/>
      </c>
      <c r="W261" s="44" t="str">
        <f aca="false">IF(ISNUMBER($S261),$S261-$D261-IF(ISNUMBER($E261),$E261,0)-$O261-$T261-$U261-$V261,"")</f>
        <v/>
      </c>
      <c r="X261" s="46" t="str">
        <f aca="false">IF(AND(ISNUMBER($S261),$S261&gt;0),$W261/$S261,"")</f>
        <v/>
      </c>
      <c r="Y261" s="49"/>
      <c r="Z261" s="21"/>
    </row>
    <row r="262" customFormat="false" ht="15.75" hidden="false" customHeight="true" outlineLevel="0" collapsed="false">
      <c r="A262" s="32" t="str">
        <f aca="false">IF(Produtos!$A262="","",Produtos!$A262)</f>
        <v>LM3040-2D</v>
      </c>
      <c r="B262" s="32" t="str">
        <f aca="false">IF(Produtos!$A262="","",Produtos!$B262)</f>
        <v>Lixeira Aço Inox 30x40 c/02 Divisões 30L</v>
      </c>
      <c r="C262" s="32" t="str">
        <f aca="false">IF(Produtos!$A262="","",Produtos!$C262)</f>
        <v>Lixeiras de coleta seletiva</v>
      </c>
      <c r="D262" s="33" t="n">
        <f aca="false">IF(Produtos!$A262="","",IF(Produtos!$D262="","",Produtos!$D262))</f>
        <v>318.15</v>
      </c>
      <c r="E262" s="11" t="n">
        <v>0</v>
      </c>
      <c r="F262" s="34" t="n">
        <f aca="false">IF($A262="","",IF($C262="","⚠ categoria",IFERROR(INDEX(Parâmetros!$E$13:$E$22,MATCH($C262,Parâmetros!$A$13:$A$22,0)),"⚠ categoria")))</f>
        <v>0.21</v>
      </c>
      <c r="G262" s="35"/>
      <c r="H262" s="36" t="n">
        <f aca="false">IF($A262="","",IF(ISNUMBER($G262),$G262,IF(ISNUMBER($F262),$F262,"")))</f>
        <v>0.21</v>
      </c>
      <c r="I262" s="37" t="n">
        <f aca="false">IF(OR($A262="",NOT(ISNUMBER($D262)),NOT(ISNUMBER($H262))),"",IF((1-$H262-Parâmetros!$B$7-Parâmetros!$C$7-Parâmetros!$D$7)&lt;=0,"INVALIDO",($D262+IF(ISNUMBER($E262),$E262,0)+IF(ISNUMBER(Parâmetros!$E$7),Parâmetros!$E$7,0))/(1-$H262-Parâmetros!$B$7-Parâmetros!$C$7-Parâmetros!$D$7)))</f>
        <v>691.630434782609</v>
      </c>
      <c r="J262" s="38"/>
      <c r="K262" s="39" t="n">
        <f aca="false">IF(OR($A262="",NOT(ISNUMBER($D262)),NOT(ISNUMBER($H262))),"",IF(AND(ISNUMBER($J262),$J262&gt;0),$J262,IF(ISNUMBER($I262),$I262,"")))</f>
        <v>691.630434782609</v>
      </c>
      <c r="L262" s="40" t="n">
        <f aca="false">IF(ISNUMBER($K262),$K262*$H262,"")</f>
        <v>145.242391304348</v>
      </c>
      <c r="M262" s="40" t="n">
        <f aca="false">IF(ISNUMBER($K262),$K262*Parâmetros!$B$7,"")</f>
        <v>69.1630434782609</v>
      </c>
      <c r="N262" s="40" t="n">
        <f aca="false">IF(ISNUMBER($K262),$K262*Parâmetros!$C$7,"")</f>
        <v>20.7489130434783</v>
      </c>
      <c r="O262" s="40" t="n">
        <f aca="false">IF(ISNUMBER($K262),IF(ISNUMBER(Parâmetros!$E$7),Parâmetros!$E$7,0),"")</f>
        <v>0</v>
      </c>
      <c r="P262" s="41" t="n">
        <f aca="false">IF(ISNUMBER($K262),$K262-$D262-IF(ISNUMBER($E262),$E262,0)-$L262-$M262-$N262-$O262,"")</f>
        <v>138.326086956522</v>
      </c>
      <c r="Q262" s="42" t="n">
        <f aca="false">IF(AND(ISNUMBER($K262),$K262&gt;0),$P262/$K262,"")</f>
        <v>0.2</v>
      </c>
      <c r="R262" s="43"/>
      <c r="S262" s="44" t="str">
        <f aca="false">IF(OR(NOT(ISNUMBER($R262)),$R262=0,NOT(ISNUMBER($K262))),"",$K262*(1-$R262))</f>
        <v/>
      </c>
      <c r="T262" s="45" t="str">
        <f aca="false">IF(ISNUMBER($S262),$S262*$H262,"")</f>
        <v/>
      </c>
      <c r="U262" s="45" t="str">
        <f aca="false">IF(ISNUMBER($S262),$S262*Parâmetros!$B$7,"")</f>
        <v/>
      </c>
      <c r="V262" s="45" t="str">
        <f aca="false">IF(ISNUMBER($S262),$S262*Parâmetros!$C$7,"")</f>
        <v/>
      </c>
      <c r="W262" s="44" t="str">
        <f aca="false">IF(ISNUMBER($S262),$S262-$D262-IF(ISNUMBER($E262),$E262,0)-$O262-$T262-$U262-$V262,"")</f>
        <v/>
      </c>
      <c r="X262" s="46" t="str">
        <f aca="false">IF(AND(ISNUMBER($S262),$S262&gt;0),$W262/$S262,"")</f>
        <v/>
      </c>
      <c r="Y262" s="47"/>
      <c r="Z262" s="19"/>
    </row>
    <row r="263" customFormat="false" ht="15.75" hidden="false" customHeight="true" outlineLevel="0" collapsed="false">
      <c r="A263" s="48" t="str">
        <f aca="false">IF(Produtos!$A263="","",Produtos!$A263)</f>
        <v>LM3040-3D</v>
      </c>
      <c r="B263" s="48" t="str">
        <f aca="false">IF(Produtos!$A263="","",Produtos!$B263)</f>
        <v>Lixeira Aço Inox 30x40 c/03 Divisões 30L</v>
      </c>
      <c r="C263" s="48" t="str">
        <f aca="false">IF(Produtos!$A263="","",Produtos!$C263)</f>
        <v>Lixeiras de coleta seletiva</v>
      </c>
      <c r="D263" s="33" t="n">
        <f aca="false">IF(Produtos!$A263="","",IF(Produtos!$D263="","",Produtos!$D263))</f>
        <v>324.51</v>
      </c>
      <c r="E263" s="11" t="n">
        <v>0</v>
      </c>
      <c r="F263" s="34" t="n">
        <f aca="false">IF($A263="","",IF($C263="","⚠ categoria",IFERROR(INDEX(Parâmetros!$E$13:$E$22,MATCH($C263,Parâmetros!$A$13:$A$22,0)),"⚠ categoria")))</f>
        <v>0.21</v>
      </c>
      <c r="G263" s="35"/>
      <c r="H263" s="36" t="n">
        <f aca="false">IF($A263="","",IF(ISNUMBER($G263),$G263,IF(ISNUMBER($F263),$F263,"")))</f>
        <v>0.21</v>
      </c>
      <c r="I263" s="37" t="n">
        <f aca="false">IF(OR($A263="",NOT(ISNUMBER($D263)),NOT(ISNUMBER($H263))),"",IF((1-$H263-Parâmetros!$B$7-Parâmetros!$C$7-Parâmetros!$D$7)&lt;=0,"INVALIDO",($D263+IF(ISNUMBER($E263),$E263,0)+IF(ISNUMBER(Parâmetros!$E$7),Parâmetros!$E$7,0))/(1-$H263-Parâmetros!$B$7-Parâmetros!$C$7-Parâmetros!$D$7)))</f>
        <v>705.45652173913</v>
      </c>
      <c r="J263" s="38"/>
      <c r="K263" s="39" t="n">
        <f aca="false">IF(OR($A263="",NOT(ISNUMBER($D263)),NOT(ISNUMBER($H263))),"",IF(AND(ISNUMBER($J263),$J263&gt;0),$J263,IF(ISNUMBER($I263),$I263,"")))</f>
        <v>705.45652173913</v>
      </c>
      <c r="L263" s="40" t="n">
        <f aca="false">IF(ISNUMBER($K263),$K263*$H263,"")</f>
        <v>148.145869565217</v>
      </c>
      <c r="M263" s="40" t="n">
        <f aca="false">IF(ISNUMBER($K263),$K263*Parâmetros!$B$7,"")</f>
        <v>70.545652173913</v>
      </c>
      <c r="N263" s="40" t="n">
        <f aca="false">IF(ISNUMBER($K263),$K263*Parâmetros!$C$7,"")</f>
        <v>21.1636956521739</v>
      </c>
      <c r="O263" s="40" t="n">
        <f aca="false">IF(ISNUMBER($K263),IF(ISNUMBER(Parâmetros!$E$7),Parâmetros!$E$7,0),"")</f>
        <v>0</v>
      </c>
      <c r="P263" s="41" t="n">
        <f aca="false">IF(ISNUMBER($K263),$K263-$D263-IF(ISNUMBER($E263),$E263,0)-$L263-$M263-$N263-$O263,"")</f>
        <v>141.091304347826</v>
      </c>
      <c r="Q263" s="42" t="n">
        <f aca="false">IF(AND(ISNUMBER($K263),$K263&gt;0),$P263/$K263,"")</f>
        <v>0.2</v>
      </c>
      <c r="R263" s="43"/>
      <c r="S263" s="44" t="str">
        <f aca="false">IF(OR(NOT(ISNUMBER($R263)),$R263=0,NOT(ISNUMBER($K263))),"",$K263*(1-$R263))</f>
        <v/>
      </c>
      <c r="T263" s="45" t="str">
        <f aca="false">IF(ISNUMBER($S263),$S263*$H263,"")</f>
        <v/>
      </c>
      <c r="U263" s="45" t="str">
        <f aca="false">IF(ISNUMBER($S263),$S263*Parâmetros!$B$7,"")</f>
        <v/>
      </c>
      <c r="V263" s="45" t="str">
        <f aca="false">IF(ISNUMBER($S263),$S263*Parâmetros!$C$7,"")</f>
        <v/>
      </c>
      <c r="W263" s="44" t="str">
        <f aca="false">IF(ISNUMBER($S263),$S263-$D263-IF(ISNUMBER($E263),$E263,0)-$O263-$T263-$U263-$V263,"")</f>
        <v/>
      </c>
      <c r="X263" s="46" t="str">
        <f aca="false">IF(AND(ISNUMBER($S263),$S263&gt;0),$W263/$S263,"")</f>
        <v/>
      </c>
      <c r="Y263" s="49"/>
      <c r="Z263" s="21"/>
    </row>
    <row r="264" customFormat="false" ht="15.75" hidden="false" customHeight="true" outlineLevel="0" collapsed="false">
      <c r="A264" s="32" t="str">
        <f aca="false">IF(Produtos!$A264="","",Produtos!$A264)</f>
        <v>LM4050-4D</v>
      </c>
      <c r="B264" s="32" t="str">
        <f aca="false">IF(Produtos!$A264="","",Produtos!$B264)</f>
        <v>Lixeira Aço Inox 40x50 c/04 Divisões 50L</v>
      </c>
      <c r="C264" s="32" t="str">
        <f aca="false">IF(Produtos!$A264="","",Produtos!$C264)</f>
        <v>Lixeiras de coleta seletiva</v>
      </c>
      <c r="D264" s="33" t="n">
        <f aca="false">IF(Produtos!$A264="","",IF(Produtos!$D264="","",Produtos!$D264))</f>
        <v>574.44</v>
      </c>
      <c r="E264" s="11" t="n">
        <v>0</v>
      </c>
      <c r="F264" s="34" t="n">
        <f aca="false">IF($A264="","",IF($C264="","⚠ categoria",IFERROR(INDEX(Parâmetros!$E$13:$E$22,MATCH($C264,Parâmetros!$A$13:$A$22,0)),"⚠ categoria")))</f>
        <v>0.21</v>
      </c>
      <c r="G264" s="35"/>
      <c r="H264" s="36" t="n">
        <f aca="false">IF($A264="","",IF(ISNUMBER($G264),$G264,IF(ISNUMBER($F264),$F264,"")))</f>
        <v>0.21</v>
      </c>
      <c r="I264" s="37" t="n">
        <f aca="false">IF(OR($A264="",NOT(ISNUMBER($D264)),NOT(ISNUMBER($H264))),"",IF((1-$H264-Parâmetros!$B$7-Parâmetros!$C$7-Parâmetros!$D$7)&lt;=0,"INVALIDO",($D264+IF(ISNUMBER($E264),$E264,0)+IF(ISNUMBER(Parâmetros!$E$7),Parâmetros!$E$7,0))/(1-$H264-Parâmetros!$B$7-Parâmetros!$C$7-Parâmetros!$D$7)))</f>
        <v>1248.78260869565</v>
      </c>
      <c r="J264" s="38"/>
      <c r="K264" s="39" t="n">
        <f aca="false">IF(OR($A264="",NOT(ISNUMBER($D264)),NOT(ISNUMBER($H264))),"",IF(AND(ISNUMBER($J264),$J264&gt;0),$J264,IF(ISNUMBER($I264),$I264,"")))</f>
        <v>1248.78260869565</v>
      </c>
      <c r="L264" s="40" t="n">
        <f aca="false">IF(ISNUMBER($K264),$K264*$H264,"")</f>
        <v>262.244347826087</v>
      </c>
      <c r="M264" s="40" t="n">
        <f aca="false">IF(ISNUMBER($K264),$K264*Parâmetros!$B$7,"")</f>
        <v>124.878260869565</v>
      </c>
      <c r="N264" s="40" t="n">
        <f aca="false">IF(ISNUMBER($K264),$K264*Parâmetros!$C$7,"")</f>
        <v>37.4634782608696</v>
      </c>
      <c r="O264" s="40" t="n">
        <f aca="false">IF(ISNUMBER($K264),IF(ISNUMBER(Parâmetros!$E$7),Parâmetros!$E$7,0),"")</f>
        <v>0</v>
      </c>
      <c r="P264" s="41" t="n">
        <f aca="false">IF(ISNUMBER($K264),$K264-$D264-IF(ISNUMBER($E264),$E264,0)-$L264-$M264-$N264-$O264,"")</f>
        <v>249.75652173913</v>
      </c>
      <c r="Q264" s="42" t="n">
        <f aca="false">IF(AND(ISNUMBER($K264),$K264&gt;0),$P264/$K264,"")</f>
        <v>0.2</v>
      </c>
      <c r="R264" s="43"/>
      <c r="S264" s="44" t="str">
        <f aca="false">IF(OR(NOT(ISNUMBER($R264)),$R264=0,NOT(ISNUMBER($K264))),"",$K264*(1-$R264))</f>
        <v/>
      </c>
      <c r="T264" s="45" t="str">
        <f aca="false">IF(ISNUMBER($S264),$S264*$H264,"")</f>
        <v/>
      </c>
      <c r="U264" s="45" t="str">
        <f aca="false">IF(ISNUMBER($S264),$S264*Parâmetros!$B$7,"")</f>
        <v/>
      </c>
      <c r="V264" s="45" t="str">
        <f aca="false">IF(ISNUMBER($S264),$S264*Parâmetros!$C$7,"")</f>
        <v/>
      </c>
      <c r="W264" s="44" t="str">
        <f aca="false">IF(ISNUMBER($S264),$S264-$D264-IF(ISNUMBER($E264),$E264,0)-$O264-$T264-$U264-$V264,"")</f>
        <v/>
      </c>
      <c r="X264" s="46" t="str">
        <f aca="false">IF(AND(ISNUMBER($S264),$S264&gt;0),$W264/$S264,"")</f>
        <v/>
      </c>
      <c r="Y264" s="47"/>
      <c r="Z264" s="19"/>
    </row>
    <row r="265" customFormat="false" ht="15.75" hidden="false" customHeight="true" outlineLevel="0" collapsed="false">
      <c r="A265" s="48" t="str">
        <f aca="false">IF(Produtos!$A265="","",Produtos!$A265)</f>
        <v>P3050RA</v>
      </c>
      <c r="B265" s="48" t="str">
        <f aca="false">IF(Produtos!$A265="","",Produtos!$B265)</f>
        <v>Lixeira c/Tampa Pedal 30x50 40L c/Rodízios e Alças</v>
      </c>
      <c r="C265" s="48" t="str">
        <f aca="false">IF(Produtos!$A265="","",Produtos!$C265)</f>
        <v>Lixeiras com pedal</v>
      </c>
      <c r="D265" s="33" t="n">
        <f aca="false">IF(Produtos!$A265="","",IF(Produtos!$D265="","",Produtos!$D265))</f>
        <v>451.04</v>
      </c>
      <c r="E265" s="11" t="n">
        <v>0</v>
      </c>
      <c r="F265" s="34" t="n">
        <f aca="false">IF($A265="","",IF($C265="","⚠ categoria",IFERROR(INDEX(Parâmetros!$E$13:$E$22,MATCH($C265,Parâmetros!$A$13:$A$22,0)),"⚠ categoria")))</f>
        <v>0.21</v>
      </c>
      <c r="G265" s="35"/>
      <c r="H265" s="36" t="n">
        <f aca="false">IF($A265="","",IF(ISNUMBER($G265),$G265,IF(ISNUMBER($F265),$F265,"")))</f>
        <v>0.21</v>
      </c>
      <c r="I265" s="37" t="n">
        <f aca="false">IF(OR($A265="",NOT(ISNUMBER($D265)),NOT(ISNUMBER($H265))),"",IF((1-$H265-Parâmetros!$B$7-Parâmetros!$C$7-Parâmetros!$D$7)&lt;=0,"INVALIDO",($D265+IF(ISNUMBER($E265),$E265,0)+IF(ISNUMBER(Parâmetros!$E$7),Parâmetros!$E$7,0))/(1-$H265-Parâmetros!$B$7-Parâmetros!$C$7-Parâmetros!$D$7)))</f>
        <v>980.521739130435</v>
      </c>
      <c r="J265" s="38"/>
      <c r="K265" s="39" t="n">
        <f aca="false">IF(OR($A265="",NOT(ISNUMBER($D265)),NOT(ISNUMBER($H265))),"",IF(AND(ISNUMBER($J265),$J265&gt;0),$J265,IF(ISNUMBER($I265),$I265,"")))</f>
        <v>980.521739130435</v>
      </c>
      <c r="L265" s="40" t="n">
        <f aca="false">IF(ISNUMBER($K265),$K265*$H265,"")</f>
        <v>205.909565217391</v>
      </c>
      <c r="M265" s="40" t="n">
        <f aca="false">IF(ISNUMBER($K265),$K265*Parâmetros!$B$7,"")</f>
        <v>98.0521739130435</v>
      </c>
      <c r="N265" s="40" t="n">
        <f aca="false">IF(ISNUMBER($K265),$K265*Parâmetros!$C$7,"")</f>
        <v>29.415652173913</v>
      </c>
      <c r="O265" s="40" t="n">
        <f aca="false">IF(ISNUMBER($K265),IF(ISNUMBER(Parâmetros!$E$7),Parâmetros!$E$7,0),"")</f>
        <v>0</v>
      </c>
      <c r="P265" s="41" t="n">
        <f aca="false">IF(ISNUMBER($K265),$K265-$D265-IF(ISNUMBER($E265),$E265,0)-$L265-$M265-$N265-$O265,"")</f>
        <v>196.104347826087</v>
      </c>
      <c r="Q265" s="42" t="n">
        <f aca="false">IF(AND(ISNUMBER($K265),$K265&gt;0),$P265/$K265,"")</f>
        <v>0.2</v>
      </c>
      <c r="R265" s="43"/>
      <c r="S265" s="44" t="str">
        <f aca="false">IF(OR(NOT(ISNUMBER($R265)),$R265=0,NOT(ISNUMBER($K265))),"",$K265*(1-$R265))</f>
        <v/>
      </c>
      <c r="T265" s="45" t="str">
        <f aca="false">IF(ISNUMBER($S265),$S265*$H265,"")</f>
        <v/>
      </c>
      <c r="U265" s="45" t="str">
        <f aca="false">IF(ISNUMBER($S265),$S265*Parâmetros!$B$7,"")</f>
        <v/>
      </c>
      <c r="V265" s="45" t="str">
        <f aca="false">IF(ISNUMBER($S265),$S265*Parâmetros!$C$7,"")</f>
        <v/>
      </c>
      <c r="W265" s="44" t="str">
        <f aca="false">IF(ISNUMBER($S265),$S265-$D265-IF(ISNUMBER($E265),$E265,0)-$O265-$T265-$U265-$V265,"")</f>
        <v/>
      </c>
      <c r="X265" s="46" t="str">
        <f aca="false">IF(AND(ISNUMBER($S265),$S265&gt;0),$W265/$S265,"")</f>
        <v/>
      </c>
      <c r="Y265" s="49"/>
      <c r="Z265" s="21"/>
    </row>
    <row r="266" customFormat="false" ht="15.75" hidden="false" customHeight="true" outlineLevel="0" collapsed="false">
      <c r="A266" s="32" t="str">
        <f aca="false">IF(Produtos!$A266="","",Produtos!$A266)</f>
        <v>P3060RA</v>
      </c>
      <c r="B266" s="32" t="str">
        <f aca="false">IF(Produtos!$A266="","",Produtos!$B266)</f>
        <v>Lixeira c/Tampa Pedal 30x60 50L c/Rodízios e Alças</v>
      </c>
      <c r="C266" s="32" t="str">
        <f aca="false">IF(Produtos!$A266="","",Produtos!$C266)</f>
        <v>Lixeiras com pedal</v>
      </c>
      <c r="D266" s="33" t="n">
        <f aca="false">IF(Produtos!$A266="","",IF(Produtos!$D266="","",Produtos!$D266))</f>
        <v>461.27</v>
      </c>
      <c r="E266" s="11" t="n">
        <v>0</v>
      </c>
      <c r="F266" s="34" t="n">
        <f aca="false">IF($A266="","",IF($C266="","⚠ categoria",IFERROR(INDEX(Parâmetros!$E$13:$E$22,MATCH($C266,Parâmetros!$A$13:$A$22,0)),"⚠ categoria")))</f>
        <v>0.21</v>
      </c>
      <c r="G266" s="35"/>
      <c r="H266" s="36" t="n">
        <f aca="false">IF($A266="","",IF(ISNUMBER($G266),$G266,IF(ISNUMBER($F266),$F266,"")))</f>
        <v>0.21</v>
      </c>
      <c r="I266" s="37" t="n">
        <f aca="false">IF(OR($A266="",NOT(ISNUMBER($D266)),NOT(ISNUMBER($H266))),"",IF((1-$H266-Parâmetros!$B$7-Parâmetros!$C$7-Parâmetros!$D$7)&lt;=0,"INVALIDO",($D266+IF(ISNUMBER($E266),$E266,0)+IF(ISNUMBER(Parâmetros!$E$7),Parâmetros!$E$7,0))/(1-$H266-Parâmetros!$B$7-Parâmetros!$C$7-Parâmetros!$D$7)))</f>
        <v>1002.76086956522</v>
      </c>
      <c r="J266" s="38"/>
      <c r="K266" s="39" t="n">
        <f aca="false">IF(OR($A266="",NOT(ISNUMBER($D266)),NOT(ISNUMBER($H266))),"",IF(AND(ISNUMBER($J266),$J266&gt;0),$J266,IF(ISNUMBER($I266),$I266,"")))</f>
        <v>1002.76086956522</v>
      </c>
      <c r="L266" s="40" t="n">
        <f aca="false">IF(ISNUMBER($K266),$K266*$H266,"")</f>
        <v>210.579782608696</v>
      </c>
      <c r="M266" s="40" t="n">
        <f aca="false">IF(ISNUMBER($K266),$K266*Parâmetros!$B$7,"")</f>
        <v>100.276086956522</v>
      </c>
      <c r="N266" s="40" t="n">
        <f aca="false">IF(ISNUMBER($K266),$K266*Parâmetros!$C$7,"")</f>
        <v>30.0828260869565</v>
      </c>
      <c r="O266" s="40" t="n">
        <f aca="false">IF(ISNUMBER($K266),IF(ISNUMBER(Parâmetros!$E$7),Parâmetros!$E$7,0),"")</f>
        <v>0</v>
      </c>
      <c r="P266" s="41" t="n">
        <f aca="false">IF(ISNUMBER($K266),$K266-$D266-IF(ISNUMBER($E266),$E266,0)-$L266-$M266-$N266-$O266,"")</f>
        <v>200.552173913043</v>
      </c>
      <c r="Q266" s="42" t="n">
        <f aca="false">IF(AND(ISNUMBER($K266),$K266&gt;0),$P266/$K266,"")</f>
        <v>0.2</v>
      </c>
      <c r="R266" s="43"/>
      <c r="S266" s="44" t="str">
        <f aca="false">IF(OR(NOT(ISNUMBER($R266)),$R266=0,NOT(ISNUMBER($K266))),"",$K266*(1-$R266))</f>
        <v/>
      </c>
      <c r="T266" s="45" t="str">
        <f aca="false">IF(ISNUMBER($S266),$S266*$H266,"")</f>
        <v/>
      </c>
      <c r="U266" s="45" t="str">
        <f aca="false">IF(ISNUMBER($S266),$S266*Parâmetros!$B$7,"")</f>
        <v/>
      </c>
      <c r="V266" s="45" t="str">
        <f aca="false">IF(ISNUMBER($S266),$S266*Parâmetros!$C$7,"")</f>
        <v/>
      </c>
      <c r="W266" s="44" t="str">
        <f aca="false">IF(ISNUMBER($S266),$S266-$D266-IF(ISNUMBER($E266),$E266,0)-$O266-$T266-$U266-$V266,"")</f>
        <v/>
      </c>
      <c r="X266" s="46" t="str">
        <f aca="false">IF(AND(ISNUMBER($S266),$S266&gt;0),$W266/$S266,"")</f>
        <v/>
      </c>
      <c r="Y266" s="47"/>
      <c r="Z266" s="19"/>
    </row>
    <row r="267" customFormat="false" ht="15.75" hidden="false" customHeight="true" outlineLevel="0" collapsed="false">
      <c r="A267" s="48" t="str">
        <f aca="false">IF(Produtos!$A267="","",Produtos!$A267)</f>
        <v>P3070RA</v>
      </c>
      <c r="B267" s="48" t="str">
        <f aca="false">IF(Produtos!$A267="","",Produtos!$B267)</f>
        <v>Lixeira c/Tampa Pedal 30x70 60L c/Rodízios e Alças</v>
      </c>
      <c r="C267" s="48" t="str">
        <f aca="false">IF(Produtos!$A267="","",Produtos!$C267)</f>
        <v>Lixeiras com pedal</v>
      </c>
      <c r="D267" s="33" t="n">
        <f aca="false">IF(Produtos!$A267="","",IF(Produtos!$D267="","",Produtos!$D267))</f>
        <v>535.39</v>
      </c>
      <c r="E267" s="11" t="n">
        <v>0</v>
      </c>
      <c r="F267" s="34" t="n">
        <f aca="false">IF($A267="","",IF($C267="","⚠ categoria",IFERROR(INDEX(Parâmetros!$E$13:$E$22,MATCH($C267,Parâmetros!$A$13:$A$22,0)),"⚠ categoria")))</f>
        <v>0.21</v>
      </c>
      <c r="G267" s="35"/>
      <c r="H267" s="36" t="n">
        <f aca="false">IF($A267="","",IF(ISNUMBER($G267),$G267,IF(ISNUMBER($F267),$F267,"")))</f>
        <v>0.21</v>
      </c>
      <c r="I267" s="37" t="n">
        <f aca="false">IF(OR($A267="",NOT(ISNUMBER($D267)),NOT(ISNUMBER($H267))),"",IF((1-$H267-Parâmetros!$B$7-Parâmetros!$C$7-Parâmetros!$D$7)&lt;=0,"INVALIDO",($D267+IF(ISNUMBER($E267),$E267,0)+IF(ISNUMBER(Parâmetros!$E$7),Parâmetros!$E$7,0))/(1-$H267-Parâmetros!$B$7-Parâmetros!$C$7-Parâmetros!$D$7)))</f>
        <v>1163.89130434783</v>
      </c>
      <c r="J267" s="38"/>
      <c r="K267" s="39" t="n">
        <f aca="false">IF(OR($A267="",NOT(ISNUMBER($D267)),NOT(ISNUMBER($H267))),"",IF(AND(ISNUMBER($J267),$J267&gt;0),$J267,IF(ISNUMBER($I267),$I267,"")))</f>
        <v>1163.89130434783</v>
      </c>
      <c r="L267" s="40" t="n">
        <f aca="false">IF(ISNUMBER($K267),$K267*$H267,"")</f>
        <v>244.417173913043</v>
      </c>
      <c r="M267" s="40" t="n">
        <f aca="false">IF(ISNUMBER($K267),$K267*Parâmetros!$B$7,"")</f>
        <v>116.389130434783</v>
      </c>
      <c r="N267" s="40" t="n">
        <f aca="false">IF(ISNUMBER($K267),$K267*Parâmetros!$C$7,"")</f>
        <v>34.9167391304348</v>
      </c>
      <c r="O267" s="40" t="n">
        <f aca="false">IF(ISNUMBER($K267),IF(ISNUMBER(Parâmetros!$E$7),Parâmetros!$E$7,0),"")</f>
        <v>0</v>
      </c>
      <c r="P267" s="41" t="n">
        <f aca="false">IF(ISNUMBER($K267),$K267-$D267-IF(ISNUMBER($E267),$E267,0)-$L267-$M267-$N267-$O267,"")</f>
        <v>232.778260869565</v>
      </c>
      <c r="Q267" s="42" t="n">
        <f aca="false">IF(AND(ISNUMBER($K267),$K267&gt;0),$P267/$K267,"")</f>
        <v>0.2</v>
      </c>
      <c r="R267" s="43"/>
      <c r="S267" s="44" t="str">
        <f aca="false">IF(OR(NOT(ISNUMBER($R267)),$R267=0,NOT(ISNUMBER($K267))),"",$K267*(1-$R267))</f>
        <v/>
      </c>
      <c r="T267" s="45" t="str">
        <f aca="false">IF(ISNUMBER($S267),$S267*$H267,"")</f>
        <v/>
      </c>
      <c r="U267" s="45" t="str">
        <f aca="false">IF(ISNUMBER($S267),$S267*Parâmetros!$B$7,"")</f>
        <v/>
      </c>
      <c r="V267" s="45" t="str">
        <f aca="false">IF(ISNUMBER($S267),$S267*Parâmetros!$C$7,"")</f>
        <v/>
      </c>
      <c r="W267" s="44" t="str">
        <f aca="false">IF(ISNUMBER($S267),$S267-$D267-IF(ISNUMBER($E267),$E267,0)-$O267-$T267-$U267-$V267,"")</f>
        <v/>
      </c>
      <c r="X267" s="46" t="str">
        <f aca="false">IF(AND(ISNUMBER($S267),$S267&gt;0),$W267/$S267,"")</f>
        <v/>
      </c>
      <c r="Y267" s="49"/>
      <c r="Z267" s="21"/>
    </row>
    <row r="268" customFormat="false" ht="15.75" hidden="false" customHeight="true" outlineLevel="0" collapsed="false">
      <c r="A268" s="32" t="str">
        <f aca="false">IF(Produtos!$A268="","",Produtos!$A268)</f>
        <v>P4050RA</v>
      </c>
      <c r="B268" s="32" t="str">
        <f aca="false">IF(Produtos!$A268="","",Produtos!$B268)</f>
        <v>Lixeira c/Tampa Pedal 40x50 65L c/Rodízios e Alças</v>
      </c>
      <c r="C268" s="32" t="str">
        <f aca="false">IF(Produtos!$A268="","",Produtos!$C268)</f>
        <v>Lixeiras com pedal</v>
      </c>
      <c r="D268" s="33" t="n">
        <f aca="false">IF(Produtos!$A268="","",IF(Produtos!$D268="","",Produtos!$D268))</f>
        <v>617.39</v>
      </c>
      <c r="E268" s="11" t="n">
        <v>0</v>
      </c>
      <c r="F268" s="34" t="n">
        <f aca="false">IF($A268="","",IF($C268="","⚠ categoria",IFERROR(INDEX(Parâmetros!$E$13:$E$22,MATCH($C268,Parâmetros!$A$13:$A$22,0)),"⚠ categoria")))</f>
        <v>0.21</v>
      </c>
      <c r="G268" s="35"/>
      <c r="H268" s="36" t="n">
        <f aca="false">IF($A268="","",IF(ISNUMBER($G268),$G268,IF(ISNUMBER($F268),$F268,"")))</f>
        <v>0.21</v>
      </c>
      <c r="I268" s="37" t="n">
        <f aca="false">IF(OR($A268="",NOT(ISNUMBER($D268)),NOT(ISNUMBER($H268))),"",IF((1-$H268-Parâmetros!$B$7-Parâmetros!$C$7-Parâmetros!$D$7)&lt;=0,"INVALIDO",($D268+IF(ISNUMBER($E268),$E268,0)+IF(ISNUMBER(Parâmetros!$E$7),Parâmetros!$E$7,0))/(1-$H268-Parâmetros!$B$7-Parâmetros!$C$7-Parâmetros!$D$7)))</f>
        <v>1342.15217391304</v>
      </c>
      <c r="J268" s="38"/>
      <c r="K268" s="39" t="n">
        <f aca="false">IF(OR($A268="",NOT(ISNUMBER($D268)),NOT(ISNUMBER($H268))),"",IF(AND(ISNUMBER($J268),$J268&gt;0),$J268,IF(ISNUMBER($I268),$I268,"")))</f>
        <v>1342.15217391304</v>
      </c>
      <c r="L268" s="40" t="n">
        <f aca="false">IF(ISNUMBER($K268),$K268*$H268,"")</f>
        <v>281.851956521739</v>
      </c>
      <c r="M268" s="40" t="n">
        <f aca="false">IF(ISNUMBER($K268),$K268*Parâmetros!$B$7,"")</f>
        <v>134.215217391304</v>
      </c>
      <c r="N268" s="40" t="n">
        <f aca="false">IF(ISNUMBER($K268),$K268*Parâmetros!$C$7,"")</f>
        <v>40.2645652173913</v>
      </c>
      <c r="O268" s="40" t="n">
        <f aca="false">IF(ISNUMBER($K268),IF(ISNUMBER(Parâmetros!$E$7),Parâmetros!$E$7,0),"")</f>
        <v>0</v>
      </c>
      <c r="P268" s="41" t="n">
        <f aca="false">IF(ISNUMBER($K268),$K268-$D268-IF(ISNUMBER($E268),$E268,0)-$L268-$M268-$N268-$O268,"")</f>
        <v>268.430434782609</v>
      </c>
      <c r="Q268" s="42" t="n">
        <f aca="false">IF(AND(ISNUMBER($K268),$K268&gt;0),$P268/$K268,"")</f>
        <v>0.2</v>
      </c>
      <c r="R268" s="43"/>
      <c r="S268" s="44" t="str">
        <f aca="false">IF(OR(NOT(ISNUMBER($R268)),$R268=0,NOT(ISNUMBER($K268))),"",$K268*(1-$R268))</f>
        <v/>
      </c>
      <c r="T268" s="45" t="str">
        <f aca="false">IF(ISNUMBER($S268),$S268*$H268,"")</f>
        <v/>
      </c>
      <c r="U268" s="45" t="str">
        <f aca="false">IF(ISNUMBER($S268),$S268*Parâmetros!$B$7,"")</f>
        <v/>
      </c>
      <c r="V268" s="45" t="str">
        <f aca="false">IF(ISNUMBER($S268),$S268*Parâmetros!$C$7,"")</f>
        <v/>
      </c>
      <c r="W268" s="44" t="str">
        <f aca="false">IF(ISNUMBER($S268),$S268-$D268-IF(ISNUMBER($E268),$E268,0)-$O268-$T268-$U268-$V268,"")</f>
        <v/>
      </c>
      <c r="X268" s="46" t="str">
        <f aca="false">IF(AND(ISNUMBER($S268),$S268&gt;0),$W268/$S268,"")</f>
        <v/>
      </c>
      <c r="Y268" s="47"/>
      <c r="Z268" s="19"/>
    </row>
    <row r="269" customFormat="false" ht="15.75" hidden="false" customHeight="true" outlineLevel="0" collapsed="false">
      <c r="A269" s="48" t="str">
        <f aca="false">IF(Produtos!$A269="","",Produtos!$A269)</f>
        <v>P4060RA</v>
      </c>
      <c r="B269" s="48" t="str">
        <f aca="false">IF(Produtos!$A269="","",Produtos!$B269)</f>
        <v>Lixeira c/Tampa Pedal 40x60 75L c/Rodízios e Alças</v>
      </c>
      <c r="C269" s="48" t="str">
        <f aca="false">IF(Produtos!$A269="","",Produtos!$C269)</f>
        <v>Lixeiras com pedal</v>
      </c>
      <c r="D269" s="33" t="n">
        <f aca="false">IF(Produtos!$A269="","",IF(Produtos!$D269="","",Produtos!$D269))</f>
        <v>659.48</v>
      </c>
      <c r="E269" s="11" t="n">
        <v>0</v>
      </c>
      <c r="F269" s="34" t="n">
        <f aca="false">IF($A269="","",IF($C269="","⚠ categoria",IFERROR(INDEX(Parâmetros!$E$13:$E$22,MATCH($C269,Parâmetros!$A$13:$A$22,0)),"⚠ categoria")))</f>
        <v>0.21</v>
      </c>
      <c r="G269" s="35"/>
      <c r="H269" s="36" t="n">
        <f aca="false">IF($A269="","",IF(ISNUMBER($G269),$G269,IF(ISNUMBER($F269),$F269,"")))</f>
        <v>0.21</v>
      </c>
      <c r="I269" s="37" t="n">
        <f aca="false">IF(OR($A269="",NOT(ISNUMBER($D269)),NOT(ISNUMBER($H269))),"",IF((1-$H269-Parâmetros!$B$7-Parâmetros!$C$7-Parâmetros!$D$7)&lt;=0,"INVALIDO",($D269+IF(ISNUMBER($E269),$E269,0)+IF(ISNUMBER(Parâmetros!$E$7),Parâmetros!$E$7,0))/(1-$H269-Parâmetros!$B$7-Parâmetros!$C$7-Parâmetros!$D$7)))</f>
        <v>1433.65217391304</v>
      </c>
      <c r="J269" s="38"/>
      <c r="K269" s="39" t="n">
        <f aca="false">IF(OR($A269="",NOT(ISNUMBER($D269)),NOT(ISNUMBER($H269))),"",IF(AND(ISNUMBER($J269),$J269&gt;0),$J269,IF(ISNUMBER($I269),$I269,"")))</f>
        <v>1433.65217391304</v>
      </c>
      <c r="L269" s="40" t="n">
        <f aca="false">IF(ISNUMBER($K269),$K269*$H269,"")</f>
        <v>301.066956521739</v>
      </c>
      <c r="M269" s="40" t="n">
        <f aca="false">IF(ISNUMBER($K269),$K269*Parâmetros!$B$7,"")</f>
        <v>143.365217391304</v>
      </c>
      <c r="N269" s="40" t="n">
        <f aca="false">IF(ISNUMBER($K269),$K269*Parâmetros!$C$7,"")</f>
        <v>43.0095652173913</v>
      </c>
      <c r="O269" s="40" t="n">
        <f aca="false">IF(ISNUMBER($K269),IF(ISNUMBER(Parâmetros!$E$7),Parâmetros!$E$7,0),"")</f>
        <v>0</v>
      </c>
      <c r="P269" s="41" t="n">
        <f aca="false">IF(ISNUMBER($K269),$K269-$D269-IF(ISNUMBER($E269),$E269,0)-$L269-$M269-$N269-$O269,"")</f>
        <v>286.730434782609</v>
      </c>
      <c r="Q269" s="42" t="n">
        <f aca="false">IF(AND(ISNUMBER($K269),$K269&gt;0),$P269/$K269,"")</f>
        <v>0.2</v>
      </c>
      <c r="R269" s="43"/>
      <c r="S269" s="44" t="str">
        <f aca="false">IF(OR(NOT(ISNUMBER($R269)),$R269=0,NOT(ISNUMBER($K269))),"",$K269*(1-$R269))</f>
        <v/>
      </c>
      <c r="T269" s="45" t="str">
        <f aca="false">IF(ISNUMBER($S269),$S269*$H269,"")</f>
        <v/>
      </c>
      <c r="U269" s="45" t="str">
        <f aca="false">IF(ISNUMBER($S269),$S269*Parâmetros!$B$7,"")</f>
        <v/>
      </c>
      <c r="V269" s="45" t="str">
        <f aca="false">IF(ISNUMBER($S269),$S269*Parâmetros!$C$7,"")</f>
        <v/>
      </c>
      <c r="W269" s="44" t="str">
        <f aca="false">IF(ISNUMBER($S269),$S269-$D269-IF(ISNUMBER($E269),$E269,0)-$O269-$T269-$U269-$V269,"")</f>
        <v/>
      </c>
      <c r="X269" s="46" t="str">
        <f aca="false">IF(AND(ISNUMBER($S269),$S269&gt;0),$W269/$S269,"")</f>
        <v/>
      </c>
      <c r="Y269" s="49"/>
      <c r="Z269" s="21"/>
    </row>
    <row r="270" customFormat="false" ht="15.75" hidden="false" customHeight="true" outlineLevel="0" collapsed="false">
      <c r="A270" s="32" t="str">
        <f aca="false">IF(Produtos!$A270="","",Produtos!$A270)</f>
        <v>P4070RA</v>
      </c>
      <c r="B270" s="32" t="str">
        <f aca="false">IF(Produtos!$A270="","",Produtos!$B270)</f>
        <v>Lixeira c/Tampa Pedal 40x70 80L c/Rodízios e Alças</v>
      </c>
      <c r="C270" s="32" t="str">
        <f aca="false">IF(Produtos!$A270="","",Produtos!$C270)</f>
        <v>Lixeiras com pedal</v>
      </c>
      <c r="D270" s="33" t="n">
        <f aca="false">IF(Produtos!$A270="","",IF(Produtos!$D270="","",Produtos!$D270))</f>
        <v>698.31</v>
      </c>
      <c r="E270" s="11" t="n">
        <v>0</v>
      </c>
      <c r="F270" s="34" t="n">
        <f aca="false">IF($A270="","",IF($C270="","⚠ categoria",IFERROR(INDEX(Parâmetros!$E$13:$E$22,MATCH($C270,Parâmetros!$A$13:$A$22,0)),"⚠ categoria")))</f>
        <v>0.21</v>
      </c>
      <c r="G270" s="35"/>
      <c r="H270" s="36" t="n">
        <f aca="false">IF($A270="","",IF(ISNUMBER($G270),$G270,IF(ISNUMBER($F270),$F270,"")))</f>
        <v>0.21</v>
      </c>
      <c r="I270" s="37" t="n">
        <f aca="false">IF(OR($A270="",NOT(ISNUMBER($D270)),NOT(ISNUMBER($H270))),"",IF((1-$H270-Parâmetros!$B$7-Parâmetros!$C$7-Parâmetros!$D$7)&lt;=0,"INVALIDO",($D270+IF(ISNUMBER($E270),$E270,0)+IF(ISNUMBER(Parâmetros!$E$7),Parâmetros!$E$7,0))/(1-$H270-Parâmetros!$B$7-Parâmetros!$C$7-Parâmetros!$D$7)))</f>
        <v>1518.0652173913</v>
      </c>
      <c r="J270" s="38"/>
      <c r="K270" s="39" t="n">
        <f aca="false">IF(OR($A270="",NOT(ISNUMBER($D270)),NOT(ISNUMBER($H270))),"",IF(AND(ISNUMBER($J270),$J270&gt;0),$J270,IF(ISNUMBER($I270),$I270,"")))</f>
        <v>1518.0652173913</v>
      </c>
      <c r="L270" s="40" t="n">
        <f aca="false">IF(ISNUMBER($K270),$K270*$H270,"")</f>
        <v>318.793695652174</v>
      </c>
      <c r="M270" s="40" t="n">
        <f aca="false">IF(ISNUMBER($K270),$K270*Parâmetros!$B$7,"")</f>
        <v>151.80652173913</v>
      </c>
      <c r="N270" s="40" t="n">
        <f aca="false">IF(ISNUMBER($K270),$K270*Parâmetros!$C$7,"")</f>
        <v>45.5419565217391</v>
      </c>
      <c r="O270" s="40" t="n">
        <f aca="false">IF(ISNUMBER($K270),IF(ISNUMBER(Parâmetros!$E$7),Parâmetros!$E$7,0),"")</f>
        <v>0</v>
      </c>
      <c r="P270" s="41" t="n">
        <f aca="false">IF(ISNUMBER($K270),$K270-$D270-IF(ISNUMBER($E270),$E270,0)-$L270-$M270-$N270-$O270,"")</f>
        <v>303.613043478261</v>
      </c>
      <c r="Q270" s="42" t="n">
        <f aca="false">IF(AND(ISNUMBER($K270),$K270&gt;0),$P270/$K270,"")</f>
        <v>0.2</v>
      </c>
      <c r="R270" s="43"/>
      <c r="S270" s="44" t="str">
        <f aca="false">IF(OR(NOT(ISNUMBER($R270)),$R270=0,NOT(ISNUMBER($K270))),"",$K270*(1-$R270))</f>
        <v/>
      </c>
      <c r="T270" s="45" t="str">
        <f aca="false">IF(ISNUMBER($S270),$S270*$H270,"")</f>
        <v/>
      </c>
      <c r="U270" s="45" t="str">
        <f aca="false">IF(ISNUMBER($S270),$S270*Parâmetros!$B$7,"")</f>
        <v/>
      </c>
      <c r="V270" s="45" t="str">
        <f aca="false">IF(ISNUMBER($S270),$S270*Parâmetros!$C$7,"")</f>
        <v/>
      </c>
      <c r="W270" s="44" t="str">
        <f aca="false">IF(ISNUMBER($S270),$S270-$D270-IF(ISNUMBER($E270),$E270,0)-$O270-$T270-$U270-$V270,"")</f>
        <v/>
      </c>
      <c r="X270" s="46" t="str">
        <f aca="false">IF(AND(ISNUMBER($S270),$S270&gt;0),$W270/$S270,"")</f>
        <v/>
      </c>
      <c r="Y270" s="47"/>
      <c r="Z270" s="19"/>
    </row>
    <row r="271" customFormat="false" ht="15.75" hidden="false" customHeight="true" outlineLevel="0" collapsed="false">
      <c r="A271" s="48" t="str">
        <f aca="false">IF(Produtos!$A271="","",Produtos!$A271)</f>
        <v>P4075RA</v>
      </c>
      <c r="B271" s="48" t="str">
        <f aca="false">IF(Produtos!$A271="","",Produtos!$B271)</f>
        <v>Lixeira c/Tampa Pedal 40x75 95L c/Rodízios e Alças</v>
      </c>
      <c r="C271" s="48" t="str">
        <f aca="false">IF(Produtos!$A271="","",Produtos!$C271)</f>
        <v>Lixeiras com pedal</v>
      </c>
      <c r="D271" s="33" t="n">
        <f aca="false">IF(Produtos!$A271="","",IF(Produtos!$D271="","",Produtos!$D271))</f>
        <v>731.92</v>
      </c>
      <c r="E271" s="11" t="n">
        <v>0</v>
      </c>
      <c r="F271" s="34" t="n">
        <f aca="false">IF($A271="","",IF($C271="","⚠ categoria",IFERROR(INDEX(Parâmetros!$E$13:$E$22,MATCH($C271,Parâmetros!$A$13:$A$22,0)),"⚠ categoria")))</f>
        <v>0.21</v>
      </c>
      <c r="G271" s="35"/>
      <c r="H271" s="36" t="n">
        <f aca="false">IF($A271="","",IF(ISNUMBER($G271),$G271,IF(ISNUMBER($F271),$F271,"")))</f>
        <v>0.21</v>
      </c>
      <c r="I271" s="37" t="n">
        <f aca="false">IF(OR($A271="",NOT(ISNUMBER($D271)),NOT(ISNUMBER($H271))),"",IF((1-$H271-Parâmetros!$B$7-Parâmetros!$C$7-Parâmetros!$D$7)&lt;=0,"INVALIDO",($D271+IF(ISNUMBER($E271),$E271,0)+IF(ISNUMBER(Parâmetros!$E$7),Parâmetros!$E$7,0))/(1-$H271-Parâmetros!$B$7-Parâmetros!$C$7-Parâmetros!$D$7)))</f>
        <v>1591.13043478261</v>
      </c>
      <c r="J271" s="38"/>
      <c r="K271" s="39" t="n">
        <f aca="false">IF(OR($A271="",NOT(ISNUMBER($D271)),NOT(ISNUMBER($H271))),"",IF(AND(ISNUMBER($J271),$J271&gt;0),$J271,IF(ISNUMBER($I271),$I271,"")))</f>
        <v>1591.13043478261</v>
      </c>
      <c r="L271" s="40" t="n">
        <f aca="false">IF(ISNUMBER($K271),$K271*$H271,"")</f>
        <v>334.137391304348</v>
      </c>
      <c r="M271" s="40" t="n">
        <f aca="false">IF(ISNUMBER($K271),$K271*Parâmetros!$B$7,"")</f>
        <v>159.113043478261</v>
      </c>
      <c r="N271" s="40" t="n">
        <f aca="false">IF(ISNUMBER($K271),$K271*Parâmetros!$C$7,"")</f>
        <v>47.7339130434783</v>
      </c>
      <c r="O271" s="40" t="n">
        <f aca="false">IF(ISNUMBER($K271),IF(ISNUMBER(Parâmetros!$E$7),Parâmetros!$E$7,0),"")</f>
        <v>0</v>
      </c>
      <c r="P271" s="41" t="n">
        <f aca="false">IF(ISNUMBER($K271),$K271-$D271-IF(ISNUMBER($E271),$E271,0)-$L271-$M271-$N271-$O271,"")</f>
        <v>318.226086956522</v>
      </c>
      <c r="Q271" s="42" t="n">
        <f aca="false">IF(AND(ISNUMBER($K271),$K271&gt;0),$P271/$K271,"")</f>
        <v>0.2</v>
      </c>
      <c r="R271" s="43"/>
      <c r="S271" s="44" t="str">
        <f aca="false">IF(OR(NOT(ISNUMBER($R271)),$R271=0,NOT(ISNUMBER($K271))),"",$K271*(1-$R271))</f>
        <v/>
      </c>
      <c r="T271" s="45" t="str">
        <f aca="false">IF(ISNUMBER($S271),$S271*$H271,"")</f>
        <v/>
      </c>
      <c r="U271" s="45" t="str">
        <f aca="false">IF(ISNUMBER($S271),$S271*Parâmetros!$B$7,"")</f>
        <v/>
      </c>
      <c r="V271" s="45" t="str">
        <f aca="false">IF(ISNUMBER($S271),$S271*Parâmetros!$C$7,"")</f>
        <v/>
      </c>
      <c r="W271" s="44" t="str">
        <f aca="false">IF(ISNUMBER($S271),$S271-$D271-IF(ISNUMBER($E271),$E271,0)-$O271-$T271-$U271-$V271,"")</f>
        <v/>
      </c>
      <c r="X271" s="46" t="str">
        <f aca="false">IF(AND(ISNUMBER($S271),$S271&gt;0),$W271/$S271,"")</f>
        <v/>
      </c>
      <c r="Y271" s="49"/>
      <c r="Z271" s="21"/>
    </row>
    <row r="272" customFormat="false" ht="15.75" hidden="false" customHeight="true" outlineLevel="0" collapsed="false">
      <c r="A272" s="32" t="str">
        <f aca="false">IF(Produtos!$A272="","",Produtos!$A272)</f>
        <v>P4080RA</v>
      </c>
      <c r="B272" s="32" t="str">
        <f aca="false">IF(Produtos!$A272="","",Produtos!$B272)</f>
        <v>Lixeira c/Tampa Pedal 40x80 100L c/Rodízios e Alças</v>
      </c>
      <c r="C272" s="32" t="str">
        <f aca="false">IF(Produtos!$A272="","",Produtos!$C272)</f>
        <v>Lixeiras com pedal</v>
      </c>
      <c r="D272" s="33" t="n">
        <f aca="false">IF(Produtos!$A272="","",IF(Produtos!$D272="","",Produtos!$D272))</f>
        <v>816.17</v>
      </c>
      <c r="E272" s="11" t="n">
        <v>0</v>
      </c>
      <c r="F272" s="34" t="n">
        <f aca="false">IF($A272="","",IF($C272="","⚠ categoria",IFERROR(INDEX(Parâmetros!$E$13:$E$22,MATCH($C272,Parâmetros!$A$13:$A$22,0)),"⚠ categoria")))</f>
        <v>0.21</v>
      </c>
      <c r="G272" s="35"/>
      <c r="H272" s="36" t="n">
        <f aca="false">IF($A272="","",IF(ISNUMBER($G272),$G272,IF(ISNUMBER($F272),$F272,"")))</f>
        <v>0.21</v>
      </c>
      <c r="I272" s="37" t="n">
        <f aca="false">IF(OR($A272="",NOT(ISNUMBER($D272)),NOT(ISNUMBER($H272))),"",IF((1-$H272-Parâmetros!$B$7-Parâmetros!$C$7-Parâmetros!$D$7)&lt;=0,"INVALIDO",($D272+IF(ISNUMBER($E272),$E272,0)+IF(ISNUMBER(Parâmetros!$E$7),Parâmetros!$E$7,0))/(1-$H272-Parâmetros!$B$7-Parâmetros!$C$7-Parâmetros!$D$7)))</f>
        <v>1774.28260869565</v>
      </c>
      <c r="J272" s="38"/>
      <c r="K272" s="39" t="n">
        <f aca="false">IF(OR($A272="",NOT(ISNUMBER($D272)),NOT(ISNUMBER($H272))),"",IF(AND(ISNUMBER($J272),$J272&gt;0),$J272,IF(ISNUMBER($I272),$I272,"")))</f>
        <v>1774.28260869565</v>
      </c>
      <c r="L272" s="40" t="n">
        <f aca="false">IF(ISNUMBER($K272),$K272*$H272,"")</f>
        <v>372.599347826087</v>
      </c>
      <c r="M272" s="40" t="n">
        <f aca="false">IF(ISNUMBER($K272),$K272*Parâmetros!$B$7,"")</f>
        <v>177.428260869565</v>
      </c>
      <c r="N272" s="40" t="n">
        <f aca="false">IF(ISNUMBER($K272),$K272*Parâmetros!$C$7,"")</f>
        <v>53.2284782608696</v>
      </c>
      <c r="O272" s="40" t="n">
        <f aca="false">IF(ISNUMBER($K272),IF(ISNUMBER(Parâmetros!$E$7),Parâmetros!$E$7,0),"")</f>
        <v>0</v>
      </c>
      <c r="P272" s="41" t="n">
        <f aca="false">IF(ISNUMBER($K272),$K272-$D272-IF(ISNUMBER($E272),$E272,0)-$L272-$M272-$N272-$O272,"")</f>
        <v>354.85652173913</v>
      </c>
      <c r="Q272" s="42" t="n">
        <f aca="false">IF(AND(ISNUMBER($K272),$K272&gt;0),$P272/$K272,"")</f>
        <v>0.2</v>
      </c>
      <c r="R272" s="43"/>
      <c r="S272" s="44" t="str">
        <f aca="false">IF(OR(NOT(ISNUMBER($R272)),$R272=0,NOT(ISNUMBER($K272))),"",$K272*(1-$R272))</f>
        <v/>
      </c>
      <c r="T272" s="45" t="str">
        <f aca="false">IF(ISNUMBER($S272),$S272*$H272,"")</f>
        <v/>
      </c>
      <c r="U272" s="45" t="str">
        <f aca="false">IF(ISNUMBER($S272),$S272*Parâmetros!$B$7,"")</f>
        <v/>
      </c>
      <c r="V272" s="45" t="str">
        <f aca="false">IF(ISNUMBER($S272),$S272*Parâmetros!$C$7,"")</f>
        <v/>
      </c>
      <c r="W272" s="44" t="str">
        <f aca="false">IF(ISNUMBER($S272),$S272-$D272-IF(ISNUMBER($E272),$E272,0)-$O272-$T272-$U272-$V272,"")</f>
        <v/>
      </c>
      <c r="X272" s="46" t="str">
        <f aca="false">IF(AND(ISNUMBER($S272),$S272&gt;0),$W272/$S272,"")</f>
        <v/>
      </c>
      <c r="Y272" s="47"/>
      <c r="Z272" s="19"/>
    </row>
    <row r="273" customFormat="false" ht="15.75" hidden="false" customHeight="true" outlineLevel="0" collapsed="false">
      <c r="A273" s="48" t="str">
        <f aca="false">IF(Produtos!$A273="","",Produtos!$A273)</f>
        <v>P4090RA</v>
      </c>
      <c r="B273" s="48" t="str">
        <f aca="false">IF(Produtos!$A273="","",Produtos!$B273)</f>
        <v>Lixeira c/Tampa Pedal 40x90 120L c/Rodízios e Alças</v>
      </c>
      <c r="C273" s="48" t="str">
        <f aca="false">IF(Produtos!$A273="","",Produtos!$C273)</f>
        <v>Lixeiras com pedal</v>
      </c>
      <c r="D273" s="33" t="n">
        <f aca="false">IF(Produtos!$A273="","",IF(Produtos!$D273="","",Produtos!$D273))</f>
        <v>1058.68</v>
      </c>
      <c r="E273" s="11" t="n">
        <v>0</v>
      </c>
      <c r="F273" s="34" t="n">
        <f aca="false">IF($A273="","",IF($C273="","⚠ categoria",IFERROR(INDEX(Parâmetros!$E$13:$E$22,MATCH($C273,Parâmetros!$A$13:$A$22,0)),"⚠ categoria")))</f>
        <v>0.21</v>
      </c>
      <c r="G273" s="35"/>
      <c r="H273" s="36" t="n">
        <f aca="false">IF($A273="","",IF(ISNUMBER($G273),$G273,IF(ISNUMBER($F273),$F273,"")))</f>
        <v>0.21</v>
      </c>
      <c r="I273" s="37" t="n">
        <f aca="false">IF(OR($A273="",NOT(ISNUMBER($D273)),NOT(ISNUMBER($H273))),"",IF((1-$H273-Parâmetros!$B$7-Parâmetros!$C$7-Parâmetros!$D$7)&lt;=0,"INVALIDO",($D273+IF(ISNUMBER($E273),$E273,0)+IF(ISNUMBER(Parâmetros!$E$7),Parâmetros!$E$7,0))/(1-$H273-Parâmetros!$B$7-Parâmetros!$C$7-Parâmetros!$D$7)))</f>
        <v>2301.47826086957</v>
      </c>
      <c r="J273" s="38"/>
      <c r="K273" s="39" t="n">
        <f aca="false">IF(OR($A273="",NOT(ISNUMBER($D273)),NOT(ISNUMBER($H273))),"",IF(AND(ISNUMBER($J273),$J273&gt;0),$J273,IF(ISNUMBER($I273),$I273,"")))</f>
        <v>2301.47826086957</v>
      </c>
      <c r="L273" s="40" t="n">
        <f aca="false">IF(ISNUMBER($K273),$K273*$H273,"")</f>
        <v>483.310434782609</v>
      </c>
      <c r="M273" s="40" t="n">
        <f aca="false">IF(ISNUMBER($K273),$K273*Parâmetros!$B$7,"")</f>
        <v>230.147826086957</v>
      </c>
      <c r="N273" s="40" t="n">
        <f aca="false">IF(ISNUMBER($K273),$K273*Parâmetros!$C$7,"")</f>
        <v>69.044347826087</v>
      </c>
      <c r="O273" s="40" t="n">
        <f aca="false">IF(ISNUMBER($K273),IF(ISNUMBER(Parâmetros!$E$7),Parâmetros!$E$7,0),"")</f>
        <v>0</v>
      </c>
      <c r="P273" s="41" t="n">
        <f aca="false">IF(ISNUMBER($K273),$K273-$D273-IF(ISNUMBER($E273),$E273,0)-$L273-$M273-$N273-$O273,"")</f>
        <v>460.295652173913</v>
      </c>
      <c r="Q273" s="42" t="n">
        <f aca="false">IF(AND(ISNUMBER($K273),$K273&gt;0),$P273/$K273,"")</f>
        <v>0.2</v>
      </c>
      <c r="R273" s="43"/>
      <c r="S273" s="44" t="str">
        <f aca="false">IF(OR(NOT(ISNUMBER($R273)),$R273=0,NOT(ISNUMBER($K273))),"",$K273*(1-$R273))</f>
        <v/>
      </c>
      <c r="T273" s="45" t="str">
        <f aca="false">IF(ISNUMBER($S273),$S273*$H273,"")</f>
        <v/>
      </c>
      <c r="U273" s="45" t="str">
        <f aca="false">IF(ISNUMBER($S273),$S273*Parâmetros!$B$7,"")</f>
        <v/>
      </c>
      <c r="V273" s="45" t="str">
        <f aca="false">IF(ISNUMBER($S273),$S273*Parâmetros!$C$7,"")</f>
        <v/>
      </c>
      <c r="W273" s="44" t="str">
        <f aca="false">IF(ISNUMBER($S273),$S273-$D273-IF(ISNUMBER($E273),$E273,0)-$O273-$T273-$U273-$V273,"")</f>
        <v/>
      </c>
      <c r="X273" s="46" t="str">
        <f aca="false">IF(AND(ISNUMBER($S273),$S273&gt;0),$W273/$S273,"")</f>
        <v/>
      </c>
      <c r="Y273" s="49"/>
      <c r="Z273" s="21"/>
    </row>
    <row r="274" customFormat="false" ht="15.75" hidden="false" customHeight="true" outlineLevel="0" collapsed="false">
      <c r="A274" s="32" t="str">
        <f aca="false">IF(Produtos!$A274="","",Produtos!$A274)</f>
        <v>P3050R</v>
      </c>
      <c r="B274" s="32" t="str">
        <f aca="false">IF(Produtos!$A274="","",Produtos!$B274)</f>
        <v>Lixeira c/Tampa Pedal 30x50 40L c/Rodízios</v>
      </c>
      <c r="C274" s="32" t="str">
        <f aca="false">IF(Produtos!$A274="","",Produtos!$C274)</f>
        <v>Lixeiras com pedal</v>
      </c>
      <c r="D274" s="33" t="n">
        <f aca="false">IF(Produtos!$A274="","",IF(Produtos!$D274="","",Produtos!$D274))</f>
        <v>418.9</v>
      </c>
      <c r="E274" s="11" t="n">
        <v>0</v>
      </c>
      <c r="F274" s="34" t="n">
        <f aca="false">IF($A274="","",IF($C274="","⚠ categoria",IFERROR(INDEX(Parâmetros!$E$13:$E$22,MATCH($C274,Parâmetros!$A$13:$A$22,0)),"⚠ categoria")))</f>
        <v>0.21</v>
      </c>
      <c r="G274" s="35"/>
      <c r="H274" s="36" t="n">
        <f aca="false">IF($A274="","",IF(ISNUMBER($G274),$G274,IF(ISNUMBER($F274),$F274,"")))</f>
        <v>0.21</v>
      </c>
      <c r="I274" s="37" t="n">
        <f aca="false">IF(OR($A274="",NOT(ISNUMBER($D274)),NOT(ISNUMBER($H274))),"",IF((1-$H274-Parâmetros!$B$7-Parâmetros!$C$7-Parâmetros!$D$7)&lt;=0,"INVALIDO",($D274+IF(ISNUMBER($E274),$E274,0)+IF(ISNUMBER(Parâmetros!$E$7),Parâmetros!$E$7,0))/(1-$H274-Parâmetros!$B$7-Parâmetros!$C$7-Parâmetros!$D$7)))</f>
        <v>910.652173913043</v>
      </c>
      <c r="J274" s="38"/>
      <c r="K274" s="39" t="n">
        <f aca="false">IF(OR($A274="",NOT(ISNUMBER($D274)),NOT(ISNUMBER($H274))),"",IF(AND(ISNUMBER($J274),$J274&gt;0),$J274,IF(ISNUMBER($I274),$I274,"")))</f>
        <v>910.652173913043</v>
      </c>
      <c r="L274" s="40" t="n">
        <f aca="false">IF(ISNUMBER($K274),$K274*$H274,"")</f>
        <v>191.236956521739</v>
      </c>
      <c r="M274" s="40" t="n">
        <f aca="false">IF(ISNUMBER($K274),$K274*Parâmetros!$B$7,"")</f>
        <v>91.0652173913043</v>
      </c>
      <c r="N274" s="40" t="n">
        <f aca="false">IF(ISNUMBER($K274),$K274*Parâmetros!$C$7,"")</f>
        <v>27.3195652173913</v>
      </c>
      <c r="O274" s="40" t="n">
        <f aca="false">IF(ISNUMBER($K274),IF(ISNUMBER(Parâmetros!$E$7),Parâmetros!$E$7,0),"")</f>
        <v>0</v>
      </c>
      <c r="P274" s="41" t="n">
        <f aca="false">IF(ISNUMBER($K274),$K274-$D274-IF(ISNUMBER($E274),$E274,0)-$L274-$M274-$N274-$O274,"")</f>
        <v>182.130434782609</v>
      </c>
      <c r="Q274" s="42" t="n">
        <f aca="false">IF(AND(ISNUMBER($K274),$K274&gt;0),$P274/$K274,"")</f>
        <v>0.2</v>
      </c>
      <c r="R274" s="43"/>
      <c r="S274" s="44" t="str">
        <f aca="false">IF(OR(NOT(ISNUMBER($R274)),$R274=0,NOT(ISNUMBER($K274))),"",$K274*(1-$R274))</f>
        <v/>
      </c>
      <c r="T274" s="45" t="str">
        <f aca="false">IF(ISNUMBER($S274),$S274*$H274,"")</f>
        <v/>
      </c>
      <c r="U274" s="45" t="str">
        <f aca="false">IF(ISNUMBER($S274),$S274*Parâmetros!$B$7,"")</f>
        <v/>
      </c>
      <c r="V274" s="45" t="str">
        <f aca="false">IF(ISNUMBER($S274),$S274*Parâmetros!$C$7,"")</f>
        <v/>
      </c>
      <c r="W274" s="44" t="str">
        <f aca="false">IF(ISNUMBER($S274),$S274-$D274-IF(ISNUMBER($E274),$E274,0)-$O274-$T274-$U274-$V274,"")</f>
        <v/>
      </c>
      <c r="X274" s="46" t="str">
        <f aca="false">IF(AND(ISNUMBER($S274),$S274&gt;0),$W274/$S274,"")</f>
        <v/>
      </c>
      <c r="Y274" s="47"/>
      <c r="Z274" s="19"/>
    </row>
    <row r="275" customFormat="false" ht="15.75" hidden="false" customHeight="true" outlineLevel="0" collapsed="false">
      <c r="A275" s="48" t="str">
        <f aca="false">IF(Produtos!$A275="","",Produtos!$A275)</f>
        <v>P3060R</v>
      </c>
      <c r="B275" s="48" t="str">
        <f aca="false">IF(Produtos!$A275="","",Produtos!$B275)</f>
        <v>Lixeira c/Tampa Pedal 30x60 50L c/Rodízios</v>
      </c>
      <c r="C275" s="48" t="str">
        <f aca="false">IF(Produtos!$A275="","",Produtos!$C275)</f>
        <v>Lixeiras com pedal</v>
      </c>
      <c r="D275" s="33" t="n">
        <f aca="false">IF(Produtos!$A275="","",IF(Produtos!$D275="","",Produtos!$D275))</f>
        <v>421.43</v>
      </c>
      <c r="E275" s="11" t="n">
        <v>0</v>
      </c>
      <c r="F275" s="34" t="n">
        <f aca="false">IF($A275="","",IF($C275="","⚠ categoria",IFERROR(INDEX(Parâmetros!$E$13:$E$22,MATCH($C275,Parâmetros!$A$13:$A$22,0)),"⚠ categoria")))</f>
        <v>0.21</v>
      </c>
      <c r="G275" s="35"/>
      <c r="H275" s="36" t="n">
        <f aca="false">IF($A275="","",IF(ISNUMBER($G275),$G275,IF(ISNUMBER($F275),$F275,"")))</f>
        <v>0.21</v>
      </c>
      <c r="I275" s="37" t="n">
        <f aca="false">IF(OR($A275="",NOT(ISNUMBER($D275)),NOT(ISNUMBER($H275))),"",IF((1-$H275-Parâmetros!$B$7-Parâmetros!$C$7-Parâmetros!$D$7)&lt;=0,"INVALIDO",($D275+IF(ISNUMBER($E275),$E275,0)+IF(ISNUMBER(Parâmetros!$E$7),Parâmetros!$E$7,0))/(1-$H275-Parâmetros!$B$7-Parâmetros!$C$7-Parâmetros!$D$7)))</f>
        <v>916.152173913044</v>
      </c>
      <c r="J275" s="38"/>
      <c r="K275" s="39" t="n">
        <f aca="false">IF(OR($A275="",NOT(ISNUMBER($D275)),NOT(ISNUMBER($H275))),"",IF(AND(ISNUMBER($J275),$J275&gt;0),$J275,IF(ISNUMBER($I275),$I275,"")))</f>
        <v>916.152173913044</v>
      </c>
      <c r="L275" s="40" t="n">
        <f aca="false">IF(ISNUMBER($K275),$K275*$H275,"")</f>
        <v>192.391956521739</v>
      </c>
      <c r="M275" s="40" t="n">
        <f aca="false">IF(ISNUMBER($K275),$K275*Parâmetros!$B$7,"")</f>
        <v>91.6152173913044</v>
      </c>
      <c r="N275" s="40" t="n">
        <f aca="false">IF(ISNUMBER($K275),$K275*Parâmetros!$C$7,"")</f>
        <v>27.4845652173913</v>
      </c>
      <c r="O275" s="40" t="n">
        <f aca="false">IF(ISNUMBER($K275),IF(ISNUMBER(Parâmetros!$E$7),Parâmetros!$E$7,0),"")</f>
        <v>0</v>
      </c>
      <c r="P275" s="41" t="n">
        <f aca="false">IF(ISNUMBER($K275),$K275-$D275-IF(ISNUMBER($E275),$E275,0)-$L275-$M275-$N275-$O275,"")</f>
        <v>183.230434782609</v>
      </c>
      <c r="Q275" s="42" t="n">
        <f aca="false">IF(AND(ISNUMBER($K275),$K275&gt;0),$P275/$K275,"")</f>
        <v>0.2</v>
      </c>
      <c r="R275" s="43"/>
      <c r="S275" s="44" t="str">
        <f aca="false">IF(OR(NOT(ISNUMBER($R275)),$R275=0,NOT(ISNUMBER($K275))),"",$K275*(1-$R275))</f>
        <v/>
      </c>
      <c r="T275" s="45" t="str">
        <f aca="false">IF(ISNUMBER($S275),$S275*$H275,"")</f>
        <v/>
      </c>
      <c r="U275" s="45" t="str">
        <f aca="false">IF(ISNUMBER($S275),$S275*Parâmetros!$B$7,"")</f>
        <v/>
      </c>
      <c r="V275" s="45" t="str">
        <f aca="false">IF(ISNUMBER($S275),$S275*Parâmetros!$C$7,"")</f>
        <v/>
      </c>
      <c r="W275" s="44" t="str">
        <f aca="false">IF(ISNUMBER($S275),$S275-$D275-IF(ISNUMBER($E275),$E275,0)-$O275-$T275-$U275-$V275,"")</f>
        <v/>
      </c>
      <c r="X275" s="46" t="str">
        <f aca="false">IF(AND(ISNUMBER($S275),$S275&gt;0),$W275/$S275,"")</f>
        <v/>
      </c>
      <c r="Y275" s="49"/>
      <c r="Z275" s="21"/>
    </row>
    <row r="276" customFormat="false" ht="15.75" hidden="false" customHeight="true" outlineLevel="0" collapsed="false">
      <c r="A276" s="32" t="str">
        <f aca="false">IF(Produtos!$A276="","",Produtos!$A276)</f>
        <v>P3070R</v>
      </c>
      <c r="B276" s="32" t="str">
        <f aca="false">IF(Produtos!$A276="","",Produtos!$B276)</f>
        <v>Lixeira c/Tampa Pedal 30x70 60L c/Rodízios</v>
      </c>
      <c r="C276" s="32" t="str">
        <f aca="false">IF(Produtos!$A276="","",Produtos!$C276)</f>
        <v>Lixeiras com pedal</v>
      </c>
      <c r="D276" s="33" t="n">
        <f aca="false">IF(Produtos!$A276="","",IF(Produtos!$D276="","",Produtos!$D276))</f>
        <v>491.65</v>
      </c>
      <c r="E276" s="11" t="n">
        <v>0</v>
      </c>
      <c r="F276" s="34" t="n">
        <f aca="false">IF($A276="","",IF($C276="","⚠ categoria",IFERROR(INDEX(Parâmetros!$E$13:$E$22,MATCH($C276,Parâmetros!$A$13:$A$22,0)),"⚠ categoria")))</f>
        <v>0.21</v>
      </c>
      <c r="G276" s="35"/>
      <c r="H276" s="36" t="n">
        <f aca="false">IF($A276="","",IF(ISNUMBER($G276),$G276,IF(ISNUMBER($F276),$F276,"")))</f>
        <v>0.21</v>
      </c>
      <c r="I276" s="37" t="n">
        <f aca="false">IF(OR($A276="",NOT(ISNUMBER($D276)),NOT(ISNUMBER($H276))),"",IF((1-$H276-Parâmetros!$B$7-Parâmetros!$C$7-Parâmetros!$D$7)&lt;=0,"INVALIDO",($D276+IF(ISNUMBER($E276),$E276,0)+IF(ISNUMBER(Parâmetros!$E$7),Parâmetros!$E$7,0))/(1-$H276-Parâmetros!$B$7-Parâmetros!$C$7-Parâmetros!$D$7)))</f>
        <v>1068.80434782609</v>
      </c>
      <c r="J276" s="38"/>
      <c r="K276" s="39" t="n">
        <f aca="false">IF(OR($A276="",NOT(ISNUMBER($D276)),NOT(ISNUMBER($H276))),"",IF(AND(ISNUMBER($J276),$J276&gt;0),$J276,IF(ISNUMBER($I276),$I276,"")))</f>
        <v>1068.80434782609</v>
      </c>
      <c r="L276" s="40" t="n">
        <f aca="false">IF(ISNUMBER($K276),$K276*$H276,"")</f>
        <v>224.448913043478</v>
      </c>
      <c r="M276" s="40" t="n">
        <f aca="false">IF(ISNUMBER($K276),$K276*Parâmetros!$B$7,"")</f>
        <v>106.880434782609</v>
      </c>
      <c r="N276" s="40" t="n">
        <f aca="false">IF(ISNUMBER($K276),$K276*Parâmetros!$C$7,"")</f>
        <v>32.0641304347826</v>
      </c>
      <c r="O276" s="40" t="n">
        <f aca="false">IF(ISNUMBER($K276),IF(ISNUMBER(Parâmetros!$E$7),Parâmetros!$E$7,0),"")</f>
        <v>0</v>
      </c>
      <c r="P276" s="41" t="n">
        <f aca="false">IF(ISNUMBER($K276),$K276-$D276-IF(ISNUMBER($E276),$E276,0)-$L276-$M276-$N276-$O276,"")</f>
        <v>213.760869565217</v>
      </c>
      <c r="Q276" s="42" t="n">
        <f aca="false">IF(AND(ISNUMBER($K276),$K276&gt;0),$P276/$K276,"")</f>
        <v>0.2</v>
      </c>
      <c r="R276" s="43"/>
      <c r="S276" s="44" t="str">
        <f aca="false">IF(OR(NOT(ISNUMBER($R276)),$R276=0,NOT(ISNUMBER($K276))),"",$K276*(1-$R276))</f>
        <v/>
      </c>
      <c r="T276" s="45" t="str">
        <f aca="false">IF(ISNUMBER($S276),$S276*$H276,"")</f>
        <v/>
      </c>
      <c r="U276" s="45" t="str">
        <f aca="false">IF(ISNUMBER($S276),$S276*Parâmetros!$B$7,"")</f>
        <v/>
      </c>
      <c r="V276" s="45" t="str">
        <f aca="false">IF(ISNUMBER($S276),$S276*Parâmetros!$C$7,"")</f>
        <v/>
      </c>
      <c r="W276" s="44" t="str">
        <f aca="false">IF(ISNUMBER($S276),$S276-$D276-IF(ISNUMBER($E276),$E276,0)-$O276-$T276-$U276-$V276,"")</f>
        <v/>
      </c>
      <c r="X276" s="46" t="str">
        <f aca="false">IF(AND(ISNUMBER($S276),$S276&gt;0),$W276/$S276,"")</f>
        <v/>
      </c>
      <c r="Y276" s="47"/>
      <c r="Z276" s="19"/>
    </row>
    <row r="277" customFormat="false" ht="15.75" hidden="false" customHeight="true" outlineLevel="0" collapsed="false">
      <c r="A277" s="48" t="str">
        <f aca="false">IF(Produtos!$A277="","",Produtos!$A277)</f>
        <v>P4050R</v>
      </c>
      <c r="B277" s="48" t="str">
        <f aca="false">IF(Produtos!$A277="","",Produtos!$B277)</f>
        <v>Lixeira c/Tampa Pedal 40x50 65L c/Rodízios</v>
      </c>
      <c r="C277" s="48" t="str">
        <f aca="false">IF(Produtos!$A277="","",Produtos!$C277)</f>
        <v>Lixeiras com pedal</v>
      </c>
      <c r="D277" s="33" t="n">
        <f aca="false">IF(Produtos!$A277="","",IF(Produtos!$D277="","",Produtos!$D277))</f>
        <v>659.48</v>
      </c>
      <c r="E277" s="11" t="n">
        <v>0</v>
      </c>
      <c r="F277" s="34" t="n">
        <f aca="false">IF($A277="","",IF($C277="","⚠ categoria",IFERROR(INDEX(Parâmetros!$E$13:$E$22,MATCH($C277,Parâmetros!$A$13:$A$22,0)),"⚠ categoria")))</f>
        <v>0.21</v>
      </c>
      <c r="G277" s="35"/>
      <c r="H277" s="36" t="n">
        <f aca="false">IF($A277="","",IF(ISNUMBER($G277),$G277,IF(ISNUMBER($F277),$F277,"")))</f>
        <v>0.21</v>
      </c>
      <c r="I277" s="37" t="n">
        <f aca="false">IF(OR($A277="",NOT(ISNUMBER($D277)),NOT(ISNUMBER($H277))),"",IF((1-$H277-Parâmetros!$B$7-Parâmetros!$C$7-Parâmetros!$D$7)&lt;=0,"INVALIDO",($D277+IF(ISNUMBER($E277),$E277,0)+IF(ISNUMBER(Parâmetros!$E$7),Parâmetros!$E$7,0))/(1-$H277-Parâmetros!$B$7-Parâmetros!$C$7-Parâmetros!$D$7)))</f>
        <v>1433.65217391304</v>
      </c>
      <c r="J277" s="38"/>
      <c r="K277" s="39" t="n">
        <f aca="false">IF(OR($A277="",NOT(ISNUMBER($D277)),NOT(ISNUMBER($H277))),"",IF(AND(ISNUMBER($J277),$J277&gt;0),$J277,IF(ISNUMBER($I277),$I277,"")))</f>
        <v>1433.65217391304</v>
      </c>
      <c r="L277" s="40" t="n">
        <f aca="false">IF(ISNUMBER($K277),$K277*$H277,"")</f>
        <v>301.066956521739</v>
      </c>
      <c r="M277" s="40" t="n">
        <f aca="false">IF(ISNUMBER($K277),$K277*Parâmetros!$B$7,"")</f>
        <v>143.365217391304</v>
      </c>
      <c r="N277" s="40" t="n">
        <f aca="false">IF(ISNUMBER($K277),$K277*Parâmetros!$C$7,"")</f>
        <v>43.0095652173913</v>
      </c>
      <c r="O277" s="40" t="n">
        <f aca="false">IF(ISNUMBER($K277),IF(ISNUMBER(Parâmetros!$E$7),Parâmetros!$E$7,0),"")</f>
        <v>0</v>
      </c>
      <c r="P277" s="41" t="n">
        <f aca="false">IF(ISNUMBER($K277),$K277-$D277-IF(ISNUMBER($E277),$E277,0)-$L277-$M277-$N277-$O277,"")</f>
        <v>286.730434782609</v>
      </c>
      <c r="Q277" s="42" t="n">
        <f aca="false">IF(AND(ISNUMBER($K277),$K277&gt;0),$P277/$K277,"")</f>
        <v>0.2</v>
      </c>
      <c r="R277" s="43"/>
      <c r="S277" s="44" t="str">
        <f aca="false">IF(OR(NOT(ISNUMBER($R277)),$R277=0,NOT(ISNUMBER($K277))),"",$K277*(1-$R277))</f>
        <v/>
      </c>
      <c r="T277" s="45" t="str">
        <f aca="false">IF(ISNUMBER($S277),$S277*$H277,"")</f>
        <v/>
      </c>
      <c r="U277" s="45" t="str">
        <f aca="false">IF(ISNUMBER($S277),$S277*Parâmetros!$B$7,"")</f>
        <v/>
      </c>
      <c r="V277" s="45" t="str">
        <f aca="false">IF(ISNUMBER($S277),$S277*Parâmetros!$C$7,"")</f>
        <v/>
      </c>
      <c r="W277" s="44" t="str">
        <f aca="false">IF(ISNUMBER($S277),$S277-$D277-IF(ISNUMBER($E277),$E277,0)-$O277-$T277-$U277-$V277,"")</f>
        <v/>
      </c>
      <c r="X277" s="46" t="str">
        <f aca="false">IF(AND(ISNUMBER($S277),$S277&gt;0),$W277/$S277,"")</f>
        <v/>
      </c>
      <c r="Y277" s="49"/>
      <c r="Z277" s="21"/>
    </row>
    <row r="278" customFormat="false" ht="15.75" hidden="false" customHeight="true" outlineLevel="0" collapsed="false">
      <c r="A278" s="32" t="str">
        <f aca="false">IF(Produtos!$A278="","",Produtos!$A278)</f>
        <v>P4060R</v>
      </c>
      <c r="B278" s="32" t="str">
        <f aca="false">IF(Produtos!$A278="","",Produtos!$B278)</f>
        <v>Lixeira c/Tampa Pedal 40x60 75L c/Rodízios</v>
      </c>
      <c r="C278" s="32" t="str">
        <f aca="false">IF(Produtos!$A278="","",Produtos!$C278)</f>
        <v>Lixeiras com pedal</v>
      </c>
      <c r="D278" s="33" t="n">
        <f aca="false">IF(Produtos!$A278="","",IF(Produtos!$D278="","",Produtos!$D278))</f>
        <v>700.75</v>
      </c>
      <c r="E278" s="11" t="n">
        <v>0</v>
      </c>
      <c r="F278" s="34" t="n">
        <f aca="false">IF($A278="","",IF($C278="","⚠ categoria",IFERROR(INDEX(Parâmetros!$E$13:$E$22,MATCH($C278,Parâmetros!$A$13:$A$22,0)),"⚠ categoria")))</f>
        <v>0.21</v>
      </c>
      <c r="G278" s="35"/>
      <c r="H278" s="36" t="n">
        <f aca="false">IF($A278="","",IF(ISNUMBER($G278),$G278,IF(ISNUMBER($F278),$F278,"")))</f>
        <v>0.21</v>
      </c>
      <c r="I278" s="37" t="n">
        <f aca="false">IF(OR($A278="",NOT(ISNUMBER($D278)),NOT(ISNUMBER($H278))),"",IF((1-$H278-Parâmetros!$B$7-Parâmetros!$C$7-Parâmetros!$D$7)&lt;=0,"INVALIDO",($D278+IF(ISNUMBER($E278),$E278,0)+IF(ISNUMBER(Parâmetros!$E$7),Parâmetros!$E$7,0))/(1-$H278-Parâmetros!$B$7-Parâmetros!$C$7-Parâmetros!$D$7)))</f>
        <v>1523.36956521739</v>
      </c>
      <c r="J278" s="38"/>
      <c r="K278" s="39" t="n">
        <f aca="false">IF(OR($A278="",NOT(ISNUMBER($D278)),NOT(ISNUMBER($H278))),"",IF(AND(ISNUMBER($J278),$J278&gt;0),$J278,IF(ISNUMBER($I278),$I278,"")))</f>
        <v>1523.36956521739</v>
      </c>
      <c r="L278" s="40" t="n">
        <f aca="false">IF(ISNUMBER($K278),$K278*$H278,"")</f>
        <v>319.907608695652</v>
      </c>
      <c r="M278" s="40" t="n">
        <f aca="false">IF(ISNUMBER($K278),$K278*Parâmetros!$B$7,"")</f>
        <v>152.336956521739</v>
      </c>
      <c r="N278" s="40" t="n">
        <f aca="false">IF(ISNUMBER($K278),$K278*Parâmetros!$C$7,"")</f>
        <v>45.7010869565217</v>
      </c>
      <c r="O278" s="40" t="n">
        <f aca="false">IF(ISNUMBER($K278),IF(ISNUMBER(Parâmetros!$E$7),Parâmetros!$E$7,0),"")</f>
        <v>0</v>
      </c>
      <c r="P278" s="41" t="n">
        <f aca="false">IF(ISNUMBER($K278),$K278-$D278-IF(ISNUMBER($E278),$E278,0)-$L278-$M278-$N278-$O278,"")</f>
        <v>304.673913043478</v>
      </c>
      <c r="Q278" s="42" t="n">
        <f aca="false">IF(AND(ISNUMBER($K278),$K278&gt;0),$P278/$K278,"")</f>
        <v>0.2</v>
      </c>
      <c r="R278" s="43"/>
      <c r="S278" s="44" t="str">
        <f aca="false">IF(OR(NOT(ISNUMBER($R278)),$R278=0,NOT(ISNUMBER($K278))),"",$K278*(1-$R278))</f>
        <v/>
      </c>
      <c r="T278" s="45" t="str">
        <f aca="false">IF(ISNUMBER($S278),$S278*$H278,"")</f>
        <v/>
      </c>
      <c r="U278" s="45" t="str">
        <f aca="false">IF(ISNUMBER($S278),$S278*Parâmetros!$B$7,"")</f>
        <v/>
      </c>
      <c r="V278" s="45" t="str">
        <f aca="false">IF(ISNUMBER($S278),$S278*Parâmetros!$C$7,"")</f>
        <v/>
      </c>
      <c r="W278" s="44" t="str">
        <f aca="false">IF(ISNUMBER($S278),$S278-$D278-IF(ISNUMBER($E278),$E278,0)-$O278-$T278-$U278-$V278,"")</f>
        <v/>
      </c>
      <c r="X278" s="46" t="str">
        <f aca="false">IF(AND(ISNUMBER($S278),$S278&gt;0),$W278/$S278,"")</f>
        <v/>
      </c>
      <c r="Y278" s="47"/>
      <c r="Z278" s="19"/>
    </row>
    <row r="279" customFormat="false" ht="15.75" hidden="false" customHeight="true" outlineLevel="0" collapsed="false">
      <c r="A279" s="48" t="str">
        <f aca="false">IF(Produtos!$A279="","",Produtos!$A279)</f>
        <v>P4070R</v>
      </c>
      <c r="B279" s="48" t="str">
        <f aca="false">IF(Produtos!$A279="","",Produtos!$B279)</f>
        <v>Lixeira c/Tampa Pedal 40x70 80L c/Rodízios</v>
      </c>
      <c r="C279" s="48" t="str">
        <f aca="false">IF(Produtos!$A279="","",Produtos!$C279)</f>
        <v>Lixeiras com pedal</v>
      </c>
      <c r="D279" s="33" t="n">
        <f aca="false">IF(Produtos!$A279="","",IF(Produtos!$D279="","",Produtos!$D279))</f>
        <v>709.85</v>
      </c>
      <c r="E279" s="11" t="n">
        <v>0</v>
      </c>
      <c r="F279" s="34" t="n">
        <f aca="false">IF($A279="","",IF($C279="","⚠ categoria",IFERROR(INDEX(Parâmetros!$E$13:$E$22,MATCH($C279,Parâmetros!$A$13:$A$22,0)),"⚠ categoria")))</f>
        <v>0.21</v>
      </c>
      <c r="G279" s="35"/>
      <c r="H279" s="36" t="n">
        <f aca="false">IF($A279="","",IF(ISNUMBER($G279),$G279,IF(ISNUMBER($F279),$F279,"")))</f>
        <v>0.21</v>
      </c>
      <c r="I279" s="37" t="n">
        <f aca="false">IF(OR($A279="",NOT(ISNUMBER($D279)),NOT(ISNUMBER($H279))),"",IF((1-$H279-Parâmetros!$B$7-Parâmetros!$C$7-Parâmetros!$D$7)&lt;=0,"INVALIDO",($D279+IF(ISNUMBER($E279),$E279,0)+IF(ISNUMBER(Parâmetros!$E$7),Parâmetros!$E$7,0))/(1-$H279-Parâmetros!$B$7-Parâmetros!$C$7-Parâmetros!$D$7)))</f>
        <v>1543.15217391304</v>
      </c>
      <c r="J279" s="38"/>
      <c r="K279" s="39" t="n">
        <f aca="false">IF(OR($A279="",NOT(ISNUMBER($D279)),NOT(ISNUMBER($H279))),"",IF(AND(ISNUMBER($J279),$J279&gt;0),$J279,IF(ISNUMBER($I279),$I279,"")))</f>
        <v>1543.15217391304</v>
      </c>
      <c r="L279" s="40" t="n">
        <f aca="false">IF(ISNUMBER($K279),$K279*$H279,"")</f>
        <v>324.061956521739</v>
      </c>
      <c r="M279" s="40" t="n">
        <f aca="false">IF(ISNUMBER($K279),$K279*Parâmetros!$B$7,"")</f>
        <v>154.315217391304</v>
      </c>
      <c r="N279" s="40" t="n">
        <f aca="false">IF(ISNUMBER($K279),$K279*Parâmetros!$C$7,"")</f>
        <v>46.2945652173913</v>
      </c>
      <c r="O279" s="40" t="n">
        <f aca="false">IF(ISNUMBER($K279),IF(ISNUMBER(Parâmetros!$E$7),Parâmetros!$E$7,0),"")</f>
        <v>0</v>
      </c>
      <c r="P279" s="41" t="n">
        <f aca="false">IF(ISNUMBER($K279),$K279-$D279-IF(ISNUMBER($E279),$E279,0)-$L279-$M279-$N279-$O279,"")</f>
        <v>308.630434782609</v>
      </c>
      <c r="Q279" s="42" t="n">
        <f aca="false">IF(AND(ISNUMBER($K279),$K279&gt;0),$P279/$K279,"")</f>
        <v>0.2</v>
      </c>
      <c r="R279" s="43"/>
      <c r="S279" s="44" t="str">
        <f aca="false">IF(OR(NOT(ISNUMBER($R279)),$R279=0,NOT(ISNUMBER($K279))),"",$K279*(1-$R279))</f>
        <v/>
      </c>
      <c r="T279" s="45" t="str">
        <f aca="false">IF(ISNUMBER($S279),$S279*$H279,"")</f>
        <v/>
      </c>
      <c r="U279" s="45" t="str">
        <f aca="false">IF(ISNUMBER($S279),$S279*Parâmetros!$B$7,"")</f>
        <v/>
      </c>
      <c r="V279" s="45" t="str">
        <f aca="false">IF(ISNUMBER($S279),$S279*Parâmetros!$C$7,"")</f>
        <v/>
      </c>
      <c r="W279" s="44" t="str">
        <f aca="false">IF(ISNUMBER($S279),$S279-$D279-IF(ISNUMBER($E279),$E279,0)-$O279-$T279-$U279-$V279,"")</f>
        <v/>
      </c>
      <c r="X279" s="46" t="str">
        <f aca="false">IF(AND(ISNUMBER($S279),$S279&gt;0),$W279/$S279,"")</f>
        <v/>
      </c>
      <c r="Y279" s="49"/>
      <c r="Z279" s="21"/>
    </row>
    <row r="280" customFormat="false" ht="15.75" hidden="false" customHeight="true" outlineLevel="0" collapsed="false">
      <c r="A280" s="32" t="str">
        <f aca="false">IF(Produtos!$A280="","",Produtos!$A280)</f>
        <v>P4075R</v>
      </c>
      <c r="B280" s="32" t="str">
        <f aca="false">IF(Produtos!$A280="","",Produtos!$B280)</f>
        <v>Lixeira c/Tampa Pedal 40x75 95L c/Rodízios</v>
      </c>
      <c r="C280" s="32" t="str">
        <f aca="false">IF(Produtos!$A280="","",Produtos!$C280)</f>
        <v>Lixeiras com pedal</v>
      </c>
      <c r="D280" s="33" t="n">
        <f aca="false">IF(Produtos!$A280="","",IF(Produtos!$D280="","",Produtos!$D280))</f>
        <v>771.39</v>
      </c>
      <c r="E280" s="11" t="n">
        <v>0</v>
      </c>
      <c r="F280" s="34" t="n">
        <f aca="false">IF($A280="","",IF($C280="","⚠ categoria",IFERROR(INDEX(Parâmetros!$E$13:$E$22,MATCH($C280,Parâmetros!$A$13:$A$22,0)),"⚠ categoria")))</f>
        <v>0.21</v>
      </c>
      <c r="G280" s="35"/>
      <c r="H280" s="36" t="n">
        <f aca="false">IF($A280="","",IF(ISNUMBER($G280),$G280,IF(ISNUMBER($F280),$F280,"")))</f>
        <v>0.21</v>
      </c>
      <c r="I280" s="37" t="n">
        <f aca="false">IF(OR($A280="",NOT(ISNUMBER($D280)),NOT(ISNUMBER($H280))),"",IF((1-$H280-Parâmetros!$B$7-Parâmetros!$C$7-Parâmetros!$D$7)&lt;=0,"INVALIDO",($D280+IF(ISNUMBER($E280),$E280,0)+IF(ISNUMBER(Parâmetros!$E$7),Parâmetros!$E$7,0))/(1-$H280-Parâmetros!$B$7-Parâmetros!$C$7-Parâmetros!$D$7)))</f>
        <v>1676.9347826087</v>
      </c>
      <c r="J280" s="38"/>
      <c r="K280" s="39" t="n">
        <f aca="false">IF(OR($A280="",NOT(ISNUMBER($D280)),NOT(ISNUMBER($H280))),"",IF(AND(ISNUMBER($J280),$J280&gt;0),$J280,IF(ISNUMBER($I280),$I280,"")))</f>
        <v>1676.9347826087</v>
      </c>
      <c r="L280" s="40" t="n">
        <f aca="false">IF(ISNUMBER($K280),$K280*$H280,"")</f>
        <v>352.156304347826</v>
      </c>
      <c r="M280" s="40" t="n">
        <f aca="false">IF(ISNUMBER($K280),$K280*Parâmetros!$B$7,"")</f>
        <v>167.69347826087</v>
      </c>
      <c r="N280" s="40" t="n">
        <f aca="false">IF(ISNUMBER($K280),$K280*Parâmetros!$C$7,"")</f>
        <v>50.3080434782609</v>
      </c>
      <c r="O280" s="40" t="n">
        <f aca="false">IF(ISNUMBER($K280),IF(ISNUMBER(Parâmetros!$E$7),Parâmetros!$E$7,0),"")</f>
        <v>0</v>
      </c>
      <c r="P280" s="41" t="n">
        <f aca="false">IF(ISNUMBER($K280),$K280-$D280-IF(ISNUMBER($E280),$E280,0)-$L280-$M280-$N280-$O280,"")</f>
        <v>335.386956521739</v>
      </c>
      <c r="Q280" s="42" t="n">
        <f aca="false">IF(AND(ISNUMBER($K280),$K280&gt;0),$P280/$K280,"")</f>
        <v>0.2</v>
      </c>
      <c r="R280" s="43"/>
      <c r="S280" s="44" t="str">
        <f aca="false">IF(OR(NOT(ISNUMBER($R280)),$R280=0,NOT(ISNUMBER($K280))),"",$K280*(1-$R280))</f>
        <v/>
      </c>
      <c r="T280" s="45" t="str">
        <f aca="false">IF(ISNUMBER($S280),$S280*$H280,"")</f>
        <v/>
      </c>
      <c r="U280" s="45" t="str">
        <f aca="false">IF(ISNUMBER($S280),$S280*Parâmetros!$B$7,"")</f>
        <v/>
      </c>
      <c r="V280" s="45" t="str">
        <f aca="false">IF(ISNUMBER($S280),$S280*Parâmetros!$C$7,"")</f>
        <v/>
      </c>
      <c r="W280" s="44" t="str">
        <f aca="false">IF(ISNUMBER($S280),$S280-$D280-IF(ISNUMBER($E280),$E280,0)-$O280-$T280-$U280-$V280,"")</f>
        <v/>
      </c>
      <c r="X280" s="46" t="str">
        <f aca="false">IF(AND(ISNUMBER($S280),$S280&gt;0),$W280/$S280,"")</f>
        <v/>
      </c>
      <c r="Y280" s="47"/>
      <c r="Z280" s="19"/>
    </row>
    <row r="281" customFormat="false" ht="15.75" hidden="false" customHeight="true" outlineLevel="0" collapsed="false">
      <c r="A281" s="48" t="str">
        <f aca="false">IF(Produtos!$A281="","",Produtos!$A281)</f>
        <v>P4080R</v>
      </c>
      <c r="B281" s="48" t="str">
        <f aca="false">IF(Produtos!$A281="","",Produtos!$B281)</f>
        <v>Lixeira c/Tampa Pedal 40x80 100L c/Rodízios</v>
      </c>
      <c r="C281" s="48" t="str">
        <f aca="false">IF(Produtos!$A281="","",Produtos!$C281)</f>
        <v>Lixeiras com pedal</v>
      </c>
      <c r="D281" s="33" t="n">
        <f aca="false">IF(Produtos!$A281="","",IF(Produtos!$D281="","",Produtos!$D281))</f>
        <v>847.75</v>
      </c>
      <c r="E281" s="11" t="n">
        <v>0</v>
      </c>
      <c r="F281" s="34" t="n">
        <f aca="false">IF($A281="","",IF($C281="","⚠ categoria",IFERROR(INDEX(Parâmetros!$E$13:$E$22,MATCH($C281,Parâmetros!$A$13:$A$22,0)),"⚠ categoria")))</f>
        <v>0.21</v>
      </c>
      <c r="G281" s="35"/>
      <c r="H281" s="36" t="n">
        <f aca="false">IF($A281="","",IF(ISNUMBER($G281),$G281,IF(ISNUMBER($F281),$F281,"")))</f>
        <v>0.21</v>
      </c>
      <c r="I281" s="37" t="n">
        <f aca="false">IF(OR($A281="",NOT(ISNUMBER($D281)),NOT(ISNUMBER($H281))),"",IF((1-$H281-Parâmetros!$B$7-Parâmetros!$C$7-Parâmetros!$D$7)&lt;=0,"INVALIDO",($D281+IF(ISNUMBER($E281),$E281,0)+IF(ISNUMBER(Parâmetros!$E$7),Parâmetros!$E$7,0))/(1-$H281-Parâmetros!$B$7-Parâmetros!$C$7-Parâmetros!$D$7)))</f>
        <v>1842.9347826087</v>
      </c>
      <c r="J281" s="38"/>
      <c r="K281" s="39" t="n">
        <f aca="false">IF(OR($A281="",NOT(ISNUMBER($D281)),NOT(ISNUMBER($H281))),"",IF(AND(ISNUMBER($J281),$J281&gt;0),$J281,IF(ISNUMBER($I281),$I281,"")))</f>
        <v>1842.9347826087</v>
      </c>
      <c r="L281" s="40" t="n">
        <f aca="false">IF(ISNUMBER($K281),$K281*$H281,"")</f>
        <v>387.016304347826</v>
      </c>
      <c r="M281" s="40" t="n">
        <f aca="false">IF(ISNUMBER($K281),$K281*Parâmetros!$B$7,"")</f>
        <v>184.29347826087</v>
      </c>
      <c r="N281" s="40" t="n">
        <f aca="false">IF(ISNUMBER($K281),$K281*Parâmetros!$C$7,"")</f>
        <v>55.2880434782609</v>
      </c>
      <c r="O281" s="40" t="n">
        <f aca="false">IF(ISNUMBER($K281),IF(ISNUMBER(Parâmetros!$E$7),Parâmetros!$E$7,0),"")</f>
        <v>0</v>
      </c>
      <c r="P281" s="41" t="n">
        <f aca="false">IF(ISNUMBER($K281),$K281-$D281-IF(ISNUMBER($E281),$E281,0)-$L281-$M281-$N281-$O281,"")</f>
        <v>368.586956521739</v>
      </c>
      <c r="Q281" s="42" t="n">
        <f aca="false">IF(AND(ISNUMBER($K281),$K281&gt;0),$P281/$K281,"")</f>
        <v>0.2</v>
      </c>
      <c r="R281" s="43"/>
      <c r="S281" s="44" t="str">
        <f aca="false">IF(OR(NOT(ISNUMBER($R281)),$R281=0,NOT(ISNUMBER($K281))),"",$K281*(1-$R281))</f>
        <v/>
      </c>
      <c r="T281" s="45" t="str">
        <f aca="false">IF(ISNUMBER($S281),$S281*$H281,"")</f>
        <v/>
      </c>
      <c r="U281" s="45" t="str">
        <f aca="false">IF(ISNUMBER($S281),$S281*Parâmetros!$B$7,"")</f>
        <v/>
      </c>
      <c r="V281" s="45" t="str">
        <f aca="false">IF(ISNUMBER($S281),$S281*Parâmetros!$C$7,"")</f>
        <v/>
      </c>
      <c r="W281" s="44" t="str">
        <f aca="false">IF(ISNUMBER($S281),$S281-$D281-IF(ISNUMBER($E281),$E281,0)-$O281-$T281-$U281-$V281,"")</f>
        <v/>
      </c>
      <c r="X281" s="46" t="str">
        <f aca="false">IF(AND(ISNUMBER($S281),$S281&gt;0),$W281/$S281,"")</f>
        <v/>
      </c>
      <c r="Y281" s="49"/>
      <c r="Z281" s="21"/>
    </row>
    <row r="282" customFormat="false" ht="15.75" hidden="false" customHeight="true" outlineLevel="0" collapsed="false">
      <c r="A282" s="32" t="str">
        <f aca="false">IF(Produtos!$A282="","",Produtos!$A282)</f>
        <v>P4090R</v>
      </c>
      <c r="B282" s="32" t="str">
        <f aca="false">IF(Produtos!$A282="","",Produtos!$B282)</f>
        <v>Lixeira c/Tampa Pedal 40x90 120L c/Rodízios</v>
      </c>
      <c r="C282" s="32" t="str">
        <f aca="false">IF(Produtos!$A282="","",Produtos!$C282)</f>
        <v>Lixeiras com pedal</v>
      </c>
      <c r="D282" s="33" t="n">
        <f aca="false">IF(Produtos!$A282="","",IF(Produtos!$D282="","",Produtos!$D282))</f>
        <v>1057.78</v>
      </c>
      <c r="E282" s="11" t="n">
        <v>0</v>
      </c>
      <c r="F282" s="34" t="n">
        <f aca="false">IF($A282="","",IF($C282="","⚠ categoria",IFERROR(INDEX(Parâmetros!$E$13:$E$22,MATCH($C282,Parâmetros!$A$13:$A$22,0)),"⚠ categoria")))</f>
        <v>0.21</v>
      </c>
      <c r="G282" s="35"/>
      <c r="H282" s="36" t="n">
        <f aca="false">IF($A282="","",IF(ISNUMBER($G282),$G282,IF(ISNUMBER($F282),$F282,"")))</f>
        <v>0.21</v>
      </c>
      <c r="I282" s="37" t="n">
        <f aca="false">IF(OR($A282="",NOT(ISNUMBER($D282)),NOT(ISNUMBER($H282))),"",IF((1-$H282-Parâmetros!$B$7-Parâmetros!$C$7-Parâmetros!$D$7)&lt;=0,"INVALIDO",($D282+IF(ISNUMBER($E282),$E282,0)+IF(ISNUMBER(Parâmetros!$E$7),Parâmetros!$E$7,0))/(1-$H282-Parâmetros!$B$7-Parâmetros!$C$7-Parâmetros!$D$7)))</f>
        <v>2299.52173913043</v>
      </c>
      <c r="J282" s="38"/>
      <c r="K282" s="39" t="n">
        <f aca="false">IF(OR($A282="",NOT(ISNUMBER($D282)),NOT(ISNUMBER($H282))),"",IF(AND(ISNUMBER($J282),$J282&gt;0),$J282,IF(ISNUMBER($I282),$I282,"")))</f>
        <v>2299.52173913043</v>
      </c>
      <c r="L282" s="40" t="n">
        <f aca="false">IF(ISNUMBER($K282),$K282*$H282,"")</f>
        <v>482.899565217391</v>
      </c>
      <c r="M282" s="40" t="n">
        <f aca="false">IF(ISNUMBER($K282),$K282*Parâmetros!$B$7,"")</f>
        <v>229.952173913043</v>
      </c>
      <c r="N282" s="40" t="n">
        <f aca="false">IF(ISNUMBER($K282),$K282*Parâmetros!$C$7,"")</f>
        <v>68.985652173913</v>
      </c>
      <c r="O282" s="40" t="n">
        <f aca="false">IF(ISNUMBER($K282),IF(ISNUMBER(Parâmetros!$E$7),Parâmetros!$E$7,0),"")</f>
        <v>0</v>
      </c>
      <c r="P282" s="41" t="n">
        <f aca="false">IF(ISNUMBER($K282),$K282-$D282-IF(ISNUMBER($E282),$E282,0)-$L282-$M282-$N282-$O282,"")</f>
        <v>459.904347826087</v>
      </c>
      <c r="Q282" s="42" t="n">
        <f aca="false">IF(AND(ISNUMBER($K282),$K282&gt;0),$P282/$K282,"")</f>
        <v>0.2</v>
      </c>
      <c r="R282" s="43"/>
      <c r="S282" s="44" t="str">
        <f aca="false">IF(OR(NOT(ISNUMBER($R282)),$R282=0,NOT(ISNUMBER($K282))),"",$K282*(1-$R282))</f>
        <v/>
      </c>
      <c r="T282" s="45" t="str">
        <f aca="false">IF(ISNUMBER($S282),$S282*$H282,"")</f>
        <v/>
      </c>
      <c r="U282" s="45" t="str">
        <f aca="false">IF(ISNUMBER($S282),$S282*Parâmetros!$B$7,"")</f>
        <v/>
      </c>
      <c r="V282" s="45" t="str">
        <f aca="false">IF(ISNUMBER($S282),$S282*Parâmetros!$C$7,"")</f>
        <v/>
      </c>
      <c r="W282" s="44" t="str">
        <f aca="false">IF(ISNUMBER($S282),$S282-$D282-IF(ISNUMBER($E282),$E282,0)-$O282-$T282-$U282-$V282,"")</f>
        <v/>
      </c>
      <c r="X282" s="46" t="str">
        <f aca="false">IF(AND(ISNUMBER($S282),$S282&gt;0),$W282/$S282,"")</f>
        <v/>
      </c>
      <c r="Y282" s="47"/>
      <c r="Z282" s="19"/>
    </row>
    <row r="283" customFormat="false" ht="15.75" hidden="false" customHeight="true" outlineLevel="0" collapsed="false">
      <c r="A283" s="48" t="str">
        <f aca="false">IF(Produtos!$A283="","",Produtos!$A283)</f>
        <v>P1618ALC</v>
      </c>
      <c r="B283" s="48" t="str">
        <f aca="false">IF(Produtos!$A283="","",Produtos!$B283)</f>
        <v>Lixeira c/Tampa Pedal 16x18 03L c/Alças</v>
      </c>
      <c r="C283" s="48" t="str">
        <f aca="false">IF(Produtos!$A283="","",Produtos!$C283)</f>
        <v>Lixeiras com pedal</v>
      </c>
      <c r="D283" s="33" t="n">
        <f aca="false">IF(Produtos!$A283="","",IF(Produtos!$D283="","",Produtos!$D283))</f>
        <v>156.92</v>
      </c>
      <c r="E283" s="11" t="n">
        <v>0</v>
      </c>
      <c r="F283" s="34" t="n">
        <f aca="false">IF($A283="","",IF($C283="","⚠ categoria",IFERROR(INDEX(Parâmetros!$E$13:$E$22,MATCH($C283,Parâmetros!$A$13:$A$22,0)),"⚠ categoria")))</f>
        <v>0.21</v>
      </c>
      <c r="G283" s="35"/>
      <c r="H283" s="36" t="n">
        <f aca="false">IF($A283="","",IF(ISNUMBER($G283),$G283,IF(ISNUMBER($F283),$F283,"")))</f>
        <v>0.21</v>
      </c>
      <c r="I283" s="37" t="n">
        <f aca="false">IF(OR($A283="",NOT(ISNUMBER($D283)),NOT(ISNUMBER($H283))),"",IF((1-$H283-Parâmetros!$B$7-Parâmetros!$C$7-Parâmetros!$D$7)&lt;=0,"INVALIDO",($D283+IF(ISNUMBER($E283),$E283,0)+IF(ISNUMBER(Parâmetros!$E$7),Parâmetros!$E$7,0))/(1-$H283-Parâmetros!$B$7-Parâmetros!$C$7-Parâmetros!$D$7)))</f>
        <v>341.130434782609</v>
      </c>
      <c r="J283" s="38"/>
      <c r="K283" s="39" t="n">
        <f aca="false">IF(OR($A283="",NOT(ISNUMBER($D283)),NOT(ISNUMBER($H283))),"",IF(AND(ISNUMBER($J283),$J283&gt;0),$J283,IF(ISNUMBER($I283),$I283,"")))</f>
        <v>341.130434782609</v>
      </c>
      <c r="L283" s="40" t="n">
        <f aca="false">IF(ISNUMBER($K283),$K283*$H283,"")</f>
        <v>71.6373913043478</v>
      </c>
      <c r="M283" s="40" t="n">
        <f aca="false">IF(ISNUMBER($K283),$K283*Parâmetros!$B$7,"")</f>
        <v>34.1130434782609</v>
      </c>
      <c r="N283" s="40" t="n">
        <f aca="false">IF(ISNUMBER($K283),$K283*Parâmetros!$C$7,"")</f>
        <v>10.2339130434783</v>
      </c>
      <c r="O283" s="40" t="n">
        <f aca="false">IF(ISNUMBER($K283),IF(ISNUMBER(Parâmetros!$E$7),Parâmetros!$E$7,0),"")</f>
        <v>0</v>
      </c>
      <c r="P283" s="41" t="n">
        <f aca="false">IF(ISNUMBER($K283),$K283-$D283-IF(ISNUMBER($E283),$E283,0)-$L283-$M283-$N283-$O283,"")</f>
        <v>68.2260869565217</v>
      </c>
      <c r="Q283" s="42" t="n">
        <f aca="false">IF(AND(ISNUMBER($K283),$K283&gt;0),$P283/$K283,"")</f>
        <v>0.2</v>
      </c>
      <c r="R283" s="43"/>
      <c r="S283" s="44" t="str">
        <f aca="false">IF(OR(NOT(ISNUMBER($R283)),$R283=0,NOT(ISNUMBER($K283))),"",$K283*(1-$R283))</f>
        <v/>
      </c>
      <c r="T283" s="45" t="str">
        <f aca="false">IF(ISNUMBER($S283),$S283*$H283,"")</f>
        <v/>
      </c>
      <c r="U283" s="45" t="str">
        <f aca="false">IF(ISNUMBER($S283),$S283*Parâmetros!$B$7,"")</f>
        <v/>
      </c>
      <c r="V283" s="45" t="str">
        <f aca="false">IF(ISNUMBER($S283),$S283*Parâmetros!$C$7,"")</f>
        <v/>
      </c>
      <c r="W283" s="44" t="str">
        <f aca="false">IF(ISNUMBER($S283),$S283-$D283-IF(ISNUMBER($E283),$E283,0)-$O283-$T283-$U283-$V283,"")</f>
        <v/>
      </c>
      <c r="X283" s="46" t="str">
        <f aca="false">IF(AND(ISNUMBER($S283),$S283&gt;0),$W283/$S283,"")</f>
        <v/>
      </c>
      <c r="Y283" s="49"/>
      <c r="Z283" s="21"/>
    </row>
    <row r="284" customFormat="false" ht="15.75" hidden="false" customHeight="true" outlineLevel="0" collapsed="false">
      <c r="A284" s="32" t="str">
        <f aca="false">IF(Produtos!$A284="","",Produtos!$A284)</f>
        <v>P1623ALC</v>
      </c>
      <c r="B284" s="32" t="str">
        <f aca="false">IF(Produtos!$A284="","",Produtos!$B284)</f>
        <v>Lixeira c/Tampa Pedal 16x23 05L c/Alças</v>
      </c>
      <c r="C284" s="32" t="str">
        <f aca="false">IF(Produtos!$A284="","",Produtos!$C284)</f>
        <v>Lixeiras com pedal</v>
      </c>
      <c r="D284" s="33" t="n">
        <f aca="false">IF(Produtos!$A284="","",IF(Produtos!$D284="","",Produtos!$D284))</f>
        <v>170.79</v>
      </c>
      <c r="E284" s="11" t="n">
        <v>0</v>
      </c>
      <c r="F284" s="34" t="n">
        <f aca="false">IF($A284="","",IF($C284="","⚠ categoria",IFERROR(INDEX(Parâmetros!$E$13:$E$22,MATCH($C284,Parâmetros!$A$13:$A$22,0)),"⚠ categoria")))</f>
        <v>0.21</v>
      </c>
      <c r="G284" s="35"/>
      <c r="H284" s="36" t="n">
        <f aca="false">IF($A284="","",IF(ISNUMBER($G284),$G284,IF(ISNUMBER($F284),$F284,"")))</f>
        <v>0.21</v>
      </c>
      <c r="I284" s="37" t="n">
        <f aca="false">IF(OR($A284="",NOT(ISNUMBER($D284)),NOT(ISNUMBER($H284))),"",IF((1-$H284-Parâmetros!$B$7-Parâmetros!$C$7-Parâmetros!$D$7)&lt;=0,"INVALIDO",($D284+IF(ISNUMBER($E284),$E284,0)+IF(ISNUMBER(Parâmetros!$E$7),Parâmetros!$E$7,0))/(1-$H284-Parâmetros!$B$7-Parâmetros!$C$7-Parâmetros!$D$7)))</f>
        <v>371.282608695652</v>
      </c>
      <c r="J284" s="38"/>
      <c r="K284" s="39" t="n">
        <f aca="false">IF(OR($A284="",NOT(ISNUMBER($D284)),NOT(ISNUMBER($H284))),"",IF(AND(ISNUMBER($J284),$J284&gt;0),$J284,IF(ISNUMBER($I284),$I284,"")))</f>
        <v>371.282608695652</v>
      </c>
      <c r="L284" s="40" t="n">
        <f aca="false">IF(ISNUMBER($K284),$K284*$H284,"")</f>
        <v>77.969347826087</v>
      </c>
      <c r="M284" s="40" t="n">
        <f aca="false">IF(ISNUMBER($K284),$K284*Parâmetros!$B$7,"")</f>
        <v>37.1282608695652</v>
      </c>
      <c r="N284" s="40" t="n">
        <f aca="false">IF(ISNUMBER($K284),$K284*Parâmetros!$C$7,"")</f>
        <v>11.1384782608696</v>
      </c>
      <c r="O284" s="40" t="n">
        <f aca="false">IF(ISNUMBER($K284),IF(ISNUMBER(Parâmetros!$E$7),Parâmetros!$E$7,0),"")</f>
        <v>0</v>
      </c>
      <c r="P284" s="41" t="n">
        <f aca="false">IF(ISNUMBER($K284),$K284-$D284-IF(ISNUMBER($E284),$E284,0)-$L284-$M284-$N284-$O284,"")</f>
        <v>74.2565217391304</v>
      </c>
      <c r="Q284" s="42" t="n">
        <f aca="false">IF(AND(ISNUMBER($K284),$K284&gt;0),$P284/$K284,"")</f>
        <v>0.2</v>
      </c>
      <c r="R284" s="43"/>
      <c r="S284" s="44" t="str">
        <f aca="false">IF(OR(NOT(ISNUMBER($R284)),$R284=0,NOT(ISNUMBER($K284))),"",$K284*(1-$R284))</f>
        <v/>
      </c>
      <c r="T284" s="45" t="str">
        <f aca="false">IF(ISNUMBER($S284),$S284*$H284,"")</f>
        <v/>
      </c>
      <c r="U284" s="45" t="str">
        <f aca="false">IF(ISNUMBER($S284),$S284*Parâmetros!$B$7,"")</f>
        <v/>
      </c>
      <c r="V284" s="45" t="str">
        <f aca="false">IF(ISNUMBER($S284),$S284*Parâmetros!$C$7,"")</f>
        <v/>
      </c>
      <c r="W284" s="44" t="str">
        <f aca="false">IF(ISNUMBER($S284),$S284-$D284-IF(ISNUMBER($E284),$E284,0)-$O284-$T284-$U284-$V284,"")</f>
        <v/>
      </c>
      <c r="X284" s="46" t="str">
        <f aca="false">IF(AND(ISNUMBER($S284),$S284&gt;0),$W284/$S284,"")</f>
        <v/>
      </c>
      <c r="Y284" s="47"/>
      <c r="Z284" s="19"/>
    </row>
    <row r="285" customFormat="false" ht="15.75" hidden="false" customHeight="true" outlineLevel="0" collapsed="false">
      <c r="A285" s="48" t="str">
        <f aca="false">IF(Produtos!$A285="","",Produtos!$A285)</f>
        <v>P2025ALC</v>
      </c>
      <c r="B285" s="48" t="str">
        <f aca="false">IF(Produtos!$A285="","",Produtos!$B285)</f>
        <v>Lixeira c/Tampa Pedal 20x25 07L c/Alças</v>
      </c>
      <c r="C285" s="48" t="str">
        <f aca="false">IF(Produtos!$A285="","",Produtos!$C285)</f>
        <v>Lixeiras com pedal</v>
      </c>
      <c r="D285" s="33" t="n">
        <f aca="false">IF(Produtos!$A285="","",IF(Produtos!$D285="","",Produtos!$D285))</f>
        <v>175.76</v>
      </c>
      <c r="E285" s="11" t="n">
        <v>0</v>
      </c>
      <c r="F285" s="34" t="n">
        <f aca="false">IF($A285="","",IF($C285="","⚠ categoria",IFERROR(INDEX(Parâmetros!$E$13:$E$22,MATCH($C285,Parâmetros!$A$13:$A$22,0)),"⚠ categoria")))</f>
        <v>0.21</v>
      </c>
      <c r="G285" s="35"/>
      <c r="H285" s="36" t="n">
        <f aca="false">IF($A285="","",IF(ISNUMBER($G285),$G285,IF(ISNUMBER($F285),$F285,"")))</f>
        <v>0.21</v>
      </c>
      <c r="I285" s="37" t="n">
        <f aca="false">IF(OR($A285="",NOT(ISNUMBER($D285)),NOT(ISNUMBER($H285))),"",IF((1-$H285-Parâmetros!$B$7-Parâmetros!$C$7-Parâmetros!$D$7)&lt;=0,"INVALIDO",($D285+IF(ISNUMBER($E285),$E285,0)+IF(ISNUMBER(Parâmetros!$E$7),Parâmetros!$E$7,0))/(1-$H285-Parâmetros!$B$7-Parâmetros!$C$7-Parâmetros!$D$7)))</f>
        <v>382.086956521739</v>
      </c>
      <c r="J285" s="38"/>
      <c r="K285" s="39" t="n">
        <f aca="false">IF(OR($A285="",NOT(ISNUMBER($D285)),NOT(ISNUMBER($H285))),"",IF(AND(ISNUMBER($J285),$J285&gt;0),$J285,IF(ISNUMBER($I285),$I285,"")))</f>
        <v>382.086956521739</v>
      </c>
      <c r="L285" s="40" t="n">
        <f aca="false">IF(ISNUMBER($K285),$K285*$H285,"")</f>
        <v>80.2382608695652</v>
      </c>
      <c r="M285" s="40" t="n">
        <f aca="false">IF(ISNUMBER($K285),$K285*Parâmetros!$B$7,"")</f>
        <v>38.2086956521739</v>
      </c>
      <c r="N285" s="40" t="n">
        <f aca="false">IF(ISNUMBER($K285),$K285*Parâmetros!$C$7,"")</f>
        <v>11.4626086956522</v>
      </c>
      <c r="O285" s="40" t="n">
        <f aca="false">IF(ISNUMBER($K285),IF(ISNUMBER(Parâmetros!$E$7),Parâmetros!$E$7,0),"")</f>
        <v>0</v>
      </c>
      <c r="P285" s="41" t="n">
        <f aca="false">IF(ISNUMBER($K285),$K285-$D285-IF(ISNUMBER($E285),$E285,0)-$L285-$M285-$N285-$O285,"")</f>
        <v>76.4173913043478</v>
      </c>
      <c r="Q285" s="42" t="n">
        <f aca="false">IF(AND(ISNUMBER($K285),$K285&gt;0),$P285/$K285,"")</f>
        <v>0.2</v>
      </c>
      <c r="R285" s="43"/>
      <c r="S285" s="44" t="str">
        <f aca="false">IF(OR(NOT(ISNUMBER($R285)),$R285=0,NOT(ISNUMBER($K285))),"",$K285*(1-$R285))</f>
        <v/>
      </c>
      <c r="T285" s="45" t="str">
        <f aca="false">IF(ISNUMBER($S285),$S285*$H285,"")</f>
        <v/>
      </c>
      <c r="U285" s="45" t="str">
        <f aca="false">IF(ISNUMBER($S285),$S285*Parâmetros!$B$7,"")</f>
        <v/>
      </c>
      <c r="V285" s="45" t="str">
        <f aca="false">IF(ISNUMBER($S285),$S285*Parâmetros!$C$7,"")</f>
        <v/>
      </c>
      <c r="W285" s="44" t="str">
        <f aca="false">IF(ISNUMBER($S285),$S285-$D285-IF(ISNUMBER($E285),$E285,0)-$O285-$T285-$U285-$V285,"")</f>
        <v/>
      </c>
      <c r="X285" s="46" t="str">
        <f aca="false">IF(AND(ISNUMBER($S285),$S285&gt;0),$W285/$S285,"")</f>
        <v/>
      </c>
      <c r="Y285" s="49"/>
      <c r="Z285" s="21"/>
    </row>
    <row r="286" customFormat="false" ht="15.75" hidden="false" customHeight="true" outlineLevel="0" collapsed="false">
      <c r="A286" s="32" t="str">
        <f aca="false">IF(Produtos!$A286="","",Produtos!$A286)</f>
        <v>P2030ALC</v>
      </c>
      <c r="B286" s="32" t="str">
        <f aca="false">IF(Produtos!$A286="","",Produtos!$B286)</f>
        <v>Lixeira c/Tampa Pedal 20x30 10L c/Alças</v>
      </c>
      <c r="C286" s="32" t="str">
        <f aca="false">IF(Produtos!$A286="","",Produtos!$C286)</f>
        <v>Lixeiras com pedal</v>
      </c>
      <c r="D286" s="33" t="n">
        <f aca="false">IF(Produtos!$A286="","",IF(Produtos!$D286="","",Produtos!$D286))</f>
        <v>190.1</v>
      </c>
      <c r="E286" s="11" t="n">
        <v>0</v>
      </c>
      <c r="F286" s="34" t="n">
        <f aca="false">IF($A286="","",IF($C286="","⚠ categoria",IFERROR(INDEX(Parâmetros!$E$13:$E$22,MATCH($C286,Parâmetros!$A$13:$A$22,0)),"⚠ categoria")))</f>
        <v>0.21</v>
      </c>
      <c r="G286" s="35"/>
      <c r="H286" s="36" t="n">
        <f aca="false">IF($A286="","",IF(ISNUMBER($G286),$G286,IF(ISNUMBER($F286),$F286,"")))</f>
        <v>0.21</v>
      </c>
      <c r="I286" s="37" t="n">
        <f aca="false">IF(OR($A286="",NOT(ISNUMBER($D286)),NOT(ISNUMBER($H286))),"",IF((1-$H286-Parâmetros!$B$7-Parâmetros!$C$7-Parâmetros!$D$7)&lt;=0,"INVALIDO",($D286+IF(ISNUMBER($E286),$E286,0)+IF(ISNUMBER(Parâmetros!$E$7),Parâmetros!$E$7,0))/(1-$H286-Parâmetros!$B$7-Parâmetros!$C$7-Parâmetros!$D$7)))</f>
        <v>413.260869565217</v>
      </c>
      <c r="J286" s="38"/>
      <c r="K286" s="39" t="n">
        <f aca="false">IF(OR($A286="",NOT(ISNUMBER($D286)),NOT(ISNUMBER($H286))),"",IF(AND(ISNUMBER($J286),$J286&gt;0),$J286,IF(ISNUMBER($I286),$I286,"")))</f>
        <v>413.260869565217</v>
      </c>
      <c r="L286" s="40" t="n">
        <f aca="false">IF(ISNUMBER($K286),$K286*$H286,"")</f>
        <v>86.7847826086957</v>
      </c>
      <c r="M286" s="40" t="n">
        <f aca="false">IF(ISNUMBER($K286),$K286*Parâmetros!$B$7,"")</f>
        <v>41.3260869565217</v>
      </c>
      <c r="N286" s="40" t="n">
        <f aca="false">IF(ISNUMBER($K286),$K286*Parâmetros!$C$7,"")</f>
        <v>12.3978260869565</v>
      </c>
      <c r="O286" s="40" t="n">
        <f aca="false">IF(ISNUMBER($K286),IF(ISNUMBER(Parâmetros!$E$7),Parâmetros!$E$7,0),"")</f>
        <v>0</v>
      </c>
      <c r="P286" s="41" t="n">
        <f aca="false">IF(ISNUMBER($K286),$K286-$D286-IF(ISNUMBER($E286),$E286,0)-$L286-$M286-$N286-$O286,"")</f>
        <v>82.6521739130435</v>
      </c>
      <c r="Q286" s="42" t="n">
        <f aca="false">IF(AND(ISNUMBER($K286),$K286&gt;0),$P286/$K286,"")</f>
        <v>0.2</v>
      </c>
      <c r="R286" s="43"/>
      <c r="S286" s="44" t="str">
        <f aca="false">IF(OR(NOT(ISNUMBER($R286)),$R286=0,NOT(ISNUMBER($K286))),"",$K286*(1-$R286))</f>
        <v/>
      </c>
      <c r="T286" s="45" t="str">
        <f aca="false">IF(ISNUMBER($S286),$S286*$H286,"")</f>
        <v/>
      </c>
      <c r="U286" s="45" t="str">
        <f aca="false">IF(ISNUMBER($S286),$S286*Parâmetros!$B$7,"")</f>
        <v/>
      </c>
      <c r="V286" s="45" t="str">
        <f aca="false">IF(ISNUMBER($S286),$S286*Parâmetros!$C$7,"")</f>
        <v/>
      </c>
      <c r="W286" s="44" t="str">
        <f aca="false">IF(ISNUMBER($S286),$S286-$D286-IF(ISNUMBER($E286),$E286,0)-$O286-$T286-$U286-$V286,"")</f>
        <v/>
      </c>
      <c r="X286" s="46" t="str">
        <f aca="false">IF(AND(ISNUMBER($S286),$S286&gt;0),$W286/$S286,"")</f>
        <v/>
      </c>
      <c r="Y286" s="47"/>
      <c r="Z286" s="19"/>
    </row>
    <row r="287" customFormat="false" ht="15.75" hidden="false" customHeight="true" outlineLevel="0" collapsed="false">
      <c r="A287" s="48" t="str">
        <f aca="false">IF(Produtos!$A287="","",Produtos!$A287)</f>
        <v>P2425ALC</v>
      </c>
      <c r="B287" s="48" t="str">
        <f aca="false">IF(Produtos!$A287="","",Produtos!$B287)</f>
        <v>Lixeira c/Tampa Pedal 24x25 12L c/Alças</v>
      </c>
      <c r="C287" s="48" t="str">
        <f aca="false">IF(Produtos!$A287="","",Produtos!$C287)</f>
        <v>Lixeiras com pedal</v>
      </c>
      <c r="D287" s="33" t="n">
        <f aca="false">IF(Produtos!$A287="","",IF(Produtos!$D287="","",Produtos!$D287))</f>
        <v>192.87</v>
      </c>
      <c r="E287" s="11" t="n">
        <v>0</v>
      </c>
      <c r="F287" s="34" t="n">
        <f aca="false">IF($A287="","",IF($C287="","⚠ categoria",IFERROR(INDEX(Parâmetros!$E$13:$E$22,MATCH($C287,Parâmetros!$A$13:$A$22,0)),"⚠ categoria")))</f>
        <v>0.21</v>
      </c>
      <c r="G287" s="35"/>
      <c r="H287" s="36" t="n">
        <f aca="false">IF($A287="","",IF(ISNUMBER($G287),$G287,IF(ISNUMBER($F287),$F287,"")))</f>
        <v>0.21</v>
      </c>
      <c r="I287" s="37" t="n">
        <f aca="false">IF(OR($A287="",NOT(ISNUMBER($D287)),NOT(ISNUMBER($H287))),"",IF((1-$H287-Parâmetros!$B$7-Parâmetros!$C$7-Parâmetros!$D$7)&lt;=0,"INVALIDO",($D287+IF(ISNUMBER($E287),$E287,0)+IF(ISNUMBER(Parâmetros!$E$7),Parâmetros!$E$7,0))/(1-$H287-Parâmetros!$B$7-Parâmetros!$C$7-Parâmetros!$D$7)))</f>
        <v>419.282608695652</v>
      </c>
      <c r="J287" s="38"/>
      <c r="K287" s="39" t="n">
        <f aca="false">IF(OR($A287="",NOT(ISNUMBER($D287)),NOT(ISNUMBER($H287))),"",IF(AND(ISNUMBER($J287),$J287&gt;0),$J287,IF(ISNUMBER($I287),$I287,"")))</f>
        <v>419.282608695652</v>
      </c>
      <c r="L287" s="40" t="n">
        <f aca="false">IF(ISNUMBER($K287),$K287*$H287,"")</f>
        <v>88.049347826087</v>
      </c>
      <c r="M287" s="40" t="n">
        <f aca="false">IF(ISNUMBER($K287),$K287*Parâmetros!$B$7,"")</f>
        <v>41.9282608695652</v>
      </c>
      <c r="N287" s="40" t="n">
        <f aca="false">IF(ISNUMBER($K287),$K287*Parâmetros!$C$7,"")</f>
        <v>12.5784782608696</v>
      </c>
      <c r="O287" s="40" t="n">
        <f aca="false">IF(ISNUMBER($K287),IF(ISNUMBER(Parâmetros!$E$7),Parâmetros!$E$7,0),"")</f>
        <v>0</v>
      </c>
      <c r="P287" s="41" t="n">
        <f aca="false">IF(ISNUMBER($K287),$K287-$D287-IF(ISNUMBER($E287),$E287,0)-$L287-$M287-$N287-$O287,"")</f>
        <v>83.8565217391305</v>
      </c>
      <c r="Q287" s="42" t="n">
        <f aca="false">IF(AND(ISNUMBER($K287),$K287&gt;0),$P287/$K287,"")</f>
        <v>0.2</v>
      </c>
      <c r="R287" s="43"/>
      <c r="S287" s="44" t="str">
        <f aca="false">IF(OR(NOT(ISNUMBER($R287)),$R287=0,NOT(ISNUMBER($K287))),"",$K287*(1-$R287))</f>
        <v/>
      </c>
      <c r="T287" s="45" t="str">
        <f aca="false">IF(ISNUMBER($S287),$S287*$H287,"")</f>
        <v/>
      </c>
      <c r="U287" s="45" t="str">
        <f aca="false">IF(ISNUMBER($S287),$S287*Parâmetros!$B$7,"")</f>
        <v/>
      </c>
      <c r="V287" s="45" t="str">
        <f aca="false">IF(ISNUMBER($S287),$S287*Parâmetros!$C$7,"")</f>
        <v/>
      </c>
      <c r="W287" s="44" t="str">
        <f aca="false">IF(ISNUMBER($S287),$S287-$D287-IF(ISNUMBER($E287),$E287,0)-$O287-$T287-$U287-$V287,"")</f>
        <v/>
      </c>
      <c r="X287" s="46" t="str">
        <f aca="false">IF(AND(ISNUMBER($S287),$S287&gt;0),$W287/$S287,"")</f>
        <v/>
      </c>
      <c r="Y287" s="49"/>
      <c r="Z287" s="21"/>
    </row>
    <row r="288" customFormat="false" ht="15.75" hidden="false" customHeight="true" outlineLevel="0" collapsed="false">
      <c r="A288" s="32" t="str">
        <f aca="false">IF(Produtos!$A288="","",Produtos!$A288)</f>
        <v>P2430ALC</v>
      </c>
      <c r="B288" s="32" t="str">
        <f aca="false">IF(Produtos!$A288="","",Produtos!$B288)</f>
        <v>Lixeira c/Tampa Pedal 24x30 15L c/Alças</v>
      </c>
      <c r="C288" s="32" t="str">
        <f aca="false">IF(Produtos!$A288="","",Produtos!$C288)</f>
        <v>Lixeiras com pedal</v>
      </c>
      <c r="D288" s="33" t="n">
        <f aca="false">IF(Produtos!$A288="","",IF(Produtos!$D288="","",Produtos!$D288))</f>
        <v>206.44</v>
      </c>
      <c r="E288" s="11" t="n">
        <v>0</v>
      </c>
      <c r="F288" s="34" t="n">
        <f aca="false">IF($A288="","",IF($C288="","⚠ categoria",IFERROR(INDEX(Parâmetros!$E$13:$E$22,MATCH($C288,Parâmetros!$A$13:$A$22,0)),"⚠ categoria")))</f>
        <v>0.21</v>
      </c>
      <c r="G288" s="35"/>
      <c r="H288" s="36" t="n">
        <f aca="false">IF($A288="","",IF(ISNUMBER($G288),$G288,IF(ISNUMBER($F288),$F288,"")))</f>
        <v>0.21</v>
      </c>
      <c r="I288" s="37" t="n">
        <f aca="false">IF(OR($A288="",NOT(ISNUMBER($D288)),NOT(ISNUMBER($H288))),"",IF((1-$H288-Parâmetros!$B$7-Parâmetros!$C$7-Parâmetros!$D$7)&lt;=0,"INVALIDO",($D288+IF(ISNUMBER($E288),$E288,0)+IF(ISNUMBER(Parâmetros!$E$7),Parâmetros!$E$7,0))/(1-$H288-Parâmetros!$B$7-Parâmetros!$C$7-Parâmetros!$D$7)))</f>
        <v>448.782608695652</v>
      </c>
      <c r="J288" s="38"/>
      <c r="K288" s="39" t="n">
        <f aca="false">IF(OR($A288="",NOT(ISNUMBER($D288)),NOT(ISNUMBER($H288))),"",IF(AND(ISNUMBER($J288),$J288&gt;0),$J288,IF(ISNUMBER($I288),$I288,"")))</f>
        <v>448.782608695652</v>
      </c>
      <c r="L288" s="40" t="n">
        <f aca="false">IF(ISNUMBER($K288),$K288*$H288,"")</f>
        <v>94.2443478260869</v>
      </c>
      <c r="M288" s="40" t="n">
        <f aca="false">IF(ISNUMBER($K288),$K288*Parâmetros!$B$7,"")</f>
        <v>44.8782608695652</v>
      </c>
      <c r="N288" s="40" t="n">
        <f aca="false">IF(ISNUMBER($K288),$K288*Parâmetros!$C$7,"")</f>
        <v>13.4634782608696</v>
      </c>
      <c r="O288" s="40" t="n">
        <f aca="false">IF(ISNUMBER($K288),IF(ISNUMBER(Parâmetros!$E$7),Parâmetros!$E$7,0),"")</f>
        <v>0</v>
      </c>
      <c r="P288" s="41" t="n">
        <f aca="false">IF(ISNUMBER($K288),$K288-$D288-IF(ISNUMBER($E288),$E288,0)-$L288-$M288-$N288-$O288,"")</f>
        <v>89.7565217391304</v>
      </c>
      <c r="Q288" s="42" t="n">
        <f aca="false">IF(AND(ISNUMBER($K288),$K288&gt;0),$P288/$K288,"")</f>
        <v>0.2</v>
      </c>
      <c r="R288" s="43"/>
      <c r="S288" s="44" t="str">
        <f aca="false">IF(OR(NOT(ISNUMBER($R288)),$R288=0,NOT(ISNUMBER($K288))),"",$K288*(1-$R288))</f>
        <v/>
      </c>
      <c r="T288" s="45" t="str">
        <f aca="false">IF(ISNUMBER($S288),$S288*$H288,"")</f>
        <v/>
      </c>
      <c r="U288" s="45" t="str">
        <f aca="false">IF(ISNUMBER($S288),$S288*Parâmetros!$B$7,"")</f>
        <v/>
      </c>
      <c r="V288" s="45" t="str">
        <f aca="false">IF(ISNUMBER($S288),$S288*Parâmetros!$C$7,"")</f>
        <v/>
      </c>
      <c r="W288" s="44" t="str">
        <f aca="false">IF(ISNUMBER($S288),$S288-$D288-IF(ISNUMBER($E288),$E288,0)-$O288-$T288-$U288-$V288,"")</f>
        <v/>
      </c>
      <c r="X288" s="46" t="str">
        <f aca="false">IF(AND(ISNUMBER($S288),$S288&gt;0),$W288/$S288,"")</f>
        <v/>
      </c>
      <c r="Y288" s="47"/>
      <c r="Z288" s="19"/>
    </row>
    <row r="289" customFormat="false" ht="15.75" hidden="false" customHeight="true" outlineLevel="0" collapsed="false">
      <c r="A289" s="48" t="str">
        <f aca="false">IF(Produtos!$A289="","",Produtos!$A289)</f>
        <v>P2440ALC</v>
      </c>
      <c r="B289" s="48" t="str">
        <f aca="false">IF(Produtos!$A289="","",Produtos!$B289)</f>
        <v>Lixeira c/Tampa Pedal 24x40 20L c/Alças</v>
      </c>
      <c r="C289" s="48" t="str">
        <f aca="false">IF(Produtos!$A289="","",Produtos!$C289)</f>
        <v>Lixeiras com pedal</v>
      </c>
      <c r="D289" s="33" t="n">
        <f aca="false">IF(Produtos!$A289="","",IF(Produtos!$D289="","",Produtos!$D289))</f>
        <v>217.38</v>
      </c>
      <c r="E289" s="11" t="n">
        <v>0</v>
      </c>
      <c r="F289" s="34" t="n">
        <f aca="false">IF($A289="","",IF($C289="","⚠ categoria",IFERROR(INDEX(Parâmetros!$E$13:$E$22,MATCH($C289,Parâmetros!$A$13:$A$22,0)),"⚠ categoria")))</f>
        <v>0.21</v>
      </c>
      <c r="G289" s="35"/>
      <c r="H289" s="36" t="n">
        <f aca="false">IF($A289="","",IF(ISNUMBER($G289),$G289,IF(ISNUMBER($F289),$F289,"")))</f>
        <v>0.21</v>
      </c>
      <c r="I289" s="37" t="n">
        <f aca="false">IF(OR($A289="",NOT(ISNUMBER($D289)),NOT(ISNUMBER($H289))),"",IF((1-$H289-Parâmetros!$B$7-Parâmetros!$C$7-Parâmetros!$D$7)&lt;=0,"INVALIDO",($D289+IF(ISNUMBER($E289),$E289,0)+IF(ISNUMBER(Parâmetros!$E$7),Parâmetros!$E$7,0))/(1-$H289-Parâmetros!$B$7-Parâmetros!$C$7-Parâmetros!$D$7)))</f>
        <v>472.565217391304</v>
      </c>
      <c r="J289" s="38"/>
      <c r="K289" s="39" t="n">
        <f aca="false">IF(OR($A289="",NOT(ISNUMBER($D289)),NOT(ISNUMBER($H289))),"",IF(AND(ISNUMBER($J289),$J289&gt;0),$J289,IF(ISNUMBER($I289),$I289,"")))</f>
        <v>472.565217391304</v>
      </c>
      <c r="L289" s="40" t="n">
        <f aca="false">IF(ISNUMBER($K289),$K289*$H289,"")</f>
        <v>99.2386956521739</v>
      </c>
      <c r="M289" s="40" t="n">
        <f aca="false">IF(ISNUMBER($K289),$K289*Parâmetros!$B$7,"")</f>
        <v>47.2565217391304</v>
      </c>
      <c r="N289" s="40" t="n">
        <f aca="false">IF(ISNUMBER($K289),$K289*Parâmetros!$C$7,"")</f>
        <v>14.1769565217391</v>
      </c>
      <c r="O289" s="40" t="n">
        <f aca="false">IF(ISNUMBER($K289),IF(ISNUMBER(Parâmetros!$E$7),Parâmetros!$E$7,0),"")</f>
        <v>0</v>
      </c>
      <c r="P289" s="41" t="n">
        <f aca="false">IF(ISNUMBER($K289),$K289-$D289-IF(ISNUMBER($E289),$E289,0)-$L289-$M289-$N289-$O289,"")</f>
        <v>94.5130434782609</v>
      </c>
      <c r="Q289" s="42" t="n">
        <f aca="false">IF(AND(ISNUMBER($K289),$K289&gt;0),$P289/$K289,"")</f>
        <v>0.2</v>
      </c>
      <c r="R289" s="43"/>
      <c r="S289" s="44" t="str">
        <f aca="false">IF(OR(NOT(ISNUMBER($R289)),$R289=0,NOT(ISNUMBER($K289))),"",$K289*(1-$R289))</f>
        <v/>
      </c>
      <c r="T289" s="45" t="str">
        <f aca="false">IF(ISNUMBER($S289),$S289*$H289,"")</f>
        <v/>
      </c>
      <c r="U289" s="45" t="str">
        <f aca="false">IF(ISNUMBER($S289),$S289*Parâmetros!$B$7,"")</f>
        <v/>
      </c>
      <c r="V289" s="45" t="str">
        <f aca="false">IF(ISNUMBER($S289),$S289*Parâmetros!$C$7,"")</f>
        <v/>
      </c>
      <c r="W289" s="44" t="str">
        <f aca="false">IF(ISNUMBER($S289),$S289-$D289-IF(ISNUMBER($E289),$E289,0)-$O289-$T289-$U289-$V289,"")</f>
        <v/>
      </c>
      <c r="X289" s="46" t="str">
        <f aca="false">IF(AND(ISNUMBER($S289),$S289&gt;0),$W289/$S289,"")</f>
        <v/>
      </c>
      <c r="Y289" s="49"/>
      <c r="Z289" s="21"/>
    </row>
    <row r="290" customFormat="false" ht="15.75" hidden="false" customHeight="true" outlineLevel="0" collapsed="false">
      <c r="A290" s="32" t="str">
        <f aca="false">IF(Produtos!$A290="","",Produtos!$A290)</f>
        <v>P3040ALC</v>
      </c>
      <c r="B290" s="32" t="str">
        <f aca="false">IF(Produtos!$A290="","",Produtos!$B290)</f>
        <v>Lixeira c/Tampa Pedal 30x40 30L c/Alças</v>
      </c>
      <c r="C290" s="32" t="str">
        <f aca="false">IF(Produtos!$A290="","",Produtos!$C290)</f>
        <v>Lixeiras com pedal</v>
      </c>
      <c r="D290" s="33" t="n">
        <f aca="false">IF(Produtos!$A290="","",IF(Produtos!$D290="","",Produtos!$D290))</f>
        <v>296.61</v>
      </c>
      <c r="E290" s="11" t="n">
        <v>0</v>
      </c>
      <c r="F290" s="34" t="n">
        <f aca="false">IF($A290="","",IF($C290="","⚠ categoria",IFERROR(INDEX(Parâmetros!$E$13:$E$22,MATCH($C290,Parâmetros!$A$13:$A$22,0)),"⚠ categoria")))</f>
        <v>0.21</v>
      </c>
      <c r="G290" s="35"/>
      <c r="H290" s="36" t="n">
        <f aca="false">IF($A290="","",IF(ISNUMBER($G290),$G290,IF(ISNUMBER($F290),$F290,"")))</f>
        <v>0.21</v>
      </c>
      <c r="I290" s="37" t="n">
        <f aca="false">IF(OR($A290="",NOT(ISNUMBER($D290)),NOT(ISNUMBER($H290))),"",IF((1-$H290-Parâmetros!$B$7-Parâmetros!$C$7-Parâmetros!$D$7)&lt;=0,"INVALIDO",($D290+IF(ISNUMBER($E290),$E290,0)+IF(ISNUMBER(Parâmetros!$E$7),Parâmetros!$E$7,0))/(1-$H290-Parâmetros!$B$7-Parâmetros!$C$7-Parâmetros!$D$7)))</f>
        <v>644.804347826087</v>
      </c>
      <c r="J290" s="38"/>
      <c r="K290" s="39" t="n">
        <f aca="false">IF(OR($A290="",NOT(ISNUMBER($D290)),NOT(ISNUMBER($H290))),"",IF(AND(ISNUMBER($J290),$J290&gt;0),$J290,IF(ISNUMBER($I290),$I290,"")))</f>
        <v>644.804347826087</v>
      </c>
      <c r="L290" s="40" t="n">
        <f aca="false">IF(ISNUMBER($K290),$K290*$H290,"")</f>
        <v>135.408913043478</v>
      </c>
      <c r="M290" s="40" t="n">
        <f aca="false">IF(ISNUMBER($K290),$K290*Parâmetros!$B$7,"")</f>
        <v>64.4804347826087</v>
      </c>
      <c r="N290" s="40" t="n">
        <f aca="false">IF(ISNUMBER($K290),$K290*Parâmetros!$C$7,"")</f>
        <v>19.3441304347826</v>
      </c>
      <c r="O290" s="40" t="n">
        <f aca="false">IF(ISNUMBER($K290),IF(ISNUMBER(Parâmetros!$E$7),Parâmetros!$E$7,0),"")</f>
        <v>0</v>
      </c>
      <c r="P290" s="41" t="n">
        <f aca="false">IF(ISNUMBER($K290),$K290-$D290-IF(ISNUMBER($E290),$E290,0)-$L290-$M290-$N290-$O290,"")</f>
        <v>128.960869565217</v>
      </c>
      <c r="Q290" s="42" t="n">
        <f aca="false">IF(AND(ISNUMBER($K290),$K290&gt;0),$P290/$K290,"")</f>
        <v>0.2</v>
      </c>
      <c r="R290" s="43"/>
      <c r="S290" s="44" t="str">
        <f aca="false">IF(OR(NOT(ISNUMBER($R290)),$R290=0,NOT(ISNUMBER($K290))),"",$K290*(1-$R290))</f>
        <v/>
      </c>
      <c r="T290" s="45" t="str">
        <f aca="false">IF(ISNUMBER($S290),$S290*$H290,"")</f>
        <v/>
      </c>
      <c r="U290" s="45" t="str">
        <f aca="false">IF(ISNUMBER($S290),$S290*Parâmetros!$B$7,"")</f>
        <v/>
      </c>
      <c r="V290" s="45" t="str">
        <f aca="false">IF(ISNUMBER($S290),$S290*Parâmetros!$C$7,"")</f>
        <v/>
      </c>
      <c r="W290" s="44" t="str">
        <f aca="false">IF(ISNUMBER($S290),$S290-$D290-IF(ISNUMBER($E290),$E290,0)-$O290-$T290-$U290-$V290,"")</f>
        <v/>
      </c>
      <c r="X290" s="46" t="str">
        <f aca="false">IF(AND(ISNUMBER($S290),$S290&gt;0),$W290/$S290,"")</f>
        <v/>
      </c>
      <c r="Y290" s="47"/>
      <c r="Z290" s="19"/>
    </row>
    <row r="291" customFormat="false" ht="15.75" hidden="false" customHeight="true" outlineLevel="0" collapsed="false">
      <c r="A291" s="48" t="str">
        <f aca="false">IF(Produtos!$A291="","",Produtos!$A291)</f>
        <v>P3050ALC</v>
      </c>
      <c r="B291" s="48" t="str">
        <f aca="false">IF(Produtos!$A291="","",Produtos!$B291)</f>
        <v>Lixeira c/Tampa Pedal 30x50 40L c/Alças</v>
      </c>
      <c r="C291" s="48" t="str">
        <f aca="false">IF(Produtos!$A291="","",Produtos!$C291)</f>
        <v>Lixeiras com pedal</v>
      </c>
      <c r="D291" s="33" t="n">
        <f aca="false">IF(Produtos!$A291="","",IF(Produtos!$D291="","",Produtos!$D291))</f>
        <v>345.63</v>
      </c>
      <c r="E291" s="11" t="n">
        <v>0</v>
      </c>
      <c r="F291" s="34" t="n">
        <f aca="false">IF($A291="","",IF($C291="","⚠ categoria",IFERROR(INDEX(Parâmetros!$E$13:$E$22,MATCH($C291,Parâmetros!$A$13:$A$22,0)),"⚠ categoria")))</f>
        <v>0.21</v>
      </c>
      <c r="G291" s="35"/>
      <c r="H291" s="36" t="n">
        <f aca="false">IF($A291="","",IF(ISNUMBER($G291),$G291,IF(ISNUMBER($F291),$F291,"")))</f>
        <v>0.21</v>
      </c>
      <c r="I291" s="37" t="n">
        <f aca="false">IF(OR($A291="",NOT(ISNUMBER($D291)),NOT(ISNUMBER($H291))),"",IF((1-$H291-Parâmetros!$B$7-Parâmetros!$C$7-Parâmetros!$D$7)&lt;=0,"INVALIDO",($D291+IF(ISNUMBER($E291),$E291,0)+IF(ISNUMBER(Parâmetros!$E$7),Parâmetros!$E$7,0))/(1-$H291-Parâmetros!$B$7-Parâmetros!$C$7-Parâmetros!$D$7)))</f>
        <v>751.369565217391</v>
      </c>
      <c r="J291" s="38"/>
      <c r="K291" s="39" t="n">
        <f aca="false">IF(OR($A291="",NOT(ISNUMBER($D291)),NOT(ISNUMBER($H291))),"",IF(AND(ISNUMBER($J291),$J291&gt;0),$J291,IF(ISNUMBER($I291),$I291,"")))</f>
        <v>751.369565217391</v>
      </c>
      <c r="L291" s="40" t="n">
        <f aca="false">IF(ISNUMBER($K291),$K291*$H291,"")</f>
        <v>157.787608695652</v>
      </c>
      <c r="M291" s="40" t="n">
        <f aca="false">IF(ISNUMBER($K291),$K291*Parâmetros!$B$7,"")</f>
        <v>75.1369565217391</v>
      </c>
      <c r="N291" s="40" t="n">
        <f aca="false">IF(ISNUMBER($K291),$K291*Parâmetros!$C$7,"")</f>
        <v>22.5410869565217</v>
      </c>
      <c r="O291" s="40" t="n">
        <f aca="false">IF(ISNUMBER($K291),IF(ISNUMBER(Parâmetros!$E$7),Parâmetros!$E$7,0),"")</f>
        <v>0</v>
      </c>
      <c r="P291" s="41" t="n">
        <f aca="false">IF(ISNUMBER($K291),$K291-$D291-IF(ISNUMBER($E291),$E291,0)-$L291-$M291-$N291-$O291,"")</f>
        <v>150.273913043478</v>
      </c>
      <c r="Q291" s="42" t="n">
        <f aca="false">IF(AND(ISNUMBER($K291),$K291&gt;0),$P291/$K291,"")</f>
        <v>0.2</v>
      </c>
      <c r="R291" s="43"/>
      <c r="S291" s="44" t="str">
        <f aca="false">IF(OR(NOT(ISNUMBER($R291)),$R291=0,NOT(ISNUMBER($K291))),"",$K291*(1-$R291))</f>
        <v/>
      </c>
      <c r="T291" s="45" t="str">
        <f aca="false">IF(ISNUMBER($S291),$S291*$H291,"")</f>
        <v/>
      </c>
      <c r="U291" s="45" t="str">
        <f aca="false">IF(ISNUMBER($S291),$S291*Parâmetros!$B$7,"")</f>
        <v/>
      </c>
      <c r="V291" s="45" t="str">
        <f aca="false">IF(ISNUMBER($S291),$S291*Parâmetros!$C$7,"")</f>
        <v/>
      </c>
      <c r="W291" s="44" t="str">
        <f aca="false">IF(ISNUMBER($S291),$S291-$D291-IF(ISNUMBER($E291),$E291,0)-$O291-$T291-$U291-$V291,"")</f>
        <v/>
      </c>
      <c r="X291" s="46" t="str">
        <f aca="false">IF(AND(ISNUMBER($S291),$S291&gt;0),$W291/$S291,"")</f>
        <v/>
      </c>
      <c r="Y291" s="49"/>
      <c r="Z291" s="21"/>
    </row>
    <row r="292" customFormat="false" ht="15.75" hidden="false" customHeight="true" outlineLevel="0" collapsed="false">
      <c r="A292" s="32" t="str">
        <f aca="false">IF(Produtos!$A292="","",Produtos!$A292)</f>
        <v>P3060ALC</v>
      </c>
      <c r="B292" s="32" t="str">
        <f aca="false">IF(Produtos!$A292="","",Produtos!$B292)</f>
        <v>Lixeira c/Tampa Pedal 30x60 50L c/Alças</v>
      </c>
      <c r="C292" s="32" t="str">
        <f aca="false">IF(Produtos!$A292="","",Produtos!$C292)</f>
        <v>Lixeiras com pedal</v>
      </c>
      <c r="D292" s="33" t="n">
        <f aca="false">IF(Produtos!$A292="","",IF(Produtos!$D292="","",Produtos!$D292))</f>
        <v>347.99</v>
      </c>
      <c r="E292" s="11" t="n">
        <v>0</v>
      </c>
      <c r="F292" s="34" t="n">
        <f aca="false">IF($A292="","",IF($C292="","⚠ categoria",IFERROR(INDEX(Parâmetros!$E$13:$E$22,MATCH($C292,Parâmetros!$A$13:$A$22,0)),"⚠ categoria")))</f>
        <v>0.21</v>
      </c>
      <c r="G292" s="35"/>
      <c r="H292" s="36" t="n">
        <f aca="false">IF($A292="","",IF(ISNUMBER($G292),$G292,IF(ISNUMBER($F292),$F292,"")))</f>
        <v>0.21</v>
      </c>
      <c r="I292" s="37" t="n">
        <f aca="false">IF(OR($A292="",NOT(ISNUMBER($D292)),NOT(ISNUMBER($H292))),"",IF((1-$H292-Parâmetros!$B$7-Parâmetros!$C$7-Parâmetros!$D$7)&lt;=0,"INVALIDO",($D292+IF(ISNUMBER($E292),$E292,0)+IF(ISNUMBER(Parâmetros!$E$7),Parâmetros!$E$7,0))/(1-$H292-Parâmetros!$B$7-Parâmetros!$C$7-Parâmetros!$D$7)))</f>
        <v>756.5</v>
      </c>
      <c r="J292" s="38"/>
      <c r="K292" s="39" t="n">
        <f aca="false">IF(OR($A292="",NOT(ISNUMBER($D292)),NOT(ISNUMBER($H292))),"",IF(AND(ISNUMBER($J292),$J292&gt;0),$J292,IF(ISNUMBER($I292),$I292,"")))</f>
        <v>756.5</v>
      </c>
      <c r="L292" s="40" t="n">
        <f aca="false">IF(ISNUMBER($K292),$K292*$H292,"")</f>
        <v>158.865</v>
      </c>
      <c r="M292" s="40" t="n">
        <f aca="false">IF(ISNUMBER($K292),$K292*Parâmetros!$B$7,"")</f>
        <v>75.65</v>
      </c>
      <c r="N292" s="40" t="n">
        <f aca="false">IF(ISNUMBER($K292),$K292*Parâmetros!$C$7,"")</f>
        <v>22.695</v>
      </c>
      <c r="O292" s="40" t="n">
        <f aca="false">IF(ISNUMBER($K292),IF(ISNUMBER(Parâmetros!$E$7),Parâmetros!$E$7,0),"")</f>
        <v>0</v>
      </c>
      <c r="P292" s="41" t="n">
        <f aca="false">IF(ISNUMBER($K292),$K292-$D292-IF(ISNUMBER($E292),$E292,0)-$L292-$M292-$N292-$O292,"")</f>
        <v>151.3</v>
      </c>
      <c r="Q292" s="42" t="n">
        <f aca="false">IF(AND(ISNUMBER($K292),$K292&gt;0),$P292/$K292,"")</f>
        <v>0.2</v>
      </c>
      <c r="R292" s="43"/>
      <c r="S292" s="44" t="str">
        <f aca="false">IF(OR(NOT(ISNUMBER($R292)),$R292=0,NOT(ISNUMBER($K292))),"",$K292*(1-$R292))</f>
        <v/>
      </c>
      <c r="T292" s="45" t="str">
        <f aca="false">IF(ISNUMBER($S292),$S292*$H292,"")</f>
        <v/>
      </c>
      <c r="U292" s="45" t="str">
        <f aca="false">IF(ISNUMBER($S292),$S292*Parâmetros!$B$7,"")</f>
        <v/>
      </c>
      <c r="V292" s="45" t="str">
        <f aca="false">IF(ISNUMBER($S292),$S292*Parâmetros!$C$7,"")</f>
        <v/>
      </c>
      <c r="W292" s="44" t="str">
        <f aca="false">IF(ISNUMBER($S292),$S292-$D292-IF(ISNUMBER($E292),$E292,0)-$O292-$T292-$U292-$V292,"")</f>
        <v/>
      </c>
      <c r="X292" s="46" t="str">
        <f aca="false">IF(AND(ISNUMBER($S292),$S292&gt;0),$W292/$S292,"")</f>
        <v/>
      </c>
      <c r="Y292" s="47"/>
      <c r="Z292" s="19"/>
    </row>
    <row r="293" customFormat="false" ht="15.75" hidden="false" customHeight="true" outlineLevel="0" collapsed="false">
      <c r="A293" s="48" t="str">
        <f aca="false">IF(Produtos!$A293="","",Produtos!$A293)</f>
        <v>P3070ALC</v>
      </c>
      <c r="B293" s="48" t="str">
        <f aca="false">IF(Produtos!$A293="","",Produtos!$B293)</f>
        <v>Lixeira c/Tampa Pedal 30x70 60L c/Alças</v>
      </c>
      <c r="C293" s="48" t="str">
        <f aca="false">IF(Produtos!$A293="","",Produtos!$C293)</f>
        <v>Lixeiras com pedal</v>
      </c>
      <c r="D293" s="33" t="n">
        <f aca="false">IF(Produtos!$A293="","",IF(Produtos!$D293="","",Produtos!$D293))</f>
        <v>421.92</v>
      </c>
      <c r="E293" s="11" t="n">
        <v>0</v>
      </c>
      <c r="F293" s="34" t="n">
        <f aca="false">IF($A293="","",IF($C293="","⚠ categoria",IFERROR(INDEX(Parâmetros!$E$13:$E$22,MATCH($C293,Parâmetros!$A$13:$A$22,0)),"⚠ categoria")))</f>
        <v>0.21</v>
      </c>
      <c r="G293" s="35"/>
      <c r="H293" s="36" t="n">
        <f aca="false">IF($A293="","",IF(ISNUMBER($G293),$G293,IF(ISNUMBER($F293),$F293,"")))</f>
        <v>0.21</v>
      </c>
      <c r="I293" s="37" t="n">
        <f aca="false">IF(OR($A293="",NOT(ISNUMBER($D293)),NOT(ISNUMBER($H293))),"",IF((1-$H293-Parâmetros!$B$7-Parâmetros!$C$7-Parâmetros!$D$7)&lt;=0,"INVALIDO",($D293+IF(ISNUMBER($E293),$E293,0)+IF(ISNUMBER(Parâmetros!$E$7),Parâmetros!$E$7,0))/(1-$H293-Parâmetros!$B$7-Parâmetros!$C$7-Parâmetros!$D$7)))</f>
        <v>917.217391304348</v>
      </c>
      <c r="J293" s="38"/>
      <c r="K293" s="39" t="n">
        <f aca="false">IF(OR($A293="",NOT(ISNUMBER($D293)),NOT(ISNUMBER($H293))),"",IF(AND(ISNUMBER($J293),$J293&gt;0),$J293,IF(ISNUMBER($I293),$I293,"")))</f>
        <v>917.217391304348</v>
      </c>
      <c r="L293" s="40" t="n">
        <f aca="false">IF(ISNUMBER($K293),$K293*$H293,"")</f>
        <v>192.615652173913</v>
      </c>
      <c r="M293" s="40" t="n">
        <f aca="false">IF(ISNUMBER($K293),$K293*Parâmetros!$B$7,"")</f>
        <v>91.7217391304348</v>
      </c>
      <c r="N293" s="40" t="n">
        <f aca="false">IF(ISNUMBER($K293),$K293*Parâmetros!$C$7,"")</f>
        <v>27.5165217391304</v>
      </c>
      <c r="O293" s="40" t="n">
        <f aca="false">IF(ISNUMBER($K293),IF(ISNUMBER(Parâmetros!$E$7),Parâmetros!$E$7,0),"")</f>
        <v>0</v>
      </c>
      <c r="P293" s="41" t="n">
        <f aca="false">IF(ISNUMBER($K293),$K293-$D293-IF(ISNUMBER($E293),$E293,0)-$L293-$M293-$N293-$O293,"")</f>
        <v>183.44347826087</v>
      </c>
      <c r="Q293" s="42" t="n">
        <f aca="false">IF(AND(ISNUMBER($K293),$K293&gt;0),$P293/$K293,"")</f>
        <v>0.2</v>
      </c>
      <c r="R293" s="43"/>
      <c r="S293" s="44" t="str">
        <f aca="false">IF(OR(NOT(ISNUMBER($R293)),$R293=0,NOT(ISNUMBER($K293))),"",$K293*(1-$R293))</f>
        <v/>
      </c>
      <c r="T293" s="45" t="str">
        <f aca="false">IF(ISNUMBER($S293),$S293*$H293,"")</f>
        <v/>
      </c>
      <c r="U293" s="45" t="str">
        <f aca="false">IF(ISNUMBER($S293),$S293*Parâmetros!$B$7,"")</f>
        <v/>
      </c>
      <c r="V293" s="45" t="str">
        <f aca="false">IF(ISNUMBER($S293),$S293*Parâmetros!$C$7,"")</f>
        <v/>
      </c>
      <c r="W293" s="44" t="str">
        <f aca="false">IF(ISNUMBER($S293),$S293-$D293-IF(ISNUMBER($E293),$E293,0)-$O293-$T293-$U293-$V293,"")</f>
        <v/>
      </c>
      <c r="X293" s="46" t="str">
        <f aca="false">IF(AND(ISNUMBER($S293),$S293&gt;0),$W293/$S293,"")</f>
        <v/>
      </c>
      <c r="Y293" s="49"/>
      <c r="Z293" s="21"/>
    </row>
    <row r="294" customFormat="false" ht="15.75" hidden="false" customHeight="true" outlineLevel="0" collapsed="false">
      <c r="A294" s="32" t="str">
        <f aca="false">IF(Produtos!$A294="","",Produtos!$A294)</f>
        <v>P4050ALC</v>
      </c>
      <c r="B294" s="32" t="str">
        <f aca="false">IF(Produtos!$A294="","",Produtos!$B294)</f>
        <v>Lixeira c/Tampa Pedal 40x50 65L c/Alças</v>
      </c>
      <c r="C294" s="32" t="str">
        <f aca="false">IF(Produtos!$A294="","",Produtos!$C294)</f>
        <v>Lixeiras com pedal</v>
      </c>
      <c r="D294" s="33" t="n">
        <f aca="false">IF(Produtos!$A294="","",IF(Produtos!$D294="","",Produtos!$D294))</f>
        <v>485.02</v>
      </c>
      <c r="E294" s="11" t="n">
        <v>0</v>
      </c>
      <c r="F294" s="34" t="n">
        <f aca="false">IF($A294="","",IF($C294="","⚠ categoria",IFERROR(INDEX(Parâmetros!$E$13:$E$22,MATCH($C294,Parâmetros!$A$13:$A$22,0)),"⚠ categoria")))</f>
        <v>0.21</v>
      </c>
      <c r="G294" s="35"/>
      <c r="H294" s="36" t="n">
        <f aca="false">IF($A294="","",IF(ISNUMBER($G294),$G294,IF(ISNUMBER($F294),$F294,"")))</f>
        <v>0.21</v>
      </c>
      <c r="I294" s="37" t="n">
        <f aca="false">IF(OR($A294="",NOT(ISNUMBER($D294)),NOT(ISNUMBER($H294))),"",IF((1-$H294-Parâmetros!$B$7-Parâmetros!$C$7-Parâmetros!$D$7)&lt;=0,"INVALIDO",($D294+IF(ISNUMBER($E294),$E294,0)+IF(ISNUMBER(Parâmetros!$E$7),Parâmetros!$E$7,0))/(1-$H294-Parâmetros!$B$7-Parâmetros!$C$7-Parâmetros!$D$7)))</f>
        <v>1054.39130434783</v>
      </c>
      <c r="J294" s="38"/>
      <c r="K294" s="39" t="n">
        <f aca="false">IF(OR($A294="",NOT(ISNUMBER($D294)),NOT(ISNUMBER($H294))),"",IF(AND(ISNUMBER($J294),$J294&gt;0),$J294,IF(ISNUMBER($I294),$I294,"")))</f>
        <v>1054.39130434783</v>
      </c>
      <c r="L294" s="40" t="n">
        <f aca="false">IF(ISNUMBER($K294),$K294*$H294,"")</f>
        <v>221.422173913043</v>
      </c>
      <c r="M294" s="40" t="n">
        <f aca="false">IF(ISNUMBER($K294),$K294*Parâmetros!$B$7,"")</f>
        <v>105.439130434783</v>
      </c>
      <c r="N294" s="40" t="n">
        <f aca="false">IF(ISNUMBER($K294),$K294*Parâmetros!$C$7,"")</f>
        <v>31.6317391304348</v>
      </c>
      <c r="O294" s="40" t="n">
        <f aca="false">IF(ISNUMBER($K294),IF(ISNUMBER(Parâmetros!$E$7),Parâmetros!$E$7,0),"")</f>
        <v>0</v>
      </c>
      <c r="P294" s="41" t="n">
        <f aca="false">IF(ISNUMBER($K294),$K294-$D294-IF(ISNUMBER($E294),$E294,0)-$L294-$M294-$N294-$O294,"")</f>
        <v>210.878260869565</v>
      </c>
      <c r="Q294" s="42" t="n">
        <f aca="false">IF(AND(ISNUMBER($K294),$K294&gt;0),$P294/$K294,"")</f>
        <v>0.2</v>
      </c>
      <c r="R294" s="43"/>
      <c r="S294" s="44" t="str">
        <f aca="false">IF(OR(NOT(ISNUMBER($R294)),$R294=0,NOT(ISNUMBER($K294))),"",$K294*(1-$R294))</f>
        <v/>
      </c>
      <c r="T294" s="45" t="str">
        <f aca="false">IF(ISNUMBER($S294),$S294*$H294,"")</f>
        <v/>
      </c>
      <c r="U294" s="45" t="str">
        <f aca="false">IF(ISNUMBER($S294),$S294*Parâmetros!$B$7,"")</f>
        <v/>
      </c>
      <c r="V294" s="45" t="str">
        <f aca="false">IF(ISNUMBER($S294),$S294*Parâmetros!$C$7,"")</f>
        <v/>
      </c>
      <c r="W294" s="44" t="str">
        <f aca="false">IF(ISNUMBER($S294),$S294-$D294-IF(ISNUMBER($E294),$E294,0)-$O294-$T294-$U294-$V294,"")</f>
        <v/>
      </c>
      <c r="X294" s="46" t="str">
        <f aca="false">IF(AND(ISNUMBER($S294),$S294&gt;0),$W294/$S294,"")</f>
        <v/>
      </c>
      <c r="Y294" s="47"/>
      <c r="Z294" s="19"/>
    </row>
    <row r="295" customFormat="false" ht="15.75" hidden="false" customHeight="true" outlineLevel="0" collapsed="false">
      <c r="A295" s="48" t="str">
        <f aca="false">IF(Produtos!$A295="","",Produtos!$A295)</f>
        <v>P4060ALC</v>
      </c>
      <c r="B295" s="48" t="str">
        <f aca="false">IF(Produtos!$A295="","",Produtos!$B295)</f>
        <v>Lixeira c/Tampa Pedal 40x60 75L c/Alças</v>
      </c>
      <c r="C295" s="48" t="str">
        <f aca="false">IF(Produtos!$A295="","",Produtos!$C295)</f>
        <v>Lixeiras com pedal</v>
      </c>
      <c r="D295" s="33" t="n">
        <f aca="false">IF(Produtos!$A295="","",IF(Produtos!$D295="","",Produtos!$D295))</f>
        <v>527.41</v>
      </c>
      <c r="E295" s="11" t="n">
        <v>0</v>
      </c>
      <c r="F295" s="34" t="n">
        <f aca="false">IF($A295="","",IF($C295="","⚠ categoria",IFERROR(INDEX(Parâmetros!$E$13:$E$22,MATCH($C295,Parâmetros!$A$13:$A$22,0)),"⚠ categoria")))</f>
        <v>0.21</v>
      </c>
      <c r="G295" s="35"/>
      <c r="H295" s="36" t="n">
        <f aca="false">IF($A295="","",IF(ISNUMBER($G295),$G295,IF(ISNUMBER($F295),$F295,"")))</f>
        <v>0.21</v>
      </c>
      <c r="I295" s="37" t="n">
        <f aca="false">IF(OR($A295="",NOT(ISNUMBER($D295)),NOT(ISNUMBER($H295))),"",IF((1-$H295-Parâmetros!$B$7-Parâmetros!$C$7-Parâmetros!$D$7)&lt;=0,"INVALIDO",($D295+IF(ISNUMBER($E295),$E295,0)+IF(ISNUMBER(Parâmetros!$E$7),Parâmetros!$E$7,0))/(1-$H295-Parâmetros!$B$7-Parâmetros!$C$7-Parâmetros!$D$7)))</f>
        <v>1146.54347826087</v>
      </c>
      <c r="J295" s="38"/>
      <c r="K295" s="39" t="n">
        <f aca="false">IF(OR($A295="",NOT(ISNUMBER($D295)),NOT(ISNUMBER($H295))),"",IF(AND(ISNUMBER($J295),$J295&gt;0),$J295,IF(ISNUMBER($I295),$I295,"")))</f>
        <v>1146.54347826087</v>
      </c>
      <c r="L295" s="40" t="n">
        <f aca="false">IF(ISNUMBER($K295),$K295*$H295,"")</f>
        <v>240.774130434783</v>
      </c>
      <c r="M295" s="40" t="n">
        <f aca="false">IF(ISNUMBER($K295),$K295*Parâmetros!$B$7,"")</f>
        <v>114.654347826087</v>
      </c>
      <c r="N295" s="40" t="n">
        <f aca="false">IF(ISNUMBER($K295),$K295*Parâmetros!$C$7,"")</f>
        <v>34.3963043478261</v>
      </c>
      <c r="O295" s="40" t="n">
        <f aca="false">IF(ISNUMBER($K295),IF(ISNUMBER(Parâmetros!$E$7),Parâmetros!$E$7,0),"")</f>
        <v>0</v>
      </c>
      <c r="P295" s="41" t="n">
        <f aca="false">IF(ISNUMBER($K295),$K295-$D295-IF(ISNUMBER($E295),$E295,0)-$L295-$M295-$N295-$O295,"")</f>
        <v>229.308695652174</v>
      </c>
      <c r="Q295" s="42" t="n">
        <f aca="false">IF(AND(ISNUMBER($K295),$K295&gt;0),$P295/$K295,"")</f>
        <v>0.2</v>
      </c>
      <c r="R295" s="43"/>
      <c r="S295" s="44" t="str">
        <f aca="false">IF(OR(NOT(ISNUMBER($R295)),$R295=0,NOT(ISNUMBER($K295))),"",$K295*(1-$R295))</f>
        <v/>
      </c>
      <c r="T295" s="45" t="str">
        <f aca="false">IF(ISNUMBER($S295),$S295*$H295,"")</f>
        <v/>
      </c>
      <c r="U295" s="45" t="str">
        <f aca="false">IF(ISNUMBER($S295),$S295*Parâmetros!$B$7,"")</f>
        <v/>
      </c>
      <c r="V295" s="45" t="str">
        <f aca="false">IF(ISNUMBER($S295),$S295*Parâmetros!$C$7,"")</f>
        <v/>
      </c>
      <c r="W295" s="44" t="str">
        <f aca="false">IF(ISNUMBER($S295),$S295-$D295-IF(ISNUMBER($E295),$E295,0)-$O295-$T295-$U295-$V295,"")</f>
        <v/>
      </c>
      <c r="X295" s="46" t="str">
        <f aca="false">IF(AND(ISNUMBER($S295),$S295&gt;0),$W295/$S295,"")</f>
        <v/>
      </c>
      <c r="Y295" s="49"/>
      <c r="Z295" s="21"/>
    </row>
    <row r="296" customFormat="false" ht="15.75" hidden="false" customHeight="true" outlineLevel="0" collapsed="false">
      <c r="A296" s="32" t="str">
        <f aca="false">IF(Produtos!$A296="","",Produtos!$A296)</f>
        <v>P4070ALC</v>
      </c>
      <c r="B296" s="32" t="str">
        <f aca="false">IF(Produtos!$A296="","",Produtos!$B296)</f>
        <v>Lixeira c/Tampa Pedal 40x70 80L c/Alças</v>
      </c>
      <c r="C296" s="32" t="str">
        <f aca="false">IF(Produtos!$A296="","",Produtos!$C296)</f>
        <v>Lixeiras com pedal</v>
      </c>
      <c r="D296" s="33" t="n">
        <f aca="false">IF(Produtos!$A296="","",IF(Produtos!$D296="","",Produtos!$D296))</f>
        <v>539.53</v>
      </c>
      <c r="E296" s="11" t="n">
        <v>0</v>
      </c>
      <c r="F296" s="34" t="n">
        <f aca="false">IF($A296="","",IF($C296="","⚠ categoria",IFERROR(INDEX(Parâmetros!$E$13:$E$22,MATCH($C296,Parâmetros!$A$13:$A$22,0)),"⚠ categoria")))</f>
        <v>0.21</v>
      </c>
      <c r="G296" s="35"/>
      <c r="H296" s="36" t="n">
        <f aca="false">IF($A296="","",IF(ISNUMBER($G296),$G296,IF(ISNUMBER($F296),$F296,"")))</f>
        <v>0.21</v>
      </c>
      <c r="I296" s="37" t="n">
        <f aca="false">IF(OR($A296="",NOT(ISNUMBER($D296)),NOT(ISNUMBER($H296))),"",IF((1-$H296-Parâmetros!$B$7-Parâmetros!$C$7-Parâmetros!$D$7)&lt;=0,"INVALIDO",($D296+IF(ISNUMBER($E296),$E296,0)+IF(ISNUMBER(Parâmetros!$E$7),Parâmetros!$E$7,0))/(1-$H296-Parâmetros!$B$7-Parâmetros!$C$7-Parâmetros!$D$7)))</f>
        <v>1172.89130434783</v>
      </c>
      <c r="J296" s="38"/>
      <c r="K296" s="39" t="n">
        <f aca="false">IF(OR($A296="",NOT(ISNUMBER($D296)),NOT(ISNUMBER($H296))),"",IF(AND(ISNUMBER($J296),$J296&gt;0),$J296,IF(ISNUMBER($I296),$I296,"")))</f>
        <v>1172.89130434783</v>
      </c>
      <c r="L296" s="40" t="n">
        <f aca="false">IF(ISNUMBER($K296),$K296*$H296,"")</f>
        <v>246.307173913043</v>
      </c>
      <c r="M296" s="40" t="n">
        <f aca="false">IF(ISNUMBER($K296),$K296*Parâmetros!$B$7,"")</f>
        <v>117.289130434783</v>
      </c>
      <c r="N296" s="40" t="n">
        <f aca="false">IF(ISNUMBER($K296),$K296*Parâmetros!$C$7,"")</f>
        <v>35.1867391304348</v>
      </c>
      <c r="O296" s="40" t="n">
        <f aca="false">IF(ISNUMBER($K296),IF(ISNUMBER(Parâmetros!$E$7),Parâmetros!$E$7,0),"")</f>
        <v>0</v>
      </c>
      <c r="P296" s="41" t="n">
        <f aca="false">IF(ISNUMBER($K296),$K296-$D296-IF(ISNUMBER($E296),$E296,0)-$L296-$M296-$N296-$O296,"")</f>
        <v>234.578260869565</v>
      </c>
      <c r="Q296" s="42" t="n">
        <f aca="false">IF(AND(ISNUMBER($K296),$K296&gt;0),$P296/$K296,"")</f>
        <v>0.2</v>
      </c>
      <c r="R296" s="43"/>
      <c r="S296" s="44" t="str">
        <f aca="false">IF(OR(NOT(ISNUMBER($R296)),$R296=0,NOT(ISNUMBER($K296))),"",$K296*(1-$R296))</f>
        <v/>
      </c>
      <c r="T296" s="45" t="str">
        <f aca="false">IF(ISNUMBER($S296),$S296*$H296,"")</f>
        <v/>
      </c>
      <c r="U296" s="45" t="str">
        <f aca="false">IF(ISNUMBER($S296),$S296*Parâmetros!$B$7,"")</f>
        <v/>
      </c>
      <c r="V296" s="45" t="str">
        <f aca="false">IF(ISNUMBER($S296),$S296*Parâmetros!$C$7,"")</f>
        <v/>
      </c>
      <c r="W296" s="44" t="str">
        <f aca="false">IF(ISNUMBER($S296),$S296-$D296-IF(ISNUMBER($E296),$E296,0)-$O296-$T296-$U296-$V296,"")</f>
        <v/>
      </c>
      <c r="X296" s="46" t="str">
        <f aca="false">IF(AND(ISNUMBER($S296),$S296&gt;0),$W296/$S296,"")</f>
        <v/>
      </c>
      <c r="Y296" s="47"/>
      <c r="Z296" s="19"/>
    </row>
    <row r="297" customFormat="false" ht="15.75" hidden="false" customHeight="true" outlineLevel="0" collapsed="false">
      <c r="A297" s="48" t="str">
        <f aca="false">IF(Produtos!$A297="","",Produtos!$A297)</f>
        <v>P4075ALC</v>
      </c>
      <c r="B297" s="48" t="str">
        <f aca="false">IF(Produtos!$A297="","",Produtos!$B297)</f>
        <v>Lixeira c/Tampa Pedal 40x75 95L c/Alças</v>
      </c>
      <c r="C297" s="48" t="str">
        <f aca="false">IF(Produtos!$A297="","",Produtos!$C297)</f>
        <v>Lixeiras com pedal</v>
      </c>
      <c r="D297" s="33" t="n">
        <f aca="false">IF(Produtos!$A297="","",IF(Produtos!$D297="","",Produtos!$D297))</f>
        <v>605.28</v>
      </c>
      <c r="E297" s="11" t="n">
        <v>0</v>
      </c>
      <c r="F297" s="34" t="n">
        <f aca="false">IF($A297="","",IF($C297="","⚠ categoria",IFERROR(INDEX(Parâmetros!$E$13:$E$22,MATCH($C297,Parâmetros!$A$13:$A$22,0)),"⚠ categoria")))</f>
        <v>0.21</v>
      </c>
      <c r="G297" s="35"/>
      <c r="H297" s="36" t="n">
        <f aca="false">IF($A297="","",IF(ISNUMBER($G297),$G297,IF(ISNUMBER($F297),$F297,"")))</f>
        <v>0.21</v>
      </c>
      <c r="I297" s="37" t="n">
        <f aca="false">IF(OR($A297="",NOT(ISNUMBER($D297)),NOT(ISNUMBER($H297))),"",IF((1-$H297-Parâmetros!$B$7-Parâmetros!$C$7-Parâmetros!$D$7)&lt;=0,"INVALIDO",($D297+IF(ISNUMBER($E297),$E297,0)+IF(ISNUMBER(Parâmetros!$E$7),Parâmetros!$E$7,0))/(1-$H297-Parâmetros!$B$7-Parâmetros!$C$7-Parâmetros!$D$7)))</f>
        <v>1315.82608695652</v>
      </c>
      <c r="J297" s="38"/>
      <c r="K297" s="39" t="n">
        <f aca="false">IF(OR($A297="",NOT(ISNUMBER($D297)),NOT(ISNUMBER($H297))),"",IF(AND(ISNUMBER($J297),$J297&gt;0),$J297,IF(ISNUMBER($I297),$I297,"")))</f>
        <v>1315.82608695652</v>
      </c>
      <c r="L297" s="40" t="n">
        <f aca="false">IF(ISNUMBER($K297),$K297*$H297,"")</f>
        <v>276.32347826087</v>
      </c>
      <c r="M297" s="40" t="n">
        <f aca="false">IF(ISNUMBER($K297),$K297*Parâmetros!$B$7,"")</f>
        <v>131.582608695652</v>
      </c>
      <c r="N297" s="40" t="n">
        <f aca="false">IF(ISNUMBER($K297),$K297*Parâmetros!$C$7,"")</f>
        <v>39.4747826086956</v>
      </c>
      <c r="O297" s="40" t="n">
        <f aca="false">IF(ISNUMBER($K297),IF(ISNUMBER(Parâmetros!$E$7),Parâmetros!$E$7,0),"")</f>
        <v>0</v>
      </c>
      <c r="P297" s="41" t="n">
        <f aca="false">IF(ISNUMBER($K297),$K297-$D297-IF(ISNUMBER($E297),$E297,0)-$L297-$M297-$N297-$O297,"")</f>
        <v>263.165217391304</v>
      </c>
      <c r="Q297" s="42" t="n">
        <f aca="false">IF(AND(ISNUMBER($K297),$K297&gt;0),$P297/$K297,"")</f>
        <v>0.2</v>
      </c>
      <c r="R297" s="43"/>
      <c r="S297" s="44" t="str">
        <f aca="false">IF(OR(NOT(ISNUMBER($R297)),$R297=0,NOT(ISNUMBER($K297))),"",$K297*(1-$R297))</f>
        <v/>
      </c>
      <c r="T297" s="45" t="str">
        <f aca="false">IF(ISNUMBER($S297),$S297*$H297,"")</f>
        <v/>
      </c>
      <c r="U297" s="45" t="str">
        <f aca="false">IF(ISNUMBER($S297),$S297*Parâmetros!$B$7,"")</f>
        <v/>
      </c>
      <c r="V297" s="45" t="str">
        <f aca="false">IF(ISNUMBER($S297),$S297*Parâmetros!$C$7,"")</f>
        <v/>
      </c>
      <c r="W297" s="44" t="str">
        <f aca="false">IF(ISNUMBER($S297),$S297-$D297-IF(ISNUMBER($E297),$E297,0)-$O297-$T297-$U297-$V297,"")</f>
        <v/>
      </c>
      <c r="X297" s="46" t="str">
        <f aca="false">IF(AND(ISNUMBER($S297),$S297&gt;0),$W297/$S297,"")</f>
        <v/>
      </c>
      <c r="Y297" s="49"/>
      <c r="Z297" s="21"/>
    </row>
    <row r="298" customFormat="false" ht="15.75" hidden="false" customHeight="true" outlineLevel="0" collapsed="false">
      <c r="A298" s="32" t="str">
        <f aca="false">IF(Produtos!$A298="","",Produtos!$A298)</f>
        <v>P4080ALC</v>
      </c>
      <c r="B298" s="32" t="str">
        <f aca="false">IF(Produtos!$A298="","",Produtos!$B298)</f>
        <v>Lixeira c/Tampa Pedal 40x80 100L c/Alças</v>
      </c>
      <c r="C298" s="32" t="str">
        <f aca="false">IF(Produtos!$A298="","",Produtos!$C298)</f>
        <v>Lixeiras com pedal</v>
      </c>
      <c r="D298" s="33" t="n">
        <f aca="false">IF(Produtos!$A298="","",IF(Produtos!$D298="","",Produtos!$D298))</f>
        <v>642.03</v>
      </c>
      <c r="E298" s="11" t="n">
        <v>0</v>
      </c>
      <c r="F298" s="34" t="n">
        <f aca="false">IF($A298="","",IF($C298="","⚠ categoria",IFERROR(INDEX(Parâmetros!$E$13:$E$22,MATCH($C298,Parâmetros!$A$13:$A$22,0)),"⚠ categoria")))</f>
        <v>0.21</v>
      </c>
      <c r="G298" s="35"/>
      <c r="H298" s="36" t="n">
        <f aca="false">IF($A298="","",IF(ISNUMBER($G298),$G298,IF(ISNUMBER($F298),$F298,"")))</f>
        <v>0.21</v>
      </c>
      <c r="I298" s="37" t="n">
        <f aca="false">IF(OR($A298="",NOT(ISNUMBER($D298)),NOT(ISNUMBER($H298))),"",IF((1-$H298-Parâmetros!$B$7-Parâmetros!$C$7-Parâmetros!$D$7)&lt;=0,"INVALIDO",($D298+IF(ISNUMBER($E298),$E298,0)+IF(ISNUMBER(Parâmetros!$E$7),Parâmetros!$E$7,0))/(1-$H298-Parâmetros!$B$7-Parâmetros!$C$7-Parâmetros!$D$7)))</f>
        <v>1395.71739130435</v>
      </c>
      <c r="J298" s="38"/>
      <c r="K298" s="39" t="n">
        <f aca="false">IF(OR($A298="",NOT(ISNUMBER($D298)),NOT(ISNUMBER($H298))),"",IF(AND(ISNUMBER($J298),$J298&gt;0),$J298,IF(ISNUMBER($I298),$I298,"")))</f>
        <v>1395.71739130435</v>
      </c>
      <c r="L298" s="40" t="n">
        <f aca="false">IF(ISNUMBER($K298),$K298*$H298,"")</f>
        <v>293.100652173913</v>
      </c>
      <c r="M298" s="40" t="n">
        <f aca="false">IF(ISNUMBER($K298),$K298*Parâmetros!$B$7,"")</f>
        <v>139.571739130435</v>
      </c>
      <c r="N298" s="40" t="n">
        <f aca="false">IF(ISNUMBER($K298),$K298*Parâmetros!$C$7,"")</f>
        <v>41.8715217391304</v>
      </c>
      <c r="O298" s="40" t="n">
        <f aca="false">IF(ISNUMBER($K298),IF(ISNUMBER(Parâmetros!$E$7),Parâmetros!$E$7,0),"")</f>
        <v>0</v>
      </c>
      <c r="P298" s="41" t="n">
        <f aca="false">IF(ISNUMBER($K298),$K298-$D298-IF(ISNUMBER($E298),$E298,0)-$L298-$M298-$N298-$O298,"")</f>
        <v>279.14347826087</v>
      </c>
      <c r="Q298" s="42" t="n">
        <f aca="false">IF(AND(ISNUMBER($K298),$K298&gt;0),$P298/$K298,"")</f>
        <v>0.2</v>
      </c>
      <c r="R298" s="43"/>
      <c r="S298" s="44" t="str">
        <f aca="false">IF(OR(NOT(ISNUMBER($R298)),$R298=0,NOT(ISNUMBER($K298))),"",$K298*(1-$R298))</f>
        <v/>
      </c>
      <c r="T298" s="45" t="str">
        <f aca="false">IF(ISNUMBER($S298),$S298*$H298,"")</f>
        <v/>
      </c>
      <c r="U298" s="45" t="str">
        <f aca="false">IF(ISNUMBER($S298),$S298*Parâmetros!$B$7,"")</f>
        <v/>
      </c>
      <c r="V298" s="45" t="str">
        <f aca="false">IF(ISNUMBER($S298),$S298*Parâmetros!$C$7,"")</f>
        <v/>
      </c>
      <c r="W298" s="44" t="str">
        <f aca="false">IF(ISNUMBER($S298),$S298-$D298-IF(ISNUMBER($E298),$E298,0)-$O298-$T298-$U298-$V298,"")</f>
        <v/>
      </c>
      <c r="X298" s="46" t="str">
        <f aca="false">IF(AND(ISNUMBER($S298),$S298&gt;0),$W298/$S298,"")</f>
        <v/>
      </c>
      <c r="Y298" s="47"/>
      <c r="Z298" s="19"/>
    </row>
    <row r="299" customFormat="false" ht="15.75" hidden="false" customHeight="true" outlineLevel="0" collapsed="false">
      <c r="A299" s="48" t="str">
        <f aca="false">IF(Produtos!$A299="","",Produtos!$A299)</f>
        <v>P4090ALC</v>
      </c>
      <c r="B299" s="48" t="str">
        <f aca="false">IF(Produtos!$A299="","",Produtos!$B299)</f>
        <v>Lixeira c/Tampa Pedal 40x90 120L c/Alças</v>
      </c>
      <c r="C299" s="48" t="str">
        <f aca="false">IF(Produtos!$A299="","",Produtos!$C299)</f>
        <v>Lixeiras com pedal</v>
      </c>
      <c r="D299" s="33" t="n">
        <f aca="false">IF(Produtos!$A299="","",IF(Produtos!$D299="","",Produtos!$D299))</f>
        <v>828.46</v>
      </c>
      <c r="E299" s="11" t="n">
        <v>0</v>
      </c>
      <c r="F299" s="34" t="n">
        <f aca="false">IF($A299="","",IF($C299="","⚠ categoria",IFERROR(INDEX(Parâmetros!$E$13:$E$22,MATCH($C299,Parâmetros!$A$13:$A$22,0)),"⚠ categoria")))</f>
        <v>0.21</v>
      </c>
      <c r="G299" s="35"/>
      <c r="H299" s="36" t="n">
        <f aca="false">IF($A299="","",IF(ISNUMBER($G299),$G299,IF(ISNUMBER($F299),$F299,"")))</f>
        <v>0.21</v>
      </c>
      <c r="I299" s="37" t="n">
        <f aca="false">IF(OR($A299="",NOT(ISNUMBER($D299)),NOT(ISNUMBER($H299))),"",IF((1-$H299-Parâmetros!$B$7-Parâmetros!$C$7-Parâmetros!$D$7)&lt;=0,"INVALIDO",($D299+IF(ISNUMBER($E299),$E299,0)+IF(ISNUMBER(Parâmetros!$E$7),Parâmetros!$E$7,0))/(1-$H299-Parâmetros!$B$7-Parâmetros!$C$7-Parâmetros!$D$7)))</f>
        <v>1801</v>
      </c>
      <c r="J299" s="38"/>
      <c r="K299" s="39" t="n">
        <f aca="false">IF(OR($A299="",NOT(ISNUMBER($D299)),NOT(ISNUMBER($H299))),"",IF(AND(ISNUMBER($J299),$J299&gt;0),$J299,IF(ISNUMBER($I299),$I299,"")))</f>
        <v>1801</v>
      </c>
      <c r="L299" s="40" t="n">
        <f aca="false">IF(ISNUMBER($K299),$K299*$H299,"")</f>
        <v>378.21</v>
      </c>
      <c r="M299" s="40" t="n">
        <f aca="false">IF(ISNUMBER($K299),$K299*Parâmetros!$B$7,"")</f>
        <v>180.1</v>
      </c>
      <c r="N299" s="40" t="n">
        <f aca="false">IF(ISNUMBER($K299),$K299*Parâmetros!$C$7,"")</f>
        <v>54.03</v>
      </c>
      <c r="O299" s="40" t="n">
        <f aca="false">IF(ISNUMBER($K299),IF(ISNUMBER(Parâmetros!$E$7),Parâmetros!$E$7,0),"")</f>
        <v>0</v>
      </c>
      <c r="P299" s="41" t="n">
        <f aca="false">IF(ISNUMBER($K299),$K299-$D299-IF(ISNUMBER($E299),$E299,0)-$L299-$M299-$N299-$O299,"")</f>
        <v>360.2</v>
      </c>
      <c r="Q299" s="42" t="n">
        <f aca="false">IF(AND(ISNUMBER($K299),$K299&gt;0),$P299/$K299,"")</f>
        <v>0.2</v>
      </c>
      <c r="R299" s="43"/>
      <c r="S299" s="44" t="str">
        <f aca="false">IF(OR(NOT(ISNUMBER($R299)),$R299=0,NOT(ISNUMBER($K299))),"",$K299*(1-$R299))</f>
        <v/>
      </c>
      <c r="T299" s="45" t="str">
        <f aca="false">IF(ISNUMBER($S299),$S299*$H299,"")</f>
        <v/>
      </c>
      <c r="U299" s="45" t="str">
        <f aca="false">IF(ISNUMBER($S299),$S299*Parâmetros!$B$7,"")</f>
        <v/>
      </c>
      <c r="V299" s="45" t="str">
        <f aca="false">IF(ISNUMBER($S299),$S299*Parâmetros!$C$7,"")</f>
        <v/>
      </c>
      <c r="W299" s="44" t="str">
        <f aca="false">IF(ISNUMBER($S299),$S299-$D299-IF(ISNUMBER($E299),$E299,0)-$O299-$T299-$U299-$V299,"")</f>
        <v/>
      </c>
      <c r="X299" s="46" t="str">
        <f aca="false">IF(AND(ISNUMBER($S299),$S299&gt;0),$W299/$S299,"")</f>
        <v/>
      </c>
      <c r="Y299" s="49"/>
      <c r="Z299" s="21"/>
    </row>
    <row r="300" customFormat="false" ht="15.75" hidden="false" customHeight="true" outlineLevel="0" collapsed="false">
      <c r="A300" s="32" t="str">
        <f aca="false">IF(Produtos!$A300="","",Produtos!$A300)</f>
        <v/>
      </c>
      <c r="B300" s="32" t="str">
        <f aca="false">IF(Produtos!$A300="","",Produtos!$B300)</f>
        <v/>
      </c>
      <c r="C300" s="32" t="str">
        <f aca="false">IF(Produtos!$A300="","",Produtos!$C300)</f>
        <v/>
      </c>
      <c r="D300" s="33" t="str">
        <f aca="false">IF(Produtos!$A300="","",IF(Produtos!$D300="","",Produtos!$D300))</f>
        <v/>
      </c>
      <c r="E300" s="11"/>
      <c r="F300" s="34" t="str">
        <f aca="false">IF($A300="","",IF($C300="","⚠ categoria",IFERROR(INDEX(Parâmetros!$E$13:$E$22,MATCH($C300,Parâmetros!$A$13:$A$22,0)),"⚠ categoria")))</f>
        <v/>
      </c>
      <c r="G300" s="35"/>
      <c r="H300" s="36" t="str">
        <f aca="false">IF($A300="","",IF(ISNUMBER($G300),$G300,IF(ISNUMBER($F300),$F300,"")))</f>
        <v/>
      </c>
      <c r="I300" s="37" t="str">
        <f aca="false">IF(OR($A300="",NOT(ISNUMBER($D300)),NOT(ISNUMBER($H300))),"",IF((1-$H300-Parâmetros!$B$7-Parâmetros!$C$7-Parâmetros!$D$7)&lt;=0,"INVALIDO",($D300+IF(ISNUMBER($E300),$E300,0)+IF(ISNUMBER(Parâmetros!$E$7),Parâmetros!$E$7,0))/(1-$H300-Parâmetros!$B$7-Parâmetros!$C$7-Parâmetros!$D$7)))</f>
        <v/>
      </c>
      <c r="J300" s="38"/>
      <c r="K300" s="39" t="str">
        <f aca="false">IF(OR($A300="",NOT(ISNUMBER($D300)),NOT(ISNUMBER($H300))),"",IF(AND(ISNUMBER($J300),$J300&gt;0),$J300,IF(ISNUMBER($I300),$I300,"")))</f>
        <v/>
      </c>
      <c r="L300" s="40" t="str">
        <f aca="false">IF(ISNUMBER($K300),$K300*$H300,"")</f>
        <v/>
      </c>
      <c r="M300" s="40" t="str">
        <f aca="false">IF(ISNUMBER($K300),$K300*Parâmetros!$B$7,"")</f>
        <v/>
      </c>
      <c r="N300" s="40" t="str">
        <f aca="false">IF(ISNUMBER($K300),$K300*Parâmetros!$C$7,"")</f>
        <v/>
      </c>
      <c r="O300" s="40" t="str">
        <f aca="false">IF(ISNUMBER($K300),IF(ISNUMBER(Parâmetros!$E$7),Parâmetros!$E$7,0),"")</f>
        <v/>
      </c>
      <c r="P300" s="41" t="str">
        <f aca="false">IF(ISNUMBER($K300),$K300-$D300-IF(ISNUMBER($E300),$E300,0)-$L300-$M300-$N300-$O300,"")</f>
        <v/>
      </c>
      <c r="Q300" s="42" t="str">
        <f aca="false">IF(AND(ISNUMBER($K300),$K300&gt;0),$P300/$K300,"")</f>
        <v/>
      </c>
      <c r="R300" s="43"/>
      <c r="S300" s="44" t="str">
        <f aca="false">IF(OR(NOT(ISNUMBER($R300)),$R300=0,NOT(ISNUMBER($K300))),"",$K300*(1-$R300))</f>
        <v/>
      </c>
      <c r="T300" s="45" t="str">
        <f aca="false">IF(ISNUMBER($S300),$S300*$H300,"")</f>
        <v/>
      </c>
      <c r="U300" s="45" t="str">
        <f aca="false">IF(ISNUMBER($S300),$S300*Parâmetros!$B$7,"")</f>
        <v/>
      </c>
      <c r="V300" s="45" t="str">
        <f aca="false">IF(ISNUMBER($S300),$S300*Parâmetros!$C$7,"")</f>
        <v/>
      </c>
      <c r="W300" s="44" t="str">
        <f aca="false">IF(ISNUMBER($S300),$S300-$D300-IF(ISNUMBER($E300),$E300,0)-$O300-$T300-$U300-$V300,"")</f>
        <v/>
      </c>
      <c r="X300" s="46" t="str">
        <f aca="false">IF(AND(ISNUMBER($S300),$S300&gt;0),$W300/$S300,"")</f>
        <v/>
      </c>
      <c r="Y300" s="47"/>
      <c r="Z300" s="19"/>
    </row>
    <row r="301" customFormat="false" ht="15.75" hidden="false" customHeight="true" outlineLevel="0" collapsed="false">
      <c r="A301" s="48" t="str">
        <f aca="false">IF(Produtos!$A301="","",Produtos!$A301)</f>
        <v/>
      </c>
      <c r="B301" s="48" t="str">
        <f aca="false">IF(Produtos!$A301="","",Produtos!$B301)</f>
        <v/>
      </c>
      <c r="C301" s="48" t="str">
        <f aca="false">IF(Produtos!$A301="","",Produtos!$C301)</f>
        <v/>
      </c>
      <c r="D301" s="33" t="str">
        <f aca="false">IF(Produtos!$A301="","",IF(Produtos!$D301="","",Produtos!$D301))</f>
        <v/>
      </c>
      <c r="E301" s="11"/>
      <c r="F301" s="34" t="str">
        <f aca="false">IF($A301="","",IF($C301="","⚠ categoria",IFERROR(INDEX(Parâmetros!$E$13:$E$22,MATCH($C301,Parâmetros!$A$13:$A$22,0)),"⚠ categoria")))</f>
        <v/>
      </c>
      <c r="G301" s="35"/>
      <c r="H301" s="36" t="str">
        <f aca="false">IF($A301="","",IF(ISNUMBER($G301),$G301,IF(ISNUMBER($F301),$F301,"")))</f>
        <v/>
      </c>
      <c r="I301" s="37" t="str">
        <f aca="false">IF(OR($A301="",NOT(ISNUMBER($D301)),NOT(ISNUMBER($H301))),"",IF((1-$H301-Parâmetros!$B$7-Parâmetros!$C$7-Parâmetros!$D$7)&lt;=0,"INVALIDO",($D301+IF(ISNUMBER($E301),$E301,0)+IF(ISNUMBER(Parâmetros!$E$7),Parâmetros!$E$7,0))/(1-$H301-Parâmetros!$B$7-Parâmetros!$C$7-Parâmetros!$D$7)))</f>
        <v/>
      </c>
      <c r="J301" s="38"/>
      <c r="K301" s="39" t="str">
        <f aca="false">IF(OR($A301="",NOT(ISNUMBER($D301)),NOT(ISNUMBER($H301))),"",IF(AND(ISNUMBER($J301),$J301&gt;0),$J301,IF(ISNUMBER($I301),$I301,"")))</f>
        <v/>
      </c>
      <c r="L301" s="40" t="str">
        <f aca="false">IF(ISNUMBER($K301),$K301*$H301,"")</f>
        <v/>
      </c>
      <c r="M301" s="40" t="str">
        <f aca="false">IF(ISNUMBER($K301),$K301*Parâmetros!$B$7,"")</f>
        <v/>
      </c>
      <c r="N301" s="40" t="str">
        <f aca="false">IF(ISNUMBER($K301),$K301*Parâmetros!$C$7,"")</f>
        <v/>
      </c>
      <c r="O301" s="40" t="str">
        <f aca="false">IF(ISNUMBER($K301),IF(ISNUMBER(Parâmetros!$E$7),Parâmetros!$E$7,0),"")</f>
        <v/>
      </c>
      <c r="P301" s="41" t="str">
        <f aca="false">IF(ISNUMBER($K301),$K301-$D301-IF(ISNUMBER($E301),$E301,0)-$L301-$M301-$N301-$O301,"")</f>
        <v/>
      </c>
      <c r="Q301" s="42" t="str">
        <f aca="false">IF(AND(ISNUMBER($K301),$K301&gt;0),$P301/$K301,"")</f>
        <v/>
      </c>
      <c r="R301" s="43"/>
      <c r="S301" s="44" t="str">
        <f aca="false">IF(OR(NOT(ISNUMBER($R301)),$R301=0,NOT(ISNUMBER($K301))),"",$K301*(1-$R301))</f>
        <v/>
      </c>
      <c r="T301" s="45" t="str">
        <f aca="false">IF(ISNUMBER($S301),$S301*$H301,"")</f>
        <v/>
      </c>
      <c r="U301" s="45" t="str">
        <f aca="false">IF(ISNUMBER($S301),$S301*Parâmetros!$B$7,"")</f>
        <v/>
      </c>
      <c r="V301" s="45" t="str">
        <f aca="false">IF(ISNUMBER($S301),$S301*Parâmetros!$C$7,"")</f>
        <v/>
      </c>
      <c r="W301" s="44" t="str">
        <f aca="false">IF(ISNUMBER($S301),$S301-$D301-IF(ISNUMBER($E301),$E301,0)-$O301-$T301-$U301-$V301,"")</f>
        <v/>
      </c>
      <c r="X301" s="46" t="str">
        <f aca="false">IF(AND(ISNUMBER($S301),$S301&gt;0),$W301/$S301,"")</f>
        <v/>
      </c>
      <c r="Y301" s="49"/>
      <c r="Z301" s="21"/>
    </row>
    <row r="302" customFormat="false" ht="15.75" hidden="false" customHeight="true" outlineLevel="0" collapsed="false">
      <c r="A302" s="32" t="str">
        <f aca="false">IF(Produtos!$A302="","",Produtos!$A302)</f>
        <v/>
      </c>
      <c r="B302" s="32" t="str">
        <f aca="false">IF(Produtos!$A302="","",Produtos!$B302)</f>
        <v/>
      </c>
      <c r="C302" s="32" t="str">
        <f aca="false">IF(Produtos!$A302="","",Produtos!$C302)</f>
        <v/>
      </c>
      <c r="D302" s="33" t="str">
        <f aca="false">IF(Produtos!$A302="","",IF(Produtos!$D302="","",Produtos!$D302))</f>
        <v/>
      </c>
      <c r="E302" s="11"/>
      <c r="F302" s="34" t="str">
        <f aca="false">IF($A302="","",IF($C302="","⚠ categoria",IFERROR(INDEX(Parâmetros!$E$13:$E$22,MATCH($C302,Parâmetros!$A$13:$A$22,0)),"⚠ categoria")))</f>
        <v/>
      </c>
      <c r="G302" s="35"/>
      <c r="H302" s="36" t="str">
        <f aca="false">IF($A302="","",IF(ISNUMBER($G302),$G302,IF(ISNUMBER($F302),$F302,"")))</f>
        <v/>
      </c>
      <c r="I302" s="37" t="str">
        <f aca="false">IF(OR($A302="",NOT(ISNUMBER($D302)),NOT(ISNUMBER($H302))),"",IF((1-$H302-Parâmetros!$B$7-Parâmetros!$C$7-Parâmetros!$D$7)&lt;=0,"INVALIDO",($D302+IF(ISNUMBER($E302),$E302,0)+IF(ISNUMBER(Parâmetros!$E$7),Parâmetros!$E$7,0))/(1-$H302-Parâmetros!$B$7-Parâmetros!$C$7-Parâmetros!$D$7)))</f>
        <v/>
      </c>
      <c r="J302" s="38"/>
      <c r="K302" s="39" t="str">
        <f aca="false">IF(OR($A302="",NOT(ISNUMBER($D302)),NOT(ISNUMBER($H302))),"",IF(AND(ISNUMBER($J302),$J302&gt;0),$J302,IF(ISNUMBER($I302),$I302,"")))</f>
        <v/>
      </c>
      <c r="L302" s="40" t="str">
        <f aca="false">IF(ISNUMBER($K302),$K302*$H302,"")</f>
        <v/>
      </c>
      <c r="M302" s="40" t="str">
        <f aca="false">IF(ISNUMBER($K302),$K302*Parâmetros!$B$7,"")</f>
        <v/>
      </c>
      <c r="N302" s="40" t="str">
        <f aca="false">IF(ISNUMBER($K302),$K302*Parâmetros!$C$7,"")</f>
        <v/>
      </c>
      <c r="O302" s="40" t="str">
        <f aca="false">IF(ISNUMBER($K302),IF(ISNUMBER(Parâmetros!$E$7),Parâmetros!$E$7,0),"")</f>
        <v/>
      </c>
      <c r="P302" s="41" t="str">
        <f aca="false">IF(ISNUMBER($K302),$K302-$D302-IF(ISNUMBER($E302),$E302,0)-$L302-$M302-$N302-$O302,"")</f>
        <v/>
      </c>
      <c r="Q302" s="42" t="str">
        <f aca="false">IF(AND(ISNUMBER($K302),$K302&gt;0),$P302/$K302,"")</f>
        <v/>
      </c>
      <c r="R302" s="43"/>
      <c r="S302" s="44" t="str">
        <f aca="false">IF(OR(NOT(ISNUMBER($R302)),$R302=0,NOT(ISNUMBER($K302))),"",$K302*(1-$R302))</f>
        <v/>
      </c>
      <c r="T302" s="45" t="str">
        <f aca="false">IF(ISNUMBER($S302),$S302*$H302,"")</f>
        <v/>
      </c>
      <c r="U302" s="45" t="str">
        <f aca="false">IF(ISNUMBER($S302),$S302*Parâmetros!$B$7,"")</f>
        <v/>
      </c>
      <c r="V302" s="45" t="str">
        <f aca="false">IF(ISNUMBER($S302),$S302*Parâmetros!$C$7,"")</f>
        <v/>
      </c>
      <c r="W302" s="44" t="str">
        <f aca="false">IF(ISNUMBER($S302),$S302-$D302-IF(ISNUMBER($E302),$E302,0)-$O302-$T302-$U302-$V302,"")</f>
        <v/>
      </c>
      <c r="X302" s="46" t="str">
        <f aca="false">IF(AND(ISNUMBER($S302),$S302&gt;0),$W302/$S302,"")</f>
        <v/>
      </c>
      <c r="Y302" s="47"/>
      <c r="Z302" s="19"/>
    </row>
    <row r="303" customFormat="false" ht="15.75" hidden="false" customHeight="true" outlineLevel="0" collapsed="false">
      <c r="A303" s="48" t="str">
        <f aca="false">IF(Produtos!$A303="","",Produtos!$A303)</f>
        <v/>
      </c>
      <c r="B303" s="48" t="str">
        <f aca="false">IF(Produtos!$A303="","",Produtos!$B303)</f>
        <v/>
      </c>
      <c r="C303" s="48" t="str">
        <f aca="false">IF(Produtos!$A303="","",Produtos!$C303)</f>
        <v/>
      </c>
      <c r="D303" s="33" t="str">
        <f aca="false">IF(Produtos!$A303="","",IF(Produtos!$D303="","",Produtos!$D303))</f>
        <v/>
      </c>
      <c r="E303" s="11"/>
      <c r="F303" s="34" t="str">
        <f aca="false">IF($A303="","",IF($C303="","⚠ categoria",IFERROR(INDEX(Parâmetros!$E$13:$E$22,MATCH($C303,Parâmetros!$A$13:$A$22,0)),"⚠ categoria")))</f>
        <v/>
      </c>
      <c r="G303" s="35"/>
      <c r="H303" s="36" t="str">
        <f aca="false">IF($A303="","",IF(ISNUMBER($G303),$G303,IF(ISNUMBER($F303),$F303,"")))</f>
        <v/>
      </c>
      <c r="I303" s="37" t="str">
        <f aca="false">IF(OR($A303="",NOT(ISNUMBER($D303)),NOT(ISNUMBER($H303))),"",IF((1-$H303-Parâmetros!$B$7-Parâmetros!$C$7-Parâmetros!$D$7)&lt;=0,"INVALIDO",($D303+IF(ISNUMBER($E303),$E303,0)+IF(ISNUMBER(Parâmetros!$E$7),Parâmetros!$E$7,0))/(1-$H303-Parâmetros!$B$7-Parâmetros!$C$7-Parâmetros!$D$7)))</f>
        <v/>
      </c>
      <c r="J303" s="38"/>
      <c r="K303" s="39" t="str">
        <f aca="false">IF(OR($A303="",NOT(ISNUMBER($D303)),NOT(ISNUMBER($H303))),"",IF(AND(ISNUMBER($J303),$J303&gt;0),$J303,IF(ISNUMBER($I303),$I303,"")))</f>
        <v/>
      </c>
      <c r="L303" s="40" t="str">
        <f aca="false">IF(ISNUMBER($K303),$K303*$H303,"")</f>
        <v/>
      </c>
      <c r="M303" s="40" t="str">
        <f aca="false">IF(ISNUMBER($K303),$K303*Parâmetros!$B$7,"")</f>
        <v/>
      </c>
      <c r="N303" s="40" t="str">
        <f aca="false">IF(ISNUMBER($K303),$K303*Parâmetros!$C$7,"")</f>
        <v/>
      </c>
      <c r="O303" s="40" t="str">
        <f aca="false">IF(ISNUMBER($K303),IF(ISNUMBER(Parâmetros!$E$7),Parâmetros!$E$7,0),"")</f>
        <v/>
      </c>
      <c r="P303" s="41" t="str">
        <f aca="false">IF(ISNUMBER($K303),$K303-$D303-IF(ISNUMBER($E303),$E303,0)-$L303-$M303-$N303-$O303,"")</f>
        <v/>
      </c>
      <c r="Q303" s="42" t="str">
        <f aca="false">IF(AND(ISNUMBER($K303),$K303&gt;0),$P303/$K303,"")</f>
        <v/>
      </c>
      <c r="R303" s="43"/>
      <c r="S303" s="44" t="str">
        <f aca="false">IF(OR(NOT(ISNUMBER($R303)),$R303=0,NOT(ISNUMBER($K303))),"",$K303*(1-$R303))</f>
        <v/>
      </c>
      <c r="T303" s="45" t="str">
        <f aca="false">IF(ISNUMBER($S303),$S303*$H303,"")</f>
        <v/>
      </c>
      <c r="U303" s="45" t="str">
        <f aca="false">IF(ISNUMBER($S303),$S303*Parâmetros!$B$7,"")</f>
        <v/>
      </c>
      <c r="V303" s="45" t="str">
        <f aca="false">IF(ISNUMBER($S303),$S303*Parâmetros!$C$7,"")</f>
        <v/>
      </c>
      <c r="W303" s="44" t="str">
        <f aca="false">IF(ISNUMBER($S303),$S303-$D303-IF(ISNUMBER($E303),$E303,0)-$O303-$T303-$U303-$V303,"")</f>
        <v/>
      </c>
      <c r="X303" s="46" t="str">
        <f aca="false">IF(AND(ISNUMBER($S303),$S303&gt;0),$W303/$S303,"")</f>
        <v/>
      </c>
      <c r="Y303" s="49"/>
      <c r="Z303" s="21"/>
    </row>
    <row r="304" customFormat="false" ht="15.75" hidden="false" customHeight="true" outlineLevel="0" collapsed="false">
      <c r="A304" s="32" t="str">
        <f aca="false">IF(Produtos!$A304="","",Produtos!$A304)</f>
        <v/>
      </c>
      <c r="B304" s="32" t="str">
        <f aca="false">IF(Produtos!$A304="","",Produtos!$B304)</f>
        <v/>
      </c>
      <c r="C304" s="32" t="str">
        <f aca="false">IF(Produtos!$A304="","",Produtos!$C304)</f>
        <v/>
      </c>
      <c r="D304" s="33" t="str">
        <f aca="false">IF(Produtos!$A304="","",IF(Produtos!$D304="","",Produtos!$D304))</f>
        <v/>
      </c>
      <c r="E304" s="11"/>
      <c r="F304" s="34" t="str">
        <f aca="false">IF($A304="","",IF($C304="","⚠ categoria",IFERROR(INDEX(Parâmetros!$E$13:$E$22,MATCH($C304,Parâmetros!$A$13:$A$22,0)),"⚠ categoria")))</f>
        <v/>
      </c>
      <c r="G304" s="35"/>
      <c r="H304" s="36" t="str">
        <f aca="false">IF($A304="","",IF(ISNUMBER($G304),$G304,IF(ISNUMBER($F304),$F304,"")))</f>
        <v/>
      </c>
      <c r="I304" s="37" t="str">
        <f aca="false">IF(OR($A304="",NOT(ISNUMBER($D304)),NOT(ISNUMBER($H304))),"",IF((1-$H304-Parâmetros!$B$7-Parâmetros!$C$7-Parâmetros!$D$7)&lt;=0,"INVALIDO",($D304+IF(ISNUMBER($E304),$E304,0)+IF(ISNUMBER(Parâmetros!$E$7),Parâmetros!$E$7,0))/(1-$H304-Parâmetros!$B$7-Parâmetros!$C$7-Parâmetros!$D$7)))</f>
        <v/>
      </c>
      <c r="J304" s="38"/>
      <c r="K304" s="39" t="str">
        <f aca="false">IF(OR($A304="",NOT(ISNUMBER($D304)),NOT(ISNUMBER($H304))),"",IF(AND(ISNUMBER($J304),$J304&gt;0),$J304,IF(ISNUMBER($I304),$I304,"")))</f>
        <v/>
      </c>
      <c r="L304" s="40" t="str">
        <f aca="false">IF(ISNUMBER($K304),$K304*$H304,"")</f>
        <v/>
      </c>
      <c r="M304" s="40" t="str">
        <f aca="false">IF(ISNUMBER($K304),$K304*Parâmetros!$B$7,"")</f>
        <v/>
      </c>
      <c r="N304" s="40" t="str">
        <f aca="false">IF(ISNUMBER($K304),$K304*Parâmetros!$C$7,"")</f>
        <v/>
      </c>
      <c r="O304" s="40" t="str">
        <f aca="false">IF(ISNUMBER($K304),IF(ISNUMBER(Parâmetros!$E$7),Parâmetros!$E$7,0),"")</f>
        <v/>
      </c>
      <c r="P304" s="41" t="str">
        <f aca="false">IF(ISNUMBER($K304),$K304-$D304-IF(ISNUMBER($E304),$E304,0)-$L304-$M304-$N304-$O304,"")</f>
        <v/>
      </c>
      <c r="Q304" s="42" t="str">
        <f aca="false">IF(AND(ISNUMBER($K304),$K304&gt;0),$P304/$K304,"")</f>
        <v/>
      </c>
      <c r="R304" s="43"/>
      <c r="S304" s="44" t="str">
        <f aca="false">IF(OR(NOT(ISNUMBER($R304)),$R304=0,NOT(ISNUMBER($K304))),"",$K304*(1-$R304))</f>
        <v/>
      </c>
      <c r="T304" s="45" t="str">
        <f aca="false">IF(ISNUMBER($S304),$S304*$H304,"")</f>
        <v/>
      </c>
      <c r="U304" s="45" t="str">
        <f aca="false">IF(ISNUMBER($S304),$S304*Parâmetros!$B$7,"")</f>
        <v/>
      </c>
      <c r="V304" s="45" t="str">
        <f aca="false">IF(ISNUMBER($S304),$S304*Parâmetros!$C$7,"")</f>
        <v/>
      </c>
      <c r="W304" s="44" t="str">
        <f aca="false">IF(ISNUMBER($S304),$S304-$D304-IF(ISNUMBER($E304),$E304,0)-$O304-$T304-$U304-$V304,"")</f>
        <v/>
      </c>
      <c r="X304" s="46" t="str">
        <f aca="false">IF(AND(ISNUMBER($S304),$S304&gt;0),$W304/$S304,"")</f>
        <v/>
      </c>
      <c r="Y304" s="47"/>
      <c r="Z304" s="19"/>
    </row>
    <row r="305" customFormat="false" ht="15.75" hidden="false" customHeight="true" outlineLevel="0" collapsed="false">
      <c r="A305" s="48" t="str">
        <f aca="false">IF(Produtos!$A305="","",Produtos!$A305)</f>
        <v/>
      </c>
      <c r="B305" s="48" t="str">
        <f aca="false">IF(Produtos!$A305="","",Produtos!$B305)</f>
        <v/>
      </c>
      <c r="C305" s="48" t="str">
        <f aca="false">IF(Produtos!$A305="","",Produtos!$C305)</f>
        <v/>
      </c>
      <c r="D305" s="33" t="str">
        <f aca="false">IF(Produtos!$A305="","",IF(Produtos!$D305="","",Produtos!$D305))</f>
        <v/>
      </c>
      <c r="E305" s="11"/>
      <c r="F305" s="34" t="str">
        <f aca="false">IF($A305="","",IF($C305="","⚠ categoria",IFERROR(INDEX(Parâmetros!$E$13:$E$22,MATCH($C305,Parâmetros!$A$13:$A$22,0)),"⚠ categoria")))</f>
        <v/>
      </c>
      <c r="G305" s="35"/>
      <c r="H305" s="36" t="str">
        <f aca="false">IF($A305="","",IF(ISNUMBER($G305),$G305,IF(ISNUMBER($F305),$F305,"")))</f>
        <v/>
      </c>
      <c r="I305" s="37" t="str">
        <f aca="false">IF(OR($A305="",NOT(ISNUMBER($D305)),NOT(ISNUMBER($H305))),"",IF((1-$H305-Parâmetros!$B$7-Parâmetros!$C$7-Parâmetros!$D$7)&lt;=0,"INVALIDO",($D305+IF(ISNUMBER($E305),$E305,0)+IF(ISNUMBER(Parâmetros!$E$7),Parâmetros!$E$7,0))/(1-$H305-Parâmetros!$B$7-Parâmetros!$C$7-Parâmetros!$D$7)))</f>
        <v/>
      </c>
      <c r="J305" s="38"/>
      <c r="K305" s="39" t="str">
        <f aca="false">IF(OR($A305="",NOT(ISNUMBER($D305)),NOT(ISNUMBER($H305))),"",IF(AND(ISNUMBER($J305),$J305&gt;0),$J305,IF(ISNUMBER($I305),$I305,"")))</f>
        <v/>
      </c>
      <c r="L305" s="40" t="str">
        <f aca="false">IF(ISNUMBER($K305),$K305*$H305,"")</f>
        <v/>
      </c>
      <c r="M305" s="40" t="str">
        <f aca="false">IF(ISNUMBER($K305),$K305*Parâmetros!$B$7,"")</f>
        <v/>
      </c>
      <c r="N305" s="40" t="str">
        <f aca="false">IF(ISNUMBER($K305),$K305*Parâmetros!$C$7,"")</f>
        <v/>
      </c>
      <c r="O305" s="40" t="str">
        <f aca="false">IF(ISNUMBER($K305),IF(ISNUMBER(Parâmetros!$E$7),Parâmetros!$E$7,0),"")</f>
        <v/>
      </c>
      <c r="P305" s="41" t="str">
        <f aca="false">IF(ISNUMBER($K305),$K305-$D305-IF(ISNUMBER($E305),$E305,0)-$L305-$M305-$N305-$O305,"")</f>
        <v/>
      </c>
      <c r="Q305" s="42" t="str">
        <f aca="false">IF(AND(ISNUMBER($K305),$K305&gt;0),$P305/$K305,"")</f>
        <v/>
      </c>
      <c r="R305" s="43"/>
      <c r="S305" s="44" t="str">
        <f aca="false">IF(OR(NOT(ISNUMBER($R305)),$R305=0,NOT(ISNUMBER($K305))),"",$K305*(1-$R305))</f>
        <v/>
      </c>
      <c r="T305" s="45" t="str">
        <f aca="false">IF(ISNUMBER($S305),$S305*$H305,"")</f>
        <v/>
      </c>
      <c r="U305" s="45" t="str">
        <f aca="false">IF(ISNUMBER($S305),$S305*Parâmetros!$B$7,"")</f>
        <v/>
      </c>
      <c r="V305" s="45" t="str">
        <f aca="false">IF(ISNUMBER($S305),$S305*Parâmetros!$C$7,"")</f>
        <v/>
      </c>
      <c r="W305" s="44" t="str">
        <f aca="false">IF(ISNUMBER($S305),$S305-$D305-IF(ISNUMBER($E305),$E305,0)-$O305-$T305-$U305-$V305,"")</f>
        <v/>
      </c>
      <c r="X305" s="46" t="str">
        <f aca="false">IF(AND(ISNUMBER($S305),$S305&gt;0),$W305/$S305,"")</f>
        <v/>
      </c>
      <c r="Y305" s="49"/>
      <c r="Z305" s="21"/>
    </row>
    <row r="306" customFormat="false" ht="15.75" hidden="false" customHeight="true" outlineLevel="0" collapsed="false">
      <c r="A306" s="32" t="str">
        <f aca="false">IF(Produtos!$A306="","",Produtos!$A306)</f>
        <v/>
      </c>
      <c r="B306" s="32" t="str">
        <f aca="false">IF(Produtos!$A306="","",Produtos!$B306)</f>
        <v/>
      </c>
      <c r="C306" s="32" t="str">
        <f aca="false">IF(Produtos!$A306="","",Produtos!$C306)</f>
        <v/>
      </c>
      <c r="D306" s="33" t="str">
        <f aca="false">IF(Produtos!$A306="","",IF(Produtos!$D306="","",Produtos!$D306))</f>
        <v/>
      </c>
      <c r="E306" s="11"/>
      <c r="F306" s="34" t="str">
        <f aca="false">IF($A306="","",IF($C306="","⚠ categoria",IFERROR(INDEX(Parâmetros!$E$13:$E$22,MATCH($C306,Parâmetros!$A$13:$A$22,0)),"⚠ categoria")))</f>
        <v/>
      </c>
      <c r="G306" s="35"/>
      <c r="H306" s="36" t="str">
        <f aca="false">IF($A306="","",IF(ISNUMBER($G306),$G306,IF(ISNUMBER($F306),$F306,"")))</f>
        <v/>
      </c>
      <c r="I306" s="37" t="str">
        <f aca="false">IF(OR($A306="",NOT(ISNUMBER($D306)),NOT(ISNUMBER($H306))),"",IF((1-$H306-Parâmetros!$B$7-Parâmetros!$C$7-Parâmetros!$D$7)&lt;=0,"INVALIDO",($D306+IF(ISNUMBER($E306),$E306,0)+IF(ISNUMBER(Parâmetros!$E$7),Parâmetros!$E$7,0))/(1-$H306-Parâmetros!$B$7-Parâmetros!$C$7-Parâmetros!$D$7)))</f>
        <v/>
      </c>
      <c r="J306" s="38"/>
      <c r="K306" s="39" t="str">
        <f aca="false">IF(OR($A306="",NOT(ISNUMBER($D306)),NOT(ISNUMBER($H306))),"",IF(AND(ISNUMBER($J306),$J306&gt;0),$J306,IF(ISNUMBER($I306),$I306,"")))</f>
        <v/>
      </c>
      <c r="L306" s="40" t="str">
        <f aca="false">IF(ISNUMBER($K306),$K306*$H306,"")</f>
        <v/>
      </c>
      <c r="M306" s="40" t="str">
        <f aca="false">IF(ISNUMBER($K306),$K306*Parâmetros!$B$7,"")</f>
        <v/>
      </c>
      <c r="N306" s="40" t="str">
        <f aca="false">IF(ISNUMBER($K306),$K306*Parâmetros!$C$7,"")</f>
        <v/>
      </c>
      <c r="O306" s="40" t="str">
        <f aca="false">IF(ISNUMBER($K306),IF(ISNUMBER(Parâmetros!$E$7),Parâmetros!$E$7,0),"")</f>
        <v/>
      </c>
      <c r="P306" s="41" t="str">
        <f aca="false">IF(ISNUMBER($K306),$K306-$D306-IF(ISNUMBER($E306),$E306,0)-$L306-$M306-$N306-$O306,"")</f>
        <v/>
      </c>
      <c r="Q306" s="42" t="str">
        <f aca="false">IF(AND(ISNUMBER($K306),$K306&gt;0),$P306/$K306,"")</f>
        <v/>
      </c>
      <c r="R306" s="43"/>
      <c r="S306" s="44" t="str">
        <f aca="false">IF(OR(NOT(ISNUMBER($R306)),$R306=0,NOT(ISNUMBER($K306))),"",$K306*(1-$R306))</f>
        <v/>
      </c>
      <c r="T306" s="45" t="str">
        <f aca="false">IF(ISNUMBER($S306),$S306*$H306,"")</f>
        <v/>
      </c>
      <c r="U306" s="45" t="str">
        <f aca="false">IF(ISNUMBER($S306),$S306*Parâmetros!$B$7,"")</f>
        <v/>
      </c>
      <c r="V306" s="45" t="str">
        <f aca="false">IF(ISNUMBER($S306),$S306*Parâmetros!$C$7,"")</f>
        <v/>
      </c>
      <c r="W306" s="44" t="str">
        <f aca="false">IF(ISNUMBER($S306),$S306-$D306-IF(ISNUMBER($E306),$E306,0)-$O306-$T306-$U306-$V306,"")</f>
        <v/>
      </c>
      <c r="X306" s="46" t="str">
        <f aca="false">IF(AND(ISNUMBER($S306),$S306&gt;0),$W306/$S306,"")</f>
        <v/>
      </c>
      <c r="Y306" s="47"/>
      <c r="Z306" s="19"/>
    </row>
    <row r="307" customFormat="false" ht="15.75" hidden="false" customHeight="true" outlineLevel="0" collapsed="false">
      <c r="A307" s="48" t="str">
        <f aca="false">IF(Produtos!$A307="","",Produtos!$A307)</f>
        <v/>
      </c>
      <c r="B307" s="48" t="str">
        <f aca="false">IF(Produtos!$A307="","",Produtos!$B307)</f>
        <v/>
      </c>
      <c r="C307" s="48" t="str">
        <f aca="false">IF(Produtos!$A307="","",Produtos!$C307)</f>
        <v/>
      </c>
      <c r="D307" s="33" t="str">
        <f aca="false">IF(Produtos!$A307="","",IF(Produtos!$D307="","",Produtos!$D307))</f>
        <v/>
      </c>
      <c r="E307" s="11"/>
      <c r="F307" s="34" t="str">
        <f aca="false">IF($A307="","",IF($C307="","⚠ categoria",IFERROR(INDEX(Parâmetros!$E$13:$E$22,MATCH($C307,Parâmetros!$A$13:$A$22,0)),"⚠ categoria")))</f>
        <v/>
      </c>
      <c r="G307" s="35"/>
      <c r="H307" s="36" t="str">
        <f aca="false">IF($A307="","",IF(ISNUMBER($G307),$G307,IF(ISNUMBER($F307),$F307,"")))</f>
        <v/>
      </c>
      <c r="I307" s="37" t="str">
        <f aca="false">IF(OR($A307="",NOT(ISNUMBER($D307)),NOT(ISNUMBER($H307))),"",IF((1-$H307-Parâmetros!$B$7-Parâmetros!$C$7-Parâmetros!$D$7)&lt;=0,"INVALIDO",($D307+IF(ISNUMBER($E307),$E307,0)+IF(ISNUMBER(Parâmetros!$E$7),Parâmetros!$E$7,0))/(1-$H307-Parâmetros!$B$7-Parâmetros!$C$7-Parâmetros!$D$7)))</f>
        <v/>
      </c>
      <c r="J307" s="38"/>
      <c r="K307" s="39" t="str">
        <f aca="false">IF(OR($A307="",NOT(ISNUMBER($D307)),NOT(ISNUMBER($H307))),"",IF(AND(ISNUMBER($J307),$J307&gt;0),$J307,IF(ISNUMBER($I307),$I307,"")))</f>
        <v/>
      </c>
      <c r="L307" s="40" t="str">
        <f aca="false">IF(ISNUMBER($K307),$K307*$H307,"")</f>
        <v/>
      </c>
      <c r="M307" s="40" t="str">
        <f aca="false">IF(ISNUMBER($K307),$K307*Parâmetros!$B$7,"")</f>
        <v/>
      </c>
      <c r="N307" s="40" t="str">
        <f aca="false">IF(ISNUMBER($K307),$K307*Parâmetros!$C$7,"")</f>
        <v/>
      </c>
      <c r="O307" s="40" t="str">
        <f aca="false">IF(ISNUMBER($K307),IF(ISNUMBER(Parâmetros!$E$7),Parâmetros!$E$7,0),"")</f>
        <v/>
      </c>
      <c r="P307" s="41" t="str">
        <f aca="false">IF(ISNUMBER($K307),$K307-$D307-IF(ISNUMBER($E307),$E307,0)-$L307-$M307-$N307-$O307,"")</f>
        <v/>
      </c>
      <c r="Q307" s="42" t="str">
        <f aca="false">IF(AND(ISNUMBER($K307),$K307&gt;0),$P307/$K307,"")</f>
        <v/>
      </c>
      <c r="R307" s="43"/>
      <c r="S307" s="44" t="str">
        <f aca="false">IF(OR(NOT(ISNUMBER($R307)),$R307=0,NOT(ISNUMBER($K307))),"",$K307*(1-$R307))</f>
        <v/>
      </c>
      <c r="T307" s="45" t="str">
        <f aca="false">IF(ISNUMBER($S307),$S307*$H307,"")</f>
        <v/>
      </c>
      <c r="U307" s="45" t="str">
        <f aca="false">IF(ISNUMBER($S307),$S307*Parâmetros!$B$7,"")</f>
        <v/>
      </c>
      <c r="V307" s="45" t="str">
        <f aca="false">IF(ISNUMBER($S307),$S307*Parâmetros!$C$7,"")</f>
        <v/>
      </c>
      <c r="W307" s="44" t="str">
        <f aca="false">IF(ISNUMBER($S307),$S307-$D307-IF(ISNUMBER($E307),$E307,0)-$O307-$T307-$U307-$V307,"")</f>
        <v/>
      </c>
      <c r="X307" s="46" t="str">
        <f aca="false">IF(AND(ISNUMBER($S307),$S307&gt;0),$W307/$S307,"")</f>
        <v/>
      </c>
      <c r="Y307" s="49"/>
      <c r="Z307" s="21"/>
    </row>
    <row r="308" customFormat="false" ht="15.75" hidden="false" customHeight="true" outlineLevel="0" collapsed="false">
      <c r="A308" s="32" t="str">
        <f aca="false">IF(Produtos!$A308="","",Produtos!$A308)</f>
        <v/>
      </c>
      <c r="B308" s="32" t="str">
        <f aca="false">IF(Produtos!$A308="","",Produtos!$B308)</f>
        <v/>
      </c>
      <c r="C308" s="32" t="str">
        <f aca="false">IF(Produtos!$A308="","",Produtos!$C308)</f>
        <v/>
      </c>
      <c r="D308" s="33" t="str">
        <f aca="false">IF(Produtos!$A308="","",IF(Produtos!$D308="","",Produtos!$D308))</f>
        <v/>
      </c>
      <c r="E308" s="11"/>
      <c r="F308" s="34" t="str">
        <f aca="false">IF($A308="","",IF($C308="","⚠ categoria",IFERROR(INDEX(Parâmetros!$E$13:$E$22,MATCH($C308,Parâmetros!$A$13:$A$22,0)),"⚠ categoria")))</f>
        <v/>
      </c>
      <c r="G308" s="35"/>
      <c r="H308" s="36" t="str">
        <f aca="false">IF($A308="","",IF(ISNUMBER($G308),$G308,IF(ISNUMBER($F308),$F308,"")))</f>
        <v/>
      </c>
      <c r="I308" s="37" t="str">
        <f aca="false">IF(OR($A308="",NOT(ISNUMBER($D308)),NOT(ISNUMBER($H308))),"",IF((1-$H308-Parâmetros!$B$7-Parâmetros!$C$7-Parâmetros!$D$7)&lt;=0,"INVALIDO",($D308+IF(ISNUMBER($E308),$E308,0)+IF(ISNUMBER(Parâmetros!$E$7),Parâmetros!$E$7,0))/(1-$H308-Parâmetros!$B$7-Parâmetros!$C$7-Parâmetros!$D$7)))</f>
        <v/>
      </c>
      <c r="J308" s="38"/>
      <c r="K308" s="39" t="str">
        <f aca="false">IF(OR($A308="",NOT(ISNUMBER($D308)),NOT(ISNUMBER($H308))),"",IF(AND(ISNUMBER($J308),$J308&gt;0),$J308,IF(ISNUMBER($I308),$I308,"")))</f>
        <v/>
      </c>
      <c r="L308" s="40" t="str">
        <f aca="false">IF(ISNUMBER($K308),$K308*$H308,"")</f>
        <v/>
      </c>
      <c r="M308" s="40" t="str">
        <f aca="false">IF(ISNUMBER($K308),$K308*Parâmetros!$B$7,"")</f>
        <v/>
      </c>
      <c r="N308" s="40" t="str">
        <f aca="false">IF(ISNUMBER($K308),$K308*Parâmetros!$C$7,"")</f>
        <v/>
      </c>
      <c r="O308" s="40" t="str">
        <f aca="false">IF(ISNUMBER($K308),IF(ISNUMBER(Parâmetros!$E$7),Parâmetros!$E$7,0),"")</f>
        <v/>
      </c>
      <c r="P308" s="41" t="str">
        <f aca="false">IF(ISNUMBER($K308),$K308-$D308-IF(ISNUMBER($E308),$E308,0)-$L308-$M308-$N308-$O308,"")</f>
        <v/>
      </c>
      <c r="Q308" s="42" t="str">
        <f aca="false">IF(AND(ISNUMBER($K308),$K308&gt;0),$P308/$K308,"")</f>
        <v/>
      </c>
      <c r="R308" s="43"/>
      <c r="S308" s="44" t="str">
        <f aca="false">IF(OR(NOT(ISNUMBER($R308)),$R308=0,NOT(ISNUMBER($K308))),"",$K308*(1-$R308))</f>
        <v/>
      </c>
      <c r="T308" s="45" t="str">
        <f aca="false">IF(ISNUMBER($S308),$S308*$H308,"")</f>
        <v/>
      </c>
      <c r="U308" s="45" t="str">
        <f aca="false">IF(ISNUMBER($S308),$S308*Parâmetros!$B$7,"")</f>
        <v/>
      </c>
      <c r="V308" s="45" t="str">
        <f aca="false">IF(ISNUMBER($S308),$S308*Parâmetros!$C$7,"")</f>
        <v/>
      </c>
      <c r="W308" s="44" t="str">
        <f aca="false">IF(ISNUMBER($S308),$S308-$D308-IF(ISNUMBER($E308),$E308,0)-$O308-$T308-$U308-$V308,"")</f>
        <v/>
      </c>
      <c r="X308" s="46" t="str">
        <f aca="false">IF(AND(ISNUMBER($S308),$S308&gt;0),$W308/$S308,"")</f>
        <v/>
      </c>
      <c r="Y308" s="47"/>
      <c r="Z308" s="19"/>
    </row>
    <row r="309" customFormat="false" ht="15.75" hidden="false" customHeight="true" outlineLevel="0" collapsed="false">
      <c r="A309" s="48" t="str">
        <f aca="false">IF(Produtos!$A309="","",Produtos!$A309)</f>
        <v/>
      </c>
      <c r="B309" s="48" t="str">
        <f aca="false">IF(Produtos!$A309="","",Produtos!$B309)</f>
        <v/>
      </c>
      <c r="C309" s="48" t="str">
        <f aca="false">IF(Produtos!$A309="","",Produtos!$C309)</f>
        <v/>
      </c>
      <c r="D309" s="33" t="str">
        <f aca="false">IF(Produtos!$A309="","",IF(Produtos!$D309="","",Produtos!$D309))</f>
        <v/>
      </c>
      <c r="E309" s="11"/>
      <c r="F309" s="34" t="str">
        <f aca="false">IF($A309="","",IF($C309="","⚠ categoria",IFERROR(INDEX(Parâmetros!$E$13:$E$22,MATCH($C309,Parâmetros!$A$13:$A$22,0)),"⚠ categoria")))</f>
        <v/>
      </c>
      <c r="G309" s="35"/>
      <c r="H309" s="36" t="str">
        <f aca="false">IF($A309="","",IF(ISNUMBER($G309),$G309,IF(ISNUMBER($F309),$F309,"")))</f>
        <v/>
      </c>
      <c r="I309" s="37" t="str">
        <f aca="false">IF(OR($A309="",NOT(ISNUMBER($D309)),NOT(ISNUMBER($H309))),"",IF((1-$H309-Parâmetros!$B$7-Parâmetros!$C$7-Parâmetros!$D$7)&lt;=0,"INVALIDO",($D309+IF(ISNUMBER($E309),$E309,0)+IF(ISNUMBER(Parâmetros!$E$7),Parâmetros!$E$7,0))/(1-$H309-Parâmetros!$B$7-Parâmetros!$C$7-Parâmetros!$D$7)))</f>
        <v/>
      </c>
      <c r="J309" s="38"/>
      <c r="K309" s="39" t="str">
        <f aca="false">IF(OR($A309="",NOT(ISNUMBER($D309)),NOT(ISNUMBER($H309))),"",IF(AND(ISNUMBER($J309),$J309&gt;0),$J309,IF(ISNUMBER($I309),$I309,"")))</f>
        <v/>
      </c>
      <c r="L309" s="40" t="str">
        <f aca="false">IF(ISNUMBER($K309),$K309*$H309,"")</f>
        <v/>
      </c>
      <c r="M309" s="40" t="str">
        <f aca="false">IF(ISNUMBER($K309),$K309*Parâmetros!$B$7,"")</f>
        <v/>
      </c>
      <c r="N309" s="40" t="str">
        <f aca="false">IF(ISNUMBER($K309),$K309*Parâmetros!$C$7,"")</f>
        <v/>
      </c>
      <c r="O309" s="40" t="str">
        <f aca="false">IF(ISNUMBER($K309),IF(ISNUMBER(Parâmetros!$E$7),Parâmetros!$E$7,0),"")</f>
        <v/>
      </c>
      <c r="P309" s="41" t="str">
        <f aca="false">IF(ISNUMBER($K309),$K309-$D309-IF(ISNUMBER($E309),$E309,0)-$L309-$M309-$N309-$O309,"")</f>
        <v/>
      </c>
      <c r="Q309" s="42" t="str">
        <f aca="false">IF(AND(ISNUMBER($K309),$K309&gt;0),$P309/$K309,"")</f>
        <v/>
      </c>
      <c r="R309" s="43"/>
      <c r="S309" s="44" t="str">
        <f aca="false">IF(OR(NOT(ISNUMBER($R309)),$R309=0,NOT(ISNUMBER($K309))),"",$K309*(1-$R309))</f>
        <v/>
      </c>
      <c r="T309" s="45" t="str">
        <f aca="false">IF(ISNUMBER($S309),$S309*$H309,"")</f>
        <v/>
      </c>
      <c r="U309" s="45" t="str">
        <f aca="false">IF(ISNUMBER($S309),$S309*Parâmetros!$B$7,"")</f>
        <v/>
      </c>
      <c r="V309" s="45" t="str">
        <f aca="false">IF(ISNUMBER($S309),$S309*Parâmetros!$C$7,"")</f>
        <v/>
      </c>
      <c r="W309" s="44" t="str">
        <f aca="false">IF(ISNUMBER($S309),$S309-$D309-IF(ISNUMBER($E309),$E309,0)-$O309-$T309-$U309-$V309,"")</f>
        <v/>
      </c>
      <c r="X309" s="46" t="str">
        <f aca="false">IF(AND(ISNUMBER($S309),$S309&gt;0),$W309/$S309,"")</f>
        <v/>
      </c>
      <c r="Y309" s="49"/>
      <c r="Z309" s="21"/>
    </row>
    <row r="310" customFormat="false" ht="15.75" hidden="false" customHeight="true" outlineLevel="0" collapsed="false">
      <c r="A310" s="32" t="str">
        <f aca="false">IF(Produtos!$A310="","",Produtos!$A310)</f>
        <v/>
      </c>
      <c r="B310" s="32" t="str">
        <f aca="false">IF(Produtos!$A310="","",Produtos!$B310)</f>
        <v/>
      </c>
      <c r="C310" s="32" t="str">
        <f aca="false">IF(Produtos!$A310="","",Produtos!$C310)</f>
        <v/>
      </c>
      <c r="D310" s="33" t="str">
        <f aca="false">IF(Produtos!$A310="","",IF(Produtos!$D310="","",Produtos!$D310))</f>
        <v/>
      </c>
      <c r="E310" s="11"/>
      <c r="F310" s="34" t="str">
        <f aca="false">IF($A310="","",IF($C310="","⚠ categoria",IFERROR(INDEX(Parâmetros!$E$13:$E$22,MATCH($C310,Parâmetros!$A$13:$A$22,0)),"⚠ categoria")))</f>
        <v/>
      </c>
      <c r="G310" s="35"/>
      <c r="H310" s="36" t="str">
        <f aca="false">IF($A310="","",IF(ISNUMBER($G310),$G310,IF(ISNUMBER($F310),$F310,"")))</f>
        <v/>
      </c>
      <c r="I310" s="37" t="str">
        <f aca="false">IF(OR($A310="",NOT(ISNUMBER($D310)),NOT(ISNUMBER($H310))),"",IF((1-$H310-Parâmetros!$B$7-Parâmetros!$C$7-Parâmetros!$D$7)&lt;=0,"INVALIDO",($D310+IF(ISNUMBER($E310),$E310,0)+IF(ISNUMBER(Parâmetros!$E$7),Parâmetros!$E$7,0))/(1-$H310-Parâmetros!$B$7-Parâmetros!$C$7-Parâmetros!$D$7)))</f>
        <v/>
      </c>
      <c r="J310" s="38"/>
      <c r="K310" s="39" t="str">
        <f aca="false">IF(OR($A310="",NOT(ISNUMBER($D310)),NOT(ISNUMBER($H310))),"",IF(AND(ISNUMBER($J310),$J310&gt;0),$J310,IF(ISNUMBER($I310),$I310,"")))</f>
        <v/>
      </c>
      <c r="L310" s="40" t="str">
        <f aca="false">IF(ISNUMBER($K310),$K310*$H310,"")</f>
        <v/>
      </c>
      <c r="M310" s="40" t="str">
        <f aca="false">IF(ISNUMBER($K310),$K310*Parâmetros!$B$7,"")</f>
        <v/>
      </c>
      <c r="N310" s="40" t="str">
        <f aca="false">IF(ISNUMBER($K310),$K310*Parâmetros!$C$7,"")</f>
        <v/>
      </c>
      <c r="O310" s="40" t="str">
        <f aca="false">IF(ISNUMBER($K310),IF(ISNUMBER(Parâmetros!$E$7),Parâmetros!$E$7,0),"")</f>
        <v/>
      </c>
      <c r="P310" s="41" t="str">
        <f aca="false">IF(ISNUMBER($K310),$K310-$D310-IF(ISNUMBER($E310),$E310,0)-$L310-$M310-$N310-$O310,"")</f>
        <v/>
      </c>
      <c r="Q310" s="42" t="str">
        <f aca="false">IF(AND(ISNUMBER($K310),$K310&gt;0),$P310/$K310,"")</f>
        <v/>
      </c>
      <c r="R310" s="43"/>
      <c r="S310" s="44" t="str">
        <f aca="false">IF(OR(NOT(ISNUMBER($R310)),$R310=0,NOT(ISNUMBER($K310))),"",$K310*(1-$R310))</f>
        <v/>
      </c>
      <c r="T310" s="45" t="str">
        <f aca="false">IF(ISNUMBER($S310),$S310*$H310,"")</f>
        <v/>
      </c>
      <c r="U310" s="45" t="str">
        <f aca="false">IF(ISNUMBER($S310),$S310*Parâmetros!$B$7,"")</f>
        <v/>
      </c>
      <c r="V310" s="45" t="str">
        <f aca="false">IF(ISNUMBER($S310),$S310*Parâmetros!$C$7,"")</f>
        <v/>
      </c>
      <c r="W310" s="44" t="str">
        <f aca="false">IF(ISNUMBER($S310),$S310-$D310-IF(ISNUMBER($E310),$E310,0)-$O310-$T310-$U310-$V310,"")</f>
        <v/>
      </c>
      <c r="X310" s="46" t="str">
        <f aca="false">IF(AND(ISNUMBER($S310),$S310&gt;0),$W310/$S310,"")</f>
        <v/>
      </c>
      <c r="Y310" s="47"/>
      <c r="Z310" s="19"/>
    </row>
    <row r="311" customFormat="false" ht="15.75" hidden="false" customHeight="true" outlineLevel="0" collapsed="false">
      <c r="A311" s="48" t="str">
        <f aca="false">IF(Produtos!$A311="","",Produtos!$A311)</f>
        <v/>
      </c>
      <c r="B311" s="48" t="str">
        <f aca="false">IF(Produtos!$A311="","",Produtos!$B311)</f>
        <v/>
      </c>
      <c r="C311" s="48" t="str">
        <f aca="false">IF(Produtos!$A311="","",Produtos!$C311)</f>
        <v/>
      </c>
      <c r="D311" s="33" t="str">
        <f aca="false">IF(Produtos!$A311="","",IF(Produtos!$D311="","",Produtos!$D311))</f>
        <v/>
      </c>
      <c r="E311" s="11"/>
      <c r="F311" s="34" t="str">
        <f aca="false">IF($A311="","",IF($C311="","⚠ categoria",IFERROR(INDEX(Parâmetros!$E$13:$E$22,MATCH($C311,Parâmetros!$A$13:$A$22,0)),"⚠ categoria")))</f>
        <v/>
      </c>
      <c r="G311" s="35"/>
      <c r="H311" s="36" t="str">
        <f aca="false">IF($A311="","",IF(ISNUMBER($G311),$G311,IF(ISNUMBER($F311),$F311,"")))</f>
        <v/>
      </c>
      <c r="I311" s="37" t="str">
        <f aca="false">IF(OR($A311="",NOT(ISNUMBER($D311)),NOT(ISNUMBER($H311))),"",IF((1-$H311-Parâmetros!$B$7-Parâmetros!$C$7-Parâmetros!$D$7)&lt;=0,"INVALIDO",($D311+IF(ISNUMBER($E311),$E311,0)+IF(ISNUMBER(Parâmetros!$E$7),Parâmetros!$E$7,0))/(1-$H311-Parâmetros!$B$7-Parâmetros!$C$7-Parâmetros!$D$7)))</f>
        <v/>
      </c>
      <c r="J311" s="38"/>
      <c r="K311" s="39" t="str">
        <f aca="false">IF(OR($A311="",NOT(ISNUMBER($D311)),NOT(ISNUMBER($H311))),"",IF(AND(ISNUMBER($J311),$J311&gt;0),$J311,IF(ISNUMBER($I311),$I311,"")))</f>
        <v/>
      </c>
      <c r="L311" s="40" t="str">
        <f aca="false">IF(ISNUMBER($K311),$K311*$H311,"")</f>
        <v/>
      </c>
      <c r="M311" s="40" t="str">
        <f aca="false">IF(ISNUMBER($K311),$K311*Parâmetros!$B$7,"")</f>
        <v/>
      </c>
      <c r="N311" s="40" t="str">
        <f aca="false">IF(ISNUMBER($K311),$K311*Parâmetros!$C$7,"")</f>
        <v/>
      </c>
      <c r="O311" s="40" t="str">
        <f aca="false">IF(ISNUMBER($K311),IF(ISNUMBER(Parâmetros!$E$7),Parâmetros!$E$7,0),"")</f>
        <v/>
      </c>
      <c r="P311" s="41" t="str">
        <f aca="false">IF(ISNUMBER($K311),$K311-$D311-IF(ISNUMBER($E311),$E311,0)-$L311-$M311-$N311-$O311,"")</f>
        <v/>
      </c>
      <c r="Q311" s="42" t="str">
        <f aca="false">IF(AND(ISNUMBER($K311),$K311&gt;0),$P311/$K311,"")</f>
        <v/>
      </c>
      <c r="R311" s="43"/>
      <c r="S311" s="44" t="str">
        <f aca="false">IF(OR(NOT(ISNUMBER($R311)),$R311=0,NOT(ISNUMBER($K311))),"",$K311*(1-$R311))</f>
        <v/>
      </c>
      <c r="T311" s="45" t="str">
        <f aca="false">IF(ISNUMBER($S311),$S311*$H311,"")</f>
        <v/>
      </c>
      <c r="U311" s="45" t="str">
        <f aca="false">IF(ISNUMBER($S311),$S311*Parâmetros!$B$7,"")</f>
        <v/>
      </c>
      <c r="V311" s="45" t="str">
        <f aca="false">IF(ISNUMBER($S311),$S311*Parâmetros!$C$7,"")</f>
        <v/>
      </c>
      <c r="W311" s="44" t="str">
        <f aca="false">IF(ISNUMBER($S311),$S311-$D311-IF(ISNUMBER($E311),$E311,0)-$O311-$T311-$U311-$V311,"")</f>
        <v/>
      </c>
      <c r="X311" s="46" t="str">
        <f aca="false">IF(AND(ISNUMBER($S311),$S311&gt;0),$W311/$S311,"")</f>
        <v/>
      </c>
      <c r="Y311" s="49"/>
      <c r="Z311" s="21"/>
    </row>
    <row r="312" customFormat="false" ht="15.75" hidden="false" customHeight="true" outlineLevel="0" collapsed="false">
      <c r="A312" s="32" t="str">
        <f aca="false">IF(Produtos!$A312="","",Produtos!$A312)</f>
        <v/>
      </c>
      <c r="B312" s="32" t="str">
        <f aca="false">IF(Produtos!$A312="","",Produtos!$B312)</f>
        <v/>
      </c>
      <c r="C312" s="32" t="str">
        <f aca="false">IF(Produtos!$A312="","",Produtos!$C312)</f>
        <v/>
      </c>
      <c r="D312" s="33" t="str">
        <f aca="false">IF(Produtos!$A312="","",IF(Produtos!$D312="","",Produtos!$D312))</f>
        <v/>
      </c>
      <c r="E312" s="11"/>
      <c r="F312" s="34" t="str">
        <f aca="false">IF($A312="","",IF($C312="","⚠ categoria",IFERROR(INDEX(Parâmetros!$E$13:$E$22,MATCH($C312,Parâmetros!$A$13:$A$22,0)),"⚠ categoria")))</f>
        <v/>
      </c>
      <c r="G312" s="35"/>
      <c r="H312" s="36" t="str">
        <f aca="false">IF($A312="","",IF(ISNUMBER($G312),$G312,IF(ISNUMBER($F312),$F312,"")))</f>
        <v/>
      </c>
      <c r="I312" s="37" t="str">
        <f aca="false">IF(OR($A312="",NOT(ISNUMBER($D312)),NOT(ISNUMBER($H312))),"",IF((1-$H312-Parâmetros!$B$7-Parâmetros!$C$7-Parâmetros!$D$7)&lt;=0,"INVALIDO",($D312+IF(ISNUMBER($E312),$E312,0)+IF(ISNUMBER(Parâmetros!$E$7),Parâmetros!$E$7,0))/(1-$H312-Parâmetros!$B$7-Parâmetros!$C$7-Parâmetros!$D$7)))</f>
        <v/>
      </c>
      <c r="J312" s="38"/>
      <c r="K312" s="39" t="str">
        <f aca="false">IF(OR($A312="",NOT(ISNUMBER($D312)),NOT(ISNUMBER($H312))),"",IF(AND(ISNUMBER($J312),$J312&gt;0),$J312,IF(ISNUMBER($I312),$I312,"")))</f>
        <v/>
      </c>
      <c r="L312" s="40" t="str">
        <f aca="false">IF(ISNUMBER($K312),$K312*$H312,"")</f>
        <v/>
      </c>
      <c r="M312" s="40" t="str">
        <f aca="false">IF(ISNUMBER($K312),$K312*Parâmetros!$B$7,"")</f>
        <v/>
      </c>
      <c r="N312" s="40" t="str">
        <f aca="false">IF(ISNUMBER($K312),$K312*Parâmetros!$C$7,"")</f>
        <v/>
      </c>
      <c r="O312" s="40" t="str">
        <f aca="false">IF(ISNUMBER($K312),IF(ISNUMBER(Parâmetros!$E$7),Parâmetros!$E$7,0),"")</f>
        <v/>
      </c>
      <c r="P312" s="41" t="str">
        <f aca="false">IF(ISNUMBER($K312),$K312-$D312-IF(ISNUMBER($E312),$E312,0)-$L312-$M312-$N312-$O312,"")</f>
        <v/>
      </c>
      <c r="Q312" s="42" t="str">
        <f aca="false">IF(AND(ISNUMBER($K312),$K312&gt;0),$P312/$K312,"")</f>
        <v/>
      </c>
      <c r="R312" s="43"/>
      <c r="S312" s="44" t="str">
        <f aca="false">IF(OR(NOT(ISNUMBER($R312)),$R312=0,NOT(ISNUMBER($K312))),"",$K312*(1-$R312))</f>
        <v/>
      </c>
      <c r="T312" s="45" t="str">
        <f aca="false">IF(ISNUMBER($S312),$S312*$H312,"")</f>
        <v/>
      </c>
      <c r="U312" s="45" t="str">
        <f aca="false">IF(ISNUMBER($S312),$S312*Parâmetros!$B$7,"")</f>
        <v/>
      </c>
      <c r="V312" s="45" t="str">
        <f aca="false">IF(ISNUMBER($S312),$S312*Parâmetros!$C$7,"")</f>
        <v/>
      </c>
      <c r="W312" s="44" t="str">
        <f aca="false">IF(ISNUMBER($S312),$S312-$D312-IF(ISNUMBER($E312),$E312,0)-$O312-$T312-$U312-$V312,"")</f>
        <v/>
      </c>
      <c r="X312" s="46" t="str">
        <f aca="false">IF(AND(ISNUMBER($S312),$S312&gt;0),$W312/$S312,"")</f>
        <v/>
      </c>
      <c r="Y312" s="47"/>
      <c r="Z312" s="19"/>
    </row>
    <row r="313" customFormat="false" ht="15.75" hidden="false" customHeight="true" outlineLevel="0" collapsed="false">
      <c r="A313" s="48" t="str">
        <f aca="false">IF(Produtos!$A313="","",Produtos!$A313)</f>
        <v/>
      </c>
      <c r="B313" s="48" t="str">
        <f aca="false">IF(Produtos!$A313="","",Produtos!$B313)</f>
        <v/>
      </c>
      <c r="C313" s="48" t="str">
        <f aca="false">IF(Produtos!$A313="","",Produtos!$C313)</f>
        <v/>
      </c>
      <c r="D313" s="33" t="str">
        <f aca="false">IF(Produtos!$A313="","",IF(Produtos!$D313="","",Produtos!$D313))</f>
        <v/>
      </c>
      <c r="E313" s="11"/>
      <c r="F313" s="34" t="str">
        <f aca="false">IF($A313="","",IF($C313="","⚠ categoria",IFERROR(INDEX(Parâmetros!$E$13:$E$22,MATCH($C313,Parâmetros!$A$13:$A$22,0)),"⚠ categoria")))</f>
        <v/>
      </c>
      <c r="G313" s="35"/>
      <c r="H313" s="36" t="str">
        <f aca="false">IF($A313="","",IF(ISNUMBER($G313),$G313,IF(ISNUMBER($F313),$F313,"")))</f>
        <v/>
      </c>
      <c r="I313" s="37" t="str">
        <f aca="false">IF(OR($A313="",NOT(ISNUMBER($D313)),NOT(ISNUMBER($H313))),"",IF((1-$H313-Parâmetros!$B$7-Parâmetros!$C$7-Parâmetros!$D$7)&lt;=0,"INVALIDO",($D313+IF(ISNUMBER($E313),$E313,0)+IF(ISNUMBER(Parâmetros!$E$7),Parâmetros!$E$7,0))/(1-$H313-Parâmetros!$B$7-Parâmetros!$C$7-Parâmetros!$D$7)))</f>
        <v/>
      </c>
      <c r="J313" s="38"/>
      <c r="K313" s="39" t="str">
        <f aca="false">IF(OR($A313="",NOT(ISNUMBER($D313)),NOT(ISNUMBER($H313))),"",IF(AND(ISNUMBER($J313),$J313&gt;0),$J313,IF(ISNUMBER($I313),$I313,"")))</f>
        <v/>
      </c>
      <c r="L313" s="40" t="str">
        <f aca="false">IF(ISNUMBER($K313),$K313*$H313,"")</f>
        <v/>
      </c>
      <c r="M313" s="40" t="str">
        <f aca="false">IF(ISNUMBER($K313),$K313*Parâmetros!$B$7,"")</f>
        <v/>
      </c>
      <c r="N313" s="40" t="str">
        <f aca="false">IF(ISNUMBER($K313),$K313*Parâmetros!$C$7,"")</f>
        <v/>
      </c>
      <c r="O313" s="40" t="str">
        <f aca="false">IF(ISNUMBER($K313),IF(ISNUMBER(Parâmetros!$E$7),Parâmetros!$E$7,0),"")</f>
        <v/>
      </c>
      <c r="P313" s="41" t="str">
        <f aca="false">IF(ISNUMBER($K313),$K313-$D313-IF(ISNUMBER($E313),$E313,0)-$L313-$M313-$N313-$O313,"")</f>
        <v/>
      </c>
      <c r="Q313" s="42" t="str">
        <f aca="false">IF(AND(ISNUMBER($K313),$K313&gt;0),$P313/$K313,"")</f>
        <v/>
      </c>
      <c r="R313" s="43"/>
      <c r="S313" s="44" t="str">
        <f aca="false">IF(OR(NOT(ISNUMBER($R313)),$R313=0,NOT(ISNUMBER($K313))),"",$K313*(1-$R313))</f>
        <v/>
      </c>
      <c r="T313" s="45" t="str">
        <f aca="false">IF(ISNUMBER($S313),$S313*$H313,"")</f>
        <v/>
      </c>
      <c r="U313" s="45" t="str">
        <f aca="false">IF(ISNUMBER($S313),$S313*Parâmetros!$B$7,"")</f>
        <v/>
      </c>
      <c r="V313" s="45" t="str">
        <f aca="false">IF(ISNUMBER($S313),$S313*Parâmetros!$C$7,"")</f>
        <v/>
      </c>
      <c r="W313" s="44" t="str">
        <f aca="false">IF(ISNUMBER($S313),$S313-$D313-IF(ISNUMBER($E313),$E313,0)-$O313-$T313-$U313-$V313,"")</f>
        <v/>
      </c>
      <c r="X313" s="46" t="str">
        <f aca="false">IF(AND(ISNUMBER($S313),$S313&gt;0),$W313/$S313,"")</f>
        <v/>
      </c>
      <c r="Y313" s="49"/>
      <c r="Z313" s="21"/>
    </row>
    <row r="314" customFormat="false" ht="15.75" hidden="false" customHeight="true" outlineLevel="0" collapsed="false">
      <c r="A314" s="32" t="str">
        <f aca="false">IF(Produtos!$A314="","",Produtos!$A314)</f>
        <v/>
      </c>
      <c r="B314" s="32" t="str">
        <f aca="false">IF(Produtos!$A314="","",Produtos!$B314)</f>
        <v/>
      </c>
      <c r="C314" s="32" t="str">
        <f aca="false">IF(Produtos!$A314="","",Produtos!$C314)</f>
        <v/>
      </c>
      <c r="D314" s="33" t="str">
        <f aca="false">IF(Produtos!$A314="","",IF(Produtos!$D314="","",Produtos!$D314))</f>
        <v/>
      </c>
      <c r="E314" s="11"/>
      <c r="F314" s="34" t="str">
        <f aca="false">IF($A314="","",IF($C314="","⚠ categoria",IFERROR(INDEX(Parâmetros!$E$13:$E$22,MATCH($C314,Parâmetros!$A$13:$A$22,0)),"⚠ categoria")))</f>
        <v/>
      </c>
      <c r="G314" s="35"/>
      <c r="H314" s="36" t="str">
        <f aca="false">IF($A314="","",IF(ISNUMBER($G314),$G314,IF(ISNUMBER($F314),$F314,"")))</f>
        <v/>
      </c>
      <c r="I314" s="37" t="str">
        <f aca="false">IF(OR($A314="",NOT(ISNUMBER($D314)),NOT(ISNUMBER($H314))),"",IF((1-$H314-Parâmetros!$B$7-Parâmetros!$C$7-Parâmetros!$D$7)&lt;=0,"INVALIDO",($D314+IF(ISNUMBER($E314),$E314,0)+IF(ISNUMBER(Parâmetros!$E$7),Parâmetros!$E$7,0))/(1-$H314-Parâmetros!$B$7-Parâmetros!$C$7-Parâmetros!$D$7)))</f>
        <v/>
      </c>
      <c r="J314" s="38"/>
      <c r="K314" s="39" t="str">
        <f aca="false">IF(OR($A314="",NOT(ISNUMBER($D314)),NOT(ISNUMBER($H314))),"",IF(AND(ISNUMBER($J314),$J314&gt;0),$J314,IF(ISNUMBER($I314),$I314,"")))</f>
        <v/>
      </c>
      <c r="L314" s="40" t="str">
        <f aca="false">IF(ISNUMBER($K314),$K314*$H314,"")</f>
        <v/>
      </c>
      <c r="M314" s="40" t="str">
        <f aca="false">IF(ISNUMBER($K314),$K314*Parâmetros!$B$7,"")</f>
        <v/>
      </c>
      <c r="N314" s="40" t="str">
        <f aca="false">IF(ISNUMBER($K314),$K314*Parâmetros!$C$7,"")</f>
        <v/>
      </c>
      <c r="O314" s="40" t="str">
        <f aca="false">IF(ISNUMBER($K314),IF(ISNUMBER(Parâmetros!$E$7),Parâmetros!$E$7,0),"")</f>
        <v/>
      </c>
      <c r="P314" s="41" t="str">
        <f aca="false">IF(ISNUMBER($K314),$K314-$D314-IF(ISNUMBER($E314),$E314,0)-$L314-$M314-$N314-$O314,"")</f>
        <v/>
      </c>
      <c r="Q314" s="42" t="str">
        <f aca="false">IF(AND(ISNUMBER($K314),$K314&gt;0),$P314/$K314,"")</f>
        <v/>
      </c>
      <c r="R314" s="43"/>
      <c r="S314" s="44" t="str">
        <f aca="false">IF(OR(NOT(ISNUMBER($R314)),$R314=0,NOT(ISNUMBER($K314))),"",$K314*(1-$R314))</f>
        <v/>
      </c>
      <c r="T314" s="45" t="str">
        <f aca="false">IF(ISNUMBER($S314),$S314*$H314,"")</f>
        <v/>
      </c>
      <c r="U314" s="45" t="str">
        <f aca="false">IF(ISNUMBER($S314),$S314*Parâmetros!$B$7,"")</f>
        <v/>
      </c>
      <c r="V314" s="45" t="str">
        <f aca="false">IF(ISNUMBER($S314),$S314*Parâmetros!$C$7,"")</f>
        <v/>
      </c>
      <c r="W314" s="44" t="str">
        <f aca="false">IF(ISNUMBER($S314),$S314-$D314-IF(ISNUMBER($E314),$E314,0)-$O314-$T314-$U314-$V314,"")</f>
        <v/>
      </c>
      <c r="X314" s="46" t="str">
        <f aca="false">IF(AND(ISNUMBER($S314),$S314&gt;0),$W314/$S314,"")</f>
        <v/>
      </c>
      <c r="Y314" s="47"/>
      <c r="Z314" s="19"/>
    </row>
    <row r="315" customFormat="false" ht="15.75" hidden="false" customHeight="true" outlineLevel="0" collapsed="false">
      <c r="A315" s="48" t="str">
        <f aca="false">IF(Produtos!$A315="","",Produtos!$A315)</f>
        <v/>
      </c>
      <c r="B315" s="48" t="str">
        <f aca="false">IF(Produtos!$A315="","",Produtos!$B315)</f>
        <v/>
      </c>
      <c r="C315" s="48" t="str">
        <f aca="false">IF(Produtos!$A315="","",Produtos!$C315)</f>
        <v/>
      </c>
      <c r="D315" s="33" t="str">
        <f aca="false">IF(Produtos!$A315="","",IF(Produtos!$D315="","",Produtos!$D315))</f>
        <v/>
      </c>
      <c r="E315" s="11"/>
      <c r="F315" s="34" t="str">
        <f aca="false">IF($A315="","",IF($C315="","⚠ categoria",IFERROR(INDEX(Parâmetros!$E$13:$E$22,MATCH($C315,Parâmetros!$A$13:$A$22,0)),"⚠ categoria")))</f>
        <v/>
      </c>
      <c r="G315" s="35"/>
      <c r="H315" s="36" t="str">
        <f aca="false">IF($A315="","",IF(ISNUMBER($G315),$G315,IF(ISNUMBER($F315),$F315,"")))</f>
        <v/>
      </c>
      <c r="I315" s="37" t="str">
        <f aca="false">IF(OR($A315="",NOT(ISNUMBER($D315)),NOT(ISNUMBER($H315))),"",IF((1-$H315-Parâmetros!$B$7-Parâmetros!$C$7-Parâmetros!$D$7)&lt;=0,"INVALIDO",($D315+IF(ISNUMBER($E315),$E315,0)+IF(ISNUMBER(Parâmetros!$E$7),Parâmetros!$E$7,0))/(1-$H315-Parâmetros!$B$7-Parâmetros!$C$7-Parâmetros!$D$7)))</f>
        <v/>
      </c>
      <c r="J315" s="38"/>
      <c r="K315" s="39" t="str">
        <f aca="false">IF(OR($A315="",NOT(ISNUMBER($D315)),NOT(ISNUMBER($H315))),"",IF(AND(ISNUMBER($J315),$J315&gt;0),$J315,IF(ISNUMBER($I315),$I315,"")))</f>
        <v/>
      </c>
      <c r="L315" s="40" t="str">
        <f aca="false">IF(ISNUMBER($K315),$K315*$H315,"")</f>
        <v/>
      </c>
      <c r="M315" s="40" t="str">
        <f aca="false">IF(ISNUMBER($K315),$K315*Parâmetros!$B$7,"")</f>
        <v/>
      </c>
      <c r="N315" s="40" t="str">
        <f aca="false">IF(ISNUMBER($K315),$K315*Parâmetros!$C$7,"")</f>
        <v/>
      </c>
      <c r="O315" s="40" t="str">
        <f aca="false">IF(ISNUMBER($K315),IF(ISNUMBER(Parâmetros!$E$7),Parâmetros!$E$7,0),"")</f>
        <v/>
      </c>
      <c r="P315" s="41" t="str">
        <f aca="false">IF(ISNUMBER($K315),$K315-$D315-IF(ISNUMBER($E315),$E315,0)-$L315-$M315-$N315-$O315,"")</f>
        <v/>
      </c>
      <c r="Q315" s="42" t="str">
        <f aca="false">IF(AND(ISNUMBER($K315),$K315&gt;0),$P315/$K315,"")</f>
        <v/>
      </c>
      <c r="R315" s="43"/>
      <c r="S315" s="44" t="str">
        <f aca="false">IF(OR(NOT(ISNUMBER($R315)),$R315=0,NOT(ISNUMBER($K315))),"",$K315*(1-$R315))</f>
        <v/>
      </c>
      <c r="T315" s="45" t="str">
        <f aca="false">IF(ISNUMBER($S315),$S315*$H315,"")</f>
        <v/>
      </c>
      <c r="U315" s="45" t="str">
        <f aca="false">IF(ISNUMBER($S315),$S315*Parâmetros!$B$7,"")</f>
        <v/>
      </c>
      <c r="V315" s="45" t="str">
        <f aca="false">IF(ISNUMBER($S315),$S315*Parâmetros!$C$7,"")</f>
        <v/>
      </c>
      <c r="W315" s="44" t="str">
        <f aca="false">IF(ISNUMBER($S315),$S315-$D315-IF(ISNUMBER($E315),$E315,0)-$O315-$T315-$U315-$V315,"")</f>
        <v/>
      </c>
      <c r="X315" s="46" t="str">
        <f aca="false">IF(AND(ISNUMBER($S315),$S315&gt;0),$W315/$S315,"")</f>
        <v/>
      </c>
      <c r="Y315" s="49"/>
      <c r="Z315" s="21"/>
    </row>
    <row r="316" customFormat="false" ht="15.75" hidden="false" customHeight="true" outlineLevel="0" collapsed="false">
      <c r="A316" s="32" t="str">
        <f aca="false">IF(Produtos!$A316="","",Produtos!$A316)</f>
        <v/>
      </c>
      <c r="B316" s="32" t="str">
        <f aca="false">IF(Produtos!$A316="","",Produtos!$B316)</f>
        <v/>
      </c>
      <c r="C316" s="32" t="str">
        <f aca="false">IF(Produtos!$A316="","",Produtos!$C316)</f>
        <v/>
      </c>
      <c r="D316" s="33" t="str">
        <f aca="false">IF(Produtos!$A316="","",IF(Produtos!$D316="","",Produtos!$D316))</f>
        <v/>
      </c>
      <c r="E316" s="11"/>
      <c r="F316" s="34" t="str">
        <f aca="false">IF($A316="","",IF($C316="","⚠ categoria",IFERROR(INDEX(Parâmetros!$E$13:$E$22,MATCH($C316,Parâmetros!$A$13:$A$22,0)),"⚠ categoria")))</f>
        <v/>
      </c>
      <c r="G316" s="35"/>
      <c r="H316" s="36" t="str">
        <f aca="false">IF($A316="","",IF(ISNUMBER($G316),$G316,IF(ISNUMBER($F316),$F316,"")))</f>
        <v/>
      </c>
      <c r="I316" s="37" t="str">
        <f aca="false">IF(OR($A316="",NOT(ISNUMBER($D316)),NOT(ISNUMBER($H316))),"",IF((1-$H316-Parâmetros!$B$7-Parâmetros!$C$7-Parâmetros!$D$7)&lt;=0,"INVALIDO",($D316+IF(ISNUMBER($E316),$E316,0)+IF(ISNUMBER(Parâmetros!$E$7),Parâmetros!$E$7,0))/(1-$H316-Parâmetros!$B$7-Parâmetros!$C$7-Parâmetros!$D$7)))</f>
        <v/>
      </c>
      <c r="J316" s="38"/>
      <c r="K316" s="39" t="str">
        <f aca="false">IF(OR($A316="",NOT(ISNUMBER($D316)),NOT(ISNUMBER($H316))),"",IF(AND(ISNUMBER($J316),$J316&gt;0),$J316,IF(ISNUMBER($I316),$I316,"")))</f>
        <v/>
      </c>
      <c r="L316" s="40" t="str">
        <f aca="false">IF(ISNUMBER($K316),$K316*$H316,"")</f>
        <v/>
      </c>
      <c r="M316" s="40" t="str">
        <f aca="false">IF(ISNUMBER($K316),$K316*Parâmetros!$B$7,"")</f>
        <v/>
      </c>
      <c r="N316" s="40" t="str">
        <f aca="false">IF(ISNUMBER($K316),$K316*Parâmetros!$C$7,"")</f>
        <v/>
      </c>
      <c r="O316" s="40" t="str">
        <f aca="false">IF(ISNUMBER($K316),IF(ISNUMBER(Parâmetros!$E$7),Parâmetros!$E$7,0),"")</f>
        <v/>
      </c>
      <c r="P316" s="41" t="str">
        <f aca="false">IF(ISNUMBER($K316),$K316-$D316-IF(ISNUMBER($E316),$E316,0)-$L316-$M316-$N316-$O316,"")</f>
        <v/>
      </c>
      <c r="Q316" s="42" t="str">
        <f aca="false">IF(AND(ISNUMBER($K316),$K316&gt;0),$P316/$K316,"")</f>
        <v/>
      </c>
      <c r="R316" s="43"/>
      <c r="S316" s="44" t="str">
        <f aca="false">IF(OR(NOT(ISNUMBER($R316)),$R316=0,NOT(ISNUMBER($K316))),"",$K316*(1-$R316))</f>
        <v/>
      </c>
      <c r="T316" s="45" t="str">
        <f aca="false">IF(ISNUMBER($S316),$S316*$H316,"")</f>
        <v/>
      </c>
      <c r="U316" s="45" t="str">
        <f aca="false">IF(ISNUMBER($S316),$S316*Parâmetros!$B$7,"")</f>
        <v/>
      </c>
      <c r="V316" s="45" t="str">
        <f aca="false">IF(ISNUMBER($S316),$S316*Parâmetros!$C$7,"")</f>
        <v/>
      </c>
      <c r="W316" s="44" t="str">
        <f aca="false">IF(ISNUMBER($S316),$S316-$D316-IF(ISNUMBER($E316),$E316,0)-$O316-$T316-$U316-$V316,"")</f>
        <v/>
      </c>
      <c r="X316" s="46" t="str">
        <f aca="false">IF(AND(ISNUMBER($S316),$S316&gt;0),$W316/$S316,"")</f>
        <v/>
      </c>
      <c r="Y316" s="47"/>
      <c r="Z316" s="19"/>
    </row>
    <row r="317" customFormat="false" ht="15.75" hidden="false" customHeight="true" outlineLevel="0" collapsed="false">
      <c r="A317" s="48" t="str">
        <f aca="false">IF(Produtos!$A317="","",Produtos!$A317)</f>
        <v/>
      </c>
      <c r="B317" s="48" t="str">
        <f aca="false">IF(Produtos!$A317="","",Produtos!$B317)</f>
        <v/>
      </c>
      <c r="C317" s="48" t="str">
        <f aca="false">IF(Produtos!$A317="","",Produtos!$C317)</f>
        <v/>
      </c>
      <c r="D317" s="33" t="str">
        <f aca="false">IF(Produtos!$A317="","",IF(Produtos!$D317="","",Produtos!$D317))</f>
        <v/>
      </c>
      <c r="E317" s="11"/>
      <c r="F317" s="34" t="str">
        <f aca="false">IF($A317="","",IF($C317="","⚠ categoria",IFERROR(INDEX(Parâmetros!$E$13:$E$22,MATCH($C317,Parâmetros!$A$13:$A$22,0)),"⚠ categoria")))</f>
        <v/>
      </c>
      <c r="G317" s="35"/>
      <c r="H317" s="36" t="str">
        <f aca="false">IF($A317="","",IF(ISNUMBER($G317),$G317,IF(ISNUMBER($F317),$F317,"")))</f>
        <v/>
      </c>
      <c r="I317" s="37" t="str">
        <f aca="false">IF(OR($A317="",NOT(ISNUMBER($D317)),NOT(ISNUMBER($H317))),"",IF((1-$H317-Parâmetros!$B$7-Parâmetros!$C$7-Parâmetros!$D$7)&lt;=0,"INVALIDO",($D317+IF(ISNUMBER($E317),$E317,0)+IF(ISNUMBER(Parâmetros!$E$7),Parâmetros!$E$7,0))/(1-$H317-Parâmetros!$B$7-Parâmetros!$C$7-Parâmetros!$D$7)))</f>
        <v/>
      </c>
      <c r="J317" s="38"/>
      <c r="K317" s="39" t="str">
        <f aca="false">IF(OR($A317="",NOT(ISNUMBER($D317)),NOT(ISNUMBER($H317))),"",IF(AND(ISNUMBER($J317),$J317&gt;0),$J317,IF(ISNUMBER($I317),$I317,"")))</f>
        <v/>
      </c>
      <c r="L317" s="40" t="str">
        <f aca="false">IF(ISNUMBER($K317),$K317*$H317,"")</f>
        <v/>
      </c>
      <c r="M317" s="40" t="str">
        <f aca="false">IF(ISNUMBER($K317),$K317*Parâmetros!$B$7,"")</f>
        <v/>
      </c>
      <c r="N317" s="40" t="str">
        <f aca="false">IF(ISNUMBER($K317),$K317*Parâmetros!$C$7,"")</f>
        <v/>
      </c>
      <c r="O317" s="40" t="str">
        <f aca="false">IF(ISNUMBER($K317),IF(ISNUMBER(Parâmetros!$E$7),Parâmetros!$E$7,0),"")</f>
        <v/>
      </c>
      <c r="P317" s="41" t="str">
        <f aca="false">IF(ISNUMBER($K317),$K317-$D317-IF(ISNUMBER($E317),$E317,0)-$L317-$M317-$N317-$O317,"")</f>
        <v/>
      </c>
      <c r="Q317" s="42" t="str">
        <f aca="false">IF(AND(ISNUMBER($K317),$K317&gt;0),$P317/$K317,"")</f>
        <v/>
      </c>
      <c r="R317" s="43"/>
      <c r="S317" s="44" t="str">
        <f aca="false">IF(OR(NOT(ISNUMBER($R317)),$R317=0,NOT(ISNUMBER($K317))),"",$K317*(1-$R317))</f>
        <v/>
      </c>
      <c r="T317" s="45" t="str">
        <f aca="false">IF(ISNUMBER($S317),$S317*$H317,"")</f>
        <v/>
      </c>
      <c r="U317" s="45" t="str">
        <f aca="false">IF(ISNUMBER($S317),$S317*Parâmetros!$B$7,"")</f>
        <v/>
      </c>
      <c r="V317" s="45" t="str">
        <f aca="false">IF(ISNUMBER($S317),$S317*Parâmetros!$C$7,"")</f>
        <v/>
      </c>
      <c r="W317" s="44" t="str">
        <f aca="false">IF(ISNUMBER($S317),$S317-$D317-IF(ISNUMBER($E317),$E317,0)-$O317-$T317-$U317-$V317,"")</f>
        <v/>
      </c>
      <c r="X317" s="46" t="str">
        <f aca="false">IF(AND(ISNUMBER($S317),$S317&gt;0),$W317/$S317,"")</f>
        <v/>
      </c>
      <c r="Y317" s="49"/>
      <c r="Z317" s="21"/>
    </row>
    <row r="318" customFormat="false" ht="15.75" hidden="false" customHeight="true" outlineLevel="0" collapsed="false">
      <c r="A318" s="32" t="str">
        <f aca="false">IF(Produtos!$A318="","",Produtos!$A318)</f>
        <v/>
      </c>
      <c r="B318" s="32" t="str">
        <f aca="false">IF(Produtos!$A318="","",Produtos!$B318)</f>
        <v/>
      </c>
      <c r="C318" s="32" t="str">
        <f aca="false">IF(Produtos!$A318="","",Produtos!$C318)</f>
        <v/>
      </c>
      <c r="D318" s="33" t="str">
        <f aca="false">IF(Produtos!$A318="","",IF(Produtos!$D318="","",Produtos!$D318))</f>
        <v/>
      </c>
      <c r="E318" s="11"/>
      <c r="F318" s="34" t="str">
        <f aca="false">IF($A318="","",IF($C318="","⚠ categoria",IFERROR(INDEX(Parâmetros!$E$13:$E$22,MATCH($C318,Parâmetros!$A$13:$A$22,0)),"⚠ categoria")))</f>
        <v/>
      </c>
      <c r="G318" s="35"/>
      <c r="H318" s="36" t="str">
        <f aca="false">IF($A318="","",IF(ISNUMBER($G318),$G318,IF(ISNUMBER($F318),$F318,"")))</f>
        <v/>
      </c>
      <c r="I318" s="37" t="str">
        <f aca="false">IF(OR($A318="",NOT(ISNUMBER($D318)),NOT(ISNUMBER($H318))),"",IF((1-$H318-Parâmetros!$B$7-Parâmetros!$C$7-Parâmetros!$D$7)&lt;=0,"INVALIDO",($D318+IF(ISNUMBER($E318),$E318,0)+IF(ISNUMBER(Parâmetros!$E$7),Parâmetros!$E$7,0))/(1-$H318-Parâmetros!$B$7-Parâmetros!$C$7-Parâmetros!$D$7)))</f>
        <v/>
      </c>
      <c r="J318" s="38"/>
      <c r="K318" s="39" t="str">
        <f aca="false">IF(OR($A318="",NOT(ISNUMBER($D318)),NOT(ISNUMBER($H318))),"",IF(AND(ISNUMBER($J318),$J318&gt;0),$J318,IF(ISNUMBER($I318),$I318,"")))</f>
        <v/>
      </c>
      <c r="L318" s="40" t="str">
        <f aca="false">IF(ISNUMBER($K318),$K318*$H318,"")</f>
        <v/>
      </c>
      <c r="M318" s="40" t="str">
        <f aca="false">IF(ISNUMBER($K318),$K318*Parâmetros!$B$7,"")</f>
        <v/>
      </c>
      <c r="N318" s="40" t="str">
        <f aca="false">IF(ISNUMBER($K318),$K318*Parâmetros!$C$7,"")</f>
        <v/>
      </c>
      <c r="O318" s="40" t="str">
        <f aca="false">IF(ISNUMBER($K318),IF(ISNUMBER(Parâmetros!$E$7),Parâmetros!$E$7,0),"")</f>
        <v/>
      </c>
      <c r="P318" s="41" t="str">
        <f aca="false">IF(ISNUMBER($K318),$K318-$D318-IF(ISNUMBER($E318),$E318,0)-$L318-$M318-$N318-$O318,"")</f>
        <v/>
      </c>
      <c r="Q318" s="42" t="str">
        <f aca="false">IF(AND(ISNUMBER($K318),$K318&gt;0),$P318/$K318,"")</f>
        <v/>
      </c>
      <c r="R318" s="43"/>
      <c r="S318" s="44" t="str">
        <f aca="false">IF(OR(NOT(ISNUMBER($R318)),$R318=0,NOT(ISNUMBER($K318))),"",$K318*(1-$R318))</f>
        <v/>
      </c>
      <c r="T318" s="45" t="str">
        <f aca="false">IF(ISNUMBER($S318),$S318*$H318,"")</f>
        <v/>
      </c>
      <c r="U318" s="45" t="str">
        <f aca="false">IF(ISNUMBER($S318),$S318*Parâmetros!$B$7,"")</f>
        <v/>
      </c>
      <c r="V318" s="45" t="str">
        <f aca="false">IF(ISNUMBER($S318),$S318*Parâmetros!$C$7,"")</f>
        <v/>
      </c>
      <c r="W318" s="44" t="str">
        <f aca="false">IF(ISNUMBER($S318),$S318-$D318-IF(ISNUMBER($E318),$E318,0)-$O318-$T318-$U318-$V318,"")</f>
        <v/>
      </c>
      <c r="X318" s="46" t="str">
        <f aca="false">IF(AND(ISNUMBER($S318),$S318&gt;0),$W318/$S318,"")</f>
        <v/>
      </c>
      <c r="Y318" s="47"/>
      <c r="Z318" s="19"/>
    </row>
    <row r="319" customFormat="false" ht="15.75" hidden="false" customHeight="true" outlineLevel="0" collapsed="false">
      <c r="A319" s="48" t="str">
        <f aca="false">IF(Produtos!$A319="","",Produtos!$A319)</f>
        <v/>
      </c>
      <c r="B319" s="48" t="str">
        <f aca="false">IF(Produtos!$A319="","",Produtos!$B319)</f>
        <v/>
      </c>
      <c r="C319" s="48" t="str">
        <f aca="false">IF(Produtos!$A319="","",Produtos!$C319)</f>
        <v/>
      </c>
      <c r="D319" s="33" t="str">
        <f aca="false">IF(Produtos!$A319="","",IF(Produtos!$D319="","",Produtos!$D319))</f>
        <v/>
      </c>
      <c r="E319" s="11"/>
      <c r="F319" s="34" t="str">
        <f aca="false">IF($A319="","",IF($C319="","⚠ categoria",IFERROR(INDEX(Parâmetros!$E$13:$E$22,MATCH($C319,Parâmetros!$A$13:$A$22,0)),"⚠ categoria")))</f>
        <v/>
      </c>
      <c r="G319" s="35"/>
      <c r="H319" s="36" t="str">
        <f aca="false">IF($A319="","",IF(ISNUMBER($G319),$G319,IF(ISNUMBER($F319),$F319,"")))</f>
        <v/>
      </c>
      <c r="I319" s="37" t="str">
        <f aca="false">IF(OR($A319="",NOT(ISNUMBER($D319)),NOT(ISNUMBER($H319))),"",IF((1-$H319-Parâmetros!$B$7-Parâmetros!$C$7-Parâmetros!$D$7)&lt;=0,"INVALIDO",($D319+IF(ISNUMBER($E319),$E319,0)+IF(ISNUMBER(Parâmetros!$E$7),Parâmetros!$E$7,0))/(1-$H319-Parâmetros!$B$7-Parâmetros!$C$7-Parâmetros!$D$7)))</f>
        <v/>
      </c>
      <c r="J319" s="38"/>
      <c r="K319" s="39" t="str">
        <f aca="false">IF(OR($A319="",NOT(ISNUMBER($D319)),NOT(ISNUMBER($H319))),"",IF(AND(ISNUMBER($J319),$J319&gt;0),$J319,IF(ISNUMBER($I319),$I319,"")))</f>
        <v/>
      </c>
      <c r="L319" s="40" t="str">
        <f aca="false">IF(ISNUMBER($K319),$K319*$H319,"")</f>
        <v/>
      </c>
      <c r="M319" s="40" t="str">
        <f aca="false">IF(ISNUMBER($K319),$K319*Parâmetros!$B$7,"")</f>
        <v/>
      </c>
      <c r="N319" s="40" t="str">
        <f aca="false">IF(ISNUMBER($K319),$K319*Parâmetros!$C$7,"")</f>
        <v/>
      </c>
      <c r="O319" s="40" t="str">
        <f aca="false">IF(ISNUMBER($K319),IF(ISNUMBER(Parâmetros!$E$7),Parâmetros!$E$7,0),"")</f>
        <v/>
      </c>
      <c r="P319" s="41" t="str">
        <f aca="false">IF(ISNUMBER($K319),$K319-$D319-IF(ISNUMBER($E319),$E319,0)-$L319-$M319-$N319-$O319,"")</f>
        <v/>
      </c>
      <c r="Q319" s="42" t="str">
        <f aca="false">IF(AND(ISNUMBER($K319),$K319&gt;0),$P319/$K319,"")</f>
        <v/>
      </c>
      <c r="R319" s="43"/>
      <c r="S319" s="44" t="str">
        <f aca="false">IF(OR(NOT(ISNUMBER($R319)),$R319=0,NOT(ISNUMBER($K319))),"",$K319*(1-$R319))</f>
        <v/>
      </c>
      <c r="T319" s="45" t="str">
        <f aca="false">IF(ISNUMBER($S319),$S319*$H319,"")</f>
        <v/>
      </c>
      <c r="U319" s="45" t="str">
        <f aca="false">IF(ISNUMBER($S319),$S319*Parâmetros!$B$7,"")</f>
        <v/>
      </c>
      <c r="V319" s="45" t="str">
        <f aca="false">IF(ISNUMBER($S319),$S319*Parâmetros!$C$7,"")</f>
        <v/>
      </c>
      <c r="W319" s="44" t="str">
        <f aca="false">IF(ISNUMBER($S319),$S319-$D319-IF(ISNUMBER($E319),$E319,0)-$O319-$T319-$U319-$V319,"")</f>
        <v/>
      </c>
      <c r="X319" s="46" t="str">
        <f aca="false">IF(AND(ISNUMBER($S319),$S319&gt;0),$W319/$S319,"")</f>
        <v/>
      </c>
      <c r="Y319" s="49"/>
      <c r="Z319" s="21"/>
    </row>
    <row r="320" customFormat="false" ht="15.75" hidden="false" customHeight="true" outlineLevel="0" collapsed="false">
      <c r="A320" s="32" t="str">
        <f aca="false">IF(Produtos!$A320="","",Produtos!$A320)</f>
        <v/>
      </c>
      <c r="B320" s="32" t="str">
        <f aca="false">IF(Produtos!$A320="","",Produtos!$B320)</f>
        <v/>
      </c>
      <c r="C320" s="32" t="str">
        <f aca="false">IF(Produtos!$A320="","",Produtos!$C320)</f>
        <v/>
      </c>
      <c r="D320" s="33" t="str">
        <f aca="false">IF(Produtos!$A320="","",IF(Produtos!$D320="","",Produtos!$D320))</f>
        <v/>
      </c>
      <c r="E320" s="11"/>
      <c r="F320" s="34" t="str">
        <f aca="false">IF($A320="","",IF($C320="","⚠ categoria",IFERROR(INDEX(Parâmetros!$E$13:$E$22,MATCH($C320,Parâmetros!$A$13:$A$22,0)),"⚠ categoria")))</f>
        <v/>
      </c>
      <c r="G320" s="35"/>
      <c r="H320" s="36" t="str">
        <f aca="false">IF($A320="","",IF(ISNUMBER($G320),$G320,IF(ISNUMBER($F320),$F320,"")))</f>
        <v/>
      </c>
      <c r="I320" s="37" t="str">
        <f aca="false">IF(OR($A320="",NOT(ISNUMBER($D320)),NOT(ISNUMBER($H320))),"",IF((1-$H320-Parâmetros!$B$7-Parâmetros!$C$7-Parâmetros!$D$7)&lt;=0,"INVALIDO",($D320+IF(ISNUMBER($E320),$E320,0)+IF(ISNUMBER(Parâmetros!$E$7),Parâmetros!$E$7,0))/(1-$H320-Parâmetros!$B$7-Parâmetros!$C$7-Parâmetros!$D$7)))</f>
        <v/>
      </c>
      <c r="J320" s="38"/>
      <c r="K320" s="39" t="str">
        <f aca="false">IF(OR($A320="",NOT(ISNUMBER($D320)),NOT(ISNUMBER($H320))),"",IF(AND(ISNUMBER($J320),$J320&gt;0),$J320,IF(ISNUMBER($I320),$I320,"")))</f>
        <v/>
      </c>
      <c r="L320" s="40" t="str">
        <f aca="false">IF(ISNUMBER($K320),$K320*$H320,"")</f>
        <v/>
      </c>
      <c r="M320" s="40" t="str">
        <f aca="false">IF(ISNUMBER($K320),$K320*Parâmetros!$B$7,"")</f>
        <v/>
      </c>
      <c r="N320" s="40" t="str">
        <f aca="false">IF(ISNUMBER($K320),$K320*Parâmetros!$C$7,"")</f>
        <v/>
      </c>
      <c r="O320" s="40" t="str">
        <f aca="false">IF(ISNUMBER($K320),IF(ISNUMBER(Parâmetros!$E$7),Parâmetros!$E$7,0),"")</f>
        <v/>
      </c>
      <c r="P320" s="41" t="str">
        <f aca="false">IF(ISNUMBER($K320),$K320-$D320-IF(ISNUMBER($E320),$E320,0)-$L320-$M320-$N320-$O320,"")</f>
        <v/>
      </c>
      <c r="Q320" s="42" t="str">
        <f aca="false">IF(AND(ISNUMBER($K320),$K320&gt;0),$P320/$K320,"")</f>
        <v/>
      </c>
      <c r="R320" s="43"/>
      <c r="S320" s="44" t="str">
        <f aca="false">IF(OR(NOT(ISNUMBER($R320)),$R320=0,NOT(ISNUMBER($K320))),"",$K320*(1-$R320))</f>
        <v/>
      </c>
      <c r="T320" s="45" t="str">
        <f aca="false">IF(ISNUMBER($S320),$S320*$H320,"")</f>
        <v/>
      </c>
      <c r="U320" s="45" t="str">
        <f aca="false">IF(ISNUMBER($S320),$S320*Parâmetros!$B$7,"")</f>
        <v/>
      </c>
      <c r="V320" s="45" t="str">
        <f aca="false">IF(ISNUMBER($S320),$S320*Parâmetros!$C$7,"")</f>
        <v/>
      </c>
      <c r="W320" s="44" t="str">
        <f aca="false">IF(ISNUMBER($S320),$S320-$D320-IF(ISNUMBER($E320),$E320,0)-$O320-$T320-$U320-$V320,"")</f>
        <v/>
      </c>
      <c r="X320" s="46" t="str">
        <f aca="false">IF(AND(ISNUMBER($S320),$S320&gt;0),$W320/$S320,"")</f>
        <v/>
      </c>
      <c r="Y320" s="47"/>
      <c r="Z320" s="19"/>
    </row>
    <row r="321" customFormat="false" ht="15.75" hidden="false" customHeight="true" outlineLevel="0" collapsed="false">
      <c r="A321" s="48" t="str">
        <f aca="false">IF(Produtos!$A321="","",Produtos!$A321)</f>
        <v/>
      </c>
      <c r="B321" s="48" t="str">
        <f aca="false">IF(Produtos!$A321="","",Produtos!$B321)</f>
        <v/>
      </c>
      <c r="C321" s="48" t="str">
        <f aca="false">IF(Produtos!$A321="","",Produtos!$C321)</f>
        <v/>
      </c>
      <c r="D321" s="33" t="str">
        <f aca="false">IF(Produtos!$A321="","",IF(Produtos!$D321="","",Produtos!$D321))</f>
        <v/>
      </c>
      <c r="E321" s="11"/>
      <c r="F321" s="34" t="str">
        <f aca="false">IF($A321="","",IF($C321="","⚠ categoria",IFERROR(INDEX(Parâmetros!$E$13:$E$22,MATCH($C321,Parâmetros!$A$13:$A$22,0)),"⚠ categoria")))</f>
        <v/>
      </c>
      <c r="G321" s="35"/>
      <c r="H321" s="36" t="str">
        <f aca="false">IF($A321="","",IF(ISNUMBER($G321),$G321,IF(ISNUMBER($F321),$F321,"")))</f>
        <v/>
      </c>
      <c r="I321" s="37" t="str">
        <f aca="false">IF(OR($A321="",NOT(ISNUMBER($D321)),NOT(ISNUMBER($H321))),"",IF((1-$H321-Parâmetros!$B$7-Parâmetros!$C$7-Parâmetros!$D$7)&lt;=0,"INVALIDO",($D321+IF(ISNUMBER($E321),$E321,0)+IF(ISNUMBER(Parâmetros!$E$7),Parâmetros!$E$7,0))/(1-$H321-Parâmetros!$B$7-Parâmetros!$C$7-Parâmetros!$D$7)))</f>
        <v/>
      </c>
      <c r="J321" s="38"/>
      <c r="K321" s="39" t="str">
        <f aca="false">IF(OR($A321="",NOT(ISNUMBER($D321)),NOT(ISNUMBER($H321))),"",IF(AND(ISNUMBER($J321),$J321&gt;0),$J321,IF(ISNUMBER($I321),$I321,"")))</f>
        <v/>
      </c>
      <c r="L321" s="40" t="str">
        <f aca="false">IF(ISNUMBER($K321),$K321*$H321,"")</f>
        <v/>
      </c>
      <c r="M321" s="40" t="str">
        <f aca="false">IF(ISNUMBER($K321),$K321*Parâmetros!$B$7,"")</f>
        <v/>
      </c>
      <c r="N321" s="40" t="str">
        <f aca="false">IF(ISNUMBER($K321),$K321*Parâmetros!$C$7,"")</f>
        <v/>
      </c>
      <c r="O321" s="40" t="str">
        <f aca="false">IF(ISNUMBER($K321),IF(ISNUMBER(Parâmetros!$E$7),Parâmetros!$E$7,0),"")</f>
        <v/>
      </c>
      <c r="P321" s="41" t="str">
        <f aca="false">IF(ISNUMBER($K321),$K321-$D321-IF(ISNUMBER($E321),$E321,0)-$L321-$M321-$N321-$O321,"")</f>
        <v/>
      </c>
      <c r="Q321" s="42" t="str">
        <f aca="false">IF(AND(ISNUMBER($K321),$K321&gt;0),$P321/$K321,"")</f>
        <v/>
      </c>
      <c r="R321" s="43"/>
      <c r="S321" s="44" t="str">
        <f aca="false">IF(OR(NOT(ISNUMBER($R321)),$R321=0,NOT(ISNUMBER($K321))),"",$K321*(1-$R321))</f>
        <v/>
      </c>
      <c r="T321" s="45" t="str">
        <f aca="false">IF(ISNUMBER($S321),$S321*$H321,"")</f>
        <v/>
      </c>
      <c r="U321" s="45" t="str">
        <f aca="false">IF(ISNUMBER($S321),$S321*Parâmetros!$B$7,"")</f>
        <v/>
      </c>
      <c r="V321" s="45" t="str">
        <f aca="false">IF(ISNUMBER($S321),$S321*Parâmetros!$C$7,"")</f>
        <v/>
      </c>
      <c r="W321" s="44" t="str">
        <f aca="false">IF(ISNUMBER($S321),$S321-$D321-IF(ISNUMBER($E321),$E321,0)-$O321-$T321-$U321-$V321,"")</f>
        <v/>
      </c>
      <c r="X321" s="46" t="str">
        <f aca="false">IF(AND(ISNUMBER($S321),$S321&gt;0),$W321/$S321,"")</f>
        <v/>
      </c>
      <c r="Y321" s="49"/>
      <c r="Z321" s="21"/>
    </row>
    <row r="322" customFormat="false" ht="15.75" hidden="false" customHeight="true" outlineLevel="0" collapsed="false">
      <c r="A322" s="32" t="str">
        <f aca="false">IF(Produtos!$A322="","",Produtos!$A322)</f>
        <v/>
      </c>
      <c r="B322" s="32" t="str">
        <f aca="false">IF(Produtos!$A322="","",Produtos!$B322)</f>
        <v/>
      </c>
      <c r="C322" s="32" t="str">
        <f aca="false">IF(Produtos!$A322="","",Produtos!$C322)</f>
        <v/>
      </c>
      <c r="D322" s="33" t="str">
        <f aca="false">IF(Produtos!$A322="","",IF(Produtos!$D322="","",Produtos!$D322))</f>
        <v/>
      </c>
      <c r="E322" s="11"/>
      <c r="F322" s="34" t="str">
        <f aca="false">IF($A322="","",IF($C322="","⚠ categoria",IFERROR(INDEX(Parâmetros!$E$13:$E$22,MATCH($C322,Parâmetros!$A$13:$A$22,0)),"⚠ categoria")))</f>
        <v/>
      </c>
      <c r="G322" s="35"/>
      <c r="H322" s="36" t="str">
        <f aca="false">IF($A322="","",IF(ISNUMBER($G322),$G322,IF(ISNUMBER($F322),$F322,"")))</f>
        <v/>
      </c>
      <c r="I322" s="37" t="str">
        <f aca="false">IF(OR($A322="",NOT(ISNUMBER($D322)),NOT(ISNUMBER($H322))),"",IF((1-$H322-Parâmetros!$B$7-Parâmetros!$C$7-Parâmetros!$D$7)&lt;=0,"INVALIDO",($D322+IF(ISNUMBER($E322),$E322,0)+IF(ISNUMBER(Parâmetros!$E$7),Parâmetros!$E$7,0))/(1-$H322-Parâmetros!$B$7-Parâmetros!$C$7-Parâmetros!$D$7)))</f>
        <v/>
      </c>
      <c r="J322" s="38"/>
      <c r="K322" s="39" t="str">
        <f aca="false">IF(OR($A322="",NOT(ISNUMBER($D322)),NOT(ISNUMBER($H322))),"",IF(AND(ISNUMBER($J322),$J322&gt;0),$J322,IF(ISNUMBER($I322),$I322,"")))</f>
        <v/>
      </c>
      <c r="L322" s="40" t="str">
        <f aca="false">IF(ISNUMBER($K322),$K322*$H322,"")</f>
        <v/>
      </c>
      <c r="M322" s="40" t="str">
        <f aca="false">IF(ISNUMBER($K322),$K322*Parâmetros!$B$7,"")</f>
        <v/>
      </c>
      <c r="N322" s="40" t="str">
        <f aca="false">IF(ISNUMBER($K322),$K322*Parâmetros!$C$7,"")</f>
        <v/>
      </c>
      <c r="O322" s="40" t="str">
        <f aca="false">IF(ISNUMBER($K322),IF(ISNUMBER(Parâmetros!$E$7),Parâmetros!$E$7,0),"")</f>
        <v/>
      </c>
      <c r="P322" s="41" t="str">
        <f aca="false">IF(ISNUMBER($K322),$K322-$D322-IF(ISNUMBER($E322),$E322,0)-$L322-$M322-$N322-$O322,"")</f>
        <v/>
      </c>
      <c r="Q322" s="42" t="str">
        <f aca="false">IF(AND(ISNUMBER($K322),$K322&gt;0),$P322/$K322,"")</f>
        <v/>
      </c>
      <c r="R322" s="43"/>
      <c r="S322" s="44" t="str">
        <f aca="false">IF(OR(NOT(ISNUMBER($R322)),$R322=0,NOT(ISNUMBER($K322))),"",$K322*(1-$R322))</f>
        <v/>
      </c>
      <c r="T322" s="45" t="str">
        <f aca="false">IF(ISNUMBER($S322),$S322*$H322,"")</f>
        <v/>
      </c>
      <c r="U322" s="45" t="str">
        <f aca="false">IF(ISNUMBER($S322),$S322*Parâmetros!$B$7,"")</f>
        <v/>
      </c>
      <c r="V322" s="45" t="str">
        <f aca="false">IF(ISNUMBER($S322),$S322*Parâmetros!$C$7,"")</f>
        <v/>
      </c>
      <c r="W322" s="44" t="str">
        <f aca="false">IF(ISNUMBER($S322),$S322-$D322-IF(ISNUMBER($E322),$E322,0)-$O322-$T322-$U322-$V322,"")</f>
        <v/>
      </c>
      <c r="X322" s="46" t="str">
        <f aca="false">IF(AND(ISNUMBER($S322),$S322&gt;0),$W322/$S322,"")</f>
        <v/>
      </c>
      <c r="Y322" s="47"/>
      <c r="Z322" s="19"/>
    </row>
    <row r="323" customFormat="false" ht="15.75" hidden="false" customHeight="true" outlineLevel="0" collapsed="false">
      <c r="A323" s="48" t="str">
        <f aca="false">IF(Produtos!$A323="","",Produtos!$A323)</f>
        <v/>
      </c>
      <c r="B323" s="48" t="str">
        <f aca="false">IF(Produtos!$A323="","",Produtos!$B323)</f>
        <v/>
      </c>
      <c r="C323" s="48" t="str">
        <f aca="false">IF(Produtos!$A323="","",Produtos!$C323)</f>
        <v/>
      </c>
      <c r="D323" s="33" t="str">
        <f aca="false">IF(Produtos!$A323="","",IF(Produtos!$D323="","",Produtos!$D323))</f>
        <v/>
      </c>
      <c r="E323" s="11"/>
      <c r="F323" s="34" t="str">
        <f aca="false">IF($A323="","",IF($C323="","⚠ categoria",IFERROR(INDEX(Parâmetros!$E$13:$E$22,MATCH($C323,Parâmetros!$A$13:$A$22,0)),"⚠ categoria")))</f>
        <v/>
      </c>
      <c r="G323" s="35"/>
      <c r="H323" s="36" t="str">
        <f aca="false">IF($A323="","",IF(ISNUMBER($G323),$G323,IF(ISNUMBER($F323),$F323,"")))</f>
        <v/>
      </c>
      <c r="I323" s="37" t="str">
        <f aca="false">IF(OR($A323="",NOT(ISNUMBER($D323)),NOT(ISNUMBER($H323))),"",IF((1-$H323-Parâmetros!$B$7-Parâmetros!$C$7-Parâmetros!$D$7)&lt;=0,"INVALIDO",($D323+IF(ISNUMBER($E323),$E323,0)+IF(ISNUMBER(Parâmetros!$E$7),Parâmetros!$E$7,0))/(1-$H323-Parâmetros!$B$7-Parâmetros!$C$7-Parâmetros!$D$7)))</f>
        <v/>
      </c>
      <c r="J323" s="38"/>
      <c r="K323" s="39" t="str">
        <f aca="false">IF(OR($A323="",NOT(ISNUMBER($D323)),NOT(ISNUMBER($H323))),"",IF(AND(ISNUMBER($J323),$J323&gt;0),$J323,IF(ISNUMBER($I323),$I323,"")))</f>
        <v/>
      </c>
      <c r="L323" s="40" t="str">
        <f aca="false">IF(ISNUMBER($K323),$K323*$H323,"")</f>
        <v/>
      </c>
      <c r="M323" s="40" t="str">
        <f aca="false">IF(ISNUMBER($K323),$K323*Parâmetros!$B$7,"")</f>
        <v/>
      </c>
      <c r="N323" s="40" t="str">
        <f aca="false">IF(ISNUMBER($K323),$K323*Parâmetros!$C$7,"")</f>
        <v/>
      </c>
      <c r="O323" s="40" t="str">
        <f aca="false">IF(ISNUMBER($K323),IF(ISNUMBER(Parâmetros!$E$7),Parâmetros!$E$7,0),"")</f>
        <v/>
      </c>
      <c r="P323" s="41" t="str">
        <f aca="false">IF(ISNUMBER($K323),$K323-$D323-IF(ISNUMBER($E323),$E323,0)-$L323-$M323-$N323-$O323,"")</f>
        <v/>
      </c>
      <c r="Q323" s="42" t="str">
        <f aca="false">IF(AND(ISNUMBER($K323),$K323&gt;0),$P323/$K323,"")</f>
        <v/>
      </c>
      <c r="R323" s="43"/>
      <c r="S323" s="44" t="str">
        <f aca="false">IF(OR(NOT(ISNUMBER($R323)),$R323=0,NOT(ISNUMBER($K323))),"",$K323*(1-$R323))</f>
        <v/>
      </c>
      <c r="T323" s="45" t="str">
        <f aca="false">IF(ISNUMBER($S323),$S323*$H323,"")</f>
        <v/>
      </c>
      <c r="U323" s="45" t="str">
        <f aca="false">IF(ISNUMBER($S323),$S323*Parâmetros!$B$7,"")</f>
        <v/>
      </c>
      <c r="V323" s="45" t="str">
        <f aca="false">IF(ISNUMBER($S323),$S323*Parâmetros!$C$7,"")</f>
        <v/>
      </c>
      <c r="W323" s="44" t="str">
        <f aca="false">IF(ISNUMBER($S323),$S323-$D323-IF(ISNUMBER($E323),$E323,0)-$O323-$T323-$U323-$V323,"")</f>
        <v/>
      </c>
      <c r="X323" s="46" t="str">
        <f aca="false">IF(AND(ISNUMBER($S323),$S323&gt;0),$W323/$S323,"")</f>
        <v/>
      </c>
      <c r="Y323" s="49"/>
      <c r="Z323" s="21"/>
    </row>
    <row r="324" customFormat="false" ht="15.75" hidden="false" customHeight="true" outlineLevel="0" collapsed="false">
      <c r="A324" s="32" t="str">
        <f aca="false">IF(Produtos!$A324="","",Produtos!$A324)</f>
        <v/>
      </c>
      <c r="B324" s="32" t="str">
        <f aca="false">IF(Produtos!$A324="","",Produtos!$B324)</f>
        <v/>
      </c>
      <c r="C324" s="32" t="str">
        <f aca="false">IF(Produtos!$A324="","",Produtos!$C324)</f>
        <v/>
      </c>
      <c r="D324" s="33" t="str">
        <f aca="false">IF(Produtos!$A324="","",IF(Produtos!$D324="","",Produtos!$D324))</f>
        <v/>
      </c>
      <c r="E324" s="11"/>
      <c r="F324" s="34" t="str">
        <f aca="false">IF($A324="","",IF($C324="","⚠ categoria",IFERROR(INDEX(Parâmetros!$E$13:$E$22,MATCH($C324,Parâmetros!$A$13:$A$22,0)),"⚠ categoria")))</f>
        <v/>
      </c>
      <c r="G324" s="35"/>
      <c r="H324" s="36" t="str">
        <f aca="false">IF($A324="","",IF(ISNUMBER($G324),$G324,IF(ISNUMBER($F324),$F324,"")))</f>
        <v/>
      </c>
      <c r="I324" s="37" t="str">
        <f aca="false">IF(OR($A324="",NOT(ISNUMBER($D324)),NOT(ISNUMBER($H324))),"",IF((1-$H324-Parâmetros!$B$7-Parâmetros!$C$7-Parâmetros!$D$7)&lt;=0,"INVALIDO",($D324+IF(ISNUMBER($E324),$E324,0)+IF(ISNUMBER(Parâmetros!$E$7),Parâmetros!$E$7,0))/(1-$H324-Parâmetros!$B$7-Parâmetros!$C$7-Parâmetros!$D$7)))</f>
        <v/>
      </c>
      <c r="J324" s="38"/>
      <c r="K324" s="39" t="str">
        <f aca="false">IF(OR($A324="",NOT(ISNUMBER($D324)),NOT(ISNUMBER($H324))),"",IF(AND(ISNUMBER($J324),$J324&gt;0),$J324,IF(ISNUMBER($I324),$I324,"")))</f>
        <v/>
      </c>
      <c r="L324" s="40" t="str">
        <f aca="false">IF(ISNUMBER($K324),$K324*$H324,"")</f>
        <v/>
      </c>
      <c r="M324" s="40" t="str">
        <f aca="false">IF(ISNUMBER($K324),$K324*Parâmetros!$B$7,"")</f>
        <v/>
      </c>
      <c r="N324" s="40" t="str">
        <f aca="false">IF(ISNUMBER($K324),$K324*Parâmetros!$C$7,"")</f>
        <v/>
      </c>
      <c r="O324" s="40" t="str">
        <f aca="false">IF(ISNUMBER($K324),IF(ISNUMBER(Parâmetros!$E$7),Parâmetros!$E$7,0),"")</f>
        <v/>
      </c>
      <c r="P324" s="41" t="str">
        <f aca="false">IF(ISNUMBER($K324),$K324-$D324-IF(ISNUMBER($E324),$E324,0)-$L324-$M324-$N324-$O324,"")</f>
        <v/>
      </c>
      <c r="Q324" s="42" t="str">
        <f aca="false">IF(AND(ISNUMBER($K324),$K324&gt;0),$P324/$K324,"")</f>
        <v/>
      </c>
      <c r="R324" s="43"/>
      <c r="S324" s="44" t="str">
        <f aca="false">IF(OR(NOT(ISNUMBER($R324)),$R324=0,NOT(ISNUMBER($K324))),"",$K324*(1-$R324))</f>
        <v/>
      </c>
      <c r="T324" s="45" t="str">
        <f aca="false">IF(ISNUMBER($S324),$S324*$H324,"")</f>
        <v/>
      </c>
      <c r="U324" s="45" t="str">
        <f aca="false">IF(ISNUMBER($S324),$S324*Parâmetros!$B$7,"")</f>
        <v/>
      </c>
      <c r="V324" s="45" t="str">
        <f aca="false">IF(ISNUMBER($S324),$S324*Parâmetros!$C$7,"")</f>
        <v/>
      </c>
      <c r="W324" s="44" t="str">
        <f aca="false">IF(ISNUMBER($S324),$S324-$D324-IF(ISNUMBER($E324),$E324,0)-$O324-$T324-$U324-$V324,"")</f>
        <v/>
      </c>
      <c r="X324" s="46" t="str">
        <f aca="false">IF(AND(ISNUMBER($S324),$S324&gt;0),$W324/$S324,"")</f>
        <v/>
      </c>
      <c r="Y324" s="47"/>
      <c r="Z324" s="19"/>
    </row>
    <row r="325" customFormat="false" ht="15.75" hidden="false" customHeight="true" outlineLevel="0" collapsed="false">
      <c r="A325" s="48" t="str">
        <f aca="false">IF(Produtos!$A325="","",Produtos!$A325)</f>
        <v/>
      </c>
      <c r="B325" s="48" t="str">
        <f aca="false">IF(Produtos!$A325="","",Produtos!$B325)</f>
        <v/>
      </c>
      <c r="C325" s="48" t="str">
        <f aca="false">IF(Produtos!$A325="","",Produtos!$C325)</f>
        <v/>
      </c>
      <c r="D325" s="33" t="str">
        <f aca="false">IF(Produtos!$A325="","",IF(Produtos!$D325="","",Produtos!$D325))</f>
        <v/>
      </c>
      <c r="E325" s="11"/>
      <c r="F325" s="34" t="str">
        <f aca="false">IF($A325="","",IF($C325="","⚠ categoria",IFERROR(INDEX(Parâmetros!$E$13:$E$22,MATCH($C325,Parâmetros!$A$13:$A$22,0)),"⚠ categoria")))</f>
        <v/>
      </c>
      <c r="G325" s="35"/>
      <c r="H325" s="36" t="str">
        <f aca="false">IF($A325="","",IF(ISNUMBER($G325),$G325,IF(ISNUMBER($F325),$F325,"")))</f>
        <v/>
      </c>
      <c r="I325" s="37" t="str">
        <f aca="false">IF(OR($A325="",NOT(ISNUMBER($D325)),NOT(ISNUMBER($H325))),"",IF((1-$H325-Parâmetros!$B$7-Parâmetros!$C$7-Parâmetros!$D$7)&lt;=0,"INVALIDO",($D325+IF(ISNUMBER($E325),$E325,0)+IF(ISNUMBER(Parâmetros!$E$7),Parâmetros!$E$7,0))/(1-$H325-Parâmetros!$B$7-Parâmetros!$C$7-Parâmetros!$D$7)))</f>
        <v/>
      </c>
      <c r="J325" s="38"/>
      <c r="K325" s="39" t="str">
        <f aca="false">IF(OR($A325="",NOT(ISNUMBER($D325)),NOT(ISNUMBER($H325))),"",IF(AND(ISNUMBER($J325),$J325&gt;0),$J325,IF(ISNUMBER($I325),$I325,"")))</f>
        <v/>
      </c>
      <c r="L325" s="40" t="str">
        <f aca="false">IF(ISNUMBER($K325),$K325*$H325,"")</f>
        <v/>
      </c>
      <c r="M325" s="40" t="str">
        <f aca="false">IF(ISNUMBER($K325),$K325*Parâmetros!$B$7,"")</f>
        <v/>
      </c>
      <c r="N325" s="40" t="str">
        <f aca="false">IF(ISNUMBER($K325),$K325*Parâmetros!$C$7,"")</f>
        <v/>
      </c>
      <c r="O325" s="40" t="str">
        <f aca="false">IF(ISNUMBER($K325),IF(ISNUMBER(Parâmetros!$E$7),Parâmetros!$E$7,0),"")</f>
        <v/>
      </c>
      <c r="P325" s="41" t="str">
        <f aca="false">IF(ISNUMBER($K325),$K325-$D325-IF(ISNUMBER($E325),$E325,0)-$L325-$M325-$N325-$O325,"")</f>
        <v/>
      </c>
      <c r="Q325" s="42" t="str">
        <f aca="false">IF(AND(ISNUMBER($K325),$K325&gt;0),$P325/$K325,"")</f>
        <v/>
      </c>
      <c r="R325" s="43"/>
      <c r="S325" s="44" t="str">
        <f aca="false">IF(OR(NOT(ISNUMBER($R325)),$R325=0,NOT(ISNUMBER($K325))),"",$K325*(1-$R325))</f>
        <v/>
      </c>
      <c r="T325" s="45" t="str">
        <f aca="false">IF(ISNUMBER($S325),$S325*$H325,"")</f>
        <v/>
      </c>
      <c r="U325" s="45" t="str">
        <f aca="false">IF(ISNUMBER($S325),$S325*Parâmetros!$B$7,"")</f>
        <v/>
      </c>
      <c r="V325" s="45" t="str">
        <f aca="false">IF(ISNUMBER($S325),$S325*Parâmetros!$C$7,"")</f>
        <v/>
      </c>
      <c r="W325" s="44" t="str">
        <f aca="false">IF(ISNUMBER($S325),$S325-$D325-IF(ISNUMBER($E325),$E325,0)-$O325-$T325-$U325-$V325,"")</f>
        <v/>
      </c>
      <c r="X325" s="46" t="str">
        <f aca="false">IF(AND(ISNUMBER($S325),$S325&gt;0),$W325/$S325,"")</f>
        <v/>
      </c>
      <c r="Y325" s="49"/>
      <c r="Z325" s="21"/>
    </row>
    <row r="326" customFormat="false" ht="15.75" hidden="false" customHeight="true" outlineLevel="0" collapsed="false">
      <c r="A326" s="32" t="str">
        <f aca="false">IF(Produtos!$A326="","",Produtos!$A326)</f>
        <v/>
      </c>
      <c r="B326" s="32" t="str">
        <f aca="false">IF(Produtos!$A326="","",Produtos!$B326)</f>
        <v/>
      </c>
      <c r="C326" s="32" t="str">
        <f aca="false">IF(Produtos!$A326="","",Produtos!$C326)</f>
        <v/>
      </c>
      <c r="D326" s="33" t="str">
        <f aca="false">IF(Produtos!$A326="","",IF(Produtos!$D326="","",Produtos!$D326))</f>
        <v/>
      </c>
      <c r="E326" s="11"/>
      <c r="F326" s="34" t="str">
        <f aca="false">IF($A326="","",IF($C326="","⚠ categoria",IFERROR(INDEX(Parâmetros!$E$13:$E$22,MATCH($C326,Parâmetros!$A$13:$A$22,0)),"⚠ categoria")))</f>
        <v/>
      </c>
      <c r="G326" s="35"/>
      <c r="H326" s="36" t="str">
        <f aca="false">IF($A326="","",IF(ISNUMBER($G326),$G326,IF(ISNUMBER($F326),$F326,"")))</f>
        <v/>
      </c>
      <c r="I326" s="37" t="str">
        <f aca="false">IF(OR($A326="",NOT(ISNUMBER($D326)),NOT(ISNUMBER($H326))),"",IF((1-$H326-Parâmetros!$B$7-Parâmetros!$C$7-Parâmetros!$D$7)&lt;=0,"INVALIDO",($D326+IF(ISNUMBER($E326),$E326,0)+IF(ISNUMBER(Parâmetros!$E$7),Parâmetros!$E$7,0))/(1-$H326-Parâmetros!$B$7-Parâmetros!$C$7-Parâmetros!$D$7)))</f>
        <v/>
      </c>
      <c r="J326" s="38"/>
      <c r="K326" s="39" t="str">
        <f aca="false">IF(OR($A326="",NOT(ISNUMBER($D326)),NOT(ISNUMBER($H326))),"",IF(AND(ISNUMBER($J326),$J326&gt;0),$J326,IF(ISNUMBER($I326),$I326,"")))</f>
        <v/>
      </c>
      <c r="L326" s="40" t="str">
        <f aca="false">IF(ISNUMBER($K326),$K326*$H326,"")</f>
        <v/>
      </c>
      <c r="M326" s="40" t="str">
        <f aca="false">IF(ISNUMBER($K326),$K326*Parâmetros!$B$7,"")</f>
        <v/>
      </c>
      <c r="N326" s="40" t="str">
        <f aca="false">IF(ISNUMBER($K326),$K326*Parâmetros!$C$7,"")</f>
        <v/>
      </c>
      <c r="O326" s="40" t="str">
        <f aca="false">IF(ISNUMBER($K326),IF(ISNUMBER(Parâmetros!$E$7),Parâmetros!$E$7,0),"")</f>
        <v/>
      </c>
      <c r="P326" s="41" t="str">
        <f aca="false">IF(ISNUMBER($K326),$K326-$D326-IF(ISNUMBER($E326),$E326,0)-$L326-$M326-$N326-$O326,"")</f>
        <v/>
      </c>
      <c r="Q326" s="42" t="str">
        <f aca="false">IF(AND(ISNUMBER($K326),$K326&gt;0),$P326/$K326,"")</f>
        <v/>
      </c>
      <c r="R326" s="43"/>
      <c r="S326" s="44" t="str">
        <f aca="false">IF(OR(NOT(ISNUMBER($R326)),$R326=0,NOT(ISNUMBER($K326))),"",$K326*(1-$R326))</f>
        <v/>
      </c>
      <c r="T326" s="45" t="str">
        <f aca="false">IF(ISNUMBER($S326),$S326*$H326,"")</f>
        <v/>
      </c>
      <c r="U326" s="45" t="str">
        <f aca="false">IF(ISNUMBER($S326),$S326*Parâmetros!$B$7,"")</f>
        <v/>
      </c>
      <c r="V326" s="45" t="str">
        <f aca="false">IF(ISNUMBER($S326),$S326*Parâmetros!$C$7,"")</f>
        <v/>
      </c>
      <c r="W326" s="44" t="str">
        <f aca="false">IF(ISNUMBER($S326),$S326-$D326-IF(ISNUMBER($E326),$E326,0)-$O326-$T326-$U326-$V326,"")</f>
        <v/>
      </c>
      <c r="X326" s="46" t="str">
        <f aca="false">IF(AND(ISNUMBER($S326),$S326&gt;0),$W326/$S326,"")</f>
        <v/>
      </c>
      <c r="Y326" s="47"/>
      <c r="Z326" s="19"/>
    </row>
    <row r="327" customFormat="false" ht="15.75" hidden="false" customHeight="true" outlineLevel="0" collapsed="false">
      <c r="A327" s="48" t="str">
        <f aca="false">IF(Produtos!$A327="","",Produtos!$A327)</f>
        <v/>
      </c>
      <c r="B327" s="48" t="str">
        <f aca="false">IF(Produtos!$A327="","",Produtos!$B327)</f>
        <v/>
      </c>
      <c r="C327" s="48" t="str">
        <f aca="false">IF(Produtos!$A327="","",Produtos!$C327)</f>
        <v/>
      </c>
      <c r="D327" s="33" t="str">
        <f aca="false">IF(Produtos!$A327="","",IF(Produtos!$D327="","",Produtos!$D327))</f>
        <v/>
      </c>
      <c r="E327" s="11"/>
      <c r="F327" s="34" t="str">
        <f aca="false">IF($A327="","",IF($C327="","⚠ categoria",IFERROR(INDEX(Parâmetros!$E$13:$E$22,MATCH($C327,Parâmetros!$A$13:$A$22,0)),"⚠ categoria")))</f>
        <v/>
      </c>
      <c r="G327" s="35"/>
      <c r="H327" s="36" t="str">
        <f aca="false">IF($A327="","",IF(ISNUMBER($G327),$G327,IF(ISNUMBER($F327),$F327,"")))</f>
        <v/>
      </c>
      <c r="I327" s="37" t="str">
        <f aca="false">IF(OR($A327="",NOT(ISNUMBER($D327)),NOT(ISNUMBER($H327))),"",IF((1-$H327-Parâmetros!$B$7-Parâmetros!$C$7-Parâmetros!$D$7)&lt;=0,"INVALIDO",($D327+IF(ISNUMBER($E327),$E327,0)+IF(ISNUMBER(Parâmetros!$E$7),Parâmetros!$E$7,0))/(1-$H327-Parâmetros!$B$7-Parâmetros!$C$7-Parâmetros!$D$7)))</f>
        <v/>
      </c>
      <c r="J327" s="38"/>
      <c r="K327" s="39" t="str">
        <f aca="false">IF(OR($A327="",NOT(ISNUMBER($D327)),NOT(ISNUMBER($H327))),"",IF(AND(ISNUMBER($J327),$J327&gt;0),$J327,IF(ISNUMBER($I327),$I327,"")))</f>
        <v/>
      </c>
      <c r="L327" s="40" t="str">
        <f aca="false">IF(ISNUMBER($K327),$K327*$H327,"")</f>
        <v/>
      </c>
      <c r="M327" s="40" t="str">
        <f aca="false">IF(ISNUMBER($K327),$K327*Parâmetros!$B$7,"")</f>
        <v/>
      </c>
      <c r="N327" s="40" t="str">
        <f aca="false">IF(ISNUMBER($K327),$K327*Parâmetros!$C$7,"")</f>
        <v/>
      </c>
      <c r="O327" s="40" t="str">
        <f aca="false">IF(ISNUMBER($K327),IF(ISNUMBER(Parâmetros!$E$7),Parâmetros!$E$7,0),"")</f>
        <v/>
      </c>
      <c r="P327" s="41" t="str">
        <f aca="false">IF(ISNUMBER($K327),$K327-$D327-IF(ISNUMBER($E327),$E327,0)-$L327-$M327-$N327-$O327,"")</f>
        <v/>
      </c>
      <c r="Q327" s="42" t="str">
        <f aca="false">IF(AND(ISNUMBER($K327),$K327&gt;0),$P327/$K327,"")</f>
        <v/>
      </c>
      <c r="R327" s="43"/>
      <c r="S327" s="44" t="str">
        <f aca="false">IF(OR(NOT(ISNUMBER($R327)),$R327=0,NOT(ISNUMBER($K327))),"",$K327*(1-$R327))</f>
        <v/>
      </c>
      <c r="T327" s="45" t="str">
        <f aca="false">IF(ISNUMBER($S327),$S327*$H327,"")</f>
        <v/>
      </c>
      <c r="U327" s="45" t="str">
        <f aca="false">IF(ISNUMBER($S327),$S327*Parâmetros!$B$7,"")</f>
        <v/>
      </c>
      <c r="V327" s="45" t="str">
        <f aca="false">IF(ISNUMBER($S327),$S327*Parâmetros!$C$7,"")</f>
        <v/>
      </c>
      <c r="W327" s="44" t="str">
        <f aca="false">IF(ISNUMBER($S327),$S327-$D327-IF(ISNUMBER($E327),$E327,0)-$O327-$T327-$U327-$V327,"")</f>
        <v/>
      </c>
      <c r="X327" s="46" t="str">
        <f aca="false">IF(AND(ISNUMBER($S327),$S327&gt;0),$W327/$S327,"")</f>
        <v/>
      </c>
      <c r="Y327" s="49"/>
      <c r="Z327" s="21"/>
    </row>
    <row r="328" customFormat="false" ht="15.75" hidden="false" customHeight="true" outlineLevel="0" collapsed="false">
      <c r="A328" s="32" t="str">
        <f aca="false">IF(Produtos!$A328="","",Produtos!$A328)</f>
        <v/>
      </c>
      <c r="B328" s="32" t="str">
        <f aca="false">IF(Produtos!$A328="","",Produtos!$B328)</f>
        <v/>
      </c>
      <c r="C328" s="32" t="str">
        <f aca="false">IF(Produtos!$A328="","",Produtos!$C328)</f>
        <v/>
      </c>
      <c r="D328" s="33" t="str">
        <f aca="false">IF(Produtos!$A328="","",IF(Produtos!$D328="","",Produtos!$D328))</f>
        <v/>
      </c>
      <c r="E328" s="11"/>
      <c r="F328" s="34" t="str">
        <f aca="false">IF($A328="","",IF($C328="","⚠ categoria",IFERROR(INDEX(Parâmetros!$E$13:$E$22,MATCH($C328,Parâmetros!$A$13:$A$22,0)),"⚠ categoria")))</f>
        <v/>
      </c>
      <c r="G328" s="35"/>
      <c r="H328" s="36" t="str">
        <f aca="false">IF($A328="","",IF(ISNUMBER($G328),$G328,IF(ISNUMBER($F328),$F328,"")))</f>
        <v/>
      </c>
      <c r="I328" s="37" t="str">
        <f aca="false">IF(OR($A328="",NOT(ISNUMBER($D328)),NOT(ISNUMBER($H328))),"",IF((1-$H328-Parâmetros!$B$7-Parâmetros!$C$7-Parâmetros!$D$7)&lt;=0,"INVALIDO",($D328+IF(ISNUMBER($E328),$E328,0)+IF(ISNUMBER(Parâmetros!$E$7),Parâmetros!$E$7,0))/(1-$H328-Parâmetros!$B$7-Parâmetros!$C$7-Parâmetros!$D$7)))</f>
        <v/>
      </c>
      <c r="J328" s="38"/>
      <c r="K328" s="39" t="str">
        <f aca="false">IF(OR($A328="",NOT(ISNUMBER($D328)),NOT(ISNUMBER($H328))),"",IF(AND(ISNUMBER($J328),$J328&gt;0),$J328,IF(ISNUMBER($I328),$I328,"")))</f>
        <v/>
      </c>
      <c r="L328" s="40" t="str">
        <f aca="false">IF(ISNUMBER($K328),$K328*$H328,"")</f>
        <v/>
      </c>
      <c r="M328" s="40" t="str">
        <f aca="false">IF(ISNUMBER($K328),$K328*Parâmetros!$B$7,"")</f>
        <v/>
      </c>
      <c r="N328" s="40" t="str">
        <f aca="false">IF(ISNUMBER($K328),$K328*Parâmetros!$C$7,"")</f>
        <v/>
      </c>
      <c r="O328" s="40" t="str">
        <f aca="false">IF(ISNUMBER($K328),IF(ISNUMBER(Parâmetros!$E$7),Parâmetros!$E$7,0),"")</f>
        <v/>
      </c>
      <c r="P328" s="41" t="str">
        <f aca="false">IF(ISNUMBER($K328),$K328-$D328-IF(ISNUMBER($E328),$E328,0)-$L328-$M328-$N328-$O328,"")</f>
        <v/>
      </c>
      <c r="Q328" s="42" t="str">
        <f aca="false">IF(AND(ISNUMBER($K328),$K328&gt;0),$P328/$K328,"")</f>
        <v/>
      </c>
      <c r="R328" s="43"/>
      <c r="S328" s="44" t="str">
        <f aca="false">IF(OR(NOT(ISNUMBER($R328)),$R328=0,NOT(ISNUMBER($K328))),"",$K328*(1-$R328))</f>
        <v/>
      </c>
      <c r="T328" s="45" t="str">
        <f aca="false">IF(ISNUMBER($S328),$S328*$H328,"")</f>
        <v/>
      </c>
      <c r="U328" s="45" t="str">
        <f aca="false">IF(ISNUMBER($S328),$S328*Parâmetros!$B$7,"")</f>
        <v/>
      </c>
      <c r="V328" s="45" t="str">
        <f aca="false">IF(ISNUMBER($S328),$S328*Parâmetros!$C$7,"")</f>
        <v/>
      </c>
      <c r="W328" s="44" t="str">
        <f aca="false">IF(ISNUMBER($S328),$S328-$D328-IF(ISNUMBER($E328),$E328,0)-$O328-$T328-$U328-$V328,"")</f>
        <v/>
      </c>
      <c r="X328" s="46" t="str">
        <f aca="false">IF(AND(ISNUMBER($S328),$S328&gt;0),$W328/$S328,"")</f>
        <v/>
      </c>
      <c r="Y328" s="47"/>
      <c r="Z328" s="19"/>
    </row>
    <row r="329" customFormat="false" ht="15.75" hidden="false" customHeight="true" outlineLevel="0" collapsed="false">
      <c r="A329" s="48" t="str">
        <f aca="false">IF(Produtos!$A329="","",Produtos!$A329)</f>
        <v/>
      </c>
      <c r="B329" s="48" t="str">
        <f aca="false">IF(Produtos!$A329="","",Produtos!$B329)</f>
        <v/>
      </c>
      <c r="C329" s="48" t="str">
        <f aca="false">IF(Produtos!$A329="","",Produtos!$C329)</f>
        <v/>
      </c>
      <c r="D329" s="33" t="str">
        <f aca="false">IF(Produtos!$A329="","",IF(Produtos!$D329="","",Produtos!$D329))</f>
        <v/>
      </c>
      <c r="E329" s="11"/>
      <c r="F329" s="34" t="str">
        <f aca="false">IF($A329="","",IF($C329="","⚠ categoria",IFERROR(INDEX(Parâmetros!$E$13:$E$22,MATCH($C329,Parâmetros!$A$13:$A$22,0)),"⚠ categoria")))</f>
        <v/>
      </c>
      <c r="G329" s="35"/>
      <c r="H329" s="36" t="str">
        <f aca="false">IF($A329="","",IF(ISNUMBER($G329),$G329,IF(ISNUMBER($F329),$F329,"")))</f>
        <v/>
      </c>
      <c r="I329" s="37" t="str">
        <f aca="false">IF(OR($A329="",NOT(ISNUMBER($D329)),NOT(ISNUMBER($H329))),"",IF((1-$H329-Parâmetros!$B$7-Parâmetros!$C$7-Parâmetros!$D$7)&lt;=0,"INVALIDO",($D329+IF(ISNUMBER($E329),$E329,0)+IF(ISNUMBER(Parâmetros!$E$7),Parâmetros!$E$7,0))/(1-$H329-Parâmetros!$B$7-Parâmetros!$C$7-Parâmetros!$D$7)))</f>
        <v/>
      </c>
      <c r="J329" s="38"/>
      <c r="K329" s="39" t="str">
        <f aca="false">IF(OR($A329="",NOT(ISNUMBER($D329)),NOT(ISNUMBER($H329))),"",IF(AND(ISNUMBER($J329),$J329&gt;0),$J329,IF(ISNUMBER($I329),$I329,"")))</f>
        <v/>
      </c>
      <c r="L329" s="40" t="str">
        <f aca="false">IF(ISNUMBER($K329),$K329*$H329,"")</f>
        <v/>
      </c>
      <c r="M329" s="40" t="str">
        <f aca="false">IF(ISNUMBER($K329),$K329*Parâmetros!$B$7,"")</f>
        <v/>
      </c>
      <c r="N329" s="40" t="str">
        <f aca="false">IF(ISNUMBER($K329),$K329*Parâmetros!$C$7,"")</f>
        <v/>
      </c>
      <c r="O329" s="40" t="str">
        <f aca="false">IF(ISNUMBER($K329),IF(ISNUMBER(Parâmetros!$E$7),Parâmetros!$E$7,0),"")</f>
        <v/>
      </c>
      <c r="P329" s="41" t="str">
        <f aca="false">IF(ISNUMBER($K329),$K329-$D329-IF(ISNUMBER($E329),$E329,0)-$L329-$M329-$N329-$O329,"")</f>
        <v/>
      </c>
      <c r="Q329" s="42" t="str">
        <f aca="false">IF(AND(ISNUMBER($K329),$K329&gt;0),$P329/$K329,"")</f>
        <v/>
      </c>
      <c r="R329" s="43"/>
      <c r="S329" s="44" t="str">
        <f aca="false">IF(OR(NOT(ISNUMBER($R329)),$R329=0,NOT(ISNUMBER($K329))),"",$K329*(1-$R329))</f>
        <v/>
      </c>
      <c r="T329" s="45" t="str">
        <f aca="false">IF(ISNUMBER($S329),$S329*$H329,"")</f>
        <v/>
      </c>
      <c r="U329" s="45" t="str">
        <f aca="false">IF(ISNUMBER($S329),$S329*Parâmetros!$B$7,"")</f>
        <v/>
      </c>
      <c r="V329" s="45" t="str">
        <f aca="false">IF(ISNUMBER($S329),$S329*Parâmetros!$C$7,"")</f>
        <v/>
      </c>
      <c r="W329" s="44" t="str">
        <f aca="false">IF(ISNUMBER($S329),$S329-$D329-IF(ISNUMBER($E329),$E329,0)-$O329-$T329-$U329-$V329,"")</f>
        <v/>
      </c>
      <c r="X329" s="46" t="str">
        <f aca="false">IF(AND(ISNUMBER($S329),$S329&gt;0),$W329/$S329,"")</f>
        <v/>
      </c>
      <c r="Y329" s="49"/>
      <c r="Z329" s="21"/>
    </row>
    <row r="330" customFormat="false" ht="15.75" hidden="false" customHeight="true" outlineLevel="0" collapsed="false">
      <c r="A330" s="32" t="str">
        <f aca="false">IF(Produtos!$A330="","",Produtos!$A330)</f>
        <v/>
      </c>
      <c r="B330" s="32" t="str">
        <f aca="false">IF(Produtos!$A330="","",Produtos!$B330)</f>
        <v/>
      </c>
      <c r="C330" s="32" t="str">
        <f aca="false">IF(Produtos!$A330="","",Produtos!$C330)</f>
        <v/>
      </c>
      <c r="D330" s="33" t="str">
        <f aca="false">IF(Produtos!$A330="","",IF(Produtos!$D330="","",Produtos!$D330))</f>
        <v/>
      </c>
      <c r="E330" s="11"/>
      <c r="F330" s="34" t="str">
        <f aca="false">IF($A330="","",IF($C330="","⚠ categoria",IFERROR(INDEX(Parâmetros!$E$13:$E$22,MATCH($C330,Parâmetros!$A$13:$A$22,0)),"⚠ categoria")))</f>
        <v/>
      </c>
      <c r="G330" s="35"/>
      <c r="H330" s="36" t="str">
        <f aca="false">IF($A330="","",IF(ISNUMBER($G330),$G330,IF(ISNUMBER($F330),$F330,"")))</f>
        <v/>
      </c>
      <c r="I330" s="37" t="str">
        <f aca="false">IF(OR($A330="",NOT(ISNUMBER($D330)),NOT(ISNUMBER($H330))),"",IF((1-$H330-Parâmetros!$B$7-Parâmetros!$C$7-Parâmetros!$D$7)&lt;=0,"INVALIDO",($D330+IF(ISNUMBER($E330),$E330,0)+IF(ISNUMBER(Parâmetros!$E$7),Parâmetros!$E$7,0))/(1-$H330-Parâmetros!$B$7-Parâmetros!$C$7-Parâmetros!$D$7)))</f>
        <v/>
      </c>
      <c r="J330" s="38"/>
      <c r="K330" s="39" t="str">
        <f aca="false">IF(OR($A330="",NOT(ISNUMBER($D330)),NOT(ISNUMBER($H330))),"",IF(AND(ISNUMBER($J330),$J330&gt;0),$J330,IF(ISNUMBER($I330),$I330,"")))</f>
        <v/>
      </c>
      <c r="L330" s="40" t="str">
        <f aca="false">IF(ISNUMBER($K330),$K330*$H330,"")</f>
        <v/>
      </c>
      <c r="M330" s="40" t="str">
        <f aca="false">IF(ISNUMBER($K330),$K330*Parâmetros!$B$7,"")</f>
        <v/>
      </c>
      <c r="N330" s="40" t="str">
        <f aca="false">IF(ISNUMBER($K330),$K330*Parâmetros!$C$7,"")</f>
        <v/>
      </c>
      <c r="O330" s="40" t="str">
        <f aca="false">IF(ISNUMBER($K330),IF(ISNUMBER(Parâmetros!$E$7),Parâmetros!$E$7,0),"")</f>
        <v/>
      </c>
      <c r="P330" s="41" t="str">
        <f aca="false">IF(ISNUMBER($K330),$K330-$D330-IF(ISNUMBER($E330),$E330,0)-$L330-$M330-$N330-$O330,"")</f>
        <v/>
      </c>
      <c r="Q330" s="42" t="str">
        <f aca="false">IF(AND(ISNUMBER($K330),$K330&gt;0),$P330/$K330,"")</f>
        <v/>
      </c>
      <c r="R330" s="43"/>
      <c r="S330" s="44" t="str">
        <f aca="false">IF(OR(NOT(ISNUMBER($R330)),$R330=0,NOT(ISNUMBER($K330))),"",$K330*(1-$R330))</f>
        <v/>
      </c>
      <c r="T330" s="45" t="str">
        <f aca="false">IF(ISNUMBER($S330),$S330*$H330,"")</f>
        <v/>
      </c>
      <c r="U330" s="45" t="str">
        <f aca="false">IF(ISNUMBER($S330),$S330*Parâmetros!$B$7,"")</f>
        <v/>
      </c>
      <c r="V330" s="45" t="str">
        <f aca="false">IF(ISNUMBER($S330),$S330*Parâmetros!$C$7,"")</f>
        <v/>
      </c>
      <c r="W330" s="44" t="str">
        <f aca="false">IF(ISNUMBER($S330),$S330-$D330-IF(ISNUMBER($E330),$E330,0)-$O330-$T330-$U330-$V330,"")</f>
        <v/>
      </c>
      <c r="X330" s="46" t="str">
        <f aca="false">IF(AND(ISNUMBER($S330),$S330&gt;0),$W330/$S330,"")</f>
        <v/>
      </c>
      <c r="Y330" s="47"/>
      <c r="Z330" s="19"/>
    </row>
    <row r="331" customFormat="false" ht="15.75" hidden="false" customHeight="true" outlineLevel="0" collapsed="false">
      <c r="A331" s="48" t="str">
        <f aca="false">IF(Produtos!$A331="","",Produtos!$A331)</f>
        <v/>
      </c>
      <c r="B331" s="48" t="str">
        <f aca="false">IF(Produtos!$A331="","",Produtos!$B331)</f>
        <v/>
      </c>
      <c r="C331" s="48" t="str">
        <f aca="false">IF(Produtos!$A331="","",Produtos!$C331)</f>
        <v/>
      </c>
      <c r="D331" s="33" t="str">
        <f aca="false">IF(Produtos!$A331="","",IF(Produtos!$D331="","",Produtos!$D331))</f>
        <v/>
      </c>
      <c r="E331" s="11"/>
      <c r="F331" s="34" t="str">
        <f aca="false">IF($A331="","",IF($C331="","⚠ categoria",IFERROR(INDEX(Parâmetros!$E$13:$E$22,MATCH($C331,Parâmetros!$A$13:$A$22,0)),"⚠ categoria")))</f>
        <v/>
      </c>
      <c r="G331" s="35"/>
      <c r="H331" s="36" t="str">
        <f aca="false">IF($A331="","",IF(ISNUMBER($G331),$G331,IF(ISNUMBER($F331),$F331,"")))</f>
        <v/>
      </c>
      <c r="I331" s="37" t="str">
        <f aca="false">IF(OR($A331="",NOT(ISNUMBER($D331)),NOT(ISNUMBER($H331))),"",IF((1-$H331-Parâmetros!$B$7-Parâmetros!$C$7-Parâmetros!$D$7)&lt;=0,"INVALIDO",($D331+IF(ISNUMBER($E331),$E331,0)+IF(ISNUMBER(Parâmetros!$E$7),Parâmetros!$E$7,0))/(1-$H331-Parâmetros!$B$7-Parâmetros!$C$7-Parâmetros!$D$7)))</f>
        <v/>
      </c>
      <c r="J331" s="38"/>
      <c r="K331" s="39" t="str">
        <f aca="false">IF(OR($A331="",NOT(ISNUMBER($D331)),NOT(ISNUMBER($H331))),"",IF(AND(ISNUMBER($J331),$J331&gt;0),$J331,IF(ISNUMBER($I331),$I331,"")))</f>
        <v/>
      </c>
      <c r="L331" s="40" t="str">
        <f aca="false">IF(ISNUMBER($K331),$K331*$H331,"")</f>
        <v/>
      </c>
      <c r="M331" s="40" t="str">
        <f aca="false">IF(ISNUMBER($K331),$K331*Parâmetros!$B$7,"")</f>
        <v/>
      </c>
      <c r="N331" s="40" t="str">
        <f aca="false">IF(ISNUMBER($K331),$K331*Parâmetros!$C$7,"")</f>
        <v/>
      </c>
      <c r="O331" s="40" t="str">
        <f aca="false">IF(ISNUMBER($K331),IF(ISNUMBER(Parâmetros!$E$7),Parâmetros!$E$7,0),"")</f>
        <v/>
      </c>
      <c r="P331" s="41" t="str">
        <f aca="false">IF(ISNUMBER($K331),$K331-$D331-IF(ISNUMBER($E331),$E331,0)-$L331-$M331-$N331-$O331,"")</f>
        <v/>
      </c>
      <c r="Q331" s="42" t="str">
        <f aca="false">IF(AND(ISNUMBER($K331),$K331&gt;0),$P331/$K331,"")</f>
        <v/>
      </c>
      <c r="R331" s="43"/>
      <c r="S331" s="44" t="str">
        <f aca="false">IF(OR(NOT(ISNUMBER($R331)),$R331=0,NOT(ISNUMBER($K331))),"",$K331*(1-$R331))</f>
        <v/>
      </c>
      <c r="T331" s="45" t="str">
        <f aca="false">IF(ISNUMBER($S331),$S331*$H331,"")</f>
        <v/>
      </c>
      <c r="U331" s="45" t="str">
        <f aca="false">IF(ISNUMBER($S331),$S331*Parâmetros!$B$7,"")</f>
        <v/>
      </c>
      <c r="V331" s="45" t="str">
        <f aca="false">IF(ISNUMBER($S331),$S331*Parâmetros!$C$7,"")</f>
        <v/>
      </c>
      <c r="W331" s="44" t="str">
        <f aca="false">IF(ISNUMBER($S331),$S331-$D331-IF(ISNUMBER($E331),$E331,0)-$O331-$T331-$U331-$V331,"")</f>
        <v/>
      </c>
      <c r="X331" s="46" t="str">
        <f aca="false">IF(AND(ISNUMBER($S331),$S331&gt;0),$W331/$S331,"")</f>
        <v/>
      </c>
      <c r="Y331" s="49"/>
      <c r="Z331" s="21"/>
    </row>
    <row r="332" customFormat="false" ht="15.75" hidden="false" customHeight="true" outlineLevel="0" collapsed="false">
      <c r="A332" s="32" t="str">
        <f aca="false">IF(Produtos!$A332="","",Produtos!$A332)</f>
        <v/>
      </c>
      <c r="B332" s="32" t="str">
        <f aca="false">IF(Produtos!$A332="","",Produtos!$B332)</f>
        <v/>
      </c>
      <c r="C332" s="32" t="str">
        <f aca="false">IF(Produtos!$A332="","",Produtos!$C332)</f>
        <v/>
      </c>
      <c r="D332" s="33" t="str">
        <f aca="false">IF(Produtos!$A332="","",IF(Produtos!$D332="","",Produtos!$D332))</f>
        <v/>
      </c>
      <c r="E332" s="11"/>
      <c r="F332" s="34" t="str">
        <f aca="false">IF($A332="","",IF($C332="","⚠ categoria",IFERROR(INDEX(Parâmetros!$E$13:$E$22,MATCH($C332,Parâmetros!$A$13:$A$22,0)),"⚠ categoria")))</f>
        <v/>
      </c>
      <c r="G332" s="35"/>
      <c r="H332" s="36" t="str">
        <f aca="false">IF($A332="","",IF(ISNUMBER($G332),$G332,IF(ISNUMBER($F332),$F332,"")))</f>
        <v/>
      </c>
      <c r="I332" s="37" t="str">
        <f aca="false">IF(OR($A332="",NOT(ISNUMBER($D332)),NOT(ISNUMBER($H332))),"",IF((1-$H332-Parâmetros!$B$7-Parâmetros!$C$7-Parâmetros!$D$7)&lt;=0,"INVALIDO",($D332+IF(ISNUMBER($E332),$E332,0)+IF(ISNUMBER(Parâmetros!$E$7),Parâmetros!$E$7,0))/(1-$H332-Parâmetros!$B$7-Parâmetros!$C$7-Parâmetros!$D$7)))</f>
        <v/>
      </c>
      <c r="J332" s="38"/>
      <c r="K332" s="39" t="str">
        <f aca="false">IF(OR($A332="",NOT(ISNUMBER($D332)),NOT(ISNUMBER($H332))),"",IF(AND(ISNUMBER($J332),$J332&gt;0),$J332,IF(ISNUMBER($I332),$I332,"")))</f>
        <v/>
      </c>
      <c r="L332" s="40" t="str">
        <f aca="false">IF(ISNUMBER($K332),$K332*$H332,"")</f>
        <v/>
      </c>
      <c r="M332" s="40" t="str">
        <f aca="false">IF(ISNUMBER($K332),$K332*Parâmetros!$B$7,"")</f>
        <v/>
      </c>
      <c r="N332" s="40" t="str">
        <f aca="false">IF(ISNUMBER($K332),$K332*Parâmetros!$C$7,"")</f>
        <v/>
      </c>
      <c r="O332" s="40" t="str">
        <f aca="false">IF(ISNUMBER($K332),IF(ISNUMBER(Parâmetros!$E$7),Parâmetros!$E$7,0),"")</f>
        <v/>
      </c>
      <c r="P332" s="41" t="str">
        <f aca="false">IF(ISNUMBER($K332),$K332-$D332-IF(ISNUMBER($E332),$E332,0)-$L332-$M332-$N332-$O332,"")</f>
        <v/>
      </c>
      <c r="Q332" s="42" t="str">
        <f aca="false">IF(AND(ISNUMBER($K332),$K332&gt;0),$P332/$K332,"")</f>
        <v/>
      </c>
      <c r="R332" s="43"/>
      <c r="S332" s="44" t="str">
        <f aca="false">IF(OR(NOT(ISNUMBER($R332)),$R332=0,NOT(ISNUMBER($K332))),"",$K332*(1-$R332))</f>
        <v/>
      </c>
      <c r="T332" s="45" t="str">
        <f aca="false">IF(ISNUMBER($S332),$S332*$H332,"")</f>
        <v/>
      </c>
      <c r="U332" s="45" t="str">
        <f aca="false">IF(ISNUMBER($S332),$S332*Parâmetros!$B$7,"")</f>
        <v/>
      </c>
      <c r="V332" s="45" t="str">
        <f aca="false">IF(ISNUMBER($S332),$S332*Parâmetros!$C$7,"")</f>
        <v/>
      </c>
      <c r="W332" s="44" t="str">
        <f aca="false">IF(ISNUMBER($S332),$S332-$D332-IF(ISNUMBER($E332),$E332,0)-$O332-$T332-$U332-$V332,"")</f>
        <v/>
      </c>
      <c r="X332" s="46" t="str">
        <f aca="false">IF(AND(ISNUMBER($S332),$S332&gt;0),$W332/$S332,"")</f>
        <v/>
      </c>
      <c r="Y332" s="47"/>
      <c r="Z332" s="19"/>
    </row>
    <row r="333" customFormat="false" ht="15.75" hidden="false" customHeight="true" outlineLevel="0" collapsed="false">
      <c r="A333" s="48" t="str">
        <f aca="false">IF(Produtos!$A333="","",Produtos!$A333)</f>
        <v/>
      </c>
      <c r="B333" s="48" t="str">
        <f aca="false">IF(Produtos!$A333="","",Produtos!$B333)</f>
        <v/>
      </c>
      <c r="C333" s="48" t="str">
        <f aca="false">IF(Produtos!$A333="","",Produtos!$C333)</f>
        <v/>
      </c>
      <c r="D333" s="33" t="str">
        <f aca="false">IF(Produtos!$A333="","",IF(Produtos!$D333="","",Produtos!$D333))</f>
        <v/>
      </c>
      <c r="E333" s="11"/>
      <c r="F333" s="34" t="str">
        <f aca="false">IF($A333="","",IF($C333="","⚠ categoria",IFERROR(INDEX(Parâmetros!$E$13:$E$22,MATCH($C333,Parâmetros!$A$13:$A$22,0)),"⚠ categoria")))</f>
        <v/>
      </c>
      <c r="G333" s="35"/>
      <c r="H333" s="36" t="str">
        <f aca="false">IF($A333="","",IF(ISNUMBER($G333),$G333,IF(ISNUMBER($F333),$F333,"")))</f>
        <v/>
      </c>
      <c r="I333" s="37" t="str">
        <f aca="false">IF(OR($A333="",NOT(ISNUMBER($D333)),NOT(ISNUMBER($H333))),"",IF((1-$H333-Parâmetros!$B$7-Parâmetros!$C$7-Parâmetros!$D$7)&lt;=0,"INVALIDO",($D333+IF(ISNUMBER($E333),$E333,0)+IF(ISNUMBER(Parâmetros!$E$7),Parâmetros!$E$7,0))/(1-$H333-Parâmetros!$B$7-Parâmetros!$C$7-Parâmetros!$D$7)))</f>
        <v/>
      </c>
      <c r="J333" s="38"/>
      <c r="K333" s="39" t="str">
        <f aca="false">IF(OR($A333="",NOT(ISNUMBER($D333)),NOT(ISNUMBER($H333))),"",IF(AND(ISNUMBER($J333),$J333&gt;0),$J333,IF(ISNUMBER($I333),$I333,"")))</f>
        <v/>
      </c>
      <c r="L333" s="40" t="str">
        <f aca="false">IF(ISNUMBER($K333),$K333*$H333,"")</f>
        <v/>
      </c>
      <c r="M333" s="40" t="str">
        <f aca="false">IF(ISNUMBER($K333),$K333*Parâmetros!$B$7,"")</f>
        <v/>
      </c>
      <c r="N333" s="40" t="str">
        <f aca="false">IF(ISNUMBER($K333),$K333*Parâmetros!$C$7,"")</f>
        <v/>
      </c>
      <c r="O333" s="40" t="str">
        <f aca="false">IF(ISNUMBER($K333),IF(ISNUMBER(Parâmetros!$E$7),Parâmetros!$E$7,0),"")</f>
        <v/>
      </c>
      <c r="P333" s="41" t="str">
        <f aca="false">IF(ISNUMBER($K333),$K333-$D333-IF(ISNUMBER($E333),$E333,0)-$L333-$M333-$N333-$O333,"")</f>
        <v/>
      </c>
      <c r="Q333" s="42" t="str">
        <f aca="false">IF(AND(ISNUMBER($K333),$K333&gt;0),$P333/$K333,"")</f>
        <v/>
      </c>
      <c r="R333" s="43"/>
      <c r="S333" s="44" t="str">
        <f aca="false">IF(OR(NOT(ISNUMBER($R333)),$R333=0,NOT(ISNUMBER($K333))),"",$K333*(1-$R333))</f>
        <v/>
      </c>
      <c r="T333" s="45" t="str">
        <f aca="false">IF(ISNUMBER($S333),$S333*$H333,"")</f>
        <v/>
      </c>
      <c r="U333" s="45" t="str">
        <f aca="false">IF(ISNUMBER($S333),$S333*Parâmetros!$B$7,"")</f>
        <v/>
      </c>
      <c r="V333" s="45" t="str">
        <f aca="false">IF(ISNUMBER($S333),$S333*Parâmetros!$C$7,"")</f>
        <v/>
      </c>
      <c r="W333" s="44" t="str">
        <f aca="false">IF(ISNUMBER($S333),$S333-$D333-IF(ISNUMBER($E333),$E333,0)-$O333-$T333-$U333-$V333,"")</f>
        <v/>
      </c>
      <c r="X333" s="46" t="str">
        <f aca="false">IF(AND(ISNUMBER($S333),$S333&gt;0),$W333/$S333,"")</f>
        <v/>
      </c>
      <c r="Y333" s="49"/>
      <c r="Z333" s="21"/>
    </row>
    <row r="334" customFormat="false" ht="15.75" hidden="false" customHeight="true" outlineLevel="0" collapsed="false">
      <c r="A334" s="32" t="str">
        <f aca="false">IF(Produtos!$A334="","",Produtos!$A334)</f>
        <v/>
      </c>
      <c r="B334" s="32" t="str">
        <f aca="false">IF(Produtos!$A334="","",Produtos!$B334)</f>
        <v/>
      </c>
      <c r="C334" s="32" t="str">
        <f aca="false">IF(Produtos!$A334="","",Produtos!$C334)</f>
        <v/>
      </c>
      <c r="D334" s="33" t="str">
        <f aca="false">IF(Produtos!$A334="","",IF(Produtos!$D334="","",Produtos!$D334))</f>
        <v/>
      </c>
      <c r="E334" s="11"/>
      <c r="F334" s="34" t="str">
        <f aca="false">IF($A334="","",IF($C334="","⚠ categoria",IFERROR(INDEX(Parâmetros!$E$13:$E$22,MATCH($C334,Parâmetros!$A$13:$A$22,0)),"⚠ categoria")))</f>
        <v/>
      </c>
      <c r="G334" s="35"/>
      <c r="H334" s="36" t="str">
        <f aca="false">IF($A334="","",IF(ISNUMBER($G334),$G334,IF(ISNUMBER($F334),$F334,"")))</f>
        <v/>
      </c>
      <c r="I334" s="37" t="str">
        <f aca="false">IF(OR($A334="",NOT(ISNUMBER($D334)),NOT(ISNUMBER($H334))),"",IF((1-$H334-Parâmetros!$B$7-Parâmetros!$C$7-Parâmetros!$D$7)&lt;=0,"INVALIDO",($D334+IF(ISNUMBER($E334),$E334,0)+IF(ISNUMBER(Parâmetros!$E$7),Parâmetros!$E$7,0))/(1-$H334-Parâmetros!$B$7-Parâmetros!$C$7-Parâmetros!$D$7)))</f>
        <v/>
      </c>
      <c r="J334" s="38"/>
      <c r="K334" s="39" t="str">
        <f aca="false">IF(OR($A334="",NOT(ISNUMBER($D334)),NOT(ISNUMBER($H334))),"",IF(AND(ISNUMBER($J334),$J334&gt;0),$J334,IF(ISNUMBER($I334),$I334,"")))</f>
        <v/>
      </c>
      <c r="L334" s="40" t="str">
        <f aca="false">IF(ISNUMBER($K334),$K334*$H334,"")</f>
        <v/>
      </c>
      <c r="M334" s="40" t="str">
        <f aca="false">IF(ISNUMBER($K334),$K334*Parâmetros!$B$7,"")</f>
        <v/>
      </c>
      <c r="N334" s="40" t="str">
        <f aca="false">IF(ISNUMBER($K334),$K334*Parâmetros!$C$7,"")</f>
        <v/>
      </c>
      <c r="O334" s="40" t="str">
        <f aca="false">IF(ISNUMBER($K334),IF(ISNUMBER(Parâmetros!$E$7),Parâmetros!$E$7,0),"")</f>
        <v/>
      </c>
      <c r="P334" s="41" t="str">
        <f aca="false">IF(ISNUMBER($K334),$K334-$D334-IF(ISNUMBER($E334),$E334,0)-$L334-$M334-$N334-$O334,"")</f>
        <v/>
      </c>
      <c r="Q334" s="42" t="str">
        <f aca="false">IF(AND(ISNUMBER($K334),$K334&gt;0),$P334/$K334,"")</f>
        <v/>
      </c>
      <c r="R334" s="43"/>
      <c r="S334" s="44" t="str">
        <f aca="false">IF(OR(NOT(ISNUMBER($R334)),$R334=0,NOT(ISNUMBER($K334))),"",$K334*(1-$R334))</f>
        <v/>
      </c>
      <c r="T334" s="45" t="str">
        <f aca="false">IF(ISNUMBER($S334),$S334*$H334,"")</f>
        <v/>
      </c>
      <c r="U334" s="45" t="str">
        <f aca="false">IF(ISNUMBER($S334),$S334*Parâmetros!$B$7,"")</f>
        <v/>
      </c>
      <c r="V334" s="45" t="str">
        <f aca="false">IF(ISNUMBER($S334),$S334*Parâmetros!$C$7,"")</f>
        <v/>
      </c>
      <c r="W334" s="44" t="str">
        <f aca="false">IF(ISNUMBER($S334),$S334-$D334-IF(ISNUMBER($E334),$E334,0)-$O334-$T334-$U334-$V334,"")</f>
        <v/>
      </c>
      <c r="X334" s="46" t="str">
        <f aca="false">IF(AND(ISNUMBER($S334),$S334&gt;0),$W334/$S334,"")</f>
        <v/>
      </c>
      <c r="Y334" s="47"/>
      <c r="Z334" s="19"/>
    </row>
    <row r="335" customFormat="false" ht="15.75" hidden="false" customHeight="true" outlineLevel="0" collapsed="false">
      <c r="A335" s="48" t="str">
        <f aca="false">IF(Produtos!$A335="","",Produtos!$A335)</f>
        <v/>
      </c>
      <c r="B335" s="48" t="str">
        <f aca="false">IF(Produtos!$A335="","",Produtos!$B335)</f>
        <v/>
      </c>
      <c r="C335" s="48" t="str">
        <f aca="false">IF(Produtos!$A335="","",Produtos!$C335)</f>
        <v/>
      </c>
      <c r="D335" s="33" t="str">
        <f aca="false">IF(Produtos!$A335="","",IF(Produtos!$D335="","",Produtos!$D335))</f>
        <v/>
      </c>
      <c r="E335" s="11"/>
      <c r="F335" s="34" t="str">
        <f aca="false">IF($A335="","",IF($C335="","⚠ categoria",IFERROR(INDEX(Parâmetros!$E$13:$E$22,MATCH($C335,Parâmetros!$A$13:$A$22,0)),"⚠ categoria")))</f>
        <v/>
      </c>
      <c r="G335" s="35"/>
      <c r="H335" s="36" t="str">
        <f aca="false">IF($A335="","",IF(ISNUMBER($G335),$G335,IF(ISNUMBER($F335),$F335,"")))</f>
        <v/>
      </c>
      <c r="I335" s="37" t="str">
        <f aca="false">IF(OR($A335="",NOT(ISNUMBER($D335)),NOT(ISNUMBER($H335))),"",IF((1-$H335-Parâmetros!$B$7-Parâmetros!$C$7-Parâmetros!$D$7)&lt;=0,"INVALIDO",($D335+IF(ISNUMBER($E335),$E335,0)+IF(ISNUMBER(Parâmetros!$E$7),Parâmetros!$E$7,0))/(1-$H335-Parâmetros!$B$7-Parâmetros!$C$7-Parâmetros!$D$7)))</f>
        <v/>
      </c>
      <c r="J335" s="38"/>
      <c r="K335" s="39" t="str">
        <f aca="false">IF(OR($A335="",NOT(ISNUMBER($D335)),NOT(ISNUMBER($H335))),"",IF(AND(ISNUMBER($J335),$J335&gt;0),$J335,IF(ISNUMBER($I335),$I335,"")))</f>
        <v/>
      </c>
      <c r="L335" s="40" t="str">
        <f aca="false">IF(ISNUMBER($K335),$K335*$H335,"")</f>
        <v/>
      </c>
      <c r="M335" s="40" t="str">
        <f aca="false">IF(ISNUMBER($K335),$K335*Parâmetros!$B$7,"")</f>
        <v/>
      </c>
      <c r="N335" s="40" t="str">
        <f aca="false">IF(ISNUMBER($K335),$K335*Parâmetros!$C$7,"")</f>
        <v/>
      </c>
      <c r="O335" s="40" t="str">
        <f aca="false">IF(ISNUMBER($K335),IF(ISNUMBER(Parâmetros!$E$7),Parâmetros!$E$7,0),"")</f>
        <v/>
      </c>
      <c r="P335" s="41" t="str">
        <f aca="false">IF(ISNUMBER($K335),$K335-$D335-IF(ISNUMBER($E335),$E335,0)-$L335-$M335-$N335-$O335,"")</f>
        <v/>
      </c>
      <c r="Q335" s="42" t="str">
        <f aca="false">IF(AND(ISNUMBER($K335),$K335&gt;0),$P335/$K335,"")</f>
        <v/>
      </c>
      <c r="R335" s="43"/>
      <c r="S335" s="44" t="str">
        <f aca="false">IF(OR(NOT(ISNUMBER($R335)),$R335=0,NOT(ISNUMBER($K335))),"",$K335*(1-$R335))</f>
        <v/>
      </c>
      <c r="T335" s="45" t="str">
        <f aca="false">IF(ISNUMBER($S335),$S335*$H335,"")</f>
        <v/>
      </c>
      <c r="U335" s="45" t="str">
        <f aca="false">IF(ISNUMBER($S335),$S335*Parâmetros!$B$7,"")</f>
        <v/>
      </c>
      <c r="V335" s="45" t="str">
        <f aca="false">IF(ISNUMBER($S335),$S335*Parâmetros!$C$7,"")</f>
        <v/>
      </c>
      <c r="W335" s="44" t="str">
        <f aca="false">IF(ISNUMBER($S335),$S335-$D335-IF(ISNUMBER($E335),$E335,0)-$O335-$T335-$U335-$V335,"")</f>
        <v/>
      </c>
      <c r="X335" s="46" t="str">
        <f aca="false">IF(AND(ISNUMBER($S335),$S335&gt;0),$W335/$S335,"")</f>
        <v/>
      </c>
      <c r="Y335" s="49"/>
      <c r="Z335" s="21"/>
    </row>
    <row r="336" customFormat="false" ht="15.75" hidden="false" customHeight="true" outlineLevel="0" collapsed="false">
      <c r="A336" s="32" t="str">
        <f aca="false">IF(Produtos!$A336="","",Produtos!$A336)</f>
        <v/>
      </c>
      <c r="B336" s="32" t="str">
        <f aca="false">IF(Produtos!$A336="","",Produtos!$B336)</f>
        <v/>
      </c>
      <c r="C336" s="32" t="str">
        <f aca="false">IF(Produtos!$A336="","",Produtos!$C336)</f>
        <v/>
      </c>
      <c r="D336" s="33" t="str">
        <f aca="false">IF(Produtos!$A336="","",IF(Produtos!$D336="","",Produtos!$D336))</f>
        <v/>
      </c>
      <c r="E336" s="11"/>
      <c r="F336" s="34" t="str">
        <f aca="false">IF($A336="","",IF($C336="","⚠ categoria",IFERROR(INDEX(Parâmetros!$E$13:$E$22,MATCH($C336,Parâmetros!$A$13:$A$22,0)),"⚠ categoria")))</f>
        <v/>
      </c>
      <c r="G336" s="35"/>
      <c r="H336" s="36" t="str">
        <f aca="false">IF($A336="","",IF(ISNUMBER($G336),$G336,IF(ISNUMBER($F336),$F336,"")))</f>
        <v/>
      </c>
      <c r="I336" s="37" t="str">
        <f aca="false">IF(OR($A336="",NOT(ISNUMBER($D336)),NOT(ISNUMBER($H336))),"",IF((1-$H336-Parâmetros!$B$7-Parâmetros!$C$7-Parâmetros!$D$7)&lt;=0,"INVALIDO",($D336+IF(ISNUMBER($E336),$E336,0)+IF(ISNUMBER(Parâmetros!$E$7),Parâmetros!$E$7,0))/(1-$H336-Parâmetros!$B$7-Parâmetros!$C$7-Parâmetros!$D$7)))</f>
        <v/>
      </c>
      <c r="J336" s="38"/>
      <c r="K336" s="39" t="str">
        <f aca="false">IF(OR($A336="",NOT(ISNUMBER($D336)),NOT(ISNUMBER($H336))),"",IF(AND(ISNUMBER($J336),$J336&gt;0),$J336,IF(ISNUMBER($I336),$I336,"")))</f>
        <v/>
      </c>
      <c r="L336" s="40" t="str">
        <f aca="false">IF(ISNUMBER($K336),$K336*$H336,"")</f>
        <v/>
      </c>
      <c r="M336" s="40" t="str">
        <f aca="false">IF(ISNUMBER($K336),$K336*Parâmetros!$B$7,"")</f>
        <v/>
      </c>
      <c r="N336" s="40" t="str">
        <f aca="false">IF(ISNUMBER($K336),$K336*Parâmetros!$C$7,"")</f>
        <v/>
      </c>
      <c r="O336" s="40" t="str">
        <f aca="false">IF(ISNUMBER($K336),IF(ISNUMBER(Parâmetros!$E$7),Parâmetros!$E$7,0),"")</f>
        <v/>
      </c>
      <c r="P336" s="41" t="str">
        <f aca="false">IF(ISNUMBER($K336),$K336-$D336-IF(ISNUMBER($E336),$E336,0)-$L336-$M336-$N336-$O336,"")</f>
        <v/>
      </c>
      <c r="Q336" s="42" t="str">
        <f aca="false">IF(AND(ISNUMBER($K336),$K336&gt;0),$P336/$K336,"")</f>
        <v/>
      </c>
      <c r="R336" s="43"/>
      <c r="S336" s="44" t="str">
        <f aca="false">IF(OR(NOT(ISNUMBER($R336)),$R336=0,NOT(ISNUMBER($K336))),"",$K336*(1-$R336))</f>
        <v/>
      </c>
      <c r="T336" s="45" t="str">
        <f aca="false">IF(ISNUMBER($S336),$S336*$H336,"")</f>
        <v/>
      </c>
      <c r="U336" s="45" t="str">
        <f aca="false">IF(ISNUMBER($S336),$S336*Parâmetros!$B$7,"")</f>
        <v/>
      </c>
      <c r="V336" s="45" t="str">
        <f aca="false">IF(ISNUMBER($S336),$S336*Parâmetros!$C$7,"")</f>
        <v/>
      </c>
      <c r="W336" s="44" t="str">
        <f aca="false">IF(ISNUMBER($S336),$S336-$D336-IF(ISNUMBER($E336),$E336,0)-$O336-$T336-$U336-$V336,"")</f>
        <v/>
      </c>
      <c r="X336" s="46" t="str">
        <f aca="false">IF(AND(ISNUMBER($S336),$S336&gt;0),$W336/$S336,"")</f>
        <v/>
      </c>
      <c r="Y336" s="47"/>
      <c r="Z336" s="19"/>
    </row>
    <row r="337" customFormat="false" ht="15.75" hidden="false" customHeight="true" outlineLevel="0" collapsed="false">
      <c r="A337" s="48" t="str">
        <f aca="false">IF(Produtos!$A337="","",Produtos!$A337)</f>
        <v/>
      </c>
      <c r="B337" s="48" t="str">
        <f aca="false">IF(Produtos!$A337="","",Produtos!$B337)</f>
        <v/>
      </c>
      <c r="C337" s="48" t="str">
        <f aca="false">IF(Produtos!$A337="","",Produtos!$C337)</f>
        <v/>
      </c>
      <c r="D337" s="33" t="str">
        <f aca="false">IF(Produtos!$A337="","",IF(Produtos!$D337="","",Produtos!$D337))</f>
        <v/>
      </c>
      <c r="E337" s="11"/>
      <c r="F337" s="34" t="str">
        <f aca="false">IF($A337="","",IF($C337="","⚠ categoria",IFERROR(INDEX(Parâmetros!$E$13:$E$22,MATCH($C337,Parâmetros!$A$13:$A$22,0)),"⚠ categoria")))</f>
        <v/>
      </c>
      <c r="G337" s="35"/>
      <c r="H337" s="36" t="str">
        <f aca="false">IF($A337="","",IF(ISNUMBER($G337),$G337,IF(ISNUMBER($F337),$F337,"")))</f>
        <v/>
      </c>
      <c r="I337" s="37" t="str">
        <f aca="false">IF(OR($A337="",NOT(ISNUMBER($D337)),NOT(ISNUMBER($H337))),"",IF((1-$H337-Parâmetros!$B$7-Parâmetros!$C$7-Parâmetros!$D$7)&lt;=0,"INVALIDO",($D337+IF(ISNUMBER($E337),$E337,0)+IF(ISNUMBER(Parâmetros!$E$7),Parâmetros!$E$7,0))/(1-$H337-Parâmetros!$B$7-Parâmetros!$C$7-Parâmetros!$D$7)))</f>
        <v/>
      </c>
      <c r="J337" s="38"/>
      <c r="K337" s="39" t="str">
        <f aca="false">IF(OR($A337="",NOT(ISNUMBER($D337)),NOT(ISNUMBER($H337))),"",IF(AND(ISNUMBER($J337),$J337&gt;0),$J337,IF(ISNUMBER($I337),$I337,"")))</f>
        <v/>
      </c>
      <c r="L337" s="40" t="str">
        <f aca="false">IF(ISNUMBER($K337),$K337*$H337,"")</f>
        <v/>
      </c>
      <c r="M337" s="40" t="str">
        <f aca="false">IF(ISNUMBER($K337),$K337*Parâmetros!$B$7,"")</f>
        <v/>
      </c>
      <c r="N337" s="40" t="str">
        <f aca="false">IF(ISNUMBER($K337),$K337*Parâmetros!$C$7,"")</f>
        <v/>
      </c>
      <c r="O337" s="40" t="str">
        <f aca="false">IF(ISNUMBER($K337),IF(ISNUMBER(Parâmetros!$E$7),Parâmetros!$E$7,0),"")</f>
        <v/>
      </c>
      <c r="P337" s="41" t="str">
        <f aca="false">IF(ISNUMBER($K337),$K337-$D337-IF(ISNUMBER($E337),$E337,0)-$L337-$M337-$N337-$O337,"")</f>
        <v/>
      </c>
      <c r="Q337" s="42" t="str">
        <f aca="false">IF(AND(ISNUMBER($K337),$K337&gt;0),$P337/$K337,"")</f>
        <v/>
      </c>
      <c r="R337" s="43"/>
      <c r="S337" s="44" t="str">
        <f aca="false">IF(OR(NOT(ISNUMBER($R337)),$R337=0,NOT(ISNUMBER($K337))),"",$K337*(1-$R337))</f>
        <v/>
      </c>
      <c r="T337" s="45" t="str">
        <f aca="false">IF(ISNUMBER($S337),$S337*$H337,"")</f>
        <v/>
      </c>
      <c r="U337" s="45" t="str">
        <f aca="false">IF(ISNUMBER($S337),$S337*Parâmetros!$B$7,"")</f>
        <v/>
      </c>
      <c r="V337" s="45" t="str">
        <f aca="false">IF(ISNUMBER($S337),$S337*Parâmetros!$C$7,"")</f>
        <v/>
      </c>
      <c r="W337" s="44" t="str">
        <f aca="false">IF(ISNUMBER($S337),$S337-$D337-IF(ISNUMBER($E337),$E337,0)-$O337-$T337-$U337-$V337,"")</f>
        <v/>
      </c>
      <c r="X337" s="46" t="str">
        <f aca="false">IF(AND(ISNUMBER($S337),$S337&gt;0),$W337/$S337,"")</f>
        <v/>
      </c>
      <c r="Y337" s="49"/>
      <c r="Z337" s="21"/>
    </row>
    <row r="338" customFormat="false" ht="15.75" hidden="false" customHeight="true" outlineLevel="0" collapsed="false">
      <c r="A338" s="32" t="str">
        <f aca="false">IF(Produtos!$A338="","",Produtos!$A338)</f>
        <v/>
      </c>
      <c r="B338" s="32" t="str">
        <f aca="false">IF(Produtos!$A338="","",Produtos!$B338)</f>
        <v/>
      </c>
      <c r="C338" s="32" t="str">
        <f aca="false">IF(Produtos!$A338="","",Produtos!$C338)</f>
        <v/>
      </c>
      <c r="D338" s="33" t="str">
        <f aca="false">IF(Produtos!$A338="","",IF(Produtos!$D338="","",Produtos!$D338))</f>
        <v/>
      </c>
      <c r="E338" s="11"/>
      <c r="F338" s="34" t="str">
        <f aca="false">IF($A338="","",IF($C338="","⚠ categoria",IFERROR(INDEX(Parâmetros!$E$13:$E$22,MATCH($C338,Parâmetros!$A$13:$A$22,0)),"⚠ categoria")))</f>
        <v/>
      </c>
      <c r="G338" s="35"/>
      <c r="H338" s="36" t="str">
        <f aca="false">IF($A338="","",IF(ISNUMBER($G338),$G338,IF(ISNUMBER($F338),$F338,"")))</f>
        <v/>
      </c>
      <c r="I338" s="37" t="str">
        <f aca="false">IF(OR($A338="",NOT(ISNUMBER($D338)),NOT(ISNUMBER($H338))),"",IF((1-$H338-Parâmetros!$B$7-Parâmetros!$C$7-Parâmetros!$D$7)&lt;=0,"INVALIDO",($D338+IF(ISNUMBER($E338),$E338,0)+IF(ISNUMBER(Parâmetros!$E$7),Parâmetros!$E$7,0))/(1-$H338-Parâmetros!$B$7-Parâmetros!$C$7-Parâmetros!$D$7)))</f>
        <v/>
      </c>
      <c r="J338" s="38"/>
      <c r="K338" s="39" t="str">
        <f aca="false">IF(OR($A338="",NOT(ISNUMBER($D338)),NOT(ISNUMBER($H338))),"",IF(AND(ISNUMBER($J338),$J338&gt;0),$J338,IF(ISNUMBER($I338),$I338,"")))</f>
        <v/>
      </c>
      <c r="L338" s="40" t="str">
        <f aca="false">IF(ISNUMBER($K338),$K338*$H338,"")</f>
        <v/>
      </c>
      <c r="M338" s="40" t="str">
        <f aca="false">IF(ISNUMBER($K338),$K338*Parâmetros!$B$7,"")</f>
        <v/>
      </c>
      <c r="N338" s="40" t="str">
        <f aca="false">IF(ISNUMBER($K338),$K338*Parâmetros!$C$7,"")</f>
        <v/>
      </c>
      <c r="O338" s="40" t="str">
        <f aca="false">IF(ISNUMBER($K338),IF(ISNUMBER(Parâmetros!$E$7),Parâmetros!$E$7,0),"")</f>
        <v/>
      </c>
      <c r="P338" s="41" t="str">
        <f aca="false">IF(ISNUMBER($K338),$K338-$D338-IF(ISNUMBER($E338),$E338,0)-$L338-$M338-$N338-$O338,"")</f>
        <v/>
      </c>
      <c r="Q338" s="42" t="str">
        <f aca="false">IF(AND(ISNUMBER($K338),$K338&gt;0),$P338/$K338,"")</f>
        <v/>
      </c>
      <c r="R338" s="43"/>
      <c r="S338" s="44" t="str">
        <f aca="false">IF(OR(NOT(ISNUMBER($R338)),$R338=0,NOT(ISNUMBER($K338))),"",$K338*(1-$R338))</f>
        <v/>
      </c>
      <c r="T338" s="45" t="str">
        <f aca="false">IF(ISNUMBER($S338),$S338*$H338,"")</f>
        <v/>
      </c>
      <c r="U338" s="45" t="str">
        <f aca="false">IF(ISNUMBER($S338),$S338*Parâmetros!$B$7,"")</f>
        <v/>
      </c>
      <c r="V338" s="45" t="str">
        <f aca="false">IF(ISNUMBER($S338),$S338*Parâmetros!$C$7,"")</f>
        <v/>
      </c>
      <c r="W338" s="44" t="str">
        <f aca="false">IF(ISNUMBER($S338),$S338-$D338-IF(ISNUMBER($E338),$E338,0)-$O338-$T338-$U338-$V338,"")</f>
        <v/>
      </c>
      <c r="X338" s="46" t="str">
        <f aca="false">IF(AND(ISNUMBER($S338),$S338&gt;0),$W338/$S338,"")</f>
        <v/>
      </c>
      <c r="Y338" s="47"/>
      <c r="Z338" s="19"/>
    </row>
    <row r="339" customFormat="false" ht="15.75" hidden="false" customHeight="true" outlineLevel="0" collapsed="false">
      <c r="A339" s="48" t="str">
        <f aca="false">IF(Produtos!$A339="","",Produtos!$A339)</f>
        <v/>
      </c>
      <c r="B339" s="48" t="str">
        <f aca="false">IF(Produtos!$A339="","",Produtos!$B339)</f>
        <v/>
      </c>
      <c r="C339" s="48" t="str">
        <f aca="false">IF(Produtos!$A339="","",Produtos!$C339)</f>
        <v/>
      </c>
      <c r="D339" s="33" t="str">
        <f aca="false">IF(Produtos!$A339="","",IF(Produtos!$D339="","",Produtos!$D339))</f>
        <v/>
      </c>
      <c r="E339" s="11"/>
      <c r="F339" s="34" t="str">
        <f aca="false">IF($A339="","",IF($C339="","⚠ categoria",IFERROR(INDEX(Parâmetros!$E$13:$E$22,MATCH($C339,Parâmetros!$A$13:$A$22,0)),"⚠ categoria")))</f>
        <v/>
      </c>
      <c r="G339" s="35"/>
      <c r="H339" s="36" t="str">
        <f aca="false">IF($A339="","",IF(ISNUMBER($G339),$G339,IF(ISNUMBER($F339),$F339,"")))</f>
        <v/>
      </c>
      <c r="I339" s="37" t="str">
        <f aca="false">IF(OR($A339="",NOT(ISNUMBER($D339)),NOT(ISNUMBER($H339))),"",IF((1-$H339-Parâmetros!$B$7-Parâmetros!$C$7-Parâmetros!$D$7)&lt;=0,"INVALIDO",($D339+IF(ISNUMBER($E339),$E339,0)+IF(ISNUMBER(Parâmetros!$E$7),Parâmetros!$E$7,0))/(1-$H339-Parâmetros!$B$7-Parâmetros!$C$7-Parâmetros!$D$7)))</f>
        <v/>
      </c>
      <c r="J339" s="38"/>
      <c r="K339" s="39" t="str">
        <f aca="false">IF(OR($A339="",NOT(ISNUMBER($D339)),NOT(ISNUMBER($H339))),"",IF(AND(ISNUMBER($J339),$J339&gt;0),$J339,IF(ISNUMBER($I339),$I339,"")))</f>
        <v/>
      </c>
      <c r="L339" s="40" t="str">
        <f aca="false">IF(ISNUMBER($K339),$K339*$H339,"")</f>
        <v/>
      </c>
      <c r="M339" s="40" t="str">
        <f aca="false">IF(ISNUMBER($K339),$K339*Parâmetros!$B$7,"")</f>
        <v/>
      </c>
      <c r="N339" s="40" t="str">
        <f aca="false">IF(ISNUMBER($K339),$K339*Parâmetros!$C$7,"")</f>
        <v/>
      </c>
      <c r="O339" s="40" t="str">
        <f aca="false">IF(ISNUMBER($K339),IF(ISNUMBER(Parâmetros!$E$7),Parâmetros!$E$7,0),"")</f>
        <v/>
      </c>
      <c r="P339" s="41" t="str">
        <f aca="false">IF(ISNUMBER($K339),$K339-$D339-IF(ISNUMBER($E339),$E339,0)-$L339-$M339-$N339-$O339,"")</f>
        <v/>
      </c>
      <c r="Q339" s="42" t="str">
        <f aca="false">IF(AND(ISNUMBER($K339),$K339&gt;0),$P339/$K339,"")</f>
        <v/>
      </c>
      <c r="R339" s="43"/>
      <c r="S339" s="44" t="str">
        <f aca="false">IF(OR(NOT(ISNUMBER($R339)),$R339=0,NOT(ISNUMBER($K339))),"",$K339*(1-$R339))</f>
        <v/>
      </c>
      <c r="T339" s="45" t="str">
        <f aca="false">IF(ISNUMBER($S339),$S339*$H339,"")</f>
        <v/>
      </c>
      <c r="U339" s="45" t="str">
        <f aca="false">IF(ISNUMBER($S339),$S339*Parâmetros!$B$7,"")</f>
        <v/>
      </c>
      <c r="V339" s="45" t="str">
        <f aca="false">IF(ISNUMBER($S339),$S339*Parâmetros!$C$7,"")</f>
        <v/>
      </c>
      <c r="W339" s="44" t="str">
        <f aca="false">IF(ISNUMBER($S339),$S339-$D339-IF(ISNUMBER($E339),$E339,0)-$O339-$T339-$U339-$V339,"")</f>
        <v/>
      </c>
      <c r="X339" s="46" t="str">
        <f aca="false">IF(AND(ISNUMBER($S339),$S339&gt;0),$W339/$S339,"")</f>
        <v/>
      </c>
      <c r="Y339" s="49"/>
      <c r="Z339" s="21"/>
    </row>
    <row r="340" customFormat="false" ht="15.75" hidden="false" customHeight="true" outlineLevel="0" collapsed="false">
      <c r="A340" s="32" t="str">
        <f aca="false">IF(Produtos!$A340="","",Produtos!$A340)</f>
        <v/>
      </c>
      <c r="B340" s="32" t="str">
        <f aca="false">IF(Produtos!$A340="","",Produtos!$B340)</f>
        <v/>
      </c>
      <c r="C340" s="32" t="str">
        <f aca="false">IF(Produtos!$A340="","",Produtos!$C340)</f>
        <v/>
      </c>
      <c r="D340" s="33" t="str">
        <f aca="false">IF(Produtos!$A340="","",IF(Produtos!$D340="","",Produtos!$D340))</f>
        <v/>
      </c>
      <c r="E340" s="11"/>
      <c r="F340" s="34" t="str">
        <f aca="false">IF($A340="","",IF($C340="","⚠ categoria",IFERROR(INDEX(Parâmetros!$E$13:$E$22,MATCH($C340,Parâmetros!$A$13:$A$22,0)),"⚠ categoria")))</f>
        <v/>
      </c>
      <c r="G340" s="35"/>
      <c r="H340" s="36" t="str">
        <f aca="false">IF($A340="","",IF(ISNUMBER($G340),$G340,IF(ISNUMBER($F340),$F340,"")))</f>
        <v/>
      </c>
      <c r="I340" s="37" t="str">
        <f aca="false">IF(OR($A340="",NOT(ISNUMBER($D340)),NOT(ISNUMBER($H340))),"",IF((1-$H340-Parâmetros!$B$7-Parâmetros!$C$7-Parâmetros!$D$7)&lt;=0,"INVALIDO",($D340+IF(ISNUMBER($E340),$E340,0)+IF(ISNUMBER(Parâmetros!$E$7),Parâmetros!$E$7,0))/(1-$H340-Parâmetros!$B$7-Parâmetros!$C$7-Parâmetros!$D$7)))</f>
        <v/>
      </c>
      <c r="J340" s="38"/>
      <c r="K340" s="39" t="str">
        <f aca="false">IF(OR($A340="",NOT(ISNUMBER($D340)),NOT(ISNUMBER($H340))),"",IF(AND(ISNUMBER($J340),$J340&gt;0),$J340,IF(ISNUMBER($I340),$I340,"")))</f>
        <v/>
      </c>
      <c r="L340" s="40" t="str">
        <f aca="false">IF(ISNUMBER($K340),$K340*$H340,"")</f>
        <v/>
      </c>
      <c r="M340" s="40" t="str">
        <f aca="false">IF(ISNUMBER($K340),$K340*Parâmetros!$B$7,"")</f>
        <v/>
      </c>
      <c r="N340" s="40" t="str">
        <f aca="false">IF(ISNUMBER($K340),$K340*Parâmetros!$C$7,"")</f>
        <v/>
      </c>
      <c r="O340" s="40" t="str">
        <f aca="false">IF(ISNUMBER($K340),IF(ISNUMBER(Parâmetros!$E$7),Parâmetros!$E$7,0),"")</f>
        <v/>
      </c>
      <c r="P340" s="41" t="str">
        <f aca="false">IF(ISNUMBER($K340),$K340-$D340-IF(ISNUMBER($E340),$E340,0)-$L340-$M340-$N340-$O340,"")</f>
        <v/>
      </c>
      <c r="Q340" s="42" t="str">
        <f aca="false">IF(AND(ISNUMBER($K340),$K340&gt;0),$P340/$K340,"")</f>
        <v/>
      </c>
      <c r="R340" s="43"/>
      <c r="S340" s="44" t="str">
        <f aca="false">IF(OR(NOT(ISNUMBER($R340)),$R340=0,NOT(ISNUMBER($K340))),"",$K340*(1-$R340))</f>
        <v/>
      </c>
      <c r="T340" s="45" t="str">
        <f aca="false">IF(ISNUMBER($S340),$S340*$H340,"")</f>
        <v/>
      </c>
      <c r="U340" s="45" t="str">
        <f aca="false">IF(ISNUMBER($S340),$S340*Parâmetros!$B$7,"")</f>
        <v/>
      </c>
      <c r="V340" s="45" t="str">
        <f aca="false">IF(ISNUMBER($S340),$S340*Parâmetros!$C$7,"")</f>
        <v/>
      </c>
      <c r="W340" s="44" t="str">
        <f aca="false">IF(ISNUMBER($S340),$S340-$D340-IF(ISNUMBER($E340),$E340,0)-$O340-$T340-$U340-$V340,"")</f>
        <v/>
      </c>
      <c r="X340" s="46" t="str">
        <f aca="false">IF(AND(ISNUMBER($S340),$S340&gt;0),$W340/$S340,"")</f>
        <v/>
      </c>
      <c r="Y340" s="47"/>
      <c r="Z340" s="19"/>
    </row>
    <row r="341" customFormat="false" ht="15.75" hidden="false" customHeight="true" outlineLevel="0" collapsed="false">
      <c r="A341" s="48" t="str">
        <f aca="false">IF(Produtos!$A341="","",Produtos!$A341)</f>
        <v/>
      </c>
      <c r="B341" s="48" t="str">
        <f aca="false">IF(Produtos!$A341="","",Produtos!$B341)</f>
        <v/>
      </c>
      <c r="C341" s="48" t="str">
        <f aca="false">IF(Produtos!$A341="","",Produtos!$C341)</f>
        <v/>
      </c>
      <c r="D341" s="33" t="str">
        <f aca="false">IF(Produtos!$A341="","",IF(Produtos!$D341="","",Produtos!$D341))</f>
        <v/>
      </c>
      <c r="E341" s="11"/>
      <c r="F341" s="34" t="str">
        <f aca="false">IF($A341="","",IF($C341="","⚠ categoria",IFERROR(INDEX(Parâmetros!$E$13:$E$22,MATCH($C341,Parâmetros!$A$13:$A$22,0)),"⚠ categoria")))</f>
        <v/>
      </c>
      <c r="G341" s="35"/>
      <c r="H341" s="36" t="str">
        <f aca="false">IF($A341="","",IF(ISNUMBER($G341),$G341,IF(ISNUMBER($F341),$F341,"")))</f>
        <v/>
      </c>
      <c r="I341" s="37" t="str">
        <f aca="false">IF(OR($A341="",NOT(ISNUMBER($D341)),NOT(ISNUMBER($H341))),"",IF((1-$H341-Parâmetros!$B$7-Parâmetros!$C$7-Parâmetros!$D$7)&lt;=0,"INVALIDO",($D341+IF(ISNUMBER($E341),$E341,0)+IF(ISNUMBER(Parâmetros!$E$7),Parâmetros!$E$7,0))/(1-$H341-Parâmetros!$B$7-Parâmetros!$C$7-Parâmetros!$D$7)))</f>
        <v/>
      </c>
      <c r="J341" s="38"/>
      <c r="K341" s="39" t="str">
        <f aca="false">IF(OR($A341="",NOT(ISNUMBER($D341)),NOT(ISNUMBER($H341))),"",IF(AND(ISNUMBER($J341),$J341&gt;0),$J341,IF(ISNUMBER($I341),$I341,"")))</f>
        <v/>
      </c>
      <c r="L341" s="40" t="str">
        <f aca="false">IF(ISNUMBER($K341),$K341*$H341,"")</f>
        <v/>
      </c>
      <c r="M341" s="40" t="str">
        <f aca="false">IF(ISNUMBER($K341),$K341*Parâmetros!$B$7,"")</f>
        <v/>
      </c>
      <c r="N341" s="40" t="str">
        <f aca="false">IF(ISNUMBER($K341),$K341*Parâmetros!$C$7,"")</f>
        <v/>
      </c>
      <c r="O341" s="40" t="str">
        <f aca="false">IF(ISNUMBER($K341),IF(ISNUMBER(Parâmetros!$E$7),Parâmetros!$E$7,0),"")</f>
        <v/>
      </c>
      <c r="P341" s="41" t="str">
        <f aca="false">IF(ISNUMBER($K341),$K341-$D341-IF(ISNUMBER($E341),$E341,0)-$L341-$M341-$N341-$O341,"")</f>
        <v/>
      </c>
      <c r="Q341" s="42" t="str">
        <f aca="false">IF(AND(ISNUMBER($K341),$K341&gt;0),$P341/$K341,"")</f>
        <v/>
      </c>
      <c r="R341" s="43"/>
      <c r="S341" s="44" t="str">
        <f aca="false">IF(OR(NOT(ISNUMBER($R341)),$R341=0,NOT(ISNUMBER($K341))),"",$K341*(1-$R341))</f>
        <v/>
      </c>
      <c r="T341" s="45" t="str">
        <f aca="false">IF(ISNUMBER($S341),$S341*$H341,"")</f>
        <v/>
      </c>
      <c r="U341" s="45" t="str">
        <f aca="false">IF(ISNUMBER($S341),$S341*Parâmetros!$B$7,"")</f>
        <v/>
      </c>
      <c r="V341" s="45" t="str">
        <f aca="false">IF(ISNUMBER($S341),$S341*Parâmetros!$C$7,"")</f>
        <v/>
      </c>
      <c r="W341" s="44" t="str">
        <f aca="false">IF(ISNUMBER($S341),$S341-$D341-IF(ISNUMBER($E341),$E341,0)-$O341-$T341-$U341-$V341,"")</f>
        <v/>
      </c>
      <c r="X341" s="46" t="str">
        <f aca="false">IF(AND(ISNUMBER($S341),$S341&gt;0),$W341/$S341,"")</f>
        <v/>
      </c>
      <c r="Y341" s="49"/>
      <c r="Z341" s="21"/>
    </row>
    <row r="342" customFormat="false" ht="15.75" hidden="false" customHeight="true" outlineLevel="0" collapsed="false">
      <c r="A342" s="32" t="str">
        <f aca="false">IF(Produtos!$A342="","",Produtos!$A342)</f>
        <v/>
      </c>
      <c r="B342" s="32" t="str">
        <f aca="false">IF(Produtos!$A342="","",Produtos!$B342)</f>
        <v/>
      </c>
      <c r="C342" s="32" t="str">
        <f aca="false">IF(Produtos!$A342="","",Produtos!$C342)</f>
        <v/>
      </c>
      <c r="D342" s="33" t="str">
        <f aca="false">IF(Produtos!$A342="","",IF(Produtos!$D342="","",Produtos!$D342))</f>
        <v/>
      </c>
      <c r="E342" s="11"/>
      <c r="F342" s="34" t="str">
        <f aca="false">IF($A342="","",IF($C342="","⚠ categoria",IFERROR(INDEX(Parâmetros!$E$13:$E$22,MATCH($C342,Parâmetros!$A$13:$A$22,0)),"⚠ categoria")))</f>
        <v/>
      </c>
      <c r="G342" s="35"/>
      <c r="H342" s="36" t="str">
        <f aca="false">IF($A342="","",IF(ISNUMBER($G342),$G342,IF(ISNUMBER($F342),$F342,"")))</f>
        <v/>
      </c>
      <c r="I342" s="37" t="str">
        <f aca="false">IF(OR($A342="",NOT(ISNUMBER($D342)),NOT(ISNUMBER($H342))),"",IF((1-$H342-Parâmetros!$B$7-Parâmetros!$C$7-Parâmetros!$D$7)&lt;=0,"INVALIDO",($D342+IF(ISNUMBER($E342),$E342,0)+IF(ISNUMBER(Parâmetros!$E$7),Parâmetros!$E$7,0))/(1-$H342-Parâmetros!$B$7-Parâmetros!$C$7-Parâmetros!$D$7)))</f>
        <v/>
      </c>
      <c r="J342" s="38"/>
      <c r="K342" s="39" t="str">
        <f aca="false">IF(OR($A342="",NOT(ISNUMBER($D342)),NOT(ISNUMBER($H342))),"",IF(AND(ISNUMBER($J342),$J342&gt;0),$J342,IF(ISNUMBER($I342),$I342,"")))</f>
        <v/>
      </c>
      <c r="L342" s="40" t="str">
        <f aca="false">IF(ISNUMBER($K342),$K342*$H342,"")</f>
        <v/>
      </c>
      <c r="M342" s="40" t="str">
        <f aca="false">IF(ISNUMBER($K342),$K342*Parâmetros!$B$7,"")</f>
        <v/>
      </c>
      <c r="N342" s="40" t="str">
        <f aca="false">IF(ISNUMBER($K342),$K342*Parâmetros!$C$7,"")</f>
        <v/>
      </c>
      <c r="O342" s="40" t="str">
        <f aca="false">IF(ISNUMBER($K342),IF(ISNUMBER(Parâmetros!$E$7),Parâmetros!$E$7,0),"")</f>
        <v/>
      </c>
      <c r="P342" s="41" t="str">
        <f aca="false">IF(ISNUMBER($K342),$K342-$D342-IF(ISNUMBER($E342),$E342,0)-$L342-$M342-$N342-$O342,"")</f>
        <v/>
      </c>
      <c r="Q342" s="42" t="str">
        <f aca="false">IF(AND(ISNUMBER($K342),$K342&gt;0),$P342/$K342,"")</f>
        <v/>
      </c>
      <c r="R342" s="43"/>
      <c r="S342" s="44" t="str">
        <f aca="false">IF(OR(NOT(ISNUMBER($R342)),$R342=0,NOT(ISNUMBER($K342))),"",$K342*(1-$R342))</f>
        <v/>
      </c>
      <c r="T342" s="45" t="str">
        <f aca="false">IF(ISNUMBER($S342),$S342*$H342,"")</f>
        <v/>
      </c>
      <c r="U342" s="45" t="str">
        <f aca="false">IF(ISNUMBER($S342),$S342*Parâmetros!$B$7,"")</f>
        <v/>
      </c>
      <c r="V342" s="45" t="str">
        <f aca="false">IF(ISNUMBER($S342),$S342*Parâmetros!$C$7,"")</f>
        <v/>
      </c>
      <c r="W342" s="44" t="str">
        <f aca="false">IF(ISNUMBER($S342),$S342-$D342-IF(ISNUMBER($E342),$E342,0)-$O342-$T342-$U342-$V342,"")</f>
        <v/>
      </c>
      <c r="X342" s="46" t="str">
        <f aca="false">IF(AND(ISNUMBER($S342),$S342&gt;0),$W342/$S342,"")</f>
        <v/>
      </c>
      <c r="Y342" s="47"/>
      <c r="Z342" s="19"/>
    </row>
    <row r="343" customFormat="false" ht="15.75" hidden="false" customHeight="true" outlineLevel="0" collapsed="false">
      <c r="A343" s="48" t="str">
        <f aca="false">IF(Produtos!$A343="","",Produtos!$A343)</f>
        <v/>
      </c>
      <c r="B343" s="48" t="str">
        <f aca="false">IF(Produtos!$A343="","",Produtos!$B343)</f>
        <v/>
      </c>
      <c r="C343" s="48" t="str">
        <f aca="false">IF(Produtos!$A343="","",Produtos!$C343)</f>
        <v/>
      </c>
      <c r="D343" s="33" t="str">
        <f aca="false">IF(Produtos!$A343="","",IF(Produtos!$D343="","",Produtos!$D343))</f>
        <v/>
      </c>
      <c r="E343" s="11"/>
      <c r="F343" s="34" t="str">
        <f aca="false">IF($A343="","",IF($C343="","⚠ categoria",IFERROR(INDEX(Parâmetros!$E$13:$E$22,MATCH($C343,Parâmetros!$A$13:$A$22,0)),"⚠ categoria")))</f>
        <v/>
      </c>
      <c r="G343" s="35"/>
      <c r="H343" s="36" t="str">
        <f aca="false">IF($A343="","",IF(ISNUMBER($G343),$G343,IF(ISNUMBER($F343),$F343,"")))</f>
        <v/>
      </c>
      <c r="I343" s="37" t="str">
        <f aca="false">IF(OR($A343="",NOT(ISNUMBER($D343)),NOT(ISNUMBER($H343))),"",IF((1-$H343-Parâmetros!$B$7-Parâmetros!$C$7-Parâmetros!$D$7)&lt;=0,"INVALIDO",($D343+IF(ISNUMBER($E343),$E343,0)+IF(ISNUMBER(Parâmetros!$E$7),Parâmetros!$E$7,0))/(1-$H343-Parâmetros!$B$7-Parâmetros!$C$7-Parâmetros!$D$7)))</f>
        <v/>
      </c>
      <c r="J343" s="38"/>
      <c r="K343" s="39" t="str">
        <f aca="false">IF(OR($A343="",NOT(ISNUMBER($D343)),NOT(ISNUMBER($H343))),"",IF(AND(ISNUMBER($J343),$J343&gt;0),$J343,IF(ISNUMBER($I343),$I343,"")))</f>
        <v/>
      </c>
      <c r="L343" s="40" t="str">
        <f aca="false">IF(ISNUMBER($K343),$K343*$H343,"")</f>
        <v/>
      </c>
      <c r="M343" s="40" t="str">
        <f aca="false">IF(ISNUMBER($K343),$K343*Parâmetros!$B$7,"")</f>
        <v/>
      </c>
      <c r="N343" s="40" t="str">
        <f aca="false">IF(ISNUMBER($K343),$K343*Parâmetros!$C$7,"")</f>
        <v/>
      </c>
      <c r="O343" s="40" t="str">
        <f aca="false">IF(ISNUMBER($K343),IF(ISNUMBER(Parâmetros!$E$7),Parâmetros!$E$7,0),"")</f>
        <v/>
      </c>
      <c r="P343" s="41" t="str">
        <f aca="false">IF(ISNUMBER($K343),$K343-$D343-IF(ISNUMBER($E343),$E343,0)-$L343-$M343-$N343-$O343,"")</f>
        <v/>
      </c>
      <c r="Q343" s="42" t="str">
        <f aca="false">IF(AND(ISNUMBER($K343),$K343&gt;0),$P343/$K343,"")</f>
        <v/>
      </c>
      <c r="R343" s="43"/>
      <c r="S343" s="44" t="str">
        <f aca="false">IF(OR(NOT(ISNUMBER($R343)),$R343=0,NOT(ISNUMBER($K343))),"",$K343*(1-$R343))</f>
        <v/>
      </c>
      <c r="T343" s="45" t="str">
        <f aca="false">IF(ISNUMBER($S343),$S343*$H343,"")</f>
        <v/>
      </c>
      <c r="U343" s="45" t="str">
        <f aca="false">IF(ISNUMBER($S343),$S343*Parâmetros!$B$7,"")</f>
        <v/>
      </c>
      <c r="V343" s="45" t="str">
        <f aca="false">IF(ISNUMBER($S343),$S343*Parâmetros!$C$7,"")</f>
        <v/>
      </c>
      <c r="W343" s="44" t="str">
        <f aca="false">IF(ISNUMBER($S343),$S343-$D343-IF(ISNUMBER($E343),$E343,0)-$O343-$T343-$U343-$V343,"")</f>
        <v/>
      </c>
      <c r="X343" s="46" t="str">
        <f aca="false">IF(AND(ISNUMBER($S343),$S343&gt;0),$W343/$S343,"")</f>
        <v/>
      </c>
      <c r="Y343" s="49"/>
      <c r="Z343" s="21"/>
    </row>
    <row r="344" customFormat="false" ht="15.75" hidden="false" customHeight="true" outlineLevel="0" collapsed="false">
      <c r="A344" s="32" t="str">
        <f aca="false">IF(Produtos!$A344="","",Produtos!$A344)</f>
        <v/>
      </c>
      <c r="B344" s="32" t="str">
        <f aca="false">IF(Produtos!$A344="","",Produtos!$B344)</f>
        <v/>
      </c>
      <c r="C344" s="32" t="str">
        <f aca="false">IF(Produtos!$A344="","",Produtos!$C344)</f>
        <v/>
      </c>
      <c r="D344" s="33" t="str">
        <f aca="false">IF(Produtos!$A344="","",IF(Produtos!$D344="","",Produtos!$D344))</f>
        <v/>
      </c>
      <c r="E344" s="11"/>
      <c r="F344" s="34" t="str">
        <f aca="false">IF($A344="","",IF($C344="","⚠ categoria",IFERROR(INDEX(Parâmetros!$E$13:$E$22,MATCH($C344,Parâmetros!$A$13:$A$22,0)),"⚠ categoria")))</f>
        <v/>
      </c>
      <c r="G344" s="35"/>
      <c r="H344" s="36" t="str">
        <f aca="false">IF($A344="","",IF(ISNUMBER($G344),$G344,IF(ISNUMBER($F344),$F344,"")))</f>
        <v/>
      </c>
      <c r="I344" s="37" t="str">
        <f aca="false">IF(OR($A344="",NOT(ISNUMBER($D344)),NOT(ISNUMBER($H344))),"",IF((1-$H344-Parâmetros!$B$7-Parâmetros!$C$7-Parâmetros!$D$7)&lt;=0,"INVALIDO",($D344+IF(ISNUMBER($E344),$E344,0)+IF(ISNUMBER(Parâmetros!$E$7),Parâmetros!$E$7,0))/(1-$H344-Parâmetros!$B$7-Parâmetros!$C$7-Parâmetros!$D$7)))</f>
        <v/>
      </c>
      <c r="J344" s="38"/>
      <c r="K344" s="39" t="str">
        <f aca="false">IF(OR($A344="",NOT(ISNUMBER($D344)),NOT(ISNUMBER($H344))),"",IF(AND(ISNUMBER($J344),$J344&gt;0),$J344,IF(ISNUMBER($I344),$I344,"")))</f>
        <v/>
      </c>
      <c r="L344" s="40" t="str">
        <f aca="false">IF(ISNUMBER($K344),$K344*$H344,"")</f>
        <v/>
      </c>
      <c r="M344" s="40" t="str">
        <f aca="false">IF(ISNUMBER($K344),$K344*Parâmetros!$B$7,"")</f>
        <v/>
      </c>
      <c r="N344" s="40" t="str">
        <f aca="false">IF(ISNUMBER($K344),$K344*Parâmetros!$C$7,"")</f>
        <v/>
      </c>
      <c r="O344" s="40" t="str">
        <f aca="false">IF(ISNUMBER($K344),IF(ISNUMBER(Parâmetros!$E$7),Parâmetros!$E$7,0),"")</f>
        <v/>
      </c>
      <c r="P344" s="41" t="str">
        <f aca="false">IF(ISNUMBER($K344),$K344-$D344-IF(ISNUMBER($E344),$E344,0)-$L344-$M344-$N344-$O344,"")</f>
        <v/>
      </c>
      <c r="Q344" s="42" t="str">
        <f aca="false">IF(AND(ISNUMBER($K344),$K344&gt;0),$P344/$K344,"")</f>
        <v/>
      </c>
      <c r="R344" s="43"/>
      <c r="S344" s="44" t="str">
        <f aca="false">IF(OR(NOT(ISNUMBER($R344)),$R344=0,NOT(ISNUMBER($K344))),"",$K344*(1-$R344))</f>
        <v/>
      </c>
      <c r="T344" s="45" t="str">
        <f aca="false">IF(ISNUMBER($S344),$S344*$H344,"")</f>
        <v/>
      </c>
      <c r="U344" s="45" t="str">
        <f aca="false">IF(ISNUMBER($S344),$S344*Parâmetros!$B$7,"")</f>
        <v/>
      </c>
      <c r="V344" s="45" t="str">
        <f aca="false">IF(ISNUMBER($S344),$S344*Parâmetros!$C$7,"")</f>
        <v/>
      </c>
      <c r="W344" s="44" t="str">
        <f aca="false">IF(ISNUMBER($S344),$S344-$D344-IF(ISNUMBER($E344),$E344,0)-$O344-$T344-$U344-$V344,"")</f>
        <v/>
      </c>
      <c r="X344" s="46" t="str">
        <f aca="false">IF(AND(ISNUMBER($S344),$S344&gt;0),$W344/$S344,"")</f>
        <v/>
      </c>
      <c r="Y344" s="47"/>
      <c r="Z344" s="19"/>
    </row>
    <row r="345" customFormat="false" ht="15.75" hidden="false" customHeight="true" outlineLevel="0" collapsed="false">
      <c r="A345" s="48" t="str">
        <f aca="false">IF(Produtos!$A345="","",Produtos!$A345)</f>
        <v/>
      </c>
      <c r="B345" s="48" t="str">
        <f aca="false">IF(Produtos!$A345="","",Produtos!$B345)</f>
        <v/>
      </c>
      <c r="C345" s="48" t="str">
        <f aca="false">IF(Produtos!$A345="","",Produtos!$C345)</f>
        <v/>
      </c>
      <c r="D345" s="33" t="str">
        <f aca="false">IF(Produtos!$A345="","",IF(Produtos!$D345="","",Produtos!$D345))</f>
        <v/>
      </c>
      <c r="E345" s="11"/>
      <c r="F345" s="34" t="str">
        <f aca="false">IF($A345="","",IF($C345="","⚠ categoria",IFERROR(INDEX(Parâmetros!$E$13:$E$22,MATCH($C345,Parâmetros!$A$13:$A$22,0)),"⚠ categoria")))</f>
        <v/>
      </c>
      <c r="G345" s="35"/>
      <c r="H345" s="36" t="str">
        <f aca="false">IF($A345="","",IF(ISNUMBER($G345),$G345,IF(ISNUMBER($F345),$F345,"")))</f>
        <v/>
      </c>
      <c r="I345" s="37" t="str">
        <f aca="false">IF(OR($A345="",NOT(ISNUMBER($D345)),NOT(ISNUMBER($H345))),"",IF((1-$H345-Parâmetros!$B$7-Parâmetros!$C$7-Parâmetros!$D$7)&lt;=0,"INVALIDO",($D345+IF(ISNUMBER($E345),$E345,0)+IF(ISNUMBER(Parâmetros!$E$7),Parâmetros!$E$7,0))/(1-$H345-Parâmetros!$B$7-Parâmetros!$C$7-Parâmetros!$D$7)))</f>
        <v/>
      </c>
      <c r="J345" s="38"/>
      <c r="K345" s="39" t="str">
        <f aca="false">IF(OR($A345="",NOT(ISNUMBER($D345)),NOT(ISNUMBER($H345))),"",IF(AND(ISNUMBER($J345),$J345&gt;0),$J345,IF(ISNUMBER($I345),$I345,"")))</f>
        <v/>
      </c>
      <c r="L345" s="40" t="str">
        <f aca="false">IF(ISNUMBER($K345),$K345*$H345,"")</f>
        <v/>
      </c>
      <c r="M345" s="40" t="str">
        <f aca="false">IF(ISNUMBER($K345),$K345*Parâmetros!$B$7,"")</f>
        <v/>
      </c>
      <c r="N345" s="40" t="str">
        <f aca="false">IF(ISNUMBER($K345),$K345*Parâmetros!$C$7,"")</f>
        <v/>
      </c>
      <c r="O345" s="40" t="str">
        <f aca="false">IF(ISNUMBER($K345),IF(ISNUMBER(Parâmetros!$E$7),Parâmetros!$E$7,0),"")</f>
        <v/>
      </c>
      <c r="P345" s="41" t="str">
        <f aca="false">IF(ISNUMBER($K345),$K345-$D345-IF(ISNUMBER($E345),$E345,0)-$L345-$M345-$N345-$O345,"")</f>
        <v/>
      </c>
      <c r="Q345" s="42" t="str">
        <f aca="false">IF(AND(ISNUMBER($K345),$K345&gt;0),$P345/$K345,"")</f>
        <v/>
      </c>
      <c r="R345" s="43"/>
      <c r="S345" s="44" t="str">
        <f aca="false">IF(OR(NOT(ISNUMBER($R345)),$R345=0,NOT(ISNUMBER($K345))),"",$K345*(1-$R345))</f>
        <v/>
      </c>
      <c r="T345" s="45" t="str">
        <f aca="false">IF(ISNUMBER($S345),$S345*$H345,"")</f>
        <v/>
      </c>
      <c r="U345" s="45" t="str">
        <f aca="false">IF(ISNUMBER($S345),$S345*Parâmetros!$B$7,"")</f>
        <v/>
      </c>
      <c r="V345" s="45" t="str">
        <f aca="false">IF(ISNUMBER($S345),$S345*Parâmetros!$C$7,"")</f>
        <v/>
      </c>
      <c r="W345" s="44" t="str">
        <f aca="false">IF(ISNUMBER($S345),$S345-$D345-IF(ISNUMBER($E345),$E345,0)-$O345-$T345-$U345-$V345,"")</f>
        <v/>
      </c>
      <c r="X345" s="46" t="str">
        <f aca="false">IF(AND(ISNUMBER($S345),$S345&gt;0),$W345/$S345,"")</f>
        <v/>
      </c>
      <c r="Y345" s="49"/>
      <c r="Z345" s="21"/>
    </row>
    <row r="346" customFormat="false" ht="15.75" hidden="false" customHeight="true" outlineLevel="0" collapsed="false">
      <c r="A346" s="32" t="str">
        <f aca="false">IF(Produtos!$A346="","",Produtos!$A346)</f>
        <v/>
      </c>
      <c r="B346" s="32" t="str">
        <f aca="false">IF(Produtos!$A346="","",Produtos!$B346)</f>
        <v/>
      </c>
      <c r="C346" s="32" t="str">
        <f aca="false">IF(Produtos!$A346="","",Produtos!$C346)</f>
        <v/>
      </c>
      <c r="D346" s="33" t="str">
        <f aca="false">IF(Produtos!$A346="","",IF(Produtos!$D346="","",Produtos!$D346))</f>
        <v/>
      </c>
      <c r="E346" s="11"/>
      <c r="F346" s="34" t="str">
        <f aca="false">IF($A346="","",IF($C346="","⚠ categoria",IFERROR(INDEX(Parâmetros!$E$13:$E$22,MATCH($C346,Parâmetros!$A$13:$A$22,0)),"⚠ categoria")))</f>
        <v/>
      </c>
      <c r="G346" s="35"/>
      <c r="H346" s="36" t="str">
        <f aca="false">IF($A346="","",IF(ISNUMBER($G346),$G346,IF(ISNUMBER($F346),$F346,"")))</f>
        <v/>
      </c>
      <c r="I346" s="37" t="str">
        <f aca="false">IF(OR($A346="",NOT(ISNUMBER($D346)),NOT(ISNUMBER($H346))),"",IF((1-$H346-Parâmetros!$B$7-Parâmetros!$C$7-Parâmetros!$D$7)&lt;=0,"INVALIDO",($D346+IF(ISNUMBER($E346),$E346,0)+IF(ISNUMBER(Parâmetros!$E$7),Parâmetros!$E$7,0))/(1-$H346-Parâmetros!$B$7-Parâmetros!$C$7-Parâmetros!$D$7)))</f>
        <v/>
      </c>
      <c r="J346" s="38"/>
      <c r="K346" s="39" t="str">
        <f aca="false">IF(OR($A346="",NOT(ISNUMBER($D346)),NOT(ISNUMBER($H346))),"",IF(AND(ISNUMBER($J346),$J346&gt;0),$J346,IF(ISNUMBER($I346),$I346,"")))</f>
        <v/>
      </c>
      <c r="L346" s="40" t="str">
        <f aca="false">IF(ISNUMBER($K346),$K346*$H346,"")</f>
        <v/>
      </c>
      <c r="M346" s="40" t="str">
        <f aca="false">IF(ISNUMBER($K346),$K346*Parâmetros!$B$7,"")</f>
        <v/>
      </c>
      <c r="N346" s="40" t="str">
        <f aca="false">IF(ISNUMBER($K346),$K346*Parâmetros!$C$7,"")</f>
        <v/>
      </c>
      <c r="O346" s="40" t="str">
        <f aca="false">IF(ISNUMBER($K346),IF(ISNUMBER(Parâmetros!$E$7),Parâmetros!$E$7,0),"")</f>
        <v/>
      </c>
      <c r="P346" s="41" t="str">
        <f aca="false">IF(ISNUMBER($K346),$K346-$D346-IF(ISNUMBER($E346),$E346,0)-$L346-$M346-$N346-$O346,"")</f>
        <v/>
      </c>
      <c r="Q346" s="42" t="str">
        <f aca="false">IF(AND(ISNUMBER($K346),$K346&gt;0),$P346/$K346,"")</f>
        <v/>
      </c>
      <c r="R346" s="43"/>
      <c r="S346" s="44" t="str">
        <f aca="false">IF(OR(NOT(ISNUMBER($R346)),$R346=0,NOT(ISNUMBER($K346))),"",$K346*(1-$R346))</f>
        <v/>
      </c>
      <c r="T346" s="45" t="str">
        <f aca="false">IF(ISNUMBER($S346),$S346*$H346,"")</f>
        <v/>
      </c>
      <c r="U346" s="45" t="str">
        <f aca="false">IF(ISNUMBER($S346),$S346*Parâmetros!$B$7,"")</f>
        <v/>
      </c>
      <c r="V346" s="45" t="str">
        <f aca="false">IF(ISNUMBER($S346),$S346*Parâmetros!$C$7,"")</f>
        <v/>
      </c>
      <c r="W346" s="44" t="str">
        <f aca="false">IF(ISNUMBER($S346),$S346-$D346-IF(ISNUMBER($E346),$E346,0)-$O346-$T346-$U346-$V346,"")</f>
        <v/>
      </c>
      <c r="X346" s="46" t="str">
        <f aca="false">IF(AND(ISNUMBER($S346),$S346&gt;0),$W346/$S346,"")</f>
        <v/>
      </c>
      <c r="Y346" s="47"/>
      <c r="Z346" s="19"/>
    </row>
    <row r="347" customFormat="false" ht="15.75" hidden="false" customHeight="true" outlineLevel="0" collapsed="false">
      <c r="A347" s="48" t="str">
        <f aca="false">IF(Produtos!$A347="","",Produtos!$A347)</f>
        <v/>
      </c>
      <c r="B347" s="48" t="str">
        <f aca="false">IF(Produtos!$A347="","",Produtos!$B347)</f>
        <v/>
      </c>
      <c r="C347" s="48" t="str">
        <f aca="false">IF(Produtos!$A347="","",Produtos!$C347)</f>
        <v/>
      </c>
      <c r="D347" s="33" t="str">
        <f aca="false">IF(Produtos!$A347="","",IF(Produtos!$D347="","",Produtos!$D347))</f>
        <v/>
      </c>
      <c r="E347" s="11"/>
      <c r="F347" s="34" t="str">
        <f aca="false">IF($A347="","",IF($C347="","⚠ categoria",IFERROR(INDEX(Parâmetros!$E$13:$E$22,MATCH($C347,Parâmetros!$A$13:$A$22,0)),"⚠ categoria")))</f>
        <v/>
      </c>
      <c r="G347" s="35"/>
      <c r="H347" s="36" t="str">
        <f aca="false">IF($A347="","",IF(ISNUMBER($G347),$G347,IF(ISNUMBER($F347),$F347,"")))</f>
        <v/>
      </c>
      <c r="I347" s="37" t="str">
        <f aca="false">IF(OR($A347="",NOT(ISNUMBER($D347)),NOT(ISNUMBER($H347))),"",IF((1-$H347-Parâmetros!$B$7-Parâmetros!$C$7-Parâmetros!$D$7)&lt;=0,"INVALIDO",($D347+IF(ISNUMBER($E347),$E347,0)+IF(ISNUMBER(Parâmetros!$E$7),Parâmetros!$E$7,0))/(1-$H347-Parâmetros!$B$7-Parâmetros!$C$7-Parâmetros!$D$7)))</f>
        <v/>
      </c>
      <c r="J347" s="38"/>
      <c r="K347" s="39" t="str">
        <f aca="false">IF(OR($A347="",NOT(ISNUMBER($D347)),NOT(ISNUMBER($H347))),"",IF(AND(ISNUMBER($J347),$J347&gt;0),$J347,IF(ISNUMBER($I347),$I347,"")))</f>
        <v/>
      </c>
      <c r="L347" s="40" t="str">
        <f aca="false">IF(ISNUMBER($K347),$K347*$H347,"")</f>
        <v/>
      </c>
      <c r="M347" s="40" t="str">
        <f aca="false">IF(ISNUMBER($K347),$K347*Parâmetros!$B$7,"")</f>
        <v/>
      </c>
      <c r="N347" s="40" t="str">
        <f aca="false">IF(ISNUMBER($K347),$K347*Parâmetros!$C$7,"")</f>
        <v/>
      </c>
      <c r="O347" s="40" t="str">
        <f aca="false">IF(ISNUMBER($K347),IF(ISNUMBER(Parâmetros!$E$7),Parâmetros!$E$7,0),"")</f>
        <v/>
      </c>
      <c r="P347" s="41" t="str">
        <f aca="false">IF(ISNUMBER($K347),$K347-$D347-IF(ISNUMBER($E347),$E347,0)-$L347-$M347-$N347-$O347,"")</f>
        <v/>
      </c>
      <c r="Q347" s="42" t="str">
        <f aca="false">IF(AND(ISNUMBER($K347),$K347&gt;0),$P347/$K347,"")</f>
        <v/>
      </c>
      <c r="R347" s="43"/>
      <c r="S347" s="44" t="str">
        <f aca="false">IF(OR(NOT(ISNUMBER($R347)),$R347=0,NOT(ISNUMBER($K347))),"",$K347*(1-$R347))</f>
        <v/>
      </c>
      <c r="T347" s="45" t="str">
        <f aca="false">IF(ISNUMBER($S347),$S347*$H347,"")</f>
        <v/>
      </c>
      <c r="U347" s="45" t="str">
        <f aca="false">IF(ISNUMBER($S347),$S347*Parâmetros!$B$7,"")</f>
        <v/>
      </c>
      <c r="V347" s="45" t="str">
        <f aca="false">IF(ISNUMBER($S347),$S347*Parâmetros!$C$7,"")</f>
        <v/>
      </c>
      <c r="W347" s="44" t="str">
        <f aca="false">IF(ISNUMBER($S347),$S347-$D347-IF(ISNUMBER($E347),$E347,0)-$O347-$T347-$U347-$V347,"")</f>
        <v/>
      </c>
      <c r="X347" s="46" t="str">
        <f aca="false">IF(AND(ISNUMBER($S347),$S347&gt;0),$W347/$S347,"")</f>
        <v/>
      </c>
      <c r="Y347" s="49"/>
      <c r="Z347" s="21"/>
    </row>
    <row r="348" customFormat="false" ht="15.75" hidden="false" customHeight="true" outlineLevel="0" collapsed="false">
      <c r="A348" s="32" t="str">
        <f aca="false">IF(Produtos!$A348="","",Produtos!$A348)</f>
        <v/>
      </c>
      <c r="B348" s="32" t="str">
        <f aca="false">IF(Produtos!$A348="","",Produtos!$B348)</f>
        <v/>
      </c>
      <c r="C348" s="32" t="str">
        <f aca="false">IF(Produtos!$A348="","",Produtos!$C348)</f>
        <v/>
      </c>
      <c r="D348" s="33" t="str">
        <f aca="false">IF(Produtos!$A348="","",IF(Produtos!$D348="","",Produtos!$D348))</f>
        <v/>
      </c>
      <c r="E348" s="11"/>
      <c r="F348" s="34" t="str">
        <f aca="false">IF($A348="","",IF($C348="","⚠ categoria",IFERROR(INDEX(Parâmetros!$E$13:$E$22,MATCH($C348,Parâmetros!$A$13:$A$22,0)),"⚠ categoria")))</f>
        <v/>
      </c>
      <c r="G348" s="35"/>
      <c r="H348" s="36" t="str">
        <f aca="false">IF($A348="","",IF(ISNUMBER($G348),$G348,IF(ISNUMBER($F348),$F348,"")))</f>
        <v/>
      </c>
      <c r="I348" s="37" t="str">
        <f aca="false">IF(OR($A348="",NOT(ISNUMBER($D348)),NOT(ISNUMBER($H348))),"",IF((1-$H348-Parâmetros!$B$7-Parâmetros!$C$7-Parâmetros!$D$7)&lt;=0,"INVALIDO",($D348+IF(ISNUMBER($E348),$E348,0)+IF(ISNUMBER(Parâmetros!$E$7),Parâmetros!$E$7,0))/(1-$H348-Parâmetros!$B$7-Parâmetros!$C$7-Parâmetros!$D$7)))</f>
        <v/>
      </c>
      <c r="J348" s="38"/>
      <c r="K348" s="39" t="str">
        <f aca="false">IF(OR($A348="",NOT(ISNUMBER($D348)),NOT(ISNUMBER($H348))),"",IF(AND(ISNUMBER($J348),$J348&gt;0),$J348,IF(ISNUMBER($I348),$I348,"")))</f>
        <v/>
      </c>
      <c r="L348" s="40" t="str">
        <f aca="false">IF(ISNUMBER($K348),$K348*$H348,"")</f>
        <v/>
      </c>
      <c r="M348" s="40" t="str">
        <f aca="false">IF(ISNUMBER($K348),$K348*Parâmetros!$B$7,"")</f>
        <v/>
      </c>
      <c r="N348" s="40" t="str">
        <f aca="false">IF(ISNUMBER($K348),$K348*Parâmetros!$C$7,"")</f>
        <v/>
      </c>
      <c r="O348" s="40" t="str">
        <f aca="false">IF(ISNUMBER($K348),IF(ISNUMBER(Parâmetros!$E$7),Parâmetros!$E$7,0),"")</f>
        <v/>
      </c>
      <c r="P348" s="41" t="str">
        <f aca="false">IF(ISNUMBER($K348),$K348-$D348-IF(ISNUMBER($E348),$E348,0)-$L348-$M348-$N348-$O348,"")</f>
        <v/>
      </c>
      <c r="Q348" s="42" t="str">
        <f aca="false">IF(AND(ISNUMBER($K348),$K348&gt;0),$P348/$K348,"")</f>
        <v/>
      </c>
      <c r="R348" s="43"/>
      <c r="S348" s="44" t="str">
        <f aca="false">IF(OR(NOT(ISNUMBER($R348)),$R348=0,NOT(ISNUMBER($K348))),"",$K348*(1-$R348))</f>
        <v/>
      </c>
      <c r="T348" s="45" t="str">
        <f aca="false">IF(ISNUMBER($S348),$S348*$H348,"")</f>
        <v/>
      </c>
      <c r="U348" s="45" t="str">
        <f aca="false">IF(ISNUMBER($S348),$S348*Parâmetros!$B$7,"")</f>
        <v/>
      </c>
      <c r="V348" s="45" t="str">
        <f aca="false">IF(ISNUMBER($S348),$S348*Parâmetros!$C$7,"")</f>
        <v/>
      </c>
      <c r="W348" s="44" t="str">
        <f aca="false">IF(ISNUMBER($S348),$S348-$D348-IF(ISNUMBER($E348),$E348,0)-$O348-$T348-$U348-$V348,"")</f>
        <v/>
      </c>
      <c r="X348" s="46" t="str">
        <f aca="false">IF(AND(ISNUMBER($S348),$S348&gt;0),$W348/$S348,"")</f>
        <v/>
      </c>
      <c r="Y348" s="47"/>
      <c r="Z348" s="19"/>
    </row>
    <row r="349" customFormat="false" ht="15.75" hidden="false" customHeight="true" outlineLevel="0" collapsed="false">
      <c r="A349" s="48" t="str">
        <f aca="false">IF(Produtos!$A349="","",Produtos!$A349)</f>
        <v/>
      </c>
      <c r="B349" s="48" t="str">
        <f aca="false">IF(Produtos!$A349="","",Produtos!$B349)</f>
        <v/>
      </c>
      <c r="C349" s="48" t="str">
        <f aca="false">IF(Produtos!$A349="","",Produtos!$C349)</f>
        <v/>
      </c>
      <c r="D349" s="33" t="str">
        <f aca="false">IF(Produtos!$A349="","",IF(Produtos!$D349="","",Produtos!$D349))</f>
        <v/>
      </c>
      <c r="E349" s="11"/>
      <c r="F349" s="34" t="str">
        <f aca="false">IF($A349="","",IF($C349="","⚠ categoria",IFERROR(INDEX(Parâmetros!$E$13:$E$22,MATCH($C349,Parâmetros!$A$13:$A$22,0)),"⚠ categoria")))</f>
        <v/>
      </c>
      <c r="G349" s="35"/>
      <c r="H349" s="36" t="str">
        <f aca="false">IF($A349="","",IF(ISNUMBER($G349),$G349,IF(ISNUMBER($F349),$F349,"")))</f>
        <v/>
      </c>
      <c r="I349" s="37" t="str">
        <f aca="false">IF(OR($A349="",NOT(ISNUMBER($D349)),NOT(ISNUMBER($H349))),"",IF((1-$H349-Parâmetros!$B$7-Parâmetros!$C$7-Parâmetros!$D$7)&lt;=0,"INVALIDO",($D349+IF(ISNUMBER($E349),$E349,0)+IF(ISNUMBER(Parâmetros!$E$7),Parâmetros!$E$7,0))/(1-$H349-Parâmetros!$B$7-Parâmetros!$C$7-Parâmetros!$D$7)))</f>
        <v/>
      </c>
      <c r="J349" s="38"/>
      <c r="K349" s="39" t="str">
        <f aca="false">IF(OR($A349="",NOT(ISNUMBER($D349)),NOT(ISNUMBER($H349))),"",IF(AND(ISNUMBER($J349),$J349&gt;0),$J349,IF(ISNUMBER($I349),$I349,"")))</f>
        <v/>
      </c>
      <c r="L349" s="40" t="str">
        <f aca="false">IF(ISNUMBER($K349),$K349*$H349,"")</f>
        <v/>
      </c>
      <c r="M349" s="40" t="str">
        <f aca="false">IF(ISNUMBER($K349),$K349*Parâmetros!$B$7,"")</f>
        <v/>
      </c>
      <c r="N349" s="40" t="str">
        <f aca="false">IF(ISNUMBER($K349),$K349*Parâmetros!$C$7,"")</f>
        <v/>
      </c>
      <c r="O349" s="40" t="str">
        <f aca="false">IF(ISNUMBER($K349),IF(ISNUMBER(Parâmetros!$E$7),Parâmetros!$E$7,0),"")</f>
        <v/>
      </c>
      <c r="P349" s="41" t="str">
        <f aca="false">IF(ISNUMBER($K349),$K349-$D349-IF(ISNUMBER($E349),$E349,0)-$L349-$M349-$N349-$O349,"")</f>
        <v/>
      </c>
      <c r="Q349" s="42" t="str">
        <f aca="false">IF(AND(ISNUMBER($K349),$K349&gt;0),$P349/$K349,"")</f>
        <v/>
      </c>
      <c r="R349" s="43"/>
      <c r="S349" s="44" t="str">
        <f aca="false">IF(OR(NOT(ISNUMBER($R349)),$R349=0,NOT(ISNUMBER($K349))),"",$K349*(1-$R349))</f>
        <v/>
      </c>
      <c r="T349" s="45" t="str">
        <f aca="false">IF(ISNUMBER($S349),$S349*$H349,"")</f>
        <v/>
      </c>
      <c r="U349" s="45" t="str">
        <f aca="false">IF(ISNUMBER($S349),$S349*Parâmetros!$B$7,"")</f>
        <v/>
      </c>
      <c r="V349" s="45" t="str">
        <f aca="false">IF(ISNUMBER($S349),$S349*Parâmetros!$C$7,"")</f>
        <v/>
      </c>
      <c r="W349" s="44" t="str">
        <f aca="false">IF(ISNUMBER($S349),$S349-$D349-IF(ISNUMBER($E349),$E349,0)-$O349-$T349-$U349-$V349,"")</f>
        <v/>
      </c>
      <c r="X349" s="46" t="str">
        <f aca="false">IF(AND(ISNUMBER($S349),$S349&gt;0),$W349/$S349,"")</f>
        <v/>
      </c>
      <c r="Y349" s="49"/>
      <c r="Z349" s="21"/>
    </row>
  </sheetData>
  <autoFilter ref="A3:Z349"/>
  <mergeCells count="7">
    <mergeCell ref="A1:Z1"/>
    <mergeCell ref="A2:C2"/>
    <mergeCell ref="D2:E2"/>
    <mergeCell ref="F2:H2"/>
    <mergeCell ref="L2:Q2"/>
    <mergeCell ref="R2:X2"/>
    <mergeCell ref="Y2:Z2"/>
  </mergeCells>
  <conditionalFormatting sqref="P4:P349">
    <cfRule type="expression" priority="2" aboveAverage="0" equalAverage="0" bottom="0" percent="0" rank="0" text="" dxfId="19">
      <formula>AND(ISNUMBER($P4),$P4&lt;0)</formula>
    </cfRule>
  </conditionalFormatting>
  <conditionalFormatting sqref="Q4:Q349">
    <cfRule type="expression" priority="3" aboveAverage="0" equalAverage="0" bottom="0" percent="0" rank="0" text="" dxfId="19">
      <formula>AND(ISNUMBER($Q4),$Q4&lt;0)</formula>
    </cfRule>
    <cfRule type="expression" priority="4" aboveAverage="0" equalAverage="0" bottom="0" percent="0" rank="0" text="" dxfId="20">
      <formula>AND(ISNUMBER($Q4),$Q4&lt;Parâmetros!$D$7)</formula>
    </cfRule>
  </conditionalFormatting>
  <conditionalFormatting sqref="W4:W349">
    <cfRule type="expression" priority="5" aboveAverage="0" equalAverage="0" bottom="0" percent="0" rank="0" text="" dxfId="19">
      <formula>AND(ISNUMBER($W4),$W4&lt;0)</formula>
    </cfRule>
  </conditionalFormatting>
  <conditionalFormatting sqref="X4:X349">
    <cfRule type="expression" priority="6" aboveAverage="0" equalAverage="0" bottom="0" percent="0" rank="0" text="" dxfId="19">
      <formula>AND(ISNUMBER($X4),$X4&lt;0)</formula>
    </cfRule>
    <cfRule type="expression" priority="7" aboveAverage="0" equalAverage="0" bottom="0" percent="0" rank="0" text="" dxfId="20">
      <formula>AND(ISNUMBER($X4),$X4&lt;Parâmetros!$D$7)</formula>
    </cfRule>
  </conditionalFormatting>
  <conditionalFormatting sqref="F4:F349">
    <cfRule type="expression" priority="8" aboveAverage="0" equalAverage="0" bottom="0" percent="0" rank="0" text="" dxfId="19">
      <formula>$F4="⚠ categoria"</formula>
    </cfRule>
  </conditionalFormatting>
  <conditionalFormatting sqref="I4:I349">
    <cfRule type="expression" priority="9" aboveAverage="0" equalAverage="0" bottom="0" percent="0" rank="0" text="" dxfId="19">
      <formula>$I4="INVALIDO"</formula>
    </cfRule>
  </conditionalFormatting>
  <dataValidations count="2">
    <dataValidation allowBlank="true" error="Digite o desconto como fração (0,10 = 10%)." errorStyle="stop" errorTitle="% Desconto" operator="between" showDropDown="false" showErrorMessage="true" showInputMessage="false" sqref="R4:R349" type="decimal">
      <formula1>0</formula1>
      <formula2>1</formula2>
    </dataValidation>
    <dataValidation allowBlank="true" error="Digite a comissão como fração (0,12 = 12%)." errorStyle="stop" errorTitle="Comissão manual" operator="between" showDropDown="false" showErrorMessage="true" showInputMessage="false" sqref="G4:G349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B57"/>
    <pageSetUpPr fitToPage="false"/>
  </sheetPr>
  <dimension ref="A1:Z34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4"/>
    <col collapsed="false" customWidth="true" hidden="false" outlineLevel="0" max="3" min="3" style="0" width="22"/>
    <col collapsed="false" customWidth="true" hidden="false" outlineLevel="0" max="4" min="4" style="0" width="13"/>
    <col collapsed="false" customWidth="true" hidden="false" outlineLevel="0" max="8" min="5" style="0" width="11"/>
    <col collapsed="false" customWidth="true" hidden="false" outlineLevel="0" max="11" min="9" style="0" width="13"/>
    <col collapsed="false" customWidth="true" hidden="false" outlineLevel="0" max="13" min="12" style="0" width="12"/>
    <col collapsed="false" customWidth="true" hidden="false" outlineLevel="0" max="15" min="14" style="0" width="11"/>
    <col collapsed="false" customWidth="true" hidden="false" outlineLevel="0" max="16" min="16" style="0" width="13"/>
    <col collapsed="false" customWidth="true" hidden="false" outlineLevel="0" max="18" min="17" style="0" width="10"/>
    <col collapsed="false" customWidth="true" hidden="false" outlineLevel="0" max="19" min="19" style="0" width="13"/>
    <col collapsed="false" customWidth="true" hidden="false" outlineLevel="0" max="21" min="20" style="0" width="12"/>
    <col collapsed="false" customWidth="true" hidden="false" outlineLevel="0" max="22" min="22" style="0" width="11"/>
    <col collapsed="false" customWidth="true" hidden="false" outlineLevel="0" max="23" min="23" style="0" width="13"/>
    <col collapsed="false" customWidth="true" hidden="false" outlineLevel="0" max="24" min="24" style="0" width="10"/>
    <col collapsed="false" customWidth="true" hidden="false" outlineLevel="0" max="25" min="25" style="0" width="11"/>
    <col collapsed="false" customWidth="true" hidden="false" outlineLevel="0" max="26" min="26" style="0" width="34"/>
  </cols>
  <sheetData>
    <row r="1" customFormat="false" ht="24" hidden="false" customHeight="true" outlineLevel="0" collapsed="false">
      <c r="A1" s="52" t="str">
        <f aca="false">"MADEIRAMADEIRA  |  Comissão por categoria (aba Parâmetros) ou manual por linha  |  Imposto "&amp;TEXT(Parâmetros!$B$8,"0%")&amp;"  |  ADS "&amp;TEXT(Parâmetros!$C$8,"0.0%")&amp;"  |  Margem mín. "&amp;TEXT(Parâmetros!$D$8,"0%")&amp;"  |  Custo fixo/un. R$ "&amp;TEXT(Parâmetros!$E$8,"0.00")</f>
        <v>MADEIRAMADEIRA  |  Comissão por categoria (aba Parâmetros) ou manual por linha  |  Imposto 10%  |  ADS 3.0%  |  Margem mín. 20%  |  Custo fixo/un. R$ 0.00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 customFormat="false" ht="27.75" hidden="false" customHeight="true" outlineLevel="0" collapsed="false">
      <c r="A2" s="23" t="s">
        <v>704</v>
      </c>
      <c r="B2" s="23"/>
      <c r="C2" s="23"/>
      <c r="D2" s="24" t="s">
        <v>705</v>
      </c>
      <c r="E2" s="24"/>
      <c r="F2" s="25" t="s">
        <v>706</v>
      </c>
      <c r="G2" s="25"/>
      <c r="H2" s="25"/>
      <c r="I2" s="26" t="s">
        <v>707</v>
      </c>
      <c r="J2" s="27" t="s">
        <v>708</v>
      </c>
      <c r="K2" s="28" t="s">
        <v>709</v>
      </c>
      <c r="L2" s="29" t="s">
        <v>710</v>
      </c>
      <c r="M2" s="29"/>
      <c r="N2" s="29"/>
      <c r="O2" s="29"/>
      <c r="P2" s="29"/>
      <c r="Q2" s="29"/>
      <c r="R2" s="30" t="s">
        <v>711</v>
      </c>
      <c r="S2" s="30"/>
      <c r="T2" s="30"/>
      <c r="U2" s="30"/>
      <c r="V2" s="30"/>
      <c r="W2" s="30"/>
      <c r="X2" s="30"/>
      <c r="Y2" s="31" t="s">
        <v>712</v>
      </c>
      <c r="Z2" s="31"/>
    </row>
    <row r="3" customFormat="false" ht="39.75" hidden="false" customHeight="true" outlineLevel="0" collapsed="false">
      <c r="A3" s="7" t="s">
        <v>101</v>
      </c>
      <c r="B3" s="7" t="s">
        <v>102</v>
      </c>
      <c r="C3" s="7" t="s">
        <v>82</v>
      </c>
      <c r="D3" s="7" t="s">
        <v>104</v>
      </c>
      <c r="E3" s="7" t="s">
        <v>713</v>
      </c>
      <c r="F3" s="7" t="s">
        <v>714</v>
      </c>
      <c r="G3" s="7" t="s">
        <v>715</v>
      </c>
      <c r="H3" s="7" t="s">
        <v>716</v>
      </c>
      <c r="I3" s="7" t="s">
        <v>717</v>
      </c>
      <c r="J3" s="7" t="s">
        <v>718</v>
      </c>
      <c r="K3" s="7" t="s">
        <v>719</v>
      </c>
      <c r="L3" s="7" t="s">
        <v>720</v>
      </c>
      <c r="M3" s="7" t="s">
        <v>721</v>
      </c>
      <c r="N3" s="7" t="s">
        <v>722</v>
      </c>
      <c r="O3" s="7" t="s">
        <v>723</v>
      </c>
      <c r="P3" s="7" t="s">
        <v>724</v>
      </c>
      <c r="Q3" s="7" t="s">
        <v>725</v>
      </c>
      <c r="R3" s="7" t="s">
        <v>726</v>
      </c>
      <c r="S3" s="7" t="s">
        <v>727</v>
      </c>
      <c r="T3" s="7" t="s">
        <v>728</v>
      </c>
      <c r="U3" s="7" t="s">
        <v>729</v>
      </c>
      <c r="V3" s="7" t="s">
        <v>730</v>
      </c>
      <c r="W3" s="7" t="s">
        <v>731</v>
      </c>
      <c r="X3" s="7" t="s">
        <v>732</v>
      </c>
      <c r="Y3" s="7" t="s">
        <v>733</v>
      </c>
      <c r="Z3" s="7" t="s">
        <v>71</v>
      </c>
    </row>
    <row r="4" customFormat="false" ht="15.75" hidden="false" customHeight="true" outlineLevel="0" collapsed="false">
      <c r="A4" s="32" t="str">
        <f aca="false">IF(Produtos!$A4="","",Produtos!$A4)</f>
        <v>L1618</v>
      </c>
      <c r="B4" s="32" t="str">
        <f aca="false">IF(Produtos!$A4="","",Produtos!$B4)</f>
        <v>Lixeira Aço Inox s/Tampa 16x18 03L</v>
      </c>
      <c r="C4" s="32" t="str">
        <f aca="false">IF(Produtos!$A4="","",Produtos!$C4)</f>
        <v>Lixeiras em inox</v>
      </c>
      <c r="D4" s="33" t="n">
        <f aca="false">IF(Produtos!$A4="","",IF(Produtos!$D4="","",Produtos!$D4))</f>
        <v>39.8</v>
      </c>
      <c r="E4" s="11" t="n">
        <v>0</v>
      </c>
      <c r="F4" s="34" t="n">
        <f aca="false">IF($A4="","",IF($C4="","⚠ categoria",IFERROR(INDEX(Parâmetros!$F$13:$F$22,MATCH($C4,Parâmetros!$A$13:$A$22,0)),"⚠ categoria")))</f>
        <v>0.19</v>
      </c>
      <c r="G4" s="35"/>
      <c r="H4" s="36" t="n">
        <f aca="false">IF($A4="","",IF(ISNUMBER($G4),$G4,IF(ISNUMBER($F4),$F4,"")))</f>
        <v>0.19</v>
      </c>
      <c r="I4" s="37" t="n">
        <f aca="false">IF(OR($A4="",NOT(ISNUMBER($D4)),NOT(ISNUMBER($H4))),"",IF((1-$H4-Parâmetros!$B$8-Parâmetros!$C$8-Parâmetros!$D$8)&lt;=0,"INVALIDO",($D4+IF(ISNUMBER($E4),$E4,0)+IF(ISNUMBER(Parâmetros!$E$8),Parâmetros!$E$8,0))/(1-$H4-Parâmetros!$B$8-Parâmetros!$C$8-Parâmetros!$D$8)))</f>
        <v>82.9166666666667</v>
      </c>
      <c r="J4" s="38"/>
      <c r="K4" s="39" t="n">
        <f aca="false">IF(OR($A4="",NOT(ISNUMBER($D4)),NOT(ISNUMBER($H4))),"",IF(AND(ISNUMBER($J4),$J4&gt;0),$J4,IF(ISNUMBER($I4),$I4,"")))</f>
        <v>82.9166666666667</v>
      </c>
      <c r="L4" s="40" t="n">
        <f aca="false">IF(ISNUMBER($K4),$K4*$H4,"")</f>
        <v>15.7541666666667</v>
      </c>
      <c r="M4" s="40" t="n">
        <f aca="false">IF(ISNUMBER($K4),$K4*Parâmetros!$B$8,"")</f>
        <v>8.29166666666667</v>
      </c>
      <c r="N4" s="40" t="n">
        <f aca="false">IF(ISNUMBER($K4),$K4*Parâmetros!$C$8,"")</f>
        <v>2.4875</v>
      </c>
      <c r="O4" s="40" t="n">
        <f aca="false">IF(ISNUMBER($K4),IF(ISNUMBER(Parâmetros!$E$8),Parâmetros!$E$8,0),"")</f>
        <v>0</v>
      </c>
      <c r="P4" s="41" t="n">
        <f aca="false">IF(ISNUMBER($K4),$K4-$D4-IF(ISNUMBER($E4),$E4,0)-$L4-$M4-$N4-$O4,"")</f>
        <v>16.5833333333333</v>
      </c>
      <c r="Q4" s="42" t="n">
        <f aca="false">IF(AND(ISNUMBER($K4),$K4&gt;0),$P4/$K4,"")</f>
        <v>0.2</v>
      </c>
      <c r="R4" s="43"/>
      <c r="S4" s="44" t="str">
        <f aca="false">IF(OR(NOT(ISNUMBER($R4)),$R4=0,NOT(ISNUMBER($K4))),"",$K4*(1-$R4))</f>
        <v/>
      </c>
      <c r="T4" s="45" t="str">
        <f aca="false">IF(ISNUMBER($S4),$S4*$H4,"")</f>
        <v/>
      </c>
      <c r="U4" s="45" t="str">
        <f aca="false">IF(ISNUMBER($S4),$S4*Parâmetros!$B$8,"")</f>
        <v/>
      </c>
      <c r="V4" s="45" t="str">
        <f aca="false">IF(ISNUMBER($S4),$S4*Parâmetros!$C$8,"")</f>
        <v/>
      </c>
      <c r="W4" s="44" t="str">
        <f aca="false">IF(ISNUMBER($S4),$S4-$D4-IF(ISNUMBER($E4),$E4,0)-$O4-$T4-$U4-$V4,"")</f>
        <v/>
      </c>
      <c r="X4" s="46" t="str">
        <f aca="false">IF(AND(ISNUMBER($S4),$S4&gt;0),$W4/$S4,"")</f>
        <v/>
      </c>
      <c r="Y4" s="47"/>
      <c r="Z4" s="19"/>
    </row>
    <row r="5" customFormat="false" ht="15.75" hidden="false" customHeight="true" outlineLevel="0" collapsed="false">
      <c r="A5" s="48" t="str">
        <f aca="false">IF(Produtos!$A5="","",Produtos!$A5)</f>
        <v>L1623</v>
      </c>
      <c r="B5" s="48" t="str">
        <f aca="false">IF(Produtos!$A5="","",Produtos!$B5)</f>
        <v>Lixeira Aço Inox s/Tampa 16x23 05L</v>
      </c>
      <c r="C5" s="48" t="str">
        <f aca="false">IF(Produtos!$A5="","",Produtos!$C5)</f>
        <v>Lixeiras em inox</v>
      </c>
      <c r="D5" s="33" t="n">
        <f aca="false">IF(Produtos!$A5="","",IF(Produtos!$D5="","",Produtos!$D5))</f>
        <v>49.15</v>
      </c>
      <c r="E5" s="11" t="n">
        <v>0</v>
      </c>
      <c r="F5" s="34" t="n">
        <f aca="false">IF($A5="","",IF($C5="","⚠ categoria",IFERROR(INDEX(Parâmetros!$F$13:$F$22,MATCH($C5,Parâmetros!$A$13:$A$22,0)),"⚠ categoria")))</f>
        <v>0.19</v>
      </c>
      <c r="G5" s="35"/>
      <c r="H5" s="36" t="n">
        <f aca="false">IF($A5="","",IF(ISNUMBER($G5),$G5,IF(ISNUMBER($F5),$F5,"")))</f>
        <v>0.19</v>
      </c>
      <c r="I5" s="37" t="n">
        <f aca="false">IF(OR($A5="",NOT(ISNUMBER($D5)),NOT(ISNUMBER($H5))),"",IF((1-$H5-Parâmetros!$B$8-Parâmetros!$C$8-Parâmetros!$D$8)&lt;=0,"INVALIDO",($D5+IF(ISNUMBER($E5),$E5,0)+IF(ISNUMBER(Parâmetros!$E$8),Parâmetros!$E$8,0))/(1-$H5-Parâmetros!$B$8-Parâmetros!$C$8-Parâmetros!$D$8)))</f>
        <v>102.395833333333</v>
      </c>
      <c r="J5" s="38"/>
      <c r="K5" s="39" t="n">
        <f aca="false">IF(OR($A5="",NOT(ISNUMBER($D5)),NOT(ISNUMBER($H5))),"",IF(AND(ISNUMBER($J5),$J5&gt;0),$J5,IF(ISNUMBER($I5),$I5,"")))</f>
        <v>102.395833333333</v>
      </c>
      <c r="L5" s="40" t="n">
        <f aca="false">IF(ISNUMBER($K5),$K5*$H5,"")</f>
        <v>19.4552083333333</v>
      </c>
      <c r="M5" s="40" t="n">
        <f aca="false">IF(ISNUMBER($K5),$K5*Parâmetros!$B$8,"")</f>
        <v>10.2395833333333</v>
      </c>
      <c r="N5" s="40" t="n">
        <f aca="false">IF(ISNUMBER($K5),$K5*Parâmetros!$C$8,"")</f>
        <v>3.071875</v>
      </c>
      <c r="O5" s="40" t="n">
        <f aca="false">IF(ISNUMBER($K5),IF(ISNUMBER(Parâmetros!$E$8),Parâmetros!$E$8,0),"")</f>
        <v>0</v>
      </c>
      <c r="P5" s="41" t="n">
        <f aca="false">IF(ISNUMBER($K5),$K5-$D5-IF(ISNUMBER($E5),$E5,0)-$L5-$M5-$N5-$O5,"")</f>
        <v>20.4791666666667</v>
      </c>
      <c r="Q5" s="42" t="n">
        <f aca="false">IF(AND(ISNUMBER($K5),$K5&gt;0),$P5/$K5,"")</f>
        <v>0.2</v>
      </c>
      <c r="R5" s="43"/>
      <c r="S5" s="44" t="str">
        <f aca="false">IF(OR(NOT(ISNUMBER($R5)),$R5=0,NOT(ISNUMBER($K5))),"",$K5*(1-$R5))</f>
        <v/>
      </c>
      <c r="T5" s="45" t="str">
        <f aca="false">IF(ISNUMBER($S5),$S5*$H5,"")</f>
        <v/>
      </c>
      <c r="U5" s="45" t="str">
        <f aca="false">IF(ISNUMBER($S5),$S5*Parâmetros!$B$8,"")</f>
        <v/>
      </c>
      <c r="V5" s="45" t="str">
        <f aca="false">IF(ISNUMBER($S5),$S5*Parâmetros!$C$8,"")</f>
        <v/>
      </c>
      <c r="W5" s="44" t="str">
        <f aca="false">IF(ISNUMBER($S5),$S5-$D5-IF(ISNUMBER($E5),$E5,0)-$O5-$T5-$U5-$V5,"")</f>
        <v/>
      </c>
      <c r="X5" s="46" t="str">
        <f aca="false">IF(AND(ISNUMBER($S5),$S5&gt;0),$W5/$S5,"")</f>
        <v/>
      </c>
      <c r="Y5" s="49"/>
      <c r="Z5" s="21"/>
    </row>
    <row r="6" customFormat="false" ht="15.75" hidden="false" customHeight="true" outlineLevel="0" collapsed="false">
      <c r="A6" s="32" t="str">
        <f aca="false">IF(Produtos!$A6="","",Produtos!$A6)</f>
        <v>L2025</v>
      </c>
      <c r="B6" s="32" t="str">
        <f aca="false">IF(Produtos!$A6="","",Produtos!$B6)</f>
        <v>Lixeira Aço Inox s/Tampa 20x25 07L</v>
      </c>
      <c r="C6" s="32" t="str">
        <f aca="false">IF(Produtos!$A6="","",Produtos!$C6)</f>
        <v>Lixeiras em inox</v>
      </c>
      <c r="D6" s="33" t="n">
        <f aca="false">IF(Produtos!$A6="","",IF(Produtos!$D6="","",Produtos!$D6))</f>
        <v>51.82</v>
      </c>
      <c r="E6" s="11" t="n">
        <v>0</v>
      </c>
      <c r="F6" s="34" t="n">
        <f aca="false">IF($A6="","",IF($C6="","⚠ categoria",IFERROR(INDEX(Parâmetros!$F$13:$F$22,MATCH($C6,Parâmetros!$A$13:$A$22,0)),"⚠ categoria")))</f>
        <v>0.19</v>
      </c>
      <c r="G6" s="35"/>
      <c r="H6" s="36" t="n">
        <f aca="false">IF($A6="","",IF(ISNUMBER($G6),$G6,IF(ISNUMBER($F6),$F6,"")))</f>
        <v>0.19</v>
      </c>
      <c r="I6" s="37" t="n">
        <f aca="false">IF(OR($A6="",NOT(ISNUMBER($D6)),NOT(ISNUMBER($H6))),"",IF((1-$H6-Parâmetros!$B$8-Parâmetros!$C$8-Parâmetros!$D$8)&lt;=0,"INVALIDO",($D6+IF(ISNUMBER($E6),$E6,0)+IF(ISNUMBER(Parâmetros!$E$8),Parâmetros!$E$8,0))/(1-$H6-Parâmetros!$B$8-Parâmetros!$C$8-Parâmetros!$D$8)))</f>
        <v>107.958333333333</v>
      </c>
      <c r="J6" s="38"/>
      <c r="K6" s="39" t="n">
        <f aca="false">IF(OR($A6="",NOT(ISNUMBER($D6)),NOT(ISNUMBER($H6))),"",IF(AND(ISNUMBER($J6),$J6&gt;0),$J6,IF(ISNUMBER($I6),$I6,"")))</f>
        <v>107.958333333333</v>
      </c>
      <c r="L6" s="40" t="n">
        <f aca="false">IF(ISNUMBER($K6),$K6*$H6,"")</f>
        <v>20.5120833333333</v>
      </c>
      <c r="M6" s="40" t="n">
        <f aca="false">IF(ISNUMBER($K6),$K6*Parâmetros!$B$8,"")</f>
        <v>10.7958333333333</v>
      </c>
      <c r="N6" s="40" t="n">
        <f aca="false">IF(ISNUMBER($K6),$K6*Parâmetros!$C$8,"")</f>
        <v>3.23875</v>
      </c>
      <c r="O6" s="40" t="n">
        <f aca="false">IF(ISNUMBER($K6),IF(ISNUMBER(Parâmetros!$E$8),Parâmetros!$E$8,0),"")</f>
        <v>0</v>
      </c>
      <c r="P6" s="41" t="n">
        <f aca="false">IF(ISNUMBER($K6),$K6-$D6-IF(ISNUMBER($E6),$E6,0)-$L6-$M6-$N6-$O6,"")</f>
        <v>21.5916666666667</v>
      </c>
      <c r="Q6" s="42" t="n">
        <f aca="false">IF(AND(ISNUMBER($K6),$K6&gt;0),$P6/$K6,"")</f>
        <v>0.2</v>
      </c>
      <c r="R6" s="43"/>
      <c r="S6" s="44" t="str">
        <f aca="false">IF(OR(NOT(ISNUMBER($R6)),$R6=0,NOT(ISNUMBER($K6))),"",$K6*(1-$R6))</f>
        <v/>
      </c>
      <c r="T6" s="45" t="str">
        <f aca="false">IF(ISNUMBER($S6),$S6*$H6,"")</f>
        <v/>
      </c>
      <c r="U6" s="45" t="str">
        <f aca="false">IF(ISNUMBER($S6),$S6*Parâmetros!$B$8,"")</f>
        <v/>
      </c>
      <c r="V6" s="45" t="str">
        <f aca="false">IF(ISNUMBER($S6),$S6*Parâmetros!$C$8,"")</f>
        <v/>
      </c>
      <c r="W6" s="44" t="str">
        <f aca="false">IF(ISNUMBER($S6),$S6-$D6-IF(ISNUMBER($E6),$E6,0)-$O6-$T6-$U6-$V6,"")</f>
        <v/>
      </c>
      <c r="X6" s="46" t="str">
        <f aca="false">IF(AND(ISNUMBER($S6),$S6&gt;0),$W6/$S6,"")</f>
        <v/>
      </c>
      <c r="Y6" s="47"/>
      <c r="Z6" s="19"/>
    </row>
    <row r="7" customFormat="false" ht="15.75" hidden="false" customHeight="true" outlineLevel="0" collapsed="false">
      <c r="A7" s="48" t="str">
        <f aca="false">IF(Produtos!$A7="","",Produtos!$A7)</f>
        <v>L2030</v>
      </c>
      <c r="B7" s="48" t="str">
        <f aca="false">IF(Produtos!$A7="","",Produtos!$B7)</f>
        <v>Lixeira Aço Inox s/Tampa 20x30 10L</v>
      </c>
      <c r="C7" s="48" t="str">
        <f aca="false">IF(Produtos!$A7="","",Produtos!$C7)</f>
        <v>Lixeiras em inox</v>
      </c>
      <c r="D7" s="33" t="n">
        <f aca="false">IF(Produtos!$A7="","",IF(Produtos!$D7="","",Produtos!$D7))</f>
        <v>55.49</v>
      </c>
      <c r="E7" s="11" t="n">
        <v>0</v>
      </c>
      <c r="F7" s="34" t="n">
        <f aca="false">IF($A7="","",IF($C7="","⚠ categoria",IFERROR(INDEX(Parâmetros!$F$13:$F$22,MATCH($C7,Parâmetros!$A$13:$A$22,0)),"⚠ categoria")))</f>
        <v>0.19</v>
      </c>
      <c r="G7" s="35"/>
      <c r="H7" s="36" t="n">
        <f aca="false">IF($A7="","",IF(ISNUMBER($G7),$G7,IF(ISNUMBER($F7),$F7,"")))</f>
        <v>0.19</v>
      </c>
      <c r="I7" s="37" t="n">
        <f aca="false">IF(OR($A7="",NOT(ISNUMBER($D7)),NOT(ISNUMBER($H7))),"",IF((1-$H7-Parâmetros!$B$8-Parâmetros!$C$8-Parâmetros!$D$8)&lt;=0,"INVALIDO",($D7+IF(ISNUMBER($E7),$E7,0)+IF(ISNUMBER(Parâmetros!$E$8),Parâmetros!$E$8,0))/(1-$H7-Parâmetros!$B$8-Parâmetros!$C$8-Parâmetros!$D$8)))</f>
        <v>115.604166666667</v>
      </c>
      <c r="J7" s="38"/>
      <c r="K7" s="39" t="n">
        <f aca="false">IF(OR($A7="",NOT(ISNUMBER($D7)),NOT(ISNUMBER($H7))),"",IF(AND(ISNUMBER($J7),$J7&gt;0),$J7,IF(ISNUMBER($I7),$I7,"")))</f>
        <v>115.604166666667</v>
      </c>
      <c r="L7" s="40" t="n">
        <f aca="false">IF(ISNUMBER($K7),$K7*$H7,"")</f>
        <v>21.9647916666667</v>
      </c>
      <c r="M7" s="40" t="n">
        <f aca="false">IF(ISNUMBER($K7),$K7*Parâmetros!$B$8,"")</f>
        <v>11.5604166666667</v>
      </c>
      <c r="N7" s="40" t="n">
        <f aca="false">IF(ISNUMBER($K7),$K7*Parâmetros!$C$8,"")</f>
        <v>3.468125</v>
      </c>
      <c r="O7" s="40" t="n">
        <f aca="false">IF(ISNUMBER($K7),IF(ISNUMBER(Parâmetros!$E$8),Parâmetros!$E$8,0),"")</f>
        <v>0</v>
      </c>
      <c r="P7" s="41" t="n">
        <f aca="false">IF(ISNUMBER($K7),$K7-$D7-IF(ISNUMBER($E7),$E7,0)-$L7-$M7-$N7-$O7,"")</f>
        <v>23.1208333333333</v>
      </c>
      <c r="Q7" s="42" t="n">
        <f aca="false">IF(AND(ISNUMBER($K7),$K7&gt;0),$P7/$K7,"")</f>
        <v>0.2</v>
      </c>
      <c r="R7" s="43"/>
      <c r="S7" s="44" t="str">
        <f aca="false">IF(OR(NOT(ISNUMBER($R7)),$R7=0,NOT(ISNUMBER($K7))),"",$K7*(1-$R7))</f>
        <v/>
      </c>
      <c r="T7" s="45" t="str">
        <f aca="false">IF(ISNUMBER($S7),$S7*$H7,"")</f>
        <v/>
      </c>
      <c r="U7" s="45" t="str">
        <f aca="false">IF(ISNUMBER($S7),$S7*Parâmetros!$B$8,"")</f>
        <v/>
      </c>
      <c r="V7" s="45" t="str">
        <f aca="false">IF(ISNUMBER($S7),$S7*Parâmetros!$C$8,"")</f>
        <v/>
      </c>
      <c r="W7" s="44" t="str">
        <f aca="false">IF(ISNUMBER($S7),$S7-$D7-IF(ISNUMBER($E7),$E7,0)-$O7-$T7-$U7-$V7,"")</f>
        <v/>
      </c>
      <c r="X7" s="46" t="str">
        <f aca="false">IF(AND(ISNUMBER($S7),$S7&gt;0),$W7/$S7,"")</f>
        <v/>
      </c>
      <c r="Y7" s="49"/>
      <c r="Z7" s="21"/>
    </row>
    <row r="8" customFormat="false" ht="15.75" hidden="false" customHeight="true" outlineLevel="0" collapsed="false">
      <c r="A8" s="32" t="str">
        <f aca="false">IF(Produtos!$A8="","",Produtos!$A8)</f>
        <v>L2425</v>
      </c>
      <c r="B8" s="32" t="str">
        <f aca="false">IF(Produtos!$A8="","",Produtos!$B8)</f>
        <v>Lixeira Aço Inox s/Tampa 24x25 13L</v>
      </c>
      <c r="C8" s="32" t="str">
        <f aca="false">IF(Produtos!$A8="","",Produtos!$C8)</f>
        <v>Lixeiras em inox</v>
      </c>
      <c r="D8" s="33" t="n">
        <f aca="false">IF(Produtos!$A8="","",IF(Produtos!$D8="","",Produtos!$D8))</f>
        <v>62.2</v>
      </c>
      <c r="E8" s="11" t="n">
        <v>0</v>
      </c>
      <c r="F8" s="34" t="n">
        <f aca="false">IF($A8="","",IF($C8="","⚠ categoria",IFERROR(INDEX(Parâmetros!$F$13:$F$22,MATCH($C8,Parâmetros!$A$13:$A$22,0)),"⚠ categoria")))</f>
        <v>0.19</v>
      </c>
      <c r="G8" s="35"/>
      <c r="H8" s="36" t="n">
        <f aca="false">IF($A8="","",IF(ISNUMBER($G8),$G8,IF(ISNUMBER($F8),$F8,"")))</f>
        <v>0.19</v>
      </c>
      <c r="I8" s="37" t="n">
        <f aca="false">IF(OR($A8="",NOT(ISNUMBER($D8)),NOT(ISNUMBER($H8))),"",IF((1-$H8-Parâmetros!$B$8-Parâmetros!$C$8-Parâmetros!$D$8)&lt;=0,"INVALIDO",($D8+IF(ISNUMBER($E8),$E8,0)+IF(ISNUMBER(Parâmetros!$E$8),Parâmetros!$E$8,0))/(1-$H8-Parâmetros!$B$8-Parâmetros!$C$8-Parâmetros!$D$8)))</f>
        <v>129.583333333333</v>
      </c>
      <c r="J8" s="38"/>
      <c r="K8" s="39" t="n">
        <f aca="false">IF(OR($A8="",NOT(ISNUMBER($D8)),NOT(ISNUMBER($H8))),"",IF(AND(ISNUMBER($J8),$J8&gt;0),$J8,IF(ISNUMBER($I8),$I8,"")))</f>
        <v>129.583333333333</v>
      </c>
      <c r="L8" s="40" t="n">
        <f aca="false">IF(ISNUMBER($K8),$K8*$H8,"")</f>
        <v>24.6208333333333</v>
      </c>
      <c r="M8" s="40" t="n">
        <f aca="false">IF(ISNUMBER($K8),$K8*Parâmetros!$B$8,"")</f>
        <v>12.9583333333333</v>
      </c>
      <c r="N8" s="40" t="n">
        <f aca="false">IF(ISNUMBER($K8),$K8*Parâmetros!$C$8,"")</f>
        <v>3.8875</v>
      </c>
      <c r="O8" s="40" t="n">
        <f aca="false">IF(ISNUMBER($K8),IF(ISNUMBER(Parâmetros!$E$8),Parâmetros!$E$8,0),"")</f>
        <v>0</v>
      </c>
      <c r="P8" s="41" t="n">
        <f aca="false">IF(ISNUMBER($K8),$K8-$D8-IF(ISNUMBER($E8),$E8,0)-$L8-$M8-$N8-$O8,"")</f>
        <v>25.9166666666667</v>
      </c>
      <c r="Q8" s="42" t="n">
        <f aca="false">IF(AND(ISNUMBER($K8),$K8&gt;0),$P8/$K8,"")</f>
        <v>0.2</v>
      </c>
      <c r="R8" s="43"/>
      <c r="S8" s="44" t="str">
        <f aca="false">IF(OR(NOT(ISNUMBER($R8)),$R8=0,NOT(ISNUMBER($K8))),"",$K8*(1-$R8))</f>
        <v/>
      </c>
      <c r="T8" s="45" t="str">
        <f aca="false">IF(ISNUMBER($S8),$S8*$H8,"")</f>
        <v/>
      </c>
      <c r="U8" s="45" t="str">
        <f aca="false">IF(ISNUMBER($S8),$S8*Parâmetros!$B$8,"")</f>
        <v/>
      </c>
      <c r="V8" s="45" t="str">
        <f aca="false">IF(ISNUMBER($S8),$S8*Parâmetros!$C$8,"")</f>
        <v/>
      </c>
      <c r="W8" s="44" t="str">
        <f aca="false">IF(ISNUMBER($S8),$S8-$D8-IF(ISNUMBER($E8),$E8,0)-$O8-$T8-$U8-$V8,"")</f>
        <v/>
      </c>
      <c r="X8" s="46" t="str">
        <f aca="false">IF(AND(ISNUMBER($S8),$S8&gt;0),$W8/$S8,"")</f>
        <v/>
      </c>
      <c r="Y8" s="47"/>
      <c r="Z8" s="19"/>
    </row>
    <row r="9" customFormat="false" ht="15.75" hidden="false" customHeight="true" outlineLevel="0" collapsed="false">
      <c r="A9" s="48" t="str">
        <f aca="false">IF(Produtos!$A9="","",Produtos!$A9)</f>
        <v>L2430</v>
      </c>
      <c r="B9" s="48" t="str">
        <f aca="false">IF(Produtos!$A9="","",Produtos!$B9)</f>
        <v>Lixeira Aço Inox s/Tampa 24x30 15L</v>
      </c>
      <c r="C9" s="48" t="str">
        <f aca="false">IF(Produtos!$A9="","",Produtos!$C9)</f>
        <v>Lixeiras em inox</v>
      </c>
      <c r="D9" s="33" t="n">
        <f aca="false">IF(Produtos!$A9="","",IF(Produtos!$D9="","",Produtos!$D9))</f>
        <v>69.93</v>
      </c>
      <c r="E9" s="11" t="n">
        <v>0</v>
      </c>
      <c r="F9" s="34" t="n">
        <f aca="false">IF($A9="","",IF($C9="","⚠ categoria",IFERROR(INDEX(Parâmetros!$F$13:$F$22,MATCH($C9,Parâmetros!$A$13:$A$22,0)),"⚠ categoria")))</f>
        <v>0.19</v>
      </c>
      <c r="G9" s="35"/>
      <c r="H9" s="36" t="n">
        <f aca="false">IF($A9="","",IF(ISNUMBER($G9),$G9,IF(ISNUMBER($F9),$F9,"")))</f>
        <v>0.19</v>
      </c>
      <c r="I9" s="37" t="n">
        <f aca="false">IF(OR($A9="",NOT(ISNUMBER($D9)),NOT(ISNUMBER($H9))),"",IF((1-$H9-Parâmetros!$B$8-Parâmetros!$C$8-Parâmetros!$D$8)&lt;=0,"INVALIDO",($D9+IF(ISNUMBER($E9),$E9,0)+IF(ISNUMBER(Parâmetros!$E$8),Parâmetros!$E$8,0))/(1-$H9-Parâmetros!$B$8-Parâmetros!$C$8-Parâmetros!$D$8)))</f>
        <v>145.6875</v>
      </c>
      <c r="J9" s="38"/>
      <c r="K9" s="39" t="n">
        <f aca="false">IF(OR($A9="",NOT(ISNUMBER($D9)),NOT(ISNUMBER($H9))),"",IF(AND(ISNUMBER($J9),$J9&gt;0),$J9,IF(ISNUMBER($I9),$I9,"")))</f>
        <v>145.6875</v>
      </c>
      <c r="L9" s="40" t="n">
        <f aca="false">IF(ISNUMBER($K9),$K9*$H9,"")</f>
        <v>27.680625</v>
      </c>
      <c r="M9" s="40" t="n">
        <f aca="false">IF(ISNUMBER($K9),$K9*Parâmetros!$B$8,"")</f>
        <v>14.56875</v>
      </c>
      <c r="N9" s="40" t="n">
        <f aca="false">IF(ISNUMBER($K9),$K9*Parâmetros!$C$8,"")</f>
        <v>4.370625</v>
      </c>
      <c r="O9" s="40" t="n">
        <f aca="false">IF(ISNUMBER($K9),IF(ISNUMBER(Parâmetros!$E$8),Parâmetros!$E$8,0),"")</f>
        <v>0</v>
      </c>
      <c r="P9" s="41" t="n">
        <f aca="false">IF(ISNUMBER($K9),$K9-$D9-IF(ISNUMBER($E9),$E9,0)-$L9-$M9-$N9-$O9,"")</f>
        <v>29.1375</v>
      </c>
      <c r="Q9" s="42" t="n">
        <f aca="false">IF(AND(ISNUMBER($K9),$K9&gt;0),$P9/$K9,"")</f>
        <v>0.2</v>
      </c>
      <c r="R9" s="43"/>
      <c r="S9" s="44" t="str">
        <f aca="false">IF(OR(NOT(ISNUMBER($R9)),$R9=0,NOT(ISNUMBER($K9))),"",$K9*(1-$R9))</f>
        <v/>
      </c>
      <c r="T9" s="45" t="str">
        <f aca="false">IF(ISNUMBER($S9),$S9*$H9,"")</f>
        <v/>
      </c>
      <c r="U9" s="45" t="str">
        <f aca="false">IF(ISNUMBER($S9),$S9*Parâmetros!$B$8,"")</f>
        <v/>
      </c>
      <c r="V9" s="45" t="str">
        <f aca="false">IF(ISNUMBER($S9),$S9*Parâmetros!$C$8,"")</f>
        <v/>
      </c>
      <c r="W9" s="44" t="str">
        <f aca="false">IF(ISNUMBER($S9),$S9-$D9-IF(ISNUMBER($E9),$E9,0)-$O9-$T9-$U9-$V9,"")</f>
        <v/>
      </c>
      <c r="X9" s="46" t="str">
        <f aca="false">IF(AND(ISNUMBER($S9),$S9&gt;0),$W9/$S9,"")</f>
        <v/>
      </c>
      <c r="Y9" s="49"/>
      <c r="Z9" s="21"/>
    </row>
    <row r="10" customFormat="false" ht="15.75" hidden="false" customHeight="true" outlineLevel="0" collapsed="false">
      <c r="A10" s="32" t="str">
        <f aca="false">IF(Produtos!$A10="","",Produtos!$A10)</f>
        <v>L2440</v>
      </c>
      <c r="B10" s="32" t="str">
        <f aca="false">IF(Produtos!$A10="","",Produtos!$B10)</f>
        <v>Lixeira Aço Inox s/Tampa 24x40 20L</v>
      </c>
      <c r="C10" s="32" t="str">
        <f aca="false">IF(Produtos!$A10="","",Produtos!$C10)</f>
        <v>Lixeiras em inox</v>
      </c>
      <c r="D10" s="33" t="n">
        <f aca="false">IF(Produtos!$A10="","",IF(Produtos!$D10="","",Produtos!$D10))</f>
        <v>85.92</v>
      </c>
      <c r="E10" s="11" t="n">
        <v>0</v>
      </c>
      <c r="F10" s="34" t="n">
        <f aca="false">IF($A10="","",IF($C10="","⚠ categoria",IFERROR(INDEX(Parâmetros!$F$13:$F$22,MATCH($C10,Parâmetros!$A$13:$A$22,0)),"⚠ categoria")))</f>
        <v>0.19</v>
      </c>
      <c r="G10" s="35"/>
      <c r="H10" s="36" t="n">
        <f aca="false">IF($A10="","",IF(ISNUMBER($G10),$G10,IF(ISNUMBER($F10),$F10,"")))</f>
        <v>0.19</v>
      </c>
      <c r="I10" s="37" t="n">
        <f aca="false">IF(OR($A10="",NOT(ISNUMBER($D10)),NOT(ISNUMBER($H10))),"",IF((1-$H10-Parâmetros!$B$8-Parâmetros!$C$8-Parâmetros!$D$8)&lt;=0,"INVALIDO",($D10+IF(ISNUMBER($E10),$E10,0)+IF(ISNUMBER(Parâmetros!$E$8),Parâmetros!$E$8,0))/(1-$H10-Parâmetros!$B$8-Parâmetros!$C$8-Parâmetros!$D$8)))</f>
        <v>179</v>
      </c>
      <c r="J10" s="38"/>
      <c r="K10" s="39" t="n">
        <f aca="false">IF(OR($A10="",NOT(ISNUMBER($D10)),NOT(ISNUMBER($H10))),"",IF(AND(ISNUMBER($J10),$J10&gt;0),$J10,IF(ISNUMBER($I10),$I10,"")))</f>
        <v>179</v>
      </c>
      <c r="L10" s="40" t="n">
        <f aca="false">IF(ISNUMBER($K10),$K10*$H10,"")</f>
        <v>34.01</v>
      </c>
      <c r="M10" s="40" t="n">
        <f aca="false">IF(ISNUMBER($K10),$K10*Parâmetros!$B$8,"")</f>
        <v>17.9</v>
      </c>
      <c r="N10" s="40" t="n">
        <f aca="false">IF(ISNUMBER($K10),$K10*Parâmetros!$C$8,"")</f>
        <v>5.37</v>
      </c>
      <c r="O10" s="40" t="n">
        <f aca="false">IF(ISNUMBER($K10),IF(ISNUMBER(Parâmetros!$E$8),Parâmetros!$E$8,0),"")</f>
        <v>0</v>
      </c>
      <c r="P10" s="41" t="n">
        <f aca="false">IF(ISNUMBER($K10),$K10-$D10-IF(ISNUMBER($E10),$E10,0)-$L10-$M10-$N10-$O10,"")</f>
        <v>35.8</v>
      </c>
      <c r="Q10" s="42" t="n">
        <f aca="false">IF(AND(ISNUMBER($K10),$K10&gt;0),$P10/$K10,"")</f>
        <v>0.2</v>
      </c>
      <c r="R10" s="43"/>
      <c r="S10" s="44" t="str">
        <f aca="false">IF(OR(NOT(ISNUMBER($R10)),$R10=0,NOT(ISNUMBER($K10))),"",$K10*(1-$R10))</f>
        <v/>
      </c>
      <c r="T10" s="45" t="str">
        <f aca="false">IF(ISNUMBER($S10),$S10*$H10,"")</f>
        <v/>
      </c>
      <c r="U10" s="45" t="str">
        <f aca="false">IF(ISNUMBER($S10),$S10*Parâmetros!$B$8,"")</f>
        <v/>
      </c>
      <c r="V10" s="45" t="str">
        <f aca="false">IF(ISNUMBER($S10),$S10*Parâmetros!$C$8,"")</f>
        <v/>
      </c>
      <c r="W10" s="44" t="str">
        <f aca="false">IF(ISNUMBER($S10),$S10-$D10-IF(ISNUMBER($E10),$E10,0)-$O10-$T10-$U10-$V10,"")</f>
        <v/>
      </c>
      <c r="X10" s="46" t="str">
        <f aca="false">IF(AND(ISNUMBER($S10),$S10&gt;0),$W10/$S10,"")</f>
        <v/>
      </c>
      <c r="Y10" s="47"/>
      <c r="Z10" s="19"/>
    </row>
    <row r="11" customFormat="false" ht="15.75" hidden="false" customHeight="true" outlineLevel="0" collapsed="false">
      <c r="A11" s="48" t="str">
        <f aca="false">IF(Produtos!$A11="","",Produtos!$A11)</f>
        <v>L2450</v>
      </c>
      <c r="B11" s="48" t="str">
        <f aca="false">IF(Produtos!$A11="","",Produtos!$B11)</f>
        <v>Lixeira Aço Inox s/Tampa 24x50 25L</v>
      </c>
      <c r="C11" s="48" t="str">
        <f aca="false">IF(Produtos!$A11="","",Produtos!$C11)</f>
        <v>Lixeiras em inox</v>
      </c>
      <c r="D11" s="33" t="n">
        <f aca="false">IF(Produtos!$A11="","",IF(Produtos!$D11="","",Produtos!$D11))</f>
        <v>116.34</v>
      </c>
      <c r="E11" s="11" t="n">
        <v>0</v>
      </c>
      <c r="F11" s="34" t="n">
        <f aca="false">IF($A11="","",IF($C11="","⚠ categoria",IFERROR(INDEX(Parâmetros!$F$13:$F$22,MATCH($C11,Parâmetros!$A$13:$A$22,0)),"⚠ categoria")))</f>
        <v>0.19</v>
      </c>
      <c r="G11" s="35"/>
      <c r="H11" s="36" t="n">
        <f aca="false">IF($A11="","",IF(ISNUMBER($G11),$G11,IF(ISNUMBER($F11),$F11,"")))</f>
        <v>0.19</v>
      </c>
      <c r="I11" s="37" t="n">
        <f aca="false">IF(OR($A11="",NOT(ISNUMBER($D11)),NOT(ISNUMBER($H11))),"",IF((1-$H11-Parâmetros!$B$8-Parâmetros!$C$8-Parâmetros!$D$8)&lt;=0,"INVALIDO",($D11+IF(ISNUMBER($E11),$E11,0)+IF(ISNUMBER(Parâmetros!$E$8),Parâmetros!$E$8,0))/(1-$H11-Parâmetros!$B$8-Parâmetros!$C$8-Parâmetros!$D$8)))</f>
        <v>242.375</v>
      </c>
      <c r="J11" s="38"/>
      <c r="K11" s="39" t="n">
        <f aca="false">IF(OR($A11="",NOT(ISNUMBER($D11)),NOT(ISNUMBER($H11))),"",IF(AND(ISNUMBER($J11),$J11&gt;0),$J11,IF(ISNUMBER($I11),$I11,"")))</f>
        <v>242.375</v>
      </c>
      <c r="L11" s="40" t="n">
        <f aca="false">IF(ISNUMBER($K11),$K11*$H11,"")</f>
        <v>46.05125</v>
      </c>
      <c r="M11" s="40" t="n">
        <f aca="false">IF(ISNUMBER($K11),$K11*Parâmetros!$B$8,"")</f>
        <v>24.2375</v>
      </c>
      <c r="N11" s="40" t="n">
        <f aca="false">IF(ISNUMBER($K11),$K11*Parâmetros!$C$8,"")</f>
        <v>7.27125</v>
      </c>
      <c r="O11" s="40" t="n">
        <f aca="false">IF(ISNUMBER($K11),IF(ISNUMBER(Parâmetros!$E$8),Parâmetros!$E$8,0),"")</f>
        <v>0</v>
      </c>
      <c r="P11" s="41" t="n">
        <f aca="false">IF(ISNUMBER($K11),$K11-$D11-IF(ISNUMBER($E11),$E11,0)-$L11-$M11-$N11-$O11,"")</f>
        <v>48.475</v>
      </c>
      <c r="Q11" s="42" t="n">
        <f aca="false">IF(AND(ISNUMBER($K11),$K11&gt;0),$P11/$K11,"")</f>
        <v>0.2</v>
      </c>
      <c r="R11" s="43"/>
      <c r="S11" s="44" t="str">
        <f aca="false">IF(OR(NOT(ISNUMBER($R11)),$R11=0,NOT(ISNUMBER($K11))),"",$K11*(1-$R11))</f>
        <v/>
      </c>
      <c r="T11" s="45" t="str">
        <f aca="false">IF(ISNUMBER($S11),$S11*$H11,"")</f>
        <v/>
      </c>
      <c r="U11" s="45" t="str">
        <f aca="false">IF(ISNUMBER($S11),$S11*Parâmetros!$B$8,"")</f>
        <v/>
      </c>
      <c r="V11" s="45" t="str">
        <f aca="false">IF(ISNUMBER($S11),$S11*Parâmetros!$C$8,"")</f>
        <v/>
      </c>
      <c r="W11" s="44" t="str">
        <f aca="false">IF(ISNUMBER($S11),$S11-$D11-IF(ISNUMBER($E11),$E11,0)-$O11-$T11-$U11-$V11,"")</f>
        <v/>
      </c>
      <c r="X11" s="46" t="str">
        <f aca="false">IF(AND(ISNUMBER($S11),$S11&gt;0),$W11/$S11,"")</f>
        <v/>
      </c>
      <c r="Y11" s="49"/>
      <c r="Z11" s="21"/>
    </row>
    <row r="12" customFormat="false" ht="15.75" hidden="false" customHeight="true" outlineLevel="0" collapsed="false">
      <c r="A12" s="32" t="str">
        <f aca="false">IF(Produtos!$A12="","",Produtos!$A12)</f>
        <v>L2460</v>
      </c>
      <c r="B12" s="32" t="str">
        <f aca="false">IF(Produtos!$A12="","",Produtos!$B12)</f>
        <v>Lixeira Aço Inox s/Tampa 24x60 27L</v>
      </c>
      <c r="C12" s="32" t="str">
        <f aca="false">IF(Produtos!$A12="","",Produtos!$C12)</f>
        <v>Lixeiras em inox</v>
      </c>
      <c r="D12" s="33" t="n">
        <f aca="false">IF(Produtos!$A12="","",IF(Produtos!$D12="","",Produtos!$D12))</f>
        <v>117.84</v>
      </c>
      <c r="E12" s="11" t="n">
        <v>0</v>
      </c>
      <c r="F12" s="34" t="n">
        <f aca="false">IF($A12="","",IF($C12="","⚠ categoria",IFERROR(INDEX(Parâmetros!$F$13:$F$22,MATCH($C12,Parâmetros!$A$13:$A$22,0)),"⚠ categoria")))</f>
        <v>0.19</v>
      </c>
      <c r="G12" s="35"/>
      <c r="H12" s="36" t="n">
        <f aca="false">IF($A12="","",IF(ISNUMBER($G12),$G12,IF(ISNUMBER($F12),$F12,"")))</f>
        <v>0.19</v>
      </c>
      <c r="I12" s="37" t="n">
        <f aca="false">IF(OR($A12="",NOT(ISNUMBER($D12)),NOT(ISNUMBER($H12))),"",IF((1-$H12-Parâmetros!$B$8-Parâmetros!$C$8-Parâmetros!$D$8)&lt;=0,"INVALIDO",($D12+IF(ISNUMBER($E12),$E12,0)+IF(ISNUMBER(Parâmetros!$E$8),Parâmetros!$E$8,0))/(1-$H12-Parâmetros!$B$8-Parâmetros!$C$8-Parâmetros!$D$8)))</f>
        <v>245.5</v>
      </c>
      <c r="J12" s="38"/>
      <c r="K12" s="39" t="n">
        <f aca="false">IF(OR($A12="",NOT(ISNUMBER($D12)),NOT(ISNUMBER($H12))),"",IF(AND(ISNUMBER($J12),$J12&gt;0),$J12,IF(ISNUMBER($I12),$I12,"")))</f>
        <v>245.5</v>
      </c>
      <c r="L12" s="40" t="n">
        <f aca="false">IF(ISNUMBER($K12),$K12*$H12,"")</f>
        <v>46.645</v>
      </c>
      <c r="M12" s="40" t="n">
        <f aca="false">IF(ISNUMBER($K12),$K12*Parâmetros!$B$8,"")</f>
        <v>24.55</v>
      </c>
      <c r="N12" s="40" t="n">
        <f aca="false">IF(ISNUMBER($K12),$K12*Parâmetros!$C$8,"")</f>
        <v>7.365</v>
      </c>
      <c r="O12" s="40" t="n">
        <f aca="false">IF(ISNUMBER($K12),IF(ISNUMBER(Parâmetros!$E$8),Parâmetros!$E$8,0),"")</f>
        <v>0</v>
      </c>
      <c r="P12" s="41" t="n">
        <f aca="false">IF(ISNUMBER($K12),$K12-$D12-IF(ISNUMBER($E12),$E12,0)-$L12-$M12-$N12-$O12,"")</f>
        <v>49.1</v>
      </c>
      <c r="Q12" s="42" t="n">
        <f aca="false">IF(AND(ISNUMBER($K12),$K12&gt;0),$P12/$K12,"")</f>
        <v>0.2</v>
      </c>
      <c r="R12" s="43"/>
      <c r="S12" s="44" t="str">
        <f aca="false">IF(OR(NOT(ISNUMBER($R12)),$R12=0,NOT(ISNUMBER($K12))),"",$K12*(1-$R12))</f>
        <v/>
      </c>
      <c r="T12" s="45" t="str">
        <f aca="false">IF(ISNUMBER($S12),$S12*$H12,"")</f>
        <v/>
      </c>
      <c r="U12" s="45" t="str">
        <f aca="false">IF(ISNUMBER($S12),$S12*Parâmetros!$B$8,"")</f>
        <v/>
      </c>
      <c r="V12" s="45" t="str">
        <f aca="false">IF(ISNUMBER($S12),$S12*Parâmetros!$C$8,"")</f>
        <v/>
      </c>
      <c r="W12" s="44" t="str">
        <f aca="false">IF(ISNUMBER($S12),$S12-$D12-IF(ISNUMBER($E12),$E12,0)-$O12-$T12-$U12-$V12,"")</f>
        <v/>
      </c>
      <c r="X12" s="46" t="str">
        <f aca="false">IF(AND(ISNUMBER($S12),$S12&gt;0),$W12/$S12,"")</f>
        <v/>
      </c>
      <c r="Y12" s="47"/>
      <c r="Z12" s="19"/>
    </row>
    <row r="13" customFormat="false" ht="15.75" hidden="false" customHeight="true" outlineLevel="0" collapsed="false">
      <c r="A13" s="48" t="str">
        <f aca="false">IF(Produtos!$A13="","",Produtos!$A13)</f>
        <v>L2470</v>
      </c>
      <c r="B13" s="48" t="str">
        <f aca="false">IF(Produtos!$A13="","",Produtos!$B13)</f>
        <v>Lixeira Aço Inox s/Tampa 24x70 30L</v>
      </c>
      <c r="C13" s="48" t="str">
        <f aca="false">IF(Produtos!$A13="","",Produtos!$C13)</f>
        <v>Lixeiras em inox</v>
      </c>
      <c r="D13" s="33" t="n">
        <f aca="false">IF(Produtos!$A13="","",IF(Produtos!$D13="","",Produtos!$D13))</f>
        <v>186.46</v>
      </c>
      <c r="E13" s="11" t="n">
        <v>0</v>
      </c>
      <c r="F13" s="34" t="n">
        <f aca="false">IF($A13="","",IF($C13="","⚠ categoria",IFERROR(INDEX(Parâmetros!$F$13:$F$22,MATCH($C13,Parâmetros!$A$13:$A$22,0)),"⚠ categoria")))</f>
        <v>0.19</v>
      </c>
      <c r="G13" s="35"/>
      <c r="H13" s="36" t="n">
        <f aca="false">IF($A13="","",IF(ISNUMBER($G13),$G13,IF(ISNUMBER($F13),$F13,"")))</f>
        <v>0.19</v>
      </c>
      <c r="I13" s="37" t="n">
        <f aca="false">IF(OR($A13="",NOT(ISNUMBER($D13)),NOT(ISNUMBER($H13))),"",IF((1-$H13-Parâmetros!$B$8-Parâmetros!$C$8-Parâmetros!$D$8)&lt;=0,"INVALIDO",($D13+IF(ISNUMBER($E13),$E13,0)+IF(ISNUMBER(Parâmetros!$E$8),Parâmetros!$E$8,0))/(1-$H13-Parâmetros!$B$8-Parâmetros!$C$8-Parâmetros!$D$8)))</f>
        <v>388.458333333333</v>
      </c>
      <c r="J13" s="38"/>
      <c r="K13" s="39" t="n">
        <f aca="false">IF(OR($A13="",NOT(ISNUMBER($D13)),NOT(ISNUMBER($H13))),"",IF(AND(ISNUMBER($J13),$J13&gt;0),$J13,IF(ISNUMBER($I13),$I13,"")))</f>
        <v>388.458333333333</v>
      </c>
      <c r="L13" s="40" t="n">
        <f aca="false">IF(ISNUMBER($K13),$K13*$H13,"")</f>
        <v>73.8070833333333</v>
      </c>
      <c r="M13" s="40" t="n">
        <f aca="false">IF(ISNUMBER($K13),$K13*Parâmetros!$B$8,"")</f>
        <v>38.8458333333333</v>
      </c>
      <c r="N13" s="40" t="n">
        <f aca="false">IF(ISNUMBER($K13),$K13*Parâmetros!$C$8,"")</f>
        <v>11.65375</v>
      </c>
      <c r="O13" s="40" t="n">
        <f aca="false">IF(ISNUMBER($K13),IF(ISNUMBER(Parâmetros!$E$8),Parâmetros!$E$8,0),"")</f>
        <v>0</v>
      </c>
      <c r="P13" s="41" t="n">
        <f aca="false">IF(ISNUMBER($K13),$K13-$D13-IF(ISNUMBER($E13),$E13,0)-$L13-$M13-$N13-$O13,"")</f>
        <v>77.6916666666666</v>
      </c>
      <c r="Q13" s="42" t="n">
        <f aca="false">IF(AND(ISNUMBER($K13),$K13&gt;0),$P13/$K13,"")</f>
        <v>0.2</v>
      </c>
      <c r="R13" s="43"/>
      <c r="S13" s="44" t="str">
        <f aca="false">IF(OR(NOT(ISNUMBER($R13)),$R13=0,NOT(ISNUMBER($K13))),"",$K13*(1-$R13))</f>
        <v/>
      </c>
      <c r="T13" s="45" t="str">
        <f aca="false">IF(ISNUMBER($S13),$S13*$H13,"")</f>
        <v/>
      </c>
      <c r="U13" s="45" t="str">
        <f aca="false">IF(ISNUMBER($S13),$S13*Parâmetros!$B$8,"")</f>
        <v/>
      </c>
      <c r="V13" s="45" t="str">
        <f aca="false">IF(ISNUMBER($S13),$S13*Parâmetros!$C$8,"")</f>
        <v/>
      </c>
      <c r="W13" s="44" t="str">
        <f aca="false">IF(ISNUMBER($S13),$S13-$D13-IF(ISNUMBER($E13),$E13,0)-$O13-$T13-$U13-$V13,"")</f>
        <v/>
      </c>
      <c r="X13" s="46" t="str">
        <f aca="false">IF(AND(ISNUMBER($S13),$S13&gt;0),$W13/$S13,"")</f>
        <v/>
      </c>
      <c r="Y13" s="49"/>
      <c r="Z13" s="21"/>
    </row>
    <row r="14" customFormat="false" ht="15.75" hidden="false" customHeight="true" outlineLevel="0" collapsed="false">
      <c r="A14" s="32" t="str">
        <f aca="false">IF(Produtos!$A14="","",Produtos!$A14)</f>
        <v>L3040</v>
      </c>
      <c r="B14" s="32" t="str">
        <f aca="false">IF(Produtos!$A14="","",Produtos!$B14)</f>
        <v>Lixeira Aço Inox s/Tampa 30x40 30L</v>
      </c>
      <c r="C14" s="32" t="str">
        <f aca="false">IF(Produtos!$A14="","",Produtos!$C14)</f>
        <v>Lixeiras em inox</v>
      </c>
      <c r="D14" s="33" t="n">
        <f aca="false">IF(Produtos!$A14="","",IF(Produtos!$D14="","",Produtos!$D14))</f>
        <v>116.77</v>
      </c>
      <c r="E14" s="11" t="n">
        <v>0</v>
      </c>
      <c r="F14" s="34" t="n">
        <f aca="false">IF($A14="","",IF($C14="","⚠ categoria",IFERROR(INDEX(Parâmetros!$F$13:$F$22,MATCH($C14,Parâmetros!$A$13:$A$22,0)),"⚠ categoria")))</f>
        <v>0.19</v>
      </c>
      <c r="G14" s="35"/>
      <c r="H14" s="36" t="n">
        <f aca="false">IF($A14="","",IF(ISNUMBER($G14),$G14,IF(ISNUMBER($F14),$F14,"")))</f>
        <v>0.19</v>
      </c>
      <c r="I14" s="37" t="n">
        <f aca="false">IF(OR($A14="",NOT(ISNUMBER($D14)),NOT(ISNUMBER($H14))),"",IF((1-$H14-Parâmetros!$B$8-Parâmetros!$C$8-Parâmetros!$D$8)&lt;=0,"INVALIDO",($D14+IF(ISNUMBER($E14),$E14,0)+IF(ISNUMBER(Parâmetros!$E$8),Parâmetros!$E$8,0))/(1-$H14-Parâmetros!$B$8-Parâmetros!$C$8-Parâmetros!$D$8)))</f>
        <v>243.270833333333</v>
      </c>
      <c r="J14" s="38"/>
      <c r="K14" s="39" t="n">
        <f aca="false">IF(OR($A14="",NOT(ISNUMBER($D14)),NOT(ISNUMBER($H14))),"",IF(AND(ISNUMBER($J14),$J14&gt;0),$J14,IF(ISNUMBER($I14),$I14,"")))</f>
        <v>243.270833333333</v>
      </c>
      <c r="L14" s="40" t="n">
        <f aca="false">IF(ISNUMBER($K14),$K14*$H14,"")</f>
        <v>46.2214583333333</v>
      </c>
      <c r="M14" s="40" t="n">
        <f aca="false">IF(ISNUMBER($K14),$K14*Parâmetros!$B$8,"")</f>
        <v>24.3270833333333</v>
      </c>
      <c r="N14" s="40" t="n">
        <f aca="false">IF(ISNUMBER($K14),$K14*Parâmetros!$C$8,"")</f>
        <v>7.298125</v>
      </c>
      <c r="O14" s="40" t="n">
        <f aca="false">IF(ISNUMBER($K14),IF(ISNUMBER(Parâmetros!$E$8),Parâmetros!$E$8,0),"")</f>
        <v>0</v>
      </c>
      <c r="P14" s="41" t="n">
        <f aca="false">IF(ISNUMBER($K14),$K14-$D14-IF(ISNUMBER($E14),$E14,0)-$L14-$M14-$N14-$O14,"")</f>
        <v>48.6541666666667</v>
      </c>
      <c r="Q14" s="42" t="n">
        <f aca="false">IF(AND(ISNUMBER($K14),$K14&gt;0),$P14/$K14,"")</f>
        <v>0.2</v>
      </c>
      <c r="R14" s="43"/>
      <c r="S14" s="44" t="str">
        <f aca="false">IF(OR(NOT(ISNUMBER($R14)),$R14=0,NOT(ISNUMBER($K14))),"",$K14*(1-$R14))</f>
        <v/>
      </c>
      <c r="T14" s="45" t="str">
        <f aca="false">IF(ISNUMBER($S14),$S14*$H14,"")</f>
        <v/>
      </c>
      <c r="U14" s="45" t="str">
        <f aca="false">IF(ISNUMBER($S14),$S14*Parâmetros!$B$8,"")</f>
        <v/>
      </c>
      <c r="V14" s="45" t="str">
        <f aca="false">IF(ISNUMBER($S14),$S14*Parâmetros!$C$8,"")</f>
        <v/>
      </c>
      <c r="W14" s="44" t="str">
        <f aca="false">IF(ISNUMBER($S14),$S14-$D14-IF(ISNUMBER($E14),$E14,0)-$O14-$T14-$U14-$V14,"")</f>
        <v/>
      </c>
      <c r="X14" s="46" t="str">
        <f aca="false">IF(AND(ISNUMBER($S14),$S14&gt;0),$W14/$S14,"")</f>
        <v/>
      </c>
      <c r="Y14" s="47"/>
      <c r="Z14" s="19"/>
    </row>
    <row r="15" customFormat="false" ht="15.75" hidden="false" customHeight="true" outlineLevel="0" collapsed="false">
      <c r="A15" s="48" t="str">
        <f aca="false">IF(Produtos!$A15="","",Produtos!$A15)</f>
        <v>L3050</v>
      </c>
      <c r="B15" s="48" t="str">
        <f aca="false">IF(Produtos!$A15="","",Produtos!$B15)</f>
        <v>Lixeira Aço Inox s/Tampa 30x50 35L</v>
      </c>
      <c r="C15" s="48" t="str">
        <f aca="false">IF(Produtos!$A15="","",Produtos!$C15)</f>
        <v>Lixeiras em inox</v>
      </c>
      <c r="D15" s="33" t="n">
        <f aca="false">IF(Produtos!$A15="","",IF(Produtos!$D15="","",Produtos!$D15))</f>
        <v>159.84</v>
      </c>
      <c r="E15" s="11" t="n">
        <v>0</v>
      </c>
      <c r="F15" s="34" t="n">
        <f aca="false">IF($A15="","",IF($C15="","⚠ categoria",IFERROR(INDEX(Parâmetros!$F$13:$F$22,MATCH($C15,Parâmetros!$A$13:$A$22,0)),"⚠ categoria")))</f>
        <v>0.19</v>
      </c>
      <c r="G15" s="35"/>
      <c r="H15" s="36" t="n">
        <f aca="false">IF($A15="","",IF(ISNUMBER($G15),$G15,IF(ISNUMBER($F15),$F15,"")))</f>
        <v>0.19</v>
      </c>
      <c r="I15" s="37" t="n">
        <f aca="false">IF(OR($A15="",NOT(ISNUMBER($D15)),NOT(ISNUMBER($H15))),"",IF((1-$H15-Parâmetros!$B$8-Parâmetros!$C$8-Parâmetros!$D$8)&lt;=0,"INVALIDO",($D15+IF(ISNUMBER($E15),$E15,0)+IF(ISNUMBER(Parâmetros!$E$8),Parâmetros!$E$8,0))/(1-$H15-Parâmetros!$B$8-Parâmetros!$C$8-Parâmetros!$D$8)))</f>
        <v>333</v>
      </c>
      <c r="J15" s="38"/>
      <c r="K15" s="39" t="n">
        <f aca="false">IF(OR($A15="",NOT(ISNUMBER($D15)),NOT(ISNUMBER($H15))),"",IF(AND(ISNUMBER($J15),$J15&gt;0),$J15,IF(ISNUMBER($I15),$I15,"")))</f>
        <v>333</v>
      </c>
      <c r="L15" s="40" t="n">
        <f aca="false">IF(ISNUMBER($K15),$K15*$H15,"")</f>
        <v>63.27</v>
      </c>
      <c r="M15" s="40" t="n">
        <f aca="false">IF(ISNUMBER($K15),$K15*Parâmetros!$B$8,"")</f>
        <v>33.3</v>
      </c>
      <c r="N15" s="40" t="n">
        <f aca="false">IF(ISNUMBER($K15),$K15*Parâmetros!$C$8,"")</f>
        <v>9.99</v>
      </c>
      <c r="O15" s="40" t="n">
        <f aca="false">IF(ISNUMBER($K15),IF(ISNUMBER(Parâmetros!$E$8),Parâmetros!$E$8,0),"")</f>
        <v>0</v>
      </c>
      <c r="P15" s="41" t="n">
        <f aca="false">IF(ISNUMBER($K15),$K15-$D15-IF(ISNUMBER($E15),$E15,0)-$L15-$M15-$N15-$O15,"")</f>
        <v>66.6</v>
      </c>
      <c r="Q15" s="42" t="n">
        <f aca="false">IF(AND(ISNUMBER($K15),$K15&gt;0),$P15/$K15,"")</f>
        <v>0.2</v>
      </c>
      <c r="R15" s="43"/>
      <c r="S15" s="44" t="str">
        <f aca="false">IF(OR(NOT(ISNUMBER($R15)),$R15=0,NOT(ISNUMBER($K15))),"",$K15*(1-$R15))</f>
        <v/>
      </c>
      <c r="T15" s="45" t="str">
        <f aca="false">IF(ISNUMBER($S15),$S15*$H15,"")</f>
        <v/>
      </c>
      <c r="U15" s="45" t="str">
        <f aca="false">IF(ISNUMBER($S15),$S15*Parâmetros!$B$8,"")</f>
        <v/>
      </c>
      <c r="V15" s="45" t="str">
        <f aca="false">IF(ISNUMBER($S15),$S15*Parâmetros!$C$8,"")</f>
        <v/>
      </c>
      <c r="W15" s="44" t="str">
        <f aca="false">IF(ISNUMBER($S15),$S15-$D15-IF(ISNUMBER($E15),$E15,0)-$O15-$T15-$U15-$V15,"")</f>
        <v/>
      </c>
      <c r="X15" s="46" t="str">
        <f aca="false">IF(AND(ISNUMBER($S15),$S15&gt;0),$W15/$S15,"")</f>
        <v/>
      </c>
      <c r="Y15" s="49"/>
      <c r="Z15" s="21"/>
    </row>
    <row r="16" customFormat="false" ht="15.75" hidden="false" customHeight="true" outlineLevel="0" collapsed="false">
      <c r="A16" s="32" t="str">
        <f aca="false">IF(Produtos!$A16="","",Produtos!$A16)</f>
        <v>L3060</v>
      </c>
      <c r="B16" s="32" t="str">
        <f aca="false">IF(Produtos!$A16="","",Produtos!$B16)</f>
        <v>Lixeira Aço Inox s/Tampa 30x60 40L</v>
      </c>
      <c r="C16" s="32" t="str">
        <f aca="false">IF(Produtos!$A16="","",Produtos!$C16)</f>
        <v>Lixeiras em inox</v>
      </c>
      <c r="D16" s="33" t="n">
        <f aca="false">IF(Produtos!$A16="","",IF(Produtos!$D16="","",Produtos!$D16))</f>
        <v>164.99</v>
      </c>
      <c r="E16" s="11" t="n">
        <v>0</v>
      </c>
      <c r="F16" s="34" t="n">
        <f aca="false">IF($A16="","",IF($C16="","⚠ categoria",IFERROR(INDEX(Parâmetros!$F$13:$F$22,MATCH($C16,Parâmetros!$A$13:$A$22,0)),"⚠ categoria")))</f>
        <v>0.19</v>
      </c>
      <c r="G16" s="35"/>
      <c r="H16" s="36" t="n">
        <f aca="false">IF($A16="","",IF(ISNUMBER($G16),$G16,IF(ISNUMBER($F16),$F16,"")))</f>
        <v>0.19</v>
      </c>
      <c r="I16" s="37" t="n">
        <f aca="false">IF(OR($A16="",NOT(ISNUMBER($D16)),NOT(ISNUMBER($H16))),"",IF((1-$H16-Parâmetros!$B$8-Parâmetros!$C$8-Parâmetros!$D$8)&lt;=0,"INVALIDO",($D16+IF(ISNUMBER($E16),$E16,0)+IF(ISNUMBER(Parâmetros!$E$8),Parâmetros!$E$8,0))/(1-$H16-Parâmetros!$B$8-Parâmetros!$C$8-Parâmetros!$D$8)))</f>
        <v>343.729166666667</v>
      </c>
      <c r="J16" s="38"/>
      <c r="K16" s="39" t="n">
        <f aca="false">IF(OR($A16="",NOT(ISNUMBER($D16)),NOT(ISNUMBER($H16))),"",IF(AND(ISNUMBER($J16),$J16&gt;0),$J16,IF(ISNUMBER($I16),$I16,"")))</f>
        <v>343.729166666667</v>
      </c>
      <c r="L16" s="40" t="n">
        <f aca="false">IF(ISNUMBER($K16),$K16*$H16,"")</f>
        <v>65.3085416666667</v>
      </c>
      <c r="M16" s="40" t="n">
        <f aca="false">IF(ISNUMBER($K16),$K16*Parâmetros!$B$8,"")</f>
        <v>34.3729166666667</v>
      </c>
      <c r="N16" s="40" t="n">
        <f aca="false">IF(ISNUMBER($K16),$K16*Parâmetros!$C$8,"")</f>
        <v>10.311875</v>
      </c>
      <c r="O16" s="40" t="n">
        <f aca="false">IF(ISNUMBER($K16),IF(ISNUMBER(Parâmetros!$E$8),Parâmetros!$E$8,0),"")</f>
        <v>0</v>
      </c>
      <c r="P16" s="41" t="n">
        <f aca="false">IF(ISNUMBER($K16),$K16-$D16-IF(ISNUMBER($E16),$E16,0)-$L16-$M16-$N16-$O16,"")</f>
        <v>68.7458333333333</v>
      </c>
      <c r="Q16" s="42" t="n">
        <f aca="false">IF(AND(ISNUMBER($K16),$K16&gt;0),$P16/$K16,"")</f>
        <v>0.2</v>
      </c>
      <c r="R16" s="43"/>
      <c r="S16" s="44" t="str">
        <f aca="false">IF(OR(NOT(ISNUMBER($R16)),$R16=0,NOT(ISNUMBER($K16))),"",$K16*(1-$R16))</f>
        <v/>
      </c>
      <c r="T16" s="45" t="str">
        <f aca="false">IF(ISNUMBER($S16),$S16*$H16,"")</f>
        <v/>
      </c>
      <c r="U16" s="45" t="str">
        <f aca="false">IF(ISNUMBER($S16),$S16*Parâmetros!$B$8,"")</f>
        <v/>
      </c>
      <c r="V16" s="45" t="str">
        <f aca="false">IF(ISNUMBER($S16),$S16*Parâmetros!$C$8,"")</f>
        <v/>
      </c>
      <c r="W16" s="44" t="str">
        <f aca="false">IF(ISNUMBER($S16),$S16-$D16-IF(ISNUMBER($E16),$E16,0)-$O16-$T16-$U16-$V16,"")</f>
        <v/>
      </c>
      <c r="X16" s="46" t="str">
        <f aca="false">IF(AND(ISNUMBER($S16),$S16&gt;0),$W16/$S16,"")</f>
        <v/>
      </c>
      <c r="Y16" s="47"/>
      <c r="Z16" s="19"/>
    </row>
    <row r="17" customFormat="false" ht="15.75" hidden="false" customHeight="true" outlineLevel="0" collapsed="false">
      <c r="A17" s="48" t="str">
        <f aca="false">IF(Produtos!$A17="","",Produtos!$A17)</f>
        <v>L3070</v>
      </c>
      <c r="B17" s="48" t="str">
        <f aca="false">IF(Produtos!$A17="","",Produtos!$B17)</f>
        <v>Lixeira Aço Inox s/Tampa 30x70 50L</v>
      </c>
      <c r="C17" s="48" t="str">
        <f aca="false">IF(Produtos!$A17="","",Produtos!$C17)</f>
        <v>Lixeiras em inox</v>
      </c>
      <c r="D17" s="33" t="n">
        <f aca="false">IF(Produtos!$A17="","",IF(Produtos!$D17="","",Produtos!$D17))</f>
        <v>210.17</v>
      </c>
      <c r="E17" s="11" t="n">
        <v>0</v>
      </c>
      <c r="F17" s="34" t="n">
        <f aca="false">IF($A17="","",IF($C17="","⚠ categoria",IFERROR(INDEX(Parâmetros!$F$13:$F$22,MATCH($C17,Parâmetros!$A$13:$A$22,0)),"⚠ categoria")))</f>
        <v>0.19</v>
      </c>
      <c r="G17" s="35"/>
      <c r="H17" s="36" t="n">
        <f aca="false">IF($A17="","",IF(ISNUMBER($G17),$G17,IF(ISNUMBER($F17),$F17,"")))</f>
        <v>0.19</v>
      </c>
      <c r="I17" s="37" t="n">
        <f aca="false">IF(OR($A17="",NOT(ISNUMBER($D17)),NOT(ISNUMBER($H17))),"",IF((1-$H17-Parâmetros!$B$8-Parâmetros!$C$8-Parâmetros!$D$8)&lt;=0,"INVALIDO",($D17+IF(ISNUMBER($E17),$E17,0)+IF(ISNUMBER(Parâmetros!$E$8),Parâmetros!$E$8,0))/(1-$H17-Parâmetros!$B$8-Parâmetros!$C$8-Parâmetros!$D$8)))</f>
        <v>437.854166666667</v>
      </c>
      <c r="J17" s="38"/>
      <c r="K17" s="39" t="n">
        <f aca="false">IF(OR($A17="",NOT(ISNUMBER($D17)),NOT(ISNUMBER($H17))),"",IF(AND(ISNUMBER($J17),$J17&gt;0),$J17,IF(ISNUMBER($I17),$I17,"")))</f>
        <v>437.854166666667</v>
      </c>
      <c r="L17" s="40" t="n">
        <f aca="false">IF(ISNUMBER($K17),$K17*$H17,"")</f>
        <v>83.1922916666667</v>
      </c>
      <c r="M17" s="40" t="n">
        <f aca="false">IF(ISNUMBER($K17),$K17*Parâmetros!$B$8,"")</f>
        <v>43.7854166666667</v>
      </c>
      <c r="N17" s="40" t="n">
        <f aca="false">IF(ISNUMBER($K17),$K17*Parâmetros!$C$8,"")</f>
        <v>13.135625</v>
      </c>
      <c r="O17" s="40" t="n">
        <f aca="false">IF(ISNUMBER($K17),IF(ISNUMBER(Parâmetros!$E$8),Parâmetros!$E$8,0),"")</f>
        <v>0</v>
      </c>
      <c r="P17" s="41" t="n">
        <f aca="false">IF(ISNUMBER($K17),$K17-$D17-IF(ISNUMBER($E17),$E17,0)-$L17-$M17-$N17-$O17,"")</f>
        <v>87.5708333333333</v>
      </c>
      <c r="Q17" s="42" t="n">
        <f aca="false">IF(AND(ISNUMBER($K17),$K17&gt;0),$P17/$K17,"")</f>
        <v>0.2</v>
      </c>
      <c r="R17" s="43"/>
      <c r="S17" s="44" t="str">
        <f aca="false">IF(OR(NOT(ISNUMBER($R17)),$R17=0,NOT(ISNUMBER($K17))),"",$K17*(1-$R17))</f>
        <v/>
      </c>
      <c r="T17" s="45" t="str">
        <f aca="false">IF(ISNUMBER($S17),$S17*$H17,"")</f>
        <v/>
      </c>
      <c r="U17" s="45" t="str">
        <f aca="false">IF(ISNUMBER($S17),$S17*Parâmetros!$B$8,"")</f>
        <v/>
      </c>
      <c r="V17" s="45" t="str">
        <f aca="false">IF(ISNUMBER($S17),$S17*Parâmetros!$C$8,"")</f>
        <v/>
      </c>
      <c r="W17" s="44" t="str">
        <f aca="false">IF(ISNUMBER($S17),$S17-$D17-IF(ISNUMBER($E17),$E17,0)-$O17-$T17-$U17-$V17,"")</f>
        <v/>
      </c>
      <c r="X17" s="46" t="str">
        <f aca="false">IF(AND(ISNUMBER($S17),$S17&gt;0),$W17/$S17,"")</f>
        <v/>
      </c>
      <c r="Y17" s="49"/>
      <c r="Z17" s="21"/>
    </row>
    <row r="18" customFormat="false" ht="15.75" hidden="false" customHeight="true" outlineLevel="0" collapsed="false">
      <c r="A18" s="32" t="str">
        <f aca="false">IF(Produtos!$A18="","",Produtos!$A18)</f>
        <v>L3085</v>
      </c>
      <c r="B18" s="32" t="str">
        <f aca="false">IF(Produtos!$A18="","",Produtos!$B18)</f>
        <v>Lixeira Aço Inox s/Tampa 30x85 60L</v>
      </c>
      <c r="C18" s="32" t="str">
        <f aca="false">IF(Produtos!$A18="","",Produtos!$C18)</f>
        <v>Lixeiras em inox</v>
      </c>
      <c r="D18" s="33" t="n">
        <f aca="false">IF(Produtos!$A18="","",IF(Produtos!$D18="","",Produtos!$D18))</f>
        <v>266.36</v>
      </c>
      <c r="E18" s="11" t="n">
        <v>0</v>
      </c>
      <c r="F18" s="34" t="n">
        <f aca="false">IF($A18="","",IF($C18="","⚠ categoria",IFERROR(INDEX(Parâmetros!$F$13:$F$22,MATCH($C18,Parâmetros!$A$13:$A$22,0)),"⚠ categoria")))</f>
        <v>0.19</v>
      </c>
      <c r="G18" s="35"/>
      <c r="H18" s="36" t="n">
        <f aca="false">IF($A18="","",IF(ISNUMBER($G18),$G18,IF(ISNUMBER($F18),$F18,"")))</f>
        <v>0.19</v>
      </c>
      <c r="I18" s="37" t="n">
        <f aca="false">IF(OR($A18="",NOT(ISNUMBER($D18)),NOT(ISNUMBER($H18))),"",IF((1-$H18-Parâmetros!$B$8-Parâmetros!$C$8-Parâmetros!$D$8)&lt;=0,"INVALIDO",($D18+IF(ISNUMBER($E18),$E18,0)+IF(ISNUMBER(Parâmetros!$E$8),Parâmetros!$E$8,0))/(1-$H18-Parâmetros!$B$8-Parâmetros!$C$8-Parâmetros!$D$8)))</f>
        <v>554.916666666667</v>
      </c>
      <c r="J18" s="38"/>
      <c r="K18" s="39" t="n">
        <f aca="false">IF(OR($A18="",NOT(ISNUMBER($D18)),NOT(ISNUMBER($H18))),"",IF(AND(ISNUMBER($J18),$J18&gt;0),$J18,IF(ISNUMBER($I18),$I18,"")))</f>
        <v>554.916666666667</v>
      </c>
      <c r="L18" s="40" t="n">
        <f aca="false">IF(ISNUMBER($K18),$K18*$H18,"")</f>
        <v>105.434166666667</v>
      </c>
      <c r="M18" s="40" t="n">
        <f aca="false">IF(ISNUMBER($K18),$K18*Parâmetros!$B$8,"")</f>
        <v>55.4916666666667</v>
      </c>
      <c r="N18" s="40" t="n">
        <f aca="false">IF(ISNUMBER($K18),$K18*Parâmetros!$C$8,"")</f>
        <v>16.6475</v>
      </c>
      <c r="O18" s="40" t="n">
        <f aca="false">IF(ISNUMBER($K18),IF(ISNUMBER(Parâmetros!$E$8),Parâmetros!$E$8,0),"")</f>
        <v>0</v>
      </c>
      <c r="P18" s="41" t="n">
        <f aca="false">IF(ISNUMBER($K18),$K18-$D18-IF(ISNUMBER($E18),$E18,0)-$L18-$M18-$N18-$O18,"")</f>
        <v>110.983333333333</v>
      </c>
      <c r="Q18" s="42" t="n">
        <f aca="false">IF(AND(ISNUMBER($K18),$K18&gt;0),$P18/$K18,"")</f>
        <v>0.2</v>
      </c>
      <c r="R18" s="43"/>
      <c r="S18" s="44" t="str">
        <f aca="false">IF(OR(NOT(ISNUMBER($R18)),$R18=0,NOT(ISNUMBER($K18))),"",$K18*(1-$R18))</f>
        <v/>
      </c>
      <c r="T18" s="45" t="str">
        <f aca="false">IF(ISNUMBER($S18),$S18*$H18,"")</f>
        <v/>
      </c>
      <c r="U18" s="45" t="str">
        <f aca="false">IF(ISNUMBER($S18),$S18*Parâmetros!$B$8,"")</f>
        <v/>
      </c>
      <c r="V18" s="45" t="str">
        <f aca="false">IF(ISNUMBER($S18),$S18*Parâmetros!$C$8,"")</f>
        <v/>
      </c>
      <c r="W18" s="44" t="str">
        <f aca="false">IF(ISNUMBER($S18),$S18-$D18-IF(ISNUMBER($E18),$E18,0)-$O18-$T18-$U18-$V18,"")</f>
        <v/>
      </c>
      <c r="X18" s="46" t="str">
        <f aca="false">IF(AND(ISNUMBER($S18),$S18&gt;0),$W18/$S18,"")</f>
        <v/>
      </c>
      <c r="Y18" s="47"/>
      <c r="Z18" s="19"/>
    </row>
    <row r="19" customFormat="false" ht="15.75" hidden="false" customHeight="true" outlineLevel="0" collapsed="false">
      <c r="A19" s="48" t="str">
        <f aca="false">IF(Produtos!$A19="","",Produtos!$A19)</f>
        <v>L4050</v>
      </c>
      <c r="B19" s="48" t="str">
        <f aca="false">IF(Produtos!$A19="","",Produtos!$B19)</f>
        <v>Lixeira Aço Inox s/Tampa 40x50 62L</v>
      </c>
      <c r="C19" s="48" t="str">
        <f aca="false">IF(Produtos!$A19="","",Produtos!$C19)</f>
        <v>Lixeiras em inox</v>
      </c>
      <c r="D19" s="33" t="n">
        <f aca="false">IF(Produtos!$A19="","",IF(Produtos!$D19="","",Produtos!$D19))</f>
        <v>221.01</v>
      </c>
      <c r="E19" s="11" t="n">
        <v>0</v>
      </c>
      <c r="F19" s="34" t="n">
        <f aca="false">IF($A19="","",IF($C19="","⚠ categoria",IFERROR(INDEX(Parâmetros!$F$13:$F$22,MATCH($C19,Parâmetros!$A$13:$A$22,0)),"⚠ categoria")))</f>
        <v>0.19</v>
      </c>
      <c r="G19" s="35"/>
      <c r="H19" s="36" t="n">
        <f aca="false">IF($A19="","",IF(ISNUMBER($G19),$G19,IF(ISNUMBER($F19),$F19,"")))</f>
        <v>0.19</v>
      </c>
      <c r="I19" s="37" t="n">
        <f aca="false">IF(OR($A19="",NOT(ISNUMBER($D19)),NOT(ISNUMBER($H19))),"",IF((1-$H19-Parâmetros!$B$8-Parâmetros!$C$8-Parâmetros!$D$8)&lt;=0,"INVALIDO",($D19+IF(ISNUMBER($E19),$E19,0)+IF(ISNUMBER(Parâmetros!$E$8),Parâmetros!$E$8,0))/(1-$H19-Parâmetros!$B$8-Parâmetros!$C$8-Parâmetros!$D$8)))</f>
        <v>460.4375</v>
      </c>
      <c r="J19" s="38"/>
      <c r="K19" s="39" t="n">
        <f aca="false">IF(OR($A19="",NOT(ISNUMBER($D19)),NOT(ISNUMBER($H19))),"",IF(AND(ISNUMBER($J19),$J19&gt;0),$J19,IF(ISNUMBER($I19),$I19,"")))</f>
        <v>460.4375</v>
      </c>
      <c r="L19" s="40" t="n">
        <f aca="false">IF(ISNUMBER($K19),$K19*$H19,"")</f>
        <v>87.483125</v>
      </c>
      <c r="M19" s="40" t="n">
        <f aca="false">IF(ISNUMBER($K19),$K19*Parâmetros!$B$8,"")</f>
        <v>46.04375</v>
      </c>
      <c r="N19" s="40" t="n">
        <f aca="false">IF(ISNUMBER($K19),$K19*Parâmetros!$C$8,"")</f>
        <v>13.813125</v>
      </c>
      <c r="O19" s="40" t="n">
        <f aca="false">IF(ISNUMBER($K19),IF(ISNUMBER(Parâmetros!$E$8),Parâmetros!$E$8,0),"")</f>
        <v>0</v>
      </c>
      <c r="P19" s="41" t="n">
        <f aca="false">IF(ISNUMBER($K19),$K19-$D19-IF(ISNUMBER($E19),$E19,0)-$L19-$M19-$N19-$O19,"")</f>
        <v>92.0875</v>
      </c>
      <c r="Q19" s="42" t="n">
        <f aca="false">IF(AND(ISNUMBER($K19),$K19&gt;0),$P19/$K19,"")</f>
        <v>0.2</v>
      </c>
      <c r="R19" s="43"/>
      <c r="S19" s="44" t="str">
        <f aca="false">IF(OR(NOT(ISNUMBER($R19)),$R19=0,NOT(ISNUMBER($K19))),"",$K19*(1-$R19))</f>
        <v/>
      </c>
      <c r="T19" s="45" t="str">
        <f aca="false">IF(ISNUMBER($S19),$S19*$H19,"")</f>
        <v/>
      </c>
      <c r="U19" s="45" t="str">
        <f aca="false">IF(ISNUMBER($S19),$S19*Parâmetros!$B$8,"")</f>
        <v/>
      </c>
      <c r="V19" s="45" t="str">
        <f aca="false">IF(ISNUMBER($S19),$S19*Parâmetros!$C$8,"")</f>
        <v/>
      </c>
      <c r="W19" s="44" t="str">
        <f aca="false">IF(ISNUMBER($S19),$S19-$D19-IF(ISNUMBER($E19),$E19,0)-$O19-$T19-$U19-$V19,"")</f>
        <v/>
      </c>
      <c r="X19" s="46" t="str">
        <f aca="false">IF(AND(ISNUMBER($S19),$S19&gt;0),$W19/$S19,"")</f>
        <v/>
      </c>
      <c r="Y19" s="49"/>
      <c r="Z19" s="21"/>
    </row>
    <row r="20" customFormat="false" ht="15.75" hidden="false" customHeight="true" outlineLevel="0" collapsed="false">
      <c r="A20" s="32" t="str">
        <f aca="false">IF(Produtos!$A20="","",Produtos!$A20)</f>
        <v>L4060</v>
      </c>
      <c r="B20" s="32" t="str">
        <f aca="false">IF(Produtos!$A20="","",Produtos!$B20)</f>
        <v>Lixeira Aço Inox s/Tampa 40x60 75L</v>
      </c>
      <c r="C20" s="32" t="str">
        <f aca="false">IF(Produtos!$A20="","",Produtos!$C20)</f>
        <v>Lixeiras em inox</v>
      </c>
      <c r="D20" s="33" t="n">
        <f aca="false">IF(Produtos!$A20="","",IF(Produtos!$D20="","",Produtos!$D20))</f>
        <v>257.51</v>
      </c>
      <c r="E20" s="11" t="n">
        <v>0</v>
      </c>
      <c r="F20" s="34" t="n">
        <f aca="false">IF($A20="","",IF($C20="","⚠ categoria",IFERROR(INDEX(Parâmetros!$F$13:$F$22,MATCH($C20,Parâmetros!$A$13:$A$22,0)),"⚠ categoria")))</f>
        <v>0.19</v>
      </c>
      <c r="G20" s="35"/>
      <c r="H20" s="36" t="n">
        <f aca="false">IF($A20="","",IF(ISNUMBER($G20),$G20,IF(ISNUMBER($F20),$F20,"")))</f>
        <v>0.19</v>
      </c>
      <c r="I20" s="37" t="n">
        <f aca="false">IF(OR($A20="",NOT(ISNUMBER($D20)),NOT(ISNUMBER($H20))),"",IF((1-$H20-Parâmetros!$B$8-Parâmetros!$C$8-Parâmetros!$D$8)&lt;=0,"INVALIDO",($D20+IF(ISNUMBER($E20),$E20,0)+IF(ISNUMBER(Parâmetros!$E$8),Parâmetros!$E$8,0))/(1-$H20-Parâmetros!$B$8-Parâmetros!$C$8-Parâmetros!$D$8)))</f>
        <v>536.479166666667</v>
      </c>
      <c r="J20" s="38"/>
      <c r="K20" s="39" t="n">
        <f aca="false">IF(OR($A20="",NOT(ISNUMBER($D20)),NOT(ISNUMBER($H20))),"",IF(AND(ISNUMBER($J20),$J20&gt;0),$J20,IF(ISNUMBER($I20),$I20,"")))</f>
        <v>536.479166666667</v>
      </c>
      <c r="L20" s="40" t="n">
        <f aca="false">IF(ISNUMBER($K20),$K20*$H20,"")</f>
        <v>101.931041666667</v>
      </c>
      <c r="M20" s="40" t="n">
        <f aca="false">IF(ISNUMBER($K20),$K20*Parâmetros!$B$8,"")</f>
        <v>53.6479166666667</v>
      </c>
      <c r="N20" s="40" t="n">
        <f aca="false">IF(ISNUMBER($K20),$K20*Parâmetros!$C$8,"")</f>
        <v>16.094375</v>
      </c>
      <c r="O20" s="40" t="n">
        <f aca="false">IF(ISNUMBER($K20),IF(ISNUMBER(Parâmetros!$E$8),Parâmetros!$E$8,0),"")</f>
        <v>0</v>
      </c>
      <c r="P20" s="41" t="n">
        <f aca="false">IF(ISNUMBER($K20),$K20-$D20-IF(ISNUMBER($E20),$E20,0)-$L20-$M20-$N20-$O20,"")</f>
        <v>107.295833333333</v>
      </c>
      <c r="Q20" s="42" t="n">
        <f aca="false">IF(AND(ISNUMBER($K20),$K20&gt;0),$P20/$K20,"")</f>
        <v>0.2</v>
      </c>
      <c r="R20" s="43"/>
      <c r="S20" s="44" t="str">
        <f aca="false">IF(OR(NOT(ISNUMBER($R20)),$R20=0,NOT(ISNUMBER($K20))),"",$K20*(1-$R20))</f>
        <v/>
      </c>
      <c r="T20" s="45" t="str">
        <f aca="false">IF(ISNUMBER($S20),$S20*$H20,"")</f>
        <v/>
      </c>
      <c r="U20" s="45" t="str">
        <f aca="false">IF(ISNUMBER($S20),$S20*Parâmetros!$B$8,"")</f>
        <v/>
      </c>
      <c r="V20" s="45" t="str">
        <f aca="false">IF(ISNUMBER($S20),$S20*Parâmetros!$C$8,"")</f>
        <v/>
      </c>
      <c r="W20" s="44" t="str">
        <f aca="false">IF(ISNUMBER($S20),$S20-$D20-IF(ISNUMBER($E20),$E20,0)-$O20-$T20-$U20-$V20,"")</f>
        <v/>
      </c>
      <c r="X20" s="46" t="str">
        <f aca="false">IF(AND(ISNUMBER($S20),$S20&gt;0),$W20/$S20,"")</f>
        <v/>
      </c>
      <c r="Y20" s="47"/>
      <c r="Z20" s="19"/>
    </row>
    <row r="21" customFormat="false" ht="15.75" hidden="false" customHeight="true" outlineLevel="0" collapsed="false">
      <c r="A21" s="48" t="str">
        <f aca="false">IF(Produtos!$A21="","",Produtos!$A21)</f>
        <v>L4070</v>
      </c>
      <c r="B21" s="48" t="str">
        <f aca="false">IF(Produtos!$A21="","",Produtos!$B21)</f>
        <v>Lixeira Aço Inox s/Tampa 40x70 88L</v>
      </c>
      <c r="C21" s="48" t="str">
        <f aca="false">IF(Produtos!$A21="","",Produtos!$C21)</f>
        <v>Lixeiras em inox</v>
      </c>
      <c r="D21" s="33" t="n">
        <f aca="false">IF(Produtos!$A21="","",IF(Produtos!$D21="","",Produtos!$D21))</f>
        <v>262.59</v>
      </c>
      <c r="E21" s="11" t="n">
        <v>0</v>
      </c>
      <c r="F21" s="34" t="n">
        <f aca="false">IF($A21="","",IF($C21="","⚠ categoria",IFERROR(INDEX(Parâmetros!$F$13:$F$22,MATCH($C21,Parâmetros!$A$13:$A$22,0)),"⚠ categoria")))</f>
        <v>0.19</v>
      </c>
      <c r="G21" s="35"/>
      <c r="H21" s="36" t="n">
        <f aca="false">IF($A21="","",IF(ISNUMBER($G21),$G21,IF(ISNUMBER($F21),$F21,"")))</f>
        <v>0.19</v>
      </c>
      <c r="I21" s="37" t="n">
        <f aca="false">IF(OR($A21="",NOT(ISNUMBER($D21)),NOT(ISNUMBER($H21))),"",IF((1-$H21-Parâmetros!$B$8-Parâmetros!$C$8-Parâmetros!$D$8)&lt;=0,"INVALIDO",($D21+IF(ISNUMBER($E21),$E21,0)+IF(ISNUMBER(Parâmetros!$E$8),Parâmetros!$E$8,0))/(1-$H21-Parâmetros!$B$8-Parâmetros!$C$8-Parâmetros!$D$8)))</f>
        <v>547.0625</v>
      </c>
      <c r="J21" s="38"/>
      <c r="K21" s="39" t="n">
        <f aca="false">IF(OR($A21="",NOT(ISNUMBER($D21)),NOT(ISNUMBER($H21))),"",IF(AND(ISNUMBER($J21),$J21&gt;0),$J21,IF(ISNUMBER($I21),$I21,"")))</f>
        <v>547.0625</v>
      </c>
      <c r="L21" s="40" t="n">
        <f aca="false">IF(ISNUMBER($K21),$K21*$H21,"")</f>
        <v>103.941875</v>
      </c>
      <c r="M21" s="40" t="n">
        <f aca="false">IF(ISNUMBER($K21),$K21*Parâmetros!$B$8,"")</f>
        <v>54.70625</v>
      </c>
      <c r="N21" s="40" t="n">
        <f aca="false">IF(ISNUMBER($K21),$K21*Parâmetros!$C$8,"")</f>
        <v>16.411875</v>
      </c>
      <c r="O21" s="40" t="n">
        <f aca="false">IF(ISNUMBER($K21),IF(ISNUMBER(Parâmetros!$E$8),Parâmetros!$E$8,0),"")</f>
        <v>0</v>
      </c>
      <c r="P21" s="41" t="n">
        <f aca="false">IF(ISNUMBER($K21),$K21-$D21-IF(ISNUMBER($E21),$E21,0)-$L21-$M21-$N21-$O21,"")</f>
        <v>109.4125</v>
      </c>
      <c r="Q21" s="42" t="n">
        <f aca="false">IF(AND(ISNUMBER($K21),$K21&gt;0),$P21/$K21,"")</f>
        <v>0.2</v>
      </c>
      <c r="R21" s="43"/>
      <c r="S21" s="44" t="str">
        <f aca="false">IF(OR(NOT(ISNUMBER($R21)),$R21=0,NOT(ISNUMBER($K21))),"",$K21*(1-$R21))</f>
        <v/>
      </c>
      <c r="T21" s="45" t="str">
        <f aca="false">IF(ISNUMBER($S21),$S21*$H21,"")</f>
        <v/>
      </c>
      <c r="U21" s="45" t="str">
        <f aca="false">IF(ISNUMBER($S21),$S21*Parâmetros!$B$8,"")</f>
        <v/>
      </c>
      <c r="V21" s="45" t="str">
        <f aca="false">IF(ISNUMBER($S21),$S21*Parâmetros!$C$8,"")</f>
        <v/>
      </c>
      <c r="W21" s="44" t="str">
        <f aca="false">IF(ISNUMBER($S21),$S21-$D21-IF(ISNUMBER($E21),$E21,0)-$O21-$T21-$U21-$V21,"")</f>
        <v/>
      </c>
      <c r="X21" s="46" t="str">
        <f aca="false">IF(AND(ISNUMBER($S21),$S21&gt;0),$W21/$S21,"")</f>
        <v/>
      </c>
      <c r="Y21" s="49"/>
      <c r="Z21" s="21"/>
    </row>
    <row r="22" customFormat="false" ht="15.75" hidden="false" customHeight="true" outlineLevel="0" collapsed="false">
      <c r="A22" s="32" t="str">
        <f aca="false">IF(Produtos!$A22="","",Produtos!$A22)</f>
        <v>L4075</v>
      </c>
      <c r="B22" s="32" t="str">
        <f aca="false">IF(Produtos!$A22="","",Produtos!$B22)</f>
        <v>Lixeira Aço Inox s/Tampa 40x75 95L</v>
      </c>
      <c r="C22" s="32" t="str">
        <f aca="false">IF(Produtos!$A22="","",Produtos!$C22)</f>
        <v>Lixeiras em inox</v>
      </c>
      <c r="D22" s="33" t="n">
        <f aca="false">IF(Produtos!$A22="","",IF(Produtos!$D22="","",Produtos!$D22))</f>
        <v>322.16</v>
      </c>
      <c r="E22" s="11" t="n">
        <v>0</v>
      </c>
      <c r="F22" s="34" t="n">
        <f aca="false">IF($A22="","",IF($C22="","⚠ categoria",IFERROR(INDEX(Parâmetros!$F$13:$F$22,MATCH($C22,Parâmetros!$A$13:$A$22,0)),"⚠ categoria")))</f>
        <v>0.19</v>
      </c>
      <c r="G22" s="35"/>
      <c r="H22" s="36" t="n">
        <f aca="false">IF($A22="","",IF(ISNUMBER($G22),$G22,IF(ISNUMBER($F22),$F22,"")))</f>
        <v>0.19</v>
      </c>
      <c r="I22" s="37" t="n">
        <f aca="false">IF(OR($A22="",NOT(ISNUMBER($D22)),NOT(ISNUMBER($H22))),"",IF((1-$H22-Parâmetros!$B$8-Parâmetros!$C$8-Parâmetros!$D$8)&lt;=0,"INVALIDO",($D22+IF(ISNUMBER($E22),$E22,0)+IF(ISNUMBER(Parâmetros!$E$8),Parâmetros!$E$8,0))/(1-$H22-Parâmetros!$B$8-Parâmetros!$C$8-Parâmetros!$D$8)))</f>
        <v>671.166666666667</v>
      </c>
      <c r="J22" s="38"/>
      <c r="K22" s="39" t="n">
        <f aca="false">IF(OR($A22="",NOT(ISNUMBER($D22)),NOT(ISNUMBER($H22))),"",IF(AND(ISNUMBER($J22),$J22&gt;0),$J22,IF(ISNUMBER($I22),$I22,"")))</f>
        <v>671.166666666667</v>
      </c>
      <c r="L22" s="40" t="n">
        <f aca="false">IF(ISNUMBER($K22),$K22*$H22,"")</f>
        <v>127.521666666667</v>
      </c>
      <c r="M22" s="40" t="n">
        <f aca="false">IF(ISNUMBER($K22),$K22*Parâmetros!$B$8,"")</f>
        <v>67.1166666666667</v>
      </c>
      <c r="N22" s="40" t="n">
        <f aca="false">IF(ISNUMBER($K22),$K22*Parâmetros!$C$8,"")</f>
        <v>20.135</v>
      </c>
      <c r="O22" s="40" t="n">
        <f aca="false">IF(ISNUMBER($K22),IF(ISNUMBER(Parâmetros!$E$8),Parâmetros!$E$8,0),"")</f>
        <v>0</v>
      </c>
      <c r="P22" s="41" t="n">
        <f aca="false">IF(ISNUMBER($K22),$K22-$D22-IF(ISNUMBER($E22),$E22,0)-$L22-$M22-$N22-$O22,"")</f>
        <v>134.233333333333</v>
      </c>
      <c r="Q22" s="42" t="n">
        <f aca="false">IF(AND(ISNUMBER($K22),$K22&gt;0),$P22/$K22,"")</f>
        <v>0.2</v>
      </c>
      <c r="R22" s="43"/>
      <c r="S22" s="44" t="str">
        <f aca="false">IF(OR(NOT(ISNUMBER($R22)),$R22=0,NOT(ISNUMBER($K22))),"",$K22*(1-$R22))</f>
        <v/>
      </c>
      <c r="T22" s="45" t="str">
        <f aca="false">IF(ISNUMBER($S22),$S22*$H22,"")</f>
        <v/>
      </c>
      <c r="U22" s="45" t="str">
        <f aca="false">IF(ISNUMBER($S22),$S22*Parâmetros!$B$8,"")</f>
        <v/>
      </c>
      <c r="V22" s="45" t="str">
        <f aca="false">IF(ISNUMBER($S22),$S22*Parâmetros!$C$8,"")</f>
        <v/>
      </c>
      <c r="W22" s="44" t="str">
        <f aca="false">IF(ISNUMBER($S22),$S22-$D22-IF(ISNUMBER($E22),$E22,0)-$O22-$T22-$U22-$V22,"")</f>
        <v/>
      </c>
      <c r="X22" s="46" t="str">
        <f aca="false">IF(AND(ISNUMBER($S22),$S22&gt;0),$W22/$S22,"")</f>
        <v/>
      </c>
      <c r="Y22" s="47"/>
      <c r="Z22" s="19"/>
    </row>
    <row r="23" customFormat="false" ht="15.75" hidden="false" customHeight="true" outlineLevel="0" collapsed="false">
      <c r="A23" s="48" t="str">
        <f aca="false">IF(Produtos!$A23="","",Produtos!$A23)</f>
        <v>L4080</v>
      </c>
      <c r="B23" s="48" t="str">
        <f aca="false">IF(Produtos!$A23="","",Produtos!$B23)</f>
        <v>Lixeira Aço Inox s/Tampa 40x80 100L</v>
      </c>
      <c r="C23" s="48" t="str">
        <f aca="false">IF(Produtos!$A23="","",Produtos!$C23)</f>
        <v>Lixeiras em inox</v>
      </c>
      <c r="D23" s="33" t="n">
        <f aca="false">IF(Produtos!$A23="","",IF(Produtos!$D23="","",Produtos!$D23))</f>
        <v>336.34</v>
      </c>
      <c r="E23" s="11" t="n">
        <v>0</v>
      </c>
      <c r="F23" s="34" t="n">
        <f aca="false">IF($A23="","",IF($C23="","⚠ categoria",IFERROR(INDEX(Parâmetros!$F$13:$F$22,MATCH($C23,Parâmetros!$A$13:$A$22,0)),"⚠ categoria")))</f>
        <v>0.19</v>
      </c>
      <c r="G23" s="35"/>
      <c r="H23" s="36" t="n">
        <f aca="false">IF($A23="","",IF(ISNUMBER($G23),$G23,IF(ISNUMBER($F23),$F23,"")))</f>
        <v>0.19</v>
      </c>
      <c r="I23" s="37" t="n">
        <f aca="false">IF(OR($A23="",NOT(ISNUMBER($D23)),NOT(ISNUMBER($H23))),"",IF((1-$H23-Parâmetros!$B$8-Parâmetros!$C$8-Parâmetros!$D$8)&lt;=0,"INVALIDO",($D23+IF(ISNUMBER($E23),$E23,0)+IF(ISNUMBER(Parâmetros!$E$8),Parâmetros!$E$8,0))/(1-$H23-Parâmetros!$B$8-Parâmetros!$C$8-Parâmetros!$D$8)))</f>
        <v>700.708333333333</v>
      </c>
      <c r="J23" s="38"/>
      <c r="K23" s="39" t="n">
        <f aca="false">IF(OR($A23="",NOT(ISNUMBER($D23)),NOT(ISNUMBER($H23))),"",IF(AND(ISNUMBER($J23),$J23&gt;0),$J23,IF(ISNUMBER($I23),$I23,"")))</f>
        <v>700.708333333333</v>
      </c>
      <c r="L23" s="40" t="n">
        <f aca="false">IF(ISNUMBER($K23),$K23*$H23,"")</f>
        <v>133.134583333333</v>
      </c>
      <c r="M23" s="40" t="n">
        <f aca="false">IF(ISNUMBER($K23),$K23*Parâmetros!$B$8,"")</f>
        <v>70.0708333333333</v>
      </c>
      <c r="N23" s="40" t="n">
        <f aca="false">IF(ISNUMBER($K23),$K23*Parâmetros!$C$8,"")</f>
        <v>21.02125</v>
      </c>
      <c r="O23" s="40" t="n">
        <f aca="false">IF(ISNUMBER($K23),IF(ISNUMBER(Parâmetros!$E$8),Parâmetros!$E$8,0),"")</f>
        <v>0</v>
      </c>
      <c r="P23" s="41" t="n">
        <f aca="false">IF(ISNUMBER($K23),$K23-$D23-IF(ISNUMBER($E23),$E23,0)-$L23-$M23-$N23-$O23,"")</f>
        <v>140.141666666667</v>
      </c>
      <c r="Q23" s="42" t="n">
        <f aca="false">IF(AND(ISNUMBER($K23),$K23&gt;0),$P23/$K23,"")</f>
        <v>0.2</v>
      </c>
      <c r="R23" s="43"/>
      <c r="S23" s="44" t="str">
        <f aca="false">IF(OR(NOT(ISNUMBER($R23)),$R23=0,NOT(ISNUMBER($K23))),"",$K23*(1-$R23))</f>
        <v/>
      </c>
      <c r="T23" s="45" t="str">
        <f aca="false">IF(ISNUMBER($S23),$S23*$H23,"")</f>
        <v/>
      </c>
      <c r="U23" s="45" t="str">
        <f aca="false">IF(ISNUMBER($S23),$S23*Parâmetros!$B$8,"")</f>
        <v/>
      </c>
      <c r="V23" s="45" t="str">
        <f aca="false">IF(ISNUMBER($S23),$S23*Parâmetros!$C$8,"")</f>
        <v/>
      </c>
      <c r="W23" s="44" t="str">
        <f aca="false">IF(ISNUMBER($S23),$S23-$D23-IF(ISNUMBER($E23),$E23,0)-$O23-$T23-$U23-$V23,"")</f>
        <v/>
      </c>
      <c r="X23" s="46" t="str">
        <f aca="false">IF(AND(ISNUMBER($S23),$S23&gt;0),$W23/$S23,"")</f>
        <v/>
      </c>
      <c r="Y23" s="49"/>
      <c r="Z23" s="21"/>
    </row>
    <row r="24" customFormat="false" ht="15.75" hidden="false" customHeight="true" outlineLevel="0" collapsed="false">
      <c r="A24" s="32" t="str">
        <f aca="false">IF(Produtos!$A24="","",Produtos!$A24)</f>
        <v>L4090</v>
      </c>
      <c r="B24" s="32" t="str">
        <f aca="false">IF(Produtos!$A24="","",Produtos!$B24)</f>
        <v>Lixeira Aço Inox s/Tampa 40x90 120L</v>
      </c>
      <c r="C24" s="32" t="str">
        <f aca="false">IF(Produtos!$A24="","",Produtos!$C24)</f>
        <v>Lixeiras em inox</v>
      </c>
      <c r="D24" s="33" t="n">
        <f aca="false">IF(Produtos!$A24="","",IF(Produtos!$D24="","",Produtos!$D24))</f>
        <v>378.85</v>
      </c>
      <c r="E24" s="11" t="n">
        <v>0</v>
      </c>
      <c r="F24" s="34" t="n">
        <f aca="false">IF($A24="","",IF($C24="","⚠ categoria",IFERROR(INDEX(Parâmetros!$F$13:$F$22,MATCH($C24,Parâmetros!$A$13:$A$22,0)),"⚠ categoria")))</f>
        <v>0.19</v>
      </c>
      <c r="G24" s="35"/>
      <c r="H24" s="36" t="n">
        <f aca="false">IF($A24="","",IF(ISNUMBER($G24),$G24,IF(ISNUMBER($F24),$F24,"")))</f>
        <v>0.19</v>
      </c>
      <c r="I24" s="37" t="n">
        <f aca="false">IF(OR($A24="",NOT(ISNUMBER($D24)),NOT(ISNUMBER($H24))),"",IF((1-$H24-Parâmetros!$B$8-Parâmetros!$C$8-Parâmetros!$D$8)&lt;=0,"INVALIDO",($D24+IF(ISNUMBER($E24),$E24,0)+IF(ISNUMBER(Parâmetros!$E$8),Parâmetros!$E$8,0))/(1-$H24-Parâmetros!$B$8-Parâmetros!$C$8-Parâmetros!$D$8)))</f>
        <v>789.270833333333</v>
      </c>
      <c r="J24" s="38"/>
      <c r="K24" s="39" t="n">
        <f aca="false">IF(OR($A24="",NOT(ISNUMBER($D24)),NOT(ISNUMBER($H24))),"",IF(AND(ISNUMBER($J24),$J24&gt;0),$J24,IF(ISNUMBER($I24),$I24,"")))</f>
        <v>789.270833333333</v>
      </c>
      <c r="L24" s="40" t="n">
        <f aca="false">IF(ISNUMBER($K24),$K24*$H24,"")</f>
        <v>149.961458333333</v>
      </c>
      <c r="M24" s="40" t="n">
        <f aca="false">IF(ISNUMBER($K24),$K24*Parâmetros!$B$8,"")</f>
        <v>78.9270833333333</v>
      </c>
      <c r="N24" s="40" t="n">
        <f aca="false">IF(ISNUMBER($K24),$K24*Parâmetros!$C$8,"")</f>
        <v>23.678125</v>
      </c>
      <c r="O24" s="40" t="n">
        <f aca="false">IF(ISNUMBER($K24),IF(ISNUMBER(Parâmetros!$E$8),Parâmetros!$E$8,0),"")</f>
        <v>0</v>
      </c>
      <c r="P24" s="41" t="n">
        <f aca="false">IF(ISNUMBER($K24),$K24-$D24-IF(ISNUMBER($E24),$E24,0)-$L24-$M24-$N24-$O24,"")</f>
        <v>157.854166666667</v>
      </c>
      <c r="Q24" s="42" t="n">
        <f aca="false">IF(AND(ISNUMBER($K24),$K24&gt;0),$P24/$K24,"")</f>
        <v>0.2</v>
      </c>
      <c r="R24" s="43"/>
      <c r="S24" s="44" t="str">
        <f aca="false">IF(OR(NOT(ISNUMBER($R24)),$R24=0,NOT(ISNUMBER($K24))),"",$K24*(1-$R24))</f>
        <v/>
      </c>
      <c r="T24" s="45" t="str">
        <f aca="false">IF(ISNUMBER($S24),$S24*$H24,"")</f>
        <v/>
      </c>
      <c r="U24" s="45" t="str">
        <f aca="false">IF(ISNUMBER($S24),$S24*Parâmetros!$B$8,"")</f>
        <v/>
      </c>
      <c r="V24" s="45" t="str">
        <f aca="false">IF(ISNUMBER($S24),$S24*Parâmetros!$C$8,"")</f>
        <v/>
      </c>
      <c r="W24" s="44" t="str">
        <f aca="false">IF(ISNUMBER($S24),$S24-$D24-IF(ISNUMBER($E24),$E24,0)-$O24-$T24-$U24-$V24,"")</f>
        <v/>
      </c>
      <c r="X24" s="46" t="str">
        <f aca="false">IF(AND(ISNUMBER($S24),$S24&gt;0),$W24/$S24,"")</f>
        <v/>
      </c>
      <c r="Y24" s="47"/>
      <c r="Z24" s="19"/>
    </row>
    <row r="25" customFormat="false" ht="15.75" hidden="false" customHeight="true" outlineLevel="0" collapsed="false">
      <c r="A25" s="48" t="str">
        <f aca="false">IF(Produtos!$A25="","",Produtos!$A25)</f>
        <v>L1618-A</v>
      </c>
      <c r="B25" s="48" t="str">
        <f aca="false">IF(Produtos!$A25="","",Produtos!$B25)</f>
        <v>Lixeira Aço Inox c/Aro 16x18 03L</v>
      </c>
      <c r="C25" s="48" t="str">
        <f aca="false">IF(Produtos!$A25="","",Produtos!$C25)</f>
        <v>Lixeiras em inox</v>
      </c>
      <c r="D25" s="33" t="n">
        <f aca="false">IF(Produtos!$A25="","",IF(Produtos!$D25="","",Produtos!$D25))</f>
        <v>48.18</v>
      </c>
      <c r="E25" s="11" t="n">
        <v>0</v>
      </c>
      <c r="F25" s="34" t="n">
        <f aca="false">IF($A25="","",IF($C25="","⚠ categoria",IFERROR(INDEX(Parâmetros!$F$13:$F$22,MATCH($C25,Parâmetros!$A$13:$A$22,0)),"⚠ categoria")))</f>
        <v>0.19</v>
      </c>
      <c r="G25" s="35"/>
      <c r="H25" s="36" t="n">
        <f aca="false">IF($A25="","",IF(ISNUMBER($G25),$G25,IF(ISNUMBER($F25),$F25,"")))</f>
        <v>0.19</v>
      </c>
      <c r="I25" s="37" t="n">
        <f aca="false">IF(OR($A25="",NOT(ISNUMBER($D25)),NOT(ISNUMBER($H25))),"",IF((1-$H25-Parâmetros!$B$8-Parâmetros!$C$8-Parâmetros!$D$8)&lt;=0,"INVALIDO",($D25+IF(ISNUMBER($E25),$E25,0)+IF(ISNUMBER(Parâmetros!$E$8),Parâmetros!$E$8,0))/(1-$H25-Parâmetros!$B$8-Parâmetros!$C$8-Parâmetros!$D$8)))</f>
        <v>100.375</v>
      </c>
      <c r="J25" s="38"/>
      <c r="K25" s="39" t="n">
        <f aca="false">IF(OR($A25="",NOT(ISNUMBER($D25)),NOT(ISNUMBER($H25))),"",IF(AND(ISNUMBER($J25),$J25&gt;0),$J25,IF(ISNUMBER($I25),$I25,"")))</f>
        <v>100.375</v>
      </c>
      <c r="L25" s="40" t="n">
        <f aca="false">IF(ISNUMBER($K25),$K25*$H25,"")</f>
        <v>19.07125</v>
      </c>
      <c r="M25" s="40" t="n">
        <f aca="false">IF(ISNUMBER($K25),$K25*Parâmetros!$B$8,"")</f>
        <v>10.0375</v>
      </c>
      <c r="N25" s="40" t="n">
        <f aca="false">IF(ISNUMBER($K25),$K25*Parâmetros!$C$8,"")</f>
        <v>3.01125</v>
      </c>
      <c r="O25" s="40" t="n">
        <f aca="false">IF(ISNUMBER($K25),IF(ISNUMBER(Parâmetros!$E$8),Parâmetros!$E$8,0),"")</f>
        <v>0</v>
      </c>
      <c r="P25" s="41" t="n">
        <f aca="false">IF(ISNUMBER($K25),$K25-$D25-IF(ISNUMBER($E25),$E25,0)-$L25-$M25-$N25-$O25,"")</f>
        <v>20.075</v>
      </c>
      <c r="Q25" s="42" t="n">
        <f aca="false">IF(AND(ISNUMBER($K25),$K25&gt;0),$P25/$K25,"")</f>
        <v>0.2</v>
      </c>
      <c r="R25" s="43"/>
      <c r="S25" s="44" t="str">
        <f aca="false">IF(OR(NOT(ISNUMBER($R25)),$R25=0,NOT(ISNUMBER($K25))),"",$K25*(1-$R25))</f>
        <v/>
      </c>
      <c r="T25" s="45" t="str">
        <f aca="false">IF(ISNUMBER($S25),$S25*$H25,"")</f>
        <v/>
      </c>
      <c r="U25" s="45" t="str">
        <f aca="false">IF(ISNUMBER($S25),$S25*Parâmetros!$B$8,"")</f>
        <v/>
      </c>
      <c r="V25" s="45" t="str">
        <f aca="false">IF(ISNUMBER($S25),$S25*Parâmetros!$C$8,"")</f>
        <v/>
      </c>
      <c r="W25" s="44" t="str">
        <f aca="false">IF(ISNUMBER($S25),$S25-$D25-IF(ISNUMBER($E25),$E25,0)-$O25-$T25-$U25-$V25,"")</f>
        <v/>
      </c>
      <c r="X25" s="46" t="str">
        <f aca="false">IF(AND(ISNUMBER($S25),$S25&gt;0),$W25/$S25,"")</f>
        <v/>
      </c>
      <c r="Y25" s="49"/>
      <c r="Z25" s="21"/>
    </row>
    <row r="26" customFormat="false" ht="15.75" hidden="false" customHeight="true" outlineLevel="0" collapsed="false">
      <c r="A26" s="32" t="str">
        <f aca="false">IF(Produtos!$A26="","",Produtos!$A26)</f>
        <v>L1623-A</v>
      </c>
      <c r="B26" s="32" t="str">
        <f aca="false">IF(Produtos!$A26="","",Produtos!$B26)</f>
        <v>Lixeira Aço Inox c/Aro 16x23 05L</v>
      </c>
      <c r="C26" s="32" t="str">
        <f aca="false">IF(Produtos!$A26="","",Produtos!$C26)</f>
        <v>Lixeiras em inox</v>
      </c>
      <c r="D26" s="33" t="n">
        <f aca="false">IF(Produtos!$A26="","",IF(Produtos!$D26="","",Produtos!$D26))</f>
        <v>55.75</v>
      </c>
      <c r="E26" s="11" t="n">
        <v>0</v>
      </c>
      <c r="F26" s="34" t="n">
        <f aca="false">IF($A26="","",IF($C26="","⚠ categoria",IFERROR(INDEX(Parâmetros!$F$13:$F$22,MATCH($C26,Parâmetros!$A$13:$A$22,0)),"⚠ categoria")))</f>
        <v>0.19</v>
      </c>
      <c r="G26" s="35"/>
      <c r="H26" s="36" t="n">
        <f aca="false">IF($A26="","",IF(ISNUMBER($G26),$G26,IF(ISNUMBER($F26),$F26,"")))</f>
        <v>0.19</v>
      </c>
      <c r="I26" s="37" t="n">
        <f aca="false">IF(OR($A26="",NOT(ISNUMBER($D26)),NOT(ISNUMBER($H26))),"",IF((1-$H26-Parâmetros!$B$8-Parâmetros!$C$8-Parâmetros!$D$8)&lt;=0,"INVALIDO",($D26+IF(ISNUMBER($E26),$E26,0)+IF(ISNUMBER(Parâmetros!$E$8),Parâmetros!$E$8,0))/(1-$H26-Parâmetros!$B$8-Parâmetros!$C$8-Parâmetros!$D$8)))</f>
        <v>116.145833333333</v>
      </c>
      <c r="J26" s="38"/>
      <c r="K26" s="39" t="n">
        <f aca="false">IF(OR($A26="",NOT(ISNUMBER($D26)),NOT(ISNUMBER($H26))),"",IF(AND(ISNUMBER($J26),$J26&gt;0),$J26,IF(ISNUMBER($I26),$I26,"")))</f>
        <v>116.145833333333</v>
      </c>
      <c r="L26" s="40" t="n">
        <f aca="false">IF(ISNUMBER($K26),$K26*$H26,"")</f>
        <v>22.0677083333333</v>
      </c>
      <c r="M26" s="40" t="n">
        <f aca="false">IF(ISNUMBER($K26),$K26*Parâmetros!$B$8,"")</f>
        <v>11.6145833333333</v>
      </c>
      <c r="N26" s="40" t="n">
        <f aca="false">IF(ISNUMBER($K26),$K26*Parâmetros!$C$8,"")</f>
        <v>3.484375</v>
      </c>
      <c r="O26" s="40" t="n">
        <f aca="false">IF(ISNUMBER($K26),IF(ISNUMBER(Parâmetros!$E$8),Parâmetros!$E$8,0),"")</f>
        <v>0</v>
      </c>
      <c r="P26" s="41" t="n">
        <f aca="false">IF(ISNUMBER($K26),$K26-$D26-IF(ISNUMBER($E26),$E26,0)-$L26-$M26-$N26-$O26,"")</f>
        <v>23.2291666666667</v>
      </c>
      <c r="Q26" s="42" t="n">
        <f aca="false">IF(AND(ISNUMBER($K26),$K26&gt;0),$P26/$K26,"")</f>
        <v>0.2</v>
      </c>
      <c r="R26" s="43"/>
      <c r="S26" s="44" t="str">
        <f aca="false">IF(OR(NOT(ISNUMBER($R26)),$R26=0,NOT(ISNUMBER($K26))),"",$K26*(1-$R26))</f>
        <v/>
      </c>
      <c r="T26" s="45" t="str">
        <f aca="false">IF(ISNUMBER($S26),$S26*$H26,"")</f>
        <v/>
      </c>
      <c r="U26" s="45" t="str">
        <f aca="false">IF(ISNUMBER($S26),$S26*Parâmetros!$B$8,"")</f>
        <v/>
      </c>
      <c r="V26" s="45" t="str">
        <f aca="false">IF(ISNUMBER($S26),$S26*Parâmetros!$C$8,"")</f>
        <v/>
      </c>
      <c r="W26" s="44" t="str">
        <f aca="false">IF(ISNUMBER($S26),$S26-$D26-IF(ISNUMBER($E26),$E26,0)-$O26-$T26-$U26-$V26,"")</f>
        <v/>
      </c>
      <c r="X26" s="46" t="str">
        <f aca="false">IF(AND(ISNUMBER($S26),$S26&gt;0),$W26/$S26,"")</f>
        <v/>
      </c>
      <c r="Y26" s="47"/>
      <c r="Z26" s="19"/>
    </row>
    <row r="27" customFormat="false" ht="15.75" hidden="false" customHeight="true" outlineLevel="0" collapsed="false">
      <c r="A27" s="48" t="str">
        <f aca="false">IF(Produtos!$A27="","",Produtos!$A27)</f>
        <v>L2025-A</v>
      </c>
      <c r="B27" s="48" t="str">
        <f aca="false">IF(Produtos!$A27="","",Produtos!$B27)</f>
        <v>Lixeira Aço Inox c/Aro 20x25 07L</v>
      </c>
      <c r="C27" s="48" t="str">
        <f aca="false">IF(Produtos!$A27="","",Produtos!$C27)</f>
        <v>Lixeiras em inox</v>
      </c>
      <c r="D27" s="33" t="n">
        <f aca="false">IF(Produtos!$A27="","",IF(Produtos!$D27="","",Produtos!$D27))</f>
        <v>60.21</v>
      </c>
      <c r="E27" s="11" t="n">
        <v>0</v>
      </c>
      <c r="F27" s="34" t="n">
        <f aca="false">IF($A27="","",IF($C27="","⚠ categoria",IFERROR(INDEX(Parâmetros!$F$13:$F$22,MATCH($C27,Parâmetros!$A$13:$A$22,0)),"⚠ categoria")))</f>
        <v>0.19</v>
      </c>
      <c r="G27" s="35"/>
      <c r="H27" s="36" t="n">
        <f aca="false">IF($A27="","",IF(ISNUMBER($G27),$G27,IF(ISNUMBER($F27),$F27,"")))</f>
        <v>0.19</v>
      </c>
      <c r="I27" s="37" t="n">
        <f aca="false">IF(OR($A27="",NOT(ISNUMBER($D27)),NOT(ISNUMBER($H27))),"",IF((1-$H27-Parâmetros!$B$8-Parâmetros!$C$8-Parâmetros!$D$8)&lt;=0,"INVALIDO",($D27+IF(ISNUMBER($E27),$E27,0)+IF(ISNUMBER(Parâmetros!$E$8),Parâmetros!$E$8,0))/(1-$H27-Parâmetros!$B$8-Parâmetros!$C$8-Parâmetros!$D$8)))</f>
        <v>125.4375</v>
      </c>
      <c r="J27" s="38"/>
      <c r="K27" s="39" t="n">
        <f aca="false">IF(OR($A27="",NOT(ISNUMBER($D27)),NOT(ISNUMBER($H27))),"",IF(AND(ISNUMBER($J27),$J27&gt;0),$J27,IF(ISNUMBER($I27),$I27,"")))</f>
        <v>125.4375</v>
      </c>
      <c r="L27" s="40" t="n">
        <f aca="false">IF(ISNUMBER($K27),$K27*$H27,"")</f>
        <v>23.833125</v>
      </c>
      <c r="M27" s="40" t="n">
        <f aca="false">IF(ISNUMBER($K27),$K27*Parâmetros!$B$8,"")</f>
        <v>12.54375</v>
      </c>
      <c r="N27" s="40" t="n">
        <f aca="false">IF(ISNUMBER($K27),$K27*Parâmetros!$C$8,"")</f>
        <v>3.763125</v>
      </c>
      <c r="O27" s="40" t="n">
        <f aca="false">IF(ISNUMBER($K27),IF(ISNUMBER(Parâmetros!$E$8),Parâmetros!$E$8,0),"")</f>
        <v>0</v>
      </c>
      <c r="P27" s="41" t="n">
        <f aca="false">IF(ISNUMBER($K27),$K27-$D27-IF(ISNUMBER($E27),$E27,0)-$L27-$M27-$N27-$O27,"")</f>
        <v>25.0875</v>
      </c>
      <c r="Q27" s="42" t="n">
        <f aca="false">IF(AND(ISNUMBER($K27),$K27&gt;0),$P27/$K27,"")</f>
        <v>0.2</v>
      </c>
      <c r="R27" s="43"/>
      <c r="S27" s="44" t="str">
        <f aca="false">IF(OR(NOT(ISNUMBER($R27)),$R27=0,NOT(ISNUMBER($K27))),"",$K27*(1-$R27))</f>
        <v/>
      </c>
      <c r="T27" s="45" t="str">
        <f aca="false">IF(ISNUMBER($S27),$S27*$H27,"")</f>
        <v/>
      </c>
      <c r="U27" s="45" t="str">
        <f aca="false">IF(ISNUMBER($S27),$S27*Parâmetros!$B$8,"")</f>
        <v/>
      </c>
      <c r="V27" s="45" t="str">
        <f aca="false">IF(ISNUMBER($S27),$S27*Parâmetros!$C$8,"")</f>
        <v/>
      </c>
      <c r="W27" s="44" t="str">
        <f aca="false">IF(ISNUMBER($S27),$S27-$D27-IF(ISNUMBER($E27),$E27,0)-$O27-$T27-$U27-$V27,"")</f>
        <v/>
      </c>
      <c r="X27" s="46" t="str">
        <f aca="false">IF(AND(ISNUMBER($S27),$S27&gt;0),$W27/$S27,"")</f>
        <v/>
      </c>
      <c r="Y27" s="49"/>
      <c r="Z27" s="21"/>
    </row>
    <row r="28" customFormat="false" ht="15.75" hidden="false" customHeight="true" outlineLevel="0" collapsed="false">
      <c r="A28" s="32" t="str">
        <f aca="false">IF(Produtos!$A28="","",Produtos!$A28)</f>
        <v>L2030-A</v>
      </c>
      <c r="B28" s="32" t="str">
        <f aca="false">IF(Produtos!$A28="","",Produtos!$B28)</f>
        <v>Lixeira Aço Inox c/Aro 20x30 10L</v>
      </c>
      <c r="C28" s="32" t="str">
        <f aca="false">IF(Produtos!$A28="","",Produtos!$C28)</f>
        <v>Lixeiras em inox</v>
      </c>
      <c r="D28" s="33" t="n">
        <f aca="false">IF(Produtos!$A28="","",IF(Produtos!$D28="","",Produtos!$D28))</f>
        <v>68.57</v>
      </c>
      <c r="E28" s="11" t="n">
        <v>0</v>
      </c>
      <c r="F28" s="34" t="n">
        <f aca="false">IF($A28="","",IF($C28="","⚠ categoria",IFERROR(INDEX(Parâmetros!$F$13:$F$22,MATCH($C28,Parâmetros!$A$13:$A$22,0)),"⚠ categoria")))</f>
        <v>0.19</v>
      </c>
      <c r="G28" s="35"/>
      <c r="H28" s="36" t="n">
        <f aca="false">IF($A28="","",IF(ISNUMBER($G28),$G28,IF(ISNUMBER($F28),$F28,"")))</f>
        <v>0.19</v>
      </c>
      <c r="I28" s="37" t="n">
        <f aca="false">IF(OR($A28="",NOT(ISNUMBER($D28)),NOT(ISNUMBER($H28))),"",IF((1-$H28-Parâmetros!$B$8-Parâmetros!$C$8-Parâmetros!$D$8)&lt;=0,"INVALIDO",($D28+IF(ISNUMBER($E28),$E28,0)+IF(ISNUMBER(Parâmetros!$E$8),Parâmetros!$E$8,0))/(1-$H28-Parâmetros!$B$8-Parâmetros!$C$8-Parâmetros!$D$8)))</f>
        <v>142.854166666667</v>
      </c>
      <c r="J28" s="38"/>
      <c r="K28" s="39" t="n">
        <f aca="false">IF(OR($A28="",NOT(ISNUMBER($D28)),NOT(ISNUMBER($H28))),"",IF(AND(ISNUMBER($J28),$J28&gt;0),$J28,IF(ISNUMBER($I28),$I28,"")))</f>
        <v>142.854166666667</v>
      </c>
      <c r="L28" s="40" t="n">
        <f aca="false">IF(ISNUMBER($K28),$K28*$H28,"")</f>
        <v>27.1422916666667</v>
      </c>
      <c r="M28" s="40" t="n">
        <f aca="false">IF(ISNUMBER($K28),$K28*Parâmetros!$B$8,"")</f>
        <v>14.2854166666667</v>
      </c>
      <c r="N28" s="40" t="n">
        <f aca="false">IF(ISNUMBER($K28),$K28*Parâmetros!$C$8,"")</f>
        <v>4.285625</v>
      </c>
      <c r="O28" s="40" t="n">
        <f aca="false">IF(ISNUMBER($K28),IF(ISNUMBER(Parâmetros!$E$8),Parâmetros!$E$8,0),"")</f>
        <v>0</v>
      </c>
      <c r="P28" s="41" t="n">
        <f aca="false">IF(ISNUMBER($K28),$K28-$D28-IF(ISNUMBER($E28),$E28,0)-$L28-$M28-$N28-$O28,"")</f>
        <v>28.5708333333333</v>
      </c>
      <c r="Q28" s="42" t="n">
        <f aca="false">IF(AND(ISNUMBER($K28),$K28&gt;0),$P28/$K28,"")</f>
        <v>0.2</v>
      </c>
      <c r="R28" s="43"/>
      <c r="S28" s="44" t="str">
        <f aca="false">IF(OR(NOT(ISNUMBER($R28)),$R28=0,NOT(ISNUMBER($K28))),"",$K28*(1-$R28))</f>
        <v/>
      </c>
      <c r="T28" s="45" t="str">
        <f aca="false">IF(ISNUMBER($S28),$S28*$H28,"")</f>
        <v/>
      </c>
      <c r="U28" s="45" t="str">
        <f aca="false">IF(ISNUMBER($S28),$S28*Parâmetros!$B$8,"")</f>
        <v/>
      </c>
      <c r="V28" s="45" t="str">
        <f aca="false">IF(ISNUMBER($S28),$S28*Parâmetros!$C$8,"")</f>
        <v/>
      </c>
      <c r="W28" s="44" t="str">
        <f aca="false">IF(ISNUMBER($S28),$S28-$D28-IF(ISNUMBER($E28),$E28,0)-$O28-$T28-$U28-$V28,"")</f>
        <v/>
      </c>
      <c r="X28" s="46" t="str">
        <f aca="false">IF(AND(ISNUMBER($S28),$S28&gt;0),$W28/$S28,"")</f>
        <v/>
      </c>
      <c r="Y28" s="47"/>
      <c r="Z28" s="19"/>
    </row>
    <row r="29" customFormat="false" ht="15.75" hidden="false" customHeight="true" outlineLevel="0" collapsed="false">
      <c r="A29" s="48" t="str">
        <f aca="false">IF(Produtos!$A29="","",Produtos!$A29)</f>
        <v>L2425-A</v>
      </c>
      <c r="B29" s="48" t="str">
        <f aca="false">IF(Produtos!$A29="","",Produtos!$B29)</f>
        <v>Lixeira Aço Inox c/Aro 24x25 13L</v>
      </c>
      <c r="C29" s="48" t="str">
        <f aca="false">IF(Produtos!$A29="","",Produtos!$C29)</f>
        <v>Lixeiras em inox</v>
      </c>
      <c r="D29" s="33" t="n">
        <f aca="false">IF(Produtos!$A29="","",IF(Produtos!$D29="","",Produtos!$D29))</f>
        <v>79.66</v>
      </c>
      <c r="E29" s="11" t="n">
        <v>0</v>
      </c>
      <c r="F29" s="34" t="n">
        <f aca="false">IF($A29="","",IF($C29="","⚠ categoria",IFERROR(INDEX(Parâmetros!$F$13:$F$22,MATCH($C29,Parâmetros!$A$13:$A$22,0)),"⚠ categoria")))</f>
        <v>0.19</v>
      </c>
      <c r="G29" s="35"/>
      <c r="H29" s="36" t="n">
        <f aca="false">IF($A29="","",IF(ISNUMBER($G29),$G29,IF(ISNUMBER($F29),$F29,"")))</f>
        <v>0.19</v>
      </c>
      <c r="I29" s="37" t="n">
        <f aca="false">IF(OR($A29="",NOT(ISNUMBER($D29)),NOT(ISNUMBER($H29))),"",IF((1-$H29-Parâmetros!$B$8-Parâmetros!$C$8-Parâmetros!$D$8)&lt;=0,"INVALIDO",($D29+IF(ISNUMBER($E29),$E29,0)+IF(ISNUMBER(Parâmetros!$E$8),Parâmetros!$E$8,0))/(1-$H29-Parâmetros!$B$8-Parâmetros!$C$8-Parâmetros!$D$8)))</f>
        <v>165.958333333333</v>
      </c>
      <c r="J29" s="38"/>
      <c r="K29" s="39" t="n">
        <f aca="false">IF(OR($A29="",NOT(ISNUMBER($D29)),NOT(ISNUMBER($H29))),"",IF(AND(ISNUMBER($J29),$J29&gt;0),$J29,IF(ISNUMBER($I29),$I29,"")))</f>
        <v>165.958333333333</v>
      </c>
      <c r="L29" s="40" t="n">
        <f aca="false">IF(ISNUMBER($K29),$K29*$H29,"")</f>
        <v>31.5320833333333</v>
      </c>
      <c r="M29" s="40" t="n">
        <f aca="false">IF(ISNUMBER($K29),$K29*Parâmetros!$B$8,"")</f>
        <v>16.5958333333333</v>
      </c>
      <c r="N29" s="40" t="n">
        <f aca="false">IF(ISNUMBER($K29),$K29*Parâmetros!$C$8,"")</f>
        <v>4.97875</v>
      </c>
      <c r="O29" s="40" t="n">
        <f aca="false">IF(ISNUMBER($K29),IF(ISNUMBER(Parâmetros!$E$8),Parâmetros!$E$8,0),"")</f>
        <v>0</v>
      </c>
      <c r="P29" s="41" t="n">
        <f aca="false">IF(ISNUMBER($K29),$K29-$D29-IF(ISNUMBER($E29),$E29,0)-$L29-$M29-$N29-$O29,"")</f>
        <v>33.1916666666667</v>
      </c>
      <c r="Q29" s="42" t="n">
        <f aca="false">IF(AND(ISNUMBER($K29),$K29&gt;0),$P29/$K29,"")</f>
        <v>0.2</v>
      </c>
      <c r="R29" s="43"/>
      <c r="S29" s="44" t="str">
        <f aca="false">IF(OR(NOT(ISNUMBER($R29)),$R29=0,NOT(ISNUMBER($K29))),"",$K29*(1-$R29))</f>
        <v/>
      </c>
      <c r="T29" s="45" t="str">
        <f aca="false">IF(ISNUMBER($S29),$S29*$H29,"")</f>
        <v/>
      </c>
      <c r="U29" s="45" t="str">
        <f aca="false">IF(ISNUMBER($S29),$S29*Parâmetros!$B$8,"")</f>
        <v/>
      </c>
      <c r="V29" s="45" t="str">
        <f aca="false">IF(ISNUMBER($S29),$S29*Parâmetros!$C$8,"")</f>
        <v/>
      </c>
      <c r="W29" s="44" t="str">
        <f aca="false">IF(ISNUMBER($S29),$S29-$D29-IF(ISNUMBER($E29),$E29,0)-$O29-$T29-$U29-$V29,"")</f>
        <v/>
      </c>
      <c r="X29" s="46" t="str">
        <f aca="false">IF(AND(ISNUMBER($S29),$S29&gt;0),$W29/$S29,"")</f>
        <v/>
      </c>
      <c r="Y29" s="49"/>
      <c r="Z29" s="21"/>
    </row>
    <row r="30" customFormat="false" ht="15.75" hidden="false" customHeight="true" outlineLevel="0" collapsed="false">
      <c r="A30" s="32" t="str">
        <f aca="false">IF(Produtos!$A30="","",Produtos!$A30)</f>
        <v>L2430-A</v>
      </c>
      <c r="B30" s="32" t="str">
        <f aca="false">IF(Produtos!$A30="","",Produtos!$B30)</f>
        <v>Lixeira Aço Inox c/Aro 24x30 15L</v>
      </c>
      <c r="C30" s="32" t="str">
        <f aca="false">IF(Produtos!$A30="","",Produtos!$C30)</f>
        <v>Lixeiras em inox</v>
      </c>
      <c r="D30" s="33" t="n">
        <f aca="false">IF(Produtos!$A30="","",IF(Produtos!$D30="","",Produtos!$D30))</f>
        <v>91.16</v>
      </c>
      <c r="E30" s="11" t="n">
        <v>0</v>
      </c>
      <c r="F30" s="34" t="n">
        <f aca="false">IF($A30="","",IF($C30="","⚠ categoria",IFERROR(INDEX(Parâmetros!$F$13:$F$22,MATCH($C30,Parâmetros!$A$13:$A$22,0)),"⚠ categoria")))</f>
        <v>0.19</v>
      </c>
      <c r="G30" s="35"/>
      <c r="H30" s="36" t="n">
        <f aca="false">IF($A30="","",IF(ISNUMBER($G30),$G30,IF(ISNUMBER($F30),$F30,"")))</f>
        <v>0.19</v>
      </c>
      <c r="I30" s="37" t="n">
        <f aca="false">IF(OR($A30="",NOT(ISNUMBER($D30)),NOT(ISNUMBER($H30))),"",IF((1-$H30-Parâmetros!$B$8-Parâmetros!$C$8-Parâmetros!$D$8)&lt;=0,"INVALIDO",($D30+IF(ISNUMBER($E30),$E30,0)+IF(ISNUMBER(Parâmetros!$E$8),Parâmetros!$E$8,0))/(1-$H30-Parâmetros!$B$8-Parâmetros!$C$8-Parâmetros!$D$8)))</f>
        <v>189.916666666667</v>
      </c>
      <c r="J30" s="38"/>
      <c r="K30" s="39" t="n">
        <f aca="false">IF(OR($A30="",NOT(ISNUMBER($D30)),NOT(ISNUMBER($H30))),"",IF(AND(ISNUMBER($J30),$J30&gt;0),$J30,IF(ISNUMBER($I30),$I30,"")))</f>
        <v>189.916666666667</v>
      </c>
      <c r="L30" s="40" t="n">
        <f aca="false">IF(ISNUMBER($K30),$K30*$H30,"")</f>
        <v>36.0841666666667</v>
      </c>
      <c r="M30" s="40" t="n">
        <f aca="false">IF(ISNUMBER($K30),$K30*Parâmetros!$B$8,"")</f>
        <v>18.9916666666667</v>
      </c>
      <c r="N30" s="40" t="n">
        <f aca="false">IF(ISNUMBER($K30),$K30*Parâmetros!$C$8,"")</f>
        <v>5.6975</v>
      </c>
      <c r="O30" s="40" t="n">
        <f aca="false">IF(ISNUMBER($K30),IF(ISNUMBER(Parâmetros!$E$8),Parâmetros!$E$8,0),"")</f>
        <v>0</v>
      </c>
      <c r="P30" s="41" t="n">
        <f aca="false">IF(ISNUMBER($K30),$K30-$D30-IF(ISNUMBER($E30),$E30,0)-$L30-$M30-$N30-$O30,"")</f>
        <v>37.9833333333333</v>
      </c>
      <c r="Q30" s="42" t="n">
        <f aca="false">IF(AND(ISNUMBER($K30),$K30&gt;0),$P30/$K30,"")</f>
        <v>0.2</v>
      </c>
      <c r="R30" s="43"/>
      <c r="S30" s="44" t="str">
        <f aca="false">IF(OR(NOT(ISNUMBER($R30)),$R30=0,NOT(ISNUMBER($K30))),"",$K30*(1-$R30))</f>
        <v/>
      </c>
      <c r="T30" s="45" t="str">
        <f aca="false">IF(ISNUMBER($S30),$S30*$H30,"")</f>
        <v/>
      </c>
      <c r="U30" s="45" t="str">
        <f aca="false">IF(ISNUMBER($S30),$S30*Parâmetros!$B$8,"")</f>
        <v/>
      </c>
      <c r="V30" s="45" t="str">
        <f aca="false">IF(ISNUMBER($S30),$S30*Parâmetros!$C$8,"")</f>
        <v/>
      </c>
      <c r="W30" s="44" t="str">
        <f aca="false">IF(ISNUMBER($S30),$S30-$D30-IF(ISNUMBER($E30),$E30,0)-$O30-$T30-$U30-$V30,"")</f>
        <v/>
      </c>
      <c r="X30" s="46" t="str">
        <f aca="false">IF(AND(ISNUMBER($S30),$S30&gt;0),$W30/$S30,"")</f>
        <v/>
      </c>
      <c r="Y30" s="47"/>
      <c r="Z30" s="19"/>
    </row>
    <row r="31" customFormat="false" ht="15.75" hidden="false" customHeight="true" outlineLevel="0" collapsed="false">
      <c r="A31" s="48" t="str">
        <f aca="false">IF(Produtos!$A31="","",Produtos!$A31)</f>
        <v>L2440-A</v>
      </c>
      <c r="B31" s="48" t="str">
        <f aca="false">IF(Produtos!$A31="","",Produtos!$B31)</f>
        <v>Lixeira Aço Inox c/Aro 24x40 20L</v>
      </c>
      <c r="C31" s="48" t="str">
        <f aca="false">IF(Produtos!$A31="","",Produtos!$C31)</f>
        <v>Lixeiras em inox</v>
      </c>
      <c r="D31" s="33" t="n">
        <f aca="false">IF(Produtos!$A31="","",IF(Produtos!$D31="","",Produtos!$D31))</f>
        <v>102.19</v>
      </c>
      <c r="E31" s="11" t="n">
        <v>0</v>
      </c>
      <c r="F31" s="34" t="n">
        <f aca="false">IF($A31="","",IF($C31="","⚠ categoria",IFERROR(INDEX(Parâmetros!$F$13:$F$22,MATCH($C31,Parâmetros!$A$13:$A$22,0)),"⚠ categoria")))</f>
        <v>0.19</v>
      </c>
      <c r="G31" s="35"/>
      <c r="H31" s="36" t="n">
        <f aca="false">IF($A31="","",IF(ISNUMBER($G31),$G31,IF(ISNUMBER($F31),$F31,"")))</f>
        <v>0.19</v>
      </c>
      <c r="I31" s="37" t="n">
        <f aca="false">IF(OR($A31="",NOT(ISNUMBER($D31)),NOT(ISNUMBER($H31))),"",IF((1-$H31-Parâmetros!$B$8-Parâmetros!$C$8-Parâmetros!$D$8)&lt;=0,"INVALIDO",($D31+IF(ISNUMBER($E31),$E31,0)+IF(ISNUMBER(Parâmetros!$E$8),Parâmetros!$E$8,0))/(1-$H31-Parâmetros!$B$8-Parâmetros!$C$8-Parâmetros!$D$8)))</f>
        <v>212.895833333333</v>
      </c>
      <c r="J31" s="38"/>
      <c r="K31" s="39" t="n">
        <f aca="false">IF(OR($A31="",NOT(ISNUMBER($D31)),NOT(ISNUMBER($H31))),"",IF(AND(ISNUMBER($J31),$J31&gt;0),$J31,IF(ISNUMBER($I31),$I31,"")))</f>
        <v>212.895833333333</v>
      </c>
      <c r="L31" s="40" t="n">
        <f aca="false">IF(ISNUMBER($K31),$K31*$H31,"")</f>
        <v>40.4502083333333</v>
      </c>
      <c r="M31" s="40" t="n">
        <f aca="false">IF(ISNUMBER($K31),$K31*Parâmetros!$B$8,"")</f>
        <v>21.2895833333333</v>
      </c>
      <c r="N31" s="40" t="n">
        <f aca="false">IF(ISNUMBER($K31),$K31*Parâmetros!$C$8,"")</f>
        <v>6.386875</v>
      </c>
      <c r="O31" s="40" t="n">
        <f aca="false">IF(ISNUMBER($K31),IF(ISNUMBER(Parâmetros!$E$8),Parâmetros!$E$8,0),"")</f>
        <v>0</v>
      </c>
      <c r="P31" s="41" t="n">
        <f aca="false">IF(ISNUMBER($K31),$K31-$D31-IF(ISNUMBER($E31),$E31,0)-$L31-$M31-$N31-$O31,"")</f>
        <v>42.5791666666667</v>
      </c>
      <c r="Q31" s="42" t="n">
        <f aca="false">IF(AND(ISNUMBER($K31),$K31&gt;0),$P31/$K31,"")</f>
        <v>0.2</v>
      </c>
      <c r="R31" s="43"/>
      <c r="S31" s="44" t="str">
        <f aca="false">IF(OR(NOT(ISNUMBER($R31)),$R31=0,NOT(ISNUMBER($K31))),"",$K31*(1-$R31))</f>
        <v/>
      </c>
      <c r="T31" s="45" t="str">
        <f aca="false">IF(ISNUMBER($S31),$S31*$H31,"")</f>
        <v/>
      </c>
      <c r="U31" s="45" t="str">
        <f aca="false">IF(ISNUMBER($S31),$S31*Parâmetros!$B$8,"")</f>
        <v/>
      </c>
      <c r="V31" s="45" t="str">
        <f aca="false">IF(ISNUMBER($S31),$S31*Parâmetros!$C$8,"")</f>
        <v/>
      </c>
      <c r="W31" s="44" t="str">
        <f aca="false">IF(ISNUMBER($S31),$S31-$D31-IF(ISNUMBER($E31),$E31,0)-$O31-$T31-$U31-$V31,"")</f>
        <v/>
      </c>
      <c r="X31" s="46" t="str">
        <f aca="false">IF(AND(ISNUMBER($S31),$S31&gt;0),$W31/$S31,"")</f>
        <v/>
      </c>
      <c r="Y31" s="49"/>
      <c r="Z31" s="21"/>
    </row>
    <row r="32" customFormat="false" ht="15.75" hidden="false" customHeight="true" outlineLevel="0" collapsed="false">
      <c r="A32" s="32" t="str">
        <f aca="false">IF(Produtos!$A32="","",Produtos!$A32)</f>
        <v>L2450-A</v>
      </c>
      <c r="B32" s="32" t="str">
        <f aca="false">IF(Produtos!$A32="","",Produtos!$B32)</f>
        <v>Lixeira Aço Inox c/Aro 24x50 25L</v>
      </c>
      <c r="C32" s="32" t="str">
        <f aca="false">IF(Produtos!$A32="","",Produtos!$C32)</f>
        <v>Lixeiras em inox</v>
      </c>
      <c r="D32" s="33" t="n">
        <f aca="false">IF(Produtos!$A32="","",IF(Produtos!$D32="","",Produtos!$D32))</f>
        <v>132.03</v>
      </c>
      <c r="E32" s="11" t="n">
        <v>0</v>
      </c>
      <c r="F32" s="34" t="n">
        <f aca="false">IF($A32="","",IF($C32="","⚠ categoria",IFERROR(INDEX(Parâmetros!$F$13:$F$22,MATCH($C32,Parâmetros!$A$13:$A$22,0)),"⚠ categoria")))</f>
        <v>0.19</v>
      </c>
      <c r="G32" s="35"/>
      <c r="H32" s="36" t="n">
        <f aca="false">IF($A32="","",IF(ISNUMBER($G32),$G32,IF(ISNUMBER($F32),$F32,"")))</f>
        <v>0.19</v>
      </c>
      <c r="I32" s="37" t="n">
        <f aca="false">IF(OR($A32="",NOT(ISNUMBER($D32)),NOT(ISNUMBER($H32))),"",IF((1-$H32-Parâmetros!$B$8-Parâmetros!$C$8-Parâmetros!$D$8)&lt;=0,"INVALIDO",($D32+IF(ISNUMBER($E32),$E32,0)+IF(ISNUMBER(Parâmetros!$E$8),Parâmetros!$E$8,0))/(1-$H32-Parâmetros!$B$8-Parâmetros!$C$8-Parâmetros!$D$8)))</f>
        <v>275.0625</v>
      </c>
      <c r="J32" s="38"/>
      <c r="K32" s="39" t="n">
        <f aca="false">IF(OR($A32="",NOT(ISNUMBER($D32)),NOT(ISNUMBER($H32))),"",IF(AND(ISNUMBER($J32),$J32&gt;0),$J32,IF(ISNUMBER($I32),$I32,"")))</f>
        <v>275.0625</v>
      </c>
      <c r="L32" s="40" t="n">
        <f aca="false">IF(ISNUMBER($K32),$K32*$H32,"")</f>
        <v>52.261875</v>
      </c>
      <c r="M32" s="40" t="n">
        <f aca="false">IF(ISNUMBER($K32),$K32*Parâmetros!$B$8,"")</f>
        <v>27.50625</v>
      </c>
      <c r="N32" s="40" t="n">
        <f aca="false">IF(ISNUMBER($K32),$K32*Parâmetros!$C$8,"")</f>
        <v>8.251875</v>
      </c>
      <c r="O32" s="40" t="n">
        <f aca="false">IF(ISNUMBER($K32),IF(ISNUMBER(Parâmetros!$E$8),Parâmetros!$E$8,0),"")</f>
        <v>0</v>
      </c>
      <c r="P32" s="41" t="n">
        <f aca="false">IF(ISNUMBER($K32),$K32-$D32-IF(ISNUMBER($E32),$E32,0)-$L32-$M32-$N32-$O32,"")</f>
        <v>55.0125</v>
      </c>
      <c r="Q32" s="42" t="n">
        <f aca="false">IF(AND(ISNUMBER($K32),$K32&gt;0),$P32/$K32,"")</f>
        <v>0.2</v>
      </c>
      <c r="R32" s="43"/>
      <c r="S32" s="44" t="str">
        <f aca="false">IF(OR(NOT(ISNUMBER($R32)),$R32=0,NOT(ISNUMBER($K32))),"",$K32*(1-$R32))</f>
        <v/>
      </c>
      <c r="T32" s="45" t="str">
        <f aca="false">IF(ISNUMBER($S32),$S32*$H32,"")</f>
        <v/>
      </c>
      <c r="U32" s="45" t="str">
        <f aca="false">IF(ISNUMBER($S32),$S32*Parâmetros!$B$8,"")</f>
        <v/>
      </c>
      <c r="V32" s="45" t="str">
        <f aca="false">IF(ISNUMBER($S32),$S32*Parâmetros!$C$8,"")</f>
        <v/>
      </c>
      <c r="W32" s="44" t="str">
        <f aca="false">IF(ISNUMBER($S32),$S32-$D32-IF(ISNUMBER($E32),$E32,0)-$O32-$T32-$U32-$V32,"")</f>
        <v/>
      </c>
      <c r="X32" s="46" t="str">
        <f aca="false">IF(AND(ISNUMBER($S32),$S32&gt;0),$W32/$S32,"")</f>
        <v/>
      </c>
      <c r="Y32" s="47"/>
      <c r="Z32" s="19"/>
    </row>
    <row r="33" customFormat="false" ht="15.75" hidden="false" customHeight="true" outlineLevel="0" collapsed="false">
      <c r="A33" s="48" t="str">
        <f aca="false">IF(Produtos!$A33="","",Produtos!$A33)</f>
        <v>L2460-A</v>
      </c>
      <c r="B33" s="48" t="str">
        <f aca="false">IF(Produtos!$A33="","",Produtos!$B33)</f>
        <v>Lixeira Aço Inox c/Aro 24x60 27L</v>
      </c>
      <c r="C33" s="48" t="str">
        <f aca="false">IF(Produtos!$A33="","",Produtos!$C33)</f>
        <v>Lixeiras em inox</v>
      </c>
      <c r="D33" s="33" t="n">
        <f aca="false">IF(Produtos!$A33="","",IF(Produtos!$D33="","",Produtos!$D33))</f>
        <v>136.09</v>
      </c>
      <c r="E33" s="11" t="n">
        <v>0</v>
      </c>
      <c r="F33" s="34" t="n">
        <f aca="false">IF($A33="","",IF($C33="","⚠ categoria",IFERROR(INDEX(Parâmetros!$F$13:$F$22,MATCH($C33,Parâmetros!$A$13:$A$22,0)),"⚠ categoria")))</f>
        <v>0.19</v>
      </c>
      <c r="G33" s="35"/>
      <c r="H33" s="36" t="n">
        <f aca="false">IF($A33="","",IF(ISNUMBER($G33),$G33,IF(ISNUMBER($F33),$F33,"")))</f>
        <v>0.19</v>
      </c>
      <c r="I33" s="37" t="n">
        <f aca="false">IF(OR($A33="",NOT(ISNUMBER($D33)),NOT(ISNUMBER($H33))),"",IF((1-$H33-Parâmetros!$B$8-Parâmetros!$C$8-Parâmetros!$D$8)&lt;=0,"INVALIDO",($D33+IF(ISNUMBER($E33),$E33,0)+IF(ISNUMBER(Parâmetros!$E$8),Parâmetros!$E$8,0))/(1-$H33-Parâmetros!$B$8-Parâmetros!$C$8-Parâmetros!$D$8)))</f>
        <v>283.520833333333</v>
      </c>
      <c r="J33" s="38"/>
      <c r="K33" s="39" t="n">
        <f aca="false">IF(OR($A33="",NOT(ISNUMBER($D33)),NOT(ISNUMBER($H33))),"",IF(AND(ISNUMBER($J33),$J33&gt;0),$J33,IF(ISNUMBER($I33),$I33,"")))</f>
        <v>283.520833333333</v>
      </c>
      <c r="L33" s="40" t="n">
        <f aca="false">IF(ISNUMBER($K33),$K33*$H33,"")</f>
        <v>53.8689583333333</v>
      </c>
      <c r="M33" s="40" t="n">
        <f aca="false">IF(ISNUMBER($K33),$K33*Parâmetros!$B$8,"")</f>
        <v>28.3520833333333</v>
      </c>
      <c r="N33" s="40" t="n">
        <f aca="false">IF(ISNUMBER($K33),$K33*Parâmetros!$C$8,"")</f>
        <v>8.505625</v>
      </c>
      <c r="O33" s="40" t="n">
        <f aca="false">IF(ISNUMBER($K33),IF(ISNUMBER(Parâmetros!$E$8),Parâmetros!$E$8,0),"")</f>
        <v>0</v>
      </c>
      <c r="P33" s="41" t="n">
        <f aca="false">IF(ISNUMBER($K33),$K33-$D33-IF(ISNUMBER($E33),$E33,0)-$L33-$M33-$N33-$O33,"")</f>
        <v>56.7041666666667</v>
      </c>
      <c r="Q33" s="42" t="n">
        <f aca="false">IF(AND(ISNUMBER($K33),$K33&gt;0),$P33/$K33,"")</f>
        <v>0.2</v>
      </c>
      <c r="R33" s="43"/>
      <c r="S33" s="44" t="str">
        <f aca="false">IF(OR(NOT(ISNUMBER($R33)),$R33=0,NOT(ISNUMBER($K33))),"",$K33*(1-$R33))</f>
        <v/>
      </c>
      <c r="T33" s="45" t="str">
        <f aca="false">IF(ISNUMBER($S33),$S33*$H33,"")</f>
        <v/>
      </c>
      <c r="U33" s="45" t="str">
        <f aca="false">IF(ISNUMBER($S33),$S33*Parâmetros!$B$8,"")</f>
        <v/>
      </c>
      <c r="V33" s="45" t="str">
        <f aca="false">IF(ISNUMBER($S33),$S33*Parâmetros!$C$8,"")</f>
        <v/>
      </c>
      <c r="W33" s="44" t="str">
        <f aca="false">IF(ISNUMBER($S33),$S33-$D33-IF(ISNUMBER($E33),$E33,0)-$O33-$T33-$U33-$V33,"")</f>
        <v/>
      </c>
      <c r="X33" s="46" t="str">
        <f aca="false">IF(AND(ISNUMBER($S33),$S33&gt;0),$W33/$S33,"")</f>
        <v/>
      </c>
      <c r="Y33" s="49"/>
      <c r="Z33" s="21"/>
    </row>
    <row r="34" customFormat="false" ht="15.75" hidden="false" customHeight="true" outlineLevel="0" collapsed="false">
      <c r="A34" s="32" t="str">
        <f aca="false">IF(Produtos!$A34="","",Produtos!$A34)</f>
        <v>L2470-A</v>
      </c>
      <c r="B34" s="32" t="str">
        <f aca="false">IF(Produtos!$A34="","",Produtos!$B34)</f>
        <v>Lixeira Aço Inox c/Aro 24x70 30L</v>
      </c>
      <c r="C34" s="32" t="str">
        <f aca="false">IF(Produtos!$A34="","",Produtos!$C34)</f>
        <v>Lixeiras em inox</v>
      </c>
      <c r="D34" s="33" t="n">
        <f aca="false">IF(Produtos!$A34="","",IF(Produtos!$D34="","",Produtos!$D34))</f>
        <v>203.27</v>
      </c>
      <c r="E34" s="11" t="n">
        <v>0</v>
      </c>
      <c r="F34" s="34" t="n">
        <f aca="false">IF($A34="","",IF($C34="","⚠ categoria",IFERROR(INDEX(Parâmetros!$F$13:$F$22,MATCH($C34,Parâmetros!$A$13:$A$22,0)),"⚠ categoria")))</f>
        <v>0.19</v>
      </c>
      <c r="G34" s="35"/>
      <c r="H34" s="36" t="n">
        <f aca="false">IF($A34="","",IF(ISNUMBER($G34),$G34,IF(ISNUMBER($F34),$F34,"")))</f>
        <v>0.19</v>
      </c>
      <c r="I34" s="37" t="n">
        <f aca="false">IF(OR($A34="",NOT(ISNUMBER($D34)),NOT(ISNUMBER($H34))),"",IF((1-$H34-Parâmetros!$B$8-Parâmetros!$C$8-Parâmetros!$D$8)&lt;=0,"INVALIDO",($D34+IF(ISNUMBER($E34),$E34,0)+IF(ISNUMBER(Parâmetros!$E$8),Parâmetros!$E$8,0))/(1-$H34-Parâmetros!$B$8-Parâmetros!$C$8-Parâmetros!$D$8)))</f>
        <v>423.479166666667</v>
      </c>
      <c r="J34" s="38"/>
      <c r="K34" s="39" t="n">
        <f aca="false">IF(OR($A34="",NOT(ISNUMBER($D34)),NOT(ISNUMBER($H34))),"",IF(AND(ISNUMBER($J34),$J34&gt;0),$J34,IF(ISNUMBER($I34),$I34,"")))</f>
        <v>423.479166666667</v>
      </c>
      <c r="L34" s="40" t="n">
        <f aca="false">IF(ISNUMBER($K34),$K34*$H34,"")</f>
        <v>80.4610416666667</v>
      </c>
      <c r="M34" s="40" t="n">
        <f aca="false">IF(ISNUMBER($K34),$K34*Parâmetros!$B$8,"")</f>
        <v>42.3479166666667</v>
      </c>
      <c r="N34" s="40" t="n">
        <f aca="false">IF(ISNUMBER($K34),$K34*Parâmetros!$C$8,"")</f>
        <v>12.704375</v>
      </c>
      <c r="O34" s="40" t="n">
        <f aca="false">IF(ISNUMBER($K34),IF(ISNUMBER(Parâmetros!$E$8),Parâmetros!$E$8,0),"")</f>
        <v>0</v>
      </c>
      <c r="P34" s="41" t="n">
        <f aca="false">IF(ISNUMBER($K34),$K34-$D34-IF(ISNUMBER($E34),$E34,0)-$L34-$M34-$N34-$O34,"")</f>
        <v>84.6958333333333</v>
      </c>
      <c r="Q34" s="42" t="n">
        <f aca="false">IF(AND(ISNUMBER($K34),$K34&gt;0),$P34/$K34,"")</f>
        <v>0.2</v>
      </c>
      <c r="R34" s="43"/>
      <c r="S34" s="44" t="str">
        <f aca="false">IF(OR(NOT(ISNUMBER($R34)),$R34=0,NOT(ISNUMBER($K34))),"",$K34*(1-$R34))</f>
        <v/>
      </c>
      <c r="T34" s="45" t="str">
        <f aca="false">IF(ISNUMBER($S34),$S34*$H34,"")</f>
        <v/>
      </c>
      <c r="U34" s="45" t="str">
        <f aca="false">IF(ISNUMBER($S34),$S34*Parâmetros!$B$8,"")</f>
        <v/>
      </c>
      <c r="V34" s="45" t="str">
        <f aca="false">IF(ISNUMBER($S34),$S34*Parâmetros!$C$8,"")</f>
        <v/>
      </c>
      <c r="W34" s="44" t="str">
        <f aca="false">IF(ISNUMBER($S34),$S34-$D34-IF(ISNUMBER($E34),$E34,0)-$O34-$T34-$U34-$V34,"")</f>
        <v/>
      </c>
      <c r="X34" s="46" t="str">
        <f aca="false">IF(AND(ISNUMBER($S34),$S34&gt;0),$W34/$S34,"")</f>
        <v/>
      </c>
      <c r="Y34" s="47"/>
      <c r="Z34" s="19"/>
    </row>
    <row r="35" customFormat="false" ht="15.75" hidden="false" customHeight="true" outlineLevel="0" collapsed="false">
      <c r="A35" s="48" t="str">
        <f aca="false">IF(Produtos!$A35="","",Produtos!$A35)</f>
        <v>L3040-A</v>
      </c>
      <c r="B35" s="48" t="str">
        <f aca="false">IF(Produtos!$A35="","",Produtos!$B35)</f>
        <v>Lixeira Aço Inox c/Aro 30x40 30L</v>
      </c>
      <c r="C35" s="48" t="str">
        <f aca="false">IF(Produtos!$A35="","",Produtos!$C35)</f>
        <v>Lixeiras em inox</v>
      </c>
      <c r="D35" s="33" t="n">
        <f aca="false">IF(Produtos!$A35="","",IF(Produtos!$D35="","",Produtos!$D35))</f>
        <v>151.33</v>
      </c>
      <c r="E35" s="11" t="n">
        <v>0</v>
      </c>
      <c r="F35" s="34" t="n">
        <f aca="false">IF($A35="","",IF($C35="","⚠ categoria",IFERROR(INDEX(Parâmetros!$F$13:$F$22,MATCH($C35,Parâmetros!$A$13:$A$22,0)),"⚠ categoria")))</f>
        <v>0.19</v>
      </c>
      <c r="G35" s="35"/>
      <c r="H35" s="36" t="n">
        <f aca="false">IF($A35="","",IF(ISNUMBER($G35),$G35,IF(ISNUMBER($F35),$F35,"")))</f>
        <v>0.19</v>
      </c>
      <c r="I35" s="37" t="n">
        <f aca="false">IF(OR($A35="",NOT(ISNUMBER($D35)),NOT(ISNUMBER($H35))),"",IF((1-$H35-Parâmetros!$B$8-Parâmetros!$C$8-Parâmetros!$D$8)&lt;=0,"INVALIDO",($D35+IF(ISNUMBER($E35),$E35,0)+IF(ISNUMBER(Parâmetros!$E$8),Parâmetros!$E$8,0))/(1-$H35-Parâmetros!$B$8-Parâmetros!$C$8-Parâmetros!$D$8)))</f>
        <v>315.270833333333</v>
      </c>
      <c r="J35" s="38"/>
      <c r="K35" s="39" t="n">
        <f aca="false">IF(OR($A35="",NOT(ISNUMBER($D35)),NOT(ISNUMBER($H35))),"",IF(AND(ISNUMBER($J35),$J35&gt;0),$J35,IF(ISNUMBER($I35),$I35,"")))</f>
        <v>315.270833333333</v>
      </c>
      <c r="L35" s="40" t="n">
        <f aca="false">IF(ISNUMBER($K35),$K35*$H35,"")</f>
        <v>59.9014583333333</v>
      </c>
      <c r="M35" s="40" t="n">
        <f aca="false">IF(ISNUMBER($K35),$K35*Parâmetros!$B$8,"")</f>
        <v>31.5270833333333</v>
      </c>
      <c r="N35" s="40" t="n">
        <f aca="false">IF(ISNUMBER($K35),$K35*Parâmetros!$C$8,"")</f>
        <v>9.458125</v>
      </c>
      <c r="O35" s="40" t="n">
        <f aca="false">IF(ISNUMBER($K35),IF(ISNUMBER(Parâmetros!$E$8),Parâmetros!$E$8,0),"")</f>
        <v>0</v>
      </c>
      <c r="P35" s="41" t="n">
        <f aca="false">IF(ISNUMBER($K35),$K35-$D35-IF(ISNUMBER($E35),$E35,0)-$L35-$M35-$N35-$O35,"")</f>
        <v>63.0541666666666</v>
      </c>
      <c r="Q35" s="42" t="n">
        <f aca="false">IF(AND(ISNUMBER($K35),$K35&gt;0),$P35/$K35,"")</f>
        <v>0.2</v>
      </c>
      <c r="R35" s="43"/>
      <c r="S35" s="44" t="str">
        <f aca="false">IF(OR(NOT(ISNUMBER($R35)),$R35=0,NOT(ISNUMBER($K35))),"",$K35*(1-$R35))</f>
        <v/>
      </c>
      <c r="T35" s="45" t="str">
        <f aca="false">IF(ISNUMBER($S35),$S35*$H35,"")</f>
        <v/>
      </c>
      <c r="U35" s="45" t="str">
        <f aca="false">IF(ISNUMBER($S35),$S35*Parâmetros!$B$8,"")</f>
        <v/>
      </c>
      <c r="V35" s="45" t="str">
        <f aca="false">IF(ISNUMBER($S35),$S35*Parâmetros!$C$8,"")</f>
        <v/>
      </c>
      <c r="W35" s="44" t="str">
        <f aca="false">IF(ISNUMBER($S35),$S35-$D35-IF(ISNUMBER($E35),$E35,0)-$O35-$T35-$U35-$V35,"")</f>
        <v/>
      </c>
      <c r="X35" s="46" t="str">
        <f aca="false">IF(AND(ISNUMBER($S35),$S35&gt;0),$W35/$S35,"")</f>
        <v/>
      </c>
      <c r="Y35" s="49"/>
      <c r="Z35" s="21"/>
    </row>
    <row r="36" customFormat="false" ht="15.75" hidden="false" customHeight="true" outlineLevel="0" collapsed="false">
      <c r="A36" s="32" t="str">
        <f aca="false">IF(Produtos!$A36="","",Produtos!$A36)</f>
        <v>L3050-A</v>
      </c>
      <c r="B36" s="32" t="str">
        <f aca="false">IF(Produtos!$A36="","",Produtos!$B36)</f>
        <v>Lixeira Aço Inox c/Aro 30x50 35L</v>
      </c>
      <c r="C36" s="32" t="str">
        <f aca="false">IF(Produtos!$A36="","",Produtos!$C36)</f>
        <v>Lixeiras em inox</v>
      </c>
      <c r="D36" s="33" t="n">
        <f aca="false">IF(Produtos!$A36="","",IF(Produtos!$D36="","",Produtos!$D36))</f>
        <v>189.66</v>
      </c>
      <c r="E36" s="11" t="n">
        <v>0</v>
      </c>
      <c r="F36" s="34" t="n">
        <f aca="false">IF($A36="","",IF($C36="","⚠ categoria",IFERROR(INDEX(Parâmetros!$F$13:$F$22,MATCH($C36,Parâmetros!$A$13:$A$22,0)),"⚠ categoria")))</f>
        <v>0.19</v>
      </c>
      <c r="G36" s="35"/>
      <c r="H36" s="36" t="n">
        <f aca="false">IF($A36="","",IF(ISNUMBER($G36),$G36,IF(ISNUMBER($F36),$F36,"")))</f>
        <v>0.19</v>
      </c>
      <c r="I36" s="37" t="n">
        <f aca="false">IF(OR($A36="",NOT(ISNUMBER($D36)),NOT(ISNUMBER($H36))),"",IF((1-$H36-Parâmetros!$B$8-Parâmetros!$C$8-Parâmetros!$D$8)&lt;=0,"INVALIDO",($D36+IF(ISNUMBER($E36),$E36,0)+IF(ISNUMBER(Parâmetros!$E$8),Parâmetros!$E$8,0))/(1-$H36-Parâmetros!$B$8-Parâmetros!$C$8-Parâmetros!$D$8)))</f>
        <v>395.125</v>
      </c>
      <c r="J36" s="38"/>
      <c r="K36" s="39" t="n">
        <f aca="false">IF(OR($A36="",NOT(ISNUMBER($D36)),NOT(ISNUMBER($H36))),"",IF(AND(ISNUMBER($J36),$J36&gt;0),$J36,IF(ISNUMBER($I36),$I36,"")))</f>
        <v>395.125</v>
      </c>
      <c r="L36" s="40" t="n">
        <f aca="false">IF(ISNUMBER($K36),$K36*$H36,"")</f>
        <v>75.07375</v>
      </c>
      <c r="M36" s="40" t="n">
        <f aca="false">IF(ISNUMBER($K36),$K36*Parâmetros!$B$8,"")</f>
        <v>39.5125</v>
      </c>
      <c r="N36" s="40" t="n">
        <f aca="false">IF(ISNUMBER($K36),$K36*Parâmetros!$C$8,"")</f>
        <v>11.85375</v>
      </c>
      <c r="O36" s="40" t="n">
        <f aca="false">IF(ISNUMBER($K36),IF(ISNUMBER(Parâmetros!$E$8),Parâmetros!$E$8,0),"")</f>
        <v>0</v>
      </c>
      <c r="P36" s="41" t="n">
        <f aca="false">IF(ISNUMBER($K36),$K36-$D36-IF(ISNUMBER($E36),$E36,0)-$L36-$M36-$N36-$O36,"")</f>
        <v>79.025</v>
      </c>
      <c r="Q36" s="42" t="n">
        <f aca="false">IF(AND(ISNUMBER($K36),$K36&gt;0),$P36/$K36,"")</f>
        <v>0.2</v>
      </c>
      <c r="R36" s="43"/>
      <c r="S36" s="44" t="str">
        <f aca="false">IF(OR(NOT(ISNUMBER($R36)),$R36=0,NOT(ISNUMBER($K36))),"",$K36*(1-$R36))</f>
        <v/>
      </c>
      <c r="T36" s="45" t="str">
        <f aca="false">IF(ISNUMBER($S36),$S36*$H36,"")</f>
        <v/>
      </c>
      <c r="U36" s="45" t="str">
        <f aca="false">IF(ISNUMBER($S36),$S36*Parâmetros!$B$8,"")</f>
        <v/>
      </c>
      <c r="V36" s="45" t="str">
        <f aca="false">IF(ISNUMBER($S36),$S36*Parâmetros!$C$8,"")</f>
        <v/>
      </c>
      <c r="W36" s="44" t="str">
        <f aca="false">IF(ISNUMBER($S36),$S36-$D36-IF(ISNUMBER($E36),$E36,0)-$O36-$T36-$U36-$V36,"")</f>
        <v/>
      </c>
      <c r="X36" s="46" t="str">
        <f aca="false">IF(AND(ISNUMBER($S36),$S36&gt;0),$W36/$S36,"")</f>
        <v/>
      </c>
      <c r="Y36" s="47"/>
      <c r="Z36" s="19"/>
    </row>
    <row r="37" customFormat="false" ht="15.75" hidden="false" customHeight="true" outlineLevel="0" collapsed="false">
      <c r="A37" s="48" t="str">
        <f aca="false">IF(Produtos!$A37="","",Produtos!$A37)</f>
        <v>L3060-A</v>
      </c>
      <c r="B37" s="48" t="str">
        <f aca="false">IF(Produtos!$A37="","",Produtos!$B37)</f>
        <v>Lixeira Aço Inox c/Aro 30x60 40L</v>
      </c>
      <c r="C37" s="48" t="str">
        <f aca="false">IF(Produtos!$A37="","",Produtos!$C37)</f>
        <v>Lixeiras em inox</v>
      </c>
      <c r="D37" s="33" t="n">
        <f aca="false">IF(Produtos!$A37="","",IF(Produtos!$D37="","",Produtos!$D37))</f>
        <v>205.57</v>
      </c>
      <c r="E37" s="11" t="n">
        <v>0</v>
      </c>
      <c r="F37" s="34" t="n">
        <f aca="false">IF($A37="","",IF($C37="","⚠ categoria",IFERROR(INDEX(Parâmetros!$F$13:$F$22,MATCH($C37,Parâmetros!$A$13:$A$22,0)),"⚠ categoria")))</f>
        <v>0.19</v>
      </c>
      <c r="G37" s="35"/>
      <c r="H37" s="36" t="n">
        <f aca="false">IF($A37="","",IF(ISNUMBER($G37),$G37,IF(ISNUMBER($F37),$F37,"")))</f>
        <v>0.19</v>
      </c>
      <c r="I37" s="37" t="n">
        <f aca="false">IF(OR($A37="",NOT(ISNUMBER($D37)),NOT(ISNUMBER($H37))),"",IF((1-$H37-Parâmetros!$B$8-Parâmetros!$C$8-Parâmetros!$D$8)&lt;=0,"INVALIDO",($D37+IF(ISNUMBER($E37),$E37,0)+IF(ISNUMBER(Parâmetros!$E$8),Parâmetros!$E$8,0))/(1-$H37-Parâmetros!$B$8-Parâmetros!$C$8-Parâmetros!$D$8)))</f>
        <v>428.270833333333</v>
      </c>
      <c r="J37" s="38"/>
      <c r="K37" s="39" t="n">
        <f aca="false">IF(OR($A37="",NOT(ISNUMBER($D37)),NOT(ISNUMBER($H37))),"",IF(AND(ISNUMBER($J37),$J37&gt;0),$J37,IF(ISNUMBER($I37),$I37,"")))</f>
        <v>428.270833333333</v>
      </c>
      <c r="L37" s="40" t="n">
        <f aca="false">IF(ISNUMBER($K37),$K37*$H37,"")</f>
        <v>81.3714583333333</v>
      </c>
      <c r="M37" s="40" t="n">
        <f aca="false">IF(ISNUMBER($K37),$K37*Parâmetros!$B$8,"")</f>
        <v>42.8270833333333</v>
      </c>
      <c r="N37" s="40" t="n">
        <f aca="false">IF(ISNUMBER($K37),$K37*Parâmetros!$C$8,"")</f>
        <v>12.848125</v>
      </c>
      <c r="O37" s="40" t="n">
        <f aca="false">IF(ISNUMBER($K37),IF(ISNUMBER(Parâmetros!$E$8),Parâmetros!$E$8,0),"")</f>
        <v>0</v>
      </c>
      <c r="P37" s="41" t="n">
        <f aca="false">IF(ISNUMBER($K37),$K37-$D37-IF(ISNUMBER($E37),$E37,0)-$L37-$M37-$N37-$O37,"")</f>
        <v>85.6541666666666</v>
      </c>
      <c r="Q37" s="42" t="n">
        <f aca="false">IF(AND(ISNUMBER($K37),$K37&gt;0),$P37/$K37,"")</f>
        <v>0.2</v>
      </c>
      <c r="R37" s="43"/>
      <c r="S37" s="44" t="str">
        <f aca="false">IF(OR(NOT(ISNUMBER($R37)),$R37=0,NOT(ISNUMBER($K37))),"",$K37*(1-$R37))</f>
        <v/>
      </c>
      <c r="T37" s="45" t="str">
        <f aca="false">IF(ISNUMBER($S37),$S37*$H37,"")</f>
        <v/>
      </c>
      <c r="U37" s="45" t="str">
        <f aca="false">IF(ISNUMBER($S37),$S37*Parâmetros!$B$8,"")</f>
        <v/>
      </c>
      <c r="V37" s="45" t="str">
        <f aca="false">IF(ISNUMBER($S37),$S37*Parâmetros!$C$8,"")</f>
        <v/>
      </c>
      <c r="W37" s="44" t="str">
        <f aca="false">IF(ISNUMBER($S37),$S37-$D37-IF(ISNUMBER($E37),$E37,0)-$O37-$T37-$U37-$V37,"")</f>
        <v/>
      </c>
      <c r="X37" s="46" t="str">
        <f aca="false">IF(AND(ISNUMBER($S37),$S37&gt;0),$W37/$S37,"")</f>
        <v/>
      </c>
      <c r="Y37" s="49"/>
      <c r="Z37" s="21"/>
    </row>
    <row r="38" customFormat="false" ht="15.75" hidden="false" customHeight="true" outlineLevel="0" collapsed="false">
      <c r="A38" s="32" t="str">
        <f aca="false">IF(Produtos!$A38="","",Produtos!$A38)</f>
        <v>L3070-A</v>
      </c>
      <c r="B38" s="32" t="str">
        <f aca="false">IF(Produtos!$A38="","",Produtos!$B38)</f>
        <v>Lixeira Aço Inox c/Aro 30x70 50L</v>
      </c>
      <c r="C38" s="32" t="str">
        <f aca="false">IF(Produtos!$A38="","",Produtos!$C38)</f>
        <v>Lixeiras em inox</v>
      </c>
      <c r="D38" s="33" t="n">
        <f aca="false">IF(Produtos!$A38="","",IF(Produtos!$D38="","",Produtos!$D38))</f>
        <v>258.22</v>
      </c>
      <c r="E38" s="11" t="n">
        <v>0</v>
      </c>
      <c r="F38" s="34" t="n">
        <f aca="false">IF($A38="","",IF($C38="","⚠ categoria",IFERROR(INDEX(Parâmetros!$F$13:$F$22,MATCH($C38,Parâmetros!$A$13:$A$22,0)),"⚠ categoria")))</f>
        <v>0.19</v>
      </c>
      <c r="G38" s="35"/>
      <c r="H38" s="36" t="n">
        <f aca="false">IF($A38="","",IF(ISNUMBER($G38),$G38,IF(ISNUMBER($F38),$F38,"")))</f>
        <v>0.19</v>
      </c>
      <c r="I38" s="37" t="n">
        <f aca="false">IF(OR($A38="",NOT(ISNUMBER($D38)),NOT(ISNUMBER($H38))),"",IF((1-$H38-Parâmetros!$B$8-Parâmetros!$C$8-Parâmetros!$D$8)&lt;=0,"INVALIDO",($D38+IF(ISNUMBER($E38),$E38,0)+IF(ISNUMBER(Parâmetros!$E$8),Parâmetros!$E$8,0))/(1-$H38-Parâmetros!$B$8-Parâmetros!$C$8-Parâmetros!$D$8)))</f>
        <v>537.958333333333</v>
      </c>
      <c r="J38" s="38"/>
      <c r="K38" s="39" t="n">
        <f aca="false">IF(OR($A38="",NOT(ISNUMBER($D38)),NOT(ISNUMBER($H38))),"",IF(AND(ISNUMBER($J38),$J38&gt;0),$J38,IF(ISNUMBER($I38),$I38,"")))</f>
        <v>537.958333333333</v>
      </c>
      <c r="L38" s="40" t="n">
        <f aca="false">IF(ISNUMBER($K38),$K38*$H38,"")</f>
        <v>102.212083333333</v>
      </c>
      <c r="M38" s="40" t="n">
        <f aca="false">IF(ISNUMBER($K38),$K38*Parâmetros!$B$8,"")</f>
        <v>53.7958333333333</v>
      </c>
      <c r="N38" s="40" t="n">
        <f aca="false">IF(ISNUMBER($K38),$K38*Parâmetros!$C$8,"")</f>
        <v>16.13875</v>
      </c>
      <c r="O38" s="40" t="n">
        <f aca="false">IF(ISNUMBER($K38),IF(ISNUMBER(Parâmetros!$E$8),Parâmetros!$E$8,0),"")</f>
        <v>0</v>
      </c>
      <c r="P38" s="41" t="n">
        <f aca="false">IF(ISNUMBER($K38),$K38-$D38-IF(ISNUMBER($E38),$E38,0)-$L38-$M38-$N38-$O38,"")</f>
        <v>107.591666666667</v>
      </c>
      <c r="Q38" s="42" t="n">
        <f aca="false">IF(AND(ISNUMBER($K38),$K38&gt;0),$P38/$K38,"")</f>
        <v>0.2</v>
      </c>
      <c r="R38" s="43"/>
      <c r="S38" s="44" t="str">
        <f aca="false">IF(OR(NOT(ISNUMBER($R38)),$R38=0,NOT(ISNUMBER($K38))),"",$K38*(1-$R38))</f>
        <v/>
      </c>
      <c r="T38" s="45" t="str">
        <f aca="false">IF(ISNUMBER($S38),$S38*$H38,"")</f>
        <v/>
      </c>
      <c r="U38" s="45" t="str">
        <f aca="false">IF(ISNUMBER($S38),$S38*Parâmetros!$B$8,"")</f>
        <v/>
      </c>
      <c r="V38" s="45" t="str">
        <f aca="false">IF(ISNUMBER($S38),$S38*Parâmetros!$C$8,"")</f>
        <v/>
      </c>
      <c r="W38" s="44" t="str">
        <f aca="false">IF(ISNUMBER($S38),$S38-$D38-IF(ISNUMBER($E38),$E38,0)-$O38-$T38-$U38-$V38,"")</f>
        <v/>
      </c>
      <c r="X38" s="46" t="str">
        <f aca="false">IF(AND(ISNUMBER($S38),$S38&gt;0),$W38/$S38,"")</f>
        <v/>
      </c>
      <c r="Y38" s="47"/>
      <c r="Z38" s="19"/>
    </row>
    <row r="39" customFormat="false" ht="15.75" hidden="false" customHeight="true" outlineLevel="0" collapsed="false">
      <c r="A39" s="48" t="str">
        <f aca="false">IF(Produtos!$A39="","",Produtos!$A39)</f>
        <v>L3085-A</v>
      </c>
      <c r="B39" s="48" t="str">
        <f aca="false">IF(Produtos!$A39="","",Produtos!$B39)</f>
        <v>Lixeira Aço Inox c/Aro 30x85 60L</v>
      </c>
      <c r="C39" s="48" t="str">
        <f aca="false">IF(Produtos!$A39="","",Produtos!$C39)</f>
        <v>Lixeiras em inox</v>
      </c>
      <c r="D39" s="33" t="n">
        <f aca="false">IF(Produtos!$A39="","",IF(Produtos!$D39="","",Produtos!$D39))</f>
        <v>321.8</v>
      </c>
      <c r="E39" s="11" t="n">
        <v>0</v>
      </c>
      <c r="F39" s="34" t="n">
        <f aca="false">IF($A39="","",IF($C39="","⚠ categoria",IFERROR(INDEX(Parâmetros!$F$13:$F$22,MATCH($C39,Parâmetros!$A$13:$A$22,0)),"⚠ categoria")))</f>
        <v>0.19</v>
      </c>
      <c r="G39" s="35"/>
      <c r="H39" s="36" t="n">
        <f aca="false">IF($A39="","",IF(ISNUMBER($G39),$G39,IF(ISNUMBER($F39),$F39,"")))</f>
        <v>0.19</v>
      </c>
      <c r="I39" s="37" t="n">
        <f aca="false">IF(OR($A39="",NOT(ISNUMBER($D39)),NOT(ISNUMBER($H39))),"",IF((1-$H39-Parâmetros!$B$8-Parâmetros!$C$8-Parâmetros!$D$8)&lt;=0,"INVALIDO",($D39+IF(ISNUMBER($E39),$E39,0)+IF(ISNUMBER(Parâmetros!$E$8),Parâmetros!$E$8,0))/(1-$H39-Parâmetros!$B$8-Parâmetros!$C$8-Parâmetros!$D$8)))</f>
        <v>670.416666666667</v>
      </c>
      <c r="J39" s="38"/>
      <c r="K39" s="39" t="n">
        <f aca="false">IF(OR($A39="",NOT(ISNUMBER($D39)),NOT(ISNUMBER($H39))),"",IF(AND(ISNUMBER($J39),$J39&gt;0),$J39,IF(ISNUMBER($I39),$I39,"")))</f>
        <v>670.416666666667</v>
      </c>
      <c r="L39" s="40" t="n">
        <f aca="false">IF(ISNUMBER($K39),$K39*$H39,"")</f>
        <v>127.379166666667</v>
      </c>
      <c r="M39" s="40" t="n">
        <f aca="false">IF(ISNUMBER($K39),$K39*Parâmetros!$B$8,"")</f>
        <v>67.0416666666667</v>
      </c>
      <c r="N39" s="40" t="n">
        <f aca="false">IF(ISNUMBER($K39),$K39*Parâmetros!$C$8,"")</f>
        <v>20.1125</v>
      </c>
      <c r="O39" s="40" t="n">
        <f aca="false">IF(ISNUMBER($K39),IF(ISNUMBER(Parâmetros!$E$8),Parâmetros!$E$8,0),"")</f>
        <v>0</v>
      </c>
      <c r="P39" s="41" t="n">
        <f aca="false">IF(ISNUMBER($K39),$K39-$D39-IF(ISNUMBER($E39),$E39,0)-$L39-$M39-$N39-$O39,"")</f>
        <v>134.083333333333</v>
      </c>
      <c r="Q39" s="42" t="n">
        <f aca="false">IF(AND(ISNUMBER($K39),$K39&gt;0),$P39/$K39,"")</f>
        <v>0.2</v>
      </c>
      <c r="R39" s="43"/>
      <c r="S39" s="44" t="str">
        <f aca="false">IF(OR(NOT(ISNUMBER($R39)),$R39=0,NOT(ISNUMBER($K39))),"",$K39*(1-$R39))</f>
        <v/>
      </c>
      <c r="T39" s="45" t="str">
        <f aca="false">IF(ISNUMBER($S39),$S39*$H39,"")</f>
        <v/>
      </c>
      <c r="U39" s="45" t="str">
        <f aca="false">IF(ISNUMBER($S39),$S39*Parâmetros!$B$8,"")</f>
        <v/>
      </c>
      <c r="V39" s="45" t="str">
        <f aca="false">IF(ISNUMBER($S39),$S39*Parâmetros!$C$8,"")</f>
        <v/>
      </c>
      <c r="W39" s="44" t="str">
        <f aca="false">IF(ISNUMBER($S39),$S39-$D39-IF(ISNUMBER($E39),$E39,0)-$O39-$T39-$U39-$V39,"")</f>
        <v/>
      </c>
      <c r="X39" s="46" t="str">
        <f aca="false">IF(AND(ISNUMBER($S39),$S39&gt;0),$W39/$S39,"")</f>
        <v/>
      </c>
      <c r="Y39" s="49"/>
      <c r="Z39" s="21"/>
    </row>
    <row r="40" customFormat="false" ht="15.75" hidden="false" customHeight="true" outlineLevel="0" collapsed="false">
      <c r="A40" s="32" t="str">
        <f aca="false">IF(Produtos!$A40="","",Produtos!$A40)</f>
        <v>L4050-A</v>
      </c>
      <c r="B40" s="32" t="str">
        <f aca="false">IF(Produtos!$A40="","",Produtos!$B40)</f>
        <v>Lixeira Aço Inox c/Aro 40x50 62L</v>
      </c>
      <c r="C40" s="32" t="str">
        <f aca="false">IF(Produtos!$A40="","",Produtos!$C40)</f>
        <v>Lixeiras em inox</v>
      </c>
      <c r="D40" s="33" t="n">
        <f aca="false">IF(Produtos!$A40="","",IF(Produtos!$D40="","",Produtos!$D40))</f>
        <v>292.43</v>
      </c>
      <c r="E40" s="11" t="n">
        <v>0</v>
      </c>
      <c r="F40" s="34" t="n">
        <f aca="false">IF($A40="","",IF($C40="","⚠ categoria",IFERROR(INDEX(Parâmetros!$F$13:$F$22,MATCH($C40,Parâmetros!$A$13:$A$22,0)),"⚠ categoria")))</f>
        <v>0.19</v>
      </c>
      <c r="G40" s="35"/>
      <c r="H40" s="36" t="n">
        <f aca="false">IF($A40="","",IF(ISNUMBER($G40),$G40,IF(ISNUMBER($F40),$F40,"")))</f>
        <v>0.19</v>
      </c>
      <c r="I40" s="37" t="n">
        <f aca="false">IF(OR($A40="",NOT(ISNUMBER($D40)),NOT(ISNUMBER($H40))),"",IF((1-$H40-Parâmetros!$B$8-Parâmetros!$C$8-Parâmetros!$D$8)&lt;=0,"INVALIDO",($D40+IF(ISNUMBER($E40),$E40,0)+IF(ISNUMBER(Parâmetros!$E$8),Parâmetros!$E$8,0))/(1-$H40-Parâmetros!$B$8-Parâmetros!$C$8-Parâmetros!$D$8)))</f>
        <v>609.229166666667</v>
      </c>
      <c r="J40" s="38"/>
      <c r="K40" s="39" t="n">
        <f aca="false">IF(OR($A40="",NOT(ISNUMBER($D40)),NOT(ISNUMBER($H40))),"",IF(AND(ISNUMBER($J40),$J40&gt;0),$J40,IF(ISNUMBER($I40),$I40,"")))</f>
        <v>609.229166666667</v>
      </c>
      <c r="L40" s="40" t="n">
        <f aca="false">IF(ISNUMBER($K40),$K40*$H40,"")</f>
        <v>115.753541666667</v>
      </c>
      <c r="M40" s="40" t="n">
        <f aca="false">IF(ISNUMBER($K40),$K40*Parâmetros!$B$8,"")</f>
        <v>60.9229166666667</v>
      </c>
      <c r="N40" s="40" t="n">
        <f aca="false">IF(ISNUMBER($K40),$K40*Parâmetros!$C$8,"")</f>
        <v>18.276875</v>
      </c>
      <c r="O40" s="40" t="n">
        <f aca="false">IF(ISNUMBER($K40),IF(ISNUMBER(Parâmetros!$E$8),Parâmetros!$E$8,0),"")</f>
        <v>0</v>
      </c>
      <c r="P40" s="41" t="n">
        <f aca="false">IF(ISNUMBER($K40),$K40-$D40-IF(ISNUMBER($E40),$E40,0)-$L40-$M40-$N40-$O40,"")</f>
        <v>121.845833333333</v>
      </c>
      <c r="Q40" s="42" t="n">
        <f aca="false">IF(AND(ISNUMBER($K40),$K40&gt;0),$P40/$K40,"")</f>
        <v>0.2</v>
      </c>
      <c r="R40" s="43"/>
      <c r="S40" s="44" t="str">
        <f aca="false">IF(OR(NOT(ISNUMBER($R40)),$R40=0,NOT(ISNUMBER($K40))),"",$K40*(1-$R40))</f>
        <v/>
      </c>
      <c r="T40" s="45" t="str">
        <f aca="false">IF(ISNUMBER($S40),$S40*$H40,"")</f>
        <v/>
      </c>
      <c r="U40" s="45" t="str">
        <f aca="false">IF(ISNUMBER($S40),$S40*Parâmetros!$B$8,"")</f>
        <v/>
      </c>
      <c r="V40" s="45" t="str">
        <f aca="false">IF(ISNUMBER($S40),$S40*Parâmetros!$C$8,"")</f>
        <v/>
      </c>
      <c r="W40" s="44" t="str">
        <f aca="false">IF(ISNUMBER($S40),$S40-$D40-IF(ISNUMBER($E40),$E40,0)-$O40-$T40-$U40-$V40,"")</f>
        <v/>
      </c>
      <c r="X40" s="46" t="str">
        <f aca="false">IF(AND(ISNUMBER($S40),$S40&gt;0),$W40/$S40,"")</f>
        <v/>
      </c>
      <c r="Y40" s="47"/>
      <c r="Z40" s="19"/>
    </row>
    <row r="41" customFormat="false" ht="15.75" hidden="false" customHeight="true" outlineLevel="0" collapsed="false">
      <c r="A41" s="48" t="str">
        <f aca="false">IF(Produtos!$A41="","",Produtos!$A41)</f>
        <v>L4060-A</v>
      </c>
      <c r="B41" s="48" t="str">
        <f aca="false">IF(Produtos!$A41="","",Produtos!$B41)</f>
        <v>Lixeira Aço Inox c/Aro 40x60 75L</v>
      </c>
      <c r="C41" s="48" t="str">
        <f aca="false">IF(Produtos!$A41="","",Produtos!$C41)</f>
        <v>Lixeiras em inox</v>
      </c>
      <c r="D41" s="33" t="n">
        <f aca="false">IF(Produtos!$A41="","",IF(Produtos!$D41="","",Produtos!$D41))</f>
        <v>329.38</v>
      </c>
      <c r="E41" s="11" t="n">
        <v>0</v>
      </c>
      <c r="F41" s="34" t="n">
        <f aca="false">IF($A41="","",IF($C41="","⚠ categoria",IFERROR(INDEX(Parâmetros!$F$13:$F$22,MATCH($C41,Parâmetros!$A$13:$A$22,0)),"⚠ categoria")))</f>
        <v>0.19</v>
      </c>
      <c r="G41" s="35"/>
      <c r="H41" s="36" t="n">
        <f aca="false">IF($A41="","",IF(ISNUMBER($G41),$G41,IF(ISNUMBER($F41),$F41,"")))</f>
        <v>0.19</v>
      </c>
      <c r="I41" s="37" t="n">
        <f aca="false">IF(OR($A41="",NOT(ISNUMBER($D41)),NOT(ISNUMBER($H41))),"",IF((1-$H41-Parâmetros!$B$8-Parâmetros!$C$8-Parâmetros!$D$8)&lt;=0,"INVALIDO",($D41+IF(ISNUMBER($E41),$E41,0)+IF(ISNUMBER(Parâmetros!$E$8),Parâmetros!$E$8,0))/(1-$H41-Parâmetros!$B$8-Parâmetros!$C$8-Parâmetros!$D$8)))</f>
        <v>686.208333333333</v>
      </c>
      <c r="J41" s="38"/>
      <c r="K41" s="39" t="n">
        <f aca="false">IF(OR($A41="",NOT(ISNUMBER($D41)),NOT(ISNUMBER($H41))),"",IF(AND(ISNUMBER($J41),$J41&gt;0),$J41,IF(ISNUMBER($I41),$I41,"")))</f>
        <v>686.208333333333</v>
      </c>
      <c r="L41" s="40" t="n">
        <f aca="false">IF(ISNUMBER($K41),$K41*$H41,"")</f>
        <v>130.379583333333</v>
      </c>
      <c r="M41" s="40" t="n">
        <f aca="false">IF(ISNUMBER($K41),$K41*Parâmetros!$B$8,"")</f>
        <v>68.6208333333333</v>
      </c>
      <c r="N41" s="40" t="n">
        <f aca="false">IF(ISNUMBER($K41),$K41*Parâmetros!$C$8,"")</f>
        <v>20.58625</v>
      </c>
      <c r="O41" s="40" t="n">
        <f aca="false">IF(ISNUMBER($K41),IF(ISNUMBER(Parâmetros!$E$8),Parâmetros!$E$8,0),"")</f>
        <v>0</v>
      </c>
      <c r="P41" s="41" t="n">
        <f aca="false">IF(ISNUMBER($K41),$K41-$D41-IF(ISNUMBER($E41),$E41,0)-$L41-$M41-$N41-$O41,"")</f>
        <v>137.241666666667</v>
      </c>
      <c r="Q41" s="42" t="n">
        <f aca="false">IF(AND(ISNUMBER($K41),$K41&gt;0),$P41/$K41,"")</f>
        <v>0.2</v>
      </c>
      <c r="R41" s="43"/>
      <c r="S41" s="44" t="str">
        <f aca="false">IF(OR(NOT(ISNUMBER($R41)),$R41=0,NOT(ISNUMBER($K41))),"",$K41*(1-$R41))</f>
        <v/>
      </c>
      <c r="T41" s="45" t="str">
        <f aca="false">IF(ISNUMBER($S41),$S41*$H41,"")</f>
        <v/>
      </c>
      <c r="U41" s="45" t="str">
        <f aca="false">IF(ISNUMBER($S41),$S41*Parâmetros!$B$8,"")</f>
        <v/>
      </c>
      <c r="V41" s="45" t="str">
        <f aca="false">IF(ISNUMBER($S41),$S41*Parâmetros!$C$8,"")</f>
        <v/>
      </c>
      <c r="W41" s="44" t="str">
        <f aca="false">IF(ISNUMBER($S41),$S41-$D41-IF(ISNUMBER($E41),$E41,0)-$O41-$T41-$U41-$V41,"")</f>
        <v/>
      </c>
      <c r="X41" s="46" t="str">
        <f aca="false">IF(AND(ISNUMBER($S41),$S41&gt;0),$W41/$S41,"")</f>
        <v/>
      </c>
      <c r="Y41" s="49"/>
      <c r="Z41" s="21"/>
    </row>
    <row r="42" customFormat="false" ht="15.75" hidden="false" customHeight="true" outlineLevel="0" collapsed="false">
      <c r="A42" s="32" t="str">
        <f aca="false">IF(Produtos!$A42="","",Produtos!$A42)</f>
        <v>L4070-A</v>
      </c>
      <c r="B42" s="32" t="str">
        <f aca="false">IF(Produtos!$A42="","",Produtos!$B42)</f>
        <v>Lixeira Aço Inox c/Aro 40x70 88L</v>
      </c>
      <c r="C42" s="32" t="str">
        <f aca="false">IF(Produtos!$A42="","",Produtos!$C42)</f>
        <v>Lixeiras em inox</v>
      </c>
      <c r="D42" s="33" t="n">
        <f aca="false">IF(Produtos!$A42="","",IF(Produtos!$D42="","",Produtos!$D42))</f>
        <v>331.22</v>
      </c>
      <c r="E42" s="11" t="n">
        <v>0</v>
      </c>
      <c r="F42" s="34" t="n">
        <f aca="false">IF($A42="","",IF($C42="","⚠ categoria",IFERROR(INDEX(Parâmetros!$F$13:$F$22,MATCH($C42,Parâmetros!$A$13:$A$22,0)),"⚠ categoria")))</f>
        <v>0.19</v>
      </c>
      <c r="G42" s="35"/>
      <c r="H42" s="36" t="n">
        <f aca="false">IF($A42="","",IF(ISNUMBER($G42),$G42,IF(ISNUMBER($F42),$F42,"")))</f>
        <v>0.19</v>
      </c>
      <c r="I42" s="37" t="n">
        <f aca="false">IF(OR($A42="",NOT(ISNUMBER($D42)),NOT(ISNUMBER($H42))),"",IF((1-$H42-Parâmetros!$B$8-Parâmetros!$C$8-Parâmetros!$D$8)&lt;=0,"INVALIDO",($D42+IF(ISNUMBER($E42),$E42,0)+IF(ISNUMBER(Parâmetros!$E$8),Parâmetros!$E$8,0))/(1-$H42-Parâmetros!$B$8-Parâmetros!$C$8-Parâmetros!$D$8)))</f>
        <v>690.041666666667</v>
      </c>
      <c r="J42" s="38"/>
      <c r="K42" s="39" t="n">
        <f aca="false">IF(OR($A42="",NOT(ISNUMBER($D42)),NOT(ISNUMBER($H42))),"",IF(AND(ISNUMBER($J42),$J42&gt;0),$J42,IF(ISNUMBER($I42),$I42,"")))</f>
        <v>690.041666666667</v>
      </c>
      <c r="L42" s="40" t="n">
        <f aca="false">IF(ISNUMBER($K42),$K42*$H42,"")</f>
        <v>131.107916666667</v>
      </c>
      <c r="M42" s="40" t="n">
        <f aca="false">IF(ISNUMBER($K42),$K42*Parâmetros!$B$8,"")</f>
        <v>69.0041666666667</v>
      </c>
      <c r="N42" s="40" t="n">
        <f aca="false">IF(ISNUMBER($K42),$K42*Parâmetros!$C$8,"")</f>
        <v>20.70125</v>
      </c>
      <c r="O42" s="40" t="n">
        <f aca="false">IF(ISNUMBER($K42),IF(ISNUMBER(Parâmetros!$E$8),Parâmetros!$E$8,0),"")</f>
        <v>0</v>
      </c>
      <c r="P42" s="41" t="n">
        <f aca="false">IF(ISNUMBER($K42),$K42-$D42-IF(ISNUMBER($E42),$E42,0)-$L42-$M42-$N42-$O42,"")</f>
        <v>138.008333333333</v>
      </c>
      <c r="Q42" s="42" t="n">
        <f aca="false">IF(AND(ISNUMBER($K42),$K42&gt;0),$P42/$K42,"")</f>
        <v>0.2</v>
      </c>
      <c r="R42" s="43"/>
      <c r="S42" s="44" t="str">
        <f aca="false">IF(OR(NOT(ISNUMBER($R42)),$R42=0,NOT(ISNUMBER($K42))),"",$K42*(1-$R42))</f>
        <v/>
      </c>
      <c r="T42" s="45" t="str">
        <f aca="false">IF(ISNUMBER($S42),$S42*$H42,"")</f>
        <v/>
      </c>
      <c r="U42" s="45" t="str">
        <f aca="false">IF(ISNUMBER($S42),$S42*Parâmetros!$B$8,"")</f>
        <v/>
      </c>
      <c r="V42" s="45" t="str">
        <f aca="false">IF(ISNUMBER($S42),$S42*Parâmetros!$C$8,"")</f>
        <v/>
      </c>
      <c r="W42" s="44" t="str">
        <f aca="false">IF(ISNUMBER($S42),$S42-$D42-IF(ISNUMBER($E42),$E42,0)-$O42-$T42-$U42-$V42,"")</f>
        <v/>
      </c>
      <c r="X42" s="46" t="str">
        <f aca="false">IF(AND(ISNUMBER($S42),$S42&gt;0),$W42/$S42,"")</f>
        <v/>
      </c>
      <c r="Y42" s="47"/>
      <c r="Z42" s="19"/>
    </row>
    <row r="43" customFormat="false" ht="15.75" hidden="false" customHeight="true" outlineLevel="0" collapsed="false">
      <c r="A43" s="48" t="str">
        <f aca="false">IF(Produtos!$A43="","",Produtos!$A43)</f>
        <v>L4075-A</v>
      </c>
      <c r="B43" s="48" t="str">
        <f aca="false">IF(Produtos!$A43="","",Produtos!$B43)</f>
        <v>Lixeira Aço Inox c/Aro 40x75 95L</v>
      </c>
      <c r="C43" s="48" t="str">
        <f aca="false">IF(Produtos!$A43="","",Produtos!$C43)</f>
        <v>Lixeiras em inox</v>
      </c>
      <c r="D43" s="33" t="n">
        <f aca="false">IF(Produtos!$A43="","",IF(Produtos!$D43="","",Produtos!$D43))</f>
        <v>392.8</v>
      </c>
      <c r="E43" s="11" t="n">
        <v>0</v>
      </c>
      <c r="F43" s="34" t="n">
        <f aca="false">IF($A43="","",IF($C43="","⚠ categoria",IFERROR(INDEX(Parâmetros!$F$13:$F$22,MATCH($C43,Parâmetros!$A$13:$A$22,0)),"⚠ categoria")))</f>
        <v>0.19</v>
      </c>
      <c r="G43" s="35"/>
      <c r="H43" s="36" t="n">
        <f aca="false">IF($A43="","",IF(ISNUMBER($G43),$G43,IF(ISNUMBER($F43),$F43,"")))</f>
        <v>0.19</v>
      </c>
      <c r="I43" s="37" t="n">
        <f aca="false">IF(OR($A43="",NOT(ISNUMBER($D43)),NOT(ISNUMBER($H43))),"",IF((1-$H43-Parâmetros!$B$8-Parâmetros!$C$8-Parâmetros!$D$8)&lt;=0,"INVALIDO",($D43+IF(ISNUMBER($E43),$E43,0)+IF(ISNUMBER(Parâmetros!$E$8),Parâmetros!$E$8,0))/(1-$H43-Parâmetros!$B$8-Parâmetros!$C$8-Parâmetros!$D$8)))</f>
        <v>818.333333333333</v>
      </c>
      <c r="J43" s="38"/>
      <c r="K43" s="39" t="n">
        <f aca="false">IF(OR($A43="",NOT(ISNUMBER($D43)),NOT(ISNUMBER($H43))),"",IF(AND(ISNUMBER($J43),$J43&gt;0),$J43,IF(ISNUMBER($I43),$I43,"")))</f>
        <v>818.333333333333</v>
      </c>
      <c r="L43" s="40" t="n">
        <f aca="false">IF(ISNUMBER($K43),$K43*$H43,"")</f>
        <v>155.483333333333</v>
      </c>
      <c r="M43" s="40" t="n">
        <f aca="false">IF(ISNUMBER($K43),$K43*Parâmetros!$B$8,"")</f>
        <v>81.8333333333333</v>
      </c>
      <c r="N43" s="40" t="n">
        <f aca="false">IF(ISNUMBER($K43),$K43*Parâmetros!$C$8,"")</f>
        <v>24.55</v>
      </c>
      <c r="O43" s="40" t="n">
        <f aca="false">IF(ISNUMBER($K43),IF(ISNUMBER(Parâmetros!$E$8),Parâmetros!$E$8,0),"")</f>
        <v>0</v>
      </c>
      <c r="P43" s="41" t="n">
        <f aca="false">IF(ISNUMBER($K43),$K43-$D43-IF(ISNUMBER($E43),$E43,0)-$L43-$M43-$N43-$O43,"")</f>
        <v>163.666666666667</v>
      </c>
      <c r="Q43" s="42" t="n">
        <f aca="false">IF(AND(ISNUMBER($K43),$K43&gt;0),$P43/$K43,"")</f>
        <v>0.2</v>
      </c>
      <c r="R43" s="43"/>
      <c r="S43" s="44" t="str">
        <f aca="false">IF(OR(NOT(ISNUMBER($R43)),$R43=0,NOT(ISNUMBER($K43))),"",$K43*(1-$R43))</f>
        <v/>
      </c>
      <c r="T43" s="45" t="str">
        <f aca="false">IF(ISNUMBER($S43),$S43*$H43,"")</f>
        <v/>
      </c>
      <c r="U43" s="45" t="str">
        <f aca="false">IF(ISNUMBER($S43),$S43*Parâmetros!$B$8,"")</f>
        <v/>
      </c>
      <c r="V43" s="45" t="str">
        <f aca="false">IF(ISNUMBER($S43),$S43*Parâmetros!$C$8,"")</f>
        <v/>
      </c>
      <c r="W43" s="44" t="str">
        <f aca="false">IF(ISNUMBER($S43),$S43-$D43-IF(ISNUMBER($E43),$E43,0)-$O43-$T43-$U43-$V43,"")</f>
        <v/>
      </c>
      <c r="X43" s="46" t="str">
        <f aca="false">IF(AND(ISNUMBER($S43),$S43&gt;0),$W43/$S43,"")</f>
        <v/>
      </c>
      <c r="Y43" s="49"/>
      <c r="Z43" s="21"/>
    </row>
    <row r="44" customFormat="false" ht="15.75" hidden="false" customHeight="true" outlineLevel="0" collapsed="false">
      <c r="A44" s="32" t="str">
        <f aca="false">IF(Produtos!$A44="","",Produtos!$A44)</f>
        <v>L4080-A</v>
      </c>
      <c r="B44" s="32" t="str">
        <f aca="false">IF(Produtos!$A44="","",Produtos!$B44)</f>
        <v>Lixeira Aço Inox c/Aro 40x80 100L</v>
      </c>
      <c r="C44" s="32" t="str">
        <f aca="false">IF(Produtos!$A44="","",Produtos!$C44)</f>
        <v>Lixeiras em inox</v>
      </c>
      <c r="D44" s="33" t="n">
        <f aca="false">IF(Produtos!$A44="","",IF(Produtos!$D44="","",Produtos!$D44))</f>
        <v>400.17</v>
      </c>
      <c r="E44" s="11" t="n">
        <v>0</v>
      </c>
      <c r="F44" s="34" t="n">
        <f aca="false">IF($A44="","",IF($C44="","⚠ categoria",IFERROR(INDEX(Parâmetros!$F$13:$F$22,MATCH($C44,Parâmetros!$A$13:$A$22,0)),"⚠ categoria")))</f>
        <v>0.19</v>
      </c>
      <c r="G44" s="35"/>
      <c r="H44" s="36" t="n">
        <f aca="false">IF($A44="","",IF(ISNUMBER($G44),$G44,IF(ISNUMBER($F44),$F44,"")))</f>
        <v>0.19</v>
      </c>
      <c r="I44" s="37" t="n">
        <f aca="false">IF(OR($A44="",NOT(ISNUMBER($D44)),NOT(ISNUMBER($H44))),"",IF((1-$H44-Parâmetros!$B$8-Parâmetros!$C$8-Parâmetros!$D$8)&lt;=0,"INVALIDO",($D44+IF(ISNUMBER($E44),$E44,0)+IF(ISNUMBER(Parâmetros!$E$8),Parâmetros!$E$8,0))/(1-$H44-Parâmetros!$B$8-Parâmetros!$C$8-Parâmetros!$D$8)))</f>
        <v>833.6875</v>
      </c>
      <c r="J44" s="38"/>
      <c r="K44" s="39" t="n">
        <f aca="false">IF(OR($A44="",NOT(ISNUMBER($D44)),NOT(ISNUMBER($H44))),"",IF(AND(ISNUMBER($J44),$J44&gt;0),$J44,IF(ISNUMBER($I44),$I44,"")))</f>
        <v>833.6875</v>
      </c>
      <c r="L44" s="40" t="n">
        <f aca="false">IF(ISNUMBER($K44),$K44*$H44,"")</f>
        <v>158.400625</v>
      </c>
      <c r="M44" s="40" t="n">
        <f aca="false">IF(ISNUMBER($K44),$K44*Parâmetros!$B$8,"")</f>
        <v>83.36875</v>
      </c>
      <c r="N44" s="40" t="n">
        <f aca="false">IF(ISNUMBER($K44),$K44*Parâmetros!$C$8,"")</f>
        <v>25.010625</v>
      </c>
      <c r="O44" s="40" t="n">
        <f aca="false">IF(ISNUMBER($K44),IF(ISNUMBER(Parâmetros!$E$8),Parâmetros!$E$8,0),"")</f>
        <v>0</v>
      </c>
      <c r="P44" s="41" t="n">
        <f aca="false">IF(ISNUMBER($K44),$K44-$D44-IF(ISNUMBER($E44),$E44,0)-$L44-$M44-$N44-$O44,"")</f>
        <v>166.7375</v>
      </c>
      <c r="Q44" s="42" t="n">
        <f aca="false">IF(AND(ISNUMBER($K44),$K44&gt;0),$P44/$K44,"")</f>
        <v>0.2</v>
      </c>
      <c r="R44" s="43"/>
      <c r="S44" s="44" t="str">
        <f aca="false">IF(OR(NOT(ISNUMBER($R44)),$R44=0,NOT(ISNUMBER($K44))),"",$K44*(1-$R44))</f>
        <v/>
      </c>
      <c r="T44" s="45" t="str">
        <f aca="false">IF(ISNUMBER($S44),$S44*$H44,"")</f>
        <v/>
      </c>
      <c r="U44" s="45" t="str">
        <f aca="false">IF(ISNUMBER($S44),$S44*Parâmetros!$B$8,"")</f>
        <v/>
      </c>
      <c r="V44" s="45" t="str">
        <f aca="false">IF(ISNUMBER($S44),$S44*Parâmetros!$C$8,"")</f>
        <v/>
      </c>
      <c r="W44" s="44" t="str">
        <f aca="false">IF(ISNUMBER($S44),$S44-$D44-IF(ISNUMBER($E44),$E44,0)-$O44-$T44-$U44-$V44,"")</f>
        <v/>
      </c>
      <c r="X44" s="46" t="str">
        <f aca="false">IF(AND(ISNUMBER($S44),$S44&gt;0),$W44/$S44,"")</f>
        <v/>
      </c>
      <c r="Y44" s="47"/>
      <c r="Z44" s="19"/>
    </row>
    <row r="45" customFormat="false" ht="15.75" hidden="false" customHeight="true" outlineLevel="0" collapsed="false">
      <c r="A45" s="48" t="str">
        <f aca="false">IF(Produtos!$A45="","",Produtos!$A45)</f>
        <v>L4090-A</v>
      </c>
      <c r="B45" s="48" t="str">
        <f aca="false">IF(Produtos!$A45="","",Produtos!$B45)</f>
        <v>Lixeira Aço Inox c/Aro 40x90 120L</v>
      </c>
      <c r="C45" s="48" t="str">
        <f aca="false">IF(Produtos!$A45="","",Produtos!$C45)</f>
        <v>Lixeiras em inox</v>
      </c>
      <c r="D45" s="33" t="n">
        <f aca="false">IF(Produtos!$A45="","",IF(Produtos!$D45="","",Produtos!$D45))</f>
        <v>405.39</v>
      </c>
      <c r="E45" s="11" t="n">
        <v>0</v>
      </c>
      <c r="F45" s="34" t="n">
        <f aca="false">IF($A45="","",IF($C45="","⚠ categoria",IFERROR(INDEX(Parâmetros!$F$13:$F$22,MATCH($C45,Parâmetros!$A$13:$A$22,0)),"⚠ categoria")))</f>
        <v>0.19</v>
      </c>
      <c r="G45" s="35"/>
      <c r="H45" s="36" t="n">
        <f aca="false">IF($A45="","",IF(ISNUMBER($G45),$G45,IF(ISNUMBER($F45),$F45,"")))</f>
        <v>0.19</v>
      </c>
      <c r="I45" s="37" t="n">
        <f aca="false">IF(OR($A45="",NOT(ISNUMBER($D45)),NOT(ISNUMBER($H45))),"",IF((1-$H45-Parâmetros!$B$8-Parâmetros!$C$8-Parâmetros!$D$8)&lt;=0,"INVALIDO",($D45+IF(ISNUMBER($E45),$E45,0)+IF(ISNUMBER(Parâmetros!$E$8),Parâmetros!$E$8,0))/(1-$H45-Parâmetros!$B$8-Parâmetros!$C$8-Parâmetros!$D$8)))</f>
        <v>844.5625</v>
      </c>
      <c r="J45" s="38"/>
      <c r="K45" s="39" t="n">
        <f aca="false">IF(OR($A45="",NOT(ISNUMBER($D45)),NOT(ISNUMBER($H45))),"",IF(AND(ISNUMBER($J45),$J45&gt;0),$J45,IF(ISNUMBER($I45),$I45,"")))</f>
        <v>844.5625</v>
      </c>
      <c r="L45" s="40" t="n">
        <f aca="false">IF(ISNUMBER($K45),$K45*$H45,"")</f>
        <v>160.466875</v>
      </c>
      <c r="M45" s="40" t="n">
        <f aca="false">IF(ISNUMBER($K45),$K45*Parâmetros!$B$8,"")</f>
        <v>84.45625</v>
      </c>
      <c r="N45" s="40" t="n">
        <f aca="false">IF(ISNUMBER($K45),$K45*Parâmetros!$C$8,"")</f>
        <v>25.336875</v>
      </c>
      <c r="O45" s="40" t="n">
        <f aca="false">IF(ISNUMBER($K45),IF(ISNUMBER(Parâmetros!$E$8),Parâmetros!$E$8,0),"")</f>
        <v>0</v>
      </c>
      <c r="P45" s="41" t="n">
        <f aca="false">IF(ISNUMBER($K45),$K45-$D45-IF(ISNUMBER($E45),$E45,0)-$L45-$M45-$N45-$O45,"")</f>
        <v>168.9125</v>
      </c>
      <c r="Q45" s="42" t="n">
        <f aca="false">IF(AND(ISNUMBER($K45),$K45&gt;0),$P45/$K45,"")</f>
        <v>0.2</v>
      </c>
      <c r="R45" s="43"/>
      <c r="S45" s="44" t="str">
        <f aca="false">IF(OR(NOT(ISNUMBER($R45)),$R45=0,NOT(ISNUMBER($K45))),"",$K45*(1-$R45))</f>
        <v/>
      </c>
      <c r="T45" s="45" t="str">
        <f aca="false">IF(ISNUMBER($S45),$S45*$H45,"")</f>
        <v/>
      </c>
      <c r="U45" s="45" t="str">
        <f aca="false">IF(ISNUMBER($S45),$S45*Parâmetros!$B$8,"")</f>
        <v/>
      </c>
      <c r="V45" s="45" t="str">
        <f aca="false">IF(ISNUMBER($S45),$S45*Parâmetros!$C$8,"")</f>
        <v/>
      </c>
      <c r="W45" s="44" t="str">
        <f aca="false">IF(ISNUMBER($S45),$S45-$D45-IF(ISNUMBER($E45),$E45,0)-$O45-$T45-$U45-$V45,"")</f>
        <v/>
      </c>
      <c r="X45" s="46" t="str">
        <f aca="false">IF(AND(ISNUMBER($S45),$S45&gt;0),$W45/$S45,"")</f>
        <v/>
      </c>
      <c r="Y45" s="49"/>
      <c r="Z45" s="21"/>
    </row>
    <row r="46" customFormat="false" ht="15.75" hidden="false" customHeight="true" outlineLevel="0" collapsed="false">
      <c r="A46" s="32" t="str">
        <f aca="false">IF(Produtos!$A46="","",Produtos!$A46)</f>
        <v>L40100-A</v>
      </c>
      <c r="B46" s="32" t="str">
        <f aca="false">IF(Produtos!$A46="","",Produtos!$B46)</f>
        <v>Lixeira Aço Inox c/Aro 40x100L</v>
      </c>
      <c r="C46" s="32" t="str">
        <f aca="false">IF(Produtos!$A46="","",Produtos!$C46)</f>
        <v>Lixeiras em inox</v>
      </c>
      <c r="D46" s="33" t="n">
        <f aca="false">IF(Produtos!$A46="","",IF(Produtos!$D46="","",Produtos!$D46))</f>
        <v>566.56</v>
      </c>
      <c r="E46" s="11" t="n">
        <v>0</v>
      </c>
      <c r="F46" s="34" t="n">
        <f aca="false">IF($A46="","",IF($C46="","⚠ categoria",IFERROR(INDEX(Parâmetros!$F$13:$F$22,MATCH($C46,Parâmetros!$A$13:$A$22,0)),"⚠ categoria")))</f>
        <v>0.19</v>
      </c>
      <c r="G46" s="35"/>
      <c r="H46" s="36" t="n">
        <f aca="false">IF($A46="","",IF(ISNUMBER($G46),$G46,IF(ISNUMBER($F46),$F46,"")))</f>
        <v>0.19</v>
      </c>
      <c r="I46" s="37" t="n">
        <f aca="false">IF(OR($A46="",NOT(ISNUMBER($D46)),NOT(ISNUMBER($H46))),"",IF((1-$H46-Parâmetros!$B$8-Parâmetros!$C$8-Parâmetros!$D$8)&lt;=0,"INVALIDO",($D46+IF(ISNUMBER($E46),$E46,0)+IF(ISNUMBER(Parâmetros!$E$8),Parâmetros!$E$8,0))/(1-$H46-Parâmetros!$B$8-Parâmetros!$C$8-Parâmetros!$D$8)))</f>
        <v>1180.33333333333</v>
      </c>
      <c r="J46" s="38"/>
      <c r="K46" s="39" t="n">
        <f aca="false">IF(OR($A46="",NOT(ISNUMBER($D46)),NOT(ISNUMBER($H46))),"",IF(AND(ISNUMBER($J46),$J46&gt;0),$J46,IF(ISNUMBER($I46),$I46,"")))</f>
        <v>1180.33333333333</v>
      </c>
      <c r="L46" s="40" t="n">
        <f aca="false">IF(ISNUMBER($K46),$K46*$H46,"")</f>
        <v>224.263333333333</v>
      </c>
      <c r="M46" s="40" t="n">
        <f aca="false">IF(ISNUMBER($K46),$K46*Parâmetros!$B$8,"")</f>
        <v>118.033333333333</v>
      </c>
      <c r="N46" s="40" t="n">
        <f aca="false">IF(ISNUMBER($K46),$K46*Parâmetros!$C$8,"")</f>
        <v>35.41</v>
      </c>
      <c r="O46" s="40" t="n">
        <f aca="false">IF(ISNUMBER($K46),IF(ISNUMBER(Parâmetros!$E$8),Parâmetros!$E$8,0),"")</f>
        <v>0</v>
      </c>
      <c r="P46" s="41" t="n">
        <f aca="false">IF(ISNUMBER($K46),$K46-$D46-IF(ISNUMBER($E46),$E46,0)-$L46-$M46-$N46-$O46,"")</f>
        <v>236.066666666667</v>
      </c>
      <c r="Q46" s="42" t="n">
        <f aca="false">IF(AND(ISNUMBER($K46),$K46&gt;0),$P46/$K46,"")</f>
        <v>0.2</v>
      </c>
      <c r="R46" s="43"/>
      <c r="S46" s="44" t="str">
        <f aca="false">IF(OR(NOT(ISNUMBER($R46)),$R46=0,NOT(ISNUMBER($K46))),"",$K46*(1-$R46))</f>
        <v/>
      </c>
      <c r="T46" s="45" t="str">
        <f aca="false">IF(ISNUMBER($S46),$S46*$H46,"")</f>
        <v/>
      </c>
      <c r="U46" s="45" t="str">
        <f aca="false">IF(ISNUMBER($S46),$S46*Parâmetros!$B$8,"")</f>
        <v/>
      </c>
      <c r="V46" s="45" t="str">
        <f aca="false">IF(ISNUMBER($S46),$S46*Parâmetros!$C$8,"")</f>
        <v/>
      </c>
      <c r="W46" s="44" t="str">
        <f aca="false">IF(ISNUMBER($S46),$S46-$D46-IF(ISNUMBER($E46),$E46,0)-$O46-$T46-$U46-$V46,"")</f>
        <v/>
      </c>
      <c r="X46" s="46" t="str">
        <f aca="false">IF(AND(ISNUMBER($S46),$S46&gt;0),$W46/$S46,"")</f>
        <v/>
      </c>
      <c r="Y46" s="47"/>
      <c r="Z46" s="19"/>
    </row>
    <row r="47" customFormat="false" ht="15.75" hidden="false" customHeight="true" outlineLevel="0" collapsed="false">
      <c r="A47" s="48" t="str">
        <f aca="false">IF(Produtos!$A47="","",Produtos!$A47)</f>
        <v>L40120-A</v>
      </c>
      <c r="B47" s="48" t="str">
        <f aca="false">IF(Produtos!$A47="","",Produtos!$B47)</f>
        <v>Lixeira Aço Inox c/Aro 40x120L</v>
      </c>
      <c r="C47" s="48" t="str">
        <f aca="false">IF(Produtos!$A47="","",Produtos!$C47)</f>
        <v>Lixeiras em inox</v>
      </c>
      <c r="D47" s="33" t="n">
        <f aca="false">IF(Produtos!$A47="","",IF(Produtos!$D47="","",Produtos!$D47))</f>
        <v>762.87</v>
      </c>
      <c r="E47" s="11" t="n">
        <v>0</v>
      </c>
      <c r="F47" s="34" t="n">
        <f aca="false">IF($A47="","",IF($C47="","⚠ categoria",IFERROR(INDEX(Parâmetros!$F$13:$F$22,MATCH($C47,Parâmetros!$A$13:$A$22,0)),"⚠ categoria")))</f>
        <v>0.19</v>
      </c>
      <c r="G47" s="35"/>
      <c r="H47" s="36" t="n">
        <f aca="false">IF($A47="","",IF(ISNUMBER($G47),$G47,IF(ISNUMBER($F47),$F47,"")))</f>
        <v>0.19</v>
      </c>
      <c r="I47" s="37" t="n">
        <f aca="false">IF(OR($A47="",NOT(ISNUMBER($D47)),NOT(ISNUMBER($H47))),"",IF((1-$H47-Parâmetros!$B$8-Parâmetros!$C$8-Parâmetros!$D$8)&lt;=0,"INVALIDO",($D47+IF(ISNUMBER($E47),$E47,0)+IF(ISNUMBER(Parâmetros!$E$8),Parâmetros!$E$8,0))/(1-$H47-Parâmetros!$B$8-Parâmetros!$C$8-Parâmetros!$D$8)))</f>
        <v>1589.3125</v>
      </c>
      <c r="J47" s="38"/>
      <c r="K47" s="39" t="n">
        <f aca="false">IF(OR($A47="",NOT(ISNUMBER($D47)),NOT(ISNUMBER($H47))),"",IF(AND(ISNUMBER($J47),$J47&gt;0),$J47,IF(ISNUMBER($I47),$I47,"")))</f>
        <v>1589.3125</v>
      </c>
      <c r="L47" s="40" t="n">
        <f aca="false">IF(ISNUMBER($K47),$K47*$H47,"")</f>
        <v>301.969375</v>
      </c>
      <c r="M47" s="40" t="n">
        <f aca="false">IF(ISNUMBER($K47),$K47*Parâmetros!$B$8,"")</f>
        <v>158.93125</v>
      </c>
      <c r="N47" s="40" t="n">
        <f aca="false">IF(ISNUMBER($K47),$K47*Parâmetros!$C$8,"")</f>
        <v>47.679375</v>
      </c>
      <c r="O47" s="40" t="n">
        <f aca="false">IF(ISNUMBER($K47),IF(ISNUMBER(Parâmetros!$E$8),Parâmetros!$E$8,0),"")</f>
        <v>0</v>
      </c>
      <c r="P47" s="41" t="n">
        <f aca="false">IF(ISNUMBER($K47),$K47-$D47-IF(ISNUMBER($E47),$E47,0)-$L47-$M47-$N47-$O47,"")</f>
        <v>317.8625</v>
      </c>
      <c r="Q47" s="42" t="n">
        <f aca="false">IF(AND(ISNUMBER($K47),$K47&gt;0),$P47/$K47,"")</f>
        <v>0.2</v>
      </c>
      <c r="R47" s="43"/>
      <c r="S47" s="44" t="str">
        <f aca="false">IF(OR(NOT(ISNUMBER($R47)),$R47=0,NOT(ISNUMBER($K47))),"",$K47*(1-$R47))</f>
        <v/>
      </c>
      <c r="T47" s="45" t="str">
        <f aca="false">IF(ISNUMBER($S47),$S47*$H47,"")</f>
        <v/>
      </c>
      <c r="U47" s="45" t="str">
        <f aca="false">IF(ISNUMBER($S47),$S47*Parâmetros!$B$8,"")</f>
        <v/>
      </c>
      <c r="V47" s="45" t="str">
        <f aca="false">IF(ISNUMBER($S47),$S47*Parâmetros!$C$8,"")</f>
        <v/>
      </c>
      <c r="W47" s="44" t="str">
        <f aca="false">IF(ISNUMBER($S47),$S47-$D47-IF(ISNUMBER($E47),$E47,0)-$O47-$T47-$U47-$V47,"")</f>
        <v/>
      </c>
      <c r="X47" s="46" t="str">
        <f aca="false">IF(AND(ISNUMBER($S47),$S47&gt;0),$W47/$S47,"")</f>
        <v/>
      </c>
      <c r="Y47" s="49"/>
      <c r="Z47" s="21"/>
    </row>
    <row r="48" customFormat="false" ht="15.75" hidden="false" customHeight="true" outlineLevel="0" collapsed="false">
      <c r="A48" s="32" t="str">
        <f aca="false">IF(Produtos!$A48="","",Produtos!$A48)</f>
        <v>L2425-AML</v>
      </c>
      <c r="B48" s="32" t="str">
        <f aca="false">IF(Produtos!$A48="","",Produtos!$B48)</f>
        <v>Lixeira c/Aro Meia Lua 24x25 13L</v>
      </c>
      <c r="C48" s="32" t="str">
        <f aca="false">IF(Produtos!$A48="","",Produtos!$C48)</f>
        <v>Lixeiras em inox</v>
      </c>
      <c r="D48" s="33" t="n">
        <f aca="false">IF(Produtos!$A48="","",IF(Produtos!$D48="","",Produtos!$D48))</f>
        <v>86.87</v>
      </c>
      <c r="E48" s="11" t="n">
        <v>0</v>
      </c>
      <c r="F48" s="34" t="n">
        <f aca="false">IF($A48="","",IF($C48="","⚠ categoria",IFERROR(INDEX(Parâmetros!$F$13:$F$22,MATCH($C48,Parâmetros!$A$13:$A$22,0)),"⚠ categoria")))</f>
        <v>0.19</v>
      </c>
      <c r="G48" s="35"/>
      <c r="H48" s="36" t="n">
        <f aca="false">IF($A48="","",IF(ISNUMBER($G48),$G48,IF(ISNUMBER($F48),$F48,"")))</f>
        <v>0.19</v>
      </c>
      <c r="I48" s="37" t="n">
        <f aca="false">IF(OR($A48="",NOT(ISNUMBER($D48)),NOT(ISNUMBER($H48))),"",IF((1-$H48-Parâmetros!$B$8-Parâmetros!$C$8-Parâmetros!$D$8)&lt;=0,"INVALIDO",($D48+IF(ISNUMBER($E48),$E48,0)+IF(ISNUMBER(Parâmetros!$E$8),Parâmetros!$E$8,0))/(1-$H48-Parâmetros!$B$8-Parâmetros!$C$8-Parâmetros!$D$8)))</f>
        <v>180.979166666667</v>
      </c>
      <c r="J48" s="38"/>
      <c r="K48" s="39" t="n">
        <f aca="false">IF(OR($A48="",NOT(ISNUMBER($D48)),NOT(ISNUMBER($H48))),"",IF(AND(ISNUMBER($J48),$J48&gt;0),$J48,IF(ISNUMBER($I48),$I48,"")))</f>
        <v>180.979166666667</v>
      </c>
      <c r="L48" s="40" t="n">
        <f aca="false">IF(ISNUMBER($K48),$K48*$H48,"")</f>
        <v>34.3860416666667</v>
      </c>
      <c r="M48" s="40" t="n">
        <f aca="false">IF(ISNUMBER($K48),$K48*Parâmetros!$B$8,"")</f>
        <v>18.0979166666667</v>
      </c>
      <c r="N48" s="40" t="n">
        <f aca="false">IF(ISNUMBER($K48),$K48*Parâmetros!$C$8,"")</f>
        <v>5.429375</v>
      </c>
      <c r="O48" s="40" t="n">
        <f aca="false">IF(ISNUMBER($K48),IF(ISNUMBER(Parâmetros!$E$8),Parâmetros!$E$8,0),"")</f>
        <v>0</v>
      </c>
      <c r="P48" s="41" t="n">
        <f aca="false">IF(ISNUMBER($K48),$K48-$D48-IF(ISNUMBER($E48),$E48,0)-$L48-$M48-$N48-$O48,"")</f>
        <v>36.1958333333333</v>
      </c>
      <c r="Q48" s="42" t="n">
        <f aca="false">IF(AND(ISNUMBER($K48),$K48&gt;0),$P48/$K48,"")</f>
        <v>0.2</v>
      </c>
      <c r="R48" s="43"/>
      <c r="S48" s="44" t="str">
        <f aca="false">IF(OR(NOT(ISNUMBER($R48)),$R48=0,NOT(ISNUMBER($K48))),"",$K48*(1-$R48))</f>
        <v/>
      </c>
      <c r="T48" s="45" t="str">
        <f aca="false">IF(ISNUMBER($S48),$S48*$H48,"")</f>
        <v/>
      </c>
      <c r="U48" s="45" t="str">
        <f aca="false">IF(ISNUMBER($S48),$S48*Parâmetros!$B$8,"")</f>
        <v/>
      </c>
      <c r="V48" s="45" t="str">
        <f aca="false">IF(ISNUMBER($S48),$S48*Parâmetros!$C$8,"")</f>
        <v/>
      </c>
      <c r="W48" s="44" t="str">
        <f aca="false">IF(ISNUMBER($S48),$S48-$D48-IF(ISNUMBER($E48),$E48,0)-$O48-$T48-$U48-$V48,"")</f>
        <v/>
      </c>
      <c r="X48" s="46" t="str">
        <f aca="false">IF(AND(ISNUMBER($S48),$S48&gt;0),$W48/$S48,"")</f>
        <v/>
      </c>
      <c r="Y48" s="47"/>
      <c r="Z48" s="19"/>
    </row>
    <row r="49" customFormat="false" ht="15.75" hidden="false" customHeight="true" outlineLevel="0" collapsed="false">
      <c r="A49" s="48" t="str">
        <f aca="false">IF(Produtos!$A49="","",Produtos!$A49)</f>
        <v>L2430-AML</v>
      </c>
      <c r="B49" s="48" t="str">
        <f aca="false">IF(Produtos!$A49="","",Produtos!$B49)</f>
        <v>Lixeira c/Aro Meia Lua 24x30 15L</v>
      </c>
      <c r="C49" s="48" t="str">
        <f aca="false">IF(Produtos!$A49="","",Produtos!$C49)</f>
        <v>Lixeiras em inox</v>
      </c>
      <c r="D49" s="33" t="n">
        <f aca="false">IF(Produtos!$A49="","",IF(Produtos!$D49="","",Produtos!$D49))</f>
        <v>96.11</v>
      </c>
      <c r="E49" s="11" t="n">
        <v>0</v>
      </c>
      <c r="F49" s="34" t="n">
        <f aca="false">IF($A49="","",IF($C49="","⚠ categoria",IFERROR(INDEX(Parâmetros!$F$13:$F$22,MATCH($C49,Parâmetros!$A$13:$A$22,0)),"⚠ categoria")))</f>
        <v>0.19</v>
      </c>
      <c r="G49" s="35"/>
      <c r="H49" s="36" t="n">
        <f aca="false">IF($A49="","",IF(ISNUMBER($G49),$G49,IF(ISNUMBER($F49),$F49,"")))</f>
        <v>0.19</v>
      </c>
      <c r="I49" s="37" t="n">
        <f aca="false">IF(OR($A49="",NOT(ISNUMBER($D49)),NOT(ISNUMBER($H49))),"",IF((1-$H49-Parâmetros!$B$8-Parâmetros!$C$8-Parâmetros!$D$8)&lt;=0,"INVALIDO",($D49+IF(ISNUMBER($E49),$E49,0)+IF(ISNUMBER(Parâmetros!$E$8),Parâmetros!$E$8,0))/(1-$H49-Parâmetros!$B$8-Parâmetros!$C$8-Parâmetros!$D$8)))</f>
        <v>200.229166666667</v>
      </c>
      <c r="J49" s="38"/>
      <c r="K49" s="39" t="n">
        <f aca="false">IF(OR($A49="",NOT(ISNUMBER($D49)),NOT(ISNUMBER($H49))),"",IF(AND(ISNUMBER($J49),$J49&gt;0),$J49,IF(ISNUMBER($I49),$I49,"")))</f>
        <v>200.229166666667</v>
      </c>
      <c r="L49" s="40" t="n">
        <f aca="false">IF(ISNUMBER($K49),$K49*$H49,"")</f>
        <v>38.0435416666667</v>
      </c>
      <c r="M49" s="40" t="n">
        <f aca="false">IF(ISNUMBER($K49),$K49*Parâmetros!$B$8,"")</f>
        <v>20.0229166666667</v>
      </c>
      <c r="N49" s="40" t="n">
        <f aca="false">IF(ISNUMBER($K49),$K49*Parâmetros!$C$8,"")</f>
        <v>6.006875</v>
      </c>
      <c r="O49" s="40" t="n">
        <f aca="false">IF(ISNUMBER($K49),IF(ISNUMBER(Parâmetros!$E$8),Parâmetros!$E$8,0),"")</f>
        <v>0</v>
      </c>
      <c r="P49" s="41" t="n">
        <f aca="false">IF(ISNUMBER($K49),$K49-$D49-IF(ISNUMBER($E49),$E49,0)-$L49-$M49-$N49-$O49,"")</f>
        <v>40.0458333333333</v>
      </c>
      <c r="Q49" s="42" t="n">
        <f aca="false">IF(AND(ISNUMBER($K49),$K49&gt;0),$P49/$K49,"")</f>
        <v>0.2</v>
      </c>
      <c r="R49" s="43"/>
      <c r="S49" s="44" t="str">
        <f aca="false">IF(OR(NOT(ISNUMBER($R49)),$R49=0,NOT(ISNUMBER($K49))),"",$K49*(1-$R49))</f>
        <v/>
      </c>
      <c r="T49" s="45" t="str">
        <f aca="false">IF(ISNUMBER($S49),$S49*$H49,"")</f>
        <v/>
      </c>
      <c r="U49" s="45" t="str">
        <f aca="false">IF(ISNUMBER($S49),$S49*Parâmetros!$B$8,"")</f>
        <v/>
      </c>
      <c r="V49" s="45" t="str">
        <f aca="false">IF(ISNUMBER($S49),$S49*Parâmetros!$C$8,"")</f>
        <v/>
      </c>
      <c r="W49" s="44" t="str">
        <f aca="false">IF(ISNUMBER($S49),$S49-$D49-IF(ISNUMBER($E49),$E49,0)-$O49-$T49-$U49-$V49,"")</f>
        <v/>
      </c>
      <c r="X49" s="46" t="str">
        <f aca="false">IF(AND(ISNUMBER($S49),$S49&gt;0),$W49/$S49,"")</f>
        <v/>
      </c>
      <c r="Y49" s="49"/>
      <c r="Z49" s="21"/>
    </row>
    <row r="50" customFormat="false" ht="15.75" hidden="false" customHeight="true" outlineLevel="0" collapsed="false">
      <c r="A50" s="32" t="str">
        <f aca="false">IF(Produtos!$A50="","",Produtos!$A50)</f>
        <v>L2440-AML</v>
      </c>
      <c r="B50" s="32" t="str">
        <f aca="false">IF(Produtos!$A50="","",Produtos!$B50)</f>
        <v>Lixeira c/Aro Meia Lua 24x40 20L</v>
      </c>
      <c r="C50" s="32" t="str">
        <f aca="false">IF(Produtos!$A50="","",Produtos!$C50)</f>
        <v>Lixeiras em inox</v>
      </c>
      <c r="D50" s="33" t="n">
        <f aca="false">IF(Produtos!$A50="","",IF(Produtos!$D50="","",Produtos!$D50))</f>
        <v>113.2</v>
      </c>
      <c r="E50" s="11" t="n">
        <v>0</v>
      </c>
      <c r="F50" s="34" t="n">
        <f aca="false">IF($A50="","",IF($C50="","⚠ categoria",IFERROR(INDEX(Parâmetros!$F$13:$F$22,MATCH($C50,Parâmetros!$A$13:$A$22,0)),"⚠ categoria")))</f>
        <v>0.19</v>
      </c>
      <c r="G50" s="35"/>
      <c r="H50" s="36" t="n">
        <f aca="false">IF($A50="","",IF(ISNUMBER($G50),$G50,IF(ISNUMBER($F50),$F50,"")))</f>
        <v>0.19</v>
      </c>
      <c r="I50" s="37" t="n">
        <f aca="false">IF(OR($A50="",NOT(ISNUMBER($D50)),NOT(ISNUMBER($H50))),"",IF((1-$H50-Parâmetros!$B$8-Parâmetros!$C$8-Parâmetros!$D$8)&lt;=0,"INVALIDO",($D50+IF(ISNUMBER($E50),$E50,0)+IF(ISNUMBER(Parâmetros!$E$8),Parâmetros!$E$8,0))/(1-$H50-Parâmetros!$B$8-Parâmetros!$C$8-Parâmetros!$D$8)))</f>
        <v>235.833333333333</v>
      </c>
      <c r="J50" s="38"/>
      <c r="K50" s="39" t="n">
        <f aca="false">IF(OR($A50="",NOT(ISNUMBER($D50)),NOT(ISNUMBER($H50))),"",IF(AND(ISNUMBER($J50),$J50&gt;0),$J50,IF(ISNUMBER($I50),$I50,"")))</f>
        <v>235.833333333333</v>
      </c>
      <c r="L50" s="40" t="n">
        <f aca="false">IF(ISNUMBER($K50),$K50*$H50,"")</f>
        <v>44.8083333333333</v>
      </c>
      <c r="M50" s="40" t="n">
        <f aca="false">IF(ISNUMBER($K50),$K50*Parâmetros!$B$8,"")</f>
        <v>23.5833333333333</v>
      </c>
      <c r="N50" s="40" t="n">
        <f aca="false">IF(ISNUMBER($K50),$K50*Parâmetros!$C$8,"")</f>
        <v>7.075</v>
      </c>
      <c r="O50" s="40" t="n">
        <f aca="false">IF(ISNUMBER($K50),IF(ISNUMBER(Parâmetros!$E$8),Parâmetros!$E$8,0),"")</f>
        <v>0</v>
      </c>
      <c r="P50" s="41" t="n">
        <f aca="false">IF(ISNUMBER($K50),$K50-$D50-IF(ISNUMBER($E50),$E50,0)-$L50-$M50-$N50-$O50,"")</f>
        <v>47.1666666666667</v>
      </c>
      <c r="Q50" s="42" t="n">
        <f aca="false">IF(AND(ISNUMBER($K50),$K50&gt;0),$P50/$K50,"")</f>
        <v>0.2</v>
      </c>
      <c r="R50" s="43"/>
      <c r="S50" s="44" t="str">
        <f aca="false">IF(OR(NOT(ISNUMBER($R50)),$R50=0,NOT(ISNUMBER($K50))),"",$K50*(1-$R50))</f>
        <v/>
      </c>
      <c r="T50" s="45" t="str">
        <f aca="false">IF(ISNUMBER($S50),$S50*$H50,"")</f>
        <v/>
      </c>
      <c r="U50" s="45" t="str">
        <f aca="false">IF(ISNUMBER($S50),$S50*Parâmetros!$B$8,"")</f>
        <v/>
      </c>
      <c r="V50" s="45" t="str">
        <f aca="false">IF(ISNUMBER($S50),$S50*Parâmetros!$C$8,"")</f>
        <v/>
      </c>
      <c r="W50" s="44" t="str">
        <f aca="false">IF(ISNUMBER($S50),$S50-$D50-IF(ISNUMBER($E50),$E50,0)-$O50-$T50-$U50-$V50,"")</f>
        <v/>
      </c>
      <c r="X50" s="46" t="str">
        <f aca="false">IF(AND(ISNUMBER($S50),$S50&gt;0),$W50/$S50,"")</f>
        <v/>
      </c>
      <c r="Y50" s="47"/>
      <c r="Z50" s="19"/>
    </row>
    <row r="51" customFormat="false" ht="15.75" hidden="false" customHeight="true" outlineLevel="0" collapsed="false">
      <c r="A51" s="48" t="str">
        <f aca="false">IF(Produtos!$A51="","",Produtos!$A51)</f>
        <v>L2450-AML</v>
      </c>
      <c r="B51" s="48" t="str">
        <f aca="false">IF(Produtos!$A51="","",Produtos!$B51)</f>
        <v>Lixeira c/Aro Meia Lua 24x50 25L</v>
      </c>
      <c r="C51" s="48" t="str">
        <f aca="false">IF(Produtos!$A51="","",Produtos!$C51)</f>
        <v>Lixeiras em inox</v>
      </c>
      <c r="D51" s="33" t="n">
        <f aca="false">IF(Produtos!$A51="","",IF(Produtos!$D51="","",Produtos!$D51))</f>
        <v>139.49</v>
      </c>
      <c r="E51" s="11" t="n">
        <v>0</v>
      </c>
      <c r="F51" s="34" t="n">
        <f aca="false">IF($A51="","",IF($C51="","⚠ categoria",IFERROR(INDEX(Parâmetros!$F$13:$F$22,MATCH($C51,Parâmetros!$A$13:$A$22,0)),"⚠ categoria")))</f>
        <v>0.19</v>
      </c>
      <c r="G51" s="35"/>
      <c r="H51" s="36" t="n">
        <f aca="false">IF($A51="","",IF(ISNUMBER($G51),$G51,IF(ISNUMBER($F51),$F51,"")))</f>
        <v>0.19</v>
      </c>
      <c r="I51" s="37" t="n">
        <f aca="false">IF(OR($A51="",NOT(ISNUMBER($D51)),NOT(ISNUMBER($H51))),"",IF((1-$H51-Parâmetros!$B$8-Parâmetros!$C$8-Parâmetros!$D$8)&lt;=0,"INVALIDO",($D51+IF(ISNUMBER($E51),$E51,0)+IF(ISNUMBER(Parâmetros!$E$8),Parâmetros!$E$8,0))/(1-$H51-Parâmetros!$B$8-Parâmetros!$C$8-Parâmetros!$D$8)))</f>
        <v>290.604166666667</v>
      </c>
      <c r="J51" s="38"/>
      <c r="K51" s="39" t="n">
        <f aca="false">IF(OR($A51="",NOT(ISNUMBER($D51)),NOT(ISNUMBER($H51))),"",IF(AND(ISNUMBER($J51),$J51&gt;0),$J51,IF(ISNUMBER($I51),$I51,"")))</f>
        <v>290.604166666667</v>
      </c>
      <c r="L51" s="40" t="n">
        <f aca="false">IF(ISNUMBER($K51),$K51*$H51,"")</f>
        <v>55.2147916666667</v>
      </c>
      <c r="M51" s="40" t="n">
        <f aca="false">IF(ISNUMBER($K51),$K51*Parâmetros!$B$8,"")</f>
        <v>29.0604166666667</v>
      </c>
      <c r="N51" s="40" t="n">
        <f aca="false">IF(ISNUMBER($K51),$K51*Parâmetros!$C$8,"")</f>
        <v>8.718125</v>
      </c>
      <c r="O51" s="40" t="n">
        <f aca="false">IF(ISNUMBER($K51),IF(ISNUMBER(Parâmetros!$E$8),Parâmetros!$E$8,0),"")</f>
        <v>0</v>
      </c>
      <c r="P51" s="41" t="n">
        <f aca="false">IF(ISNUMBER($K51),$K51-$D51-IF(ISNUMBER($E51),$E51,0)-$L51-$M51-$N51-$O51,"")</f>
        <v>58.1208333333333</v>
      </c>
      <c r="Q51" s="42" t="n">
        <f aca="false">IF(AND(ISNUMBER($K51),$K51&gt;0),$P51/$K51,"")</f>
        <v>0.2</v>
      </c>
      <c r="R51" s="43"/>
      <c r="S51" s="44" t="str">
        <f aca="false">IF(OR(NOT(ISNUMBER($R51)),$R51=0,NOT(ISNUMBER($K51))),"",$K51*(1-$R51))</f>
        <v/>
      </c>
      <c r="T51" s="45" t="str">
        <f aca="false">IF(ISNUMBER($S51),$S51*$H51,"")</f>
        <v/>
      </c>
      <c r="U51" s="45" t="str">
        <f aca="false">IF(ISNUMBER($S51),$S51*Parâmetros!$B$8,"")</f>
        <v/>
      </c>
      <c r="V51" s="45" t="str">
        <f aca="false">IF(ISNUMBER($S51),$S51*Parâmetros!$C$8,"")</f>
        <v/>
      </c>
      <c r="W51" s="44" t="str">
        <f aca="false">IF(ISNUMBER($S51),$S51-$D51-IF(ISNUMBER($E51),$E51,0)-$O51-$T51-$U51-$V51,"")</f>
        <v/>
      </c>
      <c r="X51" s="46" t="str">
        <f aca="false">IF(AND(ISNUMBER($S51),$S51&gt;0),$W51/$S51,"")</f>
        <v/>
      </c>
      <c r="Y51" s="49"/>
      <c r="Z51" s="21"/>
    </row>
    <row r="52" customFormat="false" ht="15.75" hidden="false" customHeight="true" outlineLevel="0" collapsed="false">
      <c r="A52" s="32" t="str">
        <f aca="false">IF(Produtos!$A52="","",Produtos!$A52)</f>
        <v>L2460-AML</v>
      </c>
      <c r="B52" s="32" t="str">
        <f aca="false">IF(Produtos!$A52="","",Produtos!$B52)</f>
        <v>Lixeira c/Aro Meia Lua 24x60 27L</v>
      </c>
      <c r="C52" s="32" t="str">
        <f aca="false">IF(Produtos!$A52="","",Produtos!$C52)</f>
        <v>Lixeiras em inox</v>
      </c>
      <c r="D52" s="33" t="n">
        <f aca="false">IF(Produtos!$A52="","",IF(Produtos!$D52="","",Produtos!$D52))</f>
        <v>140.97</v>
      </c>
      <c r="E52" s="11" t="n">
        <v>0</v>
      </c>
      <c r="F52" s="34" t="n">
        <f aca="false">IF($A52="","",IF($C52="","⚠ categoria",IFERROR(INDEX(Parâmetros!$F$13:$F$22,MATCH($C52,Parâmetros!$A$13:$A$22,0)),"⚠ categoria")))</f>
        <v>0.19</v>
      </c>
      <c r="G52" s="35"/>
      <c r="H52" s="36" t="n">
        <f aca="false">IF($A52="","",IF(ISNUMBER($G52),$G52,IF(ISNUMBER($F52),$F52,"")))</f>
        <v>0.19</v>
      </c>
      <c r="I52" s="37" t="n">
        <f aca="false">IF(OR($A52="",NOT(ISNUMBER($D52)),NOT(ISNUMBER($H52))),"",IF((1-$H52-Parâmetros!$B$8-Parâmetros!$C$8-Parâmetros!$D$8)&lt;=0,"INVALIDO",($D52+IF(ISNUMBER($E52),$E52,0)+IF(ISNUMBER(Parâmetros!$E$8),Parâmetros!$E$8,0))/(1-$H52-Parâmetros!$B$8-Parâmetros!$C$8-Parâmetros!$D$8)))</f>
        <v>293.6875</v>
      </c>
      <c r="J52" s="38"/>
      <c r="K52" s="39" t="n">
        <f aca="false">IF(OR($A52="",NOT(ISNUMBER($D52)),NOT(ISNUMBER($H52))),"",IF(AND(ISNUMBER($J52),$J52&gt;0),$J52,IF(ISNUMBER($I52),$I52,"")))</f>
        <v>293.6875</v>
      </c>
      <c r="L52" s="40" t="n">
        <f aca="false">IF(ISNUMBER($K52),$K52*$H52,"")</f>
        <v>55.800625</v>
      </c>
      <c r="M52" s="40" t="n">
        <f aca="false">IF(ISNUMBER($K52),$K52*Parâmetros!$B$8,"")</f>
        <v>29.36875</v>
      </c>
      <c r="N52" s="40" t="n">
        <f aca="false">IF(ISNUMBER($K52),$K52*Parâmetros!$C$8,"")</f>
        <v>8.810625</v>
      </c>
      <c r="O52" s="40" t="n">
        <f aca="false">IF(ISNUMBER($K52),IF(ISNUMBER(Parâmetros!$E$8),Parâmetros!$E$8,0),"")</f>
        <v>0</v>
      </c>
      <c r="P52" s="41" t="n">
        <f aca="false">IF(ISNUMBER($K52),$K52-$D52-IF(ISNUMBER($E52),$E52,0)-$L52-$M52-$N52-$O52,"")</f>
        <v>58.7375</v>
      </c>
      <c r="Q52" s="42" t="n">
        <f aca="false">IF(AND(ISNUMBER($K52),$K52&gt;0),$P52/$K52,"")</f>
        <v>0.2</v>
      </c>
      <c r="R52" s="43"/>
      <c r="S52" s="44" t="str">
        <f aca="false">IF(OR(NOT(ISNUMBER($R52)),$R52=0,NOT(ISNUMBER($K52))),"",$K52*(1-$R52))</f>
        <v/>
      </c>
      <c r="T52" s="45" t="str">
        <f aca="false">IF(ISNUMBER($S52),$S52*$H52,"")</f>
        <v/>
      </c>
      <c r="U52" s="45" t="str">
        <f aca="false">IF(ISNUMBER($S52),$S52*Parâmetros!$B$8,"")</f>
        <v/>
      </c>
      <c r="V52" s="45" t="str">
        <f aca="false">IF(ISNUMBER($S52),$S52*Parâmetros!$C$8,"")</f>
        <v/>
      </c>
      <c r="W52" s="44" t="str">
        <f aca="false">IF(ISNUMBER($S52),$S52-$D52-IF(ISNUMBER($E52),$E52,0)-$O52-$T52-$U52-$V52,"")</f>
        <v/>
      </c>
      <c r="X52" s="46" t="str">
        <f aca="false">IF(AND(ISNUMBER($S52),$S52&gt;0),$W52/$S52,"")</f>
        <v/>
      </c>
      <c r="Y52" s="47"/>
      <c r="Z52" s="19"/>
    </row>
    <row r="53" customFormat="false" ht="15.75" hidden="false" customHeight="true" outlineLevel="0" collapsed="false">
      <c r="A53" s="48" t="str">
        <f aca="false">IF(Produtos!$A53="","",Produtos!$A53)</f>
        <v>L2470-AML</v>
      </c>
      <c r="B53" s="48" t="str">
        <f aca="false">IF(Produtos!$A53="","",Produtos!$B53)</f>
        <v>Lixeira c/Aro Meia Lua 24x70 30L</v>
      </c>
      <c r="C53" s="48" t="str">
        <f aca="false">IF(Produtos!$A53="","",Produtos!$C53)</f>
        <v>Lixeiras em inox</v>
      </c>
      <c r="D53" s="33" t="n">
        <f aca="false">IF(Produtos!$A53="","",IF(Produtos!$D53="","",Produtos!$D53))</f>
        <v>208.28</v>
      </c>
      <c r="E53" s="11" t="n">
        <v>0</v>
      </c>
      <c r="F53" s="34" t="n">
        <f aca="false">IF($A53="","",IF($C53="","⚠ categoria",IFERROR(INDEX(Parâmetros!$F$13:$F$22,MATCH($C53,Parâmetros!$A$13:$A$22,0)),"⚠ categoria")))</f>
        <v>0.19</v>
      </c>
      <c r="G53" s="35"/>
      <c r="H53" s="36" t="n">
        <f aca="false">IF($A53="","",IF(ISNUMBER($G53),$G53,IF(ISNUMBER($F53),$F53,"")))</f>
        <v>0.19</v>
      </c>
      <c r="I53" s="37" t="n">
        <f aca="false">IF(OR($A53="",NOT(ISNUMBER($D53)),NOT(ISNUMBER($H53))),"",IF((1-$H53-Parâmetros!$B$8-Parâmetros!$C$8-Parâmetros!$D$8)&lt;=0,"INVALIDO",($D53+IF(ISNUMBER($E53),$E53,0)+IF(ISNUMBER(Parâmetros!$E$8),Parâmetros!$E$8,0))/(1-$H53-Parâmetros!$B$8-Parâmetros!$C$8-Parâmetros!$D$8)))</f>
        <v>433.916666666667</v>
      </c>
      <c r="J53" s="38"/>
      <c r="K53" s="39" t="n">
        <f aca="false">IF(OR($A53="",NOT(ISNUMBER($D53)),NOT(ISNUMBER($H53))),"",IF(AND(ISNUMBER($J53),$J53&gt;0),$J53,IF(ISNUMBER($I53),$I53,"")))</f>
        <v>433.916666666667</v>
      </c>
      <c r="L53" s="40" t="n">
        <f aca="false">IF(ISNUMBER($K53),$K53*$H53,"")</f>
        <v>82.4441666666667</v>
      </c>
      <c r="M53" s="40" t="n">
        <f aca="false">IF(ISNUMBER($K53),$K53*Parâmetros!$B$8,"")</f>
        <v>43.3916666666667</v>
      </c>
      <c r="N53" s="40" t="n">
        <f aca="false">IF(ISNUMBER($K53),$K53*Parâmetros!$C$8,"")</f>
        <v>13.0175</v>
      </c>
      <c r="O53" s="40" t="n">
        <f aca="false">IF(ISNUMBER($K53),IF(ISNUMBER(Parâmetros!$E$8),Parâmetros!$E$8,0),"")</f>
        <v>0</v>
      </c>
      <c r="P53" s="41" t="n">
        <f aca="false">IF(ISNUMBER($K53),$K53-$D53-IF(ISNUMBER($E53),$E53,0)-$L53-$M53-$N53-$O53,"")</f>
        <v>86.7833333333333</v>
      </c>
      <c r="Q53" s="42" t="n">
        <f aca="false">IF(AND(ISNUMBER($K53),$K53&gt;0),$P53/$K53,"")</f>
        <v>0.2</v>
      </c>
      <c r="R53" s="43"/>
      <c r="S53" s="44" t="str">
        <f aca="false">IF(OR(NOT(ISNUMBER($R53)),$R53=0,NOT(ISNUMBER($K53))),"",$K53*(1-$R53))</f>
        <v/>
      </c>
      <c r="T53" s="45" t="str">
        <f aca="false">IF(ISNUMBER($S53),$S53*$H53,"")</f>
        <v/>
      </c>
      <c r="U53" s="45" t="str">
        <f aca="false">IF(ISNUMBER($S53),$S53*Parâmetros!$B$8,"")</f>
        <v/>
      </c>
      <c r="V53" s="45" t="str">
        <f aca="false">IF(ISNUMBER($S53),$S53*Parâmetros!$C$8,"")</f>
        <v/>
      </c>
      <c r="W53" s="44" t="str">
        <f aca="false">IF(ISNUMBER($S53),$S53-$D53-IF(ISNUMBER($E53),$E53,0)-$O53-$T53-$U53-$V53,"")</f>
        <v/>
      </c>
      <c r="X53" s="46" t="str">
        <f aca="false">IF(AND(ISNUMBER($S53),$S53&gt;0),$W53/$S53,"")</f>
        <v/>
      </c>
      <c r="Y53" s="49"/>
      <c r="Z53" s="21"/>
    </row>
    <row r="54" customFormat="false" ht="15.75" hidden="false" customHeight="true" outlineLevel="0" collapsed="false">
      <c r="A54" s="32" t="str">
        <f aca="false">IF(Produtos!$A54="","",Produtos!$A54)</f>
        <v>L3040-AML</v>
      </c>
      <c r="B54" s="32" t="str">
        <f aca="false">IF(Produtos!$A54="","",Produtos!$B54)</f>
        <v>Lixeira c/Aro Meia Lua 30x40 30L</v>
      </c>
      <c r="C54" s="32" t="str">
        <f aca="false">IF(Produtos!$A54="","",Produtos!$C54)</f>
        <v>Lixeiras em inox</v>
      </c>
      <c r="D54" s="33" t="n">
        <f aca="false">IF(Produtos!$A54="","",IF(Produtos!$D54="","",Produtos!$D54))</f>
        <v>161.26</v>
      </c>
      <c r="E54" s="11" t="n">
        <v>0</v>
      </c>
      <c r="F54" s="34" t="n">
        <f aca="false">IF($A54="","",IF($C54="","⚠ categoria",IFERROR(INDEX(Parâmetros!$F$13:$F$22,MATCH($C54,Parâmetros!$A$13:$A$22,0)),"⚠ categoria")))</f>
        <v>0.19</v>
      </c>
      <c r="G54" s="35"/>
      <c r="H54" s="36" t="n">
        <f aca="false">IF($A54="","",IF(ISNUMBER($G54),$G54,IF(ISNUMBER($F54),$F54,"")))</f>
        <v>0.19</v>
      </c>
      <c r="I54" s="37" t="n">
        <f aca="false">IF(OR($A54="",NOT(ISNUMBER($D54)),NOT(ISNUMBER($H54))),"",IF((1-$H54-Parâmetros!$B$8-Parâmetros!$C$8-Parâmetros!$D$8)&lt;=0,"INVALIDO",($D54+IF(ISNUMBER($E54),$E54,0)+IF(ISNUMBER(Parâmetros!$E$8),Parâmetros!$E$8,0))/(1-$H54-Parâmetros!$B$8-Parâmetros!$C$8-Parâmetros!$D$8)))</f>
        <v>335.958333333333</v>
      </c>
      <c r="J54" s="38"/>
      <c r="K54" s="39" t="n">
        <f aca="false">IF(OR($A54="",NOT(ISNUMBER($D54)),NOT(ISNUMBER($H54))),"",IF(AND(ISNUMBER($J54),$J54&gt;0),$J54,IF(ISNUMBER($I54),$I54,"")))</f>
        <v>335.958333333333</v>
      </c>
      <c r="L54" s="40" t="n">
        <f aca="false">IF(ISNUMBER($K54),$K54*$H54,"")</f>
        <v>63.8320833333333</v>
      </c>
      <c r="M54" s="40" t="n">
        <f aca="false">IF(ISNUMBER($K54),$K54*Parâmetros!$B$8,"")</f>
        <v>33.5958333333333</v>
      </c>
      <c r="N54" s="40" t="n">
        <f aca="false">IF(ISNUMBER($K54),$K54*Parâmetros!$C$8,"")</f>
        <v>10.07875</v>
      </c>
      <c r="O54" s="40" t="n">
        <f aca="false">IF(ISNUMBER($K54),IF(ISNUMBER(Parâmetros!$E$8),Parâmetros!$E$8,0),"")</f>
        <v>0</v>
      </c>
      <c r="P54" s="41" t="n">
        <f aca="false">IF(ISNUMBER($K54),$K54-$D54-IF(ISNUMBER($E54),$E54,0)-$L54-$M54-$N54-$O54,"")</f>
        <v>67.1916666666667</v>
      </c>
      <c r="Q54" s="42" t="n">
        <f aca="false">IF(AND(ISNUMBER($K54),$K54&gt;0),$P54/$K54,"")</f>
        <v>0.2</v>
      </c>
      <c r="R54" s="43"/>
      <c r="S54" s="44" t="str">
        <f aca="false">IF(OR(NOT(ISNUMBER($R54)),$R54=0,NOT(ISNUMBER($K54))),"",$K54*(1-$R54))</f>
        <v/>
      </c>
      <c r="T54" s="45" t="str">
        <f aca="false">IF(ISNUMBER($S54),$S54*$H54,"")</f>
        <v/>
      </c>
      <c r="U54" s="45" t="str">
        <f aca="false">IF(ISNUMBER($S54),$S54*Parâmetros!$B$8,"")</f>
        <v/>
      </c>
      <c r="V54" s="45" t="str">
        <f aca="false">IF(ISNUMBER($S54),$S54*Parâmetros!$C$8,"")</f>
        <v/>
      </c>
      <c r="W54" s="44" t="str">
        <f aca="false">IF(ISNUMBER($S54),$S54-$D54-IF(ISNUMBER($E54),$E54,0)-$O54-$T54-$U54-$V54,"")</f>
        <v/>
      </c>
      <c r="X54" s="46" t="str">
        <f aca="false">IF(AND(ISNUMBER($S54),$S54&gt;0),$W54/$S54,"")</f>
        <v/>
      </c>
      <c r="Y54" s="47"/>
      <c r="Z54" s="19"/>
    </row>
    <row r="55" customFormat="false" ht="15.75" hidden="false" customHeight="true" outlineLevel="0" collapsed="false">
      <c r="A55" s="48" t="str">
        <f aca="false">IF(Produtos!$A55="","",Produtos!$A55)</f>
        <v>L3050-AML</v>
      </c>
      <c r="B55" s="48" t="str">
        <f aca="false">IF(Produtos!$A55="","",Produtos!$B55)</f>
        <v>Lixeira c/Aro Meia Lua 30x50 35L</v>
      </c>
      <c r="C55" s="48" t="str">
        <f aca="false">IF(Produtos!$A55="","",Produtos!$C55)</f>
        <v>Lixeiras em inox</v>
      </c>
      <c r="D55" s="33" t="n">
        <f aca="false">IF(Produtos!$A55="","",IF(Produtos!$D55="","",Produtos!$D55))</f>
        <v>205.71</v>
      </c>
      <c r="E55" s="11" t="n">
        <v>0</v>
      </c>
      <c r="F55" s="34" t="n">
        <f aca="false">IF($A55="","",IF($C55="","⚠ categoria",IFERROR(INDEX(Parâmetros!$F$13:$F$22,MATCH($C55,Parâmetros!$A$13:$A$22,0)),"⚠ categoria")))</f>
        <v>0.19</v>
      </c>
      <c r="G55" s="35"/>
      <c r="H55" s="36" t="n">
        <f aca="false">IF($A55="","",IF(ISNUMBER($G55),$G55,IF(ISNUMBER($F55),$F55,"")))</f>
        <v>0.19</v>
      </c>
      <c r="I55" s="37" t="n">
        <f aca="false">IF(OR($A55="",NOT(ISNUMBER($D55)),NOT(ISNUMBER($H55))),"",IF((1-$H55-Parâmetros!$B$8-Parâmetros!$C$8-Parâmetros!$D$8)&lt;=0,"INVALIDO",($D55+IF(ISNUMBER($E55),$E55,0)+IF(ISNUMBER(Parâmetros!$E$8),Parâmetros!$E$8,0))/(1-$H55-Parâmetros!$B$8-Parâmetros!$C$8-Parâmetros!$D$8)))</f>
        <v>428.5625</v>
      </c>
      <c r="J55" s="38"/>
      <c r="K55" s="39" t="n">
        <f aca="false">IF(OR($A55="",NOT(ISNUMBER($D55)),NOT(ISNUMBER($H55))),"",IF(AND(ISNUMBER($J55),$J55&gt;0),$J55,IF(ISNUMBER($I55),$I55,"")))</f>
        <v>428.5625</v>
      </c>
      <c r="L55" s="40" t="n">
        <f aca="false">IF(ISNUMBER($K55),$K55*$H55,"")</f>
        <v>81.426875</v>
      </c>
      <c r="M55" s="40" t="n">
        <f aca="false">IF(ISNUMBER($K55),$K55*Parâmetros!$B$8,"")</f>
        <v>42.85625</v>
      </c>
      <c r="N55" s="40" t="n">
        <f aca="false">IF(ISNUMBER($K55),$K55*Parâmetros!$C$8,"")</f>
        <v>12.856875</v>
      </c>
      <c r="O55" s="40" t="n">
        <f aca="false">IF(ISNUMBER($K55),IF(ISNUMBER(Parâmetros!$E$8),Parâmetros!$E$8,0),"")</f>
        <v>0</v>
      </c>
      <c r="P55" s="41" t="n">
        <f aca="false">IF(ISNUMBER($K55),$K55-$D55-IF(ISNUMBER($E55),$E55,0)-$L55-$M55-$N55-$O55,"")</f>
        <v>85.7125</v>
      </c>
      <c r="Q55" s="42" t="n">
        <f aca="false">IF(AND(ISNUMBER($K55),$K55&gt;0),$P55/$K55,"")</f>
        <v>0.2</v>
      </c>
      <c r="R55" s="43"/>
      <c r="S55" s="44" t="str">
        <f aca="false">IF(OR(NOT(ISNUMBER($R55)),$R55=0,NOT(ISNUMBER($K55))),"",$K55*(1-$R55))</f>
        <v/>
      </c>
      <c r="T55" s="45" t="str">
        <f aca="false">IF(ISNUMBER($S55),$S55*$H55,"")</f>
        <v/>
      </c>
      <c r="U55" s="45" t="str">
        <f aca="false">IF(ISNUMBER($S55),$S55*Parâmetros!$B$8,"")</f>
        <v/>
      </c>
      <c r="V55" s="45" t="str">
        <f aca="false">IF(ISNUMBER($S55),$S55*Parâmetros!$C$8,"")</f>
        <v/>
      </c>
      <c r="W55" s="44" t="str">
        <f aca="false">IF(ISNUMBER($S55),$S55-$D55-IF(ISNUMBER($E55),$E55,0)-$O55-$T55-$U55-$V55,"")</f>
        <v/>
      </c>
      <c r="X55" s="46" t="str">
        <f aca="false">IF(AND(ISNUMBER($S55),$S55&gt;0),$W55/$S55,"")</f>
        <v/>
      </c>
      <c r="Y55" s="49"/>
      <c r="Z55" s="21"/>
    </row>
    <row r="56" customFormat="false" ht="15.75" hidden="false" customHeight="true" outlineLevel="0" collapsed="false">
      <c r="A56" s="32" t="str">
        <f aca="false">IF(Produtos!$A56="","",Produtos!$A56)</f>
        <v>L3060-AML</v>
      </c>
      <c r="B56" s="32" t="str">
        <f aca="false">IF(Produtos!$A56="","",Produtos!$B56)</f>
        <v>Lixeira c/Aro Meia Lua 30x60 40L</v>
      </c>
      <c r="C56" s="32" t="str">
        <f aca="false">IF(Produtos!$A56="","",Produtos!$C56)</f>
        <v>Lixeiras em inox</v>
      </c>
      <c r="D56" s="33" t="n">
        <f aca="false">IF(Produtos!$A56="","",IF(Produtos!$D56="","",Produtos!$D56))</f>
        <v>235.28</v>
      </c>
      <c r="E56" s="11" t="n">
        <v>0</v>
      </c>
      <c r="F56" s="34" t="n">
        <f aca="false">IF($A56="","",IF($C56="","⚠ categoria",IFERROR(INDEX(Parâmetros!$F$13:$F$22,MATCH($C56,Parâmetros!$A$13:$A$22,0)),"⚠ categoria")))</f>
        <v>0.19</v>
      </c>
      <c r="G56" s="35"/>
      <c r="H56" s="36" t="n">
        <f aca="false">IF($A56="","",IF(ISNUMBER($G56),$G56,IF(ISNUMBER($F56),$F56,"")))</f>
        <v>0.19</v>
      </c>
      <c r="I56" s="37" t="n">
        <f aca="false">IF(OR($A56="",NOT(ISNUMBER($D56)),NOT(ISNUMBER($H56))),"",IF((1-$H56-Parâmetros!$B$8-Parâmetros!$C$8-Parâmetros!$D$8)&lt;=0,"INVALIDO",($D56+IF(ISNUMBER($E56),$E56,0)+IF(ISNUMBER(Parâmetros!$E$8),Parâmetros!$E$8,0))/(1-$H56-Parâmetros!$B$8-Parâmetros!$C$8-Parâmetros!$D$8)))</f>
        <v>490.166666666667</v>
      </c>
      <c r="J56" s="38"/>
      <c r="K56" s="39" t="n">
        <f aca="false">IF(OR($A56="",NOT(ISNUMBER($D56)),NOT(ISNUMBER($H56))),"",IF(AND(ISNUMBER($J56),$J56&gt;0),$J56,IF(ISNUMBER($I56),$I56,"")))</f>
        <v>490.166666666667</v>
      </c>
      <c r="L56" s="40" t="n">
        <f aca="false">IF(ISNUMBER($K56),$K56*$H56,"")</f>
        <v>93.1316666666667</v>
      </c>
      <c r="M56" s="40" t="n">
        <f aca="false">IF(ISNUMBER($K56),$K56*Parâmetros!$B$8,"")</f>
        <v>49.0166666666667</v>
      </c>
      <c r="N56" s="40" t="n">
        <f aca="false">IF(ISNUMBER($K56),$K56*Parâmetros!$C$8,"")</f>
        <v>14.705</v>
      </c>
      <c r="O56" s="40" t="n">
        <f aca="false">IF(ISNUMBER($K56),IF(ISNUMBER(Parâmetros!$E$8),Parâmetros!$E$8,0),"")</f>
        <v>0</v>
      </c>
      <c r="P56" s="41" t="n">
        <f aca="false">IF(ISNUMBER($K56),$K56-$D56-IF(ISNUMBER($E56),$E56,0)-$L56-$M56-$N56-$O56,"")</f>
        <v>98.0333333333333</v>
      </c>
      <c r="Q56" s="42" t="n">
        <f aca="false">IF(AND(ISNUMBER($K56),$K56&gt;0),$P56/$K56,"")</f>
        <v>0.2</v>
      </c>
      <c r="R56" s="43"/>
      <c r="S56" s="44" t="str">
        <f aca="false">IF(OR(NOT(ISNUMBER($R56)),$R56=0,NOT(ISNUMBER($K56))),"",$K56*(1-$R56))</f>
        <v/>
      </c>
      <c r="T56" s="45" t="str">
        <f aca="false">IF(ISNUMBER($S56),$S56*$H56,"")</f>
        <v/>
      </c>
      <c r="U56" s="45" t="str">
        <f aca="false">IF(ISNUMBER($S56),$S56*Parâmetros!$B$8,"")</f>
        <v/>
      </c>
      <c r="V56" s="45" t="str">
        <f aca="false">IF(ISNUMBER($S56),$S56*Parâmetros!$C$8,"")</f>
        <v/>
      </c>
      <c r="W56" s="44" t="str">
        <f aca="false">IF(ISNUMBER($S56),$S56-$D56-IF(ISNUMBER($E56),$E56,0)-$O56-$T56-$U56-$V56,"")</f>
        <v/>
      </c>
      <c r="X56" s="46" t="str">
        <f aca="false">IF(AND(ISNUMBER($S56),$S56&gt;0),$W56/$S56,"")</f>
        <v/>
      </c>
      <c r="Y56" s="47"/>
      <c r="Z56" s="19"/>
    </row>
    <row r="57" customFormat="false" ht="15.75" hidden="false" customHeight="true" outlineLevel="0" collapsed="false">
      <c r="A57" s="48" t="str">
        <f aca="false">IF(Produtos!$A57="","",Produtos!$A57)</f>
        <v>L3070-AML</v>
      </c>
      <c r="B57" s="48" t="str">
        <f aca="false">IF(Produtos!$A57="","",Produtos!$B57)</f>
        <v>Lixeira c/Aro Meia Lua 30x70 50L</v>
      </c>
      <c r="C57" s="48" t="str">
        <f aca="false">IF(Produtos!$A57="","",Produtos!$C57)</f>
        <v>Lixeiras em inox</v>
      </c>
      <c r="D57" s="33" t="n">
        <f aca="false">IF(Produtos!$A57="","",IF(Produtos!$D57="","",Produtos!$D57))</f>
        <v>269.82</v>
      </c>
      <c r="E57" s="11" t="n">
        <v>0</v>
      </c>
      <c r="F57" s="34" t="n">
        <f aca="false">IF($A57="","",IF($C57="","⚠ categoria",IFERROR(INDEX(Parâmetros!$F$13:$F$22,MATCH($C57,Parâmetros!$A$13:$A$22,0)),"⚠ categoria")))</f>
        <v>0.19</v>
      </c>
      <c r="G57" s="35"/>
      <c r="H57" s="36" t="n">
        <f aca="false">IF($A57="","",IF(ISNUMBER($G57),$G57,IF(ISNUMBER($F57),$F57,"")))</f>
        <v>0.19</v>
      </c>
      <c r="I57" s="37" t="n">
        <f aca="false">IF(OR($A57="",NOT(ISNUMBER($D57)),NOT(ISNUMBER($H57))),"",IF((1-$H57-Parâmetros!$B$8-Parâmetros!$C$8-Parâmetros!$D$8)&lt;=0,"INVALIDO",($D57+IF(ISNUMBER($E57),$E57,0)+IF(ISNUMBER(Parâmetros!$E$8),Parâmetros!$E$8,0))/(1-$H57-Parâmetros!$B$8-Parâmetros!$C$8-Parâmetros!$D$8)))</f>
        <v>562.125</v>
      </c>
      <c r="J57" s="38"/>
      <c r="K57" s="39" t="n">
        <f aca="false">IF(OR($A57="",NOT(ISNUMBER($D57)),NOT(ISNUMBER($H57))),"",IF(AND(ISNUMBER($J57),$J57&gt;0),$J57,IF(ISNUMBER($I57),$I57,"")))</f>
        <v>562.125</v>
      </c>
      <c r="L57" s="40" t="n">
        <f aca="false">IF(ISNUMBER($K57),$K57*$H57,"")</f>
        <v>106.80375</v>
      </c>
      <c r="M57" s="40" t="n">
        <f aca="false">IF(ISNUMBER($K57),$K57*Parâmetros!$B$8,"")</f>
        <v>56.2125</v>
      </c>
      <c r="N57" s="40" t="n">
        <f aca="false">IF(ISNUMBER($K57),$K57*Parâmetros!$C$8,"")</f>
        <v>16.86375</v>
      </c>
      <c r="O57" s="40" t="n">
        <f aca="false">IF(ISNUMBER($K57),IF(ISNUMBER(Parâmetros!$E$8),Parâmetros!$E$8,0),"")</f>
        <v>0</v>
      </c>
      <c r="P57" s="41" t="n">
        <f aca="false">IF(ISNUMBER($K57),$K57-$D57-IF(ISNUMBER($E57),$E57,0)-$L57-$M57-$N57-$O57,"")</f>
        <v>112.425</v>
      </c>
      <c r="Q57" s="42" t="n">
        <f aca="false">IF(AND(ISNUMBER($K57),$K57&gt;0),$P57/$K57,"")</f>
        <v>0.2</v>
      </c>
      <c r="R57" s="43"/>
      <c r="S57" s="44" t="str">
        <f aca="false">IF(OR(NOT(ISNUMBER($R57)),$R57=0,NOT(ISNUMBER($K57))),"",$K57*(1-$R57))</f>
        <v/>
      </c>
      <c r="T57" s="45" t="str">
        <f aca="false">IF(ISNUMBER($S57),$S57*$H57,"")</f>
        <v/>
      </c>
      <c r="U57" s="45" t="str">
        <f aca="false">IF(ISNUMBER($S57),$S57*Parâmetros!$B$8,"")</f>
        <v/>
      </c>
      <c r="V57" s="45" t="str">
        <f aca="false">IF(ISNUMBER($S57),$S57*Parâmetros!$C$8,"")</f>
        <v/>
      </c>
      <c r="W57" s="44" t="str">
        <f aca="false">IF(ISNUMBER($S57),$S57-$D57-IF(ISNUMBER($E57),$E57,0)-$O57-$T57-$U57-$V57,"")</f>
        <v/>
      </c>
      <c r="X57" s="46" t="str">
        <f aca="false">IF(AND(ISNUMBER($S57),$S57&gt;0),$W57/$S57,"")</f>
        <v/>
      </c>
      <c r="Y57" s="49"/>
      <c r="Z57" s="21"/>
    </row>
    <row r="58" customFormat="false" ht="15.75" hidden="false" customHeight="true" outlineLevel="0" collapsed="false">
      <c r="A58" s="32" t="str">
        <f aca="false">IF(Produtos!$A58="","",Produtos!$A58)</f>
        <v>L3085-AML</v>
      </c>
      <c r="B58" s="32" t="str">
        <f aca="false">IF(Produtos!$A58="","",Produtos!$B58)</f>
        <v>Lixeira c/Aro Meia Lua 30x85 60L</v>
      </c>
      <c r="C58" s="32" t="str">
        <f aca="false">IF(Produtos!$A58="","",Produtos!$C58)</f>
        <v>Lixeiras em inox</v>
      </c>
      <c r="D58" s="33" t="n">
        <f aca="false">IF(Produtos!$A58="","",IF(Produtos!$D58="","",Produtos!$D58))</f>
        <v>360.65</v>
      </c>
      <c r="E58" s="11" t="n">
        <v>0</v>
      </c>
      <c r="F58" s="34" t="n">
        <f aca="false">IF($A58="","",IF($C58="","⚠ categoria",IFERROR(INDEX(Parâmetros!$F$13:$F$22,MATCH($C58,Parâmetros!$A$13:$A$22,0)),"⚠ categoria")))</f>
        <v>0.19</v>
      </c>
      <c r="G58" s="35"/>
      <c r="H58" s="36" t="n">
        <f aca="false">IF($A58="","",IF(ISNUMBER($G58),$G58,IF(ISNUMBER($F58),$F58,"")))</f>
        <v>0.19</v>
      </c>
      <c r="I58" s="37" t="n">
        <f aca="false">IF(OR($A58="",NOT(ISNUMBER($D58)),NOT(ISNUMBER($H58))),"",IF((1-$H58-Parâmetros!$B$8-Parâmetros!$C$8-Parâmetros!$D$8)&lt;=0,"INVALIDO",($D58+IF(ISNUMBER($E58),$E58,0)+IF(ISNUMBER(Parâmetros!$E$8),Parâmetros!$E$8,0))/(1-$H58-Parâmetros!$B$8-Parâmetros!$C$8-Parâmetros!$D$8)))</f>
        <v>751.354166666667</v>
      </c>
      <c r="J58" s="38"/>
      <c r="K58" s="39" t="n">
        <f aca="false">IF(OR($A58="",NOT(ISNUMBER($D58)),NOT(ISNUMBER($H58))),"",IF(AND(ISNUMBER($J58),$J58&gt;0),$J58,IF(ISNUMBER($I58),$I58,"")))</f>
        <v>751.354166666667</v>
      </c>
      <c r="L58" s="40" t="n">
        <f aca="false">IF(ISNUMBER($K58),$K58*$H58,"")</f>
        <v>142.757291666667</v>
      </c>
      <c r="M58" s="40" t="n">
        <f aca="false">IF(ISNUMBER($K58),$K58*Parâmetros!$B$8,"")</f>
        <v>75.1354166666667</v>
      </c>
      <c r="N58" s="40" t="n">
        <f aca="false">IF(ISNUMBER($K58),$K58*Parâmetros!$C$8,"")</f>
        <v>22.540625</v>
      </c>
      <c r="O58" s="40" t="n">
        <f aca="false">IF(ISNUMBER($K58),IF(ISNUMBER(Parâmetros!$E$8),Parâmetros!$E$8,0),"")</f>
        <v>0</v>
      </c>
      <c r="P58" s="41" t="n">
        <f aca="false">IF(ISNUMBER($K58),$K58-$D58-IF(ISNUMBER($E58),$E58,0)-$L58-$M58-$N58-$O58,"")</f>
        <v>150.270833333333</v>
      </c>
      <c r="Q58" s="42" t="n">
        <f aca="false">IF(AND(ISNUMBER($K58),$K58&gt;0),$P58/$K58,"")</f>
        <v>0.2</v>
      </c>
      <c r="R58" s="43"/>
      <c r="S58" s="44" t="str">
        <f aca="false">IF(OR(NOT(ISNUMBER($R58)),$R58=0,NOT(ISNUMBER($K58))),"",$K58*(1-$R58))</f>
        <v/>
      </c>
      <c r="T58" s="45" t="str">
        <f aca="false">IF(ISNUMBER($S58),$S58*$H58,"")</f>
        <v/>
      </c>
      <c r="U58" s="45" t="str">
        <f aca="false">IF(ISNUMBER($S58),$S58*Parâmetros!$B$8,"")</f>
        <v/>
      </c>
      <c r="V58" s="45" t="str">
        <f aca="false">IF(ISNUMBER($S58),$S58*Parâmetros!$C$8,"")</f>
        <v/>
      </c>
      <c r="W58" s="44" t="str">
        <f aca="false">IF(ISNUMBER($S58),$S58-$D58-IF(ISNUMBER($E58),$E58,0)-$O58-$T58-$U58-$V58,"")</f>
        <v/>
      </c>
      <c r="X58" s="46" t="str">
        <f aca="false">IF(AND(ISNUMBER($S58),$S58&gt;0),$W58/$S58,"")</f>
        <v/>
      </c>
      <c r="Y58" s="47"/>
      <c r="Z58" s="19"/>
    </row>
    <row r="59" customFormat="false" ht="15.75" hidden="false" customHeight="true" outlineLevel="0" collapsed="false">
      <c r="A59" s="48" t="str">
        <f aca="false">IF(Produtos!$A59="","",Produtos!$A59)</f>
        <v>L4050-AML</v>
      </c>
      <c r="B59" s="48" t="str">
        <f aca="false">IF(Produtos!$A59="","",Produtos!$B59)</f>
        <v>Lixeira c/Aro Meia Lua 40x50 62L</v>
      </c>
      <c r="C59" s="48" t="str">
        <f aca="false">IF(Produtos!$A59="","",Produtos!$C59)</f>
        <v>Lixeiras em inox</v>
      </c>
      <c r="D59" s="33" t="n">
        <f aca="false">IF(Produtos!$A59="","",IF(Produtos!$D59="","",Produtos!$D59))</f>
        <v>305.35</v>
      </c>
      <c r="E59" s="11" t="n">
        <v>0</v>
      </c>
      <c r="F59" s="34" t="n">
        <f aca="false">IF($A59="","",IF($C59="","⚠ categoria",IFERROR(INDEX(Parâmetros!$F$13:$F$22,MATCH($C59,Parâmetros!$A$13:$A$22,0)),"⚠ categoria")))</f>
        <v>0.19</v>
      </c>
      <c r="G59" s="35"/>
      <c r="H59" s="36" t="n">
        <f aca="false">IF($A59="","",IF(ISNUMBER($G59),$G59,IF(ISNUMBER($F59),$F59,"")))</f>
        <v>0.19</v>
      </c>
      <c r="I59" s="37" t="n">
        <f aca="false">IF(OR($A59="",NOT(ISNUMBER($D59)),NOT(ISNUMBER($H59))),"",IF((1-$H59-Parâmetros!$B$8-Parâmetros!$C$8-Parâmetros!$D$8)&lt;=0,"INVALIDO",($D59+IF(ISNUMBER($E59),$E59,0)+IF(ISNUMBER(Parâmetros!$E$8),Parâmetros!$E$8,0))/(1-$H59-Parâmetros!$B$8-Parâmetros!$C$8-Parâmetros!$D$8)))</f>
        <v>636.145833333333</v>
      </c>
      <c r="J59" s="38"/>
      <c r="K59" s="39" t="n">
        <f aca="false">IF(OR($A59="",NOT(ISNUMBER($D59)),NOT(ISNUMBER($H59))),"",IF(AND(ISNUMBER($J59),$J59&gt;0),$J59,IF(ISNUMBER($I59),$I59,"")))</f>
        <v>636.145833333333</v>
      </c>
      <c r="L59" s="40" t="n">
        <f aca="false">IF(ISNUMBER($K59),$K59*$H59,"")</f>
        <v>120.867708333333</v>
      </c>
      <c r="M59" s="40" t="n">
        <f aca="false">IF(ISNUMBER($K59),$K59*Parâmetros!$B$8,"")</f>
        <v>63.6145833333333</v>
      </c>
      <c r="N59" s="40" t="n">
        <f aca="false">IF(ISNUMBER($K59),$K59*Parâmetros!$C$8,"")</f>
        <v>19.084375</v>
      </c>
      <c r="O59" s="40" t="n">
        <f aca="false">IF(ISNUMBER($K59),IF(ISNUMBER(Parâmetros!$E$8),Parâmetros!$E$8,0),"")</f>
        <v>0</v>
      </c>
      <c r="P59" s="41" t="n">
        <f aca="false">IF(ISNUMBER($K59),$K59-$D59-IF(ISNUMBER($E59),$E59,0)-$L59-$M59-$N59-$O59,"")</f>
        <v>127.229166666667</v>
      </c>
      <c r="Q59" s="42" t="n">
        <f aca="false">IF(AND(ISNUMBER($K59),$K59&gt;0),$P59/$K59,"")</f>
        <v>0.2</v>
      </c>
      <c r="R59" s="43"/>
      <c r="S59" s="44" t="str">
        <f aca="false">IF(OR(NOT(ISNUMBER($R59)),$R59=0,NOT(ISNUMBER($K59))),"",$K59*(1-$R59))</f>
        <v/>
      </c>
      <c r="T59" s="45" t="str">
        <f aca="false">IF(ISNUMBER($S59),$S59*$H59,"")</f>
        <v/>
      </c>
      <c r="U59" s="45" t="str">
        <f aca="false">IF(ISNUMBER($S59),$S59*Parâmetros!$B$8,"")</f>
        <v/>
      </c>
      <c r="V59" s="45" t="str">
        <f aca="false">IF(ISNUMBER($S59),$S59*Parâmetros!$C$8,"")</f>
        <v/>
      </c>
      <c r="W59" s="44" t="str">
        <f aca="false">IF(ISNUMBER($S59),$S59-$D59-IF(ISNUMBER($E59),$E59,0)-$O59-$T59-$U59-$V59,"")</f>
        <v/>
      </c>
      <c r="X59" s="46" t="str">
        <f aca="false">IF(AND(ISNUMBER($S59),$S59&gt;0),$W59/$S59,"")</f>
        <v/>
      </c>
      <c r="Y59" s="49"/>
      <c r="Z59" s="21"/>
    </row>
    <row r="60" customFormat="false" ht="15.75" hidden="false" customHeight="true" outlineLevel="0" collapsed="false">
      <c r="A60" s="32" t="str">
        <f aca="false">IF(Produtos!$A60="","",Produtos!$A60)</f>
        <v>L4060-AML</v>
      </c>
      <c r="B60" s="32" t="str">
        <f aca="false">IF(Produtos!$A60="","",Produtos!$B60)</f>
        <v>Lixeira c/Aro Meia Lua 40x60 75L</v>
      </c>
      <c r="C60" s="32" t="str">
        <f aca="false">IF(Produtos!$A60="","",Produtos!$C60)</f>
        <v>Lixeiras em inox</v>
      </c>
      <c r="D60" s="33" t="n">
        <f aca="false">IF(Produtos!$A60="","",IF(Produtos!$D60="","",Produtos!$D60))</f>
        <v>342.54</v>
      </c>
      <c r="E60" s="11" t="n">
        <v>0</v>
      </c>
      <c r="F60" s="34" t="n">
        <f aca="false">IF($A60="","",IF($C60="","⚠ categoria",IFERROR(INDEX(Parâmetros!$F$13:$F$22,MATCH($C60,Parâmetros!$A$13:$A$22,0)),"⚠ categoria")))</f>
        <v>0.19</v>
      </c>
      <c r="G60" s="35"/>
      <c r="H60" s="36" t="n">
        <f aca="false">IF($A60="","",IF(ISNUMBER($G60),$G60,IF(ISNUMBER($F60),$F60,"")))</f>
        <v>0.19</v>
      </c>
      <c r="I60" s="37" t="n">
        <f aca="false">IF(OR($A60="",NOT(ISNUMBER($D60)),NOT(ISNUMBER($H60))),"",IF((1-$H60-Parâmetros!$B$8-Parâmetros!$C$8-Parâmetros!$D$8)&lt;=0,"INVALIDO",($D60+IF(ISNUMBER($E60),$E60,0)+IF(ISNUMBER(Parâmetros!$E$8),Parâmetros!$E$8,0))/(1-$H60-Parâmetros!$B$8-Parâmetros!$C$8-Parâmetros!$D$8)))</f>
        <v>713.625</v>
      </c>
      <c r="J60" s="38"/>
      <c r="K60" s="39" t="n">
        <f aca="false">IF(OR($A60="",NOT(ISNUMBER($D60)),NOT(ISNUMBER($H60))),"",IF(AND(ISNUMBER($J60),$J60&gt;0),$J60,IF(ISNUMBER($I60),$I60,"")))</f>
        <v>713.625</v>
      </c>
      <c r="L60" s="40" t="n">
        <f aca="false">IF(ISNUMBER($K60),$K60*$H60,"")</f>
        <v>135.58875</v>
      </c>
      <c r="M60" s="40" t="n">
        <f aca="false">IF(ISNUMBER($K60),$K60*Parâmetros!$B$8,"")</f>
        <v>71.3625</v>
      </c>
      <c r="N60" s="40" t="n">
        <f aca="false">IF(ISNUMBER($K60),$K60*Parâmetros!$C$8,"")</f>
        <v>21.40875</v>
      </c>
      <c r="O60" s="40" t="n">
        <f aca="false">IF(ISNUMBER($K60),IF(ISNUMBER(Parâmetros!$E$8),Parâmetros!$E$8,0),"")</f>
        <v>0</v>
      </c>
      <c r="P60" s="41" t="n">
        <f aca="false">IF(ISNUMBER($K60),$K60-$D60-IF(ISNUMBER($E60),$E60,0)-$L60-$M60-$N60-$O60,"")</f>
        <v>142.725</v>
      </c>
      <c r="Q60" s="42" t="n">
        <f aca="false">IF(AND(ISNUMBER($K60),$K60&gt;0),$P60/$K60,"")</f>
        <v>0.2</v>
      </c>
      <c r="R60" s="43"/>
      <c r="S60" s="44" t="str">
        <f aca="false">IF(OR(NOT(ISNUMBER($R60)),$R60=0,NOT(ISNUMBER($K60))),"",$K60*(1-$R60))</f>
        <v/>
      </c>
      <c r="T60" s="45" t="str">
        <f aca="false">IF(ISNUMBER($S60),$S60*$H60,"")</f>
        <v/>
      </c>
      <c r="U60" s="45" t="str">
        <f aca="false">IF(ISNUMBER($S60),$S60*Parâmetros!$B$8,"")</f>
        <v/>
      </c>
      <c r="V60" s="45" t="str">
        <f aca="false">IF(ISNUMBER($S60),$S60*Parâmetros!$C$8,"")</f>
        <v/>
      </c>
      <c r="W60" s="44" t="str">
        <f aca="false">IF(ISNUMBER($S60),$S60-$D60-IF(ISNUMBER($E60),$E60,0)-$O60-$T60-$U60-$V60,"")</f>
        <v/>
      </c>
      <c r="X60" s="46" t="str">
        <f aca="false">IF(AND(ISNUMBER($S60),$S60&gt;0),$W60/$S60,"")</f>
        <v/>
      </c>
      <c r="Y60" s="47"/>
      <c r="Z60" s="19"/>
    </row>
    <row r="61" customFormat="false" ht="15.75" hidden="false" customHeight="true" outlineLevel="0" collapsed="false">
      <c r="A61" s="48" t="str">
        <f aca="false">IF(Produtos!$A61="","",Produtos!$A61)</f>
        <v>L4070-AML</v>
      </c>
      <c r="B61" s="48" t="str">
        <f aca="false">IF(Produtos!$A61="","",Produtos!$B61)</f>
        <v>Lixeira c/Aro Meia Lua 40x70 88L</v>
      </c>
      <c r="C61" s="48" t="str">
        <f aca="false">IF(Produtos!$A61="","",Produtos!$C61)</f>
        <v>Lixeiras em inox</v>
      </c>
      <c r="D61" s="33" t="n">
        <f aca="false">IF(Produtos!$A61="","",IF(Produtos!$D61="","",Produtos!$D61))</f>
        <v>348.66</v>
      </c>
      <c r="E61" s="11" t="n">
        <v>0</v>
      </c>
      <c r="F61" s="34" t="n">
        <f aca="false">IF($A61="","",IF($C61="","⚠ categoria",IFERROR(INDEX(Parâmetros!$F$13:$F$22,MATCH($C61,Parâmetros!$A$13:$A$22,0)),"⚠ categoria")))</f>
        <v>0.19</v>
      </c>
      <c r="G61" s="35"/>
      <c r="H61" s="36" t="n">
        <f aca="false">IF($A61="","",IF(ISNUMBER($G61),$G61,IF(ISNUMBER($F61),$F61,"")))</f>
        <v>0.19</v>
      </c>
      <c r="I61" s="37" t="n">
        <f aca="false">IF(OR($A61="",NOT(ISNUMBER($D61)),NOT(ISNUMBER($H61))),"",IF((1-$H61-Parâmetros!$B$8-Parâmetros!$C$8-Parâmetros!$D$8)&lt;=0,"INVALIDO",($D61+IF(ISNUMBER($E61),$E61,0)+IF(ISNUMBER(Parâmetros!$E$8),Parâmetros!$E$8,0))/(1-$H61-Parâmetros!$B$8-Parâmetros!$C$8-Parâmetros!$D$8)))</f>
        <v>726.375</v>
      </c>
      <c r="J61" s="38"/>
      <c r="K61" s="39" t="n">
        <f aca="false">IF(OR($A61="",NOT(ISNUMBER($D61)),NOT(ISNUMBER($H61))),"",IF(AND(ISNUMBER($J61),$J61&gt;0),$J61,IF(ISNUMBER($I61),$I61,"")))</f>
        <v>726.375</v>
      </c>
      <c r="L61" s="40" t="n">
        <f aca="false">IF(ISNUMBER($K61),$K61*$H61,"")</f>
        <v>138.01125</v>
      </c>
      <c r="M61" s="40" t="n">
        <f aca="false">IF(ISNUMBER($K61),$K61*Parâmetros!$B$8,"")</f>
        <v>72.6375</v>
      </c>
      <c r="N61" s="40" t="n">
        <f aca="false">IF(ISNUMBER($K61),$K61*Parâmetros!$C$8,"")</f>
        <v>21.79125</v>
      </c>
      <c r="O61" s="40" t="n">
        <f aca="false">IF(ISNUMBER($K61),IF(ISNUMBER(Parâmetros!$E$8),Parâmetros!$E$8,0),"")</f>
        <v>0</v>
      </c>
      <c r="P61" s="41" t="n">
        <f aca="false">IF(ISNUMBER($K61),$K61-$D61-IF(ISNUMBER($E61),$E61,0)-$L61-$M61-$N61-$O61,"")</f>
        <v>145.275</v>
      </c>
      <c r="Q61" s="42" t="n">
        <f aca="false">IF(AND(ISNUMBER($K61),$K61&gt;0),$P61/$K61,"")</f>
        <v>0.2</v>
      </c>
      <c r="R61" s="43"/>
      <c r="S61" s="44" t="str">
        <f aca="false">IF(OR(NOT(ISNUMBER($R61)),$R61=0,NOT(ISNUMBER($K61))),"",$K61*(1-$R61))</f>
        <v/>
      </c>
      <c r="T61" s="45" t="str">
        <f aca="false">IF(ISNUMBER($S61),$S61*$H61,"")</f>
        <v/>
      </c>
      <c r="U61" s="45" t="str">
        <f aca="false">IF(ISNUMBER($S61),$S61*Parâmetros!$B$8,"")</f>
        <v/>
      </c>
      <c r="V61" s="45" t="str">
        <f aca="false">IF(ISNUMBER($S61),$S61*Parâmetros!$C$8,"")</f>
        <v/>
      </c>
      <c r="W61" s="44" t="str">
        <f aca="false">IF(ISNUMBER($S61),$S61-$D61-IF(ISNUMBER($E61),$E61,0)-$O61-$T61-$U61-$V61,"")</f>
        <v/>
      </c>
      <c r="X61" s="46" t="str">
        <f aca="false">IF(AND(ISNUMBER($S61),$S61&gt;0),$W61/$S61,"")</f>
        <v/>
      </c>
      <c r="Y61" s="49"/>
      <c r="Z61" s="21"/>
    </row>
    <row r="62" customFormat="false" ht="15.75" hidden="false" customHeight="true" outlineLevel="0" collapsed="false">
      <c r="A62" s="32" t="str">
        <f aca="false">IF(Produtos!$A62="","",Produtos!$A62)</f>
        <v>L4075-AML</v>
      </c>
      <c r="B62" s="32" t="str">
        <f aca="false">IF(Produtos!$A62="","",Produtos!$B62)</f>
        <v>Lixeira c/Aro Meia Lua 40x75 95L</v>
      </c>
      <c r="C62" s="32" t="str">
        <f aca="false">IF(Produtos!$A62="","",Produtos!$C62)</f>
        <v>Lixeiras em inox</v>
      </c>
      <c r="D62" s="33" t="n">
        <f aca="false">IF(Produtos!$A62="","",IF(Produtos!$D62="","",Produtos!$D62))</f>
        <v>408.87</v>
      </c>
      <c r="E62" s="11" t="n">
        <v>0</v>
      </c>
      <c r="F62" s="34" t="n">
        <f aca="false">IF($A62="","",IF($C62="","⚠ categoria",IFERROR(INDEX(Parâmetros!$F$13:$F$22,MATCH($C62,Parâmetros!$A$13:$A$22,0)),"⚠ categoria")))</f>
        <v>0.19</v>
      </c>
      <c r="G62" s="35"/>
      <c r="H62" s="36" t="n">
        <f aca="false">IF($A62="","",IF(ISNUMBER($G62),$G62,IF(ISNUMBER($F62),$F62,"")))</f>
        <v>0.19</v>
      </c>
      <c r="I62" s="37" t="n">
        <f aca="false">IF(OR($A62="",NOT(ISNUMBER($D62)),NOT(ISNUMBER($H62))),"",IF((1-$H62-Parâmetros!$B$8-Parâmetros!$C$8-Parâmetros!$D$8)&lt;=0,"INVALIDO",($D62+IF(ISNUMBER($E62),$E62,0)+IF(ISNUMBER(Parâmetros!$E$8),Parâmetros!$E$8,0))/(1-$H62-Parâmetros!$B$8-Parâmetros!$C$8-Parâmetros!$D$8)))</f>
        <v>851.8125</v>
      </c>
      <c r="J62" s="38"/>
      <c r="K62" s="39" t="n">
        <f aca="false">IF(OR($A62="",NOT(ISNUMBER($D62)),NOT(ISNUMBER($H62))),"",IF(AND(ISNUMBER($J62),$J62&gt;0),$J62,IF(ISNUMBER($I62),$I62,"")))</f>
        <v>851.8125</v>
      </c>
      <c r="L62" s="40" t="n">
        <f aca="false">IF(ISNUMBER($K62),$K62*$H62,"")</f>
        <v>161.844375</v>
      </c>
      <c r="M62" s="40" t="n">
        <f aca="false">IF(ISNUMBER($K62),$K62*Parâmetros!$B$8,"")</f>
        <v>85.18125</v>
      </c>
      <c r="N62" s="40" t="n">
        <f aca="false">IF(ISNUMBER($K62),$K62*Parâmetros!$C$8,"")</f>
        <v>25.554375</v>
      </c>
      <c r="O62" s="40" t="n">
        <f aca="false">IF(ISNUMBER($K62),IF(ISNUMBER(Parâmetros!$E$8),Parâmetros!$E$8,0),"")</f>
        <v>0</v>
      </c>
      <c r="P62" s="41" t="n">
        <f aca="false">IF(ISNUMBER($K62),$K62-$D62-IF(ISNUMBER($E62),$E62,0)-$L62-$M62-$N62-$O62,"")</f>
        <v>170.3625</v>
      </c>
      <c r="Q62" s="42" t="n">
        <f aca="false">IF(AND(ISNUMBER($K62),$K62&gt;0),$P62/$K62,"")</f>
        <v>0.2</v>
      </c>
      <c r="R62" s="43"/>
      <c r="S62" s="44" t="str">
        <f aca="false">IF(OR(NOT(ISNUMBER($R62)),$R62=0,NOT(ISNUMBER($K62))),"",$K62*(1-$R62))</f>
        <v/>
      </c>
      <c r="T62" s="45" t="str">
        <f aca="false">IF(ISNUMBER($S62),$S62*$H62,"")</f>
        <v/>
      </c>
      <c r="U62" s="45" t="str">
        <f aca="false">IF(ISNUMBER($S62),$S62*Parâmetros!$B$8,"")</f>
        <v/>
      </c>
      <c r="V62" s="45" t="str">
        <f aca="false">IF(ISNUMBER($S62),$S62*Parâmetros!$C$8,"")</f>
        <v/>
      </c>
      <c r="W62" s="44" t="str">
        <f aca="false">IF(ISNUMBER($S62),$S62-$D62-IF(ISNUMBER($E62),$E62,0)-$O62-$T62-$U62-$V62,"")</f>
        <v/>
      </c>
      <c r="X62" s="46" t="str">
        <f aca="false">IF(AND(ISNUMBER($S62),$S62&gt;0),$W62/$S62,"")</f>
        <v/>
      </c>
      <c r="Y62" s="47"/>
      <c r="Z62" s="19"/>
    </row>
    <row r="63" customFormat="false" ht="15.75" hidden="false" customHeight="true" outlineLevel="0" collapsed="false">
      <c r="A63" s="48" t="str">
        <f aca="false">IF(Produtos!$A63="","",Produtos!$A63)</f>
        <v>L4080-AML</v>
      </c>
      <c r="B63" s="48" t="str">
        <f aca="false">IF(Produtos!$A63="","",Produtos!$B63)</f>
        <v>Lixeira c/Aro Meia Lua 40x80 100L</v>
      </c>
      <c r="C63" s="48" t="str">
        <f aca="false">IF(Produtos!$A63="","",Produtos!$C63)</f>
        <v>Lixeiras em inox</v>
      </c>
      <c r="D63" s="33" t="n">
        <f aca="false">IF(Produtos!$A63="","",IF(Produtos!$D63="","",Produtos!$D63))</f>
        <v>411.4</v>
      </c>
      <c r="E63" s="11" t="n">
        <v>0</v>
      </c>
      <c r="F63" s="34" t="n">
        <f aca="false">IF($A63="","",IF($C63="","⚠ categoria",IFERROR(INDEX(Parâmetros!$F$13:$F$22,MATCH($C63,Parâmetros!$A$13:$A$22,0)),"⚠ categoria")))</f>
        <v>0.19</v>
      </c>
      <c r="G63" s="35"/>
      <c r="H63" s="36" t="n">
        <f aca="false">IF($A63="","",IF(ISNUMBER($G63),$G63,IF(ISNUMBER($F63),$F63,"")))</f>
        <v>0.19</v>
      </c>
      <c r="I63" s="37" t="n">
        <f aca="false">IF(OR($A63="",NOT(ISNUMBER($D63)),NOT(ISNUMBER($H63))),"",IF((1-$H63-Parâmetros!$B$8-Parâmetros!$C$8-Parâmetros!$D$8)&lt;=0,"INVALIDO",($D63+IF(ISNUMBER($E63),$E63,0)+IF(ISNUMBER(Parâmetros!$E$8),Parâmetros!$E$8,0))/(1-$H63-Parâmetros!$B$8-Parâmetros!$C$8-Parâmetros!$D$8)))</f>
        <v>857.083333333333</v>
      </c>
      <c r="J63" s="38"/>
      <c r="K63" s="39" t="n">
        <f aca="false">IF(OR($A63="",NOT(ISNUMBER($D63)),NOT(ISNUMBER($H63))),"",IF(AND(ISNUMBER($J63),$J63&gt;0),$J63,IF(ISNUMBER($I63),$I63,"")))</f>
        <v>857.083333333333</v>
      </c>
      <c r="L63" s="40" t="n">
        <f aca="false">IF(ISNUMBER($K63),$K63*$H63,"")</f>
        <v>162.845833333333</v>
      </c>
      <c r="M63" s="40" t="n">
        <f aca="false">IF(ISNUMBER($K63),$K63*Parâmetros!$B$8,"")</f>
        <v>85.7083333333333</v>
      </c>
      <c r="N63" s="40" t="n">
        <f aca="false">IF(ISNUMBER($K63),$K63*Parâmetros!$C$8,"")</f>
        <v>25.7125</v>
      </c>
      <c r="O63" s="40" t="n">
        <f aca="false">IF(ISNUMBER($K63),IF(ISNUMBER(Parâmetros!$E$8),Parâmetros!$E$8,0),"")</f>
        <v>0</v>
      </c>
      <c r="P63" s="41" t="n">
        <f aca="false">IF(ISNUMBER($K63),$K63-$D63-IF(ISNUMBER($E63),$E63,0)-$L63-$M63-$N63-$O63,"")</f>
        <v>171.416666666667</v>
      </c>
      <c r="Q63" s="42" t="n">
        <f aca="false">IF(AND(ISNUMBER($K63),$K63&gt;0),$P63/$K63,"")</f>
        <v>0.2</v>
      </c>
      <c r="R63" s="43"/>
      <c r="S63" s="44" t="str">
        <f aca="false">IF(OR(NOT(ISNUMBER($R63)),$R63=0,NOT(ISNUMBER($K63))),"",$K63*(1-$R63))</f>
        <v/>
      </c>
      <c r="T63" s="45" t="str">
        <f aca="false">IF(ISNUMBER($S63),$S63*$H63,"")</f>
        <v/>
      </c>
      <c r="U63" s="45" t="str">
        <f aca="false">IF(ISNUMBER($S63),$S63*Parâmetros!$B$8,"")</f>
        <v/>
      </c>
      <c r="V63" s="45" t="str">
        <f aca="false">IF(ISNUMBER($S63),$S63*Parâmetros!$C$8,"")</f>
        <v/>
      </c>
      <c r="W63" s="44" t="str">
        <f aca="false">IF(ISNUMBER($S63),$S63-$D63-IF(ISNUMBER($E63),$E63,0)-$O63-$T63-$U63-$V63,"")</f>
        <v/>
      </c>
      <c r="X63" s="46" t="str">
        <f aca="false">IF(AND(ISNUMBER($S63),$S63&gt;0),$W63/$S63,"")</f>
        <v/>
      </c>
      <c r="Y63" s="49"/>
      <c r="Z63" s="21"/>
    </row>
    <row r="64" customFormat="false" ht="15.75" hidden="false" customHeight="true" outlineLevel="0" collapsed="false">
      <c r="A64" s="32" t="str">
        <f aca="false">IF(Produtos!$A64="","",Produtos!$A64)</f>
        <v>L4090-AML</v>
      </c>
      <c r="B64" s="32" t="str">
        <f aca="false">IF(Produtos!$A64="","",Produtos!$B64)</f>
        <v>Lixeira c/Aro Meia Lua 40x90 120L</v>
      </c>
      <c r="C64" s="32" t="str">
        <f aca="false">IF(Produtos!$A64="","",Produtos!$C64)</f>
        <v>Lixeiras em inox</v>
      </c>
      <c r="D64" s="33" t="n">
        <f aca="false">IF(Produtos!$A64="","",IF(Produtos!$D64="","",Produtos!$D64))</f>
        <v>442.44</v>
      </c>
      <c r="E64" s="11" t="n">
        <v>0</v>
      </c>
      <c r="F64" s="34" t="n">
        <f aca="false">IF($A64="","",IF($C64="","⚠ categoria",IFERROR(INDEX(Parâmetros!$F$13:$F$22,MATCH($C64,Parâmetros!$A$13:$A$22,0)),"⚠ categoria")))</f>
        <v>0.19</v>
      </c>
      <c r="G64" s="35"/>
      <c r="H64" s="36" t="n">
        <f aca="false">IF($A64="","",IF(ISNUMBER($G64),$G64,IF(ISNUMBER($F64),$F64,"")))</f>
        <v>0.19</v>
      </c>
      <c r="I64" s="37" t="n">
        <f aca="false">IF(OR($A64="",NOT(ISNUMBER($D64)),NOT(ISNUMBER($H64))),"",IF((1-$H64-Parâmetros!$B$8-Parâmetros!$C$8-Parâmetros!$D$8)&lt;=0,"INVALIDO",($D64+IF(ISNUMBER($E64),$E64,0)+IF(ISNUMBER(Parâmetros!$E$8),Parâmetros!$E$8,0))/(1-$H64-Parâmetros!$B$8-Parâmetros!$C$8-Parâmetros!$D$8)))</f>
        <v>921.75</v>
      </c>
      <c r="J64" s="38"/>
      <c r="K64" s="39" t="n">
        <f aca="false">IF(OR($A64="",NOT(ISNUMBER($D64)),NOT(ISNUMBER($H64))),"",IF(AND(ISNUMBER($J64),$J64&gt;0),$J64,IF(ISNUMBER($I64),$I64,"")))</f>
        <v>921.75</v>
      </c>
      <c r="L64" s="40" t="n">
        <f aca="false">IF(ISNUMBER($K64),$K64*$H64,"")</f>
        <v>175.1325</v>
      </c>
      <c r="M64" s="40" t="n">
        <f aca="false">IF(ISNUMBER($K64),$K64*Parâmetros!$B$8,"")</f>
        <v>92.175</v>
      </c>
      <c r="N64" s="40" t="n">
        <f aca="false">IF(ISNUMBER($K64),$K64*Parâmetros!$C$8,"")</f>
        <v>27.6525</v>
      </c>
      <c r="O64" s="40" t="n">
        <f aca="false">IF(ISNUMBER($K64),IF(ISNUMBER(Parâmetros!$E$8),Parâmetros!$E$8,0),"")</f>
        <v>0</v>
      </c>
      <c r="P64" s="41" t="n">
        <f aca="false">IF(ISNUMBER($K64),$K64-$D64-IF(ISNUMBER($E64),$E64,0)-$L64-$M64-$N64-$O64,"")</f>
        <v>184.35</v>
      </c>
      <c r="Q64" s="42" t="n">
        <f aca="false">IF(AND(ISNUMBER($K64),$K64&gt;0),$P64/$K64,"")</f>
        <v>0.2</v>
      </c>
      <c r="R64" s="43"/>
      <c r="S64" s="44" t="str">
        <f aca="false">IF(OR(NOT(ISNUMBER($R64)),$R64=0,NOT(ISNUMBER($K64))),"",$K64*(1-$R64))</f>
        <v/>
      </c>
      <c r="T64" s="45" t="str">
        <f aca="false">IF(ISNUMBER($S64),$S64*$H64,"")</f>
        <v/>
      </c>
      <c r="U64" s="45" t="str">
        <f aca="false">IF(ISNUMBER($S64),$S64*Parâmetros!$B$8,"")</f>
        <v/>
      </c>
      <c r="V64" s="45" t="str">
        <f aca="false">IF(ISNUMBER($S64),$S64*Parâmetros!$C$8,"")</f>
        <v/>
      </c>
      <c r="W64" s="44" t="str">
        <f aca="false">IF(ISNUMBER($S64),$S64-$D64-IF(ISNUMBER($E64),$E64,0)-$O64-$T64-$U64-$V64,"")</f>
        <v/>
      </c>
      <c r="X64" s="46" t="str">
        <f aca="false">IF(AND(ISNUMBER($S64),$S64&gt;0),$W64/$S64,"")</f>
        <v/>
      </c>
      <c r="Y64" s="47"/>
      <c r="Z64" s="19"/>
    </row>
    <row r="65" customFormat="false" ht="15.75" hidden="false" customHeight="true" outlineLevel="0" collapsed="false">
      <c r="A65" s="48" t="str">
        <f aca="false">IF(Produtos!$A65="","",Produtos!$A65)</f>
        <v>L1618-B</v>
      </c>
      <c r="B65" s="48" t="str">
        <f aca="false">IF(Produtos!$A65="","",Produtos!$B65)</f>
        <v>Lixeira c/Aro Basculante 16x18 03L</v>
      </c>
      <c r="C65" s="48" t="str">
        <f aca="false">IF(Produtos!$A65="","",Produtos!$C65)</f>
        <v>Lixeiras em inox</v>
      </c>
      <c r="D65" s="33" t="n">
        <f aca="false">IF(Produtos!$A65="","",IF(Produtos!$D65="","",Produtos!$D65))</f>
        <v>60.62</v>
      </c>
      <c r="E65" s="11" t="n">
        <v>0</v>
      </c>
      <c r="F65" s="34" t="n">
        <f aca="false">IF($A65="","",IF($C65="","⚠ categoria",IFERROR(INDEX(Parâmetros!$F$13:$F$22,MATCH($C65,Parâmetros!$A$13:$A$22,0)),"⚠ categoria")))</f>
        <v>0.19</v>
      </c>
      <c r="G65" s="35"/>
      <c r="H65" s="36" t="n">
        <f aca="false">IF($A65="","",IF(ISNUMBER($G65),$G65,IF(ISNUMBER($F65),$F65,"")))</f>
        <v>0.19</v>
      </c>
      <c r="I65" s="37" t="n">
        <f aca="false">IF(OR($A65="",NOT(ISNUMBER($D65)),NOT(ISNUMBER($H65))),"",IF((1-$H65-Parâmetros!$B$8-Parâmetros!$C$8-Parâmetros!$D$8)&lt;=0,"INVALIDO",($D65+IF(ISNUMBER($E65),$E65,0)+IF(ISNUMBER(Parâmetros!$E$8),Parâmetros!$E$8,0))/(1-$H65-Parâmetros!$B$8-Parâmetros!$C$8-Parâmetros!$D$8)))</f>
        <v>126.291666666667</v>
      </c>
      <c r="J65" s="38"/>
      <c r="K65" s="39" t="n">
        <f aca="false">IF(OR($A65="",NOT(ISNUMBER($D65)),NOT(ISNUMBER($H65))),"",IF(AND(ISNUMBER($J65),$J65&gt;0),$J65,IF(ISNUMBER($I65),$I65,"")))</f>
        <v>126.291666666667</v>
      </c>
      <c r="L65" s="40" t="n">
        <f aca="false">IF(ISNUMBER($K65),$K65*$H65,"")</f>
        <v>23.9954166666667</v>
      </c>
      <c r="M65" s="40" t="n">
        <f aca="false">IF(ISNUMBER($K65),$K65*Parâmetros!$B$8,"")</f>
        <v>12.6291666666667</v>
      </c>
      <c r="N65" s="40" t="n">
        <f aca="false">IF(ISNUMBER($K65),$K65*Parâmetros!$C$8,"")</f>
        <v>3.78875</v>
      </c>
      <c r="O65" s="40" t="n">
        <f aca="false">IF(ISNUMBER($K65),IF(ISNUMBER(Parâmetros!$E$8),Parâmetros!$E$8,0),"")</f>
        <v>0</v>
      </c>
      <c r="P65" s="41" t="n">
        <f aca="false">IF(ISNUMBER($K65),$K65-$D65-IF(ISNUMBER($E65),$E65,0)-$L65-$M65-$N65-$O65,"")</f>
        <v>25.2583333333333</v>
      </c>
      <c r="Q65" s="42" t="n">
        <f aca="false">IF(AND(ISNUMBER($K65),$K65&gt;0),$P65/$K65,"")</f>
        <v>0.2</v>
      </c>
      <c r="R65" s="43"/>
      <c r="S65" s="44" t="str">
        <f aca="false">IF(OR(NOT(ISNUMBER($R65)),$R65=0,NOT(ISNUMBER($K65))),"",$K65*(1-$R65))</f>
        <v/>
      </c>
      <c r="T65" s="45" t="str">
        <f aca="false">IF(ISNUMBER($S65),$S65*$H65,"")</f>
        <v/>
      </c>
      <c r="U65" s="45" t="str">
        <f aca="false">IF(ISNUMBER($S65),$S65*Parâmetros!$B$8,"")</f>
        <v/>
      </c>
      <c r="V65" s="45" t="str">
        <f aca="false">IF(ISNUMBER($S65),$S65*Parâmetros!$C$8,"")</f>
        <v/>
      </c>
      <c r="W65" s="44" t="str">
        <f aca="false">IF(ISNUMBER($S65),$S65-$D65-IF(ISNUMBER($E65),$E65,0)-$O65-$T65-$U65-$V65,"")</f>
        <v/>
      </c>
      <c r="X65" s="46" t="str">
        <f aca="false">IF(AND(ISNUMBER($S65),$S65&gt;0),$W65/$S65,"")</f>
        <v/>
      </c>
      <c r="Y65" s="49"/>
      <c r="Z65" s="21"/>
    </row>
    <row r="66" customFormat="false" ht="15.75" hidden="false" customHeight="true" outlineLevel="0" collapsed="false">
      <c r="A66" s="32" t="str">
        <f aca="false">IF(Produtos!$A66="","",Produtos!$A66)</f>
        <v>L1623-B</v>
      </c>
      <c r="B66" s="32" t="str">
        <f aca="false">IF(Produtos!$A66="","",Produtos!$B66)</f>
        <v>Lixeira c/Aro Basculante 16x23 05L</v>
      </c>
      <c r="C66" s="32" t="str">
        <f aca="false">IF(Produtos!$A66="","",Produtos!$C66)</f>
        <v>Lixeiras em inox</v>
      </c>
      <c r="D66" s="33" t="n">
        <f aca="false">IF(Produtos!$A66="","",IF(Produtos!$D66="","",Produtos!$D66))</f>
        <v>65.95</v>
      </c>
      <c r="E66" s="11" t="n">
        <v>0</v>
      </c>
      <c r="F66" s="34" t="n">
        <f aca="false">IF($A66="","",IF($C66="","⚠ categoria",IFERROR(INDEX(Parâmetros!$F$13:$F$22,MATCH($C66,Parâmetros!$A$13:$A$22,0)),"⚠ categoria")))</f>
        <v>0.19</v>
      </c>
      <c r="G66" s="35"/>
      <c r="H66" s="36" t="n">
        <f aca="false">IF($A66="","",IF(ISNUMBER($G66),$G66,IF(ISNUMBER($F66),$F66,"")))</f>
        <v>0.19</v>
      </c>
      <c r="I66" s="37" t="n">
        <f aca="false">IF(OR($A66="",NOT(ISNUMBER($D66)),NOT(ISNUMBER($H66))),"",IF((1-$H66-Parâmetros!$B$8-Parâmetros!$C$8-Parâmetros!$D$8)&lt;=0,"INVALIDO",($D66+IF(ISNUMBER($E66),$E66,0)+IF(ISNUMBER(Parâmetros!$E$8),Parâmetros!$E$8,0))/(1-$H66-Parâmetros!$B$8-Parâmetros!$C$8-Parâmetros!$D$8)))</f>
        <v>137.395833333333</v>
      </c>
      <c r="J66" s="38"/>
      <c r="K66" s="39" t="n">
        <f aca="false">IF(OR($A66="",NOT(ISNUMBER($D66)),NOT(ISNUMBER($H66))),"",IF(AND(ISNUMBER($J66),$J66&gt;0),$J66,IF(ISNUMBER($I66),$I66,"")))</f>
        <v>137.395833333333</v>
      </c>
      <c r="L66" s="40" t="n">
        <f aca="false">IF(ISNUMBER($K66),$K66*$H66,"")</f>
        <v>26.1052083333333</v>
      </c>
      <c r="M66" s="40" t="n">
        <f aca="false">IF(ISNUMBER($K66),$K66*Parâmetros!$B$8,"")</f>
        <v>13.7395833333333</v>
      </c>
      <c r="N66" s="40" t="n">
        <f aca="false">IF(ISNUMBER($K66),$K66*Parâmetros!$C$8,"")</f>
        <v>4.121875</v>
      </c>
      <c r="O66" s="40" t="n">
        <f aca="false">IF(ISNUMBER($K66),IF(ISNUMBER(Parâmetros!$E$8),Parâmetros!$E$8,0),"")</f>
        <v>0</v>
      </c>
      <c r="P66" s="41" t="n">
        <f aca="false">IF(ISNUMBER($K66),$K66-$D66-IF(ISNUMBER($E66),$E66,0)-$L66-$M66-$N66-$O66,"")</f>
        <v>27.4791666666667</v>
      </c>
      <c r="Q66" s="42" t="n">
        <f aca="false">IF(AND(ISNUMBER($K66),$K66&gt;0),$P66/$K66,"")</f>
        <v>0.2</v>
      </c>
      <c r="R66" s="43"/>
      <c r="S66" s="44" t="str">
        <f aca="false">IF(OR(NOT(ISNUMBER($R66)),$R66=0,NOT(ISNUMBER($K66))),"",$K66*(1-$R66))</f>
        <v/>
      </c>
      <c r="T66" s="45" t="str">
        <f aca="false">IF(ISNUMBER($S66),$S66*$H66,"")</f>
        <v/>
      </c>
      <c r="U66" s="45" t="str">
        <f aca="false">IF(ISNUMBER($S66),$S66*Parâmetros!$B$8,"")</f>
        <v/>
      </c>
      <c r="V66" s="45" t="str">
        <f aca="false">IF(ISNUMBER($S66),$S66*Parâmetros!$C$8,"")</f>
        <v/>
      </c>
      <c r="W66" s="44" t="str">
        <f aca="false">IF(ISNUMBER($S66),$S66-$D66-IF(ISNUMBER($E66),$E66,0)-$O66-$T66-$U66-$V66,"")</f>
        <v/>
      </c>
      <c r="X66" s="46" t="str">
        <f aca="false">IF(AND(ISNUMBER($S66),$S66&gt;0),$W66/$S66,"")</f>
        <v/>
      </c>
      <c r="Y66" s="47"/>
      <c r="Z66" s="19"/>
    </row>
    <row r="67" customFormat="false" ht="15.75" hidden="false" customHeight="true" outlineLevel="0" collapsed="false">
      <c r="A67" s="48" t="str">
        <f aca="false">IF(Produtos!$A67="","",Produtos!$A67)</f>
        <v>L2025-B</v>
      </c>
      <c r="B67" s="48" t="str">
        <f aca="false">IF(Produtos!$A67="","",Produtos!$B67)</f>
        <v>Lixeira c/Aro Basculante 20x25 07L</v>
      </c>
      <c r="C67" s="48" t="str">
        <f aca="false">IF(Produtos!$A67="","",Produtos!$C67)</f>
        <v>Lixeiras em inox</v>
      </c>
      <c r="D67" s="33" t="n">
        <f aca="false">IF(Produtos!$A67="","",IF(Produtos!$D67="","",Produtos!$D67))</f>
        <v>69.52</v>
      </c>
      <c r="E67" s="11" t="n">
        <v>0</v>
      </c>
      <c r="F67" s="34" t="n">
        <f aca="false">IF($A67="","",IF($C67="","⚠ categoria",IFERROR(INDEX(Parâmetros!$F$13:$F$22,MATCH($C67,Parâmetros!$A$13:$A$22,0)),"⚠ categoria")))</f>
        <v>0.19</v>
      </c>
      <c r="G67" s="35"/>
      <c r="H67" s="36" t="n">
        <f aca="false">IF($A67="","",IF(ISNUMBER($G67),$G67,IF(ISNUMBER($F67),$F67,"")))</f>
        <v>0.19</v>
      </c>
      <c r="I67" s="37" t="n">
        <f aca="false">IF(OR($A67="",NOT(ISNUMBER($D67)),NOT(ISNUMBER($H67))),"",IF((1-$H67-Parâmetros!$B$8-Parâmetros!$C$8-Parâmetros!$D$8)&lt;=0,"INVALIDO",($D67+IF(ISNUMBER($E67),$E67,0)+IF(ISNUMBER(Parâmetros!$E$8),Parâmetros!$E$8,0))/(1-$H67-Parâmetros!$B$8-Parâmetros!$C$8-Parâmetros!$D$8)))</f>
        <v>144.833333333333</v>
      </c>
      <c r="J67" s="38"/>
      <c r="K67" s="39" t="n">
        <f aca="false">IF(OR($A67="",NOT(ISNUMBER($D67)),NOT(ISNUMBER($H67))),"",IF(AND(ISNUMBER($J67),$J67&gt;0),$J67,IF(ISNUMBER($I67),$I67,"")))</f>
        <v>144.833333333333</v>
      </c>
      <c r="L67" s="40" t="n">
        <f aca="false">IF(ISNUMBER($K67),$K67*$H67,"")</f>
        <v>27.5183333333333</v>
      </c>
      <c r="M67" s="40" t="n">
        <f aca="false">IF(ISNUMBER($K67),$K67*Parâmetros!$B$8,"")</f>
        <v>14.4833333333333</v>
      </c>
      <c r="N67" s="40" t="n">
        <f aca="false">IF(ISNUMBER($K67),$K67*Parâmetros!$C$8,"")</f>
        <v>4.345</v>
      </c>
      <c r="O67" s="40" t="n">
        <f aca="false">IF(ISNUMBER($K67),IF(ISNUMBER(Parâmetros!$E$8),Parâmetros!$E$8,0),"")</f>
        <v>0</v>
      </c>
      <c r="P67" s="41" t="n">
        <f aca="false">IF(ISNUMBER($K67),$K67-$D67-IF(ISNUMBER($E67),$E67,0)-$L67-$M67-$N67-$O67,"")</f>
        <v>28.9666666666667</v>
      </c>
      <c r="Q67" s="42" t="n">
        <f aca="false">IF(AND(ISNUMBER($K67),$K67&gt;0),$P67/$K67,"")</f>
        <v>0.2</v>
      </c>
      <c r="R67" s="43"/>
      <c r="S67" s="44" t="str">
        <f aca="false">IF(OR(NOT(ISNUMBER($R67)),$R67=0,NOT(ISNUMBER($K67))),"",$K67*(1-$R67))</f>
        <v/>
      </c>
      <c r="T67" s="45" t="str">
        <f aca="false">IF(ISNUMBER($S67),$S67*$H67,"")</f>
        <v/>
      </c>
      <c r="U67" s="45" t="str">
        <f aca="false">IF(ISNUMBER($S67),$S67*Parâmetros!$B$8,"")</f>
        <v/>
      </c>
      <c r="V67" s="45" t="str">
        <f aca="false">IF(ISNUMBER($S67),$S67*Parâmetros!$C$8,"")</f>
        <v/>
      </c>
      <c r="W67" s="44" t="str">
        <f aca="false">IF(ISNUMBER($S67),$S67-$D67-IF(ISNUMBER($E67),$E67,0)-$O67-$T67-$U67-$V67,"")</f>
        <v/>
      </c>
      <c r="X67" s="46" t="str">
        <f aca="false">IF(AND(ISNUMBER($S67),$S67&gt;0),$W67/$S67,"")</f>
        <v/>
      </c>
      <c r="Y67" s="49"/>
      <c r="Z67" s="21"/>
    </row>
    <row r="68" customFormat="false" ht="15.75" hidden="false" customHeight="true" outlineLevel="0" collapsed="false">
      <c r="A68" s="32" t="str">
        <f aca="false">IF(Produtos!$A68="","",Produtos!$A68)</f>
        <v>L2030-B</v>
      </c>
      <c r="B68" s="32" t="str">
        <f aca="false">IF(Produtos!$A68="","",Produtos!$B68)</f>
        <v>Lixeira c/Aro Basculante 20x30 10L</v>
      </c>
      <c r="C68" s="32" t="str">
        <f aca="false">IF(Produtos!$A68="","",Produtos!$C68)</f>
        <v>Lixeiras em inox</v>
      </c>
      <c r="D68" s="33" t="n">
        <f aca="false">IF(Produtos!$A68="","",IF(Produtos!$D68="","",Produtos!$D68))</f>
        <v>75.68</v>
      </c>
      <c r="E68" s="11" t="n">
        <v>0</v>
      </c>
      <c r="F68" s="34" t="n">
        <f aca="false">IF($A68="","",IF($C68="","⚠ categoria",IFERROR(INDEX(Parâmetros!$F$13:$F$22,MATCH($C68,Parâmetros!$A$13:$A$22,0)),"⚠ categoria")))</f>
        <v>0.19</v>
      </c>
      <c r="G68" s="35"/>
      <c r="H68" s="36" t="n">
        <f aca="false">IF($A68="","",IF(ISNUMBER($G68),$G68,IF(ISNUMBER($F68),$F68,"")))</f>
        <v>0.19</v>
      </c>
      <c r="I68" s="37" t="n">
        <f aca="false">IF(OR($A68="",NOT(ISNUMBER($D68)),NOT(ISNUMBER($H68))),"",IF((1-$H68-Parâmetros!$B$8-Parâmetros!$C$8-Parâmetros!$D$8)&lt;=0,"INVALIDO",($D68+IF(ISNUMBER($E68),$E68,0)+IF(ISNUMBER(Parâmetros!$E$8),Parâmetros!$E$8,0))/(1-$H68-Parâmetros!$B$8-Parâmetros!$C$8-Parâmetros!$D$8)))</f>
        <v>157.666666666667</v>
      </c>
      <c r="J68" s="38"/>
      <c r="K68" s="39" t="n">
        <f aca="false">IF(OR($A68="",NOT(ISNUMBER($D68)),NOT(ISNUMBER($H68))),"",IF(AND(ISNUMBER($J68),$J68&gt;0),$J68,IF(ISNUMBER($I68),$I68,"")))</f>
        <v>157.666666666667</v>
      </c>
      <c r="L68" s="40" t="n">
        <f aca="false">IF(ISNUMBER($K68),$K68*$H68,"")</f>
        <v>29.9566666666667</v>
      </c>
      <c r="M68" s="40" t="n">
        <f aca="false">IF(ISNUMBER($K68),$K68*Parâmetros!$B$8,"")</f>
        <v>15.7666666666667</v>
      </c>
      <c r="N68" s="40" t="n">
        <f aca="false">IF(ISNUMBER($K68),$K68*Parâmetros!$C$8,"")</f>
        <v>4.73</v>
      </c>
      <c r="O68" s="40" t="n">
        <f aca="false">IF(ISNUMBER($K68),IF(ISNUMBER(Parâmetros!$E$8),Parâmetros!$E$8,0),"")</f>
        <v>0</v>
      </c>
      <c r="P68" s="41" t="n">
        <f aca="false">IF(ISNUMBER($K68),$K68-$D68-IF(ISNUMBER($E68),$E68,0)-$L68-$M68-$N68-$O68,"")</f>
        <v>31.5333333333333</v>
      </c>
      <c r="Q68" s="42" t="n">
        <f aca="false">IF(AND(ISNUMBER($K68),$K68&gt;0),$P68/$K68,"")</f>
        <v>0.2</v>
      </c>
      <c r="R68" s="43"/>
      <c r="S68" s="44" t="str">
        <f aca="false">IF(OR(NOT(ISNUMBER($R68)),$R68=0,NOT(ISNUMBER($K68))),"",$K68*(1-$R68))</f>
        <v/>
      </c>
      <c r="T68" s="45" t="str">
        <f aca="false">IF(ISNUMBER($S68),$S68*$H68,"")</f>
        <v/>
      </c>
      <c r="U68" s="45" t="str">
        <f aca="false">IF(ISNUMBER($S68),$S68*Parâmetros!$B$8,"")</f>
        <v/>
      </c>
      <c r="V68" s="45" t="str">
        <f aca="false">IF(ISNUMBER($S68),$S68*Parâmetros!$C$8,"")</f>
        <v/>
      </c>
      <c r="W68" s="44" t="str">
        <f aca="false">IF(ISNUMBER($S68),$S68-$D68-IF(ISNUMBER($E68),$E68,0)-$O68-$T68-$U68-$V68,"")</f>
        <v/>
      </c>
      <c r="X68" s="46" t="str">
        <f aca="false">IF(AND(ISNUMBER($S68),$S68&gt;0),$W68/$S68,"")</f>
        <v/>
      </c>
      <c r="Y68" s="47"/>
      <c r="Z68" s="19"/>
    </row>
    <row r="69" customFormat="false" ht="15.75" hidden="false" customHeight="true" outlineLevel="0" collapsed="false">
      <c r="A69" s="48" t="str">
        <f aca="false">IF(Produtos!$A69="","",Produtos!$A69)</f>
        <v>L2425-B</v>
      </c>
      <c r="B69" s="48" t="str">
        <f aca="false">IF(Produtos!$A69="","",Produtos!$B69)</f>
        <v>Lixeira c/Aro Basculante 24x25 13L</v>
      </c>
      <c r="C69" s="48" t="str">
        <f aca="false">IF(Produtos!$A69="","",Produtos!$C69)</f>
        <v>Lixeiras em inox</v>
      </c>
      <c r="D69" s="33" t="n">
        <f aca="false">IF(Produtos!$A69="","",IF(Produtos!$D69="","",Produtos!$D69))</f>
        <v>94.18</v>
      </c>
      <c r="E69" s="11" t="n">
        <v>0</v>
      </c>
      <c r="F69" s="34" t="n">
        <f aca="false">IF($A69="","",IF($C69="","⚠ categoria",IFERROR(INDEX(Parâmetros!$F$13:$F$22,MATCH($C69,Parâmetros!$A$13:$A$22,0)),"⚠ categoria")))</f>
        <v>0.19</v>
      </c>
      <c r="G69" s="35"/>
      <c r="H69" s="36" t="n">
        <f aca="false">IF($A69="","",IF(ISNUMBER($G69),$G69,IF(ISNUMBER($F69),$F69,"")))</f>
        <v>0.19</v>
      </c>
      <c r="I69" s="37" t="n">
        <f aca="false">IF(OR($A69="",NOT(ISNUMBER($D69)),NOT(ISNUMBER($H69))),"",IF((1-$H69-Parâmetros!$B$8-Parâmetros!$C$8-Parâmetros!$D$8)&lt;=0,"INVALIDO",($D69+IF(ISNUMBER($E69),$E69,0)+IF(ISNUMBER(Parâmetros!$E$8),Parâmetros!$E$8,0))/(1-$H69-Parâmetros!$B$8-Parâmetros!$C$8-Parâmetros!$D$8)))</f>
        <v>196.208333333333</v>
      </c>
      <c r="J69" s="38"/>
      <c r="K69" s="39" t="n">
        <f aca="false">IF(OR($A69="",NOT(ISNUMBER($D69)),NOT(ISNUMBER($H69))),"",IF(AND(ISNUMBER($J69),$J69&gt;0),$J69,IF(ISNUMBER($I69),$I69,"")))</f>
        <v>196.208333333333</v>
      </c>
      <c r="L69" s="40" t="n">
        <f aca="false">IF(ISNUMBER($K69),$K69*$H69,"")</f>
        <v>37.2795833333333</v>
      </c>
      <c r="M69" s="40" t="n">
        <f aca="false">IF(ISNUMBER($K69),$K69*Parâmetros!$B$8,"")</f>
        <v>19.6208333333333</v>
      </c>
      <c r="N69" s="40" t="n">
        <f aca="false">IF(ISNUMBER($K69),$K69*Parâmetros!$C$8,"")</f>
        <v>5.88625</v>
      </c>
      <c r="O69" s="40" t="n">
        <f aca="false">IF(ISNUMBER($K69),IF(ISNUMBER(Parâmetros!$E$8),Parâmetros!$E$8,0),"")</f>
        <v>0</v>
      </c>
      <c r="P69" s="41" t="n">
        <f aca="false">IF(ISNUMBER($K69),$K69-$D69-IF(ISNUMBER($E69),$E69,0)-$L69-$M69-$N69-$O69,"")</f>
        <v>39.2416666666667</v>
      </c>
      <c r="Q69" s="42" t="n">
        <f aca="false">IF(AND(ISNUMBER($K69),$K69&gt;0),$P69/$K69,"")</f>
        <v>0.2</v>
      </c>
      <c r="R69" s="43"/>
      <c r="S69" s="44" t="str">
        <f aca="false">IF(OR(NOT(ISNUMBER($R69)),$R69=0,NOT(ISNUMBER($K69))),"",$K69*(1-$R69))</f>
        <v/>
      </c>
      <c r="T69" s="45" t="str">
        <f aca="false">IF(ISNUMBER($S69),$S69*$H69,"")</f>
        <v/>
      </c>
      <c r="U69" s="45" t="str">
        <f aca="false">IF(ISNUMBER($S69),$S69*Parâmetros!$B$8,"")</f>
        <v/>
      </c>
      <c r="V69" s="45" t="str">
        <f aca="false">IF(ISNUMBER($S69),$S69*Parâmetros!$C$8,"")</f>
        <v/>
      </c>
      <c r="W69" s="44" t="str">
        <f aca="false">IF(ISNUMBER($S69),$S69-$D69-IF(ISNUMBER($E69),$E69,0)-$O69-$T69-$U69-$V69,"")</f>
        <v/>
      </c>
      <c r="X69" s="46" t="str">
        <f aca="false">IF(AND(ISNUMBER($S69),$S69&gt;0),$W69/$S69,"")</f>
        <v/>
      </c>
      <c r="Y69" s="49"/>
      <c r="Z69" s="21"/>
    </row>
    <row r="70" customFormat="false" ht="15.75" hidden="false" customHeight="true" outlineLevel="0" collapsed="false">
      <c r="A70" s="32" t="str">
        <f aca="false">IF(Produtos!$A70="","",Produtos!$A70)</f>
        <v>L2430-B</v>
      </c>
      <c r="B70" s="32" t="str">
        <f aca="false">IF(Produtos!$A70="","",Produtos!$B70)</f>
        <v>Lixeira c/Aro Basculante 24x30 15L</v>
      </c>
      <c r="C70" s="32" t="str">
        <f aca="false">IF(Produtos!$A70="","",Produtos!$C70)</f>
        <v>Lixeiras em inox</v>
      </c>
      <c r="D70" s="33" t="n">
        <f aca="false">IF(Produtos!$A70="","",IF(Produtos!$D70="","",Produtos!$D70))</f>
        <v>103.42</v>
      </c>
      <c r="E70" s="11" t="n">
        <v>0</v>
      </c>
      <c r="F70" s="34" t="n">
        <f aca="false">IF($A70="","",IF($C70="","⚠ categoria",IFERROR(INDEX(Parâmetros!$F$13:$F$22,MATCH($C70,Parâmetros!$A$13:$A$22,0)),"⚠ categoria")))</f>
        <v>0.19</v>
      </c>
      <c r="G70" s="35"/>
      <c r="H70" s="36" t="n">
        <f aca="false">IF($A70="","",IF(ISNUMBER($G70),$G70,IF(ISNUMBER($F70),$F70,"")))</f>
        <v>0.19</v>
      </c>
      <c r="I70" s="37" t="n">
        <f aca="false">IF(OR($A70="",NOT(ISNUMBER($D70)),NOT(ISNUMBER($H70))),"",IF((1-$H70-Parâmetros!$B$8-Parâmetros!$C$8-Parâmetros!$D$8)&lt;=0,"INVALIDO",($D70+IF(ISNUMBER($E70),$E70,0)+IF(ISNUMBER(Parâmetros!$E$8),Parâmetros!$E$8,0))/(1-$H70-Parâmetros!$B$8-Parâmetros!$C$8-Parâmetros!$D$8)))</f>
        <v>215.458333333333</v>
      </c>
      <c r="J70" s="38"/>
      <c r="K70" s="39" t="n">
        <f aca="false">IF(OR($A70="",NOT(ISNUMBER($D70)),NOT(ISNUMBER($H70))),"",IF(AND(ISNUMBER($J70),$J70&gt;0),$J70,IF(ISNUMBER($I70),$I70,"")))</f>
        <v>215.458333333333</v>
      </c>
      <c r="L70" s="40" t="n">
        <f aca="false">IF(ISNUMBER($K70),$K70*$H70,"")</f>
        <v>40.9370833333333</v>
      </c>
      <c r="M70" s="40" t="n">
        <f aca="false">IF(ISNUMBER($K70),$K70*Parâmetros!$B$8,"")</f>
        <v>21.5458333333333</v>
      </c>
      <c r="N70" s="40" t="n">
        <f aca="false">IF(ISNUMBER($K70),$K70*Parâmetros!$C$8,"")</f>
        <v>6.46375</v>
      </c>
      <c r="O70" s="40" t="n">
        <f aca="false">IF(ISNUMBER($K70),IF(ISNUMBER(Parâmetros!$E$8),Parâmetros!$E$8,0),"")</f>
        <v>0</v>
      </c>
      <c r="P70" s="41" t="n">
        <f aca="false">IF(ISNUMBER($K70),$K70-$D70-IF(ISNUMBER($E70),$E70,0)-$L70-$M70-$N70-$O70,"")</f>
        <v>43.0916666666667</v>
      </c>
      <c r="Q70" s="42" t="n">
        <f aca="false">IF(AND(ISNUMBER($K70),$K70&gt;0),$P70/$K70,"")</f>
        <v>0.2</v>
      </c>
      <c r="R70" s="43"/>
      <c r="S70" s="44" t="str">
        <f aca="false">IF(OR(NOT(ISNUMBER($R70)),$R70=0,NOT(ISNUMBER($K70))),"",$K70*(1-$R70))</f>
        <v/>
      </c>
      <c r="T70" s="45" t="str">
        <f aca="false">IF(ISNUMBER($S70),$S70*$H70,"")</f>
        <v/>
      </c>
      <c r="U70" s="45" t="str">
        <f aca="false">IF(ISNUMBER($S70),$S70*Parâmetros!$B$8,"")</f>
        <v/>
      </c>
      <c r="V70" s="45" t="str">
        <f aca="false">IF(ISNUMBER($S70),$S70*Parâmetros!$C$8,"")</f>
        <v/>
      </c>
      <c r="W70" s="44" t="str">
        <f aca="false">IF(ISNUMBER($S70),$S70-$D70-IF(ISNUMBER($E70),$E70,0)-$O70-$T70-$U70-$V70,"")</f>
        <v/>
      </c>
      <c r="X70" s="46" t="str">
        <f aca="false">IF(AND(ISNUMBER($S70),$S70&gt;0),$W70/$S70,"")</f>
        <v/>
      </c>
      <c r="Y70" s="47"/>
      <c r="Z70" s="19"/>
    </row>
    <row r="71" customFormat="false" ht="15.75" hidden="false" customHeight="true" outlineLevel="0" collapsed="false">
      <c r="A71" s="48" t="str">
        <f aca="false">IF(Produtos!$A71="","",Produtos!$A71)</f>
        <v>L2440-B</v>
      </c>
      <c r="B71" s="48" t="str">
        <f aca="false">IF(Produtos!$A71="","",Produtos!$B71)</f>
        <v>Lixeira c/Aro Basculante 24x40 20L</v>
      </c>
      <c r="C71" s="48" t="str">
        <f aca="false">IF(Produtos!$A71="","",Produtos!$C71)</f>
        <v>Lixeiras em inox</v>
      </c>
      <c r="D71" s="33" t="n">
        <f aca="false">IF(Produtos!$A71="","",IF(Produtos!$D71="","",Produtos!$D71))</f>
        <v>120.51</v>
      </c>
      <c r="E71" s="11" t="n">
        <v>0</v>
      </c>
      <c r="F71" s="34" t="n">
        <f aca="false">IF($A71="","",IF($C71="","⚠ categoria",IFERROR(INDEX(Parâmetros!$F$13:$F$22,MATCH($C71,Parâmetros!$A$13:$A$22,0)),"⚠ categoria")))</f>
        <v>0.19</v>
      </c>
      <c r="G71" s="35"/>
      <c r="H71" s="36" t="n">
        <f aca="false">IF($A71="","",IF(ISNUMBER($G71),$G71,IF(ISNUMBER($F71),$F71,"")))</f>
        <v>0.19</v>
      </c>
      <c r="I71" s="37" t="n">
        <f aca="false">IF(OR($A71="",NOT(ISNUMBER($D71)),NOT(ISNUMBER($H71))),"",IF((1-$H71-Parâmetros!$B$8-Parâmetros!$C$8-Parâmetros!$D$8)&lt;=0,"INVALIDO",($D71+IF(ISNUMBER($E71),$E71,0)+IF(ISNUMBER(Parâmetros!$E$8),Parâmetros!$E$8,0))/(1-$H71-Parâmetros!$B$8-Parâmetros!$C$8-Parâmetros!$D$8)))</f>
        <v>251.0625</v>
      </c>
      <c r="J71" s="38"/>
      <c r="K71" s="39" t="n">
        <f aca="false">IF(OR($A71="",NOT(ISNUMBER($D71)),NOT(ISNUMBER($H71))),"",IF(AND(ISNUMBER($J71),$J71&gt;0),$J71,IF(ISNUMBER($I71),$I71,"")))</f>
        <v>251.0625</v>
      </c>
      <c r="L71" s="40" t="n">
        <f aca="false">IF(ISNUMBER($K71),$K71*$H71,"")</f>
        <v>47.701875</v>
      </c>
      <c r="M71" s="40" t="n">
        <f aca="false">IF(ISNUMBER($K71),$K71*Parâmetros!$B$8,"")</f>
        <v>25.10625</v>
      </c>
      <c r="N71" s="40" t="n">
        <f aca="false">IF(ISNUMBER($K71),$K71*Parâmetros!$C$8,"")</f>
        <v>7.531875</v>
      </c>
      <c r="O71" s="40" t="n">
        <f aca="false">IF(ISNUMBER($K71),IF(ISNUMBER(Parâmetros!$E$8),Parâmetros!$E$8,0),"")</f>
        <v>0</v>
      </c>
      <c r="P71" s="41" t="n">
        <f aca="false">IF(ISNUMBER($K71),$K71-$D71-IF(ISNUMBER($E71),$E71,0)-$L71-$M71-$N71-$O71,"")</f>
        <v>50.2125</v>
      </c>
      <c r="Q71" s="42" t="n">
        <f aca="false">IF(AND(ISNUMBER($K71),$K71&gt;0),$P71/$K71,"")</f>
        <v>0.2</v>
      </c>
      <c r="R71" s="43"/>
      <c r="S71" s="44" t="str">
        <f aca="false">IF(OR(NOT(ISNUMBER($R71)),$R71=0,NOT(ISNUMBER($K71))),"",$K71*(1-$R71))</f>
        <v/>
      </c>
      <c r="T71" s="45" t="str">
        <f aca="false">IF(ISNUMBER($S71),$S71*$H71,"")</f>
        <v/>
      </c>
      <c r="U71" s="45" t="str">
        <f aca="false">IF(ISNUMBER($S71),$S71*Parâmetros!$B$8,"")</f>
        <v/>
      </c>
      <c r="V71" s="45" t="str">
        <f aca="false">IF(ISNUMBER($S71),$S71*Parâmetros!$C$8,"")</f>
        <v/>
      </c>
      <c r="W71" s="44" t="str">
        <f aca="false">IF(ISNUMBER($S71),$S71-$D71-IF(ISNUMBER($E71),$E71,0)-$O71-$T71-$U71-$V71,"")</f>
        <v/>
      </c>
      <c r="X71" s="46" t="str">
        <f aca="false">IF(AND(ISNUMBER($S71),$S71&gt;0),$W71/$S71,"")</f>
        <v/>
      </c>
      <c r="Y71" s="49"/>
      <c r="Z71" s="21"/>
    </row>
    <row r="72" customFormat="false" ht="15.75" hidden="false" customHeight="true" outlineLevel="0" collapsed="false">
      <c r="A72" s="32" t="str">
        <f aca="false">IF(Produtos!$A72="","",Produtos!$A72)</f>
        <v>L2450-B</v>
      </c>
      <c r="B72" s="32" t="str">
        <f aca="false">IF(Produtos!$A72="","",Produtos!$B72)</f>
        <v>Lixeira c/Aro Basculante 24x50 25L</v>
      </c>
      <c r="C72" s="32" t="str">
        <f aca="false">IF(Produtos!$A72="","",Produtos!$C72)</f>
        <v>Lixeiras em inox</v>
      </c>
      <c r="D72" s="33" t="n">
        <f aca="false">IF(Produtos!$A72="","",IF(Produtos!$D72="","",Produtos!$D72))</f>
        <v>151.31</v>
      </c>
      <c r="E72" s="11" t="n">
        <v>0</v>
      </c>
      <c r="F72" s="34" t="n">
        <f aca="false">IF($A72="","",IF($C72="","⚠ categoria",IFERROR(INDEX(Parâmetros!$F$13:$F$22,MATCH($C72,Parâmetros!$A$13:$A$22,0)),"⚠ categoria")))</f>
        <v>0.19</v>
      </c>
      <c r="G72" s="35"/>
      <c r="H72" s="36" t="n">
        <f aca="false">IF($A72="","",IF(ISNUMBER($G72),$G72,IF(ISNUMBER($F72),$F72,"")))</f>
        <v>0.19</v>
      </c>
      <c r="I72" s="37" t="n">
        <f aca="false">IF(OR($A72="",NOT(ISNUMBER($D72)),NOT(ISNUMBER($H72))),"",IF((1-$H72-Parâmetros!$B$8-Parâmetros!$C$8-Parâmetros!$D$8)&lt;=0,"INVALIDO",($D72+IF(ISNUMBER($E72),$E72,0)+IF(ISNUMBER(Parâmetros!$E$8),Parâmetros!$E$8,0))/(1-$H72-Parâmetros!$B$8-Parâmetros!$C$8-Parâmetros!$D$8)))</f>
        <v>315.229166666667</v>
      </c>
      <c r="J72" s="38"/>
      <c r="K72" s="39" t="n">
        <f aca="false">IF(OR($A72="",NOT(ISNUMBER($D72)),NOT(ISNUMBER($H72))),"",IF(AND(ISNUMBER($J72),$J72&gt;0),$J72,IF(ISNUMBER($I72),$I72,"")))</f>
        <v>315.229166666667</v>
      </c>
      <c r="L72" s="40" t="n">
        <f aca="false">IF(ISNUMBER($K72),$K72*$H72,"")</f>
        <v>59.8935416666667</v>
      </c>
      <c r="M72" s="40" t="n">
        <f aca="false">IF(ISNUMBER($K72),$K72*Parâmetros!$B$8,"")</f>
        <v>31.5229166666667</v>
      </c>
      <c r="N72" s="40" t="n">
        <f aca="false">IF(ISNUMBER($K72),$K72*Parâmetros!$C$8,"")</f>
        <v>9.456875</v>
      </c>
      <c r="O72" s="40" t="n">
        <f aca="false">IF(ISNUMBER($K72),IF(ISNUMBER(Parâmetros!$E$8),Parâmetros!$E$8,0),"")</f>
        <v>0</v>
      </c>
      <c r="P72" s="41" t="n">
        <f aca="false">IF(ISNUMBER($K72),$K72-$D72-IF(ISNUMBER($E72),$E72,0)-$L72-$M72-$N72-$O72,"")</f>
        <v>63.0458333333333</v>
      </c>
      <c r="Q72" s="42" t="n">
        <f aca="false">IF(AND(ISNUMBER($K72),$K72&gt;0),$P72/$K72,"")</f>
        <v>0.2</v>
      </c>
      <c r="R72" s="43"/>
      <c r="S72" s="44" t="str">
        <f aca="false">IF(OR(NOT(ISNUMBER($R72)),$R72=0,NOT(ISNUMBER($K72))),"",$K72*(1-$R72))</f>
        <v/>
      </c>
      <c r="T72" s="45" t="str">
        <f aca="false">IF(ISNUMBER($S72),$S72*$H72,"")</f>
        <v/>
      </c>
      <c r="U72" s="45" t="str">
        <f aca="false">IF(ISNUMBER($S72),$S72*Parâmetros!$B$8,"")</f>
        <v/>
      </c>
      <c r="V72" s="45" t="str">
        <f aca="false">IF(ISNUMBER($S72),$S72*Parâmetros!$C$8,"")</f>
        <v/>
      </c>
      <c r="W72" s="44" t="str">
        <f aca="false">IF(ISNUMBER($S72),$S72-$D72-IF(ISNUMBER($E72),$E72,0)-$O72-$T72-$U72-$V72,"")</f>
        <v/>
      </c>
      <c r="X72" s="46" t="str">
        <f aca="false">IF(AND(ISNUMBER($S72),$S72&gt;0),$W72/$S72,"")</f>
        <v/>
      </c>
      <c r="Y72" s="47"/>
      <c r="Z72" s="19"/>
    </row>
    <row r="73" customFormat="false" ht="15.75" hidden="false" customHeight="true" outlineLevel="0" collapsed="false">
      <c r="A73" s="48" t="str">
        <f aca="false">IF(Produtos!$A73="","",Produtos!$A73)</f>
        <v>L2460-B</v>
      </c>
      <c r="B73" s="48" t="str">
        <f aca="false">IF(Produtos!$A73="","",Produtos!$B73)</f>
        <v>Lixeira c/Aro Basculante 24x60 27L</v>
      </c>
      <c r="C73" s="48" t="str">
        <f aca="false">IF(Produtos!$A73="","",Produtos!$C73)</f>
        <v>Lixeiras em inox</v>
      </c>
      <c r="D73" s="33" t="n">
        <f aca="false">IF(Produtos!$A73="","",IF(Produtos!$D73="","",Produtos!$D73))</f>
        <v>152.83</v>
      </c>
      <c r="E73" s="11" t="n">
        <v>0</v>
      </c>
      <c r="F73" s="34" t="n">
        <f aca="false">IF($A73="","",IF($C73="","⚠ categoria",IFERROR(INDEX(Parâmetros!$F$13:$F$22,MATCH($C73,Parâmetros!$A$13:$A$22,0)),"⚠ categoria")))</f>
        <v>0.19</v>
      </c>
      <c r="G73" s="35"/>
      <c r="H73" s="36" t="n">
        <f aca="false">IF($A73="","",IF(ISNUMBER($G73),$G73,IF(ISNUMBER($F73),$F73,"")))</f>
        <v>0.19</v>
      </c>
      <c r="I73" s="37" t="n">
        <f aca="false">IF(OR($A73="",NOT(ISNUMBER($D73)),NOT(ISNUMBER($H73))),"",IF((1-$H73-Parâmetros!$B$8-Parâmetros!$C$8-Parâmetros!$D$8)&lt;=0,"INVALIDO",($D73+IF(ISNUMBER($E73),$E73,0)+IF(ISNUMBER(Parâmetros!$E$8),Parâmetros!$E$8,0))/(1-$H73-Parâmetros!$B$8-Parâmetros!$C$8-Parâmetros!$D$8)))</f>
        <v>318.395833333333</v>
      </c>
      <c r="J73" s="38"/>
      <c r="K73" s="39" t="n">
        <f aca="false">IF(OR($A73="",NOT(ISNUMBER($D73)),NOT(ISNUMBER($H73))),"",IF(AND(ISNUMBER($J73),$J73&gt;0),$J73,IF(ISNUMBER($I73),$I73,"")))</f>
        <v>318.395833333333</v>
      </c>
      <c r="L73" s="40" t="n">
        <f aca="false">IF(ISNUMBER($K73),$K73*$H73,"")</f>
        <v>60.4952083333333</v>
      </c>
      <c r="M73" s="40" t="n">
        <f aca="false">IF(ISNUMBER($K73),$K73*Parâmetros!$B$8,"")</f>
        <v>31.8395833333333</v>
      </c>
      <c r="N73" s="40" t="n">
        <f aca="false">IF(ISNUMBER($K73),$K73*Parâmetros!$C$8,"")</f>
        <v>9.551875</v>
      </c>
      <c r="O73" s="40" t="n">
        <f aca="false">IF(ISNUMBER($K73),IF(ISNUMBER(Parâmetros!$E$8),Parâmetros!$E$8,0),"")</f>
        <v>0</v>
      </c>
      <c r="P73" s="41" t="n">
        <f aca="false">IF(ISNUMBER($K73),$K73-$D73-IF(ISNUMBER($E73),$E73,0)-$L73-$M73-$N73-$O73,"")</f>
        <v>63.6791666666666</v>
      </c>
      <c r="Q73" s="42" t="n">
        <f aca="false">IF(AND(ISNUMBER($K73),$K73&gt;0),$P73/$K73,"")</f>
        <v>0.2</v>
      </c>
      <c r="R73" s="43"/>
      <c r="S73" s="44" t="str">
        <f aca="false">IF(OR(NOT(ISNUMBER($R73)),$R73=0,NOT(ISNUMBER($K73))),"",$K73*(1-$R73))</f>
        <v/>
      </c>
      <c r="T73" s="45" t="str">
        <f aca="false">IF(ISNUMBER($S73),$S73*$H73,"")</f>
        <v/>
      </c>
      <c r="U73" s="45" t="str">
        <f aca="false">IF(ISNUMBER($S73),$S73*Parâmetros!$B$8,"")</f>
        <v/>
      </c>
      <c r="V73" s="45" t="str">
        <f aca="false">IF(ISNUMBER($S73),$S73*Parâmetros!$C$8,"")</f>
        <v/>
      </c>
      <c r="W73" s="44" t="str">
        <f aca="false">IF(ISNUMBER($S73),$S73-$D73-IF(ISNUMBER($E73),$E73,0)-$O73-$T73-$U73-$V73,"")</f>
        <v/>
      </c>
      <c r="X73" s="46" t="str">
        <f aca="false">IF(AND(ISNUMBER($S73),$S73&gt;0),$W73/$S73,"")</f>
        <v/>
      </c>
      <c r="Y73" s="49"/>
      <c r="Z73" s="21"/>
    </row>
    <row r="74" customFormat="false" ht="15.75" hidden="false" customHeight="true" outlineLevel="0" collapsed="false">
      <c r="A74" s="32" t="str">
        <f aca="false">IF(Produtos!$A74="","",Produtos!$A74)</f>
        <v>L2470-B</v>
      </c>
      <c r="B74" s="32" t="str">
        <f aca="false">IF(Produtos!$A74="","",Produtos!$B74)</f>
        <v>Lixeira c/Aro Basculante 24x70 30L</v>
      </c>
      <c r="C74" s="32" t="str">
        <f aca="false">IF(Produtos!$A74="","",Produtos!$C74)</f>
        <v>Lixeiras em inox</v>
      </c>
      <c r="D74" s="33" t="n">
        <f aca="false">IF(Produtos!$A74="","",IF(Produtos!$D74="","",Produtos!$D74))</f>
        <v>211.1</v>
      </c>
      <c r="E74" s="11" t="n">
        <v>0</v>
      </c>
      <c r="F74" s="34" t="n">
        <f aca="false">IF($A74="","",IF($C74="","⚠ categoria",IFERROR(INDEX(Parâmetros!$F$13:$F$22,MATCH($C74,Parâmetros!$A$13:$A$22,0)),"⚠ categoria")))</f>
        <v>0.19</v>
      </c>
      <c r="G74" s="35"/>
      <c r="H74" s="36" t="n">
        <f aca="false">IF($A74="","",IF(ISNUMBER($G74),$G74,IF(ISNUMBER($F74),$F74,"")))</f>
        <v>0.19</v>
      </c>
      <c r="I74" s="37" t="n">
        <f aca="false">IF(OR($A74="",NOT(ISNUMBER($D74)),NOT(ISNUMBER($H74))),"",IF((1-$H74-Parâmetros!$B$8-Parâmetros!$C$8-Parâmetros!$D$8)&lt;=0,"INVALIDO",($D74+IF(ISNUMBER($E74),$E74,0)+IF(ISNUMBER(Parâmetros!$E$8),Parâmetros!$E$8,0))/(1-$H74-Parâmetros!$B$8-Parâmetros!$C$8-Parâmetros!$D$8)))</f>
        <v>439.791666666667</v>
      </c>
      <c r="J74" s="38"/>
      <c r="K74" s="39" t="n">
        <f aca="false">IF(OR($A74="",NOT(ISNUMBER($D74)),NOT(ISNUMBER($H74))),"",IF(AND(ISNUMBER($J74),$J74&gt;0),$J74,IF(ISNUMBER($I74),$I74,"")))</f>
        <v>439.791666666667</v>
      </c>
      <c r="L74" s="40" t="n">
        <f aca="false">IF(ISNUMBER($K74),$K74*$H74,"")</f>
        <v>83.5604166666667</v>
      </c>
      <c r="M74" s="40" t="n">
        <f aca="false">IF(ISNUMBER($K74),$K74*Parâmetros!$B$8,"")</f>
        <v>43.9791666666667</v>
      </c>
      <c r="N74" s="40" t="n">
        <f aca="false">IF(ISNUMBER($K74),$K74*Parâmetros!$C$8,"")</f>
        <v>13.19375</v>
      </c>
      <c r="O74" s="40" t="n">
        <f aca="false">IF(ISNUMBER($K74),IF(ISNUMBER(Parâmetros!$E$8),Parâmetros!$E$8,0),"")</f>
        <v>0</v>
      </c>
      <c r="P74" s="41" t="n">
        <f aca="false">IF(ISNUMBER($K74),$K74-$D74-IF(ISNUMBER($E74),$E74,0)-$L74-$M74-$N74-$O74,"")</f>
        <v>87.9583333333333</v>
      </c>
      <c r="Q74" s="42" t="n">
        <f aca="false">IF(AND(ISNUMBER($K74),$K74&gt;0),$P74/$K74,"")</f>
        <v>0.2</v>
      </c>
      <c r="R74" s="43"/>
      <c r="S74" s="44" t="str">
        <f aca="false">IF(OR(NOT(ISNUMBER($R74)),$R74=0,NOT(ISNUMBER($K74))),"",$K74*(1-$R74))</f>
        <v/>
      </c>
      <c r="T74" s="45" t="str">
        <f aca="false">IF(ISNUMBER($S74),$S74*$H74,"")</f>
        <v/>
      </c>
      <c r="U74" s="45" t="str">
        <f aca="false">IF(ISNUMBER($S74),$S74*Parâmetros!$B$8,"")</f>
        <v/>
      </c>
      <c r="V74" s="45" t="str">
        <f aca="false">IF(ISNUMBER($S74),$S74*Parâmetros!$C$8,"")</f>
        <v/>
      </c>
      <c r="W74" s="44" t="str">
        <f aca="false">IF(ISNUMBER($S74),$S74-$D74-IF(ISNUMBER($E74),$E74,0)-$O74-$T74-$U74-$V74,"")</f>
        <v/>
      </c>
      <c r="X74" s="46" t="str">
        <f aca="false">IF(AND(ISNUMBER($S74),$S74&gt;0),$W74/$S74,"")</f>
        <v/>
      </c>
      <c r="Y74" s="47"/>
      <c r="Z74" s="19"/>
    </row>
    <row r="75" customFormat="false" ht="15.75" hidden="false" customHeight="true" outlineLevel="0" collapsed="false">
      <c r="A75" s="48" t="str">
        <f aca="false">IF(Produtos!$A75="","",Produtos!$A75)</f>
        <v>L3040-B</v>
      </c>
      <c r="B75" s="48" t="str">
        <f aca="false">IF(Produtos!$A75="","",Produtos!$B75)</f>
        <v>Lixeira c/Aro Basculante 30x40 30L</v>
      </c>
      <c r="C75" s="48" t="str">
        <f aca="false">IF(Produtos!$A75="","",Produtos!$C75)</f>
        <v>Lixeiras em inox</v>
      </c>
      <c r="D75" s="33" t="n">
        <f aca="false">IF(Produtos!$A75="","",IF(Produtos!$D75="","",Produtos!$D75))</f>
        <v>172.54</v>
      </c>
      <c r="E75" s="11" t="n">
        <v>0</v>
      </c>
      <c r="F75" s="34" t="n">
        <f aca="false">IF($A75="","",IF($C75="","⚠ categoria",IFERROR(INDEX(Parâmetros!$F$13:$F$22,MATCH($C75,Parâmetros!$A$13:$A$22,0)),"⚠ categoria")))</f>
        <v>0.19</v>
      </c>
      <c r="G75" s="35"/>
      <c r="H75" s="36" t="n">
        <f aca="false">IF($A75="","",IF(ISNUMBER($G75),$G75,IF(ISNUMBER($F75),$F75,"")))</f>
        <v>0.19</v>
      </c>
      <c r="I75" s="37" t="n">
        <f aca="false">IF(OR($A75="",NOT(ISNUMBER($D75)),NOT(ISNUMBER($H75))),"",IF((1-$H75-Parâmetros!$B$8-Parâmetros!$C$8-Parâmetros!$D$8)&lt;=0,"INVALIDO",($D75+IF(ISNUMBER($E75),$E75,0)+IF(ISNUMBER(Parâmetros!$E$8),Parâmetros!$E$8,0))/(1-$H75-Parâmetros!$B$8-Parâmetros!$C$8-Parâmetros!$D$8)))</f>
        <v>359.458333333333</v>
      </c>
      <c r="J75" s="38"/>
      <c r="K75" s="39" t="n">
        <f aca="false">IF(OR($A75="",NOT(ISNUMBER($D75)),NOT(ISNUMBER($H75))),"",IF(AND(ISNUMBER($J75),$J75&gt;0),$J75,IF(ISNUMBER($I75),$I75,"")))</f>
        <v>359.458333333333</v>
      </c>
      <c r="L75" s="40" t="n">
        <f aca="false">IF(ISNUMBER($K75),$K75*$H75,"")</f>
        <v>68.2970833333333</v>
      </c>
      <c r="M75" s="40" t="n">
        <f aca="false">IF(ISNUMBER($K75),$K75*Parâmetros!$B$8,"")</f>
        <v>35.9458333333333</v>
      </c>
      <c r="N75" s="40" t="n">
        <f aca="false">IF(ISNUMBER($K75),$K75*Parâmetros!$C$8,"")</f>
        <v>10.78375</v>
      </c>
      <c r="O75" s="40" t="n">
        <f aca="false">IF(ISNUMBER($K75),IF(ISNUMBER(Parâmetros!$E$8),Parâmetros!$E$8,0),"")</f>
        <v>0</v>
      </c>
      <c r="P75" s="41" t="n">
        <f aca="false">IF(ISNUMBER($K75),$K75-$D75-IF(ISNUMBER($E75),$E75,0)-$L75-$M75-$N75-$O75,"")</f>
        <v>71.8916666666667</v>
      </c>
      <c r="Q75" s="42" t="n">
        <f aca="false">IF(AND(ISNUMBER($K75),$K75&gt;0),$P75/$K75,"")</f>
        <v>0.2</v>
      </c>
      <c r="R75" s="43"/>
      <c r="S75" s="44" t="str">
        <f aca="false">IF(OR(NOT(ISNUMBER($R75)),$R75=0,NOT(ISNUMBER($K75))),"",$K75*(1-$R75))</f>
        <v/>
      </c>
      <c r="T75" s="45" t="str">
        <f aca="false">IF(ISNUMBER($S75),$S75*$H75,"")</f>
        <v/>
      </c>
      <c r="U75" s="45" t="str">
        <f aca="false">IF(ISNUMBER($S75),$S75*Parâmetros!$B$8,"")</f>
        <v/>
      </c>
      <c r="V75" s="45" t="str">
        <f aca="false">IF(ISNUMBER($S75),$S75*Parâmetros!$C$8,"")</f>
        <v/>
      </c>
      <c r="W75" s="44" t="str">
        <f aca="false">IF(ISNUMBER($S75),$S75-$D75-IF(ISNUMBER($E75),$E75,0)-$O75-$T75-$U75-$V75,"")</f>
        <v/>
      </c>
      <c r="X75" s="46" t="str">
        <f aca="false">IF(AND(ISNUMBER($S75),$S75&gt;0),$W75/$S75,"")</f>
        <v/>
      </c>
      <c r="Y75" s="49"/>
      <c r="Z75" s="21"/>
    </row>
    <row r="76" customFormat="false" ht="15.75" hidden="false" customHeight="true" outlineLevel="0" collapsed="false">
      <c r="A76" s="32" t="str">
        <f aca="false">IF(Produtos!$A76="","",Produtos!$A76)</f>
        <v>L3050-B</v>
      </c>
      <c r="B76" s="32" t="str">
        <f aca="false">IF(Produtos!$A76="","",Produtos!$B76)</f>
        <v>Lixeira c/Aro Basculante 30x50 35L</v>
      </c>
      <c r="C76" s="32" t="str">
        <f aca="false">IF(Produtos!$A76="","",Produtos!$C76)</f>
        <v>Lixeiras em inox</v>
      </c>
      <c r="D76" s="33" t="n">
        <f aca="false">IF(Produtos!$A76="","",IF(Produtos!$D76="","",Produtos!$D76))</f>
        <v>216.99</v>
      </c>
      <c r="E76" s="11" t="n">
        <v>0</v>
      </c>
      <c r="F76" s="34" t="n">
        <f aca="false">IF($A76="","",IF($C76="","⚠ categoria",IFERROR(INDEX(Parâmetros!$F$13:$F$22,MATCH($C76,Parâmetros!$A$13:$A$22,0)),"⚠ categoria")))</f>
        <v>0.19</v>
      </c>
      <c r="G76" s="35"/>
      <c r="H76" s="36" t="n">
        <f aca="false">IF($A76="","",IF(ISNUMBER($G76),$G76,IF(ISNUMBER($F76),$F76,"")))</f>
        <v>0.19</v>
      </c>
      <c r="I76" s="37" t="n">
        <f aca="false">IF(OR($A76="",NOT(ISNUMBER($D76)),NOT(ISNUMBER($H76))),"",IF((1-$H76-Parâmetros!$B$8-Parâmetros!$C$8-Parâmetros!$D$8)&lt;=0,"INVALIDO",($D76+IF(ISNUMBER($E76),$E76,0)+IF(ISNUMBER(Parâmetros!$E$8),Parâmetros!$E$8,0))/(1-$H76-Parâmetros!$B$8-Parâmetros!$C$8-Parâmetros!$D$8)))</f>
        <v>452.0625</v>
      </c>
      <c r="J76" s="38"/>
      <c r="K76" s="39" t="n">
        <f aca="false">IF(OR($A76="",NOT(ISNUMBER($D76)),NOT(ISNUMBER($H76))),"",IF(AND(ISNUMBER($J76),$J76&gt;0),$J76,IF(ISNUMBER($I76),$I76,"")))</f>
        <v>452.0625</v>
      </c>
      <c r="L76" s="40" t="n">
        <f aca="false">IF(ISNUMBER($K76),$K76*$H76,"")</f>
        <v>85.891875</v>
      </c>
      <c r="M76" s="40" t="n">
        <f aca="false">IF(ISNUMBER($K76),$K76*Parâmetros!$B$8,"")</f>
        <v>45.20625</v>
      </c>
      <c r="N76" s="40" t="n">
        <f aca="false">IF(ISNUMBER($K76),$K76*Parâmetros!$C$8,"")</f>
        <v>13.561875</v>
      </c>
      <c r="O76" s="40" t="n">
        <f aca="false">IF(ISNUMBER($K76),IF(ISNUMBER(Parâmetros!$E$8),Parâmetros!$E$8,0),"")</f>
        <v>0</v>
      </c>
      <c r="P76" s="41" t="n">
        <f aca="false">IF(ISNUMBER($K76),$K76-$D76-IF(ISNUMBER($E76),$E76,0)-$L76-$M76-$N76-$O76,"")</f>
        <v>90.4125</v>
      </c>
      <c r="Q76" s="42" t="n">
        <f aca="false">IF(AND(ISNUMBER($K76),$K76&gt;0),$P76/$K76,"")</f>
        <v>0.2</v>
      </c>
      <c r="R76" s="43"/>
      <c r="S76" s="44" t="str">
        <f aca="false">IF(OR(NOT(ISNUMBER($R76)),$R76=0,NOT(ISNUMBER($K76))),"",$K76*(1-$R76))</f>
        <v/>
      </c>
      <c r="T76" s="45" t="str">
        <f aca="false">IF(ISNUMBER($S76),$S76*$H76,"")</f>
        <v/>
      </c>
      <c r="U76" s="45" t="str">
        <f aca="false">IF(ISNUMBER($S76),$S76*Parâmetros!$B$8,"")</f>
        <v/>
      </c>
      <c r="V76" s="45" t="str">
        <f aca="false">IF(ISNUMBER($S76),$S76*Parâmetros!$C$8,"")</f>
        <v/>
      </c>
      <c r="W76" s="44" t="str">
        <f aca="false">IF(ISNUMBER($S76),$S76-$D76-IF(ISNUMBER($E76),$E76,0)-$O76-$T76-$U76-$V76,"")</f>
        <v/>
      </c>
      <c r="X76" s="46" t="str">
        <f aca="false">IF(AND(ISNUMBER($S76),$S76&gt;0),$W76/$S76,"")</f>
        <v/>
      </c>
      <c r="Y76" s="47"/>
      <c r="Z76" s="19"/>
    </row>
    <row r="77" customFormat="false" ht="15.75" hidden="false" customHeight="true" outlineLevel="0" collapsed="false">
      <c r="A77" s="48" t="str">
        <f aca="false">IF(Produtos!$A77="","",Produtos!$A77)</f>
        <v>L3060-B</v>
      </c>
      <c r="B77" s="48" t="str">
        <f aca="false">IF(Produtos!$A77="","",Produtos!$B77)</f>
        <v>Lixeira c/Aro Basculante 30x60 40L</v>
      </c>
      <c r="C77" s="48" t="str">
        <f aca="false">IF(Produtos!$A77="","",Produtos!$C77)</f>
        <v>Lixeiras em inox</v>
      </c>
      <c r="D77" s="33" t="n">
        <f aca="false">IF(Produtos!$A77="","",IF(Produtos!$D77="","",Produtos!$D77))</f>
        <v>222.41</v>
      </c>
      <c r="E77" s="11" t="n">
        <v>0</v>
      </c>
      <c r="F77" s="34" t="n">
        <f aca="false">IF($A77="","",IF($C77="","⚠ categoria",IFERROR(INDEX(Parâmetros!$F$13:$F$22,MATCH($C77,Parâmetros!$A$13:$A$22,0)),"⚠ categoria")))</f>
        <v>0.19</v>
      </c>
      <c r="G77" s="35"/>
      <c r="H77" s="36" t="n">
        <f aca="false">IF($A77="","",IF(ISNUMBER($G77),$G77,IF(ISNUMBER($F77),$F77,"")))</f>
        <v>0.19</v>
      </c>
      <c r="I77" s="37" t="n">
        <f aca="false">IF(OR($A77="",NOT(ISNUMBER($D77)),NOT(ISNUMBER($H77))),"",IF((1-$H77-Parâmetros!$B$8-Parâmetros!$C$8-Parâmetros!$D$8)&lt;=0,"INVALIDO",($D77+IF(ISNUMBER($E77),$E77,0)+IF(ISNUMBER(Parâmetros!$E$8),Parâmetros!$E$8,0))/(1-$H77-Parâmetros!$B$8-Parâmetros!$C$8-Parâmetros!$D$8)))</f>
        <v>463.354166666667</v>
      </c>
      <c r="J77" s="38"/>
      <c r="K77" s="39" t="n">
        <f aca="false">IF(OR($A77="",NOT(ISNUMBER($D77)),NOT(ISNUMBER($H77))),"",IF(AND(ISNUMBER($J77),$J77&gt;0),$J77,IF(ISNUMBER($I77),$I77,"")))</f>
        <v>463.354166666667</v>
      </c>
      <c r="L77" s="40" t="n">
        <f aca="false">IF(ISNUMBER($K77),$K77*$H77,"")</f>
        <v>88.0372916666667</v>
      </c>
      <c r="M77" s="40" t="n">
        <f aca="false">IF(ISNUMBER($K77),$K77*Parâmetros!$B$8,"")</f>
        <v>46.3354166666667</v>
      </c>
      <c r="N77" s="40" t="n">
        <f aca="false">IF(ISNUMBER($K77),$K77*Parâmetros!$C$8,"")</f>
        <v>13.900625</v>
      </c>
      <c r="O77" s="40" t="n">
        <f aca="false">IF(ISNUMBER($K77),IF(ISNUMBER(Parâmetros!$E$8),Parâmetros!$E$8,0),"")</f>
        <v>0</v>
      </c>
      <c r="P77" s="41" t="n">
        <f aca="false">IF(ISNUMBER($K77),$K77-$D77-IF(ISNUMBER($E77),$E77,0)-$L77-$M77-$N77-$O77,"")</f>
        <v>92.6708333333333</v>
      </c>
      <c r="Q77" s="42" t="n">
        <f aca="false">IF(AND(ISNUMBER($K77),$K77&gt;0),$P77/$K77,"")</f>
        <v>0.2</v>
      </c>
      <c r="R77" s="43"/>
      <c r="S77" s="44" t="str">
        <f aca="false">IF(OR(NOT(ISNUMBER($R77)),$R77=0,NOT(ISNUMBER($K77))),"",$K77*(1-$R77))</f>
        <v/>
      </c>
      <c r="T77" s="45" t="str">
        <f aca="false">IF(ISNUMBER($S77),$S77*$H77,"")</f>
        <v/>
      </c>
      <c r="U77" s="45" t="str">
        <f aca="false">IF(ISNUMBER($S77),$S77*Parâmetros!$B$8,"")</f>
        <v/>
      </c>
      <c r="V77" s="45" t="str">
        <f aca="false">IF(ISNUMBER($S77),$S77*Parâmetros!$C$8,"")</f>
        <v/>
      </c>
      <c r="W77" s="44" t="str">
        <f aca="false">IF(ISNUMBER($S77),$S77-$D77-IF(ISNUMBER($E77),$E77,0)-$O77-$T77-$U77-$V77,"")</f>
        <v/>
      </c>
      <c r="X77" s="46" t="str">
        <f aca="false">IF(AND(ISNUMBER($S77),$S77&gt;0),$W77/$S77,"")</f>
        <v/>
      </c>
      <c r="Y77" s="49"/>
      <c r="Z77" s="21"/>
    </row>
    <row r="78" customFormat="false" ht="15.75" hidden="false" customHeight="true" outlineLevel="0" collapsed="false">
      <c r="A78" s="32" t="str">
        <f aca="false">IF(Produtos!$A78="","",Produtos!$A78)</f>
        <v>L3070-B</v>
      </c>
      <c r="B78" s="32" t="str">
        <f aca="false">IF(Produtos!$A78="","",Produtos!$B78)</f>
        <v>Lixeira c/Aro Basculante 30x70 50L</v>
      </c>
      <c r="C78" s="32" t="str">
        <f aca="false">IF(Produtos!$A78="","",Produtos!$C78)</f>
        <v>Lixeiras em inox</v>
      </c>
      <c r="D78" s="33" t="n">
        <f aca="false">IF(Produtos!$A78="","",IF(Produtos!$D78="","",Produtos!$D78))</f>
        <v>279.42</v>
      </c>
      <c r="E78" s="11" t="n">
        <v>0</v>
      </c>
      <c r="F78" s="34" t="n">
        <f aca="false">IF($A78="","",IF($C78="","⚠ categoria",IFERROR(INDEX(Parâmetros!$F$13:$F$22,MATCH($C78,Parâmetros!$A$13:$A$22,0)),"⚠ categoria")))</f>
        <v>0.19</v>
      </c>
      <c r="G78" s="35"/>
      <c r="H78" s="36" t="n">
        <f aca="false">IF($A78="","",IF(ISNUMBER($G78),$G78,IF(ISNUMBER($F78),$F78,"")))</f>
        <v>0.19</v>
      </c>
      <c r="I78" s="37" t="n">
        <f aca="false">IF(OR($A78="",NOT(ISNUMBER($D78)),NOT(ISNUMBER($H78))),"",IF((1-$H78-Parâmetros!$B$8-Parâmetros!$C$8-Parâmetros!$D$8)&lt;=0,"INVALIDO",($D78+IF(ISNUMBER($E78),$E78,0)+IF(ISNUMBER(Parâmetros!$E$8),Parâmetros!$E$8,0))/(1-$H78-Parâmetros!$B$8-Parâmetros!$C$8-Parâmetros!$D$8)))</f>
        <v>582.125</v>
      </c>
      <c r="J78" s="38"/>
      <c r="K78" s="39" t="n">
        <f aca="false">IF(OR($A78="",NOT(ISNUMBER($D78)),NOT(ISNUMBER($H78))),"",IF(AND(ISNUMBER($J78),$J78&gt;0),$J78,IF(ISNUMBER($I78),$I78,"")))</f>
        <v>582.125</v>
      </c>
      <c r="L78" s="40" t="n">
        <f aca="false">IF(ISNUMBER($K78),$K78*$H78,"")</f>
        <v>110.60375</v>
      </c>
      <c r="M78" s="40" t="n">
        <f aca="false">IF(ISNUMBER($K78),$K78*Parâmetros!$B$8,"")</f>
        <v>58.2125</v>
      </c>
      <c r="N78" s="40" t="n">
        <f aca="false">IF(ISNUMBER($K78),$K78*Parâmetros!$C$8,"")</f>
        <v>17.46375</v>
      </c>
      <c r="O78" s="40" t="n">
        <f aca="false">IF(ISNUMBER($K78),IF(ISNUMBER(Parâmetros!$E$8),Parâmetros!$E$8,0),"")</f>
        <v>0</v>
      </c>
      <c r="P78" s="41" t="n">
        <f aca="false">IF(ISNUMBER($K78),$K78-$D78-IF(ISNUMBER($E78),$E78,0)-$L78-$M78-$N78-$O78,"")</f>
        <v>116.425</v>
      </c>
      <c r="Q78" s="42" t="n">
        <f aca="false">IF(AND(ISNUMBER($K78),$K78&gt;0),$P78/$K78,"")</f>
        <v>0.2</v>
      </c>
      <c r="R78" s="43"/>
      <c r="S78" s="44" t="str">
        <f aca="false">IF(OR(NOT(ISNUMBER($R78)),$R78=0,NOT(ISNUMBER($K78))),"",$K78*(1-$R78))</f>
        <v/>
      </c>
      <c r="T78" s="45" t="str">
        <f aca="false">IF(ISNUMBER($S78),$S78*$H78,"")</f>
        <v/>
      </c>
      <c r="U78" s="45" t="str">
        <f aca="false">IF(ISNUMBER($S78),$S78*Parâmetros!$B$8,"")</f>
        <v/>
      </c>
      <c r="V78" s="45" t="str">
        <f aca="false">IF(ISNUMBER($S78),$S78*Parâmetros!$C$8,"")</f>
        <v/>
      </c>
      <c r="W78" s="44" t="str">
        <f aca="false">IF(ISNUMBER($S78),$S78-$D78-IF(ISNUMBER($E78),$E78,0)-$O78-$T78-$U78-$V78,"")</f>
        <v/>
      </c>
      <c r="X78" s="46" t="str">
        <f aca="false">IF(AND(ISNUMBER($S78),$S78&gt;0),$W78/$S78,"")</f>
        <v/>
      </c>
      <c r="Y78" s="47"/>
      <c r="Z78" s="19"/>
    </row>
    <row r="79" customFormat="false" ht="15.75" hidden="false" customHeight="true" outlineLevel="0" collapsed="false">
      <c r="A79" s="48" t="str">
        <f aca="false">IF(Produtos!$A79="","",Produtos!$A79)</f>
        <v>L3085-B</v>
      </c>
      <c r="B79" s="48" t="str">
        <f aca="false">IF(Produtos!$A79="","",Produtos!$B79)</f>
        <v>Lixeira c/Aro Basculante 30x85 60L</v>
      </c>
      <c r="C79" s="48" t="str">
        <f aca="false">IF(Produtos!$A79="","",Produtos!$C79)</f>
        <v>Lixeiras em inox</v>
      </c>
      <c r="D79" s="33" t="n">
        <f aca="false">IF(Produtos!$A79="","",IF(Produtos!$D79="","",Produtos!$D79))</f>
        <v>341.01</v>
      </c>
      <c r="E79" s="11" t="n">
        <v>0</v>
      </c>
      <c r="F79" s="34" t="n">
        <f aca="false">IF($A79="","",IF($C79="","⚠ categoria",IFERROR(INDEX(Parâmetros!$F$13:$F$22,MATCH($C79,Parâmetros!$A$13:$A$22,0)),"⚠ categoria")))</f>
        <v>0.19</v>
      </c>
      <c r="G79" s="35"/>
      <c r="H79" s="36" t="n">
        <f aca="false">IF($A79="","",IF(ISNUMBER($G79),$G79,IF(ISNUMBER($F79),$F79,"")))</f>
        <v>0.19</v>
      </c>
      <c r="I79" s="37" t="n">
        <f aca="false">IF(OR($A79="",NOT(ISNUMBER($D79)),NOT(ISNUMBER($H79))),"",IF((1-$H79-Parâmetros!$B$8-Parâmetros!$C$8-Parâmetros!$D$8)&lt;=0,"INVALIDO",($D79+IF(ISNUMBER($E79),$E79,0)+IF(ISNUMBER(Parâmetros!$E$8),Parâmetros!$E$8,0))/(1-$H79-Parâmetros!$B$8-Parâmetros!$C$8-Parâmetros!$D$8)))</f>
        <v>710.4375</v>
      </c>
      <c r="J79" s="38"/>
      <c r="K79" s="39" t="n">
        <f aca="false">IF(OR($A79="",NOT(ISNUMBER($D79)),NOT(ISNUMBER($H79))),"",IF(AND(ISNUMBER($J79),$J79&gt;0),$J79,IF(ISNUMBER($I79),$I79,"")))</f>
        <v>710.4375</v>
      </c>
      <c r="L79" s="40" t="n">
        <f aca="false">IF(ISNUMBER($K79),$K79*$H79,"")</f>
        <v>134.983125</v>
      </c>
      <c r="M79" s="40" t="n">
        <f aca="false">IF(ISNUMBER($K79),$K79*Parâmetros!$B$8,"")</f>
        <v>71.04375</v>
      </c>
      <c r="N79" s="40" t="n">
        <f aca="false">IF(ISNUMBER($K79),$K79*Parâmetros!$C$8,"")</f>
        <v>21.313125</v>
      </c>
      <c r="O79" s="40" t="n">
        <f aca="false">IF(ISNUMBER($K79),IF(ISNUMBER(Parâmetros!$E$8),Parâmetros!$E$8,0),"")</f>
        <v>0</v>
      </c>
      <c r="P79" s="41" t="n">
        <f aca="false">IF(ISNUMBER($K79),$K79-$D79-IF(ISNUMBER($E79),$E79,0)-$L79-$M79-$N79-$O79,"")</f>
        <v>142.0875</v>
      </c>
      <c r="Q79" s="42" t="n">
        <f aca="false">IF(AND(ISNUMBER($K79),$K79&gt;0),$P79/$K79,"")</f>
        <v>0.2</v>
      </c>
      <c r="R79" s="43"/>
      <c r="S79" s="44" t="str">
        <f aca="false">IF(OR(NOT(ISNUMBER($R79)),$R79=0,NOT(ISNUMBER($K79))),"",$K79*(1-$R79))</f>
        <v/>
      </c>
      <c r="T79" s="45" t="str">
        <f aca="false">IF(ISNUMBER($S79),$S79*$H79,"")</f>
        <v/>
      </c>
      <c r="U79" s="45" t="str">
        <f aca="false">IF(ISNUMBER($S79),$S79*Parâmetros!$B$8,"")</f>
        <v/>
      </c>
      <c r="V79" s="45" t="str">
        <f aca="false">IF(ISNUMBER($S79),$S79*Parâmetros!$C$8,"")</f>
        <v/>
      </c>
      <c r="W79" s="44" t="str">
        <f aca="false">IF(ISNUMBER($S79),$S79-$D79-IF(ISNUMBER($E79),$E79,0)-$O79-$T79-$U79-$V79,"")</f>
        <v/>
      </c>
      <c r="X79" s="46" t="str">
        <f aca="false">IF(AND(ISNUMBER($S79),$S79&gt;0),$W79/$S79,"")</f>
        <v/>
      </c>
      <c r="Y79" s="49"/>
      <c r="Z79" s="21"/>
    </row>
    <row r="80" customFormat="false" ht="15.75" hidden="false" customHeight="true" outlineLevel="0" collapsed="false">
      <c r="A80" s="32" t="str">
        <f aca="false">IF(Produtos!$A80="","",Produtos!$A80)</f>
        <v>L4050-B</v>
      </c>
      <c r="B80" s="32" t="str">
        <f aca="false">IF(Produtos!$A80="","",Produtos!$B80)</f>
        <v>Lixeira c/Aro Basculante 40x50 62L</v>
      </c>
      <c r="C80" s="32" t="str">
        <f aca="false">IF(Produtos!$A80="","",Produtos!$C80)</f>
        <v>Lixeiras em inox</v>
      </c>
      <c r="D80" s="33" t="n">
        <f aca="false">IF(Produtos!$A80="","",IF(Produtos!$D80="","",Produtos!$D80))</f>
        <v>342.16</v>
      </c>
      <c r="E80" s="11" t="n">
        <v>0</v>
      </c>
      <c r="F80" s="34" t="n">
        <f aca="false">IF($A80="","",IF($C80="","⚠ categoria",IFERROR(INDEX(Parâmetros!$F$13:$F$22,MATCH($C80,Parâmetros!$A$13:$A$22,0)),"⚠ categoria")))</f>
        <v>0.19</v>
      </c>
      <c r="G80" s="35"/>
      <c r="H80" s="36" t="n">
        <f aca="false">IF($A80="","",IF(ISNUMBER($G80),$G80,IF(ISNUMBER($F80),$F80,"")))</f>
        <v>0.19</v>
      </c>
      <c r="I80" s="37" t="n">
        <f aca="false">IF(OR($A80="",NOT(ISNUMBER($D80)),NOT(ISNUMBER($H80))),"",IF((1-$H80-Parâmetros!$B$8-Parâmetros!$C$8-Parâmetros!$D$8)&lt;=0,"INVALIDO",($D80+IF(ISNUMBER($E80),$E80,0)+IF(ISNUMBER(Parâmetros!$E$8),Parâmetros!$E$8,0))/(1-$H80-Parâmetros!$B$8-Parâmetros!$C$8-Parâmetros!$D$8)))</f>
        <v>712.833333333333</v>
      </c>
      <c r="J80" s="38"/>
      <c r="K80" s="39" t="n">
        <f aca="false">IF(OR($A80="",NOT(ISNUMBER($D80)),NOT(ISNUMBER($H80))),"",IF(AND(ISNUMBER($J80),$J80&gt;0),$J80,IF(ISNUMBER($I80),$I80,"")))</f>
        <v>712.833333333333</v>
      </c>
      <c r="L80" s="40" t="n">
        <f aca="false">IF(ISNUMBER($K80),$K80*$H80,"")</f>
        <v>135.438333333333</v>
      </c>
      <c r="M80" s="40" t="n">
        <f aca="false">IF(ISNUMBER($K80),$K80*Parâmetros!$B$8,"")</f>
        <v>71.2833333333334</v>
      </c>
      <c r="N80" s="40" t="n">
        <f aca="false">IF(ISNUMBER($K80),$K80*Parâmetros!$C$8,"")</f>
        <v>21.385</v>
      </c>
      <c r="O80" s="40" t="n">
        <f aca="false">IF(ISNUMBER($K80),IF(ISNUMBER(Parâmetros!$E$8),Parâmetros!$E$8,0),"")</f>
        <v>0</v>
      </c>
      <c r="P80" s="41" t="n">
        <f aca="false">IF(ISNUMBER($K80),$K80-$D80-IF(ISNUMBER($E80),$E80,0)-$L80-$M80-$N80-$O80,"")</f>
        <v>142.566666666667</v>
      </c>
      <c r="Q80" s="42" t="n">
        <f aca="false">IF(AND(ISNUMBER($K80),$K80&gt;0),$P80/$K80,"")</f>
        <v>0.2</v>
      </c>
      <c r="R80" s="43"/>
      <c r="S80" s="44" t="str">
        <f aca="false">IF(OR(NOT(ISNUMBER($R80)),$R80=0,NOT(ISNUMBER($K80))),"",$K80*(1-$R80))</f>
        <v/>
      </c>
      <c r="T80" s="45" t="str">
        <f aca="false">IF(ISNUMBER($S80),$S80*$H80,"")</f>
        <v/>
      </c>
      <c r="U80" s="45" t="str">
        <f aca="false">IF(ISNUMBER($S80),$S80*Parâmetros!$B$8,"")</f>
        <v/>
      </c>
      <c r="V80" s="45" t="str">
        <f aca="false">IF(ISNUMBER($S80),$S80*Parâmetros!$C$8,"")</f>
        <v/>
      </c>
      <c r="W80" s="44" t="str">
        <f aca="false">IF(ISNUMBER($S80),$S80-$D80-IF(ISNUMBER($E80),$E80,0)-$O80-$T80-$U80-$V80,"")</f>
        <v/>
      </c>
      <c r="X80" s="46" t="str">
        <f aca="false">IF(AND(ISNUMBER($S80),$S80&gt;0),$W80/$S80,"")</f>
        <v/>
      </c>
      <c r="Y80" s="47"/>
      <c r="Z80" s="19"/>
    </row>
    <row r="81" customFormat="false" ht="15.75" hidden="false" customHeight="true" outlineLevel="0" collapsed="false">
      <c r="A81" s="48" t="str">
        <f aca="false">IF(Produtos!$A81="","",Produtos!$A81)</f>
        <v>L4060-B</v>
      </c>
      <c r="B81" s="48" t="str">
        <f aca="false">IF(Produtos!$A81="","",Produtos!$B81)</f>
        <v>Lixeira c/Aro Basculante 40x60 75L</v>
      </c>
      <c r="C81" s="48" t="str">
        <f aca="false">IF(Produtos!$A81="","",Produtos!$C81)</f>
        <v>Lixeiras em inox</v>
      </c>
      <c r="D81" s="33" t="n">
        <f aca="false">IF(Produtos!$A81="","",IF(Produtos!$D81="","",Produtos!$D81))</f>
        <v>364.77</v>
      </c>
      <c r="E81" s="11" t="n">
        <v>0</v>
      </c>
      <c r="F81" s="34" t="n">
        <f aca="false">IF($A81="","",IF($C81="","⚠ categoria",IFERROR(INDEX(Parâmetros!$F$13:$F$22,MATCH($C81,Parâmetros!$A$13:$A$22,0)),"⚠ categoria")))</f>
        <v>0.19</v>
      </c>
      <c r="G81" s="35"/>
      <c r="H81" s="36" t="n">
        <f aca="false">IF($A81="","",IF(ISNUMBER($G81),$G81,IF(ISNUMBER($F81),$F81,"")))</f>
        <v>0.19</v>
      </c>
      <c r="I81" s="37" t="n">
        <f aca="false">IF(OR($A81="",NOT(ISNUMBER($D81)),NOT(ISNUMBER($H81))),"",IF((1-$H81-Parâmetros!$B$8-Parâmetros!$C$8-Parâmetros!$D$8)&lt;=0,"INVALIDO",($D81+IF(ISNUMBER($E81),$E81,0)+IF(ISNUMBER(Parâmetros!$E$8),Parâmetros!$E$8,0))/(1-$H81-Parâmetros!$B$8-Parâmetros!$C$8-Parâmetros!$D$8)))</f>
        <v>759.9375</v>
      </c>
      <c r="J81" s="38"/>
      <c r="K81" s="39" t="n">
        <f aca="false">IF(OR($A81="",NOT(ISNUMBER($D81)),NOT(ISNUMBER($H81))),"",IF(AND(ISNUMBER($J81),$J81&gt;0),$J81,IF(ISNUMBER($I81),$I81,"")))</f>
        <v>759.9375</v>
      </c>
      <c r="L81" s="40" t="n">
        <f aca="false">IF(ISNUMBER($K81),$K81*$H81,"")</f>
        <v>144.388125</v>
      </c>
      <c r="M81" s="40" t="n">
        <f aca="false">IF(ISNUMBER($K81),$K81*Parâmetros!$B$8,"")</f>
        <v>75.99375</v>
      </c>
      <c r="N81" s="40" t="n">
        <f aca="false">IF(ISNUMBER($K81),$K81*Parâmetros!$C$8,"")</f>
        <v>22.798125</v>
      </c>
      <c r="O81" s="40" t="n">
        <f aca="false">IF(ISNUMBER($K81),IF(ISNUMBER(Parâmetros!$E$8),Parâmetros!$E$8,0),"")</f>
        <v>0</v>
      </c>
      <c r="P81" s="41" t="n">
        <f aca="false">IF(ISNUMBER($K81),$K81-$D81-IF(ISNUMBER($E81),$E81,0)-$L81-$M81-$N81-$O81,"")</f>
        <v>151.9875</v>
      </c>
      <c r="Q81" s="42" t="n">
        <f aca="false">IF(AND(ISNUMBER($K81),$K81&gt;0),$P81/$K81,"")</f>
        <v>0.2</v>
      </c>
      <c r="R81" s="43"/>
      <c r="S81" s="44" t="str">
        <f aca="false">IF(OR(NOT(ISNUMBER($R81)),$R81=0,NOT(ISNUMBER($K81))),"",$K81*(1-$R81))</f>
        <v/>
      </c>
      <c r="T81" s="45" t="str">
        <f aca="false">IF(ISNUMBER($S81),$S81*$H81,"")</f>
        <v/>
      </c>
      <c r="U81" s="45" t="str">
        <f aca="false">IF(ISNUMBER($S81),$S81*Parâmetros!$B$8,"")</f>
        <v/>
      </c>
      <c r="V81" s="45" t="str">
        <f aca="false">IF(ISNUMBER($S81),$S81*Parâmetros!$C$8,"")</f>
        <v/>
      </c>
      <c r="W81" s="44" t="str">
        <f aca="false">IF(ISNUMBER($S81),$S81-$D81-IF(ISNUMBER($E81),$E81,0)-$O81-$T81-$U81-$V81,"")</f>
        <v/>
      </c>
      <c r="X81" s="46" t="str">
        <f aca="false">IF(AND(ISNUMBER($S81),$S81&gt;0),$W81/$S81,"")</f>
        <v/>
      </c>
      <c r="Y81" s="49"/>
      <c r="Z81" s="21"/>
    </row>
    <row r="82" customFormat="false" ht="15.75" hidden="false" customHeight="true" outlineLevel="0" collapsed="false">
      <c r="A82" s="32" t="str">
        <f aca="false">IF(Produtos!$A82="","",Produtos!$A82)</f>
        <v>L4070-B</v>
      </c>
      <c r="B82" s="32" t="str">
        <f aca="false">IF(Produtos!$A82="","",Produtos!$B82)</f>
        <v>Lixeira c/Aro Basculante 40x70 88L</v>
      </c>
      <c r="C82" s="32" t="str">
        <f aca="false">IF(Produtos!$A82="","",Produtos!$C82)</f>
        <v>Lixeiras em inox</v>
      </c>
      <c r="D82" s="33" t="n">
        <f aca="false">IF(Produtos!$A82="","",IF(Produtos!$D82="","",Produtos!$D82))</f>
        <v>366.6</v>
      </c>
      <c r="E82" s="11" t="n">
        <v>0</v>
      </c>
      <c r="F82" s="34" t="n">
        <f aca="false">IF($A82="","",IF($C82="","⚠ categoria",IFERROR(INDEX(Parâmetros!$F$13:$F$22,MATCH($C82,Parâmetros!$A$13:$A$22,0)),"⚠ categoria")))</f>
        <v>0.19</v>
      </c>
      <c r="G82" s="35"/>
      <c r="H82" s="36" t="n">
        <f aca="false">IF($A82="","",IF(ISNUMBER($G82),$G82,IF(ISNUMBER($F82),$F82,"")))</f>
        <v>0.19</v>
      </c>
      <c r="I82" s="37" t="n">
        <f aca="false">IF(OR($A82="",NOT(ISNUMBER($D82)),NOT(ISNUMBER($H82))),"",IF((1-$H82-Parâmetros!$B$8-Parâmetros!$C$8-Parâmetros!$D$8)&lt;=0,"INVALIDO",($D82+IF(ISNUMBER($E82),$E82,0)+IF(ISNUMBER(Parâmetros!$E$8),Parâmetros!$E$8,0))/(1-$H82-Parâmetros!$B$8-Parâmetros!$C$8-Parâmetros!$D$8)))</f>
        <v>763.75</v>
      </c>
      <c r="J82" s="38"/>
      <c r="K82" s="39" t="n">
        <f aca="false">IF(OR($A82="",NOT(ISNUMBER($D82)),NOT(ISNUMBER($H82))),"",IF(AND(ISNUMBER($J82),$J82&gt;0),$J82,IF(ISNUMBER($I82),$I82,"")))</f>
        <v>763.75</v>
      </c>
      <c r="L82" s="40" t="n">
        <f aca="false">IF(ISNUMBER($K82),$K82*$H82,"")</f>
        <v>145.1125</v>
      </c>
      <c r="M82" s="40" t="n">
        <f aca="false">IF(ISNUMBER($K82),$K82*Parâmetros!$B$8,"")</f>
        <v>76.375</v>
      </c>
      <c r="N82" s="40" t="n">
        <f aca="false">IF(ISNUMBER($K82),$K82*Parâmetros!$C$8,"")</f>
        <v>22.9125</v>
      </c>
      <c r="O82" s="40" t="n">
        <f aca="false">IF(ISNUMBER($K82),IF(ISNUMBER(Parâmetros!$E$8),Parâmetros!$E$8,0),"")</f>
        <v>0</v>
      </c>
      <c r="P82" s="41" t="n">
        <f aca="false">IF(ISNUMBER($K82),$K82-$D82-IF(ISNUMBER($E82),$E82,0)-$L82-$M82-$N82-$O82,"")</f>
        <v>152.75</v>
      </c>
      <c r="Q82" s="42" t="n">
        <f aca="false">IF(AND(ISNUMBER($K82),$K82&gt;0),$P82/$K82,"")</f>
        <v>0.2</v>
      </c>
      <c r="R82" s="43"/>
      <c r="S82" s="44" t="str">
        <f aca="false">IF(OR(NOT(ISNUMBER($R82)),$R82=0,NOT(ISNUMBER($K82))),"",$K82*(1-$R82))</f>
        <v/>
      </c>
      <c r="T82" s="45" t="str">
        <f aca="false">IF(ISNUMBER($S82),$S82*$H82,"")</f>
        <v/>
      </c>
      <c r="U82" s="45" t="str">
        <f aca="false">IF(ISNUMBER($S82),$S82*Parâmetros!$B$8,"")</f>
        <v/>
      </c>
      <c r="V82" s="45" t="str">
        <f aca="false">IF(ISNUMBER($S82),$S82*Parâmetros!$C$8,"")</f>
        <v/>
      </c>
      <c r="W82" s="44" t="str">
        <f aca="false">IF(ISNUMBER($S82),$S82-$D82-IF(ISNUMBER($E82),$E82,0)-$O82-$T82-$U82-$V82,"")</f>
        <v/>
      </c>
      <c r="X82" s="46" t="str">
        <f aca="false">IF(AND(ISNUMBER($S82),$S82&gt;0),$W82/$S82,"")</f>
        <v/>
      </c>
      <c r="Y82" s="47"/>
      <c r="Z82" s="19"/>
    </row>
    <row r="83" customFormat="false" ht="15.75" hidden="false" customHeight="true" outlineLevel="0" collapsed="false">
      <c r="A83" s="48" t="str">
        <f aca="false">IF(Produtos!$A83="","",Produtos!$A83)</f>
        <v>L4075-B</v>
      </c>
      <c r="B83" s="48" t="str">
        <f aca="false">IF(Produtos!$A83="","",Produtos!$B83)</f>
        <v>Lixeira c/Aro Basculante 40x75 95L</v>
      </c>
      <c r="C83" s="48" t="str">
        <f aca="false">IF(Produtos!$A83="","",Produtos!$C83)</f>
        <v>Lixeiras em inox</v>
      </c>
      <c r="D83" s="33" t="n">
        <f aca="false">IF(Produtos!$A83="","",IF(Produtos!$D83="","",Produtos!$D83))</f>
        <v>428.19</v>
      </c>
      <c r="E83" s="11" t="n">
        <v>0</v>
      </c>
      <c r="F83" s="34" t="n">
        <f aca="false">IF($A83="","",IF($C83="","⚠ categoria",IFERROR(INDEX(Parâmetros!$F$13:$F$22,MATCH($C83,Parâmetros!$A$13:$A$22,0)),"⚠ categoria")))</f>
        <v>0.19</v>
      </c>
      <c r="G83" s="35"/>
      <c r="H83" s="36" t="n">
        <f aca="false">IF($A83="","",IF(ISNUMBER($G83),$G83,IF(ISNUMBER($F83),$F83,"")))</f>
        <v>0.19</v>
      </c>
      <c r="I83" s="37" t="n">
        <f aca="false">IF(OR($A83="",NOT(ISNUMBER($D83)),NOT(ISNUMBER($H83))),"",IF((1-$H83-Parâmetros!$B$8-Parâmetros!$C$8-Parâmetros!$D$8)&lt;=0,"INVALIDO",($D83+IF(ISNUMBER($E83),$E83,0)+IF(ISNUMBER(Parâmetros!$E$8),Parâmetros!$E$8,0))/(1-$H83-Parâmetros!$B$8-Parâmetros!$C$8-Parâmetros!$D$8)))</f>
        <v>892.0625</v>
      </c>
      <c r="J83" s="38"/>
      <c r="K83" s="39" t="n">
        <f aca="false">IF(OR($A83="",NOT(ISNUMBER($D83)),NOT(ISNUMBER($H83))),"",IF(AND(ISNUMBER($J83),$J83&gt;0),$J83,IF(ISNUMBER($I83),$I83,"")))</f>
        <v>892.0625</v>
      </c>
      <c r="L83" s="40" t="n">
        <f aca="false">IF(ISNUMBER($K83),$K83*$H83,"")</f>
        <v>169.491875</v>
      </c>
      <c r="M83" s="40" t="n">
        <f aca="false">IF(ISNUMBER($K83),$K83*Parâmetros!$B$8,"")</f>
        <v>89.20625</v>
      </c>
      <c r="N83" s="40" t="n">
        <f aca="false">IF(ISNUMBER($K83),$K83*Parâmetros!$C$8,"")</f>
        <v>26.761875</v>
      </c>
      <c r="O83" s="40" t="n">
        <f aca="false">IF(ISNUMBER($K83),IF(ISNUMBER(Parâmetros!$E$8),Parâmetros!$E$8,0),"")</f>
        <v>0</v>
      </c>
      <c r="P83" s="41" t="n">
        <f aca="false">IF(ISNUMBER($K83),$K83-$D83-IF(ISNUMBER($E83),$E83,0)-$L83-$M83-$N83-$O83,"")</f>
        <v>178.4125</v>
      </c>
      <c r="Q83" s="42" t="n">
        <f aca="false">IF(AND(ISNUMBER($K83),$K83&gt;0),$P83/$K83,"")</f>
        <v>0.2</v>
      </c>
      <c r="R83" s="43"/>
      <c r="S83" s="44" t="str">
        <f aca="false">IF(OR(NOT(ISNUMBER($R83)),$R83=0,NOT(ISNUMBER($K83))),"",$K83*(1-$R83))</f>
        <v/>
      </c>
      <c r="T83" s="45" t="str">
        <f aca="false">IF(ISNUMBER($S83),$S83*$H83,"")</f>
        <v/>
      </c>
      <c r="U83" s="45" t="str">
        <f aca="false">IF(ISNUMBER($S83),$S83*Parâmetros!$B$8,"")</f>
        <v/>
      </c>
      <c r="V83" s="45" t="str">
        <f aca="false">IF(ISNUMBER($S83),$S83*Parâmetros!$C$8,"")</f>
        <v/>
      </c>
      <c r="W83" s="44" t="str">
        <f aca="false">IF(ISNUMBER($S83),$S83-$D83-IF(ISNUMBER($E83),$E83,0)-$O83-$T83-$U83-$V83,"")</f>
        <v/>
      </c>
      <c r="X83" s="46" t="str">
        <f aca="false">IF(AND(ISNUMBER($S83),$S83&gt;0),$W83/$S83,"")</f>
        <v/>
      </c>
      <c r="Y83" s="49"/>
      <c r="Z83" s="21"/>
    </row>
    <row r="84" customFormat="false" ht="15.75" hidden="false" customHeight="true" outlineLevel="0" collapsed="false">
      <c r="A84" s="32" t="str">
        <f aca="false">IF(Produtos!$A84="","",Produtos!$A84)</f>
        <v>L4080-B</v>
      </c>
      <c r="B84" s="32" t="str">
        <f aca="false">IF(Produtos!$A84="","",Produtos!$B84)</f>
        <v>Lixeira c/Aro Basculante 40x80 100L</v>
      </c>
      <c r="C84" s="32" t="str">
        <f aca="false">IF(Produtos!$A84="","",Produtos!$C84)</f>
        <v>Lixeiras em inox</v>
      </c>
      <c r="D84" s="33" t="n">
        <f aca="false">IF(Produtos!$A84="","",IF(Produtos!$D84="","",Produtos!$D84))</f>
        <v>428.19</v>
      </c>
      <c r="E84" s="11" t="n">
        <v>0</v>
      </c>
      <c r="F84" s="34" t="n">
        <f aca="false">IF($A84="","",IF($C84="","⚠ categoria",IFERROR(INDEX(Parâmetros!$F$13:$F$22,MATCH($C84,Parâmetros!$A$13:$A$22,0)),"⚠ categoria")))</f>
        <v>0.19</v>
      </c>
      <c r="G84" s="35"/>
      <c r="H84" s="36" t="n">
        <f aca="false">IF($A84="","",IF(ISNUMBER($G84),$G84,IF(ISNUMBER($F84),$F84,"")))</f>
        <v>0.19</v>
      </c>
      <c r="I84" s="37" t="n">
        <f aca="false">IF(OR($A84="",NOT(ISNUMBER($D84)),NOT(ISNUMBER($H84))),"",IF((1-$H84-Parâmetros!$B$8-Parâmetros!$C$8-Parâmetros!$D$8)&lt;=0,"INVALIDO",($D84+IF(ISNUMBER($E84),$E84,0)+IF(ISNUMBER(Parâmetros!$E$8),Parâmetros!$E$8,0))/(1-$H84-Parâmetros!$B$8-Parâmetros!$C$8-Parâmetros!$D$8)))</f>
        <v>892.0625</v>
      </c>
      <c r="J84" s="38"/>
      <c r="K84" s="39" t="n">
        <f aca="false">IF(OR($A84="",NOT(ISNUMBER($D84)),NOT(ISNUMBER($H84))),"",IF(AND(ISNUMBER($J84),$J84&gt;0),$J84,IF(ISNUMBER($I84),$I84,"")))</f>
        <v>892.0625</v>
      </c>
      <c r="L84" s="40" t="n">
        <f aca="false">IF(ISNUMBER($K84),$K84*$H84,"")</f>
        <v>169.491875</v>
      </c>
      <c r="M84" s="40" t="n">
        <f aca="false">IF(ISNUMBER($K84),$K84*Parâmetros!$B$8,"")</f>
        <v>89.20625</v>
      </c>
      <c r="N84" s="40" t="n">
        <f aca="false">IF(ISNUMBER($K84),$K84*Parâmetros!$C$8,"")</f>
        <v>26.761875</v>
      </c>
      <c r="O84" s="40" t="n">
        <f aca="false">IF(ISNUMBER($K84),IF(ISNUMBER(Parâmetros!$E$8),Parâmetros!$E$8,0),"")</f>
        <v>0</v>
      </c>
      <c r="P84" s="41" t="n">
        <f aca="false">IF(ISNUMBER($K84),$K84-$D84-IF(ISNUMBER($E84),$E84,0)-$L84-$M84-$N84-$O84,"")</f>
        <v>178.4125</v>
      </c>
      <c r="Q84" s="42" t="n">
        <f aca="false">IF(AND(ISNUMBER($K84),$K84&gt;0),$P84/$K84,"")</f>
        <v>0.2</v>
      </c>
      <c r="R84" s="43"/>
      <c r="S84" s="44" t="str">
        <f aca="false">IF(OR(NOT(ISNUMBER($R84)),$R84=0,NOT(ISNUMBER($K84))),"",$K84*(1-$R84))</f>
        <v/>
      </c>
      <c r="T84" s="45" t="str">
        <f aca="false">IF(ISNUMBER($S84),$S84*$H84,"")</f>
        <v/>
      </c>
      <c r="U84" s="45" t="str">
        <f aca="false">IF(ISNUMBER($S84),$S84*Parâmetros!$B$8,"")</f>
        <v/>
      </c>
      <c r="V84" s="45" t="str">
        <f aca="false">IF(ISNUMBER($S84),$S84*Parâmetros!$C$8,"")</f>
        <v/>
      </c>
      <c r="W84" s="44" t="str">
        <f aca="false">IF(ISNUMBER($S84),$S84-$D84-IF(ISNUMBER($E84),$E84,0)-$O84-$T84-$U84-$V84,"")</f>
        <v/>
      </c>
      <c r="X84" s="46" t="str">
        <f aca="false">IF(AND(ISNUMBER($S84),$S84&gt;0),$W84/$S84,"")</f>
        <v/>
      </c>
      <c r="Y84" s="47"/>
      <c r="Z84" s="19"/>
    </row>
    <row r="85" customFormat="false" ht="15.75" hidden="false" customHeight="true" outlineLevel="0" collapsed="false">
      <c r="A85" s="48" t="str">
        <f aca="false">IF(Produtos!$A85="","",Produtos!$A85)</f>
        <v>L4090-B</v>
      </c>
      <c r="B85" s="48" t="str">
        <f aca="false">IF(Produtos!$A85="","",Produtos!$B85)</f>
        <v>Lixeira c/Aro Basculante 40x90 120L</v>
      </c>
      <c r="C85" s="48" t="str">
        <f aca="false">IF(Produtos!$A85="","",Produtos!$C85)</f>
        <v>Lixeiras em inox</v>
      </c>
      <c r="D85" s="33" t="n">
        <f aca="false">IF(Produtos!$A85="","",IF(Produtos!$D85="","",Produtos!$D85))</f>
        <v>468.32</v>
      </c>
      <c r="E85" s="11" t="n">
        <v>0</v>
      </c>
      <c r="F85" s="34" t="n">
        <f aca="false">IF($A85="","",IF($C85="","⚠ categoria",IFERROR(INDEX(Parâmetros!$F$13:$F$22,MATCH($C85,Parâmetros!$A$13:$A$22,0)),"⚠ categoria")))</f>
        <v>0.19</v>
      </c>
      <c r="G85" s="35"/>
      <c r="H85" s="36" t="n">
        <f aca="false">IF($A85="","",IF(ISNUMBER($G85),$G85,IF(ISNUMBER($F85),$F85,"")))</f>
        <v>0.19</v>
      </c>
      <c r="I85" s="37" t="n">
        <f aca="false">IF(OR($A85="",NOT(ISNUMBER($D85)),NOT(ISNUMBER($H85))),"",IF((1-$H85-Parâmetros!$B$8-Parâmetros!$C$8-Parâmetros!$D$8)&lt;=0,"INVALIDO",($D85+IF(ISNUMBER($E85),$E85,0)+IF(ISNUMBER(Parâmetros!$E$8),Parâmetros!$E$8,0))/(1-$H85-Parâmetros!$B$8-Parâmetros!$C$8-Parâmetros!$D$8)))</f>
        <v>975.666666666667</v>
      </c>
      <c r="J85" s="38"/>
      <c r="K85" s="39" t="n">
        <f aca="false">IF(OR($A85="",NOT(ISNUMBER($D85)),NOT(ISNUMBER($H85))),"",IF(AND(ISNUMBER($J85),$J85&gt;0),$J85,IF(ISNUMBER($I85),$I85,"")))</f>
        <v>975.666666666667</v>
      </c>
      <c r="L85" s="40" t="n">
        <f aca="false">IF(ISNUMBER($K85),$K85*$H85,"")</f>
        <v>185.376666666667</v>
      </c>
      <c r="M85" s="40" t="n">
        <f aca="false">IF(ISNUMBER($K85),$K85*Parâmetros!$B$8,"")</f>
        <v>97.5666666666667</v>
      </c>
      <c r="N85" s="40" t="n">
        <f aca="false">IF(ISNUMBER($K85),$K85*Parâmetros!$C$8,"")</f>
        <v>29.27</v>
      </c>
      <c r="O85" s="40" t="n">
        <f aca="false">IF(ISNUMBER($K85),IF(ISNUMBER(Parâmetros!$E$8),Parâmetros!$E$8,0),"")</f>
        <v>0</v>
      </c>
      <c r="P85" s="41" t="n">
        <f aca="false">IF(ISNUMBER($K85),$K85-$D85-IF(ISNUMBER($E85),$E85,0)-$L85-$M85-$N85-$O85,"")</f>
        <v>195.133333333333</v>
      </c>
      <c r="Q85" s="42" t="n">
        <f aca="false">IF(AND(ISNUMBER($K85),$K85&gt;0),$P85/$K85,"")</f>
        <v>0.2</v>
      </c>
      <c r="R85" s="43"/>
      <c r="S85" s="44" t="str">
        <f aca="false">IF(OR(NOT(ISNUMBER($R85)),$R85=0,NOT(ISNUMBER($K85))),"",$K85*(1-$R85))</f>
        <v/>
      </c>
      <c r="T85" s="45" t="str">
        <f aca="false">IF(ISNUMBER($S85),$S85*$H85,"")</f>
        <v/>
      </c>
      <c r="U85" s="45" t="str">
        <f aca="false">IF(ISNUMBER($S85),$S85*Parâmetros!$B$8,"")</f>
        <v/>
      </c>
      <c r="V85" s="45" t="str">
        <f aca="false">IF(ISNUMBER($S85),$S85*Parâmetros!$C$8,"")</f>
        <v/>
      </c>
      <c r="W85" s="44" t="str">
        <f aca="false">IF(ISNUMBER($S85),$S85-$D85-IF(ISNUMBER($E85),$E85,0)-$O85-$T85-$U85-$V85,"")</f>
        <v/>
      </c>
      <c r="X85" s="46" t="str">
        <f aca="false">IF(AND(ISNUMBER($S85),$S85&gt;0),$W85/$S85,"")</f>
        <v/>
      </c>
      <c r="Y85" s="49"/>
      <c r="Z85" s="21"/>
    </row>
    <row r="86" customFormat="false" ht="15.75" hidden="false" customHeight="true" outlineLevel="0" collapsed="false">
      <c r="A86" s="32" t="str">
        <f aca="false">IF(Produtos!$A86="","",Produtos!$A86)</f>
        <v>P1618</v>
      </c>
      <c r="B86" s="32" t="str">
        <f aca="false">IF(Produtos!$A86="","",Produtos!$B86)</f>
        <v>Lixeira c/Tampa Pedal 16x18 03L</v>
      </c>
      <c r="C86" s="32" t="str">
        <f aca="false">IF(Produtos!$A86="","",Produtos!$C86)</f>
        <v>Lixeiras com pedal</v>
      </c>
      <c r="D86" s="33" t="n">
        <f aca="false">IF(Produtos!$A86="","",IF(Produtos!$D86="","",Produtos!$D86))</f>
        <v>78.15</v>
      </c>
      <c r="E86" s="11" t="n">
        <v>0</v>
      </c>
      <c r="F86" s="34" t="n">
        <f aca="false">IF($A86="","",IF($C86="","⚠ categoria",IFERROR(INDEX(Parâmetros!$F$13:$F$22,MATCH($C86,Parâmetros!$A$13:$A$22,0)),"⚠ categoria")))</f>
        <v>0.19</v>
      </c>
      <c r="G86" s="35"/>
      <c r="H86" s="36" t="n">
        <f aca="false">IF($A86="","",IF(ISNUMBER($G86),$G86,IF(ISNUMBER($F86),$F86,"")))</f>
        <v>0.19</v>
      </c>
      <c r="I86" s="37" t="n">
        <f aca="false">IF(OR($A86="",NOT(ISNUMBER($D86)),NOT(ISNUMBER($H86))),"",IF((1-$H86-Parâmetros!$B$8-Parâmetros!$C$8-Parâmetros!$D$8)&lt;=0,"INVALIDO",($D86+IF(ISNUMBER($E86),$E86,0)+IF(ISNUMBER(Parâmetros!$E$8),Parâmetros!$E$8,0))/(1-$H86-Parâmetros!$B$8-Parâmetros!$C$8-Parâmetros!$D$8)))</f>
        <v>162.8125</v>
      </c>
      <c r="J86" s="38"/>
      <c r="K86" s="39" t="n">
        <f aca="false">IF(OR($A86="",NOT(ISNUMBER($D86)),NOT(ISNUMBER($H86))),"",IF(AND(ISNUMBER($J86),$J86&gt;0),$J86,IF(ISNUMBER($I86),$I86,"")))</f>
        <v>162.8125</v>
      </c>
      <c r="L86" s="40" t="n">
        <f aca="false">IF(ISNUMBER($K86),$K86*$H86,"")</f>
        <v>30.934375</v>
      </c>
      <c r="M86" s="40" t="n">
        <f aca="false">IF(ISNUMBER($K86),$K86*Parâmetros!$B$8,"")</f>
        <v>16.28125</v>
      </c>
      <c r="N86" s="40" t="n">
        <f aca="false">IF(ISNUMBER($K86),$K86*Parâmetros!$C$8,"")</f>
        <v>4.884375</v>
      </c>
      <c r="O86" s="40" t="n">
        <f aca="false">IF(ISNUMBER($K86),IF(ISNUMBER(Parâmetros!$E$8),Parâmetros!$E$8,0),"")</f>
        <v>0</v>
      </c>
      <c r="P86" s="41" t="n">
        <f aca="false">IF(ISNUMBER($K86),$K86-$D86-IF(ISNUMBER($E86),$E86,0)-$L86-$M86-$N86-$O86,"")</f>
        <v>32.5625</v>
      </c>
      <c r="Q86" s="42" t="n">
        <f aca="false">IF(AND(ISNUMBER($K86),$K86&gt;0),$P86/$K86,"")</f>
        <v>0.2</v>
      </c>
      <c r="R86" s="43"/>
      <c r="S86" s="44" t="str">
        <f aca="false">IF(OR(NOT(ISNUMBER($R86)),$R86=0,NOT(ISNUMBER($K86))),"",$K86*(1-$R86))</f>
        <v/>
      </c>
      <c r="T86" s="45" t="str">
        <f aca="false">IF(ISNUMBER($S86),$S86*$H86,"")</f>
        <v/>
      </c>
      <c r="U86" s="45" t="str">
        <f aca="false">IF(ISNUMBER($S86),$S86*Parâmetros!$B$8,"")</f>
        <v/>
      </c>
      <c r="V86" s="45" t="str">
        <f aca="false">IF(ISNUMBER($S86),$S86*Parâmetros!$C$8,"")</f>
        <v/>
      </c>
      <c r="W86" s="44" t="str">
        <f aca="false">IF(ISNUMBER($S86),$S86-$D86-IF(ISNUMBER($E86),$E86,0)-$O86-$T86-$U86-$V86,"")</f>
        <v/>
      </c>
      <c r="X86" s="46" t="str">
        <f aca="false">IF(AND(ISNUMBER($S86),$S86&gt;0),$W86/$S86,"")</f>
        <v/>
      </c>
      <c r="Y86" s="47"/>
      <c r="Z86" s="19"/>
    </row>
    <row r="87" customFormat="false" ht="15.75" hidden="false" customHeight="true" outlineLevel="0" collapsed="false">
      <c r="A87" s="48" t="str">
        <f aca="false">IF(Produtos!$A87="","",Produtos!$A87)</f>
        <v>P1623</v>
      </c>
      <c r="B87" s="48" t="str">
        <f aca="false">IF(Produtos!$A87="","",Produtos!$B87)</f>
        <v>Lixeira c/Tampa Pedal 16x23 05L</v>
      </c>
      <c r="C87" s="48" t="str">
        <f aca="false">IF(Produtos!$A87="","",Produtos!$C87)</f>
        <v>Lixeiras com pedal</v>
      </c>
      <c r="D87" s="33" t="n">
        <f aca="false">IF(Produtos!$A87="","",IF(Produtos!$D87="","",Produtos!$D87))</f>
        <v>81.62</v>
      </c>
      <c r="E87" s="11" t="n">
        <v>0</v>
      </c>
      <c r="F87" s="34" t="n">
        <f aca="false">IF($A87="","",IF($C87="","⚠ categoria",IFERROR(INDEX(Parâmetros!$F$13:$F$22,MATCH($C87,Parâmetros!$A$13:$A$22,0)),"⚠ categoria")))</f>
        <v>0.19</v>
      </c>
      <c r="G87" s="35"/>
      <c r="H87" s="36" t="n">
        <f aca="false">IF($A87="","",IF(ISNUMBER($G87),$G87,IF(ISNUMBER($F87),$F87,"")))</f>
        <v>0.19</v>
      </c>
      <c r="I87" s="37" t="n">
        <f aca="false">IF(OR($A87="",NOT(ISNUMBER($D87)),NOT(ISNUMBER($H87))),"",IF((1-$H87-Parâmetros!$B$8-Parâmetros!$C$8-Parâmetros!$D$8)&lt;=0,"INVALIDO",($D87+IF(ISNUMBER($E87),$E87,0)+IF(ISNUMBER(Parâmetros!$E$8),Parâmetros!$E$8,0))/(1-$H87-Parâmetros!$B$8-Parâmetros!$C$8-Parâmetros!$D$8)))</f>
        <v>170.041666666667</v>
      </c>
      <c r="J87" s="38"/>
      <c r="K87" s="39" t="n">
        <f aca="false">IF(OR($A87="",NOT(ISNUMBER($D87)),NOT(ISNUMBER($H87))),"",IF(AND(ISNUMBER($J87),$J87&gt;0),$J87,IF(ISNUMBER($I87),$I87,"")))</f>
        <v>170.041666666667</v>
      </c>
      <c r="L87" s="40" t="n">
        <f aca="false">IF(ISNUMBER($K87),$K87*$H87,"")</f>
        <v>32.3079166666667</v>
      </c>
      <c r="M87" s="40" t="n">
        <f aca="false">IF(ISNUMBER($K87),$K87*Parâmetros!$B$8,"")</f>
        <v>17.0041666666667</v>
      </c>
      <c r="N87" s="40" t="n">
        <f aca="false">IF(ISNUMBER($K87),$K87*Parâmetros!$C$8,"")</f>
        <v>5.10125</v>
      </c>
      <c r="O87" s="40" t="n">
        <f aca="false">IF(ISNUMBER($K87),IF(ISNUMBER(Parâmetros!$E$8),Parâmetros!$E$8,0),"")</f>
        <v>0</v>
      </c>
      <c r="P87" s="41" t="n">
        <f aca="false">IF(ISNUMBER($K87),$K87-$D87-IF(ISNUMBER($E87),$E87,0)-$L87-$M87-$N87-$O87,"")</f>
        <v>34.0083333333333</v>
      </c>
      <c r="Q87" s="42" t="n">
        <f aca="false">IF(AND(ISNUMBER($K87),$K87&gt;0),$P87/$K87,"")</f>
        <v>0.2</v>
      </c>
      <c r="R87" s="43"/>
      <c r="S87" s="44" t="str">
        <f aca="false">IF(OR(NOT(ISNUMBER($R87)),$R87=0,NOT(ISNUMBER($K87))),"",$K87*(1-$R87))</f>
        <v/>
      </c>
      <c r="T87" s="45" t="str">
        <f aca="false">IF(ISNUMBER($S87),$S87*$H87,"")</f>
        <v/>
      </c>
      <c r="U87" s="45" t="str">
        <f aca="false">IF(ISNUMBER($S87),$S87*Parâmetros!$B$8,"")</f>
        <v/>
      </c>
      <c r="V87" s="45" t="str">
        <f aca="false">IF(ISNUMBER($S87),$S87*Parâmetros!$C$8,"")</f>
        <v/>
      </c>
      <c r="W87" s="44" t="str">
        <f aca="false">IF(ISNUMBER($S87),$S87-$D87-IF(ISNUMBER($E87),$E87,0)-$O87-$T87-$U87-$V87,"")</f>
        <v/>
      </c>
      <c r="X87" s="46" t="str">
        <f aca="false">IF(AND(ISNUMBER($S87),$S87&gt;0),$W87/$S87,"")</f>
        <v/>
      </c>
      <c r="Y87" s="49"/>
      <c r="Z87" s="21"/>
    </row>
    <row r="88" customFormat="false" ht="15.75" hidden="false" customHeight="true" outlineLevel="0" collapsed="false">
      <c r="A88" s="32" t="str">
        <f aca="false">IF(Produtos!$A88="","",Produtos!$A88)</f>
        <v>P2025</v>
      </c>
      <c r="B88" s="32" t="str">
        <f aca="false">IF(Produtos!$A88="","",Produtos!$B88)</f>
        <v>Lixeira c/Tampa Pedal 20x25 07L</v>
      </c>
      <c r="C88" s="32" t="str">
        <f aca="false">IF(Produtos!$A88="","",Produtos!$C88)</f>
        <v>Lixeiras com pedal</v>
      </c>
      <c r="D88" s="33" t="n">
        <f aca="false">IF(Produtos!$A88="","",IF(Produtos!$D88="","",Produtos!$D88))</f>
        <v>99.57</v>
      </c>
      <c r="E88" s="11" t="n">
        <v>0</v>
      </c>
      <c r="F88" s="34" t="n">
        <f aca="false">IF($A88="","",IF($C88="","⚠ categoria",IFERROR(INDEX(Parâmetros!$F$13:$F$22,MATCH($C88,Parâmetros!$A$13:$A$22,0)),"⚠ categoria")))</f>
        <v>0.19</v>
      </c>
      <c r="G88" s="35"/>
      <c r="H88" s="36" t="n">
        <f aca="false">IF($A88="","",IF(ISNUMBER($G88),$G88,IF(ISNUMBER($F88),$F88,"")))</f>
        <v>0.19</v>
      </c>
      <c r="I88" s="37" t="n">
        <f aca="false">IF(OR($A88="",NOT(ISNUMBER($D88)),NOT(ISNUMBER($H88))),"",IF((1-$H88-Parâmetros!$B$8-Parâmetros!$C$8-Parâmetros!$D$8)&lt;=0,"INVALIDO",($D88+IF(ISNUMBER($E88),$E88,0)+IF(ISNUMBER(Parâmetros!$E$8),Parâmetros!$E$8,0))/(1-$H88-Parâmetros!$B$8-Parâmetros!$C$8-Parâmetros!$D$8)))</f>
        <v>207.4375</v>
      </c>
      <c r="J88" s="38"/>
      <c r="K88" s="39" t="n">
        <f aca="false">IF(OR($A88="",NOT(ISNUMBER($D88)),NOT(ISNUMBER($H88))),"",IF(AND(ISNUMBER($J88),$J88&gt;0),$J88,IF(ISNUMBER($I88),$I88,"")))</f>
        <v>207.4375</v>
      </c>
      <c r="L88" s="40" t="n">
        <f aca="false">IF(ISNUMBER($K88),$K88*$H88,"")</f>
        <v>39.413125</v>
      </c>
      <c r="M88" s="40" t="n">
        <f aca="false">IF(ISNUMBER($K88),$K88*Parâmetros!$B$8,"")</f>
        <v>20.74375</v>
      </c>
      <c r="N88" s="40" t="n">
        <f aca="false">IF(ISNUMBER($K88),$K88*Parâmetros!$C$8,"")</f>
        <v>6.223125</v>
      </c>
      <c r="O88" s="40" t="n">
        <f aca="false">IF(ISNUMBER($K88),IF(ISNUMBER(Parâmetros!$E$8),Parâmetros!$E$8,0),"")</f>
        <v>0</v>
      </c>
      <c r="P88" s="41" t="n">
        <f aca="false">IF(ISNUMBER($K88),$K88-$D88-IF(ISNUMBER($E88),$E88,0)-$L88-$M88-$N88-$O88,"")</f>
        <v>41.4875</v>
      </c>
      <c r="Q88" s="42" t="n">
        <f aca="false">IF(AND(ISNUMBER($K88),$K88&gt;0),$P88/$K88,"")</f>
        <v>0.2</v>
      </c>
      <c r="R88" s="43"/>
      <c r="S88" s="44" t="str">
        <f aca="false">IF(OR(NOT(ISNUMBER($R88)),$R88=0,NOT(ISNUMBER($K88))),"",$K88*(1-$R88))</f>
        <v/>
      </c>
      <c r="T88" s="45" t="str">
        <f aca="false">IF(ISNUMBER($S88),$S88*$H88,"")</f>
        <v/>
      </c>
      <c r="U88" s="45" t="str">
        <f aca="false">IF(ISNUMBER($S88),$S88*Parâmetros!$B$8,"")</f>
        <v/>
      </c>
      <c r="V88" s="45" t="str">
        <f aca="false">IF(ISNUMBER($S88),$S88*Parâmetros!$C$8,"")</f>
        <v/>
      </c>
      <c r="W88" s="44" t="str">
        <f aca="false">IF(ISNUMBER($S88),$S88-$D88-IF(ISNUMBER($E88),$E88,0)-$O88-$T88-$U88-$V88,"")</f>
        <v/>
      </c>
      <c r="X88" s="46" t="str">
        <f aca="false">IF(AND(ISNUMBER($S88),$S88&gt;0),$W88/$S88,"")</f>
        <v/>
      </c>
      <c r="Y88" s="47"/>
      <c r="Z88" s="19"/>
    </row>
    <row r="89" customFormat="false" ht="15.75" hidden="false" customHeight="true" outlineLevel="0" collapsed="false">
      <c r="A89" s="48" t="str">
        <f aca="false">IF(Produtos!$A89="","",Produtos!$A89)</f>
        <v>P2030</v>
      </c>
      <c r="B89" s="48" t="str">
        <f aca="false">IF(Produtos!$A89="","",Produtos!$B89)</f>
        <v>Lixeira c/Tampa Pedal 20x30 10L</v>
      </c>
      <c r="C89" s="48" t="str">
        <f aca="false">IF(Produtos!$A89="","",Produtos!$C89)</f>
        <v>Lixeiras com pedal</v>
      </c>
      <c r="D89" s="33" t="n">
        <f aca="false">IF(Produtos!$A89="","",IF(Produtos!$D89="","",Produtos!$D89))</f>
        <v>111.27</v>
      </c>
      <c r="E89" s="11" t="n">
        <v>0</v>
      </c>
      <c r="F89" s="34" t="n">
        <f aca="false">IF($A89="","",IF($C89="","⚠ categoria",IFERROR(INDEX(Parâmetros!$F$13:$F$22,MATCH($C89,Parâmetros!$A$13:$A$22,0)),"⚠ categoria")))</f>
        <v>0.19</v>
      </c>
      <c r="G89" s="35"/>
      <c r="H89" s="36" t="n">
        <f aca="false">IF($A89="","",IF(ISNUMBER($G89),$G89,IF(ISNUMBER($F89),$F89,"")))</f>
        <v>0.19</v>
      </c>
      <c r="I89" s="37" t="n">
        <f aca="false">IF(OR($A89="",NOT(ISNUMBER($D89)),NOT(ISNUMBER($H89))),"",IF((1-$H89-Parâmetros!$B$8-Parâmetros!$C$8-Parâmetros!$D$8)&lt;=0,"INVALIDO",($D89+IF(ISNUMBER($E89),$E89,0)+IF(ISNUMBER(Parâmetros!$E$8),Parâmetros!$E$8,0))/(1-$H89-Parâmetros!$B$8-Parâmetros!$C$8-Parâmetros!$D$8)))</f>
        <v>231.8125</v>
      </c>
      <c r="J89" s="38"/>
      <c r="K89" s="39" t="n">
        <f aca="false">IF(OR($A89="",NOT(ISNUMBER($D89)),NOT(ISNUMBER($H89))),"",IF(AND(ISNUMBER($J89),$J89&gt;0),$J89,IF(ISNUMBER($I89),$I89,"")))</f>
        <v>231.8125</v>
      </c>
      <c r="L89" s="40" t="n">
        <f aca="false">IF(ISNUMBER($K89),$K89*$H89,"")</f>
        <v>44.044375</v>
      </c>
      <c r="M89" s="40" t="n">
        <f aca="false">IF(ISNUMBER($K89),$K89*Parâmetros!$B$8,"")</f>
        <v>23.18125</v>
      </c>
      <c r="N89" s="40" t="n">
        <f aca="false">IF(ISNUMBER($K89),$K89*Parâmetros!$C$8,"")</f>
        <v>6.954375</v>
      </c>
      <c r="O89" s="40" t="n">
        <f aca="false">IF(ISNUMBER($K89),IF(ISNUMBER(Parâmetros!$E$8),Parâmetros!$E$8,0),"")</f>
        <v>0</v>
      </c>
      <c r="P89" s="41" t="n">
        <f aca="false">IF(ISNUMBER($K89),$K89-$D89-IF(ISNUMBER($E89),$E89,0)-$L89-$M89-$N89-$O89,"")</f>
        <v>46.3625</v>
      </c>
      <c r="Q89" s="42" t="n">
        <f aca="false">IF(AND(ISNUMBER($K89),$K89&gt;0),$P89/$K89,"")</f>
        <v>0.2</v>
      </c>
      <c r="R89" s="43"/>
      <c r="S89" s="44" t="str">
        <f aca="false">IF(OR(NOT(ISNUMBER($R89)),$R89=0,NOT(ISNUMBER($K89))),"",$K89*(1-$R89))</f>
        <v/>
      </c>
      <c r="T89" s="45" t="str">
        <f aca="false">IF(ISNUMBER($S89),$S89*$H89,"")</f>
        <v/>
      </c>
      <c r="U89" s="45" t="str">
        <f aca="false">IF(ISNUMBER($S89),$S89*Parâmetros!$B$8,"")</f>
        <v/>
      </c>
      <c r="V89" s="45" t="str">
        <f aca="false">IF(ISNUMBER($S89),$S89*Parâmetros!$C$8,"")</f>
        <v/>
      </c>
      <c r="W89" s="44" t="str">
        <f aca="false">IF(ISNUMBER($S89),$S89-$D89-IF(ISNUMBER($E89),$E89,0)-$O89-$T89-$U89-$V89,"")</f>
        <v/>
      </c>
      <c r="X89" s="46" t="str">
        <f aca="false">IF(AND(ISNUMBER($S89),$S89&gt;0),$W89/$S89,"")</f>
        <v/>
      </c>
      <c r="Y89" s="49"/>
      <c r="Z89" s="21"/>
    </row>
    <row r="90" customFormat="false" ht="15.75" hidden="false" customHeight="true" outlineLevel="0" collapsed="false">
      <c r="A90" s="32" t="str">
        <f aca="false">IF(Produtos!$A90="","",Produtos!$A90)</f>
        <v>P2425</v>
      </c>
      <c r="B90" s="32" t="str">
        <f aca="false">IF(Produtos!$A90="","",Produtos!$B90)</f>
        <v>Lixeira c/Tampa Pedal 24x25 12L</v>
      </c>
      <c r="C90" s="32" t="str">
        <f aca="false">IF(Produtos!$A90="","",Produtos!$C90)</f>
        <v>Lixeiras com pedal</v>
      </c>
      <c r="D90" s="33" t="n">
        <f aca="false">IF(Produtos!$A90="","",IF(Produtos!$D90="","",Produtos!$D90))</f>
        <v>121.08</v>
      </c>
      <c r="E90" s="11" t="n">
        <v>0</v>
      </c>
      <c r="F90" s="34" t="n">
        <f aca="false">IF($A90="","",IF($C90="","⚠ categoria",IFERROR(INDEX(Parâmetros!$F$13:$F$22,MATCH($C90,Parâmetros!$A$13:$A$22,0)),"⚠ categoria")))</f>
        <v>0.19</v>
      </c>
      <c r="G90" s="35"/>
      <c r="H90" s="36" t="n">
        <f aca="false">IF($A90="","",IF(ISNUMBER($G90),$G90,IF(ISNUMBER($F90),$F90,"")))</f>
        <v>0.19</v>
      </c>
      <c r="I90" s="37" t="n">
        <f aca="false">IF(OR($A90="",NOT(ISNUMBER($D90)),NOT(ISNUMBER($H90))),"",IF((1-$H90-Parâmetros!$B$8-Parâmetros!$C$8-Parâmetros!$D$8)&lt;=0,"INVALIDO",($D90+IF(ISNUMBER($E90),$E90,0)+IF(ISNUMBER(Parâmetros!$E$8),Parâmetros!$E$8,0))/(1-$H90-Parâmetros!$B$8-Parâmetros!$C$8-Parâmetros!$D$8)))</f>
        <v>252.25</v>
      </c>
      <c r="J90" s="38"/>
      <c r="K90" s="39" t="n">
        <f aca="false">IF(OR($A90="",NOT(ISNUMBER($D90)),NOT(ISNUMBER($H90))),"",IF(AND(ISNUMBER($J90),$J90&gt;0),$J90,IF(ISNUMBER($I90),$I90,"")))</f>
        <v>252.25</v>
      </c>
      <c r="L90" s="40" t="n">
        <f aca="false">IF(ISNUMBER($K90),$K90*$H90,"")</f>
        <v>47.9275</v>
      </c>
      <c r="M90" s="40" t="n">
        <f aca="false">IF(ISNUMBER($K90),$K90*Parâmetros!$B$8,"")</f>
        <v>25.225</v>
      </c>
      <c r="N90" s="40" t="n">
        <f aca="false">IF(ISNUMBER($K90),$K90*Parâmetros!$C$8,"")</f>
        <v>7.5675</v>
      </c>
      <c r="O90" s="40" t="n">
        <f aca="false">IF(ISNUMBER($K90),IF(ISNUMBER(Parâmetros!$E$8),Parâmetros!$E$8,0),"")</f>
        <v>0</v>
      </c>
      <c r="P90" s="41" t="n">
        <f aca="false">IF(ISNUMBER($K90),$K90-$D90-IF(ISNUMBER($E90),$E90,0)-$L90-$M90-$N90-$O90,"")</f>
        <v>50.45</v>
      </c>
      <c r="Q90" s="42" t="n">
        <f aca="false">IF(AND(ISNUMBER($K90),$K90&gt;0),$P90/$K90,"")</f>
        <v>0.2</v>
      </c>
      <c r="R90" s="43"/>
      <c r="S90" s="44" t="str">
        <f aca="false">IF(OR(NOT(ISNUMBER($R90)),$R90=0,NOT(ISNUMBER($K90))),"",$K90*(1-$R90))</f>
        <v/>
      </c>
      <c r="T90" s="45" t="str">
        <f aca="false">IF(ISNUMBER($S90),$S90*$H90,"")</f>
        <v/>
      </c>
      <c r="U90" s="45" t="str">
        <f aca="false">IF(ISNUMBER($S90),$S90*Parâmetros!$B$8,"")</f>
        <v/>
      </c>
      <c r="V90" s="45" t="str">
        <f aca="false">IF(ISNUMBER($S90),$S90*Parâmetros!$C$8,"")</f>
        <v/>
      </c>
      <c r="W90" s="44" t="str">
        <f aca="false">IF(ISNUMBER($S90),$S90-$D90-IF(ISNUMBER($E90),$E90,0)-$O90-$T90-$U90-$V90,"")</f>
        <v/>
      </c>
      <c r="X90" s="46" t="str">
        <f aca="false">IF(AND(ISNUMBER($S90),$S90&gt;0),$W90/$S90,"")</f>
        <v/>
      </c>
      <c r="Y90" s="47"/>
      <c r="Z90" s="19"/>
    </row>
    <row r="91" customFormat="false" ht="15.75" hidden="false" customHeight="true" outlineLevel="0" collapsed="false">
      <c r="A91" s="48" t="str">
        <f aca="false">IF(Produtos!$A91="","",Produtos!$A91)</f>
        <v>P2430</v>
      </c>
      <c r="B91" s="48" t="str">
        <f aca="false">IF(Produtos!$A91="","",Produtos!$B91)</f>
        <v>Lixeira c/Tampa Pedal 24x30 15L</v>
      </c>
      <c r="C91" s="48" t="str">
        <f aca="false">IF(Produtos!$A91="","",Produtos!$C91)</f>
        <v>Lixeiras com pedal</v>
      </c>
      <c r="D91" s="33" t="n">
        <f aca="false">IF(Produtos!$A91="","",IF(Produtos!$D91="","",Produtos!$D91))</f>
        <v>124.7</v>
      </c>
      <c r="E91" s="11" t="n">
        <v>0</v>
      </c>
      <c r="F91" s="34" t="n">
        <f aca="false">IF($A91="","",IF($C91="","⚠ categoria",IFERROR(INDEX(Parâmetros!$F$13:$F$22,MATCH($C91,Parâmetros!$A$13:$A$22,0)),"⚠ categoria")))</f>
        <v>0.19</v>
      </c>
      <c r="G91" s="35"/>
      <c r="H91" s="36" t="n">
        <f aca="false">IF($A91="","",IF(ISNUMBER($G91),$G91,IF(ISNUMBER($F91),$F91,"")))</f>
        <v>0.19</v>
      </c>
      <c r="I91" s="37" t="n">
        <f aca="false">IF(OR($A91="",NOT(ISNUMBER($D91)),NOT(ISNUMBER($H91))),"",IF((1-$H91-Parâmetros!$B$8-Parâmetros!$C$8-Parâmetros!$D$8)&lt;=0,"INVALIDO",($D91+IF(ISNUMBER($E91),$E91,0)+IF(ISNUMBER(Parâmetros!$E$8),Parâmetros!$E$8,0))/(1-$H91-Parâmetros!$B$8-Parâmetros!$C$8-Parâmetros!$D$8)))</f>
        <v>259.791666666667</v>
      </c>
      <c r="J91" s="38"/>
      <c r="K91" s="39" t="n">
        <f aca="false">IF(OR($A91="",NOT(ISNUMBER($D91)),NOT(ISNUMBER($H91))),"",IF(AND(ISNUMBER($J91),$J91&gt;0),$J91,IF(ISNUMBER($I91),$I91,"")))</f>
        <v>259.791666666667</v>
      </c>
      <c r="L91" s="40" t="n">
        <f aca="false">IF(ISNUMBER($K91),$K91*$H91,"")</f>
        <v>49.3604166666667</v>
      </c>
      <c r="M91" s="40" t="n">
        <f aca="false">IF(ISNUMBER($K91),$K91*Parâmetros!$B$8,"")</f>
        <v>25.9791666666667</v>
      </c>
      <c r="N91" s="40" t="n">
        <f aca="false">IF(ISNUMBER($K91),$K91*Parâmetros!$C$8,"")</f>
        <v>7.79375</v>
      </c>
      <c r="O91" s="40" t="n">
        <f aca="false">IF(ISNUMBER($K91),IF(ISNUMBER(Parâmetros!$E$8),Parâmetros!$E$8,0),"")</f>
        <v>0</v>
      </c>
      <c r="P91" s="41" t="n">
        <f aca="false">IF(ISNUMBER($K91),$K91-$D91-IF(ISNUMBER($E91),$E91,0)-$L91-$M91-$N91-$O91,"")</f>
        <v>51.9583333333333</v>
      </c>
      <c r="Q91" s="42" t="n">
        <f aca="false">IF(AND(ISNUMBER($K91),$K91&gt;0),$P91/$K91,"")</f>
        <v>0.2</v>
      </c>
      <c r="R91" s="43"/>
      <c r="S91" s="44" t="str">
        <f aca="false">IF(OR(NOT(ISNUMBER($R91)),$R91=0,NOT(ISNUMBER($K91))),"",$K91*(1-$R91))</f>
        <v/>
      </c>
      <c r="T91" s="45" t="str">
        <f aca="false">IF(ISNUMBER($S91),$S91*$H91,"")</f>
        <v/>
      </c>
      <c r="U91" s="45" t="str">
        <f aca="false">IF(ISNUMBER($S91),$S91*Parâmetros!$B$8,"")</f>
        <v/>
      </c>
      <c r="V91" s="45" t="str">
        <f aca="false">IF(ISNUMBER($S91),$S91*Parâmetros!$C$8,"")</f>
        <v/>
      </c>
      <c r="W91" s="44" t="str">
        <f aca="false">IF(ISNUMBER($S91),$S91-$D91-IF(ISNUMBER($E91),$E91,0)-$O91-$T91-$U91-$V91,"")</f>
        <v/>
      </c>
      <c r="X91" s="46" t="str">
        <f aca="false">IF(AND(ISNUMBER($S91),$S91&gt;0),$W91/$S91,"")</f>
        <v/>
      </c>
      <c r="Y91" s="49"/>
      <c r="Z91" s="21"/>
    </row>
    <row r="92" customFormat="false" ht="15.75" hidden="false" customHeight="true" outlineLevel="0" collapsed="false">
      <c r="A92" s="32" t="str">
        <f aca="false">IF(Produtos!$A92="","",Produtos!$A92)</f>
        <v>P2440</v>
      </c>
      <c r="B92" s="32" t="str">
        <f aca="false">IF(Produtos!$A92="","",Produtos!$B92)</f>
        <v>Lixeira c/Tampa Pedal 24x40 20L</v>
      </c>
      <c r="C92" s="32" t="str">
        <f aca="false">IF(Produtos!$A92="","",Produtos!$C92)</f>
        <v>Lixeiras com pedal</v>
      </c>
      <c r="D92" s="33" t="n">
        <f aca="false">IF(Produtos!$A92="","",IF(Produtos!$D92="","",Produtos!$D92))</f>
        <v>140.24</v>
      </c>
      <c r="E92" s="11" t="n">
        <v>0</v>
      </c>
      <c r="F92" s="34" t="n">
        <f aca="false">IF($A92="","",IF($C92="","⚠ categoria",IFERROR(INDEX(Parâmetros!$F$13:$F$22,MATCH($C92,Parâmetros!$A$13:$A$22,0)),"⚠ categoria")))</f>
        <v>0.19</v>
      </c>
      <c r="G92" s="35"/>
      <c r="H92" s="36" t="n">
        <f aca="false">IF($A92="","",IF(ISNUMBER($G92),$G92,IF(ISNUMBER($F92),$F92,"")))</f>
        <v>0.19</v>
      </c>
      <c r="I92" s="37" t="n">
        <f aca="false">IF(OR($A92="",NOT(ISNUMBER($D92)),NOT(ISNUMBER($H92))),"",IF((1-$H92-Parâmetros!$B$8-Parâmetros!$C$8-Parâmetros!$D$8)&lt;=0,"INVALIDO",($D92+IF(ISNUMBER($E92),$E92,0)+IF(ISNUMBER(Parâmetros!$E$8),Parâmetros!$E$8,0))/(1-$H92-Parâmetros!$B$8-Parâmetros!$C$8-Parâmetros!$D$8)))</f>
        <v>292.166666666667</v>
      </c>
      <c r="J92" s="38"/>
      <c r="K92" s="39" t="n">
        <f aca="false">IF(OR($A92="",NOT(ISNUMBER($D92)),NOT(ISNUMBER($H92))),"",IF(AND(ISNUMBER($J92),$J92&gt;0),$J92,IF(ISNUMBER($I92),$I92,"")))</f>
        <v>292.166666666667</v>
      </c>
      <c r="L92" s="40" t="n">
        <f aca="false">IF(ISNUMBER($K92),$K92*$H92,"")</f>
        <v>55.5116666666667</v>
      </c>
      <c r="M92" s="40" t="n">
        <f aca="false">IF(ISNUMBER($K92),$K92*Parâmetros!$B$8,"")</f>
        <v>29.2166666666667</v>
      </c>
      <c r="N92" s="40" t="n">
        <f aca="false">IF(ISNUMBER($K92),$K92*Parâmetros!$C$8,"")</f>
        <v>8.765</v>
      </c>
      <c r="O92" s="40" t="n">
        <f aca="false">IF(ISNUMBER($K92),IF(ISNUMBER(Parâmetros!$E$8),Parâmetros!$E$8,0),"")</f>
        <v>0</v>
      </c>
      <c r="P92" s="41" t="n">
        <f aca="false">IF(ISNUMBER($K92),$K92-$D92-IF(ISNUMBER($E92),$E92,0)-$L92-$M92-$N92-$O92,"")</f>
        <v>58.4333333333333</v>
      </c>
      <c r="Q92" s="42" t="n">
        <f aca="false">IF(AND(ISNUMBER($K92),$K92&gt;0),$P92/$K92,"")</f>
        <v>0.2</v>
      </c>
      <c r="R92" s="43"/>
      <c r="S92" s="44" t="str">
        <f aca="false">IF(OR(NOT(ISNUMBER($R92)),$R92=0,NOT(ISNUMBER($K92))),"",$K92*(1-$R92))</f>
        <v/>
      </c>
      <c r="T92" s="45" t="str">
        <f aca="false">IF(ISNUMBER($S92),$S92*$H92,"")</f>
        <v/>
      </c>
      <c r="U92" s="45" t="str">
        <f aca="false">IF(ISNUMBER($S92),$S92*Parâmetros!$B$8,"")</f>
        <v/>
      </c>
      <c r="V92" s="45" t="str">
        <f aca="false">IF(ISNUMBER($S92),$S92*Parâmetros!$C$8,"")</f>
        <v/>
      </c>
      <c r="W92" s="44" t="str">
        <f aca="false">IF(ISNUMBER($S92),$S92-$D92-IF(ISNUMBER($E92),$E92,0)-$O92-$T92-$U92-$V92,"")</f>
        <v/>
      </c>
      <c r="X92" s="46" t="str">
        <f aca="false">IF(AND(ISNUMBER($S92),$S92&gt;0),$W92/$S92,"")</f>
        <v/>
      </c>
      <c r="Y92" s="47"/>
      <c r="Z92" s="19"/>
    </row>
    <row r="93" customFormat="false" ht="15.75" hidden="false" customHeight="true" outlineLevel="0" collapsed="false">
      <c r="A93" s="48" t="str">
        <f aca="false">IF(Produtos!$A93="","",Produtos!$A93)</f>
        <v>P3040</v>
      </c>
      <c r="B93" s="48" t="str">
        <f aca="false">IF(Produtos!$A93="","",Produtos!$B93)</f>
        <v>Lixeira c/Tampa Pedal 30x40 30L</v>
      </c>
      <c r="C93" s="48" t="str">
        <f aca="false">IF(Produtos!$A93="","",Produtos!$C93)</f>
        <v>Lixeiras com pedal</v>
      </c>
      <c r="D93" s="33" t="n">
        <f aca="false">IF(Produtos!$A93="","",IF(Produtos!$D93="","",Produtos!$D93))</f>
        <v>194.88</v>
      </c>
      <c r="E93" s="11" t="n">
        <v>0</v>
      </c>
      <c r="F93" s="34" t="n">
        <f aca="false">IF($A93="","",IF($C93="","⚠ categoria",IFERROR(INDEX(Parâmetros!$F$13:$F$22,MATCH($C93,Parâmetros!$A$13:$A$22,0)),"⚠ categoria")))</f>
        <v>0.19</v>
      </c>
      <c r="G93" s="35"/>
      <c r="H93" s="36" t="n">
        <f aca="false">IF($A93="","",IF(ISNUMBER($G93),$G93,IF(ISNUMBER($F93),$F93,"")))</f>
        <v>0.19</v>
      </c>
      <c r="I93" s="37" t="n">
        <f aca="false">IF(OR($A93="",NOT(ISNUMBER($D93)),NOT(ISNUMBER($H93))),"",IF((1-$H93-Parâmetros!$B$8-Parâmetros!$C$8-Parâmetros!$D$8)&lt;=0,"INVALIDO",($D93+IF(ISNUMBER($E93),$E93,0)+IF(ISNUMBER(Parâmetros!$E$8),Parâmetros!$E$8,0))/(1-$H93-Parâmetros!$B$8-Parâmetros!$C$8-Parâmetros!$D$8)))</f>
        <v>406</v>
      </c>
      <c r="J93" s="38"/>
      <c r="K93" s="39" t="n">
        <f aca="false">IF(OR($A93="",NOT(ISNUMBER($D93)),NOT(ISNUMBER($H93))),"",IF(AND(ISNUMBER($J93),$J93&gt;0),$J93,IF(ISNUMBER($I93),$I93,"")))</f>
        <v>406</v>
      </c>
      <c r="L93" s="40" t="n">
        <f aca="false">IF(ISNUMBER($K93),$K93*$H93,"")</f>
        <v>77.14</v>
      </c>
      <c r="M93" s="40" t="n">
        <f aca="false">IF(ISNUMBER($K93),$K93*Parâmetros!$B$8,"")</f>
        <v>40.6</v>
      </c>
      <c r="N93" s="40" t="n">
        <f aca="false">IF(ISNUMBER($K93),$K93*Parâmetros!$C$8,"")</f>
        <v>12.18</v>
      </c>
      <c r="O93" s="40" t="n">
        <f aca="false">IF(ISNUMBER($K93),IF(ISNUMBER(Parâmetros!$E$8),Parâmetros!$E$8,0),"")</f>
        <v>0</v>
      </c>
      <c r="P93" s="41" t="n">
        <f aca="false">IF(ISNUMBER($K93),$K93-$D93-IF(ISNUMBER($E93),$E93,0)-$L93-$M93-$N93-$O93,"")</f>
        <v>81.2</v>
      </c>
      <c r="Q93" s="42" t="n">
        <f aca="false">IF(AND(ISNUMBER($K93),$K93&gt;0),$P93/$K93,"")</f>
        <v>0.2</v>
      </c>
      <c r="R93" s="43"/>
      <c r="S93" s="44" t="str">
        <f aca="false">IF(OR(NOT(ISNUMBER($R93)),$R93=0,NOT(ISNUMBER($K93))),"",$K93*(1-$R93))</f>
        <v/>
      </c>
      <c r="T93" s="45" t="str">
        <f aca="false">IF(ISNUMBER($S93),$S93*$H93,"")</f>
        <v/>
      </c>
      <c r="U93" s="45" t="str">
        <f aca="false">IF(ISNUMBER($S93),$S93*Parâmetros!$B$8,"")</f>
        <v/>
      </c>
      <c r="V93" s="45" t="str">
        <f aca="false">IF(ISNUMBER($S93),$S93*Parâmetros!$C$8,"")</f>
        <v/>
      </c>
      <c r="W93" s="44" t="str">
        <f aca="false">IF(ISNUMBER($S93),$S93-$D93-IF(ISNUMBER($E93),$E93,0)-$O93-$T93-$U93-$V93,"")</f>
        <v/>
      </c>
      <c r="X93" s="46" t="str">
        <f aca="false">IF(AND(ISNUMBER($S93),$S93&gt;0),$W93/$S93,"")</f>
        <v/>
      </c>
      <c r="Y93" s="49"/>
      <c r="Z93" s="21"/>
    </row>
    <row r="94" customFormat="false" ht="15.75" hidden="false" customHeight="true" outlineLevel="0" collapsed="false">
      <c r="A94" s="32" t="str">
        <f aca="false">IF(Produtos!$A94="","",Produtos!$A94)</f>
        <v>P3050</v>
      </c>
      <c r="B94" s="32" t="str">
        <f aca="false">IF(Produtos!$A94="","",Produtos!$B94)</f>
        <v>Lixeira c/Tampa Pedal 30x50 40L</v>
      </c>
      <c r="C94" s="32" t="str">
        <f aca="false">IF(Produtos!$A94="","",Produtos!$C94)</f>
        <v>Lixeiras com pedal</v>
      </c>
      <c r="D94" s="33" t="n">
        <f aca="false">IF(Produtos!$A94="","",IF(Produtos!$D94="","",Produtos!$D94))</f>
        <v>240.55</v>
      </c>
      <c r="E94" s="11" t="n">
        <v>0</v>
      </c>
      <c r="F94" s="34" t="n">
        <f aca="false">IF($A94="","",IF($C94="","⚠ categoria",IFERROR(INDEX(Parâmetros!$F$13:$F$22,MATCH($C94,Parâmetros!$A$13:$A$22,0)),"⚠ categoria")))</f>
        <v>0.19</v>
      </c>
      <c r="G94" s="35"/>
      <c r="H94" s="36" t="n">
        <f aca="false">IF($A94="","",IF(ISNUMBER($G94),$G94,IF(ISNUMBER($F94),$F94,"")))</f>
        <v>0.19</v>
      </c>
      <c r="I94" s="37" t="n">
        <f aca="false">IF(OR($A94="",NOT(ISNUMBER($D94)),NOT(ISNUMBER($H94))),"",IF((1-$H94-Parâmetros!$B$8-Parâmetros!$C$8-Parâmetros!$D$8)&lt;=0,"INVALIDO",($D94+IF(ISNUMBER($E94),$E94,0)+IF(ISNUMBER(Parâmetros!$E$8),Parâmetros!$E$8,0))/(1-$H94-Parâmetros!$B$8-Parâmetros!$C$8-Parâmetros!$D$8)))</f>
        <v>501.145833333333</v>
      </c>
      <c r="J94" s="38"/>
      <c r="K94" s="39" t="n">
        <f aca="false">IF(OR($A94="",NOT(ISNUMBER($D94)),NOT(ISNUMBER($H94))),"",IF(AND(ISNUMBER($J94),$J94&gt;0),$J94,IF(ISNUMBER($I94),$I94,"")))</f>
        <v>501.145833333333</v>
      </c>
      <c r="L94" s="40" t="n">
        <f aca="false">IF(ISNUMBER($K94),$K94*$H94,"")</f>
        <v>95.2177083333333</v>
      </c>
      <c r="M94" s="40" t="n">
        <f aca="false">IF(ISNUMBER($K94),$K94*Parâmetros!$B$8,"")</f>
        <v>50.1145833333333</v>
      </c>
      <c r="N94" s="40" t="n">
        <f aca="false">IF(ISNUMBER($K94),$K94*Parâmetros!$C$8,"")</f>
        <v>15.034375</v>
      </c>
      <c r="O94" s="40" t="n">
        <f aca="false">IF(ISNUMBER($K94),IF(ISNUMBER(Parâmetros!$E$8),Parâmetros!$E$8,0),"")</f>
        <v>0</v>
      </c>
      <c r="P94" s="41" t="n">
        <f aca="false">IF(ISNUMBER($K94),$K94-$D94-IF(ISNUMBER($E94),$E94,0)-$L94-$M94-$N94-$O94,"")</f>
        <v>100.229166666667</v>
      </c>
      <c r="Q94" s="42" t="n">
        <f aca="false">IF(AND(ISNUMBER($K94),$K94&gt;0),$P94/$K94,"")</f>
        <v>0.2</v>
      </c>
      <c r="R94" s="43"/>
      <c r="S94" s="44" t="str">
        <f aca="false">IF(OR(NOT(ISNUMBER($R94)),$R94=0,NOT(ISNUMBER($K94))),"",$K94*(1-$R94))</f>
        <v/>
      </c>
      <c r="T94" s="45" t="str">
        <f aca="false">IF(ISNUMBER($S94),$S94*$H94,"")</f>
        <v/>
      </c>
      <c r="U94" s="45" t="str">
        <f aca="false">IF(ISNUMBER($S94),$S94*Parâmetros!$B$8,"")</f>
        <v/>
      </c>
      <c r="V94" s="45" t="str">
        <f aca="false">IF(ISNUMBER($S94),$S94*Parâmetros!$C$8,"")</f>
        <v/>
      </c>
      <c r="W94" s="44" t="str">
        <f aca="false">IF(ISNUMBER($S94),$S94-$D94-IF(ISNUMBER($E94),$E94,0)-$O94-$T94-$U94-$V94,"")</f>
        <v/>
      </c>
      <c r="X94" s="46" t="str">
        <f aca="false">IF(AND(ISNUMBER($S94),$S94&gt;0),$W94/$S94,"")</f>
        <v/>
      </c>
      <c r="Y94" s="47"/>
      <c r="Z94" s="19"/>
    </row>
    <row r="95" customFormat="false" ht="15.75" hidden="false" customHeight="true" outlineLevel="0" collapsed="false">
      <c r="A95" s="48" t="str">
        <f aca="false">IF(Produtos!$A95="","",Produtos!$A95)</f>
        <v>P3060</v>
      </c>
      <c r="B95" s="48" t="str">
        <f aca="false">IF(Produtos!$A95="","",Produtos!$B95)</f>
        <v>Lixeira c/Tampa Pedal 30x60 50L</v>
      </c>
      <c r="C95" s="48" t="str">
        <f aca="false">IF(Produtos!$A95="","",Produtos!$C95)</f>
        <v>Lixeiras com pedal</v>
      </c>
      <c r="D95" s="33" t="n">
        <f aca="false">IF(Produtos!$A95="","",IF(Produtos!$D95="","",Produtos!$D95))</f>
        <v>242.26</v>
      </c>
      <c r="E95" s="11" t="n">
        <v>0</v>
      </c>
      <c r="F95" s="34" t="n">
        <f aca="false">IF($A95="","",IF($C95="","⚠ categoria",IFERROR(INDEX(Parâmetros!$F$13:$F$22,MATCH($C95,Parâmetros!$A$13:$A$22,0)),"⚠ categoria")))</f>
        <v>0.19</v>
      </c>
      <c r="G95" s="35"/>
      <c r="H95" s="36" t="n">
        <f aca="false">IF($A95="","",IF(ISNUMBER($G95),$G95,IF(ISNUMBER($F95),$F95,"")))</f>
        <v>0.19</v>
      </c>
      <c r="I95" s="37" t="n">
        <f aca="false">IF(OR($A95="",NOT(ISNUMBER($D95)),NOT(ISNUMBER($H95))),"",IF((1-$H95-Parâmetros!$B$8-Parâmetros!$C$8-Parâmetros!$D$8)&lt;=0,"INVALIDO",($D95+IF(ISNUMBER($E95),$E95,0)+IF(ISNUMBER(Parâmetros!$E$8),Parâmetros!$E$8,0))/(1-$H95-Parâmetros!$B$8-Parâmetros!$C$8-Parâmetros!$D$8)))</f>
        <v>504.708333333333</v>
      </c>
      <c r="J95" s="38"/>
      <c r="K95" s="39" t="n">
        <f aca="false">IF(OR($A95="",NOT(ISNUMBER($D95)),NOT(ISNUMBER($H95))),"",IF(AND(ISNUMBER($J95),$J95&gt;0),$J95,IF(ISNUMBER($I95),$I95,"")))</f>
        <v>504.708333333333</v>
      </c>
      <c r="L95" s="40" t="n">
        <f aca="false">IF(ISNUMBER($K95),$K95*$H95,"")</f>
        <v>95.8945833333333</v>
      </c>
      <c r="M95" s="40" t="n">
        <f aca="false">IF(ISNUMBER($K95),$K95*Parâmetros!$B$8,"")</f>
        <v>50.4708333333333</v>
      </c>
      <c r="N95" s="40" t="n">
        <f aca="false">IF(ISNUMBER($K95),$K95*Parâmetros!$C$8,"")</f>
        <v>15.14125</v>
      </c>
      <c r="O95" s="40" t="n">
        <f aca="false">IF(ISNUMBER($K95),IF(ISNUMBER(Parâmetros!$E$8),Parâmetros!$E$8,0),"")</f>
        <v>0</v>
      </c>
      <c r="P95" s="41" t="n">
        <f aca="false">IF(ISNUMBER($K95),$K95-$D95-IF(ISNUMBER($E95),$E95,0)-$L95-$M95-$N95-$O95,"")</f>
        <v>100.941666666667</v>
      </c>
      <c r="Q95" s="42" t="n">
        <f aca="false">IF(AND(ISNUMBER($K95),$K95&gt;0),$P95/$K95,"")</f>
        <v>0.2</v>
      </c>
      <c r="R95" s="43"/>
      <c r="S95" s="44" t="str">
        <f aca="false">IF(OR(NOT(ISNUMBER($R95)),$R95=0,NOT(ISNUMBER($K95))),"",$K95*(1-$R95))</f>
        <v/>
      </c>
      <c r="T95" s="45" t="str">
        <f aca="false">IF(ISNUMBER($S95),$S95*$H95,"")</f>
        <v/>
      </c>
      <c r="U95" s="45" t="str">
        <f aca="false">IF(ISNUMBER($S95),$S95*Parâmetros!$B$8,"")</f>
        <v/>
      </c>
      <c r="V95" s="45" t="str">
        <f aca="false">IF(ISNUMBER($S95),$S95*Parâmetros!$C$8,"")</f>
        <v/>
      </c>
      <c r="W95" s="44" t="str">
        <f aca="false">IF(ISNUMBER($S95),$S95-$D95-IF(ISNUMBER($E95),$E95,0)-$O95-$T95-$U95-$V95,"")</f>
        <v/>
      </c>
      <c r="X95" s="46" t="str">
        <f aca="false">IF(AND(ISNUMBER($S95),$S95&gt;0),$W95/$S95,"")</f>
        <v/>
      </c>
      <c r="Y95" s="49"/>
      <c r="Z95" s="21"/>
    </row>
    <row r="96" customFormat="false" ht="15.75" hidden="false" customHeight="true" outlineLevel="0" collapsed="false">
      <c r="A96" s="32" t="str">
        <f aca="false">IF(Produtos!$A96="","",Produtos!$A96)</f>
        <v>P3070</v>
      </c>
      <c r="B96" s="32" t="str">
        <f aca="false">IF(Produtos!$A96="","",Produtos!$B96)</f>
        <v>Lixeira c/Tampa Pedal 30x70 60L</v>
      </c>
      <c r="C96" s="32" t="str">
        <f aca="false">IF(Produtos!$A96="","",Produtos!$C96)</f>
        <v>Lixeiras com pedal</v>
      </c>
      <c r="D96" s="33" t="n">
        <f aca="false">IF(Produtos!$A96="","",IF(Produtos!$D96="","",Produtos!$D96))</f>
        <v>307.26</v>
      </c>
      <c r="E96" s="11" t="n">
        <v>0</v>
      </c>
      <c r="F96" s="34" t="n">
        <f aca="false">IF($A96="","",IF($C96="","⚠ categoria",IFERROR(INDEX(Parâmetros!$F$13:$F$22,MATCH($C96,Parâmetros!$A$13:$A$22,0)),"⚠ categoria")))</f>
        <v>0.19</v>
      </c>
      <c r="G96" s="35"/>
      <c r="H96" s="36" t="n">
        <f aca="false">IF($A96="","",IF(ISNUMBER($G96),$G96,IF(ISNUMBER($F96),$F96,"")))</f>
        <v>0.19</v>
      </c>
      <c r="I96" s="37" t="n">
        <f aca="false">IF(OR($A96="",NOT(ISNUMBER($D96)),NOT(ISNUMBER($H96))),"",IF((1-$H96-Parâmetros!$B$8-Parâmetros!$C$8-Parâmetros!$D$8)&lt;=0,"INVALIDO",($D96+IF(ISNUMBER($E96),$E96,0)+IF(ISNUMBER(Parâmetros!$E$8),Parâmetros!$E$8,0))/(1-$H96-Parâmetros!$B$8-Parâmetros!$C$8-Parâmetros!$D$8)))</f>
        <v>640.125</v>
      </c>
      <c r="J96" s="38"/>
      <c r="K96" s="39" t="n">
        <f aca="false">IF(OR($A96="",NOT(ISNUMBER($D96)),NOT(ISNUMBER($H96))),"",IF(AND(ISNUMBER($J96),$J96&gt;0),$J96,IF(ISNUMBER($I96),$I96,"")))</f>
        <v>640.125</v>
      </c>
      <c r="L96" s="40" t="n">
        <f aca="false">IF(ISNUMBER($K96),$K96*$H96,"")</f>
        <v>121.62375</v>
      </c>
      <c r="M96" s="40" t="n">
        <f aca="false">IF(ISNUMBER($K96),$K96*Parâmetros!$B$8,"")</f>
        <v>64.0125</v>
      </c>
      <c r="N96" s="40" t="n">
        <f aca="false">IF(ISNUMBER($K96),$K96*Parâmetros!$C$8,"")</f>
        <v>19.20375</v>
      </c>
      <c r="O96" s="40" t="n">
        <f aca="false">IF(ISNUMBER($K96),IF(ISNUMBER(Parâmetros!$E$8),Parâmetros!$E$8,0),"")</f>
        <v>0</v>
      </c>
      <c r="P96" s="41" t="n">
        <f aca="false">IF(ISNUMBER($K96),$K96-$D96-IF(ISNUMBER($E96),$E96,0)-$L96-$M96-$N96-$O96,"")</f>
        <v>128.025</v>
      </c>
      <c r="Q96" s="42" t="n">
        <f aca="false">IF(AND(ISNUMBER($K96),$K96&gt;0),$P96/$K96,"")</f>
        <v>0.2</v>
      </c>
      <c r="R96" s="43"/>
      <c r="S96" s="44" t="str">
        <f aca="false">IF(OR(NOT(ISNUMBER($R96)),$R96=0,NOT(ISNUMBER($K96))),"",$K96*(1-$R96))</f>
        <v/>
      </c>
      <c r="T96" s="45" t="str">
        <f aca="false">IF(ISNUMBER($S96),$S96*$H96,"")</f>
        <v/>
      </c>
      <c r="U96" s="45" t="str">
        <f aca="false">IF(ISNUMBER($S96),$S96*Parâmetros!$B$8,"")</f>
        <v/>
      </c>
      <c r="V96" s="45" t="str">
        <f aca="false">IF(ISNUMBER($S96),$S96*Parâmetros!$C$8,"")</f>
        <v/>
      </c>
      <c r="W96" s="44" t="str">
        <f aca="false">IF(ISNUMBER($S96),$S96-$D96-IF(ISNUMBER($E96),$E96,0)-$O96-$T96-$U96-$V96,"")</f>
        <v/>
      </c>
      <c r="X96" s="46" t="str">
        <f aca="false">IF(AND(ISNUMBER($S96),$S96&gt;0),$W96/$S96,"")</f>
        <v/>
      </c>
      <c r="Y96" s="47"/>
      <c r="Z96" s="19"/>
    </row>
    <row r="97" customFormat="false" ht="15.75" hidden="false" customHeight="true" outlineLevel="0" collapsed="false">
      <c r="A97" s="48" t="str">
        <f aca="false">IF(Produtos!$A97="","",Produtos!$A97)</f>
        <v>P4050</v>
      </c>
      <c r="B97" s="48" t="str">
        <f aca="false">IF(Produtos!$A97="","",Produtos!$B97)</f>
        <v>Lixeira c/Tampa Pedal 40x50 65L</v>
      </c>
      <c r="C97" s="48" t="str">
        <f aca="false">IF(Produtos!$A97="","",Produtos!$C97)</f>
        <v>Lixeiras com pedal</v>
      </c>
      <c r="D97" s="33" t="n">
        <f aca="false">IF(Produtos!$A97="","",IF(Produtos!$D97="","",Produtos!$D97))</f>
        <v>374.18</v>
      </c>
      <c r="E97" s="11" t="n">
        <v>0</v>
      </c>
      <c r="F97" s="34" t="n">
        <f aca="false">IF($A97="","",IF($C97="","⚠ categoria",IFERROR(INDEX(Parâmetros!$F$13:$F$22,MATCH($C97,Parâmetros!$A$13:$A$22,0)),"⚠ categoria")))</f>
        <v>0.19</v>
      </c>
      <c r="G97" s="35"/>
      <c r="H97" s="36" t="n">
        <f aca="false">IF($A97="","",IF(ISNUMBER($G97),$G97,IF(ISNUMBER($F97),$F97,"")))</f>
        <v>0.19</v>
      </c>
      <c r="I97" s="37" t="n">
        <f aca="false">IF(OR($A97="",NOT(ISNUMBER($D97)),NOT(ISNUMBER($H97))),"",IF((1-$H97-Parâmetros!$B$8-Parâmetros!$C$8-Parâmetros!$D$8)&lt;=0,"INVALIDO",($D97+IF(ISNUMBER($E97),$E97,0)+IF(ISNUMBER(Parâmetros!$E$8),Parâmetros!$E$8,0))/(1-$H97-Parâmetros!$B$8-Parâmetros!$C$8-Parâmetros!$D$8)))</f>
        <v>779.541666666667</v>
      </c>
      <c r="J97" s="38"/>
      <c r="K97" s="39" t="n">
        <f aca="false">IF(OR($A97="",NOT(ISNUMBER($D97)),NOT(ISNUMBER($H97))),"",IF(AND(ISNUMBER($J97),$J97&gt;0),$J97,IF(ISNUMBER($I97),$I97,"")))</f>
        <v>779.541666666667</v>
      </c>
      <c r="L97" s="40" t="n">
        <f aca="false">IF(ISNUMBER($K97),$K97*$H97,"")</f>
        <v>148.112916666667</v>
      </c>
      <c r="M97" s="40" t="n">
        <f aca="false">IF(ISNUMBER($K97),$K97*Parâmetros!$B$8,"")</f>
        <v>77.9541666666667</v>
      </c>
      <c r="N97" s="40" t="n">
        <f aca="false">IF(ISNUMBER($K97),$K97*Parâmetros!$C$8,"")</f>
        <v>23.38625</v>
      </c>
      <c r="O97" s="40" t="n">
        <f aca="false">IF(ISNUMBER($K97),IF(ISNUMBER(Parâmetros!$E$8),Parâmetros!$E$8,0),"")</f>
        <v>0</v>
      </c>
      <c r="P97" s="41" t="n">
        <f aca="false">IF(ISNUMBER($K97),$K97-$D97-IF(ISNUMBER($E97),$E97,0)-$L97-$M97-$N97-$O97,"")</f>
        <v>155.908333333333</v>
      </c>
      <c r="Q97" s="42" t="n">
        <f aca="false">IF(AND(ISNUMBER($K97),$K97&gt;0),$P97/$K97,"")</f>
        <v>0.2</v>
      </c>
      <c r="R97" s="43"/>
      <c r="S97" s="44" t="str">
        <f aca="false">IF(OR(NOT(ISNUMBER($R97)),$R97=0,NOT(ISNUMBER($K97))),"",$K97*(1-$R97))</f>
        <v/>
      </c>
      <c r="T97" s="45" t="str">
        <f aca="false">IF(ISNUMBER($S97),$S97*$H97,"")</f>
        <v/>
      </c>
      <c r="U97" s="45" t="str">
        <f aca="false">IF(ISNUMBER($S97),$S97*Parâmetros!$B$8,"")</f>
        <v/>
      </c>
      <c r="V97" s="45" t="str">
        <f aca="false">IF(ISNUMBER($S97),$S97*Parâmetros!$C$8,"")</f>
        <v/>
      </c>
      <c r="W97" s="44" t="str">
        <f aca="false">IF(ISNUMBER($S97),$S97-$D97-IF(ISNUMBER($E97),$E97,0)-$O97-$T97-$U97-$V97,"")</f>
        <v/>
      </c>
      <c r="X97" s="46" t="str">
        <f aca="false">IF(AND(ISNUMBER($S97),$S97&gt;0),$W97/$S97,"")</f>
        <v/>
      </c>
      <c r="Y97" s="49"/>
      <c r="Z97" s="21"/>
    </row>
    <row r="98" customFormat="false" ht="15.75" hidden="false" customHeight="true" outlineLevel="0" collapsed="false">
      <c r="A98" s="32" t="str">
        <f aca="false">IF(Produtos!$A98="","",Produtos!$A98)</f>
        <v>P4060</v>
      </c>
      <c r="B98" s="32" t="str">
        <f aca="false">IF(Produtos!$A98="","",Produtos!$B98)</f>
        <v>Lixeira c/Tampa Pedal 40x60 75L</v>
      </c>
      <c r="C98" s="32" t="str">
        <f aca="false">IF(Produtos!$A98="","",Produtos!$C98)</f>
        <v>Lixeiras com pedal</v>
      </c>
      <c r="D98" s="33" t="n">
        <f aca="false">IF(Produtos!$A98="","",IF(Produtos!$D98="","",Produtos!$D98))</f>
        <v>411.2</v>
      </c>
      <c r="E98" s="11" t="n">
        <v>0</v>
      </c>
      <c r="F98" s="34" t="n">
        <f aca="false">IF($A98="","",IF($C98="","⚠ categoria",IFERROR(INDEX(Parâmetros!$F$13:$F$22,MATCH($C98,Parâmetros!$A$13:$A$22,0)),"⚠ categoria")))</f>
        <v>0.19</v>
      </c>
      <c r="G98" s="35"/>
      <c r="H98" s="36" t="n">
        <f aca="false">IF($A98="","",IF(ISNUMBER($G98),$G98,IF(ISNUMBER($F98),$F98,"")))</f>
        <v>0.19</v>
      </c>
      <c r="I98" s="37" t="n">
        <f aca="false">IF(OR($A98="",NOT(ISNUMBER($D98)),NOT(ISNUMBER($H98))),"",IF((1-$H98-Parâmetros!$B$8-Parâmetros!$C$8-Parâmetros!$D$8)&lt;=0,"INVALIDO",($D98+IF(ISNUMBER($E98),$E98,0)+IF(ISNUMBER(Parâmetros!$E$8),Parâmetros!$E$8,0))/(1-$H98-Parâmetros!$B$8-Parâmetros!$C$8-Parâmetros!$D$8)))</f>
        <v>856.666666666667</v>
      </c>
      <c r="J98" s="38"/>
      <c r="K98" s="39" t="n">
        <f aca="false">IF(OR($A98="",NOT(ISNUMBER($D98)),NOT(ISNUMBER($H98))),"",IF(AND(ISNUMBER($J98),$J98&gt;0),$J98,IF(ISNUMBER($I98),$I98,"")))</f>
        <v>856.666666666667</v>
      </c>
      <c r="L98" s="40" t="n">
        <f aca="false">IF(ISNUMBER($K98),$K98*$H98,"")</f>
        <v>162.766666666667</v>
      </c>
      <c r="M98" s="40" t="n">
        <f aca="false">IF(ISNUMBER($K98),$K98*Parâmetros!$B$8,"")</f>
        <v>85.6666666666667</v>
      </c>
      <c r="N98" s="40" t="n">
        <f aca="false">IF(ISNUMBER($K98),$K98*Parâmetros!$C$8,"")</f>
        <v>25.7</v>
      </c>
      <c r="O98" s="40" t="n">
        <f aca="false">IF(ISNUMBER($K98),IF(ISNUMBER(Parâmetros!$E$8),Parâmetros!$E$8,0),"")</f>
        <v>0</v>
      </c>
      <c r="P98" s="41" t="n">
        <f aca="false">IF(ISNUMBER($K98),$K98-$D98-IF(ISNUMBER($E98),$E98,0)-$L98-$M98-$N98-$O98,"")</f>
        <v>171.333333333333</v>
      </c>
      <c r="Q98" s="42" t="n">
        <f aca="false">IF(AND(ISNUMBER($K98),$K98&gt;0),$P98/$K98,"")</f>
        <v>0.2</v>
      </c>
      <c r="R98" s="43"/>
      <c r="S98" s="44" t="str">
        <f aca="false">IF(OR(NOT(ISNUMBER($R98)),$R98=0,NOT(ISNUMBER($K98))),"",$K98*(1-$R98))</f>
        <v/>
      </c>
      <c r="T98" s="45" t="str">
        <f aca="false">IF(ISNUMBER($S98),$S98*$H98,"")</f>
        <v/>
      </c>
      <c r="U98" s="45" t="str">
        <f aca="false">IF(ISNUMBER($S98),$S98*Parâmetros!$B$8,"")</f>
        <v/>
      </c>
      <c r="V98" s="45" t="str">
        <f aca="false">IF(ISNUMBER($S98),$S98*Parâmetros!$C$8,"")</f>
        <v/>
      </c>
      <c r="W98" s="44" t="str">
        <f aca="false">IF(ISNUMBER($S98),$S98-$D98-IF(ISNUMBER($E98),$E98,0)-$O98-$T98-$U98-$V98,"")</f>
        <v/>
      </c>
      <c r="X98" s="46" t="str">
        <f aca="false">IF(AND(ISNUMBER($S98),$S98&gt;0),$W98/$S98,"")</f>
        <v/>
      </c>
      <c r="Y98" s="47"/>
      <c r="Z98" s="19"/>
    </row>
    <row r="99" customFormat="false" ht="15.75" hidden="false" customHeight="true" outlineLevel="0" collapsed="false">
      <c r="A99" s="48" t="str">
        <f aca="false">IF(Produtos!$A99="","",Produtos!$A99)</f>
        <v>P4070</v>
      </c>
      <c r="B99" s="48" t="str">
        <f aca="false">IF(Produtos!$A99="","",Produtos!$B99)</f>
        <v>Lixeira c/Tampa Pedal 40x70 80L</v>
      </c>
      <c r="C99" s="48" t="str">
        <f aca="false">IF(Produtos!$A99="","",Produtos!$C99)</f>
        <v>Lixeiras com pedal</v>
      </c>
      <c r="D99" s="33" t="n">
        <f aca="false">IF(Produtos!$A99="","",IF(Produtos!$D99="","",Produtos!$D99))</f>
        <v>416.62</v>
      </c>
      <c r="E99" s="11" t="n">
        <v>0</v>
      </c>
      <c r="F99" s="34" t="n">
        <f aca="false">IF($A99="","",IF($C99="","⚠ categoria",IFERROR(INDEX(Parâmetros!$F$13:$F$22,MATCH($C99,Parâmetros!$A$13:$A$22,0)),"⚠ categoria")))</f>
        <v>0.19</v>
      </c>
      <c r="G99" s="35"/>
      <c r="H99" s="36" t="n">
        <f aca="false">IF($A99="","",IF(ISNUMBER($G99),$G99,IF(ISNUMBER($F99),$F99,"")))</f>
        <v>0.19</v>
      </c>
      <c r="I99" s="37" t="n">
        <f aca="false">IF(OR($A99="",NOT(ISNUMBER($D99)),NOT(ISNUMBER($H99))),"",IF((1-$H99-Parâmetros!$B$8-Parâmetros!$C$8-Parâmetros!$D$8)&lt;=0,"INVALIDO",($D99+IF(ISNUMBER($E99),$E99,0)+IF(ISNUMBER(Parâmetros!$E$8),Parâmetros!$E$8,0))/(1-$H99-Parâmetros!$B$8-Parâmetros!$C$8-Parâmetros!$D$8)))</f>
        <v>867.958333333333</v>
      </c>
      <c r="J99" s="38"/>
      <c r="K99" s="39" t="n">
        <f aca="false">IF(OR($A99="",NOT(ISNUMBER($D99)),NOT(ISNUMBER($H99))),"",IF(AND(ISNUMBER($J99),$J99&gt;0),$J99,IF(ISNUMBER($I99),$I99,"")))</f>
        <v>867.958333333333</v>
      </c>
      <c r="L99" s="40" t="n">
        <f aca="false">IF(ISNUMBER($K99),$K99*$H99,"")</f>
        <v>164.912083333333</v>
      </c>
      <c r="M99" s="40" t="n">
        <f aca="false">IF(ISNUMBER($K99),$K99*Parâmetros!$B$8,"")</f>
        <v>86.7958333333333</v>
      </c>
      <c r="N99" s="40" t="n">
        <f aca="false">IF(ISNUMBER($K99),$K99*Parâmetros!$C$8,"")</f>
        <v>26.03875</v>
      </c>
      <c r="O99" s="40" t="n">
        <f aca="false">IF(ISNUMBER($K99),IF(ISNUMBER(Parâmetros!$E$8),Parâmetros!$E$8,0),"")</f>
        <v>0</v>
      </c>
      <c r="P99" s="41" t="n">
        <f aca="false">IF(ISNUMBER($K99),$K99-$D99-IF(ISNUMBER($E99),$E99,0)-$L99-$M99-$N99-$O99,"")</f>
        <v>173.591666666667</v>
      </c>
      <c r="Q99" s="42" t="n">
        <f aca="false">IF(AND(ISNUMBER($K99),$K99&gt;0),$P99/$K99,"")</f>
        <v>0.2</v>
      </c>
      <c r="R99" s="43"/>
      <c r="S99" s="44" t="str">
        <f aca="false">IF(OR(NOT(ISNUMBER($R99)),$R99=0,NOT(ISNUMBER($K99))),"",$K99*(1-$R99))</f>
        <v/>
      </c>
      <c r="T99" s="45" t="str">
        <f aca="false">IF(ISNUMBER($S99),$S99*$H99,"")</f>
        <v/>
      </c>
      <c r="U99" s="45" t="str">
        <f aca="false">IF(ISNUMBER($S99),$S99*Parâmetros!$B$8,"")</f>
        <v/>
      </c>
      <c r="V99" s="45" t="str">
        <f aca="false">IF(ISNUMBER($S99),$S99*Parâmetros!$C$8,"")</f>
        <v/>
      </c>
      <c r="W99" s="44" t="str">
        <f aca="false">IF(ISNUMBER($S99),$S99-$D99-IF(ISNUMBER($E99),$E99,0)-$O99-$T99-$U99-$V99,"")</f>
        <v/>
      </c>
      <c r="X99" s="46" t="str">
        <f aca="false">IF(AND(ISNUMBER($S99),$S99&gt;0),$W99/$S99,"")</f>
        <v/>
      </c>
      <c r="Y99" s="49"/>
      <c r="Z99" s="21"/>
    </row>
    <row r="100" customFormat="false" ht="15.75" hidden="false" customHeight="true" outlineLevel="0" collapsed="false">
      <c r="A100" s="32" t="str">
        <f aca="false">IF(Produtos!$A100="","",Produtos!$A100)</f>
        <v>P4075</v>
      </c>
      <c r="B100" s="32" t="str">
        <f aca="false">IF(Produtos!$A100="","",Produtos!$B100)</f>
        <v>Lixeira c/Tampa Pedal 40x75 95L</v>
      </c>
      <c r="C100" s="32" t="str">
        <f aca="false">IF(Produtos!$A100="","",Produtos!$C100)</f>
        <v>Lixeiras com pedal</v>
      </c>
      <c r="D100" s="33" t="n">
        <f aca="false">IF(Produtos!$A100="","",IF(Produtos!$D100="","",Produtos!$D100))</f>
        <v>478.21</v>
      </c>
      <c r="E100" s="11" t="n">
        <v>0</v>
      </c>
      <c r="F100" s="34" t="n">
        <f aca="false">IF($A100="","",IF($C100="","⚠ categoria",IFERROR(INDEX(Parâmetros!$F$13:$F$22,MATCH($C100,Parâmetros!$A$13:$A$22,0)),"⚠ categoria")))</f>
        <v>0.19</v>
      </c>
      <c r="G100" s="35"/>
      <c r="H100" s="36" t="n">
        <f aca="false">IF($A100="","",IF(ISNUMBER($G100),$G100,IF(ISNUMBER($F100),$F100,"")))</f>
        <v>0.19</v>
      </c>
      <c r="I100" s="37" t="n">
        <f aca="false">IF(OR($A100="",NOT(ISNUMBER($D100)),NOT(ISNUMBER($H100))),"",IF((1-$H100-Parâmetros!$B$8-Parâmetros!$C$8-Parâmetros!$D$8)&lt;=0,"INVALIDO",($D100+IF(ISNUMBER($E100),$E100,0)+IF(ISNUMBER(Parâmetros!$E$8),Parâmetros!$E$8,0))/(1-$H100-Parâmetros!$B$8-Parâmetros!$C$8-Parâmetros!$D$8)))</f>
        <v>996.270833333333</v>
      </c>
      <c r="J100" s="38"/>
      <c r="K100" s="39" t="n">
        <f aca="false">IF(OR($A100="",NOT(ISNUMBER($D100)),NOT(ISNUMBER($H100))),"",IF(AND(ISNUMBER($J100),$J100&gt;0),$J100,IF(ISNUMBER($I100),$I100,"")))</f>
        <v>996.270833333333</v>
      </c>
      <c r="L100" s="40" t="n">
        <f aca="false">IF(ISNUMBER($K100),$K100*$H100,"")</f>
        <v>189.291458333333</v>
      </c>
      <c r="M100" s="40" t="n">
        <f aca="false">IF(ISNUMBER($K100),$K100*Parâmetros!$B$8,"")</f>
        <v>99.6270833333333</v>
      </c>
      <c r="N100" s="40" t="n">
        <f aca="false">IF(ISNUMBER($K100),$K100*Parâmetros!$C$8,"")</f>
        <v>29.888125</v>
      </c>
      <c r="O100" s="40" t="n">
        <f aca="false">IF(ISNUMBER($K100),IF(ISNUMBER(Parâmetros!$E$8),Parâmetros!$E$8,0),"")</f>
        <v>0</v>
      </c>
      <c r="P100" s="41" t="n">
        <f aca="false">IF(ISNUMBER($K100),$K100-$D100-IF(ISNUMBER($E100),$E100,0)-$L100-$M100-$N100-$O100,"")</f>
        <v>199.254166666667</v>
      </c>
      <c r="Q100" s="42" t="n">
        <f aca="false">IF(AND(ISNUMBER($K100),$K100&gt;0),$P100/$K100,"")</f>
        <v>0.2</v>
      </c>
      <c r="R100" s="43"/>
      <c r="S100" s="44" t="str">
        <f aca="false">IF(OR(NOT(ISNUMBER($R100)),$R100=0,NOT(ISNUMBER($K100))),"",$K100*(1-$R100))</f>
        <v/>
      </c>
      <c r="T100" s="45" t="str">
        <f aca="false">IF(ISNUMBER($S100),$S100*$H100,"")</f>
        <v/>
      </c>
      <c r="U100" s="45" t="str">
        <f aca="false">IF(ISNUMBER($S100),$S100*Parâmetros!$B$8,"")</f>
        <v/>
      </c>
      <c r="V100" s="45" t="str">
        <f aca="false">IF(ISNUMBER($S100),$S100*Parâmetros!$C$8,"")</f>
        <v/>
      </c>
      <c r="W100" s="44" t="str">
        <f aca="false">IF(ISNUMBER($S100),$S100-$D100-IF(ISNUMBER($E100),$E100,0)-$O100-$T100-$U100-$V100,"")</f>
        <v/>
      </c>
      <c r="X100" s="46" t="str">
        <f aca="false">IF(AND(ISNUMBER($S100),$S100&gt;0),$W100/$S100,"")</f>
        <v/>
      </c>
      <c r="Y100" s="47"/>
      <c r="Z100" s="19"/>
    </row>
    <row r="101" customFormat="false" ht="15.75" hidden="false" customHeight="true" outlineLevel="0" collapsed="false">
      <c r="A101" s="48" t="str">
        <f aca="false">IF(Produtos!$A101="","",Produtos!$A101)</f>
        <v>P4080</v>
      </c>
      <c r="B101" s="48" t="str">
        <f aca="false">IF(Produtos!$A101="","",Produtos!$B101)</f>
        <v>Lixeira c/Tampa Pedal 40x80 100L</v>
      </c>
      <c r="C101" s="48" t="str">
        <f aca="false">IF(Produtos!$A101="","",Produtos!$C101)</f>
        <v>Lixeiras com pedal</v>
      </c>
      <c r="D101" s="33" t="n">
        <f aca="false">IF(Produtos!$A101="","",IF(Produtos!$D101="","",Produtos!$D101))</f>
        <v>553.79</v>
      </c>
      <c r="E101" s="11" t="n">
        <v>0</v>
      </c>
      <c r="F101" s="34" t="n">
        <f aca="false">IF($A101="","",IF($C101="","⚠ categoria",IFERROR(INDEX(Parâmetros!$F$13:$F$22,MATCH($C101,Parâmetros!$A$13:$A$22,0)),"⚠ categoria")))</f>
        <v>0.19</v>
      </c>
      <c r="G101" s="35"/>
      <c r="H101" s="36" t="n">
        <f aca="false">IF($A101="","",IF(ISNUMBER($G101),$G101,IF(ISNUMBER($F101),$F101,"")))</f>
        <v>0.19</v>
      </c>
      <c r="I101" s="37" t="n">
        <f aca="false">IF(OR($A101="",NOT(ISNUMBER($D101)),NOT(ISNUMBER($H101))),"",IF((1-$H101-Parâmetros!$B$8-Parâmetros!$C$8-Parâmetros!$D$8)&lt;=0,"INVALIDO",($D101+IF(ISNUMBER($E101),$E101,0)+IF(ISNUMBER(Parâmetros!$E$8),Parâmetros!$E$8,0))/(1-$H101-Parâmetros!$B$8-Parâmetros!$C$8-Parâmetros!$D$8)))</f>
        <v>1153.72916666667</v>
      </c>
      <c r="J101" s="38"/>
      <c r="K101" s="39" t="n">
        <f aca="false">IF(OR($A101="",NOT(ISNUMBER($D101)),NOT(ISNUMBER($H101))),"",IF(AND(ISNUMBER($J101),$J101&gt;0),$J101,IF(ISNUMBER($I101),$I101,"")))</f>
        <v>1153.72916666667</v>
      </c>
      <c r="L101" s="40" t="n">
        <f aca="false">IF(ISNUMBER($K101),$K101*$H101,"")</f>
        <v>219.208541666667</v>
      </c>
      <c r="M101" s="40" t="n">
        <f aca="false">IF(ISNUMBER($K101),$K101*Parâmetros!$B$8,"")</f>
        <v>115.372916666667</v>
      </c>
      <c r="N101" s="40" t="n">
        <f aca="false">IF(ISNUMBER($K101),$K101*Parâmetros!$C$8,"")</f>
        <v>34.611875</v>
      </c>
      <c r="O101" s="40" t="n">
        <f aca="false">IF(ISNUMBER($K101),IF(ISNUMBER(Parâmetros!$E$8),Parâmetros!$E$8,0),"")</f>
        <v>0</v>
      </c>
      <c r="P101" s="41" t="n">
        <f aca="false">IF(ISNUMBER($K101),$K101-$D101-IF(ISNUMBER($E101),$E101,0)-$L101-$M101-$N101-$O101,"")</f>
        <v>230.745833333333</v>
      </c>
      <c r="Q101" s="42" t="n">
        <f aca="false">IF(AND(ISNUMBER($K101),$K101&gt;0),$P101/$K101,"")</f>
        <v>0.2</v>
      </c>
      <c r="R101" s="43"/>
      <c r="S101" s="44" t="str">
        <f aca="false">IF(OR(NOT(ISNUMBER($R101)),$R101=0,NOT(ISNUMBER($K101))),"",$K101*(1-$R101))</f>
        <v/>
      </c>
      <c r="T101" s="45" t="str">
        <f aca="false">IF(ISNUMBER($S101),$S101*$H101,"")</f>
        <v/>
      </c>
      <c r="U101" s="45" t="str">
        <f aca="false">IF(ISNUMBER($S101),$S101*Parâmetros!$B$8,"")</f>
        <v/>
      </c>
      <c r="V101" s="45" t="str">
        <f aca="false">IF(ISNUMBER($S101),$S101*Parâmetros!$C$8,"")</f>
        <v/>
      </c>
      <c r="W101" s="44" t="str">
        <f aca="false">IF(ISNUMBER($S101),$S101-$D101-IF(ISNUMBER($E101),$E101,0)-$O101-$T101-$U101-$V101,"")</f>
        <v/>
      </c>
      <c r="X101" s="46" t="str">
        <f aca="false">IF(AND(ISNUMBER($S101),$S101&gt;0),$W101/$S101,"")</f>
        <v/>
      </c>
      <c r="Y101" s="49"/>
      <c r="Z101" s="21"/>
    </row>
    <row r="102" customFormat="false" ht="15.75" hidden="false" customHeight="true" outlineLevel="0" collapsed="false">
      <c r="A102" s="32" t="str">
        <f aca="false">IF(Produtos!$A102="","",Produtos!$A102)</f>
        <v>P4090</v>
      </c>
      <c r="B102" s="32" t="str">
        <f aca="false">IF(Produtos!$A102="","",Produtos!$B102)</f>
        <v>Lixeira c/Tampa Pedal 40x90 120L</v>
      </c>
      <c r="C102" s="32" t="str">
        <f aca="false">IF(Produtos!$A102="","",Produtos!$C102)</f>
        <v>Lixeiras com pedal</v>
      </c>
      <c r="D102" s="33" t="n">
        <f aca="false">IF(Produtos!$A102="","",IF(Produtos!$D102="","",Produtos!$D102))</f>
        <v>771.68</v>
      </c>
      <c r="E102" s="11" t="n">
        <v>0</v>
      </c>
      <c r="F102" s="34" t="n">
        <f aca="false">IF($A102="","",IF($C102="","⚠ categoria",IFERROR(INDEX(Parâmetros!$F$13:$F$22,MATCH($C102,Parâmetros!$A$13:$A$22,0)),"⚠ categoria")))</f>
        <v>0.19</v>
      </c>
      <c r="G102" s="35"/>
      <c r="H102" s="36" t="n">
        <f aca="false">IF($A102="","",IF(ISNUMBER($G102),$G102,IF(ISNUMBER($F102),$F102,"")))</f>
        <v>0.19</v>
      </c>
      <c r="I102" s="37" t="n">
        <f aca="false">IF(OR($A102="",NOT(ISNUMBER($D102)),NOT(ISNUMBER($H102))),"",IF((1-$H102-Parâmetros!$B$8-Parâmetros!$C$8-Parâmetros!$D$8)&lt;=0,"INVALIDO",($D102+IF(ISNUMBER($E102),$E102,0)+IF(ISNUMBER(Parâmetros!$E$8),Parâmetros!$E$8,0))/(1-$H102-Parâmetros!$B$8-Parâmetros!$C$8-Parâmetros!$D$8)))</f>
        <v>1607.66666666667</v>
      </c>
      <c r="J102" s="38"/>
      <c r="K102" s="39" t="n">
        <f aca="false">IF(OR($A102="",NOT(ISNUMBER($D102)),NOT(ISNUMBER($H102))),"",IF(AND(ISNUMBER($J102),$J102&gt;0),$J102,IF(ISNUMBER($I102),$I102,"")))</f>
        <v>1607.66666666667</v>
      </c>
      <c r="L102" s="40" t="n">
        <f aca="false">IF(ISNUMBER($K102),$K102*$H102,"")</f>
        <v>305.456666666667</v>
      </c>
      <c r="M102" s="40" t="n">
        <f aca="false">IF(ISNUMBER($K102),$K102*Parâmetros!$B$8,"")</f>
        <v>160.766666666667</v>
      </c>
      <c r="N102" s="40" t="n">
        <f aca="false">IF(ISNUMBER($K102),$K102*Parâmetros!$C$8,"")</f>
        <v>48.23</v>
      </c>
      <c r="O102" s="40" t="n">
        <f aca="false">IF(ISNUMBER($K102),IF(ISNUMBER(Parâmetros!$E$8),Parâmetros!$E$8,0),"")</f>
        <v>0</v>
      </c>
      <c r="P102" s="41" t="n">
        <f aca="false">IF(ISNUMBER($K102),$K102-$D102-IF(ISNUMBER($E102),$E102,0)-$L102-$M102-$N102-$O102,"")</f>
        <v>321.533333333333</v>
      </c>
      <c r="Q102" s="42" t="n">
        <f aca="false">IF(AND(ISNUMBER($K102),$K102&gt;0),$P102/$K102,"")</f>
        <v>0.2</v>
      </c>
      <c r="R102" s="43"/>
      <c r="S102" s="44" t="str">
        <f aca="false">IF(OR(NOT(ISNUMBER($R102)),$R102=0,NOT(ISNUMBER($K102))),"",$K102*(1-$R102))</f>
        <v/>
      </c>
      <c r="T102" s="45" t="str">
        <f aca="false">IF(ISNUMBER($S102),$S102*$H102,"")</f>
        <v/>
      </c>
      <c r="U102" s="45" t="str">
        <f aca="false">IF(ISNUMBER($S102),$S102*Parâmetros!$B$8,"")</f>
        <v/>
      </c>
      <c r="V102" s="45" t="str">
        <f aca="false">IF(ISNUMBER($S102),$S102*Parâmetros!$C$8,"")</f>
        <v/>
      </c>
      <c r="W102" s="44" t="str">
        <f aca="false">IF(ISNUMBER($S102),$S102-$D102-IF(ISNUMBER($E102),$E102,0)-$O102-$T102-$U102-$V102,"")</f>
        <v/>
      </c>
      <c r="X102" s="46" t="str">
        <f aca="false">IF(AND(ISNUMBER($S102),$S102&gt;0),$W102/$S102,"")</f>
        <v/>
      </c>
      <c r="Y102" s="47"/>
      <c r="Z102" s="19"/>
    </row>
    <row r="103" customFormat="false" ht="15.75" hidden="false" customHeight="true" outlineLevel="0" collapsed="false">
      <c r="A103" s="48" t="str">
        <f aca="false">IF(Produtos!$A103="","",Produtos!$A103)</f>
        <v>L2425-BC</v>
      </c>
      <c r="B103" s="48" t="str">
        <f aca="false">IF(Produtos!$A103="","",Produtos!$B103)</f>
        <v>Lixeira de Aço inox 24x25 13L c/Aro basculante colorido</v>
      </c>
      <c r="C103" s="48" t="str">
        <f aca="false">IF(Produtos!$A103="","",Produtos!$C103)</f>
        <v>Lixeiras em inox</v>
      </c>
      <c r="D103" s="33" t="n">
        <f aca="false">IF(Produtos!$A103="","",IF(Produtos!$D103="","",Produtos!$D103))</f>
        <v>110.45</v>
      </c>
      <c r="E103" s="11" t="n">
        <v>0</v>
      </c>
      <c r="F103" s="34" t="n">
        <f aca="false">IF($A103="","",IF($C103="","⚠ categoria",IFERROR(INDEX(Parâmetros!$F$13:$F$22,MATCH($C103,Parâmetros!$A$13:$A$22,0)),"⚠ categoria")))</f>
        <v>0.19</v>
      </c>
      <c r="G103" s="35"/>
      <c r="H103" s="36" t="n">
        <f aca="false">IF($A103="","",IF(ISNUMBER($G103),$G103,IF(ISNUMBER($F103),$F103,"")))</f>
        <v>0.19</v>
      </c>
      <c r="I103" s="37" t="n">
        <f aca="false">IF(OR($A103="",NOT(ISNUMBER($D103)),NOT(ISNUMBER($H103))),"",IF((1-$H103-Parâmetros!$B$8-Parâmetros!$C$8-Parâmetros!$D$8)&lt;=0,"INVALIDO",($D103+IF(ISNUMBER($E103),$E103,0)+IF(ISNUMBER(Parâmetros!$E$8),Parâmetros!$E$8,0))/(1-$H103-Parâmetros!$B$8-Parâmetros!$C$8-Parâmetros!$D$8)))</f>
        <v>230.104166666667</v>
      </c>
      <c r="J103" s="38"/>
      <c r="K103" s="39" t="n">
        <f aca="false">IF(OR($A103="",NOT(ISNUMBER($D103)),NOT(ISNUMBER($H103))),"",IF(AND(ISNUMBER($J103),$J103&gt;0),$J103,IF(ISNUMBER($I103),$I103,"")))</f>
        <v>230.104166666667</v>
      </c>
      <c r="L103" s="40" t="n">
        <f aca="false">IF(ISNUMBER($K103),$K103*$H103,"")</f>
        <v>43.7197916666667</v>
      </c>
      <c r="M103" s="40" t="n">
        <f aca="false">IF(ISNUMBER($K103),$K103*Parâmetros!$B$8,"")</f>
        <v>23.0104166666667</v>
      </c>
      <c r="N103" s="40" t="n">
        <f aca="false">IF(ISNUMBER($K103),$K103*Parâmetros!$C$8,"")</f>
        <v>6.903125</v>
      </c>
      <c r="O103" s="40" t="n">
        <f aca="false">IF(ISNUMBER($K103),IF(ISNUMBER(Parâmetros!$E$8),Parâmetros!$E$8,0),"")</f>
        <v>0</v>
      </c>
      <c r="P103" s="41" t="n">
        <f aca="false">IF(ISNUMBER($K103),$K103-$D103-IF(ISNUMBER($E103),$E103,0)-$L103-$M103-$N103-$O103,"")</f>
        <v>46.0208333333333</v>
      </c>
      <c r="Q103" s="42" t="n">
        <f aca="false">IF(AND(ISNUMBER($K103),$K103&gt;0),$P103/$K103,"")</f>
        <v>0.2</v>
      </c>
      <c r="R103" s="43"/>
      <c r="S103" s="44" t="str">
        <f aca="false">IF(OR(NOT(ISNUMBER($R103)),$R103=0,NOT(ISNUMBER($K103))),"",$K103*(1-$R103))</f>
        <v/>
      </c>
      <c r="T103" s="45" t="str">
        <f aca="false">IF(ISNUMBER($S103),$S103*$H103,"")</f>
        <v/>
      </c>
      <c r="U103" s="45" t="str">
        <f aca="false">IF(ISNUMBER($S103),$S103*Parâmetros!$B$8,"")</f>
        <v/>
      </c>
      <c r="V103" s="45" t="str">
        <f aca="false">IF(ISNUMBER($S103),$S103*Parâmetros!$C$8,"")</f>
        <v/>
      </c>
      <c r="W103" s="44" t="str">
        <f aca="false">IF(ISNUMBER($S103),$S103-$D103-IF(ISNUMBER($E103),$E103,0)-$O103-$T103-$U103-$V103,"")</f>
        <v/>
      </c>
      <c r="X103" s="46" t="str">
        <f aca="false">IF(AND(ISNUMBER($S103),$S103&gt;0),$W103/$S103,"")</f>
        <v/>
      </c>
      <c r="Y103" s="49"/>
      <c r="Z103" s="21"/>
    </row>
    <row r="104" customFormat="false" ht="15.75" hidden="false" customHeight="true" outlineLevel="0" collapsed="false">
      <c r="A104" s="32" t="str">
        <f aca="false">IF(Produtos!$A104="","",Produtos!$A104)</f>
        <v>L2430-BC</v>
      </c>
      <c r="B104" s="32" t="str">
        <f aca="false">IF(Produtos!$A104="","",Produtos!$B104)</f>
        <v>Lixeira de Aço inox 24x30 15L c/Aro basculante colorido</v>
      </c>
      <c r="C104" s="32" t="str">
        <f aca="false">IF(Produtos!$A104="","",Produtos!$C104)</f>
        <v>Lixeiras em inox</v>
      </c>
      <c r="D104" s="33" t="n">
        <f aca="false">IF(Produtos!$A104="","",IF(Produtos!$D104="","",Produtos!$D104))</f>
        <v>120.38</v>
      </c>
      <c r="E104" s="11" t="n">
        <v>0</v>
      </c>
      <c r="F104" s="34" t="n">
        <f aca="false">IF($A104="","",IF($C104="","⚠ categoria",IFERROR(INDEX(Parâmetros!$F$13:$F$22,MATCH($C104,Parâmetros!$A$13:$A$22,0)),"⚠ categoria")))</f>
        <v>0.19</v>
      </c>
      <c r="G104" s="35"/>
      <c r="H104" s="36" t="n">
        <f aca="false">IF($A104="","",IF(ISNUMBER($G104),$G104,IF(ISNUMBER($F104),$F104,"")))</f>
        <v>0.19</v>
      </c>
      <c r="I104" s="37" t="n">
        <f aca="false">IF(OR($A104="",NOT(ISNUMBER($D104)),NOT(ISNUMBER($H104))),"",IF((1-$H104-Parâmetros!$B$8-Parâmetros!$C$8-Parâmetros!$D$8)&lt;=0,"INVALIDO",($D104+IF(ISNUMBER($E104),$E104,0)+IF(ISNUMBER(Parâmetros!$E$8),Parâmetros!$E$8,0))/(1-$H104-Parâmetros!$B$8-Parâmetros!$C$8-Parâmetros!$D$8)))</f>
        <v>250.791666666667</v>
      </c>
      <c r="J104" s="38"/>
      <c r="K104" s="39" t="n">
        <f aca="false">IF(OR($A104="",NOT(ISNUMBER($D104)),NOT(ISNUMBER($H104))),"",IF(AND(ISNUMBER($J104),$J104&gt;0),$J104,IF(ISNUMBER($I104),$I104,"")))</f>
        <v>250.791666666667</v>
      </c>
      <c r="L104" s="40" t="n">
        <f aca="false">IF(ISNUMBER($K104),$K104*$H104,"")</f>
        <v>47.6504166666667</v>
      </c>
      <c r="M104" s="40" t="n">
        <f aca="false">IF(ISNUMBER($K104),$K104*Parâmetros!$B$8,"")</f>
        <v>25.0791666666667</v>
      </c>
      <c r="N104" s="40" t="n">
        <f aca="false">IF(ISNUMBER($K104),$K104*Parâmetros!$C$8,"")</f>
        <v>7.52375</v>
      </c>
      <c r="O104" s="40" t="n">
        <f aca="false">IF(ISNUMBER($K104),IF(ISNUMBER(Parâmetros!$E$8),Parâmetros!$E$8,0),"")</f>
        <v>0</v>
      </c>
      <c r="P104" s="41" t="n">
        <f aca="false">IF(ISNUMBER($K104),$K104-$D104-IF(ISNUMBER($E104),$E104,0)-$L104-$M104-$N104-$O104,"")</f>
        <v>50.1583333333333</v>
      </c>
      <c r="Q104" s="42" t="n">
        <f aca="false">IF(AND(ISNUMBER($K104),$K104&gt;0),$P104/$K104,"")</f>
        <v>0.2</v>
      </c>
      <c r="R104" s="43"/>
      <c r="S104" s="44" t="str">
        <f aca="false">IF(OR(NOT(ISNUMBER($R104)),$R104=0,NOT(ISNUMBER($K104))),"",$K104*(1-$R104))</f>
        <v/>
      </c>
      <c r="T104" s="45" t="str">
        <f aca="false">IF(ISNUMBER($S104),$S104*$H104,"")</f>
        <v/>
      </c>
      <c r="U104" s="45" t="str">
        <f aca="false">IF(ISNUMBER($S104),$S104*Parâmetros!$B$8,"")</f>
        <v/>
      </c>
      <c r="V104" s="45" t="str">
        <f aca="false">IF(ISNUMBER($S104),$S104*Parâmetros!$C$8,"")</f>
        <v/>
      </c>
      <c r="W104" s="44" t="str">
        <f aca="false">IF(ISNUMBER($S104),$S104-$D104-IF(ISNUMBER($E104),$E104,0)-$O104-$T104-$U104-$V104,"")</f>
        <v/>
      </c>
      <c r="X104" s="46" t="str">
        <f aca="false">IF(AND(ISNUMBER($S104),$S104&gt;0),$W104/$S104,"")</f>
        <v/>
      </c>
      <c r="Y104" s="47"/>
      <c r="Z104" s="19"/>
    </row>
    <row r="105" customFormat="false" ht="15.75" hidden="false" customHeight="true" outlineLevel="0" collapsed="false">
      <c r="A105" s="48" t="str">
        <f aca="false">IF(Produtos!$A105="","",Produtos!$A105)</f>
        <v>L2440-BC</v>
      </c>
      <c r="B105" s="48" t="str">
        <f aca="false">IF(Produtos!$A105="","",Produtos!$B105)</f>
        <v>Lixeira de Aço inox 24x40 20L c/Aro basculante colorido</v>
      </c>
      <c r="C105" s="48" t="str">
        <f aca="false">IF(Produtos!$A105="","",Produtos!$C105)</f>
        <v>Lixeiras em inox</v>
      </c>
      <c r="D105" s="33" t="n">
        <f aca="false">IF(Produtos!$A105="","",IF(Produtos!$D105="","",Produtos!$D105))</f>
        <v>137.47</v>
      </c>
      <c r="E105" s="11" t="n">
        <v>0</v>
      </c>
      <c r="F105" s="34" t="n">
        <f aca="false">IF($A105="","",IF($C105="","⚠ categoria",IFERROR(INDEX(Parâmetros!$F$13:$F$22,MATCH($C105,Parâmetros!$A$13:$A$22,0)),"⚠ categoria")))</f>
        <v>0.19</v>
      </c>
      <c r="G105" s="35"/>
      <c r="H105" s="36" t="n">
        <f aca="false">IF($A105="","",IF(ISNUMBER($G105),$G105,IF(ISNUMBER($F105),$F105,"")))</f>
        <v>0.19</v>
      </c>
      <c r="I105" s="37" t="n">
        <f aca="false">IF(OR($A105="",NOT(ISNUMBER($D105)),NOT(ISNUMBER($H105))),"",IF((1-$H105-Parâmetros!$B$8-Parâmetros!$C$8-Parâmetros!$D$8)&lt;=0,"INVALIDO",($D105+IF(ISNUMBER($E105),$E105,0)+IF(ISNUMBER(Parâmetros!$E$8),Parâmetros!$E$8,0))/(1-$H105-Parâmetros!$B$8-Parâmetros!$C$8-Parâmetros!$D$8)))</f>
        <v>286.395833333333</v>
      </c>
      <c r="J105" s="38"/>
      <c r="K105" s="39" t="n">
        <f aca="false">IF(OR($A105="",NOT(ISNUMBER($D105)),NOT(ISNUMBER($H105))),"",IF(AND(ISNUMBER($J105),$J105&gt;0),$J105,IF(ISNUMBER($I105),$I105,"")))</f>
        <v>286.395833333333</v>
      </c>
      <c r="L105" s="40" t="n">
        <f aca="false">IF(ISNUMBER($K105),$K105*$H105,"")</f>
        <v>54.4152083333333</v>
      </c>
      <c r="M105" s="40" t="n">
        <f aca="false">IF(ISNUMBER($K105),$K105*Parâmetros!$B$8,"")</f>
        <v>28.6395833333333</v>
      </c>
      <c r="N105" s="40" t="n">
        <f aca="false">IF(ISNUMBER($K105),$K105*Parâmetros!$C$8,"")</f>
        <v>8.591875</v>
      </c>
      <c r="O105" s="40" t="n">
        <f aca="false">IF(ISNUMBER($K105),IF(ISNUMBER(Parâmetros!$E$8),Parâmetros!$E$8,0),"")</f>
        <v>0</v>
      </c>
      <c r="P105" s="41" t="n">
        <f aca="false">IF(ISNUMBER($K105),$K105-$D105-IF(ISNUMBER($E105),$E105,0)-$L105-$M105-$N105-$O105,"")</f>
        <v>57.2791666666666</v>
      </c>
      <c r="Q105" s="42" t="n">
        <f aca="false">IF(AND(ISNUMBER($K105),$K105&gt;0),$P105/$K105,"")</f>
        <v>0.2</v>
      </c>
      <c r="R105" s="43"/>
      <c r="S105" s="44" t="str">
        <f aca="false">IF(OR(NOT(ISNUMBER($R105)),$R105=0,NOT(ISNUMBER($K105))),"",$K105*(1-$R105))</f>
        <v/>
      </c>
      <c r="T105" s="45" t="str">
        <f aca="false">IF(ISNUMBER($S105),$S105*$H105,"")</f>
        <v/>
      </c>
      <c r="U105" s="45" t="str">
        <f aca="false">IF(ISNUMBER($S105),$S105*Parâmetros!$B$8,"")</f>
        <v/>
      </c>
      <c r="V105" s="45" t="str">
        <f aca="false">IF(ISNUMBER($S105),$S105*Parâmetros!$C$8,"")</f>
        <v/>
      </c>
      <c r="W105" s="44" t="str">
        <f aca="false">IF(ISNUMBER($S105),$S105-$D105-IF(ISNUMBER($E105),$E105,0)-$O105-$T105-$U105-$V105,"")</f>
        <v/>
      </c>
      <c r="X105" s="46" t="str">
        <f aca="false">IF(AND(ISNUMBER($S105),$S105&gt;0),$W105/$S105,"")</f>
        <v/>
      </c>
      <c r="Y105" s="49"/>
      <c r="Z105" s="21"/>
    </row>
    <row r="106" customFormat="false" ht="15.75" hidden="false" customHeight="true" outlineLevel="0" collapsed="false">
      <c r="A106" s="32" t="str">
        <f aca="false">IF(Produtos!$A106="","",Produtos!$A106)</f>
        <v>L2450-BC</v>
      </c>
      <c r="B106" s="32" t="str">
        <f aca="false">IF(Produtos!$A106="","",Produtos!$B106)</f>
        <v>Lixeira de Aço inox 24x50 25L c/Aro basculante colorido</v>
      </c>
      <c r="C106" s="32" t="str">
        <f aca="false">IF(Produtos!$A106="","",Produtos!$C106)</f>
        <v>Lixeiras em inox</v>
      </c>
      <c r="D106" s="33" t="n">
        <f aca="false">IF(Produtos!$A106="","",IF(Produtos!$D106="","",Produtos!$D106))</f>
        <v>168.27</v>
      </c>
      <c r="E106" s="11" t="n">
        <v>0</v>
      </c>
      <c r="F106" s="34" t="n">
        <f aca="false">IF($A106="","",IF($C106="","⚠ categoria",IFERROR(INDEX(Parâmetros!$F$13:$F$22,MATCH($C106,Parâmetros!$A$13:$A$22,0)),"⚠ categoria")))</f>
        <v>0.19</v>
      </c>
      <c r="G106" s="35"/>
      <c r="H106" s="36" t="n">
        <f aca="false">IF($A106="","",IF(ISNUMBER($G106),$G106,IF(ISNUMBER($F106),$F106,"")))</f>
        <v>0.19</v>
      </c>
      <c r="I106" s="37" t="n">
        <f aca="false">IF(OR($A106="",NOT(ISNUMBER($D106)),NOT(ISNUMBER($H106))),"",IF((1-$H106-Parâmetros!$B$8-Parâmetros!$C$8-Parâmetros!$D$8)&lt;=0,"INVALIDO",($D106+IF(ISNUMBER($E106),$E106,0)+IF(ISNUMBER(Parâmetros!$E$8),Parâmetros!$E$8,0))/(1-$H106-Parâmetros!$B$8-Parâmetros!$C$8-Parâmetros!$D$8)))</f>
        <v>350.5625</v>
      </c>
      <c r="J106" s="38"/>
      <c r="K106" s="39" t="n">
        <f aca="false">IF(OR($A106="",NOT(ISNUMBER($D106)),NOT(ISNUMBER($H106))),"",IF(AND(ISNUMBER($J106),$J106&gt;0),$J106,IF(ISNUMBER($I106),$I106,"")))</f>
        <v>350.5625</v>
      </c>
      <c r="L106" s="40" t="n">
        <f aca="false">IF(ISNUMBER($K106),$K106*$H106,"")</f>
        <v>66.606875</v>
      </c>
      <c r="M106" s="40" t="n">
        <f aca="false">IF(ISNUMBER($K106),$K106*Parâmetros!$B$8,"")</f>
        <v>35.05625</v>
      </c>
      <c r="N106" s="40" t="n">
        <f aca="false">IF(ISNUMBER($K106),$K106*Parâmetros!$C$8,"")</f>
        <v>10.516875</v>
      </c>
      <c r="O106" s="40" t="n">
        <f aca="false">IF(ISNUMBER($K106),IF(ISNUMBER(Parâmetros!$E$8),Parâmetros!$E$8,0),"")</f>
        <v>0</v>
      </c>
      <c r="P106" s="41" t="n">
        <f aca="false">IF(ISNUMBER($K106),$K106-$D106-IF(ISNUMBER($E106),$E106,0)-$L106-$M106-$N106-$O106,"")</f>
        <v>70.1125</v>
      </c>
      <c r="Q106" s="42" t="n">
        <f aca="false">IF(AND(ISNUMBER($K106),$K106&gt;0),$P106/$K106,"")</f>
        <v>0.2</v>
      </c>
      <c r="R106" s="43"/>
      <c r="S106" s="44" t="str">
        <f aca="false">IF(OR(NOT(ISNUMBER($R106)),$R106=0,NOT(ISNUMBER($K106))),"",$K106*(1-$R106))</f>
        <v/>
      </c>
      <c r="T106" s="45" t="str">
        <f aca="false">IF(ISNUMBER($S106),$S106*$H106,"")</f>
        <v/>
      </c>
      <c r="U106" s="45" t="str">
        <f aca="false">IF(ISNUMBER($S106),$S106*Parâmetros!$B$8,"")</f>
        <v/>
      </c>
      <c r="V106" s="45" t="str">
        <f aca="false">IF(ISNUMBER($S106),$S106*Parâmetros!$C$8,"")</f>
        <v/>
      </c>
      <c r="W106" s="44" t="str">
        <f aca="false">IF(ISNUMBER($S106),$S106-$D106-IF(ISNUMBER($E106),$E106,0)-$O106-$T106-$U106-$V106,"")</f>
        <v/>
      </c>
      <c r="X106" s="46" t="str">
        <f aca="false">IF(AND(ISNUMBER($S106),$S106&gt;0),$W106/$S106,"")</f>
        <v/>
      </c>
      <c r="Y106" s="47"/>
      <c r="Z106" s="19"/>
    </row>
    <row r="107" customFormat="false" ht="15.75" hidden="false" customHeight="true" outlineLevel="0" collapsed="false">
      <c r="A107" s="48" t="str">
        <f aca="false">IF(Produtos!$A107="","",Produtos!$A107)</f>
        <v>L2460-BC</v>
      </c>
      <c r="B107" s="48" t="str">
        <f aca="false">IF(Produtos!$A107="","",Produtos!$B107)</f>
        <v>Lixeira de Aço inox 24x60 27L c/Aro basculante colorido</v>
      </c>
      <c r="C107" s="48" t="str">
        <f aca="false">IF(Produtos!$A107="","",Produtos!$C107)</f>
        <v>Lixeiras em inox</v>
      </c>
      <c r="D107" s="33" t="n">
        <f aca="false">IF(Produtos!$A107="","",IF(Produtos!$D107="","",Produtos!$D107))</f>
        <v>169.79</v>
      </c>
      <c r="E107" s="11" t="n">
        <v>0</v>
      </c>
      <c r="F107" s="34" t="n">
        <f aca="false">IF($A107="","",IF($C107="","⚠ categoria",IFERROR(INDEX(Parâmetros!$F$13:$F$22,MATCH($C107,Parâmetros!$A$13:$A$22,0)),"⚠ categoria")))</f>
        <v>0.19</v>
      </c>
      <c r="G107" s="35"/>
      <c r="H107" s="36" t="n">
        <f aca="false">IF($A107="","",IF(ISNUMBER($G107),$G107,IF(ISNUMBER($F107),$F107,"")))</f>
        <v>0.19</v>
      </c>
      <c r="I107" s="37" t="n">
        <f aca="false">IF(OR($A107="",NOT(ISNUMBER($D107)),NOT(ISNUMBER($H107))),"",IF((1-$H107-Parâmetros!$B$8-Parâmetros!$C$8-Parâmetros!$D$8)&lt;=0,"INVALIDO",($D107+IF(ISNUMBER($E107),$E107,0)+IF(ISNUMBER(Parâmetros!$E$8),Parâmetros!$E$8,0))/(1-$H107-Parâmetros!$B$8-Parâmetros!$C$8-Parâmetros!$D$8)))</f>
        <v>353.729166666667</v>
      </c>
      <c r="J107" s="38"/>
      <c r="K107" s="39" t="n">
        <f aca="false">IF(OR($A107="",NOT(ISNUMBER($D107)),NOT(ISNUMBER($H107))),"",IF(AND(ISNUMBER($J107),$J107&gt;0),$J107,IF(ISNUMBER($I107),$I107,"")))</f>
        <v>353.729166666667</v>
      </c>
      <c r="L107" s="40" t="n">
        <f aca="false">IF(ISNUMBER($K107),$K107*$H107,"")</f>
        <v>67.2085416666667</v>
      </c>
      <c r="M107" s="40" t="n">
        <f aca="false">IF(ISNUMBER($K107),$K107*Parâmetros!$B$8,"")</f>
        <v>35.3729166666667</v>
      </c>
      <c r="N107" s="40" t="n">
        <f aca="false">IF(ISNUMBER($K107),$K107*Parâmetros!$C$8,"")</f>
        <v>10.611875</v>
      </c>
      <c r="O107" s="40" t="n">
        <f aca="false">IF(ISNUMBER($K107),IF(ISNUMBER(Parâmetros!$E$8),Parâmetros!$E$8,0),"")</f>
        <v>0</v>
      </c>
      <c r="P107" s="41" t="n">
        <f aca="false">IF(ISNUMBER($K107),$K107-$D107-IF(ISNUMBER($E107),$E107,0)-$L107-$M107-$N107-$O107,"")</f>
        <v>70.7458333333333</v>
      </c>
      <c r="Q107" s="42" t="n">
        <f aca="false">IF(AND(ISNUMBER($K107),$K107&gt;0),$P107/$K107,"")</f>
        <v>0.2</v>
      </c>
      <c r="R107" s="43"/>
      <c r="S107" s="44" t="str">
        <f aca="false">IF(OR(NOT(ISNUMBER($R107)),$R107=0,NOT(ISNUMBER($K107))),"",$K107*(1-$R107))</f>
        <v/>
      </c>
      <c r="T107" s="45" t="str">
        <f aca="false">IF(ISNUMBER($S107),$S107*$H107,"")</f>
        <v/>
      </c>
      <c r="U107" s="45" t="str">
        <f aca="false">IF(ISNUMBER($S107),$S107*Parâmetros!$B$8,"")</f>
        <v/>
      </c>
      <c r="V107" s="45" t="str">
        <f aca="false">IF(ISNUMBER($S107),$S107*Parâmetros!$C$8,"")</f>
        <v/>
      </c>
      <c r="W107" s="44" t="str">
        <f aca="false">IF(ISNUMBER($S107),$S107-$D107-IF(ISNUMBER($E107),$E107,0)-$O107-$T107-$U107-$V107,"")</f>
        <v/>
      </c>
      <c r="X107" s="46" t="str">
        <f aca="false">IF(AND(ISNUMBER($S107),$S107&gt;0),$W107/$S107,"")</f>
        <v/>
      </c>
      <c r="Y107" s="49"/>
      <c r="Z107" s="21"/>
    </row>
    <row r="108" customFormat="false" ht="15.75" hidden="false" customHeight="true" outlineLevel="0" collapsed="false">
      <c r="A108" s="32" t="str">
        <f aca="false">IF(Produtos!$A108="","",Produtos!$A108)</f>
        <v>L2470-BC</v>
      </c>
      <c r="B108" s="32" t="str">
        <f aca="false">IF(Produtos!$A108="","",Produtos!$B108)</f>
        <v>Lixeira de Aço inox 24x70 30L c/Aro basculante colorido</v>
      </c>
      <c r="C108" s="32" t="str">
        <f aca="false">IF(Produtos!$A108="","",Produtos!$C108)</f>
        <v>Lixeiras em inox</v>
      </c>
      <c r="D108" s="33" t="n">
        <f aca="false">IF(Produtos!$A108="","",IF(Produtos!$D108="","",Produtos!$D108))</f>
        <v>235.59</v>
      </c>
      <c r="E108" s="11" t="n">
        <v>0</v>
      </c>
      <c r="F108" s="34" t="n">
        <f aca="false">IF($A108="","",IF($C108="","⚠ categoria",IFERROR(INDEX(Parâmetros!$F$13:$F$22,MATCH($C108,Parâmetros!$A$13:$A$22,0)),"⚠ categoria")))</f>
        <v>0.19</v>
      </c>
      <c r="G108" s="35"/>
      <c r="H108" s="36" t="n">
        <f aca="false">IF($A108="","",IF(ISNUMBER($G108),$G108,IF(ISNUMBER($F108),$F108,"")))</f>
        <v>0.19</v>
      </c>
      <c r="I108" s="37" t="n">
        <f aca="false">IF(OR($A108="",NOT(ISNUMBER($D108)),NOT(ISNUMBER($H108))),"",IF((1-$H108-Parâmetros!$B$8-Parâmetros!$C$8-Parâmetros!$D$8)&lt;=0,"INVALIDO",($D108+IF(ISNUMBER($E108),$E108,0)+IF(ISNUMBER(Parâmetros!$E$8),Parâmetros!$E$8,0))/(1-$H108-Parâmetros!$B$8-Parâmetros!$C$8-Parâmetros!$D$8)))</f>
        <v>490.8125</v>
      </c>
      <c r="J108" s="38"/>
      <c r="K108" s="39" t="n">
        <f aca="false">IF(OR($A108="",NOT(ISNUMBER($D108)),NOT(ISNUMBER($H108))),"",IF(AND(ISNUMBER($J108),$J108&gt;0),$J108,IF(ISNUMBER($I108),$I108,"")))</f>
        <v>490.8125</v>
      </c>
      <c r="L108" s="40" t="n">
        <f aca="false">IF(ISNUMBER($K108),$K108*$H108,"")</f>
        <v>93.254375</v>
      </c>
      <c r="M108" s="40" t="n">
        <f aca="false">IF(ISNUMBER($K108),$K108*Parâmetros!$B$8,"")</f>
        <v>49.08125</v>
      </c>
      <c r="N108" s="40" t="n">
        <f aca="false">IF(ISNUMBER($K108),$K108*Parâmetros!$C$8,"")</f>
        <v>14.724375</v>
      </c>
      <c r="O108" s="40" t="n">
        <f aca="false">IF(ISNUMBER($K108),IF(ISNUMBER(Parâmetros!$E$8),Parâmetros!$E$8,0),"")</f>
        <v>0</v>
      </c>
      <c r="P108" s="41" t="n">
        <f aca="false">IF(ISNUMBER($K108),$K108-$D108-IF(ISNUMBER($E108),$E108,0)-$L108-$M108-$N108-$O108,"")</f>
        <v>98.1624999999999</v>
      </c>
      <c r="Q108" s="42" t="n">
        <f aca="false">IF(AND(ISNUMBER($K108),$K108&gt;0),$P108/$K108,"")</f>
        <v>0.2</v>
      </c>
      <c r="R108" s="43"/>
      <c r="S108" s="44" t="str">
        <f aca="false">IF(OR(NOT(ISNUMBER($R108)),$R108=0,NOT(ISNUMBER($K108))),"",$K108*(1-$R108))</f>
        <v/>
      </c>
      <c r="T108" s="45" t="str">
        <f aca="false">IF(ISNUMBER($S108),$S108*$H108,"")</f>
        <v/>
      </c>
      <c r="U108" s="45" t="str">
        <f aca="false">IF(ISNUMBER($S108),$S108*Parâmetros!$B$8,"")</f>
        <v/>
      </c>
      <c r="V108" s="45" t="str">
        <f aca="false">IF(ISNUMBER($S108),$S108*Parâmetros!$C$8,"")</f>
        <v/>
      </c>
      <c r="W108" s="44" t="str">
        <f aca="false">IF(ISNUMBER($S108),$S108-$D108-IF(ISNUMBER($E108),$E108,0)-$O108-$T108-$U108-$V108,"")</f>
        <v/>
      </c>
      <c r="X108" s="46" t="str">
        <f aca="false">IF(AND(ISNUMBER($S108),$S108&gt;0),$W108/$S108,"")</f>
        <v/>
      </c>
      <c r="Y108" s="47"/>
      <c r="Z108" s="19"/>
    </row>
    <row r="109" customFormat="false" ht="15.75" hidden="false" customHeight="true" outlineLevel="0" collapsed="false">
      <c r="A109" s="48" t="str">
        <f aca="false">IF(Produtos!$A109="","",Produtos!$A109)</f>
        <v>L3040-BC</v>
      </c>
      <c r="B109" s="48" t="str">
        <f aca="false">IF(Produtos!$A109="","",Produtos!$B109)</f>
        <v>Lixeira de Aço inox 30x40 30L c/Aro basculante colorido</v>
      </c>
      <c r="C109" s="48" t="str">
        <f aca="false">IF(Produtos!$A109="","",Produtos!$C109)</f>
        <v>Lixeiras em inox</v>
      </c>
      <c r="D109" s="33" t="n">
        <f aca="false">IF(Produtos!$A109="","",IF(Produtos!$D109="","",Produtos!$D109))</f>
        <v>193.14</v>
      </c>
      <c r="E109" s="11" t="n">
        <v>0</v>
      </c>
      <c r="F109" s="34" t="n">
        <f aca="false">IF($A109="","",IF($C109="","⚠ categoria",IFERROR(INDEX(Parâmetros!$F$13:$F$22,MATCH($C109,Parâmetros!$A$13:$A$22,0)),"⚠ categoria")))</f>
        <v>0.19</v>
      </c>
      <c r="G109" s="35"/>
      <c r="H109" s="36" t="n">
        <f aca="false">IF($A109="","",IF(ISNUMBER($G109),$G109,IF(ISNUMBER($F109),$F109,"")))</f>
        <v>0.19</v>
      </c>
      <c r="I109" s="37" t="n">
        <f aca="false">IF(OR($A109="",NOT(ISNUMBER($D109)),NOT(ISNUMBER($H109))),"",IF((1-$H109-Parâmetros!$B$8-Parâmetros!$C$8-Parâmetros!$D$8)&lt;=0,"INVALIDO",($D109+IF(ISNUMBER($E109),$E109,0)+IF(ISNUMBER(Parâmetros!$E$8),Parâmetros!$E$8,0))/(1-$H109-Parâmetros!$B$8-Parâmetros!$C$8-Parâmetros!$D$8)))</f>
        <v>402.375</v>
      </c>
      <c r="J109" s="38"/>
      <c r="K109" s="39" t="n">
        <f aca="false">IF(OR($A109="",NOT(ISNUMBER($D109)),NOT(ISNUMBER($H109))),"",IF(AND(ISNUMBER($J109),$J109&gt;0),$J109,IF(ISNUMBER($I109),$I109,"")))</f>
        <v>402.375</v>
      </c>
      <c r="L109" s="40" t="n">
        <f aca="false">IF(ISNUMBER($K109),$K109*$H109,"")</f>
        <v>76.45125</v>
      </c>
      <c r="M109" s="40" t="n">
        <f aca="false">IF(ISNUMBER($K109),$K109*Parâmetros!$B$8,"")</f>
        <v>40.2375</v>
      </c>
      <c r="N109" s="40" t="n">
        <f aca="false">IF(ISNUMBER($K109),$K109*Parâmetros!$C$8,"")</f>
        <v>12.07125</v>
      </c>
      <c r="O109" s="40" t="n">
        <f aca="false">IF(ISNUMBER($K109),IF(ISNUMBER(Parâmetros!$E$8),Parâmetros!$E$8,0),"")</f>
        <v>0</v>
      </c>
      <c r="P109" s="41" t="n">
        <f aca="false">IF(ISNUMBER($K109),$K109-$D109-IF(ISNUMBER($E109),$E109,0)-$L109-$M109-$N109-$O109,"")</f>
        <v>80.475</v>
      </c>
      <c r="Q109" s="42" t="n">
        <f aca="false">IF(AND(ISNUMBER($K109),$K109&gt;0),$P109/$K109,"")</f>
        <v>0.2</v>
      </c>
      <c r="R109" s="43"/>
      <c r="S109" s="44" t="str">
        <f aca="false">IF(OR(NOT(ISNUMBER($R109)),$R109=0,NOT(ISNUMBER($K109))),"",$K109*(1-$R109))</f>
        <v/>
      </c>
      <c r="T109" s="45" t="str">
        <f aca="false">IF(ISNUMBER($S109),$S109*$H109,"")</f>
        <v/>
      </c>
      <c r="U109" s="45" t="str">
        <f aca="false">IF(ISNUMBER($S109),$S109*Parâmetros!$B$8,"")</f>
        <v/>
      </c>
      <c r="V109" s="45" t="str">
        <f aca="false">IF(ISNUMBER($S109),$S109*Parâmetros!$C$8,"")</f>
        <v/>
      </c>
      <c r="W109" s="44" t="str">
        <f aca="false">IF(ISNUMBER($S109),$S109-$D109-IF(ISNUMBER($E109),$E109,0)-$O109-$T109-$U109-$V109,"")</f>
        <v/>
      </c>
      <c r="X109" s="46" t="str">
        <f aca="false">IF(AND(ISNUMBER($S109),$S109&gt;0),$W109/$S109,"")</f>
        <v/>
      </c>
      <c r="Y109" s="49"/>
      <c r="Z109" s="21"/>
    </row>
    <row r="110" customFormat="false" ht="15.75" hidden="false" customHeight="true" outlineLevel="0" collapsed="false">
      <c r="A110" s="32" t="str">
        <f aca="false">IF(Produtos!$A110="","",Produtos!$A110)</f>
        <v>L3050-BC</v>
      </c>
      <c r="B110" s="32" t="str">
        <f aca="false">IF(Produtos!$A110="","",Produtos!$B110)</f>
        <v>Lixeira de Aço inox 30x50 35L c/Aro basculante colorido</v>
      </c>
      <c r="C110" s="32" t="str">
        <f aca="false">IF(Produtos!$A110="","",Produtos!$C110)</f>
        <v>Lixeiras em inox</v>
      </c>
      <c r="D110" s="33" t="n">
        <f aca="false">IF(Produtos!$A110="","",IF(Produtos!$D110="","",Produtos!$D110))</f>
        <v>237.59</v>
      </c>
      <c r="E110" s="11" t="n">
        <v>0</v>
      </c>
      <c r="F110" s="34" t="n">
        <f aca="false">IF($A110="","",IF($C110="","⚠ categoria",IFERROR(INDEX(Parâmetros!$F$13:$F$22,MATCH($C110,Parâmetros!$A$13:$A$22,0)),"⚠ categoria")))</f>
        <v>0.19</v>
      </c>
      <c r="G110" s="35"/>
      <c r="H110" s="36" t="n">
        <f aca="false">IF($A110="","",IF(ISNUMBER($G110),$G110,IF(ISNUMBER($F110),$F110,"")))</f>
        <v>0.19</v>
      </c>
      <c r="I110" s="37" t="n">
        <f aca="false">IF(OR($A110="",NOT(ISNUMBER($D110)),NOT(ISNUMBER($H110))),"",IF((1-$H110-Parâmetros!$B$8-Parâmetros!$C$8-Parâmetros!$D$8)&lt;=0,"INVALIDO",($D110+IF(ISNUMBER($E110),$E110,0)+IF(ISNUMBER(Parâmetros!$E$8),Parâmetros!$E$8,0))/(1-$H110-Parâmetros!$B$8-Parâmetros!$C$8-Parâmetros!$D$8)))</f>
        <v>494.979166666667</v>
      </c>
      <c r="J110" s="38"/>
      <c r="K110" s="39" t="n">
        <f aca="false">IF(OR($A110="",NOT(ISNUMBER($D110)),NOT(ISNUMBER($H110))),"",IF(AND(ISNUMBER($J110),$J110&gt;0),$J110,IF(ISNUMBER($I110),$I110,"")))</f>
        <v>494.979166666667</v>
      </c>
      <c r="L110" s="40" t="n">
        <f aca="false">IF(ISNUMBER($K110),$K110*$H110,"")</f>
        <v>94.0460416666667</v>
      </c>
      <c r="M110" s="40" t="n">
        <f aca="false">IF(ISNUMBER($K110),$K110*Parâmetros!$B$8,"")</f>
        <v>49.4979166666667</v>
      </c>
      <c r="N110" s="40" t="n">
        <f aca="false">IF(ISNUMBER($K110),$K110*Parâmetros!$C$8,"")</f>
        <v>14.849375</v>
      </c>
      <c r="O110" s="40" t="n">
        <f aca="false">IF(ISNUMBER($K110),IF(ISNUMBER(Parâmetros!$E$8),Parâmetros!$E$8,0),"")</f>
        <v>0</v>
      </c>
      <c r="P110" s="41" t="n">
        <f aca="false">IF(ISNUMBER($K110),$K110-$D110-IF(ISNUMBER($E110),$E110,0)-$L110-$M110-$N110-$O110,"")</f>
        <v>98.9958333333333</v>
      </c>
      <c r="Q110" s="42" t="n">
        <f aca="false">IF(AND(ISNUMBER($K110),$K110&gt;0),$P110/$K110,"")</f>
        <v>0.2</v>
      </c>
      <c r="R110" s="43"/>
      <c r="S110" s="44" t="str">
        <f aca="false">IF(OR(NOT(ISNUMBER($R110)),$R110=0,NOT(ISNUMBER($K110))),"",$K110*(1-$R110))</f>
        <v/>
      </c>
      <c r="T110" s="45" t="str">
        <f aca="false">IF(ISNUMBER($S110),$S110*$H110,"")</f>
        <v/>
      </c>
      <c r="U110" s="45" t="str">
        <f aca="false">IF(ISNUMBER($S110),$S110*Parâmetros!$B$8,"")</f>
        <v/>
      </c>
      <c r="V110" s="45" t="str">
        <f aca="false">IF(ISNUMBER($S110),$S110*Parâmetros!$C$8,"")</f>
        <v/>
      </c>
      <c r="W110" s="44" t="str">
        <f aca="false">IF(ISNUMBER($S110),$S110-$D110-IF(ISNUMBER($E110),$E110,0)-$O110-$T110-$U110-$V110,"")</f>
        <v/>
      </c>
      <c r="X110" s="46" t="str">
        <f aca="false">IF(AND(ISNUMBER($S110),$S110&gt;0),$W110/$S110,"")</f>
        <v/>
      </c>
      <c r="Y110" s="47"/>
      <c r="Z110" s="19"/>
    </row>
    <row r="111" customFormat="false" ht="15.75" hidden="false" customHeight="true" outlineLevel="0" collapsed="false">
      <c r="A111" s="48" t="str">
        <f aca="false">IF(Produtos!$A111="","",Produtos!$A111)</f>
        <v>L3060-BC</v>
      </c>
      <c r="B111" s="48" t="str">
        <f aca="false">IF(Produtos!$A111="","",Produtos!$B111)</f>
        <v>Lixeira de Aço inox 30x60 40L c/Aro basculante colorido</v>
      </c>
      <c r="C111" s="48" t="str">
        <f aca="false">IF(Produtos!$A111="","",Produtos!$C111)</f>
        <v>Lixeiras em inox</v>
      </c>
      <c r="D111" s="33" t="n">
        <f aca="false">IF(Produtos!$A111="","",IF(Produtos!$D111="","",Produtos!$D111))</f>
        <v>258.38</v>
      </c>
      <c r="E111" s="11" t="n">
        <v>0</v>
      </c>
      <c r="F111" s="34" t="n">
        <f aca="false">IF($A111="","",IF($C111="","⚠ categoria",IFERROR(INDEX(Parâmetros!$F$13:$F$22,MATCH($C111,Parâmetros!$A$13:$A$22,0)),"⚠ categoria")))</f>
        <v>0.19</v>
      </c>
      <c r="G111" s="35"/>
      <c r="H111" s="36" t="n">
        <f aca="false">IF($A111="","",IF(ISNUMBER($G111),$G111,IF(ISNUMBER($F111),$F111,"")))</f>
        <v>0.19</v>
      </c>
      <c r="I111" s="37" t="n">
        <f aca="false">IF(OR($A111="",NOT(ISNUMBER($D111)),NOT(ISNUMBER($H111))),"",IF((1-$H111-Parâmetros!$B$8-Parâmetros!$C$8-Parâmetros!$D$8)&lt;=0,"INVALIDO",($D111+IF(ISNUMBER($E111),$E111,0)+IF(ISNUMBER(Parâmetros!$E$8),Parâmetros!$E$8,0))/(1-$H111-Parâmetros!$B$8-Parâmetros!$C$8-Parâmetros!$D$8)))</f>
        <v>538.291666666667</v>
      </c>
      <c r="J111" s="38"/>
      <c r="K111" s="39" t="n">
        <f aca="false">IF(OR($A111="",NOT(ISNUMBER($D111)),NOT(ISNUMBER($H111))),"",IF(AND(ISNUMBER($J111),$J111&gt;0),$J111,IF(ISNUMBER($I111),$I111,"")))</f>
        <v>538.291666666667</v>
      </c>
      <c r="L111" s="40" t="n">
        <f aca="false">IF(ISNUMBER($K111),$K111*$H111,"")</f>
        <v>102.275416666667</v>
      </c>
      <c r="M111" s="40" t="n">
        <f aca="false">IF(ISNUMBER($K111),$K111*Parâmetros!$B$8,"")</f>
        <v>53.8291666666667</v>
      </c>
      <c r="N111" s="40" t="n">
        <f aca="false">IF(ISNUMBER($K111),$K111*Parâmetros!$C$8,"")</f>
        <v>16.14875</v>
      </c>
      <c r="O111" s="40" t="n">
        <f aca="false">IF(ISNUMBER($K111),IF(ISNUMBER(Parâmetros!$E$8),Parâmetros!$E$8,0),"")</f>
        <v>0</v>
      </c>
      <c r="P111" s="41" t="n">
        <f aca="false">IF(ISNUMBER($K111),$K111-$D111-IF(ISNUMBER($E111),$E111,0)-$L111-$M111-$N111-$O111,"")</f>
        <v>107.658333333333</v>
      </c>
      <c r="Q111" s="42" t="n">
        <f aca="false">IF(AND(ISNUMBER($K111),$K111&gt;0),$P111/$K111,"")</f>
        <v>0.2</v>
      </c>
      <c r="R111" s="43"/>
      <c r="S111" s="44" t="str">
        <f aca="false">IF(OR(NOT(ISNUMBER($R111)),$R111=0,NOT(ISNUMBER($K111))),"",$K111*(1-$R111))</f>
        <v/>
      </c>
      <c r="T111" s="45" t="str">
        <f aca="false">IF(ISNUMBER($S111),$S111*$H111,"")</f>
        <v/>
      </c>
      <c r="U111" s="45" t="str">
        <f aca="false">IF(ISNUMBER($S111),$S111*Parâmetros!$B$8,"")</f>
        <v/>
      </c>
      <c r="V111" s="45" t="str">
        <f aca="false">IF(ISNUMBER($S111),$S111*Parâmetros!$C$8,"")</f>
        <v/>
      </c>
      <c r="W111" s="44" t="str">
        <f aca="false">IF(ISNUMBER($S111),$S111-$D111-IF(ISNUMBER($E111),$E111,0)-$O111-$T111-$U111-$V111,"")</f>
        <v/>
      </c>
      <c r="X111" s="46" t="str">
        <f aca="false">IF(AND(ISNUMBER($S111),$S111&gt;0),$W111/$S111,"")</f>
        <v/>
      </c>
      <c r="Y111" s="49"/>
      <c r="Z111" s="21"/>
    </row>
    <row r="112" customFormat="false" ht="15.75" hidden="false" customHeight="true" outlineLevel="0" collapsed="false">
      <c r="A112" s="32" t="str">
        <f aca="false">IF(Produtos!$A112="","",Produtos!$A112)</f>
        <v>L3070-BC</v>
      </c>
      <c r="B112" s="32" t="str">
        <f aca="false">IF(Produtos!$A112="","",Produtos!$B112)</f>
        <v>Lixeira de Aço inox 30x70 50L c/Aro basculante colorido</v>
      </c>
      <c r="C112" s="32" t="str">
        <f aca="false">IF(Produtos!$A112="","",Produtos!$C112)</f>
        <v>Lixeiras em inox</v>
      </c>
      <c r="D112" s="33" t="n">
        <f aca="false">IF(Produtos!$A112="","",IF(Produtos!$D112="","",Produtos!$D112))</f>
        <v>300.03</v>
      </c>
      <c r="E112" s="11" t="n">
        <v>0</v>
      </c>
      <c r="F112" s="34" t="n">
        <f aca="false">IF($A112="","",IF($C112="","⚠ categoria",IFERROR(INDEX(Parâmetros!$F$13:$F$22,MATCH($C112,Parâmetros!$A$13:$A$22,0)),"⚠ categoria")))</f>
        <v>0.19</v>
      </c>
      <c r="G112" s="35"/>
      <c r="H112" s="36" t="n">
        <f aca="false">IF($A112="","",IF(ISNUMBER($G112),$G112,IF(ISNUMBER($F112),$F112,"")))</f>
        <v>0.19</v>
      </c>
      <c r="I112" s="37" t="n">
        <f aca="false">IF(OR($A112="",NOT(ISNUMBER($D112)),NOT(ISNUMBER($H112))),"",IF((1-$H112-Parâmetros!$B$8-Parâmetros!$C$8-Parâmetros!$D$8)&lt;=0,"INVALIDO",($D112+IF(ISNUMBER($E112),$E112,0)+IF(ISNUMBER(Parâmetros!$E$8),Parâmetros!$E$8,0))/(1-$H112-Parâmetros!$B$8-Parâmetros!$C$8-Parâmetros!$D$8)))</f>
        <v>625.0625</v>
      </c>
      <c r="J112" s="38"/>
      <c r="K112" s="39" t="n">
        <f aca="false">IF(OR($A112="",NOT(ISNUMBER($D112)),NOT(ISNUMBER($H112))),"",IF(AND(ISNUMBER($J112),$J112&gt;0),$J112,IF(ISNUMBER($I112),$I112,"")))</f>
        <v>625.0625</v>
      </c>
      <c r="L112" s="40" t="n">
        <f aca="false">IF(ISNUMBER($K112),$K112*$H112,"")</f>
        <v>118.761875</v>
      </c>
      <c r="M112" s="40" t="n">
        <f aca="false">IF(ISNUMBER($K112),$K112*Parâmetros!$B$8,"")</f>
        <v>62.50625</v>
      </c>
      <c r="N112" s="40" t="n">
        <f aca="false">IF(ISNUMBER($K112),$K112*Parâmetros!$C$8,"")</f>
        <v>18.751875</v>
      </c>
      <c r="O112" s="40" t="n">
        <f aca="false">IF(ISNUMBER($K112),IF(ISNUMBER(Parâmetros!$E$8),Parâmetros!$E$8,0),"")</f>
        <v>0</v>
      </c>
      <c r="P112" s="41" t="n">
        <f aca="false">IF(ISNUMBER($K112),$K112-$D112-IF(ISNUMBER($E112),$E112,0)-$L112-$M112-$N112-$O112,"")</f>
        <v>125.0125</v>
      </c>
      <c r="Q112" s="42" t="n">
        <f aca="false">IF(AND(ISNUMBER($K112),$K112&gt;0),$P112/$K112,"")</f>
        <v>0.2</v>
      </c>
      <c r="R112" s="43"/>
      <c r="S112" s="44" t="str">
        <f aca="false">IF(OR(NOT(ISNUMBER($R112)),$R112=0,NOT(ISNUMBER($K112))),"",$K112*(1-$R112))</f>
        <v/>
      </c>
      <c r="T112" s="45" t="str">
        <f aca="false">IF(ISNUMBER($S112),$S112*$H112,"")</f>
        <v/>
      </c>
      <c r="U112" s="45" t="str">
        <f aca="false">IF(ISNUMBER($S112),$S112*Parâmetros!$B$8,"")</f>
        <v/>
      </c>
      <c r="V112" s="45" t="str">
        <f aca="false">IF(ISNUMBER($S112),$S112*Parâmetros!$C$8,"")</f>
        <v/>
      </c>
      <c r="W112" s="44" t="str">
        <f aca="false">IF(ISNUMBER($S112),$S112-$D112-IF(ISNUMBER($E112),$E112,0)-$O112-$T112-$U112-$V112,"")</f>
        <v/>
      </c>
      <c r="X112" s="46" t="str">
        <f aca="false">IF(AND(ISNUMBER($S112),$S112&gt;0),$W112/$S112,"")</f>
        <v/>
      </c>
      <c r="Y112" s="47"/>
      <c r="Z112" s="19"/>
    </row>
    <row r="113" customFormat="false" ht="15.75" hidden="false" customHeight="true" outlineLevel="0" collapsed="false">
      <c r="A113" s="48" t="str">
        <f aca="false">IF(Produtos!$A113="","",Produtos!$A113)</f>
        <v>L3085-BC</v>
      </c>
      <c r="B113" s="48" t="str">
        <f aca="false">IF(Produtos!$A113="","",Produtos!$B113)</f>
        <v>Lixeira de Aço inox 30x85 60L c/Aro basculante colorido</v>
      </c>
      <c r="C113" s="48" t="str">
        <f aca="false">IF(Produtos!$A113="","",Produtos!$C113)</f>
        <v>Lixeiras em inox</v>
      </c>
      <c r="D113" s="33" t="n">
        <f aca="false">IF(Produtos!$A113="","",IF(Produtos!$D113="","",Produtos!$D113))</f>
        <v>363.87</v>
      </c>
      <c r="E113" s="11" t="n">
        <v>0</v>
      </c>
      <c r="F113" s="34" t="n">
        <f aca="false">IF($A113="","",IF($C113="","⚠ categoria",IFERROR(INDEX(Parâmetros!$F$13:$F$22,MATCH($C113,Parâmetros!$A$13:$A$22,0)),"⚠ categoria")))</f>
        <v>0.19</v>
      </c>
      <c r="G113" s="35"/>
      <c r="H113" s="36" t="n">
        <f aca="false">IF($A113="","",IF(ISNUMBER($G113),$G113,IF(ISNUMBER($F113),$F113,"")))</f>
        <v>0.19</v>
      </c>
      <c r="I113" s="37" t="n">
        <f aca="false">IF(OR($A113="",NOT(ISNUMBER($D113)),NOT(ISNUMBER($H113))),"",IF((1-$H113-Parâmetros!$B$8-Parâmetros!$C$8-Parâmetros!$D$8)&lt;=0,"INVALIDO",($D113+IF(ISNUMBER($E113),$E113,0)+IF(ISNUMBER(Parâmetros!$E$8),Parâmetros!$E$8,0))/(1-$H113-Parâmetros!$B$8-Parâmetros!$C$8-Parâmetros!$D$8)))</f>
        <v>758.0625</v>
      </c>
      <c r="J113" s="38"/>
      <c r="K113" s="39" t="n">
        <f aca="false">IF(OR($A113="",NOT(ISNUMBER($D113)),NOT(ISNUMBER($H113))),"",IF(AND(ISNUMBER($J113),$J113&gt;0),$J113,IF(ISNUMBER($I113),$I113,"")))</f>
        <v>758.0625</v>
      </c>
      <c r="L113" s="40" t="n">
        <f aca="false">IF(ISNUMBER($K113),$K113*$H113,"")</f>
        <v>144.031875</v>
      </c>
      <c r="M113" s="40" t="n">
        <f aca="false">IF(ISNUMBER($K113),$K113*Parâmetros!$B$8,"")</f>
        <v>75.80625</v>
      </c>
      <c r="N113" s="40" t="n">
        <f aca="false">IF(ISNUMBER($K113),$K113*Parâmetros!$C$8,"")</f>
        <v>22.741875</v>
      </c>
      <c r="O113" s="40" t="n">
        <f aca="false">IF(ISNUMBER($K113),IF(ISNUMBER(Parâmetros!$E$8),Parâmetros!$E$8,0),"")</f>
        <v>0</v>
      </c>
      <c r="P113" s="41" t="n">
        <f aca="false">IF(ISNUMBER($K113),$K113-$D113-IF(ISNUMBER($E113),$E113,0)-$L113-$M113-$N113-$O113,"")</f>
        <v>151.6125</v>
      </c>
      <c r="Q113" s="42" t="n">
        <f aca="false">IF(AND(ISNUMBER($K113),$K113&gt;0),$P113/$K113,"")</f>
        <v>0.2</v>
      </c>
      <c r="R113" s="43"/>
      <c r="S113" s="44" t="str">
        <f aca="false">IF(OR(NOT(ISNUMBER($R113)),$R113=0,NOT(ISNUMBER($K113))),"",$K113*(1-$R113))</f>
        <v/>
      </c>
      <c r="T113" s="45" t="str">
        <f aca="false">IF(ISNUMBER($S113),$S113*$H113,"")</f>
        <v/>
      </c>
      <c r="U113" s="45" t="str">
        <f aca="false">IF(ISNUMBER($S113),$S113*Parâmetros!$B$8,"")</f>
        <v/>
      </c>
      <c r="V113" s="45" t="str">
        <f aca="false">IF(ISNUMBER($S113),$S113*Parâmetros!$C$8,"")</f>
        <v/>
      </c>
      <c r="W113" s="44" t="str">
        <f aca="false">IF(ISNUMBER($S113),$S113-$D113-IF(ISNUMBER($E113),$E113,0)-$O113-$T113-$U113-$V113,"")</f>
        <v/>
      </c>
      <c r="X113" s="46" t="str">
        <f aca="false">IF(AND(ISNUMBER($S113),$S113&gt;0),$W113/$S113,"")</f>
        <v/>
      </c>
      <c r="Y113" s="49"/>
      <c r="Z113" s="21"/>
    </row>
    <row r="114" customFormat="false" ht="15.75" hidden="false" customHeight="true" outlineLevel="0" collapsed="false">
      <c r="A114" s="32" t="str">
        <f aca="false">IF(Produtos!$A114="","",Produtos!$A114)</f>
        <v>L4050-BC</v>
      </c>
      <c r="B114" s="32" t="str">
        <f aca="false">IF(Produtos!$A114="","",Produtos!$B114)</f>
        <v>Lixeira de Aço inox 40x50 62L c/Aro basculante colorido</v>
      </c>
      <c r="C114" s="32" t="str">
        <f aca="false">IF(Produtos!$A114="","",Produtos!$C114)</f>
        <v>Lixeiras em inox</v>
      </c>
      <c r="D114" s="33" t="n">
        <f aca="false">IF(Produtos!$A114="","",IF(Produtos!$D114="","",Produtos!$D114))</f>
        <v>372.71</v>
      </c>
      <c r="E114" s="11" t="n">
        <v>0</v>
      </c>
      <c r="F114" s="34" t="n">
        <f aca="false">IF($A114="","",IF($C114="","⚠ categoria",IFERROR(INDEX(Parâmetros!$F$13:$F$22,MATCH($C114,Parâmetros!$A$13:$A$22,0)),"⚠ categoria")))</f>
        <v>0.19</v>
      </c>
      <c r="G114" s="35"/>
      <c r="H114" s="36" t="n">
        <f aca="false">IF($A114="","",IF(ISNUMBER($G114),$G114,IF(ISNUMBER($F114),$F114,"")))</f>
        <v>0.19</v>
      </c>
      <c r="I114" s="37" t="n">
        <f aca="false">IF(OR($A114="",NOT(ISNUMBER($D114)),NOT(ISNUMBER($H114))),"",IF((1-$H114-Parâmetros!$B$8-Parâmetros!$C$8-Parâmetros!$D$8)&lt;=0,"INVALIDO",($D114+IF(ISNUMBER($E114),$E114,0)+IF(ISNUMBER(Parâmetros!$E$8),Parâmetros!$E$8,0))/(1-$H114-Parâmetros!$B$8-Parâmetros!$C$8-Parâmetros!$D$8)))</f>
        <v>776.479166666667</v>
      </c>
      <c r="J114" s="38"/>
      <c r="K114" s="39" t="n">
        <f aca="false">IF(OR($A114="",NOT(ISNUMBER($D114)),NOT(ISNUMBER($H114))),"",IF(AND(ISNUMBER($J114),$J114&gt;0),$J114,IF(ISNUMBER($I114),$I114,"")))</f>
        <v>776.479166666667</v>
      </c>
      <c r="L114" s="40" t="n">
        <f aca="false">IF(ISNUMBER($K114),$K114*$H114,"")</f>
        <v>147.531041666667</v>
      </c>
      <c r="M114" s="40" t="n">
        <f aca="false">IF(ISNUMBER($K114),$K114*Parâmetros!$B$8,"")</f>
        <v>77.6479166666667</v>
      </c>
      <c r="N114" s="40" t="n">
        <f aca="false">IF(ISNUMBER($K114),$K114*Parâmetros!$C$8,"")</f>
        <v>23.294375</v>
      </c>
      <c r="O114" s="40" t="n">
        <f aca="false">IF(ISNUMBER($K114),IF(ISNUMBER(Parâmetros!$E$8),Parâmetros!$E$8,0),"")</f>
        <v>0</v>
      </c>
      <c r="P114" s="41" t="n">
        <f aca="false">IF(ISNUMBER($K114),$K114-$D114-IF(ISNUMBER($E114),$E114,0)-$L114-$M114-$N114-$O114,"")</f>
        <v>155.295833333333</v>
      </c>
      <c r="Q114" s="42" t="n">
        <f aca="false">IF(AND(ISNUMBER($K114),$K114&gt;0),$P114/$K114,"")</f>
        <v>0.2</v>
      </c>
      <c r="R114" s="43"/>
      <c r="S114" s="44" t="str">
        <f aca="false">IF(OR(NOT(ISNUMBER($R114)),$R114=0,NOT(ISNUMBER($K114))),"",$K114*(1-$R114))</f>
        <v/>
      </c>
      <c r="T114" s="45" t="str">
        <f aca="false">IF(ISNUMBER($S114),$S114*$H114,"")</f>
        <v/>
      </c>
      <c r="U114" s="45" t="str">
        <f aca="false">IF(ISNUMBER($S114),$S114*Parâmetros!$B$8,"")</f>
        <v/>
      </c>
      <c r="V114" s="45" t="str">
        <f aca="false">IF(ISNUMBER($S114),$S114*Parâmetros!$C$8,"")</f>
        <v/>
      </c>
      <c r="W114" s="44" t="str">
        <f aca="false">IF(ISNUMBER($S114),$S114-$D114-IF(ISNUMBER($E114),$E114,0)-$O114-$T114-$U114-$V114,"")</f>
        <v/>
      </c>
      <c r="X114" s="46" t="str">
        <f aca="false">IF(AND(ISNUMBER($S114),$S114&gt;0),$W114/$S114,"")</f>
        <v/>
      </c>
      <c r="Y114" s="47"/>
      <c r="Z114" s="19"/>
    </row>
    <row r="115" customFormat="false" ht="15.75" hidden="false" customHeight="true" outlineLevel="0" collapsed="false">
      <c r="A115" s="48" t="str">
        <f aca="false">IF(Produtos!$A115="","",Produtos!$A115)</f>
        <v>L4060-BC</v>
      </c>
      <c r="B115" s="48" t="str">
        <f aca="false">IF(Produtos!$A115="","",Produtos!$B115)</f>
        <v>Lixeira de Aço inox 40x60 75L c/Aro basculante colorido</v>
      </c>
      <c r="C115" s="48" t="str">
        <f aca="false">IF(Produtos!$A115="","",Produtos!$C115)</f>
        <v>Lixeiras em inox</v>
      </c>
      <c r="D115" s="33" t="n">
        <f aca="false">IF(Produtos!$A115="","",IF(Produtos!$D115="","",Produtos!$D115))</f>
        <v>389.53</v>
      </c>
      <c r="E115" s="11" t="n">
        <v>0</v>
      </c>
      <c r="F115" s="34" t="n">
        <f aca="false">IF($A115="","",IF($C115="","⚠ categoria",IFERROR(INDEX(Parâmetros!$F$13:$F$22,MATCH($C115,Parâmetros!$A$13:$A$22,0)),"⚠ categoria")))</f>
        <v>0.19</v>
      </c>
      <c r="G115" s="35"/>
      <c r="H115" s="36" t="n">
        <f aca="false">IF($A115="","",IF(ISNUMBER($G115),$G115,IF(ISNUMBER($F115),$F115,"")))</f>
        <v>0.19</v>
      </c>
      <c r="I115" s="37" t="n">
        <f aca="false">IF(OR($A115="",NOT(ISNUMBER($D115)),NOT(ISNUMBER($H115))),"",IF((1-$H115-Parâmetros!$B$8-Parâmetros!$C$8-Parâmetros!$D$8)&lt;=0,"INVALIDO",($D115+IF(ISNUMBER($E115),$E115,0)+IF(ISNUMBER(Parâmetros!$E$8),Parâmetros!$E$8,0))/(1-$H115-Parâmetros!$B$8-Parâmetros!$C$8-Parâmetros!$D$8)))</f>
        <v>811.520833333333</v>
      </c>
      <c r="J115" s="38"/>
      <c r="K115" s="39" t="n">
        <f aca="false">IF(OR($A115="",NOT(ISNUMBER($D115)),NOT(ISNUMBER($H115))),"",IF(AND(ISNUMBER($J115),$J115&gt;0),$J115,IF(ISNUMBER($I115),$I115,"")))</f>
        <v>811.520833333333</v>
      </c>
      <c r="L115" s="40" t="n">
        <f aca="false">IF(ISNUMBER($K115),$K115*$H115,"")</f>
        <v>154.188958333333</v>
      </c>
      <c r="M115" s="40" t="n">
        <f aca="false">IF(ISNUMBER($K115),$K115*Parâmetros!$B$8,"")</f>
        <v>81.1520833333333</v>
      </c>
      <c r="N115" s="40" t="n">
        <f aca="false">IF(ISNUMBER($K115),$K115*Parâmetros!$C$8,"")</f>
        <v>24.345625</v>
      </c>
      <c r="O115" s="40" t="n">
        <f aca="false">IF(ISNUMBER($K115),IF(ISNUMBER(Parâmetros!$E$8),Parâmetros!$E$8,0),"")</f>
        <v>0</v>
      </c>
      <c r="P115" s="41" t="n">
        <f aca="false">IF(ISNUMBER($K115),$K115-$D115-IF(ISNUMBER($E115),$E115,0)-$L115-$M115-$N115-$O115,"")</f>
        <v>162.304166666667</v>
      </c>
      <c r="Q115" s="42" t="n">
        <f aca="false">IF(AND(ISNUMBER($K115),$K115&gt;0),$P115/$K115,"")</f>
        <v>0.2</v>
      </c>
      <c r="R115" s="43"/>
      <c r="S115" s="44" t="str">
        <f aca="false">IF(OR(NOT(ISNUMBER($R115)),$R115=0,NOT(ISNUMBER($K115))),"",$K115*(1-$R115))</f>
        <v/>
      </c>
      <c r="T115" s="45" t="str">
        <f aca="false">IF(ISNUMBER($S115),$S115*$H115,"")</f>
        <v/>
      </c>
      <c r="U115" s="45" t="str">
        <f aca="false">IF(ISNUMBER($S115),$S115*Parâmetros!$B$8,"")</f>
        <v/>
      </c>
      <c r="V115" s="45" t="str">
        <f aca="false">IF(ISNUMBER($S115),$S115*Parâmetros!$C$8,"")</f>
        <v/>
      </c>
      <c r="W115" s="44" t="str">
        <f aca="false">IF(ISNUMBER($S115),$S115-$D115-IF(ISNUMBER($E115),$E115,0)-$O115-$T115-$U115-$V115,"")</f>
        <v/>
      </c>
      <c r="X115" s="46" t="str">
        <f aca="false">IF(AND(ISNUMBER($S115),$S115&gt;0),$W115/$S115,"")</f>
        <v/>
      </c>
      <c r="Y115" s="49"/>
      <c r="Z115" s="21"/>
    </row>
    <row r="116" customFormat="false" ht="15.75" hidden="false" customHeight="true" outlineLevel="0" collapsed="false">
      <c r="A116" s="32" t="str">
        <f aca="false">IF(Produtos!$A116="","",Produtos!$A116)</f>
        <v>L4070-BC</v>
      </c>
      <c r="B116" s="32" t="str">
        <f aca="false">IF(Produtos!$A116="","",Produtos!$B116)</f>
        <v>Lixeira de Aço inox 40x70 88L c/Aro basculante colorido</v>
      </c>
      <c r="C116" s="32" t="str">
        <f aca="false">IF(Produtos!$A116="","",Produtos!$C116)</f>
        <v>Lixeiras em inox</v>
      </c>
      <c r="D116" s="33" t="n">
        <f aca="false">IF(Produtos!$A116="","",IF(Produtos!$D116="","",Produtos!$D116))</f>
        <v>391.36</v>
      </c>
      <c r="E116" s="11" t="n">
        <v>0</v>
      </c>
      <c r="F116" s="34" t="n">
        <f aca="false">IF($A116="","",IF($C116="","⚠ categoria",IFERROR(INDEX(Parâmetros!$F$13:$F$22,MATCH($C116,Parâmetros!$A$13:$A$22,0)),"⚠ categoria")))</f>
        <v>0.19</v>
      </c>
      <c r="G116" s="35"/>
      <c r="H116" s="36" t="n">
        <f aca="false">IF($A116="","",IF(ISNUMBER($G116),$G116,IF(ISNUMBER($F116),$F116,"")))</f>
        <v>0.19</v>
      </c>
      <c r="I116" s="37" t="n">
        <f aca="false">IF(OR($A116="",NOT(ISNUMBER($D116)),NOT(ISNUMBER($H116))),"",IF((1-$H116-Parâmetros!$B$8-Parâmetros!$C$8-Parâmetros!$D$8)&lt;=0,"INVALIDO",($D116+IF(ISNUMBER($E116),$E116,0)+IF(ISNUMBER(Parâmetros!$E$8),Parâmetros!$E$8,0))/(1-$H116-Parâmetros!$B$8-Parâmetros!$C$8-Parâmetros!$D$8)))</f>
        <v>815.333333333333</v>
      </c>
      <c r="J116" s="38"/>
      <c r="K116" s="39" t="n">
        <f aca="false">IF(OR($A116="",NOT(ISNUMBER($D116)),NOT(ISNUMBER($H116))),"",IF(AND(ISNUMBER($J116),$J116&gt;0),$J116,IF(ISNUMBER($I116),$I116,"")))</f>
        <v>815.333333333333</v>
      </c>
      <c r="L116" s="40" t="n">
        <f aca="false">IF(ISNUMBER($K116),$K116*$H116,"")</f>
        <v>154.913333333333</v>
      </c>
      <c r="M116" s="40" t="n">
        <f aca="false">IF(ISNUMBER($K116),$K116*Parâmetros!$B$8,"")</f>
        <v>81.5333333333333</v>
      </c>
      <c r="N116" s="40" t="n">
        <f aca="false">IF(ISNUMBER($K116),$K116*Parâmetros!$C$8,"")</f>
        <v>24.46</v>
      </c>
      <c r="O116" s="40" t="n">
        <f aca="false">IF(ISNUMBER($K116),IF(ISNUMBER(Parâmetros!$E$8),Parâmetros!$E$8,0),"")</f>
        <v>0</v>
      </c>
      <c r="P116" s="41" t="n">
        <f aca="false">IF(ISNUMBER($K116),$K116-$D116-IF(ISNUMBER($E116),$E116,0)-$L116-$M116-$N116-$O116,"")</f>
        <v>163.066666666667</v>
      </c>
      <c r="Q116" s="42" t="n">
        <f aca="false">IF(AND(ISNUMBER($K116),$K116&gt;0),$P116/$K116,"")</f>
        <v>0.2</v>
      </c>
      <c r="R116" s="43"/>
      <c r="S116" s="44" t="str">
        <f aca="false">IF(OR(NOT(ISNUMBER($R116)),$R116=0,NOT(ISNUMBER($K116))),"",$K116*(1-$R116))</f>
        <v/>
      </c>
      <c r="T116" s="45" t="str">
        <f aca="false">IF(ISNUMBER($S116),$S116*$H116,"")</f>
        <v/>
      </c>
      <c r="U116" s="45" t="str">
        <f aca="false">IF(ISNUMBER($S116),$S116*Parâmetros!$B$8,"")</f>
        <v/>
      </c>
      <c r="V116" s="45" t="str">
        <f aca="false">IF(ISNUMBER($S116),$S116*Parâmetros!$C$8,"")</f>
        <v/>
      </c>
      <c r="W116" s="44" t="str">
        <f aca="false">IF(ISNUMBER($S116),$S116-$D116-IF(ISNUMBER($E116),$E116,0)-$O116-$T116-$U116-$V116,"")</f>
        <v/>
      </c>
      <c r="X116" s="46" t="str">
        <f aca="false">IF(AND(ISNUMBER($S116),$S116&gt;0),$W116/$S116,"")</f>
        <v/>
      </c>
      <c r="Y116" s="47"/>
      <c r="Z116" s="19"/>
    </row>
    <row r="117" customFormat="false" ht="15.75" hidden="false" customHeight="true" outlineLevel="0" collapsed="false">
      <c r="A117" s="48" t="str">
        <f aca="false">IF(Produtos!$A117="","",Produtos!$A117)</f>
        <v>L4075-BC</v>
      </c>
      <c r="B117" s="48" t="str">
        <f aca="false">IF(Produtos!$A117="","",Produtos!$B117)</f>
        <v>Lixeira de Aço inox 40x75 95L c/Aro basculante colorido</v>
      </c>
      <c r="C117" s="48" t="str">
        <f aca="false">IF(Produtos!$A117="","",Produtos!$C117)</f>
        <v>Lixeiras em inox</v>
      </c>
      <c r="D117" s="33" t="n">
        <f aca="false">IF(Produtos!$A117="","",IF(Produtos!$D117="","",Produtos!$D117))</f>
        <v>452.95</v>
      </c>
      <c r="E117" s="11" t="n">
        <v>0</v>
      </c>
      <c r="F117" s="34" t="n">
        <f aca="false">IF($A117="","",IF($C117="","⚠ categoria",IFERROR(INDEX(Parâmetros!$F$13:$F$22,MATCH($C117,Parâmetros!$A$13:$A$22,0)),"⚠ categoria")))</f>
        <v>0.19</v>
      </c>
      <c r="G117" s="35"/>
      <c r="H117" s="36" t="n">
        <f aca="false">IF($A117="","",IF(ISNUMBER($G117),$G117,IF(ISNUMBER($F117),$F117,"")))</f>
        <v>0.19</v>
      </c>
      <c r="I117" s="37" t="n">
        <f aca="false">IF(OR($A117="",NOT(ISNUMBER($D117)),NOT(ISNUMBER($H117))),"",IF((1-$H117-Parâmetros!$B$8-Parâmetros!$C$8-Parâmetros!$D$8)&lt;=0,"INVALIDO",($D117+IF(ISNUMBER($E117),$E117,0)+IF(ISNUMBER(Parâmetros!$E$8),Parâmetros!$E$8,0))/(1-$H117-Parâmetros!$B$8-Parâmetros!$C$8-Parâmetros!$D$8)))</f>
        <v>943.645833333333</v>
      </c>
      <c r="J117" s="38"/>
      <c r="K117" s="39" t="n">
        <f aca="false">IF(OR($A117="",NOT(ISNUMBER($D117)),NOT(ISNUMBER($H117))),"",IF(AND(ISNUMBER($J117),$J117&gt;0),$J117,IF(ISNUMBER($I117),$I117,"")))</f>
        <v>943.645833333333</v>
      </c>
      <c r="L117" s="40" t="n">
        <f aca="false">IF(ISNUMBER($K117),$K117*$H117,"")</f>
        <v>179.292708333333</v>
      </c>
      <c r="M117" s="40" t="n">
        <f aca="false">IF(ISNUMBER($K117),$K117*Parâmetros!$B$8,"")</f>
        <v>94.3645833333333</v>
      </c>
      <c r="N117" s="40" t="n">
        <f aca="false">IF(ISNUMBER($K117),$K117*Parâmetros!$C$8,"")</f>
        <v>28.309375</v>
      </c>
      <c r="O117" s="40" t="n">
        <f aca="false">IF(ISNUMBER($K117),IF(ISNUMBER(Parâmetros!$E$8),Parâmetros!$E$8,0),"")</f>
        <v>0</v>
      </c>
      <c r="P117" s="41" t="n">
        <f aca="false">IF(ISNUMBER($K117),$K117-$D117-IF(ISNUMBER($E117),$E117,0)-$L117-$M117-$N117-$O117,"")</f>
        <v>188.729166666667</v>
      </c>
      <c r="Q117" s="42" t="n">
        <f aca="false">IF(AND(ISNUMBER($K117),$K117&gt;0),$P117/$K117,"")</f>
        <v>0.2</v>
      </c>
      <c r="R117" s="43"/>
      <c r="S117" s="44" t="str">
        <f aca="false">IF(OR(NOT(ISNUMBER($R117)),$R117=0,NOT(ISNUMBER($K117))),"",$K117*(1-$R117))</f>
        <v/>
      </c>
      <c r="T117" s="45" t="str">
        <f aca="false">IF(ISNUMBER($S117),$S117*$H117,"")</f>
        <v/>
      </c>
      <c r="U117" s="45" t="str">
        <f aca="false">IF(ISNUMBER($S117),$S117*Parâmetros!$B$8,"")</f>
        <v/>
      </c>
      <c r="V117" s="45" t="str">
        <f aca="false">IF(ISNUMBER($S117),$S117*Parâmetros!$C$8,"")</f>
        <v/>
      </c>
      <c r="W117" s="44" t="str">
        <f aca="false">IF(ISNUMBER($S117),$S117-$D117-IF(ISNUMBER($E117),$E117,0)-$O117-$T117-$U117-$V117,"")</f>
        <v/>
      </c>
      <c r="X117" s="46" t="str">
        <f aca="false">IF(AND(ISNUMBER($S117),$S117&gt;0),$W117/$S117,"")</f>
        <v/>
      </c>
      <c r="Y117" s="49"/>
      <c r="Z117" s="21"/>
    </row>
    <row r="118" customFormat="false" ht="15.75" hidden="false" customHeight="true" outlineLevel="0" collapsed="false">
      <c r="A118" s="32" t="str">
        <f aca="false">IF(Produtos!$A118="","",Produtos!$A118)</f>
        <v>L4080-BC</v>
      </c>
      <c r="B118" s="32" t="str">
        <f aca="false">IF(Produtos!$A118="","",Produtos!$B118)</f>
        <v>Lixeira de Aço inox 40x80 100L c/Aro basculante colorido</v>
      </c>
      <c r="C118" s="32" t="str">
        <f aca="false">IF(Produtos!$A118="","",Produtos!$C118)</f>
        <v>Lixeiras em inox</v>
      </c>
      <c r="D118" s="33" t="n">
        <f aca="false">IF(Produtos!$A118="","",IF(Produtos!$D118="","",Produtos!$D118))</f>
        <v>486.92</v>
      </c>
      <c r="E118" s="11" t="n">
        <v>0</v>
      </c>
      <c r="F118" s="34" t="n">
        <f aca="false">IF($A118="","",IF($C118="","⚠ categoria",IFERROR(INDEX(Parâmetros!$F$13:$F$22,MATCH($C118,Parâmetros!$A$13:$A$22,0)),"⚠ categoria")))</f>
        <v>0.19</v>
      </c>
      <c r="G118" s="35"/>
      <c r="H118" s="36" t="n">
        <f aca="false">IF($A118="","",IF(ISNUMBER($G118),$G118,IF(ISNUMBER($F118),$F118,"")))</f>
        <v>0.19</v>
      </c>
      <c r="I118" s="37" t="n">
        <f aca="false">IF(OR($A118="",NOT(ISNUMBER($D118)),NOT(ISNUMBER($H118))),"",IF((1-$H118-Parâmetros!$B$8-Parâmetros!$C$8-Parâmetros!$D$8)&lt;=0,"INVALIDO",($D118+IF(ISNUMBER($E118),$E118,0)+IF(ISNUMBER(Parâmetros!$E$8),Parâmetros!$E$8,0))/(1-$H118-Parâmetros!$B$8-Parâmetros!$C$8-Parâmetros!$D$8)))</f>
        <v>1014.41666666667</v>
      </c>
      <c r="J118" s="38"/>
      <c r="K118" s="39" t="n">
        <f aca="false">IF(OR($A118="",NOT(ISNUMBER($D118)),NOT(ISNUMBER($H118))),"",IF(AND(ISNUMBER($J118),$J118&gt;0),$J118,IF(ISNUMBER($I118),$I118,"")))</f>
        <v>1014.41666666667</v>
      </c>
      <c r="L118" s="40" t="n">
        <f aca="false">IF(ISNUMBER($K118),$K118*$H118,"")</f>
        <v>192.739166666667</v>
      </c>
      <c r="M118" s="40" t="n">
        <f aca="false">IF(ISNUMBER($K118),$K118*Parâmetros!$B$8,"")</f>
        <v>101.441666666667</v>
      </c>
      <c r="N118" s="40" t="n">
        <f aca="false">IF(ISNUMBER($K118),$K118*Parâmetros!$C$8,"")</f>
        <v>30.4325</v>
      </c>
      <c r="O118" s="40" t="n">
        <f aca="false">IF(ISNUMBER($K118),IF(ISNUMBER(Parâmetros!$E$8),Parâmetros!$E$8,0),"")</f>
        <v>0</v>
      </c>
      <c r="P118" s="41" t="n">
        <f aca="false">IF(ISNUMBER($K118),$K118-$D118-IF(ISNUMBER($E118),$E118,0)-$L118-$M118-$N118-$O118,"")</f>
        <v>202.883333333333</v>
      </c>
      <c r="Q118" s="42" t="n">
        <f aca="false">IF(AND(ISNUMBER($K118),$K118&gt;0),$P118/$K118,"")</f>
        <v>0.2</v>
      </c>
      <c r="R118" s="43"/>
      <c r="S118" s="44" t="str">
        <f aca="false">IF(OR(NOT(ISNUMBER($R118)),$R118=0,NOT(ISNUMBER($K118))),"",$K118*(1-$R118))</f>
        <v/>
      </c>
      <c r="T118" s="45" t="str">
        <f aca="false">IF(ISNUMBER($S118),$S118*$H118,"")</f>
        <v/>
      </c>
      <c r="U118" s="45" t="str">
        <f aca="false">IF(ISNUMBER($S118),$S118*Parâmetros!$B$8,"")</f>
        <v/>
      </c>
      <c r="V118" s="45" t="str">
        <f aca="false">IF(ISNUMBER($S118),$S118*Parâmetros!$C$8,"")</f>
        <v/>
      </c>
      <c r="W118" s="44" t="str">
        <f aca="false">IF(ISNUMBER($S118),$S118-$D118-IF(ISNUMBER($E118),$E118,0)-$O118-$T118-$U118-$V118,"")</f>
        <v/>
      </c>
      <c r="X118" s="46" t="str">
        <f aca="false">IF(AND(ISNUMBER($S118),$S118&gt;0),$W118/$S118,"")</f>
        <v/>
      </c>
      <c r="Y118" s="47"/>
      <c r="Z118" s="19"/>
    </row>
    <row r="119" customFormat="false" ht="15.75" hidden="false" customHeight="true" outlineLevel="0" collapsed="false">
      <c r="A119" s="48" t="str">
        <f aca="false">IF(Produtos!$A119="","",Produtos!$A119)</f>
        <v>L4090-BC</v>
      </c>
      <c r="B119" s="48" t="str">
        <f aca="false">IF(Produtos!$A119="","",Produtos!$B119)</f>
        <v>Lixeira de Aço inox 40x90 120L c/Aro basculante colorido</v>
      </c>
      <c r="C119" s="48" t="str">
        <f aca="false">IF(Produtos!$A119="","",Produtos!$C119)</f>
        <v>Lixeiras em inox</v>
      </c>
      <c r="D119" s="33" t="n">
        <f aca="false">IF(Produtos!$A119="","",IF(Produtos!$D119="","",Produtos!$D119))</f>
        <v>727.39</v>
      </c>
      <c r="E119" s="11" t="n">
        <v>0</v>
      </c>
      <c r="F119" s="34" t="n">
        <f aca="false">IF($A119="","",IF($C119="","⚠ categoria",IFERROR(INDEX(Parâmetros!$F$13:$F$22,MATCH($C119,Parâmetros!$A$13:$A$22,0)),"⚠ categoria")))</f>
        <v>0.19</v>
      </c>
      <c r="G119" s="35"/>
      <c r="H119" s="36" t="n">
        <f aca="false">IF($A119="","",IF(ISNUMBER($G119),$G119,IF(ISNUMBER($F119),$F119,"")))</f>
        <v>0.19</v>
      </c>
      <c r="I119" s="37" t="n">
        <f aca="false">IF(OR($A119="",NOT(ISNUMBER($D119)),NOT(ISNUMBER($H119))),"",IF((1-$H119-Parâmetros!$B$8-Parâmetros!$C$8-Parâmetros!$D$8)&lt;=0,"INVALIDO",($D119+IF(ISNUMBER($E119),$E119,0)+IF(ISNUMBER(Parâmetros!$E$8),Parâmetros!$E$8,0))/(1-$H119-Parâmetros!$B$8-Parâmetros!$C$8-Parâmetros!$D$8)))</f>
        <v>1515.39583333333</v>
      </c>
      <c r="J119" s="38"/>
      <c r="K119" s="39" t="n">
        <f aca="false">IF(OR($A119="",NOT(ISNUMBER($D119)),NOT(ISNUMBER($H119))),"",IF(AND(ISNUMBER($J119),$J119&gt;0),$J119,IF(ISNUMBER($I119),$I119,"")))</f>
        <v>1515.39583333333</v>
      </c>
      <c r="L119" s="40" t="n">
        <f aca="false">IF(ISNUMBER($K119),$K119*$H119,"")</f>
        <v>287.925208333333</v>
      </c>
      <c r="M119" s="40" t="n">
        <f aca="false">IF(ISNUMBER($K119),$K119*Parâmetros!$B$8,"")</f>
        <v>151.539583333333</v>
      </c>
      <c r="N119" s="40" t="n">
        <f aca="false">IF(ISNUMBER($K119),$K119*Parâmetros!$C$8,"")</f>
        <v>45.461875</v>
      </c>
      <c r="O119" s="40" t="n">
        <f aca="false">IF(ISNUMBER($K119),IF(ISNUMBER(Parâmetros!$E$8),Parâmetros!$E$8,0),"")</f>
        <v>0</v>
      </c>
      <c r="P119" s="41" t="n">
        <f aca="false">IF(ISNUMBER($K119),$K119-$D119-IF(ISNUMBER($E119),$E119,0)-$L119-$M119-$N119-$O119,"")</f>
        <v>303.079166666667</v>
      </c>
      <c r="Q119" s="42" t="n">
        <f aca="false">IF(AND(ISNUMBER($K119),$K119&gt;0),$P119/$K119,"")</f>
        <v>0.2</v>
      </c>
      <c r="R119" s="43"/>
      <c r="S119" s="44" t="str">
        <f aca="false">IF(OR(NOT(ISNUMBER($R119)),$R119=0,NOT(ISNUMBER($K119))),"",$K119*(1-$R119))</f>
        <v/>
      </c>
      <c r="T119" s="45" t="str">
        <f aca="false">IF(ISNUMBER($S119),$S119*$H119,"")</f>
        <v/>
      </c>
      <c r="U119" s="45" t="str">
        <f aca="false">IF(ISNUMBER($S119),$S119*Parâmetros!$B$8,"")</f>
        <v/>
      </c>
      <c r="V119" s="45" t="str">
        <f aca="false">IF(ISNUMBER($S119),$S119*Parâmetros!$C$8,"")</f>
        <v/>
      </c>
      <c r="W119" s="44" t="str">
        <f aca="false">IF(ISNUMBER($S119),$S119-$D119-IF(ISNUMBER($E119),$E119,0)-$O119-$T119-$U119-$V119,"")</f>
        <v/>
      </c>
      <c r="X119" s="46" t="str">
        <f aca="false">IF(AND(ISNUMBER($S119),$S119&gt;0),$W119/$S119,"")</f>
        <v/>
      </c>
      <c r="Y119" s="49"/>
      <c r="Z119" s="21"/>
    </row>
    <row r="120" customFormat="false" ht="15.75" hidden="false" customHeight="true" outlineLevel="0" collapsed="false">
      <c r="A120" s="32" t="str">
        <f aca="false">IF(Produtos!$A120="","",Produtos!$A120)</f>
        <v>P2425-C</v>
      </c>
      <c r="B120" s="32" t="str">
        <f aca="false">IF(Produtos!$A120="","",Produtos!$B120)</f>
        <v>Lixeira Pedal de Aço inox 24x25 12L Tampa colorido</v>
      </c>
      <c r="C120" s="32" t="str">
        <f aca="false">IF(Produtos!$A120="","",Produtos!$C120)</f>
        <v>Lixeiras com pedal</v>
      </c>
      <c r="D120" s="33" t="n">
        <f aca="false">IF(Produtos!$A120="","",IF(Produtos!$D120="","",Produtos!$D120))</f>
        <v>131.86</v>
      </c>
      <c r="E120" s="11" t="n">
        <v>0</v>
      </c>
      <c r="F120" s="34" t="n">
        <f aca="false">IF($A120="","",IF($C120="","⚠ categoria",IFERROR(INDEX(Parâmetros!$F$13:$F$22,MATCH($C120,Parâmetros!$A$13:$A$22,0)),"⚠ categoria")))</f>
        <v>0.19</v>
      </c>
      <c r="G120" s="35"/>
      <c r="H120" s="36" t="n">
        <f aca="false">IF($A120="","",IF(ISNUMBER($G120),$G120,IF(ISNUMBER($F120),$F120,"")))</f>
        <v>0.19</v>
      </c>
      <c r="I120" s="37" t="n">
        <f aca="false">IF(OR($A120="",NOT(ISNUMBER($D120)),NOT(ISNUMBER($H120))),"",IF((1-$H120-Parâmetros!$B$8-Parâmetros!$C$8-Parâmetros!$D$8)&lt;=0,"INVALIDO",($D120+IF(ISNUMBER($E120),$E120,0)+IF(ISNUMBER(Parâmetros!$E$8),Parâmetros!$E$8,0))/(1-$H120-Parâmetros!$B$8-Parâmetros!$C$8-Parâmetros!$D$8)))</f>
        <v>274.708333333333</v>
      </c>
      <c r="J120" s="38"/>
      <c r="K120" s="39" t="n">
        <f aca="false">IF(OR($A120="",NOT(ISNUMBER($D120)),NOT(ISNUMBER($H120))),"",IF(AND(ISNUMBER($J120),$J120&gt;0),$J120,IF(ISNUMBER($I120),$I120,"")))</f>
        <v>274.708333333333</v>
      </c>
      <c r="L120" s="40" t="n">
        <f aca="false">IF(ISNUMBER($K120),$K120*$H120,"")</f>
        <v>52.1945833333333</v>
      </c>
      <c r="M120" s="40" t="n">
        <f aca="false">IF(ISNUMBER($K120),$K120*Parâmetros!$B$8,"")</f>
        <v>27.4708333333333</v>
      </c>
      <c r="N120" s="40" t="n">
        <f aca="false">IF(ISNUMBER($K120),$K120*Parâmetros!$C$8,"")</f>
        <v>8.24125</v>
      </c>
      <c r="O120" s="40" t="n">
        <f aca="false">IF(ISNUMBER($K120),IF(ISNUMBER(Parâmetros!$E$8),Parâmetros!$E$8,0),"")</f>
        <v>0</v>
      </c>
      <c r="P120" s="41" t="n">
        <f aca="false">IF(ISNUMBER($K120),$K120-$D120-IF(ISNUMBER($E120),$E120,0)-$L120-$M120-$N120-$O120,"")</f>
        <v>54.9416666666666</v>
      </c>
      <c r="Q120" s="42" t="n">
        <f aca="false">IF(AND(ISNUMBER($K120),$K120&gt;0),$P120/$K120,"")</f>
        <v>0.2</v>
      </c>
      <c r="R120" s="43"/>
      <c r="S120" s="44" t="str">
        <f aca="false">IF(OR(NOT(ISNUMBER($R120)),$R120=0,NOT(ISNUMBER($K120))),"",$K120*(1-$R120))</f>
        <v/>
      </c>
      <c r="T120" s="45" t="str">
        <f aca="false">IF(ISNUMBER($S120),$S120*$H120,"")</f>
        <v/>
      </c>
      <c r="U120" s="45" t="str">
        <f aca="false">IF(ISNUMBER($S120),$S120*Parâmetros!$B$8,"")</f>
        <v/>
      </c>
      <c r="V120" s="45" t="str">
        <f aca="false">IF(ISNUMBER($S120),$S120*Parâmetros!$C$8,"")</f>
        <v/>
      </c>
      <c r="W120" s="44" t="str">
        <f aca="false">IF(ISNUMBER($S120),$S120-$D120-IF(ISNUMBER($E120),$E120,0)-$O120-$T120-$U120-$V120,"")</f>
        <v/>
      </c>
      <c r="X120" s="46" t="str">
        <f aca="false">IF(AND(ISNUMBER($S120),$S120&gt;0),$W120/$S120,"")</f>
        <v/>
      </c>
      <c r="Y120" s="47"/>
      <c r="Z120" s="19"/>
    </row>
    <row r="121" customFormat="false" ht="15.75" hidden="false" customHeight="true" outlineLevel="0" collapsed="false">
      <c r="A121" s="48" t="str">
        <f aca="false">IF(Produtos!$A121="","",Produtos!$A121)</f>
        <v>P2430-C</v>
      </c>
      <c r="B121" s="48" t="str">
        <f aca="false">IF(Produtos!$A121="","",Produtos!$B121)</f>
        <v>Lixeira Pedal de Aço inox 24x30 15L Tampa colorido</v>
      </c>
      <c r="C121" s="48" t="str">
        <f aca="false">IF(Produtos!$A121="","",Produtos!$C121)</f>
        <v>Lixeiras com pedal</v>
      </c>
      <c r="D121" s="33" t="n">
        <f aca="false">IF(Produtos!$A121="","",IF(Produtos!$D121="","",Produtos!$D121))</f>
        <v>140.4</v>
      </c>
      <c r="E121" s="11" t="n">
        <v>0</v>
      </c>
      <c r="F121" s="34" t="n">
        <f aca="false">IF($A121="","",IF($C121="","⚠ categoria",IFERROR(INDEX(Parâmetros!$F$13:$F$22,MATCH($C121,Parâmetros!$A$13:$A$22,0)),"⚠ categoria")))</f>
        <v>0.19</v>
      </c>
      <c r="G121" s="35"/>
      <c r="H121" s="36" t="n">
        <f aca="false">IF($A121="","",IF(ISNUMBER($G121),$G121,IF(ISNUMBER($F121),$F121,"")))</f>
        <v>0.19</v>
      </c>
      <c r="I121" s="37" t="n">
        <f aca="false">IF(OR($A121="",NOT(ISNUMBER($D121)),NOT(ISNUMBER($H121))),"",IF((1-$H121-Parâmetros!$B$8-Parâmetros!$C$8-Parâmetros!$D$8)&lt;=0,"INVALIDO",($D121+IF(ISNUMBER($E121),$E121,0)+IF(ISNUMBER(Parâmetros!$E$8),Parâmetros!$E$8,0))/(1-$H121-Parâmetros!$B$8-Parâmetros!$C$8-Parâmetros!$D$8)))</f>
        <v>292.5</v>
      </c>
      <c r="J121" s="38"/>
      <c r="K121" s="39" t="n">
        <f aca="false">IF(OR($A121="",NOT(ISNUMBER($D121)),NOT(ISNUMBER($H121))),"",IF(AND(ISNUMBER($J121),$J121&gt;0),$J121,IF(ISNUMBER($I121),$I121,"")))</f>
        <v>292.5</v>
      </c>
      <c r="L121" s="40" t="n">
        <f aca="false">IF(ISNUMBER($K121),$K121*$H121,"")</f>
        <v>55.575</v>
      </c>
      <c r="M121" s="40" t="n">
        <f aca="false">IF(ISNUMBER($K121),$K121*Parâmetros!$B$8,"")</f>
        <v>29.25</v>
      </c>
      <c r="N121" s="40" t="n">
        <f aca="false">IF(ISNUMBER($K121),$K121*Parâmetros!$C$8,"")</f>
        <v>8.775</v>
      </c>
      <c r="O121" s="40" t="n">
        <f aca="false">IF(ISNUMBER($K121),IF(ISNUMBER(Parâmetros!$E$8),Parâmetros!$E$8,0),"")</f>
        <v>0</v>
      </c>
      <c r="P121" s="41" t="n">
        <f aca="false">IF(ISNUMBER($K121),$K121-$D121-IF(ISNUMBER($E121),$E121,0)-$L121-$M121-$N121-$O121,"")</f>
        <v>58.5</v>
      </c>
      <c r="Q121" s="42" t="n">
        <f aca="false">IF(AND(ISNUMBER($K121),$K121&gt;0),$P121/$K121,"")</f>
        <v>0.2</v>
      </c>
      <c r="R121" s="43"/>
      <c r="S121" s="44" t="str">
        <f aca="false">IF(OR(NOT(ISNUMBER($R121)),$R121=0,NOT(ISNUMBER($K121))),"",$K121*(1-$R121))</f>
        <v/>
      </c>
      <c r="T121" s="45" t="str">
        <f aca="false">IF(ISNUMBER($S121),$S121*$H121,"")</f>
        <v/>
      </c>
      <c r="U121" s="45" t="str">
        <f aca="false">IF(ISNUMBER($S121),$S121*Parâmetros!$B$8,"")</f>
        <v/>
      </c>
      <c r="V121" s="45" t="str">
        <f aca="false">IF(ISNUMBER($S121),$S121*Parâmetros!$C$8,"")</f>
        <v/>
      </c>
      <c r="W121" s="44" t="str">
        <f aca="false">IF(ISNUMBER($S121),$S121-$D121-IF(ISNUMBER($E121),$E121,0)-$O121-$T121-$U121-$V121,"")</f>
        <v/>
      </c>
      <c r="X121" s="46" t="str">
        <f aca="false">IF(AND(ISNUMBER($S121),$S121&gt;0),$W121/$S121,"")</f>
        <v/>
      </c>
      <c r="Y121" s="49"/>
      <c r="Z121" s="21"/>
    </row>
    <row r="122" customFormat="false" ht="15.75" hidden="false" customHeight="true" outlineLevel="0" collapsed="false">
      <c r="A122" s="32" t="str">
        <f aca="false">IF(Produtos!$A122="","",Produtos!$A122)</f>
        <v>P2440-C</v>
      </c>
      <c r="B122" s="32" t="str">
        <f aca="false">IF(Produtos!$A122="","",Produtos!$B122)</f>
        <v>Lixeira Pedal de Aço inox 24x40 20L Tampa colorido</v>
      </c>
      <c r="C122" s="32" t="str">
        <f aca="false">IF(Produtos!$A122="","",Produtos!$C122)</f>
        <v>Lixeiras com pedal</v>
      </c>
      <c r="D122" s="33" t="n">
        <f aca="false">IF(Produtos!$A122="","",IF(Produtos!$D122="","",Produtos!$D122))</f>
        <v>148.86</v>
      </c>
      <c r="E122" s="11" t="n">
        <v>0</v>
      </c>
      <c r="F122" s="34" t="n">
        <f aca="false">IF($A122="","",IF($C122="","⚠ categoria",IFERROR(INDEX(Parâmetros!$F$13:$F$22,MATCH($C122,Parâmetros!$A$13:$A$22,0)),"⚠ categoria")))</f>
        <v>0.19</v>
      </c>
      <c r="G122" s="35"/>
      <c r="H122" s="36" t="n">
        <f aca="false">IF($A122="","",IF(ISNUMBER($G122),$G122,IF(ISNUMBER($F122),$F122,"")))</f>
        <v>0.19</v>
      </c>
      <c r="I122" s="37" t="n">
        <f aca="false">IF(OR($A122="",NOT(ISNUMBER($D122)),NOT(ISNUMBER($H122))),"",IF((1-$H122-Parâmetros!$B$8-Parâmetros!$C$8-Parâmetros!$D$8)&lt;=0,"INVALIDO",($D122+IF(ISNUMBER($E122),$E122,0)+IF(ISNUMBER(Parâmetros!$E$8),Parâmetros!$E$8,0))/(1-$H122-Parâmetros!$B$8-Parâmetros!$C$8-Parâmetros!$D$8)))</f>
        <v>310.125</v>
      </c>
      <c r="J122" s="38"/>
      <c r="K122" s="39" t="n">
        <f aca="false">IF(OR($A122="",NOT(ISNUMBER($D122)),NOT(ISNUMBER($H122))),"",IF(AND(ISNUMBER($J122),$J122&gt;0),$J122,IF(ISNUMBER($I122),$I122,"")))</f>
        <v>310.125</v>
      </c>
      <c r="L122" s="40" t="n">
        <f aca="false">IF(ISNUMBER($K122),$K122*$H122,"")</f>
        <v>58.92375</v>
      </c>
      <c r="M122" s="40" t="n">
        <f aca="false">IF(ISNUMBER($K122),$K122*Parâmetros!$B$8,"")</f>
        <v>31.0125</v>
      </c>
      <c r="N122" s="40" t="n">
        <f aca="false">IF(ISNUMBER($K122),$K122*Parâmetros!$C$8,"")</f>
        <v>9.30375</v>
      </c>
      <c r="O122" s="40" t="n">
        <f aca="false">IF(ISNUMBER($K122),IF(ISNUMBER(Parâmetros!$E$8),Parâmetros!$E$8,0),"")</f>
        <v>0</v>
      </c>
      <c r="P122" s="41" t="n">
        <f aca="false">IF(ISNUMBER($K122),$K122-$D122-IF(ISNUMBER($E122),$E122,0)-$L122-$M122-$N122-$O122,"")</f>
        <v>62.025</v>
      </c>
      <c r="Q122" s="42" t="n">
        <f aca="false">IF(AND(ISNUMBER($K122),$K122&gt;0),$P122/$K122,"")</f>
        <v>0.2</v>
      </c>
      <c r="R122" s="43"/>
      <c r="S122" s="44" t="str">
        <f aca="false">IF(OR(NOT(ISNUMBER($R122)),$R122=0,NOT(ISNUMBER($K122))),"",$K122*(1-$R122))</f>
        <v/>
      </c>
      <c r="T122" s="45" t="str">
        <f aca="false">IF(ISNUMBER($S122),$S122*$H122,"")</f>
        <v/>
      </c>
      <c r="U122" s="45" t="str">
        <f aca="false">IF(ISNUMBER($S122),$S122*Parâmetros!$B$8,"")</f>
        <v/>
      </c>
      <c r="V122" s="45" t="str">
        <f aca="false">IF(ISNUMBER($S122),$S122*Parâmetros!$C$8,"")</f>
        <v/>
      </c>
      <c r="W122" s="44" t="str">
        <f aca="false">IF(ISNUMBER($S122),$S122-$D122-IF(ISNUMBER($E122),$E122,0)-$O122-$T122-$U122-$V122,"")</f>
        <v/>
      </c>
      <c r="X122" s="46" t="str">
        <f aca="false">IF(AND(ISNUMBER($S122),$S122&gt;0),$W122/$S122,"")</f>
        <v/>
      </c>
      <c r="Y122" s="47"/>
      <c r="Z122" s="19"/>
    </row>
    <row r="123" customFormat="false" ht="15.75" hidden="false" customHeight="true" outlineLevel="0" collapsed="false">
      <c r="A123" s="48" t="str">
        <f aca="false">IF(Produtos!$A123="","",Produtos!$A123)</f>
        <v>P3040-C</v>
      </c>
      <c r="B123" s="48" t="str">
        <f aca="false">IF(Produtos!$A123="","",Produtos!$B123)</f>
        <v>Lixeira Pedal de Aço inox 30x40 30L Tampa colorido</v>
      </c>
      <c r="C123" s="48" t="str">
        <f aca="false">IF(Produtos!$A123="","",Produtos!$C123)</f>
        <v>Lixeiras com pedal</v>
      </c>
      <c r="D123" s="33" t="n">
        <f aca="false">IF(Produtos!$A123="","",IF(Produtos!$D123="","",Produtos!$D123))</f>
        <v>213.43</v>
      </c>
      <c r="E123" s="11" t="n">
        <v>0</v>
      </c>
      <c r="F123" s="34" t="n">
        <f aca="false">IF($A123="","",IF($C123="","⚠ categoria",IFERROR(INDEX(Parâmetros!$F$13:$F$22,MATCH($C123,Parâmetros!$A$13:$A$22,0)),"⚠ categoria")))</f>
        <v>0.19</v>
      </c>
      <c r="G123" s="35"/>
      <c r="H123" s="36" t="n">
        <f aca="false">IF($A123="","",IF(ISNUMBER($G123),$G123,IF(ISNUMBER($F123),$F123,"")))</f>
        <v>0.19</v>
      </c>
      <c r="I123" s="37" t="n">
        <f aca="false">IF(OR($A123="",NOT(ISNUMBER($D123)),NOT(ISNUMBER($H123))),"",IF((1-$H123-Parâmetros!$B$8-Parâmetros!$C$8-Parâmetros!$D$8)&lt;=0,"INVALIDO",($D123+IF(ISNUMBER($E123),$E123,0)+IF(ISNUMBER(Parâmetros!$E$8),Parâmetros!$E$8,0))/(1-$H123-Parâmetros!$B$8-Parâmetros!$C$8-Parâmetros!$D$8)))</f>
        <v>444.645833333333</v>
      </c>
      <c r="J123" s="38"/>
      <c r="K123" s="39" t="n">
        <f aca="false">IF(OR($A123="",NOT(ISNUMBER($D123)),NOT(ISNUMBER($H123))),"",IF(AND(ISNUMBER($J123),$J123&gt;0),$J123,IF(ISNUMBER($I123),$I123,"")))</f>
        <v>444.645833333333</v>
      </c>
      <c r="L123" s="40" t="n">
        <f aca="false">IF(ISNUMBER($K123),$K123*$H123,"")</f>
        <v>84.4827083333333</v>
      </c>
      <c r="M123" s="40" t="n">
        <f aca="false">IF(ISNUMBER($K123),$K123*Parâmetros!$B$8,"")</f>
        <v>44.4645833333333</v>
      </c>
      <c r="N123" s="40" t="n">
        <f aca="false">IF(ISNUMBER($K123),$K123*Parâmetros!$C$8,"")</f>
        <v>13.339375</v>
      </c>
      <c r="O123" s="40" t="n">
        <f aca="false">IF(ISNUMBER($K123),IF(ISNUMBER(Parâmetros!$E$8),Parâmetros!$E$8,0),"")</f>
        <v>0</v>
      </c>
      <c r="P123" s="41" t="n">
        <f aca="false">IF(ISNUMBER($K123),$K123-$D123-IF(ISNUMBER($E123),$E123,0)-$L123-$M123-$N123-$O123,"")</f>
        <v>88.9291666666666</v>
      </c>
      <c r="Q123" s="42" t="n">
        <f aca="false">IF(AND(ISNUMBER($K123),$K123&gt;0),$P123/$K123,"")</f>
        <v>0.2</v>
      </c>
      <c r="R123" s="43"/>
      <c r="S123" s="44" t="str">
        <f aca="false">IF(OR(NOT(ISNUMBER($R123)),$R123=0,NOT(ISNUMBER($K123))),"",$K123*(1-$R123))</f>
        <v/>
      </c>
      <c r="T123" s="45" t="str">
        <f aca="false">IF(ISNUMBER($S123),$S123*$H123,"")</f>
        <v/>
      </c>
      <c r="U123" s="45" t="str">
        <f aca="false">IF(ISNUMBER($S123),$S123*Parâmetros!$B$8,"")</f>
        <v/>
      </c>
      <c r="V123" s="45" t="str">
        <f aca="false">IF(ISNUMBER($S123),$S123*Parâmetros!$C$8,"")</f>
        <v/>
      </c>
      <c r="W123" s="44" t="str">
        <f aca="false">IF(ISNUMBER($S123),$S123-$D123-IF(ISNUMBER($E123),$E123,0)-$O123-$T123-$U123-$V123,"")</f>
        <v/>
      </c>
      <c r="X123" s="46" t="str">
        <f aca="false">IF(AND(ISNUMBER($S123),$S123&gt;0),$W123/$S123,"")</f>
        <v/>
      </c>
      <c r="Y123" s="49"/>
      <c r="Z123" s="21"/>
    </row>
    <row r="124" customFormat="false" ht="15.75" hidden="false" customHeight="true" outlineLevel="0" collapsed="false">
      <c r="A124" s="32" t="str">
        <f aca="false">IF(Produtos!$A124="","",Produtos!$A124)</f>
        <v>P3050-C</v>
      </c>
      <c r="B124" s="32" t="str">
        <f aca="false">IF(Produtos!$A124="","",Produtos!$B124)</f>
        <v>Lixeira Pedal de Aço inox 30x50 40L Tampa colorido</v>
      </c>
      <c r="C124" s="32" t="str">
        <f aca="false">IF(Produtos!$A124="","",Produtos!$C124)</f>
        <v>Lixeiras com pedal</v>
      </c>
      <c r="D124" s="33" t="n">
        <f aca="false">IF(Produtos!$A124="","",IF(Produtos!$D124="","",Produtos!$D124))</f>
        <v>252.66</v>
      </c>
      <c r="E124" s="11" t="n">
        <v>0</v>
      </c>
      <c r="F124" s="34" t="n">
        <f aca="false">IF($A124="","",IF($C124="","⚠ categoria",IFERROR(INDEX(Parâmetros!$F$13:$F$22,MATCH($C124,Parâmetros!$A$13:$A$22,0)),"⚠ categoria")))</f>
        <v>0.19</v>
      </c>
      <c r="G124" s="35"/>
      <c r="H124" s="36" t="n">
        <f aca="false">IF($A124="","",IF(ISNUMBER($G124),$G124,IF(ISNUMBER($F124),$F124,"")))</f>
        <v>0.19</v>
      </c>
      <c r="I124" s="37" t="n">
        <f aca="false">IF(OR($A124="",NOT(ISNUMBER($D124)),NOT(ISNUMBER($H124))),"",IF((1-$H124-Parâmetros!$B$8-Parâmetros!$C$8-Parâmetros!$D$8)&lt;=0,"INVALIDO",($D124+IF(ISNUMBER($E124),$E124,0)+IF(ISNUMBER(Parâmetros!$E$8),Parâmetros!$E$8,0))/(1-$H124-Parâmetros!$B$8-Parâmetros!$C$8-Parâmetros!$D$8)))</f>
        <v>526.375</v>
      </c>
      <c r="J124" s="38"/>
      <c r="K124" s="39" t="n">
        <f aca="false">IF(OR($A124="",NOT(ISNUMBER($D124)),NOT(ISNUMBER($H124))),"",IF(AND(ISNUMBER($J124),$J124&gt;0),$J124,IF(ISNUMBER($I124),$I124,"")))</f>
        <v>526.375</v>
      </c>
      <c r="L124" s="40" t="n">
        <f aca="false">IF(ISNUMBER($K124),$K124*$H124,"")</f>
        <v>100.01125</v>
      </c>
      <c r="M124" s="40" t="n">
        <f aca="false">IF(ISNUMBER($K124),$K124*Parâmetros!$B$8,"")</f>
        <v>52.6375</v>
      </c>
      <c r="N124" s="40" t="n">
        <f aca="false">IF(ISNUMBER($K124),$K124*Parâmetros!$C$8,"")</f>
        <v>15.79125</v>
      </c>
      <c r="O124" s="40" t="n">
        <f aca="false">IF(ISNUMBER($K124),IF(ISNUMBER(Parâmetros!$E$8),Parâmetros!$E$8,0),"")</f>
        <v>0</v>
      </c>
      <c r="P124" s="41" t="n">
        <f aca="false">IF(ISNUMBER($K124),$K124-$D124-IF(ISNUMBER($E124),$E124,0)-$L124-$M124-$N124-$O124,"")</f>
        <v>105.275</v>
      </c>
      <c r="Q124" s="42" t="n">
        <f aca="false">IF(AND(ISNUMBER($K124),$K124&gt;0),$P124/$K124,"")</f>
        <v>0.2</v>
      </c>
      <c r="R124" s="43"/>
      <c r="S124" s="44" t="str">
        <f aca="false">IF(OR(NOT(ISNUMBER($R124)),$R124=0,NOT(ISNUMBER($K124))),"",$K124*(1-$R124))</f>
        <v/>
      </c>
      <c r="T124" s="45" t="str">
        <f aca="false">IF(ISNUMBER($S124),$S124*$H124,"")</f>
        <v/>
      </c>
      <c r="U124" s="45" t="str">
        <f aca="false">IF(ISNUMBER($S124),$S124*Parâmetros!$B$8,"")</f>
        <v/>
      </c>
      <c r="V124" s="45" t="str">
        <f aca="false">IF(ISNUMBER($S124),$S124*Parâmetros!$C$8,"")</f>
        <v/>
      </c>
      <c r="W124" s="44" t="str">
        <f aca="false">IF(ISNUMBER($S124),$S124-$D124-IF(ISNUMBER($E124),$E124,0)-$O124-$T124-$U124-$V124,"")</f>
        <v/>
      </c>
      <c r="X124" s="46" t="str">
        <f aca="false">IF(AND(ISNUMBER($S124),$S124&gt;0),$W124/$S124,"")</f>
        <v/>
      </c>
      <c r="Y124" s="47"/>
      <c r="Z124" s="19"/>
    </row>
    <row r="125" customFormat="false" ht="15.75" hidden="false" customHeight="true" outlineLevel="0" collapsed="false">
      <c r="A125" s="48" t="str">
        <f aca="false">IF(Produtos!$A125="","",Produtos!$A125)</f>
        <v>P3060-C</v>
      </c>
      <c r="B125" s="48" t="str">
        <f aca="false">IF(Produtos!$A125="","",Produtos!$B125)</f>
        <v>Lixeira Pedal de Aço inox 30x60 50L Tampa colorido</v>
      </c>
      <c r="C125" s="48" t="str">
        <f aca="false">IF(Produtos!$A125="","",Produtos!$C125)</f>
        <v>Lixeiras com pedal</v>
      </c>
      <c r="D125" s="33" t="n">
        <f aca="false">IF(Produtos!$A125="","",IF(Produtos!$D125="","",Produtos!$D125))</f>
        <v>254.39</v>
      </c>
      <c r="E125" s="11" t="n">
        <v>0</v>
      </c>
      <c r="F125" s="34" t="n">
        <f aca="false">IF($A125="","",IF($C125="","⚠ categoria",IFERROR(INDEX(Parâmetros!$F$13:$F$22,MATCH($C125,Parâmetros!$A$13:$A$22,0)),"⚠ categoria")))</f>
        <v>0.19</v>
      </c>
      <c r="G125" s="35"/>
      <c r="H125" s="36" t="n">
        <f aca="false">IF($A125="","",IF(ISNUMBER($G125),$G125,IF(ISNUMBER($F125),$F125,"")))</f>
        <v>0.19</v>
      </c>
      <c r="I125" s="37" t="n">
        <f aca="false">IF(OR($A125="",NOT(ISNUMBER($D125)),NOT(ISNUMBER($H125))),"",IF((1-$H125-Parâmetros!$B$8-Parâmetros!$C$8-Parâmetros!$D$8)&lt;=0,"INVALIDO",($D125+IF(ISNUMBER($E125),$E125,0)+IF(ISNUMBER(Parâmetros!$E$8),Parâmetros!$E$8,0))/(1-$H125-Parâmetros!$B$8-Parâmetros!$C$8-Parâmetros!$D$8)))</f>
        <v>529.979166666667</v>
      </c>
      <c r="J125" s="38"/>
      <c r="K125" s="39" t="n">
        <f aca="false">IF(OR($A125="",NOT(ISNUMBER($D125)),NOT(ISNUMBER($H125))),"",IF(AND(ISNUMBER($J125),$J125&gt;0),$J125,IF(ISNUMBER($I125),$I125,"")))</f>
        <v>529.979166666667</v>
      </c>
      <c r="L125" s="40" t="n">
        <f aca="false">IF(ISNUMBER($K125),$K125*$H125,"")</f>
        <v>100.696041666667</v>
      </c>
      <c r="M125" s="40" t="n">
        <f aca="false">IF(ISNUMBER($K125),$K125*Parâmetros!$B$8,"")</f>
        <v>52.9979166666667</v>
      </c>
      <c r="N125" s="40" t="n">
        <f aca="false">IF(ISNUMBER($K125),$K125*Parâmetros!$C$8,"")</f>
        <v>15.899375</v>
      </c>
      <c r="O125" s="40" t="n">
        <f aca="false">IF(ISNUMBER($K125),IF(ISNUMBER(Parâmetros!$E$8),Parâmetros!$E$8,0),"")</f>
        <v>0</v>
      </c>
      <c r="P125" s="41" t="n">
        <f aca="false">IF(ISNUMBER($K125),$K125-$D125-IF(ISNUMBER($E125),$E125,0)-$L125-$M125-$N125-$O125,"")</f>
        <v>105.995833333333</v>
      </c>
      <c r="Q125" s="42" t="n">
        <f aca="false">IF(AND(ISNUMBER($K125),$K125&gt;0),$P125/$K125,"")</f>
        <v>0.2</v>
      </c>
      <c r="R125" s="43"/>
      <c r="S125" s="44" t="str">
        <f aca="false">IF(OR(NOT(ISNUMBER($R125)),$R125=0,NOT(ISNUMBER($K125))),"",$K125*(1-$R125))</f>
        <v/>
      </c>
      <c r="T125" s="45" t="str">
        <f aca="false">IF(ISNUMBER($S125),$S125*$H125,"")</f>
        <v/>
      </c>
      <c r="U125" s="45" t="str">
        <f aca="false">IF(ISNUMBER($S125),$S125*Parâmetros!$B$8,"")</f>
        <v/>
      </c>
      <c r="V125" s="45" t="str">
        <f aca="false">IF(ISNUMBER($S125),$S125*Parâmetros!$C$8,"")</f>
        <v/>
      </c>
      <c r="W125" s="44" t="str">
        <f aca="false">IF(ISNUMBER($S125),$S125-$D125-IF(ISNUMBER($E125),$E125,0)-$O125-$T125-$U125-$V125,"")</f>
        <v/>
      </c>
      <c r="X125" s="46" t="str">
        <f aca="false">IF(AND(ISNUMBER($S125),$S125&gt;0),$W125/$S125,"")</f>
        <v/>
      </c>
      <c r="Y125" s="49"/>
      <c r="Z125" s="21"/>
    </row>
    <row r="126" customFormat="false" ht="15.75" hidden="false" customHeight="true" outlineLevel="0" collapsed="false">
      <c r="A126" s="32" t="str">
        <f aca="false">IF(Produtos!$A126="","",Produtos!$A126)</f>
        <v>P3070-C</v>
      </c>
      <c r="B126" s="32" t="str">
        <f aca="false">IF(Produtos!$A126="","",Produtos!$B126)</f>
        <v>Lixeira Pedal de Aço inox 30x70 60L Tampa colorido</v>
      </c>
      <c r="C126" s="32" t="str">
        <f aca="false">IF(Produtos!$A126="","",Produtos!$C126)</f>
        <v>Lixeiras com pedal</v>
      </c>
      <c r="D126" s="33" t="n">
        <f aca="false">IF(Produtos!$A126="","",IF(Produtos!$D126="","",Produtos!$D126))</f>
        <v>316.25</v>
      </c>
      <c r="E126" s="11" t="n">
        <v>0</v>
      </c>
      <c r="F126" s="34" t="n">
        <f aca="false">IF($A126="","",IF($C126="","⚠ categoria",IFERROR(INDEX(Parâmetros!$F$13:$F$22,MATCH($C126,Parâmetros!$A$13:$A$22,0)),"⚠ categoria")))</f>
        <v>0.19</v>
      </c>
      <c r="G126" s="35"/>
      <c r="H126" s="36" t="n">
        <f aca="false">IF($A126="","",IF(ISNUMBER($G126),$G126,IF(ISNUMBER($F126),$F126,"")))</f>
        <v>0.19</v>
      </c>
      <c r="I126" s="37" t="n">
        <f aca="false">IF(OR($A126="",NOT(ISNUMBER($D126)),NOT(ISNUMBER($H126))),"",IF((1-$H126-Parâmetros!$B$8-Parâmetros!$C$8-Parâmetros!$D$8)&lt;=0,"INVALIDO",($D126+IF(ISNUMBER($E126),$E126,0)+IF(ISNUMBER(Parâmetros!$E$8),Parâmetros!$E$8,0))/(1-$H126-Parâmetros!$B$8-Parâmetros!$C$8-Parâmetros!$D$8)))</f>
        <v>658.854166666667</v>
      </c>
      <c r="J126" s="38"/>
      <c r="K126" s="39" t="n">
        <f aca="false">IF(OR($A126="",NOT(ISNUMBER($D126)),NOT(ISNUMBER($H126))),"",IF(AND(ISNUMBER($J126),$J126&gt;0),$J126,IF(ISNUMBER($I126),$I126,"")))</f>
        <v>658.854166666667</v>
      </c>
      <c r="L126" s="40" t="n">
        <f aca="false">IF(ISNUMBER($K126),$K126*$H126,"")</f>
        <v>125.182291666667</v>
      </c>
      <c r="M126" s="40" t="n">
        <f aca="false">IF(ISNUMBER($K126),$K126*Parâmetros!$B$8,"")</f>
        <v>65.8854166666667</v>
      </c>
      <c r="N126" s="40" t="n">
        <f aca="false">IF(ISNUMBER($K126),$K126*Parâmetros!$C$8,"")</f>
        <v>19.765625</v>
      </c>
      <c r="O126" s="40" t="n">
        <f aca="false">IF(ISNUMBER($K126),IF(ISNUMBER(Parâmetros!$E$8),Parâmetros!$E$8,0),"")</f>
        <v>0</v>
      </c>
      <c r="P126" s="41" t="n">
        <f aca="false">IF(ISNUMBER($K126),$K126-$D126-IF(ISNUMBER($E126),$E126,0)-$L126-$M126-$N126-$O126,"")</f>
        <v>131.770833333333</v>
      </c>
      <c r="Q126" s="42" t="n">
        <f aca="false">IF(AND(ISNUMBER($K126),$K126&gt;0),$P126/$K126,"")</f>
        <v>0.2</v>
      </c>
      <c r="R126" s="43"/>
      <c r="S126" s="44" t="str">
        <f aca="false">IF(OR(NOT(ISNUMBER($R126)),$R126=0,NOT(ISNUMBER($K126))),"",$K126*(1-$R126))</f>
        <v/>
      </c>
      <c r="T126" s="45" t="str">
        <f aca="false">IF(ISNUMBER($S126),$S126*$H126,"")</f>
        <v/>
      </c>
      <c r="U126" s="45" t="str">
        <f aca="false">IF(ISNUMBER($S126),$S126*Parâmetros!$B$8,"")</f>
        <v/>
      </c>
      <c r="V126" s="45" t="str">
        <f aca="false">IF(ISNUMBER($S126),$S126*Parâmetros!$C$8,"")</f>
        <v/>
      </c>
      <c r="W126" s="44" t="str">
        <f aca="false">IF(ISNUMBER($S126),$S126-$D126-IF(ISNUMBER($E126),$E126,0)-$O126-$T126-$U126-$V126,"")</f>
        <v/>
      </c>
      <c r="X126" s="46" t="str">
        <f aca="false">IF(AND(ISNUMBER($S126),$S126&gt;0),$W126/$S126,"")</f>
        <v/>
      </c>
      <c r="Y126" s="47"/>
      <c r="Z126" s="19"/>
    </row>
    <row r="127" customFormat="false" ht="15.75" hidden="false" customHeight="true" outlineLevel="0" collapsed="false">
      <c r="A127" s="48" t="str">
        <f aca="false">IF(Produtos!$A127="","",Produtos!$A127)</f>
        <v>P4050-C</v>
      </c>
      <c r="B127" s="48" t="str">
        <f aca="false">IF(Produtos!$A127="","",Produtos!$B127)</f>
        <v>Lixeira Pedal de Aço inox 40x50 65L Tampa colorido</v>
      </c>
      <c r="C127" s="48" t="str">
        <f aca="false">IF(Produtos!$A127="","",Produtos!$C127)</f>
        <v>Lixeiras com pedal</v>
      </c>
      <c r="D127" s="33" t="n">
        <f aca="false">IF(Produtos!$A127="","",IF(Produtos!$D127="","",Produtos!$D127))</f>
        <v>383.73</v>
      </c>
      <c r="E127" s="11" t="n">
        <v>0</v>
      </c>
      <c r="F127" s="34" t="n">
        <f aca="false">IF($A127="","",IF($C127="","⚠ categoria",IFERROR(INDEX(Parâmetros!$F$13:$F$22,MATCH($C127,Parâmetros!$A$13:$A$22,0)),"⚠ categoria")))</f>
        <v>0.19</v>
      </c>
      <c r="G127" s="35"/>
      <c r="H127" s="36" t="n">
        <f aca="false">IF($A127="","",IF(ISNUMBER($G127),$G127,IF(ISNUMBER($F127),$F127,"")))</f>
        <v>0.19</v>
      </c>
      <c r="I127" s="37" t="n">
        <f aca="false">IF(OR($A127="",NOT(ISNUMBER($D127)),NOT(ISNUMBER($H127))),"",IF((1-$H127-Parâmetros!$B$8-Parâmetros!$C$8-Parâmetros!$D$8)&lt;=0,"INVALIDO",($D127+IF(ISNUMBER($E127),$E127,0)+IF(ISNUMBER(Parâmetros!$E$8),Parâmetros!$E$8,0))/(1-$H127-Parâmetros!$B$8-Parâmetros!$C$8-Parâmetros!$D$8)))</f>
        <v>799.4375</v>
      </c>
      <c r="J127" s="38"/>
      <c r="K127" s="39" t="n">
        <f aca="false">IF(OR($A127="",NOT(ISNUMBER($D127)),NOT(ISNUMBER($H127))),"",IF(AND(ISNUMBER($J127),$J127&gt;0),$J127,IF(ISNUMBER($I127),$I127,"")))</f>
        <v>799.4375</v>
      </c>
      <c r="L127" s="40" t="n">
        <f aca="false">IF(ISNUMBER($K127),$K127*$H127,"")</f>
        <v>151.893125</v>
      </c>
      <c r="M127" s="40" t="n">
        <f aca="false">IF(ISNUMBER($K127),$K127*Parâmetros!$B$8,"")</f>
        <v>79.94375</v>
      </c>
      <c r="N127" s="40" t="n">
        <f aca="false">IF(ISNUMBER($K127),$K127*Parâmetros!$C$8,"")</f>
        <v>23.983125</v>
      </c>
      <c r="O127" s="40" t="n">
        <f aca="false">IF(ISNUMBER($K127),IF(ISNUMBER(Parâmetros!$E$8),Parâmetros!$E$8,0),"")</f>
        <v>0</v>
      </c>
      <c r="P127" s="41" t="n">
        <f aca="false">IF(ISNUMBER($K127),$K127-$D127-IF(ISNUMBER($E127),$E127,0)-$L127-$M127-$N127-$O127,"")</f>
        <v>159.8875</v>
      </c>
      <c r="Q127" s="42" t="n">
        <f aca="false">IF(AND(ISNUMBER($K127),$K127&gt;0),$P127/$K127,"")</f>
        <v>0.2</v>
      </c>
      <c r="R127" s="43"/>
      <c r="S127" s="44" t="str">
        <f aca="false">IF(OR(NOT(ISNUMBER($R127)),$R127=0,NOT(ISNUMBER($K127))),"",$K127*(1-$R127))</f>
        <v/>
      </c>
      <c r="T127" s="45" t="str">
        <f aca="false">IF(ISNUMBER($S127),$S127*$H127,"")</f>
        <v/>
      </c>
      <c r="U127" s="45" t="str">
        <f aca="false">IF(ISNUMBER($S127),$S127*Parâmetros!$B$8,"")</f>
        <v/>
      </c>
      <c r="V127" s="45" t="str">
        <f aca="false">IF(ISNUMBER($S127),$S127*Parâmetros!$C$8,"")</f>
        <v/>
      </c>
      <c r="W127" s="44" t="str">
        <f aca="false">IF(ISNUMBER($S127),$S127-$D127-IF(ISNUMBER($E127),$E127,0)-$O127-$T127-$U127-$V127,"")</f>
        <v/>
      </c>
      <c r="X127" s="46" t="str">
        <f aca="false">IF(AND(ISNUMBER($S127),$S127&gt;0),$W127/$S127,"")</f>
        <v/>
      </c>
      <c r="Y127" s="49"/>
      <c r="Z127" s="21"/>
    </row>
    <row r="128" customFormat="false" ht="15.75" hidden="false" customHeight="true" outlineLevel="0" collapsed="false">
      <c r="A128" s="32" t="str">
        <f aca="false">IF(Produtos!$A128="","",Produtos!$A128)</f>
        <v>P4060-C</v>
      </c>
      <c r="B128" s="32" t="str">
        <f aca="false">IF(Produtos!$A128="","",Produtos!$B128)</f>
        <v>Lixeira Pedal de Aço inox 40x60 75L Tampa colorido</v>
      </c>
      <c r="C128" s="32" t="str">
        <f aca="false">IF(Produtos!$A128="","",Produtos!$C128)</f>
        <v>Lixeiras com pedal</v>
      </c>
      <c r="D128" s="33" t="n">
        <f aca="false">IF(Produtos!$A128="","",IF(Produtos!$D128="","",Produtos!$D128))</f>
        <v>423.07</v>
      </c>
      <c r="E128" s="11" t="n">
        <v>0</v>
      </c>
      <c r="F128" s="34" t="n">
        <f aca="false">IF($A128="","",IF($C128="","⚠ categoria",IFERROR(INDEX(Parâmetros!$F$13:$F$22,MATCH($C128,Parâmetros!$A$13:$A$22,0)),"⚠ categoria")))</f>
        <v>0.19</v>
      </c>
      <c r="G128" s="35"/>
      <c r="H128" s="36" t="n">
        <f aca="false">IF($A128="","",IF(ISNUMBER($G128),$G128,IF(ISNUMBER($F128),$F128,"")))</f>
        <v>0.19</v>
      </c>
      <c r="I128" s="37" t="n">
        <f aca="false">IF(OR($A128="",NOT(ISNUMBER($D128)),NOT(ISNUMBER($H128))),"",IF((1-$H128-Parâmetros!$B$8-Parâmetros!$C$8-Parâmetros!$D$8)&lt;=0,"INVALIDO",($D128+IF(ISNUMBER($E128),$E128,0)+IF(ISNUMBER(Parâmetros!$E$8),Parâmetros!$E$8,0))/(1-$H128-Parâmetros!$B$8-Parâmetros!$C$8-Parâmetros!$D$8)))</f>
        <v>881.395833333333</v>
      </c>
      <c r="J128" s="38"/>
      <c r="K128" s="39" t="n">
        <f aca="false">IF(OR($A128="",NOT(ISNUMBER($D128)),NOT(ISNUMBER($H128))),"",IF(AND(ISNUMBER($J128),$J128&gt;0),$J128,IF(ISNUMBER($I128),$I128,"")))</f>
        <v>881.395833333333</v>
      </c>
      <c r="L128" s="40" t="n">
        <f aca="false">IF(ISNUMBER($K128),$K128*$H128,"")</f>
        <v>167.465208333333</v>
      </c>
      <c r="M128" s="40" t="n">
        <f aca="false">IF(ISNUMBER($K128),$K128*Parâmetros!$B$8,"")</f>
        <v>88.1395833333333</v>
      </c>
      <c r="N128" s="40" t="n">
        <f aca="false">IF(ISNUMBER($K128),$K128*Parâmetros!$C$8,"")</f>
        <v>26.441875</v>
      </c>
      <c r="O128" s="40" t="n">
        <f aca="false">IF(ISNUMBER($K128),IF(ISNUMBER(Parâmetros!$E$8),Parâmetros!$E$8,0),"")</f>
        <v>0</v>
      </c>
      <c r="P128" s="41" t="n">
        <f aca="false">IF(ISNUMBER($K128),$K128-$D128-IF(ISNUMBER($E128),$E128,0)-$L128-$M128-$N128-$O128,"")</f>
        <v>176.279166666667</v>
      </c>
      <c r="Q128" s="42" t="n">
        <f aca="false">IF(AND(ISNUMBER($K128),$K128&gt;0),$P128/$K128,"")</f>
        <v>0.2</v>
      </c>
      <c r="R128" s="43"/>
      <c r="S128" s="44" t="str">
        <f aca="false">IF(OR(NOT(ISNUMBER($R128)),$R128=0,NOT(ISNUMBER($K128))),"",$K128*(1-$R128))</f>
        <v/>
      </c>
      <c r="T128" s="45" t="str">
        <f aca="false">IF(ISNUMBER($S128),$S128*$H128,"")</f>
        <v/>
      </c>
      <c r="U128" s="45" t="str">
        <f aca="false">IF(ISNUMBER($S128),$S128*Parâmetros!$B$8,"")</f>
        <v/>
      </c>
      <c r="V128" s="45" t="str">
        <f aca="false">IF(ISNUMBER($S128),$S128*Parâmetros!$C$8,"")</f>
        <v/>
      </c>
      <c r="W128" s="44" t="str">
        <f aca="false">IF(ISNUMBER($S128),$S128-$D128-IF(ISNUMBER($E128),$E128,0)-$O128-$T128-$U128-$V128,"")</f>
        <v/>
      </c>
      <c r="X128" s="46" t="str">
        <f aca="false">IF(AND(ISNUMBER($S128),$S128&gt;0),$W128/$S128,"")</f>
        <v/>
      </c>
      <c r="Y128" s="47"/>
      <c r="Z128" s="19"/>
    </row>
    <row r="129" customFormat="false" ht="15.75" hidden="false" customHeight="true" outlineLevel="0" collapsed="false">
      <c r="A129" s="48" t="str">
        <f aca="false">IF(Produtos!$A129="","",Produtos!$A129)</f>
        <v>P4070-C</v>
      </c>
      <c r="B129" s="48" t="str">
        <f aca="false">IF(Produtos!$A129="","",Produtos!$B129)</f>
        <v>Lixeira Pedal de Aço inox 40x70 80L Tampa colorido</v>
      </c>
      <c r="C129" s="48" t="str">
        <f aca="false">IF(Produtos!$A129="","",Produtos!$C129)</f>
        <v>Lixeiras com pedal</v>
      </c>
      <c r="D129" s="33" t="n">
        <f aca="false">IF(Produtos!$A129="","",IF(Produtos!$D129="","",Produtos!$D129))</f>
        <v>428.49</v>
      </c>
      <c r="E129" s="11" t="n">
        <v>0</v>
      </c>
      <c r="F129" s="34" t="n">
        <f aca="false">IF($A129="","",IF($C129="","⚠ categoria",IFERROR(INDEX(Parâmetros!$F$13:$F$22,MATCH($C129,Parâmetros!$A$13:$A$22,0)),"⚠ categoria")))</f>
        <v>0.19</v>
      </c>
      <c r="G129" s="35"/>
      <c r="H129" s="36" t="n">
        <f aca="false">IF($A129="","",IF(ISNUMBER($G129),$G129,IF(ISNUMBER($F129),$F129,"")))</f>
        <v>0.19</v>
      </c>
      <c r="I129" s="37" t="n">
        <f aca="false">IF(OR($A129="",NOT(ISNUMBER($D129)),NOT(ISNUMBER($H129))),"",IF((1-$H129-Parâmetros!$B$8-Parâmetros!$C$8-Parâmetros!$D$8)&lt;=0,"INVALIDO",($D129+IF(ISNUMBER($E129),$E129,0)+IF(ISNUMBER(Parâmetros!$E$8),Parâmetros!$E$8,0))/(1-$H129-Parâmetros!$B$8-Parâmetros!$C$8-Parâmetros!$D$8)))</f>
        <v>892.6875</v>
      </c>
      <c r="J129" s="38"/>
      <c r="K129" s="39" t="n">
        <f aca="false">IF(OR($A129="",NOT(ISNUMBER($D129)),NOT(ISNUMBER($H129))),"",IF(AND(ISNUMBER($J129),$J129&gt;0),$J129,IF(ISNUMBER($I129),$I129,"")))</f>
        <v>892.6875</v>
      </c>
      <c r="L129" s="40" t="n">
        <f aca="false">IF(ISNUMBER($K129),$K129*$H129,"")</f>
        <v>169.610625</v>
      </c>
      <c r="M129" s="40" t="n">
        <f aca="false">IF(ISNUMBER($K129),$K129*Parâmetros!$B$8,"")</f>
        <v>89.26875</v>
      </c>
      <c r="N129" s="40" t="n">
        <f aca="false">IF(ISNUMBER($K129),$K129*Parâmetros!$C$8,"")</f>
        <v>26.780625</v>
      </c>
      <c r="O129" s="40" t="n">
        <f aca="false">IF(ISNUMBER($K129),IF(ISNUMBER(Parâmetros!$E$8),Parâmetros!$E$8,0),"")</f>
        <v>0</v>
      </c>
      <c r="P129" s="41" t="n">
        <f aca="false">IF(ISNUMBER($K129),$K129-$D129-IF(ISNUMBER($E129),$E129,0)-$L129-$M129-$N129-$O129,"")</f>
        <v>178.5375</v>
      </c>
      <c r="Q129" s="42" t="n">
        <f aca="false">IF(AND(ISNUMBER($K129),$K129&gt;0),$P129/$K129,"")</f>
        <v>0.2</v>
      </c>
      <c r="R129" s="43"/>
      <c r="S129" s="44" t="str">
        <f aca="false">IF(OR(NOT(ISNUMBER($R129)),$R129=0,NOT(ISNUMBER($K129))),"",$K129*(1-$R129))</f>
        <v/>
      </c>
      <c r="T129" s="45" t="str">
        <f aca="false">IF(ISNUMBER($S129),$S129*$H129,"")</f>
        <v/>
      </c>
      <c r="U129" s="45" t="str">
        <f aca="false">IF(ISNUMBER($S129),$S129*Parâmetros!$B$8,"")</f>
        <v/>
      </c>
      <c r="V129" s="45" t="str">
        <f aca="false">IF(ISNUMBER($S129),$S129*Parâmetros!$C$8,"")</f>
        <v/>
      </c>
      <c r="W129" s="44" t="str">
        <f aca="false">IF(ISNUMBER($S129),$S129-$D129-IF(ISNUMBER($E129),$E129,0)-$O129-$T129-$U129-$V129,"")</f>
        <v/>
      </c>
      <c r="X129" s="46" t="str">
        <f aca="false">IF(AND(ISNUMBER($S129),$S129&gt;0),$W129/$S129,"")</f>
        <v/>
      </c>
      <c r="Y129" s="49"/>
      <c r="Z129" s="21"/>
    </row>
    <row r="130" customFormat="false" ht="15.75" hidden="false" customHeight="true" outlineLevel="0" collapsed="false">
      <c r="A130" s="32" t="str">
        <f aca="false">IF(Produtos!$A130="","",Produtos!$A130)</f>
        <v>P4075-C</v>
      </c>
      <c r="B130" s="32" t="str">
        <f aca="false">IF(Produtos!$A130="","",Produtos!$B130)</f>
        <v>Lixeira Pedal de Aço inox 40x75 95L Tampa colorido</v>
      </c>
      <c r="C130" s="32" t="str">
        <f aca="false">IF(Produtos!$A130="","",Produtos!$C130)</f>
        <v>Lixeiras com pedal</v>
      </c>
      <c r="D130" s="33" t="n">
        <f aca="false">IF(Produtos!$A130="","",IF(Produtos!$D130="","",Produtos!$D130))</f>
        <v>490.08</v>
      </c>
      <c r="E130" s="11" t="n">
        <v>0</v>
      </c>
      <c r="F130" s="34" t="n">
        <f aca="false">IF($A130="","",IF($C130="","⚠ categoria",IFERROR(INDEX(Parâmetros!$F$13:$F$22,MATCH($C130,Parâmetros!$A$13:$A$22,0)),"⚠ categoria")))</f>
        <v>0.19</v>
      </c>
      <c r="G130" s="35"/>
      <c r="H130" s="36" t="n">
        <f aca="false">IF($A130="","",IF(ISNUMBER($G130),$G130,IF(ISNUMBER($F130),$F130,"")))</f>
        <v>0.19</v>
      </c>
      <c r="I130" s="37" t="n">
        <f aca="false">IF(OR($A130="",NOT(ISNUMBER($D130)),NOT(ISNUMBER($H130))),"",IF((1-$H130-Parâmetros!$B$8-Parâmetros!$C$8-Parâmetros!$D$8)&lt;=0,"INVALIDO",($D130+IF(ISNUMBER($E130),$E130,0)+IF(ISNUMBER(Parâmetros!$E$8),Parâmetros!$E$8,0))/(1-$H130-Parâmetros!$B$8-Parâmetros!$C$8-Parâmetros!$D$8)))</f>
        <v>1021</v>
      </c>
      <c r="J130" s="38"/>
      <c r="K130" s="39" t="n">
        <f aca="false">IF(OR($A130="",NOT(ISNUMBER($D130)),NOT(ISNUMBER($H130))),"",IF(AND(ISNUMBER($J130),$J130&gt;0),$J130,IF(ISNUMBER($I130),$I130,"")))</f>
        <v>1021</v>
      </c>
      <c r="L130" s="40" t="n">
        <f aca="false">IF(ISNUMBER($K130),$K130*$H130,"")</f>
        <v>193.99</v>
      </c>
      <c r="M130" s="40" t="n">
        <f aca="false">IF(ISNUMBER($K130),$K130*Parâmetros!$B$8,"")</f>
        <v>102.1</v>
      </c>
      <c r="N130" s="40" t="n">
        <f aca="false">IF(ISNUMBER($K130),$K130*Parâmetros!$C$8,"")</f>
        <v>30.63</v>
      </c>
      <c r="O130" s="40" t="n">
        <f aca="false">IF(ISNUMBER($K130),IF(ISNUMBER(Parâmetros!$E$8),Parâmetros!$E$8,0),"")</f>
        <v>0</v>
      </c>
      <c r="P130" s="41" t="n">
        <f aca="false">IF(ISNUMBER($K130),$K130-$D130-IF(ISNUMBER($E130),$E130,0)-$L130-$M130-$N130-$O130,"")</f>
        <v>204.2</v>
      </c>
      <c r="Q130" s="42" t="n">
        <f aca="false">IF(AND(ISNUMBER($K130),$K130&gt;0),$P130/$K130,"")</f>
        <v>0.2</v>
      </c>
      <c r="R130" s="43"/>
      <c r="S130" s="44" t="str">
        <f aca="false">IF(OR(NOT(ISNUMBER($R130)),$R130=0,NOT(ISNUMBER($K130))),"",$K130*(1-$R130))</f>
        <v/>
      </c>
      <c r="T130" s="45" t="str">
        <f aca="false">IF(ISNUMBER($S130),$S130*$H130,"")</f>
        <v/>
      </c>
      <c r="U130" s="45" t="str">
        <f aca="false">IF(ISNUMBER($S130),$S130*Parâmetros!$B$8,"")</f>
        <v/>
      </c>
      <c r="V130" s="45" t="str">
        <f aca="false">IF(ISNUMBER($S130),$S130*Parâmetros!$C$8,"")</f>
        <v/>
      </c>
      <c r="W130" s="44" t="str">
        <f aca="false">IF(ISNUMBER($S130),$S130-$D130-IF(ISNUMBER($E130),$E130,0)-$O130-$T130-$U130-$V130,"")</f>
        <v/>
      </c>
      <c r="X130" s="46" t="str">
        <f aca="false">IF(AND(ISNUMBER($S130),$S130&gt;0),$W130/$S130,"")</f>
        <v/>
      </c>
      <c r="Y130" s="47"/>
      <c r="Z130" s="19"/>
    </row>
    <row r="131" customFormat="false" ht="15.75" hidden="false" customHeight="true" outlineLevel="0" collapsed="false">
      <c r="A131" s="48" t="str">
        <f aca="false">IF(Produtos!$A131="","",Produtos!$A131)</f>
        <v>P4080-C</v>
      </c>
      <c r="B131" s="48" t="str">
        <f aca="false">IF(Produtos!$A131="","",Produtos!$B131)</f>
        <v>Lixeira Pedal de Aço inox 40x80 100L Tampa colorido</v>
      </c>
      <c r="C131" s="48" t="str">
        <f aca="false">IF(Produtos!$A131="","",Produtos!$C131)</f>
        <v>Lixeiras com pedal</v>
      </c>
      <c r="D131" s="33" t="n">
        <f aca="false">IF(Produtos!$A131="","",IF(Produtos!$D131="","",Produtos!$D131))</f>
        <v>548.77</v>
      </c>
      <c r="E131" s="11" t="n">
        <v>0</v>
      </c>
      <c r="F131" s="34" t="n">
        <f aca="false">IF($A131="","",IF($C131="","⚠ categoria",IFERROR(INDEX(Parâmetros!$F$13:$F$22,MATCH($C131,Parâmetros!$A$13:$A$22,0)),"⚠ categoria")))</f>
        <v>0.19</v>
      </c>
      <c r="G131" s="35"/>
      <c r="H131" s="36" t="n">
        <f aca="false">IF($A131="","",IF(ISNUMBER($G131),$G131,IF(ISNUMBER($F131),$F131,"")))</f>
        <v>0.19</v>
      </c>
      <c r="I131" s="37" t="n">
        <f aca="false">IF(OR($A131="",NOT(ISNUMBER($D131)),NOT(ISNUMBER($H131))),"",IF((1-$H131-Parâmetros!$B$8-Parâmetros!$C$8-Parâmetros!$D$8)&lt;=0,"INVALIDO",($D131+IF(ISNUMBER($E131),$E131,0)+IF(ISNUMBER(Parâmetros!$E$8),Parâmetros!$E$8,0))/(1-$H131-Parâmetros!$B$8-Parâmetros!$C$8-Parâmetros!$D$8)))</f>
        <v>1143.27083333333</v>
      </c>
      <c r="J131" s="38"/>
      <c r="K131" s="39" t="n">
        <f aca="false">IF(OR($A131="",NOT(ISNUMBER($D131)),NOT(ISNUMBER($H131))),"",IF(AND(ISNUMBER($J131),$J131&gt;0),$J131,IF(ISNUMBER($I131),$I131,"")))</f>
        <v>1143.27083333333</v>
      </c>
      <c r="L131" s="40" t="n">
        <f aca="false">IF(ISNUMBER($K131),$K131*$H131,"")</f>
        <v>217.221458333333</v>
      </c>
      <c r="M131" s="40" t="n">
        <f aca="false">IF(ISNUMBER($K131),$K131*Parâmetros!$B$8,"")</f>
        <v>114.327083333333</v>
      </c>
      <c r="N131" s="40" t="n">
        <f aca="false">IF(ISNUMBER($K131),$K131*Parâmetros!$C$8,"")</f>
        <v>34.298125</v>
      </c>
      <c r="O131" s="40" t="n">
        <f aca="false">IF(ISNUMBER($K131),IF(ISNUMBER(Parâmetros!$E$8),Parâmetros!$E$8,0),"")</f>
        <v>0</v>
      </c>
      <c r="P131" s="41" t="n">
        <f aca="false">IF(ISNUMBER($K131),$K131-$D131-IF(ISNUMBER($E131),$E131,0)-$L131-$M131-$N131-$O131,"")</f>
        <v>228.654166666667</v>
      </c>
      <c r="Q131" s="42" t="n">
        <f aca="false">IF(AND(ISNUMBER($K131),$K131&gt;0),$P131/$K131,"")</f>
        <v>0.2</v>
      </c>
      <c r="R131" s="43"/>
      <c r="S131" s="44" t="str">
        <f aca="false">IF(OR(NOT(ISNUMBER($R131)),$R131=0,NOT(ISNUMBER($K131))),"",$K131*(1-$R131))</f>
        <v/>
      </c>
      <c r="T131" s="45" t="str">
        <f aca="false">IF(ISNUMBER($S131),$S131*$H131,"")</f>
        <v/>
      </c>
      <c r="U131" s="45" t="str">
        <f aca="false">IF(ISNUMBER($S131),$S131*Parâmetros!$B$8,"")</f>
        <v/>
      </c>
      <c r="V131" s="45" t="str">
        <f aca="false">IF(ISNUMBER($S131),$S131*Parâmetros!$C$8,"")</f>
        <v/>
      </c>
      <c r="W131" s="44" t="str">
        <f aca="false">IF(ISNUMBER($S131),$S131-$D131-IF(ISNUMBER($E131),$E131,0)-$O131-$T131-$U131-$V131,"")</f>
        <v/>
      </c>
      <c r="X131" s="46" t="str">
        <f aca="false">IF(AND(ISNUMBER($S131),$S131&gt;0),$W131/$S131,"")</f>
        <v/>
      </c>
      <c r="Y131" s="49"/>
      <c r="Z131" s="21"/>
    </row>
    <row r="132" customFormat="false" ht="15.75" hidden="false" customHeight="true" outlineLevel="0" collapsed="false">
      <c r="A132" s="32" t="str">
        <f aca="false">IF(Produtos!$A132="","",Produtos!$A132)</f>
        <v>P4090-C</v>
      </c>
      <c r="B132" s="32" t="str">
        <f aca="false">IF(Produtos!$A132="","",Produtos!$B132)</f>
        <v>Lixeira Pedal de Aço inox 40x90 120L Tampa colorido</v>
      </c>
      <c r="C132" s="32" t="str">
        <f aca="false">IF(Produtos!$A132="","",Produtos!$C132)</f>
        <v>Lixeiras com pedal</v>
      </c>
      <c r="D132" s="33" t="n">
        <f aca="false">IF(Produtos!$A132="","",IF(Produtos!$D132="","",Produtos!$D132))</f>
        <v>793.7</v>
      </c>
      <c r="E132" s="11" t="n">
        <v>0</v>
      </c>
      <c r="F132" s="34" t="n">
        <f aca="false">IF($A132="","",IF($C132="","⚠ categoria",IFERROR(INDEX(Parâmetros!$F$13:$F$22,MATCH($C132,Parâmetros!$A$13:$A$22,0)),"⚠ categoria")))</f>
        <v>0.19</v>
      </c>
      <c r="G132" s="35"/>
      <c r="H132" s="36" t="n">
        <f aca="false">IF($A132="","",IF(ISNUMBER($G132),$G132,IF(ISNUMBER($F132),$F132,"")))</f>
        <v>0.19</v>
      </c>
      <c r="I132" s="37" t="n">
        <f aca="false">IF(OR($A132="",NOT(ISNUMBER($D132)),NOT(ISNUMBER($H132))),"",IF((1-$H132-Parâmetros!$B$8-Parâmetros!$C$8-Parâmetros!$D$8)&lt;=0,"INVALIDO",($D132+IF(ISNUMBER($E132),$E132,0)+IF(ISNUMBER(Parâmetros!$E$8),Parâmetros!$E$8,0))/(1-$H132-Parâmetros!$B$8-Parâmetros!$C$8-Parâmetros!$D$8)))</f>
        <v>1653.54166666667</v>
      </c>
      <c r="J132" s="38"/>
      <c r="K132" s="39" t="n">
        <f aca="false">IF(OR($A132="",NOT(ISNUMBER($D132)),NOT(ISNUMBER($H132))),"",IF(AND(ISNUMBER($J132),$J132&gt;0),$J132,IF(ISNUMBER($I132),$I132,"")))</f>
        <v>1653.54166666667</v>
      </c>
      <c r="L132" s="40" t="n">
        <f aca="false">IF(ISNUMBER($K132),$K132*$H132,"")</f>
        <v>314.172916666667</v>
      </c>
      <c r="M132" s="40" t="n">
        <f aca="false">IF(ISNUMBER($K132),$K132*Parâmetros!$B$8,"")</f>
        <v>165.354166666667</v>
      </c>
      <c r="N132" s="40" t="n">
        <f aca="false">IF(ISNUMBER($K132),$K132*Parâmetros!$C$8,"")</f>
        <v>49.60625</v>
      </c>
      <c r="O132" s="40" t="n">
        <f aca="false">IF(ISNUMBER($K132),IF(ISNUMBER(Parâmetros!$E$8),Parâmetros!$E$8,0),"")</f>
        <v>0</v>
      </c>
      <c r="P132" s="41" t="n">
        <f aca="false">IF(ISNUMBER($K132),$K132-$D132-IF(ISNUMBER($E132),$E132,0)-$L132-$M132-$N132-$O132,"")</f>
        <v>330.708333333333</v>
      </c>
      <c r="Q132" s="42" t="n">
        <f aca="false">IF(AND(ISNUMBER($K132),$K132&gt;0),$P132/$K132,"")</f>
        <v>0.2</v>
      </c>
      <c r="R132" s="43"/>
      <c r="S132" s="44" t="str">
        <f aca="false">IF(OR(NOT(ISNUMBER($R132)),$R132=0,NOT(ISNUMBER($K132))),"",$K132*(1-$R132))</f>
        <v/>
      </c>
      <c r="T132" s="45" t="str">
        <f aca="false">IF(ISNUMBER($S132),$S132*$H132,"")</f>
        <v/>
      </c>
      <c r="U132" s="45" t="str">
        <f aca="false">IF(ISNUMBER($S132),$S132*Parâmetros!$B$8,"")</f>
        <v/>
      </c>
      <c r="V132" s="45" t="str">
        <f aca="false">IF(ISNUMBER($S132),$S132*Parâmetros!$C$8,"")</f>
        <v/>
      </c>
      <c r="W132" s="44" t="str">
        <f aca="false">IF(ISNUMBER($S132),$S132-$D132-IF(ISNUMBER($E132),$E132,0)-$O132-$T132-$U132-$V132,"")</f>
        <v/>
      </c>
      <c r="X132" s="46" t="str">
        <f aca="false">IF(AND(ISNUMBER($S132),$S132&gt;0),$W132/$S132,"")</f>
        <v/>
      </c>
      <c r="Y132" s="47"/>
      <c r="Z132" s="19"/>
    </row>
    <row r="133" customFormat="false" ht="15.75" hidden="false" customHeight="true" outlineLevel="0" collapsed="false">
      <c r="A133" s="48" t="str">
        <f aca="false">IF(Produtos!$A133="","",Produtos!$A133)</f>
        <v>L2425-AC</v>
      </c>
      <c r="B133" s="48" t="str">
        <f aca="false">IF(Produtos!$A133="","",Produtos!$B133)</f>
        <v>Lixeira c/Aro Colorido 24x25 13L</v>
      </c>
      <c r="C133" s="48" t="str">
        <f aca="false">IF(Produtos!$A133="","",Produtos!$C133)</f>
        <v>Lixeiras em inox</v>
      </c>
      <c r="D133" s="33" t="n">
        <f aca="false">IF(Produtos!$A133="","",IF(Produtos!$D133="","",Produtos!$D133))</f>
        <v>95.49</v>
      </c>
      <c r="E133" s="11" t="n">
        <v>0</v>
      </c>
      <c r="F133" s="34" t="n">
        <f aca="false">IF($A133="","",IF($C133="","⚠ categoria",IFERROR(INDEX(Parâmetros!$F$13:$F$22,MATCH($C133,Parâmetros!$A$13:$A$22,0)),"⚠ categoria")))</f>
        <v>0.19</v>
      </c>
      <c r="G133" s="35"/>
      <c r="H133" s="36" t="n">
        <f aca="false">IF($A133="","",IF(ISNUMBER($G133),$G133,IF(ISNUMBER($F133),$F133,"")))</f>
        <v>0.19</v>
      </c>
      <c r="I133" s="37" t="n">
        <f aca="false">IF(OR($A133="",NOT(ISNUMBER($D133)),NOT(ISNUMBER($H133))),"",IF((1-$H133-Parâmetros!$B$8-Parâmetros!$C$8-Parâmetros!$D$8)&lt;=0,"INVALIDO",($D133+IF(ISNUMBER($E133),$E133,0)+IF(ISNUMBER(Parâmetros!$E$8),Parâmetros!$E$8,0))/(1-$H133-Parâmetros!$B$8-Parâmetros!$C$8-Parâmetros!$D$8)))</f>
        <v>198.9375</v>
      </c>
      <c r="J133" s="38"/>
      <c r="K133" s="39" t="n">
        <f aca="false">IF(OR($A133="",NOT(ISNUMBER($D133)),NOT(ISNUMBER($H133))),"",IF(AND(ISNUMBER($J133),$J133&gt;0),$J133,IF(ISNUMBER($I133),$I133,"")))</f>
        <v>198.9375</v>
      </c>
      <c r="L133" s="40" t="n">
        <f aca="false">IF(ISNUMBER($K133),$K133*$H133,"")</f>
        <v>37.798125</v>
      </c>
      <c r="M133" s="40" t="n">
        <f aca="false">IF(ISNUMBER($K133),$K133*Parâmetros!$B$8,"")</f>
        <v>19.89375</v>
      </c>
      <c r="N133" s="40" t="n">
        <f aca="false">IF(ISNUMBER($K133),$K133*Parâmetros!$C$8,"")</f>
        <v>5.968125</v>
      </c>
      <c r="O133" s="40" t="n">
        <f aca="false">IF(ISNUMBER($K133),IF(ISNUMBER(Parâmetros!$E$8),Parâmetros!$E$8,0),"")</f>
        <v>0</v>
      </c>
      <c r="P133" s="41" t="n">
        <f aca="false">IF(ISNUMBER($K133),$K133-$D133-IF(ISNUMBER($E133),$E133,0)-$L133-$M133-$N133-$O133,"")</f>
        <v>39.7875</v>
      </c>
      <c r="Q133" s="42" t="n">
        <f aca="false">IF(AND(ISNUMBER($K133),$K133&gt;0),$P133/$K133,"")</f>
        <v>0.2</v>
      </c>
      <c r="R133" s="43"/>
      <c r="S133" s="44" t="str">
        <f aca="false">IF(OR(NOT(ISNUMBER($R133)),$R133=0,NOT(ISNUMBER($K133))),"",$K133*(1-$R133))</f>
        <v/>
      </c>
      <c r="T133" s="45" t="str">
        <f aca="false">IF(ISNUMBER($S133),$S133*$H133,"")</f>
        <v/>
      </c>
      <c r="U133" s="45" t="str">
        <f aca="false">IF(ISNUMBER($S133),$S133*Parâmetros!$B$8,"")</f>
        <v/>
      </c>
      <c r="V133" s="45" t="str">
        <f aca="false">IF(ISNUMBER($S133),$S133*Parâmetros!$C$8,"")</f>
        <v/>
      </c>
      <c r="W133" s="44" t="str">
        <f aca="false">IF(ISNUMBER($S133),$S133-$D133-IF(ISNUMBER($E133),$E133,0)-$O133-$T133-$U133-$V133,"")</f>
        <v/>
      </c>
      <c r="X133" s="46" t="str">
        <f aca="false">IF(AND(ISNUMBER($S133),$S133&gt;0),$W133/$S133,"")</f>
        <v/>
      </c>
      <c r="Y133" s="49"/>
      <c r="Z133" s="21"/>
    </row>
    <row r="134" customFormat="false" ht="15.75" hidden="false" customHeight="true" outlineLevel="0" collapsed="false">
      <c r="A134" s="32" t="str">
        <f aca="false">IF(Produtos!$A134="","",Produtos!$A134)</f>
        <v>L2430-AC</v>
      </c>
      <c r="B134" s="32" t="str">
        <f aca="false">IF(Produtos!$A134="","",Produtos!$B134)</f>
        <v>Lixeira c/Aro Colorido 24x30 15L</v>
      </c>
      <c r="C134" s="32" t="str">
        <f aca="false">IF(Produtos!$A134="","",Produtos!$C134)</f>
        <v>Lixeiras em inox</v>
      </c>
      <c r="D134" s="33" t="n">
        <f aca="false">IF(Produtos!$A134="","",IF(Produtos!$D134="","",Produtos!$D134))</f>
        <v>104.2</v>
      </c>
      <c r="E134" s="11" t="n">
        <v>0</v>
      </c>
      <c r="F134" s="34" t="n">
        <f aca="false">IF($A134="","",IF($C134="","⚠ categoria",IFERROR(INDEX(Parâmetros!$F$13:$F$22,MATCH($C134,Parâmetros!$A$13:$A$22,0)),"⚠ categoria")))</f>
        <v>0.19</v>
      </c>
      <c r="G134" s="35"/>
      <c r="H134" s="36" t="n">
        <f aca="false">IF($A134="","",IF(ISNUMBER($G134),$G134,IF(ISNUMBER($F134),$F134,"")))</f>
        <v>0.19</v>
      </c>
      <c r="I134" s="37" t="n">
        <f aca="false">IF(OR($A134="",NOT(ISNUMBER($D134)),NOT(ISNUMBER($H134))),"",IF((1-$H134-Parâmetros!$B$8-Parâmetros!$C$8-Parâmetros!$D$8)&lt;=0,"INVALIDO",($D134+IF(ISNUMBER($E134),$E134,0)+IF(ISNUMBER(Parâmetros!$E$8),Parâmetros!$E$8,0))/(1-$H134-Parâmetros!$B$8-Parâmetros!$C$8-Parâmetros!$D$8)))</f>
        <v>217.083333333333</v>
      </c>
      <c r="J134" s="38"/>
      <c r="K134" s="39" t="n">
        <f aca="false">IF(OR($A134="",NOT(ISNUMBER($D134)),NOT(ISNUMBER($H134))),"",IF(AND(ISNUMBER($J134),$J134&gt;0),$J134,IF(ISNUMBER($I134),$I134,"")))</f>
        <v>217.083333333333</v>
      </c>
      <c r="L134" s="40" t="n">
        <f aca="false">IF(ISNUMBER($K134),$K134*$H134,"")</f>
        <v>41.2458333333333</v>
      </c>
      <c r="M134" s="40" t="n">
        <f aca="false">IF(ISNUMBER($K134),$K134*Parâmetros!$B$8,"")</f>
        <v>21.7083333333333</v>
      </c>
      <c r="N134" s="40" t="n">
        <f aca="false">IF(ISNUMBER($K134),$K134*Parâmetros!$C$8,"")</f>
        <v>6.5125</v>
      </c>
      <c r="O134" s="40" t="n">
        <f aca="false">IF(ISNUMBER($K134),IF(ISNUMBER(Parâmetros!$E$8),Parâmetros!$E$8,0),"")</f>
        <v>0</v>
      </c>
      <c r="P134" s="41" t="n">
        <f aca="false">IF(ISNUMBER($K134),$K134-$D134-IF(ISNUMBER($E134),$E134,0)-$L134-$M134-$N134-$O134,"")</f>
        <v>43.4166666666667</v>
      </c>
      <c r="Q134" s="42" t="n">
        <f aca="false">IF(AND(ISNUMBER($K134),$K134&gt;0),$P134/$K134,"")</f>
        <v>0.2</v>
      </c>
      <c r="R134" s="43"/>
      <c r="S134" s="44" t="str">
        <f aca="false">IF(OR(NOT(ISNUMBER($R134)),$R134=0,NOT(ISNUMBER($K134))),"",$K134*(1-$R134))</f>
        <v/>
      </c>
      <c r="T134" s="45" t="str">
        <f aca="false">IF(ISNUMBER($S134),$S134*$H134,"")</f>
        <v/>
      </c>
      <c r="U134" s="45" t="str">
        <f aca="false">IF(ISNUMBER($S134),$S134*Parâmetros!$B$8,"")</f>
        <v/>
      </c>
      <c r="V134" s="45" t="str">
        <f aca="false">IF(ISNUMBER($S134),$S134*Parâmetros!$C$8,"")</f>
        <v/>
      </c>
      <c r="W134" s="44" t="str">
        <f aca="false">IF(ISNUMBER($S134),$S134-$D134-IF(ISNUMBER($E134),$E134,0)-$O134-$T134-$U134-$V134,"")</f>
        <v/>
      </c>
      <c r="X134" s="46" t="str">
        <f aca="false">IF(AND(ISNUMBER($S134),$S134&gt;0),$W134/$S134,"")</f>
        <v/>
      </c>
      <c r="Y134" s="47"/>
      <c r="Z134" s="19"/>
    </row>
    <row r="135" customFormat="false" ht="15.75" hidden="false" customHeight="true" outlineLevel="0" collapsed="false">
      <c r="A135" s="48" t="str">
        <f aca="false">IF(Produtos!$A135="","",Produtos!$A135)</f>
        <v>L2440-AC</v>
      </c>
      <c r="B135" s="48" t="str">
        <f aca="false">IF(Produtos!$A135="","",Produtos!$B135)</f>
        <v>Lixeira c/Aro Colorido 24x40 20L</v>
      </c>
      <c r="C135" s="48" t="str">
        <f aca="false">IF(Produtos!$A135="","",Produtos!$C135)</f>
        <v>Lixeiras em inox</v>
      </c>
      <c r="D135" s="33" t="n">
        <f aca="false">IF(Produtos!$A135="","",IF(Produtos!$D135="","",Produtos!$D135))</f>
        <v>115.16</v>
      </c>
      <c r="E135" s="11" t="n">
        <v>0</v>
      </c>
      <c r="F135" s="34" t="n">
        <f aca="false">IF($A135="","",IF($C135="","⚠ categoria",IFERROR(INDEX(Parâmetros!$F$13:$F$22,MATCH($C135,Parâmetros!$A$13:$A$22,0)),"⚠ categoria")))</f>
        <v>0.19</v>
      </c>
      <c r="G135" s="35"/>
      <c r="H135" s="36" t="n">
        <f aca="false">IF($A135="","",IF(ISNUMBER($G135),$G135,IF(ISNUMBER($F135),$F135,"")))</f>
        <v>0.19</v>
      </c>
      <c r="I135" s="37" t="n">
        <f aca="false">IF(OR($A135="",NOT(ISNUMBER($D135)),NOT(ISNUMBER($H135))),"",IF((1-$H135-Parâmetros!$B$8-Parâmetros!$C$8-Parâmetros!$D$8)&lt;=0,"INVALIDO",($D135+IF(ISNUMBER($E135),$E135,0)+IF(ISNUMBER(Parâmetros!$E$8),Parâmetros!$E$8,0))/(1-$H135-Parâmetros!$B$8-Parâmetros!$C$8-Parâmetros!$D$8)))</f>
        <v>239.916666666667</v>
      </c>
      <c r="J135" s="38"/>
      <c r="K135" s="39" t="n">
        <f aca="false">IF(OR($A135="",NOT(ISNUMBER($D135)),NOT(ISNUMBER($H135))),"",IF(AND(ISNUMBER($J135),$J135&gt;0),$J135,IF(ISNUMBER($I135),$I135,"")))</f>
        <v>239.916666666667</v>
      </c>
      <c r="L135" s="40" t="n">
        <f aca="false">IF(ISNUMBER($K135),$K135*$H135,"")</f>
        <v>45.5841666666667</v>
      </c>
      <c r="M135" s="40" t="n">
        <f aca="false">IF(ISNUMBER($K135),$K135*Parâmetros!$B$8,"")</f>
        <v>23.9916666666667</v>
      </c>
      <c r="N135" s="40" t="n">
        <f aca="false">IF(ISNUMBER($K135),$K135*Parâmetros!$C$8,"")</f>
        <v>7.1975</v>
      </c>
      <c r="O135" s="40" t="n">
        <f aca="false">IF(ISNUMBER($K135),IF(ISNUMBER(Parâmetros!$E$8),Parâmetros!$E$8,0),"")</f>
        <v>0</v>
      </c>
      <c r="P135" s="41" t="n">
        <f aca="false">IF(ISNUMBER($K135),$K135-$D135-IF(ISNUMBER($E135),$E135,0)-$L135-$M135-$N135-$O135,"")</f>
        <v>47.9833333333333</v>
      </c>
      <c r="Q135" s="42" t="n">
        <f aca="false">IF(AND(ISNUMBER($K135),$K135&gt;0),$P135/$K135,"")</f>
        <v>0.2</v>
      </c>
      <c r="R135" s="43"/>
      <c r="S135" s="44" t="str">
        <f aca="false">IF(OR(NOT(ISNUMBER($R135)),$R135=0,NOT(ISNUMBER($K135))),"",$K135*(1-$R135))</f>
        <v/>
      </c>
      <c r="T135" s="45" t="str">
        <f aca="false">IF(ISNUMBER($S135),$S135*$H135,"")</f>
        <v/>
      </c>
      <c r="U135" s="45" t="str">
        <f aca="false">IF(ISNUMBER($S135),$S135*Parâmetros!$B$8,"")</f>
        <v/>
      </c>
      <c r="V135" s="45" t="str">
        <f aca="false">IF(ISNUMBER($S135),$S135*Parâmetros!$C$8,"")</f>
        <v/>
      </c>
      <c r="W135" s="44" t="str">
        <f aca="false">IF(ISNUMBER($S135),$S135-$D135-IF(ISNUMBER($E135),$E135,0)-$O135-$T135-$U135-$V135,"")</f>
        <v/>
      </c>
      <c r="X135" s="46" t="str">
        <f aca="false">IF(AND(ISNUMBER($S135),$S135&gt;0),$W135/$S135,"")</f>
        <v/>
      </c>
      <c r="Y135" s="49"/>
      <c r="Z135" s="21"/>
    </row>
    <row r="136" customFormat="false" ht="15.75" hidden="false" customHeight="true" outlineLevel="0" collapsed="false">
      <c r="A136" s="32" t="str">
        <f aca="false">IF(Produtos!$A136="","",Produtos!$A136)</f>
        <v>L2450-AC</v>
      </c>
      <c r="B136" s="32" t="str">
        <f aca="false">IF(Produtos!$A136="","",Produtos!$B136)</f>
        <v>Lixeira c/Aro Colorido 24x50 25L</v>
      </c>
      <c r="C136" s="32" t="str">
        <f aca="false">IF(Produtos!$A136="","",Produtos!$C136)</f>
        <v>Lixeiras em inox</v>
      </c>
      <c r="D136" s="33" t="n">
        <f aca="false">IF(Produtos!$A136="","",IF(Produtos!$D136="","",Produtos!$D136))</f>
        <v>145.95</v>
      </c>
      <c r="E136" s="11" t="n">
        <v>0</v>
      </c>
      <c r="F136" s="34" t="n">
        <f aca="false">IF($A136="","",IF($C136="","⚠ categoria",IFERROR(INDEX(Parâmetros!$F$13:$F$22,MATCH($C136,Parâmetros!$A$13:$A$22,0)),"⚠ categoria")))</f>
        <v>0.19</v>
      </c>
      <c r="G136" s="35"/>
      <c r="H136" s="36" t="n">
        <f aca="false">IF($A136="","",IF(ISNUMBER($G136),$G136,IF(ISNUMBER($F136),$F136,"")))</f>
        <v>0.19</v>
      </c>
      <c r="I136" s="37" t="n">
        <f aca="false">IF(OR($A136="",NOT(ISNUMBER($D136)),NOT(ISNUMBER($H136))),"",IF((1-$H136-Parâmetros!$B$8-Parâmetros!$C$8-Parâmetros!$D$8)&lt;=0,"INVALIDO",($D136+IF(ISNUMBER($E136),$E136,0)+IF(ISNUMBER(Parâmetros!$E$8),Parâmetros!$E$8,0))/(1-$H136-Parâmetros!$B$8-Parâmetros!$C$8-Parâmetros!$D$8)))</f>
        <v>304.0625</v>
      </c>
      <c r="J136" s="38"/>
      <c r="K136" s="39" t="n">
        <f aca="false">IF(OR($A136="",NOT(ISNUMBER($D136)),NOT(ISNUMBER($H136))),"",IF(AND(ISNUMBER($J136),$J136&gt;0),$J136,IF(ISNUMBER($I136),$I136,"")))</f>
        <v>304.0625</v>
      </c>
      <c r="L136" s="40" t="n">
        <f aca="false">IF(ISNUMBER($K136),$K136*$H136,"")</f>
        <v>57.771875</v>
      </c>
      <c r="M136" s="40" t="n">
        <f aca="false">IF(ISNUMBER($K136),$K136*Parâmetros!$B$8,"")</f>
        <v>30.40625</v>
      </c>
      <c r="N136" s="40" t="n">
        <f aca="false">IF(ISNUMBER($K136),$K136*Parâmetros!$C$8,"")</f>
        <v>9.121875</v>
      </c>
      <c r="O136" s="40" t="n">
        <f aca="false">IF(ISNUMBER($K136),IF(ISNUMBER(Parâmetros!$E$8),Parâmetros!$E$8,0),"")</f>
        <v>0</v>
      </c>
      <c r="P136" s="41" t="n">
        <f aca="false">IF(ISNUMBER($K136),$K136-$D136-IF(ISNUMBER($E136),$E136,0)-$L136-$M136-$N136-$O136,"")</f>
        <v>60.8125</v>
      </c>
      <c r="Q136" s="42" t="n">
        <f aca="false">IF(AND(ISNUMBER($K136),$K136&gt;0),$P136/$K136,"")</f>
        <v>0.2</v>
      </c>
      <c r="R136" s="43"/>
      <c r="S136" s="44" t="str">
        <f aca="false">IF(OR(NOT(ISNUMBER($R136)),$R136=0,NOT(ISNUMBER($K136))),"",$K136*(1-$R136))</f>
        <v/>
      </c>
      <c r="T136" s="45" t="str">
        <f aca="false">IF(ISNUMBER($S136),$S136*$H136,"")</f>
        <v/>
      </c>
      <c r="U136" s="45" t="str">
        <f aca="false">IF(ISNUMBER($S136),$S136*Parâmetros!$B$8,"")</f>
        <v/>
      </c>
      <c r="V136" s="45" t="str">
        <f aca="false">IF(ISNUMBER($S136),$S136*Parâmetros!$C$8,"")</f>
        <v/>
      </c>
      <c r="W136" s="44" t="str">
        <f aca="false">IF(ISNUMBER($S136),$S136-$D136-IF(ISNUMBER($E136),$E136,0)-$O136-$T136-$U136-$V136,"")</f>
        <v/>
      </c>
      <c r="X136" s="46" t="str">
        <f aca="false">IF(AND(ISNUMBER($S136),$S136&gt;0),$W136/$S136,"")</f>
        <v/>
      </c>
      <c r="Y136" s="47"/>
      <c r="Z136" s="19"/>
    </row>
    <row r="137" customFormat="false" ht="15.75" hidden="false" customHeight="true" outlineLevel="0" collapsed="false">
      <c r="A137" s="48" t="str">
        <f aca="false">IF(Produtos!$A137="","",Produtos!$A137)</f>
        <v>L2460-AC</v>
      </c>
      <c r="B137" s="48" t="str">
        <f aca="false">IF(Produtos!$A137="","",Produtos!$B137)</f>
        <v>Lixeira c/Aro Colorido 24x60 27L</v>
      </c>
      <c r="C137" s="48" t="str">
        <f aca="false">IF(Produtos!$A137="","",Produtos!$C137)</f>
        <v>Lixeiras em inox</v>
      </c>
      <c r="D137" s="33" t="n">
        <f aca="false">IF(Produtos!$A137="","",IF(Produtos!$D137="","",Produtos!$D137))</f>
        <v>147.48</v>
      </c>
      <c r="E137" s="11" t="n">
        <v>0</v>
      </c>
      <c r="F137" s="34" t="n">
        <f aca="false">IF($A137="","",IF($C137="","⚠ categoria",IFERROR(INDEX(Parâmetros!$F$13:$F$22,MATCH($C137,Parâmetros!$A$13:$A$22,0)),"⚠ categoria")))</f>
        <v>0.19</v>
      </c>
      <c r="G137" s="35"/>
      <c r="H137" s="36" t="n">
        <f aca="false">IF($A137="","",IF(ISNUMBER($G137),$G137,IF(ISNUMBER($F137),$F137,"")))</f>
        <v>0.19</v>
      </c>
      <c r="I137" s="37" t="n">
        <f aca="false">IF(OR($A137="",NOT(ISNUMBER($D137)),NOT(ISNUMBER($H137))),"",IF((1-$H137-Parâmetros!$B$8-Parâmetros!$C$8-Parâmetros!$D$8)&lt;=0,"INVALIDO",($D137+IF(ISNUMBER($E137),$E137,0)+IF(ISNUMBER(Parâmetros!$E$8),Parâmetros!$E$8,0))/(1-$H137-Parâmetros!$B$8-Parâmetros!$C$8-Parâmetros!$D$8)))</f>
        <v>307.25</v>
      </c>
      <c r="J137" s="38"/>
      <c r="K137" s="39" t="n">
        <f aca="false">IF(OR($A137="",NOT(ISNUMBER($D137)),NOT(ISNUMBER($H137))),"",IF(AND(ISNUMBER($J137),$J137&gt;0),$J137,IF(ISNUMBER($I137),$I137,"")))</f>
        <v>307.25</v>
      </c>
      <c r="L137" s="40" t="n">
        <f aca="false">IF(ISNUMBER($K137),$K137*$H137,"")</f>
        <v>58.3775</v>
      </c>
      <c r="M137" s="40" t="n">
        <f aca="false">IF(ISNUMBER($K137),$K137*Parâmetros!$B$8,"")</f>
        <v>30.725</v>
      </c>
      <c r="N137" s="40" t="n">
        <f aca="false">IF(ISNUMBER($K137),$K137*Parâmetros!$C$8,"")</f>
        <v>9.2175</v>
      </c>
      <c r="O137" s="40" t="n">
        <f aca="false">IF(ISNUMBER($K137),IF(ISNUMBER(Parâmetros!$E$8),Parâmetros!$E$8,0),"")</f>
        <v>0</v>
      </c>
      <c r="P137" s="41" t="n">
        <f aca="false">IF(ISNUMBER($K137),$K137-$D137-IF(ISNUMBER($E137),$E137,0)-$L137-$M137-$N137-$O137,"")</f>
        <v>61.45</v>
      </c>
      <c r="Q137" s="42" t="n">
        <f aca="false">IF(AND(ISNUMBER($K137),$K137&gt;0),$P137/$K137,"")</f>
        <v>0.2</v>
      </c>
      <c r="R137" s="43"/>
      <c r="S137" s="44" t="str">
        <f aca="false">IF(OR(NOT(ISNUMBER($R137)),$R137=0,NOT(ISNUMBER($K137))),"",$K137*(1-$R137))</f>
        <v/>
      </c>
      <c r="T137" s="45" t="str">
        <f aca="false">IF(ISNUMBER($S137),$S137*$H137,"")</f>
        <v/>
      </c>
      <c r="U137" s="45" t="str">
        <f aca="false">IF(ISNUMBER($S137),$S137*Parâmetros!$B$8,"")</f>
        <v/>
      </c>
      <c r="V137" s="45" t="str">
        <f aca="false">IF(ISNUMBER($S137),$S137*Parâmetros!$C$8,"")</f>
        <v/>
      </c>
      <c r="W137" s="44" t="str">
        <f aca="false">IF(ISNUMBER($S137),$S137-$D137-IF(ISNUMBER($E137),$E137,0)-$O137-$T137-$U137-$V137,"")</f>
        <v/>
      </c>
      <c r="X137" s="46" t="str">
        <f aca="false">IF(AND(ISNUMBER($S137),$S137&gt;0),$W137/$S137,"")</f>
        <v/>
      </c>
      <c r="Y137" s="49"/>
      <c r="Z137" s="21"/>
    </row>
    <row r="138" customFormat="false" ht="15.75" hidden="false" customHeight="true" outlineLevel="0" collapsed="false">
      <c r="A138" s="32" t="str">
        <f aca="false">IF(Produtos!$A138="","",Produtos!$A138)</f>
        <v>L2470-AC</v>
      </c>
      <c r="B138" s="32" t="str">
        <f aca="false">IF(Produtos!$A138="","",Produtos!$B138)</f>
        <v>Lixeira c/Aro Colorido 24x70 30L</v>
      </c>
      <c r="C138" s="32" t="str">
        <f aca="false">IF(Produtos!$A138="","",Produtos!$C138)</f>
        <v>Lixeiras em inox</v>
      </c>
      <c r="D138" s="33" t="n">
        <f aca="false">IF(Produtos!$A138="","",IF(Produtos!$D138="","",Produtos!$D138))</f>
        <v>220.29</v>
      </c>
      <c r="E138" s="11" t="n">
        <v>0</v>
      </c>
      <c r="F138" s="34" t="n">
        <f aca="false">IF($A138="","",IF($C138="","⚠ categoria",IFERROR(INDEX(Parâmetros!$F$13:$F$22,MATCH($C138,Parâmetros!$A$13:$A$22,0)),"⚠ categoria")))</f>
        <v>0.19</v>
      </c>
      <c r="G138" s="35"/>
      <c r="H138" s="36" t="n">
        <f aca="false">IF($A138="","",IF(ISNUMBER($G138),$G138,IF(ISNUMBER($F138),$F138,"")))</f>
        <v>0.19</v>
      </c>
      <c r="I138" s="37" t="n">
        <f aca="false">IF(OR($A138="",NOT(ISNUMBER($D138)),NOT(ISNUMBER($H138))),"",IF((1-$H138-Parâmetros!$B$8-Parâmetros!$C$8-Parâmetros!$D$8)&lt;=0,"INVALIDO",($D138+IF(ISNUMBER($E138),$E138,0)+IF(ISNUMBER(Parâmetros!$E$8),Parâmetros!$E$8,0))/(1-$H138-Parâmetros!$B$8-Parâmetros!$C$8-Parâmetros!$D$8)))</f>
        <v>458.9375</v>
      </c>
      <c r="J138" s="38"/>
      <c r="K138" s="39" t="n">
        <f aca="false">IF(OR($A138="",NOT(ISNUMBER($D138)),NOT(ISNUMBER($H138))),"",IF(AND(ISNUMBER($J138),$J138&gt;0),$J138,IF(ISNUMBER($I138),$I138,"")))</f>
        <v>458.9375</v>
      </c>
      <c r="L138" s="40" t="n">
        <f aca="false">IF(ISNUMBER($K138),$K138*$H138,"")</f>
        <v>87.198125</v>
      </c>
      <c r="M138" s="40" t="n">
        <f aca="false">IF(ISNUMBER($K138),$K138*Parâmetros!$B$8,"")</f>
        <v>45.89375</v>
      </c>
      <c r="N138" s="40" t="n">
        <f aca="false">IF(ISNUMBER($K138),$K138*Parâmetros!$C$8,"")</f>
        <v>13.768125</v>
      </c>
      <c r="O138" s="40" t="n">
        <f aca="false">IF(ISNUMBER($K138),IF(ISNUMBER(Parâmetros!$E$8),Parâmetros!$E$8,0),"")</f>
        <v>0</v>
      </c>
      <c r="P138" s="41" t="n">
        <f aca="false">IF(ISNUMBER($K138),$K138-$D138-IF(ISNUMBER($E138),$E138,0)-$L138-$M138-$N138-$O138,"")</f>
        <v>91.7875</v>
      </c>
      <c r="Q138" s="42" t="n">
        <f aca="false">IF(AND(ISNUMBER($K138),$K138&gt;0),$P138/$K138,"")</f>
        <v>0.2</v>
      </c>
      <c r="R138" s="43"/>
      <c r="S138" s="44" t="str">
        <f aca="false">IF(OR(NOT(ISNUMBER($R138)),$R138=0,NOT(ISNUMBER($K138))),"",$K138*(1-$R138))</f>
        <v/>
      </c>
      <c r="T138" s="45" t="str">
        <f aca="false">IF(ISNUMBER($S138),$S138*$H138,"")</f>
        <v/>
      </c>
      <c r="U138" s="45" t="str">
        <f aca="false">IF(ISNUMBER($S138),$S138*Parâmetros!$B$8,"")</f>
        <v/>
      </c>
      <c r="V138" s="45" t="str">
        <f aca="false">IF(ISNUMBER($S138),$S138*Parâmetros!$C$8,"")</f>
        <v/>
      </c>
      <c r="W138" s="44" t="str">
        <f aca="false">IF(ISNUMBER($S138),$S138-$D138-IF(ISNUMBER($E138),$E138,0)-$O138-$T138-$U138-$V138,"")</f>
        <v/>
      </c>
      <c r="X138" s="46" t="str">
        <f aca="false">IF(AND(ISNUMBER($S138),$S138&gt;0),$W138/$S138,"")</f>
        <v/>
      </c>
      <c r="Y138" s="47"/>
      <c r="Z138" s="19"/>
    </row>
    <row r="139" customFormat="false" ht="15.75" hidden="false" customHeight="true" outlineLevel="0" collapsed="false">
      <c r="A139" s="48" t="str">
        <f aca="false">IF(Produtos!$A139="","",Produtos!$A139)</f>
        <v>L3040-AC</v>
      </c>
      <c r="B139" s="48" t="str">
        <f aca="false">IF(Produtos!$A139="","",Produtos!$B139)</f>
        <v>Lixeira c/Aro Colorido 30x40 30L</v>
      </c>
      <c r="C139" s="48" t="str">
        <f aca="false">IF(Produtos!$A139="","",Produtos!$C139)</f>
        <v>Lixeiras em inox</v>
      </c>
      <c r="D139" s="33" t="n">
        <f aca="false">IF(Produtos!$A139="","",IF(Produtos!$D139="","",Produtos!$D139))</f>
        <v>162.44</v>
      </c>
      <c r="E139" s="11" t="n">
        <v>0</v>
      </c>
      <c r="F139" s="34" t="n">
        <f aca="false">IF($A139="","",IF($C139="","⚠ categoria",IFERROR(INDEX(Parâmetros!$F$13:$F$22,MATCH($C139,Parâmetros!$A$13:$A$22,0)),"⚠ categoria")))</f>
        <v>0.19</v>
      </c>
      <c r="G139" s="35"/>
      <c r="H139" s="36" t="n">
        <f aca="false">IF($A139="","",IF(ISNUMBER($G139),$G139,IF(ISNUMBER($F139),$F139,"")))</f>
        <v>0.19</v>
      </c>
      <c r="I139" s="37" t="n">
        <f aca="false">IF(OR($A139="",NOT(ISNUMBER($D139)),NOT(ISNUMBER($H139))),"",IF((1-$H139-Parâmetros!$B$8-Parâmetros!$C$8-Parâmetros!$D$8)&lt;=0,"INVALIDO",($D139+IF(ISNUMBER($E139),$E139,0)+IF(ISNUMBER(Parâmetros!$E$8),Parâmetros!$E$8,0))/(1-$H139-Parâmetros!$B$8-Parâmetros!$C$8-Parâmetros!$D$8)))</f>
        <v>338.416666666667</v>
      </c>
      <c r="J139" s="38"/>
      <c r="K139" s="39" t="n">
        <f aca="false">IF(OR($A139="",NOT(ISNUMBER($D139)),NOT(ISNUMBER($H139))),"",IF(AND(ISNUMBER($J139),$J139&gt;0),$J139,IF(ISNUMBER($I139),$I139,"")))</f>
        <v>338.416666666667</v>
      </c>
      <c r="L139" s="40" t="n">
        <f aca="false">IF(ISNUMBER($K139),$K139*$H139,"")</f>
        <v>64.2991666666667</v>
      </c>
      <c r="M139" s="40" t="n">
        <f aca="false">IF(ISNUMBER($K139),$K139*Parâmetros!$B$8,"")</f>
        <v>33.8416666666667</v>
      </c>
      <c r="N139" s="40" t="n">
        <f aca="false">IF(ISNUMBER($K139),$K139*Parâmetros!$C$8,"")</f>
        <v>10.1525</v>
      </c>
      <c r="O139" s="40" t="n">
        <f aca="false">IF(ISNUMBER($K139),IF(ISNUMBER(Parâmetros!$E$8),Parâmetros!$E$8,0),"")</f>
        <v>0</v>
      </c>
      <c r="P139" s="41" t="n">
        <f aca="false">IF(ISNUMBER($K139),$K139-$D139-IF(ISNUMBER($E139),$E139,0)-$L139-$M139-$N139-$O139,"")</f>
        <v>67.6833333333333</v>
      </c>
      <c r="Q139" s="42" t="n">
        <f aca="false">IF(AND(ISNUMBER($K139),$K139&gt;0),$P139/$K139,"")</f>
        <v>0.2</v>
      </c>
      <c r="R139" s="43"/>
      <c r="S139" s="44" t="str">
        <f aca="false">IF(OR(NOT(ISNUMBER($R139)),$R139=0,NOT(ISNUMBER($K139))),"",$K139*(1-$R139))</f>
        <v/>
      </c>
      <c r="T139" s="45" t="str">
        <f aca="false">IF(ISNUMBER($S139),$S139*$H139,"")</f>
        <v/>
      </c>
      <c r="U139" s="45" t="str">
        <f aca="false">IF(ISNUMBER($S139),$S139*Parâmetros!$B$8,"")</f>
        <v/>
      </c>
      <c r="V139" s="45" t="str">
        <f aca="false">IF(ISNUMBER($S139),$S139*Parâmetros!$C$8,"")</f>
        <v/>
      </c>
      <c r="W139" s="44" t="str">
        <f aca="false">IF(ISNUMBER($S139),$S139-$D139-IF(ISNUMBER($E139),$E139,0)-$O139-$T139-$U139-$V139,"")</f>
        <v/>
      </c>
      <c r="X139" s="46" t="str">
        <f aca="false">IF(AND(ISNUMBER($S139),$S139&gt;0),$W139/$S139,"")</f>
        <v/>
      </c>
      <c r="Y139" s="49"/>
      <c r="Z139" s="21"/>
    </row>
    <row r="140" customFormat="false" ht="15.75" hidden="false" customHeight="true" outlineLevel="0" collapsed="false">
      <c r="A140" s="32" t="str">
        <f aca="false">IF(Produtos!$A140="","",Produtos!$A140)</f>
        <v>L3050-AC</v>
      </c>
      <c r="B140" s="32" t="str">
        <f aca="false">IF(Produtos!$A140="","",Produtos!$B140)</f>
        <v>Lixeira c/Aro Colorido 30x50 35L</v>
      </c>
      <c r="C140" s="32" t="str">
        <f aca="false">IF(Produtos!$A140="","",Produtos!$C140)</f>
        <v>Lixeiras em inox</v>
      </c>
      <c r="D140" s="33" t="n">
        <f aca="false">IF(Produtos!$A140="","",IF(Produtos!$D140="","",Produtos!$D140))</f>
        <v>206.89</v>
      </c>
      <c r="E140" s="11" t="n">
        <v>0</v>
      </c>
      <c r="F140" s="34" t="n">
        <f aca="false">IF($A140="","",IF($C140="","⚠ categoria",IFERROR(INDEX(Parâmetros!$F$13:$F$22,MATCH($C140,Parâmetros!$A$13:$A$22,0)),"⚠ categoria")))</f>
        <v>0.19</v>
      </c>
      <c r="G140" s="35"/>
      <c r="H140" s="36" t="n">
        <f aca="false">IF($A140="","",IF(ISNUMBER($G140),$G140,IF(ISNUMBER($F140),$F140,"")))</f>
        <v>0.19</v>
      </c>
      <c r="I140" s="37" t="n">
        <f aca="false">IF(OR($A140="",NOT(ISNUMBER($D140)),NOT(ISNUMBER($H140))),"",IF((1-$H140-Parâmetros!$B$8-Parâmetros!$C$8-Parâmetros!$D$8)&lt;=0,"INVALIDO",($D140+IF(ISNUMBER($E140),$E140,0)+IF(ISNUMBER(Parâmetros!$E$8),Parâmetros!$E$8,0))/(1-$H140-Parâmetros!$B$8-Parâmetros!$C$8-Parâmetros!$D$8)))</f>
        <v>431.020833333333</v>
      </c>
      <c r="J140" s="38"/>
      <c r="K140" s="39" t="n">
        <f aca="false">IF(OR($A140="",NOT(ISNUMBER($D140)),NOT(ISNUMBER($H140))),"",IF(AND(ISNUMBER($J140),$J140&gt;0),$J140,IF(ISNUMBER($I140),$I140,"")))</f>
        <v>431.020833333333</v>
      </c>
      <c r="L140" s="40" t="n">
        <f aca="false">IF(ISNUMBER($K140),$K140*$H140,"")</f>
        <v>81.8939583333333</v>
      </c>
      <c r="M140" s="40" t="n">
        <f aca="false">IF(ISNUMBER($K140),$K140*Parâmetros!$B$8,"")</f>
        <v>43.1020833333333</v>
      </c>
      <c r="N140" s="40" t="n">
        <f aca="false">IF(ISNUMBER($K140),$K140*Parâmetros!$C$8,"")</f>
        <v>12.930625</v>
      </c>
      <c r="O140" s="40" t="n">
        <f aca="false">IF(ISNUMBER($K140),IF(ISNUMBER(Parâmetros!$E$8),Parâmetros!$E$8,0),"")</f>
        <v>0</v>
      </c>
      <c r="P140" s="41" t="n">
        <f aca="false">IF(ISNUMBER($K140),$K140-$D140-IF(ISNUMBER($E140),$E140,0)-$L140-$M140-$N140-$O140,"")</f>
        <v>86.2041666666666</v>
      </c>
      <c r="Q140" s="42" t="n">
        <f aca="false">IF(AND(ISNUMBER($K140),$K140&gt;0),$P140/$K140,"")</f>
        <v>0.2</v>
      </c>
      <c r="R140" s="43"/>
      <c r="S140" s="44" t="str">
        <f aca="false">IF(OR(NOT(ISNUMBER($R140)),$R140=0,NOT(ISNUMBER($K140))),"",$K140*(1-$R140))</f>
        <v/>
      </c>
      <c r="T140" s="45" t="str">
        <f aca="false">IF(ISNUMBER($S140),$S140*$H140,"")</f>
        <v/>
      </c>
      <c r="U140" s="45" t="str">
        <f aca="false">IF(ISNUMBER($S140),$S140*Parâmetros!$B$8,"")</f>
        <v/>
      </c>
      <c r="V140" s="45" t="str">
        <f aca="false">IF(ISNUMBER($S140),$S140*Parâmetros!$C$8,"")</f>
        <v/>
      </c>
      <c r="W140" s="44" t="str">
        <f aca="false">IF(ISNUMBER($S140),$S140-$D140-IF(ISNUMBER($E140),$E140,0)-$O140-$T140-$U140-$V140,"")</f>
        <v/>
      </c>
      <c r="X140" s="46" t="str">
        <f aca="false">IF(AND(ISNUMBER($S140),$S140&gt;0),$W140/$S140,"")</f>
        <v/>
      </c>
      <c r="Y140" s="47"/>
      <c r="Z140" s="19"/>
    </row>
    <row r="141" customFormat="false" ht="15.75" hidden="false" customHeight="true" outlineLevel="0" collapsed="false">
      <c r="A141" s="48" t="str">
        <f aca="false">IF(Produtos!$A141="","",Produtos!$A141)</f>
        <v>L3060-AC</v>
      </c>
      <c r="B141" s="48" t="str">
        <f aca="false">IF(Produtos!$A141="","",Produtos!$B141)</f>
        <v>Lixeira c/Aro Colorido 30x60 40L</v>
      </c>
      <c r="C141" s="48" t="str">
        <f aca="false">IF(Produtos!$A141="","",Produtos!$C141)</f>
        <v>Lixeiras em inox</v>
      </c>
      <c r="D141" s="33" t="n">
        <f aca="false">IF(Produtos!$A141="","",IF(Produtos!$D141="","",Produtos!$D141))</f>
        <v>223.7</v>
      </c>
      <c r="E141" s="11" t="n">
        <v>0</v>
      </c>
      <c r="F141" s="34" t="n">
        <f aca="false">IF($A141="","",IF($C141="","⚠ categoria",IFERROR(INDEX(Parâmetros!$F$13:$F$22,MATCH($C141,Parâmetros!$A$13:$A$22,0)),"⚠ categoria")))</f>
        <v>0.19</v>
      </c>
      <c r="G141" s="35"/>
      <c r="H141" s="36" t="n">
        <f aca="false">IF($A141="","",IF(ISNUMBER($G141),$G141,IF(ISNUMBER($F141),$F141,"")))</f>
        <v>0.19</v>
      </c>
      <c r="I141" s="37" t="n">
        <f aca="false">IF(OR($A141="",NOT(ISNUMBER($D141)),NOT(ISNUMBER($H141))),"",IF((1-$H141-Parâmetros!$B$8-Parâmetros!$C$8-Parâmetros!$D$8)&lt;=0,"INVALIDO",($D141+IF(ISNUMBER($E141),$E141,0)+IF(ISNUMBER(Parâmetros!$E$8),Parâmetros!$E$8,0))/(1-$H141-Parâmetros!$B$8-Parâmetros!$C$8-Parâmetros!$D$8)))</f>
        <v>466.041666666667</v>
      </c>
      <c r="J141" s="38"/>
      <c r="K141" s="39" t="n">
        <f aca="false">IF(OR($A141="",NOT(ISNUMBER($D141)),NOT(ISNUMBER($H141))),"",IF(AND(ISNUMBER($J141),$J141&gt;0),$J141,IF(ISNUMBER($I141),$I141,"")))</f>
        <v>466.041666666667</v>
      </c>
      <c r="L141" s="40" t="n">
        <f aca="false">IF(ISNUMBER($K141),$K141*$H141,"")</f>
        <v>88.5479166666667</v>
      </c>
      <c r="M141" s="40" t="n">
        <f aca="false">IF(ISNUMBER($K141),$K141*Parâmetros!$B$8,"")</f>
        <v>46.6041666666667</v>
      </c>
      <c r="N141" s="40" t="n">
        <f aca="false">IF(ISNUMBER($K141),$K141*Parâmetros!$C$8,"")</f>
        <v>13.98125</v>
      </c>
      <c r="O141" s="40" t="n">
        <f aca="false">IF(ISNUMBER($K141),IF(ISNUMBER(Parâmetros!$E$8),Parâmetros!$E$8,0),"")</f>
        <v>0</v>
      </c>
      <c r="P141" s="41" t="n">
        <f aca="false">IF(ISNUMBER($K141),$K141-$D141-IF(ISNUMBER($E141),$E141,0)-$L141-$M141-$N141-$O141,"")</f>
        <v>93.2083333333333</v>
      </c>
      <c r="Q141" s="42" t="n">
        <f aca="false">IF(AND(ISNUMBER($K141),$K141&gt;0),$P141/$K141,"")</f>
        <v>0.2</v>
      </c>
      <c r="R141" s="43"/>
      <c r="S141" s="44" t="str">
        <f aca="false">IF(OR(NOT(ISNUMBER($R141)),$R141=0,NOT(ISNUMBER($K141))),"",$K141*(1-$R141))</f>
        <v/>
      </c>
      <c r="T141" s="45" t="str">
        <f aca="false">IF(ISNUMBER($S141),$S141*$H141,"")</f>
        <v/>
      </c>
      <c r="U141" s="45" t="str">
        <f aca="false">IF(ISNUMBER($S141),$S141*Parâmetros!$B$8,"")</f>
        <v/>
      </c>
      <c r="V141" s="45" t="str">
        <f aca="false">IF(ISNUMBER($S141),$S141*Parâmetros!$C$8,"")</f>
        <v/>
      </c>
      <c r="W141" s="44" t="str">
        <f aca="false">IF(ISNUMBER($S141),$S141-$D141-IF(ISNUMBER($E141),$E141,0)-$O141-$T141-$U141-$V141,"")</f>
        <v/>
      </c>
      <c r="X141" s="46" t="str">
        <f aca="false">IF(AND(ISNUMBER($S141),$S141&gt;0),$W141/$S141,"")</f>
        <v/>
      </c>
      <c r="Y141" s="49"/>
      <c r="Z141" s="21"/>
    </row>
    <row r="142" customFormat="false" ht="15.75" hidden="false" customHeight="true" outlineLevel="0" collapsed="false">
      <c r="A142" s="32" t="str">
        <f aca="false">IF(Produtos!$A142="","",Produtos!$A142)</f>
        <v>L3070-AC</v>
      </c>
      <c r="B142" s="32" t="str">
        <f aca="false">IF(Produtos!$A142="","",Produtos!$B142)</f>
        <v>Lixeira c/Aro Colorido 30x70 50L</v>
      </c>
      <c r="C142" s="32" t="str">
        <f aca="false">IF(Produtos!$A142="","",Produtos!$C142)</f>
        <v>Lixeiras em inox</v>
      </c>
      <c r="D142" s="33" t="n">
        <f aca="false">IF(Produtos!$A142="","",IF(Produtos!$D142="","",Produtos!$D142))</f>
        <v>269.32</v>
      </c>
      <c r="E142" s="11" t="n">
        <v>0</v>
      </c>
      <c r="F142" s="34" t="n">
        <f aca="false">IF($A142="","",IF($C142="","⚠ categoria",IFERROR(INDEX(Parâmetros!$F$13:$F$22,MATCH($C142,Parâmetros!$A$13:$A$22,0)),"⚠ categoria")))</f>
        <v>0.19</v>
      </c>
      <c r="G142" s="35"/>
      <c r="H142" s="36" t="n">
        <f aca="false">IF($A142="","",IF(ISNUMBER($G142),$G142,IF(ISNUMBER($F142),$F142,"")))</f>
        <v>0.19</v>
      </c>
      <c r="I142" s="37" t="n">
        <f aca="false">IF(OR($A142="",NOT(ISNUMBER($D142)),NOT(ISNUMBER($H142))),"",IF((1-$H142-Parâmetros!$B$8-Parâmetros!$C$8-Parâmetros!$D$8)&lt;=0,"INVALIDO",($D142+IF(ISNUMBER($E142),$E142,0)+IF(ISNUMBER(Parâmetros!$E$8),Parâmetros!$E$8,0))/(1-$H142-Parâmetros!$B$8-Parâmetros!$C$8-Parâmetros!$D$8)))</f>
        <v>561.083333333333</v>
      </c>
      <c r="J142" s="38"/>
      <c r="K142" s="39" t="n">
        <f aca="false">IF(OR($A142="",NOT(ISNUMBER($D142)),NOT(ISNUMBER($H142))),"",IF(AND(ISNUMBER($J142),$J142&gt;0),$J142,IF(ISNUMBER($I142),$I142,"")))</f>
        <v>561.083333333333</v>
      </c>
      <c r="L142" s="40" t="n">
        <f aca="false">IF(ISNUMBER($K142),$K142*$H142,"")</f>
        <v>106.605833333333</v>
      </c>
      <c r="M142" s="40" t="n">
        <f aca="false">IF(ISNUMBER($K142),$K142*Parâmetros!$B$8,"")</f>
        <v>56.1083333333333</v>
      </c>
      <c r="N142" s="40" t="n">
        <f aca="false">IF(ISNUMBER($K142),$K142*Parâmetros!$C$8,"")</f>
        <v>16.8325</v>
      </c>
      <c r="O142" s="40" t="n">
        <f aca="false">IF(ISNUMBER($K142),IF(ISNUMBER(Parâmetros!$E$8),Parâmetros!$E$8,0),"")</f>
        <v>0</v>
      </c>
      <c r="P142" s="41" t="n">
        <f aca="false">IF(ISNUMBER($K142),$K142-$D142-IF(ISNUMBER($E142),$E142,0)-$L142-$M142-$N142-$O142,"")</f>
        <v>112.216666666667</v>
      </c>
      <c r="Q142" s="42" t="n">
        <f aca="false">IF(AND(ISNUMBER($K142),$K142&gt;0),$P142/$K142,"")</f>
        <v>0.2</v>
      </c>
      <c r="R142" s="43"/>
      <c r="S142" s="44" t="str">
        <f aca="false">IF(OR(NOT(ISNUMBER($R142)),$R142=0,NOT(ISNUMBER($K142))),"",$K142*(1-$R142))</f>
        <v/>
      </c>
      <c r="T142" s="45" t="str">
        <f aca="false">IF(ISNUMBER($S142),$S142*$H142,"")</f>
        <v/>
      </c>
      <c r="U142" s="45" t="str">
        <f aca="false">IF(ISNUMBER($S142),$S142*Parâmetros!$B$8,"")</f>
        <v/>
      </c>
      <c r="V142" s="45" t="str">
        <f aca="false">IF(ISNUMBER($S142),$S142*Parâmetros!$C$8,"")</f>
        <v/>
      </c>
      <c r="W142" s="44" t="str">
        <f aca="false">IF(ISNUMBER($S142),$S142-$D142-IF(ISNUMBER($E142),$E142,0)-$O142-$T142-$U142-$V142,"")</f>
        <v/>
      </c>
      <c r="X142" s="46" t="str">
        <f aca="false">IF(AND(ISNUMBER($S142),$S142&gt;0),$W142/$S142,"")</f>
        <v/>
      </c>
      <c r="Y142" s="47"/>
      <c r="Z142" s="19"/>
    </row>
    <row r="143" customFormat="false" ht="15.75" hidden="false" customHeight="true" outlineLevel="0" collapsed="false">
      <c r="A143" s="48" t="str">
        <f aca="false">IF(Produtos!$A143="","",Produtos!$A143)</f>
        <v>L3085-AC</v>
      </c>
      <c r="B143" s="48" t="str">
        <f aca="false">IF(Produtos!$A143="","",Produtos!$B143)</f>
        <v>Lixeira c/Aro Colorido 30x85 60L</v>
      </c>
      <c r="C143" s="48" t="str">
        <f aca="false">IF(Produtos!$A143="","",Produtos!$C143)</f>
        <v>Lixeiras em inox</v>
      </c>
      <c r="D143" s="33" t="n">
        <f aca="false">IF(Produtos!$A143="","",IF(Produtos!$D143="","",Produtos!$D143))</f>
        <v>341.25</v>
      </c>
      <c r="E143" s="11" t="n">
        <v>0</v>
      </c>
      <c r="F143" s="34" t="n">
        <f aca="false">IF($A143="","",IF($C143="","⚠ categoria",IFERROR(INDEX(Parâmetros!$F$13:$F$22,MATCH($C143,Parâmetros!$A$13:$A$22,0)),"⚠ categoria")))</f>
        <v>0.19</v>
      </c>
      <c r="G143" s="35"/>
      <c r="H143" s="36" t="n">
        <f aca="false">IF($A143="","",IF(ISNUMBER($G143),$G143,IF(ISNUMBER($F143),$F143,"")))</f>
        <v>0.19</v>
      </c>
      <c r="I143" s="37" t="n">
        <f aca="false">IF(OR($A143="",NOT(ISNUMBER($D143)),NOT(ISNUMBER($H143))),"",IF((1-$H143-Parâmetros!$B$8-Parâmetros!$C$8-Parâmetros!$D$8)&lt;=0,"INVALIDO",($D143+IF(ISNUMBER($E143),$E143,0)+IF(ISNUMBER(Parâmetros!$E$8),Parâmetros!$E$8,0))/(1-$H143-Parâmetros!$B$8-Parâmetros!$C$8-Parâmetros!$D$8)))</f>
        <v>710.9375</v>
      </c>
      <c r="J143" s="38"/>
      <c r="K143" s="39" t="n">
        <f aca="false">IF(OR($A143="",NOT(ISNUMBER($D143)),NOT(ISNUMBER($H143))),"",IF(AND(ISNUMBER($J143),$J143&gt;0),$J143,IF(ISNUMBER($I143),$I143,"")))</f>
        <v>710.9375</v>
      </c>
      <c r="L143" s="40" t="n">
        <f aca="false">IF(ISNUMBER($K143),$K143*$H143,"")</f>
        <v>135.078125</v>
      </c>
      <c r="M143" s="40" t="n">
        <f aca="false">IF(ISNUMBER($K143),$K143*Parâmetros!$B$8,"")</f>
        <v>71.09375</v>
      </c>
      <c r="N143" s="40" t="n">
        <f aca="false">IF(ISNUMBER($K143),$K143*Parâmetros!$C$8,"")</f>
        <v>21.328125</v>
      </c>
      <c r="O143" s="40" t="n">
        <f aca="false">IF(ISNUMBER($K143),IF(ISNUMBER(Parâmetros!$E$8),Parâmetros!$E$8,0),"")</f>
        <v>0</v>
      </c>
      <c r="P143" s="41" t="n">
        <f aca="false">IF(ISNUMBER($K143),$K143-$D143-IF(ISNUMBER($E143),$E143,0)-$L143-$M143-$N143-$O143,"")</f>
        <v>142.1875</v>
      </c>
      <c r="Q143" s="42" t="n">
        <f aca="false">IF(AND(ISNUMBER($K143),$K143&gt;0),$P143/$K143,"")</f>
        <v>0.2</v>
      </c>
      <c r="R143" s="43"/>
      <c r="S143" s="44" t="str">
        <f aca="false">IF(OR(NOT(ISNUMBER($R143)),$R143=0,NOT(ISNUMBER($K143))),"",$K143*(1-$R143))</f>
        <v/>
      </c>
      <c r="T143" s="45" t="str">
        <f aca="false">IF(ISNUMBER($S143),$S143*$H143,"")</f>
        <v/>
      </c>
      <c r="U143" s="45" t="str">
        <f aca="false">IF(ISNUMBER($S143),$S143*Parâmetros!$B$8,"")</f>
        <v/>
      </c>
      <c r="V143" s="45" t="str">
        <f aca="false">IF(ISNUMBER($S143),$S143*Parâmetros!$C$8,"")</f>
        <v/>
      </c>
      <c r="W143" s="44" t="str">
        <f aca="false">IF(ISNUMBER($S143),$S143-$D143-IF(ISNUMBER($E143),$E143,0)-$O143-$T143-$U143-$V143,"")</f>
        <v/>
      </c>
      <c r="X143" s="46" t="str">
        <f aca="false">IF(AND(ISNUMBER($S143),$S143&gt;0),$W143/$S143,"")</f>
        <v/>
      </c>
      <c r="Y143" s="49"/>
      <c r="Z143" s="21"/>
    </row>
    <row r="144" customFormat="false" ht="15.75" hidden="false" customHeight="true" outlineLevel="0" collapsed="false">
      <c r="A144" s="32" t="str">
        <f aca="false">IF(Produtos!$A144="","",Produtos!$A144)</f>
        <v>L4050-AC</v>
      </c>
      <c r="B144" s="32" t="str">
        <f aca="false">IF(Produtos!$A144="","",Produtos!$B144)</f>
        <v>Lixeira c/Aro Colorido 40x50 62L</v>
      </c>
      <c r="C144" s="32" t="str">
        <f aca="false">IF(Produtos!$A144="","",Produtos!$C144)</f>
        <v>Lixeiras em inox</v>
      </c>
      <c r="D144" s="33" t="n">
        <f aca="false">IF(Produtos!$A144="","",IF(Produtos!$D144="","",Produtos!$D144))</f>
        <v>349.81</v>
      </c>
      <c r="E144" s="11" t="n">
        <v>0</v>
      </c>
      <c r="F144" s="34" t="n">
        <f aca="false">IF($A144="","",IF($C144="","⚠ categoria",IFERROR(INDEX(Parâmetros!$F$13:$F$22,MATCH($C144,Parâmetros!$A$13:$A$22,0)),"⚠ categoria")))</f>
        <v>0.19</v>
      </c>
      <c r="G144" s="35"/>
      <c r="H144" s="36" t="n">
        <f aca="false">IF($A144="","",IF(ISNUMBER($G144),$G144,IF(ISNUMBER($F144),$F144,"")))</f>
        <v>0.19</v>
      </c>
      <c r="I144" s="37" t="n">
        <f aca="false">IF(OR($A144="",NOT(ISNUMBER($D144)),NOT(ISNUMBER($H144))),"",IF((1-$H144-Parâmetros!$B$8-Parâmetros!$C$8-Parâmetros!$D$8)&lt;=0,"INVALIDO",($D144+IF(ISNUMBER($E144),$E144,0)+IF(ISNUMBER(Parâmetros!$E$8),Parâmetros!$E$8,0))/(1-$H144-Parâmetros!$B$8-Parâmetros!$C$8-Parâmetros!$D$8)))</f>
        <v>728.770833333333</v>
      </c>
      <c r="J144" s="38"/>
      <c r="K144" s="39" t="n">
        <f aca="false">IF(OR($A144="",NOT(ISNUMBER($D144)),NOT(ISNUMBER($H144))),"",IF(AND(ISNUMBER($J144),$J144&gt;0),$J144,IF(ISNUMBER($I144),$I144,"")))</f>
        <v>728.770833333333</v>
      </c>
      <c r="L144" s="40" t="n">
        <f aca="false">IF(ISNUMBER($K144),$K144*$H144,"")</f>
        <v>138.466458333333</v>
      </c>
      <c r="M144" s="40" t="n">
        <f aca="false">IF(ISNUMBER($K144),$K144*Parâmetros!$B$8,"")</f>
        <v>72.8770833333333</v>
      </c>
      <c r="N144" s="40" t="n">
        <f aca="false">IF(ISNUMBER($K144),$K144*Parâmetros!$C$8,"")</f>
        <v>21.863125</v>
      </c>
      <c r="O144" s="40" t="n">
        <f aca="false">IF(ISNUMBER($K144),IF(ISNUMBER(Parâmetros!$E$8),Parâmetros!$E$8,0),"")</f>
        <v>0</v>
      </c>
      <c r="P144" s="41" t="n">
        <f aca="false">IF(ISNUMBER($K144),$K144-$D144-IF(ISNUMBER($E144),$E144,0)-$L144-$M144-$N144-$O144,"")</f>
        <v>145.754166666667</v>
      </c>
      <c r="Q144" s="42" t="n">
        <f aca="false">IF(AND(ISNUMBER($K144),$K144&gt;0),$P144/$K144,"")</f>
        <v>0.2</v>
      </c>
      <c r="R144" s="43"/>
      <c r="S144" s="44" t="str">
        <f aca="false">IF(OR(NOT(ISNUMBER($R144)),$R144=0,NOT(ISNUMBER($K144))),"",$K144*(1-$R144))</f>
        <v/>
      </c>
      <c r="T144" s="45" t="str">
        <f aca="false">IF(ISNUMBER($S144),$S144*$H144,"")</f>
        <v/>
      </c>
      <c r="U144" s="45" t="str">
        <f aca="false">IF(ISNUMBER($S144),$S144*Parâmetros!$B$8,"")</f>
        <v/>
      </c>
      <c r="V144" s="45" t="str">
        <f aca="false">IF(ISNUMBER($S144),$S144*Parâmetros!$C$8,"")</f>
        <v/>
      </c>
      <c r="W144" s="44" t="str">
        <f aca="false">IF(ISNUMBER($S144),$S144-$D144-IF(ISNUMBER($E144),$E144,0)-$O144-$T144-$U144-$V144,"")</f>
        <v/>
      </c>
      <c r="X144" s="46" t="str">
        <f aca="false">IF(AND(ISNUMBER($S144),$S144&gt;0),$W144/$S144,"")</f>
        <v/>
      </c>
      <c r="Y144" s="47"/>
      <c r="Z144" s="19"/>
    </row>
    <row r="145" customFormat="false" ht="15.75" hidden="false" customHeight="true" outlineLevel="0" collapsed="false">
      <c r="A145" s="48" t="str">
        <f aca="false">IF(Produtos!$A145="","",Produtos!$A145)</f>
        <v>L4060-AC</v>
      </c>
      <c r="B145" s="48" t="str">
        <f aca="false">IF(Produtos!$A145="","",Produtos!$B145)</f>
        <v>Lixeira c/Aro Colorido 40x60 75L</v>
      </c>
      <c r="C145" s="48" t="str">
        <f aca="false">IF(Produtos!$A145="","",Produtos!$C145)</f>
        <v>Lixeiras em inox</v>
      </c>
      <c r="D145" s="33" t="n">
        <f aca="false">IF(Produtos!$A145="","",IF(Produtos!$D145="","",Produtos!$D145))</f>
        <v>359.34</v>
      </c>
      <c r="E145" s="11" t="n">
        <v>0</v>
      </c>
      <c r="F145" s="34" t="n">
        <f aca="false">IF($A145="","",IF($C145="","⚠ categoria",IFERROR(INDEX(Parâmetros!$F$13:$F$22,MATCH($C145,Parâmetros!$A$13:$A$22,0)),"⚠ categoria")))</f>
        <v>0.19</v>
      </c>
      <c r="G145" s="35"/>
      <c r="H145" s="36" t="n">
        <f aca="false">IF($A145="","",IF(ISNUMBER($G145),$G145,IF(ISNUMBER($F145),$F145,"")))</f>
        <v>0.19</v>
      </c>
      <c r="I145" s="37" t="n">
        <f aca="false">IF(OR($A145="",NOT(ISNUMBER($D145)),NOT(ISNUMBER($H145))),"",IF((1-$H145-Parâmetros!$B$8-Parâmetros!$C$8-Parâmetros!$D$8)&lt;=0,"INVALIDO",($D145+IF(ISNUMBER($E145),$E145,0)+IF(ISNUMBER(Parâmetros!$E$8),Parâmetros!$E$8,0))/(1-$H145-Parâmetros!$B$8-Parâmetros!$C$8-Parâmetros!$D$8)))</f>
        <v>748.625</v>
      </c>
      <c r="J145" s="38"/>
      <c r="K145" s="39" t="n">
        <f aca="false">IF(OR($A145="",NOT(ISNUMBER($D145)),NOT(ISNUMBER($H145))),"",IF(AND(ISNUMBER($J145),$J145&gt;0),$J145,IF(ISNUMBER($I145),$I145,"")))</f>
        <v>748.625</v>
      </c>
      <c r="L145" s="40" t="n">
        <f aca="false">IF(ISNUMBER($K145),$K145*$H145,"")</f>
        <v>142.23875</v>
      </c>
      <c r="M145" s="40" t="n">
        <f aca="false">IF(ISNUMBER($K145),$K145*Parâmetros!$B$8,"")</f>
        <v>74.8625</v>
      </c>
      <c r="N145" s="40" t="n">
        <f aca="false">IF(ISNUMBER($K145),$K145*Parâmetros!$C$8,"")</f>
        <v>22.45875</v>
      </c>
      <c r="O145" s="40" t="n">
        <f aca="false">IF(ISNUMBER($K145),IF(ISNUMBER(Parâmetros!$E$8),Parâmetros!$E$8,0),"")</f>
        <v>0</v>
      </c>
      <c r="P145" s="41" t="n">
        <f aca="false">IF(ISNUMBER($K145),$K145-$D145-IF(ISNUMBER($E145),$E145,0)-$L145-$M145-$N145-$O145,"")</f>
        <v>149.725</v>
      </c>
      <c r="Q145" s="42" t="n">
        <f aca="false">IF(AND(ISNUMBER($K145),$K145&gt;0),$P145/$K145,"")</f>
        <v>0.2</v>
      </c>
      <c r="R145" s="43"/>
      <c r="S145" s="44" t="str">
        <f aca="false">IF(OR(NOT(ISNUMBER($R145)),$R145=0,NOT(ISNUMBER($K145))),"",$K145*(1-$R145))</f>
        <v/>
      </c>
      <c r="T145" s="45" t="str">
        <f aca="false">IF(ISNUMBER($S145),$S145*$H145,"")</f>
        <v/>
      </c>
      <c r="U145" s="45" t="str">
        <f aca="false">IF(ISNUMBER($S145),$S145*Parâmetros!$B$8,"")</f>
        <v/>
      </c>
      <c r="V145" s="45" t="str">
        <f aca="false">IF(ISNUMBER($S145),$S145*Parâmetros!$C$8,"")</f>
        <v/>
      </c>
      <c r="W145" s="44" t="str">
        <f aca="false">IF(ISNUMBER($S145),$S145-$D145-IF(ISNUMBER($E145),$E145,0)-$O145-$T145-$U145-$V145,"")</f>
        <v/>
      </c>
      <c r="X145" s="46" t="str">
        <f aca="false">IF(AND(ISNUMBER($S145),$S145&gt;0),$W145/$S145,"")</f>
        <v/>
      </c>
      <c r="Y145" s="49"/>
      <c r="Z145" s="21"/>
    </row>
    <row r="146" customFormat="false" ht="15.75" hidden="false" customHeight="true" outlineLevel="0" collapsed="false">
      <c r="A146" s="32" t="str">
        <f aca="false">IF(Produtos!$A146="","",Produtos!$A146)</f>
        <v>L4070-AC</v>
      </c>
      <c r="B146" s="32" t="str">
        <f aca="false">IF(Produtos!$A146="","",Produtos!$B146)</f>
        <v>Lixeira c/Aro Colorido 40x70 88L</v>
      </c>
      <c r="C146" s="32" t="str">
        <f aca="false">IF(Produtos!$A146="","",Produtos!$C146)</f>
        <v>Lixeiras em inox</v>
      </c>
      <c r="D146" s="33" t="n">
        <f aca="false">IF(Produtos!$A146="","",IF(Produtos!$D146="","",Produtos!$D146))</f>
        <v>374.18</v>
      </c>
      <c r="E146" s="11" t="n">
        <v>0</v>
      </c>
      <c r="F146" s="34" t="n">
        <f aca="false">IF($A146="","",IF($C146="","⚠ categoria",IFERROR(INDEX(Parâmetros!$F$13:$F$22,MATCH($C146,Parâmetros!$A$13:$A$22,0)),"⚠ categoria")))</f>
        <v>0.19</v>
      </c>
      <c r="G146" s="35"/>
      <c r="H146" s="36" t="n">
        <f aca="false">IF($A146="","",IF(ISNUMBER($G146),$G146,IF(ISNUMBER($F146),$F146,"")))</f>
        <v>0.19</v>
      </c>
      <c r="I146" s="37" t="n">
        <f aca="false">IF(OR($A146="",NOT(ISNUMBER($D146)),NOT(ISNUMBER($H146))),"",IF((1-$H146-Parâmetros!$B$8-Parâmetros!$C$8-Parâmetros!$D$8)&lt;=0,"INVALIDO",($D146+IF(ISNUMBER($E146),$E146,0)+IF(ISNUMBER(Parâmetros!$E$8),Parâmetros!$E$8,0))/(1-$H146-Parâmetros!$B$8-Parâmetros!$C$8-Parâmetros!$D$8)))</f>
        <v>779.541666666667</v>
      </c>
      <c r="J146" s="38"/>
      <c r="K146" s="39" t="n">
        <f aca="false">IF(OR($A146="",NOT(ISNUMBER($D146)),NOT(ISNUMBER($H146))),"",IF(AND(ISNUMBER($J146),$J146&gt;0),$J146,IF(ISNUMBER($I146),$I146,"")))</f>
        <v>779.541666666667</v>
      </c>
      <c r="L146" s="40" t="n">
        <f aca="false">IF(ISNUMBER($K146),$K146*$H146,"")</f>
        <v>148.112916666667</v>
      </c>
      <c r="M146" s="40" t="n">
        <f aca="false">IF(ISNUMBER($K146),$K146*Parâmetros!$B$8,"")</f>
        <v>77.9541666666667</v>
      </c>
      <c r="N146" s="40" t="n">
        <f aca="false">IF(ISNUMBER($K146),$K146*Parâmetros!$C$8,"")</f>
        <v>23.38625</v>
      </c>
      <c r="O146" s="40" t="n">
        <f aca="false">IF(ISNUMBER($K146),IF(ISNUMBER(Parâmetros!$E$8),Parâmetros!$E$8,0),"")</f>
        <v>0</v>
      </c>
      <c r="P146" s="41" t="n">
        <f aca="false">IF(ISNUMBER($K146),$K146-$D146-IF(ISNUMBER($E146),$E146,0)-$L146-$M146-$N146-$O146,"")</f>
        <v>155.908333333333</v>
      </c>
      <c r="Q146" s="42" t="n">
        <f aca="false">IF(AND(ISNUMBER($K146),$K146&gt;0),$P146/$K146,"")</f>
        <v>0.2</v>
      </c>
      <c r="R146" s="43"/>
      <c r="S146" s="44" t="str">
        <f aca="false">IF(OR(NOT(ISNUMBER($R146)),$R146=0,NOT(ISNUMBER($K146))),"",$K146*(1-$R146))</f>
        <v/>
      </c>
      <c r="T146" s="45" t="str">
        <f aca="false">IF(ISNUMBER($S146),$S146*$H146,"")</f>
        <v/>
      </c>
      <c r="U146" s="45" t="str">
        <f aca="false">IF(ISNUMBER($S146),$S146*Parâmetros!$B$8,"")</f>
        <v/>
      </c>
      <c r="V146" s="45" t="str">
        <f aca="false">IF(ISNUMBER($S146),$S146*Parâmetros!$C$8,"")</f>
        <v/>
      </c>
      <c r="W146" s="44" t="str">
        <f aca="false">IF(ISNUMBER($S146),$S146-$D146-IF(ISNUMBER($E146),$E146,0)-$O146-$T146-$U146-$V146,"")</f>
        <v/>
      </c>
      <c r="X146" s="46" t="str">
        <f aca="false">IF(AND(ISNUMBER($S146),$S146&gt;0),$W146/$S146,"")</f>
        <v/>
      </c>
      <c r="Y146" s="47"/>
      <c r="Z146" s="19"/>
    </row>
    <row r="147" customFormat="false" ht="15.75" hidden="false" customHeight="true" outlineLevel="0" collapsed="false">
      <c r="A147" s="48" t="str">
        <f aca="false">IF(Produtos!$A147="","",Produtos!$A147)</f>
        <v>L4075-AC</v>
      </c>
      <c r="B147" s="48" t="str">
        <f aca="false">IF(Produtos!$A147="","",Produtos!$B147)</f>
        <v>Lixeira c/Aro Colorido 40x75 95L</v>
      </c>
      <c r="C147" s="48" t="str">
        <f aca="false">IF(Produtos!$A147="","",Produtos!$C147)</f>
        <v>Lixeiras em inox</v>
      </c>
      <c r="D147" s="33" t="n">
        <f aca="false">IF(Produtos!$A147="","",IF(Produtos!$D147="","",Produtos!$D147))</f>
        <v>405.18</v>
      </c>
      <c r="E147" s="11" t="n">
        <v>0</v>
      </c>
      <c r="F147" s="34" t="n">
        <f aca="false">IF($A147="","",IF($C147="","⚠ categoria",IFERROR(INDEX(Parâmetros!$F$13:$F$22,MATCH($C147,Parâmetros!$A$13:$A$22,0)),"⚠ categoria")))</f>
        <v>0.19</v>
      </c>
      <c r="G147" s="35"/>
      <c r="H147" s="36" t="n">
        <f aca="false">IF($A147="","",IF(ISNUMBER($G147),$G147,IF(ISNUMBER($F147),$F147,"")))</f>
        <v>0.19</v>
      </c>
      <c r="I147" s="37" t="n">
        <f aca="false">IF(OR($A147="",NOT(ISNUMBER($D147)),NOT(ISNUMBER($H147))),"",IF((1-$H147-Parâmetros!$B$8-Parâmetros!$C$8-Parâmetros!$D$8)&lt;=0,"INVALIDO",($D147+IF(ISNUMBER($E147),$E147,0)+IF(ISNUMBER(Parâmetros!$E$8),Parâmetros!$E$8,0))/(1-$H147-Parâmetros!$B$8-Parâmetros!$C$8-Parâmetros!$D$8)))</f>
        <v>844.125</v>
      </c>
      <c r="J147" s="38"/>
      <c r="K147" s="39" t="n">
        <f aca="false">IF(OR($A147="",NOT(ISNUMBER($D147)),NOT(ISNUMBER($H147))),"",IF(AND(ISNUMBER($J147),$J147&gt;0),$J147,IF(ISNUMBER($I147),$I147,"")))</f>
        <v>844.125</v>
      </c>
      <c r="L147" s="40" t="n">
        <f aca="false">IF(ISNUMBER($K147),$K147*$H147,"")</f>
        <v>160.38375</v>
      </c>
      <c r="M147" s="40" t="n">
        <f aca="false">IF(ISNUMBER($K147),$K147*Parâmetros!$B$8,"")</f>
        <v>84.4125</v>
      </c>
      <c r="N147" s="40" t="n">
        <f aca="false">IF(ISNUMBER($K147),$K147*Parâmetros!$C$8,"")</f>
        <v>25.32375</v>
      </c>
      <c r="O147" s="40" t="n">
        <f aca="false">IF(ISNUMBER($K147),IF(ISNUMBER(Parâmetros!$E$8),Parâmetros!$E$8,0),"")</f>
        <v>0</v>
      </c>
      <c r="P147" s="41" t="n">
        <f aca="false">IF(ISNUMBER($K147),$K147-$D147-IF(ISNUMBER($E147),$E147,0)-$L147-$M147-$N147-$O147,"")</f>
        <v>168.825</v>
      </c>
      <c r="Q147" s="42" t="n">
        <f aca="false">IF(AND(ISNUMBER($K147),$K147&gt;0),$P147/$K147,"")</f>
        <v>0.2</v>
      </c>
      <c r="R147" s="43"/>
      <c r="S147" s="44" t="str">
        <f aca="false">IF(OR(NOT(ISNUMBER($R147)),$R147=0,NOT(ISNUMBER($K147))),"",$K147*(1-$R147))</f>
        <v/>
      </c>
      <c r="T147" s="45" t="str">
        <f aca="false">IF(ISNUMBER($S147),$S147*$H147,"")</f>
        <v/>
      </c>
      <c r="U147" s="45" t="str">
        <f aca="false">IF(ISNUMBER($S147),$S147*Parâmetros!$B$8,"")</f>
        <v/>
      </c>
      <c r="V147" s="45" t="str">
        <f aca="false">IF(ISNUMBER($S147),$S147*Parâmetros!$C$8,"")</f>
        <v/>
      </c>
      <c r="W147" s="44" t="str">
        <f aca="false">IF(ISNUMBER($S147),$S147-$D147-IF(ISNUMBER($E147),$E147,0)-$O147-$T147-$U147-$V147,"")</f>
        <v/>
      </c>
      <c r="X147" s="46" t="str">
        <f aca="false">IF(AND(ISNUMBER($S147),$S147&gt;0),$W147/$S147,"")</f>
        <v/>
      </c>
      <c r="Y147" s="49"/>
      <c r="Z147" s="21"/>
    </row>
    <row r="148" customFormat="false" ht="15.75" hidden="false" customHeight="true" outlineLevel="0" collapsed="false">
      <c r="A148" s="32" t="str">
        <f aca="false">IF(Produtos!$A148="","",Produtos!$A148)</f>
        <v>L4080-AC</v>
      </c>
      <c r="B148" s="32" t="str">
        <f aca="false">IF(Produtos!$A148="","",Produtos!$B148)</f>
        <v>Lixeira c/Aro Colorido 40x80 100L</v>
      </c>
      <c r="C148" s="32" t="str">
        <f aca="false">IF(Produtos!$A148="","",Produtos!$C148)</f>
        <v>Lixeiras em inox</v>
      </c>
      <c r="D148" s="33" t="n">
        <f aca="false">IF(Produtos!$A148="","",IF(Produtos!$D148="","",Produtos!$D148))</f>
        <v>425.44</v>
      </c>
      <c r="E148" s="11" t="n">
        <v>0</v>
      </c>
      <c r="F148" s="34" t="n">
        <f aca="false">IF($A148="","",IF($C148="","⚠ categoria",IFERROR(INDEX(Parâmetros!$F$13:$F$22,MATCH($C148,Parâmetros!$A$13:$A$22,0)),"⚠ categoria")))</f>
        <v>0.19</v>
      </c>
      <c r="G148" s="35"/>
      <c r="H148" s="36" t="n">
        <f aca="false">IF($A148="","",IF(ISNUMBER($G148),$G148,IF(ISNUMBER($F148),$F148,"")))</f>
        <v>0.19</v>
      </c>
      <c r="I148" s="37" t="n">
        <f aca="false">IF(OR($A148="",NOT(ISNUMBER($D148)),NOT(ISNUMBER($H148))),"",IF((1-$H148-Parâmetros!$B$8-Parâmetros!$C$8-Parâmetros!$D$8)&lt;=0,"INVALIDO",($D148+IF(ISNUMBER($E148),$E148,0)+IF(ISNUMBER(Parâmetros!$E$8),Parâmetros!$E$8,0))/(1-$H148-Parâmetros!$B$8-Parâmetros!$C$8-Parâmetros!$D$8)))</f>
        <v>886.333333333333</v>
      </c>
      <c r="J148" s="38"/>
      <c r="K148" s="39" t="n">
        <f aca="false">IF(OR($A148="",NOT(ISNUMBER($D148)),NOT(ISNUMBER($H148))),"",IF(AND(ISNUMBER($J148),$J148&gt;0),$J148,IF(ISNUMBER($I148),$I148,"")))</f>
        <v>886.333333333333</v>
      </c>
      <c r="L148" s="40" t="n">
        <f aca="false">IF(ISNUMBER($K148),$K148*$H148,"")</f>
        <v>168.403333333333</v>
      </c>
      <c r="M148" s="40" t="n">
        <f aca="false">IF(ISNUMBER($K148),$K148*Parâmetros!$B$8,"")</f>
        <v>88.6333333333333</v>
      </c>
      <c r="N148" s="40" t="n">
        <f aca="false">IF(ISNUMBER($K148),$K148*Parâmetros!$C$8,"")</f>
        <v>26.59</v>
      </c>
      <c r="O148" s="40" t="n">
        <f aca="false">IF(ISNUMBER($K148),IF(ISNUMBER(Parâmetros!$E$8),Parâmetros!$E$8,0),"")</f>
        <v>0</v>
      </c>
      <c r="P148" s="41" t="n">
        <f aca="false">IF(ISNUMBER($K148),$K148-$D148-IF(ISNUMBER($E148),$E148,0)-$L148-$M148-$N148-$O148,"")</f>
        <v>177.266666666667</v>
      </c>
      <c r="Q148" s="42" t="n">
        <f aca="false">IF(AND(ISNUMBER($K148),$K148&gt;0),$P148/$K148,"")</f>
        <v>0.2</v>
      </c>
      <c r="R148" s="43"/>
      <c r="S148" s="44" t="str">
        <f aca="false">IF(OR(NOT(ISNUMBER($R148)),$R148=0,NOT(ISNUMBER($K148))),"",$K148*(1-$R148))</f>
        <v/>
      </c>
      <c r="T148" s="45" t="str">
        <f aca="false">IF(ISNUMBER($S148),$S148*$H148,"")</f>
        <v/>
      </c>
      <c r="U148" s="45" t="str">
        <f aca="false">IF(ISNUMBER($S148),$S148*Parâmetros!$B$8,"")</f>
        <v/>
      </c>
      <c r="V148" s="45" t="str">
        <f aca="false">IF(ISNUMBER($S148),$S148*Parâmetros!$C$8,"")</f>
        <v/>
      </c>
      <c r="W148" s="44" t="str">
        <f aca="false">IF(ISNUMBER($S148),$S148-$D148-IF(ISNUMBER($E148),$E148,0)-$O148-$T148-$U148-$V148,"")</f>
        <v/>
      </c>
      <c r="X148" s="46" t="str">
        <f aca="false">IF(AND(ISNUMBER($S148),$S148&gt;0),$W148/$S148,"")</f>
        <v/>
      </c>
      <c r="Y148" s="47"/>
      <c r="Z148" s="19"/>
    </row>
    <row r="149" customFormat="false" ht="15.75" hidden="false" customHeight="true" outlineLevel="0" collapsed="false">
      <c r="A149" s="48" t="str">
        <f aca="false">IF(Produtos!$A149="","",Produtos!$A149)</f>
        <v>L4090-AC</v>
      </c>
      <c r="B149" s="48" t="str">
        <f aca="false">IF(Produtos!$A149="","",Produtos!$B149)</f>
        <v>Lixeira c/Aro Colorido 40x90 120L</v>
      </c>
      <c r="C149" s="48" t="str">
        <f aca="false">IF(Produtos!$A149="","",Produtos!$C149)</f>
        <v>Lixeiras em inox</v>
      </c>
      <c r="D149" s="33" t="n">
        <f aca="false">IF(Produtos!$A149="","",IF(Produtos!$D149="","",Produtos!$D149))</f>
        <v>652.76</v>
      </c>
      <c r="E149" s="11" t="n">
        <v>0</v>
      </c>
      <c r="F149" s="34" t="n">
        <f aca="false">IF($A149="","",IF($C149="","⚠ categoria",IFERROR(INDEX(Parâmetros!$F$13:$F$22,MATCH($C149,Parâmetros!$A$13:$A$22,0)),"⚠ categoria")))</f>
        <v>0.19</v>
      </c>
      <c r="G149" s="35"/>
      <c r="H149" s="36" t="n">
        <f aca="false">IF($A149="","",IF(ISNUMBER($G149),$G149,IF(ISNUMBER($F149),$F149,"")))</f>
        <v>0.19</v>
      </c>
      <c r="I149" s="37" t="n">
        <f aca="false">IF(OR($A149="",NOT(ISNUMBER($D149)),NOT(ISNUMBER($H149))),"",IF((1-$H149-Parâmetros!$B$8-Parâmetros!$C$8-Parâmetros!$D$8)&lt;=0,"INVALIDO",($D149+IF(ISNUMBER($E149),$E149,0)+IF(ISNUMBER(Parâmetros!$E$8),Parâmetros!$E$8,0))/(1-$H149-Parâmetros!$B$8-Parâmetros!$C$8-Parâmetros!$D$8)))</f>
        <v>1359.91666666667</v>
      </c>
      <c r="J149" s="38"/>
      <c r="K149" s="39" t="n">
        <f aca="false">IF(OR($A149="",NOT(ISNUMBER($D149)),NOT(ISNUMBER($H149))),"",IF(AND(ISNUMBER($J149),$J149&gt;0),$J149,IF(ISNUMBER($I149),$I149,"")))</f>
        <v>1359.91666666667</v>
      </c>
      <c r="L149" s="40" t="n">
        <f aca="false">IF(ISNUMBER($K149),$K149*$H149,"")</f>
        <v>258.384166666667</v>
      </c>
      <c r="M149" s="40" t="n">
        <f aca="false">IF(ISNUMBER($K149),$K149*Parâmetros!$B$8,"")</f>
        <v>135.991666666667</v>
      </c>
      <c r="N149" s="40" t="n">
        <f aca="false">IF(ISNUMBER($K149),$K149*Parâmetros!$C$8,"")</f>
        <v>40.7975</v>
      </c>
      <c r="O149" s="40" t="n">
        <f aca="false">IF(ISNUMBER($K149),IF(ISNUMBER(Parâmetros!$E$8),Parâmetros!$E$8,0),"")</f>
        <v>0</v>
      </c>
      <c r="P149" s="41" t="n">
        <f aca="false">IF(ISNUMBER($K149),$K149-$D149-IF(ISNUMBER($E149),$E149,0)-$L149-$M149-$N149-$O149,"")</f>
        <v>271.983333333333</v>
      </c>
      <c r="Q149" s="42" t="n">
        <f aca="false">IF(AND(ISNUMBER($K149),$K149&gt;0),$P149/$K149,"")</f>
        <v>0.2</v>
      </c>
      <c r="R149" s="43"/>
      <c r="S149" s="44" t="str">
        <f aca="false">IF(OR(NOT(ISNUMBER($R149)),$R149=0,NOT(ISNUMBER($K149))),"",$K149*(1-$R149))</f>
        <v/>
      </c>
      <c r="T149" s="45" t="str">
        <f aca="false">IF(ISNUMBER($S149),$S149*$H149,"")</f>
        <v/>
      </c>
      <c r="U149" s="45" t="str">
        <f aca="false">IF(ISNUMBER($S149),$S149*Parâmetros!$B$8,"")</f>
        <v/>
      </c>
      <c r="V149" s="45" t="str">
        <f aca="false">IF(ISNUMBER($S149),$S149*Parâmetros!$C$8,"")</f>
        <v/>
      </c>
      <c r="W149" s="44" t="str">
        <f aca="false">IF(ISNUMBER($S149),$S149-$D149-IF(ISNUMBER($E149),$E149,0)-$O149-$T149-$U149-$V149,"")</f>
        <v/>
      </c>
      <c r="X149" s="46" t="str">
        <f aca="false">IF(AND(ISNUMBER($S149),$S149&gt;0),$W149/$S149,"")</f>
        <v/>
      </c>
      <c r="Y149" s="49"/>
      <c r="Z149" s="21"/>
    </row>
    <row r="150" customFormat="false" ht="15.75" hidden="false" customHeight="true" outlineLevel="0" collapsed="false">
      <c r="A150" s="32" t="str">
        <f aca="false">IF(Produtos!$A150="","",Produtos!$A150)</f>
        <v>L2425-CP</v>
      </c>
      <c r="B150" s="32" t="str">
        <f aca="false">IF(Produtos!$A150="","",Produtos!$B150)</f>
        <v>Lixeira Aço inox Coletor de pilhas e baterias 24x25 13L</v>
      </c>
      <c r="C150" s="32" t="str">
        <f aca="false">IF(Produtos!$A150="","",Produtos!$C150)</f>
        <v>Coletores de pilhas</v>
      </c>
      <c r="D150" s="33" t="n">
        <f aca="false">IF(Produtos!$A150="","",IF(Produtos!$D150="","",Produtos!$D150))</f>
        <v>120.55</v>
      </c>
      <c r="E150" s="11" t="n">
        <v>0</v>
      </c>
      <c r="F150" s="34" t="n">
        <f aca="false">IF($A150="","",IF($C150="","⚠ categoria",IFERROR(INDEX(Parâmetros!$F$13:$F$22,MATCH($C150,Parâmetros!$A$13:$A$22,0)),"⚠ categoria")))</f>
        <v>0.19</v>
      </c>
      <c r="G150" s="35"/>
      <c r="H150" s="36" t="n">
        <f aca="false">IF($A150="","",IF(ISNUMBER($G150),$G150,IF(ISNUMBER($F150),$F150,"")))</f>
        <v>0.19</v>
      </c>
      <c r="I150" s="37" t="n">
        <f aca="false">IF(OR($A150="",NOT(ISNUMBER($D150)),NOT(ISNUMBER($H150))),"",IF((1-$H150-Parâmetros!$B$8-Parâmetros!$C$8-Parâmetros!$D$8)&lt;=0,"INVALIDO",($D150+IF(ISNUMBER($E150),$E150,0)+IF(ISNUMBER(Parâmetros!$E$8),Parâmetros!$E$8,0))/(1-$H150-Parâmetros!$B$8-Parâmetros!$C$8-Parâmetros!$D$8)))</f>
        <v>251.145833333333</v>
      </c>
      <c r="J150" s="38"/>
      <c r="K150" s="39" t="n">
        <f aca="false">IF(OR($A150="",NOT(ISNUMBER($D150)),NOT(ISNUMBER($H150))),"",IF(AND(ISNUMBER($J150),$J150&gt;0),$J150,IF(ISNUMBER($I150),$I150,"")))</f>
        <v>251.145833333333</v>
      </c>
      <c r="L150" s="40" t="n">
        <f aca="false">IF(ISNUMBER($K150),$K150*$H150,"")</f>
        <v>47.7177083333333</v>
      </c>
      <c r="M150" s="40" t="n">
        <f aca="false">IF(ISNUMBER($K150),$K150*Parâmetros!$B$8,"")</f>
        <v>25.1145833333333</v>
      </c>
      <c r="N150" s="40" t="n">
        <f aca="false">IF(ISNUMBER($K150),$K150*Parâmetros!$C$8,"")</f>
        <v>7.534375</v>
      </c>
      <c r="O150" s="40" t="n">
        <f aca="false">IF(ISNUMBER($K150),IF(ISNUMBER(Parâmetros!$E$8),Parâmetros!$E$8,0),"")</f>
        <v>0</v>
      </c>
      <c r="P150" s="41" t="n">
        <f aca="false">IF(ISNUMBER($K150),$K150-$D150-IF(ISNUMBER($E150),$E150,0)-$L150-$M150-$N150-$O150,"")</f>
        <v>50.2291666666667</v>
      </c>
      <c r="Q150" s="42" t="n">
        <f aca="false">IF(AND(ISNUMBER($K150),$K150&gt;0),$P150/$K150,"")</f>
        <v>0.2</v>
      </c>
      <c r="R150" s="43"/>
      <c r="S150" s="44" t="str">
        <f aca="false">IF(OR(NOT(ISNUMBER($R150)),$R150=0,NOT(ISNUMBER($K150))),"",$K150*(1-$R150))</f>
        <v/>
      </c>
      <c r="T150" s="45" t="str">
        <f aca="false">IF(ISNUMBER($S150),$S150*$H150,"")</f>
        <v/>
      </c>
      <c r="U150" s="45" t="str">
        <f aca="false">IF(ISNUMBER($S150),$S150*Parâmetros!$B$8,"")</f>
        <v/>
      </c>
      <c r="V150" s="45" t="str">
        <f aca="false">IF(ISNUMBER($S150),$S150*Parâmetros!$C$8,"")</f>
        <v/>
      </c>
      <c r="W150" s="44" t="str">
        <f aca="false">IF(ISNUMBER($S150),$S150-$D150-IF(ISNUMBER($E150),$E150,0)-$O150-$T150-$U150-$V150,"")</f>
        <v/>
      </c>
      <c r="X150" s="46" t="str">
        <f aca="false">IF(AND(ISNUMBER($S150),$S150&gt;0),$W150/$S150,"")</f>
        <v/>
      </c>
      <c r="Y150" s="47"/>
      <c r="Z150" s="19"/>
    </row>
    <row r="151" customFormat="false" ht="15.75" hidden="false" customHeight="true" outlineLevel="0" collapsed="false">
      <c r="A151" s="48" t="str">
        <f aca="false">IF(Produtos!$A151="","",Produtos!$A151)</f>
        <v>L2430-CP</v>
      </c>
      <c r="B151" s="48" t="str">
        <f aca="false">IF(Produtos!$A151="","",Produtos!$B151)</f>
        <v>Lixeira Aço inox Coletor de pilhas e baterias 24x30 15L</v>
      </c>
      <c r="C151" s="48" t="str">
        <f aca="false">IF(Produtos!$A151="","",Produtos!$C151)</f>
        <v>Coletores de pilhas</v>
      </c>
      <c r="D151" s="33" t="n">
        <f aca="false">IF(Produtos!$A151="","",IF(Produtos!$D151="","",Produtos!$D151))</f>
        <v>134.47</v>
      </c>
      <c r="E151" s="11" t="n">
        <v>0</v>
      </c>
      <c r="F151" s="34" t="n">
        <f aca="false">IF($A151="","",IF($C151="","⚠ categoria",IFERROR(INDEX(Parâmetros!$F$13:$F$22,MATCH($C151,Parâmetros!$A$13:$A$22,0)),"⚠ categoria")))</f>
        <v>0.19</v>
      </c>
      <c r="G151" s="35"/>
      <c r="H151" s="36" t="n">
        <f aca="false">IF($A151="","",IF(ISNUMBER($G151),$G151,IF(ISNUMBER($F151),$F151,"")))</f>
        <v>0.19</v>
      </c>
      <c r="I151" s="37" t="n">
        <f aca="false">IF(OR($A151="",NOT(ISNUMBER($D151)),NOT(ISNUMBER($H151))),"",IF((1-$H151-Parâmetros!$B$8-Parâmetros!$C$8-Parâmetros!$D$8)&lt;=0,"INVALIDO",($D151+IF(ISNUMBER($E151),$E151,0)+IF(ISNUMBER(Parâmetros!$E$8),Parâmetros!$E$8,0))/(1-$H151-Parâmetros!$B$8-Parâmetros!$C$8-Parâmetros!$D$8)))</f>
        <v>280.145833333333</v>
      </c>
      <c r="J151" s="38"/>
      <c r="K151" s="39" t="n">
        <f aca="false">IF(OR($A151="",NOT(ISNUMBER($D151)),NOT(ISNUMBER($H151))),"",IF(AND(ISNUMBER($J151),$J151&gt;0),$J151,IF(ISNUMBER($I151),$I151,"")))</f>
        <v>280.145833333333</v>
      </c>
      <c r="L151" s="40" t="n">
        <f aca="false">IF(ISNUMBER($K151),$K151*$H151,"")</f>
        <v>53.2277083333333</v>
      </c>
      <c r="M151" s="40" t="n">
        <f aca="false">IF(ISNUMBER($K151),$K151*Parâmetros!$B$8,"")</f>
        <v>28.0145833333333</v>
      </c>
      <c r="N151" s="40" t="n">
        <f aca="false">IF(ISNUMBER($K151),$K151*Parâmetros!$C$8,"")</f>
        <v>8.404375</v>
      </c>
      <c r="O151" s="40" t="n">
        <f aca="false">IF(ISNUMBER($K151),IF(ISNUMBER(Parâmetros!$E$8),Parâmetros!$E$8,0),"")</f>
        <v>0</v>
      </c>
      <c r="P151" s="41" t="n">
        <f aca="false">IF(ISNUMBER($K151),$K151-$D151-IF(ISNUMBER($E151),$E151,0)-$L151-$M151-$N151-$O151,"")</f>
        <v>56.0291666666666</v>
      </c>
      <c r="Q151" s="42" t="n">
        <f aca="false">IF(AND(ISNUMBER($K151),$K151&gt;0),$P151/$K151,"")</f>
        <v>0.2</v>
      </c>
      <c r="R151" s="43"/>
      <c r="S151" s="44" t="str">
        <f aca="false">IF(OR(NOT(ISNUMBER($R151)),$R151=0,NOT(ISNUMBER($K151))),"",$K151*(1-$R151))</f>
        <v/>
      </c>
      <c r="T151" s="45" t="str">
        <f aca="false">IF(ISNUMBER($S151),$S151*$H151,"")</f>
        <v/>
      </c>
      <c r="U151" s="45" t="str">
        <f aca="false">IF(ISNUMBER($S151),$S151*Parâmetros!$B$8,"")</f>
        <v/>
      </c>
      <c r="V151" s="45" t="str">
        <f aca="false">IF(ISNUMBER($S151),$S151*Parâmetros!$C$8,"")</f>
        <v/>
      </c>
      <c r="W151" s="44" t="str">
        <f aca="false">IF(ISNUMBER($S151),$S151-$D151-IF(ISNUMBER($E151),$E151,0)-$O151-$T151-$U151-$V151,"")</f>
        <v/>
      </c>
      <c r="X151" s="46" t="str">
        <f aca="false">IF(AND(ISNUMBER($S151),$S151&gt;0),$W151/$S151,"")</f>
        <v/>
      </c>
      <c r="Y151" s="49"/>
      <c r="Z151" s="21"/>
    </row>
    <row r="152" customFormat="false" ht="15.75" hidden="false" customHeight="true" outlineLevel="0" collapsed="false">
      <c r="A152" s="32" t="str">
        <f aca="false">IF(Produtos!$A152="","",Produtos!$A152)</f>
        <v>L2440-CP</v>
      </c>
      <c r="B152" s="32" t="str">
        <f aca="false">IF(Produtos!$A152="","",Produtos!$B152)</f>
        <v>Lixeira Aço inox Coletor de pilhas e baterias 24x40 20L</v>
      </c>
      <c r="C152" s="32" t="str">
        <f aca="false">IF(Produtos!$A152="","",Produtos!$C152)</f>
        <v>Coletores de pilhas</v>
      </c>
      <c r="D152" s="33" t="n">
        <f aca="false">IF(Produtos!$A152="","",IF(Produtos!$D152="","",Produtos!$D152))</f>
        <v>143.62</v>
      </c>
      <c r="E152" s="11" t="n">
        <v>0</v>
      </c>
      <c r="F152" s="34" t="n">
        <f aca="false">IF($A152="","",IF($C152="","⚠ categoria",IFERROR(INDEX(Parâmetros!$F$13:$F$22,MATCH($C152,Parâmetros!$A$13:$A$22,0)),"⚠ categoria")))</f>
        <v>0.19</v>
      </c>
      <c r="G152" s="35"/>
      <c r="H152" s="36" t="n">
        <f aca="false">IF($A152="","",IF(ISNUMBER($G152),$G152,IF(ISNUMBER($F152),$F152,"")))</f>
        <v>0.19</v>
      </c>
      <c r="I152" s="37" t="n">
        <f aca="false">IF(OR($A152="",NOT(ISNUMBER($D152)),NOT(ISNUMBER($H152))),"",IF((1-$H152-Parâmetros!$B$8-Parâmetros!$C$8-Parâmetros!$D$8)&lt;=0,"INVALIDO",($D152+IF(ISNUMBER($E152),$E152,0)+IF(ISNUMBER(Parâmetros!$E$8),Parâmetros!$E$8,0))/(1-$H152-Parâmetros!$B$8-Parâmetros!$C$8-Parâmetros!$D$8)))</f>
        <v>299.208333333333</v>
      </c>
      <c r="J152" s="38"/>
      <c r="K152" s="39" t="n">
        <f aca="false">IF(OR($A152="",NOT(ISNUMBER($D152)),NOT(ISNUMBER($H152))),"",IF(AND(ISNUMBER($J152),$J152&gt;0),$J152,IF(ISNUMBER($I152),$I152,"")))</f>
        <v>299.208333333333</v>
      </c>
      <c r="L152" s="40" t="n">
        <f aca="false">IF(ISNUMBER($K152),$K152*$H152,"")</f>
        <v>56.8495833333333</v>
      </c>
      <c r="M152" s="40" t="n">
        <f aca="false">IF(ISNUMBER($K152),$K152*Parâmetros!$B$8,"")</f>
        <v>29.9208333333333</v>
      </c>
      <c r="N152" s="40" t="n">
        <f aca="false">IF(ISNUMBER($K152),$K152*Parâmetros!$C$8,"")</f>
        <v>8.97625</v>
      </c>
      <c r="O152" s="40" t="n">
        <f aca="false">IF(ISNUMBER($K152),IF(ISNUMBER(Parâmetros!$E$8),Parâmetros!$E$8,0),"")</f>
        <v>0</v>
      </c>
      <c r="P152" s="41" t="n">
        <f aca="false">IF(ISNUMBER($K152),$K152-$D152-IF(ISNUMBER($E152),$E152,0)-$L152-$M152-$N152-$O152,"")</f>
        <v>59.8416666666667</v>
      </c>
      <c r="Q152" s="42" t="n">
        <f aca="false">IF(AND(ISNUMBER($K152),$K152&gt;0),$P152/$K152,"")</f>
        <v>0.2</v>
      </c>
      <c r="R152" s="43"/>
      <c r="S152" s="44" t="str">
        <f aca="false">IF(OR(NOT(ISNUMBER($R152)),$R152=0,NOT(ISNUMBER($K152))),"",$K152*(1-$R152))</f>
        <v/>
      </c>
      <c r="T152" s="45" t="str">
        <f aca="false">IF(ISNUMBER($S152),$S152*$H152,"")</f>
        <v/>
      </c>
      <c r="U152" s="45" t="str">
        <f aca="false">IF(ISNUMBER($S152),$S152*Parâmetros!$B$8,"")</f>
        <v/>
      </c>
      <c r="V152" s="45" t="str">
        <f aca="false">IF(ISNUMBER($S152),$S152*Parâmetros!$C$8,"")</f>
        <v/>
      </c>
      <c r="W152" s="44" t="str">
        <f aca="false">IF(ISNUMBER($S152),$S152-$D152-IF(ISNUMBER($E152),$E152,0)-$O152-$T152-$U152-$V152,"")</f>
        <v/>
      </c>
      <c r="X152" s="46" t="str">
        <f aca="false">IF(AND(ISNUMBER($S152),$S152&gt;0),$W152/$S152,"")</f>
        <v/>
      </c>
      <c r="Y152" s="47"/>
      <c r="Z152" s="19"/>
    </row>
    <row r="153" customFormat="false" ht="15.75" hidden="false" customHeight="true" outlineLevel="0" collapsed="false">
      <c r="A153" s="48" t="str">
        <f aca="false">IF(Produtos!$A153="","",Produtos!$A153)</f>
        <v>L2450-CP</v>
      </c>
      <c r="B153" s="48" t="str">
        <f aca="false">IF(Produtos!$A153="","",Produtos!$B153)</f>
        <v>Lixeira Aço inox Coletor de pilhas e baterias 24x50 25L</v>
      </c>
      <c r="C153" s="48" t="str">
        <f aca="false">IF(Produtos!$A153="","",Produtos!$C153)</f>
        <v>Coletores de pilhas</v>
      </c>
      <c r="D153" s="33" t="n">
        <f aca="false">IF(Produtos!$A153="","",IF(Produtos!$D153="","",Produtos!$D153))</f>
        <v>163.9</v>
      </c>
      <c r="E153" s="11" t="n">
        <v>0</v>
      </c>
      <c r="F153" s="34" t="n">
        <f aca="false">IF($A153="","",IF($C153="","⚠ categoria",IFERROR(INDEX(Parâmetros!$F$13:$F$22,MATCH($C153,Parâmetros!$A$13:$A$22,0)),"⚠ categoria")))</f>
        <v>0.19</v>
      </c>
      <c r="G153" s="35"/>
      <c r="H153" s="36" t="n">
        <f aca="false">IF($A153="","",IF(ISNUMBER($G153),$G153,IF(ISNUMBER($F153),$F153,"")))</f>
        <v>0.19</v>
      </c>
      <c r="I153" s="37" t="n">
        <f aca="false">IF(OR($A153="",NOT(ISNUMBER($D153)),NOT(ISNUMBER($H153))),"",IF((1-$H153-Parâmetros!$B$8-Parâmetros!$C$8-Parâmetros!$D$8)&lt;=0,"INVALIDO",($D153+IF(ISNUMBER($E153),$E153,0)+IF(ISNUMBER(Parâmetros!$E$8),Parâmetros!$E$8,0))/(1-$H153-Parâmetros!$B$8-Parâmetros!$C$8-Parâmetros!$D$8)))</f>
        <v>341.458333333333</v>
      </c>
      <c r="J153" s="38"/>
      <c r="K153" s="39" t="n">
        <f aca="false">IF(OR($A153="",NOT(ISNUMBER($D153)),NOT(ISNUMBER($H153))),"",IF(AND(ISNUMBER($J153),$J153&gt;0),$J153,IF(ISNUMBER($I153),$I153,"")))</f>
        <v>341.458333333333</v>
      </c>
      <c r="L153" s="40" t="n">
        <f aca="false">IF(ISNUMBER($K153),$K153*$H153,"")</f>
        <v>64.8770833333333</v>
      </c>
      <c r="M153" s="40" t="n">
        <f aca="false">IF(ISNUMBER($K153),$K153*Parâmetros!$B$8,"")</f>
        <v>34.1458333333333</v>
      </c>
      <c r="N153" s="40" t="n">
        <f aca="false">IF(ISNUMBER($K153),$K153*Parâmetros!$C$8,"")</f>
        <v>10.24375</v>
      </c>
      <c r="O153" s="40" t="n">
        <f aca="false">IF(ISNUMBER($K153),IF(ISNUMBER(Parâmetros!$E$8),Parâmetros!$E$8,0),"")</f>
        <v>0</v>
      </c>
      <c r="P153" s="41" t="n">
        <f aca="false">IF(ISNUMBER($K153),$K153-$D153-IF(ISNUMBER($E153),$E153,0)-$L153-$M153-$N153-$O153,"")</f>
        <v>68.2916666666666</v>
      </c>
      <c r="Q153" s="42" t="n">
        <f aca="false">IF(AND(ISNUMBER($K153),$K153&gt;0),$P153/$K153,"")</f>
        <v>0.2</v>
      </c>
      <c r="R153" s="43"/>
      <c r="S153" s="44" t="str">
        <f aca="false">IF(OR(NOT(ISNUMBER($R153)),$R153=0,NOT(ISNUMBER($K153))),"",$K153*(1-$R153))</f>
        <v/>
      </c>
      <c r="T153" s="45" t="str">
        <f aca="false">IF(ISNUMBER($S153),$S153*$H153,"")</f>
        <v/>
      </c>
      <c r="U153" s="45" t="str">
        <f aca="false">IF(ISNUMBER($S153),$S153*Parâmetros!$B$8,"")</f>
        <v/>
      </c>
      <c r="V153" s="45" t="str">
        <f aca="false">IF(ISNUMBER($S153),$S153*Parâmetros!$C$8,"")</f>
        <v/>
      </c>
      <c r="W153" s="44" t="str">
        <f aca="false">IF(ISNUMBER($S153),$S153-$D153-IF(ISNUMBER($E153),$E153,0)-$O153-$T153-$U153-$V153,"")</f>
        <v/>
      </c>
      <c r="X153" s="46" t="str">
        <f aca="false">IF(AND(ISNUMBER($S153),$S153&gt;0),$W153/$S153,"")</f>
        <v/>
      </c>
      <c r="Y153" s="49"/>
      <c r="Z153" s="21"/>
    </row>
    <row r="154" customFormat="false" ht="15.75" hidden="false" customHeight="true" outlineLevel="0" collapsed="false">
      <c r="A154" s="32" t="str">
        <f aca="false">IF(Produtos!$A154="","",Produtos!$A154)</f>
        <v>L2460-CP</v>
      </c>
      <c r="B154" s="32" t="str">
        <f aca="false">IF(Produtos!$A154="","",Produtos!$B154)</f>
        <v>Lixeira Aço inox Coletor de pilhas e baterias 24x60 27L</v>
      </c>
      <c r="C154" s="32" t="str">
        <f aca="false">IF(Produtos!$A154="","",Produtos!$C154)</f>
        <v>Coletores de pilhas</v>
      </c>
      <c r="D154" s="33" t="n">
        <f aca="false">IF(Produtos!$A154="","",IF(Produtos!$D154="","",Produtos!$D154))</f>
        <v>172.67</v>
      </c>
      <c r="E154" s="11" t="n">
        <v>0</v>
      </c>
      <c r="F154" s="34" t="n">
        <f aca="false">IF($A154="","",IF($C154="","⚠ categoria",IFERROR(INDEX(Parâmetros!$F$13:$F$22,MATCH($C154,Parâmetros!$A$13:$A$22,0)),"⚠ categoria")))</f>
        <v>0.19</v>
      </c>
      <c r="G154" s="35"/>
      <c r="H154" s="36" t="n">
        <f aca="false">IF($A154="","",IF(ISNUMBER($G154),$G154,IF(ISNUMBER($F154),$F154,"")))</f>
        <v>0.19</v>
      </c>
      <c r="I154" s="37" t="n">
        <f aca="false">IF(OR($A154="",NOT(ISNUMBER($D154)),NOT(ISNUMBER($H154))),"",IF((1-$H154-Parâmetros!$B$8-Parâmetros!$C$8-Parâmetros!$D$8)&lt;=0,"INVALIDO",($D154+IF(ISNUMBER($E154),$E154,0)+IF(ISNUMBER(Parâmetros!$E$8),Parâmetros!$E$8,0))/(1-$H154-Parâmetros!$B$8-Parâmetros!$C$8-Parâmetros!$D$8)))</f>
        <v>359.729166666667</v>
      </c>
      <c r="J154" s="38"/>
      <c r="K154" s="39" t="n">
        <f aca="false">IF(OR($A154="",NOT(ISNUMBER($D154)),NOT(ISNUMBER($H154))),"",IF(AND(ISNUMBER($J154),$J154&gt;0),$J154,IF(ISNUMBER($I154),$I154,"")))</f>
        <v>359.729166666667</v>
      </c>
      <c r="L154" s="40" t="n">
        <f aca="false">IF(ISNUMBER($K154),$K154*$H154,"")</f>
        <v>68.3485416666667</v>
      </c>
      <c r="M154" s="40" t="n">
        <f aca="false">IF(ISNUMBER($K154),$K154*Parâmetros!$B$8,"")</f>
        <v>35.9729166666667</v>
      </c>
      <c r="N154" s="40" t="n">
        <f aca="false">IF(ISNUMBER($K154),$K154*Parâmetros!$C$8,"")</f>
        <v>10.791875</v>
      </c>
      <c r="O154" s="40" t="n">
        <f aca="false">IF(ISNUMBER($K154),IF(ISNUMBER(Parâmetros!$E$8),Parâmetros!$E$8,0),"")</f>
        <v>0</v>
      </c>
      <c r="P154" s="41" t="n">
        <f aca="false">IF(ISNUMBER($K154),$K154-$D154-IF(ISNUMBER($E154),$E154,0)-$L154-$M154-$N154-$O154,"")</f>
        <v>71.9458333333333</v>
      </c>
      <c r="Q154" s="42" t="n">
        <f aca="false">IF(AND(ISNUMBER($K154),$K154&gt;0),$P154/$K154,"")</f>
        <v>0.2</v>
      </c>
      <c r="R154" s="43"/>
      <c r="S154" s="44" t="str">
        <f aca="false">IF(OR(NOT(ISNUMBER($R154)),$R154=0,NOT(ISNUMBER($K154))),"",$K154*(1-$R154))</f>
        <v/>
      </c>
      <c r="T154" s="45" t="str">
        <f aca="false">IF(ISNUMBER($S154),$S154*$H154,"")</f>
        <v/>
      </c>
      <c r="U154" s="45" t="str">
        <f aca="false">IF(ISNUMBER($S154),$S154*Parâmetros!$B$8,"")</f>
        <v/>
      </c>
      <c r="V154" s="45" t="str">
        <f aca="false">IF(ISNUMBER($S154),$S154*Parâmetros!$C$8,"")</f>
        <v/>
      </c>
      <c r="W154" s="44" t="str">
        <f aca="false">IF(ISNUMBER($S154),$S154-$D154-IF(ISNUMBER($E154),$E154,0)-$O154-$T154-$U154-$V154,"")</f>
        <v/>
      </c>
      <c r="X154" s="46" t="str">
        <f aca="false">IF(AND(ISNUMBER($S154),$S154&gt;0),$W154/$S154,"")</f>
        <v/>
      </c>
      <c r="Y154" s="47"/>
      <c r="Z154" s="19"/>
    </row>
    <row r="155" customFormat="false" ht="15.75" hidden="false" customHeight="true" outlineLevel="0" collapsed="false">
      <c r="A155" s="48" t="str">
        <f aca="false">IF(Produtos!$A155="","",Produtos!$A155)</f>
        <v>L3040-CP</v>
      </c>
      <c r="B155" s="48" t="str">
        <f aca="false">IF(Produtos!$A155="","",Produtos!$B155)</f>
        <v>Lixeira Aço inox Coletor de pilhas e baterias 30x40 30L</v>
      </c>
      <c r="C155" s="48" t="str">
        <f aca="false">IF(Produtos!$A155="","",Produtos!$C155)</f>
        <v>Coletores de pilhas</v>
      </c>
      <c r="D155" s="33" t="n">
        <f aca="false">IF(Produtos!$A155="","",IF(Produtos!$D155="","",Produtos!$D155))</f>
        <v>157.35</v>
      </c>
      <c r="E155" s="11" t="n">
        <v>0</v>
      </c>
      <c r="F155" s="34" t="n">
        <f aca="false">IF($A155="","",IF($C155="","⚠ categoria",IFERROR(INDEX(Parâmetros!$F$13:$F$22,MATCH($C155,Parâmetros!$A$13:$A$22,0)),"⚠ categoria")))</f>
        <v>0.19</v>
      </c>
      <c r="G155" s="35"/>
      <c r="H155" s="36" t="n">
        <f aca="false">IF($A155="","",IF(ISNUMBER($G155),$G155,IF(ISNUMBER($F155),$F155,"")))</f>
        <v>0.19</v>
      </c>
      <c r="I155" s="37" t="n">
        <f aca="false">IF(OR($A155="",NOT(ISNUMBER($D155)),NOT(ISNUMBER($H155))),"",IF((1-$H155-Parâmetros!$B$8-Parâmetros!$C$8-Parâmetros!$D$8)&lt;=0,"INVALIDO",($D155+IF(ISNUMBER($E155),$E155,0)+IF(ISNUMBER(Parâmetros!$E$8),Parâmetros!$E$8,0))/(1-$H155-Parâmetros!$B$8-Parâmetros!$C$8-Parâmetros!$D$8)))</f>
        <v>327.8125</v>
      </c>
      <c r="J155" s="38"/>
      <c r="K155" s="39" t="n">
        <f aca="false">IF(OR($A155="",NOT(ISNUMBER($D155)),NOT(ISNUMBER($H155))),"",IF(AND(ISNUMBER($J155),$J155&gt;0),$J155,IF(ISNUMBER($I155),$I155,"")))</f>
        <v>327.8125</v>
      </c>
      <c r="L155" s="40" t="n">
        <f aca="false">IF(ISNUMBER($K155),$K155*$H155,"")</f>
        <v>62.284375</v>
      </c>
      <c r="M155" s="40" t="n">
        <f aca="false">IF(ISNUMBER($K155),$K155*Parâmetros!$B$8,"")</f>
        <v>32.78125</v>
      </c>
      <c r="N155" s="40" t="n">
        <f aca="false">IF(ISNUMBER($K155),$K155*Parâmetros!$C$8,"")</f>
        <v>9.834375</v>
      </c>
      <c r="O155" s="40" t="n">
        <f aca="false">IF(ISNUMBER($K155),IF(ISNUMBER(Parâmetros!$E$8),Parâmetros!$E$8,0),"")</f>
        <v>0</v>
      </c>
      <c r="P155" s="41" t="n">
        <f aca="false">IF(ISNUMBER($K155),$K155-$D155-IF(ISNUMBER($E155),$E155,0)-$L155-$M155-$N155-$O155,"")</f>
        <v>65.5625</v>
      </c>
      <c r="Q155" s="42" t="n">
        <f aca="false">IF(AND(ISNUMBER($K155),$K155&gt;0),$P155/$K155,"")</f>
        <v>0.2</v>
      </c>
      <c r="R155" s="43"/>
      <c r="S155" s="44" t="str">
        <f aca="false">IF(OR(NOT(ISNUMBER($R155)),$R155=0,NOT(ISNUMBER($K155))),"",$K155*(1-$R155))</f>
        <v/>
      </c>
      <c r="T155" s="45" t="str">
        <f aca="false">IF(ISNUMBER($S155),$S155*$H155,"")</f>
        <v/>
      </c>
      <c r="U155" s="45" t="str">
        <f aca="false">IF(ISNUMBER($S155),$S155*Parâmetros!$B$8,"")</f>
        <v/>
      </c>
      <c r="V155" s="45" t="str">
        <f aca="false">IF(ISNUMBER($S155),$S155*Parâmetros!$C$8,"")</f>
        <v/>
      </c>
      <c r="W155" s="44" t="str">
        <f aca="false">IF(ISNUMBER($S155),$S155-$D155-IF(ISNUMBER($E155),$E155,0)-$O155-$T155-$U155-$V155,"")</f>
        <v/>
      </c>
      <c r="X155" s="46" t="str">
        <f aca="false">IF(AND(ISNUMBER($S155),$S155&gt;0),$W155/$S155,"")</f>
        <v/>
      </c>
      <c r="Y155" s="49"/>
      <c r="Z155" s="21"/>
    </row>
    <row r="156" customFormat="false" ht="15.75" hidden="false" customHeight="true" outlineLevel="0" collapsed="false">
      <c r="A156" s="32" t="str">
        <f aca="false">IF(Produtos!$A156="","",Produtos!$A156)</f>
        <v>L3050-CP</v>
      </c>
      <c r="B156" s="32" t="str">
        <f aca="false">IF(Produtos!$A156="","",Produtos!$B156)</f>
        <v>Lixeira Aço inox Coletor de pilhas e baterias 30x50 35L</v>
      </c>
      <c r="C156" s="32" t="str">
        <f aca="false">IF(Produtos!$A156="","",Produtos!$C156)</f>
        <v>Coletores de pilhas</v>
      </c>
      <c r="D156" s="33" t="n">
        <f aca="false">IF(Produtos!$A156="","",IF(Produtos!$D156="","",Produtos!$D156))</f>
        <v>203.19</v>
      </c>
      <c r="E156" s="11" t="n">
        <v>0</v>
      </c>
      <c r="F156" s="34" t="n">
        <f aca="false">IF($A156="","",IF($C156="","⚠ categoria",IFERROR(INDEX(Parâmetros!$F$13:$F$22,MATCH($C156,Parâmetros!$A$13:$A$22,0)),"⚠ categoria")))</f>
        <v>0.19</v>
      </c>
      <c r="G156" s="35"/>
      <c r="H156" s="36" t="n">
        <f aca="false">IF($A156="","",IF(ISNUMBER($G156),$G156,IF(ISNUMBER($F156),$F156,"")))</f>
        <v>0.19</v>
      </c>
      <c r="I156" s="37" t="n">
        <f aca="false">IF(OR($A156="",NOT(ISNUMBER($D156)),NOT(ISNUMBER($H156))),"",IF((1-$H156-Parâmetros!$B$8-Parâmetros!$C$8-Parâmetros!$D$8)&lt;=0,"INVALIDO",($D156+IF(ISNUMBER($E156),$E156,0)+IF(ISNUMBER(Parâmetros!$E$8),Parâmetros!$E$8,0))/(1-$H156-Parâmetros!$B$8-Parâmetros!$C$8-Parâmetros!$D$8)))</f>
        <v>423.3125</v>
      </c>
      <c r="J156" s="38"/>
      <c r="K156" s="39" t="n">
        <f aca="false">IF(OR($A156="",NOT(ISNUMBER($D156)),NOT(ISNUMBER($H156))),"",IF(AND(ISNUMBER($J156),$J156&gt;0),$J156,IF(ISNUMBER($I156),$I156,"")))</f>
        <v>423.3125</v>
      </c>
      <c r="L156" s="40" t="n">
        <f aca="false">IF(ISNUMBER($K156),$K156*$H156,"")</f>
        <v>80.429375</v>
      </c>
      <c r="M156" s="40" t="n">
        <f aca="false">IF(ISNUMBER($K156),$K156*Parâmetros!$B$8,"")</f>
        <v>42.33125</v>
      </c>
      <c r="N156" s="40" t="n">
        <f aca="false">IF(ISNUMBER($K156),$K156*Parâmetros!$C$8,"")</f>
        <v>12.699375</v>
      </c>
      <c r="O156" s="40" t="n">
        <f aca="false">IF(ISNUMBER($K156),IF(ISNUMBER(Parâmetros!$E$8),Parâmetros!$E$8,0),"")</f>
        <v>0</v>
      </c>
      <c r="P156" s="41" t="n">
        <f aca="false">IF(ISNUMBER($K156),$K156-$D156-IF(ISNUMBER($E156),$E156,0)-$L156-$M156-$N156-$O156,"")</f>
        <v>84.6625</v>
      </c>
      <c r="Q156" s="42" t="n">
        <f aca="false">IF(AND(ISNUMBER($K156),$K156&gt;0),$P156/$K156,"")</f>
        <v>0.2</v>
      </c>
      <c r="R156" s="43"/>
      <c r="S156" s="44" t="str">
        <f aca="false">IF(OR(NOT(ISNUMBER($R156)),$R156=0,NOT(ISNUMBER($K156))),"",$K156*(1-$R156))</f>
        <v/>
      </c>
      <c r="T156" s="45" t="str">
        <f aca="false">IF(ISNUMBER($S156),$S156*$H156,"")</f>
        <v/>
      </c>
      <c r="U156" s="45" t="str">
        <f aca="false">IF(ISNUMBER($S156),$S156*Parâmetros!$B$8,"")</f>
        <v/>
      </c>
      <c r="V156" s="45" t="str">
        <f aca="false">IF(ISNUMBER($S156),$S156*Parâmetros!$C$8,"")</f>
        <v/>
      </c>
      <c r="W156" s="44" t="str">
        <f aca="false">IF(ISNUMBER($S156),$S156-$D156-IF(ISNUMBER($E156),$E156,0)-$O156-$T156-$U156-$V156,"")</f>
        <v/>
      </c>
      <c r="X156" s="46" t="str">
        <f aca="false">IF(AND(ISNUMBER($S156),$S156&gt;0),$W156/$S156,"")</f>
        <v/>
      </c>
      <c r="Y156" s="47"/>
      <c r="Z156" s="19"/>
    </row>
    <row r="157" customFormat="false" ht="15.75" hidden="false" customHeight="true" outlineLevel="0" collapsed="false">
      <c r="A157" s="48" t="str">
        <f aca="false">IF(Produtos!$A157="","",Produtos!$A157)</f>
        <v>L3060-CP</v>
      </c>
      <c r="B157" s="48" t="str">
        <f aca="false">IF(Produtos!$A157="","",Produtos!$B157)</f>
        <v>Lixeira Aço inox Coletor de pilhas e baterias 30x60 40L</v>
      </c>
      <c r="C157" s="48" t="str">
        <f aca="false">IF(Produtos!$A157="","",Produtos!$C157)</f>
        <v>Coletores de pilhas</v>
      </c>
      <c r="D157" s="33" t="n">
        <f aca="false">IF(Produtos!$A157="","",IF(Produtos!$D157="","",Produtos!$D157))</f>
        <v>205.65</v>
      </c>
      <c r="E157" s="11" t="n">
        <v>0</v>
      </c>
      <c r="F157" s="34" t="n">
        <f aca="false">IF($A157="","",IF($C157="","⚠ categoria",IFERROR(INDEX(Parâmetros!$F$13:$F$22,MATCH($C157,Parâmetros!$A$13:$A$22,0)),"⚠ categoria")))</f>
        <v>0.19</v>
      </c>
      <c r="G157" s="35"/>
      <c r="H157" s="36" t="n">
        <f aca="false">IF($A157="","",IF(ISNUMBER($G157),$G157,IF(ISNUMBER($F157),$F157,"")))</f>
        <v>0.19</v>
      </c>
      <c r="I157" s="37" t="n">
        <f aca="false">IF(OR($A157="",NOT(ISNUMBER($D157)),NOT(ISNUMBER($H157))),"",IF((1-$H157-Parâmetros!$B$8-Parâmetros!$C$8-Parâmetros!$D$8)&lt;=0,"INVALIDO",($D157+IF(ISNUMBER($E157),$E157,0)+IF(ISNUMBER(Parâmetros!$E$8),Parâmetros!$E$8,0))/(1-$H157-Parâmetros!$B$8-Parâmetros!$C$8-Parâmetros!$D$8)))</f>
        <v>428.4375</v>
      </c>
      <c r="J157" s="38"/>
      <c r="K157" s="39" t="n">
        <f aca="false">IF(OR($A157="",NOT(ISNUMBER($D157)),NOT(ISNUMBER($H157))),"",IF(AND(ISNUMBER($J157),$J157&gt;0),$J157,IF(ISNUMBER($I157),$I157,"")))</f>
        <v>428.4375</v>
      </c>
      <c r="L157" s="40" t="n">
        <f aca="false">IF(ISNUMBER($K157),$K157*$H157,"")</f>
        <v>81.403125</v>
      </c>
      <c r="M157" s="40" t="n">
        <f aca="false">IF(ISNUMBER($K157),$K157*Parâmetros!$B$8,"")</f>
        <v>42.84375</v>
      </c>
      <c r="N157" s="40" t="n">
        <f aca="false">IF(ISNUMBER($K157),$K157*Parâmetros!$C$8,"")</f>
        <v>12.853125</v>
      </c>
      <c r="O157" s="40" t="n">
        <f aca="false">IF(ISNUMBER($K157),IF(ISNUMBER(Parâmetros!$E$8),Parâmetros!$E$8,0),"")</f>
        <v>0</v>
      </c>
      <c r="P157" s="41" t="n">
        <f aca="false">IF(ISNUMBER($K157),$K157-$D157-IF(ISNUMBER($E157),$E157,0)-$L157-$M157-$N157-$O157,"")</f>
        <v>85.6875</v>
      </c>
      <c r="Q157" s="42" t="n">
        <f aca="false">IF(AND(ISNUMBER($K157),$K157&gt;0),$P157/$K157,"")</f>
        <v>0.2</v>
      </c>
      <c r="R157" s="43"/>
      <c r="S157" s="44" t="str">
        <f aca="false">IF(OR(NOT(ISNUMBER($R157)),$R157=0,NOT(ISNUMBER($K157))),"",$K157*(1-$R157))</f>
        <v/>
      </c>
      <c r="T157" s="45" t="str">
        <f aca="false">IF(ISNUMBER($S157),$S157*$H157,"")</f>
        <v/>
      </c>
      <c r="U157" s="45" t="str">
        <f aca="false">IF(ISNUMBER($S157),$S157*Parâmetros!$B$8,"")</f>
        <v/>
      </c>
      <c r="V157" s="45" t="str">
        <f aca="false">IF(ISNUMBER($S157),$S157*Parâmetros!$C$8,"")</f>
        <v/>
      </c>
      <c r="W157" s="44" t="str">
        <f aca="false">IF(ISNUMBER($S157),$S157-$D157-IF(ISNUMBER($E157),$E157,0)-$O157-$T157-$U157-$V157,"")</f>
        <v/>
      </c>
      <c r="X157" s="46" t="str">
        <f aca="false">IF(AND(ISNUMBER($S157),$S157&gt;0),$W157/$S157,"")</f>
        <v/>
      </c>
      <c r="Y157" s="49"/>
      <c r="Z157" s="21"/>
    </row>
    <row r="158" customFormat="false" ht="15.75" hidden="false" customHeight="true" outlineLevel="0" collapsed="false">
      <c r="A158" s="32" t="str">
        <f aca="false">IF(Produtos!$A158="","",Produtos!$A158)</f>
        <v>L3070-CP</v>
      </c>
      <c r="B158" s="32" t="str">
        <f aca="false">IF(Produtos!$A158="","",Produtos!$B158)</f>
        <v>Lixeira Aço inox Coletor de pilhas e baterias 30x70 50L</v>
      </c>
      <c r="C158" s="32" t="str">
        <f aca="false">IF(Produtos!$A158="","",Produtos!$C158)</f>
        <v>Coletores de pilhas</v>
      </c>
      <c r="D158" s="33" t="n">
        <f aca="false">IF(Produtos!$A158="","",IF(Produtos!$D158="","",Produtos!$D158))</f>
        <v>267.58</v>
      </c>
      <c r="E158" s="11" t="n">
        <v>0</v>
      </c>
      <c r="F158" s="34" t="n">
        <f aca="false">IF($A158="","",IF($C158="","⚠ categoria",IFERROR(INDEX(Parâmetros!$F$13:$F$22,MATCH($C158,Parâmetros!$A$13:$A$22,0)),"⚠ categoria")))</f>
        <v>0.19</v>
      </c>
      <c r="G158" s="35"/>
      <c r="H158" s="36" t="n">
        <f aca="false">IF($A158="","",IF(ISNUMBER($G158),$G158,IF(ISNUMBER($F158),$F158,"")))</f>
        <v>0.19</v>
      </c>
      <c r="I158" s="37" t="n">
        <f aca="false">IF(OR($A158="",NOT(ISNUMBER($D158)),NOT(ISNUMBER($H158))),"",IF((1-$H158-Parâmetros!$B$8-Parâmetros!$C$8-Parâmetros!$D$8)&lt;=0,"INVALIDO",($D158+IF(ISNUMBER($E158),$E158,0)+IF(ISNUMBER(Parâmetros!$E$8),Parâmetros!$E$8,0))/(1-$H158-Parâmetros!$B$8-Parâmetros!$C$8-Parâmetros!$D$8)))</f>
        <v>557.458333333333</v>
      </c>
      <c r="J158" s="38"/>
      <c r="K158" s="39" t="n">
        <f aca="false">IF(OR($A158="",NOT(ISNUMBER($D158)),NOT(ISNUMBER($H158))),"",IF(AND(ISNUMBER($J158),$J158&gt;0),$J158,IF(ISNUMBER($I158),$I158,"")))</f>
        <v>557.458333333333</v>
      </c>
      <c r="L158" s="40" t="n">
        <f aca="false">IF(ISNUMBER($K158),$K158*$H158,"")</f>
        <v>105.917083333333</v>
      </c>
      <c r="M158" s="40" t="n">
        <f aca="false">IF(ISNUMBER($K158),$K158*Parâmetros!$B$8,"")</f>
        <v>55.7458333333333</v>
      </c>
      <c r="N158" s="40" t="n">
        <f aca="false">IF(ISNUMBER($K158),$K158*Parâmetros!$C$8,"")</f>
        <v>16.72375</v>
      </c>
      <c r="O158" s="40" t="n">
        <f aca="false">IF(ISNUMBER($K158),IF(ISNUMBER(Parâmetros!$E$8),Parâmetros!$E$8,0),"")</f>
        <v>0</v>
      </c>
      <c r="P158" s="41" t="n">
        <f aca="false">IF(ISNUMBER($K158),$K158-$D158-IF(ISNUMBER($E158),$E158,0)-$L158-$M158-$N158-$O158,"")</f>
        <v>111.491666666667</v>
      </c>
      <c r="Q158" s="42" t="n">
        <f aca="false">IF(AND(ISNUMBER($K158),$K158&gt;0),$P158/$K158,"")</f>
        <v>0.2</v>
      </c>
      <c r="R158" s="43"/>
      <c r="S158" s="44" t="str">
        <f aca="false">IF(OR(NOT(ISNUMBER($R158)),$R158=0,NOT(ISNUMBER($K158))),"",$K158*(1-$R158))</f>
        <v/>
      </c>
      <c r="T158" s="45" t="str">
        <f aca="false">IF(ISNUMBER($S158),$S158*$H158,"")</f>
        <v/>
      </c>
      <c r="U158" s="45" t="str">
        <f aca="false">IF(ISNUMBER($S158),$S158*Parâmetros!$B$8,"")</f>
        <v/>
      </c>
      <c r="V158" s="45" t="str">
        <f aca="false">IF(ISNUMBER($S158),$S158*Parâmetros!$C$8,"")</f>
        <v/>
      </c>
      <c r="W158" s="44" t="str">
        <f aca="false">IF(ISNUMBER($S158),$S158-$D158-IF(ISNUMBER($E158),$E158,0)-$O158-$T158-$U158-$V158,"")</f>
        <v/>
      </c>
      <c r="X158" s="46" t="str">
        <f aca="false">IF(AND(ISNUMBER($S158),$S158&gt;0),$W158/$S158,"")</f>
        <v/>
      </c>
      <c r="Y158" s="47"/>
      <c r="Z158" s="19"/>
    </row>
    <row r="159" customFormat="false" ht="15.75" hidden="false" customHeight="true" outlineLevel="0" collapsed="false">
      <c r="A159" s="48" t="str">
        <f aca="false">IF(Produtos!$A159="","",Produtos!$A159)</f>
        <v>EGC</v>
      </c>
      <c r="B159" s="48" t="str">
        <f aca="false">IF(Produtos!$A159="","",Produtos!$B159)</f>
        <v>Ensacador Guarda-chuvas c/150 saquinhos</v>
      </c>
      <c r="C159" s="48" t="str">
        <f aca="false">IF(Produtos!$A159="","",Produtos!$C159)</f>
        <v>Ensacadores</v>
      </c>
      <c r="D159" s="33" t="n">
        <f aca="false">IF(Produtos!$A159="","",IF(Produtos!$D159="","",Produtos!$D159))</f>
        <v>365.7</v>
      </c>
      <c r="E159" s="11" t="n">
        <v>0</v>
      </c>
      <c r="F159" s="34" t="n">
        <f aca="false">IF($A159="","",IF($C159="","⚠ categoria",IFERROR(INDEX(Parâmetros!$F$13:$F$22,MATCH($C159,Parâmetros!$A$13:$A$22,0)),"⚠ categoria")))</f>
        <v>0.19</v>
      </c>
      <c r="G159" s="35"/>
      <c r="H159" s="36" t="n">
        <f aca="false">IF($A159="","",IF(ISNUMBER($G159),$G159,IF(ISNUMBER($F159),$F159,"")))</f>
        <v>0.19</v>
      </c>
      <c r="I159" s="37" t="n">
        <f aca="false">IF(OR($A159="",NOT(ISNUMBER($D159)),NOT(ISNUMBER($H159))),"",IF((1-$H159-Parâmetros!$B$8-Parâmetros!$C$8-Parâmetros!$D$8)&lt;=0,"INVALIDO",($D159+IF(ISNUMBER($E159),$E159,0)+IF(ISNUMBER(Parâmetros!$E$8),Parâmetros!$E$8,0))/(1-$H159-Parâmetros!$B$8-Parâmetros!$C$8-Parâmetros!$D$8)))</f>
        <v>761.875</v>
      </c>
      <c r="J159" s="38"/>
      <c r="K159" s="39" t="n">
        <f aca="false">IF(OR($A159="",NOT(ISNUMBER($D159)),NOT(ISNUMBER($H159))),"",IF(AND(ISNUMBER($J159),$J159&gt;0),$J159,IF(ISNUMBER($I159),$I159,"")))</f>
        <v>761.875</v>
      </c>
      <c r="L159" s="40" t="n">
        <f aca="false">IF(ISNUMBER($K159),$K159*$H159,"")</f>
        <v>144.75625</v>
      </c>
      <c r="M159" s="40" t="n">
        <f aca="false">IF(ISNUMBER($K159),$K159*Parâmetros!$B$8,"")</f>
        <v>76.1875</v>
      </c>
      <c r="N159" s="40" t="n">
        <f aca="false">IF(ISNUMBER($K159),$K159*Parâmetros!$C$8,"")</f>
        <v>22.85625</v>
      </c>
      <c r="O159" s="40" t="n">
        <f aca="false">IF(ISNUMBER($K159),IF(ISNUMBER(Parâmetros!$E$8),Parâmetros!$E$8,0),"")</f>
        <v>0</v>
      </c>
      <c r="P159" s="41" t="n">
        <f aca="false">IF(ISNUMBER($K159),$K159-$D159-IF(ISNUMBER($E159),$E159,0)-$L159-$M159-$N159-$O159,"")</f>
        <v>152.375</v>
      </c>
      <c r="Q159" s="42" t="n">
        <f aca="false">IF(AND(ISNUMBER($K159),$K159&gt;0),$P159/$K159,"")</f>
        <v>0.2</v>
      </c>
      <c r="R159" s="43"/>
      <c r="S159" s="44" t="str">
        <f aca="false">IF(OR(NOT(ISNUMBER($R159)),$R159=0,NOT(ISNUMBER($K159))),"",$K159*(1-$R159))</f>
        <v/>
      </c>
      <c r="T159" s="45" t="str">
        <f aca="false">IF(ISNUMBER($S159),$S159*$H159,"")</f>
        <v/>
      </c>
      <c r="U159" s="45" t="str">
        <f aca="false">IF(ISNUMBER($S159),$S159*Parâmetros!$B$8,"")</f>
        <v/>
      </c>
      <c r="V159" s="45" t="str">
        <f aca="false">IF(ISNUMBER($S159),$S159*Parâmetros!$C$8,"")</f>
        <v/>
      </c>
      <c r="W159" s="44" t="str">
        <f aca="false">IF(ISNUMBER($S159),$S159-$D159-IF(ISNUMBER($E159),$E159,0)-$O159-$T159-$U159-$V159,"")</f>
        <v/>
      </c>
      <c r="X159" s="46" t="str">
        <f aca="false">IF(AND(ISNUMBER($S159),$S159&gt;0),$W159/$S159,"")</f>
        <v/>
      </c>
      <c r="Y159" s="49"/>
      <c r="Z159" s="21"/>
    </row>
    <row r="160" customFormat="false" ht="15.75" hidden="false" customHeight="true" outlineLevel="0" collapsed="false">
      <c r="A160" s="32" t="str">
        <f aca="false">IF(Produtos!$A160="","",Produtos!$A160)</f>
        <v>REGC</v>
      </c>
      <c r="B160" s="32" t="str">
        <f aca="false">IF(Produtos!$A160="","",Produtos!$B160)</f>
        <v>Refil Ensacador c/1000 saquinhos</v>
      </c>
      <c r="C160" s="32" t="str">
        <f aca="false">IF(Produtos!$A160="","",Produtos!$C160)</f>
        <v>Ensacadores</v>
      </c>
      <c r="D160" s="33" t="n">
        <f aca="false">IF(Produtos!$A160="","",IF(Produtos!$D160="","",Produtos!$D160))</f>
        <v>271.36</v>
      </c>
      <c r="E160" s="11" t="n">
        <v>0</v>
      </c>
      <c r="F160" s="34" t="n">
        <f aca="false">IF($A160="","",IF($C160="","⚠ categoria",IFERROR(INDEX(Parâmetros!$F$13:$F$22,MATCH($C160,Parâmetros!$A$13:$A$22,0)),"⚠ categoria")))</f>
        <v>0.19</v>
      </c>
      <c r="G160" s="35"/>
      <c r="H160" s="36" t="n">
        <f aca="false">IF($A160="","",IF(ISNUMBER($G160),$G160,IF(ISNUMBER($F160),$F160,"")))</f>
        <v>0.19</v>
      </c>
      <c r="I160" s="37" t="n">
        <f aca="false">IF(OR($A160="",NOT(ISNUMBER($D160)),NOT(ISNUMBER($H160))),"",IF((1-$H160-Parâmetros!$B$8-Parâmetros!$C$8-Parâmetros!$D$8)&lt;=0,"INVALIDO",($D160+IF(ISNUMBER($E160),$E160,0)+IF(ISNUMBER(Parâmetros!$E$8),Parâmetros!$E$8,0))/(1-$H160-Parâmetros!$B$8-Parâmetros!$C$8-Parâmetros!$D$8)))</f>
        <v>565.333333333333</v>
      </c>
      <c r="J160" s="38"/>
      <c r="K160" s="39" t="n">
        <f aca="false">IF(OR($A160="",NOT(ISNUMBER($D160)),NOT(ISNUMBER($H160))),"",IF(AND(ISNUMBER($J160),$J160&gt;0),$J160,IF(ISNUMBER($I160),$I160,"")))</f>
        <v>565.333333333333</v>
      </c>
      <c r="L160" s="40" t="n">
        <f aca="false">IF(ISNUMBER($K160),$K160*$H160,"")</f>
        <v>107.413333333333</v>
      </c>
      <c r="M160" s="40" t="n">
        <f aca="false">IF(ISNUMBER($K160),$K160*Parâmetros!$B$8,"")</f>
        <v>56.5333333333333</v>
      </c>
      <c r="N160" s="40" t="n">
        <f aca="false">IF(ISNUMBER($K160),$K160*Parâmetros!$C$8,"")</f>
        <v>16.96</v>
      </c>
      <c r="O160" s="40" t="n">
        <f aca="false">IF(ISNUMBER($K160),IF(ISNUMBER(Parâmetros!$E$8),Parâmetros!$E$8,0),"")</f>
        <v>0</v>
      </c>
      <c r="P160" s="41" t="n">
        <f aca="false">IF(ISNUMBER($K160),$K160-$D160-IF(ISNUMBER($E160),$E160,0)-$L160-$M160-$N160-$O160,"")</f>
        <v>113.066666666667</v>
      </c>
      <c r="Q160" s="42" t="n">
        <f aca="false">IF(AND(ISNUMBER($K160),$K160&gt;0),$P160/$K160,"")</f>
        <v>0.2</v>
      </c>
      <c r="R160" s="43"/>
      <c r="S160" s="44" t="str">
        <f aca="false">IF(OR(NOT(ISNUMBER($R160)),$R160=0,NOT(ISNUMBER($K160))),"",$K160*(1-$R160))</f>
        <v/>
      </c>
      <c r="T160" s="45" t="str">
        <f aca="false">IF(ISNUMBER($S160),$S160*$H160,"")</f>
        <v/>
      </c>
      <c r="U160" s="45" t="str">
        <f aca="false">IF(ISNUMBER($S160),$S160*Parâmetros!$B$8,"")</f>
        <v/>
      </c>
      <c r="V160" s="45" t="str">
        <f aca="false">IF(ISNUMBER($S160),$S160*Parâmetros!$C$8,"")</f>
        <v/>
      </c>
      <c r="W160" s="44" t="str">
        <f aca="false">IF(ISNUMBER($S160),$S160-$D160-IF(ISNUMBER($E160),$E160,0)-$O160-$T160-$U160-$V160,"")</f>
        <v/>
      </c>
      <c r="X160" s="46" t="str">
        <f aca="false">IF(AND(ISNUMBER($S160),$S160&gt;0),$W160/$S160,"")</f>
        <v/>
      </c>
      <c r="Y160" s="47"/>
      <c r="Z160" s="19"/>
    </row>
    <row r="161" customFormat="false" ht="15.75" hidden="false" customHeight="true" outlineLevel="0" collapsed="false">
      <c r="A161" s="48" t="str">
        <f aca="false">IF(Produtos!$A161="","",Produtos!$A161)</f>
        <v>PG2450</v>
      </c>
      <c r="B161" s="48" t="str">
        <f aca="false">IF(Produtos!$A161="","",Produtos!$B161)</f>
        <v>Porta Guarda-chuvas 24x50</v>
      </c>
      <c r="C161" s="48" t="str">
        <f aca="false">IF(Produtos!$A161="","",Produtos!$C161)</f>
        <v>Porta-guarda-chuvas</v>
      </c>
      <c r="D161" s="33" t="n">
        <f aca="false">IF(Produtos!$A161="","",IF(Produtos!$D161="","",Produtos!$D161))</f>
        <v>122.9</v>
      </c>
      <c r="E161" s="11" t="n">
        <v>0</v>
      </c>
      <c r="F161" s="34" t="n">
        <f aca="false">IF($A161="","",IF($C161="","⚠ categoria",IFERROR(INDEX(Parâmetros!$F$13:$F$22,MATCH($C161,Parâmetros!$A$13:$A$22,0)),"⚠ categoria")))</f>
        <v>0.19</v>
      </c>
      <c r="G161" s="35"/>
      <c r="H161" s="36" t="n">
        <f aca="false">IF($A161="","",IF(ISNUMBER($G161),$G161,IF(ISNUMBER($F161),$F161,"")))</f>
        <v>0.19</v>
      </c>
      <c r="I161" s="37" t="n">
        <f aca="false">IF(OR($A161="",NOT(ISNUMBER($D161)),NOT(ISNUMBER($H161))),"",IF((1-$H161-Parâmetros!$B$8-Parâmetros!$C$8-Parâmetros!$D$8)&lt;=0,"INVALIDO",($D161+IF(ISNUMBER($E161),$E161,0)+IF(ISNUMBER(Parâmetros!$E$8),Parâmetros!$E$8,0))/(1-$H161-Parâmetros!$B$8-Parâmetros!$C$8-Parâmetros!$D$8)))</f>
        <v>256.041666666667</v>
      </c>
      <c r="J161" s="38"/>
      <c r="K161" s="39" t="n">
        <f aca="false">IF(OR($A161="",NOT(ISNUMBER($D161)),NOT(ISNUMBER($H161))),"",IF(AND(ISNUMBER($J161),$J161&gt;0),$J161,IF(ISNUMBER($I161),$I161,"")))</f>
        <v>256.041666666667</v>
      </c>
      <c r="L161" s="40" t="n">
        <f aca="false">IF(ISNUMBER($K161),$K161*$H161,"")</f>
        <v>48.6479166666667</v>
      </c>
      <c r="M161" s="40" t="n">
        <f aca="false">IF(ISNUMBER($K161),$K161*Parâmetros!$B$8,"")</f>
        <v>25.6041666666667</v>
      </c>
      <c r="N161" s="40" t="n">
        <f aca="false">IF(ISNUMBER($K161),$K161*Parâmetros!$C$8,"")</f>
        <v>7.68125</v>
      </c>
      <c r="O161" s="40" t="n">
        <f aca="false">IF(ISNUMBER($K161),IF(ISNUMBER(Parâmetros!$E$8),Parâmetros!$E$8,0),"")</f>
        <v>0</v>
      </c>
      <c r="P161" s="41" t="n">
        <f aca="false">IF(ISNUMBER($K161),$K161-$D161-IF(ISNUMBER($E161),$E161,0)-$L161-$M161-$N161-$O161,"")</f>
        <v>51.2083333333333</v>
      </c>
      <c r="Q161" s="42" t="n">
        <f aca="false">IF(AND(ISNUMBER($K161),$K161&gt;0),$P161/$K161,"")</f>
        <v>0.2</v>
      </c>
      <c r="R161" s="43"/>
      <c r="S161" s="44" t="str">
        <f aca="false">IF(OR(NOT(ISNUMBER($R161)),$R161=0,NOT(ISNUMBER($K161))),"",$K161*(1-$R161))</f>
        <v/>
      </c>
      <c r="T161" s="45" t="str">
        <f aca="false">IF(ISNUMBER($S161),$S161*$H161,"")</f>
        <v/>
      </c>
      <c r="U161" s="45" t="str">
        <f aca="false">IF(ISNUMBER($S161),$S161*Parâmetros!$B$8,"")</f>
        <v/>
      </c>
      <c r="V161" s="45" t="str">
        <f aca="false">IF(ISNUMBER($S161),$S161*Parâmetros!$C$8,"")</f>
        <v/>
      </c>
      <c r="W161" s="44" t="str">
        <f aca="false">IF(ISNUMBER($S161),$S161-$D161-IF(ISNUMBER($E161),$E161,0)-$O161-$T161-$U161-$V161,"")</f>
        <v/>
      </c>
      <c r="X161" s="46" t="str">
        <f aca="false">IF(AND(ISNUMBER($S161),$S161&gt;0),$W161/$S161,"")</f>
        <v/>
      </c>
      <c r="Y161" s="49"/>
      <c r="Z161" s="21"/>
    </row>
    <row r="162" customFormat="false" ht="15.75" hidden="false" customHeight="true" outlineLevel="0" collapsed="false">
      <c r="A162" s="32" t="str">
        <f aca="false">IF(Produtos!$A162="","",Produtos!$A162)</f>
        <v>PG2460</v>
      </c>
      <c r="B162" s="32" t="str">
        <f aca="false">IF(Produtos!$A162="","",Produtos!$B162)</f>
        <v>Porta Guarda-chuvas 24x60</v>
      </c>
      <c r="C162" s="32" t="str">
        <f aca="false">IF(Produtos!$A162="","",Produtos!$C162)</f>
        <v>Porta-guarda-chuvas</v>
      </c>
      <c r="D162" s="33" t="n">
        <f aca="false">IF(Produtos!$A162="","",IF(Produtos!$D162="","",Produtos!$D162))</f>
        <v>124.42</v>
      </c>
      <c r="E162" s="11" t="n">
        <v>0</v>
      </c>
      <c r="F162" s="34" t="n">
        <f aca="false">IF($A162="","",IF($C162="","⚠ categoria",IFERROR(INDEX(Parâmetros!$F$13:$F$22,MATCH($C162,Parâmetros!$A$13:$A$22,0)),"⚠ categoria")))</f>
        <v>0.19</v>
      </c>
      <c r="G162" s="35"/>
      <c r="H162" s="36" t="n">
        <f aca="false">IF($A162="","",IF(ISNUMBER($G162),$G162,IF(ISNUMBER($F162),$F162,"")))</f>
        <v>0.19</v>
      </c>
      <c r="I162" s="37" t="n">
        <f aca="false">IF(OR($A162="",NOT(ISNUMBER($D162)),NOT(ISNUMBER($H162))),"",IF((1-$H162-Parâmetros!$B$8-Parâmetros!$C$8-Parâmetros!$D$8)&lt;=0,"INVALIDO",($D162+IF(ISNUMBER($E162),$E162,0)+IF(ISNUMBER(Parâmetros!$E$8),Parâmetros!$E$8,0))/(1-$H162-Parâmetros!$B$8-Parâmetros!$C$8-Parâmetros!$D$8)))</f>
        <v>259.208333333333</v>
      </c>
      <c r="J162" s="38"/>
      <c r="K162" s="39" t="n">
        <f aca="false">IF(OR($A162="",NOT(ISNUMBER($D162)),NOT(ISNUMBER($H162))),"",IF(AND(ISNUMBER($J162),$J162&gt;0),$J162,IF(ISNUMBER($I162),$I162,"")))</f>
        <v>259.208333333333</v>
      </c>
      <c r="L162" s="40" t="n">
        <f aca="false">IF(ISNUMBER($K162),$K162*$H162,"")</f>
        <v>49.2495833333333</v>
      </c>
      <c r="M162" s="40" t="n">
        <f aca="false">IF(ISNUMBER($K162),$K162*Parâmetros!$B$8,"")</f>
        <v>25.9208333333333</v>
      </c>
      <c r="N162" s="40" t="n">
        <f aca="false">IF(ISNUMBER($K162),$K162*Parâmetros!$C$8,"")</f>
        <v>7.77625</v>
      </c>
      <c r="O162" s="40" t="n">
        <f aca="false">IF(ISNUMBER($K162),IF(ISNUMBER(Parâmetros!$E$8),Parâmetros!$E$8,0),"")</f>
        <v>0</v>
      </c>
      <c r="P162" s="41" t="n">
        <f aca="false">IF(ISNUMBER($K162),$K162-$D162-IF(ISNUMBER($E162),$E162,0)-$L162-$M162-$N162-$O162,"")</f>
        <v>51.8416666666666</v>
      </c>
      <c r="Q162" s="42" t="n">
        <f aca="false">IF(AND(ISNUMBER($K162),$K162&gt;0),$P162/$K162,"")</f>
        <v>0.2</v>
      </c>
      <c r="R162" s="43"/>
      <c r="S162" s="44" t="str">
        <f aca="false">IF(OR(NOT(ISNUMBER($R162)),$R162=0,NOT(ISNUMBER($K162))),"",$K162*(1-$R162))</f>
        <v/>
      </c>
      <c r="T162" s="45" t="str">
        <f aca="false">IF(ISNUMBER($S162),$S162*$H162,"")</f>
        <v/>
      </c>
      <c r="U162" s="45" t="str">
        <f aca="false">IF(ISNUMBER($S162),$S162*Parâmetros!$B$8,"")</f>
        <v/>
      </c>
      <c r="V162" s="45" t="str">
        <f aca="false">IF(ISNUMBER($S162),$S162*Parâmetros!$C$8,"")</f>
        <v/>
      </c>
      <c r="W162" s="44" t="str">
        <f aca="false">IF(ISNUMBER($S162),$S162-$D162-IF(ISNUMBER($E162),$E162,0)-$O162-$T162-$U162-$V162,"")</f>
        <v/>
      </c>
      <c r="X162" s="46" t="str">
        <f aca="false">IF(AND(ISNUMBER($S162),$S162&gt;0),$W162/$S162,"")</f>
        <v/>
      </c>
      <c r="Y162" s="47"/>
      <c r="Z162" s="19"/>
    </row>
    <row r="163" customFormat="false" ht="15.75" hidden="false" customHeight="true" outlineLevel="0" collapsed="false">
      <c r="A163" s="48" t="str">
        <f aca="false">IF(Produtos!$A163="","",Produtos!$A163)</f>
        <v>PG2470</v>
      </c>
      <c r="B163" s="48" t="str">
        <f aca="false">IF(Produtos!$A163="","",Produtos!$B163)</f>
        <v>Porta Guarda-chuvas 24x70</v>
      </c>
      <c r="C163" s="48" t="str">
        <f aca="false">IF(Produtos!$A163="","",Produtos!$C163)</f>
        <v>Porta-guarda-chuvas</v>
      </c>
      <c r="D163" s="33" t="n">
        <f aca="false">IF(Produtos!$A163="","",IF(Produtos!$D163="","",Produtos!$D163))</f>
        <v>194.41</v>
      </c>
      <c r="E163" s="11" t="n">
        <v>0</v>
      </c>
      <c r="F163" s="34" t="n">
        <f aca="false">IF($A163="","",IF($C163="","⚠ categoria",IFERROR(INDEX(Parâmetros!$F$13:$F$22,MATCH($C163,Parâmetros!$A$13:$A$22,0)),"⚠ categoria")))</f>
        <v>0.19</v>
      </c>
      <c r="G163" s="35"/>
      <c r="H163" s="36" t="n">
        <f aca="false">IF($A163="","",IF(ISNUMBER($G163),$G163,IF(ISNUMBER($F163),$F163,"")))</f>
        <v>0.19</v>
      </c>
      <c r="I163" s="37" t="n">
        <f aca="false">IF(OR($A163="",NOT(ISNUMBER($D163)),NOT(ISNUMBER($H163))),"",IF((1-$H163-Parâmetros!$B$8-Parâmetros!$C$8-Parâmetros!$D$8)&lt;=0,"INVALIDO",($D163+IF(ISNUMBER($E163),$E163,0)+IF(ISNUMBER(Parâmetros!$E$8),Parâmetros!$E$8,0))/(1-$H163-Parâmetros!$B$8-Parâmetros!$C$8-Parâmetros!$D$8)))</f>
        <v>405.020833333333</v>
      </c>
      <c r="J163" s="38"/>
      <c r="K163" s="39" t="n">
        <f aca="false">IF(OR($A163="",NOT(ISNUMBER($D163)),NOT(ISNUMBER($H163))),"",IF(AND(ISNUMBER($J163),$J163&gt;0),$J163,IF(ISNUMBER($I163),$I163,"")))</f>
        <v>405.020833333333</v>
      </c>
      <c r="L163" s="40" t="n">
        <f aca="false">IF(ISNUMBER($K163),$K163*$H163,"")</f>
        <v>76.9539583333333</v>
      </c>
      <c r="M163" s="40" t="n">
        <f aca="false">IF(ISNUMBER($K163),$K163*Parâmetros!$B$8,"")</f>
        <v>40.5020833333333</v>
      </c>
      <c r="N163" s="40" t="n">
        <f aca="false">IF(ISNUMBER($K163),$K163*Parâmetros!$C$8,"")</f>
        <v>12.150625</v>
      </c>
      <c r="O163" s="40" t="n">
        <f aca="false">IF(ISNUMBER($K163),IF(ISNUMBER(Parâmetros!$E$8),Parâmetros!$E$8,0),"")</f>
        <v>0</v>
      </c>
      <c r="P163" s="41" t="n">
        <f aca="false">IF(ISNUMBER($K163),$K163-$D163-IF(ISNUMBER($E163),$E163,0)-$L163-$M163-$N163-$O163,"")</f>
        <v>81.0041666666667</v>
      </c>
      <c r="Q163" s="42" t="n">
        <f aca="false">IF(AND(ISNUMBER($K163),$K163&gt;0),$P163/$K163,"")</f>
        <v>0.2</v>
      </c>
      <c r="R163" s="43"/>
      <c r="S163" s="44" t="str">
        <f aca="false">IF(OR(NOT(ISNUMBER($R163)),$R163=0,NOT(ISNUMBER($K163))),"",$K163*(1-$R163))</f>
        <v/>
      </c>
      <c r="T163" s="45" t="str">
        <f aca="false">IF(ISNUMBER($S163),$S163*$H163,"")</f>
        <v/>
      </c>
      <c r="U163" s="45" t="str">
        <f aca="false">IF(ISNUMBER($S163),$S163*Parâmetros!$B$8,"")</f>
        <v/>
      </c>
      <c r="V163" s="45" t="str">
        <f aca="false">IF(ISNUMBER($S163),$S163*Parâmetros!$C$8,"")</f>
        <v/>
      </c>
      <c r="W163" s="44" t="str">
        <f aca="false">IF(ISNUMBER($S163),$S163-$D163-IF(ISNUMBER($E163),$E163,0)-$O163-$T163-$U163-$V163,"")</f>
        <v/>
      </c>
      <c r="X163" s="46" t="str">
        <f aca="false">IF(AND(ISNUMBER($S163),$S163&gt;0),$W163/$S163,"")</f>
        <v/>
      </c>
      <c r="Y163" s="49"/>
      <c r="Z163" s="21"/>
    </row>
    <row r="164" customFormat="false" ht="15.75" hidden="false" customHeight="true" outlineLevel="0" collapsed="false">
      <c r="A164" s="32" t="str">
        <f aca="false">IF(Produtos!$A164="","",Produtos!$A164)</f>
        <v>PG3060</v>
      </c>
      <c r="B164" s="32" t="str">
        <f aca="false">IF(Produtos!$A164="","",Produtos!$B164)</f>
        <v>Porta Guarda-chuvas 30x60</v>
      </c>
      <c r="C164" s="32" t="str">
        <f aca="false">IF(Produtos!$A164="","",Produtos!$C164)</f>
        <v>Porta-guarda-chuvas</v>
      </c>
      <c r="D164" s="33" t="n">
        <f aca="false">IF(Produtos!$A164="","",IF(Produtos!$D164="","",Produtos!$D164))</f>
        <v>170.08</v>
      </c>
      <c r="E164" s="11" t="n">
        <v>0</v>
      </c>
      <c r="F164" s="34" t="n">
        <f aca="false">IF($A164="","",IF($C164="","⚠ categoria",IFERROR(INDEX(Parâmetros!$F$13:$F$22,MATCH($C164,Parâmetros!$A$13:$A$22,0)),"⚠ categoria")))</f>
        <v>0.19</v>
      </c>
      <c r="G164" s="35"/>
      <c r="H164" s="36" t="n">
        <f aca="false">IF($A164="","",IF(ISNUMBER($G164),$G164,IF(ISNUMBER($F164),$F164,"")))</f>
        <v>0.19</v>
      </c>
      <c r="I164" s="37" t="n">
        <f aca="false">IF(OR($A164="",NOT(ISNUMBER($D164)),NOT(ISNUMBER($H164))),"",IF((1-$H164-Parâmetros!$B$8-Parâmetros!$C$8-Parâmetros!$D$8)&lt;=0,"INVALIDO",($D164+IF(ISNUMBER($E164),$E164,0)+IF(ISNUMBER(Parâmetros!$E$8),Parâmetros!$E$8,0))/(1-$H164-Parâmetros!$B$8-Parâmetros!$C$8-Parâmetros!$D$8)))</f>
        <v>354.333333333333</v>
      </c>
      <c r="J164" s="38"/>
      <c r="K164" s="39" t="n">
        <f aca="false">IF(OR($A164="",NOT(ISNUMBER($D164)),NOT(ISNUMBER($H164))),"",IF(AND(ISNUMBER($J164),$J164&gt;0),$J164,IF(ISNUMBER($I164),$I164,"")))</f>
        <v>354.333333333333</v>
      </c>
      <c r="L164" s="40" t="n">
        <f aca="false">IF(ISNUMBER($K164),$K164*$H164,"")</f>
        <v>67.3233333333333</v>
      </c>
      <c r="M164" s="40" t="n">
        <f aca="false">IF(ISNUMBER($K164),$K164*Parâmetros!$B$8,"")</f>
        <v>35.4333333333333</v>
      </c>
      <c r="N164" s="40" t="n">
        <f aca="false">IF(ISNUMBER($K164),$K164*Parâmetros!$C$8,"")</f>
        <v>10.63</v>
      </c>
      <c r="O164" s="40" t="n">
        <f aca="false">IF(ISNUMBER($K164),IF(ISNUMBER(Parâmetros!$E$8),Parâmetros!$E$8,0),"")</f>
        <v>0</v>
      </c>
      <c r="P164" s="41" t="n">
        <f aca="false">IF(ISNUMBER($K164),$K164-$D164-IF(ISNUMBER($E164),$E164,0)-$L164-$M164-$N164-$O164,"")</f>
        <v>70.8666666666667</v>
      </c>
      <c r="Q164" s="42" t="n">
        <f aca="false">IF(AND(ISNUMBER($K164),$K164&gt;0),$P164/$K164,"")</f>
        <v>0.2</v>
      </c>
      <c r="R164" s="43"/>
      <c r="S164" s="44" t="str">
        <f aca="false">IF(OR(NOT(ISNUMBER($R164)),$R164=0,NOT(ISNUMBER($K164))),"",$K164*(1-$R164))</f>
        <v/>
      </c>
      <c r="T164" s="45" t="str">
        <f aca="false">IF(ISNUMBER($S164),$S164*$H164,"")</f>
        <v/>
      </c>
      <c r="U164" s="45" t="str">
        <f aca="false">IF(ISNUMBER($S164),$S164*Parâmetros!$B$8,"")</f>
        <v/>
      </c>
      <c r="V164" s="45" t="str">
        <f aca="false">IF(ISNUMBER($S164),$S164*Parâmetros!$C$8,"")</f>
        <v/>
      </c>
      <c r="W164" s="44" t="str">
        <f aca="false">IF(ISNUMBER($S164),$S164-$D164-IF(ISNUMBER($E164),$E164,0)-$O164-$T164-$U164-$V164,"")</f>
        <v/>
      </c>
      <c r="X164" s="46" t="str">
        <f aca="false">IF(AND(ISNUMBER($S164),$S164&gt;0),$W164/$S164,"")</f>
        <v/>
      </c>
      <c r="Y164" s="47"/>
      <c r="Z164" s="19"/>
    </row>
    <row r="165" customFormat="false" ht="15.75" hidden="false" customHeight="true" outlineLevel="0" collapsed="false">
      <c r="A165" s="48" t="str">
        <f aca="false">IF(Produtos!$A165="","",Produtos!$A165)</f>
        <v>PG3070</v>
      </c>
      <c r="B165" s="48" t="str">
        <f aca="false">IF(Produtos!$A165="","",Produtos!$B165)</f>
        <v>Porta Guarda-chuvas 30x70</v>
      </c>
      <c r="C165" s="48" t="str">
        <f aca="false">IF(Produtos!$A165="","",Produtos!$C165)</f>
        <v>Porta-guarda-chuvas</v>
      </c>
      <c r="D165" s="33" t="n">
        <f aca="false">IF(Produtos!$A165="","",IF(Produtos!$D165="","",Produtos!$D165))</f>
        <v>232.51</v>
      </c>
      <c r="E165" s="11" t="n">
        <v>0</v>
      </c>
      <c r="F165" s="34" t="n">
        <f aca="false">IF($A165="","",IF($C165="","⚠ categoria",IFERROR(INDEX(Parâmetros!$F$13:$F$22,MATCH($C165,Parâmetros!$A$13:$A$22,0)),"⚠ categoria")))</f>
        <v>0.19</v>
      </c>
      <c r="G165" s="35"/>
      <c r="H165" s="36" t="n">
        <f aca="false">IF($A165="","",IF(ISNUMBER($G165),$G165,IF(ISNUMBER($F165),$F165,"")))</f>
        <v>0.19</v>
      </c>
      <c r="I165" s="37" t="n">
        <f aca="false">IF(OR($A165="",NOT(ISNUMBER($D165)),NOT(ISNUMBER($H165))),"",IF((1-$H165-Parâmetros!$B$8-Parâmetros!$C$8-Parâmetros!$D$8)&lt;=0,"INVALIDO",($D165+IF(ISNUMBER($E165),$E165,0)+IF(ISNUMBER(Parâmetros!$E$8),Parâmetros!$E$8,0))/(1-$H165-Parâmetros!$B$8-Parâmetros!$C$8-Parâmetros!$D$8)))</f>
        <v>484.395833333333</v>
      </c>
      <c r="J165" s="38"/>
      <c r="K165" s="39" t="n">
        <f aca="false">IF(OR($A165="",NOT(ISNUMBER($D165)),NOT(ISNUMBER($H165))),"",IF(AND(ISNUMBER($J165),$J165&gt;0),$J165,IF(ISNUMBER($I165),$I165,"")))</f>
        <v>484.395833333333</v>
      </c>
      <c r="L165" s="40" t="n">
        <f aca="false">IF(ISNUMBER($K165),$K165*$H165,"")</f>
        <v>92.0352083333333</v>
      </c>
      <c r="M165" s="40" t="n">
        <f aca="false">IF(ISNUMBER($K165),$K165*Parâmetros!$B$8,"")</f>
        <v>48.4395833333333</v>
      </c>
      <c r="N165" s="40" t="n">
        <f aca="false">IF(ISNUMBER($K165),$K165*Parâmetros!$C$8,"")</f>
        <v>14.531875</v>
      </c>
      <c r="O165" s="40" t="n">
        <f aca="false">IF(ISNUMBER($K165),IF(ISNUMBER(Parâmetros!$E$8),Parâmetros!$E$8,0),"")</f>
        <v>0</v>
      </c>
      <c r="P165" s="41" t="n">
        <f aca="false">IF(ISNUMBER($K165),$K165-$D165-IF(ISNUMBER($E165),$E165,0)-$L165-$M165-$N165-$O165,"")</f>
        <v>96.8791666666666</v>
      </c>
      <c r="Q165" s="42" t="n">
        <f aca="false">IF(AND(ISNUMBER($K165),$K165&gt;0),$P165/$K165,"")</f>
        <v>0.2</v>
      </c>
      <c r="R165" s="43"/>
      <c r="S165" s="44" t="str">
        <f aca="false">IF(OR(NOT(ISNUMBER($R165)),$R165=0,NOT(ISNUMBER($K165))),"",$K165*(1-$R165))</f>
        <v/>
      </c>
      <c r="T165" s="45" t="str">
        <f aca="false">IF(ISNUMBER($S165),$S165*$H165,"")</f>
        <v/>
      </c>
      <c r="U165" s="45" t="str">
        <f aca="false">IF(ISNUMBER($S165),$S165*Parâmetros!$B$8,"")</f>
        <v/>
      </c>
      <c r="V165" s="45" t="str">
        <f aca="false">IF(ISNUMBER($S165),$S165*Parâmetros!$C$8,"")</f>
        <v/>
      </c>
      <c r="W165" s="44" t="str">
        <f aca="false">IF(ISNUMBER($S165),$S165-$D165-IF(ISNUMBER($E165),$E165,0)-$O165-$T165-$U165-$V165,"")</f>
        <v/>
      </c>
      <c r="X165" s="46" t="str">
        <f aca="false">IF(AND(ISNUMBER($S165),$S165&gt;0),$W165/$S165,"")</f>
        <v/>
      </c>
      <c r="Y165" s="49"/>
      <c r="Z165" s="21"/>
    </row>
    <row r="166" customFormat="false" ht="15.75" hidden="false" customHeight="true" outlineLevel="0" collapsed="false">
      <c r="A166" s="32" t="str">
        <f aca="false">IF(Produtos!$A166="","",Produtos!$A166)</f>
        <v>PG4050</v>
      </c>
      <c r="B166" s="32" t="str">
        <f aca="false">IF(Produtos!$A166="","",Produtos!$B166)</f>
        <v>Porta Guarda-chuvas 40x50</v>
      </c>
      <c r="C166" s="32" t="str">
        <f aca="false">IF(Produtos!$A166="","",Produtos!$C166)</f>
        <v>Porta-guarda-chuvas</v>
      </c>
      <c r="D166" s="33" t="n">
        <f aca="false">IF(Produtos!$A166="","",IF(Produtos!$D166="","",Produtos!$D166))</f>
        <v>228.9</v>
      </c>
      <c r="E166" s="11" t="n">
        <v>0</v>
      </c>
      <c r="F166" s="34" t="n">
        <f aca="false">IF($A166="","",IF($C166="","⚠ categoria",IFERROR(INDEX(Parâmetros!$F$13:$F$22,MATCH($C166,Parâmetros!$A$13:$A$22,0)),"⚠ categoria")))</f>
        <v>0.19</v>
      </c>
      <c r="G166" s="35"/>
      <c r="H166" s="36" t="n">
        <f aca="false">IF($A166="","",IF(ISNUMBER($G166),$G166,IF(ISNUMBER($F166),$F166,"")))</f>
        <v>0.19</v>
      </c>
      <c r="I166" s="37" t="n">
        <f aca="false">IF(OR($A166="",NOT(ISNUMBER($D166)),NOT(ISNUMBER($H166))),"",IF((1-$H166-Parâmetros!$B$8-Parâmetros!$C$8-Parâmetros!$D$8)&lt;=0,"INVALIDO",($D166+IF(ISNUMBER($E166),$E166,0)+IF(ISNUMBER(Parâmetros!$E$8),Parâmetros!$E$8,0))/(1-$H166-Parâmetros!$B$8-Parâmetros!$C$8-Parâmetros!$D$8)))</f>
        <v>476.875</v>
      </c>
      <c r="J166" s="38"/>
      <c r="K166" s="39" t="n">
        <f aca="false">IF(OR($A166="",NOT(ISNUMBER($D166)),NOT(ISNUMBER($H166))),"",IF(AND(ISNUMBER($J166),$J166&gt;0),$J166,IF(ISNUMBER($I166),$I166,"")))</f>
        <v>476.875</v>
      </c>
      <c r="L166" s="40" t="n">
        <f aca="false">IF(ISNUMBER($K166),$K166*$H166,"")</f>
        <v>90.60625</v>
      </c>
      <c r="M166" s="40" t="n">
        <f aca="false">IF(ISNUMBER($K166),$K166*Parâmetros!$B$8,"")</f>
        <v>47.6875</v>
      </c>
      <c r="N166" s="40" t="n">
        <f aca="false">IF(ISNUMBER($K166),$K166*Parâmetros!$C$8,"")</f>
        <v>14.30625</v>
      </c>
      <c r="O166" s="40" t="n">
        <f aca="false">IF(ISNUMBER($K166),IF(ISNUMBER(Parâmetros!$E$8),Parâmetros!$E$8,0),"")</f>
        <v>0</v>
      </c>
      <c r="P166" s="41" t="n">
        <f aca="false">IF(ISNUMBER($K166),$K166-$D166-IF(ISNUMBER($E166),$E166,0)-$L166-$M166-$N166-$O166,"")</f>
        <v>95.375</v>
      </c>
      <c r="Q166" s="42" t="n">
        <f aca="false">IF(AND(ISNUMBER($K166),$K166&gt;0),$P166/$K166,"")</f>
        <v>0.2</v>
      </c>
      <c r="R166" s="43"/>
      <c r="S166" s="44" t="str">
        <f aca="false">IF(OR(NOT(ISNUMBER($R166)),$R166=0,NOT(ISNUMBER($K166))),"",$K166*(1-$R166))</f>
        <v/>
      </c>
      <c r="T166" s="45" t="str">
        <f aca="false">IF(ISNUMBER($S166),$S166*$H166,"")</f>
        <v/>
      </c>
      <c r="U166" s="45" t="str">
        <f aca="false">IF(ISNUMBER($S166),$S166*Parâmetros!$B$8,"")</f>
        <v/>
      </c>
      <c r="V166" s="45" t="str">
        <f aca="false">IF(ISNUMBER($S166),$S166*Parâmetros!$C$8,"")</f>
        <v/>
      </c>
      <c r="W166" s="44" t="str">
        <f aca="false">IF(ISNUMBER($S166),$S166-$D166-IF(ISNUMBER($E166),$E166,0)-$O166-$T166-$U166-$V166,"")</f>
        <v/>
      </c>
      <c r="X166" s="46" t="str">
        <f aca="false">IF(AND(ISNUMBER($S166),$S166&gt;0),$W166/$S166,"")</f>
        <v/>
      </c>
      <c r="Y166" s="47"/>
      <c r="Z166" s="19"/>
    </row>
    <row r="167" customFormat="false" ht="15.75" hidden="false" customHeight="true" outlineLevel="0" collapsed="false">
      <c r="A167" s="48" t="str">
        <f aca="false">IF(Produtos!$A167="","",Produtos!$A167)</f>
        <v>PG4060</v>
      </c>
      <c r="B167" s="48" t="str">
        <f aca="false">IF(Produtos!$A167="","",Produtos!$B167)</f>
        <v>Porta Guarda-chuvas 40x60</v>
      </c>
      <c r="C167" s="48" t="str">
        <f aca="false">IF(Produtos!$A167="","",Produtos!$C167)</f>
        <v>Porta-guarda-chuvas</v>
      </c>
      <c r="D167" s="33" t="n">
        <f aca="false">IF(Produtos!$A167="","",IF(Produtos!$D167="","",Produtos!$D167))</f>
        <v>265.85</v>
      </c>
      <c r="E167" s="11" t="n">
        <v>0</v>
      </c>
      <c r="F167" s="34" t="n">
        <f aca="false">IF($A167="","",IF($C167="","⚠ categoria",IFERROR(INDEX(Parâmetros!$F$13:$F$22,MATCH($C167,Parâmetros!$A$13:$A$22,0)),"⚠ categoria")))</f>
        <v>0.19</v>
      </c>
      <c r="G167" s="35"/>
      <c r="H167" s="36" t="n">
        <f aca="false">IF($A167="","",IF(ISNUMBER($G167),$G167,IF(ISNUMBER($F167),$F167,"")))</f>
        <v>0.19</v>
      </c>
      <c r="I167" s="37" t="n">
        <f aca="false">IF(OR($A167="",NOT(ISNUMBER($D167)),NOT(ISNUMBER($H167))),"",IF((1-$H167-Parâmetros!$B$8-Parâmetros!$C$8-Parâmetros!$D$8)&lt;=0,"INVALIDO",($D167+IF(ISNUMBER($E167),$E167,0)+IF(ISNUMBER(Parâmetros!$E$8),Parâmetros!$E$8,0))/(1-$H167-Parâmetros!$B$8-Parâmetros!$C$8-Parâmetros!$D$8)))</f>
        <v>553.854166666667</v>
      </c>
      <c r="J167" s="38"/>
      <c r="K167" s="39" t="n">
        <f aca="false">IF(OR($A167="",NOT(ISNUMBER($D167)),NOT(ISNUMBER($H167))),"",IF(AND(ISNUMBER($J167),$J167&gt;0),$J167,IF(ISNUMBER($I167),$I167,"")))</f>
        <v>553.854166666667</v>
      </c>
      <c r="L167" s="40" t="n">
        <f aca="false">IF(ISNUMBER($K167),$K167*$H167,"")</f>
        <v>105.232291666667</v>
      </c>
      <c r="M167" s="40" t="n">
        <f aca="false">IF(ISNUMBER($K167),$K167*Parâmetros!$B$8,"")</f>
        <v>55.3854166666667</v>
      </c>
      <c r="N167" s="40" t="n">
        <f aca="false">IF(ISNUMBER($K167),$K167*Parâmetros!$C$8,"")</f>
        <v>16.615625</v>
      </c>
      <c r="O167" s="40" t="n">
        <f aca="false">IF(ISNUMBER($K167),IF(ISNUMBER(Parâmetros!$E$8),Parâmetros!$E$8,0),"")</f>
        <v>0</v>
      </c>
      <c r="P167" s="41" t="n">
        <f aca="false">IF(ISNUMBER($K167),$K167-$D167-IF(ISNUMBER($E167),$E167,0)-$L167-$M167-$N167-$O167,"")</f>
        <v>110.770833333333</v>
      </c>
      <c r="Q167" s="42" t="n">
        <f aca="false">IF(AND(ISNUMBER($K167),$K167&gt;0),$P167/$K167,"")</f>
        <v>0.2</v>
      </c>
      <c r="R167" s="43"/>
      <c r="S167" s="44" t="str">
        <f aca="false">IF(OR(NOT(ISNUMBER($R167)),$R167=0,NOT(ISNUMBER($K167))),"",$K167*(1-$R167))</f>
        <v/>
      </c>
      <c r="T167" s="45" t="str">
        <f aca="false">IF(ISNUMBER($S167),$S167*$H167,"")</f>
        <v/>
      </c>
      <c r="U167" s="45" t="str">
        <f aca="false">IF(ISNUMBER($S167),$S167*Parâmetros!$B$8,"")</f>
        <v/>
      </c>
      <c r="V167" s="45" t="str">
        <f aca="false">IF(ISNUMBER($S167),$S167*Parâmetros!$C$8,"")</f>
        <v/>
      </c>
      <c r="W167" s="44" t="str">
        <f aca="false">IF(ISNUMBER($S167),$S167-$D167-IF(ISNUMBER($E167),$E167,0)-$O167-$T167-$U167-$V167,"")</f>
        <v/>
      </c>
      <c r="X167" s="46" t="str">
        <f aca="false">IF(AND(ISNUMBER($S167),$S167&gt;0),$W167/$S167,"")</f>
        <v/>
      </c>
      <c r="Y167" s="49"/>
      <c r="Z167" s="21"/>
    </row>
    <row r="168" customFormat="false" ht="15.75" hidden="false" customHeight="true" outlineLevel="0" collapsed="false">
      <c r="A168" s="32" t="str">
        <f aca="false">IF(Produtos!$A168="","",Produtos!$A168)</f>
        <v>PG4070</v>
      </c>
      <c r="B168" s="32" t="str">
        <f aca="false">IF(Produtos!$A168="","",Produtos!$B168)</f>
        <v>Porta Guarda-chuvas 40x70</v>
      </c>
      <c r="C168" s="32" t="str">
        <f aca="false">IF(Produtos!$A168="","",Produtos!$C168)</f>
        <v>Porta-guarda-chuvas</v>
      </c>
      <c r="D168" s="33" t="n">
        <f aca="false">IF(Produtos!$A168="","",IF(Produtos!$D168="","",Produtos!$D168))</f>
        <v>267.68</v>
      </c>
      <c r="E168" s="11" t="n">
        <v>0</v>
      </c>
      <c r="F168" s="34" t="n">
        <f aca="false">IF($A168="","",IF($C168="","⚠ categoria",IFERROR(INDEX(Parâmetros!$F$13:$F$22,MATCH($C168,Parâmetros!$A$13:$A$22,0)),"⚠ categoria")))</f>
        <v>0.19</v>
      </c>
      <c r="G168" s="35"/>
      <c r="H168" s="36" t="n">
        <f aca="false">IF($A168="","",IF(ISNUMBER($G168),$G168,IF(ISNUMBER($F168),$F168,"")))</f>
        <v>0.19</v>
      </c>
      <c r="I168" s="37" t="n">
        <f aca="false">IF(OR($A168="",NOT(ISNUMBER($D168)),NOT(ISNUMBER($H168))),"",IF((1-$H168-Parâmetros!$B$8-Parâmetros!$C$8-Parâmetros!$D$8)&lt;=0,"INVALIDO",($D168+IF(ISNUMBER($E168),$E168,0)+IF(ISNUMBER(Parâmetros!$E$8),Parâmetros!$E$8,0))/(1-$H168-Parâmetros!$B$8-Parâmetros!$C$8-Parâmetros!$D$8)))</f>
        <v>557.666666666667</v>
      </c>
      <c r="J168" s="38"/>
      <c r="K168" s="39" t="n">
        <f aca="false">IF(OR($A168="",NOT(ISNUMBER($D168)),NOT(ISNUMBER($H168))),"",IF(AND(ISNUMBER($J168),$J168&gt;0),$J168,IF(ISNUMBER($I168),$I168,"")))</f>
        <v>557.666666666667</v>
      </c>
      <c r="L168" s="40" t="n">
        <f aca="false">IF(ISNUMBER($K168),$K168*$H168,"")</f>
        <v>105.956666666667</v>
      </c>
      <c r="M168" s="40" t="n">
        <f aca="false">IF(ISNUMBER($K168),$K168*Parâmetros!$B$8,"")</f>
        <v>55.7666666666667</v>
      </c>
      <c r="N168" s="40" t="n">
        <f aca="false">IF(ISNUMBER($K168),$K168*Parâmetros!$C$8,"")</f>
        <v>16.73</v>
      </c>
      <c r="O168" s="40" t="n">
        <f aca="false">IF(ISNUMBER($K168),IF(ISNUMBER(Parâmetros!$E$8),Parâmetros!$E$8,0),"")</f>
        <v>0</v>
      </c>
      <c r="P168" s="41" t="n">
        <f aca="false">IF(ISNUMBER($K168),$K168-$D168-IF(ISNUMBER($E168),$E168,0)-$L168-$M168-$N168-$O168,"")</f>
        <v>111.533333333333</v>
      </c>
      <c r="Q168" s="42" t="n">
        <f aca="false">IF(AND(ISNUMBER($K168),$K168&gt;0),$P168/$K168,"")</f>
        <v>0.2</v>
      </c>
      <c r="R168" s="43"/>
      <c r="S168" s="44" t="str">
        <f aca="false">IF(OR(NOT(ISNUMBER($R168)),$R168=0,NOT(ISNUMBER($K168))),"",$K168*(1-$R168))</f>
        <v/>
      </c>
      <c r="T168" s="45" t="str">
        <f aca="false">IF(ISNUMBER($S168),$S168*$H168,"")</f>
        <v/>
      </c>
      <c r="U168" s="45" t="str">
        <f aca="false">IF(ISNUMBER($S168),$S168*Parâmetros!$B$8,"")</f>
        <v/>
      </c>
      <c r="V168" s="45" t="str">
        <f aca="false">IF(ISNUMBER($S168),$S168*Parâmetros!$C$8,"")</f>
        <v/>
      </c>
      <c r="W168" s="44" t="str">
        <f aca="false">IF(ISNUMBER($S168),$S168-$D168-IF(ISNUMBER($E168),$E168,0)-$O168-$T168-$U168-$V168,"")</f>
        <v/>
      </c>
      <c r="X168" s="46" t="str">
        <f aca="false">IF(AND(ISNUMBER($S168),$S168&gt;0),$W168/$S168,"")</f>
        <v/>
      </c>
      <c r="Y168" s="47"/>
      <c r="Z168" s="19"/>
    </row>
    <row r="169" customFormat="false" ht="15.75" hidden="false" customHeight="true" outlineLevel="0" collapsed="false">
      <c r="A169" s="48" t="str">
        <f aca="false">IF(Produtos!$A169="","",Produtos!$A169)</f>
        <v>PG4080</v>
      </c>
      <c r="B169" s="48" t="str">
        <f aca="false">IF(Produtos!$A169="","",Produtos!$B169)</f>
        <v>Porta Guarda-chuvas 40x80</v>
      </c>
      <c r="C169" s="48" t="str">
        <f aca="false">IF(Produtos!$A169="","",Produtos!$C169)</f>
        <v>Porta-guarda-chuvas</v>
      </c>
      <c r="D169" s="33" t="n">
        <f aca="false">IF(Produtos!$A169="","",IF(Produtos!$D169="","",Produtos!$D169))</f>
        <v>329.27</v>
      </c>
      <c r="E169" s="11" t="n">
        <v>0</v>
      </c>
      <c r="F169" s="34" t="n">
        <f aca="false">IF($A169="","",IF($C169="","⚠ categoria",IFERROR(INDEX(Parâmetros!$F$13:$F$22,MATCH($C169,Parâmetros!$A$13:$A$22,0)),"⚠ categoria")))</f>
        <v>0.19</v>
      </c>
      <c r="G169" s="35"/>
      <c r="H169" s="36" t="n">
        <f aca="false">IF($A169="","",IF(ISNUMBER($G169),$G169,IF(ISNUMBER($F169),$F169,"")))</f>
        <v>0.19</v>
      </c>
      <c r="I169" s="37" t="n">
        <f aca="false">IF(OR($A169="",NOT(ISNUMBER($D169)),NOT(ISNUMBER($H169))),"",IF((1-$H169-Parâmetros!$B$8-Parâmetros!$C$8-Parâmetros!$D$8)&lt;=0,"INVALIDO",($D169+IF(ISNUMBER($E169),$E169,0)+IF(ISNUMBER(Parâmetros!$E$8),Parâmetros!$E$8,0))/(1-$H169-Parâmetros!$B$8-Parâmetros!$C$8-Parâmetros!$D$8)))</f>
        <v>685.979166666667</v>
      </c>
      <c r="J169" s="38"/>
      <c r="K169" s="39" t="n">
        <f aca="false">IF(OR($A169="",NOT(ISNUMBER($D169)),NOT(ISNUMBER($H169))),"",IF(AND(ISNUMBER($J169),$J169&gt;0),$J169,IF(ISNUMBER($I169),$I169,"")))</f>
        <v>685.979166666667</v>
      </c>
      <c r="L169" s="40" t="n">
        <f aca="false">IF(ISNUMBER($K169),$K169*$H169,"")</f>
        <v>130.336041666667</v>
      </c>
      <c r="M169" s="40" t="n">
        <f aca="false">IF(ISNUMBER($K169),$K169*Parâmetros!$B$8,"")</f>
        <v>68.5979166666667</v>
      </c>
      <c r="N169" s="40" t="n">
        <f aca="false">IF(ISNUMBER($K169),$K169*Parâmetros!$C$8,"")</f>
        <v>20.579375</v>
      </c>
      <c r="O169" s="40" t="n">
        <f aca="false">IF(ISNUMBER($K169),IF(ISNUMBER(Parâmetros!$E$8),Parâmetros!$E$8,0),"")</f>
        <v>0</v>
      </c>
      <c r="P169" s="41" t="n">
        <f aca="false">IF(ISNUMBER($K169),$K169-$D169-IF(ISNUMBER($E169),$E169,0)-$L169-$M169-$N169-$O169,"")</f>
        <v>137.195833333333</v>
      </c>
      <c r="Q169" s="42" t="n">
        <f aca="false">IF(AND(ISNUMBER($K169),$K169&gt;0),$P169/$K169,"")</f>
        <v>0.2</v>
      </c>
      <c r="R169" s="43"/>
      <c r="S169" s="44" t="str">
        <f aca="false">IF(OR(NOT(ISNUMBER($R169)),$R169=0,NOT(ISNUMBER($K169))),"",$K169*(1-$R169))</f>
        <v/>
      </c>
      <c r="T169" s="45" t="str">
        <f aca="false">IF(ISNUMBER($S169),$S169*$H169,"")</f>
        <v/>
      </c>
      <c r="U169" s="45" t="str">
        <f aca="false">IF(ISNUMBER($S169),$S169*Parâmetros!$B$8,"")</f>
        <v/>
      </c>
      <c r="V169" s="45" t="str">
        <f aca="false">IF(ISNUMBER($S169),$S169*Parâmetros!$C$8,"")</f>
        <v/>
      </c>
      <c r="W169" s="44" t="str">
        <f aca="false">IF(ISNUMBER($S169),$S169-$D169-IF(ISNUMBER($E169),$E169,0)-$O169-$T169-$U169-$V169,"")</f>
        <v/>
      </c>
      <c r="X169" s="46" t="str">
        <f aca="false">IF(AND(ISNUMBER($S169),$S169&gt;0),$W169/$S169,"")</f>
        <v/>
      </c>
      <c r="Y169" s="49"/>
      <c r="Z169" s="21"/>
    </row>
    <row r="170" customFormat="false" ht="15.75" hidden="false" customHeight="true" outlineLevel="0" collapsed="false">
      <c r="A170" s="32" t="str">
        <f aca="false">IF(Produtos!$A170="","",Produtos!$A170)</f>
        <v>PG4085</v>
      </c>
      <c r="B170" s="32" t="str">
        <f aca="false">IF(Produtos!$A170="","",Produtos!$B170)</f>
        <v>Porta Guarda-chuvas 40x85 105L</v>
      </c>
      <c r="C170" s="32" t="str">
        <f aca="false">IF(Produtos!$A170="","",Produtos!$C170)</f>
        <v>Porta-guarda-chuvas</v>
      </c>
      <c r="D170" s="33" t="n">
        <f aca="false">IF(Produtos!$A170="","",IF(Produtos!$D170="","",Produtos!$D170))</f>
        <v>331.32</v>
      </c>
      <c r="E170" s="11" t="n">
        <v>0</v>
      </c>
      <c r="F170" s="34" t="n">
        <f aca="false">IF($A170="","",IF($C170="","⚠ categoria",IFERROR(INDEX(Parâmetros!$F$13:$F$22,MATCH($C170,Parâmetros!$A$13:$A$22,0)),"⚠ categoria")))</f>
        <v>0.19</v>
      </c>
      <c r="G170" s="35"/>
      <c r="H170" s="36" t="n">
        <f aca="false">IF($A170="","",IF(ISNUMBER($G170),$G170,IF(ISNUMBER($F170),$F170,"")))</f>
        <v>0.19</v>
      </c>
      <c r="I170" s="37" t="n">
        <f aca="false">IF(OR($A170="",NOT(ISNUMBER($D170)),NOT(ISNUMBER($H170))),"",IF((1-$H170-Parâmetros!$B$8-Parâmetros!$C$8-Parâmetros!$D$8)&lt;=0,"INVALIDO",($D170+IF(ISNUMBER($E170),$E170,0)+IF(ISNUMBER(Parâmetros!$E$8),Parâmetros!$E$8,0))/(1-$H170-Parâmetros!$B$8-Parâmetros!$C$8-Parâmetros!$D$8)))</f>
        <v>690.25</v>
      </c>
      <c r="J170" s="38"/>
      <c r="K170" s="39" t="n">
        <f aca="false">IF(OR($A170="",NOT(ISNUMBER($D170)),NOT(ISNUMBER($H170))),"",IF(AND(ISNUMBER($J170),$J170&gt;0),$J170,IF(ISNUMBER($I170),$I170,"")))</f>
        <v>690.25</v>
      </c>
      <c r="L170" s="40" t="n">
        <f aca="false">IF(ISNUMBER($K170),$K170*$H170,"")</f>
        <v>131.1475</v>
      </c>
      <c r="M170" s="40" t="n">
        <f aca="false">IF(ISNUMBER($K170),$K170*Parâmetros!$B$8,"")</f>
        <v>69.025</v>
      </c>
      <c r="N170" s="40" t="n">
        <f aca="false">IF(ISNUMBER($K170),$K170*Parâmetros!$C$8,"")</f>
        <v>20.7075</v>
      </c>
      <c r="O170" s="40" t="n">
        <f aca="false">IF(ISNUMBER($K170),IF(ISNUMBER(Parâmetros!$E$8),Parâmetros!$E$8,0),"")</f>
        <v>0</v>
      </c>
      <c r="P170" s="41" t="n">
        <f aca="false">IF(ISNUMBER($K170),$K170-$D170-IF(ISNUMBER($E170),$E170,0)-$L170-$M170-$N170-$O170,"")</f>
        <v>138.05</v>
      </c>
      <c r="Q170" s="42" t="n">
        <f aca="false">IF(AND(ISNUMBER($K170),$K170&gt;0),$P170/$K170,"")</f>
        <v>0.2</v>
      </c>
      <c r="R170" s="43"/>
      <c r="S170" s="44" t="str">
        <f aca="false">IF(OR(NOT(ISNUMBER($R170)),$R170=0,NOT(ISNUMBER($K170))),"",$K170*(1-$R170))</f>
        <v/>
      </c>
      <c r="T170" s="45" t="str">
        <f aca="false">IF(ISNUMBER($S170),$S170*$H170,"")</f>
        <v/>
      </c>
      <c r="U170" s="45" t="str">
        <f aca="false">IF(ISNUMBER($S170),$S170*Parâmetros!$B$8,"")</f>
        <v/>
      </c>
      <c r="V170" s="45" t="str">
        <f aca="false">IF(ISNUMBER($S170),$S170*Parâmetros!$C$8,"")</f>
        <v/>
      </c>
      <c r="W170" s="44" t="str">
        <f aca="false">IF(ISNUMBER($S170),$S170-$D170-IF(ISNUMBER($E170),$E170,0)-$O170-$T170-$U170-$V170,"")</f>
        <v/>
      </c>
      <c r="X170" s="46" t="str">
        <f aca="false">IF(AND(ISNUMBER($S170),$S170&gt;0),$W170/$S170,"")</f>
        <v/>
      </c>
      <c r="Y170" s="47"/>
      <c r="Z170" s="19"/>
    </row>
    <row r="171" customFormat="false" ht="15.75" hidden="false" customHeight="true" outlineLevel="0" collapsed="false">
      <c r="A171" s="48" t="str">
        <f aca="false">IF(Produtos!$A171="","",Produtos!$A171)</f>
        <v>PG4090</v>
      </c>
      <c r="B171" s="48" t="str">
        <f aca="false">IF(Produtos!$A171="","",Produtos!$B171)</f>
        <v>Porta Guarda-chuvas 40x90</v>
      </c>
      <c r="C171" s="48" t="str">
        <f aca="false">IF(Produtos!$A171="","",Produtos!$C171)</f>
        <v>Porta-guarda-chuvas</v>
      </c>
      <c r="D171" s="33" t="n">
        <f aca="false">IF(Produtos!$A171="","",IF(Produtos!$D171="","",Produtos!$D171))</f>
        <v>329.27</v>
      </c>
      <c r="E171" s="11" t="n">
        <v>0</v>
      </c>
      <c r="F171" s="34" t="n">
        <f aca="false">IF($A171="","",IF($C171="","⚠ categoria",IFERROR(INDEX(Parâmetros!$F$13:$F$22,MATCH($C171,Parâmetros!$A$13:$A$22,0)),"⚠ categoria")))</f>
        <v>0.19</v>
      </c>
      <c r="G171" s="35"/>
      <c r="H171" s="36" t="n">
        <f aca="false">IF($A171="","",IF(ISNUMBER($G171),$G171,IF(ISNUMBER($F171),$F171,"")))</f>
        <v>0.19</v>
      </c>
      <c r="I171" s="37" t="n">
        <f aca="false">IF(OR($A171="",NOT(ISNUMBER($D171)),NOT(ISNUMBER($H171))),"",IF((1-$H171-Parâmetros!$B$8-Parâmetros!$C$8-Parâmetros!$D$8)&lt;=0,"INVALIDO",($D171+IF(ISNUMBER($E171),$E171,0)+IF(ISNUMBER(Parâmetros!$E$8),Parâmetros!$E$8,0))/(1-$H171-Parâmetros!$B$8-Parâmetros!$C$8-Parâmetros!$D$8)))</f>
        <v>685.979166666667</v>
      </c>
      <c r="J171" s="38"/>
      <c r="K171" s="39" t="n">
        <f aca="false">IF(OR($A171="",NOT(ISNUMBER($D171)),NOT(ISNUMBER($H171))),"",IF(AND(ISNUMBER($J171),$J171&gt;0),$J171,IF(ISNUMBER($I171),$I171,"")))</f>
        <v>685.979166666667</v>
      </c>
      <c r="L171" s="40" t="n">
        <f aca="false">IF(ISNUMBER($K171),$K171*$H171,"")</f>
        <v>130.336041666667</v>
      </c>
      <c r="M171" s="40" t="n">
        <f aca="false">IF(ISNUMBER($K171),$K171*Parâmetros!$B$8,"")</f>
        <v>68.5979166666667</v>
      </c>
      <c r="N171" s="40" t="n">
        <f aca="false">IF(ISNUMBER($K171),$K171*Parâmetros!$C$8,"")</f>
        <v>20.579375</v>
      </c>
      <c r="O171" s="40" t="n">
        <f aca="false">IF(ISNUMBER($K171),IF(ISNUMBER(Parâmetros!$E$8),Parâmetros!$E$8,0),"")</f>
        <v>0</v>
      </c>
      <c r="P171" s="41" t="n">
        <f aca="false">IF(ISNUMBER($K171),$K171-$D171-IF(ISNUMBER($E171),$E171,0)-$L171-$M171-$N171-$O171,"")</f>
        <v>137.195833333333</v>
      </c>
      <c r="Q171" s="42" t="n">
        <f aca="false">IF(AND(ISNUMBER($K171),$K171&gt;0),$P171/$K171,"")</f>
        <v>0.2</v>
      </c>
      <c r="R171" s="43"/>
      <c r="S171" s="44" t="str">
        <f aca="false">IF(OR(NOT(ISNUMBER($R171)),$R171=0,NOT(ISNUMBER($K171))),"",$K171*(1-$R171))</f>
        <v/>
      </c>
      <c r="T171" s="45" t="str">
        <f aca="false">IF(ISNUMBER($S171),$S171*$H171,"")</f>
        <v/>
      </c>
      <c r="U171" s="45" t="str">
        <f aca="false">IF(ISNUMBER($S171),$S171*Parâmetros!$B$8,"")</f>
        <v/>
      </c>
      <c r="V171" s="45" t="str">
        <f aca="false">IF(ISNUMBER($S171),$S171*Parâmetros!$C$8,"")</f>
        <v/>
      </c>
      <c r="W171" s="44" t="str">
        <f aca="false">IF(ISNUMBER($S171),$S171-$D171-IF(ISNUMBER($E171),$E171,0)-$O171-$T171-$U171-$V171,"")</f>
        <v/>
      </c>
      <c r="X171" s="46" t="str">
        <f aca="false">IF(AND(ISNUMBER($S171),$S171&gt;0),$W171/$S171,"")</f>
        <v/>
      </c>
      <c r="Y171" s="49"/>
      <c r="Z171" s="21"/>
    </row>
    <row r="172" customFormat="false" ht="15.75" hidden="false" customHeight="true" outlineLevel="0" collapsed="false">
      <c r="A172" s="32" t="str">
        <f aca="false">IF(Produtos!$A172="","",Produtos!$A172)</f>
        <v>EMB-03</v>
      </c>
      <c r="B172" s="32" t="str">
        <f aca="false">IF(Produtos!$A172="","",Produtos!$B172)</f>
        <v>Lixeira Embutir Pia 3L c/Balde Alumínio</v>
      </c>
      <c r="C172" s="32" t="str">
        <f aca="false">IF(Produtos!$A172="","",Produtos!$C172)</f>
        <v>Lixeiras em inox</v>
      </c>
      <c r="D172" s="33" t="n">
        <f aca="false">IF(Produtos!$A172="","",IF(Produtos!$D172="","",Produtos!$D172))</f>
        <v>97.42</v>
      </c>
      <c r="E172" s="11" t="n">
        <v>0</v>
      </c>
      <c r="F172" s="34" t="n">
        <f aca="false">IF($A172="","",IF($C172="","⚠ categoria",IFERROR(INDEX(Parâmetros!$F$13:$F$22,MATCH($C172,Parâmetros!$A$13:$A$22,0)),"⚠ categoria")))</f>
        <v>0.19</v>
      </c>
      <c r="G172" s="35"/>
      <c r="H172" s="36" t="n">
        <f aca="false">IF($A172="","",IF(ISNUMBER($G172),$G172,IF(ISNUMBER($F172),$F172,"")))</f>
        <v>0.19</v>
      </c>
      <c r="I172" s="37" t="n">
        <f aca="false">IF(OR($A172="",NOT(ISNUMBER($D172)),NOT(ISNUMBER($H172))),"",IF((1-$H172-Parâmetros!$B$8-Parâmetros!$C$8-Parâmetros!$D$8)&lt;=0,"INVALIDO",($D172+IF(ISNUMBER($E172),$E172,0)+IF(ISNUMBER(Parâmetros!$E$8),Parâmetros!$E$8,0))/(1-$H172-Parâmetros!$B$8-Parâmetros!$C$8-Parâmetros!$D$8)))</f>
        <v>202.958333333333</v>
      </c>
      <c r="J172" s="38"/>
      <c r="K172" s="39" t="n">
        <f aca="false">IF(OR($A172="",NOT(ISNUMBER($D172)),NOT(ISNUMBER($H172))),"",IF(AND(ISNUMBER($J172),$J172&gt;0),$J172,IF(ISNUMBER($I172),$I172,"")))</f>
        <v>202.958333333333</v>
      </c>
      <c r="L172" s="40" t="n">
        <f aca="false">IF(ISNUMBER($K172),$K172*$H172,"")</f>
        <v>38.5620833333333</v>
      </c>
      <c r="M172" s="40" t="n">
        <f aca="false">IF(ISNUMBER($K172),$K172*Parâmetros!$B$8,"")</f>
        <v>20.2958333333333</v>
      </c>
      <c r="N172" s="40" t="n">
        <f aca="false">IF(ISNUMBER($K172),$K172*Parâmetros!$C$8,"")</f>
        <v>6.08875</v>
      </c>
      <c r="O172" s="40" t="n">
        <f aca="false">IF(ISNUMBER($K172),IF(ISNUMBER(Parâmetros!$E$8),Parâmetros!$E$8,0),"")</f>
        <v>0</v>
      </c>
      <c r="P172" s="41" t="n">
        <f aca="false">IF(ISNUMBER($K172),$K172-$D172-IF(ISNUMBER($E172),$E172,0)-$L172-$M172-$N172-$O172,"")</f>
        <v>40.5916666666667</v>
      </c>
      <c r="Q172" s="42" t="n">
        <f aca="false">IF(AND(ISNUMBER($K172),$K172&gt;0),$P172/$K172,"")</f>
        <v>0.2</v>
      </c>
      <c r="R172" s="43"/>
      <c r="S172" s="44" t="str">
        <f aca="false">IF(OR(NOT(ISNUMBER($R172)),$R172=0,NOT(ISNUMBER($K172))),"",$K172*(1-$R172))</f>
        <v/>
      </c>
      <c r="T172" s="45" t="str">
        <f aca="false">IF(ISNUMBER($S172),$S172*$H172,"")</f>
        <v/>
      </c>
      <c r="U172" s="45" t="str">
        <f aca="false">IF(ISNUMBER($S172),$S172*Parâmetros!$B$8,"")</f>
        <v/>
      </c>
      <c r="V172" s="45" t="str">
        <f aca="false">IF(ISNUMBER($S172),$S172*Parâmetros!$C$8,"")</f>
        <v/>
      </c>
      <c r="W172" s="44" t="str">
        <f aca="false">IF(ISNUMBER($S172),$S172-$D172-IF(ISNUMBER($E172),$E172,0)-$O172-$T172-$U172-$V172,"")</f>
        <v/>
      </c>
      <c r="X172" s="46" t="str">
        <f aca="false">IF(AND(ISNUMBER($S172),$S172&gt;0),$W172/$S172,"")</f>
        <v/>
      </c>
      <c r="Y172" s="47"/>
      <c r="Z172" s="19"/>
    </row>
    <row r="173" customFormat="false" ht="15.75" hidden="false" customHeight="true" outlineLevel="0" collapsed="false">
      <c r="A173" s="48" t="str">
        <f aca="false">IF(Produtos!$A173="","",Produtos!$A173)</f>
        <v>EMB-05</v>
      </c>
      <c r="B173" s="48" t="str">
        <f aca="false">IF(Produtos!$A173="","",Produtos!$B173)</f>
        <v>Lixeira Embutir Pia 5L c/Balde Alumínio</v>
      </c>
      <c r="C173" s="48" t="str">
        <f aca="false">IF(Produtos!$A173="","",Produtos!$C173)</f>
        <v>Lixeiras em inox</v>
      </c>
      <c r="D173" s="33" t="n">
        <f aca="false">IF(Produtos!$A173="","",IF(Produtos!$D173="","",Produtos!$D173))</f>
        <v>134.46</v>
      </c>
      <c r="E173" s="11" t="n">
        <v>0</v>
      </c>
      <c r="F173" s="34" t="n">
        <f aca="false">IF($A173="","",IF($C173="","⚠ categoria",IFERROR(INDEX(Parâmetros!$F$13:$F$22,MATCH($C173,Parâmetros!$A$13:$A$22,0)),"⚠ categoria")))</f>
        <v>0.19</v>
      </c>
      <c r="G173" s="35"/>
      <c r="H173" s="36" t="n">
        <f aca="false">IF($A173="","",IF(ISNUMBER($G173),$G173,IF(ISNUMBER($F173),$F173,"")))</f>
        <v>0.19</v>
      </c>
      <c r="I173" s="37" t="n">
        <f aca="false">IF(OR($A173="",NOT(ISNUMBER($D173)),NOT(ISNUMBER($H173))),"",IF((1-$H173-Parâmetros!$B$8-Parâmetros!$C$8-Parâmetros!$D$8)&lt;=0,"INVALIDO",($D173+IF(ISNUMBER($E173),$E173,0)+IF(ISNUMBER(Parâmetros!$E$8),Parâmetros!$E$8,0))/(1-$H173-Parâmetros!$B$8-Parâmetros!$C$8-Parâmetros!$D$8)))</f>
        <v>280.125</v>
      </c>
      <c r="J173" s="38"/>
      <c r="K173" s="39" t="n">
        <f aca="false">IF(OR($A173="",NOT(ISNUMBER($D173)),NOT(ISNUMBER($H173))),"",IF(AND(ISNUMBER($J173),$J173&gt;0),$J173,IF(ISNUMBER($I173),$I173,"")))</f>
        <v>280.125</v>
      </c>
      <c r="L173" s="40" t="n">
        <f aca="false">IF(ISNUMBER($K173),$K173*$H173,"")</f>
        <v>53.22375</v>
      </c>
      <c r="M173" s="40" t="n">
        <f aca="false">IF(ISNUMBER($K173),$K173*Parâmetros!$B$8,"")</f>
        <v>28.0125</v>
      </c>
      <c r="N173" s="40" t="n">
        <f aca="false">IF(ISNUMBER($K173),$K173*Parâmetros!$C$8,"")</f>
        <v>8.40375</v>
      </c>
      <c r="O173" s="40" t="n">
        <f aca="false">IF(ISNUMBER($K173),IF(ISNUMBER(Parâmetros!$E$8),Parâmetros!$E$8,0),"")</f>
        <v>0</v>
      </c>
      <c r="P173" s="41" t="n">
        <f aca="false">IF(ISNUMBER($K173),$K173-$D173-IF(ISNUMBER($E173),$E173,0)-$L173-$M173-$N173-$O173,"")</f>
        <v>56.025</v>
      </c>
      <c r="Q173" s="42" t="n">
        <f aca="false">IF(AND(ISNUMBER($K173),$K173&gt;0),$P173/$K173,"")</f>
        <v>0.2</v>
      </c>
      <c r="R173" s="43"/>
      <c r="S173" s="44" t="str">
        <f aca="false">IF(OR(NOT(ISNUMBER($R173)),$R173=0,NOT(ISNUMBER($K173))),"",$K173*(1-$R173))</f>
        <v/>
      </c>
      <c r="T173" s="45" t="str">
        <f aca="false">IF(ISNUMBER($S173),$S173*$H173,"")</f>
        <v/>
      </c>
      <c r="U173" s="45" t="str">
        <f aca="false">IF(ISNUMBER($S173),$S173*Parâmetros!$B$8,"")</f>
        <v/>
      </c>
      <c r="V173" s="45" t="str">
        <f aca="false">IF(ISNUMBER($S173),$S173*Parâmetros!$C$8,"")</f>
        <v/>
      </c>
      <c r="W173" s="44" t="str">
        <f aca="false">IF(ISNUMBER($S173),$S173-$D173-IF(ISNUMBER($E173),$E173,0)-$O173-$T173-$U173-$V173,"")</f>
        <v/>
      </c>
      <c r="X173" s="46" t="str">
        <f aca="false">IF(AND(ISNUMBER($S173),$S173&gt;0),$W173/$S173,"")</f>
        <v/>
      </c>
      <c r="Y173" s="49"/>
      <c r="Z173" s="21"/>
    </row>
    <row r="174" customFormat="false" ht="15.75" hidden="false" customHeight="true" outlineLevel="0" collapsed="false">
      <c r="A174" s="32" t="str">
        <f aca="false">IF(Produtos!$A174="","",Produtos!$A174)</f>
        <v>EMB-08</v>
      </c>
      <c r="B174" s="32" t="str">
        <f aca="false">IF(Produtos!$A174="","",Produtos!$B174)</f>
        <v>Lixeira Embutir Pia 8L c/Balde Alumínio</v>
      </c>
      <c r="C174" s="32" t="str">
        <f aca="false">IF(Produtos!$A174="","",Produtos!$C174)</f>
        <v>Lixeiras em inox</v>
      </c>
      <c r="D174" s="33" t="n">
        <f aca="false">IF(Produtos!$A174="","",IF(Produtos!$D174="","",Produtos!$D174))</f>
        <v>181.23</v>
      </c>
      <c r="E174" s="11" t="n">
        <v>0</v>
      </c>
      <c r="F174" s="34" t="n">
        <f aca="false">IF($A174="","",IF($C174="","⚠ categoria",IFERROR(INDEX(Parâmetros!$F$13:$F$22,MATCH($C174,Parâmetros!$A$13:$A$22,0)),"⚠ categoria")))</f>
        <v>0.19</v>
      </c>
      <c r="G174" s="35"/>
      <c r="H174" s="36" t="n">
        <f aca="false">IF($A174="","",IF(ISNUMBER($G174),$G174,IF(ISNUMBER($F174),$F174,"")))</f>
        <v>0.19</v>
      </c>
      <c r="I174" s="37" t="n">
        <f aca="false">IF(OR($A174="",NOT(ISNUMBER($D174)),NOT(ISNUMBER($H174))),"",IF((1-$H174-Parâmetros!$B$8-Parâmetros!$C$8-Parâmetros!$D$8)&lt;=0,"INVALIDO",($D174+IF(ISNUMBER($E174),$E174,0)+IF(ISNUMBER(Parâmetros!$E$8),Parâmetros!$E$8,0))/(1-$H174-Parâmetros!$B$8-Parâmetros!$C$8-Parâmetros!$D$8)))</f>
        <v>377.5625</v>
      </c>
      <c r="J174" s="38"/>
      <c r="K174" s="39" t="n">
        <f aca="false">IF(OR($A174="",NOT(ISNUMBER($D174)),NOT(ISNUMBER($H174))),"",IF(AND(ISNUMBER($J174),$J174&gt;0),$J174,IF(ISNUMBER($I174),$I174,"")))</f>
        <v>377.5625</v>
      </c>
      <c r="L174" s="40" t="n">
        <f aca="false">IF(ISNUMBER($K174),$K174*$H174,"")</f>
        <v>71.736875</v>
      </c>
      <c r="M174" s="40" t="n">
        <f aca="false">IF(ISNUMBER($K174),$K174*Parâmetros!$B$8,"")</f>
        <v>37.75625</v>
      </c>
      <c r="N174" s="40" t="n">
        <f aca="false">IF(ISNUMBER($K174),$K174*Parâmetros!$C$8,"")</f>
        <v>11.326875</v>
      </c>
      <c r="O174" s="40" t="n">
        <f aca="false">IF(ISNUMBER($K174),IF(ISNUMBER(Parâmetros!$E$8),Parâmetros!$E$8,0),"")</f>
        <v>0</v>
      </c>
      <c r="P174" s="41" t="n">
        <f aca="false">IF(ISNUMBER($K174),$K174-$D174-IF(ISNUMBER($E174),$E174,0)-$L174-$M174-$N174-$O174,"")</f>
        <v>75.5125</v>
      </c>
      <c r="Q174" s="42" t="n">
        <f aca="false">IF(AND(ISNUMBER($K174),$K174&gt;0),$P174/$K174,"")</f>
        <v>0.2</v>
      </c>
      <c r="R174" s="43"/>
      <c r="S174" s="44" t="str">
        <f aca="false">IF(OR(NOT(ISNUMBER($R174)),$R174=0,NOT(ISNUMBER($K174))),"",$K174*(1-$R174))</f>
        <v/>
      </c>
      <c r="T174" s="45" t="str">
        <f aca="false">IF(ISNUMBER($S174),$S174*$H174,"")</f>
        <v/>
      </c>
      <c r="U174" s="45" t="str">
        <f aca="false">IF(ISNUMBER($S174),$S174*Parâmetros!$B$8,"")</f>
        <v/>
      </c>
      <c r="V174" s="45" t="str">
        <f aca="false">IF(ISNUMBER($S174),$S174*Parâmetros!$C$8,"")</f>
        <v/>
      </c>
      <c r="W174" s="44" t="str">
        <f aca="false">IF(ISNUMBER($S174),$S174-$D174-IF(ISNUMBER($E174),$E174,0)-$O174-$T174-$U174-$V174,"")</f>
        <v/>
      </c>
      <c r="X174" s="46" t="str">
        <f aca="false">IF(AND(ISNUMBER($S174),$S174&gt;0),$W174/$S174,"")</f>
        <v/>
      </c>
      <c r="Y174" s="47"/>
      <c r="Z174" s="19"/>
    </row>
    <row r="175" customFormat="false" ht="15.75" hidden="false" customHeight="true" outlineLevel="0" collapsed="false">
      <c r="A175" s="48" t="str">
        <f aca="false">IF(Produtos!$A175="","",Produtos!$A175)</f>
        <v>EMB-03P</v>
      </c>
      <c r="B175" s="48" t="str">
        <f aca="false">IF(Produtos!$A175="","",Produtos!$B175)</f>
        <v>Lixeira Embutir Pia 3L c/Balde Alumínio e Tampa Preta</v>
      </c>
      <c r="C175" s="48" t="str">
        <f aca="false">IF(Produtos!$A175="","",Produtos!$C175)</f>
        <v>Lixeiras em inox</v>
      </c>
      <c r="D175" s="33" t="n">
        <f aca="false">IF(Produtos!$A175="","",IF(Produtos!$D175="","",Produtos!$D175))</f>
        <v>127.42</v>
      </c>
      <c r="E175" s="11" t="n">
        <v>0</v>
      </c>
      <c r="F175" s="34" t="n">
        <f aca="false">IF($A175="","",IF($C175="","⚠ categoria",IFERROR(INDEX(Parâmetros!$F$13:$F$22,MATCH($C175,Parâmetros!$A$13:$A$22,0)),"⚠ categoria")))</f>
        <v>0.19</v>
      </c>
      <c r="G175" s="35"/>
      <c r="H175" s="36" t="n">
        <f aca="false">IF($A175="","",IF(ISNUMBER($G175),$G175,IF(ISNUMBER($F175),$F175,"")))</f>
        <v>0.19</v>
      </c>
      <c r="I175" s="37" t="n">
        <f aca="false">IF(OR($A175="",NOT(ISNUMBER($D175)),NOT(ISNUMBER($H175))),"",IF((1-$H175-Parâmetros!$B$8-Parâmetros!$C$8-Parâmetros!$D$8)&lt;=0,"INVALIDO",($D175+IF(ISNUMBER($E175),$E175,0)+IF(ISNUMBER(Parâmetros!$E$8),Parâmetros!$E$8,0))/(1-$H175-Parâmetros!$B$8-Parâmetros!$C$8-Parâmetros!$D$8)))</f>
        <v>265.458333333333</v>
      </c>
      <c r="J175" s="38"/>
      <c r="K175" s="39" t="n">
        <f aca="false">IF(OR($A175="",NOT(ISNUMBER($D175)),NOT(ISNUMBER($H175))),"",IF(AND(ISNUMBER($J175),$J175&gt;0),$J175,IF(ISNUMBER($I175),$I175,"")))</f>
        <v>265.458333333333</v>
      </c>
      <c r="L175" s="40" t="n">
        <f aca="false">IF(ISNUMBER($K175),$K175*$H175,"")</f>
        <v>50.4370833333333</v>
      </c>
      <c r="M175" s="40" t="n">
        <f aca="false">IF(ISNUMBER($K175),$K175*Parâmetros!$B$8,"")</f>
        <v>26.5458333333333</v>
      </c>
      <c r="N175" s="40" t="n">
        <f aca="false">IF(ISNUMBER($K175),$K175*Parâmetros!$C$8,"")</f>
        <v>7.96375</v>
      </c>
      <c r="O175" s="40" t="n">
        <f aca="false">IF(ISNUMBER($K175),IF(ISNUMBER(Parâmetros!$E$8),Parâmetros!$E$8,0),"")</f>
        <v>0</v>
      </c>
      <c r="P175" s="41" t="n">
        <f aca="false">IF(ISNUMBER($K175),$K175-$D175-IF(ISNUMBER($E175),$E175,0)-$L175-$M175-$N175-$O175,"")</f>
        <v>53.0916666666666</v>
      </c>
      <c r="Q175" s="42" t="n">
        <f aca="false">IF(AND(ISNUMBER($K175),$K175&gt;0),$P175/$K175,"")</f>
        <v>0.2</v>
      </c>
      <c r="R175" s="43"/>
      <c r="S175" s="44" t="str">
        <f aca="false">IF(OR(NOT(ISNUMBER($R175)),$R175=0,NOT(ISNUMBER($K175))),"",$K175*(1-$R175))</f>
        <v/>
      </c>
      <c r="T175" s="45" t="str">
        <f aca="false">IF(ISNUMBER($S175),$S175*$H175,"")</f>
        <v/>
      </c>
      <c r="U175" s="45" t="str">
        <f aca="false">IF(ISNUMBER($S175),$S175*Parâmetros!$B$8,"")</f>
        <v/>
      </c>
      <c r="V175" s="45" t="str">
        <f aca="false">IF(ISNUMBER($S175),$S175*Parâmetros!$C$8,"")</f>
        <v/>
      </c>
      <c r="W175" s="44" t="str">
        <f aca="false">IF(ISNUMBER($S175),$S175-$D175-IF(ISNUMBER($E175),$E175,0)-$O175-$T175-$U175-$V175,"")</f>
        <v/>
      </c>
      <c r="X175" s="46" t="str">
        <f aca="false">IF(AND(ISNUMBER($S175),$S175&gt;0),$W175/$S175,"")</f>
        <v/>
      </c>
      <c r="Y175" s="49"/>
      <c r="Z175" s="21"/>
    </row>
    <row r="176" customFormat="false" ht="15.75" hidden="false" customHeight="true" outlineLevel="0" collapsed="false">
      <c r="A176" s="32" t="str">
        <f aca="false">IF(Produtos!$A176="","",Produtos!$A176)</f>
        <v>EMB-05P</v>
      </c>
      <c r="B176" s="32" t="str">
        <f aca="false">IF(Produtos!$A176="","",Produtos!$B176)</f>
        <v>Lixeira Embutir Pia 5L c/Balde Alumínio e Tampa Preta</v>
      </c>
      <c r="C176" s="32" t="str">
        <f aca="false">IF(Produtos!$A176="","",Produtos!$C176)</f>
        <v>Lixeiras em inox</v>
      </c>
      <c r="D176" s="33" t="n">
        <f aca="false">IF(Produtos!$A176="","",IF(Produtos!$D176="","",Produtos!$D176))</f>
        <v>154.46</v>
      </c>
      <c r="E176" s="11" t="n">
        <v>0</v>
      </c>
      <c r="F176" s="34" t="n">
        <f aca="false">IF($A176="","",IF($C176="","⚠ categoria",IFERROR(INDEX(Parâmetros!$F$13:$F$22,MATCH($C176,Parâmetros!$A$13:$A$22,0)),"⚠ categoria")))</f>
        <v>0.19</v>
      </c>
      <c r="G176" s="35"/>
      <c r="H176" s="36" t="n">
        <f aca="false">IF($A176="","",IF(ISNUMBER($G176),$G176,IF(ISNUMBER($F176),$F176,"")))</f>
        <v>0.19</v>
      </c>
      <c r="I176" s="37" t="n">
        <f aca="false">IF(OR($A176="",NOT(ISNUMBER($D176)),NOT(ISNUMBER($H176))),"",IF((1-$H176-Parâmetros!$B$8-Parâmetros!$C$8-Parâmetros!$D$8)&lt;=0,"INVALIDO",($D176+IF(ISNUMBER($E176),$E176,0)+IF(ISNUMBER(Parâmetros!$E$8),Parâmetros!$E$8,0))/(1-$H176-Parâmetros!$B$8-Parâmetros!$C$8-Parâmetros!$D$8)))</f>
        <v>321.791666666667</v>
      </c>
      <c r="J176" s="38"/>
      <c r="K176" s="39" t="n">
        <f aca="false">IF(OR($A176="",NOT(ISNUMBER($D176)),NOT(ISNUMBER($H176))),"",IF(AND(ISNUMBER($J176),$J176&gt;0),$J176,IF(ISNUMBER($I176),$I176,"")))</f>
        <v>321.791666666667</v>
      </c>
      <c r="L176" s="40" t="n">
        <f aca="false">IF(ISNUMBER($K176),$K176*$H176,"")</f>
        <v>61.1404166666667</v>
      </c>
      <c r="M176" s="40" t="n">
        <f aca="false">IF(ISNUMBER($K176),$K176*Parâmetros!$B$8,"")</f>
        <v>32.1791666666667</v>
      </c>
      <c r="N176" s="40" t="n">
        <f aca="false">IF(ISNUMBER($K176),$K176*Parâmetros!$C$8,"")</f>
        <v>9.65375</v>
      </c>
      <c r="O176" s="40" t="n">
        <f aca="false">IF(ISNUMBER($K176),IF(ISNUMBER(Parâmetros!$E$8),Parâmetros!$E$8,0),"")</f>
        <v>0</v>
      </c>
      <c r="P176" s="41" t="n">
        <f aca="false">IF(ISNUMBER($K176),$K176-$D176-IF(ISNUMBER($E176),$E176,0)-$L176-$M176-$N176-$O176,"")</f>
        <v>64.3583333333333</v>
      </c>
      <c r="Q176" s="42" t="n">
        <f aca="false">IF(AND(ISNUMBER($K176),$K176&gt;0),$P176/$K176,"")</f>
        <v>0.2</v>
      </c>
      <c r="R176" s="43"/>
      <c r="S176" s="44" t="str">
        <f aca="false">IF(OR(NOT(ISNUMBER($R176)),$R176=0,NOT(ISNUMBER($K176))),"",$K176*(1-$R176))</f>
        <v/>
      </c>
      <c r="T176" s="45" t="str">
        <f aca="false">IF(ISNUMBER($S176),$S176*$H176,"")</f>
        <v/>
      </c>
      <c r="U176" s="45" t="str">
        <f aca="false">IF(ISNUMBER($S176),$S176*Parâmetros!$B$8,"")</f>
        <v/>
      </c>
      <c r="V176" s="45" t="str">
        <f aca="false">IF(ISNUMBER($S176),$S176*Parâmetros!$C$8,"")</f>
        <v/>
      </c>
      <c r="W176" s="44" t="str">
        <f aca="false">IF(ISNUMBER($S176),$S176-$D176-IF(ISNUMBER($E176),$E176,0)-$O176-$T176-$U176-$V176,"")</f>
        <v/>
      </c>
      <c r="X176" s="46" t="str">
        <f aca="false">IF(AND(ISNUMBER($S176),$S176&gt;0),$W176/$S176,"")</f>
        <v/>
      </c>
      <c r="Y176" s="47"/>
      <c r="Z176" s="19"/>
    </row>
    <row r="177" customFormat="false" ht="15.75" hidden="false" customHeight="true" outlineLevel="0" collapsed="false">
      <c r="A177" s="48" t="str">
        <f aca="false">IF(Produtos!$A177="","",Produtos!$A177)</f>
        <v>Q2430-A</v>
      </c>
      <c r="B177" s="48" t="str">
        <f aca="false">IF(Produtos!$A177="","",Produtos!$B177)</f>
        <v>Lixeira Quadrada c/Aro 24x30 15L</v>
      </c>
      <c r="C177" s="48" t="str">
        <f aca="false">IF(Produtos!$A177="","",Produtos!$C177)</f>
        <v>Lixeiras em inox</v>
      </c>
      <c r="D177" s="33" t="n">
        <f aca="false">IF(Produtos!$A177="","",IF(Produtos!$D177="","",Produtos!$D177))</f>
        <v>121.07</v>
      </c>
      <c r="E177" s="11" t="n">
        <v>0</v>
      </c>
      <c r="F177" s="34" t="n">
        <f aca="false">IF($A177="","",IF($C177="","⚠ categoria",IFERROR(INDEX(Parâmetros!$F$13:$F$22,MATCH($C177,Parâmetros!$A$13:$A$22,0)),"⚠ categoria")))</f>
        <v>0.19</v>
      </c>
      <c r="G177" s="35"/>
      <c r="H177" s="36" t="n">
        <f aca="false">IF($A177="","",IF(ISNUMBER($G177),$G177,IF(ISNUMBER($F177),$F177,"")))</f>
        <v>0.19</v>
      </c>
      <c r="I177" s="37" t="n">
        <f aca="false">IF(OR($A177="",NOT(ISNUMBER($D177)),NOT(ISNUMBER($H177))),"",IF((1-$H177-Parâmetros!$B$8-Parâmetros!$C$8-Parâmetros!$D$8)&lt;=0,"INVALIDO",($D177+IF(ISNUMBER($E177),$E177,0)+IF(ISNUMBER(Parâmetros!$E$8),Parâmetros!$E$8,0))/(1-$H177-Parâmetros!$B$8-Parâmetros!$C$8-Parâmetros!$D$8)))</f>
        <v>252.229166666667</v>
      </c>
      <c r="J177" s="38"/>
      <c r="K177" s="39" t="n">
        <f aca="false">IF(OR($A177="",NOT(ISNUMBER($D177)),NOT(ISNUMBER($H177))),"",IF(AND(ISNUMBER($J177),$J177&gt;0),$J177,IF(ISNUMBER($I177),$I177,"")))</f>
        <v>252.229166666667</v>
      </c>
      <c r="L177" s="40" t="n">
        <f aca="false">IF(ISNUMBER($K177),$K177*$H177,"")</f>
        <v>47.9235416666667</v>
      </c>
      <c r="M177" s="40" t="n">
        <f aca="false">IF(ISNUMBER($K177),$K177*Parâmetros!$B$8,"")</f>
        <v>25.2229166666667</v>
      </c>
      <c r="N177" s="40" t="n">
        <f aca="false">IF(ISNUMBER($K177),$K177*Parâmetros!$C$8,"")</f>
        <v>7.566875</v>
      </c>
      <c r="O177" s="40" t="n">
        <f aca="false">IF(ISNUMBER($K177),IF(ISNUMBER(Parâmetros!$E$8),Parâmetros!$E$8,0),"")</f>
        <v>0</v>
      </c>
      <c r="P177" s="41" t="n">
        <f aca="false">IF(ISNUMBER($K177),$K177-$D177-IF(ISNUMBER($E177),$E177,0)-$L177-$M177-$N177-$O177,"")</f>
        <v>50.4458333333333</v>
      </c>
      <c r="Q177" s="42" t="n">
        <f aca="false">IF(AND(ISNUMBER($K177),$K177&gt;0),$P177/$K177,"")</f>
        <v>0.2</v>
      </c>
      <c r="R177" s="43"/>
      <c r="S177" s="44" t="str">
        <f aca="false">IF(OR(NOT(ISNUMBER($R177)),$R177=0,NOT(ISNUMBER($K177))),"",$K177*(1-$R177))</f>
        <v/>
      </c>
      <c r="T177" s="45" t="str">
        <f aca="false">IF(ISNUMBER($S177),$S177*$H177,"")</f>
        <v/>
      </c>
      <c r="U177" s="45" t="str">
        <f aca="false">IF(ISNUMBER($S177),$S177*Parâmetros!$B$8,"")</f>
        <v/>
      </c>
      <c r="V177" s="45" t="str">
        <f aca="false">IF(ISNUMBER($S177),$S177*Parâmetros!$C$8,"")</f>
        <v/>
      </c>
      <c r="W177" s="44" t="str">
        <f aca="false">IF(ISNUMBER($S177),$S177-$D177-IF(ISNUMBER($E177),$E177,0)-$O177-$T177-$U177-$V177,"")</f>
        <v/>
      </c>
      <c r="X177" s="46" t="str">
        <f aca="false">IF(AND(ISNUMBER($S177),$S177&gt;0),$W177/$S177,"")</f>
        <v/>
      </c>
      <c r="Y177" s="49"/>
      <c r="Z177" s="21"/>
    </row>
    <row r="178" customFormat="false" ht="15.75" hidden="false" customHeight="true" outlineLevel="0" collapsed="false">
      <c r="A178" s="32" t="str">
        <f aca="false">IF(Produtos!$A178="","",Produtos!$A178)</f>
        <v>Q2460-A</v>
      </c>
      <c r="B178" s="32" t="str">
        <f aca="false">IF(Produtos!$A178="","",Produtos!$B178)</f>
        <v>Lixeira Quadrada c/Aro 24x60 30L</v>
      </c>
      <c r="C178" s="32" t="str">
        <f aca="false">IF(Produtos!$A178="","",Produtos!$C178)</f>
        <v>Lixeiras em inox</v>
      </c>
      <c r="D178" s="33" t="n">
        <f aca="false">IF(Produtos!$A178="","",IF(Produtos!$D178="","",Produtos!$D178))</f>
        <v>183.04</v>
      </c>
      <c r="E178" s="11" t="n">
        <v>0</v>
      </c>
      <c r="F178" s="34" t="n">
        <f aca="false">IF($A178="","",IF($C178="","⚠ categoria",IFERROR(INDEX(Parâmetros!$F$13:$F$22,MATCH($C178,Parâmetros!$A$13:$A$22,0)),"⚠ categoria")))</f>
        <v>0.19</v>
      </c>
      <c r="G178" s="35"/>
      <c r="H178" s="36" t="n">
        <f aca="false">IF($A178="","",IF(ISNUMBER($G178),$G178,IF(ISNUMBER($F178),$F178,"")))</f>
        <v>0.19</v>
      </c>
      <c r="I178" s="37" t="n">
        <f aca="false">IF(OR($A178="",NOT(ISNUMBER($D178)),NOT(ISNUMBER($H178))),"",IF((1-$H178-Parâmetros!$B$8-Parâmetros!$C$8-Parâmetros!$D$8)&lt;=0,"INVALIDO",($D178+IF(ISNUMBER($E178),$E178,0)+IF(ISNUMBER(Parâmetros!$E$8),Parâmetros!$E$8,0))/(1-$H178-Parâmetros!$B$8-Parâmetros!$C$8-Parâmetros!$D$8)))</f>
        <v>381.333333333333</v>
      </c>
      <c r="J178" s="38"/>
      <c r="K178" s="39" t="n">
        <f aca="false">IF(OR($A178="",NOT(ISNUMBER($D178)),NOT(ISNUMBER($H178))),"",IF(AND(ISNUMBER($J178),$J178&gt;0),$J178,IF(ISNUMBER($I178),$I178,"")))</f>
        <v>381.333333333333</v>
      </c>
      <c r="L178" s="40" t="n">
        <f aca="false">IF(ISNUMBER($K178),$K178*$H178,"")</f>
        <v>72.4533333333333</v>
      </c>
      <c r="M178" s="40" t="n">
        <f aca="false">IF(ISNUMBER($K178),$K178*Parâmetros!$B$8,"")</f>
        <v>38.1333333333333</v>
      </c>
      <c r="N178" s="40" t="n">
        <f aca="false">IF(ISNUMBER($K178),$K178*Parâmetros!$C$8,"")</f>
        <v>11.44</v>
      </c>
      <c r="O178" s="40" t="n">
        <f aca="false">IF(ISNUMBER($K178),IF(ISNUMBER(Parâmetros!$E$8),Parâmetros!$E$8,0),"")</f>
        <v>0</v>
      </c>
      <c r="P178" s="41" t="n">
        <f aca="false">IF(ISNUMBER($K178),$K178-$D178-IF(ISNUMBER($E178),$E178,0)-$L178-$M178-$N178-$O178,"")</f>
        <v>76.2666666666667</v>
      </c>
      <c r="Q178" s="42" t="n">
        <f aca="false">IF(AND(ISNUMBER($K178),$K178&gt;0),$P178/$K178,"")</f>
        <v>0.2</v>
      </c>
      <c r="R178" s="43"/>
      <c r="S178" s="44" t="str">
        <f aca="false">IF(OR(NOT(ISNUMBER($R178)),$R178=0,NOT(ISNUMBER($K178))),"",$K178*(1-$R178))</f>
        <v/>
      </c>
      <c r="T178" s="45" t="str">
        <f aca="false">IF(ISNUMBER($S178),$S178*$H178,"")</f>
        <v/>
      </c>
      <c r="U178" s="45" t="str">
        <f aca="false">IF(ISNUMBER($S178),$S178*Parâmetros!$B$8,"")</f>
        <v/>
      </c>
      <c r="V178" s="45" t="str">
        <f aca="false">IF(ISNUMBER($S178),$S178*Parâmetros!$C$8,"")</f>
        <v/>
      </c>
      <c r="W178" s="44" t="str">
        <f aca="false">IF(ISNUMBER($S178),$S178-$D178-IF(ISNUMBER($E178),$E178,0)-$O178-$T178-$U178-$V178,"")</f>
        <v/>
      </c>
      <c r="X178" s="46" t="str">
        <f aca="false">IF(AND(ISNUMBER($S178),$S178&gt;0),$W178/$S178,"")</f>
        <v/>
      </c>
      <c r="Y178" s="47"/>
      <c r="Z178" s="19"/>
    </row>
    <row r="179" customFormat="false" ht="15.75" hidden="false" customHeight="true" outlineLevel="0" collapsed="false">
      <c r="A179" s="48" t="str">
        <f aca="false">IF(Produtos!$A179="","",Produtos!$A179)</f>
        <v>Q3060-A</v>
      </c>
      <c r="B179" s="48" t="str">
        <f aca="false">IF(Produtos!$A179="","",Produtos!$B179)</f>
        <v>Lixeira Quadrada c/Aro 30x60 50L</v>
      </c>
      <c r="C179" s="48" t="str">
        <f aca="false">IF(Produtos!$A179="","",Produtos!$C179)</f>
        <v>Lixeiras em inox</v>
      </c>
      <c r="D179" s="33" t="n">
        <f aca="false">IF(Produtos!$A179="","",IF(Produtos!$D179="","",Produtos!$D179))</f>
        <v>277.75</v>
      </c>
      <c r="E179" s="11" t="n">
        <v>0</v>
      </c>
      <c r="F179" s="34" t="n">
        <f aca="false">IF($A179="","",IF($C179="","⚠ categoria",IFERROR(INDEX(Parâmetros!$F$13:$F$22,MATCH($C179,Parâmetros!$A$13:$A$22,0)),"⚠ categoria")))</f>
        <v>0.19</v>
      </c>
      <c r="G179" s="35"/>
      <c r="H179" s="36" t="n">
        <f aca="false">IF($A179="","",IF(ISNUMBER($G179),$G179,IF(ISNUMBER($F179),$F179,"")))</f>
        <v>0.19</v>
      </c>
      <c r="I179" s="37" t="n">
        <f aca="false">IF(OR($A179="",NOT(ISNUMBER($D179)),NOT(ISNUMBER($H179))),"",IF((1-$H179-Parâmetros!$B$8-Parâmetros!$C$8-Parâmetros!$D$8)&lt;=0,"INVALIDO",($D179+IF(ISNUMBER($E179),$E179,0)+IF(ISNUMBER(Parâmetros!$E$8),Parâmetros!$E$8,0))/(1-$H179-Parâmetros!$B$8-Parâmetros!$C$8-Parâmetros!$D$8)))</f>
        <v>578.645833333333</v>
      </c>
      <c r="J179" s="38"/>
      <c r="K179" s="39" t="n">
        <f aca="false">IF(OR($A179="",NOT(ISNUMBER($D179)),NOT(ISNUMBER($H179))),"",IF(AND(ISNUMBER($J179),$J179&gt;0),$J179,IF(ISNUMBER($I179),$I179,"")))</f>
        <v>578.645833333333</v>
      </c>
      <c r="L179" s="40" t="n">
        <f aca="false">IF(ISNUMBER($K179),$K179*$H179,"")</f>
        <v>109.942708333333</v>
      </c>
      <c r="M179" s="40" t="n">
        <f aca="false">IF(ISNUMBER($K179),$K179*Parâmetros!$B$8,"")</f>
        <v>57.8645833333333</v>
      </c>
      <c r="N179" s="40" t="n">
        <f aca="false">IF(ISNUMBER($K179),$K179*Parâmetros!$C$8,"")</f>
        <v>17.359375</v>
      </c>
      <c r="O179" s="40" t="n">
        <f aca="false">IF(ISNUMBER($K179),IF(ISNUMBER(Parâmetros!$E$8),Parâmetros!$E$8,0),"")</f>
        <v>0</v>
      </c>
      <c r="P179" s="41" t="n">
        <f aca="false">IF(ISNUMBER($K179),$K179-$D179-IF(ISNUMBER($E179),$E179,0)-$L179-$M179-$N179-$O179,"")</f>
        <v>115.729166666667</v>
      </c>
      <c r="Q179" s="42" t="n">
        <f aca="false">IF(AND(ISNUMBER($K179),$K179&gt;0),$P179/$K179,"")</f>
        <v>0.2</v>
      </c>
      <c r="R179" s="43"/>
      <c r="S179" s="44" t="str">
        <f aca="false">IF(OR(NOT(ISNUMBER($R179)),$R179=0,NOT(ISNUMBER($K179))),"",$K179*(1-$R179))</f>
        <v/>
      </c>
      <c r="T179" s="45" t="str">
        <f aca="false">IF(ISNUMBER($S179),$S179*$H179,"")</f>
        <v/>
      </c>
      <c r="U179" s="45" t="str">
        <f aca="false">IF(ISNUMBER($S179),$S179*Parâmetros!$B$8,"")</f>
        <v/>
      </c>
      <c r="V179" s="45" t="str">
        <f aca="false">IF(ISNUMBER($S179),$S179*Parâmetros!$C$8,"")</f>
        <v/>
      </c>
      <c r="W179" s="44" t="str">
        <f aca="false">IF(ISNUMBER($S179),$S179-$D179-IF(ISNUMBER($E179),$E179,0)-$O179-$T179-$U179-$V179,"")</f>
        <v/>
      </c>
      <c r="X179" s="46" t="str">
        <f aca="false">IF(AND(ISNUMBER($S179),$S179&gt;0),$W179/$S179,"")</f>
        <v/>
      </c>
      <c r="Y179" s="49"/>
      <c r="Z179" s="21"/>
    </row>
    <row r="180" customFormat="false" ht="15.75" hidden="false" customHeight="true" outlineLevel="0" collapsed="false">
      <c r="A180" s="32" t="str">
        <f aca="false">IF(Produtos!$A180="","",Produtos!$A180)</f>
        <v>Q4070-A</v>
      </c>
      <c r="B180" s="32" t="str">
        <f aca="false">IF(Produtos!$A180="","",Produtos!$B180)</f>
        <v>Lixeira Quadrada c/Aro 40x70 100L</v>
      </c>
      <c r="C180" s="32" t="str">
        <f aca="false">IF(Produtos!$A180="","",Produtos!$C180)</f>
        <v>Lixeiras em inox</v>
      </c>
      <c r="D180" s="33" t="n">
        <f aca="false">IF(Produtos!$A180="","",IF(Produtos!$D180="","",Produtos!$D180))</f>
        <v>580.13</v>
      </c>
      <c r="E180" s="11" t="n">
        <v>0</v>
      </c>
      <c r="F180" s="34" t="n">
        <f aca="false">IF($A180="","",IF($C180="","⚠ categoria",IFERROR(INDEX(Parâmetros!$F$13:$F$22,MATCH($C180,Parâmetros!$A$13:$A$22,0)),"⚠ categoria")))</f>
        <v>0.19</v>
      </c>
      <c r="G180" s="35"/>
      <c r="H180" s="36" t="n">
        <f aca="false">IF($A180="","",IF(ISNUMBER($G180),$G180,IF(ISNUMBER($F180),$F180,"")))</f>
        <v>0.19</v>
      </c>
      <c r="I180" s="37" t="n">
        <f aca="false">IF(OR($A180="",NOT(ISNUMBER($D180)),NOT(ISNUMBER($H180))),"",IF((1-$H180-Parâmetros!$B$8-Parâmetros!$C$8-Parâmetros!$D$8)&lt;=0,"INVALIDO",($D180+IF(ISNUMBER($E180),$E180,0)+IF(ISNUMBER(Parâmetros!$E$8),Parâmetros!$E$8,0))/(1-$H180-Parâmetros!$B$8-Parâmetros!$C$8-Parâmetros!$D$8)))</f>
        <v>1208.60416666667</v>
      </c>
      <c r="J180" s="38"/>
      <c r="K180" s="39" t="n">
        <f aca="false">IF(OR($A180="",NOT(ISNUMBER($D180)),NOT(ISNUMBER($H180))),"",IF(AND(ISNUMBER($J180),$J180&gt;0),$J180,IF(ISNUMBER($I180),$I180,"")))</f>
        <v>1208.60416666667</v>
      </c>
      <c r="L180" s="40" t="n">
        <f aca="false">IF(ISNUMBER($K180),$K180*$H180,"")</f>
        <v>229.634791666667</v>
      </c>
      <c r="M180" s="40" t="n">
        <f aca="false">IF(ISNUMBER($K180),$K180*Parâmetros!$B$8,"")</f>
        <v>120.860416666667</v>
      </c>
      <c r="N180" s="40" t="n">
        <f aca="false">IF(ISNUMBER($K180),$K180*Parâmetros!$C$8,"")</f>
        <v>36.258125</v>
      </c>
      <c r="O180" s="40" t="n">
        <f aca="false">IF(ISNUMBER($K180),IF(ISNUMBER(Parâmetros!$E$8),Parâmetros!$E$8,0),"")</f>
        <v>0</v>
      </c>
      <c r="P180" s="41" t="n">
        <f aca="false">IF(ISNUMBER($K180),$K180-$D180-IF(ISNUMBER($E180),$E180,0)-$L180-$M180-$N180-$O180,"")</f>
        <v>241.720833333333</v>
      </c>
      <c r="Q180" s="42" t="n">
        <f aca="false">IF(AND(ISNUMBER($K180),$K180&gt;0),$P180/$K180,"")</f>
        <v>0.2</v>
      </c>
      <c r="R180" s="43"/>
      <c r="S180" s="44" t="str">
        <f aca="false">IF(OR(NOT(ISNUMBER($R180)),$R180=0,NOT(ISNUMBER($K180))),"",$K180*(1-$R180))</f>
        <v/>
      </c>
      <c r="T180" s="45" t="str">
        <f aca="false">IF(ISNUMBER($S180),$S180*$H180,"")</f>
        <v/>
      </c>
      <c r="U180" s="45" t="str">
        <f aca="false">IF(ISNUMBER($S180),$S180*Parâmetros!$B$8,"")</f>
        <v/>
      </c>
      <c r="V180" s="45" t="str">
        <f aca="false">IF(ISNUMBER($S180),$S180*Parâmetros!$C$8,"")</f>
        <v/>
      </c>
      <c r="W180" s="44" t="str">
        <f aca="false">IF(ISNUMBER($S180),$S180-$D180-IF(ISNUMBER($E180),$E180,0)-$O180-$T180-$U180-$V180,"")</f>
        <v/>
      </c>
      <c r="X180" s="46" t="str">
        <f aca="false">IF(AND(ISNUMBER($S180),$S180&gt;0),$W180/$S180,"")</f>
        <v/>
      </c>
      <c r="Y180" s="47"/>
      <c r="Z180" s="19"/>
    </row>
    <row r="181" customFormat="false" ht="15.75" hidden="false" customHeight="true" outlineLevel="0" collapsed="false">
      <c r="A181" s="48" t="str">
        <f aca="false">IF(Produtos!$A181="","",Produtos!$A181)</f>
        <v>Q2430-B</v>
      </c>
      <c r="B181" s="48" t="str">
        <f aca="false">IF(Produtos!$A181="","",Produtos!$B181)</f>
        <v>Lixeira Quadrada c/Aro Basculante 24x30 15L</v>
      </c>
      <c r="C181" s="48" t="str">
        <f aca="false">IF(Produtos!$A181="","",Produtos!$C181)</f>
        <v>Lixeiras em inox</v>
      </c>
      <c r="D181" s="33" t="n">
        <f aca="false">IF(Produtos!$A181="","",IF(Produtos!$D181="","",Produtos!$D181))</f>
        <v>149.88</v>
      </c>
      <c r="E181" s="11" t="n">
        <v>0</v>
      </c>
      <c r="F181" s="34" t="n">
        <f aca="false">IF($A181="","",IF($C181="","⚠ categoria",IFERROR(INDEX(Parâmetros!$F$13:$F$22,MATCH($C181,Parâmetros!$A$13:$A$22,0)),"⚠ categoria")))</f>
        <v>0.19</v>
      </c>
      <c r="G181" s="35"/>
      <c r="H181" s="36" t="n">
        <f aca="false">IF($A181="","",IF(ISNUMBER($G181),$G181,IF(ISNUMBER($F181),$F181,"")))</f>
        <v>0.19</v>
      </c>
      <c r="I181" s="37" t="n">
        <f aca="false">IF(OR($A181="",NOT(ISNUMBER($D181)),NOT(ISNUMBER($H181))),"",IF((1-$H181-Parâmetros!$B$8-Parâmetros!$C$8-Parâmetros!$D$8)&lt;=0,"INVALIDO",($D181+IF(ISNUMBER($E181),$E181,0)+IF(ISNUMBER(Parâmetros!$E$8),Parâmetros!$E$8,0))/(1-$H181-Parâmetros!$B$8-Parâmetros!$C$8-Parâmetros!$D$8)))</f>
        <v>312.25</v>
      </c>
      <c r="J181" s="38"/>
      <c r="K181" s="39" t="n">
        <f aca="false">IF(OR($A181="",NOT(ISNUMBER($D181)),NOT(ISNUMBER($H181))),"",IF(AND(ISNUMBER($J181),$J181&gt;0),$J181,IF(ISNUMBER($I181),$I181,"")))</f>
        <v>312.25</v>
      </c>
      <c r="L181" s="40" t="n">
        <f aca="false">IF(ISNUMBER($K181),$K181*$H181,"")</f>
        <v>59.3275</v>
      </c>
      <c r="M181" s="40" t="n">
        <f aca="false">IF(ISNUMBER($K181),$K181*Parâmetros!$B$8,"")</f>
        <v>31.225</v>
      </c>
      <c r="N181" s="40" t="n">
        <f aca="false">IF(ISNUMBER($K181),$K181*Parâmetros!$C$8,"")</f>
        <v>9.3675</v>
      </c>
      <c r="O181" s="40" t="n">
        <f aca="false">IF(ISNUMBER($K181),IF(ISNUMBER(Parâmetros!$E$8),Parâmetros!$E$8,0),"")</f>
        <v>0</v>
      </c>
      <c r="P181" s="41" t="n">
        <f aca="false">IF(ISNUMBER($K181),$K181-$D181-IF(ISNUMBER($E181),$E181,0)-$L181-$M181-$N181-$O181,"")</f>
        <v>62.45</v>
      </c>
      <c r="Q181" s="42" t="n">
        <f aca="false">IF(AND(ISNUMBER($K181),$K181&gt;0),$P181/$K181,"")</f>
        <v>0.2</v>
      </c>
      <c r="R181" s="43"/>
      <c r="S181" s="44" t="str">
        <f aca="false">IF(OR(NOT(ISNUMBER($R181)),$R181=0,NOT(ISNUMBER($K181))),"",$K181*(1-$R181))</f>
        <v/>
      </c>
      <c r="T181" s="45" t="str">
        <f aca="false">IF(ISNUMBER($S181),$S181*$H181,"")</f>
        <v/>
      </c>
      <c r="U181" s="45" t="str">
        <f aca="false">IF(ISNUMBER($S181),$S181*Parâmetros!$B$8,"")</f>
        <v/>
      </c>
      <c r="V181" s="45" t="str">
        <f aca="false">IF(ISNUMBER($S181),$S181*Parâmetros!$C$8,"")</f>
        <v/>
      </c>
      <c r="W181" s="44" t="str">
        <f aca="false">IF(ISNUMBER($S181),$S181-$D181-IF(ISNUMBER($E181),$E181,0)-$O181-$T181-$U181-$V181,"")</f>
        <v/>
      </c>
      <c r="X181" s="46" t="str">
        <f aca="false">IF(AND(ISNUMBER($S181),$S181&gt;0),$W181/$S181,"")</f>
        <v/>
      </c>
      <c r="Y181" s="49"/>
      <c r="Z181" s="21"/>
    </row>
    <row r="182" customFormat="false" ht="15.75" hidden="false" customHeight="true" outlineLevel="0" collapsed="false">
      <c r="A182" s="32" t="str">
        <f aca="false">IF(Produtos!$A182="","",Produtos!$A182)</f>
        <v>Q2460-B</v>
      </c>
      <c r="B182" s="32" t="str">
        <f aca="false">IF(Produtos!$A182="","",Produtos!$B182)</f>
        <v>Lixeira Quadrada c/Aro Basculante 24x60 30L</v>
      </c>
      <c r="C182" s="32" t="str">
        <f aca="false">IF(Produtos!$A182="","",Produtos!$C182)</f>
        <v>Lixeiras em inox</v>
      </c>
      <c r="D182" s="33" t="n">
        <f aca="false">IF(Produtos!$A182="","",IF(Produtos!$D182="","",Produtos!$D182))</f>
        <v>198.38</v>
      </c>
      <c r="E182" s="11" t="n">
        <v>0</v>
      </c>
      <c r="F182" s="34" t="n">
        <f aca="false">IF($A182="","",IF($C182="","⚠ categoria",IFERROR(INDEX(Parâmetros!$F$13:$F$22,MATCH($C182,Parâmetros!$A$13:$A$22,0)),"⚠ categoria")))</f>
        <v>0.19</v>
      </c>
      <c r="G182" s="35"/>
      <c r="H182" s="36" t="n">
        <f aca="false">IF($A182="","",IF(ISNUMBER($G182),$G182,IF(ISNUMBER($F182),$F182,"")))</f>
        <v>0.19</v>
      </c>
      <c r="I182" s="37" t="n">
        <f aca="false">IF(OR($A182="",NOT(ISNUMBER($D182)),NOT(ISNUMBER($H182))),"",IF((1-$H182-Parâmetros!$B$8-Parâmetros!$C$8-Parâmetros!$D$8)&lt;=0,"INVALIDO",($D182+IF(ISNUMBER($E182),$E182,0)+IF(ISNUMBER(Parâmetros!$E$8),Parâmetros!$E$8,0))/(1-$H182-Parâmetros!$B$8-Parâmetros!$C$8-Parâmetros!$D$8)))</f>
        <v>413.291666666667</v>
      </c>
      <c r="J182" s="38"/>
      <c r="K182" s="39" t="n">
        <f aca="false">IF(OR($A182="",NOT(ISNUMBER($D182)),NOT(ISNUMBER($H182))),"",IF(AND(ISNUMBER($J182),$J182&gt;0),$J182,IF(ISNUMBER($I182),$I182,"")))</f>
        <v>413.291666666667</v>
      </c>
      <c r="L182" s="40" t="n">
        <f aca="false">IF(ISNUMBER($K182),$K182*$H182,"")</f>
        <v>78.5254166666667</v>
      </c>
      <c r="M182" s="40" t="n">
        <f aca="false">IF(ISNUMBER($K182),$K182*Parâmetros!$B$8,"")</f>
        <v>41.3291666666667</v>
      </c>
      <c r="N182" s="40" t="n">
        <f aca="false">IF(ISNUMBER($K182),$K182*Parâmetros!$C$8,"")</f>
        <v>12.39875</v>
      </c>
      <c r="O182" s="40" t="n">
        <f aca="false">IF(ISNUMBER($K182),IF(ISNUMBER(Parâmetros!$E$8),Parâmetros!$E$8,0),"")</f>
        <v>0</v>
      </c>
      <c r="P182" s="41" t="n">
        <f aca="false">IF(ISNUMBER($K182),$K182-$D182-IF(ISNUMBER($E182),$E182,0)-$L182-$M182-$N182-$O182,"")</f>
        <v>82.6583333333333</v>
      </c>
      <c r="Q182" s="42" t="n">
        <f aca="false">IF(AND(ISNUMBER($K182),$K182&gt;0),$P182/$K182,"")</f>
        <v>0.2</v>
      </c>
      <c r="R182" s="43"/>
      <c r="S182" s="44" t="str">
        <f aca="false">IF(OR(NOT(ISNUMBER($R182)),$R182=0,NOT(ISNUMBER($K182))),"",$K182*(1-$R182))</f>
        <v/>
      </c>
      <c r="T182" s="45" t="str">
        <f aca="false">IF(ISNUMBER($S182),$S182*$H182,"")</f>
        <v/>
      </c>
      <c r="U182" s="45" t="str">
        <f aca="false">IF(ISNUMBER($S182),$S182*Parâmetros!$B$8,"")</f>
        <v/>
      </c>
      <c r="V182" s="45" t="str">
        <f aca="false">IF(ISNUMBER($S182),$S182*Parâmetros!$C$8,"")</f>
        <v/>
      </c>
      <c r="W182" s="44" t="str">
        <f aca="false">IF(ISNUMBER($S182),$S182-$D182-IF(ISNUMBER($E182),$E182,0)-$O182-$T182-$U182-$V182,"")</f>
        <v/>
      </c>
      <c r="X182" s="46" t="str">
        <f aca="false">IF(AND(ISNUMBER($S182),$S182&gt;0),$W182/$S182,"")</f>
        <v/>
      </c>
      <c r="Y182" s="47"/>
      <c r="Z182" s="19"/>
    </row>
    <row r="183" customFormat="false" ht="15.75" hidden="false" customHeight="true" outlineLevel="0" collapsed="false">
      <c r="A183" s="48" t="str">
        <f aca="false">IF(Produtos!$A183="","",Produtos!$A183)</f>
        <v>Q3060-B</v>
      </c>
      <c r="B183" s="48" t="str">
        <f aca="false">IF(Produtos!$A183="","",Produtos!$B183)</f>
        <v>Lixeira Quadrada c/Aro Basculante 30x60 50L</v>
      </c>
      <c r="C183" s="48" t="str">
        <f aca="false">IF(Produtos!$A183="","",Produtos!$C183)</f>
        <v>Lixeiras em inox</v>
      </c>
      <c r="D183" s="33" t="n">
        <f aca="false">IF(Produtos!$A183="","",IF(Produtos!$D183="","",Produtos!$D183))</f>
        <v>301.03</v>
      </c>
      <c r="E183" s="11" t="n">
        <v>0</v>
      </c>
      <c r="F183" s="34" t="n">
        <f aca="false">IF($A183="","",IF($C183="","⚠ categoria",IFERROR(INDEX(Parâmetros!$F$13:$F$22,MATCH($C183,Parâmetros!$A$13:$A$22,0)),"⚠ categoria")))</f>
        <v>0.19</v>
      </c>
      <c r="G183" s="35"/>
      <c r="H183" s="36" t="n">
        <f aca="false">IF($A183="","",IF(ISNUMBER($G183),$G183,IF(ISNUMBER($F183),$F183,"")))</f>
        <v>0.19</v>
      </c>
      <c r="I183" s="37" t="n">
        <f aca="false">IF(OR($A183="",NOT(ISNUMBER($D183)),NOT(ISNUMBER($H183))),"",IF((1-$H183-Parâmetros!$B$8-Parâmetros!$C$8-Parâmetros!$D$8)&lt;=0,"INVALIDO",($D183+IF(ISNUMBER($E183),$E183,0)+IF(ISNUMBER(Parâmetros!$E$8),Parâmetros!$E$8,0))/(1-$H183-Parâmetros!$B$8-Parâmetros!$C$8-Parâmetros!$D$8)))</f>
        <v>627.145833333333</v>
      </c>
      <c r="J183" s="38"/>
      <c r="K183" s="39" t="n">
        <f aca="false">IF(OR($A183="",NOT(ISNUMBER($D183)),NOT(ISNUMBER($H183))),"",IF(AND(ISNUMBER($J183),$J183&gt;0),$J183,IF(ISNUMBER($I183),$I183,"")))</f>
        <v>627.145833333333</v>
      </c>
      <c r="L183" s="40" t="n">
        <f aca="false">IF(ISNUMBER($K183),$K183*$H183,"")</f>
        <v>119.157708333333</v>
      </c>
      <c r="M183" s="40" t="n">
        <f aca="false">IF(ISNUMBER($K183),$K183*Parâmetros!$B$8,"")</f>
        <v>62.7145833333333</v>
      </c>
      <c r="N183" s="40" t="n">
        <f aca="false">IF(ISNUMBER($K183),$K183*Parâmetros!$C$8,"")</f>
        <v>18.814375</v>
      </c>
      <c r="O183" s="40" t="n">
        <f aca="false">IF(ISNUMBER($K183),IF(ISNUMBER(Parâmetros!$E$8),Parâmetros!$E$8,0),"")</f>
        <v>0</v>
      </c>
      <c r="P183" s="41" t="n">
        <f aca="false">IF(ISNUMBER($K183),$K183-$D183-IF(ISNUMBER($E183),$E183,0)-$L183-$M183-$N183-$O183,"")</f>
        <v>125.429166666667</v>
      </c>
      <c r="Q183" s="42" t="n">
        <f aca="false">IF(AND(ISNUMBER($K183),$K183&gt;0),$P183/$K183,"")</f>
        <v>0.2</v>
      </c>
      <c r="R183" s="43"/>
      <c r="S183" s="44" t="str">
        <f aca="false">IF(OR(NOT(ISNUMBER($R183)),$R183=0,NOT(ISNUMBER($K183))),"",$K183*(1-$R183))</f>
        <v/>
      </c>
      <c r="T183" s="45" t="str">
        <f aca="false">IF(ISNUMBER($S183),$S183*$H183,"")</f>
        <v/>
      </c>
      <c r="U183" s="45" t="str">
        <f aca="false">IF(ISNUMBER($S183),$S183*Parâmetros!$B$8,"")</f>
        <v/>
      </c>
      <c r="V183" s="45" t="str">
        <f aca="false">IF(ISNUMBER($S183),$S183*Parâmetros!$C$8,"")</f>
        <v/>
      </c>
      <c r="W183" s="44" t="str">
        <f aca="false">IF(ISNUMBER($S183),$S183-$D183-IF(ISNUMBER($E183),$E183,0)-$O183-$T183-$U183-$V183,"")</f>
        <v/>
      </c>
      <c r="X183" s="46" t="str">
        <f aca="false">IF(AND(ISNUMBER($S183),$S183&gt;0),$W183/$S183,"")</f>
        <v/>
      </c>
      <c r="Y183" s="49"/>
      <c r="Z183" s="21"/>
    </row>
    <row r="184" customFormat="false" ht="15.75" hidden="false" customHeight="true" outlineLevel="0" collapsed="false">
      <c r="A184" s="32" t="str">
        <f aca="false">IF(Produtos!$A184="","",Produtos!$A184)</f>
        <v>Q4070-B</v>
      </c>
      <c r="B184" s="32" t="str">
        <f aca="false">IF(Produtos!$A184="","",Produtos!$B184)</f>
        <v>Lixeira Quadrada c/Aro Basculante 40x70 100L</v>
      </c>
      <c r="C184" s="32" t="str">
        <f aca="false">IF(Produtos!$A184="","",Produtos!$C184)</f>
        <v>Lixeiras em inox</v>
      </c>
      <c r="D184" s="33" t="n">
        <f aca="false">IF(Produtos!$A184="","",IF(Produtos!$D184="","",Produtos!$D184))</f>
        <v>619.95</v>
      </c>
      <c r="E184" s="11" t="n">
        <v>0</v>
      </c>
      <c r="F184" s="34" t="n">
        <f aca="false">IF($A184="","",IF($C184="","⚠ categoria",IFERROR(INDEX(Parâmetros!$F$13:$F$22,MATCH($C184,Parâmetros!$A$13:$A$22,0)),"⚠ categoria")))</f>
        <v>0.19</v>
      </c>
      <c r="G184" s="35"/>
      <c r="H184" s="36" t="n">
        <f aca="false">IF($A184="","",IF(ISNUMBER($G184),$G184,IF(ISNUMBER($F184),$F184,"")))</f>
        <v>0.19</v>
      </c>
      <c r="I184" s="37" t="n">
        <f aca="false">IF(OR($A184="",NOT(ISNUMBER($D184)),NOT(ISNUMBER($H184))),"",IF((1-$H184-Parâmetros!$B$8-Parâmetros!$C$8-Parâmetros!$D$8)&lt;=0,"INVALIDO",($D184+IF(ISNUMBER($E184),$E184,0)+IF(ISNUMBER(Parâmetros!$E$8),Parâmetros!$E$8,0))/(1-$H184-Parâmetros!$B$8-Parâmetros!$C$8-Parâmetros!$D$8)))</f>
        <v>1291.5625</v>
      </c>
      <c r="J184" s="38"/>
      <c r="K184" s="39" t="n">
        <f aca="false">IF(OR($A184="",NOT(ISNUMBER($D184)),NOT(ISNUMBER($H184))),"",IF(AND(ISNUMBER($J184),$J184&gt;0),$J184,IF(ISNUMBER($I184),$I184,"")))</f>
        <v>1291.5625</v>
      </c>
      <c r="L184" s="40" t="n">
        <f aca="false">IF(ISNUMBER($K184),$K184*$H184,"")</f>
        <v>245.396875</v>
      </c>
      <c r="M184" s="40" t="n">
        <f aca="false">IF(ISNUMBER($K184),$K184*Parâmetros!$B$8,"")</f>
        <v>129.15625</v>
      </c>
      <c r="N184" s="40" t="n">
        <f aca="false">IF(ISNUMBER($K184),$K184*Parâmetros!$C$8,"")</f>
        <v>38.746875</v>
      </c>
      <c r="O184" s="40" t="n">
        <f aca="false">IF(ISNUMBER($K184),IF(ISNUMBER(Parâmetros!$E$8),Parâmetros!$E$8,0),"")</f>
        <v>0</v>
      </c>
      <c r="P184" s="41" t="n">
        <f aca="false">IF(ISNUMBER($K184),$K184-$D184-IF(ISNUMBER($E184),$E184,0)-$L184-$M184-$N184-$O184,"")</f>
        <v>258.3125</v>
      </c>
      <c r="Q184" s="42" t="n">
        <f aca="false">IF(AND(ISNUMBER($K184),$K184&gt;0),$P184/$K184,"")</f>
        <v>0.2</v>
      </c>
      <c r="R184" s="43"/>
      <c r="S184" s="44" t="str">
        <f aca="false">IF(OR(NOT(ISNUMBER($R184)),$R184=0,NOT(ISNUMBER($K184))),"",$K184*(1-$R184))</f>
        <v/>
      </c>
      <c r="T184" s="45" t="str">
        <f aca="false">IF(ISNUMBER($S184),$S184*$H184,"")</f>
        <v/>
      </c>
      <c r="U184" s="45" t="str">
        <f aca="false">IF(ISNUMBER($S184),$S184*Parâmetros!$B$8,"")</f>
        <v/>
      </c>
      <c r="V184" s="45" t="str">
        <f aca="false">IF(ISNUMBER($S184),$S184*Parâmetros!$C$8,"")</f>
        <v/>
      </c>
      <c r="W184" s="44" t="str">
        <f aca="false">IF(ISNUMBER($S184),$S184-$D184-IF(ISNUMBER($E184),$E184,0)-$O184-$T184-$U184-$V184,"")</f>
        <v/>
      </c>
      <c r="X184" s="46" t="str">
        <f aca="false">IF(AND(ISNUMBER($S184),$S184&gt;0),$W184/$S184,"")</f>
        <v/>
      </c>
      <c r="Y184" s="47"/>
      <c r="Z184" s="19"/>
    </row>
    <row r="185" customFormat="false" ht="15.75" hidden="false" customHeight="true" outlineLevel="0" collapsed="false">
      <c r="A185" s="48" t="str">
        <f aca="false">IF(Produtos!$A185="","",Produtos!$A185)</f>
        <v>PQ-2430</v>
      </c>
      <c r="B185" s="48" t="str">
        <f aca="false">IF(Produtos!$A185="","",Produtos!$B185)</f>
        <v>Lixeira quadrada com Tampa Pedal de Aço inox 24x30 15L</v>
      </c>
      <c r="C185" s="48" t="str">
        <f aca="false">IF(Produtos!$A185="","",Produtos!$C185)</f>
        <v>Lixeiras com pedal</v>
      </c>
      <c r="D185" s="33" t="n">
        <f aca="false">IF(Produtos!$A185="","",IF(Produtos!$D185="","",Produtos!$D185))</f>
        <v>220.94</v>
      </c>
      <c r="E185" s="11" t="n">
        <v>0</v>
      </c>
      <c r="F185" s="34" t="n">
        <f aca="false">IF($A185="","",IF($C185="","⚠ categoria",IFERROR(INDEX(Parâmetros!$F$13:$F$22,MATCH($C185,Parâmetros!$A$13:$A$22,0)),"⚠ categoria")))</f>
        <v>0.19</v>
      </c>
      <c r="G185" s="35"/>
      <c r="H185" s="36" t="n">
        <f aca="false">IF($A185="","",IF(ISNUMBER($G185),$G185,IF(ISNUMBER($F185),$F185,"")))</f>
        <v>0.19</v>
      </c>
      <c r="I185" s="37" t="n">
        <f aca="false">IF(OR($A185="",NOT(ISNUMBER($D185)),NOT(ISNUMBER($H185))),"",IF((1-$H185-Parâmetros!$B$8-Parâmetros!$C$8-Parâmetros!$D$8)&lt;=0,"INVALIDO",($D185+IF(ISNUMBER($E185),$E185,0)+IF(ISNUMBER(Parâmetros!$E$8),Parâmetros!$E$8,0))/(1-$H185-Parâmetros!$B$8-Parâmetros!$C$8-Parâmetros!$D$8)))</f>
        <v>460.291666666667</v>
      </c>
      <c r="J185" s="38"/>
      <c r="K185" s="39" t="n">
        <f aca="false">IF(OR($A185="",NOT(ISNUMBER($D185)),NOT(ISNUMBER($H185))),"",IF(AND(ISNUMBER($J185),$J185&gt;0),$J185,IF(ISNUMBER($I185),$I185,"")))</f>
        <v>460.291666666667</v>
      </c>
      <c r="L185" s="40" t="n">
        <f aca="false">IF(ISNUMBER($K185),$K185*$H185,"")</f>
        <v>87.4554166666667</v>
      </c>
      <c r="M185" s="40" t="n">
        <f aca="false">IF(ISNUMBER($K185),$K185*Parâmetros!$B$8,"")</f>
        <v>46.0291666666667</v>
      </c>
      <c r="N185" s="40" t="n">
        <f aca="false">IF(ISNUMBER($K185),$K185*Parâmetros!$C$8,"")</f>
        <v>13.80875</v>
      </c>
      <c r="O185" s="40" t="n">
        <f aca="false">IF(ISNUMBER($K185),IF(ISNUMBER(Parâmetros!$E$8),Parâmetros!$E$8,0),"")</f>
        <v>0</v>
      </c>
      <c r="P185" s="41" t="n">
        <f aca="false">IF(ISNUMBER($K185),$K185-$D185-IF(ISNUMBER($E185),$E185,0)-$L185-$M185-$N185-$O185,"")</f>
        <v>92.0583333333333</v>
      </c>
      <c r="Q185" s="42" t="n">
        <f aca="false">IF(AND(ISNUMBER($K185),$K185&gt;0),$P185/$K185,"")</f>
        <v>0.2</v>
      </c>
      <c r="R185" s="43"/>
      <c r="S185" s="44" t="str">
        <f aca="false">IF(OR(NOT(ISNUMBER($R185)),$R185=0,NOT(ISNUMBER($K185))),"",$K185*(1-$R185))</f>
        <v/>
      </c>
      <c r="T185" s="45" t="str">
        <f aca="false">IF(ISNUMBER($S185),$S185*$H185,"")</f>
        <v/>
      </c>
      <c r="U185" s="45" t="str">
        <f aca="false">IF(ISNUMBER($S185),$S185*Parâmetros!$B$8,"")</f>
        <v/>
      </c>
      <c r="V185" s="45" t="str">
        <f aca="false">IF(ISNUMBER($S185),$S185*Parâmetros!$C$8,"")</f>
        <v/>
      </c>
      <c r="W185" s="44" t="str">
        <f aca="false">IF(ISNUMBER($S185),$S185-$D185-IF(ISNUMBER($E185),$E185,0)-$O185-$T185-$U185-$V185,"")</f>
        <v/>
      </c>
      <c r="X185" s="46" t="str">
        <f aca="false">IF(AND(ISNUMBER($S185),$S185&gt;0),$W185/$S185,"")</f>
        <v/>
      </c>
      <c r="Y185" s="49"/>
      <c r="Z185" s="21"/>
    </row>
    <row r="186" customFormat="false" ht="15.75" hidden="false" customHeight="true" outlineLevel="0" collapsed="false">
      <c r="A186" s="32" t="str">
        <f aca="false">IF(Produtos!$A186="","",Produtos!$A186)</f>
        <v>PQ-2460</v>
      </c>
      <c r="B186" s="32" t="str">
        <f aca="false">IF(Produtos!$A186="","",Produtos!$B186)</f>
        <v>Lixeira quadrada com Tampa Pedal de Aço inox 24x60 30L</v>
      </c>
      <c r="C186" s="32" t="str">
        <f aca="false">IF(Produtos!$A186="","",Produtos!$C186)</f>
        <v>Lixeiras com pedal</v>
      </c>
      <c r="D186" s="33" t="n">
        <f aca="false">IF(Produtos!$A186="","",IF(Produtos!$D186="","",Produtos!$D186))</f>
        <v>303.74</v>
      </c>
      <c r="E186" s="11" t="n">
        <v>0</v>
      </c>
      <c r="F186" s="34" t="n">
        <f aca="false">IF($A186="","",IF($C186="","⚠ categoria",IFERROR(INDEX(Parâmetros!$F$13:$F$22,MATCH($C186,Parâmetros!$A$13:$A$22,0)),"⚠ categoria")))</f>
        <v>0.19</v>
      </c>
      <c r="G186" s="35"/>
      <c r="H186" s="36" t="n">
        <f aca="false">IF($A186="","",IF(ISNUMBER($G186),$G186,IF(ISNUMBER($F186),$F186,"")))</f>
        <v>0.19</v>
      </c>
      <c r="I186" s="37" t="n">
        <f aca="false">IF(OR($A186="",NOT(ISNUMBER($D186)),NOT(ISNUMBER($H186))),"",IF((1-$H186-Parâmetros!$B$8-Parâmetros!$C$8-Parâmetros!$D$8)&lt;=0,"INVALIDO",($D186+IF(ISNUMBER($E186),$E186,0)+IF(ISNUMBER(Parâmetros!$E$8),Parâmetros!$E$8,0))/(1-$H186-Parâmetros!$B$8-Parâmetros!$C$8-Parâmetros!$D$8)))</f>
        <v>632.791666666667</v>
      </c>
      <c r="J186" s="38"/>
      <c r="K186" s="39" t="n">
        <f aca="false">IF(OR($A186="",NOT(ISNUMBER($D186)),NOT(ISNUMBER($H186))),"",IF(AND(ISNUMBER($J186),$J186&gt;0),$J186,IF(ISNUMBER($I186),$I186,"")))</f>
        <v>632.791666666667</v>
      </c>
      <c r="L186" s="40" t="n">
        <f aca="false">IF(ISNUMBER($K186),$K186*$H186,"")</f>
        <v>120.230416666667</v>
      </c>
      <c r="M186" s="40" t="n">
        <f aca="false">IF(ISNUMBER($K186),$K186*Parâmetros!$B$8,"")</f>
        <v>63.2791666666667</v>
      </c>
      <c r="N186" s="40" t="n">
        <f aca="false">IF(ISNUMBER($K186),$K186*Parâmetros!$C$8,"")</f>
        <v>18.98375</v>
      </c>
      <c r="O186" s="40" t="n">
        <f aca="false">IF(ISNUMBER($K186),IF(ISNUMBER(Parâmetros!$E$8),Parâmetros!$E$8,0),"")</f>
        <v>0</v>
      </c>
      <c r="P186" s="41" t="n">
        <f aca="false">IF(ISNUMBER($K186),$K186-$D186-IF(ISNUMBER($E186),$E186,0)-$L186-$M186-$N186-$O186,"")</f>
        <v>126.558333333333</v>
      </c>
      <c r="Q186" s="42" t="n">
        <f aca="false">IF(AND(ISNUMBER($K186),$K186&gt;0),$P186/$K186,"")</f>
        <v>0.2</v>
      </c>
      <c r="R186" s="43"/>
      <c r="S186" s="44" t="str">
        <f aca="false">IF(OR(NOT(ISNUMBER($R186)),$R186=0,NOT(ISNUMBER($K186))),"",$K186*(1-$R186))</f>
        <v/>
      </c>
      <c r="T186" s="45" t="str">
        <f aca="false">IF(ISNUMBER($S186),$S186*$H186,"")</f>
        <v/>
      </c>
      <c r="U186" s="45" t="str">
        <f aca="false">IF(ISNUMBER($S186),$S186*Parâmetros!$B$8,"")</f>
        <v/>
      </c>
      <c r="V186" s="45" t="str">
        <f aca="false">IF(ISNUMBER($S186),$S186*Parâmetros!$C$8,"")</f>
        <v/>
      </c>
      <c r="W186" s="44" t="str">
        <f aca="false">IF(ISNUMBER($S186),$S186-$D186-IF(ISNUMBER($E186),$E186,0)-$O186-$T186-$U186-$V186,"")</f>
        <v/>
      </c>
      <c r="X186" s="46" t="str">
        <f aca="false">IF(AND(ISNUMBER($S186),$S186&gt;0),$W186/$S186,"")</f>
        <v/>
      </c>
      <c r="Y186" s="47"/>
      <c r="Z186" s="19"/>
    </row>
    <row r="187" customFormat="false" ht="15.75" hidden="false" customHeight="true" outlineLevel="0" collapsed="false">
      <c r="A187" s="48" t="str">
        <f aca="false">IF(Produtos!$A187="","",Produtos!$A187)</f>
        <v>PQ-3060</v>
      </c>
      <c r="B187" s="48" t="str">
        <f aca="false">IF(Produtos!$A187="","",Produtos!$B187)</f>
        <v>Lixeira quadrada com Tampa Pedal de Aço inox 30x60 50L</v>
      </c>
      <c r="C187" s="48" t="str">
        <f aca="false">IF(Produtos!$A187="","",Produtos!$C187)</f>
        <v>Lixeiras com pedal</v>
      </c>
      <c r="D187" s="33" t="n">
        <f aca="false">IF(Produtos!$A187="","",IF(Produtos!$D187="","",Produtos!$D187))</f>
        <v>408.87</v>
      </c>
      <c r="E187" s="11" t="n">
        <v>0</v>
      </c>
      <c r="F187" s="34" t="n">
        <f aca="false">IF($A187="","",IF($C187="","⚠ categoria",IFERROR(INDEX(Parâmetros!$F$13:$F$22,MATCH($C187,Parâmetros!$A$13:$A$22,0)),"⚠ categoria")))</f>
        <v>0.19</v>
      </c>
      <c r="G187" s="35"/>
      <c r="H187" s="36" t="n">
        <f aca="false">IF($A187="","",IF(ISNUMBER($G187),$G187,IF(ISNUMBER($F187),$F187,"")))</f>
        <v>0.19</v>
      </c>
      <c r="I187" s="37" t="n">
        <f aca="false">IF(OR($A187="",NOT(ISNUMBER($D187)),NOT(ISNUMBER($H187))),"",IF((1-$H187-Parâmetros!$B$8-Parâmetros!$C$8-Parâmetros!$D$8)&lt;=0,"INVALIDO",($D187+IF(ISNUMBER($E187),$E187,0)+IF(ISNUMBER(Parâmetros!$E$8),Parâmetros!$E$8,0))/(1-$H187-Parâmetros!$B$8-Parâmetros!$C$8-Parâmetros!$D$8)))</f>
        <v>851.8125</v>
      </c>
      <c r="J187" s="38"/>
      <c r="K187" s="39" t="n">
        <f aca="false">IF(OR($A187="",NOT(ISNUMBER($D187)),NOT(ISNUMBER($H187))),"",IF(AND(ISNUMBER($J187),$J187&gt;0),$J187,IF(ISNUMBER($I187),$I187,"")))</f>
        <v>851.8125</v>
      </c>
      <c r="L187" s="40" t="n">
        <f aca="false">IF(ISNUMBER($K187),$K187*$H187,"")</f>
        <v>161.844375</v>
      </c>
      <c r="M187" s="40" t="n">
        <f aca="false">IF(ISNUMBER($K187),$K187*Parâmetros!$B$8,"")</f>
        <v>85.18125</v>
      </c>
      <c r="N187" s="40" t="n">
        <f aca="false">IF(ISNUMBER($K187),$K187*Parâmetros!$C$8,"")</f>
        <v>25.554375</v>
      </c>
      <c r="O187" s="40" t="n">
        <f aca="false">IF(ISNUMBER($K187),IF(ISNUMBER(Parâmetros!$E$8),Parâmetros!$E$8,0),"")</f>
        <v>0</v>
      </c>
      <c r="P187" s="41" t="n">
        <f aca="false">IF(ISNUMBER($K187),$K187-$D187-IF(ISNUMBER($E187),$E187,0)-$L187-$M187-$N187-$O187,"")</f>
        <v>170.3625</v>
      </c>
      <c r="Q187" s="42" t="n">
        <f aca="false">IF(AND(ISNUMBER($K187),$K187&gt;0),$P187/$K187,"")</f>
        <v>0.2</v>
      </c>
      <c r="R187" s="43"/>
      <c r="S187" s="44" t="str">
        <f aca="false">IF(OR(NOT(ISNUMBER($R187)),$R187=0,NOT(ISNUMBER($K187))),"",$K187*(1-$R187))</f>
        <v/>
      </c>
      <c r="T187" s="45" t="str">
        <f aca="false">IF(ISNUMBER($S187),$S187*$H187,"")</f>
        <v/>
      </c>
      <c r="U187" s="45" t="str">
        <f aca="false">IF(ISNUMBER($S187),$S187*Parâmetros!$B$8,"")</f>
        <v/>
      </c>
      <c r="V187" s="45" t="str">
        <f aca="false">IF(ISNUMBER($S187),$S187*Parâmetros!$C$8,"")</f>
        <v/>
      </c>
      <c r="W187" s="44" t="str">
        <f aca="false">IF(ISNUMBER($S187),$S187-$D187-IF(ISNUMBER($E187),$E187,0)-$O187-$T187-$U187-$V187,"")</f>
        <v/>
      </c>
      <c r="X187" s="46" t="str">
        <f aca="false">IF(AND(ISNUMBER($S187),$S187&gt;0),$W187/$S187,"")</f>
        <v/>
      </c>
      <c r="Y187" s="49"/>
      <c r="Z187" s="21"/>
    </row>
    <row r="188" customFormat="false" ht="15.75" hidden="false" customHeight="true" outlineLevel="0" collapsed="false">
      <c r="A188" s="32" t="str">
        <f aca="false">IF(Produtos!$A188="","",Produtos!$A188)</f>
        <v>PQ-4070</v>
      </c>
      <c r="B188" s="32" t="str">
        <f aca="false">IF(Produtos!$A188="","",Produtos!$B188)</f>
        <v>Lixeira quadrada com Tampa Pedal de Aço inox 40x70 100L</v>
      </c>
      <c r="C188" s="32" t="str">
        <f aca="false">IF(Produtos!$A188="","",Produtos!$C188)</f>
        <v>Lixeiras com pedal</v>
      </c>
      <c r="D188" s="33" t="n">
        <f aca="false">IF(Produtos!$A188="","",IF(Produtos!$D188="","",Produtos!$D188))</f>
        <v>905.26</v>
      </c>
      <c r="E188" s="11" t="n">
        <v>0</v>
      </c>
      <c r="F188" s="34" t="n">
        <f aca="false">IF($A188="","",IF($C188="","⚠ categoria",IFERROR(INDEX(Parâmetros!$F$13:$F$22,MATCH($C188,Parâmetros!$A$13:$A$22,0)),"⚠ categoria")))</f>
        <v>0.19</v>
      </c>
      <c r="G188" s="35"/>
      <c r="H188" s="36" t="n">
        <f aca="false">IF($A188="","",IF(ISNUMBER($G188),$G188,IF(ISNUMBER($F188),$F188,"")))</f>
        <v>0.19</v>
      </c>
      <c r="I188" s="37" t="n">
        <f aca="false">IF(OR($A188="",NOT(ISNUMBER($D188)),NOT(ISNUMBER($H188))),"",IF((1-$H188-Parâmetros!$B$8-Parâmetros!$C$8-Parâmetros!$D$8)&lt;=0,"INVALIDO",($D188+IF(ISNUMBER($E188),$E188,0)+IF(ISNUMBER(Parâmetros!$E$8),Parâmetros!$E$8,0))/(1-$H188-Parâmetros!$B$8-Parâmetros!$C$8-Parâmetros!$D$8)))</f>
        <v>1885.95833333333</v>
      </c>
      <c r="J188" s="38"/>
      <c r="K188" s="39" t="n">
        <f aca="false">IF(OR($A188="",NOT(ISNUMBER($D188)),NOT(ISNUMBER($H188))),"",IF(AND(ISNUMBER($J188),$J188&gt;0),$J188,IF(ISNUMBER($I188),$I188,"")))</f>
        <v>1885.95833333333</v>
      </c>
      <c r="L188" s="40" t="n">
        <f aca="false">IF(ISNUMBER($K188),$K188*$H188,"")</f>
        <v>358.332083333333</v>
      </c>
      <c r="M188" s="40" t="n">
        <f aca="false">IF(ISNUMBER($K188),$K188*Parâmetros!$B$8,"")</f>
        <v>188.595833333333</v>
      </c>
      <c r="N188" s="40" t="n">
        <f aca="false">IF(ISNUMBER($K188),$K188*Parâmetros!$C$8,"")</f>
        <v>56.57875</v>
      </c>
      <c r="O188" s="40" t="n">
        <f aca="false">IF(ISNUMBER($K188),IF(ISNUMBER(Parâmetros!$E$8),Parâmetros!$E$8,0),"")</f>
        <v>0</v>
      </c>
      <c r="P188" s="41" t="n">
        <f aca="false">IF(ISNUMBER($K188),$K188-$D188-IF(ISNUMBER($E188),$E188,0)-$L188-$M188-$N188-$O188,"")</f>
        <v>377.191666666667</v>
      </c>
      <c r="Q188" s="42" t="n">
        <f aca="false">IF(AND(ISNUMBER($K188),$K188&gt;0),$P188/$K188,"")</f>
        <v>0.2</v>
      </c>
      <c r="R188" s="43"/>
      <c r="S188" s="44" t="str">
        <f aca="false">IF(OR(NOT(ISNUMBER($R188)),$R188=0,NOT(ISNUMBER($K188))),"",$K188*(1-$R188))</f>
        <v/>
      </c>
      <c r="T188" s="45" t="str">
        <f aca="false">IF(ISNUMBER($S188),$S188*$H188,"")</f>
        <v/>
      </c>
      <c r="U188" s="45" t="str">
        <f aca="false">IF(ISNUMBER($S188),$S188*Parâmetros!$B$8,"")</f>
        <v/>
      </c>
      <c r="V188" s="45" t="str">
        <f aca="false">IF(ISNUMBER($S188),$S188*Parâmetros!$C$8,"")</f>
        <v/>
      </c>
      <c r="W188" s="44" t="str">
        <f aca="false">IF(ISNUMBER($S188),$S188-$D188-IF(ISNUMBER($E188),$E188,0)-$O188-$T188-$U188-$V188,"")</f>
        <v/>
      </c>
      <c r="X188" s="46" t="str">
        <f aca="false">IF(AND(ISNUMBER($S188),$S188&gt;0),$W188/$S188,"")</f>
        <v/>
      </c>
      <c r="Y188" s="47"/>
      <c r="Z188" s="19"/>
    </row>
    <row r="189" customFormat="false" ht="15.75" hidden="false" customHeight="true" outlineLevel="0" collapsed="false">
      <c r="A189" s="48" t="str">
        <f aca="false">IF(Produtos!$A189="","",Produtos!$A189)</f>
        <v>PQ-4090</v>
      </c>
      <c r="B189" s="48" t="str">
        <f aca="false">IF(Produtos!$A189="","",Produtos!$B189)</f>
        <v>Lixeira quadrada com Tampa Pedal de Aço inox 40x90 120L</v>
      </c>
      <c r="C189" s="48" t="str">
        <f aca="false">IF(Produtos!$A189="","",Produtos!$C189)</f>
        <v>Lixeiras com pedal</v>
      </c>
      <c r="D189" s="33" t="n">
        <f aca="false">IF(Produtos!$A189="","",IF(Produtos!$D189="","",Produtos!$D189))</f>
        <v>956.96</v>
      </c>
      <c r="E189" s="11" t="n">
        <v>0</v>
      </c>
      <c r="F189" s="34" t="n">
        <f aca="false">IF($A189="","",IF($C189="","⚠ categoria",IFERROR(INDEX(Parâmetros!$F$13:$F$22,MATCH($C189,Parâmetros!$A$13:$A$22,0)),"⚠ categoria")))</f>
        <v>0.19</v>
      </c>
      <c r="G189" s="35"/>
      <c r="H189" s="36" t="n">
        <f aca="false">IF($A189="","",IF(ISNUMBER($G189),$G189,IF(ISNUMBER($F189),$F189,"")))</f>
        <v>0.19</v>
      </c>
      <c r="I189" s="37" t="n">
        <f aca="false">IF(OR($A189="",NOT(ISNUMBER($D189)),NOT(ISNUMBER($H189))),"",IF((1-$H189-Parâmetros!$B$8-Parâmetros!$C$8-Parâmetros!$D$8)&lt;=0,"INVALIDO",($D189+IF(ISNUMBER($E189),$E189,0)+IF(ISNUMBER(Parâmetros!$E$8),Parâmetros!$E$8,0))/(1-$H189-Parâmetros!$B$8-Parâmetros!$C$8-Parâmetros!$D$8)))</f>
        <v>1993.66666666667</v>
      </c>
      <c r="J189" s="38"/>
      <c r="K189" s="39" t="n">
        <f aca="false">IF(OR($A189="",NOT(ISNUMBER($D189)),NOT(ISNUMBER($H189))),"",IF(AND(ISNUMBER($J189),$J189&gt;0),$J189,IF(ISNUMBER($I189),$I189,"")))</f>
        <v>1993.66666666667</v>
      </c>
      <c r="L189" s="40" t="n">
        <f aca="false">IF(ISNUMBER($K189),$K189*$H189,"")</f>
        <v>378.796666666667</v>
      </c>
      <c r="M189" s="40" t="n">
        <f aca="false">IF(ISNUMBER($K189),$K189*Parâmetros!$B$8,"")</f>
        <v>199.366666666667</v>
      </c>
      <c r="N189" s="40" t="n">
        <f aca="false">IF(ISNUMBER($K189),$K189*Parâmetros!$C$8,"")</f>
        <v>59.81</v>
      </c>
      <c r="O189" s="40" t="n">
        <f aca="false">IF(ISNUMBER($K189),IF(ISNUMBER(Parâmetros!$E$8),Parâmetros!$E$8,0),"")</f>
        <v>0</v>
      </c>
      <c r="P189" s="41" t="n">
        <f aca="false">IF(ISNUMBER($K189),$K189-$D189-IF(ISNUMBER($E189),$E189,0)-$L189-$M189-$N189-$O189,"")</f>
        <v>398.733333333333</v>
      </c>
      <c r="Q189" s="42" t="n">
        <f aca="false">IF(AND(ISNUMBER($K189),$K189&gt;0),$P189/$K189,"")</f>
        <v>0.2</v>
      </c>
      <c r="R189" s="43"/>
      <c r="S189" s="44" t="str">
        <f aca="false">IF(OR(NOT(ISNUMBER($R189)),$R189=0,NOT(ISNUMBER($K189))),"",$K189*(1-$R189))</f>
        <v/>
      </c>
      <c r="T189" s="45" t="str">
        <f aca="false">IF(ISNUMBER($S189),$S189*$H189,"")</f>
        <v/>
      </c>
      <c r="U189" s="45" t="str">
        <f aca="false">IF(ISNUMBER($S189),$S189*Parâmetros!$B$8,"")</f>
        <v/>
      </c>
      <c r="V189" s="45" t="str">
        <f aca="false">IF(ISNUMBER($S189),$S189*Parâmetros!$C$8,"")</f>
        <v/>
      </c>
      <c r="W189" s="44" t="str">
        <f aca="false">IF(ISNUMBER($S189),$S189-$D189-IF(ISNUMBER($E189),$E189,0)-$O189-$T189-$U189-$V189,"")</f>
        <v/>
      </c>
      <c r="X189" s="46" t="str">
        <f aca="false">IF(AND(ISNUMBER($S189),$S189&gt;0),$W189/$S189,"")</f>
        <v/>
      </c>
      <c r="Y189" s="49"/>
      <c r="Z189" s="21"/>
    </row>
    <row r="190" customFormat="false" ht="15.75" hidden="false" customHeight="true" outlineLevel="0" collapsed="false">
      <c r="A190" s="32" t="str">
        <f aca="false">IF(Produtos!$A190="","",Produtos!$A190)</f>
        <v>PQ-5080</v>
      </c>
      <c r="B190" s="32" t="str">
        <f aca="false">IF(Produtos!$A190="","",Produtos!$B190)</f>
        <v>Lixeira quadrada com Tampa Pedal de Aço inox 50x80 150L</v>
      </c>
      <c r="C190" s="32" t="str">
        <f aca="false">IF(Produtos!$A190="","",Produtos!$C190)</f>
        <v>Lixeiras com pedal</v>
      </c>
      <c r="D190" s="33" t="n">
        <f aca="false">IF(Produtos!$A190="","",IF(Produtos!$D190="","",Produtos!$D190))</f>
        <v>1393</v>
      </c>
      <c r="E190" s="11" t="n">
        <v>0</v>
      </c>
      <c r="F190" s="34" t="n">
        <f aca="false">IF($A190="","",IF($C190="","⚠ categoria",IFERROR(INDEX(Parâmetros!$F$13:$F$22,MATCH($C190,Parâmetros!$A$13:$A$22,0)),"⚠ categoria")))</f>
        <v>0.19</v>
      </c>
      <c r="G190" s="35"/>
      <c r="H190" s="36" t="n">
        <f aca="false">IF($A190="","",IF(ISNUMBER($G190),$G190,IF(ISNUMBER($F190),$F190,"")))</f>
        <v>0.19</v>
      </c>
      <c r="I190" s="37" t="n">
        <f aca="false">IF(OR($A190="",NOT(ISNUMBER($D190)),NOT(ISNUMBER($H190))),"",IF((1-$H190-Parâmetros!$B$8-Parâmetros!$C$8-Parâmetros!$D$8)&lt;=0,"INVALIDO",($D190+IF(ISNUMBER($E190),$E190,0)+IF(ISNUMBER(Parâmetros!$E$8),Parâmetros!$E$8,0))/(1-$H190-Parâmetros!$B$8-Parâmetros!$C$8-Parâmetros!$D$8)))</f>
        <v>2902.08333333333</v>
      </c>
      <c r="J190" s="38"/>
      <c r="K190" s="39" t="n">
        <f aca="false">IF(OR($A190="",NOT(ISNUMBER($D190)),NOT(ISNUMBER($H190))),"",IF(AND(ISNUMBER($J190),$J190&gt;0),$J190,IF(ISNUMBER($I190),$I190,"")))</f>
        <v>2902.08333333333</v>
      </c>
      <c r="L190" s="40" t="n">
        <f aca="false">IF(ISNUMBER($K190),$K190*$H190,"")</f>
        <v>551.395833333333</v>
      </c>
      <c r="M190" s="40" t="n">
        <f aca="false">IF(ISNUMBER($K190),$K190*Parâmetros!$B$8,"")</f>
        <v>290.208333333333</v>
      </c>
      <c r="N190" s="40" t="n">
        <f aca="false">IF(ISNUMBER($K190),$K190*Parâmetros!$C$8,"")</f>
        <v>87.0625</v>
      </c>
      <c r="O190" s="40" t="n">
        <f aca="false">IF(ISNUMBER($K190),IF(ISNUMBER(Parâmetros!$E$8),Parâmetros!$E$8,0),"")</f>
        <v>0</v>
      </c>
      <c r="P190" s="41" t="n">
        <f aca="false">IF(ISNUMBER($K190),$K190-$D190-IF(ISNUMBER($E190),$E190,0)-$L190-$M190-$N190-$O190,"")</f>
        <v>580.416666666667</v>
      </c>
      <c r="Q190" s="42" t="n">
        <f aca="false">IF(AND(ISNUMBER($K190),$K190&gt;0),$P190/$K190,"")</f>
        <v>0.2</v>
      </c>
      <c r="R190" s="43"/>
      <c r="S190" s="44" t="str">
        <f aca="false">IF(OR(NOT(ISNUMBER($R190)),$R190=0,NOT(ISNUMBER($K190))),"",$K190*(1-$R190))</f>
        <v/>
      </c>
      <c r="T190" s="45" t="str">
        <f aca="false">IF(ISNUMBER($S190),$S190*$H190,"")</f>
        <v/>
      </c>
      <c r="U190" s="45" t="str">
        <f aca="false">IF(ISNUMBER($S190),$S190*Parâmetros!$B$8,"")</f>
        <v/>
      </c>
      <c r="V190" s="45" t="str">
        <f aca="false">IF(ISNUMBER($S190),$S190*Parâmetros!$C$8,"")</f>
        <v/>
      </c>
      <c r="W190" s="44" t="str">
        <f aca="false">IF(ISNUMBER($S190),$S190-$D190-IF(ISNUMBER($E190),$E190,0)-$O190-$T190-$U190-$V190,"")</f>
        <v/>
      </c>
      <c r="X190" s="46" t="str">
        <f aca="false">IF(AND(ISNUMBER($S190),$S190&gt;0),$W190/$S190,"")</f>
        <v/>
      </c>
      <c r="Y190" s="47"/>
      <c r="Z190" s="19"/>
    </row>
    <row r="191" customFormat="false" ht="15.75" hidden="false" customHeight="true" outlineLevel="0" collapsed="false">
      <c r="A191" s="48" t="str">
        <f aca="false">IF(Produtos!$A191="","",Produtos!$A191)</f>
        <v>Q2430-AC</v>
      </c>
      <c r="B191" s="48" t="str">
        <f aca="false">IF(Produtos!$A191="","",Produtos!$B191)</f>
        <v>Lixeira Quadrada 24x30 15L c/Aro Colorido</v>
      </c>
      <c r="C191" s="48" t="str">
        <f aca="false">IF(Produtos!$A191="","",Produtos!$C191)</f>
        <v>Lixeiras em inox</v>
      </c>
      <c r="D191" s="33" t="n">
        <f aca="false">IF(Produtos!$A191="","",IF(Produtos!$D191="","",Produtos!$D191))</f>
        <v>143.24</v>
      </c>
      <c r="E191" s="11" t="n">
        <v>0</v>
      </c>
      <c r="F191" s="34" t="n">
        <f aca="false">IF($A191="","",IF($C191="","⚠ categoria",IFERROR(INDEX(Parâmetros!$F$13:$F$22,MATCH($C191,Parâmetros!$A$13:$A$22,0)),"⚠ categoria")))</f>
        <v>0.19</v>
      </c>
      <c r="G191" s="35"/>
      <c r="H191" s="36" t="n">
        <f aca="false">IF($A191="","",IF(ISNUMBER($G191),$G191,IF(ISNUMBER($F191),$F191,"")))</f>
        <v>0.19</v>
      </c>
      <c r="I191" s="37" t="n">
        <f aca="false">IF(OR($A191="",NOT(ISNUMBER($D191)),NOT(ISNUMBER($H191))),"",IF((1-$H191-Parâmetros!$B$8-Parâmetros!$C$8-Parâmetros!$D$8)&lt;=0,"INVALIDO",($D191+IF(ISNUMBER($E191),$E191,0)+IF(ISNUMBER(Parâmetros!$E$8),Parâmetros!$E$8,0))/(1-$H191-Parâmetros!$B$8-Parâmetros!$C$8-Parâmetros!$D$8)))</f>
        <v>298.416666666667</v>
      </c>
      <c r="J191" s="38"/>
      <c r="K191" s="39" t="n">
        <f aca="false">IF(OR($A191="",NOT(ISNUMBER($D191)),NOT(ISNUMBER($H191))),"",IF(AND(ISNUMBER($J191),$J191&gt;0),$J191,IF(ISNUMBER($I191),$I191,"")))</f>
        <v>298.416666666667</v>
      </c>
      <c r="L191" s="40" t="n">
        <f aca="false">IF(ISNUMBER($K191),$K191*$H191,"")</f>
        <v>56.6991666666667</v>
      </c>
      <c r="M191" s="40" t="n">
        <f aca="false">IF(ISNUMBER($K191),$K191*Parâmetros!$B$8,"")</f>
        <v>29.8416666666667</v>
      </c>
      <c r="N191" s="40" t="n">
        <f aca="false">IF(ISNUMBER($K191),$K191*Parâmetros!$C$8,"")</f>
        <v>8.9525</v>
      </c>
      <c r="O191" s="40" t="n">
        <f aca="false">IF(ISNUMBER($K191),IF(ISNUMBER(Parâmetros!$E$8),Parâmetros!$E$8,0),"")</f>
        <v>0</v>
      </c>
      <c r="P191" s="41" t="n">
        <f aca="false">IF(ISNUMBER($K191),$K191-$D191-IF(ISNUMBER($E191),$E191,0)-$L191-$M191-$N191-$O191,"")</f>
        <v>59.6833333333333</v>
      </c>
      <c r="Q191" s="42" t="n">
        <f aca="false">IF(AND(ISNUMBER($K191),$K191&gt;0),$P191/$K191,"")</f>
        <v>0.2</v>
      </c>
      <c r="R191" s="43"/>
      <c r="S191" s="44" t="str">
        <f aca="false">IF(OR(NOT(ISNUMBER($R191)),$R191=0,NOT(ISNUMBER($K191))),"",$K191*(1-$R191))</f>
        <v/>
      </c>
      <c r="T191" s="45" t="str">
        <f aca="false">IF(ISNUMBER($S191),$S191*$H191,"")</f>
        <v/>
      </c>
      <c r="U191" s="45" t="str">
        <f aca="false">IF(ISNUMBER($S191),$S191*Parâmetros!$B$8,"")</f>
        <v/>
      </c>
      <c r="V191" s="45" t="str">
        <f aca="false">IF(ISNUMBER($S191),$S191*Parâmetros!$C$8,"")</f>
        <v/>
      </c>
      <c r="W191" s="44" t="str">
        <f aca="false">IF(ISNUMBER($S191),$S191-$D191-IF(ISNUMBER($E191),$E191,0)-$O191-$T191-$U191-$V191,"")</f>
        <v/>
      </c>
      <c r="X191" s="46" t="str">
        <f aca="false">IF(AND(ISNUMBER($S191),$S191&gt;0),$W191/$S191,"")</f>
        <v/>
      </c>
      <c r="Y191" s="49"/>
      <c r="Z191" s="21"/>
    </row>
    <row r="192" customFormat="false" ht="15.75" hidden="false" customHeight="true" outlineLevel="0" collapsed="false">
      <c r="A192" s="32" t="str">
        <f aca="false">IF(Produtos!$A192="","",Produtos!$A192)</f>
        <v>Q2460-AC</v>
      </c>
      <c r="B192" s="32" t="str">
        <f aca="false">IF(Produtos!$A192="","",Produtos!$B192)</f>
        <v>Lixeira Quadrada 24x60 30L c/Aro Colorido</v>
      </c>
      <c r="C192" s="32" t="str">
        <f aca="false">IF(Produtos!$A192="","",Produtos!$C192)</f>
        <v>Lixeiras em inox</v>
      </c>
      <c r="D192" s="33" t="n">
        <f aca="false">IF(Produtos!$A192="","",IF(Produtos!$D192="","",Produtos!$D192))</f>
        <v>215.68</v>
      </c>
      <c r="E192" s="11" t="n">
        <v>0</v>
      </c>
      <c r="F192" s="34" t="n">
        <f aca="false">IF($A192="","",IF($C192="","⚠ categoria",IFERROR(INDEX(Parâmetros!$F$13:$F$22,MATCH($C192,Parâmetros!$A$13:$A$22,0)),"⚠ categoria")))</f>
        <v>0.19</v>
      </c>
      <c r="G192" s="35"/>
      <c r="H192" s="36" t="n">
        <f aca="false">IF($A192="","",IF(ISNUMBER($G192),$G192,IF(ISNUMBER($F192),$F192,"")))</f>
        <v>0.19</v>
      </c>
      <c r="I192" s="37" t="n">
        <f aca="false">IF(OR($A192="",NOT(ISNUMBER($D192)),NOT(ISNUMBER($H192))),"",IF((1-$H192-Parâmetros!$B$8-Parâmetros!$C$8-Parâmetros!$D$8)&lt;=0,"INVALIDO",($D192+IF(ISNUMBER($E192),$E192,0)+IF(ISNUMBER(Parâmetros!$E$8),Parâmetros!$E$8,0))/(1-$H192-Parâmetros!$B$8-Parâmetros!$C$8-Parâmetros!$D$8)))</f>
        <v>449.333333333333</v>
      </c>
      <c r="J192" s="38"/>
      <c r="K192" s="39" t="n">
        <f aca="false">IF(OR($A192="",NOT(ISNUMBER($D192)),NOT(ISNUMBER($H192))),"",IF(AND(ISNUMBER($J192),$J192&gt;0),$J192,IF(ISNUMBER($I192),$I192,"")))</f>
        <v>449.333333333333</v>
      </c>
      <c r="L192" s="40" t="n">
        <f aca="false">IF(ISNUMBER($K192),$K192*$H192,"")</f>
        <v>85.3733333333333</v>
      </c>
      <c r="M192" s="40" t="n">
        <f aca="false">IF(ISNUMBER($K192),$K192*Parâmetros!$B$8,"")</f>
        <v>44.9333333333333</v>
      </c>
      <c r="N192" s="40" t="n">
        <f aca="false">IF(ISNUMBER($K192),$K192*Parâmetros!$C$8,"")</f>
        <v>13.48</v>
      </c>
      <c r="O192" s="40" t="n">
        <f aca="false">IF(ISNUMBER($K192),IF(ISNUMBER(Parâmetros!$E$8),Parâmetros!$E$8,0),"")</f>
        <v>0</v>
      </c>
      <c r="P192" s="41" t="n">
        <f aca="false">IF(ISNUMBER($K192),$K192-$D192-IF(ISNUMBER($E192),$E192,0)-$L192-$M192-$N192-$O192,"")</f>
        <v>89.8666666666666</v>
      </c>
      <c r="Q192" s="42" t="n">
        <f aca="false">IF(AND(ISNUMBER($K192),$K192&gt;0),$P192/$K192,"")</f>
        <v>0.2</v>
      </c>
      <c r="R192" s="43"/>
      <c r="S192" s="44" t="str">
        <f aca="false">IF(OR(NOT(ISNUMBER($R192)),$R192=0,NOT(ISNUMBER($K192))),"",$K192*(1-$R192))</f>
        <v/>
      </c>
      <c r="T192" s="45" t="str">
        <f aca="false">IF(ISNUMBER($S192),$S192*$H192,"")</f>
        <v/>
      </c>
      <c r="U192" s="45" t="str">
        <f aca="false">IF(ISNUMBER($S192),$S192*Parâmetros!$B$8,"")</f>
        <v/>
      </c>
      <c r="V192" s="45" t="str">
        <f aca="false">IF(ISNUMBER($S192),$S192*Parâmetros!$C$8,"")</f>
        <v/>
      </c>
      <c r="W192" s="44" t="str">
        <f aca="false">IF(ISNUMBER($S192),$S192-$D192-IF(ISNUMBER($E192),$E192,0)-$O192-$T192-$U192-$V192,"")</f>
        <v/>
      </c>
      <c r="X192" s="46" t="str">
        <f aca="false">IF(AND(ISNUMBER($S192),$S192&gt;0),$W192/$S192,"")</f>
        <v/>
      </c>
      <c r="Y192" s="47"/>
      <c r="Z192" s="19"/>
    </row>
    <row r="193" customFormat="false" ht="15.75" hidden="false" customHeight="true" outlineLevel="0" collapsed="false">
      <c r="A193" s="48" t="str">
        <f aca="false">IF(Produtos!$A193="","",Produtos!$A193)</f>
        <v>Q3060-AC</v>
      </c>
      <c r="B193" s="48" t="str">
        <f aca="false">IF(Produtos!$A193="","",Produtos!$B193)</f>
        <v>Lixeira Quadrada 30x60 50L c/Aro Colorido</v>
      </c>
      <c r="C193" s="48" t="str">
        <f aca="false">IF(Produtos!$A193="","",Produtos!$C193)</f>
        <v>Lixeiras em inox</v>
      </c>
      <c r="D193" s="33" t="n">
        <f aca="false">IF(Produtos!$A193="","",IF(Produtos!$D193="","",Produtos!$D193))</f>
        <v>317.1</v>
      </c>
      <c r="E193" s="11" t="n">
        <v>0</v>
      </c>
      <c r="F193" s="34" t="n">
        <f aca="false">IF($A193="","",IF($C193="","⚠ categoria",IFERROR(INDEX(Parâmetros!$F$13:$F$22,MATCH($C193,Parâmetros!$A$13:$A$22,0)),"⚠ categoria")))</f>
        <v>0.19</v>
      </c>
      <c r="G193" s="35"/>
      <c r="H193" s="36" t="n">
        <f aca="false">IF($A193="","",IF(ISNUMBER($G193),$G193,IF(ISNUMBER($F193),$F193,"")))</f>
        <v>0.19</v>
      </c>
      <c r="I193" s="37" t="n">
        <f aca="false">IF(OR($A193="",NOT(ISNUMBER($D193)),NOT(ISNUMBER($H193))),"",IF((1-$H193-Parâmetros!$B$8-Parâmetros!$C$8-Parâmetros!$D$8)&lt;=0,"INVALIDO",($D193+IF(ISNUMBER($E193),$E193,0)+IF(ISNUMBER(Parâmetros!$E$8),Parâmetros!$E$8,0))/(1-$H193-Parâmetros!$B$8-Parâmetros!$C$8-Parâmetros!$D$8)))</f>
        <v>660.625</v>
      </c>
      <c r="J193" s="38"/>
      <c r="K193" s="39" t="n">
        <f aca="false">IF(OR($A193="",NOT(ISNUMBER($D193)),NOT(ISNUMBER($H193))),"",IF(AND(ISNUMBER($J193),$J193&gt;0),$J193,IF(ISNUMBER($I193),$I193,"")))</f>
        <v>660.625</v>
      </c>
      <c r="L193" s="40" t="n">
        <f aca="false">IF(ISNUMBER($K193),$K193*$H193,"")</f>
        <v>125.51875</v>
      </c>
      <c r="M193" s="40" t="n">
        <f aca="false">IF(ISNUMBER($K193),$K193*Parâmetros!$B$8,"")</f>
        <v>66.0625</v>
      </c>
      <c r="N193" s="40" t="n">
        <f aca="false">IF(ISNUMBER($K193),$K193*Parâmetros!$C$8,"")</f>
        <v>19.81875</v>
      </c>
      <c r="O193" s="40" t="n">
        <f aca="false">IF(ISNUMBER($K193),IF(ISNUMBER(Parâmetros!$E$8),Parâmetros!$E$8,0),"")</f>
        <v>0</v>
      </c>
      <c r="P193" s="41" t="n">
        <f aca="false">IF(ISNUMBER($K193),$K193-$D193-IF(ISNUMBER($E193),$E193,0)-$L193-$M193-$N193-$O193,"")</f>
        <v>132.125</v>
      </c>
      <c r="Q193" s="42" t="n">
        <f aca="false">IF(AND(ISNUMBER($K193),$K193&gt;0),$P193/$K193,"")</f>
        <v>0.2</v>
      </c>
      <c r="R193" s="43"/>
      <c r="S193" s="44" t="str">
        <f aca="false">IF(OR(NOT(ISNUMBER($R193)),$R193=0,NOT(ISNUMBER($K193))),"",$K193*(1-$R193))</f>
        <v/>
      </c>
      <c r="T193" s="45" t="str">
        <f aca="false">IF(ISNUMBER($S193),$S193*$H193,"")</f>
        <v/>
      </c>
      <c r="U193" s="45" t="str">
        <f aca="false">IF(ISNUMBER($S193),$S193*Parâmetros!$B$8,"")</f>
        <v/>
      </c>
      <c r="V193" s="45" t="str">
        <f aca="false">IF(ISNUMBER($S193),$S193*Parâmetros!$C$8,"")</f>
        <v/>
      </c>
      <c r="W193" s="44" t="str">
        <f aca="false">IF(ISNUMBER($S193),$S193-$D193-IF(ISNUMBER($E193),$E193,0)-$O193-$T193-$U193-$V193,"")</f>
        <v/>
      </c>
      <c r="X193" s="46" t="str">
        <f aca="false">IF(AND(ISNUMBER($S193),$S193&gt;0),$W193/$S193,"")</f>
        <v/>
      </c>
      <c r="Y193" s="49"/>
      <c r="Z193" s="21"/>
    </row>
    <row r="194" customFormat="false" ht="15.75" hidden="false" customHeight="true" outlineLevel="0" collapsed="false">
      <c r="A194" s="32" t="str">
        <f aca="false">IF(Produtos!$A194="","",Produtos!$A194)</f>
        <v>Q4070-AC</v>
      </c>
      <c r="B194" s="32" t="str">
        <f aca="false">IF(Produtos!$A194="","",Produtos!$B194)</f>
        <v>Lixeira Quadrada 40x70 100L c/Aro Colorido</v>
      </c>
      <c r="C194" s="32" t="str">
        <f aca="false">IF(Produtos!$A194="","",Produtos!$C194)</f>
        <v>Lixeiras em inox</v>
      </c>
      <c r="D194" s="33" t="n">
        <f aca="false">IF(Produtos!$A194="","",IF(Produtos!$D194="","",Produtos!$D194))</f>
        <v>651.12</v>
      </c>
      <c r="E194" s="11" t="n">
        <v>0</v>
      </c>
      <c r="F194" s="34" t="n">
        <f aca="false">IF($A194="","",IF($C194="","⚠ categoria",IFERROR(INDEX(Parâmetros!$F$13:$F$22,MATCH($C194,Parâmetros!$A$13:$A$22,0)),"⚠ categoria")))</f>
        <v>0.19</v>
      </c>
      <c r="G194" s="35"/>
      <c r="H194" s="36" t="n">
        <f aca="false">IF($A194="","",IF(ISNUMBER($G194),$G194,IF(ISNUMBER($F194),$F194,"")))</f>
        <v>0.19</v>
      </c>
      <c r="I194" s="37" t="n">
        <f aca="false">IF(OR($A194="",NOT(ISNUMBER($D194)),NOT(ISNUMBER($H194))),"",IF((1-$H194-Parâmetros!$B$8-Parâmetros!$C$8-Parâmetros!$D$8)&lt;=0,"INVALIDO",($D194+IF(ISNUMBER($E194),$E194,0)+IF(ISNUMBER(Parâmetros!$E$8),Parâmetros!$E$8,0))/(1-$H194-Parâmetros!$B$8-Parâmetros!$C$8-Parâmetros!$D$8)))</f>
        <v>1356.5</v>
      </c>
      <c r="J194" s="38"/>
      <c r="K194" s="39" t="n">
        <f aca="false">IF(OR($A194="",NOT(ISNUMBER($D194)),NOT(ISNUMBER($H194))),"",IF(AND(ISNUMBER($J194),$J194&gt;0),$J194,IF(ISNUMBER($I194),$I194,"")))</f>
        <v>1356.5</v>
      </c>
      <c r="L194" s="40" t="n">
        <f aca="false">IF(ISNUMBER($K194),$K194*$H194,"")</f>
        <v>257.735</v>
      </c>
      <c r="M194" s="40" t="n">
        <f aca="false">IF(ISNUMBER($K194),$K194*Parâmetros!$B$8,"")</f>
        <v>135.65</v>
      </c>
      <c r="N194" s="40" t="n">
        <f aca="false">IF(ISNUMBER($K194),$K194*Parâmetros!$C$8,"")</f>
        <v>40.695</v>
      </c>
      <c r="O194" s="40" t="n">
        <f aca="false">IF(ISNUMBER($K194),IF(ISNUMBER(Parâmetros!$E$8),Parâmetros!$E$8,0),"")</f>
        <v>0</v>
      </c>
      <c r="P194" s="41" t="n">
        <f aca="false">IF(ISNUMBER($K194),$K194-$D194-IF(ISNUMBER($E194),$E194,0)-$L194-$M194-$N194-$O194,"")</f>
        <v>271.3</v>
      </c>
      <c r="Q194" s="42" t="n">
        <f aca="false">IF(AND(ISNUMBER($K194),$K194&gt;0),$P194/$K194,"")</f>
        <v>0.2</v>
      </c>
      <c r="R194" s="43"/>
      <c r="S194" s="44" t="str">
        <f aca="false">IF(OR(NOT(ISNUMBER($R194)),$R194=0,NOT(ISNUMBER($K194))),"",$K194*(1-$R194))</f>
        <v/>
      </c>
      <c r="T194" s="45" t="str">
        <f aca="false">IF(ISNUMBER($S194),$S194*$H194,"")</f>
        <v/>
      </c>
      <c r="U194" s="45" t="str">
        <f aca="false">IF(ISNUMBER($S194),$S194*Parâmetros!$B$8,"")</f>
        <v/>
      </c>
      <c r="V194" s="45" t="str">
        <f aca="false">IF(ISNUMBER($S194),$S194*Parâmetros!$C$8,"")</f>
        <v/>
      </c>
      <c r="W194" s="44" t="str">
        <f aca="false">IF(ISNUMBER($S194),$S194-$D194-IF(ISNUMBER($E194),$E194,0)-$O194-$T194-$U194-$V194,"")</f>
        <v/>
      </c>
      <c r="X194" s="46" t="str">
        <f aca="false">IF(AND(ISNUMBER($S194),$S194&gt;0),$W194/$S194,"")</f>
        <v/>
      </c>
      <c r="Y194" s="47"/>
      <c r="Z194" s="19"/>
    </row>
    <row r="195" customFormat="false" ht="15.75" hidden="false" customHeight="true" outlineLevel="0" collapsed="false">
      <c r="A195" s="48" t="str">
        <f aca="false">IF(Produtos!$A195="","",Produtos!$A195)</f>
        <v>Q2430-BC</v>
      </c>
      <c r="B195" s="48" t="str">
        <f aca="false">IF(Produtos!$A195="","",Produtos!$B195)</f>
        <v>Lixeira Quadrada 24x30 15L c/Aro Basculante Colorido</v>
      </c>
      <c r="C195" s="48" t="str">
        <f aca="false">IF(Produtos!$A195="","",Produtos!$C195)</f>
        <v>Lixeiras em inox</v>
      </c>
      <c r="D195" s="33" t="n">
        <f aca="false">IF(Produtos!$A195="","",IF(Produtos!$D195="","",Produtos!$D195))</f>
        <v>173.65</v>
      </c>
      <c r="E195" s="11" t="n">
        <v>0</v>
      </c>
      <c r="F195" s="34" t="n">
        <f aca="false">IF($A195="","",IF($C195="","⚠ categoria",IFERROR(INDEX(Parâmetros!$F$13:$F$22,MATCH($C195,Parâmetros!$A$13:$A$22,0)),"⚠ categoria")))</f>
        <v>0.19</v>
      </c>
      <c r="G195" s="35"/>
      <c r="H195" s="36" t="n">
        <f aca="false">IF($A195="","",IF(ISNUMBER($G195),$G195,IF(ISNUMBER($F195),$F195,"")))</f>
        <v>0.19</v>
      </c>
      <c r="I195" s="37" t="n">
        <f aca="false">IF(OR($A195="",NOT(ISNUMBER($D195)),NOT(ISNUMBER($H195))),"",IF((1-$H195-Parâmetros!$B$8-Parâmetros!$C$8-Parâmetros!$D$8)&lt;=0,"INVALIDO",($D195+IF(ISNUMBER($E195),$E195,0)+IF(ISNUMBER(Parâmetros!$E$8),Parâmetros!$E$8,0))/(1-$H195-Parâmetros!$B$8-Parâmetros!$C$8-Parâmetros!$D$8)))</f>
        <v>361.770833333333</v>
      </c>
      <c r="J195" s="38"/>
      <c r="K195" s="39" t="n">
        <f aca="false">IF(OR($A195="",NOT(ISNUMBER($D195)),NOT(ISNUMBER($H195))),"",IF(AND(ISNUMBER($J195),$J195&gt;0),$J195,IF(ISNUMBER($I195),$I195,"")))</f>
        <v>361.770833333333</v>
      </c>
      <c r="L195" s="40" t="n">
        <f aca="false">IF(ISNUMBER($K195),$K195*$H195,"")</f>
        <v>68.7364583333333</v>
      </c>
      <c r="M195" s="40" t="n">
        <f aca="false">IF(ISNUMBER($K195),$K195*Parâmetros!$B$8,"")</f>
        <v>36.1770833333333</v>
      </c>
      <c r="N195" s="40" t="n">
        <f aca="false">IF(ISNUMBER($K195),$K195*Parâmetros!$C$8,"")</f>
        <v>10.853125</v>
      </c>
      <c r="O195" s="40" t="n">
        <f aca="false">IF(ISNUMBER($K195),IF(ISNUMBER(Parâmetros!$E$8),Parâmetros!$E$8,0),"")</f>
        <v>0</v>
      </c>
      <c r="P195" s="41" t="n">
        <f aca="false">IF(ISNUMBER($K195),$K195-$D195-IF(ISNUMBER($E195),$E195,0)-$L195-$M195-$N195-$O195,"")</f>
        <v>72.3541666666666</v>
      </c>
      <c r="Q195" s="42" t="n">
        <f aca="false">IF(AND(ISNUMBER($K195),$K195&gt;0),$P195/$K195,"")</f>
        <v>0.2</v>
      </c>
      <c r="R195" s="43"/>
      <c r="S195" s="44" t="str">
        <f aca="false">IF(OR(NOT(ISNUMBER($R195)),$R195=0,NOT(ISNUMBER($K195))),"",$K195*(1-$R195))</f>
        <v/>
      </c>
      <c r="T195" s="45" t="str">
        <f aca="false">IF(ISNUMBER($S195),$S195*$H195,"")</f>
        <v/>
      </c>
      <c r="U195" s="45" t="str">
        <f aca="false">IF(ISNUMBER($S195),$S195*Parâmetros!$B$8,"")</f>
        <v/>
      </c>
      <c r="V195" s="45" t="str">
        <f aca="false">IF(ISNUMBER($S195),$S195*Parâmetros!$C$8,"")</f>
        <v/>
      </c>
      <c r="W195" s="44" t="str">
        <f aca="false">IF(ISNUMBER($S195),$S195-$D195-IF(ISNUMBER($E195),$E195,0)-$O195-$T195-$U195-$V195,"")</f>
        <v/>
      </c>
      <c r="X195" s="46" t="str">
        <f aca="false">IF(AND(ISNUMBER($S195),$S195&gt;0),$W195/$S195,"")</f>
        <v/>
      </c>
      <c r="Y195" s="49"/>
      <c r="Z195" s="21"/>
    </row>
    <row r="196" customFormat="false" ht="15.75" hidden="false" customHeight="true" outlineLevel="0" collapsed="false">
      <c r="A196" s="32" t="str">
        <f aca="false">IF(Produtos!$A196="","",Produtos!$A196)</f>
        <v>Q2460-BC</v>
      </c>
      <c r="B196" s="32" t="str">
        <f aca="false">IF(Produtos!$A196="","",Produtos!$B196)</f>
        <v>Lixeira Quadrada 24x60 30L c/Aro Basculante Colorido</v>
      </c>
      <c r="C196" s="32" t="str">
        <f aca="false">IF(Produtos!$A196="","",Produtos!$C196)</f>
        <v>Lixeiras em inox</v>
      </c>
      <c r="D196" s="33" t="n">
        <f aca="false">IF(Produtos!$A196="","",IF(Produtos!$D196="","",Produtos!$D196))</f>
        <v>234.63</v>
      </c>
      <c r="E196" s="11" t="n">
        <v>0</v>
      </c>
      <c r="F196" s="34" t="n">
        <f aca="false">IF($A196="","",IF($C196="","⚠ categoria",IFERROR(INDEX(Parâmetros!$F$13:$F$22,MATCH($C196,Parâmetros!$A$13:$A$22,0)),"⚠ categoria")))</f>
        <v>0.19</v>
      </c>
      <c r="G196" s="35"/>
      <c r="H196" s="36" t="n">
        <f aca="false">IF($A196="","",IF(ISNUMBER($G196),$G196,IF(ISNUMBER($F196),$F196,"")))</f>
        <v>0.19</v>
      </c>
      <c r="I196" s="37" t="n">
        <f aca="false">IF(OR($A196="",NOT(ISNUMBER($D196)),NOT(ISNUMBER($H196))),"",IF((1-$H196-Parâmetros!$B$8-Parâmetros!$C$8-Parâmetros!$D$8)&lt;=0,"INVALIDO",($D196+IF(ISNUMBER($E196),$E196,0)+IF(ISNUMBER(Parâmetros!$E$8),Parâmetros!$E$8,0))/(1-$H196-Parâmetros!$B$8-Parâmetros!$C$8-Parâmetros!$D$8)))</f>
        <v>488.8125</v>
      </c>
      <c r="J196" s="38"/>
      <c r="K196" s="39" t="n">
        <f aca="false">IF(OR($A196="",NOT(ISNUMBER($D196)),NOT(ISNUMBER($H196))),"",IF(AND(ISNUMBER($J196),$J196&gt;0),$J196,IF(ISNUMBER($I196),$I196,"")))</f>
        <v>488.8125</v>
      </c>
      <c r="L196" s="40" t="n">
        <f aca="false">IF(ISNUMBER($K196),$K196*$H196,"")</f>
        <v>92.874375</v>
      </c>
      <c r="M196" s="40" t="n">
        <f aca="false">IF(ISNUMBER($K196),$K196*Parâmetros!$B$8,"")</f>
        <v>48.88125</v>
      </c>
      <c r="N196" s="40" t="n">
        <f aca="false">IF(ISNUMBER($K196),$K196*Parâmetros!$C$8,"")</f>
        <v>14.664375</v>
      </c>
      <c r="O196" s="40" t="n">
        <f aca="false">IF(ISNUMBER($K196),IF(ISNUMBER(Parâmetros!$E$8),Parâmetros!$E$8,0),"")</f>
        <v>0</v>
      </c>
      <c r="P196" s="41" t="n">
        <f aca="false">IF(ISNUMBER($K196),$K196-$D196-IF(ISNUMBER($E196),$E196,0)-$L196-$M196-$N196-$O196,"")</f>
        <v>97.7625</v>
      </c>
      <c r="Q196" s="42" t="n">
        <f aca="false">IF(AND(ISNUMBER($K196),$K196&gt;0),$P196/$K196,"")</f>
        <v>0.2</v>
      </c>
      <c r="R196" s="43"/>
      <c r="S196" s="44" t="str">
        <f aca="false">IF(OR(NOT(ISNUMBER($R196)),$R196=0,NOT(ISNUMBER($K196))),"",$K196*(1-$R196))</f>
        <v/>
      </c>
      <c r="T196" s="45" t="str">
        <f aca="false">IF(ISNUMBER($S196),$S196*$H196,"")</f>
        <v/>
      </c>
      <c r="U196" s="45" t="str">
        <f aca="false">IF(ISNUMBER($S196),$S196*Parâmetros!$B$8,"")</f>
        <v/>
      </c>
      <c r="V196" s="45" t="str">
        <f aca="false">IF(ISNUMBER($S196),$S196*Parâmetros!$C$8,"")</f>
        <v/>
      </c>
      <c r="W196" s="44" t="str">
        <f aca="false">IF(ISNUMBER($S196),$S196-$D196-IF(ISNUMBER($E196),$E196,0)-$O196-$T196-$U196-$V196,"")</f>
        <v/>
      </c>
      <c r="X196" s="46" t="str">
        <f aca="false">IF(AND(ISNUMBER($S196),$S196&gt;0),$W196/$S196,"")</f>
        <v/>
      </c>
      <c r="Y196" s="47"/>
      <c r="Z196" s="19"/>
    </row>
    <row r="197" customFormat="false" ht="15.75" hidden="false" customHeight="true" outlineLevel="0" collapsed="false">
      <c r="A197" s="48" t="str">
        <f aca="false">IF(Produtos!$A197="","",Produtos!$A197)</f>
        <v>Q3060-BC</v>
      </c>
      <c r="B197" s="48" t="str">
        <f aca="false">IF(Produtos!$A197="","",Produtos!$B197)</f>
        <v>Lixeira Quadrada 30x60 50L c/Aro Basculante Colorido</v>
      </c>
      <c r="C197" s="48" t="str">
        <f aca="false">IF(Produtos!$A197="","",Produtos!$C197)</f>
        <v>Lixeiras em inox</v>
      </c>
      <c r="D197" s="33" t="n">
        <f aca="false">IF(Produtos!$A197="","",IF(Produtos!$D197="","",Produtos!$D197))</f>
        <v>342.51</v>
      </c>
      <c r="E197" s="11" t="n">
        <v>0</v>
      </c>
      <c r="F197" s="34" t="n">
        <f aca="false">IF($A197="","",IF($C197="","⚠ categoria",IFERROR(INDEX(Parâmetros!$F$13:$F$22,MATCH($C197,Parâmetros!$A$13:$A$22,0)),"⚠ categoria")))</f>
        <v>0.19</v>
      </c>
      <c r="G197" s="35"/>
      <c r="H197" s="36" t="n">
        <f aca="false">IF($A197="","",IF(ISNUMBER($G197),$G197,IF(ISNUMBER($F197),$F197,"")))</f>
        <v>0.19</v>
      </c>
      <c r="I197" s="37" t="n">
        <f aca="false">IF(OR($A197="",NOT(ISNUMBER($D197)),NOT(ISNUMBER($H197))),"",IF((1-$H197-Parâmetros!$B$8-Parâmetros!$C$8-Parâmetros!$D$8)&lt;=0,"INVALIDO",($D197+IF(ISNUMBER($E197),$E197,0)+IF(ISNUMBER(Parâmetros!$E$8),Parâmetros!$E$8,0))/(1-$H197-Parâmetros!$B$8-Parâmetros!$C$8-Parâmetros!$D$8)))</f>
        <v>713.5625</v>
      </c>
      <c r="J197" s="38"/>
      <c r="K197" s="39" t="n">
        <f aca="false">IF(OR($A197="",NOT(ISNUMBER($D197)),NOT(ISNUMBER($H197))),"",IF(AND(ISNUMBER($J197),$J197&gt;0),$J197,IF(ISNUMBER($I197),$I197,"")))</f>
        <v>713.5625</v>
      </c>
      <c r="L197" s="40" t="n">
        <f aca="false">IF(ISNUMBER($K197),$K197*$H197,"")</f>
        <v>135.576875</v>
      </c>
      <c r="M197" s="40" t="n">
        <f aca="false">IF(ISNUMBER($K197),$K197*Parâmetros!$B$8,"")</f>
        <v>71.35625</v>
      </c>
      <c r="N197" s="40" t="n">
        <f aca="false">IF(ISNUMBER($K197),$K197*Parâmetros!$C$8,"")</f>
        <v>21.406875</v>
      </c>
      <c r="O197" s="40" t="n">
        <f aca="false">IF(ISNUMBER($K197),IF(ISNUMBER(Parâmetros!$E$8),Parâmetros!$E$8,0),"")</f>
        <v>0</v>
      </c>
      <c r="P197" s="41" t="n">
        <f aca="false">IF(ISNUMBER($K197),$K197-$D197-IF(ISNUMBER($E197),$E197,0)-$L197-$M197-$N197-$O197,"")</f>
        <v>142.7125</v>
      </c>
      <c r="Q197" s="42" t="n">
        <f aca="false">IF(AND(ISNUMBER($K197),$K197&gt;0),$P197/$K197,"")</f>
        <v>0.2</v>
      </c>
      <c r="R197" s="43"/>
      <c r="S197" s="44" t="str">
        <f aca="false">IF(OR(NOT(ISNUMBER($R197)),$R197=0,NOT(ISNUMBER($K197))),"",$K197*(1-$R197))</f>
        <v/>
      </c>
      <c r="T197" s="45" t="str">
        <f aca="false">IF(ISNUMBER($S197),$S197*$H197,"")</f>
        <v/>
      </c>
      <c r="U197" s="45" t="str">
        <f aca="false">IF(ISNUMBER($S197),$S197*Parâmetros!$B$8,"")</f>
        <v/>
      </c>
      <c r="V197" s="45" t="str">
        <f aca="false">IF(ISNUMBER($S197),$S197*Parâmetros!$C$8,"")</f>
        <v/>
      </c>
      <c r="W197" s="44" t="str">
        <f aca="false">IF(ISNUMBER($S197),$S197-$D197-IF(ISNUMBER($E197),$E197,0)-$O197-$T197-$U197-$V197,"")</f>
        <v/>
      </c>
      <c r="X197" s="46" t="str">
        <f aca="false">IF(AND(ISNUMBER($S197),$S197&gt;0),$W197/$S197,"")</f>
        <v/>
      </c>
      <c r="Y197" s="49"/>
      <c r="Z197" s="21"/>
    </row>
    <row r="198" customFormat="false" ht="15.75" hidden="false" customHeight="true" outlineLevel="0" collapsed="false">
      <c r="A198" s="32" t="str">
        <f aca="false">IF(Produtos!$A198="","",Produtos!$A198)</f>
        <v>Q4070-BC</v>
      </c>
      <c r="B198" s="32" t="str">
        <f aca="false">IF(Produtos!$A198="","",Produtos!$B198)</f>
        <v>Lixeira Quadrada 40x70 100L c/Aro Basculante Colorido</v>
      </c>
      <c r="C198" s="32" t="str">
        <f aca="false">IF(Produtos!$A198="","",Produtos!$C198)</f>
        <v>Lixeiras em inox</v>
      </c>
      <c r="D198" s="33" t="n">
        <f aca="false">IF(Produtos!$A198="","",IF(Produtos!$D198="","",Produtos!$D198))</f>
        <v>686.97</v>
      </c>
      <c r="E198" s="11" t="n">
        <v>0</v>
      </c>
      <c r="F198" s="34" t="n">
        <f aca="false">IF($A198="","",IF($C198="","⚠ categoria",IFERROR(INDEX(Parâmetros!$F$13:$F$22,MATCH($C198,Parâmetros!$A$13:$A$22,0)),"⚠ categoria")))</f>
        <v>0.19</v>
      </c>
      <c r="G198" s="35"/>
      <c r="H198" s="36" t="n">
        <f aca="false">IF($A198="","",IF(ISNUMBER($G198),$G198,IF(ISNUMBER($F198),$F198,"")))</f>
        <v>0.19</v>
      </c>
      <c r="I198" s="37" t="n">
        <f aca="false">IF(OR($A198="",NOT(ISNUMBER($D198)),NOT(ISNUMBER($H198))),"",IF((1-$H198-Parâmetros!$B$8-Parâmetros!$C$8-Parâmetros!$D$8)&lt;=0,"INVALIDO",($D198+IF(ISNUMBER($E198),$E198,0)+IF(ISNUMBER(Parâmetros!$E$8),Parâmetros!$E$8,0))/(1-$H198-Parâmetros!$B$8-Parâmetros!$C$8-Parâmetros!$D$8)))</f>
        <v>1431.1875</v>
      </c>
      <c r="J198" s="38"/>
      <c r="K198" s="39" t="n">
        <f aca="false">IF(OR($A198="",NOT(ISNUMBER($D198)),NOT(ISNUMBER($H198))),"",IF(AND(ISNUMBER($J198),$J198&gt;0),$J198,IF(ISNUMBER($I198),$I198,"")))</f>
        <v>1431.1875</v>
      </c>
      <c r="L198" s="40" t="n">
        <f aca="false">IF(ISNUMBER($K198),$K198*$H198,"")</f>
        <v>271.925625</v>
      </c>
      <c r="M198" s="40" t="n">
        <f aca="false">IF(ISNUMBER($K198),$K198*Parâmetros!$B$8,"")</f>
        <v>143.11875</v>
      </c>
      <c r="N198" s="40" t="n">
        <f aca="false">IF(ISNUMBER($K198),$K198*Parâmetros!$C$8,"")</f>
        <v>42.935625</v>
      </c>
      <c r="O198" s="40" t="n">
        <f aca="false">IF(ISNUMBER($K198),IF(ISNUMBER(Parâmetros!$E$8),Parâmetros!$E$8,0),"")</f>
        <v>0</v>
      </c>
      <c r="P198" s="41" t="n">
        <f aca="false">IF(ISNUMBER($K198),$K198-$D198-IF(ISNUMBER($E198),$E198,0)-$L198-$M198-$N198-$O198,"")</f>
        <v>286.2375</v>
      </c>
      <c r="Q198" s="42" t="n">
        <f aca="false">IF(AND(ISNUMBER($K198),$K198&gt;0),$P198/$K198,"")</f>
        <v>0.2</v>
      </c>
      <c r="R198" s="43"/>
      <c r="S198" s="44" t="str">
        <f aca="false">IF(OR(NOT(ISNUMBER($R198)),$R198=0,NOT(ISNUMBER($K198))),"",$K198*(1-$R198))</f>
        <v/>
      </c>
      <c r="T198" s="45" t="str">
        <f aca="false">IF(ISNUMBER($S198),$S198*$H198,"")</f>
        <v/>
      </c>
      <c r="U198" s="45" t="str">
        <f aca="false">IF(ISNUMBER($S198),$S198*Parâmetros!$B$8,"")</f>
        <v/>
      </c>
      <c r="V198" s="45" t="str">
        <f aca="false">IF(ISNUMBER($S198),$S198*Parâmetros!$C$8,"")</f>
        <v/>
      </c>
      <c r="W198" s="44" t="str">
        <f aca="false">IF(ISNUMBER($S198),$S198-$D198-IF(ISNUMBER($E198),$E198,0)-$O198-$T198-$U198-$V198,"")</f>
        <v/>
      </c>
      <c r="X198" s="46" t="str">
        <f aca="false">IF(AND(ISNUMBER($S198),$S198&gt;0),$W198/$S198,"")</f>
        <v/>
      </c>
      <c r="Y198" s="47"/>
      <c r="Z198" s="19"/>
    </row>
    <row r="199" customFormat="false" ht="15.75" hidden="false" customHeight="true" outlineLevel="0" collapsed="false">
      <c r="A199" s="48" t="str">
        <f aca="false">IF(Produtos!$A199="","",Produtos!$A199)</f>
        <v>PQ-2430C</v>
      </c>
      <c r="B199" s="48" t="str">
        <f aca="false">IF(Produtos!$A199="","",Produtos!$B199)</f>
        <v>Lixeira quadrada c/Tampa colorida e Pedal 24x30 15L</v>
      </c>
      <c r="C199" s="48" t="str">
        <f aca="false">IF(Produtos!$A199="","",Produtos!$C199)</f>
        <v>Lixeiras com pedal</v>
      </c>
      <c r="D199" s="33" t="n">
        <f aca="false">IF(Produtos!$A199="","",IF(Produtos!$D199="","",Produtos!$D199))</f>
        <v>293.67</v>
      </c>
      <c r="E199" s="11" t="n">
        <v>0</v>
      </c>
      <c r="F199" s="34" t="n">
        <f aca="false">IF($A199="","",IF($C199="","⚠ categoria",IFERROR(INDEX(Parâmetros!$F$13:$F$22,MATCH($C199,Parâmetros!$A$13:$A$22,0)),"⚠ categoria")))</f>
        <v>0.19</v>
      </c>
      <c r="G199" s="35"/>
      <c r="H199" s="36" t="n">
        <f aca="false">IF($A199="","",IF(ISNUMBER($G199),$G199,IF(ISNUMBER($F199),$F199,"")))</f>
        <v>0.19</v>
      </c>
      <c r="I199" s="37" t="n">
        <f aca="false">IF(OR($A199="",NOT(ISNUMBER($D199)),NOT(ISNUMBER($H199))),"",IF((1-$H199-Parâmetros!$B$8-Parâmetros!$C$8-Parâmetros!$D$8)&lt;=0,"INVALIDO",($D199+IF(ISNUMBER($E199),$E199,0)+IF(ISNUMBER(Parâmetros!$E$8),Parâmetros!$E$8,0))/(1-$H199-Parâmetros!$B$8-Parâmetros!$C$8-Parâmetros!$D$8)))</f>
        <v>611.8125</v>
      </c>
      <c r="J199" s="38"/>
      <c r="K199" s="39" t="n">
        <f aca="false">IF(OR($A199="",NOT(ISNUMBER($D199)),NOT(ISNUMBER($H199))),"",IF(AND(ISNUMBER($J199),$J199&gt;0),$J199,IF(ISNUMBER($I199),$I199,"")))</f>
        <v>611.8125</v>
      </c>
      <c r="L199" s="40" t="n">
        <f aca="false">IF(ISNUMBER($K199),$K199*$H199,"")</f>
        <v>116.244375</v>
      </c>
      <c r="M199" s="40" t="n">
        <f aca="false">IF(ISNUMBER($K199),$K199*Parâmetros!$B$8,"")</f>
        <v>61.18125</v>
      </c>
      <c r="N199" s="40" t="n">
        <f aca="false">IF(ISNUMBER($K199),$K199*Parâmetros!$C$8,"")</f>
        <v>18.354375</v>
      </c>
      <c r="O199" s="40" t="n">
        <f aca="false">IF(ISNUMBER($K199),IF(ISNUMBER(Parâmetros!$E$8),Parâmetros!$E$8,0),"")</f>
        <v>0</v>
      </c>
      <c r="P199" s="41" t="n">
        <f aca="false">IF(ISNUMBER($K199),$K199-$D199-IF(ISNUMBER($E199),$E199,0)-$L199-$M199-$N199-$O199,"")</f>
        <v>122.3625</v>
      </c>
      <c r="Q199" s="42" t="n">
        <f aca="false">IF(AND(ISNUMBER($K199),$K199&gt;0),$P199/$K199,"")</f>
        <v>0.2</v>
      </c>
      <c r="R199" s="43"/>
      <c r="S199" s="44" t="str">
        <f aca="false">IF(OR(NOT(ISNUMBER($R199)),$R199=0,NOT(ISNUMBER($K199))),"",$K199*(1-$R199))</f>
        <v/>
      </c>
      <c r="T199" s="45" t="str">
        <f aca="false">IF(ISNUMBER($S199),$S199*$H199,"")</f>
        <v/>
      </c>
      <c r="U199" s="45" t="str">
        <f aca="false">IF(ISNUMBER($S199),$S199*Parâmetros!$B$8,"")</f>
        <v/>
      </c>
      <c r="V199" s="45" t="str">
        <f aca="false">IF(ISNUMBER($S199),$S199*Parâmetros!$C$8,"")</f>
        <v/>
      </c>
      <c r="W199" s="44" t="str">
        <f aca="false">IF(ISNUMBER($S199),$S199-$D199-IF(ISNUMBER($E199),$E199,0)-$O199-$T199-$U199-$V199,"")</f>
        <v/>
      </c>
      <c r="X199" s="46" t="str">
        <f aca="false">IF(AND(ISNUMBER($S199),$S199&gt;0),$W199/$S199,"")</f>
        <v/>
      </c>
      <c r="Y199" s="49"/>
      <c r="Z199" s="21"/>
    </row>
    <row r="200" customFormat="false" ht="15.75" hidden="false" customHeight="true" outlineLevel="0" collapsed="false">
      <c r="A200" s="32" t="str">
        <f aca="false">IF(Produtos!$A200="","",Produtos!$A200)</f>
        <v>PQ-2460C</v>
      </c>
      <c r="B200" s="32" t="str">
        <f aca="false">IF(Produtos!$A200="","",Produtos!$B200)</f>
        <v>Lixeira quadrada c/Tampa colorida e Pedal 24x60 30L</v>
      </c>
      <c r="C200" s="32" t="str">
        <f aca="false">IF(Produtos!$A200="","",Produtos!$C200)</f>
        <v>Lixeiras com pedal</v>
      </c>
      <c r="D200" s="33" t="n">
        <f aca="false">IF(Produtos!$A200="","",IF(Produtos!$D200="","",Produtos!$D200))</f>
        <v>360.26</v>
      </c>
      <c r="E200" s="11" t="n">
        <v>0</v>
      </c>
      <c r="F200" s="34" t="n">
        <f aca="false">IF($A200="","",IF($C200="","⚠ categoria",IFERROR(INDEX(Parâmetros!$F$13:$F$22,MATCH($C200,Parâmetros!$A$13:$A$22,0)),"⚠ categoria")))</f>
        <v>0.19</v>
      </c>
      <c r="G200" s="35"/>
      <c r="H200" s="36" t="n">
        <f aca="false">IF($A200="","",IF(ISNUMBER($G200),$G200,IF(ISNUMBER($F200),$F200,"")))</f>
        <v>0.19</v>
      </c>
      <c r="I200" s="37" t="n">
        <f aca="false">IF(OR($A200="",NOT(ISNUMBER($D200)),NOT(ISNUMBER($H200))),"",IF((1-$H200-Parâmetros!$B$8-Parâmetros!$C$8-Parâmetros!$D$8)&lt;=0,"INVALIDO",($D200+IF(ISNUMBER($E200),$E200,0)+IF(ISNUMBER(Parâmetros!$E$8),Parâmetros!$E$8,0))/(1-$H200-Parâmetros!$B$8-Parâmetros!$C$8-Parâmetros!$D$8)))</f>
        <v>750.541666666667</v>
      </c>
      <c r="J200" s="38"/>
      <c r="K200" s="39" t="n">
        <f aca="false">IF(OR($A200="",NOT(ISNUMBER($D200)),NOT(ISNUMBER($H200))),"",IF(AND(ISNUMBER($J200),$J200&gt;0),$J200,IF(ISNUMBER($I200),$I200,"")))</f>
        <v>750.541666666667</v>
      </c>
      <c r="L200" s="40" t="n">
        <f aca="false">IF(ISNUMBER($K200),$K200*$H200,"")</f>
        <v>142.602916666667</v>
      </c>
      <c r="M200" s="40" t="n">
        <f aca="false">IF(ISNUMBER($K200),$K200*Parâmetros!$B$8,"")</f>
        <v>75.0541666666667</v>
      </c>
      <c r="N200" s="40" t="n">
        <f aca="false">IF(ISNUMBER($K200),$K200*Parâmetros!$C$8,"")</f>
        <v>22.51625</v>
      </c>
      <c r="O200" s="40" t="n">
        <f aca="false">IF(ISNUMBER($K200),IF(ISNUMBER(Parâmetros!$E$8),Parâmetros!$E$8,0),"")</f>
        <v>0</v>
      </c>
      <c r="P200" s="41" t="n">
        <f aca="false">IF(ISNUMBER($K200),$K200-$D200-IF(ISNUMBER($E200),$E200,0)-$L200-$M200-$N200-$O200,"")</f>
        <v>150.108333333333</v>
      </c>
      <c r="Q200" s="42" t="n">
        <f aca="false">IF(AND(ISNUMBER($K200),$K200&gt;0),$P200/$K200,"")</f>
        <v>0.2</v>
      </c>
      <c r="R200" s="43"/>
      <c r="S200" s="44" t="str">
        <f aca="false">IF(OR(NOT(ISNUMBER($R200)),$R200=0,NOT(ISNUMBER($K200))),"",$K200*(1-$R200))</f>
        <v/>
      </c>
      <c r="T200" s="45" t="str">
        <f aca="false">IF(ISNUMBER($S200),$S200*$H200,"")</f>
        <v/>
      </c>
      <c r="U200" s="45" t="str">
        <f aca="false">IF(ISNUMBER($S200),$S200*Parâmetros!$B$8,"")</f>
        <v/>
      </c>
      <c r="V200" s="45" t="str">
        <f aca="false">IF(ISNUMBER($S200),$S200*Parâmetros!$C$8,"")</f>
        <v/>
      </c>
      <c r="W200" s="44" t="str">
        <f aca="false">IF(ISNUMBER($S200),$S200-$D200-IF(ISNUMBER($E200),$E200,0)-$O200-$T200-$U200-$V200,"")</f>
        <v/>
      </c>
      <c r="X200" s="46" t="str">
        <f aca="false">IF(AND(ISNUMBER($S200),$S200&gt;0),$W200/$S200,"")</f>
        <v/>
      </c>
      <c r="Y200" s="47"/>
      <c r="Z200" s="19"/>
    </row>
    <row r="201" customFormat="false" ht="15.75" hidden="false" customHeight="true" outlineLevel="0" collapsed="false">
      <c r="A201" s="48" t="str">
        <f aca="false">IF(Produtos!$A201="","",Produtos!$A201)</f>
        <v>PQ-3060C</v>
      </c>
      <c r="B201" s="48" t="str">
        <f aca="false">IF(Produtos!$A201="","",Produtos!$B201)</f>
        <v>Lixeira quadrada c/Tampa colorida e Pedal 30x60 50L</v>
      </c>
      <c r="C201" s="48" t="str">
        <f aca="false">IF(Produtos!$A201="","",Produtos!$C201)</f>
        <v>Lixeiras com pedal</v>
      </c>
      <c r="D201" s="33" t="n">
        <f aca="false">IF(Produtos!$A201="","",IF(Produtos!$D201="","",Produtos!$D201))</f>
        <v>449.58</v>
      </c>
      <c r="E201" s="11" t="n">
        <v>0</v>
      </c>
      <c r="F201" s="34" t="n">
        <f aca="false">IF($A201="","",IF($C201="","⚠ categoria",IFERROR(INDEX(Parâmetros!$F$13:$F$22,MATCH($C201,Parâmetros!$A$13:$A$22,0)),"⚠ categoria")))</f>
        <v>0.19</v>
      </c>
      <c r="G201" s="35"/>
      <c r="H201" s="36" t="n">
        <f aca="false">IF($A201="","",IF(ISNUMBER($G201),$G201,IF(ISNUMBER($F201),$F201,"")))</f>
        <v>0.19</v>
      </c>
      <c r="I201" s="37" t="n">
        <f aca="false">IF(OR($A201="",NOT(ISNUMBER($D201)),NOT(ISNUMBER($H201))),"",IF((1-$H201-Parâmetros!$B$8-Parâmetros!$C$8-Parâmetros!$D$8)&lt;=0,"INVALIDO",($D201+IF(ISNUMBER($E201),$E201,0)+IF(ISNUMBER(Parâmetros!$E$8),Parâmetros!$E$8,0))/(1-$H201-Parâmetros!$B$8-Parâmetros!$C$8-Parâmetros!$D$8)))</f>
        <v>936.625</v>
      </c>
      <c r="J201" s="38"/>
      <c r="K201" s="39" t="n">
        <f aca="false">IF(OR($A201="",NOT(ISNUMBER($D201)),NOT(ISNUMBER($H201))),"",IF(AND(ISNUMBER($J201),$J201&gt;0),$J201,IF(ISNUMBER($I201),$I201,"")))</f>
        <v>936.625</v>
      </c>
      <c r="L201" s="40" t="n">
        <f aca="false">IF(ISNUMBER($K201),$K201*$H201,"")</f>
        <v>177.95875</v>
      </c>
      <c r="M201" s="40" t="n">
        <f aca="false">IF(ISNUMBER($K201),$K201*Parâmetros!$B$8,"")</f>
        <v>93.6625</v>
      </c>
      <c r="N201" s="40" t="n">
        <f aca="false">IF(ISNUMBER($K201),$K201*Parâmetros!$C$8,"")</f>
        <v>28.09875</v>
      </c>
      <c r="O201" s="40" t="n">
        <f aca="false">IF(ISNUMBER($K201),IF(ISNUMBER(Parâmetros!$E$8),Parâmetros!$E$8,0),"")</f>
        <v>0</v>
      </c>
      <c r="P201" s="41" t="n">
        <f aca="false">IF(ISNUMBER($K201),$K201-$D201-IF(ISNUMBER($E201),$E201,0)-$L201-$M201-$N201-$O201,"")</f>
        <v>187.325</v>
      </c>
      <c r="Q201" s="42" t="n">
        <f aca="false">IF(AND(ISNUMBER($K201),$K201&gt;0),$P201/$K201,"")</f>
        <v>0.2</v>
      </c>
      <c r="R201" s="43"/>
      <c r="S201" s="44" t="str">
        <f aca="false">IF(OR(NOT(ISNUMBER($R201)),$R201=0,NOT(ISNUMBER($K201))),"",$K201*(1-$R201))</f>
        <v/>
      </c>
      <c r="T201" s="45" t="str">
        <f aca="false">IF(ISNUMBER($S201),$S201*$H201,"")</f>
        <v/>
      </c>
      <c r="U201" s="45" t="str">
        <f aca="false">IF(ISNUMBER($S201),$S201*Parâmetros!$B$8,"")</f>
        <v/>
      </c>
      <c r="V201" s="45" t="str">
        <f aca="false">IF(ISNUMBER($S201),$S201*Parâmetros!$C$8,"")</f>
        <v/>
      </c>
      <c r="W201" s="44" t="str">
        <f aca="false">IF(ISNUMBER($S201),$S201-$D201-IF(ISNUMBER($E201),$E201,0)-$O201-$T201-$U201-$V201,"")</f>
        <v/>
      </c>
      <c r="X201" s="46" t="str">
        <f aca="false">IF(AND(ISNUMBER($S201),$S201&gt;0),$W201/$S201,"")</f>
        <v/>
      </c>
      <c r="Y201" s="49"/>
      <c r="Z201" s="21"/>
    </row>
    <row r="202" customFormat="false" ht="15.75" hidden="false" customHeight="true" outlineLevel="0" collapsed="false">
      <c r="A202" s="32" t="str">
        <f aca="false">IF(Produtos!$A202="","",Produtos!$A202)</f>
        <v>PQ-4070C</v>
      </c>
      <c r="B202" s="32" t="str">
        <f aca="false">IF(Produtos!$A202="","",Produtos!$B202)</f>
        <v>Lixeira quadrada c/Tampa colorida e Pedal 40x70 100L</v>
      </c>
      <c r="C202" s="32" t="str">
        <f aca="false">IF(Produtos!$A202="","",Produtos!$C202)</f>
        <v>Lixeiras com pedal</v>
      </c>
      <c r="D202" s="33" t="n">
        <f aca="false">IF(Produtos!$A202="","",IF(Produtos!$D202="","",Produtos!$D202))</f>
        <v>980.21</v>
      </c>
      <c r="E202" s="11" t="n">
        <v>0</v>
      </c>
      <c r="F202" s="34" t="n">
        <f aca="false">IF($A202="","",IF($C202="","⚠ categoria",IFERROR(INDEX(Parâmetros!$F$13:$F$22,MATCH($C202,Parâmetros!$A$13:$A$22,0)),"⚠ categoria")))</f>
        <v>0.19</v>
      </c>
      <c r="G202" s="35"/>
      <c r="H202" s="36" t="n">
        <f aca="false">IF($A202="","",IF(ISNUMBER($G202),$G202,IF(ISNUMBER($F202),$F202,"")))</f>
        <v>0.19</v>
      </c>
      <c r="I202" s="37" t="n">
        <f aca="false">IF(OR($A202="",NOT(ISNUMBER($D202)),NOT(ISNUMBER($H202))),"",IF((1-$H202-Parâmetros!$B$8-Parâmetros!$C$8-Parâmetros!$D$8)&lt;=0,"INVALIDO",($D202+IF(ISNUMBER($E202),$E202,0)+IF(ISNUMBER(Parâmetros!$E$8),Parâmetros!$E$8,0))/(1-$H202-Parâmetros!$B$8-Parâmetros!$C$8-Parâmetros!$D$8)))</f>
        <v>2042.10416666667</v>
      </c>
      <c r="J202" s="38"/>
      <c r="K202" s="39" t="n">
        <f aca="false">IF(OR($A202="",NOT(ISNUMBER($D202)),NOT(ISNUMBER($H202))),"",IF(AND(ISNUMBER($J202),$J202&gt;0),$J202,IF(ISNUMBER($I202),$I202,"")))</f>
        <v>2042.10416666667</v>
      </c>
      <c r="L202" s="40" t="n">
        <f aca="false">IF(ISNUMBER($K202),$K202*$H202,"")</f>
        <v>387.999791666667</v>
      </c>
      <c r="M202" s="40" t="n">
        <f aca="false">IF(ISNUMBER($K202),$K202*Parâmetros!$B$8,"")</f>
        <v>204.210416666667</v>
      </c>
      <c r="N202" s="40" t="n">
        <f aca="false">IF(ISNUMBER($K202),$K202*Parâmetros!$C$8,"")</f>
        <v>61.263125</v>
      </c>
      <c r="O202" s="40" t="n">
        <f aca="false">IF(ISNUMBER($K202),IF(ISNUMBER(Parâmetros!$E$8),Parâmetros!$E$8,0),"")</f>
        <v>0</v>
      </c>
      <c r="P202" s="41" t="n">
        <f aca="false">IF(ISNUMBER($K202),$K202-$D202-IF(ISNUMBER($E202),$E202,0)-$L202-$M202-$N202-$O202,"")</f>
        <v>408.420833333333</v>
      </c>
      <c r="Q202" s="42" t="n">
        <f aca="false">IF(AND(ISNUMBER($K202),$K202&gt;0),$P202/$K202,"")</f>
        <v>0.2</v>
      </c>
      <c r="R202" s="43"/>
      <c r="S202" s="44" t="str">
        <f aca="false">IF(OR(NOT(ISNUMBER($R202)),$R202=0,NOT(ISNUMBER($K202))),"",$K202*(1-$R202))</f>
        <v/>
      </c>
      <c r="T202" s="45" t="str">
        <f aca="false">IF(ISNUMBER($S202),$S202*$H202,"")</f>
        <v/>
      </c>
      <c r="U202" s="45" t="str">
        <f aca="false">IF(ISNUMBER($S202),$S202*Parâmetros!$B$8,"")</f>
        <v/>
      </c>
      <c r="V202" s="45" t="str">
        <f aca="false">IF(ISNUMBER($S202),$S202*Parâmetros!$C$8,"")</f>
        <v/>
      </c>
      <c r="W202" s="44" t="str">
        <f aca="false">IF(ISNUMBER($S202),$S202-$D202-IF(ISNUMBER($E202),$E202,0)-$O202-$T202-$U202-$V202,"")</f>
        <v/>
      </c>
      <c r="X202" s="46" t="str">
        <f aca="false">IF(AND(ISNUMBER($S202),$S202&gt;0),$W202/$S202,"")</f>
        <v/>
      </c>
      <c r="Y202" s="47"/>
      <c r="Z202" s="19"/>
    </row>
    <row r="203" customFormat="false" ht="15.75" hidden="false" customHeight="true" outlineLevel="0" collapsed="false">
      <c r="A203" s="48" t="str">
        <f aca="false">IF(Produtos!$A203="","",Produtos!$A203)</f>
        <v>PQ-4090C</v>
      </c>
      <c r="B203" s="48" t="str">
        <f aca="false">IF(Produtos!$A203="","",Produtos!$B203)</f>
        <v>Lixeira quadrada c/Tampa colorida e Pedal 40x90 120L</v>
      </c>
      <c r="C203" s="48" t="str">
        <f aca="false">IF(Produtos!$A203="","",Produtos!$C203)</f>
        <v>Lixeiras com pedal</v>
      </c>
      <c r="D203" s="33" t="n">
        <f aca="false">IF(Produtos!$A203="","",IF(Produtos!$D203="","",Produtos!$D203))</f>
        <v>1078.18</v>
      </c>
      <c r="E203" s="11" t="n">
        <v>0</v>
      </c>
      <c r="F203" s="34" t="n">
        <f aca="false">IF($A203="","",IF($C203="","⚠ categoria",IFERROR(INDEX(Parâmetros!$F$13:$F$22,MATCH($C203,Parâmetros!$A$13:$A$22,0)),"⚠ categoria")))</f>
        <v>0.19</v>
      </c>
      <c r="G203" s="35"/>
      <c r="H203" s="36" t="n">
        <f aca="false">IF($A203="","",IF(ISNUMBER($G203),$G203,IF(ISNUMBER($F203),$F203,"")))</f>
        <v>0.19</v>
      </c>
      <c r="I203" s="37" t="n">
        <f aca="false">IF(OR($A203="",NOT(ISNUMBER($D203)),NOT(ISNUMBER($H203))),"",IF((1-$H203-Parâmetros!$B$8-Parâmetros!$C$8-Parâmetros!$D$8)&lt;=0,"INVALIDO",($D203+IF(ISNUMBER($E203),$E203,0)+IF(ISNUMBER(Parâmetros!$E$8),Parâmetros!$E$8,0))/(1-$H203-Parâmetros!$B$8-Parâmetros!$C$8-Parâmetros!$D$8)))</f>
        <v>2246.20833333333</v>
      </c>
      <c r="J203" s="38"/>
      <c r="K203" s="39" t="n">
        <f aca="false">IF(OR($A203="",NOT(ISNUMBER($D203)),NOT(ISNUMBER($H203))),"",IF(AND(ISNUMBER($J203),$J203&gt;0),$J203,IF(ISNUMBER($I203),$I203,"")))</f>
        <v>2246.20833333333</v>
      </c>
      <c r="L203" s="40" t="n">
        <f aca="false">IF(ISNUMBER($K203),$K203*$H203,"")</f>
        <v>426.779583333333</v>
      </c>
      <c r="M203" s="40" t="n">
        <f aca="false">IF(ISNUMBER($K203),$K203*Parâmetros!$B$8,"")</f>
        <v>224.620833333333</v>
      </c>
      <c r="N203" s="40" t="n">
        <f aca="false">IF(ISNUMBER($K203),$K203*Parâmetros!$C$8,"")</f>
        <v>67.38625</v>
      </c>
      <c r="O203" s="40" t="n">
        <f aca="false">IF(ISNUMBER($K203),IF(ISNUMBER(Parâmetros!$E$8),Parâmetros!$E$8,0),"")</f>
        <v>0</v>
      </c>
      <c r="P203" s="41" t="n">
        <f aca="false">IF(ISNUMBER($K203),$K203-$D203-IF(ISNUMBER($E203),$E203,0)-$L203-$M203-$N203-$O203,"")</f>
        <v>449.241666666667</v>
      </c>
      <c r="Q203" s="42" t="n">
        <f aca="false">IF(AND(ISNUMBER($K203),$K203&gt;0),$P203/$K203,"")</f>
        <v>0.2</v>
      </c>
      <c r="R203" s="43"/>
      <c r="S203" s="44" t="str">
        <f aca="false">IF(OR(NOT(ISNUMBER($R203)),$R203=0,NOT(ISNUMBER($K203))),"",$K203*(1-$R203))</f>
        <v/>
      </c>
      <c r="T203" s="45" t="str">
        <f aca="false">IF(ISNUMBER($S203),$S203*$H203,"")</f>
        <v/>
      </c>
      <c r="U203" s="45" t="str">
        <f aca="false">IF(ISNUMBER($S203),$S203*Parâmetros!$B$8,"")</f>
        <v/>
      </c>
      <c r="V203" s="45" t="str">
        <f aca="false">IF(ISNUMBER($S203),$S203*Parâmetros!$C$8,"")</f>
        <v/>
      </c>
      <c r="W203" s="44" t="str">
        <f aca="false">IF(ISNUMBER($S203),$S203-$D203-IF(ISNUMBER($E203),$E203,0)-$O203-$T203-$U203-$V203,"")</f>
        <v/>
      </c>
      <c r="X203" s="46" t="str">
        <f aca="false">IF(AND(ISNUMBER($S203),$S203&gt;0),$W203/$S203,"")</f>
        <v/>
      </c>
      <c r="Y203" s="49"/>
      <c r="Z203" s="21"/>
    </row>
    <row r="204" customFormat="false" ht="15.75" hidden="false" customHeight="true" outlineLevel="0" collapsed="false">
      <c r="A204" s="32" t="str">
        <f aca="false">IF(Produtos!$A204="","",Produtos!$A204)</f>
        <v>PQ-5080C</v>
      </c>
      <c r="B204" s="32" t="str">
        <f aca="false">IF(Produtos!$A204="","",Produtos!$B204)</f>
        <v>Lixeira quadrada c/Tampa colorida e Pedal 50x80 150L</v>
      </c>
      <c r="C204" s="32" t="str">
        <f aca="false">IF(Produtos!$A204="","",Produtos!$C204)</f>
        <v>Lixeiras com pedal</v>
      </c>
      <c r="D204" s="33" t="n">
        <f aca="false">IF(Produtos!$A204="","",IF(Produtos!$D204="","",Produtos!$D204))</f>
        <v>1393</v>
      </c>
      <c r="E204" s="11" t="n">
        <v>0</v>
      </c>
      <c r="F204" s="34" t="n">
        <f aca="false">IF($A204="","",IF($C204="","⚠ categoria",IFERROR(INDEX(Parâmetros!$F$13:$F$22,MATCH($C204,Parâmetros!$A$13:$A$22,0)),"⚠ categoria")))</f>
        <v>0.19</v>
      </c>
      <c r="G204" s="35"/>
      <c r="H204" s="36" t="n">
        <f aca="false">IF($A204="","",IF(ISNUMBER($G204),$G204,IF(ISNUMBER($F204),$F204,"")))</f>
        <v>0.19</v>
      </c>
      <c r="I204" s="37" t="n">
        <f aca="false">IF(OR($A204="",NOT(ISNUMBER($D204)),NOT(ISNUMBER($H204))),"",IF((1-$H204-Parâmetros!$B$8-Parâmetros!$C$8-Parâmetros!$D$8)&lt;=0,"INVALIDO",($D204+IF(ISNUMBER($E204),$E204,0)+IF(ISNUMBER(Parâmetros!$E$8),Parâmetros!$E$8,0))/(1-$H204-Parâmetros!$B$8-Parâmetros!$C$8-Parâmetros!$D$8)))</f>
        <v>2902.08333333333</v>
      </c>
      <c r="J204" s="38"/>
      <c r="K204" s="39" t="n">
        <f aca="false">IF(OR($A204="",NOT(ISNUMBER($D204)),NOT(ISNUMBER($H204))),"",IF(AND(ISNUMBER($J204),$J204&gt;0),$J204,IF(ISNUMBER($I204),$I204,"")))</f>
        <v>2902.08333333333</v>
      </c>
      <c r="L204" s="40" t="n">
        <f aca="false">IF(ISNUMBER($K204),$K204*$H204,"")</f>
        <v>551.395833333333</v>
      </c>
      <c r="M204" s="40" t="n">
        <f aca="false">IF(ISNUMBER($K204),$K204*Parâmetros!$B$8,"")</f>
        <v>290.208333333333</v>
      </c>
      <c r="N204" s="40" t="n">
        <f aca="false">IF(ISNUMBER($K204),$K204*Parâmetros!$C$8,"")</f>
        <v>87.0625</v>
      </c>
      <c r="O204" s="40" t="n">
        <f aca="false">IF(ISNUMBER($K204),IF(ISNUMBER(Parâmetros!$E$8),Parâmetros!$E$8,0),"")</f>
        <v>0</v>
      </c>
      <c r="P204" s="41" t="n">
        <f aca="false">IF(ISNUMBER($K204),$K204-$D204-IF(ISNUMBER($E204),$E204,0)-$L204-$M204-$N204-$O204,"")</f>
        <v>580.416666666667</v>
      </c>
      <c r="Q204" s="42" t="n">
        <f aca="false">IF(AND(ISNUMBER($K204),$K204&gt;0),$P204/$K204,"")</f>
        <v>0.2</v>
      </c>
      <c r="R204" s="43"/>
      <c r="S204" s="44" t="str">
        <f aca="false">IF(OR(NOT(ISNUMBER($R204)),$R204=0,NOT(ISNUMBER($K204))),"",$K204*(1-$R204))</f>
        <v/>
      </c>
      <c r="T204" s="45" t="str">
        <f aca="false">IF(ISNUMBER($S204),$S204*$H204,"")</f>
        <v/>
      </c>
      <c r="U204" s="45" t="str">
        <f aca="false">IF(ISNUMBER($S204),$S204*Parâmetros!$B$8,"")</f>
        <v/>
      </c>
      <c r="V204" s="45" t="str">
        <f aca="false">IF(ISNUMBER($S204),$S204*Parâmetros!$C$8,"")</f>
        <v/>
      </c>
      <c r="W204" s="44" t="str">
        <f aca="false">IF(ISNUMBER($S204),$S204-$D204-IF(ISNUMBER($E204),$E204,0)-$O204-$T204-$U204-$V204,"")</f>
        <v/>
      </c>
      <c r="X204" s="46" t="str">
        <f aca="false">IF(AND(ISNUMBER($S204),$S204&gt;0),$W204/$S204,"")</f>
        <v/>
      </c>
      <c r="Y204" s="47"/>
      <c r="Z204" s="19"/>
    </row>
    <row r="205" customFormat="false" ht="15.75" hidden="false" customHeight="true" outlineLevel="0" collapsed="false">
      <c r="A205" s="48" t="str">
        <f aca="false">IF(Produtos!$A205="","",Produtos!$A205)</f>
        <v>L1618-T</v>
      </c>
      <c r="B205" s="48" t="str">
        <f aca="false">IF(Produtos!$A205="","",Produtos!$B205)</f>
        <v>Lixeira de Aço inox 16x18 03L com tampa</v>
      </c>
      <c r="C205" s="48" t="str">
        <f aca="false">IF(Produtos!$A205="","",Produtos!$C205)</f>
        <v>Lixeiras em inox</v>
      </c>
      <c r="D205" s="33" t="n">
        <f aca="false">IF(Produtos!$A205="","",IF(Produtos!$D205="","",Produtos!$D205))</f>
        <v>54.47</v>
      </c>
      <c r="E205" s="11" t="n">
        <v>0</v>
      </c>
      <c r="F205" s="34" t="n">
        <f aca="false">IF($A205="","",IF($C205="","⚠ categoria",IFERROR(INDEX(Parâmetros!$F$13:$F$22,MATCH($C205,Parâmetros!$A$13:$A$22,0)),"⚠ categoria")))</f>
        <v>0.19</v>
      </c>
      <c r="G205" s="35"/>
      <c r="H205" s="36" t="n">
        <f aca="false">IF($A205="","",IF(ISNUMBER($G205),$G205,IF(ISNUMBER($F205),$F205,"")))</f>
        <v>0.19</v>
      </c>
      <c r="I205" s="37" t="n">
        <f aca="false">IF(OR($A205="",NOT(ISNUMBER($D205)),NOT(ISNUMBER($H205))),"",IF((1-$H205-Parâmetros!$B$8-Parâmetros!$C$8-Parâmetros!$D$8)&lt;=0,"INVALIDO",($D205+IF(ISNUMBER($E205),$E205,0)+IF(ISNUMBER(Parâmetros!$E$8),Parâmetros!$E$8,0))/(1-$H205-Parâmetros!$B$8-Parâmetros!$C$8-Parâmetros!$D$8)))</f>
        <v>113.479166666667</v>
      </c>
      <c r="J205" s="38"/>
      <c r="K205" s="39" t="n">
        <f aca="false">IF(OR($A205="",NOT(ISNUMBER($D205)),NOT(ISNUMBER($H205))),"",IF(AND(ISNUMBER($J205),$J205&gt;0),$J205,IF(ISNUMBER($I205),$I205,"")))</f>
        <v>113.479166666667</v>
      </c>
      <c r="L205" s="40" t="n">
        <f aca="false">IF(ISNUMBER($K205),$K205*$H205,"")</f>
        <v>21.5610416666667</v>
      </c>
      <c r="M205" s="40" t="n">
        <f aca="false">IF(ISNUMBER($K205),$K205*Parâmetros!$B$8,"")</f>
        <v>11.3479166666667</v>
      </c>
      <c r="N205" s="40" t="n">
        <f aca="false">IF(ISNUMBER($K205),$K205*Parâmetros!$C$8,"")</f>
        <v>3.404375</v>
      </c>
      <c r="O205" s="40" t="n">
        <f aca="false">IF(ISNUMBER($K205),IF(ISNUMBER(Parâmetros!$E$8),Parâmetros!$E$8,0),"")</f>
        <v>0</v>
      </c>
      <c r="P205" s="41" t="n">
        <f aca="false">IF(ISNUMBER($K205),$K205-$D205-IF(ISNUMBER($E205),$E205,0)-$L205-$M205-$N205-$O205,"")</f>
        <v>22.6958333333333</v>
      </c>
      <c r="Q205" s="42" t="n">
        <f aca="false">IF(AND(ISNUMBER($K205),$K205&gt;0),$P205/$K205,"")</f>
        <v>0.2</v>
      </c>
      <c r="R205" s="43"/>
      <c r="S205" s="44" t="str">
        <f aca="false">IF(OR(NOT(ISNUMBER($R205)),$R205=0,NOT(ISNUMBER($K205))),"",$K205*(1-$R205))</f>
        <v/>
      </c>
      <c r="T205" s="45" t="str">
        <f aca="false">IF(ISNUMBER($S205),$S205*$H205,"")</f>
        <v/>
      </c>
      <c r="U205" s="45" t="str">
        <f aca="false">IF(ISNUMBER($S205),$S205*Parâmetros!$B$8,"")</f>
        <v/>
      </c>
      <c r="V205" s="45" t="str">
        <f aca="false">IF(ISNUMBER($S205),$S205*Parâmetros!$C$8,"")</f>
        <v/>
      </c>
      <c r="W205" s="44" t="str">
        <f aca="false">IF(ISNUMBER($S205),$S205-$D205-IF(ISNUMBER($E205),$E205,0)-$O205-$T205-$U205-$V205,"")</f>
        <v/>
      </c>
      <c r="X205" s="46" t="str">
        <f aca="false">IF(AND(ISNUMBER($S205),$S205&gt;0),$W205/$S205,"")</f>
        <v/>
      </c>
      <c r="Y205" s="49"/>
      <c r="Z205" s="21"/>
    </row>
    <row r="206" customFormat="false" ht="15.75" hidden="false" customHeight="true" outlineLevel="0" collapsed="false">
      <c r="A206" s="32" t="str">
        <f aca="false">IF(Produtos!$A206="","",Produtos!$A206)</f>
        <v>L1623-T</v>
      </c>
      <c r="B206" s="32" t="str">
        <f aca="false">IF(Produtos!$A206="","",Produtos!$B206)</f>
        <v>Lixeira de Aço inox 16x23 05L com tampa</v>
      </c>
      <c r="C206" s="32" t="str">
        <f aca="false">IF(Produtos!$A206="","",Produtos!$C206)</f>
        <v>Lixeiras em inox</v>
      </c>
      <c r="D206" s="33" t="n">
        <f aca="false">IF(Produtos!$A206="","",IF(Produtos!$D206="","",Produtos!$D206))</f>
        <v>59.8</v>
      </c>
      <c r="E206" s="11" t="n">
        <v>0</v>
      </c>
      <c r="F206" s="34" t="n">
        <f aca="false">IF($A206="","",IF($C206="","⚠ categoria",IFERROR(INDEX(Parâmetros!$F$13:$F$22,MATCH($C206,Parâmetros!$A$13:$A$22,0)),"⚠ categoria")))</f>
        <v>0.19</v>
      </c>
      <c r="G206" s="35"/>
      <c r="H206" s="36" t="n">
        <f aca="false">IF($A206="","",IF(ISNUMBER($G206),$G206,IF(ISNUMBER($F206),$F206,"")))</f>
        <v>0.19</v>
      </c>
      <c r="I206" s="37" t="n">
        <f aca="false">IF(OR($A206="",NOT(ISNUMBER($D206)),NOT(ISNUMBER($H206))),"",IF((1-$H206-Parâmetros!$B$8-Parâmetros!$C$8-Parâmetros!$D$8)&lt;=0,"INVALIDO",($D206+IF(ISNUMBER($E206),$E206,0)+IF(ISNUMBER(Parâmetros!$E$8),Parâmetros!$E$8,0))/(1-$H206-Parâmetros!$B$8-Parâmetros!$C$8-Parâmetros!$D$8)))</f>
        <v>124.583333333333</v>
      </c>
      <c r="J206" s="38"/>
      <c r="K206" s="39" t="n">
        <f aca="false">IF(OR($A206="",NOT(ISNUMBER($D206)),NOT(ISNUMBER($H206))),"",IF(AND(ISNUMBER($J206),$J206&gt;0),$J206,IF(ISNUMBER($I206),$I206,"")))</f>
        <v>124.583333333333</v>
      </c>
      <c r="L206" s="40" t="n">
        <f aca="false">IF(ISNUMBER($K206),$K206*$H206,"")</f>
        <v>23.6708333333333</v>
      </c>
      <c r="M206" s="40" t="n">
        <f aca="false">IF(ISNUMBER($K206),$K206*Parâmetros!$B$8,"")</f>
        <v>12.4583333333333</v>
      </c>
      <c r="N206" s="40" t="n">
        <f aca="false">IF(ISNUMBER($K206),$K206*Parâmetros!$C$8,"")</f>
        <v>3.7375</v>
      </c>
      <c r="O206" s="40" t="n">
        <f aca="false">IF(ISNUMBER($K206),IF(ISNUMBER(Parâmetros!$E$8),Parâmetros!$E$8,0),"")</f>
        <v>0</v>
      </c>
      <c r="P206" s="41" t="n">
        <f aca="false">IF(ISNUMBER($K206),$K206-$D206-IF(ISNUMBER($E206),$E206,0)-$L206-$M206-$N206-$O206,"")</f>
        <v>24.9166666666667</v>
      </c>
      <c r="Q206" s="42" t="n">
        <f aca="false">IF(AND(ISNUMBER($K206),$K206&gt;0),$P206/$K206,"")</f>
        <v>0.2</v>
      </c>
      <c r="R206" s="43"/>
      <c r="S206" s="44" t="str">
        <f aca="false">IF(OR(NOT(ISNUMBER($R206)),$R206=0,NOT(ISNUMBER($K206))),"",$K206*(1-$R206))</f>
        <v/>
      </c>
      <c r="T206" s="45" t="str">
        <f aca="false">IF(ISNUMBER($S206),$S206*$H206,"")</f>
        <v/>
      </c>
      <c r="U206" s="45" t="str">
        <f aca="false">IF(ISNUMBER($S206),$S206*Parâmetros!$B$8,"")</f>
        <v/>
      </c>
      <c r="V206" s="45" t="str">
        <f aca="false">IF(ISNUMBER($S206),$S206*Parâmetros!$C$8,"")</f>
        <v/>
      </c>
      <c r="W206" s="44" t="str">
        <f aca="false">IF(ISNUMBER($S206),$S206-$D206-IF(ISNUMBER($E206),$E206,0)-$O206-$T206-$U206-$V206,"")</f>
        <v/>
      </c>
      <c r="X206" s="46" t="str">
        <f aca="false">IF(AND(ISNUMBER($S206),$S206&gt;0),$W206/$S206,"")</f>
        <v/>
      </c>
      <c r="Y206" s="47"/>
      <c r="Z206" s="19"/>
    </row>
    <row r="207" customFormat="false" ht="15.75" hidden="false" customHeight="true" outlineLevel="0" collapsed="false">
      <c r="A207" s="48" t="str">
        <f aca="false">IF(Produtos!$A207="","",Produtos!$A207)</f>
        <v>L2025-T</v>
      </c>
      <c r="B207" s="48" t="str">
        <f aca="false">IF(Produtos!$A207="","",Produtos!$B207)</f>
        <v>Lixeira de Aço inox 20x25 07L com tampa</v>
      </c>
      <c r="C207" s="48" t="str">
        <f aca="false">IF(Produtos!$A207="","",Produtos!$C207)</f>
        <v>Lixeiras em inox</v>
      </c>
      <c r="D207" s="33" t="n">
        <f aca="false">IF(Produtos!$A207="","",IF(Produtos!$D207="","",Produtos!$D207))</f>
        <v>63.11</v>
      </c>
      <c r="E207" s="11" t="n">
        <v>0</v>
      </c>
      <c r="F207" s="34" t="n">
        <f aca="false">IF($A207="","",IF($C207="","⚠ categoria",IFERROR(INDEX(Parâmetros!$F$13:$F$22,MATCH($C207,Parâmetros!$A$13:$A$22,0)),"⚠ categoria")))</f>
        <v>0.19</v>
      </c>
      <c r="G207" s="35"/>
      <c r="H207" s="36" t="n">
        <f aca="false">IF($A207="","",IF(ISNUMBER($G207),$G207,IF(ISNUMBER($F207),$F207,"")))</f>
        <v>0.19</v>
      </c>
      <c r="I207" s="37" t="n">
        <f aca="false">IF(OR($A207="",NOT(ISNUMBER($D207)),NOT(ISNUMBER($H207))),"",IF((1-$H207-Parâmetros!$B$8-Parâmetros!$C$8-Parâmetros!$D$8)&lt;=0,"INVALIDO",($D207+IF(ISNUMBER($E207),$E207,0)+IF(ISNUMBER(Parâmetros!$E$8),Parâmetros!$E$8,0))/(1-$H207-Parâmetros!$B$8-Parâmetros!$C$8-Parâmetros!$D$8)))</f>
        <v>131.479166666667</v>
      </c>
      <c r="J207" s="38"/>
      <c r="K207" s="39" t="n">
        <f aca="false">IF(OR($A207="",NOT(ISNUMBER($D207)),NOT(ISNUMBER($H207))),"",IF(AND(ISNUMBER($J207),$J207&gt;0),$J207,IF(ISNUMBER($I207),$I207,"")))</f>
        <v>131.479166666667</v>
      </c>
      <c r="L207" s="40" t="n">
        <f aca="false">IF(ISNUMBER($K207),$K207*$H207,"")</f>
        <v>24.9810416666667</v>
      </c>
      <c r="M207" s="40" t="n">
        <f aca="false">IF(ISNUMBER($K207),$K207*Parâmetros!$B$8,"")</f>
        <v>13.1479166666667</v>
      </c>
      <c r="N207" s="40" t="n">
        <f aca="false">IF(ISNUMBER($K207),$K207*Parâmetros!$C$8,"")</f>
        <v>3.944375</v>
      </c>
      <c r="O207" s="40" t="n">
        <f aca="false">IF(ISNUMBER($K207),IF(ISNUMBER(Parâmetros!$E$8),Parâmetros!$E$8,0),"")</f>
        <v>0</v>
      </c>
      <c r="P207" s="41" t="n">
        <f aca="false">IF(ISNUMBER($K207),$K207-$D207-IF(ISNUMBER($E207),$E207,0)-$L207-$M207-$N207-$O207,"")</f>
        <v>26.2958333333333</v>
      </c>
      <c r="Q207" s="42" t="n">
        <f aca="false">IF(AND(ISNUMBER($K207),$K207&gt;0),$P207/$K207,"")</f>
        <v>0.2</v>
      </c>
      <c r="R207" s="43"/>
      <c r="S207" s="44" t="str">
        <f aca="false">IF(OR(NOT(ISNUMBER($R207)),$R207=0,NOT(ISNUMBER($K207))),"",$K207*(1-$R207))</f>
        <v/>
      </c>
      <c r="T207" s="45" t="str">
        <f aca="false">IF(ISNUMBER($S207),$S207*$H207,"")</f>
        <v/>
      </c>
      <c r="U207" s="45" t="str">
        <f aca="false">IF(ISNUMBER($S207),$S207*Parâmetros!$B$8,"")</f>
        <v/>
      </c>
      <c r="V207" s="45" t="str">
        <f aca="false">IF(ISNUMBER($S207),$S207*Parâmetros!$C$8,"")</f>
        <v/>
      </c>
      <c r="W207" s="44" t="str">
        <f aca="false">IF(ISNUMBER($S207),$S207-$D207-IF(ISNUMBER($E207),$E207,0)-$O207-$T207-$U207-$V207,"")</f>
        <v/>
      </c>
      <c r="X207" s="46" t="str">
        <f aca="false">IF(AND(ISNUMBER($S207),$S207&gt;0),$W207/$S207,"")</f>
        <v/>
      </c>
      <c r="Y207" s="49"/>
      <c r="Z207" s="21"/>
    </row>
    <row r="208" customFormat="false" ht="15.75" hidden="false" customHeight="true" outlineLevel="0" collapsed="false">
      <c r="A208" s="32" t="str">
        <f aca="false">IF(Produtos!$A208="","",Produtos!$A208)</f>
        <v>L2030-T</v>
      </c>
      <c r="B208" s="32" t="str">
        <f aca="false">IF(Produtos!$A208="","",Produtos!$B208)</f>
        <v>Lixeira de Aço inox 20x30 10L com tampa</v>
      </c>
      <c r="C208" s="32" t="str">
        <f aca="false">IF(Produtos!$A208="","",Produtos!$C208)</f>
        <v>Lixeiras em inox</v>
      </c>
      <c r="D208" s="33" t="n">
        <f aca="false">IF(Produtos!$A208="","",IF(Produtos!$D208="","",Produtos!$D208))</f>
        <v>69.27</v>
      </c>
      <c r="E208" s="11" t="n">
        <v>0</v>
      </c>
      <c r="F208" s="34" t="n">
        <f aca="false">IF($A208="","",IF($C208="","⚠ categoria",IFERROR(INDEX(Parâmetros!$F$13:$F$22,MATCH($C208,Parâmetros!$A$13:$A$22,0)),"⚠ categoria")))</f>
        <v>0.19</v>
      </c>
      <c r="G208" s="35"/>
      <c r="H208" s="36" t="n">
        <f aca="false">IF($A208="","",IF(ISNUMBER($G208),$G208,IF(ISNUMBER($F208),$F208,"")))</f>
        <v>0.19</v>
      </c>
      <c r="I208" s="37" t="n">
        <f aca="false">IF(OR($A208="",NOT(ISNUMBER($D208)),NOT(ISNUMBER($H208))),"",IF((1-$H208-Parâmetros!$B$8-Parâmetros!$C$8-Parâmetros!$D$8)&lt;=0,"INVALIDO",($D208+IF(ISNUMBER($E208),$E208,0)+IF(ISNUMBER(Parâmetros!$E$8),Parâmetros!$E$8,0))/(1-$H208-Parâmetros!$B$8-Parâmetros!$C$8-Parâmetros!$D$8)))</f>
        <v>144.3125</v>
      </c>
      <c r="J208" s="38"/>
      <c r="K208" s="39" t="n">
        <f aca="false">IF(OR($A208="",NOT(ISNUMBER($D208)),NOT(ISNUMBER($H208))),"",IF(AND(ISNUMBER($J208),$J208&gt;0),$J208,IF(ISNUMBER($I208),$I208,"")))</f>
        <v>144.3125</v>
      </c>
      <c r="L208" s="40" t="n">
        <f aca="false">IF(ISNUMBER($K208),$K208*$H208,"")</f>
        <v>27.419375</v>
      </c>
      <c r="M208" s="40" t="n">
        <f aca="false">IF(ISNUMBER($K208),$K208*Parâmetros!$B$8,"")</f>
        <v>14.43125</v>
      </c>
      <c r="N208" s="40" t="n">
        <f aca="false">IF(ISNUMBER($K208),$K208*Parâmetros!$C$8,"")</f>
        <v>4.329375</v>
      </c>
      <c r="O208" s="40" t="n">
        <f aca="false">IF(ISNUMBER($K208),IF(ISNUMBER(Parâmetros!$E$8),Parâmetros!$E$8,0),"")</f>
        <v>0</v>
      </c>
      <c r="P208" s="41" t="n">
        <f aca="false">IF(ISNUMBER($K208),$K208-$D208-IF(ISNUMBER($E208),$E208,0)-$L208-$M208-$N208-$O208,"")</f>
        <v>28.8625</v>
      </c>
      <c r="Q208" s="42" t="n">
        <f aca="false">IF(AND(ISNUMBER($K208),$K208&gt;0),$P208/$K208,"")</f>
        <v>0.2</v>
      </c>
      <c r="R208" s="43"/>
      <c r="S208" s="44" t="str">
        <f aca="false">IF(OR(NOT(ISNUMBER($R208)),$R208=0,NOT(ISNUMBER($K208))),"",$K208*(1-$R208))</f>
        <v/>
      </c>
      <c r="T208" s="45" t="str">
        <f aca="false">IF(ISNUMBER($S208),$S208*$H208,"")</f>
        <v/>
      </c>
      <c r="U208" s="45" t="str">
        <f aca="false">IF(ISNUMBER($S208),$S208*Parâmetros!$B$8,"")</f>
        <v/>
      </c>
      <c r="V208" s="45" t="str">
        <f aca="false">IF(ISNUMBER($S208),$S208*Parâmetros!$C$8,"")</f>
        <v/>
      </c>
      <c r="W208" s="44" t="str">
        <f aca="false">IF(ISNUMBER($S208),$S208-$D208-IF(ISNUMBER($E208),$E208,0)-$O208-$T208-$U208-$V208,"")</f>
        <v/>
      </c>
      <c r="X208" s="46" t="str">
        <f aca="false">IF(AND(ISNUMBER($S208),$S208&gt;0),$W208/$S208,"")</f>
        <v/>
      </c>
      <c r="Y208" s="47"/>
      <c r="Z208" s="19"/>
    </row>
    <row r="209" customFormat="false" ht="15.75" hidden="false" customHeight="true" outlineLevel="0" collapsed="false">
      <c r="A209" s="48" t="str">
        <f aca="false">IF(Produtos!$A209="","",Produtos!$A209)</f>
        <v>A24</v>
      </c>
      <c r="B209" s="48" t="str">
        <f aca="false">IF(Produtos!$A209="","",Produtos!$B209)</f>
        <v>Aro 24cm Aço Inox</v>
      </c>
      <c r="C209" s="48" t="str">
        <f aca="false">IF(Produtos!$A209="","",Produtos!$C209)</f>
        <v>Acessórios (aros e tampas)</v>
      </c>
      <c r="D209" s="33" t="n">
        <f aca="false">IF(Produtos!$A209="","",IF(Produtos!$D209="","",Produtos!$D209))</f>
        <v>38.11</v>
      </c>
      <c r="E209" s="11" t="n">
        <v>0</v>
      </c>
      <c r="F209" s="34" t="n">
        <f aca="false">IF($A209="","",IF($C209="","⚠ categoria",IFERROR(INDEX(Parâmetros!$F$13:$F$22,MATCH($C209,Parâmetros!$A$13:$A$22,0)),"⚠ categoria")))</f>
        <v>0.19</v>
      </c>
      <c r="G209" s="35"/>
      <c r="H209" s="36" t="n">
        <f aca="false">IF($A209="","",IF(ISNUMBER($G209),$G209,IF(ISNUMBER($F209),$F209,"")))</f>
        <v>0.19</v>
      </c>
      <c r="I209" s="37" t="n">
        <f aca="false">IF(OR($A209="",NOT(ISNUMBER($D209)),NOT(ISNUMBER($H209))),"",IF((1-$H209-Parâmetros!$B$8-Parâmetros!$C$8-Parâmetros!$D$8)&lt;=0,"INVALIDO",($D209+IF(ISNUMBER($E209),$E209,0)+IF(ISNUMBER(Parâmetros!$E$8),Parâmetros!$E$8,0))/(1-$H209-Parâmetros!$B$8-Parâmetros!$C$8-Parâmetros!$D$8)))</f>
        <v>79.3958333333333</v>
      </c>
      <c r="J209" s="38"/>
      <c r="K209" s="39" t="n">
        <f aca="false">IF(OR($A209="",NOT(ISNUMBER($D209)),NOT(ISNUMBER($H209))),"",IF(AND(ISNUMBER($J209),$J209&gt;0),$J209,IF(ISNUMBER($I209),$I209,"")))</f>
        <v>79.3958333333333</v>
      </c>
      <c r="L209" s="40" t="n">
        <f aca="false">IF(ISNUMBER($K209),$K209*$H209,"")</f>
        <v>15.0852083333333</v>
      </c>
      <c r="M209" s="40" t="n">
        <f aca="false">IF(ISNUMBER($K209),$K209*Parâmetros!$B$8,"")</f>
        <v>7.93958333333333</v>
      </c>
      <c r="N209" s="40" t="n">
        <f aca="false">IF(ISNUMBER($K209),$K209*Parâmetros!$C$8,"")</f>
        <v>2.381875</v>
      </c>
      <c r="O209" s="40" t="n">
        <f aca="false">IF(ISNUMBER($K209),IF(ISNUMBER(Parâmetros!$E$8),Parâmetros!$E$8,0),"")</f>
        <v>0</v>
      </c>
      <c r="P209" s="41" t="n">
        <f aca="false">IF(ISNUMBER($K209),$K209-$D209-IF(ISNUMBER($E209),$E209,0)-$L209-$M209-$N209-$O209,"")</f>
        <v>15.8791666666667</v>
      </c>
      <c r="Q209" s="42" t="n">
        <f aca="false">IF(AND(ISNUMBER($K209),$K209&gt;0),$P209/$K209,"")</f>
        <v>0.2</v>
      </c>
      <c r="R209" s="43"/>
      <c r="S209" s="44" t="str">
        <f aca="false">IF(OR(NOT(ISNUMBER($R209)),$R209=0,NOT(ISNUMBER($K209))),"",$K209*(1-$R209))</f>
        <v/>
      </c>
      <c r="T209" s="45" t="str">
        <f aca="false">IF(ISNUMBER($S209),$S209*$H209,"")</f>
        <v/>
      </c>
      <c r="U209" s="45" t="str">
        <f aca="false">IF(ISNUMBER($S209),$S209*Parâmetros!$B$8,"")</f>
        <v/>
      </c>
      <c r="V209" s="45" t="str">
        <f aca="false">IF(ISNUMBER($S209),$S209*Parâmetros!$C$8,"")</f>
        <v/>
      </c>
      <c r="W209" s="44" t="str">
        <f aca="false">IF(ISNUMBER($S209),$S209-$D209-IF(ISNUMBER($E209),$E209,0)-$O209-$T209-$U209-$V209,"")</f>
        <v/>
      </c>
      <c r="X209" s="46" t="str">
        <f aca="false">IF(AND(ISNUMBER($S209),$S209&gt;0),$W209/$S209,"")</f>
        <v/>
      </c>
      <c r="Y209" s="49"/>
      <c r="Z209" s="21"/>
    </row>
    <row r="210" customFormat="false" ht="15.75" hidden="false" customHeight="true" outlineLevel="0" collapsed="false">
      <c r="A210" s="32" t="str">
        <f aca="false">IF(Produtos!$A210="","",Produtos!$A210)</f>
        <v>A30</v>
      </c>
      <c r="B210" s="32" t="str">
        <f aca="false">IF(Produtos!$A210="","",Produtos!$B210)</f>
        <v>Aro 30cm Aço Inox</v>
      </c>
      <c r="C210" s="32" t="str">
        <f aca="false">IF(Produtos!$A210="","",Produtos!$C210)</f>
        <v>Acessórios (aros e tampas)</v>
      </c>
      <c r="D210" s="33" t="n">
        <f aca="false">IF(Produtos!$A210="","",IF(Produtos!$D210="","",Produtos!$D210))</f>
        <v>44.27</v>
      </c>
      <c r="E210" s="11" t="n">
        <v>0</v>
      </c>
      <c r="F210" s="34" t="n">
        <f aca="false">IF($A210="","",IF($C210="","⚠ categoria",IFERROR(INDEX(Parâmetros!$F$13:$F$22,MATCH($C210,Parâmetros!$A$13:$A$22,0)),"⚠ categoria")))</f>
        <v>0.19</v>
      </c>
      <c r="G210" s="35"/>
      <c r="H210" s="36" t="n">
        <f aca="false">IF($A210="","",IF(ISNUMBER($G210),$G210,IF(ISNUMBER($F210),$F210,"")))</f>
        <v>0.19</v>
      </c>
      <c r="I210" s="37" t="n">
        <f aca="false">IF(OR($A210="",NOT(ISNUMBER($D210)),NOT(ISNUMBER($H210))),"",IF((1-$H210-Parâmetros!$B$8-Parâmetros!$C$8-Parâmetros!$D$8)&lt;=0,"INVALIDO",($D210+IF(ISNUMBER($E210),$E210,0)+IF(ISNUMBER(Parâmetros!$E$8),Parâmetros!$E$8,0))/(1-$H210-Parâmetros!$B$8-Parâmetros!$C$8-Parâmetros!$D$8)))</f>
        <v>92.2291666666667</v>
      </c>
      <c r="J210" s="38"/>
      <c r="K210" s="39" t="n">
        <f aca="false">IF(OR($A210="",NOT(ISNUMBER($D210)),NOT(ISNUMBER($H210))),"",IF(AND(ISNUMBER($J210),$J210&gt;0),$J210,IF(ISNUMBER($I210),$I210,"")))</f>
        <v>92.2291666666667</v>
      </c>
      <c r="L210" s="40" t="n">
        <f aca="false">IF(ISNUMBER($K210),$K210*$H210,"")</f>
        <v>17.5235416666667</v>
      </c>
      <c r="M210" s="40" t="n">
        <f aca="false">IF(ISNUMBER($K210),$K210*Parâmetros!$B$8,"")</f>
        <v>9.22291666666667</v>
      </c>
      <c r="N210" s="40" t="n">
        <f aca="false">IF(ISNUMBER($K210),$K210*Parâmetros!$C$8,"")</f>
        <v>2.766875</v>
      </c>
      <c r="O210" s="40" t="n">
        <f aca="false">IF(ISNUMBER($K210),IF(ISNUMBER(Parâmetros!$E$8),Parâmetros!$E$8,0),"")</f>
        <v>0</v>
      </c>
      <c r="P210" s="41" t="n">
        <f aca="false">IF(ISNUMBER($K210),$K210-$D210-IF(ISNUMBER($E210),$E210,0)-$L210-$M210-$N210-$O210,"")</f>
        <v>18.4458333333333</v>
      </c>
      <c r="Q210" s="42" t="n">
        <f aca="false">IF(AND(ISNUMBER($K210),$K210&gt;0),$P210/$K210,"")</f>
        <v>0.2</v>
      </c>
      <c r="R210" s="43"/>
      <c r="S210" s="44" t="str">
        <f aca="false">IF(OR(NOT(ISNUMBER($R210)),$R210=0,NOT(ISNUMBER($K210))),"",$K210*(1-$R210))</f>
        <v/>
      </c>
      <c r="T210" s="45" t="str">
        <f aca="false">IF(ISNUMBER($S210),$S210*$H210,"")</f>
        <v/>
      </c>
      <c r="U210" s="45" t="str">
        <f aca="false">IF(ISNUMBER($S210),$S210*Parâmetros!$B$8,"")</f>
        <v/>
      </c>
      <c r="V210" s="45" t="str">
        <f aca="false">IF(ISNUMBER($S210),$S210*Parâmetros!$C$8,"")</f>
        <v/>
      </c>
      <c r="W210" s="44" t="str">
        <f aca="false">IF(ISNUMBER($S210),$S210-$D210-IF(ISNUMBER($E210),$E210,0)-$O210-$T210-$U210-$V210,"")</f>
        <v/>
      </c>
      <c r="X210" s="46" t="str">
        <f aca="false">IF(AND(ISNUMBER($S210),$S210&gt;0),$W210/$S210,"")</f>
        <v/>
      </c>
      <c r="Y210" s="47"/>
      <c r="Z210" s="19"/>
    </row>
    <row r="211" customFormat="false" ht="15.75" hidden="false" customHeight="true" outlineLevel="0" collapsed="false">
      <c r="A211" s="48" t="str">
        <f aca="false">IF(Produtos!$A211="","",Produtos!$A211)</f>
        <v>A40</v>
      </c>
      <c r="B211" s="48" t="str">
        <f aca="false">IF(Produtos!$A211="","",Produtos!$B211)</f>
        <v>Aro 40cm Aço Inox</v>
      </c>
      <c r="C211" s="48" t="str">
        <f aca="false">IF(Produtos!$A211="","",Produtos!$C211)</f>
        <v>Acessórios (aros e tampas)</v>
      </c>
      <c r="D211" s="33" t="n">
        <f aca="false">IF(Produtos!$A211="","",IF(Produtos!$D211="","",Produtos!$D211))</f>
        <v>94.36</v>
      </c>
      <c r="E211" s="11" t="n">
        <v>0</v>
      </c>
      <c r="F211" s="34" t="n">
        <f aca="false">IF($A211="","",IF($C211="","⚠ categoria",IFERROR(INDEX(Parâmetros!$F$13:$F$22,MATCH($C211,Parâmetros!$A$13:$A$22,0)),"⚠ categoria")))</f>
        <v>0.19</v>
      </c>
      <c r="G211" s="35"/>
      <c r="H211" s="36" t="n">
        <f aca="false">IF($A211="","",IF(ISNUMBER($G211),$G211,IF(ISNUMBER($F211),$F211,"")))</f>
        <v>0.19</v>
      </c>
      <c r="I211" s="37" t="n">
        <f aca="false">IF(OR($A211="",NOT(ISNUMBER($D211)),NOT(ISNUMBER($H211))),"",IF((1-$H211-Parâmetros!$B$8-Parâmetros!$C$8-Parâmetros!$D$8)&lt;=0,"INVALIDO",($D211+IF(ISNUMBER($E211),$E211,0)+IF(ISNUMBER(Parâmetros!$E$8),Parâmetros!$E$8,0))/(1-$H211-Parâmetros!$B$8-Parâmetros!$C$8-Parâmetros!$D$8)))</f>
        <v>196.583333333333</v>
      </c>
      <c r="J211" s="38"/>
      <c r="K211" s="39" t="n">
        <f aca="false">IF(OR($A211="",NOT(ISNUMBER($D211)),NOT(ISNUMBER($H211))),"",IF(AND(ISNUMBER($J211),$J211&gt;0),$J211,IF(ISNUMBER($I211),$I211,"")))</f>
        <v>196.583333333333</v>
      </c>
      <c r="L211" s="40" t="n">
        <f aca="false">IF(ISNUMBER($K211),$K211*$H211,"")</f>
        <v>37.3508333333333</v>
      </c>
      <c r="M211" s="40" t="n">
        <f aca="false">IF(ISNUMBER($K211),$K211*Parâmetros!$B$8,"")</f>
        <v>19.6583333333333</v>
      </c>
      <c r="N211" s="40" t="n">
        <f aca="false">IF(ISNUMBER($K211),$K211*Parâmetros!$C$8,"")</f>
        <v>5.8975</v>
      </c>
      <c r="O211" s="40" t="n">
        <f aca="false">IF(ISNUMBER($K211),IF(ISNUMBER(Parâmetros!$E$8),Parâmetros!$E$8,0),"")</f>
        <v>0</v>
      </c>
      <c r="P211" s="41" t="n">
        <f aca="false">IF(ISNUMBER($K211),$K211-$D211-IF(ISNUMBER($E211),$E211,0)-$L211-$M211-$N211-$O211,"")</f>
        <v>39.3166666666667</v>
      </c>
      <c r="Q211" s="42" t="n">
        <f aca="false">IF(AND(ISNUMBER($K211),$K211&gt;0),$P211/$K211,"")</f>
        <v>0.2</v>
      </c>
      <c r="R211" s="43"/>
      <c r="S211" s="44" t="str">
        <f aca="false">IF(OR(NOT(ISNUMBER($R211)),$R211=0,NOT(ISNUMBER($K211))),"",$K211*(1-$R211))</f>
        <v/>
      </c>
      <c r="T211" s="45" t="str">
        <f aca="false">IF(ISNUMBER($S211),$S211*$H211,"")</f>
        <v/>
      </c>
      <c r="U211" s="45" t="str">
        <f aca="false">IF(ISNUMBER($S211),$S211*Parâmetros!$B$8,"")</f>
        <v/>
      </c>
      <c r="V211" s="45" t="str">
        <f aca="false">IF(ISNUMBER($S211),$S211*Parâmetros!$C$8,"")</f>
        <v/>
      </c>
      <c r="W211" s="44" t="str">
        <f aca="false">IF(ISNUMBER($S211),$S211-$D211-IF(ISNUMBER($E211),$E211,0)-$O211-$T211-$U211-$V211,"")</f>
        <v/>
      </c>
      <c r="X211" s="46" t="str">
        <f aca="false">IF(AND(ISNUMBER($S211),$S211&gt;0),$W211/$S211,"")</f>
        <v/>
      </c>
      <c r="Y211" s="49"/>
      <c r="Z211" s="21"/>
    </row>
    <row r="212" customFormat="false" ht="15.75" hidden="false" customHeight="true" outlineLevel="0" collapsed="false">
      <c r="A212" s="32" t="str">
        <f aca="false">IF(Produtos!$A212="","",Produtos!$A212)</f>
        <v>A24B</v>
      </c>
      <c r="B212" s="32" t="str">
        <f aca="false">IF(Produtos!$A212="","",Produtos!$B212)</f>
        <v>Aro 24cm c/Basculante Aço Inox</v>
      </c>
      <c r="C212" s="32" t="str">
        <f aca="false">IF(Produtos!$A212="","",Produtos!$C212)</f>
        <v>Acessórios (aros e tampas)</v>
      </c>
      <c r="D212" s="33" t="n">
        <f aca="false">IF(Produtos!$A212="","",IF(Produtos!$D212="","",Produtos!$D212))</f>
        <v>52.34</v>
      </c>
      <c r="E212" s="11" t="n">
        <v>0</v>
      </c>
      <c r="F212" s="34" t="n">
        <f aca="false">IF($A212="","",IF($C212="","⚠ categoria",IFERROR(INDEX(Parâmetros!$F$13:$F$22,MATCH($C212,Parâmetros!$A$13:$A$22,0)),"⚠ categoria")))</f>
        <v>0.19</v>
      </c>
      <c r="G212" s="35"/>
      <c r="H212" s="36" t="n">
        <f aca="false">IF($A212="","",IF(ISNUMBER($G212),$G212,IF(ISNUMBER($F212),$F212,"")))</f>
        <v>0.19</v>
      </c>
      <c r="I212" s="37" t="n">
        <f aca="false">IF(OR($A212="",NOT(ISNUMBER($D212)),NOT(ISNUMBER($H212))),"",IF((1-$H212-Parâmetros!$B$8-Parâmetros!$C$8-Parâmetros!$D$8)&lt;=0,"INVALIDO",($D212+IF(ISNUMBER($E212),$E212,0)+IF(ISNUMBER(Parâmetros!$E$8),Parâmetros!$E$8,0))/(1-$H212-Parâmetros!$B$8-Parâmetros!$C$8-Parâmetros!$D$8)))</f>
        <v>109.041666666667</v>
      </c>
      <c r="J212" s="38"/>
      <c r="K212" s="39" t="n">
        <f aca="false">IF(OR($A212="",NOT(ISNUMBER($D212)),NOT(ISNUMBER($H212))),"",IF(AND(ISNUMBER($J212),$J212&gt;0),$J212,IF(ISNUMBER($I212),$I212,"")))</f>
        <v>109.041666666667</v>
      </c>
      <c r="L212" s="40" t="n">
        <f aca="false">IF(ISNUMBER($K212),$K212*$H212,"")</f>
        <v>20.7179166666667</v>
      </c>
      <c r="M212" s="40" t="n">
        <f aca="false">IF(ISNUMBER($K212),$K212*Parâmetros!$B$8,"")</f>
        <v>10.9041666666667</v>
      </c>
      <c r="N212" s="40" t="n">
        <f aca="false">IF(ISNUMBER($K212),$K212*Parâmetros!$C$8,"")</f>
        <v>3.27125</v>
      </c>
      <c r="O212" s="40" t="n">
        <f aca="false">IF(ISNUMBER($K212),IF(ISNUMBER(Parâmetros!$E$8),Parâmetros!$E$8,0),"")</f>
        <v>0</v>
      </c>
      <c r="P212" s="41" t="n">
        <f aca="false">IF(ISNUMBER($K212),$K212-$D212-IF(ISNUMBER($E212),$E212,0)-$L212-$M212-$N212-$O212,"")</f>
        <v>21.8083333333333</v>
      </c>
      <c r="Q212" s="42" t="n">
        <f aca="false">IF(AND(ISNUMBER($K212),$K212&gt;0),$P212/$K212,"")</f>
        <v>0.2</v>
      </c>
      <c r="R212" s="43"/>
      <c r="S212" s="44" t="str">
        <f aca="false">IF(OR(NOT(ISNUMBER($R212)),$R212=0,NOT(ISNUMBER($K212))),"",$K212*(1-$R212))</f>
        <v/>
      </c>
      <c r="T212" s="45" t="str">
        <f aca="false">IF(ISNUMBER($S212),$S212*$H212,"")</f>
        <v/>
      </c>
      <c r="U212" s="45" t="str">
        <f aca="false">IF(ISNUMBER($S212),$S212*Parâmetros!$B$8,"")</f>
        <v/>
      </c>
      <c r="V212" s="45" t="str">
        <f aca="false">IF(ISNUMBER($S212),$S212*Parâmetros!$C$8,"")</f>
        <v/>
      </c>
      <c r="W212" s="44" t="str">
        <f aca="false">IF(ISNUMBER($S212),$S212-$D212-IF(ISNUMBER($E212),$E212,0)-$O212-$T212-$U212-$V212,"")</f>
        <v/>
      </c>
      <c r="X212" s="46" t="str">
        <f aca="false">IF(AND(ISNUMBER($S212),$S212&gt;0),$W212/$S212,"")</f>
        <v/>
      </c>
      <c r="Y212" s="47"/>
      <c r="Z212" s="19"/>
    </row>
    <row r="213" customFormat="false" ht="15.75" hidden="false" customHeight="true" outlineLevel="0" collapsed="false">
      <c r="A213" s="48" t="str">
        <f aca="false">IF(Produtos!$A213="","",Produtos!$A213)</f>
        <v>A30B</v>
      </c>
      <c r="B213" s="48" t="str">
        <f aca="false">IF(Produtos!$A213="","",Produtos!$B213)</f>
        <v>Aro 30cm c/Basculante Aço Inox</v>
      </c>
      <c r="C213" s="48" t="str">
        <f aca="false">IF(Produtos!$A213="","",Produtos!$C213)</f>
        <v>Acessórios (aros e tampas)</v>
      </c>
      <c r="D213" s="33" t="n">
        <f aca="false">IF(Produtos!$A213="","",IF(Produtos!$D213="","",Produtos!$D213))</f>
        <v>68.24</v>
      </c>
      <c r="E213" s="11" t="n">
        <v>0</v>
      </c>
      <c r="F213" s="34" t="n">
        <f aca="false">IF($A213="","",IF($C213="","⚠ categoria",IFERROR(INDEX(Parâmetros!$F$13:$F$22,MATCH($C213,Parâmetros!$A$13:$A$22,0)),"⚠ categoria")))</f>
        <v>0.19</v>
      </c>
      <c r="G213" s="35"/>
      <c r="H213" s="36" t="n">
        <f aca="false">IF($A213="","",IF(ISNUMBER($G213),$G213,IF(ISNUMBER($F213),$F213,"")))</f>
        <v>0.19</v>
      </c>
      <c r="I213" s="37" t="n">
        <f aca="false">IF(OR($A213="",NOT(ISNUMBER($D213)),NOT(ISNUMBER($H213))),"",IF((1-$H213-Parâmetros!$B$8-Parâmetros!$C$8-Parâmetros!$D$8)&lt;=0,"INVALIDO",($D213+IF(ISNUMBER($E213),$E213,0)+IF(ISNUMBER(Parâmetros!$E$8),Parâmetros!$E$8,0))/(1-$H213-Parâmetros!$B$8-Parâmetros!$C$8-Parâmetros!$D$8)))</f>
        <v>142.166666666667</v>
      </c>
      <c r="J213" s="38"/>
      <c r="K213" s="39" t="n">
        <f aca="false">IF(OR($A213="",NOT(ISNUMBER($D213)),NOT(ISNUMBER($H213))),"",IF(AND(ISNUMBER($J213),$J213&gt;0),$J213,IF(ISNUMBER($I213),$I213,"")))</f>
        <v>142.166666666667</v>
      </c>
      <c r="L213" s="40" t="n">
        <f aca="false">IF(ISNUMBER($K213),$K213*$H213,"")</f>
        <v>27.0116666666667</v>
      </c>
      <c r="M213" s="40" t="n">
        <f aca="false">IF(ISNUMBER($K213),$K213*Parâmetros!$B$8,"")</f>
        <v>14.2166666666667</v>
      </c>
      <c r="N213" s="40" t="n">
        <f aca="false">IF(ISNUMBER($K213),$K213*Parâmetros!$C$8,"")</f>
        <v>4.265</v>
      </c>
      <c r="O213" s="40" t="n">
        <f aca="false">IF(ISNUMBER($K213),IF(ISNUMBER(Parâmetros!$E$8),Parâmetros!$E$8,0),"")</f>
        <v>0</v>
      </c>
      <c r="P213" s="41" t="n">
        <f aca="false">IF(ISNUMBER($K213),$K213-$D213-IF(ISNUMBER($E213),$E213,0)-$L213-$M213-$N213-$O213,"")</f>
        <v>28.4333333333333</v>
      </c>
      <c r="Q213" s="42" t="n">
        <f aca="false">IF(AND(ISNUMBER($K213),$K213&gt;0),$P213/$K213,"")</f>
        <v>0.2</v>
      </c>
      <c r="R213" s="43"/>
      <c r="S213" s="44" t="str">
        <f aca="false">IF(OR(NOT(ISNUMBER($R213)),$R213=0,NOT(ISNUMBER($K213))),"",$K213*(1-$R213))</f>
        <v/>
      </c>
      <c r="T213" s="45" t="str">
        <f aca="false">IF(ISNUMBER($S213),$S213*$H213,"")</f>
        <v/>
      </c>
      <c r="U213" s="45" t="str">
        <f aca="false">IF(ISNUMBER($S213),$S213*Parâmetros!$B$8,"")</f>
        <v/>
      </c>
      <c r="V213" s="45" t="str">
        <f aca="false">IF(ISNUMBER($S213),$S213*Parâmetros!$C$8,"")</f>
        <v/>
      </c>
      <c r="W213" s="44" t="str">
        <f aca="false">IF(ISNUMBER($S213),$S213-$D213-IF(ISNUMBER($E213),$E213,0)-$O213-$T213-$U213-$V213,"")</f>
        <v/>
      </c>
      <c r="X213" s="46" t="str">
        <f aca="false">IF(AND(ISNUMBER($S213),$S213&gt;0),$W213/$S213,"")</f>
        <v/>
      </c>
      <c r="Y213" s="49"/>
      <c r="Z213" s="21"/>
    </row>
    <row r="214" customFormat="false" ht="15.75" hidden="false" customHeight="true" outlineLevel="0" collapsed="false">
      <c r="A214" s="32" t="str">
        <f aca="false">IF(Produtos!$A214="","",Produtos!$A214)</f>
        <v>A40B</v>
      </c>
      <c r="B214" s="32" t="str">
        <f aca="false">IF(Produtos!$A214="","",Produtos!$B214)</f>
        <v>Aro 40cm c/Basculante Aço Inox</v>
      </c>
      <c r="C214" s="32" t="str">
        <f aca="false">IF(Produtos!$A214="","",Produtos!$C214)</f>
        <v>Acessórios (aros e tampas)</v>
      </c>
      <c r="D214" s="33" t="n">
        <f aca="false">IF(Produtos!$A214="","",IF(Produtos!$D214="","",Produtos!$D214))</f>
        <v>136.51</v>
      </c>
      <c r="E214" s="11" t="n">
        <v>0</v>
      </c>
      <c r="F214" s="34" t="n">
        <f aca="false">IF($A214="","",IF($C214="","⚠ categoria",IFERROR(INDEX(Parâmetros!$F$13:$F$22,MATCH($C214,Parâmetros!$A$13:$A$22,0)),"⚠ categoria")))</f>
        <v>0.19</v>
      </c>
      <c r="G214" s="35"/>
      <c r="H214" s="36" t="n">
        <f aca="false">IF($A214="","",IF(ISNUMBER($G214),$G214,IF(ISNUMBER($F214),$F214,"")))</f>
        <v>0.19</v>
      </c>
      <c r="I214" s="37" t="n">
        <f aca="false">IF(OR($A214="",NOT(ISNUMBER($D214)),NOT(ISNUMBER($H214))),"",IF((1-$H214-Parâmetros!$B$8-Parâmetros!$C$8-Parâmetros!$D$8)&lt;=0,"INVALIDO",($D214+IF(ISNUMBER($E214),$E214,0)+IF(ISNUMBER(Parâmetros!$E$8),Parâmetros!$E$8,0))/(1-$H214-Parâmetros!$B$8-Parâmetros!$C$8-Parâmetros!$D$8)))</f>
        <v>284.395833333333</v>
      </c>
      <c r="J214" s="38"/>
      <c r="K214" s="39" t="n">
        <f aca="false">IF(OR($A214="",NOT(ISNUMBER($D214)),NOT(ISNUMBER($H214))),"",IF(AND(ISNUMBER($J214),$J214&gt;0),$J214,IF(ISNUMBER($I214),$I214,"")))</f>
        <v>284.395833333333</v>
      </c>
      <c r="L214" s="40" t="n">
        <f aca="false">IF(ISNUMBER($K214),$K214*$H214,"")</f>
        <v>54.0352083333333</v>
      </c>
      <c r="M214" s="40" t="n">
        <f aca="false">IF(ISNUMBER($K214),$K214*Parâmetros!$B$8,"")</f>
        <v>28.4395833333333</v>
      </c>
      <c r="N214" s="40" t="n">
        <f aca="false">IF(ISNUMBER($K214),$K214*Parâmetros!$C$8,"")</f>
        <v>8.531875</v>
      </c>
      <c r="O214" s="40" t="n">
        <f aca="false">IF(ISNUMBER($K214),IF(ISNUMBER(Parâmetros!$E$8),Parâmetros!$E$8,0),"")</f>
        <v>0</v>
      </c>
      <c r="P214" s="41" t="n">
        <f aca="false">IF(ISNUMBER($K214),$K214-$D214-IF(ISNUMBER($E214),$E214,0)-$L214-$M214-$N214-$O214,"")</f>
        <v>56.8791666666667</v>
      </c>
      <c r="Q214" s="42" t="n">
        <f aca="false">IF(AND(ISNUMBER($K214),$K214&gt;0),$P214/$K214,"")</f>
        <v>0.2</v>
      </c>
      <c r="R214" s="43"/>
      <c r="S214" s="44" t="str">
        <f aca="false">IF(OR(NOT(ISNUMBER($R214)),$R214=0,NOT(ISNUMBER($K214))),"",$K214*(1-$R214))</f>
        <v/>
      </c>
      <c r="T214" s="45" t="str">
        <f aca="false">IF(ISNUMBER($S214),$S214*$H214,"")</f>
        <v/>
      </c>
      <c r="U214" s="45" t="str">
        <f aca="false">IF(ISNUMBER($S214),$S214*Parâmetros!$B$8,"")</f>
        <v/>
      </c>
      <c r="V214" s="45" t="str">
        <f aca="false">IF(ISNUMBER($S214),$S214*Parâmetros!$C$8,"")</f>
        <v/>
      </c>
      <c r="W214" s="44" t="str">
        <f aca="false">IF(ISNUMBER($S214),$S214-$D214-IF(ISNUMBER($E214),$E214,0)-$O214-$T214-$U214-$V214,"")</f>
        <v/>
      </c>
      <c r="X214" s="46" t="str">
        <f aca="false">IF(AND(ISNUMBER($S214),$S214&gt;0),$W214/$S214,"")</f>
        <v/>
      </c>
      <c r="Y214" s="47"/>
      <c r="Z214" s="19"/>
    </row>
    <row r="215" customFormat="false" ht="15.75" hidden="false" customHeight="true" outlineLevel="0" collapsed="false">
      <c r="A215" s="48" t="str">
        <f aca="false">IF(Produtos!$A215="","",Produtos!$A215)</f>
        <v>A24C</v>
      </c>
      <c r="B215" s="48" t="str">
        <f aca="false">IF(Produtos!$A215="","",Produtos!$B215)</f>
        <v>Aro 24cm Pintado</v>
      </c>
      <c r="C215" s="48" t="str">
        <f aca="false">IF(Produtos!$A215="","",Produtos!$C215)</f>
        <v>Acessórios (aros e tampas)</v>
      </c>
      <c r="D215" s="33" t="n">
        <f aca="false">IF(Produtos!$A215="","",IF(Produtos!$D215="","",Produtos!$D215))</f>
        <v>50.43</v>
      </c>
      <c r="E215" s="11" t="n">
        <v>0</v>
      </c>
      <c r="F215" s="34" t="n">
        <f aca="false">IF($A215="","",IF($C215="","⚠ categoria",IFERROR(INDEX(Parâmetros!$F$13:$F$22,MATCH($C215,Parâmetros!$A$13:$A$22,0)),"⚠ categoria")))</f>
        <v>0.19</v>
      </c>
      <c r="G215" s="35"/>
      <c r="H215" s="36" t="n">
        <f aca="false">IF($A215="","",IF(ISNUMBER($G215),$G215,IF(ISNUMBER($F215),$F215,"")))</f>
        <v>0.19</v>
      </c>
      <c r="I215" s="37" t="n">
        <f aca="false">IF(OR($A215="",NOT(ISNUMBER($D215)),NOT(ISNUMBER($H215))),"",IF((1-$H215-Parâmetros!$B$8-Parâmetros!$C$8-Parâmetros!$D$8)&lt;=0,"INVALIDO",($D215+IF(ISNUMBER($E215),$E215,0)+IF(ISNUMBER(Parâmetros!$E$8),Parâmetros!$E$8,0))/(1-$H215-Parâmetros!$B$8-Parâmetros!$C$8-Parâmetros!$D$8)))</f>
        <v>105.0625</v>
      </c>
      <c r="J215" s="38"/>
      <c r="K215" s="39" t="n">
        <f aca="false">IF(OR($A215="",NOT(ISNUMBER($D215)),NOT(ISNUMBER($H215))),"",IF(AND(ISNUMBER($J215),$J215&gt;0),$J215,IF(ISNUMBER($I215),$I215,"")))</f>
        <v>105.0625</v>
      </c>
      <c r="L215" s="40" t="n">
        <f aca="false">IF(ISNUMBER($K215),$K215*$H215,"")</f>
        <v>19.961875</v>
      </c>
      <c r="M215" s="40" t="n">
        <f aca="false">IF(ISNUMBER($K215),$K215*Parâmetros!$B$8,"")</f>
        <v>10.50625</v>
      </c>
      <c r="N215" s="40" t="n">
        <f aca="false">IF(ISNUMBER($K215),$K215*Parâmetros!$C$8,"")</f>
        <v>3.151875</v>
      </c>
      <c r="O215" s="40" t="n">
        <f aca="false">IF(ISNUMBER($K215),IF(ISNUMBER(Parâmetros!$E$8),Parâmetros!$E$8,0),"")</f>
        <v>0</v>
      </c>
      <c r="P215" s="41" t="n">
        <f aca="false">IF(ISNUMBER($K215),$K215-$D215-IF(ISNUMBER($E215),$E215,0)-$L215-$M215-$N215-$O215,"")</f>
        <v>21.0125</v>
      </c>
      <c r="Q215" s="42" t="n">
        <f aca="false">IF(AND(ISNUMBER($K215),$K215&gt;0),$P215/$K215,"")</f>
        <v>0.2</v>
      </c>
      <c r="R215" s="43"/>
      <c r="S215" s="44" t="str">
        <f aca="false">IF(OR(NOT(ISNUMBER($R215)),$R215=0,NOT(ISNUMBER($K215))),"",$K215*(1-$R215))</f>
        <v/>
      </c>
      <c r="T215" s="45" t="str">
        <f aca="false">IF(ISNUMBER($S215),$S215*$H215,"")</f>
        <v/>
      </c>
      <c r="U215" s="45" t="str">
        <f aca="false">IF(ISNUMBER($S215),$S215*Parâmetros!$B$8,"")</f>
        <v/>
      </c>
      <c r="V215" s="45" t="str">
        <f aca="false">IF(ISNUMBER($S215),$S215*Parâmetros!$C$8,"")</f>
        <v/>
      </c>
      <c r="W215" s="44" t="str">
        <f aca="false">IF(ISNUMBER($S215),$S215-$D215-IF(ISNUMBER($E215),$E215,0)-$O215-$T215-$U215-$V215,"")</f>
        <v/>
      </c>
      <c r="X215" s="46" t="str">
        <f aca="false">IF(AND(ISNUMBER($S215),$S215&gt;0),$W215/$S215,"")</f>
        <v/>
      </c>
      <c r="Y215" s="49"/>
      <c r="Z215" s="21"/>
    </row>
    <row r="216" customFormat="false" ht="15.75" hidden="false" customHeight="true" outlineLevel="0" collapsed="false">
      <c r="A216" s="32" t="str">
        <f aca="false">IF(Produtos!$A216="","",Produtos!$A216)</f>
        <v>A30C</v>
      </c>
      <c r="B216" s="32" t="str">
        <f aca="false">IF(Produtos!$A216="","",Produtos!$B216)</f>
        <v>Aro 30cm Pintado</v>
      </c>
      <c r="C216" s="32" t="str">
        <f aca="false">IF(Produtos!$A216="","",Produtos!$C216)</f>
        <v>Acessórios (aros e tampas)</v>
      </c>
      <c r="D216" s="33" t="n">
        <f aca="false">IF(Produtos!$A216="","",IF(Produtos!$D216="","",Produtos!$D216))</f>
        <v>64.43</v>
      </c>
      <c r="E216" s="11" t="n">
        <v>0</v>
      </c>
      <c r="F216" s="34" t="n">
        <f aca="false">IF($A216="","",IF($C216="","⚠ categoria",IFERROR(INDEX(Parâmetros!$F$13:$F$22,MATCH($C216,Parâmetros!$A$13:$A$22,0)),"⚠ categoria")))</f>
        <v>0.19</v>
      </c>
      <c r="G216" s="35"/>
      <c r="H216" s="36" t="n">
        <f aca="false">IF($A216="","",IF(ISNUMBER($G216),$G216,IF(ISNUMBER($F216),$F216,"")))</f>
        <v>0.19</v>
      </c>
      <c r="I216" s="37" t="n">
        <f aca="false">IF(OR($A216="",NOT(ISNUMBER($D216)),NOT(ISNUMBER($H216))),"",IF((1-$H216-Parâmetros!$B$8-Parâmetros!$C$8-Parâmetros!$D$8)&lt;=0,"INVALIDO",($D216+IF(ISNUMBER($E216),$E216,0)+IF(ISNUMBER(Parâmetros!$E$8),Parâmetros!$E$8,0))/(1-$H216-Parâmetros!$B$8-Parâmetros!$C$8-Parâmetros!$D$8)))</f>
        <v>134.229166666667</v>
      </c>
      <c r="J216" s="38"/>
      <c r="K216" s="39" t="n">
        <f aca="false">IF(OR($A216="",NOT(ISNUMBER($D216)),NOT(ISNUMBER($H216))),"",IF(AND(ISNUMBER($J216),$J216&gt;0),$J216,IF(ISNUMBER($I216),$I216,"")))</f>
        <v>134.229166666667</v>
      </c>
      <c r="L216" s="40" t="n">
        <f aca="false">IF(ISNUMBER($K216),$K216*$H216,"")</f>
        <v>25.5035416666667</v>
      </c>
      <c r="M216" s="40" t="n">
        <f aca="false">IF(ISNUMBER($K216),$K216*Parâmetros!$B$8,"")</f>
        <v>13.4229166666667</v>
      </c>
      <c r="N216" s="40" t="n">
        <f aca="false">IF(ISNUMBER($K216),$K216*Parâmetros!$C$8,"")</f>
        <v>4.026875</v>
      </c>
      <c r="O216" s="40" t="n">
        <f aca="false">IF(ISNUMBER($K216),IF(ISNUMBER(Parâmetros!$E$8),Parâmetros!$E$8,0),"")</f>
        <v>0</v>
      </c>
      <c r="P216" s="41" t="n">
        <f aca="false">IF(ISNUMBER($K216),$K216-$D216-IF(ISNUMBER($E216),$E216,0)-$L216-$M216-$N216-$O216,"")</f>
        <v>26.8458333333333</v>
      </c>
      <c r="Q216" s="42" t="n">
        <f aca="false">IF(AND(ISNUMBER($K216),$K216&gt;0),$P216/$K216,"")</f>
        <v>0.2</v>
      </c>
      <c r="R216" s="43"/>
      <c r="S216" s="44" t="str">
        <f aca="false">IF(OR(NOT(ISNUMBER($R216)),$R216=0,NOT(ISNUMBER($K216))),"",$K216*(1-$R216))</f>
        <v/>
      </c>
      <c r="T216" s="45" t="str">
        <f aca="false">IF(ISNUMBER($S216),$S216*$H216,"")</f>
        <v/>
      </c>
      <c r="U216" s="45" t="str">
        <f aca="false">IF(ISNUMBER($S216),$S216*Parâmetros!$B$8,"")</f>
        <v/>
      </c>
      <c r="V216" s="45" t="str">
        <f aca="false">IF(ISNUMBER($S216),$S216*Parâmetros!$C$8,"")</f>
        <v/>
      </c>
      <c r="W216" s="44" t="str">
        <f aca="false">IF(ISNUMBER($S216),$S216-$D216-IF(ISNUMBER($E216),$E216,0)-$O216-$T216-$U216-$V216,"")</f>
        <v/>
      </c>
      <c r="X216" s="46" t="str">
        <f aca="false">IF(AND(ISNUMBER($S216),$S216&gt;0),$W216/$S216,"")</f>
        <v/>
      </c>
      <c r="Y216" s="47"/>
      <c r="Z216" s="19"/>
    </row>
    <row r="217" customFormat="false" ht="15.75" hidden="false" customHeight="true" outlineLevel="0" collapsed="false">
      <c r="A217" s="48" t="str">
        <f aca="false">IF(Produtos!$A217="","",Produtos!$A217)</f>
        <v>A40BP</v>
      </c>
      <c r="B217" s="48" t="str">
        <f aca="false">IF(Produtos!$A217="","",Produtos!$B217)</f>
        <v>Aro 40cm Pintado</v>
      </c>
      <c r="C217" s="48" t="str">
        <f aca="false">IF(Produtos!$A217="","",Produtos!$C217)</f>
        <v>Acessórios (aros e tampas)</v>
      </c>
      <c r="D217" s="33" t="n">
        <f aca="false">IF(Produtos!$A217="","",IF(Produtos!$D217="","",Produtos!$D217))</f>
        <v>118.62</v>
      </c>
      <c r="E217" s="11" t="n">
        <v>0</v>
      </c>
      <c r="F217" s="34" t="n">
        <f aca="false">IF($A217="","",IF($C217="","⚠ categoria",IFERROR(INDEX(Parâmetros!$F$13:$F$22,MATCH($C217,Parâmetros!$A$13:$A$22,0)),"⚠ categoria")))</f>
        <v>0.19</v>
      </c>
      <c r="G217" s="35"/>
      <c r="H217" s="36" t="n">
        <f aca="false">IF($A217="","",IF(ISNUMBER($G217),$G217,IF(ISNUMBER($F217),$F217,"")))</f>
        <v>0.19</v>
      </c>
      <c r="I217" s="37" t="n">
        <f aca="false">IF(OR($A217="",NOT(ISNUMBER($D217)),NOT(ISNUMBER($H217))),"",IF((1-$H217-Parâmetros!$B$8-Parâmetros!$C$8-Parâmetros!$D$8)&lt;=0,"INVALIDO",($D217+IF(ISNUMBER($E217),$E217,0)+IF(ISNUMBER(Parâmetros!$E$8),Parâmetros!$E$8,0))/(1-$H217-Parâmetros!$B$8-Parâmetros!$C$8-Parâmetros!$D$8)))</f>
        <v>247.125</v>
      </c>
      <c r="J217" s="38"/>
      <c r="K217" s="39" t="n">
        <f aca="false">IF(OR($A217="",NOT(ISNUMBER($D217)),NOT(ISNUMBER($H217))),"",IF(AND(ISNUMBER($J217),$J217&gt;0),$J217,IF(ISNUMBER($I217),$I217,"")))</f>
        <v>247.125</v>
      </c>
      <c r="L217" s="40" t="n">
        <f aca="false">IF(ISNUMBER($K217),$K217*$H217,"")</f>
        <v>46.95375</v>
      </c>
      <c r="M217" s="40" t="n">
        <f aca="false">IF(ISNUMBER($K217),$K217*Parâmetros!$B$8,"")</f>
        <v>24.7125</v>
      </c>
      <c r="N217" s="40" t="n">
        <f aca="false">IF(ISNUMBER($K217),$K217*Parâmetros!$C$8,"")</f>
        <v>7.41375</v>
      </c>
      <c r="O217" s="40" t="n">
        <f aca="false">IF(ISNUMBER($K217),IF(ISNUMBER(Parâmetros!$E$8),Parâmetros!$E$8,0),"")</f>
        <v>0</v>
      </c>
      <c r="P217" s="41" t="n">
        <f aca="false">IF(ISNUMBER($K217),$K217-$D217-IF(ISNUMBER($E217),$E217,0)-$L217-$M217-$N217-$O217,"")</f>
        <v>49.425</v>
      </c>
      <c r="Q217" s="42" t="n">
        <f aca="false">IF(AND(ISNUMBER($K217),$K217&gt;0),$P217/$K217,"")</f>
        <v>0.2</v>
      </c>
      <c r="R217" s="43"/>
      <c r="S217" s="44" t="str">
        <f aca="false">IF(OR(NOT(ISNUMBER($R217)),$R217=0,NOT(ISNUMBER($K217))),"",$K217*(1-$R217))</f>
        <v/>
      </c>
      <c r="T217" s="45" t="str">
        <f aca="false">IF(ISNUMBER($S217),$S217*$H217,"")</f>
        <v/>
      </c>
      <c r="U217" s="45" t="str">
        <f aca="false">IF(ISNUMBER($S217),$S217*Parâmetros!$B$8,"")</f>
        <v/>
      </c>
      <c r="V217" s="45" t="str">
        <f aca="false">IF(ISNUMBER($S217),$S217*Parâmetros!$C$8,"")</f>
        <v/>
      </c>
      <c r="W217" s="44" t="str">
        <f aca="false">IF(ISNUMBER($S217),$S217-$D217-IF(ISNUMBER($E217),$E217,0)-$O217-$T217-$U217-$V217,"")</f>
        <v/>
      </c>
      <c r="X217" s="46" t="str">
        <f aca="false">IF(AND(ISNUMBER($S217),$S217&gt;0),$W217/$S217,"")</f>
        <v/>
      </c>
      <c r="Y217" s="49"/>
      <c r="Z217" s="21"/>
    </row>
    <row r="218" customFormat="false" ht="15.75" hidden="false" customHeight="true" outlineLevel="0" collapsed="false">
      <c r="A218" s="32" t="str">
        <f aca="false">IF(Produtos!$A218="","",Produtos!$A218)</f>
        <v>A24BC</v>
      </c>
      <c r="B218" s="32" t="str">
        <f aca="false">IF(Produtos!$A218="","",Produtos!$B218)</f>
        <v>Aro 24cm c/Basculante Pintado</v>
      </c>
      <c r="C218" s="32" t="str">
        <f aca="false">IF(Produtos!$A218="","",Produtos!$C218)</f>
        <v>Acessórios (aros e tampas)</v>
      </c>
      <c r="D218" s="33" t="n">
        <f aca="false">IF(Produtos!$A218="","",IF(Produtos!$D218="","",Produtos!$D218))</f>
        <v>76.56</v>
      </c>
      <c r="E218" s="11" t="n">
        <v>0</v>
      </c>
      <c r="F218" s="34" t="n">
        <f aca="false">IF($A218="","",IF($C218="","⚠ categoria",IFERROR(INDEX(Parâmetros!$F$13:$F$22,MATCH($C218,Parâmetros!$A$13:$A$22,0)),"⚠ categoria")))</f>
        <v>0.19</v>
      </c>
      <c r="G218" s="35"/>
      <c r="H218" s="36" t="n">
        <f aca="false">IF($A218="","",IF(ISNUMBER($G218),$G218,IF(ISNUMBER($F218),$F218,"")))</f>
        <v>0.19</v>
      </c>
      <c r="I218" s="37" t="n">
        <f aca="false">IF(OR($A218="",NOT(ISNUMBER($D218)),NOT(ISNUMBER($H218))),"",IF((1-$H218-Parâmetros!$B$8-Parâmetros!$C$8-Parâmetros!$D$8)&lt;=0,"INVALIDO",($D218+IF(ISNUMBER($E218),$E218,0)+IF(ISNUMBER(Parâmetros!$E$8),Parâmetros!$E$8,0))/(1-$H218-Parâmetros!$B$8-Parâmetros!$C$8-Parâmetros!$D$8)))</f>
        <v>159.5</v>
      </c>
      <c r="J218" s="38"/>
      <c r="K218" s="39" t="n">
        <f aca="false">IF(OR($A218="",NOT(ISNUMBER($D218)),NOT(ISNUMBER($H218))),"",IF(AND(ISNUMBER($J218),$J218&gt;0),$J218,IF(ISNUMBER($I218),$I218,"")))</f>
        <v>159.5</v>
      </c>
      <c r="L218" s="40" t="n">
        <f aca="false">IF(ISNUMBER($K218),$K218*$H218,"")</f>
        <v>30.305</v>
      </c>
      <c r="M218" s="40" t="n">
        <f aca="false">IF(ISNUMBER($K218),$K218*Parâmetros!$B$8,"")</f>
        <v>15.95</v>
      </c>
      <c r="N218" s="40" t="n">
        <f aca="false">IF(ISNUMBER($K218),$K218*Parâmetros!$C$8,"")</f>
        <v>4.785</v>
      </c>
      <c r="O218" s="40" t="n">
        <f aca="false">IF(ISNUMBER($K218),IF(ISNUMBER(Parâmetros!$E$8),Parâmetros!$E$8,0),"")</f>
        <v>0</v>
      </c>
      <c r="P218" s="41" t="n">
        <f aca="false">IF(ISNUMBER($K218),$K218-$D218-IF(ISNUMBER($E218),$E218,0)-$L218-$M218-$N218-$O218,"")</f>
        <v>31.9</v>
      </c>
      <c r="Q218" s="42" t="n">
        <f aca="false">IF(AND(ISNUMBER($K218),$K218&gt;0),$P218/$K218,"")</f>
        <v>0.2</v>
      </c>
      <c r="R218" s="43"/>
      <c r="S218" s="44" t="str">
        <f aca="false">IF(OR(NOT(ISNUMBER($R218)),$R218=0,NOT(ISNUMBER($K218))),"",$K218*(1-$R218))</f>
        <v/>
      </c>
      <c r="T218" s="45" t="str">
        <f aca="false">IF(ISNUMBER($S218),$S218*$H218,"")</f>
        <v/>
      </c>
      <c r="U218" s="45" t="str">
        <f aca="false">IF(ISNUMBER($S218),$S218*Parâmetros!$B$8,"")</f>
        <v/>
      </c>
      <c r="V218" s="45" t="str">
        <f aca="false">IF(ISNUMBER($S218),$S218*Parâmetros!$C$8,"")</f>
        <v/>
      </c>
      <c r="W218" s="44" t="str">
        <f aca="false">IF(ISNUMBER($S218),$S218-$D218-IF(ISNUMBER($E218),$E218,0)-$O218-$T218-$U218-$V218,"")</f>
        <v/>
      </c>
      <c r="X218" s="46" t="str">
        <f aca="false">IF(AND(ISNUMBER($S218),$S218&gt;0),$W218/$S218,"")</f>
        <v/>
      </c>
      <c r="Y218" s="47"/>
      <c r="Z218" s="19"/>
    </row>
    <row r="219" customFormat="false" ht="15.75" hidden="false" customHeight="true" outlineLevel="0" collapsed="false">
      <c r="A219" s="48" t="str">
        <f aca="false">IF(Produtos!$A219="","",Produtos!$A219)</f>
        <v>A30BC</v>
      </c>
      <c r="B219" s="48" t="str">
        <f aca="false">IF(Produtos!$A219="","",Produtos!$B219)</f>
        <v>Aro 30cm c/Basculante Pintado</v>
      </c>
      <c r="C219" s="48" t="str">
        <f aca="false">IF(Produtos!$A219="","",Produtos!$C219)</f>
        <v>Acessórios (aros e tampas)</v>
      </c>
      <c r="D219" s="33" t="n">
        <f aca="false">IF(Produtos!$A219="","",IF(Produtos!$D219="","",Produtos!$D219))</f>
        <v>90.73</v>
      </c>
      <c r="E219" s="11" t="n">
        <v>0</v>
      </c>
      <c r="F219" s="34" t="n">
        <f aca="false">IF($A219="","",IF($C219="","⚠ categoria",IFERROR(INDEX(Parâmetros!$F$13:$F$22,MATCH($C219,Parâmetros!$A$13:$A$22,0)),"⚠ categoria")))</f>
        <v>0.19</v>
      </c>
      <c r="G219" s="35"/>
      <c r="H219" s="36" t="n">
        <f aca="false">IF($A219="","",IF(ISNUMBER($G219),$G219,IF(ISNUMBER($F219),$F219,"")))</f>
        <v>0.19</v>
      </c>
      <c r="I219" s="37" t="n">
        <f aca="false">IF(OR($A219="",NOT(ISNUMBER($D219)),NOT(ISNUMBER($H219))),"",IF((1-$H219-Parâmetros!$B$8-Parâmetros!$C$8-Parâmetros!$D$8)&lt;=0,"INVALIDO",($D219+IF(ISNUMBER($E219),$E219,0)+IF(ISNUMBER(Parâmetros!$E$8),Parâmetros!$E$8,0))/(1-$H219-Parâmetros!$B$8-Parâmetros!$C$8-Parâmetros!$D$8)))</f>
        <v>189.020833333333</v>
      </c>
      <c r="J219" s="38"/>
      <c r="K219" s="39" t="n">
        <f aca="false">IF(OR($A219="",NOT(ISNUMBER($D219)),NOT(ISNUMBER($H219))),"",IF(AND(ISNUMBER($J219),$J219&gt;0),$J219,IF(ISNUMBER($I219),$I219,"")))</f>
        <v>189.020833333333</v>
      </c>
      <c r="L219" s="40" t="n">
        <f aca="false">IF(ISNUMBER($K219),$K219*$H219,"")</f>
        <v>35.9139583333333</v>
      </c>
      <c r="M219" s="40" t="n">
        <f aca="false">IF(ISNUMBER($K219),$K219*Parâmetros!$B$8,"")</f>
        <v>18.9020833333333</v>
      </c>
      <c r="N219" s="40" t="n">
        <f aca="false">IF(ISNUMBER($K219),$K219*Parâmetros!$C$8,"")</f>
        <v>5.670625</v>
      </c>
      <c r="O219" s="40" t="n">
        <f aca="false">IF(ISNUMBER($K219),IF(ISNUMBER(Parâmetros!$E$8),Parâmetros!$E$8,0),"")</f>
        <v>0</v>
      </c>
      <c r="P219" s="41" t="n">
        <f aca="false">IF(ISNUMBER($K219),$K219-$D219-IF(ISNUMBER($E219),$E219,0)-$L219-$M219-$N219-$O219,"")</f>
        <v>37.8041666666666</v>
      </c>
      <c r="Q219" s="42" t="n">
        <f aca="false">IF(AND(ISNUMBER($K219),$K219&gt;0),$P219/$K219,"")</f>
        <v>0.2</v>
      </c>
      <c r="R219" s="43"/>
      <c r="S219" s="44" t="str">
        <f aca="false">IF(OR(NOT(ISNUMBER($R219)),$R219=0,NOT(ISNUMBER($K219))),"",$K219*(1-$R219))</f>
        <v/>
      </c>
      <c r="T219" s="45" t="str">
        <f aca="false">IF(ISNUMBER($S219),$S219*$H219,"")</f>
        <v/>
      </c>
      <c r="U219" s="45" t="str">
        <f aca="false">IF(ISNUMBER($S219),$S219*Parâmetros!$B$8,"")</f>
        <v/>
      </c>
      <c r="V219" s="45" t="str">
        <f aca="false">IF(ISNUMBER($S219),$S219*Parâmetros!$C$8,"")</f>
        <v/>
      </c>
      <c r="W219" s="44" t="str">
        <f aca="false">IF(ISNUMBER($S219),$S219-$D219-IF(ISNUMBER($E219),$E219,0)-$O219-$T219-$U219-$V219,"")</f>
        <v/>
      </c>
      <c r="X219" s="46" t="str">
        <f aca="false">IF(AND(ISNUMBER($S219),$S219&gt;0),$W219/$S219,"")</f>
        <v/>
      </c>
      <c r="Y219" s="49"/>
      <c r="Z219" s="21"/>
    </row>
    <row r="220" customFormat="false" ht="15.75" hidden="false" customHeight="true" outlineLevel="0" collapsed="false">
      <c r="A220" s="32" t="str">
        <f aca="false">IF(Produtos!$A220="","",Produtos!$A220)</f>
        <v>A40BC</v>
      </c>
      <c r="B220" s="32" t="str">
        <f aca="false">IF(Produtos!$A220="","",Produtos!$B220)</f>
        <v>Aro 40cm c/Basculante Pintado</v>
      </c>
      <c r="C220" s="32" t="str">
        <f aca="false">IF(Produtos!$A220="","",Produtos!$C220)</f>
        <v>Acessórios (aros e tampas)</v>
      </c>
      <c r="D220" s="33" t="n">
        <f aca="false">IF(Produtos!$A220="","",IF(Produtos!$D220="","",Produtos!$D220))</f>
        <v>170.07</v>
      </c>
      <c r="E220" s="11" t="n">
        <v>0</v>
      </c>
      <c r="F220" s="34" t="n">
        <f aca="false">IF($A220="","",IF($C220="","⚠ categoria",IFERROR(INDEX(Parâmetros!$F$13:$F$22,MATCH($C220,Parâmetros!$A$13:$A$22,0)),"⚠ categoria")))</f>
        <v>0.19</v>
      </c>
      <c r="G220" s="35"/>
      <c r="H220" s="36" t="n">
        <f aca="false">IF($A220="","",IF(ISNUMBER($G220),$G220,IF(ISNUMBER($F220),$F220,"")))</f>
        <v>0.19</v>
      </c>
      <c r="I220" s="37" t="n">
        <f aca="false">IF(OR($A220="",NOT(ISNUMBER($D220)),NOT(ISNUMBER($H220))),"",IF((1-$H220-Parâmetros!$B$8-Parâmetros!$C$8-Parâmetros!$D$8)&lt;=0,"INVALIDO",($D220+IF(ISNUMBER($E220),$E220,0)+IF(ISNUMBER(Parâmetros!$E$8),Parâmetros!$E$8,0))/(1-$H220-Parâmetros!$B$8-Parâmetros!$C$8-Parâmetros!$D$8)))</f>
        <v>354.3125</v>
      </c>
      <c r="J220" s="38"/>
      <c r="K220" s="39" t="n">
        <f aca="false">IF(OR($A220="",NOT(ISNUMBER($D220)),NOT(ISNUMBER($H220))),"",IF(AND(ISNUMBER($J220),$J220&gt;0),$J220,IF(ISNUMBER($I220),$I220,"")))</f>
        <v>354.3125</v>
      </c>
      <c r="L220" s="40" t="n">
        <f aca="false">IF(ISNUMBER($K220),$K220*$H220,"")</f>
        <v>67.319375</v>
      </c>
      <c r="M220" s="40" t="n">
        <f aca="false">IF(ISNUMBER($K220),$K220*Parâmetros!$B$8,"")</f>
        <v>35.43125</v>
      </c>
      <c r="N220" s="40" t="n">
        <f aca="false">IF(ISNUMBER($K220),$K220*Parâmetros!$C$8,"")</f>
        <v>10.629375</v>
      </c>
      <c r="O220" s="40" t="n">
        <f aca="false">IF(ISNUMBER($K220),IF(ISNUMBER(Parâmetros!$E$8),Parâmetros!$E$8,0),"")</f>
        <v>0</v>
      </c>
      <c r="P220" s="41" t="n">
        <f aca="false">IF(ISNUMBER($K220),$K220-$D220-IF(ISNUMBER($E220),$E220,0)-$L220-$M220-$N220-$O220,"")</f>
        <v>70.8625</v>
      </c>
      <c r="Q220" s="42" t="n">
        <f aca="false">IF(AND(ISNUMBER($K220),$K220&gt;0),$P220/$K220,"")</f>
        <v>0.2</v>
      </c>
      <c r="R220" s="43"/>
      <c r="S220" s="44" t="str">
        <f aca="false">IF(OR(NOT(ISNUMBER($R220)),$R220=0,NOT(ISNUMBER($K220))),"",$K220*(1-$R220))</f>
        <v/>
      </c>
      <c r="T220" s="45" t="str">
        <f aca="false">IF(ISNUMBER($S220),$S220*$H220,"")</f>
        <v/>
      </c>
      <c r="U220" s="45" t="str">
        <f aca="false">IF(ISNUMBER($S220),$S220*Parâmetros!$B$8,"")</f>
        <v/>
      </c>
      <c r="V220" s="45" t="str">
        <f aca="false">IF(ISNUMBER($S220),$S220*Parâmetros!$C$8,"")</f>
        <v/>
      </c>
      <c r="W220" s="44" t="str">
        <f aca="false">IF(ISNUMBER($S220),$S220-$D220-IF(ISNUMBER($E220),$E220,0)-$O220-$T220-$U220-$V220,"")</f>
        <v/>
      </c>
      <c r="X220" s="46" t="str">
        <f aca="false">IF(AND(ISNUMBER($S220),$S220&gt;0),$W220/$S220,"")</f>
        <v/>
      </c>
      <c r="Y220" s="47"/>
      <c r="Z220" s="19"/>
    </row>
    <row r="221" customFormat="false" ht="15.75" hidden="false" customHeight="true" outlineLevel="0" collapsed="false">
      <c r="A221" s="48" t="str">
        <f aca="false">IF(Produtos!$A221="","",Produtos!$A221)</f>
        <v>T24-PILHAS</v>
      </c>
      <c r="B221" s="48" t="str">
        <f aca="false">IF(Produtos!$A221="","",Produtos!$B221)</f>
        <v>Tampa 24cm Coletor de Pilhas e Baterias</v>
      </c>
      <c r="C221" s="48" t="str">
        <f aca="false">IF(Produtos!$A221="","",Produtos!$C221)</f>
        <v>Coletores de pilhas</v>
      </c>
      <c r="D221" s="33" t="n">
        <f aca="false">IF(Produtos!$A221="","",IF(Produtos!$D221="","",Produtos!$D221))</f>
        <v>57.21</v>
      </c>
      <c r="E221" s="11" t="n">
        <v>0</v>
      </c>
      <c r="F221" s="34" t="n">
        <f aca="false">IF($A221="","",IF($C221="","⚠ categoria",IFERROR(INDEX(Parâmetros!$F$13:$F$22,MATCH($C221,Parâmetros!$A$13:$A$22,0)),"⚠ categoria")))</f>
        <v>0.19</v>
      </c>
      <c r="G221" s="35"/>
      <c r="H221" s="36" t="n">
        <f aca="false">IF($A221="","",IF(ISNUMBER($G221),$G221,IF(ISNUMBER($F221),$F221,"")))</f>
        <v>0.19</v>
      </c>
      <c r="I221" s="37" t="n">
        <f aca="false">IF(OR($A221="",NOT(ISNUMBER($D221)),NOT(ISNUMBER($H221))),"",IF((1-$H221-Parâmetros!$B$8-Parâmetros!$C$8-Parâmetros!$D$8)&lt;=0,"INVALIDO",($D221+IF(ISNUMBER($E221),$E221,0)+IF(ISNUMBER(Parâmetros!$E$8),Parâmetros!$E$8,0))/(1-$H221-Parâmetros!$B$8-Parâmetros!$C$8-Parâmetros!$D$8)))</f>
        <v>119.1875</v>
      </c>
      <c r="J221" s="38"/>
      <c r="K221" s="39" t="n">
        <f aca="false">IF(OR($A221="",NOT(ISNUMBER($D221)),NOT(ISNUMBER($H221))),"",IF(AND(ISNUMBER($J221),$J221&gt;0),$J221,IF(ISNUMBER($I221),$I221,"")))</f>
        <v>119.1875</v>
      </c>
      <c r="L221" s="40" t="n">
        <f aca="false">IF(ISNUMBER($K221),$K221*$H221,"")</f>
        <v>22.645625</v>
      </c>
      <c r="M221" s="40" t="n">
        <f aca="false">IF(ISNUMBER($K221),$K221*Parâmetros!$B$8,"")</f>
        <v>11.91875</v>
      </c>
      <c r="N221" s="40" t="n">
        <f aca="false">IF(ISNUMBER($K221),$K221*Parâmetros!$C$8,"")</f>
        <v>3.575625</v>
      </c>
      <c r="O221" s="40" t="n">
        <f aca="false">IF(ISNUMBER($K221),IF(ISNUMBER(Parâmetros!$E$8),Parâmetros!$E$8,0),"")</f>
        <v>0</v>
      </c>
      <c r="P221" s="41" t="n">
        <f aca="false">IF(ISNUMBER($K221),$K221-$D221-IF(ISNUMBER($E221),$E221,0)-$L221-$M221-$N221-$O221,"")</f>
        <v>23.8375</v>
      </c>
      <c r="Q221" s="42" t="n">
        <f aca="false">IF(AND(ISNUMBER($K221),$K221&gt;0),$P221/$K221,"")</f>
        <v>0.2</v>
      </c>
      <c r="R221" s="43"/>
      <c r="S221" s="44" t="str">
        <f aca="false">IF(OR(NOT(ISNUMBER($R221)),$R221=0,NOT(ISNUMBER($K221))),"",$K221*(1-$R221))</f>
        <v/>
      </c>
      <c r="T221" s="45" t="str">
        <f aca="false">IF(ISNUMBER($S221),$S221*$H221,"")</f>
        <v/>
      </c>
      <c r="U221" s="45" t="str">
        <f aca="false">IF(ISNUMBER($S221),$S221*Parâmetros!$B$8,"")</f>
        <v/>
      </c>
      <c r="V221" s="45" t="str">
        <f aca="false">IF(ISNUMBER($S221),$S221*Parâmetros!$C$8,"")</f>
        <v/>
      </c>
      <c r="W221" s="44" t="str">
        <f aca="false">IF(ISNUMBER($S221),$S221-$D221-IF(ISNUMBER($E221),$E221,0)-$O221-$T221-$U221-$V221,"")</f>
        <v/>
      </c>
      <c r="X221" s="46" t="str">
        <f aca="false">IF(AND(ISNUMBER($S221),$S221&gt;0),$W221/$S221,"")</f>
        <v/>
      </c>
      <c r="Y221" s="49"/>
      <c r="Z221" s="21"/>
    </row>
    <row r="222" customFormat="false" ht="15.75" hidden="false" customHeight="true" outlineLevel="0" collapsed="false">
      <c r="A222" s="32" t="str">
        <f aca="false">IF(Produtos!$A222="","",Produtos!$A222)</f>
        <v>T30-PILHAS</v>
      </c>
      <c r="B222" s="32" t="str">
        <f aca="false">IF(Produtos!$A222="","",Produtos!$B222)</f>
        <v>Tampa 30cm Coletor de Pilhas e Baterias</v>
      </c>
      <c r="C222" s="32" t="str">
        <f aca="false">IF(Produtos!$A222="","",Produtos!$C222)</f>
        <v>Coletores de pilhas</v>
      </c>
      <c r="D222" s="33" t="n">
        <f aca="false">IF(Produtos!$A222="","",IF(Produtos!$D222="","",Produtos!$D222))</f>
        <v>46.19</v>
      </c>
      <c r="E222" s="11" t="n">
        <v>0</v>
      </c>
      <c r="F222" s="34" t="n">
        <f aca="false">IF($A222="","",IF($C222="","⚠ categoria",IFERROR(INDEX(Parâmetros!$F$13:$F$22,MATCH($C222,Parâmetros!$A$13:$A$22,0)),"⚠ categoria")))</f>
        <v>0.19</v>
      </c>
      <c r="G222" s="35"/>
      <c r="H222" s="36" t="n">
        <f aca="false">IF($A222="","",IF(ISNUMBER($G222),$G222,IF(ISNUMBER($F222),$F222,"")))</f>
        <v>0.19</v>
      </c>
      <c r="I222" s="37" t="n">
        <f aca="false">IF(OR($A222="",NOT(ISNUMBER($D222)),NOT(ISNUMBER($H222))),"",IF((1-$H222-Parâmetros!$B$8-Parâmetros!$C$8-Parâmetros!$D$8)&lt;=0,"INVALIDO",($D222+IF(ISNUMBER($E222),$E222,0)+IF(ISNUMBER(Parâmetros!$E$8),Parâmetros!$E$8,0))/(1-$H222-Parâmetros!$B$8-Parâmetros!$C$8-Parâmetros!$D$8)))</f>
        <v>96.2291666666667</v>
      </c>
      <c r="J222" s="38"/>
      <c r="K222" s="39" t="n">
        <f aca="false">IF(OR($A222="",NOT(ISNUMBER($D222)),NOT(ISNUMBER($H222))),"",IF(AND(ISNUMBER($J222),$J222&gt;0),$J222,IF(ISNUMBER($I222),$I222,"")))</f>
        <v>96.2291666666667</v>
      </c>
      <c r="L222" s="40" t="n">
        <f aca="false">IF(ISNUMBER($K222),$K222*$H222,"")</f>
        <v>18.2835416666667</v>
      </c>
      <c r="M222" s="40" t="n">
        <f aca="false">IF(ISNUMBER($K222),$K222*Parâmetros!$B$8,"")</f>
        <v>9.62291666666667</v>
      </c>
      <c r="N222" s="40" t="n">
        <f aca="false">IF(ISNUMBER($K222),$K222*Parâmetros!$C$8,"")</f>
        <v>2.886875</v>
      </c>
      <c r="O222" s="40" t="n">
        <f aca="false">IF(ISNUMBER($K222),IF(ISNUMBER(Parâmetros!$E$8),Parâmetros!$E$8,0),"")</f>
        <v>0</v>
      </c>
      <c r="P222" s="41" t="n">
        <f aca="false">IF(ISNUMBER($K222),$K222-$D222-IF(ISNUMBER($E222),$E222,0)-$L222-$M222-$N222-$O222,"")</f>
        <v>19.2458333333333</v>
      </c>
      <c r="Q222" s="42" t="n">
        <f aca="false">IF(AND(ISNUMBER($K222),$K222&gt;0),$P222/$K222,"")</f>
        <v>0.2</v>
      </c>
      <c r="R222" s="43"/>
      <c r="S222" s="44" t="str">
        <f aca="false">IF(OR(NOT(ISNUMBER($R222)),$R222=0,NOT(ISNUMBER($K222))),"",$K222*(1-$R222))</f>
        <v/>
      </c>
      <c r="T222" s="45" t="str">
        <f aca="false">IF(ISNUMBER($S222),$S222*$H222,"")</f>
        <v/>
      </c>
      <c r="U222" s="45" t="str">
        <f aca="false">IF(ISNUMBER($S222),$S222*Parâmetros!$B$8,"")</f>
        <v/>
      </c>
      <c r="V222" s="45" t="str">
        <f aca="false">IF(ISNUMBER($S222),$S222*Parâmetros!$C$8,"")</f>
        <v/>
      </c>
      <c r="W222" s="44" t="str">
        <f aca="false">IF(ISNUMBER($S222),$S222-$D222-IF(ISNUMBER($E222),$E222,0)-$O222-$T222-$U222-$V222,"")</f>
        <v/>
      </c>
      <c r="X222" s="46" t="str">
        <f aca="false">IF(AND(ISNUMBER($S222),$S222&gt;0),$W222/$S222,"")</f>
        <v/>
      </c>
      <c r="Y222" s="47"/>
      <c r="Z222" s="19"/>
    </row>
    <row r="223" customFormat="false" ht="15.75" hidden="false" customHeight="true" outlineLevel="0" collapsed="false">
      <c r="A223" s="48" t="str">
        <f aca="false">IF(Produtos!$A223="","",Produtos!$A223)</f>
        <v>T40-PILHAS</v>
      </c>
      <c r="B223" s="48" t="str">
        <f aca="false">IF(Produtos!$A223="","",Produtos!$B223)</f>
        <v>Tampa 40cm Coletor de Pilhas e Baterias</v>
      </c>
      <c r="C223" s="48" t="str">
        <f aca="false">IF(Produtos!$A223="","",Produtos!$C223)</f>
        <v>Coletores de pilhas</v>
      </c>
      <c r="D223" s="33" t="n">
        <f aca="false">IF(Produtos!$A223="","",IF(Produtos!$D223="","",Produtos!$D223))</f>
        <v>98.64</v>
      </c>
      <c r="E223" s="11" t="n">
        <v>0</v>
      </c>
      <c r="F223" s="34" t="n">
        <f aca="false">IF($A223="","",IF($C223="","⚠ categoria",IFERROR(INDEX(Parâmetros!$F$13:$F$22,MATCH($C223,Parâmetros!$A$13:$A$22,0)),"⚠ categoria")))</f>
        <v>0.19</v>
      </c>
      <c r="G223" s="35"/>
      <c r="H223" s="36" t="n">
        <f aca="false">IF($A223="","",IF(ISNUMBER($G223),$G223,IF(ISNUMBER($F223),$F223,"")))</f>
        <v>0.19</v>
      </c>
      <c r="I223" s="37" t="n">
        <f aca="false">IF(OR($A223="",NOT(ISNUMBER($D223)),NOT(ISNUMBER($H223))),"",IF((1-$H223-Parâmetros!$B$8-Parâmetros!$C$8-Parâmetros!$D$8)&lt;=0,"INVALIDO",($D223+IF(ISNUMBER($E223),$E223,0)+IF(ISNUMBER(Parâmetros!$E$8),Parâmetros!$E$8,0))/(1-$H223-Parâmetros!$B$8-Parâmetros!$C$8-Parâmetros!$D$8)))</f>
        <v>205.5</v>
      </c>
      <c r="J223" s="38"/>
      <c r="K223" s="39" t="n">
        <f aca="false">IF(OR($A223="",NOT(ISNUMBER($D223)),NOT(ISNUMBER($H223))),"",IF(AND(ISNUMBER($J223),$J223&gt;0),$J223,IF(ISNUMBER($I223),$I223,"")))</f>
        <v>205.5</v>
      </c>
      <c r="L223" s="40" t="n">
        <f aca="false">IF(ISNUMBER($K223),$K223*$H223,"")</f>
        <v>39.045</v>
      </c>
      <c r="M223" s="40" t="n">
        <f aca="false">IF(ISNUMBER($K223),$K223*Parâmetros!$B$8,"")</f>
        <v>20.55</v>
      </c>
      <c r="N223" s="40" t="n">
        <f aca="false">IF(ISNUMBER($K223),$K223*Parâmetros!$C$8,"")</f>
        <v>6.165</v>
      </c>
      <c r="O223" s="40" t="n">
        <f aca="false">IF(ISNUMBER($K223),IF(ISNUMBER(Parâmetros!$E$8),Parâmetros!$E$8,0),"")</f>
        <v>0</v>
      </c>
      <c r="P223" s="41" t="n">
        <f aca="false">IF(ISNUMBER($K223),$K223-$D223-IF(ISNUMBER($E223),$E223,0)-$L223-$M223-$N223-$O223,"")</f>
        <v>41.1</v>
      </c>
      <c r="Q223" s="42" t="n">
        <f aca="false">IF(AND(ISNUMBER($K223),$K223&gt;0),$P223/$K223,"")</f>
        <v>0.2</v>
      </c>
      <c r="R223" s="43"/>
      <c r="S223" s="44" t="str">
        <f aca="false">IF(OR(NOT(ISNUMBER($R223)),$R223=0,NOT(ISNUMBER($K223))),"",$K223*(1-$R223))</f>
        <v/>
      </c>
      <c r="T223" s="45" t="str">
        <f aca="false">IF(ISNUMBER($S223),$S223*$H223,"")</f>
        <v/>
      </c>
      <c r="U223" s="45" t="str">
        <f aca="false">IF(ISNUMBER($S223),$S223*Parâmetros!$B$8,"")</f>
        <v/>
      </c>
      <c r="V223" s="45" t="str">
        <f aca="false">IF(ISNUMBER($S223),$S223*Parâmetros!$C$8,"")</f>
        <v/>
      </c>
      <c r="W223" s="44" t="str">
        <f aca="false">IF(ISNUMBER($S223),$S223-$D223-IF(ISNUMBER($E223),$E223,0)-$O223-$T223-$U223-$V223,"")</f>
        <v/>
      </c>
      <c r="X223" s="46" t="str">
        <f aca="false">IF(AND(ISNUMBER($S223),$S223&gt;0),$W223/$S223,"")</f>
        <v/>
      </c>
      <c r="Y223" s="49"/>
      <c r="Z223" s="21"/>
    </row>
    <row r="224" customFormat="false" ht="15.75" hidden="false" customHeight="true" outlineLevel="0" collapsed="false">
      <c r="A224" s="32" t="str">
        <f aca="false">IF(Produtos!$A224="","",Produtos!$A224)</f>
        <v>A24ML</v>
      </c>
      <c r="B224" s="32" t="str">
        <f aca="false">IF(Produtos!$A224="","",Produtos!$B224)</f>
        <v>Aro 24cm Meia Lua Aço Inox</v>
      </c>
      <c r="C224" s="32" t="str">
        <f aca="false">IF(Produtos!$A224="","",Produtos!$C224)</f>
        <v>Acessórios (aros e tampas)</v>
      </c>
      <c r="D224" s="33" t="n">
        <f aca="false">IF(Produtos!$A224="","",IF(Produtos!$D224="","",Produtos!$D224))</f>
        <v>60.74</v>
      </c>
      <c r="E224" s="11" t="n">
        <v>0</v>
      </c>
      <c r="F224" s="34" t="n">
        <f aca="false">IF($A224="","",IF($C224="","⚠ categoria",IFERROR(INDEX(Parâmetros!$F$13:$F$22,MATCH($C224,Parâmetros!$A$13:$A$22,0)),"⚠ categoria")))</f>
        <v>0.19</v>
      </c>
      <c r="G224" s="35"/>
      <c r="H224" s="36" t="n">
        <f aca="false">IF($A224="","",IF(ISNUMBER($G224),$G224,IF(ISNUMBER($F224),$F224,"")))</f>
        <v>0.19</v>
      </c>
      <c r="I224" s="37" t="n">
        <f aca="false">IF(OR($A224="",NOT(ISNUMBER($D224)),NOT(ISNUMBER($H224))),"",IF((1-$H224-Parâmetros!$B$8-Parâmetros!$C$8-Parâmetros!$D$8)&lt;=0,"INVALIDO",($D224+IF(ISNUMBER($E224),$E224,0)+IF(ISNUMBER(Parâmetros!$E$8),Parâmetros!$E$8,0))/(1-$H224-Parâmetros!$B$8-Parâmetros!$C$8-Parâmetros!$D$8)))</f>
        <v>126.541666666667</v>
      </c>
      <c r="J224" s="38"/>
      <c r="K224" s="39" t="n">
        <f aca="false">IF(OR($A224="",NOT(ISNUMBER($D224)),NOT(ISNUMBER($H224))),"",IF(AND(ISNUMBER($J224),$J224&gt;0),$J224,IF(ISNUMBER($I224),$I224,"")))</f>
        <v>126.541666666667</v>
      </c>
      <c r="L224" s="40" t="n">
        <f aca="false">IF(ISNUMBER($K224),$K224*$H224,"")</f>
        <v>24.0429166666667</v>
      </c>
      <c r="M224" s="40" t="n">
        <f aca="false">IF(ISNUMBER($K224),$K224*Parâmetros!$B$8,"")</f>
        <v>12.6541666666667</v>
      </c>
      <c r="N224" s="40" t="n">
        <f aca="false">IF(ISNUMBER($K224),$K224*Parâmetros!$C$8,"")</f>
        <v>3.79625</v>
      </c>
      <c r="O224" s="40" t="n">
        <f aca="false">IF(ISNUMBER($K224),IF(ISNUMBER(Parâmetros!$E$8),Parâmetros!$E$8,0),"")</f>
        <v>0</v>
      </c>
      <c r="P224" s="41" t="n">
        <f aca="false">IF(ISNUMBER($K224),$K224-$D224-IF(ISNUMBER($E224),$E224,0)-$L224-$M224-$N224-$O224,"")</f>
        <v>25.3083333333333</v>
      </c>
      <c r="Q224" s="42" t="n">
        <f aca="false">IF(AND(ISNUMBER($K224),$K224&gt;0),$P224/$K224,"")</f>
        <v>0.2</v>
      </c>
      <c r="R224" s="43"/>
      <c r="S224" s="44" t="str">
        <f aca="false">IF(OR(NOT(ISNUMBER($R224)),$R224=0,NOT(ISNUMBER($K224))),"",$K224*(1-$R224))</f>
        <v/>
      </c>
      <c r="T224" s="45" t="str">
        <f aca="false">IF(ISNUMBER($S224),$S224*$H224,"")</f>
        <v/>
      </c>
      <c r="U224" s="45" t="str">
        <f aca="false">IF(ISNUMBER($S224),$S224*Parâmetros!$B$8,"")</f>
        <v/>
      </c>
      <c r="V224" s="45" t="str">
        <f aca="false">IF(ISNUMBER($S224),$S224*Parâmetros!$C$8,"")</f>
        <v/>
      </c>
      <c r="W224" s="44" t="str">
        <f aca="false">IF(ISNUMBER($S224),$S224-$D224-IF(ISNUMBER($E224),$E224,0)-$O224-$T224-$U224-$V224,"")</f>
        <v/>
      </c>
      <c r="X224" s="46" t="str">
        <f aca="false">IF(AND(ISNUMBER($S224),$S224&gt;0),$W224/$S224,"")</f>
        <v/>
      </c>
      <c r="Y224" s="47"/>
      <c r="Z224" s="19"/>
    </row>
    <row r="225" customFormat="false" ht="15.75" hidden="false" customHeight="true" outlineLevel="0" collapsed="false">
      <c r="A225" s="48" t="str">
        <f aca="false">IF(Produtos!$A225="","",Produtos!$A225)</f>
        <v>A30ML</v>
      </c>
      <c r="B225" s="48" t="str">
        <f aca="false">IF(Produtos!$A225="","",Produtos!$B225)</f>
        <v>Aro 30cm Meia Lua Aço Inox</v>
      </c>
      <c r="C225" s="48" t="str">
        <f aca="false">IF(Produtos!$A225="","",Produtos!$C225)</f>
        <v>Acessórios (aros e tampas)</v>
      </c>
      <c r="D225" s="33" t="n">
        <f aca="false">IF(Produtos!$A225="","",IF(Produtos!$D225="","",Produtos!$D225))</f>
        <v>76.36</v>
      </c>
      <c r="E225" s="11" t="n">
        <v>0</v>
      </c>
      <c r="F225" s="34" t="n">
        <f aca="false">IF($A225="","",IF($C225="","⚠ categoria",IFERROR(INDEX(Parâmetros!$F$13:$F$22,MATCH($C225,Parâmetros!$A$13:$A$22,0)),"⚠ categoria")))</f>
        <v>0.19</v>
      </c>
      <c r="G225" s="35"/>
      <c r="H225" s="36" t="n">
        <f aca="false">IF($A225="","",IF(ISNUMBER($G225),$G225,IF(ISNUMBER($F225),$F225,"")))</f>
        <v>0.19</v>
      </c>
      <c r="I225" s="37" t="n">
        <f aca="false">IF(OR($A225="",NOT(ISNUMBER($D225)),NOT(ISNUMBER($H225))),"",IF((1-$H225-Parâmetros!$B$8-Parâmetros!$C$8-Parâmetros!$D$8)&lt;=0,"INVALIDO",($D225+IF(ISNUMBER($E225),$E225,0)+IF(ISNUMBER(Parâmetros!$E$8),Parâmetros!$E$8,0))/(1-$H225-Parâmetros!$B$8-Parâmetros!$C$8-Parâmetros!$D$8)))</f>
        <v>159.083333333333</v>
      </c>
      <c r="J225" s="38"/>
      <c r="K225" s="39" t="n">
        <f aca="false">IF(OR($A225="",NOT(ISNUMBER($D225)),NOT(ISNUMBER($H225))),"",IF(AND(ISNUMBER($J225),$J225&gt;0),$J225,IF(ISNUMBER($I225),$I225,"")))</f>
        <v>159.083333333333</v>
      </c>
      <c r="L225" s="40" t="n">
        <f aca="false">IF(ISNUMBER($K225),$K225*$H225,"")</f>
        <v>30.2258333333333</v>
      </c>
      <c r="M225" s="40" t="n">
        <f aca="false">IF(ISNUMBER($K225),$K225*Parâmetros!$B$8,"")</f>
        <v>15.9083333333333</v>
      </c>
      <c r="N225" s="40" t="n">
        <f aca="false">IF(ISNUMBER($K225),$K225*Parâmetros!$C$8,"")</f>
        <v>4.7725</v>
      </c>
      <c r="O225" s="40" t="n">
        <f aca="false">IF(ISNUMBER($K225),IF(ISNUMBER(Parâmetros!$E$8),Parâmetros!$E$8,0),"")</f>
        <v>0</v>
      </c>
      <c r="P225" s="41" t="n">
        <f aca="false">IF(ISNUMBER($K225),$K225-$D225-IF(ISNUMBER($E225),$E225,0)-$L225-$M225-$N225-$O225,"")</f>
        <v>31.8166666666667</v>
      </c>
      <c r="Q225" s="42" t="n">
        <f aca="false">IF(AND(ISNUMBER($K225),$K225&gt;0),$P225/$K225,"")</f>
        <v>0.2</v>
      </c>
      <c r="R225" s="43"/>
      <c r="S225" s="44" t="str">
        <f aca="false">IF(OR(NOT(ISNUMBER($R225)),$R225=0,NOT(ISNUMBER($K225))),"",$K225*(1-$R225))</f>
        <v/>
      </c>
      <c r="T225" s="45" t="str">
        <f aca="false">IF(ISNUMBER($S225),$S225*$H225,"")</f>
        <v/>
      </c>
      <c r="U225" s="45" t="str">
        <f aca="false">IF(ISNUMBER($S225),$S225*Parâmetros!$B$8,"")</f>
        <v/>
      </c>
      <c r="V225" s="45" t="str">
        <f aca="false">IF(ISNUMBER($S225),$S225*Parâmetros!$C$8,"")</f>
        <v/>
      </c>
      <c r="W225" s="44" t="str">
        <f aca="false">IF(ISNUMBER($S225),$S225-$D225-IF(ISNUMBER($E225),$E225,0)-$O225-$T225-$U225-$V225,"")</f>
        <v/>
      </c>
      <c r="X225" s="46" t="str">
        <f aca="false">IF(AND(ISNUMBER($S225),$S225&gt;0),$W225/$S225,"")</f>
        <v/>
      </c>
      <c r="Y225" s="49"/>
      <c r="Z225" s="21"/>
    </row>
    <row r="226" customFormat="false" ht="15.75" hidden="false" customHeight="true" outlineLevel="0" collapsed="false">
      <c r="A226" s="32" t="str">
        <f aca="false">IF(Produtos!$A226="","",Produtos!$A226)</f>
        <v>A40ML</v>
      </c>
      <c r="B226" s="32" t="str">
        <f aca="false">IF(Produtos!$A226="","",Produtos!$B226)</f>
        <v>Aro 40cm Meia Lua Aço Inox</v>
      </c>
      <c r="C226" s="32" t="str">
        <f aca="false">IF(Produtos!$A226="","",Produtos!$C226)</f>
        <v>Acessórios (aros e tampas)</v>
      </c>
      <c r="D226" s="33" t="n">
        <f aca="false">IF(Produtos!$A226="","",IF(Produtos!$D226="","",Produtos!$D226))</f>
        <v>116.98</v>
      </c>
      <c r="E226" s="11" t="n">
        <v>0</v>
      </c>
      <c r="F226" s="34" t="n">
        <f aca="false">IF($A226="","",IF($C226="","⚠ categoria",IFERROR(INDEX(Parâmetros!$F$13:$F$22,MATCH($C226,Parâmetros!$A$13:$A$22,0)),"⚠ categoria")))</f>
        <v>0.19</v>
      </c>
      <c r="G226" s="35"/>
      <c r="H226" s="36" t="n">
        <f aca="false">IF($A226="","",IF(ISNUMBER($G226),$G226,IF(ISNUMBER($F226),$F226,"")))</f>
        <v>0.19</v>
      </c>
      <c r="I226" s="37" t="n">
        <f aca="false">IF(OR($A226="",NOT(ISNUMBER($D226)),NOT(ISNUMBER($H226))),"",IF((1-$H226-Parâmetros!$B$8-Parâmetros!$C$8-Parâmetros!$D$8)&lt;=0,"INVALIDO",($D226+IF(ISNUMBER($E226),$E226,0)+IF(ISNUMBER(Parâmetros!$E$8),Parâmetros!$E$8,0))/(1-$H226-Parâmetros!$B$8-Parâmetros!$C$8-Parâmetros!$D$8)))</f>
        <v>243.708333333333</v>
      </c>
      <c r="J226" s="38"/>
      <c r="K226" s="39" t="n">
        <f aca="false">IF(OR($A226="",NOT(ISNUMBER($D226)),NOT(ISNUMBER($H226))),"",IF(AND(ISNUMBER($J226),$J226&gt;0),$J226,IF(ISNUMBER($I226),$I226,"")))</f>
        <v>243.708333333333</v>
      </c>
      <c r="L226" s="40" t="n">
        <f aca="false">IF(ISNUMBER($K226),$K226*$H226,"")</f>
        <v>46.3045833333333</v>
      </c>
      <c r="M226" s="40" t="n">
        <f aca="false">IF(ISNUMBER($K226),$K226*Parâmetros!$B$8,"")</f>
        <v>24.3708333333333</v>
      </c>
      <c r="N226" s="40" t="n">
        <f aca="false">IF(ISNUMBER($K226),$K226*Parâmetros!$C$8,"")</f>
        <v>7.31125</v>
      </c>
      <c r="O226" s="40" t="n">
        <f aca="false">IF(ISNUMBER($K226),IF(ISNUMBER(Parâmetros!$E$8),Parâmetros!$E$8,0),"")</f>
        <v>0</v>
      </c>
      <c r="P226" s="41" t="n">
        <f aca="false">IF(ISNUMBER($K226),$K226-$D226-IF(ISNUMBER($E226),$E226,0)-$L226-$M226-$N226-$O226,"")</f>
        <v>48.7416666666666</v>
      </c>
      <c r="Q226" s="42" t="n">
        <f aca="false">IF(AND(ISNUMBER($K226),$K226&gt;0),$P226/$K226,"")</f>
        <v>0.2</v>
      </c>
      <c r="R226" s="43"/>
      <c r="S226" s="44" t="str">
        <f aca="false">IF(OR(NOT(ISNUMBER($R226)),$R226=0,NOT(ISNUMBER($K226))),"",$K226*(1-$R226))</f>
        <v/>
      </c>
      <c r="T226" s="45" t="str">
        <f aca="false">IF(ISNUMBER($S226),$S226*$H226,"")</f>
        <v/>
      </c>
      <c r="U226" s="45" t="str">
        <f aca="false">IF(ISNUMBER($S226),$S226*Parâmetros!$B$8,"")</f>
        <v/>
      </c>
      <c r="V226" s="45" t="str">
        <f aca="false">IF(ISNUMBER($S226),$S226*Parâmetros!$C$8,"")</f>
        <v/>
      </c>
      <c r="W226" s="44" t="str">
        <f aca="false">IF(ISNUMBER($S226),$S226-$D226-IF(ISNUMBER($E226),$E226,0)-$O226-$T226-$U226-$V226,"")</f>
        <v/>
      </c>
      <c r="X226" s="46" t="str">
        <f aca="false">IF(AND(ISNUMBER($S226),$S226&gt;0),$W226/$S226,"")</f>
        <v/>
      </c>
      <c r="Y226" s="47"/>
      <c r="Z226" s="19"/>
    </row>
    <row r="227" customFormat="false" ht="15.75" hidden="false" customHeight="true" outlineLevel="0" collapsed="false">
      <c r="A227" s="48" t="str">
        <f aca="false">IF(Produtos!$A227="","",Produtos!$A227)</f>
        <v>AQ-24</v>
      </c>
      <c r="B227" s="48" t="str">
        <f aca="false">IF(Produtos!$A227="","",Produtos!$B227)</f>
        <v>Aro Quadrado 24cm Aço Inox</v>
      </c>
      <c r="C227" s="48" t="str">
        <f aca="false">IF(Produtos!$A227="","",Produtos!$C227)</f>
        <v>Acessórios (aros e tampas)</v>
      </c>
      <c r="D227" s="33" t="n">
        <f aca="false">IF(Produtos!$A227="","",IF(Produtos!$D227="","",Produtos!$D227))</f>
        <v>39.22</v>
      </c>
      <c r="E227" s="11" t="n">
        <v>0</v>
      </c>
      <c r="F227" s="34" t="n">
        <f aca="false">IF($A227="","",IF($C227="","⚠ categoria",IFERROR(INDEX(Parâmetros!$F$13:$F$22,MATCH($C227,Parâmetros!$A$13:$A$22,0)),"⚠ categoria")))</f>
        <v>0.19</v>
      </c>
      <c r="G227" s="35"/>
      <c r="H227" s="36" t="n">
        <f aca="false">IF($A227="","",IF(ISNUMBER($G227),$G227,IF(ISNUMBER($F227),$F227,"")))</f>
        <v>0.19</v>
      </c>
      <c r="I227" s="37" t="n">
        <f aca="false">IF(OR($A227="",NOT(ISNUMBER($D227)),NOT(ISNUMBER($H227))),"",IF((1-$H227-Parâmetros!$B$8-Parâmetros!$C$8-Parâmetros!$D$8)&lt;=0,"INVALIDO",($D227+IF(ISNUMBER($E227),$E227,0)+IF(ISNUMBER(Parâmetros!$E$8),Parâmetros!$E$8,0))/(1-$H227-Parâmetros!$B$8-Parâmetros!$C$8-Parâmetros!$D$8)))</f>
        <v>81.7083333333333</v>
      </c>
      <c r="J227" s="38"/>
      <c r="K227" s="39" t="n">
        <f aca="false">IF(OR($A227="",NOT(ISNUMBER($D227)),NOT(ISNUMBER($H227))),"",IF(AND(ISNUMBER($J227),$J227&gt;0),$J227,IF(ISNUMBER($I227),$I227,"")))</f>
        <v>81.7083333333333</v>
      </c>
      <c r="L227" s="40" t="n">
        <f aca="false">IF(ISNUMBER($K227),$K227*$H227,"")</f>
        <v>15.5245833333333</v>
      </c>
      <c r="M227" s="40" t="n">
        <f aca="false">IF(ISNUMBER($K227),$K227*Parâmetros!$B$8,"")</f>
        <v>8.17083333333333</v>
      </c>
      <c r="N227" s="40" t="n">
        <f aca="false">IF(ISNUMBER($K227),$K227*Parâmetros!$C$8,"")</f>
        <v>2.45125</v>
      </c>
      <c r="O227" s="40" t="n">
        <f aca="false">IF(ISNUMBER($K227),IF(ISNUMBER(Parâmetros!$E$8),Parâmetros!$E$8,0),"")</f>
        <v>0</v>
      </c>
      <c r="P227" s="41" t="n">
        <f aca="false">IF(ISNUMBER($K227),$K227-$D227-IF(ISNUMBER($E227),$E227,0)-$L227-$M227-$N227-$O227,"")</f>
        <v>16.3416666666667</v>
      </c>
      <c r="Q227" s="42" t="n">
        <f aca="false">IF(AND(ISNUMBER($K227),$K227&gt;0),$P227/$K227,"")</f>
        <v>0.2</v>
      </c>
      <c r="R227" s="43"/>
      <c r="S227" s="44" t="str">
        <f aca="false">IF(OR(NOT(ISNUMBER($R227)),$R227=0,NOT(ISNUMBER($K227))),"",$K227*(1-$R227))</f>
        <v/>
      </c>
      <c r="T227" s="45" t="str">
        <f aca="false">IF(ISNUMBER($S227),$S227*$H227,"")</f>
        <v/>
      </c>
      <c r="U227" s="45" t="str">
        <f aca="false">IF(ISNUMBER($S227),$S227*Parâmetros!$B$8,"")</f>
        <v/>
      </c>
      <c r="V227" s="45" t="str">
        <f aca="false">IF(ISNUMBER($S227),$S227*Parâmetros!$C$8,"")</f>
        <v/>
      </c>
      <c r="W227" s="44" t="str">
        <f aca="false">IF(ISNUMBER($S227),$S227-$D227-IF(ISNUMBER($E227),$E227,0)-$O227-$T227-$U227-$V227,"")</f>
        <v/>
      </c>
      <c r="X227" s="46" t="str">
        <f aca="false">IF(AND(ISNUMBER($S227),$S227&gt;0),$W227/$S227,"")</f>
        <v/>
      </c>
      <c r="Y227" s="49"/>
      <c r="Z227" s="21"/>
    </row>
    <row r="228" customFormat="false" ht="15.75" hidden="false" customHeight="true" outlineLevel="0" collapsed="false">
      <c r="A228" s="32" t="str">
        <f aca="false">IF(Produtos!$A228="","",Produtos!$A228)</f>
        <v>AQ-30</v>
      </c>
      <c r="B228" s="32" t="str">
        <f aca="false">IF(Produtos!$A228="","",Produtos!$B228)</f>
        <v>Aro Quadrado 30cm Aço Inox</v>
      </c>
      <c r="C228" s="32" t="str">
        <f aca="false">IF(Produtos!$A228="","",Produtos!$C228)</f>
        <v>Acessórios (aros e tampas)</v>
      </c>
      <c r="D228" s="33" t="n">
        <f aca="false">IF(Produtos!$A228="","",IF(Produtos!$D228="","",Produtos!$D228))</f>
        <v>45.58</v>
      </c>
      <c r="E228" s="11" t="n">
        <v>0</v>
      </c>
      <c r="F228" s="34" t="n">
        <f aca="false">IF($A228="","",IF($C228="","⚠ categoria",IFERROR(INDEX(Parâmetros!$F$13:$F$22,MATCH($C228,Parâmetros!$A$13:$A$22,0)),"⚠ categoria")))</f>
        <v>0.19</v>
      </c>
      <c r="G228" s="35"/>
      <c r="H228" s="36" t="n">
        <f aca="false">IF($A228="","",IF(ISNUMBER($G228),$G228,IF(ISNUMBER($F228),$F228,"")))</f>
        <v>0.19</v>
      </c>
      <c r="I228" s="37" t="n">
        <f aca="false">IF(OR($A228="",NOT(ISNUMBER($D228)),NOT(ISNUMBER($H228))),"",IF((1-$H228-Parâmetros!$B$8-Parâmetros!$C$8-Parâmetros!$D$8)&lt;=0,"INVALIDO",($D228+IF(ISNUMBER($E228),$E228,0)+IF(ISNUMBER(Parâmetros!$E$8),Parâmetros!$E$8,0))/(1-$H228-Parâmetros!$B$8-Parâmetros!$C$8-Parâmetros!$D$8)))</f>
        <v>94.9583333333333</v>
      </c>
      <c r="J228" s="38"/>
      <c r="K228" s="39" t="n">
        <f aca="false">IF(OR($A228="",NOT(ISNUMBER($D228)),NOT(ISNUMBER($H228))),"",IF(AND(ISNUMBER($J228),$J228&gt;0),$J228,IF(ISNUMBER($I228),$I228,"")))</f>
        <v>94.9583333333333</v>
      </c>
      <c r="L228" s="40" t="n">
        <f aca="false">IF(ISNUMBER($K228),$K228*$H228,"")</f>
        <v>18.0420833333333</v>
      </c>
      <c r="M228" s="40" t="n">
        <f aca="false">IF(ISNUMBER($K228),$K228*Parâmetros!$B$8,"")</f>
        <v>9.49583333333333</v>
      </c>
      <c r="N228" s="40" t="n">
        <f aca="false">IF(ISNUMBER($K228),$K228*Parâmetros!$C$8,"")</f>
        <v>2.84875</v>
      </c>
      <c r="O228" s="40" t="n">
        <f aca="false">IF(ISNUMBER($K228),IF(ISNUMBER(Parâmetros!$E$8),Parâmetros!$E$8,0),"")</f>
        <v>0</v>
      </c>
      <c r="P228" s="41" t="n">
        <f aca="false">IF(ISNUMBER($K228),$K228-$D228-IF(ISNUMBER($E228),$E228,0)-$L228-$M228-$N228-$O228,"")</f>
        <v>18.9916666666667</v>
      </c>
      <c r="Q228" s="42" t="n">
        <f aca="false">IF(AND(ISNUMBER($K228),$K228&gt;0),$P228/$K228,"")</f>
        <v>0.2</v>
      </c>
      <c r="R228" s="43"/>
      <c r="S228" s="44" t="str">
        <f aca="false">IF(OR(NOT(ISNUMBER($R228)),$R228=0,NOT(ISNUMBER($K228))),"",$K228*(1-$R228))</f>
        <v/>
      </c>
      <c r="T228" s="45" t="str">
        <f aca="false">IF(ISNUMBER($S228),$S228*$H228,"")</f>
        <v/>
      </c>
      <c r="U228" s="45" t="str">
        <f aca="false">IF(ISNUMBER($S228),$S228*Parâmetros!$B$8,"")</f>
        <v/>
      </c>
      <c r="V228" s="45" t="str">
        <f aca="false">IF(ISNUMBER($S228),$S228*Parâmetros!$C$8,"")</f>
        <v/>
      </c>
      <c r="W228" s="44" t="str">
        <f aca="false">IF(ISNUMBER($S228),$S228-$D228-IF(ISNUMBER($E228),$E228,0)-$O228-$T228-$U228-$V228,"")</f>
        <v/>
      </c>
      <c r="X228" s="46" t="str">
        <f aca="false">IF(AND(ISNUMBER($S228),$S228&gt;0),$W228/$S228,"")</f>
        <v/>
      </c>
      <c r="Y228" s="47"/>
      <c r="Z228" s="19"/>
    </row>
    <row r="229" customFormat="false" ht="15.75" hidden="false" customHeight="true" outlineLevel="0" collapsed="false">
      <c r="A229" s="48" t="str">
        <f aca="false">IF(Produtos!$A229="","",Produtos!$A229)</f>
        <v>AQ-40</v>
      </c>
      <c r="B229" s="48" t="str">
        <f aca="false">IF(Produtos!$A229="","",Produtos!$B229)</f>
        <v>Aro Quadrado 40cm Aço Inox</v>
      </c>
      <c r="C229" s="48" t="str">
        <f aca="false">IF(Produtos!$A229="","",Produtos!$C229)</f>
        <v>Acessórios (aros e tampas)</v>
      </c>
      <c r="D229" s="33" t="n">
        <f aca="false">IF(Produtos!$A229="","",IF(Produtos!$D229="","",Produtos!$D229))</f>
        <v>96.46</v>
      </c>
      <c r="E229" s="11" t="n">
        <v>0</v>
      </c>
      <c r="F229" s="34" t="n">
        <f aca="false">IF($A229="","",IF($C229="","⚠ categoria",IFERROR(INDEX(Parâmetros!$F$13:$F$22,MATCH($C229,Parâmetros!$A$13:$A$22,0)),"⚠ categoria")))</f>
        <v>0.19</v>
      </c>
      <c r="G229" s="35"/>
      <c r="H229" s="36" t="n">
        <f aca="false">IF($A229="","",IF(ISNUMBER($G229),$G229,IF(ISNUMBER($F229),$F229,"")))</f>
        <v>0.19</v>
      </c>
      <c r="I229" s="37" t="n">
        <f aca="false">IF(OR($A229="",NOT(ISNUMBER($D229)),NOT(ISNUMBER($H229))),"",IF((1-$H229-Parâmetros!$B$8-Parâmetros!$C$8-Parâmetros!$D$8)&lt;=0,"INVALIDO",($D229+IF(ISNUMBER($E229),$E229,0)+IF(ISNUMBER(Parâmetros!$E$8),Parâmetros!$E$8,0))/(1-$H229-Parâmetros!$B$8-Parâmetros!$C$8-Parâmetros!$D$8)))</f>
        <v>200.958333333333</v>
      </c>
      <c r="J229" s="38"/>
      <c r="K229" s="39" t="n">
        <f aca="false">IF(OR($A229="",NOT(ISNUMBER($D229)),NOT(ISNUMBER($H229))),"",IF(AND(ISNUMBER($J229),$J229&gt;0),$J229,IF(ISNUMBER($I229),$I229,"")))</f>
        <v>200.958333333333</v>
      </c>
      <c r="L229" s="40" t="n">
        <f aca="false">IF(ISNUMBER($K229),$K229*$H229,"")</f>
        <v>38.1820833333333</v>
      </c>
      <c r="M229" s="40" t="n">
        <f aca="false">IF(ISNUMBER($K229),$K229*Parâmetros!$B$8,"")</f>
        <v>20.0958333333333</v>
      </c>
      <c r="N229" s="40" t="n">
        <f aca="false">IF(ISNUMBER($K229),$K229*Parâmetros!$C$8,"")</f>
        <v>6.02875</v>
      </c>
      <c r="O229" s="40" t="n">
        <f aca="false">IF(ISNUMBER($K229),IF(ISNUMBER(Parâmetros!$E$8),Parâmetros!$E$8,0),"")</f>
        <v>0</v>
      </c>
      <c r="P229" s="41" t="n">
        <f aca="false">IF(ISNUMBER($K229),$K229-$D229-IF(ISNUMBER($E229),$E229,0)-$L229-$M229-$N229-$O229,"")</f>
        <v>40.1916666666667</v>
      </c>
      <c r="Q229" s="42" t="n">
        <f aca="false">IF(AND(ISNUMBER($K229),$K229&gt;0),$P229/$K229,"")</f>
        <v>0.2</v>
      </c>
      <c r="R229" s="43"/>
      <c r="S229" s="44" t="str">
        <f aca="false">IF(OR(NOT(ISNUMBER($R229)),$R229=0,NOT(ISNUMBER($K229))),"",$K229*(1-$R229))</f>
        <v/>
      </c>
      <c r="T229" s="45" t="str">
        <f aca="false">IF(ISNUMBER($S229),$S229*$H229,"")</f>
        <v/>
      </c>
      <c r="U229" s="45" t="str">
        <f aca="false">IF(ISNUMBER($S229),$S229*Parâmetros!$B$8,"")</f>
        <v/>
      </c>
      <c r="V229" s="45" t="str">
        <f aca="false">IF(ISNUMBER($S229),$S229*Parâmetros!$C$8,"")</f>
        <v/>
      </c>
      <c r="W229" s="44" t="str">
        <f aca="false">IF(ISNUMBER($S229),$S229-$D229-IF(ISNUMBER($E229),$E229,0)-$O229-$T229-$U229-$V229,"")</f>
        <v/>
      </c>
      <c r="X229" s="46" t="str">
        <f aca="false">IF(AND(ISNUMBER($S229),$S229&gt;0),$W229/$S229,"")</f>
        <v/>
      </c>
      <c r="Y229" s="49"/>
      <c r="Z229" s="21"/>
    </row>
    <row r="230" customFormat="false" ht="15.75" hidden="false" customHeight="true" outlineLevel="0" collapsed="false">
      <c r="A230" s="32" t="str">
        <f aca="false">IF(Produtos!$A230="","",Produtos!$A230)</f>
        <v>AQ-24B</v>
      </c>
      <c r="B230" s="32" t="str">
        <f aca="false">IF(Produtos!$A230="","",Produtos!$B230)</f>
        <v>Aro Quadrado 24cm c/Basculante</v>
      </c>
      <c r="C230" s="32" t="str">
        <f aca="false">IF(Produtos!$A230="","",Produtos!$C230)</f>
        <v>Acessórios (aros e tampas)</v>
      </c>
      <c r="D230" s="33" t="n">
        <f aca="false">IF(Produtos!$A230="","",IF(Produtos!$D230="","",Produtos!$D230))</f>
        <v>54.06</v>
      </c>
      <c r="E230" s="11" t="n">
        <v>0</v>
      </c>
      <c r="F230" s="34" t="n">
        <f aca="false">IF($A230="","",IF($C230="","⚠ categoria",IFERROR(INDEX(Parâmetros!$F$13:$F$22,MATCH($C230,Parâmetros!$A$13:$A$22,0)),"⚠ categoria")))</f>
        <v>0.19</v>
      </c>
      <c r="G230" s="35"/>
      <c r="H230" s="36" t="n">
        <f aca="false">IF($A230="","",IF(ISNUMBER($G230),$G230,IF(ISNUMBER($F230),$F230,"")))</f>
        <v>0.19</v>
      </c>
      <c r="I230" s="37" t="n">
        <f aca="false">IF(OR($A230="",NOT(ISNUMBER($D230)),NOT(ISNUMBER($H230))),"",IF((1-$H230-Parâmetros!$B$8-Parâmetros!$C$8-Parâmetros!$D$8)&lt;=0,"INVALIDO",($D230+IF(ISNUMBER($E230),$E230,0)+IF(ISNUMBER(Parâmetros!$E$8),Parâmetros!$E$8,0))/(1-$H230-Parâmetros!$B$8-Parâmetros!$C$8-Parâmetros!$D$8)))</f>
        <v>112.625</v>
      </c>
      <c r="J230" s="38"/>
      <c r="K230" s="39" t="n">
        <f aca="false">IF(OR($A230="",NOT(ISNUMBER($D230)),NOT(ISNUMBER($H230))),"",IF(AND(ISNUMBER($J230),$J230&gt;0),$J230,IF(ISNUMBER($I230),$I230,"")))</f>
        <v>112.625</v>
      </c>
      <c r="L230" s="40" t="n">
        <f aca="false">IF(ISNUMBER($K230),$K230*$H230,"")</f>
        <v>21.39875</v>
      </c>
      <c r="M230" s="40" t="n">
        <f aca="false">IF(ISNUMBER($K230),$K230*Parâmetros!$B$8,"")</f>
        <v>11.2625</v>
      </c>
      <c r="N230" s="40" t="n">
        <f aca="false">IF(ISNUMBER($K230),$K230*Parâmetros!$C$8,"")</f>
        <v>3.37875</v>
      </c>
      <c r="O230" s="40" t="n">
        <f aca="false">IF(ISNUMBER($K230),IF(ISNUMBER(Parâmetros!$E$8),Parâmetros!$E$8,0),"")</f>
        <v>0</v>
      </c>
      <c r="P230" s="41" t="n">
        <f aca="false">IF(ISNUMBER($K230),$K230-$D230-IF(ISNUMBER($E230),$E230,0)-$L230-$M230-$N230-$O230,"")</f>
        <v>22.525</v>
      </c>
      <c r="Q230" s="42" t="n">
        <f aca="false">IF(AND(ISNUMBER($K230),$K230&gt;0),$P230/$K230,"")</f>
        <v>0.2</v>
      </c>
      <c r="R230" s="43"/>
      <c r="S230" s="44" t="str">
        <f aca="false">IF(OR(NOT(ISNUMBER($R230)),$R230=0,NOT(ISNUMBER($K230))),"",$K230*(1-$R230))</f>
        <v/>
      </c>
      <c r="T230" s="45" t="str">
        <f aca="false">IF(ISNUMBER($S230),$S230*$H230,"")</f>
        <v/>
      </c>
      <c r="U230" s="45" t="str">
        <f aca="false">IF(ISNUMBER($S230),$S230*Parâmetros!$B$8,"")</f>
        <v/>
      </c>
      <c r="V230" s="45" t="str">
        <f aca="false">IF(ISNUMBER($S230),$S230*Parâmetros!$C$8,"")</f>
        <v/>
      </c>
      <c r="W230" s="44" t="str">
        <f aca="false">IF(ISNUMBER($S230),$S230-$D230-IF(ISNUMBER($E230),$E230,0)-$O230-$T230-$U230-$V230,"")</f>
        <v/>
      </c>
      <c r="X230" s="46" t="str">
        <f aca="false">IF(AND(ISNUMBER($S230),$S230&gt;0),$W230/$S230,"")</f>
        <v/>
      </c>
      <c r="Y230" s="47"/>
      <c r="Z230" s="19"/>
    </row>
    <row r="231" customFormat="false" ht="15.75" hidden="false" customHeight="true" outlineLevel="0" collapsed="false">
      <c r="A231" s="48" t="str">
        <f aca="false">IF(Produtos!$A231="","",Produtos!$A231)</f>
        <v>AQ-30B</v>
      </c>
      <c r="B231" s="48" t="str">
        <f aca="false">IF(Produtos!$A231="","",Produtos!$B231)</f>
        <v>Aro Quadrado 30cm c/Basculante</v>
      </c>
      <c r="C231" s="48" t="str">
        <f aca="false">IF(Produtos!$A231="","",Produtos!$C231)</f>
        <v>Acessórios (aros e tampas)</v>
      </c>
      <c r="D231" s="33" t="n">
        <f aca="false">IF(Produtos!$A231="","",IF(Produtos!$D231="","",Produtos!$D231))</f>
        <v>69.96</v>
      </c>
      <c r="E231" s="11" t="n">
        <v>0</v>
      </c>
      <c r="F231" s="34" t="n">
        <f aca="false">IF($A231="","",IF($C231="","⚠ categoria",IFERROR(INDEX(Parâmetros!$F$13:$F$22,MATCH($C231,Parâmetros!$A$13:$A$22,0)),"⚠ categoria")))</f>
        <v>0.19</v>
      </c>
      <c r="G231" s="35"/>
      <c r="H231" s="36" t="n">
        <f aca="false">IF($A231="","",IF(ISNUMBER($G231),$G231,IF(ISNUMBER($F231),$F231,"")))</f>
        <v>0.19</v>
      </c>
      <c r="I231" s="37" t="n">
        <f aca="false">IF(OR($A231="",NOT(ISNUMBER($D231)),NOT(ISNUMBER($H231))),"",IF((1-$H231-Parâmetros!$B$8-Parâmetros!$C$8-Parâmetros!$D$8)&lt;=0,"INVALIDO",($D231+IF(ISNUMBER($E231),$E231,0)+IF(ISNUMBER(Parâmetros!$E$8),Parâmetros!$E$8,0))/(1-$H231-Parâmetros!$B$8-Parâmetros!$C$8-Parâmetros!$D$8)))</f>
        <v>145.75</v>
      </c>
      <c r="J231" s="38"/>
      <c r="K231" s="39" t="n">
        <f aca="false">IF(OR($A231="",NOT(ISNUMBER($D231)),NOT(ISNUMBER($H231))),"",IF(AND(ISNUMBER($J231),$J231&gt;0),$J231,IF(ISNUMBER($I231),$I231,"")))</f>
        <v>145.75</v>
      </c>
      <c r="L231" s="40" t="n">
        <f aca="false">IF(ISNUMBER($K231),$K231*$H231,"")</f>
        <v>27.6925</v>
      </c>
      <c r="M231" s="40" t="n">
        <f aca="false">IF(ISNUMBER($K231),$K231*Parâmetros!$B$8,"")</f>
        <v>14.575</v>
      </c>
      <c r="N231" s="40" t="n">
        <f aca="false">IF(ISNUMBER($K231),$K231*Parâmetros!$C$8,"")</f>
        <v>4.3725</v>
      </c>
      <c r="O231" s="40" t="n">
        <f aca="false">IF(ISNUMBER($K231),IF(ISNUMBER(Parâmetros!$E$8),Parâmetros!$E$8,0),"")</f>
        <v>0</v>
      </c>
      <c r="P231" s="41" t="n">
        <f aca="false">IF(ISNUMBER($K231),$K231-$D231-IF(ISNUMBER($E231),$E231,0)-$L231-$M231-$N231-$O231,"")</f>
        <v>29.15</v>
      </c>
      <c r="Q231" s="42" t="n">
        <f aca="false">IF(AND(ISNUMBER($K231),$K231&gt;0),$P231/$K231,"")</f>
        <v>0.2</v>
      </c>
      <c r="R231" s="43"/>
      <c r="S231" s="44" t="str">
        <f aca="false">IF(OR(NOT(ISNUMBER($R231)),$R231=0,NOT(ISNUMBER($K231))),"",$K231*(1-$R231))</f>
        <v/>
      </c>
      <c r="T231" s="45" t="str">
        <f aca="false">IF(ISNUMBER($S231),$S231*$H231,"")</f>
        <v/>
      </c>
      <c r="U231" s="45" t="str">
        <f aca="false">IF(ISNUMBER($S231),$S231*Parâmetros!$B$8,"")</f>
        <v/>
      </c>
      <c r="V231" s="45" t="str">
        <f aca="false">IF(ISNUMBER($S231),$S231*Parâmetros!$C$8,"")</f>
        <v/>
      </c>
      <c r="W231" s="44" t="str">
        <f aca="false">IF(ISNUMBER($S231),$S231-$D231-IF(ISNUMBER($E231),$E231,0)-$O231-$T231-$U231-$V231,"")</f>
        <v/>
      </c>
      <c r="X231" s="46" t="str">
        <f aca="false">IF(AND(ISNUMBER($S231),$S231&gt;0),$W231/$S231,"")</f>
        <v/>
      </c>
      <c r="Y231" s="49"/>
      <c r="Z231" s="21"/>
    </row>
    <row r="232" customFormat="false" ht="15.75" hidden="false" customHeight="true" outlineLevel="0" collapsed="false">
      <c r="A232" s="32" t="str">
        <f aca="false">IF(Produtos!$A232="","",Produtos!$A232)</f>
        <v>AQ-40B</v>
      </c>
      <c r="B232" s="32" t="str">
        <f aca="false">IF(Produtos!$A232="","",Produtos!$B232)</f>
        <v>Aro Quadrado 40cm c/Basculante</v>
      </c>
      <c r="C232" s="32" t="str">
        <f aca="false">IF(Produtos!$A232="","",Produtos!$C232)</f>
        <v>Acessórios (aros e tampas)</v>
      </c>
      <c r="D232" s="33" t="n">
        <f aca="false">IF(Produtos!$A232="","",IF(Produtos!$D232="","",Produtos!$D232))</f>
        <v>121.9</v>
      </c>
      <c r="E232" s="11" t="n">
        <v>0</v>
      </c>
      <c r="F232" s="34" t="n">
        <f aca="false">IF($A232="","",IF($C232="","⚠ categoria",IFERROR(INDEX(Parâmetros!$F$13:$F$22,MATCH($C232,Parâmetros!$A$13:$A$22,0)),"⚠ categoria")))</f>
        <v>0.19</v>
      </c>
      <c r="G232" s="35"/>
      <c r="H232" s="36" t="n">
        <f aca="false">IF($A232="","",IF(ISNUMBER($G232),$G232,IF(ISNUMBER($F232),$F232,"")))</f>
        <v>0.19</v>
      </c>
      <c r="I232" s="37" t="n">
        <f aca="false">IF(OR($A232="",NOT(ISNUMBER($D232)),NOT(ISNUMBER($H232))),"",IF((1-$H232-Parâmetros!$B$8-Parâmetros!$C$8-Parâmetros!$D$8)&lt;=0,"INVALIDO",($D232+IF(ISNUMBER($E232),$E232,0)+IF(ISNUMBER(Parâmetros!$E$8),Parâmetros!$E$8,0))/(1-$H232-Parâmetros!$B$8-Parâmetros!$C$8-Parâmetros!$D$8)))</f>
        <v>253.958333333333</v>
      </c>
      <c r="J232" s="38"/>
      <c r="K232" s="39" t="n">
        <f aca="false">IF(OR($A232="",NOT(ISNUMBER($D232)),NOT(ISNUMBER($H232))),"",IF(AND(ISNUMBER($J232),$J232&gt;0),$J232,IF(ISNUMBER($I232),$I232,"")))</f>
        <v>253.958333333333</v>
      </c>
      <c r="L232" s="40" t="n">
        <f aca="false">IF(ISNUMBER($K232),$K232*$H232,"")</f>
        <v>48.2520833333333</v>
      </c>
      <c r="M232" s="40" t="n">
        <f aca="false">IF(ISNUMBER($K232),$K232*Parâmetros!$B$8,"")</f>
        <v>25.3958333333333</v>
      </c>
      <c r="N232" s="40" t="n">
        <f aca="false">IF(ISNUMBER($K232),$K232*Parâmetros!$C$8,"")</f>
        <v>7.61875</v>
      </c>
      <c r="O232" s="40" t="n">
        <f aca="false">IF(ISNUMBER($K232),IF(ISNUMBER(Parâmetros!$E$8),Parâmetros!$E$8,0),"")</f>
        <v>0</v>
      </c>
      <c r="P232" s="41" t="n">
        <f aca="false">IF(ISNUMBER($K232),$K232-$D232-IF(ISNUMBER($E232),$E232,0)-$L232-$M232-$N232-$O232,"")</f>
        <v>50.7916666666667</v>
      </c>
      <c r="Q232" s="42" t="n">
        <f aca="false">IF(AND(ISNUMBER($K232),$K232&gt;0),$P232/$K232,"")</f>
        <v>0.2</v>
      </c>
      <c r="R232" s="43"/>
      <c r="S232" s="44" t="str">
        <f aca="false">IF(OR(NOT(ISNUMBER($R232)),$R232=0,NOT(ISNUMBER($K232))),"",$K232*(1-$R232))</f>
        <v/>
      </c>
      <c r="T232" s="45" t="str">
        <f aca="false">IF(ISNUMBER($S232),$S232*$H232,"")</f>
        <v/>
      </c>
      <c r="U232" s="45" t="str">
        <f aca="false">IF(ISNUMBER($S232),$S232*Parâmetros!$B$8,"")</f>
        <v/>
      </c>
      <c r="V232" s="45" t="str">
        <f aca="false">IF(ISNUMBER($S232),$S232*Parâmetros!$C$8,"")</f>
        <v/>
      </c>
      <c r="W232" s="44" t="str">
        <f aca="false">IF(ISNUMBER($S232),$S232-$D232-IF(ISNUMBER($E232),$E232,0)-$O232-$T232-$U232-$V232,"")</f>
        <v/>
      </c>
      <c r="X232" s="46" t="str">
        <f aca="false">IF(AND(ISNUMBER($S232),$S232&gt;0),$W232/$S232,"")</f>
        <v/>
      </c>
      <c r="Y232" s="47"/>
      <c r="Z232" s="19"/>
    </row>
    <row r="233" customFormat="false" ht="15.75" hidden="false" customHeight="true" outlineLevel="0" collapsed="false">
      <c r="A233" s="48" t="str">
        <f aca="false">IF(Produtos!$A233="","",Produtos!$A233)</f>
        <v>AQ-24C</v>
      </c>
      <c r="B233" s="48" t="str">
        <f aca="false">IF(Produtos!$A233="","",Produtos!$B233)</f>
        <v>Aro Quadrado 24cm Pintado</v>
      </c>
      <c r="C233" s="48" t="str">
        <f aca="false">IF(Produtos!$A233="","",Produtos!$C233)</f>
        <v>Acessórios (aros e tampas)</v>
      </c>
      <c r="D233" s="33" t="n">
        <f aca="false">IF(Produtos!$A233="","",IF(Produtos!$D233="","",Produtos!$D233))</f>
        <v>45.58</v>
      </c>
      <c r="E233" s="11" t="n">
        <v>0</v>
      </c>
      <c r="F233" s="34" t="n">
        <f aca="false">IF($A233="","",IF($C233="","⚠ categoria",IFERROR(INDEX(Parâmetros!$F$13:$F$22,MATCH($C233,Parâmetros!$A$13:$A$22,0)),"⚠ categoria")))</f>
        <v>0.19</v>
      </c>
      <c r="G233" s="35"/>
      <c r="H233" s="36" t="n">
        <f aca="false">IF($A233="","",IF(ISNUMBER($G233),$G233,IF(ISNUMBER($F233),$F233,"")))</f>
        <v>0.19</v>
      </c>
      <c r="I233" s="37" t="n">
        <f aca="false">IF(OR($A233="",NOT(ISNUMBER($D233)),NOT(ISNUMBER($H233))),"",IF((1-$H233-Parâmetros!$B$8-Parâmetros!$C$8-Parâmetros!$D$8)&lt;=0,"INVALIDO",($D233+IF(ISNUMBER($E233),$E233,0)+IF(ISNUMBER(Parâmetros!$E$8),Parâmetros!$E$8,0))/(1-$H233-Parâmetros!$B$8-Parâmetros!$C$8-Parâmetros!$D$8)))</f>
        <v>94.9583333333333</v>
      </c>
      <c r="J233" s="38"/>
      <c r="K233" s="39" t="n">
        <f aca="false">IF(OR($A233="",NOT(ISNUMBER($D233)),NOT(ISNUMBER($H233))),"",IF(AND(ISNUMBER($J233),$J233&gt;0),$J233,IF(ISNUMBER($I233),$I233,"")))</f>
        <v>94.9583333333333</v>
      </c>
      <c r="L233" s="40" t="n">
        <f aca="false">IF(ISNUMBER($K233),$K233*$H233,"")</f>
        <v>18.0420833333333</v>
      </c>
      <c r="M233" s="40" t="n">
        <f aca="false">IF(ISNUMBER($K233),$K233*Parâmetros!$B$8,"")</f>
        <v>9.49583333333333</v>
      </c>
      <c r="N233" s="40" t="n">
        <f aca="false">IF(ISNUMBER($K233),$K233*Parâmetros!$C$8,"")</f>
        <v>2.84875</v>
      </c>
      <c r="O233" s="40" t="n">
        <f aca="false">IF(ISNUMBER($K233),IF(ISNUMBER(Parâmetros!$E$8),Parâmetros!$E$8,0),"")</f>
        <v>0</v>
      </c>
      <c r="P233" s="41" t="n">
        <f aca="false">IF(ISNUMBER($K233),$K233-$D233-IF(ISNUMBER($E233),$E233,0)-$L233-$M233-$N233-$O233,"")</f>
        <v>18.9916666666667</v>
      </c>
      <c r="Q233" s="42" t="n">
        <f aca="false">IF(AND(ISNUMBER($K233),$K233&gt;0),$P233/$K233,"")</f>
        <v>0.2</v>
      </c>
      <c r="R233" s="43"/>
      <c r="S233" s="44" t="str">
        <f aca="false">IF(OR(NOT(ISNUMBER($R233)),$R233=0,NOT(ISNUMBER($K233))),"",$K233*(1-$R233))</f>
        <v/>
      </c>
      <c r="T233" s="45" t="str">
        <f aca="false">IF(ISNUMBER($S233),$S233*$H233,"")</f>
        <v/>
      </c>
      <c r="U233" s="45" t="str">
        <f aca="false">IF(ISNUMBER($S233),$S233*Parâmetros!$B$8,"")</f>
        <v/>
      </c>
      <c r="V233" s="45" t="str">
        <f aca="false">IF(ISNUMBER($S233),$S233*Parâmetros!$C$8,"")</f>
        <v/>
      </c>
      <c r="W233" s="44" t="str">
        <f aca="false">IF(ISNUMBER($S233),$S233-$D233-IF(ISNUMBER($E233),$E233,0)-$O233-$T233-$U233-$V233,"")</f>
        <v/>
      </c>
      <c r="X233" s="46" t="str">
        <f aca="false">IF(AND(ISNUMBER($S233),$S233&gt;0),$W233/$S233,"")</f>
        <v/>
      </c>
      <c r="Y233" s="49"/>
      <c r="Z233" s="21"/>
    </row>
    <row r="234" customFormat="false" ht="15.75" hidden="false" customHeight="true" outlineLevel="0" collapsed="false">
      <c r="A234" s="32" t="str">
        <f aca="false">IF(Produtos!$A234="","",Produtos!$A234)</f>
        <v>AQ-30C</v>
      </c>
      <c r="B234" s="32" t="str">
        <f aca="false">IF(Produtos!$A234="","",Produtos!$B234)</f>
        <v>Aro Quadrado 30cm Pintado</v>
      </c>
      <c r="C234" s="32" t="str">
        <f aca="false">IF(Produtos!$A234="","",Produtos!$C234)</f>
        <v>Acessórios (aros e tampas)</v>
      </c>
      <c r="D234" s="33" t="n">
        <f aca="false">IF(Produtos!$A234="","",IF(Produtos!$D234="","",Produtos!$D234))</f>
        <v>53</v>
      </c>
      <c r="E234" s="11" t="n">
        <v>0</v>
      </c>
      <c r="F234" s="34" t="n">
        <f aca="false">IF($A234="","",IF($C234="","⚠ categoria",IFERROR(INDEX(Parâmetros!$F$13:$F$22,MATCH($C234,Parâmetros!$A$13:$A$22,0)),"⚠ categoria")))</f>
        <v>0.19</v>
      </c>
      <c r="G234" s="35"/>
      <c r="H234" s="36" t="n">
        <f aca="false">IF($A234="","",IF(ISNUMBER($G234),$G234,IF(ISNUMBER($F234),$F234,"")))</f>
        <v>0.19</v>
      </c>
      <c r="I234" s="37" t="n">
        <f aca="false">IF(OR($A234="",NOT(ISNUMBER($D234)),NOT(ISNUMBER($H234))),"",IF((1-$H234-Parâmetros!$B$8-Parâmetros!$C$8-Parâmetros!$D$8)&lt;=0,"INVALIDO",($D234+IF(ISNUMBER($E234),$E234,0)+IF(ISNUMBER(Parâmetros!$E$8),Parâmetros!$E$8,0))/(1-$H234-Parâmetros!$B$8-Parâmetros!$C$8-Parâmetros!$D$8)))</f>
        <v>110.416666666667</v>
      </c>
      <c r="J234" s="38"/>
      <c r="K234" s="39" t="n">
        <f aca="false">IF(OR($A234="",NOT(ISNUMBER($D234)),NOT(ISNUMBER($H234))),"",IF(AND(ISNUMBER($J234),$J234&gt;0),$J234,IF(ISNUMBER($I234),$I234,"")))</f>
        <v>110.416666666667</v>
      </c>
      <c r="L234" s="40" t="n">
        <f aca="false">IF(ISNUMBER($K234),$K234*$H234,"")</f>
        <v>20.9791666666667</v>
      </c>
      <c r="M234" s="40" t="n">
        <f aca="false">IF(ISNUMBER($K234),$K234*Parâmetros!$B$8,"")</f>
        <v>11.0416666666667</v>
      </c>
      <c r="N234" s="40" t="n">
        <f aca="false">IF(ISNUMBER($K234),$K234*Parâmetros!$C$8,"")</f>
        <v>3.3125</v>
      </c>
      <c r="O234" s="40" t="n">
        <f aca="false">IF(ISNUMBER($K234),IF(ISNUMBER(Parâmetros!$E$8),Parâmetros!$E$8,0),"")</f>
        <v>0</v>
      </c>
      <c r="P234" s="41" t="n">
        <f aca="false">IF(ISNUMBER($K234),$K234-$D234-IF(ISNUMBER($E234),$E234,0)-$L234-$M234-$N234-$O234,"")</f>
        <v>22.0833333333333</v>
      </c>
      <c r="Q234" s="42" t="n">
        <f aca="false">IF(AND(ISNUMBER($K234),$K234&gt;0),$P234/$K234,"")</f>
        <v>0.2</v>
      </c>
      <c r="R234" s="43"/>
      <c r="S234" s="44" t="str">
        <f aca="false">IF(OR(NOT(ISNUMBER($R234)),$R234=0,NOT(ISNUMBER($K234))),"",$K234*(1-$R234))</f>
        <v/>
      </c>
      <c r="T234" s="45" t="str">
        <f aca="false">IF(ISNUMBER($S234),$S234*$H234,"")</f>
        <v/>
      </c>
      <c r="U234" s="45" t="str">
        <f aca="false">IF(ISNUMBER($S234),$S234*Parâmetros!$B$8,"")</f>
        <v/>
      </c>
      <c r="V234" s="45" t="str">
        <f aca="false">IF(ISNUMBER($S234),$S234*Parâmetros!$C$8,"")</f>
        <v/>
      </c>
      <c r="W234" s="44" t="str">
        <f aca="false">IF(ISNUMBER($S234),$S234-$D234-IF(ISNUMBER($E234),$E234,0)-$O234-$T234-$U234-$V234,"")</f>
        <v/>
      </c>
      <c r="X234" s="46" t="str">
        <f aca="false">IF(AND(ISNUMBER($S234),$S234&gt;0),$W234/$S234,"")</f>
        <v/>
      </c>
      <c r="Y234" s="47"/>
      <c r="Z234" s="19"/>
    </row>
    <row r="235" customFormat="false" ht="15.75" hidden="false" customHeight="true" outlineLevel="0" collapsed="false">
      <c r="A235" s="48" t="str">
        <f aca="false">IF(Produtos!$A235="","",Produtos!$A235)</f>
        <v>AQ-40C</v>
      </c>
      <c r="B235" s="48" t="str">
        <f aca="false">IF(Produtos!$A235="","",Produtos!$B235)</f>
        <v>Aro Quadrado 40cm Pintado</v>
      </c>
      <c r="C235" s="48" t="str">
        <f aca="false">IF(Produtos!$A235="","",Produtos!$C235)</f>
        <v>Acessórios (aros e tampas)</v>
      </c>
      <c r="D235" s="33" t="n">
        <f aca="false">IF(Produtos!$A235="","",IF(Produtos!$D235="","",Produtos!$D235))</f>
        <v>104.94</v>
      </c>
      <c r="E235" s="11" t="n">
        <v>0</v>
      </c>
      <c r="F235" s="34" t="n">
        <f aca="false">IF($A235="","",IF($C235="","⚠ categoria",IFERROR(INDEX(Parâmetros!$F$13:$F$22,MATCH($C235,Parâmetros!$A$13:$A$22,0)),"⚠ categoria")))</f>
        <v>0.19</v>
      </c>
      <c r="G235" s="35"/>
      <c r="H235" s="36" t="n">
        <f aca="false">IF($A235="","",IF(ISNUMBER($G235),$G235,IF(ISNUMBER($F235),$F235,"")))</f>
        <v>0.19</v>
      </c>
      <c r="I235" s="37" t="n">
        <f aca="false">IF(OR($A235="",NOT(ISNUMBER($D235)),NOT(ISNUMBER($H235))),"",IF((1-$H235-Parâmetros!$B$8-Parâmetros!$C$8-Parâmetros!$D$8)&lt;=0,"INVALIDO",($D235+IF(ISNUMBER($E235),$E235,0)+IF(ISNUMBER(Parâmetros!$E$8),Parâmetros!$E$8,0))/(1-$H235-Parâmetros!$B$8-Parâmetros!$C$8-Parâmetros!$D$8)))</f>
        <v>218.625</v>
      </c>
      <c r="J235" s="38"/>
      <c r="K235" s="39" t="n">
        <f aca="false">IF(OR($A235="",NOT(ISNUMBER($D235)),NOT(ISNUMBER($H235))),"",IF(AND(ISNUMBER($J235),$J235&gt;0),$J235,IF(ISNUMBER($I235),$I235,"")))</f>
        <v>218.625</v>
      </c>
      <c r="L235" s="40" t="n">
        <f aca="false">IF(ISNUMBER($K235),$K235*$H235,"")</f>
        <v>41.53875</v>
      </c>
      <c r="M235" s="40" t="n">
        <f aca="false">IF(ISNUMBER($K235),$K235*Parâmetros!$B$8,"")</f>
        <v>21.8625</v>
      </c>
      <c r="N235" s="40" t="n">
        <f aca="false">IF(ISNUMBER($K235),$K235*Parâmetros!$C$8,"")</f>
        <v>6.55875</v>
      </c>
      <c r="O235" s="40" t="n">
        <f aca="false">IF(ISNUMBER($K235),IF(ISNUMBER(Parâmetros!$E$8),Parâmetros!$E$8,0),"")</f>
        <v>0</v>
      </c>
      <c r="P235" s="41" t="n">
        <f aca="false">IF(ISNUMBER($K235),$K235-$D235-IF(ISNUMBER($E235),$E235,0)-$L235-$M235-$N235-$O235,"")</f>
        <v>43.725</v>
      </c>
      <c r="Q235" s="42" t="n">
        <f aca="false">IF(AND(ISNUMBER($K235),$K235&gt;0),$P235/$K235,"")</f>
        <v>0.2</v>
      </c>
      <c r="R235" s="43"/>
      <c r="S235" s="44" t="str">
        <f aca="false">IF(OR(NOT(ISNUMBER($R235)),$R235=0,NOT(ISNUMBER($K235))),"",$K235*(1-$R235))</f>
        <v/>
      </c>
      <c r="T235" s="45" t="str">
        <f aca="false">IF(ISNUMBER($S235),$S235*$H235,"")</f>
        <v/>
      </c>
      <c r="U235" s="45" t="str">
        <f aca="false">IF(ISNUMBER($S235),$S235*Parâmetros!$B$8,"")</f>
        <v/>
      </c>
      <c r="V235" s="45" t="str">
        <f aca="false">IF(ISNUMBER($S235),$S235*Parâmetros!$C$8,"")</f>
        <v/>
      </c>
      <c r="W235" s="44" t="str">
        <f aca="false">IF(ISNUMBER($S235),$S235-$D235-IF(ISNUMBER($E235),$E235,0)-$O235-$T235-$U235-$V235,"")</f>
        <v/>
      </c>
      <c r="X235" s="46" t="str">
        <f aca="false">IF(AND(ISNUMBER($S235),$S235&gt;0),$W235/$S235,"")</f>
        <v/>
      </c>
      <c r="Y235" s="49"/>
      <c r="Z235" s="21"/>
    </row>
    <row r="236" customFormat="false" ht="15.75" hidden="false" customHeight="true" outlineLevel="0" collapsed="false">
      <c r="A236" s="32" t="str">
        <f aca="false">IF(Produtos!$A236="","",Produtos!$A236)</f>
        <v>AQ-24BC</v>
      </c>
      <c r="B236" s="32" t="str">
        <f aca="false">IF(Produtos!$A236="","",Produtos!$B236)</f>
        <v>Aro Quadrado 24cm c/Basculante Pintado</v>
      </c>
      <c r="C236" s="32" t="str">
        <f aca="false">IF(Produtos!$A236="","",Produtos!$C236)</f>
        <v>Acessórios (aros e tampas)</v>
      </c>
      <c r="D236" s="33" t="n">
        <f aca="false">IF(Produtos!$A236="","",IF(Produtos!$D236="","",Produtos!$D236))</f>
        <v>64.66</v>
      </c>
      <c r="E236" s="11" t="n">
        <v>0</v>
      </c>
      <c r="F236" s="34" t="n">
        <f aca="false">IF($A236="","",IF($C236="","⚠ categoria",IFERROR(INDEX(Parâmetros!$F$13:$F$22,MATCH($C236,Parâmetros!$A$13:$A$22,0)),"⚠ categoria")))</f>
        <v>0.19</v>
      </c>
      <c r="G236" s="35"/>
      <c r="H236" s="36" t="n">
        <f aca="false">IF($A236="","",IF(ISNUMBER($G236),$G236,IF(ISNUMBER($F236),$F236,"")))</f>
        <v>0.19</v>
      </c>
      <c r="I236" s="37" t="n">
        <f aca="false">IF(OR($A236="",NOT(ISNUMBER($D236)),NOT(ISNUMBER($H236))),"",IF((1-$H236-Parâmetros!$B$8-Parâmetros!$C$8-Parâmetros!$D$8)&lt;=0,"INVALIDO",($D236+IF(ISNUMBER($E236),$E236,0)+IF(ISNUMBER(Parâmetros!$E$8),Parâmetros!$E$8,0))/(1-$H236-Parâmetros!$B$8-Parâmetros!$C$8-Parâmetros!$D$8)))</f>
        <v>134.708333333333</v>
      </c>
      <c r="J236" s="38"/>
      <c r="K236" s="39" t="n">
        <f aca="false">IF(OR($A236="",NOT(ISNUMBER($D236)),NOT(ISNUMBER($H236))),"",IF(AND(ISNUMBER($J236),$J236&gt;0),$J236,IF(ISNUMBER($I236),$I236,"")))</f>
        <v>134.708333333333</v>
      </c>
      <c r="L236" s="40" t="n">
        <f aca="false">IF(ISNUMBER($K236),$K236*$H236,"")</f>
        <v>25.5945833333333</v>
      </c>
      <c r="M236" s="40" t="n">
        <f aca="false">IF(ISNUMBER($K236),$K236*Parâmetros!$B$8,"")</f>
        <v>13.4708333333333</v>
      </c>
      <c r="N236" s="40" t="n">
        <f aca="false">IF(ISNUMBER($K236),$K236*Parâmetros!$C$8,"")</f>
        <v>4.04125</v>
      </c>
      <c r="O236" s="40" t="n">
        <f aca="false">IF(ISNUMBER($K236),IF(ISNUMBER(Parâmetros!$E$8),Parâmetros!$E$8,0),"")</f>
        <v>0</v>
      </c>
      <c r="P236" s="41" t="n">
        <f aca="false">IF(ISNUMBER($K236),$K236-$D236-IF(ISNUMBER($E236),$E236,0)-$L236-$M236-$N236-$O236,"")</f>
        <v>26.9416666666667</v>
      </c>
      <c r="Q236" s="42" t="n">
        <f aca="false">IF(AND(ISNUMBER($K236),$K236&gt;0),$P236/$K236,"")</f>
        <v>0.2</v>
      </c>
      <c r="R236" s="43"/>
      <c r="S236" s="44" t="str">
        <f aca="false">IF(OR(NOT(ISNUMBER($R236)),$R236=0,NOT(ISNUMBER($K236))),"",$K236*(1-$R236))</f>
        <v/>
      </c>
      <c r="T236" s="45" t="str">
        <f aca="false">IF(ISNUMBER($S236),$S236*$H236,"")</f>
        <v/>
      </c>
      <c r="U236" s="45" t="str">
        <f aca="false">IF(ISNUMBER($S236),$S236*Parâmetros!$B$8,"")</f>
        <v/>
      </c>
      <c r="V236" s="45" t="str">
        <f aca="false">IF(ISNUMBER($S236),$S236*Parâmetros!$C$8,"")</f>
        <v/>
      </c>
      <c r="W236" s="44" t="str">
        <f aca="false">IF(ISNUMBER($S236),$S236-$D236-IF(ISNUMBER($E236),$E236,0)-$O236-$T236-$U236-$V236,"")</f>
        <v/>
      </c>
      <c r="X236" s="46" t="str">
        <f aca="false">IF(AND(ISNUMBER($S236),$S236&gt;0),$W236/$S236,"")</f>
        <v/>
      </c>
      <c r="Y236" s="47"/>
      <c r="Z236" s="19"/>
    </row>
    <row r="237" customFormat="false" ht="15.75" hidden="false" customHeight="true" outlineLevel="0" collapsed="false">
      <c r="A237" s="48" t="str">
        <f aca="false">IF(Produtos!$A237="","",Produtos!$A237)</f>
        <v>AQ-30BC</v>
      </c>
      <c r="B237" s="48" t="str">
        <f aca="false">IF(Produtos!$A237="","",Produtos!$B237)</f>
        <v>Aro Quadrado 30cm c/Basculante Pintado</v>
      </c>
      <c r="C237" s="48" t="str">
        <f aca="false">IF(Produtos!$A237="","",Produtos!$C237)</f>
        <v>Acessórios (aros e tampas)</v>
      </c>
      <c r="D237" s="33" t="n">
        <f aca="false">IF(Produtos!$A237="","",IF(Produtos!$D237="","",Produtos!$D237))</f>
        <v>80.56</v>
      </c>
      <c r="E237" s="11" t="n">
        <v>0</v>
      </c>
      <c r="F237" s="34" t="n">
        <f aca="false">IF($A237="","",IF($C237="","⚠ categoria",IFERROR(INDEX(Parâmetros!$F$13:$F$22,MATCH($C237,Parâmetros!$A$13:$A$22,0)),"⚠ categoria")))</f>
        <v>0.19</v>
      </c>
      <c r="G237" s="35"/>
      <c r="H237" s="36" t="n">
        <f aca="false">IF($A237="","",IF(ISNUMBER($G237),$G237,IF(ISNUMBER($F237),$F237,"")))</f>
        <v>0.19</v>
      </c>
      <c r="I237" s="37" t="n">
        <f aca="false">IF(OR($A237="",NOT(ISNUMBER($D237)),NOT(ISNUMBER($H237))),"",IF((1-$H237-Parâmetros!$B$8-Parâmetros!$C$8-Parâmetros!$D$8)&lt;=0,"INVALIDO",($D237+IF(ISNUMBER($E237),$E237,0)+IF(ISNUMBER(Parâmetros!$E$8),Parâmetros!$E$8,0))/(1-$H237-Parâmetros!$B$8-Parâmetros!$C$8-Parâmetros!$D$8)))</f>
        <v>167.833333333333</v>
      </c>
      <c r="J237" s="38"/>
      <c r="K237" s="39" t="n">
        <f aca="false">IF(OR($A237="",NOT(ISNUMBER($D237)),NOT(ISNUMBER($H237))),"",IF(AND(ISNUMBER($J237),$J237&gt;0),$J237,IF(ISNUMBER($I237),$I237,"")))</f>
        <v>167.833333333333</v>
      </c>
      <c r="L237" s="40" t="n">
        <f aca="false">IF(ISNUMBER($K237),$K237*$H237,"")</f>
        <v>31.8883333333333</v>
      </c>
      <c r="M237" s="40" t="n">
        <f aca="false">IF(ISNUMBER($K237),$K237*Parâmetros!$B$8,"")</f>
        <v>16.7833333333333</v>
      </c>
      <c r="N237" s="40" t="n">
        <f aca="false">IF(ISNUMBER($K237),$K237*Parâmetros!$C$8,"")</f>
        <v>5.035</v>
      </c>
      <c r="O237" s="40" t="n">
        <f aca="false">IF(ISNUMBER($K237),IF(ISNUMBER(Parâmetros!$E$8),Parâmetros!$E$8,0),"")</f>
        <v>0</v>
      </c>
      <c r="P237" s="41" t="n">
        <f aca="false">IF(ISNUMBER($K237),$K237-$D237-IF(ISNUMBER($E237),$E237,0)-$L237-$M237-$N237-$O237,"")</f>
        <v>33.5666666666667</v>
      </c>
      <c r="Q237" s="42" t="n">
        <f aca="false">IF(AND(ISNUMBER($K237),$K237&gt;0),$P237/$K237,"")</f>
        <v>0.2</v>
      </c>
      <c r="R237" s="43"/>
      <c r="S237" s="44" t="str">
        <f aca="false">IF(OR(NOT(ISNUMBER($R237)),$R237=0,NOT(ISNUMBER($K237))),"",$K237*(1-$R237))</f>
        <v/>
      </c>
      <c r="T237" s="45" t="str">
        <f aca="false">IF(ISNUMBER($S237),$S237*$H237,"")</f>
        <v/>
      </c>
      <c r="U237" s="45" t="str">
        <f aca="false">IF(ISNUMBER($S237),$S237*Parâmetros!$B$8,"")</f>
        <v/>
      </c>
      <c r="V237" s="45" t="str">
        <f aca="false">IF(ISNUMBER($S237),$S237*Parâmetros!$C$8,"")</f>
        <v/>
      </c>
      <c r="W237" s="44" t="str">
        <f aca="false">IF(ISNUMBER($S237),$S237-$D237-IF(ISNUMBER($E237),$E237,0)-$O237-$T237-$U237-$V237,"")</f>
        <v/>
      </c>
      <c r="X237" s="46" t="str">
        <f aca="false">IF(AND(ISNUMBER($S237),$S237&gt;0),$W237/$S237,"")</f>
        <v/>
      </c>
      <c r="Y237" s="49"/>
      <c r="Z237" s="21"/>
    </row>
    <row r="238" customFormat="false" ht="15.75" hidden="false" customHeight="true" outlineLevel="0" collapsed="false">
      <c r="A238" s="32" t="str">
        <f aca="false">IF(Produtos!$A238="","",Produtos!$A238)</f>
        <v>AQ-40BC</v>
      </c>
      <c r="B238" s="32" t="str">
        <f aca="false">IF(Produtos!$A238="","",Produtos!$B238)</f>
        <v>Aro Quadrado 40cm c/Basculante Pintado</v>
      </c>
      <c r="C238" s="32" t="str">
        <f aca="false">IF(Produtos!$A238="","",Produtos!$C238)</f>
        <v>Acessórios (aros e tampas)</v>
      </c>
      <c r="D238" s="33" t="n">
        <f aca="false">IF(Produtos!$A238="","",IF(Produtos!$D238="","",Produtos!$D238))</f>
        <v>132.5</v>
      </c>
      <c r="E238" s="11" t="n">
        <v>0</v>
      </c>
      <c r="F238" s="34" t="n">
        <f aca="false">IF($A238="","",IF($C238="","⚠ categoria",IFERROR(INDEX(Parâmetros!$F$13:$F$22,MATCH($C238,Parâmetros!$A$13:$A$22,0)),"⚠ categoria")))</f>
        <v>0.19</v>
      </c>
      <c r="G238" s="35"/>
      <c r="H238" s="36" t="n">
        <f aca="false">IF($A238="","",IF(ISNUMBER($G238),$G238,IF(ISNUMBER($F238),$F238,"")))</f>
        <v>0.19</v>
      </c>
      <c r="I238" s="37" t="n">
        <f aca="false">IF(OR($A238="",NOT(ISNUMBER($D238)),NOT(ISNUMBER($H238))),"",IF((1-$H238-Parâmetros!$B$8-Parâmetros!$C$8-Parâmetros!$D$8)&lt;=0,"INVALIDO",($D238+IF(ISNUMBER($E238),$E238,0)+IF(ISNUMBER(Parâmetros!$E$8),Parâmetros!$E$8,0))/(1-$H238-Parâmetros!$B$8-Parâmetros!$C$8-Parâmetros!$D$8)))</f>
        <v>276.041666666667</v>
      </c>
      <c r="J238" s="38"/>
      <c r="K238" s="39" t="n">
        <f aca="false">IF(OR($A238="",NOT(ISNUMBER($D238)),NOT(ISNUMBER($H238))),"",IF(AND(ISNUMBER($J238),$J238&gt;0),$J238,IF(ISNUMBER($I238),$I238,"")))</f>
        <v>276.041666666667</v>
      </c>
      <c r="L238" s="40" t="n">
        <f aca="false">IF(ISNUMBER($K238),$K238*$H238,"")</f>
        <v>52.4479166666667</v>
      </c>
      <c r="M238" s="40" t="n">
        <f aca="false">IF(ISNUMBER($K238),$K238*Parâmetros!$B$8,"")</f>
        <v>27.6041666666667</v>
      </c>
      <c r="N238" s="40" t="n">
        <f aca="false">IF(ISNUMBER($K238),$K238*Parâmetros!$C$8,"")</f>
        <v>8.28125</v>
      </c>
      <c r="O238" s="40" t="n">
        <f aca="false">IF(ISNUMBER($K238),IF(ISNUMBER(Parâmetros!$E$8),Parâmetros!$E$8,0),"")</f>
        <v>0</v>
      </c>
      <c r="P238" s="41" t="n">
        <f aca="false">IF(ISNUMBER($K238),$K238-$D238-IF(ISNUMBER($E238),$E238,0)-$L238-$M238-$N238-$O238,"")</f>
        <v>55.2083333333333</v>
      </c>
      <c r="Q238" s="42" t="n">
        <f aca="false">IF(AND(ISNUMBER($K238),$K238&gt;0),$P238/$K238,"")</f>
        <v>0.2</v>
      </c>
      <c r="R238" s="43"/>
      <c r="S238" s="44" t="str">
        <f aca="false">IF(OR(NOT(ISNUMBER($R238)),$R238=0,NOT(ISNUMBER($K238))),"",$K238*(1-$R238))</f>
        <v/>
      </c>
      <c r="T238" s="45" t="str">
        <f aca="false">IF(ISNUMBER($S238),$S238*$H238,"")</f>
        <v/>
      </c>
      <c r="U238" s="45" t="str">
        <f aca="false">IF(ISNUMBER($S238),$S238*Parâmetros!$B$8,"")</f>
        <v/>
      </c>
      <c r="V238" s="45" t="str">
        <f aca="false">IF(ISNUMBER($S238),$S238*Parâmetros!$C$8,"")</f>
        <v/>
      </c>
      <c r="W238" s="44" t="str">
        <f aca="false">IF(ISNUMBER($S238),$S238-$D238-IF(ISNUMBER($E238),$E238,0)-$O238-$T238-$U238-$V238,"")</f>
        <v/>
      </c>
      <c r="X238" s="46" t="str">
        <f aca="false">IF(AND(ISNUMBER($S238),$S238&gt;0),$W238/$S238,"")</f>
        <v/>
      </c>
      <c r="Y238" s="47"/>
      <c r="Z238" s="19"/>
    </row>
    <row r="239" customFormat="false" ht="15.75" hidden="false" customHeight="true" outlineLevel="0" collapsed="false">
      <c r="A239" s="48" t="str">
        <f aca="false">IF(Produtos!$A239="","",Produtos!$A239)</f>
        <v>PXP</v>
      </c>
      <c r="B239" s="48" t="str">
        <f aca="false">IF(Produtos!$A239="","",Produtos!$B239)</f>
        <v>Porta Extintor 160x310</v>
      </c>
      <c r="C239" s="48" t="str">
        <f aca="false">IF(Produtos!$A239="","",Produtos!$C239)</f>
        <v>Porta-extintores</v>
      </c>
      <c r="D239" s="33" t="n">
        <f aca="false">IF(Produtos!$A239="","",IF(Produtos!$D239="","",Produtos!$D239))</f>
        <v>84.79</v>
      </c>
      <c r="E239" s="11" t="n">
        <v>0</v>
      </c>
      <c r="F239" s="34" t="n">
        <f aca="false">IF($A239="","",IF($C239="","⚠ categoria",IFERROR(INDEX(Parâmetros!$F$13:$F$22,MATCH($C239,Parâmetros!$A$13:$A$22,0)),"⚠ categoria")))</f>
        <v>0.19</v>
      </c>
      <c r="G239" s="35"/>
      <c r="H239" s="36" t="n">
        <f aca="false">IF($A239="","",IF(ISNUMBER($G239),$G239,IF(ISNUMBER($F239),$F239,"")))</f>
        <v>0.19</v>
      </c>
      <c r="I239" s="37" t="n">
        <f aca="false">IF(OR($A239="",NOT(ISNUMBER($D239)),NOT(ISNUMBER($H239))),"",IF((1-$H239-Parâmetros!$B$8-Parâmetros!$C$8-Parâmetros!$D$8)&lt;=0,"INVALIDO",($D239+IF(ISNUMBER($E239),$E239,0)+IF(ISNUMBER(Parâmetros!$E$8),Parâmetros!$E$8,0))/(1-$H239-Parâmetros!$B$8-Parâmetros!$C$8-Parâmetros!$D$8)))</f>
        <v>176.645833333333</v>
      </c>
      <c r="J239" s="38"/>
      <c r="K239" s="39" t="n">
        <f aca="false">IF(OR($A239="",NOT(ISNUMBER($D239)),NOT(ISNUMBER($H239))),"",IF(AND(ISNUMBER($J239),$J239&gt;0),$J239,IF(ISNUMBER($I239),$I239,"")))</f>
        <v>176.645833333333</v>
      </c>
      <c r="L239" s="40" t="n">
        <f aca="false">IF(ISNUMBER($K239),$K239*$H239,"")</f>
        <v>33.5627083333333</v>
      </c>
      <c r="M239" s="40" t="n">
        <f aca="false">IF(ISNUMBER($K239),$K239*Parâmetros!$B$8,"")</f>
        <v>17.6645833333333</v>
      </c>
      <c r="N239" s="40" t="n">
        <f aca="false">IF(ISNUMBER($K239),$K239*Parâmetros!$C$8,"")</f>
        <v>5.299375</v>
      </c>
      <c r="O239" s="40" t="n">
        <f aca="false">IF(ISNUMBER($K239),IF(ISNUMBER(Parâmetros!$E$8),Parâmetros!$E$8,0),"")</f>
        <v>0</v>
      </c>
      <c r="P239" s="41" t="n">
        <f aca="false">IF(ISNUMBER($K239),$K239-$D239-IF(ISNUMBER($E239),$E239,0)-$L239-$M239-$N239-$O239,"")</f>
        <v>35.3291666666667</v>
      </c>
      <c r="Q239" s="42" t="n">
        <f aca="false">IF(AND(ISNUMBER($K239),$K239&gt;0),$P239/$K239,"")</f>
        <v>0.2</v>
      </c>
      <c r="R239" s="43"/>
      <c r="S239" s="44" t="str">
        <f aca="false">IF(OR(NOT(ISNUMBER($R239)),$R239=0,NOT(ISNUMBER($K239))),"",$K239*(1-$R239))</f>
        <v/>
      </c>
      <c r="T239" s="45" t="str">
        <f aca="false">IF(ISNUMBER($S239),$S239*$H239,"")</f>
        <v/>
      </c>
      <c r="U239" s="45" t="str">
        <f aca="false">IF(ISNUMBER($S239),$S239*Parâmetros!$B$8,"")</f>
        <v/>
      </c>
      <c r="V239" s="45" t="str">
        <f aca="false">IF(ISNUMBER($S239),$S239*Parâmetros!$C$8,"")</f>
        <v/>
      </c>
      <c r="W239" s="44" t="str">
        <f aca="false">IF(ISNUMBER($S239),$S239-$D239-IF(ISNUMBER($E239),$E239,0)-$O239-$T239-$U239-$V239,"")</f>
        <v/>
      </c>
      <c r="X239" s="46" t="str">
        <f aca="false">IF(AND(ISNUMBER($S239),$S239&gt;0),$W239/$S239,"")</f>
        <v/>
      </c>
      <c r="Y239" s="49"/>
      <c r="Z239" s="21"/>
    </row>
    <row r="240" customFormat="false" ht="15.75" hidden="false" customHeight="true" outlineLevel="0" collapsed="false">
      <c r="A240" s="32" t="str">
        <f aca="false">IF(Produtos!$A240="","",Produtos!$A240)</f>
        <v>PXM</v>
      </c>
      <c r="B240" s="32" t="str">
        <f aca="false">IF(Produtos!$A240="","",Produtos!$B240)</f>
        <v>Porta Extintor 200x495</v>
      </c>
      <c r="C240" s="32" t="str">
        <f aca="false">IF(Produtos!$A240="","",Produtos!$C240)</f>
        <v>Porta-extintores</v>
      </c>
      <c r="D240" s="33" t="n">
        <f aca="false">IF(Produtos!$A240="","",IF(Produtos!$D240="","",Produtos!$D240))</f>
        <v>102.8</v>
      </c>
      <c r="E240" s="11" t="n">
        <v>0</v>
      </c>
      <c r="F240" s="34" t="n">
        <f aca="false">IF($A240="","",IF($C240="","⚠ categoria",IFERROR(INDEX(Parâmetros!$F$13:$F$22,MATCH($C240,Parâmetros!$A$13:$A$22,0)),"⚠ categoria")))</f>
        <v>0.19</v>
      </c>
      <c r="G240" s="35"/>
      <c r="H240" s="36" t="n">
        <f aca="false">IF($A240="","",IF(ISNUMBER($G240),$G240,IF(ISNUMBER($F240),$F240,"")))</f>
        <v>0.19</v>
      </c>
      <c r="I240" s="37" t="n">
        <f aca="false">IF(OR($A240="",NOT(ISNUMBER($D240)),NOT(ISNUMBER($H240))),"",IF((1-$H240-Parâmetros!$B$8-Parâmetros!$C$8-Parâmetros!$D$8)&lt;=0,"INVALIDO",($D240+IF(ISNUMBER($E240),$E240,0)+IF(ISNUMBER(Parâmetros!$E$8),Parâmetros!$E$8,0))/(1-$H240-Parâmetros!$B$8-Parâmetros!$C$8-Parâmetros!$D$8)))</f>
        <v>214.166666666667</v>
      </c>
      <c r="J240" s="38"/>
      <c r="K240" s="39" t="n">
        <f aca="false">IF(OR($A240="",NOT(ISNUMBER($D240)),NOT(ISNUMBER($H240))),"",IF(AND(ISNUMBER($J240),$J240&gt;0),$J240,IF(ISNUMBER($I240),$I240,"")))</f>
        <v>214.166666666667</v>
      </c>
      <c r="L240" s="40" t="n">
        <f aca="false">IF(ISNUMBER($K240),$K240*$H240,"")</f>
        <v>40.6916666666667</v>
      </c>
      <c r="M240" s="40" t="n">
        <f aca="false">IF(ISNUMBER($K240),$K240*Parâmetros!$B$8,"")</f>
        <v>21.4166666666667</v>
      </c>
      <c r="N240" s="40" t="n">
        <f aca="false">IF(ISNUMBER($K240),$K240*Parâmetros!$C$8,"")</f>
        <v>6.425</v>
      </c>
      <c r="O240" s="40" t="n">
        <f aca="false">IF(ISNUMBER($K240),IF(ISNUMBER(Parâmetros!$E$8),Parâmetros!$E$8,0),"")</f>
        <v>0</v>
      </c>
      <c r="P240" s="41" t="n">
        <f aca="false">IF(ISNUMBER($K240),$K240-$D240-IF(ISNUMBER($E240),$E240,0)-$L240-$M240-$N240-$O240,"")</f>
        <v>42.8333333333333</v>
      </c>
      <c r="Q240" s="42" t="n">
        <f aca="false">IF(AND(ISNUMBER($K240),$K240&gt;0),$P240/$K240,"")</f>
        <v>0.2</v>
      </c>
      <c r="R240" s="43"/>
      <c r="S240" s="44" t="str">
        <f aca="false">IF(OR(NOT(ISNUMBER($R240)),$R240=0,NOT(ISNUMBER($K240))),"",$K240*(1-$R240))</f>
        <v/>
      </c>
      <c r="T240" s="45" t="str">
        <f aca="false">IF(ISNUMBER($S240),$S240*$H240,"")</f>
        <v/>
      </c>
      <c r="U240" s="45" t="str">
        <f aca="false">IF(ISNUMBER($S240),$S240*Parâmetros!$B$8,"")</f>
        <v/>
      </c>
      <c r="V240" s="45" t="str">
        <f aca="false">IF(ISNUMBER($S240),$S240*Parâmetros!$C$8,"")</f>
        <v/>
      </c>
      <c r="W240" s="44" t="str">
        <f aca="false">IF(ISNUMBER($S240),$S240-$D240-IF(ISNUMBER($E240),$E240,0)-$O240-$T240-$U240-$V240,"")</f>
        <v/>
      </c>
      <c r="X240" s="46" t="str">
        <f aca="false">IF(AND(ISNUMBER($S240),$S240&gt;0),$W240/$S240,"")</f>
        <v/>
      </c>
      <c r="Y240" s="47"/>
      <c r="Z240" s="19"/>
    </row>
    <row r="241" customFormat="false" ht="15.75" hidden="false" customHeight="true" outlineLevel="0" collapsed="false">
      <c r="A241" s="48" t="str">
        <f aca="false">IF(Produtos!$A241="","",Produtos!$A241)</f>
        <v>PL-SD</v>
      </c>
      <c r="B241" s="48" t="str">
        <f aca="false">IF(Produtos!$A241="","",Produtos!$B241)</f>
        <v>Placa Sinalizadora Piso Molhado Aço Inox 430</v>
      </c>
      <c r="C241" s="48" t="str">
        <f aca="false">IF(Produtos!$A241="","",Produtos!$C241)</f>
        <v>Placas de piso molhado</v>
      </c>
      <c r="D241" s="33" t="n">
        <f aca="false">IF(Produtos!$A241="","",IF(Produtos!$D241="","",Produtos!$D241))</f>
        <v>242.68</v>
      </c>
      <c r="E241" s="11" t="n">
        <v>0</v>
      </c>
      <c r="F241" s="34" t="n">
        <f aca="false">IF($A241="","",IF($C241="","⚠ categoria",IFERROR(INDEX(Parâmetros!$F$13:$F$22,MATCH($C241,Parâmetros!$A$13:$A$22,0)),"⚠ categoria")))</f>
        <v>0.19</v>
      </c>
      <c r="G241" s="35"/>
      <c r="H241" s="36" t="n">
        <f aca="false">IF($A241="","",IF(ISNUMBER($G241),$G241,IF(ISNUMBER($F241),$F241,"")))</f>
        <v>0.19</v>
      </c>
      <c r="I241" s="37" t="n">
        <f aca="false">IF(OR($A241="",NOT(ISNUMBER($D241)),NOT(ISNUMBER($H241))),"",IF((1-$H241-Parâmetros!$B$8-Parâmetros!$C$8-Parâmetros!$D$8)&lt;=0,"INVALIDO",($D241+IF(ISNUMBER($E241),$E241,0)+IF(ISNUMBER(Parâmetros!$E$8),Parâmetros!$E$8,0))/(1-$H241-Parâmetros!$B$8-Parâmetros!$C$8-Parâmetros!$D$8)))</f>
        <v>505.583333333333</v>
      </c>
      <c r="J241" s="38"/>
      <c r="K241" s="39" t="n">
        <f aca="false">IF(OR($A241="",NOT(ISNUMBER($D241)),NOT(ISNUMBER($H241))),"",IF(AND(ISNUMBER($J241),$J241&gt;0),$J241,IF(ISNUMBER($I241),$I241,"")))</f>
        <v>505.583333333333</v>
      </c>
      <c r="L241" s="40" t="n">
        <f aca="false">IF(ISNUMBER($K241),$K241*$H241,"")</f>
        <v>96.0608333333333</v>
      </c>
      <c r="M241" s="40" t="n">
        <f aca="false">IF(ISNUMBER($K241),$K241*Parâmetros!$B$8,"")</f>
        <v>50.5583333333333</v>
      </c>
      <c r="N241" s="40" t="n">
        <f aca="false">IF(ISNUMBER($K241),$K241*Parâmetros!$C$8,"")</f>
        <v>15.1675</v>
      </c>
      <c r="O241" s="40" t="n">
        <f aca="false">IF(ISNUMBER($K241),IF(ISNUMBER(Parâmetros!$E$8),Parâmetros!$E$8,0),"")</f>
        <v>0</v>
      </c>
      <c r="P241" s="41" t="n">
        <f aca="false">IF(ISNUMBER($K241),$K241-$D241-IF(ISNUMBER($E241),$E241,0)-$L241-$M241-$N241-$O241,"")</f>
        <v>101.116666666667</v>
      </c>
      <c r="Q241" s="42" t="n">
        <f aca="false">IF(AND(ISNUMBER($K241),$K241&gt;0),$P241/$K241,"")</f>
        <v>0.2</v>
      </c>
      <c r="R241" s="43"/>
      <c r="S241" s="44" t="str">
        <f aca="false">IF(OR(NOT(ISNUMBER($R241)),$R241=0,NOT(ISNUMBER($K241))),"",$K241*(1-$R241))</f>
        <v/>
      </c>
      <c r="T241" s="45" t="str">
        <f aca="false">IF(ISNUMBER($S241),$S241*$H241,"")</f>
        <v/>
      </c>
      <c r="U241" s="45" t="str">
        <f aca="false">IF(ISNUMBER($S241),$S241*Parâmetros!$B$8,"")</f>
        <v/>
      </c>
      <c r="V241" s="45" t="str">
        <f aca="false">IF(ISNUMBER($S241),$S241*Parâmetros!$C$8,"")</f>
        <v/>
      </c>
      <c r="W241" s="44" t="str">
        <f aca="false">IF(ISNUMBER($S241),$S241-$D241-IF(ISNUMBER($E241),$E241,0)-$O241-$T241-$U241-$V241,"")</f>
        <v/>
      </c>
      <c r="X241" s="46" t="str">
        <f aca="false">IF(AND(ISNUMBER($S241),$S241&gt;0),$W241/$S241,"")</f>
        <v/>
      </c>
      <c r="Y241" s="49"/>
      <c r="Z241" s="21"/>
    </row>
    <row r="242" customFormat="false" ht="15.75" hidden="false" customHeight="true" outlineLevel="0" collapsed="false">
      <c r="A242" s="32" t="str">
        <f aca="false">IF(Produtos!$A242="","",Produtos!$A242)</f>
        <v>SP-01</v>
      </c>
      <c r="B242" s="32" t="str">
        <f aca="false">IF(Produtos!$A242="","",Produtos!$B242)</f>
        <v>Coletor Cigarros SPACE 27x92 Aço Inox</v>
      </c>
      <c r="C242" s="32" t="str">
        <f aca="false">IF(Produtos!$A242="","",Produtos!$C242)</f>
        <v>Bituqueiras e cinzeiros</v>
      </c>
      <c r="D242" s="33" t="n">
        <f aca="false">IF(Produtos!$A242="","",IF(Produtos!$D242="","",Produtos!$D242))</f>
        <v>247.86</v>
      </c>
      <c r="E242" s="11" t="n">
        <v>0</v>
      </c>
      <c r="F242" s="34" t="n">
        <f aca="false">IF($A242="","",IF($C242="","⚠ categoria",IFERROR(INDEX(Parâmetros!$F$13:$F$22,MATCH($C242,Parâmetros!$A$13:$A$22,0)),"⚠ categoria")))</f>
        <v>0.19</v>
      </c>
      <c r="G242" s="35"/>
      <c r="H242" s="36" t="n">
        <f aca="false">IF($A242="","",IF(ISNUMBER($G242),$G242,IF(ISNUMBER($F242),$F242,"")))</f>
        <v>0.19</v>
      </c>
      <c r="I242" s="37" t="n">
        <f aca="false">IF(OR($A242="",NOT(ISNUMBER($D242)),NOT(ISNUMBER($H242))),"",IF((1-$H242-Parâmetros!$B$8-Parâmetros!$C$8-Parâmetros!$D$8)&lt;=0,"INVALIDO",($D242+IF(ISNUMBER($E242),$E242,0)+IF(ISNUMBER(Parâmetros!$E$8),Parâmetros!$E$8,0))/(1-$H242-Parâmetros!$B$8-Parâmetros!$C$8-Parâmetros!$D$8)))</f>
        <v>516.375</v>
      </c>
      <c r="J242" s="38"/>
      <c r="K242" s="39" t="n">
        <f aca="false">IF(OR($A242="",NOT(ISNUMBER($D242)),NOT(ISNUMBER($H242))),"",IF(AND(ISNUMBER($J242),$J242&gt;0),$J242,IF(ISNUMBER($I242),$I242,"")))</f>
        <v>516.375</v>
      </c>
      <c r="L242" s="40" t="n">
        <f aca="false">IF(ISNUMBER($K242),$K242*$H242,"")</f>
        <v>98.11125</v>
      </c>
      <c r="M242" s="40" t="n">
        <f aca="false">IF(ISNUMBER($K242),$K242*Parâmetros!$B$8,"")</f>
        <v>51.6375</v>
      </c>
      <c r="N242" s="40" t="n">
        <f aca="false">IF(ISNUMBER($K242),$K242*Parâmetros!$C$8,"")</f>
        <v>15.49125</v>
      </c>
      <c r="O242" s="40" t="n">
        <f aca="false">IF(ISNUMBER($K242),IF(ISNUMBER(Parâmetros!$E$8),Parâmetros!$E$8,0),"")</f>
        <v>0</v>
      </c>
      <c r="P242" s="41" t="n">
        <f aca="false">IF(ISNUMBER($K242),$K242-$D242-IF(ISNUMBER($E242),$E242,0)-$L242-$M242-$N242-$O242,"")</f>
        <v>103.275</v>
      </c>
      <c r="Q242" s="42" t="n">
        <f aca="false">IF(AND(ISNUMBER($K242),$K242&gt;0),$P242/$K242,"")</f>
        <v>0.2</v>
      </c>
      <c r="R242" s="43"/>
      <c r="S242" s="44" t="str">
        <f aca="false">IF(OR(NOT(ISNUMBER($R242)),$R242=0,NOT(ISNUMBER($K242))),"",$K242*(1-$R242))</f>
        <v/>
      </c>
      <c r="T242" s="45" t="str">
        <f aca="false">IF(ISNUMBER($S242),$S242*$H242,"")</f>
        <v/>
      </c>
      <c r="U242" s="45" t="str">
        <f aca="false">IF(ISNUMBER($S242),$S242*Parâmetros!$B$8,"")</f>
        <v/>
      </c>
      <c r="V242" s="45" t="str">
        <f aca="false">IF(ISNUMBER($S242),$S242*Parâmetros!$C$8,"")</f>
        <v/>
      </c>
      <c r="W242" s="44" t="str">
        <f aca="false">IF(ISNUMBER($S242),$S242-$D242-IF(ISNUMBER($E242),$E242,0)-$O242-$T242-$U242-$V242,"")</f>
        <v/>
      </c>
      <c r="X242" s="46" t="str">
        <f aca="false">IF(AND(ISNUMBER($S242),$S242&gt;0),$W242/$S242,"")</f>
        <v/>
      </c>
      <c r="Y242" s="47"/>
      <c r="Z242" s="19"/>
    </row>
    <row r="243" customFormat="false" ht="15.75" hidden="false" customHeight="true" outlineLevel="0" collapsed="false">
      <c r="A243" s="48" t="str">
        <f aca="false">IF(Produtos!$A243="","",Produtos!$A243)</f>
        <v>SP-F</v>
      </c>
      <c r="B243" s="48" t="str">
        <f aca="false">IF(Produtos!$A243="","",Produtos!$B243)</f>
        <v>Coletor Cigarros SPACE FIXO 21x92 Aço Inox</v>
      </c>
      <c r="C243" s="48" t="str">
        <f aca="false">IF(Produtos!$A243="","",Produtos!$C243)</f>
        <v>Bituqueiras e cinzeiros</v>
      </c>
      <c r="D243" s="33" t="n">
        <f aca="false">IF(Produtos!$A243="","",IF(Produtos!$D243="","",Produtos!$D243))</f>
        <v>236.22</v>
      </c>
      <c r="E243" s="11" t="n">
        <v>0</v>
      </c>
      <c r="F243" s="34" t="n">
        <f aca="false">IF($A243="","",IF($C243="","⚠ categoria",IFERROR(INDEX(Parâmetros!$F$13:$F$22,MATCH($C243,Parâmetros!$A$13:$A$22,0)),"⚠ categoria")))</f>
        <v>0.19</v>
      </c>
      <c r="G243" s="35"/>
      <c r="H243" s="36" t="n">
        <f aca="false">IF($A243="","",IF(ISNUMBER($G243),$G243,IF(ISNUMBER($F243),$F243,"")))</f>
        <v>0.19</v>
      </c>
      <c r="I243" s="37" t="n">
        <f aca="false">IF(OR($A243="",NOT(ISNUMBER($D243)),NOT(ISNUMBER($H243))),"",IF((1-$H243-Parâmetros!$B$8-Parâmetros!$C$8-Parâmetros!$D$8)&lt;=0,"INVALIDO",($D243+IF(ISNUMBER($E243),$E243,0)+IF(ISNUMBER(Parâmetros!$E$8),Parâmetros!$E$8,0))/(1-$H243-Parâmetros!$B$8-Parâmetros!$C$8-Parâmetros!$D$8)))</f>
        <v>492.125</v>
      </c>
      <c r="J243" s="38"/>
      <c r="K243" s="39" t="n">
        <f aca="false">IF(OR($A243="",NOT(ISNUMBER($D243)),NOT(ISNUMBER($H243))),"",IF(AND(ISNUMBER($J243),$J243&gt;0),$J243,IF(ISNUMBER($I243),$I243,"")))</f>
        <v>492.125</v>
      </c>
      <c r="L243" s="40" t="n">
        <f aca="false">IF(ISNUMBER($K243),$K243*$H243,"")</f>
        <v>93.50375</v>
      </c>
      <c r="M243" s="40" t="n">
        <f aca="false">IF(ISNUMBER($K243),$K243*Parâmetros!$B$8,"")</f>
        <v>49.2125</v>
      </c>
      <c r="N243" s="40" t="n">
        <f aca="false">IF(ISNUMBER($K243),$K243*Parâmetros!$C$8,"")</f>
        <v>14.76375</v>
      </c>
      <c r="O243" s="40" t="n">
        <f aca="false">IF(ISNUMBER($K243),IF(ISNUMBER(Parâmetros!$E$8),Parâmetros!$E$8,0),"")</f>
        <v>0</v>
      </c>
      <c r="P243" s="41" t="n">
        <f aca="false">IF(ISNUMBER($K243),$K243-$D243-IF(ISNUMBER($E243),$E243,0)-$L243-$M243-$N243-$O243,"")</f>
        <v>98.4249999999999</v>
      </c>
      <c r="Q243" s="42" t="n">
        <f aca="false">IF(AND(ISNUMBER($K243),$K243&gt;0),$P243/$K243,"")</f>
        <v>0.2</v>
      </c>
      <c r="R243" s="43"/>
      <c r="S243" s="44" t="str">
        <f aca="false">IF(OR(NOT(ISNUMBER($R243)),$R243=0,NOT(ISNUMBER($K243))),"",$K243*(1-$R243))</f>
        <v/>
      </c>
      <c r="T243" s="45" t="str">
        <f aca="false">IF(ISNUMBER($S243),$S243*$H243,"")</f>
        <v/>
      </c>
      <c r="U243" s="45" t="str">
        <f aca="false">IF(ISNUMBER($S243),$S243*Parâmetros!$B$8,"")</f>
        <v/>
      </c>
      <c r="V243" s="45" t="str">
        <f aca="false">IF(ISNUMBER($S243),$S243*Parâmetros!$C$8,"")</f>
        <v/>
      </c>
      <c r="W243" s="44" t="str">
        <f aca="false">IF(ISNUMBER($S243),$S243-$D243-IF(ISNUMBER($E243),$E243,0)-$O243-$T243-$U243-$V243,"")</f>
        <v/>
      </c>
      <c r="X243" s="46" t="str">
        <f aca="false">IF(AND(ISNUMBER($S243),$S243&gt;0),$W243/$S243,"")</f>
        <v/>
      </c>
      <c r="Y243" s="49"/>
      <c r="Z243" s="21"/>
    </row>
    <row r="244" customFormat="false" ht="15.75" hidden="false" customHeight="true" outlineLevel="0" collapsed="false">
      <c r="A244" s="32" t="str">
        <f aca="false">IF(Produtos!$A244="","",Produtos!$A244)</f>
        <v>SP-T</v>
      </c>
      <c r="B244" s="32" t="str">
        <f aca="false">IF(Produtos!$A244="","",Produtos!$B244)</f>
        <v>Coletor Cigarros SPACE TORRE 28x92 Aço Inox</v>
      </c>
      <c r="C244" s="32" t="str">
        <f aca="false">IF(Produtos!$A244="","",Produtos!$C244)</f>
        <v>Bituqueiras e cinzeiros</v>
      </c>
      <c r="D244" s="33" t="n">
        <f aca="false">IF(Produtos!$A244="","",IF(Produtos!$D244="","",Produtos!$D244))</f>
        <v>238.66</v>
      </c>
      <c r="E244" s="11" t="n">
        <v>0</v>
      </c>
      <c r="F244" s="34" t="n">
        <f aca="false">IF($A244="","",IF($C244="","⚠ categoria",IFERROR(INDEX(Parâmetros!$F$13:$F$22,MATCH($C244,Parâmetros!$A$13:$A$22,0)),"⚠ categoria")))</f>
        <v>0.19</v>
      </c>
      <c r="G244" s="35"/>
      <c r="H244" s="36" t="n">
        <f aca="false">IF($A244="","",IF(ISNUMBER($G244),$G244,IF(ISNUMBER($F244),$F244,"")))</f>
        <v>0.19</v>
      </c>
      <c r="I244" s="37" t="n">
        <f aca="false">IF(OR($A244="",NOT(ISNUMBER($D244)),NOT(ISNUMBER($H244))),"",IF((1-$H244-Parâmetros!$B$8-Parâmetros!$C$8-Parâmetros!$D$8)&lt;=0,"INVALIDO",($D244+IF(ISNUMBER($E244),$E244,0)+IF(ISNUMBER(Parâmetros!$E$8),Parâmetros!$E$8,0))/(1-$H244-Parâmetros!$B$8-Parâmetros!$C$8-Parâmetros!$D$8)))</f>
        <v>497.208333333333</v>
      </c>
      <c r="J244" s="38"/>
      <c r="K244" s="39" t="n">
        <f aca="false">IF(OR($A244="",NOT(ISNUMBER($D244)),NOT(ISNUMBER($H244))),"",IF(AND(ISNUMBER($J244),$J244&gt;0),$J244,IF(ISNUMBER($I244),$I244,"")))</f>
        <v>497.208333333333</v>
      </c>
      <c r="L244" s="40" t="n">
        <f aca="false">IF(ISNUMBER($K244),$K244*$H244,"")</f>
        <v>94.4695833333333</v>
      </c>
      <c r="M244" s="40" t="n">
        <f aca="false">IF(ISNUMBER($K244),$K244*Parâmetros!$B$8,"")</f>
        <v>49.7208333333333</v>
      </c>
      <c r="N244" s="40" t="n">
        <f aca="false">IF(ISNUMBER($K244),$K244*Parâmetros!$C$8,"")</f>
        <v>14.91625</v>
      </c>
      <c r="O244" s="40" t="n">
        <f aca="false">IF(ISNUMBER($K244),IF(ISNUMBER(Parâmetros!$E$8),Parâmetros!$E$8,0),"")</f>
        <v>0</v>
      </c>
      <c r="P244" s="41" t="n">
        <f aca="false">IF(ISNUMBER($K244),$K244-$D244-IF(ISNUMBER($E244),$E244,0)-$L244-$M244-$N244-$O244,"")</f>
        <v>99.4416666666666</v>
      </c>
      <c r="Q244" s="42" t="n">
        <f aca="false">IF(AND(ISNUMBER($K244),$K244&gt;0),$P244/$K244,"")</f>
        <v>0.2</v>
      </c>
      <c r="R244" s="43"/>
      <c r="S244" s="44" t="str">
        <f aca="false">IF(OR(NOT(ISNUMBER($R244)),$R244=0,NOT(ISNUMBER($K244))),"",$K244*(1-$R244))</f>
        <v/>
      </c>
      <c r="T244" s="45" t="str">
        <f aca="false">IF(ISNUMBER($S244),$S244*$H244,"")</f>
        <v/>
      </c>
      <c r="U244" s="45" t="str">
        <f aca="false">IF(ISNUMBER($S244),$S244*Parâmetros!$B$8,"")</f>
        <v/>
      </c>
      <c r="V244" s="45" t="str">
        <f aca="false">IF(ISNUMBER($S244),$S244*Parâmetros!$C$8,"")</f>
        <v/>
      </c>
      <c r="W244" s="44" t="str">
        <f aca="false">IF(ISNUMBER($S244),$S244-$D244-IF(ISNUMBER($E244),$E244,0)-$O244-$T244-$U244-$V244,"")</f>
        <v/>
      </c>
      <c r="X244" s="46" t="str">
        <f aca="false">IF(AND(ISNUMBER($S244),$S244&gt;0),$W244/$S244,"")</f>
        <v/>
      </c>
      <c r="Y244" s="47"/>
      <c r="Z244" s="19"/>
    </row>
    <row r="245" customFormat="false" ht="15.75" hidden="false" customHeight="true" outlineLevel="0" collapsed="false">
      <c r="A245" s="48" t="str">
        <f aca="false">IF(Produtos!$A245="","",Produtos!$A245)</f>
        <v>SP-P</v>
      </c>
      <c r="B245" s="48" t="str">
        <f aca="false">IF(Produtos!$A245="","",Produtos!$B245)</f>
        <v>Coletor Cigarros SPACE PAREDE ø0,76x50 Aço Inox</v>
      </c>
      <c r="C245" s="48" t="str">
        <f aca="false">IF(Produtos!$A245="","",Produtos!$C245)</f>
        <v>Bituqueiras e cinzeiros</v>
      </c>
      <c r="D245" s="33" t="n">
        <f aca="false">IF(Produtos!$A245="","",IF(Produtos!$D245="","",Produtos!$D245))</f>
        <v>139.81</v>
      </c>
      <c r="E245" s="11" t="n">
        <v>0</v>
      </c>
      <c r="F245" s="34" t="n">
        <f aca="false">IF($A245="","",IF($C245="","⚠ categoria",IFERROR(INDEX(Parâmetros!$F$13:$F$22,MATCH($C245,Parâmetros!$A$13:$A$22,0)),"⚠ categoria")))</f>
        <v>0.19</v>
      </c>
      <c r="G245" s="35"/>
      <c r="H245" s="36" t="n">
        <f aca="false">IF($A245="","",IF(ISNUMBER($G245),$G245,IF(ISNUMBER($F245),$F245,"")))</f>
        <v>0.19</v>
      </c>
      <c r="I245" s="37" t="n">
        <f aca="false">IF(OR($A245="",NOT(ISNUMBER($D245)),NOT(ISNUMBER($H245))),"",IF((1-$H245-Parâmetros!$B$8-Parâmetros!$C$8-Parâmetros!$D$8)&lt;=0,"INVALIDO",($D245+IF(ISNUMBER($E245),$E245,0)+IF(ISNUMBER(Parâmetros!$E$8),Parâmetros!$E$8,0))/(1-$H245-Parâmetros!$B$8-Parâmetros!$C$8-Parâmetros!$D$8)))</f>
        <v>291.270833333333</v>
      </c>
      <c r="J245" s="38"/>
      <c r="K245" s="39" t="n">
        <f aca="false">IF(OR($A245="",NOT(ISNUMBER($D245)),NOT(ISNUMBER($H245))),"",IF(AND(ISNUMBER($J245),$J245&gt;0),$J245,IF(ISNUMBER($I245),$I245,"")))</f>
        <v>291.270833333333</v>
      </c>
      <c r="L245" s="40" t="n">
        <f aca="false">IF(ISNUMBER($K245),$K245*$H245,"")</f>
        <v>55.3414583333333</v>
      </c>
      <c r="M245" s="40" t="n">
        <f aca="false">IF(ISNUMBER($K245),$K245*Parâmetros!$B$8,"")</f>
        <v>29.1270833333333</v>
      </c>
      <c r="N245" s="40" t="n">
        <f aca="false">IF(ISNUMBER($K245),$K245*Parâmetros!$C$8,"")</f>
        <v>8.738125</v>
      </c>
      <c r="O245" s="40" t="n">
        <f aca="false">IF(ISNUMBER($K245),IF(ISNUMBER(Parâmetros!$E$8),Parâmetros!$E$8,0),"")</f>
        <v>0</v>
      </c>
      <c r="P245" s="41" t="n">
        <f aca="false">IF(ISNUMBER($K245),$K245-$D245-IF(ISNUMBER($E245),$E245,0)-$L245-$M245-$N245-$O245,"")</f>
        <v>58.2541666666667</v>
      </c>
      <c r="Q245" s="42" t="n">
        <f aca="false">IF(AND(ISNUMBER($K245),$K245&gt;0),$P245/$K245,"")</f>
        <v>0.2</v>
      </c>
      <c r="R245" s="43"/>
      <c r="S245" s="44" t="str">
        <f aca="false">IF(OR(NOT(ISNUMBER($R245)),$R245=0,NOT(ISNUMBER($K245))),"",$K245*(1-$R245))</f>
        <v/>
      </c>
      <c r="T245" s="45" t="str">
        <f aca="false">IF(ISNUMBER($S245),$S245*$H245,"")</f>
        <v/>
      </c>
      <c r="U245" s="45" t="str">
        <f aca="false">IF(ISNUMBER($S245),$S245*Parâmetros!$B$8,"")</f>
        <v/>
      </c>
      <c r="V245" s="45" t="str">
        <f aca="false">IF(ISNUMBER($S245),$S245*Parâmetros!$C$8,"")</f>
        <v/>
      </c>
      <c r="W245" s="44" t="str">
        <f aca="false">IF(ISNUMBER($S245),$S245-$D245-IF(ISNUMBER($E245),$E245,0)-$O245-$T245-$U245-$V245,"")</f>
        <v/>
      </c>
      <c r="X245" s="46" t="str">
        <f aca="false">IF(AND(ISNUMBER($S245),$S245&gt;0),$W245/$S245,"")</f>
        <v/>
      </c>
      <c r="Y245" s="49"/>
      <c r="Z245" s="21"/>
    </row>
    <row r="246" customFormat="false" ht="15.75" hidden="false" customHeight="true" outlineLevel="0" collapsed="false">
      <c r="A246" s="32" t="str">
        <f aca="false">IF(Produtos!$A246="","",Produtos!$A246)</f>
        <v>SP-FT</v>
      </c>
      <c r="B246" s="32" t="str">
        <f aca="false">IF(Produtos!$A246="","",Produtos!$B246)</f>
        <v>Tampa Space Fixa</v>
      </c>
      <c r="C246" s="32" t="str">
        <f aca="false">IF(Produtos!$A246="","",Produtos!$C246)</f>
        <v>Bituqueiras e cinzeiros</v>
      </c>
      <c r="D246" s="33" t="n">
        <f aca="false">IF(Produtos!$A246="","",IF(Produtos!$D246="","",Produtos!$D246))</f>
        <v>75</v>
      </c>
      <c r="E246" s="11" t="n">
        <v>0</v>
      </c>
      <c r="F246" s="34" t="n">
        <f aca="false">IF($A246="","",IF($C246="","⚠ categoria",IFERROR(INDEX(Parâmetros!$F$13:$F$22,MATCH($C246,Parâmetros!$A$13:$A$22,0)),"⚠ categoria")))</f>
        <v>0.19</v>
      </c>
      <c r="G246" s="35"/>
      <c r="H246" s="36" t="n">
        <f aca="false">IF($A246="","",IF(ISNUMBER($G246),$G246,IF(ISNUMBER($F246),$F246,"")))</f>
        <v>0.19</v>
      </c>
      <c r="I246" s="37" t="n">
        <f aca="false">IF(OR($A246="",NOT(ISNUMBER($D246)),NOT(ISNUMBER($H246))),"",IF((1-$H246-Parâmetros!$B$8-Parâmetros!$C$8-Parâmetros!$D$8)&lt;=0,"INVALIDO",($D246+IF(ISNUMBER($E246),$E246,0)+IF(ISNUMBER(Parâmetros!$E$8),Parâmetros!$E$8,0))/(1-$H246-Parâmetros!$B$8-Parâmetros!$C$8-Parâmetros!$D$8)))</f>
        <v>156.25</v>
      </c>
      <c r="J246" s="38"/>
      <c r="K246" s="39" t="n">
        <f aca="false">IF(OR($A246="",NOT(ISNUMBER($D246)),NOT(ISNUMBER($H246))),"",IF(AND(ISNUMBER($J246),$J246&gt;0),$J246,IF(ISNUMBER($I246),$I246,"")))</f>
        <v>156.25</v>
      </c>
      <c r="L246" s="40" t="n">
        <f aca="false">IF(ISNUMBER($K246),$K246*$H246,"")</f>
        <v>29.6875</v>
      </c>
      <c r="M246" s="40" t="n">
        <f aca="false">IF(ISNUMBER($K246),$K246*Parâmetros!$B$8,"")</f>
        <v>15.625</v>
      </c>
      <c r="N246" s="40" t="n">
        <f aca="false">IF(ISNUMBER($K246),$K246*Parâmetros!$C$8,"")</f>
        <v>4.6875</v>
      </c>
      <c r="O246" s="40" t="n">
        <f aca="false">IF(ISNUMBER($K246),IF(ISNUMBER(Parâmetros!$E$8),Parâmetros!$E$8,0),"")</f>
        <v>0</v>
      </c>
      <c r="P246" s="41" t="n">
        <f aca="false">IF(ISNUMBER($K246),$K246-$D246-IF(ISNUMBER($E246),$E246,0)-$L246-$M246-$N246-$O246,"")</f>
        <v>31.25</v>
      </c>
      <c r="Q246" s="42" t="n">
        <f aca="false">IF(AND(ISNUMBER($K246),$K246&gt;0),$P246/$K246,"")</f>
        <v>0.2</v>
      </c>
      <c r="R246" s="43"/>
      <c r="S246" s="44" t="str">
        <f aca="false">IF(OR(NOT(ISNUMBER($R246)),$R246=0,NOT(ISNUMBER($K246))),"",$K246*(1-$R246))</f>
        <v/>
      </c>
      <c r="T246" s="45" t="str">
        <f aca="false">IF(ISNUMBER($S246),$S246*$H246,"")</f>
        <v/>
      </c>
      <c r="U246" s="45" t="str">
        <f aca="false">IF(ISNUMBER($S246),$S246*Parâmetros!$B$8,"")</f>
        <v/>
      </c>
      <c r="V246" s="45" t="str">
        <f aca="false">IF(ISNUMBER($S246),$S246*Parâmetros!$C$8,"")</f>
        <v/>
      </c>
      <c r="W246" s="44" t="str">
        <f aca="false">IF(ISNUMBER($S246),$S246-$D246-IF(ISNUMBER($E246),$E246,0)-$O246-$T246-$U246-$V246,"")</f>
        <v/>
      </c>
      <c r="X246" s="46" t="str">
        <f aca="false">IF(AND(ISNUMBER($S246),$S246&gt;0),$W246/$S246,"")</f>
        <v/>
      </c>
      <c r="Y246" s="47"/>
      <c r="Z246" s="19"/>
    </row>
    <row r="247" customFormat="false" ht="15.75" hidden="false" customHeight="true" outlineLevel="0" collapsed="false">
      <c r="A247" s="48" t="str">
        <f aca="false">IF(Produtos!$A247="","",Produtos!$A247)</f>
        <v>L2450-CZ</v>
      </c>
      <c r="B247" s="48" t="str">
        <f aca="false">IF(Produtos!$A247="","",Produtos!$B247)</f>
        <v>Lixeira Cinzeiro Aço Inox 24x50 25L</v>
      </c>
      <c r="C247" s="48" t="str">
        <f aca="false">IF(Produtos!$A247="","",Produtos!$C247)</f>
        <v>Bituqueiras e cinzeiros</v>
      </c>
      <c r="D247" s="33" t="n">
        <f aca="false">IF(Produtos!$A247="","",IF(Produtos!$D247="","",Produtos!$D247))</f>
        <v>156</v>
      </c>
      <c r="E247" s="11" t="n">
        <v>0</v>
      </c>
      <c r="F247" s="34" t="n">
        <f aca="false">IF($A247="","",IF($C247="","⚠ categoria",IFERROR(INDEX(Parâmetros!$F$13:$F$22,MATCH($C247,Parâmetros!$A$13:$A$22,0)),"⚠ categoria")))</f>
        <v>0.19</v>
      </c>
      <c r="G247" s="35"/>
      <c r="H247" s="36" t="n">
        <f aca="false">IF($A247="","",IF(ISNUMBER($G247),$G247,IF(ISNUMBER($F247),$F247,"")))</f>
        <v>0.19</v>
      </c>
      <c r="I247" s="37" t="n">
        <f aca="false">IF(OR($A247="",NOT(ISNUMBER($D247)),NOT(ISNUMBER($H247))),"",IF((1-$H247-Parâmetros!$B$8-Parâmetros!$C$8-Parâmetros!$D$8)&lt;=0,"INVALIDO",($D247+IF(ISNUMBER($E247),$E247,0)+IF(ISNUMBER(Parâmetros!$E$8),Parâmetros!$E$8,0))/(1-$H247-Parâmetros!$B$8-Parâmetros!$C$8-Parâmetros!$D$8)))</f>
        <v>325</v>
      </c>
      <c r="J247" s="38"/>
      <c r="K247" s="39" t="n">
        <f aca="false">IF(OR($A247="",NOT(ISNUMBER($D247)),NOT(ISNUMBER($H247))),"",IF(AND(ISNUMBER($J247),$J247&gt;0),$J247,IF(ISNUMBER($I247),$I247,"")))</f>
        <v>325</v>
      </c>
      <c r="L247" s="40" t="n">
        <f aca="false">IF(ISNUMBER($K247),$K247*$H247,"")</f>
        <v>61.75</v>
      </c>
      <c r="M247" s="40" t="n">
        <f aca="false">IF(ISNUMBER($K247),$K247*Parâmetros!$B$8,"")</f>
        <v>32.5</v>
      </c>
      <c r="N247" s="40" t="n">
        <f aca="false">IF(ISNUMBER($K247),$K247*Parâmetros!$C$8,"")</f>
        <v>9.75</v>
      </c>
      <c r="O247" s="40" t="n">
        <f aca="false">IF(ISNUMBER($K247),IF(ISNUMBER(Parâmetros!$E$8),Parâmetros!$E$8,0),"")</f>
        <v>0</v>
      </c>
      <c r="P247" s="41" t="n">
        <f aca="false">IF(ISNUMBER($K247),$K247-$D247-IF(ISNUMBER($E247),$E247,0)-$L247-$M247-$N247-$O247,"")</f>
        <v>65</v>
      </c>
      <c r="Q247" s="42" t="n">
        <f aca="false">IF(AND(ISNUMBER($K247),$K247&gt;0),$P247/$K247,"")</f>
        <v>0.2</v>
      </c>
      <c r="R247" s="43"/>
      <c r="S247" s="44" t="str">
        <f aca="false">IF(OR(NOT(ISNUMBER($R247)),$R247=0,NOT(ISNUMBER($K247))),"",$K247*(1-$R247))</f>
        <v/>
      </c>
      <c r="T247" s="45" t="str">
        <f aca="false">IF(ISNUMBER($S247),$S247*$H247,"")</f>
        <v/>
      </c>
      <c r="U247" s="45" t="str">
        <f aca="false">IF(ISNUMBER($S247),$S247*Parâmetros!$B$8,"")</f>
        <v/>
      </c>
      <c r="V247" s="45" t="str">
        <f aca="false">IF(ISNUMBER($S247),$S247*Parâmetros!$C$8,"")</f>
        <v/>
      </c>
      <c r="W247" s="44" t="str">
        <f aca="false">IF(ISNUMBER($S247),$S247-$D247-IF(ISNUMBER($E247),$E247,0)-$O247-$T247-$U247-$V247,"")</f>
        <v/>
      </c>
      <c r="X247" s="46" t="str">
        <f aca="false">IF(AND(ISNUMBER($S247),$S247&gt;0),$W247/$S247,"")</f>
        <v/>
      </c>
      <c r="Y247" s="49"/>
      <c r="Z247" s="21"/>
    </row>
    <row r="248" customFormat="false" ht="15.75" hidden="false" customHeight="true" outlineLevel="0" collapsed="false">
      <c r="A248" s="32" t="str">
        <f aca="false">IF(Produtos!$A248="","",Produtos!$A248)</f>
        <v>L2460-CZ</v>
      </c>
      <c r="B248" s="32" t="str">
        <f aca="false">IF(Produtos!$A248="","",Produtos!$B248)</f>
        <v>Lixeira Cinzeiro Aço Inox 24x60 27L</v>
      </c>
      <c r="C248" s="32" t="str">
        <f aca="false">IF(Produtos!$A248="","",Produtos!$C248)</f>
        <v>Bituqueiras e cinzeiros</v>
      </c>
      <c r="D248" s="33" t="n">
        <f aca="false">IF(Produtos!$A248="","",IF(Produtos!$D248="","",Produtos!$D248))</f>
        <v>159</v>
      </c>
      <c r="E248" s="11" t="n">
        <v>0</v>
      </c>
      <c r="F248" s="34" t="n">
        <f aca="false">IF($A248="","",IF($C248="","⚠ categoria",IFERROR(INDEX(Parâmetros!$F$13:$F$22,MATCH($C248,Parâmetros!$A$13:$A$22,0)),"⚠ categoria")))</f>
        <v>0.19</v>
      </c>
      <c r="G248" s="35"/>
      <c r="H248" s="36" t="n">
        <f aca="false">IF($A248="","",IF(ISNUMBER($G248),$G248,IF(ISNUMBER($F248),$F248,"")))</f>
        <v>0.19</v>
      </c>
      <c r="I248" s="37" t="n">
        <f aca="false">IF(OR($A248="",NOT(ISNUMBER($D248)),NOT(ISNUMBER($H248))),"",IF((1-$H248-Parâmetros!$B$8-Parâmetros!$C$8-Parâmetros!$D$8)&lt;=0,"INVALIDO",($D248+IF(ISNUMBER($E248),$E248,0)+IF(ISNUMBER(Parâmetros!$E$8),Parâmetros!$E$8,0))/(1-$H248-Parâmetros!$B$8-Parâmetros!$C$8-Parâmetros!$D$8)))</f>
        <v>331.25</v>
      </c>
      <c r="J248" s="38"/>
      <c r="K248" s="39" t="n">
        <f aca="false">IF(OR($A248="",NOT(ISNUMBER($D248)),NOT(ISNUMBER($H248))),"",IF(AND(ISNUMBER($J248),$J248&gt;0),$J248,IF(ISNUMBER($I248),$I248,"")))</f>
        <v>331.25</v>
      </c>
      <c r="L248" s="40" t="n">
        <f aca="false">IF(ISNUMBER($K248),$K248*$H248,"")</f>
        <v>62.9375</v>
      </c>
      <c r="M248" s="40" t="n">
        <f aca="false">IF(ISNUMBER($K248),$K248*Parâmetros!$B$8,"")</f>
        <v>33.125</v>
      </c>
      <c r="N248" s="40" t="n">
        <f aca="false">IF(ISNUMBER($K248),$K248*Parâmetros!$C$8,"")</f>
        <v>9.9375</v>
      </c>
      <c r="O248" s="40" t="n">
        <f aca="false">IF(ISNUMBER($K248),IF(ISNUMBER(Parâmetros!$E$8),Parâmetros!$E$8,0),"")</f>
        <v>0</v>
      </c>
      <c r="P248" s="41" t="n">
        <f aca="false">IF(ISNUMBER($K248),$K248-$D248-IF(ISNUMBER($E248),$E248,0)-$L248-$M248-$N248-$O248,"")</f>
        <v>66.25</v>
      </c>
      <c r="Q248" s="42" t="n">
        <f aca="false">IF(AND(ISNUMBER($K248),$K248&gt;0),$P248/$K248,"")</f>
        <v>0.2</v>
      </c>
      <c r="R248" s="43"/>
      <c r="S248" s="44" t="str">
        <f aca="false">IF(OR(NOT(ISNUMBER($R248)),$R248=0,NOT(ISNUMBER($K248))),"",$K248*(1-$R248))</f>
        <v/>
      </c>
      <c r="T248" s="45" t="str">
        <f aca="false">IF(ISNUMBER($S248),$S248*$H248,"")</f>
        <v/>
      </c>
      <c r="U248" s="45" t="str">
        <f aca="false">IF(ISNUMBER($S248),$S248*Parâmetros!$B$8,"")</f>
        <v/>
      </c>
      <c r="V248" s="45" t="str">
        <f aca="false">IF(ISNUMBER($S248),$S248*Parâmetros!$C$8,"")</f>
        <v/>
      </c>
      <c r="W248" s="44" t="str">
        <f aca="false">IF(ISNUMBER($S248),$S248-$D248-IF(ISNUMBER($E248),$E248,0)-$O248-$T248-$U248-$V248,"")</f>
        <v/>
      </c>
      <c r="X248" s="46" t="str">
        <f aca="false">IF(AND(ISNUMBER($S248),$S248&gt;0),$W248/$S248,"")</f>
        <v/>
      </c>
      <c r="Y248" s="47"/>
      <c r="Z248" s="19"/>
    </row>
    <row r="249" customFormat="false" ht="15.75" hidden="false" customHeight="true" outlineLevel="0" collapsed="false">
      <c r="A249" s="48" t="str">
        <f aca="false">IF(Produtos!$A249="","",Produtos!$A249)</f>
        <v>L2470-CZ</v>
      </c>
      <c r="B249" s="48" t="str">
        <f aca="false">IF(Produtos!$A249="","",Produtos!$B249)</f>
        <v>Lixeira Cinzeiro Aço Inox 24x70 30L</v>
      </c>
      <c r="C249" s="48" t="str">
        <f aca="false">IF(Produtos!$A249="","",Produtos!$C249)</f>
        <v>Bituqueiras e cinzeiros</v>
      </c>
      <c r="D249" s="33" t="n">
        <f aca="false">IF(Produtos!$A249="","",IF(Produtos!$D249="","",Produtos!$D249))</f>
        <v>164.3</v>
      </c>
      <c r="E249" s="11" t="n">
        <v>0</v>
      </c>
      <c r="F249" s="34" t="n">
        <f aca="false">IF($A249="","",IF($C249="","⚠ categoria",IFERROR(INDEX(Parâmetros!$F$13:$F$22,MATCH($C249,Parâmetros!$A$13:$A$22,0)),"⚠ categoria")))</f>
        <v>0.19</v>
      </c>
      <c r="G249" s="35"/>
      <c r="H249" s="36" t="n">
        <f aca="false">IF($A249="","",IF(ISNUMBER($G249),$G249,IF(ISNUMBER($F249),$F249,"")))</f>
        <v>0.19</v>
      </c>
      <c r="I249" s="37" t="n">
        <f aca="false">IF(OR($A249="",NOT(ISNUMBER($D249)),NOT(ISNUMBER($H249))),"",IF((1-$H249-Parâmetros!$B$8-Parâmetros!$C$8-Parâmetros!$D$8)&lt;=0,"INVALIDO",($D249+IF(ISNUMBER($E249),$E249,0)+IF(ISNUMBER(Parâmetros!$E$8),Parâmetros!$E$8,0))/(1-$H249-Parâmetros!$B$8-Parâmetros!$C$8-Parâmetros!$D$8)))</f>
        <v>342.291666666667</v>
      </c>
      <c r="J249" s="38"/>
      <c r="K249" s="39" t="n">
        <f aca="false">IF(OR($A249="",NOT(ISNUMBER($D249)),NOT(ISNUMBER($H249))),"",IF(AND(ISNUMBER($J249),$J249&gt;0),$J249,IF(ISNUMBER($I249),$I249,"")))</f>
        <v>342.291666666667</v>
      </c>
      <c r="L249" s="40" t="n">
        <f aca="false">IF(ISNUMBER($K249),$K249*$H249,"")</f>
        <v>65.0354166666667</v>
      </c>
      <c r="M249" s="40" t="n">
        <f aca="false">IF(ISNUMBER($K249),$K249*Parâmetros!$B$8,"")</f>
        <v>34.2291666666667</v>
      </c>
      <c r="N249" s="40" t="n">
        <f aca="false">IF(ISNUMBER($K249),$K249*Parâmetros!$C$8,"")</f>
        <v>10.26875</v>
      </c>
      <c r="O249" s="40" t="n">
        <f aca="false">IF(ISNUMBER($K249),IF(ISNUMBER(Parâmetros!$E$8),Parâmetros!$E$8,0),"")</f>
        <v>0</v>
      </c>
      <c r="P249" s="41" t="n">
        <f aca="false">IF(ISNUMBER($K249),$K249-$D249-IF(ISNUMBER($E249),$E249,0)-$L249-$M249-$N249-$O249,"")</f>
        <v>68.4583333333333</v>
      </c>
      <c r="Q249" s="42" t="n">
        <f aca="false">IF(AND(ISNUMBER($K249),$K249&gt;0),$P249/$K249,"")</f>
        <v>0.2</v>
      </c>
      <c r="R249" s="43"/>
      <c r="S249" s="44" t="str">
        <f aca="false">IF(OR(NOT(ISNUMBER($R249)),$R249=0,NOT(ISNUMBER($K249))),"",$K249*(1-$R249))</f>
        <v/>
      </c>
      <c r="T249" s="45" t="str">
        <f aca="false">IF(ISNUMBER($S249),$S249*$H249,"")</f>
        <v/>
      </c>
      <c r="U249" s="45" t="str">
        <f aca="false">IF(ISNUMBER($S249),$S249*Parâmetros!$B$8,"")</f>
        <v/>
      </c>
      <c r="V249" s="45" t="str">
        <f aca="false">IF(ISNUMBER($S249),$S249*Parâmetros!$C$8,"")</f>
        <v/>
      </c>
      <c r="W249" s="44" t="str">
        <f aca="false">IF(ISNUMBER($S249),$S249-$D249-IF(ISNUMBER($E249),$E249,0)-$O249-$T249-$U249-$V249,"")</f>
        <v/>
      </c>
      <c r="X249" s="46" t="str">
        <f aca="false">IF(AND(ISNUMBER($S249),$S249&gt;0),$W249/$S249,"")</f>
        <v/>
      </c>
      <c r="Y249" s="49"/>
      <c r="Z249" s="21"/>
    </row>
    <row r="250" customFormat="false" ht="15.75" hidden="false" customHeight="true" outlineLevel="0" collapsed="false">
      <c r="A250" s="32" t="str">
        <f aca="false">IF(Produtos!$A250="","",Produtos!$A250)</f>
        <v>L4045-P</v>
      </c>
      <c r="B250" s="32" t="str">
        <f aca="false">IF(Produtos!$A250="","",Produtos!$B250)</f>
        <v>Lixeira de Parede c/Aro 40x19x45 20L</v>
      </c>
      <c r="C250" s="32" t="str">
        <f aca="false">IF(Produtos!$A250="","",Produtos!$C250)</f>
        <v>Lixeiras em inox</v>
      </c>
      <c r="D250" s="33" t="n">
        <f aca="false">IF(Produtos!$A250="","",IF(Produtos!$D250="","",Produtos!$D250))</f>
        <v>277.43</v>
      </c>
      <c r="E250" s="11" t="n">
        <v>0</v>
      </c>
      <c r="F250" s="34" t="n">
        <f aca="false">IF($A250="","",IF($C250="","⚠ categoria",IFERROR(INDEX(Parâmetros!$F$13:$F$22,MATCH($C250,Parâmetros!$A$13:$A$22,0)),"⚠ categoria")))</f>
        <v>0.19</v>
      </c>
      <c r="G250" s="35"/>
      <c r="H250" s="36" t="n">
        <f aca="false">IF($A250="","",IF(ISNUMBER($G250),$G250,IF(ISNUMBER($F250),$F250,"")))</f>
        <v>0.19</v>
      </c>
      <c r="I250" s="37" t="n">
        <f aca="false">IF(OR($A250="",NOT(ISNUMBER($D250)),NOT(ISNUMBER($H250))),"",IF((1-$H250-Parâmetros!$B$8-Parâmetros!$C$8-Parâmetros!$D$8)&lt;=0,"INVALIDO",($D250+IF(ISNUMBER($E250),$E250,0)+IF(ISNUMBER(Parâmetros!$E$8),Parâmetros!$E$8,0))/(1-$H250-Parâmetros!$B$8-Parâmetros!$C$8-Parâmetros!$D$8)))</f>
        <v>577.979166666667</v>
      </c>
      <c r="J250" s="38"/>
      <c r="K250" s="39" t="n">
        <f aca="false">IF(OR($A250="",NOT(ISNUMBER($D250)),NOT(ISNUMBER($H250))),"",IF(AND(ISNUMBER($J250),$J250&gt;0),$J250,IF(ISNUMBER($I250),$I250,"")))</f>
        <v>577.979166666667</v>
      </c>
      <c r="L250" s="40" t="n">
        <f aca="false">IF(ISNUMBER($K250),$K250*$H250,"")</f>
        <v>109.816041666667</v>
      </c>
      <c r="M250" s="40" t="n">
        <f aca="false">IF(ISNUMBER($K250),$K250*Parâmetros!$B$8,"")</f>
        <v>57.7979166666667</v>
      </c>
      <c r="N250" s="40" t="n">
        <f aca="false">IF(ISNUMBER($K250),$K250*Parâmetros!$C$8,"")</f>
        <v>17.339375</v>
      </c>
      <c r="O250" s="40" t="n">
        <f aca="false">IF(ISNUMBER($K250),IF(ISNUMBER(Parâmetros!$E$8),Parâmetros!$E$8,0),"")</f>
        <v>0</v>
      </c>
      <c r="P250" s="41" t="n">
        <f aca="false">IF(ISNUMBER($K250),$K250-$D250-IF(ISNUMBER($E250),$E250,0)-$L250-$M250-$N250-$O250,"")</f>
        <v>115.595833333333</v>
      </c>
      <c r="Q250" s="42" t="n">
        <f aca="false">IF(AND(ISNUMBER($K250),$K250&gt;0),$P250/$K250,"")</f>
        <v>0.2</v>
      </c>
      <c r="R250" s="43"/>
      <c r="S250" s="44" t="str">
        <f aca="false">IF(OR(NOT(ISNUMBER($R250)),$R250=0,NOT(ISNUMBER($K250))),"",$K250*(1-$R250))</f>
        <v/>
      </c>
      <c r="T250" s="45" t="str">
        <f aca="false">IF(ISNUMBER($S250),$S250*$H250,"")</f>
        <v/>
      </c>
      <c r="U250" s="45" t="str">
        <f aca="false">IF(ISNUMBER($S250),$S250*Parâmetros!$B$8,"")</f>
        <v/>
      </c>
      <c r="V250" s="45" t="str">
        <f aca="false">IF(ISNUMBER($S250),$S250*Parâmetros!$C$8,"")</f>
        <v/>
      </c>
      <c r="W250" s="44" t="str">
        <f aca="false">IF(ISNUMBER($S250),$S250-$D250-IF(ISNUMBER($E250),$E250,0)-$O250-$T250-$U250-$V250,"")</f>
        <v/>
      </c>
      <c r="X250" s="46" t="str">
        <f aca="false">IF(AND(ISNUMBER($S250),$S250&gt;0),$W250/$S250,"")</f>
        <v/>
      </c>
      <c r="Y250" s="47"/>
      <c r="Z250" s="19"/>
    </row>
    <row r="251" customFormat="false" ht="15.75" hidden="false" customHeight="true" outlineLevel="0" collapsed="false">
      <c r="A251" s="48" t="str">
        <f aca="false">IF(Produtos!$A251="","",Produtos!$A251)</f>
        <v>L4055-P</v>
      </c>
      <c r="B251" s="48" t="str">
        <f aca="false">IF(Produtos!$A251="","",Produtos!$B251)</f>
        <v>Lixeira de Parede c/Aro 40x19x55 25L</v>
      </c>
      <c r="C251" s="48" t="str">
        <f aca="false">IF(Produtos!$A251="","",Produtos!$C251)</f>
        <v>Lixeiras em inox</v>
      </c>
      <c r="D251" s="33" t="n">
        <f aca="false">IF(Produtos!$A251="","",IF(Produtos!$D251="","",Produtos!$D251))</f>
        <v>288.65</v>
      </c>
      <c r="E251" s="11" t="n">
        <v>0</v>
      </c>
      <c r="F251" s="34" t="n">
        <f aca="false">IF($A251="","",IF($C251="","⚠ categoria",IFERROR(INDEX(Parâmetros!$F$13:$F$22,MATCH($C251,Parâmetros!$A$13:$A$22,0)),"⚠ categoria")))</f>
        <v>0.19</v>
      </c>
      <c r="G251" s="35"/>
      <c r="H251" s="36" t="n">
        <f aca="false">IF($A251="","",IF(ISNUMBER($G251),$G251,IF(ISNUMBER($F251),$F251,"")))</f>
        <v>0.19</v>
      </c>
      <c r="I251" s="37" t="n">
        <f aca="false">IF(OR($A251="",NOT(ISNUMBER($D251)),NOT(ISNUMBER($H251))),"",IF((1-$H251-Parâmetros!$B$8-Parâmetros!$C$8-Parâmetros!$D$8)&lt;=0,"INVALIDO",($D251+IF(ISNUMBER($E251),$E251,0)+IF(ISNUMBER(Parâmetros!$E$8),Parâmetros!$E$8,0))/(1-$H251-Parâmetros!$B$8-Parâmetros!$C$8-Parâmetros!$D$8)))</f>
        <v>601.354166666667</v>
      </c>
      <c r="J251" s="38"/>
      <c r="K251" s="39" t="n">
        <f aca="false">IF(OR($A251="",NOT(ISNUMBER($D251)),NOT(ISNUMBER($H251))),"",IF(AND(ISNUMBER($J251),$J251&gt;0),$J251,IF(ISNUMBER($I251),$I251,"")))</f>
        <v>601.354166666667</v>
      </c>
      <c r="L251" s="40" t="n">
        <f aca="false">IF(ISNUMBER($K251),$K251*$H251,"")</f>
        <v>114.257291666667</v>
      </c>
      <c r="M251" s="40" t="n">
        <f aca="false">IF(ISNUMBER($K251),$K251*Parâmetros!$B$8,"")</f>
        <v>60.1354166666667</v>
      </c>
      <c r="N251" s="40" t="n">
        <f aca="false">IF(ISNUMBER($K251),$K251*Parâmetros!$C$8,"")</f>
        <v>18.040625</v>
      </c>
      <c r="O251" s="40" t="n">
        <f aca="false">IF(ISNUMBER($K251),IF(ISNUMBER(Parâmetros!$E$8),Parâmetros!$E$8,0),"")</f>
        <v>0</v>
      </c>
      <c r="P251" s="41" t="n">
        <f aca="false">IF(ISNUMBER($K251),$K251-$D251-IF(ISNUMBER($E251),$E251,0)-$L251-$M251-$N251-$O251,"")</f>
        <v>120.270833333333</v>
      </c>
      <c r="Q251" s="42" t="n">
        <f aca="false">IF(AND(ISNUMBER($K251),$K251&gt;0),$P251/$K251,"")</f>
        <v>0.2</v>
      </c>
      <c r="R251" s="43"/>
      <c r="S251" s="44" t="str">
        <f aca="false">IF(OR(NOT(ISNUMBER($R251)),$R251=0,NOT(ISNUMBER($K251))),"",$K251*(1-$R251))</f>
        <v/>
      </c>
      <c r="T251" s="45" t="str">
        <f aca="false">IF(ISNUMBER($S251),$S251*$H251,"")</f>
        <v/>
      </c>
      <c r="U251" s="45" t="str">
        <f aca="false">IF(ISNUMBER($S251),$S251*Parâmetros!$B$8,"")</f>
        <v/>
      </c>
      <c r="V251" s="45" t="str">
        <f aca="false">IF(ISNUMBER($S251),$S251*Parâmetros!$C$8,"")</f>
        <v/>
      </c>
      <c r="W251" s="44" t="str">
        <f aca="false">IF(ISNUMBER($S251),$S251-$D251-IF(ISNUMBER($E251),$E251,0)-$O251-$T251-$U251-$V251,"")</f>
        <v/>
      </c>
      <c r="X251" s="46" t="str">
        <f aca="false">IF(AND(ISNUMBER($S251),$S251&gt;0),$W251/$S251,"")</f>
        <v/>
      </c>
      <c r="Y251" s="49"/>
      <c r="Z251" s="21"/>
    </row>
    <row r="252" customFormat="false" ht="15.75" hidden="false" customHeight="true" outlineLevel="0" collapsed="false">
      <c r="A252" s="32" t="str">
        <f aca="false">IF(Produtos!$A252="","",Produtos!$A252)</f>
        <v>L4060-P</v>
      </c>
      <c r="B252" s="32" t="str">
        <f aca="false">IF(Produtos!$A252="","",Produtos!$B252)</f>
        <v>Lixeira de Parede c/Aro 40x19x60 30L</v>
      </c>
      <c r="C252" s="32" t="str">
        <f aca="false">IF(Produtos!$A252="","",Produtos!$C252)</f>
        <v>Lixeiras em inox</v>
      </c>
      <c r="D252" s="33" t="n">
        <f aca="false">IF(Produtos!$A252="","",IF(Produtos!$D252="","",Produtos!$D252))</f>
        <v>297.96</v>
      </c>
      <c r="E252" s="11" t="n">
        <v>0</v>
      </c>
      <c r="F252" s="34" t="n">
        <f aca="false">IF($A252="","",IF($C252="","⚠ categoria",IFERROR(INDEX(Parâmetros!$F$13:$F$22,MATCH($C252,Parâmetros!$A$13:$A$22,0)),"⚠ categoria")))</f>
        <v>0.19</v>
      </c>
      <c r="G252" s="35"/>
      <c r="H252" s="36" t="n">
        <f aca="false">IF($A252="","",IF(ISNUMBER($G252),$G252,IF(ISNUMBER($F252),$F252,"")))</f>
        <v>0.19</v>
      </c>
      <c r="I252" s="37" t="n">
        <f aca="false">IF(OR($A252="",NOT(ISNUMBER($D252)),NOT(ISNUMBER($H252))),"",IF((1-$H252-Parâmetros!$B$8-Parâmetros!$C$8-Parâmetros!$D$8)&lt;=0,"INVALIDO",($D252+IF(ISNUMBER($E252),$E252,0)+IF(ISNUMBER(Parâmetros!$E$8),Parâmetros!$E$8,0))/(1-$H252-Parâmetros!$B$8-Parâmetros!$C$8-Parâmetros!$D$8)))</f>
        <v>620.75</v>
      </c>
      <c r="J252" s="38"/>
      <c r="K252" s="39" t="n">
        <f aca="false">IF(OR($A252="",NOT(ISNUMBER($D252)),NOT(ISNUMBER($H252))),"",IF(AND(ISNUMBER($J252),$J252&gt;0),$J252,IF(ISNUMBER($I252),$I252,"")))</f>
        <v>620.75</v>
      </c>
      <c r="L252" s="40" t="n">
        <f aca="false">IF(ISNUMBER($K252),$K252*$H252,"")</f>
        <v>117.9425</v>
      </c>
      <c r="M252" s="40" t="n">
        <f aca="false">IF(ISNUMBER($K252),$K252*Parâmetros!$B$8,"")</f>
        <v>62.075</v>
      </c>
      <c r="N252" s="40" t="n">
        <f aca="false">IF(ISNUMBER($K252),$K252*Parâmetros!$C$8,"")</f>
        <v>18.6225</v>
      </c>
      <c r="O252" s="40" t="n">
        <f aca="false">IF(ISNUMBER($K252),IF(ISNUMBER(Parâmetros!$E$8),Parâmetros!$E$8,0),"")</f>
        <v>0</v>
      </c>
      <c r="P252" s="41" t="n">
        <f aca="false">IF(ISNUMBER($K252),$K252-$D252-IF(ISNUMBER($E252),$E252,0)-$L252-$M252-$N252-$O252,"")</f>
        <v>124.15</v>
      </c>
      <c r="Q252" s="42" t="n">
        <f aca="false">IF(AND(ISNUMBER($K252),$K252&gt;0),$P252/$K252,"")</f>
        <v>0.2</v>
      </c>
      <c r="R252" s="43"/>
      <c r="S252" s="44" t="str">
        <f aca="false">IF(OR(NOT(ISNUMBER($R252)),$R252=0,NOT(ISNUMBER($K252))),"",$K252*(1-$R252))</f>
        <v/>
      </c>
      <c r="T252" s="45" t="str">
        <f aca="false">IF(ISNUMBER($S252),$S252*$H252,"")</f>
        <v/>
      </c>
      <c r="U252" s="45" t="str">
        <f aca="false">IF(ISNUMBER($S252),$S252*Parâmetros!$B$8,"")</f>
        <v/>
      </c>
      <c r="V252" s="45" t="str">
        <f aca="false">IF(ISNUMBER($S252),$S252*Parâmetros!$C$8,"")</f>
        <v/>
      </c>
      <c r="W252" s="44" t="str">
        <f aca="false">IF(ISNUMBER($S252),$S252-$D252-IF(ISNUMBER($E252),$E252,0)-$O252-$T252-$U252-$V252,"")</f>
        <v/>
      </c>
      <c r="X252" s="46" t="str">
        <f aca="false">IF(AND(ISNUMBER($S252),$S252&gt;0),$W252/$S252,"")</f>
        <v/>
      </c>
      <c r="Y252" s="47"/>
      <c r="Z252" s="19"/>
    </row>
    <row r="253" customFormat="false" ht="15.75" hidden="false" customHeight="true" outlineLevel="0" collapsed="false">
      <c r="A253" s="48" t="str">
        <f aca="false">IF(Produtos!$A253="","",Produtos!$A253)</f>
        <v>L4065-P</v>
      </c>
      <c r="B253" s="48" t="str">
        <f aca="false">IF(Produtos!$A253="","",Produtos!$B253)</f>
        <v>Lixeira de Parede c/Aro 40x19x65 35L</v>
      </c>
      <c r="C253" s="48" t="str">
        <f aca="false">IF(Produtos!$A253="","",Produtos!$C253)</f>
        <v>Lixeiras em inox</v>
      </c>
      <c r="D253" s="33" t="n">
        <f aca="false">IF(Produtos!$A253="","",IF(Produtos!$D253="","",Produtos!$D253))</f>
        <v>388.44</v>
      </c>
      <c r="E253" s="11" t="n">
        <v>0</v>
      </c>
      <c r="F253" s="34" t="n">
        <f aca="false">IF($A253="","",IF($C253="","⚠ categoria",IFERROR(INDEX(Parâmetros!$F$13:$F$22,MATCH($C253,Parâmetros!$A$13:$A$22,0)),"⚠ categoria")))</f>
        <v>0.19</v>
      </c>
      <c r="G253" s="35"/>
      <c r="H253" s="36" t="n">
        <f aca="false">IF($A253="","",IF(ISNUMBER($G253),$G253,IF(ISNUMBER($F253),$F253,"")))</f>
        <v>0.19</v>
      </c>
      <c r="I253" s="37" t="n">
        <f aca="false">IF(OR($A253="",NOT(ISNUMBER($D253)),NOT(ISNUMBER($H253))),"",IF((1-$H253-Parâmetros!$B$8-Parâmetros!$C$8-Parâmetros!$D$8)&lt;=0,"INVALIDO",($D253+IF(ISNUMBER($E253),$E253,0)+IF(ISNUMBER(Parâmetros!$E$8),Parâmetros!$E$8,0))/(1-$H253-Parâmetros!$B$8-Parâmetros!$C$8-Parâmetros!$D$8)))</f>
        <v>809.25</v>
      </c>
      <c r="J253" s="38"/>
      <c r="K253" s="39" t="n">
        <f aca="false">IF(OR($A253="",NOT(ISNUMBER($D253)),NOT(ISNUMBER($H253))),"",IF(AND(ISNUMBER($J253),$J253&gt;0),$J253,IF(ISNUMBER($I253),$I253,"")))</f>
        <v>809.25</v>
      </c>
      <c r="L253" s="40" t="n">
        <f aca="false">IF(ISNUMBER($K253),$K253*$H253,"")</f>
        <v>153.7575</v>
      </c>
      <c r="M253" s="40" t="n">
        <f aca="false">IF(ISNUMBER($K253),$K253*Parâmetros!$B$8,"")</f>
        <v>80.925</v>
      </c>
      <c r="N253" s="40" t="n">
        <f aca="false">IF(ISNUMBER($K253),$K253*Parâmetros!$C$8,"")</f>
        <v>24.2775</v>
      </c>
      <c r="O253" s="40" t="n">
        <f aca="false">IF(ISNUMBER($K253),IF(ISNUMBER(Parâmetros!$E$8),Parâmetros!$E$8,0),"")</f>
        <v>0</v>
      </c>
      <c r="P253" s="41" t="n">
        <f aca="false">IF(ISNUMBER($K253),$K253-$D253-IF(ISNUMBER($E253),$E253,0)-$L253-$M253-$N253-$O253,"")</f>
        <v>161.85</v>
      </c>
      <c r="Q253" s="42" t="n">
        <f aca="false">IF(AND(ISNUMBER($K253),$K253&gt;0),$P253/$K253,"")</f>
        <v>0.2</v>
      </c>
      <c r="R253" s="43"/>
      <c r="S253" s="44" t="str">
        <f aca="false">IF(OR(NOT(ISNUMBER($R253)),$R253=0,NOT(ISNUMBER($K253))),"",$K253*(1-$R253))</f>
        <v/>
      </c>
      <c r="T253" s="45" t="str">
        <f aca="false">IF(ISNUMBER($S253),$S253*$H253,"")</f>
        <v/>
      </c>
      <c r="U253" s="45" t="str">
        <f aca="false">IF(ISNUMBER($S253),$S253*Parâmetros!$B$8,"")</f>
        <v/>
      </c>
      <c r="V253" s="45" t="str">
        <f aca="false">IF(ISNUMBER($S253),$S253*Parâmetros!$C$8,"")</f>
        <v/>
      </c>
      <c r="W253" s="44" t="str">
        <f aca="false">IF(ISNUMBER($S253),$S253-$D253-IF(ISNUMBER($E253),$E253,0)-$O253-$T253-$U253-$V253,"")</f>
        <v/>
      </c>
      <c r="X253" s="46" t="str">
        <f aca="false">IF(AND(ISNUMBER($S253),$S253&gt;0),$W253/$S253,"")</f>
        <v/>
      </c>
      <c r="Y253" s="49"/>
      <c r="Z253" s="21"/>
    </row>
    <row r="254" customFormat="false" ht="15.75" hidden="false" customHeight="true" outlineLevel="0" collapsed="false">
      <c r="A254" s="32" t="str">
        <f aca="false">IF(Produtos!$A254="","",Produtos!$A254)</f>
        <v>L4070-P</v>
      </c>
      <c r="B254" s="32" t="str">
        <f aca="false">IF(Produtos!$A254="","",Produtos!$B254)</f>
        <v>Lixeira de Parede c/Aro 40x19x70 40L</v>
      </c>
      <c r="C254" s="32" t="str">
        <f aca="false">IF(Produtos!$A254="","",Produtos!$C254)</f>
        <v>Lixeiras em inox</v>
      </c>
      <c r="D254" s="33" t="n">
        <f aca="false">IF(Produtos!$A254="","",IF(Produtos!$D254="","",Produtos!$D254))</f>
        <v>394.64</v>
      </c>
      <c r="E254" s="11" t="n">
        <v>0</v>
      </c>
      <c r="F254" s="34" t="n">
        <f aca="false">IF($A254="","",IF($C254="","⚠ categoria",IFERROR(INDEX(Parâmetros!$F$13:$F$22,MATCH($C254,Parâmetros!$A$13:$A$22,0)),"⚠ categoria")))</f>
        <v>0.19</v>
      </c>
      <c r="G254" s="35"/>
      <c r="H254" s="36" t="n">
        <f aca="false">IF($A254="","",IF(ISNUMBER($G254),$G254,IF(ISNUMBER($F254),$F254,"")))</f>
        <v>0.19</v>
      </c>
      <c r="I254" s="37" t="n">
        <f aca="false">IF(OR($A254="",NOT(ISNUMBER($D254)),NOT(ISNUMBER($H254))),"",IF((1-$H254-Parâmetros!$B$8-Parâmetros!$C$8-Parâmetros!$D$8)&lt;=0,"INVALIDO",($D254+IF(ISNUMBER($E254),$E254,0)+IF(ISNUMBER(Parâmetros!$E$8),Parâmetros!$E$8,0))/(1-$H254-Parâmetros!$B$8-Parâmetros!$C$8-Parâmetros!$D$8)))</f>
        <v>822.166666666667</v>
      </c>
      <c r="J254" s="38"/>
      <c r="K254" s="39" t="n">
        <f aca="false">IF(OR($A254="",NOT(ISNUMBER($D254)),NOT(ISNUMBER($H254))),"",IF(AND(ISNUMBER($J254),$J254&gt;0),$J254,IF(ISNUMBER($I254),$I254,"")))</f>
        <v>822.166666666667</v>
      </c>
      <c r="L254" s="40" t="n">
        <f aca="false">IF(ISNUMBER($K254),$K254*$H254,"")</f>
        <v>156.211666666667</v>
      </c>
      <c r="M254" s="40" t="n">
        <f aca="false">IF(ISNUMBER($K254),$K254*Parâmetros!$B$8,"")</f>
        <v>82.2166666666667</v>
      </c>
      <c r="N254" s="40" t="n">
        <f aca="false">IF(ISNUMBER($K254),$K254*Parâmetros!$C$8,"")</f>
        <v>24.665</v>
      </c>
      <c r="O254" s="40" t="n">
        <f aca="false">IF(ISNUMBER($K254),IF(ISNUMBER(Parâmetros!$E$8),Parâmetros!$E$8,0),"")</f>
        <v>0</v>
      </c>
      <c r="P254" s="41" t="n">
        <f aca="false">IF(ISNUMBER($K254),$K254-$D254-IF(ISNUMBER($E254),$E254,0)-$L254-$M254-$N254-$O254,"")</f>
        <v>164.433333333333</v>
      </c>
      <c r="Q254" s="42" t="n">
        <f aca="false">IF(AND(ISNUMBER($K254),$K254&gt;0),$P254/$K254,"")</f>
        <v>0.2</v>
      </c>
      <c r="R254" s="43"/>
      <c r="S254" s="44" t="str">
        <f aca="false">IF(OR(NOT(ISNUMBER($R254)),$R254=0,NOT(ISNUMBER($K254))),"",$K254*(1-$R254))</f>
        <v/>
      </c>
      <c r="T254" s="45" t="str">
        <f aca="false">IF(ISNUMBER($S254),$S254*$H254,"")</f>
        <v/>
      </c>
      <c r="U254" s="45" t="str">
        <f aca="false">IF(ISNUMBER($S254),$S254*Parâmetros!$B$8,"")</f>
        <v/>
      </c>
      <c r="V254" s="45" t="str">
        <f aca="false">IF(ISNUMBER($S254),$S254*Parâmetros!$C$8,"")</f>
        <v/>
      </c>
      <c r="W254" s="44" t="str">
        <f aca="false">IF(ISNUMBER($S254),$S254-$D254-IF(ISNUMBER($E254),$E254,0)-$O254-$T254-$U254-$V254,"")</f>
        <v/>
      </c>
      <c r="X254" s="46" t="str">
        <f aca="false">IF(AND(ISNUMBER($S254),$S254&gt;0),$W254/$S254,"")</f>
        <v/>
      </c>
      <c r="Y254" s="47"/>
      <c r="Z254" s="19"/>
    </row>
    <row r="255" customFormat="false" ht="15.75" hidden="false" customHeight="true" outlineLevel="0" collapsed="false">
      <c r="A255" s="48" t="str">
        <f aca="false">IF(Produtos!$A255="","",Produtos!$A255)</f>
        <v>L4080-P</v>
      </c>
      <c r="B255" s="48" t="str">
        <f aca="false">IF(Produtos!$A255="","",Produtos!$B255)</f>
        <v>Lixeira de Parede c/Aro 40x19x80 50L</v>
      </c>
      <c r="C255" s="48" t="str">
        <f aca="false">IF(Produtos!$A255="","",Produtos!$C255)</f>
        <v>Lixeiras em inox</v>
      </c>
      <c r="D255" s="33" t="n">
        <f aca="false">IF(Produtos!$A255="","",IF(Produtos!$D255="","",Produtos!$D255))</f>
        <v>401</v>
      </c>
      <c r="E255" s="11" t="n">
        <v>0</v>
      </c>
      <c r="F255" s="34" t="n">
        <f aca="false">IF($A255="","",IF($C255="","⚠ categoria",IFERROR(INDEX(Parâmetros!$F$13:$F$22,MATCH($C255,Parâmetros!$A$13:$A$22,0)),"⚠ categoria")))</f>
        <v>0.19</v>
      </c>
      <c r="G255" s="35"/>
      <c r="H255" s="36" t="n">
        <f aca="false">IF($A255="","",IF(ISNUMBER($G255),$G255,IF(ISNUMBER($F255),$F255,"")))</f>
        <v>0.19</v>
      </c>
      <c r="I255" s="37" t="n">
        <f aca="false">IF(OR($A255="",NOT(ISNUMBER($D255)),NOT(ISNUMBER($H255))),"",IF((1-$H255-Parâmetros!$B$8-Parâmetros!$C$8-Parâmetros!$D$8)&lt;=0,"INVALIDO",($D255+IF(ISNUMBER($E255),$E255,0)+IF(ISNUMBER(Parâmetros!$E$8),Parâmetros!$E$8,0))/(1-$H255-Parâmetros!$B$8-Parâmetros!$C$8-Parâmetros!$D$8)))</f>
        <v>835.416666666667</v>
      </c>
      <c r="J255" s="38"/>
      <c r="K255" s="39" t="n">
        <f aca="false">IF(OR($A255="",NOT(ISNUMBER($D255)),NOT(ISNUMBER($H255))),"",IF(AND(ISNUMBER($J255),$J255&gt;0),$J255,IF(ISNUMBER($I255),$I255,"")))</f>
        <v>835.416666666667</v>
      </c>
      <c r="L255" s="40" t="n">
        <f aca="false">IF(ISNUMBER($K255),$K255*$H255,"")</f>
        <v>158.729166666667</v>
      </c>
      <c r="M255" s="40" t="n">
        <f aca="false">IF(ISNUMBER($K255),$K255*Parâmetros!$B$8,"")</f>
        <v>83.5416666666667</v>
      </c>
      <c r="N255" s="40" t="n">
        <f aca="false">IF(ISNUMBER($K255),$K255*Parâmetros!$C$8,"")</f>
        <v>25.0625</v>
      </c>
      <c r="O255" s="40" t="n">
        <f aca="false">IF(ISNUMBER($K255),IF(ISNUMBER(Parâmetros!$E$8),Parâmetros!$E$8,0),"")</f>
        <v>0</v>
      </c>
      <c r="P255" s="41" t="n">
        <f aca="false">IF(ISNUMBER($K255),$K255-$D255-IF(ISNUMBER($E255),$E255,0)-$L255-$M255-$N255-$O255,"")</f>
        <v>167.083333333333</v>
      </c>
      <c r="Q255" s="42" t="n">
        <f aca="false">IF(AND(ISNUMBER($K255),$K255&gt;0),$P255/$K255,"")</f>
        <v>0.2</v>
      </c>
      <c r="R255" s="43"/>
      <c r="S255" s="44" t="str">
        <f aca="false">IF(OR(NOT(ISNUMBER($R255)),$R255=0,NOT(ISNUMBER($K255))),"",$K255*(1-$R255))</f>
        <v/>
      </c>
      <c r="T255" s="45" t="str">
        <f aca="false">IF(ISNUMBER($S255),$S255*$H255,"")</f>
        <v/>
      </c>
      <c r="U255" s="45" t="str">
        <f aca="false">IF(ISNUMBER($S255),$S255*Parâmetros!$B$8,"")</f>
        <v/>
      </c>
      <c r="V255" s="45" t="str">
        <f aca="false">IF(ISNUMBER($S255),$S255*Parâmetros!$C$8,"")</f>
        <v/>
      </c>
      <c r="W255" s="44" t="str">
        <f aca="false">IF(ISNUMBER($S255),$S255-$D255-IF(ISNUMBER($E255),$E255,0)-$O255-$T255-$U255-$V255,"")</f>
        <v/>
      </c>
      <c r="X255" s="46" t="str">
        <f aca="false">IF(AND(ISNUMBER($S255),$S255&gt;0),$W255/$S255,"")</f>
        <v/>
      </c>
      <c r="Y255" s="49"/>
      <c r="Z255" s="21"/>
    </row>
    <row r="256" customFormat="false" ht="15.75" hidden="false" customHeight="true" outlineLevel="0" collapsed="false">
      <c r="A256" s="32" t="str">
        <f aca="false">IF(Produtos!$A256="","",Produtos!$A256)</f>
        <v>L4045-PC</v>
      </c>
      <c r="B256" s="32" t="str">
        <f aca="false">IF(Produtos!$A256="","",Produtos!$B256)</f>
        <v>Lixeira de Parede c/Aro Colorido 40x19x45 20L</v>
      </c>
      <c r="C256" s="32" t="str">
        <f aca="false">IF(Produtos!$A256="","",Produtos!$C256)</f>
        <v>Lixeiras em inox</v>
      </c>
      <c r="D256" s="33" t="n">
        <f aca="false">IF(Produtos!$A256="","",IF(Produtos!$D256="","",Produtos!$D256))</f>
        <v>291.85</v>
      </c>
      <c r="E256" s="11" t="n">
        <v>0</v>
      </c>
      <c r="F256" s="34" t="n">
        <f aca="false">IF($A256="","",IF($C256="","⚠ categoria",IFERROR(INDEX(Parâmetros!$F$13:$F$22,MATCH($C256,Parâmetros!$A$13:$A$22,0)),"⚠ categoria")))</f>
        <v>0.19</v>
      </c>
      <c r="G256" s="35"/>
      <c r="H256" s="36" t="n">
        <f aca="false">IF($A256="","",IF(ISNUMBER($G256),$G256,IF(ISNUMBER($F256),$F256,"")))</f>
        <v>0.19</v>
      </c>
      <c r="I256" s="37" t="n">
        <f aca="false">IF(OR($A256="",NOT(ISNUMBER($D256)),NOT(ISNUMBER($H256))),"",IF((1-$H256-Parâmetros!$B$8-Parâmetros!$C$8-Parâmetros!$D$8)&lt;=0,"INVALIDO",($D256+IF(ISNUMBER($E256),$E256,0)+IF(ISNUMBER(Parâmetros!$E$8),Parâmetros!$E$8,0))/(1-$H256-Parâmetros!$B$8-Parâmetros!$C$8-Parâmetros!$D$8)))</f>
        <v>608.020833333333</v>
      </c>
      <c r="J256" s="38"/>
      <c r="K256" s="39" t="n">
        <f aca="false">IF(OR($A256="",NOT(ISNUMBER($D256)),NOT(ISNUMBER($H256))),"",IF(AND(ISNUMBER($J256),$J256&gt;0),$J256,IF(ISNUMBER($I256),$I256,"")))</f>
        <v>608.020833333333</v>
      </c>
      <c r="L256" s="40" t="n">
        <f aca="false">IF(ISNUMBER($K256),$K256*$H256,"")</f>
        <v>115.523958333333</v>
      </c>
      <c r="M256" s="40" t="n">
        <f aca="false">IF(ISNUMBER($K256),$K256*Parâmetros!$B$8,"")</f>
        <v>60.8020833333333</v>
      </c>
      <c r="N256" s="40" t="n">
        <f aca="false">IF(ISNUMBER($K256),$K256*Parâmetros!$C$8,"")</f>
        <v>18.240625</v>
      </c>
      <c r="O256" s="40" t="n">
        <f aca="false">IF(ISNUMBER($K256),IF(ISNUMBER(Parâmetros!$E$8),Parâmetros!$E$8,0),"")</f>
        <v>0</v>
      </c>
      <c r="P256" s="41" t="n">
        <f aca="false">IF(ISNUMBER($K256),$K256-$D256-IF(ISNUMBER($E256),$E256,0)-$L256-$M256-$N256-$O256,"")</f>
        <v>121.604166666667</v>
      </c>
      <c r="Q256" s="42" t="n">
        <f aca="false">IF(AND(ISNUMBER($K256),$K256&gt;0),$P256/$K256,"")</f>
        <v>0.2</v>
      </c>
      <c r="R256" s="43"/>
      <c r="S256" s="44" t="str">
        <f aca="false">IF(OR(NOT(ISNUMBER($R256)),$R256=0,NOT(ISNUMBER($K256))),"",$K256*(1-$R256))</f>
        <v/>
      </c>
      <c r="T256" s="45" t="str">
        <f aca="false">IF(ISNUMBER($S256),$S256*$H256,"")</f>
        <v/>
      </c>
      <c r="U256" s="45" t="str">
        <f aca="false">IF(ISNUMBER($S256),$S256*Parâmetros!$B$8,"")</f>
        <v/>
      </c>
      <c r="V256" s="45" t="str">
        <f aca="false">IF(ISNUMBER($S256),$S256*Parâmetros!$C$8,"")</f>
        <v/>
      </c>
      <c r="W256" s="44" t="str">
        <f aca="false">IF(ISNUMBER($S256),$S256-$D256-IF(ISNUMBER($E256),$E256,0)-$O256-$T256-$U256-$V256,"")</f>
        <v/>
      </c>
      <c r="X256" s="46" t="str">
        <f aca="false">IF(AND(ISNUMBER($S256),$S256&gt;0),$W256/$S256,"")</f>
        <v/>
      </c>
      <c r="Y256" s="47"/>
      <c r="Z256" s="19"/>
    </row>
    <row r="257" customFormat="false" ht="15.75" hidden="false" customHeight="true" outlineLevel="0" collapsed="false">
      <c r="A257" s="48" t="str">
        <f aca="false">IF(Produtos!$A257="","",Produtos!$A257)</f>
        <v>L4055-PC</v>
      </c>
      <c r="B257" s="48" t="str">
        <f aca="false">IF(Produtos!$A257="","",Produtos!$B257)</f>
        <v>Lixeira de Parede c/Aro Colorido 40x19x55 25L</v>
      </c>
      <c r="C257" s="48" t="str">
        <f aca="false">IF(Produtos!$A257="","",Produtos!$C257)</f>
        <v>Lixeiras em inox</v>
      </c>
      <c r="D257" s="33" t="n">
        <f aca="false">IF(Produtos!$A257="","",IF(Produtos!$D257="","",Produtos!$D257))</f>
        <v>301.44</v>
      </c>
      <c r="E257" s="11" t="n">
        <v>0</v>
      </c>
      <c r="F257" s="34" t="n">
        <f aca="false">IF($A257="","",IF($C257="","⚠ categoria",IFERROR(INDEX(Parâmetros!$F$13:$F$22,MATCH($C257,Parâmetros!$A$13:$A$22,0)),"⚠ categoria")))</f>
        <v>0.19</v>
      </c>
      <c r="G257" s="35"/>
      <c r="H257" s="36" t="n">
        <f aca="false">IF($A257="","",IF(ISNUMBER($G257),$G257,IF(ISNUMBER($F257),$F257,"")))</f>
        <v>0.19</v>
      </c>
      <c r="I257" s="37" t="n">
        <f aca="false">IF(OR($A257="",NOT(ISNUMBER($D257)),NOT(ISNUMBER($H257))),"",IF((1-$H257-Parâmetros!$B$8-Parâmetros!$C$8-Parâmetros!$D$8)&lt;=0,"INVALIDO",($D257+IF(ISNUMBER($E257),$E257,0)+IF(ISNUMBER(Parâmetros!$E$8),Parâmetros!$E$8,0))/(1-$H257-Parâmetros!$B$8-Parâmetros!$C$8-Parâmetros!$D$8)))</f>
        <v>628</v>
      </c>
      <c r="J257" s="38"/>
      <c r="K257" s="39" t="n">
        <f aca="false">IF(OR($A257="",NOT(ISNUMBER($D257)),NOT(ISNUMBER($H257))),"",IF(AND(ISNUMBER($J257),$J257&gt;0),$J257,IF(ISNUMBER($I257),$I257,"")))</f>
        <v>628</v>
      </c>
      <c r="L257" s="40" t="n">
        <f aca="false">IF(ISNUMBER($K257),$K257*$H257,"")</f>
        <v>119.32</v>
      </c>
      <c r="M257" s="40" t="n">
        <f aca="false">IF(ISNUMBER($K257),$K257*Parâmetros!$B$8,"")</f>
        <v>62.8</v>
      </c>
      <c r="N257" s="40" t="n">
        <f aca="false">IF(ISNUMBER($K257),$K257*Parâmetros!$C$8,"")</f>
        <v>18.84</v>
      </c>
      <c r="O257" s="40" t="n">
        <f aca="false">IF(ISNUMBER($K257),IF(ISNUMBER(Parâmetros!$E$8),Parâmetros!$E$8,0),"")</f>
        <v>0</v>
      </c>
      <c r="P257" s="41" t="n">
        <f aca="false">IF(ISNUMBER($K257),$K257-$D257-IF(ISNUMBER($E257),$E257,0)-$L257-$M257-$N257-$O257,"")</f>
        <v>125.6</v>
      </c>
      <c r="Q257" s="42" t="n">
        <f aca="false">IF(AND(ISNUMBER($K257),$K257&gt;0),$P257/$K257,"")</f>
        <v>0.2</v>
      </c>
      <c r="R257" s="43"/>
      <c r="S257" s="44" t="str">
        <f aca="false">IF(OR(NOT(ISNUMBER($R257)),$R257=0,NOT(ISNUMBER($K257))),"",$K257*(1-$R257))</f>
        <v/>
      </c>
      <c r="T257" s="45" t="str">
        <f aca="false">IF(ISNUMBER($S257),$S257*$H257,"")</f>
        <v/>
      </c>
      <c r="U257" s="45" t="str">
        <f aca="false">IF(ISNUMBER($S257),$S257*Parâmetros!$B$8,"")</f>
        <v/>
      </c>
      <c r="V257" s="45" t="str">
        <f aca="false">IF(ISNUMBER($S257),$S257*Parâmetros!$C$8,"")</f>
        <v/>
      </c>
      <c r="W257" s="44" t="str">
        <f aca="false">IF(ISNUMBER($S257),$S257-$D257-IF(ISNUMBER($E257),$E257,0)-$O257-$T257-$U257-$V257,"")</f>
        <v/>
      </c>
      <c r="X257" s="46" t="str">
        <f aca="false">IF(AND(ISNUMBER($S257),$S257&gt;0),$W257/$S257,"")</f>
        <v/>
      </c>
      <c r="Y257" s="49"/>
      <c r="Z257" s="21"/>
    </row>
    <row r="258" customFormat="false" ht="15.75" hidden="false" customHeight="true" outlineLevel="0" collapsed="false">
      <c r="A258" s="32" t="str">
        <f aca="false">IF(Produtos!$A258="","",Produtos!$A258)</f>
        <v>L4060-PC</v>
      </c>
      <c r="B258" s="32" t="str">
        <f aca="false">IF(Produtos!$A258="","",Produtos!$B258)</f>
        <v>Lixeira de Parede c/Aro Colorido 40x19x60 30L</v>
      </c>
      <c r="C258" s="32" t="str">
        <f aca="false">IF(Produtos!$A258="","",Produtos!$C258)</f>
        <v>Lixeiras em inox</v>
      </c>
      <c r="D258" s="33" t="n">
        <f aca="false">IF(Produtos!$A258="","",IF(Produtos!$D258="","",Produtos!$D258))</f>
        <v>314.8</v>
      </c>
      <c r="E258" s="11" t="n">
        <v>0</v>
      </c>
      <c r="F258" s="34" t="n">
        <f aca="false">IF($A258="","",IF($C258="","⚠ categoria",IFERROR(INDEX(Parâmetros!$F$13:$F$22,MATCH($C258,Parâmetros!$A$13:$A$22,0)),"⚠ categoria")))</f>
        <v>0.19</v>
      </c>
      <c r="G258" s="35"/>
      <c r="H258" s="36" t="n">
        <f aca="false">IF($A258="","",IF(ISNUMBER($G258),$G258,IF(ISNUMBER($F258),$F258,"")))</f>
        <v>0.19</v>
      </c>
      <c r="I258" s="37" t="n">
        <f aca="false">IF(OR($A258="",NOT(ISNUMBER($D258)),NOT(ISNUMBER($H258))),"",IF((1-$H258-Parâmetros!$B$8-Parâmetros!$C$8-Parâmetros!$D$8)&lt;=0,"INVALIDO",($D258+IF(ISNUMBER($E258),$E258,0)+IF(ISNUMBER(Parâmetros!$E$8),Parâmetros!$E$8,0))/(1-$H258-Parâmetros!$B$8-Parâmetros!$C$8-Parâmetros!$D$8)))</f>
        <v>655.833333333333</v>
      </c>
      <c r="J258" s="38"/>
      <c r="K258" s="39" t="n">
        <f aca="false">IF(OR($A258="",NOT(ISNUMBER($D258)),NOT(ISNUMBER($H258))),"",IF(AND(ISNUMBER($J258),$J258&gt;0),$J258,IF(ISNUMBER($I258),$I258,"")))</f>
        <v>655.833333333333</v>
      </c>
      <c r="L258" s="40" t="n">
        <f aca="false">IF(ISNUMBER($K258),$K258*$H258,"")</f>
        <v>124.608333333333</v>
      </c>
      <c r="M258" s="40" t="n">
        <f aca="false">IF(ISNUMBER($K258),$K258*Parâmetros!$B$8,"")</f>
        <v>65.5833333333333</v>
      </c>
      <c r="N258" s="40" t="n">
        <f aca="false">IF(ISNUMBER($K258),$K258*Parâmetros!$C$8,"")</f>
        <v>19.675</v>
      </c>
      <c r="O258" s="40" t="n">
        <f aca="false">IF(ISNUMBER($K258),IF(ISNUMBER(Parâmetros!$E$8),Parâmetros!$E$8,0),"")</f>
        <v>0</v>
      </c>
      <c r="P258" s="41" t="n">
        <f aca="false">IF(ISNUMBER($K258),$K258-$D258-IF(ISNUMBER($E258),$E258,0)-$L258-$M258-$N258-$O258,"")</f>
        <v>131.166666666667</v>
      </c>
      <c r="Q258" s="42" t="n">
        <f aca="false">IF(AND(ISNUMBER($K258),$K258&gt;0),$P258/$K258,"")</f>
        <v>0.2</v>
      </c>
      <c r="R258" s="43"/>
      <c r="S258" s="44" t="str">
        <f aca="false">IF(OR(NOT(ISNUMBER($R258)),$R258=0,NOT(ISNUMBER($K258))),"",$K258*(1-$R258))</f>
        <v/>
      </c>
      <c r="T258" s="45" t="str">
        <f aca="false">IF(ISNUMBER($S258),$S258*$H258,"")</f>
        <v/>
      </c>
      <c r="U258" s="45" t="str">
        <f aca="false">IF(ISNUMBER($S258),$S258*Parâmetros!$B$8,"")</f>
        <v/>
      </c>
      <c r="V258" s="45" t="str">
        <f aca="false">IF(ISNUMBER($S258),$S258*Parâmetros!$C$8,"")</f>
        <v/>
      </c>
      <c r="W258" s="44" t="str">
        <f aca="false">IF(ISNUMBER($S258),$S258-$D258-IF(ISNUMBER($E258),$E258,0)-$O258-$T258-$U258-$V258,"")</f>
        <v/>
      </c>
      <c r="X258" s="46" t="str">
        <f aca="false">IF(AND(ISNUMBER($S258),$S258&gt;0),$W258/$S258,"")</f>
        <v/>
      </c>
      <c r="Y258" s="47"/>
      <c r="Z258" s="19"/>
    </row>
    <row r="259" customFormat="false" ht="15.75" hidden="false" customHeight="true" outlineLevel="0" collapsed="false">
      <c r="A259" s="48" t="str">
        <f aca="false">IF(Produtos!$A259="","",Produtos!$A259)</f>
        <v>L4065-PC</v>
      </c>
      <c r="B259" s="48" t="str">
        <f aca="false">IF(Produtos!$A259="","",Produtos!$B259)</f>
        <v>Lixeira de Parede c/Aro Colorido 40x19x65 35L</v>
      </c>
      <c r="C259" s="48" t="str">
        <f aca="false">IF(Produtos!$A259="","",Produtos!$C259)</f>
        <v>Lixeiras em inox</v>
      </c>
      <c r="D259" s="33" t="n">
        <f aca="false">IF(Produtos!$A259="","",IF(Produtos!$D259="","",Produtos!$D259))</f>
        <v>405.46</v>
      </c>
      <c r="E259" s="11" t="n">
        <v>0</v>
      </c>
      <c r="F259" s="34" t="n">
        <f aca="false">IF($A259="","",IF($C259="","⚠ categoria",IFERROR(INDEX(Parâmetros!$F$13:$F$22,MATCH($C259,Parâmetros!$A$13:$A$22,0)),"⚠ categoria")))</f>
        <v>0.19</v>
      </c>
      <c r="G259" s="35"/>
      <c r="H259" s="36" t="n">
        <f aca="false">IF($A259="","",IF(ISNUMBER($G259),$G259,IF(ISNUMBER($F259),$F259,"")))</f>
        <v>0.19</v>
      </c>
      <c r="I259" s="37" t="n">
        <f aca="false">IF(OR($A259="",NOT(ISNUMBER($D259)),NOT(ISNUMBER($H259))),"",IF((1-$H259-Parâmetros!$B$8-Parâmetros!$C$8-Parâmetros!$D$8)&lt;=0,"INVALIDO",($D259+IF(ISNUMBER($E259),$E259,0)+IF(ISNUMBER(Parâmetros!$E$8),Parâmetros!$E$8,0))/(1-$H259-Parâmetros!$B$8-Parâmetros!$C$8-Parâmetros!$D$8)))</f>
        <v>844.708333333333</v>
      </c>
      <c r="J259" s="38"/>
      <c r="K259" s="39" t="n">
        <f aca="false">IF(OR($A259="",NOT(ISNUMBER($D259)),NOT(ISNUMBER($H259))),"",IF(AND(ISNUMBER($J259),$J259&gt;0),$J259,IF(ISNUMBER($I259),$I259,"")))</f>
        <v>844.708333333333</v>
      </c>
      <c r="L259" s="40" t="n">
        <f aca="false">IF(ISNUMBER($K259),$K259*$H259,"")</f>
        <v>160.494583333333</v>
      </c>
      <c r="M259" s="40" t="n">
        <f aca="false">IF(ISNUMBER($K259),$K259*Parâmetros!$B$8,"")</f>
        <v>84.4708333333333</v>
      </c>
      <c r="N259" s="40" t="n">
        <f aca="false">IF(ISNUMBER($K259),$K259*Parâmetros!$C$8,"")</f>
        <v>25.34125</v>
      </c>
      <c r="O259" s="40" t="n">
        <f aca="false">IF(ISNUMBER($K259),IF(ISNUMBER(Parâmetros!$E$8),Parâmetros!$E$8,0),"")</f>
        <v>0</v>
      </c>
      <c r="P259" s="41" t="n">
        <f aca="false">IF(ISNUMBER($K259),$K259-$D259-IF(ISNUMBER($E259),$E259,0)-$L259-$M259-$N259-$O259,"")</f>
        <v>168.941666666667</v>
      </c>
      <c r="Q259" s="42" t="n">
        <f aca="false">IF(AND(ISNUMBER($K259),$K259&gt;0),$P259/$K259,"")</f>
        <v>0.2</v>
      </c>
      <c r="R259" s="43"/>
      <c r="S259" s="44" t="str">
        <f aca="false">IF(OR(NOT(ISNUMBER($R259)),$R259=0,NOT(ISNUMBER($K259))),"",$K259*(1-$R259))</f>
        <v/>
      </c>
      <c r="T259" s="45" t="str">
        <f aca="false">IF(ISNUMBER($S259),$S259*$H259,"")</f>
        <v/>
      </c>
      <c r="U259" s="45" t="str">
        <f aca="false">IF(ISNUMBER($S259),$S259*Parâmetros!$B$8,"")</f>
        <v/>
      </c>
      <c r="V259" s="45" t="str">
        <f aca="false">IF(ISNUMBER($S259),$S259*Parâmetros!$C$8,"")</f>
        <v/>
      </c>
      <c r="W259" s="44" t="str">
        <f aca="false">IF(ISNUMBER($S259),$S259-$D259-IF(ISNUMBER($E259),$E259,0)-$O259-$T259-$U259-$V259,"")</f>
        <v/>
      </c>
      <c r="X259" s="46" t="str">
        <f aca="false">IF(AND(ISNUMBER($S259),$S259&gt;0),$W259/$S259,"")</f>
        <v/>
      </c>
      <c r="Y259" s="49"/>
      <c r="Z259" s="21"/>
    </row>
    <row r="260" customFormat="false" ht="15.75" hidden="false" customHeight="true" outlineLevel="0" collapsed="false">
      <c r="A260" s="32" t="str">
        <f aca="false">IF(Produtos!$A260="","",Produtos!$A260)</f>
        <v>L4070-PC</v>
      </c>
      <c r="B260" s="32" t="str">
        <f aca="false">IF(Produtos!$A260="","",Produtos!$B260)</f>
        <v>Lixeira de Parede c/Aro Colorido 40x19x70 40L</v>
      </c>
      <c r="C260" s="32" t="str">
        <f aca="false">IF(Produtos!$A260="","",Produtos!$C260)</f>
        <v>Lixeiras em inox</v>
      </c>
      <c r="D260" s="33" t="n">
        <f aca="false">IF(Produtos!$A260="","",IF(Produtos!$D260="","",Produtos!$D260))</f>
        <v>428.69</v>
      </c>
      <c r="E260" s="11" t="n">
        <v>0</v>
      </c>
      <c r="F260" s="34" t="n">
        <f aca="false">IF($A260="","",IF($C260="","⚠ categoria",IFERROR(INDEX(Parâmetros!$F$13:$F$22,MATCH($C260,Parâmetros!$A$13:$A$22,0)),"⚠ categoria")))</f>
        <v>0.19</v>
      </c>
      <c r="G260" s="35"/>
      <c r="H260" s="36" t="n">
        <f aca="false">IF($A260="","",IF(ISNUMBER($G260),$G260,IF(ISNUMBER($F260),$F260,"")))</f>
        <v>0.19</v>
      </c>
      <c r="I260" s="37" t="n">
        <f aca="false">IF(OR($A260="",NOT(ISNUMBER($D260)),NOT(ISNUMBER($H260))),"",IF((1-$H260-Parâmetros!$B$8-Parâmetros!$C$8-Parâmetros!$D$8)&lt;=0,"INVALIDO",($D260+IF(ISNUMBER($E260),$E260,0)+IF(ISNUMBER(Parâmetros!$E$8),Parâmetros!$E$8,0))/(1-$H260-Parâmetros!$B$8-Parâmetros!$C$8-Parâmetros!$D$8)))</f>
        <v>893.104166666667</v>
      </c>
      <c r="J260" s="38"/>
      <c r="K260" s="39" t="n">
        <f aca="false">IF(OR($A260="",NOT(ISNUMBER($D260)),NOT(ISNUMBER($H260))),"",IF(AND(ISNUMBER($J260),$J260&gt;0),$J260,IF(ISNUMBER($I260),$I260,"")))</f>
        <v>893.104166666667</v>
      </c>
      <c r="L260" s="40" t="n">
        <f aca="false">IF(ISNUMBER($K260),$K260*$H260,"")</f>
        <v>169.689791666667</v>
      </c>
      <c r="M260" s="40" t="n">
        <f aca="false">IF(ISNUMBER($K260),$K260*Parâmetros!$B$8,"")</f>
        <v>89.3104166666667</v>
      </c>
      <c r="N260" s="40" t="n">
        <f aca="false">IF(ISNUMBER($K260),$K260*Parâmetros!$C$8,"")</f>
        <v>26.793125</v>
      </c>
      <c r="O260" s="40" t="n">
        <f aca="false">IF(ISNUMBER($K260),IF(ISNUMBER(Parâmetros!$E$8),Parâmetros!$E$8,0),"")</f>
        <v>0</v>
      </c>
      <c r="P260" s="41" t="n">
        <f aca="false">IF(ISNUMBER($K260),$K260-$D260-IF(ISNUMBER($E260),$E260,0)-$L260-$M260-$N260-$O260,"")</f>
        <v>178.620833333333</v>
      </c>
      <c r="Q260" s="42" t="n">
        <f aca="false">IF(AND(ISNUMBER($K260),$K260&gt;0),$P260/$K260,"")</f>
        <v>0.2</v>
      </c>
      <c r="R260" s="43"/>
      <c r="S260" s="44" t="str">
        <f aca="false">IF(OR(NOT(ISNUMBER($R260)),$R260=0,NOT(ISNUMBER($K260))),"",$K260*(1-$R260))</f>
        <v/>
      </c>
      <c r="T260" s="45" t="str">
        <f aca="false">IF(ISNUMBER($S260),$S260*$H260,"")</f>
        <v/>
      </c>
      <c r="U260" s="45" t="str">
        <f aca="false">IF(ISNUMBER($S260),$S260*Parâmetros!$B$8,"")</f>
        <v/>
      </c>
      <c r="V260" s="45" t="str">
        <f aca="false">IF(ISNUMBER($S260),$S260*Parâmetros!$C$8,"")</f>
        <v/>
      </c>
      <c r="W260" s="44" t="str">
        <f aca="false">IF(ISNUMBER($S260),$S260-$D260-IF(ISNUMBER($E260),$E260,0)-$O260-$T260-$U260-$V260,"")</f>
        <v/>
      </c>
      <c r="X260" s="46" t="str">
        <f aca="false">IF(AND(ISNUMBER($S260),$S260&gt;0),$W260/$S260,"")</f>
        <v/>
      </c>
      <c r="Y260" s="47"/>
      <c r="Z260" s="19"/>
    </row>
    <row r="261" customFormat="false" ht="15.75" hidden="false" customHeight="true" outlineLevel="0" collapsed="false">
      <c r="A261" s="48" t="str">
        <f aca="false">IF(Produtos!$A261="","",Produtos!$A261)</f>
        <v>L4080-PC</v>
      </c>
      <c r="B261" s="48" t="str">
        <f aca="false">IF(Produtos!$A261="","",Produtos!$B261)</f>
        <v>Lixeira de Parede c/Aro Colorido 40x19x80 50L</v>
      </c>
      <c r="C261" s="48" t="str">
        <f aca="false">IF(Produtos!$A261="","",Produtos!$C261)</f>
        <v>Lixeiras em inox</v>
      </c>
      <c r="D261" s="33" t="n">
        <f aca="false">IF(Produtos!$A261="","",IF(Produtos!$D261="","",Produtos!$D261))</f>
        <v>418.39</v>
      </c>
      <c r="E261" s="11" t="n">
        <v>0</v>
      </c>
      <c r="F261" s="34" t="n">
        <f aca="false">IF($A261="","",IF($C261="","⚠ categoria",IFERROR(INDEX(Parâmetros!$F$13:$F$22,MATCH($C261,Parâmetros!$A$13:$A$22,0)),"⚠ categoria")))</f>
        <v>0.19</v>
      </c>
      <c r="G261" s="35"/>
      <c r="H261" s="36" t="n">
        <f aca="false">IF($A261="","",IF(ISNUMBER($G261),$G261,IF(ISNUMBER($F261),$F261,"")))</f>
        <v>0.19</v>
      </c>
      <c r="I261" s="37" t="n">
        <f aca="false">IF(OR($A261="",NOT(ISNUMBER($D261)),NOT(ISNUMBER($H261))),"",IF((1-$H261-Parâmetros!$B$8-Parâmetros!$C$8-Parâmetros!$D$8)&lt;=0,"INVALIDO",($D261+IF(ISNUMBER($E261),$E261,0)+IF(ISNUMBER(Parâmetros!$E$8),Parâmetros!$E$8,0))/(1-$H261-Parâmetros!$B$8-Parâmetros!$C$8-Parâmetros!$D$8)))</f>
        <v>871.645833333333</v>
      </c>
      <c r="J261" s="38"/>
      <c r="K261" s="39" t="n">
        <f aca="false">IF(OR($A261="",NOT(ISNUMBER($D261)),NOT(ISNUMBER($H261))),"",IF(AND(ISNUMBER($J261),$J261&gt;0),$J261,IF(ISNUMBER($I261),$I261,"")))</f>
        <v>871.645833333333</v>
      </c>
      <c r="L261" s="40" t="n">
        <f aca="false">IF(ISNUMBER($K261),$K261*$H261,"")</f>
        <v>165.612708333333</v>
      </c>
      <c r="M261" s="40" t="n">
        <f aca="false">IF(ISNUMBER($K261),$K261*Parâmetros!$B$8,"")</f>
        <v>87.1645833333333</v>
      </c>
      <c r="N261" s="40" t="n">
        <f aca="false">IF(ISNUMBER($K261),$K261*Parâmetros!$C$8,"")</f>
        <v>26.149375</v>
      </c>
      <c r="O261" s="40" t="n">
        <f aca="false">IF(ISNUMBER($K261),IF(ISNUMBER(Parâmetros!$E$8),Parâmetros!$E$8,0),"")</f>
        <v>0</v>
      </c>
      <c r="P261" s="41" t="n">
        <f aca="false">IF(ISNUMBER($K261),$K261-$D261-IF(ISNUMBER($E261),$E261,0)-$L261-$M261-$N261-$O261,"")</f>
        <v>174.329166666667</v>
      </c>
      <c r="Q261" s="42" t="n">
        <f aca="false">IF(AND(ISNUMBER($K261),$K261&gt;0),$P261/$K261,"")</f>
        <v>0.2</v>
      </c>
      <c r="R261" s="43"/>
      <c r="S261" s="44" t="str">
        <f aca="false">IF(OR(NOT(ISNUMBER($R261)),$R261=0,NOT(ISNUMBER($K261))),"",$K261*(1-$R261))</f>
        <v/>
      </c>
      <c r="T261" s="45" t="str">
        <f aca="false">IF(ISNUMBER($S261),$S261*$H261,"")</f>
        <v/>
      </c>
      <c r="U261" s="45" t="str">
        <f aca="false">IF(ISNUMBER($S261),$S261*Parâmetros!$B$8,"")</f>
        <v/>
      </c>
      <c r="V261" s="45" t="str">
        <f aca="false">IF(ISNUMBER($S261),$S261*Parâmetros!$C$8,"")</f>
        <v/>
      </c>
      <c r="W261" s="44" t="str">
        <f aca="false">IF(ISNUMBER($S261),$S261-$D261-IF(ISNUMBER($E261),$E261,0)-$O261-$T261-$U261-$V261,"")</f>
        <v/>
      </c>
      <c r="X261" s="46" t="str">
        <f aca="false">IF(AND(ISNUMBER($S261),$S261&gt;0),$W261/$S261,"")</f>
        <v/>
      </c>
      <c r="Y261" s="49"/>
      <c r="Z261" s="21"/>
    </row>
    <row r="262" customFormat="false" ht="15.75" hidden="false" customHeight="true" outlineLevel="0" collapsed="false">
      <c r="A262" s="32" t="str">
        <f aca="false">IF(Produtos!$A262="","",Produtos!$A262)</f>
        <v>LM3040-2D</v>
      </c>
      <c r="B262" s="32" t="str">
        <f aca="false">IF(Produtos!$A262="","",Produtos!$B262)</f>
        <v>Lixeira Aço Inox 30x40 c/02 Divisões 30L</v>
      </c>
      <c r="C262" s="32" t="str">
        <f aca="false">IF(Produtos!$A262="","",Produtos!$C262)</f>
        <v>Lixeiras de coleta seletiva</v>
      </c>
      <c r="D262" s="33" t="n">
        <f aca="false">IF(Produtos!$A262="","",IF(Produtos!$D262="","",Produtos!$D262))</f>
        <v>318.15</v>
      </c>
      <c r="E262" s="11" t="n">
        <v>0</v>
      </c>
      <c r="F262" s="34" t="n">
        <f aca="false">IF($A262="","",IF($C262="","⚠ categoria",IFERROR(INDEX(Parâmetros!$F$13:$F$22,MATCH($C262,Parâmetros!$A$13:$A$22,0)),"⚠ categoria")))</f>
        <v>0.19</v>
      </c>
      <c r="G262" s="35"/>
      <c r="H262" s="36" t="n">
        <f aca="false">IF($A262="","",IF(ISNUMBER($G262),$G262,IF(ISNUMBER($F262),$F262,"")))</f>
        <v>0.19</v>
      </c>
      <c r="I262" s="37" t="n">
        <f aca="false">IF(OR($A262="",NOT(ISNUMBER($D262)),NOT(ISNUMBER($H262))),"",IF((1-$H262-Parâmetros!$B$8-Parâmetros!$C$8-Parâmetros!$D$8)&lt;=0,"INVALIDO",($D262+IF(ISNUMBER($E262),$E262,0)+IF(ISNUMBER(Parâmetros!$E$8),Parâmetros!$E$8,0))/(1-$H262-Parâmetros!$B$8-Parâmetros!$C$8-Parâmetros!$D$8)))</f>
        <v>662.8125</v>
      </c>
      <c r="J262" s="38"/>
      <c r="K262" s="39" t="n">
        <f aca="false">IF(OR($A262="",NOT(ISNUMBER($D262)),NOT(ISNUMBER($H262))),"",IF(AND(ISNUMBER($J262),$J262&gt;0),$J262,IF(ISNUMBER($I262),$I262,"")))</f>
        <v>662.8125</v>
      </c>
      <c r="L262" s="40" t="n">
        <f aca="false">IF(ISNUMBER($K262),$K262*$H262,"")</f>
        <v>125.934375</v>
      </c>
      <c r="M262" s="40" t="n">
        <f aca="false">IF(ISNUMBER($K262),$K262*Parâmetros!$B$8,"")</f>
        <v>66.28125</v>
      </c>
      <c r="N262" s="40" t="n">
        <f aca="false">IF(ISNUMBER($K262),$K262*Parâmetros!$C$8,"")</f>
        <v>19.884375</v>
      </c>
      <c r="O262" s="40" t="n">
        <f aca="false">IF(ISNUMBER($K262),IF(ISNUMBER(Parâmetros!$E$8),Parâmetros!$E$8,0),"")</f>
        <v>0</v>
      </c>
      <c r="P262" s="41" t="n">
        <f aca="false">IF(ISNUMBER($K262),$K262-$D262-IF(ISNUMBER($E262),$E262,0)-$L262-$M262-$N262-$O262,"")</f>
        <v>132.5625</v>
      </c>
      <c r="Q262" s="42" t="n">
        <f aca="false">IF(AND(ISNUMBER($K262),$K262&gt;0),$P262/$K262,"")</f>
        <v>0.2</v>
      </c>
      <c r="R262" s="43"/>
      <c r="S262" s="44" t="str">
        <f aca="false">IF(OR(NOT(ISNUMBER($R262)),$R262=0,NOT(ISNUMBER($K262))),"",$K262*(1-$R262))</f>
        <v/>
      </c>
      <c r="T262" s="45" t="str">
        <f aca="false">IF(ISNUMBER($S262),$S262*$H262,"")</f>
        <v/>
      </c>
      <c r="U262" s="45" t="str">
        <f aca="false">IF(ISNUMBER($S262),$S262*Parâmetros!$B$8,"")</f>
        <v/>
      </c>
      <c r="V262" s="45" t="str">
        <f aca="false">IF(ISNUMBER($S262),$S262*Parâmetros!$C$8,"")</f>
        <v/>
      </c>
      <c r="W262" s="44" t="str">
        <f aca="false">IF(ISNUMBER($S262),$S262-$D262-IF(ISNUMBER($E262),$E262,0)-$O262-$T262-$U262-$V262,"")</f>
        <v/>
      </c>
      <c r="X262" s="46" t="str">
        <f aca="false">IF(AND(ISNUMBER($S262),$S262&gt;0),$W262/$S262,"")</f>
        <v/>
      </c>
      <c r="Y262" s="47"/>
      <c r="Z262" s="19"/>
    </row>
    <row r="263" customFormat="false" ht="15.75" hidden="false" customHeight="true" outlineLevel="0" collapsed="false">
      <c r="A263" s="48" t="str">
        <f aca="false">IF(Produtos!$A263="","",Produtos!$A263)</f>
        <v>LM3040-3D</v>
      </c>
      <c r="B263" s="48" t="str">
        <f aca="false">IF(Produtos!$A263="","",Produtos!$B263)</f>
        <v>Lixeira Aço Inox 30x40 c/03 Divisões 30L</v>
      </c>
      <c r="C263" s="48" t="str">
        <f aca="false">IF(Produtos!$A263="","",Produtos!$C263)</f>
        <v>Lixeiras de coleta seletiva</v>
      </c>
      <c r="D263" s="33" t="n">
        <f aca="false">IF(Produtos!$A263="","",IF(Produtos!$D263="","",Produtos!$D263))</f>
        <v>324.51</v>
      </c>
      <c r="E263" s="11" t="n">
        <v>0</v>
      </c>
      <c r="F263" s="34" t="n">
        <f aca="false">IF($A263="","",IF($C263="","⚠ categoria",IFERROR(INDEX(Parâmetros!$F$13:$F$22,MATCH($C263,Parâmetros!$A$13:$A$22,0)),"⚠ categoria")))</f>
        <v>0.19</v>
      </c>
      <c r="G263" s="35"/>
      <c r="H263" s="36" t="n">
        <f aca="false">IF($A263="","",IF(ISNUMBER($G263),$G263,IF(ISNUMBER($F263),$F263,"")))</f>
        <v>0.19</v>
      </c>
      <c r="I263" s="37" t="n">
        <f aca="false">IF(OR($A263="",NOT(ISNUMBER($D263)),NOT(ISNUMBER($H263))),"",IF((1-$H263-Parâmetros!$B$8-Parâmetros!$C$8-Parâmetros!$D$8)&lt;=0,"INVALIDO",($D263+IF(ISNUMBER($E263),$E263,0)+IF(ISNUMBER(Parâmetros!$E$8),Parâmetros!$E$8,0))/(1-$H263-Parâmetros!$B$8-Parâmetros!$C$8-Parâmetros!$D$8)))</f>
        <v>676.0625</v>
      </c>
      <c r="J263" s="38"/>
      <c r="K263" s="39" t="n">
        <f aca="false">IF(OR($A263="",NOT(ISNUMBER($D263)),NOT(ISNUMBER($H263))),"",IF(AND(ISNUMBER($J263),$J263&gt;0),$J263,IF(ISNUMBER($I263),$I263,"")))</f>
        <v>676.0625</v>
      </c>
      <c r="L263" s="40" t="n">
        <f aca="false">IF(ISNUMBER($K263),$K263*$H263,"")</f>
        <v>128.451875</v>
      </c>
      <c r="M263" s="40" t="n">
        <f aca="false">IF(ISNUMBER($K263),$K263*Parâmetros!$B$8,"")</f>
        <v>67.60625</v>
      </c>
      <c r="N263" s="40" t="n">
        <f aca="false">IF(ISNUMBER($K263),$K263*Parâmetros!$C$8,"")</f>
        <v>20.281875</v>
      </c>
      <c r="O263" s="40" t="n">
        <f aca="false">IF(ISNUMBER($K263),IF(ISNUMBER(Parâmetros!$E$8),Parâmetros!$E$8,0),"")</f>
        <v>0</v>
      </c>
      <c r="P263" s="41" t="n">
        <f aca="false">IF(ISNUMBER($K263),$K263-$D263-IF(ISNUMBER($E263),$E263,0)-$L263-$M263-$N263-$O263,"")</f>
        <v>135.2125</v>
      </c>
      <c r="Q263" s="42" t="n">
        <f aca="false">IF(AND(ISNUMBER($K263),$K263&gt;0),$P263/$K263,"")</f>
        <v>0.2</v>
      </c>
      <c r="R263" s="43"/>
      <c r="S263" s="44" t="str">
        <f aca="false">IF(OR(NOT(ISNUMBER($R263)),$R263=0,NOT(ISNUMBER($K263))),"",$K263*(1-$R263))</f>
        <v/>
      </c>
      <c r="T263" s="45" t="str">
        <f aca="false">IF(ISNUMBER($S263),$S263*$H263,"")</f>
        <v/>
      </c>
      <c r="U263" s="45" t="str">
        <f aca="false">IF(ISNUMBER($S263),$S263*Parâmetros!$B$8,"")</f>
        <v/>
      </c>
      <c r="V263" s="45" t="str">
        <f aca="false">IF(ISNUMBER($S263),$S263*Parâmetros!$C$8,"")</f>
        <v/>
      </c>
      <c r="W263" s="44" t="str">
        <f aca="false">IF(ISNUMBER($S263),$S263-$D263-IF(ISNUMBER($E263),$E263,0)-$O263-$T263-$U263-$V263,"")</f>
        <v/>
      </c>
      <c r="X263" s="46" t="str">
        <f aca="false">IF(AND(ISNUMBER($S263),$S263&gt;0),$W263/$S263,"")</f>
        <v/>
      </c>
      <c r="Y263" s="49"/>
      <c r="Z263" s="21"/>
    </row>
    <row r="264" customFormat="false" ht="15.75" hidden="false" customHeight="true" outlineLevel="0" collapsed="false">
      <c r="A264" s="32" t="str">
        <f aca="false">IF(Produtos!$A264="","",Produtos!$A264)</f>
        <v>LM4050-4D</v>
      </c>
      <c r="B264" s="32" t="str">
        <f aca="false">IF(Produtos!$A264="","",Produtos!$B264)</f>
        <v>Lixeira Aço Inox 40x50 c/04 Divisões 50L</v>
      </c>
      <c r="C264" s="32" t="str">
        <f aca="false">IF(Produtos!$A264="","",Produtos!$C264)</f>
        <v>Lixeiras de coleta seletiva</v>
      </c>
      <c r="D264" s="33" t="n">
        <f aca="false">IF(Produtos!$A264="","",IF(Produtos!$D264="","",Produtos!$D264))</f>
        <v>574.44</v>
      </c>
      <c r="E264" s="11" t="n">
        <v>0</v>
      </c>
      <c r="F264" s="34" t="n">
        <f aca="false">IF($A264="","",IF($C264="","⚠ categoria",IFERROR(INDEX(Parâmetros!$F$13:$F$22,MATCH($C264,Parâmetros!$A$13:$A$22,0)),"⚠ categoria")))</f>
        <v>0.19</v>
      </c>
      <c r="G264" s="35"/>
      <c r="H264" s="36" t="n">
        <f aca="false">IF($A264="","",IF(ISNUMBER($G264),$G264,IF(ISNUMBER($F264),$F264,"")))</f>
        <v>0.19</v>
      </c>
      <c r="I264" s="37" t="n">
        <f aca="false">IF(OR($A264="",NOT(ISNUMBER($D264)),NOT(ISNUMBER($H264))),"",IF((1-$H264-Parâmetros!$B$8-Parâmetros!$C$8-Parâmetros!$D$8)&lt;=0,"INVALIDO",($D264+IF(ISNUMBER($E264),$E264,0)+IF(ISNUMBER(Parâmetros!$E$8),Parâmetros!$E$8,0))/(1-$H264-Parâmetros!$B$8-Parâmetros!$C$8-Parâmetros!$D$8)))</f>
        <v>1196.75</v>
      </c>
      <c r="J264" s="38"/>
      <c r="K264" s="39" t="n">
        <f aca="false">IF(OR($A264="",NOT(ISNUMBER($D264)),NOT(ISNUMBER($H264))),"",IF(AND(ISNUMBER($J264),$J264&gt;0),$J264,IF(ISNUMBER($I264),$I264,"")))</f>
        <v>1196.75</v>
      </c>
      <c r="L264" s="40" t="n">
        <f aca="false">IF(ISNUMBER($K264),$K264*$H264,"")</f>
        <v>227.3825</v>
      </c>
      <c r="M264" s="40" t="n">
        <f aca="false">IF(ISNUMBER($K264),$K264*Parâmetros!$B$8,"")</f>
        <v>119.675</v>
      </c>
      <c r="N264" s="40" t="n">
        <f aca="false">IF(ISNUMBER($K264),$K264*Parâmetros!$C$8,"")</f>
        <v>35.9025</v>
      </c>
      <c r="O264" s="40" t="n">
        <f aca="false">IF(ISNUMBER($K264),IF(ISNUMBER(Parâmetros!$E$8),Parâmetros!$E$8,0),"")</f>
        <v>0</v>
      </c>
      <c r="P264" s="41" t="n">
        <f aca="false">IF(ISNUMBER($K264),$K264-$D264-IF(ISNUMBER($E264),$E264,0)-$L264-$M264-$N264-$O264,"")</f>
        <v>239.35</v>
      </c>
      <c r="Q264" s="42" t="n">
        <f aca="false">IF(AND(ISNUMBER($K264),$K264&gt;0),$P264/$K264,"")</f>
        <v>0.2</v>
      </c>
      <c r="R264" s="43"/>
      <c r="S264" s="44" t="str">
        <f aca="false">IF(OR(NOT(ISNUMBER($R264)),$R264=0,NOT(ISNUMBER($K264))),"",$K264*(1-$R264))</f>
        <v/>
      </c>
      <c r="T264" s="45" t="str">
        <f aca="false">IF(ISNUMBER($S264),$S264*$H264,"")</f>
        <v/>
      </c>
      <c r="U264" s="45" t="str">
        <f aca="false">IF(ISNUMBER($S264),$S264*Parâmetros!$B$8,"")</f>
        <v/>
      </c>
      <c r="V264" s="45" t="str">
        <f aca="false">IF(ISNUMBER($S264),$S264*Parâmetros!$C$8,"")</f>
        <v/>
      </c>
      <c r="W264" s="44" t="str">
        <f aca="false">IF(ISNUMBER($S264),$S264-$D264-IF(ISNUMBER($E264),$E264,0)-$O264-$T264-$U264-$V264,"")</f>
        <v/>
      </c>
      <c r="X264" s="46" t="str">
        <f aca="false">IF(AND(ISNUMBER($S264),$S264&gt;0),$W264/$S264,"")</f>
        <v/>
      </c>
      <c r="Y264" s="47"/>
      <c r="Z264" s="19"/>
    </row>
    <row r="265" customFormat="false" ht="15.75" hidden="false" customHeight="true" outlineLevel="0" collapsed="false">
      <c r="A265" s="48" t="str">
        <f aca="false">IF(Produtos!$A265="","",Produtos!$A265)</f>
        <v>P3050RA</v>
      </c>
      <c r="B265" s="48" t="str">
        <f aca="false">IF(Produtos!$A265="","",Produtos!$B265)</f>
        <v>Lixeira c/Tampa Pedal 30x50 40L c/Rodízios e Alças</v>
      </c>
      <c r="C265" s="48" t="str">
        <f aca="false">IF(Produtos!$A265="","",Produtos!$C265)</f>
        <v>Lixeiras com pedal</v>
      </c>
      <c r="D265" s="33" t="n">
        <f aca="false">IF(Produtos!$A265="","",IF(Produtos!$D265="","",Produtos!$D265))</f>
        <v>451.04</v>
      </c>
      <c r="E265" s="11" t="n">
        <v>0</v>
      </c>
      <c r="F265" s="34" t="n">
        <f aca="false">IF($A265="","",IF($C265="","⚠ categoria",IFERROR(INDEX(Parâmetros!$F$13:$F$22,MATCH($C265,Parâmetros!$A$13:$A$22,0)),"⚠ categoria")))</f>
        <v>0.19</v>
      </c>
      <c r="G265" s="35"/>
      <c r="H265" s="36" t="n">
        <f aca="false">IF($A265="","",IF(ISNUMBER($G265),$G265,IF(ISNUMBER($F265),$F265,"")))</f>
        <v>0.19</v>
      </c>
      <c r="I265" s="37" t="n">
        <f aca="false">IF(OR($A265="",NOT(ISNUMBER($D265)),NOT(ISNUMBER($H265))),"",IF((1-$H265-Parâmetros!$B$8-Parâmetros!$C$8-Parâmetros!$D$8)&lt;=0,"INVALIDO",($D265+IF(ISNUMBER($E265),$E265,0)+IF(ISNUMBER(Parâmetros!$E$8),Parâmetros!$E$8,0))/(1-$H265-Parâmetros!$B$8-Parâmetros!$C$8-Parâmetros!$D$8)))</f>
        <v>939.666666666667</v>
      </c>
      <c r="J265" s="38"/>
      <c r="K265" s="39" t="n">
        <f aca="false">IF(OR($A265="",NOT(ISNUMBER($D265)),NOT(ISNUMBER($H265))),"",IF(AND(ISNUMBER($J265),$J265&gt;0),$J265,IF(ISNUMBER($I265),$I265,"")))</f>
        <v>939.666666666667</v>
      </c>
      <c r="L265" s="40" t="n">
        <f aca="false">IF(ISNUMBER($K265),$K265*$H265,"")</f>
        <v>178.536666666667</v>
      </c>
      <c r="M265" s="40" t="n">
        <f aca="false">IF(ISNUMBER($K265),$K265*Parâmetros!$B$8,"")</f>
        <v>93.9666666666667</v>
      </c>
      <c r="N265" s="40" t="n">
        <f aca="false">IF(ISNUMBER($K265),$K265*Parâmetros!$C$8,"")</f>
        <v>28.19</v>
      </c>
      <c r="O265" s="40" t="n">
        <f aca="false">IF(ISNUMBER($K265),IF(ISNUMBER(Parâmetros!$E$8),Parâmetros!$E$8,0),"")</f>
        <v>0</v>
      </c>
      <c r="P265" s="41" t="n">
        <f aca="false">IF(ISNUMBER($K265),$K265-$D265-IF(ISNUMBER($E265),$E265,0)-$L265-$M265-$N265-$O265,"")</f>
        <v>187.933333333333</v>
      </c>
      <c r="Q265" s="42" t="n">
        <f aca="false">IF(AND(ISNUMBER($K265),$K265&gt;0),$P265/$K265,"")</f>
        <v>0.2</v>
      </c>
      <c r="R265" s="43"/>
      <c r="S265" s="44" t="str">
        <f aca="false">IF(OR(NOT(ISNUMBER($R265)),$R265=0,NOT(ISNUMBER($K265))),"",$K265*(1-$R265))</f>
        <v/>
      </c>
      <c r="T265" s="45" t="str">
        <f aca="false">IF(ISNUMBER($S265),$S265*$H265,"")</f>
        <v/>
      </c>
      <c r="U265" s="45" t="str">
        <f aca="false">IF(ISNUMBER($S265),$S265*Parâmetros!$B$8,"")</f>
        <v/>
      </c>
      <c r="V265" s="45" t="str">
        <f aca="false">IF(ISNUMBER($S265),$S265*Parâmetros!$C$8,"")</f>
        <v/>
      </c>
      <c r="W265" s="44" t="str">
        <f aca="false">IF(ISNUMBER($S265),$S265-$D265-IF(ISNUMBER($E265),$E265,0)-$O265-$T265-$U265-$V265,"")</f>
        <v/>
      </c>
      <c r="X265" s="46" t="str">
        <f aca="false">IF(AND(ISNUMBER($S265),$S265&gt;0),$W265/$S265,"")</f>
        <v/>
      </c>
      <c r="Y265" s="49"/>
      <c r="Z265" s="21"/>
    </row>
    <row r="266" customFormat="false" ht="15.75" hidden="false" customHeight="true" outlineLevel="0" collapsed="false">
      <c r="A266" s="32" t="str">
        <f aca="false">IF(Produtos!$A266="","",Produtos!$A266)</f>
        <v>P3060RA</v>
      </c>
      <c r="B266" s="32" t="str">
        <f aca="false">IF(Produtos!$A266="","",Produtos!$B266)</f>
        <v>Lixeira c/Tampa Pedal 30x60 50L c/Rodízios e Alças</v>
      </c>
      <c r="C266" s="32" t="str">
        <f aca="false">IF(Produtos!$A266="","",Produtos!$C266)</f>
        <v>Lixeiras com pedal</v>
      </c>
      <c r="D266" s="33" t="n">
        <f aca="false">IF(Produtos!$A266="","",IF(Produtos!$D266="","",Produtos!$D266))</f>
        <v>461.27</v>
      </c>
      <c r="E266" s="11" t="n">
        <v>0</v>
      </c>
      <c r="F266" s="34" t="n">
        <f aca="false">IF($A266="","",IF($C266="","⚠ categoria",IFERROR(INDEX(Parâmetros!$F$13:$F$22,MATCH($C266,Parâmetros!$A$13:$A$22,0)),"⚠ categoria")))</f>
        <v>0.19</v>
      </c>
      <c r="G266" s="35"/>
      <c r="H266" s="36" t="n">
        <f aca="false">IF($A266="","",IF(ISNUMBER($G266),$G266,IF(ISNUMBER($F266),$F266,"")))</f>
        <v>0.19</v>
      </c>
      <c r="I266" s="37" t="n">
        <f aca="false">IF(OR($A266="",NOT(ISNUMBER($D266)),NOT(ISNUMBER($H266))),"",IF((1-$H266-Parâmetros!$B$8-Parâmetros!$C$8-Parâmetros!$D$8)&lt;=0,"INVALIDO",($D266+IF(ISNUMBER($E266),$E266,0)+IF(ISNUMBER(Parâmetros!$E$8),Parâmetros!$E$8,0))/(1-$H266-Parâmetros!$B$8-Parâmetros!$C$8-Parâmetros!$D$8)))</f>
        <v>960.979166666667</v>
      </c>
      <c r="J266" s="38"/>
      <c r="K266" s="39" t="n">
        <f aca="false">IF(OR($A266="",NOT(ISNUMBER($D266)),NOT(ISNUMBER($H266))),"",IF(AND(ISNUMBER($J266),$J266&gt;0),$J266,IF(ISNUMBER($I266),$I266,"")))</f>
        <v>960.979166666667</v>
      </c>
      <c r="L266" s="40" t="n">
        <f aca="false">IF(ISNUMBER($K266),$K266*$H266,"")</f>
        <v>182.586041666667</v>
      </c>
      <c r="M266" s="40" t="n">
        <f aca="false">IF(ISNUMBER($K266),$K266*Parâmetros!$B$8,"")</f>
        <v>96.0979166666667</v>
      </c>
      <c r="N266" s="40" t="n">
        <f aca="false">IF(ISNUMBER($K266),$K266*Parâmetros!$C$8,"")</f>
        <v>28.829375</v>
      </c>
      <c r="O266" s="40" t="n">
        <f aca="false">IF(ISNUMBER($K266),IF(ISNUMBER(Parâmetros!$E$8),Parâmetros!$E$8,0),"")</f>
        <v>0</v>
      </c>
      <c r="P266" s="41" t="n">
        <f aca="false">IF(ISNUMBER($K266),$K266-$D266-IF(ISNUMBER($E266),$E266,0)-$L266-$M266-$N266-$O266,"")</f>
        <v>192.195833333333</v>
      </c>
      <c r="Q266" s="42" t="n">
        <f aca="false">IF(AND(ISNUMBER($K266),$K266&gt;0),$P266/$K266,"")</f>
        <v>0.2</v>
      </c>
      <c r="R266" s="43"/>
      <c r="S266" s="44" t="str">
        <f aca="false">IF(OR(NOT(ISNUMBER($R266)),$R266=0,NOT(ISNUMBER($K266))),"",$K266*(1-$R266))</f>
        <v/>
      </c>
      <c r="T266" s="45" t="str">
        <f aca="false">IF(ISNUMBER($S266),$S266*$H266,"")</f>
        <v/>
      </c>
      <c r="U266" s="45" t="str">
        <f aca="false">IF(ISNUMBER($S266),$S266*Parâmetros!$B$8,"")</f>
        <v/>
      </c>
      <c r="V266" s="45" t="str">
        <f aca="false">IF(ISNUMBER($S266),$S266*Parâmetros!$C$8,"")</f>
        <v/>
      </c>
      <c r="W266" s="44" t="str">
        <f aca="false">IF(ISNUMBER($S266),$S266-$D266-IF(ISNUMBER($E266),$E266,0)-$O266-$T266-$U266-$V266,"")</f>
        <v/>
      </c>
      <c r="X266" s="46" t="str">
        <f aca="false">IF(AND(ISNUMBER($S266),$S266&gt;0),$W266/$S266,"")</f>
        <v/>
      </c>
      <c r="Y266" s="47"/>
      <c r="Z266" s="19"/>
    </row>
    <row r="267" customFormat="false" ht="15.75" hidden="false" customHeight="true" outlineLevel="0" collapsed="false">
      <c r="A267" s="48" t="str">
        <f aca="false">IF(Produtos!$A267="","",Produtos!$A267)</f>
        <v>P3070RA</v>
      </c>
      <c r="B267" s="48" t="str">
        <f aca="false">IF(Produtos!$A267="","",Produtos!$B267)</f>
        <v>Lixeira c/Tampa Pedal 30x70 60L c/Rodízios e Alças</v>
      </c>
      <c r="C267" s="48" t="str">
        <f aca="false">IF(Produtos!$A267="","",Produtos!$C267)</f>
        <v>Lixeiras com pedal</v>
      </c>
      <c r="D267" s="33" t="n">
        <f aca="false">IF(Produtos!$A267="","",IF(Produtos!$D267="","",Produtos!$D267))</f>
        <v>535.39</v>
      </c>
      <c r="E267" s="11" t="n">
        <v>0</v>
      </c>
      <c r="F267" s="34" t="n">
        <f aca="false">IF($A267="","",IF($C267="","⚠ categoria",IFERROR(INDEX(Parâmetros!$F$13:$F$22,MATCH($C267,Parâmetros!$A$13:$A$22,0)),"⚠ categoria")))</f>
        <v>0.19</v>
      </c>
      <c r="G267" s="35"/>
      <c r="H267" s="36" t="n">
        <f aca="false">IF($A267="","",IF(ISNUMBER($G267),$G267,IF(ISNUMBER($F267),$F267,"")))</f>
        <v>0.19</v>
      </c>
      <c r="I267" s="37" t="n">
        <f aca="false">IF(OR($A267="",NOT(ISNUMBER($D267)),NOT(ISNUMBER($H267))),"",IF((1-$H267-Parâmetros!$B$8-Parâmetros!$C$8-Parâmetros!$D$8)&lt;=0,"INVALIDO",($D267+IF(ISNUMBER($E267),$E267,0)+IF(ISNUMBER(Parâmetros!$E$8),Parâmetros!$E$8,0))/(1-$H267-Parâmetros!$B$8-Parâmetros!$C$8-Parâmetros!$D$8)))</f>
        <v>1115.39583333333</v>
      </c>
      <c r="J267" s="38"/>
      <c r="K267" s="39" t="n">
        <f aca="false">IF(OR($A267="",NOT(ISNUMBER($D267)),NOT(ISNUMBER($H267))),"",IF(AND(ISNUMBER($J267),$J267&gt;0),$J267,IF(ISNUMBER($I267),$I267,"")))</f>
        <v>1115.39583333333</v>
      </c>
      <c r="L267" s="40" t="n">
        <f aca="false">IF(ISNUMBER($K267),$K267*$H267,"")</f>
        <v>211.925208333333</v>
      </c>
      <c r="M267" s="40" t="n">
        <f aca="false">IF(ISNUMBER($K267),$K267*Parâmetros!$B$8,"")</f>
        <v>111.539583333333</v>
      </c>
      <c r="N267" s="40" t="n">
        <f aca="false">IF(ISNUMBER($K267),$K267*Parâmetros!$C$8,"")</f>
        <v>33.461875</v>
      </c>
      <c r="O267" s="40" t="n">
        <f aca="false">IF(ISNUMBER($K267),IF(ISNUMBER(Parâmetros!$E$8),Parâmetros!$E$8,0),"")</f>
        <v>0</v>
      </c>
      <c r="P267" s="41" t="n">
        <f aca="false">IF(ISNUMBER($K267),$K267-$D267-IF(ISNUMBER($E267),$E267,0)-$L267-$M267-$N267-$O267,"")</f>
        <v>223.079166666667</v>
      </c>
      <c r="Q267" s="42" t="n">
        <f aca="false">IF(AND(ISNUMBER($K267),$K267&gt;0),$P267/$K267,"")</f>
        <v>0.2</v>
      </c>
      <c r="R267" s="43"/>
      <c r="S267" s="44" t="str">
        <f aca="false">IF(OR(NOT(ISNUMBER($R267)),$R267=0,NOT(ISNUMBER($K267))),"",$K267*(1-$R267))</f>
        <v/>
      </c>
      <c r="T267" s="45" t="str">
        <f aca="false">IF(ISNUMBER($S267),$S267*$H267,"")</f>
        <v/>
      </c>
      <c r="U267" s="45" t="str">
        <f aca="false">IF(ISNUMBER($S267),$S267*Parâmetros!$B$8,"")</f>
        <v/>
      </c>
      <c r="V267" s="45" t="str">
        <f aca="false">IF(ISNUMBER($S267),$S267*Parâmetros!$C$8,"")</f>
        <v/>
      </c>
      <c r="W267" s="44" t="str">
        <f aca="false">IF(ISNUMBER($S267),$S267-$D267-IF(ISNUMBER($E267),$E267,0)-$O267-$T267-$U267-$V267,"")</f>
        <v/>
      </c>
      <c r="X267" s="46" t="str">
        <f aca="false">IF(AND(ISNUMBER($S267),$S267&gt;0),$W267/$S267,"")</f>
        <v/>
      </c>
      <c r="Y267" s="49"/>
      <c r="Z267" s="21"/>
    </row>
    <row r="268" customFormat="false" ht="15.75" hidden="false" customHeight="true" outlineLevel="0" collapsed="false">
      <c r="A268" s="32" t="str">
        <f aca="false">IF(Produtos!$A268="","",Produtos!$A268)</f>
        <v>P4050RA</v>
      </c>
      <c r="B268" s="32" t="str">
        <f aca="false">IF(Produtos!$A268="","",Produtos!$B268)</f>
        <v>Lixeira c/Tampa Pedal 40x50 65L c/Rodízios e Alças</v>
      </c>
      <c r="C268" s="32" t="str">
        <f aca="false">IF(Produtos!$A268="","",Produtos!$C268)</f>
        <v>Lixeiras com pedal</v>
      </c>
      <c r="D268" s="33" t="n">
        <f aca="false">IF(Produtos!$A268="","",IF(Produtos!$D268="","",Produtos!$D268))</f>
        <v>617.39</v>
      </c>
      <c r="E268" s="11" t="n">
        <v>0</v>
      </c>
      <c r="F268" s="34" t="n">
        <f aca="false">IF($A268="","",IF($C268="","⚠ categoria",IFERROR(INDEX(Parâmetros!$F$13:$F$22,MATCH($C268,Parâmetros!$A$13:$A$22,0)),"⚠ categoria")))</f>
        <v>0.19</v>
      </c>
      <c r="G268" s="35"/>
      <c r="H268" s="36" t="n">
        <f aca="false">IF($A268="","",IF(ISNUMBER($G268),$G268,IF(ISNUMBER($F268),$F268,"")))</f>
        <v>0.19</v>
      </c>
      <c r="I268" s="37" t="n">
        <f aca="false">IF(OR($A268="",NOT(ISNUMBER($D268)),NOT(ISNUMBER($H268))),"",IF((1-$H268-Parâmetros!$B$8-Parâmetros!$C$8-Parâmetros!$D$8)&lt;=0,"INVALIDO",($D268+IF(ISNUMBER($E268),$E268,0)+IF(ISNUMBER(Parâmetros!$E$8),Parâmetros!$E$8,0))/(1-$H268-Parâmetros!$B$8-Parâmetros!$C$8-Parâmetros!$D$8)))</f>
        <v>1286.22916666667</v>
      </c>
      <c r="J268" s="38"/>
      <c r="K268" s="39" t="n">
        <f aca="false">IF(OR($A268="",NOT(ISNUMBER($D268)),NOT(ISNUMBER($H268))),"",IF(AND(ISNUMBER($J268),$J268&gt;0),$J268,IF(ISNUMBER($I268),$I268,"")))</f>
        <v>1286.22916666667</v>
      </c>
      <c r="L268" s="40" t="n">
        <f aca="false">IF(ISNUMBER($K268),$K268*$H268,"")</f>
        <v>244.383541666667</v>
      </c>
      <c r="M268" s="40" t="n">
        <f aca="false">IF(ISNUMBER($K268),$K268*Parâmetros!$B$8,"")</f>
        <v>128.622916666667</v>
      </c>
      <c r="N268" s="40" t="n">
        <f aca="false">IF(ISNUMBER($K268),$K268*Parâmetros!$C$8,"")</f>
        <v>38.586875</v>
      </c>
      <c r="O268" s="40" t="n">
        <f aca="false">IF(ISNUMBER($K268),IF(ISNUMBER(Parâmetros!$E$8),Parâmetros!$E$8,0),"")</f>
        <v>0</v>
      </c>
      <c r="P268" s="41" t="n">
        <f aca="false">IF(ISNUMBER($K268),$K268-$D268-IF(ISNUMBER($E268),$E268,0)-$L268-$M268-$N268-$O268,"")</f>
        <v>257.245833333333</v>
      </c>
      <c r="Q268" s="42" t="n">
        <f aca="false">IF(AND(ISNUMBER($K268),$K268&gt;0),$P268/$K268,"")</f>
        <v>0.2</v>
      </c>
      <c r="R268" s="43"/>
      <c r="S268" s="44" t="str">
        <f aca="false">IF(OR(NOT(ISNUMBER($R268)),$R268=0,NOT(ISNUMBER($K268))),"",$K268*(1-$R268))</f>
        <v/>
      </c>
      <c r="T268" s="45" t="str">
        <f aca="false">IF(ISNUMBER($S268),$S268*$H268,"")</f>
        <v/>
      </c>
      <c r="U268" s="45" t="str">
        <f aca="false">IF(ISNUMBER($S268),$S268*Parâmetros!$B$8,"")</f>
        <v/>
      </c>
      <c r="V268" s="45" t="str">
        <f aca="false">IF(ISNUMBER($S268),$S268*Parâmetros!$C$8,"")</f>
        <v/>
      </c>
      <c r="W268" s="44" t="str">
        <f aca="false">IF(ISNUMBER($S268),$S268-$D268-IF(ISNUMBER($E268),$E268,0)-$O268-$T268-$U268-$V268,"")</f>
        <v/>
      </c>
      <c r="X268" s="46" t="str">
        <f aca="false">IF(AND(ISNUMBER($S268),$S268&gt;0),$W268/$S268,"")</f>
        <v/>
      </c>
      <c r="Y268" s="47"/>
      <c r="Z268" s="19"/>
    </row>
    <row r="269" customFormat="false" ht="15.75" hidden="false" customHeight="true" outlineLevel="0" collapsed="false">
      <c r="A269" s="48" t="str">
        <f aca="false">IF(Produtos!$A269="","",Produtos!$A269)</f>
        <v>P4060RA</v>
      </c>
      <c r="B269" s="48" t="str">
        <f aca="false">IF(Produtos!$A269="","",Produtos!$B269)</f>
        <v>Lixeira c/Tampa Pedal 40x60 75L c/Rodízios e Alças</v>
      </c>
      <c r="C269" s="48" t="str">
        <f aca="false">IF(Produtos!$A269="","",Produtos!$C269)</f>
        <v>Lixeiras com pedal</v>
      </c>
      <c r="D269" s="33" t="n">
        <f aca="false">IF(Produtos!$A269="","",IF(Produtos!$D269="","",Produtos!$D269))</f>
        <v>659.48</v>
      </c>
      <c r="E269" s="11" t="n">
        <v>0</v>
      </c>
      <c r="F269" s="34" t="n">
        <f aca="false">IF($A269="","",IF($C269="","⚠ categoria",IFERROR(INDEX(Parâmetros!$F$13:$F$22,MATCH($C269,Parâmetros!$A$13:$A$22,0)),"⚠ categoria")))</f>
        <v>0.19</v>
      </c>
      <c r="G269" s="35"/>
      <c r="H269" s="36" t="n">
        <f aca="false">IF($A269="","",IF(ISNUMBER($G269),$G269,IF(ISNUMBER($F269),$F269,"")))</f>
        <v>0.19</v>
      </c>
      <c r="I269" s="37" t="n">
        <f aca="false">IF(OR($A269="",NOT(ISNUMBER($D269)),NOT(ISNUMBER($H269))),"",IF((1-$H269-Parâmetros!$B$8-Parâmetros!$C$8-Parâmetros!$D$8)&lt;=0,"INVALIDO",($D269+IF(ISNUMBER($E269),$E269,0)+IF(ISNUMBER(Parâmetros!$E$8),Parâmetros!$E$8,0))/(1-$H269-Parâmetros!$B$8-Parâmetros!$C$8-Parâmetros!$D$8)))</f>
        <v>1373.91666666667</v>
      </c>
      <c r="J269" s="38"/>
      <c r="K269" s="39" t="n">
        <f aca="false">IF(OR($A269="",NOT(ISNUMBER($D269)),NOT(ISNUMBER($H269))),"",IF(AND(ISNUMBER($J269),$J269&gt;0),$J269,IF(ISNUMBER($I269),$I269,"")))</f>
        <v>1373.91666666667</v>
      </c>
      <c r="L269" s="40" t="n">
        <f aca="false">IF(ISNUMBER($K269),$K269*$H269,"")</f>
        <v>261.044166666667</v>
      </c>
      <c r="M269" s="40" t="n">
        <f aca="false">IF(ISNUMBER($K269),$K269*Parâmetros!$B$8,"")</f>
        <v>137.391666666667</v>
      </c>
      <c r="N269" s="40" t="n">
        <f aca="false">IF(ISNUMBER($K269),$K269*Parâmetros!$C$8,"")</f>
        <v>41.2175</v>
      </c>
      <c r="O269" s="40" t="n">
        <f aca="false">IF(ISNUMBER($K269),IF(ISNUMBER(Parâmetros!$E$8),Parâmetros!$E$8,0),"")</f>
        <v>0</v>
      </c>
      <c r="P269" s="41" t="n">
        <f aca="false">IF(ISNUMBER($K269),$K269-$D269-IF(ISNUMBER($E269),$E269,0)-$L269-$M269-$N269-$O269,"")</f>
        <v>274.783333333333</v>
      </c>
      <c r="Q269" s="42" t="n">
        <f aca="false">IF(AND(ISNUMBER($K269),$K269&gt;0),$P269/$K269,"")</f>
        <v>0.2</v>
      </c>
      <c r="R269" s="43"/>
      <c r="S269" s="44" t="str">
        <f aca="false">IF(OR(NOT(ISNUMBER($R269)),$R269=0,NOT(ISNUMBER($K269))),"",$K269*(1-$R269))</f>
        <v/>
      </c>
      <c r="T269" s="45" t="str">
        <f aca="false">IF(ISNUMBER($S269),$S269*$H269,"")</f>
        <v/>
      </c>
      <c r="U269" s="45" t="str">
        <f aca="false">IF(ISNUMBER($S269),$S269*Parâmetros!$B$8,"")</f>
        <v/>
      </c>
      <c r="V269" s="45" t="str">
        <f aca="false">IF(ISNUMBER($S269),$S269*Parâmetros!$C$8,"")</f>
        <v/>
      </c>
      <c r="W269" s="44" t="str">
        <f aca="false">IF(ISNUMBER($S269),$S269-$D269-IF(ISNUMBER($E269),$E269,0)-$O269-$T269-$U269-$V269,"")</f>
        <v/>
      </c>
      <c r="X269" s="46" t="str">
        <f aca="false">IF(AND(ISNUMBER($S269),$S269&gt;0),$W269/$S269,"")</f>
        <v/>
      </c>
      <c r="Y269" s="49"/>
      <c r="Z269" s="21"/>
    </row>
    <row r="270" customFormat="false" ht="15.75" hidden="false" customHeight="true" outlineLevel="0" collapsed="false">
      <c r="A270" s="32" t="str">
        <f aca="false">IF(Produtos!$A270="","",Produtos!$A270)</f>
        <v>P4070RA</v>
      </c>
      <c r="B270" s="32" t="str">
        <f aca="false">IF(Produtos!$A270="","",Produtos!$B270)</f>
        <v>Lixeira c/Tampa Pedal 40x70 80L c/Rodízios e Alças</v>
      </c>
      <c r="C270" s="32" t="str">
        <f aca="false">IF(Produtos!$A270="","",Produtos!$C270)</f>
        <v>Lixeiras com pedal</v>
      </c>
      <c r="D270" s="33" t="n">
        <f aca="false">IF(Produtos!$A270="","",IF(Produtos!$D270="","",Produtos!$D270))</f>
        <v>698.31</v>
      </c>
      <c r="E270" s="11" t="n">
        <v>0</v>
      </c>
      <c r="F270" s="34" t="n">
        <f aca="false">IF($A270="","",IF($C270="","⚠ categoria",IFERROR(INDEX(Parâmetros!$F$13:$F$22,MATCH($C270,Parâmetros!$A$13:$A$22,0)),"⚠ categoria")))</f>
        <v>0.19</v>
      </c>
      <c r="G270" s="35"/>
      <c r="H270" s="36" t="n">
        <f aca="false">IF($A270="","",IF(ISNUMBER($G270),$G270,IF(ISNUMBER($F270),$F270,"")))</f>
        <v>0.19</v>
      </c>
      <c r="I270" s="37" t="n">
        <f aca="false">IF(OR($A270="",NOT(ISNUMBER($D270)),NOT(ISNUMBER($H270))),"",IF((1-$H270-Parâmetros!$B$8-Parâmetros!$C$8-Parâmetros!$D$8)&lt;=0,"INVALIDO",($D270+IF(ISNUMBER($E270),$E270,0)+IF(ISNUMBER(Parâmetros!$E$8),Parâmetros!$E$8,0))/(1-$H270-Parâmetros!$B$8-Parâmetros!$C$8-Parâmetros!$D$8)))</f>
        <v>1454.8125</v>
      </c>
      <c r="J270" s="38"/>
      <c r="K270" s="39" t="n">
        <f aca="false">IF(OR($A270="",NOT(ISNUMBER($D270)),NOT(ISNUMBER($H270))),"",IF(AND(ISNUMBER($J270),$J270&gt;0),$J270,IF(ISNUMBER($I270),$I270,"")))</f>
        <v>1454.8125</v>
      </c>
      <c r="L270" s="40" t="n">
        <f aca="false">IF(ISNUMBER($K270),$K270*$H270,"")</f>
        <v>276.414375</v>
      </c>
      <c r="M270" s="40" t="n">
        <f aca="false">IF(ISNUMBER($K270),$K270*Parâmetros!$B$8,"")</f>
        <v>145.48125</v>
      </c>
      <c r="N270" s="40" t="n">
        <f aca="false">IF(ISNUMBER($K270),$K270*Parâmetros!$C$8,"")</f>
        <v>43.644375</v>
      </c>
      <c r="O270" s="40" t="n">
        <f aca="false">IF(ISNUMBER($K270),IF(ISNUMBER(Parâmetros!$E$8),Parâmetros!$E$8,0),"")</f>
        <v>0</v>
      </c>
      <c r="P270" s="41" t="n">
        <f aca="false">IF(ISNUMBER($K270),$K270-$D270-IF(ISNUMBER($E270),$E270,0)-$L270-$M270-$N270-$O270,"")</f>
        <v>290.9625</v>
      </c>
      <c r="Q270" s="42" t="n">
        <f aca="false">IF(AND(ISNUMBER($K270),$K270&gt;0),$P270/$K270,"")</f>
        <v>0.2</v>
      </c>
      <c r="R270" s="43"/>
      <c r="S270" s="44" t="str">
        <f aca="false">IF(OR(NOT(ISNUMBER($R270)),$R270=0,NOT(ISNUMBER($K270))),"",$K270*(1-$R270))</f>
        <v/>
      </c>
      <c r="T270" s="45" t="str">
        <f aca="false">IF(ISNUMBER($S270),$S270*$H270,"")</f>
        <v/>
      </c>
      <c r="U270" s="45" t="str">
        <f aca="false">IF(ISNUMBER($S270),$S270*Parâmetros!$B$8,"")</f>
        <v/>
      </c>
      <c r="V270" s="45" t="str">
        <f aca="false">IF(ISNUMBER($S270),$S270*Parâmetros!$C$8,"")</f>
        <v/>
      </c>
      <c r="W270" s="44" t="str">
        <f aca="false">IF(ISNUMBER($S270),$S270-$D270-IF(ISNUMBER($E270),$E270,0)-$O270-$T270-$U270-$V270,"")</f>
        <v/>
      </c>
      <c r="X270" s="46" t="str">
        <f aca="false">IF(AND(ISNUMBER($S270),$S270&gt;0),$W270/$S270,"")</f>
        <v/>
      </c>
      <c r="Y270" s="47"/>
      <c r="Z270" s="19"/>
    </row>
    <row r="271" customFormat="false" ht="15.75" hidden="false" customHeight="true" outlineLevel="0" collapsed="false">
      <c r="A271" s="48" t="str">
        <f aca="false">IF(Produtos!$A271="","",Produtos!$A271)</f>
        <v>P4075RA</v>
      </c>
      <c r="B271" s="48" t="str">
        <f aca="false">IF(Produtos!$A271="","",Produtos!$B271)</f>
        <v>Lixeira c/Tampa Pedal 40x75 95L c/Rodízios e Alças</v>
      </c>
      <c r="C271" s="48" t="str">
        <f aca="false">IF(Produtos!$A271="","",Produtos!$C271)</f>
        <v>Lixeiras com pedal</v>
      </c>
      <c r="D271" s="33" t="n">
        <f aca="false">IF(Produtos!$A271="","",IF(Produtos!$D271="","",Produtos!$D271))</f>
        <v>731.92</v>
      </c>
      <c r="E271" s="11" t="n">
        <v>0</v>
      </c>
      <c r="F271" s="34" t="n">
        <f aca="false">IF($A271="","",IF($C271="","⚠ categoria",IFERROR(INDEX(Parâmetros!$F$13:$F$22,MATCH($C271,Parâmetros!$A$13:$A$22,0)),"⚠ categoria")))</f>
        <v>0.19</v>
      </c>
      <c r="G271" s="35"/>
      <c r="H271" s="36" t="n">
        <f aca="false">IF($A271="","",IF(ISNUMBER($G271),$G271,IF(ISNUMBER($F271),$F271,"")))</f>
        <v>0.19</v>
      </c>
      <c r="I271" s="37" t="n">
        <f aca="false">IF(OR($A271="",NOT(ISNUMBER($D271)),NOT(ISNUMBER($H271))),"",IF((1-$H271-Parâmetros!$B$8-Parâmetros!$C$8-Parâmetros!$D$8)&lt;=0,"INVALIDO",($D271+IF(ISNUMBER($E271),$E271,0)+IF(ISNUMBER(Parâmetros!$E$8),Parâmetros!$E$8,0))/(1-$H271-Parâmetros!$B$8-Parâmetros!$C$8-Parâmetros!$D$8)))</f>
        <v>1524.83333333333</v>
      </c>
      <c r="J271" s="38"/>
      <c r="K271" s="39" t="n">
        <f aca="false">IF(OR($A271="",NOT(ISNUMBER($D271)),NOT(ISNUMBER($H271))),"",IF(AND(ISNUMBER($J271),$J271&gt;0),$J271,IF(ISNUMBER($I271),$I271,"")))</f>
        <v>1524.83333333333</v>
      </c>
      <c r="L271" s="40" t="n">
        <f aca="false">IF(ISNUMBER($K271),$K271*$H271,"")</f>
        <v>289.718333333333</v>
      </c>
      <c r="M271" s="40" t="n">
        <f aca="false">IF(ISNUMBER($K271),$K271*Parâmetros!$B$8,"")</f>
        <v>152.483333333333</v>
      </c>
      <c r="N271" s="40" t="n">
        <f aca="false">IF(ISNUMBER($K271),$K271*Parâmetros!$C$8,"")</f>
        <v>45.745</v>
      </c>
      <c r="O271" s="40" t="n">
        <f aca="false">IF(ISNUMBER($K271),IF(ISNUMBER(Parâmetros!$E$8),Parâmetros!$E$8,0),"")</f>
        <v>0</v>
      </c>
      <c r="P271" s="41" t="n">
        <f aca="false">IF(ISNUMBER($K271),$K271-$D271-IF(ISNUMBER($E271),$E271,0)-$L271-$M271-$N271-$O271,"")</f>
        <v>304.966666666666</v>
      </c>
      <c r="Q271" s="42" t="n">
        <f aca="false">IF(AND(ISNUMBER($K271),$K271&gt;0),$P271/$K271,"")</f>
        <v>0.2</v>
      </c>
      <c r="R271" s="43"/>
      <c r="S271" s="44" t="str">
        <f aca="false">IF(OR(NOT(ISNUMBER($R271)),$R271=0,NOT(ISNUMBER($K271))),"",$K271*(1-$R271))</f>
        <v/>
      </c>
      <c r="T271" s="45" t="str">
        <f aca="false">IF(ISNUMBER($S271),$S271*$H271,"")</f>
        <v/>
      </c>
      <c r="U271" s="45" t="str">
        <f aca="false">IF(ISNUMBER($S271),$S271*Parâmetros!$B$8,"")</f>
        <v/>
      </c>
      <c r="V271" s="45" t="str">
        <f aca="false">IF(ISNUMBER($S271),$S271*Parâmetros!$C$8,"")</f>
        <v/>
      </c>
      <c r="W271" s="44" t="str">
        <f aca="false">IF(ISNUMBER($S271),$S271-$D271-IF(ISNUMBER($E271),$E271,0)-$O271-$T271-$U271-$V271,"")</f>
        <v/>
      </c>
      <c r="X271" s="46" t="str">
        <f aca="false">IF(AND(ISNUMBER($S271),$S271&gt;0),$W271/$S271,"")</f>
        <v/>
      </c>
      <c r="Y271" s="49"/>
      <c r="Z271" s="21"/>
    </row>
    <row r="272" customFormat="false" ht="15.75" hidden="false" customHeight="true" outlineLevel="0" collapsed="false">
      <c r="A272" s="32" t="str">
        <f aca="false">IF(Produtos!$A272="","",Produtos!$A272)</f>
        <v>P4080RA</v>
      </c>
      <c r="B272" s="32" t="str">
        <f aca="false">IF(Produtos!$A272="","",Produtos!$B272)</f>
        <v>Lixeira c/Tampa Pedal 40x80 100L c/Rodízios e Alças</v>
      </c>
      <c r="C272" s="32" t="str">
        <f aca="false">IF(Produtos!$A272="","",Produtos!$C272)</f>
        <v>Lixeiras com pedal</v>
      </c>
      <c r="D272" s="33" t="n">
        <f aca="false">IF(Produtos!$A272="","",IF(Produtos!$D272="","",Produtos!$D272))</f>
        <v>816.17</v>
      </c>
      <c r="E272" s="11" t="n">
        <v>0</v>
      </c>
      <c r="F272" s="34" t="n">
        <f aca="false">IF($A272="","",IF($C272="","⚠ categoria",IFERROR(INDEX(Parâmetros!$F$13:$F$22,MATCH($C272,Parâmetros!$A$13:$A$22,0)),"⚠ categoria")))</f>
        <v>0.19</v>
      </c>
      <c r="G272" s="35"/>
      <c r="H272" s="36" t="n">
        <f aca="false">IF($A272="","",IF(ISNUMBER($G272),$G272,IF(ISNUMBER($F272),$F272,"")))</f>
        <v>0.19</v>
      </c>
      <c r="I272" s="37" t="n">
        <f aca="false">IF(OR($A272="",NOT(ISNUMBER($D272)),NOT(ISNUMBER($H272))),"",IF((1-$H272-Parâmetros!$B$8-Parâmetros!$C$8-Parâmetros!$D$8)&lt;=0,"INVALIDO",($D272+IF(ISNUMBER($E272),$E272,0)+IF(ISNUMBER(Parâmetros!$E$8),Parâmetros!$E$8,0))/(1-$H272-Parâmetros!$B$8-Parâmetros!$C$8-Parâmetros!$D$8)))</f>
        <v>1700.35416666667</v>
      </c>
      <c r="J272" s="38"/>
      <c r="K272" s="39" t="n">
        <f aca="false">IF(OR($A272="",NOT(ISNUMBER($D272)),NOT(ISNUMBER($H272))),"",IF(AND(ISNUMBER($J272),$J272&gt;0),$J272,IF(ISNUMBER($I272),$I272,"")))</f>
        <v>1700.35416666667</v>
      </c>
      <c r="L272" s="40" t="n">
        <f aca="false">IF(ISNUMBER($K272),$K272*$H272,"")</f>
        <v>323.067291666667</v>
      </c>
      <c r="M272" s="40" t="n">
        <f aca="false">IF(ISNUMBER($K272),$K272*Parâmetros!$B$8,"")</f>
        <v>170.035416666667</v>
      </c>
      <c r="N272" s="40" t="n">
        <f aca="false">IF(ISNUMBER($K272),$K272*Parâmetros!$C$8,"")</f>
        <v>51.010625</v>
      </c>
      <c r="O272" s="40" t="n">
        <f aca="false">IF(ISNUMBER($K272),IF(ISNUMBER(Parâmetros!$E$8),Parâmetros!$E$8,0),"")</f>
        <v>0</v>
      </c>
      <c r="P272" s="41" t="n">
        <f aca="false">IF(ISNUMBER($K272),$K272-$D272-IF(ISNUMBER($E272),$E272,0)-$L272-$M272-$N272-$O272,"")</f>
        <v>340.070833333333</v>
      </c>
      <c r="Q272" s="42" t="n">
        <f aca="false">IF(AND(ISNUMBER($K272),$K272&gt;0),$P272/$K272,"")</f>
        <v>0.2</v>
      </c>
      <c r="R272" s="43"/>
      <c r="S272" s="44" t="str">
        <f aca="false">IF(OR(NOT(ISNUMBER($R272)),$R272=0,NOT(ISNUMBER($K272))),"",$K272*(1-$R272))</f>
        <v/>
      </c>
      <c r="T272" s="45" t="str">
        <f aca="false">IF(ISNUMBER($S272),$S272*$H272,"")</f>
        <v/>
      </c>
      <c r="U272" s="45" t="str">
        <f aca="false">IF(ISNUMBER($S272),$S272*Parâmetros!$B$8,"")</f>
        <v/>
      </c>
      <c r="V272" s="45" t="str">
        <f aca="false">IF(ISNUMBER($S272),$S272*Parâmetros!$C$8,"")</f>
        <v/>
      </c>
      <c r="W272" s="44" t="str">
        <f aca="false">IF(ISNUMBER($S272),$S272-$D272-IF(ISNUMBER($E272),$E272,0)-$O272-$T272-$U272-$V272,"")</f>
        <v/>
      </c>
      <c r="X272" s="46" t="str">
        <f aca="false">IF(AND(ISNUMBER($S272),$S272&gt;0),$W272/$S272,"")</f>
        <v/>
      </c>
      <c r="Y272" s="47"/>
      <c r="Z272" s="19"/>
    </row>
    <row r="273" customFormat="false" ht="15.75" hidden="false" customHeight="true" outlineLevel="0" collapsed="false">
      <c r="A273" s="48" t="str">
        <f aca="false">IF(Produtos!$A273="","",Produtos!$A273)</f>
        <v>P4090RA</v>
      </c>
      <c r="B273" s="48" t="str">
        <f aca="false">IF(Produtos!$A273="","",Produtos!$B273)</f>
        <v>Lixeira c/Tampa Pedal 40x90 120L c/Rodízios e Alças</v>
      </c>
      <c r="C273" s="48" t="str">
        <f aca="false">IF(Produtos!$A273="","",Produtos!$C273)</f>
        <v>Lixeiras com pedal</v>
      </c>
      <c r="D273" s="33" t="n">
        <f aca="false">IF(Produtos!$A273="","",IF(Produtos!$D273="","",Produtos!$D273))</f>
        <v>1058.68</v>
      </c>
      <c r="E273" s="11" t="n">
        <v>0</v>
      </c>
      <c r="F273" s="34" t="n">
        <f aca="false">IF($A273="","",IF($C273="","⚠ categoria",IFERROR(INDEX(Parâmetros!$F$13:$F$22,MATCH($C273,Parâmetros!$A$13:$A$22,0)),"⚠ categoria")))</f>
        <v>0.19</v>
      </c>
      <c r="G273" s="35"/>
      <c r="H273" s="36" t="n">
        <f aca="false">IF($A273="","",IF(ISNUMBER($G273),$G273,IF(ISNUMBER($F273),$F273,"")))</f>
        <v>0.19</v>
      </c>
      <c r="I273" s="37" t="n">
        <f aca="false">IF(OR($A273="",NOT(ISNUMBER($D273)),NOT(ISNUMBER($H273))),"",IF((1-$H273-Parâmetros!$B$8-Parâmetros!$C$8-Parâmetros!$D$8)&lt;=0,"INVALIDO",($D273+IF(ISNUMBER($E273),$E273,0)+IF(ISNUMBER(Parâmetros!$E$8),Parâmetros!$E$8,0))/(1-$H273-Parâmetros!$B$8-Parâmetros!$C$8-Parâmetros!$D$8)))</f>
        <v>2205.58333333333</v>
      </c>
      <c r="J273" s="38"/>
      <c r="K273" s="39" t="n">
        <f aca="false">IF(OR($A273="",NOT(ISNUMBER($D273)),NOT(ISNUMBER($H273))),"",IF(AND(ISNUMBER($J273),$J273&gt;0),$J273,IF(ISNUMBER($I273),$I273,"")))</f>
        <v>2205.58333333333</v>
      </c>
      <c r="L273" s="40" t="n">
        <f aca="false">IF(ISNUMBER($K273),$K273*$H273,"")</f>
        <v>419.060833333333</v>
      </c>
      <c r="M273" s="40" t="n">
        <f aca="false">IF(ISNUMBER($K273),$K273*Parâmetros!$B$8,"")</f>
        <v>220.558333333333</v>
      </c>
      <c r="N273" s="40" t="n">
        <f aca="false">IF(ISNUMBER($K273),$K273*Parâmetros!$C$8,"")</f>
        <v>66.1675</v>
      </c>
      <c r="O273" s="40" t="n">
        <f aca="false">IF(ISNUMBER($K273),IF(ISNUMBER(Parâmetros!$E$8),Parâmetros!$E$8,0),"")</f>
        <v>0</v>
      </c>
      <c r="P273" s="41" t="n">
        <f aca="false">IF(ISNUMBER($K273),$K273-$D273-IF(ISNUMBER($E273),$E273,0)-$L273-$M273-$N273-$O273,"")</f>
        <v>441.116666666667</v>
      </c>
      <c r="Q273" s="42" t="n">
        <f aca="false">IF(AND(ISNUMBER($K273),$K273&gt;0),$P273/$K273,"")</f>
        <v>0.2</v>
      </c>
      <c r="R273" s="43"/>
      <c r="S273" s="44" t="str">
        <f aca="false">IF(OR(NOT(ISNUMBER($R273)),$R273=0,NOT(ISNUMBER($K273))),"",$K273*(1-$R273))</f>
        <v/>
      </c>
      <c r="T273" s="45" t="str">
        <f aca="false">IF(ISNUMBER($S273),$S273*$H273,"")</f>
        <v/>
      </c>
      <c r="U273" s="45" t="str">
        <f aca="false">IF(ISNUMBER($S273),$S273*Parâmetros!$B$8,"")</f>
        <v/>
      </c>
      <c r="V273" s="45" t="str">
        <f aca="false">IF(ISNUMBER($S273),$S273*Parâmetros!$C$8,"")</f>
        <v/>
      </c>
      <c r="W273" s="44" t="str">
        <f aca="false">IF(ISNUMBER($S273),$S273-$D273-IF(ISNUMBER($E273),$E273,0)-$O273-$T273-$U273-$V273,"")</f>
        <v/>
      </c>
      <c r="X273" s="46" t="str">
        <f aca="false">IF(AND(ISNUMBER($S273),$S273&gt;0),$W273/$S273,"")</f>
        <v/>
      </c>
      <c r="Y273" s="49"/>
      <c r="Z273" s="21"/>
    </row>
    <row r="274" customFormat="false" ht="15.75" hidden="false" customHeight="true" outlineLevel="0" collapsed="false">
      <c r="A274" s="32" t="str">
        <f aca="false">IF(Produtos!$A274="","",Produtos!$A274)</f>
        <v>P3050R</v>
      </c>
      <c r="B274" s="32" t="str">
        <f aca="false">IF(Produtos!$A274="","",Produtos!$B274)</f>
        <v>Lixeira c/Tampa Pedal 30x50 40L c/Rodízios</v>
      </c>
      <c r="C274" s="32" t="str">
        <f aca="false">IF(Produtos!$A274="","",Produtos!$C274)</f>
        <v>Lixeiras com pedal</v>
      </c>
      <c r="D274" s="33" t="n">
        <f aca="false">IF(Produtos!$A274="","",IF(Produtos!$D274="","",Produtos!$D274))</f>
        <v>418.9</v>
      </c>
      <c r="E274" s="11" t="n">
        <v>0</v>
      </c>
      <c r="F274" s="34" t="n">
        <f aca="false">IF($A274="","",IF($C274="","⚠ categoria",IFERROR(INDEX(Parâmetros!$F$13:$F$22,MATCH($C274,Parâmetros!$A$13:$A$22,0)),"⚠ categoria")))</f>
        <v>0.19</v>
      </c>
      <c r="G274" s="35"/>
      <c r="H274" s="36" t="n">
        <f aca="false">IF($A274="","",IF(ISNUMBER($G274),$G274,IF(ISNUMBER($F274),$F274,"")))</f>
        <v>0.19</v>
      </c>
      <c r="I274" s="37" t="n">
        <f aca="false">IF(OR($A274="",NOT(ISNUMBER($D274)),NOT(ISNUMBER($H274))),"",IF((1-$H274-Parâmetros!$B$8-Parâmetros!$C$8-Parâmetros!$D$8)&lt;=0,"INVALIDO",($D274+IF(ISNUMBER($E274),$E274,0)+IF(ISNUMBER(Parâmetros!$E$8),Parâmetros!$E$8,0))/(1-$H274-Parâmetros!$B$8-Parâmetros!$C$8-Parâmetros!$D$8)))</f>
        <v>872.708333333333</v>
      </c>
      <c r="J274" s="38"/>
      <c r="K274" s="39" t="n">
        <f aca="false">IF(OR($A274="",NOT(ISNUMBER($D274)),NOT(ISNUMBER($H274))),"",IF(AND(ISNUMBER($J274),$J274&gt;0),$J274,IF(ISNUMBER($I274),$I274,"")))</f>
        <v>872.708333333333</v>
      </c>
      <c r="L274" s="40" t="n">
        <f aca="false">IF(ISNUMBER($K274),$K274*$H274,"")</f>
        <v>165.814583333333</v>
      </c>
      <c r="M274" s="40" t="n">
        <f aca="false">IF(ISNUMBER($K274),$K274*Parâmetros!$B$8,"")</f>
        <v>87.2708333333333</v>
      </c>
      <c r="N274" s="40" t="n">
        <f aca="false">IF(ISNUMBER($K274),$K274*Parâmetros!$C$8,"")</f>
        <v>26.18125</v>
      </c>
      <c r="O274" s="40" t="n">
        <f aca="false">IF(ISNUMBER($K274),IF(ISNUMBER(Parâmetros!$E$8),Parâmetros!$E$8,0),"")</f>
        <v>0</v>
      </c>
      <c r="P274" s="41" t="n">
        <f aca="false">IF(ISNUMBER($K274),$K274-$D274-IF(ISNUMBER($E274),$E274,0)-$L274-$M274-$N274-$O274,"")</f>
        <v>174.541666666667</v>
      </c>
      <c r="Q274" s="42" t="n">
        <f aca="false">IF(AND(ISNUMBER($K274),$K274&gt;0),$P274/$K274,"")</f>
        <v>0.2</v>
      </c>
      <c r="R274" s="43"/>
      <c r="S274" s="44" t="str">
        <f aca="false">IF(OR(NOT(ISNUMBER($R274)),$R274=0,NOT(ISNUMBER($K274))),"",$K274*(1-$R274))</f>
        <v/>
      </c>
      <c r="T274" s="45" t="str">
        <f aca="false">IF(ISNUMBER($S274),$S274*$H274,"")</f>
        <v/>
      </c>
      <c r="U274" s="45" t="str">
        <f aca="false">IF(ISNUMBER($S274),$S274*Parâmetros!$B$8,"")</f>
        <v/>
      </c>
      <c r="V274" s="45" t="str">
        <f aca="false">IF(ISNUMBER($S274),$S274*Parâmetros!$C$8,"")</f>
        <v/>
      </c>
      <c r="W274" s="44" t="str">
        <f aca="false">IF(ISNUMBER($S274),$S274-$D274-IF(ISNUMBER($E274),$E274,0)-$O274-$T274-$U274-$V274,"")</f>
        <v/>
      </c>
      <c r="X274" s="46" t="str">
        <f aca="false">IF(AND(ISNUMBER($S274),$S274&gt;0),$W274/$S274,"")</f>
        <v/>
      </c>
      <c r="Y274" s="47"/>
      <c r="Z274" s="19"/>
    </row>
    <row r="275" customFormat="false" ht="15.75" hidden="false" customHeight="true" outlineLevel="0" collapsed="false">
      <c r="A275" s="48" t="str">
        <f aca="false">IF(Produtos!$A275="","",Produtos!$A275)</f>
        <v>P3060R</v>
      </c>
      <c r="B275" s="48" t="str">
        <f aca="false">IF(Produtos!$A275="","",Produtos!$B275)</f>
        <v>Lixeira c/Tampa Pedal 30x60 50L c/Rodízios</v>
      </c>
      <c r="C275" s="48" t="str">
        <f aca="false">IF(Produtos!$A275="","",Produtos!$C275)</f>
        <v>Lixeiras com pedal</v>
      </c>
      <c r="D275" s="33" t="n">
        <f aca="false">IF(Produtos!$A275="","",IF(Produtos!$D275="","",Produtos!$D275))</f>
        <v>421.43</v>
      </c>
      <c r="E275" s="11" t="n">
        <v>0</v>
      </c>
      <c r="F275" s="34" t="n">
        <f aca="false">IF($A275="","",IF($C275="","⚠ categoria",IFERROR(INDEX(Parâmetros!$F$13:$F$22,MATCH($C275,Parâmetros!$A$13:$A$22,0)),"⚠ categoria")))</f>
        <v>0.19</v>
      </c>
      <c r="G275" s="35"/>
      <c r="H275" s="36" t="n">
        <f aca="false">IF($A275="","",IF(ISNUMBER($G275),$G275,IF(ISNUMBER($F275),$F275,"")))</f>
        <v>0.19</v>
      </c>
      <c r="I275" s="37" t="n">
        <f aca="false">IF(OR($A275="",NOT(ISNUMBER($D275)),NOT(ISNUMBER($H275))),"",IF((1-$H275-Parâmetros!$B$8-Parâmetros!$C$8-Parâmetros!$D$8)&lt;=0,"INVALIDO",($D275+IF(ISNUMBER($E275),$E275,0)+IF(ISNUMBER(Parâmetros!$E$8),Parâmetros!$E$8,0))/(1-$H275-Parâmetros!$B$8-Parâmetros!$C$8-Parâmetros!$D$8)))</f>
        <v>877.979166666667</v>
      </c>
      <c r="J275" s="38"/>
      <c r="K275" s="39" t="n">
        <f aca="false">IF(OR($A275="",NOT(ISNUMBER($D275)),NOT(ISNUMBER($H275))),"",IF(AND(ISNUMBER($J275),$J275&gt;0),$J275,IF(ISNUMBER($I275),$I275,"")))</f>
        <v>877.979166666667</v>
      </c>
      <c r="L275" s="40" t="n">
        <f aca="false">IF(ISNUMBER($K275),$K275*$H275,"")</f>
        <v>166.816041666667</v>
      </c>
      <c r="M275" s="40" t="n">
        <f aca="false">IF(ISNUMBER($K275),$K275*Parâmetros!$B$8,"")</f>
        <v>87.7979166666667</v>
      </c>
      <c r="N275" s="40" t="n">
        <f aca="false">IF(ISNUMBER($K275),$K275*Parâmetros!$C$8,"")</f>
        <v>26.339375</v>
      </c>
      <c r="O275" s="40" t="n">
        <f aca="false">IF(ISNUMBER($K275),IF(ISNUMBER(Parâmetros!$E$8),Parâmetros!$E$8,0),"")</f>
        <v>0</v>
      </c>
      <c r="P275" s="41" t="n">
        <f aca="false">IF(ISNUMBER($K275),$K275-$D275-IF(ISNUMBER($E275),$E275,0)-$L275-$M275-$N275-$O275,"")</f>
        <v>175.595833333333</v>
      </c>
      <c r="Q275" s="42" t="n">
        <f aca="false">IF(AND(ISNUMBER($K275),$K275&gt;0),$P275/$K275,"")</f>
        <v>0.2</v>
      </c>
      <c r="R275" s="43"/>
      <c r="S275" s="44" t="str">
        <f aca="false">IF(OR(NOT(ISNUMBER($R275)),$R275=0,NOT(ISNUMBER($K275))),"",$K275*(1-$R275))</f>
        <v/>
      </c>
      <c r="T275" s="45" t="str">
        <f aca="false">IF(ISNUMBER($S275),$S275*$H275,"")</f>
        <v/>
      </c>
      <c r="U275" s="45" t="str">
        <f aca="false">IF(ISNUMBER($S275),$S275*Parâmetros!$B$8,"")</f>
        <v/>
      </c>
      <c r="V275" s="45" t="str">
        <f aca="false">IF(ISNUMBER($S275),$S275*Parâmetros!$C$8,"")</f>
        <v/>
      </c>
      <c r="W275" s="44" t="str">
        <f aca="false">IF(ISNUMBER($S275),$S275-$D275-IF(ISNUMBER($E275),$E275,0)-$O275-$T275-$U275-$V275,"")</f>
        <v/>
      </c>
      <c r="X275" s="46" t="str">
        <f aca="false">IF(AND(ISNUMBER($S275),$S275&gt;0),$W275/$S275,"")</f>
        <v/>
      </c>
      <c r="Y275" s="49"/>
      <c r="Z275" s="21"/>
    </row>
    <row r="276" customFormat="false" ht="15.75" hidden="false" customHeight="true" outlineLevel="0" collapsed="false">
      <c r="A276" s="32" t="str">
        <f aca="false">IF(Produtos!$A276="","",Produtos!$A276)</f>
        <v>P3070R</v>
      </c>
      <c r="B276" s="32" t="str">
        <f aca="false">IF(Produtos!$A276="","",Produtos!$B276)</f>
        <v>Lixeira c/Tampa Pedal 30x70 60L c/Rodízios</v>
      </c>
      <c r="C276" s="32" t="str">
        <f aca="false">IF(Produtos!$A276="","",Produtos!$C276)</f>
        <v>Lixeiras com pedal</v>
      </c>
      <c r="D276" s="33" t="n">
        <f aca="false">IF(Produtos!$A276="","",IF(Produtos!$D276="","",Produtos!$D276))</f>
        <v>491.65</v>
      </c>
      <c r="E276" s="11" t="n">
        <v>0</v>
      </c>
      <c r="F276" s="34" t="n">
        <f aca="false">IF($A276="","",IF($C276="","⚠ categoria",IFERROR(INDEX(Parâmetros!$F$13:$F$22,MATCH($C276,Parâmetros!$A$13:$A$22,0)),"⚠ categoria")))</f>
        <v>0.19</v>
      </c>
      <c r="G276" s="35"/>
      <c r="H276" s="36" t="n">
        <f aca="false">IF($A276="","",IF(ISNUMBER($G276),$G276,IF(ISNUMBER($F276),$F276,"")))</f>
        <v>0.19</v>
      </c>
      <c r="I276" s="37" t="n">
        <f aca="false">IF(OR($A276="",NOT(ISNUMBER($D276)),NOT(ISNUMBER($H276))),"",IF((1-$H276-Parâmetros!$B$8-Parâmetros!$C$8-Parâmetros!$D$8)&lt;=0,"INVALIDO",($D276+IF(ISNUMBER($E276),$E276,0)+IF(ISNUMBER(Parâmetros!$E$8),Parâmetros!$E$8,0))/(1-$H276-Parâmetros!$B$8-Parâmetros!$C$8-Parâmetros!$D$8)))</f>
        <v>1024.27083333333</v>
      </c>
      <c r="J276" s="38"/>
      <c r="K276" s="39" t="n">
        <f aca="false">IF(OR($A276="",NOT(ISNUMBER($D276)),NOT(ISNUMBER($H276))),"",IF(AND(ISNUMBER($J276),$J276&gt;0),$J276,IF(ISNUMBER($I276),$I276,"")))</f>
        <v>1024.27083333333</v>
      </c>
      <c r="L276" s="40" t="n">
        <f aca="false">IF(ISNUMBER($K276),$K276*$H276,"")</f>
        <v>194.611458333333</v>
      </c>
      <c r="M276" s="40" t="n">
        <f aca="false">IF(ISNUMBER($K276),$K276*Parâmetros!$B$8,"")</f>
        <v>102.427083333333</v>
      </c>
      <c r="N276" s="40" t="n">
        <f aca="false">IF(ISNUMBER($K276),$K276*Parâmetros!$C$8,"")</f>
        <v>30.728125</v>
      </c>
      <c r="O276" s="40" t="n">
        <f aca="false">IF(ISNUMBER($K276),IF(ISNUMBER(Parâmetros!$E$8),Parâmetros!$E$8,0),"")</f>
        <v>0</v>
      </c>
      <c r="P276" s="41" t="n">
        <f aca="false">IF(ISNUMBER($K276),$K276-$D276-IF(ISNUMBER($E276),$E276,0)-$L276-$M276-$N276-$O276,"")</f>
        <v>204.854166666667</v>
      </c>
      <c r="Q276" s="42" t="n">
        <f aca="false">IF(AND(ISNUMBER($K276),$K276&gt;0),$P276/$K276,"")</f>
        <v>0.2</v>
      </c>
      <c r="R276" s="43"/>
      <c r="S276" s="44" t="str">
        <f aca="false">IF(OR(NOT(ISNUMBER($R276)),$R276=0,NOT(ISNUMBER($K276))),"",$K276*(1-$R276))</f>
        <v/>
      </c>
      <c r="T276" s="45" t="str">
        <f aca="false">IF(ISNUMBER($S276),$S276*$H276,"")</f>
        <v/>
      </c>
      <c r="U276" s="45" t="str">
        <f aca="false">IF(ISNUMBER($S276),$S276*Parâmetros!$B$8,"")</f>
        <v/>
      </c>
      <c r="V276" s="45" t="str">
        <f aca="false">IF(ISNUMBER($S276),$S276*Parâmetros!$C$8,"")</f>
        <v/>
      </c>
      <c r="W276" s="44" t="str">
        <f aca="false">IF(ISNUMBER($S276),$S276-$D276-IF(ISNUMBER($E276),$E276,0)-$O276-$T276-$U276-$V276,"")</f>
        <v/>
      </c>
      <c r="X276" s="46" t="str">
        <f aca="false">IF(AND(ISNUMBER($S276),$S276&gt;0),$W276/$S276,"")</f>
        <v/>
      </c>
      <c r="Y276" s="47"/>
      <c r="Z276" s="19"/>
    </row>
    <row r="277" customFormat="false" ht="15.75" hidden="false" customHeight="true" outlineLevel="0" collapsed="false">
      <c r="A277" s="48" t="str">
        <f aca="false">IF(Produtos!$A277="","",Produtos!$A277)</f>
        <v>P4050R</v>
      </c>
      <c r="B277" s="48" t="str">
        <f aca="false">IF(Produtos!$A277="","",Produtos!$B277)</f>
        <v>Lixeira c/Tampa Pedal 40x50 65L c/Rodízios</v>
      </c>
      <c r="C277" s="48" t="str">
        <f aca="false">IF(Produtos!$A277="","",Produtos!$C277)</f>
        <v>Lixeiras com pedal</v>
      </c>
      <c r="D277" s="33" t="n">
        <f aca="false">IF(Produtos!$A277="","",IF(Produtos!$D277="","",Produtos!$D277))</f>
        <v>659.48</v>
      </c>
      <c r="E277" s="11" t="n">
        <v>0</v>
      </c>
      <c r="F277" s="34" t="n">
        <f aca="false">IF($A277="","",IF($C277="","⚠ categoria",IFERROR(INDEX(Parâmetros!$F$13:$F$22,MATCH($C277,Parâmetros!$A$13:$A$22,0)),"⚠ categoria")))</f>
        <v>0.19</v>
      </c>
      <c r="G277" s="35"/>
      <c r="H277" s="36" t="n">
        <f aca="false">IF($A277="","",IF(ISNUMBER($G277),$G277,IF(ISNUMBER($F277),$F277,"")))</f>
        <v>0.19</v>
      </c>
      <c r="I277" s="37" t="n">
        <f aca="false">IF(OR($A277="",NOT(ISNUMBER($D277)),NOT(ISNUMBER($H277))),"",IF((1-$H277-Parâmetros!$B$8-Parâmetros!$C$8-Parâmetros!$D$8)&lt;=0,"INVALIDO",($D277+IF(ISNUMBER($E277),$E277,0)+IF(ISNUMBER(Parâmetros!$E$8),Parâmetros!$E$8,0))/(1-$H277-Parâmetros!$B$8-Parâmetros!$C$8-Parâmetros!$D$8)))</f>
        <v>1373.91666666667</v>
      </c>
      <c r="J277" s="38"/>
      <c r="K277" s="39" t="n">
        <f aca="false">IF(OR($A277="",NOT(ISNUMBER($D277)),NOT(ISNUMBER($H277))),"",IF(AND(ISNUMBER($J277),$J277&gt;0),$J277,IF(ISNUMBER($I277),$I277,"")))</f>
        <v>1373.91666666667</v>
      </c>
      <c r="L277" s="40" t="n">
        <f aca="false">IF(ISNUMBER($K277),$K277*$H277,"")</f>
        <v>261.044166666667</v>
      </c>
      <c r="M277" s="40" t="n">
        <f aca="false">IF(ISNUMBER($K277),$K277*Parâmetros!$B$8,"")</f>
        <v>137.391666666667</v>
      </c>
      <c r="N277" s="40" t="n">
        <f aca="false">IF(ISNUMBER($K277),$K277*Parâmetros!$C$8,"")</f>
        <v>41.2175</v>
      </c>
      <c r="O277" s="40" t="n">
        <f aca="false">IF(ISNUMBER($K277),IF(ISNUMBER(Parâmetros!$E$8),Parâmetros!$E$8,0),"")</f>
        <v>0</v>
      </c>
      <c r="P277" s="41" t="n">
        <f aca="false">IF(ISNUMBER($K277),$K277-$D277-IF(ISNUMBER($E277),$E277,0)-$L277-$M277-$N277-$O277,"")</f>
        <v>274.783333333333</v>
      </c>
      <c r="Q277" s="42" t="n">
        <f aca="false">IF(AND(ISNUMBER($K277),$K277&gt;0),$P277/$K277,"")</f>
        <v>0.2</v>
      </c>
      <c r="R277" s="43"/>
      <c r="S277" s="44" t="str">
        <f aca="false">IF(OR(NOT(ISNUMBER($R277)),$R277=0,NOT(ISNUMBER($K277))),"",$K277*(1-$R277))</f>
        <v/>
      </c>
      <c r="T277" s="45" t="str">
        <f aca="false">IF(ISNUMBER($S277),$S277*$H277,"")</f>
        <v/>
      </c>
      <c r="U277" s="45" t="str">
        <f aca="false">IF(ISNUMBER($S277),$S277*Parâmetros!$B$8,"")</f>
        <v/>
      </c>
      <c r="V277" s="45" t="str">
        <f aca="false">IF(ISNUMBER($S277),$S277*Parâmetros!$C$8,"")</f>
        <v/>
      </c>
      <c r="W277" s="44" t="str">
        <f aca="false">IF(ISNUMBER($S277),$S277-$D277-IF(ISNUMBER($E277),$E277,0)-$O277-$T277-$U277-$V277,"")</f>
        <v/>
      </c>
      <c r="X277" s="46" t="str">
        <f aca="false">IF(AND(ISNUMBER($S277),$S277&gt;0),$W277/$S277,"")</f>
        <v/>
      </c>
      <c r="Y277" s="49"/>
      <c r="Z277" s="21"/>
    </row>
    <row r="278" customFormat="false" ht="15.75" hidden="false" customHeight="true" outlineLevel="0" collapsed="false">
      <c r="A278" s="32" t="str">
        <f aca="false">IF(Produtos!$A278="","",Produtos!$A278)</f>
        <v>P4060R</v>
      </c>
      <c r="B278" s="32" t="str">
        <f aca="false">IF(Produtos!$A278="","",Produtos!$B278)</f>
        <v>Lixeira c/Tampa Pedal 40x60 75L c/Rodízios</v>
      </c>
      <c r="C278" s="32" t="str">
        <f aca="false">IF(Produtos!$A278="","",Produtos!$C278)</f>
        <v>Lixeiras com pedal</v>
      </c>
      <c r="D278" s="33" t="n">
        <f aca="false">IF(Produtos!$A278="","",IF(Produtos!$D278="","",Produtos!$D278))</f>
        <v>700.75</v>
      </c>
      <c r="E278" s="11" t="n">
        <v>0</v>
      </c>
      <c r="F278" s="34" t="n">
        <f aca="false">IF($A278="","",IF($C278="","⚠ categoria",IFERROR(INDEX(Parâmetros!$F$13:$F$22,MATCH($C278,Parâmetros!$A$13:$A$22,0)),"⚠ categoria")))</f>
        <v>0.19</v>
      </c>
      <c r="G278" s="35"/>
      <c r="H278" s="36" t="n">
        <f aca="false">IF($A278="","",IF(ISNUMBER($G278),$G278,IF(ISNUMBER($F278),$F278,"")))</f>
        <v>0.19</v>
      </c>
      <c r="I278" s="37" t="n">
        <f aca="false">IF(OR($A278="",NOT(ISNUMBER($D278)),NOT(ISNUMBER($H278))),"",IF((1-$H278-Parâmetros!$B$8-Parâmetros!$C$8-Parâmetros!$D$8)&lt;=0,"INVALIDO",($D278+IF(ISNUMBER($E278),$E278,0)+IF(ISNUMBER(Parâmetros!$E$8),Parâmetros!$E$8,0))/(1-$H278-Parâmetros!$B$8-Parâmetros!$C$8-Parâmetros!$D$8)))</f>
        <v>1459.89583333333</v>
      </c>
      <c r="J278" s="38"/>
      <c r="K278" s="39" t="n">
        <f aca="false">IF(OR($A278="",NOT(ISNUMBER($D278)),NOT(ISNUMBER($H278))),"",IF(AND(ISNUMBER($J278),$J278&gt;0),$J278,IF(ISNUMBER($I278),$I278,"")))</f>
        <v>1459.89583333333</v>
      </c>
      <c r="L278" s="40" t="n">
        <f aca="false">IF(ISNUMBER($K278),$K278*$H278,"")</f>
        <v>277.380208333333</v>
      </c>
      <c r="M278" s="40" t="n">
        <f aca="false">IF(ISNUMBER($K278),$K278*Parâmetros!$B$8,"")</f>
        <v>145.989583333333</v>
      </c>
      <c r="N278" s="40" t="n">
        <f aca="false">IF(ISNUMBER($K278),$K278*Parâmetros!$C$8,"")</f>
        <v>43.796875</v>
      </c>
      <c r="O278" s="40" t="n">
        <f aca="false">IF(ISNUMBER($K278),IF(ISNUMBER(Parâmetros!$E$8),Parâmetros!$E$8,0),"")</f>
        <v>0</v>
      </c>
      <c r="P278" s="41" t="n">
        <f aca="false">IF(ISNUMBER($K278),$K278-$D278-IF(ISNUMBER($E278),$E278,0)-$L278-$M278-$N278-$O278,"")</f>
        <v>291.979166666667</v>
      </c>
      <c r="Q278" s="42" t="n">
        <f aca="false">IF(AND(ISNUMBER($K278),$K278&gt;0),$P278/$K278,"")</f>
        <v>0.2</v>
      </c>
      <c r="R278" s="43"/>
      <c r="S278" s="44" t="str">
        <f aca="false">IF(OR(NOT(ISNUMBER($R278)),$R278=0,NOT(ISNUMBER($K278))),"",$K278*(1-$R278))</f>
        <v/>
      </c>
      <c r="T278" s="45" t="str">
        <f aca="false">IF(ISNUMBER($S278),$S278*$H278,"")</f>
        <v/>
      </c>
      <c r="U278" s="45" t="str">
        <f aca="false">IF(ISNUMBER($S278),$S278*Parâmetros!$B$8,"")</f>
        <v/>
      </c>
      <c r="V278" s="45" t="str">
        <f aca="false">IF(ISNUMBER($S278),$S278*Parâmetros!$C$8,"")</f>
        <v/>
      </c>
      <c r="W278" s="44" t="str">
        <f aca="false">IF(ISNUMBER($S278),$S278-$D278-IF(ISNUMBER($E278),$E278,0)-$O278-$T278-$U278-$V278,"")</f>
        <v/>
      </c>
      <c r="X278" s="46" t="str">
        <f aca="false">IF(AND(ISNUMBER($S278),$S278&gt;0),$W278/$S278,"")</f>
        <v/>
      </c>
      <c r="Y278" s="47"/>
      <c r="Z278" s="19"/>
    </row>
    <row r="279" customFormat="false" ht="15.75" hidden="false" customHeight="true" outlineLevel="0" collapsed="false">
      <c r="A279" s="48" t="str">
        <f aca="false">IF(Produtos!$A279="","",Produtos!$A279)</f>
        <v>P4070R</v>
      </c>
      <c r="B279" s="48" t="str">
        <f aca="false">IF(Produtos!$A279="","",Produtos!$B279)</f>
        <v>Lixeira c/Tampa Pedal 40x70 80L c/Rodízios</v>
      </c>
      <c r="C279" s="48" t="str">
        <f aca="false">IF(Produtos!$A279="","",Produtos!$C279)</f>
        <v>Lixeiras com pedal</v>
      </c>
      <c r="D279" s="33" t="n">
        <f aca="false">IF(Produtos!$A279="","",IF(Produtos!$D279="","",Produtos!$D279))</f>
        <v>709.85</v>
      </c>
      <c r="E279" s="11" t="n">
        <v>0</v>
      </c>
      <c r="F279" s="34" t="n">
        <f aca="false">IF($A279="","",IF($C279="","⚠ categoria",IFERROR(INDEX(Parâmetros!$F$13:$F$22,MATCH($C279,Parâmetros!$A$13:$A$22,0)),"⚠ categoria")))</f>
        <v>0.19</v>
      </c>
      <c r="G279" s="35"/>
      <c r="H279" s="36" t="n">
        <f aca="false">IF($A279="","",IF(ISNUMBER($G279),$G279,IF(ISNUMBER($F279),$F279,"")))</f>
        <v>0.19</v>
      </c>
      <c r="I279" s="37" t="n">
        <f aca="false">IF(OR($A279="",NOT(ISNUMBER($D279)),NOT(ISNUMBER($H279))),"",IF((1-$H279-Parâmetros!$B$8-Parâmetros!$C$8-Parâmetros!$D$8)&lt;=0,"INVALIDO",($D279+IF(ISNUMBER($E279),$E279,0)+IF(ISNUMBER(Parâmetros!$E$8),Parâmetros!$E$8,0))/(1-$H279-Parâmetros!$B$8-Parâmetros!$C$8-Parâmetros!$D$8)))</f>
        <v>1478.85416666667</v>
      </c>
      <c r="J279" s="38"/>
      <c r="K279" s="39" t="n">
        <f aca="false">IF(OR($A279="",NOT(ISNUMBER($D279)),NOT(ISNUMBER($H279))),"",IF(AND(ISNUMBER($J279),$J279&gt;0),$J279,IF(ISNUMBER($I279),$I279,"")))</f>
        <v>1478.85416666667</v>
      </c>
      <c r="L279" s="40" t="n">
        <f aca="false">IF(ISNUMBER($K279),$K279*$H279,"")</f>
        <v>280.982291666667</v>
      </c>
      <c r="M279" s="40" t="n">
        <f aca="false">IF(ISNUMBER($K279),$K279*Parâmetros!$B$8,"")</f>
        <v>147.885416666667</v>
      </c>
      <c r="N279" s="40" t="n">
        <f aca="false">IF(ISNUMBER($K279),$K279*Parâmetros!$C$8,"")</f>
        <v>44.365625</v>
      </c>
      <c r="O279" s="40" t="n">
        <f aca="false">IF(ISNUMBER($K279),IF(ISNUMBER(Parâmetros!$E$8),Parâmetros!$E$8,0),"")</f>
        <v>0</v>
      </c>
      <c r="P279" s="41" t="n">
        <f aca="false">IF(ISNUMBER($K279),$K279-$D279-IF(ISNUMBER($E279),$E279,0)-$L279-$M279-$N279-$O279,"")</f>
        <v>295.770833333333</v>
      </c>
      <c r="Q279" s="42" t="n">
        <f aca="false">IF(AND(ISNUMBER($K279),$K279&gt;0),$P279/$K279,"")</f>
        <v>0.2</v>
      </c>
      <c r="R279" s="43"/>
      <c r="S279" s="44" t="str">
        <f aca="false">IF(OR(NOT(ISNUMBER($R279)),$R279=0,NOT(ISNUMBER($K279))),"",$K279*(1-$R279))</f>
        <v/>
      </c>
      <c r="T279" s="45" t="str">
        <f aca="false">IF(ISNUMBER($S279),$S279*$H279,"")</f>
        <v/>
      </c>
      <c r="U279" s="45" t="str">
        <f aca="false">IF(ISNUMBER($S279),$S279*Parâmetros!$B$8,"")</f>
        <v/>
      </c>
      <c r="V279" s="45" t="str">
        <f aca="false">IF(ISNUMBER($S279),$S279*Parâmetros!$C$8,"")</f>
        <v/>
      </c>
      <c r="W279" s="44" t="str">
        <f aca="false">IF(ISNUMBER($S279),$S279-$D279-IF(ISNUMBER($E279),$E279,0)-$O279-$T279-$U279-$V279,"")</f>
        <v/>
      </c>
      <c r="X279" s="46" t="str">
        <f aca="false">IF(AND(ISNUMBER($S279),$S279&gt;0),$W279/$S279,"")</f>
        <v/>
      </c>
      <c r="Y279" s="49"/>
      <c r="Z279" s="21"/>
    </row>
    <row r="280" customFormat="false" ht="15.75" hidden="false" customHeight="true" outlineLevel="0" collapsed="false">
      <c r="A280" s="32" t="str">
        <f aca="false">IF(Produtos!$A280="","",Produtos!$A280)</f>
        <v>P4075R</v>
      </c>
      <c r="B280" s="32" t="str">
        <f aca="false">IF(Produtos!$A280="","",Produtos!$B280)</f>
        <v>Lixeira c/Tampa Pedal 40x75 95L c/Rodízios</v>
      </c>
      <c r="C280" s="32" t="str">
        <f aca="false">IF(Produtos!$A280="","",Produtos!$C280)</f>
        <v>Lixeiras com pedal</v>
      </c>
      <c r="D280" s="33" t="n">
        <f aca="false">IF(Produtos!$A280="","",IF(Produtos!$D280="","",Produtos!$D280))</f>
        <v>771.39</v>
      </c>
      <c r="E280" s="11" t="n">
        <v>0</v>
      </c>
      <c r="F280" s="34" t="n">
        <f aca="false">IF($A280="","",IF($C280="","⚠ categoria",IFERROR(INDEX(Parâmetros!$F$13:$F$22,MATCH($C280,Parâmetros!$A$13:$A$22,0)),"⚠ categoria")))</f>
        <v>0.19</v>
      </c>
      <c r="G280" s="35"/>
      <c r="H280" s="36" t="n">
        <f aca="false">IF($A280="","",IF(ISNUMBER($G280),$G280,IF(ISNUMBER($F280),$F280,"")))</f>
        <v>0.19</v>
      </c>
      <c r="I280" s="37" t="n">
        <f aca="false">IF(OR($A280="",NOT(ISNUMBER($D280)),NOT(ISNUMBER($H280))),"",IF((1-$H280-Parâmetros!$B$8-Parâmetros!$C$8-Parâmetros!$D$8)&lt;=0,"INVALIDO",($D280+IF(ISNUMBER($E280),$E280,0)+IF(ISNUMBER(Parâmetros!$E$8),Parâmetros!$E$8,0))/(1-$H280-Parâmetros!$B$8-Parâmetros!$C$8-Parâmetros!$D$8)))</f>
        <v>1607.0625</v>
      </c>
      <c r="J280" s="38"/>
      <c r="K280" s="39" t="n">
        <f aca="false">IF(OR($A280="",NOT(ISNUMBER($D280)),NOT(ISNUMBER($H280))),"",IF(AND(ISNUMBER($J280),$J280&gt;0),$J280,IF(ISNUMBER($I280),$I280,"")))</f>
        <v>1607.0625</v>
      </c>
      <c r="L280" s="40" t="n">
        <f aca="false">IF(ISNUMBER($K280),$K280*$H280,"")</f>
        <v>305.341875</v>
      </c>
      <c r="M280" s="40" t="n">
        <f aca="false">IF(ISNUMBER($K280),$K280*Parâmetros!$B$8,"")</f>
        <v>160.70625</v>
      </c>
      <c r="N280" s="40" t="n">
        <f aca="false">IF(ISNUMBER($K280),$K280*Parâmetros!$C$8,"")</f>
        <v>48.211875</v>
      </c>
      <c r="O280" s="40" t="n">
        <f aca="false">IF(ISNUMBER($K280),IF(ISNUMBER(Parâmetros!$E$8),Parâmetros!$E$8,0),"")</f>
        <v>0</v>
      </c>
      <c r="P280" s="41" t="n">
        <f aca="false">IF(ISNUMBER($K280),$K280-$D280-IF(ISNUMBER($E280),$E280,0)-$L280-$M280-$N280-$O280,"")</f>
        <v>321.4125</v>
      </c>
      <c r="Q280" s="42" t="n">
        <f aca="false">IF(AND(ISNUMBER($K280),$K280&gt;0),$P280/$K280,"")</f>
        <v>0.2</v>
      </c>
      <c r="R280" s="43"/>
      <c r="S280" s="44" t="str">
        <f aca="false">IF(OR(NOT(ISNUMBER($R280)),$R280=0,NOT(ISNUMBER($K280))),"",$K280*(1-$R280))</f>
        <v/>
      </c>
      <c r="T280" s="45" t="str">
        <f aca="false">IF(ISNUMBER($S280),$S280*$H280,"")</f>
        <v/>
      </c>
      <c r="U280" s="45" t="str">
        <f aca="false">IF(ISNUMBER($S280),$S280*Parâmetros!$B$8,"")</f>
        <v/>
      </c>
      <c r="V280" s="45" t="str">
        <f aca="false">IF(ISNUMBER($S280),$S280*Parâmetros!$C$8,"")</f>
        <v/>
      </c>
      <c r="W280" s="44" t="str">
        <f aca="false">IF(ISNUMBER($S280),$S280-$D280-IF(ISNUMBER($E280),$E280,0)-$O280-$T280-$U280-$V280,"")</f>
        <v/>
      </c>
      <c r="X280" s="46" t="str">
        <f aca="false">IF(AND(ISNUMBER($S280),$S280&gt;0),$W280/$S280,"")</f>
        <v/>
      </c>
      <c r="Y280" s="47"/>
      <c r="Z280" s="19"/>
    </row>
    <row r="281" customFormat="false" ht="15.75" hidden="false" customHeight="true" outlineLevel="0" collapsed="false">
      <c r="A281" s="48" t="str">
        <f aca="false">IF(Produtos!$A281="","",Produtos!$A281)</f>
        <v>P4080R</v>
      </c>
      <c r="B281" s="48" t="str">
        <f aca="false">IF(Produtos!$A281="","",Produtos!$B281)</f>
        <v>Lixeira c/Tampa Pedal 40x80 100L c/Rodízios</v>
      </c>
      <c r="C281" s="48" t="str">
        <f aca="false">IF(Produtos!$A281="","",Produtos!$C281)</f>
        <v>Lixeiras com pedal</v>
      </c>
      <c r="D281" s="33" t="n">
        <f aca="false">IF(Produtos!$A281="","",IF(Produtos!$D281="","",Produtos!$D281))</f>
        <v>847.75</v>
      </c>
      <c r="E281" s="11" t="n">
        <v>0</v>
      </c>
      <c r="F281" s="34" t="n">
        <f aca="false">IF($A281="","",IF($C281="","⚠ categoria",IFERROR(INDEX(Parâmetros!$F$13:$F$22,MATCH($C281,Parâmetros!$A$13:$A$22,0)),"⚠ categoria")))</f>
        <v>0.19</v>
      </c>
      <c r="G281" s="35"/>
      <c r="H281" s="36" t="n">
        <f aca="false">IF($A281="","",IF(ISNUMBER($G281),$G281,IF(ISNUMBER($F281),$F281,"")))</f>
        <v>0.19</v>
      </c>
      <c r="I281" s="37" t="n">
        <f aca="false">IF(OR($A281="",NOT(ISNUMBER($D281)),NOT(ISNUMBER($H281))),"",IF((1-$H281-Parâmetros!$B$8-Parâmetros!$C$8-Parâmetros!$D$8)&lt;=0,"INVALIDO",($D281+IF(ISNUMBER($E281),$E281,0)+IF(ISNUMBER(Parâmetros!$E$8),Parâmetros!$E$8,0))/(1-$H281-Parâmetros!$B$8-Parâmetros!$C$8-Parâmetros!$D$8)))</f>
        <v>1766.14583333333</v>
      </c>
      <c r="J281" s="38"/>
      <c r="K281" s="39" t="n">
        <f aca="false">IF(OR($A281="",NOT(ISNUMBER($D281)),NOT(ISNUMBER($H281))),"",IF(AND(ISNUMBER($J281),$J281&gt;0),$J281,IF(ISNUMBER($I281),$I281,"")))</f>
        <v>1766.14583333333</v>
      </c>
      <c r="L281" s="40" t="n">
        <f aca="false">IF(ISNUMBER($K281),$K281*$H281,"")</f>
        <v>335.567708333333</v>
      </c>
      <c r="M281" s="40" t="n">
        <f aca="false">IF(ISNUMBER($K281),$K281*Parâmetros!$B$8,"")</f>
        <v>176.614583333333</v>
      </c>
      <c r="N281" s="40" t="n">
        <f aca="false">IF(ISNUMBER($K281),$K281*Parâmetros!$C$8,"")</f>
        <v>52.984375</v>
      </c>
      <c r="O281" s="40" t="n">
        <f aca="false">IF(ISNUMBER($K281),IF(ISNUMBER(Parâmetros!$E$8),Parâmetros!$E$8,0),"")</f>
        <v>0</v>
      </c>
      <c r="P281" s="41" t="n">
        <f aca="false">IF(ISNUMBER($K281),$K281-$D281-IF(ISNUMBER($E281),$E281,0)-$L281-$M281-$N281-$O281,"")</f>
        <v>353.229166666667</v>
      </c>
      <c r="Q281" s="42" t="n">
        <f aca="false">IF(AND(ISNUMBER($K281),$K281&gt;0),$P281/$K281,"")</f>
        <v>0.2</v>
      </c>
      <c r="R281" s="43"/>
      <c r="S281" s="44" t="str">
        <f aca="false">IF(OR(NOT(ISNUMBER($R281)),$R281=0,NOT(ISNUMBER($K281))),"",$K281*(1-$R281))</f>
        <v/>
      </c>
      <c r="T281" s="45" t="str">
        <f aca="false">IF(ISNUMBER($S281),$S281*$H281,"")</f>
        <v/>
      </c>
      <c r="U281" s="45" t="str">
        <f aca="false">IF(ISNUMBER($S281),$S281*Parâmetros!$B$8,"")</f>
        <v/>
      </c>
      <c r="V281" s="45" t="str">
        <f aca="false">IF(ISNUMBER($S281),$S281*Parâmetros!$C$8,"")</f>
        <v/>
      </c>
      <c r="W281" s="44" t="str">
        <f aca="false">IF(ISNUMBER($S281),$S281-$D281-IF(ISNUMBER($E281),$E281,0)-$O281-$T281-$U281-$V281,"")</f>
        <v/>
      </c>
      <c r="X281" s="46" t="str">
        <f aca="false">IF(AND(ISNUMBER($S281),$S281&gt;0),$W281/$S281,"")</f>
        <v/>
      </c>
      <c r="Y281" s="49"/>
      <c r="Z281" s="21"/>
    </row>
    <row r="282" customFormat="false" ht="15.75" hidden="false" customHeight="true" outlineLevel="0" collapsed="false">
      <c r="A282" s="32" t="str">
        <f aca="false">IF(Produtos!$A282="","",Produtos!$A282)</f>
        <v>P4090R</v>
      </c>
      <c r="B282" s="32" t="str">
        <f aca="false">IF(Produtos!$A282="","",Produtos!$B282)</f>
        <v>Lixeira c/Tampa Pedal 40x90 120L c/Rodízios</v>
      </c>
      <c r="C282" s="32" t="str">
        <f aca="false">IF(Produtos!$A282="","",Produtos!$C282)</f>
        <v>Lixeiras com pedal</v>
      </c>
      <c r="D282" s="33" t="n">
        <f aca="false">IF(Produtos!$A282="","",IF(Produtos!$D282="","",Produtos!$D282))</f>
        <v>1057.78</v>
      </c>
      <c r="E282" s="11" t="n">
        <v>0</v>
      </c>
      <c r="F282" s="34" t="n">
        <f aca="false">IF($A282="","",IF($C282="","⚠ categoria",IFERROR(INDEX(Parâmetros!$F$13:$F$22,MATCH($C282,Parâmetros!$A$13:$A$22,0)),"⚠ categoria")))</f>
        <v>0.19</v>
      </c>
      <c r="G282" s="35"/>
      <c r="H282" s="36" t="n">
        <f aca="false">IF($A282="","",IF(ISNUMBER($G282),$G282,IF(ISNUMBER($F282),$F282,"")))</f>
        <v>0.19</v>
      </c>
      <c r="I282" s="37" t="n">
        <f aca="false">IF(OR($A282="",NOT(ISNUMBER($D282)),NOT(ISNUMBER($H282))),"",IF((1-$H282-Parâmetros!$B$8-Parâmetros!$C$8-Parâmetros!$D$8)&lt;=0,"INVALIDO",($D282+IF(ISNUMBER($E282),$E282,0)+IF(ISNUMBER(Parâmetros!$E$8),Parâmetros!$E$8,0))/(1-$H282-Parâmetros!$B$8-Parâmetros!$C$8-Parâmetros!$D$8)))</f>
        <v>2203.70833333333</v>
      </c>
      <c r="J282" s="38"/>
      <c r="K282" s="39" t="n">
        <f aca="false">IF(OR($A282="",NOT(ISNUMBER($D282)),NOT(ISNUMBER($H282))),"",IF(AND(ISNUMBER($J282),$J282&gt;0),$J282,IF(ISNUMBER($I282),$I282,"")))</f>
        <v>2203.70833333333</v>
      </c>
      <c r="L282" s="40" t="n">
        <f aca="false">IF(ISNUMBER($K282),$K282*$H282,"")</f>
        <v>418.704583333333</v>
      </c>
      <c r="M282" s="40" t="n">
        <f aca="false">IF(ISNUMBER($K282),$K282*Parâmetros!$B$8,"")</f>
        <v>220.370833333333</v>
      </c>
      <c r="N282" s="40" t="n">
        <f aca="false">IF(ISNUMBER($K282),$K282*Parâmetros!$C$8,"")</f>
        <v>66.11125</v>
      </c>
      <c r="O282" s="40" t="n">
        <f aca="false">IF(ISNUMBER($K282),IF(ISNUMBER(Parâmetros!$E$8),Parâmetros!$E$8,0),"")</f>
        <v>0</v>
      </c>
      <c r="P282" s="41" t="n">
        <f aca="false">IF(ISNUMBER($K282),$K282-$D282-IF(ISNUMBER($E282),$E282,0)-$L282-$M282-$N282-$O282,"")</f>
        <v>440.741666666667</v>
      </c>
      <c r="Q282" s="42" t="n">
        <f aca="false">IF(AND(ISNUMBER($K282),$K282&gt;0),$P282/$K282,"")</f>
        <v>0.2</v>
      </c>
      <c r="R282" s="43"/>
      <c r="S282" s="44" t="str">
        <f aca="false">IF(OR(NOT(ISNUMBER($R282)),$R282=0,NOT(ISNUMBER($K282))),"",$K282*(1-$R282))</f>
        <v/>
      </c>
      <c r="T282" s="45" t="str">
        <f aca="false">IF(ISNUMBER($S282),$S282*$H282,"")</f>
        <v/>
      </c>
      <c r="U282" s="45" t="str">
        <f aca="false">IF(ISNUMBER($S282),$S282*Parâmetros!$B$8,"")</f>
        <v/>
      </c>
      <c r="V282" s="45" t="str">
        <f aca="false">IF(ISNUMBER($S282),$S282*Parâmetros!$C$8,"")</f>
        <v/>
      </c>
      <c r="W282" s="44" t="str">
        <f aca="false">IF(ISNUMBER($S282),$S282-$D282-IF(ISNUMBER($E282),$E282,0)-$O282-$T282-$U282-$V282,"")</f>
        <v/>
      </c>
      <c r="X282" s="46" t="str">
        <f aca="false">IF(AND(ISNUMBER($S282),$S282&gt;0),$W282/$S282,"")</f>
        <v/>
      </c>
      <c r="Y282" s="47"/>
      <c r="Z282" s="19"/>
    </row>
    <row r="283" customFormat="false" ht="15.75" hidden="false" customHeight="true" outlineLevel="0" collapsed="false">
      <c r="A283" s="48" t="str">
        <f aca="false">IF(Produtos!$A283="","",Produtos!$A283)</f>
        <v>P1618ALC</v>
      </c>
      <c r="B283" s="48" t="str">
        <f aca="false">IF(Produtos!$A283="","",Produtos!$B283)</f>
        <v>Lixeira c/Tampa Pedal 16x18 03L c/Alças</v>
      </c>
      <c r="C283" s="48" t="str">
        <f aca="false">IF(Produtos!$A283="","",Produtos!$C283)</f>
        <v>Lixeiras com pedal</v>
      </c>
      <c r="D283" s="33" t="n">
        <f aca="false">IF(Produtos!$A283="","",IF(Produtos!$D283="","",Produtos!$D283))</f>
        <v>156.92</v>
      </c>
      <c r="E283" s="11" t="n">
        <v>0</v>
      </c>
      <c r="F283" s="34" t="n">
        <f aca="false">IF($A283="","",IF($C283="","⚠ categoria",IFERROR(INDEX(Parâmetros!$F$13:$F$22,MATCH($C283,Parâmetros!$A$13:$A$22,0)),"⚠ categoria")))</f>
        <v>0.19</v>
      </c>
      <c r="G283" s="35"/>
      <c r="H283" s="36" t="n">
        <f aca="false">IF($A283="","",IF(ISNUMBER($G283),$G283,IF(ISNUMBER($F283),$F283,"")))</f>
        <v>0.19</v>
      </c>
      <c r="I283" s="37" t="n">
        <f aca="false">IF(OR($A283="",NOT(ISNUMBER($D283)),NOT(ISNUMBER($H283))),"",IF((1-$H283-Parâmetros!$B$8-Parâmetros!$C$8-Parâmetros!$D$8)&lt;=0,"INVALIDO",($D283+IF(ISNUMBER($E283),$E283,0)+IF(ISNUMBER(Parâmetros!$E$8),Parâmetros!$E$8,0))/(1-$H283-Parâmetros!$B$8-Parâmetros!$C$8-Parâmetros!$D$8)))</f>
        <v>326.916666666667</v>
      </c>
      <c r="J283" s="38"/>
      <c r="K283" s="39" t="n">
        <f aca="false">IF(OR($A283="",NOT(ISNUMBER($D283)),NOT(ISNUMBER($H283))),"",IF(AND(ISNUMBER($J283),$J283&gt;0),$J283,IF(ISNUMBER($I283),$I283,"")))</f>
        <v>326.916666666667</v>
      </c>
      <c r="L283" s="40" t="n">
        <f aca="false">IF(ISNUMBER($K283),$K283*$H283,"")</f>
        <v>62.1141666666667</v>
      </c>
      <c r="M283" s="40" t="n">
        <f aca="false">IF(ISNUMBER($K283),$K283*Parâmetros!$B$8,"")</f>
        <v>32.6916666666667</v>
      </c>
      <c r="N283" s="40" t="n">
        <f aca="false">IF(ISNUMBER($K283),$K283*Parâmetros!$C$8,"")</f>
        <v>9.8075</v>
      </c>
      <c r="O283" s="40" t="n">
        <f aca="false">IF(ISNUMBER($K283),IF(ISNUMBER(Parâmetros!$E$8),Parâmetros!$E$8,0),"")</f>
        <v>0</v>
      </c>
      <c r="P283" s="41" t="n">
        <f aca="false">IF(ISNUMBER($K283),$K283-$D283-IF(ISNUMBER($E283),$E283,0)-$L283-$M283-$N283-$O283,"")</f>
        <v>65.3833333333333</v>
      </c>
      <c r="Q283" s="42" t="n">
        <f aca="false">IF(AND(ISNUMBER($K283),$K283&gt;0),$P283/$K283,"")</f>
        <v>0.2</v>
      </c>
      <c r="R283" s="43"/>
      <c r="S283" s="44" t="str">
        <f aca="false">IF(OR(NOT(ISNUMBER($R283)),$R283=0,NOT(ISNUMBER($K283))),"",$K283*(1-$R283))</f>
        <v/>
      </c>
      <c r="T283" s="45" t="str">
        <f aca="false">IF(ISNUMBER($S283),$S283*$H283,"")</f>
        <v/>
      </c>
      <c r="U283" s="45" t="str">
        <f aca="false">IF(ISNUMBER($S283),$S283*Parâmetros!$B$8,"")</f>
        <v/>
      </c>
      <c r="V283" s="45" t="str">
        <f aca="false">IF(ISNUMBER($S283),$S283*Parâmetros!$C$8,"")</f>
        <v/>
      </c>
      <c r="W283" s="44" t="str">
        <f aca="false">IF(ISNUMBER($S283),$S283-$D283-IF(ISNUMBER($E283),$E283,0)-$O283-$T283-$U283-$V283,"")</f>
        <v/>
      </c>
      <c r="X283" s="46" t="str">
        <f aca="false">IF(AND(ISNUMBER($S283),$S283&gt;0),$W283/$S283,"")</f>
        <v/>
      </c>
      <c r="Y283" s="49"/>
      <c r="Z283" s="21"/>
    </row>
    <row r="284" customFormat="false" ht="15.75" hidden="false" customHeight="true" outlineLevel="0" collapsed="false">
      <c r="A284" s="32" t="str">
        <f aca="false">IF(Produtos!$A284="","",Produtos!$A284)</f>
        <v>P1623ALC</v>
      </c>
      <c r="B284" s="32" t="str">
        <f aca="false">IF(Produtos!$A284="","",Produtos!$B284)</f>
        <v>Lixeira c/Tampa Pedal 16x23 05L c/Alças</v>
      </c>
      <c r="C284" s="32" t="str">
        <f aca="false">IF(Produtos!$A284="","",Produtos!$C284)</f>
        <v>Lixeiras com pedal</v>
      </c>
      <c r="D284" s="33" t="n">
        <f aca="false">IF(Produtos!$A284="","",IF(Produtos!$D284="","",Produtos!$D284))</f>
        <v>170.79</v>
      </c>
      <c r="E284" s="11" t="n">
        <v>0</v>
      </c>
      <c r="F284" s="34" t="n">
        <f aca="false">IF($A284="","",IF($C284="","⚠ categoria",IFERROR(INDEX(Parâmetros!$F$13:$F$22,MATCH($C284,Parâmetros!$A$13:$A$22,0)),"⚠ categoria")))</f>
        <v>0.19</v>
      </c>
      <c r="G284" s="35"/>
      <c r="H284" s="36" t="n">
        <f aca="false">IF($A284="","",IF(ISNUMBER($G284),$G284,IF(ISNUMBER($F284),$F284,"")))</f>
        <v>0.19</v>
      </c>
      <c r="I284" s="37" t="n">
        <f aca="false">IF(OR($A284="",NOT(ISNUMBER($D284)),NOT(ISNUMBER($H284))),"",IF((1-$H284-Parâmetros!$B$8-Parâmetros!$C$8-Parâmetros!$D$8)&lt;=0,"INVALIDO",($D284+IF(ISNUMBER($E284),$E284,0)+IF(ISNUMBER(Parâmetros!$E$8),Parâmetros!$E$8,0))/(1-$H284-Parâmetros!$B$8-Parâmetros!$C$8-Parâmetros!$D$8)))</f>
        <v>355.8125</v>
      </c>
      <c r="J284" s="38"/>
      <c r="K284" s="39" t="n">
        <f aca="false">IF(OR($A284="",NOT(ISNUMBER($D284)),NOT(ISNUMBER($H284))),"",IF(AND(ISNUMBER($J284),$J284&gt;0),$J284,IF(ISNUMBER($I284),$I284,"")))</f>
        <v>355.8125</v>
      </c>
      <c r="L284" s="40" t="n">
        <f aca="false">IF(ISNUMBER($K284),$K284*$H284,"")</f>
        <v>67.604375</v>
      </c>
      <c r="M284" s="40" t="n">
        <f aca="false">IF(ISNUMBER($K284),$K284*Parâmetros!$B$8,"")</f>
        <v>35.58125</v>
      </c>
      <c r="N284" s="40" t="n">
        <f aca="false">IF(ISNUMBER($K284),$K284*Parâmetros!$C$8,"")</f>
        <v>10.674375</v>
      </c>
      <c r="O284" s="40" t="n">
        <f aca="false">IF(ISNUMBER($K284),IF(ISNUMBER(Parâmetros!$E$8),Parâmetros!$E$8,0),"")</f>
        <v>0</v>
      </c>
      <c r="P284" s="41" t="n">
        <f aca="false">IF(ISNUMBER($K284),$K284-$D284-IF(ISNUMBER($E284),$E284,0)-$L284-$M284-$N284-$O284,"")</f>
        <v>71.1625</v>
      </c>
      <c r="Q284" s="42" t="n">
        <f aca="false">IF(AND(ISNUMBER($K284),$K284&gt;0),$P284/$K284,"")</f>
        <v>0.2</v>
      </c>
      <c r="R284" s="43"/>
      <c r="S284" s="44" t="str">
        <f aca="false">IF(OR(NOT(ISNUMBER($R284)),$R284=0,NOT(ISNUMBER($K284))),"",$K284*(1-$R284))</f>
        <v/>
      </c>
      <c r="T284" s="45" t="str">
        <f aca="false">IF(ISNUMBER($S284),$S284*$H284,"")</f>
        <v/>
      </c>
      <c r="U284" s="45" t="str">
        <f aca="false">IF(ISNUMBER($S284),$S284*Parâmetros!$B$8,"")</f>
        <v/>
      </c>
      <c r="V284" s="45" t="str">
        <f aca="false">IF(ISNUMBER($S284),$S284*Parâmetros!$C$8,"")</f>
        <v/>
      </c>
      <c r="W284" s="44" t="str">
        <f aca="false">IF(ISNUMBER($S284),$S284-$D284-IF(ISNUMBER($E284),$E284,0)-$O284-$T284-$U284-$V284,"")</f>
        <v/>
      </c>
      <c r="X284" s="46" t="str">
        <f aca="false">IF(AND(ISNUMBER($S284),$S284&gt;0),$W284/$S284,"")</f>
        <v/>
      </c>
      <c r="Y284" s="47"/>
      <c r="Z284" s="19"/>
    </row>
    <row r="285" customFormat="false" ht="15.75" hidden="false" customHeight="true" outlineLevel="0" collapsed="false">
      <c r="A285" s="48" t="str">
        <f aca="false">IF(Produtos!$A285="","",Produtos!$A285)</f>
        <v>P2025ALC</v>
      </c>
      <c r="B285" s="48" t="str">
        <f aca="false">IF(Produtos!$A285="","",Produtos!$B285)</f>
        <v>Lixeira c/Tampa Pedal 20x25 07L c/Alças</v>
      </c>
      <c r="C285" s="48" t="str">
        <f aca="false">IF(Produtos!$A285="","",Produtos!$C285)</f>
        <v>Lixeiras com pedal</v>
      </c>
      <c r="D285" s="33" t="n">
        <f aca="false">IF(Produtos!$A285="","",IF(Produtos!$D285="","",Produtos!$D285))</f>
        <v>175.76</v>
      </c>
      <c r="E285" s="11" t="n">
        <v>0</v>
      </c>
      <c r="F285" s="34" t="n">
        <f aca="false">IF($A285="","",IF($C285="","⚠ categoria",IFERROR(INDEX(Parâmetros!$F$13:$F$22,MATCH($C285,Parâmetros!$A$13:$A$22,0)),"⚠ categoria")))</f>
        <v>0.19</v>
      </c>
      <c r="G285" s="35"/>
      <c r="H285" s="36" t="n">
        <f aca="false">IF($A285="","",IF(ISNUMBER($G285),$G285,IF(ISNUMBER($F285),$F285,"")))</f>
        <v>0.19</v>
      </c>
      <c r="I285" s="37" t="n">
        <f aca="false">IF(OR($A285="",NOT(ISNUMBER($D285)),NOT(ISNUMBER($H285))),"",IF((1-$H285-Parâmetros!$B$8-Parâmetros!$C$8-Parâmetros!$D$8)&lt;=0,"INVALIDO",($D285+IF(ISNUMBER($E285),$E285,0)+IF(ISNUMBER(Parâmetros!$E$8),Parâmetros!$E$8,0))/(1-$H285-Parâmetros!$B$8-Parâmetros!$C$8-Parâmetros!$D$8)))</f>
        <v>366.166666666667</v>
      </c>
      <c r="J285" s="38"/>
      <c r="K285" s="39" t="n">
        <f aca="false">IF(OR($A285="",NOT(ISNUMBER($D285)),NOT(ISNUMBER($H285))),"",IF(AND(ISNUMBER($J285),$J285&gt;0),$J285,IF(ISNUMBER($I285),$I285,"")))</f>
        <v>366.166666666667</v>
      </c>
      <c r="L285" s="40" t="n">
        <f aca="false">IF(ISNUMBER($K285),$K285*$H285,"")</f>
        <v>69.5716666666667</v>
      </c>
      <c r="M285" s="40" t="n">
        <f aca="false">IF(ISNUMBER($K285),$K285*Parâmetros!$B$8,"")</f>
        <v>36.6166666666667</v>
      </c>
      <c r="N285" s="40" t="n">
        <f aca="false">IF(ISNUMBER($K285),$K285*Parâmetros!$C$8,"")</f>
        <v>10.985</v>
      </c>
      <c r="O285" s="40" t="n">
        <f aca="false">IF(ISNUMBER($K285),IF(ISNUMBER(Parâmetros!$E$8),Parâmetros!$E$8,0),"")</f>
        <v>0</v>
      </c>
      <c r="P285" s="41" t="n">
        <f aca="false">IF(ISNUMBER($K285),$K285-$D285-IF(ISNUMBER($E285),$E285,0)-$L285-$M285-$N285-$O285,"")</f>
        <v>73.2333333333333</v>
      </c>
      <c r="Q285" s="42" t="n">
        <f aca="false">IF(AND(ISNUMBER($K285),$K285&gt;0),$P285/$K285,"")</f>
        <v>0.2</v>
      </c>
      <c r="R285" s="43"/>
      <c r="S285" s="44" t="str">
        <f aca="false">IF(OR(NOT(ISNUMBER($R285)),$R285=0,NOT(ISNUMBER($K285))),"",$K285*(1-$R285))</f>
        <v/>
      </c>
      <c r="T285" s="45" t="str">
        <f aca="false">IF(ISNUMBER($S285),$S285*$H285,"")</f>
        <v/>
      </c>
      <c r="U285" s="45" t="str">
        <f aca="false">IF(ISNUMBER($S285),$S285*Parâmetros!$B$8,"")</f>
        <v/>
      </c>
      <c r="V285" s="45" t="str">
        <f aca="false">IF(ISNUMBER($S285),$S285*Parâmetros!$C$8,"")</f>
        <v/>
      </c>
      <c r="W285" s="44" t="str">
        <f aca="false">IF(ISNUMBER($S285),$S285-$D285-IF(ISNUMBER($E285),$E285,0)-$O285-$T285-$U285-$V285,"")</f>
        <v/>
      </c>
      <c r="X285" s="46" t="str">
        <f aca="false">IF(AND(ISNUMBER($S285),$S285&gt;0),$W285/$S285,"")</f>
        <v/>
      </c>
      <c r="Y285" s="49"/>
      <c r="Z285" s="21"/>
    </row>
    <row r="286" customFormat="false" ht="15.75" hidden="false" customHeight="true" outlineLevel="0" collapsed="false">
      <c r="A286" s="32" t="str">
        <f aca="false">IF(Produtos!$A286="","",Produtos!$A286)</f>
        <v>P2030ALC</v>
      </c>
      <c r="B286" s="32" t="str">
        <f aca="false">IF(Produtos!$A286="","",Produtos!$B286)</f>
        <v>Lixeira c/Tampa Pedal 20x30 10L c/Alças</v>
      </c>
      <c r="C286" s="32" t="str">
        <f aca="false">IF(Produtos!$A286="","",Produtos!$C286)</f>
        <v>Lixeiras com pedal</v>
      </c>
      <c r="D286" s="33" t="n">
        <f aca="false">IF(Produtos!$A286="","",IF(Produtos!$D286="","",Produtos!$D286))</f>
        <v>190.1</v>
      </c>
      <c r="E286" s="11" t="n">
        <v>0</v>
      </c>
      <c r="F286" s="34" t="n">
        <f aca="false">IF($A286="","",IF($C286="","⚠ categoria",IFERROR(INDEX(Parâmetros!$F$13:$F$22,MATCH($C286,Parâmetros!$A$13:$A$22,0)),"⚠ categoria")))</f>
        <v>0.19</v>
      </c>
      <c r="G286" s="35"/>
      <c r="H286" s="36" t="n">
        <f aca="false">IF($A286="","",IF(ISNUMBER($G286),$G286,IF(ISNUMBER($F286),$F286,"")))</f>
        <v>0.19</v>
      </c>
      <c r="I286" s="37" t="n">
        <f aca="false">IF(OR($A286="",NOT(ISNUMBER($D286)),NOT(ISNUMBER($H286))),"",IF((1-$H286-Parâmetros!$B$8-Parâmetros!$C$8-Parâmetros!$D$8)&lt;=0,"INVALIDO",($D286+IF(ISNUMBER($E286),$E286,0)+IF(ISNUMBER(Parâmetros!$E$8),Parâmetros!$E$8,0))/(1-$H286-Parâmetros!$B$8-Parâmetros!$C$8-Parâmetros!$D$8)))</f>
        <v>396.041666666667</v>
      </c>
      <c r="J286" s="38"/>
      <c r="K286" s="39" t="n">
        <f aca="false">IF(OR($A286="",NOT(ISNUMBER($D286)),NOT(ISNUMBER($H286))),"",IF(AND(ISNUMBER($J286),$J286&gt;0),$J286,IF(ISNUMBER($I286),$I286,"")))</f>
        <v>396.041666666667</v>
      </c>
      <c r="L286" s="40" t="n">
        <f aca="false">IF(ISNUMBER($K286),$K286*$H286,"")</f>
        <v>75.2479166666667</v>
      </c>
      <c r="M286" s="40" t="n">
        <f aca="false">IF(ISNUMBER($K286),$K286*Parâmetros!$B$8,"")</f>
        <v>39.6041666666667</v>
      </c>
      <c r="N286" s="40" t="n">
        <f aca="false">IF(ISNUMBER($K286),$K286*Parâmetros!$C$8,"")</f>
        <v>11.88125</v>
      </c>
      <c r="O286" s="40" t="n">
        <f aca="false">IF(ISNUMBER($K286),IF(ISNUMBER(Parâmetros!$E$8),Parâmetros!$E$8,0),"")</f>
        <v>0</v>
      </c>
      <c r="P286" s="41" t="n">
        <f aca="false">IF(ISNUMBER($K286),$K286-$D286-IF(ISNUMBER($E286),$E286,0)-$L286-$M286-$N286-$O286,"")</f>
        <v>79.2083333333333</v>
      </c>
      <c r="Q286" s="42" t="n">
        <f aca="false">IF(AND(ISNUMBER($K286),$K286&gt;0),$P286/$K286,"")</f>
        <v>0.2</v>
      </c>
      <c r="R286" s="43"/>
      <c r="S286" s="44" t="str">
        <f aca="false">IF(OR(NOT(ISNUMBER($R286)),$R286=0,NOT(ISNUMBER($K286))),"",$K286*(1-$R286))</f>
        <v/>
      </c>
      <c r="T286" s="45" t="str">
        <f aca="false">IF(ISNUMBER($S286),$S286*$H286,"")</f>
        <v/>
      </c>
      <c r="U286" s="45" t="str">
        <f aca="false">IF(ISNUMBER($S286),$S286*Parâmetros!$B$8,"")</f>
        <v/>
      </c>
      <c r="V286" s="45" t="str">
        <f aca="false">IF(ISNUMBER($S286),$S286*Parâmetros!$C$8,"")</f>
        <v/>
      </c>
      <c r="W286" s="44" t="str">
        <f aca="false">IF(ISNUMBER($S286),$S286-$D286-IF(ISNUMBER($E286),$E286,0)-$O286-$T286-$U286-$V286,"")</f>
        <v/>
      </c>
      <c r="X286" s="46" t="str">
        <f aca="false">IF(AND(ISNUMBER($S286),$S286&gt;0),$W286/$S286,"")</f>
        <v/>
      </c>
      <c r="Y286" s="47"/>
      <c r="Z286" s="19"/>
    </row>
    <row r="287" customFormat="false" ht="15.75" hidden="false" customHeight="true" outlineLevel="0" collapsed="false">
      <c r="A287" s="48" t="str">
        <f aca="false">IF(Produtos!$A287="","",Produtos!$A287)</f>
        <v>P2425ALC</v>
      </c>
      <c r="B287" s="48" t="str">
        <f aca="false">IF(Produtos!$A287="","",Produtos!$B287)</f>
        <v>Lixeira c/Tampa Pedal 24x25 12L c/Alças</v>
      </c>
      <c r="C287" s="48" t="str">
        <f aca="false">IF(Produtos!$A287="","",Produtos!$C287)</f>
        <v>Lixeiras com pedal</v>
      </c>
      <c r="D287" s="33" t="n">
        <f aca="false">IF(Produtos!$A287="","",IF(Produtos!$D287="","",Produtos!$D287))</f>
        <v>192.87</v>
      </c>
      <c r="E287" s="11" t="n">
        <v>0</v>
      </c>
      <c r="F287" s="34" t="n">
        <f aca="false">IF($A287="","",IF($C287="","⚠ categoria",IFERROR(INDEX(Parâmetros!$F$13:$F$22,MATCH($C287,Parâmetros!$A$13:$A$22,0)),"⚠ categoria")))</f>
        <v>0.19</v>
      </c>
      <c r="G287" s="35"/>
      <c r="H287" s="36" t="n">
        <f aca="false">IF($A287="","",IF(ISNUMBER($G287),$G287,IF(ISNUMBER($F287),$F287,"")))</f>
        <v>0.19</v>
      </c>
      <c r="I287" s="37" t="n">
        <f aca="false">IF(OR($A287="",NOT(ISNUMBER($D287)),NOT(ISNUMBER($H287))),"",IF((1-$H287-Parâmetros!$B$8-Parâmetros!$C$8-Parâmetros!$D$8)&lt;=0,"INVALIDO",($D287+IF(ISNUMBER($E287),$E287,0)+IF(ISNUMBER(Parâmetros!$E$8),Parâmetros!$E$8,0))/(1-$H287-Parâmetros!$B$8-Parâmetros!$C$8-Parâmetros!$D$8)))</f>
        <v>401.8125</v>
      </c>
      <c r="J287" s="38"/>
      <c r="K287" s="39" t="n">
        <f aca="false">IF(OR($A287="",NOT(ISNUMBER($D287)),NOT(ISNUMBER($H287))),"",IF(AND(ISNUMBER($J287),$J287&gt;0),$J287,IF(ISNUMBER($I287),$I287,"")))</f>
        <v>401.8125</v>
      </c>
      <c r="L287" s="40" t="n">
        <f aca="false">IF(ISNUMBER($K287),$K287*$H287,"")</f>
        <v>76.344375</v>
      </c>
      <c r="M287" s="40" t="n">
        <f aca="false">IF(ISNUMBER($K287),$K287*Parâmetros!$B$8,"")</f>
        <v>40.18125</v>
      </c>
      <c r="N287" s="40" t="n">
        <f aca="false">IF(ISNUMBER($K287),$K287*Parâmetros!$C$8,"")</f>
        <v>12.054375</v>
      </c>
      <c r="O287" s="40" t="n">
        <f aca="false">IF(ISNUMBER($K287),IF(ISNUMBER(Parâmetros!$E$8),Parâmetros!$E$8,0),"")</f>
        <v>0</v>
      </c>
      <c r="P287" s="41" t="n">
        <f aca="false">IF(ISNUMBER($K287),$K287-$D287-IF(ISNUMBER($E287),$E287,0)-$L287-$M287-$N287-$O287,"")</f>
        <v>80.3625</v>
      </c>
      <c r="Q287" s="42" t="n">
        <f aca="false">IF(AND(ISNUMBER($K287),$K287&gt;0),$P287/$K287,"")</f>
        <v>0.2</v>
      </c>
      <c r="R287" s="43"/>
      <c r="S287" s="44" t="str">
        <f aca="false">IF(OR(NOT(ISNUMBER($R287)),$R287=0,NOT(ISNUMBER($K287))),"",$K287*(1-$R287))</f>
        <v/>
      </c>
      <c r="T287" s="45" t="str">
        <f aca="false">IF(ISNUMBER($S287),$S287*$H287,"")</f>
        <v/>
      </c>
      <c r="U287" s="45" t="str">
        <f aca="false">IF(ISNUMBER($S287),$S287*Parâmetros!$B$8,"")</f>
        <v/>
      </c>
      <c r="V287" s="45" t="str">
        <f aca="false">IF(ISNUMBER($S287),$S287*Parâmetros!$C$8,"")</f>
        <v/>
      </c>
      <c r="W287" s="44" t="str">
        <f aca="false">IF(ISNUMBER($S287),$S287-$D287-IF(ISNUMBER($E287),$E287,0)-$O287-$T287-$U287-$V287,"")</f>
        <v/>
      </c>
      <c r="X287" s="46" t="str">
        <f aca="false">IF(AND(ISNUMBER($S287),$S287&gt;0),$W287/$S287,"")</f>
        <v/>
      </c>
      <c r="Y287" s="49"/>
      <c r="Z287" s="21"/>
    </row>
    <row r="288" customFormat="false" ht="15.75" hidden="false" customHeight="true" outlineLevel="0" collapsed="false">
      <c r="A288" s="32" t="str">
        <f aca="false">IF(Produtos!$A288="","",Produtos!$A288)</f>
        <v>P2430ALC</v>
      </c>
      <c r="B288" s="32" t="str">
        <f aca="false">IF(Produtos!$A288="","",Produtos!$B288)</f>
        <v>Lixeira c/Tampa Pedal 24x30 15L c/Alças</v>
      </c>
      <c r="C288" s="32" t="str">
        <f aca="false">IF(Produtos!$A288="","",Produtos!$C288)</f>
        <v>Lixeiras com pedal</v>
      </c>
      <c r="D288" s="33" t="n">
        <f aca="false">IF(Produtos!$A288="","",IF(Produtos!$D288="","",Produtos!$D288))</f>
        <v>206.44</v>
      </c>
      <c r="E288" s="11" t="n">
        <v>0</v>
      </c>
      <c r="F288" s="34" t="n">
        <f aca="false">IF($A288="","",IF($C288="","⚠ categoria",IFERROR(INDEX(Parâmetros!$F$13:$F$22,MATCH($C288,Parâmetros!$A$13:$A$22,0)),"⚠ categoria")))</f>
        <v>0.19</v>
      </c>
      <c r="G288" s="35"/>
      <c r="H288" s="36" t="n">
        <f aca="false">IF($A288="","",IF(ISNUMBER($G288),$G288,IF(ISNUMBER($F288),$F288,"")))</f>
        <v>0.19</v>
      </c>
      <c r="I288" s="37" t="n">
        <f aca="false">IF(OR($A288="",NOT(ISNUMBER($D288)),NOT(ISNUMBER($H288))),"",IF((1-$H288-Parâmetros!$B$8-Parâmetros!$C$8-Parâmetros!$D$8)&lt;=0,"INVALIDO",($D288+IF(ISNUMBER($E288),$E288,0)+IF(ISNUMBER(Parâmetros!$E$8),Parâmetros!$E$8,0))/(1-$H288-Parâmetros!$B$8-Parâmetros!$C$8-Parâmetros!$D$8)))</f>
        <v>430.083333333333</v>
      </c>
      <c r="J288" s="38"/>
      <c r="K288" s="39" t="n">
        <f aca="false">IF(OR($A288="",NOT(ISNUMBER($D288)),NOT(ISNUMBER($H288))),"",IF(AND(ISNUMBER($J288),$J288&gt;0),$J288,IF(ISNUMBER($I288),$I288,"")))</f>
        <v>430.083333333333</v>
      </c>
      <c r="L288" s="40" t="n">
        <f aca="false">IF(ISNUMBER($K288),$K288*$H288,"")</f>
        <v>81.7158333333333</v>
      </c>
      <c r="M288" s="40" t="n">
        <f aca="false">IF(ISNUMBER($K288),$K288*Parâmetros!$B$8,"")</f>
        <v>43.0083333333333</v>
      </c>
      <c r="N288" s="40" t="n">
        <f aca="false">IF(ISNUMBER($K288),$K288*Parâmetros!$C$8,"")</f>
        <v>12.9025</v>
      </c>
      <c r="O288" s="40" t="n">
        <f aca="false">IF(ISNUMBER($K288),IF(ISNUMBER(Parâmetros!$E$8),Parâmetros!$E$8,0),"")</f>
        <v>0</v>
      </c>
      <c r="P288" s="41" t="n">
        <f aca="false">IF(ISNUMBER($K288),$K288-$D288-IF(ISNUMBER($E288),$E288,0)-$L288-$M288-$N288-$O288,"")</f>
        <v>86.0166666666667</v>
      </c>
      <c r="Q288" s="42" t="n">
        <f aca="false">IF(AND(ISNUMBER($K288),$K288&gt;0),$P288/$K288,"")</f>
        <v>0.2</v>
      </c>
      <c r="R288" s="43"/>
      <c r="S288" s="44" t="str">
        <f aca="false">IF(OR(NOT(ISNUMBER($R288)),$R288=0,NOT(ISNUMBER($K288))),"",$K288*(1-$R288))</f>
        <v/>
      </c>
      <c r="T288" s="45" t="str">
        <f aca="false">IF(ISNUMBER($S288),$S288*$H288,"")</f>
        <v/>
      </c>
      <c r="U288" s="45" t="str">
        <f aca="false">IF(ISNUMBER($S288),$S288*Parâmetros!$B$8,"")</f>
        <v/>
      </c>
      <c r="V288" s="45" t="str">
        <f aca="false">IF(ISNUMBER($S288),$S288*Parâmetros!$C$8,"")</f>
        <v/>
      </c>
      <c r="W288" s="44" t="str">
        <f aca="false">IF(ISNUMBER($S288),$S288-$D288-IF(ISNUMBER($E288),$E288,0)-$O288-$T288-$U288-$V288,"")</f>
        <v/>
      </c>
      <c r="X288" s="46" t="str">
        <f aca="false">IF(AND(ISNUMBER($S288),$S288&gt;0),$W288/$S288,"")</f>
        <v/>
      </c>
      <c r="Y288" s="47"/>
      <c r="Z288" s="19"/>
    </row>
    <row r="289" customFormat="false" ht="15.75" hidden="false" customHeight="true" outlineLevel="0" collapsed="false">
      <c r="A289" s="48" t="str">
        <f aca="false">IF(Produtos!$A289="","",Produtos!$A289)</f>
        <v>P2440ALC</v>
      </c>
      <c r="B289" s="48" t="str">
        <f aca="false">IF(Produtos!$A289="","",Produtos!$B289)</f>
        <v>Lixeira c/Tampa Pedal 24x40 20L c/Alças</v>
      </c>
      <c r="C289" s="48" t="str">
        <f aca="false">IF(Produtos!$A289="","",Produtos!$C289)</f>
        <v>Lixeiras com pedal</v>
      </c>
      <c r="D289" s="33" t="n">
        <f aca="false">IF(Produtos!$A289="","",IF(Produtos!$D289="","",Produtos!$D289))</f>
        <v>217.38</v>
      </c>
      <c r="E289" s="11" t="n">
        <v>0</v>
      </c>
      <c r="F289" s="34" t="n">
        <f aca="false">IF($A289="","",IF($C289="","⚠ categoria",IFERROR(INDEX(Parâmetros!$F$13:$F$22,MATCH($C289,Parâmetros!$A$13:$A$22,0)),"⚠ categoria")))</f>
        <v>0.19</v>
      </c>
      <c r="G289" s="35"/>
      <c r="H289" s="36" t="n">
        <f aca="false">IF($A289="","",IF(ISNUMBER($G289),$G289,IF(ISNUMBER($F289),$F289,"")))</f>
        <v>0.19</v>
      </c>
      <c r="I289" s="37" t="n">
        <f aca="false">IF(OR($A289="",NOT(ISNUMBER($D289)),NOT(ISNUMBER($H289))),"",IF((1-$H289-Parâmetros!$B$8-Parâmetros!$C$8-Parâmetros!$D$8)&lt;=0,"INVALIDO",($D289+IF(ISNUMBER($E289),$E289,0)+IF(ISNUMBER(Parâmetros!$E$8),Parâmetros!$E$8,0))/(1-$H289-Parâmetros!$B$8-Parâmetros!$C$8-Parâmetros!$D$8)))</f>
        <v>452.875</v>
      </c>
      <c r="J289" s="38"/>
      <c r="K289" s="39" t="n">
        <f aca="false">IF(OR($A289="",NOT(ISNUMBER($D289)),NOT(ISNUMBER($H289))),"",IF(AND(ISNUMBER($J289),$J289&gt;0),$J289,IF(ISNUMBER($I289),$I289,"")))</f>
        <v>452.875</v>
      </c>
      <c r="L289" s="40" t="n">
        <f aca="false">IF(ISNUMBER($K289),$K289*$H289,"")</f>
        <v>86.04625</v>
      </c>
      <c r="M289" s="40" t="n">
        <f aca="false">IF(ISNUMBER($K289),$K289*Parâmetros!$B$8,"")</f>
        <v>45.2875</v>
      </c>
      <c r="N289" s="40" t="n">
        <f aca="false">IF(ISNUMBER($K289),$K289*Parâmetros!$C$8,"")</f>
        <v>13.58625</v>
      </c>
      <c r="O289" s="40" t="n">
        <f aca="false">IF(ISNUMBER($K289),IF(ISNUMBER(Parâmetros!$E$8),Parâmetros!$E$8,0),"")</f>
        <v>0</v>
      </c>
      <c r="P289" s="41" t="n">
        <f aca="false">IF(ISNUMBER($K289),$K289-$D289-IF(ISNUMBER($E289),$E289,0)-$L289-$M289-$N289-$O289,"")</f>
        <v>90.575</v>
      </c>
      <c r="Q289" s="42" t="n">
        <f aca="false">IF(AND(ISNUMBER($K289),$K289&gt;0),$P289/$K289,"")</f>
        <v>0.2</v>
      </c>
      <c r="R289" s="43"/>
      <c r="S289" s="44" t="str">
        <f aca="false">IF(OR(NOT(ISNUMBER($R289)),$R289=0,NOT(ISNUMBER($K289))),"",$K289*(1-$R289))</f>
        <v/>
      </c>
      <c r="T289" s="45" t="str">
        <f aca="false">IF(ISNUMBER($S289),$S289*$H289,"")</f>
        <v/>
      </c>
      <c r="U289" s="45" t="str">
        <f aca="false">IF(ISNUMBER($S289),$S289*Parâmetros!$B$8,"")</f>
        <v/>
      </c>
      <c r="V289" s="45" t="str">
        <f aca="false">IF(ISNUMBER($S289),$S289*Parâmetros!$C$8,"")</f>
        <v/>
      </c>
      <c r="W289" s="44" t="str">
        <f aca="false">IF(ISNUMBER($S289),$S289-$D289-IF(ISNUMBER($E289),$E289,0)-$O289-$T289-$U289-$V289,"")</f>
        <v/>
      </c>
      <c r="X289" s="46" t="str">
        <f aca="false">IF(AND(ISNUMBER($S289),$S289&gt;0),$W289/$S289,"")</f>
        <v/>
      </c>
      <c r="Y289" s="49"/>
      <c r="Z289" s="21"/>
    </row>
    <row r="290" customFormat="false" ht="15.75" hidden="false" customHeight="true" outlineLevel="0" collapsed="false">
      <c r="A290" s="32" t="str">
        <f aca="false">IF(Produtos!$A290="","",Produtos!$A290)</f>
        <v>P3040ALC</v>
      </c>
      <c r="B290" s="32" t="str">
        <f aca="false">IF(Produtos!$A290="","",Produtos!$B290)</f>
        <v>Lixeira c/Tampa Pedal 30x40 30L c/Alças</v>
      </c>
      <c r="C290" s="32" t="str">
        <f aca="false">IF(Produtos!$A290="","",Produtos!$C290)</f>
        <v>Lixeiras com pedal</v>
      </c>
      <c r="D290" s="33" t="n">
        <f aca="false">IF(Produtos!$A290="","",IF(Produtos!$D290="","",Produtos!$D290))</f>
        <v>296.61</v>
      </c>
      <c r="E290" s="11" t="n">
        <v>0</v>
      </c>
      <c r="F290" s="34" t="n">
        <f aca="false">IF($A290="","",IF($C290="","⚠ categoria",IFERROR(INDEX(Parâmetros!$F$13:$F$22,MATCH($C290,Parâmetros!$A$13:$A$22,0)),"⚠ categoria")))</f>
        <v>0.19</v>
      </c>
      <c r="G290" s="35"/>
      <c r="H290" s="36" t="n">
        <f aca="false">IF($A290="","",IF(ISNUMBER($G290),$G290,IF(ISNUMBER($F290),$F290,"")))</f>
        <v>0.19</v>
      </c>
      <c r="I290" s="37" t="n">
        <f aca="false">IF(OR($A290="",NOT(ISNUMBER($D290)),NOT(ISNUMBER($H290))),"",IF((1-$H290-Parâmetros!$B$8-Parâmetros!$C$8-Parâmetros!$D$8)&lt;=0,"INVALIDO",($D290+IF(ISNUMBER($E290),$E290,0)+IF(ISNUMBER(Parâmetros!$E$8),Parâmetros!$E$8,0))/(1-$H290-Parâmetros!$B$8-Parâmetros!$C$8-Parâmetros!$D$8)))</f>
        <v>617.9375</v>
      </c>
      <c r="J290" s="38"/>
      <c r="K290" s="39" t="n">
        <f aca="false">IF(OR($A290="",NOT(ISNUMBER($D290)),NOT(ISNUMBER($H290))),"",IF(AND(ISNUMBER($J290),$J290&gt;0),$J290,IF(ISNUMBER($I290),$I290,"")))</f>
        <v>617.9375</v>
      </c>
      <c r="L290" s="40" t="n">
        <f aca="false">IF(ISNUMBER($K290),$K290*$H290,"")</f>
        <v>117.408125</v>
      </c>
      <c r="M290" s="40" t="n">
        <f aca="false">IF(ISNUMBER($K290),$K290*Parâmetros!$B$8,"")</f>
        <v>61.79375</v>
      </c>
      <c r="N290" s="40" t="n">
        <f aca="false">IF(ISNUMBER($K290),$K290*Parâmetros!$C$8,"")</f>
        <v>18.538125</v>
      </c>
      <c r="O290" s="40" t="n">
        <f aca="false">IF(ISNUMBER($K290),IF(ISNUMBER(Parâmetros!$E$8),Parâmetros!$E$8,0),"")</f>
        <v>0</v>
      </c>
      <c r="P290" s="41" t="n">
        <f aca="false">IF(ISNUMBER($K290),$K290-$D290-IF(ISNUMBER($E290),$E290,0)-$L290-$M290-$N290-$O290,"")</f>
        <v>123.5875</v>
      </c>
      <c r="Q290" s="42" t="n">
        <f aca="false">IF(AND(ISNUMBER($K290),$K290&gt;0),$P290/$K290,"")</f>
        <v>0.2</v>
      </c>
      <c r="R290" s="43"/>
      <c r="S290" s="44" t="str">
        <f aca="false">IF(OR(NOT(ISNUMBER($R290)),$R290=0,NOT(ISNUMBER($K290))),"",$K290*(1-$R290))</f>
        <v/>
      </c>
      <c r="T290" s="45" t="str">
        <f aca="false">IF(ISNUMBER($S290),$S290*$H290,"")</f>
        <v/>
      </c>
      <c r="U290" s="45" t="str">
        <f aca="false">IF(ISNUMBER($S290),$S290*Parâmetros!$B$8,"")</f>
        <v/>
      </c>
      <c r="V290" s="45" t="str">
        <f aca="false">IF(ISNUMBER($S290),$S290*Parâmetros!$C$8,"")</f>
        <v/>
      </c>
      <c r="W290" s="44" t="str">
        <f aca="false">IF(ISNUMBER($S290),$S290-$D290-IF(ISNUMBER($E290),$E290,0)-$O290-$T290-$U290-$V290,"")</f>
        <v/>
      </c>
      <c r="X290" s="46" t="str">
        <f aca="false">IF(AND(ISNUMBER($S290),$S290&gt;0),$W290/$S290,"")</f>
        <v/>
      </c>
      <c r="Y290" s="47"/>
      <c r="Z290" s="19"/>
    </row>
    <row r="291" customFormat="false" ht="15.75" hidden="false" customHeight="true" outlineLevel="0" collapsed="false">
      <c r="A291" s="48" t="str">
        <f aca="false">IF(Produtos!$A291="","",Produtos!$A291)</f>
        <v>P3050ALC</v>
      </c>
      <c r="B291" s="48" t="str">
        <f aca="false">IF(Produtos!$A291="","",Produtos!$B291)</f>
        <v>Lixeira c/Tampa Pedal 30x50 40L c/Alças</v>
      </c>
      <c r="C291" s="48" t="str">
        <f aca="false">IF(Produtos!$A291="","",Produtos!$C291)</f>
        <v>Lixeiras com pedal</v>
      </c>
      <c r="D291" s="33" t="n">
        <f aca="false">IF(Produtos!$A291="","",IF(Produtos!$D291="","",Produtos!$D291))</f>
        <v>345.63</v>
      </c>
      <c r="E291" s="11" t="n">
        <v>0</v>
      </c>
      <c r="F291" s="34" t="n">
        <f aca="false">IF($A291="","",IF($C291="","⚠ categoria",IFERROR(INDEX(Parâmetros!$F$13:$F$22,MATCH($C291,Parâmetros!$A$13:$A$22,0)),"⚠ categoria")))</f>
        <v>0.19</v>
      </c>
      <c r="G291" s="35"/>
      <c r="H291" s="36" t="n">
        <f aca="false">IF($A291="","",IF(ISNUMBER($G291),$G291,IF(ISNUMBER($F291),$F291,"")))</f>
        <v>0.19</v>
      </c>
      <c r="I291" s="37" t="n">
        <f aca="false">IF(OR($A291="",NOT(ISNUMBER($D291)),NOT(ISNUMBER($H291))),"",IF((1-$H291-Parâmetros!$B$8-Parâmetros!$C$8-Parâmetros!$D$8)&lt;=0,"INVALIDO",($D291+IF(ISNUMBER($E291),$E291,0)+IF(ISNUMBER(Parâmetros!$E$8),Parâmetros!$E$8,0))/(1-$H291-Parâmetros!$B$8-Parâmetros!$C$8-Parâmetros!$D$8)))</f>
        <v>720.0625</v>
      </c>
      <c r="J291" s="38"/>
      <c r="K291" s="39" t="n">
        <f aca="false">IF(OR($A291="",NOT(ISNUMBER($D291)),NOT(ISNUMBER($H291))),"",IF(AND(ISNUMBER($J291),$J291&gt;0),$J291,IF(ISNUMBER($I291),$I291,"")))</f>
        <v>720.0625</v>
      </c>
      <c r="L291" s="40" t="n">
        <f aca="false">IF(ISNUMBER($K291),$K291*$H291,"")</f>
        <v>136.811875</v>
      </c>
      <c r="M291" s="40" t="n">
        <f aca="false">IF(ISNUMBER($K291),$K291*Parâmetros!$B$8,"")</f>
        <v>72.00625</v>
      </c>
      <c r="N291" s="40" t="n">
        <f aca="false">IF(ISNUMBER($K291),$K291*Parâmetros!$C$8,"")</f>
        <v>21.601875</v>
      </c>
      <c r="O291" s="40" t="n">
        <f aca="false">IF(ISNUMBER($K291),IF(ISNUMBER(Parâmetros!$E$8),Parâmetros!$E$8,0),"")</f>
        <v>0</v>
      </c>
      <c r="P291" s="41" t="n">
        <f aca="false">IF(ISNUMBER($K291),$K291-$D291-IF(ISNUMBER($E291),$E291,0)-$L291-$M291-$N291-$O291,"")</f>
        <v>144.0125</v>
      </c>
      <c r="Q291" s="42" t="n">
        <f aca="false">IF(AND(ISNUMBER($K291),$K291&gt;0),$P291/$K291,"")</f>
        <v>0.2</v>
      </c>
      <c r="R291" s="43"/>
      <c r="S291" s="44" t="str">
        <f aca="false">IF(OR(NOT(ISNUMBER($R291)),$R291=0,NOT(ISNUMBER($K291))),"",$K291*(1-$R291))</f>
        <v/>
      </c>
      <c r="T291" s="45" t="str">
        <f aca="false">IF(ISNUMBER($S291),$S291*$H291,"")</f>
        <v/>
      </c>
      <c r="U291" s="45" t="str">
        <f aca="false">IF(ISNUMBER($S291),$S291*Parâmetros!$B$8,"")</f>
        <v/>
      </c>
      <c r="V291" s="45" t="str">
        <f aca="false">IF(ISNUMBER($S291),$S291*Parâmetros!$C$8,"")</f>
        <v/>
      </c>
      <c r="W291" s="44" t="str">
        <f aca="false">IF(ISNUMBER($S291),$S291-$D291-IF(ISNUMBER($E291),$E291,0)-$O291-$T291-$U291-$V291,"")</f>
        <v/>
      </c>
      <c r="X291" s="46" t="str">
        <f aca="false">IF(AND(ISNUMBER($S291),$S291&gt;0),$W291/$S291,"")</f>
        <v/>
      </c>
      <c r="Y291" s="49"/>
      <c r="Z291" s="21"/>
    </row>
    <row r="292" customFormat="false" ht="15.75" hidden="false" customHeight="true" outlineLevel="0" collapsed="false">
      <c r="A292" s="32" t="str">
        <f aca="false">IF(Produtos!$A292="","",Produtos!$A292)</f>
        <v>P3060ALC</v>
      </c>
      <c r="B292" s="32" t="str">
        <f aca="false">IF(Produtos!$A292="","",Produtos!$B292)</f>
        <v>Lixeira c/Tampa Pedal 30x60 50L c/Alças</v>
      </c>
      <c r="C292" s="32" t="str">
        <f aca="false">IF(Produtos!$A292="","",Produtos!$C292)</f>
        <v>Lixeiras com pedal</v>
      </c>
      <c r="D292" s="33" t="n">
        <f aca="false">IF(Produtos!$A292="","",IF(Produtos!$D292="","",Produtos!$D292))</f>
        <v>347.99</v>
      </c>
      <c r="E292" s="11" t="n">
        <v>0</v>
      </c>
      <c r="F292" s="34" t="n">
        <f aca="false">IF($A292="","",IF($C292="","⚠ categoria",IFERROR(INDEX(Parâmetros!$F$13:$F$22,MATCH($C292,Parâmetros!$A$13:$A$22,0)),"⚠ categoria")))</f>
        <v>0.19</v>
      </c>
      <c r="G292" s="35"/>
      <c r="H292" s="36" t="n">
        <f aca="false">IF($A292="","",IF(ISNUMBER($G292),$G292,IF(ISNUMBER($F292),$F292,"")))</f>
        <v>0.19</v>
      </c>
      <c r="I292" s="37" t="n">
        <f aca="false">IF(OR($A292="",NOT(ISNUMBER($D292)),NOT(ISNUMBER($H292))),"",IF((1-$H292-Parâmetros!$B$8-Parâmetros!$C$8-Parâmetros!$D$8)&lt;=0,"INVALIDO",($D292+IF(ISNUMBER($E292),$E292,0)+IF(ISNUMBER(Parâmetros!$E$8),Parâmetros!$E$8,0))/(1-$H292-Parâmetros!$B$8-Parâmetros!$C$8-Parâmetros!$D$8)))</f>
        <v>724.979166666667</v>
      </c>
      <c r="J292" s="38"/>
      <c r="K292" s="39" t="n">
        <f aca="false">IF(OR($A292="",NOT(ISNUMBER($D292)),NOT(ISNUMBER($H292))),"",IF(AND(ISNUMBER($J292),$J292&gt;0),$J292,IF(ISNUMBER($I292),$I292,"")))</f>
        <v>724.979166666667</v>
      </c>
      <c r="L292" s="40" t="n">
        <f aca="false">IF(ISNUMBER($K292),$K292*$H292,"")</f>
        <v>137.746041666667</v>
      </c>
      <c r="M292" s="40" t="n">
        <f aca="false">IF(ISNUMBER($K292),$K292*Parâmetros!$B$8,"")</f>
        <v>72.4979166666667</v>
      </c>
      <c r="N292" s="40" t="n">
        <f aca="false">IF(ISNUMBER($K292),$K292*Parâmetros!$C$8,"")</f>
        <v>21.749375</v>
      </c>
      <c r="O292" s="40" t="n">
        <f aca="false">IF(ISNUMBER($K292),IF(ISNUMBER(Parâmetros!$E$8),Parâmetros!$E$8,0),"")</f>
        <v>0</v>
      </c>
      <c r="P292" s="41" t="n">
        <f aca="false">IF(ISNUMBER($K292),$K292-$D292-IF(ISNUMBER($E292),$E292,0)-$L292-$M292-$N292-$O292,"")</f>
        <v>144.995833333333</v>
      </c>
      <c r="Q292" s="42" t="n">
        <f aca="false">IF(AND(ISNUMBER($K292),$K292&gt;0),$P292/$K292,"")</f>
        <v>0.2</v>
      </c>
      <c r="R292" s="43"/>
      <c r="S292" s="44" t="str">
        <f aca="false">IF(OR(NOT(ISNUMBER($R292)),$R292=0,NOT(ISNUMBER($K292))),"",$K292*(1-$R292))</f>
        <v/>
      </c>
      <c r="T292" s="45" t="str">
        <f aca="false">IF(ISNUMBER($S292),$S292*$H292,"")</f>
        <v/>
      </c>
      <c r="U292" s="45" t="str">
        <f aca="false">IF(ISNUMBER($S292),$S292*Parâmetros!$B$8,"")</f>
        <v/>
      </c>
      <c r="V292" s="45" t="str">
        <f aca="false">IF(ISNUMBER($S292),$S292*Parâmetros!$C$8,"")</f>
        <v/>
      </c>
      <c r="W292" s="44" t="str">
        <f aca="false">IF(ISNUMBER($S292),$S292-$D292-IF(ISNUMBER($E292),$E292,0)-$O292-$T292-$U292-$V292,"")</f>
        <v/>
      </c>
      <c r="X292" s="46" t="str">
        <f aca="false">IF(AND(ISNUMBER($S292),$S292&gt;0),$W292/$S292,"")</f>
        <v/>
      </c>
      <c r="Y292" s="47"/>
      <c r="Z292" s="19"/>
    </row>
    <row r="293" customFormat="false" ht="15.75" hidden="false" customHeight="true" outlineLevel="0" collapsed="false">
      <c r="A293" s="48" t="str">
        <f aca="false">IF(Produtos!$A293="","",Produtos!$A293)</f>
        <v>P3070ALC</v>
      </c>
      <c r="B293" s="48" t="str">
        <f aca="false">IF(Produtos!$A293="","",Produtos!$B293)</f>
        <v>Lixeira c/Tampa Pedal 30x70 60L c/Alças</v>
      </c>
      <c r="C293" s="48" t="str">
        <f aca="false">IF(Produtos!$A293="","",Produtos!$C293)</f>
        <v>Lixeiras com pedal</v>
      </c>
      <c r="D293" s="33" t="n">
        <f aca="false">IF(Produtos!$A293="","",IF(Produtos!$D293="","",Produtos!$D293))</f>
        <v>421.92</v>
      </c>
      <c r="E293" s="11" t="n">
        <v>0</v>
      </c>
      <c r="F293" s="34" t="n">
        <f aca="false">IF($A293="","",IF($C293="","⚠ categoria",IFERROR(INDEX(Parâmetros!$F$13:$F$22,MATCH($C293,Parâmetros!$A$13:$A$22,0)),"⚠ categoria")))</f>
        <v>0.19</v>
      </c>
      <c r="G293" s="35"/>
      <c r="H293" s="36" t="n">
        <f aca="false">IF($A293="","",IF(ISNUMBER($G293),$G293,IF(ISNUMBER($F293),$F293,"")))</f>
        <v>0.19</v>
      </c>
      <c r="I293" s="37" t="n">
        <f aca="false">IF(OR($A293="",NOT(ISNUMBER($D293)),NOT(ISNUMBER($H293))),"",IF((1-$H293-Parâmetros!$B$8-Parâmetros!$C$8-Parâmetros!$D$8)&lt;=0,"INVALIDO",($D293+IF(ISNUMBER($E293),$E293,0)+IF(ISNUMBER(Parâmetros!$E$8),Parâmetros!$E$8,0))/(1-$H293-Parâmetros!$B$8-Parâmetros!$C$8-Parâmetros!$D$8)))</f>
        <v>879</v>
      </c>
      <c r="J293" s="38"/>
      <c r="K293" s="39" t="n">
        <f aca="false">IF(OR($A293="",NOT(ISNUMBER($D293)),NOT(ISNUMBER($H293))),"",IF(AND(ISNUMBER($J293),$J293&gt;0),$J293,IF(ISNUMBER($I293),$I293,"")))</f>
        <v>879</v>
      </c>
      <c r="L293" s="40" t="n">
        <f aca="false">IF(ISNUMBER($K293),$K293*$H293,"")</f>
        <v>167.01</v>
      </c>
      <c r="M293" s="40" t="n">
        <f aca="false">IF(ISNUMBER($K293),$K293*Parâmetros!$B$8,"")</f>
        <v>87.9</v>
      </c>
      <c r="N293" s="40" t="n">
        <f aca="false">IF(ISNUMBER($K293),$K293*Parâmetros!$C$8,"")</f>
        <v>26.37</v>
      </c>
      <c r="O293" s="40" t="n">
        <f aca="false">IF(ISNUMBER($K293),IF(ISNUMBER(Parâmetros!$E$8),Parâmetros!$E$8,0),"")</f>
        <v>0</v>
      </c>
      <c r="P293" s="41" t="n">
        <f aca="false">IF(ISNUMBER($K293),$K293-$D293-IF(ISNUMBER($E293),$E293,0)-$L293-$M293-$N293-$O293,"")</f>
        <v>175.8</v>
      </c>
      <c r="Q293" s="42" t="n">
        <f aca="false">IF(AND(ISNUMBER($K293),$K293&gt;0),$P293/$K293,"")</f>
        <v>0.2</v>
      </c>
      <c r="R293" s="43"/>
      <c r="S293" s="44" t="str">
        <f aca="false">IF(OR(NOT(ISNUMBER($R293)),$R293=0,NOT(ISNUMBER($K293))),"",$K293*(1-$R293))</f>
        <v/>
      </c>
      <c r="T293" s="45" t="str">
        <f aca="false">IF(ISNUMBER($S293),$S293*$H293,"")</f>
        <v/>
      </c>
      <c r="U293" s="45" t="str">
        <f aca="false">IF(ISNUMBER($S293),$S293*Parâmetros!$B$8,"")</f>
        <v/>
      </c>
      <c r="V293" s="45" t="str">
        <f aca="false">IF(ISNUMBER($S293),$S293*Parâmetros!$C$8,"")</f>
        <v/>
      </c>
      <c r="W293" s="44" t="str">
        <f aca="false">IF(ISNUMBER($S293),$S293-$D293-IF(ISNUMBER($E293),$E293,0)-$O293-$T293-$U293-$V293,"")</f>
        <v/>
      </c>
      <c r="X293" s="46" t="str">
        <f aca="false">IF(AND(ISNUMBER($S293),$S293&gt;0),$W293/$S293,"")</f>
        <v/>
      </c>
      <c r="Y293" s="49"/>
      <c r="Z293" s="21"/>
    </row>
    <row r="294" customFormat="false" ht="15.75" hidden="false" customHeight="true" outlineLevel="0" collapsed="false">
      <c r="A294" s="32" t="str">
        <f aca="false">IF(Produtos!$A294="","",Produtos!$A294)</f>
        <v>P4050ALC</v>
      </c>
      <c r="B294" s="32" t="str">
        <f aca="false">IF(Produtos!$A294="","",Produtos!$B294)</f>
        <v>Lixeira c/Tampa Pedal 40x50 65L c/Alças</v>
      </c>
      <c r="C294" s="32" t="str">
        <f aca="false">IF(Produtos!$A294="","",Produtos!$C294)</f>
        <v>Lixeiras com pedal</v>
      </c>
      <c r="D294" s="33" t="n">
        <f aca="false">IF(Produtos!$A294="","",IF(Produtos!$D294="","",Produtos!$D294))</f>
        <v>485.02</v>
      </c>
      <c r="E294" s="11" t="n">
        <v>0</v>
      </c>
      <c r="F294" s="34" t="n">
        <f aca="false">IF($A294="","",IF($C294="","⚠ categoria",IFERROR(INDEX(Parâmetros!$F$13:$F$22,MATCH($C294,Parâmetros!$A$13:$A$22,0)),"⚠ categoria")))</f>
        <v>0.19</v>
      </c>
      <c r="G294" s="35"/>
      <c r="H294" s="36" t="n">
        <f aca="false">IF($A294="","",IF(ISNUMBER($G294),$G294,IF(ISNUMBER($F294),$F294,"")))</f>
        <v>0.19</v>
      </c>
      <c r="I294" s="37" t="n">
        <f aca="false">IF(OR($A294="",NOT(ISNUMBER($D294)),NOT(ISNUMBER($H294))),"",IF((1-$H294-Parâmetros!$B$8-Parâmetros!$C$8-Parâmetros!$D$8)&lt;=0,"INVALIDO",($D294+IF(ISNUMBER($E294),$E294,0)+IF(ISNUMBER(Parâmetros!$E$8),Parâmetros!$E$8,0))/(1-$H294-Parâmetros!$B$8-Parâmetros!$C$8-Parâmetros!$D$8)))</f>
        <v>1010.45833333333</v>
      </c>
      <c r="J294" s="38"/>
      <c r="K294" s="39" t="n">
        <f aca="false">IF(OR($A294="",NOT(ISNUMBER($D294)),NOT(ISNUMBER($H294))),"",IF(AND(ISNUMBER($J294),$J294&gt;0),$J294,IF(ISNUMBER($I294),$I294,"")))</f>
        <v>1010.45833333333</v>
      </c>
      <c r="L294" s="40" t="n">
        <f aca="false">IF(ISNUMBER($K294),$K294*$H294,"")</f>
        <v>191.987083333333</v>
      </c>
      <c r="M294" s="40" t="n">
        <f aca="false">IF(ISNUMBER($K294),$K294*Parâmetros!$B$8,"")</f>
        <v>101.045833333333</v>
      </c>
      <c r="N294" s="40" t="n">
        <f aca="false">IF(ISNUMBER($K294),$K294*Parâmetros!$C$8,"")</f>
        <v>30.31375</v>
      </c>
      <c r="O294" s="40" t="n">
        <f aca="false">IF(ISNUMBER($K294),IF(ISNUMBER(Parâmetros!$E$8),Parâmetros!$E$8,0),"")</f>
        <v>0</v>
      </c>
      <c r="P294" s="41" t="n">
        <f aca="false">IF(ISNUMBER($K294),$K294-$D294-IF(ISNUMBER($E294),$E294,0)-$L294-$M294-$N294-$O294,"")</f>
        <v>202.091666666667</v>
      </c>
      <c r="Q294" s="42" t="n">
        <f aca="false">IF(AND(ISNUMBER($K294),$K294&gt;0),$P294/$K294,"")</f>
        <v>0.2</v>
      </c>
      <c r="R294" s="43"/>
      <c r="S294" s="44" t="str">
        <f aca="false">IF(OR(NOT(ISNUMBER($R294)),$R294=0,NOT(ISNUMBER($K294))),"",$K294*(1-$R294))</f>
        <v/>
      </c>
      <c r="T294" s="45" t="str">
        <f aca="false">IF(ISNUMBER($S294),$S294*$H294,"")</f>
        <v/>
      </c>
      <c r="U294" s="45" t="str">
        <f aca="false">IF(ISNUMBER($S294),$S294*Parâmetros!$B$8,"")</f>
        <v/>
      </c>
      <c r="V294" s="45" t="str">
        <f aca="false">IF(ISNUMBER($S294),$S294*Parâmetros!$C$8,"")</f>
        <v/>
      </c>
      <c r="W294" s="44" t="str">
        <f aca="false">IF(ISNUMBER($S294),$S294-$D294-IF(ISNUMBER($E294),$E294,0)-$O294-$T294-$U294-$V294,"")</f>
        <v/>
      </c>
      <c r="X294" s="46" t="str">
        <f aca="false">IF(AND(ISNUMBER($S294),$S294&gt;0),$W294/$S294,"")</f>
        <v/>
      </c>
      <c r="Y294" s="47"/>
      <c r="Z294" s="19"/>
    </row>
    <row r="295" customFormat="false" ht="15.75" hidden="false" customHeight="true" outlineLevel="0" collapsed="false">
      <c r="A295" s="48" t="str">
        <f aca="false">IF(Produtos!$A295="","",Produtos!$A295)</f>
        <v>P4060ALC</v>
      </c>
      <c r="B295" s="48" t="str">
        <f aca="false">IF(Produtos!$A295="","",Produtos!$B295)</f>
        <v>Lixeira c/Tampa Pedal 40x60 75L c/Alças</v>
      </c>
      <c r="C295" s="48" t="str">
        <f aca="false">IF(Produtos!$A295="","",Produtos!$C295)</f>
        <v>Lixeiras com pedal</v>
      </c>
      <c r="D295" s="33" t="n">
        <f aca="false">IF(Produtos!$A295="","",IF(Produtos!$D295="","",Produtos!$D295))</f>
        <v>527.41</v>
      </c>
      <c r="E295" s="11" t="n">
        <v>0</v>
      </c>
      <c r="F295" s="34" t="n">
        <f aca="false">IF($A295="","",IF($C295="","⚠ categoria",IFERROR(INDEX(Parâmetros!$F$13:$F$22,MATCH($C295,Parâmetros!$A$13:$A$22,0)),"⚠ categoria")))</f>
        <v>0.19</v>
      </c>
      <c r="G295" s="35"/>
      <c r="H295" s="36" t="n">
        <f aca="false">IF($A295="","",IF(ISNUMBER($G295),$G295,IF(ISNUMBER($F295),$F295,"")))</f>
        <v>0.19</v>
      </c>
      <c r="I295" s="37" t="n">
        <f aca="false">IF(OR($A295="",NOT(ISNUMBER($D295)),NOT(ISNUMBER($H295))),"",IF((1-$H295-Parâmetros!$B$8-Parâmetros!$C$8-Parâmetros!$D$8)&lt;=0,"INVALIDO",($D295+IF(ISNUMBER($E295),$E295,0)+IF(ISNUMBER(Parâmetros!$E$8),Parâmetros!$E$8,0))/(1-$H295-Parâmetros!$B$8-Parâmetros!$C$8-Parâmetros!$D$8)))</f>
        <v>1098.77083333333</v>
      </c>
      <c r="J295" s="38"/>
      <c r="K295" s="39" t="n">
        <f aca="false">IF(OR($A295="",NOT(ISNUMBER($D295)),NOT(ISNUMBER($H295))),"",IF(AND(ISNUMBER($J295),$J295&gt;0),$J295,IF(ISNUMBER($I295),$I295,"")))</f>
        <v>1098.77083333333</v>
      </c>
      <c r="L295" s="40" t="n">
        <f aca="false">IF(ISNUMBER($K295),$K295*$H295,"")</f>
        <v>208.766458333333</v>
      </c>
      <c r="M295" s="40" t="n">
        <f aca="false">IF(ISNUMBER($K295),$K295*Parâmetros!$B$8,"")</f>
        <v>109.877083333333</v>
      </c>
      <c r="N295" s="40" t="n">
        <f aca="false">IF(ISNUMBER($K295),$K295*Parâmetros!$C$8,"")</f>
        <v>32.963125</v>
      </c>
      <c r="O295" s="40" t="n">
        <f aca="false">IF(ISNUMBER($K295),IF(ISNUMBER(Parâmetros!$E$8),Parâmetros!$E$8,0),"")</f>
        <v>0</v>
      </c>
      <c r="P295" s="41" t="n">
        <f aca="false">IF(ISNUMBER($K295),$K295-$D295-IF(ISNUMBER($E295),$E295,0)-$L295-$M295-$N295-$O295,"")</f>
        <v>219.754166666667</v>
      </c>
      <c r="Q295" s="42" t="n">
        <f aca="false">IF(AND(ISNUMBER($K295),$K295&gt;0),$P295/$K295,"")</f>
        <v>0.2</v>
      </c>
      <c r="R295" s="43"/>
      <c r="S295" s="44" t="str">
        <f aca="false">IF(OR(NOT(ISNUMBER($R295)),$R295=0,NOT(ISNUMBER($K295))),"",$K295*(1-$R295))</f>
        <v/>
      </c>
      <c r="T295" s="45" t="str">
        <f aca="false">IF(ISNUMBER($S295),$S295*$H295,"")</f>
        <v/>
      </c>
      <c r="U295" s="45" t="str">
        <f aca="false">IF(ISNUMBER($S295),$S295*Parâmetros!$B$8,"")</f>
        <v/>
      </c>
      <c r="V295" s="45" t="str">
        <f aca="false">IF(ISNUMBER($S295),$S295*Parâmetros!$C$8,"")</f>
        <v/>
      </c>
      <c r="W295" s="44" t="str">
        <f aca="false">IF(ISNUMBER($S295),$S295-$D295-IF(ISNUMBER($E295),$E295,0)-$O295-$T295-$U295-$V295,"")</f>
        <v/>
      </c>
      <c r="X295" s="46" t="str">
        <f aca="false">IF(AND(ISNUMBER($S295),$S295&gt;0),$W295/$S295,"")</f>
        <v/>
      </c>
      <c r="Y295" s="49"/>
      <c r="Z295" s="21"/>
    </row>
    <row r="296" customFormat="false" ht="15.75" hidden="false" customHeight="true" outlineLevel="0" collapsed="false">
      <c r="A296" s="32" t="str">
        <f aca="false">IF(Produtos!$A296="","",Produtos!$A296)</f>
        <v>P4070ALC</v>
      </c>
      <c r="B296" s="32" t="str">
        <f aca="false">IF(Produtos!$A296="","",Produtos!$B296)</f>
        <v>Lixeira c/Tampa Pedal 40x70 80L c/Alças</v>
      </c>
      <c r="C296" s="32" t="str">
        <f aca="false">IF(Produtos!$A296="","",Produtos!$C296)</f>
        <v>Lixeiras com pedal</v>
      </c>
      <c r="D296" s="33" t="n">
        <f aca="false">IF(Produtos!$A296="","",IF(Produtos!$D296="","",Produtos!$D296))</f>
        <v>539.53</v>
      </c>
      <c r="E296" s="11" t="n">
        <v>0</v>
      </c>
      <c r="F296" s="34" t="n">
        <f aca="false">IF($A296="","",IF($C296="","⚠ categoria",IFERROR(INDEX(Parâmetros!$F$13:$F$22,MATCH($C296,Parâmetros!$A$13:$A$22,0)),"⚠ categoria")))</f>
        <v>0.19</v>
      </c>
      <c r="G296" s="35"/>
      <c r="H296" s="36" t="n">
        <f aca="false">IF($A296="","",IF(ISNUMBER($G296),$G296,IF(ISNUMBER($F296),$F296,"")))</f>
        <v>0.19</v>
      </c>
      <c r="I296" s="37" t="n">
        <f aca="false">IF(OR($A296="",NOT(ISNUMBER($D296)),NOT(ISNUMBER($H296))),"",IF((1-$H296-Parâmetros!$B$8-Parâmetros!$C$8-Parâmetros!$D$8)&lt;=0,"INVALIDO",($D296+IF(ISNUMBER($E296),$E296,0)+IF(ISNUMBER(Parâmetros!$E$8),Parâmetros!$E$8,0))/(1-$H296-Parâmetros!$B$8-Parâmetros!$C$8-Parâmetros!$D$8)))</f>
        <v>1124.02083333333</v>
      </c>
      <c r="J296" s="38"/>
      <c r="K296" s="39" t="n">
        <f aca="false">IF(OR($A296="",NOT(ISNUMBER($D296)),NOT(ISNUMBER($H296))),"",IF(AND(ISNUMBER($J296),$J296&gt;0),$J296,IF(ISNUMBER($I296),$I296,"")))</f>
        <v>1124.02083333333</v>
      </c>
      <c r="L296" s="40" t="n">
        <f aca="false">IF(ISNUMBER($K296),$K296*$H296,"")</f>
        <v>213.563958333333</v>
      </c>
      <c r="M296" s="40" t="n">
        <f aca="false">IF(ISNUMBER($K296),$K296*Parâmetros!$B$8,"")</f>
        <v>112.402083333333</v>
      </c>
      <c r="N296" s="40" t="n">
        <f aca="false">IF(ISNUMBER($K296),$K296*Parâmetros!$C$8,"")</f>
        <v>33.720625</v>
      </c>
      <c r="O296" s="40" t="n">
        <f aca="false">IF(ISNUMBER($K296),IF(ISNUMBER(Parâmetros!$E$8),Parâmetros!$E$8,0),"")</f>
        <v>0</v>
      </c>
      <c r="P296" s="41" t="n">
        <f aca="false">IF(ISNUMBER($K296),$K296-$D296-IF(ISNUMBER($E296),$E296,0)-$L296-$M296-$N296-$O296,"")</f>
        <v>224.804166666667</v>
      </c>
      <c r="Q296" s="42" t="n">
        <f aca="false">IF(AND(ISNUMBER($K296),$K296&gt;0),$P296/$K296,"")</f>
        <v>0.2</v>
      </c>
      <c r="R296" s="43"/>
      <c r="S296" s="44" t="str">
        <f aca="false">IF(OR(NOT(ISNUMBER($R296)),$R296=0,NOT(ISNUMBER($K296))),"",$K296*(1-$R296))</f>
        <v/>
      </c>
      <c r="T296" s="45" t="str">
        <f aca="false">IF(ISNUMBER($S296),$S296*$H296,"")</f>
        <v/>
      </c>
      <c r="U296" s="45" t="str">
        <f aca="false">IF(ISNUMBER($S296),$S296*Parâmetros!$B$8,"")</f>
        <v/>
      </c>
      <c r="V296" s="45" t="str">
        <f aca="false">IF(ISNUMBER($S296),$S296*Parâmetros!$C$8,"")</f>
        <v/>
      </c>
      <c r="W296" s="44" t="str">
        <f aca="false">IF(ISNUMBER($S296),$S296-$D296-IF(ISNUMBER($E296),$E296,0)-$O296-$T296-$U296-$V296,"")</f>
        <v/>
      </c>
      <c r="X296" s="46" t="str">
        <f aca="false">IF(AND(ISNUMBER($S296),$S296&gt;0),$W296/$S296,"")</f>
        <v/>
      </c>
      <c r="Y296" s="47"/>
      <c r="Z296" s="19"/>
    </row>
    <row r="297" customFormat="false" ht="15.75" hidden="false" customHeight="true" outlineLevel="0" collapsed="false">
      <c r="A297" s="48" t="str">
        <f aca="false">IF(Produtos!$A297="","",Produtos!$A297)</f>
        <v>P4075ALC</v>
      </c>
      <c r="B297" s="48" t="str">
        <f aca="false">IF(Produtos!$A297="","",Produtos!$B297)</f>
        <v>Lixeira c/Tampa Pedal 40x75 95L c/Alças</v>
      </c>
      <c r="C297" s="48" t="str">
        <f aca="false">IF(Produtos!$A297="","",Produtos!$C297)</f>
        <v>Lixeiras com pedal</v>
      </c>
      <c r="D297" s="33" t="n">
        <f aca="false">IF(Produtos!$A297="","",IF(Produtos!$D297="","",Produtos!$D297))</f>
        <v>605.28</v>
      </c>
      <c r="E297" s="11" t="n">
        <v>0</v>
      </c>
      <c r="F297" s="34" t="n">
        <f aca="false">IF($A297="","",IF($C297="","⚠ categoria",IFERROR(INDEX(Parâmetros!$F$13:$F$22,MATCH($C297,Parâmetros!$A$13:$A$22,0)),"⚠ categoria")))</f>
        <v>0.19</v>
      </c>
      <c r="G297" s="35"/>
      <c r="H297" s="36" t="n">
        <f aca="false">IF($A297="","",IF(ISNUMBER($G297),$G297,IF(ISNUMBER($F297),$F297,"")))</f>
        <v>0.19</v>
      </c>
      <c r="I297" s="37" t="n">
        <f aca="false">IF(OR($A297="",NOT(ISNUMBER($D297)),NOT(ISNUMBER($H297))),"",IF((1-$H297-Parâmetros!$B$8-Parâmetros!$C$8-Parâmetros!$D$8)&lt;=0,"INVALIDO",($D297+IF(ISNUMBER($E297),$E297,0)+IF(ISNUMBER(Parâmetros!$E$8),Parâmetros!$E$8,0))/(1-$H297-Parâmetros!$B$8-Parâmetros!$C$8-Parâmetros!$D$8)))</f>
        <v>1261</v>
      </c>
      <c r="J297" s="38"/>
      <c r="K297" s="39" t="n">
        <f aca="false">IF(OR($A297="",NOT(ISNUMBER($D297)),NOT(ISNUMBER($H297))),"",IF(AND(ISNUMBER($J297),$J297&gt;0),$J297,IF(ISNUMBER($I297),$I297,"")))</f>
        <v>1261</v>
      </c>
      <c r="L297" s="40" t="n">
        <f aca="false">IF(ISNUMBER($K297),$K297*$H297,"")</f>
        <v>239.59</v>
      </c>
      <c r="M297" s="40" t="n">
        <f aca="false">IF(ISNUMBER($K297),$K297*Parâmetros!$B$8,"")</f>
        <v>126.1</v>
      </c>
      <c r="N297" s="40" t="n">
        <f aca="false">IF(ISNUMBER($K297),$K297*Parâmetros!$C$8,"")</f>
        <v>37.83</v>
      </c>
      <c r="O297" s="40" t="n">
        <f aca="false">IF(ISNUMBER($K297),IF(ISNUMBER(Parâmetros!$E$8),Parâmetros!$E$8,0),"")</f>
        <v>0</v>
      </c>
      <c r="P297" s="41" t="n">
        <f aca="false">IF(ISNUMBER($K297),$K297-$D297-IF(ISNUMBER($E297),$E297,0)-$L297-$M297-$N297-$O297,"")</f>
        <v>252.2</v>
      </c>
      <c r="Q297" s="42" t="n">
        <f aca="false">IF(AND(ISNUMBER($K297),$K297&gt;0),$P297/$K297,"")</f>
        <v>0.2</v>
      </c>
      <c r="R297" s="43"/>
      <c r="S297" s="44" t="str">
        <f aca="false">IF(OR(NOT(ISNUMBER($R297)),$R297=0,NOT(ISNUMBER($K297))),"",$K297*(1-$R297))</f>
        <v/>
      </c>
      <c r="T297" s="45" t="str">
        <f aca="false">IF(ISNUMBER($S297),$S297*$H297,"")</f>
        <v/>
      </c>
      <c r="U297" s="45" t="str">
        <f aca="false">IF(ISNUMBER($S297),$S297*Parâmetros!$B$8,"")</f>
        <v/>
      </c>
      <c r="V297" s="45" t="str">
        <f aca="false">IF(ISNUMBER($S297),$S297*Parâmetros!$C$8,"")</f>
        <v/>
      </c>
      <c r="W297" s="44" t="str">
        <f aca="false">IF(ISNUMBER($S297),$S297-$D297-IF(ISNUMBER($E297),$E297,0)-$O297-$T297-$U297-$V297,"")</f>
        <v/>
      </c>
      <c r="X297" s="46" t="str">
        <f aca="false">IF(AND(ISNUMBER($S297),$S297&gt;0),$W297/$S297,"")</f>
        <v/>
      </c>
      <c r="Y297" s="49"/>
      <c r="Z297" s="21"/>
    </row>
    <row r="298" customFormat="false" ht="15.75" hidden="false" customHeight="true" outlineLevel="0" collapsed="false">
      <c r="A298" s="32" t="str">
        <f aca="false">IF(Produtos!$A298="","",Produtos!$A298)</f>
        <v>P4080ALC</v>
      </c>
      <c r="B298" s="32" t="str">
        <f aca="false">IF(Produtos!$A298="","",Produtos!$B298)</f>
        <v>Lixeira c/Tampa Pedal 40x80 100L c/Alças</v>
      </c>
      <c r="C298" s="32" t="str">
        <f aca="false">IF(Produtos!$A298="","",Produtos!$C298)</f>
        <v>Lixeiras com pedal</v>
      </c>
      <c r="D298" s="33" t="n">
        <f aca="false">IF(Produtos!$A298="","",IF(Produtos!$D298="","",Produtos!$D298))</f>
        <v>642.03</v>
      </c>
      <c r="E298" s="11" t="n">
        <v>0</v>
      </c>
      <c r="F298" s="34" t="n">
        <f aca="false">IF($A298="","",IF($C298="","⚠ categoria",IFERROR(INDEX(Parâmetros!$F$13:$F$22,MATCH($C298,Parâmetros!$A$13:$A$22,0)),"⚠ categoria")))</f>
        <v>0.19</v>
      </c>
      <c r="G298" s="35"/>
      <c r="H298" s="36" t="n">
        <f aca="false">IF($A298="","",IF(ISNUMBER($G298),$G298,IF(ISNUMBER($F298),$F298,"")))</f>
        <v>0.19</v>
      </c>
      <c r="I298" s="37" t="n">
        <f aca="false">IF(OR($A298="",NOT(ISNUMBER($D298)),NOT(ISNUMBER($H298))),"",IF((1-$H298-Parâmetros!$B$8-Parâmetros!$C$8-Parâmetros!$D$8)&lt;=0,"INVALIDO",($D298+IF(ISNUMBER($E298),$E298,0)+IF(ISNUMBER(Parâmetros!$E$8),Parâmetros!$E$8,0))/(1-$H298-Parâmetros!$B$8-Parâmetros!$C$8-Parâmetros!$D$8)))</f>
        <v>1337.5625</v>
      </c>
      <c r="J298" s="38"/>
      <c r="K298" s="39" t="n">
        <f aca="false">IF(OR($A298="",NOT(ISNUMBER($D298)),NOT(ISNUMBER($H298))),"",IF(AND(ISNUMBER($J298),$J298&gt;0),$J298,IF(ISNUMBER($I298),$I298,"")))</f>
        <v>1337.5625</v>
      </c>
      <c r="L298" s="40" t="n">
        <f aca="false">IF(ISNUMBER($K298),$K298*$H298,"")</f>
        <v>254.136875</v>
      </c>
      <c r="M298" s="40" t="n">
        <f aca="false">IF(ISNUMBER($K298),$K298*Parâmetros!$B$8,"")</f>
        <v>133.75625</v>
      </c>
      <c r="N298" s="40" t="n">
        <f aca="false">IF(ISNUMBER($K298),$K298*Parâmetros!$C$8,"")</f>
        <v>40.126875</v>
      </c>
      <c r="O298" s="40" t="n">
        <f aca="false">IF(ISNUMBER($K298),IF(ISNUMBER(Parâmetros!$E$8),Parâmetros!$E$8,0),"")</f>
        <v>0</v>
      </c>
      <c r="P298" s="41" t="n">
        <f aca="false">IF(ISNUMBER($K298),$K298-$D298-IF(ISNUMBER($E298),$E298,0)-$L298-$M298-$N298-$O298,"")</f>
        <v>267.5125</v>
      </c>
      <c r="Q298" s="42" t="n">
        <f aca="false">IF(AND(ISNUMBER($K298),$K298&gt;0),$P298/$K298,"")</f>
        <v>0.2</v>
      </c>
      <c r="R298" s="43"/>
      <c r="S298" s="44" t="str">
        <f aca="false">IF(OR(NOT(ISNUMBER($R298)),$R298=0,NOT(ISNUMBER($K298))),"",$K298*(1-$R298))</f>
        <v/>
      </c>
      <c r="T298" s="45" t="str">
        <f aca="false">IF(ISNUMBER($S298),$S298*$H298,"")</f>
        <v/>
      </c>
      <c r="U298" s="45" t="str">
        <f aca="false">IF(ISNUMBER($S298),$S298*Parâmetros!$B$8,"")</f>
        <v/>
      </c>
      <c r="V298" s="45" t="str">
        <f aca="false">IF(ISNUMBER($S298),$S298*Parâmetros!$C$8,"")</f>
        <v/>
      </c>
      <c r="W298" s="44" t="str">
        <f aca="false">IF(ISNUMBER($S298),$S298-$D298-IF(ISNUMBER($E298),$E298,0)-$O298-$T298-$U298-$V298,"")</f>
        <v/>
      </c>
      <c r="X298" s="46" t="str">
        <f aca="false">IF(AND(ISNUMBER($S298),$S298&gt;0),$W298/$S298,"")</f>
        <v/>
      </c>
      <c r="Y298" s="47"/>
      <c r="Z298" s="19"/>
    </row>
    <row r="299" customFormat="false" ht="15.75" hidden="false" customHeight="true" outlineLevel="0" collapsed="false">
      <c r="A299" s="48" t="str">
        <f aca="false">IF(Produtos!$A299="","",Produtos!$A299)</f>
        <v>P4090ALC</v>
      </c>
      <c r="B299" s="48" t="str">
        <f aca="false">IF(Produtos!$A299="","",Produtos!$B299)</f>
        <v>Lixeira c/Tampa Pedal 40x90 120L c/Alças</v>
      </c>
      <c r="C299" s="48" t="str">
        <f aca="false">IF(Produtos!$A299="","",Produtos!$C299)</f>
        <v>Lixeiras com pedal</v>
      </c>
      <c r="D299" s="33" t="n">
        <f aca="false">IF(Produtos!$A299="","",IF(Produtos!$D299="","",Produtos!$D299))</f>
        <v>828.46</v>
      </c>
      <c r="E299" s="11" t="n">
        <v>0</v>
      </c>
      <c r="F299" s="34" t="n">
        <f aca="false">IF($A299="","",IF($C299="","⚠ categoria",IFERROR(INDEX(Parâmetros!$F$13:$F$22,MATCH($C299,Parâmetros!$A$13:$A$22,0)),"⚠ categoria")))</f>
        <v>0.19</v>
      </c>
      <c r="G299" s="35"/>
      <c r="H299" s="36" t="n">
        <f aca="false">IF($A299="","",IF(ISNUMBER($G299),$G299,IF(ISNUMBER($F299),$F299,"")))</f>
        <v>0.19</v>
      </c>
      <c r="I299" s="37" t="n">
        <f aca="false">IF(OR($A299="",NOT(ISNUMBER($D299)),NOT(ISNUMBER($H299))),"",IF((1-$H299-Parâmetros!$B$8-Parâmetros!$C$8-Parâmetros!$D$8)&lt;=0,"INVALIDO",($D299+IF(ISNUMBER($E299),$E299,0)+IF(ISNUMBER(Parâmetros!$E$8),Parâmetros!$E$8,0))/(1-$H299-Parâmetros!$B$8-Parâmetros!$C$8-Parâmetros!$D$8)))</f>
        <v>1725.95833333333</v>
      </c>
      <c r="J299" s="38"/>
      <c r="K299" s="39" t="n">
        <f aca="false">IF(OR($A299="",NOT(ISNUMBER($D299)),NOT(ISNUMBER($H299))),"",IF(AND(ISNUMBER($J299),$J299&gt;0),$J299,IF(ISNUMBER($I299),$I299,"")))</f>
        <v>1725.95833333333</v>
      </c>
      <c r="L299" s="40" t="n">
        <f aca="false">IF(ISNUMBER($K299),$K299*$H299,"")</f>
        <v>327.932083333333</v>
      </c>
      <c r="M299" s="40" t="n">
        <f aca="false">IF(ISNUMBER($K299),$K299*Parâmetros!$B$8,"")</f>
        <v>172.595833333333</v>
      </c>
      <c r="N299" s="40" t="n">
        <f aca="false">IF(ISNUMBER($K299),$K299*Parâmetros!$C$8,"")</f>
        <v>51.77875</v>
      </c>
      <c r="O299" s="40" t="n">
        <f aca="false">IF(ISNUMBER($K299),IF(ISNUMBER(Parâmetros!$E$8),Parâmetros!$E$8,0),"")</f>
        <v>0</v>
      </c>
      <c r="P299" s="41" t="n">
        <f aca="false">IF(ISNUMBER($K299),$K299-$D299-IF(ISNUMBER($E299),$E299,0)-$L299-$M299-$N299-$O299,"")</f>
        <v>345.191666666667</v>
      </c>
      <c r="Q299" s="42" t="n">
        <f aca="false">IF(AND(ISNUMBER($K299),$K299&gt;0),$P299/$K299,"")</f>
        <v>0.2</v>
      </c>
      <c r="R299" s="43"/>
      <c r="S299" s="44" t="str">
        <f aca="false">IF(OR(NOT(ISNUMBER($R299)),$R299=0,NOT(ISNUMBER($K299))),"",$K299*(1-$R299))</f>
        <v/>
      </c>
      <c r="T299" s="45" t="str">
        <f aca="false">IF(ISNUMBER($S299),$S299*$H299,"")</f>
        <v/>
      </c>
      <c r="U299" s="45" t="str">
        <f aca="false">IF(ISNUMBER($S299),$S299*Parâmetros!$B$8,"")</f>
        <v/>
      </c>
      <c r="V299" s="45" t="str">
        <f aca="false">IF(ISNUMBER($S299),$S299*Parâmetros!$C$8,"")</f>
        <v/>
      </c>
      <c r="W299" s="44" t="str">
        <f aca="false">IF(ISNUMBER($S299),$S299-$D299-IF(ISNUMBER($E299),$E299,0)-$O299-$T299-$U299-$V299,"")</f>
        <v/>
      </c>
      <c r="X299" s="46" t="str">
        <f aca="false">IF(AND(ISNUMBER($S299),$S299&gt;0),$W299/$S299,"")</f>
        <v/>
      </c>
      <c r="Y299" s="49"/>
      <c r="Z299" s="21"/>
    </row>
    <row r="300" customFormat="false" ht="15.75" hidden="false" customHeight="true" outlineLevel="0" collapsed="false">
      <c r="A300" s="32" t="str">
        <f aca="false">IF(Produtos!$A300="","",Produtos!$A300)</f>
        <v/>
      </c>
      <c r="B300" s="32" t="str">
        <f aca="false">IF(Produtos!$A300="","",Produtos!$B300)</f>
        <v/>
      </c>
      <c r="C300" s="32" t="str">
        <f aca="false">IF(Produtos!$A300="","",Produtos!$C300)</f>
        <v/>
      </c>
      <c r="D300" s="33" t="str">
        <f aca="false">IF(Produtos!$A300="","",IF(Produtos!$D300="","",Produtos!$D300))</f>
        <v/>
      </c>
      <c r="E300" s="11"/>
      <c r="F300" s="34" t="str">
        <f aca="false">IF($A300="","",IF($C300="","⚠ categoria",IFERROR(INDEX(Parâmetros!$F$13:$F$22,MATCH($C300,Parâmetros!$A$13:$A$22,0)),"⚠ categoria")))</f>
        <v/>
      </c>
      <c r="G300" s="35"/>
      <c r="H300" s="36" t="str">
        <f aca="false">IF($A300="","",IF(ISNUMBER($G300),$G300,IF(ISNUMBER($F300),$F300,"")))</f>
        <v/>
      </c>
      <c r="I300" s="37" t="str">
        <f aca="false">IF(OR($A300="",NOT(ISNUMBER($D300)),NOT(ISNUMBER($H300))),"",IF((1-$H300-Parâmetros!$B$8-Parâmetros!$C$8-Parâmetros!$D$8)&lt;=0,"INVALIDO",($D300+IF(ISNUMBER($E300),$E300,0)+IF(ISNUMBER(Parâmetros!$E$8),Parâmetros!$E$8,0))/(1-$H300-Parâmetros!$B$8-Parâmetros!$C$8-Parâmetros!$D$8)))</f>
        <v/>
      </c>
      <c r="J300" s="38"/>
      <c r="K300" s="39" t="str">
        <f aca="false">IF(OR($A300="",NOT(ISNUMBER($D300)),NOT(ISNUMBER($H300))),"",IF(AND(ISNUMBER($J300),$J300&gt;0),$J300,IF(ISNUMBER($I300),$I300,"")))</f>
        <v/>
      </c>
      <c r="L300" s="40" t="str">
        <f aca="false">IF(ISNUMBER($K300),$K300*$H300,"")</f>
        <v/>
      </c>
      <c r="M300" s="40" t="str">
        <f aca="false">IF(ISNUMBER($K300),$K300*Parâmetros!$B$8,"")</f>
        <v/>
      </c>
      <c r="N300" s="40" t="str">
        <f aca="false">IF(ISNUMBER($K300),$K300*Parâmetros!$C$8,"")</f>
        <v/>
      </c>
      <c r="O300" s="40" t="str">
        <f aca="false">IF(ISNUMBER($K300),IF(ISNUMBER(Parâmetros!$E$8),Parâmetros!$E$8,0),"")</f>
        <v/>
      </c>
      <c r="P300" s="41" t="str">
        <f aca="false">IF(ISNUMBER($K300),$K300-$D300-IF(ISNUMBER($E300),$E300,0)-$L300-$M300-$N300-$O300,"")</f>
        <v/>
      </c>
      <c r="Q300" s="42" t="str">
        <f aca="false">IF(AND(ISNUMBER($K300),$K300&gt;0),$P300/$K300,"")</f>
        <v/>
      </c>
      <c r="R300" s="43"/>
      <c r="S300" s="44" t="str">
        <f aca="false">IF(OR(NOT(ISNUMBER($R300)),$R300=0,NOT(ISNUMBER($K300))),"",$K300*(1-$R300))</f>
        <v/>
      </c>
      <c r="T300" s="45" t="str">
        <f aca="false">IF(ISNUMBER($S300),$S300*$H300,"")</f>
        <v/>
      </c>
      <c r="U300" s="45" t="str">
        <f aca="false">IF(ISNUMBER($S300),$S300*Parâmetros!$B$8,"")</f>
        <v/>
      </c>
      <c r="V300" s="45" t="str">
        <f aca="false">IF(ISNUMBER($S300),$S300*Parâmetros!$C$8,"")</f>
        <v/>
      </c>
      <c r="W300" s="44" t="str">
        <f aca="false">IF(ISNUMBER($S300),$S300-$D300-IF(ISNUMBER($E300),$E300,0)-$O300-$T300-$U300-$V300,"")</f>
        <v/>
      </c>
      <c r="X300" s="46" t="str">
        <f aca="false">IF(AND(ISNUMBER($S300),$S300&gt;0),$W300/$S300,"")</f>
        <v/>
      </c>
      <c r="Y300" s="47"/>
      <c r="Z300" s="19"/>
    </row>
    <row r="301" customFormat="false" ht="15.75" hidden="false" customHeight="true" outlineLevel="0" collapsed="false">
      <c r="A301" s="48" t="str">
        <f aca="false">IF(Produtos!$A301="","",Produtos!$A301)</f>
        <v/>
      </c>
      <c r="B301" s="48" t="str">
        <f aca="false">IF(Produtos!$A301="","",Produtos!$B301)</f>
        <v/>
      </c>
      <c r="C301" s="48" t="str">
        <f aca="false">IF(Produtos!$A301="","",Produtos!$C301)</f>
        <v/>
      </c>
      <c r="D301" s="33" t="str">
        <f aca="false">IF(Produtos!$A301="","",IF(Produtos!$D301="","",Produtos!$D301))</f>
        <v/>
      </c>
      <c r="E301" s="11"/>
      <c r="F301" s="34" t="str">
        <f aca="false">IF($A301="","",IF($C301="","⚠ categoria",IFERROR(INDEX(Parâmetros!$F$13:$F$22,MATCH($C301,Parâmetros!$A$13:$A$22,0)),"⚠ categoria")))</f>
        <v/>
      </c>
      <c r="G301" s="35"/>
      <c r="H301" s="36" t="str">
        <f aca="false">IF($A301="","",IF(ISNUMBER($G301),$G301,IF(ISNUMBER($F301),$F301,"")))</f>
        <v/>
      </c>
      <c r="I301" s="37" t="str">
        <f aca="false">IF(OR($A301="",NOT(ISNUMBER($D301)),NOT(ISNUMBER($H301))),"",IF((1-$H301-Parâmetros!$B$8-Parâmetros!$C$8-Parâmetros!$D$8)&lt;=0,"INVALIDO",($D301+IF(ISNUMBER($E301),$E301,0)+IF(ISNUMBER(Parâmetros!$E$8),Parâmetros!$E$8,0))/(1-$H301-Parâmetros!$B$8-Parâmetros!$C$8-Parâmetros!$D$8)))</f>
        <v/>
      </c>
      <c r="J301" s="38"/>
      <c r="K301" s="39" t="str">
        <f aca="false">IF(OR($A301="",NOT(ISNUMBER($D301)),NOT(ISNUMBER($H301))),"",IF(AND(ISNUMBER($J301),$J301&gt;0),$J301,IF(ISNUMBER($I301),$I301,"")))</f>
        <v/>
      </c>
      <c r="L301" s="40" t="str">
        <f aca="false">IF(ISNUMBER($K301),$K301*$H301,"")</f>
        <v/>
      </c>
      <c r="M301" s="40" t="str">
        <f aca="false">IF(ISNUMBER($K301),$K301*Parâmetros!$B$8,"")</f>
        <v/>
      </c>
      <c r="N301" s="40" t="str">
        <f aca="false">IF(ISNUMBER($K301),$K301*Parâmetros!$C$8,"")</f>
        <v/>
      </c>
      <c r="O301" s="40" t="str">
        <f aca="false">IF(ISNUMBER($K301),IF(ISNUMBER(Parâmetros!$E$8),Parâmetros!$E$8,0),"")</f>
        <v/>
      </c>
      <c r="P301" s="41" t="str">
        <f aca="false">IF(ISNUMBER($K301),$K301-$D301-IF(ISNUMBER($E301),$E301,0)-$L301-$M301-$N301-$O301,"")</f>
        <v/>
      </c>
      <c r="Q301" s="42" t="str">
        <f aca="false">IF(AND(ISNUMBER($K301),$K301&gt;0),$P301/$K301,"")</f>
        <v/>
      </c>
      <c r="R301" s="43"/>
      <c r="S301" s="44" t="str">
        <f aca="false">IF(OR(NOT(ISNUMBER($R301)),$R301=0,NOT(ISNUMBER($K301))),"",$K301*(1-$R301))</f>
        <v/>
      </c>
      <c r="T301" s="45" t="str">
        <f aca="false">IF(ISNUMBER($S301),$S301*$H301,"")</f>
        <v/>
      </c>
      <c r="U301" s="45" t="str">
        <f aca="false">IF(ISNUMBER($S301),$S301*Parâmetros!$B$8,"")</f>
        <v/>
      </c>
      <c r="V301" s="45" t="str">
        <f aca="false">IF(ISNUMBER($S301),$S301*Parâmetros!$C$8,"")</f>
        <v/>
      </c>
      <c r="W301" s="44" t="str">
        <f aca="false">IF(ISNUMBER($S301),$S301-$D301-IF(ISNUMBER($E301),$E301,0)-$O301-$T301-$U301-$V301,"")</f>
        <v/>
      </c>
      <c r="X301" s="46" t="str">
        <f aca="false">IF(AND(ISNUMBER($S301),$S301&gt;0),$W301/$S301,"")</f>
        <v/>
      </c>
      <c r="Y301" s="49"/>
      <c r="Z301" s="21"/>
    </row>
    <row r="302" customFormat="false" ht="15.75" hidden="false" customHeight="true" outlineLevel="0" collapsed="false">
      <c r="A302" s="32" t="str">
        <f aca="false">IF(Produtos!$A302="","",Produtos!$A302)</f>
        <v/>
      </c>
      <c r="B302" s="32" t="str">
        <f aca="false">IF(Produtos!$A302="","",Produtos!$B302)</f>
        <v/>
      </c>
      <c r="C302" s="32" t="str">
        <f aca="false">IF(Produtos!$A302="","",Produtos!$C302)</f>
        <v/>
      </c>
      <c r="D302" s="33" t="str">
        <f aca="false">IF(Produtos!$A302="","",IF(Produtos!$D302="","",Produtos!$D302))</f>
        <v/>
      </c>
      <c r="E302" s="11"/>
      <c r="F302" s="34" t="str">
        <f aca="false">IF($A302="","",IF($C302="","⚠ categoria",IFERROR(INDEX(Parâmetros!$F$13:$F$22,MATCH($C302,Parâmetros!$A$13:$A$22,0)),"⚠ categoria")))</f>
        <v/>
      </c>
      <c r="G302" s="35"/>
      <c r="H302" s="36" t="str">
        <f aca="false">IF($A302="","",IF(ISNUMBER($G302),$G302,IF(ISNUMBER($F302),$F302,"")))</f>
        <v/>
      </c>
      <c r="I302" s="37" t="str">
        <f aca="false">IF(OR($A302="",NOT(ISNUMBER($D302)),NOT(ISNUMBER($H302))),"",IF((1-$H302-Parâmetros!$B$8-Parâmetros!$C$8-Parâmetros!$D$8)&lt;=0,"INVALIDO",($D302+IF(ISNUMBER($E302),$E302,0)+IF(ISNUMBER(Parâmetros!$E$8),Parâmetros!$E$8,0))/(1-$H302-Parâmetros!$B$8-Parâmetros!$C$8-Parâmetros!$D$8)))</f>
        <v/>
      </c>
      <c r="J302" s="38"/>
      <c r="K302" s="39" t="str">
        <f aca="false">IF(OR($A302="",NOT(ISNUMBER($D302)),NOT(ISNUMBER($H302))),"",IF(AND(ISNUMBER($J302),$J302&gt;0),$J302,IF(ISNUMBER($I302),$I302,"")))</f>
        <v/>
      </c>
      <c r="L302" s="40" t="str">
        <f aca="false">IF(ISNUMBER($K302),$K302*$H302,"")</f>
        <v/>
      </c>
      <c r="M302" s="40" t="str">
        <f aca="false">IF(ISNUMBER($K302),$K302*Parâmetros!$B$8,"")</f>
        <v/>
      </c>
      <c r="N302" s="40" t="str">
        <f aca="false">IF(ISNUMBER($K302),$K302*Parâmetros!$C$8,"")</f>
        <v/>
      </c>
      <c r="O302" s="40" t="str">
        <f aca="false">IF(ISNUMBER($K302),IF(ISNUMBER(Parâmetros!$E$8),Parâmetros!$E$8,0),"")</f>
        <v/>
      </c>
      <c r="P302" s="41" t="str">
        <f aca="false">IF(ISNUMBER($K302),$K302-$D302-IF(ISNUMBER($E302),$E302,0)-$L302-$M302-$N302-$O302,"")</f>
        <v/>
      </c>
      <c r="Q302" s="42" t="str">
        <f aca="false">IF(AND(ISNUMBER($K302),$K302&gt;0),$P302/$K302,"")</f>
        <v/>
      </c>
      <c r="R302" s="43"/>
      <c r="S302" s="44" t="str">
        <f aca="false">IF(OR(NOT(ISNUMBER($R302)),$R302=0,NOT(ISNUMBER($K302))),"",$K302*(1-$R302))</f>
        <v/>
      </c>
      <c r="T302" s="45" t="str">
        <f aca="false">IF(ISNUMBER($S302),$S302*$H302,"")</f>
        <v/>
      </c>
      <c r="U302" s="45" t="str">
        <f aca="false">IF(ISNUMBER($S302),$S302*Parâmetros!$B$8,"")</f>
        <v/>
      </c>
      <c r="V302" s="45" t="str">
        <f aca="false">IF(ISNUMBER($S302),$S302*Parâmetros!$C$8,"")</f>
        <v/>
      </c>
      <c r="W302" s="44" t="str">
        <f aca="false">IF(ISNUMBER($S302),$S302-$D302-IF(ISNUMBER($E302),$E302,0)-$O302-$T302-$U302-$V302,"")</f>
        <v/>
      </c>
      <c r="X302" s="46" t="str">
        <f aca="false">IF(AND(ISNUMBER($S302),$S302&gt;0),$W302/$S302,"")</f>
        <v/>
      </c>
      <c r="Y302" s="47"/>
      <c r="Z302" s="19"/>
    </row>
    <row r="303" customFormat="false" ht="15.75" hidden="false" customHeight="true" outlineLevel="0" collapsed="false">
      <c r="A303" s="48" t="str">
        <f aca="false">IF(Produtos!$A303="","",Produtos!$A303)</f>
        <v/>
      </c>
      <c r="B303" s="48" t="str">
        <f aca="false">IF(Produtos!$A303="","",Produtos!$B303)</f>
        <v/>
      </c>
      <c r="C303" s="48" t="str">
        <f aca="false">IF(Produtos!$A303="","",Produtos!$C303)</f>
        <v/>
      </c>
      <c r="D303" s="33" t="str">
        <f aca="false">IF(Produtos!$A303="","",IF(Produtos!$D303="","",Produtos!$D303))</f>
        <v/>
      </c>
      <c r="E303" s="11"/>
      <c r="F303" s="34" t="str">
        <f aca="false">IF($A303="","",IF($C303="","⚠ categoria",IFERROR(INDEX(Parâmetros!$F$13:$F$22,MATCH($C303,Parâmetros!$A$13:$A$22,0)),"⚠ categoria")))</f>
        <v/>
      </c>
      <c r="G303" s="35"/>
      <c r="H303" s="36" t="str">
        <f aca="false">IF($A303="","",IF(ISNUMBER($G303),$G303,IF(ISNUMBER($F303),$F303,"")))</f>
        <v/>
      </c>
      <c r="I303" s="37" t="str">
        <f aca="false">IF(OR($A303="",NOT(ISNUMBER($D303)),NOT(ISNUMBER($H303))),"",IF((1-$H303-Parâmetros!$B$8-Parâmetros!$C$8-Parâmetros!$D$8)&lt;=0,"INVALIDO",($D303+IF(ISNUMBER($E303),$E303,0)+IF(ISNUMBER(Parâmetros!$E$8),Parâmetros!$E$8,0))/(1-$H303-Parâmetros!$B$8-Parâmetros!$C$8-Parâmetros!$D$8)))</f>
        <v/>
      </c>
      <c r="J303" s="38"/>
      <c r="K303" s="39" t="str">
        <f aca="false">IF(OR($A303="",NOT(ISNUMBER($D303)),NOT(ISNUMBER($H303))),"",IF(AND(ISNUMBER($J303),$J303&gt;0),$J303,IF(ISNUMBER($I303),$I303,"")))</f>
        <v/>
      </c>
      <c r="L303" s="40" t="str">
        <f aca="false">IF(ISNUMBER($K303),$K303*$H303,"")</f>
        <v/>
      </c>
      <c r="M303" s="40" t="str">
        <f aca="false">IF(ISNUMBER($K303),$K303*Parâmetros!$B$8,"")</f>
        <v/>
      </c>
      <c r="N303" s="40" t="str">
        <f aca="false">IF(ISNUMBER($K303),$K303*Parâmetros!$C$8,"")</f>
        <v/>
      </c>
      <c r="O303" s="40" t="str">
        <f aca="false">IF(ISNUMBER($K303),IF(ISNUMBER(Parâmetros!$E$8),Parâmetros!$E$8,0),"")</f>
        <v/>
      </c>
      <c r="P303" s="41" t="str">
        <f aca="false">IF(ISNUMBER($K303),$K303-$D303-IF(ISNUMBER($E303),$E303,0)-$L303-$M303-$N303-$O303,"")</f>
        <v/>
      </c>
      <c r="Q303" s="42" t="str">
        <f aca="false">IF(AND(ISNUMBER($K303),$K303&gt;0),$P303/$K303,"")</f>
        <v/>
      </c>
      <c r="R303" s="43"/>
      <c r="S303" s="44" t="str">
        <f aca="false">IF(OR(NOT(ISNUMBER($R303)),$R303=0,NOT(ISNUMBER($K303))),"",$K303*(1-$R303))</f>
        <v/>
      </c>
      <c r="T303" s="45" t="str">
        <f aca="false">IF(ISNUMBER($S303),$S303*$H303,"")</f>
        <v/>
      </c>
      <c r="U303" s="45" t="str">
        <f aca="false">IF(ISNUMBER($S303),$S303*Parâmetros!$B$8,"")</f>
        <v/>
      </c>
      <c r="V303" s="45" t="str">
        <f aca="false">IF(ISNUMBER($S303),$S303*Parâmetros!$C$8,"")</f>
        <v/>
      </c>
      <c r="W303" s="44" t="str">
        <f aca="false">IF(ISNUMBER($S303),$S303-$D303-IF(ISNUMBER($E303),$E303,0)-$O303-$T303-$U303-$V303,"")</f>
        <v/>
      </c>
      <c r="X303" s="46" t="str">
        <f aca="false">IF(AND(ISNUMBER($S303),$S303&gt;0),$W303/$S303,"")</f>
        <v/>
      </c>
      <c r="Y303" s="49"/>
      <c r="Z303" s="21"/>
    </row>
    <row r="304" customFormat="false" ht="15.75" hidden="false" customHeight="true" outlineLevel="0" collapsed="false">
      <c r="A304" s="32" t="str">
        <f aca="false">IF(Produtos!$A304="","",Produtos!$A304)</f>
        <v/>
      </c>
      <c r="B304" s="32" t="str">
        <f aca="false">IF(Produtos!$A304="","",Produtos!$B304)</f>
        <v/>
      </c>
      <c r="C304" s="32" t="str">
        <f aca="false">IF(Produtos!$A304="","",Produtos!$C304)</f>
        <v/>
      </c>
      <c r="D304" s="33" t="str">
        <f aca="false">IF(Produtos!$A304="","",IF(Produtos!$D304="","",Produtos!$D304))</f>
        <v/>
      </c>
      <c r="E304" s="11"/>
      <c r="F304" s="34" t="str">
        <f aca="false">IF($A304="","",IF($C304="","⚠ categoria",IFERROR(INDEX(Parâmetros!$F$13:$F$22,MATCH($C304,Parâmetros!$A$13:$A$22,0)),"⚠ categoria")))</f>
        <v/>
      </c>
      <c r="G304" s="35"/>
      <c r="H304" s="36" t="str">
        <f aca="false">IF($A304="","",IF(ISNUMBER($G304),$G304,IF(ISNUMBER($F304),$F304,"")))</f>
        <v/>
      </c>
      <c r="I304" s="37" t="str">
        <f aca="false">IF(OR($A304="",NOT(ISNUMBER($D304)),NOT(ISNUMBER($H304))),"",IF((1-$H304-Parâmetros!$B$8-Parâmetros!$C$8-Parâmetros!$D$8)&lt;=0,"INVALIDO",($D304+IF(ISNUMBER($E304),$E304,0)+IF(ISNUMBER(Parâmetros!$E$8),Parâmetros!$E$8,0))/(1-$H304-Parâmetros!$B$8-Parâmetros!$C$8-Parâmetros!$D$8)))</f>
        <v/>
      </c>
      <c r="J304" s="38"/>
      <c r="K304" s="39" t="str">
        <f aca="false">IF(OR($A304="",NOT(ISNUMBER($D304)),NOT(ISNUMBER($H304))),"",IF(AND(ISNUMBER($J304),$J304&gt;0),$J304,IF(ISNUMBER($I304),$I304,"")))</f>
        <v/>
      </c>
      <c r="L304" s="40" t="str">
        <f aca="false">IF(ISNUMBER($K304),$K304*$H304,"")</f>
        <v/>
      </c>
      <c r="M304" s="40" t="str">
        <f aca="false">IF(ISNUMBER($K304),$K304*Parâmetros!$B$8,"")</f>
        <v/>
      </c>
      <c r="N304" s="40" t="str">
        <f aca="false">IF(ISNUMBER($K304),$K304*Parâmetros!$C$8,"")</f>
        <v/>
      </c>
      <c r="O304" s="40" t="str">
        <f aca="false">IF(ISNUMBER($K304),IF(ISNUMBER(Parâmetros!$E$8),Parâmetros!$E$8,0),"")</f>
        <v/>
      </c>
      <c r="P304" s="41" t="str">
        <f aca="false">IF(ISNUMBER($K304),$K304-$D304-IF(ISNUMBER($E304),$E304,0)-$L304-$M304-$N304-$O304,"")</f>
        <v/>
      </c>
      <c r="Q304" s="42" t="str">
        <f aca="false">IF(AND(ISNUMBER($K304),$K304&gt;0),$P304/$K304,"")</f>
        <v/>
      </c>
      <c r="R304" s="43"/>
      <c r="S304" s="44" t="str">
        <f aca="false">IF(OR(NOT(ISNUMBER($R304)),$R304=0,NOT(ISNUMBER($K304))),"",$K304*(1-$R304))</f>
        <v/>
      </c>
      <c r="T304" s="45" t="str">
        <f aca="false">IF(ISNUMBER($S304),$S304*$H304,"")</f>
        <v/>
      </c>
      <c r="U304" s="45" t="str">
        <f aca="false">IF(ISNUMBER($S304),$S304*Parâmetros!$B$8,"")</f>
        <v/>
      </c>
      <c r="V304" s="45" t="str">
        <f aca="false">IF(ISNUMBER($S304),$S304*Parâmetros!$C$8,"")</f>
        <v/>
      </c>
      <c r="W304" s="44" t="str">
        <f aca="false">IF(ISNUMBER($S304),$S304-$D304-IF(ISNUMBER($E304),$E304,0)-$O304-$T304-$U304-$V304,"")</f>
        <v/>
      </c>
      <c r="X304" s="46" t="str">
        <f aca="false">IF(AND(ISNUMBER($S304),$S304&gt;0),$W304/$S304,"")</f>
        <v/>
      </c>
      <c r="Y304" s="47"/>
      <c r="Z304" s="19"/>
    </row>
    <row r="305" customFormat="false" ht="15.75" hidden="false" customHeight="true" outlineLevel="0" collapsed="false">
      <c r="A305" s="48" t="str">
        <f aca="false">IF(Produtos!$A305="","",Produtos!$A305)</f>
        <v/>
      </c>
      <c r="B305" s="48" t="str">
        <f aca="false">IF(Produtos!$A305="","",Produtos!$B305)</f>
        <v/>
      </c>
      <c r="C305" s="48" t="str">
        <f aca="false">IF(Produtos!$A305="","",Produtos!$C305)</f>
        <v/>
      </c>
      <c r="D305" s="33" t="str">
        <f aca="false">IF(Produtos!$A305="","",IF(Produtos!$D305="","",Produtos!$D305))</f>
        <v/>
      </c>
      <c r="E305" s="11"/>
      <c r="F305" s="34" t="str">
        <f aca="false">IF($A305="","",IF($C305="","⚠ categoria",IFERROR(INDEX(Parâmetros!$F$13:$F$22,MATCH($C305,Parâmetros!$A$13:$A$22,0)),"⚠ categoria")))</f>
        <v/>
      </c>
      <c r="G305" s="35"/>
      <c r="H305" s="36" t="str">
        <f aca="false">IF($A305="","",IF(ISNUMBER($G305),$G305,IF(ISNUMBER($F305),$F305,"")))</f>
        <v/>
      </c>
      <c r="I305" s="37" t="str">
        <f aca="false">IF(OR($A305="",NOT(ISNUMBER($D305)),NOT(ISNUMBER($H305))),"",IF((1-$H305-Parâmetros!$B$8-Parâmetros!$C$8-Parâmetros!$D$8)&lt;=0,"INVALIDO",($D305+IF(ISNUMBER($E305),$E305,0)+IF(ISNUMBER(Parâmetros!$E$8),Parâmetros!$E$8,0))/(1-$H305-Parâmetros!$B$8-Parâmetros!$C$8-Parâmetros!$D$8)))</f>
        <v/>
      </c>
      <c r="J305" s="38"/>
      <c r="K305" s="39" t="str">
        <f aca="false">IF(OR($A305="",NOT(ISNUMBER($D305)),NOT(ISNUMBER($H305))),"",IF(AND(ISNUMBER($J305),$J305&gt;0),$J305,IF(ISNUMBER($I305),$I305,"")))</f>
        <v/>
      </c>
      <c r="L305" s="40" t="str">
        <f aca="false">IF(ISNUMBER($K305),$K305*$H305,"")</f>
        <v/>
      </c>
      <c r="M305" s="40" t="str">
        <f aca="false">IF(ISNUMBER($K305),$K305*Parâmetros!$B$8,"")</f>
        <v/>
      </c>
      <c r="N305" s="40" t="str">
        <f aca="false">IF(ISNUMBER($K305),$K305*Parâmetros!$C$8,"")</f>
        <v/>
      </c>
      <c r="O305" s="40" t="str">
        <f aca="false">IF(ISNUMBER($K305),IF(ISNUMBER(Parâmetros!$E$8),Parâmetros!$E$8,0),"")</f>
        <v/>
      </c>
      <c r="P305" s="41" t="str">
        <f aca="false">IF(ISNUMBER($K305),$K305-$D305-IF(ISNUMBER($E305),$E305,0)-$L305-$M305-$N305-$O305,"")</f>
        <v/>
      </c>
      <c r="Q305" s="42" t="str">
        <f aca="false">IF(AND(ISNUMBER($K305),$K305&gt;0),$P305/$K305,"")</f>
        <v/>
      </c>
      <c r="R305" s="43"/>
      <c r="S305" s="44" t="str">
        <f aca="false">IF(OR(NOT(ISNUMBER($R305)),$R305=0,NOT(ISNUMBER($K305))),"",$K305*(1-$R305))</f>
        <v/>
      </c>
      <c r="T305" s="45" t="str">
        <f aca="false">IF(ISNUMBER($S305),$S305*$H305,"")</f>
        <v/>
      </c>
      <c r="U305" s="45" t="str">
        <f aca="false">IF(ISNUMBER($S305),$S305*Parâmetros!$B$8,"")</f>
        <v/>
      </c>
      <c r="V305" s="45" t="str">
        <f aca="false">IF(ISNUMBER($S305),$S305*Parâmetros!$C$8,"")</f>
        <v/>
      </c>
      <c r="W305" s="44" t="str">
        <f aca="false">IF(ISNUMBER($S305),$S305-$D305-IF(ISNUMBER($E305),$E305,0)-$O305-$T305-$U305-$V305,"")</f>
        <v/>
      </c>
      <c r="X305" s="46" t="str">
        <f aca="false">IF(AND(ISNUMBER($S305),$S305&gt;0),$W305/$S305,"")</f>
        <v/>
      </c>
      <c r="Y305" s="49"/>
      <c r="Z305" s="21"/>
    </row>
    <row r="306" customFormat="false" ht="15.75" hidden="false" customHeight="true" outlineLevel="0" collapsed="false">
      <c r="A306" s="32" t="str">
        <f aca="false">IF(Produtos!$A306="","",Produtos!$A306)</f>
        <v/>
      </c>
      <c r="B306" s="32" t="str">
        <f aca="false">IF(Produtos!$A306="","",Produtos!$B306)</f>
        <v/>
      </c>
      <c r="C306" s="32" t="str">
        <f aca="false">IF(Produtos!$A306="","",Produtos!$C306)</f>
        <v/>
      </c>
      <c r="D306" s="33" t="str">
        <f aca="false">IF(Produtos!$A306="","",IF(Produtos!$D306="","",Produtos!$D306))</f>
        <v/>
      </c>
      <c r="E306" s="11"/>
      <c r="F306" s="34" t="str">
        <f aca="false">IF($A306="","",IF($C306="","⚠ categoria",IFERROR(INDEX(Parâmetros!$F$13:$F$22,MATCH($C306,Parâmetros!$A$13:$A$22,0)),"⚠ categoria")))</f>
        <v/>
      </c>
      <c r="G306" s="35"/>
      <c r="H306" s="36" t="str">
        <f aca="false">IF($A306="","",IF(ISNUMBER($G306),$G306,IF(ISNUMBER($F306),$F306,"")))</f>
        <v/>
      </c>
      <c r="I306" s="37" t="str">
        <f aca="false">IF(OR($A306="",NOT(ISNUMBER($D306)),NOT(ISNUMBER($H306))),"",IF((1-$H306-Parâmetros!$B$8-Parâmetros!$C$8-Parâmetros!$D$8)&lt;=0,"INVALIDO",($D306+IF(ISNUMBER($E306),$E306,0)+IF(ISNUMBER(Parâmetros!$E$8),Parâmetros!$E$8,0))/(1-$H306-Parâmetros!$B$8-Parâmetros!$C$8-Parâmetros!$D$8)))</f>
        <v/>
      </c>
      <c r="J306" s="38"/>
      <c r="K306" s="39" t="str">
        <f aca="false">IF(OR($A306="",NOT(ISNUMBER($D306)),NOT(ISNUMBER($H306))),"",IF(AND(ISNUMBER($J306),$J306&gt;0),$J306,IF(ISNUMBER($I306),$I306,"")))</f>
        <v/>
      </c>
      <c r="L306" s="40" t="str">
        <f aca="false">IF(ISNUMBER($K306),$K306*$H306,"")</f>
        <v/>
      </c>
      <c r="M306" s="40" t="str">
        <f aca="false">IF(ISNUMBER($K306),$K306*Parâmetros!$B$8,"")</f>
        <v/>
      </c>
      <c r="N306" s="40" t="str">
        <f aca="false">IF(ISNUMBER($K306),$K306*Parâmetros!$C$8,"")</f>
        <v/>
      </c>
      <c r="O306" s="40" t="str">
        <f aca="false">IF(ISNUMBER($K306),IF(ISNUMBER(Parâmetros!$E$8),Parâmetros!$E$8,0),"")</f>
        <v/>
      </c>
      <c r="P306" s="41" t="str">
        <f aca="false">IF(ISNUMBER($K306),$K306-$D306-IF(ISNUMBER($E306),$E306,0)-$L306-$M306-$N306-$O306,"")</f>
        <v/>
      </c>
      <c r="Q306" s="42" t="str">
        <f aca="false">IF(AND(ISNUMBER($K306),$K306&gt;0),$P306/$K306,"")</f>
        <v/>
      </c>
      <c r="R306" s="43"/>
      <c r="S306" s="44" t="str">
        <f aca="false">IF(OR(NOT(ISNUMBER($R306)),$R306=0,NOT(ISNUMBER($K306))),"",$K306*(1-$R306))</f>
        <v/>
      </c>
      <c r="T306" s="45" t="str">
        <f aca="false">IF(ISNUMBER($S306),$S306*$H306,"")</f>
        <v/>
      </c>
      <c r="U306" s="45" t="str">
        <f aca="false">IF(ISNUMBER($S306),$S306*Parâmetros!$B$8,"")</f>
        <v/>
      </c>
      <c r="V306" s="45" t="str">
        <f aca="false">IF(ISNUMBER($S306),$S306*Parâmetros!$C$8,"")</f>
        <v/>
      </c>
      <c r="W306" s="44" t="str">
        <f aca="false">IF(ISNUMBER($S306),$S306-$D306-IF(ISNUMBER($E306),$E306,0)-$O306-$T306-$U306-$V306,"")</f>
        <v/>
      </c>
      <c r="X306" s="46" t="str">
        <f aca="false">IF(AND(ISNUMBER($S306),$S306&gt;0),$W306/$S306,"")</f>
        <v/>
      </c>
      <c r="Y306" s="47"/>
      <c r="Z306" s="19"/>
    </row>
    <row r="307" customFormat="false" ht="15.75" hidden="false" customHeight="true" outlineLevel="0" collapsed="false">
      <c r="A307" s="48" t="str">
        <f aca="false">IF(Produtos!$A307="","",Produtos!$A307)</f>
        <v/>
      </c>
      <c r="B307" s="48" t="str">
        <f aca="false">IF(Produtos!$A307="","",Produtos!$B307)</f>
        <v/>
      </c>
      <c r="C307" s="48" t="str">
        <f aca="false">IF(Produtos!$A307="","",Produtos!$C307)</f>
        <v/>
      </c>
      <c r="D307" s="33" t="str">
        <f aca="false">IF(Produtos!$A307="","",IF(Produtos!$D307="","",Produtos!$D307))</f>
        <v/>
      </c>
      <c r="E307" s="11"/>
      <c r="F307" s="34" t="str">
        <f aca="false">IF($A307="","",IF($C307="","⚠ categoria",IFERROR(INDEX(Parâmetros!$F$13:$F$22,MATCH($C307,Parâmetros!$A$13:$A$22,0)),"⚠ categoria")))</f>
        <v/>
      </c>
      <c r="G307" s="35"/>
      <c r="H307" s="36" t="str">
        <f aca="false">IF($A307="","",IF(ISNUMBER($G307),$G307,IF(ISNUMBER($F307),$F307,"")))</f>
        <v/>
      </c>
      <c r="I307" s="37" t="str">
        <f aca="false">IF(OR($A307="",NOT(ISNUMBER($D307)),NOT(ISNUMBER($H307))),"",IF((1-$H307-Parâmetros!$B$8-Parâmetros!$C$8-Parâmetros!$D$8)&lt;=0,"INVALIDO",($D307+IF(ISNUMBER($E307),$E307,0)+IF(ISNUMBER(Parâmetros!$E$8),Parâmetros!$E$8,0))/(1-$H307-Parâmetros!$B$8-Parâmetros!$C$8-Parâmetros!$D$8)))</f>
        <v/>
      </c>
      <c r="J307" s="38"/>
      <c r="K307" s="39" t="str">
        <f aca="false">IF(OR($A307="",NOT(ISNUMBER($D307)),NOT(ISNUMBER($H307))),"",IF(AND(ISNUMBER($J307),$J307&gt;0),$J307,IF(ISNUMBER($I307),$I307,"")))</f>
        <v/>
      </c>
      <c r="L307" s="40" t="str">
        <f aca="false">IF(ISNUMBER($K307),$K307*$H307,"")</f>
        <v/>
      </c>
      <c r="M307" s="40" t="str">
        <f aca="false">IF(ISNUMBER($K307),$K307*Parâmetros!$B$8,"")</f>
        <v/>
      </c>
      <c r="N307" s="40" t="str">
        <f aca="false">IF(ISNUMBER($K307),$K307*Parâmetros!$C$8,"")</f>
        <v/>
      </c>
      <c r="O307" s="40" t="str">
        <f aca="false">IF(ISNUMBER($K307),IF(ISNUMBER(Parâmetros!$E$8),Parâmetros!$E$8,0),"")</f>
        <v/>
      </c>
      <c r="P307" s="41" t="str">
        <f aca="false">IF(ISNUMBER($K307),$K307-$D307-IF(ISNUMBER($E307),$E307,0)-$L307-$M307-$N307-$O307,"")</f>
        <v/>
      </c>
      <c r="Q307" s="42" t="str">
        <f aca="false">IF(AND(ISNUMBER($K307),$K307&gt;0),$P307/$K307,"")</f>
        <v/>
      </c>
      <c r="R307" s="43"/>
      <c r="S307" s="44" t="str">
        <f aca="false">IF(OR(NOT(ISNUMBER($R307)),$R307=0,NOT(ISNUMBER($K307))),"",$K307*(1-$R307))</f>
        <v/>
      </c>
      <c r="T307" s="45" t="str">
        <f aca="false">IF(ISNUMBER($S307),$S307*$H307,"")</f>
        <v/>
      </c>
      <c r="U307" s="45" t="str">
        <f aca="false">IF(ISNUMBER($S307),$S307*Parâmetros!$B$8,"")</f>
        <v/>
      </c>
      <c r="V307" s="45" t="str">
        <f aca="false">IF(ISNUMBER($S307),$S307*Parâmetros!$C$8,"")</f>
        <v/>
      </c>
      <c r="W307" s="44" t="str">
        <f aca="false">IF(ISNUMBER($S307),$S307-$D307-IF(ISNUMBER($E307),$E307,0)-$O307-$T307-$U307-$V307,"")</f>
        <v/>
      </c>
      <c r="X307" s="46" t="str">
        <f aca="false">IF(AND(ISNUMBER($S307),$S307&gt;0),$W307/$S307,"")</f>
        <v/>
      </c>
      <c r="Y307" s="49"/>
      <c r="Z307" s="21"/>
    </row>
    <row r="308" customFormat="false" ht="15.75" hidden="false" customHeight="true" outlineLevel="0" collapsed="false">
      <c r="A308" s="32" t="str">
        <f aca="false">IF(Produtos!$A308="","",Produtos!$A308)</f>
        <v/>
      </c>
      <c r="B308" s="32" t="str">
        <f aca="false">IF(Produtos!$A308="","",Produtos!$B308)</f>
        <v/>
      </c>
      <c r="C308" s="32" t="str">
        <f aca="false">IF(Produtos!$A308="","",Produtos!$C308)</f>
        <v/>
      </c>
      <c r="D308" s="33" t="str">
        <f aca="false">IF(Produtos!$A308="","",IF(Produtos!$D308="","",Produtos!$D308))</f>
        <v/>
      </c>
      <c r="E308" s="11"/>
      <c r="F308" s="34" t="str">
        <f aca="false">IF($A308="","",IF($C308="","⚠ categoria",IFERROR(INDEX(Parâmetros!$F$13:$F$22,MATCH($C308,Parâmetros!$A$13:$A$22,0)),"⚠ categoria")))</f>
        <v/>
      </c>
      <c r="G308" s="35"/>
      <c r="H308" s="36" t="str">
        <f aca="false">IF($A308="","",IF(ISNUMBER($G308),$G308,IF(ISNUMBER($F308),$F308,"")))</f>
        <v/>
      </c>
      <c r="I308" s="37" t="str">
        <f aca="false">IF(OR($A308="",NOT(ISNUMBER($D308)),NOT(ISNUMBER($H308))),"",IF((1-$H308-Parâmetros!$B$8-Parâmetros!$C$8-Parâmetros!$D$8)&lt;=0,"INVALIDO",($D308+IF(ISNUMBER($E308),$E308,0)+IF(ISNUMBER(Parâmetros!$E$8),Parâmetros!$E$8,0))/(1-$H308-Parâmetros!$B$8-Parâmetros!$C$8-Parâmetros!$D$8)))</f>
        <v/>
      </c>
      <c r="J308" s="38"/>
      <c r="K308" s="39" t="str">
        <f aca="false">IF(OR($A308="",NOT(ISNUMBER($D308)),NOT(ISNUMBER($H308))),"",IF(AND(ISNUMBER($J308),$J308&gt;0),$J308,IF(ISNUMBER($I308),$I308,"")))</f>
        <v/>
      </c>
      <c r="L308" s="40" t="str">
        <f aca="false">IF(ISNUMBER($K308),$K308*$H308,"")</f>
        <v/>
      </c>
      <c r="M308" s="40" t="str">
        <f aca="false">IF(ISNUMBER($K308),$K308*Parâmetros!$B$8,"")</f>
        <v/>
      </c>
      <c r="N308" s="40" t="str">
        <f aca="false">IF(ISNUMBER($K308),$K308*Parâmetros!$C$8,"")</f>
        <v/>
      </c>
      <c r="O308" s="40" t="str">
        <f aca="false">IF(ISNUMBER($K308),IF(ISNUMBER(Parâmetros!$E$8),Parâmetros!$E$8,0),"")</f>
        <v/>
      </c>
      <c r="P308" s="41" t="str">
        <f aca="false">IF(ISNUMBER($K308),$K308-$D308-IF(ISNUMBER($E308),$E308,0)-$L308-$M308-$N308-$O308,"")</f>
        <v/>
      </c>
      <c r="Q308" s="42" t="str">
        <f aca="false">IF(AND(ISNUMBER($K308),$K308&gt;0),$P308/$K308,"")</f>
        <v/>
      </c>
      <c r="R308" s="43"/>
      <c r="S308" s="44" t="str">
        <f aca="false">IF(OR(NOT(ISNUMBER($R308)),$R308=0,NOT(ISNUMBER($K308))),"",$K308*(1-$R308))</f>
        <v/>
      </c>
      <c r="T308" s="45" t="str">
        <f aca="false">IF(ISNUMBER($S308),$S308*$H308,"")</f>
        <v/>
      </c>
      <c r="U308" s="45" t="str">
        <f aca="false">IF(ISNUMBER($S308),$S308*Parâmetros!$B$8,"")</f>
        <v/>
      </c>
      <c r="V308" s="45" t="str">
        <f aca="false">IF(ISNUMBER($S308),$S308*Parâmetros!$C$8,"")</f>
        <v/>
      </c>
      <c r="W308" s="44" t="str">
        <f aca="false">IF(ISNUMBER($S308),$S308-$D308-IF(ISNUMBER($E308),$E308,0)-$O308-$T308-$U308-$V308,"")</f>
        <v/>
      </c>
      <c r="X308" s="46" t="str">
        <f aca="false">IF(AND(ISNUMBER($S308),$S308&gt;0),$W308/$S308,"")</f>
        <v/>
      </c>
      <c r="Y308" s="47"/>
      <c r="Z308" s="19"/>
    </row>
    <row r="309" customFormat="false" ht="15.75" hidden="false" customHeight="true" outlineLevel="0" collapsed="false">
      <c r="A309" s="48" t="str">
        <f aca="false">IF(Produtos!$A309="","",Produtos!$A309)</f>
        <v/>
      </c>
      <c r="B309" s="48" t="str">
        <f aca="false">IF(Produtos!$A309="","",Produtos!$B309)</f>
        <v/>
      </c>
      <c r="C309" s="48" t="str">
        <f aca="false">IF(Produtos!$A309="","",Produtos!$C309)</f>
        <v/>
      </c>
      <c r="D309" s="33" t="str">
        <f aca="false">IF(Produtos!$A309="","",IF(Produtos!$D309="","",Produtos!$D309))</f>
        <v/>
      </c>
      <c r="E309" s="11"/>
      <c r="F309" s="34" t="str">
        <f aca="false">IF($A309="","",IF($C309="","⚠ categoria",IFERROR(INDEX(Parâmetros!$F$13:$F$22,MATCH($C309,Parâmetros!$A$13:$A$22,0)),"⚠ categoria")))</f>
        <v/>
      </c>
      <c r="G309" s="35"/>
      <c r="H309" s="36" t="str">
        <f aca="false">IF($A309="","",IF(ISNUMBER($G309),$G309,IF(ISNUMBER($F309),$F309,"")))</f>
        <v/>
      </c>
      <c r="I309" s="37" t="str">
        <f aca="false">IF(OR($A309="",NOT(ISNUMBER($D309)),NOT(ISNUMBER($H309))),"",IF((1-$H309-Parâmetros!$B$8-Parâmetros!$C$8-Parâmetros!$D$8)&lt;=0,"INVALIDO",($D309+IF(ISNUMBER($E309),$E309,0)+IF(ISNUMBER(Parâmetros!$E$8),Parâmetros!$E$8,0))/(1-$H309-Parâmetros!$B$8-Parâmetros!$C$8-Parâmetros!$D$8)))</f>
        <v/>
      </c>
      <c r="J309" s="38"/>
      <c r="K309" s="39" t="str">
        <f aca="false">IF(OR($A309="",NOT(ISNUMBER($D309)),NOT(ISNUMBER($H309))),"",IF(AND(ISNUMBER($J309),$J309&gt;0),$J309,IF(ISNUMBER($I309),$I309,"")))</f>
        <v/>
      </c>
      <c r="L309" s="40" t="str">
        <f aca="false">IF(ISNUMBER($K309),$K309*$H309,"")</f>
        <v/>
      </c>
      <c r="M309" s="40" t="str">
        <f aca="false">IF(ISNUMBER($K309),$K309*Parâmetros!$B$8,"")</f>
        <v/>
      </c>
      <c r="N309" s="40" t="str">
        <f aca="false">IF(ISNUMBER($K309),$K309*Parâmetros!$C$8,"")</f>
        <v/>
      </c>
      <c r="O309" s="40" t="str">
        <f aca="false">IF(ISNUMBER($K309),IF(ISNUMBER(Parâmetros!$E$8),Parâmetros!$E$8,0),"")</f>
        <v/>
      </c>
      <c r="P309" s="41" t="str">
        <f aca="false">IF(ISNUMBER($K309),$K309-$D309-IF(ISNUMBER($E309),$E309,0)-$L309-$M309-$N309-$O309,"")</f>
        <v/>
      </c>
      <c r="Q309" s="42" t="str">
        <f aca="false">IF(AND(ISNUMBER($K309),$K309&gt;0),$P309/$K309,"")</f>
        <v/>
      </c>
      <c r="R309" s="43"/>
      <c r="S309" s="44" t="str">
        <f aca="false">IF(OR(NOT(ISNUMBER($R309)),$R309=0,NOT(ISNUMBER($K309))),"",$K309*(1-$R309))</f>
        <v/>
      </c>
      <c r="T309" s="45" t="str">
        <f aca="false">IF(ISNUMBER($S309),$S309*$H309,"")</f>
        <v/>
      </c>
      <c r="U309" s="45" t="str">
        <f aca="false">IF(ISNUMBER($S309),$S309*Parâmetros!$B$8,"")</f>
        <v/>
      </c>
      <c r="V309" s="45" t="str">
        <f aca="false">IF(ISNUMBER($S309),$S309*Parâmetros!$C$8,"")</f>
        <v/>
      </c>
      <c r="W309" s="44" t="str">
        <f aca="false">IF(ISNUMBER($S309),$S309-$D309-IF(ISNUMBER($E309),$E309,0)-$O309-$T309-$U309-$V309,"")</f>
        <v/>
      </c>
      <c r="X309" s="46" t="str">
        <f aca="false">IF(AND(ISNUMBER($S309),$S309&gt;0),$W309/$S309,"")</f>
        <v/>
      </c>
      <c r="Y309" s="49"/>
      <c r="Z309" s="21"/>
    </row>
    <row r="310" customFormat="false" ht="15.75" hidden="false" customHeight="true" outlineLevel="0" collapsed="false">
      <c r="A310" s="32" t="str">
        <f aca="false">IF(Produtos!$A310="","",Produtos!$A310)</f>
        <v/>
      </c>
      <c r="B310" s="32" t="str">
        <f aca="false">IF(Produtos!$A310="","",Produtos!$B310)</f>
        <v/>
      </c>
      <c r="C310" s="32" t="str">
        <f aca="false">IF(Produtos!$A310="","",Produtos!$C310)</f>
        <v/>
      </c>
      <c r="D310" s="33" t="str">
        <f aca="false">IF(Produtos!$A310="","",IF(Produtos!$D310="","",Produtos!$D310))</f>
        <v/>
      </c>
      <c r="E310" s="11"/>
      <c r="F310" s="34" t="str">
        <f aca="false">IF($A310="","",IF($C310="","⚠ categoria",IFERROR(INDEX(Parâmetros!$F$13:$F$22,MATCH($C310,Parâmetros!$A$13:$A$22,0)),"⚠ categoria")))</f>
        <v/>
      </c>
      <c r="G310" s="35"/>
      <c r="H310" s="36" t="str">
        <f aca="false">IF($A310="","",IF(ISNUMBER($G310),$G310,IF(ISNUMBER($F310),$F310,"")))</f>
        <v/>
      </c>
      <c r="I310" s="37" t="str">
        <f aca="false">IF(OR($A310="",NOT(ISNUMBER($D310)),NOT(ISNUMBER($H310))),"",IF((1-$H310-Parâmetros!$B$8-Parâmetros!$C$8-Parâmetros!$D$8)&lt;=0,"INVALIDO",($D310+IF(ISNUMBER($E310),$E310,0)+IF(ISNUMBER(Parâmetros!$E$8),Parâmetros!$E$8,0))/(1-$H310-Parâmetros!$B$8-Parâmetros!$C$8-Parâmetros!$D$8)))</f>
        <v/>
      </c>
      <c r="J310" s="38"/>
      <c r="K310" s="39" t="str">
        <f aca="false">IF(OR($A310="",NOT(ISNUMBER($D310)),NOT(ISNUMBER($H310))),"",IF(AND(ISNUMBER($J310),$J310&gt;0),$J310,IF(ISNUMBER($I310),$I310,"")))</f>
        <v/>
      </c>
      <c r="L310" s="40" t="str">
        <f aca="false">IF(ISNUMBER($K310),$K310*$H310,"")</f>
        <v/>
      </c>
      <c r="M310" s="40" t="str">
        <f aca="false">IF(ISNUMBER($K310),$K310*Parâmetros!$B$8,"")</f>
        <v/>
      </c>
      <c r="N310" s="40" t="str">
        <f aca="false">IF(ISNUMBER($K310),$K310*Parâmetros!$C$8,"")</f>
        <v/>
      </c>
      <c r="O310" s="40" t="str">
        <f aca="false">IF(ISNUMBER($K310),IF(ISNUMBER(Parâmetros!$E$8),Parâmetros!$E$8,0),"")</f>
        <v/>
      </c>
      <c r="P310" s="41" t="str">
        <f aca="false">IF(ISNUMBER($K310),$K310-$D310-IF(ISNUMBER($E310),$E310,0)-$L310-$M310-$N310-$O310,"")</f>
        <v/>
      </c>
      <c r="Q310" s="42" t="str">
        <f aca="false">IF(AND(ISNUMBER($K310),$K310&gt;0),$P310/$K310,"")</f>
        <v/>
      </c>
      <c r="R310" s="43"/>
      <c r="S310" s="44" t="str">
        <f aca="false">IF(OR(NOT(ISNUMBER($R310)),$R310=0,NOT(ISNUMBER($K310))),"",$K310*(1-$R310))</f>
        <v/>
      </c>
      <c r="T310" s="45" t="str">
        <f aca="false">IF(ISNUMBER($S310),$S310*$H310,"")</f>
        <v/>
      </c>
      <c r="U310" s="45" t="str">
        <f aca="false">IF(ISNUMBER($S310),$S310*Parâmetros!$B$8,"")</f>
        <v/>
      </c>
      <c r="V310" s="45" t="str">
        <f aca="false">IF(ISNUMBER($S310),$S310*Parâmetros!$C$8,"")</f>
        <v/>
      </c>
      <c r="W310" s="44" t="str">
        <f aca="false">IF(ISNUMBER($S310),$S310-$D310-IF(ISNUMBER($E310),$E310,0)-$O310-$T310-$U310-$V310,"")</f>
        <v/>
      </c>
      <c r="X310" s="46" t="str">
        <f aca="false">IF(AND(ISNUMBER($S310),$S310&gt;0),$W310/$S310,"")</f>
        <v/>
      </c>
      <c r="Y310" s="47"/>
      <c r="Z310" s="19"/>
    </row>
    <row r="311" customFormat="false" ht="15.75" hidden="false" customHeight="true" outlineLevel="0" collapsed="false">
      <c r="A311" s="48" t="str">
        <f aca="false">IF(Produtos!$A311="","",Produtos!$A311)</f>
        <v/>
      </c>
      <c r="B311" s="48" t="str">
        <f aca="false">IF(Produtos!$A311="","",Produtos!$B311)</f>
        <v/>
      </c>
      <c r="C311" s="48" t="str">
        <f aca="false">IF(Produtos!$A311="","",Produtos!$C311)</f>
        <v/>
      </c>
      <c r="D311" s="33" t="str">
        <f aca="false">IF(Produtos!$A311="","",IF(Produtos!$D311="","",Produtos!$D311))</f>
        <v/>
      </c>
      <c r="E311" s="11"/>
      <c r="F311" s="34" t="str">
        <f aca="false">IF($A311="","",IF($C311="","⚠ categoria",IFERROR(INDEX(Parâmetros!$F$13:$F$22,MATCH($C311,Parâmetros!$A$13:$A$22,0)),"⚠ categoria")))</f>
        <v/>
      </c>
      <c r="G311" s="35"/>
      <c r="H311" s="36" t="str">
        <f aca="false">IF($A311="","",IF(ISNUMBER($G311),$G311,IF(ISNUMBER($F311),$F311,"")))</f>
        <v/>
      </c>
      <c r="I311" s="37" t="str">
        <f aca="false">IF(OR($A311="",NOT(ISNUMBER($D311)),NOT(ISNUMBER($H311))),"",IF((1-$H311-Parâmetros!$B$8-Parâmetros!$C$8-Parâmetros!$D$8)&lt;=0,"INVALIDO",($D311+IF(ISNUMBER($E311),$E311,0)+IF(ISNUMBER(Parâmetros!$E$8),Parâmetros!$E$8,0))/(1-$H311-Parâmetros!$B$8-Parâmetros!$C$8-Parâmetros!$D$8)))</f>
        <v/>
      </c>
      <c r="J311" s="38"/>
      <c r="K311" s="39" t="str">
        <f aca="false">IF(OR($A311="",NOT(ISNUMBER($D311)),NOT(ISNUMBER($H311))),"",IF(AND(ISNUMBER($J311),$J311&gt;0),$J311,IF(ISNUMBER($I311),$I311,"")))</f>
        <v/>
      </c>
      <c r="L311" s="40" t="str">
        <f aca="false">IF(ISNUMBER($K311),$K311*$H311,"")</f>
        <v/>
      </c>
      <c r="M311" s="40" t="str">
        <f aca="false">IF(ISNUMBER($K311),$K311*Parâmetros!$B$8,"")</f>
        <v/>
      </c>
      <c r="N311" s="40" t="str">
        <f aca="false">IF(ISNUMBER($K311),$K311*Parâmetros!$C$8,"")</f>
        <v/>
      </c>
      <c r="O311" s="40" t="str">
        <f aca="false">IF(ISNUMBER($K311),IF(ISNUMBER(Parâmetros!$E$8),Parâmetros!$E$8,0),"")</f>
        <v/>
      </c>
      <c r="P311" s="41" t="str">
        <f aca="false">IF(ISNUMBER($K311),$K311-$D311-IF(ISNUMBER($E311),$E311,0)-$L311-$M311-$N311-$O311,"")</f>
        <v/>
      </c>
      <c r="Q311" s="42" t="str">
        <f aca="false">IF(AND(ISNUMBER($K311),$K311&gt;0),$P311/$K311,"")</f>
        <v/>
      </c>
      <c r="R311" s="43"/>
      <c r="S311" s="44" t="str">
        <f aca="false">IF(OR(NOT(ISNUMBER($R311)),$R311=0,NOT(ISNUMBER($K311))),"",$K311*(1-$R311))</f>
        <v/>
      </c>
      <c r="T311" s="45" t="str">
        <f aca="false">IF(ISNUMBER($S311),$S311*$H311,"")</f>
        <v/>
      </c>
      <c r="U311" s="45" t="str">
        <f aca="false">IF(ISNUMBER($S311),$S311*Parâmetros!$B$8,"")</f>
        <v/>
      </c>
      <c r="V311" s="45" t="str">
        <f aca="false">IF(ISNUMBER($S311),$S311*Parâmetros!$C$8,"")</f>
        <v/>
      </c>
      <c r="W311" s="44" t="str">
        <f aca="false">IF(ISNUMBER($S311),$S311-$D311-IF(ISNUMBER($E311),$E311,0)-$O311-$T311-$U311-$V311,"")</f>
        <v/>
      </c>
      <c r="X311" s="46" t="str">
        <f aca="false">IF(AND(ISNUMBER($S311),$S311&gt;0),$W311/$S311,"")</f>
        <v/>
      </c>
      <c r="Y311" s="49"/>
      <c r="Z311" s="21"/>
    </row>
    <row r="312" customFormat="false" ht="15.75" hidden="false" customHeight="true" outlineLevel="0" collapsed="false">
      <c r="A312" s="32" t="str">
        <f aca="false">IF(Produtos!$A312="","",Produtos!$A312)</f>
        <v/>
      </c>
      <c r="B312" s="32" t="str">
        <f aca="false">IF(Produtos!$A312="","",Produtos!$B312)</f>
        <v/>
      </c>
      <c r="C312" s="32" t="str">
        <f aca="false">IF(Produtos!$A312="","",Produtos!$C312)</f>
        <v/>
      </c>
      <c r="D312" s="33" t="str">
        <f aca="false">IF(Produtos!$A312="","",IF(Produtos!$D312="","",Produtos!$D312))</f>
        <v/>
      </c>
      <c r="E312" s="11"/>
      <c r="F312" s="34" t="str">
        <f aca="false">IF($A312="","",IF($C312="","⚠ categoria",IFERROR(INDEX(Parâmetros!$F$13:$F$22,MATCH($C312,Parâmetros!$A$13:$A$22,0)),"⚠ categoria")))</f>
        <v/>
      </c>
      <c r="G312" s="35"/>
      <c r="H312" s="36" t="str">
        <f aca="false">IF($A312="","",IF(ISNUMBER($G312),$G312,IF(ISNUMBER($F312),$F312,"")))</f>
        <v/>
      </c>
      <c r="I312" s="37" t="str">
        <f aca="false">IF(OR($A312="",NOT(ISNUMBER($D312)),NOT(ISNUMBER($H312))),"",IF((1-$H312-Parâmetros!$B$8-Parâmetros!$C$8-Parâmetros!$D$8)&lt;=0,"INVALIDO",($D312+IF(ISNUMBER($E312),$E312,0)+IF(ISNUMBER(Parâmetros!$E$8),Parâmetros!$E$8,0))/(1-$H312-Parâmetros!$B$8-Parâmetros!$C$8-Parâmetros!$D$8)))</f>
        <v/>
      </c>
      <c r="J312" s="38"/>
      <c r="K312" s="39" t="str">
        <f aca="false">IF(OR($A312="",NOT(ISNUMBER($D312)),NOT(ISNUMBER($H312))),"",IF(AND(ISNUMBER($J312),$J312&gt;0),$J312,IF(ISNUMBER($I312),$I312,"")))</f>
        <v/>
      </c>
      <c r="L312" s="40" t="str">
        <f aca="false">IF(ISNUMBER($K312),$K312*$H312,"")</f>
        <v/>
      </c>
      <c r="M312" s="40" t="str">
        <f aca="false">IF(ISNUMBER($K312),$K312*Parâmetros!$B$8,"")</f>
        <v/>
      </c>
      <c r="N312" s="40" t="str">
        <f aca="false">IF(ISNUMBER($K312),$K312*Parâmetros!$C$8,"")</f>
        <v/>
      </c>
      <c r="O312" s="40" t="str">
        <f aca="false">IF(ISNUMBER($K312),IF(ISNUMBER(Parâmetros!$E$8),Parâmetros!$E$8,0),"")</f>
        <v/>
      </c>
      <c r="P312" s="41" t="str">
        <f aca="false">IF(ISNUMBER($K312),$K312-$D312-IF(ISNUMBER($E312),$E312,0)-$L312-$M312-$N312-$O312,"")</f>
        <v/>
      </c>
      <c r="Q312" s="42" t="str">
        <f aca="false">IF(AND(ISNUMBER($K312),$K312&gt;0),$P312/$K312,"")</f>
        <v/>
      </c>
      <c r="R312" s="43"/>
      <c r="S312" s="44" t="str">
        <f aca="false">IF(OR(NOT(ISNUMBER($R312)),$R312=0,NOT(ISNUMBER($K312))),"",$K312*(1-$R312))</f>
        <v/>
      </c>
      <c r="T312" s="45" t="str">
        <f aca="false">IF(ISNUMBER($S312),$S312*$H312,"")</f>
        <v/>
      </c>
      <c r="U312" s="45" t="str">
        <f aca="false">IF(ISNUMBER($S312),$S312*Parâmetros!$B$8,"")</f>
        <v/>
      </c>
      <c r="V312" s="45" t="str">
        <f aca="false">IF(ISNUMBER($S312),$S312*Parâmetros!$C$8,"")</f>
        <v/>
      </c>
      <c r="W312" s="44" t="str">
        <f aca="false">IF(ISNUMBER($S312),$S312-$D312-IF(ISNUMBER($E312),$E312,0)-$O312-$T312-$U312-$V312,"")</f>
        <v/>
      </c>
      <c r="X312" s="46" t="str">
        <f aca="false">IF(AND(ISNUMBER($S312),$S312&gt;0),$W312/$S312,"")</f>
        <v/>
      </c>
      <c r="Y312" s="47"/>
      <c r="Z312" s="19"/>
    </row>
    <row r="313" customFormat="false" ht="15.75" hidden="false" customHeight="true" outlineLevel="0" collapsed="false">
      <c r="A313" s="48" t="str">
        <f aca="false">IF(Produtos!$A313="","",Produtos!$A313)</f>
        <v/>
      </c>
      <c r="B313" s="48" t="str">
        <f aca="false">IF(Produtos!$A313="","",Produtos!$B313)</f>
        <v/>
      </c>
      <c r="C313" s="48" t="str">
        <f aca="false">IF(Produtos!$A313="","",Produtos!$C313)</f>
        <v/>
      </c>
      <c r="D313" s="33" t="str">
        <f aca="false">IF(Produtos!$A313="","",IF(Produtos!$D313="","",Produtos!$D313))</f>
        <v/>
      </c>
      <c r="E313" s="11"/>
      <c r="F313" s="34" t="str">
        <f aca="false">IF($A313="","",IF($C313="","⚠ categoria",IFERROR(INDEX(Parâmetros!$F$13:$F$22,MATCH($C313,Parâmetros!$A$13:$A$22,0)),"⚠ categoria")))</f>
        <v/>
      </c>
      <c r="G313" s="35"/>
      <c r="H313" s="36" t="str">
        <f aca="false">IF($A313="","",IF(ISNUMBER($G313),$G313,IF(ISNUMBER($F313),$F313,"")))</f>
        <v/>
      </c>
      <c r="I313" s="37" t="str">
        <f aca="false">IF(OR($A313="",NOT(ISNUMBER($D313)),NOT(ISNUMBER($H313))),"",IF((1-$H313-Parâmetros!$B$8-Parâmetros!$C$8-Parâmetros!$D$8)&lt;=0,"INVALIDO",($D313+IF(ISNUMBER($E313),$E313,0)+IF(ISNUMBER(Parâmetros!$E$8),Parâmetros!$E$8,0))/(1-$H313-Parâmetros!$B$8-Parâmetros!$C$8-Parâmetros!$D$8)))</f>
        <v/>
      </c>
      <c r="J313" s="38"/>
      <c r="K313" s="39" t="str">
        <f aca="false">IF(OR($A313="",NOT(ISNUMBER($D313)),NOT(ISNUMBER($H313))),"",IF(AND(ISNUMBER($J313),$J313&gt;0),$J313,IF(ISNUMBER($I313),$I313,"")))</f>
        <v/>
      </c>
      <c r="L313" s="40" t="str">
        <f aca="false">IF(ISNUMBER($K313),$K313*$H313,"")</f>
        <v/>
      </c>
      <c r="M313" s="40" t="str">
        <f aca="false">IF(ISNUMBER($K313),$K313*Parâmetros!$B$8,"")</f>
        <v/>
      </c>
      <c r="N313" s="40" t="str">
        <f aca="false">IF(ISNUMBER($K313),$K313*Parâmetros!$C$8,"")</f>
        <v/>
      </c>
      <c r="O313" s="40" t="str">
        <f aca="false">IF(ISNUMBER($K313),IF(ISNUMBER(Parâmetros!$E$8),Parâmetros!$E$8,0),"")</f>
        <v/>
      </c>
      <c r="P313" s="41" t="str">
        <f aca="false">IF(ISNUMBER($K313),$K313-$D313-IF(ISNUMBER($E313),$E313,0)-$L313-$M313-$N313-$O313,"")</f>
        <v/>
      </c>
      <c r="Q313" s="42" t="str">
        <f aca="false">IF(AND(ISNUMBER($K313),$K313&gt;0),$P313/$K313,"")</f>
        <v/>
      </c>
      <c r="R313" s="43"/>
      <c r="S313" s="44" t="str">
        <f aca="false">IF(OR(NOT(ISNUMBER($R313)),$R313=0,NOT(ISNUMBER($K313))),"",$K313*(1-$R313))</f>
        <v/>
      </c>
      <c r="T313" s="45" t="str">
        <f aca="false">IF(ISNUMBER($S313),$S313*$H313,"")</f>
        <v/>
      </c>
      <c r="U313" s="45" t="str">
        <f aca="false">IF(ISNUMBER($S313),$S313*Parâmetros!$B$8,"")</f>
        <v/>
      </c>
      <c r="V313" s="45" t="str">
        <f aca="false">IF(ISNUMBER($S313),$S313*Parâmetros!$C$8,"")</f>
        <v/>
      </c>
      <c r="W313" s="44" t="str">
        <f aca="false">IF(ISNUMBER($S313),$S313-$D313-IF(ISNUMBER($E313),$E313,0)-$O313-$T313-$U313-$V313,"")</f>
        <v/>
      </c>
      <c r="X313" s="46" t="str">
        <f aca="false">IF(AND(ISNUMBER($S313),$S313&gt;0),$W313/$S313,"")</f>
        <v/>
      </c>
      <c r="Y313" s="49"/>
      <c r="Z313" s="21"/>
    </row>
    <row r="314" customFormat="false" ht="15.75" hidden="false" customHeight="true" outlineLevel="0" collapsed="false">
      <c r="A314" s="32" t="str">
        <f aca="false">IF(Produtos!$A314="","",Produtos!$A314)</f>
        <v/>
      </c>
      <c r="B314" s="32" t="str">
        <f aca="false">IF(Produtos!$A314="","",Produtos!$B314)</f>
        <v/>
      </c>
      <c r="C314" s="32" t="str">
        <f aca="false">IF(Produtos!$A314="","",Produtos!$C314)</f>
        <v/>
      </c>
      <c r="D314" s="33" t="str">
        <f aca="false">IF(Produtos!$A314="","",IF(Produtos!$D314="","",Produtos!$D314))</f>
        <v/>
      </c>
      <c r="E314" s="11"/>
      <c r="F314" s="34" t="str">
        <f aca="false">IF($A314="","",IF($C314="","⚠ categoria",IFERROR(INDEX(Parâmetros!$F$13:$F$22,MATCH($C314,Parâmetros!$A$13:$A$22,0)),"⚠ categoria")))</f>
        <v/>
      </c>
      <c r="G314" s="35"/>
      <c r="H314" s="36" t="str">
        <f aca="false">IF($A314="","",IF(ISNUMBER($G314),$G314,IF(ISNUMBER($F314),$F314,"")))</f>
        <v/>
      </c>
      <c r="I314" s="37" t="str">
        <f aca="false">IF(OR($A314="",NOT(ISNUMBER($D314)),NOT(ISNUMBER($H314))),"",IF((1-$H314-Parâmetros!$B$8-Parâmetros!$C$8-Parâmetros!$D$8)&lt;=0,"INVALIDO",($D314+IF(ISNUMBER($E314),$E314,0)+IF(ISNUMBER(Parâmetros!$E$8),Parâmetros!$E$8,0))/(1-$H314-Parâmetros!$B$8-Parâmetros!$C$8-Parâmetros!$D$8)))</f>
        <v/>
      </c>
      <c r="J314" s="38"/>
      <c r="K314" s="39" t="str">
        <f aca="false">IF(OR($A314="",NOT(ISNUMBER($D314)),NOT(ISNUMBER($H314))),"",IF(AND(ISNUMBER($J314),$J314&gt;0),$J314,IF(ISNUMBER($I314),$I314,"")))</f>
        <v/>
      </c>
      <c r="L314" s="40" t="str">
        <f aca="false">IF(ISNUMBER($K314),$K314*$H314,"")</f>
        <v/>
      </c>
      <c r="M314" s="40" t="str">
        <f aca="false">IF(ISNUMBER($K314),$K314*Parâmetros!$B$8,"")</f>
        <v/>
      </c>
      <c r="N314" s="40" t="str">
        <f aca="false">IF(ISNUMBER($K314),$K314*Parâmetros!$C$8,"")</f>
        <v/>
      </c>
      <c r="O314" s="40" t="str">
        <f aca="false">IF(ISNUMBER($K314),IF(ISNUMBER(Parâmetros!$E$8),Parâmetros!$E$8,0),"")</f>
        <v/>
      </c>
      <c r="P314" s="41" t="str">
        <f aca="false">IF(ISNUMBER($K314),$K314-$D314-IF(ISNUMBER($E314),$E314,0)-$L314-$M314-$N314-$O314,"")</f>
        <v/>
      </c>
      <c r="Q314" s="42" t="str">
        <f aca="false">IF(AND(ISNUMBER($K314),$K314&gt;0),$P314/$K314,"")</f>
        <v/>
      </c>
      <c r="R314" s="43"/>
      <c r="S314" s="44" t="str">
        <f aca="false">IF(OR(NOT(ISNUMBER($R314)),$R314=0,NOT(ISNUMBER($K314))),"",$K314*(1-$R314))</f>
        <v/>
      </c>
      <c r="T314" s="45" t="str">
        <f aca="false">IF(ISNUMBER($S314),$S314*$H314,"")</f>
        <v/>
      </c>
      <c r="U314" s="45" t="str">
        <f aca="false">IF(ISNUMBER($S314),$S314*Parâmetros!$B$8,"")</f>
        <v/>
      </c>
      <c r="V314" s="45" t="str">
        <f aca="false">IF(ISNUMBER($S314),$S314*Parâmetros!$C$8,"")</f>
        <v/>
      </c>
      <c r="W314" s="44" t="str">
        <f aca="false">IF(ISNUMBER($S314),$S314-$D314-IF(ISNUMBER($E314),$E314,0)-$O314-$T314-$U314-$V314,"")</f>
        <v/>
      </c>
      <c r="X314" s="46" t="str">
        <f aca="false">IF(AND(ISNUMBER($S314),$S314&gt;0),$W314/$S314,"")</f>
        <v/>
      </c>
      <c r="Y314" s="47"/>
      <c r="Z314" s="19"/>
    </row>
    <row r="315" customFormat="false" ht="15.75" hidden="false" customHeight="true" outlineLevel="0" collapsed="false">
      <c r="A315" s="48" t="str">
        <f aca="false">IF(Produtos!$A315="","",Produtos!$A315)</f>
        <v/>
      </c>
      <c r="B315" s="48" t="str">
        <f aca="false">IF(Produtos!$A315="","",Produtos!$B315)</f>
        <v/>
      </c>
      <c r="C315" s="48" t="str">
        <f aca="false">IF(Produtos!$A315="","",Produtos!$C315)</f>
        <v/>
      </c>
      <c r="D315" s="33" t="str">
        <f aca="false">IF(Produtos!$A315="","",IF(Produtos!$D315="","",Produtos!$D315))</f>
        <v/>
      </c>
      <c r="E315" s="11"/>
      <c r="F315" s="34" t="str">
        <f aca="false">IF($A315="","",IF($C315="","⚠ categoria",IFERROR(INDEX(Parâmetros!$F$13:$F$22,MATCH($C315,Parâmetros!$A$13:$A$22,0)),"⚠ categoria")))</f>
        <v/>
      </c>
      <c r="G315" s="35"/>
      <c r="H315" s="36" t="str">
        <f aca="false">IF($A315="","",IF(ISNUMBER($G315),$G315,IF(ISNUMBER($F315),$F315,"")))</f>
        <v/>
      </c>
      <c r="I315" s="37" t="str">
        <f aca="false">IF(OR($A315="",NOT(ISNUMBER($D315)),NOT(ISNUMBER($H315))),"",IF((1-$H315-Parâmetros!$B$8-Parâmetros!$C$8-Parâmetros!$D$8)&lt;=0,"INVALIDO",($D315+IF(ISNUMBER($E315),$E315,0)+IF(ISNUMBER(Parâmetros!$E$8),Parâmetros!$E$8,0))/(1-$H315-Parâmetros!$B$8-Parâmetros!$C$8-Parâmetros!$D$8)))</f>
        <v/>
      </c>
      <c r="J315" s="38"/>
      <c r="K315" s="39" t="str">
        <f aca="false">IF(OR($A315="",NOT(ISNUMBER($D315)),NOT(ISNUMBER($H315))),"",IF(AND(ISNUMBER($J315),$J315&gt;0),$J315,IF(ISNUMBER($I315),$I315,"")))</f>
        <v/>
      </c>
      <c r="L315" s="40" t="str">
        <f aca="false">IF(ISNUMBER($K315),$K315*$H315,"")</f>
        <v/>
      </c>
      <c r="M315" s="40" t="str">
        <f aca="false">IF(ISNUMBER($K315),$K315*Parâmetros!$B$8,"")</f>
        <v/>
      </c>
      <c r="N315" s="40" t="str">
        <f aca="false">IF(ISNUMBER($K315),$K315*Parâmetros!$C$8,"")</f>
        <v/>
      </c>
      <c r="O315" s="40" t="str">
        <f aca="false">IF(ISNUMBER($K315),IF(ISNUMBER(Parâmetros!$E$8),Parâmetros!$E$8,0),"")</f>
        <v/>
      </c>
      <c r="P315" s="41" t="str">
        <f aca="false">IF(ISNUMBER($K315),$K315-$D315-IF(ISNUMBER($E315),$E315,0)-$L315-$M315-$N315-$O315,"")</f>
        <v/>
      </c>
      <c r="Q315" s="42" t="str">
        <f aca="false">IF(AND(ISNUMBER($K315),$K315&gt;0),$P315/$K315,"")</f>
        <v/>
      </c>
      <c r="R315" s="43"/>
      <c r="S315" s="44" t="str">
        <f aca="false">IF(OR(NOT(ISNUMBER($R315)),$R315=0,NOT(ISNUMBER($K315))),"",$K315*(1-$R315))</f>
        <v/>
      </c>
      <c r="T315" s="45" t="str">
        <f aca="false">IF(ISNUMBER($S315),$S315*$H315,"")</f>
        <v/>
      </c>
      <c r="U315" s="45" t="str">
        <f aca="false">IF(ISNUMBER($S315),$S315*Parâmetros!$B$8,"")</f>
        <v/>
      </c>
      <c r="V315" s="45" t="str">
        <f aca="false">IF(ISNUMBER($S315),$S315*Parâmetros!$C$8,"")</f>
        <v/>
      </c>
      <c r="W315" s="44" t="str">
        <f aca="false">IF(ISNUMBER($S315),$S315-$D315-IF(ISNUMBER($E315),$E315,0)-$O315-$T315-$U315-$V315,"")</f>
        <v/>
      </c>
      <c r="X315" s="46" t="str">
        <f aca="false">IF(AND(ISNUMBER($S315),$S315&gt;0),$W315/$S315,"")</f>
        <v/>
      </c>
      <c r="Y315" s="49"/>
      <c r="Z315" s="21"/>
    </row>
    <row r="316" customFormat="false" ht="15.75" hidden="false" customHeight="true" outlineLevel="0" collapsed="false">
      <c r="A316" s="32" t="str">
        <f aca="false">IF(Produtos!$A316="","",Produtos!$A316)</f>
        <v/>
      </c>
      <c r="B316" s="32" t="str">
        <f aca="false">IF(Produtos!$A316="","",Produtos!$B316)</f>
        <v/>
      </c>
      <c r="C316" s="32" t="str">
        <f aca="false">IF(Produtos!$A316="","",Produtos!$C316)</f>
        <v/>
      </c>
      <c r="D316" s="33" t="str">
        <f aca="false">IF(Produtos!$A316="","",IF(Produtos!$D316="","",Produtos!$D316))</f>
        <v/>
      </c>
      <c r="E316" s="11"/>
      <c r="F316" s="34" t="str">
        <f aca="false">IF($A316="","",IF($C316="","⚠ categoria",IFERROR(INDEX(Parâmetros!$F$13:$F$22,MATCH($C316,Parâmetros!$A$13:$A$22,0)),"⚠ categoria")))</f>
        <v/>
      </c>
      <c r="G316" s="35"/>
      <c r="H316" s="36" t="str">
        <f aca="false">IF($A316="","",IF(ISNUMBER($G316),$G316,IF(ISNUMBER($F316),$F316,"")))</f>
        <v/>
      </c>
      <c r="I316" s="37" t="str">
        <f aca="false">IF(OR($A316="",NOT(ISNUMBER($D316)),NOT(ISNUMBER($H316))),"",IF((1-$H316-Parâmetros!$B$8-Parâmetros!$C$8-Parâmetros!$D$8)&lt;=0,"INVALIDO",($D316+IF(ISNUMBER($E316),$E316,0)+IF(ISNUMBER(Parâmetros!$E$8),Parâmetros!$E$8,0))/(1-$H316-Parâmetros!$B$8-Parâmetros!$C$8-Parâmetros!$D$8)))</f>
        <v/>
      </c>
      <c r="J316" s="38"/>
      <c r="K316" s="39" t="str">
        <f aca="false">IF(OR($A316="",NOT(ISNUMBER($D316)),NOT(ISNUMBER($H316))),"",IF(AND(ISNUMBER($J316),$J316&gt;0),$J316,IF(ISNUMBER($I316),$I316,"")))</f>
        <v/>
      </c>
      <c r="L316" s="40" t="str">
        <f aca="false">IF(ISNUMBER($K316),$K316*$H316,"")</f>
        <v/>
      </c>
      <c r="M316" s="40" t="str">
        <f aca="false">IF(ISNUMBER($K316),$K316*Parâmetros!$B$8,"")</f>
        <v/>
      </c>
      <c r="N316" s="40" t="str">
        <f aca="false">IF(ISNUMBER($K316),$K316*Parâmetros!$C$8,"")</f>
        <v/>
      </c>
      <c r="O316" s="40" t="str">
        <f aca="false">IF(ISNUMBER($K316),IF(ISNUMBER(Parâmetros!$E$8),Parâmetros!$E$8,0),"")</f>
        <v/>
      </c>
      <c r="P316" s="41" t="str">
        <f aca="false">IF(ISNUMBER($K316),$K316-$D316-IF(ISNUMBER($E316),$E316,0)-$L316-$M316-$N316-$O316,"")</f>
        <v/>
      </c>
      <c r="Q316" s="42" t="str">
        <f aca="false">IF(AND(ISNUMBER($K316),$K316&gt;0),$P316/$K316,"")</f>
        <v/>
      </c>
      <c r="R316" s="43"/>
      <c r="S316" s="44" t="str">
        <f aca="false">IF(OR(NOT(ISNUMBER($R316)),$R316=0,NOT(ISNUMBER($K316))),"",$K316*(1-$R316))</f>
        <v/>
      </c>
      <c r="T316" s="45" t="str">
        <f aca="false">IF(ISNUMBER($S316),$S316*$H316,"")</f>
        <v/>
      </c>
      <c r="U316" s="45" t="str">
        <f aca="false">IF(ISNUMBER($S316),$S316*Parâmetros!$B$8,"")</f>
        <v/>
      </c>
      <c r="V316" s="45" t="str">
        <f aca="false">IF(ISNUMBER($S316),$S316*Parâmetros!$C$8,"")</f>
        <v/>
      </c>
      <c r="W316" s="44" t="str">
        <f aca="false">IF(ISNUMBER($S316),$S316-$D316-IF(ISNUMBER($E316),$E316,0)-$O316-$T316-$U316-$V316,"")</f>
        <v/>
      </c>
      <c r="X316" s="46" t="str">
        <f aca="false">IF(AND(ISNUMBER($S316),$S316&gt;0),$W316/$S316,"")</f>
        <v/>
      </c>
      <c r="Y316" s="47"/>
      <c r="Z316" s="19"/>
    </row>
    <row r="317" customFormat="false" ht="15.75" hidden="false" customHeight="true" outlineLevel="0" collapsed="false">
      <c r="A317" s="48" t="str">
        <f aca="false">IF(Produtos!$A317="","",Produtos!$A317)</f>
        <v/>
      </c>
      <c r="B317" s="48" t="str">
        <f aca="false">IF(Produtos!$A317="","",Produtos!$B317)</f>
        <v/>
      </c>
      <c r="C317" s="48" t="str">
        <f aca="false">IF(Produtos!$A317="","",Produtos!$C317)</f>
        <v/>
      </c>
      <c r="D317" s="33" t="str">
        <f aca="false">IF(Produtos!$A317="","",IF(Produtos!$D317="","",Produtos!$D317))</f>
        <v/>
      </c>
      <c r="E317" s="11"/>
      <c r="F317" s="34" t="str">
        <f aca="false">IF($A317="","",IF($C317="","⚠ categoria",IFERROR(INDEX(Parâmetros!$F$13:$F$22,MATCH($C317,Parâmetros!$A$13:$A$22,0)),"⚠ categoria")))</f>
        <v/>
      </c>
      <c r="G317" s="35"/>
      <c r="H317" s="36" t="str">
        <f aca="false">IF($A317="","",IF(ISNUMBER($G317),$G317,IF(ISNUMBER($F317),$F317,"")))</f>
        <v/>
      </c>
      <c r="I317" s="37" t="str">
        <f aca="false">IF(OR($A317="",NOT(ISNUMBER($D317)),NOT(ISNUMBER($H317))),"",IF((1-$H317-Parâmetros!$B$8-Parâmetros!$C$8-Parâmetros!$D$8)&lt;=0,"INVALIDO",($D317+IF(ISNUMBER($E317),$E317,0)+IF(ISNUMBER(Parâmetros!$E$8),Parâmetros!$E$8,0))/(1-$H317-Parâmetros!$B$8-Parâmetros!$C$8-Parâmetros!$D$8)))</f>
        <v/>
      </c>
      <c r="J317" s="38"/>
      <c r="K317" s="39" t="str">
        <f aca="false">IF(OR($A317="",NOT(ISNUMBER($D317)),NOT(ISNUMBER($H317))),"",IF(AND(ISNUMBER($J317),$J317&gt;0),$J317,IF(ISNUMBER($I317),$I317,"")))</f>
        <v/>
      </c>
      <c r="L317" s="40" t="str">
        <f aca="false">IF(ISNUMBER($K317),$K317*$H317,"")</f>
        <v/>
      </c>
      <c r="M317" s="40" t="str">
        <f aca="false">IF(ISNUMBER($K317),$K317*Parâmetros!$B$8,"")</f>
        <v/>
      </c>
      <c r="N317" s="40" t="str">
        <f aca="false">IF(ISNUMBER($K317),$K317*Parâmetros!$C$8,"")</f>
        <v/>
      </c>
      <c r="O317" s="40" t="str">
        <f aca="false">IF(ISNUMBER($K317),IF(ISNUMBER(Parâmetros!$E$8),Parâmetros!$E$8,0),"")</f>
        <v/>
      </c>
      <c r="P317" s="41" t="str">
        <f aca="false">IF(ISNUMBER($K317),$K317-$D317-IF(ISNUMBER($E317),$E317,0)-$L317-$M317-$N317-$O317,"")</f>
        <v/>
      </c>
      <c r="Q317" s="42" t="str">
        <f aca="false">IF(AND(ISNUMBER($K317),$K317&gt;0),$P317/$K317,"")</f>
        <v/>
      </c>
      <c r="R317" s="43"/>
      <c r="S317" s="44" t="str">
        <f aca="false">IF(OR(NOT(ISNUMBER($R317)),$R317=0,NOT(ISNUMBER($K317))),"",$K317*(1-$R317))</f>
        <v/>
      </c>
      <c r="T317" s="45" t="str">
        <f aca="false">IF(ISNUMBER($S317),$S317*$H317,"")</f>
        <v/>
      </c>
      <c r="U317" s="45" t="str">
        <f aca="false">IF(ISNUMBER($S317),$S317*Parâmetros!$B$8,"")</f>
        <v/>
      </c>
      <c r="V317" s="45" t="str">
        <f aca="false">IF(ISNUMBER($S317),$S317*Parâmetros!$C$8,"")</f>
        <v/>
      </c>
      <c r="W317" s="44" t="str">
        <f aca="false">IF(ISNUMBER($S317),$S317-$D317-IF(ISNUMBER($E317),$E317,0)-$O317-$T317-$U317-$V317,"")</f>
        <v/>
      </c>
      <c r="X317" s="46" t="str">
        <f aca="false">IF(AND(ISNUMBER($S317),$S317&gt;0),$W317/$S317,"")</f>
        <v/>
      </c>
      <c r="Y317" s="49"/>
      <c r="Z317" s="21"/>
    </row>
    <row r="318" customFormat="false" ht="15.75" hidden="false" customHeight="true" outlineLevel="0" collapsed="false">
      <c r="A318" s="32" t="str">
        <f aca="false">IF(Produtos!$A318="","",Produtos!$A318)</f>
        <v/>
      </c>
      <c r="B318" s="32" t="str">
        <f aca="false">IF(Produtos!$A318="","",Produtos!$B318)</f>
        <v/>
      </c>
      <c r="C318" s="32" t="str">
        <f aca="false">IF(Produtos!$A318="","",Produtos!$C318)</f>
        <v/>
      </c>
      <c r="D318" s="33" t="str">
        <f aca="false">IF(Produtos!$A318="","",IF(Produtos!$D318="","",Produtos!$D318))</f>
        <v/>
      </c>
      <c r="E318" s="11"/>
      <c r="F318" s="34" t="str">
        <f aca="false">IF($A318="","",IF($C318="","⚠ categoria",IFERROR(INDEX(Parâmetros!$F$13:$F$22,MATCH($C318,Parâmetros!$A$13:$A$22,0)),"⚠ categoria")))</f>
        <v/>
      </c>
      <c r="G318" s="35"/>
      <c r="H318" s="36" t="str">
        <f aca="false">IF($A318="","",IF(ISNUMBER($G318),$G318,IF(ISNUMBER($F318),$F318,"")))</f>
        <v/>
      </c>
      <c r="I318" s="37" t="str">
        <f aca="false">IF(OR($A318="",NOT(ISNUMBER($D318)),NOT(ISNUMBER($H318))),"",IF((1-$H318-Parâmetros!$B$8-Parâmetros!$C$8-Parâmetros!$D$8)&lt;=0,"INVALIDO",($D318+IF(ISNUMBER($E318),$E318,0)+IF(ISNUMBER(Parâmetros!$E$8),Parâmetros!$E$8,0))/(1-$H318-Parâmetros!$B$8-Parâmetros!$C$8-Parâmetros!$D$8)))</f>
        <v/>
      </c>
      <c r="J318" s="38"/>
      <c r="K318" s="39" t="str">
        <f aca="false">IF(OR($A318="",NOT(ISNUMBER($D318)),NOT(ISNUMBER($H318))),"",IF(AND(ISNUMBER($J318),$J318&gt;0),$J318,IF(ISNUMBER($I318),$I318,"")))</f>
        <v/>
      </c>
      <c r="L318" s="40" t="str">
        <f aca="false">IF(ISNUMBER($K318),$K318*$H318,"")</f>
        <v/>
      </c>
      <c r="M318" s="40" t="str">
        <f aca="false">IF(ISNUMBER($K318),$K318*Parâmetros!$B$8,"")</f>
        <v/>
      </c>
      <c r="N318" s="40" t="str">
        <f aca="false">IF(ISNUMBER($K318),$K318*Parâmetros!$C$8,"")</f>
        <v/>
      </c>
      <c r="O318" s="40" t="str">
        <f aca="false">IF(ISNUMBER($K318),IF(ISNUMBER(Parâmetros!$E$8),Parâmetros!$E$8,0),"")</f>
        <v/>
      </c>
      <c r="P318" s="41" t="str">
        <f aca="false">IF(ISNUMBER($K318),$K318-$D318-IF(ISNUMBER($E318),$E318,0)-$L318-$M318-$N318-$O318,"")</f>
        <v/>
      </c>
      <c r="Q318" s="42" t="str">
        <f aca="false">IF(AND(ISNUMBER($K318),$K318&gt;0),$P318/$K318,"")</f>
        <v/>
      </c>
      <c r="R318" s="43"/>
      <c r="S318" s="44" t="str">
        <f aca="false">IF(OR(NOT(ISNUMBER($R318)),$R318=0,NOT(ISNUMBER($K318))),"",$K318*(1-$R318))</f>
        <v/>
      </c>
      <c r="T318" s="45" t="str">
        <f aca="false">IF(ISNUMBER($S318),$S318*$H318,"")</f>
        <v/>
      </c>
      <c r="U318" s="45" t="str">
        <f aca="false">IF(ISNUMBER($S318),$S318*Parâmetros!$B$8,"")</f>
        <v/>
      </c>
      <c r="V318" s="45" t="str">
        <f aca="false">IF(ISNUMBER($S318),$S318*Parâmetros!$C$8,"")</f>
        <v/>
      </c>
      <c r="W318" s="44" t="str">
        <f aca="false">IF(ISNUMBER($S318),$S318-$D318-IF(ISNUMBER($E318),$E318,0)-$O318-$T318-$U318-$V318,"")</f>
        <v/>
      </c>
      <c r="X318" s="46" t="str">
        <f aca="false">IF(AND(ISNUMBER($S318),$S318&gt;0),$W318/$S318,"")</f>
        <v/>
      </c>
      <c r="Y318" s="47"/>
      <c r="Z318" s="19"/>
    </row>
    <row r="319" customFormat="false" ht="15.75" hidden="false" customHeight="true" outlineLevel="0" collapsed="false">
      <c r="A319" s="48" t="str">
        <f aca="false">IF(Produtos!$A319="","",Produtos!$A319)</f>
        <v/>
      </c>
      <c r="B319" s="48" t="str">
        <f aca="false">IF(Produtos!$A319="","",Produtos!$B319)</f>
        <v/>
      </c>
      <c r="C319" s="48" t="str">
        <f aca="false">IF(Produtos!$A319="","",Produtos!$C319)</f>
        <v/>
      </c>
      <c r="D319" s="33" t="str">
        <f aca="false">IF(Produtos!$A319="","",IF(Produtos!$D319="","",Produtos!$D319))</f>
        <v/>
      </c>
      <c r="E319" s="11"/>
      <c r="F319" s="34" t="str">
        <f aca="false">IF($A319="","",IF($C319="","⚠ categoria",IFERROR(INDEX(Parâmetros!$F$13:$F$22,MATCH($C319,Parâmetros!$A$13:$A$22,0)),"⚠ categoria")))</f>
        <v/>
      </c>
      <c r="G319" s="35"/>
      <c r="H319" s="36" t="str">
        <f aca="false">IF($A319="","",IF(ISNUMBER($G319),$G319,IF(ISNUMBER($F319),$F319,"")))</f>
        <v/>
      </c>
      <c r="I319" s="37" t="str">
        <f aca="false">IF(OR($A319="",NOT(ISNUMBER($D319)),NOT(ISNUMBER($H319))),"",IF((1-$H319-Parâmetros!$B$8-Parâmetros!$C$8-Parâmetros!$D$8)&lt;=0,"INVALIDO",($D319+IF(ISNUMBER($E319),$E319,0)+IF(ISNUMBER(Parâmetros!$E$8),Parâmetros!$E$8,0))/(1-$H319-Parâmetros!$B$8-Parâmetros!$C$8-Parâmetros!$D$8)))</f>
        <v/>
      </c>
      <c r="J319" s="38"/>
      <c r="K319" s="39" t="str">
        <f aca="false">IF(OR($A319="",NOT(ISNUMBER($D319)),NOT(ISNUMBER($H319))),"",IF(AND(ISNUMBER($J319),$J319&gt;0),$J319,IF(ISNUMBER($I319),$I319,"")))</f>
        <v/>
      </c>
      <c r="L319" s="40" t="str">
        <f aca="false">IF(ISNUMBER($K319),$K319*$H319,"")</f>
        <v/>
      </c>
      <c r="M319" s="40" t="str">
        <f aca="false">IF(ISNUMBER($K319),$K319*Parâmetros!$B$8,"")</f>
        <v/>
      </c>
      <c r="N319" s="40" t="str">
        <f aca="false">IF(ISNUMBER($K319),$K319*Parâmetros!$C$8,"")</f>
        <v/>
      </c>
      <c r="O319" s="40" t="str">
        <f aca="false">IF(ISNUMBER($K319),IF(ISNUMBER(Parâmetros!$E$8),Parâmetros!$E$8,0),"")</f>
        <v/>
      </c>
      <c r="P319" s="41" t="str">
        <f aca="false">IF(ISNUMBER($K319),$K319-$D319-IF(ISNUMBER($E319),$E319,0)-$L319-$M319-$N319-$O319,"")</f>
        <v/>
      </c>
      <c r="Q319" s="42" t="str">
        <f aca="false">IF(AND(ISNUMBER($K319),$K319&gt;0),$P319/$K319,"")</f>
        <v/>
      </c>
      <c r="R319" s="43"/>
      <c r="S319" s="44" t="str">
        <f aca="false">IF(OR(NOT(ISNUMBER($R319)),$R319=0,NOT(ISNUMBER($K319))),"",$K319*(1-$R319))</f>
        <v/>
      </c>
      <c r="T319" s="45" t="str">
        <f aca="false">IF(ISNUMBER($S319),$S319*$H319,"")</f>
        <v/>
      </c>
      <c r="U319" s="45" t="str">
        <f aca="false">IF(ISNUMBER($S319),$S319*Parâmetros!$B$8,"")</f>
        <v/>
      </c>
      <c r="V319" s="45" t="str">
        <f aca="false">IF(ISNUMBER($S319),$S319*Parâmetros!$C$8,"")</f>
        <v/>
      </c>
      <c r="W319" s="44" t="str">
        <f aca="false">IF(ISNUMBER($S319),$S319-$D319-IF(ISNUMBER($E319),$E319,0)-$O319-$T319-$U319-$V319,"")</f>
        <v/>
      </c>
      <c r="X319" s="46" t="str">
        <f aca="false">IF(AND(ISNUMBER($S319),$S319&gt;0),$W319/$S319,"")</f>
        <v/>
      </c>
      <c r="Y319" s="49"/>
      <c r="Z319" s="21"/>
    </row>
    <row r="320" customFormat="false" ht="15.75" hidden="false" customHeight="true" outlineLevel="0" collapsed="false">
      <c r="A320" s="32" t="str">
        <f aca="false">IF(Produtos!$A320="","",Produtos!$A320)</f>
        <v/>
      </c>
      <c r="B320" s="32" t="str">
        <f aca="false">IF(Produtos!$A320="","",Produtos!$B320)</f>
        <v/>
      </c>
      <c r="C320" s="32" t="str">
        <f aca="false">IF(Produtos!$A320="","",Produtos!$C320)</f>
        <v/>
      </c>
      <c r="D320" s="33" t="str">
        <f aca="false">IF(Produtos!$A320="","",IF(Produtos!$D320="","",Produtos!$D320))</f>
        <v/>
      </c>
      <c r="E320" s="11"/>
      <c r="F320" s="34" t="str">
        <f aca="false">IF($A320="","",IF($C320="","⚠ categoria",IFERROR(INDEX(Parâmetros!$F$13:$F$22,MATCH($C320,Parâmetros!$A$13:$A$22,0)),"⚠ categoria")))</f>
        <v/>
      </c>
      <c r="G320" s="35"/>
      <c r="H320" s="36" t="str">
        <f aca="false">IF($A320="","",IF(ISNUMBER($G320),$G320,IF(ISNUMBER($F320),$F320,"")))</f>
        <v/>
      </c>
      <c r="I320" s="37" t="str">
        <f aca="false">IF(OR($A320="",NOT(ISNUMBER($D320)),NOT(ISNUMBER($H320))),"",IF((1-$H320-Parâmetros!$B$8-Parâmetros!$C$8-Parâmetros!$D$8)&lt;=0,"INVALIDO",($D320+IF(ISNUMBER($E320),$E320,0)+IF(ISNUMBER(Parâmetros!$E$8),Parâmetros!$E$8,0))/(1-$H320-Parâmetros!$B$8-Parâmetros!$C$8-Parâmetros!$D$8)))</f>
        <v/>
      </c>
      <c r="J320" s="38"/>
      <c r="K320" s="39" t="str">
        <f aca="false">IF(OR($A320="",NOT(ISNUMBER($D320)),NOT(ISNUMBER($H320))),"",IF(AND(ISNUMBER($J320),$J320&gt;0),$J320,IF(ISNUMBER($I320),$I320,"")))</f>
        <v/>
      </c>
      <c r="L320" s="40" t="str">
        <f aca="false">IF(ISNUMBER($K320),$K320*$H320,"")</f>
        <v/>
      </c>
      <c r="M320" s="40" t="str">
        <f aca="false">IF(ISNUMBER($K320),$K320*Parâmetros!$B$8,"")</f>
        <v/>
      </c>
      <c r="N320" s="40" t="str">
        <f aca="false">IF(ISNUMBER($K320),$K320*Parâmetros!$C$8,"")</f>
        <v/>
      </c>
      <c r="O320" s="40" t="str">
        <f aca="false">IF(ISNUMBER($K320),IF(ISNUMBER(Parâmetros!$E$8),Parâmetros!$E$8,0),"")</f>
        <v/>
      </c>
      <c r="P320" s="41" t="str">
        <f aca="false">IF(ISNUMBER($K320),$K320-$D320-IF(ISNUMBER($E320),$E320,0)-$L320-$M320-$N320-$O320,"")</f>
        <v/>
      </c>
      <c r="Q320" s="42" t="str">
        <f aca="false">IF(AND(ISNUMBER($K320),$K320&gt;0),$P320/$K320,"")</f>
        <v/>
      </c>
      <c r="R320" s="43"/>
      <c r="S320" s="44" t="str">
        <f aca="false">IF(OR(NOT(ISNUMBER($R320)),$R320=0,NOT(ISNUMBER($K320))),"",$K320*(1-$R320))</f>
        <v/>
      </c>
      <c r="T320" s="45" t="str">
        <f aca="false">IF(ISNUMBER($S320),$S320*$H320,"")</f>
        <v/>
      </c>
      <c r="U320" s="45" t="str">
        <f aca="false">IF(ISNUMBER($S320),$S320*Parâmetros!$B$8,"")</f>
        <v/>
      </c>
      <c r="V320" s="45" t="str">
        <f aca="false">IF(ISNUMBER($S320),$S320*Parâmetros!$C$8,"")</f>
        <v/>
      </c>
      <c r="W320" s="44" t="str">
        <f aca="false">IF(ISNUMBER($S320),$S320-$D320-IF(ISNUMBER($E320),$E320,0)-$O320-$T320-$U320-$V320,"")</f>
        <v/>
      </c>
      <c r="X320" s="46" t="str">
        <f aca="false">IF(AND(ISNUMBER($S320),$S320&gt;0),$W320/$S320,"")</f>
        <v/>
      </c>
      <c r="Y320" s="47"/>
      <c r="Z320" s="19"/>
    </row>
    <row r="321" customFormat="false" ht="15.75" hidden="false" customHeight="true" outlineLevel="0" collapsed="false">
      <c r="A321" s="48" t="str">
        <f aca="false">IF(Produtos!$A321="","",Produtos!$A321)</f>
        <v/>
      </c>
      <c r="B321" s="48" t="str">
        <f aca="false">IF(Produtos!$A321="","",Produtos!$B321)</f>
        <v/>
      </c>
      <c r="C321" s="48" t="str">
        <f aca="false">IF(Produtos!$A321="","",Produtos!$C321)</f>
        <v/>
      </c>
      <c r="D321" s="33" t="str">
        <f aca="false">IF(Produtos!$A321="","",IF(Produtos!$D321="","",Produtos!$D321))</f>
        <v/>
      </c>
      <c r="E321" s="11"/>
      <c r="F321" s="34" t="str">
        <f aca="false">IF($A321="","",IF($C321="","⚠ categoria",IFERROR(INDEX(Parâmetros!$F$13:$F$22,MATCH($C321,Parâmetros!$A$13:$A$22,0)),"⚠ categoria")))</f>
        <v/>
      </c>
      <c r="G321" s="35"/>
      <c r="H321" s="36" t="str">
        <f aca="false">IF($A321="","",IF(ISNUMBER($G321),$G321,IF(ISNUMBER($F321),$F321,"")))</f>
        <v/>
      </c>
      <c r="I321" s="37" t="str">
        <f aca="false">IF(OR($A321="",NOT(ISNUMBER($D321)),NOT(ISNUMBER($H321))),"",IF((1-$H321-Parâmetros!$B$8-Parâmetros!$C$8-Parâmetros!$D$8)&lt;=0,"INVALIDO",($D321+IF(ISNUMBER($E321),$E321,0)+IF(ISNUMBER(Parâmetros!$E$8),Parâmetros!$E$8,0))/(1-$H321-Parâmetros!$B$8-Parâmetros!$C$8-Parâmetros!$D$8)))</f>
        <v/>
      </c>
      <c r="J321" s="38"/>
      <c r="K321" s="39" t="str">
        <f aca="false">IF(OR($A321="",NOT(ISNUMBER($D321)),NOT(ISNUMBER($H321))),"",IF(AND(ISNUMBER($J321),$J321&gt;0),$J321,IF(ISNUMBER($I321),$I321,"")))</f>
        <v/>
      </c>
      <c r="L321" s="40" t="str">
        <f aca="false">IF(ISNUMBER($K321),$K321*$H321,"")</f>
        <v/>
      </c>
      <c r="M321" s="40" t="str">
        <f aca="false">IF(ISNUMBER($K321),$K321*Parâmetros!$B$8,"")</f>
        <v/>
      </c>
      <c r="N321" s="40" t="str">
        <f aca="false">IF(ISNUMBER($K321),$K321*Parâmetros!$C$8,"")</f>
        <v/>
      </c>
      <c r="O321" s="40" t="str">
        <f aca="false">IF(ISNUMBER($K321),IF(ISNUMBER(Parâmetros!$E$8),Parâmetros!$E$8,0),"")</f>
        <v/>
      </c>
      <c r="P321" s="41" t="str">
        <f aca="false">IF(ISNUMBER($K321),$K321-$D321-IF(ISNUMBER($E321),$E321,0)-$L321-$M321-$N321-$O321,"")</f>
        <v/>
      </c>
      <c r="Q321" s="42" t="str">
        <f aca="false">IF(AND(ISNUMBER($K321),$K321&gt;0),$P321/$K321,"")</f>
        <v/>
      </c>
      <c r="R321" s="43"/>
      <c r="S321" s="44" t="str">
        <f aca="false">IF(OR(NOT(ISNUMBER($R321)),$R321=0,NOT(ISNUMBER($K321))),"",$K321*(1-$R321))</f>
        <v/>
      </c>
      <c r="T321" s="45" t="str">
        <f aca="false">IF(ISNUMBER($S321),$S321*$H321,"")</f>
        <v/>
      </c>
      <c r="U321" s="45" t="str">
        <f aca="false">IF(ISNUMBER($S321),$S321*Parâmetros!$B$8,"")</f>
        <v/>
      </c>
      <c r="V321" s="45" t="str">
        <f aca="false">IF(ISNUMBER($S321),$S321*Parâmetros!$C$8,"")</f>
        <v/>
      </c>
      <c r="W321" s="44" t="str">
        <f aca="false">IF(ISNUMBER($S321),$S321-$D321-IF(ISNUMBER($E321),$E321,0)-$O321-$T321-$U321-$V321,"")</f>
        <v/>
      </c>
      <c r="X321" s="46" t="str">
        <f aca="false">IF(AND(ISNUMBER($S321),$S321&gt;0),$W321/$S321,"")</f>
        <v/>
      </c>
      <c r="Y321" s="49"/>
      <c r="Z321" s="21"/>
    </row>
    <row r="322" customFormat="false" ht="15.75" hidden="false" customHeight="true" outlineLevel="0" collapsed="false">
      <c r="A322" s="32" t="str">
        <f aca="false">IF(Produtos!$A322="","",Produtos!$A322)</f>
        <v/>
      </c>
      <c r="B322" s="32" t="str">
        <f aca="false">IF(Produtos!$A322="","",Produtos!$B322)</f>
        <v/>
      </c>
      <c r="C322" s="32" t="str">
        <f aca="false">IF(Produtos!$A322="","",Produtos!$C322)</f>
        <v/>
      </c>
      <c r="D322" s="33" t="str">
        <f aca="false">IF(Produtos!$A322="","",IF(Produtos!$D322="","",Produtos!$D322))</f>
        <v/>
      </c>
      <c r="E322" s="11"/>
      <c r="F322" s="34" t="str">
        <f aca="false">IF($A322="","",IF($C322="","⚠ categoria",IFERROR(INDEX(Parâmetros!$F$13:$F$22,MATCH($C322,Parâmetros!$A$13:$A$22,0)),"⚠ categoria")))</f>
        <v/>
      </c>
      <c r="G322" s="35"/>
      <c r="H322" s="36" t="str">
        <f aca="false">IF($A322="","",IF(ISNUMBER($G322),$G322,IF(ISNUMBER($F322),$F322,"")))</f>
        <v/>
      </c>
      <c r="I322" s="37" t="str">
        <f aca="false">IF(OR($A322="",NOT(ISNUMBER($D322)),NOT(ISNUMBER($H322))),"",IF((1-$H322-Parâmetros!$B$8-Parâmetros!$C$8-Parâmetros!$D$8)&lt;=0,"INVALIDO",($D322+IF(ISNUMBER($E322),$E322,0)+IF(ISNUMBER(Parâmetros!$E$8),Parâmetros!$E$8,0))/(1-$H322-Parâmetros!$B$8-Parâmetros!$C$8-Parâmetros!$D$8)))</f>
        <v/>
      </c>
      <c r="J322" s="38"/>
      <c r="K322" s="39" t="str">
        <f aca="false">IF(OR($A322="",NOT(ISNUMBER($D322)),NOT(ISNUMBER($H322))),"",IF(AND(ISNUMBER($J322),$J322&gt;0),$J322,IF(ISNUMBER($I322),$I322,"")))</f>
        <v/>
      </c>
      <c r="L322" s="40" t="str">
        <f aca="false">IF(ISNUMBER($K322),$K322*$H322,"")</f>
        <v/>
      </c>
      <c r="M322" s="40" t="str">
        <f aca="false">IF(ISNUMBER($K322),$K322*Parâmetros!$B$8,"")</f>
        <v/>
      </c>
      <c r="N322" s="40" t="str">
        <f aca="false">IF(ISNUMBER($K322),$K322*Parâmetros!$C$8,"")</f>
        <v/>
      </c>
      <c r="O322" s="40" t="str">
        <f aca="false">IF(ISNUMBER($K322),IF(ISNUMBER(Parâmetros!$E$8),Parâmetros!$E$8,0),"")</f>
        <v/>
      </c>
      <c r="P322" s="41" t="str">
        <f aca="false">IF(ISNUMBER($K322),$K322-$D322-IF(ISNUMBER($E322),$E322,0)-$L322-$M322-$N322-$O322,"")</f>
        <v/>
      </c>
      <c r="Q322" s="42" t="str">
        <f aca="false">IF(AND(ISNUMBER($K322),$K322&gt;0),$P322/$K322,"")</f>
        <v/>
      </c>
      <c r="R322" s="43"/>
      <c r="S322" s="44" t="str">
        <f aca="false">IF(OR(NOT(ISNUMBER($R322)),$R322=0,NOT(ISNUMBER($K322))),"",$K322*(1-$R322))</f>
        <v/>
      </c>
      <c r="T322" s="45" t="str">
        <f aca="false">IF(ISNUMBER($S322),$S322*$H322,"")</f>
        <v/>
      </c>
      <c r="U322" s="45" t="str">
        <f aca="false">IF(ISNUMBER($S322),$S322*Parâmetros!$B$8,"")</f>
        <v/>
      </c>
      <c r="V322" s="45" t="str">
        <f aca="false">IF(ISNUMBER($S322),$S322*Parâmetros!$C$8,"")</f>
        <v/>
      </c>
      <c r="W322" s="44" t="str">
        <f aca="false">IF(ISNUMBER($S322),$S322-$D322-IF(ISNUMBER($E322),$E322,0)-$O322-$T322-$U322-$V322,"")</f>
        <v/>
      </c>
      <c r="X322" s="46" t="str">
        <f aca="false">IF(AND(ISNUMBER($S322),$S322&gt;0),$W322/$S322,"")</f>
        <v/>
      </c>
      <c r="Y322" s="47"/>
      <c r="Z322" s="19"/>
    </row>
    <row r="323" customFormat="false" ht="15.75" hidden="false" customHeight="true" outlineLevel="0" collapsed="false">
      <c r="A323" s="48" t="str">
        <f aca="false">IF(Produtos!$A323="","",Produtos!$A323)</f>
        <v/>
      </c>
      <c r="B323" s="48" t="str">
        <f aca="false">IF(Produtos!$A323="","",Produtos!$B323)</f>
        <v/>
      </c>
      <c r="C323" s="48" t="str">
        <f aca="false">IF(Produtos!$A323="","",Produtos!$C323)</f>
        <v/>
      </c>
      <c r="D323" s="33" t="str">
        <f aca="false">IF(Produtos!$A323="","",IF(Produtos!$D323="","",Produtos!$D323))</f>
        <v/>
      </c>
      <c r="E323" s="11"/>
      <c r="F323" s="34" t="str">
        <f aca="false">IF($A323="","",IF($C323="","⚠ categoria",IFERROR(INDEX(Parâmetros!$F$13:$F$22,MATCH($C323,Parâmetros!$A$13:$A$22,0)),"⚠ categoria")))</f>
        <v/>
      </c>
      <c r="G323" s="35"/>
      <c r="H323" s="36" t="str">
        <f aca="false">IF($A323="","",IF(ISNUMBER($G323),$G323,IF(ISNUMBER($F323),$F323,"")))</f>
        <v/>
      </c>
      <c r="I323" s="37" t="str">
        <f aca="false">IF(OR($A323="",NOT(ISNUMBER($D323)),NOT(ISNUMBER($H323))),"",IF((1-$H323-Parâmetros!$B$8-Parâmetros!$C$8-Parâmetros!$D$8)&lt;=0,"INVALIDO",($D323+IF(ISNUMBER($E323),$E323,0)+IF(ISNUMBER(Parâmetros!$E$8),Parâmetros!$E$8,0))/(1-$H323-Parâmetros!$B$8-Parâmetros!$C$8-Parâmetros!$D$8)))</f>
        <v/>
      </c>
      <c r="J323" s="38"/>
      <c r="K323" s="39" t="str">
        <f aca="false">IF(OR($A323="",NOT(ISNUMBER($D323)),NOT(ISNUMBER($H323))),"",IF(AND(ISNUMBER($J323),$J323&gt;0),$J323,IF(ISNUMBER($I323),$I323,"")))</f>
        <v/>
      </c>
      <c r="L323" s="40" t="str">
        <f aca="false">IF(ISNUMBER($K323),$K323*$H323,"")</f>
        <v/>
      </c>
      <c r="M323" s="40" t="str">
        <f aca="false">IF(ISNUMBER($K323),$K323*Parâmetros!$B$8,"")</f>
        <v/>
      </c>
      <c r="N323" s="40" t="str">
        <f aca="false">IF(ISNUMBER($K323),$K323*Parâmetros!$C$8,"")</f>
        <v/>
      </c>
      <c r="O323" s="40" t="str">
        <f aca="false">IF(ISNUMBER($K323),IF(ISNUMBER(Parâmetros!$E$8),Parâmetros!$E$8,0),"")</f>
        <v/>
      </c>
      <c r="P323" s="41" t="str">
        <f aca="false">IF(ISNUMBER($K323),$K323-$D323-IF(ISNUMBER($E323),$E323,0)-$L323-$M323-$N323-$O323,"")</f>
        <v/>
      </c>
      <c r="Q323" s="42" t="str">
        <f aca="false">IF(AND(ISNUMBER($K323),$K323&gt;0),$P323/$K323,"")</f>
        <v/>
      </c>
      <c r="R323" s="43"/>
      <c r="S323" s="44" t="str">
        <f aca="false">IF(OR(NOT(ISNUMBER($R323)),$R323=0,NOT(ISNUMBER($K323))),"",$K323*(1-$R323))</f>
        <v/>
      </c>
      <c r="T323" s="45" t="str">
        <f aca="false">IF(ISNUMBER($S323),$S323*$H323,"")</f>
        <v/>
      </c>
      <c r="U323" s="45" t="str">
        <f aca="false">IF(ISNUMBER($S323),$S323*Parâmetros!$B$8,"")</f>
        <v/>
      </c>
      <c r="V323" s="45" t="str">
        <f aca="false">IF(ISNUMBER($S323),$S323*Parâmetros!$C$8,"")</f>
        <v/>
      </c>
      <c r="W323" s="44" t="str">
        <f aca="false">IF(ISNUMBER($S323),$S323-$D323-IF(ISNUMBER($E323),$E323,0)-$O323-$T323-$U323-$V323,"")</f>
        <v/>
      </c>
      <c r="X323" s="46" t="str">
        <f aca="false">IF(AND(ISNUMBER($S323),$S323&gt;0),$W323/$S323,"")</f>
        <v/>
      </c>
      <c r="Y323" s="49"/>
      <c r="Z323" s="21"/>
    </row>
    <row r="324" customFormat="false" ht="15.75" hidden="false" customHeight="true" outlineLevel="0" collapsed="false">
      <c r="A324" s="32" t="str">
        <f aca="false">IF(Produtos!$A324="","",Produtos!$A324)</f>
        <v/>
      </c>
      <c r="B324" s="32" t="str">
        <f aca="false">IF(Produtos!$A324="","",Produtos!$B324)</f>
        <v/>
      </c>
      <c r="C324" s="32" t="str">
        <f aca="false">IF(Produtos!$A324="","",Produtos!$C324)</f>
        <v/>
      </c>
      <c r="D324" s="33" t="str">
        <f aca="false">IF(Produtos!$A324="","",IF(Produtos!$D324="","",Produtos!$D324))</f>
        <v/>
      </c>
      <c r="E324" s="11"/>
      <c r="F324" s="34" t="str">
        <f aca="false">IF($A324="","",IF($C324="","⚠ categoria",IFERROR(INDEX(Parâmetros!$F$13:$F$22,MATCH($C324,Parâmetros!$A$13:$A$22,0)),"⚠ categoria")))</f>
        <v/>
      </c>
      <c r="G324" s="35"/>
      <c r="H324" s="36" t="str">
        <f aca="false">IF($A324="","",IF(ISNUMBER($G324),$G324,IF(ISNUMBER($F324),$F324,"")))</f>
        <v/>
      </c>
      <c r="I324" s="37" t="str">
        <f aca="false">IF(OR($A324="",NOT(ISNUMBER($D324)),NOT(ISNUMBER($H324))),"",IF((1-$H324-Parâmetros!$B$8-Parâmetros!$C$8-Parâmetros!$D$8)&lt;=0,"INVALIDO",($D324+IF(ISNUMBER($E324),$E324,0)+IF(ISNUMBER(Parâmetros!$E$8),Parâmetros!$E$8,0))/(1-$H324-Parâmetros!$B$8-Parâmetros!$C$8-Parâmetros!$D$8)))</f>
        <v/>
      </c>
      <c r="J324" s="38"/>
      <c r="K324" s="39" t="str">
        <f aca="false">IF(OR($A324="",NOT(ISNUMBER($D324)),NOT(ISNUMBER($H324))),"",IF(AND(ISNUMBER($J324),$J324&gt;0),$J324,IF(ISNUMBER($I324),$I324,"")))</f>
        <v/>
      </c>
      <c r="L324" s="40" t="str">
        <f aca="false">IF(ISNUMBER($K324),$K324*$H324,"")</f>
        <v/>
      </c>
      <c r="M324" s="40" t="str">
        <f aca="false">IF(ISNUMBER($K324),$K324*Parâmetros!$B$8,"")</f>
        <v/>
      </c>
      <c r="N324" s="40" t="str">
        <f aca="false">IF(ISNUMBER($K324),$K324*Parâmetros!$C$8,"")</f>
        <v/>
      </c>
      <c r="O324" s="40" t="str">
        <f aca="false">IF(ISNUMBER($K324),IF(ISNUMBER(Parâmetros!$E$8),Parâmetros!$E$8,0),"")</f>
        <v/>
      </c>
      <c r="P324" s="41" t="str">
        <f aca="false">IF(ISNUMBER($K324),$K324-$D324-IF(ISNUMBER($E324),$E324,0)-$L324-$M324-$N324-$O324,"")</f>
        <v/>
      </c>
      <c r="Q324" s="42" t="str">
        <f aca="false">IF(AND(ISNUMBER($K324),$K324&gt;0),$P324/$K324,"")</f>
        <v/>
      </c>
      <c r="R324" s="43"/>
      <c r="S324" s="44" t="str">
        <f aca="false">IF(OR(NOT(ISNUMBER($R324)),$R324=0,NOT(ISNUMBER($K324))),"",$K324*(1-$R324))</f>
        <v/>
      </c>
      <c r="T324" s="45" t="str">
        <f aca="false">IF(ISNUMBER($S324),$S324*$H324,"")</f>
        <v/>
      </c>
      <c r="U324" s="45" t="str">
        <f aca="false">IF(ISNUMBER($S324),$S324*Parâmetros!$B$8,"")</f>
        <v/>
      </c>
      <c r="V324" s="45" t="str">
        <f aca="false">IF(ISNUMBER($S324),$S324*Parâmetros!$C$8,"")</f>
        <v/>
      </c>
      <c r="W324" s="44" t="str">
        <f aca="false">IF(ISNUMBER($S324),$S324-$D324-IF(ISNUMBER($E324),$E324,0)-$O324-$T324-$U324-$V324,"")</f>
        <v/>
      </c>
      <c r="X324" s="46" t="str">
        <f aca="false">IF(AND(ISNUMBER($S324),$S324&gt;0),$W324/$S324,"")</f>
        <v/>
      </c>
      <c r="Y324" s="47"/>
      <c r="Z324" s="19"/>
    </row>
    <row r="325" customFormat="false" ht="15.75" hidden="false" customHeight="true" outlineLevel="0" collapsed="false">
      <c r="A325" s="48" t="str">
        <f aca="false">IF(Produtos!$A325="","",Produtos!$A325)</f>
        <v/>
      </c>
      <c r="B325" s="48" t="str">
        <f aca="false">IF(Produtos!$A325="","",Produtos!$B325)</f>
        <v/>
      </c>
      <c r="C325" s="48" t="str">
        <f aca="false">IF(Produtos!$A325="","",Produtos!$C325)</f>
        <v/>
      </c>
      <c r="D325" s="33" t="str">
        <f aca="false">IF(Produtos!$A325="","",IF(Produtos!$D325="","",Produtos!$D325))</f>
        <v/>
      </c>
      <c r="E325" s="11"/>
      <c r="F325" s="34" t="str">
        <f aca="false">IF($A325="","",IF($C325="","⚠ categoria",IFERROR(INDEX(Parâmetros!$F$13:$F$22,MATCH($C325,Parâmetros!$A$13:$A$22,0)),"⚠ categoria")))</f>
        <v/>
      </c>
      <c r="G325" s="35"/>
      <c r="H325" s="36" t="str">
        <f aca="false">IF($A325="","",IF(ISNUMBER($G325),$G325,IF(ISNUMBER($F325),$F325,"")))</f>
        <v/>
      </c>
      <c r="I325" s="37" t="str">
        <f aca="false">IF(OR($A325="",NOT(ISNUMBER($D325)),NOT(ISNUMBER($H325))),"",IF((1-$H325-Parâmetros!$B$8-Parâmetros!$C$8-Parâmetros!$D$8)&lt;=0,"INVALIDO",($D325+IF(ISNUMBER($E325),$E325,0)+IF(ISNUMBER(Parâmetros!$E$8),Parâmetros!$E$8,0))/(1-$H325-Parâmetros!$B$8-Parâmetros!$C$8-Parâmetros!$D$8)))</f>
        <v/>
      </c>
      <c r="J325" s="38"/>
      <c r="K325" s="39" t="str">
        <f aca="false">IF(OR($A325="",NOT(ISNUMBER($D325)),NOT(ISNUMBER($H325))),"",IF(AND(ISNUMBER($J325),$J325&gt;0),$J325,IF(ISNUMBER($I325),$I325,"")))</f>
        <v/>
      </c>
      <c r="L325" s="40" t="str">
        <f aca="false">IF(ISNUMBER($K325),$K325*$H325,"")</f>
        <v/>
      </c>
      <c r="M325" s="40" t="str">
        <f aca="false">IF(ISNUMBER($K325),$K325*Parâmetros!$B$8,"")</f>
        <v/>
      </c>
      <c r="N325" s="40" t="str">
        <f aca="false">IF(ISNUMBER($K325),$K325*Parâmetros!$C$8,"")</f>
        <v/>
      </c>
      <c r="O325" s="40" t="str">
        <f aca="false">IF(ISNUMBER($K325),IF(ISNUMBER(Parâmetros!$E$8),Parâmetros!$E$8,0),"")</f>
        <v/>
      </c>
      <c r="P325" s="41" t="str">
        <f aca="false">IF(ISNUMBER($K325),$K325-$D325-IF(ISNUMBER($E325),$E325,0)-$L325-$M325-$N325-$O325,"")</f>
        <v/>
      </c>
      <c r="Q325" s="42" t="str">
        <f aca="false">IF(AND(ISNUMBER($K325),$K325&gt;0),$P325/$K325,"")</f>
        <v/>
      </c>
      <c r="R325" s="43"/>
      <c r="S325" s="44" t="str">
        <f aca="false">IF(OR(NOT(ISNUMBER($R325)),$R325=0,NOT(ISNUMBER($K325))),"",$K325*(1-$R325))</f>
        <v/>
      </c>
      <c r="T325" s="45" t="str">
        <f aca="false">IF(ISNUMBER($S325),$S325*$H325,"")</f>
        <v/>
      </c>
      <c r="U325" s="45" t="str">
        <f aca="false">IF(ISNUMBER($S325),$S325*Parâmetros!$B$8,"")</f>
        <v/>
      </c>
      <c r="V325" s="45" t="str">
        <f aca="false">IF(ISNUMBER($S325),$S325*Parâmetros!$C$8,"")</f>
        <v/>
      </c>
      <c r="W325" s="44" t="str">
        <f aca="false">IF(ISNUMBER($S325),$S325-$D325-IF(ISNUMBER($E325),$E325,0)-$O325-$T325-$U325-$V325,"")</f>
        <v/>
      </c>
      <c r="X325" s="46" t="str">
        <f aca="false">IF(AND(ISNUMBER($S325),$S325&gt;0),$W325/$S325,"")</f>
        <v/>
      </c>
      <c r="Y325" s="49"/>
      <c r="Z325" s="21"/>
    </row>
    <row r="326" customFormat="false" ht="15.75" hidden="false" customHeight="true" outlineLevel="0" collapsed="false">
      <c r="A326" s="32" t="str">
        <f aca="false">IF(Produtos!$A326="","",Produtos!$A326)</f>
        <v/>
      </c>
      <c r="B326" s="32" t="str">
        <f aca="false">IF(Produtos!$A326="","",Produtos!$B326)</f>
        <v/>
      </c>
      <c r="C326" s="32" t="str">
        <f aca="false">IF(Produtos!$A326="","",Produtos!$C326)</f>
        <v/>
      </c>
      <c r="D326" s="33" t="str">
        <f aca="false">IF(Produtos!$A326="","",IF(Produtos!$D326="","",Produtos!$D326))</f>
        <v/>
      </c>
      <c r="E326" s="11"/>
      <c r="F326" s="34" t="str">
        <f aca="false">IF($A326="","",IF($C326="","⚠ categoria",IFERROR(INDEX(Parâmetros!$F$13:$F$22,MATCH($C326,Parâmetros!$A$13:$A$22,0)),"⚠ categoria")))</f>
        <v/>
      </c>
      <c r="G326" s="35"/>
      <c r="H326" s="36" t="str">
        <f aca="false">IF($A326="","",IF(ISNUMBER($G326),$G326,IF(ISNUMBER($F326),$F326,"")))</f>
        <v/>
      </c>
      <c r="I326" s="37" t="str">
        <f aca="false">IF(OR($A326="",NOT(ISNUMBER($D326)),NOT(ISNUMBER($H326))),"",IF((1-$H326-Parâmetros!$B$8-Parâmetros!$C$8-Parâmetros!$D$8)&lt;=0,"INVALIDO",($D326+IF(ISNUMBER($E326),$E326,0)+IF(ISNUMBER(Parâmetros!$E$8),Parâmetros!$E$8,0))/(1-$H326-Parâmetros!$B$8-Parâmetros!$C$8-Parâmetros!$D$8)))</f>
        <v/>
      </c>
      <c r="J326" s="38"/>
      <c r="K326" s="39" t="str">
        <f aca="false">IF(OR($A326="",NOT(ISNUMBER($D326)),NOT(ISNUMBER($H326))),"",IF(AND(ISNUMBER($J326),$J326&gt;0),$J326,IF(ISNUMBER($I326),$I326,"")))</f>
        <v/>
      </c>
      <c r="L326" s="40" t="str">
        <f aca="false">IF(ISNUMBER($K326),$K326*$H326,"")</f>
        <v/>
      </c>
      <c r="M326" s="40" t="str">
        <f aca="false">IF(ISNUMBER($K326),$K326*Parâmetros!$B$8,"")</f>
        <v/>
      </c>
      <c r="N326" s="40" t="str">
        <f aca="false">IF(ISNUMBER($K326),$K326*Parâmetros!$C$8,"")</f>
        <v/>
      </c>
      <c r="O326" s="40" t="str">
        <f aca="false">IF(ISNUMBER($K326),IF(ISNUMBER(Parâmetros!$E$8),Parâmetros!$E$8,0),"")</f>
        <v/>
      </c>
      <c r="P326" s="41" t="str">
        <f aca="false">IF(ISNUMBER($K326),$K326-$D326-IF(ISNUMBER($E326),$E326,0)-$L326-$M326-$N326-$O326,"")</f>
        <v/>
      </c>
      <c r="Q326" s="42" t="str">
        <f aca="false">IF(AND(ISNUMBER($K326),$K326&gt;0),$P326/$K326,"")</f>
        <v/>
      </c>
      <c r="R326" s="43"/>
      <c r="S326" s="44" t="str">
        <f aca="false">IF(OR(NOT(ISNUMBER($R326)),$R326=0,NOT(ISNUMBER($K326))),"",$K326*(1-$R326))</f>
        <v/>
      </c>
      <c r="T326" s="45" t="str">
        <f aca="false">IF(ISNUMBER($S326),$S326*$H326,"")</f>
        <v/>
      </c>
      <c r="U326" s="45" t="str">
        <f aca="false">IF(ISNUMBER($S326),$S326*Parâmetros!$B$8,"")</f>
        <v/>
      </c>
      <c r="V326" s="45" t="str">
        <f aca="false">IF(ISNUMBER($S326),$S326*Parâmetros!$C$8,"")</f>
        <v/>
      </c>
      <c r="W326" s="44" t="str">
        <f aca="false">IF(ISNUMBER($S326),$S326-$D326-IF(ISNUMBER($E326),$E326,0)-$O326-$T326-$U326-$V326,"")</f>
        <v/>
      </c>
      <c r="X326" s="46" t="str">
        <f aca="false">IF(AND(ISNUMBER($S326),$S326&gt;0),$W326/$S326,"")</f>
        <v/>
      </c>
      <c r="Y326" s="47"/>
      <c r="Z326" s="19"/>
    </row>
    <row r="327" customFormat="false" ht="15.75" hidden="false" customHeight="true" outlineLevel="0" collapsed="false">
      <c r="A327" s="48" t="str">
        <f aca="false">IF(Produtos!$A327="","",Produtos!$A327)</f>
        <v/>
      </c>
      <c r="B327" s="48" t="str">
        <f aca="false">IF(Produtos!$A327="","",Produtos!$B327)</f>
        <v/>
      </c>
      <c r="C327" s="48" t="str">
        <f aca="false">IF(Produtos!$A327="","",Produtos!$C327)</f>
        <v/>
      </c>
      <c r="D327" s="33" t="str">
        <f aca="false">IF(Produtos!$A327="","",IF(Produtos!$D327="","",Produtos!$D327))</f>
        <v/>
      </c>
      <c r="E327" s="11"/>
      <c r="F327" s="34" t="str">
        <f aca="false">IF($A327="","",IF($C327="","⚠ categoria",IFERROR(INDEX(Parâmetros!$F$13:$F$22,MATCH($C327,Parâmetros!$A$13:$A$22,0)),"⚠ categoria")))</f>
        <v/>
      </c>
      <c r="G327" s="35"/>
      <c r="H327" s="36" t="str">
        <f aca="false">IF($A327="","",IF(ISNUMBER($G327),$G327,IF(ISNUMBER($F327),$F327,"")))</f>
        <v/>
      </c>
      <c r="I327" s="37" t="str">
        <f aca="false">IF(OR($A327="",NOT(ISNUMBER($D327)),NOT(ISNUMBER($H327))),"",IF((1-$H327-Parâmetros!$B$8-Parâmetros!$C$8-Parâmetros!$D$8)&lt;=0,"INVALIDO",($D327+IF(ISNUMBER($E327),$E327,0)+IF(ISNUMBER(Parâmetros!$E$8),Parâmetros!$E$8,0))/(1-$H327-Parâmetros!$B$8-Parâmetros!$C$8-Parâmetros!$D$8)))</f>
        <v/>
      </c>
      <c r="J327" s="38"/>
      <c r="K327" s="39" t="str">
        <f aca="false">IF(OR($A327="",NOT(ISNUMBER($D327)),NOT(ISNUMBER($H327))),"",IF(AND(ISNUMBER($J327),$J327&gt;0),$J327,IF(ISNUMBER($I327),$I327,"")))</f>
        <v/>
      </c>
      <c r="L327" s="40" t="str">
        <f aca="false">IF(ISNUMBER($K327),$K327*$H327,"")</f>
        <v/>
      </c>
      <c r="M327" s="40" t="str">
        <f aca="false">IF(ISNUMBER($K327),$K327*Parâmetros!$B$8,"")</f>
        <v/>
      </c>
      <c r="N327" s="40" t="str">
        <f aca="false">IF(ISNUMBER($K327),$K327*Parâmetros!$C$8,"")</f>
        <v/>
      </c>
      <c r="O327" s="40" t="str">
        <f aca="false">IF(ISNUMBER($K327),IF(ISNUMBER(Parâmetros!$E$8),Parâmetros!$E$8,0),"")</f>
        <v/>
      </c>
      <c r="P327" s="41" t="str">
        <f aca="false">IF(ISNUMBER($K327),$K327-$D327-IF(ISNUMBER($E327),$E327,0)-$L327-$M327-$N327-$O327,"")</f>
        <v/>
      </c>
      <c r="Q327" s="42" t="str">
        <f aca="false">IF(AND(ISNUMBER($K327),$K327&gt;0),$P327/$K327,"")</f>
        <v/>
      </c>
      <c r="R327" s="43"/>
      <c r="S327" s="44" t="str">
        <f aca="false">IF(OR(NOT(ISNUMBER($R327)),$R327=0,NOT(ISNUMBER($K327))),"",$K327*(1-$R327))</f>
        <v/>
      </c>
      <c r="T327" s="45" t="str">
        <f aca="false">IF(ISNUMBER($S327),$S327*$H327,"")</f>
        <v/>
      </c>
      <c r="U327" s="45" t="str">
        <f aca="false">IF(ISNUMBER($S327),$S327*Parâmetros!$B$8,"")</f>
        <v/>
      </c>
      <c r="V327" s="45" t="str">
        <f aca="false">IF(ISNUMBER($S327),$S327*Parâmetros!$C$8,"")</f>
        <v/>
      </c>
      <c r="W327" s="44" t="str">
        <f aca="false">IF(ISNUMBER($S327),$S327-$D327-IF(ISNUMBER($E327),$E327,0)-$O327-$T327-$U327-$V327,"")</f>
        <v/>
      </c>
      <c r="X327" s="46" t="str">
        <f aca="false">IF(AND(ISNUMBER($S327),$S327&gt;0),$W327/$S327,"")</f>
        <v/>
      </c>
      <c r="Y327" s="49"/>
      <c r="Z327" s="21"/>
    </row>
    <row r="328" customFormat="false" ht="15.75" hidden="false" customHeight="true" outlineLevel="0" collapsed="false">
      <c r="A328" s="32" t="str">
        <f aca="false">IF(Produtos!$A328="","",Produtos!$A328)</f>
        <v/>
      </c>
      <c r="B328" s="32" t="str">
        <f aca="false">IF(Produtos!$A328="","",Produtos!$B328)</f>
        <v/>
      </c>
      <c r="C328" s="32" t="str">
        <f aca="false">IF(Produtos!$A328="","",Produtos!$C328)</f>
        <v/>
      </c>
      <c r="D328" s="33" t="str">
        <f aca="false">IF(Produtos!$A328="","",IF(Produtos!$D328="","",Produtos!$D328))</f>
        <v/>
      </c>
      <c r="E328" s="11"/>
      <c r="F328" s="34" t="str">
        <f aca="false">IF($A328="","",IF($C328="","⚠ categoria",IFERROR(INDEX(Parâmetros!$F$13:$F$22,MATCH($C328,Parâmetros!$A$13:$A$22,0)),"⚠ categoria")))</f>
        <v/>
      </c>
      <c r="G328" s="35"/>
      <c r="H328" s="36" t="str">
        <f aca="false">IF($A328="","",IF(ISNUMBER($G328),$G328,IF(ISNUMBER($F328),$F328,"")))</f>
        <v/>
      </c>
      <c r="I328" s="37" t="str">
        <f aca="false">IF(OR($A328="",NOT(ISNUMBER($D328)),NOT(ISNUMBER($H328))),"",IF((1-$H328-Parâmetros!$B$8-Parâmetros!$C$8-Parâmetros!$D$8)&lt;=0,"INVALIDO",($D328+IF(ISNUMBER($E328),$E328,0)+IF(ISNUMBER(Parâmetros!$E$8),Parâmetros!$E$8,0))/(1-$H328-Parâmetros!$B$8-Parâmetros!$C$8-Parâmetros!$D$8)))</f>
        <v/>
      </c>
      <c r="J328" s="38"/>
      <c r="K328" s="39" t="str">
        <f aca="false">IF(OR($A328="",NOT(ISNUMBER($D328)),NOT(ISNUMBER($H328))),"",IF(AND(ISNUMBER($J328),$J328&gt;0),$J328,IF(ISNUMBER($I328),$I328,"")))</f>
        <v/>
      </c>
      <c r="L328" s="40" t="str">
        <f aca="false">IF(ISNUMBER($K328),$K328*$H328,"")</f>
        <v/>
      </c>
      <c r="M328" s="40" t="str">
        <f aca="false">IF(ISNUMBER($K328),$K328*Parâmetros!$B$8,"")</f>
        <v/>
      </c>
      <c r="N328" s="40" t="str">
        <f aca="false">IF(ISNUMBER($K328),$K328*Parâmetros!$C$8,"")</f>
        <v/>
      </c>
      <c r="O328" s="40" t="str">
        <f aca="false">IF(ISNUMBER($K328),IF(ISNUMBER(Parâmetros!$E$8),Parâmetros!$E$8,0),"")</f>
        <v/>
      </c>
      <c r="P328" s="41" t="str">
        <f aca="false">IF(ISNUMBER($K328),$K328-$D328-IF(ISNUMBER($E328),$E328,0)-$L328-$M328-$N328-$O328,"")</f>
        <v/>
      </c>
      <c r="Q328" s="42" t="str">
        <f aca="false">IF(AND(ISNUMBER($K328),$K328&gt;0),$P328/$K328,"")</f>
        <v/>
      </c>
      <c r="R328" s="43"/>
      <c r="S328" s="44" t="str">
        <f aca="false">IF(OR(NOT(ISNUMBER($R328)),$R328=0,NOT(ISNUMBER($K328))),"",$K328*(1-$R328))</f>
        <v/>
      </c>
      <c r="T328" s="45" t="str">
        <f aca="false">IF(ISNUMBER($S328),$S328*$H328,"")</f>
        <v/>
      </c>
      <c r="U328" s="45" t="str">
        <f aca="false">IF(ISNUMBER($S328),$S328*Parâmetros!$B$8,"")</f>
        <v/>
      </c>
      <c r="V328" s="45" t="str">
        <f aca="false">IF(ISNUMBER($S328),$S328*Parâmetros!$C$8,"")</f>
        <v/>
      </c>
      <c r="W328" s="44" t="str">
        <f aca="false">IF(ISNUMBER($S328),$S328-$D328-IF(ISNUMBER($E328),$E328,0)-$O328-$T328-$U328-$V328,"")</f>
        <v/>
      </c>
      <c r="X328" s="46" t="str">
        <f aca="false">IF(AND(ISNUMBER($S328),$S328&gt;0),$W328/$S328,"")</f>
        <v/>
      </c>
      <c r="Y328" s="47"/>
      <c r="Z328" s="19"/>
    </row>
    <row r="329" customFormat="false" ht="15.75" hidden="false" customHeight="true" outlineLevel="0" collapsed="false">
      <c r="A329" s="48" t="str">
        <f aca="false">IF(Produtos!$A329="","",Produtos!$A329)</f>
        <v/>
      </c>
      <c r="B329" s="48" t="str">
        <f aca="false">IF(Produtos!$A329="","",Produtos!$B329)</f>
        <v/>
      </c>
      <c r="C329" s="48" t="str">
        <f aca="false">IF(Produtos!$A329="","",Produtos!$C329)</f>
        <v/>
      </c>
      <c r="D329" s="33" t="str">
        <f aca="false">IF(Produtos!$A329="","",IF(Produtos!$D329="","",Produtos!$D329))</f>
        <v/>
      </c>
      <c r="E329" s="11"/>
      <c r="F329" s="34" t="str">
        <f aca="false">IF($A329="","",IF($C329="","⚠ categoria",IFERROR(INDEX(Parâmetros!$F$13:$F$22,MATCH($C329,Parâmetros!$A$13:$A$22,0)),"⚠ categoria")))</f>
        <v/>
      </c>
      <c r="G329" s="35"/>
      <c r="H329" s="36" t="str">
        <f aca="false">IF($A329="","",IF(ISNUMBER($G329),$G329,IF(ISNUMBER($F329),$F329,"")))</f>
        <v/>
      </c>
      <c r="I329" s="37" t="str">
        <f aca="false">IF(OR($A329="",NOT(ISNUMBER($D329)),NOT(ISNUMBER($H329))),"",IF((1-$H329-Parâmetros!$B$8-Parâmetros!$C$8-Parâmetros!$D$8)&lt;=0,"INVALIDO",($D329+IF(ISNUMBER($E329),$E329,0)+IF(ISNUMBER(Parâmetros!$E$8),Parâmetros!$E$8,0))/(1-$H329-Parâmetros!$B$8-Parâmetros!$C$8-Parâmetros!$D$8)))</f>
        <v/>
      </c>
      <c r="J329" s="38"/>
      <c r="K329" s="39" t="str">
        <f aca="false">IF(OR($A329="",NOT(ISNUMBER($D329)),NOT(ISNUMBER($H329))),"",IF(AND(ISNUMBER($J329),$J329&gt;0),$J329,IF(ISNUMBER($I329),$I329,"")))</f>
        <v/>
      </c>
      <c r="L329" s="40" t="str">
        <f aca="false">IF(ISNUMBER($K329),$K329*$H329,"")</f>
        <v/>
      </c>
      <c r="M329" s="40" t="str">
        <f aca="false">IF(ISNUMBER($K329),$K329*Parâmetros!$B$8,"")</f>
        <v/>
      </c>
      <c r="N329" s="40" t="str">
        <f aca="false">IF(ISNUMBER($K329),$K329*Parâmetros!$C$8,"")</f>
        <v/>
      </c>
      <c r="O329" s="40" t="str">
        <f aca="false">IF(ISNUMBER($K329),IF(ISNUMBER(Parâmetros!$E$8),Parâmetros!$E$8,0),"")</f>
        <v/>
      </c>
      <c r="P329" s="41" t="str">
        <f aca="false">IF(ISNUMBER($K329),$K329-$D329-IF(ISNUMBER($E329),$E329,0)-$L329-$M329-$N329-$O329,"")</f>
        <v/>
      </c>
      <c r="Q329" s="42" t="str">
        <f aca="false">IF(AND(ISNUMBER($K329),$K329&gt;0),$P329/$K329,"")</f>
        <v/>
      </c>
      <c r="R329" s="43"/>
      <c r="S329" s="44" t="str">
        <f aca="false">IF(OR(NOT(ISNUMBER($R329)),$R329=0,NOT(ISNUMBER($K329))),"",$K329*(1-$R329))</f>
        <v/>
      </c>
      <c r="T329" s="45" t="str">
        <f aca="false">IF(ISNUMBER($S329),$S329*$H329,"")</f>
        <v/>
      </c>
      <c r="U329" s="45" t="str">
        <f aca="false">IF(ISNUMBER($S329),$S329*Parâmetros!$B$8,"")</f>
        <v/>
      </c>
      <c r="V329" s="45" t="str">
        <f aca="false">IF(ISNUMBER($S329),$S329*Parâmetros!$C$8,"")</f>
        <v/>
      </c>
      <c r="W329" s="44" t="str">
        <f aca="false">IF(ISNUMBER($S329),$S329-$D329-IF(ISNUMBER($E329),$E329,0)-$O329-$T329-$U329-$V329,"")</f>
        <v/>
      </c>
      <c r="X329" s="46" t="str">
        <f aca="false">IF(AND(ISNUMBER($S329),$S329&gt;0),$W329/$S329,"")</f>
        <v/>
      </c>
      <c r="Y329" s="49"/>
      <c r="Z329" s="21"/>
    </row>
    <row r="330" customFormat="false" ht="15.75" hidden="false" customHeight="true" outlineLevel="0" collapsed="false">
      <c r="A330" s="32" t="str">
        <f aca="false">IF(Produtos!$A330="","",Produtos!$A330)</f>
        <v/>
      </c>
      <c r="B330" s="32" t="str">
        <f aca="false">IF(Produtos!$A330="","",Produtos!$B330)</f>
        <v/>
      </c>
      <c r="C330" s="32" t="str">
        <f aca="false">IF(Produtos!$A330="","",Produtos!$C330)</f>
        <v/>
      </c>
      <c r="D330" s="33" t="str">
        <f aca="false">IF(Produtos!$A330="","",IF(Produtos!$D330="","",Produtos!$D330))</f>
        <v/>
      </c>
      <c r="E330" s="11"/>
      <c r="F330" s="34" t="str">
        <f aca="false">IF($A330="","",IF($C330="","⚠ categoria",IFERROR(INDEX(Parâmetros!$F$13:$F$22,MATCH($C330,Parâmetros!$A$13:$A$22,0)),"⚠ categoria")))</f>
        <v/>
      </c>
      <c r="G330" s="35"/>
      <c r="H330" s="36" t="str">
        <f aca="false">IF($A330="","",IF(ISNUMBER($G330),$G330,IF(ISNUMBER($F330),$F330,"")))</f>
        <v/>
      </c>
      <c r="I330" s="37" t="str">
        <f aca="false">IF(OR($A330="",NOT(ISNUMBER($D330)),NOT(ISNUMBER($H330))),"",IF((1-$H330-Parâmetros!$B$8-Parâmetros!$C$8-Parâmetros!$D$8)&lt;=0,"INVALIDO",($D330+IF(ISNUMBER($E330),$E330,0)+IF(ISNUMBER(Parâmetros!$E$8),Parâmetros!$E$8,0))/(1-$H330-Parâmetros!$B$8-Parâmetros!$C$8-Parâmetros!$D$8)))</f>
        <v/>
      </c>
      <c r="J330" s="38"/>
      <c r="K330" s="39" t="str">
        <f aca="false">IF(OR($A330="",NOT(ISNUMBER($D330)),NOT(ISNUMBER($H330))),"",IF(AND(ISNUMBER($J330),$J330&gt;0),$J330,IF(ISNUMBER($I330),$I330,"")))</f>
        <v/>
      </c>
      <c r="L330" s="40" t="str">
        <f aca="false">IF(ISNUMBER($K330),$K330*$H330,"")</f>
        <v/>
      </c>
      <c r="M330" s="40" t="str">
        <f aca="false">IF(ISNUMBER($K330),$K330*Parâmetros!$B$8,"")</f>
        <v/>
      </c>
      <c r="N330" s="40" t="str">
        <f aca="false">IF(ISNUMBER($K330),$K330*Parâmetros!$C$8,"")</f>
        <v/>
      </c>
      <c r="O330" s="40" t="str">
        <f aca="false">IF(ISNUMBER($K330),IF(ISNUMBER(Parâmetros!$E$8),Parâmetros!$E$8,0),"")</f>
        <v/>
      </c>
      <c r="P330" s="41" t="str">
        <f aca="false">IF(ISNUMBER($K330),$K330-$D330-IF(ISNUMBER($E330),$E330,0)-$L330-$M330-$N330-$O330,"")</f>
        <v/>
      </c>
      <c r="Q330" s="42" t="str">
        <f aca="false">IF(AND(ISNUMBER($K330),$K330&gt;0),$P330/$K330,"")</f>
        <v/>
      </c>
      <c r="R330" s="43"/>
      <c r="S330" s="44" t="str">
        <f aca="false">IF(OR(NOT(ISNUMBER($R330)),$R330=0,NOT(ISNUMBER($K330))),"",$K330*(1-$R330))</f>
        <v/>
      </c>
      <c r="T330" s="45" t="str">
        <f aca="false">IF(ISNUMBER($S330),$S330*$H330,"")</f>
        <v/>
      </c>
      <c r="U330" s="45" t="str">
        <f aca="false">IF(ISNUMBER($S330),$S330*Parâmetros!$B$8,"")</f>
        <v/>
      </c>
      <c r="V330" s="45" t="str">
        <f aca="false">IF(ISNUMBER($S330),$S330*Parâmetros!$C$8,"")</f>
        <v/>
      </c>
      <c r="W330" s="44" t="str">
        <f aca="false">IF(ISNUMBER($S330),$S330-$D330-IF(ISNUMBER($E330),$E330,0)-$O330-$T330-$U330-$V330,"")</f>
        <v/>
      </c>
      <c r="X330" s="46" t="str">
        <f aca="false">IF(AND(ISNUMBER($S330),$S330&gt;0),$W330/$S330,"")</f>
        <v/>
      </c>
      <c r="Y330" s="47"/>
      <c r="Z330" s="19"/>
    </row>
    <row r="331" customFormat="false" ht="15.75" hidden="false" customHeight="true" outlineLevel="0" collapsed="false">
      <c r="A331" s="48" t="str">
        <f aca="false">IF(Produtos!$A331="","",Produtos!$A331)</f>
        <v/>
      </c>
      <c r="B331" s="48" t="str">
        <f aca="false">IF(Produtos!$A331="","",Produtos!$B331)</f>
        <v/>
      </c>
      <c r="C331" s="48" t="str">
        <f aca="false">IF(Produtos!$A331="","",Produtos!$C331)</f>
        <v/>
      </c>
      <c r="D331" s="33" t="str">
        <f aca="false">IF(Produtos!$A331="","",IF(Produtos!$D331="","",Produtos!$D331))</f>
        <v/>
      </c>
      <c r="E331" s="11"/>
      <c r="F331" s="34" t="str">
        <f aca="false">IF($A331="","",IF($C331="","⚠ categoria",IFERROR(INDEX(Parâmetros!$F$13:$F$22,MATCH($C331,Parâmetros!$A$13:$A$22,0)),"⚠ categoria")))</f>
        <v/>
      </c>
      <c r="G331" s="35"/>
      <c r="H331" s="36" t="str">
        <f aca="false">IF($A331="","",IF(ISNUMBER($G331),$G331,IF(ISNUMBER($F331),$F331,"")))</f>
        <v/>
      </c>
      <c r="I331" s="37" t="str">
        <f aca="false">IF(OR($A331="",NOT(ISNUMBER($D331)),NOT(ISNUMBER($H331))),"",IF((1-$H331-Parâmetros!$B$8-Parâmetros!$C$8-Parâmetros!$D$8)&lt;=0,"INVALIDO",($D331+IF(ISNUMBER($E331),$E331,0)+IF(ISNUMBER(Parâmetros!$E$8),Parâmetros!$E$8,0))/(1-$H331-Parâmetros!$B$8-Parâmetros!$C$8-Parâmetros!$D$8)))</f>
        <v/>
      </c>
      <c r="J331" s="38"/>
      <c r="K331" s="39" t="str">
        <f aca="false">IF(OR($A331="",NOT(ISNUMBER($D331)),NOT(ISNUMBER($H331))),"",IF(AND(ISNUMBER($J331),$J331&gt;0),$J331,IF(ISNUMBER($I331),$I331,"")))</f>
        <v/>
      </c>
      <c r="L331" s="40" t="str">
        <f aca="false">IF(ISNUMBER($K331),$K331*$H331,"")</f>
        <v/>
      </c>
      <c r="M331" s="40" t="str">
        <f aca="false">IF(ISNUMBER($K331),$K331*Parâmetros!$B$8,"")</f>
        <v/>
      </c>
      <c r="N331" s="40" t="str">
        <f aca="false">IF(ISNUMBER($K331),$K331*Parâmetros!$C$8,"")</f>
        <v/>
      </c>
      <c r="O331" s="40" t="str">
        <f aca="false">IF(ISNUMBER($K331),IF(ISNUMBER(Parâmetros!$E$8),Parâmetros!$E$8,0),"")</f>
        <v/>
      </c>
      <c r="P331" s="41" t="str">
        <f aca="false">IF(ISNUMBER($K331),$K331-$D331-IF(ISNUMBER($E331),$E331,0)-$L331-$M331-$N331-$O331,"")</f>
        <v/>
      </c>
      <c r="Q331" s="42" t="str">
        <f aca="false">IF(AND(ISNUMBER($K331),$K331&gt;0),$P331/$K331,"")</f>
        <v/>
      </c>
      <c r="R331" s="43"/>
      <c r="S331" s="44" t="str">
        <f aca="false">IF(OR(NOT(ISNUMBER($R331)),$R331=0,NOT(ISNUMBER($K331))),"",$K331*(1-$R331))</f>
        <v/>
      </c>
      <c r="T331" s="45" t="str">
        <f aca="false">IF(ISNUMBER($S331),$S331*$H331,"")</f>
        <v/>
      </c>
      <c r="U331" s="45" t="str">
        <f aca="false">IF(ISNUMBER($S331),$S331*Parâmetros!$B$8,"")</f>
        <v/>
      </c>
      <c r="V331" s="45" t="str">
        <f aca="false">IF(ISNUMBER($S331),$S331*Parâmetros!$C$8,"")</f>
        <v/>
      </c>
      <c r="W331" s="44" t="str">
        <f aca="false">IF(ISNUMBER($S331),$S331-$D331-IF(ISNUMBER($E331),$E331,0)-$O331-$T331-$U331-$V331,"")</f>
        <v/>
      </c>
      <c r="X331" s="46" t="str">
        <f aca="false">IF(AND(ISNUMBER($S331),$S331&gt;0),$W331/$S331,"")</f>
        <v/>
      </c>
      <c r="Y331" s="49"/>
      <c r="Z331" s="21"/>
    </row>
    <row r="332" customFormat="false" ht="15.75" hidden="false" customHeight="true" outlineLevel="0" collapsed="false">
      <c r="A332" s="32" t="str">
        <f aca="false">IF(Produtos!$A332="","",Produtos!$A332)</f>
        <v/>
      </c>
      <c r="B332" s="32" t="str">
        <f aca="false">IF(Produtos!$A332="","",Produtos!$B332)</f>
        <v/>
      </c>
      <c r="C332" s="32" t="str">
        <f aca="false">IF(Produtos!$A332="","",Produtos!$C332)</f>
        <v/>
      </c>
      <c r="D332" s="33" t="str">
        <f aca="false">IF(Produtos!$A332="","",IF(Produtos!$D332="","",Produtos!$D332))</f>
        <v/>
      </c>
      <c r="E332" s="11"/>
      <c r="F332" s="34" t="str">
        <f aca="false">IF($A332="","",IF($C332="","⚠ categoria",IFERROR(INDEX(Parâmetros!$F$13:$F$22,MATCH($C332,Parâmetros!$A$13:$A$22,0)),"⚠ categoria")))</f>
        <v/>
      </c>
      <c r="G332" s="35"/>
      <c r="H332" s="36" t="str">
        <f aca="false">IF($A332="","",IF(ISNUMBER($G332),$G332,IF(ISNUMBER($F332),$F332,"")))</f>
        <v/>
      </c>
      <c r="I332" s="37" t="str">
        <f aca="false">IF(OR($A332="",NOT(ISNUMBER($D332)),NOT(ISNUMBER($H332))),"",IF((1-$H332-Parâmetros!$B$8-Parâmetros!$C$8-Parâmetros!$D$8)&lt;=0,"INVALIDO",($D332+IF(ISNUMBER($E332),$E332,0)+IF(ISNUMBER(Parâmetros!$E$8),Parâmetros!$E$8,0))/(1-$H332-Parâmetros!$B$8-Parâmetros!$C$8-Parâmetros!$D$8)))</f>
        <v/>
      </c>
      <c r="J332" s="38"/>
      <c r="K332" s="39" t="str">
        <f aca="false">IF(OR($A332="",NOT(ISNUMBER($D332)),NOT(ISNUMBER($H332))),"",IF(AND(ISNUMBER($J332),$J332&gt;0),$J332,IF(ISNUMBER($I332),$I332,"")))</f>
        <v/>
      </c>
      <c r="L332" s="40" t="str">
        <f aca="false">IF(ISNUMBER($K332),$K332*$H332,"")</f>
        <v/>
      </c>
      <c r="M332" s="40" t="str">
        <f aca="false">IF(ISNUMBER($K332),$K332*Parâmetros!$B$8,"")</f>
        <v/>
      </c>
      <c r="N332" s="40" t="str">
        <f aca="false">IF(ISNUMBER($K332),$K332*Parâmetros!$C$8,"")</f>
        <v/>
      </c>
      <c r="O332" s="40" t="str">
        <f aca="false">IF(ISNUMBER($K332),IF(ISNUMBER(Parâmetros!$E$8),Parâmetros!$E$8,0),"")</f>
        <v/>
      </c>
      <c r="P332" s="41" t="str">
        <f aca="false">IF(ISNUMBER($K332),$K332-$D332-IF(ISNUMBER($E332),$E332,0)-$L332-$M332-$N332-$O332,"")</f>
        <v/>
      </c>
      <c r="Q332" s="42" t="str">
        <f aca="false">IF(AND(ISNUMBER($K332),$K332&gt;0),$P332/$K332,"")</f>
        <v/>
      </c>
      <c r="R332" s="43"/>
      <c r="S332" s="44" t="str">
        <f aca="false">IF(OR(NOT(ISNUMBER($R332)),$R332=0,NOT(ISNUMBER($K332))),"",$K332*(1-$R332))</f>
        <v/>
      </c>
      <c r="T332" s="45" t="str">
        <f aca="false">IF(ISNUMBER($S332),$S332*$H332,"")</f>
        <v/>
      </c>
      <c r="U332" s="45" t="str">
        <f aca="false">IF(ISNUMBER($S332),$S332*Parâmetros!$B$8,"")</f>
        <v/>
      </c>
      <c r="V332" s="45" t="str">
        <f aca="false">IF(ISNUMBER($S332),$S332*Parâmetros!$C$8,"")</f>
        <v/>
      </c>
      <c r="W332" s="44" t="str">
        <f aca="false">IF(ISNUMBER($S332),$S332-$D332-IF(ISNUMBER($E332),$E332,0)-$O332-$T332-$U332-$V332,"")</f>
        <v/>
      </c>
      <c r="X332" s="46" t="str">
        <f aca="false">IF(AND(ISNUMBER($S332),$S332&gt;0),$W332/$S332,"")</f>
        <v/>
      </c>
      <c r="Y332" s="47"/>
      <c r="Z332" s="19"/>
    </row>
    <row r="333" customFormat="false" ht="15.75" hidden="false" customHeight="true" outlineLevel="0" collapsed="false">
      <c r="A333" s="48" t="str">
        <f aca="false">IF(Produtos!$A333="","",Produtos!$A333)</f>
        <v/>
      </c>
      <c r="B333" s="48" t="str">
        <f aca="false">IF(Produtos!$A333="","",Produtos!$B333)</f>
        <v/>
      </c>
      <c r="C333" s="48" t="str">
        <f aca="false">IF(Produtos!$A333="","",Produtos!$C333)</f>
        <v/>
      </c>
      <c r="D333" s="33" t="str">
        <f aca="false">IF(Produtos!$A333="","",IF(Produtos!$D333="","",Produtos!$D333))</f>
        <v/>
      </c>
      <c r="E333" s="11"/>
      <c r="F333" s="34" t="str">
        <f aca="false">IF($A333="","",IF($C333="","⚠ categoria",IFERROR(INDEX(Parâmetros!$F$13:$F$22,MATCH($C333,Parâmetros!$A$13:$A$22,0)),"⚠ categoria")))</f>
        <v/>
      </c>
      <c r="G333" s="35"/>
      <c r="H333" s="36" t="str">
        <f aca="false">IF($A333="","",IF(ISNUMBER($G333),$G333,IF(ISNUMBER($F333),$F333,"")))</f>
        <v/>
      </c>
      <c r="I333" s="37" t="str">
        <f aca="false">IF(OR($A333="",NOT(ISNUMBER($D333)),NOT(ISNUMBER($H333))),"",IF((1-$H333-Parâmetros!$B$8-Parâmetros!$C$8-Parâmetros!$D$8)&lt;=0,"INVALIDO",($D333+IF(ISNUMBER($E333),$E333,0)+IF(ISNUMBER(Parâmetros!$E$8),Parâmetros!$E$8,0))/(1-$H333-Parâmetros!$B$8-Parâmetros!$C$8-Parâmetros!$D$8)))</f>
        <v/>
      </c>
      <c r="J333" s="38"/>
      <c r="K333" s="39" t="str">
        <f aca="false">IF(OR($A333="",NOT(ISNUMBER($D333)),NOT(ISNUMBER($H333))),"",IF(AND(ISNUMBER($J333),$J333&gt;0),$J333,IF(ISNUMBER($I333),$I333,"")))</f>
        <v/>
      </c>
      <c r="L333" s="40" t="str">
        <f aca="false">IF(ISNUMBER($K333),$K333*$H333,"")</f>
        <v/>
      </c>
      <c r="M333" s="40" t="str">
        <f aca="false">IF(ISNUMBER($K333),$K333*Parâmetros!$B$8,"")</f>
        <v/>
      </c>
      <c r="N333" s="40" t="str">
        <f aca="false">IF(ISNUMBER($K333),$K333*Parâmetros!$C$8,"")</f>
        <v/>
      </c>
      <c r="O333" s="40" t="str">
        <f aca="false">IF(ISNUMBER($K333),IF(ISNUMBER(Parâmetros!$E$8),Parâmetros!$E$8,0),"")</f>
        <v/>
      </c>
      <c r="P333" s="41" t="str">
        <f aca="false">IF(ISNUMBER($K333),$K333-$D333-IF(ISNUMBER($E333),$E333,0)-$L333-$M333-$N333-$O333,"")</f>
        <v/>
      </c>
      <c r="Q333" s="42" t="str">
        <f aca="false">IF(AND(ISNUMBER($K333),$K333&gt;0),$P333/$K333,"")</f>
        <v/>
      </c>
      <c r="R333" s="43"/>
      <c r="S333" s="44" t="str">
        <f aca="false">IF(OR(NOT(ISNUMBER($R333)),$R333=0,NOT(ISNUMBER($K333))),"",$K333*(1-$R333))</f>
        <v/>
      </c>
      <c r="T333" s="45" t="str">
        <f aca="false">IF(ISNUMBER($S333),$S333*$H333,"")</f>
        <v/>
      </c>
      <c r="U333" s="45" t="str">
        <f aca="false">IF(ISNUMBER($S333),$S333*Parâmetros!$B$8,"")</f>
        <v/>
      </c>
      <c r="V333" s="45" t="str">
        <f aca="false">IF(ISNUMBER($S333),$S333*Parâmetros!$C$8,"")</f>
        <v/>
      </c>
      <c r="W333" s="44" t="str">
        <f aca="false">IF(ISNUMBER($S333),$S333-$D333-IF(ISNUMBER($E333),$E333,0)-$O333-$T333-$U333-$V333,"")</f>
        <v/>
      </c>
      <c r="X333" s="46" t="str">
        <f aca="false">IF(AND(ISNUMBER($S333),$S333&gt;0),$W333/$S333,"")</f>
        <v/>
      </c>
      <c r="Y333" s="49"/>
      <c r="Z333" s="21"/>
    </row>
    <row r="334" customFormat="false" ht="15.75" hidden="false" customHeight="true" outlineLevel="0" collapsed="false">
      <c r="A334" s="32" t="str">
        <f aca="false">IF(Produtos!$A334="","",Produtos!$A334)</f>
        <v/>
      </c>
      <c r="B334" s="32" t="str">
        <f aca="false">IF(Produtos!$A334="","",Produtos!$B334)</f>
        <v/>
      </c>
      <c r="C334" s="32" t="str">
        <f aca="false">IF(Produtos!$A334="","",Produtos!$C334)</f>
        <v/>
      </c>
      <c r="D334" s="33" t="str">
        <f aca="false">IF(Produtos!$A334="","",IF(Produtos!$D334="","",Produtos!$D334))</f>
        <v/>
      </c>
      <c r="E334" s="11"/>
      <c r="F334" s="34" t="str">
        <f aca="false">IF($A334="","",IF($C334="","⚠ categoria",IFERROR(INDEX(Parâmetros!$F$13:$F$22,MATCH($C334,Parâmetros!$A$13:$A$22,0)),"⚠ categoria")))</f>
        <v/>
      </c>
      <c r="G334" s="35"/>
      <c r="H334" s="36" t="str">
        <f aca="false">IF($A334="","",IF(ISNUMBER($G334),$G334,IF(ISNUMBER($F334),$F334,"")))</f>
        <v/>
      </c>
      <c r="I334" s="37" t="str">
        <f aca="false">IF(OR($A334="",NOT(ISNUMBER($D334)),NOT(ISNUMBER($H334))),"",IF((1-$H334-Parâmetros!$B$8-Parâmetros!$C$8-Parâmetros!$D$8)&lt;=0,"INVALIDO",($D334+IF(ISNUMBER($E334),$E334,0)+IF(ISNUMBER(Parâmetros!$E$8),Parâmetros!$E$8,0))/(1-$H334-Parâmetros!$B$8-Parâmetros!$C$8-Parâmetros!$D$8)))</f>
        <v/>
      </c>
      <c r="J334" s="38"/>
      <c r="K334" s="39" t="str">
        <f aca="false">IF(OR($A334="",NOT(ISNUMBER($D334)),NOT(ISNUMBER($H334))),"",IF(AND(ISNUMBER($J334),$J334&gt;0),$J334,IF(ISNUMBER($I334),$I334,"")))</f>
        <v/>
      </c>
      <c r="L334" s="40" t="str">
        <f aca="false">IF(ISNUMBER($K334),$K334*$H334,"")</f>
        <v/>
      </c>
      <c r="M334" s="40" t="str">
        <f aca="false">IF(ISNUMBER($K334),$K334*Parâmetros!$B$8,"")</f>
        <v/>
      </c>
      <c r="N334" s="40" t="str">
        <f aca="false">IF(ISNUMBER($K334),$K334*Parâmetros!$C$8,"")</f>
        <v/>
      </c>
      <c r="O334" s="40" t="str">
        <f aca="false">IF(ISNUMBER($K334),IF(ISNUMBER(Parâmetros!$E$8),Parâmetros!$E$8,0),"")</f>
        <v/>
      </c>
      <c r="P334" s="41" t="str">
        <f aca="false">IF(ISNUMBER($K334),$K334-$D334-IF(ISNUMBER($E334),$E334,0)-$L334-$M334-$N334-$O334,"")</f>
        <v/>
      </c>
      <c r="Q334" s="42" t="str">
        <f aca="false">IF(AND(ISNUMBER($K334),$K334&gt;0),$P334/$K334,"")</f>
        <v/>
      </c>
      <c r="R334" s="43"/>
      <c r="S334" s="44" t="str">
        <f aca="false">IF(OR(NOT(ISNUMBER($R334)),$R334=0,NOT(ISNUMBER($K334))),"",$K334*(1-$R334))</f>
        <v/>
      </c>
      <c r="T334" s="45" t="str">
        <f aca="false">IF(ISNUMBER($S334),$S334*$H334,"")</f>
        <v/>
      </c>
      <c r="U334" s="45" t="str">
        <f aca="false">IF(ISNUMBER($S334),$S334*Parâmetros!$B$8,"")</f>
        <v/>
      </c>
      <c r="V334" s="45" t="str">
        <f aca="false">IF(ISNUMBER($S334),$S334*Parâmetros!$C$8,"")</f>
        <v/>
      </c>
      <c r="W334" s="44" t="str">
        <f aca="false">IF(ISNUMBER($S334),$S334-$D334-IF(ISNUMBER($E334),$E334,0)-$O334-$T334-$U334-$V334,"")</f>
        <v/>
      </c>
      <c r="X334" s="46" t="str">
        <f aca="false">IF(AND(ISNUMBER($S334),$S334&gt;0),$W334/$S334,"")</f>
        <v/>
      </c>
      <c r="Y334" s="47"/>
      <c r="Z334" s="19"/>
    </row>
    <row r="335" customFormat="false" ht="15.75" hidden="false" customHeight="true" outlineLevel="0" collapsed="false">
      <c r="A335" s="48" t="str">
        <f aca="false">IF(Produtos!$A335="","",Produtos!$A335)</f>
        <v/>
      </c>
      <c r="B335" s="48" t="str">
        <f aca="false">IF(Produtos!$A335="","",Produtos!$B335)</f>
        <v/>
      </c>
      <c r="C335" s="48" t="str">
        <f aca="false">IF(Produtos!$A335="","",Produtos!$C335)</f>
        <v/>
      </c>
      <c r="D335" s="33" t="str">
        <f aca="false">IF(Produtos!$A335="","",IF(Produtos!$D335="","",Produtos!$D335))</f>
        <v/>
      </c>
      <c r="E335" s="11"/>
      <c r="F335" s="34" t="str">
        <f aca="false">IF($A335="","",IF($C335="","⚠ categoria",IFERROR(INDEX(Parâmetros!$F$13:$F$22,MATCH($C335,Parâmetros!$A$13:$A$22,0)),"⚠ categoria")))</f>
        <v/>
      </c>
      <c r="G335" s="35"/>
      <c r="H335" s="36" t="str">
        <f aca="false">IF($A335="","",IF(ISNUMBER($G335),$G335,IF(ISNUMBER($F335),$F335,"")))</f>
        <v/>
      </c>
      <c r="I335" s="37" t="str">
        <f aca="false">IF(OR($A335="",NOT(ISNUMBER($D335)),NOT(ISNUMBER($H335))),"",IF((1-$H335-Parâmetros!$B$8-Parâmetros!$C$8-Parâmetros!$D$8)&lt;=0,"INVALIDO",($D335+IF(ISNUMBER($E335),$E335,0)+IF(ISNUMBER(Parâmetros!$E$8),Parâmetros!$E$8,0))/(1-$H335-Parâmetros!$B$8-Parâmetros!$C$8-Parâmetros!$D$8)))</f>
        <v/>
      </c>
      <c r="J335" s="38"/>
      <c r="K335" s="39" t="str">
        <f aca="false">IF(OR($A335="",NOT(ISNUMBER($D335)),NOT(ISNUMBER($H335))),"",IF(AND(ISNUMBER($J335),$J335&gt;0),$J335,IF(ISNUMBER($I335),$I335,"")))</f>
        <v/>
      </c>
      <c r="L335" s="40" t="str">
        <f aca="false">IF(ISNUMBER($K335),$K335*$H335,"")</f>
        <v/>
      </c>
      <c r="M335" s="40" t="str">
        <f aca="false">IF(ISNUMBER($K335),$K335*Parâmetros!$B$8,"")</f>
        <v/>
      </c>
      <c r="N335" s="40" t="str">
        <f aca="false">IF(ISNUMBER($K335),$K335*Parâmetros!$C$8,"")</f>
        <v/>
      </c>
      <c r="O335" s="40" t="str">
        <f aca="false">IF(ISNUMBER($K335),IF(ISNUMBER(Parâmetros!$E$8),Parâmetros!$E$8,0),"")</f>
        <v/>
      </c>
      <c r="P335" s="41" t="str">
        <f aca="false">IF(ISNUMBER($K335),$K335-$D335-IF(ISNUMBER($E335),$E335,0)-$L335-$M335-$N335-$O335,"")</f>
        <v/>
      </c>
      <c r="Q335" s="42" t="str">
        <f aca="false">IF(AND(ISNUMBER($K335),$K335&gt;0),$P335/$K335,"")</f>
        <v/>
      </c>
      <c r="R335" s="43"/>
      <c r="S335" s="44" t="str">
        <f aca="false">IF(OR(NOT(ISNUMBER($R335)),$R335=0,NOT(ISNUMBER($K335))),"",$K335*(1-$R335))</f>
        <v/>
      </c>
      <c r="T335" s="45" t="str">
        <f aca="false">IF(ISNUMBER($S335),$S335*$H335,"")</f>
        <v/>
      </c>
      <c r="U335" s="45" t="str">
        <f aca="false">IF(ISNUMBER($S335),$S335*Parâmetros!$B$8,"")</f>
        <v/>
      </c>
      <c r="V335" s="45" t="str">
        <f aca="false">IF(ISNUMBER($S335),$S335*Parâmetros!$C$8,"")</f>
        <v/>
      </c>
      <c r="W335" s="44" t="str">
        <f aca="false">IF(ISNUMBER($S335),$S335-$D335-IF(ISNUMBER($E335),$E335,0)-$O335-$T335-$U335-$V335,"")</f>
        <v/>
      </c>
      <c r="X335" s="46" t="str">
        <f aca="false">IF(AND(ISNUMBER($S335),$S335&gt;0),$W335/$S335,"")</f>
        <v/>
      </c>
      <c r="Y335" s="49"/>
      <c r="Z335" s="21"/>
    </row>
    <row r="336" customFormat="false" ht="15.75" hidden="false" customHeight="true" outlineLevel="0" collapsed="false">
      <c r="A336" s="32" t="str">
        <f aca="false">IF(Produtos!$A336="","",Produtos!$A336)</f>
        <v/>
      </c>
      <c r="B336" s="32" t="str">
        <f aca="false">IF(Produtos!$A336="","",Produtos!$B336)</f>
        <v/>
      </c>
      <c r="C336" s="32" t="str">
        <f aca="false">IF(Produtos!$A336="","",Produtos!$C336)</f>
        <v/>
      </c>
      <c r="D336" s="33" t="str">
        <f aca="false">IF(Produtos!$A336="","",IF(Produtos!$D336="","",Produtos!$D336))</f>
        <v/>
      </c>
      <c r="E336" s="11"/>
      <c r="F336" s="34" t="str">
        <f aca="false">IF($A336="","",IF($C336="","⚠ categoria",IFERROR(INDEX(Parâmetros!$F$13:$F$22,MATCH($C336,Parâmetros!$A$13:$A$22,0)),"⚠ categoria")))</f>
        <v/>
      </c>
      <c r="G336" s="35"/>
      <c r="H336" s="36" t="str">
        <f aca="false">IF($A336="","",IF(ISNUMBER($G336),$G336,IF(ISNUMBER($F336),$F336,"")))</f>
        <v/>
      </c>
      <c r="I336" s="37" t="str">
        <f aca="false">IF(OR($A336="",NOT(ISNUMBER($D336)),NOT(ISNUMBER($H336))),"",IF((1-$H336-Parâmetros!$B$8-Parâmetros!$C$8-Parâmetros!$D$8)&lt;=0,"INVALIDO",($D336+IF(ISNUMBER($E336),$E336,0)+IF(ISNUMBER(Parâmetros!$E$8),Parâmetros!$E$8,0))/(1-$H336-Parâmetros!$B$8-Parâmetros!$C$8-Parâmetros!$D$8)))</f>
        <v/>
      </c>
      <c r="J336" s="38"/>
      <c r="K336" s="39" t="str">
        <f aca="false">IF(OR($A336="",NOT(ISNUMBER($D336)),NOT(ISNUMBER($H336))),"",IF(AND(ISNUMBER($J336),$J336&gt;0),$J336,IF(ISNUMBER($I336),$I336,"")))</f>
        <v/>
      </c>
      <c r="L336" s="40" t="str">
        <f aca="false">IF(ISNUMBER($K336),$K336*$H336,"")</f>
        <v/>
      </c>
      <c r="M336" s="40" t="str">
        <f aca="false">IF(ISNUMBER($K336),$K336*Parâmetros!$B$8,"")</f>
        <v/>
      </c>
      <c r="N336" s="40" t="str">
        <f aca="false">IF(ISNUMBER($K336),$K336*Parâmetros!$C$8,"")</f>
        <v/>
      </c>
      <c r="O336" s="40" t="str">
        <f aca="false">IF(ISNUMBER($K336),IF(ISNUMBER(Parâmetros!$E$8),Parâmetros!$E$8,0),"")</f>
        <v/>
      </c>
      <c r="P336" s="41" t="str">
        <f aca="false">IF(ISNUMBER($K336),$K336-$D336-IF(ISNUMBER($E336),$E336,0)-$L336-$M336-$N336-$O336,"")</f>
        <v/>
      </c>
      <c r="Q336" s="42" t="str">
        <f aca="false">IF(AND(ISNUMBER($K336),$K336&gt;0),$P336/$K336,"")</f>
        <v/>
      </c>
      <c r="R336" s="43"/>
      <c r="S336" s="44" t="str">
        <f aca="false">IF(OR(NOT(ISNUMBER($R336)),$R336=0,NOT(ISNUMBER($K336))),"",$K336*(1-$R336))</f>
        <v/>
      </c>
      <c r="T336" s="45" t="str">
        <f aca="false">IF(ISNUMBER($S336),$S336*$H336,"")</f>
        <v/>
      </c>
      <c r="U336" s="45" t="str">
        <f aca="false">IF(ISNUMBER($S336),$S336*Parâmetros!$B$8,"")</f>
        <v/>
      </c>
      <c r="V336" s="45" t="str">
        <f aca="false">IF(ISNUMBER($S336),$S336*Parâmetros!$C$8,"")</f>
        <v/>
      </c>
      <c r="W336" s="44" t="str">
        <f aca="false">IF(ISNUMBER($S336),$S336-$D336-IF(ISNUMBER($E336),$E336,0)-$O336-$T336-$U336-$V336,"")</f>
        <v/>
      </c>
      <c r="X336" s="46" t="str">
        <f aca="false">IF(AND(ISNUMBER($S336),$S336&gt;0),$W336/$S336,"")</f>
        <v/>
      </c>
      <c r="Y336" s="47"/>
      <c r="Z336" s="19"/>
    </row>
    <row r="337" customFormat="false" ht="15.75" hidden="false" customHeight="true" outlineLevel="0" collapsed="false">
      <c r="A337" s="48" t="str">
        <f aca="false">IF(Produtos!$A337="","",Produtos!$A337)</f>
        <v/>
      </c>
      <c r="B337" s="48" t="str">
        <f aca="false">IF(Produtos!$A337="","",Produtos!$B337)</f>
        <v/>
      </c>
      <c r="C337" s="48" t="str">
        <f aca="false">IF(Produtos!$A337="","",Produtos!$C337)</f>
        <v/>
      </c>
      <c r="D337" s="33" t="str">
        <f aca="false">IF(Produtos!$A337="","",IF(Produtos!$D337="","",Produtos!$D337))</f>
        <v/>
      </c>
      <c r="E337" s="11"/>
      <c r="F337" s="34" t="str">
        <f aca="false">IF($A337="","",IF($C337="","⚠ categoria",IFERROR(INDEX(Parâmetros!$F$13:$F$22,MATCH($C337,Parâmetros!$A$13:$A$22,0)),"⚠ categoria")))</f>
        <v/>
      </c>
      <c r="G337" s="35"/>
      <c r="H337" s="36" t="str">
        <f aca="false">IF($A337="","",IF(ISNUMBER($G337),$G337,IF(ISNUMBER($F337),$F337,"")))</f>
        <v/>
      </c>
      <c r="I337" s="37" t="str">
        <f aca="false">IF(OR($A337="",NOT(ISNUMBER($D337)),NOT(ISNUMBER($H337))),"",IF((1-$H337-Parâmetros!$B$8-Parâmetros!$C$8-Parâmetros!$D$8)&lt;=0,"INVALIDO",($D337+IF(ISNUMBER($E337),$E337,0)+IF(ISNUMBER(Parâmetros!$E$8),Parâmetros!$E$8,0))/(1-$H337-Parâmetros!$B$8-Parâmetros!$C$8-Parâmetros!$D$8)))</f>
        <v/>
      </c>
      <c r="J337" s="38"/>
      <c r="K337" s="39" t="str">
        <f aca="false">IF(OR($A337="",NOT(ISNUMBER($D337)),NOT(ISNUMBER($H337))),"",IF(AND(ISNUMBER($J337),$J337&gt;0),$J337,IF(ISNUMBER($I337),$I337,"")))</f>
        <v/>
      </c>
      <c r="L337" s="40" t="str">
        <f aca="false">IF(ISNUMBER($K337),$K337*$H337,"")</f>
        <v/>
      </c>
      <c r="M337" s="40" t="str">
        <f aca="false">IF(ISNUMBER($K337),$K337*Parâmetros!$B$8,"")</f>
        <v/>
      </c>
      <c r="N337" s="40" t="str">
        <f aca="false">IF(ISNUMBER($K337),$K337*Parâmetros!$C$8,"")</f>
        <v/>
      </c>
      <c r="O337" s="40" t="str">
        <f aca="false">IF(ISNUMBER($K337),IF(ISNUMBER(Parâmetros!$E$8),Parâmetros!$E$8,0),"")</f>
        <v/>
      </c>
      <c r="P337" s="41" t="str">
        <f aca="false">IF(ISNUMBER($K337),$K337-$D337-IF(ISNUMBER($E337),$E337,0)-$L337-$M337-$N337-$O337,"")</f>
        <v/>
      </c>
      <c r="Q337" s="42" t="str">
        <f aca="false">IF(AND(ISNUMBER($K337),$K337&gt;0),$P337/$K337,"")</f>
        <v/>
      </c>
      <c r="R337" s="43"/>
      <c r="S337" s="44" t="str">
        <f aca="false">IF(OR(NOT(ISNUMBER($R337)),$R337=0,NOT(ISNUMBER($K337))),"",$K337*(1-$R337))</f>
        <v/>
      </c>
      <c r="T337" s="45" t="str">
        <f aca="false">IF(ISNUMBER($S337),$S337*$H337,"")</f>
        <v/>
      </c>
      <c r="U337" s="45" t="str">
        <f aca="false">IF(ISNUMBER($S337),$S337*Parâmetros!$B$8,"")</f>
        <v/>
      </c>
      <c r="V337" s="45" t="str">
        <f aca="false">IF(ISNUMBER($S337),$S337*Parâmetros!$C$8,"")</f>
        <v/>
      </c>
      <c r="W337" s="44" t="str">
        <f aca="false">IF(ISNUMBER($S337),$S337-$D337-IF(ISNUMBER($E337),$E337,0)-$O337-$T337-$U337-$V337,"")</f>
        <v/>
      </c>
      <c r="X337" s="46" t="str">
        <f aca="false">IF(AND(ISNUMBER($S337),$S337&gt;0),$W337/$S337,"")</f>
        <v/>
      </c>
      <c r="Y337" s="49"/>
      <c r="Z337" s="21"/>
    </row>
    <row r="338" customFormat="false" ht="15.75" hidden="false" customHeight="true" outlineLevel="0" collapsed="false">
      <c r="A338" s="32" t="str">
        <f aca="false">IF(Produtos!$A338="","",Produtos!$A338)</f>
        <v/>
      </c>
      <c r="B338" s="32" t="str">
        <f aca="false">IF(Produtos!$A338="","",Produtos!$B338)</f>
        <v/>
      </c>
      <c r="C338" s="32" t="str">
        <f aca="false">IF(Produtos!$A338="","",Produtos!$C338)</f>
        <v/>
      </c>
      <c r="D338" s="33" t="str">
        <f aca="false">IF(Produtos!$A338="","",IF(Produtos!$D338="","",Produtos!$D338))</f>
        <v/>
      </c>
      <c r="E338" s="11"/>
      <c r="F338" s="34" t="str">
        <f aca="false">IF($A338="","",IF($C338="","⚠ categoria",IFERROR(INDEX(Parâmetros!$F$13:$F$22,MATCH($C338,Parâmetros!$A$13:$A$22,0)),"⚠ categoria")))</f>
        <v/>
      </c>
      <c r="G338" s="35"/>
      <c r="H338" s="36" t="str">
        <f aca="false">IF($A338="","",IF(ISNUMBER($G338),$G338,IF(ISNUMBER($F338),$F338,"")))</f>
        <v/>
      </c>
      <c r="I338" s="37" t="str">
        <f aca="false">IF(OR($A338="",NOT(ISNUMBER($D338)),NOT(ISNUMBER($H338))),"",IF((1-$H338-Parâmetros!$B$8-Parâmetros!$C$8-Parâmetros!$D$8)&lt;=0,"INVALIDO",($D338+IF(ISNUMBER($E338),$E338,0)+IF(ISNUMBER(Parâmetros!$E$8),Parâmetros!$E$8,0))/(1-$H338-Parâmetros!$B$8-Parâmetros!$C$8-Parâmetros!$D$8)))</f>
        <v/>
      </c>
      <c r="J338" s="38"/>
      <c r="K338" s="39" t="str">
        <f aca="false">IF(OR($A338="",NOT(ISNUMBER($D338)),NOT(ISNUMBER($H338))),"",IF(AND(ISNUMBER($J338),$J338&gt;0),$J338,IF(ISNUMBER($I338),$I338,"")))</f>
        <v/>
      </c>
      <c r="L338" s="40" t="str">
        <f aca="false">IF(ISNUMBER($K338),$K338*$H338,"")</f>
        <v/>
      </c>
      <c r="M338" s="40" t="str">
        <f aca="false">IF(ISNUMBER($K338),$K338*Parâmetros!$B$8,"")</f>
        <v/>
      </c>
      <c r="N338" s="40" t="str">
        <f aca="false">IF(ISNUMBER($K338),$K338*Parâmetros!$C$8,"")</f>
        <v/>
      </c>
      <c r="O338" s="40" t="str">
        <f aca="false">IF(ISNUMBER($K338),IF(ISNUMBER(Parâmetros!$E$8),Parâmetros!$E$8,0),"")</f>
        <v/>
      </c>
      <c r="P338" s="41" t="str">
        <f aca="false">IF(ISNUMBER($K338),$K338-$D338-IF(ISNUMBER($E338),$E338,0)-$L338-$M338-$N338-$O338,"")</f>
        <v/>
      </c>
      <c r="Q338" s="42" t="str">
        <f aca="false">IF(AND(ISNUMBER($K338),$K338&gt;0),$P338/$K338,"")</f>
        <v/>
      </c>
      <c r="R338" s="43"/>
      <c r="S338" s="44" t="str">
        <f aca="false">IF(OR(NOT(ISNUMBER($R338)),$R338=0,NOT(ISNUMBER($K338))),"",$K338*(1-$R338))</f>
        <v/>
      </c>
      <c r="T338" s="45" t="str">
        <f aca="false">IF(ISNUMBER($S338),$S338*$H338,"")</f>
        <v/>
      </c>
      <c r="U338" s="45" t="str">
        <f aca="false">IF(ISNUMBER($S338),$S338*Parâmetros!$B$8,"")</f>
        <v/>
      </c>
      <c r="V338" s="45" t="str">
        <f aca="false">IF(ISNUMBER($S338),$S338*Parâmetros!$C$8,"")</f>
        <v/>
      </c>
      <c r="W338" s="44" t="str">
        <f aca="false">IF(ISNUMBER($S338),$S338-$D338-IF(ISNUMBER($E338),$E338,0)-$O338-$T338-$U338-$V338,"")</f>
        <v/>
      </c>
      <c r="X338" s="46" t="str">
        <f aca="false">IF(AND(ISNUMBER($S338),$S338&gt;0),$W338/$S338,"")</f>
        <v/>
      </c>
      <c r="Y338" s="47"/>
      <c r="Z338" s="19"/>
    </row>
    <row r="339" customFormat="false" ht="15.75" hidden="false" customHeight="true" outlineLevel="0" collapsed="false">
      <c r="A339" s="48" t="str">
        <f aca="false">IF(Produtos!$A339="","",Produtos!$A339)</f>
        <v/>
      </c>
      <c r="B339" s="48" t="str">
        <f aca="false">IF(Produtos!$A339="","",Produtos!$B339)</f>
        <v/>
      </c>
      <c r="C339" s="48" t="str">
        <f aca="false">IF(Produtos!$A339="","",Produtos!$C339)</f>
        <v/>
      </c>
      <c r="D339" s="33" t="str">
        <f aca="false">IF(Produtos!$A339="","",IF(Produtos!$D339="","",Produtos!$D339))</f>
        <v/>
      </c>
      <c r="E339" s="11"/>
      <c r="F339" s="34" t="str">
        <f aca="false">IF($A339="","",IF($C339="","⚠ categoria",IFERROR(INDEX(Parâmetros!$F$13:$F$22,MATCH($C339,Parâmetros!$A$13:$A$22,0)),"⚠ categoria")))</f>
        <v/>
      </c>
      <c r="G339" s="35"/>
      <c r="H339" s="36" t="str">
        <f aca="false">IF($A339="","",IF(ISNUMBER($G339),$G339,IF(ISNUMBER($F339),$F339,"")))</f>
        <v/>
      </c>
      <c r="I339" s="37" t="str">
        <f aca="false">IF(OR($A339="",NOT(ISNUMBER($D339)),NOT(ISNUMBER($H339))),"",IF((1-$H339-Parâmetros!$B$8-Parâmetros!$C$8-Parâmetros!$D$8)&lt;=0,"INVALIDO",($D339+IF(ISNUMBER($E339),$E339,0)+IF(ISNUMBER(Parâmetros!$E$8),Parâmetros!$E$8,0))/(1-$H339-Parâmetros!$B$8-Parâmetros!$C$8-Parâmetros!$D$8)))</f>
        <v/>
      </c>
      <c r="J339" s="38"/>
      <c r="K339" s="39" t="str">
        <f aca="false">IF(OR($A339="",NOT(ISNUMBER($D339)),NOT(ISNUMBER($H339))),"",IF(AND(ISNUMBER($J339),$J339&gt;0),$J339,IF(ISNUMBER($I339),$I339,"")))</f>
        <v/>
      </c>
      <c r="L339" s="40" t="str">
        <f aca="false">IF(ISNUMBER($K339),$K339*$H339,"")</f>
        <v/>
      </c>
      <c r="M339" s="40" t="str">
        <f aca="false">IF(ISNUMBER($K339),$K339*Parâmetros!$B$8,"")</f>
        <v/>
      </c>
      <c r="N339" s="40" t="str">
        <f aca="false">IF(ISNUMBER($K339),$K339*Parâmetros!$C$8,"")</f>
        <v/>
      </c>
      <c r="O339" s="40" t="str">
        <f aca="false">IF(ISNUMBER($K339),IF(ISNUMBER(Parâmetros!$E$8),Parâmetros!$E$8,0),"")</f>
        <v/>
      </c>
      <c r="P339" s="41" t="str">
        <f aca="false">IF(ISNUMBER($K339),$K339-$D339-IF(ISNUMBER($E339),$E339,0)-$L339-$M339-$N339-$O339,"")</f>
        <v/>
      </c>
      <c r="Q339" s="42" t="str">
        <f aca="false">IF(AND(ISNUMBER($K339),$K339&gt;0),$P339/$K339,"")</f>
        <v/>
      </c>
      <c r="R339" s="43"/>
      <c r="S339" s="44" t="str">
        <f aca="false">IF(OR(NOT(ISNUMBER($R339)),$R339=0,NOT(ISNUMBER($K339))),"",$K339*(1-$R339))</f>
        <v/>
      </c>
      <c r="T339" s="45" t="str">
        <f aca="false">IF(ISNUMBER($S339),$S339*$H339,"")</f>
        <v/>
      </c>
      <c r="U339" s="45" t="str">
        <f aca="false">IF(ISNUMBER($S339),$S339*Parâmetros!$B$8,"")</f>
        <v/>
      </c>
      <c r="V339" s="45" t="str">
        <f aca="false">IF(ISNUMBER($S339),$S339*Parâmetros!$C$8,"")</f>
        <v/>
      </c>
      <c r="W339" s="44" t="str">
        <f aca="false">IF(ISNUMBER($S339),$S339-$D339-IF(ISNUMBER($E339),$E339,0)-$O339-$T339-$U339-$V339,"")</f>
        <v/>
      </c>
      <c r="X339" s="46" t="str">
        <f aca="false">IF(AND(ISNUMBER($S339),$S339&gt;0),$W339/$S339,"")</f>
        <v/>
      </c>
      <c r="Y339" s="49"/>
      <c r="Z339" s="21"/>
    </row>
    <row r="340" customFormat="false" ht="15.75" hidden="false" customHeight="true" outlineLevel="0" collapsed="false">
      <c r="A340" s="32" t="str">
        <f aca="false">IF(Produtos!$A340="","",Produtos!$A340)</f>
        <v/>
      </c>
      <c r="B340" s="32" t="str">
        <f aca="false">IF(Produtos!$A340="","",Produtos!$B340)</f>
        <v/>
      </c>
      <c r="C340" s="32" t="str">
        <f aca="false">IF(Produtos!$A340="","",Produtos!$C340)</f>
        <v/>
      </c>
      <c r="D340" s="33" t="str">
        <f aca="false">IF(Produtos!$A340="","",IF(Produtos!$D340="","",Produtos!$D340))</f>
        <v/>
      </c>
      <c r="E340" s="11"/>
      <c r="F340" s="34" t="str">
        <f aca="false">IF($A340="","",IF($C340="","⚠ categoria",IFERROR(INDEX(Parâmetros!$F$13:$F$22,MATCH($C340,Parâmetros!$A$13:$A$22,0)),"⚠ categoria")))</f>
        <v/>
      </c>
      <c r="G340" s="35"/>
      <c r="H340" s="36" t="str">
        <f aca="false">IF($A340="","",IF(ISNUMBER($G340),$G340,IF(ISNUMBER($F340),$F340,"")))</f>
        <v/>
      </c>
      <c r="I340" s="37" t="str">
        <f aca="false">IF(OR($A340="",NOT(ISNUMBER($D340)),NOT(ISNUMBER($H340))),"",IF((1-$H340-Parâmetros!$B$8-Parâmetros!$C$8-Parâmetros!$D$8)&lt;=0,"INVALIDO",($D340+IF(ISNUMBER($E340),$E340,0)+IF(ISNUMBER(Parâmetros!$E$8),Parâmetros!$E$8,0))/(1-$H340-Parâmetros!$B$8-Parâmetros!$C$8-Parâmetros!$D$8)))</f>
        <v/>
      </c>
      <c r="J340" s="38"/>
      <c r="K340" s="39" t="str">
        <f aca="false">IF(OR($A340="",NOT(ISNUMBER($D340)),NOT(ISNUMBER($H340))),"",IF(AND(ISNUMBER($J340),$J340&gt;0),$J340,IF(ISNUMBER($I340),$I340,"")))</f>
        <v/>
      </c>
      <c r="L340" s="40" t="str">
        <f aca="false">IF(ISNUMBER($K340),$K340*$H340,"")</f>
        <v/>
      </c>
      <c r="M340" s="40" t="str">
        <f aca="false">IF(ISNUMBER($K340),$K340*Parâmetros!$B$8,"")</f>
        <v/>
      </c>
      <c r="N340" s="40" t="str">
        <f aca="false">IF(ISNUMBER($K340),$K340*Parâmetros!$C$8,"")</f>
        <v/>
      </c>
      <c r="O340" s="40" t="str">
        <f aca="false">IF(ISNUMBER($K340),IF(ISNUMBER(Parâmetros!$E$8),Parâmetros!$E$8,0),"")</f>
        <v/>
      </c>
      <c r="P340" s="41" t="str">
        <f aca="false">IF(ISNUMBER($K340),$K340-$D340-IF(ISNUMBER($E340),$E340,0)-$L340-$M340-$N340-$O340,"")</f>
        <v/>
      </c>
      <c r="Q340" s="42" t="str">
        <f aca="false">IF(AND(ISNUMBER($K340),$K340&gt;0),$P340/$K340,"")</f>
        <v/>
      </c>
      <c r="R340" s="43"/>
      <c r="S340" s="44" t="str">
        <f aca="false">IF(OR(NOT(ISNUMBER($R340)),$R340=0,NOT(ISNUMBER($K340))),"",$K340*(1-$R340))</f>
        <v/>
      </c>
      <c r="T340" s="45" t="str">
        <f aca="false">IF(ISNUMBER($S340),$S340*$H340,"")</f>
        <v/>
      </c>
      <c r="U340" s="45" t="str">
        <f aca="false">IF(ISNUMBER($S340),$S340*Parâmetros!$B$8,"")</f>
        <v/>
      </c>
      <c r="V340" s="45" t="str">
        <f aca="false">IF(ISNUMBER($S340),$S340*Parâmetros!$C$8,"")</f>
        <v/>
      </c>
      <c r="W340" s="44" t="str">
        <f aca="false">IF(ISNUMBER($S340),$S340-$D340-IF(ISNUMBER($E340),$E340,0)-$O340-$T340-$U340-$V340,"")</f>
        <v/>
      </c>
      <c r="X340" s="46" t="str">
        <f aca="false">IF(AND(ISNUMBER($S340),$S340&gt;0),$W340/$S340,"")</f>
        <v/>
      </c>
      <c r="Y340" s="47"/>
      <c r="Z340" s="19"/>
    </row>
    <row r="341" customFormat="false" ht="15.75" hidden="false" customHeight="true" outlineLevel="0" collapsed="false">
      <c r="A341" s="48" t="str">
        <f aca="false">IF(Produtos!$A341="","",Produtos!$A341)</f>
        <v/>
      </c>
      <c r="B341" s="48" t="str">
        <f aca="false">IF(Produtos!$A341="","",Produtos!$B341)</f>
        <v/>
      </c>
      <c r="C341" s="48" t="str">
        <f aca="false">IF(Produtos!$A341="","",Produtos!$C341)</f>
        <v/>
      </c>
      <c r="D341" s="33" t="str">
        <f aca="false">IF(Produtos!$A341="","",IF(Produtos!$D341="","",Produtos!$D341))</f>
        <v/>
      </c>
      <c r="E341" s="11"/>
      <c r="F341" s="34" t="str">
        <f aca="false">IF($A341="","",IF($C341="","⚠ categoria",IFERROR(INDEX(Parâmetros!$F$13:$F$22,MATCH($C341,Parâmetros!$A$13:$A$22,0)),"⚠ categoria")))</f>
        <v/>
      </c>
      <c r="G341" s="35"/>
      <c r="H341" s="36" t="str">
        <f aca="false">IF($A341="","",IF(ISNUMBER($G341),$G341,IF(ISNUMBER($F341),$F341,"")))</f>
        <v/>
      </c>
      <c r="I341" s="37" t="str">
        <f aca="false">IF(OR($A341="",NOT(ISNUMBER($D341)),NOT(ISNUMBER($H341))),"",IF((1-$H341-Parâmetros!$B$8-Parâmetros!$C$8-Parâmetros!$D$8)&lt;=0,"INVALIDO",($D341+IF(ISNUMBER($E341),$E341,0)+IF(ISNUMBER(Parâmetros!$E$8),Parâmetros!$E$8,0))/(1-$H341-Parâmetros!$B$8-Parâmetros!$C$8-Parâmetros!$D$8)))</f>
        <v/>
      </c>
      <c r="J341" s="38"/>
      <c r="K341" s="39" t="str">
        <f aca="false">IF(OR($A341="",NOT(ISNUMBER($D341)),NOT(ISNUMBER($H341))),"",IF(AND(ISNUMBER($J341),$J341&gt;0),$J341,IF(ISNUMBER($I341),$I341,"")))</f>
        <v/>
      </c>
      <c r="L341" s="40" t="str">
        <f aca="false">IF(ISNUMBER($K341),$K341*$H341,"")</f>
        <v/>
      </c>
      <c r="M341" s="40" t="str">
        <f aca="false">IF(ISNUMBER($K341),$K341*Parâmetros!$B$8,"")</f>
        <v/>
      </c>
      <c r="N341" s="40" t="str">
        <f aca="false">IF(ISNUMBER($K341),$K341*Parâmetros!$C$8,"")</f>
        <v/>
      </c>
      <c r="O341" s="40" t="str">
        <f aca="false">IF(ISNUMBER($K341),IF(ISNUMBER(Parâmetros!$E$8),Parâmetros!$E$8,0),"")</f>
        <v/>
      </c>
      <c r="P341" s="41" t="str">
        <f aca="false">IF(ISNUMBER($K341),$K341-$D341-IF(ISNUMBER($E341),$E341,0)-$L341-$M341-$N341-$O341,"")</f>
        <v/>
      </c>
      <c r="Q341" s="42" t="str">
        <f aca="false">IF(AND(ISNUMBER($K341),$K341&gt;0),$P341/$K341,"")</f>
        <v/>
      </c>
      <c r="R341" s="43"/>
      <c r="S341" s="44" t="str">
        <f aca="false">IF(OR(NOT(ISNUMBER($R341)),$R341=0,NOT(ISNUMBER($K341))),"",$K341*(1-$R341))</f>
        <v/>
      </c>
      <c r="T341" s="45" t="str">
        <f aca="false">IF(ISNUMBER($S341),$S341*$H341,"")</f>
        <v/>
      </c>
      <c r="U341" s="45" t="str">
        <f aca="false">IF(ISNUMBER($S341),$S341*Parâmetros!$B$8,"")</f>
        <v/>
      </c>
      <c r="V341" s="45" t="str">
        <f aca="false">IF(ISNUMBER($S341),$S341*Parâmetros!$C$8,"")</f>
        <v/>
      </c>
      <c r="W341" s="44" t="str">
        <f aca="false">IF(ISNUMBER($S341),$S341-$D341-IF(ISNUMBER($E341),$E341,0)-$O341-$T341-$U341-$V341,"")</f>
        <v/>
      </c>
      <c r="X341" s="46" t="str">
        <f aca="false">IF(AND(ISNUMBER($S341),$S341&gt;0),$W341/$S341,"")</f>
        <v/>
      </c>
      <c r="Y341" s="49"/>
      <c r="Z341" s="21"/>
    </row>
    <row r="342" customFormat="false" ht="15.75" hidden="false" customHeight="true" outlineLevel="0" collapsed="false">
      <c r="A342" s="32" t="str">
        <f aca="false">IF(Produtos!$A342="","",Produtos!$A342)</f>
        <v/>
      </c>
      <c r="B342" s="32" t="str">
        <f aca="false">IF(Produtos!$A342="","",Produtos!$B342)</f>
        <v/>
      </c>
      <c r="C342" s="32" t="str">
        <f aca="false">IF(Produtos!$A342="","",Produtos!$C342)</f>
        <v/>
      </c>
      <c r="D342" s="33" t="str">
        <f aca="false">IF(Produtos!$A342="","",IF(Produtos!$D342="","",Produtos!$D342))</f>
        <v/>
      </c>
      <c r="E342" s="11"/>
      <c r="F342" s="34" t="str">
        <f aca="false">IF($A342="","",IF($C342="","⚠ categoria",IFERROR(INDEX(Parâmetros!$F$13:$F$22,MATCH($C342,Parâmetros!$A$13:$A$22,0)),"⚠ categoria")))</f>
        <v/>
      </c>
      <c r="G342" s="35"/>
      <c r="H342" s="36" t="str">
        <f aca="false">IF($A342="","",IF(ISNUMBER($G342),$G342,IF(ISNUMBER($F342),$F342,"")))</f>
        <v/>
      </c>
      <c r="I342" s="37" t="str">
        <f aca="false">IF(OR($A342="",NOT(ISNUMBER($D342)),NOT(ISNUMBER($H342))),"",IF((1-$H342-Parâmetros!$B$8-Parâmetros!$C$8-Parâmetros!$D$8)&lt;=0,"INVALIDO",($D342+IF(ISNUMBER($E342),$E342,0)+IF(ISNUMBER(Parâmetros!$E$8),Parâmetros!$E$8,0))/(1-$H342-Parâmetros!$B$8-Parâmetros!$C$8-Parâmetros!$D$8)))</f>
        <v/>
      </c>
      <c r="J342" s="38"/>
      <c r="K342" s="39" t="str">
        <f aca="false">IF(OR($A342="",NOT(ISNUMBER($D342)),NOT(ISNUMBER($H342))),"",IF(AND(ISNUMBER($J342),$J342&gt;0),$J342,IF(ISNUMBER($I342),$I342,"")))</f>
        <v/>
      </c>
      <c r="L342" s="40" t="str">
        <f aca="false">IF(ISNUMBER($K342),$K342*$H342,"")</f>
        <v/>
      </c>
      <c r="M342" s="40" t="str">
        <f aca="false">IF(ISNUMBER($K342),$K342*Parâmetros!$B$8,"")</f>
        <v/>
      </c>
      <c r="N342" s="40" t="str">
        <f aca="false">IF(ISNUMBER($K342),$K342*Parâmetros!$C$8,"")</f>
        <v/>
      </c>
      <c r="O342" s="40" t="str">
        <f aca="false">IF(ISNUMBER($K342),IF(ISNUMBER(Parâmetros!$E$8),Parâmetros!$E$8,0),"")</f>
        <v/>
      </c>
      <c r="P342" s="41" t="str">
        <f aca="false">IF(ISNUMBER($K342),$K342-$D342-IF(ISNUMBER($E342),$E342,0)-$L342-$M342-$N342-$O342,"")</f>
        <v/>
      </c>
      <c r="Q342" s="42" t="str">
        <f aca="false">IF(AND(ISNUMBER($K342),$K342&gt;0),$P342/$K342,"")</f>
        <v/>
      </c>
      <c r="R342" s="43"/>
      <c r="S342" s="44" t="str">
        <f aca="false">IF(OR(NOT(ISNUMBER($R342)),$R342=0,NOT(ISNUMBER($K342))),"",$K342*(1-$R342))</f>
        <v/>
      </c>
      <c r="T342" s="45" t="str">
        <f aca="false">IF(ISNUMBER($S342),$S342*$H342,"")</f>
        <v/>
      </c>
      <c r="U342" s="45" t="str">
        <f aca="false">IF(ISNUMBER($S342),$S342*Parâmetros!$B$8,"")</f>
        <v/>
      </c>
      <c r="V342" s="45" t="str">
        <f aca="false">IF(ISNUMBER($S342),$S342*Parâmetros!$C$8,"")</f>
        <v/>
      </c>
      <c r="W342" s="44" t="str">
        <f aca="false">IF(ISNUMBER($S342),$S342-$D342-IF(ISNUMBER($E342),$E342,0)-$O342-$T342-$U342-$V342,"")</f>
        <v/>
      </c>
      <c r="X342" s="46" t="str">
        <f aca="false">IF(AND(ISNUMBER($S342),$S342&gt;0),$W342/$S342,"")</f>
        <v/>
      </c>
      <c r="Y342" s="47"/>
      <c r="Z342" s="19"/>
    </row>
    <row r="343" customFormat="false" ht="15.75" hidden="false" customHeight="true" outlineLevel="0" collapsed="false">
      <c r="A343" s="48" t="str">
        <f aca="false">IF(Produtos!$A343="","",Produtos!$A343)</f>
        <v/>
      </c>
      <c r="B343" s="48" t="str">
        <f aca="false">IF(Produtos!$A343="","",Produtos!$B343)</f>
        <v/>
      </c>
      <c r="C343" s="48" t="str">
        <f aca="false">IF(Produtos!$A343="","",Produtos!$C343)</f>
        <v/>
      </c>
      <c r="D343" s="33" t="str">
        <f aca="false">IF(Produtos!$A343="","",IF(Produtos!$D343="","",Produtos!$D343))</f>
        <v/>
      </c>
      <c r="E343" s="11"/>
      <c r="F343" s="34" t="str">
        <f aca="false">IF($A343="","",IF($C343="","⚠ categoria",IFERROR(INDEX(Parâmetros!$F$13:$F$22,MATCH($C343,Parâmetros!$A$13:$A$22,0)),"⚠ categoria")))</f>
        <v/>
      </c>
      <c r="G343" s="35"/>
      <c r="H343" s="36" t="str">
        <f aca="false">IF($A343="","",IF(ISNUMBER($G343),$G343,IF(ISNUMBER($F343),$F343,"")))</f>
        <v/>
      </c>
      <c r="I343" s="37" t="str">
        <f aca="false">IF(OR($A343="",NOT(ISNUMBER($D343)),NOT(ISNUMBER($H343))),"",IF((1-$H343-Parâmetros!$B$8-Parâmetros!$C$8-Parâmetros!$D$8)&lt;=0,"INVALIDO",($D343+IF(ISNUMBER($E343),$E343,0)+IF(ISNUMBER(Parâmetros!$E$8),Parâmetros!$E$8,0))/(1-$H343-Parâmetros!$B$8-Parâmetros!$C$8-Parâmetros!$D$8)))</f>
        <v/>
      </c>
      <c r="J343" s="38"/>
      <c r="K343" s="39" t="str">
        <f aca="false">IF(OR($A343="",NOT(ISNUMBER($D343)),NOT(ISNUMBER($H343))),"",IF(AND(ISNUMBER($J343),$J343&gt;0),$J343,IF(ISNUMBER($I343),$I343,"")))</f>
        <v/>
      </c>
      <c r="L343" s="40" t="str">
        <f aca="false">IF(ISNUMBER($K343),$K343*$H343,"")</f>
        <v/>
      </c>
      <c r="M343" s="40" t="str">
        <f aca="false">IF(ISNUMBER($K343),$K343*Parâmetros!$B$8,"")</f>
        <v/>
      </c>
      <c r="N343" s="40" t="str">
        <f aca="false">IF(ISNUMBER($K343),$K343*Parâmetros!$C$8,"")</f>
        <v/>
      </c>
      <c r="O343" s="40" t="str">
        <f aca="false">IF(ISNUMBER($K343),IF(ISNUMBER(Parâmetros!$E$8),Parâmetros!$E$8,0),"")</f>
        <v/>
      </c>
      <c r="P343" s="41" t="str">
        <f aca="false">IF(ISNUMBER($K343),$K343-$D343-IF(ISNUMBER($E343),$E343,0)-$L343-$M343-$N343-$O343,"")</f>
        <v/>
      </c>
      <c r="Q343" s="42" t="str">
        <f aca="false">IF(AND(ISNUMBER($K343),$K343&gt;0),$P343/$K343,"")</f>
        <v/>
      </c>
      <c r="R343" s="43"/>
      <c r="S343" s="44" t="str">
        <f aca="false">IF(OR(NOT(ISNUMBER($R343)),$R343=0,NOT(ISNUMBER($K343))),"",$K343*(1-$R343))</f>
        <v/>
      </c>
      <c r="T343" s="45" t="str">
        <f aca="false">IF(ISNUMBER($S343),$S343*$H343,"")</f>
        <v/>
      </c>
      <c r="U343" s="45" t="str">
        <f aca="false">IF(ISNUMBER($S343),$S343*Parâmetros!$B$8,"")</f>
        <v/>
      </c>
      <c r="V343" s="45" t="str">
        <f aca="false">IF(ISNUMBER($S343),$S343*Parâmetros!$C$8,"")</f>
        <v/>
      </c>
      <c r="W343" s="44" t="str">
        <f aca="false">IF(ISNUMBER($S343),$S343-$D343-IF(ISNUMBER($E343),$E343,0)-$O343-$T343-$U343-$V343,"")</f>
        <v/>
      </c>
      <c r="X343" s="46" t="str">
        <f aca="false">IF(AND(ISNUMBER($S343),$S343&gt;0),$W343/$S343,"")</f>
        <v/>
      </c>
      <c r="Y343" s="49"/>
      <c r="Z343" s="21"/>
    </row>
    <row r="344" customFormat="false" ht="15.75" hidden="false" customHeight="true" outlineLevel="0" collapsed="false">
      <c r="A344" s="32" t="str">
        <f aca="false">IF(Produtos!$A344="","",Produtos!$A344)</f>
        <v/>
      </c>
      <c r="B344" s="32" t="str">
        <f aca="false">IF(Produtos!$A344="","",Produtos!$B344)</f>
        <v/>
      </c>
      <c r="C344" s="32" t="str">
        <f aca="false">IF(Produtos!$A344="","",Produtos!$C344)</f>
        <v/>
      </c>
      <c r="D344" s="33" t="str">
        <f aca="false">IF(Produtos!$A344="","",IF(Produtos!$D344="","",Produtos!$D344))</f>
        <v/>
      </c>
      <c r="E344" s="11"/>
      <c r="F344" s="34" t="str">
        <f aca="false">IF($A344="","",IF($C344="","⚠ categoria",IFERROR(INDEX(Parâmetros!$F$13:$F$22,MATCH($C344,Parâmetros!$A$13:$A$22,0)),"⚠ categoria")))</f>
        <v/>
      </c>
      <c r="G344" s="35"/>
      <c r="H344" s="36" t="str">
        <f aca="false">IF($A344="","",IF(ISNUMBER($G344),$G344,IF(ISNUMBER($F344),$F344,"")))</f>
        <v/>
      </c>
      <c r="I344" s="37" t="str">
        <f aca="false">IF(OR($A344="",NOT(ISNUMBER($D344)),NOT(ISNUMBER($H344))),"",IF((1-$H344-Parâmetros!$B$8-Parâmetros!$C$8-Parâmetros!$D$8)&lt;=0,"INVALIDO",($D344+IF(ISNUMBER($E344),$E344,0)+IF(ISNUMBER(Parâmetros!$E$8),Parâmetros!$E$8,0))/(1-$H344-Parâmetros!$B$8-Parâmetros!$C$8-Parâmetros!$D$8)))</f>
        <v/>
      </c>
      <c r="J344" s="38"/>
      <c r="K344" s="39" t="str">
        <f aca="false">IF(OR($A344="",NOT(ISNUMBER($D344)),NOT(ISNUMBER($H344))),"",IF(AND(ISNUMBER($J344),$J344&gt;0),$J344,IF(ISNUMBER($I344),$I344,"")))</f>
        <v/>
      </c>
      <c r="L344" s="40" t="str">
        <f aca="false">IF(ISNUMBER($K344),$K344*$H344,"")</f>
        <v/>
      </c>
      <c r="M344" s="40" t="str">
        <f aca="false">IF(ISNUMBER($K344),$K344*Parâmetros!$B$8,"")</f>
        <v/>
      </c>
      <c r="N344" s="40" t="str">
        <f aca="false">IF(ISNUMBER($K344),$K344*Parâmetros!$C$8,"")</f>
        <v/>
      </c>
      <c r="O344" s="40" t="str">
        <f aca="false">IF(ISNUMBER($K344),IF(ISNUMBER(Parâmetros!$E$8),Parâmetros!$E$8,0),"")</f>
        <v/>
      </c>
      <c r="P344" s="41" t="str">
        <f aca="false">IF(ISNUMBER($K344),$K344-$D344-IF(ISNUMBER($E344),$E344,0)-$L344-$M344-$N344-$O344,"")</f>
        <v/>
      </c>
      <c r="Q344" s="42" t="str">
        <f aca="false">IF(AND(ISNUMBER($K344),$K344&gt;0),$P344/$K344,"")</f>
        <v/>
      </c>
      <c r="R344" s="43"/>
      <c r="S344" s="44" t="str">
        <f aca="false">IF(OR(NOT(ISNUMBER($R344)),$R344=0,NOT(ISNUMBER($K344))),"",$K344*(1-$R344))</f>
        <v/>
      </c>
      <c r="T344" s="45" t="str">
        <f aca="false">IF(ISNUMBER($S344),$S344*$H344,"")</f>
        <v/>
      </c>
      <c r="U344" s="45" t="str">
        <f aca="false">IF(ISNUMBER($S344),$S344*Parâmetros!$B$8,"")</f>
        <v/>
      </c>
      <c r="V344" s="45" t="str">
        <f aca="false">IF(ISNUMBER($S344),$S344*Parâmetros!$C$8,"")</f>
        <v/>
      </c>
      <c r="W344" s="44" t="str">
        <f aca="false">IF(ISNUMBER($S344),$S344-$D344-IF(ISNUMBER($E344),$E344,0)-$O344-$T344-$U344-$V344,"")</f>
        <v/>
      </c>
      <c r="X344" s="46" t="str">
        <f aca="false">IF(AND(ISNUMBER($S344),$S344&gt;0),$W344/$S344,"")</f>
        <v/>
      </c>
      <c r="Y344" s="47"/>
      <c r="Z344" s="19"/>
    </row>
    <row r="345" customFormat="false" ht="15.75" hidden="false" customHeight="true" outlineLevel="0" collapsed="false">
      <c r="A345" s="48" t="str">
        <f aca="false">IF(Produtos!$A345="","",Produtos!$A345)</f>
        <v/>
      </c>
      <c r="B345" s="48" t="str">
        <f aca="false">IF(Produtos!$A345="","",Produtos!$B345)</f>
        <v/>
      </c>
      <c r="C345" s="48" t="str">
        <f aca="false">IF(Produtos!$A345="","",Produtos!$C345)</f>
        <v/>
      </c>
      <c r="D345" s="33" t="str">
        <f aca="false">IF(Produtos!$A345="","",IF(Produtos!$D345="","",Produtos!$D345))</f>
        <v/>
      </c>
      <c r="E345" s="11"/>
      <c r="F345" s="34" t="str">
        <f aca="false">IF($A345="","",IF($C345="","⚠ categoria",IFERROR(INDEX(Parâmetros!$F$13:$F$22,MATCH($C345,Parâmetros!$A$13:$A$22,0)),"⚠ categoria")))</f>
        <v/>
      </c>
      <c r="G345" s="35"/>
      <c r="H345" s="36" t="str">
        <f aca="false">IF($A345="","",IF(ISNUMBER($G345),$G345,IF(ISNUMBER($F345),$F345,"")))</f>
        <v/>
      </c>
      <c r="I345" s="37" t="str">
        <f aca="false">IF(OR($A345="",NOT(ISNUMBER($D345)),NOT(ISNUMBER($H345))),"",IF((1-$H345-Parâmetros!$B$8-Parâmetros!$C$8-Parâmetros!$D$8)&lt;=0,"INVALIDO",($D345+IF(ISNUMBER($E345),$E345,0)+IF(ISNUMBER(Parâmetros!$E$8),Parâmetros!$E$8,0))/(1-$H345-Parâmetros!$B$8-Parâmetros!$C$8-Parâmetros!$D$8)))</f>
        <v/>
      </c>
      <c r="J345" s="38"/>
      <c r="K345" s="39" t="str">
        <f aca="false">IF(OR($A345="",NOT(ISNUMBER($D345)),NOT(ISNUMBER($H345))),"",IF(AND(ISNUMBER($J345),$J345&gt;0),$J345,IF(ISNUMBER($I345),$I345,"")))</f>
        <v/>
      </c>
      <c r="L345" s="40" t="str">
        <f aca="false">IF(ISNUMBER($K345),$K345*$H345,"")</f>
        <v/>
      </c>
      <c r="M345" s="40" t="str">
        <f aca="false">IF(ISNUMBER($K345),$K345*Parâmetros!$B$8,"")</f>
        <v/>
      </c>
      <c r="N345" s="40" t="str">
        <f aca="false">IF(ISNUMBER($K345),$K345*Parâmetros!$C$8,"")</f>
        <v/>
      </c>
      <c r="O345" s="40" t="str">
        <f aca="false">IF(ISNUMBER($K345),IF(ISNUMBER(Parâmetros!$E$8),Parâmetros!$E$8,0),"")</f>
        <v/>
      </c>
      <c r="P345" s="41" t="str">
        <f aca="false">IF(ISNUMBER($K345),$K345-$D345-IF(ISNUMBER($E345),$E345,0)-$L345-$M345-$N345-$O345,"")</f>
        <v/>
      </c>
      <c r="Q345" s="42" t="str">
        <f aca="false">IF(AND(ISNUMBER($K345),$K345&gt;0),$P345/$K345,"")</f>
        <v/>
      </c>
      <c r="R345" s="43"/>
      <c r="S345" s="44" t="str">
        <f aca="false">IF(OR(NOT(ISNUMBER($R345)),$R345=0,NOT(ISNUMBER($K345))),"",$K345*(1-$R345))</f>
        <v/>
      </c>
      <c r="T345" s="45" t="str">
        <f aca="false">IF(ISNUMBER($S345),$S345*$H345,"")</f>
        <v/>
      </c>
      <c r="U345" s="45" t="str">
        <f aca="false">IF(ISNUMBER($S345),$S345*Parâmetros!$B$8,"")</f>
        <v/>
      </c>
      <c r="V345" s="45" t="str">
        <f aca="false">IF(ISNUMBER($S345),$S345*Parâmetros!$C$8,"")</f>
        <v/>
      </c>
      <c r="W345" s="44" t="str">
        <f aca="false">IF(ISNUMBER($S345),$S345-$D345-IF(ISNUMBER($E345),$E345,0)-$O345-$T345-$U345-$V345,"")</f>
        <v/>
      </c>
      <c r="X345" s="46" t="str">
        <f aca="false">IF(AND(ISNUMBER($S345),$S345&gt;0),$W345/$S345,"")</f>
        <v/>
      </c>
      <c r="Y345" s="49"/>
      <c r="Z345" s="21"/>
    </row>
    <row r="346" customFormat="false" ht="15.75" hidden="false" customHeight="true" outlineLevel="0" collapsed="false">
      <c r="A346" s="32" t="str">
        <f aca="false">IF(Produtos!$A346="","",Produtos!$A346)</f>
        <v/>
      </c>
      <c r="B346" s="32" t="str">
        <f aca="false">IF(Produtos!$A346="","",Produtos!$B346)</f>
        <v/>
      </c>
      <c r="C346" s="32" t="str">
        <f aca="false">IF(Produtos!$A346="","",Produtos!$C346)</f>
        <v/>
      </c>
      <c r="D346" s="33" t="str">
        <f aca="false">IF(Produtos!$A346="","",IF(Produtos!$D346="","",Produtos!$D346))</f>
        <v/>
      </c>
      <c r="E346" s="11"/>
      <c r="F346" s="34" t="str">
        <f aca="false">IF($A346="","",IF($C346="","⚠ categoria",IFERROR(INDEX(Parâmetros!$F$13:$F$22,MATCH($C346,Parâmetros!$A$13:$A$22,0)),"⚠ categoria")))</f>
        <v/>
      </c>
      <c r="G346" s="35"/>
      <c r="H346" s="36" t="str">
        <f aca="false">IF($A346="","",IF(ISNUMBER($G346),$G346,IF(ISNUMBER($F346),$F346,"")))</f>
        <v/>
      </c>
      <c r="I346" s="37" t="str">
        <f aca="false">IF(OR($A346="",NOT(ISNUMBER($D346)),NOT(ISNUMBER($H346))),"",IF((1-$H346-Parâmetros!$B$8-Parâmetros!$C$8-Parâmetros!$D$8)&lt;=0,"INVALIDO",($D346+IF(ISNUMBER($E346),$E346,0)+IF(ISNUMBER(Parâmetros!$E$8),Parâmetros!$E$8,0))/(1-$H346-Parâmetros!$B$8-Parâmetros!$C$8-Parâmetros!$D$8)))</f>
        <v/>
      </c>
      <c r="J346" s="38"/>
      <c r="K346" s="39" t="str">
        <f aca="false">IF(OR($A346="",NOT(ISNUMBER($D346)),NOT(ISNUMBER($H346))),"",IF(AND(ISNUMBER($J346),$J346&gt;0),$J346,IF(ISNUMBER($I346),$I346,"")))</f>
        <v/>
      </c>
      <c r="L346" s="40" t="str">
        <f aca="false">IF(ISNUMBER($K346),$K346*$H346,"")</f>
        <v/>
      </c>
      <c r="M346" s="40" t="str">
        <f aca="false">IF(ISNUMBER($K346),$K346*Parâmetros!$B$8,"")</f>
        <v/>
      </c>
      <c r="N346" s="40" t="str">
        <f aca="false">IF(ISNUMBER($K346),$K346*Parâmetros!$C$8,"")</f>
        <v/>
      </c>
      <c r="O346" s="40" t="str">
        <f aca="false">IF(ISNUMBER($K346),IF(ISNUMBER(Parâmetros!$E$8),Parâmetros!$E$8,0),"")</f>
        <v/>
      </c>
      <c r="P346" s="41" t="str">
        <f aca="false">IF(ISNUMBER($K346),$K346-$D346-IF(ISNUMBER($E346),$E346,0)-$L346-$M346-$N346-$O346,"")</f>
        <v/>
      </c>
      <c r="Q346" s="42" t="str">
        <f aca="false">IF(AND(ISNUMBER($K346),$K346&gt;0),$P346/$K346,"")</f>
        <v/>
      </c>
      <c r="R346" s="43"/>
      <c r="S346" s="44" t="str">
        <f aca="false">IF(OR(NOT(ISNUMBER($R346)),$R346=0,NOT(ISNUMBER($K346))),"",$K346*(1-$R346))</f>
        <v/>
      </c>
      <c r="T346" s="45" t="str">
        <f aca="false">IF(ISNUMBER($S346),$S346*$H346,"")</f>
        <v/>
      </c>
      <c r="U346" s="45" t="str">
        <f aca="false">IF(ISNUMBER($S346),$S346*Parâmetros!$B$8,"")</f>
        <v/>
      </c>
      <c r="V346" s="45" t="str">
        <f aca="false">IF(ISNUMBER($S346),$S346*Parâmetros!$C$8,"")</f>
        <v/>
      </c>
      <c r="W346" s="44" t="str">
        <f aca="false">IF(ISNUMBER($S346),$S346-$D346-IF(ISNUMBER($E346),$E346,0)-$O346-$T346-$U346-$V346,"")</f>
        <v/>
      </c>
      <c r="X346" s="46" t="str">
        <f aca="false">IF(AND(ISNUMBER($S346),$S346&gt;0),$W346/$S346,"")</f>
        <v/>
      </c>
      <c r="Y346" s="47"/>
      <c r="Z346" s="19"/>
    </row>
    <row r="347" customFormat="false" ht="15.75" hidden="false" customHeight="true" outlineLevel="0" collapsed="false">
      <c r="A347" s="48" t="str">
        <f aca="false">IF(Produtos!$A347="","",Produtos!$A347)</f>
        <v/>
      </c>
      <c r="B347" s="48" t="str">
        <f aca="false">IF(Produtos!$A347="","",Produtos!$B347)</f>
        <v/>
      </c>
      <c r="C347" s="48" t="str">
        <f aca="false">IF(Produtos!$A347="","",Produtos!$C347)</f>
        <v/>
      </c>
      <c r="D347" s="33" t="str">
        <f aca="false">IF(Produtos!$A347="","",IF(Produtos!$D347="","",Produtos!$D347))</f>
        <v/>
      </c>
      <c r="E347" s="11"/>
      <c r="F347" s="34" t="str">
        <f aca="false">IF($A347="","",IF($C347="","⚠ categoria",IFERROR(INDEX(Parâmetros!$F$13:$F$22,MATCH($C347,Parâmetros!$A$13:$A$22,0)),"⚠ categoria")))</f>
        <v/>
      </c>
      <c r="G347" s="35"/>
      <c r="H347" s="36" t="str">
        <f aca="false">IF($A347="","",IF(ISNUMBER($G347),$G347,IF(ISNUMBER($F347),$F347,"")))</f>
        <v/>
      </c>
      <c r="I347" s="37" t="str">
        <f aca="false">IF(OR($A347="",NOT(ISNUMBER($D347)),NOT(ISNUMBER($H347))),"",IF((1-$H347-Parâmetros!$B$8-Parâmetros!$C$8-Parâmetros!$D$8)&lt;=0,"INVALIDO",($D347+IF(ISNUMBER($E347),$E347,0)+IF(ISNUMBER(Parâmetros!$E$8),Parâmetros!$E$8,0))/(1-$H347-Parâmetros!$B$8-Parâmetros!$C$8-Parâmetros!$D$8)))</f>
        <v/>
      </c>
      <c r="J347" s="38"/>
      <c r="K347" s="39" t="str">
        <f aca="false">IF(OR($A347="",NOT(ISNUMBER($D347)),NOT(ISNUMBER($H347))),"",IF(AND(ISNUMBER($J347),$J347&gt;0),$J347,IF(ISNUMBER($I347),$I347,"")))</f>
        <v/>
      </c>
      <c r="L347" s="40" t="str">
        <f aca="false">IF(ISNUMBER($K347),$K347*$H347,"")</f>
        <v/>
      </c>
      <c r="M347" s="40" t="str">
        <f aca="false">IF(ISNUMBER($K347),$K347*Parâmetros!$B$8,"")</f>
        <v/>
      </c>
      <c r="N347" s="40" t="str">
        <f aca="false">IF(ISNUMBER($K347),$K347*Parâmetros!$C$8,"")</f>
        <v/>
      </c>
      <c r="O347" s="40" t="str">
        <f aca="false">IF(ISNUMBER($K347),IF(ISNUMBER(Parâmetros!$E$8),Parâmetros!$E$8,0),"")</f>
        <v/>
      </c>
      <c r="P347" s="41" t="str">
        <f aca="false">IF(ISNUMBER($K347),$K347-$D347-IF(ISNUMBER($E347),$E347,0)-$L347-$M347-$N347-$O347,"")</f>
        <v/>
      </c>
      <c r="Q347" s="42" t="str">
        <f aca="false">IF(AND(ISNUMBER($K347),$K347&gt;0),$P347/$K347,"")</f>
        <v/>
      </c>
      <c r="R347" s="43"/>
      <c r="S347" s="44" t="str">
        <f aca="false">IF(OR(NOT(ISNUMBER($R347)),$R347=0,NOT(ISNUMBER($K347))),"",$K347*(1-$R347))</f>
        <v/>
      </c>
      <c r="T347" s="45" t="str">
        <f aca="false">IF(ISNUMBER($S347),$S347*$H347,"")</f>
        <v/>
      </c>
      <c r="U347" s="45" t="str">
        <f aca="false">IF(ISNUMBER($S347),$S347*Parâmetros!$B$8,"")</f>
        <v/>
      </c>
      <c r="V347" s="45" t="str">
        <f aca="false">IF(ISNUMBER($S347),$S347*Parâmetros!$C$8,"")</f>
        <v/>
      </c>
      <c r="W347" s="44" t="str">
        <f aca="false">IF(ISNUMBER($S347),$S347-$D347-IF(ISNUMBER($E347),$E347,0)-$O347-$T347-$U347-$V347,"")</f>
        <v/>
      </c>
      <c r="X347" s="46" t="str">
        <f aca="false">IF(AND(ISNUMBER($S347),$S347&gt;0),$W347/$S347,"")</f>
        <v/>
      </c>
      <c r="Y347" s="49"/>
      <c r="Z347" s="21"/>
    </row>
    <row r="348" customFormat="false" ht="15.75" hidden="false" customHeight="true" outlineLevel="0" collapsed="false">
      <c r="A348" s="32" t="str">
        <f aca="false">IF(Produtos!$A348="","",Produtos!$A348)</f>
        <v/>
      </c>
      <c r="B348" s="32" t="str">
        <f aca="false">IF(Produtos!$A348="","",Produtos!$B348)</f>
        <v/>
      </c>
      <c r="C348" s="32" t="str">
        <f aca="false">IF(Produtos!$A348="","",Produtos!$C348)</f>
        <v/>
      </c>
      <c r="D348" s="33" t="str">
        <f aca="false">IF(Produtos!$A348="","",IF(Produtos!$D348="","",Produtos!$D348))</f>
        <v/>
      </c>
      <c r="E348" s="11"/>
      <c r="F348" s="34" t="str">
        <f aca="false">IF($A348="","",IF($C348="","⚠ categoria",IFERROR(INDEX(Parâmetros!$F$13:$F$22,MATCH($C348,Parâmetros!$A$13:$A$22,0)),"⚠ categoria")))</f>
        <v/>
      </c>
      <c r="G348" s="35"/>
      <c r="H348" s="36" t="str">
        <f aca="false">IF($A348="","",IF(ISNUMBER($G348),$G348,IF(ISNUMBER($F348),$F348,"")))</f>
        <v/>
      </c>
      <c r="I348" s="37" t="str">
        <f aca="false">IF(OR($A348="",NOT(ISNUMBER($D348)),NOT(ISNUMBER($H348))),"",IF((1-$H348-Parâmetros!$B$8-Parâmetros!$C$8-Parâmetros!$D$8)&lt;=0,"INVALIDO",($D348+IF(ISNUMBER($E348),$E348,0)+IF(ISNUMBER(Parâmetros!$E$8),Parâmetros!$E$8,0))/(1-$H348-Parâmetros!$B$8-Parâmetros!$C$8-Parâmetros!$D$8)))</f>
        <v/>
      </c>
      <c r="J348" s="38"/>
      <c r="K348" s="39" t="str">
        <f aca="false">IF(OR($A348="",NOT(ISNUMBER($D348)),NOT(ISNUMBER($H348))),"",IF(AND(ISNUMBER($J348),$J348&gt;0),$J348,IF(ISNUMBER($I348),$I348,"")))</f>
        <v/>
      </c>
      <c r="L348" s="40" t="str">
        <f aca="false">IF(ISNUMBER($K348),$K348*$H348,"")</f>
        <v/>
      </c>
      <c r="M348" s="40" t="str">
        <f aca="false">IF(ISNUMBER($K348),$K348*Parâmetros!$B$8,"")</f>
        <v/>
      </c>
      <c r="N348" s="40" t="str">
        <f aca="false">IF(ISNUMBER($K348),$K348*Parâmetros!$C$8,"")</f>
        <v/>
      </c>
      <c r="O348" s="40" t="str">
        <f aca="false">IF(ISNUMBER($K348),IF(ISNUMBER(Parâmetros!$E$8),Parâmetros!$E$8,0),"")</f>
        <v/>
      </c>
      <c r="P348" s="41" t="str">
        <f aca="false">IF(ISNUMBER($K348),$K348-$D348-IF(ISNUMBER($E348),$E348,0)-$L348-$M348-$N348-$O348,"")</f>
        <v/>
      </c>
      <c r="Q348" s="42" t="str">
        <f aca="false">IF(AND(ISNUMBER($K348),$K348&gt;0),$P348/$K348,"")</f>
        <v/>
      </c>
      <c r="R348" s="43"/>
      <c r="S348" s="44" t="str">
        <f aca="false">IF(OR(NOT(ISNUMBER($R348)),$R348=0,NOT(ISNUMBER($K348))),"",$K348*(1-$R348))</f>
        <v/>
      </c>
      <c r="T348" s="45" t="str">
        <f aca="false">IF(ISNUMBER($S348),$S348*$H348,"")</f>
        <v/>
      </c>
      <c r="U348" s="45" t="str">
        <f aca="false">IF(ISNUMBER($S348),$S348*Parâmetros!$B$8,"")</f>
        <v/>
      </c>
      <c r="V348" s="45" t="str">
        <f aca="false">IF(ISNUMBER($S348),$S348*Parâmetros!$C$8,"")</f>
        <v/>
      </c>
      <c r="W348" s="44" t="str">
        <f aca="false">IF(ISNUMBER($S348),$S348-$D348-IF(ISNUMBER($E348),$E348,0)-$O348-$T348-$U348-$V348,"")</f>
        <v/>
      </c>
      <c r="X348" s="46" t="str">
        <f aca="false">IF(AND(ISNUMBER($S348),$S348&gt;0),$W348/$S348,"")</f>
        <v/>
      </c>
      <c r="Y348" s="47"/>
      <c r="Z348" s="19"/>
    </row>
    <row r="349" customFormat="false" ht="15.75" hidden="false" customHeight="true" outlineLevel="0" collapsed="false">
      <c r="A349" s="48" t="str">
        <f aca="false">IF(Produtos!$A349="","",Produtos!$A349)</f>
        <v/>
      </c>
      <c r="B349" s="48" t="str">
        <f aca="false">IF(Produtos!$A349="","",Produtos!$B349)</f>
        <v/>
      </c>
      <c r="C349" s="48" t="str">
        <f aca="false">IF(Produtos!$A349="","",Produtos!$C349)</f>
        <v/>
      </c>
      <c r="D349" s="33" t="str">
        <f aca="false">IF(Produtos!$A349="","",IF(Produtos!$D349="","",Produtos!$D349))</f>
        <v/>
      </c>
      <c r="E349" s="11"/>
      <c r="F349" s="34" t="str">
        <f aca="false">IF($A349="","",IF($C349="","⚠ categoria",IFERROR(INDEX(Parâmetros!$F$13:$F$22,MATCH($C349,Parâmetros!$A$13:$A$22,0)),"⚠ categoria")))</f>
        <v/>
      </c>
      <c r="G349" s="35"/>
      <c r="H349" s="36" t="str">
        <f aca="false">IF($A349="","",IF(ISNUMBER($G349),$G349,IF(ISNUMBER($F349),$F349,"")))</f>
        <v/>
      </c>
      <c r="I349" s="37" t="str">
        <f aca="false">IF(OR($A349="",NOT(ISNUMBER($D349)),NOT(ISNUMBER($H349))),"",IF((1-$H349-Parâmetros!$B$8-Parâmetros!$C$8-Parâmetros!$D$8)&lt;=0,"INVALIDO",($D349+IF(ISNUMBER($E349),$E349,0)+IF(ISNUMBER(Parâmetros!$E$8),Parâmetros!$E$8,0))/(1-$H349-Parâmetros!$B$8-Parâmetros!$C$8-Parâmetros!$D$8)))</f>
        <v/>
      </c>
      <c r="J349" s="38"/>
      <c r="K349" s="39" t="str">
        <f aca="false">IF(OR($A349="",NOT(ISNUMBER($D349)),NOT(ISNUMBER($H349))),"",IF(AND(ISNUMBER($J349),$J349&gt;0),$J349,IF(ISNUMBER($I349),$I349,"")))</f>
        <v/>
      </c>
      <c r="L349" s="40" t="str">
        <f aca="false">IF(ISNUMBER($K349),$K349*$H349,"")</f>
        <v/>
      </c>
      <c r="M349" s="40" t="str">
        <f aca="false">IF(ISNUMBER($K349),$K349*Parâmetros!$B$8,"")</f>
        <v/>
      </c>
      <c r="N349" s="40" t="str">
        <f aca="false">IF(ISNUMBER($K349),$K349*Parâmetros!$C$8,"")</f>
        <v/>
      </c>
      <c r="O349" s="40" t="str">
        <f aca="false">IF(ISNUMBER($K349),IF(ISNUMBER(Parâmetros!$E$8),Parâmetros!$E$8,0),"")</f>
        <v/>
      </c>
      <c r="P349" s="41" t="str">
        <f aca="false">IF(ISNUMBER($K349),$K349-$D349-IF(ISNUMBER($E349),$E349,0)-$L349-$M349-$N349-$O349,"")</f>
        <v/>
      </c>
      <c r="Q349" s="42" t="str">
        <f aca="false">IF(AND(ISNUMBER($K349),$K349&gt;0),$P349/$K349,"")</f>
        <v/>
      </c>
      <c r="R349" s="43"/>
      <c r="S349" s="44" t="str">
        <f aca="false">IF(OR(NOT(ISNUMBER($R349)),$R349=0,NOT(ISNUMBER($K349))),"",$K349*(1-$R349))</f>
        <v/>
      </c>
      <c r="T349" s="45" t="str">
        <f aca="false">IF(ISNUMBER($S349),$S349*$H349,"")</f>
        <v/>
      </c>
      <c r="U349" s="45" t="str">
        <f aca="false">IF(ISNUMBER($S349),$S349*Parâmetros!$B$8,"")</f>
        <v/>
      </c>
      <c r="V349" s="45" t="str">
        <f aca="false">IF(ISNUMBER($S349),$S349*Parâmetros!$C$8,"")</f>
        <v/>
      </c>
      <c r="W349" s="44" t="str">
        <f aca="false">IF(ISNUMBER($S349),$S349-$D349-IF(ISNUMBER($E349),$E349,0)-$O349-$T349-$U349-$V349,"")</f>
        <v/>
      </c>
      <c r="X349" s="46" t="str">
        <f aca="false">IF(AND(ISNUMBER($S349),$S349&gt;0),$W349/$S349,"")</f>
        <v/>
      </c>
      <c r="Y349" s="49"/>
      <c r="Z349" s="21"/>
    </row>
  </sheetData>
  <autoFilter ref="A3:Z349"/>
  <mergeCells count="7">
    <mergeCell ref="A1:Z1"/>
    <mergeCell ref="A2:C2"/>
    <mergeCell ref="D2:E2"/>
    <mergeCell ref="F2:H2"/>
    <mergeCell ref="L2:Q2"/>
    <mergeCell ref="R2:X2"/>
    <mergeCell ref="Y2:Z2"/>
  </mergeCells>
  <conditionalFormatting sqref="P4:P349">
    <cfRule type="expression" priority="2" aboveAverage="0" equalAverage="0" bottom="0" percent="0" rank="0" text="" dxfId="19">
      <formula>AND(ISNUMBER($P4),$P4&lt;0)</formula>
    </cfRule>
  </conditionalFormatting>
  <conditionalFormatting sqref="Q4:Q349">
    <cfRule type="expression" priority="3" aboveAverage="0" equalAverage="0" bottom="0" percent="0" rank="0" text="" dxfId="19">
      <formula>AND(ISNUMBER($Q4),$Q4&lt;0)</formula>
    </cfRule>
    <cfRule type="expression" priority="4" aboveAverage="0" equalAverage="0" bottom="0" percent="0" rank="0" text="" dxfId="20">
      <formula>AND(ISNUMBER($Q4),$Q4&lt;Parâmetros!$D$8)</formula>
    </cfRule>
  </conditionalFormatting>
  <conditionalFormatting sqref="W4:W349">
    <cfRule type="expression" priority="5" aboveAverage="0" equalAverage="0" bottom="0" percent="0" rank="0" text="" dxfId="19">
      <formula>AND(ISNUMBER($W4),$W4&lt;0)</formula>
    </cfRule>
  </conditionalFormatting>
  <conditionalFormatting sqref="X4:X349">
    <cfRule type="expression" priority="6" aboveAverage="0" equalAverage="0" bottom="0" percent="0" rank="0" text="" dxfId="19">
      <formula>AND(ISNUMBER($X4),$X4&lt;0)</formula>
    </cfRule>
    <cfRule type="expression" priority="7" aboveAverage="0" equalAverage="0" bottom="0" percent="0" rank="0" text="" dxfId="20">
      <formula>AND(ISNUMBER($X4),$X4&lt;Parâmetros!$D$8)</formula>
    </cfRule>
  </conditionalFormatting>
  <conditionalFormatting sqref="F4:F349">
    <cfRule type="expression" priority="8" aboveAverage="0" equalAverage="0" bottom="0" percent="0" rank="0" text="" dxfId="19">
      <formula>$F4="⚠ categoria"</formula>
    </cfRule>
  </conditionalFormatting>
  <conditionalFormatting sqref="I4:I349">
    <cfRule type="expression" priority="9" aboveAverage="0" equalAverage="0" bottom="0" percent="0" rank="0" text="" dxfId="19">
      <formula>$I4="INVALIDO"</formula>
    </cfRule>
  </conditionalFormatting>
  <dataValidations count="2">
    <dataValidation allowBlank="true" error="Digite o desconto como fração (0,10 = 10%)." errorStyle="stop" errorTitle="% Desconto" operator="between" showDropDown="false" showErrorMessage="true" showInputMessage="false" sqref="R4:R349" type="decimal">
      <formula1>0</formula1>
      <formula2>1</formula2>
    </dataValidation>
    <dataValidation allowBlank="true" error="Digite a comissão como fração (0,12 = 12%)." errorStyle="stop" errorTitle="Comissão manual" operator="between" showDropDown="false" showErrorMessage="true" showInputMessage="false" sqref="G4:G349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6FF"/>
    <pageSetUpPr fitToPage="false"/>
  </sheetPr>
  <dimension ref="A1:Z34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4"/>
    <col collapsed="false" customWidth="true" hidden="false" outlineLevel="0" max="3" min="3" style="0" width="22"/>
    <col collapsed="false" customWidth="true" hidden="false" outlineLevel="0" max="4" min="4" style="0" width="13"/>
    <col collapsed="false" customWidth="true" hidden="false" outlineLevel="0" max="8" min="5" style="0" width="11"/>
    <col collapsed="false" customWidth="true" hidden="false" outlineLevel="0" max="11" min="9" style="0" width="13"/>
    <col collapsed="false" customWidth="true" hidden="false" outlineLevel="0" max="13" min="12" style="0" width="12"/>
    <col collapsed="false" customWidth="true" hidden="false" outlineLevel="0" max="15" min="14" style="0" width="11"/>
    <col collapsed="false" customWidth="true" hidden="false" outlineLevel="0" max="16" min="16" style="0" width="13"/>
    <col collapsed="false" customWidth="true" hidden="false" outlineLevel="0" max="18" min="17" style="0" width="10"/>
    <col collapsed="false" customWidth="true" hidden="false" outlineLevel="0" max="19" min="19" style="0" width="13"/>
    <col collapsed="false" customWidth="true" hidden="false" outlineLevel="0" max="21" min="20" style="0" width="12"/>
    <col collapsed="false" customWidth="true" hidden="false" outlineLevel="0" max="22" min="22" style="0" width="11"/>
    <col collapsed="false" customWidth="true" hidden="false" outlineLevel="0" max="23" min="23" style="0" width="13"/>
    <col collapsed="false" customWidth="true" hidden="false" outlineLevel="0" max="24" min="24" style="0" width="10"/>
    <col collapsed="false" customWidth="true" hidden="false" outlineLevel="0" max="25" min="25" style="0" width="11"/>
    <col collapsed="false" customWidth="true" hidden="false" outlineLevel="0" max="26" min="26" style="0" width="34"/>
  </cols>
  <sheetData>
    <row r="1" customFormat="false" ht="24" hidden="false" customHeight="true" outlineLevel="0" collapsed="false">
      <c r="A1" s="53" t="str">
        <f aca="false">"MAGALU  |  Comissão por categoria (aba Parâmetros) ou manual por linha  |  Imposto "&amp;TEXT(Parâmetros!$B$9,"0%")&amp;"  |  ADS "&amp;TEXT(Parâmetros!$C$9,"0.0%")&amp;"  |  Margem mín. "&amp;TEXT(Parâmetros!$D$9,"0%")&amp;"  |  Custo fixo/un. R$ "&amp;TEXT(Parâmetros!$E$9,"0.00")</f>
        <v>MAGALU  |  Comissão por categoria (aba Parâmetros) ou manual por linha  |  Imposto 10%  |  ADS 3.0%  |  Margem mín. 20%  |  Custo fixo/un. R$ 0.00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 customFormat="false" ht="27.75" hidden="false" customHeight="true" outlineLevel="0" collapsed="false">
      <c r="A2" s="23" t="s">
        <v>704</v>
      </c>
      <c r="B2" s="23"/>
      <c r="C2" s="23"/>
      <c r="D2" s="24" t="s">
        <v>705</v>
      </c>
      <c r="E2" s="24"/>
      <c r="F2" s="25" t="s">
        <v>706</v>
      </c>
      <c r="G2" s="25"/>
      <c r="H2" s="25"/>
      <c r="I2" s="26" t="s">
        <v>707</v>
      </c>
      <c r="J2" s="27" t="s">
        <v>708</v>
      </c>
      <c r="K2" s="28" t="s">
        <v>709</v>
      </c>
      <c r="L2" s="29" t="s">
        <v>710</v>
      </c>
      <c r="M2" s="29"/>
      <c r="N2" s="29"/>
      <c r="O2" s="29"/>
      <c r="P2" s="29"/>
      <c r="Q2" s="29"/>
      <c r="R2" s="30" t="s">
        <v>711</v>
      </c>
      <c r="S2" s="30"/>
      <c r="T2" s="30"/>
      <c r="U2" s="30"/>
      <c r="V2" s="30"/>
      <c r="W2" s="30"/>
      <c r="X2" s="30"/>
      <c r="Y2" s="31" t="s">
        <v>712</v>
      </c>
      <c r="Z2" s="31"/>
    </row>
    <row r="3" customFormat="false" ht="39.75" hidden="false" customHeight="true" outlineLevel="0" collapsed="false">
      <c r="A3" s="7" t="s">
        <v>101</v>
      </c>
      <c r="B3" s="7" t="s">
        <v>102</v>
      </c>
      <c r="C3" s="7" t="s">
        <v>82</v>
      </c>
      <c r="D3" s="7" t="s">
        <v>104</v>
      </c>
      <c r="E3" s="7" t="s">
        <v>713</v>
      </c>
      <c r="F3" s="7" t="s">
        <v>714</v>
      </c>
      <c r="G3" s="7" t="s">
        <v>715</v>
      </c>
      <c r="H3" s="7" t="s">
        <v>716</v>
      </c>
      <c r="I3" s="7" t="s">
        <v>717</v>
      </c>
      <c r="J3" s="7" t="s">
        <v>718</v>
      </c>
      <c r="K3" s="7" t="s">
        <v>719</v>
      </c>
      <c r="L3" s="7" t="s">
        <v>720</v>
      </c>
      <c r="M3" s="7" t="s">
        <v>721</v>
      </c>
      <c r="N3" s="7" t="s">
        <v>722</v>
      </c>
      <c r="O3" s="7" t="s">
        <v>723</v>
      </c>
      <c r="P3" s="7" t="s">
        <v>724</v>
      </c>
      <c r="Q3" s="7" t="s">
        <v>725</v>
      </c>
      <c r="R3" s="7" t="s">
        <v>726</v>
      </c>
      <c r="S3" s="7" t="s">
        <v>727</v>
      </c>
      <c r="T3" s="7" t="s">
        <v>728</v>
      </c>
      <c r="U3" s="7" t="s">
        <v>729</v>
      </c>
      <c r="V3" s="7" t="s">
        <v>730</v>
      </c>
      <c r="W3" s="7" t="s">
        <v>731</v>
      </c>
      <c r="X3" s="7" t="s">
        <v>732</v>
      </c>
      <c r="Y3" s="7" t="s">
        <v>733</v>
      </c>
      <c r="Z3" s="7" t="s">
        <v>71</v>
      </c>
    </row>
    <row r="4" customFormat="false" ht="15.75" hidden="false" customHeight="true" outlineLevel="0" collapsed="false">
      <c r="A4" s="32" t="str">
        <f aca="false">IF(Produtos!$A4="","",Produtos!$A4)</f>
        <v>L1618</v>
      </c>
      <c r="B4" s="32" t="str">
        <f aca="false">IF(Produtos!$A4="","",Produtos!$B4)</f>
        <v>Lixeira Aço Inox s/Tampa 16x18 03L</v>
      </c>
      <c r="C4" s="32" t="str">
        <f aca="false">IF(Produtos!$A4="","",Produtos!$C4)</f>
        <v>Lixeiras em inox</v>
      </c>
      <c r="D4" s="33" t="n">
        <f aca="false">IF(Produtos!$A4="","",IF(Produtos!$D4="","",Produtos!$D4))</f>
        <v>39.8</v>
      </c>
      <c r="E4" s="11" t="n">
        <v>0</v>
      </c>
      <c r="F4" s="34" t="n">
        <f aca="false">IF($A4="","",IF($C4="","⚠ categoria",IFERROR(INDEX(Parâmetros!$G$13:$G$22,MATCH($C4,Parâmetros!$A$13:$A$22,0)),"⚠ categoria")))</f>
        <v>0.18</v>
      </c>
      <c r="G4" s="35"/>
      <c r="H4" s="36" t="n">
        <f aca="false">IF($A4="","",IF(ISNUMBER($G4),$G4,IF(ISNUMBER($F4),$F4,"")))</f>
        <v>0.18</v>
      </c>
      <c r="I4" s="37" t="n">
        <f aca="false">IF(OR($A4="",NOT(ISNUMBER($D4)),NOT(ISNUMBER($H4))),"",IF((1-$H4-Parâmetros!$B$9-Parâmetros!$C$9-Parâmetros!$D$9)&lt;=0,"INVALIDO",($D4+IF(ISNUMBER($E4),$E4,0)+IF(ISNUMBER(Parâmetros!$E$9),Parâmetros!$E$9,0))/(1-$H4-Parâmetros!$B$9-Parâmetros!$C$9-Parâmetros!$D$9)))</f>
        <v>81.2244897959184</v>
      </c>
      <c r="J4" s="38"/>
      <c r="K4" s="39" t="n">
        <f aca="false">IF(OR($A4="",NOT(ISNUMBER($D4)),NOT(ISNUMBER($H4))),"",IF(AND(ISNUMBER($J4),$J4&gt;0),$J4,IF(ISNUMBER($I4),$I4,"")))</f>
        <v>81.2244897959184</v>
      </c>
      <c r="L4" s="40" t="n">
        <f aca="false">IF(ISNUMBER($K4),$K4*$H4,"")</f>
        <v>14.6204081632653</v>
      </c>
      <c r="M4" s="40" t="n">
        <f aca="false">IF(ISNUMBER($K4),$K4*Parâmetros!$B$9,"")</f>
        <v>8.12244897959184</v>
      </c>
      <c r="N4" s="40" t="n">
        <f aca="false">IF(ISNUMBER($K4),$K4*Parâmetros!$C$9,"")</f>
        <v>2.43673469387755</v>
      </c>
      <c r="O4" s="40" t="n">
        <f aca="false">IF(ISNUMBER($K4),IF(ISNUMBER(Parâmetros!$E$9),Parâmetros!$E$9,0),"")</f>
        <v>0</v>
      </c>
      <c r="P4" s="41" t="n">
        <f aca="false">IF(ISNUMBER($K4),$K4-$D4-IF(ISNUMBER($E4),$E4,0)-$L4-$M4-$N4-$O4,"")</f>
        <v>16.2448979591837</v>
      </c>
      <c r="Q4" s="42" t="n">
        <f aca="false">IF(AND(ISNUMBER($K4),$K4&gt;0),$P4/$K4,"")</f>
        <v>0.2</v>
      </c>
      <c r="R4" s="43"/>
      <c r="S4" s="44" t="str">
        <f aca="false">IF(OR(NOT(ISNUMBER($R4)),$R4=0,NOT(ISNUMBER($K4))),"",$K4*(1-$R4))</f>
        <v/>
      </c>
      <c r="T4" s="45" t="str">
        <f aca="false">IF(ISNUMBER($S4),$S4*$H4,"")</f>
        <v/>
      </c>
      <c r="U4" s="45" t="str">
        <f aca="false">IF(ISNUMBER($S4),$S4*Parâmetros!$B$9,"")</f>
        <v/>
      </c>
      <c r="V4" s="45" t="str">
        <f aca="false">IF(ISNUMBER($S4),$S4*Parâmetros!$C$9,"")</f>
        <v/>
      </c>
      <c r="W4" s="44" t="str">
        <f aca="false">IF(ISNUMBER($S4),$S4-$D4-IF(ISNUMBER($E4),$E4,0)-$O4-$T4-$U4-$V4,"")</f>
        <v/>
      </c>
      <c r="X4" s="46" t="str">
        <f aca="false">IF(AND(ISNUMBER($S4),$S4&gt;0),$W4/$S4,"")</f>
        <v/>
      </c>
      <c r="Y4" s="47"/>
      <c r="Z4" s="19"/>
    </row>
    <row r="5" customFormat="false" ht="15.75" hidden="false" customHeight="true" outlineLevel="0" collapsed="false">
      <c r="A5" s="48" t="str">
        <f aca="false">IF(Produtos!$A5="","",Produtos!$A5)</f>
        <v>L1623</v>
      </c>
      <c r="B5" s="48" t="str">
        <f aca="false">IF(Produtos!$A5="","",Produtos!$B5)</f>
        <v>Lixeira Aço Inox s/Tampa 16x23 05L</v>
      </c>
      <c r="C5" s="48" t="str">
        <f aca="false">IF(Produtos!$A5="","",Produtos!$C5)</f>
        <v>Lixeiras em inox</v>
      </c>
      <c r="D5" s="33" t="n">
        <f aca="false">IF(Produtos!$A5="","",IF(Produtos!$D5="","",Produtos!$D5))</f>
        <v>49.15</v>
      </c>
      <c r="E5" s="11" t="n">
        <v>0</v>
      </c>
      <c r="F5" s="34" t="n">
        <f aca="false">IF($A5="","",IF($C5="","⚠ categoria",IFERROR(INDEX(Parâmetros!$G$13:$G$22,MATCH($C5,Parâmetros!$A$13:$A$22,0)),"⚠ categoria")))</f>
        <v>0.18</v>
      </c>
      <c r="G5" s="35"/>
      <c r="H5" s="36" t="n">
        <f aca="false">IF($A5="","",IF(ISNUMBER($G5),$G5,IF(ISNUMBER($F5),$F5,"")))</f>
        <v>0.18</v>
      </c>
      <c r="I5" s="37" t="n">
        <f aca="false">IF(OR($A5="",NOT(ISNUMBER($D5)),NOT(ISNUMBER($H5))),"",IF((1-$H5-Parâmetros!$B$9-Parâmetros!$C$9-Parâmetros!$D$9)&lt;=0,"INVALIDO",($D5+IF(ISNUMBER($E5),$E5,0)+IF(ISNUMBER(Parâmetros!$E$9),Parâmetros!$E$9,0))/(1-$H5-Parâmetros!$B$9-Parâmetros!$C$9-Parâmetros!$D$9)))</f>
        <v>100.30612244898</v>
      </c>
      <c r="J5" s="38"/>
      <c r="K5" s="39" t="n">
        <f aca="false">IF(OR($A5="",NOT(ISNUMBER($D5)),NOT(ISNUMBER($H5))),"",IF(AND(ISNUMBER($J5),$J5&gt;0),$J5,IF(ISNUMBER($I5),$I5,"")))</f>
        <v>100.30612244898</v>
      </c>
      <c r="L5" s="40" t="n">
        <f aca="false">IF(ISNUMBER($K5),$K5*$H5,"")</f>
        <v>18.0551020408163</v>
      </c>
      <c r="M5" s="40" t="n">
        <f aca="false">IF(ISNUMBER($K5),$K5*Parâmetros!$B$9,"")</f>
        <v>10.030612244898</v>
      </c>
      <c r="N5" s="40" t="n">
        <f aca="false">IF(ISNUMBER($K5),$K5*Parâmetros!$C$9,"")</f>
        <v>3.00918367346939</v>
      </c>
      <c r="O5" s="40" t="n">
        <f aca="false">IF(ISNUMBER($K5),IF(ISNUMBER(Parâmetros!$E$9),Parâmetros!$E$9,0),"")</f>
        <v>0</v>
      </c>
      <c r="P5" s="41" t="n">
        <f aca="false">IF(ISNUMBER($K5),$K5-$D5-IF(ISNUMBER($E5),$E5,0)-$L5-$M5-$N5-$O5,"")</f>
        <v>20.0612244897959</v>
      </c>
      <c r="Q5" s="42" t="n">
        <f aca="false">IF(AND(ISNUMBER($K5),$K5&gt;0),$P5/$K5,"")</f>
        <v>0.2</v>
      </c>
      <c r="R5" s="43"/>
      <c r="S5" s="44" t="str">
        <f aca="false">IF(OR(NOT(ISNUMBER($R5)),$R5=0,NOT(ISNUMBER($K5))),"",$K5*(1-$R5))</f>
        <v/>
      </c>
      <c r="T5" s="45" t="str">
        <f aca="false">IF(ISNUMBER($S5),$S5*$H5,"")</f>
        <v/>
      </c>
      <c r="U5" s="45" t="str">
        <f aca="false">IF(ISNUMBER($S5),$S5*Parâmetros!$B$9,"")</f>
        <v/>
      </c>
      <c r="V5" s="45" t="str">
        <f aca="false">IF(ISNUMBER($S5),$S5*Parâmetros!$C$9,"")</f>
        <v/>
      </c>
      <c r="W5" s="44" t="str">
        <f aca="false">IF(ISNUMBER($S5),$S5-$D5-IF(ISNUMBER($E5),$E5,0)-$O5-$T5-$U5-$V5,"")</f>
        <v/>
      </c>
      <c r="X5" s="46" t="str">
        <f aca="false">IF(AND(ISNUMBER($S5),$S5&gt;0),$W5/$S5,"")</f>
        <v/>
      </c>
      <c r="Y5" s="49"/>
      <c r="Z5" s="21"/>
    </row>
    <row r="6" customFormat="false" ht="15.75" hidden="false" customHeight="true" outlineLevel="0" collapsed="false">
      <c r="A6" s="32" t="str">
        <f aca="false">IF(Produtos!$A6="","",Produtos!$A6)</f>
        <v>L2025</v>
      </c>
      <c r="B6" s="32" t="str">
        <f aca="false">IF(Produtos!$A6="","",Produtos!$B6)</f>
        <v>Lixeira Aço Inox s/Tampa 20x25 07L</v>
      </c>
      <c r="C6" s="32" t="str">
        <f aca="false">IF(Produtos!$A6="","",Produtos!$C6)</f>
        <v>Lixeiras em inox</v>
      </c>
      <c r="D6" s="33" t="n">
        <f aca="false">IF(Produtos!$A6="","",IF(Produtos!$D6="","",Produtos!$D6))</f>
        <v>51.82</v>
      </c>
      <c r="E6" s="11" t="n">
        <v>0</v>
      </c>
      <c r="F6" s="34" t="n">
        <f aca="false">IF($A6="","",IF($C6="","⚠ categoria",IFERROR(INDEX(Parâmetros!$G$13:$G$22,MATCH($C6,Parâmetros!$A$13:$A$22,0)),"⚠ categoria")))</f>
        <v>0.18</v>
      </c>
      <c r="G6" s="35"/>
      <c r="H6" s="36" t="n">
        <f aca="false">IF($A6="","",IF(ISNUMBER($G6),$G6,IF(ISNUMBER($F6),$F6,"")))</f>
        <v>0.18</v>
      </c>
      <c r="I6" s="37" t="n">
        <f aca="false">IF(OR($A6="",NOT(ISNUMBER($D6)),NOT(ISNUMBER($H6))),"",IF((1-$H6-Parâmetros!$B$9-Parâmetros!$C$9-Parâmetros!$D$9)&lt;=0,"INVALIDO",($D6+IF(ISNUMBER($E6),$E6,0)+IF(ISNUMBER(Parâmetros!$E$9),Parâmetros!$E$9,0))/(1-$H6-Parâmetros!$B$9-Parâmetros!$C$9-Parâmetros!$D$9)))</f>
        <v>105.755102040816</v>
      </c>
      <c r="J6" s="38"/>
      <c r="K6" s="39" t="n">
        <f aca="false">IF(OR($A6="",NOT(ISNUMBER($D6)),NOT(ISNUMBER($H6))),"",IF(AND(ISNUMBER($J6),$J6&gt;0),$J6,IF(ISNUMBER($I6),$I6,"")))</f>
        <v>105.755102040816</v>
      </c>
      <c r="L6" s="40" t="n">
        <f aca="false">IF(ISNUMBER($K6),$K6*$H6,"")</f>
        <v>19.0359183673469</v>
      </c>
      <c r="M6" s="40" t="n">
        <f aca="false">IF(ISNUMBER($K6),$K6*Parâmetros!$B$9,"")</f>
        <v>10.5755102040816</v>
      </c>
      <c r="N6" s="40" t="n">
        <f aca="false">IF(ISNUMBER($K6),$K6*Parâmetros!$C$9,"")</f>
        <v>3.17265306122449</v>
      </c>
      <c r="O6" s="40" t="n">
        <f aca="false">IF(ISNUMBER($K6),IF(ISNUMBER(Parâmetros!$E$9),Parâmetros!$E$9,0),"")</f>
        <v>0</v>
      </c>
      <c r="P6" s="41" t="n">
        <f aca="false">IF(ISNUMBER($K6),$K6-$D6-IF(ISNUMBER($E6),$E6,0)-$L6-$M6-$N6-$O6,"")</f>
        <v>21.1510204081633</v>
      </c>
      <c r="Q6" s="42" t="n">
        <f aca="false">IF(AND(ISNUMBER($K6),$K6&gt;0),$P6/$K6,"")</f>
        <v>0.2</v>
      </c>
      <c r="R6" s="43"/>
      <c r="S6" s="44" t="str">
        <f aca="false">IF(OR(NOT(ISNUMBER($R6)),$R6=0,NOT(ISNUMBER($K6))),"",$K6*(1-$R6))</f>
        <v/>
      </c>
      <c r="T6" s="45" t="str">
        <f aca="false">IF(ISNUMBER($S6),$S6*$H6,"")</f>
        <v/>
      </c>
      <c r="U6" s="45" t="str">
        <f aca="false">IF(ISNUMBER($S6),$S6*Parâmetros!$B$9,"")</f>
        <v/>
      </c>
      <c r="V6" s="45" t="str">
        <f aca="false">IF(ISNUMBER($S6),$S6*Parâmetros!$C$9,"")</f>
        <v/>
      </c>
      <c r="W6" s="44" t="str">
        <f aca="false">IF(ISNUMBER($S6),$S6-$D6-IF(ISNUMBER($E6),$E6,0)-$O6-$T6-$U6-$V6,"")</f>
        <v/>
      </c>
      <c r="X6" s="46" t="str">
        <f aca="false">IF(AND(ISNUMBER($S6),$S6&gt;0),$W6/$S6,"")</f>
        <v/>
      </c>
      <c r="Y6" s="47"/>
      <c r="Z6" s="19"/>
    </row>
    <row r="7" customFormat="false" ht="15.75" hidden="false" customHeight="true" outlineLevel="0" collapsed="false">
      <c r="A7" s="48" t="str">
        <f aca="false">IF(Produtos!$A7="","",Produtos!$A7)</f>
        <v>L2030</v>
      </c>
      <c r="B7" s="48" t="str">
        <f aca="false">IF(Produtos!$A7="","",Produtos!$B7)</f>
        <v>Lixeira Aço Inox s/Tampa 20x30 10L</v>
      </c>
      <c r="C7" s="48" t="str">
        <f aca="false">IF(Produtos!$A7="","",Produtos!$C7)</f>
        <v>Lixeiras em inox</v>
      </c>
      <c r="D7" s="33" t="n">
        <f aca="false">IF(Produtos!$A7="","",IF(Produtos!$D7="","",Produtos!$D7))</f>
        <v>55.49</v>
      </c>
      <c r="E7" s="11" t="n">
        <v>0</v>
      </c>
      <c r="F7" s="34" t="n">
        <f aca="false">IF($A7="","",IF($C7="","⚠ categoria",IFERROR(INDEX(Parâmetros!$G$13:$G$22,MATCH($C7,Parâmetros!$A$13:$A$22,0)),"⚠ categoria")))</f>
        <v>0.18</v>
      </c>
      <c r="G7" s="35"/>
      <c r="H7" s="36" t="n">
        <f aca="false">IF($A7="","",IF(ISNUMBER($G7),$G7,IF(ISNUMBER($F7),$F7,"")))</f>
        <v>0.18</v>
      </c>
      <c r="I7" s="37" t="n">
        <f aca="false">IF(OR($A7="",NOT(ISNUMBER($D7)),NOT(ISNUMBER($H7))),"",IF((1-$H7-Parâmetros!$B$9-Parâmetros!$C$9-Parâmetros!$D$9)&lt;=0,"INVALIDO",($D7+IF(ISNUMBER($E7),$E7,0)+IF(ISNUMBER(Parâmetros!$E$9),Parâmetros!$E$9,0))/(1-$H7-Parâmetros!$B$9-Parâmetros!$C$9-Parâmetros!$D$9)))</f>
        <v>113.244897959184</v>
      </c>
      <c r="J7" s="38"/>
      <c r="K7" s="39" t="n">
        <f aca="false">IF(OR($A7="",NOT(ISNUMBER($D7)),NOT(ISNUMBER($H7))),"",IF(AND(ISNUMBER($J7),$J7&gt;0),$J7,IF(ISNUMBER($I7),$I7,"")))</f>
        <v>113.244897959184</v>
      </c>
      <c r="L7" s="40" t="n">
        <f aca="false">IF(ISNUMBER($K7),$K7*$H7,"")</f>
        <v>20.3840816326531</v>
      </c>
      <c r="M7" s="40" t="n">
        <f aca="false">IF(ISNUMBER($K7),$K7*Parâmetros!$B$9,"")</f>
        <v>11.3244897959184</v>
      </c>
      <c r="N7" s="40" t="n">
        <f aca="false">IF(ISNUMBER($K7),$K7*Parâmetros!$C$9,"")</f>
        <v>3.39734693877551</v>
      </c>
      <c r="O7" s="40" t="n">
        <f aca="false">IF(ISNUMBER($K7),IF(ISNUMBER(Parâmetros!$E$9),Parâmetros!$E$9,0),"")</f>
        <v>0</v>
      </c>
      <c r="P7" s="41" t="n">
        <f aca="false">IF(ISNUMBER($K7),$K7-$D7-IF(ISNUMBER($E7),$E7,0)-$L7-$M7-$N7-$O7,"")</f>
        <v>22.6489795918367</v>
      </c>
      <c r="Q7" s="42" t="n">
        <f aca="false">IF(AND(ISNUMBER($K7),$K7&gt;0),$P7/$K7,"")</f>
        <v>0.2</v>
      </c>
      <c r="R7" s="43"/>
      <c r="S7" s="44" t="str">
        <f aca="false">IF(OR(NOT(ISNUMBER($R7)),$R7=0,NOT(ISNUMBER($K7))),"",$K7*(1-$R7))</f>
        <v/>
      </c>
      <c r="T7" s="45" t="str">
        <f aca="false">IF(ISNUMBER($S7),$S7*$H7,"")</f>
        <v/>
      </c>
      <c r="U7" s="45" t="str">
        <f aca="false">IF(ISNUMBER($S7),$S7*Parâmetros!$B$9,"")</f>
        <v/>
      </c>
      <c r="V7" s="45" t="str">
        <f aca="false">IF(ISNUMBER($S7),$S7*Parâmetros!$C$9,"")</f>
        <v/>
      </c>
      <c r="W7" s="44" t="str">
        <f aca="false">IF(ISNUMBER($S7),$S7-$D7-IF(ISNUMBER($E7),$E7,0)-$O7-$T7-$U7-$V7,"")</f>
        <v/>
      </c>
      <c r="X7" s="46" t="str">
        <f aca="false">IF(AND(ISNUMBER($S7),$S7&gt;0),$W7/$S7,"")</f>
        <v/>
      </c>
      <c r="Y7" s="49"/>
      <c r="Z7" s="21"/>
    </row>
    <row r="8" customFormat="false" ht="15.75" hidden="false" customHeight="true" outlineLevel="0" collapsed="false">
      <c r="A8" s="32" t="str">
        <f aca="false">IF(Produtos!$A8="","",Produtos!$A8)</f>
        <v>L2425</v>
      </c>
      <c r="B8" s="32" t="str">
        <f aca="false">IF(Produtos!$A8="","",Produtos!$B8)</f>
        <v>Lixeira Aço Inox s/Tampa 24x25 13L</v>
      </c>
      <c r="C8" s="32" t="str">
        <f aca="false">IF(Produtos!$A8="","",Produtos!$C8)</f>
        <v>Lixeiras em inox</v>
      </c>
      <c r="D8" s="33" t="n">
        <f aca="false">IF(Produtos!$A8="","",IF(Produtos!$D8="","",Produtos!$D8))</f>
        <v>62.2</v>
      </c>
      <c r="E8" s="11" t="n">
        <v>0</v>
      </c>
      <c r="F8" s="34" t="n">
        <f aca="false">IF($A8="","",IF($C8="","⚠ categoria",IFERROR(INDEX(Parâmetros!$G$13:$G$22,MATCH($C8,Parâmetros!$A$13:$A$22,0)),"⚠ categoria")))</f>
        <v>0.18</v>
      </c>
      <c r="G8" s="35"/>
      <c r="H8" s="36" t="n">
        <f aca="false">IF($A8="","",IF(ISNUMBER($G8),$G8,IF(ISNUMBER($F8),$F8,"")))</f>
        <v>0.18</v>
      </c>
      <c r="I8" s="37" t="n">
        <f aca="false">IF(OR($A8="",NOT(ISNUMBER($D8)),NOT(ISNUMBER($H8))),"",IF((1-$H8-Parâmetros!$B$9-Parâmetros!$C$9-Parâmetros!$D$9)&lt;=0,"INVALIDO",($D8+IF(ISNUMBER($E8),$E8,0)+IF(ISNUMBER(Parâmetros!$E$9),Parâmetros!$E$9,0))/(1-$H8-Parâmetros!$B$9-Parâmetros!$C$9-Parâmetros!$D$9)))</f>
        <v>126.938775510204</v>
      </c>
      <c r="J8" s="38"/>
      <c r="K8" s="39" t="n">
        <f aca="false">IF(OR($A8="",NOT(ISNUMBER($D8)),NOT(ISNUMBER($H8))),"",IF(AND(ISNUMBER($J8),$J8&gt;0),$J8,IF(ISNUMBER($I8),$I8,"")))</f>
        <v>126.938775510204</v>
      </c>
      <c r="L8" s="40" t="n">
        <f aca="false">IF(ISNUMBER($K8),$K8*$H8,"")</f>
        <v>22.8489795918367</v>
      </c>
      <c r="M8" s="40" t="n">
        <f aca="false">IF(ISNUMBER($K8),$K8*Parâmetros!$B$9,"")</f>
        <v>12.6938775510204</v>
      </c>
      <c r="N8" s="40" t="n">
        <f aca="false">IF(ISNUMBER($K8),$K8*Parâmetros!$C$9,"")</f>
        <v>3.80816326530612</v>
      </c>
      <c r="O8" s="40" t="n">
        <f aca="false">IF(ISNUMBER($K8),IF(ISNUMBER(Parâmetros!$E$9),Parâmetros!$E$9,0),"")</f>
        <v>0</v>
      </c>
      <c r="P8" s="41" t="n">
        <f aca="false">IF(ISNUMBER($K8),$K8-$D8-IF(ISNUMBER($E8),$E8,0)-$L8-$M8-$N8-$O8,"")</f>
        <v>25.3877551020408</v>
      </c>
      <c r="Q8" s="42" t="n">
        <f aca="false">IF(AND(ISNUMBER($K8),$K8&gt;0),$P8/$K8,"")</f>
        <v>0.2</v>
      </c>
      <c r="R8" s="43"/>
      <c r="S8" s="44" t="str">
        <f aca="false">IF(OR(NOT(ISNUMBER($R8)),$R8=0,NOT(ISNUMBER($K8))),"",$K8*(1-$R8))</f>
        <v/>
      </c>
      <c r="T8" s="45" t="str">
        <f aca="false">IF(ISNUMBER($S8),$S8*$H8,"")</f>
        <v/>
      </c>
      <c r="U8" s="45" t="str">
        <f aca="false">IF(ISNUMBER($S8),$S8*Parâmetros!$B$9,"")</f>
        <v/>
      </c>
      <c r="V8" s="45" t="str">
        <f aca="false">IF(ISNUMBER($S8),$S8*Parâmetros!$C$9,"")</f>
        <v/>
      </c>
      <c r="W8" s="44" t="str">
        <f aca="false">IF(ISNUMBER($S8),$S8-$D8-IF(ISNUMBER($E8),$E8,0)-$O8-$T8-$U8-$V8,"")</f>
        <v/>
      </c>
      <c r="X8" s="46" t="str">
        <f aca="false">IF(AND(ISNUMBER($S8),$S8&gt;0),$W8/$S8,"")</f>
        <v/>
      </c>
      <c r="Y8" s="47"/>
      <c r="Z8" s="19"/>
    </row>
    <row r="9" customFormat="false" ht="15.75" hidden="false" customHeight="true" outlineLevel="0" collapsed="false">
      <c r="A9" s="48" t="str">
        <f aca="false">IF(Produtos!$A9="","",Produtos!$A9)</f>
        <v>L2430</v>
      </c>
      <c r="B9" s="48" t="str">
        <f aca="false">IF(Produtos!$A9="","",Produtos!$B9)</f>
        <v>Lixeira Aço Inox s/Tampa 24x30 15L</v>
      </c>
      <c r="C9" s="48" t="str">
        <f aca="false">IF(Produtos!$A9="","",Produtos!$C9)</f>
        <v>Lixeiras em inox</v>
      </c>
      <c r="D9" s="33" t="n">
        <f aca="false">IF(Produtos!$A9="","",IF(Produtos!$D9="","",Produtos!$D9))</f>
        <v>69.93</v>
      </c>
      <c r="E9" s="11" t="n">
        <v>0</v>
      </c>
      <c r="F9" s="34" t="n">
        <f aca="false">IF($A9="","",IF($C9="","⚠ categoria",IFERROR(INDEX(Parâmetros!$G$13:$G$22,MATCH($C9,Parâmetros!$A$13:$A$22,0)),"⚠ categoria")))</f>
        <v>0.18</v>
      </c>
      <c r="G9" s="35"/>
      <c r="H9" s="36" t="n">
        <f aca="false">IF($A9="","",IF(ISNUMBER($G9),$G9,IF(ISNUMBER($F9),$F9,"")))</f>
        <v>0.18</v>
      </c>
      <c r="I9" s="37" t="n">
        <f aca="false">IF(OR($A9="",NOT(ISNUMBER($D9)),NOT(ISNUMBER($H9))),"",IF((1-$H9-Parâmetros!$B$9-Parâmetros!$C$9-Parâmetros!$D$9)&lt;=0,"INVALIDO",($D9+IF(ISNUMBER($E9),$E9,0)+IF(ISNUMBER(Parâmetros!$E$9),Parâmetros!$E$9,0))/(1-$H9-Parâmetros!$B$9-Parâmetros!$C$9-Parâmetros!$D$9)))</f>
        <v>142.714285714286</v>
      </c>
      <c r="J9" s="38"/>
      <c r="K9" s="39" t="n">
        <f aca="false">IF(OR($A9="",NOT(ISNUMBER($D9)),NOT(ISNUMBER($H9))),"",IF(AND(ISNUMBER($J9),$J9&gt;0),$J9,IF(ISNUMBER($I9),$I9,"")))</f>
        <v>142.714285714286</v>
      </c>
      <c r="L9" s="40" t="n">
        <f aca="false">IF(ISNUMBER($K9),$K9*$H9,"")</f>
        <v>25.6885714285714</v>
      </c>
      <c r="M9" s="40" t="n">
        <f aca="false">IF(ISNUMBER($K9),$K9*Parâmetros!$B$9,"")</f>
        <v>14.2714285714286</v>
      </c>
      <c r="N9" s="40" t="n">
        <f aca="false">IF(ISNUMBER($K9),$K9*Parâmetros!$C$9,"")</f>
        <v>4.28142857142857</v>
      </c>
      <c r="O9" s="40" t="n">
        <f aca="false">IF(ISNUMBER($K9),IF(ISNUMBER(Parâmetros!$E$9),Parâmetros!$E$9,0),"")</f>
        <v>0</v>
      </c>
      <c r="P9" s="41" t="n">
        <f aca="false">IF(ISNUMBER($K9),$K9-$D9-IF(ISNUMBER($E9),$E9,0)-$L9-$M9-$N9-$O9,"")</f>
        <v>28.5428571428571</v>
      </c>
      <c r="Q9" s="42" t="n">
        <f aca="false">IF(AND(ISNUMBER($K9),$K9&gt;0),$P9/$K9,"")</f>
        <v>0.2</v>
      </c>
      <c r="R9" s="43"/>
      <c r="S9" s="44" t="str">
        <f aca="false">IF(OR(NOT(ISNUMBER($R9)),$R9=0,NOT(ISNUMBER($K9))),"",$K9*(1-$R9))</f>
        <v/>
      </c>
      <c r="T9" s="45" t="str">
        <f aca="false">IF(ISNUMBER($S9),$S9*$H9,"")</f>
        <v/>
      </c>
      <c r="U9" s="45" t="str">
        <f aca="false">IF(ISNUMBER($S9),$S9*Parâmetros!$B$9,"")</f>
        <v/>
      </c>
      <c r="V9" s="45" t="str">
        <f aca="false">IF(ISNUMBER($S9),$S9*Parâmetros!$C$9,"")</f>
        <v/>
      </c>
      <c r="W9" s="44" t="str">
        <f aca="false">IF(ISNUMBER($S9),$S9-$D9-IF(ISNUMBER($E9),$E9,0)-$O9-$T9-$U9-$V9,"")</f>
        <v/>
      </c>
      <c r="X9" s="46" t="str">
        <f aca="false">IF(AND(ISNUMBER($S9),$S9&gt;0),$W9/$S9,"")</f>
        <v/>
      </c>
      <c r="Y9" s="49"/>
      <c r="Z9" s="21"/>
    </row>
    <row r="10" customFormat="false" ht="15.75" hidden="false" customHeight="true" outlineLevel="0" collapsed="false">
      <c r="A10" s="32" t="str">
        <f aca="false">IF(Produtos!$A10="","",Produtos!$A10)</f>
        <v>L2440</v>
      </c>
      <c r="B10" s="32" t="str">
        <f aca="false">IF(Produtos!$A10="","",Produtos!$B10)</f>
        <v>Lixeira Aço Inox s/Tampa 24x40 20L</v>
      </c>
      <c r="C10" s="32" t="str">
        <f aca="false">IF(Produtos!$A10="","",Produtos!$C10)</f>
        <v>Lixeiras em inox</v>
      </c>
      <c r="D10" s="33" t="n">
        <f aca="false">IF(Produtos!$A10="","",IF(Produtos!$D10="","",Produtos!$D10))</f>
        <v>85.92</v>
      </c>
      <c r="E10" s="11" t="n">
        <v>0</v>
      </c>
      <c r="F10" s="34" t="n">
        <f aca="false">IF($A10="","",IF($C10="","⚠ categoria",IFERROR(INDEX(Parâmetros!$G$13:$G$22,MATCH($C10,Parâmetros!$A$13:$A$22,0)),"⚠ categoria")))</f>
        <v>0.18</v>
      </c>
      <c r="G10" s="35"/>
      <c r="H10" s="36" t="n">
        <f aca="false">IF($A10="","",IF(ISNUMBER($G10),$G10,IF(ISNUMBER($F10),$F10,"")))</f>
        <v>0.18</v>
      </c>
      <c r="I10" s="37" t="n">
        <f aca="false">IF(OR($A10="",NOT(ISNUMBER($D10)),NOT(ISNUMBER($H10))),"",IF((1-$H10-Parâmetros!$B$9-Parâmetros!$C$9-Parâmetros!$D$9)&lt;=0,"INVALIDO",($D10+IF(ISNUMBER($E10),$E10,0)+IF(ISNUMBER(Parâmetros!$E$9),Parâmetros!$E$9,0))/(1-$H10-Parâmetros!$B$9-Parâmetros!$C$9-Parâmetros!$D$9)))</f>
        <v>175.34693877551</v>
      </c>
      <c r="J10" s="38"/>
      <c r="K10" s="39" t="n">
        <f aca="false">IF(OR($A10="",NOT(ISNUMBER($D10)),NOT(ISNUMBER($H10))),"",IF(AND(ISNUMBER($J10),$J10&gt;0),$J10,IF(ISNUMBER($I10),$I10,"")))</f>
        <v>175.34693877551</v>
      </c>
      <c r="L10" s="40" t="n">
        <f aca="false">IF(ISNUMBER($K10),$K10*$H10,"")</f>
        <v>31.5624489795918</v>
      </c>
      <c r="M10" s="40" t="n">
        <f aca="false">IF(ISNUMBER($K10),$K10*Parâmetros!$B$9,"")</f>
        <v>17.534693877551</v>
      </c>
      <c r="N10" s="40" t="n">
        <f aca="false">IF(ISNUMBER($K10),$K10*Parâmetros!$C$9,"")</f>
        <v>5.26040816326531</v>
      </c>
      <c r="O10" s="40" t="n">
        <f aca="false">IF(ISNUMBER($K10),IF(ISNUMBER(Parâmetros!$E$9),Parâmetros!$E$9,0),"")</f>
        <v>0</v>
      </c>
      <c r="P10" s="41" t="n">
        <f aca="false">IF(ISNUMBER($K10),$K10-$D10-IF(ISNUMBER($E10),$E10,0)-$L10-$M10-$N10-$O10,"")</f>
        <v>35.069387755102</v>
      </c>
      <c r="Q10" s="42" t="n">
        <f aca="false">IF(AND(ISNUMBER($K10),$K10&gt;0),$P10/$K10,"")</f>
        <v>0.2</v>
      </c>
      <c r="R10" s="43"/>
      <c r="S10" s="44" t="str">
        <f aca="false">IF(OR(NOT(ISNUMBER($R10)),$R10=0,NOT(ISNUMBER($K10))),"",$K10*(1-$R10))</f>
        <v/>
      </c>
      <c r="T10" s="45" t="str">
        <f aca="false">IF(ISNUMBER($S10),$S10*$H10,"")</f>
        <v/>
      </c>
      <c r="U10" s="45" t="str">
        <f aca="false">IF(ISNUMBER($S10),$S10*Parâmetros!$B$9,"")</f>
        <v/>
      </c>
      <c r="V10" s="45" t="str">
        <f aca="false">IF(ISNUMBER($S10),$S10*Parâmetros!$C$9,"")</f>
        <v/>
      </c>
      <c r="W10" s="44" t="str">
        <f aca="false">IF(ISNUMBER($S10),$S10-$D10-IF(ISNUMBER($E10),$E10,0)-$O10-$T10-$U10-$V10,"")</f>
        <v/>
      </c>
      <c r="X10" s="46" t="str">
        <f aca="false">IF(AND(ISNUMBER($S10),$S10&gt;0),$W10/$S10,"")</f>
        <v/>
      </c>
      <c r="Y10" s="47"/>
      <c r="Z10" s="19"/>
    </row>
    <row r="11" customFormat="false" ht="15.75" hidden="false" customHeight="true" outlineLevel="0" collapsed="false">
      <c r="A11" s="48" t="str">
        <f aca="false">IF(Produtos!$A11="","",Produtos!$A11)</f>
        <v>L2450</v>
      </c>
      <c r="B11" s="48" t="str">
        <f aca="false">IF(Produtos!$A11="","",Produtos!$B11)</f>
        <v>Lixeira Aço Inox s/Tampa 24x50 25L</v>
      </c>
      <c r="C11" s="48" t="str">
        <f aca="false">IF(Produtos!$A11="","",Produtos!$C11)</f>
        <v>Lixeiras em inox</v>
      </c>
      <c r="D11" s="33" t="n">
        <f aca="false">IF(Produtos!$A11="","",IF(Produtos!$D11="","",Produtos!$D11))</f>
        <v>116.34</v>
      </c>
      <c r="E11" s="11" t="n">
        <v>0</v>
      </c>
      <c r="F11" s="34" t="n">
        <f aca="false">IF($A11="","",IF($C11="","⚠ categoria",IFERROR(INDEX(Parâmetros!$G$13:$G$22,MATCH($C11,Parâmetros!$A$13:$A$22,0)),"⚠ categoria")))</f>
        <v>0.18</v>
      </c>
      <c r="G11" s="35"/>
      <c r="H11" s="36" t="n">
        <f aca="false">IF($A11="","",IF(ISNUMBER($G11),$G11,IF(ISNUMBER($F11),$F11,"")))</f>
        <v>0.18</v>
      </c>
      <c r="I11" s="37" t="n">
        <f aca="false">IF(OR($A11="",NOT(ISNUMBER($D11)),NOT(ISNUMBER($H11))),"",IF((1-$H11-Parâmetros!$B$9-Parâmetros!$C$9-Parâmetros!$D$9)&lt;=0,"INVALIDO",($D11+IF(ISNUMBER($E11),$E11,0)+IF(ISNUMBER(Parâmetros!$E$9),Parâmetros!$E$9,0))/(1-$H11-Parâmetros!$B$9-Parâmetros!$C$9-Parâmetros!$D$9)))</f>
        <v>237.428571428571</v>
      </c>
      <c r="J11" s="38"/>
      <c r="K11" s="39" t="n">
        <f aca="false">IF(OR($A11="",NOT(ISNUMBER($D11)),NOT(ISNUMBER($H11))),"",IF(AND(ISNUMBER($J11),$J11&gt;0),$J11,IF(ISNUMBER($I11),$I11,"")))</f>
        <v>237.428571428571</v>
      </c>
      <c r="L11" s="40" t="n">
        <f aca="false">IF(ISNUMBER($K11),$K11*$H11,"")</f>
        <v>42.7371428571429</v>
      </c>
      <c r="M11" s="40" t="n">
        <f aca="false">IF(ISNUMBER($K11),$K11*Parâmetros!$B$9,"")</f>
        <v>23.7428571428571</v>
      </c>
      <c r="N11" s="40" t="n">
        <f aca="false">IF(ISNUMBER($K11),$K11*Parâmetros!$C$9,"")</f>
        <v>7.12285714285714</v>
      </c>
      <c r="O11" s="40" t="n">
        <f aca="false">IF(ISNUMBER($K11),IF(ISNUMBER(Parâmetros!$E$9),Parâmetros!$E$9,0),"")</f>
        <v>0</v>
      </c>
      <c r="P11" s="41" t="n">
        <f aca="false">IF(ISNUMBER($K11),$K11-$D11-IF(ISNUMBER($E11),$E11,0)-$L11-$M11-$N11-$O11,"")</f>
        <v>47.4857142857143</v>
      </c>
      <c r="Q11" s="42" t="n">
        <f aca="false">IF(AND(ISNUMBER($K11),$K11&gt;0),$P11/$K11,"")</f>
        <v>0.2</v>
      </c>
      <c r="R11" s="43"/>
      <c r="S11" s="44" t="str">
        <f aca="false">IF(OR(NOT(ISNUMBER($R11)),$R11=0,NOT(ISNUMBER($K11))),"",$K11*(1-$R11))</f>
        <v/>
      </c>
      <c r="T11" s="45" t="str">
        <f aca="false">IF(ISNUMBER($S11),$S11*$H11,"")</f>
        <v/>
      </c>
      <c r="U11" s="45" t="str">
        <f aca="false">IF(ISNUMBER($S11),$S11*Parâmetros!$B$9,"")</f>
        <v/>
      </c>
      <c r="V11" s="45" t="str">
        <f aca="false">IF(ISNUMBER($S11),$S11*Parâmetros!$C$9,"")</f>
        <v/>
      </c>
      <c r="W11" s="44" t="str">
        <f aca="false">IF(ISNUMBER($S11),$S11-$D11-IF(ISNUMBER($E11),$E11,0)-$O11-$T11-$U11-$V11,"")</f>
        <v/>
      </c>
      <c r="X11" s="46" t="str">
        <f aca="false">IF(AND(ISNUMBER($S11),$S11&gt;0),$W11/$S11,"")</f>
        <v/>
      </c>
      <c r="Y11" s="49"/>
      <c r="Z11" s="21"/>
    </row>
    <row r="12" customFormat="false" ht="15.75" hidden="false" customHeight="true" outlineLevel="0" collapsed="false">
      <c r="A12" s="32" t="str">
        <f aca="false">IF(Produtos!$A12="","",Produtos!$A12)</f>
        <v>L2460</v>
      </c>
      <c r="B12" s="32" t="str">
        <f aca="false">IF(Produtos!$A12="","",Produtos!$B12)</f>
        <v>Lixeira Aço Inox s/Tampa 24x60 27L</v>
      </c>
      <c r="C12" s="32" t="str">
        <f aca="false">IF(Produtos!$A12="","",Produtos!$C12)</f>
        <v>Lixeiras em inox</v>
      </c>
      <c r="D12" s="33" t="n">
        <f aca="false">IF(Produtos!$A12="","",IF(Produtos!$D12="","",Produtos!$D12))</f>
        <v>117.84</v>
      </c>
      <c r="E12" s="11" t="n">
        <v>0</v>
      </c>
      <c r="F12" s="34" t="n">
        <f aca="false">IF($A12="","",IF($C12="","⚠ categoria",IFERROR(INDEX(Parâmetros!$G$13:$G$22,MATCH($C12,Parâmetros!$A$13:$A$22,0)),"⚠ categoria")))</f>
        <v>0.18</v>
      </c>
      <c r="G12" s="35"/>
      <c r="H12" s="36" t="n">
        <f aca="false">IF($A12="","",IF(ISNUMBER($G12),$G12,IF(ISNUMBER($F12),$F12,"")))</f>
        <v>0.18</v>
      </c>
      <c r="I12" s="37" t="n">
        <f aca="false">IF(OR($A12="",NOT(ISNUMBER($D12)),NOT(ISNUMBER($H12))),"",IF((1-$H12-Parâmetros!$B$9-Parâmetros!$C$9-Parâmetros!$D$9)&lt;=0,"INVALIDO",($D12+IF(ISNUMBER($E12),$E12,0)+IF(ISNUMBER(Parâmetros!$E$9),Parâmetros!$E$9,0))/(1-$H12-Parâmetros!$B$9-Parâmetros!$C$9-Parâmetros!$D$9)))</f>
        <v>240.489795918367</v>
      </c>
      <c r="J12" s="38"/>
      <c r="K12" s="39" t="n">
        <f aca="false">IF(OR($A12="",NOT(ISNUMBER($D12)),NOT(ISNUMBER($H12))),"",IF(AND(ISNUMBER($J12),$J12&gt;0),$J12,IF(ISNUMBER($I12),$I12,"")))</f>
        <v>240.489795918367</v>
      </c>
      <c r="L12" s="40" t="n">
        <f aca="false">IF(ISNUMBER($K12),$K12*$H12,"")</f>
        <v>43.2881632653061</v>
      </c>
      <c r="M12" s="40" t="n">
        <f aca="false">IF(ISNUMBER($K12),$K12*Parâmetros!$B$9,"")</f>
        <v>24.0489795918367</v>
      </c>
      <c r="N12" s="40" t="n">
        <f aca="false">IF(ISNUMBER($K12),$K12*Parâmetros!$C$9,"")</f>
        <v>7.21469387755102</v>
      </c>
      <c r="O12" s="40" t="n">
        <f aca="false">IF(ISNUMBER($K12),IF(ISNUMBER(Parâmetros!$E$9),Parâmetros!$E$9,0),"")</f>
        <v>0</v>
      </c>
      <c r="P12" s="41" t="n">
        <f aca="false">IF(ISNUMBER($K12),$K12-$D12-IF(ISNUMBER($E12),$E12,0)-$L12-$M12-$N12-$O12,"")</f>
        <v>48.0979591836735</v>
      </c>
      <c r="Q12" s="42" t="n">
        <f aca="false">IF(AND(ISNUMBER($K12),$K12&gt;0),$P12/$K12,"")</f>
        <v>0.2</v>
      </c>
      <c r="R12" s="43"/>
      <c r="S12" s="44" t="str">
        <f aca="false">IF(OR(NOT(ISNUMBER($R12)),$R12=0,NOT(ISNUMBER($K12))),"",$K12*(1-$R12))</f>
        <v/>
      </c>
      <c r="T12" s="45" t="str">
        <f aca="false">IF(ISNUMBER($S12),$S12*$H12,"")</f>
        <v/>
      </c>
      <c r="U12" s="45" t="str">
        <f aca="false">IF(ISNUMBER($S12),$S12*Parâmetros!$B$9,"")</f>
        <v/>
      </c>
      <c r="V12" s="45" t="str">
        <f aca="false">IF(ISNUMBER($S12),$S12*Parâmetros!$C$9,"")</f>
        <v/>
      </c>
      <c r="W12" s="44" t="str">
        <f aca="false">IF(ISNUMBER($S12),$S12-$D12-IF(ISNUMBER($E12),$E12,0)-$O12-$T12-$U12-$V12,"")</f>
        <v/>
      </c>
      <c r="X12" s="46" t="str">
        <f aca="false">IF(AND(ISNUMBER($S12),$S12&gt;0),$W12/$S12,"")</f>
        <v/>
      </c>
      <c r="Y12" s="47"/>
      <c r="Z12" s="19"/>
    </row>
    <row r="13" customFormat="false" ht="15.75" hidden="false" customHeight="true" outlineLevel="0" collapsed="false">
      <c r="A13" s="48" t="str">
        <f aca="false">IF(Produtos!$A13="","",Produtos!$A13)</f>
        <v>L2470</v>
      </c>
      <c r="B13" s="48" t="str">
        <f aca="false">IF(Produtos!$A13="","",Produtos!$B13)</f>
        <v>Lixeira Aço Inox s/Tampa 24x70 30L</v>
      </c>
      <c r="C13" s="48" t="str">
        <f aca="false">IF(Produtos!$A13="","",Produtos!$C13)</f>
        <v>Lixeiras em inox</v>
      </c>
      <c r="D13" s="33" t="n">
        <f aca="false">IF(Produtos!$A13="","",IF(Produtos!$D13="","",Produtos!$D13))</f>
        <v>186.46</v>
      </c>
      <c r="E13" s="11" t="n">
        <v>0</v>
      </c>
      <c r="F13" s="34" t="n">
        <f aca="false">IF($A13="","",IF($C13="","⚠ categoria",IFERROR(INDEX(Parâmetros!$G$13:$G$22,MATCH($C13,Parâmetros!$A$13:$A$22,0)),"⚠ categoria")))</f>
        <v>0.18</v>
      </c>
      <c r="G13" s="35"/>
      <c r="H13" s="36" t="n">
        <f aca="false">IF($A13="","",IF(ISNUMBER($G13),$G13,IF(ISNUMBER($F13),$F13,"")))</f>
        <v>0.18</v>
      </c>
      <c r="I13" s="37" t="n">
        <f aca="false">IF(OR($A13="",NOT(ISNUMBER($D13)),NOT(ISNUMBER($H13))),"",IF((1-$H13-Parâmetros!$B$9-Parâmetros!$C$9-Parâmetros!$D$9)&lt;=0,"INVALIDO",($D13+IF(ISNUMBER($E13),$E13,0)+IF(ISNUMBER(Parâmetros!$E$9),Parâmetros!$E$9,0))/(1-$H13-Parâmetros!$B$9-Parâmetros!$C$9-Parâmetros!$D$9)))</f>
        <v>380.530612244898</v>
      </c>
      <c r="J13" s="38"/>
      <c r="K13" s="39" t="n">
        <f aca="false">IF(OR($A13="",NOT(ISNUMBER($D13)),NOT(ISNUMBER($H13))),"",IF(AND(ISNUMBER($J13),$J13&gt;0),$J13,IF(ISNUMBER($I13),$I13,"")))</f>
        <v>380.530612244898</v>
      </c>
      <c r="L13" s="40" t="n">
        <f aca="false">IF(ISNUMBER($K13),$K13*$H13,"")</f>
        <v>68.4955102040816</v>
      </c>
      <c r="M13" s="40" t="n">
        <f aca="false">IF(ISNUMBER($K13),$K13*Parâmetros!$B$9,"")</f>
        <v>38.0530612244898</v>
      </c>
      <c r="N13" s="40" t="n">
        <f aca="false">IF(ISNUMBER($K13),$K13*Parâmetros!$C$9,"")</f>
        <v>11.4159183673469</v>
      </c>
      <c r="O13" s="40" t="n">
        <f aca="false">IF(ISNUMBER($K13),IF(ISNUMBER(Parâmetros!$E$9),Parâmetros!$E$9,0),"")</f>
        <v>0</v>
      </c>
      <c r="P13" s="41" t="n">
        <f aca="false">IF(ISNUMBER($K13),$K13-$D13-IF(ISNUMBER($E13),$E13,0)-$L13-$M13-$N13-$O13,"")</f>
        <v>76.1061224489796</v>
      </c>
      <c r="Q13" s="42" t="n">
        <f aca="false">IF(AND(ISNUMBER($K13),$K13&gt;0),$P13/$K13,"")</f>
        <v>0.2</v>
      </c>
      <c r="R13" s="43"/>
      <c r="S13" s="44" t="str">
        <f aca="false">IF(OR(NOT(ISNUMBER($R13)),$R13=0,NOT(ISNUMBER($K13))),"",$K13*(1-$R13))</f>
        <v/>
      </c>
      <c r="T13" s="45" t="str">
        <f aca="false">IF(ISNUMBER($S13),$S13*$H13,"")</f>
        <v/>
      </c>
      <c r="U13" s="45" t="str">
        <f aca="false">IF(ISNUMBER($S13),$S13*Parâmetros!$B$9,"")</f>
        <v/>
      </c>
      <c r="V13" s="45" t="str">
        <f aca="false">IF(ISNUMBER($S13),$S13*Parâmetros!$C$9,"")</f>
        <v/>
      </c>
      <c r="W13" s="44" t="str">
        <f aca="false">IF(ISNUMBER($S13),$S13-$D13-IF(ISNUMBER($E13),$E13,0)-$O13-$T13-$U13-$V13,"")</f>
        <v/>
      </c>
      <c r="X13" s="46" t="str">
        <f aca="false">IF(AND(ISNUMBER($S13),$S13&gt;0),$W13/$S13,"")</f>
        <v/>
      </c>
      <c r="Y13" s="49"/>
      <c r="Z13" s="21"/>
    </row>
    <row r="14" customFormat="false" ht="15.75" hidden="false" customHeight="true" outlineLevel="0" collapsed="false">
      <c r="A14" s="32" t="str">
        <f aca="false">IF(Produtos!$A14="","",Produtos!$A14)</f>
        <v>L3040</v>
      </c>
      <c r="B14" s="32" t="str">
        <f aca="false">IF(Produtos!$A14="","",Produtos!$B14)</f>
        <v>Lixeira Aço Inox s/Tampa 30x40 30L</v>
      </c>
      <c r="C14" s="32" t="str">
        <f aca="false">IF(Produtos!$A14="","",Produtos!$C14)</f>
        <v>Lixeiras em inox</v>
      </c>
      <c r="D14" s="33" t="n">
        <f aca="false">IF(Produtos!$A14="","",IF(Produtos!$D14="","",Produtos!$D14))</f>
        <v>116.77</v>
      </c>
      <c r="E14" s="11" t="n">
        <v>0</v>
      </c>
      <c r="F14" s="34" t="n">
        <f aca="false">IF($A14="","",IF($C14="","⚠ categoria",IFERROR(INDEX(Parâmetros!$G$13:$G$22,MATCH($C14,Parâmetros!$A$13:$A$22,0)),"⚠ categoria")))</f>
        <v>0.18</v>
      </c>
      <c r="G14" s="35"/>
      <c r="H14" s="36" t="n">
        <f aca="false">IF($A14="","",IF(ISNUMBER($G14),$G14,IF(ISNUMBER($F14),$F14,"")))</f>
        <v>0.18</v>
      </c>
      <c r="I14" s="37" t="n">
        <f aca="false">IF(OR($A14="",NOT(ISNUMBER($D14)),NOT(ISNUMBER($H14))),"",IF((1-$H14-Parâmetros!$B$9-Parâmetros!$C$9-Parâmetros!$D$9)&lt;=0,"INVALIDO",($D14+IF(ISNUMBER($E14),$E14,0)+IF(ISNUMBER(Parâmetros!$E$9),Parâmetros!$E$9,0))/(1-$H14-Parâmetros!$B$9-Parâmetros!$C$9-Parâmetros!$D$9)))</f>
        <v>238.30612244898</v>
      </c>
      <c r="J14" s="38"/>
      <c r="K14" s="39" t="n">
        <f aca="false">IF(OR($A14="",NOT(ISNUMBER($D14)),NOT(ISNUMBER($H14))),"",IF(AND(ISNUMBER($J14),$J14&gt;0),$J14,IF(ISNUMBER($I14),$I14,"")))</f>
        <v>238.30612244898</v>
      </c>
      <c r="L14" s="40" t="n">
        <f aca="false">IF(ISNUMBER($K14),$K14*$H14,"")</f>
        <v>42.8951020408163</v>
      </c>
      <c r="M14" s="40" t="n">
        <f aca="false">IF(ISNUMBER($K14),$K14*Parâmetros!$B$9,"")</f>
        <v>23.830612244898</v>
      </c>
      <c r="N14" s="40" t="n">
        <f aca="false">IF(ISNUMBER($K14),$K14*Parâmetros!$C$9,"")</f>
        <v>7.14918367346939</v>
      </c>
      <c r="O14" s="40" t="n">
        <f aca="false">IF(ISNUMBER($K14),IF(ISNUMBER(Parâmetros!$E$9),Parâmetros!$E$9,0),"")</f>
        <v>0</v>
      </c>
      <c r="P14" s="41" t="n">
        <f aca="false">IF(ISNUMBER($K14),$K14-$D14-IF(ISNUMBER($E14),$E14,0)-$L14-$M14-$N14-$O14,"")</f>
        <v>47.6612244897959</v>
      </c>
      <c r="Q14" s="42" t="n">
        <f aca="false">IF(AND(ISNUMBER($K14),$K14&gt;0),$P14/$K14,"")</f>
        <v>0.2</v>
      </c>
      <c r="R14" s="43"/>
      <c r="S14" s="44" t="str">
        <f aca="false">IF(OR(NOT(ISNUMBER($R14)),$R14=0,NOT(ISNUMBER($K14))),"",$K14*(1-$R14))</f>
        <v/>
      </c>
      <c r="T14" s="45" t="str">
        <f aca="false">IF(ISNUMBER($S14),$S14*$H14,"")</f>
        <v/>
      </c>
      <c r="U14" s="45" t="str">
        <f aca="false">IF(ISNUMBER($S14),$S14*Parâmetros!$B$9,"")</f>
        <v/>
      </c>
      <c r="V14" s="45" t="str">
        <f aca="false">IF(ISNUMBER($S14),$S14*Parâmetros!$C$9,"")</f>
        <v/>
      </c>
      <c r="W14" s="44" t="str">
        <f aca="false">IF(ISNUMBER($S14),$S14-$D14-IF(ISNUMBER($E14),$E14,0)-$O14-$T14-$U14-$V14,"")</f>
        <v/>
      </c>
      <c r="X14" s="46" t="str">
        <f aca="false">IF(AND(ISNUMBER($S14),$S14&gt;0),$W14/$S14,"")</f>
        <v/>
      </c>
      <c r="Y14" s="47"/>
      <c r="Z14" s="19"/>
    </row>
    <row r="15" customFormat="false" ht="15.75" hidden="false" customHeight="true" outlineLevel="0" collapsed="false">
      <c r="A15" s="48" t="str">
        <f aca="false">IF(Produtos!$A15="","",Produtos!$A15)</f>
        <v>L3050</v>
      </c>
      <c r="B15" s="48" t="str">
        <f aca="false">IF(Produtos!$A15="","",Produtos!$B15)</f>
        <v>Lixeira Aço Inox s/Tampa 30x50 35L</v>
      </c>
      <c r="C15" s="48" t="str">
        <f aca="false">IF(Produtos!$A15="","",Produtos!$C15)</f>
        <v>Lixeiras em inox</v>
      </c>
      <c r="D15" s="33" t="n">
        <f aca="false">IF(Produtos!$A15="","",IF(Produtos!$D15="","",Produtos!$D15))</f>
        <v>159.84</v>
      </c>
      <c r="E15" s="11" t="n">
        <v>0</v>
      </c>
      <c r="F15" s="34" t="n">
        <f aca="false">IF($A15="","",IF($C15="","⚠ categoria",IFERROR(INDEX(Parâmetros!$G$13:$G$22,MATCH($C15,Parâmetros!$A$13:$A$22,0)),"⚠ categoria")))</f>
        <v>0.18</v>
      </c>
      <c r="G15" s="35"/>
      <c r="H15" s="36" t="n">
        <f aca="false">IF($A15="","",IF(ISNUMBER($G15),$G15,IF(ISNUMBER($F15),$F15,"")))</f>
        <v>0.18</v>
      </c>
      <c r="I15" s="37" t="n">
        <f aca="false">IF(OR($A15="",NOT(ISNUMBER($D15)),NOT(ISNUMBER($H15))),"",IF((1-$H15-Parâmetros!$B$9-Parâmetros!$C$9-Parâmetros!$D$9)&lt;=0,"INVALIDO",($D15+IF(ISNUMBER($E15),$E15,0)+IF(ISNUMBER(Parâmetros!$E$9),Parâmetros!$E$9,0))/(1-$H15-Parâmetros!$B$9-Parâmetros!$C$9-Parâmetros!$D$9)))</f>
        <v>326.204081632653</v>
      </c>
      <c r="J15" s="38"/>
      <c r="K15" s="39" t="n">
        <f aca="false">IF(OR($A15="",NOT(ISNUMBER($D15)),NOT(ISNUMBER($H15))),"",IF(AND(ISNUMBER($J15),$J15&gt;0),$J15,IF(ISNUMBER($I15),$I15,"")))</f>
        <v>326.204081632653</v>
      </c>
      <c r="L15" s="40" t="n">
        <f aca="false">IF(ISNUMBER($K15),$K15*$H15,"")</f>
        <v>58.7167346938775</v>
      </c>
      <c r="M15" s="40" t="n">
        <f aca="false">IF(ISNUMBER($K15),$K15*Parâmetros!$B$9,"")</f>
        <v>32.6204081632653</v>
      </c>
      <c r="N15" s="40" t="n">
        <f aca="false">IF(ISNUMBER($K15),$K15*Parâmetros!$C$9,"")</f>
        <v>9.78612244897959</v>
      </c>
      <c r="O15" s="40" t="n">
        <f aca="false">IF(ISNUMBER($K15),IF(ISNUMBER(Parâmetros!$E$9),Parâmetros!$E$9,0),"")</f>
        <v>0</v>
      </c>
      <c r="P15" s="41" t="n">
        <f aca="false">IF(ISNUMBER($K15),$K15-$D15-IF(ISNUMBER($E15),$E15,0)-$L15-$M15-$N15-$O15,"")</f>
        <v>65.2408163265306</v>
      </c>
      <c r="Q15" s="42" t="n">
        <f aca="false">IF(AND(ISNUMBER($K15),$K15&gt;0),$P15/$K15,"")</f>
        <v>0.2</v>
      </c>
      <c r="R15" s="43"/>
      <c r="S15" s="44" t="str">
        <f aca="false">IF(OR(NOT(ISNUMBER($R15)),$R15=0,NOT(ISNUMBER($K15))),"",$K15*(1-$R15))</f>
        <v/>
      </c>
      <c r="T15" s="45" t="str">
        <f aca="false">IF(ISNUMBER($S15),$S15*$H15,"")</f>
        <v/>
      </c>
      <c r="U15" s="45" t="str">
        <f aca="false">IF(ISNUMBER($S15),$S15*Parâmetros!$B$9,"")</f>
        <v/>
      </c>
      <c r="V15" s="45" t="str">
        <f aca="false">IF(ISNUMBER($S15),$S15*Parâmetros!$C$9,"")</f>
        <v/>
      </c>
      <c r="W15" s="44" t="str">
        <f aca="false">IF(ISNUMBER($S15),$S15-$D15-IF(ISNUMBER($E15),$E15,0)-$O15-$T15-$U15-$V15,"")</f>
        <v/>
      </c>
      <c r="X15" s="46" t="str">
        <f aca="false">IF(AND(ISNUMBER($S15),$S15&gt;0),$W15/$S15,"")</f>
        <v/>
      </c>
      <c r="Y15" s="49"/>
      <c r="Z15" s="21"/>
    </row>
    <row r="16" customFormat="false" ht="15.75" hidden="false" customHeight="true" outlineLevel="0" collapsed="false">
      <c r="A16" s="32" t="str">
        <f aca="false">IF(Produtos!$A16="","",Produtos!$A16)</f>
        <v>L3060</v>
      </c>
      <c r="B16" s="32" t="str">
        <f aca="false">IF(Produtos!$A16="","",Produtos!$B16)</f>
        <v>Lixeira Aço Inox s/Tampa 30x60 40L</v>
      </c>
      <c r="C16" s="32" t="str">
        <f aca="false">IF(Produtos!$A16="","",Produtos!$C16)</f>
        <v>Lixeiras em inox</v>
      </c>
      <c r="D16" s="33" t="n">
        <f aca="false">IF(Produtos!$A16="","",IF(Produtos!$D16="","",Produtos!$D16))</f>
        <v>164.99</v>
      </c>
      <c r="E16" s="11" t="n">
        <v>0</v>
      </c>
      <c r="F16" s="34" t="n">
        <f aca="false">IF($A16="","",IF($C16="","⚠ categoria",IFERROR(INDEX(Parâmetros!$G$13:$G$22,MATCH($C16,Parâmetros!$A$13:$A$22,0)),"⚠ categoria")))</f>
        <v>0.18</v>
      </c>
      <c r="G16" s="35"/>
      <c r="H16" s="36" t="n">
        <f aca="false">IF($A16="","",IF(ISNUMBER($G16),$G16,IF(ISNUMBER($F16),$F16,"")))</f>
        <v>0.18</v>
      </c>
      <c r="I16" s="37" t="n">
        <f aca="false">IF(OR($A16="",NOT(ISNUMBER($D16)),NOT(ISNUMBER($H16))),"",IF((1-$H16-Parâmetros!$B$9-Parâmetros!$C$9-Parâmetros!$D$9)&lt;=0,"INVALIDO",($D16+IF(ISNUMBER($E16),$E16,0)+IF(ISNUMBER(Parâmetros!$E$9),Parâmetros!$E$9,0))/(1-$H16-Parâmetros!$B$9-Parâmetros!$C$9-Parâmetros!$D$9)))</f>
        <v>336.714285714286</v>
      </c>
      <c r="J16" s="38"/>
      <c r="K16" s="39" t="n">
        <f aca="false">IF(OR($A16="",NOT(ISNUMBER($D16)),NOT(ISNUMBER($H16))),"",IF(AND(ISNUMBER($J16),$J16&gt;0),$J16,IF(ISNUMBER($I16),$I16,"")))</f>
        <v>336.714285714286</v>
      </c>
      <c r="L16" s="40" t="n">
        <f aca="false">IF(ISNUMBER($K16),$K16*$H16,"")</f>
        <v>60.6085714285714</v>
      </c>
      <c r="M16" s="40" t="n">
        <f aca="false">IF(ISNUMBER($K16),$K16*Parâmetros!$B$9,"")</f>
        <v>33.6714285714286</v>
      </c>
      <c r="N16" s="40" t="n">
        <f aca="false">IF(ISNUMBER($K16),$K16*Parâmetros!$C$9,"")</f>
        <v>10.1014285714286</v>
      </c>
      <c r="O16" s="40" t="n">
        <f aca="false">IF(ISNUMBER($K16),IF(ISNUMBER(Parâmetros!$E$9),Parâmetros!$E$9,0),"")</f>
        <v>0</v>
      </c>
      <c r="P16" s="41" t="n">
        <f aca="false">IF(ISNUMBER($K16),$K16-$D16-IF(ISNUMBER($E16),$E16,0)-$L16-$M16-$N16-$O16,"")</f>
        <v>67.3428571428571</v>
      </c>
      <c r="Q16" s="42" t="n">
        <f aca="false">IF(AND(ISNUMBER($K16),$K16&gt;0),$P16/$K16,"")</f>
        <v>0.2</v>
      </c>
      <c r="R16" s="43"/>
      <c r="S16" s="44" t="str">
        <f aca="false">IF(OR(NOT(ISNUMBER($R16)),$R16=0,NOT(ISNUMBER($K16))),"",$K16*(1-$R16))</f>
        <v/>
      </c>
      <c r="T16" s="45" t="str">
        <f aca="false">IF(ISNUMBER($S16),$S16*$H16,"")</f>
        <v/>
      </c>
      <c r="U16" s="45" t="str">
        <f aca="false">IF(ISNUMBER($S16),$S16*Parâmetros!$B$9,"")</f>
        <v/>
      </c>
      <c r="V16" s="45" t="str">
        <f aca="false">IF(ISNUMBER($S16),$S16*Parâmetros!$C$9,"")</f>
        <v/>
      </c>
      <c r="W16" s="44" t="str">
        <f aca="false">IF(ISNUMBER($S16),$S16-$D16-IF(ISNUMBER($E16),$E16,0)-$O16-$T16-$U16-$V16,"")</f>
        <v/>
      </c>
      <c r="X16" s="46" t="str">
        <f aca="false">IF(AND(ISNUMBER($S16),$S16&gt;0),$W16/$S16,"")</f>
        <v/>
      </c>
      <c r="Y16" s="47"/>
      <c r="Z16" s="19"/>
    </row>
    <row r="17" customFormat="false" ht="15.75" hidden="false" customHeight="true" outlineLevel="0" collapsed="false">
      <c r="A17" s="48" t="str">
        <f aca="false">IF(Produtos!$A17="","",Produtos!$A17)</f>
        <v>L3070</v>
      </c>
      <c r="B17" s="48" t="str">
        <f aca="false">IF(Produtos!$A17="","",Produtos!$B17)</f>
        <v>Lixeira Aço Inox s/Tampa 30x70 50L</v>
      </c>
      <c r="C17" s="48" t="str">
        <f aca="false">IF(Produtos!$A17="","",Produtos!$C17)</f>
        <v>Lixeiras em inox</v>
      </c>
      <c r="D17" s="33" t="n">
        <f aca="false">IF(Produtos!$A17="","",IF(Produtos!$D17="","",Produtos!$D17))</f>
        <v>210.17</v>
      </c>
      <c r="E17" s="11" t="n">
        <v>0</v>
      </c>
      <c r="F17" s="34" t="n">
        <f aca="false">IF($A17="","",IF($C17="","⚠ categoria",IFERROR(INDEX(Parâmetros!$G$13:$G$22,MATCH($C17,Parâmetros!$A$13:$A$22,0)),"⚠ categoria")))</f>
        <v>0.18</v>
      </c>
      <c r="G17" s="35"/>
      <c r="H17" s="36" t="n">
        <f aca="false">IF($A17="","",IF(ISNUMBER($G17),$G17,IF(ISNUMBER($F17),$F17,"")))</f>
        <v>0.18</v>
      </c>
      <c r="I17" s="37" t="n">
        <f aca="false">IF(OR($A17="",NOT(ISNUMBER($D17)),NOT(ISNUMBER($H17))),"",IF((1-$H17-Parâmetros!$B$9-Parâmetros!$C$9-Parâmetros!$D$9)&lt;=0,"INVALIDO",($D17+IF(ISNUMBER($E17),$E17,0)+IF(ISNUMBER(Parâmetros!$E$9),Parâmetros!$E$9,0))/(1-$H17-Parâmetros!$B$9-Parâmetros!$C$9-Parâmetros!$D$9)))</f>
        <v>428.918367346939</v>
      </c>
      <c r="J17" s="38"/>
      <c r="K17" s="39" t="n">
        <f aca="false">IF(OR($A17="",NOT(ISNUMBER($D17)),NOT(ISNUMBER($H17))),"",IF(AND(ISNUMBER($J17),$J17&gt;0),$J17,IF(ISNUMBER($I17),$I17,"")))</f>
        <v>428.918367346939</v>
      </c>
      <c r="L17" s="40" t="n">
        <f aca="false">IF(ISNUMBER($K17),$K17*$H17,"")</f>
        <v>77.205306122449</v>
      </c>
      <c r="M17" s="40" t="n">
        <f aca="false">IF(ISNUMBER($K17),$K17*Parâmetros!$B$9,"")</f>
        <v>42.8918367346939</v>
      </c>
      <c r="N17" s="40" t="n">
        <f aca="false">IF(ISNUMBER($K17),$K17*Parâmetros!$C$9,"")</f>
        <v>12.8675510204082</v>
      </c>
      <c r="O17" s="40" t="n">
        <f aca="false">IF(ISNUMBER($K17),IF(ISNUMBER(Parâmetros!$E$9),Parâmetros!$E$9,0),"")</f>
        <v>0</v>
      </c>
      <c r="P17" s="41" t="n">
        <f aca="false">IF(ISNUMBER($K17),$K17-$D17-IF(ISNUMBER($E17),$E17,0)-$L17-$M17-$N17-$O17,"")</f>
        <v>85.7836734693878</v>
      </c>
      <c r="Q17" s="42" t="n">
        <f aca="false">IF(AND(ISNUMBER($K17),$K17&gt;0),$P17/$K17,"")</f>
        <v>0.2</v>
      </c>
      <c r="R17" s="43"/>
      <c r="S17" s="44" t="str">
        <f aca="false">IF(OR(NOT(ISNUMBER($R17)),$R17=0,NOT(ISNUMBER($K17))),"",$K17*(1-$R17))</f>
        <v/>
      </c>
      <c r="T17" s="45" t="str">
        <f aca="false">IF(ISNUMBER($S17),$S17*$H17,"")</f>
        <v/>
      </c>
      <c r="U17" s="45" t="str">
        <f aca="false">IF(ISNUMBER($S17),$S17*Parâmetros!$B$9,"")</f>
        <v/>
      </c>
      <c r="V17" s="45" t="str">
        <f aca="false">IF(ISNUMBER($S17),$S17*Parâmetros!$C$9,"")</f>
        <v/>
      </c>
      <c r="W17" s="44" t="str">
        <f aca="false">IF(ISNUMBER($S17),$S17-$D17-IF(ISNUMBER($E17),$E17,0)-$O17-$T17-$U17-$V17,"")</f>
        <v/>
      </c>
      <c r="X17" s="46" t="str">
        <f aca="false">IF(AND(ISNUMBER($S17),$S17&gt;0),$W17/$S17,"")</f>
        <v/>
      </c>
      <c r="Y17" s="49"/>
      <c r="Z17" s="21"/>
    </row>
    <row r="18" customFormat="false" ht="15.75" hidden="false" customHeight="true" outlineLevel="0" collapsed="false">
      <c r="A18" s="32" t="str">
        <f aca="false">IF(Produtos!$A18="","",Produtos!$A18)</f>
        <v>L3085</v>
      </c>
      <c r="B18" s="32" t="str">
        <f aca="false">IF(Produtos!$A18="","",Produtos!$B18)</f>
        <v>Lixeira Aço Inox s/Tampa 30x85 60L</v>
      </c>
      <c r="C18" s="32" t="str">
        <f aca="false">IF(Produtos!$A18="","",Produtos!$C18)</f>
        <v>Lixeiras em inox</v>
      </c>
      <c r="D18" s="33" t="n">
        <f aca="false">IF(Produtos!$A18="","",IF(Produtos!$D18="","",Produtos!$D18))</f>
        <v>266.36</v>
      </c>
      <c r="E18" s="11" t="n">
        <v>0</v>
      </c>
      <c r="F18" s="34" t="n">
        <f aca="false">IF($A18="","",IF($C18="","⚠ categoria",IFERROR(INDEX(Parâmetros!$G$13:$G$22,MATCH($C18,Parâmetros!$A$13:$A$22,0)),"⚠ categoria")))</f>
        <v>0.18</v>
      </c>
      <c r="G18" s="35"/>
      <c r="H18" s="36" t="n">
        <f aca="false">IF($A18="","",IF(ISNUMBER($G18),$G18,IF(ISNUMBER($F18),$F18,"")))</f>
        <v>0.18</v>
      </c>
      <c r="I18" s="37" t="n">
        <f aca="false">IF(OR($A18="",NOT(ISNUMBER($D18)),NOT(ISNUMBER($H18))),"",IF((1-$H18-Parâmetros!$B$9-Parâmetros!$C$9-Parâmetros!$D$9)&lt;=0,"INVALIDO",($D18+IF(ISNUMBER($E18),$E18,0)+IF(ISNUMBER(Parâmetros!$E$9),Parâmetros!$E$9,0))/(1-$H18-Parâmetros!$B$9-Parâmetros!$C$9-Parâmetros!$D$9)))</f>
        <v>543.591836734694</v>
      </c>
      <c r="J18" s="38"/>
      <c r="K18" s="39" t="n">
        <f aca="false">IF(OR($A18="",NOT(ISNUMBER($D18)),NOT(ISNUMBER($H18))),"",IF(AND(ISNUMBER($J18),$J18&gt;0),$J18,IF(ISNUMBER($I18),$I18,"")))</f>
        <v>543.591836734694</v>
      </c>
      <c r="L18" s="40" t="n">
        <f aca="false">IF(ISNUMBER($K18),$K18*$H18,"")</f>
        <v>97.8465306122449</v>
      </c>
      <c r="M18" s="40" t="n">
        <f aca="false">IF(ISNUMBER($K18),$K18*Parâmetros!$B$9,"")</f>
        <v>54.3591836734694</v>
      </c>
      <c r="N18" s="40" t="n">
        <f aca="false">IF(ISNUMBER($K18),$K18*Parâmetros!$C$9,"")</f>
        <v>16.3077551020408</v>
      </c>
      <c r="O18" s="40" t="n">
        <f aca="false">IF(ISNUMBER($K18),IF(ISNUMBER(Parâmetros!$E$9),Parâmetros!$E$9,0),"")</f>
        <v>0</v>
      </c>
      <c r="P18" s="41" t="n">
        <f aca="false">IF(ISNUMBER($K18),$K18-$D18-IF(ISNUMBER($E18),$E18,0)-$L18-$M18-$N18-$O18,"")</f>
        <v>108.718367346939</v>
      </c>
      <c r="Q18" s="42" t="n">
        <f aca="false">IF(AND(ISNUMBER($K18),$K18&gt;0),$P18/$K18,"")</f>
        <v>0.2</v>
      </c>
      <c r="R18" s="43"/>
      <c r="S18" s="44" t="str">
        <f aca="false">IF(OR(NOT(ISNUMBER($R18)),$R18=0,NOT(ISNUMBER($K18))),"",$K18*(1-$R18))</f>
        <v/>
      </c>
      <c r="T18" s="45" t="str">
        <f aca="false">IF(ISNUMBER($S18),$S18*$H18,"")</f>
        <v/>
      </c>
      <c r="U18" s="45" t="str">
        <f aca="false">IF(ISNUMBER($S18),$S18*Parâmetros!$B$9,"")</f>
        <v/>
      </c>
      <c r="V18" s="45" t="str">
        <f aca="false">IF(ISNUMBER($S18),$S18*Parâmetros!$C$9,"")</f>
        <v/>
      </c>
      <c r="W18" s="44" t="str">
        <f aca="false">IF(ISNUMBER($S18),$S18-$D18-IF(ISNUMBER($E18),$E18,0)-$O18-$T18-$U18-$V18,"")</f>
        <v/>
      </c>
      <c r="X18" s="46" t="str">
        <f aca="false">IF(AND(ISNUMBER($S18),$S18&gt;0),$W18/$S18,"")</f>
        <v/>
      </c>
      <c r="Y18" s="47"/>
      <c r="Z18" s="19"/>
    </row>
    <row r="19" customFormat="false" ht="15.75" hidden="false" customHeight="true" outlineLevel="0" collapsed="false">
      <c r="A19" s="48" t="str">
        <f aca="false">IF(Produtos!$A19="","",Produtos!$A19)</f>
        <v>L4050</v>
      </c>
      <c r="B19" s="48" t="str">
        <f aca="false">IF(Produtos!$A19="","",Produtos!$B19)</f>
        <v>Lixeira Aço Inox s/Tampa 40x50 62L</v>
      </c>
      <c r="C19" s="48" t="str">
        <f aca="false">IF(Produtos!$A19="","",Produtos!$C19)</f>
        <v>Lixeiras em inox</v>
      </c>
      <c r="D19" s="33" t="n">
        <f aca="false">IF(Produtos!$A19="","",IF(Produtos!$D19="","",Produtos!$D19))</f>
        <v>221.01</v>
      </c>
      <c r="E19" s="11" t="n">
        <v>0</v>
      </c>
      <c r="F19" s="34" t="n">
        <f aca="false">IF($A19="","",IF($C19="","⚠ categoria",IFERROR(INDEX(Parâmetros!$G$13:$G$22,MATCH($C19,Parâmetros!$A$13:$A$22,0)),"⚠ categoria")))</f>
        <v>0.18</v>
      </c>
      <c r="G19" s="35"/>
      <c r="H19" s="36" t="n">
        <f aca="false">IF($A19="","",IF(ISNUMBER($G19),$G19,IF(ISNUMBER($F19),$F19,"")))</f>
        <v>0.18</v>
      </c>
      <c r="I19" s="37" t="n">
        <f aca="false">IF(OR($A19="",NOT(ISNUMBER($D19)),NOT(ISNUMBER($H19))),"",IF((1-$H19-Parâmetros!$B$9-Parâmetros!$C$9-Parâmetros!$D$9)&lt;=0,"INVALIDO",($D19+IF(ISNUMBER($E19),$E19,0)+IF(ISNUMBER(Parâmetros!$E$9),Parâmetros!$E$9,0))/(1-$H19-Parâmetros!$B$9-Parâmetros!$C$9-Parâmetros!$D$9)))</f>
        <v>451.040816326531</v>
      </c>
      <c r="J19" s="38"/>
      <c r="K19" s="39" t="n">
        <f aca="false">IF(OR($A19="",NOT(ISNUMBER($D19)),NOT(ISNUMBER($H19))),"",IF(AND(ISNUMBER($J19),$J19&gt;0),$J19,IF(ISNUMBER($I19),$I19,"")))</f>
        <v>451.040816326531</v>
      </c>
      <c r="L19" s="40" t="n">
        <f aca="false">IF(ISNUMBER($K19),$K19*$H19,"")</f>
        <v>81.1873469387755</v>
      </c>
      <c r="M19" s="40" t="n">
        <f aca="false">IF(ISNUMBER($K19),$K19*Parâmetros!$B$9,"")</f>
        <v>45.1040816326531</v>
      </c>
      <c r="N19" s="40" t="n">
        <f aca="false">IF(ISNUMBER($K19),$K19*Parâmetros!$C$9,"")</f>
        <v>13.5312244897959</v>
      </c>
      <c r="O19" s="40" t="n">
        <f aca="false">IF(ISNUMBER($K19),IF(ISNUMBER(Parâmetros!$E$9),Parâmetros!$E$9,0),"")</f>
        <v>0</v>
      </c>
      <c r="P19" s="41" t="n">
        <f aca="false">IF(ISNUMBER($K19),$K19-$D19-IF(ISNUMBER($E19),$E19,0)-$L19-$M19-$N19-$O19,"")</f>
        <v>90.2081632653061</v>
      </c>
      <c r="Q19" s="42" t="n">
        <f aca="false">IF(AND(ISNUMBER($K19),$K19&gt;0),$P19/$K19,"")</f>
        <v>0.2</v>
      </c>
      <c r="R19" s="43"/>
      <c r="S19" s="44" t="str">
        <f aca="false">IF(OR(NOT(ISNUMBER($R19)),$R19=0,NOT(ISNUMBER($K19))),"",$K19*(1-$R19))</f>
        <v/>
      </c>
      <c r="T19" s="45" t="str">
        <f aca="false">IF(ISNUMBER($S19),$S19*$H19,"")</f>
        <v/>
      </c>
      <c r="U19" s="45" t="str">
        <f aca="false">IF(ISNUMBER($S19),$S19*Parâmetros!$B$9,"")</f>
        <v/>
      </c>
      <c r="V19" s="45" t="str">
        <f aca="false">IF(ISNUMBER($S19),$S19*Parâmetros!$C$9,"")</f>
        <v/>
      </c>
      <c r="W19" s="44" t="str">
        <f aca="false">IF(ISNUMBER($S19),$S19-$D19-IF(ISNUMBER($E19),$E19,0)-$O19-$T19-$U19-$V19,"")</f>
        <v/>
      </c>
      <c r="X19" s="46" t="str">
        <f aca="false">IF(AND(ISNUMBER($S19),$S19&gt;0),$W19/$S19,"")</f>
        <v/>
      </c>
      <c r="Y19" s="49"/>
      <c r="Z19" s="21"/>
    </row>
    <row r="20" customFormat="false" ht="15.75" hidden="false" customHeight="true" outlineLevel="0" collapsed="false">
      <c r="A20" s="32" t="str">
        <f aca="false">IF(Produtos!$A20="","",Produtos!$A20)</f>
        <v>L4060</v>
      </c>
      <c r="B20" s="32" t="str">
        <f aca="false">IF(Produtos!$A20="","",Produtos!$B20)</f>
        <v>Lixeira Aço Inox s/Tampa 40x60 75L</v>
      </c>
      <c r="C20" s="32" t="str">
        <f aca="false">IF(Produtos!$A20="","",Produtos!$C20)</f>
        <v>Lixeiras em inox</v>
      </c>
      <c r="D20" s="33" t="n">
        <f aca="false">IF(Produtos!$A20="","",IF(Produtos!$D20="","",Produtos!$D20))</f>
        <v>257.51</v>
      </c>
      <c r="E20" s="11" t="n">
        <v>0</v>
      </c>
      <c r="F20" s="34" t="n">
        <f aca="false">IF($A20="","",IF($C20="","⚠ categoria",IFERROR(INDEX(Parâmetros!$G$13:$G$22,MATCH($C20,Parâmetros!$A$13:$A$22,0)),"⚠ categoria")))</f>
        <v>0.18</v>
      </c>
      <c r="G20" s="35"/>
      <c r="H20" s="36" t="n">
        <f aca="false">IF($A20="","",IF(ISNUMBER($G20),$G20,IF(ISNUMBER($F20),$F20,"")))</f>
        <v>0.18</v>
      </c>
      <c r="I20" s="37" t="n">
        <f aca="false">IF(OR($A20="",NOT(ISNUMBER($D20)),NOT(ISNUMBER($H20))),"",IF((1-$H20-Parâmetros!$B$9-Parâmetros!$C$9-Parâmetros!$D$9)&lt;=0,"INVALIDO",($D20+IF(ISNUMBER($E20),$E20,0)+IF(ISNUMBER(Parâmetros!$E$9),Parâmetros!$E$9,0))/(1-$H20-Parâmetros!$B$9-Parâmetros!$C$9-Parâmetros!$D$9)))</f>
        <v>525.530612244898</v>
      </c>
      <c r="J20" s="38"/>
      <c r="K20" s="39" t="n">
        <f aca="false">IF(OR($A20="",NOT(ISNUMBER($D20)),NOT(ISNUMBER($H20))),"",IF(AND(ISNUMBER($J20),$J20&gt;0),$J20,IF(ISNUMBER($I20),$I20,"")))</f>
        <v>525.530612244898</v>
      </c>
      <c r="L20" s="40" t="n">
        <f aca="false">IF(ISNUMBER($K20),$K20*$H20,"")</f>
        <v>94.5955102040816</v>
      </c>
      <c r="M20" s="40" t="n">
        <f aca="false">IF(ISNUMBER($K20),$K20*Parâmetros!$B$9,"")</f>
        <v>52.5530612244898</v>
      </c>
      <c r="N20" s="40" t="n">
        <f aca="false">IF(ISNUMBER($K20),$K20*Parâmetros!$C$9,"")</f>
        <v>15.7659183673469</v>
      </c>
      <c r="O20" s="40" t="n">
        <f aca="false">IF(ISNUMBER($K20),IF(ISNUMBER(Parâmetros!$E$9),Parâmetros!$E$9,0),"")</f>
        <v>0</v>
      </c>
      <c r="P20" s="41" t="n">
        <f aca="false">IF(ISNUMBER($K20),$K20-$D20-IF(ISNUMBER($E20),$E20,0)-$L20-$M20-$N20-$O20,"")</f>
        <v>105.10612244898</v>
      </c>
      <c r="Q20" s="42" t="n">
        <f aca="false">IF(AND(ISNUMBER($K20),$K20&gt;0),$P20/$K20,"")</f>
        <v>0.2</v>
      </c>
      <c r="R20" s="43"/>
      <c r="S20" s="44" t="str">
        <f aca="false">IF(OR(NOT(ISNUMBER($R20)),$R20=0,NOT(ISNUMBER($K20))),"",$K20*(1-$R20))</f>
        <v/>
      </c>
      <c r="T20" s="45" t="str">
        <f aca="false">IF(ISNUMBER($S20),$S20*$H20,"")</f>
        <v/>
      </c>
      <c r="U20" s="45" t="str">
        <f aca="false">IF(ISNUMBER($S20),$S20*Parâmetros!$B$9,"")</f>
        <v/>
      </c>
      <c r="V20" s="45" t="str">
        <f aca="false">IF(ISNUMBER($S20),$S20*Parâmetros!$C$9,"")</f>
        <v/>
      </c>
      <c r="W20" s="44" t="str">
        <f aca="false">IF(ISNUMBER($S20),$S20-$D20-IF(ISNUMBER($E20),$E20,0)-$O20-$T20-$U20-$V20,"")</f>
        <v/>
      </c>
      <c r="X20" s="46" t="str">
        <f aca="false">IF(AND(ISNUMBER($S20),$S20&gt;0),$W20/$S20,"")</f>
        <v/>
      </c>
      <c r="Y20" s="47"/>
      <c r="Z20" s="19"/>
    </row>
    <row r="21" customFormat="false" ht="15.75" hidden="false" customHeight="true" outlineLevel="0" collapsed="false">
      <c r="A21" s="48" t="str">
        <f aca="false">IF(Produtos!$A21="","",Produtos!$A21)</f>
        <v>L4070</v>
      </c>
      <c r="B21" s="48" t="str">
        <f aca="false">IF(Produtos!$A21="","",Produtos!$B21)</f>
        <v>Lixeira Aço Inox s/Tampa 40x70 88L</v>
      </c>
      <c r="C21" s="48" t="str">
        <f aca="false">IF(Produtos!$A21="","",Produtos!$C21)</f>
        <v>Lixeiras em inox</v>
      </c>
      <c r="D21" s="33" t="n">
        <f aca="false">IF(Produtos!$A21="","",IF(Produtos!$D21="","",Produtos!$D21))</f>
        <v>262.59</v>
      </c>
      <c r="E21" s="11" t="n">
        <v>0</v>
      </c>
      <c r="F21" s="34" t="n">
        <f aca="false">IF($A21="","",IF($C21="","⚠ categoria",IFERROR(INDEX(Parâmetros!$G$13:$G$22,MATCH($C21,Parâmetros!$A$13:$A$22,0)),"⚠ categoria")))</f>
        <v>0.18</v>
      </c>
      <c r="G21" s="35"/>
      <c r="H21" s="36" t="n">
        <f aca="false">IF($A21="","",IF(ISNUMBER($G21),$G21,IF(ISNUMBER($F21),$F21,"")))</f>
        <v>0.18</v>
      </c>
      <c r="I21" s="37" t="n">
        <f aca="false">IF(OR($A21="",NOT(ISNUMBER($D21)),NOT(ISNUMBER($H21))),"",IF((1-$H21-Parâmetros!$B$9-Parâmetros!$C$9-Parâmetros!$D$9)&lt;=0,"INVALIDO",($D21+IF(ISNUMBER($E21),$E21,0)+IF(ISNUMBER(Parâmetros!$E$9),Parâmetros!$E$9,0))/(1-$H21-Parâmetros!$B$9-Parâmetros!$C$9-Parâmetros!$D$9)))</f>
        <v>535.897959183673</v>
      </c>
      <c r="J21" s="38"/>
      <c r="K21" s="39" t="n">
        <f aca="false">IF(OR($A21="",NOT(ISNUMBER($D21)),NOT(ISNUMBER($H21))),"",IF(AND(ISNUMBER($J21),$J21&gt;0),$J21,IF(ISNUMBER($I21),$I21,"")))</f>
        <v>535.897959183673</v>
      </c>
      <c r="L21" s="40" t="n">
        <f aca="false">IF(ISNUMBER($K21),$K21*$H21,"")</f>
        <v>96.4616326530612</v>
      </c>
      <c r="M21" s="40" t="n">
        <f aca="false">IF(ISNUMBER($K21),$K21*Parâmetros!$B$9,"")</f>
        <v>53.5897959183673</v>
      </c>
      <c r="N21" s="40" t="n">
        <f aca="false">IF(ISNUMBER($K21),$K21*Parâmetros!$C$9,"")</f>
        <v>16.0769387755102</v>
      </c>
      <c r="O21" s="40" t="n">
        <f aca="false">IF(ISNUMBER($K21),IF(ISNUMBER(Parâmetros!$E$9),Parâmetros!$E$9,0),"")</f>
        <v>0</v>
      </c>
      <c r="P21" s="41" t="n">
        <f aca="false">IF(ISNUMBER($K21),$K21-$D21-IF(ISNUMBER($E21),$E21,0)-$L21-$M21-$N21-$O21,"")</f>
        <v>107.179591836735</v>
      </c>
      <c r="Q21" s="42" t="n">
        <f aca="false">IF(AND(ISNUMBER($K21),$K21&gt;0),$P21/$K21,"")</f>
        <v>0.2</v>
      </c>
      <c r="R21" s="43"/>
      <c r="S21" s="44" t="str">
        <f aca="false">IF(OR(NOT(ISNUMBER($R21)),$R21=0,NOT(ISNUMBER($K21))),"",$K21*(1-$R21))</f>
        <v/>
      </c>
      <c r="T21" s="45" t="str">
        <f aca="false">IF(ISNUMBER($S21),$S21*$H21,"")</f>
        <v/>
      </c>
      <c r="U21" s="45" t="str">
        <f aca="false">IF(ISNUMBER($S21),$S21*Parâmetros!$B$9,"")</f>
        <v/>
      </c>
      <c r="V21" s="45" t="str">
        <f aca="false">IF(ISNUMBER($S21),$S21*Parâmetros!$C$9,"")</f>
        <v/>
      </c>
      <c r="W21" s="44" t="str">
        <f aca="false">IF(ISNUMBER($S21),$S21-$D21-IF(ISNUMBER($E21),$E21,0)-$O21-$T21-$U21-$V21,"")</f>
        <v/>
      </c>
      <c r="X21" s="46" t="str">
        <f aca="false">IF(AND(ISNUMBER($S21),$S21&gt;0),$W21/$S21,"")</f>
        <v/>
      </c>
      <c r="Y21" s="49"/>
      <c r="Z21" s="21"/>
    </row>
    <row r="22" customFormat="false" ht="15.75" hidden="false" customHeight="true" outlineLevel="0" collapsed="false">
      <c r="A22" s="32" t="str">
        <f aca="false">IF(Produtos!$A22="","",Produtos!$A22)</f>
        <v>L4075</v>
      </c>
      <c r="B22" s="32" t="str">
        <f aca="false">IF(Produtos!$A22="","",Produtos!$B22)</f>
        <v>Lixeira Aço Inox s/Tampa 40x75 95L</v>
      </c>
      <c r="C22" s="32" t="str">
        <f aca="false">IF(Produtos!$A22="","",Produtos!$C22)</f>
        <v>Lixeiras em inox</v>
      </c>
      <c r="D22" s="33" t="n">
        <f aca="false">IF(Produtos!$A22="","",IF(Produtos!$D22="","",Produtos!$D22))</f>
        <v>322.16</v>
      </c>
      <c r="E22" s="11" t="n">
        <v>0</v>
      </c>
      <c r="F22" s="34" t="n">
        <f aca="false">IF($A22="","",IF($C22="","⚠ categoria",IFERROR(INDEX(Parâmetros!$G$13:$G$22,MATCH($C22,Parâmetros!$A$13:$A$22,0)),"⚠ categoria")))</f>
        <v>0.18</v>
      </c>
      <c r="G22" s="35"/>
      <c r="H22" s="36" t="n">
        <f aca="false">IF($A22="","",IF(ISNUMBER($G22),$G22,IF(ISNUMBER($F22),$F22,"")))</f>
        <v>0.18</v>
      </c>
      <c r="I22" s="37" t="n">
        <f aca="false">IF(OR($A22="",NOT(ISNUMBER($D22)),NOT(ISNUMBER($H22))),"",IF((1-$H22-Parâmetros!$B$9-Parâmetros!$C$9-Parâmetros!$D$9)&lt;=0,"INVALIDO",($D22+IF(ISNUMBER($E22),$E22,0)+IF(ISNUMBER(Parâmetros!$E$9),Parâmetros!$E$9,0))/(1-$H22-Parâmetros!$B$9-Parâmetros!$C$9-Parâmetros!$D$9)))</f>
        <v>657.469387755102</v>
      </c>
      <c r="J22" s="38"/>
      <c r="K22" s="39" t="n">
        <f aca="false">IF(OR($A22="",NOT(ISNUMBER($D22)),NOT(ISNUMBER($H22))),"",IF(AND(ISNUMBER($J22),$J22&gt;0),$J22,IF(ISNUMBER($I22),$I22,"")))</f>
        <v>657.469387755102</v>
      </c>
      <c r="L22" s="40" t="n">
        <f aca="false">IF(ISNUMBER($K22),$K22*$H22,"")</f>
        <v>118.344489795918</v>
      </c>
      <c r="M22" s="40" t="n">
        <f aca="false">IF(ISNUMBER($K22),$K22*Parâmetros!$B$9,"")</f>
        <v>65.7469387755102</v>
      </c>
      <c r="N22" s="40" t="n">
        <f aca="false">IF(ISNUMBER($K22),$K22*Parâmetros!$C$9,"")</f>
        <v>19.7240816326531</v>
      </c>
      <c r="O22" s="40" t="n">
        <f aca="false">IF(ISNUMBER($K22),IF(ISNUMBER(Parâmetros!$E$9),Parâmetros!$E$9,0),"")</f>
        <v>0</v>
      </c>
      <c r="P22" s="41" t="n">
        <f aca="false">IF(ISNUMBER($K22),$K22-$D22-IF(ISNUMBER($E22),$E22,0)-$L22-$M22-$N22-$O22,"")</f>
        <v>131.49387755102</v>
      </c>
      <c r="Q22" s="42" t="n">
        <f aca="false">IF(AND(ISNUMBER($K22),$K22&gt;0),$P22/$K22,"")</f>
        <v>0.2</v>
      </c>
      <c r="R22" s="43"/>
      <c r="S22" s="44" t="str">
        <f aca="false">IF(OR(NOT(ISNUMBER($R22)),$R22=0,NOT(ISNUMBER($K22))),"",$K22*(1-$R22))</f>
        <v/>
      </c>
      <c r="T22" s="45" t="str">
        <f aca="false">IF(ISNUMBER($S22),$S22*$H22,"")</f>
        <v/>
      </c>
      <c r="U22" s="45" t="str">
        <f aca="false">IF(ISNUMBER($S22),$S22*Parâmetros!$B$9,"")</f>
        <v/>
      </c>
      <c r="V22" s="45" t="str">
        <f aca="false">IF(ISNUMBER($S22),$S22*Parâmetros!$C$9,"")</f>
        <v/>
      </c>
      <c r="W22" s="44" t="str">
        <f aca="false">IF(ISNUMBER($S22),$S22-$D22-IF(ISNUMBER($E22),$E22,0)-$O22-$T22-$U22-$V22,"")</f>
        <v/>
      </c>
      <c r="X22" s="46" t="str">
        <f aca="false">IF(AND(ISNUMBER($S22),$S22&gt;0),$W22/$S22,"")</f>
        <v/>
      </c>
      <c r="Y22" s="47"/>
      <c r="Z22" s="19"/>
    </row>
    <row r="23" customFormat="false" ht="15.75" hidden="false" customHeight="true" outlineLevel="0" collapsed="false">
      <c r="A23" s="48" t="str">
        <f aca="false">IF(Produtos!$A23="","",Produtos!$A23)</f>
        <v>L4080</v>
      </c>
      <c r="B23" s="48" t="str">
        <f aca="false">IF(Produtos!$A23="","",Produtos!$B23)</f>
        <v>Lixeira Aço Inox s/Tampa 40x80 100L</v>
      </c>
      <c r="C23" s="48" t="str">
        <f aca="false">IF(Produtos!$A23="","",Produtos!$C23)</f>
        <v>Lixeiras em inox</v>
      </c>
      <c r="D23" s="33" t="n">
        <f aca="false">IF(Produtos!$A23="","",IF(Produtos!$D23="","",Produtos!$D23))</f>
        <v>336.34</v>
      </c>
      <c r="E23" s="11" t="n">
        <v>0</v>
      </c>
      <c r="F23" s="34" t="n">
        <f aca="false">IF($A23="","",IF($C23="","⚠ categoria",IFERROR(INDEX(Parâmetros!$G$13:$G$22,MATCH($C23,Parâmetros!$A$13:$A$22,0)),"⚠ categoria")))</f>
        <v>0.18</v>
      </c>
      <c r="G23" s="35"/>
      <c r="H23" s="36" t="n">
        <f aca="false">IF($A23="","",IF(ISNUMBER($G23),$G23,IF(ISNUMBER($F23),$F23,"")))</f>
        <v>0.18</v>
      </c>
      <c r="I23" s="37" t="n">
        <f aca="false">IF(OR($A23="",NOT(ISNUMBER($D23)),NOT(ISNUMBER($H23))),"",IF((1-$H23-Parâmetros!$B$9-Parâmetros!$C$9-Parâmetros!$D$9)&lt;=0,"INVALIDO",($D23+IF(ISNUMBER($E23),$E23,0)+IF(ISNUMBER(Parâmetros!$E$9),Parâmetros!$E$9,0))/(1-$H23-Parâmetros!$B$9-Parâmetros!$C$9-Parâmetros!$D$9)))</f>
        <v>686.408163265306</v>
      </c>
      <c r="J23" s="38"/>
      <c r="K23" s="39" t="n">
        <f aca="false">IF(OR($A23="",NOT(ISNUMBER($D23)),NOT(ISNUMBER($H23))),"",IF(AND(ISNUMBER($J23),$J23&gt;0),$J23,IF(ISNUMBER($I23),$I23,"")))</f>
        <v>686.408163265306</v>
      </c>
      <c r="L23" s="40" t="n">
        <f aca="false">IF(ISNUMBER($K23),$K23*$H23,"")</f>
        <v>123.553469387755</v>
      </c>
      <c r="M23" s="40" t="n">
        <f aca="false">IF(ISNUMBER($K23),$K23*Parâmetros!$B$9,"")</f>
        <v>68.6408163265306</v>
      </c>
      <c r="N23" s="40" t="n">
        <f aca="false">IF(ISNUMBER($K23),$K23*Parâmetros!$C$9,"")</f>
        <v>20.5922448979592</v>
      </c>
      <c r="O23" s="40" t="n">
        <f aca="false">IF(ISNUMBER($K23),IF(ISNUMBER(Parâmetros!$E$9),Parâmetros!$E$9,0),"")</f>
        <v>0</v>
      </c>
      <c r="P23" s="41" t="n">
        <f aca="false">IF(ISNUMBER($K23),$K23-$D23-IF(ISNUMBER($E23),$E23,0)-$L23-$M23-$N23-$O23,"")</f>
        <v>137.281632653061</v>
      </c>
      <c r="Q23" s="42" t="n">
        <f aca="false">IF(AND(ISNUMBER($K23),$K23&gt;0),$P23/$K23,"")</f>
        <v>0.2</v>
      </c>
      <c r="R23" s="43"/>
      <c r="S23" s="44" t="str">
        <f aca="false">IF(OR(NOT(ISNUMBER($R23)),$R23=0,NOT(ISNUMBER($K23))),"",$K23*(1-$R23))</f>
        <v/>
      </c>
      <c r="T23" s="45" t="str">
        <f aca="false">IF(ISNUMBER($S23),$S23*$H23,"")</f>
        <v/>
      </c>
      <c r="U23" s="45" t="str">
        <f aca="false">IF(ISNUMBER($S23),$S23*Parâmetros!$B$9,"")</f>
        <v/>
      </c>
      <c r="V23" s="45" t="str">
        <f aca="false">IF(ISNUMBER($S23),$S23*Parâmetros!$C$9,"")</f>
        <v/>
      </c>
      <c r="W23" s="44" t="str">
        <f aca="false">IF(ISNUMBER($S23),$S23-$D23-IF(ISNUMBER($E23),$E23,0)-$O23-$T23-$U23-$V23,"")</f>
        <v/>
      </c>
      <c r="X23" s="46" t="str">
        <f aca="false">IF(AND(ISNUMBER($S23),$S23&gt;0),$W23/$S23,"")</f>
        <v/>
      </c>
      <c r="Y23" s="49"/>
      <c r="Z23" s="21"/>
    </row>
    <row r="24" customFormat="false" ht="15.75" hidden="false" customHeight="true" outlineLevel="0" collapsed="false">
      <c r="A24" s="32" t="str">
        <f aca="false">IF(Produtos!$A24="","",Produtos!$A24)</f>
        <v>L4090</v>
      </c>
      <c r="B24" s="32" t="str">
        <f aca="false">IF(Produtos!$A24="","",Produtos!$B24)</f>
        <v>Lixeira Aço Inox s/Tampa 40x90 120L</v>
      </c>
      <c r="C24" s="32" t="str">
        <f aca="false">IF(Produtos!$A24="","",Produtos!$C24)</f>
        <v>Lixeiras em inox</v>
      </c>
      <c r="D24" s="33" t="n">
        <f aca="false">IF(Produtos!$A24="","",IF(Produtos!$D24="","",Produtos!$D24))</f>
        <v>378.85</v>
      </c>
      <c r="E24" s="11" t="n">
        <v>0</v>
      </c>
      <c r="F24" s="34" t="n">
        <f aca="false">IF($A24="","",IF($C24="","⚠ categoria",IFERROR(INDEX(Parâmetros!$G$13:$G$22,MATCH($C24,Parâmetros!$A$13:$A$22,0)),"⚠ categoria")))</f>
        <v>0.18</v>
      </c>
      <c r="G24" s="35"/>
      <c r="H24" s="36" t="n">
        <f aca="false">IF($A24="","",IF(ISNUMBER($G24),$G24,IF(ISNUMBER($F24),$F24,"")))</f>
        <v>0.18</v>
      </c>
      <c r="I24" s="37" t="n">
        <f aca="false">IF(OR($A24="",NOT(ISNUMBER($D24)),NOT(ISNUMBER($H24))),"",IF((1-$H24-Parâmetros!$B$9-Parâmetros!$C$9-Parâmetros!$D$9)&lt;=0,"INVALIDO",($D24+IF(ISNUMBER($E24),$E24,0)+IF(ISNUMBER(Parâmetros!$E$9),Parâmetros!$E$9,0))/(1-$H24-Parâmetros!$B$9-Parâmetros!$C$9-Parâmetros!$D$9)))</f>
        <v>773.163265306122</v>
      </c>
      <c r="J24" s="38"/>
      <c r="K24" s="39" t="n">
        <f aca="false">IF(OR($A24="",NOT(ISNUMBER($D24)),NOT(ISNUMBER($H24))),"",IF(AND(ISNUMBER($J24),$J24&gt;0),$J24,IF(ISNUMBER($I24),$I24,"")))</f>
        <v>773.163265306122</v>
      </c>
      <c r="L24" s="40" t="n">
        <f aca="false">IF(ISNUMBER($K24),$K24*$H24,"")</f>
        <v>139.169387755102</v>
      </c>
      <c r="M24" s="40" t="n">
        <f aca="false">IF(ISNUMBER($K24),$K24*Parâmetros!$B$9,"")</f>
        <v>77.3163265306122</v>
      </c>
      <c r="N24" s="40" t="n">
        <f aca="false">IF(ISNUMBER($K24),$K24*Parâmetros!$C$9,"")</f>
        <v>23.1948979591837</v>
      </c>
      <c r="O24" s="40" t="n">
        <f aca="false">IF(ISNUMBER($K24),IF(ISNUMBER(Parâmetros!$E$9),Parâmetros!$E$9,0),"")</f>
        <v>0</v>
      </c>
      <c r="P24" s="41" t="n">
        <f aca="false">IF(ISNUMBER($K24),$K24-$D24-IF(ISNUMBER($E24),$E24,0)-$L24-$M24-$N24-$O24,"")</f>
        <v>154.632653061224</v>
      </c>
      <c r="Q24" s="42" t="n">
        <f aca="false">IF(AND(ISNUMBER($K24),$K24&gt;0),$P24/$K24,"")</f>
        <v>0.2</v>
      </c>
      <c r="R24" s="43"/>
      <c r="S24" s="44" t="str">
        <f aca="false">IF(OR(NOT(ISNUMBER($R24)),$R24=0,NOT(ISNUMBER($K24))),"",$K24*(1-$R24))</f>
        <v/>
      </c>
      <c r="T24" s="45" t="str">
        <f aca="false">IF(ISNUMBER($S24),$S24*$H24,"")</f>
        <v/>
      </c>
      <c r="U24" s="45" t="str">
        <f aca="false">IF(ISNUMBER($S24),$S24*Parâmetros!$B$9,"")</f>
        <v/>
      </c>
      <c r="V24" s="45" t="str">
        <f aca="false">IF(ISNUMBER($S24),$S24*Parâmetros!$C$9,"")</f>
        <v/>
      </c>
      <c r="W24" s="44" t="str">
        <f aca="false">IF(ISNUMBER($S24),$S24-$D24-IF(ISNUMBER($E24),$E24,0)-$O24-$T24-$U24-$V24,"")</f>
        <v/>
      </c>
      <c r="X24" s="46" t="str">
        <f aca="false">IF(AND(ISNUMBER($S24),$S24&gt;0),$W24/$S24,"")</f>
        <v/>
      </c>
      <c r="Y24" s="47"/>
      <c r="Z24" s="19"/>
    </row>
    <row r="25" customFormat="false" ht="15.75" hidden="false" customHeight="true" outlineLevel="0" collapsed="false">
      <c r="A25" s="48" t="str">
        <f aca="false">IF(Produtos!$A25="","",Produtos!$A25)</f>
        <v>L1618-A</v>
      </c>
      <c r="B25" s="48" t="str">
        <f aca="false">IF(Produtos!$A25="","",Produtos!$B25)</f>
        <v>Lixeira Aço Inox c/Aro 16x18 03L</v>
      </c>
      <c r="C25" s="48" t="str">
        <f aca="false">IF(Produtos!$A25="","",Produtos!$C25)</f>
        <v>Lixeiras em inox</v>
      </c>
      <c r="D25" s="33" t="n">
        <f aca="false">IF(Produtos!$A25="","",IF(Produtos!$D25="","",Produtos!$D25))</f>
        <v>48.18</v>
      </c>
      <c r="E25" s="11" t="n">
        <v>0</v>
      </c>
      <c r="F25" s="34" t="n">
        <f aca="false">IF($A25="","",IF($C25="","⚠ categoria",IFERROR(INDEX(Parâmetros!$G$13:$G$22,MATCH($C25,Parâmetros!$A$13:$A$22,0)),"⚠ categoria")))</f>
        <v>0.18</v>
      </c>
      <c r="G25" s="35"/>
      <c r="H25" s="36" t="n">
        <f aca="false">IF($A25="","",IF(ISNUMBER($G25),$G25,IF(ISNUMBER($F25),$F25,"")))</f>
        <v>0.18</v>
      </c>
      <c r="I25" s="37" t="n">
        <f aca="false">IF(OR($A25="",NOT(ISNUMBER($D25)),NOT(ISNUMBER($H25))),"",IF((1-$H25-Parâmetros!$B$9-Parâmetros!$C$9-Parâmetros!$D$9)&lt;=0,"INVALIDO",($D25+IF(ISNUMBER($E25),$E25,0)+IF(ISNUMBER(Parâmetros!$E$9),Parâmetros!$E$9,0))/(1-$H25-Parâmetros!$B$9-Parâmetros!$C$9-Parâmetros!$D$9)))</f>
        <v>98.3265306122449</v>
      </c>
      <c r="J25" s="38"/>
      <c r="K25" s="39" t="n">
        <f aca="false">IF(OR($A25="",NOT(ISNUMBER($D25)),NOT(ISNUMBER($H25))),"",IF(AND(ISNUMBER($J25),$J25&gt;0),$J25,IF(ISNUMBER($I25),$I25,"")))</f>
        <v>98.3265306122449</v>
      </c>
      <c r="L25" s="40" t="n">
        <f aca="false">IF(ISNUMBER($K25),$K25*$H25,"")</f>
        <v>17.6987755102041</v>
      </c>
      <c r="M25" s="40" t="n">
        <f aca="false">IF(ISNUMBER($K25),$K25*Parâmetros!$B$9,"")</f>
        <v>9.83265306122449</v>
      </c>
      <c r="N25" s="40" t="n">
        <f aca="false">IF(ISNUMBER($K25),$K25*Parâmetros!$C$9,"")</f>
        <v>2.94979591836735</v>
      </c>
      <c r="O25" s="40" t="n">
        <f aca="false">IF(ISNUMBER($K25),IF(ISNUMBER(Parâmetros!$E$9),Parâmetros!$E$9,0),"")</f>
        <v>0</v>
      </c>
      <c r="P25" s="41" t="n">
        <f aca="false">IF(ISNUMBER($K25),$K25-$D25-IF(ISNUMBER($E25),$E25,0)-$L25-$M25-$N25-$O25,"")</f>
        <v>19.665306122449</v>
      </c>
      <c r="Q25" s="42" t="n">
        <f aca="false">IF(AND(ISNUMBER($K25),$K25&gt;0),$P25/$K25,"")</f>
        <v>0.2</v>
      </c>
      <c r="R25" s="43"/>
      <c r="S25" s="44" t="str">
        <f aca="false">IF(OR(NOT(ISNUMBER($R25)),$R25=0,NOT(ISNUMBER($K25))),"",$K25*(1-$R25))</f>
        <v/>
      </c>
      <c r="T25" s="45" t="str">
        <f aca="false">IF(ISNUMBER($S25),$S25*$H25,"")</f>
        <v/>
      </c>
      <c r="U25" s="45" t="str">
        <f aca="false">IF(ISNUMBER($S25),$S25*Parâmetros!$B$9,"")</f>
        <v/>
      </c>
      <c r="V25" s="45" t="str">
        <f aca="false">IF(ISNUMBER($S25),$S25*Parâmetros!$C$9,"")</f>
        <v/>
      </c>
      <c r="W25" s="44" t="str">
        <f aca="false">IF(ISNUMBER($S25),$S25-$D25-IF(ISNUMBER($E25),$E25,0)-$O25-$T25-$U25-$V25,"")</f>
        <v/>
      </c>
      <c r="X25" s="46" t="str">
        <f aca="false">IF(AND(ISNUMBER($S25),$S25&gt;0),$W25/$S25,"")</f>
        <v/>
      </c>
      <c r="Y25" s="49"/>
      <c r="Z25" s="21"/>
    </row>
    <row r="26" customFormat="false" ht="15.75" hidden="false" customHeight="true" outlineLevel="0" collapsed="false">
      <c r="A26" s="32" t="str">
        <f aca="false">IF(Produtos!$A26="","",Produtos!$A26)</f>
        <v>L1623-A</v>
      </c>
      <c r="B26" s="32" t="str">
        <f aca="false">IF(Produtos!$A26="","",Produtos!$B26)</f>
        <v>Lixeira Aço Inox c/Aro 16x23 05L</v>
      </c>
      <c r="C26" s="32" t="str">
        <f aca="false">IF(Produtos!$A26="","",Produtos!$C26)</f>
        <v>Lixeiras em inox</v>
      </c>
      <c r="D26" s="33" t="n">
        <f aca="false">IF(Produtos!$A26="","",IF(Produtos!$D26="","",Produtos!$D26))</f>
        <v>55.75</v>
      </c>
      <c r="E26" s="11" t="n">
        <v>0</v>
      </c>
      <c r="F26" s="34" t="n">
        <f aca="false">IF($A26="","",IF($C26="","⚠ categoria",IFERROR(INDEX(Parâmetros!$G$13:$G$22,MATCH($C26,Parâmetros!$A$13:$A$22,0)),"⚠ categoria")))</f>
        <v>0.18</v>
      </c>
      <c r="G26" s="35"/>
      <c r="H26" s="36" t="n">
        <f aca="false">IF($A26="","",IF(ISNUMBER($G26),$G26,IF(ISNUMBER($F26),$F26,"")))</f>
        <v>0.18</v>
      </c>
      <c r="I26" s="37" t="n">
        <f aca="false">IF(OR($A26="",NOT(ISNUMBER($D26)),NOT(ISNUMBER($H26))),"",IF((1-$H26-Parâmetros!$B$9-Parâmetros!$C$9-Parâmetros!$D$9)&lt;=0,"INVALIDO",($D26+IF(ISNUMBER($E26),$E26,0)+IF(ISNUMBER(Parâmetros!$E$9),Parâmetros!$E$9,0))/(1-$H26-Parâmetros!$B$9-Parâmetros!$C$9-Parâmetros!$D$9)))</f>
        <v>113.775510204082</v>
      </c>
      <c r="J26" s="38"/>
      <c r="K26" s="39" t="n">
        <f aca="false">IF(OR($A26="",NOT(ISNUMBER($D26)),NOT(ISNUMBER($H26))),"",IF(AND(ISNUMBER($J26),$J26&gt;0),$J26,IF(ISNUMBER($I26),$I26,"")))</f>
        <v>113.775510204082</v>
      </c>
      <c r="L26" s="40" t="n">
        <f aca="false">IF(ISNUMBER($K26),$K26*$H26,"")</f>
        <v>20.4795918367347</v>
      </c>
      <c r="M26" s="40" t="n">
        <f aca="false">IF(ISNUMBER($K26),$K26*Parâmetros!$B$9,"")</f>
        <v>11.3775510204082</v>
      </c>
      <c r="N26" s="40" t="n">
        <f aca="false">IF(ISNUMBER($K26),$K26*Parâmetros!$C$9,"")</f>
        <v>3.41326530612245</v>
      </c>
      <c r="O26" s="40" t="n">
        <f aca="false">IF(ISNUMBER($K26),IF(ISNUMBER(Parâmetros!$E$9),Parâmetros!$E$9,0),"")</f>
        <v>0</v>
      </c>
      <c r="P26" s="41" t="n">
        <f aca="false">IF(ISNUMBER($K26),$K26-$D26-IF(ISNUMBER($E26),$E26,0)-$L26-$M26-$N26-$O26,"")</f>
        <v>22.7551020408163</v>
      </c>
      <c r="Q26" s="42" t="n">
        <f aca="false">IF(AND(ISNUMBER($K26),$K26&gt;0),$P26/$K26,"")</f>
        <v>0.2</v>
      </c>
      <c r="R26" s="43"/>
      <c r="S26" s="44" t="str">
        <f aca="false">IF(OR(NOT(ISNUMBER($R26)),$R26=0,NOT(ISNUMBER($K26))),"",$K26*(1-$R26))</f>
        <v/>
      </c>
      <c r="T26" s="45" t="str">
        <f aca="false">IF(ISNUMBER($S26),$S26*$H26,"")</f>
        <v/>
      </c>
      <c r="U26" s="45" t="str">
        <f aca="false">IF(ISNUMBER($S26),$S26*Parâmetros!$B$9,"")</f>
        <v/>
      </c>
      <c r="V26" s="45" t="str">
        <f aca="false">IF(ISNUMBER($S26),$S26*Parâmetros!$C$9,"")</f>
        <v/>
      </c>
      <c r="W26" s="44" t="str">
        <f aca="false">IF(ISNUMBER($S26),$S26-$D26-IF(ISNUMBER($E26),$E26,0)-$O26-$T26-$U26-$V26,"")</f>
        <v/>
      </c>
      <c r="X26" s="46" t="str">
        <f aca="false">IF(AND(ISNUMBER($S26),$S26&gt;0),$W26/$S26,"")</f>
        <v/>
      </c>
      <c r="Y26" s="47"/>
      <c r="Z26" s="19"/>
    </row>
    <row r="27" customFormat="false" ht="15.75" hidden="false" customHeight="true" outlineLevel="0" collapsed="false">
      <c r="A27" s="48" t="str">
        <f aca="false">IF(Produtos!$A27="","",Produtos!$A27)</f>
        <v>L2025-A</v>
      </c>
      <c r="B27" s="48" t="str">
        <f aca="false">IF(Produtos!$A27="","",Produtos!$B27)</f>
        <v>Lixeira Aço Inox c/Aro 20x25 07L</v>
      </c>
      <c r="C27" s="48" t="str">
        <f aca="false">IF(Produtos!$A27="","",Produtos!$C27)</f>
        <v>Lixeiras em inox</v>
      </c>
      <c r="D27" s="33" t="n">
        <f aca="false">IF(Produtos!$A27="","",IF(Produtos!$D27="","",Produtos!$D27))</f>
        <v>60.21</v>
      </c>
      <c r="E27" s="11" t="n">
        <v>0</v>
      </c>
      <c r="F27" s="34" t="n">
        <f aca="false">IF($A27="","",IF($C27="","⚠ categoria",IFERROR(INDEX(Parâmetros!$G$13:$G$22,MATCH($C27,Parâmetros!$A$13:$A$22,0)),"⚠ categoria")))</f>
        <v>0.18</v>
      </c>
      <c r="G27" s="35"/>
      <c r="H27" s="36" t="n">
        <f aca="false">IF($A27="","",IF(ISNUMBER($G27),$G27,IF(ISNUMBER($F27),$F27,"")))</f>
        <v>0.18</v>
      </c>
      <c r="I27" s="37" t="n">
        <f aca="false">IF(OR($A27="",NOT(ISNUMBER($D27)),NOT(ISNUMBER($H27))),"",IF((1-$H27-Parâmetros!$B$9-Parâmetros!$C$9-Parâmetros!$D$9)&lt;=0,"INVALIDO",($D27+IF(ISNUMBER($E27),$E27,0)+IF(ISNUMBER(Parâmetros!$E$9),Parâmetros!$E$9,0))/(1-$H27-Parâmetros!$B$9-Parâmetros!$C$9-Parâmetros!$D$9)))</f>
        <v>122.877551020408</v>
      </c>
      <c r="J27" s="38"/>
      <c r="K27" s="39" t="n">
        <f aca="false">IF(OR($A27="",NOT(ISNUMBER($D27)),NOT(ISNUMBER($H27))),"",IF(AND(ISNUMBER($J27),$J27&gt;0),$J27,IF(ISNUMBER($I27),$I27,"")))</f>
        <v>122.877551020408</v>
      </c>
      <c r="L27" s="40" t="n">
        <f aca="false">IF(ISNUMBER($K27),$K27*$H27,"")</f>
        <v>22.1179591836735</v>
      </c>
      <c r="M27" s="40" t="n">
        <f aca="false">IF(ISNUMBER($K27),$K27*Parâmetros!$B$9,"")</f>
        <v>12.2877551020408</v>
      </c>
      <c r="N27" s="40" t="n">
        <f aca="false">IF(ISNUMBER($K27),$K27*Parâmetros!$C$9,"")</f>
        <v>3.68632653061224</v>
      </c>
      <c r="O27" s="40" t="n">
        <f aca="false">IF(ISNUMBER($K27),IF(ISNUMBER(Parâmetros!$E$9),Parâmetros!$E$9,0),"")</f>
        <v>0</v>
      </c>
      <c r="P27" s="41" t="n">
        <f aca="false">IF(ISNUMBER($K27),$K27-$D27-IF(ISNUMBER($E27),$E27,0)-$L27-$M27-$N27-$O27,"")</f>
        <v>24.5755102040816</v>
      </c>
      <c r="Q27" s="42" t="n">
        <f aca="false">IF(AND(ISNUMBER($K27),$K27&gt;0),$P27/$K27,"")</f>
        <v>0.2</v>
      </c>
      <c r="R27" s="43"/>
      <c r="S27" s="44" t="str">
        <f aca="false">IF(OR(NOT(ISNUMBER($R27)),$R27=0,NOT(ISNUMBER($K27))),"",$K27*(1-$R27))</f>
        <v/>
      </c>
      <c r="T27" s="45" t="str">
        <f aca="false">IF(ISNUMBER($S27),$S27*$H27,"")</f>
        <v/>
      </c>
      <c r="U27" s="45" t="str">
        <f aca="false">IF(ISNUMBER($S27),$S27*Parâmetros!$B$9,"")</f>
        <v/>
      </c>
      <c r="V27" s="45" t="str">
        <f aca="false">IF(ISNUMBER($S27),$S27*Parâmetros!$C$9,"")</f>
        <v/>
      </c>
      <c r="W27" s="44" t="str">
        <f aca="false">IF(ISNUMBER($S27),$S27-$D27-IF(ISNUMBER($E27),$E27,0)-$O27-$T27-$U27-$V27,"")</f>
        <v/>
      </c>
      <c r="X27" s="46" t="str">
        <f aca="false">IF(AND(ISNUMBER($S27),$S27&gt;0),$W27/$S27,"")</f>
        <v/>
      </c>
      <c r="Y27" s="49"/>
      <c r="Z27" s="21"/>
    </row>
    <row r="28" customFormat="false" ht="15.75" hidden="false" customHeight="true" outlineLevel="0" collapsed="false">
      <c r="A28" s="32" t="str">
        <f aca="false">IF(Produtos!$A28="","",Produtos!$A28)</f>
        <v>L2030-A</v>
      </c>
      <c r="B28" s="32" t="str">
        <f aca="false">IF(Produtos!$A28="","",Produtos!$B28)</f>
        <v>Lixeira Aço Inox c/Aro 20x30 10L</v>
      </c>
      <c r="C28" s="32" t="str">
        <f aca="false">IF(Produtos!$A28="","",Produtos!$C28)</f>
        <v>Lixeiras em inox</v>
      </c>
      <c r="D28" s="33" t="n">
        <f aca="false">IF(Produtos!$A28="","",IF(Produtos!$D28="","",Produtos!$D28))</f>
        <v>68.57</v>
      </c>
      <c r="E28" s="11" t="n">
        <v>0</v>
      </c>
      <c r="F28" s="34" t="n">
        <f aca="false">IF($A28="","",IF($C28="","⚠ categoria",IFERROR(INDEX(Parâmetros!$G$13:$G$22,MATCH($C28,Parâmetros!$A$13:$A$22,0)),"⚠ categoria")))</f>
        <v>0.18</v>
      </c>
      <c r="G28" s="35"/>
      <c r="H28" s="36" t="n">
        <f aca="false">IF($A28="","",IF(ISNUMBER($G28),$G28,IF(ISNUMBER($F28),$F28,"")))</f>
        <v>0.18</v>
      </c>
      <c r="I28" s="37" t="n">
        <f aca="false">IF(OR($A28="",NOT(ISNUMBER($D28)),NOT(ISNUMBER($H28))),"",IF((1-$H28-Parâmetros!$B$9-Parâmetros!$C$9-Parâmetros!$D$9)&lt;=0,"INVALIDO",($D28+IF(ISNUMBER($E28),$E28,0)+IF(ISNUMBER(Parâmetros!$E$9),Parâmetros!$E$9,0))/(1-$H28-Parâmetros!$B$9-Parâmetros!$C$9-Parâmetros!$D$9)))</f>
        <v>139.938775510204</v>
      </c>
      <c r="J28" s="38"/>
      <c r="K28" s="39" t="n">
        <f aca="false">IF(OR($A28="",NOT(ISNUMBER($D28)),NOT(ISNUMBER($H28))),"",IF(AND(ISNUMBER($J28),$J28&gt;0),$J28,IF(ISNUMBER($I28),$I28,"")))</f>
        <v>139.938775510204</v>
      </c>
      <c r="L28" s="40" t="n">
        <f aca="false">IF(ISNUMBER($K28),$K28*$H28,"")</f>
        <v>25.1889795918367</v>
      </c>
      <c r="M28" s="40" t="n">
        <f aca="false">IF(ISNUMBER($K28),$K28*Parâmetros!$B$9,"")</f>
        <v>13.9938775510204</v>
      </c>
      <c r="N28" s="40" t="n">
        <f aca="false">IF(ISNUMBER($K28),$K28*Parâmetros!$C$9,"")</f>
        <v>4.19816326530612</v>
      </c>
      <c r="O28" s="40" t="n">
        <f aca="false">IF(ISNUMBER($K28),IF(ISNUMBER(Parâmetros!$E$9),Parâmetros!$E$9,0),"")</f>
        <v>0</v>
      </c>
      <c r="P28" s="41" t="n">
        <f aca="false">IF(ISNUMBER($K28),$K28-$D28-IF(ISNUMBER($E28),$E28,0)-$L28-$M28-$N28-$O28,"")</f>
        <v>27.9877551020408</v>
      </c>
      <c r="Q28" s="42" t="n">
        <f aca="false">IF(AND(ISNUMBER($K28),$K28&gt;0),$P28/$K28,"")</f>
        <v>0.2</v>
      </c>
      <c r="R28" s="43"/>
      <c r="S28" s="44" t="str">
        <f aca="false">IF(OR(NOT(ISNUMBER($R28)),$R28=0,NOT(ISNUMBER($K28))),"",$K28*(1-$R28))</f>
        <v/>
      </c>
      <c r="T28" s="45" t="str">
        <f aca="false">IF(ISNUMBER($S28),$S28*$H28,"")</f>
        <v/>
      </c>
      <c r="U28" s="45" t="str">
        <f aca="false">IF(ISNUMBER($S28),$S28*Parâmetros!$B$9,"")</f>
        <v/>
      </c>
      <c r="V28" s="45" t="str">
        <f aca="false">IF(ISNUMBER($S28),$S28*Parâmetros!$C$9,"")</f>
        <v/>
      </c>
      <c r="W28" s="44" t="str">
        <f aca="false">IF(ISNUMBER($S28),$S28-$D28-IF(ISNUMBER($E28),$E28,0)-$O28-$T28-$U28-$V28,"")</f>
        <v/>
      </c>
      <c r="X28" s="46" t="str">
        <f aca="false">IF(AND(ISNUMBER($S28),$S28&gt;0),$W28/$S28,"")</f>
        <v/>
      </c>
      <c r="Y28" s="47"/>
      <c r="Z28" s="19"/>
    </row>
    <row r="29" customFormat="false" ht="15.75" hidden="false" customHeight="true" outlineLevel="0" collapsed="false">
      <c r="A29" s="48" t="str">
        <f aca="false">IF(Produtos!$A29="","",Produtos!$A29)</f>
        <v>L2425-A</v>
      </c>
      <c r="B29" s="48" t="str">
        <f aca="false">IF(Produtos!$A29="","",Produtos!$B29)</f>
        <v>Lixeira Aço Inox c/Aro 24x25 13L</v>
      </c>
      <c r="C29" s="48" t="str">
        <f aca="false">IF(Produtos!$A29="","",Produtos!$C29)</f>
        <v>Lixeiras em inox</v>
      </c>
      <c r="D29" s="33" t="n">
        <f aca="false">IF(Produtos!$A29="","",IF(Produtos!$D29="","",Produtos!$D29))</f>
        <v>79.66</v>
      </c>
      <c r="E29" s="11" t="n">
        <v>0</v>
      </c>
      <c r="F29" s="34" t="n">
        <f aca="false">IF($A29="","",IF($C29="","⚠ categoria",IFERROR(INDEX(Parâmetros!$G$13:$G$22,MATCH($C29,Parâmetros!$A$13:$A$22,0)),"⚠ categoria")))</f>
        <v>0.18</v>
      </c>
      <c r="G29" s="35"/>
      <c r="H29" s="36" t="n">
        <f aca="false">IF($A29="","",IF(ISNUMBER($G29),$G29,IF(ISNUMBER($F29),$F29,"")))</f>
        <v>0.18</v>
      </c>
      <c r="I29" s="37" t="n">
        <f aca="false">IF(OR($A29="",NOT(ISNUMBER($D29)),NOT(ISNUMBER($H29))),"",IF((1-$H29-Parâmetros!$B$9-Parâmetros!$C$9-Parâmetros!$D$9)&lt;=0,"INVALIDO",($D29+IF(ISNUMBER($E29),$E29,0)+IF(ISNUMBER(Parâmetros!$E$9),Parâmetros!$E$9,0))/(1-$H29-Parâmetros!$B$9-Parâmetros!$C$9-Parâmetros!$D$9)))</f>
        <v>162.571428571429</v>
      </c>
      <c r="J29" s="38"/>
      <c r="K29" s="39" t="n">
        <f aca="false">IF(OR($A29="",NOT(ISNUMBER($D29)),NOT(ISNUMBER($H29))),"",IF(AND(ISNUMBER($J29),$J29&gt;0),$J29,IF(ISNUMBER($I29),$I29,"")))</f>
        <v>162.571428571429</v>
      </c>
      <c r="L29" s="40" t="n">
        <f aca="false">IF(ISNUMBER($K29),$K29*$H29,"")</f>
        <v>29.2628571428571</v>
      </c>
      <c r="M29" s="40" t="n">
        <f aca="false">IF(ISNUMBER($K29),$K29*Parâmetros!$B$9,"")</f>
        <v>16.2571428571429</v>
      </c>
      <c r="N29" s="40" t="n">
        <f aca="false">IF(ISNUMBER($K29),$K29*Parâmetros!$C$9,"")</f>
        <v>4.87714285714286</v>
      </c>
      <c r="O29" s="40" t="n">
        <f aca="false">IF(ISNUMBER($K29),IF(ISNUMBER(Parâmetros!$E$9),Parâmetros!$E$9,0),"")</f>
        <v>0</v>
      </c>
      <c r="P29" s="41" t="n">
        <f aca="false">IF(ISNUMBER($K29),$K29-$D29-IF(ISNUMBER($E29),$E29,0)-$L29-$M29-$N29-$O29,"")</f>
        <v>32.5142857142857</v>
      </c>
      <c r="Q29" s="42" t="n">
        <f aca="false">IF(AND(ISNUMBER($K29),$K29&gt;0),$P29/$K29,"")</f>
        <v>0.2</v>
      </c>
      <c r="R29" s="43"/>
      <c r="S29" s="44" t="str">
        <f aca="false">IF(OR(NOT(ISNUMBER($R29)),$R29=0,NOT(ISNUMBER($K29))),"",$K29*(1-$R29))</f>
        <v/>
      </c>
      <c r="T29" s="45" t="str">
        <f aca="false">IF(ISNUMBER($S29),$S29*$H29,"")</f>
        <v/>
      </c>
      <c r="U29" s="45" t="str">
        <f aca="false">IF(ISNUMBER($S29),$S29*Parâmetros!$B$9,"")</f>
        <v/>
      </c>
      <c r="V29" s="45" t="str">
        <f aca="false">IF(ISNUMBER($S29),$S29*Parâmetros!$C$9,"")</f>
        <v/>
      </c>
      <c r="W29" s="44" t="str">
        <f aca="false">IF(ISNUMBER($S29),$S29-$D29-IF(ISNUMBER($E29),$E29,0)-$O29-$T29-$U29-$V29,"")</f>
        <v/>
      </c>
      <c r="X29" s="46" t="str">
        <f aca="false">IF(AND(ISNUMBER($S29),$S29&gt;0),$W29/$S29,"")</f>
        <v/>
      </c>
      <c r="Y29" s="49"/>
      <c r="Z29" s="21"/>
    </row>
    <row r="30" customFormat="false" ht="15.75" hidden="false" customHeight="true" outlineLevel="0" collapsed="false">
      <c r="A30" s="32" t="str">
        <f aca="false">IF(Produtos!$A30="","",Produtos!$A30)</f>
        <v>L2430-A</v>
      </c>
      <c r="B30" s="32" t="str">
        <f aca="false">IF(Produtos!$A30="","",Produtos!$B30)</f>
        <v>Lixeira Aço Inox c/Aro 24x30 15L</v>
      </c>
      <c r="C30" s="32" t="str">
        <f aca="false">IF(Produtos!$A30="","",Produtos!$C30)</f>
        <v>Lixeiras em inox</v>
      </c>
      <c r="D30" s="33" t="n">
        <f aca="false">IF(Produtos!$A30="","",IF(Produtos!$D30="","",Produtos!$D30))</f>
        <v>91.16</v>
      </c>
      <c r="E30" s="11" t="n">
        <v>0</v>
      </c>
      <c r="F30" s="34" t="n">
        <f aca="false">IF($A30="","",IF($C30="","⚠ categoria",IFERROR(INDEX(Parâmetros!$G$13:$G$22,MATCH($C30,Parâmetros!$A$13:$A$22,0)),"⚠ categoria")))</f>
        <v>0.18</v>
      </c>
      <c r="G30" s="35"/>
      <c r="H30" s="36" t="n">
        <f aca="false">IF($A30="","",IF(ISNUMBER($G30),$G30,IF(ISNUMBER($F30),$F30,"")))</f>
        <v>0.18</v>
      </c>
      <c r="I30" s="37" t="n">
        <f aca="false">IF(OR($A30="",NOT(ISNUMBER($D30)),NOT(ISNUMBER($H30))),"",IF((1-$H30-Parâmetros!$B$9-Parâmetros!$C$9-Parâmetros!$D$9)&lt;=0,"INVALIDO",($D30+IF(ISNUMBER($E30),$E30,0)+IF(ISNUMBER(Parâmetros!$E$9),Parâmetros!$E$9,0))/(1-$H30-Parâmetros!$B$9-Parâmetros!$C$9-Parâmetros!$D$9)))</f>
        <v>186.040816326531</v>
      </c>
      <c r="J30" s="38"/>
      <c r="K30" s="39" t="n">
        <f aca="false">IF(OR($A30="",NOT(ISNUMBER($D30)),NOT(ISNUMBER($H30))),"",IF(AND(ISNUMBER($J30),$J30&gt;0),$J30,IF(ISNUMBER($I30),$I30,"")))</f>
        <v>186.040816326531</v>
      </c>
      <c r="L30" s="40" t="n">
        <f aca="false">IF(ISNUMBER($K30),$K30*$H30,"")</f>
        <v>33.4873469387755</v>
      </c>
      <c r="M30" s="40" t="n">
        <f aca="false">IF(ISNUMBER($K30),$K30*Parâmetros!$B$9,"")</f>
        <v>18.6040816326531</v>
      </c>
      <c r="N30" s="40" t="n">
        <f aca="false">IF(ISNUMBER($K30),$K30*Parâmetros!$C$9,"")</f>
        <v>5.58122448979592</v>
      </c>
      <c r="O30" s="40" t="n">
        <f aca="false">IF(ISNUMBER($K30),IF(ISNUMBER(Parâmetros!$E$9),Parâmetros!$E$9,0),"")</f>
        <v>0</v>
      </c>
      <c r="P30" s="41" t="n">
        <f aca="false">IF(ISNUMBER($K30),$K30-$D30-IF(ISNUMBER($E30),$E30,0)-$L30-$M30-$N30-$O30,"")</f>
        <v>37.2081632653061</v>
      </c>
      <c r="Q30" s="42" t="n">
        <f aca="false">IF(AND(ISNUMBER($K30),$K30&gt;0),$P30/$K30,"")</f>
        <v>0.2</v>
      </c>
      <c r="R30" s="43"/>
      <c r="S30" s="44" t="str">
        <f aca="false">IF(OR(NOT(ISNUMBER($R30)),$R30=0,NOT(ISNUMBER($K30))),"",$K30*(1-$R30))</f>
        <v/>
      </c>
      <c r="T30" s="45" t="str">
        <f aca="false">IF(ISNUMBER($S30),$S30*$H30,"")</f>
        <v/>
      </c>
      <c r="U30" s="45" t="str">
        <f aca="false">IF(ISNUMBER($S30),$S30*Parâmetros!$B$9,"")</f>
        <v/>
      </c>
      <c r="V30" s="45" t="str">
        <f aca="false">IF(ISNUMBER($S30),$S30*Parâmetros!$C$9,"")</f>
        <v/>
      </c>
      <c r="W30" s="44" t="str">
        <f aca="false">IF(ISNUMBER($S30),$S30-$D30-IF(ISNUMBER($E30),$E30,0)-$O30-$T30-$U30-$V30,"")</f>
        <v/>
      </c>
      <c r="X30" s="46" t="str">
        <f aca="false">IF(AND(ISNUMBER($S30),$S30&gt;0),$W30/$S30,"")</f>
        <v/>
      </c>
      <c r="Y30" s="47"/>
      <c r="Z30" s="19"/>
    </row>
    <row r="31" customFormat="false" ht="15.75" hidden="false" customHeight="true" outlineLevel="0" collapsed="false">
      <c r="A31" s="48" t="str">
        <f aca="false">IF(Produtos!$A31="","",Produtos!$A31)</f>
        <v>L2440-A</v>
      </c>
      <c r="B31" s="48" t="str">
        <f aca="false">IF(Produtos!$A31="","",Produtos!$B31)</f>
        <v>Lixeira Aço Inox c/Aro 24x40 20L</v>
      </c>
      <c r="C31" s="48" t="str">
        <f aca="false">IF(Produtos!$A31="","",Produtos!$C31)</f>
        <v>Lixeiras em inox</v>
      </c>
      <c r="D31" s="33" t="n">
        <f aca="false">IF(Produtos!$A31="","",IF(Produtos!$D31="","",Produtos!$D31))</f>
        <v>102.19</v>
      </c>
      <c r="E31" s="11" t="n">
        <v>0</v>
      </c>
      <c r="F31" s="34" t="n">
        <f aca="false">IF($A31="","",IF($C31="","⚠ categoria",IFERROR(INDEX(Parâmetros!$G$13:$G$22,MATCH($C31,Parâmetros!$A$13:$A$22,0)),"⚠ categoria")))</f>
        <v>0.18</v>
      </c>
      <c r="G31" s="35"/>
      <c r="H31" s="36" t="n">
        <f aca="false">IF($A31="","",IF(ISNUMBER($G31),$G31,IF(ISNUMBER($F31),$F31,"")))</f>
        <v>0.18</v>
      </c>
      <c r="I31" s="37" t="n">
        <f aca="false">IF(OR($A31="",NOT(ISNUMBER($D31)),NOT(ISNUMBER($H31))),"",IF((1-$H31-Parâmetros!$B$9-Parâmetros!$C$9-Parâmetros!$D$9)&lt;=0,"INVALIDO",($D31+IF(ISNUMBER($E31),$E31,0)+IF(ISNUMBER(Parâmetros!$E$9),Parâmetros!$E$9,0))/(1-$H31-Parâmetros!$B$9-Parâmetros!$C$9-Parâmetros!$D$9)))</f>
        <v>208.551020408163</v>
      </c>
      <c r="J31" s="38"/>
      <c r="K31" s="39" t="n">
        <f aca="false">IF(OR($A31="",NOT(ISNUMBER($D31)),NOT(ISNUMBER($H31))),"",IF(AND(ISNUMBER($J31),$J31&gt;0),$J31,IF(ISNUMBER($I31),$I31,"")))</f>
        <v>208.551020408163</v>
      </c>
      <c r="L31" s="40" t="n">
        <f aca="false">IF(ISNUMBER($K31),$K31*$H31,"")</f>
        <v>37.5391836734694</v>
      </c>
      <c r="M31" s="40" t="n">
        <f aca="false">IF(ISNUMBER($K31),$K31*Parâmetros!$B$9,"")</f>
        <v>20.8551020408163</v>
      </c>
      <c r="N31" s="40" t="n">
        <f aca="false">IF(ISNUMBER($K31),$K31*Parâmetros!$C$9,"")</f>
        <v>6.2565306122449</v>
      </c>
      <c r="O31" s="40" t="n">
        <f aca="false">IF(ISNUMBER($K31),IF(ISNUMBER(Parâmetros!$E$9),Parâmetros!$E$9,0),"")</f>
        <v>0</v>
      </c>
      <c r="P31" s="41" t="n">
        <f aca="false">IF(ISNUMBER($K31),$K31-$D31-IF(ISNUMBER($E31),$E31,0)-$L31-$M31-$N31-$O31,"")</f>
        <v>41.7102040816327</v>
      </c>
      <c r="Q31" s="42" t="n">
        <f aca="false">IF(AND(ISNUMBER($K31),$K31&gt;0),$P31/$K31,"")</f>
        <v>0.2</v>
      </c>
      <c r="R31" s="43"/>
      <c r="S31" s="44" t="str">
        <f aca="false">IF(OR(NOT(ISNUMBER($R31)),$R31=0,NOT(ISNUMBER($K31))),"",$K31*(1-$R31))</f>
        <v/>
      </c>
      <c r="T31" s="45" t="str">
        <f aca="false">IF(ISNUMBER($S31),$S31*$H31,"")</f>
        <v/>
      </c>
      <c r="U31" s="45" t="str">
        <f aca="false">IF(ISNUMBER($S31),$S31*Parâmetros!$B$9,"")</f>
        <v/>
      </c>
      <c r="V31" s="45" t="str">
        <f aca="false">IF(ISNUMBER($S31),$S31*Parâmetros!$C$9,"")</f>
        <v/>
      </c>
      <c r="W31" s="44" t="str">
        <f aca="false">IF(ISNUMBER($S31),$S31-$D31-IF(ISNUMBER($E31),$E31,0)-$O31-$T31-$U31-$V31,"")</f>
        <v/>
      </c>
      <c r="X31" s="46" t="str">
        <f aca="false">IF(AND(ISNUMBER($S31),$S31&gt;0),$W31/$S31,"")</f>
        <v/>
      </c>
      <c r="Y31" s="49"/>
      <c r="Z31" s="21"/>
    </row>
    <row r="32" customFormat="false" ht="15.75" hidden="false" customHeight="true" outlineLevel="0" collapsed="false">
      <c r="A32" s="32" t="str">
        <f aca="false">IF(Produtos!$A32="","",Produtos!$A32)</f>
        <v>L2450-A</v>
      </c>
      <c r="B32" s="32" t="str">
        <f aca="false">IF(Produtos!$A32="","",Produtos!$B32)</f>
        <v>Lixeira Aço Inox c/Aro 24x50 25L</v>
      </c>
      <c r="C32" s="32" t="str">
        <f aca="false">IF(Produtos!$A32="","",Produtos!$C32)</f>
        <v>Lixeiras em inox</v>
      </c>
      <c r="D32" s="33" t="n">
        <f aca="false">IF(Produtos!$A32="","",IF(Produtos!$D32="","",Produtos!$D32))</f>
        <v>132.03</v>
      </c>
      <c r="E32" s="11" t="n">
        <v>0</v>
      </c>
      <c r="F32" s="34" t="n">
        <f aca="false">IF($A32="","",IF($C32="","⚠ categoria",IFERROR(INDEX(Parâmetros!$G$13:$G$22,MATCH($C32,Parâmetros!$A$13:$A$22,0)),"⚠ categoria")))</f>
        <v>0.18</v>
      </c>
      <c r="G32" s="35"/>
      <c r="H32" s="36" t="n">
        <f aca="false">IF($A32="","",IF(ISNUMBER($G32),$G32,IF(ISNUMBER($F32),$F32,"")))</f>
        <v>0.18</v>
      </c>
      <c r="I32" s="37" t="n">
        <f aca="false">IF(OR($A32="",NOT(ISNUMBER($D32)),NOT(ISNUMBER($H32))),"",IF((1-$H32-Parâmetros!$B$9-Parâmetros!$C$9-Parâmetros!$D$9)&lt;=0,"INVALIDO",($D32+IF(ISNUMBER($E32),$E32,0)+IF(ISNUMBER(Parâmetros!$E$9),Parâmetros!$E$9,0))/(1-$H32-Parâmetros!$B$9-Parâmetros!$C$9-Parâmetros!$D$9)))</f>
        <v>269.448979591837</v>
      </c>
      <c r="J32" s="38"/>
      <c r="K32" s="39" t="n">
        <f aca="false">IF(OR($A32="",NOT(ISNUMBER($D32)),NOT(ISNUMBER($H32))),"",IF(AND(ISNUMBER($J32),$J32&gt;0),$J32,IF(ISNUMBER($I32),$I32,"")))</f>
        <v>269.448979591837</v>
      </c>
      <c r="L32" s="40" t="n">
        <f aca="false">IF(ISNUMBER($K32),$K32*$H32,"")</f>
        <v>48.5008163265306</v>
      </c>
      <c r="M32" s="40" t="n">
        <f aca="false">IF(ISNUMBER($K32),$K32*Parâmetros!$B$9,"")</f>
        <v>26.9448979591837</v>
      </c>
      <c r="N32" s="40" t="n">
        <f aca="false">IF(ISNUMBER($K32),$K32*Parâmetros!$C$9,"")</f>
        <v>8.0834693877551</v>
      </c>
      <c r="O32" s="40" t="n">
        <f aca="false">IF(ISNUMBER($K32),IF(ISNUMBER(Parâmetros!$E$9),Parâmetros!$E$9,0),"")</f>
        <v>0</v>
      </c>
      <c r="P32" s="41" t="n">
        <f aca="false">IF(ISNUMBER($K32),$K32-$D32-IF(ISNUMBER($E32),$E32,0)-$L32-$M32-$N32-$O32,"")</f>
        <v>53.8897959183673</v>
      </c>
      <c r="Q32" s="42" t="n">
        <f aca="false">IF(AND(ISNUMBER($K32),$K32&gt;0),$P32/$K32,"")</f>
        <v>0.2</v>
      </c>
      <c r="R32" s="43"/>
      <c r="S32" s="44" t="str">
        <f aca="false">IF(OR(NOT(ISNUMBER($R32)),$R32=0,NOT(ISNUMBER($K32))),"",$K32*(1-$R32))</f>
        <v/>
      </c>
      <c r="T32" s="45" t="str">
        <f aca="false">IF(ISNUMBER($S32),$S32*$H32,"")</f>
        <v/>
      </c>
      <c r="U32" s="45" t="str">
        <f aca="false">IF(ISNUMBER($S32),$S32*Parâmetros!$B$9,"")</f>
        <v/>
      </c>
      <c r="V32" s="45" t="str">
        <f aca="false">IF(ISNUMBER($S32),$S32*Parâmetros!$C$9,"")</f>
        <v/>
      </c>
      <c r="W32" s="44" t="str">
        <f aca="false">IF(ISNUMBER($S32),$S32-$D32-IF(ISNUMBER($E32),$E32,0)-$O32-$T32-$U32-$V32,"")</f>
        <v/>
      </c>
      <c r="X32" s="46" t="str">
        <f aca="false">IF(AND(ISNUMBER($S32),$S32&gt;0),$W32/$S32,"")</f>
        <v/>
      </c>
      <c r="Y32" s="47"/>
      <c r="Z32" s="19"/>
    </row>
    <row r="33" customFormat="false" ht="15.75" hidden="false" customHeight="true" outlineLevel="0" collapsed="false">
      <c r="A33" s="48" t="str">
        <f aca="false">IF(Produtos!$A33="","",Produtos!$A33)</f>
        <v>L2460-A</v>
      </c>
      <c r="B33" s="48" t="str">
        <f aca="false">IF(Produtos!$A33="","",Produtos!$B33)</f>
        <v>Lixeira Aço Inox c/Aro 24x60 27L</v>
      </c>
      <c r="C33" s="48" t="str">
        <f aca="false">IF(Produtos!$A33="","",Produtos!$C33)</f>
        <v>Lixeiras em inox</v>
      </c>
      <c r="D33" s="33" t="n">
        <f aca="false">IF(Produtos!$A33="","",IF(Produtos!$D33="","",Produtos!$D33))</f>
        <v>136.09</v>
      </c>
      <c r="E33" s="11" t="n">
        <v>0</v>
      </c>
      <c r="F33" s="34" t="n">
        <f aca="false">IF($A33="","",IF($C33="","⚠ categoria",IFERROR(INDEX(Parâmetros!$G$13:$G$22,MATCH($C33,Parâmetros!$A$13:$A$22,0)),"⚠ categoria")))</f>
        <v>0.18</v>
      </c>
      <c r="G33" s="35"/>
      <c r="H33" s="36" t="n">
        <f aca="false">IF($A33="","",IF(ISNUMBER($G33),$G33,IF(ISNUMBER($F33),$F33,"")))</f>
        <v>0.18</v>
      </c>
      <c r="I33" s="37" t="n">
        <f aca="false">IF(OR($A33="",NOT(ISNUMBER($D33)),NOT(ISNUMBER($H33))),"",IF((1-$H33-Parâmetros!$B$9-Parâmetros!$C$9-Parâmetros!$D$9)&lt;=0,"INVALIDO",($D33+IF(ISNUMBER($E33),$E33,0)+IF(ISNUMBER(Parâmetros!$E$9),Parâmetros!$E$9,0))/(1-$H33-Parâmetros!$B$9-Parâmetros!$C$9-Parâmetros!$D$9)))</f>
        <v>277.734693877551</v>
      </c>
      <c r="J33" s="38"/>
      <c r="K33" s="39" t="n">
        <f aca="false">IF(OR($A33="",NOT(ISNUMBER($D33)),NOT(ISNUMBER($H33))),"",IF(AND(ISNUMBER($J33),$J33&gt;0),$J33,IF(ISNUMBER($I33),$I33,"")))</f>
        <v>277.734693877551</v>
      </c>
      <c r="L33" s="40" t="n">
        <f aca="false">IF(ISNUMBER($K33),$K33*$H33,"")</f>
        <v>49.9922448979592</v>
      </c>
      <c r="M33" s="40" t="n">
        <f aca="false">IF(ISNUMBER($K33),$K33*Parâmetros!$B$9,"")</f>
        <v>27.7734693877551</v>
      </c>
      <c r="N33" s="40" t="n">
        <f aca="false">IF(ISNUMBER($K33),$K33*Parâmetros!$C$9,"")</f>
        <v>8.33204081632653</v>
      </c>
      <c r="O33" s="40" t="n">
        <f aca="false">IF(ISNUMBER($K33),IF(ISNUMBER(Parâmetros!$E$9),Parâmetros!$E$9,0),"")</f>
        <v>0</v>
      </c>
      <c r="P33" s="41" t="n">
        <f aca="false">IF(ISNUMBER($K33),$K33-$D33-IF(ISNUMBER($E33),$E33,0)-$L33-$M33-$N33-$O33,"")</f>
        <v>55.5469387755102</v>
      </c>
      <c r="Q33" s="42" t="n">
        <f aca="false">IF(AND(ISNUMBER($K33),$K33&gt;0),$P33/$K33,"")</f>
        <v>0.2</v>
      </c>
      <c r="R33" s="43"/>
      <c r="S33" s="44" t="str">
        <f aca="false">IF(OR(NOT(ISNUMBER($R33)),$R33=0,NOT(ISNUMBER($K33))),"",$K33*(1-$R33))</f>
        <v/>
      </c>
      <c r="T33" s="45" t="str">
        <f aca="false">IF(ISNUMBER($S33),$S33*$H33,"")</f>
        <v/>
      </c>
      <c r="U33" s="45" t="str">
        <f aca="false">IF(ISNUMBER($S33),$S33*Parâmetros!$B$9,"")</f>
        <v/>
      </c>
      <c r="V33" s="45" t="str">
        <f aca="false">IF(ISNUMBER($S33),$S33*Parâmetros!$C$9,"")</f>
        <v/>
      </c>
      <c r="W33" s="44" t="str">
        <f aca="false">IF(ISNUMBER($S33),$S33-$D33-IF(ISNUMBER($E33),$E33,0)-$O33-$T33-$U33-$V33,"")</f>
        <v/>
      </c>
      <c r="X33" s="46" t="str">
        <f aca="false">IF(AND(ISNUMBER($S33),$S33&gt;0),$W33/$S33,"")</f>
        <v/>
      </c>
      <c r="Y33" s="49"/>
      <c r="Z33" s="21"/>
    </row>
    <row r="34" customFormat="false" ht="15.75" hidden="false" customHeight="true" outlineLevel="0" collapsed="false">
      <c r="A34" s="32" t="str">
        <f aca="false">IF(Produtos!$A34="","",Produtos!$A34)</f>
        <v>L2470-A</v>
      </c>
      <c r="B34" s="32" t="str">
        <f aca="false">IF(Produtos!$A34="","",Produtos!$B34)</f>
        <v>Lixeira Aço Inox c/Aro 24x70 30L</v>
      </c>
      <c r="C34" s="32" t="str">
        <f aca="false">IF(Produtos!$A34="","",Produtos!$C34)</f>
        <v>Lixeiras em inox</v>
      </c>
      <c r="D34" s="33" t="n">
        <f aca="false">IF(Produtos!$A34="","",IF(Produtos!$D34="","",Produtos!$D34))</f>
        <v>203.27</v>
      </c>
      <c r="E34" s="11" t="n">
        <v>0</v>
      </c>
      <c r="F34" s="34" t="n">
        <f aca="false">IF($A34="","",IF($C34="","⚠ categoria",IFERROR(INDEX(Parâmetros!$G$13:$G$22,MATCH($C34,Parâmetros!$A$13:$A$22,0)),"⚠ categoria")))</f>
        <v>0.18</v>
      </c>
      <c r="G34" s="35"/>
      <c r="H34" s="36" t="n">
        <f aca="false">IF($A34="","",IF(ISNUMBER($G34),$G34,IF(ISNUMBER($F34),$F34,"")))</f>
        <v>0.18</v>
      </c>
      <c r="I34" s="37" t="n">
        <f aca="false">IF(OR($A34="",NOT(ISNUMBER($D34)),NOT(ISNUMBER($H34))),"",IF((1-$H34-Parâmetros!$B$9-Parâmetros!$C$9-Parâmetros!$D$9)&lt;=0,"INVALIDO",($D34+IF(ISNUMBER($E34),$E34,0)+IF(ISNUMBER(Parâmetros!$E$9),Parâmetros!$E$9,0))/(1-$H34-Parâmetros!$B$9-Parâmetros!$C$9-Parâmetros!$D$9)))</f>
        <v>414.836734693878</v>
      </c>
      <c r="J34" s="38"/>
      <c r="K34" s="39" t="n">
        <f aca="false">IF(OR($A34="",NOT(ISNUMBER($D34)),NOT(ISNUMBER($H34))),"",IF(AND(ISNUMBER($J34),$J34&gt;0),$J34,IF(ISNUMBER($I34),$I34,"")))</f>
        <v>414.836734693878</v>
      </c>
      <c r="L34" s="40" t="n">
        <f aca="false">IF(ISNUMBER($K34),$K34*$H34,"")</f>
        <v>74.670612244898</v>
      </c>
      <c r="M34" s="40" t="n">
        <f aca="false">IF(ISNUMBER($K34),$K34*Parâmetros!$B$9,"")</f>
        <v>41.4836734693878</v>
      </c>
      <c r="N34" s="40" t="n">
        <f aca="false">IF(ISNUMBER($K34),$K34*Parâmetros!$C$9,"")</f>
        <v>12.4451020408163</v>
      </c>
      <c r="O34" s="40" t="n">
        <f aca="false">IF(ISNUMBER($K34),IF(ISNUMBER(Parâmetros!$E$9),Parâmetros!$E$9,0),"")</f>
        <v>0</v>
      </c>
      <c r="P34" s="41" t="n">
        <f aca="false">IF(ISNUMBER($K34),$K34-$D34-IF(ISNUMBER($E34),$E34,0)-$L34-$M34-$N34-$O34,"")</f>
        <v>82.9673469387755</v>
      </c>
      <c r="Q34" s="42" t="n">
        <f aca="false">IF(AND(ISNUMBER($K34),$K34&gt;0),$P34/$K34,"")</f>
        <v>0.2</v>
      </c>
      <c r="R34" s="43"/>
      <c r="S34" s="44" t="str">
        <f aca="false">IF(OR(NOT(ISNUMBER($R34)),$R34=0,NOT(ISNUMBER($K34))),"",$K34*(1-$R34))</f>
        <v/>
      </c>
      <c r="T34" s="45" t="str">
        <f aca="false">IF(ISNUMBER($S34),$S34*$H34,"")</f>
        <v/>
      </c>
      <c r="U34" s="45" t="str">
        <f aca="false">IF(ISNUMBER($S34),$S34*Parâmetros!$B$9,"")</f>
        <v/>
      </c>
      <c r="V34" s="45" t="str">
        <f aca="false">IF(ISNUMBER($S34),$S34*Parâmetros!$C$9,"")</f>
        <v/>
      </c>
      <c r="W34" s="44" t="str">
        <f aca="false">IF(ISNUMBER($S34),$S34-$D34-IF(ISNUMBER($E34),$E34,0)-$O34-$T34-$U34-$V34,"")</f>
        <v/>
      </c>
      <c r="X34" s="46" t="str">
        <f aca="false">IF(AND(ISNUMBER($S34),$S34&gt;0),$W34/$S34,"")</f>
        <v/>
      </c>
      <c r="Y34" s="47"/>
      <c r="Z34" s="19"/>
    </row>
    <row r="35" customFormat="false" ht="15.75" hidden="false" customHeight="true" outlineLevel="0" collapsed="false">
      <c r="A35" s="48" t="str">
        <f aca="false">IF(Produtos!$A35="","",Produtos!$A35)</f>
        <v>L3040-A</v>
      </c>
      <c r="B35" s="48" t="str">
        <f aca="false">IF(Produtos!$A35="","",Produtos!$B35)</f>
        <v>Lixeira Aço Inox c/Aro 30x40 30L</v>
      </c>
      <c r="C35" s="48" t="str">
        <f aca="false">IF(Produtos!$A35="","",Produtos!$C35)</f>
        <v>Lixeiras em inox</v>
      </c>
      <c r="D35" s="33" t="n">
        <f aca="false">IF(Produtos!$A35="","",IF(Produtos!$D35="","",Produtos!$D35))</f>
        <v>151.33</v>
      </c>
      <c r="E35" s="11" t="n">
        <v>0</v>
      </c>
      <c r="F35" s="34" t="n">
        <f aca="false">IF($A35="","",IF($C35="","⚠ categoria",IFERROR(INDEX(Parâmetros!$G$13:$G$22,MATCH($C35,Parâmetros!$A$13:$A$22,0)),"⚠ categoria")))</f>
        <v>0.18</v>
      </c>
      <c r="G35" s="35"/>
      <c r="H35" s="36" t="n">
        <f aca="false">IF($A35="","",IF(ISNUMBER($G35),$G35,IF(ISNUMBER($F35),$F35,"")))</f>
        <v>0.18</v>
      </c>
      <c r="I35" s="37" t="n">
        <f aca="false">IF(OR($A35="",NOT(ISNUMBER($D35)),NOT(ISNUMBER($H35))),"",IF((1-$H35-Parâmetros!$B$9-Parâmetros!$C$9-Parâmetros!$D$9)&lt;=0,"INVALIDO",($D35+IF(ISNUMBER($E35),$E35,0)+IF(ISNUMBER(Parâmetros!$E$9),Parâmetros!$E$9,0))/(1-$H35-Parâmetros!$B$9-Parâmetros!$C$9-Parâmetros!$D$9)))</f>
        <v>308.836734693878</v>
      </c>
      <c r="J35" s="38"/>
      <c r="K35" s="39" t="n">
        <f aca="false">IF(OR($A35="",NOT(ISNUMBER($D35)),NOT(ISNUMBER($H35))),"",IF(AND(ISNUMBER($J35),$J35&gt;0),$J35,IF(ISNUMBER($I35),$I35,"")))</f>
        <v>308.836734693878</v>
      </c>
      <c r="L35" s="40" t="n">
        <f aca="false">IF(ISNUMBER($K35),$K35*$H35,"")</f>
        <v>55.590612244898</v>
      </c>
      <c r="M35" s="40" t="n">
        <f aca="false">IF(ISNUMBER($K35),$K35*Parâmetros!$B$9,"")</f>
        <v>30.8836734693878</v>
      </c>
      <c r="N35" s="40" t="n">
        <f aca="false">IF(ISNUMBER($K35),$K35*Parâmetros!$C$9,"")</f>
        <v>9.26510204081633</v>
      </c>
      <c r="O35" s="40" t="n">
        <f aca="false">IF(ISNUMBER($K35),IF(ISNUMBER(Parâmetros!$E$9),Parâmetros!$E$9,0),"")</f>
        <v>0</v>
      </c>
      <c r="P35" s="41" t="n">
        <f aca="false">IF(ISNUMBER($K35),$K35-$D35-IF(ISNUMBER($E35),$E35,0)-$L35-$M35-$N35-$O35,"")</f>
        <v>61.7673469387755</v>
      </c>
      <c r="Q35" s="42" t="n">
        <f aca="false">IF(AND(ISNUMBER($K35),$K35&gt;0),$P35/$K35,"")</f>
        <v>0.2</v>
      </c>
      <c r="R35" s="43"/>
      <c r="S35" s="44" t="str">
        <f aca="false">IF(OR(NOT(ISNUMBER($R35)),$R35=0,NOT(ISNUMBER($K35))),"",$K35*(1-$R35))</f>
        <v/>
      </c>
      <c r="T35" s="45" t="str">
        <f aca="false">IF(ISNUMBER($S35),$S35*$H35,"")</f>
        <v/>
      </c>
      <c r="U35" s="45" t="str">
        <f aca="false">IF(ISNUMBER($S35),$S35*Parâmetros!$B$9,"")</f>
        <v/>
      </c>
      <c r="V35" s="45" t="str">
        <f aca="false">IF(ISNUMBER($S35),$S35*Parâmetros!$C$9,"")</f>
        <v/>
      </c>
      <c r="W35" s="44" t="str">
        <f aca="false">IF(ISNUMBER($S35),$S35-$D35-IF(ISNUMBER($E35),$E35,0)-$O35-$T35-$U35-$V35,"")</f>
        <v/>
      </c>
      <c r="X35" s="46" t="str">
        <f aca="false">IF(AND(ISNUMBER($S35),$S35&gt;0),$W35/$S35,"")</f>
        <v/>
      </c>
      <c r="Y35" s="49"/>
      <c r="Z35" s="21"/>
    </row>
    <row r="36" customFormat="false" ht="15.75" hidden="false" customHeight="true" outlineLevel="0" collapsed="false">
      <c r="A36" s="32" t="str">
        <f aca="false">IF(Produtos!$A36="","",Produtos!$A36)</f>
        <v>L3050-A</v>
      </c>
      <c r="B36" s="32" t="str">
        <f aca="false">IF(Produtos!$A36="","",Produtos!$B36)</f>
        <v>Lixeira Aço Inox c/Aro 30x50 35L</v>
      </c>
      <c r="C36" s="32" t="str">
        <f aca="false">IF(Produtos!$A36="","",Produtos!$C36)</f>
        <v>Lixeiras em inox</v>
      </c>
      <c r="D36" s="33" t="n">
        <f aca="false">IF(Produtos!$A36="","",IF(Produtos!$D36="","",Produtos!$D36))</f>
        <v>189.66</v>
      </c>
      <c r="E36" s="11" t="n">
        <v>0</v>
      </c>
      <c r="F36" s="34" t="n">
        <f aca="false">IF($A36="","",IF($C36="","⚠ categoria",IFERROR(INDEX(Parâmetros!$G$13:$G$22,MATCH($C36,Parâmetros!$A$13:$A$22,0)),"⚠ categoria")))</f>
        <v>0.18</v>
      </c>
      <c r="G36" s="35"/>
      <c r="H36" s="36" t="n">
        <f aca="false">IF($A36="","",IF(ISNUMBER($G36),$G36,IF(ISNUMBER($F36),$F36,"")))</f>
        <v>0.18</v>
      </c>
      <c r="I36" s="37" t="n">
        <f aca="false">IF(OR($A36="",NOT(ISNUMBER($D36)),NOT(ISNUMBER($H36))),"",IF((1-$H36-Parâmetros!$B$9-Parâmetros!$C$9-Parâmetros!$D$9)&lt;=0,"INVALIDO",($D36+IF(ISNUMBER($E36),$E36,0)+IF(ISNUMBER(Parâmetros!$E$9),Parâmetros!$E$9,0))/(1-$H36-Parâmetros!$B$9-Parâmetros!$C$9-Parâmetros!$D$9)))</f>
        <v>387.061224489796</v>
      </c>
      <c r="J36" s="38"/>
      <c r="K36" s="39" t="n">
        <f aca="false">IF(OR($A36="",NOT(ISNUMBER($D36)),NOT(ISNUMBER($H36))),"",IF(AND(ISNUMBER($J36),$J36&gt;0),$J36,IF(ISNUMBER($I36),$I36,"")))</f>
        <v>387.061224489796</v>
      </c>
      <c r="L36" s="40" t="n">
        <f aca="false">IF(ISNUMBER($K36),$K36*$H36,"")</f>
        <v>69.6710204081632</v>
      </c>
      <c r="M36" s="40" t="n">
        <f aca="false">IF(ISNUMBER($K36),$K36*Parâmetros!$B$9,"")</f>
        <v>38.7061224489796</v>
      </c>
      <c r="N36" s="40" t="n">
        <f aca="false">IF(ISNUMBER($K36),$K36*Parâmetros!$C$9,"")</f>
        <v>11.6118367346939</v>
      </c>
      <c r="O36" s="40" t="n">
        <f aca="false">IF(ISNUMBER($K36),IF(ISNUMBER(Parâmetros!$E$9),Parâmetros!$E$9,0),"")</f>
        <v>0</v>
      </c>
      <c r="P36" s="41" t="n">
        <f aca="false">IF(ISNUMBER($K36),$K36-$D36-IF(ISNUMBER($E36),$E36,0)-$L36-$M36-$N36-$O36,"")</f>
        <v>77.4122448979591</v>
      </c>
      <c r="Q36" s="42" t="n">
        <f aca="false">IF(AND(ISNUMBER($K36),$K36&gt;0),$P36/$K36,"")</f>
        <v>0.2</v>
      </c>
      <c r="R36" s="43"/>
      <c r="S36" s="44" t="str">
        <f aca="false">IF(OR(NOT(ISNUMBER($R36)),$R36=0,NOT(ISNUMBER($K36))),"",$K36*(1-$R36))</f>
        <v/>
      </c>
      <c r="T36" s="45" t="str">
        <f aca="false">IF(ISNUMBER($S36),$S36*$H36,"")</f>
        <v/>
      </c>
      <c r="U36" s="45" t="str">
        <f aca="false">IF(ISNUMBER($S36),$S36*Parâmetros!$B$9,"")</f>
        <v/>
      </c>
      <c r="V36" s="45" t="str">
        <f aca="false">IF(ISNUMBER($S36),$S36*Parâmetros!$C$9,"")</f>
        <v/>
      </c>
      <c r="W36" s="44" t="str">
        <f aca="false">IF(ISNUMBER($S36),$S36-$D36-IF(ISNUMBER($E36),$E36,0)-$O36-$T36-$U36-$V36,"")</f>
        <v/>
      </c>
      <c r="X36" s="46" t="str">
        <f aca="false">IF(AND(ISNUMBER($S36),$S36&gt;0),$W36/$S36,"")</f>
        <v/>
      </c>
      <c r="Y36" s="47"/>
      <c r="Z36" s="19"/>
    </row>
    <row r="37" customFormat="false" ht="15.75" hidden="false" customHeight="true" outlineLevel="0" collapsed="false">
      <c r="A37" s="48" t="str">
        <f aca="false">IF(Produtos!$A37="","",Produtos!$A37)</f>
        <v>L3060-A</v>
      </c>
      <c r="B37" s="48" t="str">
        <f aca="false">IF(Produtos!$A37="","",Produtos!$B37)</f>
        <v>Lixeira Aço Inox c/Aro 30x60 40L</v>
      </c>
      <c r="C37" s="48" t="str">
        <f aca="false">IF(Produtos!$A37="","",Produtos!$C37)</f>
        <v>Lixeiras em inox</v>
      </c>
      <c r="D37" s="33" t="n">
        <f aca="false">IF(Produtos!$A37="","",IF(Produtos!$D37="","",Produtos!$D37))</f>
        <v>205.57</v>
      </c>
      <c r="E37" s="11" t="n">
        <v>0</v>
      </c>
      <c r="F37" s="34" t="n">
        <f aca="false">IF($A37="","",IF($C37="","⚠ categoria",IFERROR(INDEX(Parâmetros!$G$13:$G$22,MATCH($C37,Parâmetros!$A$13:$A$22,0)),"⚠ categoria")))</f>
        <v>0.18</v>
      </c>
      <c r="G37" s="35"/>
      <c r="H37" s="36" t="n">
        <f aca="false">IF($A37="","",IF(ISNUMBER($G37),$G37,IF(ISNUMBER($F37),$F37,"")))</f>
        <v>0.18</v>
      </c>
      <c r="I37" s="37" t="n">
        <f aca="false">IF(OR($A37="",NOT(ISNUMBER($D37)),NOT(ISNUMBER($H37))),"",IF((1-$H37-Parâmetros!$B$9-Parâmetros!$C$9-Parâmetros!$D$9)&lt;=0,"INVALIDO",($D37+IF(ISNUMBER($E37),$E37,0)+IF(ISNUMBER(Parâmetros!$E$9),Parâmetros!$E$9,0))/(1-$H37-Parâmetros!$B$9-Parâmetros!$C$9-Parâmetros!$D$9)))</f>
        <v>419.530612244898</v>
      </c>
      <c r="J37" s="38"/>
      <c r="K37" s="39" t="n">
        <f aca="false">IF(OR($A37="",NOT(ISNUMBER($D37)),NOT(ISNUMBER($H37))),"",IF(AND(ISNUMBER($J37),$J37&gt;0),$J37,IF(ISNUMBER($I37),$I37,"")))</f>
        <v>419.530612244898</v>
      </c>
      <c r="L37" s="40" t="n">
        <f aca="false">IF(ISNUMBER($K37),$K37*$H37,"")</f>
        <v>75.5155102040816</v>
      </c>
      <c r="M37" s="40" t="n">
        <f aca="false">IF(ISNUMBER($K37),$K37*Parâmetros!$B$9,"")</f>
        <v>41.9530612244898</v>
      </c>
      <c r="N37" s="40" t="n">
        <f aca="false">IF(ISNUMBER($K37),$K37*Parâmetros!$C$9,"")</f>
        <v>12.5859183673469</v>
      </c>
      <c r="O37" s="40" t="n">
        <f aca="false">IF(ISNUMBER($K37),IF(ISNUMBER(Parâmetros!$E$9),Parâmetros!$E$9,0),"")</f>
        <v>0</v>
      </c>
      <c r="P37" s="41" t="n">
        <f aca="false">IF(ISNUMBER($K37),$K37-$D37-IF(ISNUMBER($E37),$E37,0)-$L37-$M37-$N37-$O37,"")</f>
        <v>83.9061224489795</v>
      </c>
      <c r="Q37" s="42" t="n">
        <f aca="false">IF(AND(ISNUMBER($K37),$K37&gt;0),$P37/$K37,"")</f>
        <v>0.2</v>
      </c>
      <c r="R37" s="43"/>
      <c r="S37" s="44" t="str">
        <f aca="false">IF(OR(NOT(ISNUMBER($R37)),$R37=0,NOT(ISNUMBER($K37))),"",$K37*(1-$R37))</f>
        <v/>
      </c>
      <c r="T37" s="45" t="str">
        <f aca="false">IF(ISNUMBER($S37),$S37*$H37,"")</f>
        <v/>
      </c>
      <c r="U37" s="45" t="str">
        <f aca="false">IF(ISNUMBER($S37),$S37*Parâmetros!$B$9,"")</f>
        <v/>
      </c>
      <c r="V37" s="45" t="str">
        <f aca="false">IF(ISNUMBER($S37),$S37*Parâmetros!$C$9,"")</f>
        <v/>
      </c>
      <c r="W37" s="44" t="str">
        <f aca="false">IF(ISNUMBER($S37),$S37-$D37-IF(ISNUMBER($E37),$E37,0)-$O37-$T37-$U37-$V37,"")</f>
        <v/>
      </c>
      <c r="X37" s="46" t="str">
        <f aca="false">IF(AND(ISNUMBER($S37),$S37&gt;0),$W37/$S37,"")</f>
        <v/>
      </c>
      <c r="Y37" s="49"/>
      <c r="Z37" s="21"/>
    </row>
    <row r="38" customFormat="false" ht="15.75" hidden="false" customHeight="true" outlineLevel="0" collapsed="false">
      <c r="A38" s="32" t="str">
        <f aca="false">IF(Produtos!$A38="","",Produtos!$A38)</f>
        <v>L3070-A</v>
      </c>
      <c r="B38" s="32" t="str">
        <f aca="false">IF(Produtos!$A38="","",Produtos!$B38)</f>
        <v>Lixeira Aço Inox c/Aro 30x70 50L</v>
      </c>
      <c r="C38" s="32" t="str">
        <f aca="false">IF(Produtos!$A38="","",Produtos!$C38)</f>
        <v>Lixeiras em inox</v>
      </c>
      <c r="D38" s="33" t="n">
        <f aca="false">IF(Produtos!$A38="","",IF(Produtos!$D38="","",Produtos!$D38))</f>
        <v>258.22</v>
      </c>
      <c r="E38" s="11" t="n">
        <v>0</v>
      </c>
      <c r="F38" s="34" t="n">
        <f aca="false">IF($A38="","",IF($C38="","⚠ categoria",IFERROR(INDEX(Parâmetros!$G$13:$G$22,MATCH($C38,Parâmetros!$A$13:$A$22,0)),"⚠ categoria")))</f>
        <v>0.18</v>
      </c>
      <c r="G38" s="35"/>
      <c r="H38" s="36" t="n">
        <f aca="false">IF($A38="","",IF(ISNUMBER($G38),$G38,IF(ISNUMBER($F38),$F38,"")))</f>
        <v>0.18</v>
      </c>
      <c r="I38" s="37" t="n">
        <f aca="false">IF(OR($A38="",NOT(ISNUMBER($D38)),NOT(ISNUMBER($H38))),"",IF((1-$H38-Parâmetros!$B$9-Parâmetros!$C$9-Parâmetros!$D$9)&lt;=0,"INVALIDO",($D38+IF(ISNUMBER($E38),$E38,0)+IF(ISNUMBER(Parâmetros!$E$9),Parâmetros!$E$9,0))/(1-$H38-Parâmetros!$B$9-Parâmetros!$C$9-Parâmetros!$D$9)))</f>
        <v>526.979591836735</v>
      </c>
      <c r="J38" s="38"/>
      <c r="K38" s="39" t="n">
        <f aca="false">IF(OR($A38="",NOT(ISNUMBER($D38)),NOT(ISNUMBER($H38))),"",IF(AND(ISNUMBER($J38),$J38&gt;0),$J38,IF(ISNUMBER($I38),$I38,"")))</f>
        <v>526.979591836735</v>
      </c>
      <c r="L38" s="40" t="n">
        <f aca="false">IF(ISNUMBER($K38),$K38*$H38,"")</f>
        <v>94.8563265306122</v>
      </c>
      <c r="M38" s="40" t="n">
        <f aca="false">IF(ISNUMBER($K38),$K38*Parâmetros!$B$9,"")</f>
        <v>52.6979591836735</v>
      </c>
      <c r="N38" s="40" t="n">
        <f aca="false">IF(ISNUMBER($K38),$K38*Parâmetros!$C$9,"")</f>
        <v>15.809387755102</v>
      </c>
      <c r="O38" s="40" t="n">
        <f aca="false">IF(ISNUMBER($K38),IF(ISNUMBER(Parâmetros!$E$9),Parâmetros!$E$9,0),"")</f>
        <v>0</v>
      </c>
      <c r="P38" s="41" t="n">
        <f aca="false">IF(ISNUMBER($K38),$K38-$D38-IF(ISNUMBER($E38),$E38,0)-$L38-$M38-$N38-$O38,"")</f>
        <v>105.395918367347</v>
      </c>
      <c r="Q38" s="42" t="n">
        <f aca="false">IF(AND(ISNUMBER($K38),$K38&gt;0),$P38/$K38,"")</f>
        <v>0.2</v>
      </c>
      <c r="R38" s="43"/>
      <c r="S38" s="44" t="str">
        <f aca="false">IF(OR(NOT(ISNUMBER($R38)),$R38=0,NOT(ISNUMBER($K38))),"",$K38*(1-$R38))</f>
        <v/>
      </c>
      <c r="T38" s="45" t="str">
        <f aca="false">IF(ISNUMBER($S38),$S38*$H38,"")</f>
        <v/>
      </c>
      <c r="U38" s="45" t="str">
        <f aca="false">IF(ISNUMBER($S38),$S38*Parâmetros!$B$9,"")</f>
        <v/>
      </c>
      <c r="V38" s="45" t="str">
        <f aca="false">IF(ISNUMBER($S38),$S38*Parâmetros!$C$9,"")</f>
        <v/>
      </c>
      <c r="W38" s="44" t="str">
        <f aca="false">IF(ISNUMBER($S38),$S38-$D38-IF(ISNUMBER($E38),$E38,0)-$O38-$T38-$U38-$V38,"")</f>
        <v/>
      </c>
      <c r="X38" s="46" t="str">
        <f aca="false">IF(AND(ISNUMBER($S38),$S38&gt;0),$W38/$S38,"")</f>
        <v/>
      </c>
      <c r="Y38" s="47"/>
      <c r="Z38" s="19"/>
    </row>
    <row r="39" customFormat="false" ht="15.75" hidden="false" customHeight="true" outlineLevel="0" collapsed="false">
      <c r="A39" s="48" t="str">
        <f aca="false">IF(Produtos!$A39="","",Produtos!$A39)</f>
        <v>L3085-A</v>
      </c>
      <c r="B39" s="48" t="str">
        <f aca="false">IF(Produtos!$A39="","",Produtos!$B39)</f>
        <v>Lixeira Aço Inox c/Aro 30x85 60L</v>
      </c>
      <c r="C39" s="48" t="str">
        <f aca="false">IF(Produtos!$A39="","",Produtos!$C39)</f>
        <v>Lixeiras em inox</v>
      </c>
      <c r="D39" s="33" t="n">
        <f aca="false">IF(Produtos!$A39="","",IF(Produtos!$D39="","",Produtos!$D39))</f>
        <v>321.8</v>
      </c>
      <c r="E39" s="11" t="n">
        <v>0</v>
      </c>
      <c r="F39" s="34" t="n">
        <f aca="false">IF($A39="","",IF($C39="","⚠ categoria",IFERROR(INDEX(Parâmetros!$G$13:$G$22,MATCH($C39,Parâmetros!$A$13:$A$22,0)),"⚠ categoria")))</f>
        <v>0.18</v>
      </c>
      <c r="G39" s="35"/>
      <c r="H39" s="36" t="n">
        <f aca="false">IF($A39="","",IF(ISNUMBER($G39),$G39,IF(ISNUMBER($F39),$F39,"")))</f>
        <v>0.18</v>
      </c>
      <c r="I39" s="37" t="n">
        <f aca="false">IF(OR($A39="",NOT(ISNUMBER($D39)),NOT(ISNUMBER($H39))),"",IF((1-$H39-Parâmetros!$B$9-Parâmetros!$C$9-Parâmetros!$D$9)&lt;=0,"INVALIDO",($D39+IF(ISNUMBER($E39),$E39,0)+IF(ISNUMBER(Parâmetros!$E$9),Parâmetros!$E$9,0))/(1-$H39-Parâmetros!$B$9-Parâmetros!$C$9-Parâmetros!$D$9)))</f>
        <v>656.734693877551</v>
      </c>
      <c r="J39" s="38"/>
      <c r="K39" s="39" t="n">
        <f aca="false">IF(OR($A39="",NOT(ISNUMBER($D39)),NOT(ISNUMBER($H39))),"",IF(AND(ISNUMBER($J39),$J39&gt;0),$J39,IF(ISNUMBER($I39),$I39,"")))</f>
        <v>656.734693877551</v>
      </c>
      <c r="L39" s="40" t="n">
        <f aca="false">IF(ISNUMBER($K39),$K39*$H39,"")</f>
        <v>118.212244897959</v>
      </c>
      <c r="M39" s="40" t="n">
        <f aca="false">IF(ISNUMBER($K39),$K39*Parâmetros!$B$9,"")</f>
        <v>65.6734693877551</v>
      </c>
      <c r="N39" s="40" t="n">
        <f aca="false">IF(ISNUMBER($K39),$K39*Parâmetros!$C$9,"")</f>
        <v>19.7020408163265</v>
      </c>
      <c r="O39" s="40" t="n">
        <f aca="false">IF(ISNUMBER($K39),IF(ISNUMBER(Parâmetros!$E$9),Parâmetros!$E$9,0),"")</f>
        <v>0</v>
      </c>
      <c r="P39" s="41" t="n">
        <f aca="false">IF(ISNUMBER($K39),$K39-$D39-IF(ISNUMBER($E39),$E39,0)-$L39-$M39-$N39-$O39,"")</f>
        <v>131.34693877551</v>
      </c>
      <c r="Q39" s="42" t="n">
        <f aca="false">IF(AND(ISNUMBER($K39),$K39&gt;0),$P39/$K39,"")</f>
        <v>0.2</v>
      </c>
      <c r="R39" s="43"/>
      <c r="S39" s="44" t="str">
        <f aca="false">IF(OR(NOT(ISNUMBER($R39)),$R39=0,NOT(ISNUMBER($K39))),"",$K39*(1-$R39))</f>
        <v/>
      </c>
      <c r="T39" s="45" t="str">
        <f aca="false">IF(ISNUMBER($S39),$S39*$H39,"")</f>
        <v/>
      </c>
      <c r="U39" s="45" t="str">
        <f aca="false">IF(ISNUMBER($S39),$S39*Parâmetros!$B$9,"")</f>
        <v/>
      </c>
      <c r="V39" s="45" t="str">
        <f aca="false">IF(ISNUMBER($S39),$S39*Parâmetros!$C$9,"")</f>
        <v/>
      </c>
      <c r="W39" s="44" t="str">
        <f aca="false">IF(ISNUMBER($S39),$S39-$D39-IF(ISNUMBER($E39),$E39,0)-$O39-$T39-$U39-$V39,"")</f>
        <v/>
      </c>
      <c r="X39" s="46" t="str">
        <f aca="false">IF(AND(ISNUMBER($S39),$S39&gt;0),$W39/$S39,"")</f>
        <v/>
      </c>
      <c r="Y39" s="49"/>
      <c r="Z39" s="21"/>
    </row>
    <row r="40" customFormat="false" ht="15.75" hidden="false" customHeight="true" outlineLevel="0" collapsed="false">
      <c r="A40" s="32" t="str">
        <f aca="false">IF(Produtos!$A40="","",Produtos!$A40)</f>
        <v>L4050-A</v>
      </c>
      <c r="B40" s="32" t="str">
        <f aca="false">IF(Produtos!$A40="","",Produtos!$B40)</f>
        <v>Lixeira Aço Inox c/Aro 40x50 62L</v>
      </c>
      <c r="C40" s="32" t="str">
        <f aca="false">IF(Produtos!$A40="","",Produtos!$C40)</f>
        <v>Lixeiras em inox</v>
      </c>
      <c r="D40" s="33" t="n">
        <f aca="false">IF(Produtos!$A40="","",IF(Produtos!$D40="","",Produtos!$D40))</f>
        <v>292.43</v>
      </c>
      <c r="E40" s="11" t="n">
        <v>0</v>
      </c>
      <c r="F40" s="34" t="n">
        <f aca="false">IF($A40="","",IF($C40="","⚠ categoria",IFERROR(INDEX(Parâmetros!$G$13:$G$22,MATCH($C40,Parâmetros!$A$13:$A$22,0)),"⚠ categoria")))</f>
        <v>0.18</v>
      </c>
      <c r="G40" s="35"/>
      <c r="H40" s="36" t="n">
        <f aca="false">IF($A40="","",IF(ISNUMBER($G40),$G40,IF(ISNUMBER($F40),$F40,"")))</f>
        <v>0.18</v>
      </c>
      <c r="I40" s="37" t="n">
        <f aca="false">IF(OR($A40="",NOT(ISNUMBER($D40)),NOT(ISNUMBER($H40))),"",IF((1-$H40-Parâmetros!$B$9-Parâmetros!$C$9-Parâmetros!$D$9)&lt;=0,"INVALIDO",($D40+IF(ISNUMBER($E40),$E40,0)+IF(ISNUMBER(Parâmetros!$E$9),Parâmetros!$E$9,0))/(1-$H40-Parâmetros!$B$9-Parâmetros!$C$9-Parâmetros!$D$9)))</f>
        <v>596.795918367347</v>
      </c>
      <c r="J40" s="38"/>
      <c r="K40" s="39" t="n">
        <f aca="false">IF(OR($A40="",NOT(ISNUMBER($D40)),NOT(ISNUMBER($H40))),"",IF(AND(ISNUMBER($J40),$J40&gt;0),$J40,IF(ISNUMBER($I40),$I40,"")))</f>
        <v>596.795918367347</v>
      </c>
      <c r="L40" s="40" t="n">
        <f aca="false">IF(ISNUMBER($K40),$K40*$H40,"")</f>
        <v>107.423265306122</v>
      </c>
      <c r="M40" s="40" t="n">
        <f aca="false">IF(ISNUMBER($K40),$K40*Parâmetros!$B$9,"")</f>
        <v>59.6795918367347</v>
      </c>
      <c r="N40" s="40" t="n">
        <f aca="false">IF(ISNUMBER($K40),$K40*Parâmetros!$C$9,"")</f>
        <v>17.9038775510204</v>
      </c>
      <c r="O40" s="40" t="n">
        <f aca="false">IF(ISNUMBER($K40),IF(ISNUMBER(Parâmetros!$E$9),Parâmetros!$E$9,0),"")</f>
        <v>0</v>
      </c>
      <c r="P40" s="41" t="n">
        <f aca="false">IF(ISNUMBER($K40),$K40-$D40-IF(ISNUMBER($E40),$E40,0)-$L40-$M40-$N40-$O40,"")</f>
        <v>119.359183673469</v>
      </c>
      <c r="Q40" s="42" t="n">
        <f aca="false">IF(AND(ISNUMBER($K40),$K40&gt;0),$P40/$K40,"")</f>
        <v>0.2</v>
      </c>
      <c r="R40" s="43"/>
      <c r="S40" s="44" t="str">
        <f aca="false">IF(OR(NOT(ISNUMBER($R40)),$R40=0,NOT(ISNUMBER($K40))),"",$K40*(1-$R40))</f>
        <v/>
      </c>
      <c r="T40" s="45" t="str">
        <f aca="false">IF(ISNUMBER($S40),$S40*$H40,"")</f>
        <v/>
      </c>
      <c r="U40" s="45" t="str">
        <f aca="false">IF(ISNUMBER($S40),$S40*Parâmetros!$B$9,"")</f>
        <v/>
      </c>
      <c r="V40" s="45" t="str">
        <f aca="false">IF(ISNUMBER($S40),$S40*Parâmetros!$C$9,"")</f>
        <v/>
      </c>
      <c r="W40" s="44" t="str">
        <f aca="false">IF(ISNUMBER($S40),$S40-$D40-IF(ISNUMBER($E40),$E40,0)-$O40-$T40-$U40-$V40,"")</f>
        <v/>
      </c>
      <c r="X40" s="46" t="str">
        <f aca="false">IF(AND(ISNUMBER($S40),$S40&gt;0),$W40/$S40,"")</f>
        <v/>
      </c>
      <c r="Y40" s="47"/>
      <c r="Z40" s="19"/>
    </row>
    <row r="41" customFormat="false" ht="15.75" hidden="false" customHeight="true" outlineLevel="0" collapsed="false">
      <c r="A41" s="48" t="str">
        <f aca="false">IF(Produtos!$A41="","",Produtos!$A41)</f>
        <v>L4060-A</v>
      </c>
      <c r="B41" s="48" t="str">
        <f aca="false">IF(Produtos!$A41="","",Produtos!$B41)</f>
        <v>Lixeira Aço Inox c/Aro 40x60 75L</v>
      </c>
      <c r="C41" s="48" t="str">
        <f aca="false">IF(Produtos!$A41="","",Produtos!$C41)</f>
        <v>Lixeiras em inox</v>
      </c>
      <c r="D41" s="33" t="n">
        <f aca="false">IF(Produtos!$A41="","",IF(Produtos!$D41="","",Produtos!$D41))</f>
        <v>329.38</v>
      </c>
      <c r="E41" s="11" t="n">
        <v>0</v>
      </c>
      <c r="F41" s="34" t="n">
        <f aca="false">IF($A41="","",IF($C41="","⚠ categoria",IFERROR(INDEX(Parâmetros!$G$13:$G$22,MATCH($C41,Parâmetros!$A$13:$A$22,0)),"⚠ categoria")))</f>
        <v>0.18</v>
      </c>
      <c r="G41" s="35"/>
      <c r="H41" s="36" t="n">
        <f aca="false">IF($A41="","",IF(ISNUMBER($G41),$G41,IF(ISNUMBER($F41),$F41,"")))</f>
        <v>0.18</v>
      </c>
      <c r="I41" s="37" t="n">
        <f aca="false">IF(OR($A41="",NOT(ISNUMBER($D41)),NOT(ISNUMBER($H41))),"",IF((1-$H41-Parâmetros!$B$9-Parâmetros!$C$9-Parâmetros!$D$9)&lt;=0,"INVALIDO",($D41+IF(ISNUMBER($E41),$E41,0)+IF(ISNUMBER(Parâmetros!$E$9),Parâmetros!$E$9,0))/(1-$H41-Parâmetros!$B$9-Parâmetros!$C$9-Parâmetros!$D$9)))</f>
        <v>672.204081632653</v>
      </c>
      <c r="J41" s="38"/>
      <c r="K41" s="39" t="n">
        <f aca="false">IF(OR($A41="",NOT(ISNUMBER($D41)),NOT(ISNUMBER($H41))),"",IF(AND(ISNUMBER($J41),$J41&gt;0),$J41,IF(ISNUMBER($I41),$I41,"")))</f>
        <v>672.204081632653</v>
      </c>
      <c r="L41" s="40" t="n">
        <f aca="false">IF(ISNUMBER($K41),$K41*$H41,"")</f>
        <v>120.996734693878</v>
      </c>
      <c r="M41" s="40" t="n">
        <f aca="false">IF(ISNUMBER($K41),$K41*Parâmetros!$B$9,"")</f>
        <v>67.2204081632653</v>
      </c>
      <c r="N41" s="40" t="n">
        <f aca="false">IF(ISNUMBER($K41),$K41*Parâmetros!$C$9,"")</f>
        <v>20.1661224489796</v>
      </c>
      <c r="O41" s="40" t="n">
        <f aca="false">IF(ISNUMBER($K41),IF(ISNUMBER(Parâmetros!$E$9),Parâmetros!$E$9,0),"")</f>
        <v>0</v>
      </c>
      <c r="P41" s="41" t="n">
        <f aca="false">IF(ISNUMBER($K41),$K41-$D41-IF(ISNUMBER($E41),$E41,0)-$L41-$M41-$N41-$O41,"")</f>
        <v>134.440816326531</v>
      </c>
      <c r="Q41" s="42" t="n">
        <f aca="false">IF(AND(ISNUMBER($K41),$K41&gt;0),$P41/$K41,"")</f>
        <v>0.2</v>
      </c>
      <c r="R41" s="43"/>
      <c r="S41" s="44" t="str">
        <f aca="false">IF(OR(NOT(ISNUMBER($R41)),$R41=0,NOT(ISNUMBER($K41))),"",$K41*(1-$R41))</f>
        <v/>
      </c>
      <c r="T41" s="45" t="str">
        <f aca="false">IF(ISNUMBER($S41),$S41*$H41,"")</f>
        <v/>
      </c>
      <c r="U41" s="45" t="str">
        <f aca="false">IF(ISNUMBER($S41),$S41*Parâmetros!$B$9,"")</f>
        <v/>
      </c>
      <c r="V41" s="45" t="str">
        <f aca="false">IF(ISNUMBER($S41),$S41*Parâmetros!$C$9,"")</f>
        <v/>
      </c>
      <c r="W41" s="44" t="str">
        <f aca="false">IF(ISNUMBER($S41),$S41-$D41-IF(ISNUMBER($E41),$E41,0)-$O41-$T41-$U41-$V41,"")</f>
        <v/>
      </c>
      <c r="X41" s="46" t="str">
        <f aca="false">IF(AND(ISNUMBER($S41),$S41&gt;0),$W41/$S41,"")</f>
        <v/>
      </c>
      <c r="Y41" s="49"/>
      <c r="Z41" s="21"/>
    </row>
    <row r="42" customFormat="false" ht="15.75" hidden="false" customHeight="true" outlineLevel="0" collapsed="false">
      <c r="A42" s="32" t="str">
        <f aca="false">IF(Produtos!$A42="","",Produtos!$A42)</f>
        <v>L4070-A</v>
      </c>
      <c r="B42" s="32" t="str">
        <f aca="false">IF(Produtos!$A42="","",Produtos!$B42)</f>
        <v>Lixeira Aço Inox c/Aro 40x70 88L</v>
      </c>
      <c r="C42" s="32" t="str">
        <f aca="false">IF(Produtos!$A42="","",Produtos!$C42)</f>
        <v>Lixeiras em inox</v>
      </c>
      <c r="D42" s="33" t="n">
        <f aca="false">IF(Produtos!$A42="","",IF(Produtos!$D42="","",Produtos!$D42))</f>
        <v>331.22</v>
      </c>
      <c r="E42" s="11" t="n">
        <v>0</v>
      </c>
      <c r="F42" s="34" t="n">
        <f aca="false">IF($A42="","",IF($C42="","⚠ categoria",IFERROR(INDEX(Parâmetros!$G$13:$G$22,MATCH($C42,Parâmetros!$A$13:$A$22,0)),"⚠ categoria")))</f>
        <v>0.18</v>
      </c>
      <c r="G42" s="35"/>
      <c r="H42" s="36" t="n">
        <f aca="false">IF($A42="","",IF(ISNUMBER($G42),$G42,IF(ISNUMBER($F42),$F42,"")))</f>
        <v>0.18</v>
      </c>
      <c r="I42" s="37" t="n">
        <f aca="false">IF(OR($A42="",NOT(ISNUMBER($D42)),NOT(ISNUMBER($H42))),"",IF((1-$H42-Parâmetros!$B$9-Parâmetros!$C$9-Parâmetros!$D$9)&lt;=0,"INVALIDO",($D42+IF(ISNUMBER($E42),$E42,0)+IF(ISNUMBER(Parâmetros!$E$9),Parâmetros!$E$9,0))/(1-$H42-Parâmetros!$B$9-Parâmetros!$C$9-Parâmetros!$D$9)))</f>
        <v>675.959183673469</v>
      </c>
      <c r="J42" s="38"/>
      <c r="K42" s="39" t="n">
        <f aca="false">IF(OR($A42="",NOT(ISNUMBER($D42)),NOT(ISNUMBER($H42))),"",IF(AND(ISNUMBER($J42),$J42&gt;0),$J42,IF(ISNUMBER($I42),$I42,"")))</f>
        <v>675.959183673469</v>
      </c>
      <c r="L42" s="40" t="n">
        <f aca="false">IF(ISNUMBER($K42),$K42*$H42,"")</f>
        <v>121.672653061224</v>
      </c>
      <c r="M42" s="40" t="n">
        <f aca="false">IF(ISNUMBER($K42),$K42*Parâmetros!$B$9,"")</f>
        <v>67.5959183673469</v>
      </c>
      <c r="N42" s="40" t="n">
        <f aca="false">IF(ISNUMBER($K42),$K42*Parâmetros!$C$9,"")</f>
        <v>20.2787755102041</v>
      </c>
      <c r="O42" s="40" t="n">
        <f aca="false">IF(ISNUMBER($K42),IF(ISNUMBER(Parâmetros!$E$9),Parâmetros!$E$9,0),"")</f>
        <v>0</v>
      </c>
      <c r="P42" s="41" t="n">
        <f aca="false">IF(ISNUMBER($K42),$K42-$D42-IF(ISNUMBER($E42),$E42,0)-$L42-$M42-$N42-$O42,"")</f>
        <v>135.191836734694</v>
      </c>
      <c r="Q42" s="42" t="n">
        <f aca="false">IF(AND(ISNUMBER($K42),$K42&gt;0),$P42/$K42,"")</f>
        <v>0.2</v>
      </c>
      <c r="R42" s="43"/>
      <c r="S42" s="44" t="str">
        <f aca="false">IF(OR(NOT(ISNUMBER($R42)),$R42=0,NOT(ISNUMBER($K42))),"",$K42*(1-$R42))</f>
        <v/>
      </c>
      <c r="T42" s="45" t="str">
        <f aca="false">IF(ISNUMBER($S42),$S42*$H42,"")</f>
        <v/>
      </c>
      <c r="U42" s="45" t="str">
        <f aca="false">IF(ISNUMBER($S42),$S42*Parâmetros!$B$9,"")</f>
        <v/>
      </c>
      <c r="V42" s="45" t="str">
        <f aca="false">IF(ISNUMBER($S42),$S42*Parâmetros!$C$9,"")</f>
        <v/>
      </c>
      <c r="W42" s="44" t="str">
        <f aca="false">IF(ISNUMBER($S42),$S42-$D42-IF(ISNUMBER($E42),$E42,0)-$O42-$T42-$U42-$V42,"")</f>
        <v/>
      </c>
      <c r="X42" s="46" t="str">
        <f aca="false">IF(AND(ISNUMBER($S42),$S42&gt;0),$W42/$S42,"")</f>
        <v/>
      </c>
      <c r="Y42" s="47"/>
      <c r="Z42" s="19"/>
    </row>
    <row r="43" customFormat="false" ht="15.75" hidden="false" customHeight="true" outlineLevel="0" collapsed="false">
      <c r="A43" s="48" t="str">
        <f aca="false">IF(Produtos!$A43="","",Produtos!$A43)</f>
        <v>L4075-A</v>
      </c>
      <c r="B43" s="48" t="str">
        <f aca="false">IF(Produtos!$A43="","",Produtos!$B43)</f>
        <v>Lixeira Aço Inox c/Aro 40x75 95L</v>
      </c>
      <c r="C43" s="48" t="str">
        <f aca="false">IF(Produtos!$A43="","",Produtos!$C43)</f>
        <v>Lixeiras em inox</v>
      </c>
      <c r="D43" s="33" t="n">
        <f aca="false">IF(Produtos!$A43="","",IF(Produtos!$D43="","",Produtos!$D43))</f>
        <v>392.8</v>
      </c>
      <c r="E43" s="11" t="n">
        <v>0</v>
      </c>
      <c r="F43" s="34" t="n">
        <f aca="false">IF($A43="","",IF($C43="","⚠ categoria",IFERROR(INDEX(Parâmetros!$G$13:$G$22,MATCH($C43,Parâmetros!$A$13:$A$22,0)),"⚠ categoria")))</f>
        <v>0.18</v>
      </c>
      <c r="G43" s="35"/>
      <c r="H43" s="36" t="n">
        <f aca="false">IF($A43="","",IF(ISNUMBER($G43),$G43,IF(ISNUMBER($F43),$F43,"")))</f>
        <v>0.18</v>
      </c>
      <c r="I43" s="37" t="n">
        <f aca="false">IF(OR($A43="",NOT(ISNUMBER($D43)),NOT(ISNUMBER($H43))),"",IF((1-$H43-Parâmetros!$B$9-Parâmetros!$C$9-Parâmetros!$D$9)&lt;=0,"INVALIDO",($D43+IF(ISNUMBER($E43),$E43,0)+IF(ISNUMBER(Parâmetros!$E$9),Parâmetros!$E$9,0))/(1-$H43-Parâmetros!$B$9-Parâmetros!$C$9-Parâmetros!$D$9)))</f>
        <v>801.632653061225</v>
      </c>
      <c r="J43" s="38"/>
      <c r="K43" s="39" t="n">
        <f aca="false">IF(OR($A43="",NOT(ISNUMBER($D43)),NOT(ISNUMBER($H43))),"",IF(AND(ISNUMBER($J43),$J43&gt;0),$J43,IF(ISNUMBER($I43),$I43,"")))</f>
        <v>801.632653061225</v>
      </c>
      <c r="L43" s="40" t="n">
        <f aca="false">IF(ISNUMBER($K43),$K43*$H43,"")</f>
        <v>144.29387755102</v>
      </c>
      <c r="M43" s="40" t="n">
        <f aca="false">IF(ISNUMBER($K43),$K43*Parâmetros!$B$9,"")</f>
        <v>80.1632653061225</v>
      </c>
      <c r="N43" s="40" t="n">
        <f aca="false">IF(ISNUMBER($K43),$K43*Parâmetros!$C$9,"")</f>
        <v>24.0489795918367</v>
      </c>
      <c r="O43" s="40" t="n">
        <f aca="false">IF(ISNUMBER($K43),IF(ISNUMBER(Parâmetros!$E$9),Parâmetros!$E$9,0),"")</f>
        <v>0</v>
      </c>
      <c r="P43" s="41" t="n">
        <f aca="false">IF(ISNUMBER($K43),$K43-$D43-IF(ISNUMBER($E43),$E43,0)-$L43-$M43-$N43-$O43,"")</f>
        <v>160.326530612245</v>
      </c>
      <c r="Q43" s="42" t="n">
        <f aca="false">IF(AND(ISNUMBER($K43),$K43&gt;0),$P43/$K43,"")</f>
        <v>0.2</v>
      </c>
      <c r="R43" s="43"/>
      <c r="S43" s="44" t="str">
        <f aca="false">IF(OR(NOT(ISNUMBER($R43)),$R43=0,NOT(ISNUMBER($K43))),"",$K43*(1-$R43))</f>
        <v/>
      </c>
      <c r="T43" s="45" t="str">
        <f aca="false">IF(ISNUMBER($S43),$S43*$H43,"")</f>
        <v/>
      </c>
      <c r="U43" s="45" t="str">
        <f aca="false">IF(ISNUMBER($S43),$S43*Parâmetros!$B$9,"")</f>
        <v/>
      </c>
      <c r="V43" s="45" t="str">
        <f aca="false">IF(ISNUMBER($S43),$S43*Parâmetros!$C$9,"")</f>
        <v/>
      </c>
      <c r="W43" s="44" t="str">
        <f aca="false">IF(ISNUMBER($S43),$S43-$D43-IF(ISNUMBER($E43),$E43,0)-$O43-$T43-$U43-$V43,"")</f>
        <v/>
      </c>
      <c r="X43" s="46" t="str">
        <f aca="false">IF(AND(ISNUMBER($S43),$S43&gt;0),$W43/$S43,"")</f>
        <v/>
      </c>
      <c r="Y43" s="49"/>
      <c r="Z43" s="21"/>
    </row>
    <row r="44" customFormat="false" ht="15.75" hidden="false" customHeight="true" outlineLevel="0" collapsed="false">
      <c r="A44" s="32" t="str">
        <f aca="false">IF(Produtos!$A44="","",Produtos!$A44)</f>
        <v>L4080-A</v>
      </c>
      <c r="B44" s="32" t="str">
        <f aca="false">IF(Produtos!$A44="","",Produtos!$B44)</f>
        <v>Lixeira Aço Inox c/Aro 40x80 100L</v>
      </c>
      <c r="C44" s="32" t="str">
        <f aca="false">IF(Produtos!$A44="","",Produtos!$C44)</f>
        <v>Lixeiras em inox</v>
      </c>
      <c r="D44" s="33" t="n">
        <f aca="false">IF(Produtos!$A44="","",IF(Produtos!$D44="","",Produtos!$D44))</f>
        <v>400.17</v>
      </c>
      <c r="E44" s="11" t="n">
        <v>0</v>
      </c>
      <c r="F44" s="34" t="n">
        <f aca="false">IF($A44="","",IF($C44="","⚠ categoria",IFERROR(INDEX(Parâmetros!$G$13:$G$22,MATCH($C44,Parâmetros!$A$13:$A$22,0)),"⚠ categoria")))</f>
        <v>0.18</v>
      </c>
      <c r="G44" s="35"/>
      <c r="H44" s="36" t="n">
        <f aca="false">IF($A44="","",IF(ISNUMBER($G44),$G44,IF(ISNUMBER($F44),$F44,"")))</f>
        <v>0.18</v>
      </c>
      <c r="I44" s="37" t="n">
        <f aca="false">IF(OR($A44="",NOT(ISNUMBER($D44)),NOT(ISNUMBER($H44))),"",IF((1-$H44-Parâmetros!$B$9-Parâmetros!$C$9-Parâmetros!$D$9)&lt;=0,"INVALIDO",($D44+IF(ISNUMBER($E44),$E44,0)+IF(ISNUMBER(Parâmetros!$E$9),Parâmetros!$E$9,0))/(1-$H44-Parâmetros!$B$9-Parâmetros!$C$9-Parâmetros!$D$9)))</f>
        <v>816.673469387755</v>
      </c>
      <c r="J44" s="38"/>
      <c r="K44" s="39" t="n">
        <f aca="false">IF(OR($A44="",NOT(ISNUMBER($D44)),NOT(ISNUMBER($H44))),"",IF(AND(ISNUMBER($J44),$J44&gt;0),$J44,IF(ISNUMBER($I44),$I44,"")))</f>
        <v>816.673469387755</v>
      </c>
      <c r="L44" s="40" t="n">
        <f aca="false">IF(ISNUMBER($K44),$K44*$H44,"")</f>
        <v>147.001224489796</v>
      </c>
      <c r="M44" s="40" t="n">
        <f aca="false">IF(ISNUMBER($K44),$K44*Parâmetros!$B$9,"")</f>
        <v>81.6673469387755</v>
      </c>
      <c r="N44" s="40" t="n">
        <f aca="false">IF(ISNUMBER($K44),$K44*Parâmetros!$C$9,"")</f>
        <v>24.5002040816327</v>
      </c>
      <c r="O44" s="40" t="n">
        <f aca="false">IF(ISNUMBER($K44),IF(ISNUMBER(Parâmetros!$E$9),Parâmetros!$E$9,0),"")</f>
        <v>0</v>
      </c>
      <c r="P44" s="41" t="n">
        <f aca="false">IF(ISNUMBER($K44),$K44-$D44-IF(ISNUMBER($E44),$E44,0)-$L44-$M44-$N44-$O44,"")</f>
        <v>163.334693877551</v>
      </c>
      <c r="Q44" s="42" t="n">
        <f aca="false">IF(AND(ISNUMBER($K44),$K44&gt;0),$P44/$K44,"")</f>
        <v>0.2</v>
      </c>
      <c r="R44" s="43"/>
      <c r="S44" s="44" t="str">
        <f aca="false">IF(OR(NOT(ISNUMBER($R44)),$R44=0,NOT(ISNUMBER($K44))),"",$K44*(1-$R44))</f>
        <v/>
      </c>
      <c r="T44" s="45" t="str">
        <f aca="false">IF(ISNUMBER($S44),$S44*$H44,"")</f>
        <v/>
      </c>
      <c r="U44" s="45" t="str">
        <f aca="false">IF(ISNUMBER($S44),$S44*Parâmetros!$B$9,"")</f>
        <v/>
      </c>
      <c r="V44" s="45" t="str">
        <f aca="false">IF(ISNUMBER($S44),$S44*Parâmetros!$C$9,"")</f>
        <v/>
      </c>
      <c r="W44" s="44" t="str">
        <f aca="false">IF(ISNUMBER($S44),$S44-$D44-IF(ISNUMBER($E44),$E44,0)-$O44-$T44-$U44-$V44,"")</f>
        <v/>
      </c>
      <c r="X44" s="46" t="str">
        <f aca="false">IF(AND(ISNUMBER($S44),$S44&gt;0),$W44/$S44,"")</f>
        <v/>
      </c>
      <c r="Y44" s="47"/>
      <c r="Z44" s="19"/>
    </row>
    <row r="45" customFormat="false" ht="15.75" hidden="false" customHeight="true" outlineLevel="0" collapsed="false">
      <c r="A45" s="48" t="str">
        <f aca="false">IF(Produtos!$A45="","",Produtos!$A45)</f>
        <v>L4090-A</v>
      </c>
      <c r="B45" s="48" t="str">
        <f aca="false">IF(Produtos!$A45="","",Produtos!$B45)</f>
        <v>Lixeira Aço Inox c/Aro 40x90 120L</v>
      </c>
      <c r="C45" s="48" t="str">
        <f aca="false">IF(Produtos!$A45="","",Produtos!$C45)</f>
        <v>Lixeiras em inox</v>
      </c>
      <c r="D45" s="33" t="n">
        <f aca="false">IF(Produtos!$A45="","",IF(Produtos!$D45="","",Produtos!$D45))</f>
        <v>405.39</v>
      </c>
      <c r="E45" s="11" t="n">
        <v>0</v>
      </c>
      <c r="F45" s="34" t="n">
        <f aca="false">IF($A45="","",IF($C45="","⚠ categoria",IFERROR(INDEX(Parâmetros!$G$13:$G$22,MATCH($C45,Parâmetros!$A$13:$A$22,0)),"⚠ categoria")))</f>
        <v>0.18</v>
      </c>
      <c r="G45" s="35"/>
      <c r="H45" s="36" t="n">
        <f aca="false">IF($A45="","",IF(ISNUMBER($G45),$G45,IF(ISNUMBER($F45),$F45,"")))</f>
        <v>0.18</v>
      </c>
      <c r="I45" s="37" t="n">
        <f aca="false">IF(OR($A45="",NOT(ISNUMBER($D45)),NOT(ISNUMBER($H45))),"",IF((1-$H45-Parâmetros!$B$9-Parâmetros!$C$9-Parâmetros!$D$9)&lt;=0,"INVALIDO",($D45+IF(ISNUMBER($E45),$E45,0)+IF(ISNUMBER(Parâmetros!$E$9),Parâmetros!$E$9,0))/(1-$H45-Parâmetros!$B$9-Parâmetros!$C$9-Parâmetros!$D$9)))</f>
        <v>827.326530612245</v>
      </c>
      <c r="J45" s="38"/>
      <c r="K45" s="39" t="n">
        <f aca="false">IF(OR($A45="",NOT(ISNUMBER($D45)),NOT(ISNUMBER($H45))),"",IF(AND(ISNUMBER($J45),$J45&gt;0),$J45,IF(ISNUMBER($I45),$I45,"")))</f>
        <v>827.326530612245</v>
      </c>
      <c r="L45" s="40" t="n">
        <f aca="false">IF(ISNUMBER($K45),$K45*$H45,"")</f>
        <v>148.918775510204</v>
      </c>
      <c r="M45" s="40" t="n">
        <f aca="false">IF(ISNUMBER($K45),$K45*Parâmetros!$B$9,"")</f>
        <v>82.7326530612245</v>
      </c>
      <c r="N45" s="40" t="n">
        <f aca="false">IF(ISNUMBER($K45),$K45*Parâmetros!$C$9,"")</f>
        <v>24.8197959183673</v>
      </c>
      <c r="O45" s="40" t="n">
        <f aca="false">IF(ISNUMBER($K45),IF(ISNUMBER(Parâmetros!$E$9),Parâmetros!$E$9,0),"")</f>
        <v>0</v>
      </c>
      <c r="P45" s="41" t="n">
        <f aca="false">IF(ISNUMBER($K45),$K45-$D45-IF(ISNUMBER($E45),$E45,0)-$L45-$M45-$N45-$O45,"")</f>
        <v>165.465306122449</v>
      </c>
      <c r="Q45" s="42" t="n">
        <f aca="false">IF(AND(ISNUMBER($K45),$K45&gt;0),$P45/$K45,"")</f>
        <v>0.2</v>
      </c>
      <c r="R45" s="43"/>
      <c r="S45" s="44" t="str">
        <f aca="false">IF(OR(NOT(ISNUMBER($R45)),$R45=0,NOT(ISNUMBER($K45))),"",$K45*(1-$R45))</f>
        <v/>
      </c>
      <c r="T45" s="45" t="str">
        <f aca="false">IF(ISNUMBER($S45),$S45*$H45,"")</f>
        <v/>
      </c>
      <c r="U45" s="45" t="str">
        <f aca="false">IF(ISNUMBER($S45),$S45*Parâmetros!$B$9,"")</f>
        <v/>
      </c>
      <c r="V45" s="45" t="str">
        <f aca="false">IF(ISNUMBER($S45),$S45*Parâmetros!$C$9,"")</f>
        <v/>
      </c>
      <c r="W45" s="44" t="str">
        <f aca="false">IF(ISNUMBER($S45),$S45-$D45-IF(ISNUMBER($E45),$E45,0)-$O45-$T45-$U45-$V45,"")</f>
        <v/>
      </c>
      <c r="X45" s="46" t="str">
        <f aca="false">IF(AND(ISNUMBER($S45),$S45&gt;0),$W45/$S45,"")</f>
        <v/>
      </c>
      <c r="Y45" s="49"/>
      <c r="Z45" s="21"/>
    </row>
    <row r="46" customFormat="false" ht="15.75" hidden="false" customHeight="true" outlineLevel="0" collapsed="false">
      <c r="A46" s="32" t="str">
        <f aca="false">IF(Produtos!$A46="","",Produtos!$A46)</f>
        <v>L40100-A</v>
      </c>
      <c r="B46" s="32" t="str">
        <f aca="false">IF(Produtos!$A46="","",Produtos!$B46)</f>
        <v>Lixeira Aço Inox c/Aro 40x100L</v>
      </c>
      <c r="C46" s="32" t="str">
        <f aca="false">IF(Produtos!$A46="","",Produtos!$C46)</f>
        <v>Lixeiras em inox</v>
      </c>
      <c r="D46" s="33" t="n">
        <f aca="false">IF(Produtos!$A46="","",IF(Produtos!$D46="","",Produtos!$D46))</f>
        <v>566.56</v>
      </c>
      <c r="E46" s="11" t="n">
        <v>0</v>
      </c>
      <c r="F46" s="34" t="n">
        <f aca="false">IF($A46="","",IF($C46="","⚠ categoria",IFERROR(INDEX(Parâmetros!$G$13:$G$22,MATCH($C46,Parâmetros!$A$13:$A$22,0)),"⚠ categoria")))</f>
        <v>0.18</v>
      </c>
      <c r="G46" s="35"/>
      <c r="H46" s="36" t="n">
        <f aca="false">IF($A46="","",IF(ISNUMBER($G46),$G46,IF(ISNUMBER($F46),$F46,"")))</f>
        <v>0.18</v>
      </c>
      <c r="I46" s="37" t="n">
        <f aca="false">IF(OR($A46="",NOT(ISNUMBER($D46)),NOT(ISNUMBER($H46))),"",IF((1-$H46-Parâmetros!$B$9-Parâmetros!$C$9-Parâmetros!$D$9)&lt;=0,"INVALIDO",($D46+IF(ISNUMBER($E46),$E46,0)+IF(ISNUMBER(Parâmetros!$E$9),Parâmetros!$E$9,0))/(1-$H46-Parâmetros!$B$9-Parâmetros!$C$9-Parâmetros!$D$9)))</f>
        <v>1156.24489795918</v>
      </c>
      <c r="J46" s="38"/>
      <c r="K46" s="39" t="n">
        <f aca="false">IF(OR($A46="",NOT(ISNUMBER($D46)),NOT(ISNUMBER($H46))),"",IF(AND(ISNUMBER($J46),$J46&gt;0),$J46,IF(ISNUMBER($I46),$I46,"")))</f>
        <v>1156.24489795918</v>
      </c>
      <c r="L46" s="40" t="n">
        <f aca="false">IF(ISNUMBER($K46),$K46*$H46,"")</f>
        <v>208.124081632653</v>
      </c>
      <c r="M46" s="40" t="n">
        <f aca="false">IF(ISNUMBER($K46),$K46*Parâmetros!$B$9,"")</f>
        <v>115.624489795918</v>
      </c>
      <c r="N46" s="40" t="n">
        <f aca="false">IF(ISNUMBER($K46),$K46*Parâmetros!$C$9,"")</f>
        <v>34.6873469387755</v>
      </c>
      <c r="O46" s="40" t="n">
        <f aca="false">IF(ISNUMBER($K46),IF(ISNUMBER(Parâmetros!$E$9),Parâmetros!$E$9,0),"")</f>
        <v>0</v>
      </c>
      <c r="P46" s="41" t="n">
        <f aca="false">IF(ISNUMBER($K46),$K46-$D46-IF(ISNUMBER($E46),$E46,0)-$L46-$M46-$N46-$O46,"")</f>
        <v>231.248979591837</v>
      </c>
      <c r="Q46" s="42" t="n">
        <f aca="false">IF(AND(ISNUMBER($K46),$K46&gt;0),$P46/$K46,"")</f>
        <v>0.2</v>
      </c>
      <c r="R46" s="43"/>
      <c r="S46" s="44" t="str">
        <f aca="false">IF(OR(NOT(ISNUMBER($R46)),$R46=0,NOT(ISNUMBER($K46))),"",$K46*(1-$R46))</f>
        <v/>
      </c>
      <c r="T46" s="45" t="str">
        <f aca="false">IF(ISNUMBER($S46),$S46*$H46,"")</f>
        <v/>
      </c>
      <c r="U46" s="45" t="str">
        <f aca="false">IF(ISNUMBER($S46),$S46*Parâmetros!$B$9,"")</f>
        <v/>
      </c>
      <c r="V46" s="45" t="str">
        <f aca="false">IF(ISNUMBER($S46),$S46*Parâmetros!$C$9,"")</f>
        <v/>
      </c>
      <c r="W46" s="44" t="str">
        <f aca="false">IF(ISNUMBER($S46),$S46-$D46-IF(ISNUMBER($E46),$E46,0)-$O46-$T46-$U46-$V46,"")</f>
        <v/>
      </c>
      <c r="X46" s="46" t="str">
        <f aca="false">IF(AND(ISNUMBER($S46),$S46&gt;0),$W46/$S46,"")</f>
        <v/>
      </c>
      <c r="Y46" s="47"/>
      <c r="Z46" s="19"/>
    </row>
    <row r="47" customFormat="false" ht="15.75" hidden="false" customHeight="true" outlineLevel="0" collapsed="false">
      <c r="A47" s="48" t="str">
        <f aca="false">IF(Produtos!$A47="","",Produtos!$A47)</f>
        <v>L40120-A</v>
      </c>
      <c r="B47" s="48" t="str">
        <f aca="false">IF(Produtos!$A47="","",Produtos!$B47)</f>
        <v>Lixeira Aço Inox c/Aro 40x120L</v>
      </c>
      <c r="C47" s="48" t="str">
        <f aca="false">IF(Produtos!$A47="","",Produtos!$C47)</f>
        <v>Lixeiras em inox</v>
      </c>
      <c r="D47" s="33" t="n">
        <f aca="false">IF(Produtos!$A47="","",IF(Produtos!$D47="","",Produtos!$D47))</f>
        <v>762.87</v>
      </c>
      <c r="E47" s="11" t="n">
        <v>0</v>
      </c>
      <c r="F47" s="34" t="n">
        <f aca="false">IF($A47="","",IF($C47="","⚠ categoria",IFERROR(INDEX(Parâmetros!$G$13:$G$22,MATCH($C47,Parâmetros!$A$13:$A$22,0)),"⚠ categoria")))</f>
        <v>0.18</v>
      </c>
      <c r="G47" s="35"/>
      <c r="H47" s="36" t="n">
        <f aca="false">IF($A47="","",IF(ISNUMBER($G47),$G47,IF(ISNUMBER($F47),$F47,"")))</f>
        <v>0.18</v>
      </c>
      <c r="I47" s="37" t="n">
        <f aca="false">IF(OR($A47="",NOT(ISNUMBER($D47)),NOT(ISNUMBER($H47))),"",IF((1-$H47-Parâmetros!$B$9-Parâmetros!$C$9-Parâmetros!$D$9)&lt;=0,"INVALIDO",($D47+IF(ISNUMBER($E47),$E47,0)+IF(ISNUMBER(Parâmetros!$E$9),Parâmetros!$E$9,0))/(1-$H47-Parâmetros!$B$9-Parâmetros!$C$9-Parâmetros!$D$9)))</f>
        <v>1556.87755102041</v>
      </c>
      <c r="J47" s="38"/>
      <c r="K47" s="39" t="n">
        <f aca="false">IF(OR($A47="",NOT(ISNUMBER($D47)),NOT(ISNUMBER($H47))),"",IF(AND(ISNUMBER($J47),$J47&gt;0),$J47,IF(ISNUMBER($I47),$I47,"")))</f>
        <v>1556.87755102041</v>
      </c>
      <c r="L47" s="40" t="n">
        <f aca="false">IF(ISNUMBER($K47),$K47*$H47,"")</f>
        <v>280.237959183673</v>
      </c>
      <c r="M47" s="40" t="n">
        <f aca="false">IF(ISNUMBER($K47),$K47*Parâmetros!$B$9,"")</f>
        <v>155.687755102041</v>
      </c>
      <c r="N47" s="40" t="n">
        <f aca="false">IF(ISNUMBER($K47),$K47*Parâmetros!$C$9,"")</f>
        <v>46.7063265306122</v>
      </c>
      <c r="O47" s="40" t="n">
        <f aca="false">IF(ISNUMBER($K47),IF(ISNUMBER(Parâmetros!$E$9),Parâmetros!$E$9,0),"")</f>
        <v>0</v>
      </c>
      <c r="P47" s="41" t="n">
        <f aca="false">IF(ISNUMBER($K47),$K47-$D47-IF(ISNUMBER($E47),$E47,0)-$L47-$M47-$N47-$O47,"")</f>
        <v>311.375510204082</v>
      </c>
      <c r="Q47" s="42" t="n">
        <f aca="false">IF(AND(ISNUMBER($K47),$K47&gt;0),$P47/$K47,"")</f>
        <v>0.2</v>
      </c>
      <c r="R47" s="43"/>
      <c r="S47" s="44" t="str">
        <f aca="false">IF(OR(NOT(ISNUMBER($R47)),$R47=0,NOT(ISNUMBER($K47))),"",$K47*(1-$R47))</f>
        <v/>
      </c>
      <c r="T47" s="45" t="str">
        <f aca="false">IF(ISNUMBER($S47),$S47*$H47,"")</f>
        <v/>
      </c>
      <c r="U47" s="45" t="str">
        <f aca="false">IF(ISNUMBER($S47),$S47*Parâmetros!$B$9,"")</f>
        <v/>
      </c>
      <c r="V47" s="45" t="str">
        <f aca="false">IF(ISNUMBER($S47),$S47*Parâmetros!$C$9,"")</f>
        <v/>
      </c>
      <c r="W47" s="44" t="str">
        <f aca="false">IF(ISNUMBER($S47),$S47-$D47-IF(ISNUMBER($E47),$E47,0)-$O47-$T47-$U47-$V47,"")</f>
        <v/>
      </c>
      <c r="X47" s="46" t="str">
        <f aca="false">IF(AND(ISNUMBER($S47),$S47&gt;0),$W47/$S47,"")</f>
        <v/>
      </c>
      <c r="Y47" s="49"/>
      <c r="Z47" s="21"/>
    </row>
    <row r="48" customFormat="false" ht="15.75" hidden="false" customHeight="true" outlineLevel="0" collapsed="false">
      <c r="A48" s="32" t="str">
        <f aca="false">IF(Produtos!$A48="","",Produtos!$A48)</f>
        <v>L2425-AML</v>
      </c>
      <c r="B48" s="32" t="str">
        <f aca="false">IF(Produtos!$A48="","",Produtos!$B48)</f>
        <v>Lixeira c/Aro Meia Lua 24x25 13L</v>
      </c>
      <c r="C48" s="32" t="str">
        <f aca="false">IF(Produtos!$A48="","",Produtos!$C48)</f>
        <v>Lixeiras em inox</v>
      </c>
      <c r="D48" s="33" t="n">
        <f aca="false">IF(Produtos!$A48="","",IF(Produtos!$D48="","",Produtos!$D48))</f>
        <v>86.87</v>
      </c>
      <c r="E48" s="11" t="n">
        <v>0</v>
      </c>
      <c r="F48" s="34" t="n">
        <f aca="false">IF($A48="","",IF($C48="","⚠ categoria",IFERROR(INDEX(Parâmetros!$G$13:$G$22,MATCH($C48,Parâmetros!$A$13:$A$22,0)),"⚠ categoria")))</f>
        <v>0.18</v>
      </c>
      <c r="G48" s="35"/>
      <c r="H48" s="36" t="n">
        <f aca="false">IF($A48="","",IF(ISNUMBER($G48),$G48,IF(ISNUMBER($F48),$F48,"")))</f>
        <v>0.18</v>
      </c>
      <c r="I48" s="37" t="n">
        <f aca="false">IF(OR($A48="",NOT(ISNUMBER($D48)),NOT(ISNUMBER($H48))),"",IF((1-$H48-Parâmetros!$B$9-Parâmetros!$C$9-Parâmetros!$D$9)&lt;=0,"INVALIDO",($D48+IF(ISNUMBER($E48),$E48,0)+IF(ISNUMBER(Parâmetros!$E$9),Parâmetros!$E$9,0))/(1-$H48-Parâmetros!$B$9-Parâmetros!$C$9-Parâmetros!$D$9)))</f>
        <v>177.285714285714</v>
      </c>
      <c r="J48" s="38"/>
      <c r="K48" s="39" t="n">
        <f aca="false">IF(OR($A48="",NOT(ISNUMBER($D48)),NOT(ISNUMBER($H48))),"",IF(AND(ISNUMBER($J48),$J48&gt;0),$J48,IF(ISNUMBER($I48),$I48,"")))</f>
        <v>177.285714285714</v>
      </c>
      <c r="L48" s="40" t="n">
        <f aca="false">IF(ISNUMBER($K48),$K48*$H48,"")</f>
        <v>31.9114285714286</v>
      </c>
      <c r="M48" s="40" t="n">
        <f aca="false">IF(ISNUMBER($K48),$K48*Parâmetros!$B$9,"")</f>
        <v>17.7285714285714</v>
      </c>
      <c r="N48" s="40" t="n">
        <f aca="false">IF(ISNUMBER($K48),$K48*Parâmetros!$C$9,"")</f>
        <v>5.31857142857143</v>
      </c>
      <c r="O48" s="40" t="n">
        <f aca="false">IF(ISNUMBER($K48),IF(ISNUMBER(Parâmetros!$E$9),Parâmetros!$E$9,0),"")</f>
        <v>0</v>
      </c>
      <c r="P48" s="41" t="n">
        <f aca="false">IF(ISNUMBER($K48),$K48-$D48-IF(ISNUMBER($E48),$E48,0)-$L48-$M48-$N48-$O48,"")</f>
        <v>35.4571428571428</v>
      </c>
      <c r="Q48" s="42" t="n">
        <f aca="false">IF(AND(ISNUMBER($K48),$K48&gt;0),$P48/$K48,"")</f>
        <v>0.2</v>
      </c>
      <c r="R48" s="43"/>
      <c r="S48" s="44" t="str">
        <f aca="false">IF(OR(NOT(ISNUMBER($R48)),$R48=0,NOT(ISNUMBER($K48))),"",$K48*(1-$R48))</f>
        <v/>
      </c>
      <c r="T48" s="45" t="str">
        <f aca="false">IF(ISNUMBER($S48),$S48*$H48,"")</f>
        <v/>
      </c>
      <c r="U48" s="45" t="str">
        <f aca="false">IF(ISNUMBER($S48),$S48*Parâmetros!$B$9,"")</f>
        <v/>
      </c>
      <c r="V48" s="45" t="str">
        <f aca="false">IF(ISNUMBER($S48),$S48*Parâmetros!$C$9,"")</f>
        <v/>
      </c>
      <c r="W48" s="44" t="str">
        <f aca="false">IF(ISNUMBER($S48),$S48-$D48-IF(ISNUMBER($E48),$E48,0)-$O48-$T48-$U48-$V48,"")</f>
        <v/>
      </c>
      <c r="X48" s="46" t="str">
        <f aca="false">IF(AND(ISNUMBER($S48),$S48&gt;0),$W48/$S48,"")</f>
        <v/>
      </c>
      <c r="Y48" s="47"/>
      <c r="Z48" s="19"/>
    </row>
    <row r="49" customFormat="false" ht="15.75" hidden="false" customHeight="true" outlineLevel="0" collapsed="false">
      <c r="A49" s="48" t="str">
        <f aca="false">IF(Produtos!$A49="","",Produtos!$A49)</f>
        <v>L2430-AML</v>
      </c>
      <c r="B49" s="48" t="str">
        <f aca="false">IF(Produtos!$A49="","",Produtos!$B49)</f>
        <v>Lixeira c/Aro Meia Lua 24x30 15L</v>
      </c>
      <c r="C49" s="48" t="str">
        <f aca="false">IF(Produtos!$A49="","",Produtos!$C49)</f>
        <v>Lixeiras em inox</v>
      </c>
      <c r="D49" s="33" t="n">
        <f aca="false">IF(Produtos!$A49="","",IF(Produtos!$D49="","",Produtos!$D49))</f>
        <v>96.11</v>
      </c>
      <c r="E49" s="11" t="n">
        <v>0</v>
      </c>
      <c r="F49" s="34" t="n">
        <f aca="false">IF($A49="","",IF($C49="","⚠ categoria",IFERROR(INDEX(Parâmetros!$G$13:$G$22,MATCH($C49,Parâmetros!$A$13:$A$22,0)),"⚠ categoria")))</f>
        <v>0.18</v>
      </c>
      <c r="G49" s="35"/>
      <c r="H49" s="36" t="n">
        <f aca="false">IF($A49="","",IF(ISNUMBER($G49),$G49,IF(ISNUMBER($F49),$F49,"")))</f>
        <v>0.18</v>
      </c>
      <c r="I49" s="37" t="n">
        <f aca="false">IF(OR($A49="",NOT(ISNUMBER($D49)),NOT(ISNUMBER($H49))),"",IF((1-$H49-Parâmetros!$B$9-Parâmetros!$C$9-Parâmetros!$D$9)&lt;=0,"INVALIDO",($D49+IF(ISNUMBER($E49),$E49,0)+IF(ISNUMBER(Parâmetros!$E$9),Parâmetros!$E$9,0))/(1-$H49-Parâmetros!$B$9-Parâmetros!$C$9-Parâmetros!$D$9)))</f>
        <v>196.142857142857</v>
      </c>
      <c r="J49" s="38"/>
      <c r="K49" s="39" t="n">
        <f aca="false">IF(OR($A49="",NOT(ISNUMBER($D49)),NOT(ISNUMBER($H49))),"",IF(AND(ISNUMBER($J49),$J49&gt;0),$J49,IF(ISNUMBER($I49),$I49,"")))</f>
        <v>196.142857142857</v>
      </c>
      <c r="L49" s="40" t="n">
        <f aca="false">IF(ISNUMBER($K49),$K49*$H49,"")</f>
        <v>35.3057142857143</v>
      </c>
      <c r="M49" s="40" t="n">
        <f aca="false">IF(ISNUMBER($K49),$K49*Parâmetros!$B$9,"")</f>
        <v>19.6142857142857</v>
      </c>
      <c r="N49" s="40" t="n">
        <f aca="false">IF(ISNUMBER($K49),$K49*Parâmetros!$C$9,"")</f>
        <v>5.88428571428571</v>
      </c>
      <c r="O49" s="40" t="n">
        <f aca="false">IF(ISNUMBER($K49),IF(ISNUMBER(Parâmetros!$E$9),Parâmetros!$E$9,0),"")</f>
        <v>0</v>
      </c>
      <c r="P49" s="41" t="n">
        <f aca="false">IF(ISNUMBER($K49),$K49-$D49-IF(ISNUMBER($E49),$E49,0)-$L49-$M49-$N49-$O49,"")</f>
        <v>39.2285714285714</v>
      </c>
      <c r="Q49" s="42" t="n">
        <f aca="false">IF(AND(ISNUMBER($K49),$K49&gt;0),$P49/$K49,"")</f>
        <v>0.2</v>
      </c>
      <c r="R49" s="43"/>
      <c r="S49" s="44" t="str">
        <f aca="false">IF(OR(NOT(ISNUMBER($R49)),$R49=0,NOT(ISNUMBER($K49))),"",$K49*(1-$R49))</f>
        <v/>
      </c>
      <c r="T49" s="45" t="str">
        <f aca="false">IF(ISNUMBER($S49),$S49*$H49,"")</f>
        <v/>
      </c>
      <c r="U49" s="45" t="str">
        <f aca="false">IF(ISNUMBER($S49),$S49*Parâmetros!$B$9,"")</f>
        <v/>
      </c>
      <c r="V49" s="45" t="str">
        <f aca="false">IF(ISNUMBER($S49),$S49*Parâmetros!$C$9,"")</f>
        <v/>
      </c>
      <c r="W49" s="44" t="str">
        <f aca="false">IF(ISNUMBER($S49),$S49-$D49-IF(ISNUMBER($E49),$E49,0)-$O49-$T49-$U49-$V49,"")</f>
        <v/>
      </c>
      <c r="X49" s="46" t="str">
        <f aca="false">IF(AND(ISNUMBER($S49),$S49&gt;0),$W49/$S49,"")</f>
        <v/>
      </c>
      <c r="Y49" s="49"/>
      <c r="Z49" s="21"/>
    </row>
    <row r="50" customFormat="false" ht="15.75" hidden="false" customHeight="true" outlineLevel="0" collapsed="false">
      <c r="A50" s="32" t="str">
        <f aca="false">IF(Produtos!$A50="","",Produtos!$A50)</f>
        <v>L2440-AML</v>
      </c>
      <c r="B50" s="32" t="str">
        <f aca="false">IF(Produtos!$A50="","",Produtos!$B50)</f>
        <v>Lixeira c/Aro Meia Lua 24x40 20L</v>
      </c>
      <c r="C50" s="32" t="str">
        <f aca="false">IF(Produtos!$A50="","",Produtos!$C50)</f>
        <v>Lixeiras em inox</v>
      </c>
      <c r="D50" s="33" t="n">
        <f aca="false">IF(Produtos!$A50="","",IF(Produtos!$D50="","",Produtos!$D50))</f>
        <v>113.2</v>
      </c>
      <c r="E50" s="11" t="n">
        <v>0</v>
      </c>
      <c r="F50" s="34" t="n">
        <f aca="false">IF($A50="","",IF($C50="","⚠ categoria",IFERROR(INDEX(Parâmetros!$G$13:$G$22,MATCH($C50,Parâmetros!$A$13:$A$22,0)),"⚠ categoria")))</f>
        <v>0.18</v>
      </c>
      <c r="G50" s="35"/>
      <c r="H50" s="36" t="n">
        <f aca="false">IF($A50="","",IF(ISNUMBER($G50),$G50,IF(ISNUMBER($F50),$F50,"")))</f>
        <v>0.18</v>
      </c>
      <c r="I50" s="37" t="n">
        <f aca="false">IF(OR($A50="",NOT(ISNUMBER($D50)),NOT(ISNUMBER($H50))),"",IF((1-$H50-Parâmetros!$B$9-Parâmetros!$C$9-Parâmetros!$D$9)&lt;=0,"INVALIDO",($D50+IF(ISNUMBER($E50),$E50,0)+IF(ISNUMBER(Parâmetros!$E$9),Parâmetros!$E$9,0))/(1-$H50-Parâmetros!$B$9-Parâmetros!$C$9-Parâmetros!$D$9)))</f>
        <v>231.020408163265</v>
      </c>
      <c r="J50" s="38"/>
      <c r="K50" s="39" t="n">
        <f aca="false">IF(OR($A50="",NOT(ISNUMBER($D50)),NOT(ISNUMBER($H50))),"",IF(AND(ISNUMBER($J50),$J50&gt;0),$J50,IF(ISNUMBER($I50),$I50,"")))</f>
        <v>231.020408163265</v>
      </c>
      <c r="L50" s="40" t="n">
        <f aca="false">IF(ISNUMBER($K50),$K50*$H50,"")</f>
        <v>41.5836734693878</v>
      </c>
      <c r="M50" s="40" t="n">
        <f aca="false">IF(ISNUMBER($K50),$K50*Parâmetros!$B$9,"")</f>
        <v>23.1020408163265</v>
      </c>
      <c r="N50" s="40" t="n">
        <f aca="false">IF(ISNUMBER($K50),$K50*Parâmetros!$C$9,"")</f>
        <v>6.93061224489796</v>
      </c>
      <c r="O50" s="40" t="n">
        <f aca="false">IF(ISNUMBER($K50),IF(ISNUMBER(Parâmetros!$E$9),Parâmetros!$E$9,0),"")</f>
        <v>0</v>
      </c>
      <c r="P50" s="41" t="n">
        <f aca="false">IF(ISNUMBER($K50),$K50-$D50-IF(ISNUMBER($E50),$E50,0)-$L50-$M50-$N50-$O50,"")</f>
        <v>46.204081632653</v>
      </c>
      <c r="Q50" s="42" t="n">
        <f aca="false">IF(AND(ISNUMBER($K50),$K50&gt;0),$P50/$K50,"")</f>
        <v>0.2</v>
      </c>
      <c r="R50" s="43"/>
      <c r="S50" s="44" t="str">
        <f aca="false">IF(OR(NOT(ISNUMBER($R50)),$R50=0,NOT(ISNUMBER($K50))),"",$K50*(1-$R50))</f>
        <v/>
      </c>
      <c r="T50" s="45" t="str">
        <f aca="false">IF(ISNUMBER($S50),$S50*$H50,"")</f>
        <v/>
      </c>
      <c r="U50" s="45" t="str">
        <f aca="false">IF(ISNUMBER($S50),$S50*Parâmetros!$B$9,"")</f>
        <v/>
      </c>
      <c r="V50" s="45" t="str">
        <f aca="false">IF(ISNUMBER($S50),$S50*Parâmetros!$C$9,"")</f>
        <v/>
      </c>
      <c r="W50" s="44" t="str">
        <f aca="false">IF(ISNUMBER($S50),$S50-$D50-IF(ISNUMBER($E50),$E50,0)-$O50-$T50-$U50-$V50,"")</f>
        <v/>
      </c>
      <c r="X50" s="46" t="str">
        <f aca="false">IF(AND(ISNUMBER($S50),$S50&gt;0),$W50/$S50,"")</f>
        <v/>
      </c>
      <c r="Y50" s="47"/>
      <c r="Z50" s="19"/>
    </row>
    <row r="51" customFormat="false" ht="15.75" hidden="false" customHeight="true" outlineLevel="0" collapsed="false">
      <c r="A51" s="48" t="str">
        <f aca="false">IF(Produtos!$A51="","",Produtos!$A51)</f>
        <v>L2450-AML</v>
      </c>
      <c r="B51" s="48" t="str">
        <f aca="false">IF(Produtos!$A51="","",Produtos!$B51)</f>
        <v>Lixeira c/Aro Meia Lua 24x50 25L</v>
      </c>
      <c r="C51" s="48" t="str">
        <f aca="false">IF(Produtos!$A51="","",Produtos!$C51)</f>
        <v>Lixeiras em inox</v>
      </c>
      <c r="D51" s="33" t="n">
        <f aca="false">IF(Produtos!$A51="","",IF(Produtos!$D51="","",Produtos!$D51))</f>
        <v>139.49</v>
      </c>
      <c r="E51" s="11" t="n">
        <v>0</v>
      </c>
      <c r="F51" s="34" t="n">
        <f aca="false">IF($A51="","",IF($C51="","⚠ categoria",IFERROR(INDEX(Parâmetros!$G$13:$G$22,MATCH($C51,Parâmetros!$A$13:$A$22,0)),"⚠ categoria")))</f>
        <v>0.18</v>
      </c>
      <c r="G51" s="35"/>
      <c r="H51" s="36" t="n">
        <f aca="false">IF($A51="","",IF(ISNUMBER($G51),$G51,IF(ISNUMBER($F51),$F51,"")))</f>
        <v>0.18</v>
      </c>
      <c r="I51" s="37" t="n">
        <f aca="false">IF(OR($A51="",NOT(ISNUMBER($D51)),NOT(ISNUMBER($H51))),"",IF((1-$H51-Parâmetros!$B$9-Parâmetros!$C$9-Parâmetros!$D$9)&lt;=0,"INVALIDO",($D51+IF(ISNUMBER($E51),$E51,0)+IF(ISNUMBER(Parâmetros!$E$9),Parâmetros!$E$9,0))/(1-$H51-Parâmetros!$B$9-Parâmetros!$C$9-Parâmetros!$D$9)))</f>
        <v>284.673469387755</v>
      </c>
      <c r="J51" s="38"/>
      <c r="K51" s="39" t="n">
        <f aca="false">IF(OR($A51="",NOT(ISNUMBER($D51)),NOT(ISNUMBER($H51))),"",IF(AND(ISNUMBER($J51),$J51&gt;0),$J51,IF(ISNUMBER($I51),$I51,"")))</f>
        <v>284.673469387755</v>
      </c>
      <c r="L51" s="40" t="n">
        <f aca="false">IF(ISNUMBER($K51),$K51*$H51,"")</f>
        <v>51.2412244897959</v>
      </c>
      <c r="M51" s="40" t="n">
        <f aca="false">IF(ISNUMBER($K51),$K51*Parâmetros!$B$9,"")</f>
        <v>28.4673469387755</v>
      </c>
      <c r="N51" s="40" t="n">
        <f aca="false">IF(ISNUMBER($K51),$K51*Parâmetros!$C$9,"")</f>
        <v>8.54020408163265</v>
      </c>
      <c r="O51" s="40" t="n">
        <f aca="false">IF(ISNUMBER($K51),IF(ISNUMBER(Parâmetros!$E$9),Parâmetros!$E$9,0),"")</f>
        <v>0</v>
      </c>
      <c r="P51" s="41" t="n">
        <f aca="false">IF(ISNUMBER($K51),$K51-$D51-IF(ISNUMBER($E51),$E51,0)-$L51-$M51-$N51-$O51,"")</f>
        <v>56.934693877551</v>
      </c>
      <c r="Q51" s="42" t="n">
        <f aca="false">IF(AND(ISNUMBER($K51),$K51&gt;0),$P51/$K51,"")</f>
        <v>0.2</v>
      </c>
      <c r="R51" s="43"/>
      <c r="S51" s="44" t="str">
        <f aca="false">IF(OR(NOT(ISNUMBER($R51)),$R51=0,NOT(ISNUMBER($K51))),"",$K51*(1-$R51))</f>
        <v/>
      </c>
      <c r="T51" s="45" t="str">
        <f aca="false">IF(ISNUMBER($S51),$S51*$H51,"")</f>
        <v/>
      </c>
      <c r="U51" s="45" t="str">
        <f aca="false">IF(ISNUMBER($S51),$S51*Parâmetros!$B$9,"")</f>
        <v/>
      </c>
      <c r="V51" s="45" t="str">
        <f aca="false">IF(ISNUMBER($S51),$S51*Parâmetros!$C$9,"")</f>
        <v/>
      </c>
      <c r="W51" s="44" t="str">
        <f aca="false">IF(ISNUMBER($S51),$S51-$D51-IF(ISNUMBER($E51),$E51,0)-$O51-$T51-$U51-$V51,"")</f>
        <v/>
      </c>
      <c r="X51" s="46" t="str">
        <f aca="false">IF(AND(ISNUMBER($S51),$S51&gt;0),$W51/$S51,"")</f>
        <v/>
      </c>
      <c r="Y51" s="49"/>
      <c r="Z51" s="21"/>
    </row>
    <row r="52" customFormat="false" ht="15.75" hidden="false" customHeight="true" outlineLevel="0" collapsed="false">
      <c r="A52" s="32" t="str">
        <f aca="false">IF(Produtos!$A52="","",Produtos!$A52)</f>
        <v>L2460-AML</v>
      </c>
      <c r="B52" s="32" t="str">
        <f aca="false">IF(Produtos!$A52="","",Produtos!$B52)</f>
        <v>Lixeira c/Aro Meia Lua 24x60 27L</v>
      </c>
      <c r="C52" s="32" t="str">
        <f aca="false">IF(Produtos!$A52="","",Produtos!$C52)</f>
        <v>Lixeiras em inox</v>
      </c>
      <c r="D52" s="33" t="n">
        <f aca="false">IF(Produtos!$A52="","",IF(Produtos!$D52="","",Produtos!$D52))</f>
        <v>140.97</v>
      </c>
      <c r="E52" s="11" t="n">
        <v>0</v>
      </c>
      <c r="F52" s="34" t="n">
        <f aca="false">IF($A52="","",IF($C52="","⚠ categoria",IFERROR(INDEX(Parâmetros!$G$13:$G$22,MATCH($C52,Parâmetros!$A$13:$A$22,0)),"⚠ categoria")))</f>
        <v>0.18</v>
      </c>
      <c r="G52" s="35"/>
      <c r="H52" s="36" t="n">
        <f aca="false">IF($A52="","",IF(ISNUMBER($G52),$G52,IF(ISNUMBER($F52),$F52,"")))</f>
        <v>0.18</v>
      </c>
      <c r="I52" s="37" t="n">
        <f aca="false">IF(OR($A52="",NOT(ISNUMBER($D52)),NOT(ISNUMBER($H52))),"",IF((1-$H52-Parâmetros!$B$9-Parâmetros!$C$9-Parâmetros!$D$9)&lt;=0,"INVALIDO",($D52+IF(ISNUMBER($E52),$E52,0)+IF(ISNUMBER(Parâmetros!$E$9),Parâmetros!$E$9,0))/(1-$H52-Parâmetros!$B$9-Parâmetros!$C$9-Parâmetros!$D$9)))</f>
        <v>287.69387755102</v>
      </c>
      <c r="J52" s="38"/>
      <c r="K52" s="39" t="n">
        <f aca="false">IF(OR($A52="",NOT(ISNUMBER($D52)),NOT(ISNUMBER($H52))),"",IF(AND(ISNUMBER($J52),$J52&gt;0),$J52,IF(ISNUMBER($I52),$I52,"")))</f>
        <v>287.69387755102</v>
      </c>
      <c r="L52" s="40" t="n">
        <f aca="false">IF(ISNUMBER($K52),$K52*$H52,"")</f>
        <v>51.7848979591837</v>
      </c>
      <c r="M52" s="40" t="n">
        <f aca="false">IF(ISNUMBER($K52),$K52*Parâmetros!$B$9,"")</f>
        <v>28.769387755102</v>
      </c>
      <c r="N52" s="40" t="n">
        <f aca="false">IF(ISNUMBER($K52),$K52*Parâmetros!$C$9,"")</f>
        <v>8.63081632653061</v>
      </c>
      <c r="O52" s="40" t="n">
        <f aca="false">IF(ISNUMBER($K52),IF(ISNUMBER(Parâmetros!$E$9),Parâmetros!$E$9,0),"")</f>
        <v>0</v>
      </c>
      <c r="P52" s="41" t="n">
        <f aca="false">IF(ISNUMBER($K52),$K52-$D52-IF(ISNUMBER($E52),$E52,0)-$L52-$M52-$N52-$O52,"")</f>
        <v>57.5387755102041</v>
      </c>
      <c r="Q52" s="42" t="n">
        <f aca="false">IF(AND(ISNUMBER($K52),$K52&gt;0),$P52/$K52,"")</f>
        <v>0.2</v>
      </c>
      <c r="R52" s="43"/>
      <c r="S52" s="44" t="str">
        <f aca="false">IF(OR(NOT(ISNUMBER($R52)),$R52=0,NOT(ISNUMBER($K52))),"",$K52*(1-$R52))</f>
        <v/>
      </c>
      <c r="T52" s="45" t="str">
        <f aca="false">IF(ISNUMBER($S52),$S52*$H52,"")</f>
        <v/>
      </c>
      <c r="U52" s="45" t="str">
        <f aca="false">IF(ISNUMBER($S52),$S52*Parâmetros!$B$9,"")</f>
        <v/>
      </c>
      <c r="V52" s="45" t="str">
        <f aca="false">IF(ISNUMBER($S52),$S52*Parâmetros!$C$9,"")</f>
        <v/>
      </c>
      <c r="W52" s="44" t="str">
        <f aca="false">IF(ISNUMBER($S52),$S52-$D52-IF(ISNUMBER($E52),$E52,0)-$O52-$T52-$U52-$V52,"")</f>
        <v/>
      </c>
      <c r="X52" s="46" t="str">
        <f aca="false">IF(AND(ISNUMBER($S52),$S52&gt;0),$W52/$S52,"")</f>
        <v/>
      </c>
      <c r="Y52" s="47"/>
      <c r="Z52" s="19"/>
    </row>
    <row r="53" customFormat="false" ht="15.75" hidden="false" customHeight="true" outlineLevel="0" collapsed="false">
      <c r="A53" s="48" t="str">
        <f aca="false">IF(Produtos!$A53="","",Produtos!$A53)</f>
        <v>L2470-AML</v>
      </c>
      <c r="B53" s="48" t="str">
        <f aca="false">IF(Produtos!$A53="","",Produtos!$B53)</f>
        <v>Lixeira c/Aro Meia Lua 24x70 30L</v>
      </c>
      <c r="C53" s="48" t="str">
        <f aca="false">IF(Produtos!$A53="","",Produtos!$C53)</f>
        <v>Lixeiras em inox</v>
      </c>
      <c r="D53" s="33" t="n">
        <f aca="false">IF(Produtos!$A53="","",IF(Produtos!$D53="","",Produtos!$D53))</f>
        <v>208.28</v>
      </c>
      <c r="E53" s="11" t="n">
        <v>0</v>
      </c>
      <c r="F53" s="34" t="n">
        <f aca="false">IF($A53="","",IF($C53="","⚠ categoria",IFERROR(INDEX(Parâmetros!$G$13:$G$22,MATCH($C53,Parâmetros!$A$13:$A$22,0)),"⚠ categoria")))</f>
        <v>0.18</v>
      </c>
      <c r="G53" s="35"/>
      <c r="H53" s="36" t="n">
        <f aca="false">IF($A53="","",IF(ISNUMBER($G53),$G53,IF(ISNUMBER($F53),$F53,"")))</f>
        <v>0.18</v>
      </c>
      <c r="I53" s="37" t="n">
        <f aca="false">IF(OR($A53="",NOT(ISNUMBER($D53)),NOT(ISNUMBER($H53))),"",IF((1-$H53-Parâmetros!$B$9-Parâmetros!$C$9-Parâmetros!$D$9)&lt;=0,"INVALIDO",($D53+IF(ISNUMBER($E53),$E53,0)+IF(ISNUMBER(Parâmetros!$E$9),Parâmetros!$E$9,0))/(1-$H53-Parâmetros!$B$9-Parâmetros!$C$9-Parâmetros!$D$9)))</f>
        <v>425.061224489796</v>
      </c>
      <c r="J53" s="38"/>
      <c r="K53" s="39" t="n">
        <f aca="false">IF(OR($A53="",NOT(ISNUMBER($D53)),NOT(ISNUMBER($H53))),"",IF(AND(ISNUMBER($J53),$J53&gt;0),$J53,IF(ISNUMBER($I53),$I53,"")))</f>
        <v>425.061224489796</v>
      </c>
      <c r="L53" s="40" t="n">
        <f aca="false">IF(ISNUMBER($K53),$K53*$H53,"")</f>
        <v>76.5110204081633</v>
      </c>
      <c r="M53" s="40" t="n">
        <f aca="false">IF(ISNUMBER($K53),$K53*Parâmetros!$B$9,"")</f>
        <v>42.5061224489796</v>
      </c>
      <c r="N53" s="40" t="n">
        <f aca="false">IF(ISNUMBER($K53),$K53*Parâmetros!$C$9,"")</f>
        <v>12.7518367346939</v>
      </c>
      <c r="O53" s="40" t="n">
        <f aca="false">IF(ISNUMBER($K53),IF(ISNUMBER(Parâmetros!$E$9),Parâmetros!$E$9,0),"")</f>
        <v>0</v>
      </c>
      <c r="P53" s="41" t="n">
        <f aca="false">IF(ISNUMBER($K53),$K53-$D53-IF(ISNUMBER($E53),$E53,0)-$L53-$M53-$N53-$O53,"")</f>
        <v>85.0122448979592</v>
      </c>
      <c r="Q53" s="42" t="n">
        <f aca="false">IF(AND(ISNUMBER($K53),$K53&gt;0),$P53/$K53,"")</f>
        <v>0.2</v>
      </c>
      <c r="R53" s="43"/>
      <c r="S53" s="44" t="str">
        <f aca="false">IF(OR(NOT(ISNUMBER($R53)),$R53=0,NOT(ISNUMBER($K53))),"",$K53*(1-$R53))</f>
        <v/>
      </c>
      <c r="T53" s="45" t="str">
        <f aca="false">IF(ISNUMBER($S53),$S53*$H53,"")</f>
        <v/>
      </c>
      <c r="U53" s="45" t="str">
        <f aca="false">IF(ISNUMBER($S53),$S53*Parâmetros!$B$9,"")</f>
        <v/>
      </c>
      <c r="V53" s="45" t="str">
        <f aca="false">IF(ISNUMBER($S53),$S53*Parâmetros!$C$9,"")</f>
        <v/>
      </c>
      <c r="W53" s="44" t="str">
        <f aca="false">IF(ISNUMBER($S53),$S53-$D53-IF(ISNUMBER($E53),$E53,0)-$O53-$T53-$U53-$V53,"")</f>
        <v/>
      </c>
      <c r="X53" s="46" t="str">
        <f aca="false">IF(AND(ISNUMBER($S53),$S53&gt;0),$W53/$S53,"")</f>
        <v/>
      </c>
      <c r="Y53" s="49"/>
      <c r="Z53" s="21"/>
    </row>
    <row r="54" customFormat="false" ht="15.75" hidden="false" customHeight="true" outlineLevel="0" collapsed="false">
      <c r="A54" s="32" t="str">
        <f aca="false">IF(Produtos!$A54="","",Produtos!$A54)</f>
        <v>L3040-AML</v>
      </c>
      <c r="B54" s="32" t="str">
        <f aca="false">IF(Produtos!$A54="","",Produtos!$B54)</f>
        <v>Lixeira c/Aro Meia Lua 30x40 30L</v>
      </c>
      <c r="C54" s="32" t="str">
        <f aca="false">IF(Produtos!$A54="","",Produtos!$C54)</f>
        <v>Lixeiras em inox</v>
      </c>
      <c r="D54" s="33" t="n">
        <f aca="false">IF(Produtos!$A54="","",IF(Produtos!$D54="","",Produtos!$D54))</f>
        <v>161.26</v>
      </c>
      <c r="E54" s="11" t="n">
        <v>0</v>
      </c>
      <c r="F54" s="34" t="n">
        <f aca="false">IF($A54="","",IF($C54="","⚠ categoria",IFERROR(INDEX(Parâmetros!$G$13:$G$22,MATCH($C54,Parâmetros!$A$13:$A$22,0)),"⚠ categoria")))</f>
        <v>0.18</v>
      </c>
      <c r="G54" s="35"/>
      <c r="H54" s="36" t="n">
        <f aca="false">IF($A54="","",IF(ISNUMBER($G54),$G54,IF(ISNUMBER($F54),$F54,"")))</f>
        <v>0.18</v>
      </c>
      <c r="I54" s="37" t="n">
        <f aca="false">IF(OR($A54="",NOT(ISNUMBER($D54)),NOT(ISNUMBER($H54))),"",IF((1-$H54-Parâmetros!$B$9-Parâmetros!$C$9-Parâmetros!$D$9)&lt;=0,"INVALIDO",($D54+IF(ISNUMBER($E54),$E54,0)+IF(ISNUMBER(Parâmetros!$E$9),Parâmetros!$E$9,0))/(1-$H54-Parâmetros!$B$9-Parâmetros!$C$9-Parâmetros!$D$9)))</f>
        <v>329.102040816327</v>
      </c>
      <c r="J54" s="38"/>
      <c r="K54" s="39" t="n">
        <f aca="false">IF(OR($A54="",NOT(ISNUMBER($D54)),NOT(ISNUMBER($H54))),"",IF(AND(ISNUMBER($J54),$J54&gt;0),$J54,IF(ISNUMBER($I54),$I54,"")))</f>
        <v>329.102040816327</v>
      </c>
      <c r="L54" s="40" t="n">
        <f aca="false">IF(ISNUMBER($K54),$K54*$H54,"")</f>
        <v>59.2383673469388</v>
      </c>
      <c r="M54" s="40" t="n">
        <f aca="false">IF(ISNUMBER($K54),$K54*Parâmetros!$B$9,"")</f>
        <v>32.9102040816327</v>
      </c>
      <c r="N54" s="40" t="n">
        <f aca="false">IF(ISNUMBER($K54),$K54*Parâmetros!$C$9,"")</f>
        <v>9.8730612244898</v>
      </c>
      <c r="O54" s="40" t="n">
        <f aca="false">IF(ISNUMBER($K54),IF(ISNUMBER(Parâmetros!$E$9),Parâmetros!$E$9,0),"")</f>
        <v>0</v>
      </c>
      <c r="P54" s="41" t="n">
        <f aca="false">IF(ISNUMBER($K54),$K54-$D54-IF(ISNUMBER($E54),$E54,0)-$L54-$M54-$N54-$O54,"")</f>
        <v>65.8204081632653</v>
      </c>
      <c r="Q54" s="42" t="n">
        <f aca="false">IF(AND(ISNUMBER($K54),$K54&gt;0),$P54/$K54,"")</f>
        <v>0.2</v>
      </c>
      <c r="R54" s="43"/>
      <c r="S54" s="44" t="str">
        <f aca="false">IF(OR(NOT(ISNUMBER($R54)),$R54=0,NOT(ISNUMBER($K54))),"",$K54*(1-$R54))</f>
        <v/>
      </c>
      <c r="T54" s="45" t="str">
        <f aca="false">IF(ISNUMBER($S54),$S54*$H54,"")</f>
        <v/>
      </c>
      <c r="U54" s="45" t="str">
        <f aca="false">IF(ISNUMBER($S54),$S54*Parâmetros!$B$9,"")</f>
        <v/>
      </c>
      <c r="V54" s="45" t="str">
        <f aca="false">IF(ISNUMBER($S54),$S54*Parâmetros!$C$9,"")</f>
        <v/>
      </c>
      <c r="W54" s="44" t="str">
        <f aca="false">IF(ISNUMBER($S54),$S54-$D54-IF(ISNUMBER($E54),$E54,0)-$O54-$T54-$U54-$V54,"")</f>
        <v/>
      </c>
      <c r="X54" s="46" t="str">
        <f aca="false">IF(AND(ISNUMBER($S54),$S54&gt;0),$W54/$S54,"")</f>
        <v/>
      </c>
      <c r="Y54" s="47"/>
      <c r="Z54" s="19"/>
    </row>
    <row r="55" customFormat="false" ht="15.75" hidden="false" customHeight="true" outlineLevel="0" collapsed="false">
      <c r="A55" s="48" t="str">
        <f aca="false">IF(Produtos!$A55="","",Produtos!$A55)</f>
        <v>L3050-AML</v>
      </c>
      <c r="B55" s="48" t="str">
        <f aca="false">IF(Produtos!$A55="","",Produtos!$B55)</f>
        <v>Lixeira c/Aro Meia Lua 30x50 35L</v>
      </c>
      <c r="C55" s="48" t="str">
        <f aca="false">IF(Produtos!$A55="","",Produtos!$C55)</f>
        <v>Lixeiras em inox</v>
      </c>
      <c r="D55" s="33" t="n">
        <f aca="false">IF(Produtos!$A55="","",IF(Produtos!$D55="","",Produtos!$D55))</f>
        <v>205.71</v>
      </c>
      <c r="E55" s="11" t="n">
        <v>0</v>
      </c>
      <c r="F55" s="34" t="n">
        <f aca="false">IF($A55="","",IF($C55="","⚠ categoria",IFERROR(INDEX(Parâmetros!$G$13:$G$22,MATCH($C55,Parâmetros!$A$13:$A$22,0)),"⚠ categoria")))</f>
        <v>0.18</v>
      </c>
      <c r="G55" s="35"/>
      <c r="H55" s="36" t="n">
        <f aca="false">IF($A55="","",IF(ISNUMBER($G55),$G55,IF(ISNUMBER($F55),$F55,"")))</f>
        <v>0.18</v>
      </c>
      <c r="I55" s="37" t="n">
        <f aca="false">IF(OR($A55="",NOT(ISNUMBER($D55)),NOT(ISNUMBER($H55))),"",IF((1-$H55-Parâmetros!$B$9-Parâmetros!$C$9-Parâmetros!$D$9)&lt;=0,"INVALIDO",($D55+IF(ISNUMBER($E55),$E55,0)+IF(ISNUMBER(Parâmetros!$E$9),Parâmetros!$E$9,0))/(1-$H55-Parâmetros!$B$9-Parâmetros!$C$9-Parâmetros!$D$9)))</f>
        <v>419.816326530612</v>
      </c>
      <c r="J55" s="38"/>
      <c r="K55" s="39" t="n">
        <f aca="false">IF(OR($A55="",NOT(ISNUMBER($D55)),NOT(ISNUMBER($H55))),"",IF(AND(ISNUMBER($J55),$J55&gt;0),$J55,IF(ISNUMBER($I55),$I55,"")))</f>
        <v>419.816326530612</v>
      </c>
      <c r="L55" s="40" t="n">
        <f aca="false">IF(ISNUMBER($K55),$K55*$H55,"")</f>
        <v>75.5669387755102</v>
      </c>
      <c r="M55" s="40" t="n">
        <f aca="false">IF(ISNUMBER($K55),$K55*Parâmetros!$B$9,"")</f>
        <v>41.9816326530612</v>
      </c>
      <c r="N55" s="40" t="n">
        <f aca="false">IF(ISNUMBER($K55),$K55*Parâmetros!$C$9,"")</f>
        <v>12.5944897959184</v>
      </c>
      <c r="O55" s="40" t="n">
        <f aca="false">IF(ISNUMBER($K55),IF(ISNUMBER(Parâmetros!$E$9),Parâmetros!$E$9,0),"")</f>
        <v>0</v>
      </c>
      <c r="P55" s="41" t="n">
        <f aca="false">IF(ISNUMBER($K55),$K55-$D55-IF(ISNUMBER($E55),$E55,0)-$L55-$M55-$N55-$O55,"")</f>
        <v>83.9632653061225</v>
      </c>
      <c r="Q55" s="42" t="n">
        <f aca="false">IF(AND(ISNUMBER($K55),$K55&gt;0),$P55/$K55,"")</f>
        <v>0.2</v>
      </c>
      <c r="R55" s="43"/>
      <c r="S55" s="44" t="str">
        <f aca="false">IF(OR(NOT(ISNUMBER($R55)),$R55=0,NOT(ISNUMBER($K55))),"",$K55*(1-$R55))</f>
        <v/>
      </c>
      <c r="T55" s="45" t="str">
        <f aca="false">IF(ISNUMBER($S55),$S55*$H55,"")</f>
        <v/>
      </c>
      <c r="U55" s="45" t="str">
        <f aca="false">IF(ISNUMBER($S55),$S55*Parâmetros!$B$9,"")</f>
        <v/>
      </c>
      <c r="V55" s="45" t="str">
        <f aca="false">IF(ISNUMBER($S55),$S55*Parâmetros!$C$9,"")</f>
        <v/>
      </c>
      <c r="W55" s="44" t="str">
        <f aca="false">IF(ISNUMBER($S55),$S55-$D55-IF(ISNUMBER($E55),$E55,0)-$O55-$T55-$U55-$V55,"")</f>
        <v/>
      </c>
      <c r="X55" s="46" t="str">
        <f aca="false">IF(AND(ISNUMBER($S55),$S55&gt;0),$W55/$S55,"")</f>
        <v/>
      </c>
      <c r="Y55" s="49"/>
      <c r="Z55" s="21"/>
    </row>
    <row r="56" customFormat="false" ht="15.75" hidden="false" customHeight="true" outlineLevel="0" collapsed="false">
      <c r="A56" s="32" t="str">
        <f aca="false">IF(Produtos!$A56="","",Produtos!$A56)</f>
        <v>L3060-AML</v>
      </c>
      <c r="B56" s="32" t="str">
        <f aca="false">IF(Produtos!$A56="","",Produtos!$B56)</f>
        <v>Lixeira c/Aro Meia Lua 30x60 40L</v>
      </c>
      <c r="C56" s="32" t="str">
        <f aca="false">IF(Produtos!$A56="","",Produtos!$C56)</f>
        <v>Lixeiras em inox</v>
      </c>
      <c r="D56" s="33" t="n">
        <f aca="false">IF(Produtos!$A56="","",IF(Produtos!$D56="","",Produtos!$D56))</f>
        <v>235.28</v>
      </c>
      <c r="E56" s="11" t="n">
        <v>0</v>
      </c>
      <c r="F56" s="34" t="n">
        <f aca="false">IF($A56="","",IF($C56="","⚠ categoria",IFERROR(INDEX(Parâmetros!$G$13:$G$22,MATCH($C56,Parâmetros!$A$13:$A$22,0)),"⚠ categoria")))</f>
        <v>0.18</v>
      </c>
      <c r="G56" s="35"/>
      <c r="H56" s="36" t="n">
        <f aca="false">IF($A56="","",IF(ISNUMBER($G56),$G56,IF(ISNUMBER($F56),$F56,"")))</f>
        <v>0.18</v>
      </c>
      <c r="I56" s="37" t="n">
        <f aca="false">IF(OR($A56="",NOT(ISNUMBER($D56)),NOT(ISNUMBER($H56))),"",IF((1-$H56-Parâmetros!$B$9-Parâmetros!$C$9-Parâmetros!$D$9)&lt;=0,"INVALIDO",($D56+IF(ISNUMBER($E56),$E56,0)+IF(ISNUMBER(Parâmetros!$E$9),Parâmetros!$E$9,0))/(1-$H56-Parâmetros!$B$9-Parâmetros!$C$9-Parâmetros!$D$9)))</f>
        <v>480.163265306122</v>
      </c>
      <c r="J56" s="38"/>
      <c r="K56" s="39" t="n">
        <f aca="false">IF(OR($A56="",NOT(ISNUMBER($D56)),NOT(ISNUMBER($H56))),"",IF(AND(ISNUMBER($J56),$J56&gt;0),$J56,IF(ISNUMBER($I56),$I56,"")))</f>
        <v>480.163265306122</v>
      </c>
      <c r="L56" s="40" t="n">
        <f aca="false">IF(ISNUMBER($K56),$K56*$H56,"")</f>
        <v>86.429387755102</v>
      </c>
      <c r="M56" s="40" t="n">
        <f aca="false">IF(ISNUMBER($K56),$K56*Parâmetros!$B$9,"")</f>
        <v>48.0163265306123</v>
      </c>
      <c r="N56" s="40" t="n">
        <f aca="false">IF(ISNUMBER($K56),$K56*Parâmetros!$C$9,"")</f>
        <v>14.4048979591837</v>
      </c>
      <c r="O56" s="40" t="n">
        <f aca="false">IF(ISNUMBER($K56),IF(ISNUMBER(Parâmetros!$E$9),Parâmetros!$E$9,0),"")</f>
        <v>0</v>
      </c>
      <c r="P56" s="41" t="n">
        <f aca="false">IF(ISNUMBER($K56),$K56-$D56-IF(ISNUMBER($E56),$E56,0)-$L56-$M56-$N56-$O56,"")</f>
        <v>96.0326530612245</v>
      </c>
      <c r="Q56" s="42" t="n">
        <f aca="false">IF(AND(ISNUMBER($K56),$K56&gt;0),$P56/$K56,"")</f>
        <v>0.2</v>
      </c>
      <c r="R56" s="43"/>
      <c r="S56" s="44" t="str">
        <f aca="false">IF(OR(NOT(ISNUMBER($R56)),$R56=0,NOT(ISNUMBER($K56))),"",$K56*(1-$R56))</f>
        <v/>
      </c>
      <c r="T56" s="45" t="str">
        <f aca="false">IF(ISNUMBER($S56),$S56*$H56,"")</f>
        <v/>
      </c>
      <c r="U56" s="45" t="str">
        <f aca="false">IF(ISNUMBER($S56),$S56*Parâmetros!$B$9,"")</f>
        <v/>
      </c>
      <c r="V56" s="45" t="str">
        <f aca="false">IF(ISNUMBER($S56),$S56*Parâmetros!$C$9,"")</f>
        <v/>
      </c>
      <c r="W56" s="44" t="str">
        <f aca="false">IF(ISNUMBER($S56),$S56-$D56-IF(ISNUMBER($E56),$E56,0)-$O56-$T56-$U56-$V56,"")</f>
        <v/>
      </c>
      <c r="X56" s="46" t="str">
        <f aca="false">IF(AND(ISNUMBER($S56),$S56&gt;0),$W56/$S56,"")</f>
        <v/>
      </c>
      <c r="Y56" s="47"/>
      <c r="Z56" s="19"/>
    </row>
    <row r="57" customFormat="false" ht="15.75" hidden="false" customHeight="true" outlineLevel="0" collapsed="false">
      <c r="A57" s="48" t="str">
        <f aca="false">IF(Produtos!$A57="","",Produtos!$A57)</f>
        <v>L3070-AML</v>
      </c>
      <c r="B57" s="48" t="str">
        <f aca="false">IF(Produtos!$A57="","",Produtos!$B57)</f>
        <v>Lixeira c/Aro Meia Lua 30x70 50L</v>
      </c>
      <c r="C57" s="48" t="str">
        <f aca="false">IF(Produtos!$A57="","",Produtos!$C57)</f>
        <v>Lixeiras em inox</v>
      </c>
      <c r="D57" s="33" t="n">
        <f aca="false">IF(Produtos!$A57="","",IF(Produtos!$D57="","",Produtos!$D57))</f>
        <v>269.82</v>
      </c>
      <c r="E57" s="11" t="n">
        <v>0</v>
      </c>
      <c r="F57" s="34" t="n">
        <f aca="false">IF($A57="","",IF($C57="","⚠ categoria",IFERROR(INDEX(Parâmetros!$G$13:$G$22,MATCH($C57,Parâmetros!$A$13:$A$22,0)),"⚠ categoria")))</f>
        <v>0.18</v>
      </c>
      <c r="G57" s="35"/>
      <c r="H57" s="36" t="n">
        <f aca="false">IF($A57="","",IF(ISNUMBER($G57),$G57,IF(ISNUMBER($F57),$F57,"")))</f>
        <v>0.18</v>
      </c>
      <c r="I57" s="37" t="n">
        <f aca="false">IF(OR($A57="",NOT(ISNUMBER($D57)),NOT(ISNUMBER($H57))),"",IF((1-$H57-Parâmetros!$B$9-Parâmetros!$C$9-Parâmetros!$D$9)&lt;=0,"INVALIDO",($D57+IF(ISNUMBER($E57),$E57,0)+IF(ISNUMBER(Parâmetros!$E$9),Parâmetros!$E$9,0))/(1-$H57-Parâmetros!$B$9-Parâmetros!$C$9-Parâmetros!$D$9)))</f>
        <v>550.65306122449</v>
      </c>
      <c r="J57" s="38"/>
      <c r="K57" s="39" t="n">
        <f aca="false">IF(OR($A57="",NOT(ISNUMBER($D57)),NOT(ISNUMBER($H57))),"",IF(AND(ISNUMBER($J57),$J57&gt;0),$J57,IF(ISNUMBER($I57),$I57,"")))</f>
        <v>550.65306122449</v>
      </c>
      <c r="L57" s="40" t="n">
        <f aca="false">IF(ISNUMBER($K57),$K57*$H57,"")</f>
        <v>99.1175510204082</v>
      </c>
      <c r="M57" s="40" t="n">
        <f aca="false">IF(ISNUMBER($K57),$K57*Parâmetros!$B$9,"")</f>
        <v>55.065306122449</v>
      </c>
      <c r="N57" s="40" t="n">
        <f aca="false">IF(ISNUMBER($K57),$K57*Parâmetros!$C$9,"")</f>
        <v>16.5195918367347</v>
      </c>
      <c r="O57" s="40" t="n">
        <f aca="false">IF(ISNUMBER($K57),IF(ISNUMBER(Parâmetros!$E$9),Parâmetros!$E$9,0),"")</f>
        <v>0</v>
      </c>
      <c r="P57" s="41" t="n">
        <f aca="false">IF(ISNUMBER($K57),$K57-$D57-IF(ISNUMBER($E57),$E57,0)-$L57-$M57-$N57-$O57,"")</f>
        <v>110.130612244898</v>
      </c>
      <c r="Q57" s="42" t="n">
        <f aca="false">IF(AND(ISNUMBER($K57),$K57&gt;0),$P57/$K57,"")</f>
        <v>0.2</v>
      </c>
      <c r="R57" s="43"/>
      <c r="S57" s="44" t="str">
        <f aca="false">IF(OR(NOT(ISNUMBER($R57)),$R57=0,NOT(ISNUMBER($K57))),"",$K57*(1-$R57))</f>
        <v/>
      </c>
      <c r="T57" s="45" t="str">
        <f aca="false">IF(ISNUMBER($S57),$S57*$H57,"")</f>
        <v/>
      </c>
      <c r="U57" s="45" t="str">
        <f aca="false">IF(ISNUMBER($S57),$S57*Parâmetros!$B$9,"")</f>
        <v/>
      </c>
      <c r="V57" s="45" t="str">
        <f aca="false">IF(ISNUMBER($S57),$S57*Parâmetros!$C$9,"")</f>
        <v/>
      </c>
      <c r="W57" s="44" t="str">
        <f aca="false">IF(ISNUMBER($S57),$S57-$D57-IF(ISNUMBER($E57),$E57,0)-$O57-$T57-$U57-$V57,"")</f>
        <v/>
      </c>
      <c r="X57" s="46" t="str">
        <f aca="false">IF(AND(ISNUMBER($S57),$S57&gt;0),$W57/$S57,"")</f>
        <v/>
      </c>
      <c r="Y57" s="49"/>
      <c r="Z57" s="21"/>
    </row>
    <row r="58" customFormat="false" ht="15.75" hidden="false" customHeight="true" outlineLevel="0" collapsed="false">
      <c r="A58" s="32" t="str">
        <f aca="false">IF(Produtos!$A58="","",Produtos!$A58)</f>
        <v>L3085-AML</v>
      </c>
      <c r="B58" s="32" t="str">
        <f aca="false">IF(Produtos!$A58="","",Produtos!$B58)</f>
        <v>Lixeira c/Aro Meia Lua 30x85 60L</v>
      </c>
      <c r="C58" s="32" t="str">
        <f aca="false">IF(Produtos!$A58="","",Produtos!$C58)</f>
        <v>Lixeiras em inox</v>
      </c>
      <c r="D58" s="33" t="n">
        <f aca="false">IF(Produtos!$A58="","",IF(Produtos!$D58="","",Produtos!$D58))</f>
        <v>360.65</v>
      </c>
      <c r="E58" s="11" t="n">
        <v>0</v>
      </c>
      <c r="F58" s="34" t="n">
        <f aca="false">IF($A58="","",IF($C58="","⚠ categoria",IFERROR(INDEX(Parâmetros!$G$13:$G$22,MATCH($C58,Parâmetros!$A$13:$A$22,0)),"⚠ categoria")))</f>
        <v>0.18</v>
      </c>
      <c r="G58" s="35"/>
      <c r="H58" s="36" t="n">
        <f aca="false">IF($A58="","",IF(ISNUMBER($G58),$G58,IF(ISNUMBER($F58),$F58,"")))</f>
        <v>0.18</v>
      </c>
      <c r="I58" s="37" t="n">
        <f aca="false">IF(OR($A58="",NOT(ISNUMBER($D58)),NOT(ISNUMBER($H58))),"",IF((1-$H58-Parâmetros!$B$9-Parâmetros!$C$9-Parâmetros!$D$9)&lt;=0,"INVALIDO",($D58+IF(ISNUMBER($E58),$E58,0)+IF(ISNUMBER(Parâmetros!$E$9),Parâmetros!$E$9,0))/(1-$H58-Parâmetros!$B$9-Parâmetros!$C$9-Parâmetros!$D$9)))</f>
        <v>736.020408163265</v>
      </c>
      <c r="J58" s="38"/>
      <c r="K58" s="39" t="n">
        <f aca="false">IF(OR($A58="",NOT(ISNUMBER($D58)),NOT(ISNUMBER($H58))),"",IF(AND(ISNUMBER($J58),$J58&gt;0),$J58,IF(ISNUMBER($I58),$I58,"")))</f>
        <v>736.020408163265</v>
      </c>
      <c r="L58" s="40" t="n">
        <f aca="false">IF(ISNUMBER($K58),$K58*$H58,"")</f>
        <v>132.483673469388</v>
      </c>
      <c r="M58" s="40" t="n">
        <f aca="false">IF(ISNUMBER($K58),$K58*Parâmetros!$B$9,"")</f>
        <v>73.6020408163265</v>
      </c>
      <c r="N58" s="40" t="n">
        <f aca="false">IF(ISNUMBER($K58),$K58*Parâmetros!$C$9,"")</f>
        <v>22.080612244898</v>
      </c>
      <c r="O58" s="40" t="n">
        <f aca="false">IF(ISNUMBER($K58),IF(ISNUMBER(Parâmetros!$E$9),Parâmetros!$E$9,0),"")</f>
        <v>0</v>
      </c>
      <c r="P58" s="41" t="n">
        <f aca="false">IF(ISNUMBER($K58),$K58-$D58-IF(ISNUMBER($E58),$E58,0)-$L58-$M58-$N58-$O58,"")</f>
        <v>147.204081632653</v>
      </c>
      <c r="Q58" s="42" t="n">
        <f aca="false">IF(AND(ISNUMBER($K58),$K58&gt;0),$P58/$K58,"")</f>
        <v>0.2</v>
      </c>
      <c r="R58" s="43"/>
      <c r="S58" s="44" t="str">
        <f aca="false">IF(OR(NOT(ISNUMBER($R58)),$R58=0,NOT(ISNUMBER($K58))),"",$K58*(1-$R58))</f>
        <v/>
      </c>
      <c r="T58" s="45" t="str">
        <f aca="false">IF(ISNUMBER($S58),$S58*$H58,"")</f>
        <v/>
      </c>
      <c r="U58" s="45" t="str">
        <f aca="false">IF(ISNUMBER($S58),$S58*Parâmetros!$B$9,"")</f>
        <v/>
      </c>
      <c r="V58" s="45" t="str">
        <f aca="false">IF(ISNUMBER($S58),$S58*Parâmetros!$C$9,"")</f>
        <v/>
      </c>
      <c r="W58" s="44" t="str">
        <f aca="false">IF(ISNUMBER($S58),$S58-$D58-IF(ISNUMBER($E58),$E58,0)-$O58-$T58-$U58-$V58,"")</f>
        <v/>
      </c>
      <c r="X58" s="46" t="str">
        <f aca="false">IF(AND(ISNUMBER($S58),$S58&gt;0),$W58/$S58,"")</f>
        <v/>
      </c>
      <c r="Y58" s="47"/>
      <c r="Z58" s="19"/>
    </row>
    <row r="59" customFormat="false" ht="15.75" hidden="false" customHeight="true" outlineLevel="0" collapsed="false">
      <c r="A59" s="48" t="str">
        <f aca="false">IF(Produtos!$A59="","",Produtos!$A59)</f>
        <v>L4050-AML</v>
      </c>
      <c r="B59" s="48" t="str">
        <f aca="false">IF(Produtos!$A59="","",Produtos!$B59)</f>
        <v>Lixeira c/Aro Meia Lua 40x50 62L</v>
      </c>
      <c r="C59" s="48" t="str">
        <f aca="false">IF(Produtos!$A59="","",Produtos!$C59)</f>
        <v>Lixeiras em inox</v>
      </c>
      <c r="D59" s="33" t="n">
        <f aca="false">IF(Produtos!$A59="","",IF(Produtos!$D59="","",Produtos!$D59))</f>
        <v>305.35</v>
      </c>
      <c r="E59" s="11" t="n">
        <v>0</v>
      </c>
      <c r="F59" s="34" t="n">
        <f aca="false">IF($A59="","",IF($C59="","⚠ categoria",IFERROR(INDEX(Parâmetros!$G$13:$G$22,MATCH($C59,Parâmetros!$A$13:$A$22,0)),"⚠ categoria")))</f>
        <v>0.18</v>
      </c>
      <c r="G59" s="35"/>
      <c r="H59" s="36" t="n">
        <f aca="false">IF($A59="","",IF(ISNUMBER($G59),$G59,IF(ISNUMBER($F59),$F59,"")))</f>
        <v>0.18</v>
      </c>
      <c r="I59" s="37" t="n">
        <f aca="false">IF(OR($A59="",NOT(ISNUMBER($D59)),NOT(ISNUMBER($H59))),"",IF((1-$H59-Parâmetros!$B$9-Parâmetros!$C$9-Parâmetros!$D$9)&lt;=0,"INVALIDO",($D59+IF(ISNUMBER($E59),$E59,0)+IF(ISNUMBER(Parâmetros!$E$9),Parâmetros!$E$9,0))/(1-$H59-Parâmetros!$B$9-Parâmetros!$C$9-Parâmetros!$D$9)))</f>
        <v>623.163265306122</v>
      </c>
      <c r="J59" s="38"/>
      <c r="K59" s="39" t="n">
        <f aca="false">IF(OR($A59="",NOT(ISNUMBER($D59)),NOT(ISNUMBER($H59))),"",IF(AND(ISNUMBER($J59),$J59&gt;0),$J59,IF(ISNUMBER($I59),$I59,"")))</f>
        <v>623.163265306122</v>
      </c>
      <c r="L59" s="40" t="n">
        <f aca="false">IF(ISNUMBER($K59),$K59*$H59,"")</f>
        <v>112.169387755102</v>
      </c>
      <c r="M59" s="40" t="n">
        <f aca="false">IF(ISNUMBER($K59),$K59*Parâmetros!$B$9,"")</f>
        <v>62.3163265306122</v>
      </c>
      <c r="N59" s="40" t="n">
        <f aca="false">IF(ISNUMBER($K59),$K59*Parâmetros!$C$9,"")</f>
        <v>18.6948979591837</v>
      </c>
      <c r="O59" s="40" t="n">
        <f aca="false">IF(ISNUMBER($K59),IF(ISNUMBER(Parâmetros!$E$9),Parâmetros!$E$9,0),"")</f>
        <v>0</v>
      </c>
      <c r="P59" s="41" t="n">
        <f aca="false">IF(ISNUMBER($K59),$K59-$D59-IF(ISNUMBER($E59),$E59,0)-$L59-$M59-$N59-$O59,"")</f>
        <v>124.632653061224</v>
      </c>
      <c r="Q59" s="42" t="n">
        <f aca="false">IF(AND(ISNUMBER($K59),$K59&gt;0),$P59/$K59,"")</f>
        <v>0.2</v>
      </c>
      <c r="R59" s="43"/>
      <c r="S59" s="44" t="str">
        <f aca="false">IF(OR(NOT(ISNUMBER($R59)),$R59=0,NOT(ISNUMBER($K59))),"",$K59*(1-$R59))</f>
        <v/>
      </c>
      <c r="T59" s="45" t="str">
        <f aca="false">IF(ISNUMBER($S59),$S59*$H59,"")</f>
        <v/>
      </c>
      <c r="U59" s="45" t="str">
        <f aca="false">IF(ISNUMBER($S59),$S59*Parâmetros!$B$9,"")</f>
        <v/>
      </c>
      <c r="V59" s="45" t="str">
        <f aca="false">IF(ISNUMBER($S59),$S59*Parâmetros!$C$9,"")</f>
        <v/>
      </c>
      <c r="W59" s="44" t="str">
        <f aca="false">IF(ISNUMBER($S59),$S59-$D59-IF(ISNUMBER($E59),$E59,0)-$O59-$T59-$U59-$V59,"")</f>
        <v/>
      </c>
      <c r="X59" s="46" t="str">
        <f aca="false">IF(AND(ISNUMBER($S59),$S59&gt;0),$W59/$S59,"")</f>
        <v/>
      </c>
      <c r="Y59" s="49"/>
      <c r="Z59" s="21"/>
    </row>
    <row r="60" customFormat="false" ht="15.75" hidden="false" customHeight="true" outlineLevel="0" collapsed="false">
      <c r="A60" s="32" t="str">
        <f aca="false">IF(Produtos!$A60="","",Produtos!$A60)</f>
        <v>L4060-AML</v>
      </c>
      <c r="B60" s="32" t="str">
        <f aca="false">IF(Produtos!$A60="","",Produtos!$B60)</f>
        <v>Lixeira c/Aro Meia Lua 40x60 75L</v>
      </c>
      <c r="C60" s="32" t="str">
        <f aca="false">IF(Produtos!$A60="","",Produtos!$C60)</f>
        <v>Lixeiras em inox</v>
      </c>
      <c r="D60" s="33" t="n">
        <f aca="false">IF(Produtos!$A60="","",IF(Produtos!$D60="","",Produtos!$D60))</f>
        <v>342.54</v>
      </c>
      <c r="E60" s="11" t="n">
        <v>0</v>
      </c>
      <c r="F60" s="34" t="n">
        <f aca="false">IF($A60="","",IF($C60="","⚠ categoria",IFERROR(INDEX(Parâmetros!$G$13:$G$22,MATCH($C60,Parâmetros!$A$13:$A$22,0)),"⚠ categoria")))</f>
        <v>0.18</v>
      </c>
      <c r="G60" s="35"/>
      <c r="H60" s="36" t="n">
        <f aca="false">IF($A60="","",IF(ISNUMBER($G60),$G60,IF(ISNUMBER($F60),$F60,"")))</f>
        <v>0.18</v>
      </c>
      <c r="I60" s="37" t="n">
        <f aca="false">IF(OR($A60="",NOT(ISNUMBER($D60)),NOT(ISNUMBER($H60))),"",IF((1-$H60-Parâmetros!$B$9-Parâmetros!$C$9-Parâmetros!$D$9)&lt;=0,"INVALIDO",($D60+IF(ISNUMBER($E60),$E60,0)+IF(ISNUMBER(Parâmetros!$E$9),Parâmetros!$E$9,0))/(1-$H60-Parâmetros!$B$9-Parâmetros!$C$9-Parâmetros!$D$9)))</f>
        <v>699.061224489796</v>
      </c>
      <c r="J60" s="38"/>
      <c r="K60" s="39" t="n">
        <f aca="false">IF(OR($A60="",NOT(ISNUMBER($D60)),NOT(ISNUMBER($H60))),"",IF(AND(ISNUMBER($J60),$J60&gt;0),$J60,IF(ISNUMBER($I60),$I60,"")))</f>
        <v>699.061224489796</v>
      </c>
      <c r="L60" s="40" t="n">
        <f aca="false">IF(ISNUMBER($K60),$K60*$H60,"")</f>
        <v>125.831020408163</v>
      </c>
      <c r="M60" s="40" t="n">
        <f aca="false">IF(ISNUMBER($K60),$K60*Parâmetros!$B$9,"")</f>
        <v>69.9061224489796</v>
      </c>
      <c r="N60" s="40" t="n">
        <f aca="false">IF(ISNUMBER($K60),$K60*Parâmetros!$C$9,"")</f>
        <v>20.9718367346939</v>
      </c>
      <c r="O60" s="40" t="n">
        <f aca="false">IF(ISNUMBER($K60),IF(ISNUMBER(Parâmetros!$E$9),Parâmetros!$E$9,0),"")</f>
        <v>0</v>
      </c>
      <c r="P60" s="41" t="n">
        <f aca="false">IF(ISNUMBER($K60),$K60-$D60-IF(ISNUMBER($E60),$E60,0)-$L60-$M60-$N60-$O60,"")</f>
        <v>139.812244897959</v>
      </c>
      <c r="Q60" s="42" t="n">
        <f aca="false">IF(AND(ISNUMBER($K60),$K60&gt;0),$P60/$K60,"")</f>
        <v>0.2</v>
      </c>
      <c r="R60" s="43"/>
      <c r="S60" s="44" t="str">
        <f aca="false">IF(OR(NOT(ISNUMBER($R60)),$R60=0,NOT(ISNUMBER($K60))),"",$K60*(1-$R60))</f>
        <v/>
      </c>
      <c r="T60" s="45" t="str">
        <f aca="false">IF(ISNUMBER($S60),$S60*$H60,"")</f>
        <v/>
      </c>
      <c r="U60" s="45" t="str">
        <f aca="false">IF(ISNUMBER($S60),$S60*Parâmetros!$B$9,"")</f>
        <v/>
      </c>
      <c r="V60" s="45" t="str">
        <f aca="false">IF(ISNUMBER($S60),$S60*Parâmetros!$C$9,"")</f>
        <v/>
      </c>
      <c r="W60" s="44" t="str">
        <f aca="false">IF(ISNUMBER($S60),$S60-$D60-IF(ISNUMBER($E60),$E60,0)-$O60-$T60-$U60-$V60,"")</f>
        <v/>
      </c>
      <c r="X60" s="46" t="str">
        <f aca="false">IF(AND(ISNUMBER($S60),$S60&gt;0),$W60/$S60,"")</f>
        <v/>
      </c>
      <c r="Y60" s="47"/>
      <c r="Z60" s="19"/>
    </row>
    <row r="61" customFormat="false" ht="15.75" hidden="false" customHeight="true" outlineLevel="0" collapsed="false">
      <c r="A61" s="48" t="str">
        <f aca="false">IF(Produtos!$A61="","",Produtos!$A61)</f>
        <v>L4070-AML</v>
      </c>
      <c r="B61" s="48" t="str">
        <f aca="false">IF(Produtos!$A61="","",Produtos!$B61)</f>
        <v>Lixeira c/Aro Meia Lua 40x70 88L</v>
      </c>
      <c r="C61" s="48" t="str">
        <f aca="false">IF(Produtos!$A61="","",Produtos!$C61)</f>
        <v>Lixeiras em inox</v>
      </c>
      <c r="D61" s="33" t="n">
        <f aca="false">IF(Produtos!$A61="","",IF(Produtos!$D61="","",Produtos!$D61))</f>
        <v>348.66</v>
      </c>
      <c r="E61" s="11" t="n">
        <v>0</v>
      </c>
      <c r="F61" s="34" t="n">
        <f aca="false">IF($A61="","",IF($C61="","⚠ categoria",IFERROR(INDEX(Parâmetros!$G$13:$G$22,MATCH($C61,Parâmetros!$A$13:$A$22,0)),"⚠ categoria")))</f>
        <v>0.18</v>
      </c>
      <c r="G61" s="35"/>
      <c r="H61" s="36" t="n">
        <f aca="false">IF($A61="","",IF(ISNUMBER($G61),$G61,IF(ISNUMBER($F61),$F61,"")))</f>
        <v>0.18</v>
      </c>
      <c r="I61" s="37" t="n">
        <f aca="false">IF(OR($A61="",NOT(ISNUMBER($D61)),NOT(ISNUMBER($H61))),"",IF((1-$H61-Parâmetros!$B$9-Parâmetros!$C$9-Parâmetros!$D$9)&lt;=0,"INVALIDO",($D61+IF(ISNUMBER($E61),$E61,0)+IF(ISNUMBER(Parâmetros!$E$9),Parâmetros!$E$9,0))/(1-$H61-Parâmetros!$B$9-Parâmetros!$C$9-Parâmetros!$D$9)))</f>
        <v>711.551020408163</v>
      </c>
      <c r="J61" s="38"/>
      <c r="K61" s="39" t="n">
        <f aca="false">IF(OR($A61="",NOT(ISNUMBER($D61)),NOT(ISNUMBER($H61))),"",IF(AND(ISNUMBER($J61),$J61&gt;0),$J61,IF(ISNUMBER($I61),$I61,"")))</f>
        <v>711.551020408163</v>
      </c>
      <c r="L61" s="40" t="n">
        <f aca="false">IF(ISNUMBER($K61),$K61*$H61,"")</f>
        <v>128.079183673469</v>
      </c>
      <c r="M61" s="40" t="n">
        <f aca="false">IF(ISNUMBER($K61),$K61*Parâmetros!$B$9,"")</f>
        <v>71.1551020408163</v>
      </c>
      <c r="N61" s="40" t="n">
        <f aca="false">IF(ISNUMBER($K61),$K61*Parâmetros!$C$9,"")</f>
        <v>21.3465306122449</v>
      </c>
      <c r="O61" s="40" t="n">
        <f aca="false">IF(ISNUMBER($K61),IF(ISNUMBER(Parâmetros!$E$9),Parâmetros!$E$9,0),"")</f>
        <v>0</v>
      </c>
      <c r="P61" s="41" t="n">
        <f aca="false">IF(ISNUMBER($K61),$K61-$D61-IF(ISNUMBER($E61),$E61,0)-$L61-$M61-$N61-$O61,"")</f>
        <v>142.310204081633</v>
      </c>
      <c r="Q61" s="42" t="n">
        <f aca="false">IF(AND(ISNUMBER($K61),$K61&gt;0),$P61/$K61,"")</f>
        <v>0.2</v>
      </c>
      <c r="R61" s="43"/>
      <c r="S61" s="44" t="str">
        <f aca="false">IF(OR(NOT(ISNUMBER($R61)),$R61=0,NOT(ISNUMBER($K61))),"",$K61*(1-$R61))</f>
        <v/>
      </c>
      <c r="T61" s="45" t="str">
        <f aca="false">IF(ISNUMBER($S61),$S61*$H61,"")</f>
        <v/>
      </c>
      <c r="U61" s="45" t="str">
        <f aca="false">IF(ISNUMBER($S61),$S61*Parâmetros!$B$9,"")</f>
        <v/>
      </c>
      <c r="V61" s="45" t="str">
        <f aca="false">IF(ISNUMBER($S61),$S61*Parâmetros!$C$9,"")</f>
        <v/>
      </c>
      <c r="W61" s="44" t="str">
        <f aca="false">IF(ISNUMBER($S61),$S61-$D61-IF(ISNUMBER($E61),$E61,0)-$O61-$T61-$U61-$V61,"")</f>
        <v/>
      </c>
      <c r="X61" s="46" t="str">
        <f aca="false">IF(AND(ISNUMBER($S61),$S61&gt;0),$W61/$S61,"")</f>
        <v/>
      </c>
      <c r="Y61" s="49"/>
      <c r="Z61" s="21"/>
    </row>
    <row r="62" customFormat="false" ht="15.75" hidden="false" customHeight="true" outlineLevel="0" collapsed="false">
      <c r="A62" s="32" t="str">
        <f aca="false">IF(Produtos!$A62="","",Produtos!$A62)</f>
        <v>L4075-AML</v>
      </c>
      <c r="B62" s="32" t="str">
        <f aca="false">IF(Produtos!$A62="","",Produtos!$B62)</f>
        <v>Lixeira c/Aro Meia Lua 40x75 95L</v>
      </c>
      <c r="C62" s="32" t="str">
        <f aca="false">IF(Produtos!$A62="","",Produtos!$C62)</f>
        <v>Lixeiras em inox</v>
      </c>
      <c r="D62" s="33" t="n">
        <f aca="false">IF(Produtos!$A62="","",IF(Produtos!$D62="","",Produtos!$D62))</f>
        <v>408.87</v>
      </c>
      <c r="E62" s="11" t="n">
        <v>0</v>
      </c>
      <c r="F62" s="34" t="n">
        <f aca="false">IF($A62="","",IF($C62="","⚠ categoria",IFERROR(INDEX(Parâmetros!$G$13:$G$22,MATCH($C62,Parâmetros!$A$13:$A$22,0)),"⚠ categoria")))</f>
        <v>0.18</v>
      </c>
      <c r="G62" s="35"/>
      <c r="H62" s="36" t="n">
        <f aca="false">IF($A62="","",IF(ISNUMBER($G62),$G62,IF(ISNUMBER($F62),$F62,"")))</f>
        <v>0.18</v>
      </c>
      <c r="I62" s="37" t="n">
        <f aca="false">IF(OR($A62="",NOT(ISNUMBER($D62)),NOT(ISNUMBER($H62))),"",IF((1-$H62-Parâmetros!$B$9-Parâmetros!$C$9-Parâmetros!$D$9)&lt;=0,"INVALIDO",($D62+IF(ISNUMBER($E62),$E62,0)+IF(ISNUMBER(Parâmetros!$E$9),Parâmetros!$E$9,0))/(1-$H62-Parâmetros!$B$9-Parâmetros!$C$9-Parâmetros!$D$9)))</f>
        <v>834.428571428571</v>
      </c>
      <c r="J62" s="38"/>
      <c r="K62" s="39" t="n">
        <f aca="false">IF(OR($A62="",NOT(ISNUMBER($D62)),NOT(ISNUMBER($H62))),"",IF(AND(ISNUMBER($J62),$J62&gt;0),$J62,IF(ISNUMBER($I62),$I62,"")))</f>
        <v>834.428571428571</v>
      </c>
      <c r="L62" s="40" t="n">
        <f aca="false">IF(ISNUMBER($K62),$K62*$H62,"")</f>
        <v>150.197142857143</v>
      </c>
      <c r="M62" s="40" t="n">
        <f aca="false">IF(ISNUMBER($K62),$K62*Parâmetros!$B$9,"")</f>
        <v>83.4428571428571</v>
      </c>
      <c r="N62" s="40" t="n">
        <f aca="false">IF(ISNUMBER($K62),$K62*Parâmetros!$C$9,"")</f>
        <v>25.0328571428571</v>
      </c>
      <c r="O62" s="40" t="n">
        <f aca="false">IF(ISNUMBER($K62),IF(ISNUMBER(Parâmetros!$E$9),Parâmetros!$E$9,0),"")</f>
        <v>0</v>
      </c>
      <c r="P62" s="41" t="n">
        <f aca="false">IF(ISNUMBER($K62),$K62-$D62-IF(ISNUMBER($E62),$E62,0)-$L62-$M62-$N62-$O62,"")</f>
        <v>166.885714285714</v>
      </c>
      <c r="Q62" s="42" t="n">
        <f aca="false">IF(AND(ISNUMBER($K62),$K62&gt;0),$P62/$K62,"")</f>
        <v>0.2</v>
      </c>
      <c r="R62" s="43"/>
      <c r="S62" s="44" t="str">
        <f aca="false">IF(OR(NOT(ISNUMBER($R62)),$R62=0,NOT(ISNUMBER($K62))),"",$K62*(1-$R62))</f>
        <v/>
      </c>
      <c r="T62" s="45" t="str">
        <f aca="false">IF(ISNUMBER($S62),$S62*$H62,"")</f>
        <v/>
      </c>
      <c r="U62" s="45" t="str">
        <f aca="false">IF(ISNUMBER($S62),$S62*Parâmetros!$B$9,"")</f>
        <v/>
      </c>
      <c r="V62" s="45" t="str">
        <f aca="false">IF(ISNUMBER($S62),$S62*Parâmetros!$C$9,"")</f>
        <v/>
      </c>
      <c r="W62" s="44" t="str">
        <f aca="false">IF(ISNUMBER($S62),$S62-$D62-IF(ISNUMBER($E62),$E62,0)-$O62-$T62-$U62-$V62,"")</f>
        <v/>
      </c>
      <c r="X62" s="46" t="str">
        <f aca="false">IF(AND(ISNUMBER($S62),$S62&gt;0),$W62/$S62,"")</f>
        <v/>
      </c>
      <c r="Y62" s="47"/>
      <c r="Z62" s="19"/>
    </row>
    <row r="63" customFormat="false" ht="15.75" hidden="false" customHeight="true" outlineLevel="0" collapsed="false">
      <c r="A63" s="48" t="str">
        <f aca="false">IF(Produtos!$A63="","",Produtos!$A63)</f>
        <v>L4080-AML</v>
      </c>
      <c r="B63" s="48" t="str">
        <f aca="false">IF(Produtos!$A63="","",Produtos!$B63)</f>
        <v>Lixeira c/Aro Meia Lua 40x80 100L</v>
      </c>
      <c r="C63" s="48" t="str">
        <f aca="false">IF(Produtos!$A63="","",Produtos!$C63)</f>
        <v>Lixeiras em inox</v>
      </c>
      <c r="D63" s="33" t="n">
        <f aca="false">IF(Produtos!$A63="","",IF(Produtos!$D63="","",Produtos!$D63))</f>
        <v>411.4</v>
      </c>
      <c r="E63" s="11" t="n">
        <v>0</v>
      </c>
      <c r="F63" s="34" t="n">
        <f aca="false">IF($A63="","",IF($C63="","⚠ categoria",IFERROR(INDEX(Parâmetros!$G$13:$G$22,MATCH($C63,Parâmetros!$A$13:$A$22,0)),"⚠ categoria")))</f>
        <v>0.18</v>
      </c>
      <c r="G63" s="35"/>
      <c r="H63" s="36" t="n">
        <f aca="false">IF($A63="","",IF(ISNUMBER($G63),$G63,IF(ISNUMBER($F63),$F63,"")))</f>
        <v>0.18</v>
      </c>
      <c r="I63" s="37" t="n">
        <f aca="false">IF(OR($A63="",NOT(ISNUMBER($D63)),NOT(ISNUMBER($H63))),"",IF((1-$H63-Parâmetros!$B$9-Parâmetros!$C$9-Parâmetros!$D$9)&lt;=0,"INVALIDO",($D63+IF(ISNUMBER($E63),$E63,0)+IF(ISNUMBER(Parâmetros!$E$9),Parâmetros!$E$9,0))/(1-$H63-Parâmetros!$B$9-Parâmetros!$C$9-Parâmetros!$D$9)))</f>
        <v>839.591836734694</v>
      </c>
      <c r="J63" s="38"/>
      <c r="K63" s="39" t="n">
        <f aca="false">IF(OR($A63="",NOT(ISNUMBER($D63)),NOT(ISNUMBER($H63))),"",IF(AND(ISNUMBER($J63),$J63&gt;0),$J63,IF(ISNUMBER($I63),$I63,"")))</f>
        <v>839.591836734694</v>
      </c>
      <c r="L63" s="40" t="n">
        <f aca="false">IF(ISNUMBER($K63),$K63*$H63,"")</f>
        <v>151.126530612245</v>
      </c>
      <c r="M63" s="40" t="n">
        <f aca="false">IF(ISNUMBER($K63),$K63*Parâmetros!$B$9,"")</f>
        <v>83.9591836734694</v>
      </c>
      <c r="N63" s="40" t="n">
        <f aca="false">IF(ISNUMBER($K63),$K63*Parâmetros!$C$9,"")</f>
        <v>25.1877551020408</v>
      </c>
      <c r="O63" s="40" t="n">
        <f aca="false">IF(ISNUMBER($K63),IF(ISNUMBER(Parâmetros!$E$9),Parâmetros!$E$9,0),"")</f>
        <v>0</v>
      </c>
      <c r="P63" s="41" t="n">
        <f aca="false">IF(ISNUMBER($K63),$K63-$D63-IF(ISNUMBER($E63),$E63,0)-$L63-$M63-$N63-$O63,"")</f>
        <v>167.918367346939</v>
      </c>
      <c r="Q63" s="42" t="n">
        <f aca="false">IF(AND(ISNUMBER($K63),$K63&gt;0),$P63/$K63,"")</f>
        <v>0.2</v>
      </c>
      <c r="R63" s="43"/>
      <c r="S63" s="44" t="str">
        <f aca="false">IF(OR(NOT(ISNUMBER($R63)),$R63=0,NOT(ISNUMBER($K63))),"",$K63*(1-$R63))</f>
        <v/>
      </c>
      <c r="T63" s="45" t="str">
        <f aca="false">IF(ISNUMBER($S63),$S63*$H63,"")</f>
        <v/>
      </c>
      <c r="U63" s="45" t="str">
        <f aca="false">IF(ISNUMBER($S63),$S63*Parâmetros!$B$9,"")</f>
        <v/>
      </c>
      <c r="V63" s="45" t="str">
        <f aca="false">IF(ISNUMBER($S63),$S63*Parâmetros!$C$9,"")</f>
        <v/>
      </c>
      <c r="W63" s="44" t="str">
        <f aca="false">IF(ISNUMBER($S63),$S63-$D63-IF(ISNUMBER($E63),$E63,0)-$O63-$T63-$U63-$V63,"")</f>
        <v/>
      </c>
      <c r="X63" s="46" t="str">
        <f aca="false">IF(AND(ISNUMBER($S63),$S63&gt;0),$W63/$S63,"")</f>
        <v/>
      </c>
      <c r="Y63" s="49"/>
      <c r="Z63" s="21"/>
    </row>
    <row r="64" customFormat="false" ht="15.75" hidden="false" customHeight="true" outlineLevel="0" collapsed="false">
      <c r="A64" s="32" t="str">
        <f aca="false">IF(Produtos!$A64="","",Produtos!$A64)</f>
        <v>L4090-AML</v>
      </c>
      <c r="B64" s="32" t="str">
        <f aca="false">IF(Produtos!$A64="","",Produtos!$B64)</f>
        <v>Lixeira c/Aro Meia Lua 40x90 120L</v>
      </c>
      <c r="C64" s="32" t="str">
        <f aca="false">IF(Produtos!$A64="","",Produtos!$C64)</f>
        <v>Lixeiras em inox</v>
      </c>
      <c r="D64" s="33" t="n">
        <f aca="false">IF(Produtos!$A64="","",IF(Produtos!$D64="","",Produtos!$D64))</f>
        <v>442.44</v>
      </c>
      <c r="E64" s="11" t="n">
        <v>0</v>
      </c>
      <c r="F64" s="34" t="n">
        <f aca="false">IF($A64="","",IF($C64="","⚠ categoria",IFERROR(INDEX(Parâmetros!$G$13:$G$22,MATCH($C64,Parâmetros!$A$13:$A$22,0)),"⚠ categoria")))</f>
        <v>0.18</v>
      </c>
      <c r="G64" s="35"/>
      <c r="H64" s="36" t="n">
        <f aca="false">IF($A64="","",IF(ISNUMBER($G64),$G64,IF(ISNUMBER($F64),$F64,"")))</f>
        <v>0.18</v>
      </c>
      <c r="I64" s="37" t="n">
        <f aca="false">IF(OR($A64="",NOT(ISNUMBER($D64)),NOT(ISNUMBER($H64))),"",IF((1-$H64-Parâmetros!$B$9-Parâmetros!$C$9-Parâmetros!$D$9)&lt;=0,"INVALIDO",($D64+IF(ISNUMBER($E64),$E64,0)+IF(ISNUMBER(Parâmetros!$E$9),Parâmetros!$E$9,0))/(1-$H64-Parâmetros!$B$9-Parâmetros!$C$9-Parâmetros!$D$9)))</f>
        <v>902.938775510204</v>
      </c>
      <c r="J64" s="38"/>
      <c r="K64" s="39" t="n">
        <f aca="false">IF(OR($A64="",NOT(ISNUMBER($D64)),NOT(ISNUMBER($H64))),"",IF(AND(ISNUMBER($J64),$J64&gt;0),$J64,IF(ISNUMBER($I64),$I64,"")))</f>
        <v>902.938775510204</v>
      </c>
      <c r="L64" s="40" t="n">
        <f aca="false">IF(ISNUMBER($K64),$K64*$H64,"")</f>
        <v>162.528979591837</v>
      </c>
      <c r="M64" s="40" t="n">
        <f aca="false">IF(ISNUMBER($K64),$K64*Parâmetros!$B$9,"")</f>
        <v>90.2938775510204</v>
      </c>
      <c r="N64" s="40" t="n">
        <f aca="false">IF(ISNUMBER($K64),$K64*Parâmetros!$C$9,"")</f>
        <v>27.0881632653061</v>
      </c>
      <c r="O64" s="40" t="n">
        <f aca="false">IF(ISNUMBER($K64),IF(ISNUMBER(Parâmetros!$E$9),Parâmetros!$E$9,0),"")</f>
        <v>0</v>
      </c>
      <c r="P64" s="41" t="n">
        <f aca="false">IF(ISNUMBER($K64),$K64-$D64-IF(ISNUMBER($E64),$E64,0)-$L64-$M64-$N64-$O64,"")</f>
        <v>180.587755102041</v>
      </c>
      <c r="Q64" s="42" t="n">
        <f aca="false">IF(AND(ISNUMBER($K64),$K64&gt;0),$P64/$K64,"")</f>
        <v>0.2</v>
      </c>
      <c r="R64" s="43"/>
      <c r="S64" s="44" t="str">
        <f aca="false">IF(OR(NOT(ISNUMBER($R64)),$R64=0,NOT(ISNUMBER($K64))),"",$K64*(1-$R64))</f>
        <v/>
      </c>
      <c r="T64" s="45" t="str">
        <f aca="false">IF(ISNUMBER($S64),$S64*$H64,"")</f>
        <v/>
      </c>
      <c r="U64" s="45" t="str">
        <f aca="false">IF(ISNUMBER($S64),$S64*Parâmetros!$B$9,"")</f>
        <v/>
      </c>
      <c r="V64" s="45" t="str">
        <f aca="false">IF(ISNUMBER($S64),$S64*Parâmetros!$C$9,"")</f>
        <v/>
      </c>
      <c r="W64" s="44" t="str">
        <f aca="false">IF(ISNUMBER($S64),$S64-$D64-IF(ISNUMBER($E64),$E64,0)-$O64-$T64-$U64-$V64,"")</f>
        <v/>
      </c>
      <c r="X64" s="46" t="str">
        <f aca="false">IF(AND(ISNUMBER($S64),$S64&gt;0),$W64/$S64,"")</f>
        <v/>
      </c>
      <c r="Y64" s="47"/>
      <c r="Z64" s="19"/>
    </row>
    <row r="65" customFormat="false" ht="15.75" hidden="false" customHeight="true" outlineLevel="0" collapsed="false">
      <c r="A65" s="48" t="str">
        <f aca="false">IF(Produtos!$A65="","",Produtos!$A65)</f>
        <v>L1618-B</v>
      </c>
      <c r="B65" s="48" t="str">
        <f aca="false">IF(Produtos!$A65="","",Produtos!$B65)</f>
        <v>Lixeira c/Aro Basculante 16x18 03L</v>
      </c>
      <c r="C65" s="48" t="str">
        <f aca="false">IF(Produtos!$A65="","",Produtos!$C65)</f>
        <v>Lixeiras em inox</v>
      </c>
      <c r="D65" s="33" t="n">
        <f aca="false">IF(Produtos!$A65="","",IF(Produtos!$D65="","",Produtos!$D65))</f>
        <v>60.62</v>
      </c>
      <c r="E65" s="11" t="n">
        <v>0</v>
      </c>
      <c r="F65" s="34" t="n">
        <f aca="false">IF($A65="","",IF($C65="","⚠ categoria",IFERROR(INDEX(Parâmetros!$G$13:$G$22,MATCH($C65,Parâmetros!$A$13:$A$22,0)),"⚠ categoria")))</f>
        <v>0.18</v>
      </c>
      <c r="G65" s="35"/>
      <c r="H65" s="36" t="n">
        <f aca="false">IF($A65="","",IF(ISNUMBER($G65),$G65,IF(ISNUMBER($F65),$F65,"")))</f>
        <v>0.18</v>
      </c>
      <c r="I65" s="37" t="n">
        <f aca="false">IF(OR($A65="",NOT(ISNUMBER($D65)),NOT(ISNUMBER($H65))),"",IF((1-$H65-Parâmetros!$B$9-Parâmetros!$C$9-Parâmetros!$D$9)&lt;=0,"INVALIDO",($D65+IF(ISNUMBER($E65),$E65,0)+IF(ISNUMBER(Parâmetros!$E$9),Parâmetros!$E$9,0))/(1-$H65-Parâmetros!$B$9-Parâmetros!$C$9-Parâmetros!$D$9)))</f>
        <v>123.714285714286</v>
      </c>
      <c r="J65" s="38"/>
      <c r="K65" s="39" t="n">
        <f aca="false">IF(OR($A65="",NOT(ISNUMBER($D65)),NOT(ISNUMBER($H65))),"",IF(AND(ISNUMBER($J65),$J65&gt;0),$J65,IF(ISNUMBER($I65),$I65,"")))</f>
        <v>123.714285714286</v>
      </c>
      <c r="L65" s="40" t="n">
        <f aca="false">IF(ISNUMBER($K65),$K65*$H65,"")</f>
        <v>22.2685714285714</v>
      </c>
      <c r="M65" s="40" t="n">
        <f aca="false">IF(ISNUMBER($K65),$K65*Parâmetros!$B$9,"")</f>
        <v>12.3714285714286</v>
      </c>
      <c r="N65" s="40" t="n">
        <f aca="false">IF(ISNUMBER($K65),$K65*Parâmetros!$C$9,"")</f>
        <v>3.71142857142857</v>
      </c>
      <c r="O65" s="40" t="n">
        <f aca="false">IF(ISNUMBER($K65),IF(ISNUMBER(Parâmetros!$E$9),Parâmetros!$E$9,0),"")</f>
        <v>0</v>
      </c>
      <c r="P65" s="41" t="n">
        <f aca="false">IF(ISNUMBER($K65),$K65-$D65-IF(ISNUMBER($E65),$E65,0)-$L65-$M65-$N65-$O65,"")</f>
        <v>24.7428571428571</v>
      </c>
      <c r="Q65" s="42" t="n">
        <f aca="false">IF(AND(ISNUMBER($K65),$K65&gt;0),$P65/$K65,"")</f>
        <v>0.2</v>
      </c>
      <c r="R65" s="43"/>
      <c r="S65" s="44" t="str">
        <f aca="false">IF(OR(NOT(ISNUMBER($R65)),$R65=0,NOT(ISNUMBER($K65))),"",$K65*(1-$R65))</f>
        <v/>
      </c>
      <c r="T65" s="45" t="str">
        <f aca="false">IF(ISNUMBER($S65),$S65*$H65,"")</f>
        <v/>
      </c>
      <c r="U65" s="45" t="str">
        <f aca="false">IF(ISNUMBER($S65),$S65*Parâmetros!$B$9,"")</f>
        <v/>
      </c>
      <c r="V65" s="45" t="str">
        <f aca="false">IF(ISNUMBER($S65),$S65*Parâmetros!$C$9,"")</f>
        <v/>
      </c>
      <c r="W65" s="44" t="str">
        <f aca="false">IF(ISNUMBER($S65),$S65-$D65-IF(ISNUMBER($E65),$E65,0)-$O65-$T65-$U65-$V65,"")</f>
        <v/>
      </c>
      <c r="X65" s="46" t="str">
        <f aca="false">IF(AND(ISNUMBER($S65),$S65&gt;0),$W65/$S65,"")</f>
        <v/>
      </c>
      <c r="Y65" s="49"/>
      <c r="Z65" s="21"/>
    </row>
    <row r="66" customFormat="false" ht="15.75" hidden="false" customHeight="true" outlineLevel="0" collapsed="false">
      <c r="A66" s="32" t="str">
        <f aca="false">IF(Produtos!$A66="","",Produtos!$A66)</f>
        <v>L1623-B</v>
      </c>
      <c r="B66" s="32" t="str">
        <f aca="false">IF(Produtos!$A66="","",Produtos!$B66)</f>
        <v>Lixeira c/Aro Basculante 16x23 05L</v>
      </c>
      <c r="C66" s="32" t="str">
        <f aca="false">IF(Produtos!$A66="","",Produtos!$C66)</f>
        <v>Lixeiras em inox</v>
      </c>
      <c r="D66" s="33" t="n">
        <f aca="false">IF(Produtos!$A66="","",IF(Produtos!$D66="","",Produtos!$D66))</f>
        <v>65.95</v>
      </c>
      <c r="E66" s="11" t="n">
        <v>0</v>
      </c>
      <c r="F66" s="34" t="n">
        <f aca="false">IF($A66="","",IF($C66="","⚠ categoria",IFERROR(INDEX(Parâmetros!$G$13:$G$22,MATCH($C66,Parâmetros!$A$13:$A$22,0)),"⚠ categoria")))</f>
        <v>0.18</v>
      </c>
      <c r="G66" s="35"/>
      <c r="H66" s="36" t="n">
        <f aca="false">IF($A66="","",IF(ISNUMBER($G66),$G66,IF(ISNUMBER($F66),$F66,"")))</f>
        <v>0.18</v>
      </c>
      <c r="I66" s="37" t="n">
        <f aca="false">IF(OR($A66="",NOT(ISNUMBER($D66)),NOT(ISNUMBER($H66))),"",IF((1-$H66-Parâmetros!$B$9-Parâmetros!$C$9-Parâmetros!$D$9)&lt;=0,"INVALIDO",($D66+IF(ISNUMBER($E66),$E66,0)+IF(ISNUMBER(Parâmetros!$E$9),Parâmetros!$E$9,0))/(1-$H66-Parâmetros!$B$9-Parâmetros!$C$9-Parâmetros!$D$9)))</f>
        <v>134.591836734694</v>
      </c>
      <c r="J66" s="38"/>
      <c r="K66" s="39" t="n">
        <f aca="false">IF(OR($A66="",NOT(ISNUMBER($D66)),NOT(ISNUMBER($H66))),"",IF(AND(ISNUMBER($J66),$J66&gt;0),$J66,IF(ISNUMBER($I66),$I66,"")))</f>
        <v>134.591836734694</v>
      </c>
      <c r="L66" s="40" t="n">
        <f aca="false">IF(ISNUMBER($K66),$K66*$H66,"")</f>
        <v>24.2265306122449</v>
      </c>
      <c r="M66" s="40" t="n">
        <f aca="false">IF(ISNUMBER($K66),$K66*Parâmetros!$B$9,"")</f>
        <v>13.4591836734694</v>
      </c>
      <c r="N66" s="40" t="n">
        <f aca="false">IF(ISNUMBER($K66),$K66*Parâmetros!$C$9,"")</f>
        <v>4.03775510204082</v>
      </c>
      <c r="O66" s="40" t="n">
        <f aca="false">IF(ISNUMBER($K66),IF(ISNUMBER(Parâmetros!$E$9),Parâmetros!$E$9,0),"")</f>
        <v>0</v>
      </c>
      <c r="P66" s="41" t="n">
        <f aca="false">IF(ISNUMBER($K66),$K66-$D66-IF(ISNUMBER($E66),$E66,0)-$L66-$M66-$N66-$O66,"")</f>
        <v>26.9183673469388</v>
      </c>
      <c r="Q66" s="42" t="n">
        <f aca="false">IF(AND(ISNUMBER($K66),$K66&gt;0),$P66/$K66,"")</f>
        <v>0.2</v>
      </c>
      <c r="R66" s="43"/>
      <c r="S66" s="44" t="str">
        <f aca="false">IF(OR(NOT(ISNUMBER($R66)),$R66=0,NOT(ISNUMBER($K66))),"",$K66*(1-$R66))</f>
        <v/>
      </c>
      <c r="T66" s="45" t="str">
        <f aca="false">IF(ISNUMBER($S66),$S66*$H66,"")</f>
        <v/>
      </c>
      <c r="U66" s="45" t="str">
        <f aca="false">IF(ISNUMBER($S66),$S66*Parâmetros!$B$9,"")</f>
        <v/>
      </c>
      <c r="V66" s="45" t="str">
        <f aca="false">IF(ISNUMBER($S66),$S66*Parâmetros!$C$9,"")</f>
        <v/>
      </c>
      <c r="W66" s="44" t="str">
        <f aca="false">IF(ISNUMBER($S66),$S66-$D66-IF(ISNUMBER($E66),$E66,0)-$O66-$T66-$U66-$V66,"")</f>
        <v/>
      </c>
      <c r="X66" s="46" t="str">
        <f aca="false">IF(AND(ISNUMBER($S66),$S66&gt;0),$W66/$S66,"")</f>
        <v/>
      </c>
      <c r="Y66" s="47"/>
      <c r="Z66" s="19"/>
    </row>
    <row r="67" customFormat="false" ht="15.75" hidden="false" customHeight="true" outlineLevel="0" collapsed="false">
      <c r="A67" s="48" t="str">
        <f aca="false">IF(Produtos!$A67="","",Produtos!$A67)</f>
        <v>L2025-B</v>
      </c>
      <c r="B67" s="48" t="str">
        <f aca="false">IF(Produtos!$A67="","",Produtos!$B67)</f>
        <v>Lixeira c/Aro Basculante 20x25 07L</v>
      </c>
      <c r="C67" s="48" t="str">
        <f aca="false">IF(Produtos!$A67="","",Produtos!$C67)</f>
        <v>Lixeiras em inox</v>
      </c>
      <c r="D67" s="33" t="n">
        <f aca="false">IF(Produtos!$A67="","",IF(Produtos!$D67="","",Produtos!$D67))</f>
        <v>69.52</v>
      </c>
      <c r="E67" s="11" t="n">
        <v>0</v>
      </c>
      <c r="F67" s="34" t="n">
        <f aca="false">IF($A67="","",IF($C67="","⚠ categoria",IFERROR(INDEX(Parâmetros!$G$13:$G$22,MATCH($C67,Parâmetros!$A$13:$A$22,0)),"⚠ categoria")))</f>
        <v>0.18</v>
      </c>
      <c r="G67" s="35"/>
      <c r="H67" s="36" t="n">
        <f aca="false">IF($A67="","",IF(ISNUMBER($G67),$G67,IF(ISNUMBER($F67),$F67,"")))</f>
        <v>0.18</v>
      </c>
      <c r="I67" s="37" t="n">
        <f aca="false">IF(OR($A67="",NOT(ISNUMBER($D67)),NOT(ISNUMBER($H67))),"",IF((1-$H67-Parâmetros!$B$9-Parâmetros!$C$9-Parâmetros!$D$9)&lt;=0,"INVALIDO",($D67+IF(ISNUMBER($E67),$E67,0)+IF(ISNUMBER(Parâmetros!$E$9),Parâmetros!$E$9,0))/(1-$H67-Parâmetros!$B$9-Parâmetros!$C$9-Parâmetros!$D$9)))</f>
        <v>141.877551020408</v>
      </c>
      <c r="J67" s="38"/>
      <c r="K67" s="39" t="n">
        <f aca="false">IF(OR($A67="",NOT(ISNUMBER($D67)),NOT(ISNUMBER($H67))),"",IF(AND(ISNUMBER($J67),$J67&gt;0),$J67,IF(ISNUMBER($I67),$I67,"")))</f>
        <v>141.877551020408</v>
      </c>
      <c r="L67" s="40" t="n">
        <f aca="false">IF(ISNUMBER($K67),$K67*$H67,"")</f>
        <v>25.5379591836735</v>
      </c>
      <c r="M67" s="40" t="n">
        <f aca="false">IF(ISNUMBER($K67),$K67*Parâmetros!$B$9,"")</f>
        <v>14.1877551020408</v>
      </c>
      <c r="N67" s="40" t="n">
        <f aca="false">IF(ISNUMBER($K67),$K67*Parâmetros!$C$9,"")</f>
        <v>4.25632653061224</v>
      </c>
      <c r="O67" s="40" t="n">
        <f aca="false">IF(ISNUMBER($K67),IF(ISNUMBER(Parâmetros!$E$9),Parâmetros!$E$9,0),"")</f>
        <v>0</v>
      </c>
      <c r="P67" s="41" t="n">
        <f aca="false">IF(ISNUMBER($K67),$K67-$D67-IF(ISNUMBER($E67),$E67,0)-$L67-$M67-$N67-$O67,"")</f>
        <v>28.3755102040816</v>
      </c>
      <c r="Q67" s="42" t="n">
        <f aca="false">IF(AND(ISNUMBER($K67),$K67&gt;0),$P67/$K67,"")</f>
        <v>0.2</v>
      </c>
      <c r="R67" s="43"/>
      <c r="S67" s="44" t="str">
        <f aca="false">IF(OR(NOT(ISNUMBER($R67)),$R67=0,NOT(ISNUMBER($K67))),"",$K67*(1-$R67))</f>
        <v/>
      </c>
      <c r="T67" s="45" t="str">
        <f aca="false">IF(ISNUMBER($S67),$S67*$H67,"")</f>
        <v/>
      </c>
      <c r="U67" s="45" t="str">
        <f aca="false">IF(ISNUMBER($S67),$S67*Parâmetros!$B$9,"")</f>
        <v/>
      </c>
      <c r="V67" s="45" t="str">
        <f aca="false">IF(ISNUMBER($S67),$S67*Parâmetros!$C$9,"")</f>
        <v/>
      </c>
      <c r="W67" s="44" t="str">
        <f aca="false">IF(ISNUMBER($S67),$S67-$D67-IF(ISNUMBER($E67),$E67,0)-$O67-$T67-$U67-$V67,"")</f>
        <v/>
      </c>
      <c r="X67" s="46" t="str">
        <f aca="false">IF(AND(ISNUMBER($S67),$S67&gt;0),$W67/$S67,"")</f>
        <v/>
      </c>
      <c r="Y67" s="49"/>
      <c r="Z67" s="21"/>
    </row>
    <row r="68" customFormat="false" ht="15.75" hidden="false" customHeight="true" outlineLevel="0" collapsed="false">
      <c r="A68" s="32" t="str">
        <f aca="false">IF(Produtos!$A68="","",Produtos!$A68)</f>
        <v>L2030-B</v>
      </c>
      <c r="B68" s="32" t="str">
        <f aca="false">IF(Produtos!$A68="","",Produtos!$B68)</f>
        <v>Lixeira c/Aro Basculante 20x30 10L</v>
      </c>
      <c r="C68" s="32" t="str">
        <f aca="false">IF(Produtos!$A68="","",Produtos!$C68)</f>
        <v>Lixeiras em inox</v>
      </c>
      <c r="D68" s="33" t="n">
        <f aca="false">IF(Produtos!$A68="","",IF(Produtos!$D68="","",Produtos!$D68))</f>
        <v>75.68</v>
      </c>
      <c r="E68" s="11" t="n">
        <v>0</v>
      </c>
      <c r="F68" s="34" t="n">
        <f aca="false">IF($A68="","",IF($C68="","⚠ categoria",IFERROR(INDEX(Parâmetros!$G$13:$G$22,MATCH($C68,Parâmetros!$A$13:$A$22,0)),"⚠ categoria")))</f>
        <v>0.18</v>
      </c>
      <c r="G68" s="35"/>
      <c r="H68" s="36" t="n">
        <f aca="false">IF($A68="","",IF(ISNUMBER($G68),$G68,IF(ISNUMBER($F68),$F68,"")))</f>
        <v>0.18</v>
      </c>
      <c r="I68" s="37" t="n">
        <f aca="false">IF(OR($A68="",NOT(ISNUMBER($D68)),NOT(ISNUMBER($H68))),"",IF((1-$H68-Parâmetros!$B$9-Parâmetros!$C$9-Parâmetros!$D$9)&lt;=0,"INVALIDO",($D68+IF(ISNUMBER($E68),$E68,0)+IF(ISNUMBER(Parâmetros!$E$9),Parâmetros!$E$9,0))/(1-$H68-Parâmetros!$B$9-Parâmetros!$C$9-Parâmetros!$D$9)))</f>
        <v>154.448979591837</v>
      </c>
      <c r="J68" s="38"/>
      <c r="K68" s="39" t="n">
        <f aca="false">IF(OR($A68="",NOT(ISNUMBER($D68)),NOT(ISNUMBER($H68))),"",IF(AND(ISNUMBER($J68),$J68&gt;0),$J68,IF(ISNUMBER($I68),$I68,"")))</f>
        <v>154.448979591837</v>
      </c>
      <c r="L68" s="40" t="n">
        <f aca="false">IF(ISNUMBER($K68),$K68*$H68,"")</f>
        <v>27.8008163265306</v>
      </c>
      <c r="M68" s="40" t="n">
        <f aca="false">IF(ISNUMBER($K68),$K68*Parâmetros!$B$9,"")</f>
        <v>15.4448979591837</v>
      </c>
      <c r="N68" s="40" t="n">
        <f aca="false">IF(ISNUMBER($K68),$K68*Parâmetros!$C$9,"")</f>
        <v>4.6334693877551</v>
      </c>
      <c r="O68" s="40" t="n">
        <f aca="false">IF(ISNUMBER($K68),IF(ISNUMBER(Parâmetros!$E$9),Parâmetros!$E$9,0),"")</f>
        <v>0</v>
      </c>
      <c r="P68" s="41" t="n">
        <f aca="false">IF(ISNUMBER($K68),$K68-$D68-IF(ISNUMBER($E68),$E68,0)-$L68-$M68-$N68-$O68,"")</f>
        <v>30.8897959183674</v>
      </c>
      <c r="Q68" s="42" t="n">
        <f aca="false">IF(AND(ISNUMBER($K68),$K68&gt;0),$P68/$K68,"")</f>
        <v>0.2</v>
      </c>
      <c r="R68" s="43"/>
      <c r="S68" s="44" t="str">
        <f aca="false">IF(OR(NOT(ISNUMBER($R68)),$R68=0,NOT(ISNUMBER($K68))),"",$K68*(1-$R68))</f>
        <v/>
      </c>
      <c r="T68" s="45" t="str">
        <f aca="false">IF(ISNUMBER($S68),$S68*$H68,"")</f>
        <v/>
      </c>
      <c r="U68" s="45" t="str">
        <f aca="false">IF(ISNUMBER($S68),$S68*Parâmetros!$B$9,"")</f>
        <v/>
      </c>
      <c r="V68" s="45" t="str">
        <f aca="false">IF(ISNUMBER($S68),$S68*Parâmetros!$C$9,"")</f>
        <v/>
      </c>
      <c r="W68" s="44" t="str">
        <f aca="false">IF(ISNUMBER($S68),$S68-$D68-IF(ISNUMBER($E68),$E68,0)-$O68-$T68-$U68-$V68,"")</f>
        <v/>
      </c>
      <c r="X68" s="46" t="str">
        <f aca="false">IF(AND(ISNUMBER($S68),$S68&gt;0),$W68/$S68,"")</f>
        <v/>
      </c>
      <c r="Y68" s="47"/>
      <c r="Z68" s="19"/>
    </row>
    <row r="69" customFormat="false" ht="15.75" hidden="false" customHeight="true" outlineLevel="0" collapsed="false">
      <c r="A69" s="48" t="str">
        <f aca="false">IF(Produtos!$A69="","",Produtos!$A69)</f>
        <v>L2425-B</v>
      </c>
      <c r="B69" s="48" t="str">
        <f aca="false">IF(Produtos!$A69="","",Produtos!$B69)</f>
        <v>Lixeira c/Aro Basculante 24x25 13L</v>
      </c>
      <c r="C69" s="48" t="str">
        <f aca="false">IF(Produtos!$A69="","",Produtos!$C69)</f>
        <v>Lixeiras em inox</v>
      </c>
      <c r="D69" s="33" t="n">
        <f aca="false">IF(Produtos!$A69="","",IF(Produtos!$D69="","",Produtos!$D69))</f>
        <v>94.18</v>
      </c>
      <c r="E69" s="11" t="n">
        <v>0</v>
      </c>
      <c r="F69" s="34" t="n">
        <f aca="false">IF($A69="","",IF($C69="","⚠ categoria",IFERROR(INDEX(Parâmetros!$G$13:$G$22,MATCH($C69,Parâmetros!$A$13:$A$22,0)),"⚠ categoria")))</f>
        <v>0.18</v>
      </c>
      <c r="G69" s="35"/>
      <c r="H69" s="36" t="n">
        <f aca="false">IF($A69="","",IF(ISNUMBER($G69),$G69,IF(ISNUMBER($F69),$F69,"")))</f>
        <v>0.18</v>
      </c>
      <c r="I69" s="37" t="n">
        <f aca="false">IF(OR($A69="",NOT(ISNUMBER($D69)),NOT(ISNUMBER($H69))),"",IF((1-$H69-Parâmetros!$B$9-Parâmetros!$C$9-Parâmetros!$D$9)&lt;=0,"INVALIDO",($D69+IF(ISNUMBER($E69),$E69,0)+IF(ISNUMBER(Parâmetros!$E$9),Parâmetros!$E$9,0))/(1-$H69-Parâmetros!$B$9-Parâmetros!$C$9-Parâmetros!$D$9)))</f>
        <v>192.204081632653</v>
      </c>
      <c r="J69" s="38"/>
      <c r="K69" s="39" t="n">
        <f aca="false">IF(OR($A69="",NOT(ISNUMBER($D69)),NOT(ISNUMBER($H69))),"",IF(AND(ISNUMBER($J69),$J69&gt;0),$J69,IF(ISNUMBER($I69),$I69,"")))</f>
        <v>192.204081632653</v>
      </c>
      <c r="L69" s="40" t="n">
        <f aca="false">IF(ISNUMBER($K69),$K69*$H69,"")</f>
        <v>34.5967346938775</v>
      </c>
      <c r="M69" s="40" t="n">
        <f aca="false">IF(ISNUMBER($K69),$K69*Parâmetros!$B$9,"")</f>
        <v>19.2204081632653</v>
      </c>
      <c r="N69" s="40" t="n">
        <f aca="false">IF(ISNUMBER($K69),$K69*Parâmetros!$C$9,"")</f>
        <v>5.76612244897959</v>
      </c>
      <c r="O69" s="40" t="n">
        <f aca="false">IF(ISNUMBER($K69),IF(ISNUMBER(Parâmetros!$E$9),Parâmetros!$E$9,0),"")</f>
        <v>0</v>
      </c>
      <c r="P69" s="41" t="n">
        <f aca="false">IF(ISNUMBER($K69),$K69-$D69-IF(ISNUMBER($E69),$E69,0)-$L69-$M69-$N69-$O69,"")</f>
        <v>38.4408163265306</v>
      </c>
      <c r="Q69" s="42" t="n">
        <f aca="false">IF(AND(ISNUMBER($K69),$K69&gt;0),$P69/$K69,"")</f>
        <v>0.2</v>
      </c>
      <c r="R69" s="43"/>
      <c r="S69" s="44" t="str">
        <f aca="false">IF(OR(NOT(ISNUMBER($R69)),$R69=0,NOT(ISNUMBER($K69))),"",$K69*(1-$R69))</f>
        <v/>
      </c>
      <c r="T69" s="45" t="str">
        <f aca="false">IF(ISNUMBER($S69),$S69*$H69,"")</f>
        <v/>
      </c>
      <c r="U69" s="45" t="str">
        <f aca="false">IF(ISNUMBER($S69),$S69*Parâmetros!$B$9,"")</f>
        <v/>
      </c>
      <c r="V69" s="45" t="str">
        <f aca="false">IF(ISNUMBER($S69),$S69*Parâmetros!$C$9,"")</f>
        <v/>
      </c>
      <c r="W69" s="44" t="str">
        <f aca="false">IF(ISNUMBER($S69),$S69-$D69-IF(ISNUMBER($E69),$E69,0)-$O69-$T69-$U69-$V69,"")</f>
        <v/>
      </c>
      <c r="X69" s="46" t="str">
        <f aca="false">IF(AND(ISNUMBER($S69),$S69&gt;0),$W69/$S69,"")</f>
        <v/>
      </c>
      <c r="Y69" s="49"/>
      <c r="Z69" s="21"/>
    </row>
    <row r="70" customFormat="false" ht="15.75" hidden="false" customHeight="true" outlineLevel="0" collapsed="false">
      <c r="A70" s="32" t="str">
        <f aca="false">IF(Produtos!$A70="","",Produtos!$A70)</f>
        <v>L2430-B</v>
      </c>
      <c r="B70" s="32" t="str">
        <f aca="false">IF(Produtos!$A70="","",Produtos!$B70)</f>
        <v>Lixeira c/Aro Basculante 24x30 15L</v>
      </c>
      <c r="C70" s="32" t="str">
        <f aca="false">IF(Produtos!$A70="","",Produtos!$C70)</f>
        <v>Lixeiras em inox</v>
      </c>
      <c r="D70" s="33" t="n">
        <f aca="false">IF(Produtos!$A70="","",IF(Produtos!$D70="","",Produtos!$D70))</f>
        <v>103.42</v>
      </c>
      <c r="E70" s="11" t="n">
        <v>0</v>
      </c>
      <c r="F70" s="34" t="n">
        <f aca="false">IF($A70="","",IF($C70="","⚠ categoria",IFERROR(INDEX(Parâmetros!$G$13:$G$22,MATCH($C70,Parâmetros!$A$13:$A$22,0)),"⚠ categoria")))</f>
        <v>0.18</v>
      </c>
      <c r="G70" s="35"/>
      <c r="H70" s="36" t="n">
        <f aca="false">IF($A70="","",IF(ISNUMBER($G70),$G70,IF(ISNUMBER($F70),$F70,"")))</f>
        <v>0.18</v>
      </c>
      <c r="I70" s="37" t="n">
        <f aca="false">IF(OR($A70="",NOT(ISNUMBER($D70)),NOT(ISNUMBER($H70))),"",IF((1-$H70-Parâmetros!$B$9-Parâmetros!$C$9-Parâmetros!$D$9)&lt;=0,"INVALIDO",($D70+IF(ISNUMBER($E70),$E70,0)+IF(ISNUMBER(Parâmetros!$E$9),Parâmetros!$E$9,0))/(1-$H70-Parâmetros!$B$9-Parâmetros!$C$9-Parâmetros!$D$9)))</f>
        <v>211.061224489796</v>
      </c>
      <c r="J70" s="38"/>
      <c r="K70" s="39" t="n">
        <f aca="false">IF(OR($A70="",NOT(ISNUMBER($D70)),NOT(ISNUMBER($H70))),"",IF(AND(ISNUMBER($J70),$J70&gt;0),$J70,IF(ISNUMBER($I70),$I70,"")))</f>
        <v>211.061224489796</v>
      </c>
      <c r="L70" s="40" t="n">
        <f aca="false">IF(ISNUMBER($K70),$K70*$H70,"")</f>
        <v>37.9910204081633</v>
      </c>
      <c r="M70" s="40" t="n">
        <f aca="false">IF(ISNUMBER($K70),$K70*Parâmetros!$B$9,"")</f>
        <v>21.1061224489796</v>
      </c>
      <c r="N70" s="40" t="n">
        <f aca="false">IF(ISNUMBER($K70),$K70*Parâmetros!$C$9,"")</f>
        <v>6.33183673469388</v>
      </c>
      <c r="O70" s="40" t="n">
        <f aca="false">IF(ISNUMBER($K70),IF(ISNUMBER(Parâmetros!$E$9),Parâmetros!$E$9,0),"")</f>
        <v>0</v>
      </c>
      <c r="P70" s="41" t="n">
        <f aca="false">IF(ISNUMBER($K70),$K70-$D70-IF(ISNUMBER($E70),$E70,0)-$L70-$M70-$N70-$O70,"")</f>
        <v>42.2122448979592</v>
      </c>
      <c r="Q70" s="42" t="n">
        <f aca="false">IF(AND(ISNUMBER($K70),$K70&gt;0),$P70/$K70,"")</f>
        <v>0.2</v>
      </c>
      <c r="R70" s="43"/>
      <c r="S70" s="44" t="str">
        <f aca="false">IF(OR(NOT(ISNUMBER($R70)),$R70=0,NOT(ISNUMBER($K70))),"",$K70*(1-$R70))</f>
        <v/>
      </c>
      <c r="T70" s="45" t="str">
        <f aca="false">IF(ISNUMBER($S70),$S70*$H70,"")</f>
        <v/>
      </c>
      <c r="U70" s="45" t="str">
        <f aca="false">IF(ISNUMBER($S70),$S70*Parâmetros!$B$9,"")</f>
        <v/>
      </c>
      <c r="V70" s="45" t="str">
        <f aca="false">IF(ISNUMBER($S70),$S70*Parâmetros!$C$9,"")</f>
        <v/>
      </c>
      <c r="W70" s="44" t="str">
        <f aca="false">IF(ISNUMBER($S70),$S70-$D70-IF(ISNUMBER($E70),$E70,0)-$O70-$T70-$U70-$V70,"")</f>
        <v/>
      </c>
      <c r="X70" s="46" t="str">
        <f aca="false">IF(AND(ISNUMBER($S70),$S70&gt;0),$W70/$S70,"")</f>
        <v/>
      </c>
      <c r="Y70" s="47"/>
      <c r="Z70" s="19"/>
    </row>
    <row r="71" customFormat="false" ht="15.75" hidden="false" customHeight="true" outlineLevel="0" collapsed="false">
      <c r="A71" s="48" t="str">
        <f aca="false">IF(Produtos!$A71="","",Produtos!$A71)</f>
        <v>L2440-B</v>
      </c>
      <c r="B71" s="48" t="str">
        <f aca="false">IF(Produtos!$A71="","",Produtos!$B71)</f>
        <v>Lixeira c/Aro Basculante 24x40 20L</v>
      </c>
      <c r="C71" s="48" t="str">
        <f aca="false">IF(Produtos!$A71="","",Produtos!$C71)</f>
        <v>Lixeiras em inox</v>
      </c>
      <c r="D71" s="33" t="n">
        <f aca="false">IF(Produtos!$A71="","",IF(Produtos!$D71="","",Produtos!$D71))</f>
        <v>120.51</v>
      </c>
      <c r="E71" s="11" t="n">
        <v>0</v>
      </c>
      <c r="F71" s="34" t="n">
        <f aca="false">IF($A71="","",IF($C71="","⚠ categoria",IFERROR(INDEX(Parâmetros!$G$13:$G$22,MATCH($C71,Parâmetros!$A$13:$A$22,0)),"⚠ categoria")))</f>
        <v>0.18</v>
      </c>
      <c r="G71" s="35"/>
      <c r="H71" s="36" t="n">
        <f aca="false">IF($A71="","",IF(ISNUMBER($G71),$G71,IF(ISNUMBER($F71),$F71,"")))</f>
        <v>0.18</v>
      </c>
      <c r="I71" s="37" t="n">
        <f aca="false">IF(OR($A71="",NOT(ISNUMBER($D71)),NOT(ISNUMBER($H71))),"",IF((1-$H71-Parâmetros!$B$9-Parâmetros!$C$9-Parâmetros!$D$9)&lt;=0,"INVALIDO",($D71+IF(ISNUMBER($E71),$E71,0)+IF(ISNUMBER(Parâmetros!$E$9),Parâmetros!$E$9,0))/(1-$H71-Parâmetros!$B$9-Parâmetros!$C$9-Parâmetros!$D$9)))</f>
        <v>245.938775510204</v>
      </c>
      <c r="J71" s="38"/>
      <c r="K71" s="39" t="n">
        <f aca="false">IF(OR($A71="",NOT(ISNUMBER($D71)),NOT(ISNUMBER($H71))),"",IF(AND(ISNUMBER($J71),$J71&gt;0),$J71,IF(ISNUMBER($I71),$I71,"")))</f>
        <v>245.938775510204</v>
      </c>
      <c r="L71" s="40" t="n">
        <f aca="false">IF(ISNUMBER($K71),$K71*$H71,"")</f>
        <v>44.2689795918367</v>
      </c>
      <c r="M71" s="40" t="n">
        <f aca="false">IF(ISNUMBER($K71),$K71*Parâmetros!$B$9,"")</f>
        <v>24.5938775510204</v>
      </c>
      <c r="N71" s="40" t="n">
        <f aca="false">IF(ISNUMBER($K71),$K71*Parâmetros!$C$9,"")</f>
        <v>7.37816326530612</v>
      </c>
      <c r="O71" s="40" t="n">
        <f aca="false">IF(ISNUMBER($K71),IF(ISNUMBER(Parâmetros!$E$9),Parâmetros!$E$9,0),"")</f>
        <v>0</v>
      </c>
      <c r="P71" s="41" t="n">
        <f aca="false">IF(ISNUMBER($K71),$K71-$D71-IF(ISNUMBER($E71),$E71,0)-$L71-$M71-$N71-$O71,"")</f>
        <v>49.1877551020408</v>
      </c>
      <c r="Q71" s="42" t="n">
        <f aca="false">IF(AND(ISNUMBER($K71),$K71&gt;0),$P71/$K71,"")</f>
        <v>0.2</v>
      </c>
      <c r="R71" s="43"/>
      <c r="S71" s="44" t="str">
        <f aca="false">IF(OR(NOT(ISNUMBER($R71)),$R71=0,NOT(ISNUMBER($K71))),"",$K71*(1-$R71))</f>
        <v/>
      </c>
      <c r="T71" s="45" t="str">
        <f aca="false">IF(ISNUMBER($S71),$S71*$H71,"")</f>
        <v/>
      </c>
      <c r="U71" s="45" t="str">
        <f aca="false">IF(ISNUMBER($S71),$S71*Parâmetros!$B$9,"")</f>
        <v/>
      </c>
      <c r="V71" s="45" t="str">
        <f aca="false">IF(ISNUMBER($S71),$S71*Parâmetros!$C$9,"")</f>
        <v/>
      </c>
      <c r="W71" s="44" t="str">
        <f aca="false">IF(ISNUMBER($S71),$S71-$D71-IF(ISNUMBER($E71),$E71,0)-$O71-$T71-$U71-$V71,"")</f>
        <v/>
      </c>
      <c r="X71" s="46" t="str">
        <f aca="false">IF(AND(ISNUMBER($S71),$S71&gt;0),$W71/$S71,"")</f>
        <v/>
      </c>
      <c r="Y71" s="49"/>
      <c r="Z71" s="21"/>
    </row>
    <row r="72" customFormat="false" ht="15.75" hidden="false" customHeight="true" outlineLevel="0" collapsed="false">
      <c r="A72" s="32" t="str">
        <f aca="false">IF(Produtos!$A72="","",Produtos!$A72)</f>
        <v>L2450-B</v>
      </c>
      <c r="B72" s="32" t="str">
        <f aca="false">IF(Produtos!$A72="","",Produtos!$B72)</f>
        <v>Lixeira c/Aro Basculante 24x50 25L</v>
      </c>
      <c r="C72" s="32" t="str">
        <f aca="false">IF(Produtos!$A72="","",Produtos!$C72)</f>
        <v>Lixeiras em inox</v>
      </c>
      <c r="D72" s="33" t="n">
        <f aca="false">IF(Produtos!$A72="","",IF(Produtos!$D72="","",Produtos!$D72))</f>
        <v>151.31</v>
      </c>
      <c r="E72" s="11" t="n">
        <v>0</v>
      </c>
      <c r="F72" s="34" t="n">
        <f aca="false">IF($A72="","",IF($C72="","⚠ categoria",IFERROR(INDEX(Parâmetros!$G$13:$G$22,MATCH($C72,Parâmetros!$A$13:$A$22,0)),"⚠ categoria")))</f>
        <v>0.18</v>
      </c>
      <c r="G72" s="35"/>
      <c r="H72" s="36" t="n">
        <f aca="false">IF($A72="","",IF(ISNUMBER($G72),$G72,IF(ISNUMBER($F72),$F72,"")))</f>
        <v>0.18</v>
      </c>
      <c r="I72" s="37" t="n">
        <f aca="false">IF(OR($A72="",NOT(ISNUMBER($D72)),NOT(ISNUMBER($H72))),"",IF((1-$H72-Parâmetros!$B$9-Parâmetros!$C$9-Parâmetros!$D$9)&lt;=0,"INVALIDO",($D72+IF(ISNUMBER($E72),$E72,0)+IF(ISNUMBER(Parâmetros!$E$9),Parâmetros!$E$9,0))/(1-$H72-Parâmetros!$B$9-Parâmetros!$C$9-Parâmetros!$D$9)))</f>
        <v>308.795918367347</v>
      </c>
      <c r="J72" s="38"/>
      <c r="K72" s="39" t="n">
        <f aca="false">IF(OR($A72="",NOT(ISNUMBER($D72)),NOT(ISNUMBER($H72))),"",IF(AND(ISNUMBER($J72),$J72&gt;0),$J72,IF(ISNUMBER($I72),$I72,"")))</f>
        <v>308.795918367347</v>
      </c>
      <c r="L72" s="40" t="n">
        <f aca="false">IF(ISNUMBER($K72),$K72*$H72,"")</f>
        <v>55.5832653061224</v>
      </c>
      <c r="M72" s="40" t="n">
        <f aca="false">IF(ISNUMBER($K72),$K72*Parâmetros!$B$9,"")</f>
        <v>30.8795918367347</v>
      </c>
      <c r="N72" s="40" t="n">
        <f aca="false">IF(ISNUMBER($K72),$K72*Parâmetros!$C$9,"")</f>
        <v>9.26387755102041</v>
      </c>
      <c r="O72" s="40" t="n">
        <f aca="false">IF(ISNUMBER($K72),IF(ISNUMBER(Parâmetros!$E$9),Parâmetros!$E$9,0),"")</f>
        <v>0</v>
      </c>
      <c r="P72" s="41" t="n">
        <f aca="false">IF(ISNUMBER($K72),$K72-$D72-IF(ISNUMBER($E72),$E72,0)-$L72-$M72-$N72-$O72,"")</f>
        <v>61.7591836734694</v>
      </c>
      <c r="Q72" s="42" t="n">
        <f aca="false">IF(AND(ISNUMBER($K72),$K72&gt;0),$P72/$K72,"")</f>
        <v>0.2</v>
      </c>
      <c r="R72" s="43"/>
      <c r="S72" s="44" t="str">
        <f aca="false">IF(OR(NOT(ISNUMBER($R72)),$R72=0,NOT(ISNUMBER($K72))),"",$K72*(1-$R72))</f>
        <v/>
      </c>
      <c r="T72" s="45" t="str">
        <f aca="false">IF(ISNUMBER($S72),$S72*$H72,"")</f>
        <v/>
      </c>
      <c r="U72" s="45" t="str">
        <f aca="false">IF(ISNUMBER($S72),$S72*Parâmetros!$B$9,"")</f>
        <v/>
      </c>
      <c r="V72" s="45" t="str">
        <f aca="false">IF(ISNUMBER($S72),$S72*Parâmetros!$C$9,"")</f>
        <v/>
      </c>
      <c r="W72" s="44" t="str">
        <f aca="false">IF(ISNUMBER($S72),$S72-$D72-IF(ISNUMBER($E72),$E72,0)-$O72-$T72-$U72-$V72,"")</f>
        <v/>
      </c>
      <c r="X72" s="46" t="str">
        <f aca="false">IF(AND(ISNUMBER($S72),$S72&gt;0),$W72/$S72,"")</f>
        <v/>
      </c>
      <c r="Y72" s="47"/>
      <c r="Z72" s="19"/>
    </row>
    <row r="73" customFormat="false" ht="15.75" hidden="false" customHeight="true" outlineLevel="0" collapsed="false">
      <c r="A73" s="48" t="str">
        <f aca="false">IF(Produtos!$A73="","",Produtos!$A73)</f>
        <v>L2460-B</v>
      </c>
      <c r="B73" s="48" t="str">
        <f aca="false">IF(Produtos!$A73="","",Produtos!$B73)</f>
        <v>Lixeira c/Aro Basculante 24x60 27L</v>
      </c>
      <c r="C73" s="48" t="str">
        <f aca="false">IF(Produtos!$A73="","",Produtos!$C73)</f>
        <v>Lixeiras em inox</v>
      </c>
      <c r="D73" s="33" t="n">
        <f aca="false">IF(Produtos!$A73="","",IF(Produtos!$D73="","",Produtos!$D73))</f>
        <v>152.83</v>
      </c>
      <c r="E73" s="11" t="n">
        <v>0</v>
      </c>
      <c r="F73" s="34" t="n">
        <f aca="false">IF($A73="","",IF($C73="","⚠ categoria",IFERROR(INDEX(Parâmetros!$G$13:$G$22,MATCH($C73,Parâmetros!$A$13:$A$22,0)),"⚠ categoria")))</f>
        <v>0.18</v>
      </c>
      <c r="G73" s="35"/>
      <c r="H73" s="36" t="n">
        <f aca="false">IF($A73="","",IF(ISNUMBER($G73),$G73,IF(ISNUMBER($F73),$F73,"")))</f>
        <v>0.18</v>
      </c>
      <c r="I73" s="37" t="n">
        <f aca="false">IF(OR($A73="",NOT(ISNUMBER($D73)),NOT(ISNUMBER($H73))),"",IF((1-$H73-Parâmetros!$B$9-Parâmetros!$C$9-Parâmetros!$D$9)&lt;=0,"INVALIDO",($D73+IF(ISNUMBER($E73),$E73,0)+IF(ISNUMBER(Parâmetros!$E$9),Parâmetros!$E$9,0))/(1-$H73-Parâmetros!$B$9-Parâmetros!$C$9-Parâmetros!$D$9)))</f>
        <v>311.897959183674</v>
      </c>
      <c r="J73" s="38"/>
      <c r="K73" s="39" t="n">
        <f aca="false">IF(OR($A73="",NOT(ISNUMBER($D73)),NOT(ISNUMBER($H73))),"",IF(AND(ISNUMBER($J73),$J73&gt;0),$J73,IF(ISNUMBER($I73),$I73,"")))</f>
        <v>311.897959183674</v>
      </c>
      <c r="L73" s="40" t="n">
        <f aca="false">IF(ISNUMBER($K73),$K73*$H73,"")</f>
        <v>56.1416326530612</v>
      </c>
      <c r="M73" s="40" t="n">
        <f aca="false">IF(ISNUMBER($K73),$K73*Parâmetros!$B$9,"")</f>
        <v>31.1897959183674</v>
      </c>
      <c r="N73" s="40" t="n">
        <f aca="false">IF(ISNUMBER($K73),$K73*Parâmetros!$C$9,"")</f>
        <v>9.35693877551021</v>
      </c>
      <c r="O73" s="40" t="n">
        <f aca="false">IF(ISNUMBER($K73),IF(ISNUMBER(Parâmetros!$E$9),Parâmetros!$E$9,0),"")</f>
        <v>0</v>
      </c>
      <c r="P73" s="41" t="n">
        <f aca="false">IF(ISNUMBER($K73),$K73-$D73-IF(ISNUMBER($E73),$E73,0)-$L73-$M73-$N73-$O73,"")</f>
        <v>62.3795918367347</v>
      </c>
      <c r="Q73" s="42" t="n">
        <f aca="false">IF(AND(ISNUMBER($K73),$K73&gt;0),$P73/$K73,"")</f>
        <v>0.2</v>
      </c>
      <c r="R73" s="43"/>
      <c r="S73" s="44" t="str">
        <f aca="false">IF(OR(NOT(ISNUMBER($R73)),$R73=0,NOT(ISNUMBER($K73))),"",$K73*(1-$R73))</f>
        <v/>
      </c>
      <c r="T73" s="45" t="str">
        <f aca="false">IF(ISNUMBER($S73),$S73*$H73,"")</f>
        <v/>
      </c>
      <c r="U73" s="45" t="str">
        <f aca="false">IF(ISNUMBER($S73),$S73*Parâmetros!$B$9,"")</f>
        <v/>
      </c>
      <c r="V73" s="45" t="str">
        <f aca="false">IF(ISNUMBER($S73),$S73*Parâmetros!$C$9,"")</f>
        <v/>
      </c>
      <c r="W73" s="44" t="str">
        <f aca="false">IF(ISNUMBER($S73),$S73-$D73-IF(ISNUMBER($E73),$E73,0)-$O73-$T73-$U73-$V73,"")</f>
        <v/>
      </c>
      <c r="X73" s="46" t="str">
        <f aca="false">IF(AND(ISNUMBER($S73),$S73&gt;0),$W73/$S73,"")</f>
        <v/>
      </c>
      <c r="Y73" s="49"/>
      <c r="Z73" s="21"/>
    </row>
    <row r="74" customFormat="false" ht="15.75" hidden="false" customHeight="true" outlineLevel="0" collapsed="false">
      <c r="A74" s="32" t="str">
        <f aca="false">IF(Produtos!$A74="","",Produtos!$A74)</f>
        <v>L2470-B</v>
      </c>
      <c r="B74" s="32" t="str">
        <f aca="false">IF(Produtos!$A74="","",Produtos!$B74)</f>
        <v>Lixeira c/Aro Basculante 24x70 30L</v>
      </c>
      <c r="C74" s="32" t="str">
        <f aca="false">IF(Produtos!$A74="","",Produtos!$C74)</f>
        <v>Lixeiras em inox</v>
      </c>
      <c r="D74" s="33" t="n">
        <f aca="false">IF(Produtos!$A74="","",IF(Produtos!$D74="","",Produtos!$D74))</f>
        <v>211.1</v>
      </c>
      <c r="E74" s="11" t="n">
        <v>0</v>
      </c>
      <c r="F74" s="34" t="n">
        <f aca="false">IF($A74="","",IF($C74="","⚠ categoria",IFERROR(INDEX(Parâmetros!$G$13:$G$22,MATCH($C74,Parâmetros!$A$13:$A$22,0)),"⚠ categoria")))</f>
        <v>0.18</v>
      </c>
      <c r="G74" s="35"/>
      <c r="H74" s="36" t="n">
        <f aca="false">IF($A74="","",IF(ISNUMBER($G74),$G74,IF(ISNUMBER($F74),$F74,"")))</f>
        <v>0.18</v>
      </c>
      <c r="I74" s="37" t="n">
        <f aca="false">IF(OR($A74="",NOT(ISNUMBER($D74)),NOT(ISNUMBER($H74))),"",IF((1-$H74-Parâmetros!$B$9-Parâmetros!$C$9-Parâmetros!$D$9)&lt;=0,"INVALIDO",($D74+IF(ISNUMBER($E74),$E74,0)+IF(ISNUMBER(Parâmetros!$E$9),Parâmetros!$E$9,0))/(1-$H74-Parâmetros!$B$9-Parâmetros!$C$9-Parâmetros!$D$9)))</f>
        <v>430.816326530612</v>
      </c>
      <c r="J74" s="38"/>
      <c r="K74" s="39" t="n">
        <f aca="false">IF(OR($A74="",NOT(ISNUMBER($D74)),NOT(ISNUMBER($H74))),"",IF(AND(ISNUMBER($J74),$J74&gt;0),$J74,IF(ISNUMBER($I74),$I74,"")))</f>
        <v>430.816326530612</v>
      </c>
      <c r="L74" s="40" t="n">
        <f aca="false">IF(ISNUMBER($K74),$K74*$H74,"")</f>
        <v>77.5469387755102</v>
      </c>
      <c r="M74" s="40" t="n">
        <f aca="false">IF(ISNUMBER($K74),$K74*Parâmetros!$B$9,"")</f>
        <v>43.0816326530612</v>
      </c>
      <c r="N74" s="40" t="n">
        <f aca="false">IF(ISNUMBER($K74),$K74*Parâmetros!$C$9,"")</f>
        <v>12.9244897959184</v>
      </c>
      <c r="O74" s="40" t="n">
        <f aca="false">IF(ISNUMBER($K74),IF(ISNUMBER(Parâmetros!$E$9),Parâmetros!$E$9,0),"")</f>
        <v>0</v>
      </c>
      <c r="P74" s="41" t="n">
        <f aca="false">IF(ISNUMBER($K74),$K74-$D74-IF(ISNUMBER($E74),$E74,0)-$L74-$M74-$N74-$O74,"")</f>
        <v>86.1632653061224</v>
      </c>
      <c r="Q74" s="42" t="n">
        <f aca="false">IF(AND(ISNUMBER($K74),$K74&gt;0),$P74/$K74,"")</f>
        <v>0.2</v>
      </c>
      <c r="R74" s="43"/>
      <c r="S74" s="44" t="str">
        <f aca="false">IF(OR(NOT(ISNUMBER($R74)),$R74=0,NOT(ISNUMBER($K74))),"",$K74*(1-$R74))</f>
        <v/>
      </c>
      <c r="T74" s="45" t="str">
        <f aca="false">IF(ISNUMBER($S74),$S74*$H74,"")</f>
        <v/>
      </c>
      <c r="U74" s="45" t="str">
        <f aca="false">IF(ISNUMBER($S74),$S74*Parâmetros!$B$9,"")</f>
        <v/>
      </c>
      <c r="V74" s="45" t="str">
        <f aca="false">IF(ISNUMBER($S74),$S74*Parâmetros!$C$9,"")</f>
        <v/>
      </c>
      <c r="W74" s="44" t="str">
        <f aca="false">IF(ISNUMBER($S74),$S74-$D74-IF(ISNUMBER($E74),$E74,0)-$O74-$T74-$U74-$V74,"")</f>
        <v/>
      </c>
      <c r="X74" s="46" t="str">
        <f aca="false">IF(AND(ISNUMBER($S74),$S74&gt;0),$W74/$S74,"")</f>
        <v/>
      </c>
      <c r="Y74" s="47"/>
      <c r="Z74" s="19"/>
    </row>
    <row r="75" customFormat="false" ht="15.75" hidden="false" customHeight="true" outlineLevel="0" collapsed="false">
      <c r="A75" s="48" t="str">
        <f aca="false">IF(Produtos!$A75="","",Produtos!$A75)</f>
        <v>L3040-B</v>
      </c>
      <c r="B75" s="48" t="str">
        <f aca="false">IF(Produtos!$A75="","",Produtos!$B75)</f>
        <v>Lixeira c/Aro Basculante 30x40 30L</v>
      </c>
      <c r="C75" s="48" t="str">
        <f aca="false">IF(Produtos!$A75="","",Produtos!$C75)</f>
        <v>Lixeiras em inox</v>
      </c>
      <c r="D75" s="33" t="n">
        <f aca="false">IF(Produtos!$A75="","",IF(Produtos!$D75="","",Produtos!$D75))</f>
        <v>172.54</v>
      </c>
      <c r="E75" s="11" t="n">
        <v>0</v>
      </c>
      <c r="F75" s="34" t="n">
        <f aca="false">IF($A75="","",IF($C75="","⚠ categoria",IFERROR(INDEX(Parâmetros!$G$13:$G$22,MATCH($C75,Parâmetros!$A$13:$A$22,0)),"⚠ categoria")))</f>
        <v>0.18</v>
      </c>
      <c r="G75" s="35"/>
      <c r="H75" s="36" t="n">
        <f aca="false">IF($A75="","",IF(ISNUMBER($G75),$G75,IF(ISNUMBER($F75),$F75,"")))</f>
        <v>0.18</v>
      </c>
      <c r="I75" s="37" t="n">
        <f aca="false">IF(OR($A75="",NOT(ISNUMBER($D75)),NOT(ISNUMBER($H75))),"",IF((1-$H75-Parâmetros!$B$9-Parâmetros!$C$9-Parâmetros!$D$9)&lt;=0,"INVALIDO",($D75+IF(ISNUMBER($E75),$E75,0)+IF(ISNUMBER(Parâmetros!$E$9),Parâmetros!$E$9,0))/(1-$H75-Parâmetros!$B$9-Parâmetros!$C$9-Parâmetros!$D$9)))</f>
        <v>352.122448979592</v>
      </c>
      <c r="J75" s="38"/>
      <c r="K75" s="39" t="n">
        <f aca="false">IF(OR($A75="",NOT(ISNUMBER($D75)),NOT(ISNUMBER($H75))),"",IF(AND(ISNUMBER($J75),$J75&gt;0),$J75,IF(ISNUMBER($I75),$I75,"")))</f>
        <v>352.122448979592</v>
      </c>
      <c r="L75" s="40" t="n">
        <f aca="false">IF(ISNUMBER($K75),$K75*$H75,"")</f>
        <v>63.3820408163265</v>
      </c>
      <c r="M75" s="40" t="n">
        <f aca="false">IF(ISNUMBER($K75),$K75*Parâmetros!$B$9,"")</f>
        <v>35.2122448979592</v>
      </c>
      <c r="N75" s="40" t="n">
        <f aca="false">IF(ISNUMBER($K75),$K75*Parâmetros!$C$9,"")</f>
        <v>10.5636734693878</v>
      </c>
      <c r="O75" s="40" t="n">
        <f aca="false">IF(ISNUMBER($K75),IF(ISNUMBER(Parâmetros!$E$9),Parâmetros!$E$9,0),"")</f>
        <v>0</v>
      </c>
      <c r="P75" s="41" t="n">
        <f aca="false">IF(ISNUMBER($K75),$K75-$D75-IF(ISNUMBER($E75),$E75,0)-$L75-$M75-$N75-$O75,"")</f>
        <v>70.4244897959184</v>
      </c>
      <c r="Q75" s="42" t="n">
        <f aca="false">IF(AND(ISNUMBER($K75),$K75&gt;0),$P75/$K75,"")</f>
        <v>0.2</v>
      </c>
      <c r="R75" s="43"/>
      <c r="S75" s="44" t="str">
        <f aca="false">IF(OR(NOT(ISNUMBER($R75)),$R75=0,NOT(ISNUMBER($K75))),"",$K75*(1-$R75))</f>
        <v/>
      </c>
      <c r="T75" s="45" t="str">
        <f aca="false">IF(ISNUMBER($S75),$S75*$H75,"")</f>
        <v/>
      </c>
      <c r="U75" s="45" t="str">
        <f aca="false">IF(ISNUMBER($S75),$S75*Parâmetros!$B$9,"")</f>
        <v/>
      </c>
      <c r="V75" s="45" t="str">
        <f aca="false">IF(ISNUMBER($S75),$S75*Parâmetros!$C$9,"")</f>
        <v/>
      </c>
      <c r="W75" s="44" t="str">
        <f aca="false">IF(ISNUMBER($S75),$S75-$D75-IF(ISNUMBER($E75),$E75,0)-$O75-$T75-$U75-$V75,"")</f>
        <v/>
      </c>
      <c r="X75" s="46" t="str">
        <f aca="false">IF(AND(ISNUMBER($S75),$S75&gt;0),$W75/$S75,"")</f>
        <v/>
      </c>
      <c r="Y75" s="49"/>
      <c r="Z75" s="21"/>
    </row>
    <row r="76" customFormat="false" ht="15.75" hidden="false" customHeight="true" outlineLevel="0" collapsed="false">
      <c r="A76" s="32" t="str">
        <f aca="false">IF(Produtos!$A76="","",Produtos!$A76)</f>
        <v>L3050-B</v>
      </c>
      <c r="B76" s="32" t="str">
        <f aca="false">IF(Produtos!$A76="","",Produtos!$B76)</f>
        <v>Lixeira c/Aro Basculante 30x50 35L</v>
      </c>
      <c r="C76" s="32" t="str">
        <f aca="false">IF(Produtos!$A76="","",Produtos!$C76)</f>
        <v>Lixeiras em inox</v>
      </c>
      <c r="D76" s="33" t="n">
        <f aca="false">IF(Produtos!$A76="","",IF(Produtos!$D76="","",Produtos!$D76))</f>
        <v>216.99</v>
      </c>
      <c r="E76" s="11" t="n">
        <v>0</v>
      </c>
      <c r="F76" s="34" t="n">
        <f aca="false">IF($A76="","",IF($C76="","⚠ categoria",IFERROR(INDEX(Parâmetros!$G$13:$G$22,MATCH($C76,Parâmetros!$A$13:$A$22,0)),"⚠ categoria")))</f>
        <v>0.18</v>
      </c>
      <c r="G76" s="35"/>
      <c r="H76" s="36" t="n">
        <f aca="false">IF($A76="","",IF(ISNUMBER($G76),$G76,IF(ISNUMBER($F76),$F76,"")))</f>
        <v>0.18</v>
      </c>
      <c r="I76" s="37" t="n">
        <f aca="false">IF(OR($A76="",NOT(ISNUMBER($D76)),NOT(ISNUMBER($H76))),"",IF((1-$H76-Parâmetros!$B$9-Parâmetros!$C$9-Parâmetros!$D$9)&lt;=0,"INVALIDO",($D76+IF(ISNUMBER($E76),$E76,0)+IF(ISNUMBER(Parâmetros!$E$9),Parâmetros!$E$9,0))/(1-$H76-Parâmetros!$B$9-Parâmetros!$C$9-Parâmetros!$D$9)))</f>
        <v>442.836734693878</v>
      </c>
      <c r="J76" s="38"/>
      <c r="K76" s="39" t="n">
        <f aca="false">IF(OR($A76="",NOT(ISNUMBER($D76)),NOT(ISNUMBER($H76))),"",IF(AND(ISNUMBER($J76),$J76&gt;0),$J76,IF(ISNUMBER($I76),$I76,"")))</f>
        <v>442.836734693878</v>
      </c>
      <c r="L76" s="40" t="n">
        <f aca="false">IF(ISNUMBER($K76),$K76*$H76,"")</f>
        <v>79.710612244898</v>
      </c>
      <c r="M76" s="40" t="n">
        <f aca="false">IF(ISNUMBER($K76),$K76*Parâmetros!$B$9,"")</f>
        <v>44.2836734693878</v>
      </c>
      <c r="N76" s="40" t="n">
        <f aca="false">IF(ISNUMBER($K76),$K76*Parâmetros!$C$9,"")</f>
        <v>13.2851020408163</v>
      </c>
      <c r="O76" s="40" t="n">
        <f aca="false">IF(ISNUMBER($K76),IF(ISNUMBER(Parâmetros!$E$9),Parâmetros!$E$9,0),"")</f>
        <v>0</v>
      </c>
      <c r="P76" s="41" t="n">
        <f aca="false">IF(ISNUMBER($K76),$K76-$D76-IF(ISNUMBER($E76),$E76,0)-$L76-$M76-$N76-$O76,"")</f>
        <v>88.5673469387755</v>
      </c>
      <c r="Q76" s="42" t="n">
        <f aca="false">IF(AND(ISNUMBER($K76),$K76&gt;0),$P76/$K76,"")</f>
        <v>0.2</v>
      </c>
      <c r="R76" s="43"/>
      <c r="S76" s="44" t="str">
        <f aca="false">IF(OR(NOT(ISNUMBER($R76)),$R76=0,NOT(ISNUMBER($K76))),"",$K76*(1-$R76))</f>
        <v/>
      </c>
      <c r="T76" s="45" t="str">
        <f aca="false">IF(ISNUMBER($S76),$S76*$H76,"")</f>
        <v/>
      </c>
      <c r="U76" s="45" t="str">
        <f aca="false">IF(ISNUMBER($S76),$S76*Parâmetros!$B$9,"")</f>
        <v/>
      </c>
      <c r="V76" s="45" t="str">
        <f aca="false">IF(ISNUMBER($S76),$S76*Parâmetros!$C$9,"")</f>
        <v/>
      </c>
      <c r="W76" s="44" t="str">
        <f aca="false">IF(ISNUMBER($S76),$S76-$D76-IF(ISNUMBER($E76),$E76,0)-$O76-$T76-$U76-$V76,"")</f>
        <v/>
      </c>
      <c r="X76" s="46" t="str">
        <f aca="false">IF(AND(ISNUMBER($S76),$S76&gt;0),$W76/$S76,"")</f>
        <v/>
      </c>
      <c r="Y76" s="47"/>
      <c r="Z76" s="19"/>
    </row>
    <row r="77" customFormat="false" ht="15.75" hidden="false" customHeight="true" outlineLevel="0" collapsed="false">
      <c r="A77" s="48" t="str">
        <f aca="false">IF(Produtos!$A77="","",Produtos!$A77)</f>
        <v>L3060-B</v>
      </c>
      <c r="B77" s="48" t="str">
        <f aca="false">IF(Produtos!$A77="","",Produtos!$B77)</f>
        <v>Lixeira c/Aro Basculante 30x60 40L</v>
      </c>
      <c r="C77" s="48" t="str">
        <f aca="false">IF(Produtos!$A77="","",Produtos!$C77)</f>
        <v>Lixeiras em inox</v>
      </c>
      <c r="D77" s="33" t="n">
        <f aca="false">IF(Produtos!$A77="","",IF(Produtos!$D77="","",Produtos!$D77))</f>
        <v>222.41</v>
      </c>
      <c r="E77" s="11" t="n">
        <v>0</v>
      </c>
      <c r="F77" s="34" t="n">
        <f aca="false">IF($A77="","",IF($C77="","⚠ categoria",IFERROR(INDEX(Parâmetros!$G$13:$G$22,MATCH($C77,Parâmetros!$A$13:$A$22,0)),"⚠ categoria")))</f>
        <v>0.18</v>
      </c>
      <c r="G77" s="35"/>
      <c r="H77" s="36" t="n">
        <f aca="false">IF($A77="","",IF(ISNUMBER($G77),$G77,IF(ISNUMBER($F77),$F77,"")))</f>
        <v>0.18</v>
      </c>
      <c r="I77" s="37" t="n">
        <f aca="false">IF(OR($A77="",NOT(ISNUMBER($D77)),NOT(ISNUMBER($H77))),"",IF((1-$H77-Parâmetros!$B$9-Parâmetros!$C$9-Parâmetros!$D$9)&lt;=0,"INVALIDO",($D77+IF(ISNUMBER($E77),$E77,0)+IF(ISNUMBER(Parâmetros!$E$9),Parâmetros!$E$9,0))/(1-$H77-Parâmetros!$B$9-Parâmetros!$C$9-Parâmetros!$D$9)))</f>
        <v>453.897959183673</v>
      </c>
      <c r="J77" s="38"/>
      <c r="K77" s="39" t="n">
        <f aca="false">IF(OR($A77="",NOT(ISNUMBER($D77)),NOT(ISNUMBER($H77))),"",IF(AND(ISNUMBER($J77),$J77&gt;0),$J77,IF(ISNUMBER($I77),$I77,"")))</f>
        <v>453.897959183673</v>
      </c>
      <c r="L77" s="40" t="n">
        <f aca="false">IF(ISNUMBER($K77),$K77*$H77,"")</f>
        <v>81.7016326530612</v>
      </c>
      <c r="M77" s="40" t="n">
        <f aca="false">IF(ISNUMBER($K77),$K77*Parâmetros!$B$9,"")</f>
        <v>45.3897959183674</v>
      </c>
      <c r="N77" s="40" t="n">
        <f aca="false">IF(ISNUMBER($K77),$K77*Parâmetros!$C$9,"")</f>
        <v>13.6169387755102</v>
      </c>
      <c r="O77" s="40" t="n">
        <f aca="false">IF(ISNUMBER($K77),IF(ISNUMBER(Parâmetros!$E$9),Parâmetros!$E$9,0),"")</f>
        <v>0</v>
      </c>
      <c r="P77" s="41" t="n">
        <f aca="false">IF(ISNUMBER($K77),$K77-$D77-IF(ISNUMBER($E77),$E77,0)-$L77-$M77-$N77-$O77,"")</f>
        <v>90.7795918367347</v>
      </c>
      <c r="Q77" s="42" t="n">
        <f aca="false">IF(AND(ISNUMBER($K77),$K77&gt;0),$P77/$K77,"")</f>
        <v>0.2</v>
      </c>
      <c r="R77" s="43"/>
      <c r="S77" s="44" t="str">
        <f aca="false">IF(OR(NOT(ISNUMBER($R77)),$R77=0,NOT(ISNUMBER($K77))),"",$K77*(1-$R77))</f>
        <v/>
      </c>
      <c r="T77" s="45" t="str">
        <f aca="false">IF(ISNUMBER($S77),$S77*$H77,"")</f>
        <v/>
      </c>
      <c r="U77" s="45" t="str">
        <f aca="false">IF(ISNUMBER($S77),$S77*Parâmetros!$B$9,"")</f>
        <v/>
      </c>
      <c r="V77" s="45" t="str">
        <f aca="false">IF(ISNUMBER($S77),$S77*Parâmetros!$C$9,"")</f>
        <v/>
      </c>
      <c r="W77" s="44" t="str">
        <f aca="false">IF(ISNUMBER($S77),$S77-$D77-IF(ISNUMBER($E77),$E77,0)-$O77-$T77-$U77-$V77,"")</f>
        <v/>
      </c>
      <c r="X77" s="46" t="str">
        <f aca="false">IF(AND(ISNUMBER($S77),$S77&gt;0),$W77/$S77,"")</f>
        <v/>
      </c>
      <c r="Y77" s="49"/>
      <c r="Z77" s="21"/>
    </row>
    <row r="78" customFormat="false" ht="15.75" hidden="false" customHeight="true" outlineLevel="0" collapsed="false">
      <c r="A78" s="32" t="str">
        <f aca="false">IF(Produtos!$A78="","",Produtos!$A78)</f>
        <v>L3070-B</v>
      </c>
      <c r="B78" s="32" t="str">
        <f aca="false">IF(Produtos!$A78="","",Produtos!$B78)</f>
        <v>Lixeira c/Aro Basculante 30x70 50L</v>
      </c>
      <c r="C78" s="32" t="str">
        <f aca="false">IF(Produtos!$A78="","",Produtos!$C78)</f>
        <v>Lixeiras em inox</v>
      </c>
      <c r="D78" s="33" t="n">
        <f aca="false">IF(Produtos!$A78="","",IF(Produtos!$D78="","",Produtos!$D78))</f>
        <v>279.42</v>
      </c>
      <c r="E78" s="11" t="n">
        <v>0</v>
      </c>
      <c r="F78" s="34" t="n">
        <f aca="false">IF($A78="","",IF($C78="","⚠ categoria",IFERROR(INDEX(Parâmetros!$G$13:$G$22,MATCH($C78,Parâmetros!$A$13:$A$22,0)),"⚠ categoria")))</f>
        <v>0.18</v>
      </c>
      <c r="G78" s="35"/>
      <c r="H78" s="36" t="n">
        <f aca="false">IF($A78="","",IF(ISNUMBER($G78),$G78,IF(ISNUMBER($F78),$F78,"")))</f>
        <v>0.18</v>
      </c>
      <c r="I78" s="37" t="n">
        <f aca="false">IF(OR($A78="",NOT(ISNUMBER($D78)),NOT(ISNUMBER($H78))),"",IF((1-$H78-Parâmetros!$B$9-Parâmetros!$C$9-Parâmetros!$D$9)&lt;=0,"INVALIDO",($D78+IF(ISNUMBER($E78),$E78,0)+IF(ISNUMBER(Parâmetros!$E$9),Parâmetros!$E$9,0))/(1-$H78-Parâmetros!$B$9-Parâmetros!$C$9-Parâmetros!$D$9)))</f>
        <v>570.244897959184</v>
      </c>
      <c r="J78" s="38"/>
      <c r="K78" s="39" t="n">
        <f aca="false">IF(OR($A78="",NOT(ISNUMBER($D78)),NOT(ISNUMBER($H78))),"",IF(AND(ISNUMBER($J78),$J78&gt;0),$J78,IF(ISNUMBER($I78),$I78,"")))</f>
        <v>570.244897959184</v>
      </c>
      <c r="L78" s="40" t="n">
        <f aca="false">IF(ISNUMBER($K78),$K78*$H78,"")</f>
        <v>102.644081632653</v>
      </c>
      <c r="M78" s="40" t="n">
        <f aca="false">IF(ISNUMBER($K78),$K78*Parâmetros!$B$9,"")</f>
        <v>57.0244897959184</v>
      </c>
      <c r="N78" s="40" t="n">
        <f aca="false">IF(ISNUMBER($K78),$K78*Parâmetros!$C$9,"")</f>
        <v>17.1073469387755</v>
      </c>
      <c r="O78" s="40" t="n">
        <f aca="false">IF(ISNUMBER($K78),IF(ISNUMBER(Parâmetros!$E$9),Parâmetros!$E$9,0),"")</f>
        <v>0</v>
      </c>
      <c r="P78" s="41" t="n">
        <f aca="false">IF(ISNUMBER($K78),$K78-$D78-IF(ISNUMBER($E78),$E78,0)-$L78-$M78-$N78-$O78,"")</f>
        <v>114.048979591837</v>
      </c>
      <c r="Q78" s="42" t="n">
        <f aca="false">IF(AND(ISNUMBER($K78),$K78&gt;0),$P78/$K78,"")</f>
        <v>0.2</v>
      </c>
      <c r="R78" s="43"/>
      <c r="S78" s="44" t="str">
        <f aca="false">IF(OR(NOT(ISNUMBER($R78)),$R78=0,NOT(ISNUMBER($K78))),"",$K78*(1-$R78))</f>
        <v/>
      </c>
      <c r="T78" s="45" t="str">
        <f aca="false">IF(ISNUMBER($S78),$S78*$H78,"")</f>
        <v/>
      </c>
      <c r="U78" s="45" t="str">
        <f aca="false">IF(ISNUMBER($S78),$S78*Parâmetros!$B$9,"")</f>
        <v/>
      </c>
      <c r="V78" s="45" t="str">
        <f aca="false">IF(ISNUMBER($S78),$S78*Parâmetros!$C$9,"")</f>
        <v/>
      </c>
      <c r="W78" s="44" t="str">
        <f aca="false">IF(ISNUMBER($S78),$S78-$D78-IF(ISNUMBER($E78),$E78,0)-$O78-$T78-$U78-$V78,"")</f>
        <v/>
      </c>
      <c r="X78" s="46" t="str">
        <f aca="false">IF(AND(ISNUMBER($S78),$S78&gt;0),$W78/$S78,"")</f>
        <v/>
      </c>
      <c r="Y78" s="47"/>
      <c r="Z78" s="19"/>
    </row>
    <row r="79" customFormat="false" ht="15.75" hidden="false" customHeight="true" outlineLevel="0" collapsed="false">
      <c r="A79" s="48" t="str">
        <f aca="false">IF(Produtos!$A79="","",Produtos!$A79)</f>
        <v>L3085-B</v>
      </c>
      <c r="B79" s="48" t="str">
        <f aca="false">IF(Produtos!$A79="","",Produtos!$B79)</f>
        <v>Lixeira c/Aro Basculante 30x85 60L</v>
      </c>
      <c r="C79" s="48" t="str">
        <f aca="false">IF(Produtos!$A79="","",Produtos!$C79)</f>
        <v>Lixeiras em inox</v>
      </c>
      <c r="D79" s="33" t="n">
        <f aca="false">IF(Produtos!$A79="","",IF(Produtos!$D79="","",Produtos!$D79))</f>
        <v>341.01</v>
      </c>
      <c r="E79" s="11" t="n">
        <v>0</v>
      </c>
      <c r="F79" s="34" t="n">
        <f aca="false">IF($A79="","",IF($C79="","⚠ categoria",IFERROR(INDEX(Parâmetros!$G$13:$G$22,MATCH($C79,Parâmetros!$A$13:$A$22,0)),"⚠ categoria")))</f>
        <v>0.18</v>
      </c>
      <c r="G79" s="35"/>
      <c r="H79" s="36" t="n">
        <f aca="false">IF($A79="","",IF(ISNUMBER($G79),$G79,IF(ISNUMBER($F79),$F79,"")))</f>
        <v>0.18</v>
      </c>
      <c r="I79" s="37" t="n">
        <f aca="false">IF(OR($A79="",NOT(ISNUMBER($D79)),NOT(ISNUMBER($H79))),"",IF((1-$H79-Parâmetros!$B$9-Parâmetros!$C$9-Parâmetros!$D$9)&lt;=0,"INVALIDO",($D79+IF(ISNUMBER($E79),$E79,0)+IF(ISNUMBER(Parâmetros!$E$9),Parâmetros!$E$9,0))/(1-$H79-Parâmetros!$B$9-Parâmetros!$C$9-Parâmetros!$D$9)))</f>
        <v>695.938775510204</v>
      </c>
      <c r="J79" s="38"/>
      <c r="K79" s="39" t="n">
        <f aca="false">IF(OR($A79="",NOT(ISNUMBER($D79)),NOT(ISNUMBER($H79))),"",IF(AND(ISNUMBER($J79),$J79&gt;0),$J79,IF(ISNUMBER($I79),$I79,"")))</f>
        <v>695.938775510204</v>
      </c>
      <c r="L79" s="40" t="n">
        <f aca="false">IF(ISNUMBER($K79),$K79*$H79,"")</f>
        <v>125.268979591837</v>
      </c>
      <c r="M79" s="40" t="n">
        <f aca="false">IF(ISNUMBER($K79),$K79*Parâmetros!$B$9,"")</f>
        <v>69.5938775510204</v>
      </c>
      <c r="N79" s="40" t="n">
        <f aca="false">IF(ISNUMBER($K79),$K79*Parâmetros!$C$9,"")</f>
        <v>20.8781632653061</v>
      </c>
      <c r="O79" s="40" t="n">
        <f aca="false">IF(ISNUMBER($K79),IF(ISNUMBER(Parâmetros!$E$9),Parâmetros!$E$9,0),"")</f>
        <v>0</v>
      </c>
      <c r="P79" s="41" t="n">
        <f aca="false">IF(ISNUMBER($K79),$K79-$D79-IF(ISNUMBER($E79),$E79,0)-$L79-$M79-$N79-$O79,"")</f>
        <v>139.187755102041</v>
      </c>
      <c r="Q79" s="42" t="n">
        <f aca="false">IF(AND(ISNUMBER($K79),$K79&gt;0),$P79/$K79,"")</f>
        <v>0.2</v>
      </c>
      <c r="R79" s="43"/>
      <c r="S79" s="44" t="str">
        <f aca="false">IF(OR(NOT(ISNUMBER($R79)),$R79=0,NOT(ISNUMBER($K79))),"",$K79*(1-$R79))</f>
        <v/>
      </c>
      <c r="T79" s="45" t="str">
        <f aca="false">IF(ISNUMBER($S79),$S79*$H79,"")</f>
        <v/>
      </c>
      <c r="U79" s="45" t="str">
        <f aca="false">IF(ISNUMBER($S79),$S79*Parâmetros!$B$9,"")</f>
        <v/>
      </c>
      <c r="V79" s="45" t="str">
        <f aca="false">IF(ISNUMBER($S79),$S79*Parâmetros!$C$9,"")</f>
        <v/>
      </c>
      <c r="W79" s="44" t="str">
        <f aca="false">IF(ISNUMBER($S79),$S79-$D79-IF(ISNUMBER($E79),$E79,0)-$O79-$T79-$U79-$V79,"")</f>
        <v/>
      </c>
      <c r="X79" s="46" t="str">
        <f aca="false">IF(AND(ISNUMBER($S79),$S79&gt;0),$W79/$S79,"")</f>
        <v/>
      </c>
      <c r="Y79" s="49"/>
      <c r="Z79" s="21"/>
    </row>
    <row r="80" customFormat="false" ht="15.75" hidden="false" customHeight="true" outlineLevel="0" collapsed="false">
      <c r="A80" s="32" t="str">
        <f aca="false">IF(Produtos!$A80="","",Produtos!$A80)</f>
        <v>L4050-B</v>
      </c>
      <c r="B80" s="32" t="str">
        <f aca="false">IF(Produtos!$A80="","",Produtos!$B80)</f>
        <v>Lixeira c/Aro Basculante 40x50 62L</v>
      </c>
      <c r="C80" s="32" t="str">
        <f aca="false">IF(Produtos!$A80="","",Produtos!$C80)</f>
        <v>Lixeiras em inox</v>
      </c>
      <c r="D80" s="33" t="n">
        <f aca="false">IF(Produtos!$A80="","",IF(Produtos!$D80="","",Produtos!$D80))</f>
        <v>342.16</v>
      </c>
      <c r="E80" s="11" t="n">
        <v>0</v>
      </c>
      <c r="F80" s="34" t="n">
        <f aca="false">IF($A80="","",IF($C80="","⚠ categoria",IFERROR(INDEX(Parâmetros!$G$13:$G$22,MATCH($C80,Parâmetros!$A$13:$A$22,0)),"⚠ categoria")))</f>
        <v>0.18</v>
      </c>
      <c r="G80" s="35"/>
      <c r="H80" s="36" t="n">
        <f aca="false">IF($A80="","",IF(ISNUMBER($G80),$G80,IF(ISNUMBER($F80),$F80,"")))</f>
        <v>0.18</v>
      </c>
      <c r="I80" s="37" t="n">
        <f aca="false">IF(OR($A80="",NOT(ISNUMBER($D80)),NOT(ISNUMBER($H80))),"",IF((1-$H80-Parâmetros!$B$9-Parâmetros!$C$9-Parâmetros!$D$9)&lt;=0,"INVALIDO",($D80+IF(ISNUMBER($E80),$E80,0)+IF(ISNUMBER(Parâmetros!$E$9),Parâmetros!$E$9,0))/(1-$H80-Parâmetros!$B$9-Parâmetros!$C$9-Parâmetros!$D$9)))</f>
        <v>698.285714285714</v>
      </c>
      <c r="J80" s="38"/>
      <c r="K80" s="39" t="n">
        <f aca="false">IF(OR($A80="",NOT(ISNUMBER($D80)),NOT(ISNUMBER($H80))),"",IF(AND(ISNUMBER($J80),$J80&gt;0),$J80,IF(ISNUMBER($I80),$I80,"")))</f>
        <v>698.285714285714</v>
      </c>
      <c r="L80" s="40" t="n">
        <f aca="false">IF(ISNUMBER($K80),$K80*$H80,"")</f>
        <v>125.691428571429</v>
      </c>
      <c r="M80" s="40" t="n">
        <f aca="false">IF(ISNUMBER($K80),$K80*Parâmetros!$B$9,"")</f>
        <v>69.8285714285714</v>
      </c>
      <c r="N80" s="40" t="n">
        <f aca="false">IF(ISNUMBER($K80),$K80*Parâmetros!$C$9,"")</f>
        <v>20.9485714285714</v>
      </c>
      <c r="O80" s="40" t="n">
        <f aca="false">IF(ISNUMBER($K80),IF(ISNUMBER(Parâmetros!$E$9),Parâmetros!$E$9,0),"")</f>
        <v>0</v>
      </c>
      <c r="P80" s="41" t="n">
        <f aca="false">IF(ISNUMBER($K80),$K80-$D80-IF(ISNUMBER($E80),$E80,0)-$L80-$M80-$N80-$O80,"")</f>
        <v>139.657142857143</v>
      </c>
      <c r="Q80" s="42" t="n">
        <f aca="false">IF(AND(ISNUMBER($K80),$K80&gt;0),$P80/$K80,"")</f>
        <v>0.2</v>
      </c>
      <c r="R80" s="43"/>
      <c r="S80" s="44" t="str">
        <f aca="false">IF(OR(NOT(ISNUMBER($R80)),$R80=0,NOT(ISNUMBER($K80))),"",$K80*(1-$R80))</f>
        <v/>
      </c>
      <c r="T80" s="45" t="str">
        <f aca="false">IF(ISNUMBER($S80),$S80*$H80,"")</f>
        <v/>
      </c>
      <c r="U80" s="45" t="str">
        <f aca="false">IF(ISNUMBER($S80),$S80*Parâmetros!$B$9,"")</f>
        <v/>
      </c>
      <c r="V80" s="45" t="str">
        <f aca="false">IF(ISNUMBER($S80),$S80*Parâmetros!$C$9,"")</f>
        <v/>
      </c>
      <c r="W80" s="44" t="str">
        <f aca="false">IF(ISNUMBER($S80),$S80-$D80-IF(ISNUMBER($E80),$E80,0)-$O80-$T80-$U80-$V80,"")</f>
        <v/>
      </c>
      <c r="X80" s="46" t="str">
        <f aca="false">IF(AND(ISNUMBER($S80),$S80&gt;0),$W80/$S80,"")</f>
        <v/>
      </c>
      <c r="Y80" s="47"/>
      <c r="Z80" s="19"/>
    </row>
    <row r="81" customFormat="false" ht="15.75" hidden="false" customHeight="true" outlineLevel="0" collapsed="false">
      <c r="A81" s="48" t="str">
        <f aca="false">IF(Produtos!$A81="","",Produtos!$A81)</f>
        <v>L4060-B</v>
      </c>
      <c r="B81" s="48" t="str">
        <f aca="false">IF(Produtos!$A81="","",Produtos!$B81)</f>
        <v>Lixeira c/Aro Basculante 40x60 75L</v>
      </c>
      <c r="C81" s="48" t="str">
        <f aca="false">IF(Produtos!$A81="","",Produtos!$C81)</f>
        <v>Lixeiras em inox</v>
      </c>
      <c r="D81" s="33" t="n">
        <f aca="false">IF(Produtos!$A81="","",IF(Produtos!$D81="","",Produtos!$D81))</f>
        <v>364.77</v>
      </c>
      <c r="E81" s="11" t="n">
        <v>0</v>
      </c>
      <c r="F81" s="34" t="n">
        <f aca="false">IF($A81="","",IF($C81="","⚠ categoria",IFERROR(INDEX(Parâmetros!$G$13:$G$22,MATCH($C81,Parâmetros!$A$13:$A$22,0)),"⚠ categoria")))</f>
        <v>0.18</v>
      </c>
      <c r="G81" s="35"/>
      <c r="H81" s="36" t="n">
        <f aca="false">IF($A81="","",IF(ISNUMBER($G81),$G81,IF(ISNUMBER($F81),$F81,"")))</f>
        <v>0.18</v>
      </c>
      <c r="I81" s="37" t="n">
        <f aca="false">IF(OR($A81="",NOT(ISNUMBER($D81)),NOT(ISNUMBER($H81))),"",IF((1-$H81-Parâmetros!$B$9-Parâmetros!$C$9-Parâmetros!$D$9)&lt;=0,"INVALIDO",($D81+IF(ISNUMBER($E81),$E81,0)+IF(ISNUMBER(Parâmetros!$E$9),Parâmetros!$E$9,0))/(1-$H81-Parâmetros!$B$9-Parâmetros!$C$9-Parâmetros!$D$9)))</f>
        <v>744.428571428571</v>
      </c>
      <c r="J81" s="38"/>
      <c r="K81" s="39" t="n">
        <f aca="false">IF(OR($A81="",NOT(ISNUMBER($D81)),NOT(ISNUMBER($H81))),"",IF(AND(ISNUMBER($J81),$J81&gt;0),$J81,IF(ISNUMBER($I81),$I81,"")))</f>
        <v>744.428571428571</v>
      </c>
      <c r="L81" s="40" t="n">
        <f aca="false">IF(ISNUMBER($K81),$K81*$H81,"")</f>
        <v>133.997142857143</v>
      </c>
      <c r="M81" s="40" t="n">
        <f aca="false">IF(ISNUMBER($K81),$K81*Parâmetros!$B$9,"")</f>
        <v>74.4428571428571</v>
      </c>
      <c r="N81" s="40" t="n">
        <f aca="false">IF(ISNUMBER($K81),$K81*Parâmetros!$C$9,"")</f>
        <v>22.3328571428571</v>
      </c>
      <c r="O81" s="40" t="n">
        <f aca="false">IF(ISNUMBER($K81),IF(ISNUMBER(Parâmetros!$E$9),Parâmetros!$E$9,0),"")</f>
        <v>0</v>
      </c>
      <c r="P81" s="41" t="n">
        <f aca="false">IF(ISNUMBER($K81),$K81-$D81-IF(ISNUMBER($E81),$E81,0)-$L81-$M81-$N81-$O81,"")</f>
        <v>148.885714285714</v>
      </c>
      <c r="Q81" s="42" t="n">
        <f aca="false">IF(AND(ISNUMBER($K81),$K81&gt;0),$P81/$K81,"")</f>
        <v>0.2</v>
      </c>
      <c r="R81" s="43"/>
      <c r="S81" s="44" t="str">
        <f aca="false">IF(OR(NOT(ISNUMBER($R81)),$R81=0,NOT(ISNUMBER($K81))),"",$K81*(1-$R81))</f>
        <v/>
      </c>
      <c r="T81" s="45" t="str">
        <f aca="false">IF(ISNUMBER($S81),$S81*$H81,"")</f>
        <v/>
      </c>
      <c r="U81" s="45" t="str">
        <f aca="false">IF(ISNUMBER($S81),$S81*Parâmetros!$B$9,"")</f>
        <v/>
      </c>
      <c r="V81" s="45" t="str">
        <f aca="false">IF(ISNUMBER($S81),$S81*Parâmetros!$C$9,"")</f>
        <v/>
      </c>
      <c r="W81" s="44" t="str">
        <f aca="false">IF(ISNUMBER($S81),$S81-$D81-IF(ISNUMBER($E81),$E81,0)-$O81-$T81-$U81-$V81,"")</f>
        <v/>
      </c>
      <c r="X81" s="46" t="str">
        <f aca="false">IF(AND(ISNUMBER($S81),$S81&gt;0),$W81/$S81,"")</f>
        <v/>
      </c>
      <c r="Y81" s="49"/>
      <c r="Z81" s="21"/>
    </row>
    <row r="82" customFormat="false" ht="15.75" hidden="false" customHeight="true" outlineLevel="0" collapsed="false">
      <c r="A82" s="32" t="str">
        <f aca="false">IF(Produtos!$A82="","",Produtos!$A82)</f>
        <v>L4070-B</v>
      </c>
      <c r="B82" s="32" t="str">
        <f aca="false">IF(Produtos!$A82="","",Produtos!$B82)</f>
        <v>Lixeira c/Aro Basculante 40x70 88L</v>
      </c>
      <c r="C82" s="32" t="str">
        <f aca="false">IF(Produtos!$A82="","",Produtos!$C82)</f>
        <v>Lixeiras em inox</v>
      </c>
      <c r="D82" s="33" t="n">
        <f aca="false">IF(Produtos!$A82="","",IF(Produtos!$D82="","",Produtos!$D82))</f>
        <v>366.6</v>
      </c>
      <c r="E82" s="11" t="n">
        <v>0</v>
      </c>
      <c r="F82" s="34" t="n">
        <f aca="false">IF($A82="","",IF($C82="","⚠ categoria",IFERROR(INDEX(Parâmetros!$G$13:$G$22,MATCH($C82,Parâmetros!$A$13:$A$22,0)),"⚠ categoria")))</f>
        <v>0.18</v>
      </c>
      <c r="G82" s="35"/>
      <c r="H82" s="36" t="n">
        <f aca="false">IF($A82="","",IF(ISNUMBER($G82),$G82,IF(ISNUMBER($F82),$F82,"")))</f>
        <v>0.18</v>
      </c>
      <c r="I82" s="37" t="n">
        <f aca="false">IF(OR($A82="",NOT(ISNUMBER($D82)),NOT(ISNUMBER($H82))),"",IF((1-$H82-Parâmetros!$B$9-Parâmetros!$C$9-Parâmetros!$D$9)&lt;=0,"INVALIDO",($D82+IF(ISNUMBER($E82),$E82,0)+IF(ISNUMBER(Parâmetros!$E$9),Parâmetros!$E$9,0))/(1-$H82-Parâmetros!$B$9-Parâmetros!$C$9-Parâmetros!$D$9)))</f>
        <v>748.163265306122</v>
      </c>
      <c r="J82" s="38"/>
      <c r="K82" s="39" t="n">
        <f aca="false">IF(OR($A82="",NOT(ISNUMBER($D82)),NOT(ISNUMBER($H82))),"",IF(AND(ISNUMBER($J82),$J82&gt;0),$J82,IF(ISNUMBER($I82),$I82,"")))</f>
        <v>748.163265306122</v>
      </c>
      <c r="L82" s="40" t="n">
        <f aca="false">IF(ISNUMBER($K82),$K82*$H82,"")</f>
        <v>134.669387755102</v>
      </c>
      <c r="M82" s="40" t="n">
        <f aca="false">IF(ISNUMBER($K82),$K82*Parâmetros!$B$9,"")</f>
        <v>74.8163265306122</v>
      </c>
      <c r="N82" s="40" t="n">
        <f aca="false">IF(ISNUMBER($K82),$K82*Parâmetros!$C$9,"")</f>
        <v>22.4448979591837</v>
      </c>
      <c r="O82" s="40" t="n">
        <f aca="false">IF(ISNUMBER($K82),IF(ISNUMBER(Parâmetros!$E$9),Parâmetros!$E$9,0),"")</f>
        <v>0</v>
      </c>
      <c r="P82" s="41" t="n">
        <f aca="false">IF(ISNUMBER($K82),$K82-$D82-IF(ISNUMBER($E82),$E82,0)-$L82-$M82-$N82-$O82,"")</f>
        <v>149.632653061224</v>
      </c>
      <c r="Q82" s="42" t="n">
        <f aca="false">IF(AND(ISNUMBER($K82),$K82&gt;0),$P82/$K82,"")</f>
        <v>0.2</v>
      </c>
      <c r="R82" s="43"/>
      <c r="S82" s="44" t="str">
        <f aca="false">IF(OR(NOT(ISNUMBER($R82)),$R82=0,NOT(ISNUMBER($K82))),"",$K82*(1-$R82))</f>
        <v/>
      </c>
      <c r="T82" s="45" t="str">
        <f aca="false">IF(ISNUMBER($S82),$S82*$H82,"")</f>
        <v/>
      </c>
      <c r="U82" s="45" t="str">
        <f aca="false">IF(ISNUMBER($S82),$S82*Parâmetros!$B$9,"")</f>
        <v/>
      </c>
      <c r="V82" s="45" t="str">
        <f aca="false">IF(ISNUMBER($S82),$S82*Parâmetros!$C$9,"")</f>
        <v/>
      </c>
      <c r="W82" s="44" t="str">
        <f aca="false">IF(ISNUMBER($S82),$S82-$D82-IF(ISNUMBER($E82),$E82,0)-$O82-$T82-$U82-$V82,"")</f>
        <v/>
      </c>
      <c r="X82" s="46" t="str">
        <f aca="false">IF(AND(ISNUMBER($S82),$S82&gt;0),$W82/$S82,"")</f>
        <v/>
      </c>
      <c r="Y82" s="47"/>
      <c r="Z82" s="19"/>
    </row>
    <row r="83" customFormat="false" ht="15.75" hidden="false" customHeight="true" outlineLevel="0" collapsed="false">
      <c r="A83" s="48" t="str">
        <f aca="false">IF(Produtos!$A83="","",Produtos!$A83)</f>
        <v>L4075-B</v>
      </c>
      <c r="B83" s="48" t="str">
        <f aca="false">IF(Produtos!$A83="","",Produtos!$B83)</f>
        <v>Lixeira c/Aro Basculante 40x75 95L</v>
      </c>
      <c r="C83" s="48" t="str">
        <f aca="false">IF(Produtos!$A83="","",Produtos!$C83)</f>
        <v>Lixeiras em inox</v>
      </c>
      <c r="D83" s="33" t="n">
        <f aca="false">IF(Produtos!$A83="","",IF(Produtos!$D83="","",Produtos!$D83))</f>
        <v>428.19</v>
      </c>
      <c r="E83" s="11" t="n">
        <v>0</v>
      </c>
      <c r="F83" s="34" t="n">
        <f aca="false">IF($A83="","",IF($C83="","⚠ categoria",IFERROR(INDEX(Parâmetros!$G$13:$G$22,MATCH($C83,Parâmetros!$A$13:$A$22,0)),"⚠ categoria")))</f>
        <v>0.18</v>
      </c>
      <c r="G83" s="35"/>
      <c r="H83" s="36" t="n">
        <f aca="false">IF($A83="","",IF(ISNUMBER($G83),$G83,IF(ISNUMBER($F83),$F83,"")))</f>
        <v>0.18</v>
      </c>
      <c r="I83" s="37" t="n">
        <f aca="false">IF(OR($A83="",NOT(ISNUMBER($D83)),NOT(ISNUMBER($H83))),"",IF((1-$H83-Parâmetros!$B$9-Parâmetros!$C$9-Parâmetros!$D$9)&lt;=0,"INVALIDO",($D83+IF(ISNUMBER($E83),$E83,0)+IF(ISNUMBER(Parâmetros!$E$9),Parâmetros!$E$9,0))/(1-$H83-Parâmetros!$B$9-Parâmetros!$C$9-Parâmetros!$D$9)))</f>
        <v>873.857142857143</v>
      </c>
      <c r="J83" s="38"/>
      <c r="K83" s="39" t="n">
        <f aca="false">IF(OR($A83="",NOT(ISNUMBER($D83)),NOT(ISNUMBER($H83))),"",IF(AND(ISNUMBER($J83),$J83&gt;0),$J83,IF(ISNUMBER($I83),$I83,"")))</f>
        <v>873.857142857143</v>
      </c>
      <c r="L83" s="40" t="n">
        <f aca="false">IF(ISNUMBER($K83),$K83*$H83,"")</f>
        <v>157.294285714286</v>
      </c>
      <c r="M83" s="40" t="n">
        <f aca="false">IF(ISNUMBER($K83),$K83*Parâmetros!$B$9,"")</f>
        <v>87.3857142857143</v>
      </c>
      <c r="N83" s="40" t="n">
        <f aca="false">IF(ISNUMBER($K83),$K83*Parâmetros!$C$9,"")</f>
        <v>26.2157142857143</v>
      </c>
      <c r="O83" s="40" t="n">
        <f aca="false">IF(ISNUMBER($K83),IF(ISNUMBER(Parâmetros!$E$9),Parâmetros!$E$9,0),"")</f>
        <v>0</v>
      </c>
      <c r="P83" s="41" t="n">
        <f aca="false">IF(ISNUMBER($K83),$K83-$D83-IF(ISNUMBER($E83),$E83,0)-$L83-$M83-$N83-$O83,"")</f>
        <v>174.771428571429</v>
      </c>
      <c r="Q83" s="42" t="n">
        <f aca="false">IF(AND(ISNUMBER($K83),$K83&gt;0),$P83/$K83,"")</f>
        <v>0.2</v>
      </c>
      <c r="R83" s="43"/>
      <c r="S83" s="44" t="str">
        <f aca="false">IF(OR(NOT(ISNUMBER($R83)),$R83=0,NOT(ISNUMBER($K83))),"",$K83*(1-$R83))</f>
        <v/>
      </c>
      <c r="T83" s="45" t="str">
        <f aca="false">IF(ISNUMBER($S83),$S83*$H83,"")</f>
        <v/>
      </c>
      <c r="U83" s="45" t="str">
        <f aca="false">IF(ISNUMBER($S83),$S83*Parâmetros!$B$9,"")</f>
        <v/>
      </c>
      <c r="V83" s="45" t="str">
        <f aca="false">IF(ISNUMBER($S83),$S83*Parâmetros!$C$9,"")</f>
        <v/>
      </c>
      <c r="W83" s="44" t="str">
        <f aca="false">IF(ISNUMBER($S83),$S83-$D83-IF(ISNUMBER($E83),$E83,0)-$O83-$T83-$U83-$V83,"")</f>
        <v/>
      </c>
      <c r="X83" s="46" t="str">
        <f aca="false">IF(AND(ISNUMBER($S83),$S83&gt;0),$W83/$S83,"")</f>
        <v/>
      </c>
      <c r="Y83" s="49"/>
      <c r="Z83" s="21"/>
    </row>
    <row r="84" customFormat="false" ht="15.75" hidden="false" customHeight="true" outlineLevel="0" collapsed="false">
      <c r="A84" s="32" t="str">
        <f aca="false">IF(Produtos!$A84="","",Produtos!$A84)</f>
        <v>L4080-B</v>
      </c>
      <c r="B84" s="32" t="str">
        <f aca="false">IF(Produtos!$A84="","",Produtos!$B84)</f>
        <v>Lixeira c/Aro Basculante 40x80 100L</v>
      </c>
      <c r="C84" s="32" t="str">
        <f aca="false">IF(Produtos!$A84="","",Produtos!$C84)</f>
        <v>Lixeiras em inox</v>
      </c>
      <c r="D84" s="33" t="n">
        <f aca="false">IF(Produtos!$A84="","",IF(Produtos!$D84="","",Produtos!$D84))</f>
        <v>428.19</v>
      </c>
      <c r="E84" s="11" t="n">
        <v>0</v>
      </c>
      <c r="F84" s="34" t="n">
        <f aca="false">IF($A84="","",IF($C84="","⚠ categoria",IFERROR(INDEX(Parâmetros!$G$13:$G$22,MATCH($C84,Parâmetros!$A$13:$A$22,0)),"⚠ categoria")))</f>
        <v>0.18</v>
      </c>
      <c r="G84" s="35"/>
      <c r="H84" s="36" t="n">
        <f aca="false">IF($A84="","",IF(ISNUMBER($G84),$G84,IF(ISNUMBER($F84),$F84,"")))</f>
        <v>0.18</v>
      </c>
      <c r="I84" s="37" t="n">
        <f aca="false">IF(OR($A84="",NOT(ISNUMBER($D84)),NOT(ISNUMBER($H84))),"",IF((1-$H84-Parâmetros!$B$9-Parâmetros!$C$9-Parâmetros!$D$9)&lt;=0,"INVALIDO",($D84+IF(ISNUMBER($E84),$E84,0)+IF(ISNUMBER(Parâmetros!$E$9),Parâmetros!$E$9,0))/(1-$H84-Parâmetros!$B$9-Parâmetros!$C$9-Parâmetros!$D$9)))</f>
        <v>873.857142857143</v>
      </c>
      <c r="J84" s="38"/>
      <c r="K84" s="39" t="n">
        <f aca="false">IF(OR($A84="",NOT(ISNUMBER($D84)),NOT(ISNUMBER($H84))),"",IF(AND(ISNUMBER($J84),$J84&gt;0),$J84,IF(ISNUMBER($I84),$I84,"")))</f>
        <v>873.857142857143</v>
      </c>
      <c r="L84" s="40" t="n">
        <f aca="false">IF(ISNUMBER($K84),$K84*$H84,"")</f>
        <v>157.294285714286</v>
      </c>
      <c r="M84" s="40" t="n">
        <f aca="false">IF(ISNUMBER($K84),$K84*Parâmetros!$B$9,"")</f>
        <v>87.3857142857143</v>
      </c>
      <c r="N84" s="40" t="n">
        <f aca="false">IF(ISNUMBER($K84),$K84*Parâmetros!$C$9,"")</f>
        <v>26.2157142857143</v>
      </c>
      <c r="O84" s="40" t="n">
        <f aca="false">IF(ISNUMBER($K84),IF(ISNUMBER(Parâmetros!$E$9),Parâmetros!$E$9,0),"")</f>
        <v>0</v>
      </c>
      <c r="P84" s="41" t="n">
        <f aca="false">IF(ISNUMBER($K84),$K84-$D84-IF(ISNUMBER($E84),$E84,0)-$L84-$M84-$N84-$O84,"")</f>
        <v>174.771428571429</v>
      </c>
      <c r="Q84" s="42" t="n">
        <f aca="false">IF(AND(ISNUMBER($K84),$K84&gt;0),$P84/$K84,"")</f>
        <v>0.2</v>
      </c>
      <c r="R84" s="43"/>
      <c r="S84" s="44" t="str">
        <f aca="false">IF(OR(NOT(ISNUMBER($R84)),$R84=0,NOT(ISNUMBER($K84))),"",$K84*(1-$R84))</f>
        <v/>
      </c>
      <c r="T84" s="45" t="str">
        <f aca="false">IF(ISNUMBER($S84),$S84*$H84,"")</f>
        <v/>
      </c>
      <c r="U84" s="45" t="str">
        <f aca="false">IF(ISNUMBER($S84),$S84*Parâmetros!$B$9,"")</f>
        <v/>
      </c>
      <c r="V84" s="45" t="str">
        <f aca="false">IF(ISNUMBER($S84),$S84*Parâmetros!$C$9,"")</f>
        <v/>
      </c>
      <c r="W84" s="44" t="str">
        <f aca="false">IF(ISNUMBER($S84),$S84-$D84-IF(ISNUMBER($E84),$E84,0)-$O84-$T84-$U84-$V84,"")</f>
        <v/>
      </c>
      <c r="X84" s="46" t="str">
        <f aca="false">IF(AND(ISNUMBER($S84),$S84&gt;0),$W84/$S84,"")</f>
        <v/>
      </c>
      <c r="Y84" s="47"/>
      <c r="Z84" s="19"/>
    </row>
    <row r="85" customFormat="false" ht="15.75" hidden="false" customHeight="true" outlineLevel="0" collapsed="false">
      <c r="A85" s="48" t="str">
        <f aca="false">IF(Produtos!$A85="","",Produtos!$A85)</f>
        <v>L4090-B</v>
      </c>
      <c r="B85" s="48" t="str">
        <f aca="false">IF(Produtos!$A85="","",Produtos!$B85)</f>
        <v>Lixeira c/Aro Basculante 40x90 120L</v>
      </c>
      <c r="C85" s="48" t="str">
        <f aca="false">IF(Produtos!$A85="","",Produtos!$C85)</f>
        <v>Lixeiras em inox</v>
      </c>
      <c r="D85" s="33" t="n">
        <f aca="false">IF(Produtos!$A85="","",IF(Produtos!$D85="","",Produtos!$D85))</f>
        <v>468.32</v>
      </c>
      <c r="E85" s="11" t="n">
        <v>0</v>
      </c>
      <c r="F85" s="34" t="n">
        <f aca="false">IF($A85="","",IF($C85="","⚠ categoria",IFERROR(INDEX(Parâmetros!$G$13:$G$22,MATCH($C85,Parâmetros!$A$13:$A$22,0)),"⚠ categoria")))</f>
        <v>0.18</v>
      </c>
      <c r="G85" s="35"/>
      <c r="H85" s="36" t="n">
        <f aca="false">IF($A85="","",IF(ISNUMBER($G85),$G85,IF(ISNUMBER($F85),$F85,"")))</f>
        <v>0.18</v>
      </c>
      <c r="I85" s="37" t="n">
        <f aca="false">IF(OR($A85="",NOT(ISNUMBER($D85)),NOT(ISNUMBER($H85))),"",IF((1-$H85-Parâmetros!$B$9-Parâmetros!$C$9-Parâmetros!$D$9)&lt;=0,"INVALIDO",($D85+IF(ISNUMBER($E85),$E85,0)+IF(ISNUMBER(Parâmetros!$E$9),Parâmetros!$E$9,0))/(1-$H85-Parâmetros!$B$9-Parâmetros!$C$9-Parâmetros!$D$9)))</f>
        <v>955.755102040816</v>
      </c>
      <c r="J85" s="38"/>
      <c r="K85" s="39" t="n">
        <f aca="false">IF(OR($A85="",NOT(ISNUMBER($D85)),NOT(ISNUMBER($H85))),"",IF(AND(ISNUMBER($J85),$J85&gt;0),$J85,IF(ISNUMBER($I85),$I85,"")))</f>
        <v>955.755102040816</v>
      </c>
      <c r="L85" s="40" t="n">
        <f aca="false">IF(ISNUMBER($K85),$K85*$H85,"")</f>
        <v>172.035918367347</v>
      </c>
      <c r="M85" s="40" t="n">
        <f aca="false">IF(ISNUMBER($K85),$K85*Parâmetros!$B$9,"")</f>
        <v>95.5755102040816</v>
      </c>
      <c r="N85" s="40" t="n">
        <f aca="false">IF(ISNUMBER($K85),$K85*Parâmetros!$C$9,"")</f>
        <v>28.6726530612245</v>
      </c>
      <c r="O85" s="40" t="n">
        <f aca="false">IF(ISNUMBER($K85),IF(ISNUMBER(Parâmetros!$E$9),Parâmetros!$E$9,0),"")</f>
        <v>0</v>
      </c>
      <c r="P85" s="41" t="n">
        <f aca="false">IF(ISNUMBER($K85),$K85-$D85-IF(ISNUMBER($E85),$E85,0)-$L85-$M85-$N85-$O85,"")</f>
        <v>191.151020408163</v>
      </c>
      <c r="Q85" s="42" t="n">
        <f aca="false">IF(AND(ISNUMBER($K85),$K85&gt;0),$P85/$K85,"")</f>
        <v>0.2</v>
      </c>
      <c r="R85" s="43"/>
      <c r="S85" s="44" t="str">
        <f aca="false">IF(OR(NOT(ISNUMBER($R85)),$R85=0,NOT(ISNUMBER($K85))),"",$K85*(1-$R85))</f>
        <v/>
      </c>
      <c r="T85" s="45" t="str">
        <f aca="false">IF(ISNUMBER($S85),$S85*$H85,"")</f>
        <v/>
      </c>
      <c r="U85" s="45" t="str">
        <f aca="false">IF(ISNUMBER($S85),$S85*Parâmetros!$B$9,"")</f>
        <v/>
      </c>
      <c r="V85" s="45" t="str">
        <f aca="false">IF(ISNUMBER($S85),$S85*Parâmetros!$C$9,"")</f>
        <v/>
      </c>
      <c r="W85" s="44" t="str">
        <f aca="false">IF(ISNUMBER($S85),$S85-$D85-IF(ISNUMBER($E85),$E85,0)-$O85-$T85-$U85-$V85,"")</f>
        <v/>
      </c>
      <c r="X85" s="46" t="str">
        <f aca="false">IF(AND(ISNUMBER($S85),$S85&gt;0),$W85/$S85,"")</f>
        <v/>
      </c>
      <c r="Y85" s="49"/>
      <c r="Z85" s="21"/>
    </row>
    <row r="86" customFormat="false" ht="15.75" hidden="false" customHeight="true" outlineLevel="0" collapsed="false">
      <c r="A86" s="32" t="str">
        <f aca="false">IF(Produtos!$A86="","",Produtos!$A86)</f>
        <v>P1618</v>
      </c>
      <c r="B86" s="32" t="str">
        <f aca="false">IF(Produtos!$A86="","",Produtos!$B86)</f>
        <v>Lixeira c/Tampa Pedal 16x18 03L</v>
      </c>
      <c r="C86" s="32" t="str">
        <f aca="false">IF(Produtos!$A86="","",Produtos!$C86)</f>
        <v>Lixeiras com pedal</v>
      </c>
      <c r="D86" s="33" t="n">
        <f aca="false">IF(Produtos!$A86="","",IF(Produtos!$D86="","",Produtos!$D86))</f>
        <v>78.15</v>
      </c>
      <c r="E86" s="11" t="n">
        <v>0</v>
      </c>
      <c r="F86" s="34" t="n">
        <f aca="false">IF($A86="","",IF($C86="","⚠ categoria",IFERROR(INDEX(Parâmetros!$G$13:$G$22,MATCH($C86,Parâmetros!$A$13:$A$22,0)),"⚠ categoria")))</f>
        <v>0.18</v>
      </c>
      <c r="G86" s="35"/>
      <c r="H86" s="36" t="n">
        <f aca="false">IF($A86="","",IF(ISNUMBER($G86),$G86,IF(ISNUMBER($F86),$F86,"")))</f>
        <v>0.18</v>
      </c>
      <c r="I86" s="37" t="n">
        <f aca="false">IF(OR($A86="",NOT(ISNUMBER($D86)),NOT(ISNUMBER($H86))),"",IF((1-$H86-Parâmetros!$B$9-Parâmetros!$C$9-Parâmetros!$D$9)&lt;=0,"INVALIDO",($D86+IF(ISNUMBER($E86),$E86,0)+IF(ISNUMBER(Parâmetros!$E$9),Parâmetros!$E$9,0))/(1-$H86-Parâmetros!$B$9-Parâmetros!$C$9-Parâmetros!$D$9)))</f>
        <v>159.489795918367</v>
      </c>
      <c r="J86" s="38"/>
      <c r="K86" s="39" t="n">
        <f aca="false">IF(OR($A86="",NOT(ISNUMBER($D86)),NOT(ISNUMBER($H86))),"",IF(AND(ISNUMBER($J86),$J86&gt;0),$J86,IF(ISNUMBER($I86),$I86,"")))</f>
        <v>159.489795918367</v>
      </c>
      <c r="L86" s="40" t="n">
        <f aca="false">IF(ISNUMBER($K86),$K86*$H86,"")</f>
        <v>28.7081632653061</v>
      </c>
      <c r="M86" s="40" t="n">
        <f aca="false">IF(ISNUMBER($K86),$K86*Parâmetros!$B$9,"")</f>
        <v>15.9489795918367</v>
      </c>
      <c r="N86" s="40" t="n">
        <f aca="false">IF(ISNUMBER($K86),$K86*Parâmetros!$C$9,"")</f>
        <v>4.78469387755102</v>
      </c>
      <c r="O86" s="40" t="n">
        <f aca="false">IF(ISNUMBER($K86),IF(ISNUMBER(Parâmetros!$E$9),Parâmetros!$E$9,0),"")</f>
        <v>0</v>
      </c>
      <c r="P86" s="41" t="n">
        <f aca="false">IF(ISNUMBER($K86),$K86-$D86-IF(ISNUMBER($E86),$E86,0)-$L86-$M86-$N86-$O86,"")</f>
        <v>31.8979591836735</v>
      </c>
      <c r="Q86" s="42" t="n">
        <f aca="false">IF(AND(ISNUMBER($K86),$K86&gt;0),$P86/$K86,"")</f>
        <v>0.2</v>
      </c>
      <c r="R86" s="43"/>
      <c r="S86" s="44" t="str">
        <f aca="false">IF(OR(NOT(ISNUMBER($R86)),$R86=0,NOT(ISNUMBER($K86))),"",$K86*(1-$R86))</f>
        <v/>
      </c>
      <c r="T86" s="45" t="str">
        <f aca="false">IF(ISNUMBER($S86),$S86*$H86,"")</f>
        <v/>
      </c>
      <c r="U86" s="45" t="str">
        <f aca="false">IF(ISNUMBER($S86),$S86*Parâmetros!$B$9,"")</f>
        <v/>
      </c>
      <c r="V86" s="45" t="str">
        <f aca="false">IF(ISNUMBER($S86),$S86*Parâmetros!$C$9,"")</f>
        <v/>
      </c>
      <c r="W86" s="44" t="str">
        <f aca="false">IF(ISNUMBER($S86),$S86-$D86-IF(ISNUMBER($E86),$E86,0)-$O86-$T86-$U86-$V86,"")</f>
        <v/>
      </c>
      <c r="X86" s="46" t="str">
        <f aca="false">IF(AND(ISNUMBER($S86),$S86&gt;0),$W86/$S86,"")</f>
        <v/>
      </c>
      <c r="Y86" s="47"/>
      <c r="Z86" s="19"/>
    </row>
    <row r="87" customFormat="false" ht="15.75" hidden="false" customHeight="true" outlineLevel="0" collapsed="false">
      <c r="A87" s="48" t="str">
        <f aca="false">IF(Produtos!$A87="","",Produtos!$A87)</f>
        <v>P1623</v>
      </c>
      <c r="B87" s="48" t="str">
        <f aca="false">IF(Produtos!$A87="","",Produtos!$B87)</f>
        <v>Lixeira c/Tampa Pedal 16x23 05L</v>
      </c>
      <c r="C87" s="48" t="str">
        <f aca="false">IF(Produtos!$A87="","",Produtos!$C87)</f>
        <v>Lixeiras com pedal</v>
      </c>
      <c r="D87" s="33" t="n">
        <f aca="false">IF(Produtos!$A87="","",IF(Produtos!$D87="","",Produtos!$D87))</f>
        <v>81.62</v>
      </c>
      <c r="E87" s="11" t="n">
        <v>0</v>
      </c>
      <c r="F87" s="34" t="n">
        <f aca="false">IF($A87="","",IF($C87="","⚠ categoria",IFERROR(INDEX(Parâmetros!$G$13:$G$22,MATCH($C87,Parâmetros!$A$13:$A$22,0)),"⚠ categoria")))</f>
        <v>0.18</v>
      </c>
      <c r="G87" s="35"/>
      <c r="H87" s="36" t="n">
        <f aca="false">IF($A87="","",IF(ISNUMBER($G87),$G87,IF(ISNUMBER($F87),$F87,"")))</f>
        <v>0.18</v>
      </c>
      <c r="I87" s="37" t="n">
        <f aca="false">IF(OR($A87="",NOT(ISNUMBER($D87)),NOT(ISNUMBER($H87))),"",IF((1-$H87-Parâmetros!$B$9-Parâmetros!$C$9-Parâmetros!$D$9)&lt;=0,"INVALIDO",($D87+IF(ISNUMBER($E87),$E87,0)+IF(ISNUMBER(Parâmetros!$E$9),Parâmetros!$E$9,0))/(1-$H87-Parâmetros!$B$9-Parâmetros!$C$9-Parâmetros!$D$9)))</f>
        <v>166.571428571429</v>
      </c>
      <c r="J87" s="38"/>
      <c r="K87" s="39" t="n">
        <f aca="false">IF(OR($A87="",NOT(ISNUMBER($D87)),NOT(ISNUMBER($H87))),"",IF(AND(ISNUMBER($J87),$J87&gt;0),$J87,IF(ISNUMBER($I87),$I87,"")))</f>
        <v>166.571428571429</v>
      </c>
      <c r="L87" s="40" t="n">
        <f aca="false">IF(ISNUMBER($K87),$K87*$H87,"")</f>
        <v>29.9828571428571</v>
      </c>
      <c r="M87" s="40" t="n">
        <f aca="false">IF(ISNUMBER($K87),$K87*Parâmetros!$B$9,"")</f>
        <v>16.6571428571429</v>
      </c>
      <c r="N87" s="40" t="n">
        <f aca="false">IF(ISNUMBER($K87),$K87*Parâmetros!$C$9,"")</f>
        <v>4.99714285714286</v>
      </c>
      <c r="O87" s="40" t="n">
        <f aca="false">IF(ISNUMBER($K87),IF(ISNUMBER(Parâmetros!$E$9),Parâmetros!$E$9,0),"")</f>
        <v>0</v>
      </c>
      <c r="P87" s="41" t="n">
        <f aca="false">IF(ISNUMBER($K87),$K87-$D87-IF(ISNUMBER($E87),$E87,0)-$L87-$M87-$N87-$O87,"")</f>
        <v>33.3142857142857</v>
      </c>
      <c r="Q87" s="42" t="n">
        <f aca="false">IF(AND(ISNUMBER($K87),$K87&gt;0),$P87/$K87,"")</f>
        <v>0.2</v>
      </c>
      <c r="R87" s="43"/>
      <c r="S87" s="44" t="str">
        <f aca="false">IF(OR(NOT(ISNUMBER($R87)),$R87=0,NOT(ISNUMBER($K87))),"",$K87*(1-$R87))</f>
        <v/>
      </c>
      <c r="T87" s="45" t="str">
        <f aca="false">IF(ISNUMBER($S87),$S87*$H87,"")</f>
        <v/>
      </c>
      <c r="U87" s="45" t="str">
        <f aca="false">IF(ISNUMBER($S87),$S87*Parâmetros!$B$9,"")</f>
        <v/>
      </c>
      <c r="V87" s="45" t="str">
        <f aca="false">IF(ISNUMBER($S87),$S87*Parâmetros!$C$9,"")</f>
        <v/>
      </c>
      <c r="W87" s="44" t="str">
        <f aca="false">IF(ISNUMBER($S87),$S87-$D87-IF(ISNUMBER($E87),$E87,0)-$O87-$T87-$U87-$V87,"")</f>
        <v/>
      </c>
      <c r="X87" s="46" t="str">
        <f aca="false">IF(AND(ISNUMBER($S87),$S87&gt;0),$W87/$S87,"")</f>
        <v/>
      </c>
      <c r="Y87" s="49"/>
      <c r="Z87" s="21"/>
    </row>
    <row r="88" customFormat="false" ht="15.75" hidden="false" customHeight="true" outlineLevel="0" collapsed="false">
      <c r="A88" s="32" t="str">
        <f aca="false">IF(Produtos!$A88="","",Produtos!$A88)</f>
        <v>P2025</v>
      </c>
      <c r="B88" s="32" t="str">
        <f aca="false">IF(Produtos!$A88="","",Produtos!$B88)</f>
        <v>Lixeira c/Tampa Pedal 20x25 07L</v>
      </c>
      <c r="C88" s="32" t="str">
        <f aca="false">IF(Produtos!$A88="","",Produtos!$C88)</f>
        <v>Lixeiras com pedal</v>
      </c>
      <c r="D88" s="33" t="n">
        <f aca="false">IF(Produtos!$A88="","",IF(Produtos!$D88="","",Produtos!$D88))</f>
        <v>99.57</v>
      </c>
      <c r="E88" s="11" t="n">
        <v>0</v>
      </c>
      <c r="F88" s="34" t="n">
        <f aca="false">IF($A88="","",IF($C88="","⚠ categoria",IFERROR(INDEX(Parâmetros!$G$13:$G$22,MATCH($C88,Parâmetros!$A$13:$A$22,0)),"⚠ categoria")))</f>
        <v>0.18</v>
      </c>
      <c r="G88" s="35"/>
      <c r="H88" s="36" t="n">
        <f aca="false">IF($A88="","",IF(ISNUMBER($G88),$G88,IF(ISNUMBER($F88),$F88,"")))</f>
        <v>0.18</v>
      </c>
      <c r="I88" s="37" t="n">
        <f aca="false">IF(OR($A88="",NOT(ISNUMBER($D88)),NOT(ISNUMBER($H88))),"",IF((1-$H88-Parâmetros!$B$9-Parâmetros!$C$9-Parâmetros!$D$9)&lt;=0,"INVALIDO",($D88+IF(ISNUMBER($E88),$E88,0)+IF(ISNUMBER(Parâmetros!$E$9),Parâmetros!$E$9,0))/(1-$H88-Parâmetros!$B$9-Parâmetros!$C$9-Parâmetros!$D$9)))</f>
        <v>203.204081632653</v>
      </c>
      <c r="J88" s="38"/>
      <c r="K88" s="39" t="n">
        <f aca="false">IF(OR($A88="",NOT(ISNUMBER($D88)),NOT(ISNUMBER($H88))),"",IF(AND(ISNUMBER($J88),$J88&gt;0),$J88,IF(ISNUMBER($I88),$I88,"")))</f>
        <v>203.204081632653</v>
      </c>
      <c r="L88" s="40" t="n">
        <f aca="false">IF(ISNUMBER($K88),$K88*$H88,"")</f>
        <v>36.5767346938775</v>
      </c>
      <c r="M88" s="40" t="n">
        <f aca="false">IF(ISNUMBER($K88),$K88*Parâmetros!$B$9,"")</f>
        <v>20.3204081632653</v>
      </c>
      <c r="N88" s="40" t="n">
        <f aca="false">IF(ISNUMBER($K88),$K88*Parâmetros!$C$9,"")</f>
        <v>6.09612244897959</v>
      </c>
      <c r="O88" s="40" t="n">
        <f aca="false">IF(ISNUMBER($K88),IF(ISNUMBER(Parâmetros!$E$9),Parâmetros!$E$9,0),"")</f>
        <v>0</v>
      </c>
      <c r="P88" s="41" t="n">
        <f aca="false">IF(ISNUMBER($K88),$K88-$D88-IF(ISNUMBER($E88),$E88,0)-$L88-$M88-$N88-$O88,"")</f>
        <v>40.6408163265306</v>
      </c>
      <c r="Q88" s="42" t="n">
        <f aca="false">IF(AND(ISNUMBER($K88),$K88&gt;0),$P88/$K88,"")</f>
        <v>0.2</v>
      </c>
      <c r="R88" s="43"/>
      <c r="S88" s="44" t="str">
        <f aca="false">IF(OR(NOT(ISNUMBER($R88)),$R88=0,NOT(ISNUMBER($K88))),"",$K88*(1-$R88))</f>
        <v/>
      </c>
      <c r="T88" s="45" t="str">
        <f aca="false">IF(ISNUMBER($S88),$S88*$H88,"")</f>
        <v/>
      </c>
      <c r="U88" s="45" t="str">
        <f aca="false">IF(ISNUMBER($S88),$S88*Parâmetros!$B$9,"")</f>
        <v/>
      </c>
      <c r="V88" s="45" t="str">
        <f aca="false">IF(ISNUMBER($S88),$S88*Parâmetros!$C$9,"")</f>
        <v/>
      </c>
      <c r="W88" s="44" t="str">
        <f aca="false">IF(ISNUMBER($S88),$S88-$D88-IF(ISNUMBER($E88),$E88,0)-$O88-$T88-$U88-$V88,"")</f>
        <v/>
      </c>
      <c r="X88" s="46" t="str">
        <f aca="false">IF(AND(ISNUMBER($S88),$S88&gt;0),$W88/$S88,"")</f>
        <v/>
      </c>
      <c r="Y88" s="47"/>
      <c r="Z88" s="19"/>
    </row>
    <row r="89" customFormat="false" ht="15.75" hidden="false" customHeight="true" outlineLevel="0" collapsed="false">
      <c r="A89" s="48" t="str">
        <f aca="false">IF(Produtos!$A89="","",Produtos!$A89)</f>
        <v>P2030</v>
      </c>
      <c r="B89" s="48" t="str">
        <f aca="false">IF(Produtos!$A89="","",Produtos!$B89)</f>
        <v>Lixeira c/Tampa Pedal 20x30 10L</v>
      </c>
      <c r="C89" s="48" t="str">
        <f aca="false">IF(Produtos!$A89="","",Produtos!$C89)</f>
        <v>Lixeiras com pedal</v>
      </c>
      <c r="D89" s="33" t="n">
        <f aca="false">IF(Produtos!$A89="","",IF(Produtos!$D89="","",Produtos!$D89))</f>
        <v>111.27</v>
      </c>
      <c r="E89" s="11" t="n">
        <v>0</v>
      </c>
      <c r="F89" s="34" t="n">
        <f aca="false">IF($A89="","",IF($C89="","⚠ categoria",IFERROR(INDEX(Parâmetros!$G$13:$G$22,MATCH($C89,Parâmetros!$A$13:$A$22,0)),"⚠ categoria")))</f>
        <v>0.18</v>
      </c>
      <c r="G89" s="35"/>
      <c r="H89" s="36" t="n">
        <f aca="false">IF($A89="","",IF(ISNUMBER($G89),$G89,IF(ISNUMBER($F89),$F89,"")))</f>
        <v>0.18</v>
      </c>
      <c r="I89" s="37" t="n">
        <f aca="false">IF(OR($A89="",NOT(ISNUMBER($D89)),NOT(ISNUMBER($H89))),"",IF((1-$H89-Parâmetros!$B$9-Parâmetros!$C$9-Parâmetros!$D$9)&lt;=0,"INVALIDO",($D89+IF(ISNUMBER($E89),$E89,0)+IF(ISNUMBER(Parâmetros!$E$9),Parâmetros!$E$9,0))/(1-$H89-Parâmetros!$B$9-Parâmetros!$C$9-Parâmetros!$D$9)))</f>
        <v>227.081632653061</v>
      </c>
      <c r="J89" s="38"/>
      <c r="K89" s="39" t="n">
        <f aca="false">IF(OR($A89="",NOT(ISNUMBER($D89)),NOT(ISNUMBER($H89))),"",IF(AND(ISNUMBER($J89),$J89&gt;0),$J89,IF(ISNUMBER($I89),$I89,"")))</f>
        <v>227.081632653061</v>
      </c>
      <c r="L89" s="40" t="n">
        <f aca="false">IF(ISNUMBER($K89),$K89*$H89,"")</f>
        <v>40.874693877551</v>
      </c>
      <c r="M89" s="40" t="n">
        <f aca="false">IF(ISNUMBER($K89),$K89*Parâmetros!$B$9,"")</f>
        <v>22.7081632653061</v>
      </c>
      <c r="N89" s="40" t="n">
        <f aca="false">IF(ISNUMBER($K89),$K89*Parâmetros!$C$9,"")</f>
        <v>6.81244897959184</v>
      </c>
      <c r="O89" s="40" t="n">
        <f aca="false">IF(ISNUMBER($K89),IF(ISNUMBER(Parâmetros!$E$9),Parâmetros!$E$9,0),"")</f>
        <v>0</v>
      </c>
      <c r="P89" s="41" t="n">
        <f aca="false">IF(ISNUMBER($K89),$K89-$D89-IF(ISNUMBER($E89),$E89,0)-$L89-$M89-$N89-$O89,"")</f>
        <v>45.4163265306122</v>
      </c>
      <c r="Q89" s="42" t="n">
        <f aca="false">IF(AND(ISNUMBER($K89),$K89&gt;0),$P89/$K89,"")</f>
        <v>0.2</v>
      </c>
      <c r="R89" s="43"/>
      <c r="S89" s="44" t="str">
        <f aca="false">IF(OR(NOT(ISNUMBER($R89)),$R89=0,NOT(ISNUMBER($K89))),"",$K89*(1-$R89))</f>
        <v/>
      </c>
      <c r="T89" s="45" t="str">
        <f aca="false">IF(ISNUMBER($S89),$S89*$H89,"")</f>
        <v/>
      </c>
      <c r="U89" s="45" t="str">
        <f aca="false">IF(ISNUMBER($S89),$S89*Parâmetros!$B$9,"")</f>
        <v/>
      </c>
      <c r="V89" s="45" t="str">
        <f aca="false">IF(ISNUMBER($S89),$S89*Parâmetros!$C$9,"")</f>
        <v/>
      </c>
      <c r="W89" s="44" t="str">
        <f aca="false">IF(ISNUMBER($S89),$S89-$D89-IF(ISNUMBER($E89),$E89,0)-$O89-$T89-$U89-$V89,"")</f>
        <v/>
      </c>
      <c r="X89" s="46" t="str">
        <f aca="false">IF(AND(ISNUMBER($S89),$S89&gt;0),$W89/$S89,"")</f>
        <v/>
      </c>
      <c r="Y89" s="49"/>
      <c r="Z89" s="21"/>
    </row>
    <row r="90" customFormat="false" ht="15.75" hidden="false" customHeight="true" outlineLevel="0" collapsed="false">
      <c r="A90" s="32" t="str">
        <f aca="false">IF(Produtos!$A90="","",Produtos!$A90)</f>
        <v>P2425</v>
      </c>
      <c r="B90" s="32" t="str">
        <f aca="false">IF(Produtos!$A90="","",Produtos!$B90)</f>
        <v>Lixeira c/Tampa Pedal 24x25 12L</v>
      </c>
      <c r="C90" s="32" t="str">
        <f aca="false">IF(Produtos!$A90="","",Produtos!$C90)</f>
        <v>Lixeiras com pedal</v>
      </c>
      <c r="D90" s="33" t="n">
        <f aca="false">IF(Produtos!$A90="","",IF(Produtos!$D90="","",Produtos!$D90))</f>
        <v>121.08</v>
      </c>
      <c r="E90" s="11" t="n">
        <v>0</v>
      </c>
      <c r="F90" s="34" t="n">
        <f aca="false">IF($A90="","",IF($C90="","⚠ categoria",IFERROR(INDEX(Parâmetros!$G$13:$G$22,MATCH($C90,Parâmetros!$A$13:$A$22,0)),"⚠ categoria")))</f>
        <v>0.18</v>
      </c>
      <c r="G90" s="35"/>
      <c r="H90" s="36" t="n">
        <f aca="false">IF($A90="","",IF(ISNUMBER($G90),$G90,IF(ISNUMBER($F90),$F90,"")))</f>
        <v>0.18</v>
      </c>
      <c r="I90" s="37" t="n">
        <f aca="false">IF(OR($A90="",NOT(ISNUMBER($D90)),NOT(ISNUMBER($H90))),"",IF((1-$H90-Parâmetros!$B$9-Parâmetros!$C$9-Parâmetros!$D$9)&lt;=0,"INVALIDO",($D90+IF(ISNUMBER($E90),$E90,0)+IF(ISNUMBER(Parâmetros!$E$9),Parâmetros!$E$9,0))/(1-$H90-Parâmetros!$B$9-Parâmetros!$C$9-Parâmetros!$D$9)))</f>
        <v>247.102040816327</v>
      </c>
      <c r="J90" s="38"/>
      <c r="K90" s="39" t="n">
        <f aca="false">IF(OR($A90="",NOT(ISNUMBER($D90)),NOT(ISNUMBER($H90))),"",IF(AND(ISNUMBER($J90),$J90&gt;0),$J90,IF(ISNUMBER($I90),$I90,"")))</f>
        <v>247.102040816327</v>
      </c>
      <c r="L90" s="40" t="n">
        <f aca="false">IF(ISNUMBER($K90),$K90*$H90,"")</f>
        <v>44.4783673469388</v>
      </c>
      <c r="M90" s="40" t="n">
        <f aca="false">IF(ISNUMBER($K90),$K90*Parâmetros!$B$9,"")</f>
        <v>24.7102040816327</v>
      </c>
      <c r="N90" s="40" t="n">
        <f aca="false">IF(ISNUMBER($K90),$K90*Parâmetros!$C$9,"")</f>
        <v>7.4130612244898</v>
      </c>
      <c r="O90" s="40" t="n">
        <f aca="false">IF(ISNUMBER($K90),IF(ISNUMBER(Parâmetros!$E$9),Parâmetros!$E$9,0),"")</f>
        <v>0</v>
      </c>
      <c r="P90" s="41" t="n">
        <f aca="false">IF(ISNUMBER($K90),$K90-$D90-IF(ISNUMBER($E90),$E90,0)-$L90-$M90-$N90-$O90,"")</f>
        <v>49.4204081632653</v>
      </c>
      <c r="Q90" s="42" t="n">
        <f aca="false">IF(AND(ISNUMBER($K90),$K90&gt;0),$P90/$K90,"")</f>
        <v>0.2</v>
      </c>
      <c r="R90" s="43"/>
      <c r="S90" s="44" t="str">
        <f aca="false">IF(OR(NOT(ISNUMBER($R90)),$R90=0,NOT(ISNUMBER($K90))),"",$K90*(1-$R90))</f>
        <v/>
      </c>
      <c r="T90" s="45" t="str">
        <f aca="false">IF(ISNUMBER($S90),$S90*$H90,"")</f>
        <v/>
      </c>
      <c r="U90" s="45" t="str">
        <f aca="false">IF(ISNUMBER($S90),$S90*Parâmetros!$B$9,"")</f>
        <v/>
      </c>
      <c r="V90" s="45" t="str">
        <f aca="false">IF(ISNUMBER($S90),$S90*Parâmetros!$C$9,"")</f>
        <v/>
      </c>
      <c r="W90" s="44" t="str">
        <f aca="false">IF(ISNUMBER($S90),$S90-$D90-IF(ISNUMBER($E90),$E90,0)-$O90-$T90-$U90-$V90,"")</f>
        <v/>
      </c>
      <c r="X90" s="46" t="str">
        <f aca="false">IF(AND(ISNUMBER($S90),$S90&gt;0),$W90/$S90,"")</f>
        <v/>
      </c>
      <c r="Y90" s="47"/>
      <c r="Z90" s="19"/>
    </row>
    <row r="91" customFormat="false" ht="15.75" hidden="false" customHeight="true" outlineLevel="0" collapsed="false">
      <c r="A91" s="48" t="str">
        <f aca="false">IF(Produtos!$A91="","",Produtos!$A91)</f>
        <v>P2430</v>
      </c>
      <c r="B91" s="48" t="str">
        <f aca="false">IF(Produtos!$A91="","",Produtos!$B91)</f>
        <v>Lixeira c/Tampa Pedal 24x30 15L</v>
      </c>
      <c r="C91" s="48" t="str">
        <f aca="false">IF(Produtos!$A91="","",Produtos!$C91)</f>
        <v>Lixeiras com pedal</v>
      </c>
      <c r="D91" s="33" t="n">
        <f aca="false">IF(Produtos!$A91="","",IF(Produtos!$D91="","",Produtos!$D91))</f>
        <v>124.7</v>
      </c>
      <c r="E91" s="11" t="n">
        <v>0</v>
      </c>
      <c r="F91" s="34" t="n">
        <f aca="false">IF($A91="","",IF($C91="","⚠ categoria",IFERROR(INDEX(Parâmetros!$G$13:$G$22,MATCH($C91,Parâmetros!$A$13:$A$22,0)),"⚠ categoria")))</f>
        <v>0.18</v>
      </c>
      <c r="G91" s="35"/>
      <c r="H91" s="36" t="n">
        <f aca="false">IF($A91="","",IF(ISNUMBER($G91),$G91,IF(ISNUMBER($F91),$F91,"")))</f>
        <v>0.18</v>
      </c>
      <c r="I91" s="37" t="n">
        <f aca="false">IF(OR($A91="",NOT(ISNUMBER($D91)),NOT(ISNUMBER($H91))),"",IF((1-$H91-Parâmetros!$B$9-Parâmetros!$C$9-Parâmetros!$D$9)&lt;=0,"INVALIDO",($D91+IF(ISNUMBER($E91),$E91,0)+IF(ISNUMBER(Parâmetros!$E$9),Parâmetros!$E$9,0))/(1-$H91-Parâmetros!$B$9-Parâmetros!$C$9-Parâmetros!$D$9)))</f>
        <v>254.489795918367</v>
      </c>
      <c r="J91" s="38"/>
      <c r="K91" s="39" t="n">
        <f aca="false">IF(OR($A91="",NOT(ISNUMBER($D91)),NOT(ISNUMBER($H91))),"",IF(AND(ISNUMBER($J91),$J91&gt;0),$J91,IF(ISNUMBER($I91),$I91,"")))</f>
        <v>254.489795918367</v>
      </c>
      <c r="L91" s="40" t="n">
        <f aca="false">IF(ISNUMBER($K91),$K91*$H91,"")</f>
        <v>45.8081632653061</v>
      </c>
      <c r="M91" s="40" t="n">
        <f aca="false">IF(ISNUMBER($K91),$K91*Parâmetros!$B$9,"")</f>
        <v>25.4489795918367</v>
      </c>
      <c r="N91" s="40" t="n">
        <f aca="false">IF(ISNUMBER($K91),$K91*Parâmetros!$C$9,"")</f>
        <v>7.63469387755102</v>
      </c>
      <c r="O91" s="40" t="n">
        <f aca="false">IF(ISNUMBER($K91),IF(ISNUMBER(Parâmetros!$E$9),Parâmetros!$E$9,0),"")</f>
        <v>0</v>
      </c>
      <c r="P91" s="41" t="n">
        <f aca="false">IF(ISNUMBER($K91),$K91-$D91-IF(ISNUMBER($E91),$E91,0)-$L91-$M91-$N91-$O91,"")</f>
        <v>50.8979591836734</v>
      </c>
      <c r="Q91" s="42" t="n">
        <f aca="false">IF(AND(ISNUMBER($K91),$K91&gt;0),$P91/$K91,"")</f>
        <v>0.2</v>
      </c>
      <c r="R91" s="43"/>
      <c r="S91" s="44" t="str">
        <f aca="false">IF(OR(NOT(ISNUMBER($R91)),$R91=0,NOT(ISNUMBER($K91))),"",$K91*(1-$R91))</f>
        <v/>
      </c>
      <c r="T91" s="45" t="str">
        <f aca="false">IF(ISNUMBER($S91),$S91*$H91,"")</f>
        <v/>
      </c>
      <c r="U91" s="45" t="str">
        <f aca="false">IF(ISNUMBER($S91),$S91*Parâmetros!$B$9,"")</f>
        <v/>
      </c>
      <c r="V91" s="45" t="str">
        <f aca="false">IF(ISNUMBER($S91),$S91*Parâmetros!$C$9,"")</f>
        <v/>
      </c>
      <c r="W91" s="44" t="str">
        <f aca="false">IF(ISNUMBER($S91),$S91-$D91-IF(ISNUMBER($E91),$E91,0)-$O91-$T91-$U91-$V91,"")</f>
        <v/>
      </c>
      <c r="X91" s="46" t="str">
        <f aca="false">IF(AND(ISNUMBER($S91),$S91&gt;0),$W91/$S91,"")</f>
        <v/>
      </c>
      <c r="Y91" s="49"/>
      <c r="Z91" s="21"/>
    </row>
    <row r="92" customFormat="false" ht="15.75" hidden="false" customHeight="true" outlineLevel="0" collapsed="false">
      <c r="A92" s="32" t="str">
        <f aca="false">IF(Produtos!$A92="","",Produtos!$A92)</f>
        <v>P2440</v>
      </c>
      <c r="B92" s="32" t="str">
        <f aca="false">IF(Produtos!$A92="","",Produtos!$B92)</f>
        <v>Lixeira c/Tampa Pedal 24x40 20L</v>
      </c>
      <c r="C92" s="32" t="str">
        <f aca="false">IF(Produtos!$A92="","",Produtos!$C92)</f>
        <v>Lixeiras com pedal</v>
      </c>
      <c r="D92" s="33" t="n">
        <f aca="false">IF(Produtos!$A92="","",IF(Produtos!$D92="","",Produtos!$D92))</f>
        <v>140.24</v>
      </c>
      <c r="E92" s="11" t="n">
        <v>0</v>
      </c>
      <c r="F92" s="34" t="n">
        <f aca="false">IF($A92="","",IF($C92="","⚠ categoria",IFERROR(INDEX(Parâmetros!$G$13:$G$22,MATCH($C92,Parâmetros!$A$13:$A$22,0)),"⚠ categoria")))</f>
        <v>0.18</v>
      </c>
      <c r="G92" s="35"/>
      <c r="H92" s="36" t="n">
        <f aca="false">IF($A92="","",IF(ISNUMBER($G92),$G92,IF(ISNUMBER($F92),$F92,"")))</f>
        <v>0.18</v>
      </c>
      <c r="I92" s="37" t="n">
        <f aca="false">IF(OR($A92="",NOT(ISNUMBER($D92)),NOT(ISNUMBER($H92))),"",IF((1-$H92-Parâmetros!$B$9-Parâmetros!$C$9-Parâmetros!$D$9)&lt;=0,"INVALIDO",($D92+IF(ISNUMBER($E92),$E92,0)+IF(ISNUMBER(Parâmetros!$E$9),Parâmetros!$E$9,0))/(1-$H92-Parâmetros!$B$9-Parâmetros!$C$9-Parâmetros!$D$9)))</f>
        <v>286.204081632653</v>
      </c>
      <c r="J92" s="38"/>
      <c r="K92" s="39" t="n">
        <f aca="false">IF(OR($A92="",NOT(ISNUMBER($D92)),NOT(ISNUMBER($H92))),"",IF(AND(ISNUMBER($J92),$J92&gt;0),$J92,IF(ISNUMBER($I92),$I92,"")))</f>
        <v>286.204081632653</v>
      </c>
      <c r="L92" s="40" t="n">
        <f aca="false">IF(ISNUMBER($K92),$K92*$H92,"")</f>
        <v>51.5167346938776</v>
      </c>
      <c r="M92" s="40" t="n">
        <f aca="false">IF(ISNUMBER($K92),$K92*Parâmetros!$B$9,"")</f>
        <v>28.6204081632653</v>
      </c>
      <c r="N92" s="40" t="n">
        <f aca="false">IF(ISNUMBER($K92),$K92*Parâmetros!$C$9,"")</f>
        <v>8.58612244897959</v>
      </c>
      <c r="O92" s="40" t="n">
        <f aca="false">IF(ISNUMBER($K92),IF(ISNUMBER(Parâmetros!$E$9),Parâmetros!$E$9,0),"")</f>
        <v>0</v>
      </c>
      <c r="P92" s="41" t="n">
        <f aca="false">IF(ISNUMBER($K92),$K92-$D92-IF(ISNUMBER($E92),$E92,0)-$L92-$M92-$N92-$O92,"")</f>
        <v>57.2408163265306</v>
      </c>
      <c r="Q92" s="42" t="n">
        <f aca="false">IF(AND(ISNUMBER($K92),$K92&gt;0),$P92/$K92,"")</f>
        <v>0.2</v>
      </c>
      <c r="R92" s="43"/>
      <c r="S92" s="44" t="str">
        <f aca="false">IF(OR(NOT(ISNUMBER($R92)),$R92=0,NOT(ISNUMBER($K92))),"",$K92*(1-$R92))</f>
        <v/>
      </c>
      <c r="T92" s="45" t="str">
        <f aca="false">IF(ISNUMBER($S92),$S92*$H92,"")</f>
        <v/>
      </c>
      <c r="U92" s="45" t="str">
        <f aca="false">IF(ISNUMBER($S92),$S92*Parâmetros!$B$9,"")</f>
        <v/>
      </c>
      <c r="V92" s="45" t="str">
        <f aca="false">IF(ISNUMBER($S92),$S92*Parâmetros!$C$9,"")</f>
        <v/>
      </c>
      <c r="W92" s="44" t="str">
        <f aca="false">IF(ISNUMBER($S92),$S92-$D92-IF(ISNUMBER($E92),$E92,0)-$O92-$T92-$U92-$V92,"")</f>
        <v/>
      </c>
      <c r="X92" s="46" t="str">
        <f aca="false">IF(AND(ISNUMBER($S92),$S92&gt;0),$W92/$S92,"")</f>
        <v/>
      </c>
      <c r="Y92" s="47"/>
      <c r="Z92" s="19"/>
    </row>
    <row r="93" customFormat="false" ht="15.75" hidden="false" customHeight="true" outlineLevel="0" collapsed="false">
      <c r="A93" s="48" t="str">
        <f aca="false">IF(Produtos!$A93="","",Produtos!$A93)</f>
        <v>P3040</v>
      </c>
      <c r="B93" s="48" t="str">
        <f aca="false">IF(Produtos!$A93="","",Produtos!$B93)</f>
        <v>Lixeira c/Tampa Pedal 30x40 30L</v>
      </c>
      <c r="C93" s="48" t="str">
        <f aca="false">IF(Produtos!$A93="","",Produtos!$C93)</f>
        <v>Lixeiras com pedal</v>
      </c>
      <c r="D93" s="33" t="n">
        <f aca="false">IF(Produtos!$A93="","",IF(Produtos!$D93="","",Produtos!$D93))</f>
        <v>194.88</v>
      </c>
      <c r="E93" s="11" t="n">
        <v>0</v>
      </c>
      <c r="F93" s="34" t="n">
        <f aca="false">IF($A93="","",IF($C93="","⚠ categoria",IFERROR(INDEX(Parâmetros!$G$13:$G$22,MATCH($C93,Parâmetros!$A$13:$A$22,0)),"⚠ categoria")))</f>
        <v>0.18</v>
      </c>
      <c r="G93" s="35"/>
      <c r="H93" s="36" t="n">
        <f aca="false">IF($A93="","",IF(ISNUMBER($G93),$G93,IF(ISNUMBER($F93),$F93,"")))</f>
        <v>0.18</v>
      </c>
      <c r="I93" s="37" t="n">
        <f aca="false">IF(OR($A93="",NOT(ISNUMBER($D93)),NOT(ISNUMBER($H93))),"",IF((1-$H93-Parâmetros!$B$9-Parâmetros!$C$9-Parâmetros!$D$9)&lt;=0,"INVALIDO",($D93+IF(ISNUMBER($E93),$E93,0)+IF(ISNUMBER(Parâmetros!$E$9),Parâmetros!$E$9,0))/(1-$H93-Parâmetros!$B$9-Parâmetros!$C$9-Parâmetros!$D$9)))</f>
        <v>397.714285714286</v>
      </c>
      <c r="J93" s="38"/>
      <c r="K93" s="39" t="n">
        <f aca="false">IF(OR($A93="",NOT(ISNUMBER($D93)),NOT(ISNUMBER($H93))),"",IF(AND(ISNUMBER($J93),$J93&gt;0),$J93,IF(ISNUMBER($I93),$I93,"")))</f>
        <v>397.714285714286</v>
      </c>
      <c r="L93" s="40" t="n">
        <f aca="false">IF(ISNUMBER($K93),$K93*$H93,"")</f>
        <v>71.5885714285714</v>
      </c>
      <c r="M93" s="40" t="n">
        <f aca="false">IF(ISNUMBER($K93),$K93*Parâmetros!$B$9,"")</f>
        <v>39.7714285714286</v>
      </c>
      <c r="N93" s="40" t="n">
        <f aca="false">IF(ISNUMBER($K93),$K93*Parâmetros!$C$9,"")</f>
        <v>11.9314285714286</v>
      </c>
      <c r="O93" s="40" t="n">
        <f aca="false">IF(ISNUMBER($K93),IF(ISNUMBER(Parâmetros!$E$9),Parâmetros!$E$9,0),"")</f>
        <v>0</v>
      </c>
      <c r="P93" s="41" t="n">
        <f aca="false">IF(ISNUMBER($K93),$K93-$D93-IF(ISNUMBER($E93),$E93,0)-$L93-$M93-$N93-$O93,"")</f>
        <v>79.5428571428571</v>
      </c>
      <c r="Q93" s="42" t="n">
        <f aca="false">IF(AND(ISNUMBER($K93),$K93&gt;0),$P93/$K93,"")</f>
        <v>0.2</v>
      </c>
      <c r="R93" s="43"/>
      <c r="S93" s="44" t="str">
        <f aca="false">IF(OR(NOT(ISNUMBER($R93)),$R93=0,NOT(ISNUMBER($K93))),"",$K93*(1-$R93))</f>
        <v/>
      </c>
      <c r="T93" s="45" t="str">
        <f aca="false">IF(ISNUMBER($S93),$S93*$H93,"")</f>
        <v/>
      </c>
      <c r="U93" s="45" t="str">
        <f aca="false">IF(ISNUMBER($S93),$S93*Parâmetros!$B$9,"")</f>
        <v/>
      </c>
      <c r="V93" s="45" t="str">
        <f aca="false">IF(ISNUMBER($S93),$S93*Parâmetros!$C$9,"")</f>
        <v/>
      </c>
      <c r="W93" s="44" t="str">
        <f aca="false">IF(ISNUMBER($S93),$S93-$D93-IF(ISNUMBER($E93),$E93,0)-$O93-$T93-$U93-$V93,"")</f>
        <v/>
      </c>
      <c r="X93" s="46" t="str">
        <f aca="false">IF(AND(ISNUMBER($S93),$S93&gt;0),$W93/$S93,"")</f>
        <v/>
      </c>
      <c r="Y93" s="49"/>
      <c r="Z93" s="21"/>
    </row>
    <row r="94" customFormat="false" ht="15.75" hidden="false" customHeight="true" outlineLevel="0" collapsed="false">
      <c r="A94" s="32" t="str">
        <f aca="false">IF(Produtos!$A94="","",Produtos!$A94)</f>
        <v>P3050</v>
      </c>
      <c r="B94" s="32" t="str">
        <f aca="false">IF(Produtos!$A94="","",Produtos!$B94)</f>
        <v>Lixeira c/Tampa Pedal 30x50 40L</v>
      </c>
      <c r="C94" s="32" t="str">
        <f aca="false">IF(Produtos!$A94="","",Produtos!$C94)</f>
        <v>Lixeiras com pedal</v>
      </c>
      <c r="D94" s="33" t="n">
        <f aca="false">IF(Produtos!$A94="","",IF(Produtos!$D94="","",Produtos!$D94))</f>
        <v>240.55</v>
      </c>
      <c r="E94" s="11" t="n">
        <v>0</v>
      </c>
      <c r="F94" s="34" t="n">
        <f aca="false">IF($A94="","",IF($C94="","⚠ categoria",IFERROR(INDEX(Parâmetros!$G$13:$G$22,MATCH($C94,Parâmetros!$A$13:$A$22,0)),"⚠ categoria")))</f>
        <v>0.18</v>
      </c>
      <c r="G94" s="35"/>
      <c r="H94" s="36" t="n">
        <f aca="false">IF($A94="","",IF(ISNUMBER($G94),$G94,IF(ISNUMBER($F94),$F94,"")))</f>
        <v>0.18</v>
      </c>
      <c r="I94" s="37" t="n">
        <f aca="false">IF(OR($A94="",NOT(ISNUMBER($D94)),NOT(ISNUMBER($H94))),"",IF((1-$H94-Parâmetros!$B$9-Parâmetros!$C$9-Parâmetros!$D$9)&lt;=0,"INVALIDO",($D94+IF(ISNUMBER($E94),$E94,0)+IF(ISNUMBER(Parâmetros!$E$9),Parâmetros!$E$9,0))/(1-$H94-Parâmetros!$B$9-Parâmetros!$C$9-Parâmetros!$D$9)))</f>
        <v>490.918367346939</v>
      </c>
      <c r="J94" s="38"/>
      <c r="K94" s="39" t="n">
        <f aca="false">IF(OR($A94="",NOT(ISNUMBER($D94)),NOT(ISNUMBER($H94))),"",IF(AND(ISNUMBER($J94),$J94&gt;0),$J94,IF(ISNUMBER($I94),$I94,"")))</f>
        <v>490.918367346939</v>
      </c>
      <c r="L94" s="40" t="n">
        <f aca="false">IF(ISNUMBER($K94),$K94*$H94,"")</f>
        <v>88.365306122449</v>
      </c>
      <c r="M94" s="40" t="n">
        <f aca="false">IF(ISNUMBER($K94),$K94*Parâmetros!$B$9,"")</f>
        <v>49.0918367346939</v>
      </c>
      <c r="N94" s="40" t="n">
        <f aca="false">IF(ISNUMBER($K94),$K94*Parâmetros!$C$9,"")</f>
        <v>14.7275510204082</v>
      </c>
      <c r="O94" s="40" t="n">
        <f aca="false">IF(ISNUMBER($K94),IF(ISNUMBER(Parâmetros!$E$9),Parâmetros!$E$9,0),"")</f>
        <v>0</v>
      </c>
      <c r="P94" s="41" t="n">
        <f aca="false">IF(ISNUMBER($K94),$K94-$D94-IF(ISNUMBER($E94),$E94,0)-$L94-$M94-$N94-$O94,"")</f>
        <v>98.1836734693877</v>
      </c>
      <c r="Q94" s="42" t="n">
        <f aca="false">IF(AND(ISNUMBER($K94),$K94&gt;0),$P94/$K94,"")</f>
        <v>0.2</v>
      </c>
      <c r="R94" s="43"/>
      <c r="S94" s="44" t="str">
        <f aca="false">IF(OR(NOT(ISNUMBER($R94)),$R94=0,NOT(ISNUMBER($K94))),"",$K94*(1-$R94))</f>
        <v/>
      </c>
      <c r="T94" s="45" t="str">
        <f aca="false">IF(ISNUMBER($S94),$S94*$H94,"")</f>
        <v/>
      </c>
      <c r="U94" s="45" t="str">
        <f aca="false">IF(ISNUMBER($S94),$S94*Parâmetros!$B$9,"")</f>
        <v/>
      </c>
      <c r="V94" s="45" t="str">
        <f aca="false">IF(ISNUMBER($S94),$S94*Parâmetros!$C$9,"")</f>
        <v/>
      </c>
      <c r="W94" s="44" t="str">
        <f aca="false">IF(ISNUMBER($S94),$S94-$D94-IF(ISNUMBER($E94),$E94,0)-$O94-$T94-$U94-$V94,"")</f>
        <v/>
      </c>
      <c r="X94" s="46" t="str">
        <f aca="false">IF(AND(ISNUMBER($S94),$S94&gt;0),$W94/$S94,"")</f>
        <v/>
      </c>
      <c r="Y94" s="47"/>
      <c r="Z94" s="19"/>
    </row>
    <row r="95" customFormat="false" ht="15.75" hidden="false" customHeight="true" outlineLevel="0" collapsed="false">
      <c r="A95" s="48" t="str">
        <f aca="false">IF(Produtos!$A95="","",Produtos!$A95)</f>
        <v>P3060</v>
      </c>
      <c r="B95" s="48" t="str">
        <f aca="false">IF(Produtos!$A95="","",Produtos!$B95)</f>
        <v>Lixeira c/Tampa Pedal 30x60 50L</v>
      </c>
      <c r="C95" s="48" t="str">
        <f aca="false">IF(Produtos!$A95="","",Produtos!$C95)</f>
        <v>Lixeiras com pedal</v>
      </c>
      <c r="D95" s="33" t="n">
        <f aca="false">IF(Produtos!$A95="","",IF(Produtos!$D95="","",Produtos!$D95))</f>
        <v>242.26</v>
      </c>
      <c r="E95" s="11" t="n">
        <v>0</v>
      </c>
      <c r="F95" s="34" t="n">
        <f aca="false">IF($A95="","",IF($C95="","⚠ categoria",IFERROR(INDEX(Parâmetros!$G$13:$G$22,MATCH($C95,Parâmetros!$A$13:$A$22,0)),"⚠ categoria")))</f>
        <v>0.18</v>
      </c>
      <c r="G95" s="35"/>
      <c r="H95" s="36" t="n">
        <f aca="false">IF($A95="","",IF(ISNUMBER($G95),$G95,IF(ISNUMBER($F95),$F95,"")))</f>
        <v>0.18</v>
      </c>
      <c r="I95" s="37" t="n">
        <f aca="false">IF(OR($A95="",NOT(ISNUMBER($D95)),NOT(ISNUMBER($H95))),"",IF((1-$H95-Parâmetros!$B$9-Parâmetros!$C$9-Parâmetros!$D$9)&lt;=0,"INVALIDO",($D95+IF(ISNUMBER($E95),$E95,0)+IF(ISNUMBER(Parâmetros!$E$9),Parâmetros!$E$9,0))/(1-$H95-Parâmetros!$B$9-Parâmetros!$C$9-Parâmetros!$D$9)))</f>
        <v>494.408163265306</v>
      </c>
      <c r="J95" s="38"/>
      <c r="K95" s="39" t="n">
        <f aca="false">IF(OR($A95="",NOT(ISNUMBER($D95)),NOT(ISNUMBER($H95))),"",IF(AND(ISNUMBER($J95),$J95&gt;0),$J95,IF(ISNUMBER($I95),$I95,"")))</f>
        <v>494.408163265306</v>
      </c>
      <c r="L95" s="40" t="n">
        <f aca="false">IF(ISNUMBER($K95),$K95*$H95,"")</f>
        <v>88.9934693877551</v>
      </c>
      <c r="M95" s="40" t="n">
        <f aca="false">IF(ISNUMBER($K95),$K95*Parâmetros!$B$9,"")</f>
        <v>49.4408163265306</v>
      </c>
      <c r="N95" s="40" t="n">
        <f aca="false">IF(ISNUMBER($K95),$K95*Parâmetros!$C$9,"")</f>
        <v>14.8322448979592</v>
      </c>
      <c r="O95" s="40" t="n">
        <f aca="false">IF(ISNUMBER($K95),IF(ISNUMBER(Parâmetros!$E$9),Parâmetros!$E$9,0),"")</f>
        <v>0</v>
      </c>
      <c r="P95" s="41" t="n">
        <f aca="false">IF(ISNUMBER($K95),$K95-$D95-IF(ISNUMBER($E95),$E95,0)-$L95-$M95-$N95-$O95,"")</f>
        <v>98.8816326530612</v>
      </c>
      <c r="Q95" s="42" t="n">
        <f aca="false">IF(AND(ISNUMBER($K95),$K95&gt;0),$P95/$K95,"")</f>
        <v>0.2</v>
      </c>
      <c r="R95" s="43"/>
      <c r="S95" s="44" t="str">
        <f aca="false">IF(OR(NOT(ISNUMBER($R95)),$R95=0,NOT(ISNUMBER($K95))),"",$K95*(1-$R95))</f>
        <v/>
      </c>
      <c r="T95" s="45" t="str">
        <f aca="false">IF(ISNUMBER($S95),$S95*$H95,"")</f>
        <v/>
      </c>
      <c r="U95" s="45" t="str">
        <f aca="false">IF(ISNUMBER($S95),$S95*Parâmetros!$B$9,"")</f>
        <v/>
      </c>
      <c r="V95" s="45" t="str">
        <f aca="false">IF(ISNUMBER($S95),$S95*Parâmetros!$C$9,"")</f>
        <v/>
      </c>
      <c r="W95" s="44" t="str">
        <f aca="false">IF(ISNUMBER($S95),$S95-$D95-IF(ISNUMBER($E95),$E95,0)-$O95-$T95-$U95-$V95,"")</f>
        <v/>
      </c>
      <c r="X95" s="46" t="str">
        <f aca="false">IF(AND(ISNUMBER($S95),$S95&gt;0),$W95/$S95,"")</f>
        <v/>
      </c>
      <c r="Y95" s="49"/>
      <c r="Z95" s="21"/>
    </row>
    <row r="96" customFormat="false" ht="15.75" hidden="false" customHeight="true" outlineLevel="0" collapsed="false">
      <c r="A96" s="32" t="str">
        <f aca="false">IF(Produtos!$A96="","",Produtos!$A96)</f>
        <v>P3070</v>
      </c>
      <c r="B96" s="32" t="str">
        <f aca="false">IF(Produtos!$A96="","",Produtos!$B96)</f>
        <v>Lixeira c/Tampa Pedal 30x70 60L</v>
      </c>
      <c r="C96" s="32" t="str">
        <f aca="false">IF(Produtos!$A96="","",Produtos!$C96)</f>
        <v>Lixeiras com pedal</v>
      </c>
      <c r="D96" s="33" t="n">
        <f aca="false">IF(Produtos!$A96="","",IF(Produtos!$D96="","",Produtos!$D96))</f>
        <v>307.26</v>
      </c>
      <c r="E96" s="11" t="n">
        <v>0</v>
      </c>
      <c r="F96" s="34" t="n">
        <f aca="false">IF($A96="","",IF($C96="","⚠ categoria",IFERROR(INDEX(Parâmetros!$G$13:$G$22,MATCH($C96,Parâmetros!$A$13:$A$22,0)),"⚠ categoria")))</f>
        <v>0.18</v>
      </c>
      <c r="G96" s="35"/>
      <c r="H96" s="36" t="n">
        <f aca="false">IF($A96="","",IF(ISNUMBER($G96),$G96,IF(ISNUMBER($F96),$F96,"")))</f>
        <v>0.18</v>
      </c>
      <c r="I96" s="37" t="n">
        <f aca="false">IF(OR($A96="",NOT(ISNUMBER($D96)),NOT(ISNUMBER($H96))),"",IF((1-$H96-Parâmetros!$B$9-Parâmetros!$C$9-Parâmetros!$D$9)&lt;=0,"INVALIDO",($D96+IF(ISNUMBER($E96),$E96,0)+IF(ISNUMBER(Parâmetros!$E$9),Parâmetros!$E$9,0))/(1-$H96-Parâmetros!$B$9-Parâmetros!$C$9-Parâmetros!$D$9)))</f>
        <v>627.061224489796</v>
      </c>
      <c r="J96" s="38"/>
      <c r="K96" s="39" t="n">
        <f aca="false">IF(OR($A96="",NOT(ISNUMBER($D96)),NOT(ISNUMBER($H96))),"",IF(AND(ISNUMBER($J96),$J96&gt;0),$J96,IF(ISNUMBER($I96),$I96,"")))</f>
        <v>627.061224489796</v>
      </c>
      <c r="L96" s="40" t="n">
        <f aca="false">IF(ISNUMBER($K96),$K96*$H96,"")</f>
        <v>112.871020408163</v>
      </c>
      <c r="M96" s="40" t="n">
        <f aca="false">IF(ISNUMBER($K96),$K96*Parâmetros!$B$9,"")</f>
        <v>62.7061224489796</v>
      </c>
      <c r="N96" s="40" t="n">
        <f aca="false">IF(ISNUMBER($K96),$K96*Parâmetros!$C$9,"")</f>
        <v>18.8118367346939</v>
      </c>
      <c r="O96" s="40" t="n">
        <f aca="false">IF(ISNUMBER($K96),IF(ISNUMBER(Parâmetros!$E$9),Parâmetros!$E$9,0),"")</f>
        <v>0</v>
      </c>
      <c r="P96" s="41" t="n">
        <f aca="false">IF(ISNUMBER($K96),$K96-$D96-IF(ISNUMBER($E96),$E96,0)-$L96-$M96-$N96-$O96,"")</f>
        <v>125.412244897959</v>
      </c>
      <c r="Q96" s="42" t="n">
        <f aca="false">IF(AND(ISNUMBER($K96),$K96&gt;0),$P96/$K96,"")</f>
        <v>0.2</v>
      </c>
      <c r="R96" s="43"/>
      <c r="S96" s="44" t="str">
        <f aca="false">IF(OR(NOT(ISNUMBER($R96)),$R96=0,NOT(ISNUMBER($K96))),"",$K96*(1-$R96))</f>
        <v/>
      </c>
      <c r="T96" s="45" t="str">
        <f aca="false">IF(ISNUMBER($S96),$S96*$H96,"")</f>
        <v/>
      </c>
      <c r="U96" s="45" t="str">
        <f aca="false">IF(ISNUMBER($S96),$S96*Parâmetros!$B$9,"")</f>
        <v/>
      </c>
      <c r="V96" s="45" t="str">
        <f aca="false">IF(ISNUMBER($S96),$S96*Parâmetros!$C$9,"")</f>
        <v/>
      </c>
      <c r="W96" s="44" t="str">
        <f aca="false">IF(ISNUMBER($S96),$S96-$D96-IF(ISNUMBER($E96),$E96,0)-$O96-$T96-$U96-$V96,"")</f>
        <v/>
      </c>
      <c r="X96" s="46" t="str">
        <f aca="false">IF(AND(ISNUMBER($S96),$S96&gt;0),$W96/$S96,"")</f>
        <v/>
      </c>
      <c r="Y96" s="47"/>
      <c r="Z96" s="19"/>
    </row>
    <row r="97" customFormat="false" ht="15.75" hidden="false" customHeight="true" outlineLevel="0" collapsed="false">
      <c r="A97" s="48" t="str">
        <f aca="false">IF(Produtos!$A97="","",Produtos!$A97)</f>
        <v>P4050</v>
      </c>
      <c r="B97" s="48" t="str">
        <f aca="false">IF(Produtos!$A97="","",Produtos!$B97)</f>
        <v>Lixeira c/Tampa Pedal 40x50 65L</v>
      </c>
      <c r="C97" s="48" t="str">
        <f aca="false">IF(Produtos!$A97="","",Produtos!$C97)</f>
        <v>Lixeiras com pedal</v>
      </c>
      <c r="D97" s="33" t="n">
        <f aca="false">IF(Produtos!$A97="","",IF(Produtos!$D97="","",Produtos!$D97))</f>
        <v>374.18</v>
      </c>
      <c r="E97" s="11" t="n">
        <v>0</v>
      </c>
      <c r="F97" s="34" t="n">
        <f aca="false">IF($A97="","",IF($C97="","⚠ categoria",IFERROR(INDEX(Parâmetros!$G$13:$G$22,MATCH($C97,Parâmetros!$A$13:$A$22,0)),"⚠ categoria")))</f>
        <v>0.18</v>
      </c>
      <c r="G97" s="35"/>
      <c r="H97" s="36" t="n">
        <f aca="false">IF($A97="","",IF(ISNUMBER($G97),$G97,IF(ISNUMBER($F97),$F97,"")))</f>
        <v>0.18</v>
      </c>
      <c r="I97" s="37" t="n">
        <f aca="false">IF(OR($A97="",NOT(ISNUMBER($D97)),NOT(ISNUMBER($H97))),"",IF((1-$H97-Parâmetros!$B$9-Parâmetros!$C$9-Parâmetros!$D$9)&lt;=0,"INVALIDO",($D97+IF(ISNUMBER($E97),$E97,0)+IF(ISNUMBER(Parâmetros!$E$9),Parâmetros!$E$9,0))/(1-$H97-Parâmetros!$B$9-Parâmetros!$C$9-Parâmetros!$D$9)))</f>
        <v>763.632653061225</v>
      </c>
      <c r="J97" s="38"/>
      <c r="K97" s="39" t="n">
        <f aca="false">IF(OR($A97="",NOT(ISNUMBER($D97)),NOT(ISNUMBER($H97))),"",IF(AND(ISNUMBER($J97),$J97&gt;0),$J97,IF(ISNUMBER($I97),$I97,"")))</f>
        <v>763.632653061225</v>
      </c>
      <c r="L97" s="40" t="n">
        <f aca="false">IF(ISNUMBER($K97),$K97*$H97,"")</f>
        <v>137.45387755102</v>
      </c>
      <c r="M97" s="40" t="n">
        <f aca="false">IF(ISNUMBER($K97),$K97*Parâmetros!$B$9,"")</f>
        <v>76.3632653061224</v>
      </c>
      <c r="N97" s="40" t="n">
        <f aca="false">IF(ISNUMBER($K97),$K97*Parâmetros!$C$9,"")</f>
        <v>22.9089795918367</v>
      </c>
      <c r="O97" s="40" t="n">
        <f aca="false">IF(ISNUMBER($K97),IF(ISNUMBER(Parâmetros!$E$9),Parâmetros!$E$9,0),"")</f>
        <v>0</v>
      </c>
      <c r="P97" s="41" t="n">
        <f aca="false">IF(ISNUMBER($K97),$K97-$D97-IF(ISNUMBER($E97),$E97,0)-$L97-$M97-$N97-$O97,"")</f>
        <v>152.726530612245</v>
      </c>
      <c r="Q97" s="42" t="n">
        <f aca="false">IF(AND(ISNUMBER($K97),$K97&gt;0),$P97/$K97,"")</f>
        <v>0.2</v>
      </c>
      <c r="R97" s="43"/>
      <c r="S97" s="44" t="str">
        <f aca="false">IF(OR(NOT(ISNUMBER($R97)),$R97=0,NOT(ISNUMBER($K97))),"",$K97*(1-$R97))</f>
        <v/>
      </c>
      <c r="T97" s="45" t="str">
        <f aca="false">IF(ISNUMBER($S97),$S97*$H97,"")</f>
        <v/>
      </c>
      <c r="U97" s="45" t="str">
        <f aca="false">IF(ISNUMBER($S97),$S97*Parâmetros!$B$9,"")</f>
        <v/>
      </c>
      <c r="V97" s="45" t="str">
        <f aca="false">IF(ISNUMBER($S97),$S97*Parâmetros!$C$9,"")</f>
        <v/>
      </c>
      <c r="W97" s="44" t="str">
        <f aca="false">IF(ISNUMBER($S97),$S97-$D97-IF(ISNUMBER($E97),$E97,0)-$O97-$T97-$U97-$V97,"")</f>
        <v/>
      </c>
      <c r="X97" s="46" t="str">
        <f aca="false">IF(AND(ISNUMBER($S97),$S97&gt;0),$W97/$S97,"")</f>
        <v/>
      </c>
      <c r="Y97" s="49"/>
      <c r="Z97" s="21"/>
    </row>
    <row r="98" customFormat="false" ht="15.75" hidden="false" customHeight="true" outlineLevel="0" collapsed="false">
      <c r="A98" s="32" t="str">
        <f aca="false">IF(Produtos!$A98="","",Produtos!$A98)</f>
        <v>P4060</v>
      </c>
      <c r="B98" s="32" t="str">
        <f aca="false">IF(Produtos!$A98="","",Produtos!$B98)</f>
        <v>Lixeira c/Tampa Pedal 40x60 75L</v>
      </c>
      <c r="C98" s="32" t="str">
        <f aca="false">IF(Produtos!$A98="","",Produtos!$C98)</f>
        <v>Lixeiras com pedal</v>
      </c>
      <c r="D98" s="33" t="n">
        <f aca="false">IF(Produtos!$A98="","",IF(Produtos!$D98="","",Produtos!$D98))</f>
        <v>411.2</v>
      </c>
      <c r="E98" s="11" t="n">
        <v>0</v>
      </c>
      <c r="F98" s="34" t="n">
        <f aca="false">IF($A98="","",IF($C98="","⚠ categoria",IFERROR(INDEX(Parâmetros!$G$13:$G$22,MATCH($C98,Parâmetros!$A$13:$A$22,0)),"⚠ categoria")))</f>
        <v>0.18</v>
      </c>
      <c r="G98" s="35"/>
      <c r="H98" s="36" t="n">
        <f aca="false">IF($A98="","",IF(ISNUMBER($G98),$G98,IF(ISNUMBER($F98),$F98,"")))</f>
        <v>0.18</v>
      </c>
      <c r="I98" s="37" t="n">
        <f aca="false">IF(OR($A98="",NOT(ISNUMBER($D98)),NOT(ISNUMBER($H98))),"",IF((1-$H98-Parâmetros!$B$9-Parâmetros!$C$9-Parâmetros!$D$9)&lt;=0,"INVALIDO",($D98+IF(ISNUMBER($E98),$E98,0)+IF(ISNUMBER(Parâmetros!$E$9),Parâmetros!$E$9,0))/(1-$H98-Parâmetros!$B$9-Parâmetros!$C$9-Parâmetros!$D$9)))</f>
        <v>839.183673469388</v>
      </c>
      <c r="J98" s="38"/>
      <c r="K98" s="39" t="n">
        <f aca="false">IF(OR($A98="",NOT(ISNUMBER($D98)),NOT(ISNUMBER($H98))),"",IF(AND(ISNUMBER($J98),$J98&gt;0),$J98,IF(ISNUMBER($I98),$I98,"")))</f>
        <v>839.183673469388</v>
      </c>
      <c r="L98" s="40" t="n">
        <f aca="false">IF(ISNUMBER($K98),$K98*$H98,"")</f>
        <v>151.05306122449</v>
      </c>
      <c r="M98" s="40" t="n">
        <f aca="false">IF(ISNUMBER($K98),$K98*Parâmetros!$B$9,"")</f>
        <v>83.9183673469388</v>
      </c>
      <c r="N98" s="40" t="n">
        <f aca="false">IF(ISNUMBER($K98),$K98*Parâmetros!$C$9,"")</f>
        <v>25.1755102040816</v>
      </c>
      <c r="O98" s="40" t="n">
        <f aca="false">IF(ISNUMBER($K98),IF(ISNUMBER(Parâmetros!$E$9),Parâmetros!$E$9,0),"")</f>
        <v>0</v>
      </c>
      <c r="P98" s="41" t="n">
        <f aca="false">IF(ISNUMBER($K98),$K98-$D98-IF(ISNUMBER($E98),$E98,0)-$L98-$M98-$N98-$O98,"")</f>
        <v>167.836734693877</v>
      </c>
      <c r="Q98" s="42" t="n">
        <f aca="false">IF(AND(ISNUMBER($K98),$K98&gt;0),$P98/$K98,"")</f>
        <v>0.2</v>
      </c>
      <c r="R98" s="43"/>
      <c r="S98" s="44" t="str">
        <f aca="false">IF(OR(NOT(ISNUMBER($R98)),$R98=0,NOT(ISNUMBER($K98))),"",$K98*(1-$R98))</f>
        <v/>
      </c>
      <c r="T98" s="45" t="str">
        <f aca="false">IF(ISNUMBER($S98),$S98*$H98,"")</f>
        <v/>
      </c>
      <c r="U98" s="45" t="str">
        <f aca="false">IF(ISNUMBER($S98),$S98*Parâmetros!$B$9,"")</f>
        <v/>
      </c>
      <c r="V98" s="45" t="str">
        <f aca="false">IF(ISNUMBER($S98),$S98*Parâmetros!$C$9,"")</f>
        <v/>
      </c>
      <c r="W98" s="44" t="str">
        <f aca="false">IF(ISNUMBER($S98),$S98-$D98-IF(ISNUMBER($E98),$E98,0)-$O98-$T98-$U98-$V98,"")</f>
        <v/>
      </c>
      <c r="X98" s="46" t="str">
        <f aca="false">IF(AND(ISNUMBER($S98),$S98&gt;0),$W98/$S98,"")</f>
        <v/>
      </c>
      <c r="Y98" s="47"/>
      <c r="Z98" s="19"/>
    </row>
    <row r="99" customFormat="false" ht="15.75" hidden="false" customHeight="true" outlineLevel="0" collapsed="false">
      <c r="A99" s="48" t="str">
        <f aca="false">IF(Produtos!$A99="","",Produtos!$A99)</f>
        <v>P4070</v>
      </c>
      <c r="B99" s="48" t="str">
        <f aca="false">IF(Produtos!$A99="","",Produtos!$B99)</f>
        <v>Lixeira c/Tampa Pedal 40x70 80L</v>
      </c>
      <c r="C99" s="48" t="str">
        <f aca="false">IF(Produtos!$A99="","",Produtos!$C99)</f>
        <v>Lixeiras com pedal</v>
      </c>
      <c r="D99" s="33" t="n">
        <f aca="false">IF(Produtos!$A99="","",IF(Produtos!$D99="","",Produtos!$D99))</f>
        <v>416.62</v>
      </c>
      <c r="E99" s="11" t="n">
        <v>0</v>
      </c>
      <c r="F99" s="34" t="n">
        <f aca="false">IF($A99="","",IF($C99="","⚠ categoria",IFERROR(INDEX(Parâmetros!$G$13:$G$22,MATCH($C99,Parâmetros!$A$13:$A$22,0)),"⚠ categoria")))</f>
        <v>0.18</v>
      </c>
      <c r="G99" s="35"/>
      <c r="H99" s="36" t="n">
        <f aca="false">IF($A99="","",IF(ISNUMBER($G99),$G99,IF(ISNUMBER($F99),$F99,"")))</f>
        <v>0.18</v>
      </c>
      <c r="I99" s="37" t="n">
        <f aca="false">IF(OR($A99="",NOT(ISNUMBER($D99)),NOT(ISNUMBER($H99))),"",IF((1-$H99-Parâmetros!$B$9-Parâmetros!$C$9-Parâmetros!$D$9)&lt;=0,"INVALIDO",($D99+IF(ISNUMBER($E99),$E99,0)+IF(ISNUMBER(Parâmetros!$E$9),Parâmetros!$E$9,0))/(1-$H99-Parâmetros!$B$9-Parâmetros!$C$9-Parâmetros!$D$9)))</f>
        <v>850.244897959184</v>
      </c>
      <c r="J99" s="38"/>
      <c r="K99" s="39" t="n">
        <f aca="false">IF(OR($A99="",NOT(ISNUMBER($D99)),NOT(ISNUMBER($H99))),"",IF(AND(ISNUMBER($J99),$J99&gt;0),$J99,IF(ISNUMBER($I99),$I99,"")))</f>
        <v>850.244897959184</v>
      </c>
      <c r="L99" s="40" t="n">
        <f aca="false">IF(ISNUMBER($K99),$K99*$H99,"")</f>
        <v>153.044081632653</v>
      </c>
      <c r="M99" s="40" t="n">
        <f aca="false">IF(ISNUMBER($K99),$K99*Parâmetros!$B$9,"")</f>
        <v>85.0244897959184</v>
      </c>
      <c r="N99" s="40" t="n">
        <f aca="false">IF(ISNUMBER($K99),$K99*Parâmetros!$C$9,"")</f>
        <v>25.5073469387755</v>
      </c>
      <c r="O99" s="40" t="n">
        <f aca="false">IF(ISNUMBER($K99),IF(ISNUMBER(Parâmetros!$E$9),Parâmetros!$E$9,0),"")</f>
        <v>0</v>
      </c>
      <c r="P99" s="41" t="n">
        <f aca="false">IF(ISNUMBER($K99),$K99-$D99-IF(ISNUMBER($E99),$E99,0)-$L99-$M99-$N99-$O99,"")</f>
        <v>170.048979591837</v>
      </c>
      <c r="Q99" s="42" t="n">
        <f aca="false">IF(AND(ISNUMBER($K99),$K99&gt;0),$P99/$K99,"")</f>
        <v>0.2</v>
      </c>
      <c r="R99" s="43"/>
      <c r="S99" s="44" t="str">
        <f aca="false">IF(OR(NOT(ISNUMBER($R99)),$R99=0,NOT(ISNUMBER($K99))),"",$K99*(1-$R99))</f>
        <v/>
      </c>
      <c r="T99" s="45" t="str">
        <f aca="false">IF(ISNUMBER($S99),$S99*$H99,"")</f>
        <v/>
      </c>
      <c r="U99" s="45" t="str">
        <f aca="false">IF(ISNUMBER($S99),$S99*Parâmetros!$B$9,"")</f>
        <v/>
      </c>
      <c r="V99" s="45" t="str">
        <f aca="false">IF(ISNUMBER($S99),$S99*Parâmetros!$C$9,"")</f>
        <v/>
      </c>
      <c r="W99" s="44" t="str">
        <f aca="false">IF(ISNUMBER($S99),$S99-$D99-IF(ISNUMBER($E99),$E99,0)-$O99-$T99-$U99-$V99,"")</f>
        <v/>
      </c>
      <c r="X99" s="46" t="str">
        <f aca="false">IF(AND(ISNUMBER($S99),$S99&gt;0),$W99/$S99,"")</f>
        <v/>
      </c>
      <c r="Y99" s="49"/>
      <c r="Z99" s="21"/>
    </row>
    <row r="100" customFormat="false" ht="15.75" hidden="false" customHeight="true" outlineLevel="0" collapsed="false">
      <c r="A100" s="32" t="str">
        <f aca="false">IF(Produtos!$A100="","",Produtos!$A100)</f>
        <v>P4075</v>
      </c>
      <c r="B100" s="32" t="str">
        <f aca="false">IF(Produtos!$A100="","",Produtos!$B100)</f>
        <v>Lixeira c/Tampa Pedal 40x75 95L</v>
      </c>
      <c r="C100" s="32" t="str">
        <f aca="false">IF(Produtos!$A100="","",Produtos!$C100)</f>
        <v>Lixeiras com pedal</v>
      </c>
      <c r="D100" s="33" t="n">
        <f aca="false">IF(Produtos!$A100="","",IF(Produtos!$D100="","",Produtos!$D100))</f>
        <v>478.21</v>
      </c>
      <c r="E100" s="11" t="n">
        <v>0</v>
      </c>
      <c r="F100" s="34" t="n">
        <f aca="false">IF($A100="","",IF($C100="","⚠ categoria",IFERROR(INDEX(Parâmetros!$G$13:$G$22,MATCH($C100,Parâmetros!$A$13:$A$22,0)),"⚠ categoria")))</f>
        <v>0.18</v>
      </c>
      <c r="G100" s="35"/>
      <c r="H100" s="36" t="n">
        <f aca="false">IF($A100="","",IF(ISNUMBER($G100),$G100,IF(ISNUMBER($F100),$F100,"")))</f>
        <v>0.18</v>
      </c>
      <c r="I100" s="37" t="n">
        <f aca="false">IF(OR($A100="",NOT(ISNUMBER($D100)),NOT(ISNUMBER($H100))),"",IF((1-$H100-Parâmetros!$B$9-Parâmetros!$C$9-Parâmetros!$D$9)&lt;=0,"INVALIDO",($D100+IF(ISNUMBER($E100),$E100,0)+IF(ISNUMBER(Parâmetros!$E$9),Parâmetros!$E$9,0))/(1-$H100-Parâmetros!$B$9-Parâmetros!$C$9-Parâmetros!$D$9)))</f>
        <v>975.938775510204</v>
      </c>
      <c r="J100" s="38"/>
      <c r="K100" s="39" t="n">
        <f aca="false">IF(OR($A100="",NOT(ISNUMBER($D100)),NOT(ISNUMBER($H100))),"",IF(AND(ISNUMBER($J100),$J100&gt;0),$J100,IF(ISNUMBER($I100),$I100,"")))</f>
        <v>975.938775510204</v>
      </c>
      <c r="L100" s="40" t="n">
        <f aca="false">IF(ISNUMBER($K100),$K100*$H100,"")</f>
        <v>175.668979591837</v>
      </c>
      <c r="M100" s="40" t="n">
        <f aca="false">IF(ISNUMBER($K100),$K100*Parâmetros!$B$9,"")</f>
        <v>97.5938775510204</v>
      </c>
      <c r="N100" s="40" t="n">
        <f aca="false">IF(ISNUMBER($K100),$K100*Parâmetros!$C$9,"")</f>
        <v>29.2781632653061</v>
      </c>
      <c r="O100" s="40" t="n">
        <f aca="false">IF(ISNUMBER($K100),IF(ISNUMBER(Parâmetros!$E$9),Parâmetros!$E$9,0),"")</f>
        <v>0</v>
      </c>
      <c r="P100" s="41" t="n">
        <f aca="false">IF(ISNUMBER($K100),$K100-$D100-IF(ISNUMBER($E100),$E100,0)-$L100-$M100-$N100-$O100,"")</f>
        <v>195.187755102041</v>
      </c>
      <c r="Q100" s="42" t="n">
        <f aca="false">IF(AND(ISNUMBER($K100),$K100&gt;0),$P100/$K100,"")</f>
        <v>0.2</v>
      </c>
      <c r="R100" s="43"/>
      <c r="S100" s="44" t="str">
        <f aca="false">IF(OR(NOT(ISNUMBER($R100)),$R100=0,NOT(ISNUMBER($K100))),"",$K100*(1-$R100))</f>
        <v/>
      </c>
      <c r="T100" s="45" t="str">
        <f aca="false">IF(ISNUMBER($S100),$S100*$H100,"")</f>
        <v/>
      </c>
      <c r="U100" s="45" t="str">
        <f aca="false">IF(ISNUMBER($S100),$S100*Parâmetros!$B$9,"")</f>
        <v/>
      </c>
      <c r="V100" s="45" t="str">
        <f aca="false">IF(ISNUMBER($S100),$S100*Parâmetros!$C$9,"")</f>
        <v/>
      </c>
      <c r="W100" s="44" t="str">
        <f aca="false">IF(ISNUMBER($S100),$S100-$D100-IF(ISNUMBER($E100),$E100,0)-$O100-$T100-$U100-$V100,"")</f>
        <v/>
      </c>
      <c r="X100" s="46" t="str">
        <f aca="false">IF(AND(ISNUMBER($S100),$S100&gt;0),$W100/$S100,"")</f>
        <v/>
      </c>
      <c r="Y100" s="47"/>
      <c r="Z100" s="19"/>
    </row>
    <row r="101" customFormat="false" ht="15.75" hidden="false" customHeight="true" outlineLevel="0" collapsed="false">
      <c r="A101" s="48" t="str">
        <f aca="false">IF(Produtos!$A101="","",Produtos!$A101)</f>
        <v>P4080</v>
      </c>
      <c r="B101" s="48" t="str">
        <f aca="false">IF(Produtos!$A101="","",Produtos!$B101)</f>
        <v>Lixeira c/Tampa Pedal 40x80 100L</v>
      </c>
      <c r="C101" s="48" t="str">
        <f aca="false">IF(Produtos!$A101="","",Produtos!$C101)</f>
        <v>Lixeiras com pedal</v>
      </c>
      <c r="D101" s="33" t="n">
        <f aca="false">IF(Produtos!$A101="","",IF(Produtos!$D101="","",Produtos!$D101))</f>
        <v>553.79</v>
      </c>
      <c r="E101" s="11" t="n">
        <v>0</v>
      </c>
      <c r="F101" s="34" t="n">
        <f aca="false">IF($A101="","",IF($C101="","⚠ categoria",IFERROR(INDEX(Parâmetros!$G$13:$G$22,MATCH($C101,Parâmetros!$A$13:$A$22,0)),"⚠ categoria")))</f>
        <v>0.18</v>
      </c>
      <c r="G101" s="35"/>
      <c r="H101" s="36" t="n">
        <f aca="false">IF($A101="","",IF(ISNUMBER($G101),$G101,IF(ISNUMBER($F101),$F101,"")))</f>
        <v>0.18</v>
      </c>
      <c r="I101" s="37" t="n">
        <f aca="false">IF(OR($A101="",NOT(ISNUMBER($D101)),NOT(ISNUMBER($H101))),"",IF((1-$H101-Parâmetros!$B$9-Parâmetros!$C$9-Parâmetros!$D$9)&lt;=0,"INVALIDO",($D101+IF(ISNUMBER($E101),$E101,0)+IF(ISNUMBER(Parâmetros!$E$9),Parâmetros!$E$9,0))/(1-$H101-Parâmetros!$B$9-Parâmetros!$C$9-Parâmetros!$D$9)))</f>
        <v>1130.18367346939</v>
      </c>
      <c r="J101" s="38"/>
      <c r="K101" s="39" t="n">
        <f aca="false">IF(OR($A101="",NOT(ISNUMBER($D101)),NOT(ISNUMBER($H101))),"",IF(AND(ISNUMBER($J101),$J101&gt;0),$J101,IF(ISNUMBER($I101),$I101,"")))</f>
        <v>1130.18367346939</v>
      </c>
      <c r="L101" s="40" t="n">
        <f aca="false">IF(ISNUMBER($K101),$K101*$H101,"")</f>
        <v>203.43306122449</v>
      </c>
      <c r="M101" s="40" t="n">
        <f aca="false">IF(ISNUMBER($K101),$K101*Parâmetros!$B$9,"")</f>
        <v>113.018367346939</v>
      </c>
      <c r="N101" s="40" t="n">
        <f aca="false">IF(ISNUMBER($K101),$K101*Parâmetros!$C$9,"")</f>
        <v>33.9055102040816</v>
      </c>
      <c r="O101" s="40" t="n">
        <f aca="false">IF(ISNUMBER($K101),IF(ISNUMBER(Parâmetros!$E$9),Parâmetros!$E$9,0),"")</f>
        <v>0</v>
      </c>
      <c r="P101" s="41" t="n">
        <f aca="false">IF(ISNUMBER($K101),$K101-$D101-IF(ISNUMBER($E101),$E101,0)-$L101-$M101-$N101-$O101,"")</f>
        <v>226.036734693877</v>
      </c>
      <c r="Q101" s="42" t="n">
        <f aca="false">IF(AND(ISNUMBER($K101),$K101&gt;0),$P101/$K101,"")</f>
        <v>0.2</v>
      </c>
      <c r="R101" s="43"/>
      <c r="S101" s="44" t="str">
        <f aca="false">IF(OR(NOT(ISNUMBER($R101)),$R101=0,NOT(ISNUMBER($K101))),"",$K101*(1-$R101))</f>
        <v/>
      </c>
      <c r="T101" s="45" t="str">
        <f aca="false">IF(ISNUMBER($S101),$S101*$H101,"")</f>
        <v/>
      </c>
      <c r="U101" s="45" t="str">
        <f aca="false">IF(ISNUMBER($S101),$S101*Parâmetros!$B$9,"")</f>
        <v/>
      </c>
      <c r="V101" s="45" t="str">
        <f aca="false">IF(ISNUMBER($S101),$S101*Parâmetros!$C$9,"")</f>
        <v/>
      </c>
      <c r="W101" s="44" t="str">
        <f aca="false">IF(ISNUMBER($S101),$S101-$D101-IF(ISNUMBER($E101),$E101,0)-$O101-$T101-$U101-$V101,"")</f>
        <v/>
      </c>
      <c r="X101" s="46" t="str">
        <f aca="false">IF(AND(ISNUMBER($S101),$S101&gt;0),$W101/$S101,"")</f>
        <v/>
      </c>
      <c r="Y101" s="49"/>
      <c r="Z101" s="21"/>
    </row>
    <row r="102" customFormat="false" ht="15.75" hidden="false" customHeight="true" outlineLevel="0" collapsed="false">
      <c r="A102" s="32" t="str">
        <f aca="false">IF(Produtos!$A102="","",Produtos!$A102)</f>
        <v>P4090</v>
      </c>
      <c r="B102" s="32" t="str">
        <f aca="false">IF(Produtos!$A102="","",Produtos!$B102)</f>
        <v>Lixeira c/Tampa Pedal 40x90 120L</v>
      </c>
      <c r="C102" s="32" t="str">
        <f aca="false">IF(Produtos!$A102="","",Produtos!$C102)</f>
        <v>Lixeiras com pedal</v>
      </c>
      <c r="D102" s="33" t="n">
        <f aca="false">IF(Produtos!$A102="","",IF(Produtos!$D102="","",Produtos!$D102))</f>
        <v>771.68</v>
      </c>
      <c r="E102" s="11" t="n">
        <v>0</v>
      </c>
      <c r="F102" s="34" t="n">
        <f aca="false">IF($A102="","",IF($C102="","⚠ categoria",IFERROR(INDEX(Parâmetros!$G$13:$G$22,MATCH($C102,Parâmetros!$A$13:$A$22,0)),"⚠ categoria")))</f>
        <v>0.18</v>
      </c>
      <c r="G102" s="35"/>
      <c r="H102" s="36" t="n">
        <f aca="false">IF($A102="","",IF(ISNUMBER($G102),$G102,IF(ISNUMBER($F102),$F102,"")))</f>
        <v>0.18</v>
      </c>
      <c r="I102" s="37" t="n">
        <f aca="false">IF(OR($A102="",NOT(ISNUMBER($D102)),NOT(ISNUMBER($H102))),"",IF((1-$H102-Parâmetros!$B$9-Parâmetros!$C$9-Parâmetros!$D$9)&lt;=0,"INVALIDO",($D102+IF(ISNUMBER($E102),$E102,0)+IF(ISNUMBER(Parâmetros!$E$9),Parâmetros!$E$9,0))/(1-$H102-Parâmetros!$B$9-Parâmetros!$C$9-Parâmetros!$D$9)))</f>
        <v>1574.85714285714</v>
      </c>
      <c r="J102" s="38"/>
      <c r="K102" s="39" t="n">
        <f aca="false">IF(OR($A102="",NOT(ISNUMBER($D102)),NOT(ISNUMBER($H102))),"",IF(AND(ISNUMBER($J102),$J102&gt;0),$J102,IF(ISNUMBER($I102),$I102,"")))</f>
        <v>1574.85714285714</v>
      </c>
      <c r="L102" s="40" t="n">
        <f aca="false">IF(ISNUMBER($K102),$K102*$H102,"")</f>
        <v>283.474285714286</v>
      </c>
      <c r="M102" s="40" t="n">
        <f aca="false">IF(ISNUMBER($K102),$K102*Parâmetros!$B$9,"")</f>
        <v>157.485714285714</v>
      </c>
      <c r="N102" s="40" t="n">
        <f aca="false">IF(ISNUMBER($K102),$K102*Parâmetros!$C$9,"")</f>
        <v>47.2457142857143</v>
      </c>
      <c r="O102" s="40" t="n">
        <f aca="false">IF(ISNUMBER($K102),IF(ISNUMBER(Parâmetros!$E$9),Parâmetros!$E$9,0),"")</f>
        <v>0</v>
      </c>
      <c r="P102" s="41" t="n">
        <f aca="false">IF(ISNUMBER($K102),$K102-$D102-IF(ISNUMBER($E102),$E102,0)-$L102-$M102-$N102-$O102,"")</f>
        <v>314.971428571429</v>
      </c>
      <c r="Q102" s="42" t="n">
        <f aca="false">IF(AND(ISNUMBER($K102),$K102&gt;0),$P102/$K102,"")</f>
        <v>0.2</v>
      </c>
      <c r="R102" s="43"/>
      <c r="S102" s="44" t="str">
        <f aca="false">IF(OR(NOT(ISNUMBER($R102)),$R102=0,NOT(ISNUMBER($K102))),"",$K102*(1-$R102))</f>
        <v/>
      </c>
      <c r="T102" s="45" t="str">
        <f aca="false">IF(ISNUMBER($S102),$S102*$H102,"")</f>
        <v/>
      </c>
      <c r="U102" s="45" t="str">
        <f aca="false">IF(ISNUMBER($S102),$S102*Parâmetros!$B$9,"")</f>
        <v/>
      </c>
      <c r="V102" s="45" t="str">
        <f aca="false">IF(ISNUMBER($S102),$S102*Parâmetros!$C$9,"")</f>
        <v/>
      </c>
      <c r="W102" s="44" t="str">
        <f aca="false">IF(ISNUMBER($S102),$S102-$D102-IF(ISNUMBER($E102),$E102,0)-$O102-$T102-$U102-$V102,"")</f>
        <v/>
      </c>
      <c r="X102" s="46" t="str">
        <f aca="false">IF(AND(ISNUMBER($S102),$S102&gt;0),$W102/$S102,"")</f>
        <v/>
      </c>
      <c r="Y102" s="47"/>
      <c r="Z102" s="19"/>
    </row>
    <row r="103" customFormat="false" ht="15.75" hidden="false" customHeight="true" outlineLevel="0" collapsed="false">
      <c r="A103" s="48" t="str">
        <f aca="false">IF(Produtos!$A103="","",Produtos!$A103)</f>
        <v>L2425-BC</v>
      </c>
      <c r="B103" s="48" t="str">
        <f aca="false">IF(Produtos!$A103="","",Produtos!$B103)</f>
        <v>Lixeira de Aço inox 24x25 13L c/Aro basculante colorido</v>
      </c>
      <c r="C103" s="48" t="str">
        <f aca="false">IF(Produtos!$A103="","",Produtos!$C103)</f>
        <v>Lixeiras em inox</v>
      </c>
      <c r="D103" s="33" t="n">
        <f aca="false">IF(Produtos!$A103="","",IF(Produtos!$D103="","",Produtos!$D103))</f>
        <v>110.45</v>
      </c>
      <c r="E103" s="11" t="n">
        <v>0</v>
      </c>
      <c r="F103" s="34" t="n">
        <f aca="false">IF($A103="","",IF($C103="","⚠ categoria",IFERROR(INDEX(Parâmetros!$G$13:$G$22,MATCH($C103,Parâmetros!$A$13:$A$22,0)),"⚠ categoria")))</f>
        <v>0.18</v>
      </c>
      <c r="G103" s="35"/>
      <c r="H103" s="36" t="n">
        <f aca="false">IF($A103="","",IF(ISNUMBER($G103),$G103,IF(ISNUMBER($F103),$F103,"")))</f>
        <v>0.18</v>
      </c>
      <c r="I103" s="37" t="n">
        <f aca="false">IF(OR($A103="",NOT(ISNUMBER($D103)),NOT(ISNUMBER($H103))),"",IF((1-$H103-Parâmetros!$B$9-Parâmetros!$C$9-Parâmetros!$D$9)&lt;=0,"INVALIDO",($D103+IF(ISNUMBER($E103),$E103,0)+IF(ISNUMBER(Parâmetros!$E$9),Parâmetros!$E$9,0))/(1-$H103-Parâmetros!$B$9-Parâmetros!$C$9-Parâmetros!$D$9)))</f>
        <v>225.408163265306</v>
      </c>
      <c r="J103" s="38"/>
      <c r="K103" s="39" t="n">
        <f aca="false">IF(OR($A103="",NOT(ISNUMBER($D103)),NOT(ISNUMBER($H103))),"",IF(AND(ISNUMBER($J103),$J103&gt;0),$J103,IF(ISNUMBER($I103),$I103,"")))</f>
        <v>225.408163265306</v>
      </c>
      <c r="L103" s="40" t="n">
        <f aca="false">IF(ISNUMBER($K103),$K103*$H103,"")</f>
        <v>40.5734693877551</v>
      </c>
      <c r="M103" s="40" t="n">
        <f aca="false">IF(ISNUMBER($K103),$K103*Parâmetros!$B$9,"")</f>
        <v>22.5408163265306</v>
      </c>
      <c r="N103" s="40" t="n">
        <f aca="false">IF(ISNUMBER($K103),$K103*Parâmetros!$C$9,"")</f>
        <v>6.76224489795918</v>
      </c>
      <c r="O103" s="40" t="n">
        <f aca="false">IF(ISNUMBER($K103),IF(ISNUMBER(Parâmetros!$E$9),Parâmetros!$E$9,0),"")</f>
        <v>0</v>
      </c>
      <c r="P103" s="41" t="n">
        <f aca="false">IF(ISNUMBER($K103),$K103-$D103-IF(ISNUMBER($E103),$E103,0)-$L103-$M103-$N103-$O103,"")</f>
        <v>45.0816326530612</v>
      </c>
      <c r="Q103" s="42" t="n">
        <f aca="false">IF(AND(ISNUMBER($K103),$K103&gt;0),$P103/$K103,"")</f>
        <v>0.2</v>
      </c>
      <c r="R103" s="43"/>
      <c r="S103" s="44" t="str">
        <f aca="false">IF(OR(NOT(ISNUMBER($R103)),$R103=0,NOT(ISNUMBER($K103))),"",$K103*(1-$R103))</f>
        <v/>
      </c>
      <c r="T103" s="45" t="str">
        <f aca="false">IF(ISNUMBER($S103),$S103*$H103,"")</f>
        <v/>
      </c>
      <c r="U103" s="45" t="str">
        <f aca="false">IF(ISNUMBER($S103),$S103*Parâmetros!$B$9,"")</f>
        <v/>
      </c>
      <c r="V103" s="45" t="str">
        <f aca="false">IF(ISNUMBER($S103),$S103*Parâmetros!$C$9,"")</f>
        <v/>
      </c>
      <c r="W103" s="44" t="str">
        <f aca="false">IF(ISNUMBER($S103),$S103-$D103-IF(ISNUMBER($E103),$E103,0)-$O103-$T103-$U103-$V103,"")</f>
        <v/>
      </c>
      <c r="X103" s="46" t="str">
        <f aca="false">IF(AND(ISNUMBER($S103),$S103&gt;0),$W103/$S103,"")</f>
        <v/>
      </c>
      <c r="Y103" s="49"/>
      <c r="Z103" s="21"/>
    </row>
    <row r="104" customFormat="false" ht="15.75" hidden="false" customHeight="true" outlineLevel="0" collapsed="false">
      <c r="A104" s="32" t="str">
        <f aca="false">IF(Produtos!$A104="","",Produtos!$A104)</f>
        <v>L2430-BC</v>
      </c>
      <c r="B104" s="32" t="str">
        <f aca="false">IF(Produtos!$A104="","",Produtos!$B104)</f>
        <v>Lixeira de Aço inox 24x30 15L c/Aro basculante colorido</v>
      </c>
      <c r="C104" s="32" t="str">
        <f aca="false">IF(Produtos!$A104="","",Produtos!$C104)</f>
        <v>Lixeiras em inox</v>
      </c>
      <c r="D104" s="33" t="n">
        <f aca="false">IF(Produtos!$A104="","",IF(Produtos!$D104="","",Produtos!$D104))</f>
        <v>120.38</v>
      </c>
      <c r="E104" s="11" t="n">
        <v>0</v>
      </c>
      <c r="F104" s="34" t="n">
        <f aca="false">IF($A104="","",IF($C104="","⚠ categoria",IFERROR(INDEX(Parâmetros!$G$13:$G$22,MATCH($C104,Parâmetros!$A$13:$A$22,0)),"⚠ categoria")))</f>
        <v>0.18</v>
      </c>
      <c r="G104" s="35"/>
      <c r="H104" s="36" t="n">
        <f aca="false">IF($A104="","",IF(ISNUMBER($G104),$G104,IF(ISNUMBER($F104),$F104,"")))</f>
        <v>0.18</v>
      </c>
      <c r="I104" s="37" t="n">
        <f aca="false">IF(OR($A104="",NOT(ISNUMBER($D104)),NOT(ISNUMBER($H104))),"",IF((1-$H104-Parâmetros!$B$9-Parâmetros!$C$9-Parâmetros!$D$9)&lt;=0,"INVALIDO",($D104+IF(ISNUMBER($E104),$E104,0)+IF(ISNUMBER(Parâmetros!$E$9),Parâmetros!$E$9,0))/(1-$H104-Parâmetros!$B$9-Parâmetros!$C$9-Parâmetros!$D$9)))</f>
        <v>245.673469387755</v>
      </c>
      <c r="J104" s="38"/>
      <c r="K104" s="39" t="n">
        <f aca="false">IF(OR($A104="",NOT(ISNUMBER($D104)),NOT(ISNUMBER($H104))),"",IF(AND(ISNUMBER($J104),$J104&gt;0),$J104,IF(ISNUMBER($I104),$I104,"")))</f>
        <v>245.673469387755</v>
      </c>
      <c r="L104" s="40" t="n">
        <f aca="false">IF(ISNUMBER($K104),$K104*$H104,"")</f>
        <v>44.2212244897959</v>
      </c>
      <c r="M104" s="40" t="n">
        <f aca="false">IF(ISNUMBER($K104),$K104*Parâmetros!$B$9,"")</f>
        <v>24.5673469387755</v>
      </c>
      <c r="N104" s="40" t="n">
        <f aca="false">IF(ISNUMBER($K104),$K104*Parâmetros!$C$9,"")</f>
        <v>7.37020408163265</v>
      </c>
      <c r="O104" s="40" t="n">
        <f aca="false">IF(ISNUMBER($K104),IF(ISNUMBER(Parâmetros!$E$9),Parâmetros!$E$9,0),"")</f>
        <v>0</v>
      </c>
      <c r="P104" s="41" t="n">
        <f aca="false">IF(ISNUMBER($K104),$K104-$D104-IF(ISNUMBER($E104),$E104,0)-$L104-$M104-$N104-$O104,"")</f>
        <v>49.134693877551</v>
      </c>
      <c r="Q104" s="42" t="n">
        <f aca="false">IF(AND(ISNUMBER($K104),$K104&gt;0),$P104/$K104,"")</f>
        <v>0.2</v>
      </c>
      <c r="R104" s="43"/>
      <c r="S104" s="44" t="str">
        <f aca="false">IF(OR(NOT(ISNUMBER($R104)),$R104=0,NOT(ISNUMBER($K104))),"",$K104*(1-$R104))</f>
        <v/>
      </c>
      <c r="T104" s="45" t="str">
        <f aca="false">IF(ISNUMBER($S104),$S104*$H104,"")</f>
        <v/>
      </c>
      <c r="U104" s="45" t="str">
        <f aca="false">IF(ISNUMBER($S104),$S104*Parâmetros!$B$9,"")</f>
        <v/>
      </c>
      <c r="V104" s="45" t="str">
        <f aca="false">IF(ISNUMBER($S104),$S104*Parâmetros!$C$9,"")</f>
        <v/>
      </c>
      <c r="W104" s="44" t="str">
        <f aca="false">IF(ISNUMBER($S104),$S104-$D104-IF(ISNUMBER($E104),$E104,0)-$O104-$T104-$U104-$V104,"")</f>
        <v/>
      </c>
      <c r="X104" s="46" t="str">
        <f aca="false">IF(AND(ISNUMBER($S104),$S104&gt;0),$W104/$S104,"")</f>
        <v/>
      </c>
      <c r="Y104" s="47"/>
      <c r="Z104" s="19"/>
    </row>
    <row r="105" customFormat="false" ht="15.75" hidden="false" customHeight="true" outlineLevel="0" collapsed="false">
      <c r="A105" s="48" t="str">
        <f aca="false">IF(Produtos!$A105="","",Produtos!$A105)</f>
        <v>L2440-BC</v>
      </c>
      <c r="B105" s="48" t="str">
        <f aca="false">IF(Produtos!$A105="","",Produtos!$B105)</f>
        <v>Lixeira de Aço inox 24x40 20L c/Aro basculante colorido</v>
      </c>
      <c r="C105" s="48" t="str">
        <f aca="false">IF(Produtos!$A105="","",Produtos!$C105)</f>
        <v>Lixeiras em inox</v>
      </c>
      <c r="D105" s="33" t="n">
        <f aca="false">IF(Produtos!$A105="","",IF(Produtos!$D105="","",Produtos!$D105))</f>
        <v>137.47</v>
      </c>
      <c r="E105" s="11" t="n">
        <v>0</v>
      </c>
      <c r="F105" s="34" t="n">
        <f aca="false">IF($A105="","",IF($C105="","⚠ categoria",IFERROR(INDEX(Parâmetros!$G$13:$G$22,MATCH($C105,Parâmetros!$A$13:$A$22,0)),"⚠ categoria")))</f>
        <v>0.18</v>
      </c>
      <c r="G105" s="35"/>
      <c r="H105" s="36" t="n">
        <f aca="false">IF($A105="","",IF(ISNUMBER($G105),$G105,IF(ISNUMBER($F105),$F105,"")))</f>
        <v>0.18</v>
      </c>
      <c r="I105" s="37" t="n">
        <f aca="false">IF(OR($A105="",NOT(ISNUMBER($D105)),NOT(ISNUMBER($H105))),"",IF((1-$H105-Parâmetros!$B$9-Parâmetros!$C$9-Parâmetros!$D$9)&lt;=0,"INVALIDO",($D105+IF(ISNUMBER($E105),$E105,0)+IF(ISNUMBER(Parâmetros!$E$9),Parâmetros!$E$9,0))/(1-$H105-Parâmetros!$B$9-Parâmetros!$C$9-Parâmetros!$D$9)))</f>
        <v>280.551020408163</v>
      </c>
      <c r="J105" s="38"/>
      <c r="K105" s="39" t="n">
        <f aca="false">IF(OR($A105="",NOT(ISNUMBER($D105)),NOT(ISNUMBER($H105))),"",IF(AND(ISNUMBER($J105),$J105&gt;0),$J105,IF(ISNUMBER($I105),$I105,"")))</f>
        <v>280.551020408163</v>
      </c>
      <c r="L105" s="40" t="n">
        <f aca="false">IF(ISNUMBER($K105),$K105*$H105,"")</f>
        <v>50.4991836734694</v>
      </c>
      <c r="M105" s="40" t="n">
        <f aca="false">IF(ISNUMBER($K105),$K105*Parâmetros!$B$9,"")</f>
        <v>28.0551020408163</v>
      </c>
      <c r="N105" s="40" t="n">
        <f aca="false">IF(ISNUMBER($K105),$K105*Parâmetros!$C$9,"")</f>
        <v>8.4165306122449</v>
      </c>
      <c r="O105" s="40" t="n">
        <f aca="false">IF(ISNUMBER($K105),IF(ISNUMBER(Parâmetros!$E$9),Parâmetros!$E$9,0),"")</f>
        <v>0</v>
      </c>
      <c r="P105" s="41" t="n">
        <f aca="false">IF(ISNUMBER($K105),$K105-$D105-IF(ISNUMBER($E105),$E105,0)-$L105-$M105-$N105-$O105,"")</f>
        <v>56.1102040816326</v>
      </c>
      <c r="Q105" s="42" t="n">
        <f aca="false">IF(AND(ISNUMBER($K105),$K105&gt;0),$P105/$K105,"")</f>
        <v>0.2</v>
      </c>
      <c r="R105" s="43"/>
      <c r="S105" s="44" t="str">
        <f aca="false">IF(OR(NOT(ISNUMBER($R105)),$R105=0,NOT(ISNUMBER($K105))),"",$K105*(1-$R105))</f>
        <v/>
      </c>
      <c r="T105" s="45" t="str">
        <f aca="false">IF(ISNUMBER($S105),$S105*$H105,"")</f>
        <v/>
      </c>
      <c r="U105" s="45" t="str">
        <f aca="false">IF(ISNUMBER($S105),$S105*Parâmetros!$B$9,"")</f>
        <v/>
      </c>
      <c r="V105" s="45" t="str">
        <f aca="false">IF(ISNUMBER($S105),$S105*Parâmetros!$C$9,"")</f>
        <v/>
      </c>
      <c r="W105" s="44" t="str">
        <f aca="false">IF(ISNUMBER($S105),$S105-$D105-IF(ISNUMBER($E105),$E105,0)-$O105-$T105-$U105-$V105,"")</f>
        <v/>
      </c>
      <c r="X105" s="46" t="str">
        <f aca="false">IF(AND(ISNUMBER($S105),$S105&gt;0),$W105/$S105,"")</f>
        <v/>
      </c>
      <c r="Y105" s="49"/>
      <c r="Z105" s="21"/>
    </row>
    <row r="106" customFormat="false" ht="15.75" hidden="false" customHeight="true" outlineLevel="0" collapsed="false">
      <c r="A106" s="32" t="str">
        <f aca="false">IF(Produtos!$A106="","",Produtos!$A106)</f>
        <v>L2450-BC</v>
      </c>
      <c r="B106" s="32" t="str">
        <f aca="false">IF(Produtos!$A106="","",Produtos!$B106)</f>
        <v>Lixeira de Aço inox 24x50 25L c/Aro basculante colorido</v>
      </c>
      <c r="C106" s="32" t="str">
        <f aca="false">IF(Produtos!$A106="","",Produtos!$C106)</f>
        <v>Lixeiras em inox</v>
      </c>
      <c r="D106" s="33" t="n">
        <f aca="false">IF(Produtos!$A106="","",IF(Produtos!$D106="","",Produtos!$D106))</f>
        <v>168.27</v>
      </c>
      <c r="E106" s="11" t="n">
        <v>0</v>
      </c>
      <c r="F106" s="34" t="n">
        <f aca="false">IF($A106="","",IF($C106="","⚠ categoria",IFERROR(INDEX(Parâmetros!$G$13:$G$22,MATCH($C106,Parâmetros!$A$13:$A$22,0)),"⚠ categoria")))</f>
        <v>0.18</v>
      </c>
      <c r="G106" s="35"/>
      <c r="H106" s="36" t="n">
        <f aca="false">IF($A106="","",IF(ISNUMBER($G106),$G106,IF(ISNUMBER($F106),$F106,"")))</f>
        <v>0.18</v>
      </c>
      <c r="I106" s="37" t="n">
        <f aca="false">IF(OR($A106="",NOT(ISNUMBER($D106)),NOT(ISNUMBER($H106))),"",IF((1-$H106-Parâmetros!$B$9-Parâmetros!$C$9-Parâmetros!$D$9)&lt;=0,"INVALIDO",($D106+IF(ISNUMBER($E106),$E106,0)+IF(ISNUMBER(Parâmetros!$E$9),Parâmetros!$E$9,0))/(1-$H106-Parâmetros!$B$9-Parâmetros!$C$9-Parâmetros!$D$9)))</f>
        <v>343.408163265306</v>
      </c>
      <c r="J106" s="38"/>
      <c r="K106" s="39" t="n">
        <f aca="false">IF(OR($A106="",NOT(ISNUMBER($D106)),NOT(ISNUMBER($H106))),"",IF(AND(ISNUMBER($J106),$J106&gt;0),$J106,IF(ISNUMBER($I106),$I106,"")))</f>
        <v>343.408163265306</v>
      </c>
      <c r="L106" s="40" t="n">
        <f aca="false">IF(ISNUMBER($K106),$K106*$H106,"")</f>
        <v>61.8134693877551</v>
      </c>
      <c r="M106" s="40" t="n">
        <f aca="false">IF(ISNUMBER($K106),$K106*Parâmetros!$B$9,"")</f>
        <v>34.3408163265306</v>
      </c>
      <c r="N106" s="40" t="n">
        <f aca="false">IF(ISNUMBER($K106),$K106*Parâmetros!$C$9,"")</f>
        <v>10.3022448979592</v>
      </c>
      <c r="O106" s="40" t="n">
        <f aca="false">IF(ISNUMBER($K106),IF(ISNUMBER(Parâmetros!$E$9),Parâmetros!$E$9,0),"")</f>
        <v>0</v>
      </c>
      <c r="P106" s="41" t="n">
        <f aca="false">IF(ISNUMBER($K106),$K106-$D106-IF(ISNUMBER($E106),$E106,0)-$L106-$M106-$N106-$O106,"")</f>
        <v>68.6816326530612</v>
      </c>
      <c r="Q106" s="42" t="n">
        <f aca="false">IF(AND(ISNUMBER($K106),$K106&gt;0),$P106/$K106,"")</f>
        <v>0.2</v>
      </c>
      <c r="R106" s="43"/>
      <c r="S106" s="44" t="str">
        <f aca="false">IF(OR(NOT(ISNUMBER($R106)),$R106=0,NOT(ISNUMBER($K106))),"",$K106*(1-$R106))</f>
        <v/>
      </c>
      <c r="T106" s="45" t="str">
        <f aca="false">IF(ISNUMBER($S106),$S106*$H106,"")</f>
        <v/>
      </c>
      <c r="U106" s="45" t="str">
        <f aca="false">IF(ISNUMBER($S106),$S106*Parâmetros!$B$9,"")</f>
        <v/>
      </c>
      <c r="V106" s="45" t="str">
        <f aca="false">IF(ISNUMBER($S106),$S106*Parâmetros!$C$9,"")</f>
        <v/>
      </c>
      <c r="W106" s="44" t="str">
        <f aca="false">IF(ISNUMBER($S106),$S106-$D106-IF(ISNUMBER($E106),$E106,0)-$O106-$T106-$U106-$V106,"")</f>
        <v/>
      </c>
      <c r="X106" s="46" t="str">
        <f aca="false">IF(AND(ISNUMBER($S106),$S106&gt;0),$W106/$S106,"")</f>
        <v/>
      </c>
      <c r="Y106" s="47"/>
      <c r="Z106" s="19"/>
    </row>
    <row r="107" customFormat="false" ht="15.75" hidden="false" customHeight="true" outlineLevel="0" collapsed="false">
      <c r="A107" s="48" t="str">
        <f aca="false">IF(Produtos!$A107="","",Produtos!$A107)</f>
        <v>L2460-BC</v>
      </c>
      <c r="B107" s="48" t="str">
        <f aca="false">IF(Produtos!$A107="","",Produtos!$B107)</f>
        <v>Lixeira de Aço inox 24x60 27L c/Aro basculante colorido</v>
      </c>
      <c r="C107" s="48" t="str">
        <f aca="false">IF(Produtos!$A107="","",Produtos!$C107)</f>
        <v>Lixeiras em inox</v>
      </c>
      <c r="D107" s="33" t="n">
        <f aca="false">IF(Produtos!$A107="","",IF(Produtos!$D107="","",Produtos!$D107))</f>
        <v>169.79</v>
      </c>
      <c r="E107" s="11" t="n">
        <v>0</v>
      </c>
      <c r="F107" s="34" t="n">
        <f aca="false">IF($A107="","",IF($C107="","⚠ categoria",IFERROR(INDEX(Parâmetros!$G$13:$G$22,MATCH($C107,Parâmetros!$A$13:$A$22,0)),"⚠ categoria")))</f>
        <v>0.18</v>
      </c>
      <c r="G107" s="35"/>
      <c r="H107" s="36" t="n">
        <f aca="false">IF($A107="","",IF(ISNUMBER($G107),$G107,IF(ISNUMBER($F107),$F107,"")))</f>
        <v>0.18</v>
      </c>
      <c r="I107" s="37" t="n">
        <f aca="false">IF(OR($A107="",NOT(ISNUMBER($D107)),NOT(ISNUMBER($H107))),"",IF((1-$H107-Parâmetros!$B$9-Parâmetros!$C$9-Parâmetros!$D$9)&lt;=0,"INVALIDO",($D107+IF(ISNUMBER($E107),$E107,0)+IF(ISNUMBER(Parâmetros!$E$9),Parâmetros!$E$9,0))/(1-$H107-Parâmetros!$B$9-Parâmetros!$C$9-Parâmetros!$D$9)))</f>
        <v>346.510204081633</v>
      </c>
      <c r="J107" s="38"/>
      <c r="K107" s="39" t="n">
        <f aca="false">IF(OR($A107="",NOT(ISNUMBER($D107)),NOT(ISNUMBER($H107))),"",IF(AND(ISNUMBER($J107),$J107&gt;0),$J107,IF(ISNUMBER($I107),$I107,"")))</f>
        <v>346.510204081633</v>
      </c>
      <c r="L107" s="40" t="n">
        <f aca="false">IF(ISNUMBER($K107),$K107*$H107,"")</f>
        <v>62.3718367346939</v>
      </c>
      <c r="M107" s="40" t="n">
        <f aca="false">IF(ISNUMBER($K107),$K107*Parâmetros!$B$9,"")</f>
        <v>34.6510204081633</v>
      </c>
      <c r="N107" s="40" t="n">
        <f aca="false">IF(ISNUMBER($K107),$K107*Parâmetros!$C$9,"")</f>
        <v>10.395306122449</v>
      </c>
      <c r="O107" s="40" t="n">
        <f aca="false">IF(ISNUMBER($K107),IF(ISNUMBER(Parâmetros!$E$9),Parâmetros!$E$9,0),"")</f>
        <v>0</v>
      </c>
      <c r="P107" s="41" t="n">
        <f aca="false">IF(ISNUMBER($K107),$K107-$D107-IF(ISNUMBER($E107),$E107,0)-$L107-$M107-$N107-$O107,"")</f>
        <v>69.3020408163265</v>
      </c>
      <c r="Q107" s="42" t="n">
        <f aca="false">IF(AND(ISNUMBER($K107),$K107&gt;0),$P107/$K107,"")</f>
        <v>0.2</v>
      </c>
      <c r="R107" s="43"/>
      <c r="S107" s="44" t="str">
        <f aca="false">IF(OR(NOT(ISNUMBER($R107)),$R107=0,NOT(ISNUMBER($K107))),"",$K107*(1-$R107))</f>
        <v/>
      </c>
      <c r="T107" s="45" t="str">
        <f aca="false">IF(ISNUMBER($S107),$S107*$H107,"")</f>
        <v/>
      </c>
      <c r="U107" s="45" t="str">
        <f aca="false">IF(ISNUMBER($S107),$S107*Parâmetros!$B$9,"")</f>
        <v/>
      </c>
      <c r="V107" s="45" t="str">
        <f aca="false">IF(ISNUMBER($S107),$S107*Parâmetros!$C$9,"")</f>
        <v/>
      </c>
      <c r="W107" s="44" t="str">
        <f aca="false">IF(ISNUMBER($S107),$S107-$D107-IF(ISNUMBER($E107),$E107,0)-$O107-$T107-$U107-$V107,"")</f>
        <v/>
      </c>
      <c r="X107" s="46" t="str">
        <f aca="false">IF(AND(ISNUMBER($S107),$S107&gt;0),$W107/$S107,"")</f>
        <v/>
      </c>
      <c r="Y107" s="49"/>
      <c r="Z107" s="21"/>
    </row>
    <row r="108" customFormat="false" ht="15.75" hidden="false" customHeight="true" outlineLevel="0" collapsed="false">
      <c r="A108" s="32" t="str">
        <f aca="false">IF(Produtos!$A108="","",Produtos!$A108)</f>
        <v>L2470-BC</v>
      </c>
      <c r="B108" s="32" t="str">
        <f aca="false">IF(Produtos!$A108="","",Produtos!$B108)</f>
        <v>Lixeira de Aço inox 24x70 30L c/Aro basculante colorido</v>
      </c>
      <c r="C108" s="32" t="str">
        <f aca="false">IF(Produtos!$A108="","",Produtos!$C108)</f>
        <v>Lixeiras em inox</v>
      </c>
      <c r="D108" s="33" t="n">
        <f aca="false">IF(Produtos!$A108="","",IF(Produtos!$D108="","",Produtos!$D108))</f>
        <v>235.59</v>
      </c>
      <c r="E108" s="11" t="n">
        <v>0</v>
      </c>
      <c r="F108" s="34" t="n">
        <f aca="false">IF($A108="","",IF($C108="","⚠ categoria",IFERROR(INDEX(Parâmetros!$G$13:$G$22,MATCH($C108,Parâmetros!$A$13:$A$22,0)),"⚠ categoria")))</f>
        <v>0.18</v>
      </c>
      <c r="G108" s="35"/>
      <c r="H108" s="36" t="n">
        <f aca="false">IF($A108="","",IF(ISNUMBER($G108),$G108,IF(ISNUMBER($F108),$F108,"")))</f>
        <v>0.18</v>
      </c>
      <c r="I108" s="37" t="n">
        <f aca="false">IF(OR($A108="",NOT(ISNUMBER($D108)),NOT(ISNUMBER($H108))),"",IF((1-$H108-Parâmetros!$B$9-Parâmetros!$C$9-Parâmetros!$D$9)&lt;=0,"INVALIDO",($D108+IF(ISNUMBER($E108),$E108,0)+IF(ISNUMBER(Parâmetros!$E$9),Parâmetros!$E$9,0))/(1-$H108-Parâmetros!$B$9-Parâmetros!$C$9-Parâmetros!$D$9)))</f>
        <v>480.795918367347</v>
      </c>
      <c r="J108" s="38"/>
      <c r="K108" s="39" t="n">
        <f aca="false">IF(OR($A108="",NOT(ISNUMBER($D108)),NOT(ISNUMBER($H108))),"",IF(AND(ISNUMBER($J108),$J108&gt;0),$J108,IF(ISNUMBER($I108),$I108,"")))</f>
        <v>480.795918367347</v>
      </c>
      <c r="L108" s="40" t="n">
        <f aca="false">IF(ISNUMBER($K108),$K108*$H108,"")</f>
        <v>86.5432653061225</v>
      </c>
      <c r="M108" s="40" t="n">
        <f aca="false">IF(ISNUMBER($K108),$K108*Parâmetros!$B$9,"")</f>
        <v>48.0795918367347</v>
      </c>
      <c r="N108" s="40" t="n">
        <f aca="false">IF(ISNUMBER($K108),$K108*Parâmetros!$C$9,"")</f>
        <v>14.4238775510204</v>
      </c>
      <c r="O108" s="40" t="n">
        <f aca="false">IF(ISNUMBER($K108),IF(ISNUMBER(Parâmetros!$E$9),Parâmetros!$E$9,0),"")</f>
        <v>0</v>
      </c>
      <c r="P108" s="41" t="n">
        <f aca="false">IF(ISNUMBER($K108),$K108-$D108-IF(ISNUMBER($E108),$E108,0)-$L108-$M108-$N108-$O108,"")</f>
        <v>96.1591836734694</v>
      </c>
      <c r="Q108" s="42" t="n">
        <f aca="false">IF(AND(ISNUMBER($K108),$K108&gt;0),$P108/$K108,"")</f>
        <v>0.2</v>
      </c>
      <c r="R108" s="43"/>
      <c r="S108" s="44" t="str">
        <f aca="false">IF(OR(NOT(ISNUMBER($R108)),$R108=0,NOT(ISNUMBER($K108))),"",$K108*(1-$R108))</f>
        <v/>
      </c>
      <c r="T108" s="45" t="str">
        <f aca="false">IF(ISNUMBER($S108),$S108*$H108,"")</f>
        <v/>
      </c>
      <c r="U108" s="45" t="str">
        <f aca="false">IF(ISNUMBER($S108),$S108*Parâmetros!$B$9,"")</f>
        <v/>
      </c>
      <c r="V108" s="45" t="str">
        <f aca="false">IF(ISNUMBER($S108),$S108*Parâmetros!$C$9,"")</f>
        <v/>
      </c>
      <c r="W108" s="44" t="str">
        <f aca="false">IF(ISNUMBER($S108),$S108-$D108-IF(ISNUMBER($E108),$E108,0)-$O108-$T108-$U108-$V108,"")</f>
        <v/>
      </c>
      <c r="X108" s="46" t="str">
        <f aca="false">IF(AND(ISNUMBER($S108),$S108&gt;0),$W108/$S108,"")</f>
        <v/>
      </c>
      <c r="Y108" s="47"/>
      <c r="Z108" s="19"/>
    </row>
    <row r="109" customFormat="false" ht="15.75" hidden="false" customHeight="true" outlineLevel="0" collapsed="false">
      <c r="A109" s="48" t="str">
        <f aca="false">IF(Produtos!$A109="","",Produtos!$A109)</f>
        <v>L3040-BC</v>
      </c>
      <c r="B109" s="48" t="str">
        <f aca="false">IF(Produtos!$A109="","",Produtos!$B109)</f>
        <v>Lixeira de Aço inox 30x40 30L c/Aro basculante colorido</v>
      </c>
      <c r="C109" s="48" t="str">
        <f aca="false">IF(Produtos!$A109="","",Produtos!$C109)</f>
        <v>Lixeiras em inox</v>
      </c>
      <c r="D109" s="33" t="n">
        <f aca="false">IF(Produtos!$A109="","",IF(Produtos!$D109="","",Produtos!$D109))</f>
        <v>193.14</v>
      </c>
      <c r="E109" s="11" t="n">
        <v>0</v>
      </c>
      <c r="F109" s="34" t="n">
        <f aca="false">IF($A109="","",IF($C109="","⚠ categoria",IFERROR(INDEX(Parâmetros!$G$13:$G$22,MATCH($C109,Parâmetros!$A$13:$A$22,0)),"⚠ categoria")))</f>
        <v>0.18</v>
      </c>
      <c r="G109" s="35"/>
      <c r="H109" s="36" t="n">
        <f aca="false">IF($A109="","",IF(ISNUMBER($G109),$G109,IF(ISNUMBER($F109),$F109,"")))</f>
        <v>0.18</v>
      </c>
      <c r="I109" s="37" t="n">
        <f aca="false">IF(OR($A109="",NOT(ISNUMBER($D109)),NOT(ISNUMBER($H109))),"",IF((1-$H109-Parâmetros!$B$9-Parâmetros!$C$9-Parâmetros!$D$9)&lt;=0,"INVALIDO",($D109+IF(ISNUMBER($E109),$E109,0)+IF(ISNUMBER(Parâmetros!$E$9),Parâmetros!$E$9,0))/(1-$H109-Parâmetros!$B$9-Parâmetros!$C$9-Parâmetros!$D$9)))</f>
        <v>394.163265306122</v>
      </c>
      <c r="J109" s="38"/>
      <c r="K109" s="39" t="n">
        <f aca="false">IF(OR($A109="",NOT(ISNUMBER($D109)),NOT(ISNUMBER($H109))),"",IF(AND(ISNUMBER($J109),$J109&gt;0),$J109,IF(ISNUMBER($I109),$I109,"")))</f>
        <v>394.163265306122</v>
      </c>
      <c r="L109" s="40" t="n">
        <f aca="false">IF(ISNUMBER($K109),$K109*$H109,"")</f>
        <v>70.949387755102</v>
      </c>
      <c r="M109" s="40" t="n">
        <f aca="false">IF(ISNUMBER($K109),$K109*Parâmetros!$B$9,"")</f>
        <v>39.4163265306122</v>
      </c>
      <c r="N109" s="40" t="n">
        <f aca="false">IF(ISNUMBER($K109),$K109*Parâmetros!$C$9,"")</f>
        <v>11.8248979591837</v>
      </c>
      <c r="O109" s="40" t="n">
        <f aca="false">IF(ISNUMBER($K109),IF(ISNUMBER(Parâmetros!$E$9),Parâmetros!$E$9,0),"")</f>
        <v>0</v>
      </c>
      <c r="P109" s="41" t="n">
        <f aca="false">IF(ISNUMBER($K109),$K109-$D109-IF(ISNUMBER($E109),$E109,0)-$L109-$M109-$N109-$O109,"")</f>
        <v>78.8326530612245</v>
      </c>
      <c r="Q109" s="42" t="n">
        <f aca="false">IF(AND(ISNUMBER($K109),$K109&gt;0),$P109/$K109,"")</f>
        <v>0.2</v>
      </c>
      <c r="R109" s="43"/>
      <c r="S109" s="44" t="str">
        <f aca="false">IF(OR(NOT(ISNUMBER($R109)),$R109=0,NOT(ISNUMBER($K109))),"",$K109*(1-$R109))</f>
        <v/>
      </c>
      <c r="T109" s="45" t="str">
        <f aca="false">IF(ISNUMBER($S109),$S109*$H109,"")</f>
        <v/>
      </c>
      <c r="U109" s="45" t="str">
        <f aca="false">IF(ISNUMBER($S109),$S109*Parâmetros!$B$9,"")</f>
        <v/>
      </c>
      <c r="V109" s="45" t="str">
        <f aca="false">IF(ISNUMBER($S109),$S109*Parâmetros!$C$9,"")</f>
        <v/>
      </c>
      <c r="W109" s="44" t="str">
        <f aca="false">IF(ISNUMBER($S109),$S109-$D109-IF(ISNUMBER($E109),$E109,0)-$O109-$T109-$U109-$V109,"")</f>
        <v/>
      </c>
      <c r="X109" s="46" t="str">
        <f aca="false">IF(AND(ISNUMBER($S109),$S109&gt;0),$W109/$S109,"")</f>
        <v/>
      </c>
      <c r="Y109" s="49"/>
      <c r="Z109" s="21"/>
    </row>
    <row r="110" customFormat="false" ht="15.75" hidden="false" customHeight="true" outlineLevel="0" collapsed="false">
      <c r="A110" s="32" t="str">
        <f aca="false">IF(Produtos!$A110="","",Produtos!$A110)</f>
        <v>L3050-BC</v>
      </c>
      <c r="B110" s="32" t="str">
        <f aca="false">IF(Produtos!$A110="","",Produtos!$B110)</f>
        <v>Lixeira de Aço inox 30x50 35L c/Aro basculante colorido</v>
      </c>
      <c r="C110" s="32" t="str">
        <f aca="false">IF(Produtos!$A110="","",Produtos!$C110)</f>
        <v>Lixeiras em inox</v>
      </c>
      <c r="D110" s="33" t="n">
        <f aca="false">IF(Produtos!$A110="","",IF(Produtos!$D110="","",Produtos!$D110))</f>
        <v>237.59</v>
      </c>
      <c r="E110" s="11" t="n">
        <v>0</v>
      </c>
      <c r="F110" s="34" t="n">
        <f aca="false">IF($A110="","",IF($C110="","⚠ categoria",IFERROR(INDEX(Parâmetros!$G$13:$G$22,MATCH($C110,Parâmetros!$A$13:$A$22,0)),"⚠ categoria")))</f>
        <v>0.18</v>
      </c>
      <c r="G110" s="35"/>
      <c r="H110" s="36" t="n">
        <f aca="false">IF($A110="","",IF(ISNUMBER($G110),$G110,IF(ISNUMBER($F110),$F110,"")))</f>
        <v>0.18</v>
      </c>
      <c r="I110" s="37" t="n">
        <f aca="false">IF(OR($A110="",NOT(ISNUMBER($D110)),NOT(ISNUMBER($H110))),"",IF((1-$H110-Parâmetros!$B$9-Parâmetros!$C$9-Parâmetros!$D$9)&lt;=0,"INVALIDO",($D110+IF(ISNUMBER($E110),$E110,0)+IF(ISNUMBER(Parâmetros!$E$9),Parâmetros!$E$9,0))/(1-$H110-Parâmetros!$B$9-Parâmetros!$C$9-Parâmetros!$D$9)))</f>
        <v>484.877551020408</v>
      </c>
      <c r="J110" s="38"/>
      <c r="K110" s="39" t="n">
        <f aca="false">IF(OR($A110="",NOT(ISNUMBER($D110)),NOT(ISNUMBER($H110))),"",IF(AND(ISNUMBER($J110),$J110&gt;0),$J110,IF(ISNUMBER($I110),$I110,"")))</f>
        <v>484.877551020408</v>
      </c>
      <c r="L110" s="40" t="n">
        <f aca="false">IF(ISNUMBER($K110),$K110*$H110,"")</f>
        <v>87.2779591836735</v>
      </c>
      <c r="M110" s="40" t="n">
        <f aca="false">IF(ISNUMBER($K110),$K110*Parâmetros!$B$9,"")</f>
        <v>48.4877551020408</v>
      </c>
      <c r="N110" s="40" t="n">
        <f aca="false">IF(ISNUMBER($K110),$K110*Parâmetros!$C$9,"")</f>
        <v>14.5463265306122</v>
      </c>
      <c r="O110" s="40" t="n">
        <f aca="false">IF(ISNUMBER($K110),IF(ISNUMBER(Parâmetros!$E$9),Parâmetros!$E$9,0),"")</f>
        <v>0</v>
      </c>
      <c r="P110" s="41" t="n">
        <f aca="false">IF(ISNUMBER($K110),$K110-$D110-IF(ISNUMBER($E110),$E110,0)-$L110-$M110-$N110-$O110,"")</f>
        <v>96.9755102040816</v>
      </c>
      <c r="Q110" s="42" t="n">
        <f aca="false">IF(AND(ISNUMBER($K110),$K110&gt;0),$P110/$K110,"")</f>
        <v>0.2</v>
      </c>
      <c r="R110" s="43"/>
      <c r="S110" s="44" t="str">
        <f aca="false">IF(OR(NOT(ISNUMBER($R110)),$R110=0,NOT(ISNUMBER($K110))),"",$K110*(1-$R110))</f>
        <v/>
      </c>
      <c r="T110" s="45" t="str">
        <f aca="false">IF(ISNUMBER($S110),$S110*$H110,"")</f>
        <v/>
      </c>
      <c r="U110" s="45" t="str">
        <f aca="false">IF(ISNUMBER($S110),$S110*Parâmetros!$B$9,"")</f>
        <v/>
      </c>
      <c r="V110" s="45" t="str">
        <f aca="false">IF(ISNUMBER($S110),$S110*Parâmetros!$C$9,"")</f>
        <v/>
      </c>
      <c r="W110" s="44" t="str">
        <f aca="false">IF(ISNUMBER($S110),$S110-$D110-IF(ISNUMBER($E110),$E110,0)-$O110-$T110-$U110-$V110,"")</f>
        <v/>
      </c>
      <c r="X110" s="46" t="str">
        <f aca="false">IF(AND(ISNUMBER($S110),$S110&gt;0),$W110/$S110,"")</f>
        <v/>
      </c>
      <c r="Y110" s="47"/>
      <c r="Z110" s="19"/>
    </row>
    <row r="111" customFormat="false" ht="15.75" hidden="false" customHeight="true" outlineLevel="0" collapsed="false">
      <c r="A111" s="48" t="str">
        <f aca="false">IF(Produtos!$A111="","",Produtos!$A111)</f>
        <v>L3060-BC</v>
      </c>
      <c r="B111" s="48" t="str">
        <f aca="false">IF(Produtos!$A111="","",Produtos!$B111)</f>
        <v>Lixeira de Aço inox 30x60 40L c/Aro basculante colorido</v>
      </c>
      <c r="C111" s="48" t="str">
        <f aca="false">IF(Produtos!$A111="","",Produtos!$C111)</f>
        <v>Lixeiras em inox</v>
      </c>
      <c r="D111" s="33" t="n">
        <f aca="false">IF(Produtos!$A111="","",IF(Produtos!$D111="","",Produtos!$D111))</f>
        <v>258.38</v>
      </c>
      <c r="E111" s="11" t="n">
        <v>0</v>
      </c>
      <c r="F111" s="34" t="n">
        <f aca="false">IF($A111="","",IF($C111="","⚠ categoria",IFERROR(INDEX(Parâmetros!$G$13:$G$22,MATCH($C111,Parâmetros!$A$13:$A$22,0)),"⚠ categoria")))</f>
        <v>0.18</v>
      </c>
      <c r="G111" s="35"/>
      <c r="H111" s="36" t="n">
        <f aca="false">IF($A111="","",IF(ISNUMBER($G111),$G111,IF(ISNUMBER($F111),$F111,"")))</f>
        <v>0.18</v>
      </c>
      <c r="I111" s="37" t="n">
        <f aca="false">IF(OR($A111="",NOT(ISNUMBER($D111)),NOT(ISNUMBER($H111))),"",IF((1-$H111-Parâmetros!$B$9-Parâmetros!$C$9-Parâmetros!$D$9)&lt;=0,"INVALIDO",($D111+IF(ISNUMBER($E111),$E111,0)+IF(ISNUMBER(Parâmetros!$E$9),Parâmetros!$E$9,0))/(1-$H111-Parâmetros!$B$9-Parâmetros!$C$9-Parâmetros!$D$9)))</f>
        <v>527.30612244898</v>
      </c>
      <c r="J111" s="38"/>
      <c r="K111" s="39" t="n">
        <f aca="false">IF(OR($A111="",NOT(ISNUMBER($D111)),NOT(ISNUMBER($H111))),"",IF(AND(ISNUMBER($J111),$J111&gt;0),$J111,IF(ISNUMBER($I111),$I111,"")))</f>
        <v>527.30612244898</v>
      </c>
      <c r="L111" s="40" t="n">
        <f aca="false">IF(ISNUMBER($K111),$K111*$H111,"")</f>
        <v>94.9151020408163</v>
      </c>
      <c r="M111" s="40" t="n">
        <f aca="false">IF(ISNUMBER($K111),$K111*Parâmetros!$B$9,"")</f>
        <v>52.730612244898</v>
      </c>
      <c r="N111" s="40" t="n">
        <f aca="false">IF(ISNUMBER($K111),$K111*Parâmetros!$C$9,"")</f>
        <v>15.8191836734694</v>
      </c>
      <c r="O111" s="40" t="n">
        <f aca="false">IF(ISNUMBER($K111),IF(ISNUMBER(Parâmetros!$E$9),Parâmetros!$E$9,0),"")</f>
        <v>0</v>
      </c>
      <c r="P111" s="41" t="n">
        <f aca="false">IF(ISNUMBER($K111),$K111-$D111-IF(ISNUMBER($E111),$E111,0)-$L111-$M111-$N111-$O111,"")</f>
        <v>105.461224489796</v>
      </c>
      <c r="Q111" s="42" t="n">
        <f aca="false">IF(AND(ISNUMBER($K111),$K111&gt;0),$P111/$K111,"")</f>
        <v>0.2</v>
      </c>
      <c r="R111" s="43"/>
      <c r="S111" s="44" t="str">
        <f aca="false">IF(OR(NOT(ISNUMBER($R111)),$R111=0,NOT(ISNUMBER($K111))),"",$K111*(1-$R111))</f>
        <v/>
      </c>
      <c r="T111" s="45" t="str">
        <f aca="false">IF(ISNUMBER($S111),$S111*$H111,"")</f>
        <v/>
      </c>
      <c r="U111" s="45" t="str">
        <f aca="false">IF(ISNUMBER($S111),$S111*Parâmetros!$B$9,"")</f>
        <v/>
      </c>
      <c r="V111" s="45" t="str">
        <f aca="false">IF(ISNUMBER($S111),$S111*Parâmetros!$C$9,"")</f>
        <v/>
      </c>
      <c r="W111" s="44" t="str">
        <f aca="false">IF(ISNUMBER($S111),$S111-$D111-IF(ISNUMBER($E111),$E111,0)-$O111-$T111-$U111-$V111,"")</f>
        <v/>
      </c>
      <c r="X111" s="46" t="str">
        <f aca="false">IF(AND(ISNUMBER($S111),$S111&gt;0),$W111/$S111,"")</f>
        <v/>
      </c>
      <c r="Y111" s="49"/>
      <c r="Z111" s="21"/>
    </row>
    <row r="112" customFormat="false" ht="15.75" hidden="false" customHeight="true" outlineLevel="0" collapsed="false">
      <c r="A112" s="32" t="str">
        <f aca="false">IF(Produtos!$A112="","",Produtos!$A112)</f>
        <v>L3070-BC</v>
      </c>
      <c r="B112" s="32" t="str">
        <f aca="false">IF(Produtos!$A112="","",Produtos!$B112)</f>
        <v>Lixeira de Aço inox 30x70 50L c/Aro basculante colorido</v>
      </c>
      <c r="C112" s="32" t="str">
        <f aca="false">IF(Produtos!$A112="","",Produtos!$C112)</f>
        <v>Lixeiras em inox</v>
      </c>
      <c r="D112" s="33" t="n">
        <f aca="false">IF(Produtos!$A112="","",IF(Produtos!$D112="","",Produtos!$D112))</f>
        <v>300.03</v>
      </c>
      <c r="E112" s="11" t="n">
        <v>0</v>
      </c>
      <c r="F112" s="34" t="n">
        <f aca="false">IF($A112="","",IF($C112="","⚠ categoria",IFERROR(INDEX(Parâmetros!$G$13:$G$22,MATCH($C112,Parâmetros!$A$13:$A$22,0)),"⚠ categoria")))</f>
        <v>0.18</v>
      </c>
      <c r="G112" s="35"/>
      <c r="H112" s="36" t="n">
        <f aca="false">IF($A112="","",IF(ISNUMBER($G112),$G112,IF(ISNUMBER($F112),$F112,"")))</f>
        <v>0.18</v>
      </c>
      <c r="I112" s="37" t="n">
        <f aca="false">IF(OR($A112="",NOT(ISNUMBER($D112)),NOT(ISNUMBER($H112))),"",IF((1-$H112-Parâmetros!$B$9-Parâmetros!$C$9-Parâmetros!$D$9)&lt;=0,"INVALIDO",($D112+IF(ISNUMBER($E112),$E112,0)+IF(ISNUMBER(Parâmetros!$E$9),Parâmetros!$E$9,0))/(1-$H112-Parâmetros!$B$9-Parâmetros!$C$9-Parâmetros!$D$9)))</f>
        <v>612.30612244898</v>
      </c>
      <c r="J112" s="38"/>
      <c r="K112" s="39" t="n">
        <f aca="false">IF(OR($A112="",NOT(ISNUMBER($D112)),NOT(ISNUMBER($H112))),"",IF(AND(ISNUMBER($J112),$J112&gt;0),$J112,IF(ISNUMBER($I112),$I112,"")))</f>
        <v>612.30612244898</v>
      </c>
      <c r="L112" s="40" t="n">
        <f aca="false">IF(ISNUMBER($K112),$K112*$H112,"")</f>
        <v>110.215102040816</v>
      </c>
      <c r="M112" s="40" t="n">
        <f aca="false">IF(ISNUMBER($K112),$K112*Parâmetros!$B$9,"")</f>
        <v>61.230612244898</v>
      </c>
      <c r="N112" s="40" t="n">
        <f aca="false">IF(ISNUMBER($K112),$K112*Parâmetros!$C$9,"")</f>
        <v>18.3691836734694</v>
      </c>
      <c r="O112" s="40" t="n">
        <f aca="false">IF(ISNUMBER($K112),IF(ISNUMBER(Parâmetros!$E$9),Parâmetros!$E$9,0),"")</f>
        <v>0</v>
      </c>
      <c r="P112" s="41" t="n">
        <f aca="false">IF(ISNUMBER($K112),$K112-$D112-IF(ISNUMBER($E112),$E112,0)-$L112-$M112-$N112-$O112,"")</f>
        <v>122.461224489796</v>
      </c>
      <c r="Q112" s="42" t="n">
        <f aca="false">IF(AND(ISNUMBER($K112),$K112&gt;0),$P112/$K112,"")</f>
        <v>0.2</v>
      </c>
      <c r="R112" s="43"/>
      <c r="S112" s="44" t="str">
        <f aca="false">IF(OR(NOT(ISNUMBER($R112)),$R112=0,NOT(ISNUMBER($K112))),"",$K112*(1-$R112))</f>
        <v/>
      </c>
      <c r="T112" s="45" t="str">
        <f aca="false">IF(ISNUMBER($S112),$S112*$H112,"")</f>
        <v/>
      </c>
      <c r="U112" s="45" t="str">
        <f aca="false">IF(ISNUMBER($S112),$S112*Parâmetros!$B$9,"")</f>
        <v/>
      </c>
      <c r="V112" s="45" t="str">
        <f aca="false">IF(ISNUMBER($S112),$S112*Parâmetros!$C$9,"")</f>
        <v/>
      </c>
      <c r="W112" s="44" t="str">
        <f aca="false">IF(ISNUMBER($S112),$S112-$D112-IF(ISNUMBER($E112),$E112,0)-$O112-$T112-$U112-$V112,"")</f>
        <v/>
      </c>
      <c r="X112" s="46" t="str">
        <f aca="false">IF(AND(ISNUMBER($S112),$S112&gt;0),$W112/$S112,"")</f>
        <v/>
      </c>
      <c r="Y112" s="47"/>
      <c r="Z112" s="19"/>
    </row>
    <row r="113" customFormat="false" ht="15.75" hidden="false" customHeight="true" outlineLevel="0" collapsed="false">
      <c r="A113" s="48" t="str">
        <f aca="false">IF(Produtos!$A113="","",Produtos!$A113)</f>
        <v>L3085-BC</v>
      </c>
      <c r="B113" s="48" t="str">
        <f aca="false">IF(Produtos!$A113="","",Produtos!$B113)</f>
        <v>Lixeira de Aço inox 30x85 60L c/Aro basculante colorido</v>
      </c>
      <c r="C113" s="48" t="str">
        <f aca="false">IF(Produtos!$A113="","",Produtos!$C113)</f>
        <v>Lixeiras em inox</v>
      </c>
      <c r="D113" s="33" t="n">
        <f aca="false">IF(Produtos!$A113="","",IF(Produtos!$D113="","",Produtos!$D113))</f>
        <v>363.87</v>
      </c>
      <c r="E113" s="11" t="n">
        <v>0</v>
      </c>
      <c r="F113" s="34" t="n">
        <f aca="false">IF($A113="","",IF($C113="","⚠ categoria",IFERROR(INDEX(Parâmetros!$G$13:$G$22,MATCH($C113,Parâmetros!$A$13:$A$22,0)),"⚠ categoria")))</f>
        <v>0.18</v>
      </c>
      <c r="G113" s="35"/>
      <c r="H113" s="36" t="n">
        <f aca="false">IF($A113="","",IF(ISNUMBER($G113),$G113,IF(ISNUMBER($F113),$F113,"")))</f>
        <v>0.18</v>
      </c>
      <c r="I113" s="37" t="n">
        <f aca="false">IF(OR($A113="",NOT(ISNUMBER($D113)),NOT(ISNUMBER($H113))),"",IF((1-$H113-Parâmetros!$B$9-Parâmetros!$C$9-Parâmetros!$D$9)&lt;=0,"INVALIDO",($D113+IF(ISNUMBER($E113),$E113,0)+IF(ISNUMBER(Parâmetros!$E$9),Parâmetros!$E$9,0))/(1-$H113-Parâmetros!$B$9-Parâmetros!$C$9-Parâmetros!$D$9)))</f>
        <v>742.591836734694</v>
      </c>
      <c r="J113" s="38"/>
      <c r="K113" s="39" t="n">
        <f aca="false">IF(OR($A113="",NOT(ISNUMBER($D113)),NOT(ISNUMBER($H113))),"",IF(AND(ISNUMBER($J113),$J113&gt;0),$J113,IF(ISNUMBER($I113),$I113,"")))</f>
        <v>742.591836734694</v>
      </c>
      <c r="L113" s="40" t="n">
        <f aca="false">IF(ISNUMBER($K113),$K113*$H113,"")</f>
        <v>133.666530612245</v>
      </c>
      <c r="M113" s="40" t="n">
        <f aca="false">IF(ISNUMBER($K113),$K113*Parâmetros!$B$9,"")</f>
        <v>74.2591836734694</v>
      </c>
      <c r="N113" s="40" t="n">
        <f aca="false">IF(ISNUMBER($K113),$K113*Parâmetros!$C$9,"")</f>
        <v>22.2777551020408</v>
      </c>
      <c r="O113" s="40" t="n">
        <f aca="false">IF(ISNUMBER($K113),IF(ISNUMBER(Parâmetros!$E$9),Parâmetros!$E$9,0),"")</f>
        <v>0</v>
      </c>
      <c r="P113" s="41" t="n">
        <f aca="false">IF(ISNUMBER($K113),$K113-$D113-IF(ISNUMBER($E113),$E113,0)-$L113-$M113-$N113-$O113,"")</f>
        <v>148.518367346939</v>
      </c>
      <c r="Q113" s="42" t="n">
        <f aca="false">IF(AND(ISNUMBER($K113),$K113&gt;0),$P113/$K113,"")</f>
        <v>0.2</v>
      </c>
      <c r="R113" s="43"/>
      <c r="S113" s="44" t="str">
        <f aca="false">IF(OR(NOT(ISNUMBER($R113)),$R113=0,NOT(ISNUMBER($K113))),"",$K113*(1-$R113))</f>
        <v/>
      </c>
      <c r="T113" s="45" t="str">
        <f aca="false">IF(ISNUMBER($S113),$S113*$H113,"")</f>
        <v/>
      </c>
      <c r="U113" s="45" t="str">
        <f aca="false">IF(ISNUMBER($S113),$S113*Parâmetros!$B$9,"")</f>
        <v/>
      </c>
      <c r="V113" s="45" t="str">
        <f aca="false">IF(ISNUMBER($S113),$S113*Parâmetros!$C$9,"")</f>
        <v/>
      </c>
      <c r="W113" s="44" t="str">
        <f aca="false">IF(ISNUMBER($S113),$S113-$D113-IF(ISNUMBER($E113),$E113,0)-$O113-$T113-$U113-$V113,"")</f>
        <v/>
      </c>
      <c r="X113" s="46" t="str">
        <f aca="false">IF(AND(ISNUMBER($S113),$S113&gt;0),$W113/$S113,"")</f>
        <v/>
      </c>
      <c r="Y113" s="49"/>
      <c r="Z113" s="21"/>
    </row>
    <row r="114" customFormat="false" ht="15.75" hidden="false" customHeight="true" outlineLevel="0" collapsed="false">
      <c r="A114" s="32" t="str">
        <f aca="false">IF(Produtos!$A114="","",Produtos!$A114)</f>
        <v>L4050-BC</v>
      </c>
      <c r="B114" s="32" t="str">
        <f aca="false">IF(Produtos!$A114="","",Produtos!$B114)</f>
        <v>Lixeira de Aço inox 40x50 62L c/Aro basculante colorido</v>
      </c>
      <c r="C114" s="32" t="str">
        <f aca="false">IF(Produtos!$A114="","",Produtos!$C114)</f>
        <v>Lixeiras em inox</v>
      </c>
      <c r="D114" s="33" t="n">
        <f aca="false">IF(Produtos!$A114="","",IF(Produtos!$D114="","",Produtos!$D114))</f>
        <v>372.71</v>
      </c>
      <c r="E114" s="11" t="n">
        <v>0</v>
      </c>
      <c r="F114" s="34" t="n">
        <f aca="false">IF($A114="","",IF($C114="","⚠ categoria",IFERROR(INDEX(Parâmetros!$G$13:$G$22,MATCH($C114,Parâmetros!$A$13:$A$22,0)),"⚠ categoria")))</f>
        <v>0.18</v>
      </c>
      <c r="G114" s="35"/>
      <c r="H114" s="36" t="n">
        <f aca="false">IF($A114="","",IF(ISNUMBER($G114),$G114,IF(ISNUMBER($F114),$F114,"")))</f>
        <v>0.18</v>
      </c>
      <c r="I114" s="37" t="n">
        <f aca="false">IF(OR($A114="",NOT(ISNUMBER($D114)),NOT(ISNUMBER($H114))),"",IF((1-$H114-Parâmetros!$B$9-Parâmetros!$C$9-Parâmetros!$D$9)&lt;=0,"INVALIDO",($D114+IF(ISNUMBER($E114),$E114,0)+IF(ISNUMBER(Parâmetros!$E$9),Parâmetros!$E$9,0))/(1-$H114-Parâmetros!$B$9-Parâmetros!$C$9-Parâmetros!$D$9)))</f>
        <v>760.632653061224</v>
      </c>
      <c r="J114" s="38"/>
      <c r="K114" s="39" t="n">
        <f aca="false">IF(OR($A114="",NOT(ISNUMBER($D114)),NOT(ISNUMBER($H114))),"",IF(AND(ISNUMBER($J114),$J114&gt;0),$J114,IF(ISNUMBER($I114),$I114,"")))</f>
        <v>760.632653061224</v>
      </c>
      <c r="L114" s="40" t="n">
        <f aca="false">IF(ISNUMBER($K114),$K114*$H114,"")</f>
        <v>136.91387755102</v>
      </c>
      <c r="M114" s="40" t="n">
        <f aca="false">IF(ISNUMBER($K114),$K114*Parâmetros!$B$9,"")</f>
        <v>76.0632653061224</v>
      </c>
      <c r="N114" s="40" t="n">
        <f aca="false">IF(ISNUMBER($K114),$K114*Parâmetros!$C$9,"")</f>
        <v>22.8189795918367</v>
      </c>
      <c r="O114" s="40" t="n">
        <f aca="false">IF(ISNUMBER($K114),IF(ISNUMBER(Parâmetros!$E$9),Parâmetros!$E$9,0),"")</f>
        <v>0</v>
      </c>
      <c r="P114" s="41" t="n">
        <f aca="false">IF(ISNUMBER($K114),$K114-$D114-IF(ISNUMBER($E114),$E114,0)-$L114-$M114-$N114-$O114,"")</f>
        <v>152.126530612245</v>
      </c>
      <c r="Q114" s="42" t="n">
        <f aca="false">IF(AND(ISNUMBER($K114),$K114&gt;0),$P114/$K114,"")</f>
        <v>0.2</v>
      </c>
      <c r="R114" s="43"/>
      <c r="S114" s="44" t="str">
        <f aca="false">IF(OR(NOT(ISNUMBER($R114)),$R114=0,NOT(ISNUMBER($K114))),"",$K114*(1-$R114))</f>
        <v/>
      </c>
      <c r="T114" s="45" t="str">
        <f aca="false">IF(ISNUMBER($S114),$S114*$H114,"")</f>
        <v/>
      </c>
      <c r="U114" s="45" t="str">
        <f aca="false">IF(ISNUMBER($S114),$S114*Parâmetros!$B$9,"")</f>
        <v/>
      </c>
      <c r="V114" s="45" t="str">
        <f aca="false">IF(ISNUMBER($S114),$S114*Parâmetros!$C$9,"")</f>
        <v/>
      </c>
      <c r="W114" s="44" t="str">
        <f aca="false">IF(ISNUMBER($S114),$S114-$D114-IF(ISNUMBER($E114),$E114,0)-$O114-$T114-$U114-$V114,"")</f>
        <v/>
      </c>
      <c r="X114" s="46" t="str">
        <f aca="false">IF(AND(ISNUMBER($S114),$S114&gt;0),$W114/$S114,"")</f>
        <v/>
      </c>
      <c r="Y114" s="47"/>
      <c r="Z114" s="19"/>
    </row>
    <row r="115" customFormat="false" ht="15.75" hidden="false" customHeight="true" outlineLevel="0" collapsed="false">
      <c r="A115" s="48" t="str">
        <f aca="false">IF(Produtos!$A115="","",Produtos!$A115)</f>
        <v>L4060-BC</v>
      </c>
      <c r="B115" s="48" t="str">
        <f aca="false">IF(Produtos!$A115="","",Produtos!$B115)</f>
        <v>Lixeira de Aço inox 40x60 75L c/Aro basculante colorido</v>
      </c>
      <c r="C115" s="48" t="str">
        <f aca="false">IF(Produtos!$A115="","",Produtos!$C115)</f>
        <v>Lixeiras em inox</v>
      </c>
      <c r="D115" s="33" t="n">
        <f aca="false">IF(Produtos!$A115="","",IF(Produtos!$D115="","",Produtos!$D115))</f>
        <v>389.53</v>
      </c>
      <c r="E115" s="11" t="n">
        <v>0</v>
      </c>
      <c r="F115" s="34" t="n">
        <f aca="false">IF($A115="","",IF($C115="","⚠ categoria",IFERROR(INDEX(Parâmetros!$G$13:$G$22,MATCH($C115,Parâmetros!$A$13:$A$22,0)),"⚠ categoria")))</f>
        <v>0.18</v>
      </c>
      <c r="G115" s="35"/>
      <c r="H115" s="36" t="n">
        <f aca="false">IF($A115="","",IF(ISNUMBER($G115),$G115,IF(ISNUMBER($F115),$F115,"")))</f>
        <v>0.18</v>
      </c>
      <c r="I115" s="37" t="n">
        <f aca="false">IF(OR($A115="",NOT(ISNUMBER($D115)),NOT(ISNUMBER($H115))),"",IF((1-$H115-Parâmetros!$B$9-Parâmetros!$C$9-Parâmetros!$D$9)&lt;=0,"INVALIDO",($D115+IF(ISNUMBER($E115),$E115,0)+IF(ISNUMBER(Parâmetros!$E$9),Parâmetros!$E$9,0))/(1-$H115-Parâmetros!$B$9-Parâmetros!$C$9-Parâmetros!$D$9)))</f>
        <v>794.959183673469</v>
      </c>
      <c r="J115" s="38"/>
      <c r="K115" s="39" t="n">
        <f aca="false">IF(OR($A115="",NOT(ISNUMBER($D115)),NOT(ISNUMBER($H115))),"",IF(AND(ISNUMBER($J115),$J115&gt;0),$J115,IF(ISNUMBER($I115),$I115,"")))</f>
        <v>794.959183673469</v>
      </c>
      <c r="L115" s="40" t="n">
        <f aca="false">IF(ISNUMBER($K115),$K115*$H115,"")</f>
        <v>143.092653061224</v>
      </c>
      <c r="M115" s="40" t="n">
        <f aca="false">IF(ISNUMBER($K115),$K115*Parâmetros!$B$9,"")</f>
        <v>79.4959183673469</v>
      </c>
      <c r="N115" s="40" t="n">
        <f aca="false">IF(ISNUMBER($K115),$K115*Parâmetros!$C$9,"")</f>
        <v>23.8487755102041</v>
      </c>
      <c r="O115" s="40" t="n">
        <f aca="false">IF(ISNUMBER($K115),IF(ISNUMBER(Parâmetros!$E$9),Parâmetros!$E$9,0),"")</f>
        <v>0</v>
      </c>
      <c r="P115" s="41" t="n">
        <f aca="false">IF(ISNUMBER($K115),$K115-$D115-IF(ISNUMBER($E115),$E115,0)-$L115-$M115-$N115-$O115,"")</f>
        <v>158.991836734694</v>
      </c>
      <c r="Q115" s="42" t="n">
        <f aca="false">IF(AND(ISNUMBER($K115),$K115&gt;0),$P115/$K115,"")</f>
        <v>0.2</v>
      </c>
      <c r="R115" s="43"/>
      <c r="S115" s="44" t="str">
        <f aca="false">IF(OR(NOT(ISNUMBER($R115)),$R115=0,NOT(ISNUMBER($K115))),"",$K115*(1-$R115))</f>
        <v/>
      </c>
      <c r="T115" s="45" t="str">
        <f aca="false">IF(ISNUMBER($S115),$S115*$H115,"")</f>
        <v/>
      </c>
      <c r="U115" s="45" t="str">
        <f aca="false">IF(ISNUMBER($S115),$S115*Parâmetros!$B$9,"")</f>
        <v/>
      </c>
      <c r="V115" s="45" t="str">
        <f aca="false">IF(ISNUMBER($S115),$S115*Parâmetros!$C$9,"")</f>
        <v/>
      </c>
      <c r="W115" s="44" t="str">
        <f aca="false">IF(ISNUMBER($S115),$S115-$D115-IF(ISNUMBER($E115),$E115,0)-$O115-$T115-$U115-$V115,"")</f>
        <v/>
      </c>
      <c r="X115" s="46" t="str">
        <f aca="false">IF(AND(ISNUMBER($S115),$S115&gt;0),$W115/$S115,"")</f>
        <v/>
      </c>
      <c r="Y115" s="49"/>
      <c r="Z115" s="21"/>
    </row>
    <row r="116" customFormat="false" ht="15.75" hidden="false" customHeight="true" outlineLevel="0" collapsed="false">
      <c r="A116" s="32" t="str">
        <f aca="false">IF(Produtos!$A116="","",Produtos!$A116)</f>
        <v>L4070-BC</v>
      </c>
      <c r="B116" s="32" t="str">
        <f aca="false">IF(Produtos!$A116="","",Produtos!$B116)</f>
        <v>Lixeira de Aço inox 40x70 88L c/Aro basculante colorido</v>
      </c>
      <c r="C116" s="32" t="str">
        <f aca="false">IF(Produtos!$A116="","",Produtos!$C116)</f>
        <v>Lixeiras em inox</v>
      </c>
      <c r="D116" s="33" t="n">
        <f aca="false">IF(Produtos!$A116="","",IF(Produtos!$D116="","",Produtos!$D116))</f>
        <v>391.36</v>
      </c>
      <c r="E116" s="11" t="n">
        <v>0</v>
      </c>
      <c r="F116" s="34" t="n">
        <f aca="false">IF($A116="","",IF($C116="","⚠ categoria",IFERROR(INDEX(Parâmetros!$G$13:$G$22,MATCH($C116,Parâmetros!$A$13:$A$22,0)),"⚠ categoria")))</f>
        <v>0.18</v>
      </c>
      <c r="G116" s="35"/>
      <c r="H116" s="36" t="n">
        <f aca="false">IF($A116="","",IF(ISNUMBER($G116),$G116,IF(ISNUMBER($F116),$F116,"")))</f>
        <v>0.18</v>
      </c>
      <c r="I116" s="37" t="n">
        <f aca="false">IF(OR($A116="",NOT(ISNUMBER($D116)),NOT(ISNUMBER($H116))),"",IF((1-$H116-Parâmetros!$B$9-Parâmetros!$C$9-Parâmetros!$D$9)&lt;=0,"INVALIDO",($D116+IF(ISNUMBER($E116),$E116,0)+IF(ISNUMBER(Parâmetros!$E$9),Parâmetros!$E$9,0))/(1-$H116-Parâmetros!$B$9-Parâmetros!$C$9-Parâmetros!$D$9)))</f>
        <v>798.69387755102</v>
      </c>
      <c r="J116" s="38"/>
      <c r="K116" s="39" t="n">
        <f aca="false">IF(OR($A116="",NOT(ISNUMBER($D116)),NOT(ISNUMBER($H116))),"",IF(AND(ISNUMBER($J116),$J116&gt;0),$J116,IF(ISNUMBER($I116),$I116,"")))</f>
        <v>798.69387755102</v>
      </c>
      <c r="L116" s="40" t="n">
        <f aca="false">IF(ISNUMBER($K116),$K116*$H116,"")</f>
        <v>143.764897959184</v>
      </c>
      <c r="M116" s="40" t="n">
        <f aca="false">IF(ISNUMBER($K116),$K116*Parâmetros!$B$9,"")</f>
        <v>79.869387755102</v>
      </c>
      <c r="N116" s="40" t="n">
        <f aca="false">IF(ISNUMBER($K116),$K116*Parâmetros!$C$9,"")</f>
        <v>23.9608163265306</v>
      </c>
      <c r="O116" s="40" t="n">
        <f aca="false">IF(ISNUMBER($K116),IF(ISNUMBER(Parâmetros!$E$9),Parâmetros!$E$9,0),"")</f>
        <v>0</v>
      </c>
      <c r="P116" s="41" t="n">
        <f aca="false">IF(ISNUMBER($K116),$K116-$D116-IF(ISNUMBER($E116),$E116,0)-$L116-$M116-$N116-$O116,"")</f>
        <v>159.738775510204</v>
      </c>
      <c r="Q116" s="42" t="n">
        <f aca="false">IF(AND(ISNUMBER($K116),$K116&gt;0),$P116/$K116,"")</f>
        <v>0.2</v>
      </c>
      <c r="R116" s="43"/>
      <c r="S116" s="44" t="str">
        <f aca="false">IF(OR(NOT(ISNUMBER($R116)),$R116=0,NOT(ISNUMBER($K116))),"",$K116*(1-$R116))</f>
        <v/>
      </c>
      <c r="T116" s="45" t="str">
        <f aca="false">IF(ISNUMBER($S116),$S116*$H116,"")</f>
        <v/>
      </c>
      <c r="U116" s="45" t="str">
        <f aca="false">IF(ISNUMBER($S116),$S116*Parâmetros!$B$9,"")</f>
        <v/>
      </c>
      <c r="V116" s="45" t="str">
        <f aca="false">IF(ISNUMBER($S116),$S116*Parâmetros!$C$9,"")</f>
        <v/>
      </c>
      <c r="W116" s="44" t="str">
        <f aca="false">IF(ISNUMBER($S116),$S116-$D116-IF(ISNUMBER($E116),$E116,0)-$O116-$T116-$U116-$V116,"")</f>
        <v/>
      </c>
      <c r="X116" s="46" t="str">
        <f aca="false">IF(AND(ISNUMBER($S116),$S116&gt;0),$W116/$S116,"")</f>
        <v/>
      </c>
      <c r="Y116" s="47"/>
      <c r="Z116" s="19"/>
    </row>
    <row r="117" customFormat="false" ht="15.75" hidden="false" customHeight="true" outlineLevel="0" collapsed="false">
      <c r="A117" s="48" t="str">
        <f aca="false">IF(Produtos!$A117="","",Produtos!$A117)</f>
        <v>L4075-BC</v>
      </c>
      <c r="B117" s="48" t="str">
        <f aca="false">IF(Produtos!$A117="","",Produtos!$B117)</f>
        <v>Lixeira de Aço inox 40x75 95L c/Aro basculante colorido</v>
      </c>
      <c r="C117" s="48" t="str">
        <f aca="false">IF(Produtos!$A117="","",Produtos!$C117)</f>
        <v>Lixeiras em inox</v>
      </c>
      <c r="D117" s="33" t="n">
        <f aca="false">IF(Produtos!$A117="","",IF(Produtos!$D117="","",Produtos!$D117))</f>
        <v>452.95</v>
      </c>
      <c r="E117" s="11" t="n">
        <v>0</v>
      </c>
      <c r="F117" s="34" t="n">
        <f aca="false">IF($A117="","",IF($C117="","⚠ categoria",IFERROR(INDEX(Parâmetros!$G$13:$G$22,MATCH($C117,Parâmetros!$A$13:$A$22,0)),"⚠ categoria")))</f>
        <v>0.18</v>
      </c>
      <c r="G117" s="35"/>
      <c r="H117" s="36" t="n">
        <f aca="false">IF($A117="","",IF(ISNUMBER($G117),$G117,IF(ISNUMBER($F117),$F117,"")))</f>
        <v>0.18</v>
      </c>
      <c r="I117" s="37" t="n">
        <f aca="false">IF(OR($A117="",NOT(ISNUMBER($D117)),NOT(ISNUMBER($H117))),"",IF((1-$H117-Parâmetros!$B$9-Parâmetros!$C$9-Parâmetros!$D$9)&lt;=0,"INVALIDO",($D117+IF(ISNUMBER($E117),$E117,0)+IF(ISNUMBER(Parâmetros!$E$9),Parâmetros!$E$9,0))/(1-$H117-Parâmetros!$B$9-Parâmetros!$C$9-Parâmetros!$D$9)))</f>
        <v>924.387755102041</v>
      </c>
      <c r="J117" s="38"/>
      <c r="K117" s="39" t="n">
        <f aca="false">IF(OR($A117="",NOT(ISNUMBER($D117)),NOT(ISNUMBER($H117))),"",IF(AND(ISNUMBER($J117),$J117&gt;0),$J117,IF(ISNUMBER($I117),$I117,"")))</f>
        <v>924.387755102041</v>
      </c>
      <c r="L117" s="40" t="n">
        <f aca="false">IF(ISNUMBER($K117),$K117*$H117,"")</f>
        <v>166.389795918367</v>
      </c>
      <c r="M117" s="40" t="n">
        <f aca="false">IF(ISNUMBER($K117),$K117*Parâmetros!$B$9,"")</f>
        <v>92.4387755102041</v>
      </c>
      <c r="N117" s="40" t="n">
        <f aca="false">IF(ISNUMBER($K117),$K117*Parâmetros!$C$9,"")</f>
        <v>27.7316326530612</v>
      </c>
      <c r="O117" s="40" t="n">
        <f aca="false">IF(ISNUMBER($K117),IF(ISNUMBER(Parâmetros!$E$9),Parâmetros!$E$9,0),"")</f>
        <v>0</v>
      </c>
      <c r="P117" s="41" t="n">
        <f aca="false">IF(ISNUMBER($K117),$K117-$D117-IF(ISNUMBER($E117),$E117,0)-$L117-$M117-$N117-$O117,"")</f>
        <v>184.877551020408</v>
      </c>
      <c r="Q117" s="42" t="n">
        <f aca="false">IF(AND(ISNUMBER($K117),$K117&gt;0),$P117/$K117,"")</f>
        <v>0.2</v>
      </c>
      <c r="R117" s="43"/>
      <c r="S117" s="44" t="str">
        <f aca="false">IF(OR(NOT(ISNUMBER($R117)),$R117=0,NOT(ISNUMBER($K117))),"",$K117*(1-$R117))</f>
        <v/>
      </c>
      <c r="T117" s="45" t="str">
        <f aca="false">IF(ISNUMBER($S117),$S117*$H117,"")</f>
        <v/>
      </c>
      <c r="U117" s="45" t="str">
        <f aca="false">IF(ISNUMBER($S117),$S117*Parâmetros!$B$9,"")</f>
        <v/>
      </c>
      <c r="V117" s="45" t="str">
        <f aca="false">IF(ISNUMBER($S117),$S117*Parâmetros!$C$9,"")</f>
        <v/>
      </c>
      <c r="W117" s="44" t="str">
        <f aca="false">IF(ISNUMBER($S117),$S117-$D117-IF(ISNUMBER($E117),$E117,0)-$O117-$T117-$U117-$V117,"")</f>
        <v/>
      </c>
      <c r="X117" s="46" t="str">
        <f aca="false">IF(AND(ISNUMBER($S117),$S117&gt;0),$W117/$S117,"")</f>
        <v/>
      </c>
      <c r="Y117" s="49"/>
      <c r="Z117" s="21"/>
    </row>
    <row r="118" customFormat="false" ht="15.75" hidden="false" customHeight="true" outlineLevel="0" collapsed="false">
      <c r="A118" s="32" t="str">
        <f aca="false">IF(Produtos!$A118="","",Produtos!$A118)</f>
        <v>L4080-BC</v>
      </c>
      <c r="B118" s="32" t="str">
        <f aca="false">IF(Produtos!$A118="","",Produtos!$B118)</f>
        <v>Lixeira de Aço inox 40x80 100L c/Aro basculante colorido</v>
      </c>
      <c r="C118" s="32" t="str">
        <f aca="false">IF(Produtos!$A118="","",Produtos!$C118)</f>
        <v>Lixeiras em inox</v>
      </c>
      <c r="D118" s="33" t="n">
        <f aca="false">IF(Produtos!$A118="","",IF(Produtos!$D118="","",Produtos!$D118))</f>
        <v>486.92</v>
      </c>
      <c r="E118" s="11" t="n">
        <v>0</v>
      </c>
      <c r="F118" s="34" t="n">
        <f aca="false">IF($A118="","",IF($C118="","⚠ categoria",IFERROR(INDEX(Parâmetros!$G$13:$G$22,MATCH($C118,Parâmetros!$A$13:$A$22,0)),"⚠ categoria")))</f>
        <v>0.18</v>
      </c>
      <c r="G118" s="35"/>
      <c r="H118" s="36" t="n">
        <f aca="false">IF($A118="","",IF(ISNUMBER($G118),$G118,IF(ISNUMBER($F118),$F118,"")))</f>
        <v>0.18</v>
      </c>
      <c r="I118" s="37" t="n">
        <f aca="false">IF(OR($A118="",NOT(ISNUMBER($D118)),NOT(ISNUMBER($H118))),"",IF((1-$H118-Parâmetros!$B$9-Parâmetros!$C$9-Parâmetros!$D$9)&lt;=0,"INVALIDO",($D118+IF(ISNUMBER($E118),$E118,0)+IF(ISNUMBER(Parâmetros!$E$9),Parâmetros!$E$9,0))/(1-$H118-Parâmetros!$B$9-Parâmetros!$C$9-Parâmetros!$D$9)))</f>
        <v>993.714285714286</v>
      </c>
      <c r="J118" s="38"/>
      <c r="K118" s="39" t="n">
        <f aca="false">IF(OR($A118="",NOT(ISNUMBER($D118)),NOT(ISNUMBER($H118))),"",IF(AND(ISNUMBER($J118),$J118&gt;0),$J118,IF(ISNUMBER($I118),$I118,"")))</f>
        <v>993.714285714286</v>
      </c>
      <c r="L118" s="40" t="n">
        <f aca="false">IF(ISNUMBER($K118),$K118*$H118,"")</f>
        <v>178.868571428571</v>
      </c>
      <c r="M118" s="40" t="n">
        <f aca="false">IF(ISNUMBER($K118),$K118*Parâmetros!$B$9,"")</f>
        <v>99.3714285714286</v>
      </c>
      <c r="N118" s="40" t="n">
        <f aca="false">IF(ISNUMBER($K118),$K118*Parâmetros!$C$9,"")</f>
        <v>29.8114285714286</v>
      </c>
      <c r="O118" s="40" t="n">
        <f aca="false">IF(ISNUMBER($K118),IF(ISNUMBER(Parâmetros!$E$9),Parâmetros!$E$9,0),"")</f>
        <v>0</v>
      </c>
      <c r="P118" s="41" t="n">
        <f aca="false">IF(ISNUMBER($K118),$K118-$D118-IF(ISNUMBER($E118),$E118,0)-$L118-$M118-$N118-$O118,"")</f>
        <v>198.742857142857</v>
      </c>
      <c r="Q118" s="42" t="n">
        <f aca="false">IF(AND(ISNUMBER($K118),$K118&gt;0),$P118/$K118,"")</f>
        <v>0.2</v>
      </c>
      <c r="R118" s="43"/>
      <c r="S118" s="44" t="str">
        <f aca="false">IF(OR(NOT(ISNUMBER($R118)),$R118=0,NOT(ISNUMBER($K118))),"",$K118*(1-$R118))</f>
        <v/>
      </c>
      <c r="T118" s="45" t="str">
        <f aca="false">IF(ISNUMBER($S118),$S118*$H118,"")</f>
        <v/>
      </c>
      <c r="U118" s="45" t="str">
        <f aca="false">IF(ISNUMBER($S118),$S118*Parâmetros!$B$9,"")</f>
        <v/>
      </c>
      <c r="V118" s="45" t="str">
        <f aca="false">IF(ISNUMBER($S118),$S118*Parâmetros!$C$9,"")</f>
        <v/>
      </c>
      <c r="W118" s="44" t="str">
        <f aca="false">IF(ISNUMBER($S118),$S118-$D118-IF(ISNUMBER($E118),$E118,0)-$O118-$T118-$U118-$V118,"")</f>
        <v/>
      </c>
      <c r="X118" s="46" t="str">
        <f aca="false">IF(AND(ISNUMBER($S118),$S118&gt;0),$W118/$S118,"")</f>
        <v/>
      </c>
      <c r="Y118" s="47"/>
      <c r="Z118" s="19"/>
    </row>
    <row r="119" customFormat="false" ht="15.75" hidden="false" customHeight="true" outlineLevel="0" collapsed="false">
      <c r="A119" s="48" t="str">
        <f aca="false">IF(Produtos!$A119="","",Produtos!$A119)</f>
        <v>L4090-BC</v>
      </c>
      <c r="B119" s="48" t="str">
        <f aca="false">IF(Produtos!$A119="","",Produtos!$B119)</f>
        <v>Lixeira de Aço inox 40x90 120L c/Aro basculante colorido</v>
      </c>
      <c r="C119" s="48" t="str">
        <f aca="false">IF(Produtos!$A119="","",Produtos!$C119)</f>
        <v>Lixeiras em inox</v>
      </c>
      <c r="D119" s="33" t="n">
        <f aca="false">IF(Produtos!$A119="","",IF(Produtos!$D119="","",Produtos!$D119))</f>
        <v>727.39</v>
      </c>
      <c r="E119" s="11" t="n">
        <v>0</v>
      </c>
      <c r="F119" s="34" t="n">
        <f aca="false">IF($A119="","",IF($C119="","⚠ categoria",IFERROR(INDEX(Parâmetros!$G$13:$G$22,MATCH($C119,Parâmetros!$A$13:$A$22,0)),"⚠ categoria")))</f>
        <v>0.18</v>
      </c>
      <c r="G119" s="35"/>
      <c r="H119" s="36" t="n">
        <f aca="false">IF($A119="","",IF(ISNUMBER($G119),$G119,IF(ISNUMBER($F119),$F119,"")))</f>
        <v>0.18</v>
      </c>
      <c r="I119" s="37" t="n">
        <f aca="false">IF(OR($A119="",NOT(ISNUMBER($D119)),NOT(ISNUMBER($H119))),"",IF((1-$H119-Parâmetros!$B$9-Parâmetros!$C$9-Parâmetros!$D$9)&lt;=0,"INVALIDO",($D119+IF(ISNUMBER($E119),$E119,0)+IF(ISNUMBER(Parâmetros!$E$9),Parâmetros!$E$9,0))/(1-$H119-Parâmetros!$B$9-Parâmetros!$C$9-Parâmetros!$D$9)))</f>
        <v>1484.4693877551</v>
      </c>
      <c r="J119" s="38"/>
      <c r="K119" s="39" t="n">
        <f aca="false">IF(OR($A119="",NOT(ISNUMBER($D119)),NOT(ISNUMBER($H119))),"",IF(AND(ISNUMBER($J119),$J119&gt;0),$J119,IF(ISNUMBER($I119),$I119,"")))</f>
        <v>1484.4693877551</v>
      </c>
      <c r="L119" s="40" t="n">
        <f aca="false">IF(ISNUMBER($K119),$K119*$H119,"")</f>
        <v>267.204489795918</v>
      </c>
      <c r="M119" s="40" t="n">
        <f aca="false">IF(ISNUMBER($K119),$K119*Parâmetros!$B$9,"")</f>
        <v>148.44693877551</v>
      </c>
      <c r="N119" s="40" t="n">
        <f aca="false">IF(ISNUMBER($K119),$K119*Parâmetros!$C$9,"")</f>
        <v>44.5340816326531</v>
      </c>
      <c r="O119" s="40" t="n">
        <f aca="false">IF(ISNUMBER($K119),IF(ISNUMBER(Parâmetros!$E$9),Parâmetros!$E$9,0),"")</f>
        <v>0</v>
      </c>
      <c r="P119" s="41" t="n">
        <f aca="false">IF(ISNUMBER($K119),$K119-$D119-IF(ISNUMBER($E119),$E119,0)-$L119-$M119-$N119-$O119,"")</f>
        <v>296.89387755102</v>
      </c>
      <c r="Q119" s="42" t="n">
        <f aca="false">IF(AND(ISNUMBER($K119),$K119&gt;0),$P119/$K119,"")</f>
        <v>0.2</v>
      </c>
      <c r="R119" s="43"/>
      <c r="S119" s="44" t="str">
        <f aca="false">IF(OR(NOT(ISNUMBER($R119)),$R119=0,NOT(ISNUMBER($K119))),"",$K119*(1-$R119))</f>
        <v/>
      </c>
      <c r="T119" s="45" t="str">
        <f aca="false">IF(ISNUMBER($S119),$S119*$H119,"")</f>
        <v/>
      </c>
      <c r="U119" s="45" t="str">
        <f aca="false">IF(ISNUMBER($S119),$S119*Parâmetros!$B$9,"")</f>
        <v/>
      </c>
      <c r="V119" s="45" t="str">
        <f aca="false">IF(ISNUMBER($S119),$S119*Parâmetros!$C$9,"")</f>
        <v/>
      </c>
      <c r="W119" s="44" t="str">
        <f aca="false">IF(ISNUMBER($S119),$S119-$D119-IF(ISNUMBER($E119),$E119,0)-$O119-$T119-$U119-$V119,"")</f>
        <v/>
      </c>
      <c r="X119" s="46" t="str">
        <f aca="false">IF(AND(ISNUMBER($S119),$S119&gt;0),$W119/$S119,"")</f>
        <v/>
      </c>
      <c r="Y119" s="49"/>
      <c r="Z119" s="21"/>
    </row>
    <row r="120" customFormat="false" ht="15.75" hidden="false" customHeight="true" outlineLevel="0" collapsed="false">
      <c r="A120" s="32" t="str">
        <f aca="false">IF(Produtos!$A120="","",Produtos!$A120)</f>
        <v>P2425-C</v>
      </c>
      <c r="B120" s="32" t="str">
        <f aca="false">IF(Produtos!$A120="","",Produtos!$B120)</f>
        <v>Lixeira Pedal de Aço inox 24x25 12L Tampa colorido</v>
      </c>
      <c r="C120" s="32" t="str">
        <f aca="false">IF(Produtos!$A120="","",Produtos!$C120)</f>
        <v>Lixeiras com pedal</v>
      </c>
      <c r="D120" s="33" t="n">
        <f aca="false">IF(Produtos!$A120="","",IF(Produtos!$D120="","",Produtos!$D120))</f>
        <v>131.86</v>
      </c>
      <c r="E120" s="11" t="n">
        <v>0</v>
      </c>
      <c r="F120" s="34" t="n">
        <f aca="false">IF($A120="","",IF($C120="","⚠ categoria",IFERROR(INDEX(Parâmetros!$G$13:$G$22,MATCH($C120,Parâmetros!$A$13:$A$22,0)),"⚠ categoria")))</f>
        <v>0.18</v>
      </c>
      <c r="G120" s="35"/>
      <c r="H120" s="36" t="n">
        <f aca="false">IF($A120="","",IF(ISNUMBER($G120),$G120,IF(ISNUMBER($F120),$F120,"")))</f>
        <v>0.18</v>
      </c>
      <c r="I120" s="37" t="n">
        <f aca="false">IF(OR($A120="",NOT(ISNUMBER($D120)),NOT(ISNUMBER($H120))),"",IF((1-$H120-Parâmetros!$B$9-Parâmetros!$C$9-Parâmetros!$D$9)&lt;=0,"INVALIDO",($D120+IF(ISNUMBER($E120),$E120,0)+IF(ISNUMBER(Parâmetros!$E$9),Parâmetros!$E$9,0))/(1-$H120-Parâmetros!$B$9-Parâmetros!$C$9-Parâmetros!$D$9)))</f>
        <v>269.102040816327</v>
      </c>
      <c r="J120" s="38"/>
      <c r="K120" s="39" t="n">
        <f aca="false">IF(OR($A120="",NOT(ISNUMBER($D120)),NOT(ISNUMBER($H120))),"",IF(AND(ISNUMBER($J120),$J120&gt;0),$J120,IF(ISNUMBER($I120),$I120,"")))</f>
        <v>269.102040816327</v>
      </c>
      <c r="L120" s="40" t="n">
        <f aca="false">IF(ISNUMBER($K120),$K120*$H120,"")</f>
        <v>48.4383673469388</v>
      </c>
      <c r="M120" s="40" t="n">
        <f aca="false">IF(ISNUMBER($K120),$K120*Parâmetros!$B$9,"")</f>
        <v>26.9102040816327</v>
      </c>
      <c r="N120" s="40" t="n">
        <f aca="false">IF(ISNUMBER($K120),$K120*Parâmetros!$C$9,"")</f>
        <v>8.0730612244898</v>
      </c>
      <c r="O120" s="40" t="n">
        <f aca="false">IF(ISNUMBER($K120),IF(ISNUMBER(Parâmetros!$E$9),Parâmetros!$E$9,0),"")</f>
        <v>0</v>
      </c>
      <c r="P120" s="41" t="n">
        <f aca="false">IF(ISNUMBER($K120),$K120-$D120-IF(ISNUMBER($E120),$E120,0)-$L120-$M120-$N120-$O120,"")</f>
        <v>53.8204081632653</v>
      </c>
      <c r="Q120" s="42" t="n">
        <f aca="false">IF(AND(ISNUMBER($K120),$K120&gt;0),$P120/$K120,"")</f>
        <v>0.2</v>
      </c>
      <c r="R120" s="43"/>
      <c r="S120" s="44" t="str">
        <f aca="false">IF(OR(NOT(ISNUMBER($R120)),$R120=0,NOT(ISNUMBER($K120))),"",$K120*(1-$R120))</f>
        <v/>
      </c>
      <c r="T120" s="45" t="str">
        <f aca="false">IF(ISNUMBER($S120),$S120*$H120,"")</f>
        <v/>
      </c>
      <c r="U120" s="45" t="str">
        <f aca="false">IF(ISNUMBER($S120),$S120*Parâmetros!$B$9,"")</f>
        <v/>
      </c>
      <c r="V120" s="45" t="str">
        <f aca="false">IF(ISNUMBER($S120),$S120*Parâmetros!$C$9,"")</f>
        <v/>
      </c>
      <c r="W120" s="44" t="str">
        <f aca="false">IF(ISNUMBER($S120),$S120-$D120-IF(ISNUMBER($E120),$E120,0)-$O120-$T120-$U120-$V120,"")</f>
        <v/>
      </c>
      <c r="X120" s="46" t="str">
        <f aca="false">IF(AND(ISNUMBER($S120),$S120&gt;0),$W120/$S120,"")</f>
        <v/>
      </c>
      <c r="Y120" s="47"/>
      <c r="Z120" s="19"/>
    </row>
    <row r="121" customFormat="false" ht="15.75" hidden="false" customHeight="true" outlineLevel="0" collapsed="false">
      <c r="A121" s="48" t="str">
        <f aca="false">IF(Produtos!$A121="","",Produtos!$A121)</f>
        <v>P2430-C</v>
      </c>
      <c r="B121" s="48" t="str">
        <f aca="false">IF(Produtos!$A121="","",Produtos!$B121)</f>
        <v>Lixeira Pedal de Aço inox 24x30 15L Tampa colorido</v>
      </c>
      <c r="C121" s="48" t="str">
        <f aca="false">IF(Produtos!$A121="","",Produtos!$C121)</f>
        <v>Lixeiras com pedal</v>
      </c>
      <c r="D121" s="33" t="n">
        <f aca="false">IF(Produtos!$A121="","",IF(Produtos!$D121="","",Produtos!$D121))</f>
        <v>140.4</v>
      </c>
      <c r="E121" s="11" t="n">
        <v>0</v>
      </c>
      <c r="F121" s="34" t="n">
        <f aca="false">IF($A121="","",IF($C121="","⚠ categoria",IFERROR(INDEX(Parâmetros!$G$13:$G$22,MATCH($C121,Parâmetros!$A$13:$A$22,0)),"⚠ categoria")))</f>
        <v>0.18</v>
      </c>
      <c r="G121" s="35"/>
      <c r="H121" s="36" t="n">
        <f aca="false">IF($A121="","",IF(ISNUMBER($G121),$G121,IF(ISNUMBER($F121),$F121,"")))</f>
        <v>0.18</v>
      </c>
      <c r="I121" s="37" t="n">
        <f aca="false">IF(OR($A121="",NOT(ISNUMBER($D121)),NOT(ISNUMBER($H121))),"",IF((1-$H121-Parâmetros!$B$9-Parâmetros!$C$9-Parâmetros!$D$9)&lt;=0,"INVALIDO",($D121+IF(ISNUMBER($E121),$E121,0)+IF(ISNUMBER(Parâmetros!$E$9),Parâmetros!$E$9,0))/(1-$H121-Parâmetros!$B$9-Parâmetros!$C$9-Parâmetros!$D$9)))</f>
        <v>286.530612244898</v>
      </c>
      <c r="J121" s="38"/>
      <c r="K121" s="39" t="n">
        <f aca="false">IF(OR($A121="",NOT(ISNUMBER($D121)),NOT(ISNUMBER($H121))),"",IF(AND(ISNUMBER($J121),$J121&gt;0),$J121,IF(ISNUMBER($I121),$I121,"")))</f>
        <v>286.530612244898</v>
      </c>
      <c r="L121" s="40" t="n">
        <f aca="false">IF(ISNUMBER($K121),$K121*$H121,"")</f>
        <v>51.5755102040816</v>
      </c>
      <c r="M121" s="40" t="n">
        <f aca="false">IF(ISNUMBER($K121),$K121*Parâmetros!$B$9,"")</f>
        <v>28.6530612244898</v>
      </c>
      <c r="N121" s="40" t="n">
        <f aca="false">IF(ISNUMBER($K121),$K121*Parâmetros!$C$9,"")</f>
        <v>8.59591836734694</v>
      </c>
      <c r="O121" s="40" t="n">
        <f aca="false">IF(ISNUMBER($K121),IF(ISNUMBER(Parâmetros!$E$9),Parâmetros!$E$9,0),"")</f>
        <v>0</v>
      </c>
      <c r="P121" s="41" t="n">
        <f aca="false">IF(ISNUMBER($K121),$K121-$D121-IF(ISNUMBER($E121),$E121,0)-$L121-$M121-$N121-$O121,"")</f>
        <v>57.3061224489796</v>
      </c>
      <c r="Q121" s="42" t="n">
        <f aca="false">IF(AND(ISNUMBER($K121),$K121&gt;0),$P121/$K121,"")</f>
        <v>0.2</v>
      </c>
      <c r="R121" s="43"/>
      <c r="S121" s="44" t="str">
        <f aca="false">IF(OR(NOT(ISNUMBER($R121)),$R121=0,NOT(ISNUMBER($K121))),"",$K121*(1-$R121))</f>
        <v/>
      </c>
      <c r="T121" s="45" t="str">
        <f aca="false">IF(ISNUMBER($S121),$S121*$H121,"")</f>
        <v/>
      </c>
      <c r="U121" s="45" t="str">
        <f aca="false">IF(ISNUMBER($S121),$S121*Parâmetros!$B$9,"")</f>
        <v/>
      </c>
      <c r="V121" s="45" t="str">
        <f aca="false">IF(ISNUMBER($S121),$S121*Parâmetros!$C$9,"")</f>
        <v/>
      </c>
      <c r="W121" s="44" t="str">
        <f aca="false">IF(ISNUMBER($S121),$S121-$D121-IF(ISNUMBER($E121),$E121,0)-$O121-$T121-$U121-$V121,"")</f>
        <v/>
      </c>
      <c r="X121" s="46" t="str">
        <f aca="false">IF(AND(ISNUMBER($S121),$S121&gt;0),$W121/$S121,"")</f>
        <v/>
      </c>
      <c r="Y121" s="49"/>
      <c r="Z121" s="21"/>
    </row>
    <row r="122" customFormat="false" ht="15.75" hidden="false" customHeight="true" outlineLevel="0" collapsed="false">
      <c r="A122" s="32" t="str">
        <f aca="false">IF(Produtos!$A122="","",Produtos!$A122)</f>
        <v>P2440-C</v>
      </c>
      <c r="B122" s="32" t="str">
        <f aca="false">IF(Produtos!$A122="","",Produtos!$B122)</f>
        <v>Lixeira Pedal de Aço inox 24x40 20L Tampa colorido</v>
      </c>
      <c r="C122" s="32" t="str">
        <f aca="false">IF(Produtos!$A122="","",Produtos!$C122)</f>
        <v>Lixeiras com pedal</v>
      </c>
      <c r="D122" s="33" t="n">
        <f aca="false">IF(Produtos!$A122="","",IF(Produtos!$D122="","",Produtos!$D122))</f>
        <v>148.86</v>
      </c>
      <c r="E122" s="11" t="n">
        <v>0</v>
      </c>
      <c r="F122" s="34" t="n">
        <f aca="false">IF($A122="","",IF($C122="","⚠ categoria",IFERROR(INDEX(Parâmetros!$G$13:$G$22,MATCH($C122,Parâmetros!$A$13:$A$22,0)),"⚠ categoria")))</f>
        <v>0.18</v>
      </c>
      <c r="G122" s="35"/>
      <c r="H122" s="36" t="n">
        <f aca="false">IF($A122="","",IF(ISNUMBER($G122),$G122,IF(ISNUMBER($F122),$F122,"")))</f>
        <v>0.18</v>
      </c>
      <c r="I122" s="37" t="n">
        <f aca="false">IF(OR($A122="",NOT(ISNUMBER($D122)),NOT(ISNUMBER($H122))),"",IF((1-$H122-Parâmetros!$B$9-Parâmetros!$C$9-Parâmetros!$D$9)&lt;=0,"INVALIDO",($D122+IF(ISNUMBER($E122),$E122,0)+IF(ISNUMBER(Parâmetros!$E$9),Parâmetros!$E$9,0))/(1-$H122-Parâmetros!$B$9-Parâmetros!$C$9-Parâmetros!$D$9)))</f>
        <v>303.795918367347</v>
      </c>
      <c r="J122" s="38"/>
      <c r="K122" s="39" t="n">
        <f aca="false">IF(OR($A122="",NOT(ISNUMBER($D122)),NOT(ISNUMBER($H122))),"",IF(AND(ISNUMBER($J122),$J122&gt;0),$J122,IF(ISNUMBER($I122),$I122,"")))</f>
        <v>303.795918367347</v>
      </c>
      <c r="L122" s="40" t="n">
        <f aca="false">IF(ISNUMBER($K122),$K122*$H122,"")</f>
        <v>54.6832653061224</v>
      </c>
      <c r="M122" s="40" t="n">
        <f aca="false">IF(ISNUMBER($K122),$K122*Parâmetros!$B$9,"")</f>
        <v>30.3795918367347</v>
      </c>
      <c r="N122" s="40" t="n">
        <f aca="false">IF(ISNUMBER($K122),$K122*Parâmetros!$C$9,"")</f>
        <v>9.11387755102041</v>
      </c>
      <c r="O122" s="40" t="n">
        <f aca="false">IF(ISNUMBER($K122),IF(ISNUMBER(Parâmetros!$E$9),Parâmetros!$E$9,0),"")</f>
        <v>0</v>
      </c>
      <c r="P122" s="41" t="n">
        <f aca="false">IF(ISNUMBER($K122),$K122-$D122-IF(ISNUMBER($E122),$E122,0)-$L122-$M122-$N122-$O122,"")</f>
        <v>60.7591836734694</v>
      </c>
      <c r="Q122" s="42" t="n">
        <f aca="false">IF(AND(ISNUMBER($K122),$K122&gt;0),$P122/$K122,"")</f>
        <v>0.2</v>
      </c>
      <c r="R122" s="43"/>
      <c r="S122" s="44" t="str">
        <f aca="false">IF(OR(NOT(ISNUMBER($R122)),$R122=0,NOT(ISNUMBER($K122))),"",$K122*(1-$R122))</f>
        <v/>
      </c>
      <c r="T122" s="45" t="str">
        <f aca="false">IF(ISNUMBER($S122),$S122*$H122,"")</f>
        <v/>
      </c>
      <c r="U122" s="45" t="str">
        <f aca="false">IF(ISNUMBER($S122),$S122*Parâmetros!$B$9,"")</f>
        <v/>
      </c>
      <c r="V122" s="45" t="str">
        <f aca="false">IF(ISNUMBER($S122),$S122*Parâmetros!$C$9,"")</f>
        <v/>
      </c>
      <c r="W122" s="44" t="str">
        <f aca="false">IF(ISNUMBER($S122),$S122-$D122-IF(ISNUMBER($E122),$E122,0)-$O122-$T122-$U122-$V122,"")</f>
        <v/>
      </c>
      <c r="X122" s="46" t="str">
        <f aca="false">IF(AND(ISNUMBER($S122),$S122&gt;0),$W122/$S122,"")</f>
        <v/>
      </c>
      <c r="Y122" s="47"/>
      <c r="Z122" s="19"/>
    </row>
    <row r="123" customFormat="false" ht="15.75" hidden="false" customHeight="true" outlineLevel="0" collapsed="false">
      <c r="A123" s="48" t="str">
        <f aca="false">IF(Produtos!$A123="","",Produtos!$A123)</f>
        <v>P3040-C</v>
      </c>
      <c r="B123" s="48" t="str">
        <f aca="false">IF(Produtos!$A123="","",Produtos!$B123)</f>
        <v>Lixeira Pedal de Aço inox 30x40 30L Tampa colorido</v>
      </c>
      <c r="C123" s="48" t="str">
        <f aca="false">IF(Produtos!$A123="","",Produtos!$C123)</f>
        <v>Lixeiras com pedal</v>
      </c>
      <c r="D123" s="33" t="n">
        <f aca="false">IF(Produtos!$A123="","",IF(Produtos!$D123="","",Produtos!$D123))</f>
        <v>213.43</v>
      </c>
      <c r="E123" s="11" t="n">
        <v>0</v>
      </c>
      <c r="F123" s="34" t="n">
        <f aca="false">IF($A123="","",IF($C123="","⚠ categoria",IFERROR(INDEX(Parâmetros!$G$13:$G$22,MATCH($C123,Parâmetros!$A$13:$A$22,0)),"⚠ categoria")))</f>
        <v>0.18</v>
      </c>
      <c r="G123" s="35"/>
      <c r="H123" s="36" t="n">
        <f aca="false">IF($A123="","",IF(ISNUMBER($G123),$G123,IF(ISNUMBER($F123),$F123,"")))</f>
        <v>0.18</v>
      </c>
      <c r="I123" s="37" t="n">
        <f aca="false">IF(OR($A123="",NOT(ISNUMBER($D123)),NOT(ISNUMBER($H123))),"",IF((1-$H123-Parâmetros!$B$9-Parâmetros!$C$9-Parâmetros!$D$9)&lt;=0,"INVALIDO",($D123+IF(ISNUMBER($E123),$E123,0)+IF(ISNUMBER(Parâmetros!$E$9),Parâmetros!$E$9,0))/(1-$H123-Parâmetros!$B$9-Parâmetros!$C$9-Parâmetros!$D$9)))</f>
        <v>435.571428571429</v>
      </c>
      <c r="J123" s="38"/>
      <c r="K123" s="39" t="n">
        <f aca="false">IF(OR($A123="",NOT(ISNUMBER($D123)),NOT(ISNUMBER($H123))),"",IF(AND(ISNUMBER($J123),$J123&gt;0),$J123,IF(ISNUMBER($I123),$I123,"")))</f>
        <v>435.571428571429</v>
      </c>
      <c r="L123" s="40" t="n">
        <f aca="false">IF(ISNUMBER($K123),$K123*$H123,"")</f>
        <v>78.4028571428571</v>
      </c>
      <c r="M123" s="40" t="n">
        <f aca="false">IF(ISNUMBER($K123),$K123*Parâmetros!$B$9,"")</f>
        <v>43.5571428571429</v>
      </c>
      <c r="N123" s="40" t="n">
        <f aca="false">IF(ISNUMBER($K123),$K123*Parâmetros!$C$9,"")</f>
        <v>13.0671428571429</v>
      </c>
      <c r="O123" s="40" t="n">
        <f aca="false">IF(ISNUMBER($K123),IF(ISNUMBER(Parâmetros!$E$9),Parâmetros!$E$9,0),"")</f>
        <v>0</v>
      </c>
      <c r="P123" s="41" t="n">
        <f aca="false">IF(ISNUMBER($K123),$K123-$D123-IF(ISNUMBER($E123),$E123,0)-$L123-$M123-$N123-$O123,"")</f>
        <v>87.1142857142857</v>
      </c>
      <c r="Q123" s="42" t="n">
        <f aca="false">IF(AND(ISNUMBER($K123),$K123&gt;0),$P123/$K123,"")</f>
        <v>0.2</v>
      </c>
      <c r="R123" s="43"/>
      <c r="S123" s="44" t="str">
        <f aca="false">IF(OR(NOT(ISNUMBER($R123)),$R123=0,NOT(ISNUMBER($K123))),"",$K123*(1-$R123))</f>
        <v/>
      </c>
      <c r="T123" s="45" t="str">
        <f aca="false">IF(ISNUMBER($S123),$S123*$H123,"")</f>
        <v/>
      </c>
      <c r="U123" s="45" t="str">
        <f aca="false">IF(ISNUMBER($S123),$S123*Parâmetros!$B$9,"")</f>
        <v/>
      </c>
      <c r="V123" s="45" t="str">
        <f aca="false">IF(ISNUMBER($S123),$S123*Parâmetros!$C$9,"")</f>
        <v/>
      </c>
      <c r="W123" s="44" t="str">
        <f aca="false">IF(ISNUMBER($S123),$S123-$D123-IF(ISNUMBER($E123),$E123,0)-$O123-$T123-$U123-$V123,"")</f>
        <v/>
      </c>
      <c r="X123" s="46" t="str">
        <f aca="false">IF(AND(ISNUMBER($S123),$S123&gt;0),$W123/$S123,"")</f>
        <v/>
      </c>
      <c r="Y123" s="49"/>
      <c r="Z123" s="21"/>
    </row>
    <row r="124" customFormat="false" ht="15.75" hidden="false" customHeight="true" outlineLevel="0" collapsed="false">
      <c r="A124" s="32" t="str">
        <f aca="false">IF(Produtos!$A124="","",Produtos!$A124)</f>
        <v>P3050-C</v>
      </c>
      <c r="B124" s="32" t="str">
        <f aca="false">IF(Produtos!$A124="","",Produtos!$B124)</f>
        <v>Lixeira Pedal de Aço inox 30x50 40L Tampa colorido</v>
      </c>
      <c r="C124" s="32" t="str">
        <f aca="false">IF(Produtos!$A124="","",Produtos!$C124)</f>
        <v>Lixeiras com pedal</v>
      </c>
      <c r="D124" s="33" t="n">
        <f aca="false">IF(Produtos!$A124="","",IF(Produtos!$D124="","",Produtos!$D124))</f>
        <v>252.66</v>
      </c>
      <c r="E124" s="11" t="n">
        <v>0</v>
      </c>
      <c r="F124" s="34" t="n">
        <f aca="false">IF($A124="","",IF($C124="","⚠ categoria",IFERROR(INDEX(Parâmetros!$G$13:$G$22,MATCH($C124,Parâmetros!$A$13:$A$22,0)),"⚠ categoria")))</f>
        <v>0.18</v>
      </c>
      <c r="G124" s="35"/>
      <c r="H124" s="36" t="n">
        <f aca="false">IF($A124="","",IF(ISNUMBER($G124),$G124,IF(ISNUMBER($F124),$F124,"")))</f>
        <v>0.18</v>
      </c>
      <c r="I124" s="37" t="n">
        <f aca="false">IF(OR($A124="",NOT(ISNUMBER($D124)),NOT(ISNUMBER($H124))),"",IF((1-$H124-Parâmetros!$B$9-Parâmetros!$C$9-Parâmetros!$D$9)&lt;=0,"INVALIDO",($D124+IF(ISNUMBER($E124),$E124,0)+IF(ISNUMBER(Parâmetros!$E$9),Parâmetros!$E$9,0))/(1-$H124-Parâmetros!$B$9-Parâmetros!$C$9-Parâmetros!$D$9)))</f>
        <v>515.632653061225</v>
      </c>
      <c r="J124" s="38"/>
      <c r="K124" s="39" t="n">
        <f aca="false">IF(OR($A124="",NOT(ISNUMBER($D124)),NOT(ISNUMBER($H124))),"",IF(AND(ISNUMBER($J124),$J124&gt;0),$J124,IF(ISNUMBER($I124),$I124,"")))</f>
        <v>515.632653061225</v>
      </c>
      <c r="L124" s="40" t="n">
        <f aca="false">IF(ISNUMBER($K124),$K124*$H124,"")</f>
        <v>92.8138775510204</v>
      </c>
      <c r="M124" s="40" t="n">
        <f aca="false">IF(ISNUMBER($K124),$K124*Parâmetros!$B$9,"")</f>
        <v>51.5632653061224</v>
      </c>
      <c r="N124" s="40" t="n">
        <f aca="false">IF(ISNUMBER($K124),$K124*Parâmetros!$C$9,"")</f>
        <v>15.4689795918367</v>
      </c>
      <c r="O124" s="40" t="n">
        <f aca="false">IF(ISNUMBER($K124),IF(ISNUMBER(Parâmetros!$E$9),Parâmetros!$E$9,0),"")</f>
        <v>0</v>
      </c>
      <c r="P124" s="41" t="n">
        <f aca="false">IF(ISNUMBER($K124),$K124-$D124-IF(ISNUMBER($E124),$E124,0)-$L124-$M124-$N124-$O124,"")</f>
        <v>103.126530612245</v>
      </c>
      <c r="Q124" s="42" t="n">
        <f aca="false">IF(AND(ISNUMBER($K124),$K124&gt;0),$P124/$K124,"")</f>
        <v>0.2</v>
      </c>
      <c r="R124" s="43"/>
      <c r="S124" s="44" t="str">
        <f aca="false">IF(OR(NOT(ISNUMBER($R124)),$R124=0,NOT(ISNUMBER($K124))),"",$K124*(1-$R124))</f>
        <v/>
      </c>
      <c r="T124" s="45" t="str">
        <f aca="false">IF(ISNUMBER($S124),$S124*$H124,"")</f>
        <v/>
      </c>
      <c r="U124" s="45" t="str">
        <f aca="false">IF(ISNUMBER($S124),$S124*Parâmetros!$B$9,"")</f>
        <v/>
      </c>
      <c r="V124" s="45" t="str">
        <f aca="false">IF(ISNUMBER($S124),$S124*Parâmetros!$C$9,"")</f>
        <v/>
      </c>
      <c r="W124" s="44" t="str">
        <f aca="false">IF(ISNUMBER($S124),$S124-$D124-IF(ISNUMBER($E124),$E124,0)-$O124-$T124-$U124-$V124,"")</f>
        <v/>
      </c>
      <c r="X124" s="46" t="str">
        <f aca="false">IF(AND(ISNUMBER($S124),$S124&gt;0),$W124/$S124,"")</f>
        <v/>
      </c>
      <c r="Y124" s="47"/>
      <c r="Z124" s="19"/>
    </row>
    <row r="125" customFormat="false" ht="15.75" hidden="false" customHeight="true" outlineLevel="0" collapsed="false">
      <c r="A125" s="48" t="str">
        <f aca="false">IF(Produtos!$A125="","",Produtos!$A125)</f>
        <v>P3060-C</v>
      </c>
      <c r="B125" s="48" t="str">
        <f aca="false">IF(Produtos!$A125="","",Produtos!$B125)</f>
        <v>Lixeira Pedal de Aço inox 30x60 50L Tampa colorido</v>
      </c>
      <c r="C125" s="48" t="str">
        <f aca="false">IF(Produtos!$A125="","",Produtos!$C125)</f>
        <v>Lixeiras com pedal</v>
      </c>
      <c r="D125" s="33" t="n">
        <f aca="false">IF(Produtos!$A125="","",IF(Produtos!$D125="","",Produtos!$D125))</f>
        <v>254.39</v>
      </c>
      <c r="E125" s="11" t="n">
        <v>0</v>
      </c>
      <c r="F125" s="34" t="n">
        <f aca="false">IF($A125="","",IF($C125="","⚠ categoria",IFERROR(INDEX(Parâmetros!$G$13:$G$22,MATCH($C125,Parâmetros!$A$13:$A$22,0)),"⚠ categoria")))</f>
        <v>0.18</v>
      </c>
      <c r="G125" s="35"/>
      <c r="H125" s="36" t="n">
        <f aca="false">IF($A125="","",IF(ISNUMBER($G125),$G125,IF(ISNUMBER($F125),$F125,"")))</f>
        <v>0.18</v>
      </c>
      <c r="I125" s="37" t="n">
        <f aca="false">IF(OR($A125="",NOT(ISNUMBER($D125)),NOT(ISNUMBER($H125))),"",IF((1-$H125-Parâmetros!$B$9-Parâmetros!$C$9-Parâmetros!$D$9)&lt;=0,"INVALIDO",($D125+IF(ISNUMBER($E125),$E125,0)+IF(ISNUMBER(Parâmetros!$E$9),Parâmetros!$E$9,0))/(1-$H125-Parâmetros!$B$9-Parâmetros!$C$9-Parâmetros!$D$9)))</f>
        <v>519.163265306122</v>
      </c>
      <c r="J125" s="38"/>
      <c r="K125" s="39" t="n">
        <f aca="false">IF(OR($A125="",NOT(ISNUMBER($D125)),NOT(ISNUMBER($H125))),"",IF(AND(ISNUMBER($J125),$J125&gt;0),$J125,IF(ISNUMBER($I125),$I125,"")))</f>
        <v>519.163265306122</v>
      </c>
      <c r="L125" s="40" t="n">
        <f aca="false">IF(ISNUMBER($K125),$K125*$H125,"")</f>
        <v>93.449387755102</v>
      </c>
      <c r="M125" s="40" t="n">
        <f aca="false">IF(ISNUMBER($K125),$K125*Parâmetros!$B$9,"")</f>
        <v>51.9163265306122</v>
      </c>
      <c r="N125" s="40" t="n">
        <f aca="false">IF(ISNUMBER($K125),$K125*Parâmetros!$C$9,"")</f>
        <v>15.5748979591837</v>
      </c>
      <c r="O125" s="40" t="n">
        <f aca="false">IF(ISNUMBER($K125),IF(ISNUMBER(Parâmetros!$E$9),Parâmetros!$E$9,0),"")</f>
        <v>0</v>
      </c>
      <c r="P125" s="41" t="n">
        <f aca="false">IF(ISNUMBER($K125),$K125-$D125-IF(ISNUMBER($E125),$E125,0)-$L125-$M125-$N125-$O125,"")</f>
        <v>103.832653061224</v>
      </c>
      <c r="Q125" s="42" t="n">
        <f aca="false">IF(AND(ISNUMBER($K125),$K125&gt;0),$P125/$K125,"")</f>
        <v>0.2</v>
      </c>
      <c r="R125" s="43"/>
      <c r="S125" s="44" t="str">
        <f aca="false">IF(OR(NOT(ISNUMBER($R125)),$R125=0,NOT(ISNUMBER($K125))),"",$K125*(1-$R125))</f>
        <v/>
      </c>
      <c r="T125" s="45" t="str">
        <f aca="false">IF(ISNUMBER($S125),$S125*$H125,"")</f>
        <v/>
      </c>
      <c r="U125" s="45" t="str">
        <f aca="false">IF(ISNUMBER($S125),$S125*Parâmetros!$B$9,"")</f>
        <v/>
      </c>
      <c r="V125" s="45" t="str">
        <f aca="false">IF(ISNUMBER($S125),$S125*Parâmetros!$C$9,"")</f>
        <v/>
      </c>
      <c r="W125" s="44" t="str">
        <f aca="false">IF(ISNUMBER($S125),$S125-$D125-IF(ISNUMBER($E125),$E125,0)-$O125-$T125-$U125-$V125,"")</f>
        <v/>
      </c>
      <c r="X125" s="46" t="str">
        <f aca="false">IF(AND(ISNUMBER($S125),$S125&gt;0),$W125/$S125,"")</f>
        <v/>
      </c>
      <c r="Y125" s="49"/>
      <c r="Z125" s="21"/>
    </row>
    <row r="126" customFormat="false" ht="15.75" hidden="false" customHeight="true" outlineLevel="0" collapsed="false">
      <c r="A126" s="32" t="str">
        <f aca="false">IF(Produtos!$A126="","",Produtos!$A126)</f>
        <v>P3070-C</v>
      </c>
      <c r="B126" s="32" t="str">
        <f aca="false">IF(Produtos!$A126="","",Produtos!$B126)</f>
        <v>Lixeira Pedal de Aço inox 30x70 60L Tampa colorido</v>
      </c>
      <c r="C126" s="32" t="str">
        <f aca="false">IF(Produtos!$A126="","",Produtos!$C126)</f>
        <v>Lixeiras com pedal</v>
      </c>
      <c r="D126" s="33" t="n">
        <f aca="false">IF(Produtos!$A126="","",IF(Produtos!$D126="","",Produtos!$D126))</f>
        <v>316.25</v>
      </c>
      <c r="E126" s="11" t="n">
        <v>0</v>
      </c>
      <c r="F126" s="34" t="n">
        <f aca="false">IF($A126="","",IF($C126="","⚠ categoria",IFERROR(INDEX(Parâmetros!$G$13:$G$22,MATCH($C126,Parâmetros!$A$13:$A$22,0)),"⚠ categoria")))</f>
        <v>0.18</v>
      </c>
      <c r="G126" s="35"/>
      <c r="H126" s="36" t="n">
        <f aca="false">IF($A126="","",IF(ISNUMBER($G126),$G126,IF(ISNUMBER($F126),$F126,"")))</f>
        <v>0.18</v>
      </c>
      <c r="I126" s="37" t="n">
        <f aca="false">IF(OR($A126="",NOT(ISNUMBER($D126)),NOT(ISNUMBER($H126))),"",IF((1-$H126-Parâmetros!$B$9-Parâmetros!$C$9-Parâmetros!$D$9)&lt;=0,"INVALIDO",($D126+IF(ISNUMBER($E126),$E126,0)+IF(ISNUMBER(Parâmetros!$E$9),Parâmetros!$E$9,0))/(1-$H126-Parâmetros!$B$9-Parâmetros!$C$9-Parâmetros!$D$9)))</f>
        <v>645.408163265306</v>
      </c>
      <c r="J126" s="38"/>
      <c r="K126" s="39" t="n">
        <f aca="false">IF(OR($A126="",NOT(ISNUMBER($D126)),NOT(ISNUMBER($H126))),"",IF(AND(ISNUMBER($J126),$J126&gt;0),$J126,IF(ISNUMBER($I126),$I126,"")))</f>
        <v>645.408163265306</v>
      </c>
      <c r="L126" s="40" t="n">
        <f aca="false">IF(ISNUMBER($K126),$K126*$H126,"")</f>
        <v>116.173469387755</v>
      </c>
      <c r="M126" s="40" t="n">
        <f aca="false">IF(ISNUMBER($K126),$K126*Parâmetros!$B$9,"")</f>
        <v>64.5408163265306</v>
      </c>
      <c r="N126" s="40" t="n">
        <f aca="false">IF(ISNUMBER($K126),$K126*Parâmetros!$C$9,"")</f>
        <v>19.3622448979592</v>
      </c>
      <c r="O126" s="40" t="n">
        <f aca="false">IF(ISNUMBER($K126),IF(ISNUMBER(Parâmetros!$E$9),Parâmetros!$E$9,0),"")</f>
        <v>0</v>
      </c>
      <c r="P126" s="41" t="n">
        <f aca="false">IF(ISNUMBER($K126),$K126-$D126-IF(ISNUMBER($E126),$E126,0)-$L126-$M126-$N126-$O126,"")</f>
        <v>129.081632653061</v>
      </c>
      <c r="Q126" s="42" t="n">
        <f aca="false">IF(AND(ISNUMBER($K126),$K126&gt;0),$P126/$K126,"")</f>
        <v>0.2</v>
      </c>
      <c r="R126" s="43"/>
      <c r="S126" s="44" t="str">
        <f aca="false">IF(OR(NOT(ISNUMBER($R126)),$R126=0,NOT(ISNUMBER($K126))),"",$K126*(1-$R126))</f>
        <v/>
      </c>
      <c r="T126" s="45" t="str">
        <f aca="false">IF(ISNUMBER($S126),$S126*$H126,"")</f>
        <v/>
      </c>
      <c r="U126" s="45" t="str">
        <f aca="false">IF(ISNUMBER($S126),$S126*Parâmetros!$B$9,"")</f>
        <v/>
      </c>
      <c r="V126" s="45" t="str">
        <f aca="false">IF(ISNUMBER($S126),$S126*Parâmetros!$C$9,"")</f>
        <v/>
      </c>
      <c r="W126" s="44" t="str">
        <f aca="false">IF(ISNUMBER($S126),$S126-$D126-IF(ISNUMBER($E126),$E126,0)-$O126-$T126-$U126-$V126,"")</f>
        <v/>
      </c>
      <c r="X126" s="46" t="str">
        <f aca="false">IF(AND(ISNUMBER($S126),$S126&gt;0),$W126/$S126,"")</f>
        <v/>
      </c>
      <c r="Y126" s="47"/>
      <c r="Z126" s="19"/>
    </row>
    <row r="127" customFormat="false" ht="15.75" hidden="false" customHeight="true" outlineLevel="0" collapsed="false">
      <c r="A127" s="48" t="str">
        <f aca="false">IF(Produtos!$A127="","",Produtos!$A127)</f>
        <v>P4050-C</v>
      </c>
      <c r="B127" s="48" t="str">
        <f aca="false">IF(Produtos!$A127="","",Produtos!$B127)</f>
        <v>Lixeira Pedal de Aço inox 40x50 65L Tampa colorido</v>
      </c>
      <c r="C127" s="48" t="str">
        <f aca="false">IF(Produtos!$A127="","",Produtos!$C127)</f>
        <v>Lixeiras com pedal</v>
      </c>
      <c r="D127" s="33" t="n">
        <f aca="false">IF(Produtos!$A127="","",IF(Produtos!$D127="","",Produtos!$D127))</f>
        <v>383.73</v>
      </c>
      <c r="E127" s="11" t="n">
        <v>0</v>
      </c>
      <c r="F127" s="34" t="n">
        <f aca="false">IF($A127="","",IF($C127="","⚠ categoria",IFERROR(INDEX(Parâmetros!$G$13:$G$22,MATCH($C127,Parâmetros!$A$13:$A$22,0)),"⚠ categoria")))</f>
        <v>0.18</v>
      </c>
      <c r="G127" s="35"/>
      <c r="H127" s="36" t="n">
        <f aca="false">IF($A127="","",IF(ISNUMBER($G127),$G127,IF(ISNUMBER($F127),$F127,"")))</f>
        <v>0.18</v>
      </c>
      <c r="I127" s="37" t="n">
        <f aca="false">IF(OR($A127="",NOT(ISNUMBER($D127)),NOT(ISNUMBER($H127))),"",IF((1-$H127-Parâmetros!$B$9-Parâmetros!$C$9-Parâmetros!$D$9)&lt;=0,"INVALIDO",($D127+IF(ISNUMBER($E127),$E127,0)+IF(ISNUMBER(Parâmetros!$E$9),Parâmetros!$E$9,0))/(1-$H127-Parâmetros!$B$9-Parâmetros!$C$9-Parâmetros!$D$9)))</f>
        <v>783.122448979592</v>
      </c>
      <c r="J127" s="38"/>
      <c r="K127" s="39" t="n">
        <f aca="false">IF(OR($A127="",NOT(ISNUMBER($D127)),NOT(ISNUMBER($H127))),"",IF(AND(ISNUMBER($J127),$J127&gt;0),$J127,IF(ISNUMBER($I127),$I127,"")))</f>
        <v>783.122448979592</v>
      </c>
      <c r="L127" s="40" t="n">
        <f aca="false">IF(ISNUMBER($K127),$K127*$H127,"")</f>
        <v>140.962040816327</v>
      </c>
      <c r="M127" s="40" t="n">
        <f aca="false">IF(ISNUMBER($K127),$K127*Parâmetros!$B$9,"")</f>
        <v>78.3122448979592</v>
      </c>
      <c r="N127" s="40" t="n">
        <f aca="false">IF(ISNUMBER($K127),$K127*Parâmetros!$C$9,"")</f>
        <v>23.4936734693878</v>
      </c>
      <c r="O127" s="40" t="n">
        <f aca="false">IF(ISNUMBER($K127),IF(ISNUMBER(Parâmetros!$E$9),Parâmetros!$E$9,0),"")</f>
        <v>0</v>
      </c>
      <c r="P127" s="41" t="n">
        <f aca="false">IF(ISNUMBER($K127),$K127-$D127-IF(ISNUMBER($E127),$E127,0)-$L127-$M127-$N127-$O127,"")</f>
        <v>156.624489795918</v>
      </c>
      <c r="Q127" s="42" t="n">
        <f aca="false">IF(AND(ISNUMBER($K127),$K127&gt;0),$P127/$K127,"")</f>
        <v>0.2</v>
      </c>
      <c r="R127" s="43"/>
      <c r="S127" s="44" t="str">
        <f aca="false">IF(OR(NOT(ISNUMBER($R127)),$R127=0,NOT(ISNUMBER($K127))),"",$K127*(1-$R127))</f>
        <v/>
      </c>
      <c r="T127" s="45" t="str">
        <f aca="false">IF(ISNUMBER($S127),$S127*$H127,"")</f>
        <v/>
      </c>
      <c r="U127" s="45" t="str">
        <f aca="false">IF(ISNUMBER($S127),$S127*Parâmetros!$B$9,"")</f>
        <v/>
      </c>
      <c r="V127" s="45" t="str">
        <f aca="false">IF(ISNUMBER($S127),$S127*Parâmetros!$C$9,"")</f>
        <v/>
      </c>
      <c r="W127" s="44" t="str">
        <f aca="false">IF(ISNUMBER($S127),$S127-$D127-IF(ISNUMBER($E127),$E127,0)-$O127-$T127-$U127-$V127,"")</f>
        <v/>
      </c>
      <c r="X127" s="46" t="str">
        <f aca="false">IF(AND(ISNUMBER($S127),$S127&gt;0),$W127/$S127,"")</f>
        <v/>
      </c>
      <c r="Y127" s="49"/>
      <c r="Z127" s="21"/>
    </row>
    <row r="128" customFormat="false" ht="15.75" hidden="false" customHeight="true" outlineLevel="0" collapsed="false">
      <c r="A128" s="32" t="str">
        <f aca="false">IF(Produtos!$A128="","",Produtos!$A128)</f>
        <v>P4060-C</v>
      </c>
      <c r="B128" s="32" t="str">
        <f aca="false">IF(Produtos!$A128="","",Produtos!$B128)</f>
        <v>Lixeira Pedal de Aço inox 40x60 75L Tampa colorido</v>
      </c>
      <c r="C128" s="32" t="str">
        <f aca="false">IF(Produtos!$A128="","",Produtos!$C128)</f>
        <v>Lixeiras com pedal</v>
      </c>
      <c r="D128" s="33" t="n">
        <f aca="false">IF(Produtos!$A128="","",IF(Produtos!$D128="","",Produtos!$D128))</f>
        <v>423.07</v>
      </c>
      <c r="E128" s="11" t="n">
        <v>0</v>
      </c>
      <c r="F128" s="34" t="n">
        <f aca="false">IF($A128="","",IF($C128="","⚠ categoria",IFERROR(INDEX(Parâmetros!$G$13:$G$22,MATCH($C128,Parâmetros!$A$13:$A$22,0)),"⚠ categoria")))</f>
        <v>0.18</v>
      </c>
      <c r="G128" s="35"/>
      <c r="H128" s="36" t="n">
        <f aca="false">IF($A128="","",IF(ISNUMBER($G128),$G128,IF(ISNUMBER($F128),$F128,"")))</f>
        <v>0.18</v>
      </c>
      <c r="I128" s="37" t="n">
        <f aca="false">IF(OR($A128="",NOT(ISNUMBER($D128)),NOT(ISNUMBER($H128))),"",IF((1-$H128-Parâmetros!$B$9-Parâmetros!$C$9-Parâmetros!$D$9)&lt;=0,"INVALIDO",($D128+IF(ISNUMBER($E128),$E128,0)+IF(ISNUMBER(Parâmetros!$E$9),Parâmetros!$E$9,0))/(1-$H128-Parâmetros!$B$9-Parâmetros!$C$9-Parâmetros!$D$9)))</f>
        <v>863.408163265306</v>
      </c>
      <c r="J128" s="38"/>
      <c r="K128" s="39" t="n">
        <f aca="false">IF(OR($A128="",NOT(ISNUMBER($D128)),NOT(ISNUMBER($H128))),"",IF(AND(ISNUMBER($J128),$J128&gt;0),$J128,IF(ISNUMBER($I128),$I128,"")))</f>
        <v>863.408163265306</v>
      </c>
      <c r="L128" s="40" t="n">
        <f aca="false">IF(ISNUMBER($K128),$K128*$H128,"")</f>
        <v>155.413469387755</v>
      </c>
      <c r="M128" s="40" t="n">
        <f aca="false">IF(ISNUMBER($K128),$K128*Parâmetros!$B$9,"")</f>
        <v>86.3408163265306</v>
      </c>
      <c r="N128" s="40" t="n">
        <f aca="false">IF(ISNUMBER($K128),$K128*Parâmetros!$C$9,"")</f>
        <v>25.9022448979592</v>
      </c>
      <c r="O128" s="40" t="n">
        <f aca="false">IF(ISNUMBER($K128),IF(ISNUMBER(Parâmetros!$E$9),Parâmetros!$E$9,0),"")</f>
        <v>0</v>
      </c>
      <c r="P128" s="41" t="n">
        <f aca="false">IF(ISNUMBER($K128),$K128-$D128-IF(ISNUMBER($E128),$E128,0)-$L128-$M128-$N128-$O128,"")</f>
        <v>172.681632653061</v>
      </c>
      <c r="Q128" s="42" t="n">
        <f aca="false">IF(AND(ISNUMBER($K128),$K128&gt;0),$P128/$K128,"")</f>
        <v>0.2</v>
      </c>
      <c r="R128" s="43"/>
      <c r="S128" s="44" t="str">
        <f aca="false">IF(OR(NOT(ISNUMBER($R128)),$R128=0,NOT(ISNUMBER($K128))),"",$K128*(1-$R128))</f>
        <v/>
      </c>
      <c r="T128" s="45" t="str">
        <f aca="false">IF(ISNUMBER($S128),$S128*$H128,"")</f>
        <v/>
      </c>
      <c r="U128" s="45" t="str">
        <f aca="false">IF(ISNUMBER($S128),$S128*Parâmetros!$B$9,"")</f>
        <v/>
      </c>
      <c r="V128" s="45" t="str">
        <f aca="false">IF(ISNUMBER($S128),$S128*Parâmetros!$C$9,"")</f>
        <v/>
      </c>
      <c r="W128" s="44" t="str">
        <f aca="false">IF(ISNUMBER($S128),$S128-$D128-IF(ISNUMBER($E128),$E128,0)-$O128-$T128-$U128-$V128,"")</f>
        <v/>
      </c>
      <c r="X128" s="46" t="str">
        <f aca="false">IF(AND(ISNUMBER($S128),$S128&gt;0),$W128/$S128,"")</f>
        <v/>
      </c>
      <c r="Y128" s="47"/>
      <c r="Z128" s="19"/>
    </row>
    <row r="129" customFormat="false" ht="15.75" hidden="false" customHeight="true" outlineLevel="0" collapsed="false">
      <c r="A129" s="48" t="str">
        <f aca="false">IF(Produtos!$A129="","",Produtos!$A129)</f>
        <v>P4070-C</v>
      </c>
      <c r="B129" s="48" t="str">
        <f aca="false">IF(Produtos!$A129="","",Produtos!$B129)</f>
        <v>Lixeira Pedal de Aço inox 40x70 80L Tampa colorido</v>
      </c>
      <c r="C129" s="48" t="str">
        <f aca="false">IF(Produtos!$A129="","",Produtos!$C129)</f>
        <v>Lixeiras com pedal</v>
      </c>
      <c r="D129" s="33" t="n">
        <f aca="false">IF(Produtos!$A129="","",IF(Produtos!$D129="","",Produtos!$D129))</f>
        <v>428.49</v>
      </c>
      <c r="E129" s="11" t="n">
        <v>0</v>
      </c>
      <c r="F129" s="34" t="n">
        <f aca="false">IF($A129="","",IF($C129="","⚠ categoria",IFERROR(INDEX(Parâmetros!$G$13:$G$22,MATCH($C129,Parâmetros!$A$13:$A$22,0)),"⚠ categoria")))</f>
        <v>0.18</v>
      </c>
      <c r="G129" s="35"/>
      <c r="H129" s="36" t="n">
        <f aca="false">IF($A129="","",IF(ISNUMBER($G129),$G129,IF(ISNUMBER($F129),$F129,"")))</f>
        <v>0.18</v>
      </c>
      <c r="I129" s="37" t="n">
        <f aca="false">IF(OR($A129="",NOT(ISNUMBER($D129)),NOT(ISNUMBER($H129))),"",IF((1-$H129-Parâmetros!$B$9-Parâmetros!$C$9-Parâmetros!$D$9)&lt;=0,"INVALIDO",($D129+IF(ISNUMBER($E129),$E129,0)+IF(ISNUMBER(Parâmetros!$E$9),Parâmetros!$E$9,0))/(1-$H129-Parâmetros!$B$9-Parâmetros!$C$9-Parâmetros!$D$9)))</f>
        <v>874.469387755102</v>
      </c>
      <c r="J129" s="38"/>
      <c r="K129" s="39" t="n">
        <f aca="false">IF(OR($A129="",NOT(ISNUMBER($D129)),NOT(ISNUMBER($H129))),"",IF(AND(ISNUMBER($J129),$J129&gt;0),$J129,IF(ISNUMBER($I129),$I129,"")))</f>
        <v>874.469387755102</v>
      </c>
      <c r="L129" s="40" t="n">
        <f aca="false">IF(ISNUMBER($K129),$K129*$H129,"")</f>
        <v>157.404489795918</v>
      </c>
      <c r="M129" s="40" t="n">
        <f aca="false">IF(ISNUMBER($K129),$K129*Parâmetros!$B$9,"")</f>
        <v>87.4469387755102</v>
      </c>
      <c r="N129" s="40" t="n">
        <f aca="false">IF(ISNUMBER($K129),$K129*Parâmetros!$C$9,"")</f>
        <v>26.2340816326531</v>
      </c>
      <c r="O129" s="40" t="n">
        <f aca="false">IF(ISNUMBER($K129),IF(ISNUMBER(Parâmetros!$E$9),Parâmetros!$E$9,0),"")</f>
        <v>0</v>
      </c>
      <c r="P129" s="41" t="n">
        <f aca="false">IF(ISNUMBER($K129),$K129-$D129-IF(ISNUMBER($E129),$E129,0)-$L129-$M129-$N129-$O129,"")</f>
        <v>174.89387755102</v>
      </c>
      <c r="Q129" s="42" t="n">
        <f aca="false">IF(AND(ISNUMBER($K129),$K129&gt;0),$P129/$K129,"")</f>
        <v>0.2</v>
      </c>
      <c r="R129" s="43"/>
      <c r="S129" s="44" t="str">
        <f aca="false">IF(OR(NOT(ISNUMBER($R129)),$R129=0,NOT(ISNUMBER($K129))),"",$K129*(1-$R129))</f>
        <v/>
      </c>
      <c r="T129" s="45" t="str">
        <f aca="false">IF(ISNUMBER($S129),$S129*$H129,"")</f>
        <v/>
      </c>
      <c r="U129" s="45" t="str">
        <f aca="false">IF(ISNUMBER($S129),$S129*Parâmetros!$B$9,"")</f>
        <v/>
      </c>
      <c r="V129" s="45" t="str">
        <f aca="false">IF(ISNUMBER($S129),$S129*Parâmetros!$C$9,"")</f>
        <v/>
      </c>
      <c r="W129" s="44" t="str">
        <f aca="false">IF(ISNUMBER($S129),$S129-$D129-IF(ISNUMBER($E129),$E129,0)-$O129-$T129-$U129-$V129,"")</f>
        <v/>
      </c>
      <c r="X129" s="46" t="str">
        <f aca="false">IF(AND(ISNUMBER($S129),$S129&gt;0),$W129/$S129,"")</f>
        <v/>
      </c>
      <c r="Y129" s="49"/>
      <c r="Z129" s="21"/>
    </row>
    <row r="130" customFormat="false" ht="15.75" hidden="false" customHeight="true" outlineLevel="0" collapsed="false">
      <c r="A130" s="32" t="str">
        <f aca="false">IF(Produtos!$A130="","",Produtos!$A130)</f>
        <v>P4075-C</v>
      </c>
      <c r="B130" s="32" t="str">
        <f aca="false">IF(Produtos!$A130="","",Produtos!$B130)</f>
        <v>Lixeira Pedal de Aço inox 40x75 95L Tampa colorido</v>
      </c>
      <c r="C130" s="32" t="str">
        <f aca="false">IF(Produtos!$A130="","",Produtos!$C130)</f>
        <v>Lixeiras com pedal</v>
      </c>
      <c r="D130" s="33" t="n">
        <f aca="false">IF(Produtos!$A130="","",IF(Produtos!$D130="","",Produtos!$D130))</f>
        <v>490.08</v>
      </c>
      <c r="E130" s="11" t="n">
        <v>0</v>
      </c>
      <c r="F130" s="34" t="n">
        <f aca="false">IF($A130="","",IF($C130="","⚠ categoria",IFERROR(INDEX(Parâmetros!$G$13:$G$22,MATCH($C130,Parâmetros!$A$13:$A$22,0)),"⚠ categoria")))</f>
        <v>0.18</v>
      </c>
      <c r="G130" s="35"/>
      <c r="H130" s="36" t="n">
        <f aca="false">IF($A130="","",IF(ISNUMBER($G130),$G130,IF(ISNUMBER($F130),$F130,"")))</f>
        <v>0.18</v>
      </c>
      <c r="I130" s="37" t="n">
        <f aca="false">IF(OR($A130="",NOT(ISNUMBER($D130)),NOT(ISNUMBER($H130))),"",IF((1-$H130-Parâmetros!$B$9-Parâmetros!$C$9-Parâmetros!$D$9)&lt;=0,"INVALIDO",($D130+IF(ISNUMBER($E130),$E130,0)+IF(ISNUMBER(Parâmetros!$E$9),Parâmetros!$E$9,0))/(1-$H130-Parâmetros!$B$9-Parâmetros!$C$9-Parâmetros!$D$9)))</f>
        <v>1000.16326530612</v>
      </c>
      <c r="J130" s="38"/>
      <c r="K130" s="39" t="n">
        <f aca="false">IF(OR($A130="",NOT(ISNUMBER($D130)),NOT(ISNUMBER($H130))),"",IF(AND(ISNUMBER($J130),$J130&gt;0),$J130,IF(ISNUMBER($I130),$I130,"")))</f>
        <v>1000.16326530612</v>
      </c>
      <c r="L130" s="40" t="n">
        <f aca="false">IF(ISNUMBER($K130),$K130*$H130,"")</f>
        <v>180.029387755102</v>
      </c>
      <c r="M130" s="40" t="n">
        <f aca="false">IF(ISNUMBER($K130),$K130*Parâmetros!$B$9,"")</f>
        <v>100.016326530612</v>
      </c>
      <c r="N130" s="40" t="n">
        <f aca="false">IF(ISNUMBER($K130),$K130*Parâmetros!$C$9,"")</f>
        <v>30.0048979591837</v>
      </c>
      <c r="O130" s="40" t="n">
        <f aca="false">IF(ISNUMBER($K130),IF(ISNUMBER(Parâmetros!$E$9),Parâmetros!$E$9,0),"")</f>
        <v>0</v>
      </c>
      <c r="P130" s="41" t="n">
        <f aca="false">IF(ISNUMBER($K130),$K130-$D130-IF(ISNUMBER($E130),$E130,0)-$L130-$M130-$N130-$O130,"")</f>
        <v>200.032653061224</v>
      </c>
      <c r="Q130" s="42" t="n">
        <f aca="false">IF(AND(ISNUMBER($K130),$K130&gt;0),$P130/$K130,"")</f>
        <v>0.2</v>
      </c>
      <c r="R130" s="43"/>
      <c r="S130" s="44" t="str">
        <f aca="false">IF(OR(NOT(ISNUMBER($R130)),$R130=0,NOT(ISNUMBER($K130))),"",$K130*(1-$R130))</f>
        <v/>
      </c>
      <c r="T130" s="45" t="str">
        <f aca="false">IF(ISNUMBER($S130),$S130*$H130,"")</f>
        <v/>
      </c>
      <c r="U130" s="45" t="str">
        <f aca="false">IF(ISNUMBER($S130),$S130*Parâmetros!$B$9,"")</f>
        <v/>
      </c>
      <c r="V130" s="45" t="str">
        <f aca="false">IF(ISNUMBER($S130),$S130*Parâmetros!$C$9,"")</f>
        <v/>
      </c>
      <c r="W130" s="44" t="str">
        <f aca="false">IF(ISNUMBER($S130),$S130-$D130-IF(ISNUMBER($E130),$E130,0)-$O130-$T130-$U130-$V130,"")</f>
        <v/>
      </c>
      <c r="X130" s="46" t="str">
        <f aca="false">IF(AND(ISNUMBER($S130),$S130&gt;0),$W130/$S130,"")</f>
        <v/>
      </c>
      <c r="Y130" s="47"/>
      <c r="Z130" s="19"/>
    </row>
    <row r="131" customFormat="false" ht="15.75" hidden="false" customHeight="true" outlineLevel="0" collapsed="false">
      <c r="A131" s="48" t="str">
        <f aca="false">IF(Produtos!$A131="","",Produtos!$A131)</f>
        <v>P4080-C</v>
      </c>
      <c r="B131" s="48" t="str">
        <f aca="false">IF(Produtos!$A131="","",Produtos!$B131)</f>
        <v>Lixeira Pedal de Aço inox 40x80 100L Tampa colorido</v>
      </c>
      <c r="C131" s="48" t="str">
        <f aca="false">IF(Produtos!$A131="","",Produtos!$C131)</f>
        <v>Lixeiras com pedal</v>
      </c>
      <c r="D131" s="33" t="n">
        <f aca="false">IF(Produtos!$A131="","",IF(Produtos!$D131="","",Produtos!$D131))</f>
        <v>548.77</v>
      </c>
      <c r="E131" s="11" t="n">
        <v>0</v>
      </c>
      <c r="F131" s="34" t="n">
        <f aca="false">IF($A131="","",IF($C131="","⚠ categoria",IFERROR(INDEX(Parâmetros!$G$13:$G$22,MATCH($C131,Parâmetros!$A$13:$A$22,0)),"⚠ categoria")))</f>
        <v>0.18</v>
      </c>
      <c r="G131" s="35"/>
      <c r="H131" s="36" t="n">
        <f aca="false">IF($A131="","",IF(ISNUMBER($G131),$G131,IF(ISNUMBER($F131),$F131,"")))</f>
        <v>0.18</v>
      </c>
      <c r="I131" s="37" t="n">
        <f aca="false">IF(OR($A131="",NOT(ISNUMBER($D131)),NOT(ISNUMBER($H131))),"",IF((1-$H131-Parâmetros!$B$9-Parâmetros!$C$9-Parâmetros!$D$9)&lt;=0,"INVALIDO",($D131+IF(ISNUMBER($E131),$E131,0)+IF(ISNUMBER(Parâmetros!$E$9),Parâmetros!$E$9,0))/(1-$H131-Parâmetros!$B$9-Parâmetros!$C$9-Parâmetros!$D$9)))</f>
        <v>1119.9387755102</v>
      </c>
      <c r="J131" s="38"/>
      <c r="K131" s="39" t="n">
        <f aca="false">IF(OR($A131="",NOT(ISNUMBER($D131)),NOT(ISNUMBER($H131))),"",IF(AND(ISNUMBER($J131),$J131&gt;0),$J131,IF(ISNUMBER($I131),$I131,"")))</f>
        <v>1119.9387755102</v>
      </c>
      <c r="L131" s="40" t="n">
        <f aca="false">IF(ISNUMBER($K131),$K131*$H131,"")</f>
        <v>201.588979591837</v>
      </c>
      <c r="M131" s="40" t="n">
        <f aca="false">IF(ISNUMBER($K131),$K131*Parâmetros!$B$9,"")</f>
        <v>111.99387755102</v>
      </c>
      <c r="N131" s="40" t="n">
        <f aca="false">IF(ISNUMBER($K131),$K131*Parâmetros!$C$9,"")</f>
        <v>33.5981632653061</v>
      </c>
      <c r="O131" s="40" t="n">
        <f aca="false">IF(ISNUMBER($K131),IF(ISNUMBER(Parâmetros!$E$9),Parâmetros!$E$9,0),"")</f>
        <v>0</v>
      </c>
      <c r="P131" s="41" t="n">
        <f aca="false">IF(ISNUMBER($K131),$K131-$D131-IF(ISNUMBER($E131),$E131,0)-$L131-$M131-$N131-$O131,"")</f>
        <v>223.987755102041</v>
      </c>
      <c r="Q131" s="42" t="n">
        <f aca="false">IF(AND(ISNUMBER($K131),$K131&gt;0),$P131/$K131,"")</f>
        <v>0.2</v>
      </c>
      <c r="R131" s="43"/>
      <c r="S131" s="44" t="str">
        <f aca="false">IF(OR(NOT(ISNUMBER($R131)),$R131=0,NOT(ISNUMBER($K131))),"",$K131*(1-$R131))</f>
        <v/>
      </c>
      <c r="T131" s="45" t="str">
        <f aca="false">IF(ISNUMBER($S131),$S131*$H131,"")</f>
        <v/>
      </c>
      <c r="U131" s="45" t="str">
        <f aca="false">IF(ISNUMBER($S131),$S131*Parâmetros!$B$9,"")</f>
        <v/>
      </c>
      <c r="V131" s="45" t="str">
        <f aca="false">IF(ISNUMBER($S131),$S131*Parâmetros!$C$9,"")</f>
        <v/>
      </c>
      <c r="W131" s="44" t="str">
        <f aca="false">IF(ISNUMBER($S131),$S131-$D131-IF(ISNUMBER($E131),$E131,0)-$O131-$T131-$U131-$V131,"")</f>
        <v/>
      </c>
      <c r="X131" s="46" t="str">
        <f aca="false">IF(AND(ISNUMBER($S131),$S131&gt;0),$W131/$S131,"")</f>
        <v/>
      </c>
      <c r="Y131" s="49"/>
      <c r="Z131" s="21"/>
    </row>
    <row r="132" customFormat="false" ht="15.75" hidden="false" customHeight="true" outlineLevel="0" collapsed="false">
      <c r="A132" s="32" t="str">
        <f aca="false">IF(Produtos!$A132="","",Produtos!$A132)</f>
        <v>P4090-C</v>
      </c>
      <c r="B132" s="32" t="str">
        <f aca="false">IF(Produtos!$A132="","",Produtos!$B132)</f>
        <v>Lixeira Pedal de Aço inox 40x90 120L Tampa colorido</v>
      </c>
      <c r="C132" s="32" t="str">
        <f aca="false">IF(Produtos!$A132="","",Produtos!$C132)</f>
        <v>Lixeiras com pedal</v>
      </c>
      <c r="D132" s="33" t="n">
        <f aca="false">IF(Produtos!$A132="","",IF(Produtos!$D132="","",Produtos!$D132))</f>
        <v>793.7</v>
      </c>
      <c r="E132" s="11" t="n">
        <v>0</v>
      </c>
      <c r="F132" s="34" t="n">
        <f aca="false">IF($A132="","",IF($C132="","⚠ categoria",IFERROR(INDEX(Parâmetros!$G$13:$G$22,MATCH($C132,Parâmetros!$A$13:$A$22,0)),"⚠ categoria")))</f>
        <v>0.18</v>
      </c>
      <c r="G132" s="35"/>
      <c r="H132" s="36" t="n">
        <f aca="false">IF($A132="","",IF(ISNUMBER($G132),$G132,IF(ISNUMBER($F132),$F132,"")))</f>
        <v>0.18</v>
      </c>
      <c r="I132" s="37" t="n">
        <f aca="false">IF(OR($A132="",NOT(ISNUMBER($D132)),NOT(ISNUMBER($H132))),"",IF((1-$H132-Parâmetros!$B$9-Parâmetros!$C$9-Parâmetros!$D$9)&lt;=0,"INVALIDO",($D132+IF(ISNUMBER($E132),$E132,0)+IF(ISNUMBER(Parâmetros!$E$9),Parâmetros!$E$9,0))/(1-$H132-Parâmetros!$B$9-Parâmetros!$C$9-Parâmetros!$D$9)))</f>
        <v>1619.79591836735</v>
      </c>
      <c r="J132" s="38"/>
      <c r="K132" s="39" t="n">
        <f aca="false">IF(OR($A132="",NOT(ISNUMBER($D132)),NOT(ISNUMBER($H132))),"",IF(AND(ISNUMBER($J132),$J132&gt;0),$J132,IF(ISNUMBER($I132),$I132,"")))</f>
        <v>1619.79591836735</v>
      </c>
      <c r="L132" s="40" t="n">
        <f aca="false">IF(ISNUMBER($K132),$K132*$H132,"")</f>
        <v>291.563265306122</v>
      </c>
      <c r="M132" s="40" t="n">
        <f aca="false">IF(ISNUMBER($K132),$K132*Parâmetros!$B$9,"")</f>
        <v>161.979591836735</v>
      </c>
      <c r="N132" s="40" t="n">
        <f aca="false">IF(ISNUMBER($K132),$K132*Parâmetros!$C$9,"")</f>
        <v>48.5938775510204</v>
      </c>
      <c r="O132" s="40" t="n">
        <f aca="false">IF(ISNUMBER($K132),IF(ISNUMBER(Parâmetros!$E$9),Parâmetros!$E$9,0),"")</f>
        <v>0</v>
      </c>
      <c r="P132" s="41" t="n">
        <f aca="false">IF(ISNUMBER($K132),$K132-$D132-IF(ISNUMBER($E132),$E132,0)-$L132-$M132-$N132-$O132,"")</f>
        <v>323.959183673469</v>
      </c>
      <c r="Q132" s="42" t="n">
        <f aca="false">IF(AND(ISNUMBER($K132),$K132&gt;0),$P132/$K132,"")</f>
        <v>0.2</v>
      </c>
      <c r="R132" s="43"/>
      <c r="S132" s="44" t="str">
        <f aca="false">IF(OR(NOT(ISNUMBER($R132)),$R132=0,NOT(ISNUMBER($K132))),"",$K132*(1-$R132))</f>
        <v/>
      </c>
      <c r="T132" s="45" t="str">
        <f aca="false">IF(ISNUMBER($S132),$S132*$H132,"")</f>
        <v/>
      </c>
      <c r="U132" s="45" t="str">
        <f aca="false">IF(ISNUMBER($S132),$S132*Parâmetros!$B$9,"")</f>
        <v/>
      </c>
      <c r="V132" s="45" t="str">
        <f aca="false">IF(ISNUMBER($S132),$S132*Parâmetros!$C$9,"")</f>
        <v/>
      </c>
      <c r="W132" s="44" t="str">
        <f aca="false">IF(ISNUMBER($S132),$S132-$D132-IF(ISNUMBER($E132),$E132,0)-$O132-$T132-$U132-$V132,"")</f>
        <v/>
      </c>
      <c r="X132" s="46" t="str">
        <f aca="false">IF(AND(ISNUMBER($S132),$S132&gt;0),$W132/$S132,"")</f>
        <v/>
      </c>
      <c r="Y132" s="47"/>
      <c r="Z132" s="19"/>
    </row>
    <row r="133" customFormat="false" ht="15.75" hidden="false" customHeight="true" outlineLevel="0" collapsed="false">
      <c r="A133" s="48" t="str">
        <f aca="false">IF(Produtos!$A133="","",Produtos!$A133)</f>
        <v>L2425-AC</v>
      </c>
      <c r="B133" s="48" t="str">
        <f aca="false">IF(Produtos!$A133="","",Produtos!$B133)</f>
        <v>Lixeira c/Aro Colorido 24x25 13L</v>
      </c>
      <c r="C133" s="48" t="str">
        <f aca="false">IF(Produtos!$A133="","",Produtos!$C133)</f>
        <v>Lixeiras em inox</v>
      </c>
      <c r="D133" s="33" t="n">
        <f aca="false">IF(Produtos!$A133="","",IF(Produtos!$D133="","",Produtos!$D133))</f>
        <v>95.49</v>
      </c>
      <c r="E133" s="11" t="n">
        <v>0</v>
      </c>
      <c r="F133" s="34" t="n">
        <f aca="false">IF($A133="","",IF($C133="","⚠ categoria",IFERROR(INDEX(Parâmetros!$G$13:$G$22,MATCH($C133,Parâmetros!$A$13:$A$22,0)),"⚠ categoria")))</f>
        <v>0.18</v>
      </c>
      <c r="G133" s="35"/>
      <c r="H133" s="36" t="n">
        <f aca="false">IF($A133="","",IF(ISNUMBER($G133),$G133,IF(ISNUMBER($F133),$F133,"")))</f>
        <v>0.18</v>
      </c>
      <c r="I133" s="37" t="n">
        <f aca="false">IF(OR($A133="",NOT(ISNUMBER($D133)),NOT(ISNUMBER($H133))),"",IF((1-$H133-Parâmetros!$B$9-Parâmetros!$C$9-Parâmetros!$D$9)&lt;=0,"INVALIDO",($D133+IF(ISNUMBER($E133),$E133,0)+IF(ISNUMBER(Parâmetros!$E$9),Parâmetros!$E$9,0))/(1-$H133-Parâmetros!$B$9-Parâmetros!$C$9-Parâmetros!$D$9)))</f>
        <v>194.877551020408</v>
      </c>
      <c r="J133" s="38"/>
      <c r="K133" s="39" t="n">
        <f aca="false">IF(OR($A133="",NOT(ISNUMBER($D133)),NOT(ISNUMBER($H133))),"",IF(AND(ISNUMBER($J133),$J133&gt;0),$J133,IF(ISNUMBER($I133),$I133,"")))</f>
        <v>194.877551020408</v>
      </c>
      <c r="L133" s="40" t="n">
        <f aca="false">IF(ISNUMBER($K133),$K133*$H133,"")</f>
        <v>35.0779591836735</v>
      </c>
      <c r="M133" s="40" t="n">
        <f aca="false">IF(ISNUMBER($K133),$K133*Parâmetros!$B$9,"")</f>
        <v>19.4877551020408</v>
      </c>
      <c r="N133" s="40" t="n">
        <f aca="false">IF(ISNUMBER($K133),$K133*Parâmetros!$C$9,"")</f>
        <v>5.84632653061224</v>
      </c>
      <c r="O133" s="40" t="n">
        <f aca="false">IF(ISNUMBER($K133),IF(ISNUMBER(Parâmetros!$E$9),Parâmetros!$E$9,0),"")</f>
        <v>0</v>
      </c>
      <c r="P133" s="41" t="n">
        <f aca="false">IF(ISNUMBER($K133),$K133-$D133-IF(ISNUMBER($E133),$E133,0)-$L133-$M133-$N133-$O133,"")</f>
        <v>38.9755102040816</v>
      </c>
      <c r="Q133" s="42" t="n">
        <f aca="false">IF(AND(ISNUMBER($K133),$K133&gt;0),$P133/$K133,"")</f>
        <v>0.2</v>
      </c>
      <c r="R133" s="43"/>
      <c r="S133" s="44" t="str">
        <f aca="false">IF(OR(NOT(ISNUMBER($R133)),$R133=0,NOT(ISNUMBER($K133))),"",$K133*(1-$R133))</f>
        <v/>
      </c>
      <c r="T133" s="45" t="str">
        <f aca="false">IF(ISNUMBER($S133),$S133*$H133,"")</f>
        <v/>
      </c>
      <c r="U133" s="45" t="str">
        <f aca="false">IF(ISNUMBER($S133),$S133*Parâmetros!$B$9,"")</f>
        <v/>
      </c>
      <c r="V133" s="45" t="str">
        <f aca="false">IF(ISNUMBER($S133),$S133*Parâmetros!$C$9,"")</f>
        <v/>
      </c>
      <c r="W133" s="44" t="str">
        <f aca="false">IF(ISNUMBER($S133),$S133-$D133-IF(ISNUMBER($E133),$E133,0)-$O133-$T133-$U133-$V133,"")</f>
        <v/>
      </c>
      <c r="X133" s="46" t="str">
        <f aca="false">IF(AND(ISNUMBER($S133),$S133&gt;0),$W133/$S133,"")</f>
        <v/>
      </c>
      <c r="Y133" s="49"/>
      <c r="Z133" s="21"/>
    </row>
    <row r="134" customFormat="false" ht="15.75" hidden="false" customHeight="true" outlineLevel="0" collapsed="false">
      <c r="A134" s="32" t="str">
        <f aca="false">IF(Produtos!$A134="","",Produtos!$A134)</f>
        <v>L2430-AC</v>
      </c>
      <c r="B134" s="32" t="str">
        <f aca="false">IF(Produtos!$A134="","",Produtos!$B134)</f>
        <v>Lixeira c/Aro Colorido 24x30 15L</v>
      </c>
      <c r="C134" s="32" t="str">
        <f aca="false">IF(Produtos!$A134="","",Produtos!$C134)</f>
        <v>Lixeiras em inox</v>
      </c>
      <c r="D134" s="33" t="n">
        <f aca="false">IF(Produtos!$A134="","",IF(Produtos!$D134="","",Produtos!$D134))</f>
        <v>104.2</v>
      </c>
      <c r="E134" s="11" t="n">
        <v>0</v>
      </c>
      <c r="F134" s="34" t="n">
        <f aca="false">IF($A134="","",IF($C134="","⚠ categoria",IFERROR(INDEX(Parâmetros!$G$13:$G$22,MATCH($C134,Parâmetros!$A$13:$A$22,0)),"⚠ categoria")))</f>
        <v>0.18</v>
      </c>
      <c r="G134" s="35"/>
      <c r="H134" s="36" t="n">
        <f aca="false">IF($A134="","",IF(ISNUMBER($G134),$G134,IF(ISNUMBER($F134),$F134,"")))</f>
        <v>0.18</v>
      </c>
      <c r="I134" s="37" t="n">
        <f aca="false">IF(OR($A134="",NOT(ISNUMBER($D134)),NOT(ISNUMBER($H134))),"",IF((1-$H134-Parâmetros!$B$9-Parâmetros!$C$9-Parâmetros!$D$9)&lt;=0,"INVALIDO",($D134+IF(ISNUMBER($E134),$E134,0)+IF(ISNUMBER(Parâmetros!$E$9),Parâmetros!$E$9,0))/(1-$H134-Parâmetros!$B$9-Parâmetros!$C$9-Parâmetros!$D$9)))</f>
        <v>212.65306122449</v>
      </c>
      <c r="J134" s="38"/>
      <c r="K134" s="39" t="n">
        <f aca="false">IF(OR($A134="",NOT(ISNUMBER($D134)),NOT(ISNUMBER($H134))),"",IF(AND(ISNUMBER($J134),$J134&gt;0),$J134,IF(ISNUMBER($I134),$I134,"")))</f>
        <v>212.65306122449</v>
      </c>
      <c r="L134" s="40" t="n">
        <f aca="false">IF(ISNUMBER($K134),$K134*$H134,"")</f>
        <v>38.2775510204082</v>
      </c>
      <c r="M134" s="40" t="n">
        <f aca="false">IF(ISNUMBER($K134),$K134*Parâmetros!$B$9,"")</f>
        <v>21.265306122449</v>
      </c>
      <c r="N134" s="40" t="n">
        <f aca="false">IF(ISNUMBER($K134),$K134*Parâmetros!$C$9,"")</f>
        <v>6.37959183673469</v>
      </c>
      <c r="O134" s="40" t="n">
        <f aca="false">IF(ISNUMBER($K134),IF(ISNUMBER(Parâmetros!$E$9),Parâmetros!$E$9,0),"")</f>
        <v>0</v>
      </c>
      <c r="P134" s="41" t="n">
        <f aca="false">IF(ISNUMBER($K134),$K134-$D134-IF(ISNUMBER($E134),$E134,0)-$L134-$M134-$N134-$O134,"")</f>
        <v>42.530612244898</v>
      </c>
      <c r="Q134" s="42" t="n">
        <f aca="false">IF(AND(ISNUMBER($K134),$K134&gt;0),$P134/$K134,"")</f>
        <v>0.2</v>
      </c>
      <c r="R134" s="43"/>
      <c r="S134" s="44" t="str">
        <f aca="false">IF(OR(NOT(ISNUMBER($R134)),$R134=0,NOT(ISNUMBER($K134))),"",$K134*(1-$R134))</f>
        <v/>
      </c>
      <c r="T134" s="45" t="str">
        <f aca="false">IF(ISNUMBER($S134),$S134*$H134,"")</f>
        <v/>
      </c>
      <c r="U134" s="45" t="str">
        <f aca="false">IF(ISNUMBER($S134),$S134*Parâmetros!$B$9,"")</f>
        <v/>
      </c>
      <c r="V134" s="45" t="str">
        <f aca="false">IF(ISNUMBER($S134),$S134*Parâmetros!$C$9,"")</f>
        <v/>
      </c>
      <c r="W134" s="44" t="str">
        <f aca="false">IF(ISNUMBER($S134),$S134-$D134-IF(ISNUMBER($E134),$E134,0)-$O134-$T134-$U134-$V134,"")</f>
        <v/>
      </c>
      <c r="X134" s="46" t="str">
        <f aca="false">IF(AND(ISNUMBER($S134),$S134&gt;0),$W134/$S134,"")</f>
        <v/>
      </c>
      <c r="Y134" s="47"/>
      <c r="Z134" s="19"/>
    </row>
    <row r="135" customFormat="false" ht="15.75" hidden="false" customHeight="true" outlineLevel="0" collapsed="false">
      <c r="A135" s="48" t="str">
        <f aca="false">IF(Produtos!$A135="","",Produtos!$A135)</f>
        <v>L2440-AC</v>
      </c>
      <c r="B135" s="48" t="str">
        <f aca="false">IF(Produtos!$A135="","",Produtos!$B135)</f>
        <v>Lixeira c/Aro Colorido 24x40 20L</v>
      </c>
      <c r="C135" s="48" t="str">
        <f aca="false">IF(Produtos!$A135="","",Produtos!$C135)</f>
        <v>Lixeiras em inox</v>
      </c>
      <c r="D135" s="33" t="n">
        <f aca="false">IF(Produtos!$A135="","",IF(Produtos!$D135="","",Produtos!$D135))</f>
        <v>115.16</v>
      </c>
      <c r="E135" s="11" t="n">
        <v>0</v>
      </c>
      <c r="F135" s="34" t="n">
        <f aca="false">IF($A135="","",IF($C135="","⚠ categoria",IFERROR(INDEX(Parâmetros!$G$13:$G$22,MATCH($C135,Parâmetros!$A$13:$A$22,0)),"⚠ categoria")))</f>
        <v>0.18</v>
      </c>
      <c r="G135" s="35"/>
      <c r="H135" s="36" t="n">
        <f aca="false">IF($A135="","",IF(ISNUMBER($G135),$G135,IF(ISNUMBER($F135),$F135,"")))</f>
        <v>0.18</v>
      </c>
      <c r="I135" s="37" t="n">
        <f aca="false">IF(OR($A135="",NOT(ISNUMBER($D135)),NOT(ISNUMBER($H135))),"",IF((1-$H135-Parâmetros!$B$9-Parâmetros!$C$9-Parâmetros!$D$9)&lt;=0,"INVALIDO",($D135+IF(ISNUMBER($E135),$E135,0)+IF(ISNUMBER(Parâmetros!$E$9),Parâmetros!$E$9,0))/(1-$H135-Parâmetros!$B$9-Parâmetros!$C$9-Parâmetros!$D$9)))</f>
        <v>235.020408163265</v>
      </c>
      <c r="J135" s="38"/>
      <c r="K135" s="39" t="n">
        <f aca="false">IF(OR($A135="",NOT(ISNUMBER($D135)),NOT(ISNUMBER($H135))),"",IF(AND(ISNUMBER($J135),$J135&gt;0),$J135,IF(ISNUMBER($I135),$I135,"")))</f>
        <v>235.020408163265</v>
      </c>
      <c r="L135" s="40" t="n">
        <f aca="false">IF(ISNUMBER($K135),$K135*$H135,"")</f>
        <v>42.3036734693877</v>
      </c>
      <c r="M135" s="40" t="n">
        <f aca="false">IF(ISNUMBER($K135),$K135*Parâmetros!$B$9,"")</f>
        <v>23.5020408163265</v>
      </c>
      <c r="N135" s="40" t="n">
        <f aca="false">IF(ISNUMBER($K135),$K135*Parâmetros!$C$9,"")</f>
        <v>7.05061224489796</v>
      </c>
      <c r="O135" s="40" t="n">
        <f aca="false">IF(ISNUMBER($K135),IF(ISNUMBER(Parâmetros!$E$9),Parâmetros!$E$9,0),"")</f>
        <v>0</v>
      </c>
      <c r="P135" s="41" t="n">
        <f aca="false">IF(ISNUMBER($K135),$K135-$D135-IF(ISNUMBER($E135),$E135,0)-$L135-$M135-$N135-$O135,"")</f>
        <v>47.0040816326531</v>
      </c>
      <c r="Q135" s="42" t="n">
        <f aca="false">IF(AND(ISNUMBER($K135),$K135&gt;0),$P135/$K135,"")</f>
        <v>0.2</v>
      </c>
      <c r="R135" s="43"/>
      <c r="S135" s="44" t="str">
        <f aca="false">IF(OR(NOT(ISNUMBER($R135)),$R135=0,NOT(ISNUMBER($K135))),"",$K135*(1-$R135))</f>
        <v/>
      </c>
      <c r="T135" s="45" t="str">
        <f aca="false">IF(ISNUMBER($S135),$S135*$H135,"")</f>
        <v/>
      </c>
      <c r="U135" s="45" t="str">
        <f aca="false">IF(ISNUMBER($S135),$S135*Parâmetros!$B$9,"")</f>
        <v/>
      </c>
      <c r="V135" s="45" t="str">
        <f aca="false">IF(ISNUMBER($S135),$S135*Parâmetros!$C$9,"")</f>
        <v/>
      </c>
      <c r="W135" s="44" t="str">
        <f aca="false">IF(ISNUMBER($S135),$S135-$D135-IF(ISNUMBER($E135),$E135,0)-$O135-$T135-$U135-$V135,"")</f>
        <v/>
      </c>
      <c r="X135" s="46" t="str">
        <f aca="false">IF(AND(ISNUMBER($S135),$S135&gt;0),$W135/$S135,"")</f>
        <v/>
      </c>
      <c r="Y135" s="49"/>
      <c r="Z135" s="21"/>
    </row>
    <row r="136" customFormat="false" ht="15.75" hidden="false" customHeight="true" outlineLevel="0" collapsed="false">
      <c r="A136" s="32" t="str">
        <f aca="false">IF(Produtos!$A136="","",Produtos!$A136)</f>
        <v>L2450-AC</v>
      </c>
      <c r="B136" s="32" t="str">
        <f aca="false">IF(Produtos!$A136="","",Produtos!$B136)</f>
        <v>Lixeira c/Aro Colorido 24x50 25L</v>
      </c>
      <c r="C136" s="32" t="str">
        <f aca="false">IF(Produtos!$A136="","",Produtos!$C136)</f>
        <v>Lixeiras em inox</v>
      </c>
      <c r="D136" s="33" t="n">
        <f aca="false">IF(Produtos!$A136="","",IF(Produtos!$D136="","",Produtos!$D136))</f>
        <v>145.95</v>
      </c>
      <c r="E136" s="11" t="n">
        <v>0</v>
      </c>
      <c r="F136" s="34" t="n">
        <f aca="false">IF($A136="","",IF($C136="","⚠ categoria",IFERROR(INDEX(Parâmetros!$G$13:$G$22,MATCH($C136,Parâmetros!$A$13:$A$22,0)),"⚠ categoria")))</f>
        <v>0.18</v>
      </c>
      <c r="G136" s="35"/>
      <c r="H136" s="36" t="n">
        <f aca="false">IF($A136="","",IF(ISNUMBER($G136),$G136,IF(ISNUMBER($F136),$F136,"")))</f>
        <v>0.18</v>
      </c>
      <c r="I136" s="37" t="n">
        <f aca="false">IF(OR($A136="",NOT(ISNUMBER($D136)),NOT(ISNUMBER($H136))),"",IF((1-$H136-Parâmetros!$B$9-Parâmetros!$C$9-Parâmetros!$D$9)&lt;=0,"INVALIDO",($D136+IF(ISNUMBER($E136),$E136,0)+IF(ISNUMBER(Parâmetros!$E$9),Parâmetros!$E$9,0))/(1-$H136-Parâmetros!$B$9-Parâmetros!$C$9-Parâmetros!$D$9)))</f>
        <v>297.857142857143</v>
      </c>
      <c r="J136" s="38"/>
      <c r="K136" s="39" t="n">
        <f aca="false">IF(OR($A136="",NOT(ISNUMBER($D136)),NOT(ISNUMBER($H136))),"",IF(AND(ISNUMBER($J136),$J136&gt;0),$J136,IF(ISNUMBER($I136),$I136,"")))</f>
        <v>297.857142857143</v>
      </c>
      <c r="L136" s="40" t="n">
        <f aca="false">IF(ISNUMBER($K136),$K136*$H136,"")</f>
        <v>53.6142857142857</v>
      </c>
      <c r="M136" s="40" t="n">
        <f aca="false">IF(ISNUMBER($K136),$K136*Parâmetros!$B$9,"")</f>
        <v>29.7857142857143</v>
      </c>
      <c r="N136" s="40" t="n">
        <f aca="false">IF(ISNUMBER($K136),$K136*Parâmetros!$C$9,"")</f>
        <v>8.93571428571429</v>
      </c>
      <c r="O136" s="40" t="n">
        <f aca="false">IF(ISNUMBER($K136),IF(ISNUMBER(Parâmetros!$E$9),Parâmetros!$E$9,0),"")</f>
        <v>0</v>
      </c>
      <c r="P136" s="41" t="n">
        <f aca="false">IF(ISNUMBER($K136),$K136-$D136-IF(ISNUMBER($E136),$E136,0)-$L136-$M136-$N136-$O136,"")</f>
        <v>59.5714285714286</v>
      </c>
      <c r="Q136" s="42" t="n">
        <f aca="false">IF(AND(ISNUMBER($K136),$K136&gt;0),$P136/$K136,"")</f>
        <v>0.2</v>
      </c>
      <c r="R136" s="43"/>
      <c r="S136" s="44" t="str">
        <f aca="false">IF(OR(NOT(ISNUMBER($R136)),$R136=0,NOT(ISNUMBER($K136))),"",$K136*(1-$R136))</f>
        <v/>
      </c>
      <c r="T136" s="45" t="str">
        <f aca="false">IF(ISNUMBER($S136),$S136*$H136,"")</f>
        <v/>
      </c>
      <c r="U136" s="45" t="str">
        <f aca="false">IF(ISNUMBER($S136),$S136*Parâmetros!$B$9,"")</f>
        <v/>
      </c>
      <c r="V136" s="45" t="str">
        <f aca="false">IF(ISNUMBER($S136),$S136*Parâmetros!$C$9,"")</f>
        <v/>
      </c>
      <c r="W136" s="44" t="str">
        <f aca="false">IF(ISNUMBER($S136),$S136-$D136-IF(ISNUMBER($E136),$E136,0)-$O136-$T136-$U136-$V136,"")</f>
        <v/>
      </c>
      <c r="X136" s="46" t="str">
        <f aca="false">IF(AND(ISNUMBER($S136),$S136&gt;0),$W136/$S136,"")</f>
        <v/>
      </c>
      <c r="Y136" s="47"/>
      <c r="Z136" s="19"/>
    </row>
    <row r="137" customFormat="false" ht="15.75" hidden="false" customHeight="true" outlineLevel="0" collapsed="false">
      <c r="A137" s="48" t="str">
        <f aca="false">IF(Produtos!$A137="","",Produtos!$A137)</f>
        <v>L2460-AC</v>
      </c>
      <c r="B137" s="48" t="str">
        <f aca="false">IF(Produtos!$A137="","",Produtos!$B137)</f>
        <v>Lixeira c/Aro Colorido 24x60 27L</v>
      </c>
      <c r="C137" s="48" t="str">
        <f aca="false">IF(Produtos!$A137="","",Produtos!$C137)</f>
        <v>Lixeiras em inox</v>
      </c>
      <c r="D137" s="33" t="n">
        <f aca="false">IF(Produtos!$A137="","",IF(Produtos!$D137="","",Produtos!$D137))</f>
        <v>147.48</v>
      </c>
      <c r="E137" s="11" t="n">
        <v>0</v>
      </c>
      <c r="F137" s="34" t="n">
        <f aca="false">IF($A137="","",IF($C137="","⚠ categoria",IFERROR(INDEX(Parâmetros!$G$13:$G$22,MATCH($C137,Parâmetros!$A$13:$A$22,0)),"⚠ categoria")))</f>
        <v>0.18</v>
      </c>
      <c r="G137" s="35"/>
      <c r="H137" s="36" t="n">
        <f aca="false">IF($A137="","",IF(ISNUMBER($G137),$G137,IF(ISNUMBER($F137),$F137,"")))</f>
        <v>0.18</v>
      </c>
      <c r="I137" s="37" t="n">
        <f aca="false">IF(OR($A137="",NOT(ISNUMBER($D137)),NOT(ISNUMBER($H137))),"",IF((1-$H137-Parâmetros!$B$9-Parâmetros!$C$9-Parâmetros!$D$9)&lt;=0,"INVALIDO",($D137+IF(ISNUMBER($E137),$E137,0)+IF(ISNUMBER(Parâmetros!$E$9),Parâmetros!$E$9,0))/(1-$H137-Parâmetros!$B$9-Parâmetros!$C$9-Parâmetros!$D$9)))</f>
        <v>300.979591836735</v>
      </c>
      <c r="J137" s="38"/>
      <c r="K137" s="39" t="n">
        <f aca="false">IF(OR($A137="",NOT(ISNUMBER($D137)),NOT(ISNUMBER($H137))),"",IF(AND(ISNUMBER($J137),$J137&gt;0),$J137,IF(ISNUMBER($I137),$I137,"")))</f>
        <v>300.979591836735</v>
      </c>
      <c r="L137" s="40" t="n">
        <f aca="false">IF(ISNUMBER($K137),$K137*$H137,"")</f>
        <v>54.1763265306122</v>
      </c>
      <c r="M137" s="40" t="n">
        <f aca="false">IF(ISNUMBER($K137),$K137*Parâmetros!$B$9,"")</f>
        <v>30.0979591836735</v>
      </c>
      <c r="N137" s="40" t="n">
        <f aca="false">IF(ISNUMBER($K137),$K137*Parâmetros!$C$9,"")</f>
        <v>9.02938775510204</v>
      </c>
      <c r="O137" s="40" t="n">
        <f aca="false">IF(ISNUMBER($K137),IF(ISNUMBER(Parâmetros!$E$9),Parâmetros!$E$9,0),"")</f>
        <v>0</v>
      </c>
      <c r="P137" s="41" t="n">
        <f aca="false">IF(ISNUMBER($K137),$K137-$D137-IF(ISNUMBER($E137),$E137,0)-$L137-$M137-$N137-$O137,"")</f>
        <v>60.1959183673469</v>
      </c>
      <c r="Q137" s="42" t="n">
        <f aca="false">IF(AND(ISNUMBER($K137),$K137&gt;0),$P137/$K137,"")</f>
        <v>0.2</v>
      </c>
      <c r="R137" s="43"/>
      <c r="S137" s="44" t="str">
        <f aca="false">IF(OR(NOT(ISNUMBER($R137)),$R137=0,NOT(ISNUMBER($K137))),"",$K137*(1-$R137))</f>
        <v/>
      </c>
      <c r="T137" s="45" t="str">
        <f aca="false">IF(ISNUMBER($S137),$S137*$H137,"")</f>
        <v/>
      </c>
      <c r="U137" s="45" t="str">
        <f aca="false">IF(ISNUMBER($S137),$S137*Parâmetros!$B$9,"")</f>
        <v/>
      </c>
      <c r="V137" s="45" t="str">
        <f aca="false">IF(ISNUMBER($S137),$S137*Parâmetros!$C$9,"")</f>
        <v/>
      </c>
      <c r="W137" s="44" t="str">
        <f aca="false">IF(ISNUMBER($S137),$S137-$D137-IF(ISNUMBER($E137),$E137,0)-$O137-$T137-$U137-$V137,"")</f>
        <v/>
      </c>
      <c r="X137" s="46" t="str">
        <f aca="false">IF(AND(ISNUMBER($S137),$S137&gt;0),$W137/$S137,"")</f>
        <v/>
      </c>
      <c r="Y137" s="49"/>
      <c r="Z137" s="21"/>
    </row>
    <row r="138" customFormat="false" ht="15.75" hidden="false" customHeight="true" outlineLevel="0" collapsed="false">
      <c r="A138" s="32" t="str">
        <f aca="false">IF(Produtos!$A138="","",Produtos!$A138)</f>
        <v>L2470-AC</v>
      </c>
      <c r="B138" s="32" t="str">
        <f aca="false">IF(Produtos!$A138="","",Produtos!$B138)</f>
        <v>Lixeira c/Aro Colorido 24x70 30L</v>
      </c>
      <c r="C138" s="32" t="str">
        <f aca="false">IF(Produtos!$A138="","",Produtos!$C138)</f>
        <v>Lixeiras em inox</v>
      </c>
      <c r="D138" s="33" t="n">
        <f aca="false">IF(Produtos!$A138="","",IF(Produtos!$D138="","",Produtos!$D138))</f>
        <v>220.29</v>
      </c>
      <c r="E138" s="11" t="n">
        <v>0</v>
      </c>
      <c r="F138" s="34" t="n">
        <f aca="false">IF($A138="","",IF($C138="","⚠ categoria",IFERROR(INDEX(Parâmetros!$G$13:$G$22,MATCH($C138,Parâmetros!$A$13:$A$22,0)),"⚠ categoria")))</f>
        <v>0.18</v>
      </c>
      <c r="G138" s="35"/>
      <c r="H138" s="36" t="n">
        <f aca="false">IF($A138="","",IF(ISNUMBER($G138),$G138,IF(ISNUMBER($F138),$F138,"")))</f>
        <v>0.18</v>
      </c>
      <c r="I138" s="37" t="n">
        <f aca="false">IF(OR($A138="",NOT(ISNUMBER($D138)),NOT(ISNUMBER($H138))),"",IF((1-$H138-Parâmetros!$B$9-Parâmetros!$C$9-Parâmetros!$D$9)&lt;=0,"INVALIDO",($D138+IF(ISNUMBER($E138),$E138,0)+IF(ISNUMBER(Parâmetros!$E$9),Parâmetros!$E$9,0))/(1-$H138-Parâmetros!$B$9-Parâmetros!$C$9-Parâmetros!$D$9)))</f>
        <v>449.571428571429</v>
      </c>
      <c r="J138" s="38"/>
      <c r="K138" s="39" t="n">
        <f aca="false">IF(OR($A138="",NOT(ISNUMBER($D138)),NOT(ISNUMBER($H138))),"",IF(AND(ISNUMBER($J138),$J138&gt;0),$J138,IF(ISNUMBER($I138),$I138,"")))</f>
        <v>449.571428571429</v>
      </c>
      <c r="L138" s="40" t="n">
        <f aca="false">IF(ISNUMBER($K138),$K138*$H138,"")</f>
        <v>80.9228571428571</v>
      </c>
      <c r="M138" s="40" t="n">
        <f aca="false">IF(ISNUMBER($K138),$K138*Parâmetros!$B$9,"")</f>
        <v>44.9571428571429</v>
      </c>
      <c r="N138" s="40" t="n">
        <f aca="false">IF(ISNUMBER($K138),$K138*Parâmetros!$C$9,"")</f>
        <v>13.4871428571429</v>
      </c>
      <c r="O138" s="40" t="n">
        <f aca="false">IF(ISNUMBER($K138),IF(ISNUMBER(Parâmetros!$E$9),Parâmetros!$E$9,0),"")</f>
        <v>0</v>
      </c>
      <c r="P138" s="41" t="n">
        <f aca="false">IF(ISNUMBER($K138),$K138-$D138-IF(ISNUMBER($E138),$E138,0)-$L138-$M138-$N138-$O138,"")</f>
        <v>89.9142857142857</v>
      </c>
      <c r="Q138" s="42" t="n">
        <f aca="false">IF(AND(ISNUMBER($K138),$K138&gt;0),$P138/$K138,"")</f>
        <v>0.2</v>
      </c>
      <c r="R138" s="43"/>
      <c r="S138" s="44" t="str">
        <f aca="false">IF(OR(NOT(ISNUMBER($R138)),$R138=0,NOT(ISNUMBER($K138))),"",$K138*(1-$R138))</f>
        <v/>
      </c>
      <c r="T138" s="45" t="str">
        <f aca="false">IF(ISNUMBER($S138),$S138*$H138,"")</f>
        <v/>
      </c>
      <c r="U138" s="45" t="str">
        <f aca="false">IF(ISNUMBER($S138),$S138*Parâmetros!$B$9,"")</f>
        <v/>
      </c>
      <c r="V138" s="45" t="str">
        <f aca="false">IF(ISNUMBER($S138),$S138*Parâmetros!$C$9,"")</f>
        <v/>
      </c>
      <c r="W138" s="44" t="str">
        <f aca="false">IF(ISNUMBER($S138),$S138-$D138-IF(ISNUMBER($E138),$E138,0)-$O138-$T138-$U138-$V138,"")</f>
        <v/>
      </c>
      <c r="X138" s="46" t="str">
        <f aca="false">IF(AND(ISNUMBER($S138),$S138&gt;0),$W138/$S138,"")</f>
        <v/>
      </c>
      <c r="Y138" s="47"/>
      <c r="Z138" s="19"/>
    </row>
    <row r="139" customFormat="false" ht="15.75" hidden="false" customHeight="true" outlineLevel="0" collapsed="false">
      <c r="A139" s="48" t="str">
        <f aca="false">IF(Produtos!$A139="","",Produtos!$A139)</f>
        <v>L3040-AC</v>
      </c>
      <c r="B139" s="48" t="str">
        <f aca="false">IF(Produtos!$A139="","",Produtos!$B139)</f>
        <v>Lixeira c/Aro Colorido 30x40 30L</v>
      </c>
      <c r="C139" s="48" t="str">
        <f aca="false">IF(Produtos!$A139="","",Produtos!$C139)</f>
        <v>Lixeiras em inox</v>
      </c>
      <c r="D139" s="33" t="n">
        <f aca="false">IF(Produtos!$A139="","",IF(Produtos!$D139="","",Produtos!$D139))</f>
        <v>162.44</v>
      </c>
      <c r="E139" s="11" t="n">
        <v>0</v>
      </c>
      <c r="F139" s="34" t="n">
        <f aca="false">IF($A139="","",IF($C139="","⚠ categoria",IFERROR(INDEX(Parâmetros!$G$13:$G$22,MATCH($C139,Parâmetros!$A$13:$A$22,0)),"⚠ categoria")))</f>
        <v>0.18</v>
      </c>
      <c r="G139" s="35"/>
      <c r="H139" s="36" t="n">
        <f aca="false">IF($A139="","",IF(ISNUMBER($G139),$G139,IF(ISNUMBER($F139),$F139,"")))</f>
        <v>0.18</v>
      </c>
      <c r="I139" s="37" t="n">
        <f aca="false">IF(OR($A139="",NOT(ISNUMBER($D139)),NOT(ISNUMBER($H139))),"",IF((1-$H139-Parâmetros!$B$9-Parâmetros!$C$9-Parâmetros!$D$9)&lt;=0,"INVALIDO",($D139+IF(ISNUMBER($E139),$E139,0)+IF(ISNUMBER(Parâmetros!$E$9),Parâmetros!$E$9,0))/(1-$H139-Parâmetros!$B$9-Parâmetros!$C$9-Parâmetros!$D$9)))</f>
        <v>331.510204081633</v>
      </c>
      <c r="J139" s="38"/>
      <c r="K139" s="39" t="n">
        <f aca="false">IF(OR($A139="",NOT(ISNUMBER($D139)),NOT(ISNUMBER($H139))),"",IF(AND(ISNUMBER($J139),$J139&gt;0),$J139,IF(ISNUMBER($I139),$I139,"")))</f>
        <v>331.510204081633</v>
      </c>
      <c r="L139" s="40" t="n">
        <f aca="false">IF(ISNUMBER($K139),$K139*$H139,"")</f>
        <v>59.6718367346939</v>
      </c>
      <c r="M139" s="40" t="n">
        <f aca="false">IF(ISNUMBER($K139),$K139*Parâmetros!$B$9,"")</f>
        <v>33.1510204081633</v>
      </c>
      <c r="N139" s="40" t="n">
        <f aca="false">IF(ISNUMBER($K139),$K139*Parâmetros!$C$9,"")</f>
        <v>9.94530612244898</v>
      </c>
      <c r="O139" s="40" t="n">
        <f aca="false">IF(ISNUMBER($K139),IF(ISNUMBER(Parâmetros!$E$9),Parâmetros!$E$9,0),"")</f>
        <v>0</v>
      </c>
      <c r="P139" s="41" t="n">
        <f aca="false">IF(ISNUMBER($K139),$K139-$D139-IF(ISNUMBER($E139),$E139,0)-$L139-$M139-$N139-$O139,"")</f>
        <v>66.3020408163265</v>
      </c>
      <c r="Q139" s="42" t="n">
        <f aca="false">IF(AND(ISNUMBER($K139),$K139&gt;0),$P139/$K139,"")</f>
        <v>0.2</v>
      </c>
      <c r="R139" s="43"/>
      <c r="S139" s="44" t="str">
        <f aca="false">IF(OR(NOT(ISNUMBER($R139)),$R139=0,NOT(ISNUMBER($K139))),"",$K139*(1-$R139))</f>
        <v/>
      </c>
      <c r="T139" s="45" t="str">
        <f aca="false">IF(ISNUMBER($S139),$S139*$H139,"")</f>
        <v/>
      </c>
      <c r="U139" s="45" t="str">
        <f aca="false">IF(ISNUMBER($S139),$S139*Parâmetros!$B$9,"")</f>
        <v/>
      </c>
      <c r="V139" s="45" t="str">
        <f aca="false">IF(ISNUMBER($S139),$S139*Parâmetros!$C$9,"")</f>
        <v/>
      </c>
      <c r="W139" s="44" t="str">
        <f aca="false">IF(ISNUMBER($S139),$S139-$D139-IF(ISNUMBER($E139),$E139,0)-$O139-$T139-$U139-$V139,"")</f>
        <v/>
      </c>
      <c r="X139" s="46" t="str">
        <f aca="false">IF(AND(ISNUMBER($S139),$S139&gt;0),$W139/$S139,"")</f>
        <v/>
      </c>
      <c r="Y139" s="49"/>
      <c r="Z139" s="21"/>
    </row>
    <row r="140" customFormat="false" ht="15.75" hidden="false" customHeight="true" outlineLevel="0" collapsed="false">
      <c r="A140" s="32" t="str">
        <f aca="false">IF(Produtos!$A140="","",Produtos!$A140)</f>
        <v>L3050-AC</v>
      </c>
      <c r="B140" s="32" t="str">
        <f aca="false">IF(Produtos!$A140="","",Produtos!$B140)</f>
        <v>Lixeira c/Aro Colorido 30x50 35L</v>
      </c>
      <c r="C140" s="32" t="str">
        <f aca="false">IF(Produtos!$A140="","",Produtos!$C140)</f>
        <v>Lixeiras em inox</v>
      </c>
      <c r="D140" s="33" t="n">
        <f aca="false">IF(Produtos!$A140="","",IF(Produtos!$D140="","",Produtos!$D140))</f>
        <v>206.89</v>
      </c>
      <c r="E140" s="11" t="n">
        <v>0</v>
      </c>
      <c r="F140" s="34" t="n">
        <f aca="false">IF($A140="","",IF($C140="","⚠ categoria",IFERROR(INDEX(Parâmetros!$G$13:$G$22,MATCH($C140,Parâmetros!$A$13:$A$22,0)),"⚠ categoria")))</f>
        <v>0.18</v>
      </c>
      <c r="G140" s="35"/>
      <c r="H140" s="36" t="n">
        <f aca="false">IF($A140="","",IF(ISNUMBER($G140),$G140,IF(ISNUMBER($F140),$F140,"")))</f>
        <v>0.18</v>
      </c>
      <c r="I140" s="37" t="n">
        <f aca="false">IF(OR($A140="",NOT(ISNUMBER($D140)),NOT(ISNUMBER($H140))),"",IF((1-$H140-Parâmetros!$B$9-Parâmetros!$C$9-Parâmetros!$D$9)&lt;=0,"INVALIDO",($D140+IF(ISNUMBER($E140),$E140,0)+IF(ISNUMBER(Parâmetros!$E$9),Parâmetros!$E$9,0))/(1-$H140-Parâmetros!$B$9-Parâmetros!$C$9-Parâmetros!$D$9)))</f>
        <v>422.224489795918</v>
      </c>
      <c r="J140" s="38"/>
      <c r="K140" s="39" t="n">
        <f aca="false">IF(OR($A140="",NOT(ISNUMBER($D140)),NOT(ISNUMBER($H140))),"",IF(AND(ISNUMBER($J140),$J140&gt;0),$J140,IF(ISNUMBER($I140),$I140,"")))</f>
        <v>422.224489795918</v>
      </c>
      <c r="L140" s="40" t="n">
        <f aca="false">IF(ISNUMBER($K140),$K140*$H140,"")</f>
        <v>76.0004081632653</v>
      </c>
      <c r="M140" s="40" t="n">
        <f aca="false">IF(ISNUMBER($K140),$K140*Parâmetros!$B$9,"")</f>
        <v>42.2224489795918</v>
      </c>
      <c r="N140" s="40" t="n">
        <f aca="false">IF(ISNUMBER($K140),$K140*Parâmetros!$C$9,"")</f>
        <v>12.6667346938776</v>
      </c>
      <c r="O140" s="40" t="n">
        <f aca="false">IF(ISNUMBER($K140),IF(ISNUMBER(Parâmetros!$E$9),Parâmetros!$E$9,0),"")</f>
        <v>0</v>
      </c>
      <c r="P140" s="41" t="n">
        <f aca="false">IF(ISNUMBER($K140),$K140-$D140-IF(ISNUMBER($E140),$E140,0)-$L140-$M140-$N140-$O140,"")</f>
        <v>84.4448979591837</v>
      </c>
      <c r="Q140" s="42" t="n">
        <f aca="false">IF(AND(ISNUMBER($K140),$K140&gt;0),$P140/$K140,"")</f>
        <v>0.2</v>
      </c>
      <c r="R140" s="43"/>
      <c r="S140" s="44" t="str">
        <f aca="false">IF(OR(NOT(ISNUMBER($R140)),$R140=0,NOT(ISNUMBER($K140))),"",$K140*(1-$R140))</f>
        <v/>
      </c>
      <c r="T140" s="45" t="str">
        <f aca="false">IF(ISNUMBER($S140),$S140*$H140,"")</f>
        <v/>
      </c>
      <c r="U140" s="45" t="str">
        <f aca="false">IF(ISNUMBER($S140),$S140*Parâmetros!$B$9,"")</f>
        <v/>
      </c>
      <c r="V140" s="45" t="str">
        <f aca="false">IF(ISNUMBER($S140),$S140*Parâmetros!$C$9,"")</f>
        <v/>
      </c>
      <c r="W140" s="44" t="str">
        <f aca="false">IF(ISNUMBER($S140),$S140-$D140-IF(ISNUMBER($E140),$E140,0)-$O140-$T140-$U140-$V140,"")</f>
        <v/>
      </c>
      <c r="X140" s="46" t="str">
        <f aca="false">IF(AND(ISNUMBER($S140),$S140&gt;0),$W140/$S140,"")</f>
        <v/>
      </c>
      <c r="Y140" s="47"/>
      <c r="Z140" s="19"/>
    </row>
    <row r="141" customFormat="false" ht="15.75" hidden="false" customHeight="true" outlineLevel="0" collapsed="false">
      <c r="A141" s="48" t="str">
        <f aca="false">IF(Produtos!$A141="","",Produtos!$A141)</f>
        <v>L3060-AC</v>
      </c>
      <c r="B141" s="48" t="str">
        <f aca="false">IF(Produtos!$A141="","",Produtos!$B141)</f>
        <v>Lixeira c/Aro Colorido 30x60 40L</v>
      </c>
      <c r="C141" s="48" t="str">
        <f aca="false">IF(Produtos!$A141="","",Produtos!$C141)</f>
        <v>Lixeiras em inox</v>
      </c>
      <c r="D141" s="33" t="n">
        <f aca="false">IF(Produtos!$A141="","",IF(Produtos!$D141="","",Produtos!$D141))</f>
        <v>223.7</v>
      </c>
      <c r="E141" s="11" t="n">
        <v>0</v>
      </c>
      <c r="F141" s="34" t="n">
        <f aca="false">IF($A141="","",IF($C141="","⚠ categoria",IFERROR(INDEX(Parâmetros!$G$13:$G$22,MATCH($C141,Parâmetros!$A$13:$A$22,0)),"⚠ categoria")))</f>
        <v>0.18</v>
      </c>
      <c r="G141" s="35"/>
      <c r="H141" s="36" t="n">
        <f aca="false">IF($A141="","",IF(ISNUMBER($G141),$G141,IF(ISNUMBER($F141),$F141,"")))</f>
        <v>0.18</v>
      </c>
      <c r="I141" s="37" t="n">
        <f aca="false">IF(OR($A141="",NOT(ISNUMBER($D141)),NOT(ISNUMBER($H141))),"",IF((1-$H141-Parâmetros!$B$9-Parâmetros!$C$9-Parâmetros!$D$9)&lt;=0,"INVALIDO",($D141+IF(ISNUMBER($E141),$E141,0)+IF(ISNUMBER(Parâmetros!$E$9),Parâmetros!$E$9,0))/(1-$H141-Parâmetros!$B$9-Parâmetros!$C$9-Parâmetros!$D$9)))</f>
        <v>456.530612244898</v>
      </c>
      <c r="J141" s="38"/>
      <c r="K141" s="39" t="n">
        <f aca="false">IF(OR($A141="",NOT(ISNUMBER($D141)),NOT(ISNUMBER($H141))),"",IF(AND(ISNUMBER($J141),$J141&gt;0),$J141,IF(ISNUMBER($I141),$I141,"")))</f>
        <v>456.530612244898</v>
      </c>
      <c r="L141" s="40" t="n">
        <f aca="false">IF(ISNUMBER($K141),$K141*$H141,"")</f>
        <v>82.1755102040816</v>
      </c>
      <c r="M141" s="40" t="n">
        <f aca="false">IF(ISNUMBER($K141),$K141*Parâmetros!$B$9,"")</f>
        <v>45.6530612244898</v>
      </c>
      <c r="N141" s="40" t="n">
        <f aca="false">IF(ISNUMBER($K141),$K141*Parâmetros!$C$9,"")</f>
        <v>13.6959183673469</v>
      </c>
      <c r="O141" s="40" t="n">
        <f aca="false">IF(ISNUMBER($K141),IF(ISNUMBER(Parâmetros!$E$9),Parâmetros!$E$9,0),"")</f>
        <v>0</v>
      </c>
      <c r="P141" s="41" t="n">
        <f aca="false">IF(ISNUMBER($K141),$K141-$D141-IF(ISNUMBER($E141),$E141,0)-$L141-$M141-$N141-$O141,"")</f>
        <v>91.3061224489796</v>
      </c>
      <c r="Q141" s="42" t="n">
        <f aca="false">IF(AND(ISNUMBER($K141),$K141&gt;0),$P141/$K141,"")</f>
        <v>0.2</v>
      </c>
      <c r="R141" s="43"/>
      <c r="S141" s="44" t="str">
        <f aca="false">IF(OR(NOT(ISNUMBER($R141)),$R141=0,NOT(ISNUMBER($K141))),"",$K141*(1-$R141))</f>
        <v/>
      </c>
      <c r="T141" s="45" t="str">
        <f aca="false">IF(ISNUMBER($S141),$S141*$H141,"")</f>
        <v/>
      </c>
      <c r="U141" s="45" t="str">
        <f aca="false">IF(ISNUMBER($S141),$S141*Parâmetros!$B$9,"")</f>
        <v/>
      </c>
      <c r="V141" s="45" t="str">
        <f aca="false">IF(ISNUMBER($S141),$S141*Parâmetros!$C$9,"")</f>
        <v/>
      </c>
      <c r="W141" s="44" t="str">
        <f aca="false">IF(ISNUMBER($S141),$S141-$D141-IF(ISNUMBER($E141),$E141,0)-$O141-$T141-$U141-$V141,"")</f>
        <v/>
      </c>
      <c r="X141" s="46" t="str">
        <f aca="false">IF(AND(ISNUMBER($S141),$S141&gt;0),$W141/$S141,"")</f>
        <v/>
      </c>
      <c r="Y141" s="49"/>
      <c r="Z141" s="21"/>
    </row>
    <row r="142" customFormat="false" ht="15.75" hidden="false" customHeight="true" outlineLevel="0" collapsed="false">
      <c r="A142" s="32" t="str">
        <f aca="false">IF(Produtos!$A142="","",Produtos!$A142)</f>
        <v>L3070-AC</v>
      </c>
      <c r="B142" s="32" t="str">
        <f aca="false">IF(Produtos!$A142="","",Produtos!$B142)</f>
        <v>Lixeira c/Aro Colorido 30x70 50L</v>
      </c>
      <c r="C142" s="32" t="str">
        <f aca="false">IF(Produtos!$A142="","",Produtos!$C142)</f>
        <v>Lixeiras em inox</v>
      </c>
      <c r="D142" s="33" t="n">
        <f aca="false">IF(Produtos!$A142="","",IF(Produtos!$D142="","",Produtos!$D142))</f>
        <v>269.32</v>
      </c>
      <c r="E142" s="11" t="n">
        <v>0</v>
      </c>
      <c r="F142" s="34" t="n">
        <f aca="false">IF($A142="","",IF($C142="","⚠ categoria",IFERROR(INDEX(Parâmetros!$G$13:$G$22,MATCH($C142,Parâmetros!$A$13:$A$22,0)),"⚠ categoria")))</f>
        <v>0.18</v>
      </c>
      <c r="G142" s="35"/>
      <c r="H142" s="36" t="n">
        <f aca="false">IF($A142="","",IF(ISNUMBER($G142),$G142,IF(ISNUMBER($F142),$F142,"")))</f>
        <v>0.18</v>
      </c>
      <c r="I142" s="37" t="n">
        <f aca="false">IF(OR($A142="",NOT(ISNUMBER($D142)),NOT(ISNUMBER($H142))),"",IF((1-$H142-Parâmetros!$B$9-Parâmetros!$C$9-Parâmetros!$D$9)&lt;=0,"INVALIDO",($D142+IF(ISNUMBER($E142),$E142,0)+IF(ISNUMBER(Parâmetros!$E$9),Parâmetros!$E$9,0))/(1-$H142-Parâmetros!$B$9-Parâmetros!$C$9-Parâmetros!$D$9)))</f>
        <v>549.632653061225</v>
      </c>
      <c r="J142" s="38"/>
      <c r="K142" s="39" t="n">
        <f aca="false">IF(OR($A142="",NOT(ISNUMBER($D142)),NOT(ISNUMBER($H142))),"",IF(AND(ISNUMBER($J142),$J142&gt;0),$J142,IF(ISNUMBER($I142),$I142,"")))</f>
        <v>549.632653061225</v>
      </c>
      <c r="L142" s="40" t="n">
        <f aca="false">IF(ISNUMBER($K142),$K142*$H142,"")</f>
        <v>98.9338775510204</v>
      </c>
      <c r="M142" s="40" t="n">
        <f aca="false">IF(ISNUMBER($K142),$K142*Parâmetros!$B$9,"")</f>
        <v>54.9632653061225</v>
      </c>
      <c r="N142" s="40" t="n">
        <f aca="false">IF(ISNUMBER($K142),$K142*Parâmetros!$C$9,"")</f>
        <v>16.4889795918367</v>
      </c>
      <c r="O142" s="40" t="n">
        <f aca="false">IF(ISNUMBER($K142),IF(ISNUMBER(Parâmetros!$E$9),Parâmetros!$E$9,0),"")</f>
        <v>0</v>
      </c>
      <c r="P142" s="41" t="n">
        <f aca="false">IF(ISNUMBER($K142),$K142-$D142-IF(ISNUMBER($E142),$E142,0)-$L142-$M142-$N142-$O142,"")</f>
        <v>109.926530612245</v>
      </c>
      <c r="Q142" s="42" t="n">
        <f aca="false">IF(AND(ISNUMBER($K142),$K142&gt;0),$P142/$K142,"")</f>
        <v>0.2</v>
      </c>
      <c r="R142" s="43"/>
      <c r="S142" s="44" t="str">
        <f aca="false">IF(OR(NOT(ISNUMBER($R142)),$R142=0,NOT(ISNUMBER($K142))),"",$K142*(1-$R142))</f>
        <v/>
      </c>
      <c r="T142" s="45" t="str">
        <f aca="false">IF(ISNUMBER($S142),$S142*$H142,"")</f>
        <v/>
      </c>
      <c r="U142" s="45" t="str">
        <f aca="false">IF(ISNUMBER($S142),$S142*Parâmetros!$B$9,"")</f>
        <v/>
      </c>
      <c r="V142" s="45" t="str">
        <f aca="false">IF(ISNUMBER($S142),$S142*Parâmetros!$C$9,"")</f>
        <v/>
      </c>
      <c r="W142" s="44" t="str">
        <f aca="false">IF(ISNUMBER($S142),$S142-$D142-IF(ISNUMBER($E142),$E142,0)-$O142-$T142-$U142-$V142,"")</f>
        <v/>
      </c>
      <c r="X142" s="46" t="str">
        <f aca="false">IF(AND(ISNUMBER($S142),$S142&gt;0),$W142/$S142,"")</f>
        <v/>
      </c>
      <c r="Y142" s="47"/>
      <c r="Z142" s="19"/>
    </row>
    <row r="143" customFormat="false" ht="15.75" hidden="false" customHeight="true" outlineLevel="0" collapsed="false">
      <c r="A143" s="48" t="str">
        <f aca="false">IF(Produtos!$A143="","",Produtos!$A143)</f>
        <v>L3085-AC</v>
      </c>
      <c r="B143" s="48" t="str">
        <f aca="false">IF(Produtos!$A143="","",Produtos!$B143)</f>
        <v>Lixeira c/Aro Colorido 30x85 60L</v>
      </c>
      <c r="C143" s="48" t="str">
        <f aca="false">IF(Produtos!$A143="","",Produtos!$C143)</f>
        <v>Lixeiras em inox</v>
      </c>
      <c r="D143" s="33" t="n">
        <f aca="false">IF(Produtos!$A143="","",IF(Produtos!$D143="","",Produtos!$D143))</f>
        <v>341.25</v>
      </c>
      <c r="E143" s="11" t="n">
        <v>0</v>
      </c>
      <c r="F143" s="34" t="n">
        <f aca="false">IF($A143="","",IF($C143="","⚠ categoria",IFERROR(INDEX(Parâmetros!$G$13:$G$22,MATCH($C143,Parâmetros!$A$13:$A$22,0)),"⚠ categoria")))</f>
        <v>0.18</v>
      </c>
      <c r="G143" s="35"/>
      <c r="H143" s="36" t="n">
        <f aca="false">IF($A143="","",IF(ISNUMBER($G143),$G143,IF(ISNUMBER($F143),$F143,"")))</f>
        <v>0.18</v>
      </c>
      <c r="I143" s="37" t="n">
        <f aca="false">IF(OR($A143="",NOT(ISNUMBER($D143)),NOT(ISNUMBER($H143))),"",IF((1-$H143-Parâmetros!$B$9-Parâmetros!$C$9-Parâmetros!$D$9)&lt;=0,"INVALIDO",($D143+IF(ISNUMBER($E143),$E143,0)+IF(ISNUMBER(Parâmetros!$E$9),Parâmetros!$E$9,0))/(1-$H143-Parâmetros!$B$9-Parâmetros!$C$9-Parâmetros!$D$9)))</f>
        <v>696.428571428571</v>
      </c>
      <c r="J143" s="38"/>
      <c r="K143" s="39" t="n">
        <f aca="false">IF(OR($A143="",NOT(ISNUMBER($D143)),NOT(ISNUMBER($H143))),"",IF(AND(ISNUMBER($J143),$J143&gt;0),$J143,IF(ISNUMBER($I143),$I143,"")))</f>
        <v>696.428571428571</v>
      </c>
      <c r="L143" s="40" t="n">
        <f aca="false">IF(ISNUMBER($K143),$K143*$H143,"")</f>
        <v>125.357142857143</v>
      </c>
      <c r="M143" s="40" t="n">
        <f aca="false">IF(ISNUMBER($K143),$K143*Parâmetros!$B$9,"")</f>
        <v>69.6428571428571</v>
      </c>
      <c r="N143" s="40" t="n">
        <f aca="false">IF(ISNUMBER($K143),$K143*Parâmetros!$C$9,"")</f>
        <v>20.8928571428571</v>
      </c>
      <c r="O143" s="40" t="n">
        <f aca="false">IF(ISNUMBER($K143),IF(ISNUMBER(Parâmetros!$E$9),Parâmetros!$E$9,0),"")</f>
        <v>0</v>
      </c>
      <c r="P143" s="41" t="n">
        <f aca="false">IF(ISNUMBER($K143),$K143-$D143-IF(ISNUMBER($E143),$E143,0)-$L143-$M143-$N143-$O143,"")</f>
        <v>139.285714285714</v>
      </c>
      <c r="Q143" s="42" t="n">
        <f aca="false">IF(AND(ISNUMBER($K143),$K143&gt;0),$P143/$K143,"")</f>
        <v>0.2</v>
      </c>
      <c r="R143" s="43"/>
      <c r="S143" s="44" t="str">
        <f aca="false">IF(OR(NOT(ISNUMBER($R143)),$R143=0,NOT(ISNUMBER($K143))),"",$K143*(1-$R143))</f>
        <v/>
      </c>
      <c r="T143" s="45" t="str">
        <f aca="false">IF(ISNUMBER($S143),$S143*$H143,"")</f>
        <v/>
      </c>
      <c r="U143" s="45" t="str">
        <f aca="false">IF(ISNUMBER($S143),$S143*Parâmetros!$B$9,"")</f>
        <v/>
      </c>
      <c r="V143" s="45" t="str">
        <f aca="false">IF(ISNUMBER($S143),$S143*Parâmetros!$C$9,"")</f>
        <v/>
      </c>
      <c r="W143" s="44" t="str">
        <f aca="false">IF(ISNUMBER($S143),$S143-$D143-IF(ISNUMBER($E143),$E143,0)-$O143-$T143-$U143-$V143,"")</f>
        <v/>
      </c>
      <c r="X143" s="46" t="str">
        <f aca="false">IF(AND(ISNUMBER($S143),$S143&gt;0),$W143/$S143,"")</f>
        <v/>
      </c>
      <c r="Y143" s="49"/>
      <c r="Z143" s="21"/>
    </row>
    <row r="144" customFormat="false" ht="15.75" hidden="false" customHeight="true" outlineLevel="0" collapsed="false">
      <c r="A144" s="32" t="str">
        <f aca="false">IF(Produtos!$A144="","",Produtos!$A144)</f>
        <v>L4050-AC</v>
      </c>
      <c r="B144" s="32" t="str">
        <f aca="false">IF(Produtos!$A144="","",Produtos!$B144)</f>
        <v>Lixeira c/Aro Colorido 40x50 62L</v>
      </c>
      <c r="C144" s="32" t="str">
        <f aca="false">IF(Produtos!$A144="","",Produtos!$C144)</f>
        <v>Lixeiras em inox</v>
      </c>
      <c r="D144" s="33" t="n">
        <f aca="false">IF(Produtos!$A144="","",IF(Produtos!$D144="","",Produtos!$D144))</f>
        <v>349.81</v>
      </c>
      <c r="E144" s="11" t="n">
        <v>0</v>
      </c>
      <c r="F144" s="34" t="n">
        <f aca="false">IF($A144="","",IF($C144="","⚠ categoria",IFERROR(INDEX(Parâmetros!$G$13:$G$22,MATCH($C144,Parâmetros!$A$13:$A$22,0)),"⚠ categoria")))</f>
        <v>0.18</v>
      </c>
      <c r="G144" s="35"/>
      <c r="H144" s="36" t="n">
        <f aca="false">IF($A144="","",IF(ISNUMBER($G144),$G144,IF(ISNUMBER($F144),$F144,"")))</f>
        <v>0.18</v>
      </c>
      <c r="I144" s="37" t="n">
        <f aca="false">IF(OR($A144="",NOT(ISNUMBER($D144)),NOT(ISNUMBER($H144))),"",IF((1-$H144-Parâmetros!$B$9-Parâmetros!$C$9-Parâmetros!$D$9)&lt;=0,"INVALIDO",($D144+IF(ISNUMBER($E144),$E144,0)+IF(ISNUMBER(Parâmetros!$E$9),Parâmetros!$E$9,0))/(1-$H144-Parâmetros!$B$9-Parâmetros!$C$9-Parâmetros!$D$9)))</f>
        <v>713.897959183673</v>
      </c>
      <c r="J144" s="38"/>
      <c r="K144" s="39" t="n">
        <f aca="false">IF(OR($A144="",NOT(ISNUMBER($D144)),NOT(ISNUMBER($H144))),"",IF(AND(ISNUMBER($J144),$J144&gt;0),$J144,IF(ISNUMBER($I144),$I144,"")))</f>
        <v>713.897959183673</v>
      </c>
      <c r="L144" s="40" t="n">
        <f aca="false">IF(ISNUMBER($K144),$K144*$H144,"")</f>
        <v>128.501632653061</v>
      </c>
      <c r="M144" s="40" t="n">
        <f aca="false">IF(ISNUMBER($K144),$K144*Parâmetros!$B$9,"")</f>
        <v>71.3897959183673</v>
      </c>
      <c r="N144" s="40" t="n">
        <f aca="false">IF(ISNUMBER($K144),$K144*Parâmetros!$C$9,"")</f>
        <v>21.4169387755102</v>
      </c>
      <c r="O144" s="40" t="n">
        <f aca="false">IF(ISNUMBER($K144),IF(ISNUMBER(Parâmetros!$E$9),Parâmetros!$E$9,0),"")</f>
        <v>0</v>
      </c>
      <c r="P144" s="41" t="n">
        <f aca="false">IF(ISNUMBER($K144),$K144-$D144-IF(ISNUMBER($E144),$E144,0)-$L144-$M144-$N144-$O144,"")</f>
        <v>142.779591836735</v>
      </c>
      <c r="Q144" s="42" t="n">
        <f aca="false">IF(AND(ISNUMBER($K144),$K144&gt;0),$P144/$K144,"")</f>
        <v>0.2</v>
      </c>
      <c r="R144" s="43"/>
      <c r="S144" s="44" t="str">
        <f aca="false">IF(OR(NOT(ISNUMBER($R144)),$R144=0,NOT(ISNUMBER($K144))),"",$K144*(1-$R144))</f>
        <v/>
      </c>
      <c r="T144" s="45" t="str">
        <f aca="false">IF(ISNUMBER($S144),$S144*$H144,"")</f>
        <v/>
      </c>
      <c r="U144" s="45" t="str">
        <f aca="false">IF(ISNUMBER($S144),$S144*Parâmetros!$B$9,"")</f>
        <v/>
      </c>
      <c r="V144" s="45" t="str">
        <f aca="false">IF(ISNUMBER($S144),$S144*Parâmetros!$C$9,"")</f>
        <v/>
      </c>
      <c r="W144" s="44" t="str">
        <f aca="false">IF(ISNUMBER($S144),$S144-$D144-IF(ISNUMBER($E144),$E144,0)-$O144-$T144-$U144-$V144,"")</f>
        <v/>
      </c>
      <c r="X144" s="46" t="str">
        <f aca="false">IF(AND(ISNUMBER($S144),$S144&gt;0),$W144/$S144,"")</f>
        <v/>
      </c>
      <c r="Y144" s="47"/>
      <c r="Z144" s="19"/>
    </row>
    <row r="145" customFormat="false" ht="15.75" hidden="false" customHeight="true" outlineLevel="0" collapsed="false">
      <c r="A145" s="48" t="str">
        <f aca="false">IF(Produtos!$A145="","",Produtos!$A145)</f>
        <v>L4060-AC</v>
      </c>
      <c r="B145" s="48" t="str">
        <f aca="false">IF(Produtos!$A145="","",Produtos!$B145)</f>
        <v>Lixeira c/Aro Colorido 40x60 75L</v>
      </c>
      <c r="C145" s="48" t="str">
        <f aca="false">IF(Produtos!$A145="","",Produtos!$C145)</f>
        <v>Lixeiras em inox</v>
      </c>
      <c r="D145" s="33" t="n">
        <f aca="false">IF(Produtos!$A145="","",IF(Produtos!$D145="","",Produtos!$D145))</f>
        <v>359.34</v>
      </c>
      <c r="E145" s="11" t="n">
        <v>0</v>
      </c>
      <c r="F145" s="34" t="n">
        <f aca="false">IF($A145="","",IF($C145="","⚠ categoria",IFERROR(INDEX(Parâmetros!$G$13:$G$22,MATCH($C145,Parâmetros!$A$13:$A$22,0)),"⚠ categoria")))</f>
        <v>0.18</v>
      </c>
      <c r="G145" s="35"/>
      <c r="H145" s="36" t="n">
        <f aca="false">IF($A145="","",IF(ISNUMBER($G145),$G145,IF(ISNUMBER($F145),$F145,"")))</f>
        <v>0.18</v>
      </c>
      <c r="I145" s="37" t="n">
        <f aca="false">IF(OR($A145="",NOT(ISNUMBER($D145)),NOT(ISNUMBER($H145))),"",IF((1-$H145-Parâmetros!$B$9-Parâmetros!$C$9-Parâmetros!$D$9)&lt;=0,"INVALIDO",($D145+IF(ISNUMBER($E145),$E145,0)+IF(ISNUMBER(Parâmetros!$E$9),Parâmetros!$E$9,0))/(1-$H145-Parâmetros!$B$9-Parâmetros!$C$9-Parâmetros!$D$9)))</f>
        <v>733.34693877551</v>
      </c>
      <c r="J145" s="38"/>
      <c r="K145" s="39" t="n">
        <f aca="false">IF(OR($A145="",NOT(ISNUMBER($D145)),NOT(ISNUMBER($H145))),"",IF(AND(ISNUMBER($J145),$J145&gt;0),$J145,IF(ISNUMBER($I145),$I145,"")))</f>
        <v>733.34693877551</v>
      </c>
      <c r="L145" s="40" t="n">
        <f aca="false">IF(ISNUMBER($K145),$K145*$H145,"")</f>
        <v>132.002448979592</v>
      </c>
      <c r="M145" s="40" t="n">
        <f aca="false">IF(ISNUMBER($K145),$K145*Parâmetros!$B$9,"")</f>
        <v>73.334693877551</v>
      </c>
      <c r="N145" s="40" t="n">
        <f aca="false">IF(ISNUMBER($K145),$K145*Parâmetros!$C$9,"")</f>
        <v>22.0004081632653</v>
      </c>
      <c r="O145" s="40" t="n">
        <f aca="false">IF(ISNUMBER($K145),IF(ISNUMBER(Parâmetros!$E$9),Parâmetros!$E$9,0),"")</f>
        <v>0</v>
      </c>
      <c r="P145" s="41" t="n">
        <f aca="false">IF(ISNUMBER($K145),$K145-$D145-IF(ISNUMBER($E145),$E145,0)-$L145-$M145-$N145-$O145,"")</f>
        <v>146.669387755102</v>
      </c>
      <c r="Q145" s="42" t="n">
        <f aca="false">IF(AND(ISNUMBER($K145),$K145&gt;0),$P145/$K145,"")</f>
        <v>0.2</v>
      </c>
      <c r="R145" s="43"/>
      <c r="S145" s="44" t="str">
        <f aca="false">IF(OR(NOT(ISNUMBER($R145)),$R145=0,NOT(ISNUMBER($K145))),"",$K145*(1-$R145))</f>
        <v/>
      </c>
      <c r="T145" s="45" t="str">
        <f aca="false">IF(ISNUMBER($S145),$S145*$H145,"")</f>
        <v/>
      </c>
      <c r="U145" s="45" t="str">
        <f aca="false">IF(ISNUMBER($S145),$S145*Parâmetros!$B$9,"")</f>
        <v/>
      </c>
      <c r="V145" s="45" t="str">
        <f aca="false">IF(ISNUMBER($S145),$S145*Parâmetros!$C$9,"")</f>
        <v/>
      </c>
      <c r="W145" s="44" t="str">
        <f aca="false">IF(ISNUMBER($S145),$S145-$D145-IF(ISNUMBER($E145),$E145,0)-$O145-$T145-$U145-$V145,"")</f>
        <v/>
      </c>
      <c r="X145" s="46" t="str">
        <f aca="false">IF(AND(ISNUMBER($S145),$S145&gt;0),$W145/$S145,"")</f>
        <v/>
      </c>
      <c r="Y145" s="49"/>
      <c r="Z145" s="21"/>
    </row>
    <row r="146" customFormat="false" ht="15.75" hidden="false" customHeight="true" outlineLevel="0" collapsed="false">
      <c r="A146" s="32" t="str">
        <f aca="false">IF(Produtos!$A146="","",Produtos!$A146)</f>
        <v>L4070-AC</v>
      </c>
      <c r="B146" s="32" t="str">
        <f aca="false">IF(Produtos!$A146="","",Produtos!$B146)</f>
        <v>Lixeira c/Aro Colorido 40x70 88L</v>
      </c>
      <c r="C146" s="32" t="str">
        <f aca="false">IF(Produtos!$A146="","",Produtos!$C146)</f>
        <v>Lixeiras em inox</v>
      </c>
      <c r="D146" s="33" t="n">
        <f aca="false">IF(Produtos!$A146="","",IF(Produtos!$D146="","",Produtos!$D146))</f>
        <v>374.18</v>
      </c>
      <c r="E146" s="11" t="n">
        <v>0</v>
      </c>
      <c r="F146" s="34" t="n">
        <f aca="false">IF($A146="","",IF($C146="","⚠ categoria",IFERROR(INDEX(Parâmetros!$G$13:$G$22,MATCH($C146,Parâmetros!$A$13:$A$22,0)),"⚠ categoria")))</f>
        <v>0.18</v>
      </c>
      <c r="G146" s="35"/>
      <c r="H146" s="36" t="n">
        <f aca="false">IF($A146="","",IF(ISNUMBER($G146),$G146,IF(ISNUMBER($F146),$F146,"")))</f>
        <v>0.18</v>
      </c>
      <c r="I146" s="37" t="n">
        <f aca="false">IF(OR($A146="",NOT(ISNUMBER($D146)),NOT(ISNUMBER($H146))),"",IF((1-$H146-Parâmetros!$B$9-Parâmetros!$C$9-Parâmetros!$D$9)&lt;=0,"INVALIDO",($D146+IF(ISNUMBER($E146),$E146,0)+IF(ISNUMBER(Parâmetros!$E$9),Parâmetros!$E$9,0))/(1-$H146-Parâmetros!$B$9-Parâmetros!$C$9-Parâmetros!$D$9)))</f>
        <v>763.632653061225</v>
      </c>
      <c r="J146" s="38"/>
      <c r="K146" s="39" t="n">
        <f aca="false">IF(OR($A146="",NOT(ISNUMBER($D146)),NOT(ISNUMBER($H146))),"",IF(AND(ISNUMBER($J146),$J146&gt;0),$J146,IF(ISNUMBER($I146),$I146,"")))</f>
        <v>763.632653061225</v>
      </c>
      <c r="L146" s="40" t="n">
        <f aca="false">IF(ISNUMBER($K146),$K146*$H146,"")</f>
        <v>137.45387755102</v>
      </c>
      <c r="M146" s="40" t="n">
        <f aca="false">IF(ISNUMBER($K146),$K146*Parâmetros!$B$9,"")</f>
        <v>76.3632653061224</v>
      </c>
      <c r="N146" s="40" t="n">
        <f aca="false">IF(ISNUMBER($K146),$K146*Parâmetros!$C$9,"")</f>
        <v>22.9089795918367</v>
      </c>
      <c r="O146" s="40" t="n">
        <f aca="false">IF(ISNUMBER($K146),IF(ISNUMBER(Parâmetros!$E$9),Parâmetros!$E$9,0),"")</f>
        <v>0</v>
      </c>
      <c r="P146" s="41" t="n">
        <f aca="false">IF(ISNUMBER($K146),$K146-$D146-IF(ISNUMBER($E146),$E146,0)-$L146-$M146-$N146-$O146,"")</f>
        <v>152.726530612245</v>
      </c>
      <c r="Q146" s="42" t="n">
        <f aca="false">IF(AND(ISNUMBER($K146),$K146&gt;0),$P146/$K146,"")</f>
        <v>0.2</v>
      </c>
      <c r="R146" s="43"/>
      <c r="S146" s="44" t="str">
        <f aca="false">IF(OR(NOT(ISNUMBER($R146)),$R146=0,NOT(ISNUMBER($K146))),"",$K146*(1-$R146))</f>
        <v/>
      </c>
      <c r="T146" s="45" t="str">
        <f aca="false">IF(ISNUMBER($S146),$S146*$H146,"")</f>
        <v/>
      </c>
      <c r="U146" s="45" t="str">
        <f aca="false">IF(ISNUMBER($S146),$S146*Parâmetros!$B$9,"")</f>
        <v/>
      </c>
      <c r="V146" s="45" t="str">
        <f aca="false">IF(ISNUMBER($S146),$S146*Parâmetros!$C$9,"")</f>
        <v/>
      </c>
      <c r="W146" s="44" t="str">
        <f aca="false">IF(ISNUMBER($S146),$S146-$D146-IF(ISNUMBER($E146),$E146,0)-$O146-$T146-$U146-$V146,"")</f>
        <v/>
      </c>
      <c r="X146" s="46" t="str">
        <f aca="false">IF(AND(ISNUMBER($S146),$S146&gt;0),$W146/$S146,"")</f>
        <v/>
      </c>
      <c r="Y146" s="47"/>
      <c r="Z146" s="19"/>
    </row>
    <row r="147" customFormat="false" ht="15.75" hidden="false" customHeight="true" outlineLevel="0" collapsed="false">
      <c r="A147" s="48" t="str">
        <f aca="false">IF(Produtos!$A147="","",Produtos!$A147)</f>
        <v>L4075-AC</v>
      </c>
      <c r="B147" s="48" t="str">
        <f aca="false">IF(Produtos!$A147="","",Produtos!$B147)</f>
        <v>Lixeira c/Aro Colorido 40x75 95L</v>
      </c>
      <c r="C147" s="48" t="str">
        <f aca="false">IF(Produtos!$A147="","",Produtos!$C147)</f>
        <v>Lixeiras em inox</v>
      </c>
      <c r="D147" s="33" t="n">
        <f aca="false">IF(Produtos!$A147="","",IF(Produtos!$D147="","",Produtos!$D147))</f>
        <v>405.18</v>
      </c>
      <c r="E147" s="11" t="n">
        <v>0</v>
      </c>
      <c r="F147" s="34" t="n">
        <f aca="false">IF($A147="","",IF($C147="","⚠ categoria",IFERROR(INDEX(Parâmetros!$G$13:$G$22,MATCH($C147,Parâmetros!$A$13:$A$22,0)),"⚠ categoria")))</f>
        <v>0.18</v>
      </c>
      <c r="G147" s="35"/>
      <c r="H147" s="36" t="n">
        <f aca="false">IF($A147="","",IF(ISNUMBER($G147),$G147,IF(ISNUMBER($F147),$F147,"")))</f>
        <v>0.18</v>
      </c>
      <c r="I147" s="37" t="n">
        <f aca="false">IF(OR($A147="",NOT(ISNUMBER($D147)),NOT(ISNUMBER($H147))),"",IF((1-$H147-Parâmetros!$B$9-Parâmetros!$C$9-Parâmetros!$D$9)&lt;=0,"INVALIDO",($D147+IF(ISNUMBER($E147),$E147,0)+IF(ISNUMBER(Parâmetros!$E$9),Parâmetros!$E$9,0))/(1-$H147-Parâmetros!$B$9-Parâmetros!$C$9-Parâmetros!$D$9)))</f>
        <v>826.897959183673</v>
      </c>
      <c r="J147" s="38"/>
      <c r="K147" s="39" t="n">
        <f aca="false">IF(OR($A147="",NOT(ISNUMBER($D147)),NOT(ISNUMBER($H147))),"",IF(AND(ISNUMBER($J147),$J147&gt;0),$J147,IF(ISNUMBER($I147),$I147,"")))</f>
        <v>826.897959183673</v>
      </c>
      <c r="L147" s="40" t="n">
        <f aca="false">IF(ISNUMBER($K147),$K147*$H147,"")</f>
        <v>148.841632653061</v>
      </c>
      <c r="M147" s="40" t="n">
        <f aca="false">IF(ISNUMBER($K147),$K147*Parâmetros!$B$9,"")</f>
        <v>82.6897959183673</v>
      </c>
      <c r="N147" s="40" t="n">
        <f aca="false">IF(ISNUMBER($K147),$K147*Parâmetros!$C$9,"")</f>
        <v>24.8069387755102</v>
      </c>
      <c r="O147" s="40" t="n">
        <f aca="false">IF(ISNUMBER($K147),IF(ISNUMBER(Parâmetros!$E$9),Parâmetros!$E$9,0),"")</f>
        <v>0</v>
      </c>
      <c r="P147" s="41" t="n">
        <f aca="false">IF(ISNUMBER($K147),$K147-$D147-IF(ISNUMBER($E147),$E147,0)-$L147-$M147-$N147-$O147,"")</f>
        <v>165.379591836735</v>
      </c>
      <c r="Q147" s="42" t="n">
        <f aca="false">IF(AND(ISNUMBER($K147),$K147&gt;0),$P147/$K147,"")</f>
        <v>0.2</v>
      </c>
      <c r="R147" s="43"/>
      <c r="S147" s="44" t="str">
        <f aca="false">IF(OR(NOT(ISNUMBER($R147)),$R147=0,NOT(ISNUMBER($K147))),"",$K147*(1-$R147))</f>
        <v/>
      </c>
      <c r="T147" s="45" t="str">
        <f aca="false">IF(ISNUMBER($S147),$S147*$H147,"")</f>
        <v/>
      </c>
      <c r="U147" s="45" t="str">
        <f aca="false">IF(ISNUMBER($S147),$S147*Parâmetros!$B$9,"")</f>
        <v/>
      </c>
      <c r="V147" s="45" t="str">
        <f aca="false">IF(ISNUMBER($S147),$S147*Parâmetros!$C$9,"")</f>
        <v/>
      </c>
      <c r="W147" s="44" t="str">
        <f aca="false">IF(ISNUMBER($S147),$S147-$D147-IF(ISNUMBER($E147),$E147,0)-$O147-$T147-$U147-$V147,"")</f>
        <v/>
      </c>
      <c r="X147" s="46" t="str">
        <f aca="false">IF(AND(ISNUMBER($S147),$S147&gt;0),$W147/$S147,"")</f>
        <v/>
      </c>
      <c r="Y147" s="49"/>
      <c r="Z147" s="21"/>
    </row>
    <row r="148" customFormat="false" ht="15.75" hidden="false" customHeight="true" outlineLevel="0" collapsed="false">
      <c r="A148" s="32" t="str">
        <f aca="false">IF(Produtos!$A148="","",Produtos!$A148)</f>
        <v>L4080-AC</v>
      </c>
      <c r="B148" s="32" t="str">
        <f aca="false">IF(Produtos!$A148="","",Produtos!$B148)</f>
        <v>Lixeira c/Aro Colorido 40x80 100L</v>
      </c>
      <c r="C148" s="32" t="str">
        <f aca="false">IF(Produtos!$A148="","",Produtos!$C148)</f>
        <v>Lixeiras em inox</v>
      </c>
      <c r="D148" s="33" t="n">
        <f aca="false">IF(Produtos!$A148="","",IF(Produtos!$D148="","",Produtos!$D148))</f>
        <v>425.44</v>
      </c>
      <c r="E148" s="11" t="n">
        <v>0</v>
      </c>
      <c r="F148" s="34" t="n">
        <f aca="false">IF($A148="","",IF($C148="","⚠ categoria",IFERROR(INDEX(Parâmetros!$G$13:$G$22,MATCH($C148,Parâmetros!$A$13:$A$22,0)),"⚠ categoria")))</f>
        <v>0.18</v>
      </c>
      <c r="G148" s="35"/>
      <c r="H148" s="36" t="n">
        <f aca="false">IF($A148="","",IF(ISNUMBER($G148),$G148,IF(ISNUMBER($F148),$F148,"")))</f>
        <v>0.18</v>
      </c>
      <c r="I148" s="37" t="n">
        <f aca="false">IF(OR($A148="",NOT(ISNUMBER($D148)),NOT(ISNUMBER($H148))),"",IF((1-$H148-Parâmetros!$B$9-Parâmetros!$C$9-Parâmetros!$D$9)&lt;=0,"INVALIDO",($D148+IF(ISNUMBER($E148),$E148,0)+IF(ISNUMBER(Parâmetros!$E$9),Parâmetros!$E$9,0))/(1-$H148-Parâmetros!$B$9-Parâmetros!$C$9-Parâmetros!$D$9)))</f>
        <v>868.244897959184</v>
      </c>
      <c r="J148" s="38"/>
      <c r="K148" s="39" t="n">
        <f aca="false">IF(OR($A148="",NOT(ISNUMBER($D148)),NOT(ISNUMBER($H148))),"",IF(AND(ISNUMBER($J148),$J148&gt;0),$J148,IF(ISNUMBER($I148),$I148,"")))</f>
        <v>868.244897959184</v>
      </c>
      <c r="L148" s="40" t="n">
        <f aca="false">IF(ISNUMBER($K148),$K148*$H148,"")</f>
        <v>156.284081632653</v>
      </c>
      <c r="M148" s="40" t="n">
        <f aca="false">IF(ISNUMBER($K148),$K148*Parâmetros!$B$9,"")</f>
        <v>86.8244897959184</v>
      </c>
      <c r="N148" s="40" t="n">
        <f aca="false">IF(ISNUMBER($K148),$K148*Parâmetros!$C$9,"")</f>
        <v>26.0473469387755</v>
      </c>
      <c r="O148" s="40" t="n">
        <f aca="false">IF(ISNUMBER($K148),IF(ISNUMBER(Parâmetros!$E$9),Parâmetros!$E$9,0),"")</f>
        <v>0</v>
      </c>
      <c r="P148" s="41" t="n">
        <f aca="false">IF(ISNUMBER($K148),$K148-$D148-IF(ISNUMBER($E148),$E148,0)-$L148-$M148-$N148-$O148,"")</f>
        <v>173.648979591837</v>
      </c>
      <c r="Q148" s="42" t="n">
        <f aca="false">IF(AND(ISNUMBER($K148),$K148&gt;0),$P148/$K148,"")</f>
        <v>0.2</v>
      </c>
      <c r="R148" s="43"/>
      <c r="S148" s="44" t="str">
        <f aca="false">IF(OR(NOT(ISNUMBER($R148)),$R148=0,NOT(ISNUMBER($K148))),"",$K148*(1-$R148))</f>
        <v/>
      </c>
      <c r="T148" s="45" t="str">
        <f aca="false">IF(ISNUMBER($S148),$S148*$H148,"")</f>
        <v/>
      </c>
      <c r="U148" s="45" t="str">
        <f aca="false">IF(ISNUMBER($S148),$S148*Parâmetros!$B$9,"")</f>
        <v/>
      </c>
      <c r="V148" s="45" t="str">
        <f aca="false">IF(ISNUMBER($S148),$S148*Parâmetros!$C$9,"")</f>
        <v/>
      </c>
      <c r="W148" s="44" t="str">
        <f aca="false">IF(ISNUMBER($S148),$S148-$D148-IF(ISNUMBER($E148),$E148,0)-$O148-$T148-$U148-$V148,"")</f>
        <v/>
      </c>
      <c r="X148" s="46" t="str">
        <f aca="false">IF(AND(ISNUMBER($S148),$S148&gt;0),$W148/$S148,"")</f>
        <v/>
      </c>
      <c r="Y148" s="47"/>
      <c r="Z148" s="19"/>
    </row>
    <row r="149" customFormat="false" ht="15.75" hidden="false" customHeight="true" outlineLevel="0" collapsed="false">
      <c r="A149" s="48" t="str">
        <f aca="false">IF(Produtos!$A149="","",Produtos!$A149)</f>
        <v>L4090-AC</v>
      </c>
      <c r="B149" s="48" t="str">
        <f aca="false">IF(Produtos!$A149="","",Produtos!$B149)</f>
        <v>Lixeira c/Aro Colorido 40x90 120L</v>
      </c>
      <c r="C149" s="48" t="str">
        <f aca="false">IF(Produtos!$A149="","",Produtos!$C149)</f>
        <v>Lixeiras em inox</v>
      </c>
      <c r="D149" s="33" t="n">
        <f aca="false">IF(Produtos!$A149="","",IF(Produtos!$D149="","",Produtos!$D149))</f>
        <v>652.76</v>
      </c>
      <c r="E149" s="11" t="n">
        <v>0</v>
      </c>
      <c r="F149" s="34" t="n">
        <f aca="false">IF($A149="","",IF($C149="","⚠ categoria",IFERROR(INDEX(Parâmetros!$G$13:$G$22,MATCH($C149,Parâmetros!$A$13:$A$22,0)),"⚠ categoria")))</f>
        <v>0.18</v>
      </c>
      <c r="G149" s="35"/>
      <c r="H149" s="36" t="n">
        <f aca="false">IF($A149="","",IF(ISNUMBER($G149),$G149,IF(ISNUMBER($F149),$F149,"")))</f>
        <v>0.18</v>
      </c>
      <c r="I149" s="37" t="n">
        <f aca="false">IF(OR($A149="",NOT(ISNUMBER($D149)),NOT(ISNUMBER($H149))),"",IF((1-$H149-Parâmetros!$B$9-Parâmetros!$C$9-Parâmetros!$D$9)&lt;=0,"INVALIDO",($D149+IF(ISNUMBER($E149),$E149,0)+IF(ISNUMBER(Parâmetros!$E$9),Parâmetros!$E$9,0))/(1-$H149-Parâmetros!$B$9-Parâmetros!$C$9-Parâmetros!$D$9)))</f>
        <v>1332.16326530612</v>
      </c>
      <c r="J149" s="38"/>
      <c r="K149" s="39" t="n">
        <f aca="false">IF(OR($A149="",NOT(ISNUMBER($D149)),NOT(ISNUMBER($H149))),"",IF(AND(ISNUMBER($J149),$J149&gt;0),$J149,IF(ISNUMBER($I149),$I149,"")))</f>
        <v>1332.16326530612</v>
      </c>
      <c r="L149" s="40" t="n">
        <f aca="false">IF(ISNUMBER($K149),$K149*$H149,"")</f>
        <v>239.789387755102</v>
      </c>
      <c r="M149" s="40" t="n">
        <f aca="false">IF(ISNUMBER($K149),$K149*Parâmetros!$B$9,"")</f>
        <v>133.216326530612</v>
      </c>
      <c r="N149" s="40" t="n">
        <f aca="false">IF(ISNUMBER($K149),$K149*Parâmetros!$C$9,"")</f>
        <v>39.9648979591837</v>
      </c>
      <c r="O149" s="40" t="n">
        <f aca="false">IF(ISNUMBER($K149),IF(ISNUMBER(Parâmetros!$E$9),Parâmetros!$E$9,0),"")</f>
        <v>0</v>
      </c>
      <c r="P149" s="41" t="n">
        <f aca="false">IF(ISNUMBER($K149),$K149-$D149-IF(ISNUMBER($E149),$E149,0)-$L149-$M149-$N149-$O149,"")</f>
        <v>266.432653061225</v>
      </c>
      <c r="Q149" s="42" t="n">
        <f aca="false">IF(AND(ISNUMBER($K149),$K149&gt;0),$P149/$K149,"")</f>
        <v>0.2</v>
      </c>
      <c r="R149" s="43"/>
      <c r="S149" s="44" t="str">
        <f aca="false">IF(OR(NOT(ISNUMBER($R149)),$R149=0,NOT(ISNUMBER($K149))),"",$K149*(1-$R149))</f>
        <v/>
      </c>
      <c r="T149" s="45" t="str">
        <f aca="false">IF(ISNUMBER($S149),$S149*$H149,"")</f>
        <v/>
      </c>
      <c r="U149" s="45" t="str">
        <f aca="false">IF(ISNUMBER($S149),$S149*Parâmetros!$B$9,"")</f>
        <v/>
      </c>
      <c r="V149" s="45" t="str">
        <f aca="false">IF(ISNUMBER($S149),$S149*Parâmetros!$C$9,"")</f>
        <v/>
      </c>
      <c r="W149" s="44" t="str">
        <f aca="false">IF(ISNUMBER($S149),$S149-$D149-IF(ISNUMBER($E149),$E149,0)-$O149-$T149-$U149-$V149,"")</f>
        <v/>
      </c>
      <c r="X149" s="46" t="str">
        <f aca="false">IF(AND(ISNUMBER($S149),$S149&gt;0),$W149/$S149,"")</f>
        <v/>
      </c>
      <c r="Y149" s="49"/>
      <c r="Z149" s="21"/>
    </row>
    <row r="150" customFormat="false" ht="15.75" hidden="false" customHeight="true" outlineLevel="0" collapsed="false">
      <c r="A150" s="32" t="str">
        <f aca="false">IF(Produtos!$A150="","",Produtos!$A150)</f>
        <v>L2425-CP</v>
      </c>
      <c r="B150" s="32" t="str">
        <f aca="false">IF(Produtos!$A150="","",Produtos!$B150)</f>
        <v>Lixeira Aço inox Coletor de pilhas e baterias 24x25 13L</v>
      </c>
      <c r="C150" s="32" t="str">
        <f aca="false">IF(Produtos!$A150="","",Produtos!$C150)</f>
        <v>Coletores de pilhas</v>
      </c>
      <c r="D150" s="33" t="n">
        <f aca="false">IF(Produtos!$A150="","",IF(Produtos!$D150="","",Produtos!$D150))</f>
        <v>120.55</v>
      </c>
      <c r="E150" s="11" t="n">
        <v>0</v>
      </c>
      <c r="F150" s="34" t="n">
        <f aca="false">IF($A150="","",IF($C150="","⚠ categoria",IFERROR(INDEX(Parâmetros!$G$13:$G$22,MATCH($C150,Parâmetros!$A$13:$A$22,0)),"⚠ categoria")))</f>
        <v>0.18</v>
      </c>
      <c r="G150" s="35"/>
      <c r="H150" s="36" t="n">
        <f aca="false">IF($A150="","",IF(ISNUMBER($G150),$G150,IF(ISNUMBER($F150),$F150,"")))</f>
        <v>0.18</v>
      </c>
      <c r="I150" s="37" t="n">
        <f aca="false">IF(OR($A150="",NOT(ISNUMBER($D150)),NOT(ISNUMBER($H150))),"",IF((1-$H150-Parâmetros!$B$9-Parâmetros!$C$9-Parâmetros!$D$9)&lt;=0,"INVALIDO",($D150+IF(ISNUMBER($E150),$E150,0)+IF(ISNUMBER(Parâmetros!$E$9),Parâmetros!$E$9,0))/(1-$H150-Parâmetros!$B$9-Parâmetros!$C$9-Parâmetros!$D$9)))</f>
        <v>246.020408163265</v>
      </c>
      <c r="J150" s="38"/>
      <c r="K150" s="39" t="n">
        <f aca="false">IF(OR($A150="",NOT(ISNUMBER($D150)),NOT(ISNUMBER($H150))),"",IF(AND(ISNUMBER($J150),$J150&gt;0),$J150,IF(ISNUMBER($I150),$I150,"")))</f>
        <v>246.020408163265</v>
      </c>
      <c r="L150" s="40" t="n">
        <f aca="false">IF(ISNUMBER($K150),$K150*$H150,"")</f>
        <v>44.2836734693878</v>
      </c>
      <c r="M150" s="40" t="n">
        <f aca="false">IF(ISNUMBER($K150),$K150*Parâmetros!$B$9,"")</f>
        <v>24.6020408163265</v>
      </c>
      <c r="N150" s="40" t="n">
        <f aca="false">IF(ISNUMBER($K150),$K150*Parâmetros!$C$9,"")</f>
        <v>7.38061224489796</v>
      </c>
      <c r="O150" s="40" t="n">
        <f aca="false">IF(ISNUMBER($K150),IF(ISNUMBER(Parâmetros!$E$9),Parâmetros!$E$9,0),"")</f>
        <v>0</v>
      </c>
      <c r="P150" s="41" t="n">
        <f aca="false">IF(ISNUMBER($K150),$K150-$D150-IF(ISNUMBER($E150),$E150,0)-$L150-$M150-$N150-$O150,"")</f>
        <v>49.204081632653</v>
      </c>
      <c r="Q150" s="42" t="n">
        <f aca="false">IF(AND(ISNUMBER($K150),$K150&gt;0),$P150/$K150,"")</f>
        <v>0.2</v>
      </c>
      <c r="R150" s="43"/>
      <c r="S150" s="44" t="str">
        <f aca="false">IF(OR(NOT(ISNUMBER($R150)),$R150=0,NOT(ISNUMBER($K150))),"",$K150*(1-$R150))</f>
        <v/>
      </c>
      <c r="T150" s="45" t="str">
        <f aca="false">IF(ISNUMBER($S150),$S150*$H150,"")</f>
        <v/>
      </c>
      <c r="U150" s="45" t="str">
        <f aca="false">IF(ISNUMBER($S150),$S150*Parâmetros!$B$9,"")</f>
        <v/>
      </c>
      <c r="V150" s="45" t="str">
        <f aca="false">IF(ISNUMBER($S150),$S150*Parâmetros!$C$9,"")</f>
        <v/>
      </c>
      <c r="W150" s="44" t="str">
        <f aca="false">IF(ISNUMBER($S150),$S150-$D150-IF(ISNUMBER($E150),$E150,0)-$O150-$T150-$U150-$V150,"")</f>
        <v/>
      </c>
      <c r="X150" s="46" t="str">
        <f aca="false">IF(AND(ISNUMBER($S150),$S150&gt;0),$W150/$S150,"")</f>
        <v/>
      </c>
      <c r="Y150" s="47"/>
      <c r="Z150" s="19"/>
    </row>
    <row r="151" customFormat="false" ht="15.75" hidden="false" customHeight="true" outlineLevel="0" collapsed="false">
      <c r="A151" s="48" t="str">
        <f aca="false">IF(Produtos!$A151="","",Produtos!$A151)</f>
        <v>L2430-CP</v>
      </c>
      <c r="B151" s="48" t="str">
        <f aca="false">IF(Produtos!$A151="","",Produtos!$B151)</f>
        <v>Lixeira Aço inox Coletor de pilhas e baterias 24x30 15L</v>
      </c>
      <c r="C151" s="48" t="str">
        <f aca="false">IF(Produtos!$A151="","",Produtos!$C151)</f>
        <v>Coletores de pilhas</v>
      </c>
      <c r="D151" s="33" t="n">
        <f aca="false">IF(Produtos!$A151="","",IF(Produtos!$D151="","",Produtos!$D151))</f>
        <v>134.47</v>
      </c>
      <c r="E151" s="11" t="n">
        <v>0</v>
      </c>
      <c r="F151" s="34" t="n">
        <f aca="false">IF($A151="","",IF($C151="","⚠ categoria",IFERROR(INDEX(Parâmetros!$G$13:$G$22,MATCH($C151,Parâmetros!$A$13:$A$22,0)),"⚠ categoria")))</f>
        <v>0.18</v>
      </c>
      <c r="G151" s="35"/>
      <c r="H151" s="36" t="n">
        <f aca="false">IF($A151="","",IF(ISNUMBER($G151),$G151,IF(ISNUMBER($F151),$F151,"")))</f>
        <v>0.18</v>
      </c>
      <c r="I151" s="37" t="n">
        <f aca="false">IF(OR($A151="",NOT(ISNUMBER($D151)),NOT(ISNUMBER($H151))),"",IF((1-$H151-Parâmetros!$B$9-Parâmetros!$C$9-Parâmetros!$D$9)&lt;=0,"INVALIDO",($D151+IF(ISNUMBER($E151),$E151,0)+IF(ISNUMBER(Parâmetros!$E$9),Parâmetros!$E$9,0))/(1-$H151-Parâmetros!$B$9-Parâmetros!$C$9-Parâmetros!$D$9)))</f>
        <v>274.428571428571</v>
      </c>
      <c r="J151" s="38"/>
      <c r="K151" s="39" t="n">
        <f aca="false">IF(OR($A151="",NOT(ISNUMBER($D151)),NOT(ISNUMBER($H151))),"",IF(AND(ISNUMBER($J151),$J151&gt;0),$J151,IF(ISNUMBER($I151),$I151,"")))</f>
        <v>274.428571428571</v>
      </c>
      <c r="L151" s="40" t="n">
        <f aca="false">IF(ISNUMBER($K151),$K151*$H151,"")</f>
        <v>49.3971428571428</v>
      </c>
      <c r="M151" s="40" t="n">
        <f aca="false">IF(ISNUMBER($K151),$K151*Parâmetros!$B$9,"")</f>
        <v>27.4428571428571</v>
      </c>
      <c r="N151" s="40" t="n">
        <f aca="false">IF(ISNUMBER($K151),$K151*Parâmetros!$C$9,"")</f>
        <v>8.23285714285714</v>
      </c>
      <c r="O151" s="40" t="n">
        <f aca="false">IF(ISNUMBER($K151),IF(ISNUMBER(Parâmetros!$E$9),Parâmetros!$E$9,0),"")</f>
        <v>0</v>
      </c>
      <c r="P151" s="41" t="n">
        <f aca="false">IF(ISNUMBER($K151),$K151-$D151-IF(ISNUMBER($E151),$E151,0)-$L151-$M151-$N151-$O151,"")</f>
        <v>54.8857142857143</v>
      </c>
      <c r="Q151" s="42" t="n">
        <f aca="false">IF(AND(ISNUMBER($K151),$K151&gt;0),$P151/$K151,"")</f>
        <v>0.2</v>
      </c>
      <c r="R151" s="43"/>
      <c r="S151" s="44" t="str">
        <f aca="false">IF(OR(NOT(ISNUMBER($R151)),$R151=0,NOT(ISNUMBER($K151))),"",$K151*(1-$R151))</f>
        <v/>
      </c>
      <c r="T151" s="45" t="str">
        <f aca="false">IF(ISNUMBER($S151),$S151*$H151,"")</f>
        <v/>
      </c>
      <c r="U151" s="45" t="str">
        <f aca="false">IF(ISNUMBER($S151),$S151*Parâmetros!$B$9,"")</f>
        <v/>
      </c>
      <c r="V151" s="45" t="str">
        <f aca="false">IF(ISNUMBER($S151),$S151*Parâmetros!$C$9,"")</f>
        <v/>
      </c>
      <c r="W151" s="44" t="str">
        <f aca="false">IF(ISNUMBER($S151),$S151-$D151-IF(ISNUMBER($E151),$E151,0)-$O151-$T151-$U151-$V151,"")</f>
        <v/>
      </c>
      <c r="X151" s="46" t="str">
        <f aca="false">IF(AND(ISNUMBER($S151),$S151&gt;0),$W151/$S151,"")</f>
        <v/>
      </c>
      <c r="Y151" s="49"/>
      <c r="Z151" s="21"/>
    </row>
    <row r="152" customFormat="false" ht="15.75" hidden="false" customHeight="true" outlineLevel="0" collapsed="false">
      <c r="A152" s="32" t="str">
        <f aca="false">IF(Produtos!$A152="","",Produtos!$A152)</f>
        <v>L2440-CP</v>
      </c>
      <c r="B152" s="32" t="str">
        <f aca="false">IF(Produtos!$A152="","",Produtos!$B152)</f>
        <v>Lixeira Aço inox Coletor de pilhas e baterias 24x40 20L</v>
      </c>
      <c r="C152" s="32" t="str">
        <f aca="false">IF(Produtos!$A152="","",Produtos!$C152)</f>
        <v>Coletores de pilhas</v>
      </c>
      <c r="D152" s="33" t="n">
        <f aca="false">IF(Produtos!$A152="","",IF(Produtos!$D152="","",Produtos!$D152))</f>
        <v>143.62</v>
      </c>
      <c r="E152" s="11" t="n">
        <v>0</v>
      </c>
      <c r="F152" s="34" t="n">
        <f aca="false">IF($A152="","",IF($C152="","⚠ categoria",IFERROR(INDEX(Parâmetros!$G$13:$G$22,MATCH($C152,Parâmetros!$A$13:$A$22,0)),"⚠ categoria")))</f>
        <v>0.18</v>
      </c>
      <c r="G152" s="35"/>
      <c r="H152" s="36" t="n">
        <f aca="false">IF($A152="","",IF(ISNUMBER($G152),$G152,IF(ISNUMBER($F152),$F152,"")))</f>
        <v>0.18</v>
      </c>
      <c r="I152" s="37" t="n">
        <f aca="false">IF(OR($A152="",NOT(ISNUMBER($D152)),NOT(ISNUMBER($H152))),"",IF((1-$H152-Parâmetros!$B$9-Parâmetros!$C$9-Parâmetros!$D$9)&lt;=0,"INVALIDO",($D152+IF(ISNUMBER($E152),$E152,0)+IF(ISNUMBER(Parâmetros!$E$9),Parâmetros!$E$9,0))/(1-$H152-Parâmetros!$B$9-Parâmetros!$C$9-Parâmetros!$D$9)))</f>
        <v>293.102040816327</v>
      </c>
      <c r="J152" s="38"/>
      <c r="K152" s="39" t="n">
        <f aca="false">IF(OR($A152="",NOT(ISNUMBER($D152)),NOT(ISNUMBER($H152))),"",IF(AND(ISNUMBER($J152),$J152&gt;0),$J152,IF(ISNUMBER($I152),$I152,"")))</f>
        <v>293.102040816327</v>
      </c>
      <c r="L152" s="40" t="n">
        <f aca="false">IF(ISNUMBER($K152),$K152*$H152,"")</f>
        <v>52.7583673469388</v>
      </c>
      <c r="M152" s="40" t="n">
        <f aca="false">IF(ISNUMBER($K152),$K152*Parâmetros!$B$9,"")</f>
        <v>29.3102040816327</v>
      </c>
      <c r="N152" s="40" t="n">
        <f aca="false">IF(ISNUMBER($K152),$K152*Parâmetros!$C$9,"")</f>
        <v>8.7930612244898</v>
      </c>
      <c r="O152" s="40" t="n">
        <f aca="false">IF(ISNUMBER($K152),IF(ISNUMBER(Parâmetros!$E$9),Parâmetros!$E$9,0),"")</f>
        <v>0</v>
      </c>
      <c r="P152" s="41" t="n">
        <f aca="false">IF(ISNUMBER($K152),$K152-$D152-IF(ISNUMBER($E152),$E152,0)-$L152-$M152-$N152-$O152,"")</f>
        <v>58.6204081632653</v>
      </c>
      <c r="Q152" s="42" t="n">
        <f aca="false">IF(AND(ISNUMBER($K152),$K152&gt;0),$P152/$K152,"")</f>
        <v>0.2</v>
      </c>
      <c r="R152" s="43"/>
      <c r="S152" s="44" t="str">
        <f aca="false">IF(OR(NOT(ISNUMBER($R152)),$R152=0,NOT(ISNUMBER($K152))),"",$K152*(1-$R152))</f>
        <v/>
      </c>
      <c r="T152" s="45" t="str">
        <f aca="false">IF(ISNUMBER($S152),$S152*$H152,"")</f>
        <v/>
      </c>
      <c r="U152" s="45" t="str">
        <f aca="false">IF(ISNUMBER($S152),$S152*Parâmetros!$B$9,"")</f>
        <v/>
      </c>
      <c r="V152" s="45" t="str">
        <f aca="false">IF(ISNUMBER($S152),$S152*Parâmetros!$C$9,"")</f>
        <v/>
      </c>
      <c r="W152" s="44" t="str">
        <f aca="false">IF(ISNUMBER($S152),$S152-$D152-IF(ISNUMBER($E152),$E152,0)-$O152-$T152-$U152-$V152,"")</f>
        <v/>
      </c>
      <c r="X152" s="46" t="str">
        <f aca="false">IF(AND(ISNUMBER($S152),$S152&gt;0),$W152/$S152,"")</f>
        <v/>
      </c>
      <c r="Y152" s="47"/>
      <c r="Z152" s="19"/>
    </row>
    <row r="153" customFormat="false" ht="15.75" hidden="false" customHeight="true" outlineLevel="0" collapsed="false">
      <c r="A153" s="48" t="str">
        <f aca="false">IF(Produtos!$A153="","",Produtos!$A153)</f>
        <v>L2450-CP</v>
      </c>
      <c r="B153" s="48" t="str">
        <f aca="false">IF(Produtos!$A153="","",Produtos!$B153)</f>
        <v>Lixeira Aço inox Coletor de pilhas e baterias 24x50 25L</v>
      </c>
      <c r="C153" s="48" t="str">
        <f aca="false">IF(Produtos!$A153="","",Produtos!$C153)</f>
        <v>Coletores de pilhas</v>
      </c>
      <c r="D153" s="33" t="n">
        <f aca="false">IF(Produtos!$A153="","",IF(Produtos!$D153="","",Produtos!$D153))</f>
        <v>163.9</v>
      </c>
      <c r="E153" s="11" t="n">
        <v>0</v>
      </c>
      <c r="F153" s="34" t="n">
        <f aca="false">IF($A153="","",IF($C153="","⚠ categoria",IFERROR(INDEX(Parâmetros!$G$13:$G$22,MATCH($C153,Parâmetros!$A$13:$A$22,0)),"⚠ categoria")))</f>
        <v>0.18</v>
      </c>
      <c r="G153" s="35"/>
      <c r="H153" s="36" t="n">
        <f aca="false">IF($A153="","",IF(ISNUMBER($G153),$G153,IF(ISNUMBER($F153),$F153,"")))</f>
        <v>0.18</v>
      </c>
      <c r="I153" s="37" t="n">
        <f aca="false">IF(OR($A153="",NOT(ISNUMBER($D153)),NOT(ISNUMBER($H153))),"",IF((1-$H153-Parâmetros!$B$9-Parâmetros!$C$9-Parâmetros!$D$9)&lt;=0,"INVALIDO",($D153+IF(ISNUMBER($E153),$E153,0)+IF(ISNUMBER(Parâmetros!$E$9),Parâmetros!$E$9,0))/(1-$H153-Parâmetros!$B$9-Parâmetros!$C$9-Parâmetros!$D$9)))</f>
        <v>334.489795918367</v>
      </c>
      <c r="J153" s="38"/>
      <c r="K153" s="39" t="n">
        <f aca="false">IF(OR($A153="",NOT(ISNUMBER($D153)),NOT(ISNUMBER($H153))),"",IF(AND(ISNUMBER($J153),$J153&gt;0),$J153,IF(ISNUMBER($I153),$I153,"")))</f>
        <v>334.489795918367</v>
      </c>
      <c r="L153" s="40" t="n">
        <f aca="false">IF(ISNUMBER($K153),$K153*$H153,"")</f>
        <v>60.2081632653061</v>
      </c>
      <c r="M153" s="40" t="n">
        <f aca="false">IF(ISNUMBER($K153),$K153*Parâmetros!$B$9,"")</f>
        <v>33.4489795918367</v>
      </c>
      <c r="N153" s="40" t="n">
        <f aca="false">IF(ISNUMBER($K153),$K153*Parâmetros!$C$9,"")</f>
        <v>10.034693877551</v>
      </c>
      <c r="O153" s="40" t="n">
        <f aca="false">IF(ISNUMBER($K153),IF(ISNUMBER(Parâmetros!$E$9),Parâmetros!$E$9,0),"")</f>
        <v>0</v>
      </c>
      <c r="P153" s="41" t="n">
        <f aca="false">IF(ISNUMBER($K153),$K153-$D153-IF(ISNUMBER($E153),$E153,0)-$L153-$M153-$N153-$O153,"")</f>
        <v>66.8979591836735</v>
      </c>
      <c r="Q153" s="42" t="n">
        <f aca="false">IF(AND(ISNUMBER($K153),$K153&gt;0),$P153/$K153,"")</f>
        <v>0.2</v>
      </c>
      <c r="R153" s="43"/>
      <c r="S153" s="44" t="str">
        <f aca="false">IF(OR(NOT(ISNUMBER($R153)),$R153=0,NOT(ISNUMBER($K153))),"",$K153*(1-$R153))</f>
        <v/>
      </c>
      <c r="T153" s="45" t="str">
        <f aca="false">IF(ISNUMBER($S153),$S153*$H153,"")</f>
        <v/>
      </c>
      <c r="U153" s="45" t="str">
        <f aca="false">IF(ISNUMBER($S153),$S153*Parâmetros!$B$9,"")</f>
        <v/>
      </c>
      <c r="V153" s="45" t="str">
        <f aca="false">IF(ISNUMBER($S153),$S153*Parâmetros!$C$9,"")</f>
        <v/>
      </c>
      <c r="W153" s="44" t="str">
        <f aca="false">IF(ISNUMBER($S153),$S153-$D153-IF(ISNUMBER($E153),$E153,0)-$O153-$T153-$U153-$V153,"")</f>
        <v/>
      </c>
      <c r="X153" s="46" t="str">
        <f aca="false">IF(AND(ISNUMBER($S153),$S153&gt;0),$W153/$S153,"")</f>
        <v/>
      </c>
      <c r="Y153" s="49"/>
      <c r="Z153" s="21"/>
    </row>
    <row r="154" customFormat="false" ht="15.75" hidden="false" customHeight="true" outlineLevel="0" collapsed="false">
      <c r="A154" s="32" t="str">
        <f aca="false">IF(Produtos!$A154="","",Produtos!$A154)</f>
        <v>L2460-CP</v>
      </c>
      <c r="B154" s="32" t="str">
        <f aca="false">IF(Produtos!$A154="","",Produtos!$B154)</f>
        <v>Lixeira Aço inox Coletor de pilhas e baterias 24x60 27L</v>
      </c>
      <c r="C154" s="32" t="str">
        <f aca="false">IF(Produtos!$A154="","",Produtos!$C154)</f>
        <v>Coletores de pilhas</v>
      </c>
      <c r="D154" s="33" t="n">
        <f aca="false">IF(Produtos!$A154="","",IF(Produtos!$D154="","",Produtos!$D154))</f>
        <v>172.67</v>
      </c>
      <c r="E154" s="11" t="n">
        <v>0</v>
      </c>
      <c r="F154" s="34" t="n">
        <f aca="false">IF($A154="","",IF($C154="","⚠ categoria",IFERROR(INDEX(Parâmetros!$G$13:$G$22,MATCH($C154,Parâmetros!$A$13:$A$22,0)),"⚠ categoria")))</f>
        <v>0.18</v>
      </c>
      <c r="G154" s="35"/>
      <c r="H154" s="36" t="n">
        <f aca="false">IF($A154="","",IF(ISNUMBER($G154),$G154,IF(ISNUMBER($F154),$F154,"")))</f>
        <v>0.18</v>
      </c>
      <c r="I154" s="37" t="n">
        <f aca="false">IF(OR($A154="",NOT(ISNUMBER($D154)),NOT(ISNUMBER($H154))),"",IF((1-$H154-Parâmetros!$B$9-Parâmetros!$C$9-Parâmetros!$D$9)&lt;=0,"INVALIDO",($D154+IF(ISNUMBER($E154),$E154,0)+IF(ISNUMBER(Parâmetros!$E$9),Parâmetros!$E$9,0))/(1-$H154-Parâmetros!$B$9-Parâmetros!$C$9-Parâmetros!$D$9)))</f>
        <v>352.387755102041</v>
      </c>
      <c r="J154" s="38"/>
      <c r="K154" s="39" t="n">
        <f aca="false">IF(OR($A154="",NOT(ISNUMBER($D154)),NOT(ISNUMBER($H154))),"",IF(AND(ISNUMBER($J154),$J154&gt;0),$J154,IF(ISNUMBER($I154),$I154,"")))</f>
        <v>352.387755102041</v>
      </c>
      <c r="L154" s="40" t="n">
        <f aca="false">IF(ISNUMBER($K154),$K154*$H154,"")</f>
        <v>63.4297959183673</v>
      </c>
      <c r="M154" s="40" t="n">
        <f aca="false">IF(ISNUMBER($K154),$K154*Parâmetros!$B$9,"")</f>
        <v>35.2387755102041</v>
      </c>
      <c r="N154" s="40" t="n">
        <f aca="false">IF(ISNUMBER($K154),$K154*Parâmetros!$C$9,"")</f>
        <v>10.5716326530612</v>
      </c>
      <c r="O154" s="40" t="n">
        <f aca="false">IF(ISNUMBER($K154),IF(ISNUMBER(Parâmetros!$E$9),Parâmetros!$E$9,0),"")</f>
        <v>0</v>
      </c>
      <c r="P154" s="41" t="n">
        <f aca="false">IF(ISNUMBER($K154),$K154-$D154-IF(ISNUMBER($E154),$E154,0)-$L154-$M154-$N154-$O154,"")</f>
        <v>70.4775510204081</v>
      </c>
      <c r="Q154" s="42" t="n">
        <f aca="false">IF(AND(ISNUMBER($K154),$K154&gt;0),$P154/$K154,"")</f>
        <v>0.2</v>
      </c>
      <c r="R154" s="43"/>
      <c r="S154" s="44" t="str">
        <f aca="false">IF(OR(NOT(ISNUMBER($R154)),$R154=0,NOT(ISNUMBER($K154))),"",$K154*(1-$R154))</f>
        <v/>
      </c>
      <c r="T154" s="45" t="str">
        <f aca="false">IF(ISNUMBER($S154),$S154*$H154,"")</f>
        <v/>
      </c>
      <c r="U154" s="45" t="str">
        <f aca="false">IF(ISNUMBER($S154),$S154*Parâmetros!$B$9,"")</f>
        <v/>
      </c>
      <c r="V154" s="45" t="str">
        <f aca="false">IF(ISNUMBER($S154),$S154*Parâmetros!$C$9,"")</f>
        <v/>
      </c>
      <c r="W154" s="44" t="str">
        <f aca="false">IF(ISNUMBER($S154),$S154-$D154-IF(ISNUMBER($E154),$E154,0)-$O154-$T154-$U154-$V154,"")</f>
        <v/>
      </c>
      <c r="X154" s="46" t="str">
        <f aca="false">IF(AND(ISNUMBER($S154),$S154&gt;0),$W154/$S154,"")</f>
        <v/>
      </c>
      <c r="Y154" s="47"/>
      <c r="Z154" s="19"/>
    </row>
    <row r="155" customFormat="false" ht="15.75" hidden="false" customHeight="true" outlineLevel="0" collapsed="false">
      <c r="A155" s="48" t="str">
        <f aca="false">IF(Produtos!$A155="","",Produtos!$A155)</f>
        <v>L3040-CP</v>
      </c>
      <c r="B155" s="48" t="str">
        <f aca="false">IF(Produtos!$A155="","",Produtos!$B155)</f>
        <v>Lixeira Aço inox Coletor de pilhas e baterias 30x40 30L</v>
      </c>
      <c r="C155" s="48" t="str">
        <f aca="false">IF(Produtos!$A155="","",Produtos!$C155)</f>
        <v>Coletores de pilhas</v>
      </c>
      <c r="D155" s="33" t="n">
        <f aca="false">IF(Produtos!$A155="","",IF(Produtos!$D155="","",Produtos!$D155))</f>
        <v>157.35</v>
      </c>
      <c r="E155" s="11" t="n">
        <v>0</v>
      </c>
      <c r="F155" s="34" t="n">
        <f aca="false">IF($A155="","",IF($C155="","⚠ categoria",IFERROR(INDEX(Parâmetros!$G$13:$G$22,MATCH($C155,Parâmetros!$A$13:$A$22,0)),"⚠ categoria")))</f>
        <v>0.18</v>
      </c>
      <c r="G155" s="35"/>
      <c r="H155" s="36" t="n">
        <f aca="false">IF($A155="","",IF(ISNUMBER($G155),$G155,IF(ISNUMBER($F155),$F155,"")))</f>
        <v>0.18</v>
      </c>
      <c r="I155" s="37" t="n">
        <f aca="false">IF(OR($A155="",NOT(ISNUMBER($D155)),NOT(ISNUMBER($H155))),"",IF((1-$H155-Parâmetros!$B$9-Parâmetros!$C$9-Parâmetros!$D$9)&lt;=0,"INVALIDO",($D155+IF(ISNUMBER($E155),$E155,0)+IF(ISNUMBER(Parâmetros!$E$9),Parâmetros!$E$9,0))/(1-$H155-Parâmetros!$B$9-Parâmetros!$C$9-Parâmetros!$D$9)))</f>
        <v>321.122448979592</v>
      </c>
      <c r="J155" s="38"/>
      <c r="K155" s="39" t="n">
        <f aca="false">IF(OR($A155="",NOT(ISNUMBER($D155)),NOT(ISNUMBER($H155))),"",IF(AND(ISNUMBER($J155),$J155&gt;0),$J155,IF(ISNUMBER($I155),$I155,"")))</f>
        <v>321.122448979592</v>
      </c>
      <c r="L155" s="40" t="n">
        <f aca="false">IF(ISNUMBER($K155),$K155*$H155,"")</f>
        <v>57.8020408163265</v>
      </c>
      <c r="M155" s="40" t="n">
        <f aca="false">IF(ISNUMBER($K155),$K155*Parâmetros!$B$9,"")</f>
        <v>32.1122448979592</v>
      </c>
      <c r="N155" s="40" t="n">
        <f aca="false">IF(ISNUMBER($K155),$K155*Parâmetros!$C$9,"")</f>
        <v>9.63367346938775</v>
      </c>
      <c r="O155" s="40" t="n">
        <f aca="false">IF(ISNUMBER($K155),IF(ISNUMBER(Parâmetros!$E$9),Parâmetros!$E$9,0),"")</f>
        <v>0</v>
      </c>
      <c r="P155" s="41" t="n">
        <f aca="false">IF(ISNUMBER($K155),$K155-$D155-IF(ISNUMBER($E155),$E155,0)-$L155-$M155-$N155-$O155,"")</f>
        <v>64.2244897959183</v>
      </c>
      <c r="Q155" s="42" t="n">
        <f aca="false">IF(AND(ISNUMBER($K155),$K155&gt;0),$P155/$K155,"")</f>
        <v>0.2</v>
      </c>
      <c r="R155" s="43"/>
      <c r="S155" s="44" t="str">
        <f aca="false">IF(OR(NOT(ISNUMBER($R155)),$R155=0,NOT(ISNUMBER($K155))),"",$K155*(1-$R155))</f>
        <v/>
      </c>
      <c r="T155" s="45" t="str">
        <f aca="false">IF(ISNUMBER($S155),$S155*$H155,"")</f>
        <v/>
      </c>
      <c r="U155" s="45" t="str">
        <f aca="false">IF(ISNUMBER($S155),$S155*Parâmetros!$B$9,"")</f>
        <v/>
      </c>
      <c r="V155" s="45" t="str">
        <f aca="false">IF(ISNUMBER($S155),$S155*Parâmetros!$C$9,"")</f>
        <v/>
      </c>
      <c r="W155" s="44" t="str">
        <f aca="false">IF(ISNUMBER($S155),$S155-$D155-IF(ISNUMBER($E155),$E155,0)-$O155-$T155-$U155-$V155,"")</f>
        <v/>
      </c>
      <c r="X155" s="46" t="str">
        <f aca="false">IF(AND(ISNUMBER($S155),$S155&gt;0),$W155/$S155,"")</f>
        <v/>
      </c>
      <c r="Y155" s="49"/>
      <c r="Z155" s="21"/>
    </row>
    <row r="156" customFormat="false" ht="15.75" hidden="false" customHeight="true" outlineLevel="0" collapsed="false">
      <c r="A156" s="32" t="str">
        <f aca="false">IF(Produtos!$A156="","",Produtos!$A156)</f>
        <v>L3050-CP</v>
      </c>
      <c r="B156" s="32" t="str">
        <f aca="false">IF(Produtos!$A156="","",Produtos!$B156)</f>
        <v>Lixeira Aço inox Coletor de pilhas e baterias 30x50 35L</v>
      </c>
      <c r="C156" s="32" t="str">
        <f aca="false">IF(Produtos!$A156="","",Produtos!$C156)</f>
        <v>Coletores de pilhas</v>
      </c>
      <c r="D156" s="33" t="n">
        <f aca="false">IF(Produtos!$A156="","",IF(Produtos!$D156="","",Produtos!$D156))</f>
        <v>203.19</v>
      </c>
      <c r="E156" s="11" t="n">
        <v>0</v>
      </c>
      <c r="F156" s="34" t="n">
        <f aca="false">IF($A156="","",IF($C156="","⚠ categoria",IFERROR(INDEX(Parâmetros!$G$13:$G$22,MATCH($C156,Parâmetros!$A$13:$A$22,0)),"⚠ categoria")))</f>
        <v>0.18</v>
      </c>
      <c r="G156" s="35"/>
      <c r="H156" s="36" t="n">
        <f aca="false">IF($A156="","",IF(ISNUMBER($G156),$G156,IF(ISNUMBER($F156),$F156,"")))</f>
        <v>0.18</v>
      </c>
      <c r="I156" s="37" t="n">
        <f aca="false">IF(OR($A156="",NOT(ISNUMBER($D156)),NOT(ISNUMBER($H156))),"",IF((1-$H156-Parâmetros!$B$9-Parâmetros!$C$9-Parâmetros!$D$9)&lt;=0,"INVALIDO",($D156+IF(ISNUMBER($E156),$E156,0)+IF(ISNUMBER(Parâmetros!$E$9),Parâmetros!$E$9,0))/(1-$H156-Parâmetros!$B$9-Parâmetros!$C$9-Parâmetros!$D$9)))</f>
        <v>414.673469387755</v>
      </c>
      <c r="J156" s="38"/>
      <c r="K156" s="39" t="n">
        <f aca="false">IF(OR($A156="",NOT(ISNUMBER($D156)),NOT(ISNUMBER($H156))),"",IF(AND(ISNUMBER($J156),$J156&gt;0),$J156,IF(ISNUMBER($I156),$I156,"")))</f>
        <v>414.673469387755</v>
      </c>
      <c r="L156" s="40" t="n">
        <f aca="false">IF(ISNUMBER($K156),$K156*$H156,"")</f>
        <v>74.6412244897959</v>
      </c>
      <c r="M156" s="40" t="n">
        <f aca="false">IF(ISNUMBER($K156),$K156*Parâmetros!$B$9,"")</f>
        <v>41.4673469387755</v>
      </c>
      <c r="N156" s="40" t="n">
        <f aca="false">IF(ISNUMBER($K156),$K156*Parâmetros!$C$9,"")</f>
        <v>12.4402040816327</v>
      </c>
      <c r="O156" s="40" t="n">
        <f aca="false">IF(ISNUMBER($K156),IF(ISNUMBER(Parâmetros!$E$9),Parâmetros!$E$9,0),"")</f>
        <v>0</v>
      </c>
      <c r="P156" s="41" t="n">
        <f aca="false">IF(ISNUMBER($K156),$K156-$D156-IF(ISNUMBER($E156),$E156,0)-$L156-$M156-$N156-$O156,"")</f>
        <v>82.934693877551</v>
      </c>
      <c r="Q156" s="42" t="n">
        <f aca="false">IF(AND(ISNUMBER($K156),$K156&gt;0),$P156/$K156,"")</f>
        <v>0.2</v>
      </c>
      <c r="R156" s="43"/>
      <c r="S156" s="44" t="str">
        <f aca="false">IF(OR(NOT(ISNUMBER($R156)),$R156=0,NOT(ISNUMBER($K156))),"",$K156*(1-$R156))</f>
        <v/>
      </c>
      <c r="T156" s="45" t="str">
        <f aca="false">IF(ISNUMBER($S156),$S156*$H156,"")</f>
        <v/>
      </c>
      <c r="U156" s="45" t="str">
        <f aca="false">IF(ISNUMBER($S156),$S156*Parâmetros!$B$9,"")</f>
        <v/>
      </c>
      <c r="V156" s="45" t="str">
        <f aca="false">IF(ISNUMBER($S156),$S156*Parâmetros!$C$9,"")</f>
        <v/>
      </c>
      <c r="W156" s="44" t="str">
        <f aca="false">IF(ISNUMBER($S156),$S156-$D156-IF(ISNUMBER($E156),$E156,0)-$O156-$T156-$U156-$V156,"")</f>
        <v/>
      </c>
      <c r="X156" s="46" t="str">
        <f aca="false">IF(AND(ISNUMBER($S156),$S156&gt;0),$W156/$S156,"")</f>
        <v/>
      </c>
      <c r="Y156" s="47"/>
      <c r="Z156" s="19"/>
    </row>
    <row r="157" customFormat="false" ht="15.75" hidden="false" customHeight="true" outlineLevel="0" collapsed="false">
      <c r="A157" s="48" t="str">
        <f aca="false">IF(Produtos!$A157="","",Produtos!$A157)</f>
        <v>L3060-CP</v>
      </c>
      <c r="B157" s="48" t="str">
        <f aca="false">IF(Produtos!$A157="","",Produtos!$B157)</f>
        <v>Lixeira Aço inox Coletor de pilhas e baterias 30x60 40L</v>
      </c>
      <c r="C157" s="48" t="str">
        <f aca="false">IF(Produtos!$A157="","",Produtos!$C157)</f>
        <v>Coletores de pilhas</v>
      </c>
      <c r="D157" s="33" t="n">
        <f aca="false">IF(Produtos!$A157="","",IF(Produtos!$D157="","",Produtos!$D157))</f>
        <v>205.65</v>
      </c>
      <c r="E157" s="11" t="n">
        <v>0</v>
      </c>
      <c r="F157" s="34" t="n">
        <f aca="false">IF($A157="","",IF($C157="","⚠ categoria",IFERROR(INDEX(Parâmetros!$G$13:$G$22,MATCH($C157,Parâmetros!$A$13:$A$22,0)),"⚠ categoria")))</f>
        <v>0.18</v>
      </c>
      <c r="G157" s="35"/>
      <c r="H157" s="36" t="n">
        <f aca="false">IF($A157="","",IF(ISNUMBER($G157),$G157,IF(ISNUMBER($F157),$F157,"")))</f>
        <v>0.18</v>
      </c>
      <c r="I157" s="37" t="n">
        <f aca="false">IF(OR($A157="",NOT(ISNUMBER($D157)),NOT(ISNUMBER($H157))),"",IF((1-$H157-Parâmetros!$B$9-Parâmetros!$C$9-Parâmetros!$D$9)&lt;=0,"INVALIDO",($D157+IF(ISNUMBER($E157),$E157,0)+IF(ISNUMBER(Parâmetros!$E$9),Parâmetros!$E$9,0))/(1-$H157-Parâmetros!$B$9-Parâmetros!$C$9-Parâmetros!$D$9)))</f>
        <v>419.69387755102</v>
      </c>
      <c r="J157" s="38"/>
      <c r="K157" s="39" t="n">
        <f aca="false">IF(OR($A157="",NOT(ISNUMBER($D157)),NOT(ISNUMBER($H157))),"",IF(AND(ISNUMBER($J157),$J157&gt;0),$J157,IF(ISNUMBER($I157),$I157,"")))</f>
        <v>419.69387755102</v>
      </c>
      <c r="L157" s="40" t="n">
        <f aca="false">IF(ISNUMBER($K157),$K157*$H157,"")</f>
        <v>75.5448979591837</v>
      </c>
      <c r="M157" s="40" t="n">
        <f aca="false">IF(ISNUMBER($K157),$K157*Parâmetros!$B$9,"")</f>
        <v>41.969387755102</v>
      </c>
      <c r="N157" s="40" t="n">
        <f aca="false">IF(ISNUMBER($K157),$K157*Parâmetros!$C$9,"")</f>
        <v>12.5908163265306</v>
      </c>
      <c r="O157" s="40" t="n">
        <f aca="false">IF(ISNUMBER($K157),IF(ISNUMBER(Parâmetros!$E$9),Parâmetros!$E$9,0),"")</f>
        <v>0</v>
      </c>
      <c r="P157" s="41" t="n">
        <f aca="false">IF(ISNUMBER($K157),$K157-$D157-IF(ISNUMBER($E157),$E157,0)-$L157-$M157-$N157-$O157,"")</f>
        <v>83.938775510204</v>
      </c>
      <c r="Q157" s="42" t="n">
        <f aca="false">IF(AND(ISNUMBER($K157),$K157&gt;0),$P157/$K157,"")</f>
        <v>0.2</v>
      </c>
      <c r="R157" s="43"/>
      <c r="S157" s="44" t="str">
        <f aca="false">IF(OR(NOT(ISNUMBER($R157)),$R157=0,NOT(ISNUMBER($K157))),"",$K157*(1-$R157))</f>
        <v/>
      </c>
      <c r="T157" s="45" t="str">
        <f aca="false">IF(ISNUMBER($S157),$S157*$H157,"")</f>
        <v/>
      </c>
      <c r="U157" s="45" t="str">
        <f aca="false">IF(ISNUMBER($S157),$S157*Parâmetros!$B$9,"")</f>
        <v/>
      </c>
      <c r="V157" s="45" t="str">
        <f aca="false">IF(ISNUMBER($S157),$S157*Parâmetros!$C$9,"")</f>
        <v/>
      </c>
      <c r="W157" s="44" t="str">
        <f aca="false">IF(ISNUMBER($S157),$S157-$D157-IF(ISNUMBER($E157),$E157,0)-$O157-$T157-$U157-$V157,"")</f>
        <v/>
      </c>
      <c r="X157" s="46" t="str">
        <f aca="false">IF(AND(ISNUMBER($S157),$S157&gt;0),$W157/$S157,"")</f>
        <v/>
      </c>
      <c r="Y157" s="49"/>
      <c r="Z157" s="21"/>
    </row>
    <row r="158" customFormat="false" ht="15.75" hidden="false" customHeight="true" outlineLevel="0" collapsed="false">
      <c r="A158" s="32" t="str">
        <f aca="false">IF(Produtos!$A158="","",Produtos!$A158)</f>
        <v>L3070-CP</v>
      </c>
      <c r="B158" s="32" t="str">
        <f aca="false">IF(Produtos!$A158="","",Produtos!$B158)</f>
        <v>Lixeira Aço inox Coletor de pilhas e baterias 30x70 50L</v>
      </c>
      <c r="C158" s="32" t="str">
        <f aca="false">IF(Produtos!$A158="","",Produtos!$C158)</f>
        <v>Coletores de pilhas</v>
      </c>
      <c r="D158" s="33" t="n">
        <f aca="false">IF(Produtos!$A158="","",IF(Produtos!$D158="","",Produtos!$D158))</f>
        <v>267.58</v>
      </c>
      <c r="E158" s="11" t="n">
        <v>0</v>
      </c>
      <c r="F158" s="34" t="n">
        <f aca="false">IF($A158="","",IF($C158="","⚠ categoria",IFERROR(INDEX(Parâmetros!$G$13:$G$22,MATCH($C158,Parâmetros!$A$13:$A$22,0)),"⚠ categoria")))</f>
        <v>0.18</v>
      </c>
      <c r="G158" s="35"/>
      <c r="H158" s="36" t="n">
        <f aca="false">IF($A158="","",IF(ISNUMBER($G158),$G158,IF(ISNUMBER($F158),$F158,"")))</f>
        <v>0.18</v>
      </c>
      <c r="I158" s="37" t="n">
        <f aca="false">IF(OR($A158="",NOT(ISNUMBER($D158)),NOT(ISNUMBER($H158))),"",IF((1-$H158-Parâmetros!$B$9-Parâmetros!$C$9-Parâmetros!$D$9)&lt;=0,"INVALIDO",($D158+IF(ISNUMBER($E158),$E158,0)+IF(ISNUMBER(Parâmetros!$E$9),Parâmetros!$E$9,0))/(1-$H158-Parâmetros!$B$9-Parâmetros!$C$9-Parâmetros!$D$9)))</f>
        <v>546.081632653061</v>
      </c>
      <c r="J158" s="38"/>
      <c r="K158" s="39" t="n">
        <f aca="false">IF(OR($A158="",NOT(ISNUMBER($D158)),NOT(ISNUMBER($H158))),"",IF(AND(ISNUMBER($J158),$J158&gt;0),$J158,IF(ISNUMBER($I158),$I158,"")))</f>
        <v>546.081632653061</v>
      </c>
      <c r="L158" s="40" t="n">
        <f aca="false">IF(ISNUMBER($K158),$K158*$H158,"")</f>
        <v>98.294693877551</v>
      </c>
      <c r="M158" s="40" t="n">
        <f aca="false">IF(ISNUMBER($K158),$K158*Parâmetros!$B$9,"")</f>
        <v>54.6081632653061</v>
      </c>
      <c r="N158" s="40" t="n">
        <f aca="false">IF(ISNUMBER($K158),$K158*Parâmetros!$C$9,"")</f>
        <v>16.3824489795918</v>
      </c>
      <c r="O158" s="40" t="n">
        <f aca="false">IF(ISNUMBER($K158),IF(ISNUMBER(Parâmetros!$E$9),Parâmetros!$E$9,0),"")</f>
        <v>0</v>
      </c>
      <c r="P158" s="41" t="n">
        <f aca="false">IF(ISNUMBER($K158),$K158-$D158-IF(ISNUMBER($E158),$E158,0)-$L158-$M158-$N158-$O158,"")</f>
        <v>109.216326530612</v>
      </c>
      <c r="Q158" s="42" t="n">
        <f aca="false">IF(AND(ISNUMBER($K158),$K158&gt;0),$P158/$K158,"")</f>
        <v>0.2</v>
      </c>
      <c r="R158" s="43"/>
      <c r="S158" s="44" t="str">
        <f aca="false">IF(OR(NOT(ISNUMBER($R158)),$R158=0,NOT(ISNUMBER($K158))),"",$K158*(1-$R158))</f>
        <v/>
      </c>
      <c r="T158" s="45" t="str">
        <f aca="false">IF(ISNUMBER($S158),$S158*$H158,"")</f>
        <v/>
      </c>
      <c r="U158" s="45" t="str">
        <f aca="false">IF(ISNUMBER($S158),$S158*Parâmetros!$B$9,"")</f>
        <v/>
      </c>
      <c r="V158" s="45" t="str">
        <f aca="false">IF(ISNUMBER($S158),$S158*Parâmetros!$C$9,"")</f>
        <v/>
      </c>
      <c r="W158" s="44" t="str">
        <f aca="false">IF(ISNUMBER($S158),$S158-$D158-IF(ISNUMBER($E158),$E158,0)-$O158-$T158-$U158-$V158,"")</f>
        <v/>
      </c>
      <c r="X158" s="46" t="str">
        <f aca="false">IF(AND(ISNUMBER($S158),$S158&gt;0),$W158/$S158,"")</f>
        <v/>
      </c>
      <c r="Y158" s="47"/>
      <c r="Z158" s="19"/>
    </row>
    <row r="159" customFormat="false" ht="15.75" hidden="false" customHeight="true" outlineLevel="0" collapsed="false">
      <c r="A159" s="48" t="str">
        <f aca="false">IF(Produtos!$A159="","",Produtos!$A159)</f>
        <v>EGC</v>
      </c>
      <c r="B159" s="48" t="str">
        <f aca="false">IF(Produtos!$A159="","",Produtos!$B159)</f>
        <v>Ensacador Guarda-chuvas c/150 saquinhos</v>
      </c>
      <c r="C159" s="48" t="str">
        <f aca="false">IF(Produtos!$A159="","",Produtos!$C159)</f>
        <v>Ensacadores</v>
      </c>
      <c r="D159" s="33" t="n">
        <f aca="false">IF(Produtos!$A159="","",IF(Produtos!$D159="","",Produtos!$D159))</f>
        <v>365.7</v>
      </c>
      <c r="E159" s="11" t="n">
        <v>0</v>
      </c>
      <c r="F159" s="34" t="n">
        <f aca="false">IF($A159="","",IF($C159="","⚠ categoria",IFERROR(INDEX(Parâmetros!$G$13:$G$22,MATCH($C159,Parâmetros!$A$13:$A$22,0)),"⚠ categoria")))</f>
        <v>0.18</v>
      </c>
      <c r="G159" s="35"/>
      <c r="H159" s="36" t="n">
        <f aca="false">IF($A159="","",IF(ISNUMBER($G159),$G159,IF(ISNUMBER($F159),$F159,"")))</f>
        <v>0.18</v>
      </c>
      <c r="I159" s="37" t="n">
        <f aca="false">IF(OR($A159="",NOT(ISNUMBER($D159)),NOT(ISNUMBER($H159))),"",IF((1-$H159-Parâmetros!$B$9-Parâmetros!$C$9-Parâmetros!$D$9)&lt;=0,"INVALIDO",($D159+IF(ISNUMBER($E159),$E159,0)+IF(ISNUMBER(Parâmetros!$E$9),Parâmetros!$E$9,0))/(1-$H159-Parâmetros!$B$9-Parâmetros!$C$9-Parâmetros!$D$9)))</f>
        <v>746.326530612245</v>
      </c>
      <c r="J159" s="38"/>
      <c r="K159" s="39" t="n">
        <f aca="false">IF(OR($A159="",NOT(ISNUMBER($D159)),NOT(ISNUMBER($H159))),"",IF(AND(ISNUMBER($J159),$J159&gt;0),$J159,IF(ISNUMBER($I159),$I159,"")))</f>
        <v>746.326530612245</v>
      </c>
      <c r="L159" s="40" t="n">
        <f aca="false">IF(ISNUMBER($K159),$K159*$H159,"")</f>
        <v>134.338775510204</v>
      </c>
      <c r="M159" s="40" t="n">
        <f aca="false">IF(ISNUMBER($K159),$K159*Parâmetros!$B$9,"")</f>
        <v>74.6326530612245</v>
      </c>
      <c r="N159" s="40" t="n">
        <f aca="false">IF(ISNUMBER($K159),$K159*Parâmetros!$C$9,"")</f>
        <v>22.3897959183673</v>
      </c>
      <c r="O159" s="40" t="n">
        <f aca="false">IF(ISNUMBER($K159),IF(ISNUMBER(Parâmetros!$E$9),Parâmetros!$E$9,0),"")</f>
        <v>0</v>
      </c>
      <c r="P159" s="41" t="n">
        <f aca="false">IF(ISNUMBER($K159),$K159-$D159-IF(ISNUMBER($E159),$E159,0)-$L159-$M159-$N159-$O159,"")</f>
        <v>149.265306122449</v>
      </c>
      <c r="Q159" s="42" t="n">
        <f aca="false">IF(AND(ISNUMBER($K159),$K159&gt;0),$P159/$K159,"")</f>
        <v>0.2</v>
      </c>
      <c r="R159" s="43"/>
      <c r="S159" s="44" t="str">
        <f aca="false">IF(OR(NOT(ISNUMBER($R159)),$R159=0,NOT(ISNUMBER($K159))),"",$K159*(1-$R159))</f>
        <v/>
      </c>
      <c r="T159" s="45" t="str">
        <f aca="false">IF(ISNUMBER($S159),$S159*$H159,"")</f>
        <v/>
      </c>
      <c r="U159" s="45" t="str">
        <f aca="false">IF(ISNUMBER($S159),$S159*Parâmetros!$B$9,"")</f>
        <v/>
      </c>
      <c r="V159" s="45" t="str">
        <f aca="false">IF(ISNUMBER($S159),$S159*Parâmetros!$C$9,"")</f>
        <v/>
      </c>
      <c r="W159" s="44" t="str">
        <f aca="false">IF(ISNUMBER($S159),$S159-$D159-IF(ISNUMBER($E159),$E159,0)-$O159-$T159-$U159-$V159,"")</f>
        <v/>
      </c>
      <c r="X159" s="46" t="str">
        <f aca="false">IF(AND(ISNUMBER($S159),$S159&gt;0),$W159/$S159,"")</f>
        <v/>
      </c>
      <c r="Y159" s="49"/>
      <c r="Z159" s="21"/>
    </row>
    <row r="160" customFormat="false" ht="15.75" hidden="false" customHeight="true" outlineLevel="0" collapsed="false">
      <c r="A160" s="32" t="str">
        <f aca="false">IF(Produtos!$A160="","",Produtos!$A160)</f>
        <v>REGC</v>
      </c>
      <c r="B160" s="32" t="str">
        <f aca="false">IF(Produtos!$A160="","",Produtos!$B160)</f>
        <v>Refil Ensacador c/1000 saquinhos</v>
      </c>
      <c r="C160" s="32" t="str">
        <f aca="false">IF(Produtos!$A160="","",Produtos!$C160)</f>
        <v>Ensacadores</v>
      </c>
      <c r="D160" s="33" t="n">
        <f aca="false">IF(Produtos!$A160="","",IF(Produtos!$D160="","",Produtos!$D160))</f>
        <v>271.36</v>
      </c>
      <c r="E160" s="11" t="n">
        <v>0</v>
      </c>
      <c r="F160" s="34" t="n">
        <f aca="false">IF($A160="","",IF($C160="","⚠ categoria",IFERROR(INDEX(Parâmetros!$G$13:$G$22,MATCH($C160,Parâmetros!$A$13:$A$22,0)),"⚠ categoria")))</f>
        <v>0.18</v>
      </c>
      <c r="G160" s="35"/>
      <c r="H160" s="36" t="n">
        <f aca="false">IF($A160="","",IF(ISNUMBER($G160),$G160,IF(ISNUMBER($F160),$F160,"")))</f>
        <v>0.18</v>
      </c>
      <c r="I160" s="37" t="n">
        <f aca="false">IF(OR($A160="",NOT(ISNUMBER($D160)),NOT(ISNUMBER($H160))),"",IF((1-$H160-Parâmetros!$B$9-Parâmetros!$C$9-Parâmetros!$D$9)&lt;=0,"INVALIDO",($D160+IF(ISNUMBER($E160),$E160,0)+IF(ISNUMBER(Parâmetros!$E$9),Parâmetros!$E$9,0))/(1-$H160-Parâmetros!$B$9-Parâmetros!$C$9-Parâmetros!$D$9)))</f>
        <v>553.795918367347</v>
      </c>
      <c r="J160" s="38"/>
      <c r="K160" s="39" t="n">
        <f aca="false">IF(OR($A160="",NOT(ISNUMBER($D160)),NOT(ISNUMBER($H160))),"",IF(AND(ISNUMBER($J160),$J160&gt;0),$J160,IF(ISNUMBER($I160),$I160,"")))</f>
        <v>553.795918367347</v>
      </c>
      <c r="L160" s="40" t="n">
        <f aca="false">IF(ISNUMBER($K160),$K160*$H160,"")</f>
        <v>99.6832653061224</v>
      </c>
      <c r="M160" s="40" t="n">
        <f aca="false">IF(ISNUMBER($K160),$K160*Parâmetros!$B$9,"")</f>
        <v>55.3795918367347</v>
      </c>
      <c r="N160" s="40" t="n">
        <f aca="false">IF(ISNUMBER($K160),$K160*Parâmetros!$C$9,"")</f>
        <v>16.6138775510204</v>
      </c>
      <c r="O160" s="40" t="n">
        <f aca="false">IF(ISNUMBER($K160),IF(ISNUMBER(Parâmetros!$E$9),Parâmetros!$E$9,0),"")</f>
        <v>0</v>
      </c>
      <c r="P160" s="41" t="n">
        <f aca="false">IF(ISNUMBER($K160),$K160-$D160-IF(ISNUMBER($E160),$E160,0)-$L160-$M160-$N160-$O160,"")</f>
        <v>110.759183673469</v>
      </c>
      <c r="Q160" s="42" t="n">
        <f aca="false">IF(AND(ISNUMBER($K160),$K160&gt;0),$P160/$K160,"")</f>
        <v>0.2</v>
      </c>
      <c r="R160" s="43"/>
      <c r="S160" s="44" t="str">
        <f aca="false">IF(OR(NOT(ISNUMBER($R160)),$R160=0,NOT(ISNUMBER($K160))),"",$K160*(1-$R160))</f>
        <v/>
      </c>
      <c r="T160" s="45" t="str">
        <f aca="false">IF(ISNUMBER($S160),$S160*$H160,"")</f>
        <v/>
      </c>
      <c r="U160" s="45" t="str">
        <f aca="false">IF(ISNUMBER($S160),$S160*Parâmetros!$B$9,"")</f>
        <v/>
      </c>
      <c r="V160" s="45" t="str">
        <f aca="false">IF(ISNUMBER($S160),$S160*Parâmetros!$C$9,"")</f>
        <v/>
      </c>
      <c r="W160" s="44" t="str">
        <f aca="false">IF(ISNUMBER($S160),$S160-$D160-IF(ISNUMBER($E160),$E160,0)-$O160-$T160-$U160-$V160,"")</f>
        <v/>
      </c>
      <c r="X160" s="46" t="str">
        <f aca="false">IF(AND(ISNUMBER($S160),$S160&gt;0),$W160/$S160,"")</f>
        <v/>
      </c>
      <c r="Y160" s="47"/>
      <c r="Z160" s="19"/>
    </row>
    <row r="161" customFormat="false" ht="15.75" hidden="false" customHeight="true" outlineLevel="0" collapsed="false">
      <c r="A161" s="48" t="str">
        <f aca="false">IF(Produtos!$A161="","",Produtos!$A161)</f>
        <v>PG2450</v>
      </c>
      <c r="B161" s="48" t="str">
        <f aca="false">IF(Produtos!$A161="","",Produtos!$B161)</f>
        <v>Porta Guarda-chuvas 24x50</v>
      </c>
      <c r="C161" s="48" t="str">
        <f aca="false">IF(Produtos!$A161="","",Produtos!$C161)</f>
        <v>Porta-guarda-chuvas</v>
      </c>
      <c r="D161" s="33" t="n">
        <f aca="false">IF(Produtos!$A161="","",IF(Produtos!$D161="","",Produtos!$D161))</f>
        <v>122.9</v>
      </c>
      <c r="E161" s="11" t="n">
        <v>0</v>
      </c>
      <c r="F161" s="34" t="n">
        <f aca="false">IF($A161="","",IF($C161="","⚠ categoria",IFERROR(INDEX(Parâmetros!$G$13:$G$22,MATCH($C161,Parâmetros!$A$13:$A$22,0)),"⚠ categoria")))</f>
        <v>0.199</v>
      </c>
      <c r="G161" s="35"/>
      <c r="H161" s="36" t="n">
        <f aca="false">IF($A161="","",IF(ISNUMBER($G161),$G161,IF(ISNUMBER($F161),$F161,"")))</f>
        <v>0.199</v>
      </c>
      <c r="I161" s="37" t="n">
        <f aca="false">IF(OR($A161="",NOT(ISNUMBER($D161)),NOT(ISNUMBER($H161))),"",IF((1-$H161-Parâmetros!$B$9-Parâmetros!$C$9-Parâmetros!$D$9)&lt;=0,"INVALIDO",($D161+IF(ISNUMBER($E161),$E161,0)+IF(ISNUMBER(Parâmetros!$E$9),Parâmetros!$E$9,0))/(1-$H161-Parâmetros!$B$9-Parâmetros!$C$9-Parâmetros!$D$9)))</f>
        <v>260.934182590234</v>
      </c>
      <c r="J161" s="38"/>
      <c r="K161" s="39" t="n">
        <f aca="false">IF(OR($A161="",NOT(ISNUMBER($D161)),NOT(ISNUMBER($H161))),"",IF(AND(ISNUMBER($J161),$J161&gt;0),$J161,IF(ISNUMBER($I161),$I161,"")))</f>
        <v>260.934182590234</v>
      </c>
      <c r="L161" s="40" t="n">
        <f aca="false">IF(ISNUMBER($K161),$K161*$H161,"")</f>
        <v>51.9259023354565</v>
      </c>
      <c r="M161" s="40" t="n">
        <f aca="false">IF(ISNUMBER($K161),$K161*Parâmetros!$B$9,"")</f>
        <v>26.0934182590234</v>
      </c>
      <c r="N161" s="40" t="n">
        <f aca="false">IF(ISNUMBER($K161),$K161*Parâmetros!$C$9,"")</f>
        <v>7.82802547770701</v>
      </c>
      <c r="O161" s="40" t="n">
        <f aca="false">IF(ISNUMBER($K161),IF(ISNUMBER(Parâmetros!$E$9),Parâmetros!$E$9,0),"")</f>
        <v>0</v>
      </c>
      <c r="P161" s="41" t="n">
        <f aca="false">IF(ISNUMBER($K161),$K161-$D161-IF(ISNUMBER($E161),$E161,0)-$L161-$M161-$N161-$O161,"")</f>
        <v>52.1868365180467</v>
      </c>
      <c r="Q161" s="42" t="n">
        <f aca="false">IF(AND(ISNUMBER($K161),$K161&gt;0),$P161/$K161,"")</f>
        <v>0.2</v>
      </c>
      <c r="R161" s="43"/>
      <c r="S161" s="44" t="str">
        <f aca="false">IF(OR(NOT(ISNUMBER($R161)),$R161=0,NOT(ISNUMBER($K161))),"",$K161*(1-$R161))</f>
        <v/>
      </c>
      <c r="T161" s="45" t="str">
        <f aca="false">IF(ISNUMBER($S161),$S161*$H161,"")</f>
        <v/>
      </c>
      <c r="U161" s="45" t="str">
        <f aca="false">IF(ISNUMBER($S161),$S161*Parâmetros!$B$9,"")</f>
        <v/>
      </c>
      <c r="V161" s="45" t="str">
        <f aca="false">IF(ISNUMBER($S161),$S161*Parâmetros!$C$9,"")</f>
        <v/>
      </c>
      <c r="W161" s="44" t="str">
        <f aca="false">IF(ISNUMBER($S161),$S161-$D161-IF(ISNUMBER($E161),$E161,0)-$O161-$T161-$U161-$V161,"")</f>
        <v/>
      </c>
      <c r="X161" s="46" t="str">
        <f aca="false">IF(AND(ISNUMBER($S161),$S161&gt;0),$W161/$S161,"")</f>
        <v/>
      </c>
      <c r="Y161" s="49"/>
      <c r="Z161" s="21"/>
    </row>
    <row r="162" customFormat="false" ht="15.75" hidden="false" customHeight="true" outlineLevel="0" collapsed="false">
      <c r="A162" s="32" t="str">
        <f aca="false">IF(Produtos!$A162="","",Produtos!$A162)</f>
        <v>PG2460</v>
      </c>
      <c r="B162" s="32" t="str">
        <f aca="false">IF(Produtos!$A162="","",Produtos!$B162)</f>
        <v>Porta Guarda-chuvas 24x60</v>
      </c>
      <c r="C162" s="32" t="str">
        <f aca="false">IF(Produtos!$A162="","",Produtos!$C162)</f>
        <v>Porta-guarda-chuvas</v>
      </c>
      <c r="D162" s="33" t="n">
        <f aca="false">IF(Produtos!$A162="","",IF(Produtos!$D162="","",Produtos!$D162))</f>
        <v>124.42</v>
      </c>
      <c r="E162" s="11" t="n">
        <v>0</v>
      </c>
      <c r="F162" s="34" t="n">
        <f aca="false">IF($A162="","",IF($C162="","⚠ categoria",IFERROR(INDEX(Parâmetros!$G$13:$G$22,MATCH($C162,Parâmetros!$A$13:$A$22,0)),"⚠ categoria")))</f>
        <v>0.199</v>
      </c>
      <c r="G162" s="35"/>
      <c r="H162" s="36" t="n">
        <f aca="false">IF($A162="","",IF(ISNUMBER($G162),$G162,IF(ISNUMBER($F162),$F162,"")))</f>
        <v>0.199</v>
      </c>
      <c r="I162" s="37" t="n">
        <f aca="false">IF(OR($A162="",NOT(ISNUMBER($D162)),NOT(ISNUMBER($H162))),"",IF((1-$H162-Parâmetros!$B$9-Parâmetros!$C$9-Parâmetros!$D$9)&lt;=0,"INVALIDO",($D162+IF(ISNUMBER($E162),$E162,0)+IF(ISNUMBER(Parâmetros!$E$9),Parâmetros!$E$9,0))/(1-$H162-Parâmetros!$B$9-Parâmetros!$C$9-Parâmetros!$D$9)))</f>
        <v>264.16135881104</v>
      </c>
      <c r="J162" s="38"/>
      <c r="K162" s="39" t="n">
        <f aca="false">IF(OR($A162="",NOT(ISNUMBER($D162)),NOT(ISNUMBER($H162))),"",IF(AND(ISNUMBER($J162),$J162&gt;0),$J162,IF(ISNUMBER($I162),$I162,"")))</f>
        <v>264.16135881104</v>
      </c>
      <c r="L162" s="40" t="n">
        <f aca="false">IF(ISNUMBER($K162),$K162*$H162,"")</f>
        <v>52.568110403397</v>
      </c>
      <c r="M162" s="40" t="n">
        <f aca="false">IF(ISNUMBER($K162),$K162*Parâmetros!$B$9,"")</f>
        <v>26.416135881104</v>
      </c>
      <c r="N162" s="40" t="n">
        <f aca="false">IF(ISNUMBER($K162),$K162*Parâmetros!$C$9,"")</f>
        <v>7.92484076433121</v>
      </c>
      <c r="O162" s="40" t="n">
        <f aca="false">IF(ISNUMBER($K162),IF(ISNUMBER(Parâmetros!$E$9),Parâmetros!$E$9,0),"")</f>
        <v>0</v>
      </c>
      <c r="P162" s="41" t="n">
        <f aca="false">IF(ISNUMBER($K162),$K162-$D162-IF(ISNUMBER($E162),$E162,0)-$L162-$M162-$N162-$O162,"")</f>
        <v>52.8322717622081</v>
      </c>
      <c r="Q162" s="42" t="n">
        <f aca="false">IF(AND(ISNUMBER($K162),$K162&gt;0),$P162/$K162,"")</f>
        <v>0.2</v>
      </c>
      <c r="R162" s="43"/>
      <c r="S162" s="44" t="str">
        <f aca="false">IF(OR(NOT(ISNUMBER($R162)),$R162=0,NOT(ISNUMBER($K162))),"",$K162*(1-$R162))</f>
        <v/>
      </c>
      <c r="T162" s="45" t="str">
        <f aca="false">IF(ISNUMBER($S162),$S162*$H162,"")</f>
        <v/>
      </c>
      <c r="U162" s="45" t="str">
        <f aca="false">IF(ISNUMBER($S162),$S162*Parâmetros!$B$9,"")</f>
        <v/>
      </c>
      <c r="V162" s="45" t="str">
        <f aca="false">IF(ISNUMBER($S162),$S162*Parâmetros!$C$9,"")</f>
        <v/>
      </c>
      <c r="W162" s="44" t="str">
        <f aca="false">IF(ISNUMBER($S162),$S162-$D162-IF(ISNUMBER($E162),$E162,0)-$O162-$T162-$U162-$V162,"")</f>
        <v/>
      </c>
      <c r="X162" s="46" t="str">
        <f aca="false">IF(AND(ISNUMBER($S162),$S162&gt;0),$W162/$S162,"")</f>
        <v/>
      </c>
      <c r="Y162" s="47"/>
      <c r="Z162" s="19"/>
    </row>
    <row r="163" customFormat="false" ht="15.75" hidden="false" customHeight="true" outlineLevel="0" collapsed="false">
      <c r="A163" s="48" t="str">
        <f aca="false">IF(Produtos!$A163="","",Produtos!$A163)</f>
        <v>PG2470</v>
      </c>
      <c r="B163" s="48" t="str">
        <f aca="false">IF(Produtos!$A163="","",Produtos!$B163)</f>
        <v>Porta Guarda-chuvas 24x70</v>
      </c>
      <c r="C163" s="48" t="str">
        <f aca="false">IF(Produtos!$A163="","",Produtos!$C163)</f>
        <v>Porta-guarda-chuvas</v>
      </c>
      <c r="D163" s="33" t="n">
        <f aca="false">IF(Produtos!$A163="","",IF(Produtos!$D163="","",Produtos!$D163))</f>
        <v>194.41</v>
      </c>
      <c r="E163" s="11" t="n">
        <v>0</v>
      </c>
      <c r="F163" s="34" t="n">
        <f aca="false">IF($A163="","",IF($C163="","⚠ categoria",IFERROR(INDEX(Parâmetros!$G$13:$G$22,MATCH($C163,Parâmetros!$A$13:$A$22,0)),"⚠ categoria")))</f>
        <v>0.199</v>
      </c>
      <c r="G163" s="35"/>
      <c r="H163" s="36" t="n">
        <f aca="false">IF($A163="","",IF(ISNUMBER($G163),$G163,IF(ISNUMBER($F163),$F163,"")))</f>
        <v>0.199</v>
      </c>
      <c r="I163" s="37" t="n">
        <f aca="false">IF(OR($A163="",NOT(ISNUMBER($D163)),NOT(ISNUMBER($H163))),"",IF((1-$H163-Parâmetros!$B$9-Parâmetros!$C$9-Parâmetros!$D$9)&lt;=0,"INVALIDO",($D163+IF(ISNUMBER($E163),$E163,0)+IF(ISNUMBER(Parâmetros!$E$9),Parâmetros!$E$9,0))/(1-$H163-Parâmetros!$B$9-Parâmetros!$C$9-Parâmetros!$D$9)))</f>
        <v>412.76008492569</v>
      </c>
      <c r="J163" s="38"/>
      <c r="K163" s="39" t="n">
        <f aca="false">IF(OR($A163="",NOT(ISNUMBER($D163)),NOT(ISNUMBER($H163))),"",IF(AND(ISNUMBER($J163),$J163&gt;0),$J163,IF(ISNUMBER($I163),$I163,"")))</f>
        <v>412.76008492569</v>
      </c>
      <c r="L163" s="40" t="n">
        <f aca="false">IF(ISNUMBER($K163),$K163*$H163,"")</f>
        <v>82.1392569002123</v>
      </c>
      <c r="M163" s="40" t="n">
        <f aca="false">IF(ISNUMBER($K163),$K163*Parâmetros!$B$9,"")</f>
        <v>41.276008492569</v>
      </c>
      <c r="N163" s="40" t="n">
        <f aca="false">IF(ISNUMBER($K163),$K163*Parâmetros!$C$9,"")</f>
        <v>12.3828025477707</v>
      </c>
      <c r="O163" s="40" t="n">
        <f aca="false">IF(ISNUMBER($K163),IF(ISNUMBER(Parâmetros!$E$9),Parâmetros!$E$9,0),"")</f>
        <v>0</v>
      </c>
      <c r="P163" s="41" t="n">
        <f aca="false">IF(ISNUMBER($K163),$K163-$D163-IF(ISNUMBER($E163),$E163,0)-$L163-$M163-$N163-$O163,"")</f>
        <v>82.552016985138</v>
      </c>
      <c r="Q163" s="42" t="n">
        <f aca="false">IF(AND(ISNUMBER($K163),$K163&gt;0),$P163/$K163,"")</f>
        <v>0.2</v>
      </c>
      <c r="R163" s="43"/>
      <c r="S163" s="44" t="str">
        <f aca="false">IF(OR(NOT(ISNUMBER($R163)),$R163=0,NOT(ISNUMBER($K163))),"",$K163*(1-$R163))</f>
        <v/>
      </c>
      <c r="T163" s="45" t="str">
        <f aca="false">IF(ISNUMBER($S163),$S163*$H163,"")</f>
        <v/>
      </c>
      <c r="U163" s="45" t="str">
        <f aca="false">IF(ISNUMBER($S163),$S163*Parâmetros!$B$9,"")</f>
        <v/>
      </c>
      <c r="V163" s="45" t="str">
        <f aca="false">IF(ISNUMBER($S163),$S163*Parâmetros!$C$9,"")</f>
        <v/>
      </c>
      <c r="W163" s="44" t="str">
        <f aca="false">IF(ISNUMBER($S163),$S163-$D163-IF(ISNUMBER($E163),$E163,0)-$O163-$T163-$U163-$V163,"")</f>
        <v/>
      </c>
      <c r="X163" s="46" t="str">
        <f aca="false">IF(AND(ISNUMBER($S163),$S163&gt;0),$W163/$S163,"")</f>
        <v/>
      </c>
      <c r="Y163" s="49"/>
      <c r="Z163" s="21"/>
    </row>
    <row r="164" customFormat="false" ht="15.75" hidden="false" customHeight="true" outlineLevel="0" collapsed="false">
      <c r="A164" s="32" t="str">
        <f aca="false">IF(Produtos!$A164="","",Produtos!$A164)</f>
        <v>PG3060</v>
      </c>
      <c r="B164" s="32" t="str">
        <f aca="false">IF(Produtos!$A164="","",Produtos!$B164)</f>
        <v>Porta Guarda-chuvas 30x60</v>
      </c>
      <c r="C164" s="32" t="str">
        <f aca="false">IF(Produtos!$A164="","",Produtos!$C164)</f>
        <v>Porta-guarda-chuvas</v>
      </c>
      <c r="D164" s="33" t="n">
        <f aca="false">IF(Produtos!$A164="","",IF(Produtos!$D164="","",Produtos!$D164))</f>
        <v>170.08</v>
      </c>
      <c r="E164" s="11" t="n">
        <v>0</v>
      </c>
      <c r="F164" s="34" t="n">
        <f aca="false">IF($A164="","",IF($C164="","⚠ categoria",IFERROR(INDEX(Parâmetros!$G$13:$G$22,MATCH($C164,Parâmetros!$A$13:$A$22,0)),"⚠ categoria")))</f>
        <v>0.199</v>
      </c>
      <c r="G164" s="35"/>
      <c r="H164" s="36" t="n">
        <f aca="false">IF($A164="","",IF(ISNUMBER($G164),$G164,IF(ISNUMBER($F164),$F164,"")))</f>
        <v>0.199</v>
      </c>
      <c r="I164" s="37" t="n">
        <f aca="false">IF(OR($A164="",NOT(ISNUMBER($D164)),NOT(ISNUMBER($H164))),"",IF((1-$H164-Parâmetros!$B$9-Parâmetros!$C$9-Parâmetros!$D$9)&lt;=0,"INVALIDO",($D164+IF(ISNUMBER($E164),$E164,0)+IF(ISNUMBER(Parâmetros!$E$9),Parâmetros!$E$9,0))/(1-$H164-Parâmetros!$B$9-Parâmetros!$C$9-Parâmetros!$D$9)))</f>
        <v>361.104033970276</v>
      </c>
      <c r="J164" s="38"/>
      <c r="K164" s="39" t="n">
        <f aca="false">IF(OR($A164="",NOT(ISNUMBER($D164)),NOT(ISNUMBER($H164))),"",IF(AND(ISNUMBER($J164),$J164&gt;0),$J164,IF(ISNUMBER($I164),$I164,"")))</f>
        <v>361.104033970276</v>
      </c>
      <c r="L164" s="40" t="n">
        <f aca="false">IF(ISNUMBER($K164),$K164*$H164,"")</f>
        <v>71.8597027600849</v>
      </c>
      <c r="M164" s="40" t="n">
        <f aca="false">IF(ISNUMBER($K164),$K164*Parâmetros!$B$9,"")</f>
        <v>36.1104033970276</v>
      </c>
      <c r="N164" s="40" t="n">
        <f aca="false">IF(ISNUMBER($K164),$K164*Parâmetros!$C$9,"")</f>
        <v>10.8331210191083</v>
      </c>
      <c r="O164" s="40" t="n">
        <f aca="false">IF(ISNUMBER($K164),IF(ISNUMBER(Parâmetros!$E$9),Parâmetros!$E$9,0),"")</f>
        <v>0</v>
      </c>
      <c r="P164" s="41" t="n">
        <f aca="false">IF(ISNUMBER($K164),$K164-$D164-IF(ISNUMBER($E164),$E164,0)-$L164-$M164-$N164-$O164,"")</f>
        <v>72.2208067940552</v>
      </c>
      <c r="Q164" s="42" t="n">
        <f aca="false">IF(AND(ISNUMBER($K164),$K164&gt;0),$P164/$K164,"")</f>
        <v>0.2</v>
      </c>
      <c r="R164" s="43"/>
      <c r="S164" s="44" t="str">
        <f aca="false">IF(OR(NOT(ISNUMBER($R164)),$R164=0,NOT(ISNUMBER($K164))),"",$K164*(1-$R164))</f>
        <v/>
      </c>
      <c r="T164" s="45" t="str">
        <f aca="false">IF(ISNUMBER($S164),$S164*$H164,"")</f>
        <v/>
      </c>
      <c r="U164" s="45" t="str">
        <f aca="false">IF(ISNUMBER($S164),$S164*Parâmetros!$B$9,"")</f>
        <v/>
      </c>
      <c r="V164" s="45" t="str">
        <f aca="false">IF(ISNUMBER($S164),$S164*Parâmetros!$C$9,"")</f>
        <v/>
      </c>
      <c r="W164" s="44" t="str">
        <f aca="false">IF(ISNUMBER($S164),$S164-$D164-IF(ISNUMBER($E164),$E164,0)-$O164-$T164-$U164-$V164,"")</f>
        <v/>
      </c>
      <c r="X164" s="46" t="str">
        <f aca="false">IF(AND(ISNUMBER($S164),$S164&gt;0),$W164/$S164,"")</f>
        <v/>
      </c>
      <c r="Y164" s="47"/>
      <c r="Z164" s="19"/>
    </row>
    <row r="165" customFormat="false" ht="15.75" hidden="false" customHeight="true" outlineLevel="0" collapsed="false">
      <c r="A165" s="48" t="str">
        <f aca="false">IF(Produtos!$A165="","",Produtos!$A165)</f>
        <v>PG3070</v>
      </c>
      <c r="B165" s="48" t="str">
        <f aca="false">IF(Produtos!$A165="","",Produtos!$B165)</f>
        <v>Porta Guarda-chuvas 30x70</v>
      </c>
      <c r="C165" s="48" t="str">
        <f aca="false">IF(Produtos!$A165="","",Produtos!$C165)</f>
        <v>Porta-guarda-chuvas</v>
      </c>
      <c r="D165" s="33" t="n">
        <f aca="false">IF(Produtos!$A165="","",IF(Produtos!$D165="","",Produtos!$D165))</f>
        <v>232.51</v>
      </c>
      <c r="E165" s="11" t="n">
        <v>0</v>
      </c>
      <c r="F165" s="34" t="n">
        <f aca="false">IF($A165="","",IF($C165="","⚠ categoria",IFERROR(INDEX(Parâmetros!$G$13:$G$22,MATCH($C165,Parâmetros!$A$13:$A$22,0)),"⚠ categoria")))</f>
        <v>0.199</v>
      </c>
      <c r="G165" s="35"/>
      <c r="H165" s="36" t="n">
        <f aca="false">IF($A165="","",IF(ISNUMBER($G165),$G165,IF(ISNUMBER($F165),$F165,"")))</f>
        <v>0.199</v>
      </c>
      <c r="I165" s="37" t="n">
        <f aca="false">IF(OR($A165="",NOT(ISNUMBER($D165)),NOT(ISNUMBER($H165))),"",IF((1-$H165-Parâmetros!$B$9-Parâmetros!$C$9-Parâmetros!$D$9)&lt;=0,"INVALIDO",($D165+IF(ISNUMBER($E165),$E165,0)+IF(ISNUMBER(Parâmetros!$E$9),Parâmetros!$E$9,0))/(1-$H165-Parâmetros!$B$9-Parâmetros!$C$9-Parâmetros!$D$9)))</f>
        <v>493.651804670913</v>
      </c>
      <c r="J165" s="38"/>
      <c r="K165" s="39" t="n">
        <f aca="false">IF(OR($A165="",NOT(ISNUMBER($D165)),NOT(ISNUMBER($H165))),"",IF(AND(ISNUMBER($J165),$J165&gt;0),$J165,IF(ISNUMBER($I165),$I165,"")))</f>
        <v>493.651804670913</v>
      </c>
      <c r="L165" s="40" t="n">
        <f aca="false">IF(ISNUMBER($K165),$K165*$H165,"")</f>
        <v>98.2367091295117</v>
      </c>
      <c r="M165" s="40" t="n">
        <f aca="false">IF(ISNUMBER($K165),$K165*Parâmetros!$B$9,"")</f>
        <v>49.3651804670913</v>
      </c>
      <c r="N165" s="40" t="n">
        <f aca="false">IF(ISNUMBER($K165),$K165*Parâmetros!$C$9,"")</f>
        <v>14.8095541401274</v>
      </c>
      <c r="O165" s="40" t="n">
        <f aca="false">IF(ISNUMBER($K165),IF(ISNUMBER(Parâmetros!$E$9),Parâmetros!$E$9,0),"")</f>
        <v>0</v>
      </c>
      <c r="P165" s="41" t="n">
        <f aca="false">IF(ISNUMBER($K165),$K165-$D165-IF(ISNUMBER($E165),$E165,0)-$L165-$M165-$N165-$O165,"")</f>
        <v>98.7303609341826</v>
      </c>
      <c r="Q165" s="42" t="n">
        <f aca="false">IF(AND(ISNUMBER($K165),$K165&gt;0),$P165/$K165,"")</f>
        <v>0.2</v>
      </c>
      <c r="R165" s="43"/>
      <c r="S165" s="44" t="str">
        <f aca="false">IF(OR(NOT(ISNUMBER($R165)),$R165=0,NOT(ISNUMBER($K165))),"",$K165*(1-$R165))</f>
        <v/>
      </c>
      <c r="T165" s="45" t="str">
        <f aca="false">IF(ISNUMBER($S165),$S165*$H165,"")</f>
        <v/>
      </c>
      <c r="U165" s="45" t="str">
        <f aca="false">IF(ISNUMBER($S165),$S165*Parâmetros!$B$9,"")</f>
        <v/>
      </c>
      <c r="V165" s="45" t="str">
        <f aca="false">IF(ISNUMBER($S165),$S165*Parâmetros!$C$9,"")</f>
        <v/>
      </c>
      <c r="W165" s="44" t="str">
        <f aca="false">IF(ISNUMBER($S165),$S165-$D165-IF(ISNUMBER($E165),$E165,0)-$O165-$T165-$U165-$V165,"")</f>
        <v/>
      </c>
      <c r="X165" s="46" t="str">
        <f aca="false">IF(AND(ISNUMBER($S165),$S165&gt;0),$W165/$S165,"")</f>
        <v/>
      </c>
      <c r="Y165" s="49"/>
      <c r="Z165" s="21"/>
    </row>
    <row r="166" customFormat="false" ht="15.75" hidden="false" customHeight="true" outlineLevel="0" collapsed="false">
      <c r="A166" s="32" t="str">
        <f aca="false">IF(Produtos!$A166="","",Produtos!$A166)</f>
        <v>PG4050</v>
      </c>
      <c r="B166" s="32" t="str">
        <f aca="false">IF(Produtos!$A166="","",Produtos!$B166)</f>
        <v>Porta Guarda-chuvas 40x50</v>
      </c>
      <c r="C166" s="32" t="str">
        <f aca="false">IF(Produtos!$A166="","",Produtos!$C166)</f>
        <v>Porta-guarda-chuvas</v>
      </c>
      <c r="D166" s="33" t="n">
        <f aca="false">IF(Produtos!$A166="","",IF(Produtos!$D166="","",Produtos!$D166))</f>
        <v>228.9</v>
      </c>
      <c r="E166" s="11" t="n">
        <v>0</v>
      </c>
      <c r="F166" s="34" t="n">
        <f aca="false">IF($A166="","",IF($C166="","⚠ categoria",IFERROR(INDEX(Parâmetros!$G$13:$G$22,MATCH($C166,Parâmetros!$A$13:$A$22,0)),"⚠ categoria")))</f>
        <v>0.199</v>
      </c>
      <c r="G166" s="35"/>
      <c r="H166" s="36" t="n">
        <f aca="false">IF($A166="","",IF(ISNUMBER($G166),$G166,IF(ISNUMBER($F166),$F166,"")))</f>
        <v>0.199</v>
      </c>
      <c r="I166" s="37" t="n">
        <f aca="false">IF(OR($A166="",NOT(ISNUMBER($D166)),NOT(ISNUMBER($H166))),"",IF((1-$H166-Parâmetros!$B$9-Parâmetros!$C$9-Parâmetros!$D$9)&lt;=0,"INVALIDO",($D166+IF(ISNUMBER($E166),$E166,0)+IF(ISNUMBER(Parâmetros!$E$9),Parâmetros!$E$9,0))/(1-$H166-Parâmetros!$B$9-Parâmetros!$C$9-Parâmetros!$D$9)))</f>
        <v>485.987261146497</v>
      </c>
      <c r="J166" s="38"/>
      <c r="K166" s="39" t="n">
        <f aca="false">IF(OR($A166="",NOT(ISNUMBER($D166)),NOT(ISNUMBER($H166))),"",IF(AND(ISNUMBER($J166),$J166&gt;0),$J166,IF(ISNUMBER($I166),$I166,"")))</f>
        <v>485.987261146497</v>
      </c>
      <c r="L166" s="40" t="n">
        <f aca="false">IF(ISNUMBER($K166),$K166*$H166,"")</f>
        <v>96.7114649681529</v>
      </c>
      <c r="M166" s="40" t="n">
        <f aca="false">IF(ISNUMBER($K166),$K166*Parâmetros!$B$9,"")</f>
        <v>48.5987261146497</v>
      </c>
      <c r="N166" s="40" t="n">
        <f aca="false">IF(ISNUMBER($K166),$K166*Parâmetros!$C$9,"")</f>
        <v>14.5796178343949</v>
      </c>
      <c r="O166" s="40" t="n">
        <f aca="false">IF(ISNUMBER($K166),IF(ISNUMBER(Parâmetros!$E$9),Parâmetros!$E$9,0),"")</f>
        <v>0</v>
      </c>
      <c r="P166" s="41" t="n">
        <f aca="false">IF(ISNUMBER($K166),$K166-$D166-IF(ISNUMBER($E166),$E166,0)-$L166-$M166-$N166-$O166,"")</f>
        <v>97.1974522292994</v>
      </c>
      <c r="Q166" s="42" t="n">
        <f aca="false">IF(AND(ISNUMBER($K166),$K166&gt;0),$P166/$K166,"")</f>
        <v>0.2</v>
      </c>
      <c r="R166" s="43"/>
      <c r="S166" s="44" t="str">
        <f aca="false">IF(OR(NOT(ISNUMBER($R166)),$R166=0,NOT(ISNUMBER($K166))),"",$K166*(1-$R166))</f>
        <v/>
      </c>
      <c r="T166" s="45" t="str">
        <f aca="false">IF(ISNUMBER($S166),$S166*$H166,"")</f>
        <v/>
      </c>
      <c r="U166" s="45" t="str">
        <f aca="false">IF(ISNUMBER($S166),$S166*Parâmetros!$B$9,"")</f>
        <v/>
      </c>
      <c r="V166" s="45" t="str">
        <f aca="false">IF(ISNUMBER($S166),$S166*Parâmetros!$C$9,"")</f>
        <v/>
      </c>
      <c r="W166" s="44" t="str">
        <f aca="false">IF(ISNUMBER($S166),$S166-$D166-IF(ISNUMBER($E166),$E166,0)-$O166-$T166-$U166-$V166,"")</f>
        <v/>
      </c>
      <c r="X166" s="46" t="str">
        <f aca="false">IF(AND(ISNUMBER($S166),$S166&gt;0),$W166/$S166,"")</f>
        <v/>
      </c>
      <c r="Y166" s="47"/>
      <c r="Z166" s="19"/>
    </row>
    <row r="167" customFormat="false" ht="15.75" hidden="false" customHeight="true" outlineLevel="0" collapsed="false">
      <c r="A167" s="48" t="str">
        <f aca="false">IF(Produtos!$A167="","",Produtos!$A167)</f>
        <v>PG4060</v>
      </c>
      <c r="B167" s="48" t="str">
        <f aca="false">IF(Produtos!$A167="","",Produtos!$B167)</f>
        <v>Porta Guarda-chuvas 40x60</v>
      </c>
      <c r="C167" s="48" t="str">
        <f aca="false">IF(Produtos!$A167="","",Produtos!$C167)</f>
        <v>Porta-guarda-chuvas</v>
      </c>
      <c r="D167" s="33" t="n">
        <f aca="false">IF(Produtos!$A167="","",IF(Produtos!$D167="","",Produtos!$D167))</f>
        <v>265.85</v>
      </c>
      <c r="E167" s="11" t="n">
        <v>0</v>
      </c>
      <c r="F167" s="34" t="n">
        <f aca="false">IF($A167="","",IF($C167="","⚠ categoria",IFERROR(INDEX(Parâmetros!$G$13:$G$22,MATCH($C167,Parâmetros!$A$13:$A$22,0)),"⚠ categoria")))</f>
        <v>0.199</v>
      </c>
      <c r="G167" s="35"/>
      <c r="H167" s="36" t="n">
        <f aca="false">IF($A167="","",IF(ISNUMBER($G167),$G167,IF(ISNUMBER($F167),$F167,"")))</f>
        <v>0.199</v>
      </c>
      <c r="I167" s="37" t="n">
        <f aca="false">IF(OR($A167="",NOT(ISNUMBER($D167)),NOT(ISNUMBER($H167))),"",IF((1-$H167-Parâmetros!$B$9-Parâmetros!$C$9-Parâmetros!$D$9)&lt;=0,"INVALIDO",($D167+IF(ISNUMBER($E167),$E167,0)+IF(ISNUMBER(Parâmetros!$E$9),Parâmetros!$E$9,0))/(1-$H167-Parâmetros!$B$9-Parâmetros!$C$9-Parâmetros!$D$9)))</f>
        <v>564.437367303609</v>
      </c>
      <c r="J167" s="38"/>
      <c r="K167" s="39" t="n">
        <f aca="false">IF(OR($A167="",NOT(ISNUMBER($D167)),NOT(ISNUMBER($H167))),"",IF(AND(ISNUMBER($J167),$J167&gt;0),$J167,IF(ISNUMBER($I167),$I167,"")))</f>
        <v>564.437367303609</v>
      </c>
      <c r="L167" s="40" t="n">
        <f aca="false">IF(ISNUMBER($K167),$K167*$H167,"")</f>
        <v>112.323036093418</v>
      </c>
      <c r="M167" s="40" t="n">
        <f aca="false">IF(ISNUMBER($K167),$K167*Parâmetros!$B$9,"")</f>
        <v>56.4437367303609</v>
      </c>
      <c r="N167" s="40" t="n">
        <f aca="false">IF(ISNUMBER($K167),$K167*Parâmetros!$C$9,"")</f>
        <v>16.9331210191083</v>
      </c>
      <c r="O167" s="40" t="n">
        <f aca="false">IF(ISNUMBER($K167),IF(ISNUMBER(Parâmetros!$E$9),Parâmetros!$E$9,0),"")</f>
        <v>0</v>
      </c>
      <c r="P167" s="41" t="n">
        <f aca="false">IF(ISNUMBER($K167),$K167-$D167-IF(ISNUMBER($E167),$E167,0)-$L167-$M167-$N167-$O167,"")</f>
        <v>112.887473460722</v>
      </c>
      <c r="Q167" s="42" t="n">
        <f aca="false">IF(AND(ISNUMBER($K167),$K167&gt;0),$P167/$K167,"")</f>
        <v>0.2</v>
      </c>
      <c r="R167" s="43"/>
      <c r="S167" s="44" t="str">
        <f aca="false">IF(OR(NOT(ISNUMBER($R167)),$R167=0,NOT(ISNUMBER($K167))),"",$K167*(1-$R167))</f>
        <v/>
      </c>
      <c r="T167" s="45" t="str">
        <f aca="false">IF(ISNUMBER($S167),$S167*$H167,"")</f>
        <v/>
      </c>
      <c r="U167" s="45" t="str">
        <f aca="false">IF(ISNUMBER($S167),$S167*Parâmetros!$B$9,"")</f>
        <v/>
      </c>
      <c r="V167" s="45" t="str">
        <f aca="false">IF(ISNUMBER($S167),$S167*Parâmetros!$C$9,"")</f>
        <v/>
      </c>
      <c r="W167" s="44" t="str">
        <f aca="false">IF(ISNUMBER($S167),$S167-$D167-IF(ISNUMBER($E167),$E167,0)-$O167-$T167-$U167-$V167,"")</f>
        <v/>
      </c>
      <c r="X167" s="46" t="str">
        <f aca="false">IF(AND(ISNUMBER($S167),$S167&gt;0),$W167/$S167,"")</f>
        <v/>
      </c>
      <c r="Y167" s="49"/>
      <c r="Z167" s="21"/>
    </row>
    <row r="168" customFormat="false" ht="15.75" hidden="false" customHeight="true" outlineLevel="0" collapsed="false">
      <c r="A168" s="32" t="str">
        <f aca="false">IF(Produtos!$A168="","",Produtos!$A168)</f>
        <v>PG4070</v>
      </c>
      <c r="B168" s="32" t="str">
        <f aca="false">IF(Produtos!$A168="","",Produtos!$B168)</f>
        <v>Porta Guarda-chuvas 40x70</v>
      </c>
      <c r="C168" s="32" t="str">
        <f aca="false">IF(Produtos!$A168="","",Produtos!$C168)</f>
        <v>Porta-guarda-chuvas</v>
      </c>
      <c r="D168" s="33" t="n">
        <f aca="false">IF(Produtos!$A168="","",IF(Produtos!$D168="","",Produtos!$D168))</f>
        <v>267.68</v>
      </c>
      <c r="E168" s="11" t="n">
        <v>0</v>
      </c>
      <c r="F168" s="34" t="n">
        <f aca="false">IF($A168="","",IF($C168="","⚠ categoria",IFERROR(INDEX(Parâmetros!$G$13:$G$22,MATCH($C168,Parâmetros!$A$13:$A$22,0)),"⚠ categoria")))</f>
        <v>0.199</v>
      </c>
      <c r="G168" s="35"/>
      <c r="H168" s="36" t="n">
        <f aca="false">IF($A168="","",IF(ISNUMBER($G168),$G168,IF(ISNUMBER($F168),$F168,"")))</f>
        <v>0.199</v>
      </c>
      <c r="I168" s="37" t="n">
        <f aca="false">IF(OR($A168="",NOT(ISNUMBER($D168)),NOT(ISNUMBER($H168))),"",IF((1-$H168-Parâmetros!$B$9-Parâmetros!$C$9-Parâmetros!$D$9)&lt;=0,"INVALIDO",($D168+IF(ISNUMBER($E168),$E168,0)+IF(ISNUMBER(Parâmetros!$E$9),Parâmetros!$E$9,0))/(1-$H168-Parâmetros!$B$9-Parâmetros!$C$9-Parâmetros!$D$9)))</f>
        <v>568.322717622081</v>
      </c>
      <c r="J168" s="38"/>
      <c r="K168" s="39" t="n">
        <f aca="false">IF(OR($A168="",NOT(ISNUMBER($D168)),NOT(ISNUMBER($H168))),"",IF(AND(ISNUMBER($J168),$J168&gt;0),$J168,IF(ISNUMBER($I168),$I168,"")))</f>
        <v>568.322717622081</v>
      </c>
      <c r="L168" s="40" t="n">
        <f aca="false">IF(ISNUMBER($K168),$K168*$H168,"")</f>
        <v>113.096220806794</v>
      </c>
      <c r="M168" s="40" t="n">
        <f aca="false">IF(ISNUMBER($K168),$K168*Parâmetros!$B$9,"")</f>
        <v>56.8322717622081</v>
      </c>
      <c r="N168" s="40" t="n">
        <f aca="false">IF(ISNUMBER($K168),$K168*Parâmetros!$C$9,"")</f>
        <v>17.0496815286624</v>
      </c>
      <c r="O168" s="40" t="n">
        <f aca="false">IF(ISNUMBER($K168),IF(ISNUMBER(Parâmetros!$E$9),Parâmetros!$E$9,0),"")</f>
        <v>0</v>
      </c>
      <c r="P168" s="41" t="n">
        <f aca="false">IF(ISNUMBER($K168),$K168-$D168-IF(ISNUMBER($E168),$E168,0)-$L168-$M168-$N168-$O168,"")</f>
        <v>113.664543524416</v>
      </c>
      <c r="Q168" s="42" t="n">
        <f aca="false">IF(AND(ISNUMBER($K168),$K168&gt;0),$P168/$K168,"")</f>
        <v>0.2</v>
      </c>
      <c r="R168" s="43"/>
      <c r="S168" s="44" t="str">
        <f aca="false">IF(OR(NOT(ISNUMBER($R168)),$R168=0,NOT(ISNUMBER($K168))),"",$K168*(1-$R168))</f>
        <v/>
      </c>
      <c r="T168" s="45" t="str">
        <f aca="false">IF(ISNUMBER($S168),$S168*$H168,"")</f>
        <v/>
      </c>
      <c r="U168" s="45" t="str">
        <f aca="false">IF(ISNUMBER($S168),$S168*Parâmetros!$B$9,"")</f>
        <v/>
      </c>
      <c r="V168" s="45" t="str">
        <f aca="false">IF(ISNUMBER($S168),$S168*Parâmetros!$C$9,"")</f>
        <v/>
      </c>
      <c r="W168" s="44" t="str">
        <f aca="false">IF(ISNUMBER($S168),$S168-$D168-IF(ISNUMBER($E168),$E168,0)-$O168-$T168-$U168-$V168,"")</f>
        <v/>
      </c>
      <c r="X168" s="46" t="str">
        <f aca="false">IF(AND(ISNUMBER($S168),$S168&gt;0),$W168/$S168,"")</f>
        <v/>
      </c>
      <c r="Y168" s="47"/>
      <c r="Z168" s="19"/>
    </row>
    <row r="169" customFormat="false" ht="15.75" hidden="false" customHeight="true" outlineLevel="0" collapsed="false">
      <c r="A169" s="48" t="str">
        <f aca="false">IF(Produtos!$A169="","",Produtos!$A169)</f>
        <v>PG4080</v>
      </c>
      <c r="B169" s="48" t="str">
        <f aca="false">IF(Produtos!$A169="","",Produtos!$B169)</f>
        <v>Porta Guarda-chuvas 40x80</v>
      </c>
      <c r="C169" s="48" t="str">
        <f aca="false">IF(Produtos!$A169="","",Produtos!$C169)</f>
        <v>Porta-guarda-chuvas</v>
      </c>
      <c r="D169" s="33" t="n">
        <f aca="false">IF(Produtos!$A169="","",IF(Produtos!$D169="","",Produtos!$D169))</f>
        <v>329.27</v>
      </c>
      <c r="E169" s="11" t="n">
        <v>0</v>
      </c>
      <c r="F169" s="34" t="n">
        <f aca="false">IF($A169="","",IF($C169="","⚠ categoria",IFERROR(INDEX(Parâmetros!$G$13:$G$22,MATCH($C169,Parâmetros!$A$13:$A$22,0)),"⚠ categoria")))</f>
        <v>0.199</v>
      </c>
      <c r="G169" s="35"/>
      <c r="H169" s="36" t="n">
        <f aca="false">IF($A169="","",IF(ISNUMBER($G169),$G169,IF(ISNUMBER($F169),$F169,"")))</f>
        <v>0.199</v>
      </c>
      <c r="I169" s="37" t="n">
        <f aca="false">IF(OR($A169="",NOT(ISNUMBER($D169)),NOT(ISNUMBER($H169))),"",IF((1-$H169-Parâmetros!$B$9-Parâmetros!$C$9-Parâmetros!$D$9)&lt;=0,"INVALIDO",($D169+IF(ISNUMBER($E169),$E169,0)+IF(ISNUMBER(Parâmetros!$E$9),Parâmetros!$E$9,0))/(1-$H169-Parâmetros!$B$9-Parâmetros!$C$9-Parâmetros!$D$9)))</f>
        <v>699.087048832272</v>
      </c>
      <c r="J169" s="38"/>
      <c r="K169" s="39" t="n">
        <f aca="false">IF(OR($A169="",NOT(ISNUMBER($D169)),NOT(ISNUMBER($H169))),"",IF(AND(ISNUMBER($J169),$J169&gt;0),$J169,IF(ISNUMBER($I169),$I169,"")))</f>
        <v>699.087048832272</v>
      </c>
      <c r="L169" s="40" t="n">
        <f aca="false">IF(ISNUMBER($K169),$K169*$H169,"")</f>
        <v>139.118322717622</v>
      </c>
      <c r="M169" s="40" t="n">
        <f aca="false">IF(ISNUMBER($K169),$K169*Parâmetros!$B$9,"")</f>
        <v>69.9087048832272</v>
      </c>
      <c r="N169" s="40" t="n">
        <f aca="false">IF(ISNUMBER($K169),$K169*Parâmetros!$C$9,"")</f>
        <v>20.9726114649682</v>
      </c>
      <c r="O169" s="40" t="n">
        <f aca="false">IF(ISNUMBER($K169),IF(ISNUMBER(Parâmetros!$E$9),Parâmetros!$E$9,0),"")</f>
        <v>0</v>
      </c>
      <c r="P169" s="41" t="n">
        <f aca="false">IF(ISNUMBER($K169),$K169-$D169-IF(ISNUMBER($E169),$E169,0)-$L169-$M169-$N169-$O169,"")</f>
        <v>139.817409766454</v>
      </c>
      <c r="Q169" s="42" t="n">
        <f aca="false">IF(AND(ISNUMBER($K169),$K169&gt;0),$P169/$K169,"")</f>
        <v>0.2</v>
      </c>
      <c r="R169" s="43"/>
      <c r="S169" s="44" t="str">
        <f aca="false">IF(OR(NOT(ISNUMBER($R169)),$R169=0,NOT(ISNUMBER($K169))),"",$K169*(1-$R169))</f>
        <v/>
      </c>
      <c r="T169" s="45" t="str">
        <f aca="false">IF(ISNUMBER($S169),$S169*$H169,"")</f>
        <v/>
      </c>
      <c r="U169" s="45" t="str">
        <f aca="false">IF(ISNUMBER($S169),$S169*Parâmetros!$B$9,"")</f>
        <v/>
      </c>
      <c r="V169" s="45" t="str">
        <f aca="false">IF(ISNUMBER($S169),$S169*Parâmetros!$C$9,"")</f>
        <v/>
      </c>
      <c r="W169" s="44" t="str">
        <f aca="false">IF(ISNUMBER($S169),$S169-$D169-IF(ISNUMBER($E169),$E169,0)-$O169-$T169-$U169-$V169,"")</f>
        <v/>
      </c>
      <c r="X169" s="46" t="str">
        <f aca="false">IF(AND(ISNUMBER($S169),$S169&gt;0),$W169/$S169,"")</f>
        <v/>
      </c>
      <c r="Y169" s="49"/>
      <c r="Z169" s="21"/>
    </row>
    <row r="170" customFormat="false" ht="15.75" hidden="false" customHeight="true" outlineLevel="0" collapsed="false">
      <c r="A170" s="32" t="str">
        <f aca="false">IF(Produtos!$A170="","",Produtos!$A170)</f>
        <v>PG4085</v>
      </c>
      <c r="B170" s="32" t="str">
        <f aca="false">IF(Produtos!$A170="","",Produtos!$B170)</f>
        <v>Porta Guarda-chuvas 40x85 105L</v>
      </c>
      <c r="C170" s="32" t="str">
        <f aca="false">IF(Produtos!$A170="","",Produtos!$C170)</f>
        <v>Porta-guarda-chuvas</v>
      </c>
      <c r="D170" s="33" t="n">
        <f aca="false">IF(Produtos!$A170="","",IF(Produtos!$D170="","",Produtos!$D170))</f>
        <v>331.32</v>
      </c>
      <c r="E170" s="11" t="n">
        <v>0</v>
      </c>
      <c r="F170" s="34" t="n">
        <f aca="false">IF($A170="","",IF($C170="","⚠ categoria",IFERROR(INDEX(Parâmetros!$G$13:$G$22,MATCH($C170,Parâmetros!$A$13:$A$22,0)),"⚠ categoria")))</f>
        <v>0.199</v>
      </c>
      <c r="G170" s="35"/>
      <c r="H170" s="36" t="n">
        <f aca="false">IF($A170="","",IF(ISNUMBER($G170),$G170,IF(ISNUMBER($F170),$F170,"")))</f>
        <v>0.199</v>
      </c>
      <c r="I170" s="37" t="n">
        <f aca="false">IF(OR($A170="",NOT(ISNUMBER($D170)),NOT(ISNUMBER($H170))),"",IF((1-$H170-Parâmetros!$B$9-Parâmetros!$C$9-Parâmetros!$D$9)&lt;=0,"INVALIDO",($D170+IF(ISNUMBER($E170),$E170,0)+IF(ISNUMBER(Parâmetros!$E$9),Parâmetros!$E$9,0))/(1-$H170-Parâmetros!$B$9-Parâmetros!$C$9-Parâmetros!$D$9)))</f>
        <v>703.43949044586</v>
      </c>
      <c r="J170" s="38"/>
      <c r="K170" s="39" t="n">
        <f aca="false">IF(OR($A170="",NOT(ISNUMBER($D170)),NOT(ISNUMBER($H170))),"",IF(AND(ISNUMBER($J170),$J170&gt;0),$J170,IF(ISNUMBER($I170),$I170,"")))</f>
        <v>703.43949044586</v>
      </c>
      <c r="L170" s="40" t="n">
        <f aca="false">IF(ISNUMBER($K170),$K170*$H170,"")</f>
        <v>139.984458598726</v>
      </c>
      <c r="M170" s="40" t="n">
        <f aca="false">IF(ISNUMBER($K170),$K170*Parâmetros!$B$9,"")</f>
        <v>70.343949044586</v>
      </c>
      <c r="N170" s="40" t="n">
        <f aca="false">IF(ISNUMBER($K170),$K170*Parâmetros!$C$9,"")</f>
        <v>21.1031847133758</v>
      </c>
      <c r="O170" s="40" t="n">
        <f aca="false">IF(ISNUMBER($K170),IF(ISNUMBER(Parâmetros!$E$9),Parâmetros!$E$9,0),"")</f>
        <v>0</v>
      </c>
      <c r="P170" s="41" t="n">
        <f aca="false">IF(ISNUMBER($K170),$K170-$D170-IF(ISNUMBER($E170),$E170,0)-$L170-$M170-$N170-$O170,"")</f>
        <v>140.687898089172</v>
      </c>
      <c r="Q170" s="42" t="n">
        <f aca="false">IF(AND(ISNUMBER($K170),$K170&gt;0),$P170/$K170,"")</f>
        <v>0.2</v>
      </c>
      <c r="R170" s="43"/>
      <c r="S170" s="44" t="str">
        <f aca="false">IF(OR(NOT(ISNUMBER($R170)),$R170=0,NOT(ISNUMBER($K170))),"",$K170*(1-$R170))</f>
        <v/>
      </c>
      <c r="T170" s="45" t="str">
        <f aca="false">IF(ISNUMBER($S170),$S170*$H170,"")</f>
        <v/>
      </c>
      <c r="U170" s="45" t="str">
        <f aca="false">IF(ISNUMBER($S170),$S170*Parâmetros!$B$9,"")</f>
        <v/>
      </c>
      <c r="V170" s="45" t="str">
        <f aca="false">IF(ISNUMBER($S170),$S170*Parâmetros!$C$9,"")</f>
        <v/>
      </c>
      <c r="W170" s="44" t="str">
        <f aca="false">IF(ISNUMBER($S170),$S170-$D170-IF(ISNUMBER($E170),$E170,0)-$O170-$T170-$U170-$V170,"")</f>
        <v/>
      </c>
      <c r="X170" s="46" t="str">
        <f aca="false">IF(AND(ISNUMBER($S170),$S170&gt;0),$W170/$S170,"")</f>
        <v/>
      </c>
      <c r="Y170" s="47"/>
      <c r="Z170" s="19"/>
    </row>
    <row r="171" customFormat="false" ht="15.75" hidden="false" customHeight="true" outlineLevel="0" collapsed="false">
      <c r="A171" s="48" t="str">
        <f aca="false">IF(Produtos!$A171="","",Produtos!$A171)</f>
        <v>PG4090</v>
      </c>
      <c r="B171" s="48" t="str">
        <f aca="false">IF(Produtos!$A171="","",Produtos!$B171)</f>
        <v>Porta Guarda-chuvas 40x90</v>
      </c>
      <c r="C171" s="48" t="str">
        <f aca="false">IF(Produtos!$A171="","",Produtos!$C171)</f>
        <v>Porta-guarda-chuvas</v>
      </c>
      <c r="D171" s="33" t="n">
        <f aca="false">IF(Produtos!$A171="","",IF(Produtos!$D171="","",Produtos!$D171))</f>
        <v>329.27</v>
      </c>
      <c r="E171" s="11" t="n">
        <v>0</v>
      </c>
      <c r="F171" s="34" t="n">
        <f aca="false">IF($A171="","",IF($C171="","⚠ categoria",IFERROR(INDEX(Parâmetros!$G$13:$G$22,MATCH($C171,Parâmetros!$A$13:$A$22,0)),"⚠ categoria")))</f>
        <v>0.199</v>
      </c>
      <c r="G171" s="35"/>
      <c r="H171" s="36" t="n">
        <f aca="false">IF($A171="","",IF(ISNUMBER($G171),$G171,IF(ISNUMBER($F171),$F171,"")))</f>
        <v>0.199</v>
      </c>
      <c r="I171" s="37" t="n">
        <f aca="false">IF(OR($A171="",NOT(ISNUMBER($D171)),NOT(ISNUMBER($H171))),"",IF((1-$H171-Parâmetros!$B$9-Parâmetros!$C$9-Parâmetros!$D$9)&lt;=0,"INVALIDO",($D171+IF(ISNUMBER($E171),$E171,0)+IF(ISNUMBER(Parâmetros!$E$9),Parâmetros!$E$9,0))/(1-$H171-Parâmetros!$B$9-Parâmetros!$C$9-Parâmetros!$D$9)))</f>
        <v>699.087048832272</v>
      </c>
      <c r="J171" s="38"/>
      <c r="K171" s="39" t="n">
        <f aca="false">IF(OR($A171="",NOT(ISNUMBER($D171)),NOT(ISNUMBER($H171))),"",IF(AND(ISNUMBER($J171),$J171&gt;0),$J171,IF(ISNUMBER($I171),$I171,"")))</f>
        <v>699.087048832272</v>
      </c>
      <c r="L171" s="40" t="n">
        <f aca="false">IF(ISNUMBER($K171),$K171*$H171,"")</f>
        <v>139.118322717622</v>
      </c>
      <c r="M171" s="40" t="n">
        <f aca="false">IF(ISNUMBER($K171),$K171*Parâmetros!$B$9,"")</f>
        <v>69.9087048832272</v>
      </c>
      <c r="N171" s="40" t="n">
        <f aca="false">IF(ISNUMBER($K171),$K171*Parâmetros!$C$9,"")</f>
        <v>20.9726114649682</v>
      </c>
      <c r="O171" s="40" t="n">
        <f aca="false">IF(ISNUMBER($K171),IF(ISNUMBER(Parâmetros!$E$9),Parâmetros!$E$9,0),"")</f>
        <v>0</v>
      </c>
      <c r="P171" s="41" t="n">
        <f aca="false">IF(ISNUMBER($K171),$K171-$D171-IF(ISNUMBER($E171),$E171,0)-$L171-$M171-$N171-$O171,"")</f>
        <v>139.817409766454</v>
      </c>
      <c r="Q171" s="42" t="n">
        <f aca="false">IF(AND(ISNUMBER($K171),$K171&gt;0),$P171/$K171,"")</f>
        <v>0.2</v>
      </c>
      <c r="R171" s="43"/>
      <c r="S171" s="44" t="str">
        <f aca="false">IF(OR(NOT(ISNUMBER($R171)),$R171=0,NOT(ISNUMBER($K171))),"",$K171*(1-$R171))</f>
        <v/>
      </c>
      <c r="T171" s="45" t="str">
        <f aca="false">IF(ISNUMBER($S171),$S171*$H171,"")</f>
        <v/>
      </c>
      <c r="U171" s="45" t="str">
        <f aca="false">IF(ISNUMBER($S171),$S171*Parâmetros!$B$9,"")</f>
        <v/>
      </c>
      <c r="V171" s="45" t="str">
        <f aca="false">IF(ISNUMBER($S171),$S171*Parâmetros!$C$9,"")</f>
        <v/>
      </c>
      <c r="W171" s="44" t="str">
        <f aca="false">IF(ISNUMBER($S171),$S171-$D171-IF(ISNUMBER($E171),$E171,0)-$O171-$T171-$U171-$V171,"")</f>
        <v/>
      </c>
      <c r="X171" s="46" t="str">
        <f aca="false">IF(AND(ISNUMBER($S171),$S171&gt;0),$W171/$S171,"")</f>
        <v/>
      </c>
      <c r="Y171" s="49"/>
      <c r="Z171" s="21"/>
    </row>
    <row r="172" customFormat="false" ht="15.75" hidden="false" customHeight="true" outlineLevel="0" collapsed="false">
      <c r="A172" s="32" t="str">
        <f aca="false">IF(Produtos!$A172="","",Produtos!$A172)</f>
        <v>EMB-03</v>
      </c>
      <c r="B172" s="32" t="str">
        <f aca="false">IF(Produtos!$A172="","",Produtos!$B172)</f>
        <v>Lixeira Embutir Pia 3L c/Balde Alumínio</v>
      </c>
      <c r="C172" s="32" t="str">
        <f aca="false">IF(Produtos!$A172="","",Produtos!$C172)</f>
        <v>Lixeiras em inox</v>
      </c>
      <c r="D172" s="33" t="n">
        <f aca="false">IF(Produtos!$A172="","",IF(Produtos!$D172="","",Produtos!$D172))</f>
        <v>97.42</v>
      </c>
      <c r="E172" s="11" t="n">
        <v>0</v>
      </c>
      <c r="F172" s="34" t="n">
        <f aca="false">IF($A172="","",IF($C172="","⚠ categoria",IFERROR(INDEX(Parâmetros!$G$13:$G$22,MATCH($C172,Parâmetros!$A$13:$A$22,0)),"⚠ categoria")))</f>
        <v>0.18</v>
      </c>
      <c r="G172" s="35"/>
      <c r="H172" s="36" t="n">
        <f aca="false">IF($A172="","",IF(ISNUMBER($G172),$G172,IF(ISNUMBER($F172),$F172,"")))</f>
        <v>0.18</v>
      </c>
      <c r="I172" s="37" t="n">
        <f aca="false">IF(OR($A172="",NOT(ISNUMBER($D172)),NOT(ISNUMBER($H172))),"",IF((1-$H172-Parâmetros!$B$9-Parâmetros!$C$9-Parâmetros!$D$9)&lt;=0,"INVALIDO",($D172+IF(ISNUMBER($E172),$E172,0)+IF(ISNUMBER(Parâmetros!$E$9),Parâmetros!$E$9,0))/(1-$H172-Parâmetros!$B$9-Parâmetros!$C$9-Parâmetros!$D$9)))</f>
        <v>198.816326530612</v>
      </c>
      <c r="J172" s="38"/>
      <c r="K172" s="39" t="n">
        <f aca="false">IF(OR($A172="",NOT(ISNUMBER($D172)),NOT(ISNUMBER($H172))),"",IF(AND(ISNUMBER($J172),$J172&gt;0),$J172,IF(ISNUMBER($I172),$I172,"")))</f>
        <v>198.816326530612</v>
      </c>
      <c r="L172" s="40" t="n">
        <f aca="false">IF(ISNUMBER($K172),$K172*$H172,"")</f>
        <v>35.7869387755102</v>
      </c>
      <c r="M172" s="40" t="n">
        <f aca="false">IF(ISNUMBER($K172),$K172*Parâmetros!$B$9,"")</f>
        <v>19.8816326530612</v>
      </c>
      <c r="N172" s="40" t="n">
        <f aca="false">IF(ISNUMBER($K172),$K172*Parâmetros!$C$9,"")</f>
        <v>5.96448979591837</v>
      </c>
      <c r="O172" s="40" t="n">
        <f aca="false">IF(ISNUMBER($K172),IF(ISNUMBER(Parâmetros!$E$9),Parâmetros!$E$9,0),"")</f>
        <v>0</v>
      </c>
      <c r="P172" s="41" t="n">
        <f aca="false">IF(ISNUMBER($K172),$K172-$D172-IF(ISNUMBER($E172),$E172,0)-$L172-$M172-$N172-$O172,"")</f>
        <v>39.7632653061224</v>
      </c>
      <c r="Q172" s="42" t="n">
        <f aca="false">IF(AND(ISNUMBER($K172),$K172&gt;0),$P172/$K172,"")</f>
        <v>0.2</v>
      </c>
      <c r="R172" s="43"/>
      <c r="S172" s="44" t="str">
        <f aca="false">IF(OR(NOT(ISNUMBER($R172)),$R172=0,NOT(ISNUMBER($K172))),"",$K172*(1-$R172))</f>
        <v/>
      </c>
      <c r="T172" s="45" t="str">
        <f aca="false">IF(ISNUMBER($S172),$S172*$H172,"")</f>
        <v/>
      </c>
      <c r="U172" s="45" t="str">
        <f aca="false">IF(ISNUMBER($S172),$S172*Parâmetros!$B$9,"")</f>
        <v/>
      </c>
      <c r="V172" s="45" t="str">
        <f aca="false">IF(ISNUMBER($S172),$S172*Parâmetros!$C$9,"")</f>
        <v/>
      </c>
      <c r="W172" s="44" t="str">
        <f aca="false">IF(ISNUMBER($S172),$S172-$D172-IF(ISNUMBER($E172),$E172,0)-$O172-$T172-$U172-$V172,"")</f>
        <v/>
      </c>
      <c r="X172" s="46" t="str">
        <f aca="false">IF(AND(ISNUMBER($S172),$S172&gt;0),$W172/$S172,"")</f>
        <v/>
      </c>
      <c r="Y172" s="47"/>
      <c r="Z172" s="19"/>
    </row>
    <row r="173" customFormat="false" ht="15.75" hidden="false" customHeight="true" outlineLevel="0" collapsed="false">
      <c r="A173" s="48" t="str">
        <f aca="false">IF(Produtos!$A173="","",Produtos!$A173)</f>
        <v>EMB-05</v>
      </c>
      <c r="B173" s="48" t="str">
        <f aca="false">IF(Produtos!$A173="","",Produtos!$B173)</f>
        <v>Lixeira Embutir Pia 5L c/Balde Alumínio</v>
      </c>
      <c r="C173" s="48" t="str">
        <f aca="false">IF(Produtos!$A173="","",Produtos!$C173)</f>
        <v>Lixeiras em inox</v>
      </c>
      <c r="D173" s="33" t="n">
        <f aca="false">IF(Produtos!$A173="","",IF(Produtos!$D173="","",Produtos!$D173))</f>
        <v>134.46</v>
      </c>
      <c r="E173" s="11" t="n">
        <v>0</v>
      </c>
      <c r="F173" s="34" t="n">
        <f aca="false">IF($A173="","",IF($C173="","⚠ categoria",IFERROR(INDEX(Parâmetros!$G$13:$G$22,MATCH($C173,Parâmetros!$A$13:$A$22,0)),"⚠ categoria")))</f>
        <v>0.18</v>
      </c>
      <c r="G173" s="35"/>
      <c r="H173" s="36" t="n">
        <f aca="false">IF($A173="","",IF(ISNUMBER($G173),$G173,IF(ISNUMBER($F173),$F173,"")))</f>
        <v>0.18</v>
      </c>
      <c r="I173" s="37" t="n">
        <f aca="false">IF(OR($A173="",NOT(ISNUMBER($D173)),NOT(ISNUMBER($H173))),"",IF((1-$H173-Parâmetros!$B$9-Parâmetros!$C$9-Parâmetros!$D$9)&lt;=0,"INVALIDO",($D173+IF(ISNUMBER($E173),$E173,0)+IF(ISNUMBER(Parâmetros!$E$9),Parâmetros!$E$9,0))/(1-$H173-Parâmetros!$B$9-Parâmetros!$C$9-Parâmetros!$D$9)))</f>
        <v>274.408163265306</v>
      </c>
      <c r="J173" s="38"/>
      <c r="K173" s="39" t="n">
        <f aca="false">IF(OR($A173="",NOT(ISNUMBER($D173)),NOT(ISNUMBER($H173))),"",IF(AND(ISNUMBER($J173),$J173&gt;0),$J173,IF(ISNUMBER($I173),$I173,"")))</f>
        <v>274.408163265306</v>
      </c>
      <c r="L173" s="40" t="n">
        <f aca="false">IF(ISNUMBER($K173),$K173*$H173,"")</f>
        <v>49.3934693877551</v>
      </c>
      <c r="M173" s="40" t="n">
        <f aca="false">IF(ISNUMBER($K173),$K173*Parâmetros!$B$9,"")</f>
        <v>27.4408163265306</v>
      </c>
      <c r="N173" s="40" t="n">
        <f aca="false">IF(ISNUMBER($K173),$K173*Parâmetros!$C$9,"")</f>
        <v>8.23224489795918</v>
      </c>
      <c r="O173" s="40" t="n">
        <f aca="false">IF(ISNUMBER($K173),IF(ISNUMBER(Parâmetros!$E$9),Parâmetros!$E$9,0),"")</f>
        <v>0</v>
      </c>
      <c r="P173" s="41" t="n">
        <f aca="false">IF(ISNUMBER($K173),$K173-$D173-IF(ISNUMBER($E173),$E173,0)-$L173-$M173-$N173-$O173,"")</f>
        <v>54.8816326530612</v>
      </c>
      <c r="Q173" s="42" t="n">
        <f aca="false">IF(AND(ISNUMBER($K173),$K173&gt;0),$P173/$K173,"")</f>
        <v>0.2</v>
      </c>
      <c r="R173" s="43"/>
      <c r="S173" s="44" t="str">
        <f aca="false">IF(OR(NOT(ISNUMBER($R173)),$R173=0,NOT(ISNUMBER($K173))),"",$K173*(1-$R173))</f>
        <v/>
      </c>
      <c r="T173" s="45" t="str">
        <f aca="false">IF(ISNUMBER($S173),$S173*$H173,"")</f>
        <v/>
      </c>
      <c r="U173" s="45" t="str">
        <f aca="false">IF(ISNUMBER($S173),$S173*Parâmetros!$B$9,"")</f>
        <v/>
      </c>
      <c r="V173" s="45" t="str">
        <f aca="false">IF(ISNUMBER($S173),$S173*Parâmetros!$C$9,"")</f>
        <v/>
      </c>
      <c r="W173" s="44" t="str">
        <f aca="false">IF(ISNUMBER($S173),$S173-$D173-IF(ISNUMBER($E173),$E173,0)-$O173-$T173-$U173-$V173,"")</f>
        <v/>
      </c>
      <c r="X173" s="46" t="str">
        <f aca="false">IF(AND(ISNUMBER($S173),$S173&gt;0),$W173/$S173,"")</f>
        <v/>
      </c>
      <c r="Y173" s="49"/>
      <c r="Z173" s="21"/>
    </row>
    <row r="174" customFormat="false" ht="15.75" hidden="false" customHeight="true" outlineLevel="0" collapsed="false">
      <c r="A174" s="32" t="str">
        <f aca="false">IF(Produtos!$A174="","",Produtos!$A174)</f>
        <v>EMB-08</v>
      </c>
      <c r="B174" s="32" t="str">
        <f aca="false">IF(Produtos!$A174="","",Produtos!$B174)</f>
        <v>Lixeira Embutir Pia 8L c/Balde Alumínio</v>
      </c>
      <c r="C174" s="32" t="str">
        <f aca="false">IF(Produtos!$A174="","",Produtos!$C174)</f>
        <v>Lixeiras em inox</v>
      </c>
      <c r="D174" s="33" t="n">
        <f aca="false">IF(Produtos!$A174="","",IF(Produtos!$D174="","",Produtos!$D174))</f>
        <v>181.23</v>
      </c>
      <c r="E174" s="11" t="n">
        <v>0</v>
      </c>
      <c r="F174" s="34" t="n">
        <f aca="false">IF($A174="","",IF($C174="","⚠ categoria",IFERROR(INDEX(Parâmetros!$G$13:$G$22,MATCH($C174,Parâmetros!$A$13:$A$22,0)),"⚠ categoria")))</f>
        <v>0.18</v>
      </c>
      <c r="G174" s="35"/>
      <c r="H174" s="36" t="n">
        <f aca="false">IF($A174="","",IF(ISNUMBER($G174),$G174,IF(ISNUMBER($F174),$F174,"")))</f>
        <v>0.18</v>
      </c>
      <c r="I174" s="37" t="n">
        <f aca="false">IF(OR($A174="",NOT(ISNUMBER($D174)),NOT(ISNUMBER($H174))),"",IF((1-$H174-Parâmetros!$B$9-Parâmetros!$C$9-Parâmetros!$D$9)&lt;=0,"INVALIDO",($D174+IF(ISNUMBER($E174),$E174,0)+IF(ISNUMBER(Parâmetros!$E$9),Parâmetros!$E$9,0))/(1-$H174-Parâmetros!$B$9-Parâmetros!$C$9-Parâmetros!$D$9)))</f>
        <v>369.857142857143</v>
      </c>
      <c r="J174" s="38"/>
      <c r="K174" s="39" t="n">
        <f aca="false">IF(OR($A174="",NOT(ISNUMBER($D174)),NOT(ISNUMBER($H174))),"",IF(AND(ISNUMBER($J174),$J174&gt;0),$J174,IF(ISNUMBER($I174),$I174,"")))</f>
        <v>369.857142857143</v>
      </c>
      <c r="L174" s="40" t="n">
        <f aca="false">IF(ISNUMBER($K174),$K174*$H174,"")</f>
        <v>66.5742857142857</v>
      </c>
      <c r="M174" s="40" t="n">
        <f aca="false">IF(ISNUMBER($K174),$K174*Parâmetros!$B$9,"")</f>
        <v>36.9857142857143</v>
      </c>
      <c r="N174" s="40" t="n">
        <f aca="false">IF(ISNUMBER($K174),$K174*Parâmetros!$C$9,"")</f>
        <v>11.0957142857143</v>
      </c>
      <c r="O174" s="40" t="n">
        <f aca="false">IF(ISNUMBER($K174),IF(ISNUMBER(Parâmetros!$E$9),Parâmetros!$E$9,0),"")</f>
        <v>0</v>
      </c>
      <c r="P174" s="41" t="n">
        <f aca="false">IF(ISNUMBER($K174),$K174-$D174-IF(ISNUMBER($E174),$E174,0)-$L174-$M174-$N174-$O174,"")</f>
        <v>73.9714285714285</v>
      </c>
      <c r="Q174" s="42" t="n">
        <f aca="false">IF(AND(ISNUMBER($K174),$K174&gt;0),$P174/$K174,"")</f>
        <v>0.2</v>
      </c>
      <c r="R174" s="43"/>
      <c r="S174" s="44" t="str">
        <f aca="false">IF(OR(NOT(ISNUMBER($R174)),$R174=0,NOT(ISNUMBER($K174))),"",$K174*(1-$R174))</f>
        <v/>
      </c>
      <c r="T174" s="45" t="str">
        <f aca="false">IF(ISNUMBER($S174),$S174*$H174,"")</f>
        <v/>
      </c>
      <c r="U174" s="45" t="str">
        <f aca="false">IF(ISNUMBER($S174),$S174*Parâmetros!$B$9,"")</f>
        <v/>
      </c>
      <c r="V174" s="45" t="str">
        <f aca="false">IF(ISNUMBER($S174),$S174*Parâmetros!$C$9,"")</f>
        <v/>
      </c>
      <c r="W174" s="44" t="str">
        <f aca="false">IF(ISNUMBER($S174),$S174-$D174-IF(ISNUMBER($E174),$E174,0)-$O174-$T174-$U174-$V174,"")</f>
        <v/>
      </c>
      <c r="X174" s="46" t="str">
        <f aca="false">IF(AND(ISNUMBER($S174),$S174&gt;0),$W174/$S174,"")</f>
        <v/>
      </c>
      <c r="Y174" s="47"/>
      <c r="Z174" s="19"/>
    </row>
    <row r="175" customFormat="false" ht="15.75" hidden="false" customHeight="true" outlineLevel="0" collapsed="false">
      <c r="A175" s="48" t="str">
        <f aca="false">IF(Produtos!$A175="","",Produtos!$A175)</f>
        <v>EMB-03P</v>
      </c>
      <c r="B175" s="48" t="str">
        <f aca="false">IF(Produtos!$A175="","",Produtos!$B175)</f>
        <v>Lixeira Embutir Pia 3L c/Balde Alumínio e Tampa Preta</v>
      </c>
      <c r="C175" s="48" t="str">
        <f aca="false">IF(Produtos!$A175="","",Produtos!$C175)</f>
        <v>Lixeiras em inox</v>
      </c>
      <c r="D175" s="33" t="n">
        <f aca="false">IF(Produtos!$A175="","",IF(Produtos!$D175="","",Produtos!$D175))</f>
        <v>127.42</v>
      </c>
      <c r="E175" s="11" t="n">
        <v>0</v>
      </c>
      <c r="F175" s="34" t="n">
        <f aca="false">IF($A175="","",IF($C175="","⚠ categoria",IFERROR(INDEX(Parâmetros!$G$13:$G$22,MATCH($C175,Parâmetros!$A$13:$A$22,0)),"⚠ categoria")))</f>
        <v>0.18</v>
      </c>
      <c r="G175" s="35"/>
      <c r="H175" s="36" t="n">
        <f aca="false">IF($A175="","",IF(ISNUMBER($G175),$G175,IF(ISNUMBER($F175),$F175,"")))</f>
        <v>0.18</v>
      </c>
      <c r="I175" s="37" t="n">
        <f aca="false">IF(OR($A175="",NOT(ISNUMBER($D175)),NOT(ISNUMBER($H175))),"",IF((1-$H175-Parâmetros!$B$9-Parâmetros!$C$9-Parâmetros!$D$9)&lt;=0,"INVALIDO",($D175+IF(ISNUMBER($E175),$E175,0)+IF(ISNUMBER(Parâmetros!$E$9),Parâmetros!$E$9,0))/(1-$H175-Parâmetros!$B$9-Parâmetros!$C$9-Parâmetros!$D$9)))</f>
        <v>260.040816326531</v>
      </c>
      <c r="J175" s="38"/>
      <c r="K175" s="39" t="n">
        <f aca="false">IF(OR($A175="",NOT(ISNUMBER($D175)),NOT(ISNUMBER($H175))),"",IF(AND(ISNUMBER($J175),$J175&gt;0),$J175,IF(ISNUMBER($I175),$I175,"")))</f>
        <v>260.040816326531</v>
      </c>
      <c r="L175" s="40" t="n">
        <f aca="false">IF(ISNUMBER($K175),$K175*$H175,"")</f>
        <v>46.8073469387755</v>
      </c>
      <c r="M175" s="40" t="n">
        <f aca="false">IF(ISNUMBER($K175),$K175*Parâmetros!$B$9,"")</f>
        <v>26.0040816326531</v>
      </c>
      <c r="N175" s="40" t="n">
        <f aca="false">IF(ISNUMBER($K175),$K175*Parâmetros!$C$9,"")</f>
        <v>7.80122448979592</v>
      </c>
      <c r="O175" s="40" t="n">
        <f aca="false">IF(ISNUMBER($K175),IF(ISNUMBER(Parâmetros!$E$9),Parâmetros!$E$9,0),"")</f>
        <v>0</v>
      </c>
      <c r="P175" s="41" t="n">
        <f aca="false">IF(ISNUMBER($K175),$K175-$D175-IF(ISNUMBER($E175),$E175,0)-$L175-$M175-$N175-$O175,"")</f>
        <v>52.0081632653061</v>
      </c>
      <c r="Q175" s="42" t="n">
        <f aca="false">IF(AND(ISNUMBER($K175),$K175&gt;0),$P175/$K175,"")</f>
        <v>0.2</v>
      </c>
      <c r="R175" s="43"/>
      <c r="S175" s="44" t="str">
        <f aca="false">IF(OR(NOT(ISNUMBER($R175)),$R175=0,NOT(ISNUMBER($K175))),"",$K175*(1-$R175))</f>
        <v/>
      </c>
      <c r="T175" s="45" t="str">
        <f aca="false">IF(ISNUMBER($S175),$S175*$H175,"")</f>
        <v/>
      </c>
      <c r="U175" s="45" t="str">
        <f aca="false">IF(ISNUMBER($S175),$S175*Parâmetros!$B$9,"")</f>
        <v/>
      </c>
      <c r="V175" s="45" t="str">
        <f aca="false">IF(ISNUMBER($S175),$S175*Parâmetros!$C$9,"")</f>
        <v/>
      </c>
      <c r="W175" s="44" t="str">
        <f aca="false">IF(ISNUMBER($S175),$S175-$D175-IF(ISNUMBER($E175),$E175,0)-$O175-$T175-$U175-$V175,"")</f>
        <v/>
      </c>
      <c r="X175" s="46" t="str">
        <f aca="false">IF(AND(ISNUMBER($S175),$S175&gt;0),$W175/$S175,"")</f>
        <v/>
      </c>
      <c r="Y175" s="49"/>
      <c r="Z175" s="21"/>
    </row>
    <row r="176" customFormat="false" ht="15.75" hidden="false" customHeight="true" outlineLevel="0" collapsed="false">
      <c r="A176" s="32" t="str">
        <f aca="false">IF(Produtos!$A176="","",Produtos!$A176)</f>
        <v>EMB-05P</v>
      </c>
      <c r="B176" s="32" t="str">
        <f aca="false">IF(Produtos!$A176="","",Produtos!$B176)</f>
        <v>Lixeira Embutir Pia 5L c/Balde Alumínio e Tampa Preta</v>
      </c>
      <c r="C176" s="32" t="str">
        <f aca="false">IF(Produtos!$A176="","",Produtos!$C176)</f>
        <v>Lixeiras em inox</v>
      </c>
      <c r="D176" s="33" t="n">
        <f aca="false">IF(Produtos!$A176="","",IF(Produtos!$D176="","",Produtos!$D176))</f>
        <v>154.46</v>
      </c>
      <c r="E176" s="11" t="n">
        <v>0</v>
      </c>
      <c r="F176" s="34" t="n">
        <f aca="false">IF($A176="","",IF($C176="","⚠ categoria",IFERROR(INDEX(Parâmetros!$G$13:$G$22,MATCH($C176,Parâmetros!$A$13:$A$22,0)),"⚠ categoria")))</f>
        <v>0.18</v>
      </c>
      <c r="G176" s="35"/>
      <c r="H176" s="36" t="n">
        <f aca="false">IF($A176="","",IF(ISNUMBER($G176),$G176,IF(ISNUMBER($F176),$F176,"")))</f>
        <v>0.18</v>
      </c>
      <c r="I176" s="37" t="n">
        <f aca="false">IF(OR($A176="",NOT(ISNUMBER($D176)),NOT(ISNUMBER($H176))),"",IF((1-$H176-Parâmetros!$B$9-Parâmetros!$C$9-Parâmetros!$D$9)&lt;=0,"INVALIDO",($D176+IF(ISNUMBER($E176),$E176,0)+IF(ISNUMBER(Parâmetros!$E$9),Parâmetros!$E$9,0))/(1-$H176-Parâmetros!$B$9-Parâmetros!$C$9-Parâmetros!$D$9)))</f>
        <v>315.224489795918</v>
      </c>
      <c r="J176" s="38"/>
      <c r="K176" s="39" t="n">
        <f aca="false">IF(OR($A176="",NOT(ISNUMBER($D176)),NOT(ISNUMBER($H176))),"",IF(AND(ISNUMBER($J176),$J176&gt;0),$J176,IF(ISNUMBER($I176),$I176,"")))</f>
        <v>315.224489795918</v>
      </c>
      <c r="L176" s="40" t="n">
        <f aca="false">IF(ISNUMBER($K176),$K176*$H176,"")</f>
        <v>56.7404081632653</v>
      </c>
      <c r="M176" s="40" t="n">
        <f aca="false">IF(ISNUMBER($K176),$K176*Parâmetros!$B$9,"")</f>
        <v>31.5224489795918</v>
      </c>
      <c r="N176" s="40" t="n">
        <f aca="false">IF(ISNUMBER($K176),$K176*Parâmetros!$C$9,"")</f>
        <v>9.45673469387755</v>
      </c>
      <c r="O176" s="40" t="n">
        <f aca="false">IF(ISNUMBER($K176),IF(ISNUMBER(Parâmetros!$E$9),Parâmetros!$E$9,0),"")</f>
        <v>0</v>
      </c>
      <c r="P176" s="41" t="n">
        <f aca="false">IF(ISNUMBER($K176),$K176-$D176-IF(ISNUMBER($E176),$E176,0)-$L176-$M176-$N176-$O176,"")</f>
        <v>63.0448979591837</v>
      </c>
      <c r="Q176" s="42" t="n">
        <f aca="false">IF(AND(ISNUMBER($K176),$K176&gt;0),$P176/$K176,"")</f>
        <v>0.2</v>
      </c>
      <c r="R176" s="43"/>
      <c r="S176" s="44" t="str">
        <f aca="false">IF(OR(NOT(ISNUMBER($R176)),$R176=0,NOT(ISNUMBER($K176))),"",$K176*(1-$R176))</f>
        <v/>
      </c>
      <c r="T176" s="45" t="str">
        <f aca="false">IF(ISNUMBER($S176),$S176*$H176,"")</f>
        <v/>
      </c>
      <c r="U176" s="45" t="str">
        <f aca="false">IF(ISNUMBER($S176),$S176*Parâmetros!$B$9,"")</f>
        <v/>
      </c>
      <c r="V176" s="45" t="str">
        <f aca="false">IF(ISNUMBER($S176),$S176*Parâmetros!$C$9,"")</f>
        <v/>
      </c>
      <c r="W176" s="44" t="str">
        <f aca="false">IF(ISNUMBER($S176),$S176-$D176-IF(ISNUMBER($E176),$E176,0)-$O176-$T176-$U176-$V176,"")</f>
        <v/>
      </c>
      <c r="X176" s="46" t="str">
        <f aca="false">IF(AND(ISNUMBER($S176),$S176&gt;0),$W176/$S176,"")</f>
        <v/>
      </c>
      <c r="Y176" s="47"/>
      <c r="Z176" s="19"/>
    </row>
    <row r="177" customFormat="false" ht="15.75" hidden="false" customHeight="true" outlineLevel="0" collapsed="false">
      <c r="A177" s="48" t="str">
        <f aca="false">IF(Produtos!$A177="","",Produtos!$A177)</f>
        <v>Q2430-A</v>
      </c>
      <c r="B177" s="48" t="str">
        <f aca="false">IF(Produtos!$A177="","",Produtos!$B177)</f>
        <v>Lixeira Quadrada c/Aro 24x30 15L</v>
      </c>
      <c r="C177" s="48" t="str">
        <f aca="false">IF(Produtos!$A177="","",Produtos!$C177)</f>
        <v>Lixeiras em inox</v>
      </c>
      <c r="D177" s="33" t="n">
        <f aca="false">IF(Produtos!$A177="","",IF(Produtos!$D177="","",Produtos!$D177))</f>
        <v>121.07</v>
      </c>
      <c r="E177" s="11" t="n">
        <v>0</v>
      </c>
      <c r="F177" s="34" t="n">
        <f aca="false">IF($A177="","",IF($C177="","⚠ categoria",IFERROR(INDEX(Parâmetros!$G$13:$G$22,MATCH($C177,Parâmetros!$A$13:$A$22,0)),"⚠ categoria")))</f>
        <v>0.18</v>
      </c>
      <c r="G177" s="35"/>
      <c r="H177" s="36" t="n">
        <f aca="false">IF($A177="","",IF(ISNUMBER($G177),$G177,IF(ISNUMBER($F177),$F177,"")))</f>
        <v>0.18</v>
      </c>
      <c r="I177" s="37" t="n">
        <f aca="false">IF(OR($A177="",NOT(ISNUMBER($D177)),NOT(ISNUMBER($H177))),"",IF((1-$H177-Parâmetros!$B$9-Parâmetros!$C$9-Parâmetros!$D$9)&lt;=0,"INVALIDO",($D177+IF(ISNUMBER($E177),$E177,0)+IF(ISNUMBER(Parâmetros!$E$9),Parâmetros!$E$9,0))/(1-$H177-Parâmetros!$B$9-Parâmetros!$C$9-Parâmetros!$D$9)))</f>
        <v>247.081632653061</v>
      </c>
      <c r="J177" s="38"/>
      <c r="K177" s="39" t="n">
        <f aca="false">IF(OR($A177="",NOT(ISNUMBER($D177)),NOT(ISNUMBER($H177))),"",IF(AND(ISNUMBER($J177),$J177&gt;0),$J177,IF(ISNUMBER($I177),$I177,"")))</f>
        <v>247.081632653061</v>
      </c>
      <c r="L177" s="40" t="n">
        <f aca="false">IF(ISNUMBER($K177),$K177*$H177,"")</f>
        <v>44.474693877551</v>
      </c>
      <c r="M177" s="40" t="n">
        <f aca="false">IF(ISNUMBER($K177),$K177*Parâmetros!$B$9,"")</f>
        <v>24.7081632653061</v>
      </c>
      <c r="N177" s="40" t="n">
        <f aca="false">IF(ISNUMBER($K177),$K177*Parâmetros!$C$9,"")</f>
        <v>7.41244897959184</v>
      </c>
      <c r="O177" s="40" t="n">
        <f aca="false">IF(ISNUMBER($K177),IF(ISNUMBER(Parâmetros!$E$9),Parâmetros!$E$9,0),"")</f>
        <v>0</v>
      </c>
      <c r="P177" s="41" t="n">
        <f aca="false">IF(ISNUMBER($K177),$K177-$D177-IF(ISNUMBER($E177),$E177,0)-$L177-$M177-$N177-$O177,"")</f>
        <v>49.4163265306122</v>
      </c>
      <c r="Q177" s="42" t="n">
        <f aca="false">IF(AND(ISNUMBER($K177),$K177&gt;0),$P177/$K177,"")</f>
        <v>0.2</v>
      </c>
      <c r="R177" s="43"/>
      <c r="S177" s="44" t="str">
        <f aca="false">IF(OR(NOT(ISNUMBER($R177)),$R177=0,NOT(ISNUMBER($K177))),"",$K177*(1-$R177))</f>
        <v/>
      </c>
      <c r="T177" s="45" t="str">
        <f aca="false">IF(ISNUMBER($S177),$S177*$H177,"")</f>
        <v/>
      </c>
      <c r="U177" s="45" t="str">
        <f aca="false">IF(ISNUMBER($S177),$S177*Parâmetros!$B$9,"")</f>
        <v/>
      </c>
      <c r="V177" s="45" t="str">
        <f aca="false">IF(ISNUMBER($S177),$S177*Parâmetros!$C$9,"")</f>
        <v/>
      </c>
      <c r="W177" s="44" t="str">
        <f aca="false">IF(ISNUMBER($S177),$S177-$D177-IF(ISNUMBER($E177),$E177,0)-$O177-$T177-$U177-$V177,"")</f>
        <v/>
      </c>
      <c r="X177" s="46" t="str">
        <f aca="false">IF(AND(ISNUMBER($S177),$S177&gt;0),$W177/$S177,"")</f>
        <v/>
      </c>
      <c r="Y177" s="49"/>
      <c r="Z177" s="21"/>
    </row>
    <row r="178" customFormat="false" ht="15.75" hidden="false" customHeight="true" outlineLevel="0" collapsed="false">
      <c r="A178" s="32" t="str">
        <f aca="false">IF(Produtos!$A178="","",Produtos!$A178)</f>
        <v>Q2460-A</v>
      </c>
      <c r="B178" s="32" t="str">
        <f aca="false">IF(Produtos!$A178="","",Produtos!$B178)</f>
        <v>Lixeira Quadrada c/Aro 24x60 30L</v>
      </c>
      <c r="C178" s="32" t="str">
        <f aca="false">IF(Produtos!$A178="","",Produtos!$C178)</f>
        <v>Lixeiras em inox</v>
      </c>
      <c r="D178" s="33" t="n">
        <f aca="false">IF(Produtos!$A178="","",IF(Produtos!$D178="","",Produtos!$D178))</f>
        <v>183.04</v>
      </c>
      <c r="E178" s="11" t="n">
        <v>0</v>
      </c>
      <c r="F178" s="34" t="n">
        <f aca="false">IF($A178="","",IF($C178="","⚠ categoria",IFERROR(INDEX(Parâmetros!$G$13:$G$22,MATCH($C178,Parâmetros!$A$13:$A$22,0)),"⚠ categoria")))</f>
        <v>0.18</v>
      </c>
      <c r="G178" s="35"/>
      <c r="H178" s="36" t="n">
        <f aca="false">IF($A178="","",IF(ISNUMBER($G178),$G178,IF(ISNUMBER($F178),$F178,"")))</f>
        <v>0.18</v>
      </c>
      <c r="I178" s="37" t="n">
        <f aca="false">IF(OR($A178="",NOT(ISNUMBER($D178)),NOT(ISNUMBER($H178))),"",IF((1-$H178-Parâmetros!$B$9-Parâmetros!$C$9-Parâmetros!$D$9)&lt;=0,"INVALIDO",($D178+IF(ISNUMBER($E178),$E178,0)+IF(ISNUMBER(Parâmetros!$E$9),Parâmetros!$E$9,0))/(1-$H178-Parâmetros!$B$9-Parâmetros!$C$9-Parâmetros!$D$9)))</f>
        <v>373.551020408163</v>
      </c>
      <c r="J178" s="38"/>
      <c r="K178" s="39" t="n">
        <f aca="false">IF(OR($A178="",NOT(ISNUMBER($D178)),NOT(ISNUMBER($H178))),"",IF(AND(ISNUMBER($J178),$J178&gt;0),$J178,IF(ISNUMBER($I178),$I178,"")))</f>
        <v>373.551020408163</v>
      </c>
      <c r="L178" s="40" t="n">
        <f aca="false">IF(ISNUMBER($K178),$K178*$H178,"")</f>
        <v>67.2391836734694</v>
      </c>
      <c r="M178" s="40" t="n">
        <f aca="false">IF(ISNUMBER($K178),$K178*Parâmetros!$B$9,"")</f>
        <v>37.3551020408163</v>
      </c>
      <c r="N178" s="40" t="n">
        <f aca="false">IF(ISNUMBER($K178),$K178*Parâmetros!$C$9,"")</f>
        <v>11.2065306122449</v>
      </c>
      <c r="O178" s="40" t="n">
        <f aca="false">IF(ISNUMBER($K178),IF(ISNUMBER(Parâmetros!$E$9),Parâmetros!$E$9,0),"")</f>
        <v>0</v>
      </c>
      <c r="P178" s="41" t="n">
        <f aca="false">IF(ISNUMBER($K178),$K178-$D178-IF(ISNUMBER($E178),$E178,0)-$L178-$M178-$N178-$O178,"")</f>
        <v>74.7102040816326</v>
      </c>
      <c r="Q178" s="42" t="n">
        <f aca="false">IF(AND(ISNUMBER($K178),$K178&gt;0),$P178/$K178,"")</f>
        <v>0.2</v>
      </c>
      <c r="R178" s="43"/>
      <c r="S178" s="44" t="str">
        <f aca="false">IF(OR(NOT(ISNUMBER($R178)),$R178=0,NOT(ISNUMBER($K178))),"",$K178*(1-$R178))</f>
        <v/>
      </c>
      <c r="T178" s="45" t="str">
        <f aca="false">IF(ISNUMBER($S178),$S178*$H178,"")</f>
        <v/>
      </c>
      <c r="U178" s="45" t="str">
        <f aca="false">IF(ISNUMBER($S178),$S178*Parâmetros!$B$9,"")</f>
        <v/>
      </c>
      <c r="V178" s="45" t="str">
        <f aca="false">IF(ISNUMBER($S178),$S178*Parâmetros!$C$9,"")</f>
        <v/>
      </c>
      <c r="W178" s="44" t="str">
        <f aca="false">IF(ISNUMBER($S178),$S178-$D178-IF(ISNUMBER($E178),$E178,0)-$O178-$T178-$U178-$V178,"")</f>
        <v/>
      </c>
      <c r="X178" s="46" t="str">
        <f aca="false">IF(AND(ISNUMBER($S178),$S178&gt;0),$W178/$S178,"")</f>
        <v/>
      </c>
      <c r="Y178" s="47"/>
      <c r="Z178" s="19"/>
    </row>
    <row r="179" customFormat="false" ht="15.75" hidden="false" customHeight="true" outlineLevel="0" collapsed="false">
      <c r="A179" s="48" t="str">
        <f aca="false">IF(Produtos!$A179="","",Produtos!$A179)</f>
        <v>Q3060-A</v>
      </c>
      <c r="B179" s="48" t="str">
        <f aca="false">IF(Produtos!$A179="","",Produtos!$B179)</f>
        <v>Lixeira Quadrada c/Aro 30x60 50L</v>
      </c>
      <c r="C179" s="48" t="str">
        <f aca="false">IF(Produtos!$A179="","",Produtos!$C179)</f>
        <v>Lixeiras em inox</v>
      </c>
      <c r="D179" s="33" t="n">
        <f aca="false">IF(Produtos!$A179="","",IF(Produtos!$D179="","",Produtos!$D179))</f>
        <v>277.75</v>
      </c>
      <c r="E179" s="11" t="n">
        <v>0</v>
      </c>
      <c r="F179" s="34" t="n">
        <f aca="false">IF($A179="","",IF($C179="","⚠ categoria",IFERROR(INDEX(Parâmetros!$G$13:$G$22,MATCH($C179,Parâmetros!$A$13:$A$22,0)),"⚠ categoria")))</f>
        <v>0.18</v>
      </c>
      <c r="G179" s="35"/>
      <c r="H179" s="36" t="n">
        <f aca="false">IF($A179="","",IF(ISNUMBER($G179),$G179,IF(ISNUMBER($F179),$F179,"")))</f>
        <v>0.18</v>
      </c>
      <c r="I179" s="37" t="n">
        <f aca="false">IF(OR($A179="",NOT(ISNUMBER($D179)),NOT(ISNUMBER($H179))),"",IF((1-$H179-Parâmetros!$B$9-Parâmetros!$C$9-Parâmetros!$D$9)&lt;=0,"INVALIDO",($D179+IF(ISNUMBER($E179),$E179,0)+IF(ISNUMBER(Parâmetros!$E$9),Parâmetros!$E$9,0))/(1-$H179-Parâmetros!$B$9-Parâmetros!$C$9-Parâmetros!$D$9)))</f>
        <v>566.836734693878</v>
      </c>
      <c r="J179" s="38"/>
      <c r="K179" s="39" t="n">
        <f aca="false">IF(OR($A179="",NOT(ISNUMBER($D179)),NOT(ISNUMBER($H179))),"",IF(AND(ISNUMBER($J179),$J179&gt;0),$J179,IF(ISNUMBER($I179),$I179,"")))</f>
        <v>566.836734693878</v>
      </c>
      <c r="L179" s="40" t="n">
        <f aca="false">IF(ISNUMBER($K179),$K179*$H179,"")</f>
        <v>102.030612244898</v>
      </c>
      <c r="M179" s="40" t="n">
        <f aca="false">IF(ISNUMBER($K179),$K179*Parâmetros!$B$9,"")</f>
        <v>56.6836734693878</v>
      </c>
      <c r="N179" s="40" t="n">
        <f aca="false">IF(ISNUMBER($K179),$K179*Parâmetros!$C$9,"")</f>
        <v>17.0051020408163</v>
      </c>
      <c r="O179" s="40" t="n">
        <f aca="false">IF(ISNUMBER($K179),IF(ISNUMBER(Parâmetros!$E$9),Parâmetros!$E$9,0),"")</f>
        <v>0</v>
      </c>
      <c r="P179" s="41" t="n">
        <f aca="false">IF(ISNUMBER($K179),$K179-$D179-IF(ISNUMBER($E179),$E179,0)-$L179-$M179-$N179-$O179,"")</f>
        <v>113.367346938775</v>
      </c>
      <c r="Q179" s="42" t="n">
        <f aca="false">IF(AND(ISNUMBER($K179),$K179&gt;0),$P179/$K179,"")</f>
        <v>0.2</v>
      </c>
      <c r="R179" s="43"/>
      <c r="S179" s="44" t="str">
        <f aca="false">IF(OR(NOT(ISNUMBER($R179)),$R179=0,NOT(ISNUMBER($K179))),"",$K179*(1-$R179))</f>
        <v/>
      </c>
      <c r="T179" s="45" t="str">
        <f aca="false">IF(ISNUMBER($S179),$S179*$H179,"")</f>
        <v/>
      </c>
      <c r="U179" s="45" t="str">
        <f aca="false">IF(ISNUMBER($S179),$S179*Parâmetros!$B$9,"")</f>
        <v/>
      </c>
      <c r="V179" s="45" t="str">
        <f aca="false">IF(ISNUMBER($S179),$S179*Parâmetros!$C$9,"")</f>
        <v/>
      </c>
      <c r="W179" s="44" t="str">
        <f aca="false">IF(ISNUMBER($S179),$S179-$D179-IF(ISNUMBER($E179),$E179,0)-$O179-$T179-$U179-$V179,"")</f>
        <v/>
      </c>
      <c r="X179" s="46" t="str">
        <f aca="false">IF(AND(ISNUMBER($S179),$S179&gt;0),$W179/$S179,"")</f>
        <v/>
      </c>
      <c r="Y179" s="49"/>
      <c r="Z179" s="21"/>
    </row>
    <row r="180" customFormat="false" ht="15.75" hidden="false" customHeight="true" outlineLevel="0" collapsed="false">
      <c r="A180" s="32" t="str">
        <f aca="false">IF(Produtos!$A180="","",Produtos!$A180)</f>
        <v>Q4070-A</v>
      </c>
      <c r="B180" s="32" t="str">
        <f aca="false">IF(Produtos!$A180="","",Produtos!$B180)</f>
        <v>Lixeira Quadrada c/Aro 40x70 100L</v>
      </c>
      <c r="C180" s="32" t="str">
        <f aca="false">IF(Produtos!$A180="","",Produtos!$C180)</f>
        <v>Lixeiras em inox</v>
      </c>
      <c r="D180" s="33" t="n">
        <f aca="false">IF(Produtos!$A180="","",IF(Produtos!$D180="","",Produtos!$D180))</f>
        <v>580.13</v>
      </c>
      <c r="E180" s="11" t="n">
        <v>0</v>
      </c>
      <c r="F180" s="34" t="n">
        <f aca="false">IF($A180="","",IF($C180="","⚠ categoria",IFERROR(INDEX(Parâmetros!$G$13:$G$22,MATCH($C180,Parâmetros!$A$13:$A$22,0)),"⚠ categoria")))</f>
        <v>0.18</v>
      </c>
      <c r="G180" s="35"/>
      <c r="H180" s="36" t="n">
        <f aca="false">IF($A180="","",IF(ISNUMBER($G180),$G180,IF(ISNUMBER($F180),$F180,"")))</f>
        <v>0.18</v>
      </c>
      <c r="I180" s="37" t="n">
        <f aca="false">IF(OR($A180="",NOT(ISNUMBER($D180)),NOT(ISNUMBER($H180))),"",IF((1-$H180-Parâmetros!$B$9-Parâmetros!$C$9-Parâmetros!$D$9)&lt;=0,"INVALIDO",($D180+IF(ISNUMBER($E180),$E180,0)+IF(ISNUMBER(Parâmetros!$E$9),Parâmetros!$E$9,0))/(1-$H180-Parâmetros!$B$9-Parâmetros!$C$9-Parâmetros!$D$9)))</f>
        <v>1183.9387755102</v>
      </c>
      <c r="J180" s="38"/>
      <c r="K180" s="39" t="n">
        <f aca="false">IF(OR($A180="",NOT(ISNUMBER($D180)),NOT(ISNUMBER($H180))),"",IF(AND(ISNUMBER($J180),$J180&gt;0),$J180,IF(ISNUMBER($I180),$I180,"")))</f>
        <v>1183.9387755102</v>
      </c>
      <c r="L180" s="40" t="n">
        <f aca="false">IF(ISNUMBER($K180),$K180*$H180,"")</f>
        <v>213.108979591837</v>
      </c>
      <c r="M180" s="40" t="n">
        <f aca="false">IF(ISNUMBER($K180),$K180*Parâmetros!$B$9,"")</f>
        <v>118.39387755102</v>
      </c>
      <c r="N180" s="40" t="n">
        <f aca="false">IF(ISNUMBER($K180),$K180*Parâmetros!$C$9,"")</f>
        <v>35.5181632653061</v>
      </c>
      <c r="O180" s="40" t="n">
        <f aca="false">IF(ISNUMBER($K180),IF(ISNUMBER(Parâmetros!$E$9),Parâmetros!$E$9,0),"")</f>
        <v>0</v>
      </c>
      <c r="P180" s="41" t="n">
        <f aca="false">IF(ISNUMBER($K180),$K180-$D180-IF(ISNUMBER($E180),$E180,0)-$L180-$M180-$N180-$O180,"")</f>
        <v>236.787755102041</v>
      </c>
      <c r="Q180" s="42" t="n">
        <f aca="false">IF(AND(ISNUMBER($K180),$K180&gt;0),$P180/$K180,"")</f>
        <v>0.2</v>
      </c>
      <c r="R180" s="43"/>
      <c r="S180" s="44" t="str">
        <f aca="false">IF(OR(NOT(ISNUMBER($R180)),$R180=0,NOT(ISNUMBER($K180))),"",$K180*(1-$R180))</f>
        <v/>
      </c>
      <c r="T180" s="45" t="str">
        <f aca="false">IF(ISNUMBER($S180),$S180*$H180,"")</f>
        <v/>
      </c>
      <c r="U180" s="45" t="str">
        <f aca="false">IF(ISNUMBER($S180),$S180*Parâmetros!$B$9,"")</f>
        <v/>
      </c>
      <c r="V180" s="45" t="str">
        <f aca="false">IF(ISNUMBER($S180),$S180*Parâmetros!$C$9,"")</f>
        <v/>
      </c>
      <c r="W180" s="44" t="str">
        <f aca="false">IF(ISNUMBER($S180),$S180-$D180-IF(ISNUMBER($E180),$E180,0)-$O180-$T180-$U180-$V180,"")</f>
        <v/>
      </c>
      <c r="X180" s="46" t="str">
        <f aca="false">IF(AND(ISNUMBER($S180),$S180&gt;0),$W180/$S180,"")</f>
        <v/>
      </c>
      <c r="Y180" s="47"/>
      <c r="Z180" s="19"/>
    </row>
    <row r="181" customFormat="false" ht="15.75" hidden="false" customHeight="true" outlineLevel="0" collapsed="false">
      <c r="A181" s="48" t="str">
        <f aca="false">IF(Produtos!$A181="","",Produtos!$A181)</f>
        <v>Q2430-B</v>
      </c>
      <c r="B181" s="48" t="str">
        <f aca="false">IF(Produtos!$A181="","",Produtos!$B181)</f>
        <v>Lixeira Quadrada c/Aro Basculante 24x30 15L</v>
      </c>
      <c r="C181" s="48" t="str">
        <f aca="false">IF(Produtos!$A181="","",Produtos!$C181)</f>
        <v>Lixeiras em inox</v>
      </c>
      <c r="D181" s="33" t="n">
        <f aca="false">IF(Produtos!$A181="","",IF(Produtos!$D181="","",Produtos!$D181))</f>
        <v>149.88</v>
      </c>
      <c r="E181" s="11" t="n">
        <v>0</v>
      </c>
      <c r="F181" s="34" t="n">
        <f aca="false">IF($A181="","",IF($C181="","⚠ categoria",IFERROR(INDEX(Parâmetros!$G$13:$G$22,MATCH($C181,Parâmetros!$A$13:$A$22,0)),"⚠ categoria")))</f>
        <v>0.18</v>
      </c>
      <c r="G181" s="35"/>
      <c r="H181" s="36" t="n">
        <f aca="false">IF($A181="","",IF(ISNUMBER($G181),$G181,IF(ISNUMBER($F181),$F181,"")))</f>
        <v>0.18</v>
      </c>
      <c r="I181" s="37" t="n">
        <f aca="false">IF(OR($A181="",NOT(ISNUMBER($D181)),NOT(ISNUMBER($H181))),"",IF((1-$H181-Parâmetros!$B$9-Parâmetros!$C$9-Parâmetros!$D$9)&lt;=0,"INVALIDO",($D181+IF(ISNUMBER($E181),$E181,0)+IF(ISNUMBER(Parâmetros!$E$9),Parâmetros!$E$9,0))/(1-$H181-Parâmetros!$B$9-Parâmetros!$C$9-Parâmetros!$D$9)))</f>
        <v>305.877551020408</v>
      </c>
      <c r="J181" s="38"/>
      <c r="K181" s="39" t="n">
        <f aca="false">IF(OR($A181="",NOT(ISNUMBER($D181)),NOT(ISNUMBER($H181))),"",IF(AND(ISNUMBER($J181),$J181&gt;0),$J181,IF(ISNUMBER($I181),$I181,"")))</f>
        <v>305.877551020408</v>
      </c>
      <c r="L181" s="40" t="n">
        <f aca="false">IF(ISNUMBER($K181),$K181*$H181,"")</f>
        <v>55.0579591836735</v>
      </c>
      <c r="M181" s="40" t="n">
        <f aca="false">IF(ISNUMBER($K181),$K181*Parâmetros!$B$9,"")</f>
        <v>30.5877551020408</v>
      </c>
      <c r="N181" s="40" t="n">
        <f aca="false">IF(ISNUMBER($K181),$K181*Parâmetros!$C$9,"")</f>
        <v>9.17632653061224</v>
      </c>
      <c r="O181" s="40" t="n">
        <f aca="false">IF(ISNUMBER($K181),IF(ISNUMBER(Parâmetros!$E$9),Parâmetros!$E$9,0),"")</f>
        <v>0</v>
      </c>
      <c r="P181" s="41" t="n">
        <f aca="false">IF(ISNUMBER($K181),$K181-$D181-IF(ISNUMBER($E181),$E181,0)-$L181-$M181-$N181-$O181,"")</f>
        <v>61.1755102040816</v>
      </c>
      <c r="Q181" s="42" t="n">
        <f aca="false">IF(AND(ISNUMBER($K181),$K181&gt;0),$P181/$K181,"")</f>
        <v>0.2</v>
      </c>
      <c r="R181" s="43"/>
      <c r="S181" s="44" t="str">
        <f aca="false">IF(OR(NOT(ISNUMBER($R181)),$R181=0,NOT(ISNUMBER($K181))),"",$K181*(1-$R181))</f>
        <v/>
      </c>
      <c r="T181" s="45" t="str">
        <f aca="false">IF(ISNUMBER($S181),$S181*$H181,"")</f>
        <v/>
      </c>
      <c r="U181" s="45" t="str">
        <f aca="false">IF(ISNUMBER($S181),$S181*Parâmetros!$B$9,"")</f>
        <v/>
      </c>
      <c r="V181" s="45" t="str">
        <f aca="false">IF(ISNUMBER($S181),$S181*Parâmetros!$C$9,"")</f>
        <v/>
      </c>
      <c r="W181" s="44" t="str">
        <f aca="false">IF(ISNUMBER($S181),$S181-$D181-IF(ISNUMBER($E181),$E181,0)-$O181-$T181-$U181-$V181,"")</f>
        <v/>
      </c>
      <c r="X181" s="46" t="str">
        <f aca="false">IF(AND(ISNUMBER($S181),$S181&gt;0),$W181/$S181,"")</f>
        <v/>
      </c>
      <c r="Y181" s="49"/>
      <c r="Z181" s="21"/>
    </row>
    <row r="182" customFormat="false" ht="15.75" hidden="false" customHeight="true" outlineLevel="0" collapsed="false">
      <c r="A182" s="32" t="str">
        <f aca="false">IF(Produtos!$A182="","",Produtos!$A182)</f>
        <v>Q2460-B</v>
      </c>
      <c r="B182" s="32" t="str">
        <f aca="false">IF(Produtos!$A182="","",Produtos!$B182)</f>
        <v>Lixeira Quadrada c/Aro Basculante 24x60 30L</v>
      </c>
      <c r="C182" s="32" t="str">
        <f aca="false">IF(Produtos!$A182="","",Produtos!$C182)</f>
        <v>Lixeiras em inox</v>
      </c>
      <c r="D182" s="33" t="n">
        <f aca="false">IF(Produtos!$A182="","",IF(Produtos!$D182="","",Produtos!$D182))</f>
        <v>198.38</v>
      </c>
      <c r="E182" s="11" t="n">
        <v>0</v>
      </c>
      <c r="F182" s="34" t="n">
        <f aca="false">IF($A182="","",IF($C182="","⚠ categoria",IFERROR(INDEX(Parâmetros!$G$13:$G$22,MATCH($C182,Parâmetros!$A$13:$A$22,0)),"⚠ categoria")))</f>
        <v>0.18</v>
      </c>
      <c r="G182" s="35"/>
      <c r="H182" s="36" t="n">
        <f aca="false">IF($A182="","",IF(ISNUMBER($G182),$G182,IF(ISNUMBER($F182),$F182,"")))</f>
        <v>0.18</v>
      </c>
      <c r="I182" s="37" t="n">
        <f aca="false">IF(OR($A182="",NOT(ISNUMBER($D182)),NOT(ISNUMBER($H182))),"",IF((1-$H182-Parâmetros!$B$9-Parâmetros!$C$9-Parâmetros!$D$9)&lt;=0,"INVALIDO",($D182+IF(ISNUMBER($E182),$E182,0)+IF(ISNUMBER(Parâmetros!$E$9),Parâmetros!$E$9,0))/(1-$H182-Parâmetros!$B$9-Parâmetros!$C$9-Parâmetros!$D$9)))</f>
        <v>404.857142857143</v>
      </c>
      <c r="J182" s="38"/>
      <c r="K182" s="39" t="n">
        <f aca="false">IF(OR($A182="",NOT(ISNUMBER($D182)),NOT(ISNUMBER($H182))),"",IF(AND(ISNUMBER($J182),$J182&gt;0),$J182,IF(ISNUMBER($I182),$I182,"")))</f>
        <v>404.857142857143</v>
      </c>
      <c r="L182" s="40" t="n">
        <f aca="false">IF(ISNUMBER($K182),$K182*$H182,"")</f>
        <v>72.8742857142857</v>
      </c>
      <c r="M182" s="40" t="n">
        <f aca="false">IF(ISNUMBER($K182),$K182*Parâmetros!$B$9,"")</f>
        <v>40.4857142857143</v>
      </c>
      <c r="N182" s="40" t="n">
        <f aca="false">IF(ISNUMBER($K182),$K182*Parâmetros!$C$9,"")</f>
        <v>12.1457142857143</v>
      </c>
      <c r="O182" s="40" t="n">
        <f aca="false">IF(ISNUMBER($K182),IF(ISNUMBER(Parâmetros!$E$9),Parâmetros!$E$9,0),"")</f>
        <v>0</v>
      </c>
      <c r="P182" s="41" t="n">
        <f aca="false">IF(ISNUMBER($K182),$K182-$D182-IF(ISNUMBER($E182),$E182,0)-$L182-$M182-$N182-$O182,"")</f>
        <v>80.9714285714286</v>
      </c>
      <c r="Q182" s="42" t="n">
        <f aca="false">IF(AND(ISNUMBER($K182),$K182&gt;0),$P182/$K182,"")</f>
        <v>0.2</v>
      </c>
      <c r="R182" s="43"/>
      <c r="S182" s="44" t="str">
        <f aca="false">IF(OR(NOT(ISNUMBER($R182)),$R182=0,NOT(ISNUMBER($K182))),"",$K182*(1-$R182))</f>
        <v/>
      </c>
      <c r="T182" s="45" t="str">
        <f aca="false">IF(ISNUMBER($S182),$S182*$H182,"")</f>
        <v/>
      </c>
      <c r="U182" s="45" t="str">
        <f aca="false">IF(ISNUMBER($S182),$S182*Parâmetros!$B$9,"")</f>
        <v/>
      </c>
      <c r="V182" s="45" t="str">
        <f aca="false">IF(ISNUMBER($S182),$S182*Parâmetros!$C$9,"")</f>
        <v/>
      </c>
      <c r="W182" s="44" t="str">
        <f aca="false">IF(ISNUMBER($S182),$S182-$D182-IF(ISNUMBER($E182),$E182,0)-$O182-$T182-$U182-$V182,"")</f>
        <v/>
      </c>
      <c r="X182" s="46" t="str">
        <f aca="false">IF(AND(ISNUMBER($S182),$S182&gt;0),$W182/$S182,"")</f>
        <v/>
      </c>
      <c r="Y182" s="47"/>
      <c r="Z182" s="19"/>
    </row>
    <row r="183" customFormat="false" ht="15.75" hidden="false" customHeight="true" outlineLevel="0" collapsed="false">
      <c r="A183" s="48" t="str">
        <f aca="false">IF(Produtos!$A183="","",Produtos!$A183)</f>
        <v>Q3060-B</v>
      </c>
      <c r="B183" s="48" t="str">
        <f aca="false">IF(Produtos!$A183="","",Produtos!$B183)</f>
        <v>Lixeira Quadrada c/Aro Basculante 30x60 50L</v>
      </c>
      <c r="C183" s="48" t="str">
        <f aca="false">IF(Produtos!$A183="","",Produtos!$C183)</f>
        <v>Lixeiras em inox</v>
      </c>
      <c r="D183" s="33" t="n">
        <f aca="false">IF(Produtos!$A183="","",IF(Produtos!$D183="","",Produtos!$D183))</f>
        <v>301.03</v>
      </c>
      <c r="E183" s="11" t="n">
        <v>0</v>
      </c>
      <c r="F183" s="34" t="n">
        <f aca="false">IF($A183="","",IF($C183="","⚠ categoria",IFERROR(INDEX(Parâmetros!$G$13:$G$22,MATCH($C183,Parâmetros!$A$13:$A$22,0)),"⚠ categoria")))</f>
        <v>0.18</v>
      </c>
      <c r="G183" s="35"/>
      <c r="H183" s="36" t="n">
        <f aca="false">IF($A183="","",IF(ISNUMBER($G183),$G183,IF(ISNUMBER($F183),$F183,"")))</f>
        <v>0.18</v>
      </c>
      <c r="I183" s="37" t="n">
        <f aca="false">IF(OR($A183="",NOT(ISNUMBER($D183)),NOT(ISNUMBER($H183))),"",IF((1-$H183-Parâmetros!$B$9-Parâmetros!$C$9-Parâmetros!$D$9)&lt;=0,"INVALIDO",($D183+IF(ISNUMBER($E183),$E183,0)+IF(ISNUMBER(Parâmetros!$E$9),Parâmetros!$E$9,0))/(1-$H183-Parâmetros!$B$9-Parâmetros!$C$9-Parâmetros!$D$9)))</f>
        <v>614.34693877551</v>
      </c>
      <c r="J183" s="38"/>
      <c r="K183" s="39" t="n">
        <f aca="false">IF(OR($A183="",NOT(ISNUMBER($D183)),NOT(ISNUMBER($H183))),"",IF(AND(ISNUMBER($J183),$J183&gt;0),$J183,IF(ISNUMBER($I183),$I183,"")))</f>
        <v>614.34693877551</v>
      </c>
      <c r="L183" s="40" t="n">
        <f aca="false">IF(ISNUMBER($K183),$K183*$H183,"")</f>
        <v>110.582448979592</v>
      </c>
      <c r="M183" s="40" t="n">
        <f aca="false">IF(ISNUMBER($K183),$K183*Parâmetros!$B$9,"")</f>
        <v>61.434693877551</v>
      </c>
      <c r="N183" s="40" t="n">
        <f aca="false">IF(ISNUMBER($K183),$K183*Parâmetros!$C$9,"")</f>
        <v>18.4304081632653</v>
      </c>
      <c r="O183" s="40" t="n">
        <f aca="false">IF(ISNUMBER($K183),IF(ISNUMBER(Parâmetros!$E$9),Parâmetros!$E$9,0),"")</f>
        <v>0</v>
      </c>
      <c r="P183" s="41" t="n">
        <f aca="false">IF(ISNUMBER($K183),$K183-$D183-IF(ISNUMBER($E183),$E183,0)-$L183-$M183-$N183-$O183,"")</f>
        <v>122.869387755102</v>
      </c>
      <c r="Q183" s="42" t="n">
        <f aca="false">IF(AND(ISNUMBER($K183),$K183&gt;0),$P183/$K183,"")</f>
        <v>0.2</v>
      </c>
      <c r="R183" s="43"/>
      <c r="S183" s="44" t="str">
        <f aca="false">IF(OR(NOT(ISNUMBER($R183)),$R183=0,NOT(ISNUMBER($K183))),"",$K183*(1-$R183))</f>
        <v/>
      </c>
      <c r="T183" s="45" t="str">
        <f aca="false">IF(ISNUMBER($S183),$S183*$H183,"")</f>
        <v/>
      </c>
      <c r="U183" s="45" t="str">
        <f aca="false">IF(ISNUMBER($S183),$S183*Parâmetros!$B$9,"")</f>
        <v/>
      </c>
      <c r="V183" s="45" t="str">
        <f aca="false">IF(ISNUMBER($S183),$S183*Parâmetros!$C$9,"")</f>
        <v/>
      </c>
      <c r="W183" s="44" t="str">
        <f aca="false">IF(ISNUMBER($S183),$S183-$D183-IF(ISNUMBER($E183),$E183,0)-$O183-$T183-$U183-$V183,"")</f>
        <v/>
      </c>
      <c r="X183" s="46" t="str">
        <f aca="false">IF(AND(ISNUMBER($S183),$S183&gt;0),$W183/$S183,"")</f>
        <v/>
      </c>
      <c r="Y183" s="49"/>
      <c r="Z183" s="21"/>
    </row>
    <row r="184" customFormat="false" ht="15.75" hidden="false" customHeight="true" outlineLevel="0" collapsed="false">
      <c r="A184" s="32" t="str">
        <f aca="false">IF(Produtos!$A184="","",Produtos!$A184)</f>
        <v>Q4070-B</v>
      </c>
      <c r="B184" s="32" t="str">
        <f aca="false">IF(Produtos!$A184="","",Produtos!$B184)</f>
        <v>Lixeira Quadrada c/Aro Basculante 40x70 100L</v>
      </c>
      <c r="C184" s="32" t="str">
        <f aca="false">IF(Produtos!$A184="","",Produtos!$C184)</f>
        <v>Lixeiras em inox</v>
      </c>
      <c r="D184" s="33" t="n">
        <f aca="false">IF(Produtos!$A184="","",IF(Produtos!$D184="","",Produtos!$D184))</f>
        <v>619.95</v>
      </c>
      <c r="E184" s="11" t="n">
        <v>0</v>
      </c>
      <c r="F184" s="34" t="n">
        <f aca="false">IF($A184="","",IF($C184="","⚠ categoria",IFERROR(INDEX(Parâmetros!$G$13:$G$22,MATCH($C184,Parâmetros!$A$13:$A$22,0)),"⚠ categoria")))</f>
        <v>0.18</v>
      </c>
      <c r="G184" s="35"/>
      <c r="H184" s="36" t="n">
        <f aca="false">IF($A184="","",IF(ISNUMBER($G184),$G184,IF(ISNUMBER($F184),$F184,"")))</f>
        <v>0.18</v>
      </c>
      <c r="I184" s="37" t="n">
        <f aca="false">IF(OR($A184="",NOT(ISNUMBER($D184)),NOT(ISNUMBER($H184))),"",IF((1-$H184-Parâmetros!$B$9-Parâmetros!$C$9-Parâmetros!$D$9)&lt;=0,"INVALIDO",($D184+IF(ISNUMBER($E184),$E184,0)+IF(ISNUMBER(Parâmetros!$E$9),Parâmetros!$E$9,0))/(1-$H184-Parâmetros!$B$9-Parâmetros!$C$9-Parâmetros!$D$9)))</f>
        <v>1265.20408163265</v>
      </c>
      <c r="J184" s="38"/>
      <c r="K184" s="39" t="n">
        <f aca="false">IF(OR($A184="",NOT(ISNUMBER($D184)),NOT(ISNUMBER($H184))),"",IF(AND(ISNUMBER($J184),$J184&gt;0),$J184,IF(ISNUMBER($I184),$I184,"")))</f>
        <v>1265.20408163265</v>
      </c>
      <c r="L184" s="40" t="n">
        <f aca="false">IF(ISNUMBER($K184),$K184*$H184,"")</f>
        <v>227.736734693878</v>
      </c>
      <c r="M184" s="40" t="n">
        <f aca="false">IF(ISNUMBER($K184),$K184*Parâmetros!$B$9,"")</f>
        <v>126.520408163265</v>
      </c>
      <c r="N184" s="40" t="n">
        <f aca="false">IF(ISNUMBER($K184),$K184*Parâmetros!$C$9,"")</f>
        <v>37.9561224489796</v>
      </c>
      <c r="O184" s="40" t="n">
        <f aca="false">IF(ISNUMBER($K184),IF(ISNUMBER(Parâmetros!$E$9),Parâmetros!$E$9,0),"")</f>
        <v>0</v>
      </c>
      <c r="P184" s="41" t="n">
        <f aca="false">IF(ISNUMBER($K184),$K184-$D184-IF(ISNUMBER($E184),$E184,0)-$L184-$M184-$N184-$O184,"")</f>
        <v>253.040816326531</v>
      </c>
      <c r="Q184" s="42" t="n">
        <f aca="false">IF(AND(ISNUMBER($K184),$K184&gt;0),$P184/$K184,"")</f>
        <v>0.2</v>
      </c>
      <c r="R184" s="43"/>
      <c r="S184" s="44" t="str">
        <f aca="false">IF(OR(NOT(ISNUMBER($R184)),$R184=0,NOT(ISNUMBER($K184))),"",$K184*(1-$R184))</f>
        <v/>
      </c>
      <c r="T184" s="45" t="str">
        <f aca="false">IF(ISNUMBER($S184),$S184*$H184,"")</f>
        <v/>
      </c>
      <c r="U184" s="45" t="str">
        <f aca="false">IF(ISNUMBER($S184),$S184*Parâmetros!$B$9,"")</f>
        <v/>
      </c>
      <c r="V184" s="45" t="str">
        <f aca="false">IF(ISNUMBER($S184),$S184*Parâmetros!$C$9,"")</f>
        <v/>
      </c>
      <c r="W184" s="44" t="str">
        <f aca="false">IF(ISNUMBER($S184),$S184-$D184-IF(ISNUMBER($E184),$E184,0)-$O184-$T184-$U184-$V184,"")</f>
        <v/>
      </c>
      <c r="X184" s="46" t="str">
        <f aca="false">IF(AND(ISNUMBER($S184),$S184&gt;0),$W184/$S184,"")</f>
        <v/>
      </c>
      <c r="Y184" s="47"/>
      <c r="Z184" s="19"/>
    </row>
    <row r="185" customFormat="false" ht="15.75" hidden="false" customHeight="true" outlineLevel="0" collapsed="false">
      <c r="A185" s="48" t="str">
        <f aca="false">IF(Produtos!$A185="","",Produtos!$A185)</f>
        <v>PQ-2430</v>
      </c>
      <c r="B185" s="48" t="str">
        <f aca="false">IF(Produtos!$A185="","",Produtos!$B185)</f>
        <v>Lixeira quadrada com Tampa Pedal de Aço inox 24x30 15L</v>
      </c>
      <c r="C185" s="48" t="str">
        <f aca="false">IF(Produtos!$A185="","",Produtos!$C185)</f>
        <v>Lixeiras com pedal</v>
      </c>
      <c r="D185" s="33" t="n">
        <f aca="false">IF(Produtos!$A185="","",IF(Produtos!$D185="","",Produtos!$D185))</f>
        <v>220.94</v>
      </c>
      <c r="E185" s="11" t="n">
        <v>0</v>
      </c>
      <c r="F185" s="34" t="n">
        <f aca="false">IF($A185="","",IF($C185="","⚠ categoria",IFERROR(INDEX(Parâmetros!$G$13:$G$22,MATCH($C185,Parâmetros!$A$13:$A$22,0)),"⚠ categoria")))</f>
        <v>0.18</v>
      </c>
      <c r="G185" s="35"/>
      <c r="H185" s="36" t="n">
        <f aca="false">IF($A185="","",IF(ISNUMBER($G185),$G185,IF(ISNUMBER($F185),$F185,"")))</f>
        <v>0.18</v>
      </c>
      <c r="I185" s="37" t="n">
        <f aca="false">IF(OR($A185="",NOT(ISNUMBER($D185)),NOT(ISNUMBER($H185))),"",IF((1-$H185-Parâmetros!$B$9-Parâmetros!$C$9-Parâmetros!$D$9)&lt;=0,"INVALIDO",($D185+IF(ISNUMBER($E185),$E185,0)+IF(ISNUMBER(Parâmetros!$E$9),Parâmetros!$E$9,0))/(1-$H185-Parâmetros!$B$9-Parâmetros!$C$9-Parâmetros!$D$9)))</f>
        <v>450.897959183673</v>
      </c>
      <c r="J185" s="38"/>
      <c r="K185" s="39" t="n">
        <f aca="false">IF(OR($A185="",NOT(ISNUMBER($D185)),NOT(ISNUMBER($H185))),"",IF(AND(ISNUMBER($J185),$J185&gt;0),$J185,IF(ISNUMBER($I185),$I185,"")))</f>
        <v>450.897959183673</v>
      </c>
      <c r="L185" s="40" t="n">
        <f aca="false">IF(ISNUMBER($K185),$K185*$H185,"")</f>
        <v>81.1616326530612</v>
      </c>
      <c r="M185" s="40" t="n">
        <f aca="false">IF(ISNUMBER($K185),$K185*Parâmetros!$B$9,"")</f>
        <v>45.0897959183673</v>
      </c>
      <c r="N185" s="40" t="n">
        <f aca="false">IF(ISNUMBER($K185),$K185*Parâmetros!$C$9,"")</f>
        <v>13.5269387755102</v>
      </c>
      <c r="O185" s="40" t="n">
        <f aca="false">IF(ISNUMBER($K185),IF(ISNUMBER(Parâmetros!$E$9),Parâmetros!$E$9,0),"")</f>
        <v>0</v>
      </c>
      <c r="P185" s="41" t="n">
        <f aca="false">IF(ISNUMBER($K185),$K185-$D185-IF(ISNUMBER($E185),$E185,0)-$L185-$M185-$N185-$O185,"")</f>
        <v>90.1795918367347</v>
      </c>
      <c r="Q185" s="42" t="n">
        <f aca="false">IF(AND(ISNUMBER($K185),$K185&gt;0),$P185/$K185,"")</f>
        <v>0.2</v>
      </c>
      <c r="R185" s="43"/>
      <c r="S185" s="44" t="str">
        <f aca="false">IF(OR(NOT(ISNUMBER($R185)),$R185=0,NOT(ISNUMBER($K185))),"",$K185*(1-$R185))</f>
        <v/>
      </c>
      <c r="T185" s="45" t="str">
        <f aca="false">IF(ISNUMBER($S185),$S185*$H185,"")</f>
        <v/>
      </c>
      <c r="U185" s="45" t="str">
        <f aca="false">IF(ISNUMBER($S185),$S185*Parâmetros!$B$9,"")</f>
        <v/>
      </c>
      <c r="V185" s="45" t="str">
        <f aca="false">IF(ISNUMBER($S185),$S185*Parâmetros!$C$9,"")</f>
        <v/>
      </c>
      <c r="W185" s="44" t="str">
        <f aca="false">IF(ISNUMBER($S185),$S185-$D185-IF(ISNUMBER($E185),$E185,0)-$O185-$T185-$U185-$V185,"")</f>
        <v/>
      </c>
      <c r="X185" s="46" t="str">
        <f aca="false">IF(AND(ISNUMBER($S185),$S185&gt;0),$W185/$S185,"")</f>
        <v/>
      </c>
      <c r="Y185" s="49"/>
      <c r="Z185" s="21"/>
    </row>
    <row r="186" customFormat="false" ht="15.75" hidden="false" customHeight="true" outlineLevel="0" collapsed="false">
      <c r="A186" s="32" t="str">
        <f aca="false">IF(Produtos!$A186="","",Produtos!$A186)</f>
        <v>PQ-2460</v>
      </c>
      <c r="B186" s="32" t="str">
        <f aca="false">IF(Produtos!$A186="","",Produtos!$B186)</f>
        <v>Lixeira quadrada com Tampa Pedal de Aço inox 24x60 30L</v>
      </c>
      <c r="C186" s="32" t="str">
        <f aca="false">IF(Produtos!$A186="","",Produtos!$C186)</f>
        <v>Lixeiras com pedal</v>
      </c>
      <c r="D186" s="33" t="n">
        <f aca="false">IF(Produtos!$A186="","",IF(Produtos!$D186="","",Produtos!$D186))</f>
        <v>303.74</v>
      </c>
      <c r="E186" s="11" t="n">
        <v>0</v>
      </c>
      <c r="F186" s="34" t="n">
        <f aca="false">IF($A186="","",IF($C186="","⚠ categoria",IFERROR(INDEX(Parâmetros!$G$13:$G$22,MATCH($C186,Parâmetros!$A$13:$A$22,0)),"⚠ categoria")))</f>
        <v>0.18</v>
      </c>
      <c r="G186" s="35"/>
      <c r="H186" s="36" t="n">
        <f aca="false">IF($A186="","",IF(ISNUMBER($G186),$G186,IF(ISNUMBER($F186),$F186,"")))</f>
        <v>0.18</v>
      </c>
      <c r="I186" s="37" t="n">
        <f aca="false">IF(OR($A186="",NOT(ISNUMBER($D186)),NOT(ISNUMBER($H186))),"",IF((1-$H186-Parâmetros!$B$9-Parâmetros!$C$9-Parâmetros!$D$9)&lt;=0,"INVALIDO",($D186+IF(ISNUMBER($E186),$E186,0)+IF(ISNUMBER(Parâmetros!$E$9),Parâmetros!$E$9,0))/(1-$H186-Parâmetros!$B$9-Parâmetros!$C$9-Parâmetros!$D$9)))</f>
        <v>619.877551020408</v>
      </c>
      <c r="J186" s="38"/>
      <c r="K186" s="39" t="n">
        <f aca="false">IF(OR($A186="",NOT(ISNUMBER($D186)),NOT(ISNUMBER($H186))),"",IF(AND(ISNUMBER($J186),$J186&gt;0),$J186,IF(ISNUMBER($I186),$I186,"")))</f>
        <v>619.877551020408</v>
      </c>
      <c r="L186" s="40" t="n">
        <f aca="false">IF(ISNUMBER($K186),$K186*$H186,"")</f>
        <v>111.577959183673</v>
      </c>
      <c r="M186" s="40" t="n">
        <f aca="false">IF(ISNUMBER($K186),$K186*Parâmetros!$B$9,"")</f>
        <v>61.9877551020408</v>
      </c>
      <c r="N186" s="40" t="n">
        <f aca="false">IF(ISNUMBER($K186),$K186*Parâmetros!$C$9,"")</f>
        <v>18.5963265306122</v>
      </c>
      <c r="O186" s="40" t="n">
        <f aca="false">IF(ISNUMBER($K186),IF(ISNUMBER(Parâmetros!$E$9),Parâmetros!$E$9,0),"")</f>
        <v>0</v>
      </c>
      <c r="P186" s="41" t="n">
        <f aca="false">IF(ISNUMBER($K186),$K186-$D186-IF(ISNUMBER($E186),$E186,0)-$L186-$M186-$N186-$O186,"")</f>
        <v>123.975510204082</v>
      </c>
      <c r="Q186" s="42" t="n">
        <f aca="false">IF(AND(ISNUMBER($K186),$K186&gt;0),$P186/$K186,"")</f>
        <v>0.2</v>
      </c>
      <c r="R186" s="43"/>
      <c r="S186" s="44" t="str">
        <f aca="false">IF(OR(NOT(ISNUMBER($R186)),$R186=0,NOT(ISNUMBER($K186))),"",$K186*(1-$R186))</f>
        <v/>
      </c>
      <c r="T186" s="45" t="str">
        <f aca="false">IF(ISNUMBER($S186),$S186*$H186,"")</f>
        <v/>
      </c>
      <c r="U186" s="45" t="str">
        <f aca="false">IF(ISNUMBER($S186),$S186*Parâmetros!$B$9,"")</f>
        <v/>
      </c>
      <c r="V186" s="45" t="str">
        <f aca="false">IF(ISNUMBER($S186),$S186*Parâmetros!$C$9,"")</f>
        <v/>
      </c>
      <c r="W186" s="44" t="str">
        <f aca="false">IF(ISNUMBER($S186),$S186-$D186-IF(ISNUMBER($E186),$E186,0)-$O186-$T186-$U186-$V186,"")</f>
        <v/>
      </c>
      <c r="X186" s="46" t="str">
        <f aca="false">IF(AND(ISNUMBER($S186),$S186&gt;0),$W186/$S186,"")</f>
        <v/>
      </c>
      <c r="Y186" s="47"/>
      <c r="Z186" s="19"/>
    </row>
    <row r="187" customFormat="false" ht="15.75" hidden="false" customHeight="true" outlineLevel="0" collapsed="false">
      <c r="A187" s="48" t="str">
        <f aca="false">IF(Produtos!$A187="","",Produtos!$A187)</f>
        <v>PQ-3060</v>
      </c>
      <c r="B187" s="48" t="str">
        <f aca="false">IF(Produtos!$A187="","",Produtos!$B187)</f>
        <v>Lixeira quadrada com Tampa Pedal de Aço inox 30x60 50L</v>
      </c>
      <c r="C187" s="48" t="str">
        <f aca="false">IF(Produtos!$A187="","",Produtos!$C187)</f>
        <v>Lixeiras com pedal</v>
      </c>
      <c r="D187" s="33" t="n">
        <f aca="false">IF(Produtos!$A187="","",IF(Produtos!$D187="","",Produtos!$D187))</f>
        <v>408.87</v>
      </c>
      <c r="E187" s="11" t="n">
        <v>0</v>
      </c>
      <c r="F187" s="34" t="n">
        <f aca="false">IF($A187="","",IF($C187="","⚠ categoria",IFERROR(INDEX(Parâmetros!$G$13:$G$22,MATCH($C187,Parâmetros!$A$13:$A$22,0)),"⚠ categoria")))</f>
        <v>0.18</v>
      </c>
      <c r="G187" s="35"/>
      <c r="H187" s="36" t="n">
        <f aca="false">IF($A187="","",IF(ISNUMBER($G187),$G187,IF(ISNUMBER($F187),$F187,"")))</f>
        <v>0.18</v>
      </c>
      <c r="I187" s="37" t="n">
        <f aca="false">IF(OR($A187="",NOT(ISNUMBER($D187)),NOT(ISNUMBER($H187))),"",IF((1-$H187-Parâmetros!$B$9-Parâmetros!$C$9-Parâmetros!$D$9)&lt;=0,"INVALIDO",($D187+IF(ISNUMBER($E187),$E187,0)+IF(ISNUMBER(Parâmetros!$E$9),Parâmetros!$E$9,0))/(1-$H187-Parâmetros!$B$9-Parâmetros!$C$9-Parâmetros!$D$9)))</f>
        <v>834.428571428571</v>
      </c>
      <c r="J187" s="38"/>
      <c r="K187" s="39" t="n">
        <f aca="false">IF(OR($A187="",NOT(ISNUMBER($D187)),NOT(ISNUMBER($H187))),"",IF(AND(ISNUMBER($J187),$J187&gt;0),$J187,IF(ISNUMBER($I187),$I187,"")))</f>
        <v>834.428571428571</v>
      </c>
      <c r="L187" s="40" t="n">
        <f aca="false">IF(ISNUMBER($K187),$K187*$H187,"")</f>
        <v>150.197142857143</v>
      </c>
      <c r="M187" s="40" t="n">
        <f aca="false">IF(ISNUMBER($K187),$K187*Parâmetros!$B$9,"")</f>
        <v>83.4428571428571</v>
      </c>
      <c r="N187" s="40" t="n">
        <f aca="false">IF(ISNUMBER($K187),$K187*Parâmetros!$C$9,"")</f>
        <v>25.0328571428571</v>
      </c>
      <c r="O187" s="40" t="n">
        <f aca="false">IF(ISNUMBER($K187),IF(ISNUMBER(Parâmetros!$E$9),Parâmetros!$E$9,0),"")</f>
        <v>0</v>
      </c>
      <c r="P187" s="41" t="n">
        <f aca="false">IF(ISNUMBER($K187),$K187-$D187-IF(ISNUMBER($E187),$E187,0)-$L187-$M187-$N187-$O187,"")</f>
        <v>166.885714285714</v>
      </c>
      <c r="Q187" s="42" t="n">
        <f aca="false">IF(AND(ISNUMBER($K187),$K187&gt;0),$P187/$K187,"")</f>
        <v>0.2</v>
      </c>
      <c r="R187" s="43"/>
      <c r="S187" s="44" t="str">
        <f aca="false">IF(OR(NOT(ISNUMBER($R187)),$R187=0,NOT(ISNUMBER($K187))),"",$K187*(1-$R187))</f>
        <v/>
      </c>
      <c r="T187" s="45" t="str">
        <f aca="false">IF(ISNUMBER($S187),$S187*$H187,"")</f>
        <v/>
      </c>
      <c r="U187" s="45" t="str">
        <f aca="false">IF(ISNUMBER($S187),$S187*Parâmetros!$B$9,"")</f>
        <v/>
      </c>
      <c r="V187" s="45" t="str">
        <f aca="false">IF(ISNUMBER($S187),$S187*Parâmetros!$C$9,"")</f>
        <v/>
      </c>
      <c r="W187" s="44" t="str">
        <f aca="false">IF(ISNUMBER($S187),$S187-$D187-IF(ISNUMBER($E187),$E187,0)-$O187-$T187-$U187-$V187,"")</f>
        <v/>
      </c>
      <c r="X187" s="46" t="str">
        <f aca="false">IF(AND(ISNUMBER($S187),$S187&gt;0),$W187/$S187,"")</f>
        <v/>
      </c>
      <c r="Y187" s="49"/>
      <c r="Z187" s="21"/>
    </row>
    <row r="188" customFormat="false" ht="15.75" hidden="false" customHeight="true" outlineLevel="0" collapsed="false">
      <c r="A188" s="32" t="str">
        <f aca="false">IF(Produtos!$A188="","",Produtos!$A188)</f>
        <v>PQ-4070</v>
      </c>
      <c r="B188" s="32" t="str">
        <f aca="false">IF(Produtos!$A188="","",Produtos!$B188)</f>
        <v>Lixeira quadrada com Tampa Pedal de Aço inox 40x70 100L</v>
      </c>
      <c r="C188" s="32" t="str">
        <f aca="false">IF(Produtos!$A188="","",Produtos!$C188)</f>
        <v>Lixeiras com pedal</v>
      </c>
      <c r="D188" s="33" t="n">
        <f aca="false">IF(Produtos!$A188="","",IF(Produtos!$D188="","",Produtos!$D188))</f>
        <v>905.26</v>
      </c>
      <c r="E188" s="11" t="n">
        <v>0</v>
      </c>
      <c r="F188" s="34" t="n">
        <f aca="false">IF($A188="","",IF($C188="","⚠ categoria",IFERROR(INDEX(Parâmetros!$G$13:$G$22,MATCH($C188,Parâmetros!$A$13:$A$22,0)),"⚠ categoria")))</f>
        <v>0.18</v>
      </c>
      <c r="G188" s="35"/>
      <c r="H188" s="36" t="n">
        <f aca="false">IF($A188="","",IF(ISNUMBER($G188),$G188,IF(ISNUMBER($F188),$F188,"")))</f>
        <v>0.18</v>
      </c>
      <c r="I188" s="37" t="n">
        <f aca="false">IF(OR($A188="",NOT(ISNUMBER($D188)),NOT(ISNUMBER($H188))),"",IF((1-$H188-Parâmetros!$B$9-Parâmetros!$C$9-Parâmetros!$D$9)&lt;=0,"INVALIDO",($D188+IF(ISNUMBER($E188),$E188,0)+IF(ISNUMBER(Parâmetros!$E$9),Parâmetros!$E$9,0))/(1-$H188-Parâmetros!$B$9-Parâmetros!$C$9-Parâmetros!$D$9)))</f>
        <v>1847.4693877551</v>
      </c>
      <c r="J188" s="38"/>
      <c r="K188" s="39" t="n">
        <f aca="false">IF(OR($A188="",NOT(ISNUMBER($D188)),NOT(ISNUMBER($H188))),"",IF(AND(ISNUMBER($J188),$J188&gt;0),$J188,IF(ISNUMBER($I188),$I188,"")))</f>
        <v>1847.4693877551</v>
      </c>
      <c r="L188" s="40" t="n">
        <f aca="false">IF(ISNUMBER($K188),$K188*$H188,"")</f>
        <v>332.544489795918</v>
      </c>
      <c r="M188" s="40" t="n">
        <f aca="false">IF(ISNUMBER($K188),$K188*Parâmetros!$B$9,"")</f>
        <v>184.74693877551</v>
      </c>
      <c r="N188" s="40" t="n">
        <f aca="false">IF(ISNUMBER($K188),$K188*Parâmetros!$C$9,"")</f>
        <v>55.4240816326531</v>
      </c>
      <c r="O188" s="40" t="n">
        <f aca="false">IF(ISNUMBER($K188),IF(ISNUMBER(Parâmetros!$E$9),Parâmetros!$E$9,0),"")</f>
        <v>0</v>
      </c>
      <c r="P188" s="41" t="n">
        <f aca="false">IF(ISNUMBER($K188),$K188-$D188-IF(ISNUMBER($E188),$E188,0)-$L188-$M188-$N188-$O188,"")</f>
        <v>369.49387755102</v>
      </c>
      <c r="Q188" s="42" t="n">
        <f aca="false">IF(AND(ISNUMBER($K188),$K188&gt;0),$P188/$K188,"")</f>
        <v>0.2</v>
      </c>
      <c r="R188" s="43"/>
      <c r="S188" s="44" t="str">
        <f aca="false">IF(OR(NOT(ISNUMBER($R188)),$R188=0,NOT(ISNUMBER($K188))),"",$K188*(1-$R188))</f>
        <v/>
      </c>
      <c r="T188" s="45" t="str">
        <f aca="false">IF(ISNUMBER($S188),$S188*$H188,"")</f>
        <v/>
      </c>
      <c r="U188" s="45" t="str">
        <f aca="false">IF(ISNUMBER($S188),$S188*Parâmetros!$B$9,"")</f>
        <v/>
      </c>
      <c r="V188" s="45" t="str">
        <f aca="false">IF(ISNUMBER($S188),$S188*Parâmetros!$C$9,"")</f>
        <v/>
      </c>
      <c r="W188" s="44" t="str">
        <f aca="false">IF(ISNUMBER($S188),$S188-$D188-IF(ISNUMBER($E188),$E188,0)-$O188-$T188-$U188-$V188,"")</f>
        <v/>
      </c>
      <c r="X188" s="46" t="str">
        <f aca="false">IF(AND(ISNUMBER($S188),$S188&gt;0),$W188/$S188,"")</f>
        <v/>
      </c>
      <c r="Y188" s="47"/>
      <c r="Z188" s="19"/>
    </row>
    <row r="189" customFormat="false" ht="15.75" hidden="false" customHeight="true" outlineLevel="0" collapsed="false">
      <c r="A189" s="48" t="str">
        <f aca="false">IF(Produtos!$A189="","",Produtos!$A189)</f>
        <v>PQ-4090</v>
      </c>
      <c r="B189" s="48" t="str">
        <f aca="false">IF(Produtos!$A189="","",Produtos!$B189)</f>
        <v>Lixeira quadrada com Tampa Pedal de Aço inox 40x90 120L</v>
      </c>
      <c r="C189" s="48" t="str">
        <f aca="false">IF(Produtos!$A189="","",Produtos!$C189)</f>
        <v>Lixeiras com pedal</v>
      </c>
      <c r="D189" s="33" t="n">
        <f aca="false">IF(Produtos!$A189="","",IF(Produtos!$D189="","",Produtos!$D189))</f>
        <v>956.96</v>
      </c>
      <c r="E189" s="11" t="n">
        <v>0</v>
      </c>
      <c r="F189" s="34" t="n">
        <f aca="false">IF($A189="","",IF($C189="","⚠ categoria",IFERROR(INDEX(Parâmetros!$G$13:$G$22,MATCH($C189,Parâmetros!$A$13:$A$22,0)),"⚠ categoria")))</f>
        <v>0.18</v>
      </c>
      <c r="G189" s="35"/>
      <c r="H189" s="36" t="n">
        <f aca="false">IF($A189="","",IF(ISNUMBER($G189),$G189,IF(ISNUMBER($F189),$F189,"")))</f>
        <v>0.18</v>
      </c>
      <c r="I189" s="37" t="n">
        <f aca="false">IF(OR($A189="",NOT(ISNUMBER($D189)),NOT(ISNUMBER($H189))),"",IF((1-$H189-Parâmetros!$B$9-Parâmetros!$C$9-Parâmetros!$D$9)&lt;=0,"INVALIDO",($D189+IF(ISNUMBER($E189),$E189,0)+IF(ISNUMBER(Parâmetros!$E$9),Parâmetros!$E$9,0))/(1-$H189-Parâmetros!$B$9-Parâmetros!$C$9-Parâmetros!$D$9)))</f>
        <v>1952.97959183673</v>
      </c>
      <c r="J189" s="38"/>
      <c r="K189" s="39" t="n">
        <f aca="false">IF(OR($A189="",NOT(ISNUMBER($D189)),NOT(ISNUMBER($H189))),"",IF(AND(ISNUMBER($J189),$J189&gt;0),$J189,IF(ISNUMBER($I189),$I189,"")))</f>
        <v>1952.97959183673</v>
      </c>
      <c r="L189" s="40" t="n">
        <f aca="false">IF(ISNUMBER($K189),$K189*$H189,"")</f>
        <v>351.536326530612</v>
      </c>
      <c r="M189" s="40" t="n">
        <f aca="false">IF(ISNUMBER($K189),$K189*Parâmetros!$B$9,"")</f>
        <v>195.297959183673</v>
      </c>
      <c r="N189" s="40" t="n">
        <f aca="false">IF(ISNUMBER($K189),$K189*Parâmetros!$C$9,"")</f>
        <v>58.589387755102</v>
      </c>
      <c r="O189" s="40" t="n">
        <f aca="false">IF(ISNUMBER($K189),IF(ISNUMBER(Parâmetros!$E$9),Parâmetros!$E$9,0),"")</f>
        <v>0</v>
      </c>
      <c r="P189" s="41" t="n">
        <f aca="false">IF(ISNUMBER($K189),$K189-$D189-IF(ISNUMBER($E189),$E189,0)-$L189-$M189-$N189-$O189,"")</f>
        <v>390.595918367347</v>
      </c>
      <c r="Q189" s="42" t="n">
        <f aca="false">IF(AND(ISNUMBER($K189),$K189&gt;0),$P189/$K189,"")</f>
        <v>0.2</v>
      </c>
      <c r="R189" s="43"/>
      <c r="S189" s="44" t="str">
        <f aca="false">IF(OR(NOT(ISNUMBER($R189)),$R189=0,NOT(ISNUMBER($K189))),"",$K189*(1-$R189))</f>
        <v/>
      </c>
      <c r="T189" s="45" t="str">
        <f aca="false">IF(ISNUMBER($S189),$S189*$H189,"")</f>
        <v/>
      </c>
      <c r="U189" s="45" t="str">
        <f aca="false">IF(ISNUMBER($S189),$S189*Parâmetros!$B$9,"")</f>
        <v/>
      </c>
      <c r="V189" s="45" t="str">
        <f aca="false">IF(ISNUMBER($S189),$S189*Parâmetros!$C$9,"")</f>
        <v/>
      </c>
      <c r="W189" s="44" t="str">
        <f aca="false">IF(ISNUMBER($S189),$S189-$D189-IF(ISNUMBER($E189),$E189,0)-$O189-$T189-$U189-$V189,"")</f>
        <v/>
      </c>
      <c r="X189" s="46" t="str">
        <f aca="false">IF(AND(ISNUMBER($S189),$S189&gt;0),$W189/$S189,"")</f>
        <v/>
      </c>
      <c r="Y189" s="49"/>
      <c r="Z189" s="21"/>
    </row>
    <row r="190" customFormat="false" ht="15.75" hidden="false" customHeight="true" outlineLevel="0" collapsed="false">
      <c r="A190" s="32" t="str">
        <f aca="false">IF(Produtos!$A190="","",Produtos!$A190)</f>
        <v>PQ-5080</v>
      </c>
      <c r="B190" s="32" t="str">
        <f aca="false">IF(Produtos!$A190="","",Produtos!$B190)</f>
        <v>Lixeira quadrada com Tampa Pedal de Aço inox 50x80 150L</v>
      </c>
      <c r="C190" s="32" t="str">
        <f aca="false">IF(Produtos!$A190="","",Produtos!$C190)</f>
        <v>Lixeiras com pedal</v>
      </c>
      <c r="D190" s="33" t="n">
        <f aca="false">IF(Produtos!$A190="","",IF(Produtos!$D190="","",Produtos!$D190))</f>
        <v>1393</v>
      </c>
      <c r="E190" s="11" t="n">
        <v>0</v>
      </c>
      <c r="F190" s="34" t="n">
        <f aca="false">IF($A190="","",IF($C190="","⚠ categoria",IFERROR(INDEX(Parâmetros!$G$13:$G$22,MATCH($C190,Parâmetros!$A$13:$A$22,0)),"⚠ categoria")))</f>
        <v>0.18</v>
      </c>
      <c r="G190" s="35"/>
      <c r="H190" s="36" t="n">
        <f aca="false">IF($A190="","",IF(ISNUMBER($G190),$G190,IF(ISNUMBER($F190),$F190,"")))</f>
        <v>0.18</v>
      </c>
      <c r="I190" s="37" t="n">
        <f aca="false">IF(OR($A190="",NOT(ISNUMBER($D190)),NOT(ISNUMBER($H190))),"",IF((1-$H190-Parâmetros!$B$9-Parâmetros!$C$9-Parâmetros!$D$9)&lt;=0,"INVALIDO",($D190+IF(ISNUMBER($E190),$E190,0)+IF(ISNUMBER(Parâmetros!$E$9),Parâmetros!$E$9,0))/(1-$H190-Parâmetros!$B$9-Parâmetros!$C$9-Parâmetros!$D$9)))</f>
        <v>2842.85714285714</v>
      </c>
      <c r="J190" s="38"/>
      <c r="K190" s="39" t="n">
        <f aca="false">IF(OR($A190="",NOT(ISNUMBER($D190)),NOT(ISNUMBER($H190))),"",IF(AND(ISNUMBER($J190),$J190&gt;0),$J190,IF(ISNUMBER($I190),$I190,"")))</f>
        <v>2842.85714285714</v>
      </c>
      <c r="L190" s="40" t="n">
        <f aca="false">IF(ISNUMBER($K190),$K190*$H190,"")</f>
        <v>511.714285714286</v>
      </c>
      <c r="M190" s="40" t="n">
        <f aca="false">IF(ISNUMBER($K190),$K190*Parâmetros!$B$9,"")</f>
        <v>284.285714285714</v>
      </c>
      <c r="N190" s="40" t="n">
        <f aca="false">IF(ISNUMBER($K190),$K190*Parâmetros!$C$9,"")</f>
        <v>85.2857142857143</v>
      </c>
      <c r="O190" s="40" t="n">
        <f aca="false">IF(ISNUMBER($K190),IF(ISNUMBER(Parâmetros!$E$9),Parâmetros!$E$9,0),"")</f>
        <v>0</v>
      </c>
      <c r="P190" s="41" t="n">
        <f aca="false">IF(ISNUMBER($K190),$K190-$D190-IF(ISNUMBER($E190),$E190,0)-$L190-$M190-$N190-$O190,"")</f>
        <v>568.571428571428</v>
      </c>
      <c r="Q190" s="42" t="n">
        <f aca="false">IF(AND(ISNUMBER($K190),$K190&gt;0),$P190/$K190,"")</f>
        <v>0.2</v>
      </c>
      <c r="R190" s="43"/>
      <c r="S190" s="44" t="str">
        <f aca="false">IF(OR(NOT(ISNUMBER($R190)),$R190=0,NOT(ISNUMBER($K190))),"",$K190*(1-$R190))</f>
        <v/>
      </c>
      <c r="T190" s="45" t="str">
        <f aca="false">IF(ISNUMBER($S190),$S190*$H190,"")</f>
        <v/>
      </c>
      <c r="U190" s="45" t="str">
        <f aca="false">IF(ISNUMBER($S190),$S190*Parâmetros!$B$9,"")</f>
        <v/>
      </c>
      <c r="V190" s="45" t="str">
        <f aca="false">IF(ISNUMBER($S190),$S190*Parâmetros!$C$9,"")</f>
        <v/>
      </c>
      <c r="W190" s="44" t="str">
        <f aca="false">IF(ISNUMBER($S190),$S190-$D190-IF(ISNUMBER($E190),$E190,0)-$O190-$T190-$U190-$V190,"")</f>
        <v/>
      </c>
      <c r="X190" s="46" t="str">
        <f aca="false">IF(AND(ISNUMBER($S190),$S190&gt;0),$W190/$S190,"")</f>
        <v/>
      </c>
      <c r="Y190" s="47"/>
      <c r="Z190" s="19"/>
    </row>
    <row r="191" customFormat="false" ht="15.75" hidden="false" customHeight="true" outlineLevel="0" collapsed="false">
      <c r="A191" s="48" t="str">
        <f aca="false">IF(Produtos!$A191="","",Produtos!$A191)</f>
        <v>Q2430-AC</v>
      </c>
      <c r="B191" s="48" t="str">
        <f aca="false">IF(Produtos!$A191="","",Produtos!$B191)</f>
        <v>Lixeira Quadrada 24x30 15L c/Aro Colorido</v>
      </c>
      <c r="C191" s="48" t="str">
        <f aca="false">IF(Produtos!$A191="","",Produtos!$C191)</f>
        <v>Lixeiras em inox</v>
      </c>
      <c r="D191" s="33" t="n">
        <f aca="false">IF(Produtos!$A191="","",IF(Produtos!$D191="","",Produtos!$D191))</f>
        <v>143.24</v>
      </c>
      <c r="E191" s="11" t="n">
        <v>0</v>
      </c>
      <c r="F191" s="34" t="n">
        <f aca="false">IF($A191="","",IF($C191="","⚠ categoria",IFERROR(INDEX(Parâmetros!$G$13:$G$22,MATCH($C191,Parâmetros!$A$13:$A$22,0)),"⚠ categoria")))</f>
        <v>0.18</v>
      </c>
      <c r="G191" s="35"/>
      <c r="H191" s="36" t="n">
        <f aca="false">IF($A191="","",IF(ISNUMBER($G191),$G191,IF(ISNUMBER($F191),$F191,"")))</f>
        <v>0.18</v>
      </c>
      <c r="I191" s="37" t="n">
        <f aca="false">IF(OR($A191="",NOT(ISNUMBER($D191)),NOT(ISNUMBER($H191))),"",IF((1-$H191-Parâmetros!$B$9-Parâmetros!$C$9-Parâmetros!$D$9)&lt;=0,"INVALIDO",($D191+IF(ISNUMBER($E191),$E191,0)+IF(ISNUMBER(Parâmetros!$E$9),Parâmetros!$E$9,0))/(1-$H191-Parâmetros!$B$9-Parâmetros!$C$9-Parâmetros!$D$9)))</f>
        <v>292.326530612245</v>
      </c>
      <c r="J191" s="38"/>
      <c r="K191" s="39" t="n">
        <f aca="false">IF(OR($A191="",NOT(ISNUMBER($D191)),NOT(ISNUMBER($H191))),"",IF(AND(ISNUMBER($J191),$J191&gt;0),$J191,IF(ISNUMBER($I191),$I191,"")))</f>
        <v>292.326530612245</v>
      </c>
      <c r="L191" s="40" t="n">
        <f aca="false">IF(ISNUMBER($K191),$K191*$H191,"")</f>
        <v>52.6187755102041</v>
      </c>
      <c r="M191" s="40" t="n">
        <f aca="false">IF(ISNUMBER($K191),$K191*Parâmetros!$B$9,"")</f>
        <v>29.2326530612245</v>
      </c>
      <c r="N191" s="40" t="n">
        <f aca="false">IF(ISNUMBER($K191),$K191*Parâmetros!$C$9,"")</f>
        <v>8.76979591836735</v>
      </c>
      <c r="O191" s="40" t="n">
        <f aca="false">IF(ISNUMBER($K191),IF(ISNUMBER(Parâmetros!$E$9),Parâmetros!$E$9,0),"")</f>
        <v>0</v>
      </c>
      <c r="P191" s="41" t="n">
        <f aca="false">IF(ISNUMBER($K191),$K191-$D191-IF(ISNUMBER($E191),$E191,0)-$L191-$M191-$N191-$O191,"")</f>
        <v>58.465306122449</v>
      </c>
      <c r="Q191" s="42" t="n">
        <f aca="false">IF(AND(ISNUMBER($K191),$K191&gt;0),$P191/$K191,"")</f>
        <v>0.2</v>
      </c>
      <c r="R191" s="43"/>
      <c r="S191" s="44" t="str">
        <f aca="false">IF(OR(NOT(ISNUMBER($R191)),$R191=0,NOT(ISNUMBER($K191))),"",$K191*(1-$R191))</f>
        <v/>
      </c>
      <c r="T191" s="45" t="str">
        <f aca="false">IF(ISNUMBER($S191),$S191*$H191,"")</f>
        <v/>
      </c>
      <c r="U191" s="45" t="str">
        <f aca="false">IF(ISNUMBER($S191),$S191*Parâmetros!$B$9,"")</f>
        <v/>
      </c>
      <c r="V191" s="45" t="str">
        <f aca="false">IF(ISNUMBER($S191),$S191*Parâmetros!$C$9,"")</f>
        <v/>
      </c>
      <c r="W191" s="44" t="str">
        <f aca="false">IF(ISNUMBER($S191),$S191-$D191-IF(ISNUMBER($E191),$E191,0)-$O191-$T191-$U191-$V191,"")</f>
        <v/>
      </c>
      <c r="X191" s="46" t="str">
        <f aca="false">IF(AND(ISNUMBER($S191),$S191&gt;0),$W191/$S191,"")</f>
        <v/>
      </c>
      <c r="Y191" s="49"/>
      <c r="Z191" s="21"/>
    </row>
    <row r="192" customFormat="false" ht="15.75" hidden="false" customHeight="true" outlineLevel="0" collapsed="false">
      <c r="A192" s="32" t="str">
        <f aca="false">IF(Produtos!$A192="","",Produtos!$A192)</f>
        <v>Q2460-AC</v>
      </c>
      <c r="B192" s="32" t="str">
        <f aca="false">IF(Produtos!$A192="","",Produtos!$B192)</f>
        <v>Lixeira Quadrada 24x60 30L c/Aro Colorido</v>
      </c>
      <c r="C192" s="32" t="str">
        <f aca="false">IF(Produtos!$A192="","",Produtos!$C192)</f>
        <v>Lixeiras em inox</v>
      </c>
      <c r="D192" s="33" t="n">
        <f aca="false">IF(Produtos!$A192="","",IF(Produtos!$D192="","",Produtos!$D192))</f>
        <v>215.68</v>
      </c>
      <c r="E192" s="11" t="n">
        <v>0</v>
      </c>
      <c r="F192" s="34" t="n">
        <f aca="false">IF($A192="","",IF($C192="","⚠ categoria",IFERROR(INDEX(Parâmetros!$G$13:$G$22,MATCH($C192,Parâmetros!$A$13:$A$22,0)),"⚠ categoria")))</f>
        <v>0.18</v>
      </c>
      <c r="G192" s="35"/>
      <c r="H192" s="36" t="n">
        <f aca="false">IF($A192="","",IF(ISNUMBER($G192),$G192,IF(ISNUMBER($F192),$F192,"")))</f>
        <v>0.18</v>
      </c>
      <c r="I192" s="37" t="n">
        <f aca="false">IF(OR($A192="",NOT(ISNUMBER($D192)),NOT(ISNUMBER($H192))),"",IF((1-$H192-Parâmetros!$B$9-Parâmetros!$C$9-Parâmetros!$D$9)&lt;=0,"INVALIDO",($D192+IF(ISNUMBER($E192),$E192,0)+IF(ISNUMBER(Parâmetros!$E$9),Parâmetros!$E$9,0))/(1-$H192-Parâmetros!$B$9-Parâmetros!$C$9-Parâmetros!$D$9)))</f>
        <v>440.163265306122</v>
      </c>
      <c r="J192" s="38"/>
      <c r="K192" s="39" t="n">
        <f aca="false">IF(OR($A192="",NOT(ISNUMBER($D192)),NOT(ISNUMBER($H192))),"",IF(AND(ISNUMBER($J192),$J192&gt;0),$J192,IF(ISNUMBER($I192),$I192,"")))</f>
        <v>440.163265306122</v>
      </c>
      <c r="L192" s="40" t="n">
        <f aca="false">IF(ISNUMBER($K192),$K192*$H192,"")</f>
        <v>79.229387755102</v>
      </c>
      <c r="M192" s="40" t="n">
        <f aca="false">IF(ISNUMBER($K192),$K192*Parâmetros!$B$9,"")</f>
        <v>44.0163265306123</v>
      </c>
      <c r="N192" s="40" t="n">
        <f aca="false">IF(ISNUMBER($K192),$K192*Parâmetros!$C$9,"")</f>
        <v>13.2048979591837</v>
      </c>
      <c r="O192" s="40" t="n">
        <f aca="false">IF(ISNUMBER($K192),IF(ISNUMBER(Parâmetros!$E$9),Parâmetros!$E$9,0),"")</f>
        <v>0</v>
      </c>
      <c r="P192" s="41" t="n">
        <f aca="false">IF(ISNUMBER($K192),$K192-$D192-IF(ISNUMBER($E192),$E192,0)-$L192-$M192-$N192-$O192,"")</f>
        <v>88.0326530612245</v>
      </c>
      <c r="Q192" s="42" t="n">
        <f aca="false">IF(AND(ISNUMBER($K192),$K192&gt;0),$P192/$K192,"")</f>
        <v>0.2</v>
      </c>
      <c r="R192" s="43"/>
      <c r="S192" s="44" t="str">
        <f aca="false">IF(OR(NOT(ISNUMBER($R192)),$R192=0,NOT(ISNUMBER($K192))),"",$K192*(1-$R192))</f>
        <v/>
      </c>
      <c r="T192" s="45" t="str">
        <f aca="false">IF(ISNUMBER($S192),$S192*$H192,"")</f>
        <v/>
      </c>
      <c r="U192" s="45" t="str">
        <f aca="false">IF(ISNUMBER($S192),$S192*Parâmetros!$B$9,"")</f>
        <v/>
      </c>
      <c r="V192" s="45" t="str">
        <f aca="false">IF(ISNUMBER($S192),$S192*Parâmetros!$C$9,"")</f>
        <v/>
      </c>
      <c r="W192" s="44" t="str">
        <f aca="false">IF(ISNUMBER($S192),$S192-$D192-IF(ISNUMBER($E192),$E192,0)-$O192-$T192-$U192-$V192,"")</f>
        <v/>
      </c>
      <c r="X192" s="46" t="str">
        <f aca="false">IF(AND(ISNUMBER($S192),$S192&gt;0),$W192/$S192,"")</f>
        <v/>
      </c>
      <c r="Y192" s="47"/>
      <c r="Z192" s="19"/>
    </row>
    <row r="193" customFormat="false" ht="15.75" hidden="false" customHeight="true" outlineLevel="0" collapsed="false">
      <c r="A193" s="48" t="str">
        <f aca="false">IF(Produtos!$A193="","",Produtos!$A193)</f>
        <v>Q3060-AC</v>
      </c>
      <c r="B193" s="48" t="str">
        <f aca="false">IF(Produtos!$A193="","",Produtos!$B193)</f>
        <v>Lixeira Quadrada 30x60 50L c/Aro Colorido</v>
      </c>
      <c r="C193" s="48" t="str">
        <f aca="false">IF(Produtos!$A193="","",Produtos!$C193)</f>
        <v>Lixeiras em inox</v>
      </c>
      <c r="D193" s="33" t="n">
        <f aca="false">IF(Produtos!$A193="","",IF(Produtos!$D193="","",Produtos!$D193))</f>
        <v>317.1</v>
      </c>
      <c r="E193" s="11" t="n">
        <v>0</v>
      </c>
      <c r="F193" s="34" t="n">
        <f aca="false">IF($A193="","",IF($C193="","⚠ categoria",IFERROR(INDEX(Parâmetros!$G$13:$G$22,MATCH($C193,Parâmetros!$A$13:$A$22,0)),"⚠ categoria")))</f>
        <v>0.18</v>
      </c>
      <c r="G193" s="35"/>
      <c r="H193" s="36" t="n">
        <f aca="false">IF($A193="","",IF(ISNUMBER($G193),$G193,IF(ISNUMBER($F193),$F193,"")))</f>
        <v>0.18</v>
      </c>
      <c r="I193" s="37" t="n">
        <f aca="false">IF(OR($A193="",NOT(ISNUMBER($D193)),NOT(ISNUMBER($H193))),"",IF((1-$H193-Parâmetros!$B$9-Parâmetros!$C$9-Parâmetros!$D$9)&lt;=0,"INVALIDO",($D193+IF(ISNUMBER($E193),$E193,0)+IF(ISNUMBER(Parâmetros!$E$9),Parâmetros!$E$9,0))/(1-$H193-Parâmetros!$B$9-Parâmetros!$C$9-Parâmetros!$D$9)))</f>
        <v>647.142857142857</v>
      </c>
      <c r="J193" s="38"/>
      <c r="K193" s="39" t="n">
        <f aca="false">IF(OR($A193="",NOT(ISNUMBER($D193)),NOT(ISNUMBER($H193))),"",IF(AND(ISNUMBER($J193),$J193&gt;0),$J193,IF(ISNUMBER($I193),$I193,"")))</f>
        <v>647.142857142857</v>
      </c>
      <c r="L193" s="40" t="n">
        <f aca="false">IF(ISNUMBER($K193),$K193*$H193,"")</f>
        <v>116.485714285714</v>
      </c>
      <c r="M193" s="40" t="n">
        <f aca="false">IF(ISNUMBER($K193),$K193*Parâmetros!$B$9,"")</f>
        <v>64.7142857142857</v>
      </c>
      <c r="N193" s="40" t="n">
        <f aca="false">IF(ISNUMBER($K193),$K193*Parâmetros!$C$9,"")</f>
        <v>19.4142857142857</v>
      </c>
      <c r="O193" s="40" t="n">
        <f aca="false">IF(ISNUMBER($K193),IF(ISNUMBER(Parâmetros!$E$9),Parâmetros!$E$9,0),"")</f>
        <v>0</v>
      </c>
      <c r="P193" s="41" t="n">
        <f aca="false">IF(ISNUMBER($K193),$K193-$D193-IF(ISNUMBER($E193),$E193,0)-$L193-$M193-$N193-$O193,"")</f>
        <v>129.428571428571</v>
      </c>
      <c r="Q193" s="42" t="n">
        <f aca="false">IF(AND(ISNUMBER($K193),$K193&gt;0),$P193/$K193,"")</f>
        <v>0.2</v>
      </c>
      <c r="R193" s="43"/>
      <c r="S193" s="44" t="str">
        <f aca="false">IF(OR(NOT(ISNUMBER($R193)),$R193=0,NOT(ISNUMBER($K193))),"",$K193*(1-$R193))</f>
        <v/>
      </c>
      <c r="T193" s="45" t="str">
        <f aca="false">IF(ISNUMBER($S193),$S193*$H193,"")</f>
        <v/>
      </c>
      <c r="U193" s="45" t="str">
        <f aca="false">IF(ISNUMBER($S193),$S193*Parâmetros!$B$9,"")</f>
        <v/>
      </c>
      <c r="V193" s="45" t="str">
        <f aca="false">IF(ISNUMBER($S193),$S193*Parâmetros!$C$9,"")</f>
        <v/>
      </c>
      <c r="W193" s="44" t="str">
        <f aca="false">IF(ISNUMBER($S193),$S193-$D193-IF(ISNUMBER($E193),$E193,0)-$O193-$T193-$U193-$V193,"")</f>
        <v/>
      </c>
      <c r="X193" s="46" t="str">
        <f aca="false">IF(AND(ISNUMBER($S193),$S193&gt;0),$W193/$S193,"")</f>
        <v/>
      </c>
      <c r="Y193" s="49"/>
      <c r="Z193" s="21"/>
    </row>
    <row r="194" customFormat="false" ht="15.75" hidden="false" customHeight="true" outlineLevel="0" collapsed="false">
      <c r="A194" s="32" t="str">
        <f aca="false">IF(Produtos!$A194="","",Produtos!$A194)</f>
        <v>Q4070-AC</v>
      </c>
      <c r="B194" s="32" t="str">
        <f aca="false">IF(Produtos!$A194="","",Produtos!$B194)</f>
        <v>Lixeira Quadrada 40x70 100L c/Aro Colorido</v>
      </c>
      <c r="C194" s="32" t="str">
        <f aca="false">IF(Produtos!$A194="","",Produtos!$C194)</f>
        <v>Lixeiras em inox</v>
      </c>
      <c r="D194" s="33" t="n">
        <f aca="false">IF(Produtos!$A194="","",IF(Produtos!$D194="","",Produtos!$D194))</f>
        <v>651.12</v>
      </c>
      <c r="E194" s="11" t="n">
        <v>0</v>
      </c>
      <c r="F194" s="34" t="n">
        <f aca="false">IF($A194="","",IF($C194="","⚠ categoria",IFERROR(INDEX(Parâmetros!$G$13:$G$22,MATCH($C194,Parâmetros!$A$13:$A$22,0)),"⚠ categoria")))</f>
        <v>0.18</v>
      </c>
      <c r="G194" s="35"/>
      <c r="H194" s="36" t="n">
        <f aca="false">IF($A194="","",IF(ISNUMBER($G194),$G194,IF(ISNUMBER($F194),$F194,"")))</f>
        <v>0.18</v>
      </c>
      <c r="I194" s="37" t="n">
        <f aca="false">IF(OR($A194="",NOT(ISNUMBER($D194)),NOT(ISNUMBER($H194))),"",IF((1-$H194-Parâmetros!$B$9-Parâmetros!$C$9-Parâmetros!$D$9)&lt;=0,"INVALIDO",($D194+IF(ISNUMBER($E194),$E194,0)+IF(ISNUMBER(Parâmetros!$E$9),Parâmetros!$E$9,0))/(1-$H194-Parâmetros!$B$9-Parâmetros!$C$9-Parâmetros!$D$9)))</f>
        <v>1328.81632653061</v>
      </c>
      <c r="J194" s="38"/>
      <c r="K194" s="39" t="n">
        <f aca="false">IF(OR($A194="",NOT(ISNUMBER($D194)),NOT(ISNUMBER($H194))),"",IF(AND(ISNUMBER($J194),$J194&gt;0),$J194,IF(ISNUMBER($I194),$I194,"")))</f>
        <v>1328.81632653061</v>
      </c>
      <c r="L194" s="40" t="n">
        <f aca="false">IF(ISNUMBER($K194),$K194*$H194,"")</f>
        <v>239.18693877551</v>
      </c>
      <c r="M194" s="40" t="n">
        <f aca="false">IF(ISNUMBER($K194),$K194*Parâmetros!$B$9,"")</f>
        <v>132.881632653061</v>
      </c>
      <c r="N194" s="40" t="n">
        <f aca="false">IF(ISNUMBER($K194),$K194*Parâmetros!$C$9,"")</f>
        <v>39.8644897959184</v>
      </c>
      <c r="O194" s="40" t="n">
        <f aca="false">IF(ISNUMBER($K194),IF(ISNUMBER(Parâmetros!$E$9),Parâmetros!$E$9,0),"")</f>
        <v>0</v>
      </c>
      <c r="P194" s="41" t="n">
        <f aca="false">IF(ISNUMBER($K194),$K194-$D194-IF(ISNUMBER($E194),$E194,0)-$L194-$M194-$N194-$O194,"")</f>
        <v>265.763265306122</v>
      </c>
      <c r="Q194" s="42" t="n">
        <f aca="false">IF(AND(ISNUMBER($K194),$K194&gt;0),$P194/$K194,"")</f>
        <v>0.2</v>
      </c>
      <c r="R194" s="43"/>
      <c r="S194" s="44" t="str">
        <f aca="false">IF(OR(NOT(ISNUMBER($R194)),$R194=0,NOT(ISNUMBER($K194))),"",$K194*(1-$R194))</f>
        <v/>
      </c>
      <c r="T194" s="45" t="str">
        <f aca="false">IF(ISNUMBER($S194),$S194*$H194,"")</f>
        <v/>
      </c>
      <c r="U194" s="45" t="str">
        <f aca="false">IF(ISNUMBER($S194),$S194*Parâmetros!$B$9,"")</f>
        <v/>
      </c>
      <c r="V194" s="45" t="str">
        <f aca="false">IF(ISNUMBER($S194),$S194*Parâmetros!$C$9,"")</f>
        <v/>
      </c>
      <c r="W194" s="44" t="str">
        <f aca="false">IF(ISNUMBER($S194),$S194-$D194-IF(ISNUMBER($E194),$E194,0)-$O194-$T194-$U194-$V194,"")</f>
        <v/>
      </c>
      <c r="X194" s="46" t="str">
        <f aca="false">IF(AND(ISNUMBER($S194),$S194&gt;0),$W194/$S194,"")</f>
        <v/>
      </c>
      <c r="Y194" s="47"/>
      <c r="Z194" s="19"/>
    </row>
    <row r="195" customFormat="false" ht="15.75" hidden="false" customHeight="true" outlineLevel="0" collapsed="false">
      <c r="A195" s="48" t="str">
        <f aca="false">IF(Produtos!$A195="","",Produtos!$A195)</f>
        <v>Q2430-BC</v>
      </c>
      <c r="B195" s="48" t="str">
        <f aca="false">IF(Produtos!$A195="","",Produtos!$B195)</f>
        <v>Lixeira Quadrada 24x30 15L c/Aro Basculante Colorido</v>
      </c>
      <c r="C195" s="48" t="str">
        <f aca="false">IF(Produtos!$A195="","",Produtos!$C195)</f>
        <v>Lixeiras em inox</v>
      </c>
      <c r="D195" s="33" t="n">
        <f aca="false">IF(Produtos!$A195="","",IF(Produtos!$D195="","",Produtos!$D195))</f>
        <v>173.65</v>
      </c>
      <c r="E195" s="11" t="n">
        <v>0</v>
      </c>
      <c r="F195" s="34" t="n">
        <f aca="false">IF($A195="","",IF($C195="","⚠ categoria",IFERROR(INDEX(Parâmetros!$G$13:$G$22,MATCH($C195,Parâmetros!$A$13:$A$22,0)),"⚠ categoria")))</f>
        <v>0.18</v>
      </c>
      <c r="G195" s="35"/>
      <c r="H195" s="36" t="n">
        <f aca="false">IF($A195="","",IF(ISNUMBER($G195),$G195,IF(ISNUMBER($F195),$F195,"")))</f>
        <v>0.18</v>
      </c>
      <c r="I195" s="37" t="n">
        <f aca="false">IF(OR($A195="",NOT(ISNUMBER($D195)),NOT(ISNUMBER($H195))),"",IF((1-$H195-Parâmetros!$B$9-Parâmetros!$C$9-Parâmetros!$D$9)&lt;=0,"INVALIDO",($D195+IF(ISNUMBER($E195),$E195,0)+IF(ISNUMBER(Parâmetros!$E$9),Parâmetros!$E$9,0))/(1-$H195-Parâmetros!$B$9-Parâmetros!$C$9-Parâmetros!$D$9)))</f>
        <v>354.387755102041</v>
      </c>
      <c r="J195" s="38"/>
      <c r="K195" s="39" t="n">
        <f aca="false">IF(OR($A195="",NOT(ISNUMBER($D195)),NOT(ISNUMBER($H195))),"",IF(AND(ISNUMBER($J195),$J195&gt;0),$J195,IF(ISNUMBER($I195),$I195,"")))</f>
        <v>354.387755102041</v>
      </c>
      <c r="L195" s="40" t="n">
        <f aca="false">IF(ISNUMBER($K195),$K195*$H195,"")</f>
        <v>63.7897959183673</v>
      </c>
      <c r="M195" s="40" t="n">
        <f aca="false">IF(ISNUMBER($K195),$K195*Parâmetros!$B$9,"")</f>
        <v>35.4387755102041</v>
      </c>
      <c r="N195" s="40" t="n">
        <f aca="false">IF(ISNUMBER($K195),$K195*Parâmetros!$C$9,"")</f>
        <v>10.6316326530612</v>
      </c>
      <c r="O195" s="40" t="n">
        <f aca="false">IF(ISNUMBER($K195),IF(ISNUMBER(Parâmetros!$E$9),Parâmetros!$E$9,0),"")</f>
        <v>0</v>
      </c>
      <c r="P195" s="41" t="n">
        <f aca="false">IF(ISNUMBER($K195),$K195-$D195-IF(ISNUMBER($E195),$E195,0)-$L195-$M195-$N195-$O195,"")</f>
        <v>70.8775510204082</v>
      </c>
      <c r="Q195" s="42" t="n">
        <f aca="false">IF(AND(ISNUMBER($K195),$K195&gt;0),$P195/$K195,"")</f>
        <v>0.2</v>
      </c>
      <c r="R195" s="43"/>
      <c r="S195" s="44" t="str">
        <f aca="false">IF(OR(NOT(ISNUMBER($R195)),$R195=0,NOT(ISNUMBER($K195))),"",$K195*(1-$R195))</f>
        <v/>
      </c>
      <c r="T195" s="45" t="str">
        <f aca="false">IF(ISNUMBER($S195),$S195*$H195,"")</f>
        <v/>
      </c>
      <c r="U195" s="45" t="str">
        <f aca="false">IF(ISNUMBER($S195),$S195*Parâmetros!$B$9,"")</f>
        <v/>
      </c>
      <c r="V195" s="45" t="str">
        <f aca="false">IF(ISNUMBER($S195),$S195*Parâmetros!$C$9,"")</f>
        <v/>
      </c>
      <c r="W195" s="44" t="str">
        <f aca="false">IF(ISNUMBER($S195),$S195-$D195-IF(ISNUMBER($E195),$E195,0)-$O195-$T195-$U195-$V195,"")</f>
        <v/>
      </c>
      <c r="X195" s="46" t="str">
        <f aca="false">IF(AND(ISNUMBER($S195),$S195&gt;0),$W195/$S195,"")</f>
        <v/>
      </c>
      <c r="Y195" s="49"/>
      <c r="Z195" s="21"/>
    </row>
    <row r="196" customFormat="false" ht="15.75" hidden="false" customHeight="true" outlineLevel="0" collapsed="false">
      <c r="A196" s="32" t="str">
        <f aca="false">IF(Produtos!$A196="","",Produtos!$A196)</f>
        <v>Q2460-BC</v>
      </c>
      <c r="B196" s="32" t="str">
        <f aca="false">IF(Produtos!$A196="","",Produtos!$B196)</f>
        <v>Lixeira Quadrada 24x60 30L c/Aro Basculante Colorido</v>
      </c>
      <c r="C196" s="32" t="str">
        <f aca="false">IF(Produtos!$A196="","",Produtos!$C196)</f>
        <v>Lixeiras em inox</v>
      </c>
      <c r="D196" s="33" t="n">
        <f aca="false">IF(Produtos!$A196="","",IF(Produtos!$D196="","",Produtos!$D196))</f>
        <v>234.63</v>
      </c>
      <c r="E196" s="11" t="n">
        <v>0</v>
      </c>
      <c r="F196" s="34" t="n">
        <f aca="false">IF($A196="","",IF($C196="","⚠ categoria",IFERROR(INDEX(Parâmetros!$G$13:$G$22,MATCH($C196,Parâmetros!$A$13:$A$22,0)),"⚠ categoria")))</f>
        <v>0.18</v>
      </c>
      <c r="G196" s="35"/>
      <c r="H196" s="36" t="n">
        <f aca="false">IF($A196="","",IF(ISNUMBER($G196),$G196,IF(ISNUMBER($F196),$F196,"")))</f>
        <v>0.18</v>
      </c>
      <c r="I196" s="37" t="n">
        <f aca="false">IF(OR($A196="",NOT(ISNUMBER($D196)),NOT(ISNUMBER($H196))),"",IF((1-$H196-Parâmetros!$B$9-Parâmetros!$C$9-Parâmetros!$D$9)&lt;=0,"INVALIDO",($D196+IF(ISNUMBER($E196),$E196,0)+IF(ISNUMBER(Parâmetros!$E$9),Parâmetros!$E$9,0))/(1-$H196-Parâmetros!$B$9-Parâmetros!$C$9-Parâmetros!$D$9)))</f>
        <v>478.836734693878</v>
      </c>
      <c r="J196" s="38"/>
      <c r="K196" s="39" t="n">
        <f aca="false">IF(OR($A196="",NOT(ISNUMBER($D196)),NOT(ISNUMBER($H196))),"",IF(AND(ISNUMBER($J196),$J196&gt;0),$J196,IF(ISNUMBER($I196),$I196,"")))</f>
        <v>478.836734693878</v>
      </c>
      <c r="L196" s="40" t="n">
        <f aca="false">IF(ISNUMBER($K196),$K196*$H196,"")</f>
        <v>86.190612244898</v>
      </c>
      <c r="M196" s="40" t="n">
        <f aca="false">IF(ISNUMBER($K196),$K196*Parâmetros!$B$9,"")</f>
        <v>47.8836734693878</v>
      </c>
      <c r="N196" s="40" t="n">
        <f aca="false">IF(ISNUMBER($K196),$K196*Parâmetros!$C$9,"")</f>
        <v>14.3651020408163</v>
      </c>
      <c r="O196" s="40" t="n">
        <f aca="false">IF(ISNUMBER($K196),IF(ISNUMBER(Parâmetros!$E$9),Parâmetros!$E$9,0),"")</f>
        <v>0</v>
      </c>
      <c r="P196" s="41" t="n">
        <f aca="false">IF(ISNUMBER($K196),$K196-$D196-IF(ISNUMBER($E196),$E196,0)-$L196-$M196-$N196-$O196,"")</f>
        <v>95.7673469387755</v>
      </c>
      <c r="Q196" s="42" t="n">
        <f aca="false">IF(AND(ISNUMBER($K196),$K196&gt;0),$P196/$K196,"")</f>
        <v>0.2</v>
      </c>
      <c r="R196" s="43"/>
      <c r="S196" s="44" t="str">
        <f aca="false">IF(OR(NOT(ISNUMBER($R196)),$R196=0,NOT(ISNUMBER($K196))),"",$K196*(1-$R196))</f>
        <v/>
      </c>
      <c r="T196" s="45" t="str">
        <f aca="false">IF(ISNUMBER($S196),$S196*$H196,"")</f>
        <v/>
      </c>
      <c r="U196" s="45" t="str">
        <f aca="false">IF(ISNUMBER($S196),$S196*Parâmetros!$B$9,"")</f>
        <v/>
      </c>
      <c r="V196" s="45" t="str">
        <f aca="false">IF(ISNUMBER($S196),$S196*Parâmetros!$C$9,"")</f>
        <v/>
      </c>
      <c r="W196" s="44" t="str">
        <f aca="false">IF(ISNUMBER($S196),$S196-$D196-IF(ISNUMBER($E196),$E196,0)-$O196-$T196-$U196-$V196,"")</f>
        <v/>
      </c>
      <c r="X196" s="46" t="str">
        <f aca="false">IF(AND(ISNUMBER($S196),$S196&gt;0),$W196/$S196,"")</f>
        <v/>
      </c>
      <c r="Y196" s="47"/>
      <c r="Z196" s="19"/>
    </row>
    <row r="197" customFormat="false" ht="15.75" hidden="false" customHeight="true" outlineLevel="0" collapsed="false">
      <c r="A197" s="48" t="str">
        <f aca="false">IF(Produtos!$A197="","",Produtos!$A197)</f>
        <v>Q3060-BC</v>
      </c>
      <c r="B197" s="48" t="str">
        <f aca="false">IF(Produtos!$A197="","",Produtos!$B197)</f>
        <v>Lixeira Quadrada 30x60 50L c/Aro Basculante Colorido</v>
      </c>
      <c r="C197" s="48" t="str">
        <f aca="false">IF(Produtos!$A197="","",Produtos!$C197)</f>
        <v>Lixeiras em inox</v>
      </c>
      <c r="D197" s="33" t="n">
        <f aca="false">IF(Produtos!$A197="","",IF(Produtos!$D197="","",Produtos!$D197))</f>
        <v>342.51</v>
      </c>
      <c r="E197" s="11" t="n">
        <v>0</v>
      </c>
      <c r="F197" s="34" t="n">
        <f aca="false">IF($A197="","",IF($C197="","⚠ categoria",IFERROR(INDEX(Parâmetros!$G$13:$G$22,MATCH($C197,Parâmetros!$A$13:$A$22,0)),"⚠ categoria")))</f>
        <v>0.18</v>
      </c>
      <c r="G197" s="35"/>
      <c r="H197" s="36" t="n">
        <f aca="false">IF($A197="","",IF(ISNUMBER($G197),$G197,IF(ISNUMBER($F197),$F197,"")))</f>
        <v>0.18</v>
      </c>
      <c r="I197" s="37" t="n">
        <f aca="false">IF(OR($A197="",NOT(ISNUMBER($D197)),NOT(ISNUMBER($H197))),"",IF((1-$H197-Parâmetros!$B$9-Parâmetros!$C$9-Parâmetros!$D$9)&lt;=0,"INVALIDO",($D197+IF(ISNUMBER($E197),$E197,0)+IF(ISNUMBER(Parâmetros!$E$9),Parâmetros!$E$9,0))/(1-$H197-Parâmetros!$B$9-Parâmetros!$C$9-Parâmetros!$D$9)))</f>
        <v>699</v>
      </c>
      <c r="J197" s="38"/>
      <c r="K197" s="39" t="n">
        <f aca="false">IF(OR($A197="",NOT(ISNUMBER($D197)),NOT(ISNUMBER($H197))),"",IF(AND(ISNUMBER($J197),$J197&gt;0),$J197,IF(ISNUMBER($I197),$I197,"")))</f>
        <v>699</v>
      </c>
      <c r="L197" s="40" t="n">
        <f aca="false">IF(ISNUMBER($K197),$K197*$H197,"")</f>
        <v>125.82</v>
      </c>
      <c r="M197" s="40" t="n">
        <f aca="false">IF(ISNUMBER($K197),$K197*Parâmetros!$B$9,"")</f>
        <v>69.9</v>
      </c>
      <c r="N197" s="40" t="n">
        <f aca="false">IF(ISNUMBER($K197),$K197*Parâmetros!$C$9,"")</f>
        <v>20.97</v>
      </c>
      <c r="O197" s="40" t="n">
        <f aca="false">IF(ISNUMBER($K197),IF(ISNUMBER(Parâmetros!$E$9),Parâmetros!$E$9,0),"")</f>
        <v>0</v>
      </c>
      <c r="P197" s="41" t="n">
        <f aca="false">IF(ISNUMBER($K197),$K197-$D197-IF(ISNUMBER($E197),$E197,0)-$L197-$M197-$N197-$O197,"")</f>
        <v>139.8</v>
      </c>
      <c r="Q197" s="42" t="n">
        <f aca="false">IF(AND(ISNUMBER($K197),$K197&gt;0),$P197/$K197,"")</f>
        <v>0.2</v>
      </c>
      <c r="R197" s="43"/>
      <c r="S197" s="44" t="str">
        <f aca="false">IF(OR(NOT(ISNUMBER($R197)),$R197=0,NOT(ISNUMBER($K197))),"",$K197*(1-$R197))</f>
        <v/>
      </c>
      <c r="T197" s="45" t="str">
        <f aca="false">IF(ISNUMBER($S197),$S197*$H197,"")</f>
        <v/>
      </c>
      <c r="U197" s="45" t="str">
        <f aca="false">IF(ISNUMBER($S197),$S197*Parâmetros!$B$9,"")</f>
        <v/>
      </c>
      <c r="V197" s="45" t="str">
        <f aca="false">IF(ISNUMBER($S197),$S197*Parâmetros!$C$9,"")</f>
        <v/>
      </c>
      <c r="W197" s="44" t="str">
        <f aca="false">IF(ISNUMBER($S197),$S197-$D197-IF(ISNUMBER($E197),$E197,0)-$O197-$T197-$U197-$V197,"")</f>
        <v/>
      </c>
      <c r="X197" s="46" t="str">
        <f aca="false">IF(AND(ISNUMBER($S197),$S197&gt;0),$W197/$S197,"")</f>
        <v/>
      </c>
      <c r="Y197" s="49"/>
      <c r="Z197" s="21"/>
    </row>
    <row r="198" customFormat="false" ht="15.75" hidden="false" customHeight="true" outlineLevel="0" collapsed="false">
      <c r="A198" s="32" t="str">
        <f aca="false">IF(Produtos!$A198="","",Produtos!$A198)</f>
        <v>Q4070-BC</v>
      </c>
      <c r="B198" s="32" t="str">
        <f aca="false">IF(Produtos!$A198="","",Produtos!$B198)</f>
        <v>Lixeira Quadrada 40x70 100L c/Aro Basculante Colorido</v>
      </c>
      <c r="C198" s="32" t="str">
        <f aca="false">IF(Produtos!$A198="","",Produtos!$C198)</f>
        <v>Lixeiras em inox</v>
      </c>
      <c r="D198" s="33" t="n">
        <f aca="false">IF(Produtos!$A198="","",IF(Produtos!$D198="","",Produtos!$D198))</f>
        <v>686.97</v>
      </c>
      <c r="E198" s="11" t="n">
        <v>0</v>
      </c>
      <c r="F198" s="34" t="n">
        <f aca="false">IF($A198="","",IF($C198="","⚠ categoria",IFERROR(INDEX(Parâmetros!$G$13:$G$22,MATCH($C198,Parâmetros!$A$13:$A$22,0)),"⚠ categoria")))</f>
        <v>0.18</v>
      </c>
      <c r="G198" s="35"/>
      <c r="H198" s="36" t="n">
        <f aca="false">IF($A198="","",IF(ISNUMBER($G198),$G198,IF(ISNUMBER($F198),$F198,"")))</f>
        <v>0.18</v>
      </c>
      <c r="I198" s="37" t="n">
        <f aca="false">IF(OR($A198="",NOT(ISNUMBER($D198)),NOT(ISNUMBER($H198))),"",IF((1-$H198-Parâmetros!$B$9-Parâmetros!$C$9-Parâmetros!$D$9)&lt;=0,"INVALIDO",($D198+IF(ISNUMBER($E198),$E198,0)+IF(ISNUMBER(Parâmetros!$E$9),Parâmetros!$E$9,0))/(1-$H198-Parâmetros!$B$9-Parâmetros!$C$9-Parâmetros!$D$9)))</f>
        <v>1401.97959183673</v>
      </c>
      <c r="J198" s="38"/>
      <c r="K198" s="39" t="n">
        <f aca="false">IF(OR($A198="",NOT(ISNUMBER($D198)),NOT(ISNUMBER($H198))),"",IF(AND(ISNUMBER($J198),$J198&gt;0),$J198,IF(ISNUMBER($I198),$I198,"")))</f>
        <v>1401.97959183673</v>
      </c>
      <c r="L198" s="40" t="n">
        <f aca="false">IF(ISNUMBER($K198),$K198*$H198,"")</f>
        <v>252.356326530612</v>
      </c>
      <c r="M198" s="40" t="n">
        <f aca="false">IF(ISNUMBER($K198),$K198*Parâmetros!$B$9,"")</f>
        <v>140.197959183673</v>
      </c>
      <c r="N198" s="40" t="n">
        <f aca="false">IF(ISNUMBER($K198),$K198*Parâmetros!$C$9,"")</f>
        <v>42.059387755102</v>
      </c>
      <c r="O198" s="40" t="n">
        <f aca="false">IF(ISNUMBER($K198),IF(ISNUMBER(Parâmetros!$E$9),Parâmetros!$E$9,0),"")</f>
        <v>0</v>
      </c>
      <c r="P198" s="41" t="n">
        <f aca="false">IF(ISNUMBER($K198),$K198-$D198-IF(ISNUMBER($E198),$E198,0)-$L198-$M198-$N198-$O198,"")</f>
        <v>280.395918367347</v>
      </c>
      <c r="Q198" s="42" t="n">
        <f aca="false">IF(AND(ISNUMBER($K198),$K198&gt;0),$P198/$K198,"")</f>
        <v>0.2</v>
      </c>
      <c r="R198" s="43"/>
      <c r="S198" s="44" t="str">
        <f aca="false">IF(OR(NOT(ISNUMBER($R198)),$R198=0,NOT(ISNUMBER($K198))),"",$K198*(1-$R198))</f>
        <v/>
      </c>
      <c r="T198" s="45" t="str">
        <f aca="false">IF(ISNUMBER($S198),$S198*$H198,"")</f>
        <v/>
      </c>
      <c r="U198" s="45" t="str">
        <f aca="false">IF(ISNUMBER($S198),$S198*Parâmetros!$B$9,"")</f>
        <v/>
      </c>
      <c r="V198" s="45" t="str">
        <f aca="false">IF(ISNUMBER($S198),$S198*Parâmetros!$C$9,"")</f>
        <v/>
      </c>
      <c r="W198" s="44" t="str">
        <f aca="false">IF(ISNUMBER($S198),$S198-$D198-IF(ISNUMBER($E198),$E198,0)-$O198-$T198-$U198-$V198,"")</f>
        <v/>
      </c>
      <c r="X198" s="46" t="str">
        <f aca="false">IF(AND(ISNUMBER($S198),$S198&gt;0),$W198/$S198,"")</f>
        <v/>
      </c>
      <c r="Y198" s="47"/>
      <c r="Z198" s="19"/>
    </row>
    <row r="199" customFormat="false" ht="15.75" hidden="false" customHeight="true" outlineLevel="0" collapsed="false">
      <c r="A199" s="48" t="str">
        <f aca="false">IF(Produtos!$A199="","",Produtos!$A199)</f>
        <v>PQ-2430C</v>
      </c>
      <c r="B199" s="48" t="str">
        <f aca="false">IF(Produtos!$A199="","",Produtos!$B199)</f>
        <v>Lixeira quadrada c/Tampa colorida e Pedal 24x30 15L</v>
      </c>
      <c r="C199" s="48" t="str">
        <f aca="false">IF(Produtos!$A199="","",Produtos!$C199)</f>
        <v>Lixeiras com pedal</v>
      </c>
      <c r="D199" s="33" t="n">
        <f aca="false">IF(Produtos!$A199="","",IF(Produtos!$D199="","",Produtos!$D199))</f>
        <v>293.67</v>
      </c>
      <c r="E199" s="11" t="n">
        <v>0</v>
      </c>
      <c r="F199" s="34" t="n">
        <f aca="false">IF($A199="","",IF($C199="","⚠ categoria",IFERROR(INDEX(Parâmetros!$G$13:$G$22,MATCH($C199,Parâmetros!$A$13:$A$22,0)),"⚠ categoria")))</f>
        <v>0.18</v>
      </c>
      <c r="G199" s="35"/>
      <c r="H199" s="36" t="n">
        <f aca="false">IF($A199="","",IF(ISNUMBER($G199),$G199,IF(ISNUMBER($F199),$F199,"")))</f>
        <v>0.18</v>
      </c>
      <c r="I199" s="37" t="n">
        <f aca="false">IF(OR($A199="",NOT(ISNUMBER($D199)),NOT(ISNUMBER($H199))),"",IF((1-$H199-Parâmetros!$B$9-Parâmetros!$C$9-Parâmetros!$D$9)&lt;=0,"INVALIDO",($D199+IF(ISNUMBER($E199),$E199,0)+IF(ISNUMBER(Parâmetros!$E$9),Parâmetros!$E$9,0))/(1-$H199-Parâmetros!$B$9-Parâmetros!$C$9-Parâmetros!$D$9)))</f>
        <v>599.326530612245</v>
      </c>
      <c r="J199" s="38"/>
      <c r="K199" s="39" t="n">
        <f aca="false">IF(OR($A199="",NOT(ISNUMBER($D199)),NOT(ISNUMBER($H199))),"",IF(AND(ISNUMBER($J199),$J199&gt;0),$J199,IF(ISNUMBER($I199),$I199,"")))</f>
        <v>599.326530612245</v>
      </c>
      <c r="L199" s="40" t="n">
        <f aca="false">IF(ISNUMBER($K199),$K199*$H199,"")</f>
        <v>107.878775510204</v>
      </c>
      <c r="M199" s="40" t="n">
        <f aca="false">IF(ISNUMBER($K199),$K199*Parâmetros!$B$9,"")</f>
        <v>59.9326530612245</v>
      </c>
      <c r="N199" s="40" t="n">
        <f aca="false">IF(ISNUMBER($K199),$K199*Parâmetros!$C$9,"")</f>
        <v>17.9797959183673</v>
      </c>
      <c r="O199" s="40" t="n">
        <f aca="false">IF(ISNUMBER($K199),IF(ISNUMBER(Parâmetros!$E$9),Parâmetros!$E$9,0),"")</f>
        <v>0</v>
      </c>
      <c r="P199" s="41" t="n">
        <f aca="false">IF(ISNUMBER($K199),$K199-$D199-IF(ISNUMBER($E199),$E199,0)-$L199-$M199-$N199-$O199,"")</f>
        <v>119.865306122449</v>
      </c>
      <c r="Q199" s="42" t="n">
        <f aca="false">IF(AND(ISNUMBER($K199),$K199&gt;0),$P199/$K199,"")</f>
        <v>0.2</v>
      </c>
      <c r="R199" s="43"/>
      <c r="S199" s="44" t="str">
        <f aca="false">IF(OR(NOT(ISNUMBER($R199)),$R199=0,NOT(ISNUMBER($K199))),"",$K199*(1-$R199))</f>
        <v/>
      </c>
      <c r="T199" s="45" t="str">
        <f aca="false">IF(ISNUMBER($S199),$S199*$H199,"")</f>
        <v/>
      </c>
      <c r="U199" s="45" t="str">
        <f aca="false">IF(ISNUMBER($S199),$S199*Parâmetros!$B$9,"")</f>
        <v/>
      </c>
      <c r="V199" s="45" t="str">
        <f aca="false">IF(ISNUMBER($S199),$S199*Parâmetros!$C$9,"")</f>
        <v/>
      </c>
      <c r="W199" s="44" t="str">
        <f aca="false">IF(ISNUMBER($S199),$S199-$D199-IF(ISNUMBER($E199),$E199,0)-$O199-$T199-$U199-$V199,"")</f>
        <v/>
      </c>
      <c r="X199" s="46" t="str">
        <f aca="false">IF(AND(ISNUMBER($S199),$S199&gt;0),$W199/$S199,"")</f>
        <v/>
      </c>
      <c r="Y199" s="49"/>
      <c r="Z199" s="21"/>
    </row>
    <row r="200" customFormat="false" ht="15.75" hidden="false" customHeight="true" outlineLevel="0" collapsed="false">
      <c r="A200" s="32" t="str">
        <f aca="false">IF(Produtos!$A200="","",Produtos!$A200)</f>
        <v>PQ-2460C</v>
      </c>
      <c r="B200" s="32" t="str">
        <f aca="false">IF(Produtos!$A200="","",Produtos!$B200)</f>
        <v>Lixeira quadrada c/Tampa colorida e Pedal 24x60 30L</v>
      </c>
      <c r="C200" s="32" t="str">
        <f aca="false">IF(Produtos!$A200="","",Produtos!$C200)</f>
        <v>Lixeiras com pedal</v>
      </c>
      <c r="D200" s="33" t="n">
        <f aca="false">IF(Produtos!$A200="","",IF(Produtos!$D200="","",Produtos!$D200))</f>
        <v>360.26</v>
      </c>
      <c r="E200" s="11" t="n">
        <v>0</v>
      </c>
      <c r="F200" s="34" t="n">
        <f aca="false">IF($A200="","",IF($C200="","⚠ categoria",IFERROR(INDEX(Parâmetros!$G$13:$G$22,MATCH($C200,Parâmetros!$A$13:$A$22,0)),"⚠ categoria")))</f>
        <v>0.18</v>
      </c>
      <c r="G200" s="35"/>
      <c r="H200" s="36" t="n">
        <f aca="false">IF($A200="","",IF(ISNUMBER($G200),$G200,IF(ISNUMBER($F200),$F200,"")))</f>
        <v>0.18</v>
      </c>
      <c r="I200" s="37" t="n">
        <f aca="false">IF(OR($A200="",NOT(ISNUMBER($D200)),NOT(ISNUMBER($H200))),"",IF((1-$H200-Parâmetros!$B$9-Parâmetros!$C$9-Parâmetros!$D$9)&lt;=0,"INVALIDO",($D200+IF(ISNUMBER($E200),$E200,0)+IF(ISNUMBER(Parâmetros!$E$9),Parâmetros!$E$9,0))/(1-$H200-Parâmetros!$B$9-Parâmetros!$C$9-Parâmetros!$D$9)))</f>
        <v>735.224489795918</v>
      </c>
      <c r="J200" s="38"/>
      <c r="K200" s="39" t="n">
        <f aca="false">IF(OR($A200="",NOT(ISNUMBER($D200)),NOT(ISNUMBER($H200))),"",IF(AND(ISNUMBER($J200),$J200&gt;0),$J200,IF(ISNUMBER($I200),$I200,"")))</f>
        <v>735.224489795918</v>
      </c>
      <c r="L200" s="40" t="n">
        <f aca="false">IF(ISNUMBER($K200),$K200*$H200,"")</f>
        <v>132.340408163265</v>
      </c>
      <c r="M200" s="40" t="n">
        <f aca="false">IF(ISNUMBER($K200),$K200*Parâmetros!$B$9,"")</f>
        <v>73.5224489795918</v>
      </c>
      <c r="N200" s="40" t="n">
        <f aca="false">IF(ISNUMBER($K200),$K200*Parâmetros!$C$9,"")</f>
        <v>22.0567346938775</v>
      </c>
      <c r="O200" s="40" t="n">
        <f aca="false">IF(ISNUMBER($K200),IF(ISNUMBER(Parâmetros!$E$9),Parâmetros!$E$9,0),"")</f>
        <v>0</v>
      </c>
      <c r="P200" s="41" t="n">
        <f aca="false">IF(ISNUMBER($K200),$K200-$D200-IF(ISNUMBER($E200),$E200,0)-$L200-$M200-$N200-$O200,"")</f>
        <v>147.044897959184</v>
      </c>
      <c r="Q200" s="42" t="n">
        <f aca="false">IF(AND(ISNUMBER($K200),$K200&gt;0),$P200/$K200,"")</f>
        <v>0.2</v>
      </c>
      <c r="R200" s="43"/>
      <c r="S200" s="44" t="str">
        <f aca="false">IF(OR(NOT(ISNUMBER($R200)),$R200=0,NOT(ISNUMBER($K200))),"",$K200*(1-$R200))</f>
        <v/>
      </c>
      <c r="T200" s="45" t="str">
        <f aca="false">IF(ISNUMBER($S200),$S200*$H200,"")</f>
        <v/>
      </c>
      <c r="U200" s="45" t="str">
        <f aca="false">IF(ISNUMBER($S200),$S200*Parâmetros!$B$9,"")</f>
        <v/>
      </c>
      <c r="V200" s="45" t="str">
        <f aca="false">IF(ISNUMBER($S200),$S200*Parâmetros!$C$9,"")</f>
        <v/>
      </c>
      <c r="W200" s="44" t="str">
        <f aca="false">IF(ISNUMBER($S200),$S200-$D200-IF(ISNUMBER($E200),$E200,0)-$O200-$T200-$U200-$V200,"")</f>
        <v/>
      </c>
      <c r="X200" s="46" t="str">
        <f aca="false">IF(AND(ISNUMBER($S200),$S200&gt;0),$W200/$S200,"")</f>
        <v/>
      </c>
      <c r="Y200" s="47"/>
      <c r="Z200" s="19"/>
    </row>
    <row r="201" customFormat="false" ht="15.75" hidden="false" customHeight="true" outlineLevel="0" collapsed="false">
      <c r="A201" s="48" t="str">
        <f aca="false">IF(Produtos!$A201="","",Produtos!$A201)</f>
        <v>PQ-3060C</v>
      </c>
      <c r="B201" s="48" t="str">
        <f aca="false">IF(Produtos!$A201="","",Produtos!$B201)</f>
        <v>Lixeira quadrada c/Tampa colorida e Pedal 30x60 50L</v>
      </c>
      <c r="C201" s="48" t="str">
        <f aca="false">IF(Produtos!$A201="","",Produtos!$C201)</f>
        <v>Lixeiras com pedal</v>
      </c>
      <c r="D201" s="33" t="n">
        <f aca="false">IF(Produtos!$A201="","",IF(Produtos!$D201="","",Produtos!$D201))</f>
        <v>449.58</v>
      </c>
      <c r="E201" s="11" t="n">
        <v>0</v>
      </c>
      <c r="F201" s="34" t="n">
        <f aca="false">IF($A201="","",IF($C201="","⚠ categoria",IFERROR(INDEX(Parâmetros!$G$13:$G$22,MATCH($C201,Parâmetros!$A$13:$A$22,0)),"⚠ categoria")))</f>
        <v>0.18</v>
      </c>
      <c r="G201" s="35"/>
      <c r="H201" s="36" t="n">
        <f aca="false">IF($A201="","",IF(ISNUMBER($G201),$G201,IF(ISNUMBER($F201),$F201,"")))</f>
        <v>0.18</v>
      </c>
      <c r="I201" s="37" t="n">
        <f aca="false">IF(OR($A201="",NOT(ISNUMBER($D201)),NOT(ISNUMBER($H201))),"",IF((1-$H201-Parâmetros!$B$9-Parâmetros!$C$9-Parâmetros!$D$9)&lt;=0,"INVALIDO",($D201+IF(ISNUMBER($E201),$E201,0)+IF(ISNUMBER(Parâmetros!$E$9),Parâmetros!$E$9,0))/(1-$H201-Parâmetros!$B$9-Parâmetros!$C$9-Parâmetros!$D$9)))</f>
        <v>917.510204081633</v>
      </c>
      <c r="J201" s="38"/>
      <c r="K201" s="39" t="n">
        <f aca="false">IF(OR($A201="",NOT(ISNUMBER($D201)),NOT(ISNUMBER($H201))),"",IF(AND(ISNUMBER($J201),$J201&gt;0),$J201,IF(ISNUMBER($I201),$I201,"")))</f>
        <v>917.510204081633</v>
      </c>
      <c r="L201" s="40" t="n">
        <f aca="false">IF(ISNUMBER($K201),$K201*$H201,"")</f>
        <v>165.151836734694</v>
      </c>
      <c r="M201" s="40" t="n">
        <f aca="false">IF(ISNUMBER($K201),$K201*Parâmetros!$B$9,"")</f>
        <v>91.7510204081633</v>
      </c>
      <c r="N201" s="40" t="n">
        <f aca="false">IF(ISNUMBER($K201),$K201*Parâmetros!$C$9,"")</f>
        <v>27.525306122449</v>
      </c>
      <c r="O201" s="40" t="n">
        <f aca="false">IF(ISNUMBER($K201),IF(ISNUMBER(Parâmetros!$E$9),Parâmetros!$E$9,0),"")</f>
        <v>0</v>
      </c>
      <c r="P201" s="41" t="n">
        <f aca="false">IF(ISNUMBER($K201),$K201-$D201-IF(ISNUMBER($E201),$E201,0)-$L201-$M201-$N201-$O201,"")</f>
        <v>183.502040816326</v>
      </c>
      <c r="Q201" s="42" t="n">
        <f aca="false">IF(AND(ISNUMBER($K201),$K201&gt;0),$P201/$K201,"")</f>
        <v>0.2</v>
      </c>
      <c r="R201" s="43"/>
      <c r="S201" s="44" t="str">
        <f aca="false">IF(OR(NOT(ISNUMBER($R201)),$R201=0,NOT(ISNUMBER($K201))),"",$K201*(1-$R201))</f>
        <v/>
      </c>
      <c r="T201" s="45" t="str">
        <f aca="false">IF(ISNUMBER($S201),$S201*$H201,"")</f>
        <v/>
      </c>
      <c r="U201" s="45" t="str">
        <f aca="false">IF(ISNUMBER($S201),$S201*Parâmetros!$B$9,"")</f>
        <v/>
      </c>
      <c r="V201" s="45" t="str">
        <f aca="false">IF(ISNUMBER($S201),$S201*Parâmetros!$C$9,"")</f>
        <v/>
      </c>
      <c r="W201" s="44" t="str">
        <f aca="false">IF(ISNUMBER($S201),$S201-$D201-IF(ISNUMBER($E201),$E201,0)-$O201-$T201-$U201-$V201,"")</f>
        <v/>
      </c>
      <c r="X201" s="46" t="str">
        <f aca="false">IF(AND(ISNUMBER($S201),$S201&gt;0),$W201/$S201,"")</f>
        <v/>
      </c>
      <c r="Y201" s="49"/>
      <c r="Z201" s="21"/>
    </row>
    <row r="202" customFormat="false" ht="15.75" hidden="false" customHeight="true" outlineLevel="0" collapsed="false">
      <c r="A202" s="32" t="str">
        <f aca="false">IF(Produtos!$A202="","",Produtos!$A202)</f>
        <v>PQ-4070C</v>
      </c>
      <c r="B202" s="32" t="str">
        <f aca="false">IF(Produtos!$A202="","",Produtos!$B202)</f>
        <v>Lixeira quadrada c/Tampa colorida e Pedal 40x70 100L</v>
      </c>
      <c r="C202" s="32" t="str">
        <f aca="false">IF(Produtos!$A202="","",Produtos!$C202)</f>
        <v>Lixeiras com pedal</v>
      </c>
      <c r="D202" s="33" t="n">
        <f aca="false">IF(Produtos!$A202="","",IF(Produtos!$D202="","",Produtos!$D202))</f>
        <v>980.21</v>
      </c>
      <c r="E202" s="11" t="n">
        <v>0</v>
      </c>
      <c r="F202" s="34" t="n">
        <f aca="false">IF($A202="","",IF($C202="","⚠ categoria",IFERROR(INDEX(Parâmetros!$G$13:$G$22,MATCH($C202,Parâmetros!$A$13:$A$22,0)),"⚠ categoria")))</f>
        <v>0.18</v>
      </c>
      <c r="G202" s="35"/>
      <c r="H202" s="36" t="n">
        <f aca="false">IF($A202="","",IF(ISNUMBER($G202),$G202,IF(ISNUMBER($F202),$F202,"")))</f>
        <v>0.18</v>
      </c>
      <c r="I202" s="37" t="n">
        <f aca="false">IF(OR($A202="",NOT(ISNUMBER($D202)),NOT(ISNUMBER($H202))),"",IF((1-$H202-Parâmetros!$B$9-Parâmetros!$C$9-Parâmetros!$D$9)&lt;=0,"INVALIDO",($D202+IF(ISNUMBER($E202),$E202,0)+IF(ISNUMBER(Parâmetros!$E$9),Parâmetros!$E$9,0))/(1-$H202-Parâmetros!$B$9-Parâmetros!$C$9-Parâmetros!$D$9)))</f>
        <v>2000.42857142857</v>
      </c>
      <c r="J202" s="38"/>
      <c r="K202" s="39" t="n">
        <f aca="false">IF(OR($A202="",NOT(ISNUMBER($D202)),NOT(ISNUMBER($H202))),"",IF(AND(ISNUMBER($J202),$J202&gt;0),$J202,IF(ISNUMBER($I202),$I202,"")))</f>
        <v>2000.42857142857</v>
      </c>
      <c r="L202" s="40" t="n">
        <f aca="false">IF(ISNUMBER($K202),$K202*$H202,"")</f>
        <v>360.077142857143</v>
      </c>
      <c r="M202" s="40" t="n">
        <f aca="false">IF(ISNUMBER($K202),$K202*Parâmetros!$B$9,"")</f>
        <v>200.042857142857</v>
      </c>
      <c r="N202" s="40" t="n">
        <f aca="false">IF(ISNUMBER($K202),$K202*Parâmetros!$C$9,"")</f>
        <v>60.0128571428571</v>
      </c>
      <c r="O202" s="40" t="n">
        <f aca="false">IF(ISNUMBER($K202),IF(ISNUMBER(Parâmetros!$E$9),Parâmetros!$E$9,0),"")</f>
        <v>0</v>
      </c>
      <c r="P202" s="41" t="n">
        <f aca="false">IF(ISNUMBER($K202),$K202-$D202-IF(ISNUMBER($E202),$E202,0)-$L202-$M202-$N202-$O202,"")</f>
        <v>400.085714285714</v>
      </c>
      <c r="Q202" s="42" t="n">
        <f aca="false">IF(AND(ISNUMBER($K202),$K202&gt;0),$P202/$K202,"")</f>
        <v>0.2</v>
      </c>
      <c r="R202" s="43"/>
      <c r="S202" s="44" t="str">
        <f aca="false">IF(OR(NOT(ISNUMBER($R202)),$R202=0,NOT(ISNUMBER($K202))),"",$K202*(1-$R202))</f>
        <v/>
      </c>
      <c r="T202" s="45" t="str">
        <f aca="false">IF(ISNUMBER($S202),$S202*$H202,"")</f>
        <v/>
      </c>
      <c r="U202" s="45" t="str">
        <f aca="false">IF(ISNUMBER($S202),$S202*Parâmetros!$B$9,"")</f>
        <v/>
      </c>
      <c r="V202" s="45" t="str">
        <f aca="false">IF(ISNUMBER($S202),$S202*Parâmetros!$C$9,"")</f>
        <v/>
      </c>
      <c r="W202" s="44" t="str">
        <f aca="false">IF(ISNUMBER($S202),$S202-$D202-IF(ISNUMBER($E202),$E202,0)-$O202-$T202-$U202-$V202,"")</f>
        <v/>
      </c>
      <c r="X202" s="46" t="str">
        <f aca="false">IF(AND(ISNUMBER($S202),$S202&gt;0),$W202/$S202,"")</f>
        <v/>
      </c>
      <c r="Y202" s="47"/>
      <c r="Z202" s="19"/>
    </row>
    <row r="203" customFormat="false" ht="15.75" hidden="false" customHeight="true" outlineLevel="0" collapsed="false">
      <c r="A203" s="48" t="str">
        <f aca="false">IF(Produtos!$A203="","",Produtos!$A203)</f>
        <v>PQ-4090C</v>
      </c>
      <c r="B203" s="48" t="str">
        <f aca="false">IF(Produtos!$A203="","",Produtos!$B203)</f>
        <v>Lixeira quadrada c/Tampa colorida e Pedal 40x90 120L</v>
      </c>
      <c r="C203" s="48" t="str">
        <f aca="false">IF(Produtos!$A203="","",Produtos!$C203)</f>
        <v>Lixeiras com pedal</v>
      </c>
      <c r="D203" s="33" t="n">
        <f aca="false">IF(Produtos!$A203="","",IF(Produtos!$D203="","",Produtos!$D203))</f>
        <v>1078.18</v>
      </c>
      <c r="E203" s="11" t="n">
        <v>0</v>
      </c>
      <c r="F203" s="34" t="n">
        <f aca="false">IF($A203="","",IF($C203="","⚠ categoria",IFERROR(INDEX(Parâmetros!$G$13:$G$22,MATCH($C203,Parâmetros!$A$13:$A$22,0)),"⚠ categoria")))</f>
        <v>0.18</v>
      </c>
      <c r="G203" s="35"/>
      <c r="H203" s="36" t="n">
        <f aca="false">IF($A203="","",IF(ISNUMBER($G203),$G203,IF(ISNUMBER($F203),$F203,"")))</f>
        <v>0.18</v>
      </c>
      <c r="I203" s="37" t="n">
        <f aca="false">IF(OR($A203="",NOT(ISNUMBER($D203)),NOT(ISNUMBER($H203))),"",IF((1-$H203-Parâmetros!$B$9-Parâmetros!$C$9-Parâmetros!$D$9)&lt;=0,"INVALIDO",($D203+IF(ISNUMBER($E203),$E203,0)+IF(ISNUMBER(Parâmetros!$E$9),Parâmetros!$E$9,0))/(1-$H203-Parâmetros!$B$9-Parâmetros!$C$9-Parâmetros!$D$9)))</f>
        <v>2200.36734693878</v>
      </c>
      <c r="J203" s="38"/>
      <c r="K203" s="39" t="n">
        <f aca="false">IF(OR($A203="",NOT(ISNUMBER($D203)),NOT(ISNUMBER($H203))),"",IF(AND(ISNUMBER($J203),$J203&gt;0),$J203,IF(ISNUMBER($I203),$I203,"")))</f>
        <v>2200.36734693878</v>
      </c>
      <c r="L203" s="40" t="n">
        <f aca="false">IF(ISNUMBER($K203),$K203*$H203,"")</f>
        <v>396.06612244898</v>
      </c>
      <c r="M203" s="40" t="n">
        <f aca="false">IF(ISNUMBER($K203),$K203*Parâmetros!$B$9,"")</f>
        <v>220.036734693878</v>
      </c>
      <c r="N203" s="40" t="n">
        <f aca="false">IF(ISNUMBER($K203),$K203*Parâmetros!$C$9,"")</f>
        <v>66.0110204081633</v>
      </c>
      <c r="O203" s="40" t="n">
        <f aca="false">IF(ISNUMBER($K203),IF(ISNUMBER(Parâmetros!$E$9),Parâmetros!$E$9,0),"")</f>
        <v>0</v>
      </c>
      <c r="P203" s="41" t="n">
        <f aca="false">IF(ISNUMBER($K203),$K203-$D203-IF(ISNUMBER($E203),$E203,0)-$L203-$M203-$N203-$O203,"")</f>
        <v>440.073469387755</v>
      </c>
      <c r="Q203" s="42" t="n">
        <f aca="false">IF(AND(ISNUMBER($K203),$K203&gt;0),$P203/$K203,"")</f>
        <v>0.2</v>
      </c>
      <c r="R203" s="43"/>
      <c r="S203" s="44" t="str">
        <f aca="false">IF(OR(NOT(ISNUMBER($R203)),$R203=0,NOT(ISNUMBER($K203))),"",$K203*(1-$R203))</f>
        <v/>
      </c>
      <c r="T203" s="45" t="str">
        <f aca="false">IF(ISNUMBER($S203),$S203*$H203,"")</f>
        <v/>
      </c>
      <c r="U203" s="45" t="str">
        <f aca="false">IF(ISNUMBER($S203),$S203*Parâmetros!$B$9,"")</f>
        <v/>
      </c>
      <c r="V203" s="45" t="str">
        <f aca="false">IF(ISNUMBER($S203),$S203*Parâmetros!$C$9,"")</f>
        <v/>
      </c>
      <c r="W203" s="44" t="str">
        <f aca="false">IF(ISNUMBER($S203),$S203-$D203-IF(ISNUMBER($E203),$E203,0)-$O203-$T203-$U203-$V203,"")</f>
        <v/>
      </c>
      <c r="X203" s="46" t="str">
        <f aca="false">IF(AND(ISNUMBER($S203),$S203&gt;0),$W203/$S203,"")</f>
        <v/>
      </c>
      <c r="Y203" s="49"/>
      <c r="Z203" s="21"/>
    </row>
    <row r="204" customFormat="false" ht="15.75" hidden="false" customHeight="true" outlineLevel="0" collapsed="false">
      <c r="A204" s="32" t="str">
        <f aca="false">IF(Produtos!$A204="","",Produtos!$A204)</f>
        <v>PQ-5080C</v>
      </c>
      <c r="B204" s="32" t="str">
        <f aca="false">IF(Produtos!$A204="","",Produtos!$B204)</f>
        <v>Lixeira quadrada c/Tampa colorida e Pedal 50x80 150L</v>
      </c>
      <c r="C204" s="32" t="str">
        <f aca="false">IF(Produtos!$A204="","",Produtos!$C204)</f>
        <v>Lixeiras com pedal</v>
      </c>
      <c r="D204" s="33" t="n">
        <f aca="false">IF(Produtos!$A204="","",IF(Produtos!$D204="","",Produtos!$D204))</f>
        <v>1393</v>
      </c>
      <c r="E204" s="11" t="n">
        <v>0</v>
      </c>
      <c r="F204" s="34" t="n">
        <f aca="false">IF($A204="","",IF($C204="","⚠ categoria",IFERROR(INDEX(Parâmetros!$G$13:$G$22,MATCH($C204,Parâmetros!$A$13:$A$22,0)),"⚠ categoria")))</f>
        <v>0.18</v>
      </c>
      <c r="G204" s="35"/>
      <c r="H204" s="36" t="n">
        <f aca="false">IF($A204="","",IF(ISNUMBER($G204),$G204,IF(ISNUMBER($F204),$F204,"")))</f>
        <v>0.18</v>
      </c>
      <c r="I204" s="37" t="n">
        <f aca="false">IF(OR($A204="",NOT(ISNUMBER($D204)),NOT(ISNUMBER($H204))),"",IF((1-$H204-Parâmetros!$B$9-Parâmetros!$C$9-Parâmetros!$D$9)&lt;=0,"INVALIDO",($D204+IF(ISNUMBER($E204),$E204,0)+IF(ISNUMBER(Parâmetros!$E$9),Parâmetros!$E$9,0))/(1-$H204-Parâmetros!$B$9-Parâmetros!$C$9-Parâmetros!$D$9)))</f>
        <v>2842.85714285714</v>
      </c>
      <c r="J204" s="38"/>
      <c r="K204" s="39" t="n">
        <f aca="false">IF(OR($A204="",NOT(ISNUMBER($D204)),NOT(ISNUMBER($H204))),"",IF(AND(ISNUMBER($J204),$J204&gt;0),$J204,IF(ISNUMBER($I204),$I204,"")))</f>
        <v>2842.85714285714</v>
      </c>
      <c r="L204" s="40" t="n">
        <f aca="false">IF(ISNUMBER($K204),$K204*$H204,"")</f>
        <v>511.714285714286</v>
      </c>
      <c r="M204" s="40" t="n">
        <f aca="false">IF(ISNUMBER($K204),$K204*Parâmetros!$B$9,"")</f>
        <v>284.285714285714</v>
      </c>
      <c r="N204" s="40" t="n">
        <f aca="false">IF(ISNUMBER($K204),$K204*Parâmetros!$C$9,"")</f>
        <v>85.2857142857143</v>
      </c>
      <c r="O204" s="40" t="n">
        <f aca="false">IF(ISNUMBER($K204),IF(ISNUMBER(Parâmetros!$E$9),Parâmetros!$E$9,0),"")</f>
        <v>0</v>
      </c>
      <c r="P204" s="41" t="n">
        <f aca="false">IF(ISNUMBER($K204),$K204-$D204-IF(ISNUMBER($E204),$E204,0)-$L204-$M204-$N204-$O204,"")</f>
        <v>568.571428571428</v>
      </c>
      <c r="Q204" s="42" t="n">
        <f aca="false">IF(AND(ISNUMBER($K204),$K204&gt;0),$P204/$K204,"")</f>
        <v>0.2</v>
      </c>
      <c r="R204" s="43"/>
      <c r="S204" s="44" t="str">
        <f aca="false">IF(OR(NOT(ISNUMBER($R204)),$R204=0,NOT(ISNUMBER($K204))),"",$K204*(1-$R204))</f>
        <v/>
      </c>
      <c r="T204" s="45" t="str">
        <f aca="false">IF(ISNUMBER($S204),$S204*$H204,"")</f>
        <v/>
      </c>
      <c r="U204" s="45" t="str">
        <f aca="false">IF(ISNUMBER($S204),$S204*Parâmetros!$B$9,"")</f>
        <v/>
      </c>
      <c r="V204" s="45" t="str">
        <f aca="false">IF(ISNUMBER($S204),$S204*Parâmetros!$C$9,"")</f>
        <v/>
      </c>
      <c r="W204" s="44" t="str">
        <f aca="false">IF(ISNUMBER($S204),$S204-$D204-IF(ISNUMBER($E204),$E204,0)-$O204-$T204-$U204-$V204,"")</f>
        <v/>
      </c>
      <c r="X204" s="46" t="str">
        <f aca="false">IF(AND(ISNUMBER($S204),$S204&gt;0),$W204/$S204,"")</f>
        <v/>
      </c>
      <c r="Y204" s="47"/>
      <c r="Z204" s="19"/>
    </row>
    <row r="205" customFormat="false" ht="15.75" hidden="false" customHeight="true" outlineLevel="0" collapsed="false">
      <c r="A205" s="48" t="str">
        <f aca="false">IF(Produtos!$A205="","",Produtos!$A205)</f>
        <v>L1618-T</v>
      </c>
      <c r="B205" s="48" t="str">
        <f aca="false">IF(Produtos!$A205="","",Produtos!$B205)</f>
        <v>Lixeira de Aço inox 16x18 03L com tampa</v>
      </c>
      <c r="C205" s="48" t="str">
        <f aca="false">IF(Produtos!$A205="","",Produtos!$C205)</f>
        <v>Lixeiras em inox</v>
      </c>
      <c r="D205" s="33" t="n">
        <f aca="false">IF(Produtos!$A205="","",IF(Produtos!$D205="","",Produtos!$D205))</f>
        <v>54.47</v>
      </c>
      <c r="E205" s="11" t="n">
        <v>0</v>
      </c>
      <c r="F205" s="34" t="n">
        <f aca="false">IF($A205="","",IF($C205="","⚠ categoria",IFERROR(INDEX(Parâmetros!$G$13:$G$22,MATCH($C205,Parâmetros!$A$13:$A$22,0)),"⚠ categoria")))</f>
        <v>0.18</v>
      </c>
      <c r="G205" s="35"/>
      <c r="H205" s="36" t="n">
        <f aca="false">IF($A205="","",IF(ISNUMBER($G205),$G205,IF(ISNUMBER($F205),$F205,"")))</f>
        <v>0.18</v>
      </c>
      <c r="I205" s="37" t="n">
        <f aca="false">IF(OR($A205="",NOT(ISNUMBER($D205)),NOT(ISNUMBER($H205))),"",IF((1-$H205-Parâmetros!$B$9-Parâmetros!$C$9-Parâmetros!$D$9)&lt;=0,"INVALIDO",($D205+IF(ISNUMBER($E205),$E205,0)+IF(ISNUMBER(Parâmetros!$E$9),Parâmetros!$E$9,0))/(1-$H205-Parâmetros!$B$9-Parâmetros!$C$9-Parâmetros!$D$9)))</f>
        <v>111.163265306122</v>
      </c>
      <c r="J205" s="38"/>
      <c r="K205" s="39" t="n">
        <f aca="false">IF(OR($A205="",NOT(ISNUMBER($D205)),NOT(ISNUMBER($H205))),"",IF(AND(ISNUMBER($J205),$J205&gt;0),$J205,IF(ISNUMBER($I205),$I205,"")))</f>
        <v>111.163265306122</v>
      </c>
      <c r="L205" s="40" t="n">
        <f aca="false">IF(ISNUMBER($K205),$K205*$H205,"")</f>
        <v>20.009387755102</v>
      </c>
      <c r="M205" s="40" t="n">
        <f aca="false">IF(ISNUMBER($K205),$K205*Parâmetros!$B$9,"")</f>
        <v>11.1163265306122</v>
      </c>
      <c r="N205" s="40" t="n">
        <f aca="false">IF(ISNUMBER($K205),$K205*Parâmetros!$C$9,"")</f>
        <v>3.33489795918367</v>
      </c>
      <c r="O205" s="40" t="n">
        <f aca="false">IF(ISNUMBER($K205),IF(ISNUMBER(Parâmetros!$E$9),Parâmetros!$E$9,0),"")</f>
        <v>0</v>
      </c>
      <c r="P205" s="41" t="n">
        <f aca="false">IF(ISNUMBER($K205),$K205-$D205-IF(ISNUMBER($E205),$E205,0)-$L205-$M205-$N205-$O205,"")</f>
        <v>22.2326530612245</v>
      </c>
      <c r="Q205" s="42" t="n">
        <f aca="false">IF(AND(ISNUMBER($K205),$K205&gt;0),$P205/$K205,"")</f>
        <v>0.2</v>
      </c>
      <c r="R205" s="43"/>
      <c r="S205" s="44" t="str">
        <f aca="false">IF(OR(NOT(ISNUMBER($R205)),$R205=0,NOT(ISNUMBER($K205))),"",$K205*(1-$R205))</f>
        <v/>
      </c>
      <c r="T205" s="45" t="str">
        <f aca="false">IF(ISNUMBER($S205),$S205*$H205,"")</f>
        <v/>
      </c>
      <c r="U205" s="45" t="str">
        <f aca="false">IF(ISNUMBER($S205),$S205*Parâmetros!$B$9,"")</f>
        <v/>
      </c>
      <c r="V205" s="45" t="str">
        <f aca="false">IF(ISNUMBER($S205),$S205*Parâmetros!$C$9,"")</f>
        <v/>
      </c>
      <c r="W205" s="44" t="str">
        <f aca="false">IF(ISNUMBER($S205),$S205-$D205-IF(ISNUMBER($E205),$E205,0)-$O205-$T205-$U205-$V205,"")</f>
        <v/>
      </c>
      <c r="X205" s="46" t="str">
        <f aca="false">IF(AND(ISNUMBER($S205),$S205&gt;0),$W205/$S205,"")</f>
        <v/>
      </c>
      <c r="Y205" s="49"/>
      <c r="Z205" s="21"/>
    </row>
    <row r="206" customFormat="false" ht="15.75" hidden="false" customHeight="true" outlineLevel="0" collapsed="false">
      <c r="A206" s="32" t="str">
        <f aca="false">IF(Produtos!$A206="","",Produtos!$A206)</f>
        <v>L1623-T</v>
      </c>
      <c r="B206" s="32" t="str">
        <f aca="false">IF(Produtos!$A206="","",Produtos!$B206)</f>
        <v>Lixeira de Aço inox 16x23 05L com tampa</v>
      </c>
      <c r="C206" s="32" t="str">
        <f aca="false">IF(Produtos!$A206="","",Produtos!$C206)</f>
        <v>Lixeiras em inox</v>
      </c>
      <c r="D206" s="33" t="n">
        <f aca="false">IF(Produtos!$A206="","",IF(Produtos!$D206="","",Produtos!$D206))</f>
        <v>59.8</v>
      </c>
      <c r="E206" s="11" t="n">
        <v>0</v>
      </c>
      <c r="F206" s="34" t="n">
        <f aca="false">IF($A206="","",IF($C206="","⚠ categoria",IFERROR(INDEX(Parâmetros!$G$13:$G$22,MATCH($C206,Parâmetros!$A$13:$A$22,0)),"⚠ categoria")))</f>
        <v>0.18</v>
      </c>
      <c r="G206" s="35"/>
      <c r="H206" s="36" t="n">
        <f aca="false">IF($A206="","",IF(ISNUMBER($G206),$G206,IF(ISNUMBER($F206),$F206,"")))</f>
        <v>0.18</v>
      </c>
      <c r="I206" s="37" t="n">
        <f aca="false">IF(OR($A206="",NOT(ISNUMBER($D206)),NOT(ISNUMBER($H206))),"",IF((1-$H206-Parâmetros!$B$9-Parâmetros!$C$9-Parâmetros!$D$9)&lt;=0,"INVALIDO",($D206+IF(ISNUMBER($E206),$E206,0)+IF(ISNUMBER(Parâmetros!$E$9),Parâmetros!$E$9,0))/(1-$H206-Parâmetros!$B$9-Parâmetros!$C$9-Parâmetros!$D$9)))</f>
        <v>122.040816326531</v>
      </c>
      <c r="J206" s="38"/>
      <c r="K206" s="39" t="n">
        <f aca="false">IF(OR($A206="",NOT(ISNUMBER($D206)),NOT(ISNUMBER($H206))),"",IF(AND(ISNUMBER($J206),$J206&gt;0),$J206,IF(ISNUMBER($I206),$I206,"")))</f>
        <v>122.040816326531</v>
      </c>
      <c r="L206" s="40" t="n">
        <f aca="false">IF(ISNUMBER($K206),$K206*$H206,"")</f>
        <v>21.9673469387755</v>
      </c>
      <c r="M206" s="40" t="n">
        <f aca="false">IF(ISNUMBER($K206),$K206*Parâmetros!$B$9,"")</f>
        <v>12.2040816326531</v>
      </c>
      <c r="N206" s="40" t="n">
        <f aca="false">IF(ISNUMBER($K206),$K206*Parâmetros!$C$9,"")</f>
        <v>3.66122448979592</v>
      </c>
      <c r="O206" s="40" t="n">
        <f aca="false">IF(ISNUMBER($K206),IF(ISNUMBER(Parâmetros!$E$9),Parâmetros!$E$9,0),"")</f>
        <v>0</v>
      </c>
      <c r="P206" s="41" t="n">
        <f aca="false">IF(ISNUMBER($K206),$K206-$D206-IF(ISNUMBER($E206),$E206,0)-$L206-$M206-$N206-$O206,"")</f>
        <v>24.4081632653061</v>
      </c>
      <c r="Q206" s="42" t="n">
        <f aca="false">IF(AND(ISNUMBER($K206),$K206&gt;0),$P206/$K206,"")</f>
        <v>0.2</v>
      </c>
      <c r="R206" s="43"/>
      <c r="S206" s="44" t="str">
        <f aca="false">IF(OR(NOT(ISNUMBER($R206)),$R206=0,NOT(ISNUMBER($K206))),"",$K206*(1-$R206))</f>
        <v/>
      </c>
      <c r="T206" s="45" t="str">
        <f aca="false">IF(ISNUMBER($S206),$S206*$H206,"")</f>
        <v/>
      </c>
      <c r="U206" s="45" t="str">
        <f aca="false">IF(ISNUMBER($S206),$S206*Parâmetros!$B$9,"")</f>
        <v/>
      </c>
      <c r="V206" s="45" t="str">
        <f aca="false">IF(ISNUMBER($S206),$S206*Parâmetros!$C$9,"")</f>
        <v/>
      </c>
      <c r="W206" s="44" t="str">
        <f aca="false">IF(ISNUMBER($S206),$S206-$D206-IF(ISNUMBER($E206),$E206,0)-$O206-$T206-$U206-$V206,"")</f>
        <v/>
      </c>
      <c r="X206" s="46" t="str">
        <f aca="false">IF(AND(ISNUMBER($S206),$S206&gt;0),$W206/$S206,"")</f>
        <v/>
      </c>
      <c r="Y206" s="47"/>
      <c r="Z206" s="19"/>
    </row>
    <row r="207" customFormat="false" ht="15.75" hidden="false" customHeight="true" outlineLevel="0" collapsed="false">
      <c r="A207" s="48" t="str">
        <f aca="false">IF(Produtos!$A207="","",Produtos!$A207)</f>
        <v>L2025-T</v>
      </c>
      <c r="B207" s="48" t="str">
        <f aca="false">IF(Produtos!$A207="","",Produtos!$B207)</f>
        <v>Lixeira de Aço inox 20x25 07L com tampa</v>
      </c>
      <c r="C207" s="48" t="str">
        <f aca="false">IF(Produtos!$A207="","",Produtos!$C207)</f>
        <v>Lixeiras em inox</v>
      </c>
      <c r="D207" s="33" t="n">
        <f aca="false">IF(Produtos!$A207="","",IF(Produtos!$D207="","",Produtos!$D207))</f>
        <v>63.11</v>
      </c>
      <c r="E207" s="11" t="n">
        <v>0</v>
      </c>
      <c r="F207" s="34" t="n">
        <f aca="false">IF($A207="","",IF($C207="","⚠ categoria",IFERROR(INDEX(Parâmetros!$G$13:$G$22,MATCH($C207,Parâmetros!$A$13:$A$22,0)),"⚠ categoria")))</f>
        <v>0.18</v>
      </c>
      <c r="G207" s="35"/>
      <c r="H207" s="36" t="n">
        <f aca="false">IF($A207="","",IF(ISNUMBER($G207),$G207,IF(ISNUMBER($F207),$F207,"")))</f>
        <v>0.18</v>
      </c>
      <c r="I207" s="37" t="n">
        <f aca="false">IF(OR($A207="",NOT(ISNUMBER($D207)),NOT(ISNUMBER($H207))),"",IF((1-$H207-Parâmetros!$B$9-Parâmetros!$C$9-Parâmetros!$D$9)&lt;=0,"INVALIDO",($D207+IF(ISNUMBER($E207),$E207,0)+IF(ISNUMBER(Parâmetros!$E$9),Parâmetros!$E$9,0))/(1-$H207-Parâmetros!$B$9-Parâmetros!$C$9-Parâmetros!$D$9)))</f>
        <v>128.795918367347</v>
      </c>
      <c r="J207" s="38"/>
      <c r="K207" s="39" t="n">
        <f aca="false">IF(OR($A207="",NOT(ISNUMBER($D207)),NOT(ISNUMBER($H207))),"",IF(AND(ISNUMBER($J207),$J207&gt;0),$J207,IF(ISNUMBER($I207),$I207,"")))</f>
        <v>128.795918367347</v>
      </c>
      <c r="L207" s="40" t="n">
        <f aca="false">IF(ISNUMBER($K207),$K207*$H207,"")</f>
        <v>23.1832653061224</v>
      </c>
      <c r="M207" s="40" t="n">
        <f aca="false">IF(ISNUMBER($K207),$K207*Parâmetros!$B$9,"")</f>
        <v>12.8795918367347</v>
      </c>
      <c r="N207" s="40" t="n">
        <f aca="false">IF(ISNUMBER($K207),$K207*Parâmetros!$C$9,"")</f>
        <v>3.86387755102041</v>
      </c>
      <c r="O207" s="40" t="n">
        <f aca="false">IF(ISNUMBER($K207),IF(ISNUMBER(Parâmetros!$E$9),Parâmetros!$E$9,0),"")</f>
        <v>0</v>
      </c>
      <c r="P207" s="41" t="n">
        <f aca="false">IF(ISNUMBER($K207),$K207-$D207-IF(ISNUMBER($E207),$E207,0)-$L207-$M207-$N207-$O207,"")</f>
        <v>25.7591836734694</v>
      </c>
      <c r="Q207" s="42" t="n">
        <f aca="false">IF(AND(ISNUMBER($K207),$K207&gt;0),$P207/$K207,"")</f>
        <v>0.2</v>
      </c>
      <c r="R207" s="43"/>
      <c r="S207" s="44" t="str">
        <f aca="false">IF(OR(NOT(ISNUMBER($R207)),$R207=0,NOT(ISNUMBER($K207))),"",$K207*(1-$R207))</f>
        <v/>
      </c>
      <c r="T207" s="45" t="str">
        <f aca="false">IF(ISNUMBER($S207),$S207*$H207,"")</f>
        <v/>
      </c>
      <c r="U207" s="45" t="str">
        <f aca="false">IF(ISNUMBER($S207),$S207*Parâmetros!$B$9,"")</f>
        <v/>
      </c>
      <c r="V207" s="45" t="str">
        <f aca="false">IF(ISNUMBER($S207),$S207*Parâmetros!$C$9,"")</f>
        <v/>
      </c>
      <c r="W207" s="44" t="str">
        <f aca="false">IF(ISNUMBER($S207),$S207-$D207-IF(ISNUMBER($E207),$E207,0)-$O207-$T207-$U207-$V207,"")</f>
        <v/>
      </c>
      <c r="X207" s="46" t="str">
        <f aca="false">IF(AND(ISNUMBER($S207),$S207&gt;0),$W207/$S207,"")</f>
        <v/>
      </c>
      <c r="Y207" s="49"/>
      <c r="Z207" s="21"/>
    </row>
    <row r="208" customFormat="false" ht="15.75" hidden="false" customHeight="true" outlineLevel="0" collapsed="false">
      <c r="A208" s="32" t="str">
        <f aca="false">IF(Produtos!$A208="","",Produtos!$A208)</f>
        <v>L2030-T</v>
      </c>
      <c r="B208" s="32" t="str">
        <f aca="false">IF(Produtos!$A208="","",Produtos!$B208)</f>
        <v>Lixeira de Aço inox 20x30 10L com tampa</v>
      </c>
      <c r="C208" s="32" t="str">
        <f aca="false">IF(Produtos!$A208="","",Produtos!$C208)</f>
        <v>Lixeiras em inox</v>
      </c>
      <c r="D208" s="33" t="n">
        <f aca="false">IF(Produtos!$A208="","",IF(Produtos!$D208="","",Produtos!$D208))</f>
        <v>69.27</v>
      </c>
      <c r="E208" s="11" t="n">
        <v>0</v>
      </c>
      <c r="F208" s="34" t="n">
        <f aca="false">IF($A208="","",IF($C208="","⚠ categoria",IFERROR(INDEX(Parâmetros!$G$13:$G$22,MATCH($C208,Parâmetros!$A$13:$A$22,0)),"⚠ categoria")))</f>
        <v>0.18</v>
      </c>
      <c r="G208" s="35"/>
      <c r="H208" s="36" t="n">
        <f aca="false">IF($A208="","",IF(ISNUMBER($G208),$G208,IF(ISNUMBER($F208),$F208,"")))</f>
        <v>0.18</v>
      </c>
      <c r="I208" s="37" t="n">
        <f aca="false">IF(OR($A208="",NOT(ISNUMBER($D208)),NOT(ISNUMBER($H208))),"",IF((1-$H208-Parâmetros!$B$9-Parâmetros!$C$9-Parâmetros!$D$9)&lt;=0,"INVALIDO",($D208+IF(ISNUMBER($E208),$E208,0)+IF(ISNUMBER(Parâmetros!$E$9),Parâmetros!$E$9,0))/(1-$H208-Parâmetros!$B$9-Parâmetros!$C$9-Parâmetros!$D$9)))</f>
        <v>141.367346938775</v>
      </c>
      <c r="J208" s="38"/>
      <c r="K208" s="39" t="n">
        <f aca="false">IF(OR($A208="",NOT(ISNUMBER($D208)),NOT(ISNUMBER($H208))),"",IF(AND(ISNUMBER($J208),$J208&gt;0),$J208,IF(ISNUMBER($I208),$I208,"")))</f>
        <v>141.367346938775</v>
      </c>
      <c r="L208" s="40" t="n">
        <f aca="false">IF(ISNUMBER($K208),$K208*$H208,"")</f>
        <v>25.4461224489796</v>
      </c>
      <c r="M208" s="40" t="n">
        <f aca="false">IF(ISNUMBER($K208),$K208*Parâmetros!$B$9,"")</f>
        <v>14.1367346938776</v>
      </c>
      <c r="N208" s="40" t="n">
        <f aca="false">IF(ISNUMBER($K208),$K208*Parâmetros!$C$9,"")</f>
        <v>4.24102040816327</v>
      </c>
      <c r="O208" s="40" t="n">
        <f aca="false">IF(ISNUMBER($K208),IF(ISNUMBER(Parâmetros!$E$9),Parâmetros!$E$9,0),"")</f>
        <v>0</v>
      </c>
      <c r="P208" s="41" t="n">
        <f aca="false">IF(ISNUMBER($K208),$K208-$D208-IF(ISNUMBER($E208),$E208,0)-$L208-$M208-$N208-$O208,"")</f>
        <v>28.2734693877551</v>
      </c>
      <c r="Q208" s="42" t="n">
        <f aca="false">IF(AND(ISNUMBER($K208),$K208&gt;0),$P208/$K208,"")</f>
        <v>0.2</v>
      </c>
      <c r="R208" s="43"/>
      <c r="S208" s="44" t="str">
        <f aca="false">IF(OR(NOT(ISNUMBER($R208)),$R208=0,NOT(ISNUMBER($K208))),"",$K208*(1-$R208))</f>
        <v/>
      </c>
      <c r="T208" s="45" t="str">
        <f aca="false">IF(ISNUMBER($S208),$S208*$H208,"")</f>
        <v/>
      </c>
      <c r="U208" s="45" t="str">
        <f aca="false">IF(ISNUMBER($S208),$S208*Parâmetros!$B$9,"")</f>
        <v/>
      </c>
      <c r="V208" s="45" t="str">
        <f aca="false">IF(ISNUMBER($S208),$S208*Parâmetros!$C$9,"")</f>
        <v/>
      </c>
      <c r="W208" s="44" t="str">
        <f aca="false">IF(ISNUMBER($S208),$S208-$D208-IF(ISNUMBER($E208),$E208,0)-$O208-$T208-$U208-$V208,"")</f>
        <v/>
      </c>
      <c r="X208" s="46" t="str">
        <f aca="false">IF(AND(ISNUMBER($S208),$S208&gt;0),$W208/$S208,"")</f>
        <v/>
      </c>
      <c r="Y208" s="47"/>
      <c r="Z208" s="19"/>
    </row>
    <row r="209" customFormat="false" ht="15.75" hidden="false" customHeight="true" outlineLevel="0" collapsed="false">
      <c r="A209" s="48" t="str">
        <f aca="false">IF(Produtos!$A209="","",Produtos!$A209)</f>
        <v>A24</v>
      </c>
      <c r="B209" s="48" t="str">
        <f aca="false">IF(Produtos!$A209="","",Produtos!$B209)</f>
        <v>Aro 24cm Aço Inox</v>
      </c>
      <c r="C209" s="48" t="str">
        <f aca="false">IF(Produtos!$A209="","",Produtos!$C209)</f>
        <v>Acessórios (aros e tampas)</v>
      </c>
      <c r="D209" s="33" t="n">
        <f aca="false">IF(Produtos!$A209="","",IF(Produtos!$D209="","",Produtos!$D209))</f>
        <v>38.11</v>
      </c>
      <c r="E209" s="11" t="n">
        <v>0</v>
      </c>
      <c r="F209" s="34" t="n">
        <f aca="false">IF($A209="","",IF($C209="","⚠ categoria",IFERROR(INDEX(Parâmetros!$G$13:$G$22,MATCH($C209,Parâmetros!$A$13:$A$22,0)),"⚠ categoria")))</f>
        <v>0.18</v>
      </c>
      <c r="G209" s="35"/>
      <c r="H209" s="36" t="n">
        <f aca="false">IF($A209="","",IF(ISNUMBER($G209),$G209,IF(ISNUMBER($F209),$F209,"")))</f>
        <v>0.18</v>
      </c>
      <c r="I209" s="37" t="n">
        <f aca="false">IF(OR($A209="",NOT(ISNUMBER($D209)),NOT(ISNUMBER($H209))),"",IF((1-$H209-Parâmetros!$B$9-Parâmetros!$C$9-Parâmetros!$D$9)&lt;=0,"INVALIDO",($D209+IF(ISNUMBER($E209),$E209,0)+IF(ISNUMBER(Parâmetros!$E$9),Parâmetros!$E$9,0))/(1-$H209-Parâmetros!$B$9-Parâmetros!$C$9-Parâmetros!$D$9)))</f>
        <v>77.7755102040816</v>
      </c>
      <c r="J209" s="38"/>
      <c r="K209" s="39" t="n">
        <f aca="false">IF(OR($A209="",NOT(ISNUMBER($D209)),NOT(ISNUMBER($H209))),"",IF(AND(ISNUMBER($J209),$J209&gt;0),$J209,IF(ISNUMBER($I209),$I209,"")))</f>
        <v>77.7755102040816</v>
      </c>
      <c r="L209" s="40" t="n">
        <f aca="false">IF(ISNUMBER($K209),$K209*$H209,"")</f>
        <v>13.9995918367347</v>
      </c>
      <c r="M209" s="40" t="n">
        <f aca="false">IF(ISNUMBER($K209),$K209*Parâmetros!$B$9,"")</f>
        <v>7.77755102040816</v>
      </c>
      <c r="N209" s="40" t="n">
        <f aca="false">IF(ISNUMBER($K209),$K209*Parâmetros!$C$9,"")</f>
        <v>2.33326530612245</v>
      </c>
      <c r="O209" s="40" t="n">
        <f aca="false">IF(ISNUMBER($K209),IF(ISNUMBER(Parâmetros!$E$9),Parâmetros!$E$9,0),"")</f>
        <v>0</v>
      </c>
      <c r="P209" s="41" t="n">
        <f aca="false">IF(ISNUMBER($K209),$K209-$D209-IF(ISNUMBER($E209),$E209,0)-$L209-$M209-$N209-$O209,"")</f>
        <v>15.5551020408163</v>
      </c>
      <c r="Q209" s="42" t="n">
        <f aca="false">IF(AND(ISNUMBER($K209),$K209&gt;0),$P209/$K209,"")</f>
        <v>0.2</v>
      </c>
      <c r="R209" s="43"/>
      <c r="S209" s="44" t="str">
        <f aca="false">IF(OR(NOT(ISNUMBER($R209)),$R209=0,NOT(ISNUMBER($K209))),"",$K209*(1-$R209))</f>
        <v/>
      </c>
      <c r="T209" s="45" t="str">
        <f aca="false">IF(ISNUMBER($S209),$S209*$H209,"")</f>
        <v/>
      </c>
      <c r="U209" s="45" t="str">
        <f aca="false">IF(ISNUMBER($S209),$S209*Parâmetros!$B$9,"")</f>
        <v/>
      </c>
      <c r="V209" s="45" t="str">
        <f aca="false">IF(ISNUMBER($S209),$S209*Parâmetros!$C$9,"")</f>
        <v/>
      </c>
      <c r="W209" s="44" t="str">
        <f aca="false">IF(ISNUMBER($S209),$S209-$D209-IF(ISNUMBER($E209),$E209,0)-$O209-$T209-$U209-$V209,"")</f>
        <v/>
      </c>
      <c r="X209" s="46" t="str">
        <f aca="false">IF(AND(ISNUMBER($S209),$S209&gt;0),$W209/$S209,"")</f>
        <v/>
      </c>
      <c r="Y209" s="49"/>
      <c r="Z209" s="21"/>
    </row>
    <row r="210" customFormat="false" ht="15.75" hidden="false" customHeight="true" outlineLevel="0" collapsed="false">
      <c r="A210" s="32" t="str">
        <f aca="false">IF(Produtos!$A210="","",Produtos!$A210)</f>
        <v>A30</v>
      </c>
      <c r="B210" s="32" t="str">
        <f aca="false">IF(Produtos!$A210="","",Produtos!$B210)</f>
        <v>Aro 30cm Aço Inox</v>
      </c>
      <c r="C210" s="32" t="str">
        <f aca="false">IF(Produtos!$A210="","",Produtos!$C210)</f>
        <v>Acessórios (aros e tampas)</v>
      </c>
      <c r="D210" s="33" t="n">
        <f aca="false">IF(Produtos!$A210="","",IF(Produtos!$D210="","",Produtos!$D210))</f>
        <v>44.27</v>
      </c>
      <c r="E210" s="11" t="n">
        <v>0</v>
      </c>
      <c r="F210" s="34" t="n">
        <f aca="false">IF($A210="","",IF($C210="","⚠ categoria",IFERROR(INDEX(Parâmetros!$G$13:$G$22,MATCH($C210,Parâmetros!$A$13:$A$22,0)),"⚠ categoria")))</f>
        <v>0.18</v>
      </c>
      <c r="G210" s="35"/>
      <c r="H210" s="36" t="n">
        <f aca="false">IF($A210="","",IF(ISNUMBER($G210),$G210,IF(ISNUMBER($F210),$F210,"")))</f>
        <v>0.18</v>
      </c>
      <c r="I210" s="37" t="n">
        <f aca="false">IF(OR($A210="",NOT(ISNUMBER($D210)),NOT(ISNUMBER($H210))),"",IF((1-$H210-Parâmetros!$B$9-Parâmetros!$C$9-Parâmetros!$D$9)&lt;=0,"INVALIDO",($D210+IF(ISNUMBER($E210),$E210,0)+IF(ISNUMBER(Parâmetros!$E$9),Parâmetros!$E$9,0))/(1-$H210-Parâmetros!$B$9-Parâmetros!$C$9-Parâmetros!$D$9)))</f>
        <v>90.3469387755102</v>
      </c>
      <c r="J210" s="38"/>
      <c r="K210" s="39" t="n">
        <f aca="false">IF(OR($A210="",NOT(ISNUMBER($D210)),NOT(ISNUMBER($H210))),"",IF(AND(ISNUMBER($J210),$J210&gt;0),$J210,IF(ISNUMBER($I210),$I210,"")))</f>
        <v>90.3469387755102</v>
      </c>
      <c r="L210" s="40" t="n">
        <f aca="false">IF(ISNUMBER($K210),$K210*$H210,"")</f>
        <v>16.2624489795918</v>
      </c>
      <c r="M210" s="40" t="n">
        <f aca="false">IF(ISNUMBER($K210),$K210*Parâmetros!$B$9,"")</f>
        <v>9.03469387755102</v>
      </c>
      <c r="N210" s="40" t="n">
        <f aca="false">IF(ISNUMBER($K210),$K210*Parâmetros!$C$9,"")</f>
        <v>2.71040816326531</v>
      </c>
      <c r="O210" s="40" t="n">
        <f aca="false">IF(ISNUMBER($K210),IF(ISNUMBER(Parâmetros!$E$9),Parâmetros!$E$9,0),"")</f>
        <v>0</v>
      </c>
      <c r="P210" s="41" t="n">
        <f aca="false">IF(ISNUMBER($K210),$K210-$D210-IF(ISNUMBER($E210),$E210,0)-$L210-$M210-$N210-$O210,"")</f>
        <v>18.069387755102</v>
      </c>
      <c r="Q210" s="42" t="n">
        <f aca="false">IF(AND(ISNUMBER($K210),$K210&gt;0),$P210/$K210,"")</f>
        <v>0.2</v>
      </c>
      <c r="R210" s="43"/>
      <c r="S210" s="44" t="str">
        <f aca="false">IF(OR(NOT(ISNUMBER($R210)),$R210=0,NOT(ISNUMBER($K210))),"",$K210*(1-$R210))</f>
        <v/>
      </c>
      <c r="T210" s="45" t="str">
        <f aca="false">IF(ISNUMBER($S210),$S210*$H210,"")</f>
        <v/>
      </c>
      <c r="U210" s="45" t="str">
        <f aca="false">IF(ISNUMBER($S210),$S210*Parâmetros!$B$9,"")</f>
        <v/>
      </c>
      <c r="V210" s="45" t="str">
        <f aca="false">IF(ISNUMBER($S210),$S210*Parâmetros!$C$9,"")</f>
        <v/>
      </c>
      <c r="W210" s="44" t="str">
        <f aca="false">IF(ISNUMBER($S210),$S210-$D210-IF(ISNUMBER($E210),$E210,0)-$O210-$T210-$U210-$V210,"")</f>
        <v/>
      </c>
      <c r="X210" s="46" t="str">
        <f aca="false">IF(AND(ISNUMBER($S210),$S210&gt;0),$W210/$S210,"")</f>
        <v/>
      </c>
      <c r="Y210" s="47"/>
      <c r="Z210" s="19"/>
    </row>
    <row r="211" customFormat="false" ht="15.75" hidden="false" customHeight="true" outlineLevel="0" collapsed="false">
      <c r="A211" s="48" t="str">
        <f aca="false">IF(Produtos!$A211="","",Produtos!$A211)</f>
        <v>A40</v>
      </c>
      <c r="B211" s="48" t="str">
        <f aca="false">IF(Produtos!$A211="","",Produtos!$B211)</f>
        <v>Aro 40cm Aço Inox</v>
      </c>
      <c r="C211" s="48" t="str">
        <f aca="false">IF(Produtos!$A211="","",Produtos!$C211)</f>
        <v>Acessórios (aros e tampas)</v>
      </c>
      <c r="D211" s="33" t="n">
        <f aca="false">IF(Produtos!$A211="","",IF(Produtos!$D211="","",Produtos!$D211))</f>
        <v>94.36</v>
      </c>
      <c r="E211" s="11" t="n">
        <v>0</v>
      </c>
      <c r="F211" s="34" t="n">
        <f aca="false">IF($A211="","",IF($C211="","⚠ categoria",IFERROR(INDEX(Parâmetros!$G$13:$G$22,MATCH($C211,Parâmetros!$A$13:$A$22,0)),"⚠ categoria")))</f>
        <v>0.18</v>
      </c>
      <c r="G211" s="35"/>
      <c r="H211" s="36" t="n">
        <f aca="false">IF($A211="","",IF(ISNUMBER($G211),$G211,IF(ISNUMBER($F211),$F211,"")))</f>
        <v>0.18</v>
      </c>
      <c r="I211" s="37" t="n">
        <f aca="false">IF(OR($A211="",NOT(ISNUMBER($D211)),NOT(ISNUMBER($H211))),"",IF((1-$H211-Parâmetros!$B$9-Parâmetros!$C$9-Parâmetros!$D$9)&lt;=0,"INVALIDO",($D211+IF(ISNUMBER($E211),$E211,0)+IF(ISNUMBER(Parâmetros!$E$9),Parâmetros!$E$9,0))/(1-$H211-Parâmetros!$B$9-Parâmetros!$C$9-Parâmetros!$D$9)))</f>
        <v>192.571428571429</v>
      </c>
      <c r="J211" s="38"/>
      <c r="K211" s="39" t="n">
        <f aca="false">IF(OR($A211="",NOT(ISNUMBER($D211)),NOT(ISNUMBER($H211))),"",IF(AND(ISNUMBER($J211),$J211&gt;0),$J211,IF(ISNUMBER($I211),$I211,"")))</f>
        <v>192.571428571429</v>
      </c>
      <c r="L211" s="40" t="n">
        <f aca="false">IF(ISNUMBER($K211),$K211*$H211,"")</f>
        <v>34.6628571428571</v>
      </c>
      <c r="M211" s="40" t="n">
        <f aca="false">IF(ISNUMBER($K211),$K211*Parâmetros!$B$9,"")</f>
        <v>19.2571428571429</v>
      </c>
      <c r="N211" s="40" t="n">
        <f aca="false">IF(ISNUMBER($K211),$K211*Parâmetros!$C$9,"")</f>
        <v>5.77714285714286</v>
      </c>
      <c r="O211" s="40" t="n">
        <f aca="false">IF(ISNUMBER($K211),IF(ISNUMBER(Parâmetros!$E$9),Parâmetros!$E$9,0),"")</f>
        <v>0</v>
      </c>
      <c r="P211" s="41" t="n">
        <f aca="false">IF(ISNUMBER($K211),$K211-$D211-IF(ISNUMBER($E211),$E211,0)-$L211-$M211-$N211-$O211,"")</f>
        <v>38.5142857142857</v>
      </c>
      <c r="Q211" s="42" t="n">
        <f aca="false">IF(AND(ISNUMBER($K211),$K211&gt;0),$P211/$K211,"")</f>
        <v>0.2</v>
      </c>
      <c r="R211" s="43"/>
      <c r="S211" s="44" t="str">
        <f aca="false">IF(OR(NOT(ISNUMBER($R211)),$R211=0,NOT(ISNUMBER($K211))),"",$K211*(1-$R211))</f>
        <v/>
      </c>
      <c r="T211" s="45" t="str">
        <f aca="false">IF(ISNUMBER($S211),$S211*$H211,"")</f>
        <v/>
      </c>
      <c r="U211" s="45" t="str">
        <f aca="false">IF(ISNUMBER($S211),$S211*Parâmetros!$B$9,"")</f>
        <v/>
      </c>
      <c r="V211" s="45" t="str">
        <f aca="false">IF(ISNUMBER($S211),$S211*Parâmetros!$C$9,"")</f>
        <v/>
      </c>
      <c r="W211" s="44" t="str">
        <f aca="false">IF(ISNUMBER($S211),$S211-$D211-IF(ISNUMBER($E211),$E211,0)-$O211-$T211-$U211-$V211,"")</f>
        <v/>
      </c>
      <c r="X211" s="46" t="str">
        <f aca="false">IF(AND(ISNUMBER($S211),$S211&gt;0),$W211/$S211,"")</f>
        <v/>
      </c>
      <c r="Y211" s="49"/>
      <c r="Z211" s="21"/>
    </row>
    <row r="212" customFormat="false" ht="15.75" hidden="false" customHeight="true" outlineLevel="0" collapsed="false">
      <c r="A212" s="32" t="str">
        <f aca="false">IF(Produtos!$A212="","",Produtos!$A212)</f>
        <v>A24B</v>
      </c>
      <c r="B212" s="32" t="str">
        <f aca="false">IF(Produtos!$A212="","",Produtos!$B212)</f>
        <v>Aro 24cm c/Basculante Aço Inox</v>
      </c>
      <c r="C212" s="32" t="str">
        <f aca="false">IF(Produtos!$A212="","",Produtos!$C212)</f>
        <v>Acessórios (aros e tampas)</v>
      </c>
      <c r="D212" s="33" t="n">
        <f aca="false">IF(Produtos!$A212="","",IF(Produtos!$D212="","",Produtos!$D212))</f>
        <v>52.34</v>
      </c>
      <c r="E212" s="11" t="n">
        <v>0</v>
      </c>
      <c r="F212" s="34" t="n">
        <f aca="false">IF($A212="","",IF($C212="","⚠ categoria",IFERROR(INDEX(Parâmetros!$G$13:$G$22,MATCH($C212,Parâmetros!$A$13:$A$22,0)),"⚠ categoria")))</f>
        <v>0.18</v>
      </c>
      <c r="G212" s="35"/>
      <c r="H212" s="36" t="n">
        <f aca="false">IF($A212="","",IF(ISNUMBER($G212),$G212,IF(ISNUMBER($F212),$F212,"")))</f>
        <v>0.18</v>
      </c>
      <c r="I212" s="37" t="n">
        <f aca="false">IF(OR($A212="",NOT(ISNUMBER($D212)),NOT(ISNUMBER($H212))),"",IF((1-$H212-Parâmetros!$B$9-Parâmetros!$C$9-Parâmetros!$D$9)&lt;=0,"INVALIDO",($D212+IF(ISNUMBER($E212),$E212,0)+IF(ISNUMBER(Parâmetros!$E$9),Parâmetros!$E$9,0))/(1-$H212-Parâmetros!$B$9-Parâmetros!$C$9-Parâmetros!$D$9)))</f>
        <v>106.816326530612</v>
      </c>
      <c r="J212" s="38"/>
      <c r="K212" s="39" t="n">
        <f aca="false">IF(OR($A212="",NOT(ISNUMBER($D212)),NOT(ISNUMBER($H212))),"",IF(AND(ISNUMBER($J212),$J212&gt;0),$J212,IF(ISNUMBER($I212),$I212,"")))</f>
        <v>106.816326530612</v>
      </c>
      <c r="L212" s="40" t="n">
        <f aca="false">IF(ISNUMBER($K212),$K212*$H212,"")</f>
        <v>19.2269387755102</v>
      </c>
      <c r="M212" s="40" t="n">
        <f aca="false">IF(ISNUMBER($K212),$K212*Parâmetros!$B$9,"")</f>
        <v>10.6816326530612</v>
      </c>
      <c r="N212" s="40" t="n">
        <f aca="false">IF(ISNUMBER($K212),$K212*Parâmetros!$C$9,"")</f>
        <v>3.20448979591837</v>
      </c>
      <c r="O212" s="40" t="n">
        <f aca="false">IF(ISNUMBER($K212),IF(ISNUMBER(Parâmetros!$E$9),Parâmetros!$E$9,0),"")</f>
        <v>0</v>
      </c>
      <c r="P212" s="41" t="n">
        <f aca="false">IF(ISNUMBER($K212),$K212-$D212-IF(ISNUMBER($E212),$E212,0)-$L212-$M212-$N212-$O212,"")</f>
        <v>21.3632653061224</v>
      </c>
      <c r="Q212" s="42" t="n">
        <f aca="false">IF(AND(ISNUMBER($K212),$K212&gt;0),$P212/$K212,"")</f>
        <v>0.2</v>
      </c>
      <c r="R212" s="43"/>
      <c r="S212" s="44" t="str">
        <f aca="false">IF(OR(NOT(ISNUMBER($R212)),$R212=0,NOT(ISNUMBER($K212))),"",$K212*(1-$R212))</f>
        <v/>
      </c>
      <c r="T212" s="45" t="str">
        <f aca="false">IF(ISNUMBER($S212),$S212*$H212,"")</f>
        <v/>
      </c>
      <c r="U212" s="45" t="str">
        <f aca="false">IF(ISNUMBER($S212),$S212*Parâmetros!$B$9,"")</f>
        <v/>
      </c>
      <c r="V212" s="45" t="str">
        <f aca="false">IF(ISNUMBER($S212),$S212*Parâmetros!$C$9,"")</f>
        <v/>
      </c>
      <c r="W212" s="44" t="str">
        <f aca="false">IF(ISNUMBER($S212),$S212-$D212-IF(ISNUMBER($E212),$E212,0)-$O212-$T212-$U212-$V212,"")</f>
        <v/>
      </c>
      <c r="X212" s="46" t="str">
        <f aca="false">IF(AND(ISNUMBER($S212),$S212&gt;0),$W212/$S212,"")</f>
        <v/>
      </c>
      <c r="Y212" s="47"/>
      <c r="Z212" s="19"/>
    </row>
    <row r="213" customFormat="false" ht="15.75" hidden="false" customHeight="true" outlineLevel="0" collapsed="false">
      <c r="A213" s="48" t="str">
        <f aca="false">IF(Produtos!$A213="","",Produtos!$A213)</f>
        <v>A30B</v>
      </c>
      <c r="B213" s="48" t="str">
        <f aca="false">IF(Produtos!$A213="","",Produtos!$B213)</f>
        <v>Aro 30cm c/Basculante Aço Inox</v>
      </c>
      <c r="C213" s="48" t="str">
        <f aca="false">IF(Produtos!$A213="","",Produtos!$C213)</f>
        <v>Acessórios (aros e tampas)</v>
      </c>
      <c r="D213" s="33" t="n">
        <f aca="false">IF(Produtos!$A213="","",IF(Produtos!$D213="","",Produtos!$D213))</f>
        <v>68.24</v>
      </c>
      <c r="E213" s="11" t="n">
        <v>0</v>
      </c>
      <c r="F213" s="34" t="n">
        <f aca="false">IF($A213="","",IF($C213="","⚠ categoria",IFERROR(INDEX(Parâmetros!$G$13:$G$22,MATCH($C213,Parâmetros!$A$13:$A$22,0)),"⚠ categoria")))</f>
        <v>0.18</v>
      </c>
      <c r="G213" s="35"/>
      <c r="H213" s="36" t="n">
        <f aca="false">IF($A213="","",IF(ISNUMBER($G213),$G213,IF(ISNUMBER($F213),$F213,"")))</f>
        <v>0.18</v>
      </c>
      <c r="I213" s="37" t="n">
        <f aca="false">IF(OR($A213="",NOT(ISNUMBER($D213)),NOT(ISNUMBER($H213))),"",IF((1-$H213-Parâmetros!$B$9-Parâmetros!$C$9-Parâmetros!$D$9)&lt;=0,"INVALIDO",($D213+IF(ISNUMBER($E213),$E213,0)+IF(ISNUMBER(Parâmetros!$E$9),Parâmetros!$E$9,0))/(1-$H213-Parâmetros!$B$9-Parâmetros!$C$9-Parâmetros!$D$9)))</f>
        <v>139.265306122449</v>
      </c>
      <c r="J213" s="38"/>
      <c r="K213" s="39" t="n">
        <f aca="false">IF(OR($A213="",NOT(ISNUMBER($D213)),NOT(ISNUMBER($H213))),"",IF(AND(ISNUMBER($J213),$J213&gt;0),$J213,IF(ISNUMBER($I213),$I213,"")))</f>
        <v>139.265306122449</v>
      </c>
      <c r="L213" s="40" t="n">
        <f aca="false">IF(ISNUMBER($K213),$K213*$H213,"")</f>
        <v>25.0677551020408</v>
      </c>
      <c r="M213" s="40" t="n">
        <f aca="false">IF(ISNUMBER($K213),$K213*Parâmetros!$B$9,"")</f>
        <v>13.9265306122449</v>
      </c>
      <c r="N213" s="40" t="n">
        <f aca="false">IF(ISNUMBER($K213),$K213*Parâmetros!$C$9,"")</f>
        <v>4.17795918367347</v>
      </c>
      <c r="O213" s="40" t="n">
        <f aca="false">IF(ISNUMBER($K213),IF(ISNUMBER(Parâmetros!$E$9),Parâmetros!$E$9,0),"")</f>
        <v>0</v>
      </c>
      <c r="P213" s="41" t="n">
        <f aca="false">IF(ISNUMBER($K213),$K213-$D213-IF(ISNUMBER($E213),$E213,0)-$L213-$M213-$N213-$O213,"")</f>
        <v>27.8530612244898</v>
      </c>
      <c r="Q213" s="42" t="n">
        <f aca="false">IF(AND(ISNUMBER($K213),$K213&gt;0),$P213/$K213,"")</f>
        <v>0.2</v>
      </c>
      <c r="R213" s="43"/>
      <c r="S213" s="44" t="str">
        <f aca="false">IF(OR(NOT(ISNUMBER($R213)),$R213=0,NOT(ISNUMBER($K213))),"",$K213*(1-$R213))</f>
        <v/>
      </c>
      <c r="T213" s="45" t="str">
        <f aca="false">IF(ISNUMBER($S213),$S213*$H213,"")</f>
        <v/>
      </c>
      <c r="U213" s="45" t="str">
        <f aca="false">IF(ISNUMBER($S213),$S213*Parâmetros!$B$9,"")</f>
        <v/>
      </c>
      <c r="V213" s="45" t="str">
        <f aca="false">IF(ISNUMBER($S213),$S213*Parâmetros!$C$9,"")</f>
        <v/>
      </c>
      <c r="W213" s="44" t="str">
        <f aca="false">IF(ISNUMBER($S213),$S213-$D213-IF(ISNUMBER($E213),$E213,0)-$O213-$T213-$U213-$V213,"")</f>
        <v/>
      </c>
      <c r="X213" s="46" t="str">
        <f aca="false">IF(AND(ISNUMBER($S213),$S213&gt;0),$W213/$S213,"")</f>
        <v/>
      </c>
      <c r="Y213" s="49"/>
      <c r="Z213" s="21"/>
    </row>
    <row r="214" customFormat="false" ht="15.75" hidden="false" customHeight="true" outlineLevel="0" collapsed="false">
      <c r="A214" s="32" t="str">
        <f aca="false">IF(Produtos!$A214="","",Produtos!$A214)</f>
        <v>A40B</v>
      </c>
      <c r="B214" s="32" t="str">
        <f aca="false">IF(Produtos!$A214="","",Produtos!$B214)</f>
        <v>Aro 40cm c/Basculante Aço Inox</v>
      </c>
      <c r="C214" s="32" t="str">
        <f aca="false">IF(Produtos!$A214="","",Produtos!$C214)</f>
        <v>Acessórios (aros e tampas)</v>
      </c>
      <c r="D214" s="33" t="n">
        <f aca="false">IF(Produtos!$A214="","",IF(Produtos!$D214="","",Produtos!$D214))</f>
        <v>136.51</v>
      </c>
      <c r="E214" s="11" t="n">
        <v>0</v>
      </c>
      <c r="F214" s="34" t="n">
        <f aca="false">IF($A214="","",IF($C214="","⚠ categoria",IFERROR(INDEX(Parâmetros!$G$13:$G$22,MATCH($C214,Parâmetros!$A$13:$A$22,0)),"⚠ categoria")))</f>
        <v>0.18</v>
      </c>
      <c r="G214" s="35"/>
      <c r="H214" s="36" t="n">
        <f aca="false">IF($A214="","",IF(ISNUMBER($G214),$G214,IF(ISNUMBER($F214),$F214,"")))</f>
        <v>0.18</v>
      </c>
      <c r="I214" s="37" t="n">
        <f aca="false">IF(OR($A214="",NOT(ISNUMBER($D214)),NOT(ISNUMBER($H214))),"",IF((1-$H214-Parâmetros!$B$9-Parâmetros!$C$9-Parâmetros!$D$9)&lt;=0,"INVALIDO",($D214+IF(ISNUMBER($E214),$E214,0)+IF(ISNUMBER(Parâmetros!$E$9),Parâmetros!$E$9,0))/(1-$H214-Parâmetros!$B$9-Parâmetros!$C$9-Parâmetros!$D$9)))</f>
        <v>278.591836734694</v>
      </c>
      <c r="J214" s="38"/>
      <c r="K214" s="39" t="n">
        <f aca="false">IF(OR($A214="",NOT(ISNUMBER($D214)),NOT(ISNUMBER($H214))),"",IF(AND(ISNUMBER($J214),$J214&gt;0),$J214,IF(ISNUMBER($I214),$I214,"")))</f>
        <v>278.591836734694</v>
      </c>
      <c r="L214" s="40" t="n">
        <f aca="false">IF(ISNUMBER($K214),$K214*$H214,"")</f>
        <v>50.1465306122449</v>
      </c>
      <c r="M214" s="40" t="n">
        <f aca="false">IF(ISNUMBER($K214),$K214*Parâmetros!$B$9,"")</f>
        <v>27.8591836734694</v>
      </c>
      <c r="N214" s="40" t="n">
        <f aca="false">IF(ISNUMBER($K214),$K214*Parâmetros!$C$9,"")</f>
        <v>8.35775510204082</v>
      </c>
      <c r="O214" s="40" t="n">
        <f aca="false">IF(ISNUMBER($K214),IF(ISNUMBER(Parâmetros!$E$9),Parâmetros!$E$9,0),"")</f>
        <v>0</v>
      </c>
      <c r="P214" s="41" t="n">
        <f aca="false">IF(ISNUMBER($K214),$K214-$D214-IF(ISNUMBER($E214),$E214,0)-$L214-$M214-$N214-$O214,"")</f>
        <v>55.7183673469388</v>
      </c>
      <c r="Q214" s="42" t="n">
        <f aca="false">IF(AND(ISNUMBER($K214),$K214&gt;0),$P214/$K214,"")</f>
        <v>0.2</v>
      </c>
      <c r="R214" s="43"/>
      <c r="S214" s="44" t="str">
        <f aca="false">IF(OR(NOT(ISNUMBER($R214)),$R214=0,NOT(ISNUMBER($K214))),"",$K214*(1-$R214))</f>
        <v/>
      </c>
      <c r="T214" s="45" t="str">
        <f aca="false">IF(ISNUMBER($S214),$S214*$H214,"")</f>
        <v/>
      </c>
      <c r="U214" s="45" t="str">
        <f aca="false">IF(ISNUMBER($S214),$S214*Parâmetros!$B$9,"")</f>
        <v/>
      </c>
      <c r="V214" s="45" t="str">
        <f aca="false">IF(ISNUMBER($S214),$S214*Parâmetros!$C$9,"")</f>
        <v/>
      </c>
      <c r="W214" s="44" t="str">
        <f aca="false">IF(ISNUMBER($S214),$S214-$D214-IF(ISNUMBER($E214),$E214,0)-$O214-$T214-$U214-$V214,"")</f>
        <v/>
      </c>
      <c r="X214" s="46" t="str">
        <f aca="false">IF(AND(ISNUMBER($S214),$S214&gt;0),$W214/$S214,"")</f>
        <v/>
      </c>
      <c r="Y214" s="47"/>
      <c r="Z214" s="19"/>
    </row>
    <row r="215" customFormat="false" ht="15.75" hidden="false" customHeight="true" outlineLevel="0" collapsed="false">
      <c r="A215" s="48" t="str">
        <f aca="false">IF(Produtos!$A215="","",Produtos!$A215)</f>
        <v>A24C</v>
      </c>
      <c r="B215" s="48" t="str">
        <f aca="false">IF(Produtos!$A215="","",Produtos!$B215)</f>
        <v>Aro 24cm Pintado</v>
      </c>
      <c r="C215" s="48" t="str">
        <f aca="false">IF(Produtos!$A215="","",Produtos!$C215)</f>
        <v>Acessórios (aros e tampas)</v>
      </c>
      <c r="D215" s="33" t="n">
        <f aca="false">IF(Produtos!$A215="","",IF(Produtos!$D215="","",Produtos!$D215))</f>
        <v>50.43</v>
      </c>
      <c r="E215" s="11" t="n">
        <v>0</v>
      </c>
      <c r="F215" s="34" t="n">
        <f aca="false">IF($A215="","",IF($C215="","⚠ categoria",IFERROR(INDEX(Parâmetros!$G$13:$G$22,MATCH($C215,Parâmetros!$A$13:$A$22,0)),"⚠ categoria")))</f>
        <v>0.18</v>
      </c>
      <c r="G215" s="35"/>
      <c r="H215" s="36" t="n">
        <f aca="false">IF($A215="","",IF(ISNUMBER($G215),$G215,IF(ISNUMBER($F215),$F215,"")))</f>
        <v>0.18</v>
      </c>
      <c r="I215" s="37" t="n">
        <f aca="false">IF(OR($A215="",NOT(ISNUMBER($D215)),NOT(ISNUMBER($H215))),"",IF((1-$H215-Parâmetros!$B$9-Parâmetros!$C$9-Parâmetros!$D$9)&lt;=0,"INVALIDO",($D215+IF(ISNUMBER($E215),$E215,0)+IF(ISNUMBER(Parâmetros!$E$9),Parâmetros!$E$9,0))/(1-$H215-Parâmetros!$B$9-Parâmetros!$C$9-Parâmetros!$D$9)))</f>
        <v>102.918367346939</v>
      </c>
      <c r="J215" s="38"/>
      <c r="K215" s="39" t="n">
        <f aca="false">IF(OR($A215="",NOT(ISNUMBER($D215)),NOT(ISNUMBER($H215))),"",IF(AND(ISNUMBER($J215),$J215&gt;0),$J215,IF(ISNUMBER($I215),$I215,"")))</f>
        <v>102.918367346939</v>
      </c>
      <c r="L215" s="40" t="n">
        <f aca="false">IF(ISNUMBER($K215),$K215*$H215,"")</f>
        <v>18.525306122449</v>
      </c>
      <c r="M215" s="40" t="n">
        <f aca="false">IF(ISNUMBER($K215),$K215*Parâmetros!$B$9,"")</f>
        <v>10.2918367346939</v>
      </c>
      <c r="N215" s="40" t="n">
        <f aca="false">IF(ISNUMBER($K215),$K215*Parâmetros!$C$9,"")</f>
        <v>3.08755102040816</v>
      </c>
      <c r="O215" s="40" t="n">
        <f aca="false">IF(ISNUMBER($K215),IF(ISNUMBER(Parâmetros!$E$9),Parâmetros!$E$9,0),"")</f>
        <v>0</v>
      </c>
      <c r="P215" s="41" t="n">
        <f aca="false">IF(ISNUMBER($K215),$K215-$D215-IF(ISNUMBER($E215),$E215,0)-$L215-$M215-$N215-$O215,"")</f>
        <v>20.5836734693878</v>
      </c>
      <c r="Q215" s="42" t="n">
        <f aca="false">IF(AND(ISNUMBER($K215),$K215&gt;0),$P215/$K215,"")</f>
        <v>0.2</v>
      </c>
      <c r="R215" s="43"/>
      <c r="S215" s="44" t="str">
        <f aca="false">IF(OR(NOT(ISNUMBER($R215)),$R215=0,NOT(ISNUMBER($K215))),"",$K215*(1-$R215))</f>
        <v/>
      </c>
      <c r="T215" s="45" t="str">
        <f aca="false">IF(ISNUMBER($S215),$S215*$H215,"")</f>
        <v/>
      </c>
      <c r="U215" s="45" t="str">
        <f aca="false">IF(ISNUMBER($S215),$S215*Parâmetros!$B$9,"")</f>
        <v/>
      </c>
      <c r="V215" s="45" t="str">
        <f aca="false">IF(ISNUMBER($S215),$S215*Parâmetros!$C$9,"")</f>
        <v/>
      </c>
      <c r="W215" s="44" t="str">
        <f aca="false">IF(ISNUMBER($S215),$S215-$D215-IF(ISNUMBER($E215),$E215,0)-$O215-$T215-$U215-$V215,"")</f>
        <v/>
      </c>
      <c r="X215" s="46" t="str">
        <f aca="false">IF(AND(ISNUMBER($S215),$S215&gt;0),$W215/$S215,"")</f>
        <v/>
      </c>
      <c r="Y215" s="49"/>
      <c r="Z215" s="21"/>
    </row>
    <row r="216" customFormat="false" ht="15.75" hidden="false" customHeight="true" outlineLevel="0" collapsed="false">
      <c r="A216" s="32" t="str">
        <f aca="false">IF(Produtos!$A216="","",Produtos!$A216)</f>
        <v>A30C</v>
      </c>
      <c r="B216" s="32" t="str">
        <f aca="false">IF(Produtos!$A216="","",Produtos!$B216)</f>
        <v>Aro 30cm Pintado</v>
      </c>
      <c r="C216" s="32" t="str">
        <f aca="false">IF(Produtos!$A216="","",Produtos!$C216)</f>
        <v>Acessórios (aros e tampas)</v>
      </c>
      <c r="D216" s="33" t="n">
        <f aca="false">IF(Produtos!$A216="","",IF(Produtos!$D216="","",Produtos!$D216))</f>
        <v>64.43</v>
      </c>
      <c r="E216" s="11" t="n">
        <v>0</v>
      </c>
      <c r="F216" s="34" t="n">
        <f aca="false">IF($A216="","",IF($C216="","⚠ categoria",IFERROR(INDEX(Parâmetros!$G$13:$G$22,MATCH($C216,Parâmetros!$A$13:$A$22,0)),"⚠ categoria")))</f>
        <v>0.18</v>
      </c>
      <c r="G216" s="35"/>
      <c r="H216" s="36" t="n">
        <f aca="false">IF($A216="","",IF(ISNUMBER($G216),$G216,IF(ISNUMBER($F216),$F216,"")))</f>
        <v>0.18</v>
      </c>
      <c r="I216" s="37" t="n">
        <f aca="false">IF(OR($A216="",NOT(ISNUMBER($D216)),NOT(ISNUMBER($H216))),"",IF((1-$H216-Parâmetros!$B$9-Parâmetros!$C$9-Parâmetros!$D$9)&lt;=0,"INVALIDO",($D216+IF(ISNUMBER($E216),$E216,0)+IF(ISNUMBER(Parâmetros!$E$9),Parâmetros!$E$9,0))/(1-$H216-Parâmetros!$B$9-Parâmetros!$C$9-Parâmetros!$D$9)))</f>
        <v>131.489795918367</v>
      </c>
      <c r="J216" s="38"/>
      <c r="K216" s="39" t="n">
        <f aca="false">IF(OR($A216="",NOT(ISNUMBER($D216)),NOT(ISNUMBER($H216))),"",IF(AND(ISNUMBER($J216),$J216&gt;0),$J216,IF(ISNUMBER($I216),$I216,"")))</f>
        <v>131.489795918367</v>
      </c>
      <c r="L216" s="40" t="n">
        <f aca="false">IF(ISNUMBER($K216),$K216*$H216,"")</f>
        <v>23.6681632653061</v>
      </c>
      <c r="M216" s="40" t="n">
        <f aca="false">IF(ISNUMBER($K216),$K216*Parâmetros!$B$9,"")</f>
        <v>13.1489795918367</v>
      </c>
      <c r="N216" s="40" t="n">
        <f aca="false">IF(ISNUMBER($K216),$K216*Parâmetros!$C$9,"")</f>
        <v>3.94469387755102</v>
      </c>
      <c r="O216" s="40" t="n">
        <f aca="false">IF(ISNUMBER($K216),IF(ISNUMBER(Parâmetros!$E$9),Parâmetros!$E$9,0),"")</f>
        <v>0</v>
      </c>
      <c r="P216" s="41" t="n">
        <f aca="false">IF(ISNUMBER($K216),$K216-$D216-IF(ISNUMBER($E216),$E216,0)-$L216-$M216-$N216-$O216,"")</f>
        <v>26.2979591836735</v>
      </c>
      <c r="Q216" s="42" t="n">
        <f aca="false">IF(AND(ISNUMBER($K216),$K216&gt;0),$P216/$K216,"")</f>
        <v>0.2</v>
      </c>
      <c r="R216" s="43"/>
      <c r="S216" s="44" t="str">
        <f aca="false">IF(OR(NOT(ISNUMBER($R216)),$R216=0,NOT(ISNUMBER($K216))),"",$K216*(1-$R216))</f>
        <v/>
      </c>
      <c r="T216" s="45" t="str">
        <f aca="false">IF(ISNUMBER($S216),$S216*$H216,"")</f>
        <v/>
      </c>
      <c r="U216" s="45" t="str">
        <f aca="false">IF(ISNUMBER($S216),$S216*Parâmetros!$B$9,"")</f>
        <v/>
      </c>
      <c r="V216" s="45" t="str">
        <f aca="false">IF(ISNUMBER($S216),$S216*Parâmetros!$C$9,"")</f>
        <v/>
      </c>
      <c r="W216" s="44" t="str">
        <f aca="false">IF(ISNUMBER($S216),$S216-$D216-IF(ISNUMBER($E216),$E216,0)-$O216-$T216-$U216-$V216,"")</f>
        <v/>
      </c>
      <c r="X216" s="46" t="str">
        <f aca="false">IF(AND(ISNUMBER($S216),$S216&gt;0),$W216/$S216,"")</f>
        <v/>
      </c>
      <c r="Y216" s="47"/>
      <c r="Z216" s="19"/>
    </row>
    <row r="217" customFormat="false" ht="15.75" hidden="false" customHeight="true" outlineLevel="0" collapsed="false">
      <c r="A217" s="48" t="str">
        <f aca="false">IF(Produtos!$A217="","",Produtos!$A217)</f>
        <v>A40BP</v>
      </c>
      <c r="B217" s="48" t="str">
        <f aca="false">IF(Produtos!$A217="","",Produtos!$B217)</f>
        <v>Aro 40cm Pintado</v>
      </c>
      <c r="C217" s="48" t="str">
        <f aca="false">IF(Produtos!$A217="","",Produtos!$C217)</f>
        <v>Acessórios (aros e tampas)</v>
      </c>
      <c r="D217" s="33" t="n">
        <f aca="false">IF(Produtos!$A217="","",IF(Produtos!$D217="","",Produtos!$D217))</f>
        <v>118.62</v>
      </c>
      <c r="E217" s="11" t="n">
        <v>0</v>
      </c>
      <c r="F217" s="34" t="n">
        <f aca="false">IF($A217="","",IF($C217="","⚠ categoria",IFERROR(INDEX(Parâmetros!$G$13:$G$22,MATCH($C217,Parâmetros!$A$13:$A$22,0)),"⚠ categoria")))</f>
        <v>0.18</v>
      </c>
      <c r="G217" s="35"/>
      <c r="H217" s="36" t="n">
        <f aca="false">IF($A217="","",IF(ISNUMBER($G217),$G217,IF(ISNUMBER($F217),$F217,"")))</f>
        <v>0.18</v>
      </c>
      <c r="I217" s="37" t="n">
        <f aca="false">IF(OR($A217="",NOT(ISNUMBER($D217)),NOT(ISNUMBER($H217))),"",IF((1-$H217-Parâmetros!$B$9-Parâmetros!$C$9-Parâmetros!$D$9)&lt;=0,"INVALIDO",($D217+IF(ISNUMBER($E217),$E217,0)+IF(ISNUMBER(Parâmetros!$E$9),Parâmetros!$E$9,0))/(1-$H217-Parâmetros!$B$9-Parâmetros!$C$9-Parâmetros!$D$9)))</f>
        <v>242.081632653061</v>
      </c>
      <c r="J217" s="38"/>
      <c r="K217" s="39" t="n">
        <f aca="false">IF(OR($A217="",NOT(ISNUMBER($D217)),NOT(ISNUMBER($H217))),"",IF(AND(ISNUMBER($J217),$J217&gt;0),$J217,IF(ISNUMBER($I217),$I217,"")))</f>
        <v>242.081632653061</v>
      </c>
      <c r="L217" s="40" t="n">
        <f aca="false">IF(ISNUMBER($K217),$K217*$H217,"")</f>
        <v>43.574693877551</v>
      </c>
      <c r="M217" s="40" t="n">
        <f aca="false">IF(ISNUMBER($K217),$K217*Parâmetros!$B$9,"")</f>
        <v>24.2081632653061</v>
      </c>
      <c r="N217" s="40" t="n">
        <f aca="false">IF(ISNUMBER($K217),$K217*Parâmetros!$C$9,"")</f>
        <v>7.26244897959184</v>
      </c>
      <c r="O217" s="40" t="n">
        <f aca="false">IF(ISNUMBER($K217),IF(ISNUMBER(Parâmetros!$E$9),Parâmetros!$E$9,0),"")</f>
        <v>0</v>
      </c>
      <c r="P217" s="41" t="n">
        <f aca="false">IF(ISNUMBER($K217),$K217-$D217-IF(ISNUMBER($E217),$E217,0)-$L217-$M217-$N217-$O217,"")</f>
        <v>48.4163265306122</v>
      </c>
      <c r="Q217" s="42" t="n">
        <f aca="false">IF(AND(ISNUMBER($K217),$K217&gt;0),$P217/$K217,"")</f>
        <v>0.2</v>
      </c>
      <c r="R217" s="43"/>
      <c r="S217" s="44" t="str">
        <f aca="false">IF(OR(NOT(ISNUMBER($R217)),$R217=0,NOT(ISNUMBER($K217))),"",$K217*(1-$R217))</f>
        <v/>
      </c>
      <c r="T217" s="45" t="str">
        <f aca="false">IF(ISNUMBER($S217),$S217*$H217,"")</f>
        <v/>
      </c>
      <c r="U217" s="45" t="str">
        <f aca="false">IF(ISNUMBER($S217),$S217*Parâmetros!$B$9,"")</f>
        <v/>
      </c>
      <c r="V217" s="45" t="str">
        <f aca="false">IF(ISNUMBER($S217),$S217*Parâmetros!$C$9,"")</f>
        <v/>
      </c>
      <c r="W217" s="44" t="str">
        <f aca="false">IF(ISNUMBER($S217),$S217-$D217-IF(ISNUMBER($E217),$E217,0)-$O217-$T217-$U217-$V217,"")</f>
        <v/>
      </c>
      <c r="X217" s="46" t="str">
        <f aca="false">IF(AND(ISNUMBER($S217),$S217&gt;0),$W217/$S217,"")</f>
        <v/>
      </c>
      <c r="Y217" s="49"/>
      <c r="Z217" s="21"/>
    </row>
    <row r="218" customFormat="false" ht="15.75" hidden="false" customHeight="true" outlineLevel="0" collapsed="false">
      <c r="A218" s="32" t="str">
        <f aca="false">IF(Produtos!$A218="","",Produtos!$A218)</f>
        <v>A24BC</v>
      </c>
      <c r="B218" s="32" t="str">
        <f aca="false">IF(Produtos!$A218="","",Produtos!$B218)</f>
        <v>Aro 24cm c/Basculante Pintado</v>
      </c>
      <c r="C218" s="32" t="str">
        <f aca="false">IF(Produtos!$A218="","",Produtos!$C218)</f>
        <v>Acessórios (aros e tampas)</v>
      </c>
      <c r="D218" s="33" t="n">
        <f aca="false">IF(Produtos!$A218="","",IF(Produtos!$D218="","",Produtos!$D218))</f>
        <v>76.56</v>
      </c>
      <c r="E218" s="11" t="n">
        <v>0</v>
      </c>
      <c r="F218" s="34" t="n">
        <f aca="false">IF($A218="","",IF($C218="","⚠ categoria",IFERROR(INDEX(Parâmetros!$G$13:$G$22,MATCH($C218,Parâmetros!$A$13:$A$22,0)),"⚠ categoria")))</f>
        <v>0.18</v>
      </c>
      <c r="G218" s="35"/>
      <c r="H218" s="36" t="n">
        <f aca="false">IF($A218="","",IF(ISNUMBER($G218),$G218,IF(ISNUMBER($F218),$F218,"")))</f>
        <v>0.18</v>
      </c>
      <c r="I218" s="37" t="n">
        <f aca="false">IF(OR($A218="",NOT(ISNUMBER($D218)),NOT(ISNUMBER($H218))),"",IF((1-$H218-Parâmetros!$B$9-Parâmetros!$C$9-Parâmetros!$D$9)&lt;=0,"INVALIDO",($D218+IF(ISNUMBER($E218),$E218,0)+IF(ISNUMBER(Parâmetros!$E$9),Parâmetros!$E$9,0))/(1-$H218-Parâmetros!$B$9-Parâmetros!$C$9-Parâmetros!$D$9)))</f>
        <v>156.244897959184</v>
      </c>
      <c r="J218" s="38"/>
      <c r="K218" s="39" t="n">
        <f aca="false">IF(OR($A218="",NOT(ISNUMBER($D218)),NOT(ISNUMBER($H218))),"",IF(AND(ISNUMBER($J218),$J218&gt;0),$J218,IF(ISNUMBER($I218),$I218,"")))</f>
        <v>156.244897959184</v>
      </c>
      <c r="L218" s="40" t="n">
        <f aca="false">IF(ISNUMBER($K218),$K218*$H218,"")</f>
        <v>28.1240816326531</v>
      </c>
      <c r="M218" s="40" t="n">
        <f aca="false">IF(ISNUMBER($K218),$K218*Parâmetros!$B$9,"")</f>
        <v>15.6244897959184</v>
      </c>
      <c r="N218" s="40" t="n">
        <f aca="false">IF(ISNUMBER($K218),$K218*Parâmetros!$C$9,"")</f>
        <v>4.68734693877551</v>
      </c>
      <c r="O218" s="40" t="n">
        <f aca="false">IF(ISNUMBER($K218),IF(ISNUMBER(Parâmetros!$E$9),Parâmetros!$E$9,0),"")</f>
        <v>0</v>
      </c>
      <c r="P218" s="41" t="n">
        <f aca="false">IF(ISNUMBER($K218),$K218-$D218-IF(ISNUMBER($E218),$E218,0)-$L218-$M218-$N218-$O218,"")</f>
        <v>31.2489795918367</v>
      </c>
      <c r="Q218" s="42" t="n">
        <f aca="false">IF(AND(ISNUMBER($K218),$K218&gt;0),$P218/$K218,"")</f>
        <v>0.2</v>
      </c>
      <c r="R218" s="43"/>
      <c r="S218" s="44" t="str">
        <f aca="false">IF(OR(NOT(ISNUMBER($R218)),$R218=0,NOT(ISNUMBER($K218))),"",$K218*(1-$R218))</f>
        <v/>
      </c>
      <c r="T218" s="45" t="str">
        <f aca="false">IF(ISNUMBER($S218),$S218*$H218,"")</f>
        <v/>
      </c>
      <c r="U218" s="45" t="str">
        <f aca="false">IF(ISNUMBER($S218),$S218*Parâmetros!$B$9,"")</f>
        <v/>
      </c>
      <c r="V218" s="45" t="str">
        <f aca="false">IF(ISNUMBER($S218),$S218*Parâmetros!$C$9,"")</f>
        <v/>
      </c>
      <c r="W218" s="44" t="str">
        <f aca="false">IF(ISNUMBER($S218),$S218-$D218-IF(ISNUMBER($E218),$E218,0)-$O218-$T218-$U218-$V218,"")</f>
        <v/>
      </c>
      <c r="X218" s="46" t="str">
        <f aca="false">IF(AND(ISNUMBER($S218),$S218&gt;0),$W218/$S218,"")</f>
        <v/>
      </c>
      <c r="Y218" s="47"/>
      <c r="Z218" s="19"/>
    </row>
    <row r="219" customFormat="false" ht="15.75" hidden="false" customHeight="true" outlineLevel="0" collapsed="false">
      <c r="A219" s="48" t="str">
        <f aca="false">IF(Produtos!$A219="","",Produtos!$A219)</f>
        <v>A30BC</v>
      </c>
      <c r="B219" s="48" t="str">
        <f aca="false">IF(Produtos!$A219="","",Produtos!$B219)</f>
        <v>Aro 30cm c/Basculante Pintado</v>
      </c>
      <c r="C219" s="48" t="str">
        <f aca="false">IF(Produtos!$A219="","",Produtos!$C219)</f>
        <v>Acessórios (aros e tampas)</v>
      </c>
      <c r="D219" s="33" t="n">
        <f aca="false">IF(Produtos!$A219="","",IF(Produtos!$D219="","",Produtos!$D219))</f>
        <v>90.73</v>
      </c>
      <c r="E219" s="11" t="n">
        <v>0</v>
      </c>
      <c r="F219" s="34" t="n">
        <f aca="false">IF($A219="","",IF($C219="","⚠ categoria",IFERROR(INDEX(Parâmetros!$G$13:$G$22,MATCH($C219,Parâmetros!$A$13:$A$22,0)),"⚠ categoria")))</f>
        <v>0.18</v>
      </c>
      <c r="G219" s="35"/>
      <c r="H219" s="36" t="n">
        <f aca="false">IF($A219="","",IF(ISNUMBER($G219),$G219,IF(ISNUMBER($F219),$F219,"")))</f>
        <v>0.18</v>
      </c>
      <c r="I219" s="37" t="n">
        <f aca="false">IF(OR($A219="",NOT(ISNUMBER($D219)),NOT(ISNUMBER($H219))),"",IF((1-$H219-Parâmetros!$B$9-Parâmetros!$C$9-Parâmetros!$D$9)&lt;=0,"INVALIDO",($D219+IF(ISNUMBER($E219),$E219,0)+IF(ISNUMBER(Parâmetros!$E$9),Parâmetros!$E$9,0))/(1-$H219-Parâmetros!$B$9-Parâmetros!$C$9-Parâmetros!$D$9)))</f>
        <v>185.163265306122</v>
      </c>
      <c r="J219" s="38"/>
      <c r="K219" s="39" t="n">
        <f aca="false">IF(OR($A219="",NOT(ISNUMBER($D219)),NOT(ISNUMBER($H219))),"",IF(AND(ISNUMBER($J219),$J219&gt;0),$J219,IF(ISNUMBER($I219),$I219,"")))</f>
        <v>185.163265306122</v>
      </c>
      <c r="L219" s="40" t="n">
        <f aca="false">IF(ISNUMBER($K219),$K219*$H219,"")</f>
        <v>33.329387755102</v>
      </c>
      <c r="M219" s="40" t="n">
        <f aca="false">IF(ISNUMBER($K219),$K219*Parâmetros!$B$9,"")</f>
        <v>18.5163265306122</v>
      </c>
      <c r="N219" s="40" t="n">
        <f aca="false">IF(ISNUMBER($K219),$K219*Parâmetros!$C$9,"")</f>
        <v>5.55489795918367</v>
      </c>
      <c r="O219" s="40" t="n">
        <f aca="false">IF(ISNUMBER($K219),IF(ISNUMBER(Parâmetros!$E$9),Parâmetros!$E$9,0),"")</f>
        <v>0</v>
      </c>
      <c r="P219" s="41" t="n">
        <f aca="false">IF(ISNUMBER($K219),$K219-$D219-IF(ISNUMBER($E219),$E219,0)-$L219-$M219-$N219-$O219,"")</f>
        <v>37.0326530612245</v>
      </c>
      <c r="Q219" s="42" t="n">
        <f aca="false">IF(AND(ISNUMBER($K219),$K219&gt;0),$P219/$K219,"")</f>
        <v>0.2</v>
      </c>
      <c r="R219" s="43"/>
      <c r="S219" s="44" t="str">
        <f aca="false">IF(OR(NOT(ISNUMBER($R219)),$R219=0,NOT(ISNUMBER($K219))),"",$K219*(1-$R219))</f>
        <v/>
      </c>
      <c r="T219" s="45" t="str">
        <f aca="false">IF(ISNUMBER($S219),$S219*$H219,"")</f>
        <v/>
      </c>
      <c r="U219" s="45" t="str">
        <f aca="false">IF(ISNUMBER($S219),$S219*Parâmetros!$B$9,"")</f>
        <v/>
      </c>
      <c r="V219" s="45" t="str">
        <f aca="false">IF(ISNUMBER($S219),$S219*Parâmetros!$C$9,"")</f>
        <v/>
      </c>
      <c r="W219" s="44" t="str">
        <f aca="false">IF(ISNUMBER($S219),$S219-$D219-IF(ISNUMBER($E219),$E219,0)-$O219-$T219-$U219-$V219,"")</f>
        <v/>
      </c>
      <c r="X219" s="46" t="str">
        <f aca="false">IF(AND(ISNUMBER($S219),$S219&gt;0),$W219/$S219,"")</f>
        <v/>
      </c>
      <c r="Y219" s="49"/>
      <c r="Z219" s="21"/>
    </row>
    <row r="220" customFormat="false" ht="15.75" hidden="false" customHeight="true" outlineLevel="0" collapsed="false">
      <c r="A220" s="32" t="str">
        <f aca="false">IF(Produtos!$A220="","",Produtos!$A220)</f>
        <v>A40BC</v>
      </c>
      <c r="B220" s="32" t="str">
        <f aca="false">IF(Produtos!$A220="","",Produtos!$B220)</f>
        <v>Aro 40cm c/Basculante Pintado</v>
      </c>
      <c r="C220" s="32" t="str">
        <f aca="false">IF(Produtos!$A220="","",Produtos!$C220)</f>
        <v>Acessórios (aros e tampas)</v>
      </c>
      <c r="D220" s="33" t="n">
        <f aca="false">IF(Produtos!$A220="","",IF(Produtos!$D220="","",Produtos!$D220))</f>
        <v>170.07</v>
      </c>
      <c r="E220" s="11" t="n">
        <v>0</v>
      </c>
      <c r="F220" s="34" t="n">
        <f aca="false">IF($A220="","",IF($C220="","⚠ categoria",IFERROR(INDEX(Parâmetros!$G$13:$G$22,MATCH($C220,Parâmetros!$A$13:$A$22,0)),"⚠ categoria")))</f>
        <v>0.18</v>
      </c>
      <c r="G220" s="35"/>
      <c r="H220" s="36" t="n">
        <f aca="false">IF($A220="","",IF(ISNUMBER($G220),$G220,IF(ISNUMBER($F220),$F220,"")))</f>
        <v>0.18</v>
      </c>
      <c r="I220" s="37" t="n">
        <f aca="false">IF(OR($A220="",NOT(ISNUMBER($D220)),NOT(ISNUMBER($H220))),"",IF((1-$H220-Parâmetros!$B$9-Parâmetros!$C$9-Parâmetros!$D$9)&lt;=0,"INVALIDO",($D220+IF(ISNUMBER($E220),$E220,0)+IF(ISNUMBER(Parâmetros!$E$9),Parâmetros!$E$9,0))/(1-$H220-Parâmetros!$B$9-Parâmetros!$C$9-Parâmetros!$D$9)))</f>
        <v>347.081632653061</v>
      </c>
      <c r="J220" s="38"/>
      <c r="K220" s="39" t="n">
        <f aca="false">IF(OR($A220="",NOT(ISNUMBER($D220)),NOT(ISNUMBER($H220))),"",IF(AND(ISNUMBER($J220),$J220&gt;0),$J220,IF(ISNUMBER($I220),$I220,"")))</f>
        <v>347.081632653061</v>
      </c>
      <c r="L220" s="40" t="n">
        <f aca="false">IF(ISNUMBER($K220),$K220*$H220,"")</f>
        <v>62.474693877551</v>
      </c>
      <c r="M220" s="40" t="n">
        <f aca="false">IF(ISNUMBER($K220),$K220*Parâmetros!$B$9,"")</f>
        <v>34.7081632653061</v>
      </c>
      <c r="N220" s="40" t="n">
        <f aca="false">IF(ISNUMBER($K220),$K220*Parâmetros!$C$9,"")</f>
        <v>10.4124489795918</v>
      </c>
      <c r="O220" s="40" t="n">
        <f aca="false">IF(ISNUMBER($K220),IF(ISNUMBER(Parâmetros!$E$9),Parâmetros!$E$9,0),"")</f>
        <v>0</v>
      </c>
      <c r="P220" s="41" t="n">
        <f aca="false">IF(ISNUMBER($K220),$K220-$D220-IF(ISNUMBER($E220),$E220,0)-$L220-$M220-$N220-$O220,"")</f>
        <v>69.4163265306123</v>
      </c>
      <c r="Q220" s="42" t="n">
        <f aca="false">IF(AND(ISNUMBER($K220),$K220&gt;0),$P220/$K220,"")</f>
        <v>0.2</v>
      </c>
      <c r="R220" s="43"/>
      <c r="S220" s="44" t="str">
        <f aca="false">IF(OR(NOT(ISNUMBER($R220)),$R220=0,NOT(ISNUMBER($K220))),"",$K220*(1-$R220))</f>
        <v/>
      </c>
      <c r="T220" s="45" t="str">
        <f aca="false">IF(ISNUMBER($S220),$S220*$H220,"")</f>
        <v/>
      </c>
      <c r="U220" s="45" t="str">
        <f aca="false">IF(ISNUMBER($S220),$S220*Parâmetros!$B$9,"")</f>
        <v/>
      </c>
      <c r="V220" s="45" t="str">
        <f aca="false">IF(ISNUMBER($S220),$S220*Parâmetros!$C$9,"")</f>
        <v/>
      </c>
      <c r="W220" s="44" t="str">
        <f aca="false">IF(ISNUMBER($S220),$S220-$D220-IF(ISNUMBER($E220),$E220,0)-$O220-$T220-$U220-$V220,"")</f>
        <v/>
      </c>
      <c r="X220" s="46" t="str">
        <f aca="false">IF(AND(ISNUMBER($S220),$S220&gt;0),$W220/$S220,"")</f>
        <v/>
      </c>
      <c r="Y220" s="47"/>
      <c r="Z220" s="19"/>
    </row>
    <row r="221" customFormat="false" ht="15.75" hidden="false" customHeight="true" outlineLevel="0" collapsed="false">
      <c r="A221" s="48" t="str">
        <f aca="false">IF(Produtos!$A221="","",Produtos!$A221)</f>
        <v>T24-PILHAS</v>
      </c>
      <c r="B221" s="48" t="str">
        <f aca="false">IF(Produtos!$A221="","",Produtos!$B221)</f>
        <v>Tampa 24cm Coletor de Pilhas e Baterias</v>
      </c>
      <c r="C221" s="48" t="str">
        <f aca="false">IF(Produtos!$A221="","",Produtos!$C221)</f>
        <v>Coletores de pilhas</v>
      </c>
      <c r="D221" s="33" t="n">
        <f aca="false">IF(Produtos!$A221="","",IF(Produtos!$D221="","",Produtos!$D221))</f>
        <v>57.21</v>
      </c>
      <c r="E221" s="11" t="n">
        <v>0</v>
      </c>
      <c r="F221" s="34" t="n">
        <f aca="false">IF($A221="","",IF($C221="","⚠ categoria",IFERROR(INDEX(Parâmetros!$G$13:$G$22,MATCH($C221,Parâmetros!$A$13:$A$22,0)),"⚠ categoria")))</f>
        <v>0.18</v>
      </c>
      <c r="G221" s="35"/>
      <c r="H221" s="36" t="n">
        <f aca="false">IF($A221="","",IF(ISNUMBER($G221),$G221,IF(ISNUMBER($F221),$F221,"")))</f>
        <v>0.18</v>
      </c>
      <c r="I221" s="37" t="n">
        <f aca="false">IF(OR($A221="",NOT(ISNUMBER($D221)),NOT(ISNUMBER($H221))),"",IF((1-$H221-Parâmetros!$B$9-Parâmetros!$C$9-Parâmetros!$D$9)&lt;=0,"INVALIDO",($D221+IF(ISNUMBER($E221),$E221,0)+IF(ISNUMBER(Parâmetros!$E$9),Parâmetros!$E$9,0))/(1-$H221-Parâmetros!$B$9-Parâmetros!$C$9-Parâmetros!$D$9)))</f>
        <v>116.755102040816</v>
      </c>
      <c r="J221" s="38"/>
      <c r="K221" s="39" t="n">
        <f aca="false">IF(OR($A221="",NOT(ISNUMBER($D221)),NOT(ISNUMBER($H221))),"",IF(AND(ISNUMBER($J221),$J221&gt;0),$J221,IF(ISNUMBER($I221),$I221,"")))</f>
        <v>116.755102040816</v>
      </c>
      <c r="L221" s="40" t="n">
        <f aca="false">IF(ISNUMBER($K221),$K221*$H221,"")</f>
        <v>21.0159183673469</v>
      </c>
      <c r="M221" s="40" t="n">
        <f aca="false">IF(ISNUMBER($K221),$K221*Parâmetros!$B$9,"")</f>
        <v>11.6755102040816</v>
      </c>
      <c r="N221" s="40" t="n">
        <f aca="false">IF(ISNUMBER($K221),$K221*Parâmetros!$C$9,"")</f>
        <v>3.50265306122449</v>
      </c>
      <c r="O221" s="40" t="n">
        <f aca="false">IF(ISNUMBER($K221),IF(ISNUMBER(Parâmetros!$E$9),Parâmetros!$E$9,0),"")</f>
        <v>0</v>
      </c>
      <c r="P221" s="41" t="n">
        <f aca="false">IF(ISNUMBER($K221),$K221-$D221-IF(ISNUMBER($E221),$E221,0)-$L221-$M221-$N221-$O221,"")</f>
        <v>23.3510204081633</v>
      </c>
      <c r="Q221" s="42" t="n">
        <f aca="false">IF(AND(ISNUMBER($K221),$K221&gt;0),$P221/$K221,"")</f>
        <v>0.2</v>
      </c>
      <c r="R221" s="43"/>
      <c r="S221" s="44" t="str">
        <f aca="false">IF(OR(NOT(ISNUMBER($R221)),$R221=0,NOT(ISNUMBER($K221))),"",$K221*(1-$R221))</f>
        <v/>
      </c>
      <c r="T221" s="45" t="str">
        <f aca="false">IF(ISNUMBER($S221),$S221*$H221,"")</f>
        <v/>
      </c>
      <c r="U221" s="45" t="str">
        <f aca="false">IF(ISNUMBER($S221),$S221*Parâmetros!$B$9,"")</f>
        <v/>
      </c>
      <c r="V221" s="45" t="str">
        <f aca="false">IF(ISNUMBER($S221),$S221*Parâmetros!$C$9,"")</f>
        <v/>
      </c>
      <c r="W221" s="44" t="str">
        <f aca="false">IF(ISNUMBER($S221),$S221-$D221-IF(ISNUMBER($E221),$E221,0)-$O221-$T221-$U221-$V221,"")</f>
        <v/>
      </c>
      <c r="X221" s="46" t="str">
        <f aca="false">IF(AND(ISNUMBER($S221),$S221&gt;0),$W221/$S221,"")</f>
        <v/>
      </c>
      <c r="Y221" s="49"/>
      <c r="Z221" s="21"/>
    </row>
    <row r="222" customFormat="false" ht="15.75" hidden="false" customHeight="true" outlineLevel="0" collapsed="false">
      <c r="A222" s="32" t="str">
        <f aca="false">IF(Produtos!$A222="","",Produtos!$A222)</f>
        <v>T30-PILHAS</v>
      </c>
      <c r="B222" s="32" t="str">
        <f aca="false">IF(Produtos!$A222="","",Produtos!$B222)</f>
        <v>Tampa 30cm Coletor de Pilhas e Baterias</v>
      </c>
      <c r="C222" s="32" t="str">
        <f aca="false">IF(Produtos!$A222="","",Produtos!$C222)</f>
        <v>Coletores de pilhas</v>
      </c>
      <c r="D222" s="33" t="n">
        <f aca="false">IF(Produtos!$A222="","",IF(Produtos!$D222="","",Produtos!$D222))</f>
        <v>46.19</v>
      </c>
      <c r="E222" s="11" t="n">
        <v>0</v>
      </c>
      <c r="F222" s="34" t="n">
        <f aca="false">IF($A222="","",IF($C222="","⚠ categoria",IFERROR(INDEX(Parâmetros!$G$13:$G$22,MATCH($C222,Parâmetros!$A$13:$A$22,0)),"⚠ categoria")))</f>
        <v>0.18</v>
      </c>
      <c r="G222" s="35"/>
      <c r="H222" s="36" t="n">
        <f aca="false">IF($A222="","",IF(ISNUMBER($G222),$G222,IF(ISNUMBER($F222),$F222,"")))</f>
        <v>0.18</v>
      </c>
      <c r="I222" s="37" t="n">
        <f aca="false">IF(OR($A222="",NOT(ISNUMBER($D222)),NOT(ISNUMBER($H222))),"",IF((1-$H222-Parâmetros!$B$9-Parâmetros!$C$9-Parâmetros!$D$9)&lt;=0,"INVALIDO",($D222+IF(ISNUMBER($E222),$E222,0)+IF(ISNUMBER(Parâmetros!$E$9),Parâmetros!$E$9,0))/(1-$H222-Parâmetros!$B$9-Parâmetros!$C$9-Parâmetros!$D$9)))</f>
        <v>94.265306122449</v>
      </c>
      <c r="J222" s="38"/>
      <c r="K222" s="39" t="n">
        <f aca="false">IF(OR($A222="",NOT(ISNUMBER($D222)),NOT(ISNUMBER($H222))),"",IF(AND(ISNUMBER($J222),$J222&gt;0),$J222,IF(ISNUMBER($I222),$I222,"")))</f>
        <v>94.265306122449</v>
      </c>
      <c r="L222" s="40" t="n">
        <f aca="false">IF(ISNUMBER($K222),$K222*$H222,"")</f>
        <v>16.9677551020408</v>
      </c>
      <c r="M222" s="40" t="n">
        <f aca="false">IF(ISNUMBER($K222),$K222*Parâmetros!$B$9,"")</f>
        <v>9.4265306122449</v>
      </c>
      <c r="N222" s="40" t="n">
        <f aca="false">IF(ISNUMBER($K222),$K222*Parâmetros!$C$9,"")</f>
        <v>2.82795918367347</v>
      </c>
      <c r="O222" s="40" t="n">
        <f aca="false">IF(ISNUMBER($K222),IF(ISNUMBER(Parâmetros!$E$9),Parâmetros!$E$9,0),"")</f>
        <v>0</v>
      </c>
      <c r="P222" s="41" t="n">
        <f aca="false">IF(ISNUMBER($K222),$K222-$D222-IF(ISNUMBER($E222),$E222,0)-$L222-$M222-$N222-$O222,"")</f>
        <v>18.8530612244898</v>
      </c>
      <c r="Q222" s="42" t="n">
        <f aca="false">IF(AND(ISNUMBER($K222),$K222&gt;0),$P222/$K222,"")</f>
        <v>0.2</v>
      </c>
      <c r="R222" s="43"/>
      <c r="S222" s="44" t="str">
        <f aca="false">IF(OR(NOT(ISNUMBER($R222)),$R222=0,NOT(ISNUMBER($K222))),"",$K222*(1-$R222))</f>
        <v/>
      </c>
      <c r="T222" s="45" t="str">
        <f aca="false">IF(ISNUMBER($S222),$S222*$H222,"")</f>
        <v/>
      </c>
      <c r="U222" s="45" t="str">
        <f aca="false">IF(ISNUMBER($S222),$S222*Parâmetros!$B$9,"")</f>
        <v/>
      </c>
      <c r="V222" s="45" t="str">
        <f aca="false">IF(ISNUMBER($S222),$S222*Parâmetros!$C$9,"")</f>
        <v/>
      </c>
      <c r="W222" s="44" t="str">
        <f aca="false">IF(ISNUMBER($S222),$S222-$D222-IF(ISNUMBER($E222),$E222,0)-$O222-$T222-$U222-$V222,"")</f>
        <v/>
      </c>
      <c r="X222" s="46" t="str">
        <f aca="false">IF(AND(ISNUMBER($S222),$S222&gt;0),$W222/$S222,"")</f>
        <v/>
      </c>
      <c r="Y222" s="47"/>
      <c r="Z222" s="19"/>
    </row>
    <row r="223" customFormat="false" ht="15.75" hidden="false" customHeight="true" outlineLevel="0" collapsed="false">
      <c r="A223" s="48" t="str">
        <f aca="false">IF(Produtos!$A223="","",Produtos!$A223)</f>
        <v>T40-PILHAS</v>
      </c>
      <c r="B223" s="48" t="str">
        <f aca="false">IF(Produtos!$A223="","",Produtos!$B223)</f>
        <v>Tampa 40cm Coletor de Pilhas e Baterias</v>
      </c>
      <c r="C223" s="48" t="str">
        <f aca="false">IF(Produtos!$A223="","",Produtos!$C223)</f>
        <v>Coletores de pilhas</v>
      </c>
      <c r="D223" s="33" t="n">
        <f aca="false">IF(Produtos!$A223="","",IF(Produtos!$D223="","",Produtos!$D223))</f>
        <v>98.64</v>
      </c>
      <c r="E223" s="11" t="n">
        <v>0</v>
      </c>
      <c r="F223" s="34" t="n">
        <f aca="false">IF($A223="","",IF($C223="","⚠ categoria",IFERROR(INDEX(Parâmetros!$G$13:$G$22,MATCH($C223,Parâmetros!$A$13:$A$22,0)),"⚠ categoria")))</f>
        <v>0.18</v>
      </c>
      <c r="G223" s="35"/>
      <c r="H223" s="36" t="n">
        <f aca="false">IF($A223="","",IF(ISNUMBER($G223),$G223,IF(ISNUMBER($F223),$F223,"")))</f>
        <v>0.18</v>
      </c>
      <c r="I223" s="37" t="n">
        <f aca="false">IF(OR($A223="",NOT(ISNUMBER($D223)),NOT(ISNUMBER($H223))),"",IF((1-$H223-Parâmetros!$B$9-Parâmetros!$C$9-Parâmetros!$D$9)&lt;=0,"INVALIDO",($D223+IF(ISNUMBER($E223),$E223,0)+IF(ISNUMBER(Parâmetros!$E$9),Parâmetros!$E$9,0))/(1-$H223-Parâmetros!$B$9-Parâmetros!$C$9-Parâmetros!$D$9)))</f>
        <v>201.30612244898</v>
      </c>
      <c r="J223" s="38"/>
      <c r="K223" s="39" t="n">
        <f aca="false">IF(OR($A223="",NOT(ISNUMBER($D223)),NOT(ISNUMBER($H223))),"",IF(AND(ISNUMBER($J223),$J223&gt;0),$J223,IF(ISNUMBER($I223),$I223,"")))</f>
        <v>201.30612244898</v>
      </c>
      <c r="L223" s="40" t="n">
        <f aca="false">IF(ISNUMBER($K223),$K223*$H223,"")</f>
        <v>36.2351020408163</v>
      </c>
      <c r="M223" s="40" t="n">
        <f aca="false">IF(ISNUMBER($K223),$K223*Parâmetros!$B$9,"")</f>
        <v>20.130612244898</v>
      </c>
      <c r="N223" s="40" t="n">
        <f aca="false">IF(ISNUMBER($K223),$K223*Parâmetros!$C$9,"")</f>
        <v>6.03918367346939</v>
      </c>
      <c r="O223" s="40" t="n">
        <f aca="false">IF(ISNUMBER($K223),IF(ISNUMBER(Parâmetros!$E$9),Parâmetros!$E$9,0),"")</f>
        <v>0</v>
      </c>
      <c r="P223" s="41" t="n">
        <f aca="false">IF(ISNUMBER($K223),$K223-$D223-IF(ISNUMBER($E223),$E223,0)-$L223-$M223-$N223-$O223,"")</f>
        <v>40.2612244897959</v>
      </c>
      <c r="Q223" s="42" t="n">
        <f aca="false">IF(AND(ISNUMBER($K223),$K223&gt;0),$P223/$K223,"")</f>
        <v>0.2</v>
      </c>
      <c r="R223" s="43"/>
      <c r="S223" s="44" t="str">
        <f aca="false">IF(OR(NOT(ISNUMBER($R223)),$R223=0,NOT(ISNUMBER($K223))),"",$K223*(1-$R223))</f>
        <v/>
      </c>
      <c r="T223" s="45" t="str">
        <f aca="false">IF(ISNUMBER($S223),$S223*$H223,"")</f>
        <v/>
      </c>
      <c r="U223" s="45" t="str">
        <f aca="false">IF(ISNUMBER($S223),$S223*Parâmetros!$B$9,"")</f>
        <v/>
      </c>
      <c r="V223" s="45" t="str">
        <f aca="false">IF(ISNUMBER($S223),$S223*Parâmetros!$C$9,"")</f>
        <v/>
      </c>
      <c r="W223" s="44" t="str">
        <f aca="false">IF(ISNUMBER($S223),$S223-$D223-IF(ISNUMBER($E223),$E223,0)-$O223-$T223-$U223-$V223,"")</f>
        <v/>
      </c>
      <c r="X223" s="46" t="str">
        <f aca="false">IF(AND(ISNUMBER($S223),$S223&gt;0),$W223/$S223,"")</f>
        <v/>
      </c>
      <c r="Y223" s="49"/>
      <c r="Z223" s="21"/>
    </row>
    <row r="224" customFormat="false" ht="15.75" hidden="false" customHeight="true" outlineLevel="0" collapsed="false">
      <c r="A224" s="32" t="str">
        <f aca="false">IF(Produtos!$A224="","",Produtos!$A224)</f>
        <v>A24ML</v>
      </c>
      <c r="B224" s="32" t="str">
        <f aca="false">IF(Produtos!$A224="","",Produtos!$B224)</f>
        <v>Aro 24cm Meia Lua Aço Inox</v>
      </c>
      <c r="C224" s="32" t="str">
        <f aca="false">IF(Produtos!$A224="","",Produtos!$C224)</f>
        <v>Acessórios (aros e tampas)</v>
      </c>
      <c r="D224" s="33" t="n">
        <f aca="false">IF(Produtos!$A224="","",IF(Produtos!$D224="","",Produtos!$D224))</f>
        <v>60.74</v>
      </c>
      <c r="E224" s="11" t="n">
        <v>0</v>
      </c>
      <c r="F224" s="34" t="n">
        <f aca="false">IF($A224="","",IF($C224="","⚠ categoria",IFERROR(INDEX(Parâmetros!$G$13:$G$22,MATCH($C224,Parâmetros!$A$13:$A$22,0)),"⚠ categoria")))</f>
        <v>0.18</v>
      </c>
      <c r="G224" s="35"/>
      <c r="H224" s="36" t="n">
        <f aca="false">IF($A224="","",IF(ISNUMBER($G224),$G224,IF(ISNUMBER($F224),$F224,"")))</f>
        <v>0.18</v>
      </c>
      <c r="I224" s="37" t="n">
        <f aca="false">IF(OR($A224="",NOT(ISNUMBER($D224)),NOT(ISNUMBER($H224))),"",IF((1-$H224-Parâmetros!$B$9-Parâmetros!$C$9-Parâmetros!$D$9)&lt;=0,"INVALIDO",($D224+IF(ISNUMBER($E224),$E224,0)+IF(ISNUMBER(Parâmetros!$E$9),Parâmetros!$E$9,0))/(1-$H224-Parâmetros!$B$9-Parâmetros!$C$9-Parâmetros!$D$9)))</f>
        <v>123.959183673469</v>
      </c>
      <c r="J224" s="38"/>
      <c r="K224" s="39" t="n">
        <f aca="false">IF(OR($A224="",NOT(ISNUMBER($D224)),NOT(ISNUMBER($H224))),"",IF(AND(ISNUMBER($J224),$J224&gt;0),$J224,IF(ISNUMBER($I224),$I224,"")))</f>
        <v>123.959183673469</v>
      </c>
      <c r="L224" s="40" t="n">
        <f aca="false">IF(ISNUMBER($K224),$K224*$H224,"")</f>
        <v>22.3126530612245</v>
      </c>
      <c r="M224" s="40" t="n">
        <f aca="false">IF(ISNUMBER($K224),$K224*Parâmetros!$B$9,"")</f>
        <v>12.3959183673469</v>
      </c>
      <c r="N224" s="40" t="n">
        <f aca="false">IF(ISNUMBER($K224),$K224*Parâmetros!$C$9,"")</f>
        <v>3.71877551020408</v>
      </c>
      <c r="O224" s="40" t="n">
        <f aca="false">IF(ISNUMBER($K224),IF(ISNUMBER(Parâmetros!$E$9),Parâmetros!$E$9,0),"")</f>
        <v>0</v>
      </c>
      <c r="P224" s="41" t="n">
        <f aca="false">IF(ISNUMBER($K224),$K224-$D224-IF(ISNUMBER($E224),$E224,0)-$L224-$M224-$N224-$O224,"")</f>
        <v>24.7918367346939</v>
      </c>
      <c r="Q224" s="42" t="n">
        <f aca="false">IF(AND(ISNUMBER($K224),$K224&gt;0),$P224/$K224,"")</f>
        <v>0.2</v>
      </c>
      <c r="R224" s="43"/>
      <c r="S224" s="44" t="str">
        <f aca="false">IF(OR(NOT(ISNUMBER($R224)),$R224=0,NOT(ISNUMBER($K224))),"",$K224*(1-$R224))</f>
        <v/>
      </c>
      <c r="T224" s="45" t="str">
        <f aca="false">IF(ISNUMBER($S224),$S224*$H224,"")</f>
        <v/>
      </c>
      <c r="U224" s="45" t="str">
        <f aca="false">IF(ISNUMBER($S224),$S224*Parâmetros!$B$9,"")</f>
        <v/>
      </c>
      <c r="V224" s="45" t="str">
        <f aca="false">IF(ISNUMBER($S224),$S224*Parâmetros!$C$9,"")</f>
        <v/>
      </c>
      <c r="W224" s="44" t="str">
        <f aca="false">IF(ISNUMBER($S224),$S224-$D224-IF(ISNUMBER($E224),$E224,0)-$O224-$T224-$U224-$V224,"")</f>
        <v/>
      </c>
      <c r="X224" s="46" t="str">
        <f aca="false">IF(AND(ISNUMBER($S224),$S224&gt;0),$W224/$S224,"")</f>
        <v/>
      </c>
      <c r="Y224" s="47"/>
      <c r="Z224" s="19"/>
    </row>
    <row r="225" customFormat="false" ht="15.75" hidden="false" customHeight="true" outlineLevel="0" collapsed="false">
      <c r="A225" s="48" t="str">
        <f aca="false">IF(Produtos!$A225="","",Produtos!$A225)</f>
        <v>A30ML</v>
      </c>
      <c r="B225" s="48" t="str">
        <f aca="false">IF(Produtos!$A225="","",Produtos!$B225)</f>
        <v>Aro 30cm Meia Lua Aço Inox</v>
      </c>
      <c r="C225" s="48" t="str">
        <f aca="false">IF(Produtos!$A225="","",Produtos!$C225)</f>
        <v>Acessórios (aros e tampas)</v>
      </c>
      <c r="D225" s="33" t="n">
        <f aca="false">IF(Produtos!$A225="","",IF(Produtos!$D225="","",Produtos!$D225))</f>
        <v>76.36</v>
      </c>
      <c r="E225" s="11" t="n">
        <v>0</v>
      </c>
      <c r="F225" s="34" t="n">
        <f aca="false">IF($A225="","",IF($C225="","⚠ categoria",IFERROR(INDEX(Parâmetros!$G$13:$G$22,MATCH($C225,Parâmetros!$A$13:$A$22,0)),"⚠ categoria")))</f>
        <v>0.18</v>
      </c>
      <c r="G225" s="35"/>
      <c r="H225" s="36" t="n">
        <f aca="false">IF($A225="","",IF(ISNUMBER($G225),$G225,IF(ISNUMBER($F225),$F225,"")))</f>
        <v>0.18</v>
      </c>
      <c r="I225" s="37" t="n">
        <f aca="false">IF(OR($A225="",NOT(ISNUMBER($D225)),NOT(ISNUMBER($H225))),"",IF((1-$H225-Parâmetros!$B$9-Parâmetros!$C$9-Parâmetros!$D$9)&lt;=0,"INVALIDO",($D225+IF(ISNUMBER($E225),$E225,0)+IF(ISNUMBER(Parâmetros!$E$9),Parâmetros!$E$9,0))/(1-$H225-Parâmetros!$B$9-Parâmetros!$C$9-Parâmetros!$D$9)))</f>
        <v>155.836734693878</v>
      </c>
      <c r="J225" s="38"/>
      <c r="K225" s="39" t="n">
        <f aca="false">IF(OR($A225="",NOT(ISNUMBER($D225)),NOT(ISNUMBER($H225))),"",IF(AND(ISNUMBER($J225),$J225&gt;0),$J225,IF(ISNUMBER($I225),$I225,"")))</f>
        <v>155.836734693878</v>
      </c>
      <c r="L225" s="40" t="n">
        <f aca="false">IF(ISNUMBER($K225),$K225*$H225,"")</f>
        <v>28.050612244898</v>
      </c>
      <c r="M225" s="40" t="n">
        <f aca="false">IF(ISNUMBER($K225),$K225*Parâmetros!$B$9,"")</f>
        <v>15.5836734693878</v>
      </c>
      <c r="N225" s="40" t="n">
        <f aca="false">IF(ISNUMBER($K225),$K225*Parâmetros!$C$9,"")</f>
        <v>4.67510204081633</v>
      </c>
      <c r="O225" s="40" t="n">
        <f aca="false">IF(ISNUMBER($K225),IF(ISNUMBER(Parâmetros!$E$9),Parâmetros!$E$9,0),"")</f>
        <v>0</v>
      </c>
      <c r="P225" s="41" t="n">
        <f aca="false">IF(ISNUMBER($K225),$K225-$D225-IF(ISNUMBER($E225),$E225,0)-$L225-$M225-$N225-$O225,"")</f>
        <v>31.1673469387755</v>
      </c>
      <c r="Q225" s="42" t="n">
        <f aca="false">IF(AND(ISNUMBER($K225),$K225&gt;0),$P225/$K225,"")</f>
        <v>0.2</v>
      </c>
      <c r="R225" s="43"/>
      <c r="S225" s="44" t="str">
        <f aca="false">IF(OR(NOT(ISNUMBER($R225)),$R225=0,NOT(ISNUMBER($K225))),"",$K225*(1-$R225))</f>
        <v/>
      </c>
      <c r="T225" s="45" t="str">
        <f aca="false">IF(ISNUMBER($S225),$S225*$H225,"")</f>
        <v/>
      </c>
      <c r="U225" s="45" t="str">
        <f aca="false">IF(ISNUMBER($S225),$S225*Parâmetros!$B$9,"")</f>
        <v/>
      </c>
      <c r="V225" s="45" t="str">
        <f aca="false">IF(ISNUMBER($S225),$S225*Parâmetros!$C$9,"")</f>
        <v/>
      </c>
      <c r="W225" s="44" t="str">
        <f aca="false">IF(ISNUMBER($S225),$S225-$D225-IF(ISNUMBER($E225),$E225,0)-$O225-$T225-$U225-$V225,"")</f>
        <v/>
      </c>
      <c r="X225" s="46" t="str">
        <f aca="false">IF(AND(ISNUMBER($S225),$S225&gt;0),$W225/$S225,"")</f>
        <v/>
      </c>
      <c r="Y225" s="49"/>
      <c r="Z225" s="21"/>
    </row>
    <row r="226" customFormat="false" ht="15.75" hidden="false" customHeight="true" outlineLevel="0" collapsed="false">
      <c r="A226" s="32" t="str">
        <f aca="false">IF(Produtos!$A226="","",Produtos!$A226)</f>
        <v>A40ML</v>
      </c>
      <c r="B226" s="32" t="str">
        <f aca="false">IF(Produtos!$A226="","",Produtos!$B226)</f>
        <v>Aro 40cm Meia Lua Aço Inox</v>
      </c>
      <c r="C226" s="32" t="str">
        <f aca="false">IF(Produtos!$A226="","",Produtos!$C226)</f>
        <v>Acessórios (aros e tampas)</v>
      </c>
      <c r="D226" s="33" t="n">
        <f aca="false">IF(Produtos!$A226="","",IF(Produtos!$D226="","",Produtos!$D226))</f>
        <v>116.98</v>
      </c>
      <c r="E226" s="11" t="n">
        <v>0</v>
      </c>
      <c r="F226" s="34" t="n">
        <f aca="false">IF($A226="","",IF($C226="","⚠ categoria",IFERROR(INDEX(Parâmetros!$G$13:$G$22,MATCH($C226,Parâmetros!$A$13:$A$22,0)),"⚠ categoria")))</f>
        <v>0.18</v>
      </c>
      <c r="G226" s="35"/>
      <c r="H226" s="36" t="n">
        <f aca="false">IF($A226="","",IF(ISNUMBER($G226),$G226,IF(ISNUMBER($F226),$F226,"")))</f>
        <v>0.18</v>
      </c>
      <c r="I226" s="37" t="n">
        <f aca="false">IF(OR($A226="",NOT(ISNUMBER($D226)),NOT(ISNUMBER($H226))),"",IF((1-$H226-Parâmetros!$B$9-Parâmetros!$C$9-Parâmetros!$D$9)&lt;=0,"INVALIDO",($D226+IF(ISNUMBER($E226),$E226,0)+IF(ISNUMBER(Parâmetros!$E$9),Parâmetros!$E$9,0))/(1-$H226-Parâmetros!$B$9-Parâmetros!$C$9-Parâmetros!$D$9)))</f>
        <v>238.734693877551</v>
      </c>
      <c r="J226" s="38"/>
      <c r="K226" s="39" t="n">
        <f aca="false">IF(OR($A226="",NOT(ISNUMBER($D226)),NOT(ISNUMBER($H226))),"",IF(AND(ISNUMBER($J226),$J226&gt;0),$J226,IF(ISNUMBER($I226),$I226,"")))</f>
        <v>238.734693877551</v>
      </c>
      <c r="L226" s="40" t="n">
        <f aca="false">IF(ISNUMBER($K226),$K226*$H226,"")</f>
        <v>42.9722448979592</v>
      </c>
      <c r="M226" s="40" t="n">
        <f aca="false">IF(ISNUMBER($K226),$K226*Parâmetros!$B$9,"")</f>
        <v>23.8734693877551</v>
      </c>
      <c r="N226" s="40" t="n">
        <f aca="false">IF(ISNUMBER($K226),$K226*Parâmetros!$C$9,"")</f>
        <v>7.16204081632653</v>
      </c>
      <c r="O226" s="40" t="n">
        <f aca="false">IF(ISNUMBER($K226),IF(ISNUMBER(Parâmetros!$E$9),Parâmetros!$E$9,0),"")</f>
        <v>0</v>
      </c>
      <c r="P226" s="41" t="n">
        <f aca="false">IF(ISNUMBER($K226),$K226-$D226-IF(ISNUMBER($E226),$E226,0)-$L226-$M226-$N226-$O226,"")</f>
        <v>47.7469387755102</v>
      </c>
      <c r="Q226" s="42" t="n">
        <f aca="false">IF(AND(ISNUMBER($K226),$K226&gt;0),$P226/$K226,"")</f>
        <v>0.2</v>
      </c>
      <c r="R226" s="43"/>
      <c r="S226" s="44" t="str">
        <f aca="false">IF(OR(NOT(ISNUMBER($R226)),$R226=0,NOT(ISNUMBER($K226))),"",$K226*(1-$R226))</f>
        <v/>
      </c>
      <c r="T226" s="45" t="str">
        <f aca="false">IF(ISNUMBER($S226),$S226*$H226,"")</f>
        <v/>
      </c>
      <c r="U226" s="45" t="str">
        <f aca="false">IF(ISNUMBER($S226),$S226*Parâmetros!$B$9,"")</f>
        <v/>
      </c>
      <c r="V226" s="45" t="str">
        <f aca="false">IF(ISNUMBER($S226),$S226*Parâmetros!$C$9,"")</f>
        <v/>
      </c>
      <c r="W226" s="44" t="str">
        <f aca="false">IF(ISNUMBER($S226),$S226-$D226-IF(ISNUMBER($E226),$E226,0)-$O226-$T226-$U226-$V226,"")</f>
        <v/>
      </c>
      <c r="X226" s="46" t="str">
        <f aca="false">IF(AND(ISNUMBER($S226),$S226&gt;0),$W226/$S226,"")</f>
        <v/>
      </c>
      <c r="Y226" s="47"/>
      <c r="Z226" s="19"/>
    </row>
    <row r="227" customFormat="false" ht="15.75" hidden="false" customHeight="true" outlineLevel="0" collapsed="false">
      <c r="A227" s="48" t="str">
        <f aca="false">IF(Produtos!$A227="","",Produtos!$A227)</f>
        <v>AQ-24</v>
      </c>
      <c r="B227" s="48" t="str">
        <f aca="false">IF(Produtos!$A227="","",Produtos!$B227)</f>
        <v>Aro Quadrado 24cm Aço Inox</v>
      </c>
      <c r="C227" s="48" t="str">
        <f aca="false">IF(Produtos!$A227="","",Produtos!$C227)</f>
        <v>Acessórios (aros e tampas)</v>
      </c>
      <c r="D227" s="33" t="n">
        <f aca="false">IF(Produtos!$A227="","",IF(Produtos!$D227="","",Produtos!$D227))</f>
        <v>39.22</v>
      </c>
      <c r="E227" s="11" t="n">
        <v>0</v>
      </c>
      <c r="F227" s="34" t="n">
        <f aca="false">IF($A227="","",IF($C227="","⚠ categoria",IFERROR(INDEX(Parâmetros!$G$13:$G$22,MATCH($C227,Parâmetros!$A$13:$A$22,0)),"⚠ categoria")))</f>
        <v>0.18</v>
      </c>
      <c r="G227" s="35"/>
      <c r="H227" s="36" t="n">
        <f aca="false">IF($A227="","",IF(ISNUMBER($G227),$G227,IF(ISNUMBER($F227),$F227,"")))</f>
        <v>0.18</v>
      </c>
      <c r="I227" s="37" t="n">
        <f aca="false">IF(OR($A227="",NOT(ISNUMBER($D227)),NOT(ISNUMBER($H227))),"",IF((1-$H227-Parâmetros!$B$9-Parâmetros!$C$9-Parâmetros!$D$9)&lt;=0,"INVALIDO",($D227+IF(ISNUMBER($E227),$E227,0)+IF(ISNUMBER(Parâmetros!$E$9),Parâmetros!$E$9,0))/(1-$H227-Parâmetros!$B$9-Parâmetros!$C$9-Parâmetros!$D$9)))</f>
        <v>80.0408163265306</v>
      </c>
      <c r="J227" s="38"/>
      <c r="K227" s="39" t="n">
        <f aca="false">IF(OR($A227="",NOT(ISNUMBER($D227)),NOT(ISNUMBER($H227))),"",IF(AND(ISNUMBER($J227),$J227&gt;0),$J227,IF(ISNUMBER($I227),$I227,"")))</f>
        <v>80.0408163265306</v>
      </c>
      <c r="L227" s="40" t="n">
        <f aca="false">IF(ISNUMBER($K227),$K227*$H227,"")</f>
        <v>14.4073469387755</v>
      </c>
      <c r="M227" s="40" t="n">
        <f aca="false">IF(ISNUMBER($K227),$K227*Parâmetros!$B$9,"")</f>
        <v>8.00408163265306</v>
      </c>
      <c r="N227" s="40" t="n">
        <f aca="false">IF(ISNUMBER($K227),$K227*Parâmetros!$C$9,"")</f>
        <v>2.40122448979592</v>
      </c>
      <c r="O227" s="40" t="n">
        <f aca="false">IF(ISNUMBER($K227),IF(ISNUMBER(Parâmetros!$E$9),Parâmetros!$E$9,0),"")</f>
        <v>0</v>
      </c>
      <c r="P227" s="41" t="n">
        <f aca="false">IF(ISNUMBER($K227),$K227-$D227-IF(ISNUMBER($E227),$E227,0)-$L227-$M227-$N227-$O227,"")</f>
        <v>16.0081632653061</v>
      </c>
      <c r="Q227" s="42" t="n">
        <f aca="false">IF(AND(ISNUMBER($K227),$K227&gt;0),$P227/$K227,"")</f>
        <v>0.2</v>
      </c>
      <c r="R227" s="43"/>
      <c r="S227" s="44" t="str">
        <f aca="false">IF(OR(NOT(ISNUMBER($R227)),$R227=0,NOT(ISNUMBER($K227))),"",$K227*(1-$R227))</f>
        <v/>
      </c>
      <c r="T227" s="45" t="str">
        <f aca="false">IF(ISNUMBER($S227),$S227*$H227,"")</f>
        <v/>
      </c>
      <c r="U227" s="45" t="str">
        <f aca="false">IF(ISNUMBER($S227),$S227*Parâmetros!$B$9,"")</f>
        <v/>
      </c>
      <c r="V227" s="45" t="str">
        <f aca="false">IF(ISNUMBER($S227),$S227*Parâmetros!$C$9,"")</f>
        <v/>
      </c>
      <c r="W227" s="44" t="str">
        <f aca="false">IF(ISNUMBER($S227),$S227-$D227-IF(ISNUMBER($E227),$E227,0)-$O227-$T227-$U227-$V227,"")</f>
        <v/>
      </c>
      <c r="X227" s="46" t="str">
        <f aca="false">IF(AND(ISNUMBER($S227),$S227&gt;0),$W227/$S227,"")</f>
        <v/>
      </c>
      <c r="Y227" s="49"/>
      <c r="Z227" s="21"/>
    </row>
    <row r="228" customFormat="false" ht="15.75" hidden="false" customHeight="true" outlineLevel="0" collapsed="false">
      <c r="A228" s="32" t="str">
        <f aca="false">IF(Produtos!$A228="","",Produtos!$A228)</f>
        <v>AQ-30</v>
      </c>
      <c r="B228" s="32" t="str">
        <f aca="false">IF(Produtos!$A228="","",Produtos!$B228)</f>
        <v>Aro Quadrado 30cm Aço Inox</v>
      </c>
      <c r="C228" s="32" t="str">
        <f aca="false">IF(Produtos!$A228="","",Produtos!$C228)</f>
        <v>Acessórios (aros e tampas)</v>
      </c>
      <c r="D228" s="33" t="n">
        <f aca="false">IF(Produtos!$A228="","",IF(Produtos!$D228="","",Produtos!$D228))</f>
        <v>45.58</v>
      </c>
      <c r="E228" s="11" t="n">
        <v>0</v>
      </c>
      <c r="F228" s="34" t="n">
        <f aca="false">IF($A228="","",IF($C228="","⚠ categoria",IFERROR(INDEX(Parâmetros!$G$13:$G$22,MATCH($C228,Parâmetros!$A$13:$A$22,0)),"⚠ categoria")))</f>
        <v>0.18</v>
      </c>
      <c r="G228" s="35"/>
      <c r="H228" s="36" t="n">
        <f aca="false">IF($A228="","",IF(ISNUMBER($G228),$G228,IF(ISNUMBER($F228),$F228,"")))</f>
        <v>0.18</v>
      </c>
      <c r="I228" s="37" t="n">
        <f aca="false">IF(OR($A228="",NOT(ISNUMBER($D228)),NOT(ISNUMBER($H228))),"",IF((1-$H228-Parâmetros!$B$9-Parâmetros!$C$9-Parâmetros!$D$9)&lt;=0,"INVALIDO",($D228+IF(ISNUMBER($E228),$E228,0)+IF(ISNUMBER(Parâmetros!$E$9),Parâmetros!$E$9,0))/(1-$H228-Parâmetros!$B$9-Parâmetros!$C$9-Parâmetros!$D$9)))</f>
        <v>93.0204081632653</v>
      </c>
      <c r="J228" s="38"/>
      <c r="K228" s="39" t="n">
        <f aca="false">IF(OR($A228="",NOT(ISNUMBER($D228)),NOT(ISNUMBER($H228))),"",IF(AND(ISNUMBER($J228),$J228&gt;0),$J228,IF(ISNUMBER($I228),$I228,"")))</f>
        <v>93.0204081632653</v>
      </c>
      <c r="L228" s="40" t="n">
        <f aca="false">IF(ISNUMBER($K228),$K228*$H228,"")</f>
        <v>16.7436734693878</v>
      </c>
      <c r="M228" s="40" t="n">
        <f aca="false">IF(ISNUMBER($K228),$K228*Parâmetros!$B$9,"")</f>
        <v>9.30204081632653</v>
      </c>
      <c r="N228" s="40" t="n">
        <f aca="false">IF(ISNUMBER($K228),$K228*Parâmetros!$C$9,"")</f>
        <v>2.79061224489796</v>
      </c>
      <c r="O228" s="40" t="n">
        <f aca="false">IF(ISNUMBER($K228),IF(ISNUMBER(Parâmetros!$E$9),Parâmetros!$E$9,0),"")</f>
        <v>0</v>
      </c>
      <c r="P228" s="41" t="n">
        <f aca="false">IF(ISNUMBER($K228),$K228-$D228-IF(ISNUMBER($E228),$E228,0)-$L228-$M228-$N228-$O228,"")</f>
        <v>18.6040816326531</v>
      </c>
      <c r="Q228" s="42" t="n">
        <f aca="false">IF(AND(ISNUMBER($K228),$K228&gt;0),$P228/$K228,"")</f>
        <v>0.2</v>
      </c>
      <c r="R228" s="43"/>
      <c r="S228" s="44" t="str">
        <f aca="false">IF(OR(NOT(ISNUMBER($R228)),$R228=0,NOT(ISNUMBER($K228))),"",$K228*(1-$R228))</f>
        <v/>
      </c>
      <c r="T228" s="45" t="str">
        <f aca="false">IF(ISNUMBER($S228),$S228*$H228,"")</f>
        <v/>
      </c>
      <c r="U228" s="45" t="str">
        <f aca="false">IF(ISNUMBER($S228),$S228*Parâmetros!$B$9,"")</f>
        <v/>
      </c>
      <c r="V228" s="45" t="str">
        <f aca="false">IF(ISNUMBER($S228),$S228*Parâmetros!$C$9,"")</f>
        <v/>
      </c>
      <c r="W228" s="44" t="str">
        <f aca="false">IF(ISNUMBER($S228),$S228-$D228-IF(ISNUMBER($E228),$E228,0)-$O228-$T228-$U228-$V228,"")</f>
        <v/>
      </c>
      <c r="X228" s="46" t="str">
        <f aca="false">IF(AND(ISNUMBER($S228),$S228&gt;0),$W228/$S228,"")</f>
        <v/>
      </c>
      <c r="Y228" s="47"/>
      <c r="Z228" s="19"/>
    </row>
    <row r="229" customFormat="false" ht="15.75" hidden="false" customHeight="true" outlineLevel="0" collapsed="false">
      <c r="A229" s="48" t="str">
        <f aca="false">IF(Produtos!$A229="","",Produtos!$A229)</f>
        <v>AQ-40</v>
      </c>
      <c r="B229" s="48" t="str">
        <f aca="false">IF(Produtos!$A229="","",Produtos!$B229)</f>
        <v>Aro Quadrado 40cm Aço Inox</v>
      </c>
      <c r="C229" s="48" t="str">
        <f aca="false">IF(Produtos!$A229="","",Produtos!$C229)</f>
        <v>Acessórios (aros e tampas)</v>
      </c>
      <c r="D229" s="33" t="n">
        <f aca="false">IF(Produtos!$A229="","",IF(Produtos!$D229="","",Produtos!$D229))</f>
        <v>96.46</v>
      </c>
      <c r="E229" s="11" t="n">
        <v>0</v>
      </c>
      <c r="F229" s="34" t="n">
        <f aca="false">IF($A229="","",IF($C229="","⚠ categoria",IFERROR(INDEX(Parâmetros!$G$13:$G$22,MATCH($C229,Parâmetros!$A$13:$A$22,0)),"⚠ categoria")))</f>
        <v>0.18</v>
      </c>
      <c r="G229" s="35"/>
      <c r="H229" s="36" t="n">
        <f aca="false">IF($A229="","",IF(ISNUMBER($G229),$G229,IF(ISNUMBER($F229),$F229,"")))</f>
        <v>0.18</v>
      </c>
      <c r="I229" s="37" t="n">
        <f aca="false">IF(OR($A229="",NOT(ISNUMBER($D229)),NOT(ISNUMBER($H229))),"",IF((1-$H229-Parâmetros!$B$9-Parâmetros!$C$9-Parâmetros!$D$9)&lt;=0,"INVALIDO",($D229+IF(ISNUMBER($E229),$E229,0)+IF(ISNUMBER(Parâmetros!$E$9),Parâmetros!$E$9,0))/(1-$H229-Parâmetros!$B$9-Parâmetros!$C$9-Parâmetros!$D$9)))</f>
        <v>196.857142857143</v>
      </c>
      <c r="J229" s="38"/>
      <c r="K229" s="39" t="n">
        <f aca="false">IF(OR($A229="",NOT(ISNUMBER($D229)),NOT(ISNUMBER($H229))),"",IF(AND(ISNUMBER($J229),$J229&gt;0),$J229,IF(ISNUMBER($I229),$I229,"")))</f>
        <v>196.857142857143</v>
      </c>
      <c r="L229" s="40" t="n">
        <f aca="false">IF(ISNUMBER($K229),$K229*$H229,"")</f>
        <v>35.4342857142857</v>
      </c>
      <c r="M229" s="40" t="n">
        <f aca="false">IF(ISNUMBER($K229),$K229*Parâmetros!$B$9,"")</f>
        <v>19.6857142857143</v>
      </c>
      <c r="N229" s="40" t="n">
        <f aca="false">IF(ISNUMBER($K229),$K229*Parâmetros!$C$9,"")</f>
        <v>5.90571428571429</v>
      </c>
      <c r="O229" s="40" t="n">
        <f aca="false">IF(ISNUMBER($K229),IF(ISNUMBER(Parâmetros!$E$9),Parâmetros!$E$9,0),"")</f>
        <v>0</v>
      </c>
      <c r="P229" s="41" t="n">
        <f aca="false">IF(ISNUMBER($K229),$K229-$D229-IF(ISNUMBER($E229),$E229,0)-$L229-$M229-$N229-$O229,"")</f>
        <v>39.3714285714286</v>
      </c>
      <c r="Q229" s="42" t="n">
        <f aca="false">IF(AND(ISNUMBER($K229),$K229&gt;0),$P229/$K229,"")</f>
        <v>0.2</v>
      </c>
      <c r="R229" s="43"/>
      <c r="S229" s="44" t="str">
        <f aca="false">IF(OR(NOT(ISNUMBER($R229)),$R229=0,NOT(ISNUMBER($K229))),"",$K229*(1-$R229))</f>
        <v/>
      </c>
      <c r="T229" s="45" t="str">
        <f aca="false">IF(ISNUMBER($S229),$S229*$H229,"")</f>
        <v/>
      </c>
      <c r="U229" s="45" t="str">
        <f aca="false">IF(ISNUMBER($S229),$S229*Parâmetros!$B$9,"")</f>
        <v/>
      </c>
      <c r="V229" s="45" t="str">
        <f aca="false">IF(ISNUMBER($S229),$S229*Parâmetros!$C$9,"")</f>
        <v/>
      </c>
      <c r="W229" s="44" t="str">
        <f aca="false">IF(ISNUMBER($S229),$S229-$D229-IF(ISNUMBER($E229),$E229,0)-$O229-$T229-$U229-$V229,"")</f>
        <v/>
      </c>
      <c r="X229" s="46" t="str">
        <f aca="false">IF(AND(ISNUMBER($S229),$S229&gt;0),$W229/$S229,"")</f>
        <v/>
      </c>
      <c r="Y229" s="49"/>
      <c r="Z229" s="21"/>
    </row>
    <row r="230" customFormat="false" ht="15.75" hidden="false" customHeight="true" outlineLevel="0" collapsed="false">
      <c r="A230" s="32" t="str">
        <f aca="false">IF(Produtos!$A230="","",Produtos!$A230)</f>
        <v>AQ-24B</v>
      </c>
      <c r="B230" s="32" t="str">
        <f aca="false">IF(Produtos!$A230="","",Produtos!$B230)</f>
        <v>Aro Quadrado 24cm c/Basculante</v>
      </c>
      <c r="C230" s="32" t="str">
        <f aca="false">IF(Produtos!$A230="","",Produtos!$C230)</f>
        <v>Acessórios (aros e tampas)</v>
      </c>
      <c r="D230" s="33" t="n">
        <f aca="false">IF(Produtos!$A230="","",IF(Produtos!$D230="","",Produtos!$D230))</f>
        <v>54.06</v>
      </c>
      <c r="E230" s="11" t="n">
        <v>0</v>
      </c>
      <c r="F230" s="34" t="n">
        <f aca="false">IF($A230="","",IF($C230="","⚠ categoria",IFERROR(INDEX(Parâmetros!$G$13:$G$22,MATCH($C230,Parâmetros!$A$13:$A$22,0)),"⚠ categoria")))</f>
        <v>0.18</v>
      </c>
      <c r="G230" s="35"/>
      <c r="H230" s="36" t="n">
        <f aca="false">IF($A230="","",IF(ISNUMBER($G230),$G230,IF(ISNUMBER($F230),$F230,"")))</f>
        <v>0.18</v>
      </c>
      <c r="I230" s="37" t="n">
        <f aca="false">IF(OR($A230="",NOT(ISNUMBER($D230)),NOT(ISNUMBER($H230))),"",IF((1-$H230-Parâmetros!$B$9-Parâmetros!$C$9-Parâmetros!$D$9)&lt;=0,"INVALIDO",($D230+IF(ISNUMBER($E230),$E230,0)+IF(ISNUMBER(Parâmetros!$E$9),Parâmetros!$E$9,0))/(1-$H230-Parâmetros!$B$9-Parâmetros!$C$9-Parâmetros!$D$9)))</f>
        <v>110.326530612245</v>
      </c>
      <c r="J230" s="38"/>
      <c r="K230" s="39" t="n">
        <f aca="false">IF(OR($A230="",NOT(ISNUMBER($D230)),NOT(ISNUMBER($H230))),"",IF(AND(ISNUMBER($J230),$J230&gt;0),$J230,IF(ISNUMBER($I230),$I230,"")))</f>
        <v>110.326530612245</v>
      </c>
      <c r="L230" s="40" t="n">
        <f aca="false">IF(ISNUMBER($K230),$K230*$H230,"")</f>
        <v>19.8587755102041</v>
      </c>
      <c r="M230" s="40" t="n">
        <f aca="false">IF(ISNUMBER($K230),$K230*Parâmetros!$B$9,"")</f>
        <v>11.0326530612245</v>
      </c>
      <c r="N230" s="40" t="n">
        <f aca="false">IF(ISNUMBER($K230),$K230*Parâmetros!$C$9,"")</f>
        <v>3.30979591836735</v>
      </c>
      <c r="O230" s="40" t="n">
        <f aca="false">IF(ISNUMBER($K230),IF(ISNUMBER(Parâmetros!$E$9),Parâmetros!$E$9,0),"")</f>
        <v>0</v>
      </c>
      <c r="P230" s="41" t="n">
        <f aca="false">IF(ISNUMBER($K230),$K230-$D230-IF(ISNUMBER($E230),$E230,0)-$L230-$M230-$N230-$O230,"")</f>
        <v>22.065306122449</v>
      </c>
      <c r="Q230" s="42" t="n">
        <f aca="false">IF(AND(ISNUMBER($K230),$K230&gt;0),$P230/$K230,"")</f>
        <v>0.2</v>
      </c>
      <c r="R230" s="43"/>
      <c r="S230" s="44" t="str">
        <f aca="false">IF(OR(NOT(ISNUMBER($R230)),$R230=0,NOT(ISNUMBER($K230))),"",$K230*(1-$R230))</f>
        <v/>
      </c>
      <c r="T230" s="45" t="str">
        <f aca="false">IF(ISNUMBER($S230),$S230*$H230,"")</f>
        <v/>
      </c>
      <c r="U230" s="45" t="str">
        <f aca="false">IF(ISNUMBER($S230),$S230*Parâmetros!$B$9,"")</f>
        <v/>
      </c>
      <c r="V230" s="45" t="str">
        <f aca="false">IF(ISNUMBER($S230),$S230*Parâmetros!$C$9,"")</f>
        <v/>
      </c>
      <c r="W230" s="44" t="str">
        <f aca="false">IF(ISNUMBER($S230),$S230-$D230-IF(ISNUMBER($E230),$E230,0)-$O230-$T230-$U230-$V230,"")</f>
        <v/>
      </c>
      <c r="X230" s="46" t="str">
        <f aca="false">IF(AND(ISNUMBER($S230),$S230&gt;0),$W230/$S230,"")</f>
        <v/>
      </c>
      <c r="Y230" s="47"/>
      <c r="Z230" s="19"/>
    </row>
    <row r="231" customFormat="false" ht="15.75" hidden="false" customHeight="true" outlineLevel="0" collapsed="false">
      <c r="A231" s="48" t="str">
        <f aca="false">IF(Produtos!$A231="","",Produtos!$A231)</f>
        <v>AQ-30B</v>
      </c>
      <c r="B231" s="48" t="str">
        <f aca="false">IF(Produtos!$A231="","",Produtos!$B231)</f>
        <v>Aro Quadrado 30cm c/Basculante</v>
      </c>
      <c r="C231" s="48" t="str">
        <f aca="false">IF(Produtos!$A231="","",Produtos!$C231)</f>
        <v>Acessórios (aros e tampas)</v>
      </c>
      <c r="D231" s="33" t="n">
        <f aca="false">IF(Produtos!$A231="","",IF(Produtos!$D231="","",Produtos!$D231))</f>
        <v>69.96</v>
      </c>
      <c r="E231" s="11" t="n">
        <v>0</v>
      </c>
      <c r="F231" s="34" t="n">
        <f aca="false">IF($A231="","",IF($C231="","⚠ categoria",IFERROR(INDEX(Parâmetros!$G$13:$G$22,MATCH($C231,Parâmetros!$A$13:$A$22,0)),"⚠ categoria")))</f>
        <v>0.18</v>
      </c>
      <c r="G231" s="35"/>
      <c r="H231" s="36" t="n">
        <f aca="false">IF($A231="","",IF(ISNUMBER($G231),$G231,IF(ISNUMBER($F231),$F231,"")))</f>
        <v>0.18</v>
      </c>
      <c r="I231" s="37" t="n">
        <f aca="false">IF(OR($A231="",NOT(ISNUMBER($D231)),NOT(ISNUMBER($H231))),"",IF((1-$H231-Parâmetros!$B$9-Parâmetros!$C$9-Parâmetros!$D$9)&lt;=0,"INVALIDO",($D231+IF(ISNUMBER($E231),$E231,0)+IF(ISNUMBER(Parâmetros!$E$9),Parâmetros!$E$9,0))/(1-$H231-Parâmetros!$B$9-Parâmetros!$C$9-Parâmetros!$D$9)))</f>
        <v>142.775510204082</v>
      </c>
      <c r="J231" s="38"/>
      <c r="K231" s="39" t="n">
        <f aca="false">IF(OR($A231="",NOT(ISNUMBER($D231)),NOT(ISNUMBER($H231))),"",IF(AND(ISNUMBER($J231),$J231&gt;0),$J231,IF(ISNUMBER($I231),$I231,"")))</f>
        <v>142.775510204082</v>
      </c>
      <c r="L231" s="40" t="n">
        <f aca="false">IF(ISNUMBER($K231),$K231*$H231,"")</f>
        <v>25.6995918367347</v>
      </c>
      <c r="M231" s="40" t="n">
        <f aca="false">IF(ISNUMBER($K231),$K231*Parâmetros!$B$9,"")</f>
        <v>14.2775510204082</v>
      </c>
      <c r="N231" s="40" t="n">
        <f aca="false">IF(ISNUMBER($K231),$K231*Parâmetros!$C$9,"")</f>
        <v>4.28326530612245</v>
      </c>
      <c r="O231" s="40" t="n">
        <f aca="false">IF(ISNUMBER($K231),IF(ISNUMBER(Parâmetros!$E$9),Parâmetros!$E$9,0),"")</f>
        <v>0</v>
      </c>
      <c r="P231" s="41" t="n">
        <f aca="false">IF(ISNUMBER($K231),$K231-$D231-IF(ISNUMBER($E231),$E231,0)-$L231-$M231-$N231-$O231,"")</f>
        <v>28.5551020408163</v>
      </c>
      <c r="Q231" s="42" t="n">
        <f aca="false">IF(AND(ISNUMBER($K231),$K231&gt;0),$P231/$K231,"")</f>
        <v>0.2</v>
      </c>
      <c r="R231" s="43"/>
      <c r="S231" s="44" t="str">
        <f aca="false">IF(OR(NOT(ISNUMBER($R231)),$R231=0,NOT(ISNUMBER($K231))),"",$K231*(1-$R231))</f>
        <v/>
      </c>
      <c r="T231" s="45" t="str">
        <f aca="false">IF(ISNUMBER($S231),$S231*$H231,"")</f>
        <v/>
      </c>
      <c r="U231" s="45" t="str">
        <f aca="false">IF(ISNUMBER($S231),$S231*Parâmetros!$B$9,"")</f>
        <v/>
      </c>
      <c r="V231" s="45" t="str">
        <f aca="false">IF(ISNUMBER($S231),$S231*Parâmetros!$C$9,"")</f>
        <v/>
      </c>
      <c r="W231" s="44" t="str">
        <f aca="false">IF(ISNUMBER($S231),$S231-$D231-IF(ISNUMBER($E231),$E231,0)-$O231-$T231-$U231-$V231,"")</f>
        <v/>
      </c>
      <c r="X231" s="46" t="str">
        <f aca="false">IF(AND(ISNUMBER($S231),$S231&gt;0),$W231/$S231,"")</f>
        <v/>
      </c>
      <c r="Y231" s="49"/>
      <c r="Z231" s="21"/>
    </row>
    <row r="232" customFormat="false" ht="15.75" hidden="false" customHeight="true" outlineLevel="0" collapsed="false">
      <c r="A232" s="32" t="str">
        <f aca="false">IF(Produtos!$A232="","",Produtos!$A232)</f>
        <v>AQ-40B</v>
      </c>
      <c r="B232" s="32" t="str">
        <f aca="false">IF(Produtos!$A232="","",Produtos!$B232)</f>
        <v>Aro Quadrado 40cm c/Basculante</v>
      </c>
      <c r="C232" s="32" t="str">
        <f aca="false">IF(Produtos!$A232="","",Produtos!$C232)</f>
        <v>Acessórios (aros e tampas)</v>
      </c>
      <c r="D232" s="33" t="n">
        <f aca="false">IF(Produtos!$A232="","",IF(Produtos!$D232="","",Produtos!$D232))</f>
        <v>121.9</v>
      </c>
      <c r="E232" s="11" t="n">
        <v>0</v>
      </c>
      <c r="F232" s="34" t="n">
        <f aca="false">IF($A232="","",IF($C232="","⚠ categoria",IFERROR(INDEX(Parâmetros!$G$13:$G$22,MATCH($C232,Parâmetros!$A$13:$A$22,0)),"⚠ categoria")))</f>
        <v>0.18</v>
      </c>
      <c r="G232" s="35"/>
      <c r="H232" s="36" t="n">
        <f aca="false">IF($A232="","",IF(ISNUMBER($G232),$G232,IF(ISNUMBER($F232),$F232,"")))</f>
        <v>0.18</v>
      </c>
      <c r="I232" s="37" t="n">
        <f aca="false">IF(OR($A232="",NOT(ISNUMBER($D232)),NOT(ISNUMBER($H232))),"",IF((1-$H232-Parâmetros!$B$9-Parâmetros!$C$9-Parâmetros!$D$9)&lt;=0,"INVALIDO",($D232+IF(ISNUMBER($E232),$E232,0)+IF(ISNUMBER(Parâmetros!$E$9),Parâmetros!$E$9,0))/(1-$H232-Parâmetros!$B$9-Parâmetros!$C$9-Parâmetros!$D$9)))</f>
        <v>248.775510204082</v>
      </c>
      <c r="J232" s="38"/>
      <c r="K232" s="39" t="n">
        <f aca="false">IF(OR($A232="",NOT(ISNUMBER($D232)),NOT(ISNUMBER($H232))),"",IF(AND(ISNUMBER($J232),$J232&gt;0),$J232,IF(ISNUMBER($I232),$I232,"")))</f>
        <v>248.775510204082</v>
      </c>
      <c r="L232" s="40" t="n">
        <f aca="false">IF(ISNUMBER($K232),$K232*$H232,"")</f>
        <v>44.7795918367347</v>
      </c>
      <c r="M232" s="40" t="n">
        <f aca="false">IF(ISNUMBER($K232),$K232*Parâmetros!$B$9,"")</f>
        <v>24.8775510204082</v>
      </c>
      <c r="N232" s="40" t="n">
        <f aca="false">IF(ISNUMBER($K232),$K232*Parâmetros!$C$9,"")</f>
        <v>7.46326530612245</v>
      </c>
      <c r="O232" s="40" t="n">
        <f aca="false">IF(ISNUMBER($K232),IF(ISNUMBER(Parâmetros!$E$9),Parâmetros!$E$9,0),"")</f>
        <v>0</v>
      </c>
      <c r="P232" s="41" t="n">
        <f aca="false">IF(ISNUMBER($K232),$K232-$D232-IF(ISNUMBER($E232),$E232,0)-$L232-$M232-$N232-$O232,"")</f>
        <v>49.7551020408163</v>
      </c>
      <c r="Q232" s="42" t="n">
        <f aca="false">IF(AND(ISNUMBER($K232),$K232&gt;0),$P232/$K232,"")</f>
        <v>0.2</v>
      </c>
      <c r="R232" s="43"/>
      <c r="S232" s="44" t="str">
        <f aca="false">IF(OR(NOT(ISNUMBER($R232)),$R232=0,NOT(ISNUMBER($K232))),"",$K232*(1-$R232))</f>
        <v/>
      </c>
      <c r="T232" s="45" t="str">
        <f aca="false">IF(ISNUMBER($S232),$S232*$H232,"")</f>
        <v/>
      </c>
      <c r="U232" s="45" t="str">
        <f aca="false">IF(ISNUMBER($S232),$S232*Parâmetros!$B$9,"")</f>
        <v/>
      </c>
      <c r="V232" s="45" t="str">
        <f aca="false">IF(ISNUMBER($S232),$S232*Parâmetros!$C$9,"")</f>
        <v/>
      </c>
      <c r="W232" s="44" t="str">
        <f aca="false">IF(ISNUMBER($S232),$S232-$D232-IF(ISNUMBER($E232),$E232,0)-$O232-$T232-$U232-$V232,"")</f>
        <v/>
      </c>
      <c r="X232" s="46" t="str">
        <f aca="false">IF(AND(ISNUMBER($S232),$S232&gt;0),$W232/$S232,"")</f>
        <v/>
      </c>
      <c r="Y232" s="47"/>
      <c r="Z232" s="19"/>
    </row>
    <row r="233" customFormat="false" ht="15.75" hidden="false" customHeight="true" outlineLevel="0" collapsed="false">
      <c r="A233" s="48" t="str">
        <f aca="false">IF(Produtos!$A233="","",Produtos!$A233)</f>
        <v>AQ-24C</v>
      </c>
      <c r="B233" s="48" t="str">
        <f aca="false">IF(Produtos!$A233="","",Produtos!$B233)</f>
        <v>Aro Quadrado 24cm Pintado</v>
      </c>
      <c r="C233" s="48" t="str">
        <f aca="false">IF(Produtos!$A233="","",Produtos!$C233)</f>
        <v>Acessórios (aros e tampas)</v>
      </c>
      <c r="D233" s="33" t="n">
        <f aca="false">IF(Produtos!$A233="","",IF(Produtos!$D233="","",Produtos!$D233))</f>
        <v>45.58</v>
      </c>
      <c r="E233" s="11" t="n">
        <v>0</v>
      </c>
      <c r="F233" s="34" t="n">
        <f aca="false">IF($A233="","",IF($C233="","⚠ categoria",IFERROR(INDEX(Parâmetros!$G$13:$G$22,MATCH($C233,Parâmetros!$A$13:$A$22,0)),"⚠ categoria")))</f>
        <v>0.18</v>
      </c>
      <c r="G233" s="35"/>
      <c r="H233" s="36" t="n">
        <f aca="false">IF($A233="","",IF(ISNUMBER($G233),$G233,IF(ISNUMBER($F233),$F233,"")))</f>
        <v>0.18</v>
      </c>
      <c r="I233" s="37" t="n">
        <f aca="false">IF(OR($A233="",NOT(ISNUMBER($D233)),NOT(ISNUMBER($H233))),"",IF((1-$H233-Parâmetros!$B$9-Parâmetros!$C$9-Parâmetros!$D$9)&lt;=0,"INVALIDO",($D233+IF(ISNUMBER($E233),$E233,0)+IF(ISNUMBER(Parâmetros!$E$9),Parâmetros!$E$9,0))/(1-$H233-Parâmetros!$B$9-Parâmetros!$C$9-Parâmetros!$D$9)))</f>
        <v>93.0204081632653</v>
      </c>
      <c r="J233" s="38"/>
      <c r="K233" s="39" t="n">
        <f aca="false">IF(OR($A233="",NOT(ISNUMBER($D233)),NOT(ISNUMBER($H233))),"",IF(AND(ISNUMBER($J233),$J233&gt;0),$J233,IF(ISNUMBER($I233),$I233,"")))</f>
        <v>93.0204081632653</v>
      </c>
      <c r="L233" s="40" t="n">
        <f aca="false">IF(ISNUMBER($K233),$K233*$H233,"")</f>
        <v>16.7436734693878</v>
      </c>
      <c r="M233" s="40" t="n">
        <f aca="false">IF(ISNUMBER($K233),$K233*Parâmetros!$B$9,"")</f>
        <v>9.30204081632653</v>
      </c>
      <c r="N233" s="40" t="n">
        <f aca="false">IF(ISNUMBER($K233),$K233*Parâmetros!$C$9,"")</f>
        <v>2.79061224489796</v>
      </c>
      <c r="O233" s="40" t="n">
        <f aca="false">IF(ISNUMBER($K233),IF(ISNUMBER(Parâmetros!$E$9),Parâmetros!$E$9,0),"")</f>
        <v>0</v>
      </c>
      <c r="P233" s="41" t="n">
        <f aca="false">IF(ISNUMBER($K233),$K233-$D233-IF(ISNUMBER($E233),$E233,0)-$L233-$M233-$N233-$O233,"")</f>
        <v>18.6040816326531</v>
      </c>
      <c r="Q233" s="42" t="n">
        <f aca="false">IF(AND(ISNUMBER($K233),$K233&gt;0),$P233/$K233,"")</f>
        <v>0.2</v>
      </c>
      <c r="R233" s="43"/>
      <c r="S233" s="44" t="str">
        <f aca="false">IF(OR(NOT(ISNUMBER($R233)),$R233=0,NOT(ISNUMBER($K233))),"",$K233*(1-$R233))</f>
        <v/>
      </c>
      <c r="T233" s="45" t="str">
        <f aca="false">IF(ISNUMBER($S233),$S233*$H233,"")</f>
        <v/>
      </c>
      <c r="U233" s="45" t="str">
        <f aca="false">IF(ISNUMBER($S233),$S233*Parâmetros!$B$9,"")</f>
        <v/>
      </c>
      <c r="V233" s="45" t="str">
        <f aca="false">IF(ISNUMBER($S233),$S233*Parâmetros!$C$9,"")</f>
        <v/>
      </c>
      <c r="W233" s="44" t="str">
        <f aca="false">IF(ISNUMBER($S233),$S233-$D233-IF(ISNUMBER($E233),$E233,0)-$O233-$T233-$U233-$V233,"")</f>
        <v/>
      </c>
      <c r="X233" s="46" t="str">
        <f aca="false">IF(AND(ISNUMBER($S233),$S233&gt;0),$W233/$S233,"")</f>
        <v/>
      </c>
      <c r="Y233" s="49"/>
      <c r="Z233" s="21"/>
    </row>
    <row r="234" customFormat="false" ht="15.75" hidden="false" customHeight="true" outlineLevel="0" collapsed="false">
      <c r="A234" s="32" t="str">
        <f aca="false">IF(Produtos!$A234="","",Produtos!$A234)</f>
        <v>AQ-30C</v>
      </c>
      <c r="B234" s="32" t="str">
        <f aca="false">IF(Produtos!$A234="","",Produtos!$B234)</f>
        <v>Aro Quadrado 30cm Pintado</v>
      </c>
      <c r="C234" s="32" t="str">
        <f aca="false">IF(Produtos!$A234="","",Produtos!$C234)</f>
        <v>Acessórios (aros e tampas)</v>
      </c>
      <c r="D234" s="33" t="n">
        <f aca="false">IF(Produtos!$A234="","",IF(Produtos!$D234="","",Produtos!$D234))</f>
        <v>53</v>
      </c>
      <c r="E234" s="11" t="n">
        <v>0</v>
      </c>
      <c r="F234" s="34" t="n">
        <f aca="false">IF($A234="","",IF($C234="","⚠ categoria",IFERROR(INDEX(Parâmetros!$G$13:$G$22,MATCH($C234,Parâmetros!$A$13:$A$22,0)),"⚠ categoria")))</f>
        <v>0.18</v>
      </c>
      <c r="G234" s="35"/>
      <c r="H234" s="36" t="n">
        <f aca="false">IF($A234="","",IF(ISNUMBER($G234),$G234,IF(ISNUMBER($F234),$F234,"")))</f>
        <v>0.18</v>
      </c>
      <c r="I234" s="37" t="n">
        <f aca="false">IF(OR($A234="",NOT(ISNUMBER($D234)),NOT(ISNUMBER($H234))),"",IF((1-$H234-Parâmetros!$B$9-Parâmetros!$C$9-Parâmetros!$D$9)&lt;=0,"INVALIDO",($D234+IF(ISNUMBER($E234),$E234,0)+IF(ISNUMBER(Parâmetros!$E$9),Parâmetros!$E$9,0))/(1-$H234-Parâmetros!$B$9-Parâmetros!$C$9-Parâmetros!$D$9)))</f>
        <v>108.163265306122</v>
      </c>
      <c r="J234" s="38"/>
      <c r="K234" s="39" t="n">
        <f aca="false">IF(OR($A234="",NOT(ISNUMBER($D234)),NOT(ISNUMBER($H234))),"",IF(AND(ISNUMBER($J234),$J234&gt;0),$J234,IF(ISNUMBER($I234),$I234,"")))</f>
        <v>108.163265306122</v>
      </c>
      <c r="L234" s="40" t="n">
        <f aca="false">IF(ISNUMBER($K234),$K234*$H234,"")</f>
        <v>19.469387755102</v>
      </c>
      <c r="M234" s="40" t="n">
        <f aca="false">IF(ISNUMBER($K234),$K234*Parâmetros!$B$9,"")</f>
        <v>10.8163265306122</v>
      </c>
      <c r="N234" s="40" t="n">
        <f aca="false">IF(ISNUMBER($K234),$K234*Parâmetros!$C$9,"")</f>
        <v>3.24489795918367</v>
      </c>
      <c r="O234" s="40" t="n">
        <f aca="false">IF(ISNUMBER($K234),IF(ISNUMBER(Parâmetros!$E$9),Parâmetros!$E$9,0),"")</f>
        <v>0</v>
      </c>
      <c r="P234" s="41" t="n">
        <f aca="false">IF(ISNUMBER($K234),$K234-$D234-IF(ISNUMBER($E234),$E234,0)-$L234-$M234-$N234-$O234,"")</f>
        <v>21.6326530612245</v>
      </c>
      <c r="Q234" s="42" t="n">
        <f aca="false">IF(AND(ISNUMBER($K234),$K234&gt;0),$P234/$K234,"")</f>
        <v>0.2</v>
      </c>
      <c r="R234" s="43"/>
      <c r="S234" s="44" t="str">
        <f aca="false">IF(OR(NOT(ISNUMBER($R234)),$R234=0,NOT(ISNUMBER($K234))),"",$K234*(1-$R234))</f>
        <v/>
      </c>
      <c r="T234" s="45" t="str">
        <f aca="false">IF(ISNUMBER($S234),$S234*$H234,"")</f>
        <v/>
      </c>
      <c r="U234" s="45" t="str">
        <f aca="false">IF(ISNUMBER($S234),$S234*Parâmetros!$B$9,"")</f>
        <v/>
      </c>
      <c r="V234" s="45" t="str">
        <f aca="false">IF(ISNUMBER($S234),$S234*Parâmetros!$C$9,"")</f>
        <v/>
      </c>
      <c r="W234" s="44" t="str">
        <f aca="false">IF(ISNUMBER($S234),$S234-$D234-IF(ISNUMBER($E234),$E234,0)-$O234-$T234-$U234-$V234,"")</f>
        <v/>
      </c>
      <c r="X234" s="46" t="str">
        <f aca="false">IF(AND(ISNUMBER($S234),$S234&gt;0),$W234/$S234,"")</f>
        <v/>
      </c>
      <c r="Y234" s="47"/>
      <c r="Z234" s="19"/>
    </row>
    <row r="235" customFormat="false" ht="15.75" hidden="false" customHeight="true" outlineLevel="0" collapsed="false">
      <c r="A235" s="48" t="str">
        <f aca="false">IF(Produtos!$A235="","",Produtos!$A235)</f>
        <v>AQ-40C</v>
      </c>
      <c r="B235" s="48" t="str">
        <f aca="false">IF(Produtos!$A235="","",Produtos!$B235)</f>
        <v>Aro Quadrado 40cm Pintado</v>
      </c>
      <c r="C235" s="48" t="str">
        <f aca="false">IF(Produtos!$A235="","",Produtos!$C235)</f>
        <v>Acessórios (aros e tampas)</v>
      </c>
      <c r="D235" s="33" t="n">
        <f aca="false">IF(Produtos!$A235="","",IF(Produtos!$D235="","",Produtos!$D235))</f>
        <v>104.94</v>
      </c>
      <c r="E235" s="11" t="n">
        <v>0</v>
      </c>
      <c r="F235" s="34" t="n">
        <f aca="false">IF($A235="","",IF($C235="","⚠ categoria",IFERROR(INDEX(Parâmetros!$G$13:$G$22,MATCH($C235,Parâmetros!$A$13:$A$22,0)),"⚠ categoria")))</f>
        <v>0.18</v>
      </c>
      <c r="G235" s="35"/>
      <c r="H235" s="36" t="n">
        <f aca="false">IF($A235="","",IF(ISNUMBER($G235),$G235,IF(ISNUMBER($F235),$F235,"")))</f>
        <v>0.18</v>
      </c>
      <c r="I235" s="37" t="n">
        <f aca="false">IF(OR($A235="",NOT(ISNUMBER($D235)),NOT(ISNUMBER($H235))),"",IF((1-$H235-Parâmetros!$B$9-Parâmetros!$C$9-Parâmetros!$D$9)&lt;=0,"INVALIDO",($D235+IF(ISNUMBER($E235),$E235,0)+IF(ISNUMBER(Parâmetros!$E$9),Parâmetros!$E$9,0))/(1-$H235-Parâmetros!$B$9-Parâmetros!$C$9-Parâmetros!$D$9)))</f>
        <v>214.163265306122</v>
      </c>
      <c r="J235" s="38"/>
      <c r="K235" s="39" t="n">
        <f aca="false">IF(OR($A235="",NOT(ISNUMBER($D235)),NOT(ISNUMBER($H235))),"",IF(AND(ISNUMBER($J235),$J235&gt;0),$J235,IF(ISNUMBER($I235),$I235,"")))</f>
        <v>214.163265306122</v>
      </c>
      <c r="L235" s="40" t="n">
        <f aca="false">IF(ISNUMBER($K235),$K235*$H235,"")</f>
        <v>38.549387755102</v>
      </c>
      <c r="M235" s="40" t="n">
        <f aca="false">IF(ISNUMBER($K235),$K235*Parâmetros!$B$9,"")</f>
        <v>21.4163265306122</v>
      </c>
      <c r="N235" s="40" t="n">
        <f aca="false">IF(ISNUMBER($K235),$K235*Parâmetros!$C$9,"")</f>
        <v>6.42489795918367</v>
      </c>
      <c r="O235" s="40" t="n">
        <f aca="false">IF(ISNUMBER($K235),IF(ISNUMBER(Parâmetros!$E$9),Parâmetros!$E$9,0),"")</f>
        <v>0</v>
      </c>
      <c r="P235" s="41" t="n">
        <f aca="false">IF(ISNUMBER($K235),$K235-$D235-IF(ISNUMBER($E235),$E235,0)-$L235-$M235-$N235-$O235,"")</f>
        <v>42.8326530612245</v>
      </c>
      <c r="Q235" s="42" t="n">
        <f aca="false">IF(AND(ISNUMBER($K235),$K235&gt;0),$P235/$K235,"")</f>
        <v>0.2</v>
      </c>
      <c r="R235" s="43"/>
      <c r="S235" s="44" t="str">
        <f aca="false">IF(OR(NOT(ISNUMBER($R235)),$R235=0,NOT(ISNUMBER($K235))),"",$K235*(1-$R235))</f>
        <v/>
      </c>
      <c r="T235" s="45" t="str">
        <f aca="false">IF(ISNUMBER($S235),$S235*$H235,"")</f>
        <v/>
      </c>
      <c r="U235" s="45" t="str">
        <f aca="false">IF(ISNUMBER($S235),$S235*Parâmetros!$B$9,"")</f>
        <v/>
      </c>
      <c r="V235" s="45" t="str">
        <f aca="false">IF(ISNUMBER($S235),$S235*Parâmetros!$C$9,"")</f>
        <v/>
      </c>
      <c r="W235" s="44" t="str">
        <f aca="false">IF(ISNUMBER($S235),$S235-$D235-IF(ISNUMBER($E235),$E235,0)-$O235-$T235-$U235-$V235,"")</f>
        <v/>
      </c>
      <c r="X235" s="46" t="str">
        <f aca="false">IF(AND(ISNUMBER($S235),$S235&gt;0),$W235/$S235,"")</f>
        <v/>
      </c>
      <c r="Y235" s="49"/>
      <c r="Z235" s="21"/>
    </row>
    <row r="236" customFormat="false" ht="15.75" hidden="false" customHeight="true" outlineLevel="0" collapsed="false">
      <c r="A236" s="32" t="str">
        <f aca="false">IF(Produtos!$A236="","",Produtos!$A236)</f>
        <v>AQ-24BC</v>
      </c>
      <c r="B236" s="32" t="str">
        <f aca="false">IF(Produtos!$A236="","",Produtos!$B236)</f>
        <v>Aro Quadrado 24cm c/Basculante Pintado</v>
      </c>
      <c r="C236" s="32" t="str">
        <f aca="false">IF(Produtos!$A236="","",Produtos!$C236)</f>
        <v>Acessórios (aros e tampas)</v>
      </c>
      <c r="D236" s="33" t="n">
        <f aca="false">IF(Produtos!$A236="","",IF(Produtos!$D236="","",Produtos!$D236))</f>
        <v>64.66</v>
      </c>
      <c r="E236" s="11" t="n">
        <v>0</v>
      </c>
      <c r="F236" s="34" t="n">
        <f aca="false">IF($A236="","",IF($C236="","⚠ categoria",IFERROR(INDEX(Parâmetros!$G$13:$G$22,MATCH($C236,Parâmetros!$A$13:$A$22,0)),"⚠ categoria")))</f>
        <v>0.18</v>
      </c>
      <c r="G236" s="35"/>
      <c r="H236" s="36" t="n">
        <f aca="false">IF($A236="","",IF(ISNUMBER($G236),$G236,IF(ISNUMBER($F236),$F236,"")))</f>
        <v>0.18</v>
      </c>
      <c r="I236" s="37" t="n">
        <f aca="false">IF(OR($A236="",NOT(ISNUMBER($D236)),NOT(ISNUMBER($H236))),"",IF((1-$H236-Parâmetros!$B$9-Parâmetros!$C$9-Parâmetros!$D$9)&lt;=0,"INVALIDO",($D236+IF(ISNUMBER($E236),$E236,0)+IF(ISNUMBER(Parâmetros!$E$9),Parâmetros!$E$9,0))/(1-$H236-Parâmetros!$B$9-Parâmetros!$C$9-Parâmetros!$D$9)))</f>
        <v>131.959183673469</v>
      </c>
      <c r="J236" s="38"/>
      <c r="K236" s="39" t="n">
        <f aca="false">IF(OR($A236="",NOT(ISNUMBER($D236)),NOT(ISNUMBER($H236))),"",IF(AND(ISNUMBER($J236),$J236&gt;0),$J236,IF(ISNUMBER($I236),$I236,"")))</f>
        <v>131.959183673469</v>
      </c>
      <c r="L236" s="40" t="n">
        <f aca="false">IF(ISNUMBER($K236),$K236*$H236,"")</f>
        <v>23.7526530612245</v>
      </c>
      <c r="M236" s="40" t="n">
        <f aca="false">IF(ISNUMBER($K236),$K236*Parâmetros!$B$9,"")</f>
        <v>13.1959183673469</v>
      </c>
      <c r="N236" s="40" t="n">
        <f aca="false">IF(ISNUMBER($K236),$K236*Parâmetros!$C$9,"")</f>
        <v>3.95877551020408</v>
      </c>
      <c r="O236" s="40" t="n">
        <f aca="false">IF(ISNUMBER($K236),IF(ISNUMBER(Parâmetros!$E$9),Parâmetros!$E$9,0),"")</f>
        <v>0</v>
      </c>
      <c r="P236" s="41" t="n">
        <f aca="false">IF(ISNUMBER($K236),$K236-$D236-IF(ISNUMBER($E236),$E236,0)-$L236-$M236-$N236-$O236,"")</f>
        <v>26.3918367346939</v>
      </c>
      <c r="Q236" s="42" t="n">
        <f aca="false">IF(AND(ISNUMBER($K236),$K236&gt;0),$P236/$K236,"")</f>
        <v>0.2</v>
      </c>
      <c r="R236" s="43"/>
      <c r="S236" s="44" t="str">
        <f aca="false">IF(OR(NOT(ISNUMBER($R236)),$R236=0,NOT(ISNUMBER($K236))),"",$K236*(1-$R236))</f>
        <v/>
      </c>
      <c r="T236" s="45" t="str">
        <f aca="false">IF(ISNUMBER($S236),$S236*$H236,"")</f>
        <v/>
      </c>
      <c r="U236" s="45" t="str">
        <f aca="false">IF(ISNUMBER($S236),$S236*Parâmetros!$B$9,"")</f>
        <v/>
      </c>
      <c r="V236" s="45" t="str">
        <f aca="false">IF(ISNUMBER($S236),$S236*Parâmetros!$C$9,"")</f>
        <v/>
      </c>
      <c r="W236" s="44" t="str">
        <f aca="false">IF(ISNUMBER($S236),$S236-$D236-IF(ISNUMBER($E236),$E236,0)-$O236-$T236-$U236-$V236,"")</f>
        <v/>
      </c>
      <c r="X236" s="46" t="str">
        <f aca="false">IF(AND(ISNUMBER($S236),$S236&gt;0),$W236/$S236,"")</f>
        <v/>
      </c>
      <c r="Y236" s="47"/>
      <c r="Z236" s="19"/>
    </row>
    <row r="237" customFormat="false" ht="15.75" hidden="false" customHeight="true" outlineLevel="0" collapsed="false">
      <c r="A237" s="48" t="str">
        <f aca="false">IF(Produtos!$A237="","",Produtos!$A237)</f>
        <v>AQ-30BC</v>
      </c>
      <c r="B237" s="48" t="str">
        <f aca="false">IF(Produtos!$A237="","",Produtos!$B237)</f>
        <v>Aro Quadrado 30cm c/Basculante Pintado</v>
      </c>
      <c r="C237" s="48" t="str">
        <f aca="false">IF(Produtos!$A237="","",Produtos!$C237)</f>
        <v>Acessórios (aros e tampas)</v>
      </c>
      <c r="D237" s="33" t="n">
        <f aca="false">IF(Produtos!$A237="","",IF(Produtos!$D237="","",Produtos!$D237))</f>
        <v>80.56</v>
      </c>
      <c r="E237" s="11" t="n">
        <v>0</v>
      </c>
      <c r="F237" s="34" t="n">
        <f aca="false">IF($A237="","",IF($C237="","⚠ categoria",IFERROR(INDEX(Parâmetros!$G$13:$G$22,MATCH($C237,Parâmetros!$A$13:$A$22,0)),"⚠ categoria")))</f>
        <v>0.18</v>
      </c>
      <c r="G237" s="35"/>
      <c r="H237" s="36" t="n">
        <f aca="false">IF($A237="","",IF(ISNUMBER($G237),$G237,IF(ISNUMBER($F237),$F237,"")))</f>
        <v>0.18</v>
      </c>
      <c r="I237" s="37" t="n">
        <f aca="false">IF(OR($A237="",NOT(ISNUMBER($D237)),NOT(ISNUMBER($H237))),"",IF((1-$H237-Parâmetros!$B$9-Parâmetros!$C$9-Parâmetros!$D$9)&lt;=0,"INVALIDO",($D237+IF(ISNUMBER($E237),$E237,0)+IF(ISNUMBER(Parâmetros!$E$9),Parâmetros!$E$9,0))/(1-$H237-Parâmetros!$B$9-Parâmetros!$C$9-Parâmetros!$D$9)))</f>
        <v>164.408163265306</v>
      </c>
      <c r="J237" s="38"/>
      <c r="K237" s="39" t="n">
        <f aca="false">IF(OR($A237="",NOT(ISNUMBER($D237)),NOT(ISNUMBER($H237))),"",IF(AND(ISNUMBER($J237),$J237&gt;0),$J237,IF(ISNUMBER($I237),$I237,"")))</f>
        <v>164.408163265306</v>
      </c>
      <c r="L237" s="40" t="n">
        <f aca="false">IF(ISNUMBER($K237),$K237*$H237,"")</f>
        <v>29.5934693877551</v>
      </c>
      <c r="M237" s="40" t="n">
        <f aca="false">IF(ISNUMBER($K237),$K237*Parâmetros!$B$9,"")</f>
        <v>16.4408163265306</v>
      </c>
      <c r="N237" s="40" t="n">
        <f aca="false">IF(ISNUMBER($K237),$K237*Parâmetros!$C$9,"")</f>
        <v>4.93224489795918</v>
      </c>
      <c r="O237" s="40" t="n">
        <f aca="false">IF(ISNUMBER($K237),IF(ISNUMBER(Parâmetros!$E$9),Parâmetros!$E$9,0),"")</f>
        <v>0</v>
      </c>
      <c r="P237" s="41" t="n">
        <f aca="false">IF(ISNUMBER($K237),$K237-$D237-IF(ISNUMBER($E237),$E237,0)-$L237-$M237-$N237-$O237,"")</f>
        <v>32.8816326530612</v>
      </c>
      <c r="Q237" s="42" t="n">
        <f aca="false">IF(AND(ISNUMBER($K237),$K237&gt;0),$P237/$K237,"")</f>
        <v>0.2</v>
      </c>
      <c r="R237" s="43"/>
      <c r="S237" s="44" t="str">
        <f aca="false">IF(OR(NOT(ISNUMBER($R237)),$R237=0,NOT(ISNUMBER($K237))),"",$K237*(1-$R237))</f>
        <v/>
      </c>
      <c r="T237" s="45" t="str">
        <f aca="false">IF(ISNUMBER($S237),$S237*$H237,"")</f>
        <v/>
      </c>
      <c r="U237" s="45" t="str">
        <f aca="false">IF(ISNUMBER($S237),$S237*Parâmetros!$B$9,"")</f>
        <v/>
      </c>
      <c r="V237" s="45" t="str">
        <f aca="false">IF(ISNUMBER($S237),$S237*Parâmetros!$C$9,"")</f>
        <v/>
      </c>
      <c r="W237" s="44" t="str">
        <f aca="false">IF(ISNUMBER($S237),$S237-$D237-IF(ISNUMBER($E237),$E237,0)-$O237-$T237-$U237-$V237,"")</f>
        <v/>
      </c>
      <c r="X237" s="46" t="str">
        <f aca="false">IF(AND(ISNUMBER($S237),$S237&gt;0),$W237/$S237,"")</f>
        <v/>
      </c>
      <c r="Y237" s="49"/>
      <c r="Z237" s="21"/>
    </row>
    <row r="238" customFormat="false" ht="15.75" hidden="false" customHeight="true" outlineLevel="0" collapsed="false">
      <c r="A238" s="32" t="str">
        <f aca="false">IF(Produtos!$A238="","",Produtos!$A238)</f>
        <v>AQ-40BC</v>
      </c>
      <c r="B238" s="32" t="str">
        <f aca="false">IF(Produtos!$A238="","",Produtos!$B238)</f>
        <v>Aro Quadrado 40cm c/Basculante Pintado</v>
      </c>
      <c r="C238" s="32" t="str">
        <f aca="false">IF(Produtos!$A238="","",Produtos!$C238)</f>
        <v>Acessórios (aros e tampas)</v>
      </c>
      <c r="D238" s="33" t="n">
        <f aca="false">IF(Produtos!$A238="","",IF(Produtos!$D238="","",Produtos!$D238))</f>
        <v>132.5</v>
      </c>
      <c r="E238" s="11" t="n">
        <v>0</v>
      </c>
      <c r="F238" s="34" t="n">
        <f aca="false">IF($A238="","",IF($C238="","⚠ categoria",IFERROR(INDEX(Parâmetros!$G$13:$G$22,MATCH($C238,Parâmetros!$A$13:$A$22,0)),"⚠ categoria")))</f>
        <v>0.18</v>
      </c>
      <c r="G238" s="35"/>
      <c r="H238" s="36" t="n">
        <f aca="false">IF($A238="","",IF(ISNUMBER($G238),$G238,IF(ISNUMBER($F238),$F238,"")))</f>
        <v>0.18</v>
      </c>
      <c r="I238" s="37" t="n">
        <f aca="false">IF(OR($A238="",NOT(ISNUMBER($D238)),NOT(ISNUMBER($H238))),"",IF((1-$H238-Parâmetros!$B$9-Parâmetros!$C$9-Parâmetros!$D$9)&lt;=0,"INVALIDO",($D238+IF(ISNUMBER($E238),$E238,0)+IF(ISNUMBER(Parâmetros!$E$9),Parâmetros!$E$9,0))/(1-$H238-Parâmetros!$B$9-Parâmetros!$C$9-Parâmetros!$D$9)))</f>
        <v>270.408163265306</v>
      </c>
      <c r="J238" s="38"/>
      <c r="K238" s="39" t="n">
        <f aca="false">IF(OR($A238="",NOT(ISNUMBER($D238)),NOT(ISNUMBER($H238))),"",IF(AND(ISNUMBER($J238),$J238&gt;0),$J238,IF(ISNUMBER($I238),$I238,"")))</f>
        <v>270.408163265306</v>
      </c>
      <c r="L238" s="40" t="n">
        <f aca="false">IF(ISNUMBER($K238),$K238*$H238,"")</f>
        <v>48.6734693877551</v>
      </c>
      <c r="M238" s="40" t="n">
        <f aca="false">IF(ISNUMBER($K238),$K238*Parâmetros!$B$9,"")</f>
        <v>27.0408163265306</v>
      </c>
      <c r="N238" s="40" t="n">
        <f aca="false">IF(ISNUMBER($K238),$K238*Parâmetros!$C$9,"")</f>
        <v>8.11224489795918</v>
      </c>
      <c r="O238" s="40" t="n">
        <f aca="false">IF(ISNUMBER($K238),IF(ISNUMBER(Parâmetros!$E$9),Parâmetros!$E$9,0),"")</f>
        <v>0</v>
      </c>
      <c r="P238" s="41" t="n">
        <f aca="false">IF(ISNUMBER($K238),$K238-$D238-IF(ISNUMBER($E238),$E238,0)-$L238-$M238-$N238-$O238,"")</f>
        <v>54.0816326530612</v>
      </c>
      <c r="Q238" s="42" t="n">
        <f aca="false">IF(AND(ISNUMBER($K238),$K238&gt;0),$P238/$K238,"")</f>
        <v>0.2</v>
      </c>
      <c r="R238" s="43"/>
      <c r="S238" s="44" t="str">
        <f aca="false">IF(OR(NOT(ISNUMBER($R238)),$R238=0,NOT(ISNUMBER($K238))),"",$K238*(1-$R238))</f>
        <v/>
      </c>
      <c r="T238" s="45" t="str">
        <f aca="false">IF(ISNUMBER($S238),$S238*$H238,"")</f>
        <v/>
      </c>
      <c r="U238" s="45" t="str">
        <f aca="false">IF(ISNUMBER($S238),$S238*Parâmetros!$B$9,"")</f>
        <v/>
      </c>
      <c r="V238" s="45" t="str">
        <f aca="false">IF(ISNUMBER($S238),$S238*Parâmetros!$C$9,"")</f>
        <v/>
      </c>
      <c r="W238" s="44" t="str">
        <f aca="false">IF(ISNUMBER($S238),$S238-$D238-IF(ISNUMBER($E238),$E238,0)-$O238-$T238-$U238-$V238,"")</f>
        <v/>
      </c>
      <c r="X238" s="46" t="str">
        <f aca="false">IF(AND(ISNUMBER($S238),$S238&gt;0),$W238/$S238,"")</f>
        <v/>
      </c>
      <c r="Y238" s="47"/>
      <c r="Z238" s="19"/>
    </row>
    <row r="239" customFormat="false" ht="15.75" hidden="false" customHeight="true" outlineLevel="0" collapsed="false">
      <c r="A239" s="48" t="str">
        <f aca="false">IF(Produtos!$A239="","",Produtos!$A239)</f>
        <v>PXP</v>
      </c>
      <c r="B239" s="48" t="str">
        <f aca="false">IF(Produtos!$A239="","",Produtos!$B239)</f>
        <v>Porta Extintor 160x310</v>
      </c>
      <c r="C239" s="48" t="str">
        <f aca="false">IF(Produtos!$A239="","",Produtos!$C239)</f>
        <v>Porta-extintores</v>
      </c>
      <c r="D239" s="33" t="n">
        <f aca="false">IF(Produtos!$A239="","",IF(Produtos!$D239="","",Produtos!$D239))</f>
        <v>84.79</v>
      </c>
      <c r="E239" s="11" t="n">
        <v>0</v>
      </c>
      <c r="F239" s="34" t="n">
        <f aca="false">IF($A239="","",IF($C239="","⚠ categoria",IFERROR(INDEX(Parâmetros!$G$13:$G$22,MATCH($C239,Parâmetros!$A$13:$A$22,0)),"⚠ categoria")))</f>
        <v>0.18</v>
      </c>
      <c r="G239" s="35"/>
      <c r="H239" s="36" t="n">
        <f aca="false">IF($A239="","",IF(ISNUMBER($G239),$G239,IF(ISNUMBER($F239),$F239,"")))</f>
        <v>0.18</v>
      </c>
      <c r="I239" s="37" t="n">
        <f aca="false">IF(OR($A239="",NOT(ISNUMBER($D239)),NOT(ISNUMBER($H239))),"",IF((1-$H239-Parâmetros!$B$9-Parâmetros!$C$9-Parâmetros!$D$9)&lt;=0,"INVALIDO",($D239+IF(ISNUMBER($E239),$E239,0)+IF(ISNUMBER(Parâmetros!$E$9),Parâmetros!$E$9,0))/(1-$H239-Parâmetros!$B$9-Parâmetros!$C$9-Parâmetros!$D$9)))</f>
        <v>173.040816326531</v>
      </c>
      <c r="J239" s="38"/>
      <c r="K239" s="39" t="n">
        <f aca="false">IF(OR($A239="",NOT(ISNUMBER($D239)),NOT(ISNUMBER($H239))),"",IF(AND(ISNUMBER($J239),$J239&gt;0),$J239,IF(ISNUMBER($I239),$I239,"")))</f>
        <v>173.040816326531</v>
      </c>
      <c r="L239" s="40" t="n">
        <f aca="false">IF(ISNUMBER($K239),$K239*$H239,"")</f>
        <v>31.1473469387755</v>
      </c>
      <c r="M239" s="40" t="n">
        <f aca="false">IF(ISNUMBER($K239),$K239*Parâmetros!$B$9,"")</f>
        <v>17.3040816326531</v>
      </c>
      <c r="N239" s="40" t="n">
        <f aca="false">IF(ISNUMBER($K239),$K239*Parâmetros!$C$9,"")</f>
        <v>5.19122448979592</v>
      </c>
      <c r="O239" s="40" t="n">
        <f aca="false">IF(ISNUMBER($K239),IF(ISNUMBER(Parâmetros!$E$9),Parâmetros!$E$9,0),"")</f>
        <v>0</v>
      </c>
      <c r="P239" s="41" t="n">
        <f aca="false">IF(ISNUMBER($K239),$K239-$D239-IF(ISNUMBER($E239),$E239,0)-$L239-$M239-$N239-$O239,"")</f>
        <v>34.6081632653061</v>
      </c>
      <c r="Q239" s="42" t="n">
        <f aca="false">IF(AND(ISNUMBER($K239),$K239&gt;0),$P239/$K239,"")</f>
        <v>0.2</v>
      </c>
      <c r="R239" s="43"/>
      <c r="S239" s="44" t="str">
        <f aca="false">IF(OR(NOT(ISNUMBER($R239)),$R239=0,NOT(ISNUMBER($K239))),"",$K239*(1-$R239))</f>
        <v/>
      </c>
      <c r="T239" s="45" t="str">
        <f aca="false">IF(ISNUMBER($S239),$S239*$H239,"")</f>
        <v/>
      </c>
      <c r="U239" s="45" t="str">
        <f aca="false">IF(ISNUMBER($S239),$S239*Parâmetros!$B$9,"")</f>
        <v/>
      </c>
      <c r="V239" s="45" t="str">
        <f aca="false">IF(ISNUMBER($S239),$S239*Parâmetros!$C$9,"")</f>
        <v/>
      </c>
      <c r="W239" s="44" t="str">
        <f aca="false">IF(ISNUMBER($S239),$S239-$D239-IF(ISNUMBER($E239),$E239,0)-$O239-$T239-$U239-$V239,"")</f>
        <v/>
      </c>
      <c r="X239" s="46" t="str">
        <f aca="false">IF(AND(ISNUMBER($S239),$S239&gt;0),$W239/$S239,"")</f>
        <v/>
      </c>
      <c r="Y239" s="49"/>
      <c r="Z239" s="21"/>
    </row>
    <row r="240" customFormat="false" ht="15.75" hidden="false" customHeight="true" outlineLevel="0" collapsed="false">
      <c r="A240" s="32" t="str">
        <f aca="false">IF(Produtos!$A240="","",Produtos!$A240)</f>
        <v>PXM</v>
      </c>
      <c r="B240" s="32" t="str">
        <f aca="false">IF(Produtos!$A240="","",Produtos!$B240)</f>
        <v>Porta Extintor 200x495</v>
      </c>
      <c r="C240" s="32" t="str">
        <f aca="false">IF(Produtos!$A240="","",Produtos!$C240)</f>
        <v>Porta-extintores</v>
      </c>
      <c r="D240" s="33" t="n">
        <f aca="false">IF(Produtos!$A240="","",IF(Produtos!$D240="","",Produtos!$D240))</f>
        <v>102.8</v>
      </c>
      <c r="E240" s="11" t="n">
        <v>0</v>
      </c>
      <c r="F240" s="34" t="n">
        <f aca="false">IF($A240="","",IF($C240="","⚠ categoria",IFERROR(INDEX(Parâmetros!$G$13:$G$22,MATCH($C240,Parâmetros!$A$13:$A$22,0)),"⚠ categoria")))</f>
        <v>0.18</v>
      </c>
      <c r="G240" s="35"/>
      <c r="H240" s="36" t="n">
        <f aca="false">IF($A240="","",IF(ISNUMBER($G240),$G240,IF(ISNUMBER($F240),$F240,"")))</f>
        <v>0.18</v>
      </c>
      <c r="I240" s="37" t="n">
        <f aca="false">IF(OR($A240="",NOT(ISNUMBER($D240)),NOT(ISNUMBER($H240))),"",IF((1-$H240-Parâmetros!$B$9-Parâmetros!$C$9-Parâmetros!$D$9)&lt;=0,"INVALIDO",($D240+IF(ISNUMBER($E240),$E240,0)+IF(ISNUMBER(Parâmetros!$E$9),Parâmetros!$E$9,0))/(1-$H240-Parâmetros!$B$9-Parâmetros!$C$9-Parâmetros!$D$9)))</f>
        <v>209.795918367347</v>
      </c>
      <c r="J240" s="38"/>
      <c r="K240" s="39" t="n">
        <f aca="false">IF(OR($A240="",NOT(ISNUMBER($D240)),NOT(ISNUMBER($H240))),"",IF(AND(ISNUMBER($J240),$J240&gt;0),$J240,IF(ISNUMBER($I240),$I240,"")))</f>
        <v>209.795918367347</v>
      </c>
      <c r="L240" s="40" t="n">
        <f aca="false">IF(ISNUMBER($K240),$K240*$H240,"")</f>
        <v>37.7632653061224</v>
      </c>
      <c r="M240" s="40" t="n">
        <f aca="false">IF(ISNUMBER($K240),$K240*Parâmetros!$B$9,"")</f>
        <v>20.9795918367347</v>
      </c>
      <c r="N240" s="40" t="n">
        <f aca="false">IF(ISNUMBER($K240),$K240*Parâmetros!$C$9,"")</f>
        <v>6.29387755102041</v>
      </c>
      <c r="O240" s="40" t="n">
        <f aca="false">IF(ISNUMBER($K240),IF(ISNUMBER(Parâmetros!$E$9),Parâmetros!$E$9,0),"")</f>
        <v>0</v>
      </c>
      <c r="P240" s="41" t="n">
        <f aca="false">IF(ISNUMBER($K240),$K240-$D240-IF(ISNUMBER($E240),$E240,0)-$L240-$M240-$N240-$O240,"")</f>
        <v>41.9591836734694</v>
      </c>
      <c r="Q240" s="42" t="n">
        <f aca="false">IF(AND(ISNUMBER($K240),$K240&gt;0),$P240/$K240,"")</f>
        <v>0.2</v>
      </c>
      <c r="R240" s="43"/>
      <c r="S240" s="44" t="str">
        <f aca="false">IF(OR(NOT(ISNUMBER($R240)),$R240=0,NOT(ISNUMBER($K240))),"",$K240*(1-$R240))</f>
        <v/>
      </c>
      <c r="T240" s="45" t="str">
        <f aca="false">IF(ISNUMBER($S240),$S240*$H240,"")</f>
        <v/>
      </c>
      <c r="U240" s="45" t="str">
        <f aca="false">IF(ISNUMBER($S240),$S240*Parâmetros!$B$9,"")</f>
        <v/>
      </c>
      <c r="V240" s="45" t="str">
        <f aca="false">IF(ISNUMBER($S240),$S240*Parâmetros!$C$9,"")</f>
        <v/>
      </c>
      <c r="W240" s="44" t="str">
        <f aca="false">IF(ISNUMBER($S240),$S240-$D240-IF(ISNUMBER($E240),$E240,0)-$O240-$T240-$U240-$V240,"")</f>
        <v/>
      </c>
      <c r="X240" s="46" t="str">
        <f aca="false">IF(AND(ISNUMBER($S240),$S240&gt;0),$W240/$S240,"")</f>
        <v/>
      </c>
      <c r="Y240" s="47"/>
      <c r="Z240" s="19"/>
    </row>
    <row r="241" customFormat="false" ht="15.75" hidden="false" customHeight="true" outlineLevel="0" collapsed="false">
      <c r="A241" s="48" t="str">
        <f aca="false">IF(Produtos!$A241="","",Produtos!$A241)</f>
        <v>PL-SD</v>
      </c>
      <c r="B241" s="48" t="str">
        <f aca="false">IF(Produtos!$A241="","",Produtos!$B241)</f>
        <v>Placa Sinalizadora Piso Molhado Aço Inox 430</v>
      </c>
      <c r="C241" s="48" t="str">
        <f aca="false">IF(Produtos!$A241="","",Produtos!$C241)</f>
        <v>Placas de piso molhado</v>
      </c>
      <c r="D241" s="33" t="n">
        <f aca="false">IF(Produtos!$A241="","",IF(Produtos!$D241="","",Produtos!$D241))</f>
        <v>242.68</v>
      </c>
      <c r="E241" s="11" t="n">
        <v>0</v>
      </c>
      <c r="F241" s="34" t="n">
        <f aca="false">IF($A241="","",IF($C241="","⚠ categoria",IFERROR(INDEX(Parâmetros!$G$13:$G$22,MATCH($C241,Parâmetros!$A$13:$A$22,0)),"⚠ categoria")))</f>
        <v>0.18</v>
      </c>
      <c r="G241" s="35"/>
      <c r="H241" s="36" t="n">
        <f aca="false">IF($A241="","",IF(ISNUMBER($G241),$G241,IF(ISNUMBER($F241),$F241,"")))</f>
        <v>0.18</v>
      </c>
      <c r="I241" s="37" t="n">
        <f aca="false">IF(OR($A241="",NOT(ISNUMBER($D241)),NOT(ISNUMBER($H241))),"",IF((1-$H241-Parâmetros!$B$9-Parâmetros!$C$9-Parâmetros!$D$9)&lt;=0,"INVALIDO",($D241+IF(ISNUMBER($E241),$E241,0)+IF(ISNUMBER(Parâmetros!$E$9),Parâmetros!$E$9,0))/(1-$H241-Parâmetros!$B$9-Parâmetros!$C$9-Parâmetros!$D$9)))</f>
        <v>495.265306122449</v>
      </c>
      <c r="J241" s="38"/>
      <c r="K241" s="39" t="n">
        <f aca="false">IF(OR($A241="",NOT(ISNUMBER($D241)),NOT(ISNUMBER($H241))),"",IF(AND(ISNUMBER($J241),$J241&gt;0),$J241,IF(ISNUMBER($I241),$I241,"")))</f>
        <v>495.265306122449</v>
      </c>
      <c r="L241" s="40" t="n">
        <f aca="false">IF(ISNUMBER($K241),$K241*$H241,"")</f>
        <v>89.1477551020408</v>
      </c>
      <c r="M241" s="40" t="n">
        <f aca="false">IF(ISNUMBER($K241),$K241*Parâmetros!$B$9,"")</f>
        <v>49.5265306122449</v>
      </c>
      <c r="N241" s="40" t="n">
        <f aca="false">IF(ISNUMBER($K241),$K241*Parâmetros!$C$9,"")</f>
        <v>14.8579591836735</v>
      </c>
      <c r="O241" s="40" t="n">
        <f aca="false">IF(ISNUMBER($K241),IF(ISNUMBER(Parâmetros!$E$9),Parâmetros!$E$9,0),"")</f>
        <v>0</v>
      </c>
      <c r="P241" s="41" t="n">
        <f aca="false">IF(ISNUMBER($K241),$K241-$D241-IF(ISNUMBER($E241),$E241,0)-$L241-$M241-$N241-$O241,"")</f>
        <v>99.0530612244897</v>
      </c>
      <c r="Q241" s="42" t="n">
        <f aca="false">IF(AND(ISNUMBER($K241),$K241&gt;0),$P241/$K241,"")</f>
        <v>0.2</v>
      </c>
      <c r="R241" s="43"/>
      <c r="S241" s="44" t="str">
        <f aca="false">IF(OR(NOT(ISNUMBER($R241)),$R241=0,NOT(ISNUMBER($K241))),"",$K241*(1-$R241))</f>
        <v/>
      </c>
      <c r="T241" s="45" t="str">
        <f aca="false">IF(ISNUMBER($S241),$S241*$H241,"")</f>
        <v/>
      </c>
      <c r="U241" s="45" t="str">
        <f aca="false">IF(ISNUMBER($S241),$S241*Parâmetros!$B$9,"")</f>
        <v/>
      </c>
      <c r="V241" s="45" t="str">
        <f aca="false">IF(ISNUMBER($S241),$S241*Parâmetros!$C$9,"")</f>
        <v/>
      </c>
      <c r="W241" s="44" t="str">
        <f aca="false">IF(ISNUMBER($S241),$S241-$D241-IF(ISNUMBER($E241),$E241,0)-$O241-$T241-$U241-$V241,"")</f>
        <v/>
      </c>
      <c r="X241" s="46" t="str">
        <f aca="false">IF(AND(ISNUMBER($S241),$S241&gt;0),$W241/$S241,"")</f>
        <v/>
      </c>
      <c r="Y241" s="49"/>
      <c r="Z241" s="21"/>
    </row>
    <row r="242" customFormat="false" ht="15.75" hidden="false" customHeight="true" outlineLevel="0" collapsed="false">
      <c r="A242" s="32" t="str">
        <f aca="false">IF(Produtos!$A242="","",Produtos!$A242)</f>
        <v>SP-01</v>
      </c>
      <c r="B242" s="32" t="str">
        <f aca="false">IF(Produtos!$A242="","",Produtos!$B242)</f>
        <v>Coletor Cigarros SPACE 27x92 Aço Inox</v>
      </c>
      <c r="C242" s="32" t="str">
        <f aca="false">IF(Produtos!$A242="","",Produtos!$C242)</f>
        <v>Bituqueiras e cinzeiros</v>
      </c>
      <c r="D242" s="33" t="n">
        <f aca="false">IF(Produtos!$A242="","",IF(Produtos!$D242="","",Produtos!$D242))</f>
        <v>247.86</v>
      </c>
      <c r="E242" s="11" t="n">
        <v>0</v>
      </c>
      <c r="F242" s="34" t="n">
        <f aca="false">IF($A242="","",IF($C242="","⚠ categoria",IFERROR(INDEX(Parâmetros!$G$13:$G$22,MATCH($C242,Parâmetros!$A$13:$A$22,0)),"⚠ categoria")))</f>
        <v>0.18</v>
      </c>
      <c r="G242" s="35"/>
      <c r="H242" s="36" t="n">
        <f aca="false">IF($A242="","",IF(ISNUMBER($G242),$G242,IF(ISNUMBER($F242),$F242,"")))</f>
        <v>0.18</v>
      </c>
      <c r="I242" s="37" t="n">
        <f aca="false">IF(OR($A242="",NOT(ISNUMBER($D242)),NOT(ISNUMBER($H242))),"",IF((1-$H242-Parâmetros!$B$9-Parâmetros!$C$9-Parâmetros!$D$9)&lt;=0,"INVALIDO",($D242+IF(ISNUMBER($E242),$E242,0)+IF(ISNUMBER(Parâmetros!$E$9),Parâmetros!$E$9,0))/(1-$H242-Parâmetros!$B$9-Parâmetros!$C$9-Parâmetros!$D$9)))</f>
        <v>505.836734693878</v>
      </c>
      <c r="J242" s="38"/>
      <c r="K242" s="39" t="n">
        <f aca="false">IF(OR($A242="",NOT(ISNUMBER($D242)),NOT(ISNUMBER($H242))),"",IF(AND(ISNUMBER($J242),$J242&gt;0),$J242,IF(ISNUMBER($I242),$I242,"")))</f>
        <v>505.836734693878</v>
      </c>
      <c r="L242" s="40" t="n">
        <f aca="false">IF(ISNUMBER($K242),$K242*$H242,"")</f>
        <v>91.050612244898</v>
      </c>
      <c r="M242" s="40" t="n">
        <f aca="false">IF(ISNUMBER($K242),$K242*Parâmetros!$B$9,"")</f>
        <v>50.5836734693878</v>
      </c>
      <c r="N242" s="40" t="n">
        <f aca="false">IF(ISNUMBER($K242),$K242*Parâmetros!$C$9,"")</f>
        <v>15.1751020408163</v>
      </c>
      <c r="O242" s="40" t="n">
        <f aca="false">IF(ISNUMBER($K242),IF(ISNUMBER(Parâmetros!$E$9),Parâmetros!$E$9,0),"")</f>
        <v>0</v>
      </c>
      <c r="P242" s="41" t="n">
        <f aca="false">IF(ISNUMBER($K242),$K242-$D242-IF(ISNUMBER($E242),$E242,0)-$L242-$M242-$N242-$O242,"")</f>
        <v>101.167346938776</v>
      </c>
      <c r="Q242" s="42" t="n">
        <f aca="false">IF(AND(ISNUMBER($K242),$K242&gt;0),$P242/$K242,"")</f>
        <v>0.2</v>
      </c>
      <c r="R242" s="43"/>
      <c r="S242" s="44" t="str">
        <f aca="false">IF(OR(NOT(ISNUMBER($R242)),$R242=0,NOT(ISNUMBER($K242))),"",$K242*(1-$R242))</f>
        <v/>
      </c>
      <c r="T242" s="45" t="str">
        <f aca="false">IF(ISNUMBER($S242),$S242*$H242,"")</f>
        <v/>
      </c>
      <c r="U242" s="45" t="str">
        <f aca="false">IF(ISNUMBER($S242),$S242*Parâmetros!$B$9,"")</f>
        <v/>
      </c>
      <c r="V242" s="45" t="str">
        <f aca="false">IF(ISNUMBER($S242),$S242*Parâmetros!$C$9,"")</f>
        <v/>
      </c>
      <c r="W242" s="44" t="str">
        <f aca="false">IF(ISNUMBER($S242),$S242-$D242-IF(ISNUMBER($E242),$E242,0)-$O242-$T242-$U242-$V242,"")</f>
        <v/>
      </c>
      <c r="X242" s="46" t="str">
        <f aca="false">IF(AND(ISNUMBER($S242),$S242&gt;0),$W242/$S242,"")</f>
        <v/>
      </c>
      <c r="Y242" s="47"/>
      <c r="Z242" s="19"/>
    </row>
    <row r="243" customFormat="false" ht="15.75" hidden="false" customHeight="true" outlineLevel="0" collapsed="false">
      <c r="A243" s="48" t="str">
        <f aca="false">IF(Produtos!$A243="","",Produtos!$A243)</f>
        <v>SP-F</v>
      </c>
      <c r="B243" s="48" t="str">
        <f aca="false">IF(Produtos!$A243="","",Produtos!$B243)</f>
        <v>Coletor Cigarros SPACE FIXO 21x92 Aço Inox</v>
      </c>
      <c r="C243" s="48" t="str">
        <f aca="false">IF(Produtos!$A243="","",Produtos!$C243)</f>
        <v>Bituqueiras e cinzeiros</v>
      </c>
      <c r="D243" s="33" t="n">
        <f aca="false">IF(Produtos!$A243="","",IF(Produtos!$D243="","",Produtos!$D243))</f>
        <v>236.22</v>
      </c>
      <c r="E243" s="11" t="n">
        <v>0</v>
      </c>
      <c r="F243" s="34" t="n">
        <f aca="false">IF($A243="","",IF($C243="","⚠ categoria",IFERROR(INDEX(Parâmetros!$G$13:$G$22,MATCH($C243,Parâmetros!$A$13:$A$22,0)),"⚠ categoria")))</f>
        <v>0.18</v>
      </c>
      <c r="G243" s="35"/>
      <c r="H243" s="36" t="n">
        <f aca="false">IF($A243="","",IF(ISNUMBER($G243),$G243,IF(ISNUMBER($F243),$F243,"")))</f>
        <v>0.18</v>
      </c>
      <c r="I243" s="37" t="n">
        <f aca="false">IF(OR($A243="",NOT(ISNUMBER($D243)),NOT(ISNUMBER($H243))),"",IF((1-$H243-Parâmetros!$B$9-Parâmetros!$C$9-Parâmetros!$D$9)&lt;=0,"INVALIDO",($D243+IF(ISNUMBER($E243),$E243,0)+IF(ISNUMBER(Parâmetros!$E$9),Parâmetros!$E$9,0))/(1-$H243-Parâmetros!$B$9-Parâmetros!$C$9-Parâmetros!$D$9)))</f>
        <v>482.081632653061</v>
      </c>
      <c r="J243" s="38"/>
      <c r="K243" s="39" t="n">
        <f aca="false">IF(OR($A243="",NOT(ISNUMBER($D243)),NOT(ISNUMBER($H243))),"",IF(AND(ISNUMBER($J243),$J243&gt;0),$J243,IF(ISNUMBER($I243),$I243,"")))</f>
        <v>482.081632653061</v>
      </c>
      <c r="L243" s="40" t="n">
        <f aca="false">IF(ISNUMBER($K243),$K243*$H243,"")</f>
        <v>86.774693877551</v>
      </c>
      <c r="M243" s="40" t="n">
        <f aca="false">IF(ISNUMBER($K243),$K243*Parâmetros!$B$9,"")</f>
        <v>48.2081632653061</v>
      </c>
      <c r="N243" s="40" t="n">
        <f aca="false">IF(ISNUMBER($K243),$K243*Parâmetros!$C$9,"")</f>
        <v>14.4624489795918</v>
      </c>
      <c r="O243" s="40" t="n">
        <f aca="false">IF(ISNUMBER($K243),IF(ISNUMBER(Parâmetros!$E$9),Parâmetros!$E$9,0),"")</f>
        <v>0</v>
      </c>
      <c r="P243" s="41" t="n">
        <f aca="false">IF(ISNUMBER($K243),$K243-$D243-IF(ISNUMBER($E243),$E243,0)-$L243-$M243-$N243-$O243,"")</f>
        <v>96.4163265306122</v>
      </c>
      <c r="Q243" s="42" t="n">
        <f aca="false">IF(AND(ISNUMBER($K243),$K243&gt;0),$P243/$K243,"")</f>
        <v>0.2</v>
      </c>
      <c r="R243" s="43"/>
      <c r="S243" s="44" t="str">
        <f aca="false">IF(OR(NOT(ISNUMBER($R243)),$R243=0,NOT(ISNUMBER($K243))),"",$K243*(1-$R243))</f>
        <v/>
      </c>
      <c r="T243" s="45" t="str">
        <f aca="false">IF(ISNUMBER($S243),$S243*$H243,"")</f>
        <v/>
      </c>
      <c r="U243" s="45" t="str">
        <f aca="false">IF(ISNUMBER($S243),$S243*Parâmetros!$B$9,"")</f>
        <v/>
      </c>
      <c r="V243" s="45" t="str">
        <f aca="false">IF(ISNUMBER($S243),$S243*Parâmetros!$C$9,"")</f>
        <v/>
      </c>
      <c r="W243" s="44" t="str">
        <f aca="false">IF(ISNUMBER($S243),$S243-$D243-IF(ISNUMBER($E243),$E243,0)-$O243-$T243-$U243-$V243,"")</f>
        <v/>
      </c>
      <c r="X243" s="46" t="str">
        <f aca="false">IF(AND(ISNUMBER($S243),$S243&gt;0),$W243/$S243,"")</f>
        <v/>
      </c>
      <c r="Y243" s="49"/>
      <c r="Z243" s="21"/>
    </row>
    <row r="244" customFormat="false" ht="15.75" hidden="false" customHeight="true" outlineLevel="0" collapsed="false">
      <c r="A244" s="32" t="str">
        <f aca="false">IF(Produtos!$A244="","",Produtos!$A244)</f>
        <v>SP-T</v>
      </c>
      <c r="B244" s="32" t="str">
        <f aca="false">IF(Produtos!$A244="","",Produtos!$B244)</f>
        <v>Coletor Cigarros SPACE TORRE 28x92 Aço Inox</v>
      </c>
      <c r="C244" s="32" t="str">
        <f aca="false">IF(Produtos!$A244="","",Produtos!$C244)</f>
        <v>Bituqueiras e cinzeiros</v>
      </c>
      <c r="D244" s="33" t="n">
        <f aca="false">IF(Produtos!$A244="","",IF(Produtos!$D244="","",Produtos!$D244))</f>
        <v>238.66</v>
      </c>
      <c r="E244" s="11" t="n">
        <v>0</v>
      </c>
      <c r="F244" s="34" t="n">
        <f aca="false">IF($A244="","",IF($C244="","⚠ categoria",IFERROR(INDEX(Parâmetros!$G$13:$G$22,MATCH($C244,Parâmetros!$A$13:$A$22,0)),"⚠ categoria")))</f>
        <v>0.18</v>
      </c>
      <c r="G244" s="35"/>
      <c r="H244" s="36" t="n">
        <f aca="false">IF($A244="","",IF(ISNUMBER($G244),$G244,IF(ISNUMBER($F244),$F244,"")))</f>
        <v>0.18</v>
      </c>
      <c r="I244" s="37" t="n">
        <f aca="false">IF(OR($A244="",NOT(ISNUMBER($D244)),NOT(ISNUMBER($H244))),"",IF((1-$H244-Parâmetros!$B$9-Parâmetros!$C$9-Parâmetros!$D$9)&lt;=0,"INVALIDO",($D244+IF(ISNUMBER($E244),$E244,0)+IF(ISNUMBER(Parâmetros!$E$9),Parâmetros!$E$9,0))/(1-$H244-Parâmetros!$B$9-Parâmetros!$C$9-Parâmetros!$D$9)))</f>
        <v>487.061224489796</v>
      </c>
      <c r="J244" s="38"/>
      <c r="K244" s="39" t="n">
        <f aca="false">IF(OR($A244="",NOT(ISNUMBER($D244)),NOT(ISNUMBER($H244))),"",IF(AND(ISNUMBER($J244),$J244&gt;0),$J244,IF(ISNUMBER($I244),$I244,"")))</f>
        <v>487.061224489796</v>
      </c>
      <c r="L244" s="40" t="n">
        <f aca="false">IF(ISNUMBER($K244),$K244*$H244,"")</f>
        <v>87.6710204081632</v>
      </c>
      <c r="M244" s="40" t="n">
        <f aca="false">IF(ISNUMBER($K244),$K244*Parâmetros!$B$9,"")</f>
        <v>48.7061224489796</v>
      </c>
      <c r="N244" s="40" t="n">
        <f aca="false">IF(ISNUMBER($K244),$K244*Parâmetros!$C$9,"")</f>
        <v>14.6118367346939</v>
      </c>
      <c r="O244" s="40" t="n">
        <f aca="false">IF(ISNUMBER($K244),IF(ISNUMBER(Parâmetros!$E$9),Parâmetros!$E$9,0),"")</f>
        <v>0</v>
      </c>
      <c r="P244" s="41" t="n">
        <f aca="false">IF(ISNUMBER($K244),$K244-$D244-IF(ISNUMBER($E244),$E244,0)-$L244-$M244-$N244-$O244,"")</f>
        <v>97.4122448979592</v>
      </c>
      <c r="Q244" s="42" t="n">
        <f aca="false">IF(AND(ISNUMBER($K244),$K244&gt;0),$P244/$K244,"")</f>
        <v>0.2</v>
      </c>
      <c r="R244" s="43"/>
      <c r="S244" s="44" t="str">
        <f aca="false">IF(OR(NOT(ISNUMBER($R244)),$R244=0,NOT(ISNUMBER($K244))),"",$K244*(1-$R244))</f>
        <v/>
      </c>
      <c r="T244" s="45" t="str">
        <f aca="false">IF(ISNUMBER($S244),$S244*$H244,"")</f>
        <v/>
      </c>
      <c r="U244" s="45" t="str">
        <f aca="false">IF(ISNUMBER($S244),$S244*Parâmetros!$B$9,"")</f>
        <v/>
      </c>
      <c r="V244" s="45" t="str">
        <f aca="false">IF(ISNUMBER($S244),$S244*Parâmetros!$C$9,"")</f>
        <v/>
      </c>
      <c r="W244" s="44" t="str">
        <f aca="false">IF(ISNUMBER($S244),$S244-$D244-IF(ISNUMBER($E244),$E244,0)-$O244-$T244-$U244-$V244,"")</f>
        <v/>
      </c>
      <c r="X244" s="46" t="str">
        <f aca="false">IF(AND(ISNUMBER($S244),$S244&gt;0),$W244/$S244,"")</f>
        <v/>
      </c>
      <c r="Y244" s="47"/>
      <c r="Z244" s="19"/>
    </row>
    <row r="245" customFormat="false" ht="15.75" hidden="false" customHeight="true" outlineLevel="0" collapsed="false">
      <c r="A245" s="48" t="str">
        <f aca="false">IF(Produtos!$A245="","",Produtos!$A245)</f>
        <v>SP-P</v>
      </c>
      <c r="B245" s="48" t="str">
        <f aca="false">IF(Produtos!$A245="","",Produtos!$B245)</f>
        <v>Coletor Cigarros SPACE PAREDE ø0,76x50 Aço Inox</v>
      </c>
      <c r="C245" s="48" t="str">
        <f aca="false">IF(Produtos!$A245="","",Produtos!$C245)</f>
        <v>Bituqueiras e cinzeiros</v>
      </c>
      <c r="D245" s="33" t="n">
        <f aca="false">IF(Produtos!$A245="","",IF(Produtos!$D245="","",Produtos!$D245))</f>
        <v>139.81</v>
      </c>
      <c r="E245" s="11" t="n">
        <v>0</v>
      </c>
      <c r="F245" s="34" t="n">
        <f aca="false">IF($A245="","",IF($C245="","⚠ categoria",IFERROR(INDEX(Parâmetros!$G$13:$G$22,MATCH($C245,Parâmetros!$A$13:$A$22,0)),"⚠ categoria")))</f>
        <v>0.18</v>
      </c>
      <c r="G245" s="35"/>
      <c r="H245" s="36" t="n">
        <f aca="false">IF($A245="","",IF(ISNUMBER($G245),$G245,IF(ISNUMBER($F245),$F245,"")))</f>
        <v>0.18</v>
      </c>
      <c r="I245" s="37" t="n">
        <f aca="false">IF(OR($A245="",NOT(ISNUMBER($D245)),NOT(ISNUMBER($H245))),"",IF((1-$H245-Parâmetros!$B$9-Parâmetros!$C$9-Parâmetros!$D$9)&lt;=0,"INVALIDO",($D245+IF(ISNUMBER($E245),$E245,0)+IF(ISNUMBER(Parâmetros!$E$9),Parâmetros!$E$9,0))/(1-$H245-Parâmetros!$B$9-Parâmetros!$C$9-Parâmetros!$D$9)))</f>
        <v>285.326530612245</v>
      </c>
      <c r="J245" s="38"/>
      <c r="K245" s="39" t="n">
        <f aca="false">IF(OR($A245="",NOT(ISNUMBER($D245)),NOT(ISNUMBER($H245))),"",IF(AND(ISNUMBER($J245),$J245&gt;0),$J245,IF(ISNUMBER($I245),$I245,"")))</f>
        <v>285.326530612245</v>
      </c>
      <c r="L245" s="40" t="n">
        <f aca="false">IF(ISNUMBER($K245),$K245*$H245,"")</f>
        <v>51.3587755102041</v>
      </c>
      <c r="M245" s="40" t="n">
        <f aca="false">IF(ISNUMBER($K245),$K245*Parâmetros!$B$9,"")</f>
        <v>28.5326530612245</v>
      </c>
      <c r="N245" s="40" t="n">
        <f aca="false">IF(ISNUMBER($K245),$K245*Parâmetros!$C$9,"")</f>
        <v>8.55979591836735</v>
      </c>
      <c r="O245" s="40" t="n">
        <f aca="false">IF(ISNUMBER($K245),IF(ISNUMBER(Parâmetros!$E$9),Parâmetros!$E$9,0),"")</f>
        <v>0</v>
      </c>
      <c r="P245" s="41" t="n">
        <f aca="false">IF(ISNUMBER($K245),$K245-$D245-IF(ISNUMBER($E245),$E245,0)-$L245-$M245-$N245-$O245,"")</f>
        <v>57.065306122449</v>
      </c>
      <c r="Q245" s="42" t="n">
        <f aca="false">IF(AND(ISNUMBER($K245),$K245&gt;0),$P245/$K245,"")</f>
        <v>0.2</v>
      </c>
      <c r="R245" s="43"/>
      <c r="S245" s="44" t="str">
        <f aca="false">IF(OR(NOT(ISNUMBER($R245)),$R245=0,NOT(ISNUMBER($K245))),"",$K245*(1-$R245))</f>
        <v/>
      </c>
      <c r="T245" s="45" t="str">
        <f aca="false">IF(ISNUMBER($S245),$S245*$H245,"")</f>
        <v/>
      </c>
      <c r="U245" s="45" t="str">
        <f aca="false">IF(ISNUMBER($S245),$S245*Parâmetros!$B$9,"")</f>
        <v/>
      </c>
      <c r="V245" s="45" t="str">
        <f aca="false">IF(ISNUMBER($S245),$S245*Parâmetros!$C$9,"")</f>
        <v/>
      </c>
      <c r="W245" s="44" t="str">
        <f aca="false">IF(ISNUMBER($S245),$S245-$D245-IF(ISNUMBER($E245),$E245,0)-$O245-$T245-$U245-$V245,"")</f>
        <v/>
      </c>
      <c r="X245" s="46" t="str">
        <f aca="false">IF(AND(ISNUMBER($S245),$S245&gt;0),$W245/$S245,"")</f>
        <v/>
      </c>
      <c r="Y245" s="49"/>
      <c r="Z245" s="21"/>
    </row>
    <row r="246" customFormat="false" ht="15.75" hidden="false" customHeight="true" outlineLevel="0" collapsed="false">
      <c r="A246" s="32" t="str">
        <f aca="false">IF(Produtos!$A246="","",Produtos!$A246)</f>
        <v>SP-FT</v>
      </c>
      <c r="B246" s="32" t="str">
        <f aca="false">IF(Produtos!$A246="","",Produtos!$B246)</f>
        <v>Tampa Space Fixa</v>
      </c>
      <c r="C246" s="32" t="str">
        <f aca="false">IF(Produtos!$A246="","",Produtos!$C246)</f>
        <v>Bituqueiras e cinzeiros</v>
      </c>
      <c r="D246" s="33" t="n">
        <f aca="false">IF(Produtos!$A246="","",IF(Produtos!$D246="","",Produtos!$D246))</f>
        <v>75</v>
      </c>
      <c r="E246" s="11" t="n">
        <v>0</v>
      </c>
      <c r="F246" s="34" t="n">
        <f aca="false">IF($A246="","",IF($C246="","⚠ categoria",IFERROR(INDEX(Parâmetros!$G$13:$G$22,MATCH($C246,Parâmetros!$A$13:$A$22,0)),"⚠ categoria")))</f>
        <v>0.18</v>
      </c>
      <c r="G246" s="35"/>
      <c r="H246" s="36" t="n">
        <f aca="false">IF($A246="","",IF(ISNUMBER($G246),$G246,IF(ISNUMBER($F246),$F246,"")))</f>
        <v>0.18</v>
      </c>
      <c r="I246" s="37" t="n">
        <f aca="false">IF(OR($A246="",NOT(ISNUMBER($D246)),NOT(ISNUMBER($H246))),"",IF((1-$H246-Parâmetros!$B$9-Parâmetros!$C$9-Parâmetros!$D$9)&lt;=0,"INVALIDO",($D246+IF(ISNUMBER($E246),$E246,0)+IF(ISNUMBER(Parâmetros!$E$9),Parâmetros!$E$9,0))/(1-$H246-Parâmetros!$B$9-Parâmetros!$C$9-Parâmetros!$D$9)))</f>
        <v>153.061224489796</v>
      </c>
      <c r="J246" s="38"/>
      <c r="K246" s="39" t="n">
        <f aca="false">IF(OR($A246="",NOT(ISNUMBER($D246)),NOT(ISNUMBER($H246))),"",IF(AND(ISNUMBER($J246),$J246&gt;0),$J246,IF(ISNUMBER($I246),$I246,"")))</f>
        <v>153.061224489796</v>
      </c>
      <c r="L246" s="40" t="n">
        <f aca="false">IF(ISNUMBER($K246),$K246*$H246,"")</f>
        <v>27.5510204081633</v>
      </c>
      <c r="M246" s="40" t="n">
        <f aca="false">IF(ISNUMBER($K246),$K246*Parâmetros!$B$9,"")</f>
        <v>15.3061224489796</v>
      </c>
      <c r="N246" s="40" t="n">
        <f aca="false">IF(ISNUMBER($K246),$K246*Parâmetros!$C$9,"")</f>
        <v>4.59183673469388</v>
      </c>
      <c r="O246" s="40" t="n">
        <f aca="false">IF(ISNUMBER($K246),IF(ISNUMBER(Parâmetros!$E$9),Parâmetros!$E$9,0),"")</f>
        <v>0</v>
      </c>
      <c r="P246" s="41" t="n">
        <f aca="false">IF(ISNUMBER($K246),$K246-$D246-IF(ISNUMBER($E246),$E246,0)-$L246-$M246-$N246-$O246,"")</f>
        <v>30.6122448979592</v>
      </c>
      <c r="Q246" s="42" t="n">
        <f aca="false">IF(AND(ISNUMBER($K246),$K246&gt;0),$P246/$K246,"")</f>
        <v>0.2</v>
      </c>
      <c r="R246" s="43"/>
      <c r="S246" s="44" t="str">
        <f aca="false">IF(OR(NOT(ISNUMBER($R246)),$R246=0,NOT(ISNUMBER($K246))),"",$K246*(1-$R246))</f>
        <v/>
      </c>
      <c r="T246" s="45" t="str">
        <f aca="false">IF(ISNUMBER($S246),$S246*$H246,"")</f>
        <v/>
      </c>
      <c r="U246" s="45" t="str">
        <f aca="false">IF(ISNUMBER($S246),$S246*Parâmetros!$B$9,"")</f>
        <v/>
      </c>
      <c r="V246" s="45" t="str">
        <f aca="false">IF(ISNUMBER($S246),$S246*Parâmetros!$C$9,"")</f>
        <v/>
      </c>
      <c r="W246" s="44" t="str">
        <f aca="false">IF(ISNUMBER($S246),$S246-$D246-IF(ISNUMBER($E246),$E246,0)-$O246-$T246-$U246-$V246,"")</f>
        <v/>
      </c>
      <c r="X246" s="46" t="str">
        <f aca="false">IF(AND(ISNUMBER($S246),$S246&gt;0),$W246/$S246,"")</f>
        <v/>
      </c>
      <c r="Y246" s="47"/>
      <c r="Z246" s="19"/>
    </row>
    <row r="247" customFormat="false" ht="15.75" hidden="false" customHeight="true" outlineLevel="0" collapsed="false">
      <c r="A247" s="48" t="str">
        <f aca="false">IF(Produtos!$A247="","",Produtos!$A247)</f>
        <v>L2450-CZ</v>
      </c>
      <c r="B247" s="48" t="str">
        <f aca="false">IF(Produtos!$A247="","",Produtos!$B247)</f>
        <v>Lixeira Cinzeiro Aço Inox 24x50 25L</v>
      </c>
      <c r="C247" s="48" t="str">
        <f aca="false">IF(Produtos!$A247="","",Produtos!$C247)</f>
        <v>Bituqueiras e cinzeiros</v>
      </c>
      <c r="D247" s="33" t="n">
        <f aca="false">IF(Produtos!$A247="","",IF(Produtos!$D247="","",Produtos!$D247))</f>
        <v>156</v>
      </c>
      <c r="E247" s="11" t="n">
        <v>0</v>
      </c>
      <c r="F247" s="34" t="n">
        <f aca="false">IF($A247="","",IF($C247="","⚠ categoria",IFERROR(INDEX(Parâmetros!$G$13:$G$22,MATCH($C247,Parâmetros!$A$13:$A$22,0)),"⚠ categoria")))</f>
        <v>0.18</v>
      </c>
      <c r="G247" s="35"/>
      <c r="H247" s="36" t="n">
        <f aca="false">IF($A247="","",IF(ISNUMBER($G247),$G247,IF(ISNUMBER($F247),$F247,"")))</f>
        <v>0.18</v>
      </c>
      <c r="I247" s="37" t="n">
        <f aca="false">IF(OR($A247="",NOT(ISNUMBER($D247)),NOT(ISNUMBER($H247))),"",IF((1-$H247-Parâmetros!$B$9-Parâmetros!$C$9-Parâmetros!$D$9)&lt;=0,"INVALIDO",($D247+IF(ISNUMBER($E247),$E247,0)+IF(ISNUMBER(Parâmetros!$E$9),Parâmetros!$E$9,0))/(1-$H247-Parâmetros!$B$9-Parâmetros!$C$9-Parâmetros!$D$9)))</f>
        <v>318.367346938776</v>
      </c>
      <c r="J247" s="38"/>
      <c r="K247" s="39" t="n">
        <f aca="false">IF(OR($A247="",NOT(ISNUMBER($D247)),NOT(ISNUMBER($H247))),"",IF(AND(ISNUMBER($J247),$J247&gt;0),$J247,IF(ISNUMBER($I247),$I247,"")))</f>
        <v>318.367346938776</v>
      </c>
      <c r="L247" s="40" t="n">
        <f aca="false">IF(ISNUMBER($K247),$K247*$H247,"")</f>
        <v>57.3061224489796</v>
      </c>
      <c r="M247" s="40" t="n">
        <f aca="false">IF(ISNUMBER($K247),$K247*Parâmetros!$B$9,"")</f>
        <v>31.8367346938776</v>
      </c>
      <c r="N247" s="40" t="n">
        <f aca="false">IF(ISNUMBER($K247),$K247*Parâmetros!$C$9,"")</f>
        <v>9.55102040816326</v>
      </c>
      <c r="O247" s="40" t="n">
        <f aca="false">IF(ISNUMBER($K247),IF(ISNUMBER(Parâmetros!$E$9),Parâmetros!$E$9,0),"")</f>
        <v>0</v>
      </c>
      <c r="P247" s="41" t="n">
        <f aca="false">IF(ISNUMBER($K247),$K247-$D247-IF(ISNUMBER($E247),$E247,0)-$L247-$M247-$N247-$O247,"")</f>
        <v>63.6734693877551</v>
      </c>
      <c r="Q247" s="42" t="n">
        <f aca="false">IF(AND(ISNUMBER($K247),$K247&gt;0),$P247/$K247,"")</f>
        <v>0.2</v>
      </c>
      <c r="R247" s="43"/>
      <c r="S247" s="44" t="str">
        <f aca="false">IF(OR(NOT(ISNUMBER($R247)),$R247=0,NOT(ISNUMBER($K247))),"",$K247*(1-$R247))</f>
        <v/>
      </c>
      <c r="T247" s="45" t="str">
        <f aca="false">IF(ISNUMBER($S247),$S247*$H247,"")</f>
        <v/>
      </c>
      <c r="U247" s="45" t="str">
        <f aca="false">IF(ISNUMBER($S247),$S247*Parâmetros!$B$9,"")</f>
        <v/>
      </c>
      <c r="V247" s="45" t="str">
        <f aca="false">IF(ISNUMBER($S247),$S247*Parâmetros!$C$9,"")</f>
        <v/>
      </c>
      <c r="W247" s="44" t="str">
        <f aca="false">IF(ISNUMBER($S247),$S247-$D247-IF(ISNUMBER($E247),$E247,0)-$O247-$T247-$U247-$V247,"")</f>
        <v/>
      </c>
      <c r="X247" s="46" t="str">
        <f aca="false">IF(AND(ISNUMBER($S247),$S247&gt;0),$W247/$S247,"")</f>
        <v/>
      </c>
      <c r="Y247" s="49"/>
      <c r="Z247" s="21"/>
    </row>
    <row r="248" customFormat="false" ht="15.75" hidden="false" customHeight="true" outlineLevel="0" collapsed="false">
      <c r="A248" s="32" t="str">
        <f aca="false">IF(Produtos!$A248="","",Produtos!$A248)</f>
        <v>L2460-CZ</v>
      </c>
      <c r="B248" s="32" t="str">
        <f aca="false">IF(Produtos!$A248="","",Produtos!$B248)</f>
        <v>Lixeira Cinzeiro Aço Inox 24x60 27L</v>
      </c>
      <c r="C248" s="32" t="str">
        <f aca="false">IF(Produtos!$A248="","",Produtos!$C248)</f>
        <v>Bituqueiras e cinzeiros</v>
      </c>
      <c r="D248" s="33" t="n">
        <f aca="false">IF(Produtos!$A248="","",IF(Produtos!$D248="","",Produtos!$D248))</f>
        <v>159</v>
      </c>
      <c r="E248" s="11" t="n">
        <v>0</v>
      </c>
      <c r="F248" s="34" t="n">
        <f aca="false">IF($A248="","",IF($C248="","⚠ categoria",IFERROR(INDEX(Parâmetros!$G$13:$G$22,MATCH($C248,Parâmetros!$A$13:$A$22,0)),"⚠ categoria")))</f>
        <v>0.18</v>
      </c>
      <c r="G248" s="35"/>
      <c r="H248" s="36" t="n">
        <f aca="false">IF($A248="","",IF(ISNUMBER($G248),$G248,IF(ISNUMBER($F248),$F248,"")))</f>
        <v>0.18</v>
      </c>
      <c r="I248" s="37" t="n">
        <f aca="false">IF(OR($A248="",NOT(ISNUMBER($D248)),NOT(ISNUMBER($H248))),"",IF((1-$H248-Parâmetros!$B$9-Parâmetros!$C$9-Parâmetros!$D$9)&lt;=0,"INVALIDO",($D248+IF(ISNUMBER($E248),$E248,0)+IF(ISNUMBER(Parâmetros!$E$9),Parâmetros!$E$9,0))/(1-$H248-Parâmetros!$B$9-Parâmetros!$C$9-Parâmetros!$D$9)))</f>
        <v>324.489795918367</v>
      </c>
      <c r="J248" s="38"/>
      <c r="K248" s="39" t="n">
        <f aca="false">IF(OR($A248="",NOT(ISNUMBER($D248)),NOT(ISNUMBER($H248))),"",IF(AND(ISNUMBER($J248),$J248&gt;0),$J248,IF(ISNUMBER($I248),$I248,"")))</f>
        <v>324.489795918367</v>
      </c>
      <c r="L248" s="40" t="n">
        <f aca="false">IF(ISNUMBER($K248),$K248*$H248,"")</f>
        <v>58.4081632653061</v>
      </c>
      <c r="M248" s="40" t="n">
        <f aca="false">IF(ISNUMBER($K248),$K248*Parâmetros!$B$9,"")</f>
        <v>32.4489795918367</v>
      </c>
      <c r="N248" s="40" t="n">
        <f aca="false">IF(ISNUMBER($K248),$K248*Parâmetros!$C$9,"")</f>
        <v>9.73469387755102</v>
      </c>
      <c r="O248" s="40" t="n">
        <f aca="false">IF(ISNUMBER($K248),IF(ISNUMBER(Parâmetros!$E$9),Parâmetros!$E$9,0),"")</f>
        <v>0</v>
      </c>
      <c r="P248" s="41" t="n">
        <f aca="false">IF(ISNUMBER($K248),$K248-$D248-IF(ISNUMBER($E248),$E248,0)-$L248-$M248-$N248-$O248,"")</f>
        <v>64.8979591836734</v>
      </c>
      <c r="Q248" s="42" t="n">
        <f aca="false">IF(AND(ISNUMBER($K248),$K248&gt;0),$P248/$K248,"")</f>
        <v>0.2</v>
      </c>
      <c r="R248" s="43"/>
      <c r="S248" s="44" t="str">
        <f aca="false">IF(OR(NOT(ISNUMBER($R248)),$R248=0,NOT(ISNUMBER($K248))),"",$K248*(1-$R248))</f>
        <v/>
      </c>
      <c r="T248" s="45" t="str">
        <f aca="false">IF(ISNUMBER($S248),$S248*$H248,"")</f>
        <v/>
      </c>
      <c r="U248" s="45" t="str">
        <f aca="false">IF(ISNUMBER($S248),$S248*Parâmetros!$B$9,"")</f>
        <v/>
      </c>
      <c r="V248" s="45" t="str">
        <f aca="false">IF(ISNUMBER($S248),$S248*Parâmetros!$C$9,"")</f>
        <v/>
      </c>
      <c r="W248" s="44" t="str">
        <f aca="false">IF(ISNUMBER($S248),$S248-$D248-IF(ISNUMBER($E248),$E248,0)-$O248-$T248-$U248-$V248,"")</f>
        <v/>
      </c>
      <c r="X248" s="46" t="str">
        <f aca="false">IF(AND(ISNUMBER($S248),$S248&gt;0),$W248/$S248,"")</f>
        <v/>
      </c>
      <c r="Y248" s="47"/>
      <c r="Z248" s="19"/>
    </row>
    <row r="249" customFormat="false" ht="15.75" hidden="false" customHeight="true" outlineLevel="0" collapsed="false">
      <c r="A249" s="48" t="str">
        <f aca="false">IF(Produtos!$A249="","",Produtos!$A249)</f>
        <v>L2470-CZ</v>
      </c>
      <c r="B249" s="48" t="str">
        <f aca="false">IF(Produtos!$A249="","",Produtos!$B249)</f>
        <v>Lixeira Cinzeiro Aço Inox 24x70 30L</v>
      </c>
      <c r="C249" s="48" t="str">
        <f aca="false">IF(Produtos!$A249="","",Produtos!$C249)</f>
        <v>Bituqueiras e cinzeiros</v>
      </c>
      <c r="D249" s="33" t="n">
        <f aca="false">IF(Produtos!$A249="","",IF(Produtos!$D249="","",Produtos!$D249))</f>
        <v>164.3</v>
      </c>
      <c r="E249" s="11" t="n">
        <v>0</v>
      </c>
      <c r="F249" s="34" t="n">
        <f aca="false">IF($A249="","",IF($C249="","⚠ categoria",IFERROR(INDEX(Parâmetros!$G$13:$G$22,MATCH($C249,Parâmetros!$A$13:$A$22,0)),"⚠ categoria")))</f>
        <v>0.18</v>
      </c>
      <c r="G249" s="35"/>
      <c r="H249" s="36" t="n">
        <f aca="false">IF($A249="","",IF(ISNUMBER($G249),$G249,IF(ISNUMBER($F249),$F249,"")))</f>
        <v>0.18</v>
      </c>
      <c r="I249" s="37" t="n">
        <f aca="false">IF(OR($A249="",NOT(ISNUMBER($D249)),NOT(ISNUMBER($H249))),"",IF((1-$H249-Parâmetros!$B$9-Parâmetros!$C$9-Parâmetros!$D$9)&lt;=0,"INVALIDO",($D249+IF(ISNUMBER($E249),$E249,0)+IF(ISNUMBER(Parâmetros!$E$9),Parâmetros!$E$9,0))/(1-$H249-Parâmetros!$B$9-Parâmetros!$C$9-Parâmetros!$D$9)))</f>
        <v>335.30612244898</v>
      </c>
      <c r="J249" s="38"/>
      <c r="K249" s="39" t="n">
        <f aca="false">IF(OR($A249="",NOT(ISNUMBER($D249)),NOT(ISNUMBER($H249))),"",IF(AND(ISNUMBER($J249),$J249&gt;0),$J249,IF(ISNUMBER($I249),$I249,"")))</f>
        <v>335.30612244898</v>
      </c>
      <c r="L249" s="40" t="n">
        <f aca="false">IF(ISNUMBER($K249),$K249*$H249,"")</f>
        <v>60.3551020408163</v>
      </c>
      <c r="M249" s="40" t="n">
        <f aca="false">IF(ISNUMBER($K249),$K249*Parâmetros!$B$9,"")</f>
        <v>33.530612244898</v>
      </c>
      <c r="N249" s="40" t="n">
        <f aca="false">IF(ISNUMBER($K249),$K249*Parâmetros!$C$9,"")</f>
        <v>10.0591836734694</v>
      </c>
      <c r="O249" s="40" t="n">
        <f aca="false">IF(ISNUMBER($K249),IF(ISNUMBER(Parâmetros!$E$9),Parâmetros!$E$9,0),"")</f>
        <v>0</v>
      </c>
      <c r="P249" s="41" t="n">
        <f aca="false">IF(ISNUMBER($K249),$K249-$D249-IF(ISNUMBER($E249),$E249,0)-$L249-$M249-$N249-$O249,"")</f>
        <v>67.0612244897959</v>
      </c>
      <c r="Q249" s="42" t="n">
        <f aca="false">IF(AND(ISNUMBER($K249),$K249&gt;0),$P249/$K249,"")</f>
        <v>0.2</v>
      </c>
      <c r="R249" s="43"/>
      <c r="S249" s="44" t="str">
        <f aca="false">IF(OR(NOT(ISNUMBER($R249)),$R249=0,NOT(ISNUMBER($K249))),"",$K249*(1-$R249))</f>
        <v/>
      </c>
      <c r="T249" s="45" t="str">
        <f aca="false">IF(ISNUMBER($S249),$S249*$H249,"")</f>
        <v/>
      </c>
      <c r="U249" s="45" t="str">
        <f aca="false">IF(ISNUMBER($S249),$S249*Parâmetros!$B$9,"")</f>
        <v/>
      </c>
      <c r="V249" s="45" t="str">
        <f aca="false">IF(ISNUMBER($S249),$S249*Parâmetros!$C$9,"")</f>
        <v/>
      </c>
      <c r="W249" s="44" t="str">
        <f aca="false">IF(ISNUMBER($S249),$S249-$D249-IF(ISNUMBER($E249),$E249,0)-$O249-$T249-$U249-$V249,"")</f>
        <v/>
      </c>
      <c r="X249" s="46" t="str">
        <f aca="false">IF(AND(ISNUMBER($S249),$S249&gt;0),$W249/$S249,"")</f>
        <v/>
      </c>
      <c r="Y249" s="49"/>
      <c r="Z249" s="21"/>
    </row>
    <row r="250" customFormat="false" ht="15.75" hidden="false" customHeight="true" outlineLevel="0" collapsed="false">
      <c r="A250" s="32" t="str">
        <f aca="false">IF(Produtos!$A250="","",Produtos!$A250)</f>
        <v>L4045-P</v>
      </c>
      <c r="B250" s="32" t="str">
        <f aca="false">IF(Produtos!$A250="","",Produtos!$B250)</f>
        <v>Lixeira de Parede c/Aro 40x19x45 20L</v>
      </c>
      <c r="C250" s="32" t="str">
        <f aca="false">IF(Produtos!$A250="","",Produtos!$C250)</f>
        <v>Lixeiras em inox</v>
      </c>
      <c r="D250" s="33" t="n">
        <f aca="false">IF(Produtos!$A250="","",IF(Produtos!$D250="","",Produtos!$D250))</f>
        <v>277.43</v>
      </c>
      <c r="E250" s="11" t="n">
        <v>0</v>
      </c>
      <c r="F250" s="34" t="n">
        <f aca="false">IF($A250="","",IF($C250="","⚠ categoria",IFERROR(INDEX(Parâmetros!$G$13:$G$22,MATCH($C250,Parâmetros!$A$13:$A$22,0)),"⚠ categoria")))</f>
        <v>0.18</v>
      </c>
      <c r="G250" s="35"/>
      <c r="H250" s="36" t="n">
        <f aca="false">IF($A250="","",IF(ISNUMBER($G250),$G250,IF(ISNUMBER($F250),$F250,"")))</f>
        <v>0.18</v>
      </c>
      <c r="I250" s="37" t="n">
        <f aca="false">IF(OR($A250="",NOT(ISNUMBER($D250)),NOT(ISNUMBER($H250))),"",IF((1-$H250-Parâmetros!$B$9-Parâmetros!$C$9-Parâmetros!$D$9)&lt;=0,"INVALIDO",($D250+IF(ISNUMBER($E250),$E250,0)+IF(ISNUMBER(Parâmetros!$E$9),Parâmetros!$E$9,0))/(1-$H250-Parâmetros!$B$9-Parâmetros!$C$9-Parâmetros!$D$9)))</f>
        <v>566.183673469388</v>
      </c>
      <c r="J250" s="38"/>
      <c r="K250" s="39" t="n">
        <f aca="false">IF(OR($A250="",NOT(ISNUMBER($D250)),NOT(ISNUMBER($H250))),"",IF(AND(ISNUMBER($J250),$J250&gt;0),$J250,IF(ISNUMBER($I250),$I250,"")))</f>
        <v>566.183673469388</v>
      </c>
      <c r="L250" s="40" t="n">
        <f aca="false">IF(ISNUMBER($K250),$K250*$H250,"")</f>
        <v>101.91306122449</v>
      </c>
      <c r="M250" s="40" t="n">
        <f aca="false">IF(ISNUMBER($K250),$K250*Parâmetros!$B$9,"")</f>
        <v>56.6183673469388</v>
      </c>
      <c r="N250" s="40" t="n">
        <f aca="false">IF(ISNUMBER($K250),$K250*Parâmetros!$C$9,"")</f>
        <v>16.9855102040816</v>
      </c>
      <c r="O250" s="40" t="n">
        <f aca="false">IF(ISNUMBER($K250),IF(ISNUMBER(Parâmetros!$E$9),Parâmetros!$E$9,0),"")</f>
        <v>0</v>
      </c>
      <c r="P250" s="41" t="n">
        <f aca="false">IF(ISNUMBER($K250),$K250-$D250-IF(ISNUMBER($E250),$E250,0)-$L250-$M250-$N250-$O250,"")</f>
        <v>113.236734693878</v>
      </c>
      <c r="Q250" s="42" t="n">
        <f aca="false">IF(AND(ISNUMBER($K250),$K250&gt;0),$P250/$K250,"")</f>
        <v>0.2</v>
      </c>
      <c r="R250" s="43"/>
      <c r="S250" s="44" t="str">
        <f aca="false">IF(OR(NOT(ISNUMBER($R250)),$R250=0,NOT(ISNUMBER($K250))),"",$K250*(1-$R250))</f>
        <v/>
      </c>
      <c r="T250" s="45" t="str">
        <f aca="false">IF(ISNUMBER($S250),$S250*$H250,"")</f>
        <v/>
      </c>
      <c r="U250" s="45" t="str">
        <f aca="false">IF(ISNUMBER($S250),$S250*Parâmetros!$B$9,"")</f>
        <v/>
      </c>
      <c r="V250" s="45" t="str">
        <f aca="false">IF(ISNUMBER($S250),$S250*Parâmetros!$C$9,"")</f>
        <v/>
      </c>
      <c r="W250" s="44" t="str">
        <f aca="false">IF(ISNUMBER($S250),$S250-$D250-IF(ISNUMBER($E250),$E250,0)-$O250-$T250-$U250-$V250,"")</f>
        <v/>
      </c>
      <c r="X250" s="46" t="str">
        <f aca="false">IF(AND(ISNUMBER($S250),$S250&gt;0),$W250/$S250,"")</f>
        <v/>
      </c>
      <c r="Y250" s="47"/>
      <c r="Z250" s="19"/>
    </row>
    <row r="251" customFormat="false" ht="15.75" hidden="false" customHeight="true" outlineLevel="0" collapsed="false">
      <c r="A251" s="48" t="str">
        <f aca="false">IF(Produtos!$A251="","",Produtos!$A251)</f>
        <v>L4055-P</v>
      </c>
      <c r="B251" s="48" t="str">
        <f aca="false">IF(Produtos!$A251="","",Produtos!$B251)</f>
        <v>Lixeira de Parede c/Aro 40x19x55 25L</v>
      </c>
      <c r="C251" s="48" t="str">
        <f aca="false">IF(Produtos!$A251="","",Produtos!$C251)</f>
        <v>Lixeiras em inox</v>
      </c>
      <c r="D251" s="33" t="n">
        <f aca="false">IF(Produtos!$A251="","",IF(Produtos!$D251="","",Produtos!$D251))</f>
        <v>288.65</v>
      </c>
      <c r="E251" s="11" t="n">
        <v>0</v>
      </c>
      <c r="F251" s="34" t="n">
        <f aca="false">IF($A251="","",IF($C251="","⚠ categoria",IFERROR(INDEX(Parâmetros!$G$13:$G$22,MATCH($C251,Parâmetros!$A$13:$A$22,0)),"⚠ categoria")))</f>
        <v>0.18</v>
      </c>
      <c r="G251" s="35"/>
      <c r="H251" s="36" t="n">
        <f aca="false">IF($A251="","",IF(ISNUMBER($G251),$G251,IF(ISNUMBER($F251),$F251,"")))</f>
        <v>0.18</v>
      </c>
      <c r="I251" s="37" t="n">
        <f aca="false">IF(OR($A251="",NOT(ISNUMBER($D251)),NOT(ISNUMBER($H251))),"",IF((1-$H251-Parâmetros!$B$9-Parâmetros!$C$9-Parâmetros!$D$9)&lt;=0,"INVALIDO",($D251+IF(ISNUMBER($E251),$E251,0)+IF(ISNUMBER(Parâmetros!$E$9),Parâmetros!$E$9,0))/(1-$H251-Parâmetros!$B$9-Parâmetros!$C$9-Parâmetros!$D$9)))</f>
        <v>589.081632653061</v>
      </c>
      <c r="J251" s="38"/>
      <c r="K251" s="39" t="n">
        <f aca="false">IF(OR($A251="",NOT(ISNUMBER($D251)),NOT(ISNUMBER($H251))),"",IF(AND(ISNUMBER($J251),$J251&gt;0),$J251,IF(ISNUMBER($I251),$I251,"")))</f>
        <v>589.081632653061</v>
      </c>
      <c r="L251" s="40" t="n">
        <f aca="false">IF(ISNUMBER($K251),$K251*$H251,"")</f>
        <v>106.034693877551</v>
      </c>
      <c r="M251" s="40" t="n">
        <f aca="false">IF(ISNUMBER($K251),$K251*Parâmetros!$B$9,"")</f>
        <v>58.9081632653061</v>
      </c>
      <c r="N251" s="40" t="n">
        <f aca="false">IF(ISNUMBER($K251),$K251*Parâmetros!$C$9,"")</f>
        <v>17.6724489795918</v>
      </c>
      <c r="O251" s="40" t="n">
        <f aca="false">IF(ISNUMBER($K251),IF(ISNUMBER(Parâmetros!$E$9),Parâmetros!$E$9,0),"")</f>
        <v>0</v>
      </c>
      <c r="P251" s="41" t="n">
        <f aca="false">IF(ISNUMBER($K251),$K251-$D251-IF(ISNUMBER($E251),$E251,0)-$L251-$M251-$N251-$O251,"")</f>
        <v>117.816326530612</v>
      </c>
      <c r="Q251" s="42" t="n">
        <f aca="false">IF(AND(ISNUMBER($K251),$K251&gt;0),$P251/$K251,"")</f>
        <v>0.2</v>
      </c>
      <c r="R251" s="43"/>
      <c r="S251" s="44" t="str">
        <f aca="false">IF(OR(NOT(ISNUMBER($R251)),$R251=0,NOT(ISNUMBER($K251))),"",$K251*(1-$R251))</f>
        <v/>
      </c>
      <c r="T251" s="45" t="str">
        <f aca="false">IF(ISNUMBER($S251),$S251*$H251,"")</f>
        <v/>
      </c>
      <c r="U251" s="45" t="str">
        <f aca="false">IF(ISNUMBER($S251),$S251*Parâmetros!$B$9,"")</f>
        <v/>
      </c>
      <c r="V251" s="45" t="str">
        <f aca="false">IF(ISNUMBER($S251),$S251*Parâmetros!$C$9,"")</f>
        <v/>
      </c>
      <c r="W251" s="44" t="str">
        <f aca="false">IF(ISNUMBER($S251),$S251-$D251-IF(ISNUMBER($E251),$E251,0)-$O251-$T251-$U251-$V251,"")</f>
        <v/>
      </c>
      <c r="X251" s="46" t="str">
        <f aca="false">IF(AND(ISNUMBER($S251),$S251&gt;0),$W251/$S251,"")</f>
        <v/>
      </c>
      <c r="Y251" s="49"/>
      <c r="Z251" s="21"/>
    </row>
    <row r="252" customFormat="false" ht="15.75" hidden="false" customHeight="true" outlineLevel="0" collapsed="false">
      <c r="A252" s="32" t="str">
        <f aca="false">IF(Produtos!$A252="","",Produtos!$A252)</f>
        <v>L4060-P</v>
      </c>
      <c r="B252" s="32" t="str">
        <f aca="false">IF(Produtos!$A252="","",Produtos!$B252)</f>
        <v>Lixeira de Parede c/Aro 40x19x60 30L</v>
      </c>
      <c r="C252" s="32" t="str">
        <f aca="false">IF(Produtos!$A252="","",Produtos!$C252)</f>
        <v>Lixeiras em inox</v>
      </c>
      <c r="D252" s="33" t="n">
        <f aca="false">IF(Produtos!$A252="","",IF(Produtos!$D252="","",Produtos!$D252))</f>
        <v>297.96</v>
      </c>
      <c r="E252" s="11" t="n">
        <v>0</v>
      </c>
      <c r="F252" s="34" t="n">
        <f aca="false">IF($A252="","",IF($C252="","⚠ categoria",IFERROR(INDEX(Parâmetros!$G$13:$G$22,MATCH($C252,Parâmetros!$A$13:$A$22,0)),"⚠ categoria")))</f>
        <v>0.18</v>
      </c>
      <c r="G252" s="35"/>
      <c r="H252" s="36" t="n">
        <f aca="false">IF($A252="","",IF(ISNUMBER($G252),$G252,IF(ISNUMBER($F252),$F252,"")))</f>
        <v>0.18</v>
      </c>
      <c r="I252" s="37" t="n">
        <f aca="false">IF(OR($A252="",NOT(ISNUMBER($D252)),NOT(ISNUMBER($H252))),"",IF((1-$H252-Parâmetros!$B$9-Parâmetros!$C$9-Parâmetros!$D$9)&lt;=0,"INVALIDO",($D252+IF(ISNUMBER($E252),$E252,0)+IF(ISNUMBER(Parâmetros!$E$9),Parâmetros!$E$9,0))/(1-$H252-Parâmetros!$B$9-Parâmetros!$C$9-Parâmetros!$D$9)))</f>
        <v>608.081632653061</v>
      </c>
      <c r="J252" s="38"/>
      <c r="K252" s="39" t="n">
        <f aca="false">IF(OR($A252="",NOT(ISNUMBER($D252)),NOT(ISNUMBER($H252))),"",IF(AND(ISNUMBER($J252),$J252&gt;0),$J252,IF(ISNUMBER($I252),$I252,"")))</f>
        <v>608.081632653061</v>
      </c>
      <c r="L252" s="40" t="n">
        <f aca="false">IF(ISNUMBER($K252),$K252*$H252,"")</f>
        <v>109.454693877551</v>
      </c>
      <c r="M252" s="40" t="n">
        <f aca="false">IF(ISNUMBER($K252),$K252*Parâmetros!$B$9,"")</f>
        <v>60.8081632653061</v>
      </c>
      <c r="N252" s="40" t="n">
        <f aca="false">IF(ISNUMBER($K252),$K252*Parâmetros!$C$9,"")</f>
        <v>18.2424489795918</v>
      </c>
      <c r="O252" s="40" t="n">
        <f aca="false">IF(ISNUMBER($K252),IF(ISNUMBER(Parâmetros!$E$9),Parâmetros!$E$9,0),"")</f>
        <v>0</v>
      </c>
      <c r="P252" s="41" t="n">
        <f aca="false">IF(ISNUMBER($K252),$K252-$D252-IF(ISNUMBER($E252),$E252,0)-$L252-$M252-$N252-$O252,"")</f>
        <v>121.616326530612</v>
      </c>
      <c r="Q252" s="42" t="n">
        <f aca="false">IF(AND(ISNUMBER($K252),$K252&gt;0),$P252/$K252,"")</f>
        <v>0.2</v>
      </c>
      <c r="R252" s="43"/>
      <c r="S252" s="44" t="str">
        <f aca="false">IF(OR(NOT(ISNUMBER($R252)),$R252=0,NOT(ISNUMBER($K252))),"",$K252*(1-$R252))</f>
        <v/>
      </c>
      <c r="T252" s="45" t="str">
        <f aca="false">IF(ISNUMBER($S252),$S252*$H252,"")</f>
        <v/>
      </c>
      <c r="U252" s="45" t="str">
        <f aca="false">IF(ISNUMBER($S252),$S252*Parâmetros!$B$9,"")</f>
        <v/>
      </c>
      <c r="V252" s="45" t="str">
        <f aca="false">IF(ISNUMBER($S252),$S252*Parâmetros!$C$9,"")</f>
        <v/>
      </c>
      <c r="W252" s="44" t="str">
        <f aca="false">IF(ISNUMBER($S252),$S252-$D252-IF(ISNUMBER($E252),$E252,0)-$O252-$T252-$U252-$V252,"")</f>
        <v/>
      </c>
      <c r="X252" s="46" t="str">
        <f aca="false">IF(AND(ISNUMBER($S252),$S252&gt;0),$W252/$S252,"")</f>
        <v/>
      </c>
      <c r="Y252" s="47"/>
      <c r="Z252" s="19"/>
    </row>
    <row r="253" customFormat="false" ht="15.75" hidden="false" customHeight="true" outlineLevel="0" collapsed="false">
      <c r="A253" s="48" t="str">
        <f aca="false">IF(Produtos!$A253="","",Produtos!$A253)</f>
        <v>L4065-P</v>
      </c>
      <c r="B253" s="48" t="str">
        <f aca="false">IF(Produtos!$A253="","",Produtos!$B253)</f>
        <v>Lixeira de Parede c/Aro 40x19x65 35L</v>
      </c>
      <c r="C253" s="48" t="str">
        <f aca="false">IF(Produtos!$A253="","",Produtos!$C253)</f>
        <v>Lixeiras em inox</v>
      </c>
      <c r="D253" s="33" t="n">
        <f aca="false">IF(Produtos!$A253="","",IF(Produtos!$D253="","",Produtos!$D253))</f>
        <v>388.44</v>
      </c>
      <c r="E253" s="11" t="n">
        <v>0</v>
      </c>
      <c r="F253" s="34" t="n">
        <f aca="false">IF($A253="","",IF($C253="","⚠ categoria",IFERROR(INDEX(Parâmetros!$G$13:$G$22,MATCH($C253,Parâmetros!$A$13:$A$22,0)),"⚠ categoria")))</f>
        <v>0.18</v>
      </c>
      <c r="G253" s="35"/>
      <c r="H253" s="36" t="n">
        <f aca="false">IF($A253="","",IF(ISNUMBER($G253),$G253,IF(ISNUMBER($F253),$F253,"")))</f>
        <v>0.18</v>
      </c>
      <c r="I253" s="37" t="n">
        <f aca="false">IF(OR($A253="",NOT(ISNUMBER($D253)),NOT(ISNUMBER($H253))),"",IF((1-$H253-Parâmetros!$B$9-Parâmetros!$C$9-Parâmetros!$D$9)&lt;=0,"INVALIDO",($D253+IF(ISNUMBER($E253),$E253,0)+IF(ISNUMBER(Parâmetros!$E$9),Parâmetros!$E$9,0))/(1-$H253-Parâmetros!$B$9-Parâmetros!$C$9-Parâmetros!$D$9)))</f>
        <v>792.734693877551</v>
      </c>
      <c r="J253" s="38"/>
      <c r="K253" s="39" t="n">
        <f aca="false">IF(OR($A253="",NOT(ISNUMBER($D253)),NOT(ISNUMBER($H253))),"",IF(AND(ISNUMBER($J253),$J253&gt;0),$J253,IF(ISNUMBER($I253),$I253,"")))</f>
        <v>792.734693877551</v>
      </c>
      <c r="L253" s="40" t="n">
        <f aca="false">IF(ISNUMBER($K253),$K253*$H253,"")</f>
        <v>142.692244897959</v>
      </c>
      <c r="M253" s="40" t="n">
        <f aca="false">IF(ISNUMBER($K253),$K253*Parâmetros!$B$9,"")</f>
        <v>79.2734693877551</v>
      </c>
      <c r="N253" s="40" t="n">
        <f aca="false">IF(ISNUMBER($K253),$K253*Parâmetros!$C$9,"")</f>
        <v>23.7820408163265</v>
      </c>
      <c r="O253" s="40" t="n">
        <f aca="false">IF(ISNUMBER($K253),IF(ISNUMBER(Parâmetros!$E$9),Parâmetros!$E$9,0),"")</f>
        <v>0</v>
      </c>
      <c r="P253" s="41" t="n">
        <f aca="false">IF(ISNUMBER($K253),$K253-$D253-IF(ISNUMBER($E253),$E253,0)-$L253-$M253-$N253-$O253,"")</f>
        <v>158.54693877551</v>
      </c>
      <c r="Q253" s="42" t="n">
        <f aca="false">IF(AND(ISNUMBER($K253),$K253&gt;0),$P253/$K253,"")</f>
        <v>0.2</v>
      </c>
      <c r="R253" s="43"/>
      <c r="S253" s="44" t="str">
        <f aca="false">IF(OR(NOT(ISNUMBER($R253)),$R253=0,NOT(ISNUMBER($K253))),"",$K253*(1-$R253))</f>
        <v/>
      </c>
      <c r="T253" s="45" t="str">
        <f aca="false">IF(ISNUMBER($S253),$S253*$H253,"")</f>
        <v/>
      </c>
      <c r="U253" s="45" t="str">
        <f aca="false">IF(ISNUMBER($S253),$S253*Parâmetros!$B$9,"")</f>
        <v/>
      </c>
      <c r="V253" s="45" t="str">
        <f aca="false">IF(ISNUMBER($S253),$S253*Parâmetros!$C$9,"")</f>
        <v/>
      </c>
      <c r="W253" s="44" t="str">
        <f aca="false">IF(ISNUMBER($S253),$S253-$D253-IF(ISNUMBER($E253),$E253,0)-$O253-$T253-$U253-$V253,"")</f>
        <v/>
      </c>
      <c r="X253" s="46" t="str">
        <f aca="false">IF(AND(ISNUMBER($S253),$S253&gt;0),$W253/$S253,"")</f>
        <v/>
      </c>
      <c r="Y253" s="49"/>
      <c r="Z253" s="21"/>
    </row>
    <row r="254" customFormat="false" ht="15.75" hidden="false" customHeight="true" outlineLevel="0" collapsed="false">
      <c r="A254" s="32" t="str">
        <f aca="false">IF(Produtos!$A254="","",Produtos!$A254)</f>
        <v>L4070-P</v>
      </c>
      <c r="B254" s="32" t="str">
        <f aca="false">IF(Produtos!$A254="","",Produtos!$B254)</f>
        <v>Lixeira de Parede c/Aro 40x19x70 40L</v>
      </c>
      <c r="C254" s="32" t="str">
        <f aca="false">IF(Produtos!$A254="","",Produtos!$C254)</f>
        <v>Lixeiras em inox</v>
      </c>
      <c r="D254" s="33" t="n">
        <f aca="false">IF(Produtos!$A254="","",IF(Produtos!$D254="","",Produtos!$D254))</f>
        <v>394.64</v>
      </c>
      <c r="E254" s="11" t="n">
        <v>0</v>
      </c>
      <c r="F254" s="34" t="n">
        <f aca="false">IF($A254="","",IF($C254="","⚠ categoria",IFERROR(INDEX(Parâmetros!$G$13:$G$22,MATCH($C254,Parâmetros!$A$13:$A$22,0)),"⚠ categoria")))</f>
        <v>0.18</v>
      </c>
      <c r="G254" s="35"/>
      <c r="H254" s="36" t="n">
        <f aca="false">IF($A254="","",IF(ISNUMBER($G254),$G254,IF(ISNUMBER($F254),$F254,"")))</f>
        <v>0.18</v>
      </c>
      <c r="I254" s="37" t="n">
        <f aca="false">IF(OR($A254="",NOT(ISNUMBER($D254)),NOT(ISNUMBER($H254))),"",IF((1-$H254-Parâmetros!$B$9-Parâmetros!$C$9-Parâmetros!$D$9)&lt;=0,"INVALIDO",($D254+IF(ISNUMBER($E254),$E254,0)+IF(ISNUMBER(Parâmetros!$E$9),Parâmetros!$E$9,0))/(1-$H254-Parâmetros!$B$9-Parâmetros!$C$9-Parâmetros!$D$9)))</f>
        <v>805.387755102041</v>
      </c>
      <c r="J254" s="38"/>
      <c r="K254" s="39" t="n">
        <f aca="false">IF(OR($A254="",NOT(ISNUMBER($D254)),NOT(ISNUMBER($H254))),"",IF(AND(ISNUMBER($J254),$J254&gt;0),$J254,IF(ISNUMBER($I254),$I254,"")))</f>
        <v>805.387755102041</v>
      </c>
      <c r="L254" s="40" t="n">
        <f aca="false">IF(ISNUMBER($K254),$K254*$H254,"")</f>
        <v>144.969795918367</v>
      </c>
      <c r="M254" s="40" t="n">
        <f aca="false">IF(ISNUMBER($K254),$K254*Parâmetros!$B$9,"")</f>
        <v>80.5387755102041</v>
      </c>
      <c r="N254" s="40" t="n">
        <f aca="false">IF(ISNUMBER($K254),$K254*Parâmetros!$C$9,"")</f>
        <v>24.1616326530612</v>
      </c>
      <c r="O254" s="40" t="n">
        <f aca="false">IF(ISNUMBER($K254),IF(ISNUMBER(Parâmetros!$E$9),Parâmetros!$E$9,0),"")</f>
        <v>0</v>
      </c>
      <c r="P254" s="41" t="n">
        <f aca="false">IF(ISNUMBER($K254),$K254-$D254-IF(ISNUMBER($E254),$E254,0)-$L254-$M254-$N254-$O254,"")</f>
        <v>161.077551020408</v>
      </c>
      <c r="Q254" s="42" t="n">
        <f aca="false">IF(AND(ISNUMBER($K254),$K254&gt;0),$P254/$K254,"")</f>
        <v>0.2</v>
      </c>
      <c r="R254" s="43"/>
      <c r="S254" s="44" t="str">
        <f aca="false">IF(OR(NOT(ISNUMBER($R254)),$R254=0,NOT(ISNUMBER($K254))),"",$K254*(1-$R254))</f>
        <v/>
      </c>
      <c r="T254" s="45" t="str">
        <f aca="false">IF(ISNUMBER($S254),$S254*$H254,"")</f>
        <v/>
      </c>
      <c r="U254" s="45" t="str">
        <f aca="false">IF(ISNUMBER($S254),$S254*Parâmetros!$B$9,"")</f>
        <v/>
      </c>
      <c r="V254" s="45" t="str">
        <f aca="false">IF(ISNUMBER($S254),$S254*Parâmetros!$C$9,"")</f>
        <v/>
      </c>
      <c r="W254" s="44" t="str">
        <f aca="false">IF(ISNUMBER($S254),$S254-$D254-IF(ISNUMBER($E254),$E254,0)-$O254-$T254-$U254-$V254,"")</f>
        <v/>
      </c>
      <c r="X254" s="46" t="str">
        <f aca="false">IF(AND(ISNUMBER($S254),$S254&gt;0),$W254/$S254,"")</f>
        <v/>
      </c>
      <c r="Y254" s="47"/>
      <c r="Z254" s="19"/>
    </row>
    <row r="255" customFormat="false" ht="15.75" hidden="false" customHeight="true" outlineLevel="0" collapsed="false">
      <c r="A255" s="48" t="str">
        <f aca="false">IF(Produtos!$A255="","",Produtos!$A255)</f>
        <v>L4080-P</v>
      </c>
      <c r="B255" s="48" t="str">
        <f aca="false">IF(Produtos!$A255="","",Produtos!$B255)</f>
        <v>Lixeira de Parede c/Aro 40x19x80 50L</v>
      </c>
      <c r="C255" s="48" t="str">
        <f aca="false">IF(Produtos!$A255="","",Produtos!$C255)</f>
        <v>Lixeiras em inox</v>
      </c>
      <c r="D255" s="33" t="n">
        <f aca="false">IF(Produtos!$A255="","",IF(Produtos!$D255="","",Produtos!$D255))</f>
        <v>401</v>
      </c>
      <c r="E255" s="11" t="n">
        <v>0</v>
      </c>
      <c r="F255" s="34" t="n">
        <f aca="false">IF($A255="","",IF($C255="","⚠ categoria",IFERROR(INDEX(Parâmetros!$G$13:$G$22,MATCH($C255,Parâmetros!$A$13:$A$22,0)),"⚠ categoria")))</f>
        <v>0.18</v>
      </c>
      <c r="G255" s="35"/>
      <c r="H255" s="36" t="n">
        <f aca="false">IF($A255="","",IF(ISNUMBER($G255),$G255,IF(ISNUMBER($F255),$F255,"")))</f>
        <v>0.18</v>
      </c>
      <c r="I255" s="37" t="n">
        <f aca="false">IF(OR($A255="",NOT(ISNUMBER($D255)),NOT(ISNUMBER($H255))),"",IF((1-$H255-Parâmetros!$B$9-Parâmetros!$C$9-Parâmetros!$D$9)&lt;=0,"INVALIDO",($D255+IF(ISNUMBER($E255),$E255,0)+IF(ISNUMBER(Parâmetros!$E$9),Parâmetros!$E$9,0))/(1-$H255-Parâmetros!$B$9-Parâmetros!$C$9-Parâmetros!$D$9)))</f>
        <v>818.367346938775</v>
      </c>
      <c r="J255" s="38"/>
      <c r="K255" s="39" t="n">
        <f aca="false">IF(OR($A255="",NOT(ISNUMBER($D255)),NOT(ISNUMBER($H255))),"",IF(AND(ISNUMBER($J255),$J255&gt;0),$J255,IF(ISNUMBER($I255),$I255,"")))</f>
        <v>818.367346938775</v>
      </c>
      <c r="L255" s="40" t="n">
        <f aca="false">IF(ISNUMBER($K255),$K255*$H255,"")</f>
        <v>147.30612244898</v>
      </c>
      <c r="M255" s="40" t="n">
        <f aca="false">IF(ISNUMBER($K255),$K255*Parâmetros!$B$9,"")</f>
        <v>81.8367346938776</v>
      </c>
      <c r="N255" s="40" t="n">
        <f aca="false">IF(ISNUMBER($K255),$K255*Parâmetros!$C$9,"")</f>
        <v>24.5510204081633</v>
      </c>
      <c r="O255" s="40" t="n">
        <f aca="false">IF(ISNUMBER($K255),IF(ISNUMBER(Parâmetros!$E$9),Parâmetros!$E$9,0),"")</f>
        <v>0</v>
      </c>
      <c r="P255" s="41" t="n">
        <f aca="false">IF(ISNUMBER($K255),$K255-$D255-IF(ISNUMBER($E255),$E255,0)-$L255-$M255-$N255-$O255,"")</f>
        <v>163.673469387755</v>
      </c>
      <c r="Q255" s="42" t="n">
        <f aca="false">IF(AND(ISNUMBER($K255),$K255&gt;0),$P255/$K255,"")</f>
        <v>0.2</v>
      </c>
      <c r="R255" s="43"/>
      <c r="S255" s="44" t="str">
        <f aca="false">IF(OR(NOT(ISNUMBER($R255)),$R255=0,NOT(ISNUMBER($K255))),"",$K255*(1-$R255))</f>
        <v/>
      </c>
      <c r="T255" s="45" t="str">
        <f aca="false">IF(ISNUMBER($S255),$S255*$H255,"")</f>
        <v/>
      </c>
      <c r="U255" s="45" t="str">
        <f aca="false">IF(ISNUMBER($S255),$S255*Parâmetros!$B$9,"")</f>
        <v/>
      </c>
      <c r="V255" s="45" t="str">
        <f aca="false">IF(ISNUMBER($S255),$S255*Parâmetros!$C$9,"")</f>
        <v/>
      </c>
      <c r="W255" s="44" t="str">
        <f aca="false">IF(ISNUMBER($S255),$S255-$D255-IF(ISNUMBER($E255),$E255,0)-$O255-$T255-$U255-$V255,"")</f>
        <v/>
      </c>
      <c r="X255" s="46" t="str">
        <f aca="false">IF(AND(ISNUMBER($S255),$S255&gt;0),$W255/$S255,"")</f>
        <v/>
      </c>
      <c r="Y255" s="49"/>
      <c r="Z255" s="21"/>
    </row>
    <row r="256" customFormat="false" ht="15.75" hidden="false" customHeight="true" outlineLevel="0" collapsed="false">
      <c r="A256" s="32" t="str">
        <f aca="false">IF(Produtos!$A256="","",Produtos!$A256)</f>
        <v>L4045-PC</v>
      </c>
      <c r="B256" s="32" t="str">
        <f aca="false">IF(Produtos!$A256="","",Produtos!$B256)</f>
        <v>Lixeira de Parede c/Aro Colorido 40x19x45 20L</v>
      </c>
      <c r="C256" s="32" t="str">
        <f aca="false">IF(Produtos!$A256="","",Produtos!$C256)</f>
        <v>Lixeiras em inox</v>
      </c>
      <c r="D256" s="33" t="n">
        <f aca="false">IF(Produtos!$A256="","",IF(Produtos!$D256="","",Produtos!$D256))</f>
        <v>291.85</v>
      </c>
      <c r="E256" s="11" t="n">
        <v>0</v>
      </c>
      <c r="F256" s="34" t="n">
        <f aca="false">IF($A256="","",IF($C256="","⚠ categoria",IFERROR(INDEX(Parâmetros!$G$13:$G$22,MATCH($C256,Parâmetros!$A$13:$A$22,0)),"⚠ categoria")))</f>
        <v>0.18</v>
      </c>
      <c r="G256" s="35"/>
      <c r="H256" s="36" t="n">
        <f aca="false">IF($A256="","",IF(ISNUMBER($G256),$G256,IF(ISNUMBER($F256),$F256,"")))</f>
        <v>0.18</v>
      </c>
      <c r="I256" s="37" t="n">
        <f aca="false">IF(OR($A256="",NOT(ISNUMBER($D256)),NOT(ISNUMBER($H256))),"",IF((1-$H256-Parâmetros!$B$9-Parâmetros!$C$9-Parâmetros!$D$9)&lt;=0,"INVALIDO",($D256+IF(ISNUMBER($E256),$E256,0)+IF(ISNUMBER(Parâmetros!$E$9),Parâmetros!$E$9,0))/(1-$H256-Parâmetros!$B$9-Parâmetros!$C$9-Parâmetros!$D$9)))</f>
        <v>595.612244897959</v>
      </c>
      <c r="J256" s="38"/>
      <c r="K256" s="39" t="n">
        <f aca="false">IF(OR($A256="",NOT(ISNUMBER($D256)),NOT(ISNUMBER($H256))),"",IF(AND(ISNUMBER($J256),$J256&gt;0),$J256,IF(ISNUMBER($I256),$I256,"")))</f>
        <v>595.612244897959</v>
      </c>
      <c r="L256" s="40" t="n">
        <f aca="false">IF(ISNUMBER($K256),$K256*$H256,"")</f>
        <v>107.210204081633</v>
      </c>
      <c r="M256" s="40" t="n">
        <f aca="false">IF(ISNUMBER($K256),$K256*Parâmetros!$B$9,"")</f>
        <v>59.5612244897959</v>
      </c>
      <c r="N256" s="40" t="n">
        <f aca="false">IF(ISNUMBER($K256),$K256*Parâmetros!$C$9,"")</f>
        <v>17.8683673469388</v>
      </c>
      <c r="O256" s="40" t="n">
        <f aca="false">IF(ISNUMBER($K256),IF(ISNUMBER(Parâmetros!$E$9),Parâmetros!$E$9,0),"")</f>
        <v>0</v>
      </c>
      <c r="P256" s="41" t="n">
        <f aca="false">IF(ISNUMBER($K256),$K256-$D256-IF(ISNUMBER($E256),$E256,0)-$L256-$M256-$N256-$O256,"")</f>
        <v>119.122448979592</v>
      </c>
      <c r="Q256" s="42" t="n">
        <f aca="false">IF(AND(ISNUMBER($K256),$K256&gt;0),$P256/$K256,"")</f>
        <v>0.2</v>
      </c>
      <c r="R256" s="43"/>
      <c r="S256" s="44" t="str">
        <f aca="false">IF(OR(NOT(ISNUMBER($R256)),$R256=0,NOT(ISNUMBER($K256))),"",$K256*(1-$R256))</f>
        <v/>
      </c>
      <c r="T256" s="45" t="str">
        <f aca="false">IF(ISNUMBER($S256),$S256*$H256,"")</f>
        <v/>
      </c>
      <c r="U256" s="45" t="str">
        <f aca="false">IF(ISNUMBER($S256),$S256*Parâmetros!$B$9,"")</f>
        <v/>
      </c>
      <c r="V256" s="45" t="str">
        <f aca="false">IF(ISNUMBER($S256),$S256*Parâmetros!$C$9,"")</f>
        <v/>
      </c>
      <c r="W256" s="44" t="str">
        <f aca="false">IF(ISNUMBER($S256),$S256-$D256-IF(ISNUMBER($E256),$E256,0)-$O256-$T256-$U256-$V256,"")</f>
        <v/>
      </c>
      <c r="X256" s="46" t="str">
        <f aca="false">IF(AND(ISNUMBER($S256),$S256&gt;0),$W256/$S256,"")</f>
        <v/>
      </c>
      <c r="Y256" s="47"/>
      <c r="Z256" s="19"/>
    </row>
    <row r="257" customFormat="false" ht="15.75" hidden="false" customHeight="true" outlineLevel="0" collapsed="false">
      <c r="A257" s="48" t="str">
        <f aca="false">IF(Produtos!$A257="","",Produtos!$A257)</f>
        <v>L4055-PC</v>
      </c>
      <c r="B257" s="48" t="str">
        <f aca="false">IF(Produtos!$A257="","",Produtos!$B257)</f>
        <v>Lixeira de Parede c/Aro Colorido 40x19x55 25L</v>
      </c>
      <c r="C257" s="48" t="str">
        <f aca="false">IF(Produtos!$A257="","",Produtos!$C257)</f>
        <v>Lixeiras em inox</v>
      </c>
      <c r="D257" s="33" t="n">
        <f aca="false">IF(Produtos!$A257="","",IF(Produtos!$D257="","",Produtos!$D257))</f>
        <v>301.44</v>
      </c>
      <c r="E257" s="11" t="n">
        <v>0</v>
      </c>
      <c r="F257" s="34" t="n">
        <f aca="false">IF($A257="","",IF($C257="","⚠ categoria",IFERROR(INDEX(Parâmetros!$G$13:$G$22,MATCH($C257,Parâmetros!$A$13:$A$22,0)),"⚠ categoria")))</f>
        <v>0.18</v>
      </c>
      <c r="G257" s="35"/>
      <c r="H257" s="36" t="n">
        <f aca="false">IF($A257="","",IF(ISNUMBER($G257),$G257,IF(ISNUMBER($F257),$F257,"")))</f>
        <v>0.18</v>
      </c>
      <c r="I257" s="37" t="n">
        <f aca="false">IF(OR($A257="",NOT(ISNUMBER($D257)),NOT(ISNUMBER($H257))),"",IF((1-$H257-Parâmetros!$B$9-Parâmetros!$C$9-Parâmetros!$D$9)&lt;=0,"INVALIDO",($D257+IF(ISNUMBER($E257),$E257,0)+IF(ISNUMBER(Parâmetros!$E$9),Parâmetros!$E$9,0))/(1-$H257-Parâmetros!$B$9-Parâmetros!$C$9-Parâmetros!$D$9)))</f>
        <v>615.183673469388</v>
      </c>
      <c r="J257" s="38"/>
      <c r="K257" s="39" t="n">
        <f aca="false">IF(OR($A257="",NOT(ISNUMBER($D257)),NOT(ISNUMBER($H257))),"",IF(AND(ISNUMBER($J257),$J257&gt;0),$J257,IF(ISNUMBER($I257),$I257,"")))</f>
        <v>615.183673469388</v>
      </c>
      <c r="L257" s="40" t="n">
        <f aca="false">IF(ISNUMBER($K257),$K257*$H257,"")</f>
        <v>110.73306122449</v>
      </c>
      <c r="M257" s="40" t="n">
        <f aca="false">IF(ISNUMBER($K257),$K257*Parâmetros!$B$9,"")</f>
        <v>61.5183673469388</v>
      </c>
      <c r="N257" s="40" t="n">
        <f aca="false">IF(ISNUMBER($K257),$K257*Parâmetros!$C$9,"")</f>
        <v>18.4555102040816</v>
      </c>
      <c r="O257" s="40" t="n">
        <f aca="false">IF(ISNUMBER($K257),IF(ISNUMBER(Parâmetros!$E$9),Parâmetros!$E$9,0),"")</f>
        <v>0</v>
      </c>
      <c r="P257" s="41" t="n">
        <f aca="false">IF(ISNUMBER($K257),$K257-$D257-IF(ISNUMBER($E257),$E257,0)-$L257-$M257-$N257-$O257,"")</f>
        <v>123.036734693878</v>
      </c>
      <c r="Q257" s="42" t="n">
        <f aca="false">IF(AND(ISNUMBER($K257),$K257&gt;0),$P257/$K257,"")</f>
        <v>0.2</v>
      </c>
      <c r="R257" s="43"/>
      <c r="S257" s="44" t="str">
        <f aca="false">IF(OR(NOT(ISNUMBER($R257)),$R257=0,NOT(ISNUMBER($K257))),"",$K257*(1-$R257))</f>
        <v/>
      </c>
      <c r="T257" s="45" t="str">
        <f aca="false">IF(ISNUMBER($S257),$S257*$H257,"")</f>
        <v/>
      </c>
      <c r="U257" s="45" t="str">
        <f aca="false">IF(ISNUMBER($S257),$S257*Parâmetros!$B$9,"")</f>
        <v/>
      </c>
      <c r="V257" s="45" t="str">
        <f aca="false">IF(ISNUMBER($S257),$S257*Parâmetros!$C$9,"")</f>
        <v/>
      </c>
      <c r="W257" s="44" t="str">
        <f aca="false">IF(ISNUMBER($S257),$S257-$D257-IF(ISNUMBER($E257),$E257,0)-$O257-$T257-$U257-$V257,"")</f>
        <v/>
      </c>
      <c r="X257" s="46" t="str">
        <f aca="false">IF(AND(ISNUMBER($S257),$S257&gt;0),$W257/$S257,"")</f>
        <v/>
      </c>
      <c r="Y257" s="49"/>
      <c r="Z257" s="21"/>
    </row>
    <row r="258" customFormat="false" ht="15.75" hidden="false" customHeight="true" outlineLevel="0" collapsed="false">
      <c r="A258" s="32" t="str">
        <f aca="false">IF(Produtos!$A258="","",Produtos!$A258)</f>
        <v>L4060-PC</v>
      </c>
      <c r="B258" s="32" t="str">
        <f aca="false">IF(Produtos!$A258="","",Produtos!$B258)</f>
        <v>Lixeira de Parede c/Aro Colorido 40x19x60 30L</v>
      </c>
      <c r="C258" s="32" t="str">
        <f aca="false">IF(Produtos!$A258="","",Produtos!$C258)</f>
        <v>Lixeiras em inox</v>
      </c>
      <c r="D258" s="33" t="n">
        <f aca="false">IF(Produtos!$A258="","",IF(Produtos!$D258="","",Produtos!$D258))</f>
        <v>314.8</v>
      </c>
      <c r="E258" s="11" t="n">
        <v>0</v>
      </c>
      <c r="F258" s="34" t="n">
        <f aca="false">IF($A258="","",IF($C258="","⚠ categoria",IFERROR(INDEX(Parâmetros!$G$13:$G$22,MATCH($C258,Parâmetros!$A$13:$A$22,0)),"⚠ categoria")))</f>
        <v>0.18</v>
      </c>
      <c r="G258" s="35"/>
      <c r="H258" s="36" t="n">
        <f aca="false">IF($A258="","",IF(ISNUMBER($G258),$G258,IF(ISNUMBER($F258),$F258,"")))</f>
        <v>0.18</v>
      </c>
      <c r="I258" s="37" t="n">
        <f aca="false">IF(OR($A258="",NOT(ISNUMBER($D258)),NOT(ISNUMBER($H258))),"",IF((1-$H258-Parâmetros!$B$9-Parâmetros!$C$9-Parâmetros!$D$9)&lt;=0,"INVALIDO",($D258+IF(ISNUMBER($E258),$E258,0)+IF(ISNUMBER(Parâmetros!$E$9),Parâmetros!$E$9,0))/(1-$H258-Parâmetros!$B$9-Parâmetros!$C$9-Parâmetros!$D$9)))</f>
        <v>642.448979591837</v>
      </c>
      <c r="J258" s="38"/>
      <c r="K258" s="39" t="n">
        <f aca="false">IF(OR($A258="",NOT(ISNUMBER($D258)),NOT(ISNUMBER($H258))),"",IF(AND(ISNUMBER($J258),$J258&gt;0),$J258,IF(ISNUMBER($I258),$I258,"")))</f>
        <v>642.448979591837</v>
      </c>
      <c r="L258" s="40" t="n">
        <f aca="false">IF(ISNUMBER($K258),$K258*$H258,"")</f>
        <v>115.640816326531</v>
      </c>
      <c r="M258" s="40" t="n">
        <f aca="false">IF(ISNUMBER($K258),$K258*Parâmetros!$B$9,"")</f>
        <v>64.2448979591837</v>
      </c>
      <c r="N258" s="40" t="n">
        <f aca="false">IF(ISNUMBER($K258),$K258*Parâmetros!$C$9,"")</f>
        <v>19.2734693877551</v>
      </c>
      <c r="O258" s="40" t="n">
        <f aca="false">IF(ISNUMBER($K258),IF(ISNUMBER(Parâmetros!$E$9),Parâmetros!$E$9,0),"")</f>
        <v>0</v>
      </c>
      <c r="P258" s="41" t="n">
        <f aca="false">IF(ISNUMBER($K258),$K258-$D258-IF(ISNUMBER($E258),$E258,0)-$L258-$M258-$N258-$O258,"")</f>
        <v>128.489795918367</v>
      </c>
      <c r="Q258" s="42" t="n">
        <f aca="false">IF(AND(ISNUMBER($K258),$K258&gt;0),$P258/$K258,"")</f>
        <v>0.2</v>
      </c>
      <c r="R258" s="43"/>
      <c r="S258" s="44" t="str">
        <f aca="false">IF(OR(NOT(ISNUMBER($R258)),$R258=0,NOT(ISNUMBER($K258))),"",$K258*(1-$R258))</f>
        <v/>
      </c>
      <c r="T258" s="45" t="str">
        <f aca="false">IF(ISNUMBER($S258),$S258*$H258,"")</f>
        <v/>
      </c>
      <c r="U258" s="45" t="str">
        <f aca="false">IF(ISNUMBER($S258),$S258*Parâmetros!$B$9,"")</f>
        <v/>
      </c>
      <c r="V258" s="45" t="str">
        <f aca="false">IF(ISNUMBER($S258),$S258*Parâmetros!$C$9,"")</f>
        <v/>
      </c>
      <c r="W258" s="44" t="str">
        <f aca="false">IF(ISNUMBER($S258),$S258-$D258-IF(ISNUMBER($E258),$E258,0)-$O258-$T258-$U258-$V258,"")</f>
        <v/>
      </c>
      <c r="X258" s="46" t="str">
        <f aca="false">IF(AND(ISNUMBER($S258),$S258&gt;0),$W258/$S258,"")</f>
        <v/>
      </c>
      <c r="Y258" s="47"/>
      <c r="Z258" s="19"/>
    </row>
    <row r="259" customFormat="false" ht="15.75" hidden="false" customHeight="true" outlineLevel="0" collapsed="false">
      <c r="A259" s="48" t="str">
        <f aca="false">IF(Produtos!$A259="","",Produtos!$A259)</f>
        <v>L4065-PC</v>
      </c>
      <c r="B259" s="48" t="str">
        <f aca="false">IF(Produtos!$A259="","",Produtos!$B259)</f>
        <v>Lixeira de Parede c/Aro Colorido 40x19x65 35L</v>
      </c>
      <c r="C259" s="48" t="str">
        <f aca="false">IF(Produtos!$A259="","",Produtos!$C259)</f>
        <v>Lixeiras em inox</v>
      </c>
      <c r="D259" s="33" t="n">
        <f aca="false">IF(Produtos!$A259="","",IF(Produtos!$D259="","",Produtos!$D259))</f>
        <v>405.46</v>
      </c>
      <c r="E259" s="11" t="n">
        <v>0</v>
      </c>
      <c r="F259" s="34" t="n">
        <f aca="false">IF($A259="","",IF($C259="","⚠ categoria",IFERROR(INDEX(Parâmetros!$G$13:$G$22,MATCH($C259,Parâmetros!$A$13:$A$22,0)),"⚠ categoria")))</f>
        <v>0.18</v>
      </c>
      <c r="G259" s="35"/>
      <c r="H259" s="36" t="n">
        <f aca="false">IF($A259="","",IF(ISNUMBER($G259),$G259,IF(ISNUMBER($F259),$F259,"")))</f>
        <v>0.18</v>
      </c>
      <c r="I259" s="37" t="n">
        <f aca="false">IF(OR($A259="",NOT(ISNUMBER($D259)),NOT(ISNUMBER($H259))),"",IF((1-$H259-Parâmetros!$B$9-Parâmetros!$C$9-Parâmetros!$D$9)&lt;=0,"INVALIDO",($D259+IF(ISNUMBER($E259),$E259,0)+IF(ISNUMBER(Parâmetros!$E$9),Parâmetros!$E$9,0))/(1-$H259-Parâmetros!$B$9-Parâmetros!$C$9-Parâmetros!$D$9)))</f>
        <v>827.469387755102</v>
      </c>
      <c r="J259" s="38"/>
      <c r="K259" s="39" t="n">
        <f aca="false">IF(OR($A259="",NOT(ISNUMBER($D259)),NOT(ISNUMBER($H259))),"",IF(AND(ISNUMBER($J259),$J259&gt;0),$J259,IF(ISNUMBER($I259),$I259,"")))</f>
        <v>827.469387755102</v>
      </c>
      <c r="L259" s="40" t="n">
        <f aca="false">IF(ISNUMBER($K259),$K259*$H259,"")</f>
        <v>148.944489795918</v>
      </c>
      <c r="M259" s="40" t="n">
        <f aca="false">IF(ISNUMBER($K259),$K259*Parâmetros!$B$9,"")</f>
        <v>82.7469387755102</v>
      </c>
      <c r="N259" s="40" t="n">
        <f aca="false">IF(ISNUMBER($K259),$K259*Parâmetros!$C$9,"")</f>
        <v>24.8240816326531</v>
      </c>
      <c r="O259" s="40" t="n">
        <f aca="false">IF(ISNUMBER($K259),IF(ISNUMBER(Parâmetros!$E$9),Parâmetros!$E$9,0),"")</f>
        <v>0</v>
      </c>
      <c r="P259" s="41" t="n">
        <f aca="false">IF(ISNUMBER($K259),$K259-$D259-IF(ISNUMBER($E259),$E259,0)-$L259-$M259-$N259-$O259,"")</f>
        <v>165.49387755102</v>
      </c>
      <c r="Q259" s="42" t="n">
        <f aca="false">IF(AND(ISNUMBER($K259),$K259&gt;0),$P259/$K259,"")</f>
        <v>0.2</v>
      </c>
      <c r="R259" s="43"/>
      <c r="S259" s="44" t="str">
        <f aca="false">IF(OR(NOT(ISNUMBER($R259)),$R259=0,NOT(ISNUMBER($K259))),"",$K259*(1-$R259))</f>
        <v/>
      </c>
      <c r="T259" s="45" t="str">
        <f aca="false">IF(ISNUMBER($S259),$S259*$H259,"")</f>
        <v/>
      </c>
      <c r="U259" s="45" t="str">
        <f aca="false">IF(ISNUMBER($S259),$S259*Parâmetros!$B$9,"")</f>
        <v/>
      </c>
      <c r="V259" s="45" t="str">
        <f aca="false">IF(ISNUMBER($S259),$S259*Parâmetros!$C$9,"")</f>
        <v/>
      </c>
      <c r="W259" s="44" t="str">
        <f aca="false">IF(ISNUMBER($S259),$S259-$D259-IF(ISNUMBER($E259),$E259,0)-$O259-$T259-$U259-$V259,"")</f>
        <v/>
      </c>
      <c r="X259" s="46" t="str">
        <f aca="false">IF(AND(ISNUMBER($S259),$S259&gt;0),$W259/$S259,"")</f>
        <v/>
      </c>
      <c r="Y259" s="49"/>
      <c r="Z259" s="21"/>
    </row>
    <row r="260" customFormat="false" ht="15.75" hidden="false" customHeight="true" outlineLevel="0" collapsed="false">
      <c r="A260" s="32" t="str">
        <f aca="false">IF(Produtos!$A260="","",Produtos!$A260)</f>
        <v>L4070-PC</v>
      </c>
      <c r="B260" s="32" t="str">
        <f aca="false">IF(Produtos!$A260="","",Produtos!$B260)</f>
        <v>Lixeira de Parede c/Aro Colorido 40x19x70 40L</v>
      </c>
      <c r="C260" s="32" t="str">
        <f aca="false">IF(Produtos!$A260="","",Produtos!$C260)</f>
        <v>Lixeiras em inox</v>
      </c>
      <c r="D260" s="33" t="n">
        <f aca="false">IF(Produtos!$A260="","",IF(Produtos!$D260="","",Produtos!$D260))</f>
        <v>428.69</v>
      </c>
      <c r="E260" s="11" t="n">
        <v>0</v>
      </c>
      <c r="F260" s="34" t="n">
        <f aca="false">IF($A260="","",IF($C260="","⚠ categoria",IFERROR(INDEX(Parâmetros!$G$13:$G$22,MATCH($C260,Parâmetros!$A$13:$A$22,0)),"⚠ categoria")))</f>
        <v>0.18</v>
      </c>
      <c r="G260" s="35"/>
      <c r="H260" s="36" t="n">
        <f aca="false">IF($A260="","",IF(ISNUMBER($G260),$G260,IF(ISNUMBER($F260),$F260,"")))</f>
        <v>0.18</v>
      </c>
      <c r="I260" s="37" t="n">
        <f aca="false">IF(OR($A260="",NOT(ISNUMBER($D260)),NOT(ISNUMBER($H260))),"",IF((1-$H260-Parâmetros!$B$9-Parâmetros!$C$9-Parâmetros!$D$9)&lt;=0,"INVALIDO",($D260+IF(ISNUMBER($E260),$E260,0)+IF(ISNUMBER(Parâmetros!$E$9),Parâmetros!$E$9,0))/(1-$H260-Parâmetros!$B$9-Parâmetros!$C$9-Parâmetros!$D$9)))</f>
        <v>874.877551020408</v>
      </c>
      <c r="J260" s="38"/>
      <c r="K260" s="39" t="n">
        <f aca="false">IF(OR($A260="",NOT(ISNUMBER($D260)),NOT(ISNUMBER($H260))),"",IF(AND(ISNUMBER($J260),$J260&gt;0),$J260,IF(ISNUMBER($I260),$I260,"")))</f>
        <v>874.877551020408</v>
      </c>
      <c r="L260" s="40" t="n">
        <f aca="false">IF(ISNUMBER($K260),$K260*$H260,"")</f>
        <v>157.477959183673</v>
      </c>
      <c r="M260" s="40" t="n">
        <f aca="false">IF(ISNUMBER($K260),$K260*Parâmetros!$B$9,"")</f>
        <v>87.4877551020408</v>
      </c>
      <c r="N260" s="40" t="n">
        <f aca="false">IF(ISNUMBER($K260),$K260*Parâmetros!$C$9,"")</f>
        <v>26.2463265306122</v>
      </c>
      <c r="O260" s="40" t="n">
        <f aca="false">IF(ISNUMBER($K260),IF(ISNUMBER(Parâmetros!$E$9),Parâmetros!$E$9,0),"")</f>
        <v>0</v>
      </c>
      <c r="P260" s="41" t="n">
        <f aca="false">IF(ISNUMBER($K260),$K260-$D260-IF(ISNUMBER($E260),$E260,0)-$L260-$M260-$N260-$O260,"")</f>
        <v>174.975510204082</v>
      </c>
      <c r="Q260" s="42" t="n">
        <f aca="false">IF(AND(ISNUMBER($K260),$K260&gt;0),$P260/$K260,"")</f>
        <v>0.2</v>
      </c>
      <c r="R260" s="43"/>
      <c r="S260" s="44" t="str">
        <f aca="false">IF(OR(NOT(ISNUMBER($R260)),$R260=0,NOT(ISNUMBER($K260))),"",$K260*(1-$R260))</f>
        <v/>
      </c>
      <c r="T260" s="45" t="str">
        <f aca="false">IF(ISNUMBER($S260),$S260*$H260,"")</f>
        <v/>
      </c>
      <c r="U260" s="45" t="str">
        <f aca="false">IF(ISNUMBER($S260),$S260*Parâmetros!$B$9,"")</f>
        <v/>
      </c>
      <c r="V260" s="45" t="str">
        <f aca="false">IF(ISNUMBER($S260),$S260*Parâmetros!$C$9,"")</f>
        <v/>
      </c>
      <c r="W260" s="44" t="str">
        <f aca="false">IF(ISNUMBER($S260),$S260-$D260-IF(ISNUMBER($E260),$E260,0)-$O260-$T260-$U260-$V260,"")</f>
        <v/>
      </c>
      <c r="X260" s="46" t="str">
        <f aca="false">IF(AND(ISNUMBER($S260),$S260&gt;0),$W260/$S260,"")</f>
        <v/>
      </c>
      <c r="Y260" s="47"/>
      <c r="Z260" s="19"/>
    </row>
    <row r="261" customFormat="false" ht="15.75" hidden="false" customHeight="true" outlineLevel="0" collapsed="false">
      <c r="A261" s="48" t="str">
        <f aca="false">IF(Produtos!$A261="","",Produtos!$A261)</f>
        <v>L4080-PC</v>
      </c>
      <c r="B261" s="48" t="str">
        <f aca="false">IF(Produtos!$A261="","",Produtos!$B261)</f>
        <v>Lixeira de Parede c/Aro Colorido 40x19x80 50L</v>
      </c>
      <c r="C261" s="48" t="str">
        <f aca="false">IF(Produtos!$A261="","",Produtos!$C261)</f>
        <v>Lixeiras em inox</v>
      </c>
      <c r="D261" s="33" t="n">
        <f aca="false">IF(Produtos!$A261="","",IF(Produtos!$D261="","",Produtos!$D261))</f>
        <v>418.39</v>
      </c>
      <c r="E261" s="11" t="n">
        <v>0</v>
      </c>
      <c r="F261" s="34" t="n">
        <f aca="false">IF($A261="","",IF($C261="","⚠ categoria",IFERROR(INDEX(Parâmetros!$G$13:$G$22,MATCH($C261,Parâmetros!$A$13:$A$22,0)),"⚠ categoria")))</f>
        <v>0.18</v>
      </c>
      <c r="G261" s="35"/>
      <c r="H261" s="36" t="n">
        <f aca="false">IF($A261="","",IF(ISNUMBER($G261),$G261,IF(ISNUMBER($F261),$F261,"")))</f>
        <v>0.18</v>
      </c>
      <c r="I261" s="37" t="n">
        <f aca="false">IF(OR($A261="",NOT(ISNUMBER($D261)),NOT(ISNUMBER($H261))),"",IF((1-$H261-Parâmetros!$B$9-Parâmetros!$C$9-Parâmetros!$D$9)&lt;=0,"INVALIDO",($D261+IF(ISNUMBER($E261),$E261,0)+IF(ISNUMBER(Parâmetros!$E$9),Parâmetros!$E$9,0))/(1-$H261-Parâmetros!$B$9-Parâmetros!$C$9-Parâmetros!$D$9)))</f>
        <v>853.857142857143</v>
      </c>
      <c r="J261" s="38"/>
      <c r="K261" s="39" t="n">
        <f aca="false">IF(OR($A261="",NOT(ISNUMBER($D261)),NOT(ISNUMBER($H261))),"",IF(AND(ISNUMBER($J261),$J261&gt;0),$J261,IF(ISNUMBER($I261),$I261,"")))</f>
        <v>853.857142857143</v>
      </c>
      <c r="L261" s="40" t="n">
        <f aca="false">IF(ISNUMBER($K261),$K261*$H261,"")</f>
        <v>153.694285714286</v>
      </c>
      <c r="M261" s="40" t="n">
        <f aca="false">IF(ISNUMBER($K261),$K261*Parâmetros!$B$9,"")</f>
        <v>85.3857142857143</v>
      </c>
      <c r="N261" s="40" t="n">
        <f aca="false">IF(ISNUMBER($K261),$K261*Parâmetros!$C$9,"")</f>
        <v>25.6157142857143</v>
      </c>
      <c r="O261" s="40" t="n">
        <f aca="false">IF(ISNUMBER($K261),IF(ISNUMBER(Parâmetros!$E$9),Parâmetros!$E$9,0),"")</f>
        <v>0</v>
      </c>
      <c r="P261" s="41" t="n">
        <f aca="false">IF(ISNUMBER($K261),$K261-$D261-IF(ISNUMBER($E261),$E261,0)-$L261-$M261-$N261-$O261,"")</f>
        <v>170.771428571429</v>
      </c>
      <c r="Q261" s="42" t="n">
        <f aca="false">IF(AND(ISNUMBER($K261),$K261&gt;0),$P261/$K261,"")</f>
        <v>0.2</v>
      </c>
      <c r="R261" s="43"/>
      <c r="S261" s="44" t="str">
        <f aca="false">IF(OR(NOT(ISNUMBER($R261)),$R261=0,NOT(ISNUMBER($K261))),"",$K261*(1-$R261))</f>
        <v/>
      </c>
      <c r="T261" s="45" t="str">
        <f aca="false">IF(ISNUMBER($S261),$S261*$H261,"")</f>
        <v/>
      </c>
      <c r="U261" s="45" t="str">
        <f aca="false">IF(ISNUMBER($S261),$S261*Parâmetros!$B$9,"")</f>
        <v/>
      </c>
      <c r="V261" s="45" t="str">
        <f aca="false">IF(ISNUMBER($S261),$S261*Parâmetros!$C$9,"")</f>
        <v/>
      </c>
      <c r="W261" s="44" t="str">
        <f aca="false">IF(ISNUMBER($S261),$S261-$D261-IF(ISNUMBER($E261),$E261,0)-$O261-$T261-$U261-$V261,"")</f>
        <v/>
      </c>
      <c r="X261" s="46" t="str">
        <f aca="false">IF(AND(ISNUMBER($S261),$S261&gt;0),$W261/$S261,"")</f>
        <v/>
      </c>
      <c r="Y261" s="49"/>
      <c r="Z261" s="21"/>
    </row>
    <row r="262" customFormat="false" ht="15.75" hidden="false" customHeight="true" outlineLevel="0" collapsed="false">
      <c r="A262" s="32" t="str">
        <f aca="false">IF(Produtos!$A262="","",Produtos!$A262)</f>
        <v>LM3040-2D</v>
      </c>
      <c r="B262" s="32" t="str">
        <f aca="false">IF(Produtos!$A262="","",Produtos!$B262)</f>
        <v>Lixeira Aço Inox 30x40 c/02 Divisões 30L</v>
      </c>
      <c r="C262" s="32" t="str">
        <f aca="false">IF(Produtos!$A262="","",Produtos!$C262)</f>
        <v>Lixeiras de coleta seletiva</v>
      </c>
      <c r="D262" s="33" t="n">
        <f aca="false">IF(Produtos!$A262="","",IF(Produtos!$D262="","",Produtos!$D262))</f>
        <v>318.15</v>
      </c>
      <c r="E262" s="11" t="n">
        <v>0</v>
      </c>
      <c r="F262" s="34" t="n">
        <f aca="false">IF($A262="","",IF($C262="","⚠ categoria",IFERROR(INDEX(Parâmetros!$G$13:$G$22,MATCH($C262,Parâmetros!$A$13:$A$22,0)),"⚠ categoria")))</f>
        <v>0.18</v>
      </c>
      <c r="G262" s="35"/>
      <c r="H262" s="36" t="n">
        <f aca="false">IF($A262="","",IF(ISNUMBER($G262),$G262,IF(ISNUMBER($F262),$F262,"")))</f>
        <v>0.18</v>
      </c>
      <c r="I262" s="37" t="n">
        <f aca="false">IF(OR($A262="",NOT(ISNUMBER($D262)),NOT(ISNUMBER($H262))),"",IF((1-$H262-Parâmetros!$B$9-Parâmetros!$C$9-Parâmetros!$D$9)&lt;=0,"INVALIDO",($D262+IF(ISNUMBER($E262),$E262,0)+IF(ISNUMBER(Parâmetros!$E$9),Parâmetros!$E$9,0))/(1-$H262-Parâmetros!$B$9-Parâmetros!$C$9-Parâmetros!$D$9)))</f>
        <v>649.285714285714</v>
      </c>
      <c r="J262" s="38"/>
      <c r="K262" s="39" t="n">
        <f aca="false">IF(OR($A262="",NOT(ISNUMBER($D262)),NOT(ISNUMBER($H262))),"",IF(AND(ISNUMBER($J262),$J262&gt;0),$J262,IF(ISNUMBER($I262),$I262,"")))</f>
        <v>649.285714285714</v>
      </c>
      <c r="L262" s="40" t="n">
        <f aca="false">IF(ISNUMBER($K262),$K262*$H262,"")</f>
        <v>116.871428571429</v>
      </c>
      <c r="M262" s="40" t="n">
        <f aca="false">IF(ISNUMBER($K262),$K262*Parâmetros!$B$9,"")</f>
        <v>64.9285714285714</v>
      </c>
      <c r="N262" s="40" t="n">
        <f aca="false">IF(ISNUMBER($K262),$K262*Parâmetros!$C$9,"")</f>
        <v>19.4785714285714</v>
      </c>
      <c r="O262" s="40" t="n">
        <f aca="false">IF(ISNUMBER($K262),IF(ISNUMBER(Parâmetros!$E$9),Parâmetros!$E$9,0),"")</f>
        <v>0</v>
      </c>
      <c r="P262" s="41" t="n">
        <f aca="false">IF(ISNUMBER($K262),$K262-$D262-IF(ISNUMBER($E262),$E262,0)-$L262-$M262-$N262-$O262,"")</f>
        <v>129.857142857143</v>
      </c>
      <c r="Q262" s="42" t="n">
        <f aca="false">IF(AND(ISNUMBER($K262),$K262&gt;0),$P262/$K262,"")</f>
        <v>0.2</v>
      </c>
      <c r="R262" s="43"/>
      <c r="S262" s="44" t="str">
        <f aca="false">IF(OR(NOT(ISNUMBER($R262)),$R262=0,NOT(ISNUMBER($K262))),"",$K262*(1-$R262))</f>
        <v/>
      </c>
      <c r="T262" s="45" t="str">
        <f aca="false">IF(ISNUMBER($S262),$S262*$H262,"")</f>
        <v/>
      </c>
      <c r="U262" s="45" t="str">
        <f aca="false">IF(ISNUMBER($S262),$S262*Parâmetros!$B$9,"")</f>
        <v/>
      </c>
      <c r="V262" s="45" t="str">
        <f aca="false">IF(ISNUMBER($S262),$S262*Parâmetros!$C$9,"")</f>
        <v/>
      </c>
      <c r="W262" s="44" t="str">
        <f aca="false">IF(ISNUMBER($S262),$S262-$D262-IF(ISNUMBER($E262),$E262,0)-$O262-$T262-$U262-$V262,"")</f>
        <v/>
      </c>
      <c r="X262" s="46" t="str">
        <f aca="false">IF(AND(ISNUMBER($S262),$S262&gt;0),$W262/$S262,"")</f>
        <v/>
      </c>
      <c r="Y262" s="47"/>
      <c r="Z262" s="19"/>
    </row>
    <row r="263" customFormat="false" ht="15.75" hidden="false" customHeight="true" outlineLevel="0" collapsed="false">
      <c r="A263" s="48" t="str">
        <f aca="false">IF(Produtos!$A263="","",Produtos!$A263)</f>
        <v>LM3040-3D</v>
      </c>
      <c r="B263" s="48" t="str">
        <f aca="false">IF(Produtos!$A263="","",Produtos!$B263)</f>
        <v>Lixeira Aço Inox 30x40 c/03 Divisões 30L</v>
      </c>
      <c r="C263" s="48" t="str">
        <f aca="false">IF(Produtos!$A263="","",Produtos!$C263)</f>
        <v>Lixeiras de coleta seletiva</v>
      </c>
      <c r="D263" s="33" t="n">
        <f aca="false">IF(Produtos!$A263="","",IF(Produtos!$D263="","",Produtos!$D263))</f>
        <v>324.51</v>
      </c>
      <c r="E263" s="11" t="n">
        <v>0</v>
      </c>
      <c r="F263" s="34" t="n">
        <f aca="false">IF($A263="","",IF($C263="","⚠ categoria",IFERROR(INDEX(Parâmetros!$G$13:$G$22,MATCH($C263,Parâmetros!$A$13:$A$22,0)),"⚠ categoria")))</f>
        <v>0.18</v>
      </c>
      <c r="G263" s="35"/>
      <c r="H263" s="36" t="n">
        <f aca="false">IF($A263="","",IF(ISNUMBER($G263),$G263,IF(ISNUMBER($F263),$F263,"")))</f>
        <v>0.18</v>
      </c>
      <c r="I263" s="37" t="n">
        <f aca="false">IF(OR($A263="",NOT(ISNUMBER($D263)),NOT(ISNUMBER($H263))),"",IF((1-$H263-Parâmetros!$B$9-Parâmetros!$C$9-Parâmetros!$D$9)&lt;=0,"INVALIDO",($D263+IF(ISNUMBER($E263),$E263,0)+IF(ISNUMBER(Parâmetros!$E$9),Parâmetros!$E$9,0))/(1-$H263-Parâmetros!$B$9-Parâmetros!$C$9-Parâmetros!$D$9)))</f>
        <v>662.265306122449</v>
      </c>
      <c r="J263" s="38"/>
      <c r="K263" s="39" t="n">
        <f aca="false">IF(OR($A263="",NOT(ISNUMBER($D263)),NOT(ISNUMBER($H263))),"",IF(AND(ISNUMBER($J263),$J263&gt;0),$J263,IF(ISNUMBER($I263),$I263,"")))</f>
        <v>662.265306122449</v>
      </c>
      <c r="L263" s="40" t="n">
        <f aca="false">IF(ISNUMBER($K263),$K263*$H263,"")</f>
        <v>119.207755102041</v>
      </c>
      <c r="M263" s="40" t="n">
        <f aca="false">IF(ISNUMBER($K263),$K263*Parâmetros!$B$9,"")</f>
        <v>66.2265306122449</v>
      </c>
      <c r="N263" s="40" t="n">
        <f aca="false">IF(ISNUMBER($K263),$K263*Parâmetros!$C$9,"")</f>
        <v>19.8679591836735</v>
      </c>
      <c r="O263" s="40" t="n">
        <f aca="false">IF(ISNUMBER($K263),IF(ISNUMBER(Parâmetros!$E$9),Parâmetros!$E$9,0),"")</f>
        <v>0</v>
      </c>
      <c r="P263" s="41" t="n">
        <f aca="false">IF(ISNUMBER($K263),$K263-$D263-IF(ISNUMBER($E263),$E263,0)-$L263-$M263-$N263-$O263,"")</f>
        <v>132.45306122449</v>
      </c>
      <c r="Q263" s="42" t="n">
        <f aca="false">IF(AND(ISNUMBER($K263),$K263&gt;0),$P263/$K263,"")</f>
        <v>0.2</v>
      </c>
      <c r="R263" s="43"/>
      <c r="S263" s="44" t="str">
        <f aca="false">IF(OR(NOT(ISNUMBER($R263)),$R263=0,NOT(ISNUMBER($K263))),"",$K263*(1-$R263))</f>
        <v/>
      </c>
      <c r="T263" s="45" t="str">
        <f aca="false">IF(ISNUMBER($S263),$S263*$H263,"")</f>
        <v/>
      </c>
      <c r="U263" s="45" t="str">
        <f aca="false">IF(ISNUMBER($S263),$S263*Parâmetros!$B$9,"")</f>
        <v/>
      </c>
      <c r="V263" s="45" t="str">
        <f aca="false">IF(ISNUMBER($S263),$S263*Parâmetros!$C$9,"")</f>
        <v/>
      </c>
      <c r="W263" s="44" t="str">
        <f aca="false">IF(ISNUMBER($S263),$S263-$D263-IF(ISNUMBER($E263),$E263,0)-$O263-$T263-$U263-$V263,"")</f>
        <v/>
      </c>
      <c r="X263" s="46" t="str">
        <f aca="false">IF(AND(ISNUMBER($S263),$S263&gt;0),$W263/$S263,"")</f>
        <v/>
      </c>
      <c r="Y263" s="49"/>
      <c r="Z263" s="21"/>
    </row>
    <row r="264" customFormat="false" ht="15.75" hidden="false" customHeight="true" outlineLevel="0" collapsed="false">
      <c r="A264" s="32" t="str">
        <f aca="false">IF(Produtos!$A264="","",Produtos!$A264)</f>
        <v>LM4050-4D</v>
      </c>
      <c r="B264" s="32" t="str">
        <f aca="false">IF(Produtos!$A264="","",Produtos!$B264)</f>
        <v>Lixeira Aço Inox 40x50 c/04 Divisões 50L</v>
      </c>
      <c r="C264" s="32" t="str">
        <f aca="false">IF(Produtos!$A264="","",Produtos!$C264)</f>
        <v>Lixeiras de coleta seletiva</v>
      </c>
      <c r="D264" s="33" t="n">
        <f aca="false">IF(Produtos!$A264="","",IF(Produtos!$D264="","",Produtos!$D264))</f>
        <v>574.44</v>
      </c>
      <c r="E264" s="11" t="n">
        <v>0</v>
      </c>
      <c r="F264" s="34" t="n">
        <f aca="false">IF($A264="","",IF($C264="","⚠ categoria",IFERROR(INDEX(Parâmetros!$G$13:$G$22,MATCH($C264,Parâmetros!$A$13:$A$22,0)),"⚠ categoria")))</f>
        <v>0.18</v>
      </c>
      <c r="G264" s="35"/>
      <c r="H264" s="36" t="n">
        <f aca="false">IF($A264="","",IF(ISNUMBER($G264),$G264,IF(ISNUMBER($F264),$F264,"")))</f>
        <v>0.18</v>
      </c>
      <c r="I264" s="37" t="n">
        <f aca="false">IF(OR($A264="",NOT(ISNUMBER($D264)),NOT(ISNUMBER($H264))),"",IF((1-$H264-Parâmetros!$B$9-Parâmetros!$C$9-Parâmetros!$D$9)&lt;=0,"INVALIDO",($D264+IF(ISNUMBER($E264),$E264,0)+IF(ISNUMBER(Parâmetros!$E$9),Parâmetros!$E$9,0))/(1-$H264-Parâmetros!$B$9-Parâmetros!$C$9-Parâmetros!$D$9)))</f>
        <v>1172.32653061224</v>
      </c>
      <c r="J264" s="38"/>
      <c r="K264" s="39" t="n">
        <f aca="false">IF(OR($A264="",NOT(ISNUMBER($D264)),NOT(ISNUMBER($H264))),"",IF(AND(ISNUMBER($J264),$J264&gt;0),$J264,IF(ISNUMBER($I264),$I264,"")))</f>
        <v>1172.32653061224</v>
      </c>
      <c r="L264" s="40" t="n">
        <f aca="false">IF(ISNUMBER($K264),$K264*$H264,"")</f>
        <v>211.018775510204</v>
      </c>
      <c r="M264" s="40" t="n">
        <f aca="false">IF(ISNUMBER($K264),$K264*Parâmetros!$B$9,"")</f>
        <v>117.232653061224</v>
      </c>
      <c r="N264" s="40" t="n">
        <f aca="false">IF(ISNUMBER($K264),$K264*Parâmetros!$C$9,"")</f>
        <v>35.1697959183673</v>
      </c>
      <c r="O264" s="40" t="n">
        <f aca="false">IF(ISNUMBER($K264),IF(ISNUMBER(Parâmetros!$E$9),Parâmetros!$E$9,0),"")</f>
        <v>0</v>
      </c>
      <c r="P264" s="41" t="n">
        <f aca="false">IF(ISNUMBER($K264),$K264-$D264-IF(ISNUMBER($E264),$E264,0)-$L264-$M264-$N264-$O264,"")</f>
        <v>234.465306122449</v>
      </c>
      <c r="Q264" s="42" t="n">
        <f aca="false">IF(AND(ISNUMBER($K264),$K264&gt;0),$P264/$K264,"")</f>
        <v>0.2</v>
      </c>
      <c r="R264" s="43"/>
      <c r="S264" s="44" t="str">
        <f aca="false">IF(OR(NOT(ISNUMBER($R264)),$R264=0,NOT(ISNUMBER($K264))),"",$K264*(1-$R264))</f>
        <v/>
      </c>
      <c r="T264" s="45" t="str">
        <f aca="false">IF(ISNUMBER($S264),$S264*$H264,"")</f>
        <v/>
      </c>
      <c r="U264" s="45" t="str">
        <f aca="false">IF(ISNUMBER($S264),$S264*Parâmetros!$B$9,"")</f>
        <v/>
      </c>
      <c r="V264" s="45" t="str">
        <f aca="false">IF(ISNUMBER($S264),$S264*Parâmetros!$C$9,"")</f>
        <v/>
      </c>
      <c r="W264" s="44" t="str">
        <f aca="false">IF(ISNUMBER($S264),$S264-$D264-IF(ISNUMBER($E264),$E264,0)-$O264-$T264-$U264-$V264,"")</f>
        <v/>
      </c>
      <c r="X264" s="46" t="str">
        <f aca="false">IF(AND(ISNUMBER($S264),$S264&gt;0),$W264/$S264,"")</f>
        <v/>
      </c>
      <c r="Y264" s="47"/>
      <c r="Z264" s="19"/>
    </row>
    <row r="265" customFormat="false" ht="15.75" hidden="false" customHeight="true" outlineLevel="0" collapsed="false">
      <c r="A265" s="48" t="str">
        <f aca="false">IF(Produtos!$A265="","",Produtos!$A265)</f>
        <v>P3050RA</v>
      </c>
      <c r="B265" s="48" t="str">
        <f aca="false">IF(Produtos!$A265="","",Produtos!$B265)</f>
        <v>Lixeira c/Tampa Pedal 30x50 40L c/Rodízios e Alças</v>
      </c>
      <c r="C265" s="48" t="str">
        <f aca="false">IF(Produtos!$A265="","",Produtos!$C265)</f>
        <v>Lixeiras com pedal</v>
      </c>
      <c r="D265" s="33" t="n">
        <f aca="false">IF(Produtos!$A265="","",IF(Produtos!$D265="","",Produtos!$D265))</f>
        <v>451.04</v>
      </c>
      <c r="E265" s="11" t="n">
        <v>0</v>
      </c>
      <c r="F265" s="34" t="n">
        <f aca="false">IF($A265="","",IF($C265="","⚠ categoria",IFERROR(INDEX(Parâmetros!$G$13:$G$22,MATCH($C265,Parâmetros!$A$13:$A$22,0)),"⚠ categoria")))</f>
        <v>0.18</v>
      </c>
      <c r="G265" s="35"/>
      <c r="H265" s="36" t="n">
        <f aca="false">IF($A265="","",IF(ISNUMBER($G265),$G265,IF(ISNUMBER($F265),$F265,"")))</f>
        <v>0.18</v>
      </c>
      <c r="I265" s="37" t="n">
        <f aca="false">IF(OR($A265="",NOT(ISNUMBER($D265)),NOT(ISNUMBER($H265))),"",IF((1-$H265-Parâmetros!$B$9-Parâmetros!$C$9-Parâmetros!$D$9)&lt;=0,"INVALIDO",($D265+IF(ISNUMBER($E265),$E265,0)+IF(ISNUMBER(Parâmetros!$E$9),Parâmetros!$E$9,0))/(1-$H265-Parâmetros!$B$9-Parâmetros!$C$9-Parâmetros!$D$9)))</f>
        <v>920.489795918367</v>
      </c>
      <c r="J265" s="38"/>
      <c r="K265" s="39" t="n">
        <f aca="false">IF(OR($A265="",NOT(ISNUMBER($D265)),NOT(ISNUMBER($H265))),"",IF(AND(ISNUMBER($J265),$J265&gt;0),$J265,IF(ISNUMBER($I265),$I265,"")))</f>
        <v>920.489795918367</v>
      </c>
      <c r="L265" s="40" t="n">
        <f aca="false">IF(ISNUMBER($K265),$K265*$H265,"")</f>
        <v>165.688163265306</v>
      </c>
      <c r="M265" s="40" t="n">
        <f aca="false">IF(ISNUMBER($K265),$K265*Parâmetros!$B$9,"")</f>
        <v>92.0489795918367</v>
      </c>
      <c r="N265" s="40" t="n">
        <f aca="false">IF(ISNUMBER($K265),$K265*Parâmetros!$C$9,"")</f>
        <v>27.614693877551</v>
      </c>
      <c r="O265" s="40" t="n">
        <f aca="false">IF(ISNUMBER($K265),IF(ISNUMBER(Parâmetros!$E$9),Parâmetros!$E$9,0),"")</f>
        <v>0</v>
      </c>
      <c r="P265" s="41" t="n">
        <f aca="false">IF(ISNUMBER($K265),$K265-$D265-IF(ISNUMBER($E265),$E265,0)-$L265-$M265-$N265-$O265,"")</f>
        <v>184.097959183673</v>
      </c>
      <c r="Q265" s="42" t="n">
        <f aca="false">IF(AND(ISNUMBER($K265),$K265&gt;0),$P265/$K265,"")</f>
        <v>0.2</v>
      </c>
      <c r="R265" s="43"/>
      <c r="S265" s="44" t="str">
        <f aca="false">IF(OR(NOT(ISNUMBER($R265)),$R265=0,NOT(ISNUMBER($K265))),"",$K265*(1-$R265))</f>
        <v/>
      </c>
      <c r="T265" s="45" t="str">
        <f aca="false">IF(ISNUMBER($S265),$S265*$H265,"")</f>
        <v/>
      </c>
      <c r="U265" s="45" t="str">
        <f aca="false">IF(ISNUMBER($S265),$S265*Parâmetros!$B$9,"")</f>
        <v/>
      </c>
      <c r="V265" s="45" t="str">
        <f aca="false">IF(ISNUMBER($S265),$S265*Parâmetros!$C$9,"")</f>
        <v/>
      </c>
      <c r="W265" s="44" t="str">
        <f aca="false">IF(ISNUMBER($S265),$S265-$D265-IF(ISNUMBER($E265),$E265,0)-$O265-$T265-$U265-$V265,"")</f>
        <v/>
      </c>
      <c r="X265" s="46" t="str">
        <f aca="false">IF(AND(ISNUMBER($S265),$S265&gt;0),$W265/$S265,"")</f>
        <v/>
      </c>
      <c r="Y265" s="49"/>
      <c r="Z265" s="21"/>
    </row>
    <row r="266" customFormat="false" ht="15.75" hidden="false" customHeight="true" outlineLevel="0" collapsed="false">
      <c r="A266" s="32" t="str">
        <f aca="false">IF(Produtos!$A266="","",Produtos!$A266)</f>
        <v>P3060RA</v>
      </c>
      <c r="B266" s="32" t="str">
        <f aca="false">IF(Produtos!$A266="","",Produtos!$B266)</f>
        <v>Lixeira c/Tampa Pedal 30x60 50L c/Rodízios e Alças</v>
      </c>
      <c r="C266" s="32" t="str">
        <f aca="false">IF(Produtos!$A266="","",Produtos!$C266)</f>
        <v>Lixeiras com pedal</v>
      </c>
      <c r="D266" s="33" t="n">
        <f aca="false">IF(Produtos!$A266="","",IF(Produtos!$D266="","",Produtos!$D266))</f>
        <v>461.27</v>
      </c>
      <c r="E266" s="11" t="n">
        <v>0</v>
      </c>
      <c r="F266" s="34" t="n">
        <f aca="false">IF($A266="","",IF($C266="","⚠ categoria",IFERROR(INDEX(Parâmetros!$G$13:$G$22,MATCH($C266,Parâmetros!$A$13:$A$22,0)),"⚠ categoria")))</f>
        <v>0.18</v>
      </c>
      <c r="G266" s="35"/>
      <c r="H266" s="36" t="n">
        <f aca="false">IF($A266="","",IF(ISNUMBER($G266),$G266,IF(ISNUMBER($F266),$F266,"")))</f>
        <v>0.18</v>
      </c>
      <c r="I266" s="37" t="n">
        <f aca="false">IF(OR($A266="",NOT(ISNUMBER($D266)),NOT(ISNUMBER($H266))),"",IF((1-$H266-Parâmetros!$B$9-Parâmetros!$C$9-Parâmetros!$D$9)&lt;=0,"INVALIDO",($D266+IF(ISNUMBER($E266),$E266,0)+IF(ISNUMBER(Parâmetros!$E$9),Parâmetros!$E$9,0))/(1-$H266-Parâmetros!$B$9-Parâmetros!$C$9-Parâmetros!$D$9)))</f>
        <v>941.367346938775</v>
      </c>
      <c r="J266" s="38"/>
      <c r="K266" s="39" t="n">
        <f aca="false">IF(OR($A266="",NOT(ISNUMBER($D266)),NOT(ISNUMBER($H266))),"",IF(AND(ISNUMBER($J266),$J266&gt;0),$J266,IF(ISNUMBER($I266),$I266,"")))</f>
        <v>941.367346938775</v>
      </c>
      <c r="L266" s="40" t="n">
        <f aca="false">IF(ISNUMBER($K266),$K266*$H266,"")</f>
        <v>169.44612244898</v>
      </c>
      <c r="M266" s="40" t="n">
        <f aca="false">IF(ISNUMBER($K266),$K266*Parâmetros!$B$9,"")</f>
        <v>94.1367346938775</v>
      </c>
      <c r="N266" s="40" t="n">
        <f aca="false">IF(ISNUMBER($K266),$K266*Parâmetros!$C$9,"")</f>
        <v>28.2410204081633</v>
      </c>
      <c r="O266" s="40" t="n">
        <f aca="false">IF(ISNUMBER($K266),IF(ISNUMBER(Parâmetros!$E$9),Parâmetros!$E$9,0),"")</f>
        <v>0</v>
      </c>
      <c r="P266" s="41" t="n">
        <f aca="false">IF(ISNUMBER($K266),$K266-$D266-IF(ISNUMBER($E266),$E266,0)-$L266-$M266-$N266-$O266,"")</f>
        <v>188.273469387755</v>
      </c>
      <c r="Q266" s="42" t="n">
        <f aca="false">IF(AND(ISNUMBER($K266),$K266&gt;0),$P266/$K266,"")</f>
        <v>0.2</v>
      </c>
      <c r="R266" s="43"/>
      <c r="S266" s="44" t="str">
        <f aca="false">IF(OR(NOT(ISNUMBER($R266)),$R266=0,NOT(ISNUMBER($K266))),"",$K266*(1-$R266))</f>
        <v/>
      </c>
      <c r="T266" s="45" t="str">
        <f aca="false">IF(ISNUMBER($S266),$S266*$H266,"")</f>
        <v/>
      </c>
      <c r="U266" s="45" t="str">
        <f aca="false">IF(ISNUMBER($S266),$S266*Parâmetros!$B$9,"")</f>
        <v/>
      </c>
      <c r="V266" s="45" t="str">
        <f aca="false">IF(ISNUMBER($S266),$S266*Parâmetros!$C$9,"")</f>
        <v/>
      </c>
      <c r="W266" s="44" t="str">
        <f aca="false">IF(ISNUMBER($S266),$S266-$D266-IF(ISNUMBER($E266),$E266,0)-$O266-$T266-$U266-$V266,"")</f>
        <v/>
      </c>
      <c r="X266" s="46" t="str">
        <f aca="false">IF(AND(ISNUMBER($S266),$S266&gt;0),$W266/$S266,"")</f>
        <v/>
      </c>
      <c r="Y266" s="47"/>
      <c r="Z266" s="19"/>
    </row>
    <row r="267" customFormat="false" ht="15.75" hidden="false" customHeight="true" outlineLevel="0" collapsed="false">
      <c r="A267" s="48" t="str">
        <f aca="false">IF(Produtos!$A267="","",Produtos!$A267)</f>
        <v>P3070RA</v>
      </c>
      <c r="B267" s="48" t="str">
        <f aca="false">IF(Produtos!$A267="","",Produtos!$B267)</f>
        <v>Lixeira c/Tampa Pedal 30x70 60L c/Rodízios e Alças</v>
      </c>
      <c r="C267" s="48" t="str">
        <f aca="false">IF(Produtos!$A267="","",Produtos!$C267)</f>
        <v>Lixeiras com pedal</v>
      </c>
      <c r="D267" s="33" t="n">
        <f aca="false">IF(Produtos!$A267="","",IF(Produtos!$D267="","",Produtos!$D267))</f>
        <v>535.39</v>
      </c>
      <c r="E267" s="11" t="n">
        <v>0</v>
      </c>
      <c r="F267" s="34" t="n">
        <f aca="false">IF($A267="","",IF($C267="","⚠ categoria",IFERROR(INDEX(Parâmetros!$G$13:$G$22,MATCH($C267,Parâmetros!$A$13:$A$22,0)),"⚠ categoria")))</f>
        <v>0.18</v>
      </c>
      <c r="G267" s="35"/>
      <c r="H267" s="36" t="n">
        <f aca="false">IF($A267="","",IF(ISNUMBER($G267),$G267,IF(ISNUMBER($F267),$F267,"")))</f>
        <v>0.18</v>
      </c>
      <c r="I267" s="37" t="n">
        <f aca="false">IF(OR($A267="",NOT(ISNUMBER($D267)),NOT(ISNUMBER($H267))),"",IF((1-$H267-Parâmetros!$B$9-Parâmetros!$C$9-Parâmetros!$D$9)&lt;=0,"INVALIDO",($D267+IF(ISNUMBER($E267),$E267,0)+IF(ISNUMBER(Parâmetros!$E$9),Parâmetros!$E$9,0))/(1-$H267-Parâmetros!$B$9-Parâmetros!$C$9-Parâmetros!$D$9)))</f>
        <v>1092.63265306122</v>
      </c>
      <c r="J267" s="38"/>
      <c r="K267" s="39" t="n">
        <f aca="false">IF(OR($A267="",NOT(ISNUMBER($D267)),NOT(ISNUMBER($H267))),"",IF(AND(ISNUMBER($J267),$J267&gt;0),$J267,IF(ISNUMBER($I267),$I267,"")))</f>
        <v>1092.63265306122</v>
      </c>
      <c r="L267" s="40" t="n">
        <f aca="false">IF(ISNUMBER($K267),$K267*$H267,"")</f>
        <v>196.67387755102</v>
      </c>
      <c r="M267" s="40" t="n">
        <f aca="false">IF(ISNUMBER($K267),$K267*Parâmetros!$B$9,"")</f>
        <v>109.263265306122</v>
      </c>
      <c r="N267" s="40" t="n">
        <f aca="false">IF(ISNUMBER($K267),$K267*Parâmetros!$C$9,"")</f>
        <v>32.7789795918367</v>
      </c>
      <c r="O267" s="40" t="n">
        <f aca="false">IF(ISNUMBER($K267),IF(ISNUMBER(Parâmetros!$E$9),Parâmetros!$E$9,0),"")</f>
        <v>0</v>
      </c>
      <c r="P267" s="41" t="n">
        <f aca="false">IF(ISNUMBER($K267),$K267-$D267-IF(ISNUMBER($E267),$E267,0)-$L267-$M267-$N267-$O267,"")</f>
        <v>218.526530612245</v>
      </c>
      <c r="Q267" s="42" t="n">
        <f aca="false">IF(AND(ISNUMBER($K267),$K267&gt;0),$P267/$K267,"")</f>
        <v>0.2</v>
      </c>
      <c r="R267" s="43"/>
      <c r="S267" s="44" t="str">
        <f aca="false">IF(OR(NOT(ISNUMBER($R267)),$R267=0,NOT(ISNUMBER($K267))),"",$K267*(1-$R267))</f>
        <v/>
      </c>
      <c r="T267" s="45" t="str">
        <f aca="false">IF(ISNUMBER($S267),$S267*$H267,"")</f>
        <v/>
      </c>
      <c r="U267" s="45" t="str">
        <f aca="false">IF(ISNUMBER($S267),$S267*Parâmetros!$B$9,"")</f>
        <v/>
      </c>
      <c r="V267" s="45" t="str">
        <f aca="false">IF(ISNUMBER($S267),$S267*Parâmetros!$C$9,"")</f>
        <v/>
      </c>
      <c r="W267" s="44" t="str">
        <f aca="false">IF(ISNUMBER($S267),$S267-$D267-IF(ISNUMBER($E267),$E267,0)-$O267-$T267-$U267-$V267,"")</f>
        <v/>
      </c>
      <c r="X267" s="46" t="str">
        <f aca="false">IF(AND(ISNUMBER($S267),$S267&gt;0),$W267/$S267,"")</f>
        <v/>
      </c>
      <c r="Y267" s="49"/>
      <c r="Z267" s="21"/>
    </row>
    <row r="268" customFormat="false" ht="15.75" hidden="false" customHeight="true" outlineLevel="0" collapsed="false">
      <c r="A268" s="32" t="str">
        <f aca="false">IF(Produtos!$A268="","",Produtos!$A268)</f>
        <v>P4050RA</v>
      </c>
      <c r="B268" s="32" t="str">
        <f aca="false">IF(Produtos!$A268="","",Produtos!$B268)</f>
        <v>Lixeira c/Tampa Pedal 40x50 65L c/Rodízios e Alças</v>
      </c>
      <c r="C268" s="32" t="str">
        <f aca="false">IF(Produtos!$A268="","",Produtos!$C268)</f>
        <v>Lixeiras com pedal</v>
      </c>
      <c r="D268" s="33" t="n">
        <f aca="false">IF(Produtos!$A268="","",IF(Produtos!$D268="","",Produtos!$D268))</f>
        <v>617.39</v>
      </c>
      <c r="E268" s="11" t="n">
        <v>0</v>
      </c>
      <c r="F268" s="34" t="n">
        <f aca="false">IF($A268="","",IF($C268="","⚠ categoria",IFERROR(INDEX(Parâmetros!$G$13:$G$22,MATCH($C268,Parâmetros!$A$13:$A$22,0)),"⚠ categoria")))</f>
        <v>0.18</v>
      </c>
      <c r="G268" s="35"/>
      <c r="H268" s="36" t="n">
        <f aca="false">IF($A268="","",IF(ISNUMBER($G268),$G268,IF(ISNUMBER($F268),$F268,"")))</f>
        <v>0.18</v>
      </c>
      <c r="I268" s="37" t="n">
        <f aca="false">IF(OR($A268="",NOT(ISNUMBER($D268)),NOT(ISNUMBER($H268))),"",IF((1-$H268-Parâmetros!$B$9-Parâmetros!$C$9-Parâmetros!$D$9)&lt;=0,"INVALIDO",($D268+IF(ISNUMBER($E268),$E268,0)+IF(ISNUMBER(Parâmetros!$E$9),Parâmetros!$E$9,0))/(1-$H268-Parâmetros!$B$9-Parâmetros!$C$9-Parâmetros!$D$9)))</f>
        <v>1259.97959183673</v>
      </c>
      <c r="J268" s="38"/>
      <c r="K268" s="39" t="n">
        <f aca="false">IF(OR($A268="",NOT(ISNUMBER($D268)),NOT(ISNUMBER($H268))),"",IF(AND(ISNUMBER($J268),$J268&gt;0),$J268,IF(ISNUMBER($I268),$I268,"")))</f>
        <v>1259.97959183673</v>
      </c>
      <c r="L268" s="40" t="n">
        <f aca="false">IF(ISNUMBER($K268),$K268*$H268,"")</f>
        <v>226.796326530612</v>
      </c>
      <c r="M268" s="40" t="n">
        <f aca="false">IF(ISNUMBER($K268),$K268*Parâmetros!$B$9,"")</f>
        <v>125.997959183673</v>
      </c>
      <c r="N268" s="40" t="n">
        <f aca="false">IF(ISNUMBER($K268),$K268*Parâmetros!$C$9,"")</f>
        <v>37.799387755102</v>
      </c>
      <c r="O268" s="40" t="n">
        <f aca="false">IF(ISNUMBER($K268),IF(ISNUMBER(Parâmetros!$E$9),Parâmetros!$E$9,0),"")</f>
        <v>0</v>
      </c>
      <c r="P268" s="41" t="n">
        <f aca="false">IF(ISNUMBER($K268),$K268-$D268-IF(ISNUMBER($E268),$E268,0)-$L268-$M268-$N268-$O268,"")</f>
        <v>251.995918367347</v>
      </c>
      <c r="Q268" s="42" t="n">
        <f aca="false">IF(AND(ISNUMBER($K268),$K268&gt;0),$P268/$K268,"")</f>
        <v>0.2</v>
      </c>
      <c r="R268" s="43"/>
      <c r="S268" s="44" t="str">
        <f aca="false">IF(OR(NOT(ISNUMBER($R268)),$R268=0,NOT(ISNUMBER($K268))),"",$K268*(1-$R268))</f>
        <v/>
      </c>
      <c r="T268" s="45" t="str">
        <f aca="false">IF(ISNUMBER($S268),$S268*$H268,"")</f>
        <v/>
      </c>
      <c r="U268" s="45" t="str">
        <f aca="false">IF(ISNUMBER($S268),$S268*Parâmetros!$B$9,"")</f>
        <v/>
      </c>
      <c r="V268" s="45" t="str">
        <f aca="false">IF(ISNUMBER($S268),$S268*Parâmetros!$C$9,"")</f>
        <v/>
      </c>
      <c r="W268" s="44" t="str">
        <f aca="false">IF(ISNUMBER($S268),$S268-$D268-IF(ISNUMBER($E268),$E268,0)-$O268-$T268-$U268-$V268,"")</f>
        <v/>
      </c>
      <c r="X268" s="46" t="str">
        <f aca="false">IF(AND(ISNUMBER($S268),$S268&gt;0),$W268/$S268,"")</f>
        <v/>
      </c>
      <c r="Y268" s="47"/>
      <c r="Z268" s="19"/>
    </row>
    <row r="269" customFormat="false" ht="15.75" hidden="false" customHeight="true" outlineLevel="0" collapsed="false">
      <c r="A269" s="48" t="str">
        <f aca="false">IF(Produtos!$A269="","",Produtos!$A269)</f>
        <v>P4060RA</v>
      </c>
      <c r="B269" s="48" t="str">
        <f aca="false">IF(Produtos!$A269="","",Produtos!$B269)</f>
        <v>Lixeira c/Tampa Pedal 40x60 75L c/Rodízios e Alças</v>
      </c>
      <c r="C269" s="48" t="str">
        <f aca="false">IF(Produtos!$A269="","",Produtos!$C269)</f>
        <v>Lixeiras com pedal</v>
      </c>
      <c r="D269" s="33" t="n">
        <f aca="false">IF(Produtos!$A269="","",IF(Produtos!$D269="","",Produtos!$D269))</f>
        <v>659.48</v>
      </c>
      <c r="E269" s="11" t="n">
        <v>0</v>
      </c>
      <c r="F269" s="34" t="n">
        <f aca="false">IF($A269="","",IF($C269="","⚠ categoria",IFERROR(INDEX(Parâmetros!$G$13:$G$22,MATCH($C269,Parâmetros!$A$13:$A$22,0)),"⚠ categoria")))</f>
        <v>0.18</v>
      </c>
      <c r="G269" s="35"/>
      <c r="H269" s="36" t="n">
        <f aca="false">IF($A269="","",IF(ISNUMBER($G269),$G269,IF(ISNUMBER($F269),$F269,"")))</f>
        <v>0.18</v>
      </c>
      <c r="I269" s="37" t="n">
        <f aca="false">IF(OR($A269="",NOT(ISNUMBER($D269)),NOT(ISNUMBER($H269))),"",IF((1-$H269-Parâmetros!$B$9-Parâmetros!$C$9-Parâmetros!$D$9)&lt;=0,"INVALIDO",($D269+IF(ISNUMBER($E269),$E269,0)+IF(ISNUMBER(Parâmetros!$E$9),Parâmetros!$E$9,0))/(1-$H269-Parâmetros!$B$9-Parâmetros!$C$9-Parâmetros!$D$9)))</f>
        <v>1345.87755102041</v>
      </c>
      <c r="J269" s="38"/>
      <c r="K269" s="39" t="n">
        <f aca="false">IF(OR($A269="",NOT(ISNUMBER($D269)),NOT(ISNUMBER($H269))),"",IF(AND(ISNUMBER($J269),$J269&gt;0),$J269,IF(ISNUMBER($I269),$I269,"")))</f>
        <v>1345.87755102041</v>
      </c>
      <c r="L269" s="40" t="n">
        <f aca="false">IF(ISNUMBER($K269),$K269*$H269,"")</f>
        <v>242.257959183673</v>
      </c>
      <c r="M269" s="40" t="n">
        <f aca="false">IF(ISNUMBER($K269),$K269*Parâmetros!$B$9,"")</f>
        <v>134.587755102041</v>
      </c>
      <c r="N269" s="40" t="n">
        <f aca="false">IF(ISNUMBER($K269),$K269*Parâmetros!$C$9,"")</f>
        <v>40.3763265306122</v>
      </c>
      <c r="O269" s="40" t="n">
        <f aca="false">IF(ISNUMBER($K269),IF(ISNUMBER(Parâmetros!$E$9),Parâmetros!$E$9,0),"")</f>
        <v>0</v>
      </c>
      <c r="P269" s="41" t="n">
        <f aca="false">IF(ISNUMBER($K269),$K269-$D269-IF(ISNUMBER($E269),$E269,0)-$L269-$M269-$N269-$O269,"")</f>
        <v>269.175510204082</v>
      </c>
      <c r="Q269" s="42" t="n">
        <f aca="false">IF(AND(ISNUMBER($K269),$K269&gt;0),$P269/$K269,"")</f>
        <v>0.2</v>
      </c>
      <c r="R269" s="43"/>
      <c r="S269" s="44" t="str">
        <f aca="false">IF(OR(NOT(ISNUMBER($R269)),$R269=0,NOT(ISNUMBER($K269))),"",$K269*(1-$R269))</f>
        <v/>
      </c>
      <c r="T269" s="45" t="str">
        <f aca="false">IF(ISNUMBER($S269),$S269*$H269,"")</f>
        <v/>
      </c>
      <c r="U269" s="45" t="str">
        <f aca="false">IF(ISNUMBER($S269),$S269*Parâmetros!$B$9,"")</f>
        <v/>
      </c>
      <c r="V269" s="45" t="str">
        <f aca="false">IF(ISNUMBER($S269),$S269*Parâmetros!$C$9,"")</f>
        <v/>
      </c>
      <c r="W269" s="44" t="str">
        <f aca="false">IF(ISNUMBER($S269),$S269-$D269-IF(ISNUMBER($E269),$E269,0)-$O269-$T269-$U269-$V269,"")</f>
        <v/>
      </c>
      <c r="X269" s="46" t="str">
        <f aca="false">IF(AND(ISNUMBER($S269),$S269&gt;0),$W269/$S269,"")</f>
        <v/>
      </c>
      <c r="Y269" s="49"/>
      <c r="Z269" s="21"/>
    </row>
    <row r="270" customFormat="false" ht="15.75" hidden="false" customHeight="true" outlineLevel="0" collapsed="false">
      <c r="A270" s="32" t="str">
        <f aca="false">IF(Produtos!$A270="","",Produtos!$A270)</f>
        <v>P4070RA</v>
      </c>
      <c r="B270" s="32" t="str">
        <f aca="false">IF(Produtos!$A270="","",Produtos!$B270)</f>
        <v>Lixeira c/Tampa Pedal 40x70 80L c/Rodízios e Alças</v>
      </c>
      <c r="C270" s="32" t="str">
        <f aca="false">IF(Produtos!$A270="","",Produtos!$C270)</f>
        <v>Lixeiras com pedal</v>
      </c>
      <c r="D270" s="33" t="n">
        <f aca="false">IF(Produtos!$A270="","",IF(Produtos!$D270="","",Produtos!$D270))</f>
        <v>698.31</v>
      </c>
      <c r="E270" s="11" t="n">
        <v>0</v>
      </c>
      <c r="F270" s="34" t="n">
        <f aca="false">IF($A270="","",IF($C270="","⚠ categoria",IFERROR(INDEX(Parâmetros!$G$13:$G$22,MATCH($C270,Parâmetros!$A$13:$A$22,0)),"⚠ categoria")))</f>
        <v>0.18</v>
      </c>
      <c r="G270" s="35"/>
      <c r="H270" s="36" t="n">
        <f aca="false">IF($A270="","",IF(ISNUMBER($G270),$G270,IF(ISNUMBER($F270),$F270,"")))</f>
        <v>0.18</v>
      </c>
      <c r="I270" s="37" t="n">
        <f aca="false">IF(OR($A270="",NOT(ISNUMBER($D270)),NOT(ISNUMBER($H270))),"",IF((1-$H270-Parâmetros!$B$9-Parâmetros!$C$9-Parâmetros!$D$9)&lt;=0,"INVALIDO",($D270+IF(ISNUMBER($E270),$E270,0)+IF(ISNUMBER(Parâmetros!$E$9),Parâmetros!$E$9,0))/(1-$H270-Parâmetros!$B$9-Parâmetros!$C$9-Parâmetros!$D$9)))</f>
        <v>1425.12244897959</v>
      </c>
      <c r="J270" s="38"/>
      <c r="K270" s="39" t="n">
        <f aca="false">IF(OR($A270="",NOT(ISNUMBER($D270)),NOT(ISNUMBER($H270))),"",IF(AND(ISNUMBER($J270),$J270&gt;0),$J270,IF(ISNUMBER($I270),$I270,"")))</f>
        <v>1425.12244897959</v>
      </c>
      <c r="L270" s="40" t="n">
        <f aca="false">IF(ISNUMBER($K270),$K270*$H270,"")</f>
        <v>256.522040816326</v>
      </c>
      <c r="M270" s="40" t="n">
        <f aca="false">IF(ISNUMBER($K270),$K270*Parâmetros!$B$9,"")</f>
        <v>142.512244897959</v>
      </c>
      <c r="N270" s="40" t="n">
        <f aca="false">IF(ISNUMBER($K270),$K270*Parâmetros!$C$9,"")</f>
        <v>42.7536734693878</v>
      </c>
      <c r="O270" s="40" t="n">
        <f aca="false">IF(ISNUMBER($K270),IF(ISNUMBER(Parâmetros!$E$9),Parâmetros!$E$9,0),"")</f>
        <v>0</v>
      </c>
      <c r="P270" s="41" t="n">
        <f aca="false">IF(ISNUMBER($K270),$K270-$D270-IF(ISNUMBER($E270),$E270,0)-$L270-$M270-$N270-$O270,"")</f>
        <v>285.024489795918</v>
      </c>
      <c r="Q270" s="42" t="n">
        <f aca="false">IF(AND(ISNUMBER($K270),$K270&gt;0),$P270/$K270,"")</f>
        <v>0.2</v>
      </c>
      <c r="R270" s="43"/>
      <c r="S270" s="44" t="str">
        <f aca="false">IF(OR(NOT(ISNUMBER($R270)),$R270=0,NOT(ISNUMBER($K270))),"",$K270*(1-$R270))</f>
        <v/>
      </c>
      <c r="T270" s="45" t="str">
        <f aca="false">IF(ISNUMBER($S270),$S270*$H270,"")</f>
        <v/>
      </c>
      <c r="U270" s="45" t="str">
        <f aca="false">IF(ISNUMBER($S270),$S270*Parâmetros!$B$9,"")</f>
        <v/>
      </c>
      <c r="V270" s="45" t="str">
        <f aca="false">IF(ISNUMBER($S270),$S270*Parâmetros!$C$9,"")</f>
        <v/>
      </c>
      <c r="W270" s="44" t="str">
        <f aca="false">IF(ISNUMBER($S270),$S270-$D270-IF(ISNUMBER($E270),$E270,0)-$O270-$T270-$U270-$V270,"")</f>
        <v/>
      </c>
      <c r="X270" s="46" t="str">
        <f aca="false">IF(AND(ISNUMBER($S270),$S270&gt;0),$W270/$S270,"")</f>
        <v/>
      </c>
      <c r="Y270" s="47"/>
      <c r="Z270" s="19"/>
    </row>
    <row r="271" customFormat="false" ht="15.75" hidden="false" customHeight="true" outlineLevel="0" collapsed="false">
      <c r="A271" s="48" t="str">
        <f aca="false">IF(Produtos!$A271="","",Produtos!$A271)</f>
        <v>P4075RA</v>
      </c>
      <c r="B271" s="48" t="str">
        <f aca="false">IF(Produtos!$A271="","",Produtos!$B271)</f>
        <v>Lixeira c/Tampa Pedal 40x75 95L c/Rodízios e Alças</v>
      </c>
      <c r="C271" s="48" t="str">
        <f aca="false">IF(Produtos!$A271="","",Produtos!$C271)</f>
        <v>Lixeiras com pedal</v>
      </c>
      <c r="D271" s="33" t="n">
        <f aca="false">IF(Produtos!$A271="","",IF(Produtos!$D271="","",Produtos!$D271))</f>
        <v>731.92</v>
      </c>
      <c r="E271" s="11" t="n">
        <v>0</v>
      </c>
      <c r="F271" s="34" t="n">
        <f aca="false">IF($A271="","",IF($C271="","⚠ categoria",IFERROR(INDEX(Parâmetros!$G$13:$G$22,MATCH($C271,Parâmetros!$A$13:$A$22,0)),"⚠ categoria")))</f>
        <v>0.18</v>
      </c>
      <c r="G271" s="35"/>
      <c r="H271" s="36" t="n">
        <f aca="false">IF($A271="","",IF(ISNUMBER($G271),$G271,IF(ISNUMBER($F271),$F271,"")))</f>
        <v>0.18</v>
      </c>
      <c r="I271" s="37" t="n">
        <f aca="false">IF(OR($A271="",NOT(ISNUMBER($D271)),NOT(ISNUMBER($H271))),"",IF((1-$H271-Parâmetros!$B$9-Parâmetros!$C$9-Parâmetros!$D$9)&lt;=0,"INVALIDO",($D271+IF(ISNUMBER($E271),$E271,0)+IF(ISNUMBER(Parâmetros!$E$9),Parâmetros!$E$9,0))/(1-$H271-Parâmetros!$B$9-Parâmetros!$C$9-Parâmetros!$D$9)))</f>
        <v>1493.71428571429</v>
      </c>
      <c r="J271" s="38"/>
      <c r="K271" s="39" t="n">
        <f aca="false">IF(OR($A271="",NOT(ISNUMBER($D271)),NOT(ISNUMBER($H271))),"",IF(AND(ISNUMBER($J271),$J271&gt;0),$J271,IF(ISNUMBER($I271),$I271,"")))</f>
        <v>1493.71428571429</v>
      </c>
      <c r="L271" s="40" t="n">
        <f aca="false">IF(ISNUMBER($K271),$K271*$H271,"")</f>
        <v>268.868571428571</v>
      </c>
      <c r="M271" s="40" t="n">
        <f aca="false">IF(ISNUMBER($K271),$K271*Parâmetros!$B$9,"")</f>
        <v>149.371428571429</v>
      </c>
      <c r="N271" s="40" t="n">
        <f aca="false">IF(ISNUMBER($K271),$K271*Parâmetros!$C$9,"")</f>
        <v>44.8114285714286</v>
      </c>
      <c r="O271" s="40" t="n">
        <f aca="false">IF(ISNUMBER($K271),IF(ISNUMBER(Parâmetros!$E$9),Parâmetros!$E$9,0),"")</f>
        <v>0</v>
      </c>
      <c r="P271" s="41" t="n">
        <f aca="false">IF(ISNUMBER($K271),$K271-$D271-IF(ISNUMBER($E271),$E271,0)-$L271-$M271-$N271-$O271,"")</f>
        <v>298.742857142857</v>
      </c>
      <c r="Q271" s="42" t="n">
        <f aca="false">IF(AND(ISNUMBER($K271),$K271&gt;0),$P271/$K271,"")</f>
        <v>0.2</v>
      </c>
      <c r="R271" s="43"/>
      <c r="S271" s="44" t="str">
        <f aca="false">IF(OR(NOT(ISNUMBER($R271)),$R271=0,NOT(ISNUMBER($K271))),"",$K271*(1-$R271))</f>
        <v/>
      </c>
      <c r="T271" s="45" t="str">
        <f aca="false">IF(ISNUMBER($S271),$S271*$H271,"")</f>
        <v/>
      </c>
      <c r="U271" s="45" t="str">
        <f aca="false">IF(ISNUMBER($S271),$S271*Parâmetros!$B$9,"")</f>
        <v/>
      </c>
      <c r="V271" s="45" t="str">
        <f aca="false">IF(ISNUMBER($S271),$S271*Parâmetros!$C$9,"")</f>
        <v/>
      </c>
      <c r="W271" s="44" t="str">
        <f aca="false">IF(ISNUMBER($S271),$S271-$D271-IF(ISNUMBER($E271),$E271,0)-$O271-$T271-$U271-$V271,"")</f>
        <v/>
      </c>
      <c r="X271" s="46" t="str">
        <f aca="false">IF(AND(ISNUMBER($S271),$S271&gt;0),$W271/$S271,"")</f>
        <v/>
      </c>
      <c r="Y271" s="49"/>
      <c r="Z271" s="21"/>
    </row>
    <row r="272" customFormat="false" ht="15.75" hidden="false" customHeight="true" outlineLevel="0" collapsed="false">
      <c r="A272" s="32" t="str">
        <f aca="false">IF(Produtos!$A272="","",Produtos!$A272)</f>
        <v>P4080RA</v>
      </c>
      <c r="B272" s="32" t="str">
        <f aca="false">IF(Produtos!$A272="","",Produtos!$B272)</f>
        <v>Lixeira c/Tampa Pedal 40x80 100L c/Rodízios e Alças</v>
      </c>
      <c r="C272" s="32" t="str">
        <f aca="false">IF(Produtos!$A272="","",Produtos!$C272)</f>
        <v>Lixeiras com pedal</v>
      </c>
      <c r="D272" s="33" t="n">
        <f aca="false">IF(Produtos!$A272="","",IF(Produtos!$D272="","",Produtos!$D272))</f>
        <v>816.17</v>
      </c>
      <c r="E272" s="11" t="n">
        <v>0</v>
      </c>
      <c r="F272" s="34" t="n">
        <f aca="false">IF($A272="","",IF($C272="","⚠ categoria",IFERROR(INDEX(Parâmetros!$G$13:$G$22,MATCH($C272,Parâmetros!$A$13:$A$22,0)),"⚠ categoria")))</f>
        <v>0.18</v>
      </c>
      <c r="G272" s="35"/>
      <c r="H272" s="36" t="n">
        <f aca="false">IF($A272="","",IF(ISNUMBER($G272),$G272,IF(ISNUMBER($F272),$F272,"")))</f>
        <v>0.18</v>
      </c>
      <c r="I272" s="37" t="n">
        <f aca="false">IF(OR($A272="",NOT(ISNUMBER($D272)),NOT(ISNUMBER($H272))),"",IF((1-$H272-Parâmetros!$B$9-Parâmetros!$C$9-Parâmetros!$D$9)&lt;=0,"INVALIDO",($D272+IF(ISNUMBER($E272),$E272,0)+IF(ISNUMBER(Parâmetros!$E$9),Parâmetros!$E$9,0))/(1-$H272-Parâmetros!$B$9-Parâmetros!$C$9-Parâmetros!$D$9)))</f>
        <v>1665.65306122449</v>
      </c>
      <c r="J272" s="38"/>
      <c r="K272" s="39" t="n">
        <f aca="false">IF(OR($A272="",NOT(ISNUMBER($D272)),NOT(ISNUMBER($H272))),"",IF(AND(ISNUMBER($J272),$J272&gt;0),$J272,IF(ISNUMBER($I272),$I272,"")))</f>
        <v>1665.65306122449</v>
      </c>
      <c r="L272" s="40" t="n">
        <f aca="false">IF(ISNUMBER($K272),$K272*$H272,"")</f>
        <v>299.817551020408</v>
      </c>
      <c r="M272" s="40" t="n">
        <f aca="false">IF(ISNUMBER($K272),$K272*Parâmetros!$B$9,"")</f>
        <v>166.565306122449</v>
      </c>
      <c r="N272" s="40" t="n">
        <f aca="false">IF(ISNUMBER($K272),$K272*Parâmetros!$C$9,"")</f>
        <v>49.9695918367347</v>
      </c>
      <c r="O272" s="40" t="n">
        <f aca="false">IF(ISNUMBER($K272),IF(ISNUMBER(Parâmetros!$E$9),Parâmetros!$E$9,0),"")</f>
        <v>0</v>
      </c>
      <c r="P272" s="41" t="n">
        <f aca="false">IF(ISNUMBER($K272),$K272-$D272-IF(ISNUMBER($E272),$E272,0)-$L272-$M272-$N272-$O272,"")</f>
        <v>333.130612244898</v>
      </c>
      <c r="Q272" s="42" t="n">
        <f aca="false">IF(AND(ISNUMBER($K272),$K272&gt;0),$P272/$K272,"")</f>
        <v>0.2</v>
      </c>
      <c r="R272" s="43"/>
      <c r="S272" s="44" t="str">
        <f aca="false">IF(OR(NOT(ISNUMBER($R272)),$R272=0,NOT(ISNUMBER($K272))),"",$K272*(1-$R272))</f>
        <v/>
      </c>
      <c r="T272" s="45" t="str">
        <f aca="false">IF(ISNUMBER($S272),$S272*$H272,"")</f>
        <v/>
      </c>
      <c r="U272" s="45" t="str">
        <f aca="false">IF(ISNUMBER($S272),$S272*Parâmetros!$B$9,"")</f>
        <v/>
      </c>
      <c r="V272" s="45" t="str">
        <f aca="false">IF(ISNUMBER($S272),$S272*Parâmetros!$C$9,"")</f>
        <v/>
      </c>
      <c r="W272" s="44" t="str">
        <f aca="false">IF(ISNUMBER($S272),$S272-$D272-IF(ISNUMBER($E272),$E272,0)-$O272-$T272-$U272-$V272,"")</f>
        <v/>
      </c>
      <c r="X272" s="46" t="str">
        <f aca="false">IF(AND(ISNUMBER($S272),$S272&gt;0),$W272/$S272,"")</f>
        <v/>
      </c>
      <c r="Y272" s="47"/>
      <c r="Z272" s="19"/>
    </row>
    <row r="273" customFormat="false" ht="15.75" hidden="false" customHeight="true" outlineLevel="0" collapsed="false">
      <c r="A273" s="48" t="str">
        <f aca="false">IF(Produtos!$A273="","",Produtos!$A273)</f>
        <v>P4090RA</v>
      </c>
      <c r="B273" s="48" t="str">
        <f aca="false">IF(Produtos!$A273="","",Produtos!$B273)</f>
        <v>Lixeira c/Tampa Pedal 40x90 120L c/Rodízios e Alças</v>
      </c>
      <c r="C273" s="48" t="str">
        <f aca="false">IF(Produtos!$A273="","",Produtos!$C273)</f>
        <v>Lixeiras com pedal</v>
      </c>
      <c r="D273" s="33" t="n">
        <f aca="false">IF(Produtos!$A273="","",IF(Produtos!$D273="","",Produtos!$D273))</f>
        <v>1058.68</v>
      </c>
      <c r="E273" s="11" t="n">
        <v>0</v>
      </c>
      <c r="F273" s="34" t="n">
        <f aca="false">IF($A273="","",IF($C273="","⚠ categoria",IFERROR(INDEX(Parâmetros!$G$13:$G$22,MATCH($C273,Parâmetros!$A$13:$A$22,0)),"⚠ categoria")))</f>
        <v>0.18</v>
      </c>
      <c r="G273" s="35"/>
      <c r="H273" s="36" t="n">
        <f aca="false">IF($A273="","",IF(ISNUMBER($G273),$G273,IF(ISNUMBER($F273),$F273,"")))</f>
        <v>0.18</v>
      </c>
      <c r="I273" s="37" t="n">
        <f aca="false">IF(OR($A273="",NOT(ISNUMBER($D273)),NOT(ISNUMBER($H273))),"",IF((1-$H273-Parâmetros!$B$9-Parâmetros!$C$9-Parâmetros!$D$9)&lt;=0,"INVALIDO",($D273+IF(ISNUMBER($E273),$E273,0)+IF(ISNUMBER(Parâmetros!$E$9),Parâmetros!$E$9,0))/(1-$H273-Parâmetros!$B$9-Parâmetros!$C$9-Parâmetros!$D$9)))</f>
        <v>2160.57142857143</v>
      </c>
      <c r="J273" s="38"/>
      <c r="K273" s="39" t="n">
        <f aca="false">IF(OR($A273="",NOT(ISNUMBER($D273)),NOT(ISNUMBER($H273))),"",IF(AND(ISNUMBER($J273),$J273&gt;0),$J273,IF(ISNUMBER($I273),$I273,"")))</f>
        <v>2160.57142857143</v>
      </c>
      <c r="L273" s="40" t="n">
        <f aca="false">IF(ISNUMBER($K273),$K273*$H273,"")</f>
        <v>388.902857142857</v>
      </c>
      <c r="M273" s="40" t="n">
        <f aca="false">IF(ISNUMBER($K273),$K273*Parâmetros!$B$9,"")</f>
        <v>216.057142857143</v>
      </c>
      <c r="N273" s="40" t="n">
        <f aca="false">IF(ISNUMBER($K273),$K273*Parâmetros!$C$9,"")</f>
        <v>64.8171428571429</v>
      </c>
      <c r="O273" s="40" t="n">
        <f aca="false">IF(ISNUMBER($K273),IF(ISNUMBER(Parâmetros!$E$9),Parâmetros!$E$9,0),"")</f>
        <v>0</v>
      </c>
      <c r="P273" s="41" t="n">
        <f aca="false">IF(ISNUMBER($K273),$K273-$D273-IF(ISNUMBER($E273),$E273,0)-$L273-$M273-$N273-$O273,"")</f>
        <v>432.114285714286</v>
      </c>
      <c r="Q273" s="42" t="n">
        <f aca="false">IF(AND(ISNUMBER($K273),$K273&gt;0),$P273/$K273,"")</f>
        <v>0.2</v>
      </c>
      <c r="R273" s="43"/>
      <c r="S273" s="44" t="str">
        <f aca="false">IF(OR(NOT(ISNUMBER($R273)),$R273=0,NOT(ISNUMBER($K273))),"",$K273*(1-$R273))</f>
        <v/>
      </c>
      <c r="T273" s="45" t="str">
        <f aca="false">IF(ISNUMBER($S273),$S273*$H273,"")</f>
        <v/>
      </c>
      <c r="U273" s="45" t="str">
        <f aca="false">IF(ISNUMBER($S273),$S273*Parâmetros!$B$9,"")</f>
        <v/>
      </c>
      <c r="V273" s="45" t="str">
        <f aca="false">IF(ISNUMBER($S273),$S273*Parâmetros!$C$9,"")</f>
        <v/>
      </c>
      <c r="W273" s="44" t="str">
        <f aca="false">IF(ISNUMBER($S273),$S273-$D273-IF(ISNUMBER($E273),$E273,0)-$O273-$T273-$U273-$V273,"")</f>
        <v/>
      </c>
      <c r="X273" s="46" t="str">
        <f aca="false">IF(AND(ISNUMBER($S273),$S273&gt;0),$W273/$S273,"")</f>
        <v/>
      </c>
      <c r="Y273" s="49"/>
      <c r="Z273" s="21"/>
    </row>
    <row r="274" customFormat="false" ht="15.75" hidden="false" customHeight="true" outlineLevel="0" collapsed="false">
      <c r="A274" s="32" t="str">
        <f aca="false">IF(Produtos!$A274="","",Produtos!$A274)</f>
        <v>P3050R</v>
      </c>
      <c r="B274" s="32" t="str">
        <f aca="false">IF(Produtos!$A274="","",Produtos!$B274)</f>
        <v>Lixeira c/Tampa Pedal 30x50 40L c/Rodízios</v>
      </c>
      <c r="C274" s="32" t="str">
        <f aca="false">IF(Produtos!$A274="","",Produtos!$C274)</f>
        <v>Lixeiras com pedal</v>
      </c>
      <c r="D274" s="33" t="n">
        <f aca="false">IF(Produtos!$A274="","",IF(Produtos!$D274="","",Produtos!$D274))</f>
        <v>418.9</v>
      </c>
      <c r="E274" s="11" t="n">
        <v>0</v>
      </c>
      <c r="F274" s="34" t="n">
        <f aca="false">IF($A274="","",IF($C274="","⚠ categoria",IFERROR(INDEX(Parâmetros!$G$13:$G$22,MATCH($C274,Parâmetros!$A$13:$A$22,0)),"⚠ categoria")))</f>
        <v>0.18</v>
      </c>
      <c r="G274" s="35"/>
      <c r="H274" s="36" t="n">
        <f aca="false">IF($A274="","",IF(ISNUMBER($G274),$G274,IF(ISNUMBER($F274),$F274,"")))</f>
        <v>0.18</v>
      </c>
      <c r="I274" s="37" t="n">
        <f aca="false">IF(OR($A274="",NOT(ISNUMBER($D274)),NOT(ISNUMBER($H274))),"",IF((1-$H274-Parâmetros!$B$9-Parâmetros!$C$9-Parâmetros!$D$9)&lt;=0,"INVALIDO",($D274+IF(ISNUMBER($E274),$E274,0)+IF(ISNUMBER(Parâmetros!$E$9),Parâmetros!$E$9,0))/(1-$H274-Parâmetros!$B$9-Parâmetros!$C$9-Parâmetros!$D$9)))</f>
        <v>854.897959183673</v>
      </c>
      <c r="J274" s="38"/>
      <c r="K274" s="39" t="n">
        <f aca="false">IF(OR($A274="",NOT(ISNUMBER($D274)),NOT(ISNUMBER($H274))),"",IF(AND(ISNUMBER($J274),$J274&gt;0),$J274,IF(ISNUMBER($I274),$I274,"")))</f>
        <v>854.897959183673</v>
      </c>
      <c r="L274" s="40" t="n">
        <f aca="false">IF(ISNUMBER($K274),$K274*$H274,"")</f>
        <v>153.881632653061</v>
      </c>
      <c r="M274" s="40" t="n">
        <f aca="false">IF(ISNUMBER($K274),$K274*Parâmetros!$B$9,"")</f>
        <v>85.4897959183674</v>
      </c>
      <c r="N274" s="40" t="n">
        <f aca="false">IF(ISNUMBER($K274),$K274*Parâmetros!$C$9,"")</f>
        <v>25.6469387755102</v>
      </c>
      <c r="O274" s="40" t="n">
        <f aca="false">IF(ISNUMBER($K274),IF(ISNUMBER(Parâmetros!$E$9),Parâmetros!$E$9,0),"")</f>
        <v>0</v>
      </c>
      <c r="P274" s="41" t="n">
        <f aca="false">IF(ISNUMBER($K274),$K274-$D274-IF(ISNUMBER($E274),$E274,0)-$L274-$M274-$N274-$O274,"")</f>
        <v>170.979591836735</v>
      </c>
      <c r="Q274" s="42" t="n">
        <f aca="false">IF(AND(ISNUMBER($K274),$K274&gt;0),$P274/$K274,"")</f>
        <v>0.2</v>
      </c>
      <c r="R274" s="43"/>
      <c r="S274" s="44" t="str">
        <f aca="false">IF(OR(NOT(ISNUMBER($R274)),$R274=0,NOT(ISNUMBER($K274))),"",$K274*(1-$R274))</f>
        <v/>
      </c>
      <c r="T274" s="45" t="str">
        <f aca="false">IF(ISNUMBER($S274),$S274*$H274,"")</f>
        <v/>
      </c>
      <c r="U274" s="45" t="str">
        <f aca="false">IF(ISNUMBER($S274),$S274*Parâmetros!$B$9,"")</f>
        <v/>
      </c>
      <c r="V274" s="45" t="str">
        <f aca="false">IF(ISNUMBER($S274),$S274*Parâmetros!$C$9,"")</f>
        <v/>
      </c>
      <c r="W274" s="44" t="str">
        <f aca="false">IF(ISNUMBER($S274),$S274-$D274-IF(ISNUMBER($E274),$E274,0)-$O274-$T274-$U274-$V274,"")</f>
        <v/>
      </c>
      <c r="X274" s="46" t="str">
        <f aca="false">IF(AND(ISNUMBER($S274),$S274&gt;0),$W274/$S274,"")</f>
        <v/>
      </c>
      <c r="Y274" s="47"/>
      <c r="Z274" s="19"/>
    </row>
    <row r="275" customFormat="false" ht="15.75" hidden="false" customHeight="true" outlineLevel="0" collapsed="false">
      <c r="A275" s="48" t="str">
        <f aca="false">IF(Produtos!$A275="","",Produtos!$A275)</f>
        <v>P3060R</v>
      </c>
      <c r="B275" s="48" t="str">
        <f aca="false">IF(Produtos!$A275="","",Produtos!$B275)</f>
        <v>Lixeira c/Tampa Pedal 30x60 50L c/Rodízios</v>
      </c>
      <c r="C275" s="48" t="str">
        <f aca="false">IF(Produtos!$A275="","",Produtos!$C275)</f>
        <v>Lixeiras com pedal</v>
      </c>
      <c r="D275" s="33" t="n">
        <f aca="false">IF(Produtos!$A275="","",IF(Produtos!$D275="","",Produtos!$D275))</f>
        <v>421.43</v>
      </c>
      <c r="E275" s="11" t="n">
        <v>0</v>
      </c>
      <c r="F275" s="34" t="n">
        <f aca="false">IF($A275="","",IF($C275="","⚠ categoria",IFERROR(INDEX(Parâmetros!$G$13:$G$22,MATCH($C275,Parâmetros!$A$13:$A$22,0)),"⚠ categoria")))</f>
        <v>0.18</v>
      </c>
      <c r="G275" s="35"/>
      <c r="H275" s="36" t="n">
        <f aca="false">IF($A275="","",IF(ISNUMBER($G275),$G275,IF(ISNUMBER($F275),$F275,"")))</f>
        <v>0.18</v>
      </c>
      <c r="I275" s="37" t="n">
        <f aca="false">IF(OR($A275="",NOT(ISNUMBER($D275)),NOT(ISNUMBER($H275))),"",IF((1-$H275-Parâmetros!$B$9-Parâmetros!$C$9-Parâmetros!$D$9)&lt;=0,"INVALIDO",($D275+IF(ISNUMBER($E275),$E275,0)+IF(ISNUMBER(Parâmetros!$E$9),Parâmetros!$E$9,0))/(1-$H275-Parâmetros!$B$9-Parâmetros!$C$9-Parâmetros!$D$9)))</f>
        <v>860.061224489796</v>
      </c>
      <c r="J275" s="38"/>
      <c r="K275" s="39" t="n">
        <f aca="false">IF(OR($A275="",NOT(ISNUMBER($D275)),NOT(ISNUMBER($H275))),"",IF(AND(ISNUMBER($J275),$J275&gt;0),$J275,IF(ISNUMBER($I275),$I275,"")))</f>
        <v>860.061224489796</v>
      </c>
      <c r="L275" s="40" t="n">
        <f aca="false">IF(ISNUMBER($K275),$K275*$H275,"")</f>
        <v>154.811020408163</v>
      </c>
      <c r="M275" s="40" t="n">
        <f aca="false">IF(ISNUMBER($K275),$K275*Parâmetros!$B$9,"")</f>
        <v>86.0061224489796</v>
      </c>
      <c r="N275" s="40" t="n">
        <f aca="false">IF(ISNUMBER($K275),$K275*Parâmetros!$C$9,"")</f>
        <v>25.8018367346939</v>
      </c>
      <c r="O275" s="40" t="n">
        <f aca="false">IF(ISNUMBER($K275),IF(ISNUMBER(Parâmetros!$E$9),Parâmetros!$E$9,0),"")</f>
        <v>0</v>
      </c>
      <c r="P275" s="41" t="n">
        <f aca="false">IF(ISNUMBER($K275),$K275-$D275-IF(ISNUMBER($E275),$E275,0)-$L275-$M275-$N275-$O275,"")</f>
        <v>172.012244897959</v>
      </c>
      <c r="Q275" s="42" t="n">
        <f aca="false">IF(AND(ISNUMBER($K275),$K275&gt;0),$P275/$K275,"")</f>
        <v>0.2</v>
      </c>
      <c r="R275" s="43"/>
      <c r="S275" s="44" t="str">
        <f aca="false">IF(OR(NOT(ISNUMBER($R275)),$R275=0,NOT(ISNUMBER($K275))),"",$K275*(1-$R275))</f>
        <v/>
      </c>
      <c r="T275" s="45" t="str">
        <f aca="false">IF(ISNUMBER($S275),$S275*$H275,"")</f>
        <v/>
      </c>
      <c r="U275" s="45" t="str">
        <f aca="false">IF(ISNUMBER($S275),$S275*Parâmetros!$B$9,"")</f>
        <v/>
      </c>
      <c r="V275" s="45" t="str">
        <f aca="false">IF(ISNUMBER($S275),$S275*Parâmetros!$C$9,"")</f>
        <v/>
      </c>
      <c r="W275" s="44" t="str">
        <f aca="false">IF(ISNUMBER($S275),$S275-$D275-IF(ISNUMBER($E275),$E275,0)-$O275-$T275-$U275-$V275,"")</f>
        <v/>
      </c>
      <c r="X275" s="46" t="str">
        <f aca="false">IF(AND(ISNUMBER($S275),$S275&gt;0),$W275/$S275,"")</f>
        <v/>
      </c>
      <c r="Y275" s="49"/>
      <c r="Z275" s="21"/>
    </row>
    <row r="276" customFormat="false" ht="15.75" hidden="false" customHeight="true" outlineLevel="0" collapsed="false">
      <c r="A276" s="32" t="str">
        <f aca="false">IF(Produtos!$A276="","",Produtos!$A276)</f>
        <v>P3070R</v>
      </c>
      <c r="B276" s="32" t="str">
        <f aca="false">IF(Produtos!$A276="","",Produtos!$B276)</f>
        <v>Lixeira c/Tampa Pedal 30x70 60L c/Rodízios</v>
      </c>
      <c r="C276" s="32" t="str">
        <f aca="false">IF(Produtos!$A276="","",Produtos!$C276)</f>
        <v>Lixeiras com pedal</v>
      </c>
      <c r="D276" s="33" t="n">
        <f aca="false">IF(Produtos!$A276="","",IF(Produtos!$D276="","",Produtos!$D276))</f>
        <v>491.65</v>
      </c>
      <c r="E276" s="11" t="n">
        <v>0</v>
      </c>
      <c r="F276" s="34" t="n">
        <f aca="false">IF($A276="","",IF($C276="","⚠ categoria",IFERROR(INDEX(Parâmetros!$G$13:$G$22,MATCH($C276,Parâmetros!$A$13:$A$22,0)),"⚠ categoria")))</f>
        <v>0.18</v>
      </c>
      <c r="G276" s="35"/>
      <c r="H276" s="36" t="n">
        <f aca="false">IF($A276="","",IF(ISNUMBER($G276),$G276,IF(ISNUMBER($F276),$F276,"")))</f>
        <v>0.18</v>
      </c>
      <c r="I276" s="37" t="n">
        <f aca="false">IF(OR($A276="",NOT(ISNUMBER($D276)),NOT(ISNUMBER($H276))),"",IF((1-$H276-Parâmetros!$B$9-Parâmetros!$C$9-Parâmetros!$D$9)&lt;=0,"INVALIDO",($D276+IF(ISNUMBER($E276),$E276,0)+IF(ISNUMBER(Parâmetros!$E$9),Parâmetros!$E$9,0))/(1-$H276-Parâmetros!$B$9-Parâmetros!$C$9-Parâmetros!$D$9)))</f>
        <v>1003.36734693878</v>
      </c>
      <c r="J276" s="38"/>
      <c r="K276" s="39" t="n">
        <f aca="false">IF(OR($A276="",NOT(ISNUMBER($D276)),NOT(ISNUMBER($H276))),"",IF(AND(ISNUMBER($J276),$J276&gt;0),$J276,IF(ISNUMBER($I276),$I276,"")))</f>
        <v>1003.36734693878</v>
      </c>
      <c r="L276" s="40" t="n">
        <f aca="false">IF(ISNUMBER($K276),$K276*$H276,"")</f>
        <v>180.60612244898</v>
      </c>
      <c r="M276" s="40" t="n">
        <f aca="false">IF(ISNUMBER($K276),$K276*Parâmetros!$B$9,"")</f>
        <v>100.336734693878</v>
      </c>
      <c r="N276" s="40" t="n">
        <f aca="false">IF(ISNUMBER($K276),$K276*Parâmetros!$C$9,"")</f>
        <v>30.1010204081633</v>
      </c>
      <c r="O276" s="40" t="n">
        <f aca="false">IF(ISNUMBER($K276),IF(ISNUMBER(Parâmetros!$E$9),Parâmetros!$E$9,0),"")</f>
        <v>0</v>
      </c>
      <c r="P276" s="41" t="n">
        <f aca="false">IF(ISNUMBER($K276),$K276-$D276-IF(ISNUMBER($E276),$E276,0)-$L276-$M276-$N276-$O276,"")</f>
        <v>200.673469387755</v>
      </c>
      <c r="Q276" s="42" t="n">
        <f aca="false">IF(AND(ISNUMBER($K276),$K276&gt;0),$P276/$K276,"")</f>
        <v>0.2</v>
      </c>
      <c r="R276" s="43"/>
      <c r="S276" s="44" t="str">
        <f aca="false">IF(OR(NOT(ISNUMBER($R276)),$R276=0,NOT(ISNUMBER($K276))),"",$K276*(1-$R276))</f>
        <v/>
      </c>
      <c r="T276" s="45" t="str">
        <f aca="false">IF(ISNUMBER($S276),$S276*$H276,"")</f>
        <v/>
      </c>
      <c r="U276" s="45" t="str">
        <f aca="false">IF(ISNUMBER($S276),$S276*Parâmetros!$B$9,"")</f>
        <v/>
      </c>
      <c r="V276" s="45" t="str">
        <f aca="false">IF(ISNUMBER($S276),$S276*Parâmetros!$C$9,"")</f>
        <v/>
      </c>
      <c r="W276" s="44" t="str">
        <f aca="false">IF(ISNUMBER($S276),$S276-$D276-IF(ISNUMBER($E276),$E276,0)-$O276-$T276-$U276-$V276,"")</f>
        <v/>
      </c>
      <c r="X276" s="46" t="str">
        <f aca="false">IF(AND(ISNUMBER($S276),$S276&gt;0),$W276/$S276,"")</f>
        <v/>
      </c>
      <c r="Y276" s="47"/>
      <c r="Z276" s="19"/>
    </row>
    <row r="277" customFormat="false" ht="15.75" hidden="false" customHeight="true" outlineLevel="0" collapsed="false">
      <c r="A277" s="48" t="str">
        <f aca="false">IF(Produtos!$A277="","",Produtos!$A277)</f>
        <v>P4050R</v>
      </c>
      <c r="B277" s="48" t="str">
        <f aca="false">IF(Produtos!$A277="","",Produtos!$B277)</f>
        <v>Lixeira c/Tampa Pedal 40x50 65L c/Rodízios</v>
      </c>
      <c r="C277" s="48" t="str">
        <f aca="false">IF(Produtos!$A277="","",Produtos!$C277)</f>
        <v>Lixeiras com pedal</v>
      </c>
      <c r="D277" s="33" t="n">
        <f aca="false">IF(Produtos!$A277="","",IF(Produtos!$D277="","",Produtos!$D277))</f>
        <v>659.48</v>
      </c>
      <c r="E277" s="11" t="n">
        <v>0</v>
      </c>
      <c r="F277" s="34" t="n">
        <f aca="false">IF($A277="","",IF($C277="","⚠ categoria",IFERROR(INDEX(Parâmetros!$G$13:$G$22,MATCH($C277,Parâmetros!$A$13:$A$22,0)),"⚠ categoria")))</f>
        <v>0.18</v>
      </c>
      <c r="G277" s="35"/>
      <c r="H277" s="36" t="n">
        <f aca="false">IF($A277="","",IF(ISNUMBER($G277),$G277,IF(ISNUMBER($F277),$F277,"")))</f>
        <v>0.18</v>
      </c>
      <c r="I277" s="37" t="n">
        <f aca="false">IF(OR($A277="",NOT(ISNUMBER($D277)),NOT(ISNUMBER($H277))),"",IF((1-$H277-Parâmetros!$B$9-Parâmetros!$C$9-Parâmetros!$D$9)&lt;=0,"INVALIDO",($D277+IF(ISNUMBER($E277),$E277,0)+IF(ISNUMBER(Parâmetros!$E$9),Parâmetros!$E$9,0))/(1-$H277-Parâmetros!$B$9-Parâmetros!$C$9-Parâmetros!$D$9)))</f>
        <v>1345.87755102041</v>
      </c>
      <c r="J277" s="38"/>
      <c r="K277" s="39" t="n">
        <f aca="false">IF(OR($A277="",NOT(ISNUMBER($D277)),NOT(ISNUMBER($H277))),"",IF(AND(ISNUMBER($J277),$J277&gt;0),$J277,IF(ISNUMBER($I277),$I277,"")))</f>
        <v>1345.87755102041</v>
      </c>
      <c r="L277" s="40" t="n">
        <f aca="false">IF(ISNUMBER($K277),$K277*$H277,"")</f>
        <v>242.257959183673</v>
      </c>
      <c r="M277" s="40" t="n">
        <f aca="false">IF(ISNUMBER($K277),$K277*Parâmetros!$B$9,"")</f>
        <v>134.587755102041</v>
      </c>
      <c r="N277" s="40" t="n">
        <f aca="false">IF(ISNUMBER($K277),$K277*Parâmetros!$C$9,"")</f>
        <v>40.3763265306122</v>
      </c>
      <c r="O277" s="40" t="n">
        <f aca="false">IF(ISNUMBER($K277),IF(ISNUMBER(Parâmetros!$E$9),Parâmetros!$E$9,0),"")</f>
        <v>0</v>
      </c>
      <c r="P277" s="41" t="n">
        <f aca="false">IF(ISNUMBER($K277),$K277-$D277-IF(ISNUMBER($E277),$E277,0)-$L277-$M277-$N277-$O277,"")</f>
        <v>269.175510204082</v>
      </c>
      <c r="Q277" s="42" t="n">
        <f aca="false">IF(AND(ISNUMBER($K277),$K277&gt;0),$P277/$K277,"")</f>
        <v>0.2</v>
      </c>
      <c r="R277" s="43"/>
      <c r="S277" s="44" t="str">
        <f aca="false">IF(OR(NOT(ISNUMBER($R277)),$R277=0,NOT(ISNUMBER($K277))),"",$K277*(1-$R277))</f>
        <v/>
      </c>
      <c r="T277" s="45" t="str">
        <f aca="false">IF(ISNUMBER($S277),$S277*$H277,"")</f>
        <v/>
      </c>
      <c r="U277" s="45" t="str">
        <f aca="false">IF(ISNUMBER($S277),$S277*Parâmetros!$B$9,"")</f>
        <v/>
      </c>
      <c r="V277" s="45" t="str">
        <f aca="false">IF(ISNUMBER($S277),$S277*Parâmetros!$C$9,"")</f>
        <v/>
      </c>
      <c r="W277" s="44" t="str">
        <f aca="false">IF(ISNUMBER($S277),$S277-$D277-IF(ISNUMBER($E277),$E277,0)-$O277-$T277-$U277-$V277,"")</f>
        <v/>
      </c>
      <c r="X277" s="46" t="str">
        <f aca="false">IF(AND(ISNUMBER($S277),$S277&gt;0),$W277/$S277,"")</f>
        <v/>
      </c>
      <c r="Y277" s="49"/>
      <c r="Z277" s="21"/>
    </row>
    <row r="278" customFormat="false" ht="15.75" hidden="false" customHeight="true" outlineLevel="0" collapsed="false">
      <c r="A278" s="32" t="str">
        <f aca="false">IF(Produtos!$A278="","",Produtos!$A278)</f>
        <v>P4060R</v>
      </c>
      <c r="B278" s="32" t="str">
        <f aca="false">IF(Produtos!$A278="","",Produtos!$B278)</f>
        <v>Lixeira c/Tampa Pedal 40x60 75L c/Rodízios</v>
      </c>
      <c r="C278" s="32" t="str">
        <f aca="false">IF(Produtos!$A278="","",Produtos!$C278)</f>
        <v>Lixeiras com pedal</v>
      </c>
      <c r="D278" s="33" t="n">
        <f aca="false">IF(Produtos!$A278="","",IF(Produtos!$D278="","",Produtos!$D278))</f>
        <v>700.75</v>
      </c>
      <c r="E278" s="11" t="n">
        <v>0</v>
      </c>
      <c r="F278" s="34" t="n">
        <f aca="false">IF($A278="","",IF($C278="","⚠ categoria",IFERROR(INDEX(Parâmetros!$G$13:$G$22,MATCH($C278,Parâmetros!$A$13:$A$22,0)),"⚠ categoria")))</f>
        <v>0.18</v>
      </c>
      <c r="G278" s="35"/>
      <c r="H278" s="36" t="n">
        <f aca="false">IF($A278="","",IF(ISNUMBER($G278),$G278,IF(ISNUMBER($F278),$F278,"")))</f>
        <v>0.18</v>
      </c>
      <c r="I278" s="37" t="n">
        <f aca="false">IF(OR($A278="",NOT(ISNUMBER($D278)),NOT(ISNUMBER($H278))),"",IF((1-$H278-Parâmetros!$B$9-Parâmetros!$C$9-Parâmetros!$D$9)&lt;=0,"INVALIDO",($D278+IF(ISNUMBER($E278),$E278,0)+IF(ISNUMBER(Parâmetros!$E$9),Parâmetros!$E$9,0))/(1-$H278-Parâmetros!$B$9-Parâmetros!$C$9-Parâmetros!$D$9)))</f>
        <v>1430.10204081633</v>
      </c>
      <c r="J278" s="38"/>
      <c r="K278" s="39" t="n">
        <f aca="false">IF(OR($A278="",NOT(ISNUMBER($D278)),NOT(ISNUMBER($H278))),"",IF(AND(ISNUMBER($J278),$J278&gt;0),$J278,IF(ISNUMBER($I278),$I278,"")))</f>
        <v>1430.10204081633</v>
      </c>
      <c r="L278" s="40" t="n">
        <f aca="false">IF(ISNUMBER($K278),$K278*$H278,"")</f>
        <v>257.418367346939</v>
      </c>
      <c r="M278" s="40" t="n">
        <f aca="false">IF(ISNUMBER($K278),$K278*Parâmetros!$B$9,"")</f>
        <v>143.010204081633</v>
      </c>
      <c r="N278" s="40" t="n">
        <f aca="false">IF(ISNUMBER($K278),$K278*Parâmetros!$C$9,"")</f>
        <v>42.9030612244898</v>
      </c>
      <c r="O278" s="40" t="n">
        <f aca="false">IF(ISNUMBER($K278),IF(ISNUMBER(Parâmetros!$E$9),Parâmetros!$E$9,0),"")</f>
        <v>0</v>
      </c>
      <c r="P278" s="41" t="n">
        <f aca="false">IF(ISNUMBER($K278),$K278-$D278-IF(ISNUMBER($E278),$E278,0)-$L278-$M278-$N278-$O278,"")</f>
        <v>286.020408163265</v>
      </c>
      <c r="Q278" s="42" t="n">
        <f aca="false">IF(AND(ISNUMBER($K278),$K278&gt;0),$P278/$K278,"")</f>
        <v>0.2</v>
      </c>
      <c r="R278" s="43"/>
      <c r="S278" s="44" t="str">
        <f aca="false">IF(OR(NOT(ISNUMBER($R278)),$R278=0,NOT(ISNUMBER($K278))),"",$K278*(1-$R278))</f>
        <v/>
      </c>
      <c r="T278" s="45" t="str">
        <f aca="false">IF(ISNUMBER($S278),$S278*$H278,"")</f>
        <v/>
      </c>
      <c r="U278" s="45" t="str">
        <f aca="false">IF(ISNUMBER($S278),$S278*Parâmetros!$B$9,"")</f>
        <v/>
      </c>
      <c r="V278" s="45" t="str">
        <f aca="false">IF(ISNUMBER($S278),$S278*Parâmetros!$C$9,"")</f>
        <v/>
      </c>
      <c r="W278" s="44" t="str">
        <f aca="false">IF(ISNUMBER($S278),$S278-$D278-IF(ISNUMBER($E278),$E278,0)-$O278-$T278-$U278-$V278,"")</f>
        <v/>
      </c>
      <c r="X278" s="46" t="str">
        <f aca="false">IF(AND(ISNUMBER($S278),$S278&gt;0),$W278/$S278,"")</f>
        <v/>
      </c>
      <c r="Y278" s="47"/>
      <c r="Z278" s="19"/>
    </row>
    <row r="279" customFormat="false" ht="15.75" hidden="false" customHeight="true" outlineLevel="0" collapsed="false">
      <c r="A279" s="48" t="str">
        <f aca="false">IF(Produtos!$A279="","",Produtos!$A279)</f>
        <v>P4070R</v>
      </c>
      <c r="B279" s="48" t="str">
        <f aca="false">IF(Produtos!$A279="","",Produtos!$B279)</f>
        <v>Lixeira c/Tampa Pedal 40x70 80L c/Rodízios</v>
      </c>
      <c r="C279" s="48" t="str">
        <f aca="false">IF(Produtos!$A279="","",Produtos!$C279)</f>
        <v>Lixeiras com pedal</v>
      </c>
      <c r="D279" s="33" t="n">
        <f aca="false">IF(Produtos!$A279="","",IF(Produtos!$D279="","",Produtos!$D279))</f>
        <v>709.85</v>
      </c>
      <c r="E279" s="11" t="n">
        <v>0</v>
      </c>
      <c r="F279" s="34" t="n">
        <f aca="false">IF($A279="","",IF($C279="","⚠ categoria",IFERROR(INDEX(Parâmetros!$G$13:$G$22,MATCH($C279,Parâmetros!$A$13:$A$22,0)),"⚠ categoria")))</f>
        <v>0.18</v>
      </c>
      <c r="G279" s="35"/>
      <c r="H279" s="36" t="n">
        <f aca="false">IF($A279="","",IF(ISNUMBER($G279),$G279,IF(ISNUMBER($F279),$F279,"")))</f>
        <v>0.18</v>
      </c>
      <c r="I279" s="37" t="n">
        <f aca="false">IF(OR($A279="",NOT(ISNUMBER($D279)),NOT(ISNUMBER($H279))),"",IF((1-$H279-Parâmetros!$B$9-Parâmetros!$C$9-Parâmetros!$D$9)&lt;=0,"INVALIDO",($D279+IF(ISNUMBER($E279),$E279,0)+IF(ISNUMBER(Parâmetros!$E$9),Parâmetros!$E$9,0))/(1-$H279-Parâmetros!$B$9-Parâmetros!$C$9-Parâmetros!$D$9)))</f>
        <v>1448.67346938776</v>
      </c>
      <c r="J279" s="38"/>
      <c r="K279" s="39" t="n">
        <f aca="false">IF(OR($A279="",NOT(ISNUMBER($D279)),NOT(ISNUMBER($H279))),"",IF(AND(ISNUMBER($J279),$J279&gt;0),$J279,IF(ISNUMBER($I279),$I279,"")))</f>
        <v>1448.67346938776</v>
      </c>
      <c r="L279" s="40" t="n">
        <f aca="false">IF(ISNUMBER($K279),$K279*$H279,"")</f>
        <v>260.761224489796</v>
      </c>
      <c r="M279" s="40" t="n">
        <f aca="false">IF(ISNUMBER($K279),$K279*Parâmetros!$B$9,"")</f>
        <v>144.867346938776</v>
      </c>
      <c r="N279" s="40" t="n">
        <f aca="false">IF(ISNUMBER($K279),$K279*Parâmetros!$C$9,"")</f>
        <v>43.4602040816327</v>
      </c>
      <c r="O279" s="40" t="n">
        <f aca="false">IF(ISNUMBER($K279),IF(ISNUMBER(Parâmetros!$E$9),Parâmetros!$E$9,0),"")</f>
        <v>0</v>
      </c>
      <c r="P279" s="41" t="n">
        <f aca="false">IF(ISNUMBER($K279),$K279-$D279-IF(ISNUMBER($E279),$E279,0)-$L279-$M279-$N279-$O279,"")</f>
        <v>289.734693877551</v>
      </c>
      <c r="Q279" s="42" t="n">
        <f aca="false">IF(AND(ISNUMBER($K279),$K279&gt;0),$P279/$K279,"")</f>
        <v>0.2</v>
      </c>
      <c r="R279" s="43"/>
      <c r="S279" s="44" t="str">
        <f aca="false">IF(OR(NOT(ISNUMBER($R279)),$R279=0,NOT(ISNUMBER($K279))),"",$K279*(1-$R279))</f>
        <v/>
      </c>
      <c r="T279" s="45" t="str">
        <f aca="false">IF(ISNUMBER($S279),$S279*$H279,"")</f>
        <v/>
      </c>
      <c r="U279" s="45" t="str">
        <f aca="false">IF(ISNUMBER($S279),$S279*Parâmetros!$B$9,"")</f>
        <v/>
      </c>
      <c r="V279" s="45" t="str">
        <f aca="false">IF(ISNUMBER($S279),$S279*Parâmetros!$C$9,"")</f>
        <v/>
      </c>
      <c r="W279" s="44" t="str">
        <f aca="false">IF(ISNUMBER($S279),$S279-$D279-IF(ISNUMBER($E279),$E279,0)-$O279-$T279-$U279-$V279,"")</f>
        <v/>
      </c>
      <c r="X279" s="46" t="str">
        <f aca="false">IF(AND(ISNUMBER($S279),$S279&gt;0),$W279/$S279,"")</f>
        <v/>
      </c>
      <c r="Y279" s="49"/>
      <c r="Z279" s="21"/>
    </row>
    <row r="280" customFormat="false" ht="15.75" hidden="false" customHeight="true" outlineLevel="0" collapsed="false">
      <c r="A280" s="32" t="str">
        <f aca="false">IF(Produtos!$A280="","",Produtos!$A280)</f>
        <v>P4075R</v>
      </c>
      <c r="B280" s="32" t="str">
        <f aca="false">IF(Produtos!$A280="","",Produtos!$B280)</f>
        <v>Lixeira c/Tampa Pedal 40x75 95L c/Rodízios</v>
      </c>
      <c r="C280" s="32" t="str">
        <f aca="false">IF(Produtos!$A280="","",Produtos!$C280)</f>
        <v>Lixeiras com pedal</v>
      </c>
      <c r="D280" s="33" t="n">
        <f aca="false">IF(Produtos!$A280="","",IF(Produtos!$D280="","",Produtos!$D280))</f>
        <v>771.39</v>
      </c>
      <c r="E280" s="11" t="n">
        <v>0</v>
      </c>
      <c r="F280" s="34" t="n">
        <f aca="false">IF($A280="","",IF($C280="","⚠ categoria",IFERROR(INDEX(Parâmetros!$G$13:$G$22,MATCH($C280,Parâmetros!$A$13:$A$22,0)),"⚠ categoria")))</f>
        <v>0.18</v>
      </c>
      <c r="G280" s="35"/>
      <c r="H280" s="36" t="n">
        <f aca="false">IF($A280="","",IF(ISNUMBER($G280),$G280,IF(ISNUMBER($F280),$F280,"")))</f>
        <v>0.18</v>
      </c>
      <c r="I280" s="37" t="n">
        <f aca="false">IF(OR($A280="",NOT(ISNUMBER($D280)),NOT(ISNUMBER($H280))),"",IF((1-$H280-Parâmetros!$B$9-Parâmetros!$C$9-Parâmetros!$D$9)&lt;=0,"INVALIDO",($D280+IF(ISNUMBER($E280),$E280,0)+IF(ISNUMBER(Parâmetros!$E$9),Parâmetros!$E$9,0))/(1-$H280-Parâmetros!$B$9-Parâmetros!$C$9-Parâmetros!$D$9)))</f>
        <v>1574.26530612245</v>
      </c>
      <c r="J280" s="38"/>
      <c r="K280" s="39" t="n">
        <f aca="false">IF(OR($A280="",NOT(ISNUMBER($D280)),NOT(ISNUMBER($H280))),"",IF(AND(ISNUMBER($J280),$J280&gt;0),$J280,IF(ISNUMBER($I280),$I280,"")))</f>
        <v>1574.26530612245</v>
      </c>
      <c r="L280" s="40" t="n">
        <f aca="false">IF(ISNUMBER($K280),$K280*$H280,"")</f>
        <v>283.367755102041</v>
      </c>
      <c r="M280" s="40" t="n">
        <f aca="false">IF(ISNUMBER($K280),$K280*Parâmetros!$B$9,"")</f>
        <v>157.426530612245</v>
      </c>
      <c r="N280" s="40" t="n">
        <f aca="false">IF(ISNUMBER($K280),$K280*Parâmetros!$C$9,"")</f>
        <v>47.2279591836735</v>
      </c>
      <c r="O280" s="40" t="n">
        <f aca="false">IF(ISNUMBER($K280),IF(ISNUMBER(Parâmetros!$E$9),Parâmetros!$E$9,0),"")</f>
        <v>0</v>
      </c>
      <c r="P280" s="41" t="n">
        <f aca="false">IF(ISNUMBER($K280),$K280-$D280-IF(ISNUMBER($E280),$E280,0)-$L280-$M280-$N280-$O280,"")</f>
        <v>314.85306122449</v>
      </c>
      <c r="Q280" s="42" t="n">
        <f aca="false">IF(AND(ISNUMBER($K280),$K280&gt;0),$P280/$K280,"")</f>
        <v>0.2</v>
      </c>
      <c r="R280" s="43"/>
      <c r="S280" s="44" t="str">
        <f aca="false">IF(OR(NOT(ISNUMBER($R280)),$R280=0,NOT(ISNUMBER($K280))),"",$K280*(1-$R280))</f>
        <v/>
      </c>
      <c r="T280" s="45" t="str">
        <f aca="false">IF(ISNUMBER($S280),$S280*$H280,"")</f>
        <v/>
      </c>
      <c r="U280" s="45" t="str">
        <f aca="false">IF(ISNUMBER($S280),$S280*Parâmetros!$B$9,"")</f>
        <v/>
      </c>
      <c r="V280" s="45" t="str">
        <f aca="false">IF(ISNUMBER($S280),$S280*Parâmetros!$C$9,"")</f>
        <v/>
      </c>
      <c r="W280" s="44" t="str">
        <f aca="false">IF(ISNUMBER($S280),$S280-$D280-IF(ISNUMBER($E280),$E280,0)-$O280-$T280-$U280-$V280,"")</f>
        <v/>
      </c>
      <c r="X280" s="46" t="str">
        <f aca="false">IF(AND(ISNUMBER($S280),$S280&gt;0),$W280/$S280,"")</f>
        <v/>
      </c>
      <c r="Y280" s="47"/>
      <c r="Z280" s="19"/>
    </row>
    <row r="281" customFormat="false" ht="15.75" hidden="false" customHeight="true" outlineLevel="0" collapsed="false">
      <c r="A281" s="48" t="str">
        <f aca="false">IF(Produtos!$A281="","",Produtos!$A281)</f>
        <v>P4080R</v>
      </c>
      <c r="B281" s="48" t="str">
        <f aca="false">IF(Produtos!$A281="","",Produtos!$B281)</f>
        <v>Lixeira c/Tampa Pedal 40x80 100L c/Rodízios</v>
      </c>
      <c r="C281" s="48" t="str">
        <f aca="false">IF(Produtos!$A281="","",Produtos!$C281)</f>
        <v>Lixeiras com pedal</v>
      </c>
      <c r="D281" s="33" t="n">
        <f aca="false">IF(Produtos!$A281="","",IF(Produtos!$D281="","",Produtos!$D281))</f>
        <v>847.75</v>
      </c>
      <c r="E281" s="11" t="n">
        <v>0</v>
      </c>
      <c r="F281" s="34" t="n">
        <f aca="false">IF($A281="","",IF($C281="","⚠ categoria",IFERROR(INDEX(Parâmetros!$G$13:$G$22,MATCH($C281,Parâmetros!$A$13:$A$22,0)),"⚠ categoria")))</f>
        <v>0.18</v>
      </c>
      <c r="G281" s="35"/>
      <c r="H281" s="36" t="n">
        <f aca="false">IF($A281="","",IF(ISNUMBER($G281),$G281,IF(ISNUMBER($F281),$F281,"")))</f>
        <v>0.18</v>
      </c>
      <c r="I281" s="37" t="n">
        <f aca="false">IF(OR($A281="",NOT(ISNUMBER($D281)),NOT(ISNUMBER($H281))),"",IF((1-$H281-Parâmetros!$B$9-Parâmetros!$C$9-Parâmetros!$D$9)&lt;=0,"INVALIDO",($D281+IF(ISNUMBER($E281),$E281,0)+IF(ISNUMBER(Parâmetros!$E$9),Parâmetros!$E$9,0))/(1-$H281-Parâmetros!$B$9-Parâmetros!$C$9-Parâmetros!$D$9)))</f>
        <v>1730.10204081633</v>
      </c>
      <c r="J281" s="38"/>
      <c r="K281" s="39" t="n">
        <f aca="false">IF(OR($A281="",NOT(ISNUMBER($D281)),NOT(ISNUMBER($H281))),"",IF(AND(ISNUMBER($J281),$J281&gt;0),$J281,IF(ISNUMBER($I281),$I281,"")))</f>
        <v>1730.10204081633</v>
      </c>
      <c r="L281" s="40" t="n">
        <f aca="false">IF(ISNUMBER($K281),$K281*$H281,"")</f>
        <v>311.418367346939</v>
      </c>
      <c r="M281" s="40" t="n">
        <f aca="false">IF(ISNUMBER($K281),$K281*Parâmetros!$B$9,"")</f>
        <v>173.010204081633</v>
      </c>
      <c r="N281" s="40" t="n">
        <f aca="false">IF(ISNUMBER($K281),$K281*Parâmetros!$C$9,"")</f>
        <v>51.9030612244898</v>
      </c>
      <c r="O281" s="40" t="n">
        <f aca="false">IF(ISNUMBER($K281),IF(ISNUMBER(Parâmetros!$E$9),Parâmetros!$E$9,0),"")</f>
        <v>0</v>
      </c>
      <c r="P281" s="41" t="n">
        <f aca="false">IF(ISNUMBER($K281),$K281-$D281-IF(ISNUMBER($E281),$E281,0)-$L281-$M281-$N281-$O281,"")</f>
        <v>346.020408163265</v>
      </c>
      <c r="Q281" s="42" t="n">
        <f aca="false">IF(AND(ISNUMBER($K281),$K281&gt;0),$P281/$K281,"")</f>
        <v>0.2</v>
      </c>
      <c r="R281" s="43"/>
      <c r="S281" s="44" t="str">
        <f aca="false">IF(OR(NOT(ISNUMBER($R281)),$R281=0,NOT(ISNUMBER($K281))),"",$K281*(1-$R281))</f>
        <v/>
      </c>
      <c r="T281" s="45" t="str">
        <f aca="false">IF(ISNUMBER($S281),$S281*$H281,"")</f>
        <v/>
      </c>
      <c r="U281" s="45" t="str">
        <f aca="false">IF(ISNUMBER($S281),$S281*Parâmetros!$B$9,"")</f>
        <v/>
      </c>
      <c r="V281" s="45" t="str">
        <f aca="false">IF(ISNUMBER($S281),$S281*Parâmetros!$C$9,"")</f>
        <v/>
      </c>
      <c r="W281" s="44" t="str">
        <f aca="false">IF(ISNUMBER($S281),$S281-$D281-IF(ISNUMBER($E281),$E281,0)-$O281-$T281-$U281-$V281,"")</f>
        <v/>
      </c>
      <c r="X281" s="46" t="str">
        <f aca="false">IF(AND(ISNUMBER($S281),$S281&gt;0),$W281/$S281,"")</f>
        <v/>
      </c>
      <c r="Y281" s="49"/>
      <c r="Z281" s="21"/>
    </row>
    <row r="282" customFormat="false" ht="15.75" hidden="false" customHeight="true" outlineLevel="0" collapsed="false">
      <c r="A282" s="32" t="str">
        <f aca="false">IF(Produtos!$A282="","",Produtos!$A282)</f>
        <v>P4090R</v>
      </c>
      <c r="B282" s="32" t="str">
        <f aca="false">IF(Produtos!$A282="","",Produtos!$B282)</f>
        <v>Lixeira c/Tampa Pedal 40x90 120L c/Rodízios</v>
      </c>
      <c r="C282" s="32" t="str">
        <f aca="false">IF(Produtos!$A282="","",Produtos!$C282)</f>
        <v>Lixeiras com pedal</v>
      </c>
      <c r="D282" s="33" t="n">
        <f aca="false">IF(Produtos!$A282="","",IF(Produtos!$D282="","",Produtos!$D282))</f>
        <v>1057.78</v>
      </c>
      <c r="E282" s="11" t="n">
        <v>0</v>
      </c>
      <c r="F282" s="34" t="n">
        <f aca="false">IF($A282="","",IF($C282="","⚠ categoria",IFERROR(INDEX(Parâmetros!$G$13:$G$22,MATCH($C282,Parâmetros!$A$13:$A$22,0)),"⚠ categoria")))</f>
        <v>0.18</v>
      </c>
      <c r="G282" s="35"/>
      <c r="H282" s="36" t="n">
        <f aca="false">IF($A282="","",IF(ISNUMBER($G282),$G282,IF(ISNUMBER($F282),$F282,"")))</f>
        <v>0.18</v>
      </c>
      <c r="I282" s="37" t="n">
        <f aca="false">IF(OR($A282="",NOT(ISNUMBER($D282)),NOT(ISNUMBER($H282))),"",IF((1-$H282-Parâmetros!$B$9-Parâmetros!$C$9-Parâmetros!$D$9)&lt;=0,"INVALIDO",($D282+IF(ISNUMBER($E282),$E282,0)+IF(ISNUMBER(Parâmetros!$E$9),Parâmetros!$E$9,0))/(1-$H282-Parâmetros!$B$9-Parâmetros!$C$9-Parâmetros!$D$9)))</f>
        <v>2158.73469387755</v>
      </c>
      <c r="J282" s="38"/>
      <c r="K282" s="39" t="n">
        <f aca="false">IF(OR($A282="",NOT(ISNUMBER($D282)),NOT(ISNUMBER($H282))),"",IF(AND(ISNUMBER($J282),$J282&gt;0),$J282,IF(ISNUMBER($I282),$I282,"")))</f>
        <v>2158.73469387755</v>
      </c>
      <c r="L282" s="40" t="n">
        <f aca="false">IF(ISNUMBER($K282),$K282*$H282,"")</f>
        <v>388.572244897959</v>
      </c>
      <c r="M282" s="40" t="n">
        <f aca="false">IF(ISNUMBER($K282),$K282*Parâmetros!$B$9,"")</f>
        <v>215.873469387755</v>
      </c>
      <c r="N282" s="40" t="n">
        <f aca="false">IF(ISNUMBER($K282),$K282*Parâmetros!$C$9,"")</f>
        <v>64.7620408163265</v>
      </c>
      <c r="O282" s="40" t="n">
        <f aca="false">IF(ISNUMBER($K282),IF(ISNUMBER(Parâmetros!$E$9),Parâmetros!$E$9,0),"")</f>
        <v>0</v>
      </c>
      <c r="P282" s="41" t="n">
        <f aca="false">IF(ISNUMBER($K282),$K282-$D282-IF(ISNUMBER($E282),$E282,0)-$L282-$M282-$N282-$O282,"")</f>
        <v>431.74693877551</v>
      </c>
      <c r="Q282" s="42" t="n">
        <f aca="false">IF(AND(ISNUMBER($K282),$K282&gt;0),$P282/$K282,"")</f>
        <v>0.2</v>
      </c>
      <c r="R282" s="43"/>
      <c r="S282" s="44" t="str">
        <f aca="false">IF(OR(NOT(ISNUMBER($R282)),$R282=0,NOT(ISNUMBER($K282))),"",$K282*(1-$R282))</f>
        <v/>
      </c>
      <c r="T282" s="45" t="str">
        <f aca="false">IF(ISNUMBER($S282),$S282*$H282,"")</f>
        <v/>
      </c>
      <c r="U282" s="45" t="str">
        <f aca="false">IF(ISNUMBER($S282),$S282*Parâmetros!$B$9,"")</f>
        <v/>
      </c>
      <c r="V282" s="45" t="str">
        <f aca="false">IF(ISNUMBER($S282),$S282*Parâmetros!$C$9,"")</f>
        <v/>
      </c>
      <c r="W282" s="44" t="str">
        <f aca="false">IF(ISNUMBER($S282),$S282-$D282-IF(ISNUMBER($E282),$E282,0)-$O282-$T282-$U282-$V282,"")</f>
        <v/>
      </c>
      <c r="X282" s="46" t="str">
        <f aca="false">IF(AND(ISNUMBER($S282),$S282&gt;0),$W282/$S282,"")</f>
        <v/>
      </c>
      <c r="Y282" s="47"/>
      <c r="Z282" s="19"/>
    </row>
    <row r="283" customFormat="false" ht="15.75" hidden="false" customHeight="true" outlineLevel="0" collapsed="false">
      <c r="A283" s="48" t="str">
        <f aca="false">IF(Produtos!$A283="","",Produtos!$A283)</f>
        <v>P1618ALC</v>
      </c>
      <c r="B283" s="48" t="str">
        <f aca="false">IF(Produtos!$A283="","",Produtos!$B283)</f>
        <v>Lixeira c/Tampa Pedal 16x18 03L c/Alças</v>
      </c>
      <c r="C283" s="48" t="str">
        <f aca="false">IF(Produtos!$A283="","",Produtos!$C283)</f>
        <v>Lixeiras com pedal</v>
      </c>
      <c r="D283" s="33" t="n">
        <f aca="false">IF(Produtos!$A283="","",IF(Produtos!$D283="","",Produtos!$D283))</f>
        <v>156.92</v>
      </c>
      <c r="E283" s="11" t="n">
        <v>0</v>
      </c>
      <c r="F283" s="34" t="n">
        <f aca="false">IF($A283="","",IF($C283="","⚠ categoria",IFERROR(INDEX(Parâmetros!$G$13:$G$22,MATCH($C283,Parâmetros!$A$13:$A$22,0)),"⚠ categoria")))</f>
        <v>0.18</v>
      </c>
      <c r="G283" s="35"/>
      <c r="H283" s="36" t="n">
        <f aca="false">IF($A283="","",IF(ISNUMBER($G283),$G283,IF(ISNUMBER($F283),$F283,"")))</f>
        <v>0.18</v>
      </c>
      <c r="I283" s="37" t="n">
        <f aca="false">IF(OR($A283="",NOT(ISNUMBER($D283)),NOT(ISNUMBER($H283))),"",IF((1-$H283-Parâmetros!$B$9-Parâmetros!$C$9-Parâmetros!$D$9)&lt;=0,"INVALIDO",($D283+IF(ISNUMBER($E283),$E283,0)+IF(ISNUMBER(Parâmetros!$E$9),Parâmetros!$E$9,0))/(1-$H283-Parâmetros!$B$9-Parâmetros!$C$9-Parâmetros!$D$9)))</f>
        <v>320.244897959184</v>
      </c>
      <c r="J283" s="38"/>
      <c r="K283" s="39" t="n">
        <f aca="false">IF(OR($A283="",NOT(ISNUMBER($D283)),NOT(ISNUMBER($H283))),"",IF(AND(ISNUMBER($J283),$J283&gt;0),$J283,IF(ISNUMBER($I283),$I283,"")))</f>
        <v>320.244897959184</v>
      </c>
      <c r="L283" s="40" t="n">
        <f aca="false">IF(ISNUMBER($K283),$K283*$H283,"")</f>
        <v>57.6440816326531</v>
      </c>
      <c r="M283" s="40" t="n">
        <f aca="false">IF(ISNUMBER($K283),$K283*Parâmetros!$B$9,"")</f>
        <v>32.0244897959184</v>
      </c>
      <c r="N283" s="40" t="n">
        <f aca="false">IF(ISNUMBER($K283),$K283*Parâmetros!$C$9,"")</f>
        <v>9.60734693877551</v>
      </c>
      <c r="O283" s="40" t="n">
        <f aca="false">IF(ISNUMBER($K283),IF(ISNUMBER(Parâmetros!$E$9),Parâmetros!$E$9,0),"")</f>
        <v>0</v>
      </c>
      <c r="P283" s="41" t="n">
        <f aca="false">IF(ISNUMBER($K283),$K283-$D283-IF(ISNUMBER($E283),$E283,0)-$L283-$M283-$N283-$O283,"")</f>
        <v>64.0489795918367</v>
      </c>
      <c r="Q283" s="42" t="n">
        <f aca="false">IF(AND(ISNUMBER($K283),$K283&gt;0),$P283/$K283,"")</f>
        <v>0.2</v>
      </c>
      <c r="R283" s="43"/>
      <c r="S283" s="44" t="str">
        <f aca="false">IF(OR(NOT(ISNUMBER($R283)),$R283=0,NOT(ISNUMBER($K283))),"",$K283*(1-$R283))</f>
        <v/>
      </c>
      <c r="T283" s="45" t="str">
        <f aca="false">IF(ISNUMBER($S283),$S283*$H283,"")</f>
        <v/>
      </c>
      <c r="U283" s="45" t="str">
        <f aca="false">IF(ISNUMBER($S283),$S283*Parâmetros!$B$9,"")</f>
        <v/>
      </c>
      <c r="V283" s="45" t="str">
        <f aca="false">IF(ISNUMBER($S283),$S283*Parâmetros!$C$9,"")</f>
        <v/>
      </c>
      <c r="W283" s="44" t="str">
        <f aca="false">IF(ISNUMBER($S283),$S283-$D283-IF(ISNUMBER($E283),$E283,0)-$O283-$T283-$U283-$V283,"")</f>
        <v/>
      </c>
      <c r="X283" s="46" t="str">
        <f aca="false">IF(AND(ISNUMBER($S283),$S283&gt;0),$W283/$S283,"")</f>
        <v/>
      </c>
      <c r="Y283" s="49"/>
      <c r="Z283" s="21"/>
    </row>
    <row r="284" customFormat="false" ht="15.75" hidden="false" customHeight="true" outlineLevel="0" collapsed="false">
      <c r="A284" s="32" t="str">
        <f aca="false">IF(Produtos!$A284="","",Produtos!$A284)</f>
        <v>P1623ALC</v>
      </c>
      <c r="B284" s="32" t="str">
        <f aca="false">IF(Produtos!$A284="","",Produtos!$B284)</f>
        <v>Lixeira c/Tampa Pedal 16x23 05L c/Alças</v>
      </c>
      <c r="C284" s="32" t="str">
        <f aca="false">IF(Produtos!$A284="","",Produtos!$C284)</f>
        <v>Lixeiras com pedal</v>
      </c>
      <c r="D284" s="33" t="n">
        <f aca="false">IF(Produtos!$A284="","",IF(Produtos!$D284="","",Produtos!$D284))</f>
        <v>170.79</v>
      </c>
      <c r="E284" s="11" t="n">
        <v>0</v>
      </c>
      <c r="F284" s="34" t="n">
        <f aca="false">IF($A284="","",IF($C284="","⚠ categoria",IFERROR(INDEX(Parâmetros!$G$13:$G$22,MATCH($C284,Parâmetros!$A$13:$A$22,0)),"⚠ categoria")))</f>
        <v>0.18</v>
      </c>
      <c r="G284" s="35"/>
      <c r="H284" s="36" t="n">
        <f aca="false">IF($A284="","",IF(ISNUMBER($G284),$G284,IF(ISNUMBER($F284),$F284,"")))</f>
        <v>0.18</v>
      </c>
      <c r="I284" s="37" t="n">
        <f aca="false">IF(OR($A284="",NOT(ISNUMBER($D284)),NOT(ISNUMBER($H284))),"",IF((1-$H284-Parâmetros!$B$9-Parâmetros!$C$9-Parâmetros!$D$9)&lt;=0,"INVALIDO",($D284+IF(ISNUMBER($E284),$E284,0)+IF(ISNUMBER(Parâmetros!$E$9),Parâmetros!$E$9,0))/(1-$H284-Parâmetros!$B$9-Parâmetros!$C$9-Parâmetros!$D$9)))</f>
        <v>348.551020408163</v>
      </c>
      <c r="J284" s="38"/>
      <c r="K284" s="39" t="n">
        <f aca="false">IF(OR($A284="",NOT(ISNUMBER($D284)),NOT(ISNUMBER($H284))),"",IF(AND(ISNUMBER($J284),$J284&gt;0),$J284,IF(ISNUMBER($I284),$I284,"")))</f>
        <v>348.551020408163</v>
      </c>
      <c r="L284" s="40" t="n">
        <f aca="false">IF(ISNUMBER($K284),$K284*$H284,"")</f>
        <v>62.7391836734694</v>
      </c>
      <c r="M284" s="40" t="n">
        <f aca="false">IF(ISNUMBER($K284),$K284*Parâmetros!$B$9,"")</f>
        <v>34.8551020408163</v>
      </c>
      <c r="N284" s="40" t="n">
        <f aca="false">IF(ISNUMBER($K284),$K284*Parâmetros!$C$9,"")</f>
        <v>10.4565306122449</v>
      </c>
      <c r="O284" s="40" t="n">
        <f aca="false">IF(ISNUMBER($K284),IF(ISNUMBER(Parâmetros!$E$9),Parâmetros!$E$9,0),"")</f>
        <v>0</v>
      </c>
      <c r="P284" s="41" t="n">
        <f aca="false">IF(ISNUMBER($K284),$K284-$D284-IF(ISNUMBER($E284),$E284,0)-$L284-$M284-$N284-$O284,"")</f>
        <v>69.7102040816326</v>
      </c>
      <c r="Q284" s="42" t="n">
        <f aca="false">IF(AND(ISNUMBER($K284),$K284&gt;0),$P284/$K284,"")</f>
        <v>0.2</v>
      </c>
      <c r="R284" s="43"/>
      <c r="S284" s="44" t="str">
        <f aca="false">IF(OR(NOT(ISNUMBER($R284)),$R284=0,NOT(ISNUMBER($K284))),"",$K284*(1-$R284))</f>
        <v/>
      </c>
      <c r="T284" s="45" t="str">
        <f aca="false">IF(ISNUMBER($S284),$S284*$H284,"")</f>
        <v/>
      </c>
      <c r="U284" s="45" t="str">
        <f aca="false">IF(ISNUMBER($S284),$S284*Parâmetros!$B$9,"")</f>
        <v/>
      </c>
      <c r="V284" s="45" t="str">
        <f aca="false">IF(ISNUMBER($S284),$S284*Parâmetros!$C$9,"")</f>
        <v/>
      </c>
      <c r="W284" s="44" t="str">
        <f aca="false">IF(ISNUMBER($S284),$S284-$D284-IF(ISNUMBER($E284),$E284,0)-$O284-$T284-$U284-$V284,"")</f>
        <v/>
      </c>
      <c r="X284" s="46" t="str">
        <f aca="false">IF(AND(ISNUMBER($S284),$S284&gt;0),$W284/$S284,"")</f>
        <v/>
      </c>
      <c r="Y284" s="47"/>
      <c r="Z284" s="19"/>
    </row>
    <row r="285" customFormat="false" ht="15.75" hidden="false" customHeight="true" outlineLevel="0" collapsed="false">
      <c r="A285" s="48" t="str">
        <f aca="false">IF(Produtos!$A285="","",Produtos!$A285)</f>
        <v>P2025ALC</v>
      </c>
      <c r="B285" s="48" t="str">
        <f aca="false">IF(Produtos!$A285="","",Produtos!$B285)</f>
        <v>Lixeira c/Tampa Pedal 20x25 07L c/Alças</v>
      </c>
      <c r="C285" s="48" t="str">
        <f aca="false">IF(Produtos!$A285="","",Produtos!$C285)</f>
        <v>Lixeiras com pedal</v>
      </c>
      <c r="D285" s="33" t="n">
        <f aca="false">IF(Produtos!$A285="","",IF(Produtos!$D285="","",Produtos!$D285))</f>
        <v>175.76</v>
      </c>
      <c r="E285" s="11" t="n">
        <v>0</v>
      </c>
      <c r="F285" s="34" t="n">
        <f aca="false">IF($A285="","",IF($C285="","⚠ categoria",IFERROR(INDEX(Parâmetros!$G$13:$G$22,MATCH($C285,Parâmetros!$A$13:$A$22,0)),"⚠ categoria")))</f>
        <v>0.18</v>
      </c>
      <c r="G285" s="35"/>
      <c r="H285" s="36" t="n">
        <f aca="false">IF($A285="","",IF(ISNUMBER($G285),$G285,IF(ISNUMBER($F285),$F285,"")))</f>
        <v>0.18</v>
      </c>
      <c r="I285" s="37" t="n">
        <f aca="false">IF(OR($A285="",NOT(ISNUMBER($D285)),NOT(ISNUMBER($H285))),"",IF((1-$H285-Parâmetros!$B$9-Parâmetros!$C$9-Parâmetros!$D$9)&lt;=0,"INVALIDO",($D285+IF(ISNUMBER($E285),$E285,0)+IF(ISNUMBER(Parâmetros!$E$9),Parâmetros!$E$9,0))/(1-$H285-Parâmetros!$B$9-Parâmetros!$C$9-Parâmetros!$D$9)))</f>
        <v>358.69387755102</v>
      </c>
      <c r="J285" s="38"/>
      <c r="K285" s="39" t="n">
        <f aca="false">IF(OR($A285="",NOT(ISNUMBER($D285)),NOT(ISNUMBER($H285))),"",IF(AND(ISNUMBER($J285),$J285&gt;0),$J285,IF(ISNUMBER($I285),$I285,"")))</f>
        <v>358.69387755102</v>
      </c>
      <c r="L285" s="40" t="n">
        <f aca="false">IF(ISNUMBER($K285),$K285*$H285,"")</f>
        <v>64.5648979591837</v>
      </c>
      <c r="M285" s="40" t="n">
        <f aca="false">IF(ISNUMBER($K285),$K285*Parâmetros!$B$9,"")</f>
        <v>35.869387755102</v>
      </c>
      <c r="N285" s="40" t="n">
        <f aca="false">IF(ISNUMBER($K285),$K285*Parâmetros!$C$9,"")</f>
        <v>10.7608163265306</v>
      </c>
      <c r="O285" s="40" t="n">
        <f aca="false">IF(ISNUMBER($K285),IF(ISNUMBER(Parâmetros!$E$9),Parâmetros!$E$9,0),"")</f>
        <v>0</v>
      </c>
      <c r="P285" s="41" t="n">
        <f aca="false">IF(ISNUMBER($K285),$K285-$D285-IF(ISNUMBER($E285),$E285,0)-$L285-$M285-$N285-$O285,"")</f>
        <v>71.7387755102041</v>
      </c>
      <c r="Q285" s="42" t="n">
        <f aca="false">IF(AND(ISNUMBER($K285),$K285&gt;0),$P285/$K285,"")</f>
        <v>0.2</v>
      </c>
      <c r="R285" s="43"/>
      <c r="S285" s="44" t="str">
        <f aca="false">IF(OR(NOT(ISNUMBER($R285)),$R285=0,NOT(ISNUMBER($K285))),"",$K285*(1-$R285))</f>
        <v/>
      </c>
      <c r="T285" s="45" t="str">
        <f aca="false">IF(ISNUMBER($S285),$S285*$H285,"")</f>
        <v/>
      </c>
      <c r="U285" s="45" t="str">
        <f aca="false">IF(ISNUMBER($S285),$S285*Parâmetros!$B$9,"")</f>
        <v/>
      </c>
      <c r="V285" s="45" t="str">
        <f aca="false">IF(ISNUMBER($S285),$S285*Parâmetros!$C$9,"")</f>
        <v/>
      </c>
      <c r="W285" s="44" t="str">
        <f aca="false">IF(ISNUMBER($S285),$S285-$D285-IF(ISNUMBER($E285),$E285,0)-$O285-$T285-$U285-$V285,"")</f>
        <v/>
      </c>
      <c r="X285" s="46" t="str">
        <f aca="false">IF(AND(ISNUMBER($S285),$S285&gt;0),$W285/$S285,"")</f>
        <v/>
      </c>
      <c r="Y285" s="49"/>
      <c r="Z285" s="21"/>
    </row>
    <row r="286" customFormat="false" ht="15.75" hidden="false" customHeight="true" outlineLevel="0" collapsed="false">
      <c r="A286" s="32" t="str">
        <f aca="false">IF(Produtos!$A286="","",Produtos!$A286)</f>
        <v>P2030ALC</v>
      </c>
      <c r="B286" s="32" t="str">
        <f aca="false">IF(Produtos!$A286="","",Produtos!$B286)</f>
        <v>Lixeira c/Tampa Pedal 20x30 10L c/Alças</v>
      </c>
      <c r="C286" s="32" t="str">
        <f aca="false">IF(Produtos!$A286="","",Produtos!$C286)</f>
        <v>Lixeiras com pedal</v>
      </c>
      <c r="D286" s="33" t="n">
        <f aca="false">IF(Produtos!$A286="","",IF(Produtos!$D286="","",Produtos!$D286))</f>
        <v>190.1</v>
      </c>
      <c r="E286" s="11" t="n">
        <v>0</v>
      </c>
      <c r="F286" s="34" t="n">
        <f aca="false">IF($A286="","",IF($C286="","⚠ categoria",IFERROR(INDEX(Parâmetros!$G$13:$G$22,MATCH($C286,Parâmetros!$A$13:$A$22,0)),"⚠ categoria")))</f>
        <v>0.18</v>
      </c>
      <c r="G286" s="35"/>
      <c r="H286" s="36" t="n">
        <f aca="false">IF($A286="","",IF(ISNUMBER($G286),$G286,IF(ISNUMBER($F286),$F286,"")))</f>
        <v>0.18</v>
      </c>
      <c r="I286" s="37" t="n">
        <f aca="false">IF(OR($A286="",NOT(ISNUMBER($D286)),NOT(ISNUMBER($H286))),"",IF((1-$H286-Parâmetros!$B$9-Parâmetros!$C$9-Parâmetros!$D$9)&lt;=0,"INVALIDO",($D286+IF(ISNUMBER($E286),$E286,0)+IF(ISNUMBER(Parâmetros!$E$9),Parâmetros!$E$9,0))/(1-$H286-Parâmetros!$B$9-Parâmetros!$C$9-Parâmetros!$D$9)))</f>
        <v>387.959183673469</v>
      </c>
      <c r="J286" s="38"/>
      <c r="K286" s="39" t="n">
        <f aca="false">IF(OR($A286="",NOT(ISNUMBER($D286)),NOT(ISNUMBER($H286))),"",IF(AND(ISNUMBER($J286),$J286&gt;0),$J286,IF(ISNUMBER($I286),$I286,"")))</f>
        <v>387.959183673469</v>
      </c>
      <c r="L286" s="40" t="n">
        <f aca="false">IF(ISNUMBER($K286),$K286*$H286,"")</f>
        <v>69.8326530612245</v>
      </c>
      <c r="M286" s="40" t="n">
        <f aca="false">IF(ISNUMBER($K286),$K286*Parâmetros!$B$9,"")</f>
        <v>38.7959183673469</v>
      </c>
      <c r="N286" s="40" t="n">
        <f aca="false">IF(ISNUMBER($K286),$K286*Parâmetros!$C$9,"")</f>
        <v>11.6387755102041</v>
      </c>
      <c r="O286" s="40" t="n">
        <f aca="false">IF(ISNUMBER($K286),IF(ISNUMBER(Parâmetros!$E$9),Parâmetros!$E$9,0),"")</f>
        <v>0</v>
      </c>
      <c r="P286" s="41" t="n">
        <f aca="false">IF(ISNUMBER($K286),$K286-$D286-IF(ISNUMBER($E286),$E286,0)-$L286-$M286-$N286-$O286,"")</f>
        <v>77.5918367346939</v>
      </c>
      <c r="Q286" s="42" t="n">
        <f aca="false">IF(AND(ISNUMBER($K286),$K286&gt;0),$P286/$K286,"")</f>
        <v>0.2</v>
      </c>
      <c r="R286" s="43"/>
      <c r="S286" s="44" t="str">
        <f aca="false">IF(OR(NOT(ISNUMBER($R286)),$R286=0,NOT(ISNUMBER($K286))),"",$K286*(1-$R286))</f>
        <v/>
      </c>
      <c r="T286" s="45" t="str">
        <f aca="false">IF(ISNUMBER($S286),$S286*$H286,"")</f>
        <v/>
      </c>
      <c r="U286" s="45" t="str">
        <f aca="false">IF(ISNUMBER($S286),$S286*Parâmetros!$B$9,"")</f>
        <v/>
      </c>
      <c r="V286" s="45" t="str">
        <f aca="false">IF(ISNUMBER($S286),$S286*Parâmetros!$C$9,"")</f>
        <v/>
      </c>
      <c r="W286" s="44" t="str">
        <f aca="false">IF(ISNUMBER($S286),$S286-$D286-IF(ISNUMBER($E286),$E286,0)-$O286-$T286-$U286-$V286,"")</f>
        <v/>
      </c>
      <c r="X286" s="46" t="str">
        <f aca="false">IF(AND(ISNUMBER($S286),$S286&gt;0),$W286/$S286,"")</f>
        <v/>
      </c>
      <c r="Y286" s="47"/>
      <c r="Z286" s="19"/>
    </row>
    <row r="287" customFormat="false" ht="15.75" hidden="false" customHeight="true" outlineLevel="0" collapsed="false">
      <c r="A287" s="48" t="str">
        <f aca="false">IF(Produtos!$A287="","",Produtos!$A287)</f>
        <v>P2425ALC</v>
      </c>
      <c r="B287" s="48" t="str">
        <f aca="false">IF(Produtos!$A287="","",Produtos!$B287)</f>
        <v>Lixeira c/Tampa Pedal 24x25 12L c/Alças</v>
      </c>
      <c r="C287" s="48" t="str">
        <f aca="false">IF(Produtos!$A287="","",Produtos!$C287)</f>
        <v>Lixeiras com pedal</v>
      </c>
      <c r="D287" s="33" t="n">
        <f aca="false">IF(Produtos!$A287="","",IF(Produtos!$D287="","",Produtos!$D287))</f>
        <v>192.87</v>
      </c>
      <c r="E287" s="11" t="n">
        <v>0</v>
      </c>
      <c r="F287" s="34" t="n">
        <f aca="false">IF($A287="","",IF($C287="","⚠ categoria",IFERROR(INDEX(Parâmetros!$G$13:$G$22,MATCH($C287,Parâmetros!$A$13:$A$22,0)),"⚠ categoria")))</f>
        <v>0.18</v>
      </c>
      <c r="G287" s="35"/>
      <c r="H287" s="36" t="n">
        <f aca="false">IF($A287="","",IF(ISNUMBER($G287),$G287,IF(ISNUMBER($F287),$F287,"")))</f>
        <v>0.18</v>
      </c>
      <c r="I287" s="37" t="n">
        <f aca="false">IF(OR($A287="",NOT(ISNUMBER($D287)),NOT(ISNUMBER($H287))),"",IF((1-$H287-Parâmetros!$B$9-Parâmetros!$C$9-Parâmetros!$D$9)&lt;=0,"INVALIDO",($D287+IF(ISNUMBER($E287),$E287,0)+IF(ISNUMBER(Parâmetros!$E$9),Parâmetros!$E$9,0))/(1-$H287-Parâmetros!$B$9-Parâmetros!$C$9-Parâmetros!$D$9)))</f>
        <v>393.612244897959</v>
      </c>
      <c r="J287" s="38"/>
      <c r="K287" s="39" t="n">
        <f aca="false">IF(OR($A287="",NOT(ISNUMBER($D287)),NOT(ISNUMBER($H287))),"",IF(AND(ISNUMBER($J287),$J287&gt;0),$J287,IF(ISNUMBER($I287),$I287,"")))</f>
        <v>393.612244897959</v>
      </c>
      <c r="L287" s="40" t="n">
        <f aca="false">IF(ISNUMBER($K287),$K287*$H287,"")</f>
        <v>70.8502040816326</v>
      </c>
      <c r="M287" s="40" t="n">
        <f aca="false">IF(ISNUMBER($K287),$K287*Parâmetros!$B$9,"")</f>
        <v>39.3612244897959</v>
      </c>
      <c r="N287" s="40" t="n">
        <f aca="false">IF(ISNUMBER($K287),$K287*Parâmetros!$C$9,"")</f>
        <v>11.8083673469388</v>
      </c>
      <c r="O287" s="40" t="n">
        <f aca="false">IF(ISNUMBER($K287),IF(ISNUMBER(Parâmetros!$E$9),Parâmetros!$E$9,0),"")</f>
        <v>0</v>
      </c>
      <c r="P287" s="41" t="n">
        <f aca="false">IF(ISNUMBER($K287),$K287-$D287-IF(ISNUMBER($E287),$E287,0)-$L287-$M287-$N287-$O287,"")</f>
        <v>78.7224489795918</v>
      </c>
      <c r="Q287" s="42" t="n">
        <f aca="false">IF(AND(ISNUMBER($K287),$K287&gt;0),$P287/$K287,"")</f>
        <v>0.2</v>
      </c>
      <c r="R287" s="43"/>
      <c r="S287" s="44" t="str">
        <f aca="false">IF(OR(NOT(ISNUMBER($R287)),$R287=0,NOT(ISNUMBER($K287))),"",$K287*(1-$R287))</f>
        <v/>
      </c>
      <c r="T287" s="45" t="str">
        <f aca="false">IF(ISNUMBER($S287),$S287*$H287,"")</f>
        <v/>
      </c>
      <c r="U287" s="45" t="str">
        <f aca="false">IF(ISNUMBER($S287),$S287*Parâmetros!$B$9,"")</f>
        <v/>
      </c>
      <c r="V287" s="45" t="str">
        <f aca="false">IF(ISNUMBER($S287),$S287*Parâmetros!$C$9,"")</f>
        <v/>
      </c>
      <c r="W287" s="44" t="str">
        <f aca="false">IF(ISNUMBER($S287),$S287-$D287-IF(ISNUMBER($E287),$E287,0)-$O287-$T287-$U287-$V287,"")</f>
        <v/>
      </c>
      <c r="X287" s="46" t="str">
        <f aca="false">IF(AND(ISNUMBER($S287),$S287&gt;0),$W287/$S287,"")</f>
        <v/>
      </c>
      <c r="Y287" s="49"/>
      <c r="Z287" s="21"/>
    </row>
    <row r="288" customFormat="false" ht="15.75" hidden="false" customHeight="true" outlineLevel="0" collapsed="false">
      <c r="A288" s="32" t="str">
        <f aca="false">IF(Produtos!$A288="","",Produtos!$A288)</f>
        <v>P2430ALC</v>
      </c>
      <c r="B288" s="32" t="str">
        <f aca="false">IF(Produtos!$A288="","",Produtos!$B288)</f>
        <v>Lixeira c/Tampa Pedal 24x30 15L c/Alças</v>
      </c>
      <c r="C288" s="32" t="str">
        <f aca="false">IF(Produtos!$A288="","",Produtos!$C288)</f>
        <v>Lixeiras com pedal</v>
      </c>
      <c r="D288" s="33" t="n">
        <f aca="false">IF(Produtos!$A288="","",IF(Produtos!$D288="","",Produtos!$D288))</f>
        <v>206.44</v>
      </c>
      <c r="E288" s="11" t="n">
        <v>0</v>
      </c>
      <c r="F288" s="34" t="n">
        <f aca="false">IF($A288="","",IF($C288="","⚠ categoria",IFERROR(INDEX(Parâmetros!$G$13:$G$22,MATCH($C288,Parâmetros!$A$13:$A$22,0)),"⚠ categoria")))</f>
        <v>0.18</v>
      </c>
      <c r="G288" s="35"/>
      <c r="H288" s="36" t="n">
        <f aca="false">IF($A288="","",IF(ISNUMBER($G288),$G288,IF(ISNUMBER($F288),$F288,"")))</f>
        <v>0.18</v>
      </c>
      <c r="I288" s="37" t="n">
        <f aca="false">IF(OR($A288="",NOT(ISNUMBER($D288)),NOT(ISNUMBER($H288))),"",IF((1-$H288-Parâmetros!$B$9-Parâmetros!$C$9-Parâmetros!$D$9)&lt;=0,"INVALIDO",($D288+IF(ISNUMBER($E288),$E288,0)+IF(ISNUMBER(Parâmetros!$E$9),Parâmetros!$E$9,0))/(1-$H288-Parâmetros!$B$9-Parâmetros!$C$9-Parâmetros!$D$9)))</f>
        <v>421.30612244898</v>
      </c>
      <c r="J288" s="38"/>
      <c r="K288" s="39" t="n">
        <f aca="false">IF(OR($A288="",NOT(ISNUMBER($D288)),NOT(ISNUMBER($H288))),"",IF(AND(ISNUMBER($J288),$J288&gt;0),$J288,IF(ISNUMBER($I288),$I288,"")))</f>
        <v>421.30612244898</v>
      </c>
      <c r="L288" s="40" t="n">
        <f aca="false">IF(ISNUMBER($K288),$K288*$H288,"")</f>
        <v>75.8351020408163</v>
      </c>
      <c r="M288" s="40" t="n">
        <f aca="false">IF(ISNUMBER($K288),$K288*Parâmetros!$B$9,"")</f>
        <v>42.130612244898</v>
      </c>
      <c r="N288" s="40" t="n">
        <f aca="false">IF(ISNUMBER($K288),$K288*Parâmetros!$C$9,"")</f>
        <v>12.6391836734694</v>
      </c>
      <c r="O288" s="40" t="n">
        <f aca="false">IF(ISNUMBER($K288),IF(ISNUMBER(Parâmetros!$E$9),Parâmetros!$E$9,0),"")</f>
        <v>0</v>
      </c>
      <c r="P288" s="41" t="n">
        <f aca="false">IF(ISNUMBER($K288),$K288-$D288-IF(ISNUMBER($E288),$E288,0)-$L288-$M288-$N288-$O288,"")</f>
        <v>84.2612244897959</v>
      </c>
      <c r="Q288" s="42" t="n">
        <f aca="false">IF(AND(ISNUMBER($K288),$K288&gt;0),$P288/$K288,"")</f>
        <v>0.2</v>
      </c>
      <c r="R288" s="43"/>
      <c r="S288" s="44" t="str">
        <f aca="false">IF(OR(NOT(ISNUMBER($R288)),$R288=0,NOT(ISNUMBER($K288))),"",$K288*(1-$R288))</f>
        <v/>
      </c>
      <c r="T288" s="45" t="str">
        <f aca="false">IF(ISNUMBER($S288),$S288*$H288,"")</f>
        <v/>
      </c>
      <c r="U288" s="45" t="str">
        <f aca="false">IF(ISNUMBER($S288),$S288*Parâmetros!$B$9,"")</f>
        <v/>
      </c>
      <c r="V288" s="45" t="str">
        <f aca="false">IF(ISNUMBER($S288),$S288*Parâmetros!$C$9,"")</f>
        <v/>
      </c>
      <c r="W288" s="44" t="str">
        <f aca="false">IF(ISNUMBER($S288),$S288-$D288-IF(ISNUMBER($E288),$E288,0)-$O288-$T288-$U288-$V288,"")</f>
        <v/>
      </c>
      <c r="X288" s="46" t="str">
        <f aca="false">IF(AND(ISNUMBER($S288),$S288&gt;0),$W288/$S288,"")</f>
        <v/>
      </c>
      <c r="Y288" s="47"/>
      <c r="Z288" s="19"/>
    </row>
    <row r="289" customFormat="false" ht="15.75" hidden="false" customHeight="true" outlineLevel="0" collapsed="false">
      <c r="A289" s="48" t="str">
        <f aca="false">IF(Produtos!$A289="","",Produtos!$A289)</f>
        <v>P2440ALC</v>
      </c>
      <c r="B289" s="48" t="str">
        <f aca="false">IF(Produtos!$A289="","",Produtos!$B289)</f>
        <v>Lixeira c/Tampa Pedal 24x40 20L c/Alças</v>
      </c>
      <c r="C289" s="48" t="str">
        <f aca="false">IF(Produtos!$A289="","",Produtos!$C289)</f>
        <v>Lixeiras com pedal</v>
      </c>
      <c r="D289" s="33" t="n">
        <f aca="false">IF(Produtos!$A289="","",IF(Produtos!$D289="","",Produtos!$D289))</f>
        <v>217.38</v>
      </c>
      <c r="E289" s="11" t="n">
        <v>0</v>
      </c>
      <c r="F289" s="34" t="n">
        <f aca="false">IF($A289="","",IF($C289="","⚠ categoria",IFERROR(INDEX(Parâmetros!$G$13:$G$22,MATCH($C289,Parâmetros!$A$13:$A$22,0)),"⚠ categoria")))</f>
        <v>0.18</v>
      </c>
      <c r="G289" s="35"/>
      <c r="H289" s="36" t="n">
        <f aca="false">IF($A289="","",IF(ISNUMBER($G289),$G289,IF(ISNUMBER($F289),$F289,"")))</f>
        <v>0.18</v>
      </c>
      <c r="I289" s="37" t="n">
        <f aca="false">IF(OR($A289="",NOT(ISNUMBER($D289)),NOT(ISNUMBER($H289))),"",IF((1-$H289-Parâmetros!$B$9-Parâmetros!$C$9-Parâmetros!$D$9)&lt;=0,"INVALIDO",($D289+IF(ISNUMBER($E289),$E289,0)+IF(ISNUMBER(Parâmetros!$E$9),Parâmetros!$E$9,0))/(1-$H289-Parâmetros!$B$9-Parâmetros!$C$9-Parâmetros!$D$9)))</f>
        <v>443.632653061224</v>
      </c>
      <c r="J289" s="38"/>
      <c r="K289" s="39" t="n">
        <f aca="false">IF(OR($A289="",NOT(ISNUMBER($D289)),NOT(ISNUMBER($H289))),"",IF(AND(ISNUMBER($J289),$J289&gt;0),$J289,IF(ISNUMBER($I289),$I289,"")))</f>
        <v>443.632653061224</v>
      </c>
      <c r="L289" s="40" t="n">
        <f aca="false">IF(ISNUMBER($K289),$K289*$H289,"")</f>
        <v>79.8538775510204</v>
      </c>
      <c r="M289" s="40" t="n">
        <f aca="false">IF(ISNUMBER($K289),$K289*Parâmetros!$B$9,"")</f>
        <v>44.3632653061225</v>
      </c>
      <c r="N289" s="40" t="n">
        <f aca="false">IF(ISNUMBER($K289),$K289*Parâmetros!$C$9,"")</f>
        <v>13.3089795918367</v>
      </c>
      <c r="O289" s="40" t="n">
        <f aca="false">IF(ISNUMBER($K289),IF(ISNUMBER(Parâmetros!$E$9),Parâmetros!$E$9,0),"")</f>
        <v>0</v>
      </c>
      <c r="P289" s="41" t="n">
        <f aca="false">IF(ISNUMBER($K289),$K289-$D289-IF(ISNUMBER($E289),$E289,0)-$L289-$M289-$N289-$O289,"")</f>
        <v>88.7265306122449</v>
      </c>
      <c r="Q289" s="42" t="n">
        <f aca="false">IF(AND(ISNUMBER($K289),$K289&gt;0),$P289/$K289,"")</f>
        <v>0.2</v>
      </c>
      <c r="R289" s="43"/>
      <c r="S289" s="44" t="str">
        <f aca="false">IF(OR(NOT(ISNUMBER($R289)),$R289=0,NOT(ISNUMBER($K289))),"",$K289*(1-$R289))</f>
        <v/>
      </c>
      <c r="T289" s="45" t="str">
        <f aca="false">IF(ISNUMBER($S289),$S289*$H289,"")</f>
        <v/>
      </c>
      <c r="U289" s="45" t="str">
        <f aca="false">IF(ISNUMBER($S289),$S289*Parâmetros!$B$9,"")</f>
        <v/>
      </c>
      <c r="V289" s="45" t="str">
        <f aca="false">IF(ISNUMBER($S289),$S289*Parâmetros!$C$9,"")</f>
        <v/>
      </c>
      <c r="W289" s="44" t="str">
        <f aca="false">IF(ISNUMBER($S289),$S289-$D289-IF(ISNUMBER($E289),$E289,0)-$O289-$T289-$U289-$V289,"")</f>
        <v/>
      </c>
      <c r="X289" s="46" t="str">
        <f aca="false">IF(AND(ISNUMBER($S289),$S289&gt;0),$W289/$S289,"")</f>
        <v/>
      </c>
      <c r="Y289" s="49"/>
      <c r="Z289" s="21"/>
    </row>
    <row r="290" customFormat="false" ht="15.75" hidden="false" customHeight="true" outlineLevel="0" collapsed="false">
      <c r="A290" s="32" t="str">
        <f aca="false">IF(Produtos!$A290="","",Produtos!$A290)</f>
        <v>P3040ALC</v>
      </c>
      <c r="B290" s="32" t="str">
        <f aca="false">IF(Produtos!$A290="","",Produtos!$B290)</f>
        <v>Lixeira c/Tampa Pedal 30x40 30L c/Alças</v>
      </c>
      <c r="C290" s="32" t="str">
        <f aca="false">IF(Produtos!$A290="","",Produtos!$C290)</f>
        <v>Lixeiras com pedal</v>
      </c>
      <c r="D290" s="33" t="n">
        <f aca="false">IF(Produtos!$A290="","",IF(Produtos!$D290="","",Produtos!$D290))</f>
        <v>296.61</v>
      </c>
      <c r="E290" s="11" t="n">
        <v>0</v>
      </c>
      <c r="F290" s="34" t="n">
        <f aca="false">IF($A290="","",IF($C290="","⚠ categoria",IFERROR(INDEX(Parâmetros!$G$13:$G$22,MATCH($C290,Parâmetros!$A$13:$A$22,0)),"⚠ categoria")))</f>
        <v>0.18</v>
      </c>
      <c r="G290" s="35"/>
      <c r="H290" s="36" t="n">
        <f aca="false">IF($A290="","",IF(ISNUMBER($G290),$G290,IF(ISNUMBER($F290),$F290,"")))</f>
        <v>0.18</v>
      </c>
      <c r="I290" s="37" t="n">
        <f aca="false">IF(OR($A290="",NOT(ISNUMBER($D290)),NOT(ISNUMBER($H290))),"",IF((1-$H290-Parâmetros!$B$9-Parâmetros!$C$9-Parâmetros!$D$9)&lt;=0,"INVALIDO",($D290+IF(ISNUMBER($E290),$E290,0)+IF(ISNUMBER(Parâmetros!$E$9),Parâmetros!$E$9,0))/(1-$H290-Parâmetros!$B$9-Parâmetros!$C$9-Parâmetros!$D$9)))</f>
        <v>605.326530612245</v>
      </c>
      <c r="J290" s="38"/>
      <c r="K290" s="39" t="n">
        <f aca="false">IF(OR($A290="",NOT(ISNUMBER($D290)),NOT(ISNUMBER($H290))),"",IF(AND(ISNUMBER($J290),$J290&gt;0),$J290,IF(ISNUMBER($I290),$I290,"")))</f>
        <v>605.326530612245</v>
      </c>
      <c r="L290" s="40" t="n">
        <f aca="false">IF(ISNUMBER($K290),$K290*$H290,"")</f>
        <v>108.958775510204</v>
      </c>
      <c r="M290" s="40" t="n">
        <f aca="false">IF(ISNUMBER($K290),$K290*Parâmetros!$B$9,"")</f>
        <v>60.5326530612245</v>
      </c>
      <c r="N290" s="40" t="n">
        <f aca="false">IF(ISNUMBER($K290),$K290*Parâmetros!$C$9,"")</f>
        <v>18.1597959183673</v>
      </c>
      <c r="O290" s="40" t="n">
        <f aca="false">IF(ISNUMBER($K290),IF(ISNUMBER(Parâmetros!$E$9),Parâmetros!$E$9,0),"")</f>
        <v>0</v>
      </c>
      <c r="P290" s="41" t="n">
        <f aca="false">IF(ISNUMBER($K290),$K290-$D290-IF(ISNUMBER($E290),$E290,0)-$L290-$M290-$N290-$O290,"")</f>
        <v>121.065306122449</v>
      </c>
      <c r="Q290" s="42" t="n">
        <f aca="false">IF(AND(ISNUMBER($K290),$K290&gt;0),$P290/$K290,"")</f>
        <v>0.2</v>
      </c>
      <c r="R290" s="43"/>
      <c r="S290" s="44" t="str">
        <f aca="false">IF(OR(NOT(ISNUMBER($R290)),$R290=0,NOT(ISNUMBER($K290))),"",$K290*(1-$R290))</f>
        <v/>
      </c>
      <c r="T290" s="45" t="str">
        <f aca="false">IF(ISNUMBER($S290),$S290*$H290,"")</f>
        <v/>
      </c>
      <c r="U290" s="45" t="str">
        <f aca="false">IF(ISNUMBER($S290),$S290*Parâmetros!$B$9,"")</f>
        <v/>
      </c>
      <c r="V290" s="45" t="str">
        <f aca="false">IF(ISNUMBER($S290),$S290*Parâmetros!$C$9,"")</f>
        <v/>
      </c>
      <c r="W290" s="44" t="str">
        <f aca="false">IF(ISNUMBER($S290),$S290-$D290-IF(ISNUMBER($E290),$E290,0)-$O290-$T290-$U290-$V290,"")</f>
        <v/>
      </c>
      <c r="X290" s="46" t="str">
        <f aca="false">IF(AND(ISNUMBER($S290),$S290&gt;0),$W290/$S290,"")</f>
        <v/>
      </c>
      <c r="Y290" s="47"/>
      <c r="Z290" s="19"/>
    </row>
    <row r="291" customFormat="false" ht="15.75" hidden="false" customHeight="true" outlineLevel="0" collapsed="false">
      <c r="A291" s="48" t="str">
        <f aca="false">IF(Produtos!$A291="","",Produtos!$A291)</f>
        <v>P3050ALC</v>
      </c>
      <c r="B291" s="48" t="str">
        <f aca="false">IF(Produtos!$A291="","",Produtos!$B291)</f>
        <v>Lixeira c/Tampa Pedal 30x50 40L c/Alças</v>
      </c>
      <c r="C291" s="48" t="str">
        <f aca="false">IF(Produtos!$A291="","",Produtos!$C291)</f>
        <v>Lixeiras com pedal</v>
      </c>
      <c r="D291" s="33" t="n">
        <f aca="false">IF(Produtos!$A291="","",IF(Produtos!$D291="","",Produtos!$D291))</f>
        <v>345.63</v>
      </c>
      <c r="E291" s="11" t="n">
        <v>0</v>
      </c>
      <c r="F291" s="34" t="n">
        <f aca="false">IF($A291="","",IF($C291="","⚠ categoria",IFERROR(INDEX(Parâmetros!$G$13:$G$22,MATCH($C291,Parâmetros!$A$13:$A$22,0)),"⚠ categoria")))</f>
        <v>0.18</v>
      </c>
      <c r="G291" s="35"/>
      <c r="H291" s="36" t="n">
        <f aca="false">IF($A291="","",IF(ISNUMBER($G291),$G291,IF(ISNUMBER($F291),$F291,"")))</f>
        <v>0.18</v>
      </c>
      <c r="I291" s="37" t="n">
        <f aca="false">IF(OR($A291="",NOT(ISNUMBER($D291)),NOT(ISNUMBER($H291))),"",IF((1-$H291-Parâmetros!$B$9-Parâmetros!$C$9-Parâmetros!$D$9)&lt;=0,"INVALIDO",($D291+IF(ISNUMBER($E291),$E291,0)+IF(ISNUMBER(Parâmetros!$E$9),Parâmetros!$E$9,0))/(1-$H291-Parâmetros!$B$9-Parâmetros!$C$9-Parâmetros!$D$9)))</f>
        <v>705.367346938775</v>
      </c>
      <c r="J291" s="38"/>
      <c r="K291" s="39" t="n">
        <f aca="false">IF(OR($A291="",NOT(ISNUMBER($D291)),NOT(ISNUMBER($H291))),"",IF(AND(ISNUMBER($J291),$J291&gt;0),$J291,IF(ISNUMBER($I291),$I291,"")))</f>
        <v>705.367346938775</v>
      </c>
      <c r="L291" s="40" t="n">
        <f aca="false">IF(ISNUMBER($K291),$K291*$H291,"")</f>
        <v>126.96612244898</v>
      </c>
      <c r="M291" s="40" t="n">
        <f aca="false">IF(ISNUMBER($K291),$K291*Parâmetros!$B$9,"")</f>
        <v>70.5367346938776</v>
      </c>
      <c r="N291" s="40" t="n">
        <f aca="false">IF(ISNUMBER($K291),$K291*Parâmetros!$C$9,"")</f>
        <v>21.1610204081633</v>
      </c>
      <c r="O291" s="40" t="n">
        <f aca="false">IF(ISNUMBER($K291),IF(ISNUMBER(Parâmetros!$E$9),Parâmetros!$E$9,0),"")</f>
        <v>0</v>
      </c>
      <c r="P291" s="41" t="n">
        <f aca="false">IF(ISNUMBER($K291),$K291-$D291-IF(ISNUMBER($E291),$E291,0)-$L291-$M291-$N291-$O291,"")</f>
        <v>141.073469387755</v>
      </c>
      <c r="Q291" s="42" t="n">
        <f aca="false">IF(AND(ISNUMBER($K291),$K291&gt;0),$P291/$K291,"")</f>
        <v>0.2</v>
      </c>
      <c r="R291" s="43"/>
      <c r="S291" s="44" t="str">
        <f aca="false">IF(OR(NOT(ISNUMBER($R291)),$R291=0,NOT(ISNUMBER($K291))),"",$K291*(1-$R291))</f>
        <v/>
      </c>
      <c r="T291" s="45" t="str">
        <f aca="false">IF(ISNUMBER($S291),$S291*$H291,"")</f>
        <v/>
      </c>
      <c r="U291" s="45" t="str">
        <f aca="false">IF(ISNUMBER($S291),$S291*Parâmetros!$B$9,"")</f>
        <v/>
      </c>
      <c r="V291" s="45" t="str">
        <f aca="false">IF(ISNUMBER($S291),$S291*Parâmetros!$C$9,"")</f>
        <v/>
      </c>
      <c r="W291" s="44" t="str">
        <f aca="false">IF(ISNUMBER($S291),$S291-$D291-IF(ISNUMBER($E291),$E291,0)-$O291-$T291-$U291-$V291,"")</f>
        <v/>
      </c>
      <c r="X291" s="46" t="str">
        <f aca="false">IF(AND(ISNUMBER($S291),$S291&gt;0),$W291/$S291,"")</f>
        <v/>
      </c>
      <c r="Y291" s="49"/>
      <c r="Z291" s="21"/>
    </row>
    <row r="292" customFormat="false" ht="15.75" hidden="false" customHeight="true" outlineLevel="0" collapsed="false">
      <c r="A292" s="32" t="str">
        <f aca="false">IF(Produtos!$A292="","",Produtos!$A292)</f>
        <v>P3060ALC</v>
      </c>
      <c r="B292" s="32" t="str">
        <f aca="false">IF(Produtos!$A292="","",Produtos!$B292)</f>
        <v>Lixeira c/Tampa Pedal 30x60 50L c/Alças</v>
      </c>
      <c r="C292" s="32" t="str">
        <f aca="false">IF(Produtos!$A292="","",Produtos!$C292)</f>
        <v>Lixeiras com pedal</v>
      </c>
      <c r="D292" s="33" t="n">
        <f aca="false">IF(Produtos!$A292="","",IF(Produtos!$D292="","",Produtos!$D292))</f>
        <v>347.99</v>
      </c>
      <c r="E292" s="11" t="n">
        <v>0</v>
      </c>
      <c r="F292" s="34" t="n">
        <f aca="false">IF($A292="","",IF($C292="","⚠ categoria",IFERROR(INDEX(Parâmetros!$G$13:$G$22,MATCH($C292,Parâmetros!$A$13:$A$22,0)),"⚠ categoria")))</f>
        <v>0.18</v>
      </c>
      <c r="G292" s="35"/>
      <c r="H292" s="36" t="n">
        <f aca="false">IF($A292="","",IF(ISNUMBER($G292),$G292,IF(ISNUMBER($F292),$F292,"")))</f>
        <v>0.18</v>
      </c>
      <c r="I292" s="37" t="n">
        <f aca="false">IF(OR($A292="",NOT(ISNUMBER($D292)),NOT(ISNUMBER($H292))),"",IF((1-$H292-Parâmetros!$B$9-Parâmetros!$C$9-Parâmetros!$D$9)&lt;=0,"INVALIDO",($D292+IF(ISNUMBER($E292),$E292,0)+IF(ISNUMBER(Parâmetros!$E$9),Parâmetros!$E$9,0))/(1-$H292-Parâmetros!$B$9-Parâmetros!$C$9-Parâmetros!$D$9)))</f>
        <v>710.183673469388</v>
      </c>
      <c r="J292" s="38"/>
      <c r="K292" s="39" t="n">
        <f aca="false">IF(OR($A292="",NOT(ISNUMBER($D292)),NOT(ISNUMBER($H292))),"",IF(AND(ISNUMBER($J292),$J292&gt;0),$J292,IF(ISNUMBER($I292),$I292,"")))</f>
        <v>710.183673469388</v>
      </c>
      <c r="L292" s="40" t="n">
        <f aca="false">IF(ISNUMBER($K292),$K292*$H292,"")</f>
        <v>127.83306122449</v>
      </c>
      <c r="M292" s="40" t="n">
        <f aca="false">IF(ISNUMBER($K292),$K292*Parâmetros!$B$9,"")</f>
        <v>71.0183673469388</v>
      </c>
      <c r="N292" s="40" t="n">
        <f aca="false">IF(ISNUMBER($K292),$K292*Parâmetros!$C$9,"")</f>
        <v>21.3055102040816</v>
      </c>
      <c r="O292" s="40" t="n">
        <f aca="false">IF(ISNUMBER($K292),IF(ISNUMBER(Parâmetros!$E$9),Parâmetros!$E$9,0),"")</f>
        <v>0</v>
      </c>
      <c r="P292" s="41" t="n">
        <f aca="false">IF(ISNUMBER($K292),$K292-$D292-IF(ISNUMBER($E292),$E292,0)-$L292-$M292-$N292-$O292,"")</f>
        <v>142.036734693878</v>
      </c>
      <c r="Q292" s="42" t="n">
        <f aca="false">IF(AND(ISNUMBER($K292),$K292&gt;0),$P292/$K292,"")</f>
        <v>0.2</v>
      </c>
      <c r="R292" s="43"/>
      <c r="S292" s="44" t="str">
        <f aca="false">IF(OR(NOT(ISNUMBER($R292)),$R292=0,NOT(ISNUMBER($K292))),"",$K292*(1-$R292))</f>
        <v/>
      </c>
      <c r="T292" s="45" t="str">
        <f aca="false">IF(ISNUMBER($S292),$S292*$H292,"")</f>
        <v/>
      </c>
      <c r="U292" s="45" t="str">
        <f aca="false">IF(ISNUMBER($S292),$S292*Parâmetros!$B$9,"")</f>
        <v/>
      </c>
      <c r="V292" s="45" t="str">
        <f aca="false">IF(ISNUMBER($S292),$S292*Parâmetros!$C$9,"")</f>
        <v/>
      </c>
      <c r="W292" s="44" t="str">
        <f aca="false">IF(ISNUMBER($S292),$S292-$D292-IF(ISNUMBER($E292),$E292,0)-$O292-$T292-$U292-$V292,"")</f>
        <v/>
      </c>
      <c r="X292" s="46" t="str">
        <f aca="false">IF(AND(ISNUMBER($S292),$S292&gt;0),$W292/$S292,"")</f>
        <v/>
      </c>
      <c r="Y292" s="47"/>
      <c r="Z292" s="19"/>
    </row>
    <row r="293" customFormat="false" ht="15.75" hidden="false" customHeight="true" outlineLevel="0" collapsed="false">
      <c r="A293" s="48" t="str">
        <f aca="false">IF(Produtos!$A293="","",Produtos!$A293)</f>
        <v>P3070ALC</v>
      </c>
      <c r="B293" s="48" t="str">
        <f aca="false">IF(Produtos!$A293="","",Produtos!$B293)</f>
        <v>Lixeira c/Tampa Pedal 30x70 60L c/Alças</v>
      </c>
      <c r="C293" s="48" t="str">
        <f aca="false">IF(Produtos!$A293="","",Produtos!$C293)</f>
        <v>Lixeiras com pedal</v>
      </c>
      <c r="D293" s="33" t="n">
        <f aca="false">IF(Produtos!$A293="","",IF(Produtos!$D293="","",Produtos!$D293))</f>
        <v>421.92</v>
      </c>
      <c r="E293" s="11" t="n">
        <v>0</v>
      </c>
      <c r="F293" s="34" t="n">
        <f aca="false">IF($A293="","",IF($C293="","⚠ categoria",IFERROR(INDEX(Parâmetros!$G$13:$G$22,MATCH($C293,Parâmetros!$A$13:$A$22,0)),"⚠ categoria")))</f>
        <v>0.18</v>
      </c>
      <c r="G293" s="35"/>
      <c r="H293" s="36" t="n">
        <f aca="false">IF($A293="","",IF(ISNUMBER($G293),$G293,IF(ISNUMBER($F293),$F293,"")))</f>
        <v>0.18</v>
      </c>
      <c r="I293" s="37" t="n">
        <f aca="false">IF(OR($A293="",NOT(ISNUMBER($D293)),NOT(ISNUMBER($H293))),"",IF((1-$H293-Parâmetros!$B$9-Parâmetros!$C$9-Parâmetros!$D$9)&lt;=0,"INVALIDO",($D293+IF(ISNUMBER($E293),$E293,0)+IF(ISNUMBER(Parâmetros!$E$9),Parâmetros!$E$9,0))/(1-$H293-Parâmetros!$B$9-Parâmetros!$C$9-Parâmetros!$D$9)))</f>
        <v>861.061224489796</v>
      </c>
      <c r="J293" s="38"/>
      <c r="K293" s="39" t="n">
        <f aca="false">IF(OR($A293="",NOT(ISNUMBER($D293)),NOT(ISNUMBER($H293))),"",IF(AND(ISNUMBER($J293),$J293&gt;0),$J293,IF(ISNUMBER($I293),$I293,"")))</f>
        <v>861.061224489796</v>
      </c>
      <c r="L293" s="40" t="n">
        <f aca="false">IF(ISNUMBER($K293),$K293*$H293,"")</f>
        <v>154.991020408163</v>
      </c>
      <c r="M293" s="40" t="n">
        <f aca="false">IF(ISNUMBER($K293),$K293*Parâmetros!$B$9,"")</f>
        <v>86.1061224489796</v>
      </c>
      <c r="N293" s="40" t="n">
        <f aca="false">IF(ISNUMBER($K293),$K293*Parâmetros!$C$9,"")</f>
        <v>25.8318367346939</v>
      </c>
      <c r="O293" s="40" t="n">
        <f aca="false">IF(ISNUMBER($K293),IF(ISNUMBER(Parâmetros!$E$9),Parâmetros!$E$9,0),"")</f>
        <v>0</v>
      </c>
      <c r="P293" s="41" t="n">
        <f aca="false">IF(ISNUMBER($K293),$K293-$D293-IF(ISNUMBER($E293),$E293,0)-$L293-$M293-$N293-$O293,"")</f>
        <v>172.212244897959</v>
      </c>
      <c r="Q293" s="42" t="n">
        <f aca="false">IF(AND(ISNUMBER($K293),$K293&gt;0),$P293/$K293,"")</f>
        <v>0.2</v>
      </c>
      <c r="R293" s="43"/>
      <c r="S293" s="44" t="str">
        <f aca="false">IF(OR(NOT(ISNUMBER($R293)),$R293=0,NOT(ISNUMBER($K293))),"",$K293*(1-$R293))</f>
        <v/>
      </c>
      <c r="T293" s="45" t="str">
        <f aca="false">IF(ISNUMBER($S293),$S293*$H293,"")</f>
        <v/>
      </c>
      <c r="U293" s="45" t="str">
        <f aca="false">IF(ISNUMBER($S293),$S293*Parâmetros!$B$9,"")</f>
        <v/>
      </c>
      <c r="V293" s="45" t="str">
        <f aca="false">IF(ISNUMBER($S293),$S293*Parâmetros!$C$9,"")</f>
        <v/>
      </c>
      <c r="W293" s="44" t="str">
        <f aca="false">IF(ISNUMBER($S293),$S293-$D293-IF(ISNUMBER($E293),$E293,0)-$O293-$T293-$U293-$V293,"")</f>
        <v/>
      </c>
      <c r="X293" s="46" t="str">
        <f aca="false">IF(AND(ISNUMBER($S293),$S293&gt;0),$W293/$S293,"")</f>
        <v/>
      </c>
      <c r="Y293" s="49"/>
      <c r="Z293" s="21"/>
    </row>
    <row r="294" customFormat="false" ht="15.75" hidden="false" customHeight="true" outlineLevel="0" collapsed="false">
      <c r="A294" s="32" t="str">
        <f aca="false">IF(Produtos!$A294="","",Produtos!$A294)</f>
        <v>P4050ALC</v>
      </c>
      <c r="B294" s="32" t="str">
        <f aca="false">IF(Produtos!$A294="","",Produtos!$B294)</f>
        <v>Lixeira c/Tampa Pedal 40x50 65L c/Alças</v>
      </c>
      <c r="C294" s="32" t="str">
        <f aca="false">IF(Produtos!$A294="","",Produtos!$C294)</f>
        <v>Lixeiras com pedal</v>
      </c>
      <c r="D294" s="33" t="n">
        <f aca="false">IF(Produtos!$A294="","",IF(Produtos!$D294="","",Produtos!$D294))</f>
        <v>485.02</v>
      </c>
      <c r="E294" s="11" t="n">
        <v>0</v>
      </c>
      <c r="F294" s="34" t="n">
        <f aca="false">IF($A294="","",IF($C294="","⚠ categoria",IFERROR(INDEX(Parâmetros!$G$13:$G$22,MATCH($C294,Parâmetros!$A$13:$A$22,0)),"⚠ categoria")))</f>
        <v>0.18</v>
      </c>
      <c r="G294" s="35"/>
      <c r="H294" s="36" t="n">
        <f aca="false">IF($A294="","",IF(ISNUMBER($G294),$G294,IF(ISNUMBER($F294),$F294,"")))</f>
        <v>0.18</v>
      </c>
      <c r="I294" s="37" t="n">
        <f aca="false">IF(OR($A294="",NOT(ISNUMBER($D294)),NOT(ISNUMBER($H294))),"",IF((1-$H294-Parâmetros!$B$9-Parâmetros!$C$9-Parâmetros!$D$9)&lt;=0,"INVALIDO",($D294+IF(ISNUMBER($E294),$E294,0)+IF(ISNUMBER(Parâmetros!$E$9),Parâmetros!$E$9,0))/(1-$H294-Parâmetros!$B$9-Parâmetros!$C$9-Parâmetros!$D$9)))</f>
        <v>989.836734693878</v>
      </c>
      <c r="J294" s="38"/>
      <c r="K294" s="39" t="n">
        <f aca="false">IF(OR($A294="",NOT(ISNUMBER($D294)),NOT(ISNUMBER($H294))),"",IF(AND(ISNUMBER($J294),$J294&gt;0),$J294,IF(ISNUMBER($I294),$I294,"")))</f>
        <v>989.836734693878</v>
      </c>
      <c r="L294" s="40" t="n">
        <f aca="false">IF(ISNUMBER($K294),$K294*$H294,"")</f>
        <v>178.170612244898</v>
      </c>
      <c r="M294" s="40" t="n">
        <f aca="false">IF(ISNUMBER($K294),$K294*Parâmetros!$B$9,"")</f>
        <v>98.9836734693878</v>
      </c>
      <c r="N294" s="40" t="n">
        <f aca="false">IF(ISNUMBER($K294),$K294*Parâmetros!$C$9,"")</f>
        <v>29.6951020408163</v>
      </c>
      <c r="O294" s="40" t="n">
        <f aca="false">IF(ISNUMBER($K294),IF(ISNUMBER(Parâmetros!$E$9),Parâmetros!$E$9,0),"")</f>
        <v>0</v>
      </c>
      <c r="P294" s="41" t="n">
        <f aca="false">IF(ISNUMBER($K294),$K294-$D294-IF(ISNUMBER($E294),$E294,0)-$L294-$M294-$N294-$O294,"")</f>
        <v>197.967346938775</v>
      </c>
      <c r="Q294" s="42" t="n">
        <f aca="false">IF(AND(ISNUMBER($K294),$K294&gt;0),$P294/$K294,"")</f>
        <v>0.2</v>
      </c>
      <c r="R294" s="43"/>
      <c r="S294" s="44" t="str">
        <f aca="false">IF(OR(NOT(ISNUMBER($R294)),$R294=0,NOT(ISNUMBER($K294))),"",$K294*(1-$R294))</f>
        <v/>
      </c>
      <c r="T294" s="45" t="str">
        <f aca="false">IF(ISNUMBER($S294),$S294*$H294,"")</f>
        <v/>
      </c>
      <c r="U294" s="45" t="str">
        <f aca="false">IF(ISNUMBER($S294),$S294*Parâmetros!$B$9,"")</f>
        <v/>
      </c>
      <c r="V294" s="45" t="str">
        <f aca="false">IF(ISNUMBER($S294),$S294*Parâmetros!$C$9,"")</f>
        <v/>
      </c>
      <c r="W294" s="44" t="str">
        <f aca="false">IF(ISNUMBER($S294),$S294-$D294-IF(ISNUMBER($E294),$E294,0)-$O294-$T294-$U294-$V294,"")</f>
        <v/>
      </c>
      <c r="X294" s="46" t="str">
        <f aca="false">IF(AND(ISNUMBER($S294),$S294&gt;0),$W294/$S294,"")</f>
        <v/>
      </c>
      <c r="Y294" s="47"/>
      <c r="Z294" s="19"/>
    </row>
    <row r="295" customFormat="false" ht="15.75" hidden="false" customHeight="true" outlineLevel="0" collapsed="false">
      <c r="A295" s="48" t="str">
        <f aca="false">IF(Produtos!$A295="","",Produtos!$A295)</f>
        <v>P4060ALC</v>
      </c>
      <c r="B295" s="48" t="str">
        <f aca="false">IF(Produtos!$A295="","",Produtos!$B295)</f>
        <v>Lixeira c/Tampa Pedal 40x60 75L c/Alças</v>
      </c>
      <c r="C295" s="48" t="str">
        <f aca="false">IF(Produtos!$A295="","",Produtos!$C295)</f>
        <v>Lixeiras com pedal</v>
      </c>
      <c r="D295" s="33" t="n">
        <f aca="false">IF(Produtos!$A295="","",IF(Produtos!$D295="","",Produtos!$D295))</f>
        <v>527.41</v>
      </c>
      <c r="E295" s="11" t="n">
        <v>0</v>
      </c>
      <c r="F295" s="34" t="n">
        <f aca="false">IF($A295="","",IF($C295="","⚠ categoria",IFERROR(INDEX(Parâmetros!$G$13:$G$22,MATCH($C295,Parâmetros!$A$13:$A$22,0)),"⚠ categoria")))</f>
        <v>0.18</v>
      </c>
      <c r="G295" s="35"/>
      <c r="H295" s="36" t="n">
        <f aca="false">IF($A295="","",IF(ISNUMBER($G295),$G295,IF(ISNUMBER($F295),$F295,"")))</f>
        <v>0.18</v>
      </c>
      <c r="I295" s="37" t="n">
        <f aca="false">IF(OR($A295="",NOT(ISNUMBER($D295)),NOT(ISNUMBER($H295))),"",IF((1-$H295-Parâmetros!$B$9-Parâmetros!$C$9-Parâmetros!$D$9)&lt;=0,"INVALIDO",($D295+IF(ISNUMBER($E295),$E295,0)+IF(ISNUMBER(Parâmetros!$E$9),Parâmetros!$E$9,0))/(1-$H295-Parâmetros!$B$9-Parâmetros!$C$9-Parâmetros!$D$9)))</f>
        <v>1076.34693877551</v>
      </c>
      <c r="J295" s="38"/>
      <c r="K295" s="39" t="n">
        <f aca="false">IF(OR($A295="",NOT(ISNUMBER($D295)),NOT(ISNUMBER($H295))),"",IF(AND(ISNUMBER($J295),$J295&gt;0),$J295,IF(ISNUMBER($I295),$I295,"")))</f>
        <v>1076.34693877551</v>
      </c>
      <c r="L295" s="40" t="n">
        <f aca="false">IF(ISNUMBER($K295),$K295*$H295,"")</f>
        <v>193.742448979592</v>
      </c>
      <c r="M295" s="40" t="n">
        <f aca="false">IF(ISNUMBER($K295),$K295*Parâmetros!$B$9,"")</f>
        <v>107.634693877551</v>
      </c>
      <c r="N295" s="40" t="n">
        <f aca="false">IF(ISNUMBER($K295),$K295*Parâmetros!$C$9,"")</f>
        <v>32.2904081632653</v>
      </c>
      <c r="O295" s="40" t="n">
        <f aca="false">IF(ISNUMBER($K295),IF(ISNUMBER(Parâmetros!$E$9),Parâmetros!$E$9,0),"")</f>
        <v>0</v>
      </c>
      <c r="P295" s="41" t="n">
        <f aca="false">IF(ISNUMBER($K295),$K295-$D295-IF(ISNUMBER($E295),$E295,0)-$L295-$M295-$N295-$O295,"")</f>
        <v>215.269387755102</v>
      </c>
      <c r="Q295" s="42" t="n">
        <f aca="false">IF(AND(ISNUMBER($K295),$K295&gt;0),$P295/$K295,"")</f>
        <v>0.2</v>
      </c>
      <c r="R295" s="43"/>
      <c r="S295" s="44" t="str">
        <f aca="false">IF(OR(NOT(ISNUMBER($R295)),$R295=0,NOT(ISNUMBER($K295))),"",$K295*(1-$R295))</f>
        <v/>
      </c>
      <c r="T295" s="45" t="str">
        <f aca="false">IF(ISNUMBER($S295),$S295*$H295,"")</f>
        <v/>
      </c>
      <c r="U295" s="45" t="str">
        <f aca="false">IF(ISNUMBER($S295),$S295*Parâmetros!$B$9,"")</f>
        <v/>
      </c>
      <c r="V295" s="45" t="str">
        <f aca="false">IF(ISNUMBER($S295),$S295*Parâmetros!$C$9,"")</f>
        <v/>
      </c>
      <c r="W295" s="44" t="str">
        <f aca="false">IF(ISNUMBER($S295),$S295-$D295-IF(ISNUMBER($E295),$E295,0)-$O295-$T295-$U295-$V295,"")</f>
        <v/>
      </c>
      <c r="X295" s="46" t="str">
        <f aca="false">IF(AND(ISNUMBER($S295),$S295&gt;0),$W295/$S295,"")</f>
        <v/>
      </c>
      <c r="Y295" s="49"/>
      <c r="Z295" s="21"/>
    </row>
    <row r="296" customFormat="false" ht="15.75" hidden="false" customHeight="true" outlineLevel="0" collapsed="false">
      <c r="A296" s="32" t="str">
        <f aca="false">IF(Produtos!$A296="","",Produtos!$A296)</f>
        <v>P4070ALC</v>
      </c>
      <c r="B296" s="32" t="str">
        <f aca="false">IF(Produtos!$A296="","",Produtos!$B296)</f>
        <v>Lixeira c/Tampa Pedal 40x70 80L c/Alças</v>
      </c>
      <c r="C296" s="32" t="str">
        <f aca="false">IF(Produtos!$A296="","",Produtos!$C296)</f>
        <v>Lixeiras com pedal</v>
      </c>
      <c r="D296" s="33" t="n">
        <f aca="false">IF(Produtos!$A296="","",IF(Produtos!$D296="","",Produtos!$D296))</f>
        <v>539.53</v>
      </c>
      <c r="E296" s="11" t="n">
        <v>0</v>
      </c>
      <c r="F296" s="34" t="n">
        <f aca="false">IF($A296="","",IF($C296="","⚠ categoria",IFERROR(INDEX(Parâmetros!$G$13:$G$22,MATCH($C296,Parâmetros!$A$13:$A$22,0)),"⚠ categoria")))</f>
        <v>0.18</v>
      </c>
      <c r="G296" s="35"/>
      <c r="H296" s="36" t="n">
        <f aca="false">IF($A296="","",IF(ISNUMBER($G296),$G296,IF(ISNUMBER($F296),$F296,"")))</f>
        <v>0.18</v>
      </c>
      <c r="I296" s="37" t="n">
        <f aca="false">IF(OR($A296="",NOT(ISNUMBER($D296)),NOT(ISNUMBER($H296))),"",IF((1-$H296-Parâmetros!$B$9-Parâmetros!$C$9-Parâmetros!$D$9)&lt;=0,"INVALIDO",($D296+IF(ISNUMBER($E296),$E296,0)+IF(ISNUMBER(Parâmetros!$E$9),Parâmetros!$E$9,0))/(1-$H296-Parâmetros!$B$9-Parâmetros!$C$9-Parâmetros!$D$9)))</f>
        <v>1101.08163265306</v>
      </c>
      <c r="J296" s="38"/>
      <c r="K296" s="39" t="n">
        <f aca="false">IF(OR($A296="",NOT(ISNUMBER($D296)),NOT(ISNUMBER($H296))),"",IF(AND(ISNUMBER($J296),$J296&gt;0),$J296,IF(ISNUMBER($I296),$I296,"")))</f>
        <v>1101.08163265306</v>
      </c>
      <c r="L296" s="40" t="n">
        <f aca="false">IF(ISNUMBER($K296),$K296*$H296,"")</f>
        <v>198.194693877551</v>
      </c>
      <c r="M296" s="40" t="n">
        <f aca="false">IF(ISNUMBER($K296),$K296*Parâmetros!$B$9,"")</f>
        <v>110.108163265306</v>
      </c>
      <c r="N296" s="40" t="n">
        <f aca="false">IF(ISNUMBER($K296),$K296*Parâmetros!$C$9,"")</f>
        <v>33.0324489795918</v>
      </c>
      <c r="O296" s="40" t="n">
        <f aca="false">IF(ISNUMBER($K296),IF(ISNUMBER(Parâmetros!$E$9),Parâmetros!$E$9,0),"")</f>
        <v>0</v>
      </c>
      <c r="P296" s="41" t="n">
        <f aca="false">IF(ISNUMBER($K296),$K296-$D296-IF(ISNUMBER($E296),$E296,0)-$L296-$M296-$N296-$O296,"")</f>
        <v>220.216326530612</v>
      </c>
      <c r="Q296" s="42" t="n">
        <f aca="false">IF(AND(ISNUMBER($K296),$K296&gt;0),$P296/$K296,"")</f>
        <v>0.2</v>
      </c>
      <c r="R296" s="43"/>
      <c r="S296" s="44" t="str">
        <f aca="false">IF(OR(NOT(ISNUMBER($R296)),$R296=0,NOT(ISNUMBER($K296))),"",$K296*(1-$R296))</f>
        <v/>
      </c>
      <c r="T296" s="45" t="str">
        <f aca="false">IF(ISNUMBER($S296),$S296*$H296,"")</f>
        <v/>
      </c>
      <c r="U296" s="45" t="str">
        <f aca="false">IF(ISNUMBER($S296),$S296*Parâmetros!$B$9,"")</f>
        <v/>
      </c>
      <c r="V296" s="45" t="str">
        <f aca="false">IF(ISNUMBER($S296),$S296*Parâmetros!$C$9,"")</f>
        <v/>
      </c>
      <c r="W296" s="44" t="str">
        <f aca="false">IF(ISNUMBER($S296),$S296-$D296-IF(ISNUMBER($E296),$E296,0)-$O296-$T296-$U296-$V296,"")</f>
        <v/>
      </c>
      <c r="X296" s="46" t="str">
        <f aca="false">IF(AND(ISNUMBER($S296),$S296&gt;0),$W296/$S296,"")</f>
        <v/>
      </c>
      <c r="Y296" s="47"/>
      <c r="Z296" s="19"/>
    </row>
    <row r="297" customFormat="false" ht="15.75" hidden="false" customHeight="true" outlineLevel="0" collapsed="false">
      <c r="A297" s="48" t="str">
        <f aca="false">IF(Produtos!$A297="","",Produtos!$A297)</f>
        <v>P4075ALC</v>
      </c>
      <c r="B297" s="48" t="str">
        <f aca="false">IF(Produtos!$A297="","",Produtos!$B297)</f>
        <v>Lixeira c/Tampa Pedal 40x75 95L c/Alças</v>
      </c>
      <c r="C297" s="48" t="str">
        <f aca="false">IF(Produtos!$A297="","",Produtos!$C297)</f>
        <v>Lixeiras com pedal</v>
      </c>
      <c r="D297" s="33" t="n">
        <f aca="false">IF(Produtos!$A297="","",IF(Produtos!$D297="","",Produtos!$D297))</f>
        <v>605.28</v>
      </c>
      <c r="E297" s="11" t="n">
        <v>0</v>
      </c>
      <c r="F297" s="34" t="n">
        <f aca="false">IF($A297="","",IF($C297="","⚠ categoria",IFERROR(INDEX(Parâmetros!$G$13:$G$22,MATCH($C297,Parâmetros!$A$13:$A$22,0)),"⚠ categoria")))</f>
        <v>0.18</v>
      </c>
      <c r="G297" s="35"/>
      <c r="H297" s="36" t="n">
        <f aca="false">IF($A297="","",IF(ISNUMBER($G297),$G297,IF(ISNUMBER($F297),$F297,"")))</f>
        <v>0.18</v>
      </c>
      <c r="I297" s="37" t="n">
        <f aca="false">IF(OR($A297="",NOT(ISNUMBER($D297)),NOT(ISNUMBER($H297))),"",IF((1-$H297-Parâmetros!$B$9-Parâmetros!$C$9-Parâmetros!$D$9)&lt;=0,"INVALIDO",($D297+IF(ISNUMBER($E297),$E297,0)+IF(ISNUMBER(Parâmetros!$E$9),Parâmetros!$E$9,0))/(1-$H297-Parâmetros!$B$9-Parâmetros!$C$9-Parâmetros!$D$9)))</f>
        <v>1235.26530612245</v>
      </c>
      <c r="J297" s="38"/>
      <c r="K297" s="39" t="n">
        <f aca="false">IF(OR($A297="",NOT(ISNUMBER($D297)),NOT(ISNUMBER($H297))),"",IF(AND(ISNUMBER($J297),$J297&gt;0),$J297,IF(ISNUMBER($I297),$I297,"")))</f>
        <v>1235.26530612245</v>
      </c>
      <c r="L297" s="40" t="n">
        <f aca="false">IF(ISNUMBER($K297),$K297*$H297,"")</f>
        <v>222.347755102041</v>
      </c>
      <c r="M297" s="40" t="n">
        <f aca="false">IF(ISNUMBER($K297),$K297*Parâmetros!$B$9,"")</f>
        <v>123.526530612245</v>
      </c>
      <c r="N297" s="40" t="n">
        <f aca="false">IF(ISNUMBER($K297),$K297*Parâmetros!$C$9,"")</f>
        <v>37.0579591836735</v>
      </c>
      <c r="O297" s="40" t="n">
        <f aca="false">IF(ISNUMBER($K297),IF(ISNUMBER(Parâmetros!$E$9),Parâmetros!$E$9,0),"")</f>
        <v>0</v>
      </c>
      <c r="P297" s="41" t="n">
        <f aca="false">IF(ISNUMBER($K297),$K297-$D297-IF(ISNUMBER($E297),$E297,0)-$L297-$M297-$N297-$O297,"")</f>
        <v>247.05306122449</v>
      </c>
      <c r="Q297" s="42" t="n">
        <f aca="false">IF(AND(ISNUMBER($K297),$K297&gt;0),$P297/$K297,"")</f>
        <v>0.2</v>
      </c>
      <c r="R297" s="43"/>
      <c r="S297" s="44" t="str">
        <f aca="false">IF(OR(NOT(ISNUMBER($R297)),$R297=0,NOT(ISNUMBER($K297))),"",$K297*(1-$R297))</f>
        <v/>
      </c>
      <c r="T297" s="45" t="str">
        <f aca="false">IF(ISNUMBER($S297),$S297*$H297,"")</f>
        <v/>
      </c>
      <c r="U297" s="45" t="str">
        <f aca="false">IF(ISNUMBER($S297),$S297*Parâmetros!$B$9,"")</f>
        <v/>
      </c>
      <c r="V297" s="45" t="str">
        <f aca="false">IF(ISNUMBER($S297),$S297*Parâmetros!$C$9,"")</f>
        <v/>
      </c>
      <c r="W297" s="44" t="str">
        <f aca="false">IF(ISNUMBER($S297),$S297-$D297-IF(ISNUMBER($E297),$E297,0)-$O297-$T297-$U297-$V297,"")</f>
        <v/>
      </c>
      <c r="X297" s="46" t="str">
        <f aca="false">IF(AND(ISNUMBER($S297),$S297&gt;0),$W297/$S297,"")</f>
        <v/>
      </c>
      <c r="Y297" s="49"/>
      <c r="Z297" s="21"/>
    </row>
    <row r="298" customFormat="false" ht="15.75" hidden="false" customHeight="true" outlineLevel="0" collapsed="false">
      <c r="A298" s="32" t="str">
        <f aca="false">IF(Produtos!$A298="","",Produtos!$A298)</f>
        <v>P4080ALC</v>
      </c>
      <c r="B298" s="32" t="str">
        <f aca="false">IF(Produtos!$A298="","",Produtos!$B298)</f>
        <v>Lixeira c/Tampa Pedal 40x80 100L c/Alças</v>
      </c>
      <c r="C298" s="32" t="str">
        <f aca="false">IF(Produtos!$A298="","",Produtos!$C298)</f>
        <v>Lixeiras com pedal</v>
      </c>
      <c r="D298" s="33" t="n">
        <f aca="false">IF(Produtos!$A298="","",IF(Produtos!$D298="","",Produtos!$D298))</f>
        <v>642.03</v>
      </c>
      <c r="E298" s="11" t="n">
        <v>0</v>
      </c>
      <c r="F298" s="34" t="n">
        <f aca="false">IF($A298="","",IF($C298="","⚠ categoria",IFERROR(INDEX(Parâmetros!$G$13:$G$22,MATCH($C298,Parâmetros!$A$13:$A$22,0)),"⚠ categoria")))</f>
        <v>0.18</v>
      </c>
      <c r="G298" s="35"/>
      <c r="H298" s="36" t="n">
        <f aca="false">IF($A298="","",IF(ISNUMBER($G298),$G298,IF(ISNUMBER($F298),$F298,"")))</f>
        <v>0.18</v>
      </c>
      <c r="I298" s="37" t="n">
        <f aca="false">IF(OR($A298="",NOT(ISNUMBER($D298)),NOT(ISNUMBER($H298))),"",IF((1-$H298-Parâmetros!$B$9-Parâmetros!$C$9-Parâmetros!$D$9)&lt;=0,"INVALIDO",($D298+IF(ISNUMBER($E298),$E298,0)+IF(ISNUMBER(Parâmetros!$E$9),Parâmetros!$E$9,0))/(1-$H298-Parâmetros!$B$9-Parâmetros!$C$9-Parâmetros!$D$9)))</f>
        <v>1310.26530612245</v>
      </c>
      <c r="J298" s="38"/>
      <c r="K298" s="39" t="n">
        <f aca="false">IF(OR($A298="",NOT(ISNUMBER($D298)),NOT(ISNUMBER($H298))),"",IF(AND(ISNUMBER($J298),$J298&gt;0),$J298,IF(ISNUMBER($I298),$I298,"")))</f>
        <v>1310.26530612245</v>
      </c>
      <c r="L298" s="40" t="n">
        <f aca="false">IF(ISNUMBER($K298),$K298*$H298,"")</f>
        <v>235.847755102041</v>
      </c>
      <c r="M298" s="40" t="n">
        <f aca="false">IF(ISNUMBER($K298),$K298*Parâmetros!$B$9,"")</f>
        <v>131.026530612245</v>
      </c>
      <c r="N298" s="40" t="n">
        <f aca="false">IF(ISNUMBER($K298),$K298*Parâmetros!$C$9,"")</f>
        <v>39.3079591836735</v>
      </c>
      <c r="O298" s="40" t="n">
        <f aca="false">IF(ISNUMBER($K298),IF(ISNUMBER(Parâmetros!$E$9),Parâmetros!$E$9,0),"")</f>
        <v>0</v>
      </c>
      <c r="P298" s="41" t="n">
        <f aca="false">IF(ISNUMBER($K298),$K298-$D298-IF(ISNUMBER($E298),$E298,0)-$L298-$M298-$N298-$O298,"")</f>
        <v>262.05306122449</v>
      </c>
      <c r="Q298" s="42" t="n">
        <f aca="false">IF(AND(ISNUMBER($K298),$K298&gt;0),$P298/$K298,"")</f>
        <v>0.2</v>
      </c>
      <c r="R298" s="43"/>
      <c r="S298" s="44" t="str">
        <f aca="false">IF(OR(NOT(ISNUMBER($R298)),$R298=0,NOT(ISNUMBER($K298))),"",$K298*(1-$R298))</f>
        <v/>
      </c>
      <c r="T298" s="45" t="str">
        <f aca="false">IF(ISNUMBER($S298),$S298*$H298,"")</f>
        <v/>
      </c>
      <c r="U298" s="45" t="str">
        <f aca="false">IF(ISNUMBER($S298),$S298*Parâmetros!$B$9,"")</f>
        <v/>
      </c>
      <c r="V298" s="45" t="str">
        <f aca="false">IF(ISNUMBER($S298),$S298*Parâmetros!$C$9,"")</f>
        <v/>
      </c>
      <c r="W298" s="44" t="str">
        <f aca="false">IF(ISNUMBER($S298),$S298-$D298-IF(ISNUMBER($E298),$E298,0)-$O298-$T298-$U298-$V298,"")</f>
        <v/>
      </c>
      <c r="X298" s="46" t="str">
        <f aca="false">IF(AND(ISNUMBER($S298),$S298&gt;0),$W298/$S298,"")</f>
        <v/>
      </c>
      <c r="Y298" s="47"/>
      <c r="Z298" s="19"/>
    </row>
    <row r="299" customFormat="false" ht="15.75" hidden="false" customHeight="true" outlineLevel="0" collapsed="false">
      <c r="A299" s="48" t="str">
        <f aca="false">IF(Produtos!$A299="","",Produtos!$A299)</f>
        <v>P4090ALC</v>
      </c>
      <c r="B299" s="48" t="str">
        <f aca="false">IF(Produtos!$A299="","",Produtos!$B299)</f>
        <v>Lixeira c/Tampa Pedal 40x90 120L c/Alças</v>
      </c>
      <c r="C299" s="48" t="str">
        <f aca="false">IF(Produtos!$A299="","",Produtos!$C299)</f>
        <v>Lixeiras com pedal</v>
      </c>
      <c r="D299" s="33" t="n">
        <f aca="false">IF(Produtos!$A299="","",IF(Produtos!$D299="","",Produtos!$D299))</f>
        <v>828.46</v>
      </c>
      <c r="E299" s="11" t="n">
        <v>0</v>
      </c>
      <c r="F299" s="34" t="n">
        <f aca="false">IF($A299="","",IF($C299="","⚠ categoria",IFERROR(INDEX(Parâmetros!$G$13:$G$22,MATCH($C299,Parâmetros!$A$13:$A$22,0)),"⚠ categoria")))</f>
        <v>0.18</v>
      </c>
      <c r="G299" s="35"/>
      <c r="H299" s="36" t="n">
        <f aca="false">IF($A299="","",IF(ISNUMBER($G299),$G299,IF(ISNUMBER($F299),$F299,"")))</f>
        <v>0.18</v>
      </c>
      <c r="I299" s="37" t="n">
        <f aca="false">IF(OR($A299="",NOT(ISNUMBER($D299)),NOT(ISNUMBER($H299))),"",IF((1-$H299-Parâmetros!$B$9-Parâmetros!$C$9-Parâmetros!$D$9)&lt;=0,"INVALIDO",($D299+IF(ISNUMBER($E299),$E299,0)+IF(ISNUMBER(Parâmetros!$E$9),Parâmetros!$E$9,0))/(1-$H299-Parâmetros!$B$9-Parâmetros!$C$9-Parâmetros!$D$9)))</f>
        <v>1690.73469387755</v>
      </c>
      <c r="J299" s="38"/>
      <c r="K299" s="39" t="n">
        <f aca="false">IF(OR($A299="",NOT(ISNUMBER($D299)),NOT(ISNUMBER($H299))),"",IF(AND(ISNUMBER($J299),$J299&gt;0),$J299,IF(ISNUMBER($I299),$I299,"")))</f>
        <v>1690.73469387755</v>
      </c>
      <c r="L299" s="40" t="n">
        <f aca="false">IF(ISNUMBER($K299),$K299*$H299,"")</f>
        <v>304.332244897959</v>
      </c>
      <c r="M299" s="40" t="n">
        <f aca="false">IF(ISNUMBER($K299),$K299*Parâmetros!$B$9,"")</f>
        <v>169.073469387755</v>
      </c>
      <c r="N299" s="40" t="n">
        <f aca="false">IF(ISNUMBER($K299),$K299*Parâmetros!$C$9,"")</f>
        <v>50.7220408163265</v>
      </c>
      <c r="O299" s="40" t="n">
        <f aca="false">IF(ISNUMBER($K299),IF(ISNUMBER(Parâmetros!$E$9),Parâmetros!$E$9,0),"")</f>
        <v>0</v>
      </c>
      <c r="P299" s="41" t="n">
        <f aca="false">IF(ISNUMBER($K299),$K299-$D299-IF(ISNUMBER($E299),$E299,0)-$L299-$M299-$N299-$O299,"")</f>
        <v>338.14693877551</v>
      </c>
      <c r="Q299" s="42" t="n">
        <f aca="false">IF(AND(ISNUMBER($K299),$K299&gt;0),$P299/$K299,"")</f>
        <v>0.2</v>
      </c>
      <c r="R299" s="43"/>
      <c r="S299" s="44" t="str">
        <f aca="false">IF(OR(NOT(ISNUMBER($R299)),$R299=0,NOT(ISNUMBER($K299))),"",$K299*(1-$R299))</f>
        <v/>
      </c>
      <c r="T299" s="45" t="str">
        <f aca="false">IF(ISNUMBER($S299),$S299*$H299,"")</f>
        <v/>
      </c>
      <c r="U299" s="45" t="str">
        <f aca="false">IF(ISNUMBER($S299),$S299*Parâmetros!$B$9,"")</f>
        <v/>
      </c>
      <c r="V299" s="45" t="str">
        <f aca="false">IF(ISNUMBER($S299),$S299*Parâmetros!$C$9,"")</f>
        <v/>
      </c>
      <c r="W299" s="44" t="str">
        <f aca="false">IF(ISNUMBER($S299),$S299-$D299-IF(ISNUMBER($E299),$E299,0)-$O299-$T299-$U299-$V299,"")</f>
        <v/>
      </c>
      <c r="X299" s="46" t="str">
        <f aca="false">IF(AND(ISNUMBER($S299),$S299&gt;0),$W299/$S299,"")</f>
        <v/>
      </c>
      <c r="Y299" s="49"/>
      <c r="Z299" s="21"/>
    </row>
    <row r="300" customFormat="false" ht="15.75" hidden="false" customHeight="true" outlineLevel="0" collapsed="false">
      <c r="A300" s="32" t="str">
        <f aca="false">IF(Produtos!$A300="","",Produtos!$A300)</f>
        <v/>
      </c>
      <c r="B300" s="32" t="str">
        <f aca="false">IF(Produtos!$A300="","",Produtos!$B300)</f>
        <v/>
      </c>
      <c r="C300" s="32" t="str">
        <f aca="false">IF(Produtos!$A300="","",Produtos!$C300)</f>
        <v/>
      </c>
      <c r="D300" s="33" t="str">
        <f aca="false">IF(Produtos!$A300="","",IF(Produtos!$D300="","",Produtos!$D300))</f>
        <v/>
      </c>
      <c r="E300" s="11"/>
      <c r="F300" s="34" t="str">
        <f aca="false">IF($A300="","",IF($C300="","⚠ categoria",IFERROR(INDEX(Parâmetros!$G$13:$G$22,MATCH($C300,Parâmetros!$A$13:$A$22,0)),"⚠ categoria")))</f>
        <v/>
      </c>
      <c r="G300" s="35"/>
      <c r="H300" s="36" t="str">
        <f aca="false">IF($A300="","",IF(ISNUMBER($G300),$G300,IF(ISNUMBER($F300),$F300,"")))</f>
        <v/>
      </c>
      <c r="I300" s="37" t="str">
        <f aca="false">IF(OR($A300="",NOT(ISNUMBER($D300)),NOT(ISNUMBER($H300))),"",IF((1-$H300-Parâmetros!$B$9-Parâmetros!$C$9-Parâmetros!$D$9)&lt;=0,"INVALIDO",($D300+IF(ISNUMBER($E300),$E300,0)+IF(ISNUMBER(Parâmetros!$E$9),Parâmetros!$E$9,0))/(1-$H300-Parâmetros!$B$9-Parâmetros!$C$9-Parâmetros!$D$9)))</f>
        <v/>
      </c>
      <c r="J300" s="38"/>
      <c r="K300" s="39" t="str">
        <f aca="false">IF(OR($A300="",NOT(ISNUMBER($D300)),NOT(ISNUMBER($H300))),"",IF(AND(ISNUMBER($J300),$J300&gt;0),$J300,IF(ISNUMBER($I300),$I300,"")))</f>
        <v/>
      </c>
      <c r="L300" s="40" t="str">
        <f aca="false">IF(ISNUMBER($K300),$K300*$H300,"")</f>
        <v/>
      </c>
      <c r="M300" s="40" t="str">
        <f aca="false">IF(ISNUMBER($K300),$K300*Parâmetros!$B$9,"")</f>
        <v/>
      </c>
      <c r="N300" s="40" t="str">
        <f aca="false">IF(ISNUMBER($K300),$K300*Parâmetros!$C$9,"")</f>
        <v/>
      </c>
      <c r="O300" s="40" t="str">
        <f aca="false">IF(ISNUMBER($K300),IF(ISNUMBER(Parâmetros!$E$9),Parâmetros!$E$9,0),"")</f>
        <v/>
      </c>
      <c r="P300" s="41" t="str">
        <f aca="false">IF(ISNUMBER($K300),$K300-$D300-IF(ISNUMBER($E300),$E300,0)-$L300-$M300-$N300-$O300,"")</f>
        <v/>
      </c>
      <c r="Q300" s="42" t="str">
        <f aca="false">IF(AND(ISNUMBER($K300),$K300&gt;0),$P300/$K300,"")</f>
        <v/>
      </c>
      <c r="R300" s="43"/>
      <c r="S300" s="44" t="str">
        <f aca="false">IF(OR(NOT(ISNUMBER($R300)),$R300=0,NOT(ISNUMBER($K300))),"",$K300*(1-$R300))</f>
        <v/>
      </c>
      <c r="T300" s="45" t="str">
        <f aca="false">IF(ISNUMBER($S300),$S300*$H300,"")</f>
        <v/>
      </c>
      <c r="U300" s="45" t="str">
        <f aca="false">IF(ISNUMBER($S300),$S300*Parâmetros!$B$9,"")</f>
        <v/>
      </c>
      <c r="V300" s="45" t="str">
        <f aca="false">IF(ISNUMBER($S300),$S300*Parâmetros!$C$9,"")</f>
        <v/>
      </c>
      <c r="W300" s="44" t="str">
        <f aca="false">IF(ISNUMBER($S300),$S300-$D300-IF(ISNUMBER($E300),$E300,0)-$O300-$T300-$U300-$V300,"")</f>
        <v/>
      </c>
      <c r="X300" s="46" t="str">
        <f aca="false">IF(AND(ISNUMBER($S300),$S300&gt;0),$W300/$S300,"")</f>
        <v/>
      </c>
      <c r="Y300" s="47"/>
      <c r="Z300" s="19"/>
    </row>
    <row r="301" customFormat="false" ht="15.75" hidden="false" customHeight="true" outlineLevel="0" collapsed="false">
      <c r="A301" s="48" t="str">
        <f aca="false">IF(Produtos!$A301="","",Produtos!$A301)</f>
        <v/>
      </c>
      <c r="B301" s="48" t="str">
        <f aca="false">IF(Produtos!$A301="","",Produtos!$B301)</f>
        <v/>
      </c>
      <c r="C301" s="48" t="str">
        <f aca="false">IF(Produtos!$A301="","",Produtos!$C301)</f>
        <v/>
      </c>
      <c r="D301" s="33" t="str">
        <f aca="false">IF(Produtos!$A301="","",IF(Produtos!$D301="","",Produtos!$D301))</f>
        <v/>
      </c>
      <c r="E301" s="11"/>
      <c r="F301" s="34" t="str">
        <f aca="false">IF($A301="","",IF($C301="","⚠ categoria",IFERROR(INDEX(Parâmetros!$G$13:$G$22,MATCH($C301,Parâmetros!$A$13:$A$22,0)),"⚠ categoria")))</f>
        <v/>
      </c>
      <c r="G301" s="35"/>
      <c r="H301" s="36" t="str">
        <f aca="false">IF($A301="","",IF(ISNUMBER($G301),$G301,IF(ISNUMBER($F301),$F301,"")))</f>
        <v/>
      </c>
      <c r="I301" s="37" t="str">
        <f aca="false">IF(OR($A301="",NOT(ISNUMBER($D301)),NOT(ISNUMBER($H301))),"",IF((1-$H301-Parâmetros!$B$9-Parâmetros!$C$9-Parâmetros!$D$9)&lt;=0,"INVALIDO",($D301+IF(ISNUMBER($E301),$E301,0)+IF(ISNUMBER(Parâmetros!$E$9),Parâmetros!$E$9,0))/(1-$H301-Parâmetros!$B$9-Parâmetros!$C$9-Parâmetros!$D$9)))</f>
        <v/>
      </c>
      <c r="J301" s="38"/>
      <c r="K301" s="39" t="str">
        <f aca="false">IF(OR($A301="",NOT(ISNUMBER($D301)),NOT(ISNUMBER($H301))),"",IF(AND(ISNUMBER($J301),$J301&gt;0),$J301,IF(ISNUMBER($I301),$I301,"")))</f>
        <v/>
      </c>
      <c r="L301" s="40" t="str">
        <f aca="false">IF(ISNUMBER($K301),$K301*$H301,"")</f>
        <v/>
      </c>
      <c r="M301" s="40" t="str">
        <f aca="false">IF(ISNUMBER($K301),$K301*Parâmetros!$B$9,"")</f>
        <v/>
      </c>
      <c r="N301" s="40" t="str">
        <f aca="false">IF(ISNUMBER($K301),$K301*Parâmetros!$C$9,"")</f>
        <v/>
      </c>
      <c r="O301" s="40" t="str">
        <f aca="false">IF(ISNUMBER($K301),IF(ISNUMBER(Parâmetros!$E$9),Parâmetros!$E$9,0),"")</f>
        <v/>
      </c>
      <c r="P301" s="41" t="str">
        <f aca="false">IF(ISNUMBER($K301),$K301-$D301-IF(ISNUMBER($E301),$E301,0)-$L301-$M301-$N301-$O301,"")</f>
        <v/>
      </c>
      <c r="Q301" s="42" t="str">
        <f aca="false">IF(AND(ISNUMBER($K301),$K301&gt;0),$P301/$K301,"")</f>
        <v/>
      </c>
      <c r="R301" s="43"/>
      <c r="S301" s="44" t="str">
        <f aca="false">IF(OR(NOT(ISNUMBER($R301)),$R301=0,NOT(ISNUMBER($K301))),"",$K301*(1-$R301))</f>
        <v/>
      </c>
      <c r="T301" s="45" t="str">
        <f aca="false">IF(ISNUMBER($S301),$S301*$H301,"")</f>
        <v/>
      </c>
      <c r="U301" s="45" t="str">
        <f aca="false">IF(ISNUMBER($S301),$S301*Parâmetros!$B$9,"")</f>
        <v/>
      </c>
      <c r="V301" s="45" t="str">
        <f aca="false">IF(ISNUMBER($S301),$S301*Parâmetros!$C$9,"")</f>
        <v/>
      </c>
      <c r="W301" s="44" t="str">
        <f aca="false">IF(ISNUMBER($S301),$S301-$D301-IF(ISNUMBER($E301),$E301,0)-$O301-$T301-$U301-$V301,"")</f>
        <v/>
      </c>
      <c r="X301" s="46" t="str">
        <f aca="false">IF(AND(ISNUMBER($S301),$S301&gt;0),$W301/$S301,"")</f>
        <v/>
      </c>
      <c r="Y301" s="49"/>
      <c r="Z301" s="21"/>
    </row>
    <row r="302" customFormat="false" ht="15.75" hidden="false" customHeight="true" outlineLevel="0" collapsed="false">
      <c r="A302" s="32" t="str">
        <f aca="false">IF(Produtos!$A302="","",Produtos!$A302)</f>
        <v/>
      </c>
      <c r="B302" s="32" t="str">
        <f aca="false">IF(Produtos!$A302="","",Produtos!$B302)</f>
        <v/>
      </c>
      <c r="C302" s="32" t="str">
        <f aca="false">IF(Produtos!$A302="","",Produtos!$C302)</f>
        <v/>
      </c>
      <c r="D302" s="33" t="str">
        <f aca="false">IF(Produtos!$A302="","",IF(Produtos!$D302="","",Produtos!$D302))</f>
        <v/>
      </c>
      <c r="E302" s="11"/>
      <c r="F302" s="34" t="str">
        <f aca="false">IF($A302="","",IF($C302="","⚠ categoria",IFERROR(INDEX(Parâmetros!$G$13:$G$22,MATCH($C302,Parâmetros!$A$13:$A$22,0)),"⚠ categoria")))</f>
        <v/>
      </c>
      <c r="G302" s="35"/>
      <c r="H302" s="36" t="str">
        <f aca="false">IF($A302="","",IF(ISNUMBER($G302),$G302,IF(ISNUMBER($F302),$F302,"")))</f>
        <v/>
      </c>
      <c r="I302" s="37" t="str">
        <f aca="false">IF(OR($A302="",NOT(ISNUMBER($D302)),NOT(ISNUMBER($H302))),"",IF((1-$H302-Parâmetros!$B$9-Parâmetros!$C$9-Parâmetros!$D$9)&lt;=0,"INVALIDO",($D302+IF(ISNUMBER($E302),$E302,0)+IF(ISNUMBER(Parâmetros!$E$9),Parâmetros!$E$9,0))/(1-$H302-Parâmetros!$B$9-Parâmetros!$C$9-Parâmetros!$D$9)))</f>
        <v/>
      </c>
      <c r="J302" s="38"/>
      <c r="K302" s="39" t="str">
        <f aca="false">IF(OR($A302="",NOT(ISNUMBER($D302)),NOT(ISNUMBER($H302))),"",IF(AND(ISNUMBER($J302),$J302&gt;0),$J302,IF(ISNUMBER($I302),$I302,"")))</f>
        <v/>
      </c>
      <c r="L302" s="40" t="str">
        <f aca="false">IF(ISNUMBER($K302),$K302*$H302,"")</f>
        <v/>
      </c>
      <c r="M302" s="40" t="str">
        <f aca="false">IF(ISNUMBER($K302),$K302*Parâmetros!$B$9,"")</f>
        <v/>
      </c>
      <c r="N302" s="40" t="str">
        <f aca="false">IF(ISNUMBER($K302),$K302*Parâmetros!$C$9,"")</f>
        <v/>
      </c>
      <c r="O302" s="40" t="str">
        <f aca="false">IF(ISNUMBER($K302),IF(ISNUMBER(Parâmetros!$E$9),Parâmetros!$E$9,0),"")</f>
        <v/>
      </c>
      <c r="P302" s="41" t="str">
        <f aca="false">IF(ISNUMBER($K302),$K302-$D302-IF(ISNUMBER($E302),$E302,0)-$L302-$M302-$N302-$O302,"")</f>
        <v/>
      </c>
      <c r="Q302" s="42" t="str">
        <f aca="false">IF(AND(ISNUMBER($K302),$K302&gt;0),$P302/$K302,"")</f>
        <v/>
      </c>
      <c r="R302" s="43"/>
      <c r="S302" s="44" t="str">
        <f aca="false">IF(OR(NOT(ISNUMBER($R302)),$R302=0,NOT(ISNUMBER($K302))),"",$K302*(1-$R302))</f>
        <v/>
      </c>
      <c r="T302" s="45" t="str">
        <f aca="false">IF(ISNUMBER($S302),$S302*$H302,"")</f>
        <v/>
      </c>
      <c r="U302" s="45" t="str">
        <f aca="false">IF(ISNUMBER($S302),$S302*Parâmetros!$B$9,"")</f>
        <v/>
      </c>
      <c r="V302" s="45" t="str">
        <f aca="false">IF(ISNUMBER($S302),$S302*Parâmetros!$C$9,"")</f>
        <v/>
      </c>
      <c r="W302" s="44" t="str">
        <f aca="false">IF(ISNUMBER($S302),$S302-$D302-IF(ISNUMBER($E302),$E302,0)-$O302-$T302-$U302-$V302,"")</f>
        <v/>
      </c>
      <c r="X302" s="46" t="str">
        <f aca="false">IF(AND(ISNUMBER($S302),$S302&gt;0),$W302/$S302,"")</f>
        <v/>
      </c>
      <c r="Y302" s="47"/>
      <c r="Z302" s="19"/>
    </row>
    <row r="303" customFormat="false" ht="15.75" hidden="false" customHeight="true" outlineLevel="0" collapsed="false">
      <c r="A303" s="48" t="str">
        <f aca="false">IF(Produtos!$A303="","",Produtos!$A303)</f>
        <v/>
      </c>
      <c r="B303" s="48" t="str">
        <f aca="false">IF(Produtos!$A303="","",Produtos!$B303)</f>
        <v/>
      </c>
      <c r="C303" s="48" t="str">
        <f aca="false">IF(Produtos!$A303="","",Produtos!$C303)</f>
        <v/>
      </c>
      <c r="D303" s="33" t="str">
        <f aca="false">IF(Produtos!$A303="","",IF(Produtos!$D303="","",Produtos!$D303))</f>
        <v/>
      </c>
      <c r="E303" s="11"/>
      <c r="F303" s="34" t="str">
        <f aca="false">IF($A303="","",IF($C303="","⚠ categoria",IFERROR(INDEX(Parâmetros!$G$13:$G$22,MATCH($C303,Parâmetros!$A$13:$A$22,0)),"⚠ categoria")))</f>
        <v/>
      </c>
      <c r="G303" s="35"/>
      <c r="H303" s="36" t="str">
        <f aca="false">IF($A303="","",IF(ISNUMBER($G303),$G303,IF(ISNUMBER($F303),$F303,"")))</f>
        <v/>
      </c>
      <c r="I303" s="37" t="str">
        <f aca="false">IF(OR($A303="",NOT(ISNUMBER($D303)),NOT(ISNUMBER($H303))),"",IF((1-$H303-Parâmetros!$B$9-Parâmetros!$C$9-Parâmetros!$D$9)&lt;=0,"INVALIDO",($D303+IF(ISNUMBER($E303),$E303,0)+IF(ISNUMBER(Parâmetros!$E$9),Parâmetros!$E$9,0))/(1-$H303-Parâmetros!$B$9-Parâmetros!$C$9-Parâmetros!$D$9)))</f>
        <v/>
      </c>
      <c r="J303" s="38"/>
      <c r="K303" s="39" t="str">
        <f aca="false">IF(OR($A303="",NOT(ISNUMBER($D303)),NOT(ISNUMBER($H303))),"",IF(AND(ISNUMBER($J303),$J303&gt;0),$J303,IF(ISNUMBER($I303),$I303,"")))</f>
        <v/>
      </c>
      <c r="L303" s="40" t="str">
        <f aca="false">IF(ISNUMBER($K303),$K303*$H303,"")</f>
        <v/>
      </c>
      <c r="M303" s="40" t="str">
        <f aca="false">IF(ISNUMBER($K303),$K303*Parâmetros!$B$9,"")</f>
        <v/>
      </c>
      <c r="N303" s="40" t="str">
        <f aca="false">IF(ISNUMBER($K303),$K303*Parâmetros!$C$9,"")</f>
        <v/>
      </c>
      <c r="O303" s="40" t="str">
        <f aca="false">IF(ISNUMBER($K303),IF(ISNUMBER(Parâmetros!$E$9),Parâmetros!$E$9,0),"")</f>
        <v/>
      </c>
      <c r="P303" s="41" t="str">
        <f aca="false">IF(ISNUMBER($K303),$K303-$D303-IF(ISNUMBER($E303),$E303,0)-$L303-$M303-$N303-$O303,"")</f>
        <v/>
      </c>
      <c r="Q303" s="42" t="str">
        <f aca="false">IF(AND(ISNUMBER($K303),$K303&gt;0),$P303/$K303,"")</f>
        <v/>
      </c>
      <c r="R303" s="43"/>
      <c r="S303" s="44" t="str">
        <f aca="false">IF(OR(NOT(ISNUMBER($R303)),$R303=0,NOT(ISNUMBER($K303))),"",$K303*(1-$R303))</f>
        <v/>
      </c>
      <c r="T303" s="45" t="str">
        <f aca="false">IF(ISNUMBER($S303),$S303*$H303,"")</f>
        <v/>
      </c>
      <c r="U303" s="45" t="str">
        <f aca="false">IF(ISNUMBER($S303),$S303*Parâmetros!$B$9,"")</f>
        <v/>
      </c>
      <c r="V303" s="45" t="str">
        <f aca="false">IF(ISNUMBER($S303),$S303*Parâmetros!$C$9,"")</f>
        <v/>
      </c>
      <c r="W303" s="44" t="str">
        <f aca="false">IF(ISNUMBER($S303),$S303-$D303-IF(ISNUMBER($E303),$E303,0)-$O303-$T303-$U303-$V303,"")</f>
        <v/>
      </c>
      <c r="X303" s="46" t="str">
        <f aca="false">IF(AND(ISNUMBER($S303),$S303&gt;0),$W303/$S303,"")</f>
        <v/>
      </c>
      <c r="Y303" s="49"/>
      <c r="Z303" s="21"/>
    </row>
    <row r="304" customFormat="false" ht="15.75" hidden="false" customHeight="true" outlineLevel="0" collapsed="false">
      <c r="A304" s="32" t="str">
        <f aca="false">IF(Produtos!$A304="","",Produtos!$A304)</f>
        <v/>
      </c>
      <c r="B304" s="32" t="str">
        <f aca="false">IF(Produtos!$A304="","",Produtos!$B304)</f>
        <v/>
      </c>
      <c r="C304" s="32" t="str">
        <f aca="false">IF(Produtos!$A304="","",Produtos!$C304)</f>
        <v/>
      </c>
      <c r="D304" s="33" t="str">
        <f aca="false">IF(Produtos!$A304="","",IF(Produtos!$D304="","",Produtos!$D304))</f>
        <v/>
      </c>
      <c r="E304" s="11"/>
      <c r="F304" s="34" t="str">
        <f aca="false">IF($A304="","",IF($C304="","⚠ categoria",IFERROR(INDEX(Parâmetros!$G$13:$G$22,MATCH($C304,Parâmetros!$A$13:$A$22,0)),"⚠ categoria")))</f>
        <v/>
      </c>
      <c r="G304" s="35"/>
      <c r="H304" s="36" t="str">
        <f aca="false">IF($A304="","",IF(ISNUMBER($G304),$G304,IF(ISNUMBER($F304),$F304,"")))</f>
        <v/>
      </c>
      <c r="I304" s="37" t="str">
        <f aca="false">IF(OR($A304="",NOT(ISNUMBER($D304)),NOT(ISNUMBER($H304))),"",IF((1-$H304-Parâmetros!$B$9-Parâmetros!$C$9-Parâmetros!$D$9)&lt;=0,"INVALIDO",($D304+IF(ISNUMBER($E304),$E304,0)+IF(ISNUMBER(Parâmetros!$E$9),Parâmetros!$E$9,0))/(1-$H304-Parâmetros!$B$9-Parâmetros!$C$9-Parâmetros!$D$9)))</f>
        <v/>
      </c>
      <c r="J304" s="38"/>
      <c r="K304" s="39" t="str">
        <f aca="false">IF(OR($A304="",NOT(ISNUMBER($D304)),NOT(ISNUMBER($H304))),"",IF(AND(ISNUMBER($J304),$J304&gt;0),$J304,IF(ISNUMBER($I304),$I304,"")))</f>
        <v/>
      </c>
      <c r="L304" s="40" t="str">
        <f aca="false">IF(ISNUMBER($K304),$K304*$H304,"")</f>
        <v/>
      </c>
      <c r="M304" s="40" t="str">
        <f aca="false">IF(ISNUMBER($K304),$K304*Parâmetros!$B$9,"")</f>
        <v/>
      </c>
      <c r="N304" s="40" t="str">
        <f aca="false">IF(ISNUMBER($K304),$K304*Parâmetros!$C$9,"")</f>
        <v/>
      </c>
      <c r="O304" s="40" t="str">
        <f aca="false">IF(ISNUMBER($K304),IF(ISNUMBER(Parâmetros!$E$9),Parâmetros!$E$9,0),"")</f>
        <v/>
      </c>
      <c r="P304" s="41" t="str">
        <f aca="false">IF(ISNUMBER($K304),$K304-$D304-IF(ISNUMBER($E304),$E304,0)-$L304-$M304-$N304-$O304,"")</f>
        <v/>
      </c>
      <c r="Q304" s="42" t="str">
        <f aca="false">IF(AND(ISNUMBER($K304),$K304&gt;0),$P304/$K304,"")</f>
        <v/>
      </c>
      <c r="R304" s="43"/>
      <c r="S304" s="44" t="str">
        <f aca="false">IF(OR(NOT(ISNUMBER($R304)),$R304=0,NOT(ISNUMBER($K304))),"",$K304*(1-$R304))</f>
        <v/>
      </c>
      <c r="T304" s="45" t="str">
        <f aca="false">IF(ISNUMBER($S304),$S304*$H304,"")</f>
        <v/>
      </c>
      <c r="U304" s="45" t="str">
        <f aca="false">IF(ISNUMBER($S304),$S304*Parâmetros!$B$9,"")</f>
        <v/>
      </c>
      <c r="V304" s="45" t="str">
        <f aca="false">IF(ISNUMBER($S304),$S304*Parâmetros!$C$9,"")</f>
        <v/>
      </c>
      <c r="W304" s="44" t="str">
        <f aca="false">IF(ISNUMBER($S304),$S304-$D304-IF(ISNUMBER($E304),$E304,0)-$O304-$T304-$U304-$V304,"")</f>
        <v/>
      </c>
      <c r="X304" s="46" t="str">
        <f aca="false">IF(AND(ISNUMBER($S304),$S304&gt;0),$W304/$S304,"")</f>
        <v/>
      </c>
      <c r="Y304" s="47"/>
      <c r="Z304" s="19"/>
    </row>
    <row r="305" customFormat="false" ht="15.75" hidden="false" customHeight="true" outlineLevel="0" collapsed="false">
      <c r="A305" s="48" t="str">
        <f aca="false">IF(Produtos!$A305="","",Produtos!$A305)</f>
        <v/>
      </c>
      <c r="B305" s="48" t="str">
        <f aca="false">IF(Produtos!$A305="","",Produtos!$B305)</f>
        <v/>
      </c>
      <c r="C305" s="48" t="str">
        <f aca="false">IF(Produtos!$A305="","",Produtos!$C305)</f>
        <v/>
      </c>
      <c r="D305" s="33" t="str">
        <f aca="false">IF(Produtos!$A305="","",IF(Produtos!$D305="","",Produtos!$D305))</f>
        <v/>
      </c>
      <c r="E305" s="11"/>
      <c r="F305" s="34" t="str">
        <f aca="false">IF($A305="","",IF($C305="","⚠ categoria",IFERROR(INDEX(Parâmetros!$G$13:$G$22,MATCH($C305,Parâmetros!$A$13:$A$22,0)),"⚠ categoria")))</f>
        <v/>
      </c>
      <c r="G305" s="35"/>
      <c r="H305" s="36" t="str">
        <f aca="false">IF($A305="","",IF(ISNUMBER($G305),$G305,IF(ISNUMBER($F305),$F305,"")))</f>
        <v/>
      </c>
      <c r="I305" s="37" t="str">
        <f aca="false">IF(OR($A305="",NOT(ISNUMBER($D305)),NOT(ISNUMBER($H305))),"",IF((1-$H305-Parâmetros!$B$9-Parâmetros!$C$9-Parâmetros!$D$9)&lt;=0,"INVALIDO",($D305+IF(ISNUMBER($E305),$E305,0)+IF(ISNUMBER(Parâmetros!$E$9),Parâmetros!$E$9,0))/(1-$H305-Parâmetros!$B$9-Parâmetros!$C$9-Parâmetros!$D$9)))</f>
        <v/>
      </c>
      <c r="J305" s="38"/>
      <c r="K305" s="39" t="str">
        <f aca="false">IF(OR($A305="",NOT(ISNUMBER($D305)),NOT(ISNUMBER($H305))),"",IF(AND(ISNUMBER($J305),$J305&gt;0),$J305,IF(ISNUMBER($I305),$I305,"")))</f>
        <v/>
      </c>
      <c r="L305" s="40" t="str">
        <f aca="false">IF(ISNUMBER($K305),$K305*$H305,"")</f>
        <v/>
      </c>
      <c r="M305" s="40" t="str">
        <f aca="false">IF(ISNUMBER($K305),$K305*Parâmetros!$B$9,"")</f>
        <v/>
      </c>
      <c r="N305" s="40" t="str">
        <f aca="false">IF(ISNUMBER($K305),$K305*Parâmetros!$C$9,"")</f>
        <v/>
      </c>
      <c r="O305" s="40" t="str">
        <f aca="false">IF(ISNUMBER($K305),IF(ISNUMBER(Parâmetros!$E$9),Parâmetros!$E$9,0),"")</f>
        <v/>
      </c>
      <c r="P305" s="41" t="str">
        <f aca="false">IF(ISNUMBER($K305),$K305-$D305-IF(ISNUMBER($E305),$E305,0)-$L305-$M305-$N305-$O305,"")</f>
        <v/>
      </c>
      <c r="Q305" s="42" t="str">
        <f aca="false">IF(AND(ISNUMBER($K305),$K305&gt;0),$P305/$K305,"")</f>
        <v/>
      </c>
      <c r="R305" s="43"/>
      <c r="S305" s="44" t="str">
        <f aca="false">IF(OR(NOT(ISNUMBER($R305)),$R305=0,NOT(ISNUMBER($K305))),"",$K305*(1-$R305))</f>
        <v/>
      </c>
      <c r="T305" s="45" t="str">
        <f aca="false">IF(ISNUMBER($S305),$S305*$H305,"")</f>
        <v/>
      </c>
      <c r="U305" s="45" t="str">
        <f aca="false">IF(ISNUMBER($S305),$S305*Parâmetros!$B$9,"")</f>
        <v/>
      </c>
      <c r="V305" s="45" t="str">
        <f aca="false">IF(ISNUMBER($S305),$S305*Parâmetros!$C$9,"")</f>
        <v/>
      </c>
      <c r="W305" s="44" t="str">
        <f aca="false">IF(ISNUMBER($S305),$S305-$D305-IF(ISNUMBER($E305),$E305,0)-$O305-$T305-$U305-$V305,"")</f>
        <v/>
      </c>
      <c r="X305" s="46" t="str">
        <f aca="false">IF(AND(ISNUMBER($S305),$S305&gt;0),$W305/$S305,"")</f>
        <v/>
      </c>
      <c r="Y305" s="49"/>
      <c r="Z305" s="21"/>
    </row>
    <row r="306" customFormat="false" ht="15.75" hidden="false" customHeight="true" outlineLevel="0" collapsed="false">
      <c r="A306" s="32" t="str">
        <f aca="false">IF(Produtos!$A306="","",Produtos!$A306)</f>
        <v/>
      </c>
      <c r="B306" s="32" t="str">
        <f aca="false">IF(Produtos!$A306="","",Produtos!$B306)</f>
        <v/>
      </c>
      <c r="C306" s="32" t="str">
        <f aca="false">IF(Produtos!$A306="","",Produtos!$C306)</f>
        <v/>
      </c>
      <c r="D306" s="33" t="str">
        <f aca="false">IF(Produtos!$A306="","",IF(Produtos!$D306="","",Produtos!$D306))</f>
        <v/>
      </c>
      <c r="E306" s="11"/>
      <c r="F306" s="34" t="str">
        <f aca="false">IF($A306="","",IF($C306="","⚠ categoria",IFERROR(INDEX(Parâmetros!$G$13:$G$22,MATCH($C306,Parâmetros!$A$13:$A$22,0)),"⚠ categoria")))</f>
        <v/>
      </c>
      <c r="G306" s="35"/>
      <c r="H306" s="36" t="str">
        <f aca="false">IF($A306="","",IF(ISNUMBER($G306),$G306,IF(ISNUMBER($F306),$F306,"")))</f>
        <v/>
      </c>
      <c r="I306" s="37" t="str">
        <f aca="false">IF(OR($A306="",NOT(ISNUMBER($D306)),NOT(ISNUMBER($H306))),"",IF((1-$H306-Parâmetros!$B$9-Parâmetros!$C$9-Parâmetros!$D$9)&lt;=0,"INVALIDO",($D306+IF(ISNUMBER($E306),$E306,0)+IF(ISNUMBER(Parâmetros!$E$9),Parâmetros!$E$9,0))/(1-$H306-Parâmetros!$B$9-Parâmetros!$C$9-Parâmetros!$D$9)))</f>
        <v/>
      </c>
      <c r="J306" s="38"/>
      <c r="K306" s="39" t="str">
        <f aca="false">IF(OR($A306="",NOT(ISNUMBER($D306)),NOT(ISNUMBER($H306))),"",IF(AND(ISNUMBER($J306),$J306&gt;0),$J306,IF(ISNUMBER($I306),$I306,"")))</f>
        <v/>
      </c>
      <c r="L306" s="40" t="str">
        <f aca="false">IF(ISNUMBER($K306),$K306*$H306,"")</f>
        <v/>
      </c>
      <c r="M306" s="40" t="str">
        <f aca="false">IF(ISNUMBER($K306),$K306*Parâmetros!$B$9,"")</f>
        <v/>
      </c>
      <c r="N306" s="40" t="str">
        <f aca="false">IF(ISNUMBER($K306),$K306*Parâmetros!$C$9,"")</f>
        <v/>
      </c>
      <c r="O306" s="40" t="str">
        <f aca="false">IF(ISNUMBER($K306),IF(ISNUMBER(Parâmetros!$E$9),Parâmetros!$E$9,0),"")</f>
        <v/>
      </c>
      <c r="P306" s="41" t="str">
        <f aca="false">IF(ISNUMBER($K306),$K306-$D306-IF(ISNUMBER($E306),$E306,0)-$L306-$M306-$N306-$O306,"")</f>
        <v/>
      </c>
      <c r="Q306" s="42" t="str">
        <f aca="false">IF(AND(ISNUMBER($K306),$K306&gt;0),$P306/$K306,"")</f>
        <v/>
      </c>
      <c r="R306" s="43"/>
      <c r="S306" s="44" t="str">
        <f aca="false">IF(OR(NOT(ISNUMBER($R306)),$R306=0,NOT(ISNUMBER($K306))),"",$K306*(1-$R306))</f>
        <v/>
      </c>
      <c r="T306" s="45" t="str">
        <f aca="false">IF(ISNUMBER($S306),$S306*$H306,"")</f>
        <v/>
      </c>
      <c r="U306" s="45" t="str">
        <f aca="false">IF(ISNUMBER($S306),$S306*Parâmetros!$B$9,"")</f>
        <v/>
      </c>
      <c r="V306" s="45" t="str">
        <f aca="false">IF(ISNUMBER($S306),$S306*Parâmetros!$C$9,"")</f>
        <v/>
      </c>
      <c r="W306" s="44" t="str">
        <f aca="false">IF(ISNUMBER($S306),$S306-$D306-IF(ISNUMBER($E306),$E306,0)-$O306-$T306-$U306-$V306,"")</f>
        <v/>
      </c>
      <c r="X306" s="46" t="str">
        <f aca="false">IF(AND(ISNUMBER($S306),$S306&gt;0),$W306/$S306,"")</f>
        <v/>
      </c>
      <c r="Y306" s="47"/>
      <c r="Z306" s="19"/>
    </row>
    <row r="307" customFormat="false" ht="15.75" hidden="false" customHeight="true" outlineLevel="0" collapsed="false">
      <c r="A307" s="48" t="str">
        <f aca="false">IF(Produtos!$A307="","",Produtos!$A307)</f>
        <v/>
      </c>
      <c r="B307" s="48" t="str">
        <f aca="false">IF(Produtos!$A307="","",Produtos!$B307)</f>
        <v/>
      </c>
      <c r="C307" s="48" t="str">
        <f aca="false">IF(Produtos!$A307="","",Produtos!$C307)</f>
        <v/>
      </c>
      <c r="D307" s="33" t="str">
        <f aca="false">IF(Produtos!$A307="","",IF(Produtos!$D307="","",Produtos!$D307))</f>
        <v/>
      </c>
      <c r="E307" s="11"/>
      <c r="F307" s="34" t="str">
        <f aca="false">IF($A307="","",IF($C307="","⚠ categoria",IFERROR(INDEX(Parâmetros!$G$13:$G$22,MATCH($C307,Parâmetros!$A$13:$A$22,0)),"⚠ categoria")))</f>
        <v/>
      </c>
      <c r="G307" s="35"/>
      <c r="H307" s="36" t="str">
        <f aca="false">IF($A307="","",IF(ISNUMBER($G307),$G307,IF(ISNUMBER($F307),$F307,"")))</f>
        <v/>
      </c>
      <c r="I307" s="37" t="str">
        <f aca="false">IF(OR($A307="",NOT(ISNUMBER($D307)),NOT(ISNUMBER($H307))),"",IF((1-$H307-Parâmetros!$B$9-Parâmetros!$C$9-Parâmetros!$D$9)&lt;=0,"INVALIDO",($D307+IF(ISNUMBER($E307),$E307,0)+IF(ISNUMBER(Parâmetros!$E$9),Parâmetros!$E$9,0))/(1-$H307-Parâmetros!$B$9-Parâmetros!$C$9-Parâmetros!$D$9)))</f>
        <v/>
      </c>
      <c r="J307" s="38"/>
      <c r="K307" s="39" t="str">
        <f aca="false">IF(OR($A307="",NOT(ISNUMBER($D307)),NOT(ISNUMBER($H307))),"",IF(AND(ISNUMBER($J307),$J307&gt;0),$J307,IF(ISNUMBER($I307),$I307,"")))</f>
        <v/>
      </c>
      <c r="L307" s="40" t="str">
        <f aca="false">IF(ISNUMBER($K307),$K307*$H307,"")</f>
        <v/>
      </c>
      <c r="M307" s="40" t="str">
        <f aca="false">IF(ISNUMBER($K307),$K307*Parâmetros!$B$9,"")</f>
        <v/>
      </c>
      <c r="N307" s="40" t="str">
        <f aca="false">IF(ISNUMBER($K307),$K307*Parâmetros!$C$9,"")</f>
        <v/>
      </c>
      <c r="O307" s="40" t="str">
        <f aca="false">IF(ISNUMBER($K307),IF(ISNUMBER(Parâmetros!$E$9),Parâmetros!$E$9,0),"")</f>
        <v/>
      </c>
      <c r="P307" s="41" t="str">
        <f aca="false">IF(ISNUMBER($K307),$K307-$D307-IF(ISNUMBER($E307),$E307,0)-$L307-$M307-$N307-$O307,"")</f>
        <v/>
      </c>
      <c r="Q307" s="42" t="str">
        <f aca="false">IF(AND(ISNUMBER($K307),$K307&gt;0),$P307/$K307,"")</f>
        <v/>
      </c>
      <c r="R307" s="43"/>
      <c r="S307" s="44" t="str">
        <f aca="false">IF(OR(NOT(ISNUMBER($R307)),$R307=0,NOT(ISNUMBER($K307))),"",$K307*(1-$R307))</f>
        <v/>
      </c>
      <c r="T307" s="45" t="str">
        <f aca="false">IF(ISNUMBER($S307),$S307*$H307,"")</f>
        <v/>
      </c>
      <c r="U307" s="45" t="str">
        <f aca="false">IF(ISNUMBER($S307),$S307*Parâmetros!$B$9,"")</f>
        <v/>
      </c>
      <c r="V307" s="45" t="str">
        <f aca="false">IF(ISNUMBER($S307),$S307*Parâmetros!$C$9,"")</f>
        <v/>
      </c>
      <c r="W307" s="44" t="str">
        <f aca="false">IF(ISNUMBER($S307),$S307-$D307-IF(ISNUMBER($E307),$E307,0)-$O307-$T307-$U307-$V307,"")</f>
        <v/>
      </c>
      <c r="X307" s="46" t="str">
        <f aca="false">IF(AND(ISNUMBER($S307),$S307&gt;0),$W307/$S307,"")</f>
        <v/>
      </c>
      <c r="Y307" s="49"/>
      <c r="Z307" s="21"/>
    </row>
    <row r="308" customFormat="false" ht="15.75" hidden="false" customHeight="true" outlineLevel="0" collapsed="false">
      <c r="A308" s="32" t="str">
        <f aca="false">IF(Produtos!$A308="","",Produtos!$A308)</f>
        <v/>
      </c>
      <c r="B308" s="32" t="str">
        <f aca="false">IF(Produtos!$A308="","",Produtos!$B308)</f>
        <v/>
      </c>
      <c r="C308" s="32" t="str">
        <f aca="false">IF(Produtos!$A308="","",Produtos!$C308)</f>
        <v/>
      </c>
      <c r="D308" s="33" t="str">
        <f aca="false">IF(Produtos!$A308="","",IF(Produtos!$D308="","",Produtos!$D308))</f>
        <v/>
      </c>
      <c r="E308" s="11"/>
      <c r="F308" s="34" t="str">
        <f aca="false">IF($A308="","",IF($C308="","⚠ categoria",IFERROR(INDEX(Parâmetros!$G$13:$G$22,MATCH($C308,Parâmetros!$A$13:$A$22,0)),"⚠ categoria")))</f>
        <v/>
      </c>
      <c r="G308" s="35"/>
      <c r="H308" s="36" t="str">
        <f aca="false">IF($A308="","",IF(ISNUMBER($G308),$G308,IF(ISNUMBER($F308),$F308,"")))</f>
        <v/>
      </c>
      <c r="I308" s="37" t="str">
        <f aca="false">IF(OR($A308="",NOT(ISNUMBER($D308)),NOT(ISNUMBER($H308))),"",IF((1-$H308-Parâmetros!$B$9-Parâmetros!$C$9-Parâmetros!$D$9)&lt;=0,"INVALIDO",($D308+IF(ISNUMBER($E308),$E308,0)+IF(ISNUMBER(Parâmetros!$E$9),Parâmetros!$E$9,0))/(1-$H308-Parâmetros!$B$9-Parâmetros!$C$9-Parâmetros!$D$9)))</f>
        <v/>
      </c>
      <c r="J308" s="38"/>
      <c r="K308" s="39" t="str">
        <f aca="false">IF(OR($A308="",NOT(ISNUMBER($D308)),NOT(ISNUMBER($H308))),"",IF(AND(ISNUMBER($J308),$J308&gt;0),$J308,IF(ISNUMBER($I308),$I308,"")))</f>
        <v/>
      </c>
      <c r="L308" s="40" t="str">
        <f aca="false">IF(ISNUMBER($K308),$K308*$H308,"")</f>
        <v/>
      </c>
      <c r="M308" s="40" t="str">
        <f aca="false">IF(ISNUMBER($K308),$K308*Parâmetros!$B$9,"")</f>
        <v/>
      </c>
      <c r="N308" s="40" t="str">
        <f aca="false">IF(ISNUMBER($K308),$K308*Parâmetros!$C$9,"")</f>
        <v/>
      </c>
      <c r="O308" s="40" t="str">
        <f aca="false">IF(ISNUMBER($K308),IF(ISNUMBER(Parâmetros!$E$9),Parâmetros!$E$9,0),"")</f>
        <v/>
      </c>
      <c r="P308" s="41" t="str">
        <f aca="false">IF(ISNUMBER($K308),$K308-$D308-IF(ISNUMBER($E308),$E308,0)-$L308-$M308-$N308-$O308,"")</f>
        <v/>
      </c>
      <c r="Q308" s="42" t="str">
        <f aca="false">IF(AND(ISNUMBER($K308),$K308&gt;0),$P308/$K308,"")</f>
        <v/>
      </c>
      <c r="R308" s="43"/>
      <c r="S308" s="44" t="str">
        <f aca="false">IF(OR(NOT(ISNUMBER($R308)),$R308=0,NOT(ISNUMBER($K308))),"",$K308*(1-$R308))</f>
        <v/>
      </c>
      <c r="T308" s="45" t="str">
        <f aca="false">IF(ISNUMBER($S308),$S308*$H308,"")</f>
        <v/>
      </c>
      <c r="U308" s="45" t="str">
        <f aca="false">IF(ISNUMBER($S308),$S308*Parâmetros!$B$9,"")</f>
        <v/>
      </c>
      <c r="V308" s="45" t="str">
        <f aca="false">IF(ISNUMBER($S308),$S308*Parâmetros!$C$9,"")</f>
        <v/>
      </c>
      <c r="W308" s="44" t="str">
        <f aca="false">IF(ISNUMBER($S308),$S308-$D308-IF(ISNUMBER($E308),$E308,0)-$O308-$T308-$U308-$V308,"")</f>
        <v/>
      </c>
      <c r="X308" s="46" t="str">
        <f aca="false">IF(AND(ISNUMBER($S308),$S308&gt;0),$W308/$S308,"")</f>
        <v/>
      </c>
      <c r="Y308" s="47"/>
      <c r="Z308" s="19"/>
    </row>
    <row r="309" customFormat="false" ht="15.75" hidden="false" customHeight="true" outlineLevel="0" collapsed="false">
      <c r="A309" s="48" t="str">
        <f aca="false">IF(Produtos!$A309="","",Produtos!$A309)</f>
        <v/>
      </c>
      <c r="B309" s="48" t="str">
        <f aca="false">IF(Produtos!$A309="","",Produtos!$B309)</f>
        <v/>
      </c>
      <c r="C309" s="48" t="str">
        <f aca="false">IF(Produtos!$A309="","",Produtos!$C309)</f>
        <v/>
      </c>
      <c r="D309" s="33" t="str">
        <f aca="false">IF(Produtos!$A309="","",IF(Produtos!$D309="","",Produtos!$D309))</f>
        <v/>
      </c>
      <c r="E309" s="11"/>
      <c r="F309" s="34" t="str">
        <f aca="false">IF($A309="","",IF($C309="","⚠ categoria",IFERROR(INDEX(Parâmetros!$G$13:$G$22,MATCH($C309,Parâmetros!$A$13:$A$22,0)),"⚠ categoria")))</f>
        <v/>
      </c>
      <c r="G309" s="35"/>
      <c r="H309" s="36" t="str">
        <f aca="false">IF($A309="","",IF(ISNUMBER($G309),$G309,IF(ISNUMBER($F309),$F309,"")))</f>
        <v/>
      </c>
      <c r="I309" s="37" t="str">
        <f aca="false">IF(OR($A309="",NOT(ISNUMBER($D309)),NOT(ISNUMBER($H309))),"",IF((1-$H309-Parâmetros!$B$9-Parâmetros!$C$9-Parâmetros!$D$9)&lt;=0,"INVALIDO",($D309+IF(ISNUMBER($E309),$E309,0)+IF(ISNUMBER(Parâmetros!$E$9),Parâmetros!$E$9,0))/(1-$H309-Parâmetros!$B$9-Parâmetros!$C$9-Parâmetros!$D$9)))</f>
        <v/>
      </c>
      <c r="J309" s="38"/>
      <c r="K309" s="39" t="str">
        <f aca="false">IF(OR($A309="",NOT(ISNUMBER($D309)),NOT(ISNUMBER($H309))),"",IF(AND(ISNUMBER($J309),$J309&gt;0),$J309,IF(ISNUMBER($I309),$I309,"")))</f>
        <v/>
      </c>
      <c r="L309" s="40" t="str">
        <f aca="false">IF(ISNUMBER($K309),$K309*$H309,"")</f>
        <v/>
      </c>
      <c r="M309" s="40" t="str">
        <f aca="false">IF(ISNUMBER($K309),$K309*Parâmetros!$B$9,"")</f>
        <v/>
      </c>
      <c r="N309" s="40" t="str">
        <f aca="false">IF(ISNUMBER($K309),$K309*Parâmetros!$C$9,"")</f>
        <v/>
      </c>
      <c r="O309" s="40" t="str">
        <f aca="false">IF(ISNUMBER($K309),IF(ISNUMBER(Parâmetros!$E$9),Parâmetros!$E$9,0),"")</f>
        <v/>
      </c>
      <c r="P309" s="41" t="str">
        <f aca="false">IF(ISNUMBER($K309),$K309-$D309-IF(ISNUMBER($E309),$E309,0)-$L309-$M309-$N309-$O309,"")</f>
        <v/>
      </c>
      <c r="Q309" s="42" t="str">
        <f aca="false">IF(AND(ISNUMBER($K309),$K309&gt;0),$P309/$K309,"")</f>
        <v/>
      </c>
      <c r="R309" s="43"/>
      <c r="S309" s="44" t="str">
        <f aca="false">IF(OR(NOT(ISNUMBER($R309)),$R309=0,NOT(ISNUMBER($K309))),"",$K309*(1-$R309))</f>
        <v/>
      </c>
      <c r="T309" s="45" t="str">
        <f aca="false">IF(ISNUMBER($S309),$S309*$H309,"")</f>
        <v/>
      </c>
      <c r="U309" s="45" t="str">
        <f aca="false">IF(ISNUMBER($S309),$S309*Parâmetros!$B$9,"")</f>
        <v/>
      </c>
      <c r="V309" s="45" t="str">
        <f aca="false">IF(ISNUMBER($S309),$S309*Parâmetros!$C$9,"")</f>
        <v/>
      </c>
      <c r="W309" s="44" t="str">
        <f aca="false">IF(ISNUMBER($S309),$S309-$D309-IF(ISNUMBER($E309),$E309,0)-$O309-$T309-$U309-$V309,"")</f>
        <v/>
      </c>
      <c r="X309" s="46" t="str">
        <f aca="false">IF(AND(ISNUMBER($S309),$S309&gt;0),$W309/$S309,"")</f>
        <v/>
      </c>
      <c r="Y309" s="49"/>
      <c r="Z309" s="21"/>
    </row>
    <row r="310" customFormat="false" ht="15.75" hidden="false" customHeight="true" outlineLevel="0" collapsed="false">
      <c r="A310" s="32" t="str">
        <f aca="false">IF(Produtos!$A310="","",Produtos!$A310)</f>
        <v/>
      </c>
      <c r="B310" s="32" t="str">
        <f aca="false">IF(Produtos!$A310="","",Produtos!$B310)</f>
        <v/>
      </c>
      <c r="C310" s="32" t="str">
        <f aca="false">IF(Produtos!$A310="","",Produtos!$C310)</f>
        <v/>
      </c>
      <c r="D310" s="33" t="str">
        <f aca="false">IF(Produtos!$A310="","",IF(Produtos!$D310="","",Produtos!$D310))</f>
        <v/>
      </c>
      <c r="E310" s="11"/>
      <c r="F310" s="34" t="str">
        <f aca="false">IF($A310="","",IF($C310="","⚠ categoria",IFERROR(INDEX(Parâmetros!$G$13:$G$22,MATCH($C310,Parâmetros!$A$13:$A$22,0)),"⚠ categoria")))</f>
        <v/>
      </c>
      <c r="G310" s="35"/>
      <c r="H310" s="36" t="str">
        <f aca="false">IF($A310="","",IF(ISNUMBER($G310),$G310,IF(ISNUMBER($F310),$F310,"")))</f>
        <v/>
      </c>
      <c r="I310" s="37" t="str">
        <f aca="false">IF(OR($A310="",NOT(ISNUMBER($D310)),NOT(ISNUMBER($H310))),"",IF((1-$H310-Parâmetros!$B$9-Parâmetros!$C$9-Parâmetros!$D$9)&lt;=0,"INVALIDO",($D310+IF(ISNUMBER($E310),$E310,0)+IF(ISNUMBER(Parâmetros!$E$9),Parâmetros!$E$9,0))/(1-$H310-Parâmetros!$B$9-Parâmetros!$C$9-Parâmetros!$D$9)))</f>
        <v/>
      </c>
      <c r="J310" s="38"/>
      <c r="K310" s="39" t="str">
        <f aca="false">IF(OR($A310="",NOT(ISNUMBER($D310)),NOT(ISNUMBER($H310))),"",IF(AND(ISNUMBER($J310),$J310&gt;0),$J310,IF(ISNUMBER($I310),$I310,"")))</f>
        <v/>
      </c>
      <c r="L310" s="40" t="str">
        <f aca="false">IF(ISNUMBER($K310),$K310*$H310,"")</f>
        <v/>
      </c>
      <c r="M310" s="40" t="str">
        <f aca="false">IF(ISNUMBER($K310),$K310*Parâmetros!$B$9,"")</f>
        <v/>
      </c>
      <c r="N310" s="40" t="str">
        <f aca="false">IF(ISNUMBER($K310),$K310*Parâmetros!$C$9,"")</f>
        <v/>
      </c>
      <c r="O310" s="40" t="str">
        <f aca="false">IF(ISNUMBER($K310),IF(ISNUMBER(Parâmetros!$E$9),Parâmetros!$E$9,0),"")</f>
        <v/>
      </c>
      <c r="P310" s="41" t="str">
        <f aca="false">IF(ISNUMBER($K310),$K310-$D310-IF(ISNUMBER($E310),$E310,0)-$L310-$M310-$N310-$O310,"")</f>
        <v/>
      </c>
      <c r="Q310" s="42" t="str">
        <f aca="false">IF(AND(ISNUMBER($K310),$K310&gt;0),$P310/$K310,"")</f>
        <v/>
      </c>
      <c r="R310" s="43"/>
      <c r="S310" s="44" t="str">
        <f aca="false">IF(OR(NOT(ISNUMBER($R310)),$R310=0,NOT(ISNUMBER($K310))),"",$K310*(1-$R310))</f>
        <v/>
      </c>
      <c r="T310" s="45" t="str">
        <f aca="false">IF(ISNUMBER($S310),$S310*$H310,"")</f>
        <v/>
      </c>
      <c r="U310" s="45" t="str">
        <f aca="false">IF(ISNUMBER($S310),$S310*Parâmetros!$B$9,"")</f>
        <v/>
      </c>
      <c r="V310" s="45" t="str">
        <f aca="false">IF(ISNUMBER($S310),$S310*Parâmetros!$C$9,"")</f>
        <v/>
      </c>
      <c r="W310" s="44" t="str">
        <f aca="false">IF(ISNUMBER($S310),$S310-$D310-IF(ISNUMBER($E310),$E310,0)-$O310-$T310-$U310-$V310,"")</f>
        <v/>
      </c>
      <c r="X310" s="46" t="str">
        <f aca="false">IF(AND(ISNUMBER($S310),$S310&gt;0),$W310/$S310,"")</f>
        <v/>
      </c>
      <c r="Y310" s="47"/>
      <c r="Z310" s="19"/>
    </row>
    <row r="311" customFormat="false" ht="15.75" hidden="false" customHeight="true" outlineLevel="0" collapsed="false">
      <c r="A311" s="48" t="str">
        <f aca="false">IF(Produtos!$A311="","",Produtos!$A311)</f>
        <v/>
      </c>
      <c r="B311" s="48" t="str">
        <f aca="false">IF(Produtos!$A311="","",Produtos!$B311)</f>
        <v/>
      </c>
      <c r="C311" s="48" t="str">
        <f aca="false">IF(Produtos!$A311="","",Produtos!$C311)</f>
        <v/>
      </c>
      <c r="D311" s="33" t="str">
        <f aca="false">IF(Produtos!$A311="","",IF(Produtos!$D311="","",Produtos!$D311))</f>
        <v/>
      </c>
      <c r="E311" s="11"/>
      <c r="F311" s="34" t="str">
        <f aca="false">IF($A311="","",IF($C311="","⚠ categoria",IFERROR(INDEX(Parâmetros!$G$13:$G$22,MATCH($C311,Parâmetros!$A$13:$A$22,0)),"⚠ categoria")))</f>
        <v/>
      </c>
      <c r="G311" s="35"/>
      <c r="H311" s="36" t="str">
        <f aca="false">IF($A311="","",IF(ISNUMBER($G311),$G311,IF(ISNUMBER($F311),$F311,"")))</f>
        <v/>
      </c>
      <c r="I311" s="37" t="str">
        <f aca="false">IF(OR($A311="",NOT(ISNUMBER($D311)),NOT(ISNUMBER($H311))),"",IF((1-$H311-Parâmetros!$B$9-Parâmetros!$C$9-Parâmetros!$D$9)&lt;=0,"INVALIDO",($D311+IF(ISNUMBER($E311),$E311,0)+IF(ISNUMBER(Parâmetros!$E$9),Parâmetros!$E$9,0))/(1-$H311-Parâmetros!$B$9-Parâmetros!$C$9-Parâmetros!$D$9)))</f>
        <v/>
      </c>
      <c r="J311" s="38"/>
      <c r="K311" s="39" t="str">
        <f aca="false">IF(OR($A311="",NOT(ISNUMBER($D311)),NOT(ISNUMBER($H311))),"",IF(AND(ISNUMBER($J311),$J311&gt;0),$J311,IF(ISNUMBER($I311),$I311,"")))</f>
        <v/>
      </c>
      <c r="L311" s="40" t="str">
        <f aca="false">IF(ISNUMBER($K311),$K311*$H311,"")</f>
        <v/>
      </c>
      <c r="M311" s="40" t="str">
        <f aca="false">IF(ISNUMBER($K311),$K311*Parâmetros!$B$9,"")</f>
        <v/>
      </c>
      <c r="N311" s="40" t="str">
        <f aca="false">IF(ISNUMBER($K311),$K311*Parâmetros!$C$9,"")</f>
        <v/>
      </c>
      <c r="O311" s="40" t="str">
        <f aca="false">IF(ISNUMBER($K311),IF(ISNUMBER(Parâmetros!$E$9),Parâmetros!$E$9,0),"")</f>
        <v/>
      </c>
      <c r="P311" s="41" t="str">
        <f aca="false">IF(ISNUMBER($K311),$K311-$D311-IF(ISNUMBER($E311),$E311,0)-$L311-$M311-$N311-$O311,"")</f>
        <v/>
      </c>
      <c r="Q311" s="42" t="str">
        <f aca="false">IF(AND(ISNUMBER($K311),$K311&gt;0),$P311/$K311,"")</f>
        <v/>
      </c>
      <c r="R311" s="43"/>
      <c r="S311" s="44" t="str">
        <f aca="false">IF(OR(NOT(ISNUMBER($R311)),$R311=0,NOT(ISNUMBER($K311))),"",$K311*(1-$R311))</f>
        <v/>
      </c>
      <c r="T311" s="45" t="str">
        <f aca="false">IF(ISNUMBER($S311),$S311*$H311,"")</f>
        <v/>
      </c>
      <c r="U311" s="45" t="str">
        <f aca="false">IF(ISNUMBER($S311),$S311*Parâmetros!$B$9,"")</f>
        <v/>
      </c>
      <c r="V311" s="45" t="str">
        <f aca="false">IF(ISNUMBER($S311),$S311*Parâmetros!$C$9,"")</f>
        <v/>
      </c>
      <c r="W311" s="44" t="str">
        <f aca="false">IF(ISNUMBER($S311),$S311-$D311-IF(ISNUMBER($E311),$E311,0)-$O311-$T311-$U311-$V311,"")</f>
        <v/>
      </c>
      <c r="X311" s="46" t="str">
        <f aca="false">IF(AND(ISNUMBER($S311),$S311&gt;0),$W311/$S311,"")</f>
        <v/>
      </c>
      <c r="Y311" s="49"/>
      <c r="Z311" s="21"/>
    </row>
    <row r="312" customFormat="false" ht="15.75" hidden="false" customHeight="true" outlineLevel="0" collapsed="false">
      <c r="A312" s="32" t="str">
        <f aca="false">IF(Produtos!$A312="","",Produtos!$A312)</f>
        <v/>
      </c>
      <c r="B312" s="32" t="str">
        <f aca="false">IF(Produtos!$A312="","",Produtos!$B312)</f>
        <v/>
      </c>
      <c r="C312" s="32" t="str">
        <f aca="false">IF(Produtos!$A312="","",Produtos!$C312)</f>
        <v/>
      </c>
      <c r="D312" s="33" t="str">
        <f aca="false">IF(Produtos!$A312="","",IF(Produtos!$D312="","",Produtos!$D312))</f>
        <v/>
      </c>
      <c r="E312" s="11"/>
      <c r="F312" s="34" t="str">
        <f aca="false">IF($A312="","",IF($C312="","⚠ categoria",IFERROR(INDEX(Parâmetros!$G$13:$G$22,MATCH($C312,Parâmetros!$A$13:$A$22,0)),"⚠ categoria")))</f>
        <v/>
      </c>
      <c r="G312" s="35"/>
      <c r="H312" s="36" t="str">
        <f aca="false">IF($A312="","",IF(ISNUMBER($G312),$G312,IF(ISNUMBER($F312),$F312,"")))</f>
        <v/>
      </c>
      <c r="I312" s="37" t="str">
        <f aca="false">IF(OR($A312="",NOT(ISNUMBER($D312)),NOT(ISNUMBER($H312))),"",IF((1-$H312-Parâmetros!$B$9-Parâmetros!$C$9-Parâmetros!$D$9)&lt;=0,"INVALIDO",($D312+IF(ISNUMBER($E312),$E312,0)+IF(ISNUMBER(Parâmetros!$E$9),Parâmetros!$E$9,0))/(1-$H312-Parâmetros!$B$9-Parâmetros!$C$9-Parâmetros!$D$9)))</f>
        <v/>
      </c>
      <c r="J312" s="38"/>
      <c r="K312" s="39" t="str">
        <f aca="false">IF(OR($A312="",NOT(ISNUMBER($D312)),NOT(ISNUMBER($H312))),"",IF(AND(ISNUMBER($J312),$J312&gt;0),$J312,IF(ISNUMBER($I312),$I312,"")))</f>
        <v/>
      </c>
      <c r="L312" s="40" t="str">
        <f aca="false">IF(ISNUMBER($K312),$K312*$H312,"")</f>
        <v/>
      </c>
      <c r="M312" s="40" t="str">
        <f aca="false">IF(ISNUMBER($K312),$K312*Parâmetros!$B$9,"")</f>
        <v/>
      </c>
      <c r="N312" s="40" t="str">
        <f aca="false">IF(ISNUMBER($K312),$K312*Parâmetros!$C$9,"")</f>
        <v/>
      </c>
      <c r="O312" s="40" t="str">
        <f aca="false">IF(ISNUMBER($K312),IF(ISNUMBER(Parâmetros!$E$9),Parâmetros!$E$9,0),"")</f>
        <v/>
      </c>
      <c r="P312" s="41" t="str">
        <f aca="false">IF(ISNUMBER($K312),$K312-$D312-IF(ISNUMBER($E312),$E312,0)-$L312-$M312-$N312-$O312,"")</f>
        <v/>
      </c>
      <c r="Q312" s="42" t="str">
        <f aca="false">IF(AND(ISNUMBER($K312),$K312&gt;0),$P312/$K312,"")</f>
        <v/>
      </c>
      <c r="R312" s="43"/>
      <c r="S312" s="44" t="str">
        <f aca="false">IF(OR(NOT(ISNUMBER($R312)),$R312=0,NOT(ISNUMBER($K312))),"",$K312*(1-$R312))</f>
        <v/>
      </c>
      <c r="T312" s="45" t="str">
        <f aca="false">IF(ISNUMBER($S312),$S312*$H312,"")</f>
        <v/>
      </c>
      <c r="U312" s="45" t="str">
        <f aca="false">IF(ISNUMBER($S312),$S312*Parâmetros!$B$9,"")</f>
        <v/>
      </c>
      <c r="V312" s="45" t="str">
        <f aca="false">IF(ISNUMBER($S312),$S312*Parâmetros!$C$9,"")</f>
        <v/>
      </c>
      <c r="W312" s="44" t="str">
        <f aca="false">IF(ISNUMBER($S312),$S312-$D312-IF(ISNUMBER($E312),$E312,0)-$O312-$T312-$U312-$V312,"")</f>
        <v/>
      </c>
      <c r="X312" s="46" t="str">
        <f aca="false">IF(AND(ISNUMBER($S312),$S312&gt;0),$W312/$S312,"")</f>
        <v/>
      </c>
      <c r="Y312" s="47"/>
      <c r="Z312" s="19"/>
    </row>
    <row r="313" customFormat="false" ht="15.75" hidden="false" customHeight="true" outlineLevel="0" collapsed="false">
      <c r="A313" s="48" t="str">
        <f aca="false">IF(Produtos!$A313="","",Produtos!$A313)</f>
        <v/>
      </c>
      <c r="B313" s="48" t="str">
        <f aca="false">IF(Produtos!$A313="","",Produtos!$B313)</f>
        <v/>
      </c>
      <c r="C313" s="48" t="str">
        <f aca="false">IF(Produtos!$A313="","",Produtos!$C313)</f>
        <v/>
      </c>
      <c r="D313" s="33" t="str">
        <f aca="false">IF(Produtos!$A313="","",IF(Produtos!$D313="","",Produtos!$D313))</f>
        <v/>
      </c>
      <c r="E313" s="11"/>
      <c r="F313" s="34" t="str">
        <f aca="false">IF($A313="","",IF($C313="","⚠ categoria",IFERROR(INDEX(Parâmetros!$G$13:$G$22,MATCH($C313,Parâmetros!$A$13:$A$22,0)),"⚠ categoria")))</f>
        <v/>
      </c>
      <c r="G313" s="35"/>
      <c r="H313" s="36" t="str">
        <f aca="false">IF($A313="","",IF(ISNUMBER($G313),$G313,IF(ISNUMBER($F313),$F313,"")))</f>
        <v/>
      </c>
      <c r="I313" s="37" t="str">
        <f aca="false">IF(OR($A313="",NOT(ISNUMBER($D313)),NOT(ISNUMBER($H313))),"",IF((1-$H313-Parâmetros!$B$9-Parâmetros!$C$9-Parâmetros!$D$9)&lt;=0,"INVALIDO",($D313+IF(ISNUMBER($E313),$E313,0)+IF(ISNUMBER(Parâmetros!$E$9),Parâmetros!$E$9,0))/(1-$H313-Parâmetros!$B$9-Parâmetros!$C$9-Parâmetros!$D$9)))</f>
        <v/>
      </c>
      <c r="J313" s="38"/>
      <c r="K313" s="39" t="str">
        <f aca="false">IF(OR($A313="",NOT(ISNUMBER($D313)),NOT(ISNUMBER($H313))),"",IF(AND(ISNUMBER($J313),$J313&gt;0),$J313,IF(ISNUMBER($I313),$I313,"")))</f>
        <v/>
      </c>
      <c r="L313" s="40" t="str">
        <f aca="false">IF(ISNUMBER($K313),$K313*$H313,"")</f>
        <v/>
      </c>
      <c r="M313" s="40" t="str">
        <f aca="false">IF(ISNUMBER($K313),$K313*Parâmetros!$B$9,"")</f>
        <v/>
      </c>
      <c r="N313" s="40" t="str">
        <f aca="false">IF(ISNUMBER($K313),$K313*Parâmetros!$C$9,"")</f>
        <v/>
      </c>
      <c r="O313" s="40" t="str">
        <f aca="false">IF(ISNUMBER($K313),IF(ISNUMBER(Parâmetros!$E$9),Parâmetros!$E$9,0),"")</f>
        <v/>
      </c>
      <c r="P313" s="41" t="str">
        <f aca="false">IF(ISNUMBER($K313),$K313-$D313-IF(ISNUMBER($E313),$E313,0)-$L313-$M313-$N313-$O313,"")</f>
        <v/>
      </c>
      <c r="Q313" s="42" t="str">
        <f aca="false">IF(AND(ISNUMBER($K313),$K313&gt;0),$P313/$K313,"")</f>
        <v/>
      </c>
      <c r="R313" s="43"/>
      <c r="S313" s="44" t="str">
        <f aca="false">IF(OR(NOT(ISNUMBER($R313)),$R313=0,NOT(ISNUMBER($K313))),"",$K313*(1-$R313))</f>
        <v/>
      </c>
      <c r="T313" s="45" t="str">
        <f aca="false">IF(ISNUMBER($S313),$S313*$H313,"")</f>
        <v/>
      </c>
      <c r="U313" s="45" t="str">
        <f aca="false">IF(ISNUMBER($S313),$S313*Parâmetros!$B$9,"")</f>
        <v/>
      </c>
      <c r="V313" s="45" t="str">
        <f aca="false">IF(ISNUMBER($S313),$S313*Parâmetros!$C$9,"")</f>
        <v/>
      </c>
      <c r="W313" s="44" t="str">
        <f aca="false">IF(ISNUMBER($S313),$S313-$D313-IF(ISNUMBER($E313),$E313,0)-$O313-$T313-$U313-$V313,"")</f>
        <v/>
      </c>
      <c r="X313" s="46" t="str">
        <f aca="false">IF(AND(ISNUMBER($S313),$S313&gt;0),$W313/$S313,"")</f>
        <v/>
      </c>
      <c r="Y313" s="49"/>
      <c r="Z313" s="21"/>
    </row>
    <row r="314" customFormat="false" ht="15.75" hidden="false" customHeight="true" outlineLevel="0" collapsed="false">
      <c r="A314" s="32" t="str">
        <f aca="false">IF(Produtos!$A314="","",Produtos!$A314)</f>
        <v/>
      </c>
      <c r="B314" s="32" t="str">
        <f aca="false">IF(Produtos!$A314="","",Produtos!$B314)</f>
        <v/>
      </c>
      <c r="C314" s="32" t="str">
        <f aca="false">IF(Produtos!$A314="","",Produtos!$C314)</f>
        <v/>
      </c>
      <c r="D314" s="33" t="str">
        <f aca="false">IF(Produtos!$A314="","",IF(Produtos!$D314="","",Produtos!$D314))</f>
        <v/>
      </c>
      <c r="E314" s="11"/>
      <c r="F314" s="34" t="str">
        <f aca="false">IF($A314="","",IF($C314="","⚠ categoria",IFERROR(INDEX(Parâmetros!$G$13:$G$22,MATCH($C314,Parâmetros!$A$13:$A$22,0)),"⚠ categoria")))</f>
        <v/>
      </c>
      <c r="G314" s="35"/>
      <c r="H314" s="36" t="str">
        <f aca="false">IF($A314="","",IF(ISNUMBER($G314),$G314,IF(ISNUMBER($F314),$F314,"")))</f>
        <v/>
      </c>
      <c r="I314" s="37" t="str">
        <f aca="false">IF(OR($A314="",NOT(ISNUMBER($D314)),NOT(ISNUMBER($H314))),"",IF((1-$H314-Parâmetros!$B$9-Parâmetros!$C$9-Parâmetros!$D$9)&lt;=0,"INVALIDO",($D314+IF(ISNUMBER($E314),$E314,0)+IF(ISNUMBER(Parâmetros!$E$9),Parâmetros!$E$9,0))/(1-$H314-Parâmetros!$B$9-Parâmetros!$C$9-Parâmetros!$D$9)))</f>
        <v/>
      </c>
      <c r="J314" s="38"/>
      <c r="K314" s="39" t="str">
        <f aca="false">IF(OR($A314="",NOT(ISNUMBER($D314)),NOT(ISNUMBER($H314))),"",IF(AND(ISNUMBER($J314),$J314&gt;0),$J314,IF(ISNUMBER($I314),$I314,"")))</f>
        <v/>
      </c>
      <c r="L314" s="40" t="str">
        <f aca="false">IF(ISNUMBER($K314),$K314*$H314,"")</f>
        <v/>
      </c>
      <c r="M314" s="40" t="str">
        <f aca="false">IF(ISNUMBER($K314),$K314*Parâmetros!$B$9,"")</f>
        <v/>
      </c>
      <c r="N314" s="40" t="str">
        <f aca="false">IF(ISNUMBER($K314),$K314*Parâmetros!$C$9,"")</f>
        <v/>
      </c>
      <c r="O314" s="40" t="str">
        <f aca="false">IF(ISNUMBER($K314),IF(ISNUMBER(Parâmetros!$E$9),Parâmetros!$E$9,0),"")</f>
        <v/>
      </c>
      <c r="P314" s="41" t="str">
        <f aca="false">IF(ISNUMBER($K314),$K314-$D314-IF(ISNUMBER($E314),$E314,0)-$L314-$M314-$N314-$O314,"")</f>
        <v/>
      </c>
      <c r="Q314" s="42" t="str">
        <f aca="false">IF(AND(ISNUMBER($K314),$K314&gt;0),$P314/$K314,"")</f>
        <v/>
      </c>
      <c r="R314" s="43"/>
      <c r="S314" s="44" t="str">
        <f aca="false">IF(OR(NOT(ISNUMBER($R314)),$R314=0,NOT(ISNUMBER($K314))),"",$K314*(1-$R314))</f>
        <v/>
      </c>
      <c r="T314" s="45" t="str">
        <f aca="false">IF(ISNUMBER($S314),$S314*$H314,"")</f>
        <v/>
      </c>
      <c r="U314" s="45" t="str">
        <f aca="false">IF(ISNUMBER($S314),$S314*Parâmetros!$B$9,"")</f>
        <v/>
      </c>
      <c r="V314" s="45" t="str">
        <f aca="false">IF(ISNUMBER($S314),$S314*Parâmetros!$C$9,"")</f>
        <v/>
      </c>
      <c r="W314" s="44" t="str">
        <f aca="false">IF(ISNUMBER($S314),$S314-$D314-IF(ISNUMBER($E314),$E314,0)-$O314-$T314-$U314-$V314,"")</f>
        <v/>
      </c>
      <c r="X314" s="46" t="str">
        <f aca="false">IF(AND(ISNUMBER($S314),$S314&gt;0),$W314/$S314,"")</f>
        <v/>
      </c>
      <c r="Y314" s="47"/>
      <c r="Z314" s="19"/>
    </row>
    <row r="315" customFormat="false" ht="15.75" hidden="false" customHeight="true" outlineLevel="0" collapsed="false">
      <c r="A315" s="48" t="str">
        <f aca="false">IF(Produtos!$A315="","",Produtos!$A315)</f>
        <v/>
      </c>
      <c r="B315" s="48" t="str">
        <f aca="false">IF(Produtos!$A315="","",Produtos!$B315)</f>
        <v/>
      </c>
      <c r="C315" s="48" t="str">
        <f aca="false">IF(Produtos!$A315="","",Produtos!$C315)</f>
        <v/>
      </c>
      <c r="D315" s="33" t="str">
        <f aca="false">IF(Produtos!$A315="","",IF(Produtos!$D315="","",Produtos!$D315))</f>
        <v/>
      </c>
      <c r="E315" s="11"/>
      <c r="F315" s="34" t="str">
        <f aca="false">IF($A315="","",IF($C315="","⚠ categoria",IFERROR(INDEX(Parâmetros!$G$13:$G$22,MATCH($C315,Parâmetros!$A$13:$A$22,0)),"⚠ categoria")))</f>
        <v/>
      </c>
      <c r="G315" s="35"/>
      <c r="H315" s="36" t="str">
        <f aca="false">IF($A315="","",IF(ISNUMBER($G315),$G315,IF(ISNUMBER($F315),$F315,"")))</f>
        <v/>
      </c>
      <c r="I315" s="37" t="str">
        <f aca="false">IF(OR($A315="",NOT(ISNUMBER($D315)),NOT(ISNUMBER($H315))),"",IF((1-$H315-Parâmetros!$B$9-Parâmetros!$C$9-Parâmetros!$D$9)&lt;=0,"INVALIDO",($D315+IF(ISNUMBER($E315),$E315,0)+IF(ISNUMBER(Parâmetros!$E$9),Parâmetros!$E$9,0))/(1-$H315-Parâmetros!$B$9-Parâmetros!$C$9-Parâmetros!$D$9)))</f>
        <v/>
      </c>
      <c r="J315" s="38"/>
      <c r="K315" s="39" t="str">
        <f aca="false">IF(OR($A315="",NOT(ISNUMBER($D315)),NOT(ISNUMBER($H315))),"",IF(AND(ISNUMBER($J315),$J315&gt;0),$J315,IF(ISNUMBER($I315),$I315,"")))</f>
        <v/>
      </c>
      <c r="L315" s="40" t="str">
        <f aca="false">IF(ISNUMBER($K315),$K315*$H315,"")</f>
        <v/>
      </c>
      <c r="M315" s="40" t="str">
        <f aca="false">IF(ISNUMBER($K315),$K315*Parâmetros!$B$9,"")</f>
        <v/>
      </c>
      <c r="N315" s="40" t="str">
        <f aca="false">IF(ISNUMBER($K315),$K315*Parâmetros!$C$9,"")</f>
        <v/>
      </c>
      <c r="O315" s="40" t="str">
        <f aca="false">IF(ISNUMBER($K315),IF(ISNUMBER(Parâmetros!$E$9),Parâmetros!$E$9,0),"")</f>
        <v/>
      </c>
      <c r="P315" s="41" t="str">
        <f aca="false">IF(ISNUMBER($K315),$K315-$D315-IF(ISNUMBER($E315),$E315,0)-$L315-$M315-$N315-$O315,"")</f>
        <v/>
      </c>
      <c r="Q315" s="42" t="str">
        <f aca="false">IF(AND(ISNUMBER($K315),$K315&gt;0),$P315/$K315,"")</f>
        <v/>
      </c>
      <c r="R315" s="43"/>
      <c r="S315" s="44" t="str">
        <f aca="false">IF(OR(NOT(ISNUMBER($R315)),$R315=0,NOT(ISNUMBER($K315))),"",$K315*(1-$R315))</f>
        <v/>
      </c>
      <c r="T315" s="45" t="str">
        <f aca="false">IF(ISNUMBER($S315),$S315*$H315,"")</f>
        <v/>
      </c>
      <c r="U315" s="45" t="str">
        <f aca="false">IF(ISNUMBER($S315),$S315*Parâmetros!$B$9,"")</f>
        <v/>
      </c>
      <c r="V315" s="45" t="str">
        <f aca="false">IF(ISNUMBER($S315),$S315*Parâmetros!$C$9,"")</f>
        <v/>
      </c>
      <c r="W315" s="44" t="str">
        <f aca="false">IF(ISNUMBER($S315),$S315-$D315-IF(ISNUMBER($E315),$E315,0)-$O315-$T315-$U315-$V315,"")</f>
        <v/>
      </c>
      <c r="X315" s="46" t="str">
        <f aca="false">IF(AND(ISNUMBER($S315),$S315&gt;0),$W315/$S315,"")</f>
        <v/>
      </c>
      <c r="Y315" s="49"/>
      <c r="Z315" s="21"/>
    </row>
    <row r="316" customFormat="false" ht="15.75" hidden="false" customHeight="true" outlineLevel="0" collapsed="false">
      <c r="A316" s="32" t="str">
        <f aca="false">IF(Produtos!$A316="","",Produtos!$A316)</f>
        <v/>
      </c>
      <c r="B316" s="32" t="str">
        <f aca="false">IF(Produtos!$A316="","",Produtos!$B316)</f>
        <v/>
      </c>
      <c r="C316" s="32" t="str">
        <f aca="false">IF(Produtos!$A316="","",Produtos!$C316)</f>
        <v/>
      </c>
      <c r="D316" s="33" t="str">
        <f aca="false">IF(Produtos!$A316="","",IF(Produtos!$D316="","",Produtos!$D316))</f>
        <v/>
      </c>
      <c r="E316" s="11"/>
      <c r="F316" s="34" t="str">
        <f aca="false">IF($A316="","",IF($C316="","⚠ categoria",IFERROR(INDEX(Parâmetros!$G$13:$G$22,MATCH($C316,Parâmetros!$A$13:$A$22,0)),"⚠ categoria")))</f>
        <v/>
      </c>
      <c r="G316" s="35"/>
      <c r="H316" s="36" t="str">
        <f aca="false">IF($A316="","",IF(ISNUMBER($G316),$G316,IF(ISNUMBER($F316),$F316,"")))</f>
        <v/>
      </c>
      <c r="I316" s="37" t="str">
        <f aca="false">IF(OR($A316="",NOT(ISNUMBER($D316)),NOT(ISNUMBER($H316))),"",IF((1-$H316-Parâmetros!$B$9-Parâmetros!$C$9-Parâmetros!$D$9)&lt;=0,"INVALIDO",($D316+IF(ISNUMBER($E316),$E316,0)+IF(ISNUMBER(Parâmetros!$E$9),Parâmetros!$E$9,0))/(1-$H316-Parâmetros!$B$9-Parâmetros!$C$9-Parâmetros!$D$9)))</f>
        <v/>
      </c>
      <c r="J316" s="38"/>
      <c r="K316" s="39" t="str">
        <f aca="false">IF(OR($A316="",NOT(ISNUMBER($D316)),NOT(ISNUMBER($H316))),"",IF(AND(ISNUMBER($J316),$J316&gt;0),$J316,IF(ISNUMBER($I316),$I316,"")))</f>
        <v/>
      </c>
      <c r="L316" s="40" t="str">
        <f aca="false">IF(ISNUMBER($K316),$K316*$H316,"")</f>
        <v/>
      </c>
      <c r="M316" s="40" t="str">
        <f aca="false">IF(ISNUMBER($K316),$K316*Parâmetros!$B$9,"")</f>
        <v/>
      </c>
      <c r="N316" s="40" t="str">
        <f aca="false">IF(ISNUMBER($K316),$K316*Parâmetros!$C$9,"")</f>
        <v/>
      </c>
      <c r="O316" s="40" t="str">
        <f aca="false">IF(ISNUMBER($K316),IF(ISNUMBER(Parâmetros!$E$9),Parâmetros!$E$9,0),"")</f>
        <v/>
      </c>
      <c r="P316" s="41" t="str">
        <f aca="false">IF(ISNUMBER($K316),$K316-$D316-IF(ISNUMBER($E316),$E316,0)-$L316-$M316-$N316-$O316,"")</f>
        <v/>
      </c>
      <c r="Q316" s="42" t="str">
        <f aca="false">IF(AND(ISNUMBER($K316),$K316&gt;0),$P316/$K316,"")</f>
        <v/>
      </c>
      <c r="R316" s="43"/>
      <c r="S316" s="44" t="str">
        <f aca="false">IF(OR(NOT(ISNUMBER($R316)),$R316=0,NOT(ISNUMBER($K316))),"",$K316*(1-$R316))</f>
        <v/>
      </c>
      <c r="T316" s="45" t="str">
        <f aca="false">IF(ISNUMBER($S316),$S316*$H316,"")</f>
        <v/>
      </c>
      <c r="U316" s="45" t="str">
        <f aca="false">IF(ISNUMBER($S316),$S316*Parâmetros!$B$9,"")</f>
        <v/>
      </c>
      <c r="V316" s="45" t="str">
        <f aca="false">IF(ISNUMBER($S316),$S316*Parâmetros!$C$9,"")</f>
        <v/>
      </c>
      <c r="W316" s="44" t="str">
        <f aca="false">IF(ISNUMBER($S316),$S316-$D316-IF(ISNUMBER($E316),$E316,0)-$O316-$T316-$U316-$V316,"")</f>
        <v/>
      </c>
      <c r="X316" s="46" t="str">
        <f aca="false">IF(AND(ISNUMBER($S316),$S316&gt;0),$W316/$S316,"")</f>
        <v/>
      </c>
      <c r="Y316" s="47"/>
      <c r="Z316" s="19"/>
    </row>
    <row r="317" customFormat="false" ht="15.75" hidden="false" customHeight="true" outlineLevel="0" collapsed="false">
      <c r="A317" s="48" t="str">
        <f aca="false">IF(Produtos!$A317="","",Produtos!$A317)</f>
        <v/>
      </c>
      <c r="B317" s="48" t="str">
        <f aca="false">IF(Produtos!$A317="","",Produtos!$B317)</f>
        <v/>
      </c>
      <c r="C317" s="48" t="str">
        <f aca="false">IF(Produtos!$A317="","",Produtos!$C317)</f>
        <v/>
      </c>
      <c r="D317" s="33" t="str">
        <f aca="false">IF(Produtos!$A317="","",IF(Produtos!$D317="","",Produtos!$D317))</f>
        <v/>
      </c>
      <c r="E317" s="11"/>
      <c r="F317" s="34" t="str">
        <f aca="false">IF($A317="","",IF($C317="","⚠ categoria",IFERROR(INDEX(Parâmetros!$G$13:$G$22,MATCH($C317,Parâmetros!$A$13:$A$22,0)),"⚠ categoria")))</f>
        <v/>
      </c>
      <c r="G317" s="35"/>
      <c r="H317" s="36" t="str">
        <f aca="false">IF($A317="","",IF(ISNUMBER($G317),$G317,IF(ISNUMBER($F317),$F317,"")))</f>
        <v/>
      </c>
      <c r="I317" s="37" t="str">
        <f aca="false">IF(OR($A317="",NOT(ISNUMBER($D317)),NOT(ISNUMBER($H317))),"",IF((1-$H317-Parâmetros!$B$9-Parâmetros!$C$9-Parâmetros!$D$9)&lt;=0,"INVALIDO",($D317+IF(ISNUMBER($E317),$E317,0)+IF(ISNUMBER(Parâmetros!$E$9),Parâmetros!$E$9,0))/(1-$H317-Parâmetros!$B$9-Parâmetros!$C$9-Parâmetros!$D$9)))</f>
        <v/>
      </c>
      <c r="J317" s="38"/>
      <c r="K317" s="39" t="str">
        <f aca="false">IF(OR($A317="",NOT(ISNUMBER($D317)),NOT(ISNUMBER($H317))),"",IF(AND(ISNUMBER($J317),$J317&gt;0),$J317,IF(ISNUMBER($I317),$I317,"")))</f>
        <v/>
      </c>
      <c r="L317" s="40" t="str">
        <f aca="false">IF(ISNUMBER($K317),$K317*$H317,"")</f>
        <v/>
      </c>
      <c r="M317" s="40" t="str">
        <f aca="false">IF(ISNUMBER($K317),$K317*Parâmetros!$B$9,"")</f>
        <v/>
      </c>
      <c r="N317" s="40" t="str">
        <f aca="false">IF(ISNUMBER($K317),$K317*Parâmetros!$C$9,"")</f>
        <v/>
      </c>
      <c r="O317" s="40" t="str">
        <f aca="false">IF(ISNUMBER($K317),IF(ISNUMBER(Parâmetros!$E$9),Parâmetros!$E$9,0),"")</f>
        <v/>
      </c>
      <c r="P317" s="41" t="str">
        <f aca="false">IF(ISNUMBER($K317),$K317-$D317-IF(ISNUMBER($E317),$E317,0)-$L317-$M317-$N317-$O317,"")</f>
        <v/>
      </c>
      <c r="Q317" s="42" t="str">
        <f aca="false">IF(AND(ISNUMBER($K317),$K317&gt;0),$P317/$K317,"")</f>
        <v/>
      </c>
      <c r="R317" s="43"/>
      <c r="S317" s="44" t="str">
        <f aca="false">IF(OR(NOT(ISNUMBER($R317)),$R317=0,NOT(ISNUMBER($K317))),"",$K317*(1-$R317))</f>
        <v/>
      </c>
      <c r="T317" s="45" t="str">
        <f aca="false">IF(ISNUMBER($S317),$S317*$H317,"")</f>
        <v/>
      </c>
      <c r="U317" s="45" t="str">
        <f aca="false">IF(ISNUMBER($S317),$S317*Parâmetros!$B$9,"")</f>
        <v/>
      </c>
      <c r="V317" s="45" t="str">
        <f aca="false">IF(ISNUMBER($S317),$S317*Parâmetros!$C$9,"")</f>
        <v/>
      </c>
      <c r="W317" s="44" t="str">
        <f aca="false">IF(ISNUMBER($S317),$S317-$D317-IF(ISNUMBER($E317),$E317,0)-$O317-$T317-$U317-$V317,"")</f>
        <v/>
      </c>
      <c r="X317" s="46" t="str">
        <f aca="false">IF(AND(ISNUMBER($S317),$S317&gt;0),$W317/$S317,"")</f>
        <v/>
      </c>
      <c r="Y317" s="49"/>
      <c r="Z317" s="21"/>
    </row>
    <row r="318" customFormat="false" ht="15.75" hidden="false" customHeight="true" outlineLevel="0" collapsed="false">
      <c r="A318" s="32" t="str">
        <f aca="false">IF(Produtos!$A318="","",Produtos!$A318)</f>
        <v/>
      </c>
      <c r="B318" s="32" t="str">
        <f aca="false">IF(Produtos!$A318="","",Produtos!$B318)</f>
        <v/>
      </c>
      <c r="C318" s="32" t="str">
        <f aca="false">IF(Produtos!$A318="","",Produtos!$C318)</f>
        <v/>
      </c>
      <c r="D318" s="33" t="str">
        <f aca="false">IF(Produtos!$A318="","",IF(Produtos!$D318="","",Produtos!$D318))</f>
        <v/>
      </c>
      <c r="E318" s="11"/>
      <c r="F318" s="34" t="str">
        <f aca="false">IF($A318="","",IF($C318="","⚠ categoria",IFERROR(INDEX(Parâmetros!$G$13:$G$22,MATCH($C318,Parâmetros!$A$13:$A$22,0)),"⚠ categoria")))</f>
        <v/>
      </c>
      <c r="G318" s="35"/>
      <c r="H318" s="36" t="str">
        <f aca="false">IF($A318="","",IF(ISNUMBER($G318),$G318,IF(ISNUMBER($F318),$F318,"")))</f>
        <v/>
      </c>
      <c r="I318" s="37" t="str">
        <f aca="false">IF(OR($A318="",NOT(ISNUMBER($D318)),NOT(ISNUMBER($H318))),"",IF((1-$H318-Parâmetros!$B$9-Parâmetros!$C$9-Parâmetros!$D$9)&lt;=0,"INVALIDO",($D318+IF(ISNUMBER($E318),$E318,0)+IF(ISNUMBER(Parâmetros!$E$9),Parâmetros!$E$9,0))/(1-$H318-Parâmetros!$B$9-Parâmetros!$C$9-Parâmetros!$D$9)))</f>
        <v/>
      </c>
      <c r="J318" s="38"/>
      <c r="K318" s="39" t="str">
        <f aca="false">IF(OR($A318="",NOT(ISNUMBER($D318)),NOT(ISNUMBER($H318))),"",IF(AND(ISNUMBER($J318),$J318&gt;0),$J318,IF(ISNUMBER($I318),$I318,"")))</f>
        <v/>
      </c>
      <c r="L318" s="40" t="str">
        <f aca="false">IF(ISNUMBER($K318),$K318*$H318,"")</f>
        <v/>
      </c>
      <c r="M318" s="40" t="str">
        <f aca="false">IF(ISNUMBER($K318),$K318*Parâmetros!$B$9,"")</f>
        <v/>
      </c>
      <c r="N318" s="40" t="str">
        <f aca="false">IF(ISNUMBER($K318),$K318*Parâmetros!$C$9,"")</f>
        <v/>
      </c>
      <c r="O318" s="40" t="str">
        <f aca="false">IF(ISNUMBER($K318),IF(ISNUMBER(Parâmetros!$E$9),Parâmetros!$E$9,0),"")</f>
        <v/>
      </c>
      <c r="P318" s="41" t="str">
        <f aca="false">IF(ISNUMBER($K318),$K318-$D318-IF(ISNUMBER($E318),$E318,0)-$L318-$M318-$N318-$O318,"")</f>
        <v/>
      </c>
      <c r="Q318" s="42" t="str">
        <f aca="false">IF(AND(ISNUMBER($K318),$K318&gt;0),$P318/$K318,"")</f>
        <v/>
      </c>
      <c r="R318" s="43"/>
      <c r="S318" s="44" t="str">
        <f aca="false">IF(OR(NOT(ISNUMBER($R318)),$R318=0,NOT(ISNUMBER($K318))),"",$K318*(1-$R318))</f>
        <v/>
      </c>
      <c r="T318" s="45" t="str">
        <f aca="false">IF(ISNUMBER($S318),$S318*$H318,"")</f>
        <v/>
      </c>
      <c r="U318" s="45" t="str">
        <f aca="false">IF(ISNUMBER($S318),$S318*Parâmetros!$B$9,"")</f>
        <v/>
      </c>
      <c r="V318" s="45" t="str">
        <f aca="false">IF(ISNUMBER($S318),$S318*Parâmetros!$C$9,"")</f>
        <v/>
      </c>
      <c r="W318" s="44" t="str">
        <f aca="false">IF(ISNUMBER($S318),$S318-$D318-IF(ISNUMBER($E318),$E318,0)-$O318-$T318-$U318-$V318,"")</f>
        <v/>
      </c>
      <c r="X318" s="46" t="str">
        <f aca="false">IF(AND(ISNUMBER($S318),$S318&gt;0),$W318/$S318,"")</f>
        <v/>
      </c>
      <c r="Y318" s="47"/>
      <c r="Z318" s="19"/>
    </row>
    <row r="319" customFormat="false" ht="15.75" hidden="false" customHeight="true" outlineLevel="0" collapsed="false">
      <c r="A319" s="48" t="str">
        <f aca="false">IF(Produtos!$A319="","",Produtos!$A319)</f>
        <v/>
      </c>
      <c r="B319" s="48" t="str">
        <f aca="false">IF(Produtos!$A319="","",Produtos!$B319)</f>
        <v/>
      </c>
      <c r="C319" s="48" t="str">
        <f aca="false">IF(Produtos!$A319="","",Produtos!$C319)</f>
        <v/>
      </c>
      <c r="D319" s="33" t="str">
        <f aca="false">IF(Produtos!$A319="","",IF(Produtos!$D319="","",Produtos!$D319))</f>
        <v/>
      </c>
      <c r="E319" s="11"/>
      <c r="F319" s="34" t="str">
        <f aca="false">IF($A319="","",IF($C319="","⚠ categoria",IFERROR(INDEX(Parâmetros!$G$13:$G$22,MATCH($C319,Parâmetros!$A$13:$A$22,0)),"⚠ categoria")))</f>
        <v/>
      </c>
      <c r="G319" s="35"/>
      <c r="H319" s="36" t="str">
        <f aca="false">IF($A319="","",IF(ISNUMBER($G319),$G319,IF(ISNUMBER($F319),$F319,"")))</f>
        <v/>
      </c>
      <c r="I319" s="37" t="str">
        <f aca="false">IF(OR($A319="",NOT(ISNUMBER($D319)),NOT(ISNUMBER($H319))),"",IF((1-$H319-Parâmetros!$B$9-Parâmetros!$C$9-Parâmetros!$D$9)&lt;=0,"INVALIDO",($D319+IF(ISNUMBER($E319),$E319,0)+IF(ISNUMBER(Parâmetros!$E$9),Parâmetros!$E$9,0))/(1-$H319-Parâmetros!$B$9-Parâmetros!$C$9-Parâmetros!$D$9)))</f>
        <v/>
      </c>
      <c r="J319" s="38"/>
      <c r="K319" s="39" t="str">
        <f aca="false">IF(OR($A319="",NOT(ISNUMBER($D319)),NOT(ISNUMBER($H319))),"",IF(AND(ISNUMBER($J319),$J319&gt;0),$J319,IF(ISNUMBER($I319),$I319,"")))</f>
        <v/>
      </c>
      <c r="L319" s="40" t="str">
        <f aca="false">IF(ISNUMBER($K319),$K319*$H319,"")</f>
        <v/>
      </c>
      <c r="M319" s="40" t="str">
        <f aca="false">IF(ISNUMBER($K319),$K319*Parâmetros!$B$9,"")</f>
        <v/>
      </c>
      <c r="N319" s="40" t="str">
        <f aca="false">IF(ISNUMBER($K319),$K319*Parâmetros!$C$9,"")</f>
        <v/>
      </c>
      <c r="O319" s="40" t="str">
        <f aca="false">IF(ISNUMBER($K319),IF(ISNUMBER(Parâmetros!$E$9),Parâmetros!$E$9,0),"")</f>
        <v/>
      </c>
      <c r="P319" s="41" t="str">
        <f aca="false">IF(ISNUMBER($K319),$K319-$D319-IF(ISNUMBER($E319),$E319,0)-$L319-$M319-$N319-$O319,"")</f>
        <v/>
      </c>
      <c r="Q319" s="42" t="str">
        <f aca="false">IF(AND(ISNUMBER($K319),$K319&gt;0),$P319/$K319,"")</f>
        <v/>
      </c>
      <c r="R319" s="43"/>
      <c r="S319" s="44" t="str">
        <f aca="false">IF(OR(NOT(ISNUMBER($R319)),$R319=0,NOT(ISNUMBER($K319))),"",$K319*(1-$R319))</f>
        <v/>
      </c>
      <c r="T319" s="45" t="str">
        <f aca="false">IF(ISNUMBER($S319),$S319*$H319,"")</f>
        <v/>
      </c>
      <c r="U319" s="45" t="str">
        <f aca="false">IF(ISNUMBER($S319),$S319*Parâmetros!$B$9,"")</f>
        <v/>
      </c>
      <c r="V319" s="45" t="str">
        <f aca="false">IF(ISNUMBER($S319),$S319*Parâmetros!$C$9,"")</f>
        <v/>
      </c>
      <c r="W319" s="44" t="str">
        <f aca="false">IF(ISNUMBER($S319),$S319-$D319-IF(ISNUMBER($E319),$E319,0)-$O319-$T319-$U319-$V319,"")</f>
        <v/>
      </c>
      <c r="X319" s="46" t="str">
        <f aca="false">IF(AND(ISNUMBER($S319),$S319&gt;0),$W319/$S319,"")</f>
        <v/>
      </c>
      <c r="Y319" s="49"/>
      <c r="Z319" s="21"/>
    </row>
    <row r="320" customFormat="false" ht="15.75" hidden="false" customHeight="true" outlineLevel="0" collapsed="false">
      <c r="A320" s="32" t="str">
        <f aca="false">IF(Produtos!$A320="","",Produtos!$A320)</f>
        <v/>
      </c>
      <c r="B320" s="32" t="str">
        <f aca="false">IF(Produtos!$A320="","",Produtos!$B320)</f>
        <v/>
      </c>
      <c r="C320" s="32" t="str">
        <f aca="false">IF(Produtos!$A320="","",Produtos!$C320)</f>
        <v/>
      </c>
      <c r="D320" s="33" t="str">
        <f aca="false">IF(Produtos!$A320="","",IF(Produtos!$D320="","",Produtos!$D320))</f>
        <v/>
      </c>
      <c r="E320" s="11"/>
      <c r="F320" s="34" t="str">
        <f aca="false">IF($A320="","",IF($C320="","⚠ categoria",IFERROR(INDEX(Parâmetros!$G$13:$G$22,MATCH($C320,Parâmetros!$A$13:$A$22,0)),"⚠ categoria")))</f>
        <v/>
      </c>
      <c r="G320" s="35"/>
      <c r="H320" s="36" t="str">
        <f aca="false">IF($A320="","",IF(ISNUMBER($G320),$G320,IF(ISNUMBER($F320),$F320,"")))</f>
        <v/>
      </c>
      <c r="I320" s="37" t="str">
        <f aca="false">IF(OR($A320="",NOT(ISNUMBER($D320)),NOT(ISNUMBER($H320))),"",IF((1-$H320-Parâmetros!$B$9-Parâmetros!$C$9-Parâmetros!$D$9)&lt;=0,"INVALIDO",($D320+IF(ISNUMBER($E320),$E320,0)+IF(ISNUMBER(Parâmetros!$E$9),Parâmetros!$E$9,0))/(1-$H320-Parâmetros!$B$9-Parâmetros!$C$9-Parâmetros!$D$9)))</f>
        <v/>
      </c>
      <c r="J320" s="38"/>
      <c r="K320" s="39" t="str">
        <f aca="false">IF(OR($A320="",NOT(ISNUMBER($D320)),NOT(ISNUMBER($H320))),"",IF(AND(ISNUMBER($J320),$J320&gt;0),$J320,IF(ISNUMBER($I320),$I320,"")))</f>
        <v/>
      </c>
      <c r="L320" s="40" t="str">
        <f aca="false">IF(ISNUMBER($K320),$K320*$H320,"")</f>
        <v/>
      </c>
      <c r="M320" s="40" t="str">
        <f aca="false">IF(ISNUMBER($K320),$K320*Parâmetros!$B$9,"")</f>
        <v/>
      </c>
      <c r="N320" s="40" t="str">
        <f aca="false">IF(ISNUMBER($K320),$K320*Parâmetros!$C$9,"")</f>
        <v/>
      </c>
      <c r="O320" s="40" t="str">
        <f aca="false">IF(ISNUMBER($K320),IF(ISNUMBER(Parâmetros!$E$9),Parâmetros!$E$9,0),"")</f>
        <v/>
      </c>
      <c r="P320" s="41" t="str">
        <f aca="false">IF(ISNUMBER($K320),$K320-$D320-IF(ISNUMBER($E320),$E320,0)-$L320-$M320-$N320-$O320,"")</f>
        <v/>
      </c>
      <c r="Q320" s="42" t="str">
        <f aca="false">IF(AND(ISNUMBER($K320),$K320&gt;0),$P320/$K320,"")</f>
        <v/>
      </c>
      <c r="R320" s="43"/>
      <c r="S320" s="44" t="str">
        <f aca="false">IF(OR(NOT(ISNUMBER($R320)),$R320=0,NOT(ISNUMBER($K320))),"",$K320*(1-$R320))</f>
        <v/>
      </c>
      <c r="T320" s="45" t="str">
        <f aca="false">IF(ISNUMBER($S320),$S320*$H320,"")</f>
        <v/>
      </c>
      <c r="U320" s="45" t="str">
        <f aca="false">IF(ISNUMBER($S320),$S320*Parâmetros!$B$9,"")</f>
        <v/>
      </c>
      <c r="V320" s="45" t="str">
        <f aca="false">IF(ISNUMBER($S320),$S320*Parâmetros!$C$9,"")</f>
        <v/>
      </c>
      <c r="W320" s="44" t="str">
        <f aca="false">IF(ISNUMBER($S320),$S320-$D320-IF(ISNUMBER($E320),$E320,0)-$O320-$T320-$U320-$V320,"")</f>
        <v/>
      </c>
      <c r="X320" s="46" t="str">
        <f aca="false">IF(AND(ISNUMBER($S320),$S320&gt;0),$W320/$S320,"")</f>
        <v/>
      </c>
      <c r="Y320" s="47"/>
      <c r="Z320" s="19"/>
    </row>
    <row r="321" customFormat="false" ht="15.75" hidden="false" customHeight="true" outlineLevel="0" collapsed="false">
      <c r="A321" s="48" t="str">
        <f aca="false">IF(Produtos!$A321="","",Produtos!$A321)</f>
        <v/>
      </c>
      <c r="B321" s="48" t="str">
        <f aca="false">IF(Produtos!$A321="","",Produtos!$B321)</f>
        <v/>
      </c>
      <c r="C321" s="48" t="str">
        <f aca="false">IF(Produtos!$A321="","",Produtos!$C321)</f>
        <v/>
      </c>
      <c r="D321" s="33" t="str">
        <f aca="false">IF(Produtos!$A321="","",IF(Produtos!$D321="","",Produtos!$D321))</f>
        <v/>
      </c>
      <c r="E321" s="11"/>
      <c r="F321" s="34" t="str">
        <f aca="false">IF($A321="","",IF($C321="","⚠ categoria",IFERROR(INDEX(Parâmetros!$G$13:$G$22,MATCH($C321,Parâmetros!$A$13:$A$22,0)),"⚠ categoria")))</f>
        <v/>
      </c>
      <c r="G321" s="35"/>
      <c r="H321" s="36" t="str">
        <f aca="false">IF($A321="","",IF(ISNUMBER($G321),$G321,IF(ISNUMBER($F321),$F321,"")))</f>
        <v/>
      </c>
      <c r="I321" s="37" t="str">
        <f aca="false">IF(OR($A321="",NOT(ISNUMBER($D321)),NOT(ISNUMBER($H321))),"",IF((1-$H321-Parâmetros!$B$9-Parâmetros!$C$9-Parâmetros!$D$9)&lt;=0,"INVALIDO",($D321+IF(ISNUMBER($E321),$E321,0)+IF(ISNUMBER(Parâmetros!$E$9),Parâmetros!$E$9,0))/(1-$H321-Parâmetros!$B$9-Parâmetros!$C$9-Parâmetros!$D$9)))</f>
        <v/>
      </c>
      <c r="J321" s="38"/>
      <c r="K321" s="39" t="str">
        <f aca="false">IF(OR($A321="",NOT(ISNUMBER($D321)),NOT(ISNUMBER($H321))),"",IF(AND(ISNUMBER($J321),$J321&gt;0),$J321,IF(ISNUMBER($I321),$I321,"")))</f>
        <v/>
      </c>
      <c r="L321" s="40" t="str">
        <f aca="false">IF(ISNUMBER($K321),$K321*$H321,"")</f>
        <v/>
      </c>
      <c r="M321" s="40" t="str">
        <f aca="false">IF(ISNUMBER($K321),$K321*Parâmetros!$B$9,"")</f>
        <v/>
      </c>
      <c r="N321" s="40" t="str">
        <f aca="false">IF(ISNUMBER($K321),$K321*Parâmetros!$C$9,"")</f>
        <v/>
      </c>
      <c r="O321" s="40" t="str">
        <f aca="false">IF(ISNUMBER($K321),IF(ISNUMBER(Parâmetros!$E$9),Parâmetros!$E$9,0),"")</f>
        <v/>
      </c>
      <c r="P321" s="41" t="str">
        <f aca="false">IF(ISNUMBER($K321),$K321-$D321-IF(ISNUMBER($E321),$E321,0)-$L321-$M321-$N321-$O321,"")</f>
        <v/>
      </c>
      <c r="Q321" s="42" t="str">
        <f aca="false">IF(AND(ISNUMBER($K321),$K321&gt;0),$P321/$K321,"")</f>
        <v/>
      </c>
      <c r="R321" s="43"/>
      <c r="S321" s="44" t="str">
        <f aca="false">IF(OR(NOT(ISNUMBER($R321)),$R321=0,NOT(ISNUMBER($K321))),"",$K321*(1-$R321))</f>
        <v/>
      </c>
      <c r="T321" s="45" t="str">
        <f aca="false">IF(ISNUMBER($S321),$S321*$H321,"")</f>
        <v/>
      </c>
      <c r="U321" s="45" t="str">
        <f aca="false">IF(ISNUMBER($S321),$S321*Parâmetros!$B$9,"")</f>
        <v/>
      </c>
      <c r="V321" s="45" t="str">
        <f aca="false">IF(ISNUMBER($S321),$S321*Parâmetros!$C$9,"")</f>
        <v/>
      </c>
      <c r="W321" s="44" t="str">
        <f aca="false">IF(ISNUMBER($S321),$S321-$D321-IF(ISNUMBER($E321),$E321,0)-$O321-$T321-$U321-$V321,"")</f>
        <v/>
      </c>
      <c r="X321" s="46" t="str">
        <f aca="false">IF(AND(ISNUMBER($S321),$S321&gt;0),$W321/$S321,"")</f>
        <v/>
      </c>
      <c r="Y321" s="49"/>
      <c r="Z321" s="21"/>
    </row>
    <row r="322" customFormat="false" ht="15.75" hidden="false" customHeight="true" outlineLevel="0" collapsed="false">
      <c r="A322" s="32" t="str">
        <f aca="false">IF(Produtos!$A322="","",Produtos!$A322)</f>
        <v/>
      </c>
      <c r="B322" s="32" t="str">
        <f aca="false">IF(Produtos!$A322="","",Produtos!$B322)</f>
        <v/>
      </c>
      <c r="C322" s="32" t="str">
        <f aca="false">IF(Produtos!$A322="","",Produtos!$C322)</f>
        <v/>
      </c>
      <c r="D322" s="33" t="str">
        <f aca="false">IF(Produtos!$A322="","",IF(Produtos!$D322="","",Produtos!$D322))</f>
        <v/>
      </c>
      <c r="E322" s="11"/>
      <c r="F322" s="34" t="str">
        <f aca="false">IF($A322="","",IF($C322="","⚠ categoria",IFERROR(INDEX(Parâmetros!$G$13:$G$22,MATCH($C322,Parâmetros!$A$13:$A$22,0)),"⚠ categoria")))</f>
        <v/>
      </c>
      <c r="G322" s="35"/>
      <c r="H322" s="36" t="str">
        <f aca="false">IF($A322="","",IF(ISNUMBER($G322),$G322,IF(ISNUMBER($F322),$F322,"")))</f>
        <v/>
      </c>
      <c r="I322" s="37" t="str">
        <f aca="false">IF(OR($A322="",NOT(ISNUMBER($D322)),NOT(ISNUMBER($H322))),"",IF((1-$H322-Parâmetros!$B$9-Parâmetros!$C$9-Parâmetros!$D$9)&lt;=0,"INVALIDO",($D322+IF(ISNUMBER($E322),$E322,0)+IF(ISNUMBER(Parâmetros!$E$9),Parâmetros!$E$9,0))/(1-$H322-Parâmetros!$B$9-Parâmetros!$C$9-Parâmetros!$D$9)))</f>
        <v/>
      </c>
      <c r="J322" s="38"/>
      <c r="K322" s="39" t="str">
        <f aca="false">IF(OR($A322="",NOT(ISNUMBER($D322)),NOT(ISNUMBER($H322))),"",IF(AND(ISNUMBER($J322),$J322&gt;0),$J322,IF(ISNUMBER($I322),$I322,"")))</f>
        <v/>
      </c>
      <c r="L322" s="40" t="str">
        <f aca="false">IF(ISNUMBER($K322),$K322*$H322,"")</f>
        <v/>
      </c>
      <c r="M322" s="40" t="str">
        <f aca="false">IF(ISNUMBER($K322),$K322*Parâmetros!$B$9,"")</f>
        <v/>
      </c>
      <c r="N322" s="40" t="str">
        <f aca="false">IF(ISNUMBER($K322),$K322*Parâmetros!$C$9,"")</f>
        <v/>
      </c>
      <c r="O322" s="40" t="str">
        <f aca="false">IF(ISNUMBER($K322),IF(ISNUMBER(Parâmetros!$E$9),Parâmetros!$E$9,0),"")</f>
        <v/>
      </c>
      <c r="P322" s="41" t="str">
        <f aca="false">IF(ISNUMBER($K322),$K322-$D322-IF(ISNUMBER($E322),$E322,0)-$L322-$M322-$N322-$O322,"")</f>
        <v/>
      </c>
      <c r="Q322" s="42" t="str">
        <f aca="false">IF(AND(ISNUMBER($K322),$K322&gt;0),$P322/$K322,"")</f>
        <v/>
      </c>
      <c r="R322" s="43"/>
      <c r="S322" s="44" t="str">
        <f aca="false">IF(OR(NOT(ISNUMBER($R322)),$R322=0,NOT(ISNUMBER($K322))),"",$K322*(1-$R322))</f>
        <v/>
      </c>
      <c r="T322" s="45" t="str">
        <f aca="false">IF(ISNUMBER($S322),$S322*$H322,"")</f>
        <v/>
      </c>
      <c r="U322" s="45" t="str">
        <f aca="false">IF(ISNUMBER($S322),$S322*Parâmetros!$B$9,"")</f>
        <v/>
      </c>
      <c r="V322" s="45" t="str">
        <f aca="false">IF(ISNUMBER($S322),$S322*Parâmetros!$C$9,"")</f>
        <v/>
      </c>
      <c r="W322" s="44" t="str">
        <f aca="false">IF(ISNUMBER($S322),$S322-$D322-IF(ISNUMBER($E322),$E322,0)-$O322-$T322-$U322-$V322,"")</f>
        <v/>
      </c>
      <c r="X322" s="46" t="str">
        <f aca="false">IF(AND(ISNUMBER($S322),$S322&gt;0),$W322/$S322,"")</f>
        <v/>
      </c>
      <c r="Y322" s="47"/>
      <c r="Z322" s="19"/>
    </row>
    <row r="323" customFormat="false" ht="15.75" hidden="false" customHeight="true" outlineLevel="0" collapsed="false">
      <c r="A323" s="48" t="str">
        <f aca="false">IF(Produtos!$A323="","",Produtos!$A323)</f>
        <v/>
      </c>
      <c r="B323" s="48" t="str">
        <f aca="false">IF(Produtos!$A323="","",Produtos!$B323)</f>
        <v/>
      </c>
      <c r="C323" s="48" t="str">
        <f aca="false">IF(Produtos!$A323="","",Produtos!$C323)</f>
        <v/>
      </c>
      <c r="D323" s="33" t="str">
        <f aca="false">IF(Produtos!$A323="","",IF(Produtos!$D323="","",Produtos!$D323))</f>
        <v/>
      </c>
      <c r="E323" s="11"/>
      <c r="F323" s="34" t="str">
        <f aca="false">IF($A323="","",IF($C323="","⚠ categoria",IFERROR(INDEX(Parâmetros!$G$13:$G$22,MATCH($C323,Parâmetros!$A$13:$A$22,0)),"⚠ categoria")))</f>
        <v/>
      </c>
      <c r="G323" s="35"/>
      <c r="H323" s="36" t="str">
        <f aca="false">IF($A323="","",IF(ISNUMBER($G323),$G323,IF(ISNUMBER($F323),$F323,"")))</f>
        <v/>
      </c>
      <c r="I323" s="37" t="str">
        <f aca="false">IF(OR($A323="",NOT(ISNUMBER($D323)),NOT(ISNUMBER($H323))),"",IF((1-$H323-Parâmetros!$B$9-Parâmetros!$C$9-Parâmetros!$D$9)&lt;=0,"INVALIDO",($D323+IF(ISNUMBER($E323),$E323,0)+IF(ISNUMBER(Parâmetros!$E$9),Parâmetros!$E$9,0))/(1-$H323-Parâmetros!$B$9-Parâmetros!$C$9-Parâmetros!$D$9)))</f>
        <v/>
      </c>
      <c r="J323" s="38"/>
      <c r="K323" s="39" t="str">
        <f aca="false">IF(OR($A323="",NOT(ISNUMBER($D323)),NOT(ISNUMBER($H323))),"",IF(AND(ISNUMBER($J323),$J323&gt;0),$J323,IF(ISNUMBER($I323),$I323,"")))</f>
        <v/>
      </c>
      <c r="L323" s="40" t="str">
        <f aca="false">IF(ISNUMBER($K323),$K323*$H323,"")</f>
        <v/>
      </c>
      <c r="M323" s="40" t="str">
        <f aca="false">IF(ISNUMBER($K323),$K323*Parâmetros!$B$9,"")</f>
        <v/>
      </c>
      <c r="N323" s="40" t="str">
        <f aca="false">IF(ISNUMBER($K323),$K323*Parâmetros!$C$9,"")</f>
        <v/>
      </c>
      <c r="O323" s="40" t="str">
        <f aca="false">IF(ISNUMBER($K323),IF(ISNUMBER(Parâmetros!$E$9),Parâmetros!$E$9,0),"")</f>
        <v/>
      </c>
      <c r="P323" s="41" t="str">
        <f aca="false">IF(ISNUMBER($K323),$K323-$D323-IF(ISNUMBER($E323),$E323,0)-$L323-$M323-$N323-$O323,"")</f>
        <v/>
      </c>
      <c r="Q323" s="42" t="str">
        <f aca="false">IF(AND(ISNUMBER($K323),$K323&gt;0),$P323/$K323,"")</f>
        <v/>
      </c>
      <c r="R323" s="43"/>
      <c r="S323" s="44" t="str">
        <f aca="false">IF(OR(NOT(ISNUMBER($R323)),$R323=0,NOT(ISNUMBER($K323))),"",$K323*(1-$R323))</f>
        <v/>
      </c>
      <c r="T323" s="45" t="str">
        <f aca="false">IF(ISNUMBER($S323),$S323*$H323,"")</f>
        <v/>
      </c>
      <c r="U323" s="45" t="str">
        <f aca="false">IF(ISNUMBER($S323),$S323*Parâmetros!$B$9,"")</f>
        <v/>
      </c>
      <c r="V323" s="45" t="str">
        <f aca="false">IF(ISNUMBER($S323),$S323*Parâmetros!$C$9,"")</f>
        <v/>
      </c>
      <c r="W323" s="44" t="str">
        <f aca="false">IF(ISNUMBER($S323),$S323-$D323-IF(ISNUMBER($E323),$E323,0)-$O323-$T323-$U323-$V323,"")</f>
        <v/>
      </c>
      <c r="X323" s="46" t="str">
        <f aca="false">IF(AND(ISNUMBER($S323),$S323&gt;0),$W323/$S323,"")</f>
        <v/>
      </c>
      <c r="Y323" s="49"/>
      <c r="Z323" s="21"/>
    </row>
    <row r="324" customFormat="false" ht="15.75" hidden="false" customHeight="true" outlineLevel="0" collapsed="false">
      <c r="A324" s="32" t="str">
        <f aca="false">IF(Produtos!$A324="","",Produtos!$A324)</f>
        <v/>
      </c>
      <c r="B324" s="32" t="str">
        <f aca="false">IF(Produtos!$A324="","",Produtos!$B324)</f>
        <v/>
      </c>
      <c r="C324" s="32" t="str">
        <f aca="false">IF(Produtos!$A324="","",Produtos!$C324)</f>
        <v/>
      </c>
      <c r="D324" s="33" t="str">
        <f aca="false">IF(Produtos!$A324="","",IF(Produtos!$D324="","",Produtos!$D324))</f>
        <v/>
      </c>
      <c r="E324" s="11"/>
      <c r="F324" s="34" t="str">
        <f aca="false">IF($A324="","",IF($C324="","⚠ categoria",IFERROR(INDEX(Parâmetros!$G$13:$G$22,MATCH($C324,Parâmetros!$A$13:$A$22,0)),"⚠ categoria")))</f>
        <v/>
      </c>
      <c r="G324" s="35"/>
      <c r="H324" s="36" t="str">
        <f aca="false">IF($A324="","",IF(ISNUMBER($G324),$G324,IF(ISNUMBER($F324),$F324,"")))</f>
        <v/>
      </c>
      <c r="I324" s="37" t="str">
        <f aca="false">IF(OR($A324="",NOT(ISNUMBER($D324)),NOT(ISNUMBER($H324))),"",IF((1-$H324-Parâmetros!$B$9-Parâmetros!$C$9-Parâmetros!$D$9)&lt;=0,"INVALIDO",($D324+IF(ISNUMBER($E324),$E324,0)+IF(ISNUMBER(Parâmetros!$E$9),Parâmetros!$E$9,0))/(1-$H324-Parâmetros!$B$9-Parâmetros!$C$9-Parâmetros!$D$9)))</f>
        <v/>
      </c>
      <c r="J324" s="38"/>
      <c r="K324" s="39" t="str">
        <f aca="false">IF(OR($A324="",NOT(ISNUMBER($D324)),NOT(ISNUMBER($H324))),"",IF(AND(ISNUMBER($J324),$J324&gt;0),$J324,IF(ISNUMBER($I324),$I324,"")))</f>
        <v/>
      </c>
      <c r="L324" s="40" t="str">
        <f aca="false">IF(ISNUMBER($K324),$K324*$H324,"")</f>
        <v/>
      </c>
      <c r="M324" s="40" t="str">
        <f aca="false">IF(ISNUMBER($K324),$K324*Parâmetros!$B$9,"")</f>
        <v/>
      </c>
      <c r="N324" s="40" t="str">
        <f aca="false">IF(ISNUMBER($K324),$K324*Parâmetros!$C$9,"")</f>
        <v/>
      </c>
      <c r="O324" s="40" t="str">
        <f aca="false">IF(ISNUMBER($K324),IF(ISNUMBER(Parâmetros!$E$9),Parâmetros!$E$9,0),"")</f>
        <v/>
      </c>
      <c r="P324" s="41" t="str">
        <f aca="false">IF(ISNUMBER($K324),$K324-$D324-IF(ISNUMBER($E324),$E324,0)-$L324-$M324-$N324-$O324,"")</f>
        <v/>
      </c>
      <c r="Q324" s="42" t="str">
        <f aca="false">IF(AND(ISNUMBER($K324),$K324&gt;0),$P324/$K324,"")</f>
        <v/>
      </c>
      <c r="R324" s="43"/>
      <c r="S324" s="44" t="str">
        <f aca="false">IF(OR(NOT(ISNUMBER($R324)),$R324=0,NOT(ISNUMBER($K324))),"",$K324*(1-$R324))</f>
        <v/>
      </c>
      <c r="T324" s="45" t="str">
        <f aca="false">IF(ISNUMBER($S324),$S324*$H324,"")</f>
        <v/>
      </c>
      <c r="U324" s="45" t="str">
        <f aca="false">IF(ISNUMBER($S324),$S324*Parâmetros!$B$9,"")</f>
        <v/>
      </c>
      <c r="V324" s="45" t="str">
        <f aca="false">IF(ISNUMBER($S324),$S324*Parâmetros!$C$9,"")</f>
        <v/>
      </c>
      <c r="W324" s="44" t="str">
        <f aca="false">IF(ISNUMBER($S324),$S324-$D324-IF(ISNUMBER($E324),$E324,0)-$O324-$T324-$U324-$V324,"")</f>
        <v/>
      </c>
      <c r="X324" s="46" t="str">
        <f aca="false">IF(AND(ISNUMBER($S324),$S324&gt;0),$W324/$S324,"")</f>
        <v/>
      </c>
      <c r="Y324" s="47"/>
      <c r="Z324" s="19"/>
    </row>
    <row r="325" customFormat="false" ht="15.75" hidden="false" customHeight="true" outlineLevel="0" collapsed="false">
      <c r="A325" s="48" t="str">
        <f aca="false">IF(Produtos!$A325="","",Produtos!$A325)</f>
        <v/>
      </c>
      <c r="B325" s="48" t="str">
        <f aca="false">IF(Produtos!$A325="","",Produtos!$B325)</f>
        <v/>
      </c>
      <c r="C325" s="48" t="str">
        <f aca="false">IF(Produtos!$A325="","",Produtos!$C325)</f>
        <v/>
      </c>
      <c r="D325" s="33" t="str">
        <f aca="false">IF(Produtos!$A325="","",IF(Produtos!$D325="","",Produtos!$D325))</f>
        <v/>
      </c>
      <c r="E325" s="11"/>
      <c r="F325" s="34" t="str">
        <f aca="false">IF($A325="","",IF($C325="","⚠ categoria",IFERROR(INDEX(Parâmetros!$G$13:$G$22,MATCH($C325,Parâmetros!$A$13:$A$22,0)),"⚠ categoria")))</f>
        <v/>
      </c>
      <c r="G325" s="35"/>
      <c r="H325" s="36" t="str">
        <f aca="false">IF($A325="","",IF(ISNUMBER($G325),$G325,IF(ISNUMBER($F325),$F325,"")))</f>
        <v/>
      </c>
      <c r="I325" s="37" t="str">
        <f aca="false">IF(OR($A325="",NOT(ISNUMBER($D325)),NOT(ISNUMBER($H325))),"",IF((1-$H325-Parâmetros!$B$9-Parâmetros!$C$9-Parâmetros!$D$9)&lt;=0,"INVALIDO",($D325+IF(ISNUMBER($E325),$E325,0)+IF(ISNUMBER(Parâmetros!$E$9),Parâmetros!$E$9,0))/(1-$H325-Parâmetros!$B$9-Parâmetros!$C$9-Parâmetros!$D$9)))</f>
        <v/>
      </c>
      <c r="J325" s="38"/>
      <c r="K325" s="39" t="str">
        <f aca="false">IF(OR($A325="",NOT(ISNUMBER($D325)),NOT(ISNUMBER($H325))),"",IF(AND(ISNUMBER($J325),$J325&gt;0),$J325,IF(ISNUMBER($I325),$I325,"")))</f>
        <v/>
      </c>
      <c r="L325" s="40" t="str">
        <f aca="false">IF(ISNUMBER($K325),$K325*$H325,"")</f>
        <v/>
      </c>
      <c r="M325" s="40" t="str">
        <f aca="false">IF(ISNUMBER($K325),$K325*Parâmetros!$B$9,"")</f>
        <v/>
      </c>
      <c r="N325" s="40" t="str">
        <f aca="false">IF(ISNUMBER($K325),$K325*Parâmetros!$C$9,"")</f>
        <v/>
      </c>
      <c r="O325" s="40" t="str">
        <f aca="false">IF(ISNUMBER($K325),IF(ISNUMBER(Parâmetros!$E$9),Parâmetros!$E$9,0),"")</f>
        <v/>
      </c>
      <c r="P325" s="41" t="str">
        <f aca="false">IF(ISNUMBER($K325),$K325-$D325-IF(ISNUMBER($E325),$E325,0)-$L325-$M325-$N325-$O325,"")</f>
        <v/>
      </c>
      <c r="Q325" s="42" t="str">
        <f aca="false">IF(AND(ISNUMBER($K325),$K325&gt;0),$P325/$K325,"")</f>
        <v/>
      </c>
      <c r="R325" s="43"/>
      <c r="S325" s="44" t="str">
        <f aca="false">IF(OR(NOT(ISNUMBER($R325)),$R325=0,NOT(ISNUMBER($K325))),"",$K325*(1-$R325))</f>
        <v/>
      </c>
      <c r="T325" s="45" t="str">
        <f aca="false">IF(ISNUMBER($S325),$S325*$H325,"")</f>
        <v/>
      </c>
      <c r="U325" s="45" t="str">
        <f aca="false">IF(ISNUMBER($S325),$S325*Parâmetros!$B$9,"")</f>
        <v/>
      </c>
      <c r="V325" s="45" t="str">
        <f aca="false">IF(ISNUMBER($S325),$S325*Parâmetros!$C$9,"")</f>
        <v/>
      </c>
      <c r="W325" s="44" t="str">
        <f aca="false">IF(ISNUMBER($S325),$S325-$D325-IF(ISNUMBER($E325),$E325,0)-$O325-$T325-$U325-$V325,"")</f>
        <v/>
      </c>
      <c r="X325" s="46" t="str">
        <f aca="false">IF(AND(ISNUMBER($S325),$S325&gt;0),$W325/$S325,"")</f>
        <v/>
      </c>
      <c r="Y325" s="49"/>
      <c r="Z325" s="21"/>
    </row>
    <row r="326" customFormat="false" ht="15.75" hidden="false" customHeight="true" outlineLevel="0" collapsed="false">
      <c r="A326" s="32" t="str">
        <f aca="false">IF(Produtos!$A326="","",Produtos!$A326)</f>
        <v/>
      </c>
      <c r="B326" s="32" t="str">
        <f aca="false">IF(Produtos!$A326="","",Produtos!$B326)</f>
        <v/>
      </c>
      <c r="C326" s="32" t="str">
        <f aca="false">IF(Produtos!$A326="","",Produtos!$C326)</f>
        <v/>
      </c>
      <c r="D326" s="33" t="str">
        <f aca="false">IF(Produtos!$A326="","",IF(Produtos!$D326="","",Produtos!$D326))</f>
        <v/>
      </c>
      <c r="E326" s="11"/>
      <c r="F326" s="34" t="str">
        <f aca="false">IF($A326="","",IF($C326="","⚠ categoria",IFERROR(INDEX(Parâmetros!$G$13:$G$22,MATCH($C326,Parâmetros!$A$13:$A$22,0)),"⚠ categoria")))</f>
        <v/>
      </c>
      <c r="G326" s="35"/>
      <c r="H326" s="36" t="str">
        <f aca="false">IF($A326="","",IF(ISNUMBER($G326),$G326,IF(ISNUMBER($F326),$F326,"")))</f>
        <v/>
      </c>
      <c r="I326" s="37" t="str">
        <f aca="false">IF(OR($A326="",NOT(ISNUMBER($D326)),NOT(ISNUMBER($H326))),"",IF((1-$H326-Parâmetros!$B$9-Parâmetros!$C$9-Parâmetros!$D$9)&lt;=0,"INVALIDO",($D326+IF(ISNUMBER($E326),$E326,0)+IF(ISNUMBER(Parâmetros!$E$9),Parâmetros!$E$9,0))/(1-$H326-Parâmetros!$B$9-Parâmetros!$C$9-Parâmetros!$D$9)))</f>
        <v/>
      </c>
      <c r="J326" s="38"/>
      <c r="K326" s="39" t="str">
        <f aca="false">IF(OR($A326="",NOT(ISNUMBER($D326)),NOT(ISNUMBER($H326))),"",IF(AND(ISNUMBER($J326),$J326&gt;0),$J326,IF(ISNUMBER($I326),$I326,"")))</f>
        <v/>
      </c>
      <c r="L326" s="40" t="str">
        <f aca="false">IF(ISNUMBER($K326),$K326*$H326,"")</f>
        <v/>
      </c>
      <c r="M326" s="40" t="str">
        <f aca="false">IF(ISNUMBER($K326),$K326*Parâmetros!$B$9,"")</f>
        <v/>
      </c>
      <c r="N326" s="40" t="str">
        <f aca="false">IF(ISNUMBER($K326),$K326*Parâmetros!$C$9,"")</f>
        <v/>
      </c>
      <c r="O326" s="40" t="str">
        <f aca="false">IF(ISNUMBER($K326),IF(ISNUMBER(Parâmetros!$E$9),Parâmetros!$E$9,0),"")</f>
        <v/>
      </c>
      <c r="P326" s="41" t="str">
        <f aca="false">IF(ISNUMBER($K326),$K326-$D326-IF(ISNUMBER($E326),$E326,0)-$L326-$M326-$N326-$O326,"")</f>
        <v/>
      </c>
      <c r="Q326" s="42" t="str">
        <f aca="false">IF(AND(ISNUMBER($K326),$K326&gt;0),$P326/$K326,"")</f>
        <v/>
      </c>
      <c r="R326" s="43"/>
      <c r="S326" s="44" t="str">
        <f aca="false">IF(OR(NOT(ISNUMBER($R326)),$R326=0,NOT(ISNUMBER($K326))),"",$K326*(1-$R326))</f>
        <v/>
      </c>
      <c r="T326" s="45" t="str">
        <f aca="false">IF(ISNUMBER($S326),$S326*$H326,"")</f>
        <v/>
      </c>
      <c r="U326" s="45" t="str">
        <f aca="false">IF(ISNUMBER($S326),$S326*Parâmetros!$B$9,"")</f>
        <v/>
      </c>
      <c r="V326" s="45" t="str">
        <f aca="false">IF(ISNUMBER($S326),$S326*Parâmetros!$C$9,"")</f>
        <v/>
      </c>
      <c r="W326" s="44" t="str">
        <f aca="false">IF(ISNUMBER($S326),$S326-$D326-IF(ISNUMBER($E326),$E326,0)-$O326-$T326-$U326-$V326,"")</f>
        <v/>
      </c>
      <c r="X326" s="46" t="str">
        <f aca="false">IF(AND(ISNUMBER($S326),$S326&gt;0),$W326/$S326,"")</f>
        <v/>
      </c>
      <c r="Y326" s="47"/>
      <c r="Z326" s="19"/>
    </row>
    <row r="327" customFormat="false" ht="15.75" hidden="false" customHeight="true" outlineLevel="0" collapsed="false">
      <c r="A327" s="48" t="str">
        <f aca="false">IF(Produtos!$A327="","",Produtos!$A327)</f>
        <v/>
      </c>
      <c r="B327" s="48" t="str">
        <f aca="false">IF(Produtos!$A327="","",Produtos!$B327)</f>
        <v/>
      </c>
      <c r="C327" s="48" t="str">
        <f aca="false">IF(Produtos!$A327="","",Produtos!$C327)</f>
        <v/>
      </c>
      <c r="D327" s="33" t="str">
        <f aca="false">IF(Produtos!$A327="","",IF(Produtos!$D327="","",Produtos!$D327))</f>
        <v/>
      </c>
      <c r="E327" s="11"/>
      <c r="F327" s="34" t="str">
        <f aca="false">IF($A327="","",IF($C327="","⚠ categoria",IFERROR(INDEX(Parâmetros!$G$13:$G$22,MATCH($C327,Parâmetros!$A$13:$A$22,0)),"⚠ categoria")))</f>
        <v/>
      </c>
      <c r="G327" s="35"/>
      <c r="H327" s="36" t="str">
        <f aca="false">IF($A327="","",IF(ISNUMBER($G327),$G327,IF(ISNUMBER($F327),$F327,"")))</f>
        <v/>
      </c>
      <c r="I327" s="37" t="str">
        <f aca="false">IF(OR($A327="",NOT(ISNUMBER($D327)),NOT(ISNUMBER($H327))),"",IF((1-$H327-Parâmetros!$B$9-Parâmetros!$C$9-Parâmetros!$D$9)&lt;=0,"INVALIDO",($D327+IF(ISNUMBER($E327),$E327,0)+IF(ISNUMBER(Parâmetros!$E$9),Parâmetros!$E$9,0))/(1-$H327-Parâmetros!$B$9-Parâmetros!$C$9-Parâmetros!$D$9)))</f>
        <v/>
      </c>
      <c r="J327" s="38"/>
      <c r="K327" s="39" t="str">
        <f aca="false">IF(OR($A327="",NOT(ISNUMBER($D327)),NOT(ISNUMBER($H327))),"",IF(AND(ISNUMBER($J327),$J327&gt;0),$J327,IF(ISNUMBER($I327),$I327,"")))</f>
        <v/>
      </c>
      <c r="L327" s="40" t="str">
        <f aca="false">IF(ISNUMBER($K327),$K327*$H327,"")</f>
        <v/>
      </c>
      <c r="M327" s="40" t="str">
        <f aca="false">IF(ISNUMBER($K327),$K327*Parâmetros!$B$9,"")</f>
        <v/>
      </c>
      <c r="N327" s="40" t="str">
        <f aca="false">IF(ISNUMBER($K327),$K327*Parâmetros!$C$9,"")</f>
        <v/>
      </c>
      <c r="O327" s="40" t="str">
        <f aca="false">IF(ISNUMBER($K327),IF(ISNUMBER(Parâmetros!$E$9),Parâmetros!$E$9,0),"")</f>
        <v/>
      </c>
      <c r="P327" s="41" t="str">
        <f aca="false">IF(ISNUMBER($K327),$K327-$D327-IF(ISNUMBER($E327),$E327,0)-$L327-$M327-$N327-$O327,"")</f>
        <v/>
      </c>
      <c r="Q327" s="42" t="str">
        <f aca="false">IF(AND(ISNUMBER($K327),$K327&gt;0),$P327/$K327,"")</f>
        <v/>
      </c>
      <c r="R327" s="43"/>
      <c r="S327" s="44" t="str">
        <f aca="false">IF(OR(NOT(ISNUMBER($R327)),$R327=0,NOT(ISNUMBER($K327))),"",$K327*(1-$R327))</f>
        <v/>
      </c>
      <c r="T327" s="45" t="str">
        <f aca="false">IF(ISNUMBER($S327),$S327*$H327,"")</f>
        <v/>
      </c>
      <c r="U327" s="45" t="str">
        <f aca="false">IF(ISNUMBER($S327),$S327*Parâmetros!$B$9,"")</f>
        <v/>
      </c>
      <c r="V327" s="45" t="str">
        <f aca="false">IF(ISNUMBER($S327),$S327*Parâmetros!$C$9,"")</f>
        <v/>
      </c>
      <c r="W327" s="44" t="str">
        <f aca="false">IF(ISNUMBER($S327),$S327-$D327-IF(ISNUMBER($E327),$E327,0)-$O327-$T327-$U327-$V327,"")</f>
        <v/>
      </c>
      <c r="X327" s="46" t="str">
        <f aca="false">IF(AND(ISNUMBER($S327),$S327&gt;0),$W327/$S327,"")</f>
        <v/>
      </c>
      <c r="Y327" s="49"/>
      <c r="Z327" s="21"/>
    </row>
    <row r="328" customFormat="false" ht="15.75" hidden="false" customHeight="true" outlineLevel="0" collapsed="false">
      <c r="A328" s="32" t="str">
        <f aca="false">IF(Produtos!$A328="","",Produtos!$A328)</f>
        <v/>
      </c>
      <c r="B328" s="32" t="str">
        <f aca="false">IF(Produtos!$A328="","",Produtos!$B328)</f>
        <v/>
      </c>
      <c r="C328" s="32" t="str">
        <f aca="false">IF(Produtos!$A328="","",Produtos!$C328)</f>
        <v/>
      </c>
      <c r="D328" s="33" t="str">
        <f aca="false">IF(Produtos!$A328="","",IF(Produtos!$D328="","",Produtos!$D328))</f>
        <v/>
      </c>
      <c r="E328" s="11"/>
      <c r="F328" s="34" t="str">
        <f aca="false">IF($A328="","",IF($C328="","⚠ categoria",IFERROR(INDEX(Parâmetros!$G$13:$G$22,MATCH($C328,Parâmetros!$A$13:$A$22,0)),"⚠ categoria")))</f>
        <v/>
      </c>
      <c r="G328" s="35"/>
      <c r="H328" s="36" t="str">
        <f aca="false">IF($A328="","",IF(ISNUMBER($G328),$G328,IF(ISNUMBER($F328),$F328,"")))</f>
        <v/>
      </c>
      <c r="I328" s="37" t="str">
        <f aca="false">IF(OR($A328="",NOT(ISNUMBER($D328)),NOT(ISNUMBER($H328))),"",IF((1-$H328-Parâmetros!$B$9-Parâmetros!$C$9-Parâmetros!$D$9)&lt;=0,"INVALIDO",($D328+IF(ISNUMBER($E328),$E328,0)+IF(ISNUMBER(Parâmetros!$E$9),Parâmetros!$E$9,0))/(1-$H328-Parâmetros!$B$9-Parâmetros!$C$9-Parâmetros!$D$9)))</f>
        <v/>
      </c>
      <c r="J328" s="38"/>
      <c r="K328" s="39" t="str">
        <f aca="false">IF(OR($A328="",NOT(ISNUMBER($D328)),NOT(ISNUMBER($H328))),"",IF(AND(ISNUMBER($J328),$J328&gt;0),$J328,IF(ISNUMBER($I328),$I328,"")))</f>
        <v/>
      </c>
      <c r="L328" s="40" t="str">
        <f aca="false">IF(ISNUMBER($K328),$K328*$H328,"")</f>
        <v/>
      </c>
      <c r="M328" s="40" t="str">
        <f aca="false">IF(ISNUMBER($K328),$K328*Parâmetros!$B$9,"")</f>
        <v/>
      </c>
      <c r="N328" s="40" t="str">
        <f aca="false">IF(ISNUMBER($K328),$K328*Parâmetros!$C$9,"")</f>
        <v/>
      </c>
      <c r="O328" s="40" t="str">
        <f aca="false">IF(ISNUMBER($K328),IF(ISNUMBER(Parâmetros!$E$9),Parâmetros!$E$9,0),"")</f>
        <v/>
      </c>
      <c r="P328" s="41" t="str">
        <f aca="false">IF(ISNUMBER($K328),$K328-$D328-IF(ISNUMBER($E328),$E328,0)-$L328-$M328-$N328-$O328,"")</f>
        <v/>
      </c>
      <c r="Q328" s="42" t="str">
        <f aca="false">IF(AND(ISNUMBER($K328),$K328&gt;0),$P328/$K328,"")</f>
        <v/>
      </c>
      <c r="R328" s="43"/>
      <c r="S328" s="44" t="str">
        <f aca="false">IF(OR(NOT(ISNUMBER($R328)),$R328=0,NOT(ISNUMBER($K328))),"",$K328*(1-$R328))</f>
        <v/>
      </c>
      <c r="T328" s="45" t="str">
        <f aca="false">IF(ISNUMBER($S328),$S328*$H328,"")</f>
        <v/>
      </c>
      <c r="U328" s="45" t="str">
        <f aca="false">IF(ISNUMBER($S328),$S328*Parâmetros!$B$9,"")</f>
        <v/>
      </c>
      <c r="V328" s="45" t="str">
        <f aca="false">IF(ISNUMBER($S328),$S328*Parâmetros!$C$9,"")</f>
        <v/>
      </c>
      <c r="W328" s="44" t="str">
        <f aca="false">IF(ISNUMBER($S328),$S328-$D328-IF(ISNUMBER($E328),$E328,0)-$O328-$T328-$U328-$V328,"")</f>
        <v/>
      </c>
      <c r="X328" s="46" t="str">
        <f aca="false">IF(AND(ISNUMBER($S328),$S328&gt;0),$W328/$S328,"")</f>
        <v/>
      </c>
      <c r="Y328" s="47"/>
      <c r="Z328" s="19"/>
    </row>
    <row r="329" customFormat="false" ht="15.75" hidden="false" customHeight="true" outlineLevel="0" collapsed="false">
      <c r="A329" s="48" t="str">
        <f aca="false">IF(Produtos!$A329="","",Produtos!$A329)</f>
        <v/>
      </c>
      <c r="B329" s="48" t="str">
        <f aca="false">IF(Produtos!$A329="","",Produtos!$B329)</f>
        <v/>
      </c>
      <c r="C329" s="48" t="str">
        <f aca="false">IF(Produtos!$A329="","",Produtos!$C329)</f>
        <v/>
      </c>
      <c r="D329" s="33" t="str">
        <f aca="false">IF(Produtos!$A329="","",IF(Produtos!$D329="","",Produtos!$D329))</f>
        <v/>
      </c>
      <c r="E329" s="11"/>
      <c r="F329" s="34" t="str">
        <f aca="false">IF($A329="","",IF($C329="","⚠ categoria",IFERROR(INDEX(Parâmetros!$G$13:$G$22,MATCH($C329,Parâmetros!$A$13:$A$22,0)),"⚠ categoria")))</f>
        <v/>
      </c>
      <c r="G329" s="35"/>
      <c r="H329" s="36" t="str">
        <f aca="false">IF($A329="","",IF(ISNUMBER($G329),$G329,IF(ISNUMBER($F329),$F329,"")))</f>
        <v/>
      </c>
      <c r="I329" s="37" t="str">
        <f aca="false">IF(OR($A329="",NOT(ISNUMBER($D329)),NOT(ISNUMBER($H329))),"",IF((1-$H329-Parâmetros!$B$9-Parâmetros!$C$9-Parâmetros!$D$9)&lt;=0,"INVALIDO",($D329+IF(ISNUMBER($E329),$E329,0)+IF(ISNUMBER(Parâmetros!$E$9),Parâmetros!$E$9,0))/(1-$H329-Parâmetros!$B$9-Parâmetros!$C$9-Parâmetros!$D$9)))</f>
        <v/>
      </c>
      <c r="J329" s="38"/>
      <c r="K329" s="39" t="str">
        <f aca="false">IF(OR($A329="",NOT(ISNUMBER($D329)),NOT(ISNUMBER($H329))),"",IF(AND(ISNUMBER($J329),$J329&gt;0),$J329,IF(ISNUMBER($I329),$I329,"")))</f>
        <v/>
      </c>
      <c r="L329" s="40" t="str">
        <f aca="false">IF(ISNUMBER($K329),$K329*$H329,"")</f>
        <v/>
      </c>
      <c r="M329" s="40" t="str">
        <f aca="false">IF(ISNUMBER($K329),$K329*Parâmetros!$B$9,"")</f>
        <v/>
      </c>
      <c r="N329" s="40" t="str">
        <f aca="false">IF(ISNUMBER($K329),$K329*Parâmetros!$C$9,"")</f>
        <v/>
      </c>
      <c r="O329" s="40" t="str">
        <f aca="false">IF(ISNUMBER($K329),IF(ISNUMBER(Parâmetros!$E$9),Parâmetros!$E$9,0),"")</f>
        <v/>
      </c>
      <c r="P329" s="41" t="str">
        <f aca="false">IF(ISNUMBER($K329),$K329-$D329-IF(ISNUMBER($E329),$E329,0)-$L329-$M329-$N329-$O329,"")</f>
        <v/>
      </c>
      <c r="Q329" s="42" t="str">
        <f aca="false">IF(AND(ISNUMBER($K329),$K329&gt;0),$P329/$K329,"")</f>
        <v/>
      </c>
      <c r="R329" s="43"/>
      <c r="S329" s="44" t="str">
        <f aca="false">IF(OR(NOT(ISNUMBER($R329)),$R329=0,NOT(ISNUMBER($K329))),"",$K329*(1-$R329))</f>
        <v/>
      </c>
      <c r="T329" s="45" t="str">
        <f aca="false">IF(ISNUMBER($S329),$S329*$H329,"")</f>
        <v/>
      </c>
      <c r="U329" s="45" t="str">
        <f aca="false">IF(ISNUMBER($S329),$S329*Parâmetros!$B$9,"")</f>
        <v/>
      </c>
      <c r="V329" s="45" t="str">
        <f aca="false">IF(ISNUMBER($S329),$S329*Parâmetros!$C$9,"")</f>
        <v/>
      </c>
      <c r="W329" s="44" t="str">
        <f aca="false">IF(ISNUMBER($S329),$S329-$D329-IF(ISNUMBER($E329),$E329,0)-$O329-$T329-$U329-$V329,"")</f>
        <v/>
      </c>
      <c r="X329" s="46" t="str">
        <f aca="false">IF(AND(ISNUMBER($S329),$S329&gt;0),$W329/$S329,"")</f>
        <v/>
      </c>
      <c r="Y329" s="49"/>
      <c r="Z329" s="21"/>
    </row>
    <row r="330" customFormat="false" ht="15.75" hidden="false" customHeight="true" outlineLevel="0" collapsed="false">
      <c r="A330" s="32" t="str">
        <f aca="false">IF(Produtos!$A330="","",Produtos!$A330)</f>
        <v/>
      </c>
      <c r="B330" s="32" t="str">
        <f aca="false">IF(Produtos!$A330="","",Produtos!$B330)</f>
        <v/>
      </c>
      <c r="C330" s="32" t="str">
        <f aca="false">IF(Produtos!$A330="","",Produtos!$C330)</f>
        <v/>
      </c>
      <c r="D330" s="33" t="str">
        <f aca="false">IF(Produtos!$A330="","",IF(Produtos!$D330="","",Produtos!$D330))</f>
        <v/>
      </c>
      <c r="E330" s="11"/>
      <c r="F330" s="34" t="str">
        <f aca="false">IF($A330="","",IF($C330="","⚠ categoria",IFERROR(INDEX(Parâmetros!$G$13:$G$22,MATCH($C330,Parâmetros!$A$13:$A$22,0)),"⚠ categoria")))</f>
        <v/>
      </c>
      <c r="G330" s="35"/>
      <c r="H330" s="36" t="str">
        <f aca="false">IF($A330="","",IF(ISNUMBER($G330),$G330,IF(ISNUMBER($F330),$F330,"")))</f>
        <v/>
      </c>
      <c r="I330" s="37" t="str">
        <f aca="false">IF(OR($A330="",NOT(ISNUMBER($D330)),NOT(ISNUMBER($H330))),"",IF((1-$H330-Parâmetros!$B$9-Parâmetros!$C$9-Parâmetros!$D$9)&lt;=0,"INVALIDO",($D330+IF(ISNUMBER($E330),$E330,0)+IF(ISNUMBER(Parâmetros!$E$9),Parâmetros!$E$9,0))/(1-$H330-Parâmetros!$B$9-Parâmetros!$C$9-Parâmetros!$D$9)))</f>
        <v/>
      </c>
      <c r="J330" s="38"/>
      <c r="K330" s="39" t="str">
        <f aca="false">IF(OR($A330="",NOT(ISNUMBER($D330)),NOT(ISNUMBER($H330))),"",IF(AND(ISNUMBER($J330),$J330&gt;0),$J330,IF(ISNUMBER($I330),$I330,"")))</f>
        <v/>
      </c>
      <c r="L330" s="40" t="str">
        <f aca="false">IF(ISNUMBER($K330),$K330*$H330,"")</f>
        <v/>
      </c>
      <c r="M330" s="40" t="str">
        <f aca="false">IF(ISNUMBER($K330),$K330*Parâmetros!$B$9,"")</f>
        <v/>
      </c>
      <c r="N330" s="40" t="str">
        <f aca="false">IF(ISNUMBER($K330),$K330*Parâmetros!$C$9,"")</f>
        <v/>
      </c>
      <c r="O330" s="40" t="str">
        <f aca="false">IF(ISNUMBER($K330),IF(ISNUMBER(Parâmetros!$E$9),Parâmetros!$E$9,0),"")</f>
        <v/>
      </c>
      <c r="P330" s="41" t="str">
        <f aca="false">IF(ISNUMBER($K330),$K330-$D330-IF(ISNUMBER($E330),$E330,0)-$L330-$M330-$N330-$O330,"")</f>
        <v/>
      </c>
      <c r="Q330" s="42" t="str">
        <f aca="false">IF(AND(ISNUMBER($K330),$K330&gt;0),$P330/$K330,"")</f>
        <v/>
      </c>
      <c r="R330" s="43"/>
      <c r="S330" s="44" t="str">
        <f aca="false">IF(OR(NOT(ISNUMBER($R330)),$R330=0,NOT(ISNUMBER($K330))),"",$K330*(1-$R330))</f>
        <v/>
      </c>
      <c r="T330" s="45" t="str">
        <f aca="false">IF(ISNUMBER($S330),$S330*$H330,"")</f>
        <v/>
      </c>
      <c r="U330" s="45" t="str">
        <f aca="false">IF(ISNUMBER($S330),$S330*Parâmetros!$B$9,"")</f>
        <v/>
      </c>
      <c r="V330" s="45" t="str">
        <f aca="false">IF(ISNUMBER($S330),$S330*Parâmetros!$C$9,"")</f>
        <v/>
      </c>
      <c r="W330" s="44" t="str">
        <f aca="false">IF(ISNUMBER($S330),$S330-$D330-IF(ISNUMBER($E330),$E330,0)-$O330-$T330-$U330-$V330,"")</f>
        <v/>
      </c>
      <c r="X330" s="46" t="str">
        <f aca="false">IF(AND(ISNUMBER($S330),$S330&gt;0),$W330/$S330,"")</f>
        <v/>
      </c>
      <c r="Y330" s="47"/>
      <c r="Z330" s="19"/>
    </row>
    <row r="331" customFormat="false" ht="15.75" hidden="false" customHeight="true" outlineLevel="0" collapsed="false">
      <c r="A331" s="48" t="str">
        <f aca="false">IF(Produtos!$A331="","",Produtos!$A331)</f>
        <v/>
      </c>
      <c r="B331" s="48" t="str">
        <f aca="false">IF(Produtos!$A331="","",Produtos!$B331)</f>
        <v/>
      </c>
      <c r="C331" s="48" t="str">
        <f aca="false">IF(Produtos!$A331="","",Produtos!$C331)</f>
        <v/>
      </c>
      <c r="D331" s="33" t="str">
        <f aca="false">IF(Produtos!$A331="","",IF(Produtos!$D331="","",Produtos!$D331))</f>
        <v/>
      </c>
      <c r="E331" s="11"/>
      <c r="F331" s="34" t="str">
        <f aca="false">IF($A331="","",IF($C331="","⚠ categoria",IFERROR(INDEX(Parâmetros!$G$13:$G$22,MATCH($C331,Parâmetros!$A$13:$A$22,0)),"⚠ categoria")))</f>
        <v/>
      </c>
      <c r="G331" s="35"/>
      <c r="H331" s="36" t="str">
        <f aca="false">IF($A331="","",IF(ISNUMBER($G331),$G331,IF(ISNUMBER($F331),$F331,"")))</f>
        <v/>
      </c>
      <c r="I331" s="37" t="str">
        <f aca="false">IF(OR($A331="",NOT(ISNUMBER($D331)),NOT(ISNUMBER($H331))),"",IF((1-$H331-Parâmetros!$B$9-Parâmetros!$C$9-Parâmetros!$D$9)&lt;=0,"INVALIDO",($D331+IF(ISNUMBER($E331),$E331,0)+IF(ISNUMBER(Parâmetros!$E$9),Parâmetros!$E$9,0))/(1-$H331-Parâmetros!$B$9-Parâmetros!$C$9-Parâmetros!$D$9)))</f>
        <v/>
      </c>
      <c r="J331" s="38"/>
      <c r="K331" s="39" t="str">
        <f aca="false">IF(OR($A331="",NOT(ISNUMBER($D331)),NOT(ISNUMBER($H331))),"",IF(AND(ISNUMBER($J331),$J331&gt;0),$J331,IF(ISNUMBER($I331),$I331,"")))</f>
        <v/>
      </c>
      <c r="L331" s="40" t="str">
        <f aca="false">IF(ISNUMBER($K331),$K331*$H331,"")</f>
        <v/>
      </c>
      <c r="M331" s="40" t="str">
        <f aca="false">IF(ISNUMBER($K331),$K331*Parâmetros!$B$9,"")</f>
        <v/>
      </c>
      <c r="N331" s="40" t="str">
        <f aca="false">IF(ISNUMBER($K331),$K331*Parâmetros!$C$9,"")</f>
        <v/>
      </c>
      <c r="O331" s="40" t="str">
        <f aca="false">IF(ISNUMBER($K331),IF(ISNUMBER(Parâmetros!$E$9),Parâmetros!$E$9,0),"")</f>
        <v/>
      </c>
      <c r="P331" s="41" t="str">
        <f aca="false">IF(ISNUMBER($K331),$K331-$D331-IF(ISNUMBER($E331),$E331,0)-$L331-$M331-$N331-$O331,"")</f>
        <v/>
      </c>
      <c r="Q331" s="42" t="str">
        <f aca="false">IF(AND(ISNUMBER($K331),$K331&gt;0),$P331/$K331,"")</f>
        <v/>
      </c>
      <c r="R331" s="43"/>
      <c r="S331" s="44" t="str">
        <f aca="false">IF(OR(NOT(ISNUMBER($R331)),$R331=0,NOT(ISNUMBER($K331))),"",$K331*(1-$R331))</f>
        <v/>
      </c>
      <c r="T331" s="45" t="str">
        <f aca="false">IF(ISNUMBER($S331),$S331*$H331,"")</f>
        <v/>
      </c>
      <c r="U331" s="45" t="str">
        <f aca="false">IF(ISNUMBER($S331),$S331*Parâmetros!$B$9,"")</f>
        <v/>
      </c>
      <c r="V331" s="45" t="str">
        <f aca="false">IF(ISNUMBER($S331),$S331*Parâmetros!$C$9,"")</f>
        <v/>
      </c>
      <c r="W331" s="44" t="str">
        <f aca="false">IF(ISNUMBER($S331),$S331-$D331-IF(ISNUMBER($E331),$E331,0)-$O331-$T331-$U331-$V331,"")</f>
        <v/>
      </c>
      <c r="X331" s="46" t="str">
        <f aca="false">IF(AND(ISNUMBER($S331),$S331&gt;0),$W331/$S331,"")</f>
        <v/>
      </c>
      <c r="Y331" s="49"/>
      <c r="Z331" s="21"/>
    </row>
    <row r="332" customFormat="false" ht="15.75" hidden="false" customHeight="true" outlineLevel="0" collapsed="false">
      <c r="A332" s="32" t="str">
        <f aca="false">IF(Produtos!$A332="","",Produtos!$A332)</f>
        <v/>
      </c>
      <c r="B332" s="32" t="str">
        <f aca="false">IF(Produtos!$A332="","",Produtos!$B332)</f>
        <v/>
      </c>
      <c r="C332" s="32" t="str">
        <f aca="false">IF(Produtos!$A332="","",Produtos!$C332)</f>
        <v/>
      </c>
      <c r="D332" s="33" t="str">
        <f aca="false">IF(Produtos!$A332="","",IF(Produtos!$D332="","",Produtos!$D332))</f>
        <v/>
      </c>
      <c r="E332" s="11"/>
      <c r="F332" s="34" t="str">
        <f aca="false">IF($A332="","",IF($C332="","⚠ categoria",IFERROR(INDEX(Parâmetros!$G$13:$G$22,MATCH($C332,Parâmetros!$A$13:$A$22,0)),"⚠ categoria")))</f>
        <v/>
      </c>
      <c r="G332" s="35"/>
      <c r="H332" s="36" t="str">
        <f aca="false">IF($A332="","",IF(ISNUMBER($G332),$G332,IF(ISNUMBER($F332),$F332,"")))</f>
        <v/>
      </c>
      <c r="I332" s="37" t="str">
        <f aca="false">IF(OR($A332="",NOT(ISNUMBER($D332)),NOT(ISNUMBER($H332))),"",IF((1-$H332-Parâmetros!$B$9-Parâmetros!$C$9-Parâmetros!$D$9)&lt;=0,"INVALIDO",($D332+IF(ISNUMBER($E332),$E332,0)+IF(ISNUMBER(Parâmetros!$E$9),Parâmetros!$E$9,0))/(1-$H332-Parâmetros!$B$9-Parâmetros!$C$9-Parâmetros!$D$9)))</f>
        <v/>
      </c>
      <c r="J332" s="38"/>
      <c r="K332" s="39" t="str">
        <f aca="false">IF(OR($A332="",NOT(ISNUMBER($D332)),NOT(ISNUMBER($H332))),"",IF(AND(ISNUMBER($J332),$J332&gt;0),$J332,IF(ISNUMBER($I332),$I332,"")))</f>
        <v/>
      </c>
      <c r="L332" s="40" t="str">
        <f aca="false">IF(ISNUMBER($K332),$K332*$H332,"")</f>
        <v/>
      </c>
      <c r="M332" s="40" t="str">
        <f aca="false">IF(ISNUMBER($K332),$K332*Parâmetros!$B$9,"")</f>
        <v/>
      </c>
      <c r="N332" s="40" t="str">
        <f aca="false">IF(ISNUMBER($K332),$K332*Parâmetros!$C$9,"")</f>
        <v/>
      </c>
      <c r="O332" s="40" t="str">
        <f aca="false">IF(ISNUMBER($K332),IF(ISNUMBER(Parâmetros!$E$9),Parâmetros!$E$9,0),"")</f>
        <v/>
      </c>
      <c r="P332" s="41" t="str">
        <f aca="false">IF(ISNUMBER($K332),$K332-$D332-IF(ISNUMBER($E332),$E332,0)-$L332-$M332-$N332-$O332,"")</f>
        <v/>
      </c>
      <c r="Q332" s="42" t="str">
        <f aca="false">IF(AND(ISNUMBER($K332),$K332&gt;0),$P332/$K332,"")</f>
        <v/>
      </c>
      <c r="R332" s="43"/>
      <c r="S332" s="44" t="str">
        <f aca="false">IF(OR(NOT(ISNUMBER($R332)),$R332=0,NOT(ISNUMBER($K332))),"",$K332*(1-$R332))</f>
        <v/>
      </c>
      <c r="T332" s="45" t="str">
        <f aca="false">IF(ISNUMBER($S332),$S332*$H332,"")</f>
        <v/>
      </c>
      <c r="U332" s="45" t="str">
        <f aca="false">IF(ISNUMBER($S332),$S332*Parâmetros!$B$9,"")</f>
        <v/>
      </c>
      <c r="V332" s="45" t="str">
        <f aca="false">IF(ISNUMBER($S332),$S332*Parâmetros!$C$9,"")</f>
        <v/>
      </c>
      <c r="W332" s="44" t="str">
        <f aca="false">IF(ISNUMBER($S332),$S332-$D332-IF(ISNUMBER($E332),$E332,0)-$O332-$T332-$U332-$V332,"")</f>
        <v/>
      </c>
      <c r="X332" s="46" t="str">
        <f aca="false">IF(AND(ISNUMBER($S332),$S332&gt;0),$W332/$S332,"")</f>
        <v/>
      </c>
      <c r="Y332" s="47"/>
      <c r="Z332" s="19"/>
    </row>
    <row r="333" customFormat="false" ht="15.75" hidden="false" customHeight="true" outlineLevel="0" collapsed="false">
      <c r="A333" s="48" t="str">
        <f aca="false">IF(Produtos!$A333="","",Produtos!$A333)</f>
        <v/>
      </c>
      <c r="B333" s="48" t="str">
        <f aca="false">IF(Produtos!$A333="","",Produtos!$B333)</f>
        <v/>
      </c>
      <c r="C333" s="48" t="str">
        <f aca="false">IF(Produtos!$A333="","",Produtos!$C333)</f>
        <v/>
      </c>
      <c r="D333" s="33" t="str">
        <f aca="false">IF(Produtos!$A333="","",IF(Produtos!$D333="","",Produtos!$D333))</f>
        <v/>
      </c>
      <c r="E333" s="11"/>
      <c r="F333" s="34" t="str">
        <f aca="false">IF($A333="","",IF($C333="","⚠ categoria",IFERROR(INDEX(Parâmetros!$G$13:$G$22,MATCH($C333,Parâmetros!$A$13:$A$22,0)),"⚠ categoria")))</f>
        <v/>
      </c>
      <c r="G333" s="35"/>
      <c r="H333" s="36" t="str">
        <f aca="false">IF($A333="","",IF(ISNUMBER($G333),$G333,IF(ISNUMBER($F333),$F333,"")))</f>
        <v/>
      </c>
      <c r="I333" s="37" t="str">
        <f aca="false">IF(OR($A333="",NOT(ISNUMBER($D333)),NOT(ISNUMBER($H333))),"",IF((1-$H333-Parâmetros!$B$9-Parâmetros!$C$9-Parâmetros!$D$9)&lt;=0,"INVALIDO",($D333+IF(ISNUMBER($E333),$E333,0)+IF(ISNUMBER(Parâmetros!$E$9),Parâmetros!$E$9,0))/(1-$H333-Parâmetros!$B$9-Parâmetros!$C$9-Parâmetros!$D$9)))</f>
        <v/>
      </c>
      <c r="J333" s="38"/>
      <c r="K333" s="39" t="str">
        <f aca="false">IF(OR($A333="",NOT(ISNUMBER($D333)),NOT(ISNUMBER($H333))),"",IF(AND(ISNUMBER($J333),$J333&gt;0),$J333,IF(ISNUMBER($I333),$I333,"")))</f>
        <v/>
      </c>
      <c r="L333" s="40" t="str">
        <f aca="false">IF(ISNUMBER($K333),$K333*$H333,"")</f>
        <v/>
      </c>
      <c r="M333" s="40" t="str">
        <f aca="false">IF(ISNUMBER($K333),$K333*Parâmetros!$B$9,"")</f>
        <v/>
      </c>
      <c r="N333" s="40" t="str">
        <f aca="false">IF(ISNUMBER($K333),$K333*Parâmetros!$C$9,"")</f>
        <v/>
      </c>
      <c r="O333" s="40" t="str">
        <f aca="false">IF(ISNUMBER($K333),IF(ISNUMBER(Parâmetros!$E$9),Parâmetros!$E$9,0),"")</f>
        <v/>
      </c>
      <c r="P333" s="41" t="str">
        <f aca="false">IF(ISNUMBER($K333),$K333-$D333-IF(ISNUMBER($E333),$E333,0)-$L333-$M333-$N333-$O333,"")</f>
        <v/>
      </c>
      <c r="Q333" s="42" t="str">
        <f aca="false">IF(AND(ISNUMBER($K333),$K333&gt;0),$P333/$K333,"")</f>
        <v/>
      </c>
      <c r="R333" s="43"/>
      <c r="S333" s="44" t="str">
        <f aca="false">IF(OR(NOT(ISNUMBER($R333)),$R333=0,NOT(ISNUMBER($K333))),"",$K333*(1-$R333))</f>
        <v/>
      </c>
      <c r="T333" s="45" t="str">
        <f aca="false">IF(ISNUMBER($S333),$S333*$H333,"")</f>
        <v/>
      </c>
      <c r="U333" s="45" t="str">
        <f aca="false">IF(ISNUMBER($S333),$S333*Parâmetros!$B$9,"")</f>
        <v/>
      </c>
      <c r="V333" s="45" t="str">
        <f aca="false">IF(ISNUMBER($S333),$S333*Parâmetros!$C$9,"")</f>
        <v/>
      </c>
      <c r="W333" s="44" t="str">
        <f aca="false">IF(ISNUMBER($S333),$S333-$D333-IF(ISNUMBER($E333),$E333,0)-$O333-$T333-$U333-$V333,"")</f>
        <v/>
      </c>
      <c r="X333" s="46" t="str">
        <f aca="false">IF(AND(ISNUMBER($S333),$S333&gt;0),$W333/$S333,"")</f>
        <v/>
      </c>
      <c r="Y333" s="49"/>
      <c r="Z333" s="21"/>
    </row>
    <row r="334" customFormat="false" ht="15.75" hidden="false" customHeight="true" outlineLevel="0" collapsed="false">
      <c r="A334" s="32" t="str">
        <f aca="false">IF(Produtos!$A334="","",Produtos!$A334)</f>
        <v/>
      </c>
      <c r="B334" s="32" t="str">
        <f aca="false">IF(Produtos!$A334="","",Produtos!$B334)</f>
        <v/>
      </c>
      <c r="C334" s="32" t="str">
        <f aca="false">IF(Produtos!$A334="","",Produtos!$C334)</f>
        <v/>
      </c>
      <c r="D334" s="33" t="str">
        <f aca="false">IF(Produtos!$A334="","",IF(Produtos!$D334="","",Produtos!$D334))</f>
        <v/>
      </c>
      <c r="E334" s="11"/>
      <c r="F334" s="34" t="str">
        <f aca="false">IF($A334="","",IF($C334="","⚠ categoria",IFERROR(INDEX(Parâmetros!$G$13:$G$22,MATCH($C334,Parâmetros!$A$13:$A$22,0)),"⚠ categoria")))</f>
        <v/>
      </c>
      <c r="G334" s="35"/>
      <c r="H334" s="36" t="str">
        <f aca="false">IF($A334="","",IF(ISNUMBER($G334),$G334,IF(ISNUMBER($F334),$F334,"")))</f>
        <v/>
      </c>
      <c r="I334" s="37" t="str">
        <f aca="false">IF(OR($A334="",NOT(ISNUMBER($D334)),NOT(ISNUMBER($H334))),"",IF((1-$H334-Parâmetros!$B$9-Parâmetros!$C$9-Parâmetros!$D$9)&lt;=0,"INVALIDO",($D334+IF(ISNUMBER($E334),$E334,0)+IF(ISNUMBER(Parâmetros!$E$9),Parâmetros!$E$9,0))/(1-$H334-Parâmetros!$B$9-Parâmetros!$C$9-Parâmetros!$D$9)))</f>
        <v/>
      </c>
      <c r="J334" s="38"/>
      <c r="K334" s="39" t="str">
        <f aca="false">IF(OR($A334="",NOT(ISNUMBER($D334)),NOT(ISNUMBER($H334))),"",IF(AND(ISNUMBER($J334),$J334&gt;0),$J334,IF(ISNUMBER($I334),$I334,"")))</f>
        <v/>
      </c>
      <c r="L334" s="40" t="str">
        <f aca="false">IF(ISNUMBER($K334),$K334*$H334,"")</f>
        <v/>
      </c>
      <c r="M334" s="40" t="str">
        <f aca="false">IF(ISNUMBER($K334),$K334*Parâmetros!$B$9,"")</f>
        <v/>
      </c>
      <c r="N334" s="40" t="str">
        <f aca="false">IF(ISNUMBER($K334),$K334*Parâmetros!$C$9,"")</f>
        <v/>
      </c>
      <c r="O334" s="40" t="str">
        <f aca="false">IF(ISNUMBER($K334),IF(ISNUMBER(Parâmetros!$E$9),Parâmetros!$E$9,0),"")</f>
        <v/>
      </c>
      <c r="P334" s="41" t="str">
        <f aca="false">IF(ISNUMBER($K334),$K334-$D334-IF(ISNUMBER($E334),$E334,0)-$L334-$M334-$N334-$O334,"")</f>
        <v/>
      </c>
      <c r="Q334" s="42" t="str">
        <f aca="false">IF(AND(ISNUMBER($K334),$K334&gt;0),$P334/$K334,"")</f>
        <v/>
      </c>
      <c r="R334" s="43"/>
      <c r="S334" s="44" t="str">
        <f aca="false">IF(OR(NOT(ISNUMBER($R334)),$R334=0,NOT(ISNUMBER($K334))),"",$K334*(1-$R334))</f>
        <v/>
      </c>
      <c r="T334" s="45" t="str">
        <f aca="false">IF(ISNUMBER($S334),$S334*$H334,"")</f>
        <v/>
      </c>
      <c r="U334" s="45" t="str">
        <f aca="false">IF(ISNUMBER($S334),$S334*Parâmetros!$B$9,"")</f>
        <v/>
      </c>
      <c r="V334" s="45" t="str">
        <f aca="false">IF(ISNUMBER($S334),$S334*Parâmetros!$C$9,"")</f>
        <v/>
      </c>
      <c r="W334" s="44" t="str">
        <f aca="false">IF(ISNUMBER($S334),$S334-$D334-IF(ISNUMBER($E334),$E334,0)-$O334-$T334-$U334-$V334,"")</f>
        <v/>
      </c>
      <c r="X334" s="46" t="str">
        <f aca="false">IF(AND(ISNUMBER($S334),$S334&gt;0),$W334/$S334,"")</f>
        <v/>
      </c>
      <c r="Y334" s="47"/>
      <c r="Z334" s="19"/>
    </row>
    <row r="335" customFormat="false" ht="15.75" hidden="false" customHeight="true" outlineLevel="0" collapsed="false">
      <c r="A335" s="48" t="str">
        <f aca="false">IF(Produtos!$A335="","",Produtos!$A335)</f>
        <v/>
      </c>
      <c r="B335" s="48" t="str">
        <f aca="false">IF(Produtos!$A335="","",Produtos!$B335)</f>
        <v/>
      </c>
      <c r="C335" s="48" t="str">
        <f aca="false">IF(Produtos!$A335="","",Produtos!$C335)</f>
        <v/>
      </c>
      <c r="D335" s="33" t="str">
        <f aca="false">IF(Produtos!$A335="","",IF(Produtos!$D335="","",Produtos!$D335))</f>
        <v/>
      </c>
      <c r="E335" s="11"/>
      <c r="F335" s="34" t="str">
        <f aca="false">IF($A335="","",IF($C335="","⚠ categoria",IFERROR(INDEX(Parâmetros!$G$13:$G$22,MATCH($C335,Parâmetros!$A$13:$A$22,0)),"⚠ categoria")))</f>
        <v/>
      </c>
      <c r="G335" s="35"/>
      <c r="H335" s="36" t="str">
        <f aca="false">IF($A335="","",IF(ISNUMBER($G335),$G335,IF(ISNUMBER($F335),$F335,"")))</f>
        <v/>
      </c>
      <c r="I335" s="37" t="str">
        <f aca="false">IF(OR($A335="",NOT(ISNUMBER($D335)),NOT(ISNUMBER($H335))),"",IF((1-$H335-Parâmetros!$B$9-Parâmetros!$C$9-Parâmetros!$D$9)&lt;=0,"INVALIDO",($D335+IF(ISNUMBER($E335),$E335,0)+IF(ISNUMBER(Parâmetros!$E$9),Parâmetros!$E$9,0))/(1-$H335-Parâmetros!$B$9-Parâmetros!$C$9-Parâmetros!$D$9)))</f>
        <v/>
      </c>
      <c r="J335" s="38"/>
      <c r="K335" s="39" t="str">
        <f aca="false">IF(OR($A335="",NOT(ISNUMBER($D335)),NOT(ISNUMBER($H335))),"",IF(AND(ISNUMBER($J335),$J335&gt;0),$J335,IF(ISNUMBER($I335),$I335,"")))</f>
        <v/>
      </c>
      <c r="L335" s="40" t="str">
        <f aca="false">IF(ISNUMBER($K335),$K335*$H335,"")</f>
        <v/>
      </c>
      <c r="M335" s="40" t="str">
        <f aca="false">IF(ISNUMBER($K335),$K335*Parâmetros!$B$9,"")</f>
        <v/>
      </c>
      <c r="N335" s="40" t="str">
        <f aca="false">IF(ISNUMBER($K335),$K335*Parâmetros!$C$9,"")</f>
        <v/>
      </c>
      <c r="O335" s="40" t="str">
        <f aca="false">IF(ISNUMBER($K335),IF(ISNUMBER(Parâmetros!$E$9),Parâmetros!$E$9,0),"")</f>
        <v/>
      </c>
      <c r="P335" s="41" t="str">
        <f aca="false">IF(ISNUMBER($K335),$K335-$D335-IF(ISNUMBER($E335),$E335,0)-$L335-$M335-$N335-$O335,"")</f>
        <v/>
      </c>
      <c r="Q335" s="42" t="str">
        <f aca="false">IF(AND(ISNUMBER($K335),$K335&gt;0),$P335/$K335,"")</f>
        <v/>
      </c>
      <c r="R335" s="43"/>
      <c r="S335" s="44" t="str">
        <f aca="false">IF(OR(NOT(ISNUMBER($R335)),$R335=0,NOT(ISNUMBER($K335))),"",$K335*(1-$R335))</f>
        <v/>
      </c>
      <c r="T335" s="45" t="str">
        <f aca="false">IF(ISNUMBER($S335),$S335*$H335,"")</f>
        <v/>
      </c>
      <c r="U335" s="45" t="str">
        <f aca="false">IF(ISNUMBER($S335),$S335*Parâmetros!$B$9,"")</f>
        <v/>
      </c>
      <c r="V335" s="45" t="str">
        <f aca="false">IF(ISNUMBER($S335),$S335*Parâmetros!$C$9,"")</f>
        <v/>
      </c>
      <c r="W335" s="44" t="str">
        <f aca="false">IF(ISNUMBER($S335),$S335-$D335-IF(ISNUMBER($E335),$E335,0)-$O335-$T335-$U335-$V335,"")</f>
        <v/>
      </c>
      <c r="X335" s="46" t="str">
        <f aca="false">IF(AND(ISNUMBER($S335),$S335&gt;0),$W335/$S335,"")</f>
        <v/>
      </c>
      <c r="Y335" s="49"/>
      <c r="Z335" s="21"/>
    </row>
    <row r="336" customFormat="false" ht="15.75" hidden="false" customHeight="true" outlineLevel="0" collapsed="false">
      <c r="A336" s="32" t="str">
        <f aca="false">IF(Produtos!$A336="","",Produtos!$A336)</f>
        <v/>
      </c>
      <c r="B336" s="32" t="str">
        <f aca="false">IF(Produtos!$A336="","",Produtos!$B336)</f>
        <v/>
      </c>
      <c r="C336" s="32" t="str">
        <f aca="false">IF(Produtos!$A336="","",Produtos!$C336)</f>
        <v/>
      </c>
      <c r="D336" s="33" t="str">
        <f aca="false">IF(Produtos!$A336="","",IF(Produtos!$D336="","",Produtos!$D336))</f>
        <v/>
      </c>
      <c r="E336" s="11"/>
      <c r="F336" s="34" t="str">
        <f aca="false">IF($A336="","",IF($C336="","⚠ categoria",IFERROR(INDEX(Parâmetros!$G$13:$G$22,MATCH($C336,Parâmetros!$A$13:$A$22,0)),"⚠ categoria")))</f>
        <v/>
      </c>
      <c r="G336" s="35"/>
      <c r="H336" s="36" t="str">
        <f aca="false">IF($A336="","",IF(ISNUMBER($G336),$G336,IF(ISNUMBER($F336),$F336,"")))</f>
        <v/>
      </c>
      <c r="I336" s="37" t="str">
        <f aca="false">IF(OR($A336="",NOT(ISNUMBER($D336)),NOT(ISNUMBER($H336))),"",IF((1-$H336-Parâmetros!$B$9-Parâmetros!$C$9-Parâmetros!$D$9)&lt;=0,"INVALIDO",($D336+IF(ISNUMBER($E336),$E336,0)+IF(ISNUMBER(Parâmetros!$E$9),Parâmetros!$E$9,0))/(1-$H336-Parâmetros!$B$9-Parâmetros!$C$9-Parâmetros!$D$9)))</f>
        <v/>
      </c>
      <c r="J336" s="38"/>
      <c r="K336" s="39" t="str">
        <f aca="false">IF(OR($A336="",NOT(ISNUMBER($D336)),NOT(ISNUMBER($H336))),"",IF(AND(ISNUMBER($J336),$J336&gt;0),$J336,IF(ISNUMBER($I336),$I336,"")))</f>
        <v/>
      </c>
      <c r="L336" s="40" t="str">
        <f aca="false">IF(ISNUMBER($K336),$K336*$H336,"")</f>
        <v/>
      </c>
      <c r="M336" s="40" t="str">
        <f aca="false">IF(ISNUMBER($K336),$K336*Parâmetros!$B$9,"")</f>
        <v/>
      </c>
      <c r="N336" s="40" t="str">
        <f aca="false">IF(ISNUMBER($K336),$K336*Parâmetros!$C$9,"")</f>
        <v/>
      </c>
      <c r="O336" s="40" t="str">
        <f aca="false">IF(ISNUMBER($K336),IF(ISNUMBER(Parâmetros!$E$9),Parâmetros!$E$9,0),"")</f>
        <v/>
      </c>
      <c r="P336" s="41" t="str">
        <f aca="false">IF(ISNUMBER($K336),$K336-$D336-IF(ISNUMBER($E336),$E336,0)-$L336-$M336-$N336-$O336,"")</f>
        <v/>
      </c>
      <c r="Q336" s="42" t="str">
        <f aca="false">IF(AND(ISNUMBER($K336),$K336&gt;0),$P336/$K336,"")</f>
        <v/>
      </c>
      <c r="R336" s="43"/>
      <c r="S336" s="44" t="str">
        <f aca="false">IF(OR(NOT(ISNUMBER($R336)),$R336=0,NOT(ISNUMBER($K336))),"",$K336*(1-$R336))</f>
        <v/>
      </c>
      <c r="T336" s="45" t="str">
        <f aca="false">IF(ISNUMBER($S336),$S336*$H336,"")</f>
        <v/>
      </c>
      <c r="U336" s="45" t="str">
        <f aca="false">IF(ISNUMBER($S336),$S336*Parâmetros!$B$9,"")</f>
        <v/>
      </c>
      <c r="V336" s="45" t="str">
        <f aca="false">IF(ISNUMBER($S336),$S336*Parâmetros!$C$9,"")</f>
        <v/>
      </c>
      <c r="W336" s="44" t="str">
        <f aca="false">IF(ISNUMBER($S336),$S336-$D336-IF(ISNUMBER($E336),$E336,0)-$O336-$T336-$U336-$V336,"")</f>
        <v/>
      </c>
      <c r="X336" s="46" t="str">
        <f aca="false">IF(AND(ISNUMBER($S336),$S336&gt;0),$W336/$S336,"")</f>
        <v/>
      </c>
      <c r="Y336" s="47"/>
      <c r="Z336" s="19"/>
    </row>
    <row r="337" customFormat="false" ht="15.75" hidden="false" customHeight="true" outlineLevel="0" collapsed="false">
      <c r="A337" s="48" t="str">
        <f aca="false">IF(Produtos!$A337="","",Produtos!$A337)</f>
        <v/>
      </c>
      <c r="B337" s="48" t="str">
        <f aca="false">IF(Produtos!$A337="","",Produtos!$B337)</f>
        <v/>
      </c>
      <c r="C337" s="48" t="str">
        <f aca="false">IF(Produtos!$A337="","",Produtos!$C337)</f>
        <v/>
      </c>
      <c r="D337" s="33" t="str">
        <f aca="false">IF(Produtos!$A337="","",IF(Produtos!$D337="","",Produtos!$D337))</f>
        <v/>
      </c>
      <c r="E337" s="11"/>
      <c r="F337" s="34" t="str">
        <f aca="false">IF($A337="","",IF($C337="","⚠ categoria",IFERROR(INDEX(Parâmetros!$G$13:$G$22,MATCH($C337,Parâmetros!$A$13:$A$22,0)),"⚠ categoria")))</f>
        <v/>
      </c>
      <c r="G337" s="35"/>
      <c r="H337" s="36" t="str">
        <f aca="false">IF($A337="","",IF(ISNUMBER($G337),$G337,IF(ISNUMBER($F337),$F337,"")))</f>
        <v/>
      </c>
      <c r="I337" s="37" t="str">
        <f aca="false">IF(OR($A337="",NOT(ISNUMBER($D337)),NOT(ISNUMBER($H337))),"",IF((1-$H337-Parâmetros!$B$9-Parâmetros!$C$9-Parâmetros!$D$9)&lt;=0,"INVALIDO",($D337+IF(ISNUMBER($E337),$E337,0)+IF(ISNUMBER(Parâmetros!$E$9),Parâmetros!$E$9,0))/(1-$H337-Parâmetros!$B$9-Parâmetros!$C$9-Parâmetros!$D$9)))</f>
        <v/>
      </c>
      <c r="J337" s="38"/>
      <c r="K337" s="39" t="str">
        <f aca="false">IF(OR($A337="",NOT(ISNUMBER($D337)),NOT(ISNUMBER($H337))),"",IF(AND(ISNUMBER($J337),$J337&gt;0),$J337,IF(ISNUMBER($I337),$I337,"")))</f>
        <v/>
      </c>
      <c r="L337" s="40" t="str">
        <f aca="false">IF(ISNUMBER($K337),$K337*$H337,"")</f>
        <v/>
      </c>
      <c r="M337" s="40" t="str">
        <f aca="false">IF(ISNUMBER($K337),$K337*Parâmetros!$B$9,"")</f>
        <v/>
      </c>
      <c r="N337" s="40" t="str">
        <f aca="false">IF(ISNUMBER($K337),$K337*Parâmetros!$C$9,"")</f>
        <v/>
      </c>
      <c r="O337" s="40" t="str">
        <f aca="false">IF(ISNUMBER($K337),IF(ISNUMBER(Parâmetros!$E$9),Parâmetros!$E$9,0),"")</f>
        <v/>
      </c>
      <c r="P337" s="41" t="str">
        <f aca="false">IF(ISNUMBER($K337),$K337-$D337-IF(ISNUMBER($E337),$E337,0)-$L337-$M337-$N337-$O337,"")</f>
        <v/>
      </c>
      <c r="Q337" s="42" t="str">
        <f aca="false">IF(AND(ISNUMBER($K337),$K337&gt;0),$P337/$K337,"")</f>
        <v/>
      </c>
      <c r="R337" s="43"/>
      <c r="S337" s="44" t="str">
        <f aca="false">IF(OR(NOT(ISNUMBER($R337)),$R337=0,NOT(ISNUMBER($K337))),"",$K337*(1-$R337))</f>
        <v/>
      </c>
      <c r="T337" s="45" t="str">
        <f aca="false">IF(ISNUMBER($S337),$S337*$H337,"")</f>
        <v/>
      </c>
      <c r="U337" s="45" t="str">
        <f aca="false">IF(ISNUMBER($S337),$S337*Parâmetros!$B$9,"")</f>
        <v/>
      </c>
      <c r="V337" s="45" t="str">
        <f aca="false">IF(ISNUMBER($S337),$S337*Parâmetros!$C$9,"")</f>
        <v/>
      </c>
      <c r="W337" s="44" t="str">
        <f aca="false">IF(ISNUMBER($S337),$S337-$D337-IF(ISNUMBER($E337),$E337,0)-$O337-$T337-$U337-$V337,"")</f>
        <v/>
      </c>
      <c r="X337" s="46" t="str">
        <f aca="false">IF(AND(ISNUMBER($S337),$S337&gt;0),$W337/$S337,"")</f>
        <v/>
      </c>
      <c r="Y337" s="49"/>
      <c r="Z337" s="21"/>
    </row>
    <row r="338" customFormat="false" ht="15.75" hidden="false" customHeight="true" outlineLevel="0" collapsed="false">
      <c r="A338" s="32" t="str">
        <f aca="false">IF(Produtos!$A338="","",Produtos!$A338)</f>
        <v/>
      </c>
      <c r="B338" s="32" t="str">
        <f aca="false">IF(Produtos!$A338="","",Produtos!$B338)</f>
        <v/>
      </c>
      <c r="C338" s="32" t="str">
        <f aca="false">IF(Produtos!$A338="","",Produtos!$C338)</f>
        <v/>
      </c>
      <c r="D338" s="33" t="str">
        <f aca="false">IF(Produtos!$A338="","",IF(Produtos!$D338="","",Produtos!$D338))</f>
        <v/>
      </c>
      <c r="E338" s="11"/>
      <c r="F338" s="34" t="str">
        <f aca="false">IF($A338="","",IF($C338="","⚠ categoria",IFERROR(INDEX(Parâmetros!$G$13:$G$22,MATCH($C338,Parâmetros!$A$13:$A$22,0)),"⚠ categoria")))</f>
        <v/>
      </c>
      <c r="G338" s="35"/>
      <c r="H338" s="36" t="str">
        <f aca="false">IF($A338="","",IF(ISNUMBER($G338),$G338,IF(ISNUMBER($F338),$F338,"")))</f>
        <v/>
      </c>
      <c r="I338" s="37" t="str">
        <f aca="false">IF(OR($A338="",NOT(ISNUMBER($D338)),NOT(ISNUMBER($H338))),"",IF((1-$H338-Parâmetros!$B$9-Parâmetros!$C$9-Parâmetros!$D$9)&lt;=0,"INVALIDO",($D338+IF(ISNUMBER($E338),$E338,0)+IF(ISNUMBER(Parâmetros!$E$9),Parâmetros!$E$9,0))/(1-$H338-Parâmetros!$B$9-Parâmetros!$C$9-Parâmetros!$D$9)))</f>
        <v/>
      </c>
      <c r="J338" s="38"/>
      <c r="K338" s="39" t="str">
        <f aca="false">IF(OR($A338="",NOT(ISNUMBER($D338)),NOT(ISNUMBER($H338))),"",IF(AND(ISNUMBER($J338),$J338&gt;0),$J338,IF(ISNUMBER($I338),$I338,"")))</f>
        <v/>
      </c>
      <c r="L338" s="40" t="str">
        <f aca="false">IF(ISNUMBER($K338),$K338*$H338,"")</f>
        <v/>
      </c>
      <c r="M338" s="40" t="str">
        <f aca="false">IF(ISNUMBER($K338),$K338*Parâmetros!$B$9,"")</f>
        <v/>
      </c>
      <c r="N338" s="40" t="str">
        <f aca="false">IF(ISNUMBER($K338),$K338*Parâmetros!$C$9,"")</f>
        <v/>
      </c>
      <c r="O338" s="40" t="str">
        <f aca="false">IF(ISNUMBER($K338),IF(ISNUMBER(Parâmetros!$E$9),Parâmetros!$E$9,0),"")</f>
        <v/>
      </c>
      <c r="P338" s="41" t="str">
        <f aca="false">IF(ISNUMBER($K338),$K338-$D338-IF(ISNUMBER($E338),$E338,0)-$L338-$M338-$N338-$O338,"")</f>
        <v/>
      </c>
      <c r="Q338" s="42" t="str">
        <f aca="false">IF(AND(ISNUMBER($K338),$K338&gt;0),$P338/$K338,"")</f>
        <v/>
      </c>
      <c r="R338" s="43"/>
      <c r="S338" s="44" t="str">
        <f aca="false">IF(OR(NOT(ISNUMBER($R338)),$R338=0,NOT(ISNUMBER($K338))),"",$K338*(1-$R338))</f>
        <v/>
      </c>
      <c r="T338" s="45" t="str">
        <f aca="false">IF(ISNUMBER($S338),$S338*$H338,"")</f>
        <v/>
      </c>
      <c r="U338" s="45" t="str">
        <f aca="false">IF(ISNUMBER($S338),$S338*Parâmetros!$B$9,"")</f>
        <v/>
      </c>
      <c r="V338" s="45" t="str">
        <f aca="false">IF(ISNUMBER($S338),$S338*Parâmetros!$C$9,"")</f>
        <v/>
      </c>
      <c r="W338" s="44" t="str">
        <f aca="false">IF(ISNUMBER($S338),$S338-$D338-IF(ISNUMBER($E338),$E338,0)-$O338-$T338-$U338-$V338,"")</f>
        <v/>
      </c>
      <c r="X338" s="46" t="str">
        <f aca="false">IF(AND(ISNUMBER($S338),$S338&gt;0),$W338/$S338,"")</f>
        <v/>
      </c>
      <c r="Y338" s="47"/>
      <c r="Z338" s="19"/>
    </row>
    <row r="339" customFormat="false" ht="15.75" hidden="false" customHeight="true" outlineLevel="0" collapsed="false">
      <c r="A339" s="48" t="str">
        <f aca="false">IF(Produtos!$A339="","",Produtos!$A339)</f>
        <v/>
      </c>
      <c r="B339" s="48" t="str">
        <f aca="false">IF(Produtos!$A339="","",Produtos!$B339)</f>
        <v/>
      </c>
      <c r="C339" s="48" t="str">
        <f aca="false">IF(Produtos!$A339="","",Produtos!$C339)</f>
        <v/>
      </c>
      <c r="D339" s="33" t="str">
        <f aca="false">IF(Produtos!$A339="","",IF(Produtos!$D339="","",Produtos!$D339))</f>
        <v/>
      </c>
      <c r="E339" s="11"/>
      <c r="F339" s="34" t="str">
        <f aca="false">IF($A339="","",IF($C339="","⚠ categoria",IFERROR(INDEX(Parâmetros!$G$13:$G$22,MATCH($C339,Parâmetros!$A$13:$A$22,0)),"⚠ categoria")))</f>
        <v/>
      </c>
      <c r="G339" s="35"/>
      <c r="H339" s="36" t="str">
        <f aca="false">IF($A339="","",IF(ISNUMBER($G339),$G339,IF(ISNUMBER($F339),$F339,"")))</f>
        <v/>
      </c>
      <c r="I339" s="37" t="str">
        <f aca="false">IF(OR($A339="",NOT(ISNUMBER($D339)),NOT(ISNUMBER($H339))),"",IF((1-$H339-Parâmetros!$B$9-Parâmetros!$C$9-Parâmetros!$D$9)&lt;=0,"INVALIDO",($D339+IF(ISNUMBER($E339),$E339,0)+IF(ISNUMBER(Parâmetros!$E$9),Parâmetros!$E$9,0))/(1-$H339-Parâmetros!$B$9-Parâmetros!$C$9-Parâmetros!$D$9)))</f>
        <v/>
      </c>
      <c r="J339" s="38"/>
      <c r="K339" s="39" t="str">
        <f aca="false">IF(OR($A339="",NOT(ISNUMBER($D339)),NOT(ISNUMBER($H339))),"",IF(AND(ISNUMBER($J339),$J339&gt;0),$J339,IF(ISNUMBER($I339),$I339,"")))</f>
        <v/>
      </c>
      <c r="L339" s="40" t="str">
        <f aca="false">IF(ISNUMBER($K339),$K339*$H339,"")</f>
        <v/>
      </c>
      <c r="M339" s="40" t="str">
        <f aca="false">IF(ISNUMBER($K339),$K339*Parâmetros!$B$9,"")</f>
        <v/>
      </c>
      <c r="N339" s="40" t="str">
        <f aca="false">IF(ISNUMBER($K339),$K339*Parâmetros!$C$9,"")</f>
        <v/>
      </c>
      <c r="O339" s="40" t="str">
        <f aca="false">IF(ISNUMBER($K339),IF(ISNUMBER(Parâmetros!$E$9),Parâmetros!$E$9,0),"")</f>
        <v/>
      </c>
      <c r="P339" s="41" t="str">
        <f aca="false">IF(ISNUMBER($K339),$K339-$D339-IF(ISNUMBER($E339),$E339,0)-$L339-$M339-$N339-$O339,"")</f>
        <v/>
      </c>
      <c r="Q339" s="42" t="str">
        <f aca="false">IF(AND(ISNUMBER($K339),$K339&gt;0),$P339/$K339,"")</f>
        <v/>
      </c>
      <c r="R339" s="43"/>
      <c r="S339" s="44" t="str">
        <f aca="false">IF(OR(NOT(ISNUMBER($R339)),$R339=0,NOT(ISNUMBER($K339))),"",$K339*(1-$R339))</f>
        <v/>
      </c>
      <c r="T339" s="45" t="str">
        <f aca="false">IF(ISNUMBER($S339),$S339*$H339,"")</f>
        <v/>
      </c>
      <c r="U339" s="45" t="str">
        <f aca="false">IF(ISNUMBER($S339),$S339*Parâmetros!$B$9,"")</f>
        <v/>
      </c>
      <c r="V339" s="45" t="str">
        <f aca="false">IF(ISNUMBER($S339),$S339*Parâmetros!$C$9,"")</f>
        <v/>
      </c>
      <c r="W339" s="44" t="str">
        <f aca="false">IF(ISNUMBER($S339),$S339-$D339-IF(ISNUMBER($E339),$E339,0)-$O339-$T339-$U339-$V339,"")</f>
        <v/>
      </c>
      <c r="X339" s="46" t="str">
        <f aca="false">IF(AND(ISNUMBER($S339),$S339&gt;0),$W339/$S339,"")</f>
        <v/>
      </c>
      <c r="Y339" s="49"/>
      <c r="Z339" s="21"/>
    </row>
    <row r="340" customFormat="false" ht="15.75" hidden="false" customHeight="true" outlineLevel="0" collapsed="false">
      <c r="A340" s="32" t="str">
        <f aca="false">IF(Produtos!$A340="","",Produtos!$A340)</f>
        <v/>
      </c>
      <c r="B340" s="32" t="str">
        <f aca="false">IF(Produtos!$A340="","",Produtos!$B340)</f>
        <v/>
      </c>
      <c r="C340" s="32" t="str">
        <f aca="false">IF(Produtos!$A340="","",Produtos!$C340)</f>
        <v/>
      </c>
      <c r="D340" s="33" t="str">
        <f aca="false">IF(Produtos!$A340="","",IF(Produtos!$D340="","",Produtos!$D340))</f>
        <v/>
      </c>
      <c r="E340" s="11"/>
      <c r="F340" s="34" t="str">
        <f aca="false">IF($A340="","",IF($C340="","⚠ categoria",IFERROR(INDEX(Parâmetros!$G$13:$G$22,MATCH($C340,Parâmetros!$A$13:$A$22,0)),"⚠ categoria")))</f>
        <v/>
      </c>
      <c r="G340" s="35"/>
      <c r="H340" s="36" t="str">
        <f aca="false">IF($A340="","",IF(ISNUMBER($G340),$G340,IF(ISNUMBER($F340),$F340,"")))</f>
        <v/>
      </c>
      <c r="I340" s="37" t="str">
        <f aca="false">IF(OR($A340="",NOT(ISNUMBER($D340)),NOT(ISNUMBER($H340))),"",IF((1-$H340-Parâmetros!$B$9-Parâmetros!$C$9-Parâmetros!$D$9)&lt;=0,"INVALIDO",($D340+IF(ISNUMBER($E340),$E340,0)+IF(ISNUMBER(Parâmetros!$E$9),Parâmetros!$E$9,0))/(1-$H340-Parâmetros!$B$9-Parâmetros!$C$9-Parâmetros!$D$9)))</f>
        <v/>
      </c>
      <c r="J340" s="38"/>
      <c r="K340" s="39" t="str">
        <f aca="false">IF(OR($A340="",NOT(ISNUMBER($D340)),NOT(ISNUMBER($H340))),"",IF(AND(ISNUMBER($J340),$J340&gt;0),$J340,IF(ISNUMBER($I340),$I340,"")))</f>
        <v/>
      </c>
      <c r="L340" s="40" t="str">
        <f aca="false">IF(ISNUMBER($K340),$K340*$H340,"")</f>
        <v/>
      </c>
      <c r="M340" s="40" t="str">
        <f aca="false">IF(ISNUMBER($K340),$K340*Parâmetros!$B$9,"")</f>
        <v/>
      </c>
      <c r="N340" s="40" t="str">
        <f aca="false">IF(ISNUMBER($K340),$K340*Parâmetros!$C$9,"")</f>
        <v/>
      </c>
      <c r="O340" s="40" t="str">
        <f aca="false">IF(ISNUMBER($K340),IF(ISNUMBER(Parâmetros!$E$9),Parâmetros!$E$9,0),"")</f>
        <v/>
      </c>
      <c r="P340" s="41" t="str">
        <f aca="false">IF(ISNUMBER($K340),$K340-$D340-IF(ISNUMBER($E340),$E340,0)-$L340-$M340-$N340-$O340,"")</f>
        <v/>
      </c>
      <c r="Q340" s="42" t="str">
        <f aca="false">IF(AND(ISNUMBER($K340),$K340&gt;0),$P340/$K340,"")</f>
        <v/>
      </c>
      <c r="R340" s="43"/>
      <c r="S340" s="44" t="str">
        <f aca="false">IF(OR(NOT(ISNUMBER($R340)),$R340=0,NOT(ISNUMBER($K340))),"",$K340*(1-$R340))</f>
        <v/>
      </c>
      <c r="T340" s="45" t="str">
        <f aca="false">IF(ISNUMBER($S340),$S340*$H340,"")</f>
        <v/>
      </c>
      <c r="U340" s="45" t="str">
        <f aca="false">IF(ISNUMBER($S340),$S340*Parâmetros!$B$9,"")</f>
        <v/>
      </c>
      <c r="V340" s="45" t="str">
        <f aca="false">IF(ISNUMBER($S340),$S340*Parâmetros!$C$9,"")</f>
        <v/>
      </c>
      <c r="W340" s="44" t="str">
        <f aca="false">IF(ISNUMBER($S340),$S340-$D340-IF(ISNUMBER($E340),$E340,0)-$O340-$T340-$U340-$V340,"")</f>
        <v/>
      </c>
      <c r="X340" s="46" t="str">
        <f aca="false">IF(AND(ISNUMBER($S340),$S340&gt;0),$W340/$S340,"")</f>
        <v/>
      </c>
      <c r="Y340" s="47"/>
      <c r="Z340" s="19"/>
    </row>
    <row r="341" customFormat="false" ht="15.75" hidden="false" customHeight="true" outlineLevel="0" collapsed="false">
      <c r="A341" s="48" t="str">
        <f aca="false">IF(Produtos!$A341="","",Produtos!$A341)</f>
        <v/>
      </c>
      <c r="B341" s="48" t="str">
        <f aca="false">IF(Produtos!$A341="","",Produtos!$B341)</f>
        <v/>
      </c>
      <c r="C341" s="48" t="str">
        <f aca="false">IF(Produtos!$A341="","",Produtos!$C341)</f>
        <v/>
      </c>
      <c r="D341" s="33" t="str">
        <f aca="false">IF(Produtos!$A341="","",IF(Produtos!$D341="","",Produtos!$D341))</f>
        <v/>
      </c>
      <c r="E341" s="11"/>
      <c r="F341" s="34" t="str">
        <f aca="false">IF($A341="","",IF($C341="","⚠ categoria",IFERROR(INDEX(Parâmetros!$G$13:$G$22,MATCH($C341,Parâmetros!$A$13:$A$22,0)),"⚠ categoria")))</f>
        <v/>
      </c>
      <c r="G341" s="35"/>
      <c r="H341" s="36" t="str">
        <f aca="false">IF($A341="","",IF(ISNUMBER($G341),$G341,IF(ISNUMBER($F341),$F341,"")))</f>
        <v/>
      </c>
      <c r="I341" s="37" t="str">
        <f aca="false">IF(OR($A341="",NOT(ISNUMBER($D341)),NOT(ISNUMBER($H341))),"",IF((1-$H341-Parâmetros!$B$9-Parâmetros!$C$9-Parâmetros!$D$9)&lt;=0,"INVALIDO",($D341+IF(ISNUMBER($E341),$E341,0)+IF(ISNUMBER(Parâmetros!$E$9),Parâmetros!$E$9,0))/(1-$H341-Parâmetros!$B$9-Parâmetros!$C$9-Parâmetros!$D$9)))</f>
        <v/>
      </c>
      <c r="J341" s="38"/>
      <c r="K341" s="39" t="str">
        <f aca="false">IF(OR($A341="",NOT(ISNUMBER($D341)),NOT(ISNUMBER($H341))),"",IF(AND(ISNUMBER($J341),$J341&gt;0),$J341,IF(ISNUMBER($I341),$I341,"")))</f>
        <v/>
      </c>
      <c r="L341" s="40" t="str">
        <f aca="false">IF(ISNUMBER($K341),$K341*$H341,"")</f>
        <v/>
      </c>
      <c r="M341" s="40" t="str">
        <f aca="false">IF(ISNUMBER($K341),$K341*Parâmetros!$B$9,"")</f>
        <v/>
      </c>
      <c r="N341" s="40" t="str">
        <f aca="false">IF(ISNUMBER($K341),$K341*Parâmetros!$C$9,"")</f>
        <v/>
      </c>
      <c r="O341" s="40" t="str">
        <f aca="false">IF(ISNUMBER($K341),IF(ISNUMBER(Parâmetros!$E$9),Parâmetros!$E$9,0),"")</f>
        <v/>
      </c>
      <c r="P341" s="41" t="str">
        <f aca="false">IF(ISNUMBER($K341),$K341-$D341-IF(ISNUMBER($E341),$E341,0)-$L341-$M341-$N341-$O341,"")</f>
        <v/>
      </c>
      <c r="Q341" s="42" t="str">
        <f aca="false">IF(AND(ISNUMBER($K341),$K341&gt;0),$P341/$K341,"")</f>
        <v/>
      </c>
      <c r="R341" s="43"/>
      <c r="S341" s="44" t="str">
        <f aca="false">IF(OR(NOT(ISNUMBER($R341)),$R341=0,NOT(ISNUMBER($K341))),"",$K341*(1-$R341))</f>
        <v/>
      </c>
      <c r="T341" s="45" t="str">
        <f aca="false">IF(ISNUMBER($S341),$S341*$H341,"")</f>
        <v/>
      </c>
      <c r="U341" s="45" t="str">
        <f aca="false">IF(ISNUMBER($S341),$S341*Parâmetros!$B$9,"")</f>
        <v/>
      </c>
      <c r="V341" s="45" t="str">
        <f aca="false">IF(ISNUMBER($S341),$S341*Parâmetros!$C$9,"")</f>
        <v/>
      </c>
      <c r="W341" s="44" t="str">
        <f aca="false">IF(ISNUMBER($S341),$S341-$D341-IF(ISNUMBER($E341),$E341,0)-$O341-$T341-$U341-$V341,"")</f>
        <v/>
      </c>
      <c r="X341" s="46" t="str">
        <f aca="false">IF(AND(ISNUMBER($S341),$S341&gt;0),$W341/$S341,"")</f>
        <v/>
      </c>
      <c r="Y341" s="49"/>
      <c r="Z341" s="21"/>
    </row>
    <row r="342" customFormat="false" ht="15.75" hidden="false" customHeight="true" outlineLevel="0" collapsed="false">
      <c r="A342" s="32" t="str">
        <f aca="false">IF(Produtos!$A342="","",Produtos!$A342)</f>
        <v/>
      </c>
      <c r="B342" s="32" t="str">
        <f aca="false">IF(Produtos!$A342="","",Produtos!$B342)</f>
        <v/>
      </c>
      <c r="C342" s="32" t="str">
        <f aca="false">IF(Produtos!$A342="","",Produtos!$C342)</f>
        <v/>
      </c>
      <c r="D342" s="33" t="str">
        <f aca="false">IF(Produtos!$A342="","",IF(Produtos!$D342="","",Produtos!$D342))</f>
        <v/>
      </c>
      <c r="E342" s="11"/>
      <c r="F342" s="34" t="str">
        <f aca="false">IF($A342="","",IF($C342="","⚠ categoria",IFERROR(INDEX(Parâmetros!$G$13:$G$22,MATCH($C342,Parâmetros!$A$13:$A$22,0)),"⚠ categoria")))</f>
        <v/>
      </c>
      <c r="G342" s="35"/>
      <c r="H342" s="36" t="str">
        <f aca="false">IF($A342="","",IF(ISNUMBER($G342),$G342,IF(ISNUMBER($F342),$F342,"")))</f>
        <v/>
      </c>
      <c r="I342" s="37" t="str">
        <f aca="false">IF(OR($A342="",NOT(ISNUMBER($D342)),NOT(ISNUMBER($H342))),"",IF((1-$H342-Parâmetros!$B$9-Parâmetros!$C$9-Parâmetros!$D$9)&lt;=0,"INVALIDO",($D342+IF(ISNUMBER($E342),$E342,0)+IF(ISNUMBER(Parâmetros!$E$9),Parâmetros!$E$9,0))/(1-$H342-Parâmetros!$B$9-Parâmetros!$C$9-Parâmetros!$D$9)))</f>
        <v/>
      </c>
      <c r="J342" s="38"/>
      <c r="K342" s="39" t="str">
        <f aca="false">IF(OR($A342="",NOT(ISNUMBER($D342)),NOT(ISNUMBER($H342))),"",IF(AND(ISNUMBER($J342),$J342&gt;0),$J342,IF(ISNUMBER($I342),$I342,"")))</f>
        <v/>
      </c>
      <c r="L342" s="40" t="str">
        <f aca="false">IF(ISNUMBER($K342),$K342*$H342,"")</f>
        <v/>
      </c>
      <c r="M342" s="40" t="str">
        <f aca="false">IF(ISNUMBER($K342),$K342*Parâmetros!$B$9,"")</f>
        <v/>
      </c>
      <c r="N342" s="40" t="str">
        <f aca="false">IF(ISNUMBER($K342),$K342*Parâmetros!$C$9,"")</f>
        <v/>
      </c>
      <c r="O342" s="40" t="str">
        <f aca="false">IF(ISNUMBER($K342),IF(ISNUMBER(Parâmetros!$E$9),Parâmetros!$E$9,0),"")</f>
        <v/>
      </c>
      <c r="P342" s="41" t="str">
        <f aca="false">IF(ISNUMBER($K342),$K342-$D342-IF(ISNUMBER($E342),$E342,0)-$L342-$M342-$N342-$O342,"")</f>
        <v/>
      </c>
      <c r="Q342" s="42" t="str">
        <f aca="false">IF(AND(ISNUMBER($K342),$K342&gt;0),$P342/$K342,"")</f>
        <v/>
      </c>
      <c r="R342" s="43"/>
      <c r="S342" s="44" t="str">
        <f aca="false">IF(OR(NOT(ISNUMBER($R342)),$R342=0,NOT(ISNUMBER($K342))),"",$K342*(1-$R342))</f>
        <v/>
      </c>
      <c r="T342" s="45" t="str">
        <f aca="false">IF(ISNUMBER($S342),$S342*$H342,"")</f>
        <v/>
      </c>
      <c r="U342" s="45" t="str">
        <f aca="false">IF(ISNUMBER($S342),$S342*Parâmetros!$B$9,"")</f>
        <v/>
      </c>
      <c r="V342" s="45" t="str">
        <f aca="false">IF(ISNUMBER($S342),$S342*Parâmetros!$C$9,"")</f>
        <v/>
      </c>
      <c r="W342" s="44" t="str">
        <f aca="false">IF(ISNUMBER($S342),$S342-$D342-IF(ISNUMBER($E342),$E342,0)-$O342-$T342-$U342-$V342,"")</f>
        <v/>
      </c>
      <c r="X342" s="46" t="str">
        <f aca="false">IF(AND(ISNUMBER($S342),$S342&gt;0),$W342/$S342,"")</f>
        <v/>
      </c>
      <c r="Y342" s="47"/>
      <c r="Z342" s="19"/>
    </row>
    <row r="343" customFormat="false" ht="15.75" hidden="false" customHeight="true" outlineLevel="0" collapsed="false">
      <c r="A343" s="48" t="str">
        <f aca="false">IF(Produtos!$A343="","",Produtos!$A343)</f>
        <v/>
      </c>
      <c r="B343" s="48" t="str">
        <f aca="false">IF(Produtos!$A343="","",Produtos!$B343)</f>
        <v/>
      </c>
      <c r="C343" s="48" t="str">
        <f aca="false">IF(Produtos!$A343="","",Produtos!$C343)</f>
        <v/>
      </c>
      <c r="D343" s="33" t="str">
        <f aca="false">IF(Produtos!$A343="","",IF(Produtos!$D343="","",Produtos!$D343))</f>
        <v/>
      </c>
      <c r="E343" s="11"/>
      <c r="F343" s="34" t="str">
        <f aca="false">IF($A343="","",IF($C343="","⚠ categoria",IFERROR(INDEX(Parâmetros!$G$13:$G$22,MATCH($C343,Parâmetros!$A$13:$A$22,0)),"⚠ categoria")))</f>
        <v/>
      </c>
      <c r="G343" s="35"/>
      <c r="H343" s="36" t="str">
        <f aca="false">IF($A343="","",IF(ISNUMBER($G343),$G343,IF(ISNUMBER($F343),$F343,"")))</f>
        <v/>
      </c>
      <c r="I343" s="37" t="str">
        <f aca="false">IF(OR($A343="",NOT(ISNUMBER($D343)),NOT(ISNUMBER($H343))),"",IF((1-$H343-Parâmetros!$B$9-Parâmetros!$C$9-Parâmetros!$D$9)&lt;=0,"INVALIDO",($D343+IF(ISNUMBER($E343),$E343,0)+IF(ISNUMBER(Parâmetros!$E$9),Parâmetros!$E$9,0))/(1-$H343-Parâmetros!$B$9-Parâmetros!$C$9-Parâmetros!$D$9)))</f>
        <v/>
      </c>
      <c r="J343" s="38"/>
      <c r="K343" s="39" t="str">
        <f aca="false">IF(OR($A343="",NOT(ISNUMBER($D343)),NOT(ISNUMBER($H343))),"",IF(AND(ISNUMBER($J343),$J343&gt;0),$J343,IF(ISNUMBER($I343),$I343,"")))</f>
        <v/>
      </c>
      <c r="L343" s="40" t="str">
        <f aca="false">IF(ISNUMBER($K343),$K343*$H343,"")</f>
        <v/>
      </c>
      <c r="M343" s="40" t="str">
        <f aca="false">IF(ISNUMBER($K343),$K343*Parâmetros!$B$9,"")</f>
        <v/>
      </c>
      <c r="N343" s="40" t="str">
        <f aca="false">IF(ISNUMBER($K343),$K343*Parâmetros!$C$9,"")</f>
        <v/>
      </c>
      <c r="O343" s="40" t="str">
        <f aca="false">IF(ISNUMBER($K343),IF(ISNUMBER(Parâmetros!$E$9),Parâmetros!$E$9,0),"")</f>
        <v/>
      </c>
      <c r="P343" s="41" t="str">
        <f aca="false">IF(ISNUMBER($K343),$K343-$D343-IF(ISNUMBER($E343),$E343,0)-$L343-$M343-$N343-$O343,"")</f>
        <v/>
      </c>
      <c r="Q343" s="42" t="str">
        <f aca="false">IF(AND(ISNUMBER($K343),$K343&gt;0),$P343/$K343,"")</f>
        <v/>
      </c>
      <c r="R343" s="43"/>
      <c r="S343" s="44" t="str">
        <f aca="false">IF(OR(NOT(ISNUMBER($R343)),$R343=0,NOT(ISNUMBER($K343))),"",$K343*(1-$R343))</f>
        <v/>
      </c>
      <c r="T343" s="45" t="str">
        <f aca="false">IF(ISNUMBER($S343),$S343*$H343,"")</f>
        <v/>
      </c>
      <c r="U343" s="45" t="str">
        <f aca="false">IF(ISNUMBER($S343),$S343*Parâmetros!$B$9,"")</f>
        <v/>
      </c>
      <c r="V343" s="45" t="str">
        <f aca="false">IF(ISNUMBER($S343),$S343*Parâmetros!$C$9,"")</f>
        <v/>
      </c>
      <c r="W343" s="44" t="str">
        <f aca="false">IF(ISNUMBER($S343),$S343-$D343-IF(ISNUMBER($E343),$E343,0)-$O343-$T343-$U343-$V343,"")</f>
        <v/>
      </c>
      <c r="X343" s="46" t="str">
        <f aca="false">IF(AND(ISNUMBER($S343),$S343&gt;0),$W343/$S343,"")</f>
        <v/>
      </c>
      <c r="Y343" s="49"/>
      <c r="Z343" s="21"/>
    </row>
    <row r="344" customFormat="false" ht="15.75" hidden="false" customHeight="true" outlineLevel="0" collapsed="false">
      <c r="A344" s="32" t="str">
        <f aca="false">IF(Produtos!$A344="","",Produtos!$A344)</f>
        <v/>
      </c>
      <c r="B344" s="32" t="str">
        <f aca="false">IF(Produtos!$A344="","",Produtos!$B344)</f>
        <v/>
      </c>
      <c r="C344" s="32" t="str">
        <f aca="false">IF(Produtos!$A344="","",Produtos!$C344)</f>
        <v/>
      </c>
      <c r="D344" s="33" t="str">
        <f aca="false">IF(Produtos!$A344="","",IF(Produtos!$D344="","",Produtos!$D344))</f>
        <v/>
      </c>
      <c r="E344" s="11"/>
      <c r="F344" s="34" t="str">
        <f aca="false">IF($A344="","",IF($C344="","⚠ categoria",IFERROR(INDEX(Parâmetros!$G$13:$G$22,MATCH($C344,Parâmetros!$A$13:$A$22,0)),"⚠ categoria")))</f>
        <v/>
      </c>
      <c r="G344" s="35"/>
      <c r="H344" s="36" t="str">
        <f aca="false">IF($A344="","",IF(ISNUMBER($G344),$G344,IF(ISNUMBER($F344),$F344,"")))</f>
        <v/>
      </c>
      <c r="I344" s="37" t="str">
        <f aca="false">IF(OR($A344="",NOT(ISNUMBER($D344)),NOT(ISNUMBER($H344))),"",IF((1-$H344-Parâmetros!$B$9-Parâmetros!$C$9-Parâmetros!$D$9)&lt;=0,"INVALIDO",($D344+IF(ISNUMBER($E344),$E344,0)+IF(ISNUMBER(Parâmetros!$E$9),Parâmetros!$E$9,0))/(1-$H344-Parâmetros!$B$9-Parâmetros!$C$9-Parâmetros!$D$9)))</f>
        <v/>
      </c>
      <c r="J344" s="38"/>
      <c r="K344" s="39" t="str">
        <f aca="false">IF(OR($A344="",NOT(ISNUMBER($D344)),NOT(ISNUMBER($H344))),"",IF(AND(ISNUMBER($J344),$J344&gt;0),$J344,IF(ISNUMBER($I344),$I344,"")))</f>
        <v/>
      </c>
      <c r="L344" s="40" t="str">
        <f aca="false">IF(ISNUMBER($K344),$K344*$H344,"")</f>
        <v/>
      </c>
      <c r="M344" s="40" t="str">
        <f aca="false">IF(ISNUMBER($K344),$K344*Parâmetros!$B$9,"")</f>
        <v/>
      </c>
      <c r="N344" s="40" t="str">
        <f aca="false">IF(ISNUMBER($K344),$K344*Parâmetros!$C$9,"")</f>
        <v/>
      </c>
      <c r="O344" s="40" t="str">
        <f aca="false">IF(ISNUMBER($K344),IF(ISNUMBER(Parâmetros!$E$9),Parâmetros!$E$9,0),"")</f>
        <v/>
      </c>
      <c r="P344" s="41" t="str">
        <f aca="false">IF(ISNUMBER($K344),$K344-$D344-IF(ISNUMBER($E344),$E344,0)-$L344-$M344-$N344-$O344,"")</f>
        <v/>
      </c>
      <c r="Q344" s="42" t="str">
        <f aca="false">IF(AND(ISNUMBER($K344),$K344&gt;0),$P344/$K344,"")</f>
        <v/>
      </c>
      <c r="R344" s="43"/>
      <c r="S344" s="44" t="str">
        <f aca="false">IF(OR(NOT(ISNUMBER($R344)),$R344=0,NOT(ISNUMBER($K344))),"",$K344*(1-$R344))</f>
        <v/>
      </c>
      <c r="T344" s="45" t="str">
        <f aca="false">IF(ISNUMBER($S344),$S344*$H344,"")</f>
        <v/>
      </c>
      <c r="U344" s="45" t="str">
        <f aca="false">IF(ISNUMBER($S344),$S344*Parâmetros!$B$9,"")</f>
        <v/>
      </c>
      <c r="V344" s="45" t="str">
        <f aca="false">IF(ISNUMBER($S344),$S344*Parâmetros!$C$9,"")</f>
        <v/>
      </c>
      <c r="W344" s="44" t="str">
        <f aca="false">IF(ISNUMBER($S344),$S344-$D344-IF(ISNUMBER($E344),$E344,0)-$O344-$T344-$U344-$V344,"")</f>
        <v/>
      </c>
      <c r="X344" s="46" t="str">
        <f aca="false">IF(AND(ISNUMBER($S344),$S344&gt;0),$W344/$S344,"")</f>
        <v/>
      </c>
      <c r="Y344" s="47"/>
      <c r="Z344" s="19"/>
    </row>
    <row r="345" customFormat="false" ht="15.75" hidden="false" customHeight="true" outlineLevel="0" collapsed="false">
      <c r="A345" s="48" t="str">
        <f aca="false">IF(Produtos!$A345="","",Produtos!$A345)</f>
        <v/>
      </c>
      <c r="B345" s="48" t="str">
        <f aca="false">IF(Produtos!$A345="","",Produtos!$B345)</f>
        <v/>
      </c>
      <c r="C345" s="48" t="str">
        <f aca="false">IF(Produtos!$A345="","",Produtos!$C345)</f>
        <v/>
      </c>
      <c r="D345" s="33" t="str">
        <f aca="false">IF(Produtos!$A345="","",IF(Produtos!$D345="","",Produtos!$D345))</f>
        <v/>
      </c>
      <c r="E345" s="11"/>
      <c r="F345" s="34" t="str">
        <f aca="false">IF($A345="","",IF($C345="","⚠ categoria",IFERROR(INDEX(Parâmetros!$G$13:$G$22,MATCH($C345,Parâmetros!$A$13:$A$22,0)),"⚠ categoria")))</f>
        <v/>
      </c>
      <c r="G345" s="35"/>
      <c r="H345" s="36" t="str">
        <f aca="false">IF($A345="","",IF(ISNUMBER($G345),$G345,IF(ISNUMBER($F345),$F345,"")))</f>
        <v/>
      </c>
      <c r="I345" s="37" t="str">
        <f aca="false">IF(OR($A345="",NOT(ISNUMBER($D345)),NOT(ISNUMBER($H345))),"",IF((1-$H345-Parâmetros!$B$9-Parâmetros!$C$9-Parâmetros!$D$9)&lt;=0,"INVALIDO",($D345+IF(ISNUMBER($E345),$E345,0)+IF(ISNUMBER(Parâmetros!$E$9),Parâmetros!$E$9,0))/(1-$H345-Parâmetros!$B$9-Parâmetros!$C$9-Parâmetros!$D$9)))</f>
        <v/>
      </c>
      <c r="J345" s="38"/>
      <c r="K345" s="39" t="str">
        <f aca="false">IF(OR($A345="",NOT(ISNUMBER($D345)),NOT(ISNUMBER($H345))),"",IF(AND(ISNUMBER($J345),$J345&gt;0),$J345,IF(ISNUMBER($I345),$I345,"")))</f>
        <v/>
      </c>
      <c r="L345" s="40" t="str">
        <f aca="false">IF(ISNUMBER($K345),$K345*$H345,"")</f>
        <v/>
      </c>
      <c r="M345" s="40" t="str">
        <f aca="false">IF(ISNUMBER($K345),$K345*Parâmetros!$B$9,"")</f>
        <v/>
      </c>
      <c r="N345" s="40" t="str">
        <f aca="false">IF(ISNUMBER($K345),$K345*Parâmetros!$C$9,"")</f>
        <v/>
      </c>
      <c r="O345" s="40" t="str">
        <f aca="false">IF(ISNUMBER($K345),IF(ISNUMBER(Parâmetros!$E$9),Parâmetros!$E$9,0),"")</f>
        <v/>
      </c>
      <c r="P345" s="41" t="str">
        <f aca="false">IF(ISNUMBER($K345),$K345-$D345-IF(ISNUMBER($E345),$E345,0)-$L345-$M345-$N345-$O345,"")</f>
        <v/>
      </c>
      <c r="Q345" s="42" t="str">
        <f aca="false">IF(AND(ISNUMBER($K345),$K345&gt;0),$P345/$K345,"")</f>
        <v/>
      </c>
      <c r="R345" s="43"/>
      <c r="S345" s="44" t="str">
        <f aca="false">IF(OR(NOT(ISNUMBER($R345)),$R345=0,NOT(ISNUMBER($K345))),"",$K345*(1-$R345))</f>
        <v/>
      </c>
      <c r="T345" s="45" t="str">
        <f aca="false">IF(ISNUMBER($S345),$S345*$H345,"")</f>
        <v/>
      </c>
      <c r="U345" s="45" t="str">
        <f aca="false">IF(ISNUMBER($S345),$S345*Parâmetros!$B$9,"")</f>
        <v/>
      </c>
      <c r="V345" s="45" t="str">
        <f aca="false">IF(ISNUMBER($S345),$S345*Parâmetros!$C$9,"")</f>
        <v/>
      </c>
      <c r="W345" s="44" t="str">
        <f aca="false">IF(ISNUMBER($S345),$S345-$D345-IF(ISNUMBER($E345),$E345,0)-$O345-$T345-$U345-$V345,"")</f>
        <v/>
      </c>
      <c r="X345" s="46" t="str">
        <f aca="false">IF(AND(ISNUMBER($S345),$S345&gt;0),$W345/$S345,"")</f>
        <v/>
      </c>
      <c r="Y345" s="49"/>
      <c r="Z345" s="21"/>
    </row>
    <row r="346" customFormat="false" ht="15.75" hidden="false" customHeight="true" outlineLevel="0" collapsed="false">
      <c r="A346" s="32" t="str">
        <f aca="false">IF(Produtos!$A346="","",Produtos!$A346)</f>
        <v/>
      </c>
      <c r="B346" s="32" t="str">
        <f aca="false">IF(Produtos!$A346="","",Produtos!$B346)</f>
        <v/>
      </c>
      <c r="C346" s="32" t="str">
        <f aca="false">IF(Produtos!$A346="","",Produtos!$C346)</f>
        <v/>
      </c>
      <c r="D346" s="33" t="str">
        <f aca="false">IF(Produtos!$A346="","",IF(Produtos!$D346="","",Produtos!$D346))</f>
        <v/>
      </c>
      <c r="E346" s="11"/>
      <c r="F346" s="34" t="str">
        <f aca="false">IF($A346="","",IF($C346="","⚠ categoria",IFERROR(INDEX(Parâmetros!$G$13:$G$22,MATCH($C346,Parâmetros!$A$13:$A$22,0)),"⚠ categoria")))</f>
        <v/>
      </c>
      <c r="G346" s="35"/>
      <c r="H346" s="36" t="str">
        <f aca="false">IF($A346="","",IF(ISNUMBER($G346),$G346,IF(ISNUMBER($F346),$F346,"")))</f>
        <v/>
      </c>
      <c r="I346" s="37" t="str">
        <f aca="false">IF(OR($A346="",NOT(ISNUMBER($D346)),NOT(ISNUMBER($H346))),"",IF((1-$H346-Parâmetros!$B$9-Parâmetros!$C$9-Parâmetros!$D$9)&lt;=0,"INVALIDO",($D346+IF(ISNUMBER($E346),$E346,0)+IF(ISNUMBER(Parâmetros!$E$9),Parâmetros!$E$9,0))/(1-$H346-Parâmetros!$B$9-Parâmetros!$C$9-Parâmetros!$D$9)))</f>
        <v/>
      </c>
      <c r="J346" s="38"/>
      <c r="K346" s="39" t="str">
        <f aca="false">IF(OR($A346="",NOT(ISNUMBER($D346)),NOT(ISNUMBER($H346))),"",IF(AND(ISNUMBER($J346),$J346&gt;0),$J346,IF(ISNUMBER($I346),$I346,"")))</f>
        <v/>
      </c>
      <c r="L346" s="40" t="str">
        <f aca="false">IF(ISNUMBER($K346),$K346*$H346,"")</f>
        <v/>
      </c>
      <c r="M346" s="40" t="str">
        <f aca="false">IF(ISNUMBER($K346),$K346*Parâmetros!$B$9,"")</f>
        <v/>
      </c>
      <c r="N346" s="40" t="str">
        <f aca="false">IF(ISNUMBER($K346),$K346*Parâmetros!$C$9,"")</f>
        <v/>
      </c>
      <c r="O346" s="40" t="str">
        <f aca="false">IF(ISNUMBER($K346),IF(ISNUMBER(Parâmetros!$E$9),Parâmetros!$E$9,0),"")</f>
        <v/>
      </c>
      <c r="P346" s="41" t="str">
        <f aca="false">IF(ISNUMBER($K346),$K346-$D346-IF(ISNUMBER($E346),$E346,0)-$L346-$M346-$N346-$O346,"")</f>
        <v/>
      </c>
      <c r="Q346" s="42" t="str">
        <f aca="false">IF(AND(ISNUMBER($K346),$K346&gt;0),$P346/$K346,"")</f>
        <v/>
      </c>
      <c r="R346" s="43"/>
      <c r="S346" s="44" t="str">
        <f aca="false">IF(OR(NOT(ISNUMBER($R346)),$R346=0,NOT(ISNUMBER($K346))),"",$K346*(1-$R346))</f>
        <v/>
      </c>
      <c r="T346" s="45" t="str">
        <f aca="false">IF(ISNUMBER($S346),$S346*$H346,"")</f>
        <v/>
      </c>
      <c r="U346" s="45" t="str">
        <f aca="false">IF(ISNUMBER($S346),$S346*Parâmetros!$B$9,"")</f>
        <v/>
      </c>
      <c r="V346" s="45" t="str">
        <f aca="false">IF(ISNUMBER($S346),$S346*Parâmetros!$C$9,"")</f>
        <v/>
      </c>
      <c r="W346" s="44" t="str">
        <f aca="false">IF(ISNUMBER($S346),$S346-$D346-IF(ISNUMBER($E346),$E346,0)-$O346-$T346-$U346-$V346,"")</f>
        <v/>
      </c>
      <c r="X346" s="46" t="str">
        <f aca="false">IF(AND(ISNUMBER($S346),$S346&gt;0),$W346/$S346,"")</f>
        <v/>
      </c>
      <c r="Y346" s="47"/>
      <c r="Z346" s="19"/>
    </row>
    <row r="347" customFormat="false" ht="15.75" hidden="false" customHeight="true" outlineLevel="0" collapsed="false">
      <c r="A347" s="48" t="str">
        <f aca="false">IF(Produtos!$A347="","",Produtos!$A347)</f>
        <v/>
      </c>
      <c r="B347" s="48" t="str">
        <f aca="false">IF(Produtos!$A347="","",Produtos!$B347)</f>
        <v/>
      </c>
      <c r="C347" s="48" t="str">
        <f aca="false">IF(Produtos!$A347="","",Produtos!$C347)</f>
        <v/>
      </c>
      <c r="D347" s="33" t="str">
        <f aca="false">IF(Produtos!$A347="","",IF(Produtos!$D347="","",Produtos!$D347))</f>
        <v/>
      </c>
      <c r="E347" s="11"/>
      <c r="F347" s="34" t="str">
        <f aca="false">IF($A347="","",IF($C347="","⚠ categoria",IFERROR(INDEX(Parâmetros!$G$13:$G$22,MATCH($C347,Parâmetros!$A$13:$A$22,0)),"⚠ categoria")))</f>
        <v/>
      </c>
      <c r="G347" s="35"/>
      <c r="H347" s="36" t="str">
        <f aca="false">IF($A347="","",IF(ISNUMBER($G347),$G347,IF(ISNUMBER($F347),$F347,"")))</f>
        <v/>
      </c>
      <c r="I347" s="37" t="str">
        <f aca="false">IF(OR($A347="",NOT(ISNUMBER($D347)),NOT(ISNUMBER($H347))),"",IF((1-$H347-Parâmetros!$B$9-Parâmetros!$C$9-Parâmetros!$D$9)&lt;=0,"INVALIDO",($D347+IF(ISNUMBER($E347),$E347,0)+IF(ISNUMBER(Parâmetros!$E$9),Parâmetros!$E$9,0))/(1-$H347-Parâmetros!$B$9-Parâmetros!$C$9-Parâmetros!$D$9)))</f>
        <v/>
      </c>
      <c r="J347" s="38"/>
      <c r="K347" s="39" t="str">
        <f aca="false">IF(OR($A347="",NOT(ISNUMBER($D347)),NOT(ISNUMBER($H347))),"",IF(AND(ISNUMBER($J347),$J347&gt;0),$J347,IF(ISNUMBER($I347),$I347,"")))</f>
        <v/>
      </c>
      <c r="L347" s="40" t="str">
        <f aca="false">IF(ISNUMBER($K347),$K347*$H347,"")</f>
        <v/>
      </c>
      <c r="M347" s="40" t="str">
        <f aca="false">IF(ISNUMBER($K347),$K347*Parâmetros!$B$9,"")</f>
        <v/>
      </c>
      <c r="N347" s="40" t="str">
        <f aca="false">IF(ISNUMBER($K347),$K347*Parâmetros!$C$9,"")</f>
        <v/>
      </c>
      <c r="O347" s="40" t="str">
        <f aca="false">IF(ISNUMBER($K347),IF(ISNUMBER(Parâmetros!$E$9),Parâmetros!$E$9,0),"")</f>
        <v/>
      </c>
      <c r="P347" s="41" t="str">
        <f aca="false">IF(ISNUMBER($K347),$K347-$D347-IF(ISNUMBER($E347),$E347,0)-$L347-$M347-$N347-$O347,"")</f>
        <v/>
      </c>
      <c r="Q347" s="42" t="str">
        <f aca="false">IF(AND(ISNUMBER($K347),$K347&gt;0),$P347/$K347,"")</f>
        <v/>
      </c>
      <c r="R347" s="43"/>
      <c r="S347" s="44" t="str">
        <f aca="false">IF(OR(NOT(ISNUMBER($R347)),$R347=0,NOT(ISNUMBER($K347))),"",$K347*(1-$R347))</f>
        <v/>
      </c>
      <c r="T347" s="45" t="str">
        <f aca="false">IF(ISNUMBER($S347),$S347*$H347,"")</f>
        <v/>
      </c>
      <c r="U347" s="45" t="str">
        <f aca="false">IF(ISNUMBER($S347),$S347*Parâmetros!$B$9,"")</f>
        <v/>
      </c>
      <c r="V347" s="45" t="str">
        <f aca="false">IF(ISNUMBER($S347),$S347*Parâmetros!$C$9,"")</f>
        <v/>
      </c>
      <c r="W347" s="44" t="str">
        <f aca="false">IF(ISNUMBER($S347),$S347-$D347-IF(ISNUMBER($E347),$E347,0)-$O347-$T347-$U347-$V347,"")</f>
        <v/>
      </c>
      <c r="X347" s="46" t="str">
        <f aca="false">IF(AND(ISNUMBER($S347),$S347&gt;0),$W347/$S347,"")</f>
        <v/>
      </c>
      <c r="Y347" s="49"/>
      <c r="Z347" s="21"/>
    </row>
    <row r="348" customFormat="false" ht="15.75" hidden="false" customHeight="true" outlineLevel="0" collapsed="false">
      <c r="A348" s="32" t="str">
        <f aca="false">IF(Produtos!$A348="","",Produtos!$A348)</f>
        <v/>
      </c>
      <c r="B348" s="32" t="str">
        <f aca="false">IF(Produtos!$A348="","",Produtos!$B348)</f>
        <v/>
      </c>
      <c r="C348" s="32" t="str">
        <f aca="false">IF(Produtos!$A348="","",Produtos!$C348)</f>
        <v/>
      </c>
      <c r="D348" s="33" t="str">
        <f aca="false">IF(Produtos!$A348="","",IF(Produtos!$D348="","",Produtos!$D348))</f>
        <v/>
      </c>
      <c r="E348" s="11"/>
      <c r="F348" s="34" t="str">
        <f aca="false">IF($A348="","",IF($C348="","⚠ categoria",IFERROR(INDEX(Parâmetros!$G$13:$G$22,MATCH($C348,Parâmetros!$A$13:$A$22,0)),"⚠ categoria")))</f>
        <v/>
      </c>
      <c r="G348" s="35"/>
      <c r="H348" s="36" t="str">
        <f aca="false">IF($A348="","",IF(ISNUMBER($G348),$G348,IF(ISNUMBER($F348),$F348,"")))</f>
        <v/>
      </c>
      <c r="I348" s="37" t="str">
        <f aca="false">IF(OR($A348="",NOT(ISNUMBER($D348)),NOT(ISNUMBER($H348))),"",IF((1-$H348-Parâmetros!$B$9-Parâmetros!$C$9-Parâmetros!$D$9)&lt;=0,"INVALIDO",($D348+IF(ISNUMBER($E348),$E348,0)+IF(ISNUMBER(Parâmetros!$E$9),Parâmetros!$E$9,0))/(1-$H348-Parâmetros!$B$9-Parâmetros!$C$9-Parâmetros!$D$9)))</f>
        <v/>
      </c>
      <c r="J348" s="38"/>
      <c r="K348" s="39" t="str">
        <f aca="false">IF(OR($A348="",NOT(ISNUMBER($D348)),NOT(ISNUMBER($H348))),"",IF(AND(ISNUMBER($J348),$J348&gt;0),$J348,IF(ISNUMBER($I348),$I348,"")))</f>
        <v/>
      </c>
      <c r="L348" s="40" t="str">
        <f aca="false">IF(ISNUMBER($K348),$K348*$H348,"")</f>
        <v/>
      </c>
      <c r="M348" s="40" t="str">
        <f aca="false">IF(ISNUMBER($K348),$K348*Parâmetros!$B$9,"")</f>
        <v/>
      </c>
      <c r="N348" s="40" t="str">
        <f aca="false">IF(ISNUMBER($K348),$K348*Parâmetros!$C$9,"")</f>
        <v/>
      </c>
      <c r="O348" s="40" t="str">
        <f aca="false">IF(ISNUMBER($K348),IF(ISNUMBER(Parâmetros!$E$9),Parâmetros!$E$9,0),"")</f>
        <v/>
      </c>
      <c r="P348" s="41" t="str">
        <f aca="false">IF(ISNUMBER($K348),$K348-$D348-IF(ISNUMBER($E348),$E348,0)-$L348-$M348-$N348-$O348,"")</f>
        <v/>
      </c>
      <c r="Q348" s="42" t="str">
        <f aca="false">IF(AND(ISNUMBER($K348),$K348&gt;0),$P348/$K348,"")</f>
        <v/>
      </c>
      <c r="R348" s="43"/>
      <c r="S348" s="44" t="str">
        <f aca="false">IF(OR(NOT(ISNUMBER($R348)),$R348=0,NOT(ISNUMBER($K348))),"",$K348*(1-$R348))</f>
        <v/>
      </c>
      <c r="T348" s="45" t="str">
        <f aca="false">IF(ISNUMBER($S348),$S348*$H348,"")</f>
        <v/>
      </c>
      <c r="U348" s="45" t="str">
        <f aca="false">IF(ISNUMBER($S348),$S348*Parâmetros!$B$9,"")</f>
        <v/>
      </c>
      <c r="V348" s="45" t="str">
        <f aca="false">IF(ISNUMBER($S348),$S348*Parâmetros!$C$9,"")</f>
        <v/>
      </c>
      <c r="W348" s="44" t="str">
        <f aca="false">IF(ISNUMBER($S348),$S348-$D348-IF(ISNUMBER($E348),$E348,0)-$O348-$T348-$U348-$V348,"")</f>
        <v/>
      </c>
      <c r="X348" s="46" t="str">
        <f aca="false">IF(AND(ISNUMBER($S348),$S348&gt;0),$W348/$S348,"")</f>
        <v/>
      </c>
      <c r="Y348" s="47"/>
      <c r="Z348" s="19"/>
    </row>
    <row r="349" customFormat="false" ht="15.75" hidden="false" customHeight="true" outlineLevel="0" collapsed="false">
      <c r="A349" s="48" t="str">
        <f aca="false">IF(Produtos!$A349="","",Produtos!$A349)</f>
        <v/>
      </c>
      <c r="B349" s="48" t="str">
        <f aca="false">IF(Produtos!$A349="","",Produtos!$B349)</f>
        <v/>
      </c>
      <c r="C349" s="48" t="str">
        <f aca="false">IF(Produtos!$A349="","",Produtos!$C349)</f>
        <v/>
      </c>
      <c r="D349" s="33" t="str">
        <f aca="false">IF(Produtos!$A349="","",IF(Produtos!$D349="","",Produtos!$D349))</f>
        <v/>
      </c>
      <c r="E349" s="11"/>
      <c r="F349" s="34" t="str">
        <f aca="false">IF($A349="","",IF($C349="","⚠ categoria",IFERROR(INDEX(Parâmetros!$G$13:$G$22,MATCH($C349,Parâmetros!$A$13:$A$22,0)),"⚠ categoria")))</f>
        <v/>
      </c>
      <c r="G349" s="35"/>
      <c r="H349" s="36" t="str">
        <f aca="false">IF($A349="","",IF(ISNUMBER($G349),$G349,IF(ISNUMBER($F349),$F349,"")))</f>
        <v/>
      </c>
      <c r="I349" s="37" t="str">
        <f aca="false">IF(OR($A349="",NOT(ISNUMBER($D349)),NOT(ISNUMBER($H349))),"",IF((1-$H349-Parâmetros!$B$9-Parâmetros!$C$9-Parâmetros!$D$9)&lt;=0,"INVALIDO",($D349+IF(ISNUMBER($E349),$E349,0)+IF(ISNUMBER(Parâmetros!$E$9),Parâmetros!$E$9,0))/(1-$H349-Parâmetros!$B$9-Parâmetros!$C$9-Parâmetros!$D$9)))</f>
        <v/>
      </c>
      <c r="J349" s="38"/>
      <c r="K349" s="39" t="str">
        <f aca="false">IF(OR($A349="",NOT(ISNUMBER($D349)),NOT(ISNUMBER($H349))),"",IF(AND(ISNUMBER($J349),$J349&gt;0),$J349,IF(ISNUMBER($I349),$I349,"")))</f>
        <v/>
      </c>
      <c r="L349" s="40" t="str">
        <f aca="false">IF(ISNUMBER($K349),$K349*$H349,"")</f>
        <v/>
      </c>
      <c r="M349" s="40" t="str">
        <f aca="false">IF(ISNUMBER($K349),$K349*Parâmetros!$B$9,"")</f>
        <v/>
      </c>
      <c r="N349" s="40" t="str">
        <f aca="false">IF(ISNUMBER($K349),$K349*Parâmetros!$C$9,"")</f>
        <v/>
      </c>
      <c r="O349" s="40" t="str">
        <f aca="false">IF(ISNUMBER($K349),IF(ISNUMBER(Parâmetros!$E$9),Parâmetros!$E$9,0),"")</f>
        <v/>
      </c>
      <c r="P349" s="41" t="str">
        <f aca="false">IF(ISNUMBER($K349),$K349-$D349-IF(ISNUMBER($E349),$E349,0)-$L349-$M349-$N349-$O349,"")</f>
        <v/>
      </c>
      <c r="Q349" s="42" t="str">
        <f aca="false">IF(AND(ISNUMBER($K349),$K349&gt;0),$P349/$K349,"")</f>
        <v/>
      </c>
      <c r="R349" s="43"/>
      <c r="S349" s="44" t="str">
        <f aca="false">IF(OR(NOT(ISNUMBER($R349)),$R349=0,NOT(ISNUMBER($K349))),"",$K349*(1-$R349))</f>
        <v/>
      </c>
      <c r="T349" s="45" t="str">
        <f aca="false">IF(ISNUMBER($S349),$S349*$H349,"")</f>
        <v/>
      </c>
      <c r="U349" s="45" t="str">
        <f aca="false">IF(ISNUMBER($S349),$S349*Parâmetros!$B$9,"")</f>
        <v/>
      </c>
      <c r="V349" s="45" t="str">
        <f aca="false">IF(ISNUMBER($S349),$S349*Parâmetros!$C$9,"")</f>
        <v/>
      </c>
      <c r="W349" s="44" t="str">
        <f aca="false">IF(ISNUMBER($S349),$S349-$D349-IF(ISNUMBER($E349),$E349,0)-$O349-$T349-$U349-$V349,"")</f>
        <v/>
      </c>
      <c r="X349" s="46" t="str">
        <f aca="false">IF(AND(ISNUMBER($S349),$S349&gt;0),$W349/$S349,"")</f>
        <v/>
      </c>
      <c r="Y349" s="49"/>
      <c r="Z349" s="21"/>
    </row>
  </sheetData>
  <autoFilter ref="A3:Z349"/>
  <mergeCells count="7">
    <mergeCell ref="A1:Z1"/>
    <mergeCell ref="A2:C2"/>
    <mergeCell ref="D2:E2"/>
    <mergeCell ref="F2:H2"/>
    <mergeCell ref="L2:Q2"/>
    <mergeCell ref="R2:X2"/>
    <mergeCell ref="Y2:Z2"/>
  </mergeCells>
  <conditionalFormatting sqref="P4:P349">
    <cfRule type="expression" priority="2" aboveAverage="0" equalAverage="0" bottom="0" percent="0" rank="0" text="" dxfId="19">
      <formula>AND(ISNUMBER($P4),$P4&lt;0)</formula>
    </cfRule>
  </conditionalFormatting>
  <conditionalFormatting sqref="Q4:Q349">
    <cfRule type="expression" priority="3" aboveAverage="0" equalAverage="0" bottom="0" percent="0" rank="0" text="" dxfId="19">
      <formula>AND(ISNUMBER($Q4),$Q4&lt;0)</formula>
    </cfRule>
    <cfRule type="expression" priority="4" aboveAverage="0" equalAverage="0" bottom="0" percent="0" rank="0" text="" dxfId="20">
      <formula>AND(ISNUMBER($Q4),$Q4&lt;Parâmetros!$D$9)</formula>
    </cfRule>
  </conditionalFormatting>
  <conditionalFormatting sqref="W4:W349">
    <cfRule type="expression" priority="5" aboveAverage="0" equalAverage="0" bottom="0" percent="0" rank="0" text="" dxfId="19">
      <formula>AND(ISNUMBER($W4),$W4&lt;0)</formula>
    </cfRule>
  </conditionalFormatting>
  <conditionalFormatting sqref="X4:X349">
    <cfRule type="expression" priority="6" aboveAverage="0" equalAverage="0" bottom="0" percent="0" rank="0" text="" dxfId="19">
      <formula>AND(ISNUMBER($X4),$X4&lt;0)</formula>
    </cfRule>
    <cfRule type="expression" priority="7" aboveAverage="0" equalAverage="0" bottom="0" percent="0" rank="0" text="" dxfId="20">
      <formula>AND(ISNUMBER($X4),$X4&lt;Parâmetros!$D$9)</formula>
    </cfRule>
  </conditionalFormatting>
  <conditionalFormatting sqref="F4:F349">
    <cfRule type="expression" priority="8" aboveAverage="0" equalAverage="0" bottom="0" percent="0" rank="0" text="" dxfId="19">
      <formula>$F4="⚠ categoria"</formula>
    </cfRule>
  </conditionalFormatting>
  <conditionalFormatting sqref="I4:I349">
    <cfRule type="expression" priority="9" aboveAverage="0" equalAverage="0" bottom="0" percent="0" rank="0" text="" dxfId="19">
      <formula>$I4="INVALIDO"</formula>
    </cfRule>
  </conditionalFormatting>
  <dataValidations count="2">
    <dataValidation allowBlank="true" error="Digite o desconto como fração (0,10 = 10%)." errorStyle="stop" errorTitle="% Desconto" operator="between" showDropDown="false" showErrorMessage="true" showInputMessage="false" sqref="R4:R349" type="decimal">
      <formula1>0</formula1>
      <formula2>1</formula2>
    </dataValidation>
    <dataValidation allowBlank="true" error="Digite a comissão como fração (0,12 = 12%)." errorStyle="stop" errorTitle="Comissão manual" operator="between" showDropDown="false" showErrorMessage="true" showInputMessage="false" sqref="G4:G349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43C0C"/>
    <pageSetUpPr fitToPage="false"/>
  </sheetPr>
  <dimension ref="A1:S3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4"/>
    <col collapsed="false" customWidth="true" hidden="false" outlineLevel="0" max="3" min="3" style="0" width="22"/>
    <col collapsed="false" customWidth="true" hidden="false" outlineLevel="0" max="5" min="4" style="0" width="12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9"/>
    <col collapsed="false" customWidth="true" hidden="false" outlineLevel="0" max="11" min="11" style="0" width="12"/>
    <col collapsed="false" customWidth="true" hidden="false" outlineLevel="0" max="12" min="12" style="0" width="9"/>
    <col collapsed="false" customWidth="true" hidden="false" outlineLevel="0" max="13" min="13" style="0" width="12"/>
    <col collapsed="false" customWidth="true" hidden="false" outlineLevel="0" max="14" min="14" style="0" width="9"/>
    <col collapsed="false" customWidth="true" hidden="false" outlineLevel="0" max="15" min="15" style="0" width="12"/>
    <col collapsed="false" customWidth="true" hidden="false" outlineLevel="0" max="16" min="16" style="0" width="9"/>
    <col collapsed="false" customWidth="true" hidden="false" outlineLevel="0" max="18" min="17" style="0" width="10"/>
    <col collapsed="false" customWidth="true" hidden="false" outlineLevel="0" max="19" min="19" style="0" width="9"/>
  </cols>
  <sheetData>
    <row r="1" customFormat="false" ht="24" hidden="false" customHeight="true" outlineLevel="0" collapsed="false">
      <c r="A1" s="54" t="s">
        <v>750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</row>
    <row r="2" customFormat="false" ht="25.5" hidden="false" customHeight="true" outlineLevel="0" collapsed="false">
      <c r="A2" s="23" t="s">
        <v>704</v>
      </c>
      <c r="B2" s="23"/>
      <c r="C2" s="23"/>
      <c r="D2" s="23"/>
      <c r="E2" s="29" t="s">
        <v>751</v>
      </c>
      <c r="F2" s="29"/>
      <c r="G2" s="29" t="s">
        <v>752</v>
      </c>
      <c r="H2" s="29"/>
      <c r="I2" s="55" t="s">
        <v>753</v>
      </c>
      <c r="J2" s="55"/>
      <c r="K2" s="56" t="s">
        <v>754</v>
      </c>
      <c r="L2" s="56"/>
      <c r="M2" s="57" t="s">
        <v>755</v>
      </c>
      <c r="N2" s="57"/>
      <c r="O2" s="58" t="s">
        <v>756</v>
      </c>
      <c r="P2" s="58"/>
      <c r="Q2" s="31" t="s">
        <v>757</v>
      </c>
      <c r="R2" s="31"/>
      <c r="S2" s="31"/>
    </row>
    <row r="3" customFormat="false" ht="36" hidden="false" customHeight="true" outlineLevel="0" collapsed="false">
      <c r="A3" s="7" t="s">
        <v>101</v>
      </c>
      <c r="B3" s="7" t="s">
        <v>102</v>
      </c>
      <c r="C3" s="7" t="s">
        <v>82</v>
      </c>
      <c r="D3" s="7" t="s">
        <v>758</v>
      </c>
      <c r="E3" s="7" t="s">
        <v>759</v>
      </c>
      <c r="F3" s="7" t="s">
        <v>725</v>
      </c>
      <c r="G3" s="7" t="s">
        <v>759</v>
      </c>
      <c r="H3" s="7" t="s">
        <v>725</v>
      </c>
      <c r="I3" s="7" t="s">
        <v>759</v>
      </c>
      <c r="J3" s="7" t="s">
        <v>725</v>
      </c>
      <c r="K3" s="7" t="s">
        <v>759</v>
      </c>
      <c r="L3" s="7" t="s">
        <v>725</v>
      </c>
      <c r="M3" s="7" t="s">
        <v>759</v>
      </c>
      <c r="N3" s="7" t="s">
        <v>725</v>
      </c>
      <c r="O3" s="7" t="s">
        <v>759</v>
      </c>
      <c r="P3" s="7" t="s">
        <v>725</v>
      </c>
      <c r="Q3" s="7" t="s">
        <v>760</v>
      </c>
      <c r="R3" s="7" t="s">
        <v>761</v>
      </c>
      <c r="S3" s="7" t="s">
        <v>762</v>
      </c>
    </row>
    <row r="4" customFormat="false" ht="15" hidden="false" customHeight="false" outlineLevel="0" collapsed="false">
      <c r="A4" s="32" t="str">
        <f aca="false">IF(Produtos!$A4="","",Produtos!$A4)</f>
        <v>L1618</v>
      </c>
      <c r="B4" s="32" t="str">
        <f aca="false">IF(Produtos!$A4="","",Produtos!$B4)</f>
        <v>Lixeira Aço Inox s/Tampa 16x18 03L</v>
      </c>
      <c r="C4" s="32" t="str">
        <f aca="false">IF(Produtos!$A4="","",Produtos!$C4)</f>
        <v>Lixeiras em inox</v>
      </c>
      <c r="D4" s="33" t="n">
        <f aca="false">IF(Produtos!$A4="","",IF(Produtos!$D4="","",Produtos!$D4))</f>
        <v>39.8</v>
      </c>
      <c r="E4" s="59" t="n">
        <f aca="false">'ML Clássico'!$K4</f>
        <v>80.4</v>
      </c>
      <c r="F4" s="60" t="n">
        <f aca="false">'ML Clássico'!$Q4</f>
        <v>0.0689800995024877</v>
      </c>
      <c r="G4" s="59" t="n">
        <f aca="false">'ML Premium'!$K4</f>
        <v>89.18</v>
      </c>
      <c r="H4" s="60" t="n">
        <f aca="false">'ML Premium'!$Q4</f>
        <v>0.0850437317784257</v>
      </c>
      <c r="I4" s="59" t="n">
        <f aca="false">Amazon!$K4</f>
        <v>93.9</v>
      </c>
      <c r="J4" s="60" t="n">
        <f aca="false">Amazon!$Q4</f>
        <v>0.316144834930778</v>
      </c>
      <c r="K4" s="59" t="n">
        <f aca="false">'Via (Casas Bahia)'!$K4</f>
        <v>86.5217391304348</v>
      </c>
      <c r="L4" s="60" t="n">
        <f aca="false">'Via (Casas Bahia)'!$Q4</f>
        <v>0.2</v>
      </c>
      <c r="M4" s="59" t="n">
        <f aca="false">MadeiraMadeira!$K4</f>
        <v>82.9166666666667</v>
      </c>
      <c r="N4" s="60" t="n">
        <f aca="false">MadeiraMadeira!$Q4</f>
        <v>0.2</v>
      </c>
      <c r="O4" s="59" t="n">
        <f aca="false">Magalu!$K4</f>
        <v>81.2244897959184</v>
      </c>
      <c r="P4" s="60" t="n">
        <f aca="false">Magalu!$Q4</f>
        <v>0.2</v>
      </c>
      <c r="Q4" s="46" t="n">
        <f aca="false">IF(COUNT($F4,$H4,$J4,$L4,$N4,$P4)=0,"",MIN($F4,$H4,$J4,$L4,$N4,$P4))</f>
        <v>0.0689800995024877</v>
      </c>
      <c r="R4" s="46" t="n">
        <f aca="false">IF(COUNT($F4,$H4,$J4,$L4,$N4,$P4)=0,"",MAX($F4,$H4,$J4,$L4,$N4,$P4))</f>
        <v>0.316144834930778</v>
      </c>
      <c r="S4" s="61" t="n">
        <f aca="false">IF($A4="","",COUNT($E4,$G4,$I4,$K4,$M4,$O4))</f>
        <v>6</v>
      </c>
    </row>
    <row r="5" customFormat="false" ht="15" hidden="false" customHeight="false" outlineLevel="0" collapsed="false">
      <c r="A5" s="48" t="str">
        <f aca="false">IF(Produtos!$A5="","",Produtos!$A5)</f>
        <v>L1623</v>
      </c>
      <c r="B5" s="48" t="str">
        <f aca="false">IF(Produtos!$A5="","",Produtos!$B5)</f>
        <v>Lixeira Aço Inox s/Tampa 16x23 05L</v>
      </c>
      <c r="C5" s="48" t="str">
        <f aca="false">IF(Produtos!$A5="","",Produtos!$C5)</f>
        <v>Lixeiras em inox</v>
      </c>
      <c r="D5" s="33" t="n">
        <f aca="false">IF(Produtos!$A5="","",IF(Produtos!$D5="","",Produtos!$D5))</f>
        <v>49.15</v>
      </c>
      <c r="E5" s="62" t="n">
        <f aca="false">'ML Clássico'!$K5</f>
        <v>97.96</v>
      </c>
      <c r="F5" s="60" t="n">
        <f aca="false">'ML Clássico'!$Q5</f>
        <v>0.0938178848509595</v>
      </c>
      <c r="G5" s="62" t="n">
        <f aca="false">'ML Premium'!$K5</f>
        <v>104.75</v>
      </c>
      <c r="H5" s="60" t="n">
        <f aca="false">'ML Premium'!$Q5</f>
        <v>0.063747016706444</v>
      </c>
      <c r="I5" s="62" t="n">
        <f aca="false">Amazon!$K5</f>
        <v>109.9</v>
      </c>
      <c r="J5" s="60" t="n">
        <f aca="false">Amazon!$Q5</f>
        <v>0.29277525022748</v>
      </c>
      <c r="K5" s="62" t="n">
        <f aca="false">'Via (Casas Bahia)'!$K5</f>
        <v>106.847826086957</v>
      </c>
      <c r="L5" s="60" t="n">
        <f aca="false">'Via (Casas Bahia)'!$Q5</f>
        <v>0.2</v>
      </c>
      <c r="M5" s="62" t="n">
        <f aca="false">MadeiraMadeira!$K5</f>
        <v>102.395833333333</v>
      </c>
      <c r="N5" s="60" t="n">
        <f aca="false">MadeiraMadeira!$Q5</f>
        <v>0.2</v>
      </c>
      <c r="O5" s="62" t="n">
        <f aca="false">Magalu!$K5</f>
        <v>100.30612244898</v>
      </c>
      <c r="P5" s="60" t="n">
        <f aca="false">Magalu!$Q5</f>
        <v>0.2</v>
      </c>
      <c r="Q5" s="46" t="n">
        <f aca="false">IF(COUNT($F5,$H5,$J5,$L5,$N5,$P5)=0,"",MIN($F5,$H5,$J5,$L5,$N5,$P5))</f>
        <v>0.063747016706444</v>
      </c>
      <c r="R5" s="46" t="n">
        <f aca="false">IF(COUNT($F5,$H5,$J5,$L5,$N5,$P5)=0,"",MAX($F5,$H5,$J5,$L5,$N5,$P5))</f>
        <v>0.29277525022748</v>
      </c>
      <c r="S5" s="61" t="n">
        <f aca="false">IF($A5="","",COUNT($E5,$G5,$I5,$K5,$M5,$O5))</f>
        <v>6</v>
      </c>
    </row>
    <row r="6" customFormat="false" ht="15" hidden="false" customHeight="false" outlineLevel="0" collapsed="false">
      <c r="A6" s="32" t="str">
        <f aca="false">IF(Produtos!$A6="","",Produtos!$A6)</f>
        <v>L2025</v>
      </c>
      <c r="B6" s="32" t="str">
        <f aca="false">IF(Produtos!$A6="","",Produtos!$B6)</f>
        <v>Lixeira Aço Inox s/Tampa 20x25 07L</v>
      </c>
      <c r="C6" s="32" t="str">
        <f aca="false">IF(Produtos!$A6="","",Produtos!$C6)</f>
        <v>Lixeiras em inox</v>
      </c>
      <c r="D6" s="33" t="n">
        <f aca="false">IF(Produtos!$A6="","",IF(Produtos!$D6="","",Produtos!$D6))</f>
        <v>51.82</v>
      </c>
      <c r="E6" s="59" t="n">
        <f aca="false">'ML Clássico'!$K6</f>
        <v>102.62</v>
      </c>
      <c r="F6" s="60" t="n">
        <f aca="false">'ML Clássico'!$Q6</f>
        <v>0.0708321964529332</v>
      </c>
      <c r="G6" s="59" t="n">
        <f aca="false">'ML Premium'!$K6</f>
        <v>113.11</v>
      </c>
      <c r="H6" s="60" t="n">
        <f aca="false">'ML Premium'!$Q6</f>
        <v>0.0828918751657678</v>
      </c>
      <c r="I6" s="59" t="n">
        <f aca="false">Amazon!$K6</f>
        <v>113.11</v>
      </c>
      <c r="J6" s="60" t="n">
        <f aca="false">Amazon!$Q6</f>
        <v>0.281861904340907</v>
      </c>
      <c r="K6" s="59" t="n">
        <f aca="false">'Via (Casas Bahia)'!$K6</f>
        <v>112.652173913043</v>
      </c>
      <c r="L6" s="60" t="n">
        <f aca="false">'Via (Casas Bahia)'!$Q6</f>
        <v>0.2</v>
      </c>
      <c r="M6" s="59" t="n">
        <f aca="false">MadeiraMadeira!$K6</f>
        <v>107.958333333333</v>
      </c>
      <c r="N6" s="60" t="n">
        <f aca="false">MadeiraMadeira!$Q6</f>
        <v>0.2</v>
      </c>
      <c r="O6" s="59" t="n">
        <f aca="false">Magalu!$K6</f>
        <v>105.755102040816</v>
      </c>
      <c r="P6" s="60" t="n">
        <f aca="false">Magalu!$Q6</f>
        <v>0.2</v>
      </c>
      <c r="Q6" s="46" t="n">
        <f aca="false">IF(COUNT($F6,$H6,$J6,$L6,$N6,$P6)=0,"",MIN($F6,$H6,$J6,$L6,$N6,$P6))</f>
        <v>0.0708321964529332</v>
      </c>
      <c r="R6" s="46" t="n">
        <f aca="false">IF(COUNT($F6,$H6,$J6,$L6,$N6,$P6)=0,"",MAX($F6,$H6,$J6,$L6,$N6,$P6))</f>
        <v>0.281861904340907</v>
      </c>
      <c r="S6" s="61" t="n">
        <f aca="false">IF($A6="","",COUNT($E6,$G6,$I6,$K6,$M6,$O6))</f>
        <v>6</v>
      </c>
    </row>
    <row r="7" customFormat="false" ht="15" hidden="false" customHeight="false" outlineLevel="0" collapsed="false">
      <c r="A7" s="48" t="str">
        <f aca="false">IF(Produtos!$A7="","",Produtos!$A7)</f>
        <v>L2030</v>
      </c>
      <c r="B7" s="48" t="str">
        <f aca="false">IF(Produtos!$A7="","",Produtos!$B7)</f>
        <v>Lixeira Aço Inox s/Tampa 20x30 10L</v>
      </c>
      <c r="C7" s="48" t="str">
        <f aca="false">IF(Produtos!$A7="","",Produtos!$C7)</f>
        <v>Lixeiras em inox</v>
      </c>
      <c r="D7" s="33" t="n">
        <f aca="false">IF(Produtos!$A7="","",IF(Produtos!$D7="","",Produtos!$D7))</f>
        <v>55.49</v>
      </c>
      <c r="E7" s="62" t="n">
        <f aca="false">'ML Clássico'!$K7</f>
        <v>108.36</v>
      </c>
      <c r="F7" s="60" t="n">
        <f aca="false">'ML Clássico'!$Q7</f>
        <v>0.0724104835732742</v>
      </c>
      <c r="G7" s="62" t="n">
        <f aca="false">'ML Premium'!$K7</f>
        <v>119.22</v>
      </c>
      <c r="H7" s="60" t="n">
        <f aca="false">'ML Premium'!$Q7</f>
        <v>0.0832226136554269</v>
      </c>
      <c r="I7" s="62" t="n">
        <f aca="false">Amazon!$K7</f>
        <v>119.22</v>
      </c>
      <c r="J7" s="60" t="n">
        <f aca="false">Amazon!$Q7</f>
        <v>0.274557960073813</v>
      </c>
      <c r="K7" s="62" t="n">
        <f aca="false">'Via (Casas Bahia)'!$K7</f>
        <v>120.630434782609</v>
      </c>
      <c r="L7" s="60" t="n">
        <f aca="false">'Via (Casas Bahia)'!$Q7</f>
        <v>0.2</v>
      </c>
      <c r="M7" s="62" t="n">
        <f aca="false">MadeiraMadeira!$K7</f>
        <v>115.604166666667</v>
      </c>
      <c r="N7" s="60" t="n">
        <f aca="false">MadeiraMadeira!$Q7</f>
        <v>0.2</v>
      </c>
      <c r="O7" s="62" t="n">
        <f aca="false">Magalu!$K7</f>
        <v>113.244897959184</v>
      </c>
      <c r="P7" s="60" t="n">
        <f aca="false">Magalu!$Q7</f>
        <v>0.2</v>
      </c>
      <c r="Q7" s="46" t="n">
        <f aca="false">IF(COUNT($F7,$H7,$J7,$L7,$N7,$P7)=0,"",MIN($F7,$H7,$J7,$L7,$N7,$P7))</f>
        <v>0.0724104835732742</v>
      </c>
      <c r="R7" s="46" t="n">
        <f aca="false">IF(COUNT($F7,$H7,$J7,$L7,$N7,$P7)=0,"",MAX($F7,$H7,$J7,$L7,$N7,$P7))</f>
        <v>0.274557960073813</v>
      </c>
      <c r="S7" s="61" t="n">
        <f aca="false">IF($A7="","",COUNT($E7,$G7,$I7,$K7,$M7,$O7))</f>
        <v>6</v>
      </c>
    </row>
    <row r="8" customFormat="false" ht="15" hidden="false" customHeight="false" outlineLevel="0" collapsed="false">
      <c r="A8" s="32" t="str">
        <f aca="false">IF(Produtos!$A8="","",Produtos!$A8)</f>
        <v>L2425</v>
      </c>
      <c r="B8" s="32" t="str">
        <f aca="false">IF(Produtos!$A8="","",Produtos!$B8)</f>
        <v>Lixeira Aço Inox s/Tampa 24x25 13L</v>
      </c>
      <c r="C8" s="32" t="str">
        <f aca="false">IF(Produtos!$A8="","",Produtos!$C8)</f>
        <v>Lixeiras em inox</v>
      </c>
      <c r="D8" s="33" t="n">
        <f aca="false">IF(Produtos!$A8="","",IF(Produtos!$D8="","",Produtos!$D8))</f>
        <v>62.2</v>
      </c>
      <c r="E8" s="59" t="n">
        <f aca="false">'ML Clássico'!$K8</f>
        <v>115.185185185185</v>
      </c>
      <c r="F8" s="60" t="n">
        <f aca="false">'ML Clássico'!$Q8</f>
        <v>0.2</v>
      </c>
      <c r="G8" s="59" t="n">
        <f aca="false">'ML Premium'!$K8</f>
        <v>126.938775510204</v>
      </c>
      <c r="H8" s="60" t="n">
        <f aca="false">'ML Premium'!$Q8</f>
        <v>0.2</v>
      </c>
      <c r="I8" s="59" t="n">
        <f aca="false">Amazon!$K8</f>
        <v>115.185185185185</v>
      </c>
      <c r="J8" s="60" t="n">
        <f aca="false">Amazon!$Q8</f>
        <v>0.2</v>
      </c>
      <c r="K8" s="59" t="n">
        <f aca="false">'Via (Casas Bahia)'!$K8</f>
        <v>135.217391304348</v>
      </c>
      <c r="L8" s="60" t="n">
        <f aca="false">'Via (Casas Bahia)'!$Q8</f>
        <v>0.2</v>
      </c>
      <c r="M8" s="59" t="n">
        <f aca="false">MadeiraMadeira!$K8</f>
        <v>129.583333333333</v>
      </c>
      <c r="N8" s="60" t="n">
        <f aca="false">MadeiraMadeira!$Q8</f>
        <v>0.2</v>
      </c>
      <c r="O8" s="59" t="n">
        <f aca="false">Magalu!$K8</f>
        <v>126.938775510204</v>
      </c>
      <c r="P8" s="60" t="n">
        <f aca="false">Magalu!$Q8</f>
        <v>0.2</v>
      </c>
      <c r="Q8" s="46" t="n">
        <f aca="false">IF(COUNT($F8,$H8,$J8,$L8,$N8,$P8)=0,"",MIN($F8,$H8,$J8,$L8,$N8,$P8))</f>
        <v>0.2</v>
      </c>
      <c r="R8" s="46" t="n">
        <f aca="false">IF(COUNT($F8,$H8,$J8,$L8,$N8,$P8)=0,"",MAX($F8,$H8,$J8,$L8,$N8,$P8))</f>
        <v>0.2</v>
      </c>
      <c r="S8" s="61" t="n">
        <f aca="false">IF($A8="","",COUNT($E8,$G8,$I8,$K8,$M8,$O8))</f>
        <v>6</v>
      </c>
    </row>
    <row r="9" customFormat="false" ht="15" hidden="false" customHeight="false" outlineLevel="0" collapsed="false">
      <c r="A9" s="48" t="str">
        <f aca="false">IF(Produtos!$A9="","",Produtos!$A9)</f>
        <v>L2430</v>
      </c>
      <c r="B9" s="48" t="str">
        <f aca="false">IF(Produtos!$A9="","",Produtos!$B9)</f>
        <v>Lixeira Aço Inox s/Tampa 24x30 15L</v>
      </c>
      <c r="C9" s="48" t="str">
        <f aca="false">IF(Produtos!$A9="","",Produtos!$C9)</f>
        <v>Lixeiras em inox</v>
      </c>
      <c r="D9" s="33" t="n">
        <f aca="false">IF(Produtos!$A9="","",IF(Produtos!$D9="","",Produtos!$D9))</f>
        <v>69.93</v>
      </c>
      <c r="E9" s="62" t="n">
        <f aca="false">'ML Clássico'!$K9</f>
        <v>129.5</v>
      </c>
      <c r="F9" s="60" t="n">
        <f aca="false">'ML Clássico'!$Q9</f>
        <v>0.2</v>
      </c>
      <c r="G9" s="62" t="n">
        <f aca="false">'ML Premium'!$K9</f>
        <v>142.714285714286</v>
      </c>
      <c r="H9" s="60" t="n">
        <f aca="false">'ML Premium'!$Q9</f>
        <v>0.2</v>
      </c>
      <c r="I9" s="62" t="n">
        <f aca="false">Amazon!$K9</f>
        <v>129.5</v>
      </c>
      <c r="J9" s="60" t="n">
        <f aca="false">Amazon!$Q9</f>
        <v>0.2</v>
      </c>
      <c r="K9" s="62" t="n">
        <f aca="false">'Via (Casas Bahia)'!$K9</f>
        <v>152.021739130435</v>
      </c>
      <c r="L9" s="60" t="n">
        <f aca="false">'Via (Casas Bahia)'!$Q9</f>
        <v>0.2</v>
      </c>
      <c r="M9" s="62" t="n">
        <f aca="false">MadeiraMadeira!$K9</f>
        <v>145.6875</v>
      </c>
      <c r="N9" s="60" t="n">
        <f aca="false">MadeiraMadeira!$Q9</f>
        <v>0.2</v>
      </c>
      <c r="O9" s="62" t="n">
        <f aca="false">Magalu!$K9</f>
        <v>142.714285714286</v>
      </c>
      <c r="P9" s="60" t="n">
        <f aca="false">Magalu!$Q9</f>
        <v>0.2</v>
      </c>
      <c r="Q9" s="46" t="n">
        <f aca="false">IF(COUNT($F9,$H9,$J9,$L9,$N9,$P9)=0,"",MIN($F9,$H9,$J9,$L9,$N9,$P9))</f>
        <v>0.2</v>
      </c>
      <c r="R9" s="46" t="n">
        <f aca="false">IF(COUNT($F9,$H9,$J9,$L9,$N9,$P9)=0,"",MAX($F9,$H9,$J9,$L9,$N9,$P9))</f>
        <v>0.2</v>
      </c>
      <c r="S9" s="61" t="n">
        <f aca="false">IF($A9="","",COUNT($E9,$G9,$I9,$K9,$M9,$O9))</f>
        <v>6</v>
      </c>
    </row>
    <row r="10" customFormat="false" ht="15" hidden="false" customHeight="false" outlineLevel="0" collapsed="false">
      <c r="A10" s="32" t="str">
        <f aca="false">IF(Produtos!$A10="","",Produtos!$A10)</f>
        <v>L2440</v>
      </c>
      <c r="B10" s="32" t="str">
        <f aca="false">IF(Produtos!$A10="","",Produtos!$B10)</f>
        <v>Lixeira Aço Inox s/Tampa 24x40 20L</v>
      </c>
      <c r="C10" s="32" t="str">
        <f aca="false">IF(Produtos!$A10="","",Produtos!$C10)</f>
        <v>Lixeiras em inox</v>
      </c>
      <c r="D10" s="33" t="n">
        <f aca="false">IF(Produtos!$A10="","",IF(Produtos!$D10="","",Produtos!$D10))</f>
        <v>85.92</v>
      </c>
      <c r="E10" s="59" t="n">
        <f aca="false">'ML Clássico'!$K10</f>
        <v>159.111111111111</v>
      </c>
      <c r="F10" s="60" t="n">
        <f aca="false">'ML Clássico'!$Q10</f>
        <v>0.2</v>
      </c>
      <c r="G10" s="59" t="n">
        <f aca="false">'ML Premium'!$K10</f>
        <v>175.34693877551</v>
      </c>
      <c r="H10" s="60" t="n">
        <f aca="false">'ML Premium'!$Q10</f>
        <v>0.2</v>
      </c>
      <c r="I10" s="59" t="n">
        <f aca="false">Amazon!$K10</f>
        <v>159.111111111111</v>
      </c>
      <c r="J10" s="60" t="n">
        <f aca="false">Amazon!$Q10</f>
        <v>0.2</v>
      </c>
      <c r="K10" s="59" t="n">
        <f aca="false">'Via (Casas Bahia)'!$K10</f>
        <v>186.782608695652</v>
      </c>
      <c r="L10" s="60" t="n">
        <f aca="false">'Via (Casas Bahia)'!$Q10</f>
        <v>0.2</v>
      </c>
      <c r="M10" s="59" t="n">
        <f aca="false">MadeiraMadeira!$K10</f>
        <v>179</v>
      </c>
      <c r="N10" s="60" t="n">
        <f aca="false">MadeiraMadeira!$Q10</f>
        <v>0.2</v>
      </c>
      <c r="O10" s="59" t="n">
        <f aca="false">Magalu!$K10</f>
        <v>175.34693877551</v>
      </c>
      <c r="P10" s="60" t="n">
        <f aca="false">Magalu!$Q10</f>
        <v>0.2</v>
      </c>
      <c r="Q10" s="46" t="n">
        <f aca="false">IF(COUNT($F10,$H10,$J10,$L10,$N10,$P10)=0,"",MIN($F10,$H10,$J10,$L10,$N10,$P10))</f>
        <v>0.2</v>
      </c>
      <c r="R10" s="46" t="n">
        <f aca="false">IF(COUNT($F10,$H10,$J10,$L10,$N10,$P10)=0,"",MAX($F10,$H10,$J10,$L10,$N10,$P10))</f>
        <v>0.2</v>
      </c>
      <c r="S10" s="61" t="n">
        <f aca="false">IF($A10="","",COUNT($E10,$G10,$I10,$K10,$M10,$O10))</f>
        <v>6</v>
      </c>
    </row>
    <row r="11" customFormat="false" ht="15" hidden="false" customHeight="false" outlineLevel="0" collapsed="false">
      <c r="A11" s="48" t="str">
        <f aca="false">IF(Produtos!$A11="","",Produtos!$A11)</f>
        <v>L2450</v>
      </c>
      <c r="B11" s="48" t="str">
        <f aca="false">IF(Produtos!$A11="","",Produtos!$B11)</f>
        <v>Lixeira Aço Inox s/Tampa 24x50 25L</v>
      </c>
      <c r="C11" s="48" t="str">
        <f aca="false">IF(Produtos!$A11="","",Produtos!$C11)</f>
        <v>Lixeiras em inox</v>
      </c>
      <c r="D11" s="33" t="n">
        <f aca="false">IF(Produtos!$A11="","",IF(Produtos!$D11="","",Produtos!$D11))</f>
        <v>116.34</v>
      </c>
      <c r="E11" s="62" t="n">
        <f aca="false">'ML Clássico'!$K11</f>
        <v>215.444444444444</v>
      </c>
      <c r="F11" s="60" t="n">
        <f aca="false">'ML Clássico'!$Q11</f>
        <v>0.2</v>
      </c>
      <c r="G11" s="62" t="n">
        <f aca="false">'ML Premium'!$K11</f>
        <v>237.428571428571</v>
      </c>
      <c r="H11" s="60" t="n">
        <f aca="false">'ML Premium'!$Q11</f>
        <v>0.2</v>
      </c>
      <c r="I11" s="62" t="n">
        <f aca="false">Amazon!$K11</f>
        <v>215.444444444444</v>
      </c>
      <c r="J11" s="60" t="n">
        <f aca="false">Amazon!$Q11</f>
        <v>0.2</v>
      </c>
      <c r="K11" s="62" t="n">
        <f aca="false">'Via (Casas Bahia)'!$K11</f>
        <v>252.913043478261</v>
      </c>
      <c r="L11" s="60" t="n">
        <f aca="false">'Via (Casas Bahia)'!$Q11</f>
        <v>0.2</v>
      </c>
      <c r="M11" s="62" t="n">
        <f aca="false">MadeiraMadeira!$K11</f>
        <v>242.375</v>
      </c>
      <c r="N11" s="60" t="n">
        <f aca="false">MadeiraMadeira!$Q11</f>
        <v>0.2</v>
      </c>
      <c r="O11" s="62" t="n">
        <f aca="false">Magalu!$K11</f>
        <v>237.428571428571</v>
      </c>
      <c r="P11" s="60" t="n">
        <f aca="false">Magalu!$Q11</f>
        <v>0.2</v>
      </c>
      <c r="Q11" s="46" t="n">
        <f aca="false">IF(COUNT($F11,$H11,$J11,$L11,$N11,$P11)=0,"",MIN($F11,$H11,$J11,$L11,$N11,$P11))</f>
        <v>0.2</v>
      </c>
      <c r="R11" s="46" t="n">
        <f aca="false">IF(COUNT($F11,$H11,$J11,$L11,$N11,$P11)=0,"",MAX($F11,$H11,$J11,$L11,$N11,$P11))</f>
        <v>0.2</v>
      </c>
      <c r="S11" s="61" t="n">
        <f aca="false">IF($A11="","",COUNT($E11,$G11,$I11,$K11,$M11,$O11))</f>
        <v>6</v>
      </c>
    </row>
    <row r="12" customFormat="false" ht="15" hidden="false" customHeight="false" outlineLevel="0" collapsed="false">
      <c r="A12" s="32" t="str">
        <f aca="false">IF(Produtos!$A12="","",Produtos!$A12)</f>
        <v>L2460</v>
      </c>
      <c r="B12" s="32" t="str">
        <f aca="false">IF(Produtos!$A12="","",Produtos!$B12)</f>
        <v>Lixeira Aço Inox s/Tampa 24x60 27L</v>
      </c>
      <c r="C12" s="32" t="str">
        <f aca="false">IF(Produtos!$A12="","",Produtos!$C12)</f>
        <v>Lixeiras em inox</v>
      </c>
      <c r="D12" s="33" t="n">
        <f aca="false">IF(Produtos!$A12="","",IF(Produtos!$D12="","",Produtos!$D12))</f>
        <v>117.84</v>
      </c>
      <c r="E12" s="59" t="n">
        <f aca="false">'ML Clássico'!$K12</f>
        <v>218.222222222222</v>
      </c>
      <c r="F12" s="60" t="n">
        <f aca="false">'ML Clássico'!$Q12</f>
        <v>0.2</v>
      </c>
      <c r="G12" s="59" t="n">
        <f aca="false">'ML Premium'!$K12</f>
        <v>240.489795918367</v>
      </c>
      <c r="H12" s="60" t="n">
        <f aca="false">'ML Premium'!$Q12</f>
        <v>0.2</v>
      </c>
      <c r="I12" s="59" t="n">
        <f aca="false">Amazon!$K12</f>
        <v>218.222222222222</v>
      </c>
      <c r="J12" s="60" t="n">
        <f aca="false">Amazon!$Q12</f>
        <v>0.2</v>
      </c>
      <c r="K12" s="59" t="n">
        <f aca="false">'Via (Casas Bahia)'!$K12</f>
        <v>256.173913043478</v>
      </c>
      <c r="L12" s="60" t="n">
        <f aca="false">'Via (Casas Bahia)'!$Q12</f>
        <v>0.2</v>
      </c>
      <c r="M12" s="59" t="n">
        <f aca="false">MadeiraMadeira!$K12</f>
        <v>245.5</v>
      </c>
      <c r="N12" s="60" t="n">
        <f aca="false">MadeiraMadeira!$Q12</f>
        <v>0.2</v>
      </c>
      <c r="O12" s="59" t="n">
        <f aca="false">Magalu!$K12</f>
        <v>240.489795918367</v>
      </c>
      <c r="P12" s="60" t="n">
        <f aca="false">Magalu!$Q12</f>
        <v>0.2</v>
      </c>
      <c r="Q12" s="46" t="n">
        <f aca="false">IF(COUNT($F12,$H12,$J12,$L12,$N12,$P12)=0,"",MIN($F12,$H12,$J12,$L12,$N12,$P12))</f>
        <v>0.2</v>
      </c>
      <c r="R12" s="46" t="n">
        <f aca="false">IF(COUNT($F12,$H12,$J12,$L12,$N12,$P12)=0,"",MAX($F12,$H12,$J12,$L12,$N12,$P12))</f>
        <v>0.2</v>
      </c>
      <c r="S12" s="61" t="n">
        <f aca="false">IF($A12="","",COUNT($E12,$G12,$I12,$K12,$M12,$O12))</f>
        <v>6</v>
      </c>
    </row>
    <row r="13" customFormat="false" ht="15" hidden="false" customHeight="false" outlineLevel="0" collapsed="false">
      <c r="A13" s="48" t="str">
        <f aca="false">IF(Produtos!$A13="","",Produtos!$A13)</f>
        <v>L2470</v>
      </c>
      <c r="B13" s="48" t="str">
        <f aca="false">IF(Produtos!$A13="","",Produtos!$B13)</f>
        <v>Lixeira Aço Inox s/Tampa 24x70 30L</v>
      </c>
      <c r="C13" s="48" t="str">
        <f aca="false">IF(Produtos!$A13="","",Produtos!$C13)</f>
        <v>Lixeiras em inox</v>
      </c>
      <c r="D13" s="33" t="n">
        <f aca="false">IF(Produtos!$A13="","",IF(Produtos!$D13="","",Produtos!$D13))</f>
        <v>186.46</v>
      </c>
      <c r="E13" s="62" t="n">
        <f aca="false">'ML Clássico'!$K13</f>
        <v>345.296296296296</v>
      </c>
      <c r="F13" s="60" t="n">
        <f aca="false">'ML Clássico'!$Q13</f>
        <v>0.2</v>
      </c>
      <c r="G13" s="62" t="n">
        <f aca="false">'ML Premium'!$K13</f>
        <v>380.530612244898</v>
      </c>
      <c r="H13" s="60" t="n">
        <f aca="false">'ML Premium'!$Q13</f>
        <v>0.2</v>
      </c>
      <c r="I13" s="62" t="n">
        <f aca="false">Amazon!$K13</f>
        <v>345.296296296296</v>
      </c>
      <c r="J13" s="60" t="n">
        <f aca="false">Amazon!$Q13</f>
        <v>0.2</v>
      </c>
      <c r="K13" s="62" t="n">
        <f aca="false">'Via (Casas Bahia)'!$K13</f>
        <v>405.347826086957</v>
      </c>
      <c r="L13" s="60" t="n">
        <f aca="false">'Via (Casas Bahia)'!$Q13</f>
        <v>0.2</v>
      </c>
      <c r="M13" s="62" t="n">
        <f aca="false">MadeiraMadeira!$K13</f>
        <v>388.458333333333</v>
      </c>
      <c r="N13" s="60" t="n">
        <f aca="false">MadeiraMadeira!$Q13</f>
        <v>0.2</v>
      </c>
      <c r="O13" s="62" t="n">
        <f aca="false">Magalu!$K13</f>
        <v>380.530612244898</v>
      </c>
      <c r="P13" s="60" t="n">
        <f aca="false">Magalu!$Q13</f>
        <v>0.2</v>
      </c>
      <c r="Q13" s="46" t="n">
        <f aca="false">IF(COUNT($F13,$H13,$J13,$L13,$N13,$P13)=0,"",MIN($F13,$H13,$J13,$L13,$N13,$P13))</f>
        <v>0.2</v>
      </c>
      <c r="R13" s="46" t="n">
        <f aca="false">IF(COUNT($F13,$H13,$J13,$L13,$N13,$P13)=0,"",MAX($F13,$H13,$J13,$L13,$N13,$P13))</f>
        <v>0.2</v>
      </c>
      <c r="S13" s="61" t="n">
        <f aca="false">IF($A13="","",COUNT($E13,$G13,$I13,$K13,$M13,$O13))</f>
        <v>6</v>
      </c>
    </row>
    <row r="14" customFormat="false" ht="15" hidden="false" customHeight="false" outlineLevel="0" collapsed="false">
      <c r="A14" s="32" t="str">
        <f aca="false">IF(Produtos!$A14="","",Produtos!$A14)</f>
        <v>L3040</v>
      </c>
      <c r="B14" s="32" t="str">
        <f aca="false">IF(Produtos!$A14="","",Produtos!$B14)</f>
        <v>Lixeira Aço Inox s/Tampa 30x40 30L</v>
      </c>
      <c r="C14" s="32" t="str">
        <f aca="false">IF(Produtos!$A14="","",Produtos!$C14)</f>
        <v>Lixeiras em inox</v>
      </c>
      <c r="D14" s="33" t="n">
        <f aca="false">IF(Produtos!$A14="","",IF(Produtos!$D14="","",Produtos!$D14))</f>
        <v>116.77</v>
      </c>
      <c r="E14" s="59" t="n">
        <f aca="false">'ML Clássico'!$K14</f>
        <v>216.240740740741</v>
      </c>
      <c r="F14" s="60" t="n">
        <f aca="false">'ML Clássico'!$Q14</f>
        <v>0.2</v>
      </c>
      <c r="G14" s="59" t="n">
        <f aca="false">'ML Premium'!$K14</f>
        <v>238.30612244898</v>
      </c>
      <c r="H14" s="60" t="n">
        <f aca="false">'ML Premium'!$Q14</f>
        <v>0.2</v>
      </c>
      <c r="I14" s="59" t="n">
        <f aca="false">Amazon!$K14</f>
        <v>216.240740740741</v>
      </c>
      <c r="J14" s="60" t="n">
        <f aca="false">Amazon!$Q14</f>
        <v>0.2</v>
      </c>
      <c r="K14" s="59" t="n">
        <f aca="false">'Via (Casas Bahia)'!$K14</f>
        <v>253.847826086957</v>
      </c>
      <c r="L14" s="60" t="n">
        <f aca="false">'Via (Casas Bahia)'!$Q14</f>
        <v>0.2</v>
      </c>
      <c r="M14" s="59" t="n">
        <f aca="false">MadeiraMadeira!$K14</f>
        <v>243.270833333333</v>
      </c>
      <c r="N14" s="60" t="n">
        <f aca="false">MadeiraMadeira!$Q14</f>
        <v>0.2</v>
      </c>
      <c r="O14" s="59" t="n">
        <f aca="false">Magalu!$K14</f>
        <v>238.30612244898</v>
      </c>
      <c r="P14" s="60" t="n">
        <f aca="false">Magalu!$Q14</f>
        <v>0.2</v>
      </c>
      <c r="Q14" s="46" t="n">
        <f aca="false">IF(COUNT($F14,$H14,$J14,$L14,$N14,$P14)=0,"",MIN($F14,$H14,$J14,$L14,$N14,$P14))</f>
        <v>0.2</v>
      </c>
      <c r="R14" s="46" t="n">
        <f aca="false">IF(COUNT($F14,$H14,$J14,$L14,$N14,$P14)=0,"",MAX($F14,$H14,$J14,$L14,$N14,$P14))</f>
        <v>0.2</v>
      </c>
      <c r="S14" s="61" t="n">
        <f aca="false">IF($A14="","",COUNT($E14,$G14,$I14,$K14,$M14,$O14))</f>
        <v>6</v>
      </c>
    </row>
    <row r="15" customFormat="false" ht="15" hidden="false" customHeight="false" outlineLevel="0" collapsed="false">
      <c r="A15" s="48" t="str">
        <f aca="false">IF(Produtos!$A15="","",Produtos!$A15)</f>
        <v>L3050</v>
      </c>
      <c r="B15" s="48" t="str">
        <f aca="false">IF(Produtos!$A15="","",Produtos!$B15)</f>
        <v>Lixeira Aço Inox s/Tampa 30x50 35L</v>
      </c>
      <c r="C15" s="48" t="str">
        <f aca="false">IF(Produtos!$A15="","",Produtos!$C15)</f>
        <v>Lixeiras em inox</v>
      </c>
      <c r="D15" s="33" t="n">
        <f aca="false">IF(Produtos!$A15="","",IF(Produtos!$D15="","",Produtos!$D15))</f>
        <v>159.84</v>
      </c>
      <c r="E15" s="62" t="n">
        <f aca="false">'ML Clássico'!$K15</f>
        <v>296</v>
      </c>
      <c r="F15" s="60" t="n">
        <f aca="false">'ML Clássico'!$Q15</f>
        <v>0.2</v>
      </c>
      <c r="G15" s="62" t="n">
        <f aca="false">'ML Premium'!$K15</f>
        <v>326.204081632653</v>
      </c>
      <c r="H15" s="60" t="n">
        <f aca="false">'ML Premium'!$Q15</f>
        <v>0.2</v>
      </c>
      <c r="I15" s="62" t="n">
        <f aca="false">Amazon!$K15</f>
        <v>296</v>
      </c>
      <c r="J15" s="60" t="n">
        <f aca="false">Amazon!$Q15</f>
        <v>0.2</v>
      </c>
      <c r="K15" s="62" t="n">
        <f aca="false">'Via (Casas Bahia)'!$K15</f>
        <v>347.478260869565</v>
      </c>
      <c r="L15" s="60" t="n">
        <f aca="false">'Via (Casas Bahia)'!$Q15</f>
        <v>0.2</v>
      </c>
      <c r="M15" s="62" t="n">
        <f aca="false">MadeiraMadeira!$K15</f>
        <v>333</v>
      </c>
      <c r="N15" s="60" t="n">
        <f aca="false">MadeiraMadeira!$Q15</f>
        <v>0.2</v>
      </c>
      <c r="O15" s="62" t="n">
        <f aca="false">Magalu!$K15</f>
        <v>326.204081632653</v>
      </c>
      <c r="P15" s="60" t="n">
        <f aca="false">Magalu!$Q15</f>
        <v>0.2</v>
      </c>
      <c r="Q15" s="46" t="n">
        <f aca="false">IF(COUNT($F15,$H15,$J15,$L15,$N15,$P15)=0,"",MIN($F15,$H15,$J15,$L15,$N15,$P15))</f>
        <v>0.2</v>
      </c>
      <c r="R15" s="46" t="n">
        <f aca="false">IF(COUNT($F15,$H15,$J15,$L15,$N15,$P15)=0,"",MAX($F15,$H15,$J15,$L15,$N15,$P15))</f>
        <v>0.2</v>
      </c>
      <c r="S15" s="61" t="n">
        <f aca="false">IF($A15="","",COUNT($E15,$G15,$I15,$K15,$M15,$O15))</f>
        <v>6</v>
      </c>
    </row>
    <row r="16" customFormat="false" ht="15" hidden="false" customHeight="false" outlineLevel="0" collapsed="false">
      <c r="A16" s="32" t="str">
        <f aca="false">IF(Produtos!$A16="","",Produtos!$A16)</f>
        <v>L3060</v>
      </c>
      <c r="B16" s="32" t="str">
        <f aca="false">IF(Produtos!$A16="","",Produtos!$B16)</f>
        <v>Lixeira Aço Inox s/Tampa 30x60 40L</v>
      </c>
      <c r="C16" s="32" t="str">
        <f aca="false">IF(Produtos!$A16="","",Produtos!$C16)</f>
        <v>Lixeiras em inox</v>
      </c>
      <c r="D16" s="33" t="n">
        <f aca="false">IF(Produtos!$A16="","",IF(Produtos!$D16="","",Produtos!$D16))</f>
        <v>164.99</v>
      </c>
      <c r="E16" s="59" t="n">
        <f aca="false">'ML Clássico'!$K16</f>
        <v>305.537037037037</v>
      </c>
      <c r="F16" s="60" t="n">
        <f aca="false">'ML Clássico'!$Q16</f>
        <v>0.2</v>
      </c>
      <c r="G16" s="59" t="n">
        <f aca="false">'ML Premium'!$K16</f>
        <v>336.714285714286</v>
      </c>
      <c r="H16" s="60" t="n">
        <f aca="false">'ML Premium'!$Q16</f>
        <v>0.2</v>
      </c>
      <c r="I16" s="59" t="n">
        <f aca="false">Amazon!$K16</f>
        <v>305.537037037037</v>
      </c>
      <c r="J16" s="60" t="n">
        <f aca="false">Amazon!$Q16</f>
        <v>0.2</v>
      </c>
      <c r="K16" s="59" t="n">
        <f aca="false">'Via (Casas Bahia)'!$K16</f>
        <v>358.673913043478</v>
      </c>
      <c r="L16" s="60" t="n">
        <f aca="false">'Via (Casas Bahia)'!$Q16</f>
        <v>0.2</v>
      </c>
      <c r="M16" s="59" t="n">
        <f aca="false">MadeiraMadeira!$K16</f>
        <v>343.729166666667</v>
      </c>
      <c r="N16" s="60" t="n">
        <f aca="false">MadeiraMadeira!$Q16</f>
        <v>0.2</v>
      </c>
      <c r="O16" s="59" t="n">
        <f aca="false">Magalu!$K16</f>
        <v>336.714285714286</v>
      </c>
      <c r="P16" s="60" t="n">
        <f aca="false">Magalu!$Q16</f>
        <v>0.2</v>
      </c>
      <c r="Q16" s="46" t="n">
        <f aca="false">IF(COUNT($F16,$H16,$J16,$L16,$N16,$P16)=0,"",MIN($F16,$H16,$J16,$L16,$N16,$P16))</f>
        <v>0.2</v>
      </c>
      <c r="R16" s="46" t="n">
        <f aca="false">IF(COUNT($F16,$H16,$J16,$L16,$N16,$P16)=0,"",MAX($F16,$H16,$J16,$L16,$N16,$P16))</f>
        <v>0.2</v>
      </c>
      <c r="S16" s="61" t="n">
        <f aca="false">IF($A16="","",COUNT($E16,$G16,$I16,$K16,$M16,$O16))</f>
        <v>6</v>
      </c>
    </row>
    <row r="17" customFormat="false" ht="15" hidden="false" customHeight="false" outlineLevel="0" collapsed="false">
      <c r="A17" s="48" t="str">
        <f aca="false">IF(Produtos!$A17="","",Produtos!$A17)</f>
        <v>L3070</v>
      </c>
      <c r="B17" s="48" t="str">
        <f aca="false">IF(Produtos!$A17="","",Produtos!$B17)</f>
        <v>Lixeira Aço Inox s/Tampa 30x70 50L</v>
      </c>
      <c r="C17" s="48" t="str">
        <f aca="false">IF(Produtos!$A17="","",Produtos!$C17)</f>
        <v>Lixeiras em inox</v>
      </c>
      <c r="D17" s="33" t="n">
        <f aca="false">IF(Produtos!$A17="","",IF(Produtos!$D17="","",Produtos!$D17))</f>
        <v>210.17</v>
      </c>
      <c r="E17" s="62" t="n">
        <f aca="false">'ML Clássico'!$K17</f>
        <v>389.203703703704</v>
      </c>
      <c r="F17" s="60" t="n">
        <f aca="false">'ML Clássico'!$Q17</f>
        <v>0.2</v>
      </c>
      <c r="G17" s="62" t="n">
        <f aca="false">'ML Premium'!$K17</f>
        <v>428.918367346939</v>
      </c>
      <c r="H17" s="60" t="n">
        <f aca="false">'ML Premium'!$Q17</f>
        <v>0.2</v>
      </c>
      <c r="I17" s="62" t="n">
        <f aca="false">Amazon!$K17</f>
        <v>389.203703703704</v>
      </c>
      <c r="J17" s="60" t="n">
        <f aca="false">Amazon!$Q17</f>
        <v>0.2</v>
      </c>
      <c r="K17" s="62" t="n">
        <f aca="false">'Via (Casas Bahia)'!$K17</f>
        <v>456.891304347826</v>
      </c>
      <c r="L17" s="60" t="n">
        <f aca="false">'Via (Casas Bahia)'!$Q17</f>
        <v>0.2</v>
      </c>
      <c r="M17" s="62" t="n">
        <f aca="false">MadeiraMadeira!$K17</f>
        <v>437.854166666667</v>
      </c>
      <c r="N17" s="60" t="n">
        <f aca="false">MadeiraMadeira!$Q17</f>
        <v>0.2</v>
      </c>
      <c r="O17" s="62" t="n">
        <f aca="false">Magalu!$K17</f>
        <v>428.918367346939</v>
      </c>
      <c r="P17" s="60" t="n">
        <f aca="false">Magalu!$Q17</f>
        <v>0.2</v>
      </c>
      <c r="Q17" s="46" t="n">
        <f aca="false">IF(COUNT($F17,$H17,$J17,$L17,$N17,$P17)=0,"",MIN($F17,$H17,$J17,$L17,$N17,$P17))</f>
        <v>0.2</v>
      </c>
      <c r="R17" s="46" t="n">
        <f aca="false">IF(COUNT($F17,$H17,$J17,$L17,$N17,$P17)=0,"",MAX($F17,$H17,$J17,$L17,$N17,$P17))</f>
        <v>0.2</v>
      </c>
      <c r="S17" s="61" t="n">
        <f aca="false">IF($A17="","",COUNT($E17,$G17,$I17,$K17,$M17,$O17))</f>
        <v>6</v>
      </c>
    </row>
    <row r="18" customFormat="false" ht="15" hidden="false" customHeight="false" outlineLevel="0" collapsed="false">
      <c r="A18" s="32" t="str">
        <f aca="false">IF(Produtos!$A18="","",Produtos!$A18)</f>
        <v>L3085</v>
      </c>
      <c r="B18" s="32" t="str">
        <f aca="false">IF(Produtos!$A18="","",Produtos!$B18)</f>
        <v>Lixeira Aço Inox s/Tampa 30x85 60L</v>
      </c>
      <c r="C18" s="32" t="str">
        <f aca="false">IF(Produtos!$A18="","",Produtos!$C18)</f>
        <v>Lixeiras em inox</v>
      </c>
      <c r="D18" s="33" t="n">
        <f aca="false">IF(Produtos!$A18="","",IF(Produtos!$D18="","",Produtos!$D18))</f>
        <v>266.36</v>
      </c>
      <c r="E18" s="59" t="n">
        <f aca="false">'ML Clássico'!$K18</f>
        <v>493.259259259259</v>
      </c>
      <c r="F18" s="60" t="n">
        <f aca="false">'ML Clássico'!$Q18</f>
        <v>0.2</v>
      </c>
      <c r="G18" s="59" t="n">
        <f aca="false">'ML Premium'!$K18</f>
        <v>543.591836734694</v>
      </c>
      <c r="H18" s="60" t="n">
        <f aca="false">'ML Premium'!$Q18</f>
        <v>0.2</v>
      </c>
      <c r="I18" s="59" t="n">
        <f aca="false">Amazon!$K18</f>
        <v>493.259259259259</v>
      </c>
      <c r="J18" s="60" t="n">
        <f aca="false">Amazon!$Q18</f>
        <v>0.2</v>
      </c>
      <c r="K18" s="59" t="n">
        <f aca="false">'Via (Casas Bahia)'!$K18</f>
        <v>579.04347826087</v>
      </c>
      <c r="L18" s="60" t="n">
        <f aca="false">'Via (Casas Bahia)'!$Q18</f>
        <v>0.2</v>
      </c>
      <c r="M18" s="59" t="n">
        <f aca="false">MadeiraMadeira!$K18</f>
        <v>554.916666666667</v>
      </c>
      <c r="N18" s="60" t="n">
        <f aca="false">MadeiraMadeira!$Q18</f>
        <v>0.2</v>
      </c>
      <c r="O18" s="59" t="n">
        <f aca="false">Magalu!$K18</f>
        <v>543.591836734694</v>
      </c>
      <c r="P18" s="60" t="n">
        <f aca="false">Magalu!$Q18</f>
        <v>0.2</v>
      </c>
      <c r="Q18" s="46" t="n">
        <f aca="false">IF(COUNT($F18,$H18,$J18,$L18,$N18,$P18)=0,"",MIN($F18,$H18,$J18,$L18,$N18,$P18))</f>
        <v>0.2</v>
      </c>
      <c r="R18" s="46" t="n">
        <f aca="false">IF(COUNT($F18,$H18,$J18,$L18,$N18,$P18)=0,"",MAX($F18,$H18,$J18,$L18,$N18,$P18))</f>
        <v>0.2</v>
      </c>
      <c r="S18" s="61" t="n">
        <f aca="false">IF($A18="","",COUNT($E18,$G18,$I18,$K18,$M18,$O18))</f>
        <v>6</v>
      </c>
    </row>
    <row r="19" customFormat="false" ht="15" hidden="false" customHeight="false" outlineLevel="0" collapsed="false">
      <c r="A19" s="48" t="str">
        <f aca="false">IF(Produtos!$A19="","",Produtos!$A19)</f>
        <v>L4050</v>
      </c>
      <c r="B19" s="48" t="str">
        <f aca="false">IF(Produtos!$A19="","",Produtos!$B19)</f>
        <v>Lixeira Aço Inox s/Tampa 40x50 62L</v>
      </c>
      <c r="C19" s="48" t="str">
        <f aca="false">IF(Produtos!$A19="","",Produtos!$C19)</f>
        <v>Lixeiras em inox</v>
      </c>
      <c r="D19" s="33" t="n">
        <f aca="false">IF(Produtos!$A19="","",IF(Produtos!$D19="","",Produtos!$D19))</f>
        <v>221.01</v>
      </c>
      <c r="E19" s="62" t="n">
        <f aca="false">'ML Clássico'!$K19</f>
        <v>409.277777777778</v>
      </c>
      <c r="F19" s="60" t="n">
        <f aca="false">'ML Clássico'!$Q19</f>
        <v>0.2</v>
      </c>
      <c r="G19" s="62" t="n">
        <f aca="false">'ML Premium'!$K19</f>
        <v>451.040816326531</v>
      </c>
      <c r="H19" s="60" t="n">
        <f aca="false">'ML Premium'!$Q19</f>
        <v>0.2</v>
      </c>
      <c r="I19" s="62" t="n">
        <f aca="false">Amazon!$K19</f>
        <v>409.277777777778</v>
      </c>
      <c r="J19" s="60" t="n">
        <f aca="false">Amazon!$Q19</f>
        <v>0.2</v>
      </c>
      <c r="K19" s="62" t="n">
        <f aca="false">'Via (Casas Bahia)'!$K19</f>
        <v>480.45652173913</v>
      </c>
      <c r="L19" s="60" t="n">
        <f aca="false">'Via (Casas Bahia)'!$Q19</f>
        <v>0.2</v>
      </c>
      <c r="M19" s="62" t="n">
        <f aca="false">MadeiraMadeira!$K19</f>
        <v>460.4375</v>
      </c>
      <c r="N19" s="60" t="n">
        <f aca="false">MadeiraMadeira!$Q19</f>
        <v>0.2</v>
      </c>
      <c r="O19" s="62" t="n">
        <f aca="false">Magalu!$K19</f>
        <v>451.040816326531</v>
      </c>
      <c r="P19" s="60" t="n">
        <f aca="false">Magalu!$Q19</f>
        <v>0.2</v>
      </c>
      <c r="Q19" s="46" t="n">
        <f aca="false">IF(COUNT($F19,$H19,$J19,$L19,$N19,$P19)=0,"",MIN($F19,$H19,$J19,$L19,$N19,$P19))</f>
        <v>0.2</v>
      </c>
      <c r="R19" s="46" t="n">
        <f aca="false">IF(COUNT($F19,$H19,$J19,$L19,$N19,$P19)=0,"",MAX($F19,$H19,$J19,$L19,$N19,$P19))</f>
        <v>0.2</v>
      </c>
      <c r="S19" s="61" t="n">
        <f aca="false">IF($A19="","",COUNT($E19,$G19,$I19,$K19,$M19,$O19))</f>
        <v>6</v>
      </c>
    </row>
    <row r="20" customFormat="false" ht="15" hidden="false" customHeight="false" outlineLevel="0" collapsed="false">
      <c r="A20" s="32" t="str">
        <f aca="false">IF(Produtos!$A20="","",Produtos!$A20)</f>
        <v>L4060</v>
      </c>
      <c r="B20" s="32" t="str">
        <f aca="false">IF(Produtos!$A20="","",Produtos!$B20)</f>
        <v>Lixeira Aço Inox s/Tampa 40x60 75L</v>
      </c>
      <c r="C20" s="32" t="str">
        <f aca="false">IF(Produtos!$A20="","",Produtos!$C20)</f>
        <v>Lixeiras em inox</v>
      </c>
      <c r="D20" s="33" t="n">
        <f aca="false">IF(Produtos!$A20="","",IF(Produtos!$D20="","",Produtos!$D20))</f>
        <v>257.51</v>
      </c>
      <c r="E20" s="59" t="n">
        <f aca="false">'ML Clássico'!$K20</f>
        <v>476.87037037037</v>
      </c>
      <c r="F20" s="60" t="n">
        <f aca="false">'ML Clássico'!$Q20</f>
        <v>0.2</v>
      </c>
      <c r="G20" s="59" t="n">
        <f aca="false">'ML Premium'!$K20</f>
        <v>525.530612244898</v>
      </c>
      <c r="H20" s="60" t="n">
        <f aca="false">'ML Premium'!$Q20</f>
        <v>0.2</v>
      </c>
      <c r="I20" s="59" t="n">
        <f aca="false">Amazon!$K20</f>
        <v>476.87037037037</v>
      </c>
      <c r="J20" s="60" t="n">
        <f aca="false">Amazon!$Q20</f>
        <v>0.2</v>
      </c>
      <c r="K20" s="59" t="n">
        <f aca="false">'Via (Casas Bahia)'!$K20</f>
        <v>559.804347826087</v>
      </c>
      <c r="L20" s="60" t="n">
        <f aca="false">'Via (Casas Bahia)'!$Q20</f>
        <v>0.2</v>
      </c>
      <c r="M20" s="59" t="n">
        <f aca="false">MadeiraMadeira!$K20</f>
        <v>536.479166666667</v>
      </c>
      <c r="N20" s="60" t="n">
        <f aca="false">MadeiraMadeira!$Q20</f>
        <v>0.2</v>
      </c>
      <c r="O20" s="59" t="n">
        <f aca="false">Magalu!$K20</f>
        <v>525.530612244898</v>
      </c>
      <c r="P20" s="60" t="n">
        <f aca="false">Magalu!$Q20</f>
        <v>0.2</v>
      </c>
      <c r="Q20" s="46" t="n">
        <f aca="false">IF(COUNT($F20,$H20,$J20,$L20,$N20,$P20)=0,"",MIN($F20,$H20,$J20,$L20,$N20,$P20))</f>
        <v>0.2</v>
      </c>
      <c r="R20" s="46" t="n">
        <f aca="false">IF(COUNT($F20,$H20,$J20,$L20,$N20,$P20)=0,"",MAX($F20,$H20,$J20,$L20,$N20,$P20))</f>
        <v>0.2</v>
      </c>
      <c r="S20" s="61" t="n">
        <f aca="false">IF($A20="","",COUNT($E20,$G20,$I20,$K20,$M20,$O20))</f>
        <v>6</v>
      </c>
    </row>
    <row r="21" customFormat="false" ht="15" hidden="false" customHeight="false" outlineLevel="0" collapsed="false">
      <c r="A21" s="48" t="str">
        <f aca="false">IF(Produtos!$A21="","",Produtos!$A21)</f>
        <v>L4070</v>
      </c>
      <c r="B21" s="48" t="str">
        <f aca="false">IF(Produtos!$A21="","",Produtos!$B21)</f>
        <v>Lixeira Aço Inox s/Tampa 40x70 88L</v>
      </c>
      <c r="C21" s="48" t="str">
        <f aca="false">IF(Produtos!$A21="","",Produtos!$C21)</f>
        <v>Lixeiras em inox</v>
      </c>
      <c r="D21" s="33" t="n">
        <f aca="false">IF(Produtos!$A21="","",IF(Produtos!$D21="","",Produtos!$D21))</f>
        <v>262.59</v>
      </c>
      <c r="E21" s="62" t="n">
        <f aca="false">'ML Clássico'!$K21</f>
        <v>486.277777777778</v>
      </c>
      <c r="F21" s="60" t="n">
        <f aca="false">'ML Clássico'!$Q21</f>
        <v>0.2</v>
      </c>
      <c r="G21" s="62" t="n">
        <f aca="false">'ML Premium'!$K21</f>
        <v>535.897959183673</v>
      </c>
      <c r="H21" s="60" t="n">
        <f aca="false">'ML Premium'!$Q21</f>
        <v>0.2</v>
      </c>
      <c r="I21" s="62" t="n">
        <f aca="false">Amazon!$K21</f>
        <v>486.277777777778</v>
      </c>
      <c r="J21" s="60" t="n">
        <f aca="false">Amazon!$Q21</f>
        <v>0.2</v>
      </c>
      <c r="K21" s="62" t="n">
        <f aca="false">'Via (Casas Bahia)'!$K21</f>
        <v>570.847826086956</v>
      </c>
      <c r="L21" s="60" t="n">
        <f aca="false">'Via (Casas Bahia)'!$Q21</f>
        <v>0.2</v>
      </c>
      <c r="M21" s="62" t="n">
        <f aca="false">MadeiraMadeira!$K21</f>
        <v>547.0625</v>
      </c>
      <c r="N21" s="60" t="n">
        <f aca="false">MadeiraMadeira!$Q21</f>
        <v>0.2</v>
      </c>
      <c r="O21" s="62" t="n">
        <f aca="false">Magalu!$K21</f>
        <v>535.897959183673</v>
      </c>
      <c r="P21" s="60" t="n">
        <f aca="false">Magalu!$Q21</f>
        <v>0.2</v>
      </c>
      <c r="Q21" s="46" t="n">
        <f aca="false">IF(COUNT($F21,$H21,$J21,$L21,$N21,$P21)=0,"",MIN($F21,$H21,$J21,$L21,$N21,$P21))</f>
        <v>0.2</v>
      </c>
      <c r="R21" s="46" t="n">
        <f aca="false">IF(COUNT($F21,$H21,$J21,$L21,$N21,$P21)=0,"",MAX($F21,$H21,$J21,$L21,$N21,$P21))</f>
        <v>0.2</v>
      </c>
      <c r="S21" s="61" t="n">
        <f aca="false">IF($A21="","",COUNT($E21,$G21,$I21,$K21,$M21,$O21))</f>
        <v>6</v>
      </c>
    </row>
    <row r="22" customFormat="false" ht="15" hidden="false" customHeight="false" outlineLevel="0" collapsed="false">
      <c r="A22" s="32" t="str">
        <f aca="false">IF(Produtos!$A22="","",Produtos!$A22)</f>
        <v>L4075</v>
      </c>
      <c r="B22" s="32" t="str">
        <f aca="false">IF(Produtos!$A22="","",Produtos!$B22)</f>
        <v>Lixeira Aço Inox s/Tampa 40x75 95L</v>
      </c>
      <c r="C22" s="32" t="str">
        <f aca="false">IF(Produtos!$A22="","",Produtos!$C22)</f>
        <v>Lixeiras em inox</v>
      </c>
      <c r="D22" s="33" t="n">
        <f aca="false">IF(Produtos!$A22="","",IF(Produtos!$D22="","",Produtos!$D22))</f>
        <v>322.16</v>
      </c>
      <c r="E22" s="59" t="n">
        <f aca="false">'ML Clássico'!$K22</f>
        <v>596.592592592593</v>
      </c>
      <c r="F22" s="60" t="n">
        <f aca="false">'ML Clássico'!$Q22</f>
        <v>0.2</v>
      </c>
      <c r="G22" s="59" t="n">
        <f aca="false">'ML Premium'!$K22</f>
        <v>657.469387755102</v>
      </c>
      <c r="H22" s="60" t="n">
        <f aca="false">'ML Premium'!$Q22</f>
        <v>0.2</v>
      </c>
      <c r="I22" s="59" t="n">
        <f aca="false">Amazon!$K22</f>
        <v>596.592592592593</v>
      </c>
      <c r="J22" s="60" t="n">
        <f aca="false">Amazon!$Q22</f>
        <v>0.2</v>
      </c>
      <c r="K22" s="59" t="n">
        <f aca="false">'Via (Casas Bahia)'!$K22</f>
        <v>700.347826086957</v>
      </c>
      <c r="L22" s="60" t="n">
        <f aca="false">'Via (Casas Bahia)'!$Q22</f>
        <v>0.2</v>
      </c>
      <c r="M22" s="59" t="n">
        <f aca="false">MadeiraMadeira!$K22</f>
        <v>671.166666666667</v>
      </c>
      <c r="N22" s="60" t="n">
        <f aca="false">MadeiraMadeira!$Q22</f>
        <v>0.2</v>
      </c>
      <c r="O22" s="59" t="n">
        <f aca="false">Magalu!$K22</f>
        <v>657.469387755102</v>
      </c>
      <c r="P22" s="60" t="n">
        <f aca="false">Magalu!$Q22</f>
        <v>0.2</v>
      </c>
      <c r="Q22" s="46" t="n">
        <f aca="false">IF(COUNT($F22,$H22,$J22,$L22,$N22,$P22)=0,"",MIN($F22,$H22,$J22,$L22,$N22,$P22))</f>
        <v>0.2</v>
      </c>
      <c r="R22" s="46" t="n">
        <f aca="false">IF(COUNT($F22,$H22,$J22,$L22,$N22,$P22)=0,"",MAX($F22,$H22,$J22,$L22,$N22,$P22))</f>
        <v>0.2</v>
      </c>
      <c r="S22" s="61" t="n">
        <f aca="false">IF($A22="","",COUNT($E22,$G22,$I22,$K22,$M22,$O22))</f>
        <v>6</v>
      </c>
    </row>
    <row r="23" customFormat="false" ht="15" hidden="false" customHeight="false" outlineLevel="0" collapsed="false">
      <c r="A23" s="48" t="str">
        <f aca="false">IF(Produtos!$A23="","",Produtos!$A23)</f>
        <v>L4080</v>
      </c>
      <c r="B23" s="48" t="str">
        <f aca="false">IF(Produtos!$A23="","",Produtos!$B23)</f>
        <v>Lixeira Aço Inox s/Tampa 40x80 100L</v>
      </c>
      <c r="C23" s="48" t="str">
        <f aca="false">IF(Produtos!$A23="","",Produtos!$C23)</f>
        <v>Lixeiras em inox</v>
      </c>
      <c r="D23" s="33" t="n">
        <f aca="false">IF(Produtos!$A23="","",IF(Produtos!$D23="","",Produtos!$D23))</f>
        <v>336.34</v>
      </c>
      <c r="E23" s="62" t="n">
        <f aca="false">'ML Clássico'!$K23</f>
        <v>622.851851851852</v>
      </c>
      <c r="F23" s="60" t="n">
        <f aca="false">'ML Clássico'!$Q23</f>
        <v>0.2</v>
      </c>
      <c r="G23" s="62" t="n">
        <f aca="false">'ML Premium'!$K23</f>
        <v>686.408163265306</v>
      </c>
      <c r="H23" s="60" t="n">
        <f aca="false">'ML Premium'!$Q23</f>
        <v>0.2</v>
      </c>
      <c r="I23" s="62" t="n">
        <f aca="false">Amazon!$K23</f>
        <v>622.851851851852</v>
      </c>
      <c r="J23" s="60" t="n">
        <f aca="false">Amazon!$Q23</f>
        <v>0.2</v>
      </c>
      <c r="K23" s="62" t="n">
        <f aca="false">'Via (Casas Bahia)'!$K23</f>
        <v>731.173913043478</v>
      </c>
      <c r="L23" s="60" t="n">
        <f aca="false">'Via (Casas Bahia)'!$Q23</f>
        <v>0.2</v>
      </c>
      <c r="M23" s="62" t="n">
        <f aca="false">MadeiraMadeira!$K23</f>
        <v>700.708333333333</v>
      </c>
      <c r="N23" s="60" t="n">
        <f aca="false">MadeiraMadeira!$Q23</f>
        <v>0.2</v>
      </c>
      <c r="O23" s="62" t="n">
        <f aca="false">Magalu!$K23</f>
        <v>686.408163265306</v>
      </c>
      <c r="P23" s="60" t="n">
        <f aca="false">Magalu!$Q23</f>
        <v>0.2</v>
      </c>
      <c r="Q23" s="46" t="n">
        <f aca="false">IF(COUNT($F23,$H23,$J23,$L23,$N23,$P23)=0,"",MIN($F23,$H23,$J23,$L23,$N23,$P23))</f>
        <v>0.2</v>
      </c>
      <c r="R23" s="46" t="n">
        <f aca="false">IF(COUNT($F23,$H23,$J23,$L23,$N23,$P23)=0,"",MAX($F23,$H23,$J23,$L23,$N23,$P23))</f>
        <v>0.2</v>
      </c>
      <c r="S23" s="61" t="n">
        <f aca="false">IF($A23="","",COUNT($E23,$G23,$I23,$K23,$M23,$O23))</f>
        <v>6</v>
      </c>
    </row>
    <row r="24" customFormat="false" ht="15" hidden="false" customHeight="false" outlineLevel="0" collapsed="false">
      <c r="A24" s="32" t="str">
        <f aca="false">IF(Produtos!$A24="","",Produtos!$A24)</f>
        <v>L4090</v>
      </c>
      <c r="B24" s="32" t="str">
        <f aca="false">IF(Produtos!$A24="","",Produtos!$B24)</f>
        <v>Lixeira Aço Inox s/Tampa 40x90 120L</v>
      </c>
      <c r="C24" s="32" t="str">
        <f aca="false">IF(Produtos!$A24="","",Produtos!$C24)</f>
        <v>Lixeiras em inox</v>
      </c>
      <c r="D24" s="33" t="n">
        <f aca="false">IF(Produtos!$A24="","",IF(Produtos!$D24="","",Produtos!$D24))</f>
        <v>378.85</v>
      </c>
      <c r="E24" s="59" t="n">
        <f aca="false">'ML Clássico'!$K24</f>
        <v>701.574074074074</v>
      </c>
      <c r="F24" s="60" t="n">
        <f aca="false">'ML Clássico'!$Q24</f>
        <v>0.2</v>
      </c>
      <c r="G24" s="59" t="n">
        <f aca="false">'ML Premium'!$K24</f>
        <v>773.163265306122</v>
      </c>
      <c r="H24" s="60" t="n">
        <f aca="false">'ML Premium'!$Q24</f>
        <v>0.2</v>
      </c>
      <c r="I24" s="59" t="n">
        <f aca="false">Amazon!$K24</f>
        <v>701.574074074074</v>
      </c>
      <c r="J24" s="60" t="n">
        <f aca="false">Amazon!$Q24</f>
        <v>0.2</v>
      </c>
      <c r="K24" s="59" t="n">
        <f aca="false">'Via (Casas Bahia)'!$K24</f>
        <v>823.586956521739</v>
      </c>
      <c r="L24" s="60" t="n">
        <f aca="false">'Via (Casas Bahia)'!$Q24</f>
        <v>0.2</v>
      </c>
      <c r="M24" s="59" t="n">
        <f aca="false">MadeiraMadeira!$K24</f>
        <v>789.270833333333</v>
      </c>
      <c r="N24" s="60" t="n">
        <f aca="false">MadeiraMadeira!$Q24</f>
        <v>0.2</v>
      </c>
      <c r="O24" s="59" t="n">
        <f aca="false">Magalu!$K24</f>
        <v>773.163265306122</v>
      </c>
      <c r="P24" s="60" t="n">
        <f aca="false">Magalu!$Q24</f>
        <v>0.2</v>
      </c>
      <c r="Q24" s="46" t="n">
        <f aca="false">IF(COUNT($F24,$H24,$J24,$L24,$N24,$P24)=0,"",MIN($F24,$H24,$J24,$L24,$N24,$P24))</f>
        <v>0.2</v>
      </c>
      <c r="R24" s="46" t="n">
        <f aca="false">IF(COUNT($F24,$H24,$J24,$L24,$N24,$P24)=0,"",MAX($F24,$H24,$J24,$L24,$N24,$P24))</f>
        <v>0.2</v>
      </c>
      <c r="S24" s="61" t="n">
        <f aca="false">IF($A24="","",COUNT($E24,$G24,$I24,$K24,$M24,$O24))</f>
        <v>6</v>
      </c>
    </row>
    <row r="25" customFormat="false" ht="15" hidden="false" customHeight="false" outlineLevel="0" collapsed="false">
      <c r="A25" s="48" t="str">
        <f aca="false">IF(Produtos!$A25="","",Produtos!$A25)</f>
        <v>L1618-A</v>
      </c>
      <c r="B25" s="48" t="str">
        <f aca="false">IF(Produtos!$A25="","",Produtos!$B25)</f>
        <v>Lixeira Aço Inox c/Aro 16x18 03L</v>
      </c>
      <c r="C25" s="48" t="str">
        <f aca="false">IF(Produtos!$A25="","",Produtos!$C25)</f>
        <v>Lixeiras em inox</v>
      </c>
      <c r="D25" s="33" t="n">
        <f aca="false">IF(Produtos!$A25="","",IF(Produtos!$D25="","",Produtos!$D25))</f>
        <v>48.18</v>
      </c>
      <c r="E25" s="62" t="n">
        <f aca="false">'ML Clássico'!$K25</f>
        <v>90.35</v>
      </c>
      <c r="F25" s="60" t="n">
        <f aca="false">'ML Clássico'!$Q25</f>
        <v>0.0501272827891533</v>
      </c>
      <c r="G25" s="62" t="n">
        <f aca="false">'ML Premium'!$K25</f>
        <v>96.63</v>
      </c>
      <c r="H25" s="60" t="n">
        <f aca="false">'ML Premium'!$Q25</f>
        <v>0.0449622270516403</v>
      </c>
      <c r="I25" s="62" t="n">
        <f aca="false">Amazon!$K25</f>
        <v>104.9</v>
      </c>
      <c r="J25" s="60" t="n">
        <f aca="false">Amazon!$Q25</f>
        <v>0.280705433746425</v>
      </c>
      <c r="K25" s="62" t="n">
        <f aca="false">'Via (Casas Bahia)'!$K25</f>
        <v>104.739130434783</v>
      </c>
      <c r="L25" s="60" t="n">
        <f aca="false">'Via (Casas Bahia)'!$Q25</f>
        <v>0.2</v>
      </c>
      <c r="M25" s="62" t="n">
        <f aca="false">MadeiraMadeira!$K25</f>
        <v>100.375</v>
      </c>
      <c r="N25" s="60" t="n">
        <f aca="false">MadeiraMadeira!$Q25</f>
        <v>0.2</v>
      </c>
      <c r="O25" s="62" t="n">
        <f aca="false">Magalu!$K25</f>
        <v>98.3265306122449</v>
      </c>
      <c r="P25" s="60" t="n">
        <f aca="false">Magalu!$Q25</f>
        <v>0.2</v>
      </c>
      <c r="Q25" s="46" t="n">
        <f aca="false">IF(COUNT($F25,$H25,$J25,$L25,$N25,$P25)=0,"",MIN($F25,$H25,$J25,$L25,$N25,$P25))</f>
        <v>0.0449622270516403</v>
      </c>
      <c r="R25" s="46" t="n">
        <f aca="false">IF(COUNT($F25,$H25,$J25,$L25,$N25,$P25)=0,"",MAX($F25,$H25,$J25,$L25,$N25,$P25))</f>
        <v>0.280705433746425</v>
      </c>
      <c r="S25" s="61" t="n">
        <f aca="false">IF($A25="","",COUNT($E25,$G25,$I25,$K25,$M25,$O25))</f>
        <v>6</v>
      </c>
    </row>
    <row r="26" customFormat="false" ht="15" hidden="false" customHeight="false" outlineLevel="0" collapsed="false">
      <c r="A26" s="32" t="str">
        <f aca="false">IF(Produtos!$A26="","",Produtos!$A26)</f>
        <v>L1623-A</v>
      </c>
      <c r="B26" s="32" t="str">
        <f aca="false">IF(Produtos!$A26="","",Produtos!$B26)</f>
        <v>Lixeira Aço Inox c/Aro 16x23 05L</v>
      </c>
      <c r="C26" s="32" t="str">
        <f aca="false">IF(Produtos!$A26="","",Produtos!$C26)</f>
        <v>Lixeiras em inox</v>
      </c>
      <c r="D26" s="33" t="n">
        <f aca="false">IF(Produtos!$A26="","",IF(Produtos!$D26="","",Produtos!$D26))</f>
        <v>55.75</v>
      </c>
      <c r="E26" s="59" t="n">
        <f aca="false">'ML Clássico'!$K26</f>
        <v>104.62</v>
      </c>
      <c r="F26" s="60" t="n">
        <f aca="false">'ML Clássico'!$Q26</f>
        <v>0.0498833874976104</v>
      </c>
      <c r="G26" s="59" t="n">
        <f aca="false">'ML Premium'!$K26</f>
        <v>114.53</v>
      </c>
      <c r="H26" s="60" t="n">
        <f aca="false">'ML Premium'!$Q26</f>
        <v>0.0430079455164586</v>
      </c>
      <c r="I26" s="59" t="n">
        <f aca="false">Amazon!$K26</f>
        <v>120.9</v>
      </c>
      <c r="J26" s="60" t="n">
        <f aca="false">Amazon!$Q26</f>
        <v>0.278875103391232</v>
      </c>
      <c r="K26" s="59" t="n">
        <f aca="false">'Via (Casas Bahia)'!$K26</f>
        <v>121.195652173913</v>
      </c>
      <c r="L26" s="60" t="n">
        <f aca="false">'Via (Casas Bahia)'!$Q26</f>
        <v>0.2</v>
      </c>
      <c r="M26" s="59" t="n">
        <f aca="false">MadeiraMadeira!$K26</f>
        <v>116.145833333333</v>
      </c>
      <c r="N26" s="60" t="n">
        <f aca="false">MadeiraMadeira!$Q26</f>
        <v>0.2</v>
      </c>
      <c r="O26" s="59" t="n">
        <f aca="false">Magalu!$K26</f>
        <v>113.775510204082</v>
      </c>
      <c r="P26" s="60" t="n">
        <f aca="false">Magalu!$Q26</f>
        <v>0.2</v>
      </c>
      <c r="Q26" s="46" t="n">
        <f aca="false">IF(COUNT($F26,$H26,$J26,$L26,$N26,$P26)=0,"",MIN($F26,$H26,$J26,$L26,$N26,$P26))</f>
        <v>0.0430079455164586</v>
      </c>
      <c r="R26" s="46" t="n">
        <f aca="false">IF(COUNT($F26,$H26,$J26,$L26,$N26,$P26)=0,"",MAX($F26,$H26,$J26,$L26,$N26,$P26))</f>
        <v>0.278875103391232</v>
      </c>
      <c r="S26" s="61" t="n">
        <f aca="false">IF($A26="","",COUNT($E26,$G26,$I26,$K26,$M26,$O26))</f>
        <v>6</v>
      </c>
    </row>
    <row r="27" customFormat="false" ht="15" hidden="false" customHeight="false" outlineLevel="0" collapsed="false">
      <c r="A27" s="48" t="str">
        <f aca="false">IF(Produtos!$A27="","",Produtos!$A27)</f>
        <v>L2025-A</v>
      </c>
      <c r="B27" s="48" t="str">
        <f aca="false">IF(Produtos!$A27="","",Produtos!$B27)</f>
        <v>Lixeira Aço Inox c/Aro 20x25 07L</v>
      </c>
      <c r="C27" s="48" t="str">
        <f aca="false">IF(Produtos!$A27="","",Produtos!$C27)</f>
        <v>Lixeiras em inox</v>
      </c>
      <c r="D27" s="33" t="n">
        <f aca="false">IF(Produtos!$A27="","",IF(Produtos!$D27="","",Produtos!$D27))</f>
        <v>60.21</v>
      </c>
      <c r="E27" s="62" t="n">
        <f aca="false">'ML Clássico'!$K27</f>
        <v>111.81</v>
      </c>
      <c r="F27" s="60" t="n">
        <f aca="false">'ML Clássico'!$Q27</f>
        <v>0.0507950988283696</v>
      </c>
      <c r="G27" s="62" t="n">
        <f aca="false">'ML Premium'!$K27</f>
        <v>122.9</v>
      </c>
      <c r="H27" s="60" t="n">
        <f aca="false">'ML Premium'!$Q27</f>
        <v>0.0434580960130188</v>
      </c>
      <c r="I27" s="62" t="n">
        <f aca="false">Amazon!$K27</f>
        <v>127.9</v>
      </c>
      <c r="J27" s="60" t="n">
        <f aca="false">Amazon!$Q27</f>
        <v>0.269241594996091</v>
      </c>
      <c r="K27" s="62" t="n">
        <f aca="false">'Via (Casas Bahia)'!$K27</f>
        <v>130.891304347826</v>
      </c>
      <c r="L27" s="60" t="n">
        <f aca="false">'Via (Casas Bahia)'!$Q27</f>
        <v>0.2</v>
      </c>
      <c r="M27" s="62" t="n">
        <f aca="false">MadeiraMadeira!$K27</f>
        <v>125.4375</v>
      </c>
      <c r="N27" s="60" t="n">
        <f aca="false">MadeiraMadeira!$Q27</f>
        <v>0.2</v>
      </c>
      <c r="O27" s="62" t="n">
        <f aca="false">Magalu!$K27</f>
        <v>122.877551020408</v>
      </c>
      <c r="P27" s="60" t="n">
        <f aca="false">Magalu!$Q27</f>
        <v>0.2</v>
      </c>
      <c r="Q27" s="46" t="n">
        <f aca="false">IF(COUNT($F27,$H27,$J27,$L27,$N27,$P27)=0,"",MIN($F27,$H27,$J27,$L27,$N27,$P27))</f>
        <v>0.0434580960130188</v>
      </c>
      <c r="R27" s="46" t="n">
        <f aca="false">IF(COUNT($F27,$H27,$J27,$L27,$N27,$P27)=0,"",MAX($F27,$H27,$J27,$L27,$N27,$P27))</f>
        <v>0.269241594996091</v>
      </c>
      <c r="S27" s="61" t="n">
        <f aca="false">IF($A27="","",COUNT($E27,$G27,$I27,$K27,$M27,$O27))</f>
        <v>6</v>
      </c>
    </row>
    <row r="28" customFormat="false" ht="15" hidden="false" customHeight="false" outlineLevel="0" collapsed="false">
      <c r="A28" s="32" t="str">
        <f aca="false">IF(Produtos!$A28="","",Produtos!$A28)</f>
        <v>L2030-A</v>
      </c>
      <c r="B28" s="32" t="str">
        <f aca="false">IF(Produtos!$A28="","",Produtos!$B28)</f>
        <v>Lixeira Aço Inox c/Aro 20x30 10L</v>
      </c>
      <c r="C28" s="32" t="str">
        <f aca="false">IF(Produtos!$A28="","",Produtos!$C28)</f>
        <v>Lixeiras em inox</v>
      </c>
      <c r="D28" s="33" t="n">
        <f aca="false">IF(Produtos!$A28="","",IF(Produtos!$D28="","",Produtos!$D28))</f>
        <v>68.57</v>
      </c>
      <c r="E28" s="59" t="n">
        <f aca="false">'ML Clássico'!$K28</f>
        <v>169.467</v>
      </c>
      <c r="F28" s="60" t="n">
        <f aca="false">'ML Clássico'!$Q28</f>
        <v>0.201692659927892</v>
      </c>
      <c r="G28" s="59" t="n">
        <f aca="false">'ML Premium'!$K28</f>
        <v>180.31022875</v>
      </c>
      <c r="H28" s="60" t="n">
        <f aca="false">'ML Premium'!$Q28</f>
        <v>0.204665952430056</v>
      </c>
      <c r="I28" s="59" t="n">
        <f aca="false">Amazon!$K28</f>
        <v>141.9</v>
      </c>
      <c r="J28" s="60" t="n">
        <f aca="false">Amazon!$Q28</f>
        <v>0.25677237491191</v>
      </c>
      <c r="K28" s="59" t="n">
        <f aca="false">'Via (Casas Bahia)'!$K28</f>
        <v>149.065217391304</v>
      </c>
      <c r="L28" s="60" t="n">
        <f aca="false">'Via (Casas Bahia)'!$Q28</f>
        <v>0.2</v>
      </c>
      <c r="M28" s="59" t="n">
        <f aca="false">MadeiraMadeira!$K28</f>
        <v>142.854166666667</v>
      </c>
      <c r="N28" s="60" t="n">
        <f aca="false">MadeiraMadeira!$Q28</f>
        <v>0.2</v>
      </c>
      <c r="O28" s="59" t="n">
        <f aca="false">Magalu!$K28</f>
        <v>139.938775510204</v>
      </c>
      <c r="P28" s="60" t="n">
        <f aca="false">Magalu!$Q28</f>
        <v>0.2</v>
      </c>
      <c r="Q28" s="46" t="n">
        <f aca="false">IF(COUNT($F28,$H28,$J28,$L28,$N28,$P28)=0,"",MIN($F28,$H28,$J28,$L28,$N28,$P28))</f>
        <v>0.2</v>
      </c>
      <c r="R28" s="46" t="n">
        <f aca="false">IF(COUNT($F28,$H28,$J28,$L28,$N28,$P28)=0,"",MAX($F28,$H28,$J28,$L28,$N28,$P28))</f>
        <v>0.25677237491191</v>
      </c>
      <c r="S28" s="61" t="n">
        <f aca="false">IF($A28="","",COUNT($E28,$G28,$I28,$K28,$M28,$O28))</f>
        <v>6</v>
      </c>
    </row>
    <row r="29" customFormat="false" ht="15" hidden="false" customHeight="false" outlineLevel="0" collapsed="false">
      <c r="A29" s="48" t="str">
        <f aca="false">IF(Produtos!$A29="","",Produtos!$A29)</f>
        <v>L2425-A</v>
      </c>
      <c r="B29" s="48" t="str">
        <f aca="false">IF(Produtos!$A29="","",Produtos!$B29)</f>
        <v>Lixeira Aço Inox c/Aro 24x25 13L</v>
      </c>
      <c r="C29" s="48" t="str">
        <f aca="false">IF(Produtos!$A29="","",Produtos!$C29)</f>
        <v>Lixeiras em inox</v>
      </c>
      <c r="D29" s="33" t="n">
        <f aca="false">IF(Produtos!$A29="","",IF(Produtos!$D29="","",Produtos!$D29))</f>
        <v>79.66</v>
      </c>
      <c r="E29" s="62" t="n">
        <f aca="false">'ML Clássico'!$K29</f>
        <v>189.856175</v>
      </c>
      <c r="F29" s="60" t="n">
        <f aca="false">'ML Clássico'!$Q29</f>
        <v>0.202164250122494</v>
      </c>
      <c r="G29" s="62" t="n">
        <f aca="false">'ML Premium'!$K29</f>
        <v>206.26</v>
      </c>
      <c r="H29" s="60" t="n">
        <f aca="false">'ML Premium'!$Q29</f>
        <v>0.202643265781053</v>
      </c>
      <c r="I29" s="62" t="n">
        <f aca="false">Amazon!$K29</f>
        <v>160.08</v>
      </c>
      <c r="J29" s="60" t="n">
        <f aca="false">Amazon!$Q29</f>
        <v>0.242373813093453</v>
      </c>
      <c r="K29" s="62" t="n">
        <f aca="false">'Via (Casas Bahia)'!$K29</f>
        <v>173.173913043478</v>
      </c>
      <c r="L29" s="60" t="n">
        <f aca="false">'Via (Casas Bahia)'!$Q29</f>
        <v>0.2</v>
      </c>
      <c r="M29" s="62" t="n">
        <f aca="false">MadeiraMadeira!$K29</f>
        <v>165.958333333333</v>
      </c>
      <c r="N29" s="60" t="n">
        <f aca="false">MadeiraMadeira!$Q29</f>
        <v>0.2</v>
      </c>
      <c r="O29" s="62" t="n">
        <f aca="false">Magalu!$K29</f>
        <v>162.571428571429</v>
      </c>
      <c r="P29" s="60" t="n">
        <f aca="false">Magalu!$Q29</f>
        <v>0.2</v>
      </c>
      <c r="Q29" s="46" t="n">
        <f aca="false">IF(COUNT($F29,$H29,$J29,$L29,$N29,$P29)=0,"",MIN($F29,$H29,$J29,$L29,$N29,$P29))</f>
        <v>0.2</v>
      </c>
      <c r="R29" s="46" t="n">
        <f aca="false">IF(COUNT($F29,$H29,$J29,$L29,$N29,$P29)=0,"",MAX($F29,$H29,$J29,$L29,$N29,$P29))</f>
        <v>0.242373813093453</v>
      </c>
      <c r="S29" s="61" t="n">
        <f aca="false">IF($A29="","",COUNT($E29,$G29,$I29,$K29,$M29,$O29))</f>
        <v>6</v>
      </c>
    </row>
    <row r="30" customFormat="false" ht="15" hidden="false" customHeight="false" outlineLevel="0" collapsed="false">
      <c r="A30" s="32" t="str">
        <f aca="false">IF(Produtos!$A30="","",Produtos!$A30)</f>
        <v>L2430-A</v>
      </c>
      <c r="B30" s="32" t="str">
        <f aca="false">IF(Produtos!$A30="","",Produtos!$B30)</f>
        <v>Lixeira Aço Inox c/Aro 24x30 15L</v>
      </c>
      <c r="C30" s="32" t="str">
        <f aca="false">IF(Produtos!$A30="","",Produtos!$C30)</f>
        <v>Lixeiras em inox</v>
      </c>
      <c r="D30" s="33" t="n">
        <f aca="false">IF(Produtos!$A30="","",IF(Produtos!$D30="","",Produtos!$D30))</f>
        <v>91.16</v>
      </c>
      <c r="E30" s="59" t="n">
        <f aca="false">'ML Clássico'!$K30</f>
        <v>216.407</v>
      </c>
      <c r="F30" s="60" t="n">
        <f aca="false">'ML Clássico'!$Q30</f>
        <v>0.203760737868923</v>
      </c>
      <c r="G30" s="59" t="n">
        <f aca="false">'ML Premium'!$K30</f>
        <v>229.772025</v>
      </c>
      <c r="H30" s="60" t="n">
        <f aca="false">'ML Premium'!$Q30</f>
        <v>0.20553354134386</v>
      </c>
      <c r="I30" s="59" t="n">
        <f aca="false">Amazon!$K30</f>
        <v>178.49</v>
      </c>
      <c r="J30" s="60" t="n">
        <f aca="false">Amazon!$Q30</f>
        <v>0.229271107625077</v>
      </c>
      <c r="K30" s="59" t="n">
        <f aca="false">'Via (Casas Bahia)'!$K30</f>
        <v>198.173913043478</v>
      </c>
      <c r="L30" s="60" t="n">
        <f aca="false">'Via (Casas Bahia)'!$Q30</f>
        <v>0.2</v>
      </c>
      <c r="M30" s="59" t="n">
        <f aca="false">MadeiraMadeira!$K30</f>
        <v>189.916666666667</v>
      </c>
      <c r="N30" s="60" t="n">
        <f aca="false">MadeiraMadeira!$Q30</f>
        <v>0.2</v>
      </c>
      <c r="O30" s="59" t="n">
        <f aca="false">Magalu!$K30</f>
        <v>186.040816326531</v>
      </c>
      <c r="P30" s="60" t="n">
        <f aca="false">Magalu!$Q30</f>
        <v>0.2</v>
      </c>
      <c r="Q30" s="46" t="n">
        <f aca="false">IF(COUNT($F30,$H30,$J30,$L30,$N30,$P30)=0,"",MIN($F30,$H30,$J30,$L30,$N30,$P30))</f>
        <v>0.2</v>
      </c>
      <c r="R30" s="46" t="n">
        <f aca="false">IF(COUNT($F30,$H30,$J30,$L30,$N30,$P30)=0,"",MAX($F30,$H30,$J30,$L30,$N30,$P30))</f>
        <v>0.229271107625077</v>
      </c>
      <c r="S30" s="61" t="n">
        <f aca="false">IF($A30="","",COUNT($E30,$G30,$I30,$K30,$M30,$O30))</f>
        <v>6</v>
      </c>
    </row>
    <row r="31" customFormat="false" ht="15" hidden="false" customHeight="false" outlineLevel="0" collapsed="false">
      <c r="A31" s="48" t="str">
        <f aca="false">IF(Produtos!$A31="","",Produtos!$A31)</f>
        <v>L2440-A</v>
      </c>
      <c r="B31" s="48" t="str">
        <f aca="false">IF(Produtos!$A31="","",Produtos!$B31)</f>
        <v>Lixeira Aço Inox c/Aro 24x40 20L</v>
      </c>
      <c r="C31" s="48" t="str">
        <f aca="false">IF(Produtos!$A31="","",Produtos!$C31)</f>
        <v>Lixeiras em inox</v>
      </c>
      <c r="D31" s="33" t="n">
        <f aca="false">IF(Produtos!$A31="","",IF(Produtos!$D31="","",Produtos!$D31))</f>
        <v>102.19</v>
      </c>
      <c r="E31" s="62" t="n">
        <f aca="false">'ML Clássico'!$K31</f>
        <v>240.24191625</v>
      </c>
      <c r="F31" s="60" t="n">
        <f aca="false">'ML Clássico'!$Q31</f>
        <v>0.202884816889234</v>
      </c>
      <c r="G31" s="62" t="n">
        <f aca="false">'ML Premium'!$K31</f>
        <v>253.79151125</v>
      </c>
      <c r="H31" s="60" t="n">
        <f aca="false">'ML Premium'!$Q31</f>
        <v>0.202094576951695</v>
      </c>
      <c r="I31" s="62" t="n">
        <f aca="false">Amazon!$K31</f>
        <v>202.69</v>
      </c>
      <c r="J31" s="60" t="n">
        <f aca="false">Amazon!$Q31</f>
        <v>0.235831072080517</v>
      </c>
      <c r="K31" s="62" t="n">
        <f aca="false">'Via (Casas Bahia)'!$K31</f>
        <v>222.152173913043</v>
      </c>
      <c r="L31" s="60" t="n">
        <f aca="false">'Via (Casas Bahia)'!$Q31</f>
        <v>0.2</v>
      </c>
      <c r="M31" s="62" t="n">
        <f aca="false">MadeiraMadeira!$K31</f>
        <v>212.895833333333</v>
      </c>
      <c r="N31" s="60" t="n">
        <f aca="false">MadeiraMadeira!$Q31</f>
        <v>0.2</v>
      </c>
      <c r="O31" s="62" t="n">
        <f aca="false">Magalu!$K31</f>
        <v>208.551020408163</v>
      </c>
      <c r="P31" s="60" t="n">
        <f aca="false">Magalu!$Q31</f>
        <v>0.2</v>
      </c>
      <c r="Q31" s="46" t="n">
        <f aca="false">IF(COUNT($F31,$H31,$J31,$L31,$N31,$P31)=0,"",MIN($F31,$H31,$J31,$L31,$N31,$P31))</f>
        <v>0.2</v>
      </c>
      <c r="R31" s="46" t="n">
        <f aca="false">IF(COUNT($F31,$H31,$J31,$L31,$N31,$P31)=0,"",MAX($F31,$H31,$J31,$L31,$N31,$P31))</f>
        <v>0.235831072080517</v>
      </c>
      <c r="S31" s="61" t="n">
        <f aca="false">IF($A31="","",COUNT($E31,$G31,$I31,$K31,$M31,$O31))</f>
        <v>6</v>
      </c>
    </row>
    <row r="32" customFormat="false" ht="15" hidden="false" customHeight="false" outlineLevel="0" collapsed="false">
      <c r="A32" s="32" t="str">
        <f aca="false">IF(Produtos!$A32="","",Produtos!$A32)</f>
        <v>L2450-A</v>
      </c>
      <c r="B32" s="32" t="str">
        <f aca="false">IF(Produtos!$A32="","",Produtos!$B32)</f>
        <v>Lixeira Aço Inox c/Aro 24x50 25L</v>
      </c>
      <c r="C32" s="32" t="str">
        <f aca="false">IF(Produtos!$A32="","",Produtos!$C32)</f>
        <v>Lixeiras em inox</v>
      </c>
      <c r="D32" s="33" t="n">
        <f aca="false">IF(Produtos!$A32="","",IF(Produtos!$D32="","",Produtos!$D32))</f>
        <v>132.03</v>
      </c>
      <c r="E32" s="59" t="n">
        <f aca="false">'ML Clássico'!$K32</f>
        <v>325.6</v>
      </c>
      <c r="F32" s="60" t="n">
        <f aca="false">'ML Clássico'!$Q32</f>
        <v>0.205528255528256</v>
      </c>
      <c r="G32" s="59" t="n">
        <f aca="false">'ML Premium'!$K32</f>
        <v>341.89</v>
      </c>
      <c r="H32" s="60" t="n">
        <f aca="false">'ML Premium'!$Q32</f>
        <v>0.201470648454181</v>
      </c>
      <c r="I32" s="59" t="n">
        <f aca="false">Amazon!$K32</f>
        <v>253.58</v>
      </c>
      <c r="J32" s="60" t="n">
        <f aca="false">Amazon!$Q32</f>
        <v>0.219335909772064</v>
      </c>
      <c r="K32" s="59" t="n">
        <f aca="false">'Via (Casas Bahia)'!$K32</f>
        <v>287.021739130435</v>
      </c>
      <c r="L32" s="60" t="n">
        <f aca="false">'Via (Casas Bahia)'!$Q32</f>
        <v>0.2</v>
      </c>
      <c r="M32" s="59" t="n">
        <f aca="false">MadeiraMadeira!$K32</f>
        <v>275.0625</v>
      </c>
      <c r="N32" s="60" t="n">
        <f aca="false">MadeiraMadeira!$Q32</f>
        <v>0.2</v>
      </c>
      <c r="O32" s="59" t="n">
        <f aca="false">Magalu!$K32</f>
        <v>269.448979591837</v>
      </c>
      <c r="P32" s="60" t="n">
        <f aca="false">Magalu!$Q32</f>
        <v>0.2</v>
      </c>
      <c r="Q32" s="46" t="n">
        <f aca="false">IF(COUNT($F32,$H32,$J32,$L32,$N32,$P32)=0,"",MIN($F32,$H32,$J32,$L32,$N32,$P32))</f>
        <v>0.2</v>
      </c>
      <c r="R32" s="46" t="n">
        <f aca="false">IF(COUNT($F32,$H32,$J32,$L32,$N32,$P32)=0,"",MAX($F32,$H32,$J32,$L32,$N32,$P32))</f>
        <v>0.219335909772064</v>
      </c>
      <c r="S32" s="61" t="n">
        <f aca="false">IF($A32="","",COUNT($E32,$G32,$I32,$K32,$M32,$O32))</f>
        <v>6</v>
      </c>
    </row>
    <row r="33" customFormat="false" ht="15" hidden="false" customHeight="false" outlineLevel="0" collapsed="false">
      <c r="A33" s="48" t="str">
        <f aca="false">IF(Produtos!$A33="","",Produtos!$A33)</f>
        <v>L2460-A</v>
      </c>
      <c r="B33" s="48" t="str">
        <f aca="false">IF(Produtos!$A33="","",Produtos!$B33)</f>
        <v>Lixeira Aço Inox c/Aro 24x60 27L</v>
      </c>
      <c r="C33" s="48" t="str">
        <f aca="false">IF(Produtos!$A33="","",Produtos!$C33)</f>
        <v>Lixeiras em inox</v>
      </c>
      <c r="D33" s="33" t="n">
        <f aca="false">IF(Produtos!$A33="","",IF(Produtos!$D33="","",Produtos!$D33))</f>
        <v>136.09</v>
      </c>
      <c r="E33" s="62" t="n">
        <f aca="false">'ML Clássico'!$K33</f>
        <v>321.882</v>
      </c>
      <c r="F33" s="60" t="n">
        <f aca="false">'ML Clássico'!$Q33</f>
        <v>0.200295449885362</v>
      </c>
      <c r="G33" s="62" t="n">
        <f aca="false">'ML Premium'!$K33</f>
        <v>340.6206635625</v>
      </c>
      <c r="H33" s="60" t="n">
        <f aca="false">'ML Premium'!$Q33</f>
        <v>0.200536506066862</v>
      </c>
      <c r="I33" s="62" t="n">
        <f aca="false">Amazon!$K33</f>
        <v>272.57</v>
      </c>
      <c r="J33" s="60" t="n">
        <f aca="false">Amazon!$Q33</f>
        <v>0.240715412554573</v>
      </c>
      <c r="K33" s="62" t="n">
        <f aca="false">'Via (Casas Bahia)'!$K33</f>
        <v>295.847826086957</v>
      </c>
      <c r="L33" s="60" t="n">
        <f aca="false">'Via (Casas Bahia)'!$Q33</f>
        <v>0.2</v>
      </c>
      <c r="M33" s="62" t="n">
        <f aca="false">MadeiraMadeira!$K33</f>
        <v>283.520833333333</v>
      </c>
      <c r="N33" s="60" t="n">
        <f aca="false">MadeiraMadeira!$Q33</f>
        <v>0.2</v>
      </c>
      <c r="O33" s="62" t="n">
        <f aca="false">Magalu!$K33</f>
        <v>277.734693877551</v>
      </c>
      <c r="P33" s="60" t="n">
        <f aca="false">Magalu!$Q33</f>
        <v>0.2</v>
      </c>
      <c r="Q33" s="46" t="n">
        <f aca="false">IF(COUNT($F33,$H33,$J33,$L33,$N33,$P33)=0,"",MIN($F33,$H33,$J33,$L33,$N33,$P33))</f>
        <v>0.2</v>
      </c>
      <c r="R33" s="46" t="n">
        <f aca="false">IF(COUNT($F33,$H33,$J33,$L33,$N33,$P33)=0,"",MAX($F33,$H33,$J33,$L33,$N33,$P33))</f>
        <v>0.240715412554573</v>
      </c>
      <c r="S33" s="61" t="n">
        <f aca="false">IF($A33="","",COUNT($E33,$G33,$I33,$K33,$M33,$O33))</f>
        <v>6</v>
      </c>
    </row>
    <row r="34" customFormat="false" ht="15" hidden="false" customHeight="false" outlineLevel="0" collapsed="false">
      <c r="A34" s="32" t="str">
        <f aca="false">IF(Produtos!$A34="","",Produtos!$A34)</f>
        <v>L2470-A</v>
      </c>
      <c r="B34" s="32" t="str">
        <f aca="false">IF(Produtos!$A34="","",Produtos!$B34)</f>
        <v>Lixeira Aço Inox c/Aro 24x70 30L</v>
      </c>
      <c r="C34" s="32" t="str">
        <f aca="false">IF(Produtos!$A34="","",Produtos!$C34)</f>
        <v>Lixeiras em inox</v>
      </c>
      <c r="D34" s="33" t="n">
        <f aca="false">IF(Produtos!$A34="","",IF(Produtos!$D34="","",Produtos!$D34))</f>
        <v>203.27</v>
      </c>
      <c r="E34" s="59" t="n">
        <f aca="false">'ML Clássico'!$K34</f>
        <v>440.83517625</v>
      </c>
      <c r="F34" s="60" t="n">
        <f aca="false">'ML Clássico'!$Q34</f>
        <v>0.201251884175724</v>
      </c>
      <c r="G34" s="59" t="n">
        <f aca="false">'ML Premium'!$K34</f>
        <v>480.96071475</v>
      </c>
      <c r="H34" s="60" t="n">
        <f aca="false">'ML Premium'!$Q34</f>
        <v>0.203284201020079</v>
      </c>
      <c r="I34" s="59" t="n">
        <f aca="false">Amazon!$K34</f>
        <v>385.56</v>
      </c>
      <c r="J34" s="60" t="n">
        <f aca="false">Amazon!$Q34</f>
        <v>0.212792820832036</v>
      </c>
      <c r="K34" s="59" t="n">
        <f aca="false">'Via (Casas Bahia)'!$K34</f>
        <v>441.891304347826</v>
      </c>
      <c r="L34" s="60" t="n">
        <f aca="false">'Via (Casas Bahia)'!$Q34</f>
        <v>0.2</v>
      </c>
      <c r="M34" s="59" t="n">
        <f aca="false">MadeiraMadeira!$K34</f>
        <v>423.479166666667</v>
      </c>
      <c r="N34" s="60" t="n">
        <f aca="false">MadeiraMadeira!$Q34</f>
        <v>0.2</v>
      </c>
      <c r="O34" s="59" t="n">
        <f aca="false">Magalu!$K34</f>
        <v>414.836734693878</v>
      </c>
      <c r="P34" s="60" t="n">
        <f aca="false">Magalu!$Q34</f>
        <v>0.2</v>
      </c>
      <c r="Q34" s="46" t="n">
        <f aca="false">IF(COUNT($F34,$H34,$J34,$L34,$N34,$P34)=0,"",MIN($F34,$H34,$J34,$L34,$N34,$P34))</f>
        <v>0.2</v>
      </c>
      <c r="R34" s="46" t="n">
        <f aca="false">IF(COUNT($F34,$H34,$J34,$L34,$N34,$P34)=0,"",MAX($F34,$H34,$J34,$L34,$N34,$P34))</f>
        <v>0.212792820832036</v>
      </c>
      <c r="S34" s="61" t="n">
        <f aca="false">IF($A34="","",COUNT($E34,$G34,$I34,$K34,$M34,$O34))</f>
        <v>6</v>
      </c>
    </row>
    <row r="35" customFormat="false" ht="15" hidden="false" customHeight="false" outlineLevel="0" collapsed="false">
      <c r="A35" s="48" t="str">
        <f aca="false">IF(Produtos!$A35="","",Produtos!$A35)</f>
        <v>L3040-A</v>
      </c>
      <c r="B35" s="48" t="str">
        <f aca="false">IF(Produtos!$A35="","",Produtos!$B35)</f>
        <v>Lixeira Aço Inox c/Aro 30x40 30L</v>
      </c>
      <c r="C35" s="48" t="str">
        <f aca="false">IF(Produtos!$A35="","",Produtos!$C35)</f>
        <v>Lixeiras em inox</v>
      </c>
      <c r="D35" s="33" t="n">
        <f aca="false">IF(Produtos!$A35="","",IF(Produtos!$D35="","",Produtos!$D35))</f>
        <v>151.33</v>
      </c>
      <c r="E35" s="62" t="n">
        <f aca="false">'ML Clássico'!$K35</f>
        <v>365.8724442625</v>
      </c>
      <c r="F35" s="60" t="n">
        <f aca="false">'ML Clássico'!$Q35</f>
        <v>0.201502830707799</v>
      </c>
      <c r="G35" s="62" t="n">
        <f aca="false">'ML Premium'!$K35</f>
        <v>386.21824075</v>
      </c>
      <c r="H35" s="60" t="n">
        <f aca="false">'ML Premium'!$Q35</f>
        <v>0.200397405336687</v>
      </c>
      <c r="I35" s="62" t="n">
        <f aca="false">Amazon!$K35</f>
        <v>296.92</v>
      </c>
      <c r="J35" s="60" t="n">
        <f aca="false">Amazon!$Q35</f>
        <v>0.230334096726391</v>
      </c>
      <c r="K35" s="62" t="n">
        <f aca="false">'Via (Casas Bahia)'!$K35</f>
        <v>328.978260869565</v>
      </c>
      <c r="L35" s="60" t="n">
        <f aca="false">'Via (Casas Bahia)'!$Q35</f>
        <v>0.2</v>
      </c>
      <c r="M35" s="62" t="n">
        <f aca="false">MadeiraMadeira!$K35</f>
        <v>315.270833333333</v>
      </c>
      <c r="N35" s="60" t="n">
        <f aca="false">MadeiraMadeira!$Q35</f>
        <v>0.2</v>
      </c>
      <c r="O35" s="62" t="n">
        <f aca="false">Magalu!$K35</f>
        <v>308.836734693878</v>
      </c>
      <c r="P35" s="60" t="n">
        <f aca="false">Magalu!$Q35</f>
        <v>0.2</v>
      </c>
      <c r="Q35" s="46" t="n">
        <f aca="false">IF(COUNT($F35,$H35,$J35,$L35,$N35,$P35)=0,"",MIN($F35,$H35,$J35,$L35,$N35,$P35))</f>
        <v>0.2</v>
      </c>
      <c r="R35" s="46" t="n">
        <f aca="false">IF(COUNT($F35,$H35,$J35,$L35,$N35,$P35)=0,"",MAX($F35,$H35,$J35,$L35,$N35,$P35))</f>
        <v>0.230334096726391</v>
      </c>
      <c r="S35" s="61" t="n">
        <f aca="false">IF($A35="","",COUNT($E35,$G35,$I35,$K35,$M35,$O35))</f>
        <v>6</v>
      </c>
    </row>
    <row r="36" customFormat="false" ht="15" hidden="false" customHeight="false" outlineLevel="0" collapsed="false">
      <c r="A36" s="32" t="str">
        <f aca="false">IF(Produtos!$A36="","",Produtos!$A36)</f>
        <v>L3050-A</v>
      </c>
      <c r="B36" s="32" t="str">
        <f aca="false">IF(Produtos!$A36="","",Produtos!$B36)</f>
        <v>Lixeira Aço Inox c/Aro 30x50 35L</v>
      </c>
      <c r="C36" s="32" t="str">
        <f aca="false">IF(Produtos!$A36="","",Produtos!$C36)</f>
        <v>Lixeiras em inox</v>
      </c>
      <c r="D36" s="33" t="n">
        <f aca="false">IF(Produtos!$A36="","",IF(Produtos!$D36="","",Produtos!$D36))</f>
        <v>189.66</v>
      </c>
      <c r="E36" s="59" t="n">
        <f aca="false">'ML Clássico'!$K36</f>
        <v>436.774455853125</v>
      </c>
      <c r="F36" s="60" t="n">
        <f aca="false">'ML Clássico'!$Q36</f>
        <v>0.202783932766498</v>
      </c>
      <c r="G36" s="59" t="n">
        <f aca="false">'ML Premium'!$K36</f>
        <v>460.731405875</v>
      </c>
      <c r="H36" s="60" t="n">
        <f aca="false">'ML Premium'!$Q36</f>
        <v>0.201237881871579</v>
      </c>
      <c r="I36" s="59" t="n">
        <f aca="false">Amazon!$K36</f>
        <v>369.74</v>
      </c>
      <c r="J36" s="60" t="n">
        <f aca="false">Amazon!$Q36</f>
        <v>0.227044950505761</v>
      </c>
      <c r="K36" s="59" t="n">
        <f aca="false">'Via (Casas Bahia)'!$K36</f>
        <v>412.304347826087</v>
      </c>
      <c r="L36" s="60" t="n">
        <f aca="false">'Via (Casas Bahia)'!$Q36</f>
        <v>0.2</v>
      </c>
      <c r="M36" s="59" t="n">
        <f aca="false">MadeiraMadeira!$K36</f>
        <v>395.125</v>
      </c>
      <c r="N36" s="60" t="n">
        <f aca="false">MadeiraMadeira!$Q36</f>
        <v>0.2</v>
      </c>
      <c r="O36" s="59" t="n">
        <f aca="false">Magalu!$K36</f>
        <v>387.061224489796</v>
      </c>
      <c r="P36" s="60" t="n">
        <f aca="false">Magalu!$Q36</f>
        <v>0.2</v>
      </c>
      <c r="Q36" s="46" t="n">
        <f aca="false">IF(COUNT($F36,$H36,$J36,$L36,$N36,$P36)=0,"",MIN($F36,$H36,$J36,$L36,$N36,$P36))</f>
        <v>0.2</v>
      </c>
      <c r="R36" s="46" t="n">
        <f aca="false">IF(COUNT($F36,$H36,$J36,$L36,$N36,$P36)=0,"",MAX($F36,$H36,$J36,$L36,$N36,$P36))</f>
        <v>0.227044950505761</v>
      </c>
      <c r="S36" s="61" t="n">
        <f aca="false">IF($A36="","",COUNT($E36,$G36,$I36,$K36,$M36,$O36))</f>
        <v>6</v>
      </c>
    </row>
    <row r="37" customFormat="false" ht="15" hidden="false" customHeight="false" outlineLevel="0" collapsed="false">
      <c r="A37" s="48" t="str">
        <f aca="false">IF(Produtos!$A37="","",Produtos!$A37)</f>
        <v>L3060-A</v>
      </c>
      <c r="B37" s="48" t="str">
        <f aca="false">IF(Produtos!$A37="","",Produtos!$B37)</f>
        <v>Lixeira Aço Inox c/Aro 30x60 40L</v>
      </c>
      <c r="C37" s="48" t="str">
        <f aca="false">IF(Produtos!$A37="","",Produtos!$C37)</f>
        <v>Lixeiras em inox</v>
      </c>
      <c r="D37" s="33" t="n">
        <f aca="false">IF(Produtos!$A37="","",IF(Produtos!$D37="","",Produtos!$D37))</f>
        <v>205.57</v>
      </c>
      <c r="E37" s="62" t="n">
        <f aca="false">'ML Clássico'!$K37</f>
        <v>469.15371909375</v>
      </c>
      <c r="F37" s="60" t="n">
        <f aca="false">'ML Clássico'!$Q37</f>
        <v>0.203654549525632</v>
      </c>
      <c r="G37" s="62" t="n">
        <f aca="false">'ML Premium'!$K37</f>
        <v>493.9</v>
      </c>
      <c r="H37" s="60" t="n">
        <f aca="false">'ML Premium'!$Q37</f>
        <v>0.201028548289127</v>
      </c>
      <c r="I37" s="62" t="n">
        <f aca="false">Amazon!$K37</f>
        <v>396.88</v>
      </c>
      <c r="J37" s="60" t="n">
        <f aca="false">Amazon!$Q37</f>
        <v>0.222034872001613</v>
      </c>
      <c r="K37" s="62" t="n">
        <f aca="false">'Via (Casas Bahia)'!$K37</f>
        <v>446.891304347826</v>
      </c>
      <c r="L37" s="60" t="n">
        <f aca="false">'Via (Casas Bahia)'!$Q37</f>
        <v>0.2</v>
      </c>
      <c r="M37" s="62" t="n">
        <f aca="false">MadeiraMadeira!$K37</f>
        <v>428.270833333333</v>
      </c>
      <c r="N37" s="60" t="n">
        <f aca="false">MadeiraMadeira!$Q37</f>
        <v>0.2</v>
      </c>
      <c r="O37" s="62" t="n">
        <f aca="false">Magalu!$K37</f>
        <v>419.530612244898</v>
      </c>
      <c r="P37" s="60" t="n">
        <f aca="false">Magalu!$Q37</f>
        <v>0.2</v>
      </c>
      <c r="Q37" s="46" t="n">
        <f aca="false">IF(COUNT($F37,$H37,$J37,$L37,$N37,$P37)=0,"",MIN($F37,$H37,$J37,$L37,$N37,$P37))</f>
        <v>0.2</v>
      </c>
      <c r="R37" s="46" t="n">
        <f aca="false">IF(COUNT($F37,$H37,$J37,$L37,$N37,$P37)=0,"",MAX($F37,$H37,$J37,$L37,$N37,$P37))</f>
        <v>0.222034872001613</v>
      </c>
      <c r="S37" s="61" t="n">
        <f aca="false">IF($A37="","",COUNT($E37,$G37,$I37,$K37,$M37,$O37))</f>
        <v>6</v>
      </c>
    </row>
    <row r="38" customFormat="false" ht="15" hidden="false" customHeight="false" outlineLevel="0" collapsed="false">
      <c r="A38" s="32" t="str">
        <f aca="false">IF(Produtos!$A38="","",Produtos!$A38)</f>
        <v>L3070-A</v>
      </c>
      <c r="B38" s="32" t="str">
        <f aca="false">IF(Produtos!$A38="","",Produtos!$B38)</f>
        <v>Lixeira Aço Inox c/Aro 30x70 50L</v>
      </c>
      <c r="C38" s="32" t="str">
        <f aca="false">IF(Produtos!$A38="","",Produtos!$C38)</f>
        <v>Lixeiras em inox</v>
      </c>
      <c r="D38" s="33" t="n">
        <f aca="false">IF(Produtos!$A38="","",IF(Produtos!$D38="","",Produtos!$D38))</f>
        <v>258.22</v>
      </c>
      <c r="E38" s="59" t="n">
        <f aca="false">'ML Clássico'!$K38</f>
        <v>595.9</v>
      </c>
      <c r="F38" s="60" t="n">
        <f aca="false">'ML Clássico'!$Q38</f>
        <v>0.20029367343514</v>
      </c>
      <c r="G38" s="59" t="n">
        <f aca="false">'ML Premium'!$K38</f>
        <v>632.0714673125</v>
      </c>
      <c r="H38" s="60" t="n">
        <f aca="false">'ML Premium'!$Q38</f>
        <v>0.201751642116053</v>
      </c>
      <c r="I38" s="59" t="n">
        <f aca="false">Amazon!$K38</f>
        <v>507.78</v>
      </c>
      <c r="J38" s="60" t="n">
        <f aca="false">Amazon!$Q38</f>
        <v>0.231472685021072</v>
      </c>
      <c r="K38" s="59" t="n">
        <f aca="false">'Via (Casas Bahia)'!$K38</f>
        <v>561.347826086957</v>
      </c>
      <c r="L38" s="60" t="n">
        <f aca="false">'Via (Casas Bahia)'!$Q38</f>
        <v>0.2</v>
      </c>
      <c r="M38" s="59" t="n">
        <f aca="false">MadeiraMadeira!$K38</f>
        <v>537.958333333333</v>
      </c>
      <c r="N38" s="60" t="n">
        <f aca="false">MadeiraMadeira!$Q38</f>
        <v>0.2</v>
      </c>
      <c r="O38" s="59" t="n">
        <f aca="false">Magalu!$K38</f>
        <v>526.979591836735</v>
      </c>
      <c r="P38" s="60" t="n">
        <f aca="false">Magalu!$Q38</f>
        <v>0.2</v>
      </c>
      <c r="Q38" s="46" t="n">
        <f aca="false">IF(COUNT($F38,$H38,$J38,$L38,$N38,$P38)=0,"",MIN($F38,$H38,$J38,$L38,$N38,$P38))</f>
        <v>0.2</v>
      </c>
      <c r="R38" s="46" t="n">
        <f aca="false">IF(COUNT($F38,$H38,$J38,$L38,$N38,$P38)=0,"",MAX($F38,$H38,$J38,$L38,$N38,$P38))</f>
        <v>0.231472685021072</v>
      </c>
      <c r="S38" s="61" t="n">
        <f aca="false">IF($A38="","",COUNT($E38,$G38,$I38,$K38,$M38,$O38))</f>
        <v>6</v>
      </c>
    </row>
    <row r="39" customFormat="false" ht="15" hidden="false" customHeight="false" outlineLevel="0" collapsed="false">
      <c r="A39" s="48" t="str">
        <f aca="false">IF(Produtos!$A39="","",Produtos!$A39)</f>
        <v>L3085-A</v>
      </c>
      <c r="B39" s="48" t="str">
        <f aca="false">IF(Produtos!$A39="","",Produtos!$B39)</f>
        <v>Lixeira Aço Inox c/Aro 30x85 60L</v>
      </c>
      <c r="C39" s="48" t="str">
        <f aca="false">IF(Produtos!$A39="","",Produtos!$C39)</f>
        <v>Lixeiras em inox</v>
      </c>
      <c r="D39" s="33" t="n">
        <f aca="false">IF(Produtos!$A39="","",IF(Produtos!$D39="","",Produtos!$D39))</f>
        <v>321.8</v>
      </c>
      <c r="E39" s="62" t="n">
        <f aca="false">'ML Clássico'!$K39</f>
        <v>711.948144009375</v>
      </c>
      <c r="F39" s="60" t="n">
        <f aca="false">'ML Clássico'!$Q39</f>
        <v>0.201575225969185</v>
      </c>
      <c r="G39" s="62" t="n">
        <f aca="false">'ML Premium'!$K39</f>
        <v>681.680215125</v>
      </c>
      <c r="H39" s="60" t="n">
        <f aca="false">'ML Premium'!$Q39</f>
        <v>0.144876956524095</v>
      </c>
      <c r="I39" s="62" t="n">
        <f aca="false">Amazon!$K39</f>
        <v>595.925925925926</v>
      </c>
      <c r="J39" s="60" t="n">
        <f aca="false">Amazon!$Q39</f>
        <v>0.2</v>
      </c>
      <c r="K39" s="62" t="n">
        <f aca="false">'Via (Casas Bahia)'!$K39</f>
        <v>699.565217391304</v>
      </c>
      <c r="L39" s="60" t="n">
        <f aca="false">'Via (Casas Bahia)'!$Q39</f>
        <v>0.2</v>
      </c>
      <c r="M39" s="62" t="n">
        <f aca="false">MadeiraMadeira!$K39</f>
        <v>670.416666666667</v>
      </c>
      <c r="N39" s="60" t="n">
        <f aca="false">MadeiraMadeira!$Q39</f>
        <v>0.2</v>
      </c>
      <c r="O39" s="62" t="n">
        <f aca="false">Magalu!$K39</f>
        <v>656.734693877551</v>
      </c>
      <c r="P39" s="60" t="n">
        <f aca="false">Magalu!$Q39</f>
        <v>0.2</v>
      </c>
      <c r="Q39" s="46" t="n">
        <f aca="false">IF(COUNT($F39,$H39,$J39,$L39,$N39,$P39)=0,"",MIN($F39,$H39,$J39,$L39,$N39,$P39))</f>
        <v>0.144876956524095</v>
      </c>
      <c r="R39" s="46" t="n">
        <f aca="false">IF(COUNT($F39,$H39,$J39,$L39,$N39,$P39)=0,"",MAX($F39,$H39,$J39,$L39,$N39,$P39))</f>
        <v>0.201575225969185</v>
      </c>
      <c r="S39" s="61" t="n">
        <f aca="false">IF($A39="","",COUNT($E39,$G39,$I39,$K39,$M39,$O39))</f>
        <v>6</v>
      </c>
    </row>
    <row r="40" customFormat="false" ht="15" hidden="false" customHeight="false" outlineLevel="0" collapsed="false">
      <c r="A40" s="32" t="str">
        <f aca="false">IF(Produtos!$A40="","",Produtos!$A40)</f>
        <v>L4050-A</v>
      </c>
      <c r="B40" s="32" t="str">
        <f aca="false">IF(Produtos!$A40="","",Produtos!$B40)</f>
        <v>Lixeira Aço Inox c/Aro 40x50 62L</v>
      </c>
      <c r="C40" s="32" t="str">
        <f aca="false">IF(Produtos!$A40="","",Produtos!$C40)</f>
        <v>Lixeiras em inox</v>
      </c>
      <c r="D40" s="33" t="n">
        <f aca="false">IF(Produtos!$A40="","",IF(Produtos!$D40="","",Produtos!$D40))</f>
        <v>292.43</v>
      </c>
      <c r="E40" s="59" t="n">
        <f aca="false">'ML Clássico'!$K40</f>
        <v>671.0583825</v>
      </c>
      <c r="F40" s="60" t="n">
        <f aca="false">'ML Clássico'!$Q40</f>
        <v>0.201493328153158</v>
      </c>
      <c r="G40" s="59" t="n">
        <f aca="false">'ML Premium'!$K40</f>
        <v>751.183956625</v>
      </c>
      <c r="H40" s="60" t="n">
        <f aca="false">'ML Premium'!$Q40</f>
        <v>0.200000184703425</v>
      </c>
      <c r="I40" s="59" t="n">
        <f aca="false">Amazon!$K40</f>
        <v>571.15</v>
      </c>
      <c r="J40" s="60" t="n">
        <f aca="false">Amazon!$Q40</f>
        <v>0.227997898975751</v>
      </c>
      <c r="K40" s="59" t="n">
        <f aca="false">'Via (Casas Bahia)'!$K40</f>
        <v>635.717391304348</v>
      </c>
      <c r="L40" s="60" t="n">
        <f aca="false">'Via (Casas Bahia)'!$Q40</f>
        <v>0.2</v>
      </c>
      <c r="M40" s="59" t="n">
        <f aca="false">MadeiraMadeira!$K40</f>
        <v>609.229166666667</v>
      </c>
      <c r="N40" s="60" t="n">
        <f aca="false">MadeiraMadeira!$Q40</f>
        <v>0.2</v>
      </c>
      <c r="O40" s="59" t="n">
        <f aca="false">Magalu!$K40</f>
        <v>596.795918367347</v>
      </c>
      <c r="P40" s="60" t="n">
        <f aca="false">Magalu!$Q40</f>
        <v>0.2</v>
      </c>
      <c r="Q40" s="46" t="n">
        <f aca="false">IF(COUNT($F40,$H40,$J40,$L40,$N40,$P40)=0,"",MIN($F40,$H40,$J40,$L40,$N40,$P40))</f>
        <v>0.2</v>
      </c>
      <c r="R40" s="46" t="n">
        <f aca="false">IF(COUNT($F40,$H40,$J40,$L40,$N40,$P40)=0,"",MAX($F40,$H40,$J40,$L40,$N40,$P40))</f>
        <v>0.227997898975751</v>
      </c>
      <c r="S40" s="61" t="n">
        <f aca="false">IF($A40="","",COUNT($E40,$G40,$I40,$K40,$M40,$O40))</f>
        <v>6</v>
      </c>
    </row>
    <row r="41" customFormat="false" ht="15" hidden="false" customHeight="false" outlineLevel="0" collapsed="false">
      <c r="A41" s="48" t="str">
        <f aca="false">IF(Produtos!$A41="","",Produtos!$A41)</f>
        <v>L4060-A</v>
      </c>
      <c r="B41" s="48" t="str">
        <f aca="false">IF(Produtos!$A41="","",Produtos!$B41)</f>
        <v>Lixeira Aço Inox c/Aro 40x60 75L</v>
      </c>
      <c r="C41" s="48" t="str">
        <f aca="false">IF(Produtos!$A41="","",Produtos!$C41)</f>
        <v>Lixeiras em inox</v>
      </c>
      <c r="D41" s="33" t="n">
        <f aca="false">IF(Produtos!$A41="","",IF(Produtos!$D41="","",Produtos!$D41))</f>
        <v>329.38</v>
      </c>
      <c r="E41" s="62" t="n">
        <f aca="false">'ML Clássico'!$K41</f>
        <v>756.4616325</v>
      </c>
      <c r="F41" s="60" t="n">
        <f aca="false">'ML Clássico'!$Q41</f>
        <v>0.199681783662703</v>
      </c>
      <c r="G41" s="62" t="n">
        <f aca="false">'ML Premium'!$K41</f>
        <v>834.18</v>
      </c>
      <c r="H41" s="60" t="n">
        <f aca="false">'ML Premium'!$Q41</f>
        <v>0.200021817833082</v>
      </c>
      <c r="I41" s="62" t="n">
        <f aca="false">Amazon!$K41</f>
        <v>635.32</v>
      </c>
      <c r="J41" s="60" t="n">
        <f aca="false">Amazon!$Q41</f>
        <v>0.221552603412454</v>
      </c>
      <c r="K41" s="62" t="n">
        <f aca="false">'Via (Casas Bahia)'!$K41</f>
        <v>716.04347826087</v>
      </c>
      <c r="L41" s="60" t="n">
        <f aca="false">'Via (Casas Bahia)'!$Q41</f>
        <v>0.2</v>
      </c>
      <c r="M41" s="62" t="n">
        <f aca="false">MadeiraMadeira!$K41</f>
        <v>686.208333333333</v>
      </c>
      <c r="N41" s="60" t="n">
        <f aca="false">MadeiraMadeira!$Q41</f>
        <v>0.2</v>
      </c>
      <c r="O41" s="62" t="n">
        <f aca="false">Magalu!$K41</f>
        <v>672.204081632653</v>
      </c>
      <c r="P41" s="60" t="n">
        <f aca="false">Magalu!$Q41</f>
        <v>0.2</v>
      </c>
      <c r="Q41" s="46" t="n">
        <f aca="false">IF(COUNT($F41,$H41,$J41,$L41,$N41,$P41)=0,"",MIN($F41,$H41,$J41,$L41,$N41,$P41))</f>
        <v>0.199681783662703</v>
      </c>
      <c r="R41" s="46" t="n">
        <f aca="false">IF(COUNT($F41,$H41,$J41,$L41,$N41,$P41)=0,"",MAX($F41,$H41,$J41,$L41,$N41,$P41))</f>
        <v>0.221552603412454</v>
      </c>
      <c r="S41" s="61" t="n">
        <f aca="false">IF($A41="","",COUNT($E41,$G41,$I41,$K41,$M41,$O41))</f>
        <v>6</v>
      </c>
    </row>
    <row r="42" customFormat="false" ht="15" hidden="false" customHeight="false" outlineLevel="0" collapsed="false">
      <c r="A42" s="32" t="str">
        <f aca="false">IF(Produtos!$A42="","",Produtos!$A42)</f>
        <v>L4070-A</v>
      </c>
      <c r="B42" s="32" t="str">
        <f aca="false">IF(Produtos!$A42="","",Produtos!$B42)</f>
        <v>Lixeira Aço Inox c/Aro 40x70 88L</v>
      </c>
      <c r="C42" s="32" t="str">
        <f aca="false">IF(Produtos!$A42="","",Produtos!$C42)</f>
        <v>Lixeiras em inox</v>
      </c>
      <c r="D42" s="33" t="n">
        <f aca="false">IF(Produtos!$A42="","",IF(Produtos!$D42="","",Produtos!$D42))</f>
        <v>331.22</v>
      </c>
      <c r="E42" s="59" t="n">
        <f aca="false">'ML Clássico'!$K42</f>
        <v>613.37037037037</v>
      </c>
      <c r="F42" s="60" t="n">
        <f aca="false">'ML Clássico'!$Q42</f>
        <v>0.2</v>
      </c>
      <c r="G42" s="59" t="n">
        <f aca="false">'ML Premium'!$K42</f>
        <v>675.959183673469</v>
      </c>
      <c r="H42" s="60" t="n">
        <f aca="false">'ML Premium'!$Q42</f>
        <v>0.2</v>
      </c>
      <c r="I42" s="59" t="n">
        <f aca="false">Amazon!$K42</f>
        <v>613.37037037037</v>
      </c>
      <c r="J42" s="60" t="n">
        <f aca="false">Amazon!$Q42</f>
        <v>0.2</v>
      </c>
      <c r="K42" s="59" t="n">
        <f aca="false">'Via (Casas Bahia)'!$K42</f>
        <v>720.04347826087</v>
      </c>
      <c r="L42" s="60" t="n">
        <f aca="false">'Via (Casas Bahia)'!$Q42</f>
        <v>0.2</v>
      </c>
      <c r="M42" s="59" t="n">
        <f aca="false">MadeiraMadeira!$K42</f>
        <v>690.041666666667</v>
      </c>
      <c r="N42" s="60" t="n">
        <f aca="false">MadeiraMadeira!$Q42</f>
        <v>0.2</v>
      </c>
      <c r="O42" s="59" t="n">
        <f aca="false">Magalu!$K42</f>
        <v>675.959183673469</v>
      </c>
      <c r="P42" s="60" t="n">
        <f aca="false">Magalu!$Q42</f>
        <v>0.2</v>
      </c>
      <c r="Q42" s="46" t="n">
        <f aca="false">IF(COUNT($F42,$H42,$J42,$L42,$N42,$P42)=0,"",MIN($F42,$H42,$J42,$L42,$N42,$P42))</f>
        <v>0.2</v>
      </c>
      <c r="R42" s="46" t="n">
        <f aca="false">IF(COUNT($F42,$H42,$J42,$L42,$N42,$P42)=0,"",MAX($F42,$H42,$J42,$L42,$N42,$P42))</f>
        <v>0.2</v>
      </c>
      <c r="S42" s="61" t="n">
        <f aca="false">IF($A42="","",COUNT($E42,$G42,$I42,$K42,$M42,$O42))</f>
        <v>6</v>
      </c>
    </row>
    <row r="43" customFormat="false" ht="15" hidden="false" customHeight="false" outlineLevel="0" collapsed="false">
      <c r="A43" s="48" t="str">
        <f aca="false">IF(Produtos!$A43="","",Produtos!$A43)</f>
        <v>L4075-A</v>
      </c>
      <c r="B43" s="48" t="str">
        <f aca="false">IF(Produtos!$A43="","",Produtos!$B43)</f>
        <v>Lixeira Aço Inox c/Aro 40x75 95L</v>
      </c>
      <c r="C43" s="48" t="str">
        <f aca="false">IF(Produtos!$A43="","",Produtos!$C43)</f>
        <v>Lixeiras em inox</v>
      </c>
      <c r="D43" s="33" t="n">
        <f aca="false">IF(Produtos!$A43="","",IF(Produtos!$D43="","",Produtos!$D43))</f>
        <v>392.8</v>
      </c>
      <c r="E43" s="62" t="n">
        <f aca="false">'ML Clássico'!$K43</f>
        <v>727.407407407407</v>
      </c>
      <c r="F43" s="60" t="n">
        <f aca="false">'ML Clássico'!$Q43</f>
        <v>0.2</v>
      </c>
      <c r="G43" s="62" t="n">
        <f aca="false">'ML Premium'!$K43</f>
        <v>801.632653061225</v>
      </c>
      <c r="H43" s="60" t="n">
        <f aca="false">'ML Premium'!$Q43</f>
        <v>0.2</v>
      </c>
      <c r="I43" s="62" t="n">
        <f aca="false">Amazon!$K43</f>
        <v>727.407407407407</v>
      </c>
      <c r="J43" s="60" t="n">
        <f aca="false">Amazon!$Q43</f>
        <v>0.2</v>
      </c>
      <c r="K43" s="62" t="n">
        <f aca="false">'Via (Casas Bahia)'!$K43</f>
        <v>853.913043478261</v>
      </c>
      <c r="L43" s="60" t="n">
        <f aca="false">'Via (Casas Bahia)'!$Q43</f>
        <v>0.2</v>
      </c>
      <c r="M43" s="62" t="n">
        <f aca="false">MadeiraMadeira!$K43</f>
        <v>818.333333333333</v>
      </c>
      <c r="N43" s="60" t="n">
        <f aca="false">MadeiraMadeira!$Q43</f>
        <v>0.2</v>
      </c>
      <c r="O43" s="62" t="n">
        <f aca="false">Magalu!$K43</f>
        <v>801.632653061225</v>
      </c>
      <c r="P43" s="60" t="n">
        <f aca="false">Magalu!$Q43</f>
        <v>0.2</v>
      </c>
      <c r="Q43" s="46" t="n">
        <f aca="false">IF(COUNT($F43,$H43,$J43,$L43,$N43,$P43)=0,"",MIN($F43,$H43,$J43,$L43,$N43,$P43))</f>
        <v>0.2</v>
      </c>
      <c r="R43" s="46" t="n">
        <f aca="false">IF(COUNT($F43,$H43,$J43,$L43,$N43,$P43)=0,"",MAX($F43,$H43,$J43,$L43,$N43,$P43))</f>
        <v>0.2</v>
      </c>
      <c r="S43" s="61" t="n">
        <f aca="false">IF($A43="","",COUNT($E43,$G43,$I43,$K43,$M43,$O43))</f>
        <v>6</v>
      </c>
    </row>
    <row r="44" customFormat="false" ht="15" hidden="false" customHeight="false" outlineLevel="0" collapsed="false">
      <c r="A44" s="32" t="str">
        <f aca="false">IF(Produtos!$A44="","",Produtos!$A44)</f>
        <v>L4080-A</v>
      </c>
      <c r="B44" s="32" t="str">
        <f aca="false">IF(Produtos!$A44="","",Produtos!$B44)</f>
        <v>Lixeira Aço Inox c/Aro 40x80 100L</v>
      </c>
      <c r="C44" s="32" t="str">
        <f aca="false">IF(Produtos!$A44="","",Produtos!$C44)</f>
        <v>Lixeiras em inox</v>
      </c>
      <c r="D44" s="33" t="n">
        <f aca="false">IF(Produtos!$A44="","",IF(Produtos!$D44="","",Produtos!$D44))</f>
        <v>400.17</v>
      </c>
      <c r="E44" s="59" t="n">
        <f aca="false">'ML Clássico'!$K44</f>
        <v>938.93</v>
      </c>
      <c r="F44" s="60" t="n">
        <f aca="false">'ML Clássico'!$Q44</f>
        <v>0.200002343092669</v>
      </c>
      <c r="G44" s="59" t="n">
        <f aca="false">'ML Premium'!$K44</f>
        <v>1036.625625</v>
      </c>
      <c r="H44" s="60" t="n">
        <f aca="false">'ML Premium'!$Q44</f>
        <v>0.200893819550332</v>
      </c>
      <c r="I44" s="59" t="n">
        <f aca="false">Amazon!$K44</f>
        <v>814.08</v>
      </c>
      <c r="J44" s="60" t="n">
        <f aca="false">Amazon!$Q44</f>
        <v>0.248438974056604</v>
      </c>
      <c r="K44" s="59" t="n">
        <f aca="false">'Via (Casas Bahia)'!$K44</f>
        <v>869.934782608696</v>
      </c>
      <c r="L44" s="60" t="n">
        <f aca="false">'Via (Casas Bahia)'!$Q44</f>
        <v>0.2</v>
      </c>
      <c r="M44" s="59" t="n">
        <f aca="false">MadeiraMadeira!$K44</f>
        <v>833.6875</v>
      </c>
      <c r="N44" s="60" t="n">
        <f aca="false">MadeiraMadeira!$Q44</f>
        <v>0.2</v>
      </c>
      <c r="O44" s="59" t="n">
        <f aca="false">Magalu!$K44</f>
        <v>816.673469387755</v>
      </c>
      <c r="P44" s="60" t="n">
        <f aca="false">Magalu!$Q44</f>
        <v>0.2</v>
      </c>
      <c r="Q44" s="46" t="n">
        <f aca="false">IF(COUNT($F44,$H44,$J44,$L44,$N44,$P44)=0,"",MIN($F44,$H44,$J44,$L44,$N44,$P44))</f>
        <v>0.2</v>
      </c>
      <c r="R44" s="46" t="n">
        <f aca="false">IF(COUNT($F44,$H44,$J44,$L44,$N44,$P44)=0,"",MAX($F44,$H44,$J44,$L44,$N44,$P44))</f>
        <v>0.248438974056604</v>
      </c>
      <c r="S44" s="61" t="n">
        <f aca="false">IF($A44="","",COUNT($E44,$G44,$I44,$K44,$M44,$O44))</f>
        <v>6</v>
      </c>
    </row>
    <row r="45" customFormat="false" ht="15" hidden="false" customHeight="false" outlineLevel="0" collapsed="false">
      <c r="A45" s="48" t="str">
        <f aca="false">IF(Produtos!$A45="","",Produtos!$A45)</f>
        <v>L4090-A</v>
      </c>
      <c r="B45" s="48" t="str">
        <f aca="false">IF(Produtos!$A45="","",Produtos!$B45)</f>
        <v>Lixeira Aço Inox c/Aro 40x90 120L</v>
      </c>
      <c r="C45" s="48" t="str">
        <f aca="false">IF(Produtos!$A45="","",Produtos!$C45)</f>
        <v>Lixeiras em inox</v>
      </c>
      <c r="D45" s="33" t="n">
        <f aca="false">IF(Produtos!$A45="","",IF(Produtos!$D45="","",Produtos!$D45))</f>
        <v>405.39</v>
      </c>
      <c r="E45" s="62" t="n">
        <f aca="false">'ML Clássico'!$K45</f>
        <v>948.69</v>
      </c>
      <c r="F45" s="60" t="n">
        <f aca="false">'ML Clássico'!$Q45</f>
        <v>0.200055444876619</v>
      </c>
      <c r="G45" s="62" t="n">
        <f aca="false">'ML Premium'!$K45</f>
        <v>1045.39</v>
      </c>
      <c r="H45" s="60" t="n">
        <f aca="false">'ML Premium'!$Q45</f>
        <v>0.200001052238877</v>
      </c>
      <c r="I45" s="62" t="n">
        <f aca="false">Amazon!$K45</f>
        <v>822.83</v>
      </c>
      <c r="J45" s="60" t="n">
        <f aca="false">Amazon!$Q45</f>
        <v>0.247322290144987</v>
      </c>
      <c r="K45" s="62" t="n">
        <f aca="false">'Via (Casas Bahia)'!$K45</f>
        <v>881.282608695652</v>
      </c>
      <c r="L45" s="60" t="n">
        <f aca="false">'Via (Casas Bahia)'!$Q45</f>
        <v>0.2</v>
      </c>
      <c r="M45" s="62" t="n">
        <f aca="false">MadeiraMadeira!$K45</f>
        <v>844.5625</v>
      </c>
      <c r="N45" s="60" t="n">
        <f aca="false">MadeiraMadeira!$Q45</f>
        <v>0.2</v>
      </c>
      <c r="O45" s="62" t="n">
        <f aca="false">Magalu!$K45</f>
        <v>827.326530612245</v>
      </c>
      <c r="P45" s="60" t="n">
        <f aca="false">Magalu!$Q45</f>
        <v>0.2</v>
      </c>
      <c r="Q45" s="46" t="n">
        <f aca="false">IF(COUNT($F45,$H45,$J45,$L45,$N45,$P45)=0,"",MIN($F45,$H45,$J45,$L45,$N45,$P45))</f>
        <v>0.2</v>
      </c>
      <c r="R45" s="46" t="n">
        <f aca="false">IF(COUNT($F45,$H45,$J45,$L45,$N45,$P45)=0,"",MAX($F45,$H45,$J45,$L45,$N45,$P45))</f>
        <v>0.247322290144987</v>
      </c>
      <c r="S45" s="61" t="n">
        <f aca="false">IF($A45="","",COUNT($E45,$G45,$I45,$K45,$M45,$O45))</f>
        <v>6</v>
      </c>
    </row>
    <row r="46" customFormat="false" ht="15" hidden="false" customHeight="false" outlineLevel="0" collapsed="false">
      <c r="A46" s="32" t="str">
        <f aca="false">IF(Produtos!$A46="","",Produtos!$A46)</f>
        <v>L40100-A</v>
      </c>
      <c r="B46" s="32" t="str">
        <f aca="false">IF(Produtos!$A46="","",Produtos!$B46)</f>
        <v>Lixeira Aço Inox c/Aro 40x100L</v>
      </c>
      <c r="C46" s="32" t="str">
        <f aca="false">IF(Produtos!$A46="","",Produtos!$C46)</f>
        <v>Lixeiras em inox</v>
      </c>
      <c r="D46" s="33" t="n">
        <f aca="false">IF(Produtos!$A46="","",IF(Produtos!$D46="","",Produtos!$D46))</f>
        <v>566.56</v>
      </c>
      <c r="E46" s="59" t="n">
        <f aca="false">'ML Clássico'!$K46</f>
        <v>1049.18518518519</v>
      </c>
      <c r="F46" s="60" t="n">
        <f aca="false">'ML Clássico'!$Q46</f>
        <v>0.2</v>
      </c>
      <c r="G46" s="59" t="n">
        <f aca="false">'ML Premium'!$K46</f>
        <v>1156.24489795918</v>
      </c>
      <c r="H46" s="60" t="n">
        <f aca="false">'ML Premium'!$Q46</f>
        <v>0.2</v>
      </c>
      <c r="I46" s="59" t="n">
        <f aca="false">Amazon!$K46</f>
        <v>1049.18518518519</v>
      </c>
      <c r="J46" s="60" t="n">
        <f aca="false">Amazon!$Q46</f>
        <v>0.2</v>
      </c>
      <c r="K46" s="59" t="n">
        <f aca="false">'Via (Casas Bahia)'!$K46</f>
        <v>1231.65217391304</v>
      </c>
      <c r="L46" s="60" t="n">
        <f aca="false">'Via (Casas Bahia)'!$Q46</f>
        <v>0.2</v>
      </c>
      <c r="M46" s="59" t="n">
        <f aca="false">MadeiraMadeira!$K46</f>
        <v>1180.33333333333</v>
      </c>
      <c r="N46" s="60" t="n">
        <f aca="false">MadeiraMadeira!$Q46</f>
        <v>0.2</v>
      </c>
      <c r="O46" s="59" t="n">
        <f aca="false">Magalu!$K46</f>
        <v>1156.24489795918</v>
      </c>
      <c r="P46" s="60" t="n">
        <f aca="false">Magalu!$Q46</f>
        <v>0.2</v>
      </c>
      <c r="Q46" s="46" t="n">
        <f aca="false">IF(COUNT($F46,$H46,$J46,$L46,$N46,$P46)=0,"",MIN($F46,$H46,$J46,$L46,$N46,$P46))</f>
        <v>0.2</v>
      </c>
      <c r="R46" s="46" t="n">
        <f aca="false">IF(COUNT($F46,$H46,$J46,$L46,$N46,$P46)=0,"",MAX($F46,$H46,$J46,$L46,$N46,$P46))</f>
        <v>0.2</v>
      </c>
      <c r="S46" s="61" t="n">
        <f aca="false">IF($A46="","",COUNT($E46,$G46,$I46,$K46,$M46,$O46))</f>
        <v>6</v>
      </c>
    </row>
    <row r="47" customFormat="false" ht="15" hidden="false" customHeight="false" outlineLevel="0" collapsed="false">
      <c r="A47" s="48" t="str">
        <f aca="false">IF(Produtos!$A47="","",Produtos!$A47)</f>
        <v>L40120-A</v>
      </c>
      <c r="B47" s="48" t="str">
        <f aca="false">IF(Produtos!$A47="","",Produtos!$B47)</f>
        <v>Lixeira Aço Inox c/Aro 40x120L</v>
      </c>
      <c r="C47" s="48" t="str">
        <f aca="false">IF(Produtos!$A47="","",Produtos!$C47)</f>
        <v>Lixeiras em inox</v>
      </c>
      <c r="D47" s="33" t="n">
        <f aca="false">IF(Produtos!$A47="","",IF(Produtos!$D47="","",Produtos!$D47))</f>
        <v>762.87</v>
      </c>
      <c r="E47" s="62" t="n">
        <f aca="false">'ML Clássico'!$K47</f>
        <v>1412.72222222222</v>
      </c>
      <c r="F47" s="60" t="n">
        <f aca="false">'ML Clássico'!$Q47</f>
        <v>0.2</v>
      </c>
      <c r="G47" s="62" t="n">
        <f aca="false">'ML Premium'!$K47</f>
        <v>1556.87755102041</v>
      </c>
      <c r="H47" s="60" t="n">
        <f aca="false">'ML Premium'!$Q47</f>
        <v>0.2</v>
      </c>
      <c r="I47" s="62" t="n">
        <f aca="false">Amazon!$K47</f>
        <v>1412.72222222222</v>
      </c>
      <c r="J47" s="60" t="n">
        <f aca="false">Amazon!$Q47</f>
        <v>0.2</v>
      </c>
      <c r="K47" s="62" t="n">
        <f aca="false">'Via (Casas Bahia)'!$K47</f>
        <v>1658.41304347826</v>
      </c>
      <c r="L47" s="60" t="n">
        <f aca="false">'Via (Casas Bahia)'!$Q47</f>
        <v>0.2</v>
      </c>
      <c r="M47" s="62" t="n">
        <f aca="false">MadeiraMadeira!$K47</f>
        <v>1589.3125</v>
      </c>
      <c r="N47" s="60" t="n">
        <f aca="false">MadeiraMadeira!$Q47</f>
        <v>0.2</v>
      </c>
      <c r="O47" s="62" t="n">
        <f aca="false">Magalu!$K47</f>
        <v>1556.87755102041</v>
      </c>
      <c r="P47" s="60" t="n">
        <f aca="false">Magalu!$Q47</f>
        <v>0.2</v>
      </c>
      <c r="Q47" s="46" t="n">
        <f aca="false">IF(COUNT($F47,$H47,$J47,$L47,$N47,$P47)=0,"",MIN($F47,$H47,$J47,$L47,$N47,$P47))</f>
        <v>0.2</v>
      </c>
      <c r="R47" s="46" t="n">
        <f aca="false">IF(COUNT($F47,$H47,$J47,$L47,$N47,$P47)=0,"",MAX($F47,$H47,$J47,$L47,$N47,$P47))</f>
        <v>0.2</v>
      </c>
      <c r="S47" s="61" t="n">
        <f aca="false">IF($A47="","",COUNT($E47,$G47,$I47,$K47,$M47,$O47))</f>
        <v>6</v>
      </c>
    </row>
    <row r="48" customFormat="false" ht="15" hidden="false" customHeight="false" outlineLevel="0" collapsed="false">
      <c r="A48" s="32" t="str">
        <f aca="false">IF(Produtos!$A48="","",Produtos!$A48)</f>
        <v>L2425-AML</v>
      </c>
      <c r="B48" s="32" t="str">
        <f aca="false">IF(Produtos!$A48="","",Produtos!$B48)</f>
        <v>Lixeira c/Aro Meia Lua 24x25 13L</v>
      </c>
      <c r="C48" s="32" t="str">
        <f aca="false">IF(Produtos!$A48="","",Produtos!$C48)</f>
        <v>Lixeiras em inox</v>
      </c>
      <c r="D48" s="33" t="n">
        <f aca="false">IF(Produtos!$A48="","",IF(Produtos!$D48="","",Produtos!$D48))</f>
        <v>86.87</v>
      </c>
      <c r="E48" s="59" t="n">
        <f aca="false">'ML Clássico'!$K48</f>
        <v>208.415</v>
      </c>
      <c r="F48" s="60" t="n">
        <f aca="false">'ML Clássico'!$Q48</f>
        <v>0.203398267878991</v>
      </c>
      <c r="G48" s="59" t="n">
        <f aca="false">'ML Premium'!$K48</f>
        <v>220.85708</v>
      </c>
      <c r="H48" s="60" t="n">
        <f aca="false">'ML Premium'!$Q48</f>
        <v>0.204191315035044</v>
      </c>
      <c r="I48" s="59" t="n">
        <f aca="false">Amazon!$K48</f>
        <v>174.24</v>
      </c>
      <c r="J48" s="60" t="n">
        <f aca="false">Amazon!$Q48</f>
        <v>0.241434802571166</v>
      </c>
      <c r="K48" s="59" t="n">
        <f aca="false">'Via (Casas Bahia)'!$K48</f>
        <v>188.847826086957</v>
      </c>
      <c r="L48" s="60" t="n">
        <f aca="false">'Via (Casas Bahia)'!$Q48</f>
        <v>0.2</v>
      </c>
      <c r="M48" s="59" t="n">
        <f aca="false">MadeiraMadeira!$K48</f>
        <v>180.979166666667</v>
      </c>
      <c r="N48" s="60" t="n">
        <f aca="false">MadeiraMadeira!$Q48</f>
        <v>0.2</v>
      </c>
      <c r="O48" s="59" t="n">
        <f aca="false">Magalu!$K48</f>
        <v>177.285714285714</v>
      </c>
      <c r="P48" s="60" t="n">
        <f aca="false">Magalu!$Q48</f>
        <v>0.2</v>
      </c>
      <c r="Q48" s="46" t="n">
        <f aca="false">IF(COUNT($F48,$H48,$J48,$L48,$N48,$P48)=0,"",MIN($F48,$H48,$J48,$L48,$N48,$P48))</f>
        <v>0.2</v>
      </c>
      <c r="R48" s="46" t="n">
        <f aca="false">IF(COUNT($F48,$H48,$J48,$L48,$N48,$P48)=0,"",MAX($F48,$H48,$J48,$L48,$N48,$P48))</f>
        <v>0.241434802571166</v>
      </c>
      <c r="S48" s="61" t="n">
        <f aca="false">IF($A48="","",COUNT($E48,$G48,$I48,$K48,$M48,$O48))</f>
        <v>6</v>
      </c>
    </row>
    <row r="49" customFormat="false" ht="15" hidden="false" customHeight="false" outlineLevel="0" collapsed="false">
      <c r="A49" s="48" t="str">
        <f aca="false">IF(Produtos!$A49="","",Produtos!$A49)</f>
        <v>L2430-AML</v>
      </c>
      <c r="B49" s="48" t="str">
        <f aca="false">IF(Produtos!$A49="","",Produtos!$B49)</f>
        <v>Lixeira c/Aro Meia Lua 24x30 15L</v>
      </c>
      <c r="C49" s="48" t="str">
        <f aca="false">IF(Produtos!$A49="","",Produtos!$C49)</f>
        <v>Lixeiras em inox</v>
      </c>
      <c r="D49" s="33" t="n">
        <f aca="false">IF(Produtos!$A49="","",IF(Produtos!$D49="","",Produtos!$D49))</f>
        <v>96.11</v>
      </c>
      <c r="E49" s="62" t="n">
        <f aca="false">'ML Clássico'!$K49</f>
        <v>227.73956625</v>
      </c>
      <c r="F49" s="60" t="n">
        <f aca="false">'ML Clássico'!$Q49</f>
        <v>0.209206838636016</v>
      </c>
      <c r="G49" s="62" t="n">
        <f aca="false">'ML Premium'!$K49</f>
        <v>238.887495</v>
      </c>
      <c r="H49" s="60" t="n">
        <f aca="false">'ML Premium'!$Q49</f>
        <v>0.204443503415698</v>
      </c>
      <c r="I49" s="62" t="n">
        <f aca="false">Amazon!$K49</f>
        <v>186.36</v>
      </c>
      <c r="J49" s="60" t="n">
        <f aca="false">Amazon!$Q49</f>
        <v>0.224277742004722</v>
      </c>
      <c r="K49" s="62" t="n">
        <f aca="false">'Via (Casas Bahia)'!$K49</f>
        <v>208.934782608696</v>
      </c>
      <c r="L49" s="60" t="n">
        <f aca="false">'Via (Casas Bahia)'!$Q49</f>
        <v>0.2</v>
      </c>
      <c r="M49" s="62" t="n">
        <f aca="false">MadeiraMadeira!$K49</f>
        <v>200.229166666667</v>
      </c>
      <c r="N49" s="60" t="n">
        <f aca="false">MadeiraMadeira!$Q49</f>
        <v>0.2</v>
      </c>
      <c r="O49" s="62" t="n">
        <f aca="false">Magalu!$K49</f>
        <v>196.142857142857</v>
      </c>
      <c r="P49" s="60" t="n">
        <f aca="false">Magalu!$Q49</f>
        <v>0.2</v>
      </c>
      <c r="Q49" s="46" t="n">
        <f aca="false">IF(COUNT($F49,$H49,$J49,$L49,$N49,$P49)=0,"",MIN($F49,$H49,$J49,$L49,$N49,$P49))</f>
        <v>0.2</v>
      </c>
      <c r="R49" s="46" t="n">
        <f aca="false">IF(COUNT($F49,$H49,$J49,$L49,$N49,$P49)=0,"",MAX($F49,$H49,$J49,$L49,$N49,$P49))</f>
        <v>0.224277742004722</v>
      </c>
      <c r="S49" s="61" t="n">
        <f aca="false">IF($A49="","",COUNT($E49,$G49,$I49,$K49,$M49,$O49))</f>
        <v>6</v>
      </c>
    </row>
    <row r="50" customFormat="false" ht="15" hidden="false" customHeight="false" outlineLevel="0" collapsed="false">
      <c r="A50" s="32" t="str">
        <f aca="false">IF(Produtos!$A50="","",Produtos!$A50)</f>
        <v>L2440-AML</v>
      </c>
      <c r="B50" s="32" t="str">
        <f aca="false">IF(Produtos!$A50="","",Produtos!$B50)</f>
        <v>Lixeira c/Aro Meia Lua 24x40 20L</v>
      </c>
      <c r="C50" s="32" t="str">
        <f aca="false">IF(Produtos!$A50="","",Produtos!$C50)</f>
        <v>Lixeiras em inox</v>
      </c>
      <c r="D50" s="33" t="n">
        <f aca="false">IF(Produtos!$A50="","",IF(Produtos!$D50="","",Produtos!$D50))</f>
        <v>113.2</v>
      </c>
      <c r="E50" s="59" t="n">
        <f aca="false">'ML Clássico'!$K50</f>
        <v>259.5</v>
      </c>
      <c r="F50" s="60" t="n">
        <f aca="false">'ML Clássico'!$Q50</f>
        <v>0.201059730250482</v>
      </c>
      <c r="G50" s="59" t="n">
        <f aca="false">'ML Premium'!$K50</f>
        <v>276.7240625</v>
      </c>
      <c r="H50" s="60" t="n">
        <f aca="false">'ML Premium'!$Q50</f>
        <v>0.20522727401055</v>
      </c>
      <c r="I50" s="59" t="n">
        <f aca="false">Amazon!$K50</f>
        <v>228.04</v>
      </c>
      <c r="J50" s="60" t="n">
        <f aca="false">Amazon!$Q50</f>
        <v>0.243595860375373</v>
      </c>
      <c r="K50" s="59" t="n">
        <f aca="false">'Via (Casas Bahia)'!$K50</f>
        <v>246.086956521739</v>
      </c>
      <c r="L50" s="60" t="n">
        <f aca="false">'Via (Casas Bahia)'!$Q50</f>
        <v>0.2</v>
      </c>
      <c r="M50" s="59" t="n">
        <f aca="false">MadeiraMadeira!$K50</f>
        <v>235.833333333333</v>
      </c>
      <c r="N50" s="60" t="n">
        <f aca="false">MadeiraMadeira!$Q50</f>
        <v>0.2</v>
      </c>
      <c r="O50" s="59" t="n">
        <f aca="false">Magalu!$K50</f>
        <v>231.020408163265</v>
      </c>
      <c r="P50" s="60" t="n">
        <f aca="false">Magalu!$Q50</f>
        <v>0.2</v>
      </c>
      <c r="Q50" s="46" t="n">
        <f aca="false">IF(COUNT($F50,$H50,$J50,$L50,$N50,$P50)=0,"",MIN($F50,$H50,$J50,$L50,$N50,$P50))</f>
        <v>0.2</v>
      </c>
      <c r="R50" s="46" t="n">
        <f aca="false">IF(COUNT($F50,$H50,$J50,$L50,$N50,$P50)=0,"",MAX($F50,$H50,$J50,$L50,$N50,$P50))</f>
        <v>0.243595860375373</v>
      </c>
      <c r="S50" s="61" t="n">
        <f aca="false">IF($A50="","",COUNT($E50,$G50,$I50,$K50,$M50,$O50))</f>
        <v>6</v>
      </c>
    </row>
    <row r="51" customFormat="false" ht="15" hidden="false" customHeight="false" outlineLevel="0" collapsed="false">
      <c r="A51" s="48" t="str">
        <f aca="false">IF(Produtos!$A51="","",Produtos!$A51)</f>
        <v>L2450-AML</v>
      </c>
      <c r="B51" s="48" t="str">
        <f aca="false">IF(Produtos!$A51="","",Produtos!$B51)</f>
        <v>Lixeira c/Aro Meia Lua 24x50 25L</v>
      </c>
      <c r="C51" s="48" t="str">
        <f aca="false">IF(Produtos!$A51="","",Produtos!$C51)</f>
        <v>Lixeiras em inox</v>
      </c>
      <c r="D51" s="33" t="n">
        <f aca="false">IF(Produtos!$A51="","",IF(Produtos!$D51="","",Produtos!$D51))</f>
        <v>139.49</v>
      </c>
      <c r="E51" s="62" t="n">
        <f aca="false">'ML Clássico'!$K51</f>
        <v>322.977375</v>
      </c>
      <c r="F51" s="60" t="n">
        <f aca="false">'ML Clássico'!$Q51</f>
        <v>0.191632714985067</v>
      </c>
      <c r="G51" s="62" t="n">
        <f aca="false">'ML Premium'!$K51</f>
        <v>335.71125</v>
      </c>
      <c r="H51" s="60" t="n">
        <f aca="false">'ML Premium'!$Q51</f>
        <v>0.207833666581028</v>
      </c>
      <c r="I51" s="62" t="n">
        <f aca="false">Amazon!$K51</f>
        <v>259.9</v>
      </c>
      <c r="J51" s="60" t="n">
        <f aca="false">Amazon!$Q51</f>
        <v>0.203293574451712</v>
      </c>
      <c r="K51" s="62" t="n">
        <f aca="false">'Via (Casas Bahia)'!$K51</f>
        <v>303.239130434783</v>
      </c>
      <c r="L51" s="60" t="n">
        <f aca="false">'Via (Casas Bahia)'!$Q51</f>
        <v>0.2</v>
      </c>
      <c r="M51" s="62" t="n">
        <f aca="false">MadeiraMadeira!$K51</f>
        <v>290.604166666667</v>
      </c>
      <c r="N51" s="60" t="n">
        <f aca="false">MadeiraMadeira!$Q51</f>
        <v>0.2</v>
      </c>
      <c r="O51" s="62" t="n">
        <f aca="false">Magalu!$K51</f>
        <v>284.673469387755</v>
      </c>
      <c r="P51" s="60" t="n">
        <f aca="false">Magalu!$Q51</f>
        <v>0.2</v>
      </c>
      <c r="Q51" s="46" t="n">
        <f aca="false">IF(COUNT($F51,$H51,$J51,$L51,$N51,$P51)=0,"",MIN($F51,$H51,$J51,$L51,$N51,$P51))</f>
        <v>0.191632714985067</v>
      </c>
      <c r="R51" s="46" t="n">
        <f aca="false">IF(COUNT($F51,$H51,$J51,$L51,$N51,$P51)=0,"",MAX($F51,$H51,$J51,$L51,$N51,$P51))</f>
        <v>0.207833666581028</v>
      </c>
      <c r="S51" s="61" t="n">
        <f aca="false">IF($A51="","",COUNT($E51,$G51,$I51,$K51,$M51,$O51))</f>
        <v>6</v>
      </c>
    </row>
    <row r="52" customFormat="false" ht="15" hidden="false" customHeight="false" outlineLevel="0" collapsed="false">
      <c r="A52" s="32" t="str">
        <f aca="false">IF(Produtos!$A52="","",Produtos!$A52)</f>
        <v>L2460-AML</v>
      </c>
      <c r="B52" s="32" t="str">
        <f aca="false">IF(Produtos!$A52="","",Produtos!$B52)</f>
        <v>Lixeira c/Aro Meia Lua 24x60 27L</v>
      </c>
      <c r="C52" s="32" t="str">
        <f aca="false">IF(Produtos!$A52="","",Produtos!$C52)</f>
        <v>Lixeiras em inox</v>
      </c>
      <c r="D52" s="33" t="n">
        <f aca="false">IF(Produtos!$A52="","",IF(Produtos!$D52="","",Produtos!$D52))</f>
        <v>140.97</v>
      </c>
      <c r="E52" s="59" t="n">
        <f aca="false">'ML Clássico'!$K52</f>
        <v>336.08169</v>
      </c>
      <c r="F52" s="60" t="n">
        <f aca="false">'ML Clássico'!$Q52</f>
        <v>0.209000578103496</v>
      </c>
      <c r="G52" s="59" t="n">
        <f aca="false">'ML Premium'!$K52</f>
        <v>364.7676375</v>
      </c>
      <c r="H52" s="60" t="n">
        <f aca="false">'ML Premium'!$Q52</f>
        <v>0.221545692907036</v>
      </c>
      <c r="I52" s="59" t="n">
        <f aca="false">Amazon!$K52</f>
        <v>290.17</v>
      </c>
      <c r="J52" s="60" t="n">
        <f aca="false">Amazon!$Q52</f>
        <v>0.254181341971947</v>
      </c>
      <c r="K52" s="59" t="n">
        <f aca="false">'Via (Casas Bahia)'!$K52</f>
        <v>306.45652173913</v>
      </c>
      <c r="L52" s="60" t="n">
        <f aca="false">'Via (Casas Bahia)'!$Q52</f>
        <v>0.2</v>
      </c>
      <c r="M52" s="59" t="n">
        <f aca="false">MadeiraMadeira!$K52</f>
        <v>293.6875</v>
      </c>
      <c r="N52" s="60" t="n">
        <f aca="false">MadeiraMadeira!$Q52</f>
        <v>0.2</v>
      </c>
      <c r="O52" s="59" t="n">
        <f aca="false">Magalu!$K52</f>
        <v>287.69387755102</v>
      </c>
      <c r="P52" s="60" t="n">
        <f aca="false">Magalu!$Q52</f>
        <v>0.2</v>
      </c>
      <c r="Q52" s="46" t="n">
        <f aca="false">IF(COUNT($F52,$H52,$J52,$L52,$N52,$P52)=0,"",MIN($F52,$H52,$J52,$L52,$N52,$P52))</f>
        <v>0.2</v>
      </c>
      <c r="R52" s="46" t="n">
        <f aca="false">IF(COUNT($F52,$H52,$J52,$L52,$N52,$P52)=0,"",MAX($F52,$H52,$J52,$L52,$N52,$P52))</f>
        <v>0.254181341971947</v>
      </c>
      <c r="S52" s="61" t="n">
        <f aca="false">IF($A52="","",COUNT($E52,$G52,$I52,$K52,$M52,$O52))</f>
        <v>6</v>
      </c>
    </row>
    <row r="53" customFormat="false" ht="15" hidden="false" customHeight="false" outlineLevel="0" collapsed="false">
      <c r="A53" s="48" t="str">
        <f aca="false">IF(Produtos!$A53="","",Produtos!$A53)</f>
        <v>L2470-AML</v>
      </c>
      <c r="B53" s="48" t="str">
        <f aca="false">IF(Produtos!$A53="","",Produtos!$B53)</f>
        <v>Lixeira c/Aro Meia Lua 24x70 30L</v>
      </c>
      <c r="C53" s="48" t="str">
        <f aca="false">IF(Produtos!$A53="","",Produtos!$C53)</f>
        <v>Lixeiras em inox</v>
      </c>
      <c r="D53" s="33" t="n">
        <f aca="false">IF(Produtos!$A53="","",IF(Produtos!$D53="","",Produtos!$D53))</f>
        <v>208.28</v>
      </c>
      <c r="E53" s="62" t="n">
        <f aca="false">'ML Clássico'!$K53</f>
        <v>464.0918625</v>
      </c>
      <c r="F53" s="60" t="n">
        <f aca="false">'ML Clássico'!$Q53</f>
        <v>0.203707292702207</v>
      </c>
      <c r="G53" s="62" t="n">
        <f aca="false">'ML Premium'!$K53</f>
        <v>496.29699</v>
      </c>
      <c r="H53" s="60" t="n">
        <f aca="false">'ML Premium'!$Q53</f>
        <v>0.209156684186217</v>
      </c>
      <c r="I53" s="62" t="n">
        <f aca="false">Amazon!$K53</f>
        <v>408.32</v>
      </c>
      <c r="J53" s="60" t="n">
        <f aca="false">Amazon!$Q53</f>
        <v>0.22990987460815</v>
      </c>
      <c r="K53" s="62" t="n">
        <f aca="false">'Via (Casas Bahia)'!$K53</f>
        <v>452.782608695652</v>
      </c>
      <c r="L53" s="60" t="n">
        <f aca="false">'Via (Casas Bahia)'!$Q53</f>
        <v>0.2</v>
      </c>
      <c r="M53" s="62" t="n">
        <f aca="false">MadeiraMadeira!$K53</f>
        <v>433.916666666667</v>
      </c>
      <c r="N53" s="60" t="n">
        <f aca="false">MadeiraMadeira!$Q53</f>
        <v>0.2</v>
      </c>
      <c r="O53" s="62" t="n">
        <f aca="false">Magalu!$K53</f>
        <v>425.061224489796</v>
      </c>
      <c r="P53" s="60" t="n">
        <f aca="false">Magalu!$Q53</f>
        <v>0.2</v>
      </c>
      <c r="Q53" s="46" t="n">
        <f aca="false">IF(COUNT($F53,$H53,$J53,$L53,$N53,$P53)=0,"",MIN($F53,$H53,$J53,$L53,$N53,$P53))</f>
        <v>0.2</v>
      </c>
      <c r="R53" s="46" t="n">
        <f aca="false">IF(COUNT($F53,$H53,$J53,$L53,$N53,$P53)=0,"",MAX($F53,$H53,$J53,$L53,$N53,$P53))</f>
        <v>0.22990987460815</v>
      </c>
      <c r="S53" s="61" t="n">
        <f aca="false">IF($A53="","",COUNT($E53,$G53,$I53,$K53,$M53,$O53))</f>
        <v>6</v>
      </c>
    </row>
    <row r="54" customFormat="false" ht="15" hidden="false" customHeight="false" outlineLevel="0" collapsed="false">
      <c r="A54" s="32" t="str">
        <f aca="false">IF(Produtos!$A54="","",Produtos!$A54)</f>
        <v>L3040-AML</v>
      </c>
      <c r="B54" s="32" t="str">
        <f aca="false">IF(Produtos!$A54="","",Produtos!$B54)</f>
        <v>Lixeira c/Aro Meia Lua 30x40 30L</v>
      </c>
      <c r="C54" s="32" t="str">
        <f aca="false">IF(Produtos!$A54="","",Produtos!$C54)</f>
        <v>Lixeiras em inox</v>
      </c>
      <c r="D54" s="33" t="n">
        <f aca="false">IF(Produtos!$A54="","",IF(Produtos!$D54="","",Produtos!$D54))</f>
        <v>161.26</v>
      </c>
      <c r="E54" s="59" t="n">
        <f aca="false">'ML Clássico'!$K54</f>
        <v>298.62962962963</v>
      </c>
      <c r="F54" s="60" t="n">
        <f aca="false">'ML Clássico'!$Q54</f>
        <v>0.2</v>
      </c>
      <c r="G54" s="59" t="n">
        <f aca="false">'ML Premium'!$K54</f>
        <v>329.102040816327</v>
      </c>
      <c r="H54" s="60" t="n">
        <f aca="false">'ML Premium'!$Q54</f>
        <v>0.2</v>
      </c>
      <c r="I54" s="59" t="n">
        <f aca="false">Amazon!$K54</f>
        <v>298.62962962963</v>
      </c>
      <c r="J54" s="60" t="n">
        <f aca="false">Amazon!$Q54</f>
        <v>0.2</v>
      </c>
      <c r="K54" s="59" t="n">
        <f aca="false">'Via (Casas Bahia)'!$K54</f>
        <v>350.565217391304</v>
      </c>
      <c r="L54" s="60" t="n">
        <f aca="false">'Via (Casas Bahia)'!$Q54</f>
        <v>0.2</v>
      </c>
      <c r="M54" s="59" t="n">
        <f aca="false">MadeiraMadeira!$K54</f>
        <v>335.958333333333</v>
      </c>
      <c r="N54" s="60" t="n">
        <f aca="false">MadeiraMadeira!$Q54</f>
        <v>0.2</v>
      </c>
      <c r="O54" s="59" t="n">
        <f aca="false">Magalu!$K54</f>
        <v>329.102040816327</v>
      </c>
      <c r="P54" s="60" t="n">
        <f aca="false">Magalu!$Q54</f>
        <v>0.2</v>
      </c>
      <c r="Q54" s="46" t="n">
        <f aca="false">IF(COUNT($F54,$H54,$J54,$L54,$N54,$P54)=0,"",MIN($F54,$H54,$J54,$L54,$N54,$P54))</f>
        <v>0.2</v>
      </c>
      <c r="R54" s="46" t="n">
        <f aca="false">IF(COUNT($F54,$H54,$J54,$L54,$N54,$P54)=0,"",MAX($F54,$H54,$J54,$L54,$N54,$P54))</f>
        <v>0.2</v>
      </c>
      <c r="S54" s="61" t="n">
        <f aca="false">IF($A54="","",COUNT($E54,$G54,$I54,$K54,$M54,$O54))</f>
        <v>6</v>
      </c>
    </row>
    <row r="55" customFormat="false" ht="15" hidden="false" customHeight="false" outlineLevel="0" collapsed="false">
      <c r="A55" s="48" t="str">
        <f aca="false">IF(Produtos!$A55="","",Produtos!$A55)</f>
        <v>L3050-AML</v>
      </c>
      <c r="B55" s="48" t="str">
        <f aca="false">IF(Produtos!$A55="","",Produtos!$B55)</f>
        <v>Lixeira c/Aro Meia Lua 30x50 35L</v>
      </c>
      <c r="C55" s="48" t="str">
        <f aca="false">IF(Produtos!$A55="","",Produtos!$C55)</f>
        <v>Lixeiras em inox</v>
      </c>
      <c r="D55" s="33" t="n">
        <f aca="false">IF(Produtos!$A55="","",IF(Produtos!$D55="","",Produtos!$D55))</f>
        <v>205.71</v>
      </c>
      <c r="E55" s="62" t="n">
        <f aca="false">'ML Clássico'!$K55</f>
        <v>380.944444444444</v>
      </c>
      <c r="F55" s="60" t="n">
        <f aca="false">'ML Clássico'!$Q55</f>
        <v>0.2</v>
      </c>
      <c r="G55" s="62" t="n">
        <f aca="false">'ML Premium'!$K55</f>
        <v>419.816326530612</v>
      </c>
      <c r="H55" s="60" t="n">
        <f aca="false">'ML Premium'!$Q55</f>
        <v>0.2</v>
      </c>
      <c r="I55" s="62" t="n">
        <f aca="false">Amazon!$K55</f>
        <v>380.944444444444</v>
      </c>
      <c r="J55" s="60" t="n">
        <f aca="false">Amazon!$Q55</f>
        <v>0.2</v>
      </c>
      <c r="K55" s="62" t="n">
        <f aca="false">'Via (Casas Bahia)'!$K55</f>
        <v>447.195652173913</v>
      </c>
      <c r="L55" s="60" t="n">
        <f aca="false">'Via (Casas Bahia)'!$Q55</f>
        <v>0.2</v>
      </c>
      <c r="M55" s="62" t="n">
        <f aca="false">MadeiraMadeira!$K55</f>
        <v>428.5625</v>
      </c>
      <c r="N55" s="60" t="n">
        <f aca="false">MadeiraMadeira!$Q55</f>
        <v>0.2</v>
      </c>
      <c r="O55" s="62" t="n">
        <f aca="false">Magalu!$K55</f>
        <v>419.816326530612</v>
      </c>
      <c r="P55" s="60" t="n">
        <f aca="false">Magalu!$Q55</f>
        <v>0.2</v>
      </c>
      <c r="Q55" s="46" t="n">
        <f aca="false">IF(COUNT($F55,$H55,$J55,$L55,$N55,$P55)=0,"",MIN($F55,$H55,$J55,$L55,$N55,$P55))</f>
        <v>0.2</v>
      </c>
      <c r="R55" s="46" t="n">
        <f aca="false">IF(COUNT($F55,$H55,$J55,$L55,$N55,$P55)=0,"",MAX($F55,$H55,$J55,$L55,$N55,$P55))</f>
        <v>0.2</v>
      </c>
      <c r="S55" s="61" t="n">
        <f aca="false">IF($A55="","",COUNT($E55,$G55,$I55,$K55,$M55,$O55))</f>
        <v>6</v>
      </c>
    </row>
    <row r="56" customFormat="false" ht="15" hidden="false" customHeight="false" outlineLevel="0" collapsed="false">
      <c r="A56" s="32" t="str">
        <f aca="false">IF(Produtos!$A56="","",Produtos!$A56)</f>
        <v>L3060-AML</v>
      </c>
      <c r="B56" s="32" t="str">
        <f aca="false">IF(Produtos!$A56="","",Produtos!$B56)</f>
        <v>Lixeira c/Aro Meia Lua 30x60 40L</v>
      </c>
      <c r="C56" s="32" t="str">
        <f aca="false">IF(Produtos!$A56="","",Produtos!$C56)</f>
        <v>Lixeiras em inox</v>
      </c>
      <c r="D56" s="33" t="n">
        <f aca="false">IF(Produtos!$A56="","",IF(Produtos!$D56="","",Produtos!$D56))</f>
        <v>235.28</v>
      </c>
      <c r="E56" s="59" t="n">
        <f aca="false">'ML Clássico'!$K56</f>
        <v>507.7111725</v>
      </c>
      <c r="F56" s="60" t="n">
        <f aca="false">'ML Clássico'!$Q56</f>
        <v>0.186628509489813</v>
      </c>
      <c r="G56" s="59" t="n">
        <f aca="false">'ML Premium'!$K56</f>
        <v>480.163265306122</v>
      </c>
      <c r="H56" s="60" t="n">
        <f aca="false">'ML Premium'!$Q56</f>
        <v>0.2</v>
      </c>
      <c r="I56" s="59" t="n">
        <f aca="false">Amazon!$K56</f>
        <v>446.71</v>
      </c>
      <c r="J56" s="60" t="n">
        <f aca="false">Amazon!$Q56</f>
        <v>0.213304828636028</v>
      </c>
      <c r="K56" s="59" t="n">
        <f aca="false">'Via (Casas Bahia)'!$K56</f>
        <v>511.478260869565</v>
      </c>
      <c r="L56" s="60" t="n">
        <f aca="false">'Via (Casas Bahia)'!$Q56</f>
        <v>0.2</v>
      </c>
      <c r="M56" s="59" t="n">
        <f aca="false">MadeiraMadeira!$K56</f>
        <v>490.166666666667</v>
      </c>
      <c r="N56" s="60" t="n">
        <f aca="false">MadeiraMadeira!$Q56</f>
        <v>0.2</v>
      </c>
      <c r="O56" s="59" t="n">
        <f aca="false">Magalu!$K56</f>
        <v>480.163265306122</v>
      </c>
      <c r="P56" s="60" t="n">
        <f aca="false">Magalu!$Q56</f>
        <v>0.2</v>
      </c>
      <c r="Q56" s="46" t="n">
        <f aca="false">IF(COUNT($F56,$H56,$J56,$L56,$N56,$P56)=0,"",MIN($F56,$H56,$J56,$L56,$N56,$P56))</f>
        <v>0.186628509489813</v>
      </c>
      <c r="R56" s="46" t="n">
        <f aca="false">IF(COUNT($F56,$H56,$J56,$L56,$N56,$P56)=0,"",MAX($F56,$H56,$J56,$L56,$N56,$P56))</f>
        <v>0.213304828636028</v>
      </c>
      <c r="S56" s="61" t="n">
        <f aca="false">IF($A56="","",COUNT($E56,$G56,$I56,$K56,$M56,$O56))</f>
        <v>6</v>
      </c>
    </row>
    <row r="57" customFormat="false" ht="15" hidden="false" customHeight="false" outlineLevel="0" collapsed="false">
      <c r="A57" s="48" t="str">
        <f aca="false">IF(Produtos!$A57="","",Produtos!$A57)</f>
        <v>L3070-AML</v>
      </c>
      <c r="B57" s="48" t="str">
        <f aca="false">IF(Produtos!$A57="","",Produtos!$B57)</f>
        <v>Lixeira c/Aro Meia Lua 30x70 50L</v>
      </c>
      <c r="C57" s="48" t="str">
        <f aca="false">IF(Produtos!$A57="","",Produtos!$C57)</f>
        <v>Lixeiras em inox</v>
      </c>
      <c r="D57" s="33" t="n">
        <f aca="false">IF(Produtos!$A57="","",IF(Produtos!$D57="","",Produtos!$D57))</f>
        <v>269.82</v>
      </c>
      <c r="E57" s="62" t="n">
        <f aca="false">'ML Clássico'!$K57</f>
        <v>598.1911425</v>
      </c>
      <c r="F57" s="60" t="n">
        <f aca="false">'ML Clássico'!$Q57</f>
        <v>0.183007318392382</v>
      </c>
      <c r="G57" s="62" t="n">
        <f aca="false">'ML Premium'!$K57</f>
        <v>639.73665</v>
      </c>
      <c r="H57" s="60" t="n">
        <f aca="false">'ML Premium'!$Q57</f>
        <v>0.189828717801302</v>
      </c>
      <c r="I57" s="62" t="n">
        <f aca="false">Amazon!$K57</f>
        <v>526.32</v>
      </c>
      <c r="J57" s="60" t="n">
        <f aca="false">Amazon!$Q57</f>
        <v>0.22734610123119</v>
      </c>
      <c r="K57" s="62" t="n">
        <f aca="false">'Via (Casas Bahia)'!$K57</f>
        <v>586.565217391304</v>
      </c>
      <c r="L57" s="60" t="n">
        <f aca="false">'Via (Casas Bahia)'!$Q57</f>
        <v>0.2</v>
      </c>
      <c r="M57" s="62" t="n">
        <f aca="false">MadeiraMadeira!$K57</f>
        <v>562.125</v>
      </c>
      <c r="N57" s="60" t="n">
        <f aca="false">MadeiraMadeira!$Q57</f>
        <v>0.2</v>
      </c>
      <c r="O57" s="62" t="n">
        <f aca="false">Magalu!$K57</f>
        <v>550.65306122449</v>
      </c>
      <c r="P57" s="60" t="n">
        <f aca="false">Magalu!$Q57</f>
        <v>0.2</v>
      </c>
      <c r="Q57" s="46" t="n">
        <f aca="false">IF(COUNT($F57,$H57,$J57,$L57,$N57,$P57)=0,"",MIN($F57,$H57,$J57,$L57,$N57,$P57))</f>
        <v>0.183007318392382</v>
      </c>
      <c r="R57" s="46" t="n">
        <f aca="false">IF(COUNT($F57,$H57,$J57,$L57,$N57,$P57)=0,"",MAX($F57,$H57,$J57,$L57,$N57,$P57))</f>
        <v>0.22734610123119</v>
      </c>
      <c r="S57" s="61" t="n">
        <f aca="false">IF($A57="","",COUNT($E57,$G57,$I57,$K57,$M57,$O57))</f>
        <v>6</v>
      </c>
    </row>
    <row r="58" customFormat="false" ht="15" hidden="false" customHeight="false" outlineLevel="0" collapsed="false">
      <c r="A58" s="32" t="str">
        <f aca="false">IF(Produtos!$A58="","",Produtos!$A58)</f>
        <v>L3085-AML</v>
      </c>
      <c r="B58" s="32" t="str">
        <f aca="false">IF(Produtos!$A58="","",Produtos!$B58)</f>
        <v>Lixeira c/Aro Meia Lua 30x85 60L</v>
      </c>
      <c r="C58" s="32" t="str">
        <f aca="false">IF(Produtos!$A58="","",Produtos!$C58)</f>
        <v>Lixeiras em inox</v>
      </c>
      <c r="D58" s="33" t="n">
        <f aca="false">IF(Produtos!$A58="","",IF(Produtos!$D58="","",Produtos!$D58))</f>
        <v>360.65</v>
      </c>
      <c r="E58" s="59" t="n">
        <f aca="false">'ML Clássico'!$K58</f>
        <v>667.87037037037</v>
      </c>
      <c r="F58" s="60" t="n">
        <f aca="false">'ML Clássico'!$Q58</f>
        <v>0.2</v>
      </c>
      <c r="G58" s="59" t="n">
        <f aca="false">'ML Premium'!$K58</f>
        <v>736.020408163265</v>
      </c>
      <c r="H58" s="60" t="n">
        <f aca="false">'ML Premium'!$Q58</f>
        <v>0.2</v>
      </c>
      <c r="I58" s="59" t="n">
        <f aca="false">Amazon!$K58</f>
        <v>667.87037037037</v>
      </c>
      <c r="J58" s="60" t="n">
        <f aca="false">Amazon!$Q58</f>
        <v>0.2</v>
      </c>
      <c r="K58" s="59" t="n">
        <f aca="false">'Via (Casas Bahia)'!$K58</f>
        <v>784.021739130435</v>
      </c>
      <c r="L58" s="60" t="n">
        <f aca="false">'Via (Casas Bahia)'!$Q58</f>
        <v>0.2</v>
      </c>
      <c r="M58" s="59" t="n">
        <f aca="false">MadeiraMadeira!$K58</f>
        <v>751.354166666667</v>
      </c>
      <c r="N58" s="60" t="n">
        <f aca="false">MadeiraMadeira!$Q58</f>
        <v>0.2</v>
      </c>
      <c r="O58" s="59" t="n">
        <f aca="false">Magalu!$K58</f>
        <v>736.020408163265</v>
      </c>
      <c r="P58" s="60" t="n">
        <f aca="false">Magalu!$Q58</f>
        <v>0.2</v>
      </c>
      <c r="Q58" s="46" t="n">
        <f aca="false">IF(COUNT($F58,$H58,$J58,$L58,$N58,$P58)=0,"",MIN($F58,$H58,$J58,$L58,$N58,$P58))</f>
        <v>0.2</v>
      </c>
      <c r="R58" s="46" t="n">
        <f aca="false">IF(COUNT($F58,$H58,$J58,$L58,$N58,$P58)=0,"",MAX($F58,$H58,$J58,$L58,$N58,$P58))</f>
        <v>0.2</v>
      </c>
      <c r="S58" s="61" t="n">
        <f aca="false">IF($A58="","",COUNT($E58,$G58,$I58,$K58,$M58,$O58))</f>
        <v>6</v>
      </c>
    </row>
    <row r="59" customFormat="false" ht="15" hidden="false" customHeight="false" outlineLevel="0" collapsed="false">
      <c r="A59" s="48" t="str">
        <f aca="false">IF(Produtos!$A59="","",Produtos!$A59)</f>
        <v>L4050-AML</v>
      </c>
      <c r="B59" s="48" t="str">
        <f aca="false">IF(Produtos!$A59="","",Produtos!$B59)</f>
        <v>Lixeira c/Aro Meia Lua 40x50 62L</v>
      </c>
      <c r="C59" s="48" t="str">
        <f aca="false">IF(Produtos!$A59="","",Produtos!$C59)</f>
        <v>Lixeiras em inox</v>
      </c>
      <c r="D59" s="33" t="n">
        <f aca="false">IF(Produtos!$A59="","",IF(Produtos!$D59="","",Produtos!$D59))</f>
        <v>305.35</v>
      </c>
      <c r="E59" s="62" t="n">
        <f aca="false">'ML Clássico'!$K59</f>
        <v>565.462962962963</v>
      </c>
      <c r="F59" s="60" t="n">
        <f aca="false">'ML Clássico'!$Q59</f>
        <v>0.2</v>
      </c>
      <c r="G59" s="62" t="n">
        <f aca="false">'ML Premium'!$K59</f>
        <v>623.163265306122</v>
      </c>
      <c r="H59" s="60" t="n">
        <f aca="false">'ML Premium'!$Q59</f>
        <v>0.2</v>
      </c>
      <c r="I59" s="62" t="n">
        <f aca="false">Amazon!$K59</f>
        <v>565.462962962963</v>
      </c>
      <c r="J59" s="60" t="n">
        <f aca="false">Amazon!$Q59</f>
        <v>0.2</v>
      </c>
      <c r="K59" s="62" t="n">
        <f aca="false">'Via (Casas Bahia)'!$K59</f>
        <v>663.804347826087</v>
      </c>
      <c r="L59" s="60" t="n">
        <f aca="false">'Via (Casas Bahia)'!$Q59</f>
        <v>0.2</v>
      </c>
      <c r="M59" s="62" t="n">
        <f aca="false">MadeiraMadeira!$K59</f>
        <v>636.145833333333</v>
      </c>
      <c r="N59" s="60" t="n">
        <f aca="false">MadeiraMadeira!$Q59</f>
        <v>0.2</v>
      </c>
      <c r="O59" s="62" t="n">
        <f aca="false">Magalu!$K59</f>
        <v>623.163265306122</v>
      </c>
      <c r="P59" s="60" t="n">
        <f aca="false">Magalu!$Q59</f>
        <v>0.2</v>
      </c>
      <c r="Q59" s="46" t="n">
        <f aca="false">IF(COUNT($F59,$H59,$J59,$L59,$N59,$P59)=0,"",MIN($F59,$H59,$J59,$L59,$N59,$P59))</f>
        <v>0.2</v>
      </c>
      <c r="R59" s="46" t="n">
        <f aca="false">IF(COUNT($F59,$H59,$J59,$L59,$N59,$P59)=0,"",MAX($F59,$H59,$J59,$L59,$N59,$P59))</f>
        <v>0.2</v>
      </c>
      <c r="S59" s="61" t="n">
        <f aca="false">IF($A59="","",COUNT($E59,$G59,$I59,$K59,$M59,$O59))</f>
        <v>6</v>
      </c>
    </row>
    <row r="60" customFormat="false" ht="15" hidden="false" customHeight="false" outlineLevel="0" collapsed="false">
      <c r="A60" s="32" t="str">
        <f aca="false">IF(Produtos!$A60="","",Produtos!$A60)</f>
        <v>L4060-AML</v>
      </c>
      <c r="B60" s="32" t="str">
        <f aca="false">IF(Produtos!$A60="","",Produtos!$B60)</f>
        <v>Lixeira c/Aro Meia Lua 40x60 75L</v>
      </c>
      <c r="C60" s="32" t="str">
        <f aca="false">IF(Produtos!$A60="","",Produtos!$C60)</f>
        <v>Lixeiras em inox</v>
      </c>
      <c r="D60" s="33" t="n">
        <f aca="false">IF(Produtos!$A60="","",IF(Produtos!$D60="","",Produtos!$D60))</f>
        <v>342.54</v>
      </c>
      <c r="E60" s="59" t="n">
        <f aca="false">'ML Clássico'!$K60</f>
        <v>634.333333333333</v>
      </c>
      <c r="F60" s="60" t="n">
        <f aca="false">'ML Clássico'!$Q60</f>
        <v>0.2</v>
      </c>
      <c r="G60" s="59" t="n">
        <f aca="false">'ML Premium'!$K60</f>
        <v>699.061224489796</v>
      </c>
      <c r="H60" s="60" t="n">
        <f aca="false">'ML Premium'!$Q60</f>
        <v>0.2</v>
      </c>
      <c r="I60" s="59" t="n">
        <f aca="false">Amazon!$K60</f>
        <v>634.333333333333</v>
      </c>
      <c r="J60" s="60" t="n">
        <f aca="false">Amazon!$Q60</f>
        <v>0.2</v>
      </c>
      <c r="K60" s="59" t="n">
        <f aca="false">'Via (Casas Bahia)'!$K60</f>
        <v>744.652173913044</v>
      </c>
      <c r="L60" s="60" t="n">
        <f aca="false">'Via (Casas Bahia)'!$Q60</f>
        <v>0.2</v>
      </c>
      <c r="M60" s="59" t="n">
        <f aca="false">MadeiraMadeira!$K60</f>
        <v>713.625</v>
      </c>
      <c r="N60" s="60" t="n">
        <f aca="false">MadeiraMadeira!$Q60</f>
        <v>0.2</v>
      </c>
      <c r="O60" s="59" t="n">
        <f aca="false">Magalu!$K60</f>
        <v>699.061224489796</v>
      </c>
      <c r="P60" s="60" t="n">
        <f aca="false">Magalu!$Q60</f>
        <v>0.2</v>
      </c>
      <c r="Q60" s="46" t="n">
        <f aca="false">IF(COUNT($F60,$H60,$J60,$L60,$N60,$P60)=0,"",MIN($F60,$H60,$J60,$L60,$N60,$P60))</f>
        <v>0.2</v>
      </c>
      <c r="R60" s="46" t="n">
        <f aca="false">IF(COUNT($F60,$H60,$J60,$L60,$N60,$P60)=0,"",MAX($F60,$H60,$J60,$L60,$N60,$P60))</f>
        <v>0.2</v>
      </c>
      <c r="S60" s="61" t="n">
        <f aca="false">IF($A60="","",COUNT($E60,$G60,$I60,$K60,$M60,$O60))</f>
        <v>6</v>
      </c>
    </row>
    <row r="61" customFormat="false" ht="15" hidden="false" customHeight="false" outlineLevel="0" collapsed="false">
      <c r="A61" s="48" t="str">
        <f aca="false">IF(Produtos!$A61="","",Produtos!$A61)</f>
        <v>L4070-AML</v>
      </c>
      <c r="B61" s="48" t="str">
        <f aca="false">IF(Produtos!$A61="","",Produtos!$B61)</f>
        <v>Lixeira c/Aro Meia Lua 40x70 88L</v>
      </c>
      <c r="C61" s="48" t="str">
        <f aca="false">IF(Produtos!$A61="","",Produtos!$C61)</f>
        <v>Lixeiras em inox</v>
      </c>
      <c r="D61" s="33" t="n">
        <f aca="false">IF(Produtos!$A61="","",IF(Produtos!$D61="","",Produtos!$D61))</f>
        <v>348.66</v>
      </c>
      <c r="E61" s="62" t="n">
        <f aca="false">'ML Clássico'!$K61</f>
        <v>645.666666666667</v>
      </c>
      <c r="F61" s="60" t="n">
        <f aca="false">'ML Clássico'!$Q61</f>
        <v>0.2</v>
      </c>
      <c r="G61" s="62" t="n">
        <f aca="false">'ML Premium'!$K61</f>
        <v>711.551020408163</v>
      </c>
      <c r="H61" s="60" t="n">
        <f aca="false">'ML Premium'!$Q61</f>
        <v>0.2</v>
      </c>
      <c r="I61" s="62" t="n">
        <f aca="false">Amazon!$K61</f>
        <v>645.666666666667</v>
      </c>
      <c r="J61" s="60" t="n">
        <f aca="false">Amazon!$Q61</f>
        <v>0.2</v>
      </c>
      <c r="K61" s="62" t="n">
        <f aca="false">'Via (Casas Bahia)'!$K61</f>
        <v>757.956521739131</v>
      </c>
      <c r="L61" s="60" t="n">
        <f aca="false">'Via (Casas Bahia)'!$Q61</f>
        <v>0.2</v>
      </c>
      <c r="M61" s="62" t="n">
        <f aca="false">MadeiraMadeira!$K61</f>
        <v>726.375</v>
      </c>
      <c r="N61" s="60" t="n">
        <f aca="false">MadeiraMadeira!$Q61</f>
        <v>0.2</v>
      </c>
      <c r="O61" s="62" t="n">
        <f aca="false">Magalu!$K61</f>
        <v>711.551020408163</v>
      </c>
      <c r="P61" s="60" t="n">
        <f aca="false">Magalu!$Q61</f>
        <v>0.2</v>
      </c>
      <c r="Q61" s="46" t="n">
        <f aca="false">IF(COUNT($F61,$H61,$J61,$L61,$N61,$P61)=0,"",MIN($F61,$H61,$J61,$L61,$N61,$P61))</f>
        <v>0.2</v>
      </c>
      <c r="R61" s="46" t="n">
        <f aca="false">IF(COUNT($F61,$H61,$J61,$L61,$N61,$P61)=0,"",MAX($F61,$H61,$J61,$L61,$N61,$P61))</f>
        <v>0.2</v>
      </c>
      <c r="S61" s="61" t="n">
        <f aca="false">IF($A61="","",COUNT($E61,$G61,$I61,$K61,$M61,$O61))</f>
        <v>6</v>
      </c>
    </row>
    <row r="62" customFormat="false" ht="15" hidden="false" customHeight="false" outlineLevel="0" collapsed="false">
      <c r="A62" s="32" t="str">
        <f aca="false">IF(Produtos!$A62="","",Produtos!$A62)</f>
        <v>L4075-AML</v>
      </c>
      <c r="B62" s="32" t="str">
        <f aca="false">IF(Produtos!$A62="","",Produtos!$B62)</f>
        <v>Lixeira c/Aro Meia Lua 40x75 95L</v>
      </c>
      <c r="C62" s="32" t="str">
        <f aca="false">IF(Produtos!$A62="","",Produtos!$C62)</f>
        <v>Lixeiras em inox</v>
      </c>
      <c r="D62" s="33" t="n">
        <f aca="false">IF(Produtos!$A62="","",IF(Produtos!$D62="","",Produtos!$D62))</f>
        <v>408.87</v>
      </c>
      <c r="E62" s="59" t="n">
        <f aca="false">'ML Clássico'!$K62</f>
        <v>757.166666666667</v>
      </c>
      <c r="F62" s="60" t="n">
        <f aca="false">'ML Clássico'!$Q62</f>
        <v>0.2</v>
      </c>
      <c r="G62" s="59" t="n">
        <f aca="false">'ML Premium'!$K62</f>
        <v>834.428571428571</v>
      </c>
      <c r="H62" s="60" t="n">
        <f aca="false">'ML Premium'!$Q62</f>
        <v>0.2</v>
      </c>
      <c r="I62" s="59" t="n">
        <f aca="false">Amazon!$K62</f>
        <v>757.166666666667</v>
      </c>
      <c r="J62" s="60" t="n">
        <f aca="false">Amazon!$Q62</f>
        <v>0.2</v>
      </c>
      <c r="K62" s="59" t="n">
        <f aca="false">'Via (Casas Bahia)'!$K62</f>
        <v>888.847826086957</v>
      </c>
      <c r="L62" s="60" t="n">
        <f aca="false">'Via (Casas Bahia)'!$Q62</f>
        <v>0.2</v>
      </c>
      <c r="M62" s="59" t="n">
        <f aca="false">MadeiraMadeira!$K62</f>
        <v>851.8125</v>
      </c>
      <c r="N62" s="60" t="n">
        <f aca="false">MadeiraMadeira!$Q62</f>
        <v>0.2</v>
      </c>
      <c r="O62" s="59" t="n">
        <f aca="false">Magalu!$K62</f>
        <v>834.428571428571</v>
      </c>
      <c r="P62" s="60" t="n">
        <f aca="false">Magalu!$Q62</f>
        <v>0.2</v>
      </c>
      <c r="Q62" s="46" t="n">
        <f aca="false">IF(COUNT($F62,$H62,$J62,$L62,$N62,$P62)=0,"",MIN($F62,$H62,$J62,$L62,$N62,$P62))</f>
        <v>0.2</v>
      </c>
      <c r="R62" s="46" t="n">
        <f aca="false">IF(COUNT($F62,$H62,$J62,$L62,$N62,$P62)=0,"",MAX($F62,$H62,$J62,$L62,$N62,$P62))</f>
        <v>0.2</v>
      </c>
      <c r="S62" s="61" t="n">
        <f aca="false">IF($A62="","",COUNT($E62,$G62,$I62,$K62,$M62,$O62))</f>
        <v>6</v>
      </c>
    </row>
    <row r="63" customFormat="false" ht="15" hidden="false" customHeight="false" outlineLevel="0" collapsed="false">
      <c r="A63" s="48" t="str">
        <f aca="false">IF(Produtos!$A63="","",Produtos!$A63)</f>
        <v>L4080-AML</v>
      </c>
      <c r="B63" s="48" t="str">
        <f aca="false">IF(Produtos!$A63="","",Produtos!$B63)</f>
        <v>Lixeira c/Aro Meia Lua 40x80 100L</v>
      </c>
      <c r="C63" s="48" t="str">
        <f aca="false">IF(Produtos!$A63="","",Produtos!$C63)</f>
        <v>Lixeiras em inox</v>
      </c>
      <c r="D63" s="33" t="n">
        <f aca="false">IF(Produtos!$A63="","",IF(Produtos!$D63="","",Produtos!$D63))</f>
        <v>411.4</v>
      </c>
      <c r="E63" s="62" t="n">
        <f aca="false">'ML Clássico'!$K63</f>
        <v>953.07</v>
      </c>
      <c r="F63" s="60" t="n">
        <f aca="false">'ML Clássico'!$Q63</f>
        <v>0.1962309169316</v>
      </c>
      <c r="G63" s="62" t="n">
        <f aca="false">'ML Premium'!$K63</f>
        <v>953.06715</v>
      </c>
      <c r="H63" s="60" t="n">
        <f aca="false">'ML Premium'!$Q63</f>
        <v>0.146229290874206</v>
      </c>
      <c r="I63" s="62" t="n">
        <f aca="false">Amazon!$K63</f>
        <v>761.851851851852</v>
      </c>
      <c r="J63" s="60" t="n">
        <f aca="false">Amazon!$Q63</f>
        <v>0.2</v>
      </c>
      <c r="K63" s="62" t="n">
        <f aca="false">'Via (Casas Bahia)'!$K63</f>
        <v>894.347826086956</v>
      </c>
      <c r="L63" s="60" t="n">
        <f aca="false">'Via (Casas Bahia)'!$Q63</f>
        <v>0.2</v>
      </c>
      <c r="M63" s="62" t="n">
        <f aca="false">MadeiraMadeira!$K63</f>
        <v>857.083333333333</v>
      </c>
      <c r="N63" s="60" t="n">
        <f aca="false">MadeiraMadeira!$Q63</f>
        <v>0.2</v>
      </c>
      <c r="O63" s="62" t="n">
        <f aca="false">Magalu!$K63</f>
        <v>839.591836734694</v>
      </c>
      <c r="P63" s="60" t="n">
        <f aca="false">Magalu!$Q63</f>
        <v>0.2</v>
      </c>
      <c r="Q63" s="46" t="n">
        <f aca="false">IF(COUNT($F63,$H63,$J63,$L63,$N63,$P63)=0,"",MIN($F63,$H63,$J63,$L63,$N63,$P63))</f>
        <v>0.146229290874206</v>
      </c>
      <c r="R63" s="46" t="n">
        <f aca="false">IF(COUNT($F63,$H63,$J63,$L63,$N63,$P63)=0,"",MAX($F63,$H63,$J63,$L63,$N63,$P63))</f>
        <v>0.2</v>
      </c>
      <c r="S63" s="61" t="n">
        <f aca="false">IF($A63="","",COUNT($E63,$G63,$I63,$K63,$M63,$O63))</f>
        <v>6</v>
      </c>
    </row>
    <row r="64" customFormat="false" ht="15" hidden="false" customHeight="false" outlineLevel="0" collapsed="false">
      <c r="A64" s="32" t="str">
        <f aca="false">IF(Produtos!$A64="","",Produtos!$A64)</f>
        <v>L4090-AML</v>
      </c>
      <c r="B64" s="32" t="str">
        <f aca="false">IF(Produtos!$A64="","",Produtos!$B64)</f>
        <v>Lixeira c/Aro Meia Lua 40x90 120L</v>
      </c>
      <c r="C64" s="32" t="str">
        <f aca="false">IF(Produtos!$A64="","",Produtos!$C64)</f>
        <v>Lixeiras em inox</v>
      </c>
      <c r="D64" s="33" t="n">
        <f aca="false">IF(Produtos!$A64="","",IF(Produtos!$D64="","",Produtos!$D64))</f>
        <v>442.44</v>
      </c>
      <c r="E64" s="59" t="n">
        <f aca="false">'ML Clássico'!$K64</f>
        <v>819.333333333333</v>
      </c>
      <c r="F64" s="60" t="n">
        <f aca="false">'ML Clássico'!$Q64</f>
        <v>0.2</v>
      </c>
      <c r="G64" s="59" t="n">
        <f aca="false">'ML Premium'!$K64</f>
        <v>902.938775510204</v>
      </c>
      <c r="H64" s="60" t="n">
        <f aca="false">'ML Premium'!$Q64</f>
        <v>0.2</v>
      </c>
      <c r="I64" s="59" t="n">
        <f aca="false">Amazon!$K64</f>
        <v>819.333333333333</v>
      </c>
      <c r="J64" s="60" t="n">
        <f aca="false">Amazon!$Q64</f>
        <v>0.2</v>
      </c>
      <c r="K64" s="59" t="n">
        <f aca="false">'Via (Casas Bahia)'!$K64</f>
        <v>961.826086956522</v>
      </c>
      <c r="L64" s="60" t="n">
        <f aca="false">'Via (Casas Bahia)'!$Q64</f>
        <v>0.2</v>
      </c>
      <c r="M64" s="59" t="n">
        <f aca="false">MadeiraMadeira!$K64</f>
        <v>921.75</v>
      </c>
      <c r="N64" s="60" t="n">
        <f aca="false">MadeiraMadeira!$Q64</f>
        <v>0.2</v>
      </c>
      <c r="O64" s="59" t="n">
        <f aca="false">Magalu!$K64</f>
        <v>902.938775510204</v>
      </c>
      <c r="P64" s="60" t="n">
        <f aca="false">Magalu!$Q64</f>
        <v>0.2</v>
      </c>
      <c r="Q64" s="46" t="n">
        <f aca="false">IF(COUNT($F64,$H64,$J64,$L64,$N64,$P64)=0,"",MIN($F64,$H64,$J64,$L64,$N64,$P64))</f>
        <v>0.2</v>
      </c>
      <c r="R64" s="46" t="n">
        <f aca="false">IF(COUNT($F64,$H64,$J64,$L64,$N64,$P64)=0,"",MAX($F64,$H64,$J64,$L64,$N64,$P64))</f>
        <v>0.2</v>
      </c>
      <c r="S64" s="61" t="n">
        <f aca="false">IF($A64="","",COUNT($E64,$G64,$I64,$K64,$M64,$O64))</f>
        <v>6</v>
      </c>
    </row>
    <row r="65" customFormat="false" ht="15" hidden="false" customHeight="false" outlineLevel="0" collapsed="false">
      <c r="A65" s="48" t="str">
        <f aca="false">IF(Produtos!$A65="","",Produtos!$A65)</f>
        <v>L1618-B</v>
      </c>
      <c r="B65" s="48" t="str">
        <f aca="false">IF(Produtos!$A65="","",Produtos!$B65)</f>
        <v>Lixeira c/Aro Basculante 16x18 03L</v>
      </c>
      <c r="C65" s="48" t="str">
        <f aca="false">IF(Produtos!$A65="","",Produtos!$C65)</f>
        <v>Lixeiras em inox</v>
      </c>
      <c r="D65" s="33" t="n">
        <f aca="false">IF(Produtos!$A65="","",IF(Produtos!$D65="","",Produtos!$D65))</f>
        <v>60.62</v>
      </c>
      <c r="E65" s="62" t="n">
        <f aca="false">'ML Clássico'!$K65</f>
        <v>152.775</v>
      </c>
      <c r="F65" s="60" t="n">
        <f aca="false">'ML Clássico'!$Q65</f>
        <v>0.210841106201931</v>
      </c>
      <c r="G65" s="62" t="n">
        <f aca="false">'ML Premium'!$K65</f>
        <v>160.89</v>
      </c>
      <c r="H65" s="60" t="n">
        <f aca="false">'ML Premium'!$Q65</f>
        <v>0.208035303623594</v>
      </c>
      <c r="I65" s="62" t="n">
        <f aca="false">Amazon!$K65</f>
        <v>129.9</v>
      </c>
      <c r="J65" s="60" t="n">
        <f aca="false">Amazon!$Q65</f>
        <v>0.273333333333333</v>
      </c>
      <c r="K65" s="62" t="n">
        <f aca="false">'Via (Casas Bahia)'!$K65</f>
        <v>131.782608695652</v>
      </c>
      <c r="L65" s="60" t="n">
        <f aca="false">'Via (Casas Bahia)'!$Q65</f>
        <v>0.2</v>
      </c>
      <c r="M65" s="62" t="n">
        <f aca="false">MadeiraMadeira!$K65</f>
        <v>126.291666666667</v>
      </c>
      <c r="N65" s="60" t="n">
        <f aca="false">MadeiraMadeira!$Q65</f>
        <v>0.2</v>
      </c>
      <c r="O65" s="62" t="n">
        <f aca="false">Magalu!$K65</f>
        <v>123.714285714286</v>
      </c>
      <c r="P65" s="60" t="n">
        <f aca="false">Magalu!$Q65</f>
        <v>0.2</v>
      </c>
      <c r="Q65" s="46" t="n">
        <f aca="false">IF(COUNT($F65,$H65,$J65,$L65,$N65,$P65)=0,"",MIN($F65,$H65,$J65,$L65,$N65,$P65))</f>
        <v>0.2</v>
      </c>
      <c r="R65" s="46" t="n">
        <f aca="false">IF(COUNT($F65,$H65,$J65,$L65,$N65,$P65)=0,"",MAX($F65,$H65,$J65,$L65,$N65,$P65))</f>
        <v>0.273333333333333</v>
      </c>
      <c r="S65" s="61" t="n">
        <f aca="false">IF($A65="","",COUNT($E65,$G65,$I65,$K65,$M65,$O65))</f>
        <v>6</v>
      </c>
    </row>
    <row r="66" customFormat="false" ht="15" hidden="false" customHeight="false" outlineLevel="0" collapsed="false">
      <c r="A66" s="32" t="str">
        <f aca="false">IF(Produtos!$A66="","",Produtos!$A66)</f>
        <v>L1623-B</v>
      </c>
      <c r="B66" s="32" t="str">
        <f aca="false">IF(Produtos!$A66="","",Produtos!$B66)</f>
        <v>Lixeira c/Aro Basculante 16x23 05L</v>
      </c>
      <c r="C66" s="32" t="str">
        <f aca="false">IF(Produtos!$A66="","",Produtos!$C66)</f>
        <v>Lixeiras em inox</v>
      </c>
      <c r="D66" s="33" t="n">
        <f aca="false">IF(Produtos!$A66="","",IF(Produtos!$D66="","",Produtos!$D66))</f>
        <v>65.95</v>
      </c>
      <c r="E66" s="59" t="n">
        <f aca="false">'ML Clássico'!$K66</f>
        <v>163.17</v>
      </c>
      <c r="F66" s="60" t="n">
        <f aca="false">'ML Clássico'!$Q66</f>
        <v>0.212523748238034</v>
      </c>
      <c r="G66" s="59" t="n">
        <f aca="false">'ML Premium'!$K66</f>
        <v>175.079205</v>
      </c>
      <c r="H66" s="60" t="n">
        <f aca="false">'ML Premium'!$Q66</f>
        <v>0.219083857503237</v>
      </c>
      <c r="I66" s="59" t="n">
        <f aca="false">Amazon!$K66</f>
        <v>137.9</v>
      </c>
      <c r="J66" s="60" t="n">
        <f aca="false">Amazon!$Q66</f>
        <v>0.261754894851342</v>
      </c>
      <c r="K66" s="59" t="n">
        <f aca="false">'Via (Casas Bahia)'!$K66</f>
        <v>143.369565217391</v>
      </c>
      <c r="L66" s="60" t="n">
        <f aca="false">'Via (Casas Bahia)'!$Q66</f>
        <v>0.2</v>
      </c>
      <c r="M66" s="59" t="n">
        <f aca="false">MadeiraMadeira!$K66</f>
        <v>137.395833333333</v>
      </c>
      <c r="N66" s="60" t="n">
        <f aca="false">MadeiraMadeira!$Q66</f>
        <v>0.2</v>
      </c>
      <c r="O66" s="59" t="n">
        <f aca="false">Magalu!$K66</f>
        <v>134.591836734694</v>
      </c>
      <c r="P66" s="60" t="n">
        <f aca="false">Magalu!$Q66</f>
        <v>0.2</v>
      </c>
      <c r="Q66" s="46" t="n">
        <f aca="false">IF(COUNT($F66,$H66,$J66,$L66,$N66,$P66)=0,"",MIN($F66,$H66,$J66,$L66,$N66,$P66))</f>
        <v>0.2</v>
      </c>
      <c r="R66" s="46" t="n">
        <f aca="false">IF(COUNT($F66,$H66,$J66,$L66,$N66,$P66)=0,"",MAX($F66,$H66,$J66,$L66,$N66,$P66))</f>
        <v>0.261754894851342</v>
      </c>
      <c r="S66" s="61" t="n">
        <f aca="false">IF($A66="","",COUNT($E66,$G66,$I66,$K66,$M66,$O66))</f>
        <v>6</v>
      </c>
    </row>
    <row r="67" customFormat="false" ht="15" hidden="false" customHeight="false" outlineLevel="0" collapsed="false">
      <c r="A67" s="48" t="str">
        <f aca="false">IF(Produtos!$A67="","",Produtos!$A67)</f>
        <v>L2025-B</v>
      </c>
      <c r="B67" s="48" t="str">
        <f aca="false">IF(Produtos!$A67="","",Produtos!$B67)</f>
        <v>Lixeira c/Aro Basculante 20x25 07L</v>
      </c>
      <c r="C67" s="48" t="str">
        <f aca="false">IF(Produtos!$A67="","",Produtos!$C67)</f>
        <v>Lixeiras em inox</v>
      </c>
      <c r="D67" s="33" t="n">
        <f aca="false">IF(Produtos!$A67="","",IF(Produtos!$D67="","",Produtos!$D67))</f>
        <v>69.52</v>
      </c>
      <c r="E67" s="62" t="n">
        <f aca="false">'ML Clássico'!$K67</f>
        <v>170.9349075</v>
      </c>
      <c r="F67" s="60" t="n">
        <f aca="false">'ML Clássico'!$Q67</f>
        <v>0.200843590856362</v>
      </c>
      <c r="G67" s="62" t="n">
        <f aca="false">'ML Premium'!$K67</f>
        <v>180.9</v>
      </c>
      <c r="H67" s="60" t="n">
        <f aca="false">'ML Premium'!$Q67</f>
        <v>0.201094527363184</v>
      </c>
      <c r="I67" s="62" t="n">
        <f aca="false">Amazon!$K67</f>
        <v>139.9</v>
      </c>
      <c r="J67" s="60" t="n">
        <f aca="false">Amazon!$Q67</f>
        <v>0.243073624017155</v>
      </c>
      <c r="K67" s="62" t="n">
        <f aca="false">'Via (Casas Bahia)'!$K67</f>
        <v>151.130434782609</v>
      </c>
      <c r="L67" s="60" t="n">
        <f aca="false">'Via (Casas Bahia)'!$Q67</f>
        <v>0.2</v>
      </c>
      <c r="M67" s="62" t="n">
        <f aca="false">MadeiraMadeira!$K67</f>
        <v>144.833333333333</v>
      </c>
      <c r="N67" s="60" t="n">
        <f aca="false">MadeiraMadeira!$Q67</f>
        <v>0.2</v>
      </c>
      <c r="O67" s="62" t="n">
        <f aca="false">Magalu!$K67</f>
        <v>141.877551020408</v>
      </c>
      <c r="P67" s="60" t="n">
        <f aca="false">Magalu!$Q67</f>
        <v>0.2</v>
      </c>
      <c r="Q67" s="46" t="n">
        <f aca="false">IF(COUNT($F67,$H67,$J67,$L67,$N67,$P67)=0,"",MIN($F67,$H67,$J67,$L67,$N67,$P67))</f>
        <v>0.2</v>
      </c>
      <c r="R67" s="46" t="n">
        <f aca="false">IF(COUNT($F67,$H67,$J67,$L67,$N67,$P67)=0,"",MAX($F67,$H67,$J67,$L67,$N67,$P67))</f>
        <v>0.243073624017155</v>
      </c>
      <c r="S67" s="61" t="n">
        <f aca="false">IF($A67="","",COUNT($E67,$G67,$I67,$K67,$M67,$O67))</f>
        <v>6</v>
      </c>
    </row>
    <row r="68" customFormat="false" ht="15" hidden="false" customHeight="false" outlineLevel="0" collapsed="false">
      <c r="A68" s="32" t="str">
        <f aca="false">IF(Produtos!$A68="","",Produtos!$A68)</f>
        <v>L2030-B</v>
      </c>
      <c r="B68" s="32" t="str">
        <f aca="false">IF(Produtos!$A68="","",Produtos!$B68)</f>
        <v>Lixeira c/Aro Basculante 20x30 10L</v>
      </c>
      <c r="C68" s="32" t="str">
        <f aca="false">IF(Produtos!$A68="","",Produtos!$C68)</f>
        <v>Lixeiras em inox</v>
      </c>
      <c r="D68" s="33" t="n">
        <f aca="false">IF(Produtos!$A68="","",IF(Produtos!$D68="","",Produtos!$D68))</f>
        <v>75.68</v>
      </c>
      <c r="E68" s="59" t="n">
        <f aca="false">'ML Clássico'!$K68</f>
        <v>182.9</v>
      </c>
      <c r="F68" s="60" t="n">
        <f aca="false">'ML Clássico'!$Q68</f>
        <v>0.203089119737562</v>
      </c>
      <c r="G68" s="59" t="n">
        <f aca="false">'ML Premium'!$K68</f>
        <v>192.9</v>
      </c>
      <c r="H68" s="60" t="n">
        <f aca="false">'ML Premium'!$Q68</f>
        <v>0.201441161223432</v>
      </c>
      <c r="I68" s="59" t="n">
        <f aca="false">Amazon!$K68</f>
        <v>153.72</v>
      </c>
      <c r="J68" s="60" t="n">
        <f aca="false">Amazon!$Q68</f>
        <v>0.24767629456154</v>
      </c>
      <c r="K68" s="59" t="n">
        <f aca="false">'Via (Casas Bahia)'!$K68</f>
        <v>164.521739130435</v>
      </c>
      <c r="L68" s="60" t="n">
        <f aca="false">'Via (Casas Bahia)'!$Q68</f>
        <v>0.2</v>
      </c>
      <c r="M68" s="59" t="n">
        <f aca="false">MadeiraMadeira!$K68</f>
        <v>157.666666666667</v>
      </c>
      <c r="N68" s="60" t="n">
        <f aca="false">MadeiraMadeira!$Q68</f>
        <v>0.2</v>
      </c>
      <c r="O68" s="59" t="n">
        <f aca="false">Magalu!$K68</f>
        <v>154.448979591837</v>
      </c>
      <c r="P68" s="60" t="n">
        <f aca="false">Magalu!$Q68</f>
        <v>0.2</v>
      </c>
      <c r="Q68" s="46" t="n">
        <f aca="false">IF(COUNT($F68,$H68,$J68,$L68,$N68,$P68)=0,"",MIN($F68,$H68,$J68,$L68,$N68,$P68))</f>
        <v>0.2</v>
      </c>
      <c r="R68" s="46" t="n">
        <f aca="false">IF(COUNT($F68,$H68,$J68,$L68,$N68,$P68)=0,"",MAX($F68,$H68,$J68,$L68,$N68,$P68))</f>
        <v>0.24767629456154</v>
      </c>
      <c r="S68" s="61" t="n">
        <f aca="false">IF($A68="","",COUNT($E68,$G68,$I68,$K68,$M68,$O68))</f>
        <v>6</v>
      </c>
    </row>
    <row r="69" customFormat="false" ht="15" hidden="false" customHeight="false" outlineLevel="0" collapsed="false">
      <c r="A69" s="48" t="str">
        <f aca="false">IF(Produtos!$A69="","",Produtos!$A69)</f>
        <v>L2425-B</v>
      </c>
      <c r="B69" s="48" t="str">
        <f aca="false">IF(Produtos!$A69="","",Produtos!$B69)</f>
        <v>Lixeira c/Aro Basculante 24x25 13L</v>
      </c>
      <c r="C69" s="48" t="str">
        <f aca="false">IF(Produtos!$A69="","",Produtos!$C69)</f>
        <v>Lixeiras em inox</v>
      </c>
      <c r="D69" s="33" t="n">
        <f aca="false">IF(Produtos!$A69="","",IF(Produtos!$D69="","",Produtos!$D69))</f>
        <v>94.18</v>
      </c>
      <c r="E69" s="62" t="n">
        <f aca="false">'ML Clássico'!$K69</f>
        <v>222.485</v>
      </c>
      <c r="F69" s="60" t="n">
        <f aca="false">'ML Clássico'!$Q69</f>
        <v>0.205109333213475</v>
      </c>
      <c r="G69" s="62" t="n">
        <f aca="false">'ML Premium'!$K69</f>
        <v>236.56101</v>
      </c>
      <c r="H69" s="60" t="n">
        <f aca="false">'ML Premium'!$Q69</f>
        <v>0.207531778799896</v>
      </c>
      <c r="I69" s="62" t="n">
        <f aca="false">Amazon!$K69</f>
        <v>183.28</v>
      </c>
      <c r="J69" s="60" t="n">
        <f aca="false">Amazon!$Q69</f>
        <v>0.226141422959406</v>
      </c>
      <c r="K69" s="62" t="n">
        <f aca="false">'Via (Casas Bahia)'!$K69</f>
        <v>204.739130434783</v>
      </c>
      <c r="L69" s="60" t="n">
        <f aca="false">'Via (Casas Bahia)'!$Q69</f>
        <v>0.2</v>
      </c>
      <c r="M69" s="62" t="n">
        <f aca="false">MadeiraMadeira!$K69</f>
        <v>196.208333333333</v>
      </c>
      <c r="N69" s="60" t="n">
        <f aca="false">MadeiraMadeira!$Q69</f>
        <v>0.2</v>
      </c>
      <c r="O69" s="62" t="n">
        <f aca="false">Magalu!$K69</f>
        <v>192.204081632653</v>
      </c>
      <c r="P69" s="60" t="n">
        <f aca="false">Magalu!$Q69</f>
        <v>0.2</v>
      </c>
      <c r="Q69" s="46" t="n">
        <f aca="false">IF(COUNT($F69,$H69,$J69,$L69,$N69,$P69)=0,"",MIN($F69,$H69,$J69,$L69,$N69,$P69))</f>
        <v>0.2</v>
      </c>
      <c r="R69" s="46" t="n">
        <f aca="false">IF(COUNT($F69,$H69,$J69,$L69,$N69,$P69)=0,"",MAX($F69,$H69,$J69,$L69,$N69,$P69))</f>
        <v>0.226141422959406</v>
      </c>
      <c r="S69" s="61" t="n">
        <f aca="false">IF($A69="","",COUNT($E69,$G69,$I69,$K69,$M69,$O69))</f>
        <v>6</v>
      </c>
    </row>
    <row r="70" customFormat="false" ht="15" hidden="false" customHeight="false" outlineLevel="0" collapsed="false">
      <c r="A70" s="32" t="str">
        <f aca="false">IF(Produtos!$A70="","",Produtos!$A70)</f>
        <v>L2430-B</v>
      </c>
      <c r="B70" s="32" t="str">
        <f aca="false">IF(Produtos!$A70="","",Produtos!$B70)</f>
        <v>Lixeira c/Aro Basculante 24x30 15L</v>
      </c>
      <c r="C70" s="32" t="str">
        <f aca="false">IF(Produtos!$A70="","",Produtos!$C70)</f>
        <v>Lixeiras em inox</v>
      </c>
      <c r="D70" s="33" t="n">
        <f aca="false">IF(Produtos!$A70="","",IF(Produtos!$D70="","",Produtos!$D70))</f>
        <v>103.42</v>
      </c>
      <c r="E70" s="59" t="n">
        <f aca="false">'ML Clássico'!$K70</f>
        <v>239.1125</v>
      </c>
      <c r="F70" s="60" t="n">
        <f aca="false">'ML Clássico'!$Q70</f>
        <v>0.204357258612578</v>
      </c>
      <c r="G70" s="59" t="n">
        <f aca="false">'ML Premium'!$K70</f>
        <v>251.32072875</v>
      </c>
      <c r="H70" s="60" t="n">
        <f aca="false">'ML Premium'!$Q70</f>
        <v>0.200862558974256</v>
      </c>
      <c r="I70" s="59" t="n">
        <f aca="false">Amazon!$K70</f>
        <v>198.03</v>
      </c>
      <c r="J70" s="60" t="n">
        <f aca="false">Amazon!$Q70</f>
        <v>0.217755895571378</v>
      </c>
      <c r="K70" s="59" t="n">
        <f aca="false">'Via (Casas Bahia)'!$K70</f>
        <v>224.826086956522</v>
      </c>
      <c r="L70" s="60" t="n">
        <f aca="false">'Via (Casas Bahia)'!$Q70</f>
        <v>0.2</v>
      </c>
      <c r="M70" s="59" t="n">
        <f aca="false">MadeiraMadeira!$K70</f>
        <v>215.458333333333</v>
      </c>
      <c r="N70" s="60" t="n">
        <f aca="false">MadeiraMadeira!$Q70</f>
        <v>0.2</v>
      </c>
      <c r="O70" s="59" t="n">
        <f aca="false">Magalu!$K70</f>
        <v>211.061224489796</v>
      </c>
      <c r="P70" s="60" t="n">
        <f aca="false">Magalu!$Q70</f>
        <v>0.2</v>
      </c>
      <c r="Q70" s="46" t="n">
        <f aca="false">IF(COUNT($F70,$H70,$J70,$L70,$N70,$P70)=0,"",MIN($F70,$H70,$J70,$L70,$N70,$P70))</f>
        <v>0.2</v>
      </c>
      <c r="R70" s="46" t="n">
        <f aca="false">IF(COUNT($F70,$H70,$J70,$L70,$N70,$P70)=0,"",MAX($F70,$H70,$J70,$L70,$N70,$P70))</f>
        <v>0.217755895571378</v>
      </c>
      <c r="S70" s="61" t="n">
        <f aca="false">IF($A70="","",COUNT($E70,$G70,$I70,$K70,$M70,$O70))</f>
        <v>6</v>
      </c>
    </row>
    <row r="71" customFormat="false" ht="15" hidden="false" customHeight="false" outlineLevel="0" collapsed="false">
      <c r="A71" s="48" t="str">
        <f aca="false">IF(Produtos!$A71="","",Produtos!$A71)</f>
        <v>L2440-B</v>
      </c>
      <c r="B71" s="48" t="str">
        <f aca="false">IF(Produtos!$A71="","",Produtos!$B71)</f>
        <v>Lixeira c/Aro Basculante 24x40 20L</v>
      </c>
      <c r="C71" s="48" t="str">
        <f aca="false">IF(Produtos!$A71="","",Produtos!$C71)</f>
        <v>Lixeiras em inox</v>
      </c>
      <c r="D71" s="33" t="n">
        <f aca="false">IF(Produtos!$A71="","",IF(Produtos!$D71="","",Produtos!$D71))</f>
        <v>120.51</v>
      </c>
      <c r="E71" s="62" t="n">
        <f aca="false">'ML Clássico'!$K71</f>
        <v>272.78</v>
      </c>
      <c r="F71" s="60" t="n">
        <f aca="false">'ML Clássico'!$Q71</f>
        <v>0.200986142679082</v>
      </c>
      <c r="G71" s="62" t="n">
        <f aca="false">'ML Premium'!$K71</f>
        <v>288.2</v>
      </c>
      <c r="H71" s="60" t="n">
        <f aca="false">'ML Premium'!$Q71</f>
        <v>0.200360860513532</v>
      </c>
      <c r="I71" s="62" t="n">
        <f aca="false">Amazon!$K71</f>
        <v>231.66</v>
      </c>
      <c r="J71" s="60" t="n">
        <f aca="false">Amazon!$Q71</f>
        <v>0.21979797979798</v>
      </c>
      <c r="K71" s="62" t="n">
        <f aca="false">'Via (Casas Bahia)'!$K71</f>
        <v>261.978260869565</v>
      </c>
      <c r="L71" s="60" t="n">
        <f aca="false">'Via (Casas Bahia)'!$Q71</f>
        <v>0.2</v>
      </c>
      <c r="M71" s="62" t="n">
        <f aca="false">MadeiraMadeira!$K71</f>
        <v>251.0625</v>
      </c>
      <c r="N71" s="60" t="n">
        <f aca="false">MadeiraMadeira!$Q71</f>
        <v>0.2</v>
      </c>
      <c r="O71" s="62" t="n">
        <f aca="false">Magalu!$K71</f>
        <v>245.938775510204</v>
      </c>
      <c r="P71" s="60" t="n">
        <f aca="false">Magalu!$Q71</f>
        <v>0.2</v>
      </c>
      <c r="Q71" s="46" t="n">
        <f aca="false">IF(COUNT($F71,$H71,$J71,$L71,$N71,$P71)=0,"",MIN($F71,$H71,$J71,$L71,$N71,$P71))</f>
        <v>0.2</v>
      </c>
      <c r="R71" s="46" t="n">
        <f aca="false">IF(COUNT($F71,$H71,$J71,$L71,$N71,$P71)=0,"",MAX($F71,$H71,$J71,$L71,$N71,$P71))</f>
        <v>0.21979797979798</v>
      </c>
      <c r="S71" s="61" t="n">
        <f aca="false">IF($A71="","",COUNT($E71,$G71,$I71,$K71,$M71,$O71))</f>
        <v>6</v>
      </c>
    </row>
    <row r="72" customFormat="false" ht="15" hidden="false" customHeight="false" outlineLevel="0" collapsed="false">
      <c r="A72" s="32" t="str">
        <f aca="false">IF(Produtos!$A72="","",Produtos!$A72)</f>
        <v>L2450-B</v>
      </c>
      <c r="B72" s="32" t="str">
        <f aca="false">IF(Produtos!$A72="","",Produtos!$B72)</f>
        <v>Lixeira c/Aro Basculante 24x50 25L</v>
      </c>
      <c r="C72" s="32" t="str">
        <f aca="false">IF(Produtos!$A72="","",Produtos!$C72)</f>
        <v>Lixeiras em inox</v>
      </c>
      <c r="D72" s="33" t="n">
        <f aca="false">IF(Produtos!$A72="","",IF(Produtos!$D72="","",Produtos!$D72))</f>
        <v>151.31</v>
      </c>
      <c r="E72" s="59" t="n">
        <f aca="false">'ML Clássico'!$K72</f>
        <v>335.871825</v>
      </c>
      <c r="F72" s="60" t="n">
        <f aca="false">'ML Clássico'!$Q72</f>
        <v>0.202886528960862</v>
      </c>
      <c r="G72" s="59" t="n">
        <f aca="false">'ML Premium'!$K72</f>
        <v>353.5</v>
      </c>
      <c r="H72" s="60" t="n">
        <f aca="false">'ML Premium'!$Q72</f>
        <v>0.20016973125884</v>
      </c>
      <c r="I72" s="59" t="n">
        <f aca="false">Amazon!$K72</f>
        <v>284.39</v>
      </c>
      <c r="J72" s="60" t="n">
        <f aca="false">Amazon!$Q72</f>
        <v>0.207948943352439</v>
      </c>
      <c r="K72" s="59" t="n">
        <f aca="false">'Via (Casas Bahia)'!$K72</f>
        <v>328.934782608696</v>
      </c>
      <c r="L72" s="60" t="n">
        <f aca="false">'Via (Casas Bahia)'!$Q72</f>
        <v>0.2</v>
      </c>
      <c r="M72" s="59" t="n">
        <f aca="false">MadeiraMadeira!$K72</f>
        <v>315.229166666667</v>
      </c>
      <c r="N72" s="60" t="n">
        <f aca="false">MadeiraMadeira!$Q72</f>
        <v>0.2</v>
      </c>
      <c r="O72" s="59" t="n">
        <f aca="false">Magalu!$K72</f>
        <v>308.795918367347</v>
      </c>
      <c r="P72" s="60" t="n">
        <f aca="false">Magalu!$Q72</f>
        <v>0.2</v>
      </c>
      <c r="Q72" s="46" t="n">
        <f aca="false">IF(COUNT($F72,$H72,$J72,$L72,$N72,$P72)=0,"",MIN($F72,$H72,$J72,$L72,$N72,$P72))</f>
        <v>0.2</v>
      </c>
      <c r="R72" s="46" t="n">
        <f aca="false">IF(COUNT($F72,$H72,$J72,$L72,$N72,$P72)=0,"",MAX($F72,$H72,$J72,$L72,$N72,$P72))</f>
        <v>0.207948943352439</v>
      </c>
      <c r="S72" s="61" t="n">
        <f aca="false">IF($A72="","",COUNT($E72,$G72,$I72,$K72,$M72,$O72))</f>
        <v>6</v>
      </c>
    </row>
    <row r="73" customFormat="false" ht="15" hidden="false" customHeight="false" outlineLevel="0" collapsed="false">
      <c r="A73" s="48" t="str">
        <f aca="false">IF(Produtos!$A73="","",Produtos!$A73)</f>
        <v>L2460-B</v>
      </c>
      <c r="B73" s="48" t="str">
        <f aca="false">IF(Produtos!$A73="","",Produtos!$B73)</f>
        <v>Lixeira c/Aro Basculante 24x60 27L</v>
      </c>
      <c r="C73" s="48" t="str">
        <f aca="false">IF(Produtos!$A73="","",Produtos!$C73)</f>
        <v>Lixeiras em inox</v>
      </c>
      <c r="D73" s="33" t="n">
        <f aca="false">IF(Produtos!$A73="","",IF(Produtos!$D73="","",Produtos!$D73))</f>
        <v>152.83</v>
      </c>
      <c r="E73" s="62" t="n">
        <f aca="false">'ML Clássico'!$K73</f>
        <v>357.13700875</v>
      </c>
      <c r="F73" s="60" t="n">
        <f aca="false">'ML Clássico'!$Q73</f>
        <v>0.183886729612141</v>
      </c>
      <c r="G73" s="62" t="n">
        <f aca="false">'ML Premium'!$K73</f>
        <v>383.59</v>
      </c>
      <c r="H73" s="60" t="n">
        <f aca="false">'ML Premium'!$Q73</f>
        <v>0.192926822909878</v>
      </c>
      <c r="I73" s="62" t="n">
        <f aca="false">Amazon!$K73</f>
        <v>299.31</v>
      </c>
      <c r="J73" s="60" t="n">
        <f aca="false">Amazon!$Q73</f>
        <v>0.229392268885102</v>
      </c>
      <c r="K73" s="62" t="n">
        <f aca="false">'Via (Casas Bahia)'!$K73</f>
        <v>332.239130434783</v>
      </c>
      <c r="L73" s="60" t="n">
        <f aca="false">'Via (Casas Bahia)'!$Q73</f>
        <v>0.2</v>
      </c>
      <c r="M73" s="62" t="n">
        <f aca="false">MadeiraMadeira!$K73</f>
        <v>318.395833333333</v>
      </c>
      <c r="N73" s="60" t="n">
        <f aca="false">MadeiraMadeira!$Q73</f>
        <v>0.2</v>
      </c>
      <c r="O73" s="62" t="n">
        <f aca="false">Magalu!$K73</f>
        <v>311.897959183674</v>
      </c>
      <c r="P73" s="60" t="n">
        <f aca="false">Magalu!$Q73</f>
        <v>0.2</v>
      </c>
      <c r="Q73" s="46" t="n">
        <f aca="false">IF(COUNT($F73,$H73,$J73,$L73,$N73,$P73)=0,"",MIN($F73,$H73,$J73,$L73,$N73,$P73))</f>
        <v>0.183886729612141</v>
      </c>
      <c r="R73" s="46" t="n">
        <f aca="false">IF(COUNT($F73,$H73,$J73,$L73,$N73,$P73)=0,"",MAX($F73,$H73,$J73,$L73,$N73,$P73))</f>
        <v>0.229392268885102</v>
      </c>
      <c r="S73" s="61" t="n">
        <f aca="false">IF($A73="","",COUNT($E73,$G73,$I73,$K73,$M73,$O73))</f>
        <v>6</v>
      </c>
    </row>
    <row r="74" customFormat="false" ht="15" hidden="false" customHeight="false" outlineLevel="0" collapsed="false">
      <c r="A74" s="32" t="str">
        <f aca="false">IF(Produtos!$A74="","",Produtos!$A74)</f>
        <v>L2470-B</v>
      </c>
      <c r="B74" s="32" t="str">
        <f aca="false">IF(Produtos!$A74="","",Produtos!$B74)</f>
        <v>Lixeira c/Aro Basculante 24x70 30L</v>
      </c>
      <c r="C74" s="32" t="str">
        <f aca="false">IF(Produtos!$A74="","",Produtos!$C74)</f>
        <v>Lixeiras em inox</v>
      </c>
      <c r="D74" s="33" t="n">
        <f aca="false">IF(Produtos!$A74="","",IF(Produtos!$D74="","",Produtos!$D74))</f>
        <v>211.1</v>
      </c>
      <c r="E74" s="59" t="n">
        <f aca="false">'ML Clássico'!$K74</f>
        <v>452.7471375</v>
      </c>
      <c r="F74" s="60" t="n">
        <f aca="false">'ML Clássico'!$Q74</f>
        <v>0.18378990441436</v>
      </c>
      <c r="G74" s="59" t="n">
        <f aca="false">'ML Premium'!$K74</f>
        <v>492.99241875</v>
      </c>
      <c r="H74" s="60" t="n">
        <f aca="false">'ML Premium'!$Q74</f>
        <v>0.200012287714313</v>
      </c>
      <c r="I74" s="59" t="n">
        <f aca="false">Amazon!$K74</f>
        <v>398.35</v>
      </c>
      <c r="J74" s="60" t="n">
        <f aca="false">Amazon!$Q74</f>
        <v>0.210064014057989</v>
      </c>
      <c r="K74" s="59" t="n">
        <f aca="false">'Via (Casas Bahia)'!$K74</f>
        <v>458.913043478261</v>
      </c>
      <c r="L74" s="60" t="n">
        <f aca="false">'Via (Casas Bahia)'!$Q74</f>
        <v>0.2</v>
      </c>
      <c r="M74" s="59" t="n">
        <f aca="false">MadeiraMadeira!$K74</f>
        <v>439.791666666667</v>
      </c>
      <c r="N74" s="60" t="n">
        <f aca="false">MadeiraMadeira!$Q74</f>
        <v>0.2</v>
      </c>
      <c r="O74" s="59" t="n">
        <f aca="false">Magalu!$K74</f>
        <v>430.816326530612</v>
      </c>
      <c r="P74" s="60" t="n">
        <f aca="false">Magalu!$Q74</f>
        <v>0.2</v>
      </c>
      <c r="Q74" s="46" t="n">
        <f aca="false">IF(COUNT($F74,$H74,$J74,$L74,$N74,$P74)=0,"",MIN($F74,$H74,$J74,$L74,$N74,$P74))</f>
        <v>0.18378990441436</v>
      </c>
      <c r="R74" s="46" t="n">
        <f aca="false">IF(COUNT($F74,$H74,$J74,$L74,$N74,$P74)=0,"",MAX($F74,$H74,$J74,$L74,$N74,$P74))</f>
        <v>0.210064014057989</v>
      </c>
      <c r="S74" s="61" t="n">
        <f aca="false">IF($A74="","",COUNT($E74,$G74,$I74,$K74,$M74,$O74))</f>
        <v>6</v>
      </c>
    </row>
    <row r="75" customFormat="false" ht="15" hidden="false" customHeight="false" outlineLevel="0" collapsed="false">
      <c r="A75" s="48" t="str">
        <f aca="false">IF(Produtos!$A75="","",Produtos!$A75)</f>
        <v>L3040-B</v>
      </c>
      <c r="B75" s="48" t="str">
        <f aca="false">IF(Produtos!$A75="","",Produtos!$B75)</f>
        <v>Lixeira c/Aro Basculante 30x40 30L</v>
      </c>
      <c r="C75" s="48" t="str">
        <f aca="false">IF(Produtos!$A75="","",Produtos!$C75)</f>
        <v>Lixeiras em inox</v>
      </c>
      <c r="D75" s="33" t="n">
        <f aca="false">IF(Produtos!$A75="","",IF(Produtos!$D75="","",Produtos!$D75))</f>
        <v>172.54</v>
      </c>
      <c r="E75" s="62" t="n">
        <f aca="false">'ML Clássico'!$K75</f>
        <v>391.21748875</v>
      </c>
      <c r="F75" s="60" t="n">
        <f aca="false">'ML Clássico'!$Q75</f>
        <v>0.204548924482354</v>
      </c>
      <c r="G75" s="62" t="n">
        <f aca="false">'ML Premium'!$K75</f>
        <v>410.99514875</v>
      </c>
      <c r="H75" s="60" t="n">
        <f aca="false">'ML Premium'!$Q75</f>
        <v>0.200796791278428</v>
      </c>
      <c r="I75" s="62" t="n">
        <f aca="false">Amazon!$K75</f>
        <v>330.79</v>
      </c>
      <c r="J75" s="60" t="n">
        <f aca="false">Amazon!$Q75</f>
        <v>0.218400193476224</v>
      </c>
      <c r="K75" s="62" t="n">
        <f aca="false">'Via (Casas Bahia)'!$K75</f>
        <v>375.086956521739</v>
      </c>
      <c r="L75" s="60" t="n">
        <f aca="false">'Via (Casas Bahia)'!$Q75</f>
        <v>0.2</v>
      </c>
      <c r="M75" s="62" t="n">
        <f aca="false">MadeiraMadeira!$K75</f>
        <v>359.458333333333</v>
      </c>
      <c r="N75" s="60" t="n">
        <f aca="false">MadeiraMadeira!$Q75</f>
        <v>0.2</v>
      </c>
      <c r="O75" s="62" t="n">
        <f aca="false">Magalu!$K75</f>
        <v>352.122448979592</v>
      </c>
      <c r="P75" s="60" t="n">
        <f aca="false">Magalu!$Q75</f>
        <v>0.2</v>
      </c>
      <c r="Q75" s="46" t="n">
        <f aca="false">IF(COUNT($F75,$H75,$J75,$L75,$N75,$P75)=0,"",MIN($F75,$H75,$J75,$L75,$N75,$P75))</f>
        <v>0.2</v>
      </c>
      <c r="R75" s="46" t="n">
        <f aca="false">IF(COUNT($F75,$H75,$J75,$L75,$N75,$P75)=0,"",MAX($F75,$H75,$J75,$L75,$N75,$P75))</f>
        <v>0.218400193476224</v>
      </c>
      <c r="S75" s="61" t="n">
        <f aca="false">IF($A75="","",COUNT($E75,$G75,$I75,$K75,$M75,$O75))</f>
        <v>6</v>
      </c>
    </row>
    <row r="76" customFormat="false" ht="15" hidden="false" customHeight="false" outlineLevel="0" collapsed="false">
      <c r="A76" s="32" t="str">
        <f aca="false">IF(Produtos!$A76="","",Produtos!$A76)</f>
        <v>L3050-B</v>
      </c>
      <c r="B76" s="32" t="str">
        <f aca="false">IF(Produtos!$A76="","",Produtos!$B76)</f>
        <v>Lixeira c/Aro Basculante 30x50 35L</v>
      </c>
      <c r="C76" s="32" t="str">
        <f aca="false">IF(Produtos!$A76="","",Produtos!$C76)</f>
        <v>Lixeiras em inox</v>
      </c>
      <c r="D76" s="33" t="n">
        <f aca="false">IF(Produtos!$A76="","",IF(Produtos!$D76="","",Produtos!$D76))</f>
        <v>216.99</v>
      </c>
      <c r="E76" s="59" t="n">
        <f aca="false">'ML Clássico'!$K76</f>
        <v>486.9</v>
      </c>
      <c r="F76" s="60" t="n">
        <f aca="false">'ML Clássico'!$Q76</f>
        <v>0.202988293284042</v>
      </c>
      <c r="G76" s="59" t="n">
        <f aca="false">'ML Premium'!$K76</f>
        <v>512.8860975</v>
      </c>
      <c r="H76" s="60" t="n">
        <f aca="false">'ML Premium'!$Q76</f>
        <v>0.200703412905436</v>
      </c>
      <c r="I76" s="59" t="n">
        <f aca="false">Amazon!$K76</f>
        <v>413.32</v>
      </c>
      <c r="J76" s="60" t="n">
        <f aca="false">Amazon!$Q76</f>
        <v>0.215007258298655</v>
      </c>
      <c r="K76" s="59" t="n">
        <f aca="false">'Via (Casas Bahia)'!$K76</f>
        <v>471.717391304348</v>
      </c>
      <c r="L76" s="60" t="n">
        <f aca="false">'Via (Casas Bahia)'!$Q76</f>
        <v>0.2</v>
      </c>
      <c r="M76" s="59" t="n">
        <f aca="false">MadeiraMadeira!$K76</f>
        <v>452.0625</v>
      </c>
      <c r="N76" s="60" t="n">
        <f aca="false">MadeiraMadeira!$Q76</f>
        <v>0.2</v>
      </c>
      <c r="O76" s="59" t="n">
        <f aca="false">Magalu!$K76</f>
        <v>442.836734693878</v>
      </c>
      <c r="P76" s="60" t="n">
        <f aca="false">Magalu!$Q76</f>
        <v>0.2</v>
      </c>
      <c r="Q76" s="46" t="n">
        <f aca="false">IF(COUNT($F76,$H76,$J76,$L76,$N76,$P76)=0,"",MIN($F76,$H76,$J76,$L76,$N76,$P76))</f>
        <v>0.2</v>
      </c>
      <c r="R76" s="46" t="n">
        <f aca="false">IF(COUNT($F76,$H76,$J76,$L76,$N76,$P76)=0,"",MAX($F76,$H76,$J76,$L76,$N76,$P76))</f>
        <v>0.215007258298655</v>
      </c>
      <c r="S76" s="61" t="n">
        <f aca="false">IF($A76="","",COUNT($E76,$G76,$I76,$K76,$M76,$O76))</f>
        <v>6</v>
      </c>
    </row>
    <row r="77" customFormat="false" ht="15" hidden="false" customHeight="false" outlineLevel="0" collapsed="false">
      <c r="A77" s="48" t="str">
        <f aca="false">IF(Produtos!$A77="","",Produtos!$A77)</f>
        <v>L3060-B</v>
      </c>
      <c r="B77" s="48" t="str">
        <f aca="false">IF(Produtos!$A77="","",Produtos!$B77)</f>
        <v>Lixeira c/Aro Basculante 30x60 40L</v>
      </c>
      <c r="C77" s="48" t="str">
        <f aca="false">IF(Produtos!$A77="","",Produtos!$C77)</f>
        <v>Lixeiras em inox</v>
      </c>
      <c r="D77" s="33" t="n">
        <f aca="false">IF(Produtos!$A77="","",IF(Produtos!$D77="","",Produtos!$D77))</f>
        <v>222.41</v>
      </c>
      <c r="E77" s="62" t="n">
        <f aca="false">'ML Clássico'!$K77</f>
        <v>499.22578125</v>
      </c>
      <c r="F77" s="60" t="n">
        <f aca="false">'ML Clássico'!$Q77</f>
        <v>0.202832745704677</v>
      </c>
      <c r="G77" s="62" t="n">
        <f aca="false">'ML Premium'!$K77</f>
        <v>528.89665</v>
      </c>
      <c r="H77" s="60" t="n">
        <f aca="false">'ML Premium'!$Q77</f>
        <v>0.203528587295836</v>
      </c>
      <c r="I77" s="62" t="n">
        <f aca="false">Amazon!$K77</f>
        <v>439.24</v>
      </c>
      <c r="J77" s="60" t="n">
        <f aca="false">Amazon!$Q77</f>
        <v>0.2336481194791</v>
      </c>
      <c r="K77" s="62" t="n">
        <f aca="false">'Via (Casas Bahia)'!$K77</f>
        <v>483.5</v>
      </c>
      <c r="L77" s="60" t="n">
        <f aca="false">'Via (Casas Bahia)'!$Q77</f>
        <v>0.2</v>
      </c>
      <c r="M77" s="62" t="n">
        <f aca="false">MadeiraMadeira!$K77</f>
        <v>463.354166666667</v>
      </c>
      <c r="N77" s="60" t="n">
        <f aca="false">MadeiraMadeira!$Q77</f>
        <v>0.2</v>
      </c>
      <c r="O77" s="62" t="n">
        <f aca="false">Magalu!$K77</f>
        <v>453.897959183673</v>
      </c>
      <c r="P77" s="60" t="n">
        <f aca="false">Magalu!$Q77</f>
        <v>0.2</v>
      </c>
      <c r="Q77" s="46" t="n">
        <f aca="false">IF(COUNT($F77,$H77,$J77,$L77,$N77,$P77)=0,"",MIN($F77,$H77,$J77,$L77,$N77,$P77))</f>
        <v>0.2</v>
      </c>
      <c r="R77" s="46" t="n">
        <f aca="false">IF(COUNT($F77,$H77,$J77,$L77,$N77,$P77)=0,"",MAX($F77,$H77,$J77,$L77,$N77,$P77))</f>
        <v>0.2336481194791</v>
      </c>
      <c r="S77" s="61" t="n">
        <f aca="false">IF($A77="","",COUNT($E77,$G77,$I77,$K77,$M77,$O77))</f>
        <v>6</v>
      </c>
    </row>
    <row r="78" customFormat="false" ht="15" hidden="false" customHeight="false" outlineLevel="0" collapsed="false">
      <c r="A78" s="32" t="str">
        <f aca="false">IF(Produtos!$A78="","",Produtos!$A78)</f>
        <v>L3070-B</v>
      </c>
      <c r="B78" s="32" t="str">
        <f aca="false">IF(Produtos!$A78="","",Produtos!$B78)</f>
        <v>Lixeira c/Aro Basculante 30x70 50L</v>
      </c>
      <c r="C78" s="32" t="str">
        <f aca="false">IF(Produtos!$A78="","",Produtos!$C78)</f>
        <v>Lixeiras em inox</v>
      </c>
      <c r="D78" s="33" t="n">
        <f aca="false">IF(Produtos!$A78="","",IF(Produtos!$D78="","",Produtos!$D78))</f>
        <v>279.42</v>
      </c>
      <c r="E78" s="59" t="n">
        <f aca="false">'ML Clássico'!$K78</f>
        <v>615.59024625</v>
      </c>
      <c r="F78" s="60" t="n">
        <f aca="false">'ML Clássico'!$Q78</f>
        <v>0.183438066758518</v>
      </c>
      <c r="G78" s="59" t="n">
        <f aca="false">'ML Premium'!$K78</f>
        <v>661.05018</v>
      </c>
      <c r="H78" s="60" t="n">
        <f aca="false">'ML Premium'!$Q78</f>
        <v>0.192400113407427</v>
      </c>
      <c r="I78" s="59" t="n">
        <f aca="false">Amazon!$K78</f>
        <v>543.85</v>
      </c>
      <c r="J78" s="60" t="n">
        <f aca="false">Amazon!$Q78</f>
        <v>0.226218626459502</v>
      </c>
      <c r="K78" s="59" t="n">
        <f aca="false">'Via (Casas Bahia)'!$K78</f>
        <v>607.434782608696</v>
      </c>
      <c r="L78" s="60" t="n">
        <f aca="false">'Via (Casas Bahia)'!$Q78</f>
        <v>0.2</v>
      </c>
      <c r="M78" s="59" t="n">
        <f aca="false">MadeiraMadeira!$K78</f>
        <v>582.125</v>
      </c>
      <c r="N78" s="60" t="n">
        <f aca="false">MadeiraMadeira!$Q78</f>
        <v>0.2</v>
      </c>
      <c r="O78" s="59" t="n">
        <f aca="false">Magalu!$K78</f>
        <v>570.244897959184</v>
      </c>
      <c r="P78" s="60" t="n">
        <f aca="false">Magalu!$Q78</f>
        <v>0.2</v>
      </c>
      <c r="Q78" s="46" t="n">
        <f aca="false">IF(COUNT($F78,$H78,$J78,$L78,$N78,$P78)=0,"",MIN($F78,$H78,$J78,$L78,$N78,$P78))</f>
        <v>0.183438066758518</v>
      </c>
      <c r="R78" s="46" t="n">
        <f aca="false">IF(COUNT($F78,$H78,$J78,$L78,$N78,$P78)=0,"",MAX($F78,$H78,$J78,$L78,$N78,$P78))</f>
        <v>0.226218626459502</v>
      </c>
      <c r="S78" s="61" t="n">
        <f aca="false">IF($A78="","",COUNT($E78,$G78,$I78,$K78,$M78,$O78))</f>
        <v>6</v>
      </c>
    </row>
    <row r="79" customFormat="false" ht="15" hidden="false" customHeight="false" outlineLevel="0" collapsed="false">
      <c r="A79" s="48" t="str">
        <f aca="false">IF(Produtos!$A79="","",Produtos!$A79)</f>
        <v>L3085-B</v>
      </c>
      <c r="B79" s="48" t="str">
        <f aca="false">IF(Produtos!$A79="","",Produtos!$B79)</f>
        <v>Lixeira c/Aro Basculante 30x85 60L</v>
      </c>
      <c r="C79" s="48" t="str">
        <f aca="false">IF(Produtos!$A79="","",Produtos!$C79)</f>
        <v>Lixeiras em inox</v>
      </c>
      <c r="D79" s="33" t="n">
        <f aca="false">IF(Produtos!$A79="","",IF(Produtos!$D79="","",Produtos!$D79))</f>
        <v>341.01</v>
      </c>
      <c r="E79" s="62" t="n">
        <f aca="false">'ML Clássico'!$K79</f>
        <v>729.94044375</v>
      </c>
      <c r="F79" s="60" t="n">
        <f aca="false">'ML Clássico'!$Q79</f>
        <v>0.175625188976248</v>
      </c>
      <c r="G79" s="62" t="n">
        <f aca="false">'ML Premium'!$K79</f>
        <v>780.6438675</v>
      </c>
      <c r="H79" s="60" t="n">
        <f aca="false">'ML Premium'!$Q79</f>
        <v>0.162281770022359</v>
      </c>
      <c r="I79" s="62" t="n">
        <f aca="false">Amazon!$K79</f>
        <v>642.24</v>
      </c>
      <c r="J79" s="60" t="n">
        <f aca="false">Amazon!$Q79</f>
        <v>0.209030269058296</v>
      </c>
      <c r="K79" s="62" t="n">
        <f aca="false">'Via (Casas Bahia)'!$K79</f>
        <v>741.326086956522</v>
      </c>
      <c r="L79" s="60" t="n">
        <f aca="false">'Via (Casas Bahia)'!$Q79</f>
        <v>0.2</v>
      </c>
      <c r="M79" s="62" t="n">
        <f aca="false">MadeiraMadeira!$K79</f>
        <v>710.4375</v>
      </c>
      <c r="N79" s="60" t="n">
        <f aca="false">MadeiraMadeira!$Q79</f>
        <v>0.2</v>
      </c>
      <c r="O79" s="62" t="n">
        <f aca="false">Magalu!$K79</f>
        <v>695.938775510204</v>
      </c>
      <c r="P79" s="60" t="n">
        <f aca="false">Magalu!$Q79</f>
        <v>0.2</v>
      </c>
      <c r="Q79" s="46" t="n">
        <f aca="false">IF(COUNT($F79,$H79,$J79,$L79,$N79,$P79)=0,"",MIN($F79,$H79,$J79,$L79,$N79,$P79))</f>
        <v>0.162281770022359</v>
      </c>
      <c r="R79" s="46" t="n">
        <f aca="false">IF(COUNT($F79,$H79,$J79,$L79,$N79,$P79)=0,"",MAX($F79,$H79,$J79,$L79,$N79,$P79))</f>
        <v>0.209030269058296</v>
      </c>
      <c r="S79" s="61" t="n">
        <f aca="false">IF($A79="","",COUNT($E79,$G79,$I79,$K79,$M79,$O79))</f>
        <v>6</v>
      </c>
    </row>
    <row r="80" customFormat="false" ht="15" hidden="false" customHeight="false" outlineLevel="0" collapsed="false">
      <c r="A80" s="32" t="str">
        <f aca="false">IF(Produtos!$A80="","",Produtos!$A80)</f>
        <v>L4050-B</v>
      </c>
      <c r="B80" s="32" t="str">
        <f aca="false">IF(Produtos!$A80="","",Produtos!$B80)</f>
        <v>Lixeira c/Aro Basculante 40x50 62L</v>
      </c>
      <c r="C80" s="32" t="str">
        <f aca="false">IF(Produtos!$A80="","",Produtos!$C80)</f>
        <v>Lixeiras em inox</v>
      </c>
      <c r="D80" s="33" t="n">
        <f aca="false">IF(Produtos!$A80="","",IF(Produtos!$D80="","",Produtos!$D80))</f>
        <v>342.16</v>
      </c>
      <c r="E80" s="59" t="n">
        <f aca="false">'ML Clássico'!$K80</f>
        <v>739.49085</v>
      </c>
      <c r="F80" s="60" t="n">
        <f aca="false">'ML Clássico'!$Q80</f>
        <v>0.175003151154609</v>
      </c>
      <c r="G80" s="59" t="n">
        <f aca="false">'ML Premium'!$K80</f>
        <v>790.843095</v>
      </c>
      <c r="H80" s="60" t="n">
        <f aca="false">'ML Premium'!$Q80</f>
        <v>0.161690398965929</v>
      </c>
      <c r="I80" s="59" t="n">
        <f aca="false">Amazon!$K80</f>
        <v>650.63</v>
      </c>
      <c r="J80" s="60" t="n">
        <f aca="false">Amazon!$Q80</f>
        <v>0.214109709051227</v>
      </c>
      <c r="K80" s="59" t="n">
        <f aca="false">'Via (Casas Bahia)'!$K80</f>
        <v>743.826086956522</v>
      </c>
      <c r="L80" s="60" t="n">
        <f aca="false">'Via (Casas Bahia)'!$Q80</f>
        <v>0.2</v>
      </c>
      <c r="M80" s="59" t="n">
        <f aca="false">MadeiraMadeira!$K80</f>
        <v>712.833333333333</v>
      </c>
      <c r="N80" s="60" t="n">
        <f aca="false">MadeiraMadeira!$Q80</f>
        <v>0.2</v>
      </c>
      <c r="O80" s="59" t="n">
        <f aca="false">Magalu!$K80</f>
        <v>698.285714285714</v>
      </c>
      <c r="P80" s="60" t="n">
        <f aca="false">Magalu!$Q80</f>
        <v>0.2</v>
      </c>
      <c r="Q80" s="46" t="n">
        <f aca="false">IF(COUNT($F80,$H80,$J80,$L80,$N80,$P80)=0,"",MIN($F80,$H80,$J80,$L80,$N80,$P80))</f>
        <v>0.161690398965929</v>
      </c>
      <c r="R80" s="46" t="n">
        <f aca="false">IF(COUNT($F80,$H80,$J80,$L80,$N80,$P80)=0,"",MAX($F80,$H80,$J80,$L80,$N80,$P80))</f>
        <v>0.214109709051227</v>
      </c>
      <c r="S80" s="61" t="n">
        <f aca="false">IF($A80="","",COUNT($E80,$G80,$I80,$K80,$M80,$O80))</f>
        <v>6</v>
      </c>
    </row>
    <row r="81" customFormat="false" ht="15" hidden="false" customHeight="false" outlineLevel="0" collapsed="false">
      <c r="A81" s="48" t="str">
        <f aca="false">IF(Produtos!$A81="","",Produtos!$A81)</f>
        <v>L4060-B</v>
      </c>
      <c r="B81" s="48" t="str">
        <f aca="false">IF(Produtos!$A81="","",Produtos!$B81)</f>
        <v>Lixeira c/Aro Basculante 40x60 75L</v>
      </c>
      <c r="C81" s="48" t="str">
        <f aca="false">IF(Produtos!$A81="","",Produtos!$C81)</f>
        <v>Lixeiras em inox</v>
      </c>
      <c r="D81" s="33" t="n">
        <f aca="false">IF(Produtos!$A81="","",IF(Produtos!$D81="","",Produtos!$D81))</f>
        <v>364.77</v>
      </c>
      <c r="E81" s="62" t="n">
        <f aca="false">'ML Clássico'!$K81</f>
        <v>786.35151</v>
      </c>
      <c r="F81" s="60" t="n">
        <f aca="false">'ML Clássico'!$Q81</f>
        <v>0.175214411936463</v>
      </c>
      <c r="G81" s="62" t="n">
        <f aca="false">'ML Premium'!$K81</f>
        <v>840.95668125</v>
      </c>
      <c r="H81" s="60" t="n">
        <f aca="false">'ML Premium'!$Q81</f>
        <v>0.161887185271114</v>
      </c>
      <c r="I81" s="62" t="n">
        <f aca="false">Amazon!$K81</f>
        <v>691.86</v>
      </c>
      <c r="J81" s="60" t="n">
        <f aca="false">Amazon!$Q81</f>
        <v>0.212769057323736</v>
      </c>
      <c r="K81" s="62" t="n">
        <f aca="false">'Via (Casas Bahia)'!$K81</f>
        <v>792.978260869565</v>
      </c>
      <c r="L81" s="60" t="n">
        <f aca="false">'Via (Casas Bahia)'!$Q81</f>
        <v>0.2</v>
      </c>
      <c r="M81" s="62" t="n">
        <f aca="false">MadeiraMadeira!$K81</f>
        <v>759.9375</v>
      </c>
      <c r="N81" s="60" t="n">
        <f aca="false">MadeiraMadeira!$Q81</f>
        <v>0.2</v>
      </c>
      <c r="O81" s="62" t="n">
        <f aca="false">Magalu!$K81</f>
        <v>744.428571428571</v>
      </c>
      <c r="P81" s="60" t="n">
        <f aca="false">Magalu!$Q81</f>
        <v>0.2</v>
      </c>
      <c r="Q81" s="46" t="n">
        <f aca="false">IF(COUNT($F81,$H81,$J81,$L81,$N81,$P81)=0,"",MIN($F81,$H81,$J81,$L81,$N81,$P81))</f>
        <v>0.161887185271114</v>
      </c>
      <c r="R81" s="46" t="n">
        <f aca="false">IF(COUNT($F81,$H81,$J81,$L81,$N81,$P81)=0,"",MAX($F81,$H81,$J81,$L81,$N81,$P81))</f>
        <v>0.212769057323736</v>
      </c>
      <c r="S81" s="61" t="n">
        <f aca="false">IF($A81="","",COUNT($E81,$G81,$I81,$K81,$M81,$O81))</f>
        <v>6</v>
      </c>
    </row>
    <row r="82" customFormat="false" ht="15" hidden="false" customHeight="false" outlineLevel="0" collapsed="false">
      <c r="A82" s="32" t="str">
        <f aca="false">IF(Produtos!$A82="","",Produtos!$A82)</f>
        <v>L4070-B</v>
      </c>
      <c r="B82" s="32" t="str">
        <f aca="false">IF(Produtos!$A82="","",Produtos!$B82)</f>
        <v>Lixeira c/Aro Basculante 40x70 88L</v>
      </c>
      <c r="C82" s="32" t="str">
        <f aca="false">IF(Produtos!$A82="","",Produtos!$C82)</f>
        <v>Lixeiras em inox</v>
      </c>
      <c r="D82" s="33" t="n">
        <f aca="false">IF(Produtos!$A82="","",IF(Produtos!$D82="","",Produtos!$D82))</f>
        <v>366.6</v>
      </c>
      <c r="E82" s="59" t="n">
        <f aca="false">'ML Clássico'!$K82</f>
        <v>809.4114</v>
      </c>
      <c r="F82" s="60" t="n">
        <f aca="false">'ML Clássico'!$Q82</f>
        <v>0.173477215665606</v>
      </c>
      <c r="G82" s="59" t="n">
        <f aca="false">'ML Premium'!$K82</f>
        <v>865.6025175</v>
      </c>
      <c r="H82" s="60" t="n">
        <f aca="false">'ML Premium'!$Q82</f>
        <v>0.160253389137122</v>
      </c>
      <c r="I82" s="59" t="n">
        <f aca="false">Amazon!$K82</f>
        <v>712.14</v>
      </c>
      <c r="J82" s="60" t="n">
        <f aca="false">Amazon!$Q82</f>
        <v>0.225213581599124</v>
      </c>
      <c r="K82" s="59" t="n">
        <f aca="false">'Via (Casas Bahia)'!$K82</f>
        <v>796.956521739131</v>
      </c>
      <c r="L82" s="60" t="n">
        <f aca="false">'Via (Casas Bahia)'!$Q82</f>
        <v>0.2</v>
      </c>
      <c r="M82" s="59" t="n">
        <f aca="false">MadeiraMadeira!$K82</f>
        <v>763.75</v>
      </c>
      <c r="N82" s="60" t="n">
        <f aca="false">MadeiraMadeira!$Q82</f>
        <v>0.2</v>
      </c>
      <c r="O82" s="59" t="n">
        <f aca="false">Magalu!$K82</f>
        <v>748.163265306122</v>
      </c>
      <c r="P82" s="60" t="n">
        <f aca="false">Magalu!$Q82</f>
        <v>0.2</v>
      </c>
      <c r="Q82" s="46" t="n">
        <f aca="false">IF(COUNT($F82,$H82,$J82,$L82,$N82,$P82)=0,"",MIN($F82,$H82,$J82,$L82,$N82,$P82))</f>
        <v>0.160253389137122</v>
      </c>
      <c r="R82" s="46" t="n">
        <f aca="false">IF(COUNT($F82,$H82,$J82,$L82,$N82,$P82)=0,"",MAX($F82,$H82,$J82,$L82,$N82,$P82))</f>
        <v>0.225213581599124</v>
      </c>
      <c r="S82" s="61" t="n">
        <f aca="false">IF($A82="","",COUNT($E82,$G82,$I82,$K82,$M82,$O82))</f>
        <v>6</v>
      </c>
    </row>
    <row r="83" customFormat="false" ht="15" hidden="false" customHeight="false" outlineLevel="0" collapsed="false">
      <c r="A83" s="48" t="str">
        <f aca="false">IF(Produtos!$A83="","",Produtos!$A83)</f>
        <v>L4075-B</v>
      </c>
      <c r="B83" s="48" t="str">
        <f aca="false">IF(Produtos!$A83="","",Produtos!$B83)</f>
        <v>Lixeira c/Aro Basculante 40x75 95L</v>
      </c>
      <c r="C83" s="48" t="str">
        <f aca="false">IF(Produtos!$A83="","",Produtos!$C83)</f>
        <v>Lixeiras em inox</v>
      </c>
      <c r="D83" s="33" t="n">
        <f aca="false">IF(Produtos!$A83="","",IF(Produtos!$D83="","",Produtos!$D83))</f>
        <v>428.19</v>
      </c>
      <c r="E83" s="62" t="n">
        <f aca="false">'ML Clássico'!$K83</f>
        <v>921.19167</v>
      </c>
      <c r="F83" s="60" t="n">
        <f aca="false">'ML Clássico'!$Q83</f>
        <v>0.175361806951641</v>
      </c>
      <c r="G83" s="62" t="n">
        <f aca="false">'ML Premium'!$K83</f>
        <v>985.2546375</v>
      </c>
      <c r="H83" s="60" t="n">
        <f aca="false">'ML Premium'!$Q83</f>
        <v>0.162075562800891</v>
      </c>
      <c r="I83" s="62" t="n">
        <f aca="false">Amazon!$K83</f>
        <v>810.5</v>
      </c>
      <c r="J83" s="60" t="n">
        <f aca="false">Amazon!$Q83</f>
        <v>0.211696483652067</v>
      </c>
      <c r="K83" s="62" t="n">
        <f aca="false">'Via (Casas Bahia)'!$K83</f>
        <v>930.847826086957</v>
      </c>
      <c r="L83" s="60" t="n">
        <f aca="false">'Via (Casas Bahia)'!$Q83</f>
        <v>0.2</v>
      </c>
      <c r="M83" s="62" t="n">
        <f aca="false">MadeiraMadeira!$K83</f>
        <v>892.0625</v>
      </c>
      <c r="N83" s="60" t="n">
        <f aca="false">MadeiraMadeira!$Q83</f>
        <v>0.2</v>
      </c>
      <c r="O83" s="62" t="n">
        <f aca="false">Magalu!$K83</f>
        <v>873.857142857143</v>
      </c>
      <c r="P83" s="60" t="n">
        <f aca="false">Magalu!$Q83</f>
        <v>0.2</v>
      </c>
      <c r="Q83" s="46" t="n">
        <f aca="false">IF(COUNT($F83,$H83,$J83,$L83,$N83,$P83)=0,"",MIN($F83,$H83,$J83,$L83,$N83,$P83))</f>
        <v>0.162075562800891</v>
      </c>
      <c r="R83" s="46" t="n">
        <f aca="false">IF(COUNT($F83,$H83,$J83,$L83,$N83,$P83)=0,"",MAX($F83,$H83,$J83,$L83,$N83,$P83))</f>
        <v>0.211696483652067</v>
      </c>
      <c r="S83" s="61" t="n">
        <f aca="false">IF($A83="","",COUNT($E83,$G83,$I83,$K83,$M83,$O83))</f>
        <v>6</v>
      </c>
    </row>
    <row r="84" customFormat="false" ht="15" hidden="false" customHeight="false" outlineLevel="0" collapsed="false">
      <c r="A84" s="32" t="str">
        <f aca="false">IF(Produtos!$A84="","",Produtos!$A84)</f>
        <v>L4080-B</v>
      </c>
      <c r="B84" s="32" t="str">
        <f aca="false">IF(Produtos!$A84="","",Produtos!$B84)</f>
        <v>Lixeira c/Aro Basculante 40x80 100L</v>
      </c>
      <c r="C84" s="32" t="str">
        <f aca="false">IF(Produtos!$A84="","",Produtos!$C84)</f>
        <v>Lixeiras em inox</v>
      </c>
      <c r="D84" s="33" t="n">
        <f aca="false">IF(Produtos!$A84="","",IF(Produtos!$D84="","",Produtos!$D84))</f>
        <v>428.19</v>
      </c>
      <c r="E84" s="59" t="n">
        <f aca="false">'ML Clássico'!$K84</f>
        <v>944.5062375</v>
      </c>
      <c r="F84" s="60" t="n">
        <f aca="false">'ML Clássico'!$Q84</f>
        <v>0.173524122173942</v>
      </c>
      <c r="G84" s="59" t="n">
        <f aca="false">'ML Premium'!$K84</f>
        <v>1010.143575</v>
      </c>
      <c r="H84" s="60" t="n">
        <f aca="false">'ML Premium'!$Q84</f>
        <v>0.160332719781938</v>
      </c>
      <c r="I84" s="59" t="n">
        <f aca="false">Amazon!$K84</f>
        <v>831.06</v>
      </c>
      <c r="J84" s="60" t="n">
        <f aca="false">Amazon!$Q84</f>
        <v>0.224766442856111</v>
      </c>
      <c r="K84" s="59" t="n">
        <f aca="false">'Via (Casas Bahia)'!$K84</f>
        <v>930.847826086957</v>
      </c>
      <c r="L84" s="60" t="n">
        <f aca="false">'Via (Casas Bahia)'!$Q84</f>
        <v>0.2</v>
      </c>
      <c r="M84" s="59" t="n">
        <f aca="false">MadeiraMadeira!$K84</f>
        <v>892.0625</v>
      </c>
      <c r="N84" s="60" t="n">
        <f aca="false">MadeiraMadeira!$Q84</f>
        <v>0.2</v>
      </c>
      <c r="O84" s="59" t="n">
        <f aca="false">Magalu!$K84</f>
        <v>873.857142857143</v>
      </c>
      <c r="P84" s="60" t="n">
        <f aca="false">Magalu!$Q84</f>
        <v>0.2</v>
      </c>
      <c r="Q84" s="46" t="n">
        <f aca="false">IF(COUNT($F84,$H84,$J84,$L84,$N84,$P84)=0,"",MIN($F84,$H84,$J84,$L84,$N84,$P84))</f>
        <v>0.160332719781938</v>
      </c>
      <c r="R84" s="46" t="n">
        <f aca="false">IF(COUNT($F84,$H84,$J84,$L84,$N84,$P84)=0,"",MAX($F84,$H84,$J84,$L84,$N84,$P84))</f>
        <v>0.224766442856111</v>
      </c>
      <c r="S84" s="61" t="n">
        <f aca="false">IF($A84="","",COUNT($E84,$G84,$I84,$K84,$M84,$O84))</f>
        <v>6</v>
      </c>
    </row>
    <row r="85" customFormat="false" ht="15" hidden="false" customHeight="false" outlineLevel="0" collapsed="false">
      <c r="A85" s="48" t="str">
        <f aca="false">IF(Produtos!$A85="","",Produtos!$A85)</f>
        <v>L4090-B</v>
      </c>
      <c r="B85" s="48" t="str">
        <f aca="false">IF(Produtos!$A85="","",Produtos!$B85)</f>
        <v>Lixeira c/Aro Basculante 40x90 120L</v>
      </c>
      <c r="C85" s="48" t="str">
        <f aca="false">IF(Produtos!$A85="","",Produtos!$C85)</f>
        <v>Lixeiras em inox</v>
      </c>
      <c r="D85" s="33" t="n">
        <f aca="false">IF(Produtos!$A85="","",IF(Produtos!$D85="","",Produtos!$D85))</f>
        <v>468.32</v>
      </c>
      <c r="E85" s="62" t="n">
        <f aca="false">'ML Clássico'!$K85</f>
        <v>1017.42503625</v>
      </c>
      <c r="F85" s="60" t="n">
        <f aca="false">'ML Clássico'!$Q85</f>
        <v>0.174680709136127</v>
      </c>
      <c r="G85" s="62" t="n">
        <f aca="false">'ML Premium'!$K85</f>
        <v>1088.0517375</v>
      </c>
      <c r="H85" s="60" t="n">
        <f aca="false">'ML Premium'!$Q85</f>
        <v>0.161376240507129</v>
      </c>
      <c r="I85" s="62" t="n">
        <f aca="false">Amazon!$K85</f>
        <v>895.15</v>
      </c>
      <c r="J85" s="60" t="n">
        <f aca="false">Amazon!$Q85</f>
        <v>0.216825113109535</v>
      </c>
      <c r="K85" s="62" t="n">
        <f aca="false">'Via (Casas Bahia)'!$K85</f>
        <v>1018.08695652174</v>
      </c>
      <c r="L85" s="60" t="n">
        <f aca="false">'Via (Casas Bahia)'!$Q85</f>
        <v>0.2</v>
      </c>
      <c r="M85" s="62" t="n">
        <f aca="false">MadeiraMadeira!$K85</f>
        <v>975.666666666667</v>
      </c>
      <c r="N85" s="60" t="n">
        <f aca="false">MadeiraMadeira!$Q85</f>
        <v>0.2</v>
      </c>
      <c r="O85" s="62" t="n">
        <f aca="false">Magalu!$K85</f>
        <v>955.755102040816</v>
      </c>
      <c r="P85" s="60" t="n">
        <f aca="false">Magalu!$Q85</f>
        <v>0.2</v>
      </c>
      <c r="Q85" s="46" t="n">
        <f aca="false">IF(COUNT($F85,$H85,$J85,$L85,$N85,$P85)=0,"",MIN($F85,$H85,$J85,$L85,$N85,$P85))</f>
        <v>0.161376240507129</v>
      </c>
      <c r="R85" s="46" t="n">
        <f aca="false">IF(COUNT($F85,$H85,$J85,$L85,$N85,$P85)=0,"",MAX($F85,$H85,$J85,$L85,$N85,$P85))</f>
        <v>0.216825113109535</v>
      </c>
      <c r="S85" s="61" t="n">
        <f aca="false">IF($A85="","",COUNT($E85,$G85,$I85,$K85,$M85,$O85))</f>
        <v>6</v>
      </c>
    </row>
    <row r="86" customFormat="false" ht="15" hidden="false" customHeight="false" outlineLevel="0" collapsed="false">
      <c r="A86" s="32" t="str">
        <f aca="false">IF(Produtos!$A86="","",Produtos!$A86)</f>
        <v>P1618</v>
      </c>
      <c r="B86" s="32" t="str">
        <f aca="false">IF(Produtos!$A86="","",Produtos!$B86)</f>
        <v>Lixeira c/Tampa Pedal 16x18 03L</v>
      </c>
      <c r="C86" s="32" t="str">
        <f aca="false">IF(Produtos!$A86="","",Produtos!$C86)</f>
        <v>Lixeiras com pedal</v>
      </c>
      <c r="D86" s="33" t="n">
        <f aca="false">IF(Produtos!$A86="","",IF(Produtos!$D86="","",Produtos!$D86))</f>
        <v>78.15</v>
      </c>
      <c r="E86" s="59" t="n">
        <f aca="false">'ML Clássico'!$K86</f>
        <v>144.722222222222</v>
      </c>
      <c r="F86" s="60" t="n">
        <f aca="false">'ML Clássico'!$Q86</f>
        <v>0.2</v>
      </c>
      <c r="G86" s="59" t="n">
        <f aca="false">'ML Premium'!$K86</f>
        <v>159.489795918367</v>
      </c>
      <c r="H86" s="60" t="n">
        <f aca="false">'ML Premium'!$Q86</f>
        <v>0.2</v>
      </c>
      <c r="I86" s="59" t="n">
        <f aca="false">Amazon!$K86</f>
        <v>144.722222222222</v>
      </c>
      <c r="J86" s="60" t="n">
        <f aca="false">Amazon!$Q86</f>
        <v>0.2</v>
      </c>
      <c r="K86" s="59" t="n">
        <f aca="false">'Via (Casas Bahia)'!$K86</f>
        <v>169.891304347826</v>
      </c>
      <c r="L86" s="60" t="n">
        <f aca="false">'Via (Casas Bahia)'!$Q86</f>
        <v>0.2</v>
      </c>
      <c r="M86" s="59" t="n">
        <f aca="false">MadeiraMadeira!$K86</f>
        <v>162.8125</v>
      </c>
      <c r="N86" s="60" t="n">
        <f aca="false">MadeiraMadeira!$Q86</f>
        <v>0.2</v>
      </c>
      <c r="O86" s="59" t="n">
        <f aca="false">Magalu!$K86</f>
        <v>159.489795918367</v>
      </c>
      <c r="P86" s="60" t="n">
        <f aca="false">Magalu!$Q86</f>
        <v>0.2</v>
      </c>
      <c r="Q86" s="46" t="n">
        <f aca="false">IF(COUNT($F86,$H86,$J86,$L86,$N86,$P86)=0,"",MIN($F86,$H86,$J86,$L86,$N86,$P86))</f>
        <v>0.2</v>
      </c>
      <c r="R86" s="46" t="n">
        <f aca="false">IF(COUNT($F86,$H86,$J86,$L86,$N86,$P86)=0,"",MAX($F86,$H86,$J86,$L86,$N86,$P86))</f>
        <v>0.2</v>
      </c>
      <c r="S86" s="61" t="n">
        <f aca="false">IF($A86="","",COUNT($E86,$G86,$I86,$K86,$M86,$O86))</f>
        <v>6</v>
      </c>
    </row>
    <row r="87" customFormat="false" ht="15" hidden="false" customHeight="false" outlineLevel="0" collapsed="false">
      <c r="A87" s="48" t="str">
        <f aca="false">IF(Produtos!$A87="","",Produtos!$A87)</f>
        <v>P1623</v>
      </c>
      <c r="B87" s="48" t="str">
        <f aca="false">IF(Produtos!$A87="","",Produtos!$B87)</f>
        <v>Lixeira c/Tampa Pedal 16x23 05L</v>
      </c>
      <c r="C87" s="48" t="str">
        <f aca="false">IF(Produtos!$A87="","",Produtos!$C87)</f>
        <v>Lixeiras com pedal</v>
      </c>
      <c r="D87" s="33" t="n">
        <f aca="false">IF(Produtos!$A87="","",IF(Produtos!$D87="","",Produtos!$D87))</f>
        <v>81.62</v>
      </c>
      <c r="E87" s="62" t="n">
        <f aca="false">'ML Clássico'!$K87</f>
        <v>188.6145325</v>
      </c>
      <c r="F87" s="60" t="n">
        <f aca="false">'ML Clássico'!$Q87</f>
        <v>0.201951031397859</v>
      </c>
      <c r="G87" s="62" t="n">
        <f aca="false">'ML Premium'!$K87</f>
        <v>199.9</v>
      </c>
      <c r="H87" s="60" t="n">
        <f aca="false">'ML Premium'!$Q87</f>
        <v>0.202891445722861</v>
      </c>
      <c r="I87" s="62" t="n">
        <f aca="false">Amazon!$K87</f>
        <v>165.4</v>
      </c>
      <c r="J87" s="60" t="n">
        <f aca="false">Amazon!$Q87</f>
        <v>0.246529625151149</v>
      </c>
      <c r="K87" s="62" t="n">
        <f aca="false">'Via (Casas Bahia)'!$K87</f>
        <v>177.434782608696</v>
      </c>
      <c r="L87" s="60" t="n">
        <f aca="false">'Via (Casas Bahia)'!$Q87</f>
        <v>0.2</v>
      </c>
      <c r="M87" s="62" t="n">
        <f aca="false">MadeiraMadeira!$K87</f>
        <v>170.041666666667</v>
      </c>
      <c r="N87" s="60" t="n">
        <f aca="false">MadeiraMadeira!$Q87</f>
        <v>0.2</v>
      </c>
      <c r="O87" s="62" t="n">
        <f aca="false">Magalu!$K87</f>
        <v>166.571428571429</v>
      </c>
      <c r="P87" s="60" t="n">
        <f aca="false">Magalu!$Q87</f>
        <v>0.2</v>
      </c>
      <c r="Q87" s="46" t="n">
        <f aca="false">IF(COUNT($F87,$H87,$J87,$L87,$N87,$P87)=0,"",MIN($F87,$H87,$J87,$L87,$N87,$P87))</f>
        <v>0.2</v>
      </c>
      <c r="R87" s="46" t="n">
        <f aca="false">IF(COUNT($F87,$H87,$J87,$L87,$N87,$P87)=0,"",MAX($F87,$H87,$J87,$L87,$N87,$P87))</f>
        <v>0.246529625151149</v>
      </c>
      <c r="S87" s="61" t="n">
        <f aca="false">IF($A87="","",COUNT($E87,$G87,$I87,$K87,$M87,$O87))</f>
        <v>6</v>
      </c>
    </row>
    <row r="88" customFormat="false" ht="15" hidden="false" customHeight="false" outlineLevel="0" collapsed="false">
      <c r="A88" s="32" t="str">
        <f aca="false">IF(Produtos!$A88="","",Produtos!$A88)</f>
        <v>P2025</v>
      </c>
      <c r="B88" s="32" t="str">
        <f aca="false">IF(Produtos!$A88="","",Produtos!$B88)</f>
        <v>Lixeira c/Tampa Pedal 20x25 07L</v>
      </c>
      <c r="C88" s="32" t="str">
        <f aca="false">IF(Produtos!$A88="","",Produtos!$C88)</f>
        <v>Lixeiras com pedal</v>
      </c>
      <c r="D88" s="33" t="n">
        <f aca="false">IF(Produtos!$A88="","",IF(Produtos!$D88="","",Produtos!$D88))</f>
        <v>99.57</v>
      </c>
      <c r="E88" s="59" t="n">
        <f aca="false">'ML Clássico'!$K88</f>
        <v>230.9787375</v>
      </c>
      <c r="F88" s="60" t="n">
        <f aca="false">'ML Clássico'!$Q88</f>
        <v>0.208305117803322</v>
      </c>
      <c r="G88" s="59" t="n">
        <f aca="false">'ML Premium'!$K88</f>
        <v>244.02735</v>
      </c>
      <c r="H88" s="60" t="n">
        <f aca="false">'ML Premium'!$Q88</f>
        <v>0.207270586678092</v>
      </c>
      <c r="I88" s="59" t="n">
        <f aca="false">Amazon!$K88</f>
        <v>198.79</v>
      </c>
      <c r="J88" s="60" t="n">
        <f aca="false">Amazon!$Q88</f>
        <v>0.239119674027869</v>
      </c>
      <c r="K88" s="59" t="n">
        <f aca="false">'Via (Casas Bahia)'!$K88</f>
        <v>216.45652173913</v>
      </c>
      <c r="L88" s="60" t="n">
        <f aca="false">'Via (Casas Bahia)'!$Q88</f>
        <v>0.2</v>
      </c>
      <c r="M88" s="59" t="n">
        <f aca="false">MadeiraMadeira!$K88</f>
        <v>207.4375</v>
      </c>
      <c r="N88" s="60" t="n">
        <f aca="false">MadeiraMadeira!$Q88</f>
        <v>0.2</v>
      </c>
      <c r="O88" s="59" t="n">
        <f aca="false">Magalu!$K88</f>
        <v>203.204081632653</v>
      </c>
      <c r="P88" s="60" t="n">
        <f aca="false">Magalu!$Q88</f>
        <v>0.2</v>
      </c>
      <c r="Q88" s="46" t="n">
        <f aca="false">IF(COUNT($F88,$H88,$J88,$L88,$N88,$P88)=0,"",MIN($F88,$H88,$J88,$L88,$N88,$P88))</f>
        <v>0.2</v>
      </c>
      <c r="R88" s="46" t="n">
        <f aca="false">IF(COUNT($F88,$H88,$J88,$L88,$N88,$P88)=0,"",MAX($F88,$H88,$J88,$L88,$N88,$P88))</f>
        <v>0.239119674027869</v>
      </c>
      <c r="S88" s="61" t="n">
        <f aca="false">IF($A88="","",COUNT($E88,$G88,$I88,$K88,$M88,$O88))</f>
        <v>6</v>
      </c>
    </row>
    <row r="89" customFormat="false" ht="15" hidden="false" customHeight="false" outlineLevel="0" collapsed="false">
      <c r="A89" s="48" t="str">
        <f aca="false">IF(Produtos!$A89="","",Produtos!$A89)</f>
        <v>P2030</v>
      </c>
      <c r="B89" s="48" t="str">
        <f aca="false">IF(Produtos!$A89="","",Produtos!$B89)</f>
        <v>Lixeira c/Tampa Pedal 20x30 10L</v>
      </c>
      <c r="C89" s="48" t="str">
        <f aca="false">IF(Produtos!$A89="","",Produtos!$C89)</f>
        <v>Lixeiras com pedal</v>
      </c>
      <c r="D89" s="33" t="n">
        <f aca="false">IF(Produtos!$A89="","",IF(Produtos!$D89="","",Produtos!$D89))</f>
        <v>111.27</v>
      </c>
      <c r="E89" s="62" t="n">
        <f aca="false">'ML Clássico'!$K89</f>
        <v>251.56</v>
      </c>
      <c r="F89" s="60" t="n">
        <f aca="false">'ML Clássico'!$Q89</f>
        <v>0.200151057401813</v>
      </c>
      <c r="G89" s="62" t="n">
        <f aca="false">'ML Premium'!$K89</f>
        <v>264.30265</v>
      </c>
      <c r="H89" s="60" t="n">
        <f aca="false">'ML Premium'!$Q89</f>
        <v>0.202335875179458</v>
      </c>
      <c r="I89" s="62" t="n">
        <f aca="false">Amazon!$K89</f>
        <v>219.68</v>
      </c>
      <c r="J89" s="60" t="n">
        <f aca="false">Amazon!$Q89</f>
        <v>0.233490531682447</v>
      </c>
      <c r="K89" s="62" t="n">
        <f aca="false">'Via (Casas Bahia)'!$K89</f>
        <v>241.891304347826</v>
      </c>
      <c r="L89" s="60" t="n">
        <f aca="false">'Via (Casas Bahia)'!$Q89</f>
        <v>0.2</v>
      </c>
      <c r="M89" s="62" t="n">
        <f aca="false">MadeiraMadeira!$K89</f>
        <v>231.8125</v>
      </c>
      <c r="N89" s="60" t="n">
        <f aca="false">MadeiraMadeira!$Q89</f>
        <v>0.2</v>
      </c>
      <c r="O89" s="62" t="n">
        <f aca="false">Magalu!$K89</f>
        <v>227.081632653061</v>
      </c>
      <c r="P89" s="60" t="n">
        <f aca="false">Magalu!$Q89</f>
        <v>0.2</v>
      </c>
      <c r="Q89" s="46" t="n">
        <f aca="false">IF(COUNT($F89,$H89,$J89,$L89,$N89,$P89)=0,"",MIN($F89,$H89,$J89,$L89,$N89,$P89))</f>
        <v>0.2</v>
      </c>
      <c r="R89" s="46" t="n">
        <f aca="false">IF(COUNT($F89,$H89,$J89,$L89,$N89,$P89)=0,"",MAX($F89,$H89,$J89,$L89,$N89,$P89))</f>
        <v>0.233490531682447</v>
      </c>
      <c r="S89" s="61" t="n">
        <f aca="false">IF($A89="","",COUNT($E89,$G89,$I89,$K89,$M89,$O89))</f>
        <v>6</v>
      </c>
    </row>
    <row r="90" customFormat="false" ht="15" hidden="false" customHeight="false" outlineLevel="0" collapsed="false">
      <c r="A90" s="32" t="str">
        <f aca="false">IF(Produtos!$A90="","",Produtos!$A90)</f>
        <v>P2425</v>
      </c>
      <c r="B90" s="32" t="str">
        <f aca="false">IF(Produtos!$A90="","",Produtos!$B90)</f>
        <v>Lixeira c/Tampa Pedal 24x25 12L</v>
      </c>
      <c r="C90" s="32" t="str">
        <f aca="false">IF(Produtos!$A90="","",Produtos!$C90)</f>
        <v>Lixeiras com pedal</v>
      </c>
      <c r="D90" s="33" t="n">
        <f aca="false">IF(Produtos!$A90="","",IF(Produtos!$D90="","",Produtos!$D90))</f>
        <v>121.08</v>
      </c>
      <c r="E90" s="59" t="n">
        <f aca="false">'ML Clássico'!$K90</f>
        <v>274.1024475</v>
      </c>
      <c r="F90" s="60" t="n">
        <f aca="false">'ML Clássico'!$Q90</f>
        <v>0.201555426187867</v>
      </c>
      <c r="G90" s="59" t="n">
        <f aca="false">'ML Premium'!$K90</f>
        <v>289.69565625</v>
      </c>
      <c r="H90" s="60" t="n">
        <f aca="false">'ML Premium'!$Q90</f>
        <v>0.208670275842288</v>
      </c>
      <c r="I90" s="59" t="n">
        <f aca="false">Amazon!$K90</f>
        <v>238.25</v>
      </c>
      <c r="J90" s="60" t="n">
        <f aca="false">Amazon!$Q90</f>
        <v>0.231794333683106</v>
      </c>
      <c r="K90" s="59" t="n">
        <f aca="false">'Via (Casas Bahia)'!$K90</f>
        <v>263.217391304348</v>
      </c>
      <c r="L90" s="60" t="n">
        <f aca="false">'Via (Casas Bahia)'!$Q90</f>
        <v>0.2</v>
      </c>
      <c r="M90" s="59" t="n">
        <f aca="false">MadeiraMadeira!$K90</f>
        <v>252.25</v>
      </c>
      <c r="N90" s="60" t="n">
        <f aca="false">MadeiraMadeira!$Q90</f>
        <v>0.2</v>
      </c>
      <c r="O90" s="59" t="n">
        <f aca="false">Magalu!$K90</f>
        <v>247.102040816327</v>
      </c>
      <c r="P90" s="60" t="n">
        <f aca="false">Magalu!$Q90</f>
        <v>0.2</v>
      </c>
      <c r="Q90" s="46" t="n">
        <f aca="false">IF(COUNT($F90,$H90,$J90,$L90,$N90,$P90)=0,"",MIN($F90,$H90,$J90,$L90,$N90,$P90))</f>
        <v>0.2</v>
      </c>
      <c r="R90" s="46" t="n">
        <f aca="false">IF(COUNT($F90,$H90,$J90,$L90,$N90,$P90)=0,"",MAX($F90,$H90,$J90,$L90,$N90,$P90))</f>
        <v>0.231794333683106</v>
      </c>
      <c r="S90" s="61" t="n">
        <f aca="false">IF($A90="","",COUNT($E90,$G90,$I90,$K90,$M90,$O90))</f>
        <v>6</v>
      </c>
    </row>
    <row r="91" customFormat="false" ht="15" hidden="false" customHeight="false" outlineLevel="0" collapsed="false">
      <c r="A91" s="48" t="str">
        <f aca="false">IF(Produtos!$A91="","",Produtos!$A91)</f>
        <v>P2430</v>
      </c>
      <c r="B91" s="48" t="str">
        <f aca="false">IF(Produtos!$A91="","",Produtos!$B91)</f>
        <v>Lixeira c/Tampa Pedal 24x30 15L</v>
      </c>
      <c r="C91" s="48" t="str">
        <f aca="false">IF(Produtos!$A91="","",Produtos!$C91)</f>
        <v>Lixeiras com pedal</v>
      </c>
      <c r="D91" s="33" t="n">
        <f aca="false">IF(Produtos!$A91="","",IF(Produtos!$D91="","",Produtos!$D91))</f>
        <v>124.7</v>
      </c>
      <c r="E91" s="62" t="n">
        <f aca="false">'ML Clássico'!$K91</f>
        <v>277.691085</v>
      </c>
      <c r="F91" s="60" t="n">
        <f aca="false">'ML Clássico'!$Q91</f>
        <v>0.203529449820112</v>
      </c>
      <c r="G91" s="62" t="n">
        <f aca="false">'ML Premium'!$K91</f>
        <v>296.9308125</v>
      </c>
      <c r="H91" s="60" t="n">
        <f aca="false">'ML Premium'!$Q91</f>
        <v>0.2089381848844</v>
      </c>
      <c r="I91" s="62" t="n">
        <f aca="false">Amazon!$K91</f>
        <v>244.29</v>
      </c>
      <c r="J91" s="60" t="n">
        <f aca="false">Amazon!$Q91</f>
        <v>0.229541119161652</v>
      </c>
      <c r="K91" s="62" t="n">
        <f aca="false">'Via (Casas Bahia)'!$K91</f>
        <v>271.086956521739</v>
      </c>
      <c r="L91" s="60" t="n">
        <f aca="false">'Via (Casas Bahia)'!$Q91</f>
        <v>0.2</v>
      </c>
      <c r="M91" s="62" t="n">
        <f aca="false">MadeiraMadeira!$K91</f>
        <v>259.791666666667</v>
      </c>
      <c r="N91" s="60" t="n">
        <f aca="false">MadeiraMadeira!$Q91</f>
        <v>0.2</v>
      </c>
      <c r="O91" s="62" t="n">
        <f aca="false">Magalu!$K91</f>
        <v>254.489795918367</v>
      </c>
      <c r="P91" s="60" t="n">
        <f aca="false">Magalu!$Q91</f>
        <v>0.2</v>
      </c>
      <c r="Q91" s="46" t="n">
        <f aca="false">IF(COUNT($F91,$H91,$J91,$L91,$N91,$P91)=0,"",MIN($F91,$H91,$J91,$L91,$N91,$P91))</f>
        <v>0.2</v>
      </c>
      <c r="R91" s="46" t="n">
        <f aca="false">IF(COUNT($F91,$H91,$J91,$L91,$N91,$P91)=0,"",MAX($F91,$H91,$J91,$L91,$N91,$P91))</f>
        <v>0.229541119161652</v>
      </c>
      <c r="S91" s="61" t="n">
        <f aca="false">IF($A91="","",COUNT($E91,$G91,$I91,$K91,$M91,$O91))</f>
        <v>6</v>
      </c>
    </row>
    <row r="92" customFormat="false" ht="15" hidden="false" customHeight="false" outlineLevel="0" collapsed="false">
      <c r="A92" s="32" t="str">
        <f aca="false">IF(Produtos!$A92="","",Produtos!$A92)</f>
        <v>P2440</v>
      </c>
      <c r="B92" s="32" t="str">
        <f aca="false">IF(Produtos!$A92="","",Produtos!$B92)</f>
        <v>Lixeira c/Tampa Pedal 24x40 20L</v>
      </c>
      <c r="C92" s="32" t="str">
        <f aca="false">IF(Produtos!$A92="","",Produtos!$C92)</f>
        <v>Lixeiras com pedal</v>
      </c>
      <c r="D92" s="33" t="n">
        <f aca="false">IF(Produtos!$A92="","",IF(Produtos!$D92="","",Produtos!$D92))</f>
        <v>140.24</v>
      </c>
      <c r="E92" s="59" t="n">
        <f aca="false">'ML Clássico'!$K92</f>
        <v>310.415986125</v>
      </c>
      <c r="F92" s="60" t="n">
        <f aca="false">'ML Clássico'!$Q92</f>
        <v>0.203990749265894</v>
      </c>
      <c r="G92" s="59" t="n">
        <f aca="false">'ML Premium'!$K92</f>
        <v>331.960545</v>
      </c>
      <c r="H92" s="60" t="n">
        <f aca="false">'ML Premium'!$Q92</f>
        <v>0.209427275160065</v>
      </c>
      <c r="I92" s="59" t="n">
        <f aca="false">Amazon!$K92</f>
        <v>273.11</v>
      </c>
      <c r="J92" s="60" t="n">
        <f aca="false">Amazon!$Q92</f>
        <v>0.226507268133719</v>
      </c>
      <c r="K92" s="59" t="n">
        <f aca="false">'Via (Casas Bahia)'!$K92</f>
        <v>304.869565217391</v>
      </c>
      <c r="L92" s="60" t="n">
        <f aca="false">'Via (Casas Bahia)'!$Q92</f>
        <v>0.2</v>
      </c>
      <c r="M92" s="59" t="n">
        <f aca="false">MadeiraMadeira!$K92</f>
        <v>292.166666666667</v>
      </c>
      <c r="N92" s="60" t="n">
        <f aca="false">MadeiraMadeira!$Q92</f>
        <v>0.2</v>
      </c>
      <c r="O92" s="59" t="n">
        <f aca="false">Magalu!$K92</f>
        <v>286.204081632653</v>
      </c>
      <c r="P92" s="60" t="n">
        <f aca="false">Magalu!$Q92</f>
        <v>0.2</v>
      </c>
      <c r="Q92" s="46" t="n">
        <f aca="false">IF(COUNT($F92,$H92,$J92,$L92,$N92,$P92)=0,"",MIN($F92,$H92,$J92,$L92,$N92,$P92))</f>
        <v>0.2</v>
      </c>
      <c r="R92" s="46" t="n">
        <f aca="false">IF(COUNT($F92,$H92,$J92,$L92,$N92,$P92)=0,"",MAX($F92,$H92,$J92,$L92,$N92,$P92))</f>
        <v>0.226507268133719</v>
      </c>
      <c r="S92" s="61" t="n">
        <f aca="false">IF($A92="","",COUNT($E92,$G92,$I92,$K92,$M92,$O92))</f>
        <v>6</v>
      </c>
    </row>
    <row r="93" customFormat="false" ht="15" hidden="false" customHeight="false" outlineLevel="0" collapsed="false">
      <c r="A93" s="48" t="str">
        <f aca="false">IF(Produtos!$A93="","",Produtos!$A93)</f>
        <v>P3040</v>
      </c>
      <c r="B93" s="48" t="str">
        <f aca="false">IF(Produtos!$A93="","",Produtos!$B93)</f>
        <v>Lixeira c/Tampa Pedal 30x40 30L</v>
      </c>
      <c r="C93" s="48" t="str">
        <f aca="false">IF(Produtos!$A93="","",Produtos!$C93)</f>
        <v>Lixeiras com pedal</v>
      </c>
      <c r="D93" s="33" t="n">
        <f aca="false">IF(Produtos!$A93="","",IF(Produtos!$D93="","",Produtos!$D93))</f>
        <v>194.88</v>
      </c>
      <c r="E93" s="62" t="n">
        <f aca="false">'ML Clássico'!$K93</f>
        <v>445.0142025</v>
      </c>
      <c r="F93" s="60" t="n">
        <f aca="false">'ML Clássico'!$Q93</f>
        <v>0.201186055123713</v>
      </c>
      <c r="G93" s="62" t="n">
        <f aca="false">'ML Premium'!$K93</f>
        <v>453.90395125</v>
      </c>
      <c r="H93" s="60" t="n">
        <f aca="false">'ML Premium'!$Q93</f>
        <v>0.200661053179144</v>
      </c>
      <c r="I93" s="62" t="n">
        <f aca="false">Amazon!$K93</f>
        <v>380.01</v>
      </c>
      <c r="J93" s="60" t="n">
        <f aca="false">Amazon!$Q93</f>
        <v>0.227171390226573</v>
      </c>
      <c r="K93" s="62" t="n">
        <f aca="false">'Via (Casas Bahia)'!$K93</f>
        <v>423.652173913043</v>
      </c>
      <c r="L93" s="60" t="n">
        <f aca="false">'Via (Casas Bahia)'!$Q93</f>
        <v>0.2</v>
      </c>
      <c r="M93" s="62" t="n">
        <f aca="false">MadeiraMadeira!$K93</f>
        <v>406</v>
      </c>
      <c r="N93" s="60" t="n">
        <f aca="false">MadeiraMadeira!$Q93</f>
        <v>0.2</v>
      </c>
      <c r="O93" s="62" t="n">
        <f aca="false">Magalu!$K93</f>
        <v>397.714285714286</v>
      </c>
      <c r="P93" s="60" t="n">
        <f aca="false">Magalu!$Q93</f>
        <v>0.2</v>
      </c>
      <c r="Q93" s="46" t="n">
        <f aca="false">IF(COUNT($F93,$H93,$J93,$L93,$N93,$P93)=0,"",MIN($F93,$H93,$J93,$L93,$N93,$P93))</f>
        <v>0.2</v>
      </c>
      <c r="R93" s="46" t="n">
        <f aca="false">IF(COUNT($F93,$H93,$J93,$L93,$N93,$P93)=0,"",MAX($F93,$H93,$J93,$L93,$N93,$P93))</f>
        <v>0.227171390226573</v>
      </c>
      <c r="S93" s="61" t="n">
        <f aca="false">IF($A93="","",COUNT($E93,$G93,$I93,$K93,$M93,$O93))</f>
        <v>6</v>
      </c>
    </row>
    <row r="94" customFormat="false" ht="15" hidden="false" customHeight="false" outlineLevel="0" collapsed="false">
      <c r="A94" s="32" t="str">
        <f aca="false">IF(Produtos!$A94="","",Produtos!$A94)</f>
        <v>P3050</v>
      </c>
      <c r="B94" s="32" t="str">
        <f aca="false">IF(Produtos!$A94="","",Produtos!$B94)</f>
        <v>Lixeira c/Tampa Pedal 30x50 40L</v>
      </c>
      <c r="C94" s="32" t="str">
        <f aca="false">IF(Produtos!$A94="","",Produtos!$C94)</f>
        <v>Lixeiras com pedal</v>
      </c>
      <c r="D94" s="33" t="n">
        <f aca="false">IF(Produtos!$A94="","",IF(Produtos!$D94="","",Produtos!$D94))</f>
        <v>240.55</v>
      </c>
      <c r="E94" s="59" t="n">
        <f aca="false">'ML Clássico'!$K94</f>
        <v>564.05278125</v>
      </c>
      <c r="F94" s="60" t="n">
        <f aca="false">'ML Clássico'!$Q94</f>
        <v>0.200583331380391</v>
      </c>
      <c r="G94" s="59" t="n">
        <f aca="false">'ML Premium'!$K94</f>
        <v>569.16948375</v>
      </c>
      <c r="H94" s="60" t="n">
        <f aca="false">'ML Premium'!$Q94</f>
        <v>0.181671771330274</v>
      </c>
      <c r="I94" s="59" t="n">
        <f aca="false">Amazon!$K94</f>
        <v>467.67</v>
      </c>
      <c r="J94" s="60" t="n">
        <f aca="false">Amazon!$Q94</f>
        <v>0.225641584878226</v>
      </c>
      <c r="K94" s="59" t="n">
        <f aca="false">'Via (Casas Bahia)'!$K94</f>
        <v>522.934782608696</v>
      </c>
      <c r="L94" s="60" t="n">
        <f aca="false">'Via (Casas Bahia)'!$Q94</f>
        <v>0.2</v>
      </c>
      <c r="M94" s="59" t="n">
        <f aca="false">MadeiraMadeira!$K94</f>
        <v>501.145833333333</v>
      </c>
      <c r="N94" s="60" t="n">
        <f aca="false">MadeiraMadeira!$Q94</f>
        <v>0.2</v>
      </c>
      <c r="O94" s="59" t="n">
        <f aca="false">Magalu!$K94</f>
        <v>490.918367346939</v>
      </c>
      <c r="P94" s="60" t="n">
        <f aca="false">Magalu!$Q94</f>
        <v>0.2</v>
      </c>
      <c r="Q94" s="46" t="n">
        <f aca="false">IF(COUNT($F94,$H94,$J94,$L94,$N94,$P94)=0,"",MIN($F94,$H94,$J94,$L94,$N94,$P94))</f>
        <v>0.181671771330274</v>
      </c>
      <c r="R94" s="46" t="n">
        <f aca="false">IF(COUNT($F94,$H94,$J94,$L94,$N94,$P94)=0,"",MAX($F94,$H94,$J94,$L94,$N94,$P94))</f>
        <v>0.225641584878226</v>
      </c>
      <c r="S94" s="61" t="n">
        <f aca="false">IF($A94="","",COUNT($E94,$G94,$I94,$K94,$M94,$O94))</f>
        <v>6</v>
      </c>
    </row>
    <row r="95" customFormat="false" ht="15" hidden="false" customHeight="false" outlineLevel="0" collapsed="false">
      <c r="A95" s="48" t="str">
        <f aca="false">IF(Produtos!$A95="","",Produtos!$A95)</f>
        <v>P3060</v>
      </c>
      <c r="B95" s="48" t="str">
        <f aca="false">IF(Produtos!$A95="","",Produtos!$B95)</f>
        <v>Lixeira c/Tampa Pedal 30x60 50L</v>
      </c>
      <c r="C95" s="48" t="str">
        <f aca="false">IF(Produtos!$A95="","",Produtos!$C95)</f>
        <v>Lixeiras com pedal</v>
      </c>
      <c r="D95" s="33" t="n">
        <f aca="false">IF(Produtos!$A95="","",IF(Produtos!$D95="","",Produtos!$D95))</f>
        <v>242.26</v>
      </c>
      <c r="E95" s="62" t="n">
        <f aca="false">'ML Clássico'!$K95</f>
        <v>574.508015</v>
      </c>
      <c r="F95" s="60" t="n">
        <f aca="false">'ML Clássico'!$Q95</f>
        <v>0.204820486708092</v>
      </c>
      <c r="G95" s="62" t="n">
        <f aca="false">'ML Premium'!$K95</f>
        <v>606.83805</v>
      </c>
      <c r="H95" s="60" t="n">
        <f aca="false">'ML Premium'!$Q95</f>
        <v>0.203865588191116</v>
      </c>
      <c r="I95" s="62" t="n">
        <f aca="false">Amazon!$K95</f>
        <v>511.42</v>
      </c>
      <c r="J95" s="60" t="n">
        <f aca="false">Amazon!$Q95</f>
        <v>0.266299323452348</v>
      </c>
      <c r="K95" s="62" t="n">
        <f aca="false">'Via (Casas Bahia)'!$K95</f>
        <v>526.652173913043</v>
      </c>
      <c r="L95" s="60" t="n">
        <f aca="false">'Via (Casas Bahia)'!$Q95</f>
        <v>0.2</v>
      </c>
      <c r="M95" s="62" t="n">
        <f aca="false">MadeiraMadeira!$K95</f>
        <v>504.708333333333</v>
      </c>
      <c r="N95" s="60" t="n">
        <f aca="false">MadeiraMadeira!$Q95</f>
        <v>0.2</v>
      </c>
      <c r="O95" s="62" t="n">
        <f aca="false">Magalu!$K95</f>
        <v>494.408163265306</v>
      </c>
      <c r="P95" s="60" t="n">
        <f aca="false">Magalu!$Q95</f>
        <v>0.2</v>
      </c>
      <c r="Q95" s="46" t="n">
        <f aca="false">IF(COUNT($F95,$H95,$J95,$L95,$N95,$P95)=0,"",MIN($F95,$H95,$J95,$L95,$N95,$P95))</f>
        <v>0.2</v>
      </c>
      <c r="R95" s="46" t="n">
        <f aca="false">IF(COUNT($F95,$H95,$J95,$L95,$N95,$P95)=0,"",MAX($F95,$H95,$J95,$L95,$N95,$P95))</f>
        <v>0.266299323452348</v>
      </c>
      <c r="S95" s="61" t="n">
        <f aca="false">IF($A95="","",COUNT($E95,$G95,$I95,$K95,$M95,$O95))</f>
        <v>6</v>
      </c>
    </row>
    <row r="96" customFormat="false" ht="15" hidden="false" customHeight="false" outlineLevel="0" collapsed="false">
      <c r="A96" s="32" t="str">
        <f aca="false">IF(Produtos!$A96="","",Produtos!$A96)</f>
        <v>P3070</v>
      </c>
      <c r="B96" s="32" t="str">
        <f aca="false">IF(Produtos!$A96="","",Produtos!$B96)</f>
        <v>Lixeira c/Tampa Pedal 30x70 60L</v>
      </c>
      <c r="C96" s="32" t="str">
        <f aca="false">IF(Produtos!$A96="","",Produtos!$C96)</f>
        <v>Lixeiras com pedal</v>
      </c>
      <c r="D96" s="33" t="n">
        <f aca="false">IF(Produtos!$A96="","",IF(Produtos!$D96="","",Produtos!$D96))</f>
        <v>307.26</v>
      </c>
      <c r="E96" s="59" t="n">
        <f aca="false">'ML Clássico'!$K96</f>
        <v>690.9</v>
      </c>
      <c r="F96" s="60" t="n">
        <f aca="false">'ML Clássico'!$Q96</f>
        <v>0.20258358662614</v>
      </c>
      <c r="G96" s="59" t="n">
        <f aca="false">'ML Premium'!$K96</f>
        <v>748.9602225</v>
      </c>
      <c r="H96" s="60" t="n">
        <f aca="false">'ML Premium'!$Q96</f>
        <v>0.185019910753672</v>
      </c>
      <c r="I96" s="59" t="n">
        <f aca="false">Amazon!$K96</f>
        <v>616.18</v>
      </c>
      <c r="J96" s="60" t="n">
        <f aca="false">Amazon!$Q96</f>
        <v>0.241347008990879</v>
      </c>
      <c r="K96" s="59" t="n">
        <f aca="false">'Via (Casas Bahia)'!$K96</f>
        <v>667.95652173913</v>
      </c>
      <c r="L96" s="60" t="n">
        <f aca="false">'Via (Casas Bahia)'!$Q96</f>
        <v>0.2</v>
      </c>
      <c r="M96" s="59" t="n">
        <f aca="false">MadeiraMadeira!$K96</f>
        <v>640.125</v>
      </c>
      <c r="N96" s="60" t="n">
        <f aca="false">MadeiraMadeira!$Q96</f>
        <v>0.2</v>
      </c>
      <c r="O96" s="59" t="n">
        <f aca="false">Magalu!$K96</f>
        <v>627.061224489796</v>
      </c>
      <c r="P96" s="60" t="n">
        <f aca="false">Magalu!$Q96</f>
        <v>0.2</v>
      </c>
      <c r="Q96" s="46" t="n">
        <f aca="false">IF(COUNT($F96,$H96,$J96,$L96,$N96,$P96)=0,"",MIN($F96,$H96,$J96,$L96,$N96,$P96))</f>
        <v>0.185019910753672</v>
      </c>
      <c r="R96" s="46" t="n">
        <f aca="false">IF(COUNT($F96,$H96,$J96,$L96,$N96,$P96)=0,"",MAX($F96,$H96,$J96,$L96,$N96,$P96))</f>
        <v>0.241347008990879</v>
      </c>
      <c r="S96" s="61" t="n">
        <f aca="false">IF($A96="","",COUNT($E96,$G96,$I96,$K96,$M96,$O96))</f>
        <v>6</v>
      </c>
    </row>
    <row r="97" customFormat="false" ht="15" hidden="false" customHeight="false" outlineLevel="0" collapsed="false">
      <c r="A97" s="48" t="str">
        <f aca="false">IF(Produtos!$A97="","",Produtos!$A97)</f>
        <v>P4050</v>
      </c>
      <c r="B97" s="48" t="str">
        <f aca="false">IF(Produtos!$A97="","",Produtos!$B97)</f>
        <v>Lixeira c/Tampa Pedal 40x50 65L</v>
      </c>
      <c r="C97" s="48" t="str">
        <f aca="false">IF(Produtos!$A97="","",Produtos!$C97)</f>
        <v>Lixeiras com pedal</v>
      </c>
      <c r="D97" s="33" t="n">
        <f aca="false">IF(Produtos!$A97="","",IF(Produtos!$D97="","",Produtos!$D97))</f>
        <v>374.18</v>
      </c>
      <c r="E97" s="62" t="n">
        <f aca="false">'ML Clássico'!$K97</f>
        <v>692.925925925926</v>
      </c>
      <c r="F97" s="60" t="n">
        <f aca="false">'ML Clássico'!$Q97</f>
        <v>0.2</v>
      </c>
      <c r="G97" s="62" t="n">
        <f aca="false">'ML Premium'!$K97</f>
        <v>853.0263</v>
      </c>
      <c r="H97" s="60" t="n">
        <f aca="false">'ML Premium'!$Q97</f>
        <v>0.162665731408281</v>
      </c>
      <c r="I97" s="62" t="n">
        <f aca="false">Amazon!$K97</f>
        <v>701.76</v>
      </c>
      <c r="J97" s="60" t="n">
        <f aca="false">Amazon!$Q97</f>
        <v>0.206797765617875</v>
      </c>
      <c r="K97" s="62" t="n">
        <f aca="false">'Via (Casas Bahia)'!$K97</f>
        <v>813.434782608696</v>
      </c>
      <c r="L97" s="60" t="n">
        <f aca="false">'Via (Casas Bahia)'!$Q97</f>
        <v>0.2</v>
      </c>
      <c r="M97" s="62" t="n">
        <f aca="false">MadeiraMadeira!$K97</f>
        <v>779.541666666667</v>
      </c>
      <c r="N97" s="60" t="n">
        <f aca="false">MadeiraMadeira!$Q97</f>
        <v>0.2</v>
      </c>
      <c r="O97" s="62" t="n">
        <f aca="false">Magalu!$K97</f>
        <v>763.632653061225</v>
      </c>
      <c r="P97" s="60" t="n">
        <f aca="false">Magalu!$Q97</f>
        <v>0.2</v>
      </c>
      <c r="Q97" s="46" t="n">
        <f aca="false">IF(COUNT($F97,$H97,$J97,$L97,$N97,$P97)=0,"",MIN($F97,$H97,$J97,$L97,$N97,$P97))</f>
        <v>0.162665731408281</v>
      </c>
      <c r="R97" s="46" t="n">
        <f aca="false">IF(COUNT($F97,$H97,$J97,$L97,$N97,$P97)=0,"",MAX($F97,$H97,$J97,$L97,$N97,$P97))</f>
        <v>0.206797765617875</v>
      </c>
      <c r="S97" s="61" t="n">
        <f aca="false">IF($A97="","",COUNT($E97,$G97,$I97,$K97,$M97,$O97))</f>
        <v>6</v>
      </c>
    </row>
    <row r="98" customFormat="false" ht="15" hidden="false" customHeight="false" outlineLevel="0" collapsed="false">
      <c r="A98" s="32" t="str">
        <f aca="false">IF(Produtos!$A98="","",Produtos!$A98)</f>
        <v>P4060</v>
      </c>
      <c r="B98" s="32" t="str">
        <f aca="false">IF(Produtos!$A98="","",Produtos!$B98)</f>
        <v>Lixeira c/Tampa Pedal 40x60 75L</v>
      </c>
      <c r="C98" s="32" t="str">
        <f aca="false">IF(Produtos!$A98="","",Produtos!$C98)</f>
        <v>Lixeiras com pedal</v>
      </c>
      <c r="D98" s="33" t="n">
        <f aca="false">IF(Produtos!$A98="","",IF(Produtos!$D98="","",Produtos!$D98))</f>
        <v>411.2</v>
      </c>
      <c r="E98" s="59" t="n">
        <f aca="false">'ML Clássico'!$K98</f>
        <v>908.8</v>
      </c>
      <c r="F98" s="60" t="n">
        <f aca="false">'ML Clássico'!$Q98</f>
        <v>0.200222271126761</v>
      </c>
      <c r="G98" s="59" t="n">
        <f aca="false">'ML Premium'!$K98</f>
        <v>839.183673469388</v>
      </c>
      <c r="H98" s="60" t="n">
        <f aca="false">'ML Premium'!$Q98</f>
        <v>0.2</v>
      </c>
      <c r="I98" s="59" t="n">
        <f aca="false">Amazon!$K98</f>
        <v>811.94</v>
      </c>
      <c r="J98" s="60" t="n">
        <f aca="false">Amazon!$Q98</f>
        <v>0.233558637337734</v>
      </c>
      <c r="K98" s="59" t="n">
        <f aca="false">'Via (Casas Bahia)'!$K98</f>
        <v>893.913043478261</v>
      </c>
      <c r="L98" s="60" t="n">
        <f aca="false">'Via (Casas Bahia)'!$Q98</f>
        <v>0.2</v>
      </c>
      <c r="M98" s="59" t="n">
        <f aca="false">MadeiraMadeira!$K98</f>
        <v>856.666666666667</v>
      </c>
      <c r="N98" s="60" t="n">
        <f aca="false">MadeiraMadeira!$Q98</f>
        <v>0.2</v>
      </c>
      <c r="O98" s="59" t="n">
        <f aca="false">Magalu!$K98</f>
        <v>839.183673469388</v>
      </c>
      <c r="P98" s="60" t="n">
        <f aca="false">Magalu!$Q98</f>
        <v>0.2</v>
      </c>
      <c r="Q98" s="46" t="n">
        <f aca="false">IF(COUNT($F98,$H98,$J98,$L98,$N98,$P98)=0,"",MIN($F98,$H98,$J98,$L98,$N98,$P98))</f>
        <v>0.2</v>
      </c>
      <c r="R98" s="46" t="n">
        <f aca="false">IF(COUNT($F98,$H98,$J98,$L98,$N98,$P98)=0,"",MAX($F98,$H98,$J98,$L98,$N98,$P98))</f>
        <v>0.233558637337734</v>
      </c>
      <c r="S98" s="61" t="n">
        <f aca="false">IF($A98="","",COUNT($E98,$G98,$I98,$K98,$M98,$O98))</f>
        <v>6</v>
      </c>
    </row>
    <row r="99" customFormat="false" ht="15" hidden="false" customHeight="false" outlineLevel="0" collapsed="false">
      <c r="A99" s="48" t="str">
        <f aca="false">IF(Produtos!$A99="","",Produtos!$A99)</f>
        <v>P4070</v>
      </c>
      <c r="B99" s="48" t="str">
        <f aca="false">IF(Produtos!$A99="","",Produtos!$B99)</f>
        <v>Lixeira c/Tampa Pedal 40x70 80L</v>
      </c>
      <c r="C99" s="48" t="str">
        <f aca="false">IF(Produtos!$A99="","",Produtos!$C99)</f>
        <v>Lixeiras com pedal</v>
      </c>
      <c r="D99" s="33" t="n">
        <f aca="false">IF(Produtos!$A99="","",IF(Produtos!$D99="","",Produtos!$D99))</f>
        <v>416.62</v>
      </c>
      <c r="E99" s="62" t="n">
        <f aca="false">'ML Clássico'!$K99</f>
        <v>944.10547875</v>
      </c>
      <c r="F99" s="60" t="n">
        <f aca="false">'ML Clássico'!$Q99</f>
        <v>0.201320783061921</v>
      </c>
      <c r="G99" s="62" t="n">
        <f aca="false">'ML Premium'!$K99</f>
        <v>1010.00907</v>
      </c>
      <c r="H99" s="60" t="n">
        <f aca="false">'ML Premium'!$Q99</f>
        <v>0.186469868334945</v>
      </c>
      <c r="I99" s="62" t="n">
        <f aca="false">Amazon!$K99</f>
        <v>820.96</v>
      </c>
      <c r="J99" s="60" t="n">
        <f aca="false">Amazon!$Q99</f>
        <v>0.232520951081661</v>
      </c>
      <c r="K99" s="62" t="n">
        <f aca="false">'Via (Casas Bahia)'!$K99</f>
        <v>905.695652173913</v>
      </c>
      <c r="L99" s="60" t="n">
        <f aca="false">'Via (Casas Bahia)'!$Q99</f>
        <v>0.2</v>
      </c>
      <c r="M99" s="62" t="n">
        <f aca="false">MadeiraMadeira!$K99</f>
        <v>867.958333333333</v>
      </c>
      <c r="N99" s="60" t="n">
        <f aca="false">MadeiraMadeira!$Q99</f>
        <v>0.2</v>
      </c>
      <c r="O99" s="62" t="n">
        <f aca="false">Magalu!$K99</f>
        <v>850.244897959184</v>
      </c>
      <c r="P99" s="60" t="n">
        <f aca="false">Magalu!$Q99</f>
        <v>0.2</v>
      </c>
      <c r="Q99" s="46" t="n">
        <f aca="false">IF(COUNT($F99,$H99,$J99,$L99,$N99,$P99)=0,"",MIN($F99,$H99,$J99,$L99,$N99,$P99))</f>
        <v>0.186469868334945</v>
      </c>
      <c r="R99" s="46" t="n">
        <f aca="false">IF(COUNT($F99,$H99,$J99,$L99,$N99,$P99)=0,"",MAX($F99,$H99,$J99,$L99,$N99,$P99))</f>
        <v>0.232520951081661</v>
      </c>
      <c r="S99" s="61" t="n">
        <f aca="false">IF($A99="","",COUNT($E99,$G99,$I99,$K99,$M99,$O99))</f>
        <v>6</v>
      </c>
    </row>
    <row r="100" customFormat="false" ht="15" hidden="false" customHeight="false" outlineLevel="0" collapsed="false">
      <c r="A100" s="32" t="str">
        <f aca="false">IF(Produtos!$A100="","",Produtos!$A100)</f>
        <v>P4075</v>
      </c>
      <c r="B100" s="32" t="str">
        <f aca="false">IF(Produtos!$A100="","",Produtos!$B100)</f>
        <v>Lixeira c/Tampa Pedal 40x75 95L</v>
      </c>
      <c r="C100" s="32" t="str">
        <f aca="false">IF(Produtos!$A100="","",Produtos!$C100)</f>
        <v>Lixeiras com pedal</v>
      </c>
      <c r="D100" s="33" t="n">
        <f aca="false">IF(Produtos!$A100="","",IF(Produtos!$D100="","",Produtos!$D100))</f>
        <v>478.21</v>
      </c>
      <c r="E100" s="59" t="n">
        <f aca="false">'ML Clássico'!$K100</f>
        <v>1055.95</v>
      </c>
      <c r="F100" s="60" t="n">
        <f aca="false">'ML Clássico'!$Q100</f>
        <v>0.200050191770444</v>
      </c>
      <c r="G100" s="59" t="n">
        <f aca="false">'ML Premium'!$K100</f>
        <v>1122.6878775</v>
      </c>
      <c r="H100" s="60" t="n">
        <f aca="false">'ML Premium'!$Q100</f>
        <v>0.182147362212878</v>
      </c>
      <c r="I100" s="59" t="n">
        <f aca="false">Amazon!$K100</f>
        <v>923.64</v>
      </c>
      <c r="J100" s="60" t="n">
        <f aca="false">Amazon!$Q100</f>
        <v>0.222254991122082</v>
      </c>
      <c r="K100" s="59" t="n">
        <f aca="false">'Via (Casas Bahia)'!$K100</f>
        <v>1039.58695652174</v>
      </c>
      <c r="L100" s="60" t="n">
        <f aca="false">'Via (Casas Bahia)'!$Q100</f>
        <v>0.2</v>
      </c>
      <c r="M100" s="59" t="n">
        <f aca="false">MadeiraMadeira!$K100</f>
        <v>996.270833333333</v>
      </c>
      <c r="N100" s="60" t="n">
        <f aca="false">MadeiraMadeira!$Q100</f>
        <v>0.2</v>
      </c>
      <c r="O100" s="59" t="n">
        <f aca="false">Magalu!$K100</f>
        <v>975.938775510204</v>
      </c>
      <c r="P100" s="60" t="n">
        <f aca="false">Magalu!$Q100</f>
        <v>0.2</v>
      </c>
      <c r="Q100" s="46" t="n">
        <f aca="false">IF(COUNT($F100,$H100,$J100,$L100,$N100,$P100)=0,"",MIN($F100,$H100,$J100,$L100,$N100,$P100))</f>
        <v>0.182147362212878</v>
      </c>
      <c r="R100" s="46" t="n">
        <f aca="false">IF(COUNT($F100,$H100,$J100,$L100,$N100,$P100)=0,"",MAX($F100,$H100,$J100,$L100,$N100,$P100))</f>
        <v>0.222254991122082</v>
      </c>
      <c r="S100" s="61" t="n">
        <f aca="false">IF($A100="","",COUNT($E100,$G100,$I100,$K100,$M100,$O100))</f>
        <v>6</v>
      </c>
    </row>
    <row r="101" customFormat="false" ht="15" hidden="false" customHeight="false" outlineLevel="0" collapsed="false">
      <c r="A101" s="48" t="str">
        <f aca="false">IF(Produtos!$A101="","",Produtos!$A101)</f>
        <v>P4080</v>
      </c>
      <c r="B101" s="48" t="str">
        <f aca="false">IF(Produtos!$A101="","",Produtos!$B101)</f>
        <v>Lixeira c/Tampa Pedal 40x80 100L</v>
      </c>
      <c r="C101" s="48" t="str">
        <f aca="false">IF(Produtos!$A101="","",Produtos!$C101)</f>
        <v>Lixeiras com pedal</v>
      </c>
      <c r="D101" s="33" t="n">
        <f aca="false">IF(Produtos!$A101="","",IF(Produtos!$D101="","",Produtos!$D101))</f>
        <v>553.79</v>
      </c>
      <c r="E101" s="62" t="n">
        <f aca="false">'ML Clássico'!$K101</f>
        <v>1025.53703703704</v>
      </c>
      <c r="F101" s="60" t="n">
        <f aca="false">'ML Clássico'!$Q101</f>
        <v>0.2</v>
      </c>
      <c r="G101" s="62" t="n">
        <f aca="false">'ML Premium'!$K101</f>
        <v>1343.895</v>
      </c>
      <c r="H101" s="60" t="n">
        <f aca="false">'ML Premium'!$Q101</f>
        <v>0.19766987004193</v>
      </c>
      <c r="I101" s="62" t="n">
        <f aca="false">Amazon!$K101</f>
        <v>1070.17</v>
      </c>
      <c r="J101" s="60" t="n">
        <f aca="false">Amazon!$Q101</f>
        <v>0.222521468551725</v>
      </c>
      <c r="K101" s="62" t="n">
        <f aca="false">'Via (Casas Bahia)'!$K101</f>
        <v>1203.89130434783</v>
      </c>
      <c r="L101" s="60" t="n">
        <f aca="false">'Via (Casas Bahia)'!$Q101</f>
        <v>0.2</v>
      </c>
      <c r="M101" s="62" t="n">
        <f aca="false">MadeiraMadeira!$K101</f>
        <v>1153.72916666667</v>
      </c>
      <c r="N101" s="60" t="n">
        <f aca="false">MadeiraMadeira!$Q101</f>
        <v>0.2</v>
      </c>
      <c r="O101" s="62" t="n">
        <f aca="false">Magalu!$K101</f>
        <v>1130.18367346939</v>
      </c>
      <c r="P101" s="60" t="n">
        <f aca="false">Magalu!$Q101</f>
        <v>0.2</v>
      </c>
      <c r="Q101" s="46" t="n">
        <f aca="false">IF(COUNT($F101,$H101,$J101,$L101,$N101,$P101)=0,"",MIN($F101,$H101,$J101,$L101,$N101,$P101))</f>
        <v>0.19766987004193</v>
      </c>
      <c r="R101" s="46" t="n">
        <f aca="false">IF(COUNT($F101,$H101,$J101,$L101,$N101,$P101)=0,"",MAX($F101,$H101,$J101,$L101,$N101,$P101))</f>
        <v>0.222521468551725</v>
      </c>
      <c r="S101" s="61" t="n">
        <f aca="false">IF($A101="","",COUNT($E101,$G101,$I101,$K101,$M101,$O101))</f>
        <v>6</v>
      </c>
    </row>
    <row r="102" customFormat="false" ht="15" hidden="false" customHeight="false" outlineLevel="0" collapsed="false">
      <c r="A102" s="32" t="str">
        <f aca="false">IF(Produtos!$A102="","",Produtos!$A102)</f>
        <v>P4090</v>
      </c>
      <c r="B102" s="32" t="str">
        <f aca="false">IF(Produtos!$A102="","",Produtos!$B102)</f>
        <v>Lixeira c/Tampa Pedal 40x90 120L</v>
      </c>
      <c r="C102" s="32" t="str">
        <f aca="false">IF(Produtos!$A102="","",Produtos!$C102)</f>
        <v>Lixeiras com pedal</v>
      </c>
      <c r="D102" s="33" t="n">
        <f aca="false">IF(Produtos!$A102="","",IF(Produtos!$D102="","",Produtos!$D102))</f>
        <v>771.68</v>
      </c>
      <c r="E102" s="59" t="n">
        <f aca="false">'ML Clássico'!$K102</f>
        <v>1551.50690625</v>
      </c>
      <c r="F102" s="60" t="n">
        <f aca="false">'ML Clássico'!$Q102</f>
        <v>0.173756951734484</v>
      </c>
      <c r="G102" s="59" t="n">
        <f aca="false">'ML Premium'!$K102</f>
        <v>1659.247065</v>
      </c>
      <c r="H102" s="60" t="n">
        <f aca="false">'ML Premium'!$Q102</f>
        <v>0.16052490341455</v>
      </c>
      <c r="I102" s="59" t="n">
        <f aca="false">Amazon!$K102</f>
        <v>1433.32</v>
      </c>
      <c r="J102" s="60" t="n">
        <f aca="false">Amazon!$Q102</f>
        <v>0.201613596405548</v>
      </c>
      <c r="K102" s="59" t="n">
        <f aca="false">'Via (Casas Bahia)'!$K102</f>
        <v>1677.5652173913</v>
      </c>
      <c r="L102" s="60" t="n">
        <f aca="false">'Via (Casas Bahia)'!$Q102</f>
        <v>0.2</v>
      </c>
      <c r="M102" s="59" t="n">
        <f aca="false">MadeiraMadeira!$K102</f>
        <v>1607.66666666667</v>
      </c>
      <c r="N102" s="60" t="n">
        <f aca="false">MadeiraMadeira!$Q102</f>
        <v>0.2</v>
      </c>
      <c r="O102" s="59" t="n">
        <f aca="false">Magalu!$K102</f>
        <v>1574.85714285714</v>
      </c>
      <c r="P102" s="60" t="n">
        <f aca="false">Magalu!$Q102</f>
        <v>0.2</v>
      </c>
      <c r="Q102" s="46" t="n">
        <f aca="false">IF(COUNT($F102,$H102,$J102,$L102,$N102,$P102)=0,"",MIN($F102,$H102,$J102,$L102,$N102,$P102))</f>
        <v>0.16052490341455</v>
      </c>
      <c r="R102" s="46" t="n">
        <f aca="false">IF(COUNT($F102,$H102,$J102,$L102,$N102,$P102)=0,"",MAX($F102,$H102,$J102,$L102,$N102,$P102))</f>
        <v>0.201613596405548</v>
      </c>
      <c r="S102" s="61" t="n">
        <f aca="false">IF($A102="","",COUNT($E102,$G102,$I102,$K102,$M102,$O102))</f>
        <v>6</v>
      </c>
    </row>
    <row r="103" customFormat="false" ht="15" hidden="false" customHeight="false" outlineLevel="0" collapsed="false">
      <c r="A103" s="48" t="str">
        <f aca="false">IF(Produtos!$A103="","",Produtos!$A103)</f>
        <v>L2425-BC</v>
      </c>
      <c r="B103" s="48" t="str">
        <f aca="false">IF(Produtos!$A103="","",Produtos!$B103)</f>
        <v>Lixeira de Aço inox 24x25 13L c/Aro basculante colorido</v>
      </c>
      <c r="C103" s="48" t="str">
        <f aca="false">IF(Produtos!$A103="","",Produtos!$C103)</f>
        <v>Lixeiras em inox</v>
      </c>
      <c r="D103" s="33" t="n">
        <f aca="false">IF(Produtos!$A103="","",IF(Produtos!$D103="","",Produtos!$D103))</f>
        <v>110.45</v>
      </c>
      <c r="E103" s="62" t="n">
        <f aca="false">'ML Clássico'!$K103</f>
        <v>260.43255</v>
      </c>
      <c r="F103" s="60" t="n">
        <f aca="false">'ML Clássico'!$Q103</f>
        <v>0.213584717040938</v>
      </c>
      <c r="G103" s="62" t="n">
        <f aca="false">'ML Premium'!$K103</f>
        <v>225.408163265306</v>
      </c>
      <c r="H103" s="60" t="n">
        <f aca="false">'ML Premium'!$Q103</f>
        <v>0.2</v>
      </c>
      <c r="I103" s="62" t="n">
        <f aca="false">Amazon!$K103</f>
        <v>204.537037037037</v>
      </c>
      <c r="J103" s="60" t="n">
        <f aca="false">Amazon!$Q103</f>
        <v>0.2</v>
      </c>
      <c r="K103" s="62" t="n">
        <f aca="false">'Via (Casas Bahia)'!$K103</f>
        <v>240.108695652174</v>
      </c>
      <c r="L103" s="60" t="n">
        <f aca="false">'Via (Casas Bahia)'!$Q103</f>
        <v>0.2</v>
      </c>
      <c r="M103" s="62" t="n">
        <f aca="false">MadeiraMadeira!$K103</f>
        <v>230.104166666667</v>
      </c>
      <c r="N103" s="60" t="n">
        <f aca="false">MadeiraMadeira!$Q103</f>
        <v>0.2</v>
      </c>
      <c r="O103" s="62" t="n">
        <f aca="false">Magalu!$K103</f>
        <v>225.408163265306</v>
      </c>
      <c r="P103" s="60" t="n">
        <f aca="false">Magalu!$Q103</f>
        <v>0.2</v>
      </c>
      <c r="Q103" s="46" t="n">
        <f aca="false">IF(COUNT($F103,$H103,$J103,$L103,$N103,$P103)=0,"",MIN($F103,$H103,$J103,$L103,$N103,$P103))</f>
        <v>0.2</v>
      </c>
      <c r="R103" s="46" t="n">
        <f aca="false">IF(COUNT($F103,$H103,$J103,$L103,$N103,$P103)=0,"",MAX($F103,$H103,$J103,$L103,$N103,$P103))</f>
        <v>0.213584717040938</v>
      </c>
      <c r="S103" s="61" t="n">
        <f aca="false">IF($A103="","",COUNT($E103,$G103,$I103,$K103,$M103,$O103))</f>
        <v>6</v>
      </c>
    </row>
    <row r="104" customFormat="false" ht="15" hidden="false" customHeight="false" outlineLevel="0" collapsed="false">
      <c r="A104" s="32" t="str">
        <f aca="false">IF(Produtos!$A104="","",Produtos!$A104)</f>
        <v>L2430-BC</v>
      </c>
      <c r="B104" s="32" t="str">
        <f aca="false">IF(Produtos!$A104="","",Produtos!$B104)</f>
        <v>Lixeira de Aço inox 24x30 15L c/Aro basculante colorido</v>
      </c>
      <c r="C104" s="32" t="str">
        <f aca="false">IF(Produtos!$A104="","",Produtos!$C104)</f>
        <v>Lixeiras em inox</v>
      </c>
      <c r="D104" s="33" t="n">
        <f aca="false">IF(Produtos!$A104="","",IF(Produtos!$D104="","",Produtos!$D104))</f>
        <v>120.38</v>
      </c>
      <c r="E104" s="59" t="n">
        <f aca="false">'ML Clássico'!$K104</f>
        <v>273.9</v>
      </c>
      <c r="F104" s="60" t="n">
        <f aca="false">'ML Clássico'!$Q104</f>
        <v>0.203705732018985</v>
      </c>
      <c r="G104" s="59" t="n">
        <f aca="false">'ML Premium'!$K104</f>
        <v>290.5</v>
      </c>
      <c r="H104" s="60" t="n">
        <f aca="false">'ML Premium'!$Q104</f>
        <v>0.204922547332186</v>
      </c>
      <c r="I104" s="59" t="n">
        <f aca="false">Amazon!$K104</f>
        <v>222.925925925926</v>
      </c>
      <c r="J104" s="60" t="n">
        <f aca="false">Amazon!$Q104</f>
        <v>0.2</v>
      </c>
      <c r="K104" s="59" t="n">
        <f aca="false">'Via (Casas Bahia)'!$K104</f>
        <v>261.695652173913</v>
      </c>
      <c r="L104" s="60" t="n">
        <f aca="false">'Via (Casas Bahia)'!$Q104</f>
        <v>0.2</v>
      </c>
      <c r="M104" s="59" t="n">
        <f aca="false">MadeiraMadeira!$K104</f>
        <v>250.791666666667</v>
      </c>
      <c r="N104" s="60" t="n">
        <f aca="false">MadeiraMadeira!$Q104</f>
        <v>0.2</v>
      </c>
      <c r="O104" s="59" t="n">
        <f aca="false">Magalu!$K104</f>
        <v>245.673469387755</v>
      </c>
      <c r="P104" s="60" t="n">
        <f aca="false">Magalu!$Q104</f>
        <v>0.2</v>
      </c>
      <c r="Q104" s="46" t="n">
        <f aca="false">IF(COUNT($F104,$H104,$J104,$L104,$N104,$P104)=0,"",MIN($F104,$H104,$J104,$L104,$N104,$P104))</f>
        <v>0.2</v>
      </c>
      <c r="R104" s="46" t="n">
        <f aca="false">IF(COUNT($F104,$H104,$J104,$L104,$N104,$P104)=0,"",MAX($F104,$H104,$J104,$L104,$N104,$P104))</f>
        <v>0.204922547332186</v>
      </c>
      <c r="S104" s="61" t="n">
        <f aca="false">IF($A104="","",COUNT($E104,$G104,$I104,$K104,$M104,$O104))</f>
        <v>6</v>
      </c>
    </row>
    <row r="105" customFormat="false" ht="15" hidden="false" customHeight="false" outlineLevel="0" collapsed="false">
      <c r="A105" s="48" t="str">
        <f aca="false">IF(Produtos!$A105="","",Produtos!$A105)</f>
        <v>L2440-BC</v>
      </c>
      <c r="B105" s="48" t="str">
        <f aca="false">IF(Produtos!$A105="","",Produtos!$B105)</f>
        <v>Lixeira de Aço inox 24x40 20L c/Aro basculante colorido</v>
      </c>
      <c r="C105" s="48" t="str">
        <f aca="false">IF(Produtos!$A105="","",Produtos!$C105)</f>
        <v>Lixeiras em inox</v>
      </c>
      <c r="D105" s="33" t="n">
        <f aca="false">IF(Produtos!$A105="","",IF(Produtos!$D105="","",Produtos!$D105))</f>
        <v>137.47</v>
      </c>
      <c r="E105" s="62" t="n">
        <f aca="false">'ML Clássico'!$K105</f>
        <v>304.411275</v>
      </c>
      <c r="F105" s="60" t="n">
        <f aca="false">'ML Clássico'!$Q105</f>
        <v>0.202319891896251</v>
      </c>
      <c r="G105" s="62" t="n">
        <f aca="false">'ML Premium'!$K105</f>
        <v>334.2526425</v>
      </c>
      <c r="H105" s="60" t="n">
        <f aca="false">'ML Premium'!$Q105</f>
        <v>0.221215611182491</v>
      </c>
      <c r="I105" s="62" t="n">
        <f aca="false">Amazon!$K105</f>
        <v>254.574074074074</v>
      </c>
      <c r="J105" s="60" t="n">
        <f aca="false">Amazon!$Q105</f>
        <v>0.2</v>
      </c>
      <c r="K105" s="62" t="n">
        <f aca="false">'Via (Casas Bahia)'!$K105</f>
        <v>298.847826086957</v>
      </c>
      <c r="L105" s="60" t="n">
        <f aca="false">'Via (Casas Bahia)'!$Q105</f>
        <v>0.2</v>
      </c>
      <c r="M105" s="62" t="n">
        <f aca="false">MadeiraMadeira!$K105</f>
        <v>286.395833333333</v>
      </c>
      <c r="N105" s="60" t="n">
        <f aca="false">MadeiraMadeira!$Q105</f>
        <v>0.2</v>
      </c>
      <c r="O105" s="62" t="n">
        <f aca="false">Magalu!$K105</f>
        <v>280.551020408163</v>
      </c>
      <c r="P105" s="60" t="n">
        <f aca="false">Magalu!$Q105</f>
        <v>0.2</v>
      </c>
      <c r="Q105" s="46" t="n">
        <f aca="false">IF(COUNT($F105,$H105,$J105,$L105,$N105,$P105)=0,"",MIN($F105,$H105,$J105,$L105,$N105,$P105))</f>
        <v>0.2</v>
      </c>
      <c r="R105" s="46" t="n">
        <f aca="false">IF(COUNT($F105,$H105,$J105,$L105,$N105,$P105)=0,"",MAX($F105,$H105,$J105,$L105,$N105,$P105))</f>
        <v>0.221215611182491</v>
      </c>
      <c r="S105" s="61" t="n">
        <f aca="false">IF($A105="","",COUNT($E105,$G105,$I105,$K105,$M105,$O105))</f>
        <v>6</v>
      </c>
    </row>
    <row r="106" customFormat="false" ht="15" hidden="false" customHeight="false" outlineLevel="0" collapsed="false">
      <c r="A106" s="32" t="str">
        <f aca="false">IF(Produtos!$A106="","",Produtos!$A106)</f>
        <v>L2450-BC</v>
      </c>
      <c r="B106" s="32" t="str">
        <f aca="false">IF(Produtos!$A106="","",Produtos!$B106)</f>
        <v>Lixeira de Aço inox 24x50 25L c/Aro basculante colorido</v>
      </c>
      <c r="C106" s="32" t="str">
        <f aca="false">IF(Produtos!$A106="","",Produtos!$C106)</f>
        <v>Lixeiras em inox</v>
      </c>
      <c r="D106" s="33" t="n">
        <f aca="false">IF(Produtos!$A106="","",IF(Produtos!$D106="","",Produtos!$D106))</f>
        <v>168.27</v>
      </c>
      <c r="E106" s="59" t="n">
        <f aca="false">'ML Clássico'!$K106</f>
        <v>375.209415</v>
      </c>
      <c r="F106" s="60" t="n">
        <f aca="false">'ML Clássico'!$Q106</f>
        <v>0.192657908784085</v>
      </c>
      <c r="G106" s="59" t="n">
        <f aca="false">'ML Premium'!$K106</f>
        <v>343.408163265306</v>
      </c>
      <c r="H106" s="60" t="n">
        <f aca="false">'ML Premium'!$Q106</f>
        <v>0.2</v>
      </c>
      <c r="I106" s="59" t="n">
        <f aca="false">Amazon!$K106</f>
        <v>311.611111111111</v>
      </c>
      <c r="J106" s="60" t="n">
        <f aca="false">Amazon!$Q106</f>
        <v>0.2</v>
      </c>
      <c r="K106" s="59" t="n">
        <f aca="false">'Via (Casas Bahia)'!$K106</f>
        <v>365.804347826087</v>
      </c>
      <c r="L106" s="60" t="n">
        <f aca="false">'Via (Casas Bahia)'!$Q106</f>
        <v>0.2</v>
      </c>
      <c r="M106" s="59" t="n">
        <f aca="false">MadeiraMadeira!$K106</f>
        <v>350.5625</v>
      </c>
      <c r="N106" s="60" t="n">
        <f aca="false">MadeiraMadeira!$Q106</f>
        <v>0.2</v>
      </c>
      <c r="O106" s="59" t="n">
        <f aca="false">Magalu!$K106</f>
        <v>343.408163265306</v>
      </c>
      <c r="P106" s="60" t="n">
        <f aca="false">Magalu!$Q106</f>
        <v>0.2</v>
      </c>
      <c r="Q106" s="46" t="n">
        <f aca="false">IF(COUNT($F106,$H106,$J106,$L106,$N106,$P106)=0,"",MIN($F106,$H106,$J106,$L106,$N106,$P106))</f>
        <v>0.192657908784085</v>
      </c>
      <c r="R106" s="46" t="n">
        <f aca="false">IF(COUNT($F106,$H106,$J106,$L106,$N106,$P106)=0,"",MAX($F106,$H106,$J106,$L106,$N106,$P106))</f>
        <v>0.2</v>
      </c>
      <c r="S106" s="61" t="n">
        <f aca="false">IF($A106="","",COUNT($E106,$G106,$I106,$K106,$M106,$O106))</f>
        <v>6</v>
      </c>
    </row>
    <row r="107" customFormat="false" ht="15" hidden="false" customHeight="false" outlineLevel="0" collapsed="false">
      <c r="A107" s="48" t="str">
        <f aca="false">IF(Produtos!$A107="","",Produtos!$A107)</f>
        <v>L2460-BC</v>
      </c>
      <c r="B107" s="48" t="str">
        <f aca="false">IF(Produtos!$A107="","",Produtos!$B107)</f>
        <v>Lixeira de Aço inox 24x60 27L c/Aro basculante colorido</v>
      </c>
      <c r="C107" s="48" t="str">
        <f aca="false">IF(Produtos!$A107="","",Produtos!$C107)</f>
        <v>Lixeiras em inox</v>
      </c>
      <c r="D107" s="33" t="n">
        <f aca="false">IF(Produtos!$A107="","",IF(Produtos!$D107="","",Produtos!$D107))</f>
        <v>169.79</v>
      </c>
      <c r="E107" s="62" t="n">
        <f aca="false">'ML Clássico'!$K107</f>
        <v>375.213825</v>
      </c>
      <c r="F107" s="60" t="n">
        <f aca="false">'ML Clássico'!$Q107</f>
        <v>0.165959686453451</v>
      </c>
      <c r="G107" s="62" t="n">
        <f aca="false">'ML Premium'!$K107</f>
        <v>394.7269725</v>
      </c>
      <c r="H107" s="60" t="n">
        <f aca="false">'ML Premium'!$Q107</f>
        <v>0.164831452454139</v>
      </c>
      <c r="I107" s="62" t="n">
        <f aca="false">Amazon!$K107</f>
        <v>314.425925925926</v>
      </c>
      <c r="J107" s="60" t="n">
        <f aca="false">Amazon!$Q107</f>
        <v>0.2</v>
      </c>
      <c r="K107" s="62" t="n">
        <f aca="false">'Via (Casas Bahia)'!$K107</f>
        <v>369.108695652174</v>
      </c>
      <c r="L107" s="60" t="n">
        <f aca="false">'Via (Casas Bahia)'!$Q107</f>
        <v>0.2</v>
      </c>
      <c r="M107" s="62" t="n">
        <f aca="false">MadeiraMadeira!$K107</f>
        <v>353.729166666667</v>
      </c>
      <c r="N107" s="60" t="n">
        <f aca="false">MadeiraMadeira!$Q107</f>
        <v>0.2</v>
      </c>
      <c r="O107" s="62" t="n">
        <f aca="false">Magalu!$K107</f>
        <v>346.510204081633</v>
      </c>
      <c r="P107" s="60" t="n">
        <f aca="false">Magalu!$Q107</f>
        <v>0.2</v>
      </c>
      <c r="Q107" s="46" t="n">
        <f aca="false">IF(COUNT($F107,$H107,$J107,$L107,$N107,$P107)=0,"",MIN($F107,$H107,$J107,$L107,$N107,$P107))</f>
        <v>0.164831452454139</v>
      </c>
      <c r="R107" s="46" t="n">
        <f aca="false">IF(COUNT($F107,$H107,$J107,$L107,$N107,$P107)=0,"",MAX($F107,$H107,$J107,$L107,$N107,$P107))</f>
        <v>0.2</v>
      </c>
      <c r="S107" s="61" t="n">
        <f aca="false">IF($A107="","",COUNT($E107,$G107,$I107,$K107,$M107,$O107))</f>
        <v>6</v>
      </c>
    </row>
    <row r="108" customFormat="false" ht="15" hidden="false" customHeight="false" outlineLevel="0" collapsed="false">
      <c r="A108" s="32" t="str">
        <f aca="false">IF(Produtos!$A108="","",Produtos!$A108)</f>
        <v>L2470-BC</v>
      </c>
      <c r="B108" s="32" t="str">
        <f aca="false">IF(Produtos!$A108="","",Produtos!$B108)</f>
        <v>Lixeira de Aço inox 24x70 30L c/Aro basculante colorido</v>
      </c>
      <c r="C108" s="32" t="str">
        <f aca="false">IF(Produtos!$A108="","",Produtos!$C108)</f>
        <v>Lixeiras em inox</v>
      </c>
      <c r="D108" s="33" t="n">
        <f aca="false">IF(Produtos!$A108="","",IF(Produtos!$D108="","",Produtos!$D108))</f>
        <v>235.59</v>
      </c>
      <c r="E108" s="59" t="n">
        <f aca="false">'ML Clássico'!$K108</f>
        <v>436.277777777778</v>
      </c>
      <c r="F108" s="60" t="n">
        <f aca="false">'ML Clássico'!$Q108</f>
        <v>0.2</v>
      </c>
      <c r="G108" s="59" t="n">
        <f aca="false">'ML Premium'!$K108</f>
        <v>557.4909275</v>
      </c>
      <c r="H108" s="60" t="n">
        <f aca="false">'ML Premium'!$Q108</f>
        <v>0.208888543392484</v>
      </c>
      <c r="I108" s="59" t="n">
        <f aca="false">Amazon!$K108</f>
        <v>436.277777777778</v>
      </c>
      <c r="J108" s="60" t="n">
        <f aca="false">Amazon!$Q108</f>
        <v>0.2</v>
      </c>
      <c r="K108" s="59" t="n">
        <f aca="false">'Via (Casas Bahia)'!$K108</f>
        <v>512.152173913044</v>
      </c>
      <c r="L108" s="60" t="n">
        <f aca="false">'Via (Casas Bahia)'!$Q108</f>
        <v>0.2</v>
      </c>
      <c r="M108" s="59" t="n">
        <f aca="false">MadeiraMadeira!$K108</f>
        <v>490.8125</v>
      </c>
      <c r="N108" s="60" t="n">
        <f aca="false">MadeiraMadeira!$Q108</f>
        <v>0.2</v>
      </c>
      <c r="O108" s="59" t="n">
        <f aca="false">Magalu!$K108</f>
        <v>480.795918367347</v>
      </c>
      <c r="P108" s="60" t="n">
        <f aca="false">Magalu!$Q108</f>
        <v>0.2</v>
      </c>
      <c r="Q108" s="46" t="n">
        <f aca="false">IF(COUNT($F108,$H108,$J108,$L108,$N108,$P108)=0,"",MIN($F108,$H108,$J108,$L108,$N108,$P108))</f>
        <v>0.2</v>
      </c>
      <c r="R108" s="46" t="n">
        <f aca="false">IF(COUNT($F108,$H108,$J108,$L108,$N108,$P108)=0,"",MAX($F108,$H108,$J108,$L108,$N108,$P108))</f>
        <v>0.208888543392484</v>
      </c>
      <c r="S108" s="61" t="n">
        <f aca="false">IF($A108="","",COUNT($E108,$G108,$I108,$K108,$M108,$O108))</f>
        <v>6</v>
      </c>
    </row>
    <row r="109" customFormat="false" ht="15" hidden="false" customHeight="false" outlineLevel="0" collapsed="false">
      <c r="A109" s="48" t="str">
        <f aca="false">IF(Produtos!$A109="","",Produtos!$A109)</f>
        <v>L3040-BC</v>
      </c>
      <c r="B109" s="48" t="str">
        <f aca="false">IF(Produtos!$A109="","",Produtos!$B109)</f>
        <v>Lixeira de Aço inox 30x40 30L c/Aro basculante colorido</v>
      </c>
      <c r="C109" s="48" t="str">
        <f aca="false">IF(Produtos!$A109="","",Produtos!$C109)</f>
        <v>Lixeiras em inox</v>
      </c>
      <c r="D109" s="33" t="n">
        <f aca="false">IF(Produtos!$A109="","",IF(Produtos!$D109="","",Produtos!$D109))</f>
        <v>193.14</v>
      </c>
      <c r="E109" s="62" t="n">
        <f aca="false">'ML Clássico'!$K109</f>
        <v>440.9</v>
      </c>
      <c r="F109" s="60" t="n">
        <f aca="false">'ML Clássico'!$Q109</f>
        <v>0.200011340440009</v>
      </c>
      <c r="G109" s="62" t="n">
        <f aca="false">'ML Premium'!$K109</f>
        <v>451.983105</v>
      </c>
      <c r="H109" s="60" t="n">
        <f aca="false">'ML Premium'!$Q109</f>
        <v>0.183497645559119</v>
      </c>
      <c r="I109" s="62" t="n">
        <f aca="false">Amazon!$K109</f>
        <v>357.666666666667</v>
      </c>
      <c r="J109" s="60" t="n">
        <f aca="false">Amazon!$Q109</f>
        <v>0.2</v>
      </c>
      <c r="K109" s="62" t="n">
        <f aca="false">'Via (Casas Bahia)'!$K109</f>
        <v>419.869565217391</v>
      </c>
      <c r="L109" s="60" t="n">
        <f aca="false">'Via (Casas Bahia)'!$Q109</f>
        <v>0.2</v>
      </c>
      <c r="M109" s="62" t="n">
        <f aca="false">MadeiraMadeira!$K109</f>
        <v>402.375</v>
      </c>
      <c r="N109" s="60" t="n">
        <f aca="false">MadeiraMadeira!$Q109</f>
        <v>0.2</v>
      </c>
      <c r="O109" s="62" t="n">
        <f aca="false">Magalu!$K109</f>
        <v>394.163265306122</v>
      </c>
      <c r="P109" s="60" t="n">
        <f aca="false">Magalu!$Q109</f>
        <v>0.2</v>
      </c>
      <c r="Q109" s="46" t="n">
        <f aca="false">IF(COUNT($F109,$H109,$J109,$L109,$N109,$P109)=0,"",MIN($F109,$H109,$J109,$L109,$N109,$P109))</f>
        <v>0.183497645559119</v>
      </c>
      <c r="R109" s="46" t="n">
        <f aca="false">IF(COUNT($F109,$H109,$J109,$L109,$N109,$P109)=0,"",MAX($F109,$H109,$J109,$L109,$N109,$P109))</f>
        <v>0.200011340440009</v>
      </c>
      <c r="S109" s="61" t="n">
        <f aca="false">IF($A109="","",COUNT($E109,$G109,$I109,$K109,$M109,$O109))</f>
        <v>6</v>
      </c>
    </row>
    <row r="110" customFormat="false" ht="15" hidden="false" customHeight="false" outlineLevel="0" collapsed="false">
      <c r="A110" s="32" t="str">
        <f aca="false">IF(Produtos!$A110="","",Produtos!$A110)</f>
        <v>L3050-BC</v>
      </c>
      <c r="B110" s="32" t="str">
        <f aca="false">IF(Produtos!$A110="","",Produtos!$B110)</f>
        <v>Lixeira de Aço inox 30x50 35L c/Aro basculante colorido</v>
      </c>
      <c r="C110" s="32" t="str">
        <f aca="false">IF(Produtos!$A110="","",Produtos!$C110)</f>
        <v>Lixeiras em inox</v>
      </c>
      <c r="D110" s="33" t="n">
        <f aca="false">IF(Produtos!$A110="","",IF(Produtos!$D110="","",Produtos!$D110))</f>
        <v>237.59</v>
      </c>
      <c r="E110" s="59" t="n">
        <f aca="false">'ML Clássico'!$K110</f>
        <v>502.825995</v>
      </c>
      <c r="F110" s="60" t="n">
        <f aca="false">'ML Clássico'!$Q110</f>
        <v>0.0649916602859803</v>
      </c>
      <c r="G110" s="59" t="n">
        <f aca="false">'ML Premium'!$K110</f>
        <v>537.75154125</v>
      </c>
      <c r="H110" s="60" t="n">
        <f aca="false">'ML Premium'!$Q110</f>
        <v>0.183804419175154</v>
      </c>
      <c r="I110" s="59" t="n">
        <f aca="false">Amazon!$K110</f>
        <v>439.981481481481</v>
      </c>
      <c r="J110" s="60" t="n">
        <f aca="false">Amazon!$Q110</f>
        <v>0.2</v>
      </c>
      <c r="K110" s="59" t="n">
        <f aca="false">'Via (Casas Bahia)'!$K110</f>
        <v>516.5</v>
      </c>
      <c r="L110" s="60" t="n">
        <f aca="false">'Via (Casas Bahia)'!$Q110</f>
        <v>0.2</v>
      </c>
      <c r="M110" s="59" t="n">
        <f aca="false">MadeiraMadeira!$K110</f>
        <v>494.979166666667</v>
      </c>
      <c r="N110" s="60" t="n">
        <f aca="false">MadeiraMadeira!$Q110</f>
        <v>0.2</v>
      </c>
      <c r="O110" s="59" t="n">
        <f aca="false">Magalu!$K110</f>
        <v>484.877551020408</v>
      </c>
      <c r="P110" s="60" t="n">
        <f aca="false">Magalu!$Q110</f>
        <v>0.2</v>
      </c>
      <c r="Q110" s="46" t="n">
        <f aca="false">IF(COUNT($F110,$H110,$J110,$L110,$N110,$P110)=0,"",MIN($F110,$H110,$J110,$L110,$N110,$P110))</f>
        <v>0.0649916602859803</v>
      </c>
      <c r="R110" s="46" t="n">
        <f aca="false">IF(COUNT($F110,$H110,$J110,$L110,$N110,$P110)=0,"",MAX($F110,$H110,$J110,$L110,$N110,$P110))</f>
        <v>0.2</v>
      </c>
      <c r="S110" s="61" t="n">
        <f aca="false">IF($A110="","",COUNT($E110,$G110,$I110,$K110,$M110,$O110))</f>
        <v>6</v>
      </c>
    </row>
    <row r="111" customFormat="false" ht="15" hidden="false" customHeight="false" outlineLevel="0" collapsed="false">
      <c r="A111" s="48" t="str">
        <f aca="false">IF(Produtos!$A111="","",Produtos!$A111)</f>
        <v>L3060-BC</v>
      </c>
      <c r="B111" s="48" t="str">
        <f aca="false">IF(Produtos!$A111="","",Produtos!$B111)</f>
        <v>Lixeira de Aço inox 30x60 40L c/Aro basculante colorido</v>
      </c>
      <c r="C111" s="48" t="str">
        <f aca="false">IF(Produtos!$A111="","",Produtos!$C111)</f>
        <v>Lixeiras em inox</v>
      </c>
      <c r="D111" s="33" t="n">
        <f aca="false">IF(Produtos!$A111="","",IF(Produtos!$D111="","",Produtos!$D111))</f>
        <v>258.38</v>
      </c>
      <c r="E111" s="62" t="n">
        <f aca="false">'ML Clássico'!$K111</f>
        <v>539.65004625</v>
      </c>
      <c r="F111" s="60" t="n">
        <f aca="false">'ML Clássico'!$Q111</f>
        <v>0.142699023603577</v>
      </c>
      <c r="G111" s="62" t="n">
        <f aca="false">'ML Premium'!$K111</f>
        <v>577.8632475</v>
      </c>
      <c r="H111" s="60" t="n">
        <f aca="false">'ML Premium'!$Q111</f>
        <v>0.135553763868674</v>
      </c>
      <c r="I111" s="62" t="n">
        <f aca="false">Amazon!$K111</f>
        <v>478.481481481481</v>
      </c>
      <c r="J111" s="60" t="n">
        <f aca="false">Amazon!$Q111</f>
        <v>0.2</v>
      </c>
      <c r="K111" s="62" t="n">
        <f aca="false">'Via (Casas Bahia)'!$K111</f>
        <v>561.695652173913</v>
      </c>
      <c r="L111" s="60" t="n">
        <f aca="false">'Via (Casas Bahia)'!$Q111</f>
        <v>0.2</v>
      </c>
      <c r="M111" s="62" t="n">
        <f aca="false">MadeiraMadeira!$K111</f>
        <v>538.291666666667</v>
      </c>
      <c r="N111" s="60" t="n">
        <f aca="false">MadeiraMadeira!$Q111</f>
        <v>0.2</v>
      </c>
      <c r="O111" s="62" t="n">
        <f aca="false">Magalu!$K111</f>
        <v>527.30612244898</v>
      </c>
      <c r="P111" s="60" t="n">
        <f aca="false">Magalu!$Q111</f>
        <v>0.2</v>
      </c>
      <c r="Q111" s="46" t="n">
        <f aca="false">IF(COUNT($F111,$H111,$J111,$L111,$N111,$P111)=0,"",MIN($F111,$H111,$J111,$L111,$N111,$P111))</f>
        <v>0.135553763868674</v>
      </c>
      <c r="R111" s="46" t="n">
        <f aca="false">IF(COUNT($F111,$H111,$J111,$L111,$N111,$P111)=0,"",MAX($F111,$H111,$J111,$L111,$N111,$P111))</f>
        <v>0.2</v>
      </c>
      <c r="S111" s="61" t="n">
        <f aca="false">IF($A111="","",COUNT($E111,$G111,$I111,$K111,$M111,$O111))</f>
        <v>6</v>
      </c>
    </row>
    <row r="112" customFormat="false" ht="15" hidden="false" customHeight="false" outlineLevel="0" collapsed="false">
      <c r="A112" s="32" t="str">
        <f aca="false">IF(Produtos!$A112="","",Produtos!$A112)</f>
        <v>L3070-BC</v>
      </c>
      <c r="B112" s="32" t="str">
        <f aca="false">IF(Produtos!$A112="","",Produtos!$B112)</f>
        <v>Lixeira de Aço inox 30x70 50L c/Aro basculante colorido</v>
      </c>
      <c r="C112" s="32" t="str">
        <f aca="false">IF(Produtos!$A112="","",Produtos!$C112)</f>
        <v>Lixeiras em inox</v>
      </c>
      <c r="D112" s="33" t="n">
        <f aca="false">IF(Produtos!$A112="","",IF(Produtos!$D112="","",Produtos!$D112))</f>
        <v>300.03</v>
      </c>
      <c r="E112" s="59" t="n">
        <f aca="false">'ML Clássico'!$K112</f>
        <v>615.4629075</v>
      </c>
      <c r="F112" s="60" t="n">
        <f aca="false">'ML Clássico'!$Q112</f>
        <v>0.147234186692234</v>
      </c>
      <c r="G112" s="59" t="n">
        <f aca="false">'ML Premium'!$K112</f>
        <v>658.2024225</v>
      </c>
      <c r="H112" s="60" t="n">
        <f aca="false">'ML Premium'!$Q112</f>
        <v>0.156373997848663</v>
      </c>
      <c r="I112" s="59" t="n">
        <f aca="false">Amazon!$K112</f>
        <v>555.611111111111</v>
      </c>
      <c r="J112" s="60" t="n">
        <f aca="false">Amazon!$Q112</f>
        <v>0.2</v>
      </c>
      <c r="K112" s="59" t="n">
        <f aca="false">'Via (Casas Bahia)'!$K112</f>
        <v>652.239130434783</v>
      </c>
      <c r="L112" s="60" t="n">
        <f aca="false">'Via (Casas Bahia)'!$Q112</f>
        <v>0.2</v>
      </c>
      <c r="M112" s="59" t="n">
        <f aca="false">MadeiraMadeira!$K112</f>
        <v>625.0625</v>
      </c>
      <c r="N112" s="60" t="n">
        <f aca="false">MadeiraMadeira!$Q112</f>
        <v>0.2</v>
      </c>
      <c r="O112" s="59" t="n">
        <f aca="false">Magalu!$K112</f>
        <v>612.30612244898</v>
      </c>
      <c r="P112" s="60" t="n">
        <f aca="false">Magalu!$Q112</f>
        <v>0.2</v>
      </c>
      <c r="Q112" s="46" t="n">
        <f aca="false">IF(COUNT($F112,$H112,$J112,$L112,$N112,$P112)=0,"",MIN($F112,$H112,$J112,$L112,$N112,$P112))</f>
        <v>0.147234186692234</v>
      </c>
      <c r="R112" s="46" t="n">
        <f aca="false">IF(COUNT($F112,$H112,$J112,$L112,$N112,$P112)=0,"",MAX($F112,$H112,$J112,$L112,$N112,$P112))</f>
        <v>0.2</v>
      </c>
      <c r="S112" s="61" t="n">
        <f aca="false">IF($A112="","",COUNT($E112,$G112,$I112,$K112,$M112,$O112))</f>
        <v>6</v>
      </c>
    </row>
    <row r="113" customFormat="false" ht="15" hidden="false" customHeight="false" outlineLevel="0" collapsed="false">
      <c r="A113" s="48" t="str">
        <f aca="false">IF(Produtos!$A113="","",Produtos!$A113)</f>
        <v>L3085-BC</v>
      </c>
      <c r="B113" s="48" t="str">
        <f aca="false">IF(Produtos!$A113="","",Produtos!$B113)</f>
        <v>Lixeira de Aço inox 30x85 60L c/Aro basculante colorido</v>
      </c>
      <c r="C113" s="48" t="str">
        <f aca="false">IF(Produtos!$A113="","",Produtos!$C113)</f>
        <v>Lixeiras em inox</v>
      </c>
      <c r="D113" s="33" t="n">
        <f aca="false">IF(Produtos!$A113="","",IF(Produtos!$D113="","",Produtos!$D113))</f>
        <v>363.87</v>
      </c>
      <c r="E113" s="62" t="n">
        <f aca="false">'ML Clássico'!$K113</f>
        <v>730.65817125</v>
      </c>
      <c r="F113" s="60" t="n">
        <f aca="false">'ML Clássico'!$Q113</f>
        <v>0.144892715760482</v>
      </c>
      <c r="G113" s="62" t="n">
        <f aca="false">'ML Premium'!$K113</f>
        <v>781.396875</v>
      </c>
      <c r="H113" s="60" t="n">
        <f aca="false">'ML Premium'!$Q113</f>
        <v>0.133535015417102</v>
      </c>
      <c r="I113" s="62" t="n">
        <f aca="false">Amazon!$K113</f>
        <v>673.833333333333</v>
      </c>
      <c r="J113" s="60" t="n">
        <f aca="false">Amazon!$Q113</f>
        <v>0.2</v>
      </c>
      <c r="K113" s="62" t="n">
        <f aca="false">'Via (Casas Bahia)'!$K113</f>
        <v>791.021739130435</v>
      </c>
      <c r="L113" s="60" t="n">
        <f aca="false">'Via (Casas Bahia)'!$Q113</f>
        <v>0.2</v>
      </c>
      <c r="M113" s="62" t="n">
        <f aca="false">MadeiraMadeira!$K113</f>
        <v>758.0625</v>
      </c>
      <c r="N113" s="60" t="n">
        <f aca="false">MadeiraMadeira!$Q113</f>
        <v>0.2</v>
      </c>
      <c r="O113" s="62" t="n">
        <f aca="false">Magalu!$K113</f>
        <v>742.591836734694</v>
      </c>
      <c r="P113" s="60" t="n">
        <f aca="false">Magalu!$Q113</f>
        <v>0.2</v>
      </c>
      <c r="Q113" s="46" t="n">
        <f aca="false">IF(COUNT($F113,$H113,$J113,$L113,$N113,$P113)=0,"",MIN($F113,$H113,$J113,$L113,$N113,$P113))</f>
        <v>0.133535015417102</v>
      </c>
      <c r="R113" s="46" t="n">
        <f aca="false">IF(COUNT($F113,$H113,$J113,$L113,$N113,$P113)=0,"",MAX($F113,$H113,$J113,$L113,$N113,$P113))</f>
        <v>0.2</v>
      </c>
      <c r="S113" s="61" t="n">
        <f aca="false">IF($A113="","",COUNT($E113,$G113,$I113,$K113,$M113,$O113))</f>
        <v>6</v>
      </c>
    </row>
    <row r="114" customFormat="false" ht="15" hidden="false" customHeight="false" outlineLevel="0" collapsed="false">
      <c r="A114" s="32" t="str">
        <f aca="false">IF(Produtos!$A114="","",Produtos!$A114)</f>
        <v>L4050-BC</v>
      </c>
      <c r="B114" s="32" t="str">
        <f aca="false">IF(Produtos!$A114="","",Produtos!$B114)</f>
        <v>Lixeira de Aço inox 40x50 62L c/Aro basculante colorido</v>
      </c>
      <c r="C114" s="32" t="str">
        <f aca="false">IF(Produtos!$A114="","",Produtos!$C114)</f>
        <v>Lixeiras em inox</v>
      </c>
      <c r="D114" s="33" t="n">
        <f aca="false">IF(Produtos!$A114="","",IF(Produtos!$D114="","",Produtos!$D114))</f>
        <v>372.71</v>
      </c>
      <c r="E114" s="59" t="n">
        <f aca="false">'ML Clássico'!$K114</f>
        <v>783.952911</v>
      </c>
      <c r="F114" s="60" t="n">
        <f aca="false">'ML Clássico'!$Q114</f>
        <v>0.173358222596102</v>
      </c>
      <c r="G114" s="59" t="n">
        <f aca="false">'ML Premium'!$K114</f>
        <v>838.3954359375</v>
      </c>
      <c r="H114" s="60" t="n">
        <f aca="false">'ML Premium'!$Q114</f>
        <v>0.135774654676628</v>
      </c>
      <c r="I114" s="59" t="n">
        <f aca="false">Amazon!$K114</f>
        <v>690.203703703704</v>
      </c>
      <c r="J114" s="60" t="n">
        <f aca="false">Amazon!$Q114</f>
        <v>0.2</v>
      </c>
      <c r="K114" s="59" t="n">
        <f aca="false">'Via (Casas Bahia)'!$K114</f>
        <v>810.239130434783</v>
      </c>
      <c r="L114" s="60" t="n">
        <f aca="false">'Via (Casas Bahia)'!$Q114</f>
        <v>0.2</v>
      </c>
      <c r="M114" s="59" t="n">
        <f aca="false">MadeiraMadeira!$K114</f>
        <v>776.479166666667</v>
      </c>
      <c r="N114" s="60" t="n">
        <f aca="false">MadeiraMadeira!$Q114</f>
        <v>0.2</v>
      </c>
      <c r="O114" s="59" t="n">
        <f aca="false">Magalu!$K114</f>
        <v>760.632653061224</v>
      </c>
      <c r="P114" s="60" t="n">
        <f aca="false">Magalu!$Q114</f>
        <v>0.2</v>
      </c>
      <c r="Q114" s="46" t="n">
        <f aca="false">IF(COUNT($F114,$H114,$J114,$L114,$N114,$P114)=0,"",MIN($F114,$H114,$J114,$L114,$N114,$P114))</f>
        <v>0.135774654676628</v>
      </c>
      <c r="R114" s="46" t="n">
        <f aca="false">IF(COUNT($F114,$H114,$J114,$L114,$N114,$P114)=0,"",MAX($F114,$H114,$J114,$L114,$N114,$P114))</f>
        <v>0.2</v>
      </c>
      <c r="S114" s="61" t="n">
        <f aca="false">IF($A114="","",COUNT($E114,$G114,$I114,$K114,$M114,$O114))</f>
        <v>6</v>
      </c>
    </row>
    <row r="115" customFormat="false" ht="15" hidden="false" customHeight="false" outlineLevel="0" collapsed="false">
      <c r="A115" s="48" t="str">
        <f aca="false">IF(Produtos!$A115="","",Produtos!$A115)</f>
        <v>L4060-BC</v>
      </c>
      <c r="B115" s="48" t="str">
        <f aca="false">IF(Produtos!$A115="","",Produtos!$B115)</f>
        <v>Lixeira de Aço inox 40x60 75L c/Aro basculante colorido</v>
      </c>
      <c r="C115" s="48" t="str">
        <f aca="false">IF(Produtos!$A115="","",Produtos!$C115)</f>
        <v>Lixeiras em inox</v>
      </c>
      <c r="D115" s="33" t="n">
        <f aca="false">IF(Produtos!$A115="","",IF(Produtos!$D115="","",Produtos!$D115))</f>
        <v>389.53</v>
      </c>
      <c r="E115" s="62" t="n">
        <f aca="false">'ML Clássico'!$K115</f>
        <v>776.9284425</v>
      </c>
      <c r="F115" s="60" t="n">
        <f aca="false">'ML Clássico'!$Q115</f>
        <v>0.0996836300660985</v>
      </c>
      <c r="G115" s="62" t="n">
        <f aca="false">'ML Premium'!$K115</f>
        <v>830.88534375</v>
      </c>
      <c r="H115" s="60" t="n">
        <f aca="false">'ML Premium'!$Q115</f>
        <v>0.0912651640300402</v>
      </c>
      <c r="I115" s="62" t="n">
        <f aca="false">Amazon!$K115</f>
        <v>721.351851851852</v>
      </c>
      <c r="J115" s="60" t="n">
        <f aca="false">Amazon!$Q115</f>
        <v>0.2</v>
      </c>
      <c r="K115" s="62" t="n">
        <f aca="false">'Via (Casas Bahia)'!$K115</f>
        <v>846.804347826087</v>
      </c>
      <c r="L115" s="60" t="n">
        <f aca="false">'Via (Casas Bahia)'!$Q115</f>
        <v>0.2</v>
      </c>
      <c r="M115" s="62" t="n">
        <f aca="false">MadeiraMadeira!$K115</f>
        <v>811.520833333333</v>
      </c>
      <c r="N115" s="60" t="n">
        <f aca="false">MadeiraMadeira!$Q115</f>
        <v>0.2</v>
      </c>
      <c r="O115" s="62" t="n">
        <f aca="false">Magalu!$K115</f>
        <v>794.959183673469</v>
      </c>
      <c r="P115" s="60" t="n">
        <f aca="false">Magalu!$Q115</f>
        <v>0.2</v>
      </c>
      <c r="Q115" s="46" t="n">
        <f aca="false">IF(COUNT($F115,$H115,$J115,$L115,$N115,$P115)=0,"",MIN($F115,$H115,$J115,$L115,$N115,$P115))</f>
        <v>0.0912651640300402</v>
      </c>
      <c r="R115" s="46" t="n">
        <f aca="false">IF(COUNT($F115,$H115,$J115,$L115,$N115,$P115)=0,"",MAX($F115,$H115,$J115,$L115,$N115,$P115))</f>
        <v>0.2</v>
      </c>
      <c r="S115" s="61" t="n">
        <f aca="false">IF($A115="","",COUNT($E115,$G115,$I115,$K115,$M115,$O115))</f>
        <v>6</v>
      </c>
    </row>
    <row r="116" customFormat="false" ht="15" hidden="false" customHeight="false" outlineLevel="0" collapsed="false">
      <c r="A116" s="32" t="str">
        <f aca="false">IF(Produtos!$A116="","",Produtos!$A116)</f>
        <v>L4070-BC</v>
      </c>
      <c r="B116" s="32" t="str">
        <f aca="false">IF(Produtos!$A116="","",Produtos!$B116)</f>
        <v>Lixeira de Aço inox 40x70 88L c/Aro basculante colorido</v>
      </c>
      <c r="C116" s="32" t="str">
        <f aca="false">IF(Produtos!$A116="","",Produtos!$C116)</f>
        <v>Lixeiras em inox</v>
      </c>
      <c r="D116" s="33" t="n">
        <f aca="false">IF(Produtos!$A116="","",IF(Produtos!$D116="","",Produtos!$D116))</f>
        <v>391.36</v>
      </c>
      <c r="E116" s="59" t="n">
        <f aca="false">'ML Clássico'!$K116</f>
        <v>780.23925</v>
      </c>
      <c r="F116" s="60" t="n">
        <f aca="false">'ML Clássico'!$Q116</f>
        <v>0.10146508907364</v>
      </c>
      <c r="G116" s="59" t="n">
        <f aca="false">'ML Premium'!$K116</f>
        <v>834.42767625</v>
      </c>
      <c r="H116" s="60" t="n">
        <f aca="false">'ML Premium'!$Q116</f>
        <v>0.0929320764634693</v>
      </c>
      <c r="I116" s="59" t="n">
        <f aca="false">Amazon!$K116</f>
        <v>724.740740740741</v>
      </c>
      <c r="J116" s="60" t="n">
        <f aca="false">Amazon!$Q116</f>
        <v>0.2</v>
      </c>
      <c r="K116" s="59" t="n">
        <f aca="false">'Via (Casas Bahia)'!$K116</f>
        <v>850.782608695652</v>
      </c>
      <c r="L116" s="60" t="n">
        <f aca="false">'Via (Casas Bahia)'!$Q116</f>
        <v>0.2</v>
      </c>
      <c r="M116" s="59" t="n">
        <f aca="false">MadeiraMadeira!$K116</f>
        <v>815.333333333333</v>
      </c>
      <c r="N116" s="60" t="n">
        <f aca="false">MadeiraMadeira!$Q116</f>
        <v>0.2</v>
      </c>
      <c r="O116" s="59" t="n">
        <f aca="false">Magalu!$K116</f>
        <v>798.69387755102</v>
      </c>
      <c r="P116" s="60" t="n">
        <f aca="false">Magalu!$Q116</f>
        <v>0.2</v>
      </c>
      <c r="Q116" s="46" t="n">
        <f aca="false">IF(COUNT($F116,$H116,$J116,$L116,$N116,$P116)=0,"",MIN($F116,$H116,$J116,$L116,$N116,$P116))</f>
        <v>0.0929320764634693</v>
      </c>
      <c r="R116" s="46" t="n">
        <f aca="false">IF(COUNT($F116,$H116,$J116,$L116,$N116,$P116)=0,"",MAX($F116,$H116,$J116,$L116,$N116,$P116))</f>
        <v>0.2</v>
      </c>
      <c r="S116" s="61" t="n">
        <f aca="false">IF($A116="","",COUNT($E116,$G116,$I116,$K116,$M116,$O116))</f>
        <v>6</v>
      </c>
    </row>
    <row r="117" customFormat="false" ht="15" hidden="false" customHeight="false" outlineLevel="0" collapsed="false">
      <c r="A117" s="48" t="str">
        <f aca="false">IF(Produtos!$A117="","",Produtos!$A117)</f>
        <v>L4075-BC</v>
      </c>
      <c r="B117" s="48" t="str">
        <f aca="false">IF(Produtos!$A117="","",Produtos!$B117)</f>
        <v>Lixeira de Aço inox 40x75 95L c/Aro basculante colorido</v>
      </c>
      <c r="C117" s="48" t="str">
        <f aca="false">IF(Produtos!$A117="","",Produtos!$C117)</f>
        <v>Lixeiras em inox</v>
      </c>
      <c r="D117" s="33" t="n">
        <f aca="false">IF(Produtos!$A117="","",IF(Produtos!$D117="","",Produtos!$D117))</f>
        <v>452.95</v>
      </c>
      <c r="E117" s="62" t="n">
        <f aca="false">'ML Clássico'!$K117</f>
        <v>848.891925</v>
      </c>
      <c r="F117" s="60" t="n">
        <f aca="false">'ML Clássico'!$Q117</f>
        <v>0.0759578723758034</v>
      </c>
      <c r="G117" s="62" t="n">
        <f aca="false">'ML Premium'!$K117</f>
        <v>907.8426</v>
      </c>
      <c r="H117" s="60" t="n">
        <f aca="false">'ML Premium'!$Q117</f>
        <v>0.0690773863222547</v>
      </c>
      <c r="I117" s="62" t="n">
        <f aca="false">Amazon!$K117</f>
        <v>838.796296296296</v>
      </c>
      <c r="J117" s="60" t="n">
        <f aca="false">Amazon!$Q117</f>
        <v>0.2</v>
      </c>
      <c r="K117" s="62" t="n">
        <f aca="false">'Via (Casas Bahia)'!$K117</f>
        <v>984.673913043478</v>
      </c>
      <c r="L117" s="60" t="n">
        <f aca="false">'Via (Casas Bahia)'!$Q117</f>
        <v>0.2</v>
      </c>
      <c r="M117" s="62" t="n">
        <f aca="false">MadeiraMadeira!$K117</f>
        <v>943.645833333333</v>
      </c>
      <c r="N117" s="60" t="n">
        <f aca="false">MadeiraMadeira!$Q117</f>
        <v>0.2</v>
      </c>
      <c r="O117" s="62" t="n">
        <f aca="false">Magalu!$K117</f>
        <v>924.387755102041</v>
      </c>
      <c r="P117" s="60" t="n">
        <f aca="false">Magalu!$Q117</f>
        <v>0.2</v>
      </c>
      <c r="Q117" s="46" t="n">
        <f aca="false">IF(COUNT($F117,$H117,$J117,$L117,$N117,$P117)=0,"",MIN($F117,$H117,$J117,$L117,$N117,$P117))</f>
        <v>0.0690773863222547</v>
      </c>
      <c r="R117" s="46" t="n">
        <f aca="false">IF(COUNT($F117,$H117,$J117,$L117,$N117,$P117)=0,"",MAX($F117,$H117,$J117,$L117,$N117,$P117))</f>
        <v>0.2</v>
      </c>
      <c r="S117" s="61" t="n">
        <f aca="false">IF($A117="","",COUNT($E117,$G117,$I117,$K117,$M117,$O117))</f>
        <v>6</v>
      </c>
    </row>
    <row r="118" customFormat="false" ht="15" hidden="false" customHeight="false" outlineLevel="0" collapsed="false">
      <c r="A118" s="32" t="str">
        <f aca="false">IF(Produtos!$A118="","",Produtos!$A118)</f>
        <v>L4080-BC</v>
      </c>
      <c r="B118" s="32" t="str">
        <f aca="false">IF(Produtos!$A118="","",Produtos!$B118)</f>
        <v>Lixeira de Aço inox 40x80 100L c/Aro basculante colorido</v>
      </c>
      <c r="C118" s="32" t="str">
        <f aca="false">IF(Produtos!$A118="","",Produtos!$C118)</f>
        <v>Lixeiras em inox</v>
      </c>
      <c r="D118" s="33" t="n">
        <f aca="false">IF(Produtos!$A118="","",IF(Produtos!$D118="","",Produtos!$D118))</f>
        <v>486.92</v>
      </c>
      <c r="E118" s="59" t="n">
        <f aca="false">'ML Clássico'!$K118</f>
        <v>991.114425</v>
      </c>
      <c r="F118" s="60" t="n">
        <f aca="false">'ML Clássico'!$Q118</f>
        <v>0.140906711654409</v>
      </c>
      <c r="G118" s="59" t="n">
        <f aca="false">'ML Premium'!$K118</f>
        <v>1085.995575</v>
      </c>
      <c r="H118" s="60" t="n">
        <f aca="false">'ML Premium'!$Q118</f>
        <v>0.142235337146747</v>
      </c>
      <c r="I118" s="59" t="n">
        <f aca="false">Amazon!$K118</f>
        <v>901.703703703704</v>
      </c>
      <c r="J118" s="60" t="n">
        <f aca="false">Amazon!$Q118</f>
        <v>0.2</v>
      </c>
      <c r="K118" s="59" t="n">
        <f aca="false">'Via (Casas Bahia)'!$K118</f>
        <v>1058.52173913043</v>
      </c>
      <c r="L118" s="60" t="n">
        <f aca="false">'Via (Casas Bahia)'!$Q118</f>
        <v>0.2</v>
      </c>
      <c r="M118" s="59" t="n">
        <f aca="false">MadeiraMadeira!$K118</f>
        <v>1014.41666666667</v>
      </c>
      <c r="N118" s="60" t="n">
        <f aca="false">MadeiraMadeira!$Q118</f>
        <v>0.2</v>
      </c>
      <c r="O118" s="59" t="n">
        <f aca="false">Magalu!$K118</f>
        <v>993.714285714286</v>
      </c>
      <c r="P118" s="60" t="n">
        <f aca="false">Magalu!$Q118</f>
        <v>0.2</v>
      </c>
      <c r="Q118" s="46" t="n">
        <f aca="false">IF(COUNT($F118,$H118,$J118,$L118,$N118,$P118)=0,"",MIN($F118,$H118,$J118,$L118,$N118,$P118))</f>
        <v>0.140906711654409</v>
      </c>
      <c r="R118" s="46" t="n">
        <f aca="false">IF(COUNT($F118,$H118,$J118,$L118,$N118,$P118)=0,"",MAX($F118,$H118,$J118,$L118,$N118,$P118))</f>
        <v>0.2</v>
      </c>
      <c r="S118" s="61" t="n">
        <f aca="false">IF($A118="","",COUNT($E118,$G118,$I118,$K118,$M118,$O118))</f>
        <v>6</v>
      </c>
    </row>
    <row r="119" customFormat="false" ht="15" hidden="false" customHeight="false" outlineLevel="0" collapsed="false">
      <c r="A119" s="48" t="str">
        <f aca="false">IF(Produtos!$A119="","",Produtos!$A119)</f>
        <v>L4090-BC</v>
      </c>
      <c r="B119" s="48" t="str">
        <f aca="false">IF(Produtos!$A119="","",Produtos!$B119)</f>
        <v>Lixeira de Aço inox 40x90 120L c/Aro basculante colorido</v>
      </c>
      <c r="C119" s="48" t="str">
        <f aca="false">IF(Produtos!$A119="","",Produtos!$C119)</f>
        <v>Lixeiras em inox</v>
      </c>
      <c r="D119" s="33" t="n">
        <f aca="false">IF(Produtos!$A119="","",IF(Produtos!$D119="","",Produtos!$D119))</f>
        <v>727.39</v>
      </c>
      <c r="E119" s="62" t="n">
        <f aca="false">'ML Clássico'!$K119</f>
        <v>1386.426825</v>
      </c>
      <c r="F119" s="60" t="n">
        <f aca="false">'ML Clássico'!$Q119</f>
        <v>0.137559261737452</v>
      </c>
      <c r="G119" s="62" t="n">
        <f aca="false">'ML Premium'!$K119</f>
        <v>1482.70815</v>
      </c>
      <c r="H119" s="60" t="n">
        <f aca="false">'ML Premium'!$Q119</f>
        <v>0.126679430135998</v>
      </c>
      <c r="I119" s="62" t="n">
        <f aca="false">Amazon!$K119</f>
        <v>1347.01851851852</v>
      </c>
      <c r="J119" s="60" t="n">
        <f aca="false">Amazon!$Q119</f>
        <v>0.2</v>
      </c>
      <c r="K119" s="62" t="n">
        <f aca="false">'Via (Casas Bahia)'!$K119</f>
        <v>1581.28260869565</v>
      </c>
      <c r="L119" s="60" t="n">
        <f aca="false">'Via (Casas Bahia)'!$Q119</f>
        <v>0.2</v>
      </c>
      <c r="M119" s="62" t="n">
        <f aca="false">MadeiraMadeira!$K119</f>
        <v>1515.39583333333</v>
      </c>
      <c r="N119" s="60" t="n">
        <f aca="false">MadeiraMadeira!$Q119</f>
        <v>0.2</v>
      </c>
      <c r="O119" s="62" t="n">
        <f aca="false">Magalu!$K119</f>
        <v>1484.4693877551</v>
      </c>
      <c r="P119" s="60" t="n">
        <f aca="false">Magalu!$Q119</f>
        <v>0.2</v>
      </c>
      <c r="Q119" s="46" t="n">
        <f aca="false">IF(COUNT($F119,$H119,$J119,$L119,$N119,$P119)=0,"",MIN($F119,$H119,$J119,$L119,$N119,$P119))</f>
        <v>0.126679430135998</v>
      </c>
      <c r="R119" s="46" t="n">
        <f aca="false">IF(COUNT($F119,$H119,$J119,$L119,$N119,$P119)=0,"",MAX($F119,$H119,$J119,$L119,$N119,$P119))</f>
        <v>0.2</v>
      </c>
      <c r="S119" s="61" t="n">
        <f aca="false">IF($A119="","",COUNT($E119,$G119,$I119,$K119,$M119,$O119))</f>
        <v>6</v>
      </c>
    </row>
    <row r="120" customFormat="false" ht="15" hidden="false" customHeight="false" outlineLevel="0" collapsed="false">
      <c r="A120" s="32" t="str">
        <f aca="false">IF(Produtos!$A120="","",Produtos!$A120)</f>
        <v>P2425-C</v>
      </c>
      <c r="B120" s="32" t="str">
        <f aca="false">IF(Produtos!$A120="","",Produtos!$B120)</f>
        <v>Lixeira Pedal de Aço inox 24x25 12L Tampa colorido</v>
      </c>
      <c r="C120" s="32" t="str">
        <f aca="false">IF(Produtos!$A120="","",Produtos!$C120)</f>
        <v>Lixeiras com pedal</v>
      </c>
      <c r="D120" s="33" t="n">
        <f aca="false">IF(Produtos!$A120="","",IF(Produtos!$D120="","",Produtos!$D120))</f>
        <v>131.86</v>
      </c>
      <c r="E120" s="59" t="n">
        <f aca="false">'ML Clássico'!$K120</f>
        <v>294.095</v>
      </c>
      <c r="F120" s="60" t="n">
        <f aca="false">'ML Clássico'!$Q120</f>
        <v>0.202183818153998</v>
      </c>
      <c r="G120" s="59" t="n">
        <f aca="false">'ML Premium'!$K120</f>
        <v>310.9</v>
      </c>
      <c r="H120" s="60" t="n">
        <f aca="false">'ML Premium'!$Q120</f>
        <v>0.201794789321325</v>
      </c>
      <c r="I120" s="59" t="n">
        <f aca="false">Amazon!$K120</f>
        <v>244.185185185185</v>
      </c>
      <c r="J120" s="60" t="n">
        <f aca="false">Amazon!$Q120</f>
        <v>0.2</v>
      </c>
      <c r="K120" s="59" t="n">
        <f aca="false">'Via (Casas Bahia)'!$K120</f>
        <v>286.652173913044</v>
      </c>
      <c r="L120" s="60" t="n">
        <f aca="false">'Via (Casas Bahia)'!$Q120</f>
        <v>0.2</v>
      </c>
      <c r="M120" s="59" t="n">
        <f aca="false">MadeiraMadeira!$K120</f>
        <v>274.708333333333</v>
      </c>
      <c r="N120" s="60" t="n">
        <f aca="false">MadeiraMadeira!$Q120</f>
        <v>0.2</v>
      </c>
      <c r="O120" s="59" t="n">
        <f aca="false">Magalu!$K120</f>
        <v>269.102040816327</v>
      </c>
      <c r="P120" s="60" t="n">
        <f aca="false">Magalu!$Q120</f>
        <v>0.2</v>
      </c>
      <c r="Q120" s="46" t="n">
        <f aca="false">IF(COUNT($F120,$H120,$J120,$L120,$N120,$P120)=0,"",MIN($F120,$H120,$J120,$L120,$N120,$P120))</f>
        <v>0.2</v>
      </c>
      <c r="R120" s="46" t="n">
        <f aca="false">IF(COUNT($F120,$H120,$J120,$L120,$N120,$P120)=0,"",MAX($F120,$H120,$J120,$L120,$N120,$P120))</f>
        <v>0.202183818153998</v>
      </c>
      <c r="S120" s="61" t="n">
        <f aca="false">IF($A120="","",COUNT($E120,$G120,$I120,$K120,$M120,$O120))</f>
        <v>6</v>
      </c>
    </row>
    <row r="121" customFormat="false" ht="15" hidden="false" customHeight="false" outlineLevel="0" collapsed="false">
      <c r="A121" s="48" t="str">
        <f aca="false">IF(Produtos!$A121="","",Produtos!$A121)</f>
        <v>P2430-C</v>
      </c>
      <c r="B121" s="48" t="str">
        <f aca="false">IF(Produtos!$A121="","",Produtos!$B121)</f>
        <v>Lixeira Pedal de Aço inox 24x30 15L Tampa colorido</v>
      </c>
      <c r="C121" s="48" t="str">
        <f aca="false">IF(Produtos!$A121="","",Produtos!$C121)</f>
        <v>Lixeiras com pedal</v>
      </c>
      <c r="D121" s="33" t="n">
        <f aca="false">IF(Produtos!$A121="","",IF(Produtos!$D121="","",Produtos!$D121))</f>
        <v>140.4</v>
      </c>
      <c r="E121" s="62" t="n">
        <f aca="false">'ML Clássico'!$K121</f>
        <v>310.945</v>
      </c>
      <c r="F121" s="60" t="n">
        <f aca="false">'ML Clássico'!$Q121</f>
        <v>0.204405119876505</v>
      </c>
      <c r="G121" s="62" t="n">
        <f aca="false">'ML Premium'!$K121</f>
        <v>328.56</v>
      </c>
      <c r="H121" s="60" t="n">
        <f aca="false">'ML Premium'!$Q121</f>
        <v>0.203655953250548</v>
      </c>
      <c r="I121" s="62" t="n">
        <f aca="false">Amazon!$K121</f>
        <v>260</v>
      </c>
      <c r="J121" s="60" t="n">
        <f aca="false">Amazon!$Q121</f>
        <v>0.2</v>
      </c>
      <c r="K121" s="62" t="n">
        <f aca="false">'Via (Casas Bahia)'!$K121</f>
        <v>305.217391304348</v>
      </c>
      <c r="L121" s="60" t="n">
        <f aca="false">'Via (Casas Bahia)'!$Q121</f>
        <v>0.2</v>
      </c>
      <c r="M121" s="62" t="n">
        <f aca="false">MadeiraMadeira!$K121</f>
        <v>292.5</v>
      </c>
      <c r="N121" s="60" t="n">
        <f aca="false">MadeiraMadeira!$Q121</f>
        <v>0.2</v>
      </c>
      <c r="O121" s="62" t="n">
        <f aca="false">Magalu!$K121</f>
        <v>286.530612244898</v>
      </c>
      <c r="P121" s="60" t="n">
        <f aca="false">Magalu!$Q121</f>
        <v>0.2</v>
      </c>
      <c r="Q121" s="46" t="n">
        <f aca="false">IF(COUNT($F121,$H121,$J121,$L121,$N121,$P121)=0,"",MIN($F121,$H121,$J121,$L121,$N121,$P121))</f>
        <v>0.2</v>
      </c>
      <c r="R121" s="46" t="n">
        <f aca="false">IF(COUNT($F121,$H121,$J121,$L121,$N121,$P121)=0,"",MAX($F121,$H121,$J121,$L121,$N121,$P121))</f>
        <v>0.204405119876505</v>
      </c>
      <c r="S121" s="61" t="n">
        <f aca="false">IF($A121="","",COUNT($E121,$G121,$I121,$K121,$M121,$O121))</f>
        <v>6</v>
      </c>
    </row>
    <row r="122" customFormat="false" ht="15" hidden="false" customHeight="false" outlineLevel="0" collapsed="false">
      <c r="A122" s="32" t="str">
        <f aca="false">IF(Produtos!$A122="","",Produtos!$A122)</f>
        <v>P2440-C</v>
      </c>
      <c r="B122" s="32" t="str">
        <f aca="false">IF(Produtos!$A122="","",Produtos!$B122)</f>
        <v>Lixeira Pedal de Aço inox 24x40 20L Tampa colorido</v>
      </c>
      <c r="C122" s="32" t="str">
        <f aca="false">IF(Produtos!$A122="","",Produtos!$C122)</f>
        <v>Lixeiras com pedal</v>
      </c>
      <c r="D122" s="33" t="n">
        <f aca="false">IF(Produtos!$A122="","",IF(Produtos!$D122="","",Produtos!$D122))</f>
        <v>148.86</v>
      </c>
      <c r="E122" s="59" t="n">
        <f aca="false">'ML Clássico'!$K122</f>
        <v>317.3050125</v>
      </c>
      <c r="F122" s="60" t="n">
        <f aca="false">'ML Clássico'!$Q122</f>
        <v>0.152121011246237</v>
      </c>
      <c r="G122" s="59" t="n">
        <f aca="false">'ML Premium'!$K122</f>
        <v>336.3363675</v>
      </c>
      <c r="H122" s="60" t="n">
        <f aca="false">'ML Premium'!$Q122</f>
        <v>0.155951570119755</v>
      </c>
      <c r="I122" s="59" t="n">
        <f aca="false">Amazon!$K122</f>
        <v>275.666666666667</v>
      </c>
      <c r="J122" s="60" t="n">
        <f aca="false">Amazon!$Q122</f>
        <v>0.2</v>
      </c>
      <c r="K122" s="59" t="n">
        <f aca="false">'Via (Casas Bahia)'!$K122</f>
        <v>323.608695652174</v>
      </c>
      <c r="L122" s="60" t="n">
        <f aca="false">'Via (Casas Bahia)'!$Q122</f>
        <v>0.2</v>
      </c>
      <c r="M122" s="59" t="n">
        <f aca="false">MadeiraMadeira!$K122</f>
        <v>310.125</v>
      </c>
      <c r="N122" s="60" t="n">
        <f aca="false">MadeiraMadeira!$Q122</f>
        <v>0.2</v>
      </c>
      <c r="O122" s="59" t="n">
        <f aca="false">Magalu!$K122</f>
        <v>303.795918367347</v>
      </c>
      <c r="P122" s="60" t="n">
        <f aca="false">Magalu!$Q122</f>
        <v>0.2</v>
      </c>
      <c r="Q122" s="46" t="n">
        <f aca="false">IF(COUNT($F122,$H122,$J122,$L122,$N122,$P122)=0,"",MIN($F122,$H122,$J122,$L122,$N122,$P122))</f>
        <v>0.152121011246237</v>
      </c>
      <c r="R122" s="46" t="n">
        <f aca="false">IF(COUNT($F122,$H122,$J122,$L122,$N122,$P122)=0,"",MAX($F122,$H122,$J122,$L122,$N122,$P122))</f>
        <v>0.2</v>
      </c>
      <c r="S122" s="61" t="n">
        <f aca="false">IF($A122="","",COUNT($E122,$G122,$I122,$K122,$M122,$O122))</f>
        <v>6</v>
      </c>
    </row>
    <row r="123" customFormat="false" ht="15" hidden="false" customHeight="false" outlineLevel="0" collapsed="false">
      <c r="A123" s="48" t="str">
        <f aca="false">IF(Produtos!$A123="","",Produtos!$A123)</f>
        <v>P3040-C</v>
      </c>
      <c r="B123" s="48" t="str">
        <f aca="false">IF(Produtos!$A123="","",Produtos!$B123)</f>
        <v>Lixeira Pedal de Aço inox 30x40 30L Tampa colorido</v>
      </c>
      <c r="C123" s="48" t="str">
        <f aca="false">IF(Produtos!$A123="","",Produtos!$C123)</f>
        <v>Lixeiras com pedal</v>
      </c>
      <c r="D123" s="33" t="n">
        <f aca="false">IF(Produtos!$A123="","",IF(Produtos!$D123="","",Produtos!$D123))</f>
        <v>213.43</v>
      </c>
      <c r="E123" s="62" t="n">
        <f aca="false">'ML Clássico'!$K123</f>
        <v>453.54589875</v>
      </c>
      <c r="F123" s="60" t="n">
        <f aca="false">'ML Clássico'!$Q123</f>
        <v>0.179649786905939</v>
      </c>
      <c r="G123" s="62" t="n">
        <f aca="false">'ML Premium'!$K123</f>
        <v>453.96264375</v>
      </c>
      <c r="H123" s="60" t="n">
        <f aca="false">'ML Premium'!$Q123</f>
        <v>0.150173377564396</v>
      </c>
      <c r="I123" s="62" t="n">
        <f aca="false">Amazon!$K123</f>
        <v>395.240740740741</v>
      </c>
      <c r="J123" s="60" t="n">
        <f aca="false">Amazon!$Q123</f>
        <v>0.2</v>
      </c>
      <c r="K123" s="62" t="n">
        <f aca="false">'Via (Casas Bahia)'!$K123</f>
        <v>463.978260869565</v>
      </c>
      <c r="L123" s="60" t="n">
        <f aca="false">'Via (Casas Bahia)'!$Q123</f>
        <v>0.2</v>
      </c>
      <c r="M123" s="62" t="n">
        <f aca="false">MadeiraMadeira!$K123</f>
        <v>444.645833333333</v>
      </c>
      <c r="N123" s="60" t="n">
        <f aca="false">MadeiraMadeira!$Q123</f>
        <v>0.2</v>
      </c>
      <c r="O123" s="62" t="n">
        <f aca="false">Magalu!$K123</f>
        <v>435.571428571429</v>
      </c>
      <c r="P123" s="60" t="n">
        <f aca="false">Magalu!$Q123</f>
        <v>0.2</v>
      </c>
      <c r="Q123" s="46" t="n">
        <f aca="false">IF(COUNT($F123,$H123,$J123,$L123,$N123,$P123)=0,"",MIN($F123,$H123,$J123,$L123,$N123,$P123))</f>
        <v>0.150173377564396</v>
      </c>
      <c r="R123" s="46" t="n">
        <f aca="false">IF(COUNT($F123,$H123,$J123,$L123,$N123,$P123)=0,"",MAX($F123,$H123,$J123,$L123,$N123,$P123))</f>
        <v>0.2</v>
      </c>
      <c r="S123" s="61" t="n">
        <f aca="false">IF($A123="","",COUNT($E123,$G123,$I123,$K123,$M123,$O123))</f>
        <v>6</v>
      </c>
    </row>
    <row r="124" customFormat="false" ht="15" hidden="false" customHeight="false" outlineLevel="0" collapsed="false">
      <c r="A124" s="32" t="str">
        <f aca="false">IF(Produtos!$A124="","",Produtos!$A124)</f>
        <v>P3050-C</v>
      </c>
      <c r="B124" s="32" t="str">
        <f aca="false">IF(Produtos!$A124="","",Produtos!$B124)</f>
        <v>Lixeira Pedal de Aço inox 30x50 40L Tampa colorido</v>
      </c>
      <c r="C124" s="32" t="str">
        <f aca="false">IF(Produtos!$A124="","",Produtos!$C124)</f>
        <v>Lixeiras com pedal</v>
      </c>
      <c r="D124" s="33" t="n">
        <f aca="false">IF(Produtos!$A124="","",IF(Produtos!$D124="","",Produtos!$D124))</f>
        <v>252.66</v>
      </c>
      <c r="E124" s="59" t="n">
        <f aca="false">'ML Clássico'!$K124</f>
        <v>579.45713875</v>
      </c>
      <c r="F124" s="60" t="n">
        <f aca="false">'ML Clássico'!$Q124</f>
        <v>0.200330354567575</v>
      </c>
      <c r="G124" s="59" t="n">
        <f aca="false">'ML Premium'!$K124</f>
        <v>597.288195</v>
      </c>
      <c r="H124" s="60" t="n">
        <f aca="false">'ML Premium'!$Q124</f>
        <v>0.186739837374486</v>
      </c>
      <c r="I124" s="59" t="n">
        <f aca="false">Amazon!$K124</f>
        <v>467.888888888889</v>
      </c>
      <c r="J124" s="60" t="n">
        <f aca="false">Amazon!$Q124</f>
        <v>0.2</v>
      </c>
      <c r="K124" s="59" t="n">
        <f aca="false">'Via (Casas Bahia)'!$K124</f>
        <v>549.260869565217</v>
      </c>
      <c r="L124" s="60" t="n">
        <f aca="false">'Via (Casas Bahia)'!$Q124</f>
        <v>0.2</v>
      </c>
      <c r="M124" s="59" t="n">
        <f aca="false">MadeiraMadeira!$K124</f>
        <v>526.375</v>
      </c>
      <c r="N124" s="60" t="n">
        <f aca="false">MadeiraMadeira!$Q124</f>
        <v>0.2</v>
      </c>
      <c r="O124" s="59" t="n">
        <f aca="false">Magalu!$K124</f>
        <v>515.632653061225</v>
      </c>
      <c r="P124" s="60" t="n">
        <f aca="false">Magalu!$Q124</f>
        <v>0.2</v>
      </c>
      <c r="Q124" s="46" t="n">
        <f aca="false">IF(COUNT($F124,$H124,$J124,$L124,$N124,$P124)=0,"",MIN($F124,$H124,$J124,$L124,$N124,$P124))</f>
        <v>0.186739837374486</v>
      </c>
      <c r="R124" s="46" t="n">
        <f aca="false">IF(COUNT($F124,$H124,$J124,$L124,$N124,$P124)=0,"",MAX($F124,$H124,$J124,$L124,$N124,$P124))</f>
        <v>0.200330354567575</v>
      </c>
      <c r="S124" s="61" t="n">
        <f aca="false">IF($A124="","",COUNT($E124,$G124,$I124,$K124,$M124,$O124))</f>
        <v>6</v>
      </c>
    </row>
    <row r="125" customFormat="false" ht="15" hidden="false" customHeight="false" outlineLevel="0" collapsed="false">
      <c r="A125" s="48" t="str">
        <f aca="false">IF(Produtos!$A125="","",Produtos!$A125)</f>
        <v>P3060-C</v>
      </c>
      <c r="B125" s="48" t="str">
        <f aca="false">IF(Produtos!$A125="","",Produtos!$B125)</f>
        <v>Lixeira Pedal de Aço inox 30x60 50L Tampa colorido</v>
      </c>
      <c r="C125" s="48" t="str">
        <f aca="false">IF(Produtos!$A125="","",Produtos!$C125)</f>
        <v>Lixeiras com pedal</v>
      </c>
      <c r="D125" s="33" t="n">
        <f aca="false">IF(Produtos!$A125="","",IF(Produtos!$D125="","",Produtos!$D125))</f>
        <v>254.39</v>
      </c>
      <c r="E125" s="62" t="n">
        <f aca="false">'ML Clássico'!$K125</f>
        <v>582.4635</v>
      </c>
      <c r="F125" s="60" t="n">
        <f aca="false">'ML Clássico'!$Q125</f>
        <v>0.200197308500876</v>
      </c>
      <c r="G125" s="62" t="n">
        <f aca="false">'ML Premium'!$K125</f>
        <v>620.677572875</v>
      </c>
      <c r="H125" s="60" t="n">
        <f aca="false">'ML Premium'!$Q125</f>
        <v>0.204047734290387</v>
      </c>
      <c r="I125" s="62" t="n">
        <f aca="false">Amazon!$K125</f>
        <v>471.092592592593</v>
      </c>
      <c r="J125" s="60" t="n">
        <f aca="false">Amazon!$Q125</f>
        <v>0.2</v>
      </c>
      <c r="K125" s="62" t="n">
        <f aca="false">'Via (Casas Bahia)'!$K125</f>
        <v>553.021739130435</v>
      </c>
      <c r="L125" s="60" t="n">
        <f aca="false">'Via (Casas Bahia)'!$Q125</f>
        <v>0.2</v>
      </c>
      <c r="M125" s="62" t="n">
        <f aca="false">MadeiraMadeira!$K125</f>
        <v>529.979166666667</v>
      </c>
      <c r="N125" s="60" t="n">
        <f aca="false">MadeiraMadeira!$Q125</f>
        <v>0.2</v>
      </c>
      <c r="O125" s="62" t="n">
        <f aca="false">Magalu!$K125</f>
        <v>519.163265306122</v>
      </c>
      <c r="P125" s="60" t="n">
        <f aca="false">Magalu!$Q125</f>
        <v>0.2</v>
      </c>
      <c r="Q125" s="46" t="n">
        <f aca="false">IF(COUNT($F125,$H125,$J125,$L125,$N125,$P125)=0,"",MIN($F125,$H125,$J125,$L125,$N125,$P125))</f>
        <v>0.2</v>
      </c>
      <c r="R125" s="46" t="n">
        <f aca="false">IF(COUNT($F125,$H125,$J125,$L125,$N125,$P125)=0,"",MAX($F125,$H125,$J125,$L125,$N125,$P125))</f>
        <v>0.204047734290387</v>
      </c>
      <c r="S125" s="61" t="n">
        <f aca="false">IF($A125="","",COUNT($E125,$G125,$I125,$K125,$M125,$O125))</f>
        <v>6</v>
      </c>
    </row>
    <row r="126" customFormat="false" ht="15" hidden="false" customHeight="false" outlineLevel="0" collapsed="false">
      <c r="A126" s="32" t="str">
        <f aca="false">IF(Produtos!$A126="","",Produtos!$A126)</f>
        <v>P3070-C</v>
      </c>
      <c r="B126" s="32" t="str">
        <f aca="false">IF(Produtos!$A126="","",Produtos!$B126)</f>
        <v>Lixeira Pedal de Aço inox 30x70 60L Tampa colorido</v>
      </c>
      <c r="C126" s="32" t="str">
        <f aca="false">IF(Produtos!$A126="","",Produtos!$C126)</f>
        <v>Lixeiras com pedal</v>
      </c>
      <c r="D126" s="33" t="n">
        <f aca="false">IF(Produtos!$A126="","",IF(Produtos!$D126="","",Produtos!$D126))</f>
        <v>316.25</v>
      </c>
      <c r="E126" s="59" t="n">
        <f aca="false">'ML Clássico'!$K126</f>
        <v>714.5355</v>
      </c>
      <c r="F126" s="60" t="n">
        <f aca="false">'ML Clássico'!$Q126</f>
        <v>0.208109499108162</v>
      </c>
      <c r="G126" s="59" t="n">
        <f aca="false">'ML Premium'!$K126</f>
        <v>750.25907775</v>
      </c>
      <c r="H126" s="60" t="n">
        <f aca="false">'ML Premium'!$Q126</f>
        <v>0.173911609358731</v>
      </c>
      <c r="I126" s="59" t="n">
        <f aca="false">Amazon!$K126</f>
        <v>585.648148148148</v>
      </c>
      <c r="J126" s="60" t="n">
        <f aca="false">Amazon!$Q126</f>
        <v>0.2</v>
      </c>
      <c r="K126" s="59" t="n">
        <f aca="false">'Via (Casas Bahia)'!$K126</f>
        <v>687.5</v>
      </c>
      <c r="L126" s="60" t="n">
        <f aca="false">'Via (Casas Bahia)'!$Q126</f>
        <v>0.2</v>
      </c>
      <c r="M126" s="59" t="n">
        <f aca="false">MadeiraMadeira!$K126</f>
        <v>658.854166666667</v>
      </c>
      <c r="N126" s="60" t="n">
        <f aca="false">MadeiraMadeira!$Q126</f>
        <v>0.2</v>
      </c>
      <c r="O126" s="59" t="n">
        <f aca="false">Magalu!$K126</f>
        <v>645.408163265306</v>
      </c>
      <c r="P126" s="60" t="n">
        <f aca="false">Magalu!$Q126</f>
        <v>0.2</v>
      </c>
      <c r="Q126" s="46" t="n">
        <f aca="false">IF(COUNT($F126,$H126,$J126,$L126,$N126,$P126)=0,"",MIN($F126,$H126,$J126,$L126,$N126,$P126))</f>
        <v>0.173911609358731</v>
      </c>
      <c r="R126" s="46" t="n">
        <f aca="false">IF(COUNT($F126,$H126,$J126,$L126,$N126,$P126)=0,"",MAX($F126,$H126,$J126,$L126,$N126,$P126))</f>
        <v>0.208109499108162</v>
      </c>
      <c r="S126" s="61" t="n">
        <f aca="false">IF($A126="","",COUNT($E126,$G126,$I126,$K126,$M126,$O126))</f>
        <v>6</v>
      </c>
    </row>
    <row r="127" customFormat="false" ht="15" hidden="false" customHeight="false" outlineLevel="0" collapsed="false">
      <c r="A127" s="48" t="str">
        <f aca="false">IF(Produtos!$A127="","",Produtos!$A127)</f>
        <v>P4050-C</v>
      </c>
      <c r="B127" s="48" t="str">
        <f aca="false">IF(Produtos!$A127="","",Produtos!$B127)</f>
        <v>Lixeira Pedal de Aço inox 40x50 65L Tampa colorido</v>
      </c>
      <c r="C127" s="48" t="str">
        <f aca="false">IF(Produtos!$A127="","",Produtos!$C127)</f>
        <v>Lixeiras com pedal</v>
      </c>
      <c r="D127" s="33" t="n">
        <f aca="false">IF(Produtos!$A127="","",IF(Produtos!$D127="","",Produtos!$D127))</f>
        <v>383.73</v>
      </c>
      <c r="E127" s="62" t="n">
        <f aca="false">'ML Clássico'!$K127</f>
        <v>835.2837399375</v>
      </c>
      <c r="F127" s="60" t="n">
        <f aca="false">'ML Clássico'!$Q127</f>
        <v>0.170516868393017</v>
      </c>
      <c r="G127" s="62" t="n">
        <f aca="false">'ML Premium'!$K127</f>
        <v>893.29985325</v>
      </c>
      <c r="H127" s="60" t="n">
        <f aca="false">'ML Premium'!$Q127</f>
        <v>0.157502431272788</v>
      </c>
      <c r="I127" s="62" t="n">
        <f aca="false">Amazon!$K127</f>
        <v>710.611111111111</v>
      </c>
      <c r="J127" s="60" t="n">
        <f aca="false">Amazon!$Q127</f>
        <v>0.2</v>
      </c>
      <c r="K127" s="62" t="n">
        <f aca="false">'Via (Casas Bahia)'!$K127</f>
        <v>834.195652173913</v>
      </c>
      <c r="L127" s="60" t="n">
        <f aca="false">'Via (Casas Bahia)'!$Q127</f>
        <v>0.2</v>
      </c>
      <c r="M127" s="62" t="n">
        <f aca="false">MadeiraMadeira!$K127</f>
        <v>799.4375</v>
      </c>
      <c r="N127" s="60" t="n">
        <f aca="false">MadeiraMadeira!$Q127</f>
        <v>0.2</v>
      </c>
      <c r="O127" s="62" t="n">
        <f aca="false">Magalu!$K127</f>
        <v>783.122448979592</v>
      </c>
      <c r="P127" s="60" t="n">
        <f aca="false">Magalu!$Q127</f>
        <v>0.2</v>
      </c>
      <c r="Q127" s="46" t="n">
        <f aca="false">IF(COUNT($F127,$H127,$J127,$L127,$N127,$P127)=0,"",MIN($F127,$H127,$J127,$L127,$N127,$P127))</f>
        <v>0.157502431272788</v>
      </c>
      <c r="R127" s="46" t="n">
        <f aca="false">IF(COUNT($F127,$H127,$J127,$L127,$N127,$P127)=0,"",MAX($F127,$H127,$J127,$L127,$N127,$P127))</f>
        <v>0.2</v>
      </c>
      <c r="S127" s="61" t="n">
        <f aca="false">IF($A127="","",COUNT($E127,$G127,$I127,$K127,$M127,$O127))</f>
        <v>6</v>
      </c>
    </row>
    <row r="128" customFormat="false" ht="15" hidden="false" customHeight="false" outlineLevel="0" collapsed="false">
      <c r="A128" s="32" t="str">
        <f aca="false">IF(Produtos!$A128="","",Produtos!$A128)</f>
        <v>P4060-C</v>
      </c>
      <c r="B128" s="32" t="str">
        <f aca="false">IF(Produtos!$A128="","",Produtos!$B128)</f>
        <v>Lixeira Pedal de Aço inox 40x60 75L Tampa colorido</v>
      </c>
      <c r="C128" s="32" t="str">
        <f aca="false">IF(Produtos!$A128="","",Produtos!$C128)</f>
        <v>Lixeiras com pedal</v>
      </c>
      <c r="D128" s="33" t="n">
        <f aca="false">IF(Produtos!$A128="","",IF(Produtos!$D128="","",Produtos!$D128))</f>
        <v>423.07</v>
      </c>
      <c r="E128" s="59" t="n">
        <f aca="false">'ML Clássico'!$K128</f>
        <v>909.7942730625</v>
      </c>
      <c r="F128" s="60" t="n">
        <f aca="false">'ML Clássico'!$Q128</f>
        <v>0.17391597941547</v>
      </c>
      <c r="G128" s="59" t="n">
        <f aca="false">'ML Premium'!$K128</f>
        <v>972.9762879375</v>
      </c>
      <c r="H128" s="60" t="n">
        <f aca="false">'ML Premium'!$Q128</f>
        <v>0.160675692321617</v>
      </c>
      <c r="I128" s="59" t="n">
        <f aca="false">Amazon!$K128</f>
        <v>783.462962962963</v>
      </c>
      <c r="J128" s="60" t="n">
        <f aca="false">Amazon!$Q128</f>
        <v>0.2</v>
      </c>
      <c r="K128" s="59" t="n">
        <f aca="false">'Via (Casas Bahia)'!$K128</f>
        <v>919.717391304348</v>
      </c>
      <c r="L128" s="60" t="n">
        <f aca="false">'Via (Casas Bahia)'!$Q128</f>
        <v>0.2</v>
      </c>
      <c r="M128" s="59" t="n">
        <f aca="false">MadeiraMadeira!$K128</f>
        <v>881.395833333333</v>
      </c>
      <c r="N128" s="60" t="n">
        <f aca="false">MadeiraMadeira!$Q128</f>
        <v>0.2</v>
      </c>
      <c r="O128" s="59" t="n">
        <f aca="false">Magalu!$K128</f>
        <v>863.408163265306</v>
      </c>
      <c r="P128" s="60" t="n">
        <f aca="false">Magalu!$Q128</f>
        <v>0.2</v>
      </c>
      <c r="Q128" s="46" t="n">
        <f aca="false">IF(COUNT($F128,$H128,$J128,$L128,$N128,$P128)=0,"",MIN($F128,$H128,$J128,$L128,$N128,$P128))</f>
        <v>0.160675692321617</v>
      </c>
      <c r="R128" s="46" t="n">
        <f aca="false">IF(COUNT($F128,$H128,$J128,$L128,$N128,$P128)=0,"",MAX($F128,$H128,$J128,$L128,$N128,$P128))</f>
        <v>0.2</v>
      </c>
      <c r="S128" s="61" t="n">
        <f aca="false">IF($A128="","",COUNT($E128,$G128,$I128,$K128,$M128,$O128))</f>
        <v>6</v>
      </c>
    </row>
    <row r="129" customFormat="false" ht="15" hidden="false" customHeight="false" outlineLevel="0" collapsed="false">
      <c r="A129" s="48" t="str">
        <f aca="false">IF(Produtos!$A129="","",Produtos!$A129)</f>
        <v>P4070-C</v>
      </c>
      <c r="B129" s="48" t="str">
        <f aca="false">IF(Produtos!$A129="","",Produtos!$B129)</f>
        <v>Lixeira Pedal de Aço inox 40x70 80L Tampa colorido</v>
      </c>
      <c r="C129" s="48" t="str">
        <f aca="false">IF(Produtos!$A129="","",Produtos!$C129)</f>
        <v>Lixeiras com pedal</v>
      </c>
      <c r="D129" s="33" t="n">
        <f aca="false">IF(Produtos!$A129="","",IF(Produtos!$D129="","",Produtos!$D129))</f>
        <v>428.49</v>
      </c>
      <c r="E129" s="62" t="n">
        <f aca="false">'ML Clássico'!$K129</f>
        <v>991.644030875</v>
      </c>
      <c r="F129" s="60" t="n">
        <f aca="false">'ML Clássico'!$Q129</f>
        <v>0.200149021894852</v>
      </c>
      <c r="G129" s="62" t="n">
        <f aca="false">'ML Premium'!$K129</f>
        <v>1030.8586955625</v>
      </c>
      <c r="H129" s="60" t="n">
        <f aca="false">'ML Premium'!$Q129</f>
        <v>0.170685372006407</v>
      </c>
      <c r="I129" s="62" t="n">
        <f aca="false">Amazon!$K129</f>
        <v>793.5</v>
      </c>
      <c r="J129" s="60" t="n">
        <f aca="false">Amazon!$Q129</f>
        <v>0.2</v>
      </c>
      <c r="K129" s="62" t="n">
        <f aca="false">'Via (Casas Bahia)'!$K129</f>
        <v>931.5</v>
      </c>
      <c r="L129" s="60" t="n">
        <f aca="false">'Via (Casas Bahia)'!$Q129</f>
        <v>0.2</v>
      </c>
      <c r="M129" s="62" t="n">
        <f aca="false">MadeiraMadeira!$K129</f>
        <v>892.6875</v>
      </c>
      <c r="N129" s="60" t="n">
        <f aca="false">MadeiraMadeira!$Q129</f>
        <v>0.2</v>
      </c>
      <c r="O129" s="62" t="n">
        <f aca="false">Magalu!$K129</f>
        <v>874.469387755102</v>
      </c>
      <c r="P129" s="60" t="n">
        <f aca="false">Magalu!$Q129</f>
        <v>0.2</v>
      </c>
      <c r="Q129" s="46" t="n">
        <f aca="false">IF(COUNT($F129,$H129,$J129,$L129,$N129,$P129)=0,"",MIN($F129,$H129,$J129,$L129,$N129,$P129))</f>
        <v>0.170685372006407</v>
      </c>
      <c r="R129" s="46" t="n">
        <f aca="false">IF(COUNT($F129,$H129,$J129,$L129,$N129,$P129)=0,"",MAX($F129,$H129,$J129,$L129,$N129,$P129))</f>
        <v>0.200149021894852</v>
      </c>
      <c r="S129" s="61" t="n">
        <f aca="false">IF($A129="","",COUNT($E129,$G129,$I129,$K129,$M129,$O129))</f>
        <v>6</v>
      </c>
    </row>
    <row r="130" customFormat="false" ht="15" hidden="false" customHeight="false" outlineLevel="0" collapsed="false">
      <c r="A130" s="32" t="str">
        <f aca="false">IF(Produtos!$A130="","",Produtos!$A130)</f>
        <v>P4075-C</v>
      </c>
      <c r="B130" s="32" t="str">
        <f aca="false">IF(Produtos!$A130="","",Produtos!$B130)</f>
        <v>Lixeira Pedal de Aço inox 40x75 95L Tampa colorido</v>
      </c>
      <c r="C130" s="32" t="str">
        <f aca="false">IF(Produtos!$A130="","",Produtos!$C130)</f>
        <v>Lixeiras com pedal</v>
      </c>
      <c r="D130" s="33" t="n">
        <f aca="false">IF(Produtos!$A130="","",IF(Produtos!$D130="","",Produtos!$D130))</f>
        <v>490.08</v>
      </c>
      <c r="E130" s="59" t="n">
        <f aca="false">'ML Clássico'!$K130</f>
        <v>1036.705280625</v>
      </c>
      <c r="F130" s="60" t="n">
        <f aca="false">'ML Clássico'!$Q130</f>
        <v>0.164204727075251</v>
      </c>
      <c r="G130" s="59" t="n">
        <f aca="false">'ML Premium'!$K130</f>
        <v>1184.5272789</v>
      </c>
      <c r="H130" s="60" t="n">
        <f aca="false">'ML Premium'!$Q130</f>
        <v>0.186060571475962</v>
      </c>
      <c r="I130" s="59" t="n">
        <f aca="false">Amazon!$K130</f>
        <v>907.555555555555</v>
      </c>
      <c r="J130" s="60" t="n">
        <f aca="false">Amazon!$Q130</f>
        <v>0.2</v>
      </c>
      <c r="K130" s="59" t="n">
        <f aca="false">'Via (Casas Bahia)'!$K130</f>
        <v>1065.39130434783</v>
      </c>
      <c r="L130" s="60" t="n">
        <f aca="false">'Via (Casas Bahia)'!$Q130</f>
        <v>0.2</v>
      </c>
      <c r="M130" s="59" t="n">
        <f aca="false">MadeiraMadeira!$K130</f>
        <v>1021</v>
      </c>
      <c r="N130" s="60" t="n">
        <f aca="false">MadeiraMadeira!$Q130</f>
        <v>0.2</v>
      </c>
      <c r="O130" s="59" t="n">
        <f aca="false">Magalu!$K130</f>
        <v>1000.16326530612</v>
      </c>
      <c r="P130" s="60" t="n">
        <f aca="false">Magalu!$Q130</f>
        <v>0.2</v>
      </c>
      <c r="Q130" s="46" t="n">
        <f aca="false">IF(COUNT($F130,$H130,$J130,$L130,$N130,$P130)=0,"",MIN($F130,$H130,$J130,$L130,$N130,$P130))</f>
        <v>0.164204727075251</v>
      </c>
      <c r="R130" s="46" t="n">
        <f aca="false">IF(COUNT($F130,$H130,$J130,$L130,$N130,$P130)=0,"",MAX($F130,$H130,$J130,$L130,$N130,$P130))</f>
        <v>0.2</v>
      </c>
      <c r="S130" s="61" t="n">
        <f aca="false">IF($A130="","",COUNT($E130,$G130,$I130,$K130,$M130,$O130))</f>
        <v>6</v>
      </c>
    </row>
    <row r="131" customFormat="false" ht="15" hidden="false" customHeight="false" outlineLevel="0" collapsed="false">
      <c r="A131" s="48" t="str">
        <f aca="false">IF(Produtos!$A131="","",Produtos!$A131)</f>
        <v>P4080-C</v>
      </c>
      <c r="B131" s="48" t="str">
        <f aca="false">IF(Produtos!$A131="","",Produtos!$B131)</f>
        <v>Lixeira Pedal de Aço inox 40x80 100L Tampa colorido</v>
      </c>
      <c r="C131" s="48" t="str">
        <f aca="false">IF(Produtos!$A131="","",Produtos!$C131)</f>
        <v>Lixeiras com pedal</v>
      </c>
      <c r="D131" s="33" t="n">
        <f aca="false">IF(Produtos!$A131="","",IF(Produtos!$D131="","",Produtos!$D131))</f>
        <v>548.77</v>
      </c>
      <c r="E131" s="62" t="n">
        <f aca="false">'ML Clássico'!$K131</f>
        <v>1182.3350844375</v>
      </c>
      <c r="F131" s="60" t="n">
        <f aca="false">'ML Clássico'!$Q131</f>
        <v>0.185487147738736</v>
      </c>
      <c r="G131" s="62" t="n">
        <f aca="false">'ML Premium'!$K131</f>
        <v>1276.48484145</v>
      </c>
      <c r="H131" s="60" t="n">
        <f aca="false">'ML Premium'!$Q131</f>
        <v>0.176386380228957</v>
      </c>
      <c r="I131" s="62" t="n">
        <f aca="false">Amazon!$K131</f>
        <v>1016.24074074074</v>
      </c>
      <c r="J131" s="60" t="n">
        <f aca="false">Amazon!$Q131</f>
        <v>0.2</v>
      </c>
      <c r="K131" s="62" t="n">
        <f aca="false">'Via (Casas Bahia)'!$K131</f>
        <v>1192.97826086957</v>
      </c>
      <c r="L131" s="60" t="n">
        <f aca="false">'Via (Casas Bahia)'!$Q131</f>
        <v>0.2</v>
      </c>
      <c r="M131" s="62" t="n">
        <f aca="false">MadeiraMadeira!$K131</f>
        <v>1143.27083333333</v>
      </c>
      <c r="N131" s="60" t="n">
        <f aca="false">MadeiraMadeira!$Q131</f>
        <v>0.2</v>
      </c>
      <c r="O131" s="62" t="n">
        <f aca="false">Magalu!$K131</f>
        <v>1119.9387755102</v>
      </c>
      <c r="P131" s="60" t="n">
        <f aca="false">Magalu!$Q131</f>
        <v>0.2</v>
      </c>
      <c r="Q131" s="46" t="n">
        <f aca="false">IF(COUNT($F131,$H131,$J131,$L131,$N131,$P131)=0,"",MIN($F131,$H131,$J131,$L131,$N131,$P131))</f>
        <v>0.176386380228957</v>
      </c>
      <c r="R131" s="46" t="n">
        <f aca="false">IF(COUNT($F131,$H131,$J131,$L131,$N131,$P131)=0,"",MAX($F131,$H131,$J131,$L131,$N131,$P131))</f>
        <v>0.2</v>
      </c>
      <c r="S131" s="61" t="n">
        <f aca="false">IF($A131="","",COUNT($E131,$G131,$I131,$K131,$M131,$O131))</f>
        <v>6</v>
      </c>
    </row>
    <row r="132" customFormat="false" ht="15" hidden="false" customHeight="false" outlineLevel="0" collapsed="false">
      <c r="A132" s="32" t="str">
        <f aca="false">IF(Produtos!$A132="","",Produtos!$A132)</f>
        <v>P4090-C</v>
      </c>
      <c r="B132" s="32" t="str">
        <f aca="false">IF(Produtos!$A132="","",Produtos!$B132)</f>
        <v>Lixeira Pedal de Aço inox 40x90 120L Tampa colorido</v>
      </c>
      <c r="C132" s="32" t="str">
        <f aca="false">IF(Produtos!$A132="","",Produtos!$C132)</f>
        <v>Lixeiras com pedal</v>
      </c>
      <c r="D132" s="33" t="n">
        <f aca="false">IF(Produtos!$A132="","",IF(Produtos!$D132="","",Produtos!$D132))</f>
        <v>793.7</v>
      </c>
      <c r="E132" s="59" t="n">
        <f aca="false">'ML Clássico'!$K132</f>
        <v>1671.2603184375</v>
      </c>
      <c r="F132" s="60" t="n">
        <f aca="false">'ML Clássico'!$Q132</f>
        <v>0.20055680850313</v>
      </c>
      <c r="G132" s="59" t="n">
        <f aca="false">'ML Premium'!$K132</f>
        <v>1857.92561325</v>
      </c>
      <c r="H132" s="60" t="n">
        <f aca="false">'ML Premium'!$Q132</f>
        <v>0.204754523232525</v>
      </c>
      <c r="I132" s="59" t="n">
        <f aca="false">Amazon!$K132</f>
        <v>1469.81481481481</v>
      </c>
      <c r="J132" s="60" t="n">
        <f aca="false">Amazon!$Q132</f>
        <v>0.2</v>
      </c>
      <c r="K132" s="59" t="n">
        <f aca="false">'Via (Casas Bahia)'!$K132</f>
        <v>1725.4347826087</v>
      </c>
      <c r="L132" s="60" t="n">
        <f aca="false">'Via (Casas Bahia)'!$Q132</f>
        <v>0.2</v>
      </c>
      <c r="M132" s="59" t="n">
        <f aca="false">MadeiraMadeira!$K132</f>
        <v>1653.54166666667</v>
      </c>
      <c r="N132" s="60" t="n">
        <f aca="false">MadeiraMadeira!$Q132</f>
        <v>0.2</v>
      </c>
      <c r="O132" s="59" t="n">
        <f aca="false">Magalu!$K132</f>
        <v>1619.79591836735</v>
      </c>
      <c r="P132" s="60" t="n">
        <f aca="false">Magalu!$Q132</f>
        <v>0.2</v>
      </c>
      <c r="Q132" s="46" t="n">
        <f aca="false">IF(COUNT($F132,$H132,$J132,$L132,$N132,$P132)=0,"",MIN($F132,$H132,$J132,$L132,$N132,$P132))</f>
        <v>0.2</v>
      </c>
      <c r="R132" s="46" t="n">
        <f aca="false">IF(COUNT($F132,$H132,$J132,$L132,$N132,$P132)=0,"",MAX($F132,$H132,$J132,$L132,$N132,$P132))</f>
        <v>0.204754523232525</v>
      </c>
      <c r="S132" s="61" t="n">
        <f aca="false">IF($A132="","",COUNT($E132,$G132,$I132,$K132,$M132,$O132))</f>
        <v>6</v>
      </c>
    </row>
    <row r="133" customFormat="false" ht="15" hidden="false" customHeight="false" outlineLevel="0" collapsed="false">
      <c r="A133" s="48" t="str">
        <f aca="false">IF(Produtos!$A133="","",Produtos!$A133)</f>
        <v>L2425-AC</v>
      </c>
      <c r="B133" s="48" t="str">
        <f aca="false">IF(Produtos!$A133="","",Produtos!$B133)</f>
        <v>Lixeira c/Aro Colorido 24x25 13L</v>
      </c>
      <c r="C133" s="48" t="str">
        <f aca="false">IF(Produtos!$A133="","",Produtos!$C133)</f>
        <v>Lixeiras em inox</v>
      </c>
      <c r="D133" s="33" t="n">
        <f aca="false">IF(Produtos!$A133="","",IF(Produtos!$D133="","",Produtos!$D133))</f>
        <v>95.49</v>
      </c>
      <c r="E133" s="62" t="n">
        <f aca="false">'ML Clássico'!$K133</f>
        <v>229.9</v>
      </c>
      <c r="F133" s="60" t="n">
        <f aca="false">'ML Clássico'!$Q133</f>
        <v>0.207416267942584</v>
      </c>
      <c r="G133" s="62" t="n">
        <f aca="false">'ML Premium'!$K133</f>
        <v>240.191453</v>
      </c>
      <c r="H133" s="60" t="n">
        <f aca="false">'ML Premium'!$Q133</f>
        <v>0.200664284919414</v>
      </c>
      <c r="I133" s="62" t="n">
        <f aca="false">Amazon!$K133</f>
        <v>176.833333333333</v>
      </c>
      <c r="J133" s="60" t="n">
        <f aca="false">Amazon!$Q133</f>
        <v>0.2</v>
      </c>
      <c r="K133" s="62" t="n">
        <f aca="false">'Via (Casas Bahia)'!$K133</f>
        <v>207.586956521739</v>
      </c>
      <c r="L133" s="60" t="n">
        <f aca="false">'Via (Casas Bahia)'!$Q133</f>
        <v>0.2</v>
      </c>
      <c r="M133" s="62" t="n">
        <f aca="false">MadeiraMadeira!$K133</f>
        <v>198.9375</v>
      </c>
      <c r="N133" s="60" t="n">
        <f aca="false">MadeiraMadeira!$Q133</f>
        <v>0.2</v>
      </c>
      <c r="O133" s="62" t="n">
        <f aca="false">Magalu!$K133</f>
        <v>194.877551020408</v>
      </c>
      <c r="P133" s="60" t="n">
        <f aca="false">Magalu!$Q133</f>
        <v>0.2</v>
      </c>
      <c r="Q133" s="46" t="n">
        <f aca="false">IF(COUNT($F133,$H133,$J133,$L133,$N133,$P133)=0,"",MIN($F133,$H133,$J133,$L133,$N133,$P133))</f>
        <v>0.2</v>
      </c>
      <c r="R133" s="46" t="n">
        <f aca="false">IF(COUNT($F133,$H133,$J133,$L133,$N133,$P133)=0,"",MAX($F133,$H133,$J133,$L133,$N133,$P133))</f>
        <v>0.207416267942584</v>
      </c>
      <c r="S133" s="61" t="n">
        <f aca="false">IF($A133="","",COUNT($E133,$G133,$I133,$K133,$M133,$O133))</f>
        <v>6</v>
      </c>
    </row>
    <row r="134" customFormat="false" ht="15" hidden="false" customHeight="false" outlineLevel="0" collapsed="false">
      <c r="A134" s="32" t="str">
        <f aca="false">IF(Produtos!$A134="","",Produtos!$A134)</f>
        <v>L2430-AC</v>
      </c>
      <c r="B134" s="32" t="str">
        <f aca="false">IF(Produtos!$A134="","",Produtos!$B134)</f>
        <v>Lixeira c/Aro Colorido 24x30 15L</v>
      </c>
      <c r="C134" s="32" t="str">
        <f aca="false">IF(Produtos!$A134="","",Produtos!$C134)</f>
        <v>Lixeiras em inox</v>
      </c>
      <c r="D134" s="33" t="n">
        <f aca="false">IF(Produtos!$A134="","",IF(Produtos!$D134="","",Produtos!$D134))</f>
        <v>104.2</v>
      </c>
      <c r="E134" s="59" t="n">
        <f aca="false">'ML Clássico'!$K134</f>
        <v>243.4111175</v>
      </c>
      <c r="F134" s="60" t="n">
        <f aca="false">'ML Clássico'!$Q134</f>
        <v>0.201750596395828</v>
      </c>
      <c r="G134" s="59" t="n">
        <f aca="false">'ML Premium'!$K134</f>
        <v>260.3346945</v>
      </c>
      <c r="H134" s="60" t="n">
        <f aca="false">'ML Premium'!$Q134</f>
        <v>0.207390644353782</v>
      </c>
      <c r="I134" s="59" t="n">
        <f aca="false">Amazon!$K134</f>
        <v>192.962962962963</v>
      </c>
      <c r="J134" s="60" t="n">
        <f aca="false">Amazon!$Q134</f>
        <v>0.2</v>
      </c>
      <c r="K134" s="59" t="n">
        <f aca="false">'Via (Casas Bahia)'!$K134</f>
        <v>226.521739130435</v>
      </c>
      <c r="L134" s="60" t="n">
        <f aca="false">'Via (Casas Bahia)'!$Q134</f>
        <v>0.2</v>
      </c>
      <c r="M134" s="59" t="n">
        <f aca="false">MadeiraMadeira!$K134</f>
        <v>217.083333333333</v>
      </c>
      <c r="N134" s="60" t="n">
        <f aca="false">MadeiraMadeira!$Q134</f>
        <v>0.2</v>
      </c>
      <c r="O134" s="59" t="n">
        <f aca="false">Magalu!$K134</f>
        <v>212.65306122449</v>
      </c>
      <c r="P134" s="60" t="n">
        <f aca="false">Magalu!$Q134</f>
        <v>0.2</v>
      </c>
      <c r="Q134" s="46" t="n">
        <f aca="false">IF(COUNT($F134,$H134,$J134,$L134,$N134,$P134)=0,"",MIN($F134,$H134,$J134,$L134,$N134,$P134))</f>
        <v>0.2</v>
      </c>
      <c r="R134" s="46" t="n">
        <f aca="false">IF(COUNT($F134,$H134,$J134,$L134,$N134,$P134)=0,"",MAX($F134,$H134,$J134,$L134,$N134,$P134))</f>
        <v>0.207390644353782</v>
      </c>
      <c r="S134" s="61" t="n">
        <f aca="false">IF($A134="","",COUNT($E134,$G134,$I134,$K134,$M134,$O134))</f>
        <v>6</v>
      </c>
    </row>
    <row r="135" customFormat="false" ht="15" hidden="false" customHeight="false" outlineLevel="0" collapsed="false">
      <c r="A135" s="48" t="str">
        <f aca="false">IF(Produtos!$A135="","",Produtos!$A135)</f>
        <v>L2440-AC</v>
      </c>
      <c r="B135" s="48" t="str">
        <f aca="false">IF(Produtos!$A135="","",Produtos!$B135)</f>
        <v>Lixeira c/Aro Colorido 24x40 20L</v>
      </c>
      <c r="C135" s="48" t="str">
        <f aca="false">IF(Produtos!$A135="","",Produtos!$C135)</f>
        <v>Lixeiras em inox</v>
      </c>
      <c r="D135" s="33" t="n">
        <f aca="false">IF(Produtos!$A135="","",IF(Produtos!$D135="","",Produtos!$D135))</f>
        <v>115.16</v>
      </c>
      <c r="E135" s="62" t="n">
        <f aca="false">'ML Clássico'!$K135</f>
        <v>283.9</v>
      </c>
      <c r="F135" s="60" t="n">
        <f aca="false">'ML Clássico'!$Q135</f>
        <v>0.200475519549137</v>
      </c>
      <c r="G135" s="62" t="n">
        <f aca="false">'ML Premium'!$K135</f>
        <v>301.9</v>
      </c>
      <c r="H135" s="60" t="n">
        <f aca="false">'ML Premium'!$Q135</f>
        <v>0.203239483272607</v>
      </c>
      <c r="I135" s="62" t="n">
        <f aca="false">Amazon!$K135</f>
        <v>213.259259259259</v>
      </c>
      <c r="J135" s="60" t="n">
        <f aca="false">Amazon!$Q135</f>
        <v>0.2</v>
      </c>
      <c r="K135" s="62" t="n">
        <f aca="false">'Via (Casas Bahia)'!$K135</f>
        <v>250.347826086957</v>
      </c>
      <c r="L135" s="60" t="n">
        <f aca="false">'Via (Casas Bahia)'!$Q135</f>
        <v>0.2</v>
      </c>
      <c r="M135" s="62" t="n">
        <f aca="false">MadeiraMadeira!$K135</f>
        <v>239.916666666667</v>
      </c>
      <c r="N135" s="60" t="n">
        <f aca="false">MadeiraMadeira!$Q135</f>
        <v>0.2</v>
      </c>
      <c r="O135" s="62" t="n">
        <f aca="false">Magalu!$K135</f>
        <v>235.020408163265</v>
      </c>
      <c r="P135" s="60" t="n">
        <f aca="false">Magalu!$Q135</f>
        <v>0.2</v>
      </c>
      <c r="Q135" s="46" t="n">
        <f aca="false">IF(COUNT($F135,$H135,$J135,$L135,$N135,$P135)=0,"",MIN($F135,$H135,$J135,$L135,$N135,$P135))</f>
        <v>0.2</v>
      </c>
      <c r="R135" s="46" t="n">
        <f aca="false">IF(COUNT($F135,$H135,$J135,$L135,$N135,$P135)=0,"",MAX($F135,$H135,$J135,$L135,$N135,$P135))</f>
        <v>0.203239483272607</v>
      </c>
      <c r="S135" s="61" t="n">
        <f aca="false">IF($A135="","",COUNT($E135,$G135,$I135,$K135,$M135,$O135))</f>
        <v>6</v>
      </c>
    </row>
    <row r="136" customFormat="false" ht="15" hidden="false" customHeight="false" outlineLevel="0" collapsed="false">
      <c r="A136" s="32" t="str">
        <f aca="false">IF(Produtos!$A136="","",Produtos!$A136)</f>
        <v>L2450-AC</v>
      </c>
      <c r="B136" s="32" t="str">
        <f aca="false">IF(Produtos!$A136="","",Produtos!$B136)</f>
        <v>Lixeira c/Aro Colorido 24x50 25L</v>
      </c>
      <c r="C136" s="32" t="str">
        <f aca="false">IF(Produtos!$A136="","",Produtos!$C136)</f>
        <v>Lixeiras em inox</v>
      </c>
      <c r="D136" s="33" t="n">
        <f aca="false">IF(Produtos!$A136="","",IF(Produtos!$D136="","",Produtos!$D136))</f>
        <v>145.95</v>
      </c>
      <c r="E136" s="59" t="n">
        <f aca="false">'ML Clássico'!$K136</f>
        <v>341.5</v>
      </c>
      <c r="F136" s="60" t="n">
        <f aca="false">'ML Clássico'!$Q136</f>
        <v>0.203001464128843</v>
      </c>
      <c r="G136" s="59" t="n">
        <f aca="false">'ML Premium'!$K136</f>
        <v>365.299293</v>
      </c>
      <c r="H136" s="60" t="n">
        <f aca="false">'ML Premium'!$Q136</f>
        <v>0.20863848471779</v>
      </c>
      <c r="I136" s="59" t="n">
        <f aca="false">Amazon!$K136</f>
        <v>270.277777777778</v>
      </c>
      <c r="J136" s="60" t="n">
        <f aca="false">Amazon!$Q136</f>
        <v>0.2</v>
      </c>
      <c r="K136" s="59" t="n">
        <f aca="false">'Via (Casas Bahia)'!$K136</f>
        <v>317.282608695652</v>
      </c>
      <c r="L136" s="60" t="n">
        <f aca="false">'Via (Casas Bahia)'!$Q136</f>
        <v>0.2</v>
      </c>
      <c r="M136" s="59" t="n">
        <f aca="false">MadeiraMadeira!$K136</f>
        <v>304.0625</v>
      </c>
      <c r="N136" s="60" t="n">
        <f aca="false">MadeiraMadeira!$Q136</f>
        <v>0.2</v>
      </c>
      <c r="O136" s="59" t="n">
        <f aca="false">Magalu!$K136</f>
        <v>297.857142857143</v>
      </c>
      <c r="P136" s="60" t="n">
        <f aca="false">Magalu!$Q136</f>
        <v>0.2</v>
      </c>
      <c r="Q136" s="46" t="n">
        <f aca="false">IF(COUNT($F136,$H136,$J136,$L136,$N136,$P136)=0,"",MIN($F136,$H136,$J136,$L136,$N136,$P136))</f>
        <v>0.2</v>
      </c>
      <c r="R136" s="46" t="n">
        <f aca="false">IF(COUNT($F136,$H136,$J136,$L136,$N136,$P136)=0,"",MAX($F136,$H136,$J136,$L136,$N136,$P136))</f>
        <v>0.20863848471779</v>
      </c>
      <c r="S136" s="61" t="n">
        <f aca="false">IF($A136="","",COUNT($E136,$G136,$I136,$K136,$M136,$O136))</f>
        <v>6</v>
      </c>
    </row>
    <row r="137" customFormat="false" ht="15" hidden="false" customHeight="false" outlineLevel="0" collapsed="false">
      <c r="A137" s="48" t="str">
        <f aca="false">IF(Produtos!$A137="","",Produtos!$A137)</f>
        <v>L2460-AC</v>
      </c>
      <c r="B137" s="48" t="str">
        <f aca="false">IF(Produtos!$A137="","",Produtos!$B137)</f>
        <v>Lixeira c/Aro Colorido 24x60 27L</v>
      </c>
      <c r="C137" s="48" t="str">
        <f aca="false">IF(Produtos!$A137="","",Produtos!$C137)</f>
        <v>Lixeiras em inox</v>
      </c>
      <c r="D137" s="33" t="n">
        <f aca="false">IF(Produtos!$A137="","",IF(Produtos!$D137="","",Produtos!$D137))</f>
        <v>147.48</v>
      </c>
      <c r="E137" s="62" t="n">
        <f aca="false">'ML Clássico'!$K137</f>
        <v>360.9</v>
      </c>
      <c r="F137" s="60" t="n">
        <f aca="false">'ML Clássico'!$Q137</f>
        <v>0.204613466334165</v>
      </c>
      <c r="G137" s="62" t="n">
        <f aca="false">'ML Premium'!$K137</f>
        <v>384.7179715</v>
      </c>
      <c r="H137" s="60" t="n">
        <f aca="false">'ML Premium'!$Q137</f>
        <v>0.208378462714992</v>
      </c>
      <c r="I137" s="62" t="n">
        <f aca="false">Amazon!$K137</f>
        <v>273.111111111111</v>
      </c>
      <c r="J137" s="60" t="n">
        <f aca="false">Amazon!$Q137</f>
        <v>0.2</v>
      </c>
      <c r="K137" s="62" t="n">
        <f aca="false">'Via (Casas Bahia)'!$K137</f>
        <v>320.608695652174</v>
      </c>
      <c r="L137" s="60" t="n">
        <f aca="false">'Via (Casas Bahia)'!$Q137</f>
        <v>0.2</v>
      </c>
      <c r="M137" s="62" t="n">
        <f aca="false">MadeiraMadeira!$K137</f>
        <v>307.25</v>
      </c>
      <c r="N137" s="60" t="n">
        <f aca="false">MadeiraMadeira!$Q137</f>
        <v>0.2</v>
      </c>
      <c r="O137" s="62" t="n">
        <f aca="false">Magalu!$K137</f>
        <v>300.979591836735</v>
      </c>
      <c r="P137" s="60" t="n">
        <f aca="false">Magalu!$Q137</f>
        <v>0.2</v>
      </c>
      <c r="Q137" s="46" t="n">
        <f aca="false">IF(COUNT($F137,$H137,$J137,$L137,$N137,$P137)=0,"",MIN($F137,$H137,$J137,$L137,$N137,$P137))</f>
        <v>0.2</v>
      </c>
      <c r="R137" s="46" t="n">
        <f aca="false">IF(COUNT($F137,$H137,$J137,$L137,$N137,$P137)=0,"",MAX($F137,$H137,$J137,$L137,$N137,$P137))</f>
        <v>0.208378462714992</v>
      </c>
      <c r="S137" s="61" t="n">
        <f aca="false">IF($A137="","",COUNT($E137,$G137,$I137,$K137,$M137,$O137))</f>
        <v>6</v>
      </c>
    </row>
    <row r="138" customFormat="false" ht="15" hidden="false" customHeight="false" outlineLevel="0" collapsed="false">
      <c r="A138" s="32" t="str">
        <f aca="false">IF(Produtos!$A138="","",Produtos!$A138)</f>
        <v>L2470-AC</v>
      </c>
      <c r="B138" s="32" t="str">
        <f aca="false">IF(Produtos!$A138="","",Produtos!$B138)</f>
        <v>Lixeira c/Aro Colorido 24x70 30L</v>
      </c>
      <c r="C138" s="32" t="str">
        <f aca="false">IF(Produtos!$A138="","",Produtos!$C138)</f>
        <v>Lixeiras em inox</v>
      </c>
      <c r="D138" s="33" t="n">
        <f aca="false">IF(Produtos!$A138="","",IF(Produtos!$D138="","",Produtos!$D138))</f>
        <v>220.29</v>
      </c>
      <c r="E138" s="59" t="n">
        <f aca="false">'ML Clássico'!$K138</f>
        <v>407.944444444444</v>
      </c>
      <c r="F138" s="60" t="n">
        <f aca="false">'ML Clássico'!$Q138</f>
        <v>0.2</v>
      </c>
      <c r="G138" s="59" t="n">
        <f aca="false">'ML Premium'!$K138</f>
        <v>518.9894225</v>
      </c>
      <c r="H138" s="60" t="n">
        <f aca="false">'ML Premium'!$Q138</f>
        <v>0.200451839073849</v>
      </c>
      <c r="I138" s="59" t="n">
        <f aca="false">Amazon!$K138</f>
        <v>407.944444444444</v>
      </c>
      <c r="J138" s="60" t="n">
        <f aca="false">Amazon!$Q138</f>
        <v>0.2</v>
      </c>
      <c r="K138" s="59" t="n">
        <f aca="false">'Via (Casas Bahia)'!$K138</f>
        <v>478.891304347826</v>
      </c>
      <c r="L138" s="60" t="n">
        <f aca="false">'Via (Casas Bahia)'!$Q138</f>
        <v>0.2</v>
      </c>
      <c r="M138" s="59" t="n">
        <f aca="false">MadeiraMadeira!$K138</f>
        <v>458.9375</v>
      </c>
      <c r="N138" s="60" t="n">
        <f aca="false">MadeiraMadeira!$Q138</f>
        <v>0.2</v>
      </c>
      <c r="O138" s="59" t="n">
        <f aca="false">Magalu!$K138</f>
        <v>449.571428571429</v>
      </c>
      <c r="P138" s="60" t="n">
        <f aca="false">Magalu!$Q138</f>
        <v>0.2</v>
      </c>
      <c r="Q138" s="46" t="n">
        <f aca="false">IF(COUNT($F138,$H138,$J138,$L138,$N138,$P138)=0,"",MIN($F138,$H138,$J138,$L138,$N138,$P138))</f>
        <v>0.2</v>
      </c>
      <c r="R138" s="46" t="n">
        <f aca="false">IF(COUNT($F138,$H138,$J138,$L138,$N138,$P138)=0,"",MAX($F138,$H138,$J138,$L138,$N138,$P138))</f>
        <v>0.200451839073849</v>
      </c>
      <c r="S138" s="61" t="n">
        <f aca="false">IF($A138="","",COUNT($E138,$G138,$I138,$K138,$M138,$O138))</f>
        <v>6</v>
      </c>
    </row>
    <row r="139" customFormat="false" ht="15" hidden="false" customHeight="false" outlineLevel="0" collapsed="false">
      <c r="A139" s="48" t="str">
        <f aca="false">IF(Produtos!$A139="","",Produtos!$A139)</f>
        <v>L3040-AC</v>
      </c>
      <c r="B139" s="48" t="str">
        <f aca="false">IF(Produtos!$A139="","",Produtos!$B139)</f>
        <v>Lixeira c/Aro Colorido 30x40 30L</v>
      </c>
      <c r="C139" s="48" t="str">
        <f aca="false">IF(Produtos!$A139="","",Produtos!$C139)</f>
        <v>Lixeiras em inox</v>
      </c>
      <c r="D139" s="33" t="n">
        <f aca="false">IF(Produtos!$A139="","",IF(Produtos!$D139="","",Produtos!$D139))</f>
        <v>162.44</v>
      </c>
      <c r="E139" s="62" t="n">
        <f aca="false">'ML Clássico'!$K139</f>
        <v>379.695</v>
      </c>
      <c r="F139" s="60" t="n">
        <f aca="false">'ML Clássico'!$Q139</f>
        <v>0.203008335637815</v>
      </c>
      <c r="G139" s="62" t="n">
        <f aca="false">'ML Premium'!$K139</f>
        <v>400.987615</v>
      </c>
      <c r="H139" s="60" t="n">
        <f aca="false">'ML Premium'!$Q139</f>
        <v>0.202053828520365</v>
      </c>
      <c r="I139" s="62" t="n">
        <f aca="false">Amazon!$K139</f>
        <v>300.814814814815</v>
      </c>
      <c r="J139" s="60" t="n">
        <f aca="false">Amazon!$Q139</f>
        <v>0.2</v>
      </c>
      <c r="K139" s="62" t="n">
        <f aca="false">'Via (Casas Bahia)'!$K139</f>
        <v>353.130434782609</v>
      </c>
      <c r="L139" s="60" t="n">
        <f aca="false">'Via (Casas Bahia)'!$Q139</f>
        <v>0.2</v>
      </c>
      <c r="M139" s="62" t="n">
        <f aca="false">MadeiraMadeira!$K139</f>
        <v>338.416666666667</v>
      </c>
      <c r="N139" s="60" t="n">
        <f aca="false">MadeiraMadeira!$Q139</f>
        <v>0.2</v>
      </c>
      <c r="O139" s="62" t="n">
        <f aca="false">Magalu!$K139</f>
        <v>331.510204081633</v>
      </c>
      <c r="P139" s="60" t="n">
        <f aca="false">Magalu!$Q139</f>
        <v>0.2</v>
      </c>
      <c r="Q139" s="46" t="n">
        <f aca="false">IF(COUNT($F139,$H139,$J139,$L139,$N139,$P139)=0,"",MIN($F139,$H139,$J139,$L139,$N139,$P139))</f>
        <v>0.2</v>
      </c>
      <c r="R139" s="46" t="n">
        <f aca="false">IF(COUNT($F139,$H139,$J139,$L139,$N139,$P139)=0,"",MAX($F139,$H139,$J139,$L139,$N139,$P139))</f>
        <v>0.203008335637815</v>
      </c>
      <c r="S139" s="61" t="n">
        <f aca="false">IF($A139="","",COUNT($E139,$G139,$I139,$K139,$M139,$O139))</f>
        <v>6</v>
      </c>
    </row>
    <row r="140" customFormat="false" ht="15" hidden="false" customHeight="false" outlineLevel="0" collapsed="false">
      <c r="A140" s="32" t="str">
        <f aca="false">IF(Produtos!$A140="","",Produtos!$A140)</f>
        <v>L3050-AC</v>
      </c>
      <c r="B140" s="32" t="str">
        <f aca="false">IF(Produtos!$A140="","",Produtos!$B140)</f>
        <v>Lixeira c/Aro Colorido 30x50 35L</v>
      </c>
      <c r="C140" s="32" t="str">
        <f aca="false">IF(Produtos!$A140="","",Produtos!$C140)</f>
        <v>Lixeiras em inox</v>
      </c>
      <c r="D140" s="33" t="n">
        <f aca="false">IF(Produtos!$A140="","",IF(Produtos!$D140="","",Produtos!$D140))</f>
        <v>206.89</v>
      </c>
      <c r="E140" s="59" t="n">
        <f aca="false">'ML Clássico'!$K140</f>
        <v>476.44372125</v>
      </c>
      <c r="F140" s="60" t="n">
        <f aca="false">'ML Clássico'!$Q140</f>
        <v>0.177550437049652</v>
      </c>
      <c r="G140" s="59" t="n">
        <f aca="false">'ML Premium'!$K140</f>
        <v>498.943431</v>
      </c>
      <c r="H140" s="60" t="n">
        <f aca="false">'ML Premium'!$Q140</f>
        <v>0.173364884565441</v>
      </c>
      <c r="I140" s="59" t="n">
        <f aca="false">Amazon!$K140</f>
        <v>383.12962962963</v>
      </c>
      <c r="J140" s="60" t="n">
        <f aca="false">Amazon!$Q140</f>
        <v>0.2</v>
      </c>
      <c r="K140" s="59" t="n">
        <f aca="false">'Via (Casas Bahia)'!$K140</f>
        <v>449.760869565217</v>
      </c>
      <c r="L140" s="60" t="n">
        <f aca="false">'Via (Casas Bahia)'!$Q140</f>
        <v>0.2</v>
      </c>
      <c r="M140" s="59" t="n">
        <f aca="false">MadeiraMadeira!$K140</f>
        <v>431.020833333333</v>
      </c>
      <c r="N140" s="60" t="n">
        <f aca="false">MadeiraMadeira!$Q140</f>
        <v>0.2</v>
      </c>
      <c r="O140" s="59" t="n">
        <f aca="false">Magalu!$K140</f>
        <v>422.224489795918</v>
      </c>
      <c r="P140" s="60" t="n">
        <f aca="false">Magalu!$Q140</f>
        <v>0.2</v>
      </c>
      <c r="Q140" s="46" t="n">
        <f aca="false">IF(COUNT($F140,$H140,$J140,$L140,$N140,$P140)=0,"",MIN($F140,$H140,$J140,$L140,$N140,$P140))</f>
        <v>0.173364884565441</v>
      </c>
      <c r="R140" s="46" t="n">
        <f aca="false">IF(COUNT($F140,$H140,$J140,$L140,$N140,$P140)=0,"",MAX($F140,$H140,$J140,$L140,$N140,$P140))</f>
        <v>0.2</v>
      </c>
      <c r="S140" s="61" t="n">
        <f aca="false">IF($A140="","",COUNT($E140,$G140,$I140,$K140,$M140,$O140))</f>
        <v>6</v>
      </c>
    </row>
    <row r="141" customFormat="false" ht="15" hidden="false" customHeight="false" outlineLevel="0" collapsed="false">
      <c r="A141" s="48" t="str">
        <f aca="false">IF(Produtos!$A141="","",Produtos!$A141)</f>
        <v>L3060-AC</v>
      </c>
      <c r="B141" s="48" t="str">
        <f aca="false">IF(Produtos!$A141="","",Produtos!$B141)</f>
        <v>Lixeira c/Aro Colorido 30x60 40L</v>
      </c>
      <c r="C141" s="48" t="str">
        <f aca="false">IF(Produtos!$A141="","",Produtos!$C141)</f>
        <v>Lixeiras em inox</v>
      </c>
      <c r="D141" s="33" t="n">
        <f aca="false">IF(Produtos!$A141="","",IF(Produtos!$D141="","",Produtos!$D141))</f>
        <v>223.7</v>
      </c>
      <c r="E141" s="62" t="n">
        <f aca="false">'ML Clássico'!$K141</f>
        <v>414.259259259259</v>
      </c>
      <c r="F141" s="60" t="n">
        <f aca="false">'ML Clássico'!$Q141</f>
        <v>0.2</v>
      </c>
      <c r="G141" s="62" t="n">
        <f aca="false">'ML Premium'!$K141</f>
        <v>456.530612244898</v>
      </c>
      <c r="H141" s="60" t="n">
        <f aca="false">'ML Premium'!$Q141</f>
        <v>0.2</v>
      </c>
      <c r="I141" s="62" t="n">
        <f aca="false">Amazon!$K141</f>
        <v>414.259259259259</v>
      </c>
      <c r="J141" s="60" t="n">
        <f aca="false">Amazon!$Q141</f>
        <v>0.2</v>
      </c>
      <c r="K141" s="62" t="n">
        <f aca="false">'Via (Casas Bahia)'!$K141</f>
        <v>486.304347826087</v>
      </c>
      <c r="L141" s="60" t="n">
        <f aca="false">'Via (Casas Bahia)'!$Q141</f>
        <v>0.2</v>
      </c>
      <c r="M141" s="62" t="n">
        <f aca="false">MadeiraMadeira!$K141</f>
        <v>466.041666666667</v>
      </c>
      <c r="N141" s="60" t="n">
        <f aca="false">MadeiraMadeira!$Q141</f>
        <v>0.2</v>
      </c>
      <c r="O141" s="62" t="n">
        <f aca="false">Magalu!$K141</f>
        <v>456.530612244898</v>
      </c>
      <c r="P141" s="60" t="n">
        <f aca="false">Magalu!$Q141</f>
        <v>0.2</v>
      </c>
      <c r="Q141" s="46" t="n">
        <f aca="false">IF(COUNT($F141,$H141,$J141,$L141,$N141,$P141)=0,"",MIN($F141,$H141,$J141,$L141,$N141,$P141))</f>
        <v>0.2</v>
      </c>
      <c r="R141" s="46" t="n">
        <f aca="false">IF(COUNT($F141,$H141,$J141,$L141,$N141,$P141)=0,"",MAX($F141,$H141,$J141,$L141,$N141,$P141))</f>
        <v>0.2</v>
      </c>
      <c r="S141" s="61" t="n">
        <f aca="false">IF($A141="","",COUNT($E141,$G141,$I141,$K141,$M141,$O141))</f>
        <v>6</v>
      </c>
    </row>
    <row r="142" customFormat="false" ht="15" hidden="false" customHeight="false" outlineLevel="0" collapsed="false">
      <c r="A142" s="32" t="str">
        <f aca="false">IF(Produtos!$A142="","",Produtos!$A142)</f>
        <v>L3070-AC</v>
      </c>
      <c r="B142" s="32" t="str">
        <f aca="false">IF(Produtos!$A142="","",Produtos!$B142)</f>
        <v>Lixeira c/Aro Colorido 30x70 50L</v>
      </c>
      <c r="C142" s="32" t="str">
        <f aca="false">IF(Produtos!$A142="","",Produtos!$C142)</f>
        <v>Lixeiras em inox</v>
      </c>
      <c r="D142" s="33" t="n">
        <f aca="false">IF(Produtos!$A142="","",IF(Produtos!$D142="","",Produtos!$D142))</f>
        <v>269.32</v>
      </c>
      <c r="E142" s="59" t="n">
        <f aca="false">'ML Clássico'!$K142</f>
        <v>591.5232225</v>
      </c>
      <c r="F142" s="60" t="n">
        <f aca="false">'ML Clássico'!$Q142</f>
        <v>0.139254747306223</v>
      </c>
      <c r="G142" s="59" t="n">
        <f aca="false">'ML Premium'!$K142</f>
        <v>613.59913125</v>
      </c>
      <c r="H142" s="60" t="n">
        <f aca="false">'ML Premium'!$Q142</f>
        <v>0.131227979961388</v>
      </c>
      <c r="I142" s="59" t="n">
        <f aca="false">Amazon!$K142</f>
        <v>498.740740740741</v>
      </c>
      <c r="J142" s="60" t="n">
        <f aca="false">Amazon!$Q142</f>
        <v>0.2</v>
      </c>
      <c r="K142" s="59" t="n">
        <f aca="false">'Via (Casas Bahia)'!$K142</f>
        <v>585.478260869565</v>
      </c>
      <c r="L142" s="60" t="n">
        <f aca="false">'Via (Casas Bahia)'!$Q142</f>
        <v>0.2</v>
      </c>
      <c r="M142" s="59" t="n">
        <f aca="false">MadeiraMadeira!$K142</f>
        <v>561.083333333333</v>
      </c>
      <c r="N142" s="60" t="n">
        <f aca="false">MadeiraMadeira!$Q142</f>
        <v>0.2</v>
      </c>
      <c r="O142" s="59" t="n">
        <f aca="false">Magalu!$K142</f>
        <v>549.632653061225</v>
      </c>
      <c r="P142" s="60" t="n">
        <f aca="false">Magalu!$Q142</f>
        <v>0.2</v>
      </c>
      <c r="Q142" s="46" t="n">
        <f aca="false">IF(COUNT($F142,$H142,$J142,$L142,$N142,$P142)=0,"",MIN($F142,$H142,$J142,$L142,$N142,$P142))</f>
        <v>0.131227979961388</v>
      </c>
      <c r="R142" s="46" t="n">
        <f aca="false">IF(COUNT($F142,$H142,$J142,$L142,$N142,$P142)=0,"",MAX($F142,$H142,$J142,$L142,$N142,$P142))</f>
        <v>0.2</v>
      </c>
      <c r="S142" s="61" t="n">
        <f aca="false">IF($A142="","",COUNT($E142,$G142,$I142,$K142,$M142,$O142))</f>
        <v>6</v>
      </c>
    </row>
    <row r="143" customFormat="false" ht="15" hidden="false" customHeight="false" outlineLevel="0" collapsed="false">
      <c r="A143" s="48" t="str">
        <f aca="false">IF(Produtos!$A143="","",Produtos!$A143)</f>
        <v>L3085-AC</v>
      </c>
      <c r="B143" s="48" t="str">
        <f aca="false">IF(Produtos!$A143="","",Produtos!$B143)</f>
        <v>Lixeira c/Aro Colorido 30x85 60L</v>
      </c>
      <c r="C143" s="48" t="str">
        <f aca="false">IF(Produtos!$A143="","",Produtos!$C143)</f>
        <v>Lixeiras em inox</v>
      </c>
      <c r="D143" s="33" t="n">
        <f aca="false">IF(Produtos!$A143="","",IF(Produtos!$D143="","",Produtos!$D143))</f>
        <v>341.25</v>
      </c>
      <c r="E143" s="62" t="n">
        <f aca="false">'ML Clássico'!$K143</f>
        <v>718.85039625</v>
      </c>
      <c r="F143" s="60" t="n">
        <f aca="false">'ML Clássico'!$Q143</f>
        <v>0.137371132769964</v>
      </c>
      <c r="G143" s="62" t="n">
        <f aca="false">'ML Premium'!$K143</f>
        <v>769.5891</v>
      </c>
      <c r="H143" s="60" t="n">
        <f aca="false">'ML Premium'!$Q143</f>
        <v>0.127102214675338</v>
      </c>
      <c r="I143" s="62" t="n">
        <f aca="false">Amazon!$K143</f>
        <v>631.944444444445</v>
      </c>
      <c r="J143" s="60" t="n">
        <f aca="false">Amazon!$Q143</f>
        <v>0.2</v>
      </c>
      <c r="K143" s="62" t="n">
        <f aca="false">'Via (Casas Bahia)'!$K143</f>
        <v>741.847826086957</v>
      </c>
      <c r="L143" s="60" t="n">
        <f aca="false">'Via (Casas Bahia)'!$Q143</f>
        <v>0.2</v>
      </c>
      <c r="M143" s="62" t="n">
        <f aca="false">MadeiraMadeira!$K143</f>
        <v>710.9375</v>
      </c>
      <c r="N143" s="60" t="n">
        <f aca="false">MadeiraMadeira!$Q143</f>
        <v>0.2</v>
      </c>
      <c r="O143" s="62" t="n">
        <f aca="false">Magalu!$K143</f>
        <v>696.428571428571</v>
      </c>
      <c r="P143" s="60" t="n">
        <f aca="false">Magalu!$Q143</f>
        <v>0.2</v>
      </c>
      <c r="Q143" s="46" t="n">
        <f aca="false">IF(COUNT($F143,$H143,$J143,$L143,$N143,$P143)=0,"",MIN($F143,$H143,$J143,$L143,$N143,$P143))</f>
        <v>0.127102214675338</v>
      </c>
      <c r="R143" s="46" t="n">
        <f aca="false">IF(COUNT($F143,$H143,$J143,$L143,$N143,$P143)=0,"",MAX($F143,$H143,$J143,$L143,$N143,$P143))</f>
        <v>0.2</v>
      </c>
      <c r="S143" s="61" t="n">
        <f aca="false">IF($A143="","",COUNT($E143,$G143,$I143,$K143,$M143,$O143))</f>
        <v>6</v>
      </c>
    </row>
    <row r="144" customFormat="false" ht="15" hidden="false" customHeight="false" outlineLevel="0" collapsed="false">
      <c r="A144" s="32" t="str">
        <f aca="false">IF(Produtos!$A144="","",Produtos!$A144)</f>
        <v>L4050-AC</v>
      </c>
      <c r="B144" s="32" t="str">
        <f aca="false">IF(Produtos!$A144="","",Produtos!$B144)</f>
        <v>Lixeira c/Aro Colorido 40x50 62L</v>
      </c>
      <c r="C144" s="32" t="str">
        <f aca="false">IF(Produtos!$A144="","",Produtos!$C144)</f>
        <v>Lixeiras em inox</v>
      </c>
      <c r="D144" s="33" t="n">
        <f aca="false">IF(Produtos!$A144="","",IF(Produtos!$D144="","",Produtos!$D144))</f>
        <v>349.81</v>
      </c>
      <c r="E144" s="59" t="n">
        <f aca="false">'ML Clássico'!$K144</f>
        <v>756.31114125</v>
      </c>
      <c r="F144" s="60" t="n">
        <f aca="false">'ML Clássico'!$Q144</f>
        <v>0.177453745165228</v>
      </c>
      <c r="G144" s="59" t="n">
        <f aca="false">'ML Premium'!$K144</f>
        <v>808.84416375</v>
      </c>
      <c r="H144" s="60" t="n">
        <f aca="false">'ML Premium'!$Q144</f>
        <v>0.163990146597012</v>
      </c>
      <c r="I144" s="59" t="n">
        <f aca="false">Amazon!$K144</f>
        <v>647.796296296296</v>
      </c>
      <c r="J144" s="60" t="n">
        <f aca="false">Amazon!$Q144</f>
        <v>0.2</v>
      </c>
      <c r="K144" s="59" t="n">
        <f aca="false">'Via (Casas Bahia)'!$K144</f>
        <v>760.45652173913</v>
      </c>
      <c r="L144" s="60" t="n">
        <f aca="false">'Via (Casas Bahia)'!$Q144</f>
        <v>0.2</v>
      </c>
      <c r="M144" s="59" t="n">
        <f aca="false">MadeiraMadeira!$K144</f>
        <v>728.770833333333</v>
      </c>
      <c r="N144" s="60" t="n">
        <f aca="false">MadeiraMadeira!$Q144</f>
        <v>0.2</v>
      </c>
      <c r="O144" s="59" t="n">
        <f aca="false">Magalu!$K144</f>
        <v>713.897959183673</v>
      </c>
      <c r="P144" s="60" t="n">
        <f aca="false">Magalu!$Q144</f>
        <v>0.2</v>
      </c>
      <c r="Q144" s="46" t="n">
        <f aca="false">IF(COUNT($F144,$H144,$J144,$L144,$N144,$P144)=0,"",MIN($F144,$H144,$J144,$L144,$N144,$P144))</f>
        <v>0.163990146597012</v>
      </c>
      <c r="R144" s="46" t="n">
        <f aca="false">IF(COUNT($F144,$H144,$J144,$L144,$N144,$P144)=0,"",MAX($F144,$H144,$J144,$L144,$N144,$P144))</f>
        <v>0.2</v>
      </c>
      <c r="S144" s="61" t="n">
        <f aca="false">IF($A144="","",COUNT($E144,$G144,$I144,$K144,$M144,$O144))</f>
        <v>6</v>
      </c>
    </row>
    <row r="145" customFormat="false" ht="15" hidden="false" customHeight="false" outlineLevel="0" collapsed="false">
      <c r="A145" s="48" t="str">
        <f aca="false">IF(Produtos!$A145="","",Produtos!$A145)</f>
        <v>L4060-AC</v>
      </c>
      <c r="B145" s="48" t="str">
        <f aca="false">IF(Produtos!$A145="","",Produtos!$B145)</f>
        <v>Lixeira c/Aro Colorido 40x60 75L</v>
      </c>
      <c r="C145" s="48" t="str">
        <f aca="false">IF(Produtos!$A145="","",Produtos!$C145)</f>
        <v>Lixeiras em inox</v>
      </c>
      <c r="D145" s="33" t="n">
        <f aca="false">IF(Produtos!$A145="","",IF(Produtos!$D145="","",Produtos!$D145))</f>
        <v>359.34</v>
      </c>
      <c r="E145" s="62" t="n">
        <f aca="false">'ML Clássico'!$K145</f>
        <v>774.04595625</v>
      </c>
      <c r="F145" s="60" t="n">
        <f aca="false">'ML Clássico'!$Q145</f>
        <v>0.156972601747895</v>
      </c>
      <c r="G145" s="62" t="n">
        <f aca="false">'ML Premium'!$K145</f>
        <v>827.794485</v>
      </c>
      <c r="H145" s="60" t="n">
        <f aca="false">'ML Premium'!$Q145</f>
        <v>0.144828452982506</v>
      </c>
      <c r="I145" s="62" t="n">
        <f aca="false">Amazon!$K145</f>
        <v>665.444444444444</v>
      </c>
      <c r="J145" s="60" t="n">
        <f aca="false">Amazon!$Q145</f>
        <v>0.2</v>
      </c>
      <c r="K145" s="62" t="n">
        <f aca="false">'Via (Casas Bahia)'!$K145</f>
        <v>781.173913043478</v>
      </c>
      <c r="L145" s="60" t="n">
        <f aca="false">'Via (Casas Bahia)'!$Q145</f>
        <v>0.2</v>
      </c>
      <c r="M145" s="62" t="n">
        <f aca="false">MadeiraMadeira!$K145</f>
        <v>748.625</v>
      </c>
      <c r="N145" s="60" t="n">
        <f aca="false">MadeiraMadeira!$Q145</f>
        <v>0.2</v>
      </c>
      <c r="O145" s="62" t="n">
        <f aca="false">Magalu!$K145</f>
        <v>733.34693877551</v>
      </c>
      <c r="P145" s="60" t="n">
        <f aca="false">Magalu!$Q145</f>
        <v>0.2</v>
      </c>
      <c r="Q145" s="46" t="n">
        <f aca="false">IF(COUNT($F145,$H145,$J145,$L145,$N145,$P145)=0,"",MIN($F145,$H145,$J145,$L145,$N145,$P145))</f>
        <v>0.144828452982506</v>
      </c>
      <c r="R145" s="46" t="n">
        <f aca="false">IF(COUNT($F145,$H145,$J145,$L145,$N145,$P145)=0,"",MAX($F145,$H145,$J145,$L145,$N145,$P145))</f>
        <v>0.2</v>
      </c>
      <c r="S145" s="61" t="n">
        <f aca="false">IF($A145="","",COUNT($E145,$G145,$I145,$K145,$M145,$O145))</f>
        <v>6</v>
      </c>
    </row>
    <row r="146" customFormat="false" ht="15" hidden="false" customHeight="false" outlineLevel="0" collapsed="false">
      <c r="A146" s="32" t="str">
        <f aca="false">IF(Produtos!$A146="","",Produtos!$A146)</f>
        <v>L4070-AC</v>
      </c>
      <c r="B146" s="32" t="str">
        <f aca="false">IF(Produtos!$A146="","",Produtos!$B146)</f>
        <v>Lixeira c/Aro Colorido 40x70 88L</v>
      </c>
      <c r="C146" s="32" t="str">
        <f aca="false">IF(Produtos!$A146="","",Produtos!$C146)</f>
        <v>Lixeiras em inox</v>
      </c>
      <c r="D146" s="33" t="n">
        <f aca="false">IF(Produtos!$A146="","",IF(Produtos!$D146="","",Produtos!$D146))</f>
        <v>374.18</v>
      </c>
      <c r="E146" s="59" t="n">
        <f aca="false">'ML Clássico'!$K146</f>
        <v>770.4920475</v>
      </c>
      <c r="F146" s="60" t="n">
        <f aca="false">'ML Clássico'!$Q146</f>
        <v>0.115684665973142</v>
      </c>
      <c r="G146" s="59" t="n">
        <f aca="false">'ML Premium'!$K146</f>
        <v>832.32079875</v>
      </c>
      <c r="H146" s="60" t="n">
        <f aca="false">'ML Premium'!$Q146</f>
        <v>0.112061781079576</v>
      </c>
      <c r="I146" s="59" t="n">
        <f aca="false">Amazon!$K146</f>
        <v>692.925925925926</v>
      </c>
      <c r="J146" s="60" t="n">
        <f aca="false">Amazon!$Q146</f>
        <v>0.2</v>
      </c>
      <c r="K146" s="59" t="n">
        <f aca="false">'Via (Casas Bahia)'!$K146</f>
        <v>813.434782608696</v>
      </c>
      <c r="L146" s="60" t="n">
        <f aca="false">'Via (Casas Bahia)'!$Q146</f>
        <v>0.2</v>
      </c>
      <c r="M146" s="59" t="n">
        <f aca="false">MadeiraMadeira!$K146</f>
        <v>779.541666666667</v>
      </c>
      <c r="N146" s="60" t="n">
        <f aca="false">MadeiraMadeira!$Q146</f>
        <v>0.2</v>
      </c>
      <c r="O146" s="59" t="n">
        <f aca="false">Magalu!$K146</f>
        <v>763.632653061225</v>
      </c>
      <c r="P146" s="60" t="n">
        <f aca="false">Magalu!$Q146</f>
        <v>0.2</v>
      </c>
      <c r="Q146" s="46" t="n">
        <f aca="false">IF(COUNT($F146,$H146,$J146,$L146,$N146,$P146)=0,"",MIN($F146,$H146,$J146,$L146,$N146,$P146))</f>
        <v>0.112061781079576</v>
      </c>
      <c r="R146" s="46" t="n">
        <f aca="false">IF(COUNT($F146,$H146,$J146,$L146,$N146,$P146)=0,"",MAX($F146,$H146,$J146,$L146,$N146,$P146))</f>
        <v>0.2</v>
      </c>
      <c r="S146" s="61" t="n">
        <f aca="false">IF($A146="","",COUNT($E146,$G146,$I146,$K146,$M146,$O146))</f>
        <v>6</v>
      </c>
    </row>
    <row r="147" customFormat="false" ht="15" hidden="false" customHeight="false" outlineLevel="0" collapsed="false">
      <c r="A147" s="48" t="str">
        <f aca="false">IF(Produtos!$A147="","",Produtos!$A147)</f>
        <v>L4075-AC</v>
      </c>
      <c r="B147" s="48" t="str">
        <f aca="false">IF(Produtos!$A147="","",Produtos!$B147)</f>
        <v>Lixeira c/Aro Colorido 40x75 95L</v>
      </c>
      <c r="C147" s="48" t="str">
        <f aca="false">IF(Produtos!$A147="","",Produtos!$C147)</f>
        <v>Lixeiras em inox</v>
      </c>
      <c r="D147" s="33" t="n">
        <f aca="false">IF(Produtos!$A147="","",IF(Produtos!$D147="","",Produtos!$D147))</f>
        <v>405.18</v>
      </c>
      <c r="E147" s="62" t="n">
        <f aca="false">'ML Clássico'!$K147</f>
        <v>834.184575</v>
      </c>
      <c r="F147" s="60" t="n">
        <f aca="false">'ML Clássico'!$Q147</f>
        <v>0.12619099975566</v>
      </c>
      <c r="G147" s="62" t="n">
        <f aca="false">'ML Premium'!$K147</f>
        <v>918.86484375</v>
      </c>
      <c r="H147" s="60" t="n">
        <f aca="false">'ML Premium'!$Q147</f>
        <v>0.132758090612823</v>
      </c>
      <c r="I147" s="62" t="n">
        <f aca="false">Amazon!$K147</f>
        <v>750.333333333333</v>
      </c>
      <c r="J147" s="60" t="n">
        <f aca="false">Amazon!$Q147</f>
        <v>0.2</v>
      </c>
      <c r="K147" s="62" t="n">
        <f aca="false">'Via (Casas Bahia)'!$K147</f>
        <v>880.826086956522</v>
      </c>
      <c r="L147" s="60" t="n">
        <f aca="false">'Via (Casas Bahia)'!$Q147</f>
        <v>0.2</v>
      </c>
      <c r="M147" s="62" t="n">
        <f aca="false">MadeiraMadeira!$K147</f>
        <v>844.125</v>
      </c>
      <c r="N147" s="60" t="n">
        <f aca="false">MadeiraMadeira!$Q147</f>
        <v>0.2</v>
      </c>
      <c r="O147" s="62" t="n">
        <f aca="false">Magalu!$K147</f>
        <v>826.897959183673</v>
      </c>
      <c r="P147" s="60" t="n">
        <f aca="false">Magalu!$Q147</f>
        <v>0.2</v>
      </c>
      <c r="Q147" s="46" t="n">
        <f aca="false">IF(COUNT($F147,$H147,$J147,$L147,$N147,$P147)=0,"",MIN($F147,$H147,$J147,$L147,$N147,$P147))</f>
        <v>0.12619099975566</v>
      </c>
      <c r="R147" s="46" t="n">
        <f aca="false">IF(COUNT($F147,$H147,$J147,$L147,$N147,$P147)=0,"",MAX($F147,$H147,$J147,$L147,$N147,$P147))</f>
        <v>0.2</v>
      </c>
      <c r="S147" s="61" t="n">
        <f aca="false">IF($A147="","",COUNT($E147,$G147,$I147,$K147,$M147,$O147))</f>
        <v>6</v>
      </c>
    </row>
    <row r="148" customFormat="false" ht="15" hidden="false" customHeight="false" outlineLevel="0" collapsed="false">
      <c r="A148" s="32" t="str">
        <f aca="false">IF(Produtos!$A148="","",Produtos!$A148)</f>
        <v>L4080-AC</v>
      </c>
      <c r="B148" s="32" t="str">
        <f aca="false">IF(Produtos!$A148="","",Produtos!$B148)</f>
        <v>Lixeira c/Aro Colorido 40x80 100L</v>
      </c>
      <c r="C148" s="32" t="str">
        <f aca="false">IF(Produtos!$A148="","",Produtos!$C148)</f>
        <v>Lixeiras em inox</v>
      </c>
      <c r="D148" s="33" t="n">
        <f aca="false">IF(Produtos!$A148="","",IF(Produtos!$D148="","",Produtos!$D148))</f>
        <v>425.44</v>
      </c>
      <c r="E148" s="59" t="n">
        <f aca="false">'ML Clássico'!$K148</f>
        <v>896.84681625</v>
      </c>
      <c r="F148" s="60" t="n">
        <f aca="false">'ML Clássico'!$Q148</f>
        <v>0.146487272569386</v>
      </c>
      <c r="G148" s="59" t="n">
        <f aca="false">'ML Premium'!$K148</f>
        <v>959.12704125</v>
      </c>
      <c r="H148" s="60" t="n">
        <f aca="false">'ML Premium'!$Q148</f>
        <v>0.135026594906256</v>
      </c>
      <c r="I148" s="59" t="n">
        <f aca="false">Amazon!$K148</f>
        <v>787.851851851852</v>
      </c>
      <c r="J148" s="60" t="n">
        <f aca="false">Amazon!$Q148</f>
        <v>0.2</v>
      </c>
      <c r="K148" s="59" t="n">
        <f aca="false">'Via (Casas Bahia)'!$K148</f>
        <v>924.869565217391</v>
      </c>
      <c r="L148" s="60" t="n">
        <f aca="false">'Via (Casas Bahia)'!$Q148</f>
        <v>0.2</v>
      </c>
      <c r="M148" s="59" t="n">
        <f aca="false">MadeiraMadeira!$K148</f>
        <v>886.333333333333</v>
      </c>
      <c r="N148" s="60" t="n">
        <f aca="false">MadeiraMadeira!$Q148</f>
        <v>0.2</v>
      </c>
      <c r="O148" s="59" t="n">
        <f aca="false">Magalu!$K148</f>
        <v>868.244897959184</v>
      </c>
      <c r="P148" s="60" t="n">
        <f aca="false">Magalu!$Q148</f>
        <v>0.2</v>
      </c>
      <c r="Q148" s="46" t="n">
        <f aca="false">IF(COUNT($F148,$H148,$J148,$L148,$N148,$P148)=0,"",MIN($F148,$H148,$J148,$L148,$N148,$P148))</f>
        <v>0.135026594906256</v>
      </c>
      <c r="R148" s="46" t="n">
        <f aca="false">IF(COUNT($F148,$H148,$J148,$L148,$N148,$P148)=0,"",MAX($F148,$H148,$J148,$L148,$N148,$P148))</f>
        <v>0.2</v>
      </c>
      <c r="S148" s="61" t="n">
        <f aca="false">IF($A148="","",COUNT($E148,$G148,$I148,$K148,$M148,$O148))</f>
        <v>6</v>
      </c>
    </row>
    <row r="149" customFormat="false" ht="15" hidden="false" customHeight="false" outlineLevel="0" collapsed="false">
      <c r="A149" s="48" t="str">
        <f aca="false">IF(Produtos!$A149="","",Produtos!$A149)</f>
        <v>L4090-AC</v>
      </c>
      <c r="B149" s="48" t="str">
        <f aca="false">IF(Produtos!$A149="","",Produtos!$B149)</f>
        <v>Lixeira c/Aro Colorido 40x90 120L</v>
      </c>
      <c r="C149" s="48" t="str">
        <f aca="false">IF(Produtos!$A149="","",Produtos!$C149)</f>
        <v>Lixeiras em inox</v>
      </c>
      <c r="D149" s="33" t="n">
        <f aca="false">IF(Produtos!$A149="","",IF(Produtos!$D149="","",Produtos!$D149))</f>
        <v>652.76</v>
      </c>
      <c r="E149" s="62" t="n">
        <f aca="false">'ML Clássico'!$K149</f>
        <v>1319.3452125</v>
      </c>
      <c r="F149" s="60" t="n">
        <f aca="false">'ML Clássico'!$Q149</f>
        <v>0.16349432673596</v>
      </c>
      <c r="G149" s="62" t="n">
        <f aca="false">'ML Premium'!$K149</f>
        <v>1410.97123125</v>
      </c>
      <c r="H149" s="60" t="n">
        <f aca="false">'ML Premium'!$Q149</f>
        <v>0.150931602888767</v>
      </c>
      <c r="I149" s="62" t="n">
        <f aca="false">Amazon!$K149</f>
        <v>1208.81481481481</v>
      </c>
      <c r="J149" s="60" t="n">
        <f aca="false">Amazon!$Q149</f>
        <v>0.2</v>
      </c>
      <c r="K149" s="62" t="n">
        <f aca="false">'Via (Casas Bahia)'!$K149</f>
        <v>1419.04347826087</v>
      </c>
      <c r="L149" s="60" t="n">
        <f aca="false">'Via (Casas Bahia)'!$Q149</f>
        <v>0.2</v>
      </c>
      <c r="M149" s="62" t="n">
        <f aca="false">MadeiraMadeira!$K149</f>
        <v>1359.91666666667</v>
      </c>
      <c r="N149" s="60" t="n">
        <f aca="false">MadeiraMadeira!$Q149</f>
        <v>0.2</v>
      </c>
      <c r="O149" s="62" t="n">
        <f aca="false">Magalu!$K149</f>
        <v>1332.16326530612</v>
      </c>
      <c r="P149" s="60" t="n">
        <f aca="false">Magalu!$Q149</f>
        <v>0.2</v>
      </c>
      <c r="Q149" s="46" t="n">
        <f aca="false">IF(COUNT($F149,$H149,$J149,$L149,$N149,$P149)=0,"",MIN($F149,$H149,$J149,$L149,$N149,$P149))</f>
        <v>0.150931602888767</v>
      </c>
      <c r="R149" s="46" t="n">
        <f aca="false">IF(COUNT($F149,$H149,$J149,$L149,$N149,$P149)=0,"",MAX($F149,$H149,$J149,$L149,$N149,$P149))</f>
        <v>0.2</v>
      </c>
      <c r="S149" s="61" t="n">
        <f aca="false">IF($A149="","",COUNT($E149,$G149,$I149,$K149,$M149,$O149))</f>
        <v>6</v>
      </c>
    </row>
    <row r="150" customFormat="false" ht="15" hidden="false" customHeight="false" outlineLevel="0" collapsed="false">
      <c r="A150" s="32" t="str">
        <f aca="false">IF(Produtos!$A150="","",Produtos!$A150)</f>
        <v>L2425-CP</v>
      </c>
      <c r="B150" s="32" t="str">
        <f aca="false">IF(Produtos!$A150="","",Produtos!$B150)</f>
        <v>Lixeira Aço inox Coletor de pilhas e baterias 24x25 13L</v>
      </c>
      <c r="C150" s="32" t="str">
        <f aca="false">IF(Produtos!$A150="","",Produtos!$C150)</f>
        <v>Coletores de pilhas</v>
      </c>
      <c r="D150" s="33" t="n">
        <f aca="false">IF(Produtos!$A150="","",IF(Produtos!$D150="","",Produtos!$D150))</f>
        <v>120.55</v>
      </c>
      <c r="E150" s="59" t="n">
        <f aca="false">'ML Clássico'!$K150</f>
        <v>261.1035</v>
      </c>
      <c r="F150" s="60" t="n">
        <f aca="false">'ML Clássico'!$Q150</f>
        <v>0.184706926563604</v>
      </c>
      <c r="G150" s="59" t="n">
        <f aca="false">'ML Premium'!$K150</f>
        <v>271.60231875</v>
      </c>
      <c r="H150" s="60" t="n">
        <f aca="false">'ML Premium'!$Q150</f>
        <v>0.176558395085499</v>
      </c>
      <c r="I150" s="59" t="n">
        <f aca="false">Amazon!$K150</f>
        <v>223.240740740741</v>
      </c>
      <c r="J150" s="60" t="n">
        <f aca="false">Amazon!$Q150</f>
        <v>0.2</v>
      </c>
      <c r="K150" s="59" t="n">
        <f aca="false">'Via (Casas Bahia)'!$K150</f>
        <v>262.065217391304</v>
      </c>
      <c r="L150" s="60" t="n">
        <f aca="false">'Via (Casas Bahia)'!$Q150</f>
        <v>0.2</v>
      </c>
      <c r="M150" s="59" t="n">
        <f aca="false">MadeiraMadeira!$K150</f>
        <v>251.145833333333</v>
      </c>
      <c r="N150" s="60" t="n">
        <f aca="false">MadeiraMadeira!$Q150</f>
        <v>0.2</v>
      </c>
      <c r="O150" s="59" t="n">
        <f aca="false">Magalu!$K150</f>
        <v>246.020408163265</v>
      </c>
      <c r="P150" s="60" t="n">
        <f aca="false">Magalu!$Q150</f>
        <v>0.2</v>
      </c>
      <c r="Q150" s="46" t="n">
        <f aca="false">IF(COUNT($F150,$H150,$J150,$L150,$N150,$P150)=0,"",MIN($F150,$H150,$J150,$L150,$N150,$P150))</f>
        <v>0.176558395085499</v>
      </c>
      <c r="R150" s="46" t="n">
        <f aca="false">IF(COUNT($F150,$H150,$J150,$L150,$N150,$P150)=0,"",MAX($F150,$H150,$J150,$L150,$N150,$P150))</f>
        <v>0.2</v>
      </c>
      <c r="S150" s="61" t="n">
        <f aca="false">IF($A150="","",COUNT($E150,$G150,$I150,$K150,$M150,$O150))</f>
        <v>6</v>
      </c>
    </row>
    <row r="151" customFormat="false" ht="15" hidden="false" customHeight="false" outlineLevel="0" collapsed="false">
      <c r="A151" s="48" t="str">
        <f aca="false">IF(Produtos!$A151="","",Produtos!$A151)</f>
        <v>L2430-CP</v>
      </c>
      <c r="B151" s="48" t="str">
        <f aca="false">IF(Produtos!$A151="","",Produtos!$B151)</f>
        <v>Lixeira Aço inox Coletor de pilhas e baterias 24x30 15L</v>
      </c>
      <c r="C151" s="48" t="str">
        <f aca="false">IF(Produtos!$A151="","",Produtos!$C151)</f>
        <v>Coletores de pilhas</v>
      </c>
      <c r="D151" s="33" t="n">
        <f aca="false">IF(Produtos!$A151="","",IF(Produtos!$D151="","",Produtos!$D151))</f>
        <v>134.47</v>
      </c>
      <c r="E151" s="62" t="n">
        <f aca="false">'ML Clássico'!$K151</f>
        <v>272.01906375</v>
      </c>
      <c r="F151" s="60" t="n">
        <f aca="false">'ML Clássico'!$Q151</f>
        <v>0.1562180871689</v>
      </c>
      <c r="G151" s="62" t="n">
        <f aca="false">'ML Premium'!$K151</f>
        <v>280.21504875</v>
      </c>
      <c r="H151" s="60" t="n">
        <f aca="false">'ML Premium'!$Q151</f>
        <v>0.143585561444619</v>
      </c>
      <c r="I151" s="62" t="n">
        <f aca="false">Amazon!$K151</f>
        <v>249.018518518519</v>
      </c>
      <c r="J151" s="60" t="n">
        <f aca="false">Amazon!$Q151</f>
        <v>0.2</v>
      </c>
      <c r="K151" s="62" t="n">
        <f aca="false">'Via (Casas Bahia)'!$K151</f>
        <v>292.326086956522</v>
      </c>
      <c r="L151" s="60" t="n">
        <f aca="false">'Via (Casas Bahia)'!$Q151</f>
        <v>0.2</v>
      </c>
      <c r="M151" s="62" t="n">
        <f aca="false">MadeiraMadeira!$K151</f>
        <v>280.145833333333</v>
      </c>
      <c r="N151" s="60" t="n">
        <f aca="false">MadeiraMadeira!$Q151</f>
        <v>0.2</v>
      </c>
      <c r="O151" s="62" t="n">
        <f aca="false">Magalu!$K151</f>
        <v>274.428571428571</v>
      </c>
      <c r="P151" s="60" t="n">
        <f aca="false">Magalu!$Q151</f>
        <v>0.2</v>
      </c>
      <c r="Q151" s="46" t="n">
        <f aca="false">IF(COUNT($F151,$H151,$J151,$L151,$N151,$P151)=0,"",MIN($F151,$H151,$J151,$L151,$N151,$P151))</f>
        <v>0.143585561444619</v>
      </c>
      <c r="R151" s="46" t="n">
        <f aca="false">IF(COUNT($F151,$H151,$J151,$L151,$N151,$P151)=0,"",MAX($F151,$H151,$J151,$L151,$N151,$P151))</f>
        <v>0.2</v>
      </c>
      <c r="S151" s="61" t="n">
        <f aca="false">IF($A151="","",COUNT($E151,$G151,$I151,$K151,$M151,$O151))</f>
        <v>6</v>
      </c>
    </row>
    <row r="152" customFormat="false" ht="15" hidden="false" customHeight="false" outlineLevel="0" collapsed="false">
      <c r="A152" s="32" t="str">
        <f aca="false">IF(Produtos!$A152="","",Produtos!$A152)</f>
        <v>L2440-CP</v>
      </c>
      <c r="B152" s="32" t="str">
        <f aca="false">IF(Produtos!$A152="","",Produtos!$B152)</f>
        <v>Lixeira Aço inox Coletor de pilhas e baterias 24x40 20L</v>
      </c>
      <c r="C152" s="32" t="str">
        <f aca="false">IF(Produtos!$A152="","",Produtos!$C152)</f>
        <v>Coletores de pilhas</v>
      </c>
      <c r="D152" s="33" t="n">
        <f aca="false">IF(Produtos!$A152="","",IF(Produtos!$D152="","",Produtos!$D152))</f>
        <v>143.62</v>
      </c>
      <c r="E152" s="59" t="n">
        <f aca="false">'ML Clássico'!$K152</f>
        <v>316.38773825</v>
      </c>
      <c r="F152" s="60" t="n">
        <f aca="false">'ML Clássico'!$Q152</f>
        <v>0.203613465059751</v>
      </c>
      <c r="G152" s="59" t="n">
        <f aca="false">'ML Premium'!$K152</f>
        <v>315.81167625</v>
      </c>
      <c r="H152" s="60" t="n">
        <f aca="false">'ML Premium'!$Q152</f>
        <v>0.172616818818459</v>
      </c>
      <c r="I152" s="59" t="n">
        <f aca="false">Amazon!$K152</f>
        <v>265.962962962963</v>
      </c>
      <c r="J152" s="60" t="n">
        <f aca="false">Amazon!$Q152</f>
        <v>0.2</v>
      </c>
      <c r="K152" s="59" t="n">
        <f aca="false">'Via (Casas Bahia)'!$K152</f>
        <v>312.217391304348</v>
      </c>
      <c r="L152" s="60" t="n">
        <f aca="false">'Via (Casas Bahia)'!$Q152</f>
        <v>0.2</v>
      </c>
      <c r="M152" s="59" t="n">
        <f aca="false">MadeiraMadeira!$K152</f>
        <v>299.208333333333</v>
      </c>
      <c r="N152" s="60" t="n">
        <f aca="false">MadeiraMadeira!$Q152</f>
        <v>0.2</v>
      </c>
      <c r="O152" s="59" t="n">
        <f aca="false">Magalu!$K152</f>
        <v>293.102040816327</v>
      </c>
      <c r="P152" s="60" t="n">
        <f aca="false">Magalu!$Q152</f>
        <v>0.2</v>
      </c>
      <c r="Q152" s="46" t="n">
        <f aca="false">IF(COUNT($F152,$H152,$J152,$L152,$N152,$P152)=0,"",MIN($F152,$H152,$J152,$L152,$N152,$P152))</f>
        <v>0.172616818818459</v>
      </c>
      <c r="R152" s="46" t="n">
        <f aca="false">IF(COUNT($F152,$H152,$J152,$L152,$N152,$P152)=0,"",MAX($F152,$H152,$J152,$L152,$N152,$P152))</f>
        <v>0.203613465059751</v>
      </c>
      <c r="S152" s="61" t="n">
        <f aca="false">IF($A152="","",COUNT($E152,$G152,$I152,$K152,$M152,$O152))</f>
        <v>6</v>
      </c>
    </row>
    <row r="153" customFormat="false" ht="15" hidden="false" customHeight="false" outlineLevel="0" collapsed="false">
      <c r="A153" s="48" t="str">
        <f aca="false">IF(Produtos!$A153="","",Produtos!$A153)</f>
        <v>L2450-CP</v>
      </c>
      <c r="B153" s="48" t="str">
        <f aca="false">IF(Produtos!$A153="","",Produtos!$B153)</f>
        <v>Lixeira Aço inox Coletor de pilhas e baterias 24x50 25L</v>
      </c>
      <c r="C153" s="48" t="str">
        <f aca="false">IF(Produtos!$A153="","",Produtos!$C153)</f>
        <v>Coletores de pilhas</v>
      </c>
      <c r="D153" s="33" t="n">
        <f aca="false">IF(Produtos!$A153="","",IF(Produtos!$D153="","",Produtos!$D153))</f>
        <v>163.9</v>
      </c>
      <c r="E153" s="62" t="n">
        <f aca="false">'ML Clássico'!$K153</f>
        <v>359.0970114375</v>
      </c>
      <c r="F153" s="60" t="n">
        <f aca="false">'ML Clássico'!$Q153</f>
        <v>0.179819816153952</v>
      </c>
      <c r="G153" s="62" t="n">
        <f aca="false">'ML Premium'!$K153</f>
        <v>367.8681925</v>
      </c>
      <c r="H153" s="60" t="n">
        <f aca="false">'ML Premium'!$Q153</f>
        <v>0.163414776883707</v>
      </c>
      <c r="I153" s="62" t="n">
        <f aca="false">Amazon!$K153</f>
        <v>303.518518518519</v>
      </c>
      <c r="J153" s="60" t="n">
        <f aca="false">Amazon!$Q153</f>
        <v>0.2</v>
      </c>
      <c r="K153" s="62" t="n">
        <f aca="false">'Via (Casas Bahia)'!$K153</f>
        <v>356.304347826087</v>
      </c>
      <c r="L153" s="60" t="n">
        <f aca="false">'Via (Casas Bahia)'!$Q153</f>
        <v>0.2</v>
      </c>
      <c r="M153" s="62" t="n">
        <f aca="false">MadeiraMadeira!$K153</f>
        <v>341.458333333333</v>
      </c>
      <c r="N153" s="60" t="n">
        <f aca="false">MadeiraMadeira!$Q153</f>
        <v>0.2</v>
      </c>
      <c r="O153" s="62" t="n">
        <f aca="false">Magalu!$K153</f>
        <v>334.489795918367</v>
      </c>
      <c r="P153" s="60" t="n">
        <f aca="false">Magalu!$Q153</f>
        <v>0.2</v>
      </c>
      <c r="Q153" s="46" t="n">
        <f aca="false">IF(COUNT($F153,$H153,$J153,$L153,$N153,$P153)=0,"",MIN($F153,$H153,$J153,$L153,$N153,$P153))</f>
        <v>0.163414776883707</v>
      </c>
      <c r="R153" s="46" t="n">
        <f aca="false">IF(COUNT($F153,$H153,$J153,$L153,$N153,$P153)=0,"",MAX($F153,$H153,$J153,$L153,$N153,$P153))</f>
        <v>0.2</v>
      </c>
      <c r="S153" s="61" t="n">
        <f aca="false">IF($A153="","",COUNT($E153,$G153,$I153,$K153,$M153,$O153))</f>
        <v>6</v>
      </c>
    </row>
    <row r="154" customFormat="false" ht="15" hidden="false" customHeight="false" outlineLevel="0" collapsed="false">
      <c r="A154" s="32" t="str">
        <f aca="false">IF(Produtos!$A154="","",Produtos!$A154)</f>
        <v>L2460-CP</v>
      </c>
      <c r="B154" s="32" t="str">
        <f aca="false">IF(Produtos!$A154="","",Produtos!$B154)</f>
        <v>Lixeira Aço inox Coletor de pilhas e baterias 24x60 27L</v>
      </c>
      <c r="C154" s="32" t="str">
        <f aca="false">IF(Produtos!$A154="","",Produtos!$C154)</f>
        <v>Coletores de pilhas</v>
      </c>
      <c r="D154" s="33" t="n">
        <f aca="false">IF(Produtos!$A154="","",IF(Produtos!$D154="","",Produtos!$D154))</f>
        <v>172.67</v>
      </c>
      <c r="E154" s="59" t="n">
        <f aca="false">'ML Clássico'!$K154</f>
        <v>389.910094875</v>
      </c>
      <c r="F154" s="60" t="n">
        <f aca="false">'ML Clássico'!$Q154</f>
        <v>0.202386581402947</v>
      </c>
      <c r="G154" s="59" t="n">
        <f aca="false">'ML Premium'!$K154</f>
        <v>388.59156</v>
      </c>
      <c r="H154" s="60" t="n">
        <f aca="false">'ML Premium'!$Q154</f>
        <v>0.170528467473663</v>
      </c>
      <c r="I154" s="59" t="n">
        <f aca="false">Amazon!$K154</f>
        <v>335.68</v>
      </c>
      <c r="J154" s="60" t="n">
        <f aca="false">Amazon!$Q154</f>
        <v>0.225611296472831</v>
      </c>
      <c r="K154" s="59" t="n">
        <f aca="false">'Via (Casas Bahia)'!$K154</f>
        <v>375.369565217391</v>
      </c>
      <c r="L154" s="60" t="n">
        <f aca="false">'Via (Casas Bahia)'!$Q154</f>
        <v>0.2</v>
      </c>
      <c r="M154" s="59" t="n">
        <f aca="false">MadeiraMadeira!$K154</f>
        <v>359.729166666667</v>
      </c>
      <c r="N154" s="60" t="n">
        <f aca="false">MadeiraMadeira!$Q154</f>
        <v>0.2</v>
      </c>
      <c r="O154" s="59" t="n">
        <f aca="false">Magalu!$K154</f>
        <v>352.387755102041</v>
      </c>
      <c r="P154" s="60" t="n">
        <f aca="false">Magalu!$Q154</f>
        <v>0.2</v>
      </c>
      <c r="Q154" s="46" t="n">
        <f aca="false">IF(COUNT($F154,$H154,$J154,$L154,$N154,$P154)=0,"",MIN($F154,$H154,$J154,$L154,$N154,$P154))</f>
        <v>0.170528467473663</v>
      </c>
      <c r="R154" s="46" t="n">
        <f aca="false">IF(COUNT($F154,$H154,$J154,$L154,$N154,$P154)=0,"",MAX($F154,$H154,$J154,$L154,$N154,$P154))</f>
        <v>0.225611296472831</v>
      </c>
      <c r="S154" s="61" t="n">
        <f aca="false">IF($A154="","",COUNT($E154,$G154,$I154,$K154,$M154,$O154))</f>
        <v>6</v>
      </c>
    </row>
    <row r="155" customFormat="false" ht="15" hidden="false" customHeight="false" outlineLevel="0" collapsed="false">
      <c r="A155" s="48" t="str">
        <f aca="false">IF(Produtos!$A155="","",Produtos!$A155)</f>
        <v>L3040-CP</v>
      </c>
      <c r="B155" s="48" t="str">
        <f aca="false">IF(Produtos!$A155="","",Produtos!$B155)</f>
        <v>Lixeira Aço inox Coletor de pilhas e baterias 30x40 30L</v>
      </c>
      <c r="C155" s="48" t="str">
        <f aca="false">IF(Produtos!$A155="","",Produtos!$C155)</f>
        <v>Coletores de pilhas</v>
      </c>
      <c r="D155" s="33" t="n">
        <f aca="false">IF(Produtos!$A155="","",IF(Produtos!$D155="","",Produtos!$D155))</f>
        <v>157.35</v>
      </c>
      <c r="E155" s="62" t="n">
        <f aca="false">'ML Clássico'!$K155</f>
        <v>360.90811575</v>
      </c>
      <c r="F155" s="60" t="n">
        <f aca="false">'ML Clássico'!$Q155</f>
        <v>0.200829750425195</v>
      </c>
      <c r="G155" s="62" t="n">
        <f aca="false">'ML Premium'!$K155</f>
        <v>362.57</v>
      </c>
      <c r="H155" s="60" t="n">
        <f aca="false">'ML Premium'!$Q155</f>
        <v>0.17334693990126</v>
      </c>
      <c r="I155" s="62" t="n">
        <f aca="false">Amazon!$K155</f>
        <v>291.388888888889</v>
      </c>
      <c r="J155" s="60" t="n">
        <f aca="false">Amazon!$Q155</f>
        <v>0.2</v>
      </c>
      <c r="K155" s="62" t="n">
        <f aca="false">'Via (Casas Bahia)'!$K155</f>
        <v>342.065217391304</v>
      </c>
      <c r="L155" s="60" t="n">
        <f aca="false">'Via (Casas Bahia)'!$Q155</f>
        <v>0.2</v>
      </c>
      <c r="M155" s="62" t="n">
        <f aca="false">MadeiraMadeira!$K155</f>
        <v>327.8125</v>
      </c>
      <c r="N155" s="60" t="n">
        <f aca="false">MadeiraMadeira!$Q155</f>
        <v>0.2</v>
      </c>
      <c r="O155" s="62" t="n">
        <f aca="false">Magalu!$K155</f>
        <v>321.122448979592</v>
      </c>
      <c r="P155" s="60" t="n">
        <f aca="false">Magalu!$Q155</f>
        <v>0.2</v>
      </c>
      <c r="Q155" s="46" t="n">
        <f aca="false">IF(COUNT($F155,$H155,$J155,$L155,$N155,$P155)=0,"",MIN($F155,$H155,$J155,$L155,$N155,$P155))</f>
        <v>0.17334693990126</v>
      </c>
      <c r="R155" s="46" t="n">
        <f aca="false">IF(COUNT($F155,$H155,$J155,$L155,$N155,$P155)=0,"",MAX($F155,$H155,$J155,$L155,$N155,$P155))</f>
        <v>0.200829750425195</v>
      </c>
      <c r="S155" s="61" t="n">
        <f aca="false">IF($A155="","",COUNT($E155,$G155,$I155,$K155,$M155,$O155))</f>
        <v>6</v>
      </c>
    </row>
    <row r="156" customFormat="false" ht="15" hidden="false" customHeight="false" outlineLevel="0" collapsed="false">
      <c r="A156" s="32" t="str">
        <f aca="false">IF(Produtos!$A156="","",Produtos!$A156)</f>
        <v>L3050-CP</v>
      </c>
      <c r="B156" s="32" t="str">
        <f aca="false">IF(Produtos!$A156="","",Produtos!$B156)</f>
        <v>Lixeira Aço inox Coletor de pilhas e baterias 30x50 35L</v>
      </c>
      <c r="C156" s="32" t="str">
        <f aca="false">IF(Produtos!$A156="","",Produtos!$C156)</f>
        <v>Coletores de pilhas</v>
      </c>
      <c r="D156" s="33" t="n">
        <f aca="false">IF(Produtos!$A156="","",IF(Produtos!$D156="","",Produtos!$D156))</f>
        <v>203.19</v>
      </c>
      <c r="E156" s="59" t="n">
        <f aca="false">'ML Clássico'!$K156</f>
        <v>444.82666725</v>
      </c>
      <c r="F156" s="60" t="n">
        <f aca="false">'ML Clássico'!$Q156</f>
        <v>0.182273245753793</v>
      </c>
      <c r="G156" s="59" t="n">
        <f aca="false">'ML Premium'!$K156</f>
        <v>443.33564625</v>
      </c>
      <c r="H156" s="60" t="n">
        <f aca="false">'ML Premium'!$Q156</f>
        <v>0.15036387410727</v>
      </c>
      <c r="I156" s="59" t="n">
        <f aca="false">Amazon!$K156</f>
        <v>376.277777777778</v>
      </c>
      <c r="J156" s="60" t="n">
        <f aca="false">Amazon!$Q156</f>
        <v>0.2</v>
      </c>
      <c r="K156" s="59" t="n">
        <f aca="false">'Via (Casas Bahia)'!$K156</f>
        <v>441.717391304348</v>
      </c>
      <c r="L156" s="60" t="n">
        <f aca="false">'Via (Casas Bahia)'!$Q156</f>
        <v>0.2</v>
      </c>
      <c r="M156" s="59" t="n">
        <f aca="false">MadeiraMadeira!$K156</f>
        <v>423.3125</v>
      </c>
      <c r="N156" s="60" t="n">
        <f aca="false">MadeiraMadeira!$Q156</f>
        <v>0.2</v>
      </c>
      <c r="O156" s="59" t="n">
        <f aca="false">Magalu!$K156</f>
        <v>414.673469387755</v>
      </c>
      <c r="P156" s="60" t="n">
        <f aca="false">Magalu!$Q156</f>
        <v>0.2</v>
      </c>
      <c r="Q156" s="46" t="n">
        <f aca="false">IF(COUNT($F156,$H156,$J156,$L156,$N156,$P156)=0,"",MIN($F156,$H156,$J156,$L156,$N156,$P156))</f>
        <v>0.15036387410727</v>
      </c>
      <c r="R156" s="46" t="n">
        <f aca="false">IF(COUNT($F156,$H156,$J156,$L156,$N156,$P156)=0,"",MAX($F156,$H156,$J156,$L156,$N156,$P156))</f>
        <v>0.2</v>
      </c>
      <c r="S156" s="61" t="n">
        <f aca="false">IF($A156="","",COUNT($E156,$G156,$I156,$K156,$M156,$O156))</f>
        <v>6</v>
      </c>
    </row>
    <row r="157" customFormat="false" ht="15" hidden="false" customHeight="false" outlineLevel="0" collapsed="false">
      <c r="A157" s="48" t="str">
        <f aca="false">IF(Produtos!$A157="","",Produtos!$A157)</f>
        <v>L3060-CP</v>
      </c>
      <c r="B157" s="48" t="str">
        <f aca="false">IF(Produtos!$A157="","",Produtos!$B157)</f>
        <v>Lixeira Aço inox Coletor de pilhas e baterias 30x60 40L</v>
      </c>
      <c r="C157" s="48" t="str">
        <f aca="false">IF(Produtos!$A157="","",Produtos!$C157)</f>
        <v>Coletores de pilhas</v>
      </c>
      <c r="D157" s="33" t="n">
        <f aca="false">IF(Produtos!$A157="","",IF(Produtos!$D157="","",Produtos!$D157))</f>
        <v>205.65</v>
      </c>
      <c r="E157" s="62" t="n">
        <f aca="false">'ML Clássico'!$K157</f>
        <v>451.390401</v>
      </c>
      <c r="F157" s="60" t="n">
        <f aca="false">'ML Clássico'!$Q157</f>
        <v>0.181977287439039</v>
      </c>
      <c r="G157" s="62" t="n">
        <f aca="false">'ML Premium'!$K157</f>
        <v>449.8762275</v>
      </c>
      <c r="H157" s="60" t="n">
        <f aca="false">'ML Premium'!$Q157</f>
        <v>0.15006546172747</v>
      </c>
      <c r="I157" s="62" t="n">
        <f aca="false">Amazon!$K157</f>
        <v>380.833333333333</v>
      </c>
      <c r="J157" s="60" t="n">
        <f aca="false">Amazon!$Q157</f>
        <v>0.2</v>
      </c>
      <c r="K157" s="62" t="n">
        <f aca="false">'Via (Casas Bahia)'!$K157</f>
        <v>447.065217391304</v>
      </c>
      <c r="L157" s="60" t="n">
        <f aca="false">'Via (Casas Bahia)'!$Q157</f>
        <v>0.2</v>
      </c>
      <c r="M157" s="62" t="n">
        <f aca="false">MadeiraMadeira!$K157</f>
        <v>428.4375</v>
      </c>
      <c r="N157" s="60" t="n">
        <f aca="false">MadeiraMadeira!$Q157</f>
        <v>0.2</v>
      </c>
      <c r="O157" s="62" t="n">
        <f aca="false">Magalu!$K157</f>
        <v>419.69387755102</v>
      </c>
      <c r="P157" s="60" t="n">
        <f aca="false">Magalu!$Q157</f>
        <v>0.2</v>
      </c>
      <c r="Q157" s="46" t="n">
        <f aca="false">IF(COUNT($F157,$H157,$J157,$L157,$N157,$P157)=0,"",MIN($F157,$H157,$J157,$L157,$N157,$P157))</f>
        <v>0.15006546172747</v>
      </c>
      <c r="R157" s="46" t="n">
        <f aca="false">IF(COUNT($F157,$H157,$J157,$L157,$N157,$P157)=0,"",MAX($F157,$H157,$J157,$L157,$N157,$P157))</f>
        <v>0.2</v>
      </c>
      <c r="S157" s="61" t="n">
        <f aca="false">IF($A157="","",COUNT($E157,$G157,$I157,$K157,$M157,$O157))</f>
        <v>6</v>
      </c>
    </row>
    <row r="158" customFormat="false" ht="15" hidden="false" customHeight="false" outlineLevel="0" collapsed="false">
      <c r="A158" s="32" t="str">
        <f aca="false">IF(Produtos!$A158="","",Produtos!$A158)</f>
        <v>L3070-CP</v>
      </c>
      <c r="B158" s="32" t="str">
        <f aca="false">IF(Produtos!$A158="","",Produtos!$B158)</f>
        <v>Lixeira Aço inox Coletor de pilhas e baterias 30x70 50L</v>
      </c>
      <c r="C158" s="32" t="str">
        <f aca="false">IF(Produtos!$A158="","",Produtos!$C158)</f>
        <v>Coletores de pilhas</v>
      </c>
      <c r="D158" s="33" t="n">
        <f aca="false">IF(Produtos!$A158="","",IF(Produtos!$D158="","",Produtos!$D158))</f>
        <v>267.58</v>
      </c>
      <c r="E158" s="59" t="n">
        <f aca="false">'ML Clássico'!$K158</f>
        <v>594.3460910625</v>
      </c>
      <c r="F158" s="60" t="n">
        <f aca="false">'ML Clássico'!$Q158</f>
        <v>0.183108074459315</v>
      </c>
      <c r="G158" s="59" t="n">
        <f aca="false">'ML Premium'!$K158</f>
        <v>592.33356</v>
      </c>
      <c r="H158" s="60" t="n">
        <f aca="false">'ML Premium'!$Q158</f>
        <v>0.151181984691193</v>
      </c>
      <c r="I158" s="59" t="n">
        <f aca="false">Amazon!$K158</f>
        <v>495.518518518519</v>
      </c>
      <c r="J158" s="60" t="n">
        <f aca="false">Amazon!$Q158</f>
        <v>0.2</v>
      </c>
      <c r="K158" s="59" t="n">
        <f aca="false">'Via (Casas Bahia)'!$K158</f>
        <v>581.695652173913</v>
      </c>
      <c r="L158" s="60" t="n">
        <f aca="false">'Via (Casas Bahia)'!$Q158</f>
        <v>0.2</v>
      </c>
      <c r="M158" s="59" t="n">
        <f aca="false">MadeiraMadeira!$K158</f>
        <v>557.458333333333</v>
      </c>
      <c r="N158" s="60" t="n">
        <f aca="false">MadeiraMadeira!$Q158</f>
        <v>0.2</v>
      </c>
      <c r="O158" s="59" t="n">
        <f aca="false">Magalu!$K158</f>
        <v>546.081632653061</v>
      </c>
      <c r="P158" s="60" t="n">
        <f aca="false">Magalu!$Q158</f>
        <v>0.2</v>
      </c>
      <c r="Q158" s="46" t="n">
        <f aca="false">IF(COUNT($F158,$H158,$J158,$L158,$N158,$P158)=0,"",MIN($F158,$H158,$J158,$L158,$N158,$P158))</f>
        <v>0.151181984691193</v>
      </c>
      <c r="R158" s="46" t="n">
        <f aca="false">IF(COUNT($F158,$H158,$J158,$L158,$N158,$P158)=0,"",MAX($F158,$H158,$J158,$L158,$N158,$P158))</f>
        <v>0.2</v>
      </c>
      <c r="S158" s="61" t="n">
        <f aca="false">IF($A158="","",COUNT($E158,$G158,$I158,$K158,$M158,$O158))</f>
        <v>6</v>
      </c>
    </row>
    <row r="159" customFormat="false" ht="15" hidden="false" customHeight="false" outlineLevel="0" collapsed="false">
      <c r="A159" s="48" t="str">
        <f aca="false">IF(Produtos!$A159="","",Produtos!$A159)</f>
        <v>EGC</v>
      </c>
      <c r="B159" s="48" t="str">
        <f aca="false">IF(Produtos!$A159="","",Produtos!$B159)</f>
        <v>Ensacador Guarda-chuvas c/150 saquinhos</v>
      </c>
      <c r="C159" s="48" t="str">
        <f aca="false">IF(Produtos!$A159="","",Produtos!$C159)</f>
        <v>Ensacadores</v>
      </c>
      <c r="D159" s="33" t="n">
        <f aca="false">IF(Produtos!$A159="","",IF(Produtos!$D159="","",Produtos!$D159))</f>
        <v>365.7</v>
      </c>
      <c r="E159" s="62" t="n">
        <f aca="false">'ML Clássico'!$K159</f>
        <v>777.9604651875</v>
      </c>
      <c r="F159" s="60" t="n">
        <f aca="false">'ML Clássico'!$Q159</f>
        <v>0.195781351408202</v>
      </c>
      <c r="G159" s="62" t="n">
        <f aca="false">'ML Premium'!$K159</f>
        <v>780.9569775</v>
      </c>
      <c r="H159" s="60" t="n">
        <f aca="false">'ML Premium'!$Q159</f>
        <v>0.147927059320627</v>
      </c>
      <c r="I159" s="62" t="n">
        <f aca="false">Amazon!$K159</f>
        <v>674.62</v>
      </c>
      <c r="J159" s="60" t="n">
        <f aca="false">Amazon!$Q159</f>
        <v>0.197917049598292</v>
      </c>
      <c r="K159" s="62" t="n">
        <f aca="false">'Via (Casas Bahia)'!$K159</f>
        <v>795</v>
      </c>
      <c r="L159" s="60" t="n">
        <f aca="false">'Via (Casas Bahia)'!$Q159</f>
        <v>0.2</v>
      </c>
      <c r="M159" s="62" t="n">
        <f aca="false">MadeiraMadeira!$K159</f>
        <v>761.875</v>
      </c>
      <c r="N159" s="60" t="n">
        <f aca="false">MadeiraMadeira!$Q159</f>
        <v>0.2</v>
      </c>
      <c r="O159" s="62" t="n">
        <f aca="false">Magalu!$K159</f>
        <v>746.326530612245</v>
      </c>
      <c r="P159" s="60" t="n">
        <f aca="false">Magalu!$Q159</f>
        <v>0.2</v>
      </c>
      <c r="Q159" s="46" t="n">
        <f aca="false">IF(COUNT($F159,$H159,$J159,$L159,$N159,$P159)=0,"",MIN($F159,$H159,$J159,$L159,$N159,$P159))</f>
        <v>0.147927059320627</v>
      </c>
      <c r="R159" s="46" t="n">
        <f aca="false">IF(COUNT($F159,$H159,$J159,$L159,$N159,$P159)=0,"",MAX($F159,$H159,$J159,$L159,$N159,$P159))</f>
        <v>0.2</v>
      </c>
      <c r="S159" s="61" t="n">
        <f aca="false">IF($A159="","",COUNT($E159,$G159,$I159,$K159,$M159,$O159))</f>
        <v>6</v>
      </c>
    </row>
    <row r="160" customFormat="false" ht="15" hidden="false" customHeight="false" outlineLevel="0" collapsed="false">
      <c r="A160" s="32" t="str">
        <f aca="false">IF(Produtos!$A160="","",Produtos!$A160)</f>
        <v>REGC</v>
      </c>
      <c r="B160" s="32" t="str">
        <f aca="false">IF(Produtos!$A160="","",Produtos!$B160)</f>
        <v>Refil Ensacador c/1000 saquinhos</v>
      </c>
      <c r="C160" s="32" t="str">
        <f aca="false">IF(Produtos!$A160="","",Produtos!$C160)</f>
        <v>Ensacadores</v>
      </c>
      <c r="D160" s="33" t="n">
        <f aca="false">IF(Produtos!$A160="","",IF(Produtos!$D160="","",Produtos!$D160))</f>
        <v>271.36</v>
      </c>
      <c r="E160" s="59" t="n">
        <f aca="false">'ML Clássico'!$K160</f>
        <v>489.0832498125</v>
      </c>
      <c r="F160" s="60" t="n">
        <f aca="false">'ML Clássico'!$Q160</f>
        <v>0.157925437307807</v>
      </c>
      <c r="G160" s="59" t="n">
        <f aca="false">'ML Premium'!$K160</f>
        <v>487.4295825</v>
      </c>
      <c r="H160" s="60" t="n">
        <f aca="false">'ML Premium'!$Q160</f>
        <v>0.125865859070012</v>
      </c>
      <c r="I160" s="59" t="n">
        <f aca="false">Amazon!$K160</f>
        <v>502.518518518519</v>
      </c>
      <c r="J160" s="60" t="n">
        <f aca="false">Amazon!$Q160</f>
        <v>0.2</v>
      </c>
      <c r="K160" s="59" t="n">
        <f aca="false">'Via (Casas Bahia)'!$K160</f>
        <v>589.913043478261</v>
      </c>
      <c r="L160" s="60" t="n">
        <f aca="false">'Via (Casas Bahia)'!$Q160</f>
        <v>0.2</v>
      </c>
      <c r="M160" s="59" t="n">
        <f aca="false">MadeiraMadeira!$K160</f>
        <v>565.333333333333</v>
      </c>
      <c r="N160" s="60" t="n">
        <f aca="false">MadeiraMadeira!$Q160</f>
        <v>0.2</v>
      </c>
      <c r="O160" s="59" t="n">
        <f aca="false">Magalu!$K160</f>
        <v>553.795918367347</v>
      </c>
      <c r="P160" s="60" t="n">
        <f aca="false">Magalu!$Q160</f>
        <v>0.2</v>
      </c>
      <c r="Q160" s="46" t="n">
        <f aca="false">IF(COUNT($F160,$H160,$J160,$L160,$N160,$P160)=0,"",MIN($F160,$H160,$J160,$L160,$N160,$P160))</f>
        <v>0.125865859070012</v>
      </c>
      <c r="R160" s="46" t="n">
        <f aca="false">IF(COUNT($F160,$H160,$J160,$L160,$N160,$P160)=0,"",MAX($F160,$H160,$J160,$L160,$N160,$P160))</f>
        <v>0.2</v>
      </c>
      <c r="S160" s="61" t="n">
        <f aca="false">IF($A160="","",COUNT($E160,$G160,$I160,$K160,$M160,$O160))</f>
        <v>6</v>
      </c>
    </row>
    <row r="161" customFormat="false" ht="15" hidden="false" customHeight="false" outlineLevel="0" collapsed="false">
      <c r="A161" s="48" t="str">
        <f aca="false">IF(Produtos!$A161="","",Produtos!$A161)</f>
        <v>PG2450</v>
      </c>
      <c r="B161" s="48" t="str">
        <f aca="false">IF(Produtos!$A161="","",Produtos!$B161)</f>
        <v>Porta Guarda-chuvas 24x50</v>
      </c>
      <c r="C161" s="48" t="str">
        <f aca="false">IF(Produtos!$A161="","",Produtos!$C161)</f>
        <v>Porta-guarda-chuvas</v>
      </c>
      <c r="D161" s="33" t="n">
        <f aca="false">IF(Produtos!$A161="","",IF(Produtos!$D161="","",Produtos!$D161))</f>
        <v>122.9</v>
      </c>
      <c r="E161" s="62" t="n">
        <f aca="false">'ML Clássico'!$K161</f>
        <v>263.789166375</v>
      </c>
      <c r="F161" s="60" t="n">
        <f aca="false">'ML Clássico'!$Q161</f>
        <v>0.144239101247946</v>
      </c>
      <c r="G161" s="62" t="n">
        <f aca="false">'ML Premium'!$K161</f>
        <v>271.023165</v>
      </c>
      <c r="H161" s="60" t="n">
        <f aca="false">'ML Premium'!$Q161</f>
        <v>0.130808103709512</v>
      </c>
      <c r="I161" s="62" t="n">
        <f aca="false">Amazon!$K161</f>
        <v>234.12</v>
      </c>
      <c r="J161" s="60" t="n">
        <f aca="false">Amazon!$Q161</f>
        <v>0.21505552708013</v>
      </c>
      <c r="K161" s="62" t="n">
        <f aca="false">'Via (Casas Bahia)'!$K161</f>
        <v>267.173913043478</v>
      </c>
      <c r="L161" s="60" t="n">
        <f aca="false">'Via (Casas Bahia)'!$Q161</f>
        <v>0.2</v>
      </c>
      <c r="M161" s="62" t="n">
        <f aca="false">MadeiraMadeira!$K161</f>
        <v>256.041666666667</v>
      </c>
      <c r="N161" s="60" t="n">
        <f aca="false">MadeiraMadeira!$Q161</f>
        <v>0.2</v>
      </c>
      <c r="O161" s="62" t="n">
        <f aca="false">Magalu!$K161</f>
        <v>260.934182590234</v>
      </c>
      <c r="P161" s="60" t="n">
        <f aca="false">Magalu!$Q161</f>
        <v>0.2</v>
      </c>
      <c r="Q161" s="46" t="n">
        <f aca="false">IF(COUNT($F161,$H161,$J161,$L161,$N161,$P161)=0,"",MIN($F161,$H161,$J161,$L161,$N161,$P161))</f>
        <v>0.130808103709512</v>
      </c>
      <c r="R161" s="46" t="n">
        <f aca="false">IF(COUNT($F161,$H161,$J161,$L161,$N161,$P161)=0,"",MAX($F161,$H161,$J161,$L161,$N161,$P161))</f>
        <v>0.21505552708013</v>
      </c>
      <c r="S161" s="61" t="n">
        <f aca="false">IF($A161="","",COUNT($E161,$G161,$I161,$K161,$M161,$O161))</f>
        <v>6</v>
      </c>
    </row>
    <row r="162" customFormat="false" ht="15" hidden="false" customHeight="false" outlineLevel="0" collapsed="false">
      <c r="A162" s="32" t="str">
        <f aca="false">IF(Produtos!$A162="","",Produtos!$A162)</f>
        <v>PG2460</v>
      </c>
      <c r="B162" s="32" t="str">
        <f aca="false">IF(Produtos!$A162="","",Produtos!$B162)</f>
        <v>Porta Guarda-chuvas 24x60</v>
      </c>
      <c r="C162" s="32" t="str">
        <f aca="false">IF(Produtos!$A162="","",Produtos!$C162)</f>
        <v>Porta-guarda-chuvas</v>
      </c>
      <c r="D162" s="33" t="n">
        <f aca="false">IF(Produtos!$A162="","",IF(Produtos!$D162="","",Produtos!$D162))</f>
        <v>124.42</v>
      </c>
      <c r="E162" s="59" t="n">
        <f aca="false">'ML Clássico'!$K162</f>
        <v>287.96</v>
      </c>
      <c r="F162" s="60" t="n">
        <f aca="false">'ML Clássico'!$Q162</f>
        <v>0.191066120294485</v>
      </c>
      <c r="G162" s="59" t="n">
        <f aca="false">'ML Premium'!$K162</f>
        <v>287.95921875</v>
      </c>
      <c r="H162" s="60" t="n">
        <f aca="false">'ML Premium'!$Q162</f>
        <v>0.161064563178705</v>
      </c>
      <c r="I162" s="59" t="n">
        <f aca="false">Amazon!$K162</f>
        <v>248.75</v>
      </c>
      <c r="J162" s="60" t="n">
        <f aca="false">Amazon!$Q162</f>
        <v>0.239819095477387</v>
      </c>
      <c r="K162" s="59" t="n">
        <f aca="false">'Via (Casas Bahia)'!$K162</f>
        <v>270.478260869565</v>
      </c>
      <c r="L162" s="60" t="n">
        <f aca="false">'Via (Casas Bahia)'!$Q162</f>
        <v>0.2</v>
      </c>
      <c r="M162" s="59" t="n">
        <f aca="false">MadeiraMadeira!$K162</f>
        <v>259.208333333333</v>
      </c>
      <c r="N162" s="60" t="n">
        <f aca="false">MadeiraMadeira!$Q162</f>
        <v>0.2</v>
      </c>
      <c r="O162" s="59" t="n">
        <f aca="false">Magalu!$K162</f>
        <v>264.16135881104</v>
      </c>
      <c r="P162" s="60" t="n">
        <f aca="false">Magalu!$Q162</f>
        <v>0.2</v>
      </c>
      <c r="Q162" s="46" t="n">
        <f aca="false">IF(COUNT($F162,$H162,$J162,$L162,$N162,$P162)=0,"",MIN($F162,$H162,$J162,$L162,$N162,$P162))</f>
        <v>0.161064563178705</v>
      </c>
      <c r="R162" s="46" t="n">
        <f aca="false">IF(COUNT($F162,$H162,$J162,$L162,$N162,$P162)=0,"",MAX($F162,$H162,$J162,$L162,$N162,$P162))</f>
        <v>0.239819095477387</v>
      </c>
      <c r="S162" s="61" t="n">
        <f aca="false">IF($A162="","",COUNT($E162,$G162,$I162,$K162,$M162,$O162))</f>
        <v>6</v>
      </c>
    </row>
    <row r="163" customFormat="false" ht="15" hidden="false" customHeight="false" outlineLevel="0" collapsed="false">
      <c r="A163" s="48" t="str">
        <f aca="false">IF(Produtos!$A163="","",Produtos!$A163)</f>
        <v>PG2470</v>
      </c>
      <c r="B163" s="48" t="str">
        <f aca="false">IF(Produtos!$A163="","",Produtos!$B163)</f>
        <v>Porta Guarda-chuvas 24x70</v>
      </c>
      <c r="C163" s="48" t="str">
        <f aca="false">IF(Produtos!$A163="","",Produtos!$C163)</f>
        <v>Porta-guarda-chuvas</v>
      </c>
      <c r="D163" s="33" t="n">
        <f aca="false">IF(Produtos!$A163="","",IF(Produtos!$D163="","",Produtos!$D163))</f>
        <v>194.41</v>
      </c>
      <c r="E163" s="62" t="n">
        <f aca="false">'ML Clássico'!$K163</f>
        <v>410.30628975</v>
      </c>
      <c r="F163" s="60" t="n">
        <f aca="false">'ML Clássico'!$Q163</f>
        <v>0.16749514539644</v>
      </c>
      <c r="G163" s="62" t="n">
        <f aca="false">'ML Premium'!$K163</f>
        <v>417.439575</v>
      </c>
      <c r="H163" s="60" t="n">
        <f aca="false">'ML Premium'!$Q163</f>
        <v>0.147705419700564</v>
      </c>
      <c r="I163" s="62" t="n">
        <f aca="false">Amazon!$K163</f>
        <v>360.6</v>
      </c>
      <c r="J163" s="60" t="n">
        <f aca="false">Amazon!$Q163</f>
        <v>0.200870770937327</v>
      </c>
      <c r="K163" s="62" t="n">
        <f aca="false">'Via (Casas Bahia)'!$K163</f>
        <v>422.630434782609</v>
      </c>
      <c r="L163" s="60" t="n">
        <f aca="false">'Via (Casas Bahia)'!$Q163</f>
        <v>0.2</v>
      </c>
      <c r="M163" s="62" t="n">
        <f aca="false">MadeiraMadeira!$K163</f>
        <v>405.020833333333</v>
      </c>
      <c r="N163" s="60" t="n">
        <f aca="false">MadeiraMadeira!$Q163</f>
        <v>0.2</v>
      </c>
      <c r="O163" s="62" t="n">
        <f aca="false">Magalu!$K163</f>
        <v>412.76008492569</v>
      </c>
      <c r="P163" s="60" t="n">
        <f aca="false">Magalu!$Q163</f>
        <v>0.2</v>
      </c>
      <c r="Q163" s="46" t="n">
        <f aca="false">IF(COUNT($F163,$H163,$J163,$L163,$N163,$P163)=0,"",MIN($F163,$H163,$J163,$L163,$N163,$P163))</f>
        <v>0.147705419700564</v>
      </c>
      <c r="R163" s="46" t="n">
        <f aca="false">IF(COUNT($F163,$H163,$J163,$L163,$N163,$P163)=0,"",MAX($F163,$H163,$J163,$L163,$N163,$P163))</f>
        <v>0.200870770937327</v>
      </c>
      <c r="S163" s="61" t="n">
        <f aca="false">IF($A163="","",COUNT($E163,$G163,$I163,$K163,$M163,$O163))</f>
        <v>6</v>
      </c>
    </row>
    <row r="164" customFormat="false" ht="15" hidden="false" customHeight="false" outlineLevel="0" collapsed="false">
      <c r="A164" s="32" t="str">
        <f aca="false">IF(Produtos!$A164="","",Produtos!$A164)</f>
        <v>PG3060</v>
      </c>
      <c r="B164" s="32" t="str">
        <f aca="false">IF(Produtos!$A164="","",Produtos!$B164)</f>
        <v>Porta Guarda-chuvas 30x60</v>
      </c>
      <c r="C164" s="32" t="str">
        <f aca="false">IF(Produtos!$A164="","",Produtos!$C164)</f>
        <v>Porta-guarda-chuvas</v>
      </c>
      <c r="D164" s="33" t="n">
        <f aca="false">IF(Produtos!$A164="","",IF(Produtos!$D164="","",Produtos!$D164))</f>
        <v>170.08</v>
      </c>
      <c r="E164" s="59" t="n">
        <f aca="false">'ML Clássico'!$K164</f>
        <v>314.962962962963</v>
      </c>
      <c r="F164" s="60" t="n">
        <f aca="false">'ML Clássico'!$Q164</f>
        <v>0.2</v>
      </c>
      <c r="G164" s="59" t="n">
        <f aca="false">'ML Premium'!$K164</f>
        <v>371.84072625</v>
      </c>
      <c r="H164" s="60" t="n">
        <f aca="false">'ML Premium'!$Q164</f>
        <v>0.10050790877765</v>
      </c>
      <c r="I164" s="59" t="n">
        <f aca="false">Amazon!$K164</f>
        <v>321.21</v>
      </c>
      <c r="J164" s="60" t="n">
        <f aca="false">Amazon!$Q164</f>
        <v>0.210502163693534</v>
      </c>
      <c r="K164" s="59" t="n">
        <f aca="false">'Via (Casas Bahia)'!$K164</f>
        <v>369.739130434783</v>
      </c>
      <c r="L164" s="60" t="n">
        <f aca="false">'Via (Casas Bahia)'!$Q164</f>
        <v>0.2</v>
      </c>
      <c r="M164" s="59" t="n">
        <f aca="false">MadeiraMadeira!$K164</f>
        <v>354.333333333333</v>
      </c>
      <c r="N164" s="60" t="n">
        <f aca="false">MadeiraMadeira!$Q164</f>
        <v>0.2</v>
      </c>
      <c r="O164" s="59" t="n">
        <f aca="false">Magalu!$K164</f>
        <v>361.104033970276</v>
      </c>
      <c r="P164" s="60" t="n">
        <f aca="false">Magalu!$Q164</f>
        <v>0.2</v>
      </c>
      <c r="Q164" s="46" t="n">
        <f aca="false">IF(COUNT($F164,$H164,$J164,$L164,$N164,$P164)=0,"",MIN($F164,$H164,$J164,$L164,$N164,$P164))</f>
        <v>0.10050790877765</v>
      </c>
      <c r="R164" s="46" t="n">
        <f aca="false">IF(COUNT($F164,$H164,$J164,$L164,$N164,$P164)=0,"",MAX($F164,$H164,$J164,$L164,$N164,$P164))</f>
        <v>0.210502163693534</v>
      </c>
      <c r="S164" s="61" t="n">
        <f aca="false">IF($A164="","",COUNT($E164,$G164,$I164,$K164,$M164,$O164))</f>
        <v>6</v>
      </c>
    </row>
    <row r="165" customFormat="false" ht="15" hidden="false" customHeight="false" outlineLevel="0" collapsed="false">
      <c r="A165" s="48" t="str">
        <f aca="false">IF(Produtos!$A165="","",Produtos!$A165)</f>
        <v>PG3070</v>
      </c>
      <c r="B165" s="48" t="str">
        <f aca="false">IF(Produtos!$A165="","",Produtos!$B165)</f>
        <v>Porta Guarda-chuvas 30x70</v>
      </c>
      <c r="C165" s="48" t="str">
        <f aca="false">IF(Produtos!$A165="","",Produtos!$C165)</f>
        <v>Porta-guarda-chuvas</v>
      </c>
      <c r="D165" s="33" t="n">
        <f aca="false">IF(Produtos!$A165="","",IF(Produtos!$D165="","",Produtos!$D165))</f>
        <v>232.51</v>
      </c>
      <c r="E165" s="62" t="n">
        <f aca="false">'ML Clássico'!$K165</f>
        <v>455.7569625</v>
      </c>
      <c r="F165" s="60" t="n">
        <f aca="false">'ML Clássico'!$Q165</f>
        <v>0.099162667893417</v>
      </c>
      <c r="G165" s="62" t="n">
        <f aca="false">'ML Premium'!$K165</f>
        <v>522.28567125</v>
      </c>
      <c r="H165" s="60" t="n">
        <f aca="false">'ML Premium'!$Q165</f>
        <v>0.153976976194424</v>
      </c>
      <c r="I165" s="62" t="n">
        <f aca="false">Amazon!$K165</f>
        <v>451.17</v>
      </c>
      <c r="J165" s="60" t="n">
        <f aca="false">Amazon!$Q165</f>
        <v>0.224651018463107</v>
      </c>
      <c r="K165" s="62" t="n">
        <f aca="false">'Via (Casas Bahia)'!$K165</f>
        <v>505.45652173913</v>
      </c>
      <c r="L165" s="60" t="n">
        <f aca="false">'Via (Casas Bahia)'!$Q165</f>
        <v>0.2</v>
      </c>
      <c r="M165" s="62" t="n">
        <f aca="false">MadeiraMadeira!$K165</f>
        <v>484.395833333333</v>
      </c>
      <c r="N165" s="60" t="n">
        <f aca="false">MadeiraMadeira!$Q165</f>
        <v>0.2</v>
      </c>
      <c r="O165" s="62" t="n">
        <f aca="false">Magalu!$K165</f>
        <v>493.651804670913</v>
      </c>
      <c r="P165" s="60" t="n">
        <f aca="false">Magalu!$Q165</f>
        <v>0.2</v>
      </c>
      <c r="Q165" s="46" t="n">
        <f aca="false">IF(COUNT($F165,$H165,$J165,$L165,$N165,$P165)=0,"",MIN($F165,$H165,$J165,$L165,$N165,$P165))</f>
        <v>0.099162667893417</v>
      </c>
      <c r="R165" s="46" t="n">
        <f aca="false">IF(COUNT($F165,$H165,$J165,$L165,$N165,$P165)=0,"",MAX($F165,$H165,$J165,$L165,$N165,$P165))</f>
        <v>0.224651018463107</v>
      </c>
      <c r="S165" s="61" t="n">
        <f aca="false">IF($A165="","",COUNT($E165,$G165,$I165,$K165,$M165,$O165))</f>
        <v>6</v>
      </c>
    </row>
    <row r="166" customFormat="false" ht="15" hidden="false" customHeight="false" outlineLevel="0" collapsed="false">
      <c r="A166" s="32" t="str">
        <f aca="false">IF(Produtos!$A166="","",Produtos!$A166)</f>
        <v>PG4050</v>
      </c>
      <c r="B166" s="32" t="str">
        <f aca="false">IF(Produtos!$A166="","",Produtos!$B166)</f>
        <v>Porta Guarda-chuvas 40x50</v>
      </c>
      <c r="C166" s="32" t="str">
        <f aca="false">IF(Produtos!$A166="","",Produtos!$C166)</f>
        <v>Porta-guarda-chuvas</v>
      </c>
      <c r="D166" s="33" t="n">
        <f aca="false">IF(Produtos!$A166="","",IF(Produtos!$D166="","",Produtos!$D166))</f>
        <v>228.9</v>
      </c>
      <c r="E166" s="59" t="n">
        <f aca="false">'ML Clássico'!$K166</f>
        <v>498.7280025</v>
      </c>
      <c r="F166" s="60" t="n">
        <f aca="false">'ML Clássico'!$Q166</f>
        <v>0.121663354791272</v>
      </c>
      <c r="G166" s="59" t="n">
        <f aca="false">'ML Premium'!$K166</f>
        <v>461.76503625</v>
      </c>
      <c r="H166" s="60" t="n">
        <f aca="false">'ML Premium'!$Q166</f>
        <v>0.0401661022115768</v>
      </c>
      <c r="I166" s="59" t="n">
        <f aca="false">Amazon!$K166</f>
        <v>460.12</v>
      </c>
      <c r="J166" s="60" t="n">
        <f aca="false">Amazon!$Q166</f>
        <v>0.242521081457011</v>
      </c>
      <c r="K166" s="59" t="n">
        <f aca="false">'Via (Casas Bahia)'!$K166</f>
        <v>497.608695652174</v>
      </c>
      <c r="L166" s="60" t="n">
        <f aca="false">'Via (Casas Bahia)'!$Q166</f>
        <v>0.2</v>
      </c>
      <c r="M166" s="59" t="n">
        <f aca="false">MadeiraMadeira!$K166</f>
        <v>476.875</v>
      </c>
      <c r="N166" s="60" t="n">
        <f aca="false">MadeiraMadeira!$Q166</f>
        <v>0.2</v>
      </c>
      <c r="O166" s="59" t="n">
        <f aca="false">Magalu!$K166</f>
        <v>485.987261146497</v>
      </c>
      <c r="P166" s="60" t="n">
        <f aca="false">Magalu!$Q166</f>
        <v>0.2</v>
      </c>
      <c r="Q166" s="46" t="n">
        <f aca="false">IF(COUNT($F166,$H166,$J166,$L166,$N166,$P166)=0,"",MIN($F166,$H166,$J166,$L166,$N166,$P166))</f>
        <v>0.0401661022115768</v>
      </c>
      <c r="R166" s="46" t="n">
        <f aca="false">IF(COUNT($F166,$H166,$J166,$L166,$N166,$P166)=0,"",MAX($F166,$H166,$J166,$L166,$N166,$P166))</f>
        <v>0.242521081457011</v>
      </c>
      <c r="S166" s="61" t="n">
        <f aca="false">IF($A166="","",COUNT($E166,$G166,$I166,$K166,$M166,$O166))</f>
        <v>6</v>
      </c>
    </row>
    <row r="167" customFormat="false" ht="15" hidden="false" customHeight="false" outlineLevel="0" collapsed="false">
      <c r="A167" s="48" t="str">
        <f aca="false">IF(Produtos!$A167="","",Produtos!$A167)</f>
        <v>PG4060</v>
      </c>
      <c r="B167" s="48" t="str">
        <f aca="false">IF(Produtos!$A167="","",Produtos!$B167)</f>
        <v>Porta Guarda-chuvas 40x60</v>
      </c>
      <c r="C167" s="48" t="str">
        <f aca="false">IF(Produtos!$A167="","",Produtos!$C167)</f>
        <v>Porta-guarda-chuvas</v>
      </c>
      <c r="D167" s="33" t="n">
        <f aca="false">IF(Produtos!$A167="","",IF(Produtos!$D167="","",Produtos!$D167))</f>
        <v>265.85</v>
      </c>
      <c r="E167" s="62" t="n">
        <f aca="false">'ML Clássico'!$K167</f>
        <v>492.314814814815</v>
      </c>
      <c r="F167" s="60" t="n">
        <f aca="false">'ML Clássico'!$Q167</f>
        <v>0.2</v>
      </c>
      <c r="G167" s="62" t="n">
        <f aca="false">'ML Premium'!$K167</f>
        <v>542.551020408163</v>
      </c>
      <c r="H167" s="60" t="n">
        <f aca="false">'ML Premium'!$Q167</f>
        <v>0.2</v>
      </c>
      <c r="I167" s="62" t="n">
        <f aca="false">Amazon!$K167</f>
        <v>492.314814814815</v>
      </c>
      <c r="J167" s="60" t="n">
        <f aca="false">Amazon!$Q167</f>
        <v>0.2</v>
      </c>
      <c r="K167" s="62" t="n">
        <f aca="false">'Via (Casas Bahia)'!$K167</f>
        <v>577.934782608696</v>
      </c>
      <c r="L167" s="60" t="n">
        <f aca="false">'Via (Casas Bahia)'!$Q167</f>
        <v>0.2</v>
      </c>
      <c r="M167" s="62" t="n">
        <f aca="false">MadeiraMadeira!$K167</f>
        <v>553.854166666667</v>
      </c>
      <c r="N167" s="60" t="n">
        <f aca="false">MadeiraMadeira!$Q167</f>
        <v>0.2</v>
      </c>
      <c r="O167" s="62" t="n">
        <f aca="false">Magalu!$K167</f>
        <v>564.437367303609</v>
      </c>
      <c r="P167" s="60" t="n">
        <f aca="false">Magalu!$Q167</f>
        <v>0.2</v>
      </c>
      <c r="Q167" s="46" t="n">
        <f aca="false">IF(COUNT($F167,$H167,$J167,$L167,$N167,$P167)=0,"",MIN($F167,$H167,$J167,$L167,$N167,$P167))</f>
        <v>0.2</v>
      </c>
      <c r="R167" s="46" t="n">
        <f aca="false">IF(COUNT($F167,$H167,$J167,$L167,$N167,$P167)=0,"",MAX($F167,$H167,$J167,$L167,$N167,$P167))</f>
        <v>0.2</v>
      </c>
      <c r="S167" s="61" t="n">
        <f aca="false">IF($A167="","",COUNT($E167,$G167,$I167,$K167,$M167,$O167))</f>
        <v>6</v>
      </c>
    </row>
    <row r="168" customFormat="false" ht="15" hidden="false" customHeight="false" outlineLevel="0" collapsed="false">
      <c r="A168" s="32" t="str">
        <f aca="false">IF(Produtos!$A168="","",Produtos!$A168)</f>
        <v>PG4070</v>
      </c>
      <c r="B168" s="32" t="str">
        <f aca="false">IF(Produtos!$A168="","",Produtos!$B168)</f>
        <v>Porta Guarda-chuvas 40x70</v>
      </c>
      <c r="C168" s="32" t="str">
        <f aca="false">IF(Produtos!$A168="","",Produtos!$C168)</f>
        <v>Porta-guarda-chuvas</v>
      </c>
      <c r="D168" s="33" t="n">
        <f aca="false">IF(Produtos!$A168="","",IF(Produtos!$D168="","",Produtos!$D168))</f>
        <v>267.68</v>
      </c>
      <c r="E168" s="59" t="n">
        <f aca="false">'ML Clássico'!$K168</f>
        <v>495.703703703704</v>
      </c>
      <c r="F168" s="60" t="n">
        <f aca="false">'ML Clássico'!$Q168</f>
        <v>0.2</v>
      </c>
      <c r="G168" s="59" t="n">
        <f aca="false">'ML Premium'!$K168</f>
        <v>546.285714285714</v>
      </c>
      <c r="H168" s="60" t="n">
        <f aca="false">'ML Premium'!$Q168</f>
        <v>0.2</v>
      </c>
      <c r="I168" s="59" t="n">
        <f aca="false">Amazon!$K168</f>
        <v>495.703703703704</v>
      </c>
      <c r="J168" s="60" t="n">
        <f aca="false">Amazon!$Q168</f>
        <v>0.2</v>
      </c>
      <c r="K168" s="59" t="n">
        <f aca="false">'Via (Casas Bahia)'!$K168</f>
        <v>581.913043478261</v>
      </c>
      <c r="L168" s="60" t="n">
        <f aca="false">'Via (Casas Bahia)'!$Q168</f>
        <v>0.2</v>
      </c>
      <c r="M168" s="59" t="n">
        <f aca="false">MadeiraMadeira!$K168</f>
        <v>557.666666666667</v>
      </c>
      <c r="N168" s="60" t="n">
        <f aca="false">MadeiraMadeira!$Q168</f>
        <v>0.2</v>
      </c>
      <c r="O168" s="59" t="n">
        <f aca="false">Magalu!$K168</f>
        <v>568.322717622081</v>
      </c>
      <c r="P168" s="60" t="n">
        <f aca="false">Magalu!$Q168</f>
        <v>0.2</v>
      </c>
      <c r="Q168" s="46" t="n">
        <f aca="false">IF(COUNT($F168,$H168,$J168,$L168,$N168,$P168)=0,"",MIN($F168,$H168,$J168,$L168,$N168,$P168))</f>
        <v>0.2</v>
      </c>
      <c r="R168" s="46" t="n">
        <f aca="false">IF(COUNT($F168,$H168,$J168,$L168,$N168,$P168)=0,"",MAX($F168,$H168,$J168,$L168,$N168,$P168))</f>
        <v>0.2</v>
      </c>
      <c r="S168" s="61" t="n">
        <f aca="false">IF($A168="","",COUNT($E168,$G168,$I168,$K168,$M168,$O168))</f>
        <v>6</v>
      </c>
    </row>
    <row r="169" customFormat="false" ht="15" hidden="false" customHeight="false" outlineLevel="0" collapsed="false">
      <c r="A169" s="48" t="str">
        <f aca="false">IF(Produtos!$A169="","",Produtos!$A169)</f>
        <v>PG4080</v>
      </c>
      <c r="B169" s="48" t="str">
        <f aca="false">IF(Produtos!$A169="","",Produtos!$B169)</f>
        <v>Porta Guarda-chuvas 40x80</v>
      </c>
      <c r="C169" s="48" t="str">
        <f aca="false">IF(Produtos!$A169="","",Produtos!$C169)</f>
        <v>Porta-guarda-chuvas</v>
      </c>
      <c r="D169" s="33" t="n">
        <f aca="false">IF(Produtos!$A169="","",IF(Produtos!$D169="","",Produtos!$D169))</f>
        <v>329.27</v>
      </c>
      <c r="E169" s="62" t="n">
        <f aca="false">'ML Clássico'!$K169</f>
        <v>722.65979375</v>
      </c>
      <c r="F169" s="60" t="n">
        <f aca="false">'ML Clássico'!$Q169</f>
        <v>0.201184769844199</v>
      </c>
      <c r="G169" s="62" t="n">
        <f aca="false">'ML Premium'!$K169</f>
        <v>705.125925</v>
      </c>
      <c r="H169" s="60" t="n">
        <f aca="false">'ML Premium'!$Q169</f>
        <v>0.137413437358724</v>
      </c>
      <c r="I169" s="62" t="n">
        <f aca="false">Amazon!$K169</f>
        <v>639.57</v>
      </c>
      <c r="J169" s="60" t="n">
        <f aca="false">Amazon!$Q169</f>
        <v>0.225169723407915</v>
      </c>
      <c r="K169" s="62" t="n">
        <f aca="false">'Via (Casas Bahia)'!$K169</f>
        <v>715.804347826087</v>
      </c>
      <c r="L169" s="60" t="n">
        <f aca="false">'Via (Casas Bahia)'!$Q169</f>
        <v>0.2</v>
      </c>
      <c r="M169" s="62" t="n">
        <f aca="false">MadeiraMadeira!$K169</f>
        <v>685.979166666667</v>
      </c>
      <c r="N169" s="60" t="n">
        <f aca="false">MadeiraMadeira!$Q169</f>
        <v>0.2</v>
      </c>
      <c r="O169" s="62" t="n">
        <f aca="false">Magalu!$K169</f>
        <v>699.087048832272</v>
      </c>
      <c r="P169" s="60" t="n">
        <f aca="false">Magalu!$Q169</f>
        <v>0.2</v>
      </c>
      <c r="Q169" s="46" t="n">
        <f aca="false">IF(COUNT($F169,$H169,$J169,$L169,$N169,$P169)=0,"",MIN($F169,$H169,$J169,$L169,$N169,$P169))</f>
        <v>0.137413437358724</v>
      </c>
      <c r="R169" s="46" t="n">
        <f aca="false">IF(COUNT($F169,$H169,$J169,$L169,$N169,$P169)=0,"",MAX($F169,$H169,$J169,$L169,$N169,$P169))</f>
        <v>0.225169723407915</v>
      </c>
      <c r="S169" s="61" t="n">
        <f aca="false">IF($A169="","",COUNT($E169,$G169,$I169,$K169,$M169,$O169))</f>
        <v>6</v>
      </c>
    </row>
    <row r="170" customFormat="false" ht="15" hidden="false" customHeight="false" outlineLevel="0" collapsed="false">
      <c r="A170" s="32" t="str">
        <f aca="false">IF(Produtos!$A170="","",Produtos!$A170)</f>
        <v>PG4085</v>
      </c>
      <c r="B170" s="32" t="str">
        <f aca="false">IF(Produtos!$A170="","",Produtos!$B170)</f>
        <v>Porta Guarda-chuvas 40x85 105L</v>
      </c>
      <c r="C170" s="32" t="str">
        <f aca="false">IF(Produtos!$A170="","",Produtos!$C170)</f>
        <v>Porta-guarda-chuvas</v>
      </c>
      <c r="D170" s="33" t="n">
        <f aca="false">IF(Produtos!$A170="","",IF(Produtos!$D170="","",Produtos!$D170))</f>
        <v>331.32</v>
      </c>
      <c r="E170" s="59" t="n">
        <f aca="false">'ML Clássico'!$K170</f>
        <v>613.555555555556</v>
      </c>
      <c r="F170" s="60" t="n">
        <f aca="false">'ML Clássico'!$Q170</f>
        <v>0.2</v>
      </c>
      <c r="G170" s="59" t="n">
        <f aca="false">'ML Premium'!$K170</f>
        <v>676.163265306122</v>
      </c>
      <c r="H170" s="60" t="n">
        <f aca="false">'ML Premium'!$Q170</f>
        <v>0.2</v>
      </c>
      <c r="I170" s="59" t="n">
        <f aca="false">Amazon!$K170</f>
        <v>613.555555555556</v>
      </c>
      <c r="J170" s="60" t="n">
        <f aca="false">Amazon!$Q170</f>
        <v>0.2</v>
      </c>
      <c r="K170" s="59" t="n">
        <f aca="false">'Via (Casas Bahia)'!$K170</f>
        <v>720.260869565217</v>
      </c>
      <c r="L170" s="60" t="n">
        <f aca="false">'Via (Casas Bahia)'!$Q170</f>
        <v>0.2</v>
      </c>
      <c r="M170" s="59" t="n">
        <f aca="false">MadeiraMadeira!$K170</f>
        <v>690.25</v>
      </c>
      <c r="N170" s="60" t="n">
        <f aca="false">MadeiraMadeira!$Q170</f>
        <v>0.2</v>
      </c>
      <c r="O170" s="59" t="n">
        <f aca="false">Magalu!$K170</f>
        <v>703.43949044586</v>
      </c>
      <c r="P170" s="60" t="n">
        <f aca="false">Magalu!$Q170</f>
        <v>0.2</v>
      </c>
      <c r="Q170" s="46" t="n">
        <f aca="false">IF(COUNT($F170,$H170,$J170,$L170,$N170,$P170)=0,"",MIN($F170,$H170,$J170,$L170,$N170,$P170))</f>
        <v>0.2</v>
      </c>
      <c r="R170" s="46" t="n">
        <f aca="false">IF(COUNT($F170,$H170,$J170,$L170,$N170,$P170)=0,"",MAX($F170,$H170,$J170,$L170,$N170,$P170))</f>
        <v>0.2</v>
      </c>
      <c r="S170" s="61" t="n">
        <f aca="false">IF($A170="","",COUNT($E170,$G170,$I170,$K170,$M170,$O170))</f>
        <v>6</v>
      </c>
    </row>
    <row r="171" customFormat="false" ht="15" hidden="false" customHeight="false" outlineLevel="0" collapsed="false">
      <c r="A171" s="48" t="str">
        <f aca="false">IF(Produtos!$A171="","",Produtos!$A171)</f>
        <v>PG4090</v>
      </c>
      <c r="B171" s="48" t="str">
        <f aca="false">IF(Produtos!$A171="","",Produtos!$B171)</f>
        <v>Porta Guarda-chuvas 40x90</v>
      </c>
      <c r="C171" s="48" t="str">
        <f aca="false">IF(Produtos!$A171="","",Produtos!$C171)</f>
        <v>Porta-guarda-chuvas</v>
      </c>
      <c r="D171" s="33" t="n">
        <f aca="false">IF(Produtos!$A171="","",IF(Produtos!$D171="","",Produtos!$D171))</f>
        <v>329.27</v>
      </c>
      <c r="E171" s="62" t="n">
        <f aca="false">'ML Clássico'!$K171</f>
        <v>609.759259259259</v>
      </c>
      <c r="F171" s="60" t="n">
        <f aca="false">'ML Clássico'!$Q171</f>
        <v>0.2</v>
      </c>
      <c r="G171" s="62" t="n">
        <f aca="false">'ML Premium'!$K171</f>
        <v>671.979591836735</v>
      </c>
      <c r="H171" s="60" t="n">
        <f aca="false">'ML Premium'!$Q171</f>
        <v>0.2</v>
      </c>
      <c r="I171" s="62" t="n">
        <f aca="false">Amazon!$K171</f>
        <v>609.759259259259</v>
      </c>
      <c r="J171" s="60" t="n">
        <f aca="false">Amazon!$Q171</f>
        <v>0.2</v>
      </c>
      <c r="K171" s="62" t="n">
        <f aca="false">'Via (Casas Bahia)'!$K171</f>
        <v>715.804347826087</v>
      </c>
      <c r="L171" s="60" t="n">
        <f aca="false">'Via (Casas Bahia)'!$Q171</f>
        <v>0.2</v>
      </c>
      <c r="M171" s="62" t="n">
        <f aca="false">MadeiraMadeira!$K171</f>
        <v>685.979166666667</v>
      </c>
      <c r="N171" s="60" t="n">
        <f aca="false">MadeiraMadeira!$Q171</f>
        <v>0.2</v>
      </c>
      <c r="O171" s="62" t="n">
        <f aca="false">Magalu!$K171</f>
        <v>699.087048832272</v>
      </c>
      <c r="P171" s="60" t="n">
        <f aca="false">Magalu!$Q171</f>
        <v>0.2</v>
      </c>
      <c r="Q171" s="46" t="n">
        <f aca="false">IF(COUNT($F171,$H171,$J171,$L171,$N171,$P171)=0,"",MIN($F171,$H171,$J171,$L171,$N171,$P171))</f>
        <v>0.2</v>
      </c>
      <c r="R171" s="46" t="n">
        <f aca="false">IF(COUNT($F171,$H171,$J171,$L171,$N171,$P171)=0,"",MAX($F171,$H171,$J171,$L171,$N171,$P171))</f>
        <v>0.2</v>
      </c>
      <c r="S171" s="61" t="n">
        <f aca="false">IF($A171="","",COUNT($E171,$G171,$I171,$K171,$M171,$O171))</f>
        <v>6</v>
      </c>
    </row>
    <row r="172" customFormat="false" ht="15" hidden="false" customHeight="false" outlineLevel="0" collapsed="false">
      <c r="A172" s="32" t="str">
        <f aca="false">IF(Produtos!$A172="","",Produtos!$A172)</f>
        <v>EMB-03</v>
      </c>
      <c r="B172" s="32" t="str">
        <f aca="false">IF(Produtos!$A172="","",Produtos!$B172)</f>
        <v>Lixeira Embutir Pia 3L c/Balde Alumínio</v>
      </c>
      <c r="C172" s="32" t="str">
        <f aca="false">IF(Produtos!$A172="","",Produtos!$C172)</f>
        <v>Lixeiras em inox</v>
      </c>
      <c r="D172" s="33" t="n">
        <f aca="false">IF(Produtos!$A172="","",IF(Produtos!$D172="","",Produtos!$D172))</f>
        <v>97.42</v>
      </c>
      <c r="E172" s="59" t="n">
        <f aca="false">'ML Clássico'!$K172</f>
        <v>200.04</v>
      </c>
      <c r="F172" s="60" t="n">
        <f aca="false">'ML Clássico'!$Q172</f>
        <v>0.135272945410918</v>
      </c>
      <c r="G172" s="59" t="n">
        <f aca="false">'ML Premium'!$K172</f>
        <v>215.4</v>
      </c>
      <c r="H172" s="60" t="n">
        <f aca="false">'ML Premium'!$Q172</f>
        <v>0.149108635097493</v>
      </c>
      <c r="I172" s="59" t="n">
        <f aca="false">Amazon!$K172</f>
        <v>195.21</v>
      </c>
      <c r="J172" s="60" t="n">
        <f aca="false">Amazon!$Q172</f>
        <v>0.24094769735157</v>
      </c>
      <c r="K172" s="59" t="n">
        <f aca="false">'Via (Casas Bahia)'!$K172</f>
        <v>211.782608695652</v>
      </c>
      <c r="L172" s="60" t="n">
        <f aca="false">'Via (Casas Bahia)'!$Q172</f>
        <v>0.2</v>
      </c>
      <c r="M172" s="59" t="n">
        <f aca="false">MadeiraMadeira!$K172</f>
        <v>202.958333333333</v>
      </c>
      <c r="N172" s="60" t="n">
        <f aca="false">MadeiraMadeira!$Q172</f>
        <v>0.2</v>
      </c>
      <c r="O172" s="59" t="n">
        <f aca="false">Magalu!$K172</f>
        <v>198.816326530612</v>
      </c>
      <c r="P172" s="60" t="n">
        <f aca="false">Magalu!$Q172</f>
        <v>0.2</v>
      </c>
      <c r="Q172" s="46" t="n">
        <f aca="false">IF(COUNT($F172,$H172,$J172,$L172,$N172,$P172)=0,"",MIN($F172,$H172,$J172,$L172,$N172,$P172))</f>
        <v>0.135272945410918</v>
      </c>
      <c r="R172" s="46" t="n">
        <f aca="false">IF(COUNT($F172,$H172,$J172,$L172,$N172,$P172)=0,"",MAX($F172,$H172,$J172,$L172,$N172,$P172))</f>
        <v>0.24094769735157</v>
      </c>
      <c r="S172" s="61" t="n">
        <f aca="false">IF($A172="","",COUNT($E172,$G172,$I172,$K172,$M172,$O172))</f>
        <v>6</v>
      </c>
    </row>
    <row r="173" customFormat="false" ht="15" hidden="false" customHeight="false" outlineLevel="0" collapsed="false">
      <c r="A173" s="48" t="str">
        <f aca="false">IF(Produtos!$A173="","",Produtos!$A173)</f>
        <v>EMB-05</v>
      </c>
      <c r="B173" s="48" t="str">
        <f aca="false">IF(Produtos!$A173="","",Produtos!$B173)</f>
        <v>Lixeira Embutir Pia 5L c/Balde Alumínio</v>
      </c>
      <c r="C173" s="48" t="str">
        <f aca="false">IF(Produtos!$A173="","",Produtos!$C173)</f>
        <v>Lixeiras em inox</v>
      </c>
      <c r="D173" s="33" t="n">
        <f aca="false">IF(Produtos!$A173="","",IF(Produtos!$D173="","",Produtos!$D173))</f>
        <v>134.46</v>
      </c>
      <c r="E173" s="62" t="n">
        <f aca="false">'ML Clássico'!$K173</f>
        <v>214.98455</v>
      </c>
      <c r="F173" s="60" t="n">
        <f aca="false">'ML Clássico'!$Q173</f>
        <v>-0.0014028333663977</v>
      </c>
      <c r="G173" s="62" t="n">
        <f aca="false">'ML Premium'!$K173</f>
        <v>224.447275</v>
      </c>
      <c r="H173" s="60" t="n">
        <f aca="false">'ML Premium'!$Q173</f>
        <v>0.00041006512554001</v>
      </c>
      <c r="I173" s="62" t="n">
        <f aca="false">Amazon!$K173</f>
        <v>244.9</v>
      </c>
      <c r="J173" s="60" t="n">
        <f aca="false">Amazon!$Q173</f>
        <v>0.190959575336872</v>
      </c>
      <c r="K173" s="62" t="n">
        <f aca="false">'Via (Casas Bahia)'!$K173</f>
        <v>292.304347826087</v>
      </c>
      <c r="L173" s="60" t="n">
        <f aca="false">'Via (Casas Bahia)'!$Q173</f>
        <v>0.2</v>
      </c>
      <c r="M173" s="62" t="n">
        <f aca="false">MadeiraMadeira!$K173</f>
        <v>280.125</v>
      </c>
      <c r="N173" s="60" t="n">
        <f aca="false">MadeiraMadeira!$Q173</f>
        <v>0.2</v>
      </c>
      <c r="O173" s="62" t="n">
        <f aca="false">Magalu!$K173</f>
        <v>274.408163265306</v>
      </c>
      <c r="P173" s="60" t="n">
        <f aca="false">Magalu!$Q173</f>
        <v>0.2</v>
      </c>
      <c r="Q173" s="46" t="n">
        <f aca="false">IF(COUNT($F173,$H173,$J173,$L173,$N173,$P173)=0,"",MIN($F173,$H173,$J173,$L173,$N173,$P173))</f>
        <v>-0.0014028333663977</v>
      </c>
      <c r="R173" s="46" t="n">
        <f aca="false">IF(COUNT($F173,$H173,$J173,$L173,$N173,$P173)=0,"",MAX($F173,$H173,$J173,$L173,$N173,$P173))</f>
        <v>0.2</v>
      </c>
      <c r="S173" s="61" t="n">
        <f aca="false">IF($A173="","",COUNT($E173,$G173,$I173,$K173,$M173,$O173))</f>
        <v>6</v>
      </c>
    </row>
    <row r="174" customFormat="false" ht="15" hidden="false" customHeight="false" outlineLevel="0" collapsed="false">
      <c r="A174" s="32" t="str">
        <f aca="false">IF(Produtos!$A174="","",Produtos!$A174)</f>
        <v>EMB-08</v>
      </c>
      <c r="B174" s="32" t="str">
        <f aca="false">IF(Produtos!$A174="","",Produtos!$B174)</f>
        <v>Lixeira Embutir Pia 8L c/Balde Alumínio</v>
      </c>
      <c r="C174" s="32" t="str">
        <f aca="false">IF(Produtos!$A174="","",Produtos!$C174)</f>
        <v>Lixeiras em inox</v>
      </c>
      <c r="D174" s="33" t="n">
        <f aca="false">IF(Produtos!$A174="","",IF(Produtos!$D174="","",Produtos!$D174))</f>
        <v>181.23</v>
      </c>
      <c r="E174" s="59" t="n">
        <f aca="false">'ML Clássico'!$K174</f>
        <v>274.4</v>
      </c>
      <c r="F174" s="60" t="n">
        <f aca="false">'ML Clássico'!$Q174</f>
        <v>-0.0287172011661808</v>
      </c>
      <c r="G174" s="59" t="n">
        <f aca="false">'ML Premium'!$K174</f>
        <v>272.81</v>
      </c>
      <c r="H174" s="60" t="n">
        <f aca="false">'ML Premium'!$Q174</f>
        <v>-0.0632557457571203</v>
      </c>
      <c r="I174" s="59" t="n">
        <f aca="false">Amazon!$K174</f>
        <v>344.76</v>
      </c>
      <c r="J174" s="60" t="n">
        <f aca="false">Amazon!$Q174</f>
        <v>0.21432996867386</v>
      </c>
      <c r="K174" s="59" t="n">
        <f aca="false">'Via (Casas Bahia)'!$K174</f>
        <v>393.978260869565</v>
      </c>
      <c r="L174" s="60" t="n">
        <f aca="false">'Via (Casas Bahia)'!$Q174</f>
        <v>0.2</v>
      </c>
      <c r="M174" s="59" t="n">
        <f aca="false">MadeiraMadeira!$K174</f>
        <v>377.5625</v>
      </c>
      <c r="N174" s="60" t="n">
        <f aca="false">MadeiraMadeira!$Q174</f>
        <v>0.2</v>
      </c>
      <c r="O174" s="59" t="n">
        <f aca="false">Magalu!$K174</f>
        <v>369.857142857143</v>
      </c>
      <c r="P174" s="60" t="n">
        <f aca="false">Magalu!$Q174</f>
        <v>0.2</v>
      </c>
      <c r="Q174" s="46" t="n">
        <f aca="false">IF(COUNT($F174,$H174,$J174,$L174,$N174,$P174)=0,"",MIN($F174,$H174,$J174,$L174,$N174,$P174))</f>
        <v>-0.0632557457571203</v>
      </c>
      <c r="R174" s="46" t="n">
        <f aca="false">IF(COUNT($F174,$H174,$J174,$L174,$N174,$P174)=0,"",MAX($F174,$H174,$J174,$L174,$N174,$P174))</f>
        <v>0.21432996867386</v>
      </c>
      <c r="S174" s="61" t="n">
        <f aca="false">IF($A174="","",COUNT($E174,$G174,$I174,$K174,$M174,$O174))</f>
        <v>6</v>
      </c>
    </row>
    <row r="175" customFormat="false" ht="15" hidden="false" customHeight="false" outlineLevel="0" collapsed="false">
      <c r="A175" s="48" t="str">
        <f aca="false">IF(Produtos!$A175="","",Produtos!$A175)</f>
        <v>EMB-03P</v>
      </c>
      <c r="B175" s="48" t="str">
        <f aca="false">IF(Produtos!$A175="","",Produtos!$B175)</f>
        <v>Lixeira Embutir Pia 3L c/Balde Alumínio e Tampa Preta</v>
      </c>
      <c r="C175" s="48" t="str">
        <f aca="false">IF(Produtos!$A175="","",Produtos!$C175)</f>
        <v>Lixeiras em inox</v>
      </c>
      <c r="D175" s="33" t="n">
        <f aca="false">IF(Produtos!$A175="","",IF(Produtos!$D175="","",Produtos!$D175))</f>
        <v>127.42</v>
      </c>
      <c r="E175" s="62" t="n">
        <f aca="false">'ML Clássico'!$K175</f>
        <v>235.962962962963</v>
      </c>
      <c r="F175" s="60" t="n">
        <f aca="false">'ML Clássico'!$Q175</f>
        <v>0.2</v>
      </c>
      <c r="G175" s="62" t="n">
        <f aca="false">'ML Premium'!$K175</f>
        <v>260.040816326531</v>
      </c>
      <c r="H175" s="60" t="n">
        <f aca="false">'ML Premium'!$Q175</f>
        <v>0.2</v>
      </c>
      <c r="I175" s="62" t="n">
        <f aca="false">Amazon!$K175</f>
        <v>245.9</v>
      </c>
      <c r="J175" s="60" t="n">
        <f aca="false">Amazon!$Q175</f>
        <v>0.221821878812525</v>
      </c>
      <c r="K175" s="62" t="n">
        <f aca="false">'Via (Casas Bahia)'!$K175</f>
        <v>277</v>
      </c>
      <c r="L175" s="60" t="n">
        <f aca="false">'Via (Casas Bahia)'!$Q175</f>
        <v>0.2</v>
      </c>
      <c r="M175" s="62" t="n">
        <f aca="false">MadeiraMadeira!$K175</f>
        <v>265.458333333333</v>
      </c>
      <c r="N175" s="60" t="n">
        <f aca="false">MadeiraMadeira!$Q175</f>
        <v>0.2</v>
      </c>
      <c r="O175" s="62" t="n">
        <f aca="false">Magalu!$K175</f>
        <v>260.040816326531</v>
      </c>
      <c r="P175" s="60" t="n">
        <f aca="false">Magalu!$Q175</f>
        <v>0.2</v>
      </c>
      <c r="Q175" s="46" t="n">
        <f aca="false">IF(COUNT($F175,$H175,$J175,$L175,$N175,$P175)=0,"",MIN($F175,$H175,$J175,$L175,$N175,$P175))</f>
        <v>0.2</v>
      </c>
      <c r="R175" s="46" t="n">
        <f aca="false">IF(COUNT($F175,$H175,$J175,$L175,$N175,$P175)=0,"",MAX($F175,$H175,$J175,$L175,$N175,$P175))</f>
        <v>0.221821878812525</v>
      </c>
      <c r="S175" s="61" t="n">
        <f aca="false">IF($A175="","",COUNT($E175,$G175,$I175,$K175,$M175,$O175))</f>
        <v>6</v>
      </c>
    </row>
    <row r="176" customFormat="false" ht="15" hidden="false" customHeight="false" outlineLevel="0" collapsed="false">
      <c r="A176" s="32" t="str">
        <f aca="false">IF(Produtos!$A176="","",Produtos!$A176)</f>
        <v>EMB-05P</v>
      </c>
      <c r="B176" s="32" t="str">
        <f aca="false">IF(Produtos!$A176="","",Produtos!$B176)</f>
        <v>Lixeira Embutir Pia 5L c/Balde Alumínio e Tampa Preta</v>
      </c>
      <c r="C176" s="32" t="str">
        <f aca="false">IF(Produtos!$A176="","",Produtos!$C176)</f>
        <v>Lixeiras em inox</v>
      </c>
      <c r="D176" s="33" t="n">
        <f aca="false">IF(Produtos!$A176="","",IF(Produtos!$D176="","",Produtos!$D176))</f>
        <v>154.46</v>
      </c>
      <c r="E176" s="59" t="n">
        <f aca="false">'ML Clássico'!$K176</f>
        <v>286.037037037037</v>
      </c>
      <c r="F176" s="60" t="n">
        <f aca="false">'ML Clássico'!$Q176</f>
        <v>0.2</v>
      </c>
      <c r="G176" s="59" t="n">
        <f aca="false">'ML Premium'!$K176</f>
        <v>315.224489795918</v>
      </c>
      <c r="H176" s="60" t="n">
        <f aca="false">'ML Premium'!$Q176</f>
        <v>0.2</v>
      </c>
      <c r="I176" s="59" t="n">
        <f aca="false">Amazon!$K176</f>
        <v>290</v>
      </c>
      <c r="J176" s="60" t="n">
        <f aca="false">Amazon!$Q176</f>
        <v>0.207379310344828</v>
      </c>
      <c r="K176" s="59" t="n">
        <f aca="false">'Via (Casas Bahia)'!$K176</f>
        <v>335.782608695652</v>
      </c>
      <c r="L176" s="60" t="n">
        <f aca="false">'Via (Casas Bahia)'!$Q176</f>
        <v>0.2</v>
      </c>
      <c r="M176" s="59" t="n">
        <f aca="false">MadeiraMadeira!$K176</f>
        <v>321.791666666667</v>
      </c>
      <c r="N176" s="60" t="n">
        <f aca="false">MadeiraMadeira!$Q176</f>
        <v>0.2</v>
      </c>
      <c r="O176" s="59" t="n">
        <f aca="false">Magalu!$K176</f>
        <v>315.224489795918</v>
      </c>
      <c r="P176" s="60" t="n">
        <f aca="false">Magalu!$Q176</f>
        <v>0.2</v>
      </c>
      <c r="Q176" s="46" t="n">
        <f aca="false">IF(COUNT($F176,$H176,$J176,$L176,$N176,$P176)=0,"",MIN($F176,$H176,$J176,$L176,$N176,$P176))</f>
        <v>0.2</v>
      </c>
      <c r="R176" s="46" t="n">
        <f aca="false">IF(COUNT($F176,$H176,$J176,$L176,$N176,$P176)=0,"",MAX($F176,$H176,$J176,$L176,$N176,$P176))</f>
        <v>0.207379310344828</v>
      </c>
      <c r="S176" s="61" t="n">
        <f aca="false">IF($A176="","",COUNT($E176,$G176,$I176,$K176,$M176,$O176))</f>
        <v>6</v>
      </c>
    </row>
    <row r="177" customFormat="false" ht="15" hidden="false" customHeight="false" outlineLevel="0" collapsed="false">
      <c r="A177" s="48" t="str">
        <f aca="false">IF(Produtos!$A177="","",Produtos!$A177)</f>
        <v>Q2430-A</v>
      </c>
      <c r="B177" s="48" t="str">
        <f aca="false">IF(Produtos!$A177="","",Produtos!$B177)</f>
        <v>Lixeira Quadrada c/Aro 24x30 15L</v>
      </c>
      <c r="C177" s="48" t="str">
        <f aca="false">IF(Produtos!$A177="","",Produtos!$C177)</f>
        <v>Lixeiras em inox</v>
      </c>
      <c r="D177" s="33" t="n">
        <f aca="false">IF(Produtos!$A177="","",IF(Produtos!$D177="","",Produtos!$D177))</f>
        <v>121.07</v>
      </c>
      <c r="E177" s="62" t="n">
        <f aca="false">'ML Clássico'!$K177</f>
        <v>251.69</v>
      </c>
      <c r="F177" s="60" t="n">
        <f aca="false">'ML Clássico'!$Q177</f>
        <v>0.164676784933847</v>
      </c>
      <c r="G177" s="62" t="n">
        <f aca="false">'ML Premium'!$K177</f>
        <v>262.77</v>
      </c>
      <c r="H177" s="60" t="n">
        <f aca="false">'ML Premium'!$Q177</f>
        <v>0.156313125547056</v>
      </c>
      <c r="I177" s="62" t="n">
        <f aca="false">Amazon!$K177</f>
        <v>231.21</v>
      </c>
      <c r="J177" s="60" t="n">
        <f aca="false">Amazon!$Q177</f>
        <v>0.216363479088275</v>
      </c>
      <c r="K177" s="62" t="n">
        <f aca="false">'Via (Casas Bahia)'!$K177</f>
        <v>263.195652173913</v>
      </c>
      <c r="L177" s="60" t="n">
        <f aca="false">'Via (Casas Bahia)'!$Q177</f>
        <v>0.2</v>
      </c>
      <c r="M177" s="62" t="n">
        <f aca="false">MadeiraMadeira!$K177</f>
        <v>252.229166666667</v>
      </c>
      <c r="N177" s="60" t="n">
        <f aca="false">MadeiraMadeira!$Q177</f>
        <v>0.2</v>
      </c>
      <c r="O177" s="62" t="n">
        <f aca="false">Magalu!$K177</f>
        <v>247.081632653061</v>
      </c>
      <c r="P177" s="60" t="n">
        <f aca="false">Magalu!$Q177</f>
        <v>0.2</v>
      </c>
      <c r="Q177" s="46" t="n">
        <f aca="false">IF(COUNT($F177,$H177,$J177,$L177,$N177,$P177)=0,"",MIN($F177,$H177,$J177,$L177,$N177,$P177))</f>
        <v>0.156313125547056</v>
      </c>
      <c r="R177" s="46" t="n">
        <f aca="false">IF(COUNT($F177,$H177,$J177,$L177,$N177,$P177)=0,"",MAX($F177,$H177,$J177,$L177,$N177,$P177))</f>
        <v>0.216363479088275</v>
      </c>
      <c r="S177" s="61" t="n">
        <f aca="false">IF($A177="","",COUNT($E177,$G177,$I177,$K177,$M177,$O177))</f>
        <v>6</v>
      </c>
    </row>
    <row r="178" customFormat="false" ht="15" hidden="false" customHeight="false" outlineLevel="0" collapsed="false">
      <c r="A178" s="32" t="str">
        <f aca="false">IF(Produtos!$A178="","",Produtos!$A178)</f>
        <v>Q2460-A</v>
      </c>
      <c r="B178" s="32" t="str">
        <f aca="false">IF(Produtos!$A178="","",Produtos!$B178)</f>
        <v>Lixeira Quadrada c/Aro 24x60 30L</v>
      </c>
      <c r="C178" s="32" t="str">
        <f aca="false">IF(Produtos!$A178="","",Produtos!$C178)</f>
        <v>Lixeiras em inox</v>
      </c>
      <c r="D178" s="33" t="n">
        <f aca="false">IF(Produtos!$A178="","",IF(Produtos!$D178="","",Produtos!$D178))</f>
        <v>183.04</v>
      </c>
      <c r="E178" s="59" t="n">
        <f aca="false">'ML Clássico'!$K178</f>
        <v>367.68375</v>
      </c>
      <c r="F178" s="60" t="n">
        <f aca="false">'ML Clássico'!$Q178</f>
        <v>0.13407167164717</v>
      </c>
      <c r="G178" s="59" t="n">
        <f aca="false">'ML Premium'!$K178</f>
        <v>385.268625</v>
      </c>
      <c r="H178" s="60" t="n">
        <f aca="false">'ML Premium'!$Q178</f>
        <v>0.116810472173798</v>
      </c>
      <c r="I178" s="59" t="n">
        <f aca="false">Amazon!$K178</f>
        <v>349.45</v>
      </c>
      <c r="J178" s="60" t="n">
        <f aca="false">Amazon!$Q178</f>
        <v>0.216205465731864</v>
      </c>
      <c r="K178" s="59" t="n">
        <f aca="false">'Via (Casas Bahia)'!$K178</f>
        <v>397.913043478261</v>
      </c>
      <c r="L178" s="60" t="n">
        <f aca="false">'Via (Casas Bahia)'!$Q178</f>
        <v>0.2</v>
      </c>
      <c r="M178" s="59" t="n">
        <f aca="false">MadeiraMadeira!$K178</f>
        <v>381.333333333333</v>
      </c>
      <c r="N178" s="60" t="n">
        <f aca="false">MadeiraMadeira!$Q178</f>
        <v>0.2</v>
      </c>
      <c r="O178" s="59" t="n">
        <f aca="false">Magalu!$K178</f>
        <v>373.551020408163</v>
      </c>
      <c r="P178" s="60" t="n">
        <f aca="false">Magalu!$Q178</f>
        <v>0.2</v>
      </c>
      <c r="Q178" s="46" t="n">
        <f aca="false">IF(COUNT($F178,$H178,$J178,$L178,$N178,$P178)=0,"",MIN($F178,$H178,$J178,$L178,$N178,$P178))</f>
        <v>0.116810472173798</v>
      </c>
      <c r="R178" s="46" t="n">
        <f aca="false">IF(COUNT($F178,$H178,$J178,$L178,$N178,$P178)=0,"",MAX($F178,$H178,$J178,$L178,$N178,$P178))</f>
        <v>0.216205465731864</v>
      </c>
      <c r="S178" s="61" t="n">
        <f aca="false">IF($A178="","",COUNT($E178,$G178,$I178,$K178,$M178,$O178))</f>
        <v>6</v>
      </c>
    </row>
    <row r="179" customFormat="false" ht="15" hidden="false" customHeight="false" outlineLevel="0" collapsed="false">
      <c r="A179" s="48" t="str">
        <f aca="false">IF(Produtos!$A179="","",Produtos!$A179)</f>
        <v>Q3060-A</v>
      </c>
      <c r="B179" s="48" t="str">
        <f aca="false">IF(Produtos!$A179="","",Produtos!$B179)</f>
        <v>Lixeira Quadrada c/Aro 30x60 50L</v>
      </c>
      <c r="C179" s="48" t="str">
        <f aca="false">IF(Produtos!$A179="","",Produtos!$C179)</f>
        <v>Lixeiras em inox</v>
      </c>
      <c r="D179" s="33" t="n">
        <f aca="false">IF(Produtos!$A179="","",IF(Produtos!$D179="","",Produtos!$D179))</f>
        <v>277.75</v>
      </c>
      <c r="E179" s="62" t="n">
        <f aca="false">'ML Clássico'!$K179</f>
        <v>560.7315</v>
      </c>
      <c r="F179" s="60" t="n">
        <f aca="false">'ML Clássico'!$Q179</f>
        <v>0.16415811310761</v>
      </c>
      <c r="G179" s="62" t="n">
        <f aca="false">'ML Premium'!$K179</f>
        <v>566.836734693878</v>
      </c>
      <c r="H179" s="60" t="n">
        <f aca="false">'ML Premium'!$Q179</f>
        <v>0.2</v>
      </c>
      <c r="I179" s="62" t="n">
        <f aca="false">Amazon!$K179</f>
        <v>580.52</v>
      </c>
      <c r="J179" s="60" t="n">
        <f aca="false">Amazon!$Q179</f>
        <v>0.261549645145731</v>
      </c>
      <c r="K179" s="62" t="n">
        <f aca="false">'Via (Casas Bahia)'!$K179</f>
        <v>603.804347826087</v>
      </c>
      <c r="L179" s="60" t="n">
        <f aca="false">'Via (Casas Bahia)'!$Q179</f>
        <v>0.2</v>
      </c>
      <c r="M179" s="62" t="n">
        <f aca="false">MadeiraMadeira!$K179</f>
        <v>578.645833333333</v>
      </c>
      <c r="N179" s="60" t="n">
        <f aca="false">MadeiraMadeira!$Q179</f>
        <v>0.2</v>
      </c>
      <c r="O179" s="62" t="n">
        <f aca="false">Magalu!$K179</f>
        <v>566.836734693878</v>
      </c>
      <c r="P179" s="60" t="n">
        <f aca="false">Magalu!$Q179</f>
        <v>0.2</v>
      </c>
      <c r="Q179" s="46" t="n">
        <f aca="false">IF(COUNT($F179,$H179,$J179,$L179,$N179,$P179)=0,"",MIN($F179,$H179,$J179,$L179,$N179,$P179))</f>
        <v>0.16415811310761</v>
      </c>
      <c r="R179" s="46" t="n">
        <f aca="false">IF(COUNT($F179,$H179,$J179,$L179,$N179,$P179)=0,"",MAX($F179,$H179,$J179,$L179,$N179,$P179))</f>
        <v>0.261549645145731</v>
      </c>
      <c r="S179" s="61" t="n">
        <f aca="false">IF($A179="","",COUNT($E179,$G179,$I179,$K179,$M179,$O179))</f>
        <v>6</v>
      </c>
    </row>
    <row r="180" customFormat="false" ht="15" hidden="false" customHeight="false" outlineLevel="0" collapsed="false">
      <c r="A180" s="32" t="str">
        <f aca="false">IF(Produtos!$A180="","",Produtos!$A180)</f>
        <v>Q4070-A</v>
      </c>
      <c r="B180" s="32" t="str">
        <f aca="false">IF(Produtos!$A180="","",Produtos!$B180)</f>
        <v>Lixeira Quadrada c/Aro 40x70 100L</v>
      </c>
      <c r="C180" s="32" t="str">
        <f aca="false">IF(Produtos!$A180="","",Produtos!$C180)</f>
        <v>Lixeiras em inox</v>
      </c>
      <c r="D180" s="33" t="n">
        <f aca="false">IF(Produtos!$A180="","",IF(Produtos!$D180="","",Produtos!$D180))</f>
        <v>580.13</v>
      </c>
      <c r="E180" s="59" t="n">
        <f aca="false">'ML Clássico'!$K180</f>
        <v>1161.22</v>
      </c>
      <c r="F180" s="60" t="n">
        <f aca="false">'ML Clássico'!$Q180</f>
        <v>0.161229396669021</v>
      </c>
      <c r="G180" s="59" t="n">
        <f aca="false">'ML Premium'!$K180</f>
        <v>1191.119925</v>
      </c>
      <c r="H180" s="60" t="n">
        <f aca="false">'ML Premium'!$Q180</f>
        <v>0.125757906576871</v>
      </c>
      <c r="I180" s="59" t="n">
        <f aca="false">Amazon!$K180</f>
        <v>1053.17</v>
      </c>
      <c r="J180" s="60" t="n">
        <f aca="false">Amazon!$Q180</f>
        <v>0.189158255552285</v>
      </c>
      <c r="K180" s="59" t="n">
        <f aca="false">'Via (Casas Bahia)'!$K180</f>
        <v>1261.15217391304</v>
      </c>
      <c r="L180" s="60" t="n">
        <f aca="false">'Via (Casas Bahia)'!$Q180</f>
        <v>0.2</v>
      </c>
      <c r="M180" s="59" t="n">
        <f aca="false">MadeiraMadeira!$K180</f>
        <v>1208.60416666667</v>
      </c>
      <c r="N180" s="60" t="n">
        <f aca="false">MadeiraMadeira!$Q180</f>
        <v>0.2</v>
      </c>
      <c r="O180" s="59" t="n">
        <f aca="false">Magalu!$K180</f>
        <v>1183.9387755102</v>
      </c>
      <c r="P180" s="60" t="n">
        <f aca="false">Magalu!$Q180</f>
        <v>0.2</v>
      </c>
      <c r="Q180" s="46" t="n">
        <f aca="false">IF(COUNT($F180,$H180,$J180,$L180,$N180,$P180)=0,"",MIN($F180,$H180,$J180,$L180,$N180,$P180))</f>
        <v>0.125757906576871</v>
      </c>
      <c r="R180" s="46" t="n">
        <f aca="false">IF(COUNT($F180,$H180,$J180,$L180,$N180,$P180)=0,"",MAX($F180,$H180,$J180,$L180,$N180,$P180))</f>
        <v>0.2</v>
      </c>
      <c r="S180" s="61" t="n">
        <f aca="false">IF($A180="","",COUNT($E180,$G180,$I180,$K180,$M180,$O180))</f>
        <v>6</v>
      </c>
    </row>
    <row r="181" customFormat="false" ht="15" hidden="false" customHeight="false" outlineLevel="0" collapsed="false">
      <c r="A181" s="48" t="str">
        <f aca="false">IF(Produtos!$A181="","",Produtos!$A181)</f>
        <v>Q2430-B</v>
      </c>
      <c r="B181" s="48" t="str">
        <f aca="false">IF(Produtos!$A181="","",Produtos!$B181)</f>
        <v>Lixeira Quadrada c/Aro Basculante 24x30 15L</v>
      </c>
      <c r="C181" s="48" t="str">
        <f aca="false">IF(Produtos!$A181="","",Produtos!$C181)</f>
        <v>Lixeiras em inox</v>
      </c>
      <c r="D181" s="33" t="n">
        <f aca="false">IF(Produtos!$A181="","",IF(Produtos!$D181="","",Produtos!$D181))</f>
        <v>149.88</v>
      </c>
      <c r="E181" s="62" t="n">
        <f aca="false">'ML Clássico'!$K181</f>
        <v>290.98</v>
      </c>
      <c r="F181" s="60" t="n">
        <f aca="false">'ML Clássico'!$Q181</f>
        <v>0.14195133686164</v>
      </c>
      <c r="G181" s="62" t="n">
        <f aca="false">'ML Premium'!$K181</f>
        <v>300.98</v>
      </c>
      <c r="H181" s="60" t="n">
        <f aca="false">'ML Premium'!$Q181</f>
        <v>0.13215363147053</v>
      </c>
      <c r="I181" s="62" t="n">
        <f aca="false">Amazon!$K181</f>
        <v>273.9</v>
      </c>
      <c r="J181" s="60" t="n">
        <f aca="false">Amazon!$Q181</f>
        <v>0.192792990142388</v>
      </c>
      <c r="K181" s="62" t="n">
        <f aca="false">'Via (Casas Bahia)'!$K181</f>
        <v>325.826086956522</v>
      </c>
      <c r="L181" s="60" t="n">
        <f aca="false">'Via (Casas Bahia)'!$Q181</f>
        <v>0.2</v>
      </c>
      <c r="M181" s="62" t="n">
        <f aca="false">MadeiraMadeira!$K181</f>
        <v>312.25</v>
      </c>
      <c r="N181" s="60" t="n">
        <f aca="false">MadeiraMadeira!$Q181</f>
        <v>0.2</v>
      </c>
      <c r="O181" s="62" t="n">
        <f aca="false">Magalu!$K181</f>
        <v>305.877551020408</v>
      </c>
      <c r="P181" s="60" t="n">
        <f aca="false">Magalu!$Q181</f>
        <v>0.2</v>
      </c>
      <c r="Q181" s="46" t="n">
        <f aca="false">IF(COUNT($F181,$H181,$J181,$L181,$N181,$P181)=0,"",MIN($F181,$H181,$J181,$L181,$N181,$P181))</f>
        <v>0.13215363147053</v>
      </c>
      <c r="R181" s="46" t="n">
        <f aca="false">IF(COUNT($F181,$H181,$J181,$L181,$N181,$P181)=0,"",MAX($F181,$H181,$J181,$L181,$N181,$P181))</f>
        <v>0.2</v>
      </c>
      <c r="S181" s="61" t="n">
        <f aca="false">IF($A181="","",COUNT($E181,$G181,$I181,$K181,$M181,$O181))</f>
        <v>6</v>
      </c>
    </row>
    <row r="182" customFormat="false" ht="15" hidden="false" customHeight="false" outlineLevel="0" collapsed="false">
      <c r="A182" s="32" t="str">
        <f aca="false">IF(Produtos!$A182="","",Produtos!$A182)</f>
        <v>Q2460-B</v>
      </c>
      <c r="B182" s="32" t="str">
        <f aca="false">IF(Produtos!$A182="","",Produtos!$B182)</f>
        <v>Lixeira Quadrada c/Aro Basculante 24x60 30L</v>
      </c>
      <c r="C182" s="32" t="str">
        <f aca="false">IF(Produtos!$A182="","",Produtos!$C182)</f>
        <v>Lixeiras em inox</v>
      </c>
      <c r="D182" s="33" t="n">
        <f aca="false">IF(Produtos!$A182="","",IF(Produtos!$D182="","",Produtos!$D182))</f>
        <v>198.38</v>
      </c>
      <c r="E182" s="59" t="n">
        <f aca="false">'ML Clássico'!$K182</f>
        <v>379.800225</v>
      </c>
      <c r="F182" s="60" t="n">
        <f aca="false">'ML Clássico'!$Q182</f>
        <v>0.0977360367545862</v>
      </c>
      <c r="G182" s="59" t="n">
        <f aca="false">'ML Premium'!$K182</f>
        <v>397.969425</v>
      </c>
      <c r="H182" s="60" t="n">
        <f aca="false">'ML Premium'!$Q182</f>
        <v>0.0975149937711926</v>
      </c>
      <c r="I182" s="59" t="n">
        <f aca="false">Amazon!$K182</f>
        <v>360.97</v>
      </c>
      <c r="J182" s="60" t="n">
        <f aca="false">Amazon!$Q182</f>
        <v>0.190425243094994</v>
      </c>
      <c r="K182" s="59" t="n">
        <f aca="false">'Via (Casas Bahia)'!$K182</f>
        <v>431.260869565217</v>
      </c>
      <c r="L182" s="60" t="n">
        <f aca="false">'Via (Casas Bahia)'!$Q182</f>
        <v>0.2</v>
      </c>
      <c r="M182" s="59" t="n">
        <f aca="false">MadeiraMadeira!$K182</f>
        <v>413.291666666667</v>
      </c>
      <c r="N182" s="60" t="n">
        <f aca="false">MadeiraMadeira!$Q182</f>
        <v>0.2</v>
      </c>
      <c r="O182" s="59" t="n">
        <f aca="false">Magalu!$K182</f>
        <v>404.857142857143</v>
      </c>
      <c r="P182" s="60" t="n">
        <f aca="false">Magalu!$Q182</f>
        <v>0.2</v>
      </c>
      <c r="Q182" s="46" t="n">
        <f aca="false">IF(COUNT($F182,$H182,$J182,$L182,$N182,$P182)=0,"",MIN($F182,$H182,$J182,$L182,$N182,$P182))</f>
        <v>0.0975149937711926</v>
      </c>
      <c r="R182" s="46" t="n">
        <f aca="false">IF(COUNT($F182,$H182,$J182,$L182,$N182,$P182)=0,"",MAX($F182,$H182,$J182,$L182,$N182,$P182))</f>
        <v>0.2</v>
      </c>
      <c r="S182" s="61" t="n">
        <f aca="false">IF($A182="","",COUNT($E182,$G182,$I182,$K182,$M182,$O182))</f>
        <v>6</v>
      </c>
    </row>
    <row r="183" customFormat="false" ht="15" hidden="false" customHeight="false" outlineLevel="0" collapsed="false">
      <c r="A183" s="48" t="str">
        <f aca="false">IF(Produtos!$A183="","",Produtos!$A183)</f>
        <v>Q3060-B</v>
      </c>
      <c r="B183" s="48" t="str">
        <f aca="false">IF(Produtos!$A183="","",Produtos!$B183)</f>
        <v>Lixeira Quadrada c/Aro Basculante 30x60 50L</v>
      </c>
      <c r="C183" s="48" t="str">
        <f aca="false">IF(Produtos!$A183="","",Produtos!$C183)</f>
        <v>Lixeiras em inox</v>
      </c>
      <c r="D183" s="33" t="n">
        <f aca="false">IF(Produtos!$A183="","",IF(Produtos!$D183="","",Produtos!$D183))</f>
        <v>301.03</v>
      </c>
      <c r="E183" s="62" t="n">
        <f aca="false">'ML Clássico'!$K183</f>
        <v>560.7315</v>
      </c>
      <c r="F183" s="60" t="n">
        <f aca="false">'ML Clássico'!$Q183</f>
        <v>0.122640916374415</v>
      </c>
      <c r="G183" s="62" t="n">
        <f aca="false">'ML Premium'!$K183</f>
        <v>587.555325</v>
      </c>
      <c r="H183" s="60" t="n">
        <f aca="false">'ML Premium'!$Q183</f>
        <v>0.123664667663424</v>
      </c>
      <c r="I183" s="62" t="n">
        <f aca="false">Amazon!$K183</f>
        <v>532.93</v>
      </c>
      <c r="J183" s="60" t="n">
        <f aca="false">Amazon!$Q183</f>
        <v>0.175141575816711</v>
      </c>
      <c r="K183" s="62" t="n">
        <f aca="false">'Via (Casas Bahia)'!$K183</f>
        <v>654.413043478261</v>
      </c>
      <c r="L183" s="60" t="n">
        <f aca="false">'Via (Casas Bahia)'!$Q183</f>
        <v>0.2</v>
      </c>
      <c r="M183" s="62" t="n">
        <f aca="false">MadeiraMadeira!$K183</f>
        <v>627.145833333333</v>
      </c>
      <c r="N183" s="60" t="n">
        <f aca="false">MadeiraMadeira!$Q183</f>
        <v>0.2</v>
      </c>
      <c r="O183" s="62" t="n">
        <f aca="false">Magalu!$K183</f>
        <v>614.34693877551</v>
      </c>
      <c r="P183" s="60" t="n">
        <f aca="false">Magalu!$Q183</f>
        <v>0.2</v>
      </c>
      <c r="Q183" s="46" t="n">
        <f aca="false">IF(COUNT($F183,$H183,$J183,$L183,$N183,$P183)=0,"",MIN($F183,$H183,$J183,$L183,$N183,$P183))</f>
        <v>0.122640916374415</v>
      </c>
      <c r="R183" s="46" t="n">
        <f aca="false">IF(COUNT($F183,$H183,$J183,$L183,$N183,$P183)=0,"",MAX($F183,$H183,$J183,$L183,$N183,$P183))</f>
        <v>0.2</v>
      </c>
      <c r="S183" s="61" t="n">
        <f aca="false">IF($A183="","",COUNT($E183,$G183,$I183,$K183,$M183,$O183))</f>
        <v>6</v>
      </c>
    </row>
    <row r="184" customFormat="false" ht="15" hidden="false" customHeight="false" outlineLevel="0" collapsed="false">
      <c r="A184" s="32" t="str">
        <f aca="false">IF(Produtos!$A184="","",Produtos!$A184)</f>
        <v>Q4070-B</v>
      </c>
      <c r="B184" s="32" t="str">
        <f aca="false">IF(Produtos!$A184="","",Produtos!$B184)</f>
        <v>Lixeira Quadrada c/Aro Basculante 40x70 100L</v>
      </c>
      <c r="C184" s="32" t="str">
        <f aca="false">IF(Produtos!$A184="","",Produtos!$C184)</f>
        <v>Lixeiras em inox</v>
      </c>
      <c r="D184" s="33" t="n">
        <f aca="false">IF(Produtos!$A184="","",IF(Produtos!$D184="","",Produtos!$D184))</f>
        <v>619.95</v>
      </c>
      <c r="E184" s="59" t="n">
        <f aca="false">'ML Clássico'!$K184</f>
        <v>1151.329725</v>
      </c>
      <c r="F184" s="60" t="n">
        <f aca="false">'ML Clássico'!$Q184</f>
        <v>0.121671484248355</v>
      </c>
      <c r="G184" s="59" t="n">
        <f aca="false">'ML Premium'!$K184</f>
        <v>1231.283025</v>
      </c>
      <c r="H184" s="60" t="n">
        <f aca="false">'ML Premium'!$Q184</f>
        <v>0.111822614666518</v>
      </c>
      <c r="I184" s="59" t="n">
        <f aca="false">Amazon!$K184</f>
        <v>1116.81</v>
      </c>
      <c r="J184" s="60" t="n">
        <f aca="false">Amazon!$Q184</f>
        <v>0.184892148172026</v>
      </c>
      <c r="K184" s="59" t="n">
        <f aca="false">'Via (Casas Bahia)'!$K184</f>
        <v>1347.71739130435</v>
      </c>
      <c r="L184" s="60" t="n">
        <f aca="false">'Via (Casas Bahia)'!$Q184</f>
        <v>0.2</v>
      </c>
      <c r="M184" s="59" t="n">
        <f aca="false">MadeiraMadeira!$K184</f>
        <v>1291.5625</v>
      </c>
      <c r="N184" s="60" t="n">
        <f aca="false">MadeiraMadeira!$Q184</f>
        <v>0.2</v>
      </c>
      <c r="O184" s="59" t="n">
        <f aca="false">Magalu!$K184</f>
        <v>1265.20408163265</v>
      </c>
      <c r="P184" s="60" t="n">
        <f aca="false">Magalu!$Q184</f>
        <v>0.2</v>
      </c>
      <c r="Q184" s="46" t="n">
        <f aca="false">IF(COUNT($F184,$H184,$J184,$L184,$N184,$P184)=0,"",MIN($F184,$H184,$J184,$L184,$N184,$P184))</f>
        <v>0.111822614666518</v>
      </c>
      <c r="R184" s="46" t="n">
        <f aca="false">IF(COUNT($F184,$H184,$J184,$L184,$N184,$P184)=0,"",MAX($F184,$H184,$J184,$L184,$N184,$P184))</f>
        <v>0.2</v>
      </c>
      <c r="S184" s="61" t="n">
        <f aca="false">IF($A184="","",COUNT($E184,$G184,$I184,$K184,$M184,$O184))</f>
        <v>6</v>
      </c>
    </row>
    <row r="185" customFormat="false" ht="15" hidden="false" customHeight="false" outlineLevel="0" collapsed="false">
      <c r="A185" s="48" t="str">
        <f aca="false">IF(Produtos!$A185="","",Produtos!$A185)</f>
        <v>PQ-2430</v>
      </c>
      <c r="B185" s="48" t="str">
        <f aca="false">IF(Produtos!$A185="","",Produtos!$B185)</f>
        <v>Lixeira quadrada com Tampa Pedal de Aço inox 24x30 15L</v>
      </c>
      <c r="C185" s="48" t="str">
        <f aca="false">IF(Produtos!$A185="","",Produtos!$C185)</f>
        <v>Lixeiras com pedal</v>
      </c>
      <c r="D185" s="33" t="n">
        <f aca="false">IF(Produtos!$A185="","",IF(Produtos!$D185="","",Produtos!$D185))</f>
        <v>220.94</v>
      </c>
      <c r="E185" s="62" t="n">
        <f aca="false">'ML Clássico'!$K185</f>
        <v>425.421675</v>
      </c>
      <c r="F185" s="60" t="n">
        <f aca="false">'ML Clássico'!$Q185</f>
        <v>0.167072484611885</v>
      </c>
      <c r="G185" s="62" t="n">
        <f aca="false">'ML Premium'!$K185</f>
        <v>445.78485</v>
      </c>
      <c r="H185" s="60" t="n">
        <f aca="false">'ML Premium'!$Q185</f>
        <v>0.163700251365653</v>
      </c>
      <c r="I185" s="62" t="n">
        <f aca="false">Amazon!$K185</f>
        <v>409.148148148148</v>
      </c>
      <c r="J185" s="60" t="n">
        <f aca="false">Amazon!$Q185</f>
        <v>0.2</v>
      </c>
      <c r="K185" s="62" t="n">
        <f aca="false">'Via (Casas Bahia)'!$K185</f>
        <v>480.304347826087</v>
      </c>
      <c r="L185" s="60" t="n">
        <f aca="false">'Via (Casas Bahia)'!$Q185</f>
        <v>0.2</v>
      </c>
      <c r="M185" s="62" t="n">
        <f aca="false">MadeiraMadeira!$K185</f>
        <v>460.291666666667</v>
      </c>
      <c r="N185" s="60" t="n">
        <f aca="false">MadeiraMadeira!$Q185</f>
        <v>0.2</v>
      </c>
      <c r="O185" s="62" t="n">
        <f aca="false">Magalu!$K185</f>
        <v>450.897959183673</v>
      </c>
      <c r="P185" s="60" t="n">
        <f aca="false">Magalu!$Q185</f>
        <v>0.2</v>
      </c>
      <c r="Q185" s="46" t="n">
        <f aca="false">IF(COUNT($F185,$H185,$J185,$L185,$N185,$P185)=0,"",MIN($F185,$H185,$J185,$L185,$N185,$P185))</f>
        <v>0.163700251365653</v>
      </c>
      <c r="R185" s="46" t="n">
        <f aca="false">IF(COUNT($F185,$H185,$J185,$L185,$N185,$P185)=0,"",MAX($F185,$H185,$J185,$L185,$N185,$P185))</f>
        <v>0.2</v>
      </c>
      <c r="S185" s="61" t="n">
        <f aca="false">IF($A185="","",COUNT($E185,$G185,$I185,$K185,$M185,$O185))</f>
        <v>6</v>
      </c>
    </row>
    <row r="186" customFormat="false" ht="15" hidden="false" customHeight="false" outlineLevel="0" collapsed="false">
      <c r="A186" s="32" t="str">
        <f aca="false">IF(Produtos!$A186="","",Produtos!$A186)</f>
        <v>PQ-2460</v>
      </c>
      <c r="B186" s="32" t="str">
        <f aca="false">IF(Produtos!$A186="","",Produtos!$B186)</f>
        <v>Lixeira quadrada com Tampa Pedal de Aço inox 24x60 30L</v>
      </c>
      <c r="C186" s="32" t="str">
        <f aca="false">IF(Produtos!$A186="","",Produtos!$C186)</f>
        <v>Lixeiras com pedal</v>
      </c>
      <c r="D186" s="33" t="n">
        <f aca="false">IF(Produtos!$A186="","",IF(Produtos!$D186="","",Produtos!$D186))</f>
        <v>303.74</v>
      </c>
      <c r="E186" s="59" t="n">
        <f aca="false">'ML Clássico'!$K186</f>
        <v>551.53665</v>
      </c>
      <c r="F186" s="60" t="n">
        <f aca="false">'ML Clássico'!$Q186</f>
        <v>0.125218310514813</v>
      </c>
      <c r="G186" s="59" t="n">
        <f aca="false">'ML Premium'!$K186</f>
        <v>577.919475</v>
      </c>
      <c r="H186" s="60" t="n">
        <f aca="false">'ML Premium'!$Q186</f>
        <v>0.123740460554647</v>
      </c>
      <c r="I186" s="59" t="n">
        <f aca="false">Amazon!$K186</f>
        <v>562.481481481481</v>
      </c>
      <c r="J186" s="60" t="n">
        <f aca="false">Amazon!$Q186</f>
        <v>0.2</v>
      </c>
      <c r="K186" s="59" t="n">
        <f aca="false">'Via (Casas Bahia)'!$K186</f>
        <v>660.304347826087</v>
      </c>
      <c r="L186" s="60" t="n">
        <f aca="false">'Via (Casas Bahia)'!$Q186</f>
        <v>0.2</v>
      </c>
      <c r="M186" s="59" t="n">
        <f aca="false">MadeiraMadeira!$K186</f>
        <v>632.791666666667</v>
      </c>
      <c r="N186" s="60" t="n">
        <f aca="false">MadeiraMadeira!$Q186</f>
        <v>0.2</v>
      </c>
      <c r="O186" s="59" t="n">
        <f aca="false">Magalu!$K186</f>
        <v>619.877551020408</v>
      </c>
      <c r="P186" s="60" t="n">
        <f aca="false">Magalu!$Q186</f>
        <v>0.2</v>
      </c>
      <c r="Q186" s="46" t="n">
        <f aca="false">IF(COUNT($F186,$H186,$J186,$L186,$N186,$P186)=0,"",MIN($F186,$H186,$J186,$L186,$N186,$P186))</f>
        <v>0.123740460554647</v>
      </c>
      <c r="R186" s="46" t="n">
        <f aca="false">IF(COUNT($F186,$H186,$J186,$L186,$N186,$P186)=0,"",MAX($F186,$H186,$J186,$L186,$N186,$P186))</f>
        <v>0.2</v>
      </c>
      <c r="S186" s="61" t="n">
        <f aca="false">IF($A186="","",COUNT($E186,$G186,$I186,$K186,$M186,$O186))</f>
        <v>6</v>
      </c>
    </row>
    <row r="187" customFormat="false" ht="15" hidden="false" customHeight="false" outlineLevel="0" collapsed="false">
      <c r="A187" s="48" t="str">
        <f aca="false">IF(Produtos!$A187="","",Produtos!$A187)</f>
        <v>PQ-3060</v>
      </c>
      <c r="B187" s="48" t="str">
        <f aca="false">IF(Produtos!$A187="","",Produtos!$B187)</f>
        <v>Lixeira quadrada com Tampa Pedal de Aço inox 30x60 50L</v>
      </c>
      <c r="C187" s="48" t="str">
        <f aca="false">IF(Produtos!$A187="","",Produtos!$C187)</f>
        <v>Lixeiras com pedal</v>
      </c>
      <c r="D187" s="33" t="n">
        <f aca="false">IF(Produtos!$A187="","",IF(Produtos!$D187="","",Produtos!$D187))</f>
        <v>408.87</v>
      </c>
      <c r="E187" s="62" t="n">
        <f aca="false">'ML Clássico'!$K187</f>
        <v>744.000075</v>
      </c>
      <c r="F187" s="60" t="n">
        <f aca="false">'ML Clássico'!$Q187</f>
        <v>0.122231245070775</v>
      </c>
      <c r="G187" s="62" t="n">
        <f aca="false">'ML Premium'!$K187</f>
        <v>795.663225</v>
      </c>
      <c r="H187" s="60" t="n">
        <f aca="false">'ML Premium'!$Q187</f>
        <v>0.112343542395088</v>
      </c>
      <c r="I187" s="62" t="n">
        <f aca="false">Amazon!$K187</f>
        <v>721.69</v>
      </c>
      <c r="J187" s="60" t="n">
        <f aca="false">Amazon!$Q187</f>
        <v>0.173454807465809</v>
      </c>
      <c r="K187" s="62" t="n">
        <f aca="false">'Via (Casas Bahia)'!$K187</f>
        <v>888.847826086957</v>
      </c>
      <c r="L187" s="60" t="n">
        <f aca="false">'Via (Casas Bahia)'!$Q187</f>
        <v>0.2</v>
      </c>
      <c r="M187" s="62" t="n">
        <f aca="false">MadeiraMadeira!$K187</f>
        <v>851.8125</v>
      </c>
      <c r="N187" s="60" t="n">
        <f aca="false">MadeiraMadeira!$Q187</f>
        <v>0.2</v>
      </c>
      <c r="O187" s="62" t="n">
        <f aca="false">Magalu!$K187</f>
        <v>834.428571428571</v>
      </c>
      <c r="P187" s="60" t="n">
        <f aca="false">Magalu!$Q187</f>
        <v>0.2</v>
      </c>
      <c r="Q187" s="46" t="n">
        <f aca="false">IF(COUNT($F187,$H187,$J187,$L187,$N187,$P187)=0,"",MIN($F187,$H187,$J187,$L187,$N187,$P187))</f>
        <v>0.112343542395088</v>
      </c>
      <c r="R187" s="46" t="n">
        <f aca="false">IF(COUNT($F187,$H187,$J187,$L187,$N187,$P187)=0,"",MAX($F187,$H187,$J187,$L187,$N187,$P187))</f>
        <v>0.2</v>
      </c>
      <c r="S187" s="61" t="n">
        <f aca="false">IF($A187="","",COUNT($E187,$G187,$I187,$K187,$M187,$O187))</f>
        <v>6</v>
      </c>
    </row>
    <row r="188" customFormat="false" ht="15" hidden="false" customHeight="false" outlineLevel="0" collapsed="false">
      <c r="A188" s="32" t="str">
        <f aca="false">IF(Produtos!$A188="","",Produtos!$A188)</f>
        <v>PQ-4070</v>
      </c>
      <c r="B188" s="32" t="str">
        <f aca="false">IF(Produtos!$A188="","",Produtos!$B188)</f>
        <v>Lixeira quadrada com Tampa Pedal de Aço inox 40x70 100L</v>
      </c>
      <c r="C188" s="32" t="str">
        <f aca="false">IF(Produtos!$A188="","",Produtos!$C188)</f>
        <v>Lixeiras com pedal</v>
      </c>
      <c r="D188" s="33" t="n">
        <f aca="false">IF(Produtos!$A188="","",IF(Produtos!$D188="","",Produtos!$D188))</f>
        <v>905.26</v>
      </c>
      <c r="E188" s="59" t="n">
        <f aca="false">'ML Clássico'!$K188</f>
        <v>1621.40265</v>
      </c>
      <c r="F188" s="60" t="n">
        <f aca="false">'ML Clássico'!$Q188</f>
        <v>0.124970784400778</v>
      </c>
      <c r="G188" s="59" t="n">
        <f aca="false">'ML Premium'!$K188</f>
        <v>1734.000975</v>
      </c>
      <c r="H188" s="60" t="n">
        <f aca="false">'ML Premium'!$Q188</f>
        <v>0.114908051161851</v>
      </c>
      <c r="I188" s="59" t="n">
        <f aca="false">Amazon!$K188</f>
        <v>1676.40740740741</v>
      </c>
      <c r="J188" s="60" t="n">
        <f aca="false">Amazon!$Q188</f>
        <v>0.2</v>
      </c>
      <c r="K188" s="59" t="n">
        <f aca="false">'Via (Casas Bahia)'!$K188</f>
        <v>1967.95652173913</v>
      </c>
      <c r="L188" s="60" t="n">
        <f aca="false">'Via (Casas Bahia)'!$Q188</f>
        <v>0.2</v>
      </c>
      <c r="M188" s="59" t="n">
        <f aca="false">MadeiraMadeira!$K188</f>
        <v>1885.95833333333</v>
      </c>
      <c r="N188" s="60" t="n">
        <f aca="false">MadeiraMadeira!$Q188</f>
        <v>0.2</v>
      </c>
      <c r="O188" s="59" t="n">
        <f aca="false">Magalu!$K188</f>
        <v>1847.4693877551</v>
      </c>
      <c r="P188" s="60" t="n">
        <f aca="false">Magalu!$Q188</f>
        <v>0.2</v>
      </c>
      <c r="Q188" s="46" t="n">
        <f aca="false">IF(COUNT($F188,$H188,$J188,$L188,$N188,$P188)=0,"",MIN($F188,$H188,$J188,$L188,$N188,$P188))</f>
        <v>0.114908051161851</v>
      </c>
      <c r="R188" s="46" t="n">
        <f aca="false">IF(COUNT($F188,$H188,$J188,$L188,$N188,$P188)=0,"",MAX($F188,$H188,$J188,$L188,$N188,$P188))</f>
        <v>0.2</v>
      </c>
      <c r="S188" s="61" t="n">
        <f aca="false">IF($A188="","",COUNT($E188,$G188,$I188,$K188,$M188,$O188))</f>
        <v>6</v>
      </c>
    </row>
    <row r="189" customFormat="false" ht="15" hidden="false" customHeight="false" outlineLevel="0" collapsed="false">
      <c r="A189" s="48" t="str">
        <f aca="false">IF(Produtos!$A189="","",Produtos!$A189)</f>
        <v>PQ-4090</v>
      </c>
      <c r="B189" s="48" t="str">
        <f aca="false">IF(Produtos!$A189="","",Produtos!$B189)</f>
        <v>Lixeira quadrada com Tampa Pedal de Aço inox 40x90 120L</v>
      </c>
      <c r="C189" s="48" t="str">
        <f aca="false">IF(Produtos!$A189="","",Produtos!$C189)</f>
        <v>Lixeiras com pedal</v>
      </c>
      <c r="D189" s="33" t="n">
        <f aca="false">IF(Produtos!$A189="","",IF(Produtos!$D189="","",Produtos!$D189))</f>
        <v>956.96</v>
      </c>
      <c r="E189" s="62" t="n">
        <f aca="false">'ML Clássico'!$K189</f>
        <v>1772.14814814815</v>
      </c>
      <c r="F189" s="60" t="n">
        <f aca="false">'ML Clássico'!$Q189</f>
        <v>0.2</v>
      </c>
      <c r="G189" s="62" t="n">
        <f aca="false">'ML Premium'!$K189</f>
        <v>1952.97959183673</v>
      </c>
      <c r="H189" s="60" t="n">
        <f aca="false">'ML Premium'!$Q189</f>
        <v>0.2</v>
      </c>
      <c r="I189" s="62" t="n">
        <f aca="false">Amazon!$K189</f>
        <v>1772.14814814815</v>
      </c>
      <c r="J189" s="60" t="n">
        <f aca="false">Amazon!$Q189</f>
        <v>0.2</v>
      </c>
      <c r="K189" s="62" t="n">
        <f aca="false">'Via (Casas Bahia)'!$K189</f>
        <v>2080.34782608696</v>
      </c>
      <c r="L189" s="60" t="n">
        <f aca="false">'Via (Casas Bahia)'!$Q189</f>
        <v>0.2</v>
      </c>
      <c r="M189" s="62" t="n">
        <f aca="false">MadeiraMadeira!$K189</f>
        <v>1993.66666666667</v>
      </c>
      <c r="N189" s="60" t="n">
        <f aca="false">MadeiraMadeira!$Q189</f>
        <v>0.2</v>
      </c>
      <c r="O189" s="62" t="n">
        <f aca="false">Magalu!$K189</f>
        <v>1952.97959183673</v>
      </c>
      <c r="P189" s="60" t="n">
        <f aca="false">Magalu!$Q189</f>
        <v>0.2</v>
      </c>
      <c r="Q189" s="46" t="n">
        <f aca="false">IF(COUNT($F189,$H189,$J189,$L189,$N189,$P189)=0,"",MIN($F189,$H189,$J189,$L189,$N189,$P189))</f>
        <v>0.2</v>
      </c>
      <c r="R189" s="46" t="n">
        <f aca="false">IF(COUNT($F189,$H189,$J189,$L189,$N189,$P189)=0,"",MAX($F189,$H189,$J189,$L189,$N189,$P189))</f>
        <v>0.2</v>
      </c>
      <c r="S189" s="61" t="n">
        <f aca="false">IF($A189="","",COUNT($E189,$G189,$I189,$K189,$M189,$O189))</f>
        <v>6</v>
      </c>
    </row>
    <row r="190" customFormat="false" ht="15" hidden="false" customHeight="false" outlineLevel="0" collapsed="false">
      <c r="A190" s="32" t="str">
        <f aca="false">IF(Produtos!$A190="","",Produtos!$A190)</f>
        <v>PQ-5080</v>
      </c>
      <c r="B190" s="32" t="str">
        <f aca="false">IF(Produtos!$A190="","",Produtos!$B190)</f>
        <v>Lixeira quadrada com Tampa Pedal de Aço inox 50x80 150L</v>
      </c>
      <c r="C190" s="32" t="str">
        <f aca="false">IF(Produtos!$A190="","",Produtos!$C190)</f>
        <v>Lixeiras com pedal</v>
      </c>
      <c r="D190" s="33" t="n">
        <f aca="false">IF(Produtos!$A190="","",IF(Produtos!$D190="","",Produtos!$D190))</f>
        <v>1393</v>
      </c>
      <c r="E190" s="59" t="n">
        <f aca="false">'ML Clássico'!$K190</f>
        <v>2579.62962962963</v>
      </c>
      <c r="F190" s="60" t="n">
        <f aca="false">'ML Clássico'!$Q190</f>
        <v>0.2</v>
      </c>
      <c r="G190" s="59" t="n">
        <f aca="false">'ML Premium'!$K190</f>
        <v>2674.06965</v>
      </c>
      <c r="H190" s="60" t="n">
        <f aca="false">'ML Premium'!$Q190</f>
        <v>0.128701979957777</v>
      </c>
      <c r="I190" s="59" t="n">
        <f aca="false">Amazon!$K190</f>
        <v>2579.62962962963</v>
      </c>
      <c r="J190" s="60" t="n">
        <f aca="false">Amazon!$Q190</f>
        <v>0.2</v>
      </c>
      <c r="K190" s="59" t="n">
        <f aca="false">'Via (Casas Bahia)'!$K190</f>
        <v>3028.26086956522</v>
      </c>
      <c r="L190" s="60" t="n">
        <f aca="false">'Via (Casas Bahia)'!$Q190</f>
        <v>0.2</v>
      </c>
      <c r="M190" s="59" t="n">
        <f aca="false">MadeiraMadeira!$K190</f>
        <v>2902.08333333333</v>
      </c>
      <c r="N190" s="60" t="n">
        <f aca="false">MadeiraMadeira!$Q190</f>
        <v>0.2</v>
      </c>
      <c r="O190" s="59" t="n">
        <f aca="false">Magalu!$K190</f>
        <v>2842.85714285714</v>
      </c>
      <c r="P190" s="60" t="n">
        <f aca="false">Magalu!$Q190</f>
        <v>0.2</v>
      </c>
      <c r="Q190" s="46" t="n">
        <f aca="false">IF(COUNT($F190,$H190,$J190,$L190,$N190,$P190)=0,"",MIN($F190,$H190,$J190,$L190,$N190,$P190))</f>
        <v>0.128701979957777</v>
      </c>
      <c r="R190" s="46" t="n">
        <f aca="false">IF(COUNT($F190,$H190,$J190,$L190,$N190,$P190)=0,"",MAX($F190,$H190,$J190,$L190,$N190,$P190))</f>
        <v>0.2</v>
      </c>
      <c r="S190" s="61" t="n">
        <f aca="false">IF($A190="","",COUNT($E190,$G190,$I190,$K190,$M190,$O190))</f>
        <v>6</v>
      </c>
    </row>
    <row r="191" customFormat="false" ht="15" hidden="false" customHeight="false" outlineLevel="0" collapsed="false">
      <c r="A191" s="48" t="str">
        <f aca="false">IF(Produtos!$A191="","",Produtos!$A191)</f>
        <v>Q2430-AC</v>
      </c>
      <c r="B191" s="48" t="str">
        <f aca="false">IF(Produtos!$A191="","",Produtos!$B191)</f>
        <v>Lixeira Quadrada 24x30 15L c/Aro Colorido</v>
      </c>
      <c r="C191" s="48" t="str">
        <f aca="false">IF(Produtos!$A191="","",Produtos!$C191)</f>
        <v>Lixeiras em inox</v>
      </c>
      <c r="D191" s="33" t="n">
        <f aca="false">IF(Produtos!$A191="","",IF(Produtos!$D191="","",Produtos!$D191))</f>
        <v>143.24</v>
      </c>
      <c r="E191" s="62" t="n">
        <f aca="false">'ML Clássico'!$K191</f>
        <v>306.34</v>
      </c>
      <c r="F191" s="60" t="n">
        <f aca="false">'ML Clássico'!$Q191</f>
        <v>0.186932819742769</v>
      </c>
      <c r="G191" s="62" t="n">
        <f aca="false">'ML Premium'!$K191</f>
        <v>306.34065</v>
      </c>
      <c r="H191" s="60" t="n">
        <f aca="false">'ML Premium'!$Q191</f>
        <v>0.156934014470492</v>
      </c>
      <c r="I191" s="62" t="n">
        <f aca="false">Amazon!$K191</f>
        <v>265.259259259259</v>
      </c>
      <c r="J191" s="60" t="n">
        <f aca="false">Amazon!$Q191</f>
        <v>0.2</v>
      </c>
      <c r="K191" s="62" t="n">
        <f aca="false">'Via (Casas Bahia)'!$K191</f>
        <v>311.391304347826</v>
      </c>
      <c r="L191" s="60" t="n">
        <f aca="false">'Via (Casas Bahia)'!$Q191</f>
        <v>0.2</v>
      </c>
      <c r="M191" s="62" t="n">
        <f aca="false">MadeiraMadeira!$K191</f>
        <v>298.416666666667</v>
      </c>
      <c r="N191" s="60" t="n">
        <f aca="false">MadeiraMadeira!$Q191</f>
        <v>0.2</v>
      </c>
      <c r="O191" s="62" t="n">
        <f aca="false">Magalu!$K191</f>
        <v>292.326530612245</v>
      </c>
      <c r="P191" s="60" t="n">
        <f aca="false">Magalu!$Q191</f>
        <v>0.2</v>
      </c>
      <c r="Q191" s="46" t="n">
        <f aca="false">IF(COUNT($F191,$H191,$J191,$L191,$N191,$P191)=0,"",MIN($F191,$H191,$J191,$L191,$N191,$P191))</f>
        <v>0.156934014470492</v>
      </c>
      <c r="R191" s="46" t="n">
        <f aca="false">IF(COUNT($F191,$H191,$J191,$L191,$N191,$P191)=0,"",MAX($F191,$H191,$J191,$L191,$N191,$P191))</f>
        <v>0.2</v>
      </c>
      <c r="S191" s="61" t="n">
        <f aca="false">IF($A191="","",COUNT($E191,$G191,$I191,$K191,$M191,$O191))</f>
        <v>6</v>
      </c>
    </row>
    <row r="192" customFormat="false" ht="15" hidden="false" customHeight="false" outlineLevel="0" collapsed="false">
      <c r="A192" s="32" t="str">
        <f aca="false">IF(Produtos!$A192="","",Produtos!$A192)</f>
        <v>Q2460-AC</v>
      </c>
      <c r="B192" s="32" t="str">
        <f aca="false">IF(Produtos!$A192="","",Produtos!$B192)</f>
        <v>Lixeira Quadrada 24x60 30L c/Aro Colorido</v>
      </c>
      <c r="C192" s="32" t="str">
        <f aca="false">IF(Produtos!$A192="","",Produtos!$C192)</f>
        <v>Lixeiras em inox</v>
      </c>
      <c r="D192" s="33" t="n">
        <f aca="false">IF(Produtos!$A192="","",IF(Produtos!$D192="","",Produtos!$D192))</f>
        <v>215.68</v>
      </c>
      <c r="E192" s="59" t="n">
        <f aca="false">'ML Clássico'!$K192</f>
        <v>485.29845</v>
      </c>
      <c r="F192" s="60" t="n">
        <f aca="false">'ML Clássico'!$Q192</f>
        <v>0.203882451097876</v>
      </c>
      <c r="G192" s="59" t="n">
        <f aca="false">'ML Premium'!$K192</f>
        <v>503.42355</v>
      </c>
      <c r="H192" s="60" t="n">
        <f aca="false">'ML Premium'!$Q192</f>
        <v>0.193544692138459</v>
      </c>
      <c r="I192" s="59" t="n">
        <f aca="false">Amazon!$K192</f>
        <v>399.407407407407</v>
      </c>
      <c r="J192" s="60" t="n">
        <f aca="false">Amazon!$Q192</f>
        <v>0.2</v>
      </c>
      <c r="K192" s="59" t="n">
        <f aca="false">'Via (Casas Bahia)'!$K192</f>
        <v>468.869565217391</v>
      </c>
      <c r="L192" s="60" t="n">
        <f aca="false">'Via (Casas Bahia)'!$Q192</f>
        <v>0.2</v>
      </c>
      <c r="M192" s="59" t="n">
        <f aca="false">MadeiraMadeira!$K192</f>
        <v>449.333333333333</v>
      </c>
      <c r="N192" s="60" t="n">
        <f aca="false">MadeiraMadeira!$Q192</f>
        <v>0.2</v>
      </c>
      <c r="O192" s="59" t="n">
        <f aca="false">Magalu!$K192</f>
        <v>440.163265306122</v>
      </c>
      <c r="P192" s="60" t="n">
        <f aca="false">Magalu!$Q192</f>
        <v>0.2</v>
      </c>
      <c r="Q192" s="46" t="n">
        <f aca="false">IF(COUNT($F192,$H192,$J192,$L192,$N192,$P192)=0,"",MIN($F192,$H192,$J192,$L192,$N192,$P192))</f>
        <v>0.193544692138459</v>
      </c>
      <c r="R192" s="46" t="n">
        <f aca="false">IF(COUNT($F192,$H192,$J192,$L192,$N192,$P192)=0,"",MAX($F192,$H192,$J192,$L192,$N192,$P192))</f>
        <v>0.203882451097876</v>
      </c>
      <c r="S192" s="61" t="n">
        <f aca="false">IF($A192="","",COUNT($E192,$G192,$I192,$K192,$M192,$O192))</f>
        <v>6</v>
      </c>
    </row>
    <row r="193" customFormat="false" ht="15" hidden="false" customHeight="false" outlineLevel="0" collapsed="false">
      <c r="A193" s="48" t="str">
        <f aca="false">IF(Produtos!$A193="","",Produtos!$A193)</f>
        <v>Q3060-AC</v>
      </c>
      <c r="B193" s="48" t="str">
        <f aca="false">IF(Produtos!$A193="","",Produtos!$B193)</f>
        <v>Lixeira Quadrada 30x60 50L c/Aro Colorido</v>
      </c>
      <c r="C193" s="48" t="str">
        <f aca="false">IF(Produtos!$A193="","",Produtos!$C193)</f>
        <v>Lixeiras em inox</v>
      </c>
      <c r="D193" s="33" t="n">
        <f aca="false">IF(Produtos!$A193="","",IF(Produtos!$D193="","",Produtos!$D193))</f>
        <v>317.1</v>
      </c>
      <c r="E193" s="62" t="n">
        <f aca="false">'ML Clássico'!$K193</f>
        <v>638.975925</v>
      </c>
      <c r="F193" s="60" t="n">
        <f aca="false">'ML Clássico'!$Q193</f>
        <v>0.15068164540002</v>
      </c>
      <c r="G193" s="62" t="n">
        <f aca="false">'ML Premium'!$K193</f>
        <v>641.45655</v>
      </c>
      <c r="H193" s="60" t="n">
        <f aca="false">'ML Premium'!$Q193</f>
        <v>0.122999314606734</v>
      </c>
      <c r="I193" s="62" t="n">
        <f aca="false">Amazon!$K193</f>
        <v>587.222222222222</v>
      </c>
      <c r="J193" s="60" t="n">
        <f aca="false">Amazon!$Q193</f>
        <v>0.2</v>
      </c>
      <c r="K193" s="62" t="n">
        <f aca="false">'Via (Casas Bahia)'!$K193</f>
        <v>689.347826086957</v>
      </c>
      <c r="L193" s="60" t="n">
        <f aca="false">'Via (Casas Bahia)'!$Q193</f>
        <v>0.2</v>
      </c>
      <c r="M193" s="62" t="n">
        <f aca="false">MadeiraMadeira!$K193</f>
        <v>660.625</v>
      </c>
      <c r="N193" s="60" t="n">
        <f aca="false">MadeiraMadeira!$Q193</f>
        <v>0.2</v>
      </c>
      <c r="O193" s="62" t="n">
        <f aca="false">Magalu!$K193</f>
        <v>647.142857142857</v>
      </c>
      <c r="P193" s="60" t="n">
        <f aca="false">Magalu!$Q193</f>
        <v>0.2</v>
      </c>
      <c r="Q193" s="46" t="n">
        <f aca="false">IF(COUNT($F193,$H193,$J193,$L193,$N193,$P193)=0,"",MIN($F193,$H193,$J193,$L193,$N193,$P193))</f>
        <v>0.122999314606734</v>
      </c>
      <c r="R193" s="46" t="n">
        <f aca="false">IF(COUNT($F193,$H193,$J193,$L193,$N193,$P193)=0,"",MAX($F193,$H193,$J193,$L193,$N193,$P193))</f>
        <v>0.2</v>
      </c>
      <c r="S193" s="61" t="n">
        <f aca="false">IF($A193="","",COUNT($E193,$G193,$I193,$K193,$M193,$O193))</f>
        <v>6</v>
      </c>
    </row>
    <row r="194" customFormat="false" ht="15" hidden="false" customHeight="false" outlineLevel="0" collapsed="false">
      <c r="A194" s="32" t="str">
        <f aca="false">IF(Produtos!$A194="","",Produtos!$A194)</f>
        <v>Q4070-AC</v>
      </c>
      <c r="B194" s="32" t="str">
        <f aca="false">IF(Produtos!$A194="","",Produtos!$B194)</f>
        <v>Lixeira Quadrada 40x70 100L c/Aro Colorido</v>
      </c>
      <c r="C194" s="32" t="str">
        <f aca="false">IF(Produtos!$A194="","",Produtos!$C194)</f>
        <v>Lixeiras em inox</v>
      </c>
      <c r="D194" s="33" t="n">
        <f aca="false">IF(Produtos!$A194="","",IF(Produtos!$D194="","",Produtos!$D194))</f>
        <v>651.12</v>
      </c>
      <c r="E194" s="59" t="n">
        <f aca="false">'ML Clássico'!$K194</f>
        <v>1308.568275</v>
      </c>
      <c r="F194" s="60" t="n">
        <f aca="false">'ML Clássico'!$Q194</f>
        <v>0.18177922241008</v>
      </c>
      <c r="G194" s="59" t="n">
        <f aca="false">'ML Premium'!$K194</f>
        <v>1399.436325</v>
      </c>
      <c r="H194" s="60" t="n">
        <f aca="false">'ML Premium'!$Q194</f>
        <v>0.170669475976336</v>
      </c>
      <c r="I194" s="59" t="n">
        <f aca="false">Amazon!$K194</f>
        <v>1205.77777777778</v>
      </c>
      <c r="J194" s="60" t="n">
        <f aca="false">Amazon!$Q194</f>
        <v>0.2</v>
      </c>
      <c r="K194" s="59" t="n">
        <f aca="false">'Via (Casas Bahia)'!$K194</f>
        <v>1415.47826086957</v>
      </c>
      <c r="L194" s="60" t="n">
        <f aca="false">'Via (Casas Bahia)'!$Q194</f>
        <v>0.2</v>
      </c>
      <c r="M194" s="59" t="n">
        <f aca="false">MadeiraMadeira!$K194</f>
        <v>1356.5</v>
      </c>
      <c r="N194" s="60" t="n">
        <f aca="false">MadeiraMadeira!$Q194</f>
        <v>0.2</v>
      </c>
      <c r="O194" s="59" t="n">
        <f aca="false">Magalu!$K194</f>
        <v>1328.81632653061</v>
      </c>
      <c r="P194" s="60" t="n">
        <f aca="false">Magalu!$Q194</f>
        <v>0.2</v>
      </c>
      <c r="Q194" s="46" t="n">
        <f aca="false">IF(COUNT($F194,$H194,$J194,$L194,$N194,$P194)=0,"",MIN($F194,$H194,$J194,$L194,$N194,$P194))</f>
        <v>0.170669475976336</v>
      </c>
      <c r="R194" s="46" t="n">
        <f aca="false">IF(COUNT($F194,$H194,$J194,$L194,$N194,$P194)=0,"",MAX($F194,$H194,$J194,$L194,$N194,$P194))</f>
        <v>0.2</v>
      </c>
      <c r="S194" s="61" t="n">
        <f aca="false">IF($A194="","",COUNT($E194,$G194,$I194,$K194,$M194,$O194))</f>
        <v>6</v>
      </c>
    </row>
    <row r="195" customFormat="false" ht="15" hidden="false" customHeight="false" outlineLevel="0" collapsed="false">
      <c r="A195" s="48" t="str">
        <f aca="false">IF(Produtos!$A195="","",Produtos!$A195)</f>
        <v>Q2430-BC</v>
      </c>
      <c r="B195" s="48" t="str">
        <f aca="false">IF(Produtos!$A195="","",Produtos!$B195)</f>
        <v>Lixeira Quadrada 24x30 15L c/Aro Basculante Colorido</v>
      </c>
      <c r="C195" s="48" t="str">
        <f aca="false">IF(Produtos!$A195="","",Produtos!$C195)</f>
        <v>Lixeiras em inox</v>
      </c>
      <c r="D195" s="33" t="n">
        <f aca="false">IF(Produtos!$A195="","",IF(Produtos!$D195="","",Produtos!$D195))</f>
        <v>173.65</v>
      </c>
      <c r="E195" s="62" t="n">
        <f aca="false">'ML Clássico'!$K195</f>
        <v>355.280625</v>
      </c>
      <c r="F195" s="60" t="n">
        <f aca="false">'ML Clássico'!$Q195</f>
        <v>0.178902153051549</v>
      </c>
      <c r="G195" s="62" t="n">
        <f aca="false">'ML Premium'!$K195</f>
        <v>368.554725</v>
      </c>
      <c r="H195" s="60" t="n">
        <f aca="false">'ML Premium'!$Q195</f>
        <v>0.169471174192652</v>
      </c>
      <c r="I195" s="62" t="n">
        <f aca="false">Amazon!$K195</f>
        <v>321.574074074074</v>
      </c>
      <c r="J195" s="60" t="n">
        <f aca="false">Amazon!$Q195</f>
        <v>0.2</v>
      </c>
      <c r="K195" s="62" t="n">
        <f aca="false">'Via (Casas Bahia)'!$K195</f>
        <v>377.5</v>
      </c>
      <c r="L195" s="60" t="n">
        <f aca="false">'Via (Casas Bahia)'!$Q195</f>
        <v>0.2</v>
      </c>
      <c r="M195" s="62" t="n">
        <f aca="false">MadeiraMadeira!$K195</f>
        <v>361.770833333333</v>
      </c>
      <c r="N195" s="60" t="n">
        <f aca="false">MadeiraMadeira!$Q195</f>
        <v>0.2</v>
      </c>
      <c r="O195" s="62" t="n">
        <f aca="false">Magalu!$K195</f>
        <v>354.387755102041</v>
      </c>
      <c r="P195" s="60" t="n">
        <f aca="false">Magalu!$Q195</f>
        <v>0.2</v>
      </c>
      <c r="Q195" s="46" t="n">
        <f aca="false">IF(COUNT($F195,$H195,$J195,$L195,$N195,$P195)=0,"",MIN($F195,$H195,$J195,$L195,$N195,$P195))</f>
        <v>0.169471174192652</v>
      </c>
      <c r="R195" s="46" t="n">
        <f aca="false">IF(COUNT($F195,$H195,$J195,$L195,$N195,$P195)=0,"",MAX($F195,$H195,$J195,$L195,$N195,$P195))</f>
        <v>0.2</v>
      </c>
      <c r="S195" s="61" t="n">
        <f aca="false">IF($A195="","",COUNT($E195,$G195,$I195,$K195,$M195,$O195))</f>
        <v>6</v>
      </c>
    </row>
    <row r="196" customFormat="false" ht="15" hidden="false" customHeight="false" outlineLevel="0" collapsed="false">
      <c r="A196" s="32" t="str">
        <f aca="false">IF(Produtos!$A196="","",Produtos!$A196)</f>
        <v>Q2460-BC</v>
      </c>
      <c r="B196" s="32" t="str">
        <f aca="false">IF(Produtos!$A196="","",Produtos!$B196)</f>
        <v>Lixeira Quadrada 24x60 30L c/Aro Basculante Colorido</v>
      </c>
      <c r="C196" s="32" t="str">
        <f aca="false">IF(Produtos!$A196="","",Produtos!$C196)</f>
        <v>Lixeiras em inox</v>
      </c>
      <c r="D196" s="33" t="n">
        <f aca="false">IF(Produtos!$A196="","",IF(Produtos!$D196="","",Produtos!$D196))</f>
        <v>234.63</v>
      </c>
      <c r="E196" s="59" t="n">
        <f aca="false">'ML Clássico'!$K196</f>
        <v>481.2192</v>
      </c>
      <c r="F196" s="60" t="n">
        <f aca="false">'ML Clássico'!$Q196</f>
        <v>0.159873920242584</v>
      </c>
      <c r="G196" s="59" t="n">
        <f aca="false">'ML Premium'!$K196</f>
        <v>498.120525</v>
      </c>
      <c r="H196" s="60" t="n">
        <f aca="false">'ML Premium'!$Q196</f>
        <v>0.149897011370893</v>
      </c>
      <c r="I196" s="59" t="n">
        <f aca="false">Amazon!$K196</f>
        <v>434.5</v>
      </c>
      <c r="J196" s="60" t="n">
        <f aca="false">Amazon!$Q196</f>
        <v>0.2</v>
      </c>
      <c r="K196" s="59" t="n">
        <f aca="false">'Via (Casas Bahia)'!$K196</f>
        <v>510.065217391304</v>
      </c>
      <c r="L196" s="60" t="n">
        <f aca="false">'Via (Casas Bahia)'!$Q196</f>
        <v>0.2</v>
      </c>
      <c r="M196" s="59" t="n">
        <f aca="false">MadeiraMadeira!$K196</f>
        <v>488.8125</v>
      </c>
      <c r="N196" s="60" t="n">
        <f aca="false">MadeiraMadeira!$Q196</f>
        <v>0.2</v>
      </c>
      <c r="O196" s="59" t="n">
        <f aca="false">Magalu!$K196</f>
        <v>478.836734693878</v>
      </c>
      <c r="P196" s="60" t="n">
        <f aca="false">Magalu!$Q196</f>
        <v>0.2</v>
      </c>
      <c r="Q196" s="46" t="n">
        <f aca="false">IF(COUNT($F196,$H196,$J196,$L196,$N196,$P196)=0,"",MIN($F196,$H196,$J196,$L196,$N196,$P196))</f>
        <v>0.149897011370893</v>
      </c>
      <c r="R196" s="46" t="n">
        <f aca="false">IF(COUNT($F196,$H196,$J196,$L196,$N196,$P196)=0,"",MAX($F196,$H196,$J196,$L196,$N196,$P196))</f>
        <v>0.2</v>
      </c>
      <c r="S196" s="61" t="n">
        <f aca="false">IF($A196="","",COUNT($E196,$G196,$I196,$K196,$M196,$O196))</f>
        <v>6</v>
      </c>
    </row>
    <row r="197" customFormat="false" ht="15" hidden="false" customHeight="false" outlineLevel="0" collapsed="false">
      <c r="A197" s="48" t="str">
        <f aca="false">IF(Produtos!$A197="","",Produtos!$A197)</f>
        <v>Q3060-BC</v>
      </c>
      <c r="B197" s="48" t="str">
        <f aca="false">IF(Produtos!$A197="","",Produtos!$B197)</f>
        <v>Lixeira Quadrada 30x60 50L c/Aro Basculante Colorido</v>
      </c>
      <c r="C197" s="48" t="str">
        <f aca="false">IF(Produtos!$A197="","",Produtos!$C197)</f>
        <v>Lixeiras em inox</v>
      </c>
      <c r="D197" s="33" t="n">
        <f aca="false">IF(Produtos!$A197="","",IF(Produtos!$D197="","",Produtos!$D197))</f>
        <v>342.51</v>
      </c>
      <c r="E197" s="62" t="n">
        <f aca="false">'ML Clássico'!$K197</f>
        <v>634.277777777778</v>
      </c>
      <c r="F197" s="60" t="n">
        <f aca="false">'ML Clássico'!$Q197</f>
        <v>0.2</v>
      </c>
      <c r="G197" s="62" t="n">
        <f aca="false">'ML Premium'!$K197</f>
        <v>699</v>
      </c>
      <c r="H197" s="60" t="n">
        <f aca="false">'ML Premium'!$Q197</f>
        <v>0.2</v>
      </c>
      <c r="I197" s="62" t="n">
        <f aca="false">Amazon!$K197</f>
        <v>634.277777777778</v>
      </c>
      <c r="J197" s="60" t="n">
        <f aca="false">Amazon!$Q197</f>
        <v>0.2</v>
      </c>
      <c r="K197" s="62" t="n">
        <f aca="false">'Via (Casas Bahia)'!$K197</f>
        <v>744.586956521739</v>
      </c>
      <c r="L197" s="60" t="n">
        <f aca="false">'Via (Casas Bahia)'!$Q197</f>
        <v>0.2</v>
      </c>
      <c r="M197" s="62" t="n">
        <f aca="false">MadeiraMadeira!$K197</f>
        <v>713.5625</v>
      </c>
      <c r="N197" s="60" t="n">
        <f aca="false">MadeiraMadeira!$Q197</f>
        <v>0.2</v>
      </c>
      <c r="O197" s="62" t="n">
        <f aca="false">Magalu!$K197</f>
        <v>699</v>
      </c>
      <c r="P197" s="60" t="n">
        <f aca="false">Magalu!$Q197</f>
        <v>0.2</v>
      </c>
      <c r="Q197" s="46" t="n">
        <f aca="false">IF(COUNT($F197,$H197,$J197,$L197,$N197,$P197)=0,"",MIN($F197,$H197,$J197,$L197,$N197,$P197))</f>
        <v>0.2</v>
      </c>
      <c r="R197" s="46" t="n">
        <f aca="false">IF(COUNT($F197,$H197,$J197,$L197,$N197,$P197)=0,"",MAX($F197,$H197,$J197,$L197,$N197,$P197))</f>
        <v>0.2</v>
      </c>
      <c r="S197" s="61" t="n">
        <f aca="false">IF($A197="","",COUNT($E197,$G197,$I197,$K197,$M197,$O197))</f>
        <v>6</v>
      </c>
    </row>
    <row r="198" customFormat="false" ht="15" hidden="false" customHeight="false" outlineLevel="0" collapsed="false">
      <c r="A198" s="32" t="str">
        <f aca="false">IF(Produtos!$A198="","",Produtos!$A198)</f>
        <v>Q4070-BC</v>
      </c>
      <c r="B198" s="32" t="str">
        <f aca="false">IF(Produtos!$A198="","",Produtos!$B198)</f>
        <v>Lixeira Quadrada 40x70 100L c/Aro Basculante Colorido</v>
      </c>
      <c r="C198" s="32" t="str">
        <f aca="false">IF(Produtos!$A198="","",Produtos!$C198)</f>
        <v>Lixeiras em inox</v>
      </c>
      <c r="D198" s="33" t="n">
        <f aca="false">IF(Produtos!$A198="","",IF(Produtos!$D198="","",Produtos!$D198))</f>
        <v>686.97</v>
      </c>
      <c r="E198" s="59" t="n">
        <f aca="false">'ML Clássico'!$K198</f>
        <v>1223.499375</v>
      </c>
      <c r="F198" s="60" t="n">
        <f aca="false">'ML Clássico'!$Q198</f>
        <v>0.0902898193143744</v>
      </c>
      <c r="G198" s="59" t="n">
        <f aca="false">'ML Premium'!$K198</f>
        <v>1401.97959183673</v>
      </c>
      <c r="H198" s="60" t="n">
        <f aca="false">'ML Premium'!$Q198</f>
        <v>0.2</v>
      </c>
      <c r="I198" s="59" t="n">
        <f aca="false">Amazon!$K198</f>
        <v>1272.16666666667</v>
      </c>
      <c r="J198" s="60" t="n">
        <f aca="false">Amazon!$Q198</f>
        <v>0.2</v>
      </c>
      <c r="K198" s="59" t="n">
        <f aca="false">'Via (Casas Bahia)'!$K198</f>
        <v>1493.41304347826</v>
      </c>
      <c r="L198" s="60" t="n">
        <f aca="false">'Via (Casas Bahia)'!$Q198</f>
        <v>0.2</v>
      </c>
      <c r="M198" s="59" t="n">
        <f aca="false">MadeiraMadeira!$K198</f>
        <v>1431.1875</v>
      </c>
      <c r="N198" s="60" t="n">
        <f aca="false">MadeiraMadeira!$Q198</f>
        <v>0.2</v>
      </c>
      <c r="O198" s="59" t="n">
        <f aca="false">Magalu!$K198</f>
        <v>1401.97959183673</v>
      </c>
      <c r="P198" s="60" t="n">
        <f aca="false">Magalu!$Q198</f>
        <v>0.2</v>
      </c>
      <c r="Q198" s="46" t="n">
        <f aca="false">IF(COUNT($F198,$H198,$J198,$L198,$N198,$P198)=0,"",MIN($F198,$H198,$J198,$L198,$N198,$P198))</f>
        <v>0.0902898193143744</v>
      </c>
      <c r="R198" s="46" t="n">
        <f aca="false">IF(COUNT($F198,$H198,$J198,$L198,$N198,$P198)=0,"",MAX($F198,$H198,$J198,$L198,$N198,$P198))</f>
        <v>0.2</v>
      </c>
      <c r="S198" s="61" t="n">
        <f aca="false">IF($A198="","",COUNT($E198,$G198,$I198,$K198,$M198,$O198))</f>
        <v>6</v>
      </c>
    </row>
    <row r="199" customFormat="false" ht="15" hidden="false" customHeight="false" outlineLevel="0" collapsed="false">
      <c r="A199" s="48" t="str">
        <f aca="false">IF(Produtos!$A199="","",Produtos!$A199)</f>
        <v>PQ-2430C</v>
      </c>
      <c r="B199" s="48" t="str">
        <f aca="false">IF(Produtos!$A199="","",Produtos!$B199)</f>
        <v>Lixeira quadrada c/Tampa colorida e Pedal 24x30 15L</v>
      </c>
      <c r="C199" s="48" t="str">
        <f aca="false">IF(Produtos!$A199="","",Produtos!$C199)</f>
        <v>Lixeiras com pedal</v>
      </c>
      <c r="D199" s="33" t="n">
        <f aca="false">IF(Produtos!$A199="","",IF(Produtos!$D199="","",Produtos!$D199))</f>
        <v>293.67</v>
      </c>
      <c r="E199" s="62" t="n">
        <f aca="false">'ML Clássico'!$K199</f>
        <v>614.742975</v>
      </c>
      <c r="F199" s="60" t="n">
        <f aca="false">'ML Clássico'!$Q199</f>
        <v>0.224707295353802</v>
      </c>
      <c r="G199" s="62" t="n">
        <f aca="false">'ML Premium'!$K199</f>
        <v>614.6217</v>
      </c>
      <c r="H199" s="60" t="n">
        <f aca="false">'ML Premium'!$Q199</f>
        <v>0.194603646438126</v>
      </c>
      <c r="I199" s="62" t="n">
        <f aca="false">Amazon!$K199</f>
        <v>543.833333333333</v>
      </c>
      <c r="J199" s="60" t="n">
        <f aca="false">Amazon!$Q199</f>
        <v>0.2</v>
      </c>
      <c r="K199" s="62" t="n">
        <f aca="false">'Via (Casas Bahia)'!$K199</f>
        <v>638.413043478261</v>
      </c>
      <c r="L199" s="60" t="n">
        <f aca="false">'Via (Casas Bahia)'!$Q199</f>
        <v>0.2</v>
      </c>
      <c r="M199" s="62" t="n">
        <f aca="false">MadeiraMadeira!$K199</f>
        <v>611.8125</v>
      </c>
      <c r="N199" s="60" t="n">
        <f aca="false">MadeiraMadeira!$Q199</f>
        <v>0.2</v>
      </c>
      <c r="O199" s="62" t="n">
        <f aca="false">Magalu!$K199</f>
        <v>599.326530612245</v>
      </c>
      <c r="P199" s="60" t="n">
        <f aca="false">Magalu!$Q199</f>
        <v>0.2</v>
      </c>
      <c r="Q199" s="46" t="n">
        <f aca="false">IF(COUNT($F199,$H199,$J199,$L199,$N199,$P199)=0,"",MIN($F199,$H199,$J199,$L199,$N199,$P199))</f>
        <v>0.194603646438126</v>
      </c>
      <c r="R199" s="46" t="n">
        <f aca="false">IF(COUNT($F199,$H199,$J199,$L199,$N199,$P199)=0,"",MAX($F199,$H199,$J199,$L199,$N199,$P199))</f>
        <v>0.224707295353802</v>
      </c>
      <c r="S199" s="61" t="n">
        <f aca="false">IF($A199="","",COUNT($E199,$G199,$I199,$K199,$M199,$O199))</f>
        <v>6</v>
      </c>
    </row>
    <row r="200" customFormat="false" ht="15" hidden="false" customHeight="false" outlineLevel="0" collapsed="false">
      <c r="A200" s="32" t="str">
        <f aca="false">IF(Produtos!$A200="","",Produtos!$A200)</f>
        <v>PQ-2460C</v>
      </c>
      <c r="B200" s="32" t="str">
        <f aca="false">IF(Produtos!$A200="","",Produtos!$B200)</f>
        <v>Lixeira quadrada c/Tampa colorida e Pedal 24x60 30L</v>
      </c>
      <c r="C200" s="32" t="str">
        <f aca="false">IF(Produtos!$A200="","",Produtos!$C200)</f>
        <v>Lixeiras com pedal</v>
      </c>
      <c r="D200" s="33" t="n">
        <f aca="false">IF(Produtos!$A200="","",IF(Produtos!$D200="","",Produtos!$D200))</f>
        <v>360.26</v>
      </c>
      <c r="E200" s="59" t="n">
        <f aca="false">'ML Clássico'!$K200</f>
        <v>731.409525</v>
      </c>
      <c r="F200" s="60" t="n">
        <f aca="false">'ML Clássico'!$Q200</f>
        <v>0.189971744967363</v>
      </c>
      <c r="G200" s="59" t="n">
        <f aca="false">'ML Premium'!$K200</f>
        <v>735.224489795918</v>
      </c>
      <c r="H200" s="60" t="n">
        <f aca="false">'ML Premium'!$Q200</f>
        <v>0.2</v>
      </c>
      <c r="I200" s="59" t="n">
        <f aca="false">Amazon!$K200</f>
        <v>667.148148148148</v>
      </c>
      <c r="J200" s="60" t="n">
        <f aca="false">Amazon!$Q200</f>
        <v>0.2</v>
      </c>
      <c r="K200" s="59" t="n">
        <f aca="false">'Via (Casas Bahia)'!$K200</f>
        <v>783.173913043478</v>
      </c>
      <c r="L200" s="60" t="n">
        <f aca="false">'Via (Casas Bahia)'!$Q200</f>
        <v>0.2</v>
      </c>
      <c r="M200" s="59" t="n">
        <f aca="false">MadeiraMadeira!$K200</f>
        <v>750.541666666667</v>
      </c>
      <c r="N200" s="60" t="n">
        <f aca="false">MadeiraMadeira!$Q200</f>
        <v>0.2</v>
      </c>
      <c r="O200" s="59" t="n">
        <f aca="false">Magalu!$K200</f>
        <v>735.224489795918</v>
      </c>
      <c r="P200" s="60" t="n">
        <f aca="false">Magalu!$Q200</f>
        <v>0.2</v>
      </c>
      <c r="Q200" s="46" t="n">
        <f aca="false">IF(COUNT($F200,$H200,$J200,$L200,$N200,$P200)=0,"",MIN($F200,$H200,$J200,$L200,$N200,$P200))</f>
        <v>0.189971744967363</v>
      </c>
      <c r="R200" s="46" t="n">
        <f aca="false">IF(COUNT($F200,$H200,$J200,$L200,$N200,$P200)=0,"",MAX($F200,$H200,$J200,$L200,$N200,$P200))</f>
        <v>0.2</v>
      </c>
      <c r="S200" s="61" t="n">
        <f aca="false">IF($A200="","",COUNT($E200,$G200,$I200,$K200,$M200,$O200))</f>
        <v>6</v>
      </c>
    </row>
    <row r="201" customFormat="false" ht="15" hidden="false" customHeight="false" outlineLevel="0" collapsed="false">
      <c r="A201" s="48" t="str">
        <f aca="false">IF(Produtos!$A201="","",Produtos!$A201)</f>
        <v>PQ-3060C</v>
      </c>
      <c r="B201" s="48" t="str">
        <f aca="false">IF(Produtos!$A201="","",Produtos!$B201)</f>
        <v>Lixeira quadrada c/Tampa colorida e Pedal 30x60 50L</v>
      </c>
      <c r="C201" s="48" t="str">
        <f aca="false">IF(Produtos!$A201="","",Produtos!$C201)</f>
        <v>Lixeiras com pedal</v>
      </c>
      <c r="D201" s="33" t="n">
        <f aca="false">IF(Produtos!$A201="","",IF(Produtos!$D201="","",Produtos!$D201))</f>
        <v>449.58</v>
      </c>
      <c r="E201" s="62" t="n">
        <f aca="false">'ML Clássico'!$K201</f>
        <v>892.903725</v>
      </c>
      <c r="F201" s="60" t="n">
        <f aca="false">'ML Clássico'!$Q201</f>
        <v>0.162748516364404</v>
      </c>
      <c r="G201" s="62" t="n">
        <f aca="false">'ML Premium'!$K201</f>
        <v>961.699725</v>
      </c>
      <c r="H201" s="60" t="n">
        <f aca="false">'ML Premium'!$Q201</f>
        <v>0.154042687544701</v>
      </c>
      <c r="I201" s="62" t="n">
        <f aca="false">Amazon!$K201</f>
        <v>832.555555555555</v>
      </c>
      <c r="J201" s="60" t="n">
        <f aca="false">Amazon!$Q201</f>
        <v>0.2</v>
      </c>
      <c r="K201" s="62" t="n">
        <f aca="false">'Via (Casas Bahia)'!$K201</f>
        <v>977.347826086956</v>
      </c>
      <c r="L201" s="60" t="n">
        <f aca="false">'Via (Casas Bahia)'!$Q201</f>
        <v>0.2</v>
      </c>
      <c r="M201" s="62" t="n">
        <f aca="false">MadeiraMadeira!$K201</f>
        <v>936.625</v>
      </c>
      <c r="N201" s="60" t="n">
        <f aca="false">MadeiraMadeira!$Q201</f>
        <v>0.2</v>
      </c>
      <c r="O201" s="62" t="n">
        <f aca="false">Magalu!$K201</f>
        <v>917.510204081633</v>
      </c>
      <c r="P201" s="60" t="n">
        <f aca="false">Magalu!$Q201</f>
        <v>0.2</v>
      </c>
      <c r="Q201" s="46" t="n">
        <f aca="false">IF(COUNT($F201,$H201,$J201,$L201,$N201,$P201)=0,"",MIN($F201,$H201,$J201,$L201,$N201,$P201))</f>
        <v>0.154042687544701</v>
      </c>
      <c r="R201" s="46" t="n">
        <f aca="false">IF(COUNT($F201,$H201,$J201,$L201,$N201,$P201)=0,"",MAX($F201,$H201,$J201,$L201,$N201,$P201))</f>
        <v>0.2</v>
      </c>
      <c r="S201" s="61" t="n">
        <f aca="false">IF($A201="","",COUNT($E201,$G201,$I201,$K201,$M201,$O201))</f>
        <v>6</v>
      </c>
    </row>
    <row r="202" customFormat="false" ht="15" hidden="false" customHeight="false" outlineLevel="0" collapsed="false">
      <c r="A202" s="32" t="str">
        <f aca="false">IF(Produtos!$A202="","",Produtos!$A202)</f>
        <v>PQ-4070C</v>
      </c>
      <c r="B202" s="32" t="str">
        <f aca="false">IF(Produtos!$A202="","",Produtos!$B202)</f>
        <v>Lixeira quadrada c/Tampa colorida e Pedal 40x70 100L</v>
      </c>
      <c r="C202" s="32" t="str">
        <f aca="false">IF(Produtos!$A202="","",Produtos!$C202)</f>
        <v>Lixeiras com pedal</v>
      </c>
      <c r="D202" s="33" t="n">
        <f aca="false">IF(Produtos!$A202="","",IF(Produtos!$D202="","",Produtos!$D202))</f>
        <v>980.21</v>
      </c>
      <c r="E202" s="59" t="n">
        <f aca="false">'ML Clássico'!$K202</f>
        <v>1892.364075</v>
      </c>
      <c r="F202" s="60" t="n">
        <f aca="false">'ML Clássico'!$Q202</f>
        <v>0.165554514397553</v>
      </c>
      <c r="G202" s="59" t="n">
        <f aca="false">'ML Premium'!$K202</f>
        <v>2023.782075</v>
      </c>
      <c r="H202" s="60" t="n">
        <f aca="false">'ML Premium'!$Q202</f>
        <v>0.152857185351837</v>
      </c>
      <c r="I202" s="59" t="n">
        <f aca="false">Amazon!$K202</f>
        <v>1815.2037037037</v>
      </c>
      <c r="J202" s="60" t="n">
        <f aca="false">Amazon!$Q202</f>
        <v>0.2</v>
      </c>
      <c r="K202" s="59" t="n">
        <f aca="false">'Via (Casas Bahia)'!$K202</f>
        <v>2130.89130434783</v>
      </c>
      <c r="L202" s="60" t="n">
        <f aca="false">'Via (Casas Bahia)'!$Q202</f>
        <v>0.2</v>
      </c>
      <c r="M202" s="59" t="n">
        <f aca="false">MadeiraMadeira!$K202</f>
        <v>2042.10416666667</v>
      </c>
      <c r="N202" s="60" t="n">
        <f aca="false">MadeiraMadeira!$Q202</f>
        <v>0.2</v>
      </c>
      <c r="O202" s="59" t="n">
        <f aca="false">Magalu!$K202</f>
        <v>2000.42857142857</v>
      </c>
      <c r="P202" s="60" t="n">
        <f aca="false">Magalu!$Q202</f>
        <v>0.2</v>
      </c>
      <c r="Q202" s="46" t="n">
        <f aca="false">IF(COUNT($F202,$H202,$J202,$L202,$N202,$P202)=0,"",MIN($F202,$H202,$J202,$L202,$N202,$P202))</f>
        <v>0.152857185351837</v>
      </c>
      <c r="R202" s="46" t="n">
        <f aca="false">IF(COUNT($F202,$H202,$J202,$L202,$N202,$P202)=0,"",MAX($F202,$H202,$J202,$L202,$N202,$P202))</f>
        <v>0.2</v>
      </c>
      <c r="S202" s="61" t="n">
        <f aca="false">IF($A202="","",COUNT($E202,$G202,$I202,$K202,$M202,$O202))</f>
        <v>6</v>
      </c>
    </row>
    <row r="203" customFormat="false" ht="15" hidden="false" customHeight="false" outlineLevel="0" collapsed="false">
      <c r="A203" s="48" t="str">
        <f aca="false">IF(Produtos!$A203="","",Produtos!$A203)</f>
        <v>PQ-4090C</v>
      </c>
      <c r="B203" s="48" t="str">
        <f aca="false">IF(Produtos!$A203="","",Produtos!$B203)</f>
        <v>Lixeira quadrada c/Tampa colorida e Pedal 40x90 120L</v>
      </c>
      <c r="C203" s="48" t="str">
        <f aca="false">IF(Produtos!$A203="","",Produtos!$C203)</f>
        <v>Lixeiras com pedal</v>
      </c>
      <c r="D203" s="33" t="n">
        <f aca="false">IF(Produtos!$A203="","",IF(Produtos!$D203="","",Produtos!$D203))</f>
        <v>1078.18</v>
      </c>
      <c r="E203" s="62" t="n">
        <f aca="false">'ML Clássico'!$K203</f>
        <v>2065.897575</v>
      </c>
      <c r="F203" s="60" t="n">
        <f aca="false">'ML Clássico'!$Q203</f>
        <v>0.165852465120397</v>
      </c>
      <c r="G203" s="62" t="n">
        <f aca="false">'ML Premium'!$K203</f>
        <v>2209.3659</v>
      </c>
      <c r="H203" s="60" t="n">
        <f aca="false">'ML Premium'!$Q203</f>
        <v>0.153135553961433</v>
      </c>
      <c r="I203" s="62" t="n">
        <f aca="false">Amazon!$K203</f>
        <v>1996.62962962963</v>
      </c>
      <c r="J203" s="60" t="n">
        <f aca="false">Amazon!$Q203</f>
        <v>0.2</v>
      </c>
      <c r="K203" s="62" t="n">
        <f aca="false">'Via (Casas Bahia)'!$K203</f>
        <v>2343.86956521739</v>
      </c>
      <c r="L203" s="60" t="n">
        <f aca="false">'Via (Casas Bahia)'!$Q203</f>
        <v>0.2</v>
      </c>
      <c r="M203" s="62" t="n">
        <f aca="false">MadeiraMadeira!$K203</f>
        <v>2246.20833333333</v>
      </c>
      <c r="N203" s="60" t="n">
        <f aca="false">MadeiraMadeira!$Q203</f>
        <v>0.2</v>
      </c>
      <c r="O203" s="62" t="n">
        <f aca="false">Magalu!$K203</f>
        <v>2200.36734693878</v>
      </c>
      <c r="P203" s="60" t="n">
        <f aca="false">Magalu!$Q203</f>
        <v>0.2</v>
      </c>
      <c r="Q203" s="46" t="n">
        <f aca="false">IF(COUNT($F203,$H203,$J203,$L203,$N203,$P203)=0,"",MIN($F203,$H203,$J203,$L203,$N203,$P203))</f>
        <v>0.153135553961433</v>
      </c>
      <c r="R203" s="46" t="n">
        <f aca="false">IF(COUNT($F203,$H203,$J203,$L203,$N203,$P203)=0,"",MAX($F203,$H203,$J203,$L203,$N203,$P203))</f>
        <v>0.2</v>
      </c>
      <c r="S203" s="61" t="n">
        <f aca="false">IF($A203="","",COUNT($E203,$G203,$I203,$K203,$M203,$O203))</f>
        <v>6</v>
      </c>
    </row>
    <row r="204" customFormat="false" ht="15" hidden="false" customHeight="false" outlineLevel="0" collapsed="false">
      <c r="A204" s="32" t="str">
        <f aca="false">IF(Produtos!$A204="","",Produtos!$A204)</f>
        <v>PQ-5080C</v>
      </c>
      <c r="B204" s="32" t="str">
        <f aca="false">IF(Produtos!$A204="","",Produtos!$B204)</f>
        <v>Lixeira quadrada c/Tampa colorida e Pedal 50x80 150L</v>
      </c>
      <c r="C204" s="32" t="str">
        <f aca="false">IF(Produtos!$A204="","",Produtos!$C204)</f>
        <v>Lixeiras com pedal</v>
      </c>
      <c r="D204" s="33" t="n">
        <f aca="false">IF(Produtos!$A204="","",IF(Produtos!$D204="","",Produtos!$D204))</f>
        <v>1393</v>
      </c>
      <c r="E204" s="59" t="n">
        <f aca="false">'ML Clássico'!$K204</f>
        <v>2546.7309</v>
      </c>
      <c r="F204" s="60" t="n">
        <f aca="false">'ML Clássico'!$Q204</f>
        <v>0.150636592974939</v>
      </c>
      <c r="G204" s="59" t="n">
        <f aca="false">'ML Premium'!$K204</f>
        <v>2546.7309</v>
      </c>
      <c r="H204" s="60" t="n">
        <f aca="false">'ML Premium'!$Q204</f>
        <v>0.100636592974939</v>
      </c>
      <c r="I204" s="59" t="n">
        <f aca="false">Amazon!$K204</f>
        <v>2579.62962962963</v>
      </c>
      <c r="J204" s="60" t="n">
        <f aca="false">Amazon!$Q204</f>
        <v>0.2</v>
      </c>
      <c r="K204" s="59" t="n">
        <f aca="false">'Via (Casas Bahia)'!$K204</f>
        <v>3028.26086956522</v>
      </c>
      <c r="L204" s="60" t="n">
        <f aca="false">'Via (Casas Bahia)'!$Q204</f>
        <v>0.2</v>
      </c>
      <c r="M204" s="59" t="n">
        <f aca="false">MadeiraMadeira!$K204</f>
        <v>2902.08333333333</v>
      </c>
      <c r="N204" s="60" t="n">
        <f aca="false">MadeiraMadeira!$Q204</f>
        <v>0.2</v>
      </c>
      <c r="O204" s="59" t="n">
        <f aca="false">Magalu!$K204</f>
        <v>2842.85714285714</v>
      </c>
      <c r="P204" s="60" t="n">
        <f aca="false">Magalu!$Q204</f>
        <v>0.2</v>
      </c>
      <c r="Q204" s="46" t="n">
        <f aca="false">IF(COUNT($F204,$H204,$J204,$L204,$N204,$P204)=0,"",MIN($F204,$H204,$J204,$L204,$N204,$P204))</f>
        <v>0.100636592974939</v>
      </c>
      <c r="R204" s="46" t="n">
        <f aca="false">IF(COUNT($F204,$H204,$J204,$L204,$N204,$P204)=0,"",MAX($F204,$H204,$J204,$L204,$N204,$P204))</f>
        <v>0.2</v>
      </c>
      <c r="S204" s="61" t="n">
        <f aca="false">IF($A204="","",COUNT($E204,$G204,$I204,$K204,$M204,$O204))</f>
        <v>6</v>
      </c>
    </row>
    <row r="205" customFormat="false" ht="15" hidden="false" customHeight="false" outlineLevel="0" collapsed="false">
      <c r="A205" s="48" t="str">
        <f aca="false">IF(Produtos!$A205="","",Produtos!$A205)</f>
        <v>L1618-T</v>
      </c>
      <c r="B205" s="48" t="str">
        <f aca="false">IF(Produtos!$A205="","",Produtos!$B205)</f>
        <v>Lixeira de Aço inox 16x18 03L com tampa</v>
      </c>
      <c r="C205" s="48" t="str">
        <f aca="false">IF(Produtos!$A205="","",Produtos!$C205)</f>
        <v>Lixeiras em inox</v>
      </c>
      <c r="D205" s="33" t="n">
        <f aca="false">IF(Produtos!$A205="","",IF(Produtos!$D205="","",Produtos!$D205))</f>
        <v>54.47</v>
      </c>
      <c r="E205" s="62" t="n">
        <f aca="false">'ML Clássico'!$K205</f>
        <v>136.9</v>
      </c>
      <c r="F205" s="60" t="n">
        <f aca="false">'ML Clássico'!$Q205</f>
        <v>0.200043827611395</v>
      </c>
      <c r="G205" s="62" t="n">
        <f aca="false">'ML Premium'!$K205</f>
        <v>150.86</v>
      </c>
      <c r="H205" s="60" t="n">
        <f aca="false">'ML Premium'!$Q205</f>
        <v>0.214763356754607</v>
      </c>
      <c r="I205" s="62" t="n">
        <f aca="false">Amazon!$K205</f>
        <v>116</v>
      </c>
      <c r="J205" s="60" t="n">
        <f aca="false">Amazon!$Q205</f>
        <v>0.270431034482759</v>
      </c>
      <c r="K205" s="62" t="n">
        <f aca="false">'Via (Casas Bahia)'!$K205</f>
        <v>118.413043478261</v>
      </c>
      <c r="L205" s="60" t="n">
        <f aca="false">'Via (Casas Bahia)'!$Q205</f>
        <v>0.2</v>
      </c>
      <c r="M205" s="62" t="n">
        <f aca="false">MadeiraMadeira!$K205</f>
        <v>113.479166666667</v>
      </c>
      <c r="N205" s="60" t="n">
        <f aca="false">MadeiraMadeira!$Q205</f>
        <v>0.2</v>
      </c>
      <c r="O205" s="62" t="n">
        <f aca="false">Magalu!$K205</f>
        <v>111.163265306122</v>
      </c>
      <c r="P205" s="60" t="n">
        <f aca="false">Magalu!$Q205</f>
        <v>0.2</v>
      </c>
      <c r="Q205" s="46" t="n">
        <f aca="false">IF(COUNT($F205,$H205,$J205,$L205,$N205,$P205)=0,"",MIN($F205,$H205,$J205,$L205,$N205,$P205))</f>
        <v>0.2</v>
      </c>
      <c r="R205" s="46" t="n">
        <f aca="false">IF(COUNT($F205,$H205,$J205,$L205,$N205,$P205)=0,"",MAX($F205,$H205,$J205,$L205,$N205,$P205))</f>
        <v>0.270431034482759</v>
      </c>
      <c r="S205" s="61" t="n">
        <f aca="false">IF($A205="","",COUNT($E205,$G205,$I205,$K205,$M205,$O205))</f>
        <v>6</v>
      </c>
    </row>
    <row r="206" customFormat="false" ht="15" hidden="false" customHeight="false" outlineLevel="0" collapsed="false">
      <c r="A206" s="32" t="str">
        <f aca="false">IF(Produtos!$A206="","",Produtos!$A206)</f>
        <v>L1623-T</v>
      </c>
      <c r="B206" s="32" t="str">
        <f aca="false">IF(Produtos!$A206="","",Produtos!$B206)</f>
        <v>Lixeira de Aço inox 16x23 05L com tampa</v>
      </c>
      <c r="C206" s="32" t="str">
        <f aca="false">IF(Produtos!$A206="","",Produtos!$C206)</f>
        <v>Lixeiras em inox</v>
      </c>
      <c r="D206" s="33" t="n">
        <f aca="false">IF(Produtos!$A206="","",IF(Produtos!$D206="","",Produtos!$D206))</f>
        <v>59.8</v>
      </c>
      <c r="E206" s="59" t="n">
        <f aca="false">'ML Clássico'!$K206</f>
        <v>146.76</v>
      </c>
      <c r="F206" s="60" t="n">
        <f aca="false">'ML Clássico'!$Q206</f>
        <v>0.200002725538294</v>
      </c>
      <c r="G206" s="59" t="n">
        <f aca="false">'ML Premium'!$K206</f>
        <v>156.9</v>
      </c>
      <c r="H206" s="60" t="n">
        <f aca="false">'ML Premium'!$Q206</f>
        <v>0.200242192479286</v>
      </c>
      <c r="I206" s="59" t="n">
        <f aca="false">Amazon!$K206</f>
        <v>123.93</v>
      </c>
      <c r="J206" s="60" t="n">
        <f aca="false">Amazon!$Q206</f>
        <v>0.257469539256032</v>
      </c>
      <c r="K206" s="59" t="n">
        <f aca="false">'Via (Casas Bahia)'!$K206</f>
        <v>130</v>
      </c>
      <c r="L206" s="60" t="n">
        <f aca="false">'Via (Casas Bahia)'!$Q206</f>
        <v>0.2</v>
      </c>
      <c r="M206" s="59" t="n">
        <f aca="false">MadeiraMadeira!$K206</f>
        <v>124.583333333333</v>
      </c>
      <c r="N206" s="60" t="n">
        <f aca="false">MadeiraMadeira!$Q206</f>
        <v>0.2</v>
      </c>
      <c r="O206" s="59" t="n">
        <f aca="false">Magalu!$K206</f>
        <v>122.040816326531</v>
      </c>
      <c r="P206" s="60" t="n">
        <f aca="false">Magalu!$Q206</f>
        <v>0.2</v>
      </c>
      <c r="Q206" s="46" t="n">
        <f aca="false">IF(COUNT($F206,$H206,$J206,$L206,$N206,$P206)=0,"",MIN($F206,$H206,$J206,$L206,$N206,$P206))</f>
        <v>0.2</v>
      </c>
      <c r="R206" s="46" t="n">
        <f aca="false">IF(COUNT($F206,$H206,$J206,$L206,$N206,$P206)=0,"",MAX($F206,$H206,$J206,$L206,$N206,$P206))</f>
        <v>0.257469539256032</v>
      </c>
      <c r="S206" s="61" t="n">
        <f aca="false">IF($A206="","",COUNT($E206,$G206,$I206,$K206,$M206,$O206))</f>
        <v>6</v>
      </c>
    </row>
    <row r="207" customFormat="false" ht="15" hidden="false" customHeight="false" outlineLevel="0" collapsed="false">
      <c r="A207" s="48" t="str">
        <f aca="false">IF(Produtos!$A207="","",Produtos!$A207)</f>
        <v>L2025-T</v>
      </c>
      <c r="B207" s="48" t="str">
        <f aca="false">IF(Produtos!$A207="","",Produtos!$B207)</f>
        <v>Lixeira de Aço inox 20x25 07L com tampa</v>
      </c>
      <c r="C207" s="48" t="str">
        <f aca="false">IF(Produtos!$A207="","",Produtos!$C207)</f>
        <v>Lixeiras em inox</v>
      </c>
      <c r="D207" s="33" t="n">
        <f aca="false">IF(Produtos!$A207="","",IF(Produtos!$D207="","",Produtos!$D207))</f>
        <v>63.11</v>
      </c>
      <c r="E207" s="62" t="n">
        <f aca="false">'ML Clássico'!$K207</f>
        <v>157.5</v>
      </c>
      <c r="F207" s="60" t="n">
        <f aca="false">'ML Clássico'!$Q207</f>
        <v>0.208031746031746</v>
      </c>
      <c r="G207" s="62" t="n">
        <f aca="false">'ML Premium'!$K207</f>
        <v>164.8733625</v>
      </c>
      <c r="H207" s="60" t="n">
        <f aca="false">'ML Premium'!$Q207</f>
        <v>0.175908465049956</v>
      </c>
      <c r="I207" s="62" t="n">
        <f aca="false">Amazon!$K207</f>
        <v>132.9</v>
      </c>
      <c r="J207" s="60" t="n">
        <f aca="false">Amazon!$Q207</f>
        <v>0.265131677953348</v>
      </c>
      <c r="K207" s="62" t="n">
        <f aca="false">'Via (Casas Bahia)'!$K207</f>
        <v>137.195652173913</v>
      </c>
      <c r="L207" s="60" t="n">
        <f aca="false">'Via (Casas Bahia)'!$Q207</f>
        <v>0.2</v>
      </c>
      <c r="M207" s="62" t="n">
        <f aca="false">MadeiraMadeira!$K207</f>
        <v>131.479166666667</v>
      </c>
      <c r="N207" s="60" t="n">
        <f aca="false">MadeiraMadeira!$Q207</f>
        <v>0.2</v>
      </c>
      <c r="O207" s="62" t="n">
        <f aca="false">Magalu!$K207</f>
        <v>128.795918367347</v>
      </c>
      <c r="P207" s="60" t="n">
        <f aca="false">Magalu!$Q207</f>
        <v>0.2</v>
      </c>
      <c r="Q207" s="46" t="n">
        <f aca="false">IF(COUNT($F207,$H207,$J207,$L207,$N207,$P207)=0,"",MIN($F207,$H207,$J207,$L207,$N207,$P207))</f>
        <v>0.175908465049956</v>
      </c>
      <c r="R207" s="46" t="n">
        <f aca="false">IF(COUNT($F207,$H207,$J207,$L207,$N207,$P207)=0,"",MAX($F207,$H207,$J207,$L207,$N207,$P207))</f>
        <v>0.265131677953348</v>
      </c>
      <c r="S207" s="61" t="n">
        <f aca="false">IF($A207="","",COUNT($E207,$G207,$I207,$K207,$M207,$O207))</f>
        <v>6</v>
      </c>
    </row>
    <row r="208" customFormat="false" ht="15" hidden="false" customHeight="false" outlineLevel="0" collapsed="false">
      <c r="A208" s="32" t="str">
        <f aca="false">IF(Produtos!$A208="","",Produtos!$A208)</f>
        <v>L2030-T</v>
      </c>
      <c r="B208" s="32" t="str">
        <f aca="false">IF(Produtos!$A208="","",Produtos!$B208)</f>
        <v>Lixeira de Aço inox 20x30 10L com tampa</v>
      </c>
      <c r="C208" s="32" t="str">
        <f aca="false">IF(Produtos!$A208="","",Produtos!$C208)</f>
        <v>Lixeiras em inox</v>
      </c>
      <c r="D208" s="33" t="n">
        <f aca="false">IF(Produtos!$A208="","",IF(Produtos!$D208="","",Produtos!$D208))</f>
        <v>69.27</v>
      </c>
      <c r="E208" s="59" t="n">
        <f aca="false">'ML Clássico'!$K208</f>
        <v>170.2536275</v>
      </c>
      <c r="F208" s="60" t="n">
        <f aca="false">'ML Clássico'!$Q208</f>
        <v>0.200114506370797</v>
      </c>
      <c r="G208" s="59" t="n">
        <f aca="false">'ML Premium'!$K208</f>
        <v>182.3</v>
      </c>
      <c r="H208" s="60" t="n">
        <f aca="false">'ML Premium'!$Q208</f>
        <v>0.206450905101481</v>
      </c>
      <c r="I208" s="59" t="n">
        <f aca="false">Amazon!$K208</f>
        <v>143.13</v>
      </c>
      <c r="J208" s="60" t="n">
        <f aca="false">Amazon!$Q208</f>
        <v>0.256034374345001</v>
      </c>
      <c r="K208" s="59" t="n">
        <f aca="false">'Via (Casas Bahia)'!$K208</f>
        <v>150.586956521739</v>
      </c>
      <c r="L208" s="60" t="n">
        <f aca="false">'Via (Casas Bahia)'!$Q208</f>
        <v>0.2</v>
      </c>
      <c r="M208" s="59" t="n">
        <f aca="false">MadeiraMadeira!$K208</f>
        <v>144.3125</v>
      </c>
      <c r="N208" s="60" t="n">
        <f aca="false">MadeiraMadeira!$Q208</f>
        <v>0.2</v>
      </c>
      <c r="O208" s="59" t="n">
        <f aca="false">Magalu!$K208</f>
        <v>141.367346938775</v>
      </c>
      <c r="P208" s="60" t="n">
        <f aca="false">Magalu!$Q208</f>
        <v>0.2</v>
      </c>
      <c r="Q208" s="46" t="n">
        <f aca="false">IF(COUNT($F208,$H208,$J208,$L208,$N208,$P208)=0,"",MIN($F208,$H208,$J208,$L208,$N208,$P208))</f>
        <v>0.2</v>
      </c>
      <c r="R208" s="46" t="n">
        <f aca="false">IF(COUNT($F208,$H208,$J208,$L208,$N208,$P208)=0,"",MAX($F208,$H208,$J208,$L208,$N208,$P208))</f>
        <v>0.256034374345001</v>
      </c>
      <c r="S208" s="61" t="n">
        <f aca="false">IF($A208="","",COUNT($E208,$G208,$I208,$K208,$M208,$O208))</f>
        <v>6</v>
      </c>
    </row>
    <row r="209" customFormat="false" ht="15" hidden="false" customHeight="false" outlineLevel="0" collapsed="false">
      <c r="A209" s="48" t="str">
        <f aca="false">IF(Produtos!$A209="","",Produtos!$A209)</f>
        <v>A24</v>
      </c>
      <c r="B209" s="48" t="str">
        <f aca="false">IF(Produtos!$A209="","",Produtos!$B209)</f>
        <v>Aro 24cm Aço Inox</v>
      </c>
      <c r="C209" s="48" t="str">
        <f aca="false">IF(Produtos!$A209="","",Produtos!$C209)</f>
        <v>Acessórios (aros e tampas)</v>
      </c>
      <c r="D209" s="33" t="n">
        <f aca="false">IF(Produtos!$A209="","",IF(Produtos!$D209="","",Produtos!$D209))</f>
        <v>38.11</v>
      </c>
      <c r="E209" s="62" t="n">
        <f aca="false">'ML Clássico'!$K209</f>
        <v>70.5740740740741</v>
      </c>
      <c r="F209" s="60" t="n">
        <f aca="false">'ML Clássico'!$Q209</f>
        <v>0.2</v>
      </c>
      <c r="G209" s="62" t="n">
        <f aca="false">'ML Premium'!$K209</f>
        <v>77.7755102040816</v>
      </c>
      <c r="H209" s="60" t="n">
        <f aca="false">'ML Premium'!$Q209</f>
        <v>0.2</v>
      </c>
      <c r="I209" s="62" t="n">
        <f aca="false">Amazon!$K209</f>
        <v>70.5740740740741</v>
      </c>
      <c r="J209" s="60" t="n">
        <f aca="false">Amazon!$Q209</f>
        <v>0.2</v>
      </c>
      <c r="K209" s="62" t="n">
        <f aca="false">'Via (Casas Bahia)'!$K209</f>
        <v>82.8478260869565</v>
      </c>
      <c r="L209" s="60" t="n">
        <f aca="false">'Via (Casas Bahia)'!$Q209</f>
        <v>0.2</v>
      </c>
      <c r="M209" s="62" t="n">
        <f aca="false">MadeiraMadeira!$K209</f>
        <v>79.3958333333333</v>
      </c>
      <c r="N209" s="60" t="n">
        <f aca="false">MadeiraMadeira!$Q209</f>
        <v>0.2</v>
      </c>
      <c r="O209" s="62" t="n">
        <f aca="false">Magalu!$K209</f>
        <v>77.7755102040816</v>
      </c>
      <c r="P209" s="60" t="n">
        <f aca="false">Magalu!$Q209</f>
        <v>0.2</v>
      </c>
      <c r="Q209" s="46" t="n">
        <f aca="false">IF(COUNT($F209,$H209,$J209,$L209,$N209,$P209)=0,"",MIN($F209,$H209,$J209,$L209,$N209,$P209))</f>
        <v>0.2</v>
      </c>
      <c r="R209" s="46" t="n">
        <f aca="false">IF(COUNT($F209,$H209,$J209,$L209,$N209,$P209)=0,"",MAX($F209,$H209,$J209,$L209,$N209,$P209))</f>
        <v>0.2</v>
      </c>
      <c r="S209" s="61" t="n">
        <f aca="false">IF($A209="","",COUNT($E209,$G209,$I209,$K209,$M209,$O209))</f>
        <v>6</v>
      </c>
    </row>
    <row r="210" customFormat="false" ht="15" hidden="false" customHeight="false" outlineLevel="0" collapsed="false">
      <c r="A210" s="32" t="str">
        <f aca="false">IF(Produtos!$A210="","",Produtos!$A210)</f>
        <v>A30</v>
      </c>
      <c r="B210" s="32" t="str">
        <f aca="false">IF(Produtos!$A210="","",Produtos!$B210)</f>
        <v>Aro 30cm Aço Inox</v>
      </c>
      <c r="C210" s="32" t="str">
        <f aca="false">IF(Produtos!$A210="","",Produtos!$C210)</f>
        <v>Acessórios (aros e tampas)</v>
      </c>
      <c r="D210" s="33" t="n">
        <f aca="false">IF(Produtos!$A210="","",IF(Produtos!$D210="","",Produtos!$D210))</f>
        <v>44.27</v>
      </c>
      <c r="E210" s="59" t="n">
        <f aca="false">'ML Clássico'!$K210</f>
        <v>81.9814814814815</v>
      </c>
      <c r="F210" s="60" t="n">
        <f aca="false">'ML Clássico'!$Q210</f>
        <v>0.2</v>
      </c>
      <c r="G210" s="59" t="n">
        <f aca="false">'ML Premium'!$K210</f>
        <v>90.3469387755102</v>
      </c>
      <c r="H210" s="60" t="n">
        <f aca="false">'ML Premium'!$Q210</f>
        <v>0.2</v>
      </c>
      <c r="I210" s="59" t="n">
        <f aca="false">Amazon!$K210</f>
        <v>81.9814814814815</v>
      </c>
      <c r="J210" s="60" t="n">
        <f aca="false">Amazon!$Q210</f>
        <v>0.2</v>
      </c>
      <c r="K210" s="59" t="n">
        <f aca="false">'Via (Casas Bahia)'!$K210</f>
        <v>96.2391304347826</v>
      </c>
      <c r="L210" s="60" t="n">
        <f aca="false">'Via (Casas Bahia)'!$Q210</f>
        <v>0.2</v>
      </c>
      <c r="M210" s="59" t="n">
        <f aca="false">MadeiraMadeira!$K210</f>
        <v>92.2291666666667</v>
      </c>
      <c r="N210" s="60" t="n">
        <f aca="false">MadeiraMadeira!$Q210</f>
        <v>0.2</v>
      </c>
      <c r="O210" s="59" t="n">
        <f aca="false">Magalu!$K210</f>
        <v>90.3469387755102</v>
      </c>
      <c r="P210" s="60" t="n">
        <f aca="false">Magalu!$Q210</f>
        <v>0.2</v>
      </c>
      <c r="Q210" s="46" t="n">
        <f aca="false">IF(COUNT($F210,$H210,$J210,$L210,$N210,$P210)=0,"",MIN($F210,$H210,$J210,$L210,$N210,$P210))</f>
        <v>0.2</v>
      </c>
      <c r="R210" s="46" t="n">
        <f aca="false">IF(COUNT($F210,$H210,$J210,$L210,$N210,$P210)=0,"",MAX($F210,$H210,$J210,$L210,$N210,$P210))</f>
        <v>0.2</v>
      </c>
      <c r="S210" s="61" t="n">
        <f aca="false">IF($A210="","",COUNT($E210,$G210,$I210,$K210,$M210,$O210))</f>
        <v>6</v>
      </c>
    </row>
    <row r="211" customFormat="false" ht="15" hidden="false" customHeight="false" outlineLevel="0" collapsed="false">
      <c r="A211" s="48" t="str">
        <f aca="false">IF(Produtos!$A211="","",Produtos!$A211)</f>
        <v>A40</v>
      </c>
      <c r="B211" s="48" t="str">
        <f aca="false">IF(Produtos!$A211="","",Produtos!$B211)</f>
        <v>Aro 40cm Aço Inox</v>
      </c>
      <c r="C211" s="48" t="str">
        <f aca="false">IF(Produtos!$A211="","",Produtos!$C211)</f>
        <v>Acessórios (aros e tampas)</v>
      </c>
      <c r="D211" s="33" t="n">
        <f aca="false">IF(Produtos!$A211="","",IF(Produtos!$D211="","",Produtos!$D211))</f>
        <v>94.36</v>
      </c>
      <c r="E211" s="62" t="n">
        <f aca="false">'ML Clássico'!$K211</f>
        <v>174.740740740741</v>
      </c>
      <c r="F211" s="60" t="n">
        <f aca="false">'ML Clássico'!$Q211</f>
        <v>0.2</v>
      </c>
      <c r="G211" s="62" t="n">
        <f aca="false">'ML Premium'!$K211</f>
        <v>192.571428571429</v>
      </c>
      <c r="H211" s="60" t="n">
        <f aca="false">'ML Premium'!$Q211</f>
        <v>0.2</v>
      </c>
      <c r="I211" s="62" t="n">
        <f aca="false">Amazon!$K211</f>
        <v>174.740740740741</v>
      </c>
      <c r="J211" s="60" t="n">
        <f aca="false">Amazon!$Q211</f>
        <v>0.2</v>
      </c>
      <c r="K211" s="62" t="n">
        <f aca="false">'Via (Casas Bahia)'!$K211</f>
        <v>205.130434782609</v>
      </c>
      <c r="L211" s="60" t="n">
        <f aca="false">'Via (Casas Bahia)'!$Q211</f>
        <v>0.2</v>
      </c>
      <c r="M211" s="62" t="n">
        <f aca="false">MadeiraMadeira!$K211</f>
        <v>196.583333333333</v>
      </c>
      <c r="N211" s="60" t="n">
        <f aca="false">MadeiraMadeira!$Q211</f>
        <v>0.2</v>
      </c>
      <c r="O211" s="62" t="n">
        <f aca="false">Magalu!$K211</f>
        <v>192.571428571429</v>
      </c>
      <c r="P211" s="60" t="n">
        <f aca="false">Magalu!$Q211</f>
        <v>0.2</v>
      </c>
      <c r="Q211" s="46" t="n">
        <f aca="false">IF(COUNT($F211,$H211,$J211,$L211,$N211,$P211)=0,"",MIN($F211,$H211,$J211,$L211,$N211,$P211))</f>
        <v>0.2</v>
      </c>
      <c r="R211" s="46" t="n">
        <f aca="false">IF(COUNT($F211,$H211,$J211,$L211,$N211,$P211)=0,"",MAX($F211,$H211,$J211,$L211,$N211,$P211))</f>
        <v>0.2</v>
      </c>
      <c r="S211" s="61" t="n">
        <f aca="false">IF($A211="","",COUNT($E211,$G211,$I211,$K211,$M211,$O211))</f>
        <v>6</v>
      </c>
    </row>
    <row r="212" customFormat="false" ht="15" hidden="false" customHeight="false" outlineLevel="0" collapsed="false">
      <c r="A212" s="32" t="str">
        <f aca="false">IF(Produtos!$A212="","",Produtos!$A212)</f>
        <v>A24B</v>
      </c>
      <c r="B212" s="32" t="str">
        <f aca="false">IF(Produtos!$A212="","",Produtos!$B212)</f>
        <v>Aro 24cm c/Basculante Aço Inox</v>
      </c>
      <c r="C212" s="32" t="str">
        <f aca="false">IF(Produtos!$A212="","",Produtos!$C212)</f>
        <v>Acessórios (aros e tampas)</v>
      </c>
      <c r="D212" s="33" t="n">
        <f aca="false">IF(Produtos!$A212="","",IF(Produtos!$D212="","",Produtos!$D212))</f>
        <v>52.34</v>
      </c>
      <c r="E212" s="59" t="n">
        <f aca="false">'ML Clássico'!$K212</f>
        <v>96.9259259259259</v>
      </c>
      <c r="F212" s="60" t="n">
        <f aca="false">'ML Clássico'!$Q212</f>
        <v>0.2</v>
      </c>
      <c r="G212" s="59" t="n">
        <f aca="false">'ML Premium'!$K212</f>
        <v>106.816326530612</v>
      </c>
      <c r="H212" s="60" t="n">
        <f aca="false">'ML Premium'!$Q212</f>
        <v>0.2</v>
      </c>
      <c r="I212" s="59" t="n">
        <f aca="false">Amazon!$K212</f>
        <v>96.9259259259259</v>
      </c>
      <c r="J212" s="60" t="n">
        <f aca="false">Amazon!$Q212</f>
        <v>0.2</v>
      </c>
      <c r="K212" s="59" t="n">
        <f aca="false">'Via (Casas Bahia)'!$K212</f>
        <v>113.782608695652</v>
      </c>
      <c r="L212" s="60" t="n">
        <f aca="false">'Via (Casas Bahia)'!$Q212</f>
        <v>0.2</v>
      </c>
      <c r="M212" s="59" t="n">
        <f aca="false">MadeiraMadeira!$K212</f>
        <v>109.041666666667</v>
      </c>
      <c r="N212" s="60" t="n">
        <f aca="false">MadeiraMadeira!$Q212</f>
        <v>0.2</v>
      </c>
      <c r="O212" s="59" t="n">
        <f aca="false">Magalu!$K212</f>
        <v>106.816326530612</v>
      </c>
      <c r="P212" s="60" t="n">
        <f aca="false">Magalu!$Q212</f>
        <v>0.2</v>
      </c>
      <c r="Q212" s="46" t="n">
        <f aca="false">IF(COUNT($F212,$H212,$J212,$L212,$N212,$P212)=0,"",MIN($F212,$H212,$J212,$L212,$N212,$P212))</f>
        <v>0.2</v>
      </c>
      <c r="R212" s="46" t="n">
        <f aca="false">IF(COUNT($F212,$H212,$J212,$L212,$N212,$P212)=0,"",MAX($F212,$H212,$J212,$L212,$N212,$P212))</f>
        <v>0.2</v>
      </c>
      <c r="S212" s="61" t="n">
        <f aca="false">IF($A212="","",COUNT($E212,$G212,$I212,$K212,$M212,$O212))</f>
        <v>6</v>
      </c>
    </row>
    <row r="213" customFormat="false" ht="15" hidden="false" customHeight="false" outlineLevel="0" collapsed="false">
      <c r="A213" s="48" t="str">
        <f aca="false">IF(Produtos!$A213="","",Produtos!$A213)</f>
        <v>A30B</v>
      </c>
      <c r="B213" s="48" t="str">
        <f aca="false">IF(Produtos!$A213="","",Produtos!$B213)</f>
        <v>Aro 30cm c/Basculante Aço Inox</v>
      </c>
      <c r="C213" s="48" t="str">
        <f aca="false">IF(Produtos!$A213="","",Produtos!$C213)</f>
        <v>Acessórios (aros e tampas)</v>
      </c>
      <c r="D213" s="33" t="n">
        <f aca="false">IF(Produtos!$A213="","",IF(Produtos!$D213="","",Produtos!$D213))</f>
        <v>68.24</v>
      </c>
      <c r="E213" s="62" t="n">
        <f aca="false">'ML Clássico'!$K213</f>
        <v>126.37037037037</v>
      </c>
      <c r="F213" s="60" t="n">
        <f aca="false">'ML Clássico'!$Q213</f>
        <v>0.2</v>
      </c>
      <c r="G213" s="62" t="n">
        <f aca="false">'ML Premium'!$K213</f>
        <v>139.265306122449</v>
      </c>
      <c r="H213" s="60" t="n">
        <f aca="false">'ML Premium'!$Q213</f>
        <v>0.2</v>
      </c>
      <c r="I213" s="62" t="n">
        <f aca="false">Amazon!$K213</f>
        <v>126.37037037037</v>
      </c>
      <c r="J213" s="60" t="n">
        <f aca="false">Amazon!$Q213</f>
        <v>0.2</v>
      </c>
      <c r="K213" s="62" t="n">
        <f aca="false">'Via (Casas Bahia)'!$K213</f>
        <v>148.347826086957</v>
      </c>
      <c r="L213" s="60" t="n">
        <f aca="false">'Via (Casas Bahia)'!$Q213</f>
        <v>0.2</v>
      </c>
      <c r="M213" s="62" t="n">
        <f aca="false">MadeiraMadeira!$K213</f>
        <v>142.166666666667</v>
      </c>
      <c r="N213" s="60" t="n">
        <f aca="false">MadeiraMadeira!$Q213</f>
        <v>0.2</v>
      </c>
      <c r="O213" s="62" t="n">
        <f aca="false">Magalu!$K213</f>
        <v>139.265306122449</v>
      </c>
      <c r="P213" s="60" t="n">
        <f aca="false">Magalu!$Q213</f>
        <v>0.2</v>
      </c>
      <c r="Q213" s="46" t="n">
        <f aca="false">IF(COUNT($F213,$H213,$J213,$L213,$N213,$P213)=0,"",MIN($F213,$H213,$J213,$L213,$N213,$P213))</f>
        <v>0.2</v>
      </c>
      <c r="R213" s="46" t="n">
        <f aca="false">IF(COUNT($F213,$H213,$J213,$L213,$N213,$P213)=0,"",MAX($F213,$H213,$J213,$L213,$N213,$P213))</f>
        <v>0.2</v>
      </c>
      <c r="S213" s="61" t="n">
        <f aca="false">IF($A213="","",COUNT($E213,$G213,$I213,$K213,$M213,$O213))</f>
        <v>6</v>
      </c>
    </row>
    <row r="214" customFormat="false" ht="15" hidden="false" customHeight="false" outlineLevel="0" collapsed="false">
      <c r="A214" s="32" t="str">
        <f aca="false">IF(Produtos!$A214="","",Produtos!$A214)</f>
        <v>A40B</v>
      </c>
      <c r="B214" s="32" t="str">
        <f aca="false">IF(Produtos!$A214="","",Produtos!$B214)</f>
        <v>Aro 40cm c/Basculante Aço Inox</v>
      </c>
      <c r="C214" s="32" t="str">
        <f aca="false">IF(Produtos!$A214="","",Produtos!$C214)</f>
        <v>Acessórios (aros e tampas)</v>
      </c>
      <c r="D214" s="33" t="n">
        <f aca="false">IF(Produtos!$A214="","",IF(Produtos!$D214="","",Produtos!$D214))</f>
        <v>136.51</v>
      </c>
      <c r="E214" s="59" t="n">
        <f aca="false">'ML Clássico'!$K214</f>
        <v>252.796296296296</v>
      </c>
      <c r="F214" s="60" t="n">
        <f aca="false">'ML Clássico'!$Q214</f>
        <v>0.2</v>
      </c>
      <c r="G214" s="59" t="n">
        <f aca="false">'ML Premium'!$K214</f>
        <v>278.591836734694</v>
      </c>
      <c r="H214" s="60" t="n">
        <f aca="false">'ML Premium'!$Q214</f>
        <v>0.2</v>
      </c>
      <c r="I214" s="59" t="n">
        <f aca="false">Amazon!$K214</f>
        <v>252.796296296296</v>
      </c>
      <c r="J214" s="60" t="n">
        <f aca="false">Amazon!$Q214</f>
        <v>0.2</v>
      </c>
      <c r="K214" s="59" t="n">
        <f aca="false">'Via (Casas Bahia)'!$K214</f>
        <v>296.760869565217</v>
      </c>
      <c r="L214" s="60" t="n">
        <f aca="false">'Via (Casas Bahia)'!$Q214</f>
        <v>0.2</v>
      </c>
      <c r="M214" s="59" t="n">
        <f aca="false">MadeiraMadeira!$K214</f>
        <v>284.395833333333</v>
      </c>
      <c r="N214" s="60" t="n">
        <f aca="false">MadeiraMadeira!$Q214</f>
        <v>0.2</v>
      </c>
      <c r="O214" s="59" t="n">
        <f aca="false">Magalu!$K214</f>
        <v>278.591836734694</v>
      </c>
      <c r="P214" s="60" t="n">
        <f aca="false">Magalu!$Q214</f>
        <v>0.2</v>
      </c>
      <c r="Q214" s="46" t="n">
        <f aca="false">IF(COUNT($F214,$H214,$J214,$L214,$N214,$P214)=0,"",MIN($F214,$H214,$J214,$L214,$N214,$P214))</f>
        <v>0.2</v>
      </c>
      <c r="R214" s="46" t="n">
        <f aca="false">IF(COUNT($F214,$H214,$J214,$L214,$N214,$P214)=0,"",MAX($F214,$H214,$J214,$L214,$N214,$P214))</f>
        <v>0.2</v>
      </c>
      <c r="S214" s="61" t="n">
        <f aca="false">IF($A214="","",COUNT($E214,$G214,$I214,$K214,$M214,$O214))</f>
        <v>6</v>
      </c>
    </row>
    <row r="215" customFormat="false" ht="15" hidden="false" customHeight="false" outlineLevel="0" collapsed="false">
      <c r="A215" s="48" t="str">
        <f aca="false">IF(Produtos!$A215="","",Produtos!$A215)</f>
        <v>A24C</v>
      </c>
      <c r="B215" s="48" t="str">
        <f aca="false">IF(Produtos!$A215="","",Produtos!$B215)</f>
        <v>Aro 24cm Pintado</v>
      </c>
      <c r="C215" s="48" t="str">
        <f aca="false">IF(Produtos!$A215="","",Produtos!$C215)</f>
        <v>Acessórios (aros e tampas)</v>
      </c>
      <c r="D215" s="33" t="n">
        <f aca="false">IF(Produtos!$A215="","",IF(Produtos!$D215="","",Produtos!$D215))</f>
        <v>50.43</v>
      </c>
      <c r="E215" s="62" t="n">
        <f aca="false">'ML Clássico'!$K215</f>
        <v>93.3888888888889</v>
      </c>
      <c r="F215" s="60" t="n">
        <f aca="false">'ML Clássico'!$Q215</f>
        <v>0.2</v>
      </c>
      <c r="G215" s="62" t="n">
        <f aca="false">'ML Premium'!$K215</f>
        <v>102.918367346939</v>
      </c>
      <c r="H215" s="60" t="n">
        <f aca="false">'ML Premium'!$Q215</f>
        <v>0.2</v>
      </c>
      <c r="I215" s="62" t="n">
        <f aca="false">Amazon!$K215</f>
        <v>93.3888888888889</v>
      </c>
      <c r="J215" s="60" t="n">
        <f aca="false">Amazon!$Q215</f>
        <v>0.2</v>
      </c>
      <c r="K215" s="62" t="n">
        <f aca="false">'Via (Casas Bahia)'!$K215</f>
        <v>109.630434782609</v>
      </c>
      <c r="L215" s="60" t="n">
        <f aca="false">'Via (Casas Bahia)'!$Q215</f>
        <v>0.2</v>
      </c>
      <c r="M215" s="62" t="n">
        <f aca="false">MadeiraMadeira!$K215</f>
        <v>105.0625</v>
      </c>
      <c r="N215" s="60" t="n">
        <f aca="false">MadeiraMadeira!$Q215</f>
        <v>0.2</v>
      </c>
      <c r="O215" s="62" t="n">
        <f aca="false">Magalu!$K215</f>
        <v>102.918367346939</v>
      </c>
      <c r="P215" s="60" t="n">
        <f aca="false">Magalu!$Q215</f>
        <v>0.2</v>
      </c>
      <c r="Q215" s="46" t="n">
        <f aca="false">IF(COUNT($F215,$H215,$J215,$L215,$N215,$P215)=0,"",MIN($F215,$H215,$J215,$L215,$N215,$P215))</f>
        <v>0.2</v>
      </c>
      <c r="R215" s="46" t="n">
        <f aca="false">IF(COUNT($F215,$H215,$J215,$L215,$N215,$P215)=0,"",MAX($F215,$H215,$J215,$L215,$N215,$P215))</f>
        <v>0.2</v>
      </c>
      <c r="S215" s="61" t="n">
        <f aca="false">IF($A215="","",COUNT($E215,$G215,$I215,$K215,$M215,$O215))</f>
        <v>6</v>
      </c>
    </row>
    <row r="216" customFormat="false" ht="15" hidden="false" customHeight="false" outlineLevel="0" collapsed="false">
      <c r="A216" s="32" t="str">
        <f aca="false">IF(Produtos!$A216="","",Produtos!$A216)</f>
        <v>A30C</v>
      </c>
      <c r="B216" s="32" t="str">
        <f aca="false">IF(Produtos!$A216="","",Produtos!$B216)</f>
        <v>Aro 30cm Pintado</v>
      </c>
      <c r="C216" s="32" t="str">
        <f aca="false">IF(Produtos!$A216="","",Produtos!$C216)</f>
        <v>Acessórios (aros e tampas)</v>
      </c>
      <c r="D216" s="33" t="n">
        <f aca="false">IF(Produtos!$A216="","",IF(Produtos!$D216="","",Produtos!$D216))</f>
        <v>64.43</v>
      </c>
      <c r="E216" s="59" t="n">
        <f aca="false">'ML Clássico'!$K216</f>
        <v>119.314814814815</v>
      </c>
      <c r="F216" s="60" t="n">
        <f aca="false">'ML Clássico'!$Q216</f>
        <v>0.2</v>
      </c>
      <c r="G216" s="59" t="n">
        <f aca="false">'ML Premium'!$K216</f>
        <v>131.489795918367</v>
      </c>
      <c r="H216" s="60" t="n">
        <f aca="false">'ML Premium'!$Q216</f>
        <v>0.2</v>
      </c>
      <c r="I216" s="59" t="n">
        <f aca="false">Amazon!$K216</f>
        <v>119.314814814815</v>
      </c>
      <c r="J216" s="60" t="n">
        <f aca="false">Amazon!$Q216</f>
        <v>0.2</v>
      </c>
      <c r="K216" s="59" t="n">
        <f aca="false">'Via (Casas Bahia)'!$K216</f>
        <v>140.065217391304</v>
      </c>
      <c r="L216" s="60" t="n">
        <f aca="false">'Via (Casas Bahia)'!$Q216</f>
        <v>0.2</v>
      </c>
      <c r="M216" s="59" t="n">
        <f aca="false">MadeiraMadeira!$K216</f>
        <v>134.229166666667</v>
      </c>
      <c r="N216" s="60" t="n">
        <f aca="false">MadeiraMadeira!$Q216</f>
        <v>0.2</v>
      </c>
      <c r="O216" s="59" t="n">
        <f aca="false">Magalu!$K216</f>
        <v>131.489795918367</v>
      </c>
      <c r="P216" s="60" t="n">
        <f aca="false">Magalu!$Q216</f>
        <v>0.2</v>
      </c>
      <c r="Q216" s="46" t="n">
        <f aca="false">IF(COUNT($F216,$H216,$J216,$L216,$N216,$P216)=0,"",MIN($F216,$H216,$J216,$L216,$N216,$P216))</f>
        <v>0.2</v>
      </c>
      <c r="R216" s="46" t="n">
        <f aca="false">IF(COUNT($F216,$H216,$J216,$L216,$N216,$P216)=0,"",MAX($F216,$H216,$J216,$L216,$N216,$P216))</f>
        <v>0.2</v>
      </c>
      <c r="S216" s="61" t="n">
        <f aca="false">IF($A216="","",COUNT($E216,$G216,$I216,$K216,$M216,$O216))</f>
        <v>6</v>
      </c>
    </row>
    <row r="217" customFormat="false" ht="15" hidden="false" customHeight="false" outlineLevel="0" collapsed="false">
      <c r="A217" s="48" t="str">
        <f aca="false">IF(Produtos!$A217="","",Produtos!$A217)</f>
        <v>A40BP</v>
      </c>
      <c r="B217" s="48" t="str">
        <f aca="false">IF(Produtos!$A217="","",Produtos!$B217)</f>
        <v>Aro 40cm Pintado</v>
      </c>
      <c r="C217" s="48" t="str">
        <f aca="false">IF(Produtos!$A217="","",Produtos!$C217)</f>
        <v>Acessórios (aros e tampas)</v>
      </c>
      <c r="D217" s="33" t="n">
        <f aca="false">IF(Produtos!$A217="","",IF(Produtos!$D217="","",Produtos!$D217))</f>
        <v>118.62</v>
      </c>
      <c r="E217" s="62" t="n">
        <f aca="false">'ML Clássico'!$K217</f>
        <v>219.666666666667</v>
      </c>
      <c r="F217" s="60" t="n">
        <f aca="false">'ML Clássico'!$Q217</f>
        <v>0.2</v>
      </c>
      <c r="G217" s="62" t="n">
        <f aca="false">'ML Premium'!$K217</f>
        <v>242.081632653061</v>
      </c>
      <c r="H217" s="60" t="n">
        <f aca="false">'ML Premium'!$Q217</f>
        <v>0.2</v>
      </c>
      <c r="I217" s="62" t="n">
        <f aca="false">Amazon!$K217</f>
        <v>219.666666666667</v>
      </c>
      <c r="J217" s="60" t="n">
        <f aca="false">Amazon!$Q217</f>
        <v>0.2</v>
      </c>
      <c r="K217" s="62" t="n">
        <f aca="false">'Via (Casas Bahia)'!$K217</f>
        <v>257.869565217391</v>
      </c>
      <c r="L217" s="60" t="n">
        <f aca="false">'Via (Casas Bahia)'!$Q217</f>
        <v>0.2</v>
      </c>
      <c r="M217" s="62" t="n">
        <f aca="false">MadeiraMadeira!$K217</f>
        <v>247.125</v>
      </c>
      <c r="N217" s="60" t="n">
        <f aca="false">MadeiraMadeira!$Q217</f>
        <v>0.2</v>
      </c>
      <c r="O217" s="62" t="n">
        <f aca="false">Magalu!$K217</f>
        <v>242.081632653061</v>
      </c>
      <c r="P217" s="60" t="n">
        <f aca="false">Magalu!$Q217</f>
        <v>0.2</v>
      </c>
      <c r="Q217" s="46" t="n">
        <f aca="false">IF(COUNT($F217,$H217,$J217,$L217,$N217,$P217)=0,"",MIN($F217,$H217,$J217,$L217,$N217,$P217))</f>
        <v>0.2</v>
      </c>
      <c r="R217" s="46" t="n">
        <f aca="false">IF(COUNT($F217,$H217,$J217,$L217,$N217,$P217)=0,"",MAX($F217,$H217,$J217,$L217,$N217,$P217))</f>
        <v>0.2</v>
      </c>
      <c r="S217" s="61" t="n">
        <f aca="false">IF($A217="","",COUNT($E217,$G217,$I217,$K217,$M217,$O217))</f>
        <v>6</v>
      </c>
    </row>
    <row r="218" customFormat="false" ht="15" hidden="false" customHeight="false" outlineLevel="0" collapsed="false">
      <c r="A218" s="32" t="str">
        <f aca="false">IF(Produtos!$A218="","",Produtos!$A218)</f>
        <v>A24BC</v>
      </c>
      <c r="B218" s="32" t="str">
        <f aca="false">IF(Produtos!$A218="","",Produtos!$B218)</f>
        <v>Aro 24cm c/Basculante Pintado</v>
      </c>
      <c r="C218" s="32" t="str">
        <f aca="false">IF(Produtos!$A218="","",Produtos!$C218)</f>
        <v>Acessórios (aros e tampas)</v>
      </c>
      <c r="D218" s="33" t="n">
        <f aca="false">IF(Produtos!$A218="","",IF(Produtos!$D218="","",Produtos!$D218))</f>
        <v>76.56</v>
      </c>
      <c r="E218" s="59" t="n">
        <f aca="false">'ML Clássico'!$K218</f>
        <v>141.777777777778</v>
      </c>
      <c r="F218" s="60" t="n">
        <f aca="false">'ML Clássico'!$Q218</f>
        <v>0.2</v>
      </c>
      <c r="G218" s="59" t="n">
        <f aca="false">'ML Premium'!$K218</f>
        <v>156.244897959184</v>
      </c>
      <c r="H218" s="60" t="n">
        <f aca="false">'ML Premium'!$Q218</f>
        <v>0.2</v>
      </c>
      <c r="I218" s="59" t="n">
        <f aca="false">Amazon!$K218</f>
        <v>141.777777777778</v>
      </c>
      <c r="J218" s="60" t="n">
        <f aca="false">Amazon!$Q218</f>
        <v>0.2</v>
      </c>
      <c r="K218" s="59" t="n">
        <f aca="false">'Via (Casas Bahia)'!$K218</f>
        <v>166.434782608696</v>
      </c>
      <c r="L218" s="60" t="n">
        <f aca="false">'Via (Casas Bahia)'!$Q218</f>
        <v>0.2</v>
      </c>
      <c r="M218" s="59" t="n">
        <f aca="false">MadeiraMadeira!$K218</f>
        <v>159.5</v>
      </c>
      <c r="N218" s="60" t="n">
        <f aca="false">MadeiraMadeira!$Q218</f>
        <v>0.2</v>
      </c>
      <c r="O218" s="59" t="n">
        <f aca="false">Magalu!$K218</f>
        <v>156.244897959184</v>
      </c>
      <c r="P218" s="60" t="n">
        <f aca="false">Magalu!$Q218</f>
        <v>0.2</v>
      </c>
      <c r="Q218" s="46" t="n">
        <f aca="false">IF(COUNT($F218,$H218,$J218,$L218,$N218,$P218)=0,"",MIN($F218,$H218,$J218,$L218,$N218,$P218))</f>
        <v>0.2</v>
      </c>
      <c r="R218" s="46" t="n">
        <f aca="false">IF(COUNT($F218,$H218,$J218,$L218,$N218,$P218)=0,"",MAX($F218,$H218,$J218,$L218,$N218,$P218))</f>
        <v>0.2</v>
      </c>
      <c r="S218" s="61" t="n">
        <f aca="false">IF($A218="","",COUNT($E218,$G218,$I218,$K218,$M218,$O218))</f>
        <v>6</v>
      </c>
    </row>
    <row r="219" customFormat="false" ht="15" hidden="false" customHeight="false" outlineLevel="0" collapsed="false">
      <c r="A219" s="48" t="str">
        <f aca="false">IF(Produtos!$A219="","",Produtos!$A219)</f>
        <v>A30BC</v>
      </c>
      <c r="B219" s="48" t="str">
        <f aca="false">IF(Produtos!$A219="","",Produtos!$B219)</f>
        <v>Aro 30cm c/Basculante Pintado</v>
      </c>
      <c r="C219" s="48" t="str">
        <f aca="false">IF(Produtos!$A219="","",Produtos!$C219)</f>
        <v>Acessórios (aros e tampas)</v>
      </c>
      <c r="D219" s="33" t="n">
        <f aca="false">IF(Produtos!$A219="","",IF(Produtos!$D219="","",Produtos!$D219))</f>
        <v>90.73</v>
      </c>
      <c r="E219" s="62" t="n">
        <f aca="false">'ML Clássico'!$K219</f>
        <v>168.018518518519</v>
      </c>
      <c r="F219" s="60" t="n">
        <f aca="false">'ML Clássico'!$Q219</f>
        <v>0.2</v>
      </c>
      <c r="G219" s="62" t="n">
        <f aca="false">'ML Premium'!$K219</f>
        <v>185.163265306122</v>
      </c>
      <c r="H219" s="60" t="n">
        <f aca="false">'ML Premium'!$Q219</f>
        <v>0.2</v>
      </c>
      <c r="I219" s="62" t="n">
        <f aca="false">Amazon!$K219</f>
        <v>168.018518518519</v>
      </c>
      <c r="J219" s="60" t="n">
        <f aca="false">Amazon!$Q219</f>
        <v>0.2</v>
      </c>
      <c r="K219" s="62" t="n">
        <f aca="false">'Via (Casas Bahia)'!$K219</f>
        <v>197.239130434783</v>
      </c>
      <c r="L219" s="60" t="n">
        <f aca="false">'Via (Casas Bahia)'!$Q219</f>
        <v>0.2</v>
      </c>
      <c r="M219" s="62" t="n">
        <f aca="false">MadeiraMadeira!$K219</f>
        <v>189.020833333333</v>
      </c>
      <c r="N219" s="60" t="n">
        <f aca="false">MadeiraMadeira!$Q219</f>
        <v>0.2</v>
      </c>
      <c r="O219" s="62" t="n">
        <f aca="false">Magalu!$K219</f>
        <v>185.163265306122</v>
      </c>
      <c r="P219" s="60" t="n">
        <f aca="false">Magalu!$Q219</f>
        <v>0.2</v>
      </c>
      <c r="Q219" s="46" t="n">
        <f aca="false">IF(COUNT($F219,$H219,$J219,$L219,$N219,$P219)=0,"",MIN($F219,$H219,$J219,$L219,$N219,$P219))</f>
        <v>0.2</v>
      </c>
      <c r="R219" s="46" t="n">
        <f aca="false">IF(COUNT($F219,$H219,$J219,$L219,$N219,$P219)=0,"",MAX($F219,$H219,$J219,$L219,$N219,$P219))</f>
        <v>0.2</v>
      </c>
      <c r="S219" s="61" t="n">
        <f aca="false">IF($A219="","",COUNT($E219,$G219,$I219,$K219,$M219,$O219))</f>
        <v>6</v>
      </c>
    </row>
    <row r="220" customFormat="false" ht="15" hidden="false" customHeight="false" outlineLevel="0" collapsed="false">
      <c r="A220" s="32" t="str">
        <f aca="false">IF(Produtos!$A220="","",Produtos!$A220)</f>
        <v>A40BC</v>
      </c>
      <c r="B220" s="32" t="str">
        <f aca="false">IF(Produtos!$A220="","",Produtos!$B220)</f>
        <v>Aro 40cm c/Basculante Pintado</v>
      </c>
      <c r="C220" s="32" t="str">
        <f aca="false">IF(Produtos!$A220="","",Produtos!$C220)</f>
        <v>Acessórios (aros e tampas)</v>
      </c>
      <c r="D220" s="33" t="n">
        <f aca="false">IF(Produtos!$A220="","",IF(Produtos!$D220="","",Produtos!$D220))</f>
        <v>170.07</v>
      </c>
      <c r="E220" s="59" t="n">
        <f aca="false">'ML Clássico'!$K220</f>
        <v>314.944444444444</v>
      </c>
      <c r="F220" s="60" t="n">
        <f aca="false">'ML Clássico'!$Q220</f>
        <v>0.2</v>
      </c>
      <c r="G220" s="59" t="n">
        <f aca="false">'ML Premium'!$K220</f>
        <v>347.081632653061</v>
      </c>
      <c r="H220" s="60" t="n">
        <f aca="false">'ML Premium'!$Q220</f>
        <v>0.2</v>
      </c>
      <c r="I220" s="59" t="n">
        <f aca="false">Amazon!$K220</f>
        <v>314.944444444444</v>
      </c>
      <c r="J220" s="60" t="n">
        <f aca="false">Amazon!$Q220</f>
        <v>0.2</v>
      </c>
      <c r="K220" s="59" t="n">
        <f aca="false">'Via (Casas Bahia)'!$K220</f>
        <v>369.717391304348</v>
      </c>
      <c r="L220" s="60" t="n">
        <f aca="false">'Via (Casas Bahia)'!$Q220</f>
        <v>0.2</v>
      </c>
      <c r="M220" s="59" t="n">
        <f aca="false">MadeiraMadeira!$K220</f>
        <v>354.3125</v>
      </c>
      <c r="N220" s="60" t="n">
        <f aca="false">MadeiraMadeira!$Q220</f>
        <v>0.2</v>
      </c>
      <c r="O220" s="59" t="n">
        <f aca="false">Magalu!$K220</f>
        <v>347.081632653061</v>
      </c>
      <c r="P220" s="60" t="n">
        <f aca="false">Magalu!$Q220</f>
        <v>0.2</v>
      </c>
      <c r="Q220" s="46" t="n">
        <f aca="false">IF(COUNT($F220,$H220,$J220,$L220,$N220,$P220)=0,"",MIN($F220,$H220,$J220,$L220,$N220,$P220))</f>
        <v>0.2</v>
      </c>
      <c r="R220" s="46" t="n">
        <f aca="false">IF(COUNT($F220,$H220,$J220,$L220,$N220,$P220)=0,"",MAX($F220,$H220,$J220,$L220,$N220,$P220))</f>
        <v>0.2</v>
      </c>
      <c r="S220" s="61" t="n">
        <f aca="false">IF($A220="","",COUNT($E220,$G220,$I220,$K220,$M220,$O220))</f>
        <v>6</v>
      </c>
    </row>
    <row r="221" customFormat="false" ht="15" hidden="false" customHeight="false" outlineLevel="0" collapsed="false">
      <c r="A221" s="48" t="str">
        <f aca="false">IF(Produtos!$A221="","",Produtos!$A221)</f>
        <v>T24-PILHAS</v>
      </c>
      <c r="B221" s="48" t="str">
        <f aca="false">IF(Produtos!$A221="","",Produtos!$B221)</f>
        <v>Tampa 24cm Coletor de Pilhas e Baterias</v>
      </c>
      <c r="C221" s="48" t="str">
        <f aca="false">IF(Produtos!$A221="","",Produtos!$C221)</f>
        <v>Coletores de pilhas</v>
      </c>
      <c r="D221" s="33" t="n">
        <f aca="false">IF(Produtos!$A221="","",IF(Produtos!$D221="","",Produtos!$D221))</f>
        <v>57.21</v>
      </c>
      <c r="E221" s="62" t="n">
        <f aca="false">'ML Clássico'!$K221</f>
        <v>105.944444444444</v>
      </c>
      <c r="F221" s="60" t="n">
        <f aca="false">'ML Clássico'!$Q221</f>
        <v>0.2</v>
      </c>
      <c r="G221" s="62" t="n">
        <f aca="false">'ML Premium'!$K221</f>
        <v>116.755102040816</v>
      </c>
      <c r="H221" s="60" t="n">
        <f aca="false">'ML Premium'!$Q221</f>
        <v>0.2</v>
      </c>
      <c r="I221" s="62" t="n">
        <f aca="false">Amazon!$K221</f>
        <v>105.944444444444</v>
      </c>
      <c r="J221" s="60" t="n">
        <f aca="false">Amazon!$Q221</f>
        <v>0.2</v>
      </c>
      <c r="K221" s="62" t="n">
        <f aca="false">'Via (Casas Bahia)'!$K221</f>
        <v>124.369565217391</v>
      </c>
      <c r="L221" s="60" t="n">
        <f aca="false">'Via (Casas Bahia)'!$Q221</f>
        <v>0.2</v>
      </c>
      <c r="M221" s="62" t="n">
        <f aca="false">MadeiraMadeira!$K221</f>
        <v>119.1875</v>
      </c>
      <c r="N221" s="60" t="n">
        <f aca="false">MadeiraMadeira!$Q221</f>
        <v>0.2</v>
      </c>
      <c r="O221" s="62" t="n">
        <f aca="false">Magalu!$K221</f>
        <v>116.755102040816</v>
      </c>
      <c r="P221" s="60" t="n">
        <f aca="false">Magalu!$Q221</f>
        <v>0.2</v>
      </c>
      <c r="Q221" s="46" t="n">
        <f aca="false">IF(COUNT($F221,$H221,$J221,$L221,$N221,$P221)=0,"",MIN($F221,$H221,$J221,$L221,$N221,$P221))</f>
        <v>0.2</v>
      </c>
      <c r="R221" s="46" t="n">
        <f aca="false">IF(COUNT($F221,$H221,$J221,$L221,$N221,$P221)=0,"",MAX($F221,$H221,$J221,$L221,$N221,$P221))</f>
        <v>0.2</v>
      </c>
      <c r="S221" s="61" t="n">
        <f aca="false">IF($A221="","",COUNT($E221,$G221,$I221,$K221,$M221,$O221))</f>
        <v>6</v>
      </c>
    </row>
    <row r="222" customFormat="false" ht="15" hidden="false" customHeight="false" outlineLevel="0" collapsed="false">
      <c r="A222" s="32" t="str">
        <f aca="false">IF(Produtos!$A222="","",Produtos!$A222)</f>
        <v>T30-PILHAS</v>
      </c>
      <c r="B222" s="32" t="str">
        <f aca="false">IF(Produtos!$A222="","",Produtos!$B222)</f>
        <v>Tampa 30cm Coletor de Pilhas e Baterias</v>
      </c>
      <c r="C222" s="32" t="str">
        <f aca="false">IF(Produtos!$A222="","",Produtos!$C222)</f>
        <v>Coletores de pilhas</v>
      </c>
      <c r="D222" s="33" t="n">
        <f aca="false">IF(Produtos!$A222="","",IF(Produtos!$D222="","",Produtos!$D222))</f>
        <v>46.19</v>
      </c>
      <c r="E222" s="59" t="n">
        <f aca="false">'ML Clássico'!$K222</f>
        <v>85.537037037037</v>
      </c>
      <c r="F222" s="60" t="n">
        <f aca="false">'ML Clássico'!$Q222</f>
        <v>0.2</v>
      </c>
      <c r="G222" s="59" t="n">
        <f aca="false">'ML Premium'!$K222</f>
        <v>94.265306122449</v>
      </c>
      <c r="H222" s="60" t="n">
        <f aca="false">'ML Premium'!$Q222</f>
        <v>0.2</v>
      </c>
      <c r="I222" s="59" t="n">
        <f aca="false">Amazon!$K222</f>
        <v>85.537037037037</v>
      </c>
      <c r="J222" s="60" t="n">
        <f aca="false">Amazon!$Q222</f>
        <v>0.2</v>
      </c>
      <c r="K222" s="59" t="n">
        <f aca="false">'Via (Casas Bahia)'!$K222</f>
        <v>100.413043478261</v>
      </c>
      <c r="L222" s="60" t="n">
        <f aca="false">'Via (Casas Bahia)'!$Q222</f>
        <v>0.2</v>
      </c>
      <c r="M222" s="59" t="n">
        <f aca="false">MadeiraMadeira!$K222</f>
        <v>96.2291666666667</v>
      </c>
      <c r="N222" s="60" t="n">
        <f aca="false">MadeiraMadeira!$Q222</f>
        <v>0.2</v>
      </c>
      <c r="O222" s="59" t="n">
        <f aca="false">Magalu!$K222</f>
        <v>94.265306122449</v>
      </c>
      <c r="P222" s="60" t="n">
        <f aca="false">Magalu!$Q222</f>
        <v>0.2</v>
      </c>
      <c r="Q222" s="46" t="n">
        <f aca="false">IF(COUNT($F222,$H222,$J222,$L222,$N222,$P222)=0,"",MIN($F222,$H222,$J222,$L222,$N222,$P222))</f>
        <v>0.2</v>
      </c>
      <c r="R222" s="46" t="n">
        <f aca="false">IF(COUNT($F222,$H222,$J222,$L222,$N222,$P222)=0,"",MAX($F222,$H222,$J222,$L222,$N222,$P222))</f>
        <v>0.2</v>
      </c>
      <c r="S222" s="61" t="n">
        <f aca="false">IF($A222="","",COUNT($E222,$G222,$I222,$K222,$M222,$O222))</f>
        <v>6</v>
      </c>
    </row>
    <row r="223" customFormat="false" ht="15" hidden="false" customHeight="false" outlineLevel="0" collapsed="false">
      <c r="A223" s="48" t="str">
        <f aca="false">IF(Produtos!$A223="","",Produtos!$A223)</f>
        <v>T40-PILHAS</v>
      </c>
      <c r="B223" s="48" t="str">
        <f aca="false">IF(Produtos!$A223="","",Produtos!$B223)</f>
        <v>Tampa 40cm Coletor de Pilhas e Baterias</v>
      </c>
      <c r="C223" s="48" t="str">
        <f aca="false">IF(Produtos!$A223="","",Produtos!$C223)</f>
        <v>Coletores de pilhas</v>
      </c>
      <c r="D223" s="33" t="n">
        <f aca="false">IF(Produtos!$A223="","",IF(Produtos!$D223="","",Produtos!$D223))</f>
        <v>98.64</v>
      </c>
      <c r="E223" s="62" t="n">
        <f aca="false">'ML Clássico'!$K223</f>
        <v>182.666666666667</v>
      </c>
      <c r="F223" s="60" t="n">
        <f aca="false">'ML Clássico'!$Q223</f>
        <v>0.2</v>
      </c>
      <c r="G223" s="62" t="n">
        <f aca="false">'ML Premium'!$K223</f>
        <v>201.30612244898</v>
      </c>
      <c r="H223" s="60" t="n">
        <f aca="false">'ML Premium'!$Q223</f>
        <v>0.2</v>
      </c>
      <c r="I223" s="62" t="n">
        <f aca="false">Amazon!$K223</f>
        <v>182.666666666667</v>
      </c>
      <c r="J223" s="60" t="n">
        <f aca="false">Amazon!$Q223</f>
        <v>0.2</v>
      </c>
      <c r="K223" s="62" t="n">
        <f aca="false">'Via (Casas Bahia)'!$K223</f>
        <v>214.434782608696</v>
      </c>
      <c r="L223" s="60" t="n">
        <f aca="false">'Via (Casas Bahia)'!$Q223</f>
        <v>0.2</v>
      </c>
      <c r="M223" s="62" t="n">
        <f aca="false">MadeiraMadeira!$K223</f>
        <v>205.5</v>
      </c>
      <c r="N223" s="60" t="n">
        <f aca="false">MadeiraMadeira!$Q223</f>
        <v>0.2</v>
      </c>
      <c r="O223" s="62" t="n">
        <f aca="false">Magalu!$K223</f>
        <v>201.30612244898</v>
      </c>
      <c r="P223" s="60" t="n">
        <f aca="false">Magalu!$Q223</f>
        <v>0.2</v>
      </c>
      <c r="Q223" s="46" t="n">
        <f aca="false">IF(COUNT($F223,$H223,$J223,$L223,$N223,$P223)=0,"",MIN($F223,$H223,$J223,$L223,$N223,$P223))</f>
        <v>0.2</v>
      </c>
      <c r="R223" s="46" t="n">
        <f aca="false">IF(COUNT($F223,$H223,$J223,$L223,$N223,$P223)=0,"",MAX($F223,$H223,$J223,$L223,$N223,$P223))</f>
        <v>0.2</v>
      </c>
      <c r="S223" s="61" t="n">
        <f aca="false">IF($A223="","",COUNT($E223,$G223,$I223,$K223,$M223,$O223))</f>
        <v>6</v>
      </c>
    </row>
    <row r="224" customFormat="false" ht="15" hidden="false" customHeight="false" outlineLevel="0" collapsed="false">
      <c r="A224" s="32" t="str">
        <f aca="false">IF(Produtos!$A224="","",Produtos!$A224)</f>
        <v>A24ML</v>
      </c>
      <c r="B224" s="32" t="str">
        <f aca="false">IF(Produtos!$A224="","",Produtos!$B224)</f>
        <v>Aro 24cm Meia Lua Aço Inox</v>
      </c>
      <c r="C224" s="32" t="str">
        <f aca="false">IF(Produtos!$A224="","",Produtos!$C224)</f>
        <v>Acessórios (aros e tampas)</v>
      </c>
      <c r="D224" s="33" t="n">
        <f aca="false">IF(Produtos!$A224="","",IF(Produtos!$D224="","",Produtos!$D224))</f>
        <v>60.74</v>
      </c>
      <c r="E224" s="59" t="n">
        <f aca="false">'ML Clássico'!$K224</f>
        <v>112.481481481481</v>
      </c>
      <c r="F224" s="60" t="n">
        <f aca="false">'ML Clássico'!$Q224</f>
        <v>0.2</v>
      </c>
      <c r="G224" s="59" t="n">
        <f aca="false">'ML Premium'!$K224</f>
        <v>123.959183673469</v>
      </c>
      <c r="H224" s="60" t="n">
        <f aca="false">'ML Premium'!$Q224</f>
        <v>0.2</v>
      </c>
      <c r="I224" s="59" t="n">
        <f aca="false">Amazon!$K224</f>
        <v>112.481481481481</v>
      </c>
      <c r="J224" s="60" t="n">
        <f aca="false">Amazon!$Q224</f>
        <v>0.2</v>
      </c>
      <c r="K224" s="59" t="n">
        <f aca="false">'Via (Casas Bahia)'!$K224</f>
        <v>132.04347826087</v>
      </c>
      <c r="L224" s="60" t="n">
        <f aca="false">'Via (Casas Bahia)'!$Q224</f>
        <v>0.2</v>
      </c>
      <c r="M224" s="59" t="n">
        <f aca="false">MadeiraMadeira!$K224</f>
        <v>126.541666666667</v>
      </c>
      <c r="N224" s="60" t="n">
        <f aca="false">MadeiraMadeira!$Q224</f>
        <v>0.2</v>
      </c>
      <c r="O224" s="59" t="n">
        <f aca="false">Magalu!$K224</f>
        <v>123.959183673469</v>
      </c>
      <c r="P224" s="60" t="n">
        <f aca="false">Magalu!$Q224</f>
        <v>0.2</v>
      </c>
      <c r="Q224" s="46" t="n">
        <f aca="false">IF(COUNT($F224,$H224,$J224,$L224,$N224,$P224)=0,"",MIN($F224,$H224,$J224,$L224,$N224,$P224))</f>
        <v>0.2</v>
      </c>
      <c r="R224" s="46" t="n">
        <f aca="false">IF(COUNT($F224,$H224,$J224,$L224,$N224,$P224)=0,"",MAX($F224,$H224,$J224,$L224,$N224,$P224))</f>
        <v>0.2</v>
      </c>
      <c r="S224" s="61" t="n">
        <f aca="false">IF($A224="","",COUNT($E224,$G224,$I224,$K224,$M224,$O224))</f>
        <v>6</v>
      </c>
    </row>
    <row r="225" customFormat="false" ht="15" hidden="false" customHeight="false" outlineLevel="0" collapsed="false">
      <c r="A225" s="48" t="str">
        <f aca="false">IF(Produtos!$A225="","",Produtos!$A225)</f>
        <v>A30ML</v>
      </c>
      <c r="B225" s="48" t="str">
        <f aca="false">IF(Produtos!$A225="","",Produtos!$B225)</f>
        <v>Aro 30cm Meia Lua Aço Inox</v>
      </c>
      <c r="C225" s="48" t="str">
        <f aca="false">IF(Produtos!$A225="","",Produtos!$C225)</f>
        <v>Acessórios (aros e tampas)</v>
      </c>
      <c r="D225" s="33" t="n">
        <f aca="false">IF(Produtos!$A225="","",IF(Produtos!$D225="","",Produtos!$D225))</f>
        <v>76.36</v>
      </c>
      <c r="E225" s="62" t="n">
        <f aca="false">'ML Clássico'!$K225</f>
        <v>141.407407407407</v>
      </c>
      <c r="F225" s="60" t="n">
        <f aca="false">'ML Clássico'!$Q225</f>
        <v>0.2</v>
      </c>
      <c r="G225" s="62" t="n">
        <f aca="false">'ML Premium'!$K225</f>
        <v>155.836734693878</v>
      </c>
      <c r="H225" s="60" t="n">
        <f aca="false">'ML Premium'!$Q225</f>
        <v>0.2</v>
      </c>
      <c r="I225" s="62" t="n">
        <f aca="false">Amazon!$K225</f>
        <v>141.407407407407</v>
      </c>
      <c r="J225" s="60" t="n">
        <f aca="false">Amazon!$Q225</f>
        <v>0.2</v>
      </c>
      <c r="K225" s="62" t="n">
        <f aca="false">'Via (Casas Bahia)'!$K225</f>
        <v>166</v>
      </c>
      <c r="L225" s="60" t="n">
        <f aca="false">'Via (Casas Bahia)'!$Q225</f>
        <v>0.2</v>
      </c>
      <c r="M225" s="62" t="n">
        <f aca="false">MadeiraMadeira!$K225</f>
        <v>159.083333333333</v>
      </c>
      <c r="N225" s="60" t="n">
        <f aca="false">MadeiraMadeira!$Q225</f>
        <v>0.2</v>
      </c>
      <c r="O225" s="62" t="n">
        <f aca="false">Magalu!$K225</f>
        <v>155.836734693878</v>
      </c>
      <c r="P225" s="60" t="n">
        <f aca="false">Magalu!$Q225</f>
        <v>0.2</v>
      </c>
      <c r="Q225" s="46" t="n">
        <f aca="false">IF(COUNT($F225,$H225,$J225,$L225,$N225,$P225)=0,"",MIN($F225,$H225,$J225,$L225,$N225,$P225))</f>
        <v>0.2</v>
      </c>
      <c r="R225" s="46" t="n">
        <f aca="false">IF(COUNT($F225,$H225,$J225,$L225,$N225,$P225)=0,"",MAX($F225,$H225,$J225,$L225,$N225,$P225))</f>
        <v>0.2</v>
      </c>
      <c r="S225" s="61" t="n">
        <f aca="false">IF($A225="","",COUNT($E225,$G225,$I225,$K225,$M225,$O225))</f>
        <v>6</v>
      </c>
    </row>
    <row r="226" customFormat="false" ht="15" hidden="false" customHeight="false" outlineLevel="0" collapsed="false">
      <c r="A226" s="32" t="str">
        <f aca="false">IF(Produtos!$A226="","",Produtos!$A226)</f>
        <v>A40ML</v>
      </c>
      <c r="B226" s="32" t="str">
        <f aca="false">IF(Produtos!$A226="","",Produtos!$B226)</f>
        <v>Aro 40cm Meia Lua Aço Inox</v>
      </c>
      <c r="C226" s="32" t="str">
        <f aca="false">IF(Produtos!$A226="","",Produtos!$C226)</f>
        <v>Acessórios (aros e tampas)</v>
      </c>
      <c r="D226" s="33" t="n">
        <f aca="false">IF(Produtos!$A226="","",IF(Produtos!$D226="","",Produtos!$D226))</f>
        <v>116.98</v>
      </c>
      <c r="E226" s="59" t="n">
        <f aca="false">'ML Clássico'!$K226</f>
        <v>216.62962962963</v>
      </c>
      <c r="F226" s="60" t="n">
        <f aca="false">'ML Clássico'!$Q226</f>
        <v>0.2</v>
      </c>
      <c r="G226" s="59" t="n">
        <f aca="false">'ML Premium'!$K226</f>
        <v>238.734693877551</v>
      </c>
      <c r="H226" s="60" t="n">
        <f aca="false">'ML Premium'!$Q226</f>
        <v>0.2</v>
      </c>
      <c r="I226" s="59" t="n">
        <f aca="false">Amazon!$K226</f>
        <v>216.62962962963</v>
      </c>
      <c r="J226" s="60" t="n">
        <f aca="false">Amazon!$Q226</f>
        <v>0.2</v>
      </c>
      <c r="K226" s="59" t="n">
        <f aca="false">'Via (Casas Bahia)'!$K226</f>
        <v>254.304347826087</v>
      </c>
      <c r="L226" s="60" t="n">
        <f aca="false">'Via (Casas Bahia)'!$Q226</f>
        <v>0.2</v>
      </c>
      <c r="M226" s="59" t="n">
        <f aca="false">MadeiraMadeira!$K226</f>
        <v>243.708333333333</v>
      </c>
      <c r="N226" s="60" t="n">
        <f aca="false">MadeiraMadeira!$Q226</f>
        <v>0.2</v>
      </c>
      <c r="O226" s="59" t="n">
        <f aca="false">Magalu!$K226</f>
        <v>238.734693877551</v>
      </c>
      <c r="P226" s="60" t="n">
        <f aca="false">Magalu!$Q226</f>
        <v>0.2</v>
      </c>
      <c r="Q226" s="46" t="n">
        <f aca="false">IF(COUNT($F226,$H226,$J226,$L226,$N226,$P226)=0,"",MIN($F226,$H226,$J226,$L226,$N226,$P226))</f>
        <v>0.2</v>
      </c>
      <c r="R226" s="46" t="n">
        <f aca="false">IF(COUNT($F226,$H226,$J226,$L226,$N226,$P226)=0,"",MAX($F226,$H226,$J226,$L226,$N226,$P226))</f>
        <v>0.2</v>
      </c>
      <c r="S226" s="61" t="n">
        <f aca="false">IF($A226="","",COUNT($E226,$G226,$I226,$K226,$M226,$O226))</f>
        <v>6</v>
      </c>
    </row>
    <row r="227" customFormat="false" ht="15" hidden="false" customHeight="false" outlineLevel="0" collapsed="false">
      <c r="A227" s="48" t="str">
        <f aca="false">IF(Produtos!$A227="","",Produtos!$A227)</f>
        <v>AQ-24</v>
      </c>
      <c r="B227" s="48" t="str">
        <f aca="false">IF(Produtos!$A227="","",Produtos!$B227)</f>
        <v>Aro Quadrado 24cm Aço Inox</v>
      </c>
      <c r="C227" s="48" t="str">
        <f aca="false">IF(Produtos!$A227="","",Produtos!$C227)</f>
        <v>Acessórios (aros e tampas)</v>
      </c>
      <c r="D227" s="33" t="n">
        <f aca="false">IF(Produtos!$A227="","",IF(Produtos!$D227="","",Produtos!$D227))</f>
        <v>39.22</v>
      </c>
      <c r="E227" s="62" t="n">
        <f aca="false">'ML Clássico'!$K227</f>
        <v>72.6296296296296</v>
      </c>
      <c r="F227" s="60" t="n">
        <f aca="false">'ML Clássico'!$Q227</f>
        <v>0.2</v>
      </c>
      <c r="G227" s="62" t="n">
        <f aca="false">'ML Premium'!$K227</f>
        <v>80.0408163265306</v>
      </c>
      <c r="H227" s="60" t="n">
        <f aca="false">'ML Premium'!$Q227</f>
        <v>0.2</v>
      </c>
      <c r="I227" s="62" t="n">
        <f aca="false">Amazon!$K227</f>
        <v>72.6296296296296</v>
      </c>
      <c r="J227" s="60" t="n">
        <f aca="false">Amazon!$Q227</f>
        <v>0.2</v>
      </c>
      <c r="K227" s="62" t="n">
        <f aca="false">'Via (Casas Bahia)'!$K227</f>
        <v>85.2608695652174</v>
      </c>
      <c r="L227" s="60" t="n">
        <f aca="false">'Via (Casas Bahia)'!$Q227</f>
        <v>0.2</v>
      </c>
      <c r="M227" s="62" t="n">
        <f aca="false">MadeiraMadeira!$K227</f>
        <v>81.7083333333333</v>
      </c>
      <c r="N227" s="60" t="n">
        <f aca="false">MadeiraMadeira!$Q227</f>
        <v>0.2</v>
      </c>
      <c r="O227" s="62" t="n">
        <f aca="false">Magalu!$K227</f>
        <v>80.0408163265306</v>
      </c>
      <c r="P227" s="60" t="n">
        <f aca="false">Magalu!$Q227</f>
        <v>0.2</v>
      </c>
      <c r="Q227" s="46" t="n">
        <f aca="false">IF(COUNT($F227,$H227,$J227,$L227,$N227,$P227)=0,"",MIN($F227,$H227,$J227,$L227,$N227,$P227))</f>
        <v>0.2</v>
      </c>
      <c r="R227" s="46" t="n">
        <f aca="false">IF(COUNT($F227,$H227,$J227,$L227,$N227,$P227)=0,"",MAX($F227,$H227,$J227,$L227,$N227,$P227))</f>
        <v>0.2</v>
      </c>
      <c r="S227" s="61" t="n">
        <f aca="false">IF($A227="","",COUNT($E227,$G227,$I227,$K227,$M227,$O227))</f>
        <v>6</v>
      </c>
    </row>
    <row r="228" customFormat="false" ht="15" hidden="false" customHeight="false" outlineLevel="0" collapsed="false">
      <c r="A228" s="32" t="str">
        <f aca="false">IF(Produtos!$A228="","",Produtos!$A228)</f>
        <v>AQ-30</v>
      </c>
      <c r="B228" s="32" t="str">
        <f aca="false">IF(Produtos!$A228="","",Produtos!$B228)</f>
        <v>Aro Quadrado 30cm Aço Inox</v>
      </c>
      <c r="C228" s="32" t="str">
        <f aca="false">IF(Produtos!$A228="","",Produtos!$C228)</f>
        <v>Acessórios (aros e tampas)</v>
      </c>
      <c r="D228" s="33" t="n">
        <f aca="false">IF(Produtos!$A228="","",IF(Produtos!$D228="","",Produtos!$D228))</f>
        <v>45.58</v>
      </c>
      <c r="E228" s="59" t="n">
        <f aca="false">'ML Clássico'!$K228</f>
        <v>84.4074074074074</v>
      </c>
      <c r="F228" s="60" t="n">
        <f aca="false">'ML Clássico'!$Q228</f>
        <v>0.2</v>
      </c>
      <c r="G228" s="59" t="n">
        <f aca="false">'ML Premium'!$K228</f>
        <v>93.0204081632653</v>
      </c>
      <c r="H228" s="60" t="n">
        <f aca="false">'ML Premium'!$Q228</f>
        <v>0.2</v>
      </c>
      <c r="I228" s="59" t="n">
        <f aca="false">Amazon!$K228</f>
        <v>84.4074074074074</v>
      </c>
      <c r="J228" s="60" t="n">
        <f aca="false">Amazon!$Q228</f>
        <v>0.2</v>
      </c>
      <c r="K228" s="59" t="n">
        <f aca="false">'Via (Casas Bahia)'!$K228</f>
        <v>99.0869565217391</v>
      </c>
      <c r="L228" s="60" t="n">
        <f aca="false">'Via (Casas Bahia)'!$Q228</f>
        <v>0.2</v>
      </c>
      <c r="M228" s="59" t="n">
        <f aca="false">MadeiraMadeira!$K228</f>
        <v>94.9583333333333</v>
      </c>
      <c r="N228" s="60" t="n">
        <f aca="false">MadeiraMadeira!$Q228</f>
        <v>0.2</v>
      </c>
      <c r="O228" s="59" t="n">
        <f aca="false">Magalu!$K228</f>
        <v>93.0204081632653</v>
      </c>
      <c r="P228" s="60" t="n">
        <f aca="false">Magalu!$Q228</f>
        <v>0.2</v>
      </c>
      <c r="Q228" s="46" t="n">
        <f aca="false">IF(COUNT($F228,$H228,$J228,$L228,$N228,$P228)=0,"",MIN($F228,$H228,$J228,$L228,$N228,$P228))</f>
        <v>0.2</v>
      </c>
      <c r="R228" s="46" t="n">
        <f aca="false">IF(COUNT($F228,$H228,$J228,$L228,$N228,$P228)=0,"",MAX($F228,$H228,$J228,$L228,$N228,$P228))</f>
        <v>0.2</v>
      </c>
      <c r="S228" s="61" t="n">
        <f aca="false">IF($A228="","",COUNT($E228,$G228,$I228,$K228,$M228,$O228))</f>
        <v>6</v>
      </c>
    </row>
    <row r="229" customFormat="false" ht="15" hidden="false" customHeight="false" outlineLevel="0" collapsed="false">
      <c r="A229" s="48" t="str">
        <f aca="false">IF(Produtos!$A229="","",Produtos!$A229)</f>
        <v>AQ-40</v>
      </c>
      <c r="B229" s="48" t="str">
        <f aca="false">IF(Produtos!$A229="","",Produtos!$B229)</f>
        <v>Aro Quadrado 40cm Aço Inox</v>
      </c>
      <c r="C229" s="48" t="str">
        <f aca="false">IF(Produtos!$A229="","",Produtos!$C229)</f>
        <v>Acessórios (aros e tampas)</v>
      </c>
      <c r="D229" s="33" t="n">
        <f aca="false">IF(Produtos!$A229="","",IF(Produtos!$D229="","",Produtos!$D229))</f>
        <v>96.46</v>
      </c>
      <c r="E229" s="62" t="n">
        <f aca="false">'ML Clássico'!$K229</f>
        <v>178.62962962963</v>
      </c>
      <c r="F229" s="60" t="n">
        <f aca="false">'ML Clássico'!$Q229</f>
        <v>0.2</v>
      </c>
      <c r="G229" s="62" t="n">
        <f aca="false">'ML Premium'!$K229</f>
        <v>196.857142857143</v>
      </c>
      <c r="H229" s="60" t="n">
        <f aca="false">'ML Premium'!$Q229</f>
        <v>0.2</v>
      </c>
      <c r="I229" s="62" t="n">
        <f aca="false">Amazon!$K229</f>
        <v>178.62962962963</v>
      </c>
      <c r="J229" s="60" t="n">
        <f aca="false">Amazon!$Q229</f>
        <v>0.2</v>
      </c>
      <c r="K229" s="62" t="n">
        <f aca="false">'Via (Casas Bahia)'!$K229</f>
        <v>209.695652173913</v>
      </c>
      <c r="L229" s="60" t="n">
        <f aca="false">'Via (Casas Bahia)'!$Q229</f>
        <v>0.2</v>
      </c>
      <c r="M229" s="62" t="n">
        <f aca="false">MadeiraMadeira!$K229</f>
        <v>200.958333333333</v>
      </c>
      <c r="N229" s="60" t="n">
        <f aca="false">MadeiraMadeira!$Q229</f>
        <v>0.2</v>
      </c>
      <c r="O229" s="62" t="n">
        <f aca="false">Magalu!$K229</f>
        <v>196.857142857143</v>
      </c>
      <c r="P229" s="60" t="n">
        <f aca="false">Magalu!$Q229</f>
        <v>0.2</v>
      </c>
      <c r="Q229" s="46" t="n">
        <f aca="false">IF(COUNT($F229,$H229,$J229,$L229,$N229,$P229)=0,"",MIN($F229,$H229,$J229,$L229,$N229,$P229))</f>
        <v>0.2</v>
      </c>
      <c r="R229" s="46" t="n">
        <f aca="false">IF(COUNT($F229,$H229,$J229,$L229,$N229,$P229)=0,"",MAX($F229,$H229,$J229,$L229,$N229,$P229))</f>
        <v>0.2</v>
      </c>
      <c r="S229" s="61" t="n">
        <f aca="false">IF($A229="","",COUNT($E229,$G229,$I229,$K229,$M229,$O229))</f>
        <v>6</v>
      </c>
    </row>
    <row r="230" customFormat="false" ht="15" hidden="false" customHeight="false" outlineLevel="0" collapsed="false">
      <c r="A230" s="32" t="str">
        <f aca="false">IF(Produtos!$A230="","",Produtos!$A230)</f>
        <v>AQ-24B</v>
      </c>
      <c r="B230" s="32" t="str">
        <f aca="false">IF(Produtos!$A230="","",Produtos!$B230)</f>
        <v>Aro Quadrado 24cm c/Basculante</v>
      </c>
      <c r="C230" s="32" t="str">
        <f aca="false">IF(Produtos!$A230="","",Produtos!$C230)</f>
        <v>Acessórios (aros e tampas)</v>
      </c>
      <c r="D230" s="33" t="n">
        <f aca="false">IF(Produtos!$A230="","",IF(Produtos!$D230="","",Produtos!$D230))</f>
        <v>54.06</v>
      </c>
      <c r="E230" s="59" t="n">
        <f aca="false">'ML Clássico'!$K230</f>
        <v>100.111111111111</v>
      </c>
      <c r="F230" s="60" t="n">
        <f aca="false">'ML Clássico'!$Q230</f>
        <v>0.2</v>
      </c>
      <c r="G230" s="59" t="n">
        <f aca="false">'ML Premium'!$K230</f>
        <v>110.326530612245</v>
      </c>
      <c r="H230" s="60" t="n">
        <f aca="false">'ML Premium'!$Q230</f>
        <v>0.2</v>
      </c>
      <c r="I230" s="59" t="n">
        <f aca="false">Amazon!$K230</f>
        <v>100.111111111111</v>
      </c>
      <c r="J230" s="60" t="n">
        <f aca="false">Amazon!$Q230</f>
        <v>0.2</v>
      </c>
      <c r="K230" s="59" t="n">
        <f aca="false">'Via (Casas Bahia)'!$K230</f>
        <v>117.521739130435</v>
      </c>
      <c r="L230" s="60" t="n">
        <f aca="false">'Via (Casas Bahia)'!$Q230</f>
        <v>0.2</v>
      </c>
      <c r="M230" s="59" t="n">
        <f aca="false">MadeiraMadeira!$K230</f>
        <v>112.625</v>
      </c>
      <c r="N230" s="60" t="n">
        <f aca="false">MadeiraMadeira!$Q230</f>
        <v>0.2</v>
      </c>
      <c r="O230" s="59" t="n">
        <f aca="false">Magalu!$K230</f>
        <v>110.326530612245</v>
      </c>
      <c r="P230" s="60" t="n">
        <f aca="false">Magalu!$Q230</f>
        <v>0.2</v>
      </c>
      <c r="Q230" s="46" t="n">
        <f aca="false">IF(COUNT($F230,$H230,$J230,$L230,$N230,$P230)=0,"",MIN($F230,$H230,$J230,$L230,$N230,$P230))</f>
        <v>0.2</v>
      </c>
      <c r="R230" s="46" t="n">
        <f aca="false">IF(COUNT($F230,$H230,$J230,$L230,$N230,$P230)=0,"",MAX($F230,$H230,$J230,$L230,$N230,$P230))</f>
        <v>0.2</v>
      </c>
      <c r="S230" s="61" t="n">
        <f aca="false">IF($A230="","",COUNT($E230,$G230,$I230,$K230,$M230,$O230))</f>
        <v>6</v>
      </c>
    </row>
    <row r="231" customFormat="false" ht="15" hidden="false" customHeight="false" outlineLevel="0" collapsed="false">
      <c r="A231" s="48" t="str">
        <f aca="false">IF(Produtos!$A231="","",Produtos!$A231)</f>
        <v>AQ-30B</v>
      </c>
      <c r="B231" s="48" t="str">
        <f aca="false">IF(Produtos!$A231="","",Produtos!$B231)</f>
        <v>Aro Quadrado 30cm c/Basculante</v>
      </c>
      <c r="C231" s="48" t="str">
        <f aca="false">IF(Produtos!$A231="","",Produtos!$C231)</f>
        <v>Acessórios (aros e tampas)</v>
      </c>
      <c r="D231" s="33" t="n">
        <f aca="false">IF(Produtos!$A231="","",IF(Produtos!$D231="","",Produtos!$D231))</f>
        <v>69.96</v>
      </c>
      <c r="E231" s="62" t="n">
        <f aca="false">'ML Clássico'!$K231</f>
        <v>129.555555555556</v>
      </c>
      <c r="F231" s="60" t="n">
        <f aca="false">'ML Clássico'!$Q231</f>
        <v>0.2</v>
      </c>
      <c r="G231" s="62" t="n">
        <f aca="false">'ML Premium'!$K231</f>
        <v>142.775510204082</v>
      </c>
      <c r="H231" s="60" t="n">
        <f aca="false">'ML Premium'!$Q231</f>
        <v>0.2</v>
      </c>
      <c r="I231" s="62" t="n">
        <f aca="false">Amazon!$K231</f>
        <v>129.555555555556</v>
      </c>
      <c r="J231" s="60" t="n">
        <f aca="false">Amazon!$Q231</f>
        <v>0.2</v>
      </c>
      <c r="K231" s="62" t="n">
        <f aca="false">'Via (Casas Bahia)'!$K231</f>
        <v>152.086956521739</v>
      </c>
      <c r="L231" s="60" t="n">
        <f aca="false">'Via (Casas Bahia)'!$Q231</f>
        <v>0.2</v>
      </c>
      <c r="M231" s="62" t="n">
        <f aca="false">MadeiraMadeira!$K231</f>
        <v>145.75</v>
      </c>
      <c r="N231" s="60" t="n">
        <f aca="false">MadeiraMadeira!$Q231</f>
        <v>0.2</v>
      </c>
      <c r="O231" s="62" t="n">
        <f aca="false">Magalu!$K231</f>
        <v>142.775510204082</v>
      </c>
      <c r="P231" s="60" t="n">
        <f aca="false">Magalu!$Q231</f>
        <v>0.2</v>
      </c>
      <c r="Q231" s="46" t="n">
        <f aca="false">IF(COUNT($F231,$H231,$J231,$L231,$N231,$P231)=0,"",MIN($F231,$H231,$J231,$L231,$N231,$P231))</f>
        <v>0.2</v>
      </c>
      <c r="R231" s="46" t="n">
        <f aca="false">IF(COUNT($F231,$H231,$J231,$L231,$N231,$P231)=0,"",MAX($F231,$H231,$J231,$L231,$N231,$P231))</f>
        <v>0.2</v>
      </c>
      <c r="S231" s="61" t="n">
        <f aca="false">IF($A231="","",COUNT($E231,$G231,$I231,$K231,$M231,$O231))</f>
        <v>6</v>
      </c>
    </row>
    <row r="232" customFormat="false" ht="15" hidden="false" customHeight="false" outlineLevel="0" collapsed="false">
      <c r="A232" s="32" t="str">
        <f aca="false">IF(Produtos!$A232="","",Produtos!$A232)</f>
        <v>AQ-40B</v>
      </c>
      <c r="B232" s="32" t="str">
        <f aca="false">IF(Produtos!$A232="","",Produtos!$B232)</f>
        <v>Aro Quadrado 40cm c/Basculante</v>
      </c>
      <c r="C232" s="32" t="str">
        <f aca="false">IF(Produtos!$A232="","",Produtos!$C232)</f>
        <v>Acessórios (aros e tampas)</v>
      </c>
      <c r="D232" s="33" t="n">
        <f aca="false">IF(Produtos!$A232="","",IF(Produtos!$D232="","",Produtos!$D232))</f>
        <v>121.9</v>
      </c>
      <c r="E232" s="59" t="n">
        <f aca="false">'ML Clássico'!$K232</f>
        <v>225.740740740741</v>
      </c>
      <c r="F232" s="60" t="n">
        <f aca="false">'ML Clássico'!$Q232</f>
        <v>0.2</v>
      </c>
      <c r="G232" s="59" t="n">
        <f aca="false">'ML Premium'!$K232</f>
        <v>248.775510204082</v>
      </c>
      <c r="H232" s="60" t="n">
        <f aca="false">'ML Premium'!$Q232</f>
        <v>0.2</v>
      </c>
      <c r="I232" s="59" t="n">
        <f aca="false">Amazon!$K232</f>
        <v>225.740740740741</v>
      </c>
      <c r="J232" s="60" t="n">
        <f aca="false">Amazon!$Q232</f>
        <v>0.2</v>
      </c>
      <c r="K232" s="59" t="n">
        <f aca="false">'Via (Casas Bahia)'!$K232</f>
        <v>265</v>
      </c>
      <c r="L232" s="60" t="n">
        <f aca="false">'Via (Casas Bahia)'!$Q232</f>
        <v>0.2</v>
      </c>
      <c r="M232" s="59" t="n">
        <f aca="false">MadeiraMadeira!$K232</f>
        <v>253.958333333333</v>
      </c>
      <c r="N232" s="60" t="n">
        <f aca="false">MadeiraMadeira!$Q232</f>
        <v>0.2</v>
      </c>
      <c r="O232" s="59" t="n">
        <f aca="false">Magalu!$K232</f>
        <v>248.775510204082</v>
      </c>
      <c r="P232" s="60" t="n">
        <f aca="false">Magalu!$Q232</f>
        <v>0.2</v>
      </c>
      <c r="Q232" s="46" t="n">
        <f aca="false">IF(COUNT($F232,$H232,$J232,$L232,$N232,$P232)=0,"",MIN($F232,$H232,$J232,$L232,$N232,$P232))</f>
        <v>0.2</v>
      </c>
      <c r="R232" s="46" t="n">
        <f aca="false">IF(COUNT($F232,$H232,$J232,$L232,$N232,$P232)=0,"",MAX($F232,$H232,$J232,$L232,$N232,$P232))</f>
        <v>0.2</v>
      </c>
      <c r="S232" s="61" t="n">
        <f aca="false">IF($A232="","",COUNT($E232,$G232,$I232,$K232,$M232,$O232))</f>
        <v>6</v>
      </c>
    </row>
    <row r="233" customFormat="false" ht="15" hidden="false" customHeight="false" outlineLevel="0" collapsed="false">
      <c r="A233" s="48" t="str">
        <f aca="false">IF(Produtos!$A233="","",Produtos!$A233)</f>
        <v>AQ-24C</v>
      </c>
      <c r="B233" s="48" t="str">
        <f aca="false">IF(Produtos!$A233="","",Produtos!$B233)</f>
        <v>Aro Quadrado 24cm Pintado</v>
      </c>
      <c r="C233" s="48" t="str">
        <f aca="false">IF(Produtos!$A233="","",Produtos!$C233)</f>
        <v>Acessórios (aros e tampas)</v>
      </c>
      <c r="D233" s="33" t="n">
        <f aca="false">IF(Produtos!$A233="","",IF(Produtos!$D233="","",Produtos!$D233))</f>
        <v>45.58</v>
      </c>
      <c r="E233" s="62" t="n">
        <f aca="false">'ML Clássico'!$K233</f>
        <v>84.4074074074074</v>
      </c>
      <c r="F233" s="60" t="n">
        <f aca="false">'ML Clássico'!$Q233</f>
        <v>0.2</v>
      </c>
      <c r="G233" s="62" t="n">
        <f aca="false">'ML Premium'!$K233</f>
        <v>93.0204081632653</v>
      </c>
      <c r="H233" s="60" t="n">
        <f aca="false">'ML Premium'!$Q233</f>
        <v>0.2</v>
      </c>
      <c r="I233" s="62" t="n">
        <f aca="false">Amazon!$K233</f>
        <v>84.4074074074074</v>
      </c>
      <c r="J233" s="60" t="n">
        <f aca="false">Amazon!$Q233</f>
        <v>0.2</v>
      </c>
      <c r="K233" s="62" t="n">
        <f aca="false">'Via (Casas Bahia)'!$K233</f>
        <v>99.0869565217391</v>
      </c>
      <c r="L233" s="60" t="n">
        <f aca="false">'Via (Casas Bahia)'!$Q233</f>
        <v>0.2</v>
      </c>
      <c r="M233" s="62" t="n">
        <f aca="false">MadeiraMadeira!$K233</f>
        <v>94.9583333333333</v>
      </c>
      <c r="N233" s="60" t="n">
        <f aca="false">MadeiraMadeira!$Q233</f>
        <v>0.2</v>
      </c>
      <c r="O233" s="62" t="n">
        <f aca="false">Magalu!$K233</f>
        <v>93.0204081632653</v>
      </c>
      <c r="P233" s="60" t="n">
        <f aca="false">Magalu!$Q233</f>
        <v>0.2</v>
      </c>
      <c r="Q233" s="46" t="n">
        <f aca="false">IF(COUNT($F233,$H233,$J233,$L233,$N233,$P233)=0,"",MIN($F233,$H233,$J233,$L233,$N233,$P233))</f>
        <v>0.2</v>
      </c>
      <c r="R233" s="46" t="n">
        <f aca="false">IF(COUNT($F233,$H233,$J233,$L233,$N233,$P233)=0,"",MAX($F233,$H233,$J233,$L233,$N233,$P233))</f>
        <v>0.2</v>
      </c>
      <c r="S233" s="61" t="n">
        <f aca="false">IF($A233="","",COUNT($E233,$G233,$I233,$K233,$M233,$O233))</f>
        <v>6</v>
      </c>
    </row>
    <row r="234" customFormat="false" ht="15" hidden="false" customHeight="false" outlineLevel="0" collapsed="false">
      <c r="A234" s="32" t="str">
        <f aca="false">IF(Produtos!$A234="","",Produtos!$A234)</f>
        <v>AQ-30C</v>
      </c>
      <c r="B234" s="32" t="str">
        <f aca="false">IF(Produtos!$A234="","",Produtos!$B234)</f>
        <v>Aro Quadrado 30cm Pintado</v>
      </c>
      <c r="C234" s="32" t="str">
        <f aca="false">IF(Produtos!$A234="","",Produtos!$C234)</f>
        <v>Acessórios (aros e tampas)</v>
      </c>
      <c r="D234" s="33" t="n">
        <f aca="false">IF(Produtos!$A234="","",IF(Produtos!$D234="","",Produtos!$D234))</f>
        <v>53</v>
      </c>
      <c r="E234" s="59" t="n">
        <f aca="false">'ML Clássico'!$K234</f>
        <v>98.1481481481481</v>
      </c>
      <c r="F234" s="60" t="n">
        <f aca="false">'ML Clássico'!$Q234</f>
        <v>0.2</v>
      </c>
      <c r="G234" s="59" t="n">
        <f aca="false">'ML Premium'!$K234</f>
        <v>108.163265306122</v>
      </c>
      <c r="H234" s="60" t="n">
        <f aca="false">'ML Premium'!$Q234</f>
        <v>0.2</v>
      </c>
      <c r="I234" s="59" t="n">
        <f aca="false">Amazon!$K234</f>
        <v>98.1481481481481</v>
      </c>
      <c r="J234" s="60" t="n">
        <f aca="false">Amazon!$Q234</f>
        <v>0.2</v>
      </c>
      <c r="K234" s="59" t="n">
        <f aca="false">'Via (Casas Bahia)'!$K234</f>
        <v>115.217391304348</v>
      </c>
      <c r="L234" s="60" t="n">
        <f aca="false">'Via (Casas Bahia)'!$Q234</f>
        <v>0.2</v>
      </c>
      <c r="M234" s="59" t="n">
        <f aca="false">MadeiraMadeira!$K234</f>
        <v>110.416666666667</v>
      </c>
      <c r="N234" s="60" t="n">
        <f aca="false">MadeiraMadeira!$Q234</f>
        <v>0.2</v>
      </c>
      <c r="O234" s="59" t="n">
        <f aca="false">Magalu!$K234</f>
        <v>108.163265306122</v>
      </c>
      <c r="P234" s="60" t="n">
        <f aca="false">Magalu!$Q234</f>
        <v>0.2</v>
      </c>
      <c r="Q234" s="46" t="n">
        <f aca="false">IF(COUNT($F234,$H234,$J234,$L234,$N234,$P234)=0,"",MIN($F234,$H234,$J234,$L234,$N234,$P234))</f>
        <v>0.2</v>
      </c>
      <c r="R234" s="46" t="n">
        <f aca="false">IF(COUNT($F234,$H234,$J234,$L234,$N234,$P234)=0,"",MAX($F234,$H234,$J234,$L234,$N234,$P234))</f>
        <v>0.2</v>
      </c>
      <c r="S234" s="61" t="n">
        <f aca="false">IF($A234="","",COUNT($E234,$G234,$I234,$K234,$M234,$O234))</f>
        <v>6</v>
      </c>
    </row>
    <row r="235" customFormat="false" ht="15" hidden="false" customHeight="false" outlineLevel="0" collapsed="false">
      <c r="A235" s="48" t="str">
        <f aca="false">IF(Produtos!$A235="","",Produtos!$A235)</f>
        <v>AQ-40C</v>
      </c>
      <c r="B235" s="48" t="str">
        <f aca="false">IF(Produtos!$A235="","",Produtos!$B235)</f>
        <v>Aro Quadrado 40cm Pintado</v>
      </c>
      <c r="C235" s="48" t="str">
        <f aca="false">IF(Produtos!$A235="","",Produtos!$C235)</f>
        <v>Acessórios (aros e tampas)</v>
      </c>
      <c r="D235" s="33" t="n">
        <f aca="false">IF(Produtos!$A235="","",IF(Produtos!$D235="","",Produtos!$D235))</f>
        <v>104.94</v>
      </c>
      <c r="E235" s="62" t="n">
        <f aca="false">'ML Clássico'!$K235</f>
        <v>194.333333333333</v>
      </c>
      <c r="F235" s="60" t="n">
        <f aca="false">'ML Clássico'!$Q235</f>
        <v>0.2</v>
      </c>
      <c r="G235" s="62" t="n">
        <f aca="false">'ML Premium'!$K235</f>
        <v>214.163265306122</v>
      </c>
      <c r="H235" s="60" t="n">
        <f aca="false">'ML Premium'!$Q235</f>
        <v>0.2</v>
      </c>
      <c r="I235" s="62" t="n">
        <f aca="false">Amazon!$K235</f>
        <v>194.333333333333</v>
      </c>
      <c r="J235" s="60" t="n">
        <f aca="false">Amazon!$Q235</f>
        <v>0.2</v>
      </c>
      <c r="K235" s="62" t="n">
        <f aca="false">'Via (Casas Bahia)'!$K235</f>
        <v>228.130434782609</v>
      </c>
      <c r="L235" s="60" t="n">
        <f aca="false">'Via (Casas Bahia)'!$Q235</f>
        <v>0.2</v>
      </c>
      <c r="M235" s="62" t="n">
        <f aca="false">MadeiraMadeira!$K235</f>
        <v>218.625</v>
      </c>
      <c r="N235" s="60" t="n">
        <f aca="false">MadeiraMadeira!$Q235</f>
        <v>0.2</v>
      </c>
      <c r="O235" s="62" t="n">
        <f aca="false">Magalu!$K235</f>
        <v>214.163265306122</v>
      </c>
      <c r="P235" s="60" t="n">
        <f aca="false">Magalu!$Q235</f>
        <v>0.2</v>
      </c>
      <c r="Q235" s="46" t="n">
        <f aca="false">IF(COUNT($F235,$H235,$J235,$L235,$N235,$P235)=0,"",MIN($F235,$H235,$J235,$L235,$N235,$P235))</f>
        <v>0.2</v>
      </c>
      <c r="R235" s="46" t="n">
        <f aca="false">IF(COUNT($F235,$H235,$J235,$L235,$N235,$P235)=0,"",MAX($F235,$H235,$J235,$L235,$N235,$P235))</f>
        <v>0.2</v>
      </c>
      <c r="S235" s="61" t="n">
        <f aca="false">IF($A235="","",COUNT($E235,$G235,$I235,$K235,$M235,$O235))</f>
        <v>6</v>
      </c>
    </row>
    <row r="236" customFormat="false" ht="15" hidden="false" customHeight="false" outlineLevel="0" collapsed="false">
      <c r="A236" s="32" t="str">
        <f aca="false">IF(Produtos!$A236="","",Produtos!$A236)</f>
        <v>AQ-24BC</v>
      </c>
      <c r="B236" s="32" t="str">
        <f aca="false">IF(Produtos!$A236="","",Produtos!$B236)</f>
        <v>Aro Quadrado 24cm c/Basculante Pintado</v>
      </c>
      <c r="C236" s="32" t="str">
        <f aca="false">IF(Produtos!$A236="","",Produtos!$C236)</f>
        <v>Acessórios (aros e tampas)</v>
      </c>
      <c r="D236" s="33" t="n">
        <f aca="false">IF(Produtos!$A236="","",IF(Produtos!$D236="","",Produtos!$D236))</f>
        <v>64.66</v>
      </c>
      <c r="E236" s="59" t="n">
        <f aca="false">'ML Clássico'!$K236</f>
        <v>119.740740740741</v>
      </c>
      <c r="F236" s="60" t="n">
        <f aca="false">'ML Clássico'!$Q236</f>
        <v>0.2</v>
      </c>
      <c r="G236" s="59" t="n">
        <f aca="false">'ML Premium'!$K236</f>
        <v>131.959183673469</v>
      </c>
      <c r="H236" s="60" t="n">
        <f aca="false">'ML Premium'!$Q236</f>
        <v>0.2</v>
      </c>
      <c r="I236" s="59" t="n">
        <f aca="false">Amazon!$K236</f>
        <v>119.740740740741</v>
      </c>
      <c r="J236" s="60" t="n">
        <f aca="false">Amazon!$Q236</f>
        <v>0.2</v>
      </c>
      <c r="K236" s="59" t="n">
        <f aca="false">'Via (Casas Bahia)'!$K236</f>
        <v>140.565217391304</v>
      </c>
      <c r="L236" s="60" t="n">
        <f aca="false">'Via (Casas Bahia)'!$Q236</f>
        <v>0.2</v>
      </c>
      <c r="M236" s="59" t="n">
        <f aca="false">MadeiraMadeira!$K236</f>
        <v>134.708333333333</v>
      </c>
      <c r="N236" s="60" t="n">
        <f aca="false">MadeiraMadeira!$Q236</f>
        <v>0.2</v>
      </c>
      <c r="O236" s="59" t="n">
        <f aca="false">Magalu!$K236</f>
        <v>131.959183673469</v>
      </c>
      <c r="P236" s="60" t="n">
        <f aca="false">Magalu!$Q236</f>
        <v>0.2</v>
      </c>
      <c r="Q236" s="46" t="n">
        <f aca="false">IF(COUNT($F236,$H236,$J236,$L236,$N236,$P236)=0,"",MIN($F236,$H236,$J236,$L236,$N236,$P236))</f>
        <v>0.2</v>
      </c>
      <c r="R236" s="46" t="n">
        <f aca="false">IF(COUNT($F236,$H236,$J236,$L236,$N236,$P236)=0,"",MAX($F236,$H236,$J236,$L236,$N236,$P236))</f>
        <v>0.2</v>
      </c>
      <c r="S236" s="61" t="n">
        <f aca="false">IF($A236="","",COUNT($E236,$G236,$I236,$K236,$M236,$O236))</f>
        <v>6</v>
      </c>
    </row>
    <row r="237" customFormat="false" ht="15" hidden="false" customHeight="false" outlineLevel="0" collapsed="false">
      <c r="A237" s="48" t="str">
        <f aca="false">IF(Produtos!$A237="","",Produtos!$A237)</f>
        <v>AQ-30BC</v>
      </c>
      <c r="B237" s="48" t="str">
        <f aca="false">IF(Produtos!$A237="","",Produtos!$B237)</f>
        <v>Aro Quadrado 30cm c/Basculante Pintado</v>
      </c>
      <c r="C237" s="48" t="str">
        <f aca="false">IF(Produtos!$A237="","",Produtos!$C237)</f>
        <v>Acessórios (aros e tampas)</v>
      </c>
      <c r="D237" s="33" t="n">
        <f aca="false">IF(Produtos!$A237="","",IF(Produtos!$D237="","",Produtos!$D237))</f>
        <v>80.56</v>
      </c>
      <c r="E237" s="62" t="n">
        <f aca="false">'ML Clássico'!$K237</f>
        <v>149.185185185185</v>
      </c>
      <c r="F237" s="60" t="n">
        <f aca="false">'ML Clássico'!$Q237</f>
        <v>0.2</v>
      </c>
      <c r="G237" s="62" t="n">
        <f aca="false">'ML Premium'!$K237</f>
        <v>164.408163265306</v>
      </c>
      <c r="H237" s="60" t="n">
        <f aca="false">'ML Premium'!$Q237</f>
        <v>0.2</v>
      </c>
      <c r="I237" s="62" t="n">
        <f aca="false">Amazon!$K237</f>
        <v>149.185185185185</v>
      </c>
      <c r="J237" s="60" t="n">
        <f aca="false">Amazon!$Q237</f>
        <v>0.2</v>
      </c>
      <c r="K237" s="62" t="n">
        <f aca="false">'Via (Casas Bahia)'!$K237</f>
        <v>175.130434782609</v>
      </c>
      <c r="L237" s="60" t="n">
        <f aca="false">'Via (Casas Bahia)'!$Q237</f>
        <v>0.2</v>
      </c>
      <c r="M237" s="62" t="n">
        <f aca="false">MadeiraMadeira!$K237</f>
        <v>167.833333333333</v>
      </c>
      <c r="N237" s="60" t="n">
        <f aca="false">MadeiraMadeira!$Q237</f>
        <v>0.2</v>
      </c>
      <c r="O237" s="62" t="n">
        <f aca="false">Magalu!$K237</f>
        <v>164.408163265306</v>
      </c>
      <c r="P237" s="60" t="n">
        <f aca="false">Magalu!$Q237</f>
        <v>0.2</v>
      </c>
      <c r="Q237" s="46" t="n">
        <f aca="false">IF(COUNT($F237,$H237,$J237,$L237,$N237,$P237)=0,"",MIN($F237,$H237,$J237,$L237,$N237,$P237))</f>
        <v>0.2</v>
      </c>
      <c r="R237" s="46" t="n">
        <f aca="false">IF(COUNT($F237,$H237,$J237,$L237,$N237,$P237)=0,"",MAX($F237,$H237,$J237,$L237,$N237,$P237))</f>
        <v>0.2</v>
      </c>
      <c r="S237" s="61" t="n">
        <f aca="false">IF($A237="","",COUNT($E237,$G237,$I237,$K237,$M237,$O237))</f>
        <v>6</v>
      </c>
    </row>
    <row r="238" customFormat="false" ht="15" hidden="false" customHeight="false" outlineLevel="0" collapsed="false">
      <c r="A238" s="32" t="str">
        <f aca="false">IF(Produtos!$A238="","",Produtos!$A238)</f>
        <v>AQ-40BC</v>
      </c>
      <c r="B238" s="32" t="str">
        <f aca="false">IF(Produtos!$A238="","",Produtos!$B238)</f>
        <v>Aro Quadrado 40cm c/Basculante Pintado</v>
      </c>
      <c r="C238" s="32" t="str">
        <f aca="false">IF(Produtos!$A238="","",Produtos!$C238)</f>
        <v>Acessórios (aros e tampas)</v>
      </c>
      <c r="D238" s="33" t="n">
        <f aca="false">IF(Produtos!$A238="","",IF(Produtos!$D238="","",Produtos!$D238))</f>
        <v>132.5</v>
      </c>
      <c r="E238" s="59" t="n">
        <f aca="false">'ML Clássico'!$K238</f>
        <v>245.37037037037</v>
      </c>
      <c r="F238" s="60" t="n">
        <f aca="false">'ML Clássico'!$Q238</f>
        <v>0.2</v>
      </c>
      <c r="G238" s="59" t="n">
        <f aca="false">'ML Premium'!$K238</f>
        <v>270.408163265306</v>
      </c>
      <c r="H238" s="60" t="n">
        <f aca="false">'ML Premium'!$Q238</f>
        <v>0.2</v>
      </c>
      <c r="I238" s="59" t="n">
        <f aca="false">Amazon!$K238</f>
        <v>245.37037037037</v>
      </c>
      <c r="J238" s="60" t="n">
        <f aca="false">Amazon!$Q238</f>
        <v>0.2</v>
      </c>
      <c r="K238" s="59" t="n">
        <f aca="false">'Via (Casas Bahia)'!$K238</f>
        <v>288.04347826087</v>
      </c>
      <c r="L238" s="60" t="n">
        <f aca="false">'Via (Casas Bahia)'!$Q238</f>
        <v>0.2</v>
      </c>
      <c r="M238" s="59" t="n">
        <f aca="false">MadeiraMadeira!$K238</f>
        <v>276.041666666667</v>
      </c>
      <c r="N238" s="60" t="n">
        <f aca="false">MadeiraMadeira!$Q238</f>
        <v>0.2</v>
      </c>
      <c r="O238" s="59" t="n">
        <f aca="false">Magalu!$K238</f>
        <v>270.408163265306</v>
      </c>
      <c r="P238" s="60" t="n">
        <f aca="false">Magalu!$Q238</f>
        <v>0.2</v>
      </c>
      <c r="Q238" s="46" t="n">
        <f aca="false">IF(COUNT($F238,$H238,$J238,$L238,$N238,$P238)=0,"",MIN($F238,$H238,$J238,$L238,$N238,$P238))</f>
        <v>0.2</v>
      </c>
      <c r="R238" s="46" t="n">
        <f aca="false">IF(COUNT($F238,$H238,$J238,$L238,$N238,$P238)=0,"",MAX($F238,$H238,$J238,$L238,$N238,$P238))</f>
        <v>0.2</v>
      </c>
      <c r="S238" s="61" t="n">
        <f aca="false">IF($A238="","",COUNT($E238,$G238,$I238,$K238,$M238,$O238))</f>
        <v>6</v>
      </c>
    </row>
    <row r="239" customFormat="false" ht="15" hidden="false" customHeight="false" outlineLevel="0" collapsed="false">
      <c r="A239" s="48" t="str">
        <f aca="false">IF(Produtos!$A239="","",Produtos!$A239)</f>
        <v>PXP</v>
      </c>
      <c r="B239" s="48" t="str">
        <f aca="false">IF(Produtos!$A239="","",Produtos!$B239)</f>
        <v>Porta Extintor 160x310</v>
      </c>
      <c r="C239" s="48" t="str">
        <f aca="false">IF(Produtos!$A239="","",Produtos!$C239)</f>
        <v>Porta-extintores</v>
      </c>
      <c r="D239" s="33" t="n">
        <f aca="false">IF(Produtos!$A239="","",IF(Produtos!$D239="","",Produtos!$D239))</f>
        <v>84.79</v>
      </c>
      <c r="E239" s="62" t="n">
        <f aca="false">'ML Clássico'!$K239</f>
        <v>189.9</v>
      </c>
      <c r="F239" s="60" t="n">
        <f aca="false">'ML Clássico'!$Q239</f>
        <v>0.201334913112164</v>
      </c>
      <c r="G239" s="62" t="n">
        <f aca="false">'ML Premium'!$K239</f>
        <v>209.9</v>
      </c>
      <c r="H239" s="60" t="n">
        <f aca="false">'ML Premium'!$Q239</f>
        <v>0.209321105288233</v>
      </c>
      <c r="I239" s="62" t="n">
        <f aca="false">Amazon!$K239</f>
        <v>167.89</v>
      </c>
      <c r="J239" s="60" t="n">
        <f aca="false">Amazon!$Q239</f>
        <v>0.234966942641015</v>
      </c>
      <c r="K239" s="62" t="n">
        <f aca="false">'Via (Casas Bahia)'!$K239</f>
        <v>184.326086956522</v>
      </c>
      <c r="L239" s="60" t="n">
        <f aca="false">'Via (Casas Bahia)'!$Q239</f>
        <v>0.2</v>
      </c>
      <c r="M239" s="62" t="n">
        <f aca="false">MadeiraMadeira!$K239</f>
        <v>176.645833333333</v>
      </c>
      <c r="N239" s="60" t="n">
        <f aca="false">MadeiraMadeira!$Q239</f>
        <v>0.2</v>
      </c>
      <c r="O239" s="62" t="n">
        <f aca="false">Magalu!$K239</f>
        <v>173.040816326531</v>
      </c>
      <c r="P239" s="60" t="n">
        <f aca="false">Magalu!$Q239</f>
        <v>0.2</v>
      </c>
      <c r="Q239" s="46" t="n">
        <f aca="false">IF(COUNT($F239,$H239,$J239,$L239,$N239,$P239)=0,"",MIN($F239,$H239,$J239,$L239,$N239,$P239))</f>
        <v>0.2</v>
      </c>
      <c r="R239" s="46" t="n">
        <f aca="false">IF(COUNT($F239,$H239,$J239,$L239,$N239,$P239)=0,"",MAX($F239,$H239,$J239,$L239,$N239,$P239))</f>
        <v>0.234966942641015</v>
      </c>
      <c r="S239" s="61" t="n">
        <f aca="false">IF($A239="","",COUNT($E239,$G239,$I239,$K239,$M239,$O239))</f>
        <v>6</v>
      </c>
    </row>
    <row r="240" customFormat="false" ht="15" hidden="false" customHeight="false" outlineLevel="0" collapsed="false">
      <c r="A240" s="32" t="str">
        <f aca="false">IF(Produtos!$A240="","",Produtos!$A240)</f>
        <v>PXM</v>
      </c>
      <c r="B240" s="32" t="str">
        <f aca="false">IF(Produtos!$A240="","",Produtos!$B240)</f>
        <v>Porta Extintor 200x495</v>
      </c>
      <c r="C240" s="32" t="str">
        <f aca="false">IF(Produtos!$A240="","",Produtos!$C240)</f>
        <v>Porta-extintores</v>
      </c>
      <c r="D240" s="33" t="n">
        <f aca="false">IF(Produtos!$A240="","",IF(Produtos!$D240="","",Produtos!$D240))</f>
        <v>102.8</v>
      </c>
      <c r="E240" s="59" t="n">
        <f aca="false">'ML Clássico'!$K240</f>
        <v>240.834365</v>
      </c>
      <c r="F240" s="60" t="n">
        <f aca="false">'ML Clássico'!$Q240</f>
        <v>0.203410710199103</v>
      </c>
      <c r="G240" s="59" t="n">
        <f aca="false">'ML Premium'!$K240</f>
        <v>252.97</v>
      </c>
      <c r="H240" s="60" t="n">
        <f aca="false">'ML Premium'!$Q240</f>
        <v>0.200351622722062</v>
      </c>
      <c r="I240" s="59" t="n">
        <f aca="false">Amazon!$K240</f>
        <v>203.54</v>
      </c>
      <c r="J240" s="60" t="n">
        <f aca="false">Amazon!$Q240</f>
        <v>0.234939569617766</v>
      </c>
      <c r="K240" s="59" t="n">
        <f aca="false">'Via (Casas Bahia)'!$K240</f>
        <v>223.478260869565</v>
      </c>
      <c r="L240" s="60" t="n">
        <f aca="false">'Via (Casas Bahia)'!$Q240</f>
        <v>0.2</v>
      </c>
      <c r="M240" s="59" t="n">
        <f aca="false">MadeiraMadeira!$K240</f>
        <v>214.166666666667</v>
      </c>
      <c r="N240" s="60" t="n">
        <f aca="false">MadeiraMadeira!$Q240</f>
        <v>0.2</v>
      </c>
      <c r="O240" s="59" t="n">
        <f aca="false">Magalu!$K240</f>
        <v>209.795918367347</v>
      </c>
      <c r="P240" s="60" t="n">
        <f aca="false">Magalu!$Q240</f>
        <v>0.2</v>
      </c>
      <c r="Q240" s="46" t="n">
        <f aca="false">IF(COUNT($F240,$H240,$J240,$L240,$N240,$P240)=0,"",MIN($F240,$H240,$J240,$L240,$N240,$P240))</f>
        <v>0.2</v>
      </c>
      <c r="R240" s="46" t="n">
        <f aca="false">IF(COUNT($F240,$H240,$J240,$L240,$N240,$P240)=0,"",MAX($F240,$H240,$J240,$L240,$N240,$P240))</f>
        <v>0.234939569617766</v>
      </c>
      <c r="S240" s="61" t="n">
        <f aca="false">IF($A240="","",COUNT($E240,$G240,$I240,$K240,$M240,$O240))</f>
        <v>6</v>
      </c>
    </row>
    <row r="241" customFormat="false" ht="15" hidden="false" customHeight="false" outlineLevel="0" collapsed="false">
      <c r="A241" s="48" t="str">
        <f aca="false">IF(Produtos!$A241="","",Produtos!$A241)</f>
        <v>PL-SD</v>
      </c>
      <c r="B241" s="48" t="str">
        <f aca="false">IF(Produtos!$A241="","",Produtos!$B241)</f>
        <v>Placa Sinalizadora Piso Molhado Aço Inox 430</v>
      </c>
      <c r="C241" s="48" t="str">
        <f aca="false">IF(Produtos!$A241="","",Produtos!$C241)</f>
        <v>Placas de piso molhado</v>
      </c>
      <c r="D241" s="33" t="n">
        <f aca="false">IF(Produtos!$A241="","",IF(Produtos!$D241="","",Produtos!$D241))</f>
        <v>242.68</v>
      </c>
      <c r="E241" s="62" t="n">
        <f aca="false">'ML Clássico'!$K241</f>
        <v>460.0633275</v>
      </c>
      <c r="F241" s="60" t="n">
        <f aca="false">'ML Clássico'!$Q241</f>
        <v>0.182188930365244</v>
      </c>
      <c r="G241" s="62" t="n">
        <f aca="false">'ML Premium'!$K241</f>
        <v>494.75734875</v>
      </c>
      <c r="H241" s="60" t="n">
        <f aca="false">'ML Premium'!$Q241</f>
        <v>0.158057569680515</v>
      </c>
      <c r="I241" s="62" t="n">
        <f aca="false">Amazon!$K241</f>
        <v>449.407407407407</v>
      </c>
      <c r="J241" s="60" t="n">
        <f aca="false">Amazon!$Q241</f>
        <v>0.2</v>
      </c>
      <c r="K241" s="62" t="n">
        <f aca="false">'Via (Casas Bahia)'!$K241</f>
        <v>527.565217391304</v>
      </c>
      <c r="L241" s="60" t="n">
        <f aca="false">'Via (Casas Bahia)'!$Q241</f>
        <v>0.2</v>
      </c>
      <c r="M241" s="62" t="n">
        <f aca="false">MadeiraMadeira!$K241</f>
        <v>505.583333333333</v>
      </c>
      <c r="N241" s="60" t="n">
        <f aca="false">MadeiraMadeira!$Q241</f>
        <v>0.2</v>
      </c>
      <c r="O241" s="62" t="n">
        <f aca="false">Magalu!$K241</f>
        <v>495.265306122449</v>
      </c>
      <c r="P241" s="60" t="n">
        <f aca="false">Magalu!$Q241</f>
        <v>0.2</v>
      </c>
      <c r="Q241" s="46" t="n">
        <f aca="false">IF(COUNT($F241,$H241,$J241,$L241,$N241,$P241)=0,"",MIN($F241,$H241,$J241,$L241,$N241,$P241))</f>
        <v>0.158057569680515</v>
      </c>
      <c r="R241" s="46" t="n">
        <f aca="false">IF(COUNT($F241,$H241,$J241,$L241,$N241,$P241)=0,"",MAX($F241,$H241,$J241,$L241,$N241,$P241))</f>
        <v>0.2</v>
      </c>
      <c r="S241" s="61" t="n">
        <f aca="false">IF($A241="","",COUNT($E241,$G241,$I241,$K241,$M241,$O241))</f>
        <v>6</v>
      </c>
    </row>
    <row r="242" customFormat="false" ht="15" hidden="false" customHeight="false" outlineLevel="0" collapsed="false">
      <c r="A242" s="32" t="str">
        <f aca="false">IF(Produtos!$A242="","",Produtos!$A242)</f>
        <v>SP-01</v>
      </c>
      <c r="B242" s="32" t="str">
        <f aca="false">IF(Produtos!$A242="","",Produtos!$B242)</f>
        <v>Coletor Cigarros SPACE 27x92 Aço Inox</v>
      </c>
      <c r="C242" s="32" t="str">
        <f aca="false">IF(Produtos!$A242="","",Produtos!$C242)</f>
        <v>Bituqueiras e cinzeiros</v>
      </c>
      <c r="D242" s="33" t="n">
        <f aca="false">IF(Produtos!$A242="","",IF(Produtos!$D242="","",Produtos!$D242))</f>
        <v>247.86</v>
      </c>
      <c r="E242" s="59" t="n">
        <f aca="false">'ML Clássico'!$K242</f>
        <v>486.2025</v>
      </c>
      <c r="F242" s="60" t="n">
        <f aca="false">'ML Clássico'!$Q242</f>
        <v>0.109285560029</v>
      </c>
      <c r="G242" s="59" t="n">
        <f aca="false">'ML Premium'!$K242</f>
        <v>550.23073875</v>
      </c>
      <c r="H242" s="60" t="n">
        <f aca="false">'ML Premium'!$Q242</f>
        <v>0.155588532141508</v>
      </c>
      <c r="I242" s="59" t="n">
        <f aca="false">Amazon!$K242</f>
        <v>475.31</v>
      </c>
      <c r="J242" s="60" t="n">
        <f aca="false">Amazon!$Q242</f>
        <v>0.218529801603164</v>
      </c>
      <c r="K242" s="59" t="n">
        <f aca="false">'Via (Casas Bahia)'!$K242</f>
        <v>538.826086956522</v>
      </c>
      <c r="L242" s="60" t="n">
        <f aca="false">'Via (Casas Bahia)'!$Q242</f>
        <v>0.2</v>
      </c>
      <c r="M242" s="59" t="n">
        <f aca="false">MadeiraMadeira!$K242</f>
        <v>516.375</v>
      </c>
      <c r="N242" s="60" t="n">
        <f aca="false">MadeiraMadeira!$Q242</f>
        <v>0.2</v>
      </c>
      <c r="O242" s="59" t="n">
        <f aca="false">Magalu!$K242</f>
        <v>505.836734693878</v>
      </c>
      <c r="P242" s="60" t="n">
        <f aca="false">Magalu!$Q242</f>
        <v>0.2</v>
      </c>
      <c r="Q242" s="46" t="n">
        <f aca="false">IF(COUNT($F242,$H242,$J242,$L242,$N242,$P242)=0,"",MIN($F242,$H242,$J242,$L242,$N242,$P242))</f>
        <v>0.109285560029</v>
      </c>
      <c r="R242" s="46" t="n">
        <f aca="false">IF(COUNT($F242,$H242,$J242,$L242,$N242,$P242)=0,"",MAX($F242,$H242,$J242,$L242,$N242,$P242))</f>
        <v>0.218529801603164</v>
      </c>
      <c r="S242" s="61" t="n">
        <f aca="false">IF($A242="","",COUNT($E242,$G242,$I242,$K242,$M242,$O242))</f>
        <v>6</v>
      </c>
    </row>
    <row r="243" customFormat="false" ht="15" hidden="false" customHeight="false" outlineLevel="0" collapsed="false">
      <c r="A243" s="48" t="str">
        <f aca="false">IF(Produtos!$A243="","",Produtos!$A243)</f>
        <v>SP-F</v>
      </c>
      <c r="B243" s="48" t="str">
        <f aca="false">IF(Produtos!$A243="","",Produtos!$B243)</f>
        <v>Coletor Cigarros SPACE FIXO 21x92 Aço Inox</v>
      </c>
      <c r="C243" s="48" t="str">
        <f aca="false">IF(Produtos!$A243="","",Produtos!$C243)</f>
        <v>Bituqueiras e cinzeiros</v>
      </c>
      <c r="D243" s="33" t="n">
        <f aca="false">IF(Produtos!$A243="","",IF(Produtos!$D243="","",Produtos!$D243))</f>
        <v>236.22</v>
      </c>
      <c r="E243" s="62" t="n">
        <f aca="false">'ML Clássico'!$K243</f>
        <v>529.233075</v>
      </c>
      <c r="F243" s="60" t="n">
        <f aca="false">'ML Clássico'!$Q243</f>
        <v>0.187617341140291</v>
      </c>
      <c r="G243" s="62" t="n">
        <f aca="false">'ML Premium'!$K243</f>
        <v>551.283075</v>
      </c>
      <c r="H243" s="60" t="n">
        <f aca="false">'ML Premium'!$Q243</f>
        <v>0.180711261859436</v>
      </c>
      <c r="I243" s="62" t="n">
        <f aca="false">Amazon!$K243</f>
        <v>457.17</v>
      </c>
      <c r="J243" s="60" t="n">
        <f aca="false">Amazon!$Q243</f>
        <v>0.223299429096397</v>
      </c>
      <c r="K243" s="62" t="n">
        <f aca="false">'Via (Casas Bahia)'!$K243</f>
        <v>513.521739130435</v>
      </c>
      <c r="L243" s="60" t="n">
        <f aca="false">'Via (Casas Bahia)'!$Q243</f>
        <v>0.2</v>
      </c>
      <c r="M243" s="62" t="n">
        <f aca="false">MadeiraMadeira!$K243</f>
        <v>492.125</v>
      </c>
      <c r="N243" s="60" t="n">
        <f aca="false">MadeiraMadeira!$Q243</f>
        <v>0.2</v>
      </c>
      <c r="O243" s="62" t="n">
        <f aca="false">Magalu!$K243</f>
        <v>482.081632653061</v>
      </c>
      <c r="P243" s="60" t="n">
        <f aca="false">Magalu!$Q243</f>
        <v>0.2</v>
      </c>
      <c r="Q243" s="46" t="n">
        <f aca="false">IF(COUNT($F243,$H243,$J243,$L243,$N243,$P243)=0,"",MIN($F243,$H243,$J243,$L243,$N243,$P243))</f>
        <v>0.180711261859436</v>
      </c>
      <c r="R243" s="46" t="n">
        <f aca="false">IF(COUNT($F243,$H243,$J243,$L243,$N243,$P243)=0,"",MAX($F243,$H243,$J243,$L243,$N243,$P243))</f>
        <v>0.223299429096397</v>
      </c>
      <c r="S243" s="61" t="n">
        <f aca="false">IF($A243="","",COUNT($E243,$G243,$I243,$K243,$M243,$O243))</f>
        <v>6</v>
      </c>
    </row>
    <row r="244" customFormat="false" ht="15" hidden="false" customHeight="false" outlineLevel="0" collapsed="false">
      <c r="A244" s="32" t="str">
        <f aca="false">IF(Produtos!$A244="","",Produtos!$A244)</f>
        <v>SP-T</v>
      </c>
      <c r="B244" s="32" t="str">
        <f aca="false">IF(Produtos!$A244="","",Produtos!$B244)</f>
        <v>Coletor Cigarros SPACE TORRE 28x92 Aço Inox</v>
      </c>
      <c r="C244" s="32" t="str">
        <f aca="false">IF(Produtos!$A244="","",Produtos!$C244)</f>
        <v>Bituqueiras e cinzeiros</v>
      </c>
      <c r="D244" s="33" t="n">
        <f aca="false">IF(Produtos!$A244="","",IF(Produtos!$D244="","",Produtos!$D244))</f>
        <v>238.66</v>
      </c>
      <c r="E244" s="59" t="n">
        <f aca="false">'ML Clássico'!$K244</f>
        <v>518.25713625</v>
      </c>
      <c r="F244" s="60" t="n">
        <f aca="false">'ML Clássico'!$Q244</f>
        <v>0.167593850920659</v>
      </c>
      <c r="G244" s="59" t="n">
        <f aca="false">'ML Premium'!$K244</f>
        <v>535.25107125</v>
      </c>
      <c r="H244" s="60" t="n">
        <f aca="false">'ML Premium'!$Q244</f>
        <v>0.156561176371023</v>
      </c>
      <c r="I244" s="59" t="n">
        <f aca="false">Amazon!$K244</f>
        <v>462.37</v>
      </c>
      <c r="J244" s="60" t="n">
        <f aca="false">Amazon!$Q244</f>
        <v>0.223833293682549</v>
      </c>
      <c r="K244" s="59" t="n">
        <f aca="false">'Via (Casas Bahia)'!$K244</f>
        <v>518.826086956522</v>
      </c>
      <c r="L244" s="60" t="n">
        <f aca="false">'Via (Casas Bahia)'!$Q244</f>
        <v>0.2</v>
      </c>
      <c r="M244" s="59" t="n">
        <f aca="false">MadeiraMadeira!$K244</f>
        <v>497.208333333333</v>
      </c>
      <c r="N244" s="60" t="n">
        <f aca="false">MadeiraMadeira!$Q244</f>
        <v>0.2</v>
      </c>
      <c r="O244" s="59" t="n">
        <f aca="false">Magalu!$K244</f>
        <v>487.061224489796</v>
      </c>
      <c r="P244" s="60" t="n">
        <f aca="false">Magalu!$Q244</f>
        <v>0.2</v>
      </c>
      <c r="Q244" s="46" t="n">
        <f aca="false">IF(COUNT($F244,$H244,$J244,$L244,$N244,$P244)=0,"",MIN($F244,$H244,$J244,$L244,$N244,$P244))</f>
        <v>0.156561176371023</v>
      </c>
      <c r="R244" s="46" t="n">
        <f aca="false">IF(COUNT($F244,$H244,$J244,$L244,$N244,$P244)=0,"",MAX($F244,$H244,$J244,$L244,$N244,$P244))</f>
        <v>0.223833293682549</v>
      </c>
      <c r="S244" s="61" t="n">
        <f aca="false">IF($A244="","",COUNT($E244,$G244,$I244,$K244,$M244,$O244))</f>
        <v>6</v>
      </c>
    </row>
    <row r="245" customFormat="false" ht="15" hidden="false" customHeight="false" outlineLevel="0" collapsed="false">
      <c r="A245" s="48" t="str">
        <f aca="false">IF(Produtos!$A245="","",Produtos!$A245)</f>
        <v>SP-P</v>
      </c>
      <c r="B245" s="48" t="str">
        <f aca="false">IF(Produtos!$A245="","",Produtos!$B245)</f>
        <v>Coletor Cigarros SPACE PAREDE ø0,76x50 Aço Inox</v>
      </c>
      <c r="C245" s="48" t="str">
        <f aca="false">IF(Produtos!$A245="","",Produtos!$C245)</f>
        <v>Bituqueiras e cinzeiros</v>
      </c>
      <c r="D245" s="33" t="n">
        <f aca="false">IF(Produtos!$A245="","",IF(Produtos!$D245="","",Produtos!$D245))</f>
        <v>139.81</v>
      </c>
      <c r="E245" s="62" t="n">
        <f aca="false">'ML Clássico'!$K245</f>
        <v>286.08386625</v>
      </c>
      <c r="F245" s="60" t="n">
        <f aca="false">'ML Clássico'!$Q245</f>
        <v>0.187337225212189</v>
      </c>
      <c r="G245" s="62" t="n">
        <f aca="false">'ML Premium'!$K245</f>
        <v>299.79014625</v>
      </c>
      <c r="H245" s="60" t="n">
        <f aca="false">'ML Premium'!$Q245</f>
        <v>0.183747725476651</v>
      </c>
      <c r="I245" s="62" t="n">
        <f aca="false">Amazon!$K245</f>
        <v>258.97</v>
      </c>
      <c r="J245" s="60" t="n">
        <f aca="false">Amazon!$Q245</f>
        <v>0.200130517048307</v>
      </c>
      <c r="K245" s="62" t="n">
        <f aca="false">'Via (Casas Bahia)'!$K245</f>
        <v>303.934782608696</v>
      </c>
      <c r="L245" s="60" t="n">
        <f aca="false">'Via (Casas Bahia)'!$Q245</f>
        <v>0.2</v>
      </c>
      <c r="M245" s="62" t="n">
        <f aca="false">MadeiraMadeira!$K245</f>
        <v>291.270833333333</v>
      </c>
      <c r="N245" s="60" t="n">
        <f aca="false">MadeiraMadeira!$Q245</f>
        <v>0.2</v>
      </c>
      <c r="O245" s="62" t="n">
        <f aca="false">Magalu!$K245</f>
        <v>285.326530612245</v>
      </c>
      <c r="P245" s="60" t="n">
        <f aca="false">Magalu!$Q245</f>
        <v>0.2</v>
      </c>
      <c r="Q245" s="46" t="n">
        <f aca="false">IF(COUNT($F245,$H245,$J245,$L245,$N245,$P245)=0,"",MIN($F245,$H245,$J245,$L245,$N245,$P245))</f>
        <v>0.183747725476651</v>
      </c>
      <c r="R245" s="46" t="n">
        <f aca="false">IF(COUNT($F245,$H245,$J245,$L245,$N245,$P245)=0,"",MAX($F245,$H245,$J245,$L245,$N245,$P245))</f>
        <v>0.200130517048307</v>
      </c>
      <c r="S245" s="61" t="n">
        <f aca="false">IF($A245="","",COUNT($E245,$G245,$I245,$K245,$M245,$O245))</f>
        <v>6</v>
      </c>
    </row>
    <row r="246" customFormat="false" ht="15" hidden="false" customHeight="false" outlineLevel="0" collapsed="false">
      <c r="A246" s="32" t="str">
        <f aca="false">IF(Produtos!$A246="","",Produtos!$A246)</f>
        <v>SP-FT</v>
      </c>
      <c r="B246" s="32" t="str">
        <f aca="false">IF(Produtos!$A246="","",Produtos!$B246)</f>
        <v>Tampa Space Fixa</v>
      </c>
      <c r="C246" s="32" t="str">
        <f aca="false">IF(Produtos!$A246="","",Produtos!$C246)</f>
        <v>Bituqueiras e cinzeiros</v>
      </c>
      <c r="D246" s="33" t="n">
        <f aca="false">IF(Produtos!$A246="","",IF(Produtos!$D246="","",Produtos!$D246))</f>
        <v>75</v>
      </c>
      <c r="E246" s="59" t="n">
        <f aca="false">'ML Clássico'!$K246</f>
        <v>138.888888888889</v>
      </c>
      <c r="F246" s="60" t="n">
        <f aca="false">'ML Clássico'!$Q246</f>
        <v>0.2</v>
      </c>
      <c r="G246" s="59" t="n">
        <f aca="false">'ML Premium'!$K246</f>
        <v>153.061224489796</v>
      </c>
      <c r="H246" s="60" t="n">
        <f aca="false">'ML Premium'!$Q246</f>
        <v>0.2</v>
      </c>
      <c r="I246" s="59" t="n">
        <f aca="false">Amazon!$K246</f>
        <v>138.888888888889</v>
      </c>
      <c r="J246" s="60" t="n">
        <f aca="false">Amazon!$Q246</f>
        <v>0.2</v>
      </c>
      <c r="K246" s="59" t="n">
        <f aca="false">'Via (Casas Bahia)'!$K246</f>
        <v>163.04347826087</v>
      </c>
      <c r="L246" s="60" t="n">
        <f aca="false">'Via (Casas Bahia)'!$Q246</f>
        <v>0.2</v>
      </c>
      <c r="M246" s="59" t="n">
        <f aca="false">MadeiraMadeira!$K246</f>
        <v>156.25</v>
      </c>
      <c r="N246" s="60" t="n">
        <f aca="false">MadeiraMadeira!$Q246</f>
        <v>0.2</v>
      </c>
      <c r="O246" s="59" t="n">
        <f aca="false">Magalu!$K246</f>
        <v>153.061224489796</v>
      </c>
      <c r="P246" s="60" t="n">
        <f aca="false">Magalu!$Q246</f>
        <v>0.2</v>
      </c>
      <c r="Q246" s="46" t="n">
        <f aca="false">IF(COUNT($F246,$H246,$J246,$L246,$N246,$P246)=0,"",MIN($F246,$H246,$J246,$L246,$N246,$P246))</f>
        <v>0.2</v>
      </c>
      <c r="R246" s="46" t="n">
        <f aca="false">IF(COUNT($F246,$H246,$J246,$L246,$N246,$P246)=0,"",MAX($F246,$H246,$J246,$L246,$N246,$P246))</f>
        <v>0.2</v>
      </c>
      <c r="S246" s="61" t="n">
        <f aca="false">IF($A246="","",COUNT($E246,$G246,$I246,$K246,$M246,$O246))</f>
        <v>6</v>
      </c>
    </row>
    <row r="247" customFormat="false" ht="15" hidden="false" customHeight="false" outlineLevel="0" collapsed="false">
      <c r="A247" s="48" t="str">
        <f aca="false">IF(Produtos!$A247="","",Produtos!$A247)</f>
        <v>L2450-CZ</v>
      </c>
      <c r="B247" s="48" t="str">
        <f aca="false">IF(Produtos!$A247="","",Produtos!$B247)</f>
        <v>Lixeira Cinzeiro Aço Inox 24x50 25L</v>
      </c>
      <c r="C247" s="48" t="str">
        <f aca="false">IF(Produtos!$A247="","",Produtos!$C247)</f>
        <v>Bituqueiras e cinzeiros</v>
      </c>
      <c r="D247" s="33" t="n">
        <f aca="false">IF(Produtos!$A247="","",IF(Produtos!$D247="","",Produtos!$D247))</f>
        <v>156</v>
      </c>
      <c r="E247" s="62" t="n">
        <f aca="false">'ML Clássico'!$K247</f>
        <v>349.7086875</v>
      </c>
      <c r="F247" s="60" t="n">
        <f aca="false">'ML Clássico'!$Q247</f>
        <v>0.20210291726739</v>
      </c>
      <c r="G247" s="62" t="n">
        <f aca="false">'ML Premium'!$K247</f>
        <v>369.9537975</v>
      </c>
      <c r="H247" s="60" t="n">
        <f aca="false">'ML Premium'!$Q247</f>
        <v>0.20290652959847</v>
      </c>
      <c r="I247" s="62" t="n">
        <f aca="false">Amazon!$K247</f>
        <v>319.58</v>
      </c>
      <c r="J247" s="60" t="n">
        <f aca="false">Amazon!$Q247</f>
        <v>0.251859315351399</v>
      </c>
      <c r="K247" s="62" t="n">
        <f aca="false">'Via (Casas Bahia)'!$K247</f>
        <v>339.130434782609</v>
      </c>
      <c r="L247" s="60" t="n">
        <f aca="false">'Via (Casas Bahia)'!$Q247</f>
        <v>0.2</v>
      </c>
      <c r="M247" s="62" t="n">
        <f aca="false">MadeiraMadeira!$K247</f>
        <v>325</v>
      </c>
      <c r="N247" s="60" t="n">
        <f aca="false">MadeiraMadeira!$Q247</f>
        <v>0.2</v>
      </c>
      <c r="O247" s="62" t="n">
        <f aca="false">Magalu!$K247</f>
        <v>318.367346938776</v>
      </c>
      <c r="P247" s="60" t="n">
        <f aca="false">Magalu!$Q247</f>
        <v>0.2</v>
      </c>
      <c r="Q247" s="46" t="n">
        <f aca="false">IF(COUNT($F247,$H247,$J247,$L247,$N247,$P247)=0,"",MIN($F247,$H247,$J247,$L247,$N247,$P247))</f>
        <v>0.2</v>
      </c>
      <c r="R247" s="46" t="n">
        <f aca="false">IF(COUNT($F247,$H247,$J247,$L247,$N247,$P247)=0,"",MAX($F247,$H247,$J247,$L247,$N247,$P247))</f>
        <v>0.251859315351399</v>
      </c>
      <c r="S247" s="61" t="n">
        <f aca="false">IF($A247="","",COUNT($E247,$G247,$I247,$K247,$M247,$O247))</f>
        <v>6</v>
      </c>
    </row>
    <row r="248" customFormat="false" ht="15" hidden="false" customHeight="false" outlineLevel="0" collapsed="false">
      <c r="A248" s="32" t="str">
        <f aca="false">IF(Produtos!$A248="","",Produtos!$A248)</f>
        <v>L2460-CZ</v>
      </c>
      <c r="B248" s="32" t="str">
        <f aca="false">IF(Produtos!$A248="","",Produtos!$B248)</f>
        <v>Lixeira Cinzeiro Aço Inox 24x60 27L</v>
      </c>
      <c r="C248" s="32" t="str">
        <f aca="false">IF(Produtos!$A248="","",Produtos!$C248)</f>
        <v>Bituqueiras e cinzeiros</v>
      </c>
      <c r="D248" s="33" t="n">
        <f aca="false">IF(Produtos!$A248="","",IF(Produtos!$D248="","",Produtos!$D248))</f>
        <v>159</v>
      </c>
      <c r="E248" s="59" t="n">
        <f aca="false">'ML Clássico'!$K248</f>
        <v>362.88070875</v>
      </c>
      <c r="F248" s="60" t="n">
        <f aca="false">'ML Clássico'!$Q248</f>
        <v>0.18698635820979</v>
      </c>
      <c r="G248" s="59" t="n">
        <f aca="false">'ML Premium'!$K248</f>
        <v>368.77302</v>
      </c>
      <c r="H248" s="60" t="n">
        <f aca="false">'ML Premium'!$Q248</f>
        <v>0.16622194785291</v>
      </c>
      <c r="I248" s="59" t="n">
        <f aca="false">Amazon!$K248</f>
        <v>318.56</v>
      </c>
      <c r="J248" s="60" t="n">
        <f aca="false">Amazon!$Q248</f>
        <v>0.240878955298845</v>
      </c>
      <c r="K248" s="59" t="n">
        <f aca="false">'Via (Casas Bahia)'!$K248</f>
        <v>345.652173913043</v>
      </c>
      <c r="L248" s="60" t="n">
        <f aca="false">'Via (Casas Bahia)'!$Q248</f>
        <v>0.2</v>
      </c>
      <c r="M248" s="59" t="n">
        <f aca="false">MadeiraMadeira!$K248</f>
        <v>331.25</v>
      </c>
      <c r="N248" s="60" t="n">
        <f aca="false">MadeiraMadeira!$Q248</f>
        <v>0.2</v>
      </c>
      <c r="O248" s="59" t="n">
        <f aca="false">Magalu!$K248</f>
        <v>324.489795918367</v>
      </c>
      <c r="P248" s="60" t="n">
        <f aca="false">Magalu!$Q248</f>
        <v>0.2</v>
      </c>
      <c r="Q248" s="46" t="n">
        <f aca="false">IF(COUNT($F248,$H248,$J248,$L248,$N248,$P248)=0,"",MIN($F248,$H248,$J248,$L248,$N248,$P248))</f>
        <v>0.16622194785291</v>
      </c>
      <c r="R248" s="46" t="n">
        <f aca="false">IF(COUNT($F248,$H248,$J248,$L248,$N248,$P248)=0,"",MAX($F248,$H248,$J248,$L248,$N248,$P248))</f>
        <v>0.240878955298845</v>
      </c>
      <c r="S248" s="61" t="n">
        <f aca="false">IF($A248="","",COUNT($E248,$G248,$I248,$K248,$M248,$O248))</f>
        <v>6</v>
      </c>
    </row>
    <row r="249" customFormat="false" ht="15" hidden="false" customHeight="false" outlineLevel="0" collapsed="false">
      <c r="A249" s="48" t="str">
        <f aca="false">IF(Produtos!$A249="","",Produtos!$A249)</f>
        <v>L2470-CZ</v>
      </c>
      <c r="B249" s="48" t="str">
        <f aca="false">IF(Produtos!$A249="","",Produtos!$B249)</f>
        <v>Lixeira Cinzeiro Aço Inox 24x70 30L</v>
      </c>
      <c r="C249" s="48" t="str">
        <f aca="false">IF(Produtos!$A249="","",Produtos!$C249)</f>
        <v>Bituqueiras e cinzeiros</v>
      </c>
      <c r="D249" s="33" t="n">
        <f aca="false">IF(Produtos!$A249="","",IF(Produtos!$D249="","",Produtos!$D249))</f>
        <v>164.3</v>
      </c>
      <c r="E249" s="62" t="n">
        <f aca="false">'ML Clássico'!$K249</f>
        <v>380.766015</v>
      </c>
      <c r="F249" s="60" t="n">
        <f aca="false">'ML Clássico'!$Q249</f>
        <v>0.200217452376888</v>
      </c>
      <c r="G249" s="62" t="n">
        <f aca="false">'ML Premium'!$K249</f>
        <v>402.4617875</v>
      </c>
      <c r="H249" s="60" t="n">
        <f aca="false">'ML Premium'!$Q249</f>
        <v>0.200663556940794</v>
      </c>
      <c r="I249" s="62" t="n">
        <f aca="false">Amazon!$K249</f>
        <v>356.3</v>
      </c>
      <c r="J249" s="60" t="n">
        <f aca="false">Amazon!$Q249</f>
        <v>0.278871737300028</v>
      </c>
      <c r="K249" s="62" t="n">
        <f aca="false">'Via (Casas Bahia)'!$K249</f>
        <v>357.173913043478</v>
      </c>
      <c r="L249" s="60" t="n">
        <f aca="false">'Via (Casas Bahia)'!$Q249</f>
        <v>0.2</v>
      </c>
      <c r="M249" s="62" t="n">
        <f aca="false">MadeiraMadeira!$K249</f>
        <v>342.291666666667</v>
      </c>
      <c r="N249" s="60" t="n">
        <f aca="false">MadeiraMadeira!$Q249</f>
        <v>0.2</v>
      </c>
      <c r="O249" s="62" t="n">
        <f aca="false">Magalu!$K249</f>
        <v>335.30612244898</v>
      </c>
      <c r="P249" s="60" t="n">
        <f aca="false">Magalu!$Q249</f>
        <v>0.2</v>
      </c>
      <c r="Q249" s="46" t="n">
        <f aca="false">IF(COUNT($F249,$H249,$J249,$L249,$N249,$P249)=0,"",MIN($F249,$H249,$J249,$L249,$N249,$P249))</f>
        <v>0.2</v>
      </c>
      <c r="R249" s="46" t="n">
        <f aca="false">IF(COUNT($F249,$H249,$J249,$L249,$N249,$P249)=0,"",MAX($F249,$H249,$J249,$L249,$N249,$P249))</f>
        <v>0.278871737300028</v>
      </c>
      <c r="S249" s="61" t="n">
        <f aca="false">IF($A249="","",COUNT($E249,$G249,$I249,$K249,$M249,$O249))</f>
        <v>6</v>
      </c>
    </row>
    <row r="250" customFormat="false" ht="15" hidden="false" customHeight="false" outlineLevel="0" collapsed="false">
      <c r="A250" s="32" t="str">
        <f aca="false">IF(Produtos!$A250="","",Produtos!$A250)</f>
        <v>L4045-P</v>
      </c>
      <c r="B250" s="32" t="str">
        <f aca="false">IF(Produtos!$A250="","",Produtos!$B250)</f>
        <v>Lixeira de Parede c/Aro 40x19x45 20L</v>
      </c>
      <c r="C250" s="32" t="str">
        <f aca="false">IF(Produtos!$A250="","",Produtos!$C250)</f>
        <v>Lixeiras em inox</v>
      </c>
      <c r="D250" s="33" t="n">
        <f aca="false">IF(Produtos!$A250="","",IF(Produtos!$D250="","",Produtos!$D250))</f>
        <v>277.43</v>
      </c>
      <c r="E250" s="59" t="n">
        <f aca="false">'ML Clássico'!$K250</f>
        <v>513.759259259259</v>
      </c>
      <c r="F250" s="60" t="n">
        <f aca="false">'ML Clássico'!$Q250</f>
        <v>0.2</v>
      </c>
      <c r="G250" s="59" t="n">
        <f aca="false">'ML Premium'!$K250</f>
        <v>566.183673469388</v>
      </c>
      <c r="H250" s="60" t="n">
        <f aca="false">'ML Premium'!$Q250</f>
        <v>0.2</v>
      </c>
      <c r="I250" s="59" t="n">
        <f aca="false">Amazon!$K250</f>
        <v>513.759259259259</v>
      </c>
      <c r="J250" s="60" t="n">
        <f aca="false">Amazon!$Q250</f>
        <v>0.2</v>
      </c>
      <c r="K250" s="59" t="n">
        <f aca="false">'Via (Casas Bahia)'!$K250</f>
        <v>603.108695652174</v>
      </c>
      <c r="L250" s="60" t="n">
        <f aca="false">'Via (Casas Bahia)'!$Q250</f>
        <v>0.2</v>
      </c>
      <c r="M250" s="59" t="n">
        <f aca="false">MadeiraMadeira!$K250</f>
        <v>577.979166666667</v>
      </c>
      <c r="N250" s="60" t="n">
        <f aca="false">MadeiraMadeira!$Q250</f>
        <v>0.2</v>
      </c>
      <c r="O250" s="59" t="n">
        <f aca="false">Magalu!$K250</f>
        <v>566.183673469388</v>
      </c>
      <c r="P250" s="60" t="n">
        <f aca="false">Magalu!$Q250</f>
        <v>0.2</v>
      </c>
      <c r="Q250" s="46" t="n">
        <f aca="false">IF(COUNT($F250,$H250,$J250,$L250,$N250,$P250)=0,"",MIN($F250,$H250,$J250,$L250,$N250,$P250))</f>
        <v>0.2</v>
      </c>
      <c r="R250" s="46" t="n">
        <f aca="false">IF(COUNT($F250,$H250,$J250,$L250,$N250,$P250)=0,"",MAX($F250,$H250,$J250,$L250,$N250,$P250))</f>
        <v>0.2</v>
      </c>
      <c r="S250" s="61" t="n">
        <f aca="false">IF($A250="","",COUNT($E250,$G250,$I250,$K250,$M250,$O250))</f>
        <v>6</v>
      </c>
    </row>
    <row r="251" customFormat="false" ht="15" hidden="false" customHeight="false" outlineLevel="0" collapsed="false">
      <c r="A251" s="48" t="str">
        <f aca="false">IF(Produtos!$A251="","",Produtos!$A251)</f>
        <v>L4055-P</v>
      </c>
      <c r="B251" s="48" t="str">
        <f aca="false">IF(Produtos!$A251="","",Produtos!$B251)</f>
        <v>Lixeira de Parede c/Aro 40x19x55 25L</v>
      </c>
      <c r="C251" s="48" t="str">
        <f aca="false">IF(Produtos!$A251="","",Produtos!$C251)</f>
        <v>Lixeiras em inox</v>
      </c>
      <c r="D251" s="33" t="n">
        <f aca="false">IF(Produtos!$A251="","",IF(Produtos!$D251="","",Produtos!$D251))</f>
        <v>288.65</v>
      </c>
      <c r="E251" s="62" t="n">
        <f aca="false">'ML Clássico'!$K251</f>
        <v>534.537037037037</v>
      </c>
      <c r="F251" s="60" t="n">
        <f aca="false">'ML Clássico'!$Q251</f>
        <v>0.2</v>
      </c>
      <c r="G251" s="62" t="n">
        <f aca="false">'ML Premium'!$K251</f>
        <v>589.081632653061</v>
      </c>
      <c r="H251" s="60" t="n">
        <f aca="false">'ML Premium'!$Q251</f>
        <v>0.2</v>
      </c>
      <c r="I251" s="62" t="n">
        <f aca="false">Amazon!$K251</f>
        <v>534.537037037037</v>
      </c>
      <c r="J251" s="60" t="n">
        <f aca="false">Amazon!$Q251</f>
        <v>0.2</v>
      </c>
      <c r="K251" s="62" t="n">
        <f aca="false">'Via (Casas Bahia)'!$K251</f>
        <v>627.5</v>
      </c>
      <c r="L251" s="60" t="n">
        <f aca="false">'Via (Casas Bahia)'!$Q251</f>
        <v>0.2</v>
      </c>
      <c r="M251" s="62" t="n">
        <f aca="false">MadeiraMadeira!$K251</f>
        <v>601.354166666667</v>
      </c>
      <c r="N251" s="60" t="n">
        <f aca="false">MadeiraMadeira!$Q251</f>
        <v>0.2</v>
      </c>
      <c r="O251" s="62" t="n">
        <f aca="false">Magalu!$K251</f>
        <v>589.081632653061</v>
      </c>
      <c r="P251" s="60" t="n">
        <f aca="false">Magalu!$Q251</f>
        <v>0.2</v>
      </c>
      <c r="Q251" s="46" t="n">
        <f aca="false">IF(COUNT($F251,$H251,$J251,$L251,$N251,$P251)=0,"",MIN($F251,$H251,$J251,$L251,$N251,$P251))</f>
        <v>0.2</v>
      </c>
      <c r="R251" s="46" t="n">
        <f aca="false">IF(COUNT($F251,$H251,$J251,$L251,$N251,$P251)=0,"",MAX($F251,$H251,$J251,$L251,$N251,$P251))</f>
        <v>0.2</v>
      </c>
      <c r="S251" s="61" t="n">
        <f aca="false">IF($A251="","",COUNT($E251,$G251,$I251,$K251,$M251,$O251))</f>
        <v>6</v>
      </c>
    </row>
    <row r="252" customFormat="false" ht="15" hidden="false" customHeight="false" outlineLevel="0" collapsed="false">
      <c r="A252" s="32" t="str">
        <f aca="false">IF(Produtos!$A252="","",Produtos!$A252)</f>
        <v>L4060-P</v>
      </c>
      <c r="B252" s="32" t="str">
        <f aca="false">IF(Produtos!$A252="","",Produtos!$B252)</f>
        <v>Lixeira de Parede c/Aro 40x19x60 30L</v>
      </c>
      <c r="C252" s="32" t="str">
        <f aca="false">IF(Produtos!$A252="","",Produtos!$C252)</f>
        <v>Lixeiras em inox</v>
      </c>
      <c r="D252" s="33" t="n">
        <f aca="false">IF(Produtos!$A252="","",IF(Produtos!$D252="","",Produtos!$D252))</f>
        <v>297.96</v>
      </c>
      <c r="E252" s="59" t="n">
        <f aca="false">'ML Clássico'!$K252</f>
        <v>551.777777777778</v>
      </c>
      <c r="F252" s="60" t="n">
        <f aca="false">'ML Clássico'!$Q252</f>
        <v>0.2</v>
      </c>
      <c r="G252" s="59" t="n">
        <f aca="false">'ML Premium'!$K252</f>
        <v>608.081632653061</v>
      </c>
      <c r="H252" s="60" t="n">
        <f aca="false">'ML Premium'!$Q252</f>
        <v>0.2</v>
      </c>
      <c r="I252" s="59" t="n">
        <f aca="false">Amazon!$K252</f>
        <v>551.777777777778</v>
      </c>
      <c r="J252" s="60" t="n">
        <f aca="false">Amazon!$Q252</f>
        <v>0.2</v>
      </c>
      <c r="K252" s="59" t="n">
        <f aca="false">'Via (Casas Bahia)'!$K252</f>
        <v>647.739130434783</v>
      </c>
      <c r="L252" s="60" t="n">
        <f aca="false">'Via (Casas Bahia)'!$Q252</f>
        <v>0.2</v>
      </c>
      <c r="M252" s="59" t="n">
        <f aca="false">MadeiraMadeira!$K252</f>
        <v>620.75</v>
      </c>
      <c r="N252" s="60" t="n">
        <f aca="false">MadeiraMadeira!$Q252</f>
        <v>0.2</v>
      </c>
      <c r="O252" s="59" t="n">
        <f aca="false">Magalu!$K252</f>
        <v>608.081632653061</v>
      </c>
      <c r="P252" s="60" t="n">
        <f aca="false">Magalu!$Q252</f>
        <v>0.2</v>
      </c>
      <c r="Q252" s="46" t="n">
        <f aca="false">IF(COUNT($F252,$H252,$J252,$L252,$N252,$P252)=0,"",MIN($F252,$H252,$J252,$L252,$N252,$P252))</f>
        <v>0.2</v>
      </c>
      <c r="R252" s="46" t="n">
        <f aca="false">IF(COUNT($F252,$H252,$J252,$L252,$N252,$P252)=0,"",MAX($F252,$H252,$J252,$L252,$N252,$P252))</f>
        <v>0.2</v>
      </c>
      <c r="S252" s="61" t="n">
        <f aca="false">IF($A252="","",COUNT($E252,$G252,$I252,$K252,$M252,$O252))</f>
        <v>6</v>
      </c>
    </row>
    <row r="253" customFormat="false" ht="15" hidden="false" customHeight="false" outlineLevel="0" collapsed="false">
      <c r="A253" s="48" t="str">
        <f aca="false">IF(Produtos!$A253="","",Produtos!$A253)</f>
        <v>L4065-P</v>
      </c>
      <c r="B253" s="48" t="str">
        <f aca="false">IF(Produtos!$A253="","",Produtos!$B253)</f>
        <v>Lixeira de Parede c/Aro 40x19x65 35L</v>
      </c>
      <c r="C253" s="48" t="str">
        <f aca="false">IF(Produtos!$A253="","",Produtos!$C253)</f>
        <v>Lixeiras em inox</v>
      </c>
      <c r="D253" s="33" t="n">
        <f aca="false">IF(Produtos!$A253="","",IF(Produtos!$D253="","",Produtos!$D253))</f>
        <v>388.44</v>
      </c>
      <c r="E253" s="62" t="n">
        <f aca="false">'ML Clássico'!$K253</f>
        <v>719.333333333333</v>
      </c>
      <c r="F253" s="60" t="n">
        <f aca="false">'ML Clássico'!$Q253</f>
        <v>0.2</v>
      </c>
      <c r="G253" s="62" t="n">
        <f aca="false">'ML Premium'!$K253</f>
        <v>792.734693877551</v>
      </c>
      <c r="H253" s="60" t="n">
        <f aca="false">'ML Premium'!$Q253</f>
        <v>0.2</v>
      </c>
      <c r="I253" s="62" t="n">
        <f aca="false">Amazon!$K253</f>
        <v>719.333333333333</v>
      </c>
      <c r="J253" s="60" t="n">
        <f aca="false">Amazon!$Q253</f>
        <v>0.2</v>
      </c>
      <c r="K253" s="62" t="n">
        <f aca="false">'Via (Casas Bahia)'!$K253</f>
        <v>844.434782608696</v>
      </c>
      <c r="L253" s="60" t="n">
        <f aca="false">'Via (Casas Bahia)'!$Q253</f>
        <v>0.2</v>
      </c>
      <c r="M253" s="62" t="n">
        <f aca="false">MadeiraMadeira!$K253</f>
        <v>809.25</v>
      </c>
      <c r="N253" s="60" t="n">
        <f aca="false">MadeiraMadeira!$Q253</f>
        <v>0.2</v>
      </c>
      <c r="O253" s="62" t="n">
        <f aca="false">Magalu!$K253</f>
        <v>792.734693877551</v>
      </c>
      <c r="P253" s="60" t="n">
        <f aca="false">Magalu!$Q253</f>
        <v>0.2</v>
      </c>
      <c r="Q253" s="46" t="n">
        <f aca="false">IF(COUNT($F253,$H253,$J253,$L253,$N253,$P253)=0,"",MIN($F253,$H253,$J253,$L253,$N253,$P253))</f>
        <v>0.2</v>
      </c>
      <c r="R253" s="46" t="n">
        <f aca="false">IF(COUNT($F253,$H253,$J253,$L253,$N253,$P253)=0,"",MAX($F253,$H253,$J253,$L253,$N253,$P253))</f>
        <v>0.2</v>
      </c>
      <c r="S253" s="61" t="n">
        <f aca="false">IF($A253="","",COUNT($E253,$G253,$I253,$K253,$M253,$O253))</f>
        <v>6</v>
      </c>
    </row>
    <row r="254" customFormat="false" ht="15" hidden="false" customHeight="false" outlineLevel="0" collapsed="false">
      <c r="A254" s="32" t="str">
        <f aca="false">IF(Produtos!$A254="","",Produtos!$A254)</f>
        <v>L4070-P</v>
      </c>
      <c r="B254" s="32" t="str">
        <f aca="false">IF(Produtos!$A254="","",Produtos!$B254)</f>
        <v>Lixeira de Parede c/Aro 40x19x70 40L</v>
      </c>
      <c r="C254" s="32" t="str">
        <f aca="false">IF(Produtos!$A254="","",Produtos!$C254)</f>
        <v>Lixeiras em inox</v>
      </c>
      <c r="D254" s="33" t="n">
        <f aca="false">IF(Produtos!$A254="","",IF(Produtos!$D254="","",Produtos!$D254))</f>
        <v>394.64</v>
      </c>
      <c r="E254" s="59" t="n">
        <f aca="false">'ML Clássico'!$K254</f>
        <v>730.814814814815</v>
      </c>
      <c r="F254" s="60" t="n">
        <f aca="false">'ML Clássico'!$Q254</f>
        <v>0.2</v>
      </c>
      <c r="G254" s="59" t="n">
        <f aca="false">'ML Premium'!$K254</f>
        <v>805.387755102041</v>
      </c>
      <c r="H254" s="60" t="n">
        <f aca="false">'ML Premium'!$Q254</f>
        <v>0.2</v>
      </c>
      <c r="I254" s="59" t="n">
        <f aca="false">Amazon!$K254</f>
        <v>730.814814814815</v>
      </c>
      <c r="J254" s="60" t="n">
        <f aca="false">Amazon!$Q254</f>
        <v>0.2</v>
      </c>
      <c r="K254" s="59" t="n">
        <f aca="false">'Via (Casas Bahia)'!$K254</f>
        <v>857.913043478261</v>
      </c>
      <c r="L254" s="60" t="n">
        <f aca="false">'Via (Casas Bahia)'!$Q254</f>
        <v>0.2</v>
      </c>
      <c r="M254" s="59" t="n">
        <f aca="false">MadeiraMadeira!$K254</f>
        <v>822.166666666667</v>
      </c>
      <c r="N254" s="60" t="n">
        <f aca="false">MadeiraMadeira!$Q254</f>
        <v>0.2</v>
      </c>
      <c r="O254" s="59" t="n">
        <f aca="false">Magalu!$K254</f>
        <v>805.387755102041</v>
      </c>
      <c r="P254" s="60" t="n">
        <f aca="false">Magalu!$Q254</f>
        <v>0.2</v>
      </c>
      <c r="Q254" s="46" t="n">
        <f aca="false">IF(COUNT($F254,$H254,$J254,$L254,$N254,$P254)=0,"",MIN($F254,$H254,$J254,$L254,$N254,$P254))</f>
        <v>0.2</v>
      </c>
      <c r="R254" s="46" t="n">
        <f aca="false">IF(COUNT($F254,$H254,$J254,$L254,$N254,$P254)=0,"",MAX($F254,$H254,$J254,$L254,$N254,$P254))</f>
        <v>0.2</v>
      </c>
      <c r="S254" s="61" t="n">
        <f aca="false">IF($A254="","",COUNT($E254,$G254,$I254,$K254,$M254,$O254))</f>
        <v>6</v>
      </c>
    </row>
    <row r="255" customFormat="false" ht="15" hidden="false" customHeight="false" outlineLevel="0" collapsed="false">
      <c r="A255" s="48" t="str">
        <f aca="false">IF(Produtos!$A255="","",Produtos!$A255)</f>
        <v>L4080-P</v>
      </c>
      <c r="B255" s="48" t="str">
        <f aca="false">IF(Produtos!$A255="","",Produtos!$B255)</f>
        <v>Lixeira de Parede c/Aro 40x19x80 50L</v>
      </c>
      <c r="C255" s="48" t="str">
        <f aca="false">IF(Produtos!$A255="","",Produtos!$C255)</f>
        <v>Lixeiras em inox</v>
      </c>
      <c r="D255" s="33" t="n">
        <f aca="false">IF(Produtos!$A255="","",IF(Produtos!$D255="","",Produtos!$D255))</f>
        <v>401</v>
      </c>
      <c r="E255" s="62" t="n">
        <f aca="false">'ML Clássico'!$K255</f>
        <v>742.592592592593</v>
      </c>
      <c r="F255" s="60" t="n">
        <f aca="false">'ML Clássico'!$Q255</f>
        <v>0.2</v>
      </c>
      <c r="G255" s="62" t="n">
        <f aca="false">'ML Premium'!$K255</f>
        <v>818.367346938775</v>
      </c>
      <c r="H255" s="60" t="n">
        <f aca="false">'ML Premium'!$Q255</f>
        <v>0.2</v>
      </c>
      <c r="I255" s="62" t="n">
        <f aca="false">Amazon!$K255</f>
        <v>742.592592592593</v>
      </c>
      <c r="J255" s="60" t="n">
        <f aca="false">Amazon!$Q255</f>
        <v>0.2</v>
      </c>
      <c r="K255" s="62" t="n">
        <f aca="false">'Via (Casas Bahia)'!$K255</f>
        <v>871.739130434783</v>
      </c>
      <c r="L255" s="60" t="n">
        <f aca="false">'Via (Casas Bahia)'!$Q255</f>
        <v>0.2</v>
      </c>
      <c r="M255" s="62" t="n">
        <f aca="false">MadeiraMadeira!$K255</f>
        <v>835.416666666667</v>
      </c>
      <c r="N255" s="60" t="n">
        <f aca="false">MadeiraMadeira!$Q255</f>
        <v>0.2</v>
      </c>
      <c r="O255" s="62" t="n">
        <f aca="false">Magalu!$K255</f>
        <v>818.367346938775</v>
      </c>
      <c r="P255" s="60" t="n">
        <f aca="false">Magalu!$Q255</f>
        <v>0.2</v>
      </c>
      <c r="Q255" s="46" t="n">
        <f aca="false">IF(COUNT($F255,$H255,$J255,$L255,$N255,$P255)=0,"",MIN($F255,$H255,$J255,$L255,$N255,$P255))</f>
        <v>0.2</v>
      </c>
      <c r="R255" s="46" t="n">
        <f aca="false">IF(COUNT($F255,$H255,$J255,$L255,$N255,$P255)=0,"",MAX($F255,$H255,$J255,$L255,$N255,$P255))</f>
        <v>0.2</v>
      </c>
      <c r="S255" s="61" t="n">
        <f aca="false">IF($A255="","",COUNT($E255,$G255,$I255,$K255,$M255,$O255))</f>
        <v>6</v>
      </c>
    </row>
    <row r="256" customFormat="false" ht="15" hidden="false" customHeight="false" outlineLevel="0" collapsed="false">
      <c r="A256" s="32" t="str">
        <f aca="false">IF(Produtos!$A256="","",Produtos!$A256)</f>
        <v>L4045-PC</v>
      </c>
      <c r="B256" s="32" t="str">
        <f aca="false">IF(Produtos!$A256="","",Produtos!$B256)</f>
        <v>Lixeira de Parede c/Aro Colorido 40x19x45 20L</v>
      </c>
      <c r="C256" s="32" t="str">
        <f aca="false">IF(Produtos!$A256="","",Produtos!$C256)</f>
        <v>Lixeiras em inox</v>
      </c>
      <c r="D256" s="33" t="n">
        <f aca="false">IF(Produtos!$A256="","",IF(Produtos!$D256="","",Produtos!$D256))</f>
        <v>291.85</v>
      </c>
      <c r="E256" s="59" t="n">
        <f aca="false">'ML Clássico'!$K256</f>
        <v>540.462962962963</v>
      </c>
      <c r="F256" s="60" t="n">
        <f aca="false">'ML Clássico'!$Q256</f>
        <v>0.2</v>
      </c>
      <c r="G256" s="59" t="n">
        <f aca="false">'ML Premium'!$K256</f>
        <v>595.612244897959</v>
      </c>
      <c r="H256" s="60" t="n">
        <f aca="false">'ML Premium'!$Q256</f>
        <v>0.2</v>
      </c>
      <c r="I256" s="59" t="n">
        <f aca="false">Amazon!$K256</f>
        <v>540.462962962963</v>
      </c>
      <c r="J256" s="60" t="n">
        <f aca="false">Amazon!$Q256</f>
        <v>0.2</v>
      </c>
      <c r="K256" s="59" t="n">
        <f aca="false">'Via (Casas Bahia)'!$K256</f>
        <v>634.456521739131</v>
      </c>
      <c r="L256" s="60" t="n">
        <f aca="false">'Via (Casas Bahia)'!$Q256</f>
        <v>0.2</v>
      </c>
      <c r="M256" s="59" t="n">
        <f aca="false">MadeiraMadeira!$K256</f>
        <v>608.020833333333</v>
      </c>
      <c r="N256" s="60" t="n">
        <f aca="false">MadeiraMadeira!$Q256</f>
        <v>0.2</v>
      </c>
      <c r="O256" s="59" t="n">
        <f aca="false">Magalu!$K256</f>
        <v>595.612244897959</v>
      </c>
      <c r="P256" s="60" t="n">
        <f aca="false">Magalu!$Q256</f>
        <v>0.2</v>
      </c>
      <c r="Q256" s="46" t="n">
        <f aca="false">IF(COUNT($F256,$H256,$J256,$L256,$N256,$P256)=0,"",MIN($F256,$H256,$J256,$L256,$N256,$P256))</f>
        <v>0.2</v>
      </c>
      <c r="R256" s="46" t="n">
        <f aca="false">IF(COUNT($F256,$H256,$J256,$L256,$N256,$P256)=0,"",MAX($F256,$H256,$J256,$L256,$N256,$P256))</f>
        <v>0.2</v>
      </c>
      <c r="S256" s="61" t="n">
        <f aca="false">IF($A256="","",COUNT($E256,$G256,$I256,$K256,$M256,$O256))</f>
        <v>6</v>
      </c>
    </row>
    <row r="257" customFormat="false" ht="15" hidden="false" customHeight="false" outlineLevel="0" collapsed="false">
      <c r="A257" s="48" t="str">
        <f aca="false">IF(Produtos!$A257="","",Produtos!$A257)</f>
        <v>L4055-PC</v>
      </c>
      <c r="B257" s="48" t="str">
        <f aca="false">IF(Produtos!$A257="","",Produtos!$B257)</f>
        <v>Lixeira de Parede c/Aro Colorido 40x19x55 25L</v>
      </c>
      <c r="C257" s="48" t="str">
        <f aca="false">IF(Produtos!$A257="","",Produtos!$C257)</f>
        <v>Lixeiras em inox</v>
      </c>
      <c r="D257" s="33" t="n">
        <f aca="false">IF(Produtos!$A257="","",IF(Produtos!$D257="","",Produtos!$D257))</f>
        <v>301.44</v>
      </c>
      <c r="E257" s="62" t="n">
        <f aca="false">'ML Clássico'!$K257</f>
        <v>558.222222222222</v>
      </c>
      <c r="F257" s="60" t="n">
        <f aca="false">'ML Clássico'!$Q257</f>
        <v>0.2</v>
      </c>
      <c r="G257" s="62" t="n">
        <f aca="false">'ML Premium'!$K257</f>
        <v>615.183673469388</v>
      </c>
      <c r="H257" s="60" t="n">
        <f aca="false">'ML Premium'!$Q257</f>
        <v>0.2</v>
      </c>
      <c r="I257" s="62" t="n">
        <f aca="false">Amazon!$K257</f>
        <v>558.222222222222</v>
      </c>
      <c r="J257" s="60" t="n">
        <f aca="false">Amazon!$Q257</f>
        <v>0.2</v>
      </c>
      <c r="K257" s="62" t="n">
        <f aca="false">'Via (Casas Bahia)'!$K257</f>
        <v>655.304347826087</v>
      </c>
      <c r="L257" s="60" t="n">
        <f aca="false">'Via (Casas Bahia)'!$Q257</f>
        <v>0.2</v>
      </c>
      <c r="M257" s="62" t="n">
        <f aca="false">MadeiraMadeira!$K257</f>
        <v>628</v>
      </c>
      <c r="N257" s="60" t="n">
        <f aca="false">MadeiraMadeira!$Q257</f>
        <v>0.2</v>
      </c>
      <c r="O257" s="62" t="n">
        <f aca="false">Magalu!$K257</f>
        <v>615.183673469388</v>
      </c>
      <c r="P257" s="60" t="n">
        <f aca="false">Magalu!$Q257</f>
        <v>0.2</v>
      </c>
      <c r="Q257" s="46" t="n">
        <f aca="false">IF(COUNT($F257,$H257,$J257,$L257,$N257,$P257)=0,"",MIN($F257,$H257,$J257,$L257,$N257,$P257))</f>
        <v>0.2</v>
      </c>
      <c r="R257" s="46" t="n">
        <f aca="false">IF(COUNT($F257,$H257,$J257,$L257,$N257,$P257)=0,"",MAX($F257,$H257,$J257,$L257,$N257,$P257))</f>
        <v>0.2</v>
      </c>
      <c r="S257" s="61" t="n">
        <f aca="false">IF($A257="","",COUNT($E257,$G257,$I257,$K257,$M257,$O257))</f>
        <v>6</v>
      </c>
    </row>
    <row r="258" customFormat="false" ht="15" hidden="false" customHeight="false" outlineLevel="0" collapsed="false">
      <c r="A258" s="32" t="str">
        <f aca="false">IF(Produtos!$A258="","",Produtos!$A258)</f>
        <v>L4060-PC</v>
      </c>
      <c r="B258" s="32" t="str">
        <f aca="false">IF(Produtos!$A258="","",Produtos!$B258)</f>
        <v>Lixeira de Parede c/Aro Colorido 40x19x60 30L</v>
      </c>
      <c r="C258" s="32" t="str">
        <f aca="false">IF(Produtos!$A258="","",Produtos!$C258)</f>
        <v>Lixeiras em inox</v>
      </c>
      <c r="D258" s="33" t="n">
        <f aca="false">IF(Produtos!$A258="","",IF(Produtos!$D258="","",Produtos!$D258))</f>
        <v>314.8</v>
      </c>
      <c r="E258" s="59" t="n">
        <f aca="false">'ML Clássico'!$K258</f>
        <v>582.962962962963</v>
      </c>
      <c r="F258" s="60" t="n">
        <f aca="false">'ML Clássico'!$Q258</f>
        <v>0.2</v>
      </c>
      <c r="G258" s="59" t="n">
        <f aca="false">'ML Premium'!$K258</f>
        <v>642.448979591837</v>
      </c>
      <c r="H258" s="60" t="n">
        <f aca="false">'ML Premium'!$Q258</f>
        <v>0.2</v>
      </c>
      <c r="I258" s="59" t="n">
        <f aca="false">Amazon!$K258</f>
        <v>582.962962962963</v>
      </c>
      <c r="J258" s="60" t="n">
        <f aca="false">Amazon!$Q258</f>
        <v>0.2</v>
      </c>
      <c r="K258" s="59" t="n">
        <f aca="false">'Via (Casas Bahia)'!$K258</f>
        <v>684.347826086957</v>
      </c>
      <c r="L258" s="60" t="n">
        <f aca="false">'Via (Casas Bahia)'!$Q258</f>
        <v>0.2</v>
      </c>
      <c r="M258" s="59" t="n">
        <f aca="false">MadeiraMadeira!$K258</f>
        <v>655.833333333333</v>
      </c>
      <c r="N258" s="60" t="n">
        <f aca="false">MadeiraMadeira!$Q258</f>
        <v>0.2</v>
      </c>
      <c r="O258" s="59" t="n">
        <f aca="false">Magalu!$K258</f>
        <v>642.448979591837</v>
      </c>
      <c r="P258" s="60" t="n">
        <f aca="false">Magalu!$Q258</f>
        <v>0.2</v>
      </c>
      <c r="Q258" s="46" t="n">
        <f aca="false">IF(COUNT($F258,$H258,$J258,$L258,$N258,$P258)=0,"",MIN($F258,$H258,$J258,$L258,$N258,$P258))</f>
        <v>0.2</v>
      </c>
      <c r="R258" s="46" t="n">
        <f aca="false">IF(COUNT($F258,$H258,$J258,$L258,$N258,$P258)=0,"",MAX($F258,$H258,$J258,$L258,$N258,$P258))</f>
        <v>0.2</v>
      </c>
      <c r="S258" s="61" t="n">
        <f aca="false">IF($A258="","",COUNT($E258,$G258,$I258,$K258,$M258,$O258))</f>
        <v>6</v>
      </c>
    </row>
    <row r="259" customFormat="false" ht="15" hidden="false" customHeight="false" outlineLevel="0" collapsed="false">
      <c r="A259" s="48" t="str">
        <f aca="false">IF(Produtos!$A259="","",Produtos!$A259)</f>
        <v>L4065-PC</v>
      </c>
      <c r="B259" s="48" t="str">
        <f aca="false">IF(Produtos!$A259="","",Produtos!$B259)</f>
        <v>Lixeira de Parede c/Aro Colorido 40x19x65 35L</v>
      </c>
      <c r="C259" s="48" t="str">
        <f aca="false">IF(Produtos!$A259="","",Produtos!$C259)</f>
        <v>Lixeiras em inox</v>
      </c>
      <c r="D259" s="33" t="n">
        <f aca="false">IF(Produtos!$A259="","",IF(Produtos!$D259="","",Produtos!$D259))</f>
        <v>405.46</v>
      </c>
      <c r="E259" s="62" t="n">
        <f aca="false">'ML Clássico'!$K259</f>
        <v>750.851851851852</v>
      </c>
      <c r="F259" s="60" t="n">
        <f aca="false">'ML Clássico'!$Q259</f>
        <v>0.2</v>
      </c>
      <c r="G259" s="62" t="n">
        <f aca="false">'ML Premium'!$K259</f>
        <v>827.469387755102</v>
      </c>
      <c r="H259" s="60" t="n">
        <f aca="false">'ML Premium'!$Q259</f>
        <v>0.2</v>
      </c>
      <c r="I259" s="62" t="n">
        <f aca="false">Amazon!$K259</f>
        <v>750.851851851852</v>
      </c>
      <c r="J259" s="60" t="n">
        <f aca="false">Amazon!$Q259</f>
        <v>0.2</v>
      </c>
      <c r="K259" s="62" t="n">
        <f aca="false">'Via (Casas Bahia)'!$K259</f>
        <v>881.434782608696</v>
      </c>
      <c r="L259" s="60" t="n">
        <f aca="false">'Via (Casas Bahia)'!$Q259</f>
        <v>0.2</v>
      </c>
      <c r="M259" s="62" t="n">
        <f aca="false">MadeiraMadeira!$K259</f>
        <v>844.708333333333</v>
      </c>
      <c r="N259" s="60" t="n">
        <f aca="false">MadeiraMadeira!$Q259</f>
        <v>0.2</v>
      </c>
      <c r="O259" s="62" t="n">
        <f aca="false">Magalu!$K259</f>
        <v>827.469387755102</v>
      </c>
      <c r="P259" s="60" t="n">
        <f aca="false">Magalu!$Q259</f>
        <v>0.2</v>
      </c>
      <c r="Q259" s="46" t="n">
        <f aca="false">IF(COUNT($F259,$H259,$J259,$L259,$N259,$P259)=0,"",MIN($F259,$H259,$J259,$L259,$N259,$P259))</f>
        <v>0.2</v>
      </c>
      <c r="R259" s="46" t="n">
        <f aca="false">IF(COUNT($F259,$H259,$J259,$L259,$N259,$P259)=0,"",MAX($F259,$H259,$J259,$L259,$N259,$P259))</f>
        <v>0.2</v>
      </c>
      <c r="S259" s="61" t="n">
        <f aca="false">IF($A259="","",COUNT($E259,$G259,$I259,$K259,$M259,$O259))</f>
        <v>6</v>
      </c>
    </row>
    <row r="260" customFormat="false" ht="15" hidden="false" customHeight="false" outlineLevel="0" collapsed="false">
      <c r="A260" s="32" t="str">
        <f aca="false">IF(Produtos!$A260="","",Produtos!$A260)</f>
        <v>L4070-PC</v>
      </c>
      <c r="B260" s="32" t="str">
        <f aca="false">IF(Produtos!$A260="","",Produtos!$B260)</f>
        <v>Lixeira de Parede c/Aro Colorido 40x19x70 40L</v>
      </c>
      <c r="C260" s="32" t="str">
        <f aca="false">IF(Produtos!$A260="","",Produtos!$C260)</f>
        <v>Lixeiras em inox</v>
      </c>
      <c r="D260" s="33" t="n">
        <f aca="false">IF(Produtos!$A260="","",IF(Produtos!$D260="","",Produtos!$D260))</f>
        <v>428.69</v>
      </c>
      <c r="E260" s="59" t="n">
        <f aca="false">'ML Clássico'!$K260</f>
        <v>793.87037037037</v>
      </c>
      <c r="F260" s="60" t="n">
        <f aca="false">'ML Clássico'!$Q260</f>
        <v>0.2</v>
      </c>
      <c r="G260" s="59" t="n">
        <f aca="false">'ML Premium'!$K260</f>
        <v>874.877551020408</v>
      </c>
      <c r="H260" s="60" t="n">
        <f aca="false">'ML Premium'!$Q260</f>
        <v>0.2</v>
      </c>
      <c r="I260" s="59" t="n">
        <f aca="false">Amazon!$K260</f>
        <v>793.87037037037</v>
      </c>
      <c r="J260" s="60" t="n">
        <f aca="false">Amazon!$Q260</f>
        <v>0.2</v>
      </c>
      <c r="K260" s="59" t="n">
        <f aca="false">'Via (Casas Bahia)'!$K260</f>
        <v>931.934782608696</v>
      </c>
      <c r="L260" s="60" t="n">
        <f aca="false">'Via (Casas Bahia)'!$Q260</f>
        <v>0.2</v>
      </c>
      <c r="M260" s="59" t="n">
        <f aca="false">MadeiraMadeira!$K260</f>
        <v>893.104166666667</v>
      </c>
      <c r="N260" s="60" t="n">
        <f aca="false">MadeiraMadeira!$Q260</f>
        <v>0.2</v>
      </c>
      <c r="O260" s="59" t="n">
        <f aca="false">Magalu!$K260</f>
        <v>874.877551020408</v>
      </c>
      <c r="P260" s="60" t="n">
        <f aca="false">Magalu!$Q260</f>
        <v>0.2</v>
      </c>
      <c r="Q260" s="46" t="n">
        <f aca="false">IF(COUNT($F260,$H260,$J260,$L260,$N260,$P260)=0,"",MIN($F260,$H260,$J260,$L260,$N260,$P260))</f>
        <v>0.2</v>
      </c>
      <c r="R260" s="46" t="n">
        <f aca="false">IF(COUNT($F260,$H260,$J260,$L260,$N260,$P260)=0,"",MAX($F260,$H260,$J260,$L260,$N260,$P260))</f>
        <v>0.2</v>
      </c>
      <c r="S260" s="61" t="n">
        <f aca="false">IF($A260="","",COUNT($E260,$G260,$I260,$K260,$M260,$O260))</f>
        <v>6</v>
      </c>
    </row>
    <row r="261" customFormat="false" ht="15" hidden="false" customHeight="false" outlineLevel="0" collapsed="false">
      <c r="A261" s="48" t="str">
        <f aca="false">IF(Produtos!$A261="","",Produtos!$A261)</f>
        <v>L4080-PC</v>
      </c>
      <c r="B261" s="48" t="str">
        <f aca="false">IF(Produtos!$A261="","",Produtos!$B261)</f>
        <v>Lixeira de Parede c/Aro Colorido 40x19x80 50L</v>
      </c>
      <c r="C261" s="48" t="str">
        <f aca="false">IF(Produtos!$A261="","",Produtos!$C261)</f>
        <v>Lixeiras em inox</v>
      </c>
      <c r="D261" s="33" t="n">
        <f aca="false">IF(Produtos!$A261="","",IF(Produtos!$D261="","",Produtos!$D261))</f>
        <v>418.39</v>
      </c>
      <c r="E261" s="62" t="n">
        <f aca="false">'ML Clássico'!$K261</f>
        <v>774.796296296296</v>
      </c>
      <c r="F261" s="60" t="n">
        <f aca="false">'ML Clássico'!$Q261</f>
        <v>0.2</v>
      </c>
      <c r="G261" s="62" t="n">
        <f aca="false">'ML Premium'!$K261</f>
        <v>853.857142857143</v>
      </c>
      <c r="H261" s="60" t="n">
        <f aca="false">'ML Premium'!$Q261</f>
        <v>0.2</v>
      </c>
      <c r="I261" s="62" t="n">
        <f aca="false">Amazon!$K261</f>
        <v>774.796296296296</v>
      </c>
      <c r="J261" s="60" t="n">
        <f aca="false">Amazon!$Q261</f>
        <v>0.2</v>
      </c>
      <c r="K261" s="62" t="n">
        <f aca="false">'Via (Casas Bahia)'!$K261</f>
        <v>909.54347826087</v>
      </c>
      <c r="L261" s="60" t="n">
        <f aca="false">'Via (Casas Bahia)'!$Q261</f>
        <v>0.2</v>
      </c>
      <c r="M261" s="62" t="n">
        <f aca="false">MadeiraMadeira!$K261</f>
        <v>871.645833333333</v>
      </c>
      <c r="N261" s="60" t="n">
        <f aca="false">MadeiraMadeira!$Q261</f>
        <v>0.2</v>
      </c>
      <c r="O261" s="62" t="n">
        <f aca="false">Magalu!$K261</f>
        <v>853.857142857143</v>
      </c>
      <c r="P261" s="60" t="n">
        <f aca="false">Magalu!$Q261</f>
        <v>0.2</v>
      </c>
      <c r="Q261" s="46" t="n">
        <f aca="false">IF(COUNT($F261,$H261,$J261,$L261,$N261,$P261)=0,"",MIN($F261,$H261,$J261,$L261,$N261,$P261))</f>
        <v>0.2</v>
      </c>
      <c r="R261" s="46" t="n">
        <f aca="false">IF(COUNT($F261,$H261,$J261,$L261,$N261,$P261)=0,"",MAX($F261,$H261,$J261,$L261,$N261,$P261))</f>
        <v>0.2</v>
      </c>
      <c r="S261" s="61" t="n">
        <f aca="false">IF($A261="","",COUNT($E261,$G261,$I261,$K261,$M261,$O261))</f>
        <v>6</v>
      </c>
    </row>
    <row r="262" customFormat="false" ht="15" hidden="false" customHeight="false" outlineLevel="0" collapsed="false">
      <c r="A262" s="32" t="str">
        <f aca="false">IF(Produtos!$A262="","",Produtos!$A262)</f>
        <v>LM3040-2D</v>
      </c>
      <c r="B262" s="32" t="str">
        <f aca="false">IF(Produtos!$A262="","",Produtos!$B262)</f>
        <v>Lixeira Aço Inox 30x40 c/02 Divisões 30L</v>
      </c>
      <c r="C262" s="32" t="str">
        <f aca="false">IF(Produtos!$A262="","",Produtos!$C262)</f>
        <v>Lixeiras de coleta seletiva</v>
      </c>
      <c r="D262" s="33" t="n">
        <f aca="false">IF(Produtos!$A262="","",IF(Produtos!$D262="","",Produtos!$D262))</f>
        <v>318.15</v>
      </c>
      <c r="E262" s="59" t="n">
        <f aca="false">'ML Clássico'!$K262</f>
        <v>589.166666666667</v>
      </c>
      <c r="F262" s="60" t="n">
        <f aca="false">'ML Clássico'!$Q262</f>
        <v>0.2</v>
      </c>
      <c r="G262" s="59" t="n">
        <f aca="false">'ML Premium'!$K262</f>
        <v>649.285714285714</v>
      </c>
      <c r="H262" s="60" t="n">
        <f aca="false">'ML Premium'!$Q262</f>
        <v>0.2</v>
      </c>
      <c r="I262" s="59" t="n">
        <f aca="false">Amazon!$K262</f>
        <v>589.166666666667</v>
      </c>
      <c r="J262" s="60" t="n">
        <f aca="false">Amazon!$Q262</f>
        <v>0.2</v>
      </c>
      <c r="K262" s="59" t="n">
        <f aca="false">'Via (Casas Bahia)'!$K262</f>
        <v>691.630434782609</v>
      </c>
      <c r="L262" s="60" t="n">
        <f aca="false">'Via (Casas Bahia)'!$Q262</f>
        <v>0.2</v>
      </c>
      <c r="M262" s="59" t="n">
        <f aca="false">MadeiraMadeira!$K262</f>
        <v>662.8125</v>
      </c>
      <c r="N262" s="60" t="n">
        <f aca="false">MadeiraMadeira!$Q262</f>
        <v>0.2</v>
      </c>
      <c r="O262" s="59" t="n">
        <f aca="false">Magalu!$K262</f>
        <v>649.285714285714</v>
      </c>
      <c r="P262" s="60" t="n">
        <f aca="false">Magalu!$Q262</f>
        <v>0.2</v>
      </c>
      <c r="Q262" s="46" t="n">
        <f aca="false">IF(COUNT($F262,$H262,$J262,$L262,$N262,$P262)=0,"",MIN($F262,$H262,$J262,$L262,$N262,$P262))</f>
        <v>0.2</v>
      </c>
      <c r="R262" s="46" t="n">
        <f aca="false">IF(COUNT($F262,$H262,$J262,$L262,$N262,$P262)=0,"",MAX($F262,$H262,$J262,$L262,$N262,$P262))</f>
        <v>0.2</v>
      </c>
      <c r="S262" s="61" t="n">
        <f aca="false">IF($A262="","",COUNT($E262,$G262,$I262,$K262,$M262,$O262))</f>
        <v>6</v>
      </c>
    </row>
    <row r="263" customFormat="false" ht="15" hidden="false" customHeight="false" outlineLevel="0" collapsed="false">
      <c r="A263" s="48" t="str">
        <f aca="false">IF(Produtos!$A263="","",Produtos!$A263)</f>
        <v>LM3040-3D</v>
      </c>
      <c r="B263" s="48" t="str">
        <f aca="false">IF(Produtos!$A263="","",Produtos!$B263)</f>
        <v>Lixeira Aço Inox 30x40 c/03 Divisões 30L</v>
      </c>
      <c r="C263" s="48" t="str">
        <f aca="false">IF(Produtos!$A263="","",Produtos!$C263)</f>
        <v>Lixeiras de coleta seletiva</v>
      </c>
      <c r="D263" s="33" t="n">
        <f aca="false">IF(Produtos!$A263="","",IF(Produtos!$D263="","",Produtos!$D263))</f>
        <v>324.51</v>
      </c>
      <c r="E263" s="62" t="n">
        <f aca="false">'ML Clássico'!$K263</f>
        <v>600.944444444444</v>
      </c>
      <c r="F263" s="60" t="n">
        <f aca="false">'ML Clássico'!$Q263</f>
        <v>0.2</v>
      </c>
      <c r="G263" s="62" t="n">
        <f aca="false">'ML Premium'!$K263</f>
        <v>662.265306122449</v>
      </c>
      <c r="H263" s="60" t="n">
        <f aca="false">'ML Premium'!$Q263</f>
        <v>0.2</v>
      </c>
      <c r="I263" s="62" t="n">
        <f aca="false">Amazon!$K263</f>
        <v>600.944444444444</v>
      </c>
      <c r="J263" s="60" t="n">
        <f aca="false">Amazon!$Q263</f>
        <v>0.2</v>
      </c>
      <c r="K263" s="62" t="n">
        <f aca="false">'Via (Casas Bahia)'!$K263</f>
        <v>705.45652173913</v>
      </c>
      <c r="L263" s="60" t="n">
        <f aca="false">'Via (Casas Bahia)'!$Q263</f>
        <v>0.2</v>
      </c>
      <c r="M263" s="62" t="n">
        <f aca="false">MadeiraMadeira!$K263</f>
        <v>676.0625</v>
      </c>
      <c r="N263" s="60" t="n">
        <f aca="false">MadeiraMadeira!$Q263</f>
        <v>0.2</v>
      </c>
      <c r="O263" s="62" t="n">
        <f aca="false">Magalu!$K263</f>
        <v>662.265306122449</v>
      </c>
      <c r="P263" s="60" t="n">
        <f aca="false">Magalu!$Q263</f>
        <v>0.2</v>
      </c>
      <c r="Q263" s="46" t="n">
        <f aca="false">IF(COUNT($F263,$H263,$J263,$L263,$N263,$P263)=0,"",MIN($F263,$H263,$J263,$L263,$N263,$P263))</f>
        <v>0.2</v>
      </c>
      <c r="R263" s="46" t="n">
        <f aca="false">IF(COUNT($F263,$H263,$J263,$L263,$N263,$P263)=0,"",MAX($F263,$H263,$J263,$L263,$N263,$P263))</f>
        <v>0.2</v>
      </c>
      <c r="S263" s="61" t="n">
        <f aca="false">IF($A263="","",COUNT($E263,$G263,$I263,$K263,$M263,$O263))</f>
        <v>6</v>
      </c>
    </row>
    <row r="264" customFormat="false" ht="15" hidden="false" customHeight="false" outlineLevel="0" collapsed="false">
      <c r="A264" s="32" t="str">
        <f aca="false">IF(Produtos!$A264="","",Produtos!$A264)</f>
        <v>LM4050-4D</v>
      </c>
      <c r="B264" s="32" t="str">
        <f aca="false">IF(Produtos!$A264="","",Produtos!$B264)</f>
        <v>Lixeira Aço Inox 40x50 c/04 Divisões 50L</v>
      </c>
      <c r="C264" s="32" t="str">
        <f aca="false">IF(Produtos!$A264="","",Produtos!$C264)</f>
        <v>Lixeiras de coleta seletiva</v>
      </c>
      <c r="D264" s="33" t="n">
        <f aca="false">IF(Produtos!$A264="","",IF(Produtos!$D264="","",Produtos!$D264))</f>
        <v>574.44</v>
      </c>
      <c r="E264" s="59" t="n">
        <f aca="false">'ML Clássico'!$K264</f>
        <v>1063.77777777778</v>
      </c>
      <c r="F264" s="60" t="n">
        <f aca="false">'ML Clássico'!$Q264</f>
        <v>0.2</v>
      </c>
      <c r="G264" s="59" t="n">
        <f aca="false">'ML Premium'!$K264</f>
        <v>1172.32653061224</v>
      </c>
      <c r="H264" s="60" t="n">
        <f aca="false">'ML Premium'!$Q264</f>
        <v>0.2</v>
      </c>
      <c r="I264" s="59" t="n">
        <f aca="false">Amazon!$K264</f>
        <v>1063.77777777778</v>
      </c>
      <c r="J264" s="60" t="n">
        <f aca="false">Amazon!$Q264</f>
        <v>0.2</v>
      </c>
      <c r="K264" s="59" t="n">
        <f aca="false">'Via (Casas Bahia)'!$K264</f>
        <v>1248.78260869565</v>
      </c>
      <c r="L264" s="60" t="n">
        <f aca="false">'Via (Casas Bahia)'!$Q264</f>
        <v>0.2</v>
      </c>
      <c r="M264" s="59" t="n">
        <f aca="false">MadeiraMadeira!$K264</f>
        <v>1196.75</v>
      </c>
      <c r="N264" s="60" t="n">
        <f aca="false">MadeiraMadeira!$Q264</f>
        <v>0.2</v>
      </c>
      <c r="O264" s="59" t="n">
        <f aca="false">Magalu!$K264</f>
        <v>1172.32653061224</v>
      </c>
      <c r="P264" s="60" t="n">
        <f aca="false">Magalu!$Q264</f>
        <v>0.2</v>
      </c>
      <c r="Q264" s="46" t="n">
        <f aca="false">IF(COUNT($F264,$H264,$J264,$L264,$N264,$P264)=0,"",MIN($F264,$H264,$J264,$L264,$N264,$P264))</f>
        <v>0.2</v>
      </c>
      <c r="R264" s="46" t="n">
        <f aca="false">IF(COUNT($F264,$H264,$J264,$L264,$N264,$P264)=0,"",MAX($F264,$H264,$J264,$L264,$N264,$P264))</f>
        <v>0.2</v>
      </c>
      <c r="S264" s="61" t="n">
        <f aca="false">IF($A264="","",COUNT($E264,$G264,$I264,$K264,$M264,$O264))</f>
        <v>6</v>
      </c>
    </row>
    <row r="265" customFormat="false" ht="15" hidden="false" customHeight="false" outlineLevel="0" collapsed="false">
      <c r="A265" s="48" t="str">
        <f aca="false">IF(Produtos!$A265="","",Produtos!$A265)</f>
        <v>P3050RA</v>
      </c>
      <c r="B265" s="48" t="str">
        <f aca="false">IF(Produtos!$A265="","",Produtos!$B265)</f>
        <v>Lixeira c/Tampa Pedal 30x50 40L c/Rodízios e Alças</v>
      </c>
      <c r="C265" s="48" t="str">
        <f aca="false">IF(Produtos!$A265="","",Produtos!$C265)</f>
        <v>Lixeiras com pedal</v>
      </c>
      <c r="D265" s="33" t="n">
        <f aca="false">IF(Produtos!$A265="","",IF(Produtos!$D265="","",Produtos!$D265))</f>
        <v>451.04</v>
      </c>
      <c r="E265" s="62" t="n">
        <f aca="false">'ML Clássico'!$K265</f>
        <v>887.898375</v>
      </c>
      <c r="F265" s="60" t="n">
        <f aca="false">'ML Clássico'!$Q265</f>
        <v>0.157850043930985</v>
      </c>
      <c r="G265" s="62" t="n">
        <f aca="false">'ML Premium'!$K265</f>
        <v>949.5534825</v>
      </c>
      <c r="H265" s="60" t="n">
        <f aca="false">'ML Premium'!$Q265</f>
        <v>0.16302599672157</v>
      </c>
      <c r="I265" s="62" t="n">
        <f aca="false">Amazon!$K265</f>
        <v>835.259259259259</v>
      </c>
      <c r="J265" s="60" t="n">
        <f aca="false">Amazon!$Q265</f>
        <v>0.2</v>
      </c>
      <c r="K265" s="62" t="n">
        <f aca="false">'Via (Casas Bahia)'!$K265</f>
        <v>980.521739130435</v>
      </c>
      <c r="L265" s="60" t="n">
        <f aca="false">'Via (Casas Bahia)'!$Q265</f>
        <v>0.2</v>
      </c>
      <c r="M265" s="62" t="n">
        <f aca="false">MadeiraMadeira!$K265</f>
        <v>939.666666666667</v>
      </c>
      <c r="N265" s="60" t="n">
        <f aca="false">MadeiraMadeira!$Q265</f>
        <v>0.2</v>
      </c>
      <c r="O265" s="62" t="n">
        <f aca="false">Magalu!$K265</f>
        <v>920.489795918367</v>
      </c>
      <c r="P265" s="60" t="n">
        <f aca="false">Magalu!$Q265</f>
        <v>0.2</v>
      </c>
      <c r="Q265" s="46" t="n">
        <f aca="false">IF(COUNT($F265,$H265,$J265,$L265,$N265,$P265)=0,"",MIN($F265,$H265,$J265,$L265,$N265,$P265))</f>
        <v>0.157850043930985</v>
      </c>
      <c r="R265" s="46" t="n">
        <f aca="false">IF(COUNT($F265,$H265,$J265,$L265,$N265,$P265)=0,"",MAX($F265,$H265,$J265,$L265,$N265,$P265))</f>
        <v>0.2</v>
      </c>
      <c r="S265" s="61" t="n">
        <f aca="false">IF($A265="","",COUNT($E265,$G265,$I265,$K265,$M265,$O265))</f>
        <v>6</v>
      </c>
    </row>
    <row r="266" customFormat="false" ht="15" hidden="false" customHeight="false" outlineLevel="0" collapsed="false">
      <c r="A266" s="32" t="str">
        <f aca="false">IF(Produtos!$A266="","",Produtos!$A266)</f>
        <v>P3060RA</v>
      </c>
      <c r="B266" s="32" t="str">
        <f aca="false">IF(Produtos!$A266="","",Produtos!$B266)</f>
        <v>Lixeira c/Tampa Pedal 30x60 50L c/Rodízios e Alças</v>
      </c>
      <c r="C266" s="32" t="str">
        <f aca="false">IF(Produtos!$A266="","",Produtos!$C266)</f>
        <v>Lixeiras com pedal</v>
      </c>
      <c r="D266" s="33" t="n">
        <f aca="false">IF(Produtos!$A266="","",IF(Produtos!$D266="","",Produtos!$D266))</f>
        <v>461.27</v>
      </c>
      <c r="E266" s="59" t="n">
        <f aca="false">'ML Clássico'!$K266</f>
        <v>937.78043625</v>
      </c>
      <c r="F266" s="60" t="n">
        <f aca="false">'ML Clássico'!$Q266</f>
        <v>0.172468433519211</v>
      </c>
      <c r="G266" s="59" t="n">
        <f aca="false">'ML Premium'!$K266</f>
        <v>1002.90841875</v>
      </c>
      <c r="H266" s="60" t="n">
        <f aca="false">'ML Premium'!$Q266</f>
        <v>0.159323429687283</v>
      </c>
      <c r="I266" s="59" t="n">
        <f aca="false">Amazon!$K266</f>
        <v>854.203703703704</v>
      </c>
      <c r="J266" s="60" t="n">
        <f aca="false">Amazon!$Q266</f>
        <v>0.2</v>
      </c>
      <c r="K266" s="59" t="n">
        <f aca="false">'Via (Casas Bahia)'!$K266</f>
        <v>1002.76086956522</v>
      </c>
      <c r="L266" s="60" t="n">
        <f aca="false">'Via (Casas Bahia)'!$Q266</f>
        <v>0.2</v>
      </c>
      <c r="M266" s="59" t="n">
        <f aca="false">MadeiraMadeira!$K266</f>
        <v>960.979166666667</v>
      </c>
      <c r="N266" s="60" t="n">
        <f aca="false">MadeiraMadeira!$Q266</f>
        <v>0.2</v>
      </c>
      <c r="O266" s="59" t="n">
        <f aca="false">Magalu!$K266</f>
        <v>941.367346938775</v>
      </c>
      <c r="P266" s="60" t="n">
        <f aca="false">Magalu!$Q266</f>
        <v>0.2</v>
      </c>
      <c r="Q266" s="46" t="n">
        <f aca="false">IF(COUNT($F266,$H266,$J266,$L266,$N266,$P266)=0,"",MIN($F266,$H266,$J266,$L266,$N266,$P266))</f>
        <v>0.159323429687283</v>
      </c>
      <c r="R266" s="46" t="n">
        <f aca="false">IF(COUNT($F266,$H266,$J266,$L266,$N266,$P266)=0,"",MAX($F266,$H266,$J266,$L266,$N266,$P266))</f>
        <v>0.2</v>
      </c>
      <c r="S266" s="61" t="n">
        <f aca="false">IF($A266="","",COUNT($E266,$G266,$I266,$K266,$M266,$O266))</f>
        <v>6</v>
      </c>
    </row>
    <row r="267" customFormat="false" ht="15" hidden="false" customHeight="false" outlineLevel="0" collapsed="false">
      <c r="A267" s="48" t="str">
        <f aca="false">IF(Produtos!$A267="","",Produtos!$A267)</f>
        <v>P3070RA</v>
      </c>
      <c r="B267" s="48" t="str">
        <f aca="false">IF(Produtos!$A267="","",Produtos!$B267)</f>
        <v>Lixeira c/Tampa Pedal 30x70 60L c/Rodízios e Alças</v>
      </c>
      <c r="C267" s="48" t="str">
        <f aca="false">IF(Produtos!$A267="","",Produtos!$C267)</f>
        <v>Lixeiras com pedal</v>
      </c>
      <c r="D267" s="33" t="n">
        <f aca="false">IF(Produtos!$A267="","",IF(Produtos!$D267="","",Produtos!$D267))</f>
        <v>535.39</v>
      </c>
      <c r="E267" s="62" t="n">
        <f aca="false">'ML Clássico'!$K267</f>
        <v>1069.136145</v>
      </c>
      <c r="F267" s="60" t="n">
        <f aca="false">'ML Clássico'!$Q267</f>
        <v>0.174365770133045</v>
      </c>
      <c r="G267" s="62" t="n">
        <f aca="false">'ML Premium'!$K267</f>
        <v>1143.37463625</v>
      </c>
      <c r="H267" s="60" t="n">
        <f aca="false">'ML Premium'!$Q267</f>
        <v>0.161091993099125</v>
      </c>
      <c r="I267" s="62" t="n">
        <f aca="false">Amazon!$K267</f>
        <v>991.462962962963</v>
      </c>
      <c r="J267" s="60" t="n">
        <f aca="false">Amazon!$Q267</f>
        <v>0.2</v>
      </c>
      <c r="K267" s="62" t="n">
        <f aca="false">'Via (Casas Bahia)'!$K267</f>
        <v>1163.89130434783</v>
      </c>
      <c r="L267" s="60" t="n">
        <f aca="false">'Via (Casas Bahia)'!$Q267</f>
        <v>0.2</v>
      </c>
      <c r="M267" s="62" t="n">
        <f aca="false">MadeiraMadeira!$K267</f>
        <v>1115.39583333333</v>
      </c>
      <c r="N267" s="60" t="n">
        <f aca="false">MadeiraMadeira!$Q267</f>
        <v>0.2</v>
      </c>
      <c r="O267" s="62" t="n">
        <f aca="false">Magalu!$K267</f>
        <v>1092.63265306122</v>
      </c>
      <c r="P267" s="60" t="n">
        <f aca="false">Magalu!$Q267</f>
        <v>0.2</v>
      </c>
      <c r="Q267" s="46" t="n">
        <f aca="false">IF(COUNT($F267,$H267,$J267,$L267,$N267,$P267)=0,"",MIN($F267,$H267,$J267,$L267,$N267,$P267))</f>
        <v>0.161091993099125</v>
      </c>
      <c r="R267" s="46" t="n">
        <f aca="false">IF(COUNT($F267,$H267,$J267,$L267,$N267,$P267)=0,"",MAX($F267,$H267,$J267,$L267,$N267,$P267))</f>
        <v>0.2</v>
      </c>
      <c r="S267" s="61" t="n">
        <f aca="false">IF($A267="","",COUNT($E267,$G267,$I267,$K267,$M267,$O267))</f>
        <v>6</v>
      </c>
    </row>
    <row r="268" customFormat="false" ht="15" hidden="false" customHeight="false" outlineLevel="0" collapsed="false">
      <c r="A268" s="32" t="str">
        <f aca="false">IF(Produtos!$A268="","",Produtos!$A268)</f>
        <v>P4050RA</v>
      </c>
      <c r="B268" s="32" t="str">
        <f aca="false">IF(Produtos!$A268="","",Produtos!$B268)</f>
        <v>Lixeira c/Tampa Pedal 40x50 65L c/Rodízios e Alças</v>
      </c>
      <c r="C268" s="32" t="str">
        <f aca="false">IF(Produtos!$A268="","",Produtos!$C268)</f>
        <v>Lixeiras com pedal</v>
      </c>
      <c r="D268" s="33" t="n">
        <f aca="false">IF(Produtos!$A268="","",IF(Produtos!$D268="","",Produtos!$D268))</f>
        <v>617.39</v>
      </c>
      <c r="E268" s="59" t="n">
        <f aca="false">'ML Clássico'!$K268</f>
        <v>1283.41</v>
      </c>
      <c r="F268" s="60" t="n">
        <f aca="false">'ML Clássico'!$Q268</f>
        <v>0.200001090843924</v>
      </c>
      <c r="G268" s="59" t="n">
        <f aca="false">'ML Premium'!$K268</f>
        <v>1335.01725</v>
      </c>
      <c r="H268" s="60" t="n">
        <f aca="false">'ML Premium'!$Q268</f>
        <v>0.170875621644589</v>
      </c>
      <c r="I268" s="59" t="n">
        <f aca="false">Amazon!$K268</f>
        <v>1143.31481481481</v>
      </c>
      <c r="J268" s="60" t="n">
        <f aca="false">Amazon!$Q268</f>
        <v>0.2</v>
      </c>
      <c r="K268" s="59" t="n">
        <f aca="false">'Via (Casas Bahia)'!$K268</f>
        <v>1342.15217391304</v>
      </c>
      <c r="L268" s="60" t="n">
        <f aca="false">'Via (Casas Bahia)'!$Q268</f>
        <v>0.2</v>
      </c>
      <c r="M268" s="59" t="n">
        <f aca="false">MadeiraMadeira!$K268</f>
        <v>1286.22916666667</v>
      </c>
      <c r="N268" s="60" t="n">
        <f aca="false">MadeiraMadeira!$Q268</f>
        <v>0.2</v>
      </c>
      <c r="O268" s="59" t="n">
        <f aca="false">Magalu!$K268</f>
        <v>1259.97959183673</v>
      </c>
      <c r="P268" s="60" t="n">
        <f aca="false">Magalu!$Q268</f>
        <v>0.2</v>
      </c>
      <c r="Q268" s="46" t="n">
        <f aca="false">IF(COUNT($F268,$H268,$J268,$L268,$N268,$P268)=0,"",MIN($F268,$H268,$J268,$L268,$N268,$P268))</f>
        <v>0.170875621644589</v>
      </c>
      <c r="R268" s="46" t="n">
        <f aca="false">IF(COUNT($F268,$H268,$J268,$L268,$N268,$P268)=0,"",MAX($F268,$H268,$J268,$L268,$N268,$P268))</f>
        <v>0.200001090843924</v>
      </c>
      <c r="S268" s="61" t="n">
        <f aca="false">IF($A268="","",COUNT($E268,$G268,$I268,$K268,$M268,$O268))</f>
        <v>6</v>
      </c>
    </row>
    <row r="269" customFormat="false" ht="15" hidden="false" customHeight="false" outlineLevel="0" collapsed="false">
      <c r="A269" s="48" t="str">
        <f aca="false">IF(Produtos!$A269="","",Produtos!$A269)</f>
        <v>P4060RA</v>
      </c>
      <c r="B269" s="48" t="str">
        <f aca="false">IF(Produtos!$A269="","",Produtos!$B269)</f>
        <v>Lixeira c/Tampa Pedal 40x60 75L c/Rodízios e Alças</v>
      </c>
      <c r="C269" s="48" t="str">
        <f aca="false">IF(Produtos!$A269="","",Produtos!$C269)</f>
        <v>Lixeiras com pedal</v>
      </c>
      <c r="D269" s="33" t="n">
        <f aca="false">IF(Produtos!$A269="","",IF(Produtos!$D269="","",Produtos!$D269))</f>
        <v>659.48</v>
      </c>
      <c r="E269" s="62" t="n">
        <f aca="false">'ML Clássico'!$K269</f>
        <v>1308.0467925</v>
      </c>
      <c r="F269" s="60" t="n">
        <f aca="false">'ML Clássico'!$Q269</f>
        <v>0.175165466376081</v>
      </c>
      <c r="G269" s="62" t="n">
        <f aca="false">'ML Premium'!$K269</f>
        <v>1398.87405</v>
      </c>
      <c r="H269" s="60" t="n">
        <f aca="false">'ML Premium'!$Q269</f>
        <v>0.161839512642328</v>
      </c>
      <c r="I269" s="62" t="n">
        <f aca="false">Amazon!$K269</f>
        <v>1221.25925925926</v>
      </c>
      <c r="J269" s="60" t="n">
        <f aca="false">Amazon!$Q269</f>
        <v>0.2</v>
      </c>
      <c r="K269" s="62" t="n">
        <f aca="false">'Via (Casas Bahia)'!$K269</f>
        <v>1433.65217391304</v>
      </c>
      <c r="L269" s="60" t="n">
        <f aca="false">'Via (Casas Bahia)'!$Q269</f>
        <v>0.2</v>
      </c>
      <c r="M269" s="62" t="n">
        <f aca="false">MadeiraMadeira!$K269</f>
        <v>1373.91666666667</v>
      </c>
      <c r="N269" s="60" t="n">
        <f aca="false">MadeiraMadeira!$Q269</f>
        <v>0.2</v>
      </c>
      <c r="O269" s="62" t="n">
        <f aca="false">Magalu!$K269</f>
        <v>1345.87755102041</v>
      </c>
      <c r="P269" s="60" t="n">
        <f aca="false">Magalu!$Q269</f>
        <v>0.2</v>
      </c>
      <c r="Q269" s="46" t="n">
        <f aca="false">IF(COUNT($F269,$H269,$J269,$L269,$N269,$P269)=0,"",MIN($F269,$H269,$J269,$L269,$N269,$P269))</f>
        <v>0.161839512642328</v>
      </c>
      <c r="R269" s="46" t="n">
        <f aca="false">IF(COUNT($F269,$H269,$J269,$L269,$N269,$P269)=0,"",MAX($F269,$H269,$J269,$L269,$N269,$P269))</f>
        <v>0.2</v>
      </c>
      <c r="S269" s="61" t="n">
        <f aca="false">IF($A269="","",COUNT($E269,$G269,$I269,$K269,$M269,$O269))</f>
        <v>6</v>
      </c>
    </row>
    <row r="270" customFormat="false" ht="15" hidden="false" customHeight="false" outlineLevel="0" collapsed="false">
      <c r="A270" s="32" t="str">
        <f aca="false">IF(Produtos!$A270="","",Produtos!$A270)</f>
        <v>P4070RA</v>
      </c>
      <c r="B270" s="32" t="str">
        <f aca="false">IF(Produtos!$A270="","",Produtos!$B270)</f>
        <v>Lixeira c/Tampa Pedal 40x70 80L c/Rodízios e Alças</v>
      </c>
      <c r="C270" s="32" t="str">
        <f aca="false">IF(Produtos!$A270="","",Produtos!$C270)</f>
        <v>Lixeiras com pedal</v>
      </c>
      <c r="D270" s="33" t="n">
        <f aca="false">IF(Produtos!$A270="","",IF(Produtos!$D270="","",Produtos!$D270))</f>
        <v>698.31</v>
      </c>
      <c r="E270" s="59" t="n">
        <f aca="false">'ML Clássico'!$K270</f>
        <v>1396.89451125</v>
      </c>
      <c r="F270" s="60" t="n">
        <f aca="false">'ML Clássico'!$Q270</f>
        <v>0.174273673755907</v>
      </c>
      <c r="G270" s="59" t="n">
        <f aca="false">'ML Premium'!$K270</f>
        <v>1471.85348625</v>
      </c>
      <c r="H270" s="60" t="n">
        <f aca="false">'ML Premium'!$Q270</f>
        <v>0.153085145782118</v>
      </c>
      <c r="I270" s="59" t="n">
        <f aca="false">Amazon!$K270</f>
        <v>1290.49</v>
      </c>
      <c r="J270" s="60" t="n">
        <f aca="false">Amazon!$Q270</f>
        <v>0.198879960325148</v>
      </c>
      <c r="K270" s="59" t="n">
        <f aca="false">'Via (Casas Bahia)'!$K270</f>
        <v>1518.0652173913</v>
      </c>
      <c r="L270" s="60" t="n">
        <f aca="false">'Via (Casas Bahia)'!$Q270</f>
        <v>0.2</v>
      </c>
      <c r="M270" s="59" t="n">
        <f aca="false">MadeiraMadeira!$K270</f>
        <v>1454.8125</v>
      </c>
      <c r="N270" s="60" t="n">
        <f aca="false">MadeiraMadeira!$Q270</f>
        <v>0.2</v>
      </c>
      <c r="O270" s="59" t="n">
        <f aca="false">Magalu!$K270</f>
        <v>1425.12244897959</v>
      </c>
      <c r="P270" s="60" t="n">
        <f aca="false">Magalu!$Q270</f>
        <v>0.2</v>
      </c>
      <c r="Q270" s="46" t="n">
        <f aca="false">IF(COUNT($F270,$H270,$J270,$L270,$N270,$P270)=0,"",MIN($F270,$H270,$J270,$L270,$N270,$P270))</f>
        <v>0.153085145782118</v>
      </c>
      <c r="R270" s="46" t="n">
        <f aca="false">IF(COUNT($F270,$H270,$J270,$L270,$N270,$P270)=0,"",MAX($F270,$H270,$J270,$L270,$N270,$P270))</f>
        <v>0.2</v>
      </c>
      <c r="S270" s="61" t="n">
        <f aca="false">IF($A270="","",COUNT($E270,$G270,$I270,$K270,$M270,$O270))</f>
        <v>6</v>
      </c>
    </row>
    <row r="271" customFormat="false" ht="15" hidden="false" customHeight="false" outlineLevel="0" collapsed="false">
      <c r="A271" s="48" t="str">
        <f aca="false">IF(Produtos!$A271="","",Produtos!$A271)</f>
        <v>P4075RA</v>
      </c>
      <c r="B271" s="48" t="str">
        <f aca="false">IF(Produtos!$A271="","",Produtos!$B271)</f>
        <v>Lixeira c/Tampa Pedal 40x75 95L c/Rodízios e Alças</v>
      </c>
      <c r="C271" s="48" t="str">
        <f aca="false">IF(Produtos!$A271="","",Produtos!$C271)</f>
        <v>Lixeiras com pedal</v>
      </c>
      <c r="D271" s="33" t="n">
        <f aca="false">IF(Produtos!$A271="","",IF(Produtos!$D271="","",Produtos!$D271))</f>
        <v>731.92</v>
      </c>
      <c r="E271" s="62" t="n">
        <f aca="false">'ML Clássico'!$K271</f>
        <v>1457.94765375</v>
      </c>
      <c r="F271" s="60" t="n">
        <f aca="false">'ML Clássico'!$Q271</f>
        <v>0.174911124634059</v>
      </c>
      <c r="G271" s="62" t="n">
        <f aca="false">'ML Premium'!$K271</f>
        <v>1559.19353625</v>
      </c>
      <c r="H271" s="60" t="n">
        <f aca="false">'ML Premium'!$Q271</f>
        <v>0.16160504398865</v>
      </c>
      <c r="I271" s="62" t="n">
        <f aca="false">Amazon!$K271</f>
        <v>1355.40740740741</v>
      </c>
      <c r="J271" s="60" t="n">
        <f aca="false">Amazon!$Q271</f>
        <v>0.2</v>
      </c>
      <c r="K271" s="62" t="n">
        <f aca="false">'Via (Casas Bahia)'!$K271</f>
        <v>1591.13043478261</v>
      </c>
      <c r="L271" s="60" t="n">
        <f aca="false">'Via (Casas Bahia)'!$Q271</f>
        <v>0.2</v>
      </c>
      <c r="M271" s="62" t="n">
        <f aca="false">MadeiraMadeira!$K271</f>
        <v>1524.83333333333</v>
      </c>
      <c r="N271" s="60" t="n">
        <f aca="false">MadeiraMadeira!$Q271</f>
        <v>0.2</v>
      </c>
      <c r="O271" s="62" t="n">
        <f aca="false">Magalu!$K271</f>
        <v>1493.71428571429</v>
      </c>
      <c r="P271" s="60" t="n">
        <f aca="false">Magalu!$Q271</f>
        <v>0.2</v>
      </c>
      <c r="Q271" s="46" t="n">
        <f aca="false">IF(COUNT($F271,$H271,$J271,$L271,$N271,$P271)=0,"",MIN($F271,$H271,$J271,$L271,$N271,$P271))</f>
        <v>0.16160504398865</v>
      </c>
      <c r="R271" s="46" t="n">
        <f aca="false">IF(COUNT($F271,$H271,$J271,$L271,$N271,$P271)=0,"",MAX($F271,$H271,$J271,$L271,$N271,$P271))</f>
        <v>0.2</v>
      </c>
      <c r="S271" s="61" t="n">
        <f aca="false">IF($A271="","",COUNT($E271,$G271,$I271,$K271,$M271,$O271))</f>
        <v>6</v>
      </c>
    </row>
    <row r="272" customFormat="false" ht="15" hidden="false" customHeight="false" outlineLevel="0" collapsed="false">
      <c r="A272" s="32" t="str">
        <f aca="false">IF(Produtos!$A272="","",Produtos!$A272)</f>
        <v>P4080RA</v>
      </c>
      <c r="B272" s="32" t="str">
        <f aca="false">IF(Produtos!$A272="","",Produtos!$B272)</f>
        <v>Lixeira c/Tampa Pedal 40x80 100L c/Rodízios e Alças</v>
      </c>
      <c r="C272" s="32" t="str">
        <f aca="false">IF(Produtos!$A272="","",Produtos!$C272)</f>
        <v>Lixeiras com pedal</v>
      </c>
      <c r="D272" s="33" t="n">
        <f aca="false">IF(Produtos!$A272="","",IF(Produtos!$D272="","",Produtos!$D272))</f>
        <v>816.17</v>
      </c>
      <c r="E272" s="59" t="n">
        <f aca="false">'ML Clássico'!$K272</f>
        <v>1744.9047</v>
      </c>
      <c r="F272" s="60" t="n">
        <f aca="false">'ML Clássico'!$Q272</f>
        <v>0.211019821311731</v>
      </c>
      <c r="G272" s="59" t="n">
        <f aca="false">'ML Premium'!$K272</f>
        <v>1781.52975</v>
      </c>
      <c r="H272" s="60" t="n">
        <f aca="false">'ML Premium'!$Q272</f>
        <v>0.171894703133641</v>
      </c>
      <c r="I272" s="59" t="n">
        <f aca="false">Amazon!$K272</f>
        <v>1511.42592592593</v>
      </c>
      <c r="J272" s="60" t="n">
        <f aca="false">Amazon!$Q272</f>
        <v>0.2</v>
      </c>
      <c r="K272" s="59" t="n">
        <f aca="false">'Via (Casas Bahia)'!$K272</f>
        <v>1774.28260869565</v>
      </c>
      <c r="L272" s="60" t="n">
        <f aca="false">'Via (Casas Bahia)'!$Q272</f>
        <v>0.2</v>
      </c>
      <c r="M272" s="59" t="n">
        <f aca="false">MadeiraMadeira!$K272</f>
        <v>1700.35416666667</v>
      </c>
      <c r="N272" s="60" t="n">
        <f aca="false">MadeiraMadeira!$Q272</f>
        <v>0.2</v>
      </c>
      <c r="O272" s="59" t="n">
        <f aca="false">Magalu!$K272</f>
        <v>1665.65306122449</v>
      </c>
      <c r="P272" s="60" t="n">
        <f aca="false">Magalu!$Q272</f>
        <v>0.2</v>
      </c>
      <c r="Q272" s="46" t="n">
        <f aca="false">IF(COUNT($F272,$H272,$J272,$L272,$N272,$P272)=0,"",MIN($F272,$H272,$J272,$L272,$N272,$P272))</f>
        <v>0.171894703133641</v>
      </c>
      <c r="R272" s="46" t="n">
        <f aca="false">IF(COUNT($F272,$H272,$J272,$L272,$N272,$P272)=0,"",MAX($F272,$H272,$J272,$L272,$N272,$P272))</f>
        <v>0.211019821311731</v>
      </c>
      <c r="S272" s="61" t="n">
        <f aca="false">IF($A272="","",COUNT($E272,$G272,$I272,$K272,$M272,$O272))</f>
        <v>6</v>
      </c>
    </row>
    <row r="273" customFormat="false" ht="15" hidden="false" customHeight="false" outlineLevel="0" collapsed="false">
      <c r="A273" s="48" t="str">
        <f aca="false">IF(Produtos!$A273="","",Produtos!$A273)</f>
        <v>P4090RA</v>
      </c>
      <c r="B273" s="48" t="str">
        <f aca="false">IF(Produtos!$A273="","",Produtos!$B273)</f>
        <v>Lixeira c/Tampa Pedal 40x90 120L c/Rodízios e Alças</v>
      </c>
      <c r="C273" s="48" t="str">
        <f aca="false">IF(Produtos!$A273="","",Produtos!$C273)</f>
        <v>Lixeiras com pedal</v>
      </c>
      <c r="D273" s="33" t="n">
        <f aca="false">IF(Produtos!$A273="","",IF(Produtos!$D273="","",Produtos!$D273))</f>
        <v>1058.68</v>
      </c>
      <c r="E273" s="62" t="n">
        <f aca="false">'ML Clássico'!$K273</f>
        <v>2069.21995875</v>
      </c>
      <c r="F273" s="60" t="n">
        <f aca="false">'ML Clássico'!$Q273</f>
        <v>0.176729771007966</v>
      </c>
      <c r="G273" s="62" t="n">
        <f aca="false">'ML Premium'!$K273</f>
        <v>2212.91595</v>
      </c>
      <c r="H273" s="60" t="n">
        <f aca="false">'ML Premium'!$Q273</f>
        <v>0.163305798170961</v>
      </c>
      <c r="I273" s="62" t="n">
        <f aca="false">Amazon!$K273</f>
        <v>1960.51851851852</v>
      </c>
      <c r="J273" s="60" t="n">
        <f aca="false">Amazon!$Q273</f>
        <v>0.2</v>
      </c>
      <c r="K273" s="62" t="n">
        <f aca="false">'Via (Casas Bahia)'!$K273</f>
        <v>2301.47826086957</v>
      </c>
      <c r="L273" s="60" t="n">
        <f aca="false">'Via (Casas Bahia)'!$Q273</f>
        <v>0.2</v>
      </c>
      <c r="M273" s="62" t="n">
        <f aca="false">MadeiraMadeira!$K273</f>
        <v>2205.58333333333</v>
      </c>
      <c r="N273" s="60" t="n">
        <f aca="false">MadeiraMadeira!$Q273</f>
        <v>0.2</v>
      </c>
      <c r="O273" s="62" t="n">
        <f aca="false">Magalu!$K273</f>
        <v>2160.57142857143</v>
      </c>
      <c r="P273" s="60" t="n">
        <f aca="false">Magalu!$Q273</f>
        <v>0.2</v>
      </c>
      <c r="Q273" s="46" t="n">
        <f aca="false">IF(COUNT($F273,$H273,$J273,$L273,$N273,$P273)=0,"",MIN($F273,$H273,$J273,$L273,$N273,$P273))</f>
        <v>0.163305798170961</v>
      </c>
      <c r="R273" s="46" t="n">
        <f aca="false">IF(COUNT($F273,$H273,$J273,$L273,$N273,$P273)=0,"",MAX($F273,$H273,$J273,$L273,$N273,$P273))</f>
        <v>0.2</v>
      </c>
      <c r="S273" s="61" t="n">
        <f aca="false">IF($A273="","",COUNT($E273,$G273,$I273,$K273,$M273,$O273))</f>
        <v>6</v>
      </c>
    </row>
    <row r="274" customFormat="false" ht="15" hidden="false" customHeight="false" outlineLevel="0" collapsed="false">
      <c r="A274" s="32" t="str">
        <f aca="false">IF(Produtos!$A274="","",Produtos!$A274)</f>
        <v>P3050R</v>
      </c>
      <c r="B274" s="32" t="str">
        <f aca="false">IF(Produtos!$A274="","",Produtos!$B274)</f>
        <v>Lixeira c/Tampa Pedal 30x50 40L c/Rodízios</v>
      </c>
      <c r="C274" s="32" t="str">
        <f aca="false">IF(Produtos!$A274="","",Produtos!$C274)</f>
        <v>Lixeiras com pedal</v>
      </c>
      <c r="D274" s="33" t="n">
        <f aca="false">IF(Produtos!$A274="","",IF(Produtos!$D274="","",Produtos!$D274))</f>
        <v>418.9</v>
      </c>
      <c r="E274" s="59" t="n">
        <f aca="false">'ML Clássico'!$K274</f>
        <v>775.740740740741</v>
      </c>
      <c r="F274" s="60" t="n">
        <f aca="false">'ML Clássico'!$Q274</f>
        <v>0.2</v>
      </c>
      <c r="G274" s="59" t="n">
        <f aca="false">'ML Premium'!$K274</f>
        <v>854.897959183673</v>
      </c>
      <c r="H274" s="60" t="n">
        <f aca="false">'ML Premium'!$Q274</f>
        <v>0.2</v>
      </c>
      <c r="I274" s="59" t="n">
        <f aca="false">Amazon!$K274</f>
        <v>775.740740740741</v>
      </c>
      <c r="J274" s="60" t="n">
        <f aca="false">Amazon!$Q274</f>
        <v>0.2</v>
      </c>
      <c r="K274" s="59" t="n">
        <f aca="false">'Via (Casas Bahia)'!$K274</f>
        <v>910.652173913043</v>
      </c>
      <c r="L274" s="60" t="n">
        <f aca="false">'Via (Casas Bahia)'!$Q274</f>
        <v>0.2</v>
      </c>
      <c r="M274" s="59" t="n">
        <f aca="false">MadeiraMadeira!$K274</f>
        <v>872.708333333333</v>
      </c>
      <c r="N274" s="60" t="n">
        <f aca="false">MadeiraMadeira!$Q274</f>
        <v>0.2</v>
      </c>
      <c r="O274" s="59" t="n">
        <f aca="false">Magalu!$K274</f>
        <v>854.897959183673</v>
      </c>
      <c r="P274" s="60" t="n">
        <f aca="false">Magalu!$Q274</f>
        <v>0.2</v>
      </c>
      <c r="Q274" s="46" t="n">
        <f aca="false">IF(COUNT($F274,$H274,$J274,$L274,$N274,$P274)=0,"",MIN($F274,$H274,$J274,$L274,$N274,$P274))</f>
        <v>0.2</v>
      </c>
      <c r="R274" s="46" t="n">
        <f aca="false">IF(COUNT($F274,$H274,$J274,$L274,$N274,$P274)=0,"",MAX($F274,$H274,$J274,$L274,$N274,$P274))</f>
        <v>0.2</v>
      </c>
      <c r="S274" s="61" t="n">
        <f aca="false">IF($A274="","",COUNT($E274,$G274,$I274,$K274,$M274,$O274))</f>
        <v>6</v>
      </c>
    </row>
    <row r="275" customFormat="false" ht="15" hidden="false" customHeight="false" outlineLevel="0" collapsed="false">
      <c r="A275" s="48" t="str">
        <f aca="false">IF(Produtos!$A275="","",Produtos!$A275)</f>
        <v>P3060R</v>
      </c>
      <c r="B275" s="48" t="str">
        <f aca="false">IF(Produtos!$A275="","",Produtos!$B275)</f>
        <v>Lixeira c/Tampa Pedal 30x60 50L c/Rodízios</v>
      </c>
      <c r="C275" s="48" t="str">
        <f aca="false">IF(Produtos!$A275="","",Produtos!$C275)</f>
        <v>Lixeiras com pedal</v>
      </c>
      <c r="D275" s="33" t="n">
        <f aca="false">IF(Produtos!$A275="","",IF(Produtos!$D275="","",Produtos!$D275))</f>
        <v>421.43</v>
      </c>
      <c r="E275" s="62" t="n">
        <f aca="false">'ML Clássico'!$K275</f>
        <v>780.425925925926</v>
      </c>
      <c r="F275" s="60" t="n">
        <f aca="false">'ML Clássico'!$Q275</f>
        <v>0.2</v>
      </c>
      <c r="G275" s="62" t="n">
        <f aca="false">'ML Premium'!$K275</f>
        <v>860.061224489796</v>
      </c>
      <c r="H275" s="60" t="n">
        <f aca="false">'ML Premium'!$Q275</f>
        <v>0.2</v>
      </c>
      <c r="I275" s="62" t="n">
        <f aca="false">Amazon!$K275</f>
        <v>780.425925925926</v>
      </c>
      <c r="J275" s="60" t="n">
        <f aca="false">Amazon!$Q275</f>
        <v>0.2</v>
      </c>
      <c r="K275" s="62" t="n">
        <f aca="false">'Via (Casas Bahia)'!$K275</f>
        <v>916.152173913044</v>
      </c>
      <c r="L275" s="60" t="n">
        <f aca="false">'Via (Casas Bahia)'!$Q275</f>
        <v>0.2</v>
      </c>
      <c r="M275" s="62" t="n">
        <f aca="false">MadeiraMadeira!$K275</f>
        <v>877.979166666667</v>
      </c>
      <c r="N275" s="60" t="n">
        <f aca="false">MadeiraMadeira!$Q275</f>
        <v>0.2</v>
      </c>
      <c r="O275" s="62" t="n">
        <f aca="false">Magalu!$K275</f>
        <v>860.061224489796</v>
      </c>
      <c r="P275" s="60" t="n">
        <f aca="false">Magalu!$Q275</f>
        <v>0.2</v>
      </c>
      <c r="Q275" s="46" t="n">
        <f aca="false">IF(COUNT($F275,$H275,$J275,$L275,$N275,$P275)=0,"",MIN($F275,$H275,$J275,$L275,$N275,$P275))</f>
        <v>0.2</v>
      </c>
      <c r="R275" s="46" t="n">
        <f aca="false">IF(COUNT($F275,$H275,$J275,$L275,$N275,$P275)=0,"",MAX($F275,$H275,$J275,$L275,$N275,$P275))</f>
        <v>0.2</v>
      </c>
      <c r="S275" s="61" t="n">
        <f aca="false">IF($A275="","",COUNT($E275,$G275,$I275,$K275,$M275,$O275))</f>
        <v>6</v>
      </c>
    </row>
    <row r="276" customFormat="false" ht="15" hidden="false" customHeight="false" outlineLevel="0" collapsed="false">
      <c r="A276" s="32" t="str">
        <f aca="false">IF(Produtos!$A276="","",Produtos!$A276)</f>
        <v>P3070R</v>
      </c>
      <c r="B276" s="32" t="str">
        <f aca="false">IF(Produtos!$A276="","",Produtos!$B276)</f>
        <v>Lixeira c/Tampa Pedal 30x70 60L c/Rodízios</v>
      </c>
      <c r="C276" s="32" t="str">
        <f aca="false">IF(Produtos!$A276="","",Produtos!$C276)</f>
        <v>Lixeiras com pedal</v>
      </c>
      <c r="D276" s="33" t="n">
        <f aca="false">IF(Produtos!$A276="","",IF(Produtos!$D276="","",Produtos!$D276))</f>
        <v>491.65</v>
      </c>
      <c r="E276" s="59" t="n">
        <f aca="false">'ML Clássico'!$K276</f>
        <v>910.462962962963</v>
      </c>
      <c r="F276" s="60" t="n">
        <f aca="false">'ML Clássico'!$Q276</f>
        <v>0.2</v>
      </c>
      <c r="G276" s="59" t="n">
        <f aca="false">'ML Premium'!$K276</f>
        <v>1003.36734693878</v>
      </c>
      <c r="H276" s="60" t="n">
        <f aca="false">'ML Premium'!$Q276</f>
        <v>0.2</v>
      </c>
      <c r="I276" s="59" t="n">
        <f aca="false">Amazon!$K276</f>
        <v>910.462962962963</v>
      </c>
      <c r="J276" s="60" t="n">
        <f aca="false">Amazon!$Q276</f>
        <v>0.2</v>
      </c>
      <c r="K276" s="59" t="n">
        <f aca="false">'Via (Casas Bahia)'!$K276</f>
        <v>1068.80434782609</v>
      </c>
      <c r="L276" s="60" t="n">
        <f aca="false">'Via (Casas Bahia)'!$Q276</f>
        <v>0.2</v>
      </c>
      <c r="M276" s="59" t="n">
        <f aca="false">MadeiraMadeira!$K276</f>
        <v>1024.27083333333</v>
      </c>
      <c r="N276" s="60" t="n">
        <f aca="false">MadeiraMadeira!$Q276</f>
        <v>0.2</v>
      </c>
      <c r="O276" s="59" t="n">
        <f aca="false">Magalu!$K276</f>
        <v>1003.36734693878</v>
      </c>
      <c r="P276" s="60" t="n">
        <f aca="false">Magalu!$Q276</f>
        <v>0.2</v>
      </c>
      <c r="Q276" s="46" t="n">
        <f aca="false">IF(COUNT($F276,$H276,$J276,$L276,$N276,$P276)=0,"",MIN($F276,$H276,$J276,$L276,$N276,$P276))</f>
        <v>0.2</v>
      </c>
      <c r="R276" s="46" t="n">
        <f aca="false">IF(COUNT($F276,$H276,$J276,$L276,$N276,$P276)=0,"",MAX($F276,$H276,$J276,$L276,$N276,$P276))</f>
        <v>0.2</v>
      </c>
      <c r="S276" s="61" t="n">
        <f aca="false">IF($A276="","",COUNT($E276,$G276,$I276,$K276,$M276,$O276))</f>
        <v>6</v>
      </c>
    </row>
    <row r="277" customFormat="false" ht="15" hidden="false" customHeight="false" outlineLevel="0" collapsed="false">
      <c r="A277" s="48" t="str">
        <f aca="false">IF(Produtos!$A277="","",Produtos!$A277)</f>
        <v>P4050R</v>
      </c>
      <c r="B277" s="48" t="str">
        <f aca="false">IF(Produtos!$A277="","",Produtos!$B277)</f>
        <v>Lixeira c/Tampa Pedal 40x50 65L c/Rodízios</v>
      </c>
      <c r="C277" s="48" t="str">
        <f aca="false">IF(Produtos!$A277="","",Produtos!$C277)</f>
        <v>Lixeiras com pedal</v>
      </c>
      <c r="D277" s="33" t="n">
        <f aca="false">IF(Produtos!$A277="","",IF(Produtos!$D277="","",Produtos!$D277))</f>
        <v>659.48</v>
      </c>
      <c r="E277" s="62" t="n">
        <f aca="false">'ML Clássico'!$K277</f>
        <v>1221.25925925926</v>
      </c>
      <c r="F277" s="60" t="n">
        <f aca="false">'ML Clássico'!$Q277</f>
        <v>0.2</v>
      </c>
      <c r="G277" s="62" t="n">
        <f aca="false">'ML Premium'!$K277</f>
        <v>1345.87755102041</v>
      </c>
      <c r="H277" s="60" t="n">
        <f aca="false">'ML Premium'!$Q277</f>
        <v>0.2</v>
      </c>
      <c r="I277" s="62" t="n">
        <f aca="false">Amazon!$K277</f>
        <v>1221.25925925926</v>
      </c>
      <c r="J277" s="60" t="n">
        <f aca="false">Amazon!$Q277</f>
        <v>0.2</v>
      </c>
      <c r="K277" s="62" t="n">
        <f aca="false">'Via (Casas Bahia)'!$K277</f>
        <v>1433.65217391304</v>
      </c>
      <c r="L277" s="60" t="n">
        <f aca="false">'Via (Casas Bahia)'!$Q277</f>
        <v>0.2</v>
      </c>
      <c r="M277" s="62" t="n">
        <f aca="false">MadeiraMadeira!$K277</f>
        <v>1373.91666666667</v>
      </c>
      <c r="N277" s="60" t="n">
        <f aca="false">MadeiraMadeira!$Q277</f>
        <v>0.2</v>
      </c>
      <c r="O277" s="62" t="n">
        <f aca="false">Magalu!$K277</f>
        <v>1345.87755102041</v>
      </c>
      <c r="P277" s="60" t="n">
        <f aca="false">Magalu!$Q277</f>
        <v>0.2</v>
      </c>
      <c r="Q277" s="46" t="n">
        <f aca="false">IF(COUNT($F277,$H277,$J277,$L277,$N277,$P277)=0,"",MIN($F277,$H277,$J277,$L277,$N277,$P277))</f>
        <v>0.2</v>
      </c>
      <c r="R277" s="46" t="n">
        <f aca="false">IF(COUNT($F277,$H277,$J277,$L277,$N277,$P277)=0,"",MAX($F277,$H277,$J277,$L277,$N277,$P277))</f>
        <v>0.2</v>
      </c>
      <c r="S277" s="61" t="n">
        <f aca="false">IF($A277="","",COUNT($E277,$G277,$I277,$K277,$M277,$O277))</f>
        <v>6</v>
      </c>
    </row>
    <row r="278" customFormat="false" ht="15" hidden="false" customHeight="false" outlineLevel="0" collapsed="false">
      <c r="A278" s="32" t="str">
        <f aca="false">IF(Produtos!$A278="","",Produtos!$A278)</f>
        <v>P4060R</v>
      </c>
      <c r="B278" s="32" t="str">
        <f aca="false">IF(Produtos!$A278="","",Produtos!$B278)</f>
        <v>Lixeira c/Tampa Pedal 40x60 75L c/Rodízios</v>
      </c>
      <c r="C278" s="32" t="str">
        <f aca="false">IF(Produtos!$A278="","",Produtos!$C278)</f>
        <v>Lixeiras com pedal</v>
      </c>
      <c r="D278" s="33" t="n">
        <f aca="false">IF(Produtos!$A278="","",IF(Produtos!$D278="","",Produtos!$D278))</f>
        <v>700.75</v>
      </c>
      <c r="E278" s="59" t="n">
        <f aca="false">'ML Clássico'!$K278</f>
        <v>1297.68518518519</v>
      </c>
      <c r="F278" s="60" t="n">
        <f aca="false">'ML Clássico'!$Q278</f>
        <v>0.2</v>
      </c>
      <c r="G278" s="59" t="n">
        <f aca="false">'ML Premium'!$K278</f>
        <v>1430.10204081633</v>
      </c>
      <c r="H278" s="60" t="n">
        <f aca="false">'ML Premium'!$Q278</f>
        <v>0.2</v>
      </c>
      <c r="I278" s="59" t="n">
        <f aca="false">Amazon!$K278</f>
        <v>1297.68518518519</v>
      </c>
      <c r="J278" s="60" t="n">
        <f aca="false">Amazon!$Q278</f>
        <v>0.2</v>
      </c>
      <c r="K278" s="59" t="n">
        <f aca="false">'Via (Casas Bahia)'!$K278</f>
        <v>1523.36956521739</v>
      </c>
      <c r="L278" s="60" t="n">
        <f aca="false">'Via (Casas Bahia)'!$Q278</f>
        <v>0.2</v>
      </c>
      <c r="M278" s="59" t="n">
        <f aca="false">MadeiraMadeira!$K278</f>
        <v>1459.89583333333</v>
      </c>
      <c r="N278" s="60" t="n">
        <f aca="false">MadeiraMadeira!$Q278</f>
        <v>0.2</v>
      </c>
      <c r="O278" s="59" t="n">
        <f aca="false">Magalu!$K278</f>
        <v>1430.10204081633</v>
      </c>
      <c r="P278" s="60" t="n">
        <f aca="false">Magalu!$Q278</f>
        <v>0.2</v>
      </c>
      <c r="Q278" s="46" t="n">
        <f aca="false">IF(COUNT($F278,$H278,$J278,$L278,$N278,$P278)=0,"",MIN($F278,$H278,$J278,$L278,$N278,$P278))</f>
        <v>0.2</v>
      </c>
      <c r="R278" s="46" t="n">
        <f aca="false">IF(COUNT($F278,$H278,$J278,$L278,$N278,$P278)=0,"",MAX($F278,$H278,$J278,$L278,$N278,$P278))</f>
        <v>0.2</v>
      </c>
      <c r="S278" s="61" t="n">
        <f aca="false">IF($A278="","",COUNT($E278,$G278,$I278,$K278,$M278,$O278))</f>
        <v>6</v>
      </c>
    </row>
    <row r="279" customFormat="false" ht="15" hidden="false" customHeight="false" outlineLevel="0" collapsed="false">
      <c r="A279" s="48" t="str">
        <f aca="false">IF(Produtos!$A279="","",Produtos!$A279)</f>
        <v>P4070R</v>
      </c>
      <c r="B279" s="48" t="str">
        <f aca="false">IF(Produtos!$A279="","",Produtos!$B279)</f>
        <v>Lixeira c/Tampa Pedal 40x70 80L c/Rodízios</v>
      </c>
      <c r="C279" s="48" t="str">
        <f aca="false">IF(Produtos!$A279="","",Produtos!$C279)</f>
        <v>Lixeiras com pedal</v>
      </c>
      <c r="D279" s="33" t="n">
        <f aca="false">IF(Produtos!$A279="","",IF(Produtos!$D279="","",Produtos!$D279))</f>
        <v>709.85</v>
      </c>
      <c r="E279" s="62" t="n">
        <f aca="false">'ML Clássico'!$K279</f>
        <v>1314.53703703704</v>
      </c>
      <c r="F279" s="60" t="n">
        <f aca="false">'ML Clássico'!$Q279</f>
        <v>0.2</v>
      </c>
      <c r="G279" s="62" t="n">
        <f aca="false">'ML Premium'!$K279</f>
        <v>1448.67346938776</v>
      </c>
      <c r="H279" s="60" t="n">
        <f aca="false">'ML Premium'!$Q279</f>
        <v>0.2</v>
      </c>
      <c r="I279" s="62" t="n">
        <f aca="false">Amazon!$K279</f>
        <v>1314.53703703704</v>
      </c>
      <c r="J279" s="60" t="n">
        <f aca="false">Amazon!$Q279</f>
        <v>0.2</v>
      </c>
      <c r="K279" s="62" t="n">
        <f aca="false">'Via (Casas Bahia)'!$K279</f>
        <v>1543.15217391304</v>
      </c>
      <c r="L279" s="60" t="n">
        <f aca="false">'Via (Casas Bahia)'!$Q279</f>
        <v>0.2</v>
      </c>
      <c r="M279" s="62" t="n">
        <f aca="false">MadeiraMadeira!$K279</f>
        <v>1478.85416666667</v>
      </c>
      <c r="N279" s="60" t="n">
        <f aca="false">MadeiraMadeira!$Q279</f>
        <v>0.2</v>
      </c>
      <c r="O279" s="62" t="n">
        <f aca="false">Magalu!$K279</f>
        <v>1448.67346938776</v>
      </c>
      <c r="P279" s="60" t="n">
        <f aca="false">Magalu!$Q279</f>
        <v>0.2</v>
      </c>
      <c r="Q279" s="46" t="n">
        <f aca="false">IF(COUNT($F279,$H279,$J279,$L279,$N279,$P279)=0,"",MIN($F279,$H279,$J279,$L279,$N279,$P279))</f>
        <v>0.2</v>
      </c>
      <c r="R279" s="46" t="n">
        <f aca="false">IF(COUNT($F279,$H279,$J279,$L279,$N279,$P279)=0,"",MAX($F279,$H279,$J279,$L279,$N279,$P279))</f>
        <v>0.2</v>
      </c>
      <c r="S279" s="61" t="n">
        <f aca="false">IF($A279="","",COUNT($E279,$G279,$I279,$K279,$M279,$O279))</f>
        <v>6</v>
      </c>
    </row>
    <row r="280" customFormat="false" ht="15" hidden="false" customHeight="false" outlineLevel="0" collapsed="false">
      <c r="A280" s="32" t="str">
        <f aca="false">IF(Produtos!$A280="","",Produtos!$A280)</f>
        <v>P4075R</v>
      </c>
      <c r="B280" s="32" t="str">
        <f aca="false">IF(Produtos!$A280="","",Produtos!$B280)</f>
        <v>Lixeira c/Tampa Pedal 40x75 95L c/Rodízios</v>
      </c>
      <c r="C280" s="32" t="str">
        <f aca="false">IF(Produtos!$A280="","",Produtos!$C280)</f>
        <v>Lixeiras com pedal</v>
      </c>
      <c r="D280" s="33" t="n">
        <f aca="false">IF(Produtos!$A280="","",IF(Produtos!$D280="","",Produtos!$D280))</f>
        <v>771.39</v>
      </c>
      <c r="E280" s="59" t="n">
        <f aca="false">'ML Clássico'!$K280</f>
        <v>1428.5</v>
      </c>
      <c r="F280" s="60" t="n">
        <f aca="false">'ML Clássico'!$Q280</f>
        <v>0.2</v>
      </c>
      <c r="G280" s="59" t="n">
        <f aca="false">'ML Premium'!$K280</f>
        <v>1574.26530612245</v>
      </c>
      <c r="H280" s="60" t="n">
        <f aca="false">'ML Premium'!$Q280</f>
        <v>0.2</v>
      </c>
      <c r="I280" s="59" t="n">
        <f aca="false">Amazon!$K280</f>
        <v>1428.5</v>
      </c>
      <c r="J280" s="60" t="n">
        <f aca="false">Amazon!$Q280</f>
        <v>0.2</v>
      </c>
      <c r="K280" s="59" t="n">
        <f aca="false">'Via (Casas Bahia)'!$K280</f>
        <v>1676.9347826087</v>
      </c>
      <c r="L280" s="60" t="n">
        <f aca="false">'Via (Casas Bahia)'!$Q280</f>
        <v>0.2</v>
      </c>
      <c r="M280" s="59" t="n">
        <f aca="false">MadeiraMadeira!$K280</f>
        <v>1607.0625</v>
      </c>
      <c r="N280" s="60" t="n">
        <f aca="false">MadeiraMadeira!$Q280</f>
        <v>0.2</v>
      </c>
      <c r="O280" s="59" t="n">
        <f aca="false">Magalu!$K280</f>
        <v>1574.26530612245</v>
      </c>
      <c r="P280" s="60" t="n">
        <f aca="false">Magalu!$Q280</f>
        <v>0.2</v>
      </c>
      <c r="Q280" s="46" t="n">
        <f aca="false">IF(COUNT($F280,$H280,$J280,$L280,$N280,$P280)=0,"",MIN($F280,$H280,$J280,$L280,$N280,$P280))</f>
        <v>0.2</v>
      </c>
      <c r="R280" s="46" t="n">
        <f aca="false">IF(COUNT($F280,$H280,$J280,$L280,$N280,$P280)=0,"",MAX($F280,$H280,$J280,$L280,$N280,$P280))</f>
        <v>0.2</v>
      </c>
      <c r="S280" s="61" t="n">
        <f aca="false">IF($A280="","",COUNT($E280,$G280,$I280,$K280,$M280,$O280))</f>
        <v>6</v>
      </c>
    </row>
    <row r="281" customFormat="false" ht="15" hidden="false" customHeight="false" outlineLevel="0" collapsed="false">
      <c r="A281" s="48" t="str">
        <f aca="false">IF(Produtos!$A281="","",Produtos!$A281)</f>
        <v>P4080R</v>
      </c>
      <c r="B281" s="48" t="str">
        <f aca="false">IF(Produtos!$A281="","",Produtos!$B281)</f>
        <v>Lixeira c/Tampa Pedal 40x80 100L c/Rodízios</v>
      </c>
      <c r="C281" s="48" t="str">
        <f aca="false">IF(Produtos!$A281="","",Produtos!$C281)</f>
        <v>Lixeiras com pedal</v>
      </c>
      <c r="D281" s="33" t="n">
        <f aca="false">IF(Produtos!$A281="","",IF(Produtos!$D281="","",Produtos!$D281))</f>
        <v>847.75</v>
      </c>
      <c r="E281" s="62" t="n">
        <f aca="false">'ML Clássico'!$K281</f>
        <v>1569.90740740741</v>
      </c>
      <c r="F281" s="60" t="n">
        <f aca="false">'ML Clássico'!$Q281</f>
        <v>0.2</v>
      </c>
      <c r="G281" s="62" t="n">
        <f aca="false">'ML Premium'!$K281</f>
        <v>1730.10204081633</v>
      </c>
      <c r="H281" s="60" t="n">
        <f aca="false">'ML Premium'!$Q281</f>
        <v>0.2</v>
      </c>
      <c r="I281" s="62" t="n">
        <f aca="false">Amazon!$K281</f>
        <v>1569.90740740741</v>
      </c>
      <c r="J281" s="60" t="n">
        <f aca="false">Amazon!$Q281</f>
        <v>0.2</v>
      </c>
      <c r="K281" s="62" t="n">
        <f aca="false">'Via (Casas Bahia)'!$K281</f>
        <v>1842.9347826087</v>
      </c>
      <c r="L281" s="60" t="n">
        <f aca="false">'Via (Casas Bahia)'!$Q281</f>
        <v>0.2</v>
      </c>
      <c r="M281" s="62" t="n">
        <f aca="false">MadeiraMadeira!$K281</f>
        <v>1766.14583333333</v>
      </c>
      <c r="N281" s="60" t="n">
        <f aca="false">MadeiraMadeira!$Q281</f>
        <v>0.2</v>
      </c>
      <c r="O281" s="62" t="n">
        <f aca="false">Magalu!$K281</f>
        <v>1730.10204081633</v>
      </c>
      <c r="P281" s="60" t="n">
        <f aca="false">Magalu!$Q281</f>
        <v>0.2</v>
      </c>
      <c r="Q281" s="46" t="n">
        <f aca="false">IF(COUNT($F281,$H281,$J281,$L281,$N281,$P281)=0,"",MIN($F281,$H281,$J281,$L281,$N281,$P281))</f>
        <v>0.2</v>
      </c>
      <c r="R281" s="46" t="n">
        <f aca="false">IF(COUNT($F281,$H281,$J281,$L281,$N281,$P281)=0,"",MAX($F281,$H281,$J281,$L281,$N281,$P281))</f>
        <v>0.2</v>
      </c>
      <c r="S281" s="61" t="n">
        <f aca="false">IF($A281="","",COUNT($E281,$G281,$I281,$K281,$M281,$O281))</f>
        <v>6</v>
      </c>
    </row>
    <row r="282" customFormat="false" ht="15" hidden="false" customHeight="false" outlineLevel="0" collapsed="false">
      <c r="A282" s="32" t="str">
        <f aca="false">IF(Produtos!$A282="","",Produtos!$A282)</f>
        <v>P4090R</v>
      </c>
      <c r="B282" s="32" t="str">
        <f aca="false">IF(Produtos!$A282="","",Produtos!$B282)</f>
        <v>Lixeira c/Tampa Pedal 40x90 120L c/Rodízios</v>
      </c>
      <c r="C282" s="32" t="str">
        <f aca="false">IF(Produtos!$A282="","",Produtos!$C282)</f>
        <v>Lixeiras com pedal</v>
      </c>
      <c r="D282" s="33" t="n">
        <f aca="false">IF(Produtos!$A282="","",IF(Produtos!$D282="","",Produtos!$D282))</f>
        <v>1057.78</v>
      </c>
      <c r="E282" s="59" t="n">
        <f aca="false">'ML Clássico'!$K282</f>
        <v>1958.85185185185</v>
      </c>
      <c r="F282" s="60" t="n">
        <f aca="false">'ML Clássico'!$Q282</f>
        <v>0.2</v>
      </c>
      <c r="G282" s="59" t="n">
        <f aca="false">'ML Premium'!$K282</f>
        <v>2158.73469387755</v>
      </c>
      <c r="H282" s="60" t="n">
        <f aca="false">'ML Premium'!$Q282</f>
        <v>0.2</v>
      </c>
      <c r="I282" s="59" t="n">
        <f aca="false">Amazon!$K282</f>
        <v>1958.85185185185</v>
      </c>
      <c r="J282" s="60" t="n">
        <f aca="false">Amazon!$Q282</f>
        <v>0.2</v>
      </c>
      <c r="K282" s="59" t="n">
        <f aca="false">'Via (Casas Bahia)'!$K282</f>
        <v>2299.52173913043</v>
      </c>
      <c r="L282" s="60" t="n">
        <f aca="false">'Via (Casas Bahia)'!$Q282</f>
        <v>0.2</v>
      </c>
      <c r="M282" s="59" t="n">
        <f aca="false">MadeiraMadeira!$K282</f>
        <v>2203.70833333333</v>
      </c>
      <c r="N282" s="60" t="n">
        <f aca="false">MadeiraMadeira!$Q282</f>
        <v>0.2</v>
      </c>
      <c r="O282" s="59" t="n">
        <f aca="false">Magalu!$K282</f>
        <v>2158.73469387755</v>
      </c>
      <c r="P282" s="60" t="n">
        <f aca="false">Magalu!$Q282</f>
        <v>0.2</v>
      </c>
      <c r="Q282" s="46" t="n">
        <f aca="false">IF(COUNT($F282,$H282,$J282,$L282,$N282,$P282)=0,"",MIN($F282,$H282,$J282,$L282,$N282,$P282))</f>
        <v>0.2</v>
      </c>
      <c r="R282" s="46" t="n">
        <f aca="false">IF(COUNT($F282,$H282,$J282,$L282,$N282,$P282)=0,"",MAX($F282,$H282,$J282,$L282,$N282,$P282))</f>
        <v>0.2</v>
      </c>
      <c r="S282" s="61" t="n">
        <f aca="false">IF($A282="","",COUNT($E282,$G282,$I282,$K282,$M282,$O282))</f>
        <v>6</v>
      </c>
    </row>
    <row r="283" customFormat="false" ht="15" hidden="false" customHeight="false" outlineLevel="0" collapsed="false">
      <c r="A283" s="48" t="str">
        <f aca="false">IF(Produtos!$A283="","",Produtos!$A283)</f>
        <v>P1618ALC</v>
      </c>
      <c r="B283" s="48" t="str">
        <f aca="false">IF(Produtos!$A283="","",Produtos!$B283)</f>
        <v>Lixeira c/Tampa Pedal 16x18 03L c/Alças</v>
      </c>
      <c r="C283" s="48" t="str">
        <f aca="false">IF(Produtos!$A283="","",Produtos!$C283)</f>
        <v>Lixeiras com pedal</v>
      </c>
      <c r="D283" s="33" t="n">
        <f aca="false">IF(Produtos!$A283="","",IF(Produtos!$D283="","",Produtos!$D283))</f>
        <v>156.92</v>
      </c>
      <c r="E283" s="62" t="n">
        <f aca="false">'ML Clássico'!$K283</f>
        <v>290.592592592593</v>
      </c>
      <c r="F283" s="60" t="n">
        <f aca="false">'ML Clássico'!$Q283</f>
        <v>0.2</v>
      </c>
      <c r="G283" s="62" t="n">
        <f aca="false">'ML Premium'!$K283</f>
        <v>320.244897959184</v>
      </c>
      <c r="H283" s="60" t="n">
        <f aca="false">'ML Premium'!$Q283</f>
        <v>0.2</v>
      </c>
      <c r="I283" s="62" t="n">
        <f aca="false">Amazon!$K283</f>
        <v>290.592592592593</v>
      </c>
      <c r="J283" s="60" t="n">
        <f aca="false">Amazon!$Q283</f>
        <v>0.2</v>
      </c>
      <c r="K283" s="62" t="n">
        <f aca="false">'Via (Casas Bahia)'!$K283</f>
        <v>341.130434782609</v>
      </c>
      <c r="L283" s="60" t="n">
        <f aca="false">'Via (Casas Bahia)'!$Q283</f>
        <v>0.2</v>
      </c>
      <c r="M283" s="62" t="n">
        <f aca="false">MadeiraMadeira!$K283</f>
        <v>326.916666666667</v>
      </c>
      <c r="N283" s="60" t="n">
        <f aca="false">MadeiraMadeira!$Q283</f>
        <v>0.2</v>
      </c>
      <c r="O283" s="62" t="n">
        <f aca="false">Magalu!$K283</f>
        <v>320.244897959184</v>
      </c>
      <c r="P283" s="60" t="n">
        <f aca="false">Magalu!$Q283</f>
        <v>0.2</v>
      </c>
      <c r="Q283" s="46" t="n">
        <f aca="false">IF(COUNT($F283,$H283,$J283,$L283,$N283,$P283)=0,"",MIN($F283,$H283,$J283,$L283,$N283,$P283))</f>
        <v>0.2</v>
      </c>
      <c r="R283" s="46" t="n">
        <f aca="false">IF(COUNT($F283,$H283,$J283,$L283,$N283,$P283)=0,"",MAX($F283,$H283,$J283,$L283,$N283,$P283))</f>
        <v>0.2</v>
      </c>
      <c r="S283" s="61" t="n">
        <f aca="false">IF($A283="","",COUNT($E283,$G283,$I283,$K283,$M283,$O283))</f>
        <v>6</v>
      </c>
    </row>
    <row r="284" customFormat="false" ht="15" hidden="false" customHeight="false" outlineLevel="0" collapsed="false">
      <c r="A284" s="32" t="str">
        <f aca="false">IF(Produtos!$A284="","",Produtos!$A284)</f>
        <v>P1623ALC</v>
      </c>
      <c r="B284" s="32" t="str">
        <f aca="false">IF(Produtos!$A284="","",Produtos!$B284)</f>
        <v>Lixeira c/Tampa Pedal 16x23 05L c/Alças</v>
      </c>
      <c r="C284" s="32" t="str">
        <f aca="false">IF(Produtos!$A284="","",Produtos!$C284)</f>
        <v>Lixeiras com pedal</v>
      </c>
      <c r="D284" s="33" t="n">
        <f aca="false">IF(Produtos!$A284="","",IF(Produtos!$D284="","",Produtos!$D284))</f>
        <v>170.79</v>
      </c>
      <c r="E284" s="59" t="n">
        <f aca="false">'ML Clássico'!$K284</f>
        <v>316.277777777778</v>
      </c>
      <c r="F284" s="60" t="n">
        <f aca="false">'ML Clássico'!$Q284</f>
        <v>0.2</v>
      </c>
      <c r="G284" s="59" t="n">
        <f aca="false">'ML Premium'!$K284</f>
        <v>348.551020408163</v>
      </c>
      <c r="H284" s="60" t="n">
        <f aca="false">'ML Premium'!$Q284</f>
        <v>0.2</v>
      </c>
      <c r="I284" s="59" t="n">
        <f aca="false">Amazon!$K284</f>
        <v>316.277777777778</v>
      </c>
      <c r="J284" s="60" t="n">
        <f aca="false">Amazon!$Q284</f>
        <v>0.2</v>
      </c>
      <c r="K284" s="59" t="n">
        <f aca="false">'Via (Casas Bahia)'!$K284</f>
        <v>371.282608695652</v>
      </c>
      <c r="L284" s="60" t="n">
        <f aca="false">'Via (Casas Bahia)'!$Q284</f>
        <v>0.2</v>
      </c>
      <c r="M284" s="59" t="n">
        <f aca="false">MadeiraMadeira!$K284</f>
        <v>355.8125</v>
      </c>
      <c r="N284" s="60" t="n">
        <f aca="false">MadeiraMadeira!$Q284</f>
        <v>0.2</v>
      </c>
      <c r="O284" s="59" t="n">
        <f aca="false">Magalu!$K284</f>
        <v>348.551020408163</v>
      </c>
      <c r="P284" s="60" t="n">
        <f aca="false">Magalu!$Q284</f>
        <v>0.2</v>
      </c>
      <c r="Q284" s="46" t="n">
        <f aca="false">IF(COUNT($F284,$H284,$J284,$L284,$N284,$P284)=0,"",MIN($F284,$H284,$J284,$L284,$N284,$P284))</f>
        <v>0.2</v>
      </c>
      <c r="R284" s="46" t="n">
        <f aca="false">IF(COUNT($F284,$H284,$J284,$L284,$N284,$P284)=0,"",MAX($F284,$H284,$J284,$L284,$N284,$P284))</f>
        <v>0.2</v>
      </c>
      <c r="S284" s="61" t="n">
        <f aca="false">IF($A284="","",COUNT($E284,$G284,$I284,$K284,$M284,$O284))</f>
        <v>6</v>
      </c>
    </row>
    <row r="285" customFormat="false" ht="15" hidden="false" customHeight="false" outlineLevel="0" collapsed="false">
      <c r="A285" s="48" t="str">
        <f aca="false">IF(Produtos!$A285="","",Produtos!$A285)</f>
        <v>P2025ALC</v>
      </c>
      <c r="B285" s="48" t="str">
        <f aca="false">IF(Produtos!$A285="","",Produtos!$B285)</f>
        <v>Lixeira c/Tampa Pedal 20x25 07L c/Alças</v>
      </c>
      <c r="C285" s="48" t="str">
        <f aca="false">IF(Produtos!$A285="","",Produtos!$C285)</f>
        <v>Lixeiras com pedal</v>
      </c>
      <c r="D285" s="33" t="n">
        <f aca="false">IF(Produtos!$A285="","",IF(Produtos!$D285="","",Produtos!$D285))</f>
        <v>175.76</v>
      </c>
      <c r="E285" s="62" t="n">
        <f aca="false">'ML Clássico'!$K285</f>
        <v>325.481481481481</v>
      </c>
      <c r="F285" s="60" t="n">
        <f aca="false">'ML Clássico'!$Q285</f>
        <v>0.2</v>
      </c>
      <c r="G285" s="62" t="n">
        <f aca="false">'ML Premium'!$K285</f>
        <v>358.69387755102</v>
      </c>
      <c r="H285" s="60" t="n">
        <f aca="false">'ML Premium'!$Q285</f>
        <v>0.2</v>
      </c>
      <c r="I285" s="62" t="n">
        <f aca="false">Amazon!$K285</f>
        <v>325.481481481481</v>
      </c>
      <c r="J285" s="60" t="n">
        <f aca="false">Amazon!$Q285</f>
        <v>0.2</v>
      </c>
      <c r="K285" s="62" t="n">
        <f aca="false">'Via (Casas Bahia)'!$K285</f>
        <v>382.086956521739</v>
      </c>
      <c r="L285" s="60" t="n">
        <f aca="false">'Via (Casas Bahia)'!$Q285</f>
        <v>0.2</v>
      </c>
      <c r="M285" s="62" t="n">
        <f aca="false">MadeiraMadeira!$K285</f>
        <v>366.166666666667</v>
      </c>
      <c r="N285" s="60" t="n">
        <f aca="false">MadeiraMadeira!$Q285</f>
        <v>0.2</v>
      </c>
      <c r="O285" s="62" t="n">
        <f aca="false">Magalu!$K285</f>
        <v>358.69387755102</v>
      </c>
      <c r="P285" s="60" t="n">
        <f aca="false">Magalu!$Q285</f>
        <v>0.2</v>
      </c>
      <c r="Q285" s="46" t="n">
        <f aca="false">IF(COUNT($F285,$H285,$J285,$L285,$N285,$P285)=0,"",MIN($F285,$H285,$J285,$L285,$N285,$P285))</f>
        <v>0.2</v>
      </c>
      <c r="R285" s="46" t="n">
        <f aca="false">IF(COUNT($F285,$H285,$J285,$L285,$N285,$P285)=0,"",MAX($F285,$H285,$J285,$L285,$N285,$P285))</f>
        <v>0.2</v>
      </c>
      <c r="S285" s="61" t="n">
        <f aca="false">IF($A285="","",COUNT($E285,$G285,$I285,$K285,$M285,$O285))</f>
        <v>6</v>
      </c>
    </row>
    <row r="286" customFormat="false" ht="15" hidden="false" customHeight="false" outlineLevel="0" collapsed="false">
      <c r="A286" s="32" t="str">
        <f aca="false">IF(Produtos!$A286="","",Produtos!$A286)</f>
        <v>P2030ALC</v>
      </c>
      <c r="B286" s="32" t="str">
        <f aca="false">IF(Produtos!$A286="","",Produtos!$B286)</f>
        <v>Lixeira c/Tampa Pedal 20x30 10L c/Alças</v>
      </c>
      <c r="C286" s="32" t="str">
        <f aca="false">IF(Produtos!$A286="","",Produtos!$C286)</f>
        <v>Lixeiras com pedal</v>
      </c>
      <c r="D286" s="33" t="n">
        <f aca="false">IF(Produtos!$A286="","",IF(Produtos!$D286="","",Produtos!$D286))</f>
        <v>190.1</v>
      </c>
      <c r="E286" s="59" t="n">
        <f aca="false">'ML Clássico'!$K286</f>
        <v>352.037037037037</v>
      </c>
      <c r="F286" s="60" t="n">
        <f aca="false">'ML Clássico'!$Q286</f>
        <v>0.2</v>
      </c>
      <c r="G286" s="59" t="n">
        <f aca="false">'ML Premium'!$K286</f>
        <v>387.959183673469</v>
      </c>
      <c r="H286" s="60" t="n">
        <f aca="false">'ML Premium'!$Q286</f>
        <v>0.2</v>
      </c>
      <c r="I286" s="59" t="n">
        <f aca="false">Amazon!$K286</f>
        <v>352.037037037037</v>
      </c>
      <c r="J286" s="60" t="n">
        <f aca="false">Amazon!$Q286</f>
        <v>0.2</v>
      </c>
      <c r="K286" s="59" t="n">
        <f aca="false">'Via (Casas Bahia)'!$K286</f>
        <v>413.260869565217</v>
      </c>
      <c r="L286" s="60" t="n">
        <f aca="false">'Via (Casas Bahia)'!$Q286</f>
        <v>0.2</v>
      </c>
      <c r="M286" s="59" t="n">
        <f aca="false">MadeiraMadeira!$K286</f>
        <v>396.041666666667</v>
      </c>
      <c r="N286" s="60" t="n">
        <f aca="false">MadeiraMadeira!$Q286</f>
        <v>0.2</v>
      </c>
      <c r="O286" s="59" t="n">
        <f aca="false">Magalu!$K286</f>
        <v>387.959183673469</v>
      </c>
      <c r="P286" s="60" t="n">
        <f aca="false">Magalu!$Q286</f>
        <v>0.2</v>
      </c>
      <c r="Q286" s="46" t="n">
        <f aca="false">IF(COUNT($F286,$H286,$J286,$L286,$N286,$P286)=0,"",MIN($F286,$H286,$J286,$L286,$N286,$P286))</f>
        <v>0.2</v>
      </c>
      <c r="R286" s="46" t="n">
        <f aca="false">IF(COUNT($F286,$H286,$J286,$L286,$N286,$P286)=0,"",MAX($F286,$H286,$J286,$L286,$N286,$P286))</f>
        <v>0.2</v>
      </c>
      <c r="S286" s="61" t="n">
        <f aca="false">IF($A286="","",COUNT($E286,$G286,$I286,$K286,$M286,$O286))</f>
        <v>6</v>
      </c>
    </row>
    <row r="287" customFormat="false" ht="15" hidden="false" customHeight="false" outlineLevel="0" collapsed="false">
      <c r="A287" s="48" t="str">
        <f aca="false">IF(Produtos!$A287="","",Produtos!$A287)</f>
        <v>P2425ALC</v>
      </c>
      <c r="B287" s="48" t="str">
        <f aca="false">IF(Produtos!$A287="","",Produtos!$B287)</f>
        <v>Lixeira c/Tampa Pedal 24x25 12L c/Alças</v>
      </c>
      <c r="C287" s="48" t="str">
        <f aca="false">IF(Produtos!$A287="","",Produtos!$C287)</f>
        <v>Lixeiras com pedal</v>
      </c>
      <c r="D287" s="33" t="n">
        <f aca="false">IF(Produtos!$A287="","",IF(Produtos!$D287="","",Produtos!$D287))</f>
        <v>192.87</v>
      </c>
      <c r="E287" s="62" t="n">
        <f aca="false">'ML Clássico'!$K287</f>
        <v>357.166666666667</v>
      </c>
      <c r="F287" s="60" t="n">
        <f aca="false">'ML Clássico'!$Q287</f>
        <v>0.2</v>
      </c>
      <c r="G287" s="62" t="n">
        <f aca="false">'ML Premium'!$K287</f>
        <v>393.612244897959</v>
      </c>
      <c r="H287" s="60" t="n">
        <f aca="false">'ML Premium'!$Q287</f>
        <v>0.2</v>
      </c>
      <c r="I287" s="62" t="n">
        <f aca="false">Amazon!$K287</f>
        <v>357.166666666667</v>
      </c>
      <c r="J287" s="60" t="n">
        <f aca="false">Amazon!$Q287</f>
        <v>0.2</v>
      </c>
      <c r="K287" s="62" t="n">
        <f aca="false">'Via (Casas Bahia)'!$K287</f>
        <v>419.282608695652</v>
      </c>
      <c r="L287" s="60" t="n">
        <f aca="false">'Via (Casas Bahia)'!$Q287</f>
        <v>0.2</v>
      </c>
      <c r="M287" s="62" t="n">
        <f aca="false">MadeiraMadeira!$K287</f>
        <v>401.8125</v>
      </c>
      <c r="N287" s="60" t="n">
        <f aca="false">MadeiraMadeira!$Q287</f>
        <v>0.2</v>
      </c>
      <c r="O287" s="62" t="n">
        <f aca="false">Magalu!$K287</f>
        <v>393.612244897959</v>
      </c>
      <c r="P287" s="60" t="n">
        <f aca="false">Magalu!$Q287</f>
        <v>0.2</v>
      </c>
      <c r="Q287" s="46" t="n">
        <f aca="false">IF(COUNT($F287,$H287,$J287,$L287,$N287,$P287)=0,"",MIN($F287,$H287,$J287,$L287,$N287,$P287))</f>
        <v>0.2</v>
      </c>
      <c r="R287" s="46" t="n">
        <f aca="false">IF(COUNT($F287,$H287,$J287,$L287,$N287,$P287)=0,"",MAX($F287,$H287,$J287,$L287,$N287,$P287))</f>
        <v>0.2</v>
      </c>
      <c r="S287" s="61" t="n">
        <f aca="false">IF($A287="","",COUNT($E287,$G287,$I287,$K287,$M287,$O287))</f>
        <v>6</v>
      </c>
    </row>
    <row r="288" customFormat="false" ht="15" hidden="false" customHeight="false" outlineLevel="0" collapsed="false">
      <c r="A288" s="32" t="str">
        <f aca="false">IF(Produtos!$A288="","",Produtos!$A288)</f>
        <v>P2430ALC</v>
      </c>
      <c r="B288" s="32" t="str">
        <f aca="false">IF(Produtos!$A288="","",Produtos!$B288)</f>
        <v>Lixeira c/Tampa Pedal 24x30 15L c/Alças</v>
      </c>
      <c r="C288" s="32" t="str">
        <f aca="false">IF(Produtos!$A288="","",Produtos!$C288)</f>
        <v>Lixeiras com pedal</v>
      </c>
      <c r="D288" s="33" t="n">
        <f aca="false">IF(Produtos!$A288="","",IF(Produtos!$D288="","",Produtos!$D288))</f>
        <v>206.44</v>
      </c>
      <c r="E288" s="59" t="n">
        <f aca="false">'ML Clássico'!$K288</f>
        <v>382.296296296296</v>
      </c>
      <c r="F288" s="60" t="n">
        <f aca="false">'ML Clássico'!$Q288</f>
        <v>0.2</v>
      </c>
      <c r="G288" s="59" t="n">
        <f aca="false">'ML Premium'!$K288</f>
        <v>421.30612244898</v>
      </c>
      <c r="H288" s="60" t="n">
        <f aca="false">'ML Premium'!$Q288</f>
        <v>0.2</v>
      </c>
      <c r="I288" s="59" t="n">
        <f aca="false">Amazon!$K288</f>
        <v>382.296296296296</v>
      </c>
      <c r="J288" s="60" t="n">
        <f aca="false">Amazon!$Q288</f>
        <v>0.2</v>
      </c>
      <c r="K288" s="59" t="n">
        <f aca="false">'Via (Casas Bahia)'!$K288</f>
        <v>448.782608695652</v>
      </c>
      <c r="L288" s="60" t="n">
        <f aca="false">'Via (Casas Bahia)'!$Q288</f>
        <v>0.2</v>
      </c>
      <c r="M288" s="59" t="n">
        <f aca="false">MadeiraMadeira!$K288</f>
        <v>430.083333333333</v>
      </c>
      <c r="N288" s="60" t="n">
        <f aca="false">MadeiraMadeira!$Q288</f>
        <v>0.2</v>
      </c>
      <c r="O288" s="59" t="n">
        <f aca="false">Magalu!$K288</f>
        <v>421.30612244898</v>
      </c>
      <c r="P288" s="60" t="n">
        <f aca="false">Magalu!$Q288</f>
        <v>0.2</v>
      </c>
      <c r="Q288" s="46" t="n">
        <f aca="false">IF(COUNT($F288,$H288,$J288,$L288,$N288,$P288)=0,"",MIN($F288,$H288,$J288,$L288,$N288,$P288))</f>
        <v>0.2</v>
      </c>
      <c r="R288" s="46" t="n">
        <f aca="false">IF(COUNT($F288,$H288,$J288,$L288,$N288,$P288)=0,"",MAX($F288,$H288,$J288,$L288,$N288,$P288))</f>
        <v>0.2</v>
      </c>
      <c r="S288" s="61" t="n">
        <f aca="false">IF($A288="","",COUNT($E288,$G288,$I288,$K288,$M288,$O288))</f>
        <v>6</v>
      </c>
    </row>
    <row r="289" customFormat="false" ht="15" hidden="false" customHeight="false" outlineLevel="0" collapsed="false">
      <c r="A289" s="48" t="str">
        <f aca="false">IF(Produtos!$A289="","",Produtos!$A289)</f>
        <v>P2440ALC</v>
      </c>
      <c r="B289" s="48" t="str">
        <f aca="false">IF(Produtos!$A289="","",Produtos!$B289)</f>
        <v>Lixeira c/Tampa Pedal 24x40 20L c/Alças</v>
      </c>
      <c r="C289" s="48" t="str">
        <f aca="false">IF(Produtos!$A289="","",Produtos!$C289)</f>
        <v>Lixeiras com pedal</v>
      </c>
      <c r="D289" s="33" t="n">
        <f aca="false">IF(Produtos!$A289="","",IF(Produtos!$D289="","",Produtos!$D289))</f>
        <v>217.38</v>
      </c>
      <c r="E289" s="62" t="n">
        <f aca="false">'ML Clássico'!$K289</f>
        <v>430.45128</v>
      </c>
      <c r="F289" s="60" t="n">
        <f aca="false">'ML Clássico'!$Q289</f>
        <v>0.17704317199382</v>
      </c>
      <c r="G289" s="62" t="n">
        <f aca="false">'ML Premium'!$K289</f>
        <v>451.04542875</v>
      </c>
      <c r="H289" s="60" t="n">
        <f aca="false">'ML Premium'!$Q289</f>
        <v>0.173203636974006</v>
      </c>
      <c r="I289" s="62" t="n">
        <f aca="false">Amazon!$K289</f>
        <v>402.555555555556</v>
      </c>
      <c r="J289" s="60" t="n">
        <f aca="false">Amazon!$Q289</f>
        <v>0.2</v>
      </c>
      <c r="K289" s="62" t="n">
        <f aca="false">'Via (Casas Bahia)'!$K289</f>
        <v>472.565217391304</v>
      </c>
      <c r="L289" s="60" t="n">
        <f aca="false">'Via (Casas Bahia)'!$Q289</f>
        <v>0.2</v>
      </c>
      <c r="M289" s="62" t="n">
        <f aca="false">MadeiraMadeira!$K289</f>
        <v>452.875</v>
      </c>
      <c r="N289" s="60" t="n">
        <f aca="false">MadeiraMadeira!$Q289</f>
        <v>0.2</v>
      </c>
      <c r="O289" s="62" t="n">
        <f aca="false">Magalu!$K289</f>
        <v>443.632653061224</v>
      </c>
      <c r="P289" s="60" t="n">
        <f aca="false">Magalu!$Q289</f>
        <v>0.2</v>
      </c>
      <c r="Q289" s="46" t="n">
        <f aca="false">IF(COUNT($F289,$H289,$J289,$L289,$N289,$P289)=0,"",MIN($F289,$H289,$J289,$L289,$N289,$P289))</f>
        <v>0.173203636974006</v>
      </c>
      <c r="R289" s="46" t="n">
        <f aca="false">IF(COUNT($F289,$H289,$J289,$L289,$N289,$P289)=0,"",MAX($F289,$H289,$J289,$L289,$N289,$P289))</f>
        <v>0.2</v>
      </c>
      <c r="S289" s="61" t="n">
        <f aca="false">IF($A289="","",COUNT($E289,$G289,$I289,$K289,$M289,$O289))</f>
        <v>6</v>
      </c>
    </row>
    <row r="290" customFormat="false" ht="15" hidden="false" customHeight="false" outlineLevel="0" collapsed="false">
      <c r="A290" s="32" t="str">
        <f aca="false">IF(Produtos!$A290="","",Produtos!$A290)</f>
        <v>P3040ALC</v>
      </c>
      <c r="B290" s="32" t="str">
        <f aca="false">IF(Produtos!$A290="","",Produtos!$B290)</f>
        <v>Lixeira c/Tampa Pedal 30x40 30L c/Alças</v>
      </c>
      <c r="C290" s="32" t="str">
        <f aca="false">IF(Produtos!$A290="","",Produtos!$C290)</f>
        <v>Lixeiras com pedal</v>
      </c>
      <c r="D290" s="33" t="n">
        <f aca="false">IF(Produtos!$A290="","",IF(Produtos!$D290="","",Produtos!$D290))</f>
        <v>296.61</v>
      </c>
      <c r="E290" s="59" t="n">
        <f aca="false">'ML Clássico'!$K290</f>
        <v>588.91856625</v>
      </c>
      <c r="F290" s="60" t="n">
        <f aca="false">'ML Clássico'!$Q290</f>
        <v>0.17698359444021</v>
      </c>
      <c r="G290" s="59" t="n">
        <f aca="false">'ML Premium'!$K290</f>
        <v>617.09515875</v>
      </c>
      <c r="H290" s="60" t="n">
        <f aca="false">'ML Premium'!$Q290</f>
        <v>0.173147549101559</v>
      </c>
      <c r="I290" s="59" t="n">
        <f aca="false">Amazon!$K290</f>
        <v>549.277777777778</v>
      </c>
      <c r="J290" s="60" t="n">
        <f aca="false">Amazon!$Q290</f>
        <v>0.2</v>
      </c>
      <c r="K290" s="59" t="n">
        <f aca="false">'Via (Casas Bahia)'!$K290</f>
        <v>644.804347826087</v>
      </c>
      <c r="L290" s="60" t="n">
        <f aca="false">'Via (Casas Bahia)'!$Q290</f>
        <v>0.2</v>
      </c>
      <c r="M290" s="59" t="n">
        <f aca="false">MadeiraMadeira!$K290</f>
        <v>617.9375</v>
      </c>
      <c r="N290" s="60" t="n">
        <f aca="false">MadeiraMadeira!$Q290</f>
        <v>0.2</v>
      </c>
      <c r="O290" s="59" t="n">
        <f aca="false">Magalu!$K290</f>
        <v>605.326530612245</v>
      </c>
      <c r="P290" s="60" t="n">
        <f aca="false">Magalu!$Q290</f>
        <v>0.2</v>
      </c>
      <c r="Q290" s="46" t="n">
        <f aca="false">IF(COUNT($F290,$H290,$J290,$L290,$N290,$P290)=0,"",MIN($F290,$H290,$J290,$L290,$N290,$P290))</f>
        <v>0.173147549101559</v>
      </c>
      <c r="R290" s="46" t="n">
        <f aca="false">IF(COUNT($F290,$H290,$J290,$L290,$N290,$P290)=0,"",MAX($F290,$H290,$J290,$L290,$N290,$P290))</f>
        <v>0.2</v>
      </c>
      <c r="S290" s="61" t="n">
        <f aca="false">IF($A290="","",COUNT($E290,$G290,$I290,$K290,$M290,$O290))</f>
        <v>6</v>
      </c>
    </row>
    <row r="291" customFormat="false" ht="15" hidden="false" customHeight="false" outlineLevel="0" collapsed="false">
      <c r="A291" s="48" t="str">
        <f aca="false">IF(Produtos!$A291="","",Produtos!$A291)</f>
        <v>P3050ALC</v>
      </c>
      <c r="B291" s="48" t="str">
        <f aca="false">IF(Produtos!$A291="","",Produtos!$B291)</f>
        <v>Lixeira c/Tampa Pedal 30x50 40L c/Alças</v>
      </c>
      <c r="C291" s="48" t="str">
        <f aca="false">IF(Produtos!$A291="","",Produtos!$C291)</f>
        <v>Lixeiras com pedal</v>
      </c>
      <c r="D291" s="33" t="n">
        <f aca="false">IF(Produtos!$A291="","",IF(Produtos!$D291="","",Produtos!$D291))</f>
        <v>345.63</v>
      </c>
      <c r="E291" s="62" t="n">
        <f aca="false">'ML Clássico'!$K291</f>
        <v>688.8100275</v>
      </c>
      <c r="F291" s="60" t="n">
        <f aca="false">'ML Clássico'!$Q291</f>
        <v>0.176576292111253</v>
      </c>
      <c r="G291" s="62" t="n">
        <f aca="false">'ML Premium'!$K291</f>
        <v>721.7791875</v>
      </c>
      <c r="H291" s="60" t="n">
        <f aca="false">'ML Premium'!$Q291</f>
        <v>0.142768925953549</v>
      </c>
      <c r="I291" s="62" t="n">
        <f aca="false">Amazon!$K291</f>
        <v>623.5</v>
      </c>
      <c r="J291" s="60" t="n">
        <f aca="false">Amazon!$Q291</f>
        <v>0.185661587810746</v>
      </c>
      <c r="K291" s="62" t="n">
        <f aca="false">'Via (Casas Bahia)'!$K291</f>
        <v>751.369565217391</v>
      </c>
      <c r="L291" s="60" t="n">
        <f aca="false">'Via (Casas Bahia)'!$Q291</f>
        <v>0.2</v>
      </c>
      <c r="M291" s="62" t="n">
        <f aca="false">MadeiraMadeira!$K291</f>
        <v>720.0625</v>
      </c>
      <c r="N291" s="60" t="n">
        <f aca="false">MadeiraMadeira!$Q291</f>
        <v>0.2</v>
      </c>
      <c r="O291" s="62" t="n">
        <f aca="false">Magalu!$K291</f>
        <v>705.367346938775</v>
      </c>
      <c r="P291" s="60" t="n">
        <f aca="false">Magalu!$Q291</f>
        <v>0.2</v>
      </c>
      <c r="Q291" s="46" t="n">
        <f aca="false">IF(COUNT($F291,$H291,$J291,$L291,$N291,$P291)=0,"",MIN($F291,$H291,$J291,$L291,$N291,$P291))</f>
        <v>0.142768925953549</v>
      </c>
      <c r="R291" s="46" t="n">
        <f aca="false">IF(COUNT($F291,$H291,$J291,$L291,$N291,$P291)=0,"",MAX($F291,$H291,$J291,$L291,$N291,$P291))</f>
        <v>0.2</v>
      </c>
      <c r="S291" s="61" t="n">
        <f aca="false">IF($A291="","",COUNT($E291,$G291,$I291,$K291,$M291,$O291))</f>
        <v>6</v>
      </c>
    </row>
    <row r="292" customFormat="false" ht="15" hidden="false" customHeight="false" outlineLevel="0" collapsed="false">
      <c r="A292" s="32" t="str">
        <f aca="false">IF(Produtos!$A292="","",Produtos!$A292)</f>
        <v>P3060ALC</v>
      </c>
      <c r="B292" s="32" t="str">
        <f aca="false">IF(Produtos!$A292="","",Produtos!$B292)</f>
        <v>Lixeira c/Tampa Pedal 30x60 50L c/Alças</v>
      </c>
      <c r="C292" s="32" t="str">
        <f aca="false">IF(Produtos!$A292="","",Produtos!$C292)</f>
        <v>Lixeiras com pedal</v>
      </c>
      <c r="D292" s="33" t="n">
        <f aca="false">IF(Produtos!$A292="","",IF(Produtos!$D292="","",Produtos!$D292))</f>
        <v>347.99</v>
      </c>
      <c r="E292" s="59" t="n">
        <f aca="false">'ML Clássico'!$K292</f>
        <v>694.991745</v>
      </c>
      <c r="F292" s="60" t="n">
        <f aca="false">'ML Clássico'!$Q292</f>
        <v>0.176266566662601</v>
      </c>
      <c r="G292" s="59" t="n">
        <f aca="false">'ML Premium'!$K292</f>
        <v>728.238735</v>
      </c>
      <c r="H292" s="60" t="n">
        <f aca="false">'ML Premium'!$Q292</f>
        <v>0.142459776119984</v>
      </c>
      <c r="I292" s="59" t="n">
        <f aca="false">Amazon!$K292</f>
        <v>629.08</v>
      </c>
      <c r="J292" s="60" t="n">
        <f aca="false">Amazon!$Q292</f>
        <v>0.186827112608889</v>
      </c>
      <c r="K292" s="59" t="n">
        <f aca="false">'Via (Casas Bahia)'!$K292</f>
        <v>756.5</v>
      </c>
      <c r="L292" s="60" t="n">
        <f aca="false">'Via (Casas Bahia)'!$Q292</f>
        <v>0.2</v>
      </c>
      <c r="M292" s="59" t="n">
        <f aca="false">MadeiraMadeira!$K292</f>
        <v>724.979166666667</v>
      </c>
      <c r="N292" s="60" t="n">
        <f aca="false">MadeiraMadeira!$Q292</f>
        <v>0.2</v>
      </c>
      <c r="O292" s="59" t="n">
        <f aca="false">Magalu!$K292</f>
        <v>710.183673469388</v>
      </c>
      <c r="P292" s="60" t="n">
        <f aca="false">Magalu!$Q292</f>
        <v>0.2</v>
      </c>
      <c r="Q292" s="46" t="n">
        <f aca="false">IF(COUNT($F292,$H292,$J292,$L292,$N292,$P292)=0,"",MIN($F292,$H292,$J292,$L292,$N292,$P292))</f>
        <v>0.142459776119984</v>
      </c>
      <c r="R292" s="46" t="n">
        <f aca="false">IF(COUNT($F292,$H292,$J292,$L292,$N292,$P292)=0,"",MAX($F292,$H292,$J292,$L292,$N292,$P292))</f>
        <v>0.2</v>
      </c>
      <c r="S292" s="61" t="n">
        <f aca="false">IF($A292="","",COUNT($E292,$G292,$I292,$K292,$M292,$O292))</f>
        <v>6</v>
      </c>
    </row>
    <row r="293" customFormat="false" ht="15" hidden="false" customHeight="false" outlineLevel="0" collapsed="false">
      <c r="A293" s="48" t="str">
        <f aca="false">IF(Produtos!$A293="","",Produtos!$A293)</f>
        <v>P3070ALC</v>
      </c>
      <c r="B293" s="48" t="str">
        <f aca="false">IF(Produtos!$A293="","",Produtos!$B293)</f>
        <v>Lixeira c/Tampa Pedal 30x70 60L c/Alças</v>
      </c>
      <c r="C293" s="48" t="str">
        <f aca="false">IF(Produtos!$A293="","",Produtos!$C293)</f>
        <v>Lixeiras com pedal</v>
      </c>
      <c r="D293" s="33" t="n">
        <f aca="false">IF(Produtos!$A293="","",IF(Produtos!$D293="","",Produtos!$D293))</f>
        <v>421.92</v>
      </c>
      <c r="E293" s="62" t="n">
        <f aca="false">'ML Clássico'!$K293</f>
        <v>909.76</v>
      </c>
      <c r="F293" s="60" t="n">
        <f aca="false">'ML Clássico'!$Q293</f>
        <v>0.200000439676398</v>
      </c>
      <c r="G293" s="62" t="n">
        <f aca="false">'ML Premium'!$K293</f>
        <v>973.13430375</v>
      </c>
      <c r="H293" s="60" t="n">
        <f aca="false">'ML Premium'!$Q293</f>
        <v>0.185167318522349</v>
      </c>
      <c r="I293" s="62" t="n">
        <f aca="false">Amazon!$K293</f>
        <v>840.63</v>
      </c>
      <c r="J293" s="60" t="n">
        <f aca="false">Amazon!$Q293</f>
        <v>0.238090717676029</v>
      </c>
      <c r="K293" s="62" t="n">
        <f aca="false">'Via (Casas Bahia)'!$K293</f>
        <v>917.217391304348</v>
      </c>
      <c r="L293" s="60" t="n">
        <f aca="false">'Via (Casas Bahia)'!$Q293</f>
        <v>0.2</v>
      </c>
      <c r="M293" s="62" t="n">
        <f aca="false">MadeiraMadeira!$K293</f>
        <v>879</v>
      </c>
      <c r="N293" s="60" t="n">
        <f aca="false">MadeiraMadeira!$Q293</f>
        <v>0.2</v>
      </c>
      <c r="O293" s="62" t="n">
        <f aca="false">Magalu!$K293</f>
        <v>861.061224489796</v>
      </c>
      <c r="P293" s="60" t="n">
        <f aca="false">Magalu!$Q293</f>
        <v>0.2</v>
      </c>
      <c r="Q293" s="46" t="n">
        <f aca="false">IF(COUNT($F293,$H293,$J293,$L293,$N293,$P293)=0,"",MIN($F293,$H293,$J293,$L293,$N293,$P293))</f>
        <v>0.185167318522349</v>
      </c>
      <c r="R293" s="46" t="n">
        <f aca="false">IF(COUNT($F293,$H293,$J293,$L293,$N293,$P293)=0,"",MAX($F293,$H293,$J293,$L293,$N293,$P293))</f>
        <v>0.238090717676029</v>
      </c>
      <c r="S293" s="61" t="n">
        <f aca="false">IF($A293="","",COUNT($E293,$G293,$I293,$K293,$M293,$O293))</f>
        <v>6</v>
      </c>
    </row>
    <row r="294" customFormat="false" ht="15" hidden="false" customHeight="false" outlineLevel="0" collapsed="false">
      <c r="A294" s="32" t="str">
        <f aca="false">IF(Produtos!$A294="","",Produtos!$A294)</f>
        <v>P4050ALC</v>
      </c>
      <c r="B294" s="32" t="str">
        <f aca="false">IF(Produtos!$A294="","",Produtos!$B294)</f>
        <v>Lixeira c/Tampa Pedal 40x50 65L c/Alças</v>
      </c>
      <c r="C294" s="32" t="str">
        <f aca="false">IF(Produtos!$A294="","",Produtos!$C294)</f>
        <v>Lixeiras com pedal</v>
      </c>
      <c r="D294" s="33" t="n">
        <f aca="false">IF(Produtos!$A294="","",IF(Produtos!$D294="","",Produtos!$D294))</f>
        <v>485.02</v>
      </c>
      <c r="E294" s="59" t="n">
        <f aca="false">'ML Clássico'!$K294</f>
        <v>987.65092125</v>
      </c>
      <c r="F294" s="60" t="n">
        <f aca="false">'ML Clássico'!$Q294</f>
        <v>0.172319670911257</v>
      </c>
      <c r="G294" s="59" t="n">
        <f aca="false">'ML Premium'!$K294</f>
        <v>1056.2865075</v>
      </c>
      <c r="H294" s="60" t="n">
        <f aca="false">'ML Premium'!$Q294</f>
        <v>0.159206511662273</v>
      </c>
      <c r="I294" s="59" t="n">
        <f aca="false">Amazon!$K294</f>
        <v>912.46</v>
      </c>
      <c r="J294" s="60" t="n">
        <f aca="false">Amazon!$Q294</f>
        <v>0.208447931964141</v>
      </c>
      <c r="K294" s="59" t="n">
        <f aca="false">'Via (Casas Bahia)'!$K294</f>
        <v>1054.39130434783</v>
      </c>
      <c r="L294" s="60" t="n">
        <f aca="false">'Via (Casas Bahia)'!$Q294</f>
        <v>0.2</v>
      </c>
      <c r="M294" s="59" t="n">
        <f aca="false">MadeiraMadeira!$K294</f>
        <v>1010.45833333333</v>
      </c>
      <c r="N294" s="60" t="n">
        <f aca="false">MadeiraMadeira!$Q294</f>
        <v>0.2</v>
      </c>
      <c r="O294" s="59" t="n">
        <f aca="false">Magalu!$K294</f>
        <v>989.836734693878</v>
      </c>
      <c r="P294" s="60" t="n">
        <f aca="false">Magalu!$Q294</f>
        <v>0.2</v>
      </c>
      <c r="Q294" s="46" t="n">
        <f aca="false">IF(COUNT($F294,$H294,$J294,$L294,$N294,$P294)=0,"",MIN($F294,$H294,$J294,$L294,$N294,$P294))</f>
        <v>0.159206511662273</v>
      </c>
      <c r="R294" s="46" t="n">
        <f aca="false">IF(COUNT($F294,$H294,$J294,$L294,$N294,$P294)=0,"",MAX($F294,$H294,$J294,$L294,$N294,$P294))</f>
        <v>0.208447931964141</v>
      </c>
      <c r="S294" s="61" t="n">
        <f aca="false">IF($A294="","",COUNT($E294,$G294,$I294,$K294,$M294,$O294))</f>
        <v>6</v>
      </c>
    </row>
    <row r="295" customFormat="false" ht="15" hidden="false" customHeight="false" outlineLevel="0" collapsed="false">
      <c r="A295" s="48" t="str">
        <f aca="false">IF(Produtos!$A295="","",Produtos!$A295)</f>
        <v>P4060ALC</v>
      </c>
      <c r="B295" s="48" t="str">
        <f aca="false">IF(Produtos!$A295="","",Produtos!$B295)</f>
        <v>Lixeira c/Tampa Pedal 40x60 75L c/Alças</v>
      </c>
      <c r="C295" s="48" t="str">
        <f aca="false">IF(Produtos!$A295="","",Produtos!$C295)</f>
        <v>Lixeiras com pedal</v>
      </c>
      <c r="D295" s="33" t="n">
        <f aca="false">IF(Produtos!$A295="","",IF(Produtos!$D295="","",Produtos!$D295))</f>
        <v>527.41</v>
      </c>
      <c r="E295" s="62" t="n">
        <f aca="false">'ML Clássico'!$K295</f>
        <v>1069.7612625</v>
      </c>
      <c r="F295" s="60" t="n">
        <f aca="false">'ML Clássico'!$Q295</f>
        <v>0.172808028043547</v>
      </c>
      <c r="G295" s="62" t="n">
        <f aca="false">'ML Premium'!$K295</f>
        <v>1144.057635</v>
      </c>
      <c r="H295" s="60" t="n">
        <f aca="false">'ML Premium'!$Q295</f>
        <v>0.159642104175984</v>
      </c>
      <c r="I295" s="62" t="n">
        <f aca="false">Amazon!$K295</f>
        <v>988.28</v>
      </c>
      <c r="J295" s="60" t="n">
        <f aca="false">Amazon!$Q295</f>
        <v>0.20633545149148</v>
      </c>
      <c r="K295" s="62" t="n">
        <f aca="false">'Via (Casas Bahia)'!$K295</f>
        <v>1146.54347826087</v>
      </c>
      <c r="L295" s="60" t="n">
        <f aca="false">'Via (Casas Bahia)'!$Q295</f>
        <v>0.2</v>
      </c>
      <c r="M295" s="62" t="n">
        <f aca="false">MadeiraMadeira!$K295</f>
        <v>1098.77083333333</v>
      </c>
      <c r="N295" s="60" t="n">
        <f aca="false">MadeiraMadeira!$Q295</f>
        <v>0.2</v>
      </c>
      <c r="O295" s="62" t="n">
        <f aca="false">Magalu!$K295</f>
        <v>1076.34693877551</v>
      </c>
      <c r="P295" s="60" t="n">
        <f aca="false">Magalu!$Q295</f>
        <v>0.2</v>
      </c>
      <c r="Q295" s="46" t="n">
        <f aca="false">IF(COUNT($F295,$H295,$J295,$L295,$N295,$P295)=0,"",MIN($F295,$H295,$J295,$L295,$N295,$P295))</f>
        <v>0.159642104175984</v>
      </c>
      <c r="R295" s="46" t="n">
        <f aca="false">IF(COUNT($F295,$H295,$J295,$L295,$N295,$P295)=0,"",MAX($F295,$H295,$J295,$L295,$N295,$P295))</f>
        <v>0.20633545149148</v>
      </c>
      <c r="S295" s="61" t="n">
        <f aca="false">IF($A295="","",COUNT($E295,$G295,$I295,$K295,$M295,$O295))</f>
        <v>6</v>
      </c>
    </row>
    <row r="296" customFormat="false" ht="15" hidden="false" customHeight="false" outlineLevel="0" collapsed="false">
      <c r="A296" s="32" t="str">
        <f aca="false">IF(Produtos!$A296="","",Produtos!$A296)</f>
        <v>P4070ALC</v>
      </c>
      <c r="B296" s="32" t="str">
        <f aca="false">IF(Produtos!$A296="","",Produtos!$B296)</f>
        <v>Lixeira c/Tampa Pedal 40x70 80L c/Alças</v>
      </c>
      <c r="C296" s="32" t="str">
        <f aca="false">IF(Produtos!$A296="","",Produtos!$C296)</f>
        <v>Lixeiras com pedal</v>
      </c>
      <c r="D296" s="33" t="n">
        <f aca="false">IF(Produtos!$A296="","",IF(Produtos!$D296="","",Produtos!$D296))</f>
        <v>539.53</v>
      </c>
      <c r="E296" s="59" t="n">
        <f aca="false">'ML Clássico'!$K296</f>
        <v>1110.4170525</v>
      </c>
      <c r="F296" s="60" t="n">
        <f aca="false">'ML Clássico'!$Q296</f>
        <v>0.171312767956614</v>
      </c>
      <c r="G296" s="59" t="n">
        <f aca="false">'ML Premium'!$K296</f>
        <v>1187.52645375</v>
      </c>
      <c r="H296" s="60" t="n">
        <f aca="false">'ML Premium'!$Q296</f>
        <v>0.158239214372112</v>
      </c>
      <c r="I296" s="59" t="n">
        <f aca="false">Amazon!$K296</f>
        <v>1025.83</v>
      </c>
      <c r="J296" s="60" t="n">
        <f aca="false">Amazon!$Q296</f>
        <v>0.214055155337629</v>
      </c>
      <c r="K296" s="59" t="n">
        <f aca="false">'Via (Casas Bahia)'!$K296</f>
        <v>1172.89130434783</v>
      </c>
      <c r="L296" s="60" t="n">
        <f aca="false">'Via (Casas Bahia)'!$Q296</f>
        <v>0.2</v>
      </c>
      <c r="M296" s="59" t="n">
        <f aca="false">MadeiraMadeira!$K296</f>
        <v>1124.02083333333</v>
      </c>
      <c r="N296" s="60" t="n">
        <f aca="false">MadeiraMadeira!$Q296</f>
        <v>0.2</v>
      </c>
      <c r="O296" s="59" t="n">
        <f aca="false">Magalu!$K296</f>
        <v>1101.08163265306</v>
      </c>
      <c r="P296" s="60" t="n">
        <f aca="false">Magalu!$Q296</f>
        <v>0.2</v>
      </c>
      <c r="Q296" s="46" t="n">
        <f aca="false">IF(COUNT($F296,$H296,$J296,$L296,$N296,$P296)=0,"",MIN($F296,$H296,$J296,$L296,$N296,$P296))</f>
        <v>0.158239214372112</v>
      </c>
      <c r="R296" s="46" t="n">
        <f aca="false">IF(COUNT($F296,$H296,$J296,$L296,$N296,$P296)=0,"",MAX($F296,$H296,$J296,$L296,$N296,$P296))</f>
        <v>0.214055155337629</v>
      </c>
      <c r="S296" s="61" t="n">
        <f aca="false">IF($A296="","",COUNT($E296,$G296,$I296,$K296,$M296,$O296))</f>
        <v>6</v>
      </c>
    </row>
    <row r="297" customFormat="false" ht="15" hidden="false" customHeight="false" outlineLevel="0" collapsed="false">
      <c r="A297" s="48" t="str">
        <f aca="false">IF(Produtos!$A297="","",Produtos!$A297)</f>
        <v>P4075ALC</v>
      </c>
      <c r="B297" s="48" t="str">
        <f aca="false">IF(Produtos!$A297="","",Produtos!$B297)</f>
        <v>Lixeira c/Tampa Pedal 40x75 95L c/Alças</v>
      </c>
      <c r="C297" s="48" t="str">
        <f aca="false">IF(Produtos!$A297="","",Produtos!$C297)</f>
        <v>Lixeiras com pedal</v>
      </c>
      <c r="D297" s="33" t="n">
        <f aca="false">IF(Produtos!$A297="","",IF(Produtos!$D297="","",Produtos!$D297))</f>
        <v>605.28</v>
      </c>
      <c r="E297" s="62" t="n">
        <f aca="false">'ML Clássico'!$K297</f>
        <v>1229.08519125</v>
      </c>
      <c r="F297" s="60" t="n">
        <f aca="false">'ML Clássico'!$Q297</f>
        <v>0.172724431989205</v>
      </c>
      <c r="G297" s="62" t="n">
        <f aca="false">'ML Premium'!$K297</f>
        <v>1314.4368825</v>
      </c>
      <c r="H297" s="60" t="n">
        <f aca="false">'ML Premium'!$Q297</f>
        <v>0.159559923886265</v>
      </c>
      <c r="I297" s="62" t="n">
        <f aca="false">Amazon!$K297</f>
        <v>1135.46</v>
      </c>
      <c r="J297" s="60" t="n">
        <f aca="false">Amazon!$Q297</f>
        <v>0.206929702499428</v>
      </c>
      <c r="K297" s="62" t="n">
        <f aca="false">'Via (Casas Bahia)'!$K297</f>
        <v>1315.82608695652</v>
      </c>
      <c r="L297" s="60" t="n">
        <f aca="false">'Via (Casas Bahia)'!$Q297</f>
        <v>0.2</v>
      </c>
      <c r="M297" s="62" t="n">
        <f aca="false">MadeiraMadeira!$K297</f>
        <v>1261</v>
      </c>
      <c r="N297" s="60" t="n">
        <f aca="false">MadeiraMadeira!$Q297</f>
        <v>0.2</v>
      </c>
      <c r="O297" s="62" t="n">
        <f aca="false">Magalu!$K297</f>
        <v>1235.26530612245</v>
      </c>
      <c r="P297" s="60" t="n">
        <f aca="false">Magalu!$Q297</f>
        <v>0.2</v>
      </c>
      <c r="Q297" s="46" t="n">
        <f aca="false">IF(COUNT($F297,$H297,$J297,$L297,$N297,$P297)=0,"",MIN($F297,$H297,$J297,$L297,$N297,$P297))</f>
        <v>0.159559923886265</v>
      </c>
      <c r="R297" s="46" t="n">
        <f aca="false">IF(COUNT($F297,$H297,$J297,$L297,$N297,$P297)=0,"",MAX($F297,$H297,$J297,$L297,$N297,$P297))</f>
        <v>0.206929702499428</v>
      </c>
      <c r="S297" s="61" t="n">
        <f aca="false">IF($A297="","",COUNT($E297,$G297,$I297,$K297,$M297,$O297))</f>
        <v>6</v>
      </c>
    </row>
    <row r="298" customFormat="false" ht="15" hidden="false" customHeight="false" outlineLevel="0" collapsed="false">
      <c r="A298" s="32" t="str">
        <f aca="false">IF(Produtos!$A298="","",Produtos!$A298)</f>
        <v>P4080ALC</v>
      </c>
      <c r="B298" s="32" t="str">
        <f aca="false">IF(Produtos!$A298="","",Produtos!$B298)</f>
        <v>Lixeira c/Tampa Pedal 40x80 100L c/Alças</v>
      </c>
      <c r="C298" s="32" t="str">
        <f aca="false">IF(Produtos!$A298="","",Produtos!$C298)</f>
        <v>Lixeiras com pedal</v>
      </c>
      <c r="D298" s="33" t="n">
        <f aca="false">IF(Produtos!$A298="","",IF(Produtos!$D298="","",Produtos!$D298))</f>
        <v>642.03</v>
      </c>
      <c r="E298" s="59" t="n">
        <f aca="false">'ML Clássico'!$K298</f>
        <v>1317.52774125</v>
      </c>
      <c r="F298" s="60" t="n">
        <f aca="false">'ML Clássico'!$Q298</f>
        <v>0.171602101000543</v>
      </c>
      <c r="G298" s="59" t="n">
        <f aca="false">'ML Premium'!$K298</f>
        <v>1409.02642125</v>
      </c>
      <c r="H298" s="60" t="n">
        <f aca="false">'ML Premium'!$Q298</f>
        <v>0.158512450365806</v>
      </c>
      <c r="I298" s="59" t="n">
        <f aca="false">Amazon!$K298</f>
        <v>1217.17</v>
      </c>
      <c r="J298" s="60" t="n">
        <f aca="false">Amazon!$Q298</f>
        <v>0.212522326380046</v>
      </c>
      <c r="K298" s="59" t="n">
        <f aca="false">'Via (Casas Bahia)'!$K298</f>
        <v>1395.71739130435</v>
      </c>
      <c r="L298" s="60" t="n">
        <f aca="false">'Via (Casas Bahia)'!$Q298</f>
        <v>0.2</v>
      </c>
      <c r="M298" s="59" t="n">
        <f aca="false">MadeiraMadeira!$K298</f>
        <v>1337.5625</v>
      </c>
      <c r="N298" s="60" t="n">
        <f aca="false">MadeiraMadeira!$Q298</f>
        <v>0.2</v>
      </c>
      <c r="O298" s="59" t="n">
        <f aca="false">Magalu!$K298</f>
        <v>1310.26530612245</v>
      </c>
      <c r="P298" s="60" t="n">
        <f aca="false">Magalu!$Q298</f>
        <v>0.2</v>
      </c>
      <c r="Q298" s="46" t="n">
        <f aca="false">IF(COUNT($F298,$H298,$J298,$L298,$N298,$P298)=0,"",MIN($F298,$H298,$J298,$L298,$N298,$P298))</f>
        <v>0.158512450365806</v>
      </c>
      <c r="R298" s="46" t="n">
        <f aca="false">IF(COUNT($F298,$H298,$J298,$L298,$N298,$P298)=0,"",MAX($F298,$H298,$J298,$L298,$N298,$P298))</f>
        <v>0.212522326380046</v>
      </c>
      <c r="S298" s="61" t="n">
        <f aca="false">IF($A298="","",COUNT($E298,$G298,$I298,$K298,$M298,$O298))</f>
        <v>6</v>
      </c>
    </row>
    <row r="299" customFormat="false" ht="15" hidden="false" customHeight="false" outlineLevel="0" collapsed="false">
      <c r="A299" s="48" t="str">
        <f aca="false">IF(Produtos!$A299="","",Produtos!$A299)</f>
        <v>P4090ALC</v>
      </c>
      <c r="B299" s="48" t="str">
        <f aca="false">IF(Produtos!$A299="","",Produtos!$B299)</f>
        <v>Lixeira c/Tampa Pedal 40x90 120L c/Alças</v>
      </c>
      <c r="C299" s="48" t="str">
        <f aca="false">IF(Produtos!$A299="","",Produtos!$C299)</f>
        <v>Lixeiras com pedal</v>
      </c>
      <c r="D299" s="33" t="n">
        <f aca="false">IF(Produtos!$A299="","",IF(Produtos!$D299="","",Produtos!$D299))</f>
        <v>828.46</v>
      </c>
      <c r="E299" s="62" t="n">
        <f aca="false">'ML Clássico'!$K299</f>
        <v>1653.8525325</v>
      </c>
      <c r="F299" s="60" t="n">
        <f aca="false">'ML Clássico'!$Q299</f>
        <v>0.174465902116336</v>
      </c>
      <c r="G299" s="62" t="n">
        <f aca="false">'ML Premium'!$K299</f>
        <v>1768.712085</v>
      </c>
      <c r="H299" s="60" t="n">
        <f aca="false">'ML Premium'!$Q299</f>
        <v>0.161191491293508</v>
      </c>
      <c r="I299" s="62" t="n">
        <f aca="false">Amazon!$K299</f>
        <v>1527.88</v>
      </c>
      <c r="J299" s="60" t="n">
        <f aca="false">Amazon!$Q299</f>
        <v>0.197771552739744</v>
      </c>
      <c r="K299" s="62" t="n">
        <f aca="false">'Via (Casas Bahia)'!$K299</f>
        <v>1801</v>
      </c>
      <c r="L299" s="60" t="n">
        <f aca="false">'Via (Casas Bahia)'!$Q299</f>
        <v>0.2</v>
      </c>
      <c r="M299" s="62" t="n">
        <f aca="false">MadeiraMadeira!$K299</f>
        <v>1725.95833333333</v>
      </c>
      <c r="N299" s="60" t="n">
        <f aca="false">MadeiraMadeira!$Q299</f>
        <v>0.2</v>
      </c>
      <c r="O299" s="62" t="n">
        <f aca="false">Magalu!$K299</f>
        <v>1690.73469387755</v>
      </c>
      <c r="P299" s="60" t="n">
        <f aca="false">Magalu!$Q299</f>
        <v>0.2</v>
      </c>
      <c r="Q299" s="46" t="n">
        <f aca="false">IF(COUNT($F299,$H299,$J299,$L299,$N299,$P299)=0,"",MIN($F299,$H299,$J299,$L299,$N299,$P299))</f>
        <v>0.161191491293508</v>
      </c>
      <c r="R299" s="46" t="n">
        <f aca="false">IF(COUNT($F299,$H299,$J299,$L299,$N299,$P299)=0,"",MAX($F299,$H299,$J299,$L299,$N299,$P299))</f>
        <v>0.2</v>
      </c>
      <c r="S299" s="61" t="n">
        <f aca="false">IF($A299="","",COUNT($E299,$G299,$I299,$K299,$M299,$O299))</f>
        <v>6</v>
      </c>
    </row>
    <row r="300" customFormat="false" ht="15" hidden="false" customHeight="false" outlineLevel="0" collapsed="false">
      <c r="A300" s="32" t="str">
        <f aca="false">IF(Produtos!$A300="","",Produtos!$A300)</f>
        <v/>
      </c>
      <c r="B300" s="32" t="str">
        <f aca="false">IF(Produtos!$A300="","",Produtos!$B300)</f>
        <v/>
      </c>
      <c r="C300" s="32" t="str">
        <f aca="false">IF(Produtos!$A300="","",Produtos!$C300)</f>
        <v/>
      </c>
      <c r="D300" s="33" t="str">
        <f aca="false">IF(Produtos!$A300="","",IF(Produtos!$D300="","",Produtos!$D300))</f>
        <v/>
      </c>
      <c r="E300" s="59" t="str">
        <f aca="false">'ML Clássico'!$K300</f>
        <v/>
      </c>
      <c r="F300" s="60" t="str">
        <f aca="false">'ML Clássico'!$Q300</f>
        <v/>
      </c>
      <c r="G300" s="59" t="str">
        <f aca="false">'ML Premium'!$K300</f>
        <v/>
      </c>
      <c r="H300" s="60" t="str">
        <f aca="false">'ML Premium'!$Q300</f>
        <v/>
      </c>
      <c r="I300" s="59" t="str">
        <f aca="false">Amazon!$K300</f>
        <v/>
      </c>
      <c r="J300" s="60" t="str">
        <f aca="false">Amazon!$Q300</f>
        <v/>
      </c>
      <c r="K300" s="59" t="str">
        <f aca="false">'Via (Casas Bahia)'!$K300</f>
        <v/>
      </c>
      <c r="L300" s="60" t="str">
        <f aca="false">'Via (Casas Bahia)'!$Q300</f>
        <v/>
      </c>
      <c r="M300" s="59" t="str">
        <f aca="false">MadeiraMadeira!$K300</f>
        <v/>
      </c>
      <c r="N300" s="60" t="str">
        <f aca="false">MadeiraMadeira!$Q300</f>
        <v/>
      </c>
      <c r="O300" s="59" t="str">
        <f aca="false">Magalu!$K300</f>
        <v/>
      </c>
      <c r="P300" s="60" t="str">
        <f aca="false">Magalu!$Q300</f>
        <v/>
      </c>
      <c r="Q300" s="46" t="str">
        <f aca="false">IF(COUNT($F300,$H300,$J300,$L300,$N300,$P300)=0,"",MIN($F300,$H300,$J300,$L300,$N300,$P300))</f>
        <v/>
      </c>
      <c r="R300" s="46" t="str">
        <f aca="false">IF(COUNT($F300,$H300,$J300,$L300,$N300,$P300)=0,"",MAX($F300,$H300,$J300,$L300,$N300,$P300))</f>
        <v/>
      </c>
      <c r="S300" s="61" t="str">
        <f aca="false">IF($A300="","",COUNT($E300,$G300,$I300,$K300,$M300,$O300))</f>
        <v/>
      </c>
    </row>
    <row r="301" customFormat="false" ht="15" hidden="false" customHeight="false" outlineLevel="0" collapsed="false">
      <c r="A301" s="48" t="str">
        <f aca="false">IF(Produtos!$A301="","",Produtos!$A301)</f>
        <v/>
      </c>
      <c r="B301" s="48" t="str">
        <f aca="false">IF(Produtos!$A301="","",Produtos!$B301)</f>
        <v/>
      </c>
      <c r="C301" s="48" t="str">
        <f aca="false">IF(Produtos!$A301="","",Produtos!$C301)</f>
        <v/>
      </c>
      <c r="D301" s="33" t="str">
        <f aca="false">IF(Produtos!$A301="","",IF(Produtos!$D301="","",Produtos!$D301))</f>
        <v/>
      </c>
      <c r="E301" s="62" t="str">
        <f aca="false">'ML Clássico'!$K301</f>
        <v/>
      </c>
      <c r="F301" s="60" t="str">
        <f aca="false">'ML Clássico'!$Q301</f>
        <v/>
      </c>
      <c r="G301" s="62" t="str">
        <f aca="false">'ML Premium'!$K301</f>
        <v/>
      </c>
      <c r="H301" s="60" t="str">
        <f aca="false">'ML Premium'!$Q301</f>
        <v/>
      </c>
      <c r="I301" s="62" t="str">
        <f aca="false">Amazon!$K301</f>
        <v/>
      </c>
      <c r="J301" s="60" t="str">
        <f aca="false">Amazon!$Q301</f>
        <v/>
      </c>
      <c r="K301" s="62" t="str">
        <f aca="false">'Via (Casas Bahia)'!$K301</f>
        <v/>
      </c>
      <c r="L301" s="60" t="str">
        <f aca="false">'Via (Casas Bahia)'!$Q301</f>
        <v/>
      </c>
      <c r="M301" s="62" t="str">
        <f aca="false">MadeiraMadeira!$K301</f>
        <v/>
      </c>
      <c r="N301" s="60" t="str">
        <f aca="false">MadeiraMadeira!$Q301</f>
        <v/>
      </c>
      <c r="O301" s="62" t="str">
        <f aca="false">Magalu!$K301</f>
        <v/>
      </c>
      <c r="P301" s="60" t="str">
        <f aca="false">Magalu!$Q301</f>
        <v/>
      </c>
      <c r="Q301" s="46" t="str">
        <f aca="false">IF(COUNT($F301,$H301,$J301,$L301,$N301,$P301)=0,"",MIN($F301,$H301,$J301,$L301,$N301,$P301))</f>
        <v/>
      </c>
      <c r="R301" s="46" t="str">
        <f aca="false">IF(COUNT($F301,$H301,$J301,$L301,$N301,$P301)=0,"",MAX($F301,$H301,$J301,$L301,$N301,$P301))</f>
        <v/>
      </c>
      <c r="S301" s="61" t="str">
        <f aca="false">IF($A301="","",COUNT($E301,$G301,$I301,$K301,$M301,$O301))</f>
        <v/>
      </c>
    </row>
    <row r="302" customFormat="false" ht="15" hidden="false" customHeight="false" outlineLevel="0" collapsed="false">
      <c r="A302" s="32" t="str">
        <f aca="false">IF(Produtos!$A302="","",Produtos!$A302)</f>
        <v/>
      </c>
      <c r="B302" s="32" t="str">
        <f aca="false">IF(Produtos!$A302="","",Produtos!$B302)</f>
        <v/>
      </c>
      <c r="C302" s="32" t="str">
        <f aca="false">IF(Produtos!$A302="","",Produtos!$C302)</f>
        <v/>
      </c>
      <c r="D302" s="33" t="str">
        <f aca="false">IF(Produtos!$A302="","",IF(Produtos!$D302="","",Produtos!$D302))</f>
        <v/>
      </c>
      <c r="E302" s="59" t="str">
        <f aca="false">'ML Clássico'!$K302</f>
        <v/>
      </c>
      <c r="F302" s="60" t="str">
        <f aca="false">'ML Clássico'!$Q302</f>
        <v/>
      </c>
      <c r="G302" s="59" t="str">
        <f aca="false">'ML Premium'!$K302</f>
        <v/>
      </c>
      <c r="H302" s="60" t="str">
        <f aca="false">'ML Premium'!$Q302</f>
        <v/>
      </c>
      <c r="I302" s="59" t="str">
        <f aca="false">Amazon!$K302</f>
        <v/>
      </c>
      <c r="J302" s="60" t="str">
        <f aca="false">Amazon!$Q302</f>
        <v/>
      </c>
      <c r="K302" s="59" t="str">
        <f aca="false">'Via (Casas Bahia)'!$K302</f>
        <v/>
      </c>
      <c r="L302" s="60" t="str">
        <f aca="false">'Via (Casas Bahia)'!$Q302</f>
        <v/>
      </c>
      <c r="M302" s="59" t="str">
        <f aca="false">MadeiraMadeira!$K302</f>
        <v/>
      </c>
      <c r="N302" s="60" t="str">
        <f aca="false">MadeiraMadeira!$Q302</f>
        <v/>
      </c>
      <c r="O302" s="59" t="str">
        <f aca="false">Magalu!$K302</f>
        <v/>
      </c>
      <c r="P302" s="60" t="str">
        <f aca="false">Magalu!$Q302</f>
        <v/>
      </c>
      <c r="Q302" s="46" t="str">
        <f aca="false">IF(COUNT($F302,$H302,$J302,$L302,$N302,$P302)=0,"",MIN($F302,$H302,$J302,$L302,$N302,$P302))</f>
        <v/>
      </c>
      <c r="R302" s="46" t="str">
        <f aca="false">IF(COUNT($F302,$H302,$J302,$L302,$N302,$P302)=0,"",MAX($F302,$H302,$J302,$L302,$N302,$P302))</f>
        <v/>
      </c>
      <c r="S302" s="61" t="str">
        <f aca="false">IF($A302="","",COUNT($E302,$G302,$I302,$K302,$M302,$O302))</f>
        <v/>
      </c>
    </row>
    <row r="303" customFormat="false" ht="15" hidden="false" customHeight="false" outlineLevel="0" collapsed="false">
      <c r="A303" s="48" t="str">
        <f aca="false">IF(Produtos!$A303="","",Produtos!$A303)</f>
        <v/>
      </c>
      <c r="B303" s="48" t="str">
        <f aca="false">IF(Produtos!$A303="","",Produtos!$B303)</f>
        <v/>
      </c>
      <c r="C303" s="48" t="str">
        <f aca="false">IF(Produtos!$A303="","",Produtos!$C303)</f>
        <v/>
      </c>
      <c r="D303" s="33" t="str">
        <f aca="false">IF(Produtos!$A303="","",IF(Produtos!$D303="","",Produtos!$D303))</f>
        <v/>
      </c>
      <c r="E303" s="62" t="str">
        <f aca="false">'ML Clássico'!$K303</f>
        <v/>
      </c>
      <c r="F303" s="60" t="str">
        <f aca="false">'ML Clássico'!$Q303</f>
        <v/>
      </c>
      <c r="G303" s="62" t="str">
        <f aca="false">'ML Premium'!$K303</f>
        <v/>
      </c>
      <c r="H303" s="60" t="str">
        <f aca="false">'ML Premium'!$Q303</f>
        <v/>
      </c>
      <c r="I303" s="62" t="str">
        <f aca="false">Amazon!$K303</f>
        <v/>
      </c>
      <c r="J303" s="60" t="str">
        <f aca="false">Amazon!$Q303</f>
        <v/>
      </c>
      <c r="K303" s="62" t="str">
        <f aca="false">'Via (Casas Bahia)'!$K303</f>
        <v/>
      </c>
      <c r="L303" s="60" t="str">
        <f aca="false">'Via (Casas Bahia)'!$Q303</f>
        <v/>
      </c>
      <c r="M303" s="62" t="str">
        <f aca="false">MadeiraMadeira!$K303</f>
        <v/>
      </c>
      <c r="N303" s="60" t="str">
        <f aca="false">MadeiraMadeira!$Q303</f>
        <v/>
      </c>
      <c r="O303" s="62" t="str">
        <f aca="false">Magalu!$K303</f>
        <v/>
      </c>
      <c r="P303" s="60" t="str">
        <f aca="false">Magalu!$Q303</f>
        <v/>
      </c>
      <c r="Q303" s="46" t="str">
        <f aca="false">IF(COUNT($F303,$H303,$J303,$L303,$N303,$P303)=0,"",MIN($F303,$H303,$J303,$L303,$N303,$P303))</f>
        <v/>
      </c>
      <c r="R303" s="46" t="str">
        <f aca="false">IF(COUNT($F303,$H303,$J303,$L303,$N303,$P303)=0,"",MAX($F303,$H303,$J303,$L303,$N303,$P303))</f>
        <v/>
      </c>
      <c r="S303" s="61" t="str">
        <f aca="false">IF($A303="","",COUNT($E303,$G303,$I303,$K303,$M303,$O303))</f>
        <v/>
      </c>
    </row>
    <row r="304" customFormat="false" ht="15" hidden="false" customHeight="false" outlineLevel="0" collapsed="false">
      <c r="A304" s="32" t="str">
        <f aca="false">IF(Produtos!$A304="","",Produtos!$A304)</f>
        <v/>
      </c>
      <c r="B304" s="32" t="str">
        <f aca="false">IF(Produtos!$A304="","",Produtos!$B304)</f>
        <v/>
      </c>
      <c r="C304" s="32" t="str">
        <f aca="false">IF(Produtos!$A304="","",Produtos!$C304)</f>
        <v/>
      </c>
      <c r="D304" s="33" t="str">
        <f aca="false">IF(Produtos!$A304="","",IF(Produtos!$D304="","",Produtos!$D304))</f>
        <v/>
      </c>
      <c r="E304" s="59" t="str">
        <f aca="false">'ML Clássico'!$K304</f>
        <v/>
      </c>
      <c r="F304" s="60" t="str">
        <f aca="false">'ML Clássico'!$Q304</f>
        <v/>
      </c>
      <c r="G304" s="59" t="str">
        <f aca="false">'ML Premium'!$K304</f>
        <v/>
      </c>
      <c r="H304" s="60" t="str">
        <f aca="false">'ML Premium'!$Q304</f>
        <v/>
      </c>
      <c r="I304" s="59" t="str">
        <f aca="false">Amazon!$K304</f>
        <v/>
      </c>
      <c r="J304" s="60" t="str">
        <f aca="false">Amazon!$Q304</f>
        <v/>
      </c>
      <c r="K304" s="59" t="str">
        <f aca="false">'Via (Casas Bahia)'!$K304</f>
        <v/>
      </c>
      <c r="L304" s="60" t="str">
        <f aca="false">'Via (Casas Bahia)'!$Q304</f>
        <v/>
      </c>
      <c r="M304" s="59" t="str">
        <f aca="false">MadeiraMadeira!$K304</f>
        <v/>
      </c>
      <c r="N304" s="60" t="str">
        <f aca="false">MadeiraMadeira!$Q304</f>
        <v/>
      </c>
      <c r="O304" s="59" t="str">
        <f aca="false">Magalu!$K304</f>
        <v/>
      </c>
      <c r="P304" s="60" t="str">
        <f aca="false">Magalu!$Q304</f>
        <v/>
      </c>
      <c r="Q304" s="46" t="str">
        <f aca="false">IF(COUNT($F304,$H304,$J304,$L304,$N304,$P304)=0,"",MIN($F304,$H304,$J304,$L304,$N304,$P304))</f>
        <v/>
      </c>
      <c r="R304" s="46" t="str">
        <f aca="false">IF(COUNT($F304,$H304,$J304,$L304,$N304,$P304)=0,"",MAX($F304,$H304,$J304,$L304,$N304,$P304))</f>
        <v/>
      </c>
      <c r="S304" s="61" t="str">
        <f aca="false">IF($A304="","",COUNT($E304,$G304,$I304,$K304,$M304,$O304))</f>
        <v/>
      </c>
    </row>
    <row r="305" customFormat="false" ht="15" hidden="false" customHeight="false" outlineLevel="0" collapsed="false">
      <c r="A305" s="48" t="str">
        <f aca="false">IF(Produtos!$A305="","",Produtos!$A305)</f>
        <v/>
      </c>
      <c r="B305" s="48" t="str">
        <f aca="false">IF(Produtos!$A305="","",Produtos!$B305)</f>
        <v/>
      </c>
      <c r="C305" s="48" t="str">
        <f aca="false">IF(Produtos!$A305="","",Produtos!$C305)</f>
        <v/>
      </c>
      <c r="D305" s="33" t="str">
        <f aca="false">IF(Produtos!$A305="","",IF(Produtos!$D305="","",Produtos!$D305))</f>
        <v/>
      </c>
      <c r="E305" s="62" t="str">
        <f aca="false">'ML Clássico'!$K305</f>
        <v/>
      </c>
      <c r="F305" s="60" t="str">
        <f aca="false">'ML Clássico'!$Q305</f>
        <v/>
      </c>
      <c r="G305" s="62" t="str">
        <f aca="false">'ML Premium'!$K305</f>
        <v/>
      </c>
      <c r="H305" s="60" t="str">
        <f aca="false">'ML Premium'!$Q305</f>
        <v/>
      </c>
      <c r="I305" s="62" t="str">
        <f aca="false">Amazon!$K305</f>
        <v/>
      </c>
      <c r="J305" s="60" t="str">
        <f aca="false">Amazon!$Q305</f>
        <v/>
      </c>
      <c r="K305" s="62" t="str">
        <f aca="false">'Via (Casas Bahia)'!$K305</f>
        <v/>
      </c>
      <c r="L305" s="60" t="str">
        <f aca="false">'Via (Casas Bahia)'!$Q305</f>
        <v/>
      </c>
      <c r="M305" s="62" t="str">
        <f aca="false">MadeiraMadeira!$K305</f>
        <v/>
      </c>
      <c r="N305" s="60" t="str">
        <f aca="false">MadeiraMadeira!$Q305</f>
        <v/>
      </c>
      <c r="O305" s="62" t="str">
        <f aca="false">Magalu!$K305</f>
        <v/>
      </c>
      <c r="P305" s="60" t="str">
        <f aca="false">Magalu!$Q305</f>
        <v/>
      </c>
      <c r="Q305" s="46" t="str">
        <f aca="false">IF(COUNT($F305,$H305,$J305,$L305,$N305,$P305)=0,"",MIN($F305,$H305,$J305,$L305,$N305,$P305))</f>
        <v/>
      </c>
      <c r="R305" s="46" t="str">
        <f aca="false">IF(COUNT($F305,$H305,$J305,$L305,$N305,$P305)=0,"",MAX($F305,$H305,$J305,$L305,$N305,$P305))</f>
        <v/>
      </c>
      <c r="S305" s="61" t="str">
        <f aca="false">IF($A305="","",COUNT($E305,$G305,$I305,$K305,$M305,$O305))</f>
        <v/>
      </c>
    </row>
    <row r="306" customFormat="false" ht="15" hidden="false" customHeight="false" outlineLevel="0" collapsed="false">
      <c r="A306" s="32" t="str">
        <f aca="false">IF(Produtos!$A306="","",Produtos!$A306)</f>
        <v/>
      </c>
      <c r="B306" s="32" t="str">
        <f aca="false">IF(Produtos!$A306="","",Produtos!$B306)</f>
        <v/>
      </c>
      <c r="C306" s="32" t="str">
        <f aca="false">IF(Produtos!$A306="","",Produtos!$C306)</f>
        <v/>
      </c>
      <c r="D306" s="33" t="str">
        <f aca="false">IF(Produtos!$A306="","",IF(Produtos!$D306="","",Produtos!$D306))</f>
        <v/>
      </c>
      <c r="E306" s="59" t="str">
        <f aca="false">'ML Clássico'!$K306</f>
        <v/>
      </c>
      <c r="F306" s="60" t="str">
        <f aca="false">'ML Clássico'!$Q306</f>
        <v/>
      </c>
      <c r="G306" s="59" t="str">
        <f aca="false">'ML Premium'!$K306</f>
        <v/>
      </c>
      <c r="H306" s="60" t="str">
        <f aca="false">'ML Premium'!$Q306</f>
        <v/>
      </c>
      <c r="I306" s="59" t="str">
        <f aca="false">Amazon!$K306</f>
        <v/>
      </c>
      <c r="J306" s="60" t="str">
        <f aca="false">Amazon!$Q306</f>
        <v/>
      </c>
      <c r="K306" s="59" t="str">
        <f aca="false">'Via (Casas Bahia)'!$K306</f>
        <v/>
      </c>
      <c r="L306" s="60" t="str">
        <f aca="false">'Via (Casas Bahia)'!$Q306</f>
        <v/>
      </c>
      <c r="M306" s="59" t="str">
        <f aca="false">MadeiraMadeira!$K306</f>
        <v/>
      </c>
      <c r="N306" s="60" t="str">
        <f aca="false">MadeiraMadeira!$Q306</f>
        <v/>
      </c>
      <c r="O306" s="59" t="str">
        <f aca="false">Magalu!$K306</f>
        <v/>
      </c>
      <c r="P306" s="60" t="str">
        <f aca="false">Magalu!$Q306</f>
        <v/>
      </c>
      <c r="Q306" s="46" t="str">
        <f aca="false">IF(COUNT($F306,$H306,$J306,$L306,$N306,$P306)=0,"",MIN($F306,$H306,$J306,$L306,$N306,$P306))</f>
        <v/>
      </c>
      <c r="R306" s="46" t="str">
        <f aca="false">IF(COUNT($F306,$H306,$J306,$L306,$N306,$P306)=0,"",MAX($F306,$H306,$J306,$L306,$N306,$P306))</f>
        <v/>
      </c>
      <c r="S306" s="61" t="str">
        <f aca="false">IF($A306="","",COUNT($E306,$G306,$I306,$K306,$M306,$O306))</f>
        <v/>
      </c>
    </row>
    <row r="307" customFormat="false" ht="15" hidden="false" customHeight="false" outlineLevel="0" collapsed="false">
      <c r="A307" s="48" t="str">
        <f aca="false">IF(Produtos!$A307="","",Produtos!$A307)</f>
        <v/>
      </c>
      <c r="B307" s="48" t="str">
        <f aca="false">IF(Produtos!$A307="","",Produtos!$B307)</f>
        <v/>
      </c>
      <c r="C307" s="48" t="str">
        <f aca="false">IF(Produtos!$A307="","",Produtos!$C307)</f>
        <v/>
      </c>
      <c r="D307" s="33" t="str">
        <f aca="false">IF(Produtos!$A307="","",IF(Produtos!$D307="","",Produtos!$D307))</f>
        <v/>
      </c>
      <c r="E307" s="62" t="str">
        <f aca="false">'ML Clássico'!$K307</f>
        <v/>
      </c>
      <c r="F307" s="60" t="str">
        <f aca="false">'ML Clássico'!$Q307</f>
        <v/>
      </c>
      <c r="G307" s="62" t="str">
        <f aca="false">'ML Premium'!$K307</f>
        <v/>
      </c>
      <c r="H307" s="60" t="str">
        <f aca="false">'ML Premium'!$Q307</f>
        <v/>
      </c>
      <c r="I307" s="62" t="str">
        <f aca="false">Amazon!$K307</f>
        <v/>
      </c>
      <c r="J307" s="60" t="str">
        <f aca="false">Amazon!$Q307</f>
        <v/>
      </c>
      <c r="K307" s="62" t="str">
        <f aca="false">'Via (Casas Bahia)'!$K307</f>
        <v/>
      </c>
      <c r="L307" s="60" t="str">
        <f aca="false">'Via (Casas Bahia)'!$Q307</f>
        <v/>
      </c>
      <c r="M307" s="62" t="str">
        <f aca="false">MadeiraMadeira!$K307</f>
        <v/>
      </c>
      <c r="N307" s="60" t="str">
        <f aca="false">MadeiraMadeira!$Q307</f>
        <v/>
      </c>
      <c r="O307" s="62" t="str">
        <f aca="false">Magalu!$K307</f>
        <v/>
      </c>
      <c r="P307" s="60" t="str">
        <f aca="false">Magalu!$Q307</f>
        <v/>
      </c>
      <c r="Q307" s="46" t="str">
        <f aca="false">IF(COUNT($F307,$H307,$J307,$L307,$N307,$P307)=0,"",MIN($F307,$H307,$J307,$L307,$N307,$P307))</f>
        <v/>
      </c>
      <c r="R307" s="46" t="str">
        <f aca="false">IF(COUNT($F307,$H307,$J307,$L307,$N307,$P307)=0,"",MAX($F307,$H307,$J307,$L307,$N307,$P307))</f>
        <v/>
      </c>
      <c r="S307" s="61" t="str">
        <f aca="false">IF($A307="","",COUNT($E307,$G307,$I307,$K307,$M307,$O307))</f>
        <v/>
      </c>
    </row>
    <row r="308" customFormat="false" ht="15" hidden="false" customHeight="false" outlineLevel="0" collapsed="false">
      <c r="A308" s="32" t="str">
        <f aca="false">IF(Produtos!$A308="","",Produtos!$A308)</f>
        <v/>
      </c>
      <c r="B308" s="32" t="str">
        <f aca="false">IF(Produtos!$A308="","",Produtos!$B308)</f>
        <v/>
      </c>
      <c r="C308" s="32" t="str">
        <f aca="false">IF(Produtos!$A308="","",Produtos!$C308)</f>
        <v/>
      </c>
      <c r="D308" s="33" t="str">
        <f aca="false">IF(Produtos!$A308="","",IF(Produtos!$D308="","",Produtos!$D308))</f>
        <v/>
      </c>
      <c r="E308" s="59" t="str">
        <f aca="false">'ML Clássico'!$K308</f>
        <v/>
      </c>
      <c r="F308" s="60" t="str">
        <f aca="false">'ML Clássico'!$Q308</f>
        <v/>
      </c>
      <c r="G308" s="59" t="str">
        <f aca="false">'ML Premium'!$K308</f>
        <v/>
      </c>
      <c r="H308" s="60" t="str">
        <f aca="false">'ML Premium'!$Q308</f>
        <v/>
      </c>
      <c r="I308" s="59" t="str">
        <f aca="false">Amazon!$K308</f>
        <v/>
      </c>
      <c r="J308" s="60" t="str">
        <f aca="false">Amazon!$Q308</f>
        <v/>
      </c>
      <c r="K308" s="59" t="str">
        <f aca="false">'Via (Casas Bahia)'!$K308</f>
        <v/>
      </c>
      <c r="L308" s="60" t="str">
        <f aca="false">'Via (Casas Bahia)'!$Q308</f>
        <v/>
      </c>
      <c r="M308" s="59" t="str">
        <f aca="false">MadeiraMadeira!$K308</f>
        <v/>
      </c>
      <c r="N308" s="60" t="str">
        <f aca="false">MadeiraMadeira!$Q308</f>
        <v/>
      </c>
      <c r="O308" s="59" t="str">
        <f aca="false">Magalu!$K308</f>
        <v/>
      </c>
      <c r="P308" s="60" t="str">
        <f aca="false">Magalu!$Q308</f>
        <v/>
      </c>
      <c r="Q308" s="46" t="str">
        <f aca="false">IF(COUNT($F308,$H308,$J308,$L308,$N308,$P308)=0,"",MIN($F308,$H308,$J308,$L308,$N308,$P308))</f>
        <v/>
      </c>
      <c r="R308" s="46" t="str">
        <f aca="false">IF(COUNT($F308,$H308,$J308,$L308,$N308,$P308)=0,"",MAX($F308,$H308,$J308,$L308,$N308,$P308))</f>
        <v/>
      </c>
      <c r="S308" s="61" t="str">
        <f aca="false">IF($A308="","",COUNT($E308,$G308,$I308,$K308,$M308,$O308))</f>
        <v/>
      </c>
    </row>
    <row r="309" customFormat="false" ht="15" hidden="false" customHeight="false" outlineLevel="0" collapsed="false">
      <c r="A309" s="48" t="str">
        <f aca="false">IF(Produtos!$A309="","",Produtos!$A309)</f>
        <v/>
      </c>
      <c r="B309" s="48" t="str">
        <f aca="false">IF(Produtos!$A309="","",Produtos!$B309)</f>
        <v/>
      </c>
      <c r="C309" s="48" t="str">
        <f aca="false">IF(Produtos!$A309="","",Produtos!$C309)</f>
        <v/>
      </c>
      <c r="D309" s="33" t="str">
        <f aca="false">IF(Produtos!$A309="","",IF(Produtos!$D309="","",Produtos!$D309))</f>
        <v/>
      </c>
      <c r="E309" s="62" t="str">
        <f aca="false">'ML Clássico'!$K309</f>
        <v/>
      </c>
      <c r="F309" s="60" t="str">
        <f aca="false">'ML Clássico'!$Q309</f>
        <v/>
      </c>
      <c r="G309" s="62" t="str">
        <f aca="false">'ML Premium'!$K309</f>
        <v/>
      </c>
      <c r="H309" s="60" t="str">
        <f aca="false">'ML Premium'!$Q309</f>
        <v/>
      </c>
      <c r="I309" s="62" t="str">
        <f aca="false">Amazon!$K309</f>
        <v/>
      </c>
      <c r="J309" s="60" t="str">
        <f aca="false">Amazon!$Q309</f>
        <v/>
      </c>
      <c r="K309" s="62" t="str">
        <f aca="false">'Via (Casas Bahia)'!$K309</f>
        <v/>
      </c>
      <c r="L309" s="60" t="str">
        <f aca="false">'Via (Casas Bahia)'!$Q309</f>
        <v/>
      </c>
      <c r="M309" s="62" t="str">
        <f aca="false">MadeiraMadeira!$K309</f>
        <v/>
      </c>
      <c r="N309" s="60" t="str">
        <f aca="false">MadeiraMadeira!$Q309</f>
        <v/>
      </c>
      <c r="O309" s="62" t="str">
        <f aca="false">Magalu!$K309</f>
        <v/>
      </c>
      <c r="P309" s="60" t="str">
        <f aca="false">Magalu!$Q309</f>
        <v/>
      </c>
      <c r="Q309" s="46" t="str">
        <f aca="false">IF(COUNT($F309,$H309,$J309,$L309,$N309,$P309)=0,"",MIN($F309,$H309,$J309,$L309,$N309,$P309))</f>
        <v/>
      </c>
      <c r="R309" s="46" t="str">
        <f aca="false">IF(COUNT($F309,$H309,$J309,$L309,$N309,$P309)=0,"",MAX($F309,$H309,$J309,$L309,$N309,$P309))</f>
        <v/>
      </c>
      <c r="S309" s="61" t="str">
        <f aca="false">IF($A309="","",COUNT($E309,$G309,$I309,$K309,$M309,$O309))</f>
        <v/>
      </c>
    </row>
    <row r="310" customFormat="false" ht="15" hidden="false" customHeight="false" outlineLevel="0" collapsed="false">
      <c r="A310" s="32" t="str">
        <f aca="false">IF(Produtos!$A310="","",Produtos!$A310)</f>
        <v/>
      </c>
      <c r="B310" s="32" t="str">
        <f aca="false">IF(Produtos!$A310="","",Produtos!$B310)</f>
        <v/>
      </c>
      <c r="C310" s="32" t="str">
        <f aca="false">IF(Produtos!$A310="","",Produtos!$C310)</f>
        <v/>
      </c>
      <c r="D310" s="33" t="str">
        <f aca="false">IF(Produtos!$A310="","",IF(Produtos!$D310="","",Produtos!$D310))</f>
        <v/>
      </c>
      <c r="E310" s="59" t="str">
        <f aca="false">'ML Clássico'!$K310</f>
        <v/>
      </c>
      <c r="F310" s="60" t="str">
        <f aca="false">'ML Clássico'!$Q310</f>
        <v/>
      </c>
      <c r="G310" s="59" t="str">
        <f aca="false">'ML Premium'!$K310</f>
        <v/>
      </c>
      <c r="H310" s="60" t="str">
        <f aca="false">'ML Premium'!$Q310</f>
        <v/>
      </c>
      <c r="I310" s="59" t="str">
        <f aca="false">Amazon!$K310</f>
        <v/>
      </c>
      <c r="J310" s="60" t="str">
        <f aca="false">Amazon!$Q310</f>
        <v/>
      </c>
      <c r="K310" s="59" t="str">
        <f aca="false">'Via (Casas Bahia)'!$K310</f>
        <v/>
      </c>
      <c r="L310" s="60" t="str">
        <f aca="false">'Via (Casas Bahia)'!$Q310</f>
        <v/>
      </c>
      <c r="M310" s="59" t="str">
        <f aca="false">MadeiraMadeira!$K310</f>
        <v/>
      </c>
      <c r="N310" s="60" t="str">
        <f aca="false">MadeiraMadeira!$Q310</f>
        <v/>
      </c>
      <c r="O310" s="59" t="str">
        <f aca="false">Magalu!$K310</f>
        <v/>
      </c>
      <c r="P310" s="60" t="str">
        <f aca="false">Magalu!$Q310</f>
        <v/>
      </c>
      <c r="Q310" s="46" t="str">
        <f aca="false">IF(COUNT($F310,$H310,$J310,$L310,$N310,$P310)=0,"",MIN($F310,$H310,$J310,$L310,$N310,$P310))</f>
        <v/>
      </c>
      <c r="R310" s="46" t="str">
        <f aca="false">IF(COUNT($F310,$H310,$J310,$L310,$N310,$P310)=0,"",MAX($F310,$H310,$J310,$L310,$N310,$P310))</f>
        <v/>
      </c>
      <c r="S310" s="61" t="str">
        <f aca="false">IF($A310="","",COUNT($E310,$G310,$I310,$K310,$M310,$O310))</f>
        <v/>
      </c>
    </row>
    <row r="311" customFormat="false" ht="15" hidden="false" customHeight="false" outlineLevel="0" collapsed="false">
      <c r="A311" s="48" t="str">
        <f aca="false">IF(Produtos!$A311="","",Produtos!$A311)</f>
        <v/>
      </c>
      <c r="B311" s="48" t="str">
        <f aca="false">IF(Produtos!$A311="","",Produtos!$B311)</f>
        <v/>
      </c>
      <c r="C311" s="48" t="str">
        <f aca="false">IF(Produtos!$A311="","",Produtos!$C311)</f>
        <v/>
      </c>
      <c r="D311" s="33" t="str">
        <f aca="false">IF(Produtos!$A311="","",IF(Produtos!$D311="","",Produtos!$D311))</f>
        <v/>
      </c>
      <c r="E311" s="62" t="str">
        <f aca="false">'ML Clássico'!$K311</f>
        <v/>
      </c>
      <c r="F311" s="60" t="str">
        <f aca="false">'ML Clássico'!$Q311</f>
        <v/>
      </c>
      <c r="G311" s="62" t="str">
        <f aca="false">'ML Premium'!$K311</f>
        <v/>
      </c>
      <c r="H311" s="60" t="str">
        <f aca="false">'ML Premium'!$Q311</f>
        <v/>
      </c>
      <c r="I311" s="62" t="str">
        <f aca="false">Amazon!$K311</f>
        <v/>
      </c>
      <c r="J311" s="60" t="str">
        <f aca="false">Amazon!$Q311</f>
        <v/>
      </c>
      <c r="K311" s="62" t="str">
        <f aca="false">'Via (Casas Bahia)'!$K311</f>
        <v/>
      </c>
      <c r="L311" s="60" t="str">
        <f aca="false">'Via (Casas Bahia)'!$Q311</f>
        <v/>
      </c>
      <c r="M311" s="62" t="str">
        <f aca="false">MadeiraMadeira!$K311</f>
        <v/>
      </c>
      <c r="N311" s="60" t="str">
        <f aca="false">MadeiraMadeira!$Q311</f>
        <v/>
      </c>
      <c r="O311" s="62" t="str">
        <f aca="false">Magalu!$K311</f>
        <v/>
      </c>
      <c r="P311" s="60" t="str">
        <f aca="false">Magalu!$Q311</f>
        <v/>
      </c>
      <c r="Q311" s="46" t="str">
        <f aca="false">IF(COUNT($F311,$H311,$J311,$L311,$N311,$P311)=0,"",MIN($F311,$H311,$J311,$L311,$N311,$P311))</f>
        <v/>
      </c>
      <c r="R311" s="46" t="str">
        <f aca="false">IF(COUNT($F311,$H311,$J311,$L311,$N311,$P311)=0,"",MAX($F311,$H311,$J311,$L311,$N311,$P311))</f>
        <v/>
      </c>
      <c r="S311" s="61" t="str">
        <f aca="false">IF($A311="","",COUNT($E311,$G311,$I311,$K311,$M311,$O311))</f>
        <v/>
      </c>
    </row>
    <row r="312" customFormat="false" ht="15" hidden="false" customHeight="false" outlineLevel="0" collapsed="false">
      <c r="A312" s="32" t="str">
        <f aca="false">IF(Produtos!$A312="","",Produtos!$A312)</f>
        <v/>
      </c>
      <c r="B312" s="32" t="str">
        <f aca="false">IF(Produtos!$A312="","",Produtos!$B312)</f>
        <v/>
      </c>
      <c r="C312" s="32" t="str">
        <f aca="false">IF(Produtos!$A312="","",Produtos!$C312)</f>
        <v/>
      </c>
      <c r="D312" s="33" t="str">
        <f aca="false">IF(Produtos!$A312="","",IF(Produtos!$D312="","",Produtos!$D312))</f>
        <v/>
      </c>
      <c r="E312" s="59" t="str">
        <f aca="false">'ML Clássico'!$K312</f>
        <v/>
      </c>
      <c r="F312" s="60" t="str">
        <f aca="false">'ML Clássico'!$Q312</f>
        <v/>
      </c>
      <c r="G312" s="59" t="str">
        <f aca="false">'ML Premium'!$K312</f>
        <v/>
      </c>
      <c r="H312" s="60" t="str">
        <f aca="false">'ML Premium'!$Q312</f>
        <v/>
      </c>
      <c r="I312" s="59" t="str">
        <f aca="false">Amazon!$K312</f>
        <v/>
      </c>
      <c r="J312" s="60" t="str">
        <f aca="false">Amazon!$Q312</f>
        <v/>
      </c>
      <c r="K312" s="59" t="str">
        <f aca="false">'Via (Casas Bahia)'!$K312</f>
        <v/>
      </c>
      <c r="L312" s="60" t="str">
        <f aca="false">'Via (Casas Bahia)'!$Q312</f>
        <v/>
      </c>
      <c r="M312" s="59" t="str">
        <f aca="false">MadeiraMadeira!$K312</f>
        <v/>
      </c>
      <c r="N312" s="60" t="str">
        <f aca="false">MadeiraMadeira!$Q312</f>
        <v/>
      </c>
      <c r="O312" s="59" t="str">
        <f aca="false">Magalu!$K312</f>
        <v/>
      </c>
      <c r="P312" s="60" t="str">
        <f aca="false">Magalu!$Q312</f>
        <v/>
      </c>
      <c r="Q312" s="46" t="str">
        <f aca="false">IF(COUNT($F312,$H312,$J312,$L312,$N312,$P312)=0,"",MIN($F312,$H312,$J312,$L312,$N312,$P312))</f>
        <v/>
      </c>
      <c r="R312" s="46" t="str">
        <f aca="false">IF(COUNT($F312,$H312,$J312,$L312,$N312,$P312)=0,"",MAX($F312,$H312,$J312,$L312,$N312,$P312))</f>
        <v/>
      </c>
      <c r="S312" s="61" t="str">
        <f aca="false">IF($A312="","",COUNT($E312,$G312,$I312,$K312,$M312,$O312))</f>
        <v/>
      </c>
    </row>
    <row r="313" customFormat="false" ht="15" hidden="false" customHeight="false" outlineLevel="0" collapsed="false">
      <c r="A313" s="48" t="str">
        <f aca="false">IF(Produtos!$A313="","",Produtos!$A313)</f>
        <v/>
      </c>
      <c r="B313" s="48" t="str">
        <f aca="false">IF(Produtos!$A313="","",Produtos!$B313)</f>
        <v/>
      </c>
      <c r="C313" s="48" t="str">
        <f aca="false">IF(Produtos!$A313="","",Produtos!$C313)</f>
        <v/>
      </c>
      <c r="D313" s="33" t="str">
        <f aca="false">IF(Produtos!$A313="","",IF(Produtos!$D313="","",Produtos!$D313))</f>
        <v/>
      </c>
      <c r="E313" s="62" t="str">
        <f aca="false">'ML Clássico'!$K313</f>
        <v/>
      </c>
      <c r="F313" s="60" t="str">
        <f aca="false">'ML Clássico'!$Q313</f>
        <v/>
      </c>
      <c r="G313" s="62" t="str">
        <f aca="false">'ML Premium'!$K313</f>
        <v/>
      </c>
      <c r="H313" s="60" t="str">
        <f aca="false">'ML Premium'!$Q313</f>
        <v/>
      </c>
      <c r="I313" s="62" t="str">
        <f aca="false">Amazon!$K313</f>
        <v/>
      </c>
      <c r="J313" s="60" t="str">
        <f aca="false">Amazon!$Q313</f>
        <v/>
      </c>
      <c r="K313" s="62" t="str">
        <f aca="false">'Via (Casas Bahia)'!$K313</f>
        <v/>
      </c>
      <c r="L313" s="60" t="str">
        <f aca="false">'Via (Casas Bahia)'!$Q313</f>
        <v/>
      </c>
      <c r="M313" s="62" t="str">
        <f aca="false">MadeiraMadeira!$K313</f>
        <v/>
      </c>
      <c r="N313" s="60" t="str">
        <f aca="false">MadeiraMadeira!$Q313</f>
        <v/>
      </c>
      <c r="O313" s="62" t="str">
        <f aca="false">Magalu!$K313</f>
        <v/>
      </c>
      <c r="P313" s="60" t="str">
        <f aca="false">Magalu!$Q313</f>
        <v/>
      </c>
      <c r="Q313" s="46" t="str">
        <f aca="false">IF(COUNT($F313,$H313,$J313,$L313,$N313,$P313)=0,"",MIN($F313,$H313,$J313,$L313,$N313,$P313))</f>
        <v/>
      </c>
      <c r="R313" s="46" t="str">
        <f aca="false">IF(COUNT($F313,$H313,$J313,$L313,$N313,$P313)=0,"",MAX($F313,$H313,$J313,$L313,$N313,$P313))</f>
        <v/>
      </c>
      <c r="S313" s="61" t="str">
        <f aca="false">IF($A313="","",COUNT($E313,$G313,$I313,$K313,$M313,$O313))</f>
        <v/>
      </c>
    </row>
    <row r="314" customFormat="false" ht="15" hidden="false" customHeight="false" outlineLevel="0" collapsed="false">
      <c r="A314" s="32" t="str">
        <f aca="false">IF(Produtos!$A314="","",Produtos!$A314)</f>
        <v/>
      </c>
      <c r="B314" s="32" t="str">
        <f aca="false">IF(Produtos!$A314="","",Produtos!$B314)</f>
        <v/>
      </c>
      <c r="C314" s="32" t="str">
        <f aca="false">IF(Produtos!$A314="","",Produtos!$C314)</f>
        <v/>
      </c>
      <c r="D314" s="33" t="str">
        <f aca="false">IF(Produtos!$A314="","",IF(Produtos!$D314="","",Produtos!$D314))</f>
        <v/>
      </c>
      <c r="E314" s="59" t="str">
        <f aca="false">'ML Clássico'!$K314</f>
        <v/>
      </c>
      <c r="F314" s="60" t="str">
        <f aca="false">'ML Clássico'!$Q314</f>
        <v/>
      </c>
      <c r="G314" s="59" t="str">
        <f aca="false">'ML Premium'!$K314</f>
        <v/>
      </c>
      <c r="H314" s="60" t="str">
        <f aca="false">'ML Premium'!$Q314</f>
        <v/>
      </c>
      <c r="I314" s="59" t="str">
        <f aca="false">Amazon!$K314</f>
        <v/>
      </c>
      <c r="J314" s="60" t="str">
        <f aca="false">Amazon!$Q314</f>
        <v/>
      </c>
      <c r="K314" s="59" t="str">
        <f aca="false">'Via (Casas Bahia)'!$K314</f>
        <v/>
      </c>
      <c r="L314" s="60" t="str">
        <f aca="false">'Via (Casas Bahia)'!$Q314</f>
        <v/>
      </c>
      <c r="M314" s="59" t="str">
        <f aca="false">MadeiraMadeira!$K314</f>
        <v/>
      </c>
      <c r="N314" s="60" t="str">
        <f aca="false">MadeiraMadeira!$Q314</f>
        <v/>
      </c>
      <c r="O314" s="59" t="str">
        <f aca="false">Magalu!$K314</f>
        <v/>
      </c>
      <c r="P314" s="60" t="str">
        <f aca="false">Magalu!$Q314</f>
        <v/>
      </c>
      <c r="Q314" s="46" t="str">
        <f aca="false">IF(COUNT($F314,$H314,$J314,$L314,$N314,$P314)=0,"",MIN($F314,$H314,$J314,$L314,$N314,$P314))</f>
        <v/>
      </c>
      <c r="R314" s="46" t="str">
        <f aca="false">IF(COUNT($F314,$H314,$J314,$L314,$N314,$P314)=0,"",MAX($F314,$H314,$J314,$L314,$N314,$P314))</f>
        <v/>
      </c>
      <c r="S314" s="61" t="str">
        <f aca="false">IF($A314="","",COUNT($E314,$G314,$I314,$K314,$M314,$O314))</f>
        <v/>
      </c>
    </row>
    <row r="315" customFormat="false" ht="15" hidden="false" customHeight="false" outlineLevel="0" collapsed="false">
      <c r="A315" s="48" t="str">
        <f aca="false">IF(Produtos!$A315="","",Produtos!$A315)</f>
        <v/>
      </c>
      <c r="B315" s="48" t="str">
        <f aca="false">IF(Produtos!$A315="","",Produtos!$B315)</f>
        <v/>
      </c>
      <c r="C315" s="48" t="str">
        <f aca="false">IF(Produtos!$A315="","",Produtos!$C315)</f>
        <v/>
      </c>
      <c r="D315" s="33" t="str">
        <f aca="false">IF(Produtos!$A315="","",IF(Produtos!$D315="","",Produtos!$D315))</f>
        <v/>
      </c>
      <c r="E315" s="62" t="str">
        <f aca="false">'ML Clássico'!$K315</f>
        <v/>
      </c>
      <c r="F315" s="60" t="str">
        <f aca="false">'ML Clássico'!$Q315</f>
        <v/>
      </c>
      <c r="G315" s="62" t="str">
        <f aca="false">'ML Premium'!$K315</f>
        <v/>
      </c>
      <c r="H315" s="60" t="str">
        <f aca="false">'ML Premium'!$Q315</f>
        <v/>
      </c>
      <c r="I315" s="62" t="str">
        <f aca="false">Amazon!$K315</f>
        <v/>
      </c>
      <c r="J315" s="60" t="str">
        <f aca="false">Amazon!$Q315</f>
        <v/>
      </c>
      <c r="K315" s="62" t="str">
        <f aca="false">'Via (Casas Bahia)'!$K315</f>
        <v/>
      </c>
      <c r="L315" s="60" t="str">
        <f aca="false">'Via (Casas Bahia)'!$Q315</f>
        <v/>
      </c>
      <c r="M315" s="62" t="str">
        <f aca="false">MadeiraMadeira!$K315</f>
        <v/>
      </c>
      <c r="N315" s="60" t="str">
        <f aca="false">MadeiraMadeira!$Q315</f>
        <v/>
      </c>
      <c r="O315" s="62" t="str">
        <f aca="false">Magalu!$K315</f>
        <v/>
      </c>
      <c r="P315" s="60" t="str">
        <f aca="false">Magalu!$Q315</f>
        <v/>
      </c>
      <c r="Q315" s="46" t="str">
        <f aca="false">IF(COUNT($F315,$H315,$J315,$L315,$N315,$P315)=0,"",MIN($F315,$H315,$J315,$L315,$N315,$P315))</f>
        <v/>
      </c>
      <c r="R315" s="46" t="str">
        <f aca="false">IF(COUNT($F315,$H315,$J315,$L315,$N315,$P315)=0,"",MAX($F315,$H315,$J315,$L315,$N315,$P315))</f>
        <v/>
      </c>
      <c r="S315" s="61" t="str">
        <f aca="false">IF($A315="","",COUNT($E315,$G315,$I315,$K315,$M315,$O315))</f>
        <v/>
      </c>
    </row>
    <row r="316" customFormat="false" ht="15" hidden="false" customHeight="false" outlineLevel="0" collapsed="false">
      <c r="A316" s="32" t="str">
        <f aca="false">IF(Produtos!$A316="","",Produtos!$A316)</f>
        <v/>
      </c>
      <c r="B316" s="32" t="str">
        <f aca="false">IF(Produtos!$A316="","",Produtos!$B316)</f>
        <v/>
      </c>
      <c r="C316" s="32" t="str">
        <f aca="false">IF(Produtos!$A316="","",Produtos!$C316)</f>
        <v/>
      </c>
      <c r="D316" s="33" t="str">
        <f aca="false">IF(Produtos!$A316="","",IF(Produtos!$D316="","",Produtos!$D316))</f>
        <v/>
      </c>
      <c r="E316" s="59" t="str">
        <f aca="false">'ML Clássico'!$K316</f>
        <v/>
      </c>
      <c r="F316" s="60" t="str">
        <f aca="false">'ML Clássico'!$Q316</f>
        <v/>
      </c>
      <c r="G316" s="59" t="str">
        <f aca="false">'ML Premium'!$K316</f>
        <v/>
      </c>
      <c r="H316" s="60" t="str">
        <f aca="false">'ML Premium'!$Q316</f>
        <v/>
      </c>
      <c r="I316" s="59" t="str">
        <f aca="false">Amazon!$K316</f>
        <v/>
      </c>
      <c r="J316" s="60" t="str">
        <f aca="false">Amazon!$Q316</f>
        <v/>
      </c>
      <c r="K316" s="59" t="str">
        <f aca="false">'Via (Casas Bahia)'!$K316</f>
        <v/>
      </c>
      <c r="L316" s="60" t="str">
        <f aca="false">'Via (Casas Bahia)'!$Q316</f>
        <v/>
      </c>
      <c r="M316" s="59" t="str">
        <f aca="false">MadeiraMadeira!$K316</f>
        <v/>
      </c>
      <c r="N316" s="60" t="str">
        <f aca="false">MadeiraMadeira!$Q316</f>
        <v/>
      </c>
      <c r="O316" s="59" t="str">
        <f aca="false">Magalu!$K316</f>
        <v/>
      </c>
      <c r="P316" s="60" t="str">
        <f aca="false">Magalu!$Q316</f>
        <v/>
      </c>
      <c r="Q316" s="46" t="str">
        <f aca="false">IF(COUNT($F316,$H316,$J316,$L316,$N316,$P316)=0,"",MIN($F316,$H316,$J316,$L316,$N316,$P316))</f>
        <v/>
      </c>
      <c r="R316" s="46" t="str">
        <f aca="false">IF(COUNT($F316,$H316,$J316,$L316,$N316,$P316)=0,"",MAX($F316,$H316,$J316,$L316,$N316,$P316))</f>
        <v/>
      </c>
      <c r="S316" s="61" t="str">
        <f aca="false">IF($A316="","",COUNT($E316,$G316,$I316,$K316,$M316,$O316))</f>
        <v/>
      </c>
    </row>
    <row r="317" customFormat="false" ht="15" hidden="false" customHeight="false" outlineLevel="0" collapsed="false">
      <c r="A317" s="48" t="str">
        <f aca="false">IF(Produtos!$A317="","",Produtos!$A317)</f>
        <v/>
      </c>
      <c r="B317" s="48" t="str">
        <f aca="false">IF(Produtos!$A317="","",Produtos!$B317)</f>
        <v/>
      </c>
      <c r="C317" s="48" t="str">
        <f aca="false">IF(Produtos!$A317="","",Produtos!$C317)</f>
        <v/>
      </c>
      <c r="D317" s="33" t="str">
        <f aca="false">IF(Produtos!$A317="","",IF(Produtos!$D317="","",Produtos!$D317))</f>
        <v/>
      </c>
      <c r="E317" s="62" t="str">
        <f aca="false">'ML Clássico'!$K317</f>
        <v/>
      </c>
      <c r="F317" s="60" t="str">
        <f aca="false">'ML Clássico'!$Q317</f>
        <v/>
      </c>
      <c r="G317" s="62" t="str">
        <f aca="false">'ML Premium'!$K317</f>
        <v/>
      </c>
      <c r="H317" s="60" t="str">
        <f aca="false">'ML Premium'!$Q317</f>
        <v/>
      </c>
      <c r="I317" s="62" t="str">
        <f aca="false">Amazon!$K317</f>
        <v/>
      </c>
      <c r="J317" s="60" t="str">
        <f aca="false">Amazon!$Q317</f>
        <v/>
      </c>
      <c r="K317" s="62" t="str">
        <f aca="false">'Via (Casas Bahia)'!$K317</f>
        <v/>
      </c>
      <c r="L317" s="60" t="str">
        <f aca="false">'Via (Casas Bahia)'!$Q317</f>
        <v/>
      </c>
      <c r="M317" s="62" t="str">
        <f aca="false">MadeiraMadeira!$K317</f>
        <v/>
      </c>
      <c r="N317" s="60" t="str">
        <f aca="false">MadeiraMadeira!$Q317</f>
        <v/>
      </c>
      <c r="O317" s="62" t="str">
        <f aca="false">Magalu!$K317</f>
        <v/>
      </c>
      <c r="P317" s="60" t="str">
        <f aca="false">Magalu!$Q317</f>
        <v/>
      </c>
      <c r="Q317" s="46" t="str">
        <f aca="false">IF(COUNT($F317,$H317,$J317,$L317,$N317,$P317)=0,"",MIN($F317,$H317,$J317,$L317,$N317,$P317))</f>
        <v/>
      </c>
      <c r="R317" s="46" t="str">
        <f aca="false">IF(COUNT($F317,$H317,$J317,$L317,$N317,$P317)=0,"",MAX($F317,$H317,$J317,$L317,$N317,$P317))</f>
        <v/>
      </c>
      <c r="S317" s="61" t="str">
        <f aca="false">IF($A317="","",COUNT($E317,$G317,$I317,$K317,$M317,$O317))</f>
        <v/>
      </c>
    </row>
    <row r="318" customFormat="false" ht="15" hidden="false" customHeight="false" outlineLevel="0" collapsed="false">
      <c r="A318" s="32" t="str">
        <f aca="false">IF(Produtos!$A318="","",Produtos!$A318)</f>
        <v/>
      </c>
      <c r="B318" s="32" t="str">
        <f aca="false">IF(Produtos!$A318="","",Produtos!$B318)</f>
        <v/>
      </c>
      <c r="C318" s="32" t="str">
        <f aca="false">IF(Produtos!$A318="","",Produtos!$C318)</f>
        <v/>
      </c>
      <c r="D318" s="33" t="str">
        <f aca="false">IF(Produtos!$A318="","",IF(Produtos!$D318="","",Produtos!$D318))</f>
        <v/>
      </c>
      <c r="E318" s="59" t="str">
        <f aca="false">'ML Clássico'!$K318</f>
        <v/>
      </c>
      <c r="F318" s="60" t="str">
        <f aca="false">'ML Clássico'!$Q318</f>
        <v/>
      </c>
      <c r="G318" s="59" t="str">
        <f aca="false">'ML Premium'!$K318</f>
        <v/>
      </c>
      <c r="H318" s="60" t="str">
        <f aca="false">'ML Premium'!$Q318</f>
        <v/>
      </c>
      <c r="I318" s="59" t="str">
        <f aca="false">Amazon!$K318</f>
        <v/>
      </c>
      <c r="J318" s="60" t="str">
        <f aca="false">Amazon!$Q318</f>
        <v/>
      </c>
      <c r="K318" s="59" t="str">
        <f aca="false">'Via (Casas Bahia)'!$K318</f>
        <v/>
      </c>
      <c r="L318" s="60" t="str">
        <f aca="false">'Via (Casas Bahia)'!$Q318</f>
        <v/>
      </c>
      <c r="M318" s="59" t="str">
        <f aca="false">MadeiraMadeira!$K318</f>
        <v/>
      </c>
      <c r="N318" s="60" t="str">
        <f aca="false">MadeiraMadeira!$Q318</f>
        <v/>
      </c>
      <c r="O318" s="59" t="str">
        <f aca="false">Magalu!$K318</f>
        <v/>
      </c>
      <c r="P318" s="60" t="str">
        <f aca="false">Magalu!$Q318</f>
        <v/>
      </c>
      <c r="Q318" s="46" t="str">
        <f aca="false">IF(COUNT($F318,$H318,$J318,$L318,$N318,$P318)=0,"",MIN($F318,$H318,$J318,$L318,$N318,$P318))</f>
        <v/>
      </c>
      <c r="R318" s="46" t="str">
        <f aca="false">IF(COUNT($F318,$H318,$J318,$L318,$N318,$P318)=0,"",MAX($F318,$H318,$J318,$L318,$N318,$P318))</f>
        <v/>
      </c>
      <c r="S318" s="61" t="str">
        <f aca="false">IF($A318="","",COUNT($E318,$G318,$I318,$K318,$M318,$O318))</f>
        <v/>
      </c>
    </row>
    <row r="319" customFormat="false" ht="15" hidden="false" customHeight="false" outlineLevel="0" collapsed="false">
      <c r="A319" s="48" t="str">
        <f aca="false">IF(Produtos!$A319="","",Produtos!$A319)</f>
        <v/>
      </c>
      <c r="B319" s="48" t="str">
        <f aca="false">IF(Produtos!$A319="","",Produtos!$B319)</f>
        <v/>
      </c>
      <c r="C319" s="48" t="str">
        <f aca="false">IF(Produtos!$A319="","",Produtos!$C319)</f>
        <v/>
      </c>
      <c r="D319" s="33" t="str">
        <f aca="false">IF(Produtos!$A319="","",IF(Produtos!$D319="","",Produtos!$D319))</f>
        <v/>
      </c>
      <c r="E319" s="62" t="str">
        <f aca="false">'ML Clássico'!$K319</f>
        <v/>
      </c>
      <c r="F319" s="60" t="str">
        <f aca="false">'ML Clássico'!$Q319</f>
        <v/>
      </c>
      <c r="G319" s="62" t="str">
        <f aca="false">'ML Premium'!$K319</f>
        <v/>
      </c>
      <c r="H319" s="60" t="str">
        <f aca="false">'ML Premium'!$Q319</f>
        <v/>
      </c>
      <c r="I319" s="62" t="str">
        <f aca="false">Amazon!$K319</f>
        <v/>
      </c>
      <c r="J319" s="60" t="str">
        <f aca="false">Amazon!$Q319</f>
        <v/>
      </c>
      <c r="K319" s="62" t="str">
        <f aca="false">'Via (Casas Bahia)'!$K319</f>
        <v/>
      </c>
      <c r="L319" s="60" t="str">
        <f aca="false">'Via (Casas Bahia)'!$Q319</f>
        <v/>
      </c>
      <c r="M319" s="62" t="str">
        <f aca="false">MadeiraMadeira!$K319</f>
        <v/>
      </c>
      <c r="N319" s="60" t="str">
        <f aca="false">MadeiraMadeira!$Q319</f>
        <v/>
      </c>
      <c r="O319" s="62" t="str">
        <f aca="false">Magalu!$K319</f>
        <v/>
      </c>
      <c r="P319" s="60" t="str">
        <f aca="false">Magalu!$Q319</f>
        <v/>
      </c>
      <c r="Q319" s="46" t="str">
        <f aca="false">IF(COUNT($F319,$H319,$J319,$L319,$N319,$P319)=0,"",MIN($F319,$H319,$J319,$L319,$N319,$P319))</f>
        <v/>
      </c>
      <c r="R319" s="46" t="str">
        <f aca="false">IF(COUNT($F319,$H319,$J319,$L319,$N319,$P319)=0,"",MAX($F319,$H319,$J319,$L319,$N319,$P319))</f>
        <v/>
      </c>
      <c r="S319" s="61" t="str">
        <f aca="false">IF($A319="","",COUNT($E319,$G319,$I319,$K319,$M319,$O319))</f>
        <v/>
      </c>
    </row>
    <row r="320" customFormat="false" ht="15" hidden="false" customHeight="false" outlineLevel="0" collapsed="false">
      <c r="A320" s="32" t="str">
        <f aca="false">IF(Produtos!$A320="","",Produtos!$A320)</f>
        <v/>
      </c>
      <c r="B320" s="32" t="str">
        <f aca="false">IF(Produtos!$A320="","",Produtos!$B320)</f>
        <v/>
      </c>
      <c r="C320" s="32" t="str">
        <f aca="false">IF(Produtos!$A320="","",Produtos!$C320)</f>
        <v/>
      </c>
      <c r="D320" s="33" t="str">
        <f aca="false">IF(Produtos!$A320="","",IF(Produtos!$D320="","",Produtos!$D320))</f>
        <v/>
      </c>
      <c r="E320" s="59" t="str">
        <f aca="false">'ML Clássico'!$K320</f>
        <v/>
      </c>
      <c r="F320" s="60" t="str">
        <f aca="false">'ML Clássico'!$Q320</f>
        <v/>
      </c>
      <c r="G320" s="59" t="str">
        <f aca="false">'ML Premium'!$K320</f>
        <v/>
      </c>
      <c r="H320" s="60" t="str">
        <f aca="false">'ML Premium'!$Q320</f>
        <v/>
      </c>
      <c r="I320" s="59" t="str">
        <f aca="false">Amazon!$K320</f>
        <v/>
      </c>
      <c r="J320" s="60" t="str">
        <f aca="false">Amazon!$Q320</f>
        <v/>
      </c>
      <c r="K320" s="59" t="str">
        <f aca="false">'Via (Casas Bahia)'!$K320</f>
        <v/>
      </c>
      <c r="L320" s="60" t="str">
        <f aca="false">'Via (Casas Bahia)'!$Q320</f>
        <v/>
      </c>
      <c r="M320" s="59" t="str">
        <f aca="false">MadeiraMadeira!$K320</f>
        <v/>
      </c>
      <c r="N320" s="60" t="str">
        <f aca="false">MadeiraMadeira!$Q320</f>
        <v/>
      </c>
      <c r="O320" s="59" t="str">
        <f aca="false">Magalu!$K320</f>
        <v/>
      </c>
      <c r="P320" s="60" t="str">
        <f aca="false">Magalu!$Q320</f>
        <v/>
      </c>
      <c r="Q320" s="46" t="str">
        <f aca="false">IF(COUNT($F320,$H320,$J320,$L320,$N320,$P320)=0,"",MIN($F320,$H320,$J320,$L320,$N320,$P320))</f>
        <v/>
      </c>
      <c r="R320" s="46" t="str">
        <f aca="false">IF(COUNT($F320,$H320,$J320,$L320,$N320,$P320)=0,"",MAX($F320,$H320,$J320,$L320,$N320,$P320))</f>
        <v/>
      </c>
      <c r="S320" s="61" t="str">
        <f aca="false">IF($A320="","",COUNT($E320,$G320,$I320,$K320,$M320,$O320))</f>
        <v/>
      </c>
    </row>
    <row r="321" customFormat="false" ht="15" hidden="false" customHeight="false" outlineLevel="0" collapsed="false">
      <c r="A321" s="48" t="str">
        <f aca="false">IF(Produtos!$A321="","",Produtos!$A321)</f>
        <v/>
      </c>
      <c r="B321" s="48" t="str">
        <f aca="false">IF(Produtos!$A321="","",Produtos!$B321)</f>
        <v/>
      </c>
      <c r="C321" s="48" t="str">
        <f aca="false">IF(Produtos!$A321="","",Produtos!$C321)</f>
        <v/>
      </c>
      <c r="D321" s="33" t="str">
        <f aca="false">IF(Produtos!$A321="","",IF(Produtos!$D321="","",Produtos!$D321))</f>
        <v/>
      </c>
      <c r="E321" s="62" t="str">
        <f aca="false">'ML Clássico'!$K321</f>
        <v/>
      </c>
      <c r="F321" s="60" t="str">
        <f aca="false">'ML Clássico'!$Q321</f>
        <v/>
      </c>
      <c r="G321" s="62" t="str">
        <f aca="false">'ML Premium'!$K321</f>
        <v/>
      </c>
      <c r="H321" s="60" t="str">
        <f aca="false">'ML Premium'!$Q321</f>
        <v/>
      </c>
      <c r="I321" s="62" t="str">
        <f aca="false">Amazon!$K321</f>
        <v/>
      </c>
      <c r="J321" s="60" t="str">
        <f aca="false">Amazon!$Q321</f>
        <v/>
      </c>
      <c r="K321" s="62" t="str">
        <f aca="false">'Via (Casas Bahia)'!$K321</f>
        <v/>
      </c>
      <c r="L321" s="60" t="str">
        <f aca="false">'Via (Casas Bahia)'!$Q321</f>
        <v/>
      </c>
      <c r="M321" s="62" t="str">
        <f aca="false">MadeiraMadeira!$K321</f>
        <v/>
      </c>
      <c r="N321" s="60" t="str">
        <f aca="false">MadeiraMadeira!$Q321</f>
        <v/>
      </c>
      <c r="O321" s="62" t="str">
        <f aca="false">Magalu!$K321</f>
        <v/>
      </c>
      <c r="P321" s="60" t="str">
        <f aca="false">Magalu!$Q321</f>
        <v/>
      </c>
      <c r="Q321" s="46" t="str">
        <f aca="false">IF(COUNT($F321,$H321,$J321,$L321,$N321,$P321)=0,"",MIN($F321,$H321,$J321,$L321,$N321,$P321))</f>
        <v/>
      </c>
      <c r="R321" s="46" t="str">
        <f aca="false">IF(COUNT($F321,$H321,$J321,$L321,$N321,$P321)=0,"",MAX($F321,$H321,$J321,$L321,$N321,$P321))</f>
        <v/>
      </c>
      <c r="S321" s="61" t="str">
        <f aca="false">IF($A321="","",COUNT($E321,$G321,$I321,$K321,$M321,$O321))</f>
        <v/>
      </c>
    </row>
    <row r="322" customFormat="false" ht="15" hidden="false" customHeight="false" outlineLevel="0" collapsed="false">
      <c r="A322" s="32" t="str">
        <f aca="false">IF(Produtos!$A322="","",Produtos!$A322)</f>
        <v/>
      </c>
      <c r="B322" s="32" t="str">
        <f aca="false">IF(Produtos!$A322="","",Produtos!$B322)</f>
        <v/>
      </c>
      <c r="C322" s="32" t="str">
        <f aca="false">IF(Produtos!$A322="","",Produtos!$C322)</f>
        <v/>
      </c>
      <c r="D322" s="33" t="str">
        <f aca="false">IF(Produtos!$A322="","",IF(Produtos!$D322="","",Produtos!$D322))</f>
        <v/>
      </c>
      <c r="E322" s="59" t="str">
        <f aca="false">'ML Clássico'!$K322</f>
        <v/>
      </c>
      <c r="F322" s="60" t="str">
        <f aca="false">'ML Clássico'!$Q322</f>
        <v/>
      </c>
      <c r="G322" s="59" t="str">
        <f aca="false">'ML Premium'!$K322</f>
        <v/>
      </c>
      <c r="H322" s="60" t="str">
        <f aca="false">'ML Premium'!$Q322</f>
        <v/>
      </c>
      <c r="I322" s="59" t="str">
        <f aca="false">Amazon!$K322</f>
        <v/>
      </c>
      <c r="J322" s="60" t="str">
        <f aca="false">Amazon!$Q322</f>
        <v/>
      </c>
      <c r="K322" s="59" t="str">
        <f aca="false">'Via (Casas Bahia)'!$K322</f>
        <v/>
      </c>
      <c r="L322" s="60" t="str">
        <f aca="false">'Via (Casas Bahia)'!$Q322</f>
        <v/>
      </c>
      <c r="M322" s="59" t="str">
        <f aca="false">MadeiraMadeira!$K322</f>
        <v/>
      </c>
      <c r="N322" s="60" t="str">
        <f aca="false">MadeiraMadeira!$Q322</f>
        <v/>
      </c>
      <c r="O322" s="59" t="str">
        <f aca="false">Magalu!$K322</f>
        <v/>
      </c>
      <c r="P322" s="60" t="str">
        <f aca="false">Magalu!$Q322</f>
        <v/>
      </c>
      <c r="Q322" s="46" t="str">
        <f aca="false">IF(COUNT($F322,$H322,$J322,$L322,$N322,$P322)=0,"",MIN($F322,$H322,$J322,$L322,$N322,$P322))</f>
        <v/>
      </c>
      <c r="R322" s="46" t="str">
        <f aca="false">IF(COUNT($F322,$H322,$J322,$L322,$N322,$P322)=0,"",MAX($F322,$H322,$J322,$L322,$N322,$P322))</f>
        <v/>
      </c>
      <c r="S322" s="61" t="str">
        <f aca="false">IF($A322="","",COUNT($E322,$G322,$I322,$K322,$M322,$O322))</f>
        <v/>
      </c>
    </row>
    <row r="323" customFormat="false" ht="15" hidden="false" customHeight="false" outlineLevel="0" collapsed="false">
      <c r="A323" s="48" t="str">
        <f aca="false">IF(Produtos!$A323="","",Produtos!$A323)</f>
        <v/>
      </c>
      <c r="B323" s="48" t="str">
        <f aca="false">IF(Produtos!$A323="","",Produtos!$B323)</f>
        <v/>
      </c>
      <c r="C323" s="48" t="str">
        <f aca="false">IF(Produtos!$A323="","",Produtos!$C323)</f>
        <v/>
      </c>
      <c r="D323" s="33" t="str">
        <f aca="false">IF(Produtos!$A323="","",IF(Produtos!$D323="","",Produtos!$D323))</f>
        <v/>
      </c>
      <c r="E323" s="62" t="str">
        <f aca="false">'ML Clássico'!$K323</f>
        <v/>
      </c>
      <c r="F323" s="60" t="str">
        <f aca="false">'ML Clássico'!$Q323</f>
        <v/>
      </c>
      <c r="G323" s="62" t="str">
        <f aca="false">'ML Premium'!$K323</f>
        <v/>
      </c>
      <c r="H323" s="60" t="str">
        <f aca="false">'ML Premium'!$Q323</f>
        <v/>
      </c>
      <c r="I323" s="62" t="str">
        <f aca="false">Amazon!$K323</f>
        <v/>
      </c>
      <c r="J323" s="60" t="str">
        <f aca="false">Amazon!$Q323</f>
        <v/>
      </c>
      <c r="K323" s="62" t="str">
        <f aca="false">'Via (Casas Bahia)'!$K323</f>
        <v/>
      </c>
      <c r="L323" s="60" t="str">
        <f aca="false">'Via (Casas Bahia)'!$Q323</f>
        <v/>
      </c>
      <c r="M323" s="62" t="str">
        <f aca="false">MadeiraMadeira!$K323</f>
        <v/>
      </c>
      <c r="N323" s="60" t="str">
        <f aca="false">MadeiraMadeira!$Q323</f>
        <v/>
      </c>
      <c r="O323" s="62" t="str">
        <f aca="false">Magalu!$K323</f>
        <v/>
      </c>
      <c r="P323" s="60" t="str">
        <f aca="false">Magalu!$Q323</f>
        <v/>
      </c>
      <c r="Q323" s="46" t="str">
        <f aca="false">IF(COUNT($F323,$H323,$J323,$L323,$N323,$P323)=0,"",MIN($F323,$H323,$J323,$L323,$N323,$P323))</f>
        <v/>
      </c>
      <c r="R323" s="46" t="str">
        <f aca="false">IF(COUNT($F323,$H323,$J323,$L323,$N323,$P323)=0,"",MAX($F323,$H323,$J323,$L323,$N323,$P323))</f>
        <v/>
      </c>
      <c r="S323" s="61" t="str">
        <f aca="false">IF($A323="","",COUNT($E323,$G323,$I323,$K323,$M323,$O323))</f>
        <v/>
      </c>
    </row>
    <row r="324" customFormat="false" ht="15" hidden="false" customHeight="false" outlineLevel="0" collapsed="false">
      <c r="A324" s="32" t="str">
        <f aca="false">IF(Produtos!$A324="","",Produtos!$A324)</f>
        <v/>
      </c>
      <c r="B324" s="32" t="str">
        <f aca="false">IF(Produtos!$A324="","",Produtos!$B324)</f>
        <v/>
      </c>
      <c r="C324" s="32" t="str">
        <f aca="false">IF(Produtos!$A324="","",Produtos!$C324)</f>
        <v/>
      </c>
      <c r="D324" s="33" t="str">
        <f aca="false">IF(Produtos!$A324="","",IF(Produtos!$D324="","",Produtos!$D324))</f>
        <v/>
      </c>
      <c r="E324" s="59" t="str">
        <f aca="false">'ML Clássico'!$K324</f>
        <v/>
      </c>
      <c r="F324" s="60" t="str">
        <f aca="false">'ML Clássico'!$Q324</f>
        <v/>
      </c>
      <c r="G324" s="59" t="str">
        <f aca="false">'ML Premium'!$K324</f>
        <v/>
      </c>
      <c r="H324" s="60" t="str">
        <f aca="false">'ML Premium'!$Q324</f>
        <v/>
      </c>
      <c r="I324" s="59" t="str">
        <f aca="false">Amazon!$K324</f>
        <v/>
      </c>
      <c r="J324" s="60" t="str">
        <f aca="false">Amazon!$Q324</f>
        <v/>
      </c>
      <c r="K324" s="59" t="str">
        <f aca="false">'Via (Casas Bahia)'!$K324</f>
        <v/>
      </c>
      <c r="L324" s="60" t="str">
        <f aca="false">'Via (Casas Bahia)'!$Q324</f>
        <v/>
      </c>
      <c r="M324" s="59" t="str">
        <f aca="false">MadeiraMadeira!$K324</f>
        <v/>
      </c>
      <c r="N324" s="60" t="str">
        <f aca="false">MadeiraMadeira!$Q324</f>
        <v/>
      </c>
      <c r="O324" s="59" t="str">
        <f aca="false">Magalu!$K324</f>
        <v/>
      </c>
      <c r="P324" s="60" t="str">
        <f aca="false">Magalu!$Q324</f>
        <v/>
      </c>
      <c r="Q324" s="46" t="str">
        <f aca="false">IF(COUNT($F324,$H324,$J324,$L324,$N324,$P324)=0,"",MIN($F324,$H324,$J324,$L324,$N324,$P324))</f>
        <v/>
      </c>
      <c r="R324" s="46" t="str">
        <f aca="false">IF(COUNT($F324,$H324,$J324,$L324,$N324,$P324)=0,"",MAX($F324,$H324,$J324,$L324,$N324,$P324))</f>
        <v/>
      </c>
      <c r="S324" s="61" t="str">
        <f aca="false">IF($A324="","",COUNT($E324,$G324,$I324,$K324,$M324,$O324))</f>
        <v/>
      </c>
    </row>
    <row r="325" customFormat="false" ht="15" hidden="false" customHeight="false" outlineLevel="0" collapsed="false">
      <c r="A325" s="48" t="str">
        <f aca="false">IF(Produtos!$A325="","",Produtos!$A325)</f>
        <v/>
      </c>
      <c r="B325" s="48" t="str">
        <f aca="false">IF(Produtos!$A325="","",Produtos!$B325)</f>
        <v/>
      </c>
      <c r="C325" s="48" t="str">
        <f aca="false">IF(Produtos!$A325="","",Produtos!$C325)</f>
        <v/>
      </c>
      <c r="D325" s="33" t="str">
        <f aca="false">IF(Produtos!$A325="","",IF(Produtos!$D325="","",Produtos!$D325))</f>
        <v/>
      </c>
      <c r="E325" s="62" t="str">
        <f aca="false">'ML Clássico'!$K325</f>
        <v/>
      </c>
      <c r="F325" s="60" t="str">
        <f aca="false">'ML Clássico'!$Q325</f>
        <v/>
      </c>
      <c r="G325" s="62" t="str">
        <f aca="false">'ML Premium'!$K325</f>
        <v/>
      </c>
      <c r="H325" s="60" t="str">
        <f aca="false">'ML Premium'!$Q325</f>
        <v/>
      </c>
      <c r="I325" s="62" t="str">
        <f aca="false">Amazon!$K325</f>
        <v/>
      </c>
      <c r="J325" s="60" t="str">
        <f aca="false">Amazon!$Q325</f>
        <v/>
      </c>
      <c r="K325" s="62" t="str">
        <f aca="false">'Via (Casas Bahia)'!$K325</f>
        <v/>
      </c>
      <c r="L325" s="60" t="str">
        <f aca="false">'Via (Casas Bahia)'!$Q325</f>
        <v/>
      </c>
      <c r="M325" s="62" t="str">
        <f aca="false">MadeiraMadeira!$K325</f>
        <v/>
      </c>
      <c r="N325" s="60" t="str">
        <f aca="false">MadeiraMadeira!$Q325</f>
        <v/>
      </c>
      <c r="O325" s="62" t="str">
        <f aca="false">Magalu!$K325</f>
        <v/>
      </c>
      <c r="P325" s="60" t="str">
        <f aca="false">Magalu!$Q325</f>
        <v/>
      </c>
      <c r="Q325" s="46" t="str">
        <f aca="false">IF(COUNT($F325,$H325,$J325,$L325,$N325,$P325)=0,"",MIN($F325,$H325,$J325,$L325,$N325,$P325))</f>
        <v/>
      </c>
      <c r="R325" s="46" t="str">
        <f aca="false">IF(COUNT($F325,$H325,$J325,$L325,$N325,$P325)=0,"",MAX($F325,$H325,$J325,$L325,$N325,$P325))</f>
        <v/>
      </c>
      <c r="S325" s="61" t="str">
        <f aca="false">IF($A325="","",COUNT($E325,$G325,$I325,$K325,$M325,$O325))</f>
        <v/>
      </c>
    </row>
    <row r="326" customFormat="false" ht="15" hidden="false" customHeight="false" outlineLevel="0" collapsed="false">
      <c r="A326" s="32" t="str">
        <f aca="false">IF(Produtos!$A326="","",Produtos!$A326)</f>
        <v/>
      </c>
      <c r="B326" s="32" t="str">
        <f aca="false">IF(Produtos!$A326="","",Produtos!$B326)</f>
        <v/>
      </c>
      <c r="C326" s="32" t="str">
        <f aca="false">IF(Produtos!$A326="","",Produtos!$C326)</f>
        <v/>
      </c>
      <c r="D326" s="33" t="str">
        <f aca="false">IF(Produtos!$A326="","",IF(Produtos!$D326="","",Produtos!$D326))</f>
        <v/>
      </c>
      <c r="E326" s="59" t="str">
        <f aca="false">'ML Clássico'!$K326</f>
        <v/>
      </c>
      <c r="F326" s="60" t="str">
        <f aca="false">'ML Clássico'!$Q326</f>
        <v/>
      </c>
      <c r="G326" s="59" t="str">
        <f aca="false">'ML Premium'!$K326</f>
        <v/>
      </c>
      <c r="H326" s="60" t="str">
        <f aca="false">'ML Premium'!$Q326</f>
        <v/>
      </c>
      <c r="I326" s="59" t="str">
        <f aca="false">Amazon!$K326</f>
        <v/>
      </c>
      <c r="J326" s="60" t="str">
        <f aca="false">Amazon!$Q326</f>
        <v/>
      </c>
      <c r="K326" s="59" t="str">
        <f aca="false">'Via (Casas Bahia)'!$K326</f>
        <v/>
      </c>
      <c r="L326" s="60" t="str">
        <f aca="false">'Via (Casas Bahia)'!$Q326</f>
        <v/>
      </c>
      <c r="M326" s="59" t="str">
        <f aca="false">MadeiraMadeira!$K326</f>
        <v/>
      </c>
      <c r="N326" s="60" t="str">
        <f aca="false">MadeiraMadeira!$Q326</f>
        <v/>
      </c>
      <c r="O326" s="59" t="str">
        <f aca="false">Magalu!$K326</f>
        <v/>
      </c>
      <c r="P326" s="60" t="str">
        <f aca="false">Magalu!$Q326</f>
        <v/>
      </c>
      <c r="Q326" s="46" t="str">
        <f aca="false">IF(COUNT($F326,$H326,$J326,$L326,$N326,$P326)=0,"",MIN($F326,$H326,$J326,$L326,$N326,$P326))</f>
        <v/>
      </c>
      <c r="R326" s="46" t="str">
        <f aca="false">IF(COUNT($F326,$H326,$J326,$L326,$N326,$P326)=0,"",MAX($F326,$H326,$J326,$L326,$N326,$P326))</f>
        <v/>
      </c>
      <c r="S326" s="61" t="str">
        <f aca="false">IF($A326="","",COUNT($E326,$G326,$I326,$K326,$M326,$O326))</f>
        <v/>
      </c>
    </row>
    <row r="327" customFormat="false" ht="15" hidden="false" customHeight="false" outlineLevel="0" collapsed="false">
      <c r="A327" s="48" t="str">
        <f aca="false">IF(Produtos!$A327="","",Produtos!$A327)</f>
        <v/>
      </c>
      <c r="B327" s="48" t="str">
        <f aca="false">IF(Produtos!$A327="","",Produtos!$B327)</f>
        <v/>
      </c>
      <c r="C327" s="48" t="str">
        <f aca="false">IF(Produtos!$A327="","",Produtos!$C327)</f>
        <v/>
      </c>
      <c r="D327" s="33" t="str">
        <f aca="false">IF(Produtos!$A327="","",IF(Produtos!$D327="","",Produtos!$D327))</f>
        <v/>
      </c>
      <c r="E327" s="62" t="str">
        <f aca="false">'ML Clássico'!$K327</f>
        <v/>
      </c>
      <c r="F327" s="60" t="str">
        <f aca="false">'ML Clássico'!$Q327</f>
        <v/>
      </c>
      <c r="G327" s="62" t="str">
        <f aca="false">'ML Premium'!$K327</f>
        <v/>
      </c>
      <c r="H327" s="60" t="str">
        <f aca="false">'ML Premium'!$Q327</f>
        <v/>
      </c>
      <c r="I327" s="62" t="str">
        <f aca="false">Amazon!$K327</f>
        <v/>
      </c>
      <c r="J327" s="60" t="str">
        <f aca="false">Amazon!$Q327</f>
        <v/>
      </c>
      <c r="K327" s="62" t="str">
        <f aca="false">'Via (Casas Bahia)'!$K327</f>
        <v/>
      </c>
      <c r="L327" s="60" t="str">
        <f aca="false">'Via (Casas Bahia)'!$Q327</f>
        <v/>
      </c>
      <c r="M327" s="62" t="str">
        <f aca="false">MadeiraMadeira!$K327</f>
        <v/>
      </c>
      <c r="N327" s="60" t="str">
        <f aca="false">MadeiraMadeira!$Q327</f>
        <v/>
      </c>
      <c r="O327" s="62" t="str">
        <f aca="false">Magalu!$K327</f>
        <v/>
      </c>
      <c r="P327" s="60" t="str">
        <f aca="false">Magalu!$Q327</f>
        <v/>
      </c>
      <c r="Q327" s="46" t="str">
        <f aca="false">IF(COUNT($F327,$H327,$J327,$L327,$N327,$P327)=0,"",MIN($F327,$H327,$J327,$L327,$N327,$P327))</f>
        <v/>
      </c>
      <c r="R327" s="46" t="str">
        <f aca="false">IF(COUNT($F327,$H327,$J327,$L327,$N327,$P327)=0,"",MAX($F327,$H327,$J327,$L327,$N327,$P327))</f>
        <v/>
      </c>
      <c r="S327" s="61" t="str">
        <f aca="false">IF($A327="","",COUNT($E327,$G327,$I327,$K327,$M327,$O327))</f>
        <v/>
      </c>
    </row>
    <row r="328" customFormat="false" ht="15" hidden="false" customHeight="false" outlineLevel="0" collapsed="false">
      <c r="A328" s="32" t="str">
        <f aca="false">IF(Produtos!$A328="","",Produtos!$A328)</f>
        <v/>
      </c>
      <c r="B328" s="32" t="str">
        <f aca="false">IF(Produtos!$A328="","",Produtos!$B328)</f>
        <v/>
      </c>
      <c r="C328" s="32" t="str">
        <f aca="false">IF(Produtos!$A328="","",Produtos!$C328)</f>
        <v/>
      </c>
      <c r="D328" s="33" t="str">
        <f aca="false">IF(Produtos!$A328="","",IF(Produtos!$D328="","",Produtos!$D328))</f>
        <v/>
      </c>
      <c r="E328" s="59" t="str">
        <f aca="false">'ML Clássico'!$K328</f>
        <v/>
      </c>
      <c r="F328" s="60" t="str">
        <f aca="false">'ML Clássico'!$Q328</f>
        <v/>
      </c>
      <c r="G328" s="59" t="str">
        <f aca="false">'ML Premium'!$K328</f>
        <v/>
      </c>
      <c r="H328" s="60" t="str">
        <f aca="false">'ML Premium'!$Q328</f>
        <v/>
      </c>
      <c r="I328" s="59" t="str">
        <f aca="false">Amazon!$K328</f>
        <v/>
      </c>
      <c r="J328" s="60" t="str">
        <f aca="false">Amazon!$Q328</f>
        <v/>
      </c>
      <c r="K328" s="59" t="str">
        <f aca="false">'Via (Casas Bahia)'!$K328</f>
        <v/>
      </c>
      <c r="L328" s="60" t="str">
        <f aca="false">'Via (Casas Bahia)'!$Q328</f>
        <v/>
      </c>
      <c r="M328" s="59" t="str">
        <f aca="false">MadeiraMadeira!$K328</f>
        <v/>
      </c>
      <c r="N328" s="60" t="str">
        <f aca="false">MadeiraMadeira!$Q328</f>
        <v/>
      </c>
      <c r="O328" s="59" t="str">
        <f aca="false">Magalu!$K328</f>
        <v/>
      </c>
      <c r="P328" s="60" t="str">
        <f aca="false">Magalu!$Q328</f>
        <v/>
      </c>
      <c r="Q328" s="46" t="str">
        <f aca="false">IF(COUNT($F328,$H328,$J328,$L328,$N328,$P328)=0,"",MIN($F328,$H328,$J328,$L328,$N328,$P328))</f>
        <v/>
      </c>
      <c r="R328" s="46" t="str">
        <f aca="false">IF(COUNT($F328,$H328,$J328,$L328,$N328,$P328)=0,"",MAX($F328,$H328,$J328,$L328,$N328,$P328))</f>
        <v/>
      </c>
      <c r="S328" s="61" t="str">
        <f aca="false">IF($A328="","",COUNT($E328,$G328,$I328,$K328,$M328,$O328))</f>
        <v/>
      </c>
    </row>
    <row r="329" customFormat="false" ht="15" hidden="false" customHeight="false" outlineLevel="0" collapsed="false">
      <c r="A329" s="48" t="str">
        <f aca="false">IF(Produtos!$A329="","",Produtos!$A329)</f>
        <v/>
      </c>
      <c r="B329" s="48" t="str">
        <f aca="false">IF(Produtos!$A329="","",Produtos!$B329)</f>
        <v/>
      </c>
      <c r="C329" s="48" t="str">
        <f aca="false">IF(Produtos!$A329="","",Produtos!$C329)</f>
        <v/>
      </c>
      <c r="D329" s="33" t="str">
        <f aca="false">IF(Produtos!$A329="","",IF(Produtos!$D329="","",Produtos!$D329))</f>
        <v/>
      </c>
      <c r="E329" s="62" t="str">
        <f aca="false">'ML Clássico'!$K329</f>
        <v/>
      </c>
      <c r="F329" s="60" t="str">
        <f aca="false">'ML Clássico'!$Q329</f>
        <v/>
      </c>
      <c r="G329" s="62" t="str">
        <f aca="false">'ML Premium'!$K329</f>
        <v/>
      </c>
      <c r="H329" s="60" t="str">
        <f aca="false">'ML Premium'!$Q329</f>
        <v/>
      </c>
      <c r="I329" s="62" t="str">
        <f aca="false">Amazon!$K329</f>
        <v/>
      </c>
      <c r="J329" s="60" t="str">
        <f aca="false">Amazon!$Q329</f>
        <v/>
      </c>
      <c r="K329" s="62" t="str">
        <f aca="false">'Via (Casas Bahia)'!$K329</f>
        <v/>
      </c>
      <c r="L329" s="60" t="str">
        <f aca="false">'Via (Casas Bahia)'!$Q329</f>
        <v/>
      </c>
      <c r="M329" s="62" t="str">
        <f aca="false">MadeiraMadeira!$K329</f>
        <v/>
      </c>
      <c r="N329" s="60" t="str">
        <f aca="false">MadeiraMadeira!$Q329</f>
        <v/>
      </c>
      <c r="O329" s="62" t="str">
        <f aca="false">Magalu!$K329</f>
        <v/>
      </c>
      <c r="P329" s="60" t="str">
        <f aca="false">Magalu!$Q329</f>
        <v/>
      </c>
      <c r="Q329" s="46" t="str">
        <f aca="false">IF(COUNT($F329,$H329,$J329,$L329,$N329,$P329)=0,"",MIN($F329,$H329,$J329,$L329,$N329,$P329))</f>
        <v/>
      </c>
      <c r="R329" s="46" t="str">
        <f aca="false">IF(COUNT($F329,$H329,$J329,$L329,$N329,$P329)=0,"",MAX($F329,$H329,$J329,$L329,$N329,$P329))</f>
        <v/>
      </c>
      <c r="S329" s="61" t="str">
        <f aca="false">IF($A329="","",COUNT($E329,$G329,$I329,$K329,$M329,$O329))</f>
        <v/>
      </c>
    </row>
    <row r="330" customFormat="false" ht="15" hidden="false" customHeight="false" outlineLevel="0" collapsed="false">
      <c r="A330" s="32" t="str">
        <f aca="false">IF(Produtos!$A330="","",Produtos!$A330)</f>
        <v/>
      </c>
      <c r="B330" s="32" t="str">
        <f aca="false">IF(Produtos!$A330="","",Produtos!$B330)</f>
        <v/>
      </c>
      <c r="C330" s="32" t="str">
        <f aca="false">IF(Produtos!$A330="","",Produtos!$C330)</f>
        <v/>
      </c>
      <c r="D330" s="33" t="str">
        <f aca="false">IF(Produtos!$A330="","",IF(Produtos!$D330="","",Produtos!$D330))</f>
        <v/>
      </c>
      <c r="E330" s="59" t="str">
        <f aca="false">'ML Clássico'!$K330</f>
        <v/>
      </c>
      <c r="F330" s="60" t="str">
        <f aca="false">'ML Clássico'!$Q330</f>
        <v/>
      </c>
      <c r="G330" s="59" t="str">
        <f aca="false">'ML Premium'!$K330</f>
        <v/>
      </c>
      <c r="H330" s="60" t="str">
        <f aca="false">'ML Premium'!$Q330</f>
        <v/>
      </c>
      <c r="I330" s="59" t="str">
        <f aca="false">Amazon!$K330</f>
        <v/>
      </c>
      <c r="J330" s="60" t="str">
        <f aca="false">Amazon!$Q330</f>
        <v/>
      </c>
      <c r="K330" s="59" t="str">
        <f aca="false">'Via (Casas Bahia)'!$K330</f>
        <v/>
      </c>
      <c r="L330" s="60" t="str">
        <f aca="false">'Via (Casas Bahia)'!$Q330</f>
        <v/>
      </c>
      <c r="M330" s="59" t="str">
        <f aca="false">MadeiraMadeira!$K330</f>
        <v/>
      </c>
      <c r="N330" s="60" t="str">
        <f aca="false">MadeiraMadeira!$Q330</f>
        <v/>
      </c>
      <c r="O330" s="59" t="str">
        <f aca="false">Magalu!$K330</f>
        <v/>
      </c>
      <c r="P330" s="60" t="str">
        <f aca="false">Magalu!$Q330</f>
        <v/>
      </c>
      <c r="Q330" s="46" t="str">
        <f aca="false">IF(COUNT($F330,$H330,$J330,$L330,$N330,$P330)=0,"",MIN($F330,$H330,$J330,$L330,$N330,$P330))</f>
        <v/>
      </c>
      <c r="R330" s="46" t="str">
        <f aca="false">IF(COUNT($F330,$H330,$J330,$L330,$N330,$P330)=0,"",MAX($F330,$H330,$J330,$L330,$N330,$P330))</f>
        <v/>
      </c>
      <c r="S330" s="61" t="str">
        <f aca="false">IF($A330="","",COUNT($E330,$G330,$I330,$K330,$M330,$O330))</f>
        <v/>
      </c>
    </row>
    <row r="331" customFormat="false" ht="15" hidden="false" customHeight="false" outlineLevel="0" collapsed="false">
      <c r="A331" s="48" t="str">
        <f aca="false">IF(Produtos!$A331="","",Produtos!$A331)</f>
        <v/>
      </c>
      <c r="B331" s="48" t="str">
        <f aca="false">IF(Produtos!$A331="","",Produtos!$B331)</f>
        <v/>
      </c>
      <c r="C331" s="48" t="str">
        <f aca="false">IF(Produtos!$A331="","",Produtos!$C331)</f>
        <v/>
      </c>
      <c r="D331" s="33" t="str">
        <f aca="false">IF(Produtos!$A331="","",IF(Produtos!$D331="","",Produtos!$D331))</f>
        <v/>
      </c>
      <c r="E331" s="62" t="str">
        <f aca="false">'ML Clássico'!$K331</f>
        <v/>
      </c>
      <c r="F331" s="60" t="str">
        <f aca="false">'ML Clássico'!$Q331</f>
        <v/>
      </c>
      <c r="G331" s="62" t="str">
        <f aca="false">'ML Premium'!$K331</f>
        <v/>
      </c>
      <c r="H331" s="60" t="str">
        <f aca="false">'ML Premium'!$Q331</f>
        <v/>
      </c>
      <c r="I331" s="62" t="str">
        <f aca="false">Amazon!$K331</f>
        <v/>
      </c>
      <c r="J331" s="60" t="str">
        <f aca="false">Amazon!$Q331</f>
        <v/>
      </c>
      <c r="K331" s="62" t="str">
        <f aca="false">'Via (Casas Bahia)'!$K331</f>
        <v/>
      </c>
      <c r="L331" s="60" t="str">
        <f aca="false">'Via (Casas Bahia)'!$Q331</f>
        <v/>
      </c>
      <c r="M331" s="62" t="str">
        <f aca="false">MadeiraMadeira!$K331</f>
        <v/>
      </c>
      <c r="N331" s="60" t="str">
        <f aca="false">MadeiraMadeira!$Q331</f>
        <v/>
      </c>
      <c r="O331" s="62" t="str">
        <f aca="false">Magalu!$K331</f>
        <v/>
      </c>
      <c r="P331" s="60" t="str">
        <f aca="false">Magalu!$Q331</f>
        <v/>
      </c>
      <c r="Q331" s="46" t="str">
        <f aca="false">IF(COUNT($F331,$H331,$J331,$L331,$N331,$P331)=0,"",MIN($F331,$H331,$J331,$L331,$N331,$P331))</f>
        <v/>
      </c>
      <c r="R331" s="46" t="str">
        <f aca="false">IF(COUNT($F331,$H331,$J331,$L331,$N331,$P331)=0,"",MAX($F331,$H331,$J331,$L331,$N331,$P331))</f>
        <v/>
      </c>
      <c r="S331" s="61" t="str">
        <f aca="false">IF($A331="","",COUNT($E331,$G331,$I331,$K331,$M331,$O331))</f>
        <v/>
      </c>
    </row>
    <row r="332" customFormat="false" ht="15" hidden="false" customHeight="false" outlineLevel="0" collapsed="false">
      <c r="A332" s="32" t="str">
        <f aca="false">IF(Produtos!$A332="","",Produtos!$A332)</f>
        <v/>
      </c>
      <c r="B332" s="32" t="str">
        <f aca="false">IF(Produtos!$A332="","",Produtos!$B332)</f>
        <v/>
      </c>
      <c r="C332" s="32" t="str">
        <f aca="false">IF(Produtos!$A332="","",Produtos!$C332)</f>
        <v/>
      </c>
      <c r="D332" s="33" t="str">
        <f aca="false">IF(Produtos!$A332="","",IF(Produtos!$D332="","",Produtos!$D332))</f>
        <v/>
      </c>
      <c r="E332" s="59" t="str">
        <f aca="false">'ML Clássico'!$K332</f>
        <v/>
      </c>
      <c r="F332" s="60" t="str">
        <f aca="false">'ML Clássico'!$Q332</f>
        <v/>
      </c>
      <c r="G332" s="59" t="str">
        <f aca="false">'ML Premium'!$K332</f>
        <v/>
      </c>
      <c r="H332" s="60" t="str">
        <f aca="false">'ML Premium'!$Q332</f>
        <v/>
      </c>
      <c r="I332" s="59" t="str">
        <f aca="false">Amazon!$K332</f>
        <v/>
      </c>
      <c r="J332" s="60" t="str">
        <f aca="false">Amazon!$Q332</f>
        <v/>
      </c>
      <c r="K332" s="59" t="str">
        <f aca="false">'Via (Casas Bahia)'!$K332</f>
        <v/>
      </c>
      <c r="L332" s="60" t="str">
        <f aca="false">'Via (Casas Bahia)'!$Q332</f>
        <v/>
      </c>
      <c r="M332" s="59" t="str">
        <f aca="false">MadeiraMadeira!$K332</f>
        <v/>
      </c>
      <c r="N332" s="60" t="str">
        <f aca="false">MadeiraMadeira!$Q332</f>
        <v/>
      </c>
      <c r="O332" s="59" t="str">
        <f aca="false">Magalu!$K332</f>
        <v/>
      </c>
      <c r="P332" s="60" t="str">
        <f aca="false">Magalu!$Q332</f>
        <v/>
      </c>
      <c r="Q332" s="46" t="str">
        <f aca="false">IF(COUNT($F332,$H332,$J332,$L332,$N332,$P332)=0,"",MIN($F332,$H332,$J332,$L332,$N332,$P332))</f>
        <v/>
      </c>
      <c r="R332" s="46" t="str">
        <f aca="false">IF(COUNT($F332,$H332,$J332,$L332,$N332,$P332)=0,"",MAX($F332,$H332,$J332,$L332,$N332,$P332))</f>
        <v/>
      </c>
      <c r="S332" s="61" t="str">
        <f aca="false">IF($A332="","",COUNT($E332,$G332,$I332,$K332,$M332,$O332))</f>
        <v/>
      </c>
    </row>
    <row r="333" customFormat="false" ht="15" hidden="false" customHeight="false" outlineLevel="0" collapsed="false">
      <c r="A333" s="48" t="str">
        <f aca="false">IF(Produtos!$A333="","",Produtos!$A333)</f>
        <v/>
      </c>
      <c r="B333" s="48" t="str">
        <f aca="false">IF(Produtos!$A333="","",Produtos!$B333)</f>
        <v/>
      </c>
      <c r="C333" s="48" t="str">
        <f aca="false">IF(Produtos!$A333="","",Produtos!$C333)</f>
        <v/>
      </c>
      <c r="D333" s="33" t="str">
        <f aca="false">IF(Produtos!$A333="","",IF(Produtos!$D333="","",Produtos!$D333))</f>
        <v/>
      </c>
      <c r="E333" s="62" t="str">
        <f aca="false">'ML Clássico'!$K333</f>
        <v/>
      </c>
      <c r="F333" s="60" t="str">
        <f aca="false">'ML Clássico'!$Q333</f>
        <v/>
      </c>
      <c r="G333" s="62" t="str">
        <f aca="false">'ML Premium'!$K333</f>
        <v/>
      </c>
      <c r="H333" s="60" t="str">
        <f aca="false">'ML Premium'!$Q333</f>
        <v/>
      </c>
      <c r="I333" s="62" t="str">
        <f aca="false">Amazon!$K333</f>
        <v/>
      </c>
      <c r="J333" s="60" t="str">
        <f aca="false">Amazon!$Q333</f>
        <v/>
      </c>
      <c r="K333" s="62" t="str">
        <f aca="false">'Via (Casas Bahia)'!$K333</f>
        <v/>
      </c>
      <c r="L333" s="60" t="str">
        <f aca="false">'Via (Casas Bahia)'!$Q333</f>
        <v/>
      </c>
      <c r="M333" s="62" t="str">
        <f aca="false">MadeiraMadeira!$K333</f>
        <v/>
      </c>
      <c r="N333" s="60" t="str">
        <f aca="false">MadeiraMadeira!$Q333</f>
        <v/>
      </c>
      <c r="O333" s="62" t="str">
        <f aca="false">Magalu!$K333</f>
        <v/>
      </c>
      <c r="P333" s="60" t="str">
        <f aca="false">Magalu!$Q333</f>
        <v/>
      </c>
      <c r="Q333" s="46" t="str">
        <f aca="false">IF(COUNT($F333,$H333,$J333,$L333,$N333,$P333)=0,"",MIN($F333,$H333,$J333,$L333,$N333,$P333))</f>
        <v/>
      </c>
      <c r="R333" s="46" t="str">
        <f aca="false">IF(COUNT($F333,$H333,$J333,$L333,$N333,$P333)=0,"",MAX($F333,$H333,$J333,$L333,$N333,$P333))</f>
        <v/>
      </c>
      <c r="S333" s="61" t="str">
        <f aca="false">IF($A333="","",COUNT($E333,$G333,$I333,$K333,$M333,$O333))</f>
        <v/>
      </c>
    </row>
    <row r="334" customFormat="false" ht="15" hidden="false" customHeight="false" outlineLevel="0" collapsed="false">
      <c r="A334" s="32" t="str">
        <f aca="false">IF(Produtos!$A334="","",Produtos!$A334)</f>
        <v/>
      </c>
      <c r="B334" s="32" t="str">
        <f aca="false">IF(Produtos!$A334="","",Produtos!$B334)</f>
        <v/>
      </c>
      <c r="C334" s="32" t="str">
        <f aca="false">IF(Produtos!$A334="","",Produtos!$C334)</f>
        <v/>
      </c>
      <c r="D334" s="33" t="str">
        <f aca="false">IF(Produtos!$A334="","",IF(Produtos!$D334="","",Produtos!$D334))</f>
        <v/>
      </c>
      <c r="E334" s="59" t="str">
        <f aca="false">'ML Clássico'!$K334</f>
        <v/>
      </c>
      <c r="F334" s="60" t="str">
        <f aca="false">'ML Clássico'!$Q334</f>
        <v/>
      </c>
      <c r="G334" s="59" t="str">
        <f aca="false">'ML Premium'!$K334</f>
        <v/>
      </c>
      <c r="H334" s="60" t="str">
        <f aca="false">'ML Premium'!$Q334</f>
        <v/>
      </c>
      <c r="I334" s="59" t="str">
        <f aca="false">Amazon!$K334</f>
        <v/>
      </c>
      <c r="J334" s="60" t="str">
        <f aca="false">Amazon!$Q334</f>
        <v/>
      </c>
      <c r="K334" s="59" t="str">
        <f aca="false">'Via (Casas Bahia)'!$K334</f>
        <v/>
      </c>
      <c r="L334" s="60" t="str">
        <f aca="false">'Via (Casas Bahia)'!$Q334</f>
        <v/>
      </c>
      <c r="M334" s="59" t="str">
        <f aca="false">MadeiraMadeira!$K334</f>
        <v/>
      </c>
      <c r="N334" s="60" t="str">
        <f aca="false">MadeiraMadeira!$Q334</f>
        <v/>
      </c>
      <c r="O334" s="59" t="str">
        <f aca="false">Magalu!$K334</f>
        <v/>
      </c>
      <c r="P334" s="60" t="str">
        <f aca="false">Magalu!$Q334</f>
        <v/>
      </c>
      <c r="Q334" s="46" t="str">
        <f aca="false">IF(COUNT($F334,$H334,$J334,$L334,$N334,$P334)=0,"",MIN($F334,$H334,$J334,$L334,$N334,$P334))</f>
        <v/>
      </c>
      <c r="R334" s="46" t="str">
        <f aca="false">IF(COUNT($F334,$H334,$J334,$L334,$N334,$P334)=0,"",MAX($F334,$H334,$J334,$L334,$N334,$P334))</f>
        <v/>
      </c>
      <c r="S334" s="61" t="str">
        <f aca="false">IF($A334="","",COUNT($E334,$G334,$I334,$K334,$M334,$O334))</f>
        <v/>
      </c>
    </row>
    <row r="335" customFormat="false" ht="15" hidden="false" customHeight="false" outlineLevel="0" collapsed="false">
      <c r="A335" s="48" t="str">
        <f aca="false">IF(Produtos!$A335="","",Produtos!$A335)</f>
        <v/>
      </c>
      <c r="B335" s="48" t="str">
        <f aca="false">IF(Produtos!$A335="","",Produtos!$B335)</f>
        <v/>
      </c>
      <c r="C335" s="48" t="str">
        <f aca="false">IF(Produtos!$A335="","",Produtos!$C335)</f>
        <v/>
      </c>
      <c r="D335" s="33" t="str">
        <f aca="false">IF(Produtos!$A335="","",IF(Produtos!$D335="","",Produtos!$D335))</f>
        <v/>
      </c>
      <c r="E335" s="62" t="str">
        <f aca="false">'ML Clássico'!$K335</f>
        <v/>
      </c>
      <c r="F335" s="60" t="str">
        <f aca="false">'ML Clássico'!$Q335</f>
        <v/>
      </c>
      <c r="G335" s="62" t="str">
        <f aca="false">'ML Premium'!$K335</f>
        <v/>
      </c>
      <c r="H335" s="60" t="str">
        <f aca="false">'ML Premium'!$Q335</f>
        <v/>
      </c>
      <c r="I335" s="62" t="str">
        <f aca="false">Amazon!$K335</f>
        <v/>
      </c>
      <c r="J335" s="60" t="str">
        <f aca="false">Amazon!$Q335</f>
        <v/>
      </c>
      <c r="K335" s="62" t="str">
        <f aca="false">'Via (Casas Bahia)'!$K335</f>
        <v/>
      </c>
      <c r="L335" s="60" t="str">
        <f aca="false">'Via (Casas Bahia)'!$Q335</f>
        <v/>
      </c>
      <c r="M335" s="62" t="str">
        <f aca="false">MadeiraMadeira!$K335</f>
        <v/>
      </c>
      <c r="N335" s="60" t="str">
        <f aca="false">MadeiraMadeira!$Q335</f>
        <v/>
      </c>
      <c r="O335" s="62" t="str">
        <f aca="false">Magalu!$K335</f>
        <v/>
      </c>
      <c r="P335" s="60" t="str">
        <f aca="false">Magalu!$Q335</f>
        <v/>
      </c>
      <c r="Q335" s="46" t="str">
        <f aca="false">IF(COUNT($F335,$H335,$J335,$L335,$N335,$P335)=0,"",MIN($F335,$H335,$J335,$L335,$N335,$P335))</f>
        <v/>
      </c>
      <c r="R335" s="46" t="str">
        <f aca="false">IF(COUNT($F335,$H335,$J335,$L335,$N335,$P335)=0,"",MAX($F335,$H335,$J335,$L335,$N335,$P335))</f>
        <v/>
      </c>
      <c r="S335" s="61" t="str">
        <f aca="false">IF($A335="","",COUNT($E335,$G335,$I335,$K335,$M335,$O335))</f>
        <v/>
      </c>
    </row>
    <row r="336" customFormat="false" ht="15" hidden="false" customHeight="false" outlineLevel="0" collapsed="false">
      <c r="A336" s="32" t="str">
        <f aca="false">IF(Produtos!$A336="","",Produtos!$A336)</f>
        <v/>
      </c>
      <c r="B336" s="32" t="str">
        <f aca="false">IF(Produtos!$A336="","",Produtos!$B336)</f>
        <v/>
      </c>
      <c r="C336" s="32" t="str">
        <f aca="false">IF(Produtos!$A336="","",Produtos!$C336)</f>
        <v/>
      </c>
      <c r="D336" s="33" t="str">
        <f aca="false">IF(Produtos!$A336="","",IF(Produtos!$D336="","",Produtos!$D336))</f>
        <v/>
      </c>
      <c r="E336" s="59" t="str">
        <f aca="false">'ML Clássico'!$K336</f>
        <v/>
      </c>
      <c r="F336" s="60" t="str">
        <f aca="false">'ML Clássico'!$Q336</f>
        <v/>
      </c>
      <c r="G336" s="59" t="str">
        <f aca="false">'ML Premium'!$K336</f>
        <v/>
      </c>
      <c r="H336" s="60" t="str">
        <f aca="false">'ML Premium'!$Q336</f>
        <v/>
      </c>
      <c r="I336" s="59" t="str">
        <f aca="false">Amazon!$K336</f>
        <v/>
      </c>
      <c r="J336" s="60" t="str">
        <f aca="false">Amazon!$Q336</f>
        <v/>
      </c>
      <c r="K336" s="59" t="str">
        <f aca="false">'Via (Casas Bahia)'!$K336</f>
        <v/>
      </c>
      <c r="L336" s="60" t="str">
        <f aca="false">'Via (Casas Bahia)'!$Q336</f>
        <v/>
      </c>
      <c r="M336" s="59" t="str">
        <f aca="false">MadeiraMadeira!$K336</f>
        <v/>
      </c>
      <c r="N336" s="60" t="str">
        <f aca="false">MadeiraMadeira!$Q336</f>
        <v/>
      </c>
      <c r="O336" s="59" t="str">
        <f aca="false">Magalu!$K336</f>
        <v/>
      </c>
      <c r="P336" s="60" t="str">
        <f aca="false">Magalu!$Q336</f>
        <v/>
      </c>
      <c r="Q336" s="46" t="str">
        <f aca="false">IF(COUNT($F336,$H336,$J336,$L336,$N336,$P336)=0,"",MIN($F336,$H336,$J336,$L336,$N336,$P336))</f>
        <v/>
      </c>
      <c r="R336" s="46" t="str">
        <f aca="false">IF(COUNT($F336,$H336,$J336,$L336,$N336,$P336)=0,"",MAX($F336,$H336,$J336,$L336,$N336,$P336))</f>
        <v/>
      </c>
      <c r="S336" s="61" t="str">
        <f aca="false">IF($A336="","",COUNT($E336,$G336,$I336,$K336,$M336,$O336))</f>
        <v/>
      </c>
    </row>
    <row r="337" customFormat="false" ht="15" hidden="false" customHeight="false" outlineLevel="0" collapsed="false">
      <c r="A337" s="48" t="str">
        <f aca="false">IF(Produtos!$A337="","",Produtos!$A337)</f>
        <v/>
      </c>
      <c r="B337" s="48" t="str">
        <f aca="false">IF(Produtos!$A337="","",Produtos!$B337)</f>
        <v/>
      </c>
      <c r="C337" s="48" t="str">
        <f aca="false">IF(Produtos!$A337="","",Produtos!$C337)</f>
        <v/>
      </c>
      <c r="D337" s="33" t="str">
        <f aca="false">IF(Produtos!$A337="","",IF(Produtos!$D337="","",Produtos!$D337))</f>
        <v/>
      </c>
      <c r="E337" s="62" t="str">
        <f aca="false">'ML Clássico'!$K337</f>
        <v/>
      </c>
      <c r="F337" s="60" t="str">
        <f aca="false">'ML Clássico'!$Q337</f>
        <v/>
      </c>
      <c r="G337" s="62" t="str">
        <f aca="false">'ML Premium'!$K337</f>
        <v/>
      </c>
      <c r="H337" s="60" t="str">
        <f aca="false">'ML Premium'!$Q337</f>
        <v/>
      </c>
      <c r="I337" s="62" t="str">
        <f aca="false">Amazon!$K337</f>
        <v/>
      </c>
      <c r="J337" s="60" t="str">
        <f aca="false">Amazon!$Q337</f>
        <v/>
      </c>
      <c r="K337" s="62" t="str">
        <f aca="false">'Via (Casas Bahia)'!$K337</f>
        <v/>
      </c>
      <c r="L337" s="60" t="str">
        <f aca="false">'Via (Casas Bahia)'!$Q337</f>
        <v/>
      </c>
      <c r="M337" s="62" t="str">
        <f aca="false">MadeiraMadeira!$K337</f>
        <v/>
      </c>
      <c r="N337" s="60" t="str">
        <f aca="false">MadeiraMadeira!$Q337</f>
        <v/>
      </c>
      <c r="O337" s="62" t="str">
        <f aca="false">Magalu!$K337</f>
        <v/>
      </c>
      <c r="P337" s="60" t="str">
        <f aca="false">Magalu!$Q337</f>
        <v/>
      </c>
      <c r="Q337" s="46" t="str">
        <f aca="false">IF(COUNT($F337,$H337,$J337,$L337,$N337,$P337)=0,"",MIN($F337,$H337,$J337,$L337,$N337,$P337))</f>
        <v/>
      </c>
      <c r="R337" s="46" t="str">
        <f aca="false">IF(COUNT($F337,$H337,$J337,$L337,$N337,$P337)=0,"",MAX($F337,$H337,$J337,$L337,$N337,$P337))</f>
        <v/>
      </c>
      <c r="S337" s="61" t="str">
        <f aca="false">IF($A337="","",COUNT($E337,$G337,$I337,$K337,$M337,$O337))</f>
        <v/>
      </c>
    </row>
    <row r="338" customFormat="false" ht="15" hidden="false" customHeight="false" outlineLevel="0" collapsed="false">
      <c r="A338" s="32" t="str">
        <f aca="false">IF(Produtos!$A338="","",Produtos!$A338)</f>
        <v/>
      </c>
      <c r="B338" s="32" t="str">
        <f aca="false">IF(Produtos!$A338="","",Produtos!$B338)</f>
        <v/>
      </c>
      <c r="C338" s="32" t="str">
        <f aca="false">IF(Produtos!$A338="","",Produtos!$C338)</f>
        <v/>
      </c>
      <c r="D338" s="33" t="str">
        <f aca="false">IF(Produtos!$A338="","",IF(Produtos!$D338="","",Produtos!$D338))</f>
        <v/>
      </c>
      <c r="E338" s="59" t="str">
        <f aca="false">'ML Clássico'!$K338</f>
        <v/>
      </c>
      <c r="F338" s="60" t="str">
        <f aca="false">'ML Clássico'!$Q338</f>
        <v/>
      </c>
      <c r="G338" s="59" t="str">
        <f aca="false">'ML Premium'!$K338</f>
        <v/>
      </c>
      <c r="H338" s="60" t="str">
        <f aca="false">'ML Premium'!$Q338</f>
        <v/>
      </c>
      <c r="I338" s="59" t="str">
        <f aca="false">Amazon!$K338</f>
        <v/>
      </c>
      <c r="J338" s="60" t="str">
        <f aca="false">Amazon!$Q338</f>
        <v/>
      </c>
      <c r="K338" s="59" t="str">
        <f aca="false">'Via (Casas Bahia)'!$K338</f>
        <v/>
      </c>
      <c r="L338" s="60" t="str">
        <f aca="false">'Via (Casas Bahia)'!$Q338</f>
        <v/>
      </c>
      <c r="M338" s="59" t="str">
        <f aca="false">MadeiraMadeira!$K338</f>
        <v/>
      </c>
      <c r="N338" s="60" t="str">
        <f aca="false">MadeiraMadeira!$Q338</f>
        <v/>
      </c>
      <c r="O338" s="59" t="str">
        <f aca="false">Magalu!$K338</f>
        <v/>
      </c>
      <c r="P338" s="60" t="str">
        <f aca="false">Magalu!$Q338</f>
        <v/>
      </c>
      <c r="Q338" s="46" t="str">
        <f aca="false">IF(COUNT($F338,$H338,$J338,$L338,$N338,$P338)=0,"",MIN($F338,$H338,$J338,$L338,$N338,$P338))</f>
        <v/>
      </c>
      <c r="R338" s="46" t="str">
        <f aca="false">IF(COUNT($F338,$H338,$J338,$L338,$N338,$P338)=0,"",MAX($F338,$H338,$J338,$L338,$N338,$P338))</f>
        <v/>
      </c>
      <c r="S338" s="61" t="str">
        <f aca="false">IF($A338="","",COUNT($E338,$G338,$I338,$K338,$M338,$O338))</f>
        <v/>
      </c>
    </row>
    <row r="339" customFormat="false" ht="15" hidden="false" customHeight="false" outlineLevel="0" collapsed="false">
      <c r="A339" s="48" t="str">
        <f aca="false">IF(Produtos!$A339="","",Produtos!$A339)</f>
        <v/>
      </c>
      <c r="B339" s="48" t="str">
        <f aca="false">IF(Produtos!$A339="","",Produtos!$B339)</f>
        <v/>
      </c>
      <c r="C339" s="48" t="str">
        <f aca="false">IF(Produtos!$A339="","",Produtos!$C339)</f>
        <v/>
      </c>
      <c r="D339" s="33" t="str">
        <f aca="false">IF(Produtos!$A339="","",IF(Produtos!$D339="","",Produtos!$D339))</f>
        <v/>
      </c>
      <c r="E339" s="62" t="str">
        <f aca="false">'ML Clássico'!$K339</f>
        <v/>
      </c>
      <c r="F339" s="60" t="str">
        <f aca="false">'ML Clássico'!$Q339</f>
        <v/>
      </c>
      <c r="G339" s="62" t="str">
        <f aca="false">'ML Premium'!$K339</f>
        <v/>
      </c>
      <c r="H339" s="60" t="str">
        <f aca="false">'ML Premium'!$Q339</f>
        <v/>
      </c>
      <c r="I339" s="62" t="str">
        <f aca="false">Amazon!$K339</f>
        <v/>
      </c>
      <c r="J339" s="60" t="str">
        <f aca="false">Amazon!$Q339</f>
        <v/>
      </c>
      <c r="K339" s="62" t="str">
        <f aca="false">'Via (Casas Bahia)'!$K339</f>
        <v/>
      </c>
      <c r="L339" s="60" t="str">
        <f aca="false">'Via (Casas Bahia)'!$Q339</f>
        <v/>
      </c>
      <c r="M339" s="62" t="str">
        <f aca="false">MadeiraMadeira!$K339</f>
        <v/>
      </c>
      <c r="N339" s="60" t="str">
        <f aca="false">MadeiraMadeira!$Q339</f>
        <v/>
      </c>
      <c r="O339" s="62" t="str">
        <f aca="false">Magalu!$K339</f>
        <v/>
      </c>
      <c r="P339" s="60" t="str">
        <f aca="false">Magalu!$Q339</f>
        <v/>
      </c>
      <c r="Q339" s="46" t="str">
        <f aca="false">IF(COUNT($F339,$H339,$J339,$L339,$N339,$P339)=0,"",MIN($F339,$H339,$J339,$L339,$N339,$P339))</f>
        <v/>
      </c>
      <c r="R339" s="46" t="str">
        <f aca="false">IF(COUNT($F339,$H339,$J339,$L339,$N339,$P339)=0,"",MAX($F339,$H339,$J339,$L339,$N339,$P339))</f>
        <v/>
      </c>
      <c r="S339" s="61" t="str">
        <f aca="false">IF($A339="","",COUNT($E339,$G339,$I339,$K339,$M339,$O339))</f>
        <v/>
      </c>
    </row>
    <row r="340" customFormat="false" ht="15" hidden="false" customHeight="false" outlineLevel="0" collapsed="false">
      <c r="A340" s="32" t="str">
        <f aca="false">IF(Produtos!$A340="","",Produtos!$A340)</f>
        <v/>
      </c>
      <c r="B340" s="32" t="str">
        <f aca="false">IF(Produtos!$A340="","",Produtos!$B340)</f>
        <v/>
      </c>
      <c r="C340" s="32" t="str">
        <f aca="false">IF(Produtos!$A340="","",Produtos!$C340)</f>
        <v/>
      </c>
      <c r="D340" s="33" t="str">
        <f aca="false">IF(Produtos!$A340="","",IF(Produtos!$D340="","",Produtos!$D340))</f>
        <v/>
      </c>
      <c r="E340" s="59" t="str">
        <f aca="false">'ML Clássico'!$K340</f>
        <v/>
      </c>
      <c r="F340" s="60" t="str">
        <f aca="false">'ML Clássico'!$Q340</f>
        <v/>
      </c>
      <c r="G340" s="59" t="str">
        <f aca="false">'ML Premium'!$K340</f>
        <v/>
      </c>
      <c r="H340" s="60" t="str">
        <f aca="false">'ML Premium'!$Q340</f>
        <v/>
      </c>
      <c r="I340" s="59" t="str">
        <f aca="false">Amazon!$K340</f>
        <v/>
      </c>
      <c r="J340" s="60" t="str">
        <f aca="false">Amazon!$Q340</f>
        <v/>
      </c>
      <c r="K340" s="59" t="str">
        <f aca="false">'Via (Casas Bahia)'!$K340</f>
        <v/>
      </c>
      <c r="L340" s="60" t="str">
        <f aca="false">'Via (Casas Bahia)'!$Q340</f>
        <v/>
      </c>
      <c r="M340" s="59" t="str">
        <f aca="false">MadeiraMadeira!$K340</f>
        <v/>
      </c>
      <c r="N340" s="60" t="str">
        <f aca="false">MadeiraMadeira!$Q340</f>
        <v/>
      </c>
      <c r="O340" s="59" t="str">
        <f aca="false">Magalu!$K340</f>
        <v/>
      </c>
      <c r="P340" s="60" t="str">
        <f aca="false">Magalu!$Q340</f>
        <v/>
      </c>
      <c r="Q340" s="46" t="str">
        <f aca="false">IF(COUNT($F340,$H340,$J340,$L340,$N340,$P340)=0,"",MIN($F340,$H340,$J340,$L340,$N340,$P340))</f>
        <v/>
      </c>
      <c r="R340" s="46" t="str">
        <f aca="false">IF(COUNT($F340,$H340,$J340,$L340,$N340,$P340)=0,"",MAX($F340,$H340,$J340,$L340,$N340,$P340))</f>
        <v/>
      </c>
      <c r="S340" s="61" t="str">
        <f aca="false">IF($A340="","",COUNT($E340,$G340,$I340,$K340,$M340,$O340))</f>
        <v/>
      </c>
    </row>
    <row r="341" customFormat="false" ht="15" hidden="false" customHeight="false" outlineLevel="0" collapsed="false">
      <c r="A341" s="48" t="str">
        <f aca="false">IF(Produtos!$A341="","",Produtos!$A341)</f>
        <v/>
      </c>
      <c r="B341" s="48" t="str">
        <f aca="false">IF(Produtos!$A341="","",Produtos!$B341)</f>
        <v/>
      </c>
      <c r="C341" s="48" t="str">
        <f aca="false">IF(Produtos!$A341="","",Produtos!$C341)</f>
        <v/>
      </c>
      <c r="D341" s="33" t="str">
        <f aca="false">IF(Produtos!$A341="","",IF(Produtos!$D341="","",Produtos!$D341))</f>
        <v/>
      </c>
      <c r="E341" s="62" t="str">
        <f aca="false">'ML Clássico'!$K341</f>
        <v/>
      </c>
      <c r="F341" s="60" t="str">
        <f aca="false">'ML Clássico'!$Q341</f>
        <v/>
      </c>
      <c r="G341" s="62" t="str">
        <f aca="false">'ML Premium'!$K341</f>
        <v/>
      </c>
      <c r="H341" s="60" t="str">
        <f aca="false">'ML Premium'!$Q341</f>
        <v/>
      </c>
      <c r="I341" s="62" t="str">
        <f aca="false">Amazon!$K341</f>
        <v/>
      </c>
      <c r="J341" s="60" t="str">
        <f aca="false">Amazon!$Q341</f>
        <v/>
      </c>
      <c r="K341" s="62" t="str">
        <f aca="false">'Via (Casas Bahia)'!$K341</f>
        <v/>
      </c>
      <c r="L341" s="60" t="str">
        <f aca="false">'Via (Casas Bahia)'!$Q341</f>
        <v/>
      </c>
      <c r="M341" s="62" t="str">
        <f aca="false">MadeiraMadeira!$K341</f>
        <v/>
      </c>
      <c r="N341" s="60" t="str">
        <f aca="false">MadeiraMadeira!$Q341</f>
        <v/>
      </c>
      <c r="O341" s="62" t="str">
        <f aca="false">Magalu!$K341</f>
        <v/>
      </c>
      <c r="P341" s="60" t="str">
        <f aca="false">Magalu!$Q341</f>
        <v/>
      </c>
      <c r="Q341" s="46" t="str">
        <f aca="false">IF(COUNT($F341,$H341,$J341,$L341,$N341,$P341)=0,"",MIN($F341,$H341,$J341,$L341,$N341,$P341))</f>
        <v/>
      </c>
      <c r="R341" s="46" t="str">
        <f aca="false">IF(COUNT($F341,$H341,$J341,$L341,$N341,$P341)=0,"",MAX($F341,$H341,$J341,$L341,$N341,$P341))</f>
        <v/>
      </c>
      <c r="S341" s="61" t="str">
        <f aca="false">IF($A341="","",COUNT($E341,$G341,$I341,$K341,$M341,$O341))</f>
        <v/>
      </c>
    </row>
    <row r="342" customFormat="false" ht="15" hidden="false" customHeight="false" outlineLevel="0" collapsed="false">
      <c r="A342" s="32" t="str">
        <f aca="false">IF(Produtos!$A342="","",Produtos!$A342)</f>
        <v/>
      </c>
      <c r="B342" s="32" t="str">
        <f aca="false">IF(Produtos!$A342="","",Produtos!$B342)</f>
        <v/>
      </c>
      <c r="C342" s="32" t="str">
        <f aca="false">IF(Produtos!$A342="","",Produtos!$C342)</f>
        <v/>
      </c>
      <c r="D342" s="33" t="str">
        <f aca="false">IF(Produtos!$A342="","",IF(Produtos!$D342="","",Produtos!$D342))</f>
        <v/>
      </c>
      <c r="E342" s="59" t="str">
        <f aca="false">'ML Clássico'!$K342</f>
        <v/>
      </c>
      <c r="F342" s="60" t="str">
        <f aca="false">'ML Clássico'!$Q342</f>
        <v/>
      </c>
      <c r="G342" s="59" t="str">
        <f aca="false">'ML Premium'!$K342</f>
        <v/>
      </c>
      <c r="H342" s="60" t="str">
        <f aca="false">'ML Premium'!$Q342</f>
        <v/>
      </c>
      <c r="I342" s="59" t="str">
        <f aca="false">Amazon!$K342</f>
        <v/>
      </c>
      <c r="J342" s="60" t="str">
        <f aca="false">Amazon!$Q342</f>
        <v/>
      </c>
      <c r="K342" s="59" t="str">
        <f aca="false">'Via (Casas Bahia)'!$K342</f>
        <v/>
      </c>
      <c r="L342" s="60" t="str">
        <f aca="false">'Via (Casas Bahia)'!$Q342</f>
        <v/>
      </c>
      <c r="M342" s="59" t="str">
        <f aca="false">MadeiraMadeira!$K342</f>
        <v/>
      </c>
      <c r="N342" s="60" t="str">
        <f aca="false">MadeiraMadeira!$Q342</f>
        <v/>
      </c>
      <c r="O342" s="59" t="str">
        <f aca="false">Magalu!$K342</f>
        <v/>
      </c>
      <c r="P342" s="60" t="str">
        <f aca="false">Magalu!$Q342</f>
        <v/>
      </c>
      <c r="Q342" s="46" t="str">
        <f aca="false">IF(COUNT($F342,$H342,$J342,$L342,$N342,$P342)=0,"",MIN($F342,$H342,$J342,$L342,$N342,$P342))</f>
        <v/>
      </c>
      <c r="R342" s="46" t="str">
        <f aca="false">IF(COUNT($F342,$H342,$J342,$L342,$N342,$P342)=0,"",MAX($F342,$H342,$J342,$L342,$N342,$P342))</f>
        <v/>
      </c>
      <c r="S342" s="61" t="str">
        <f aca="false">IF($A342="","",COUNT($E342,$G342,$I342,$K342,$M342,$O342))</f>
        <v/>
      </c>
    </row>
    <row r="343" customFormat="false" ht="15" hidden="false" customHeight="false" outlineLevel="0" collapsed="false">
      <c r="A343" s="48" t="str">
        <f aca="false">IF(Produtos!$A343="","",Produtos!$A343)</f>
        <v/>
      </c>
      <c r="B343" s="48" t="str">
        <f aca="false">IF(Produtos!$A343="","",Produtos!$B343)</f>
        <v/>
      </c>
      <c r="C343" s="48" t="str">
        <f aca="false">IF(Produtos!$A343="","",Produtos!$C343)</f>
        <v/>
      </c>
      <c r="D343" s="33" t="str">
        <f aca="false">IF(Produtos!$A343="","",IF(Produtos!$D343="","",Produtos!$D343))</f>
        <v/>
      </c>
      <c r="E343" s="62" t="str">
        <f aca="false">'ML Clássico'!$K343</f>
        <v/>
      </c>
      <c r="F343" s="60" t="str">
        <f aca="false">'ML Clássico'!$Q343</f>
        <v/>
      </c>
      <c r="G343" s="62" t="str">
        <f aca="false">'ML Premium'!$K343</f>
        <v/>
      </c>
      <c r="H343" s="60" t="str">
        <f aca="false">'ML Premium'!$Q343</f>
        <v/>
      </c>
      <c r="I343" s="62" t="str">
        <f aca="false">Amazon!$K343</f>
        <v/>
      </c>
      <c r="J343" s="60" t="str">
        <f aca="false">Amazon!$Q343</f>
        <v/>
      </c>
      <c r="K343" s="62" t="str">
        <f aca="false">'Via (Casas Bahia)'!$K343</f>
        <v/>
      </c>
      <c r="L343" s="60" t="str">
        <f aca="false">'Via (Casas Bahia)'!$Q343</f>
        <v/>
      </c>
      <c r="M343" s="62" t="str">
        <f aca="false">MadeiraMadeira!$K343</f>
        <v/>
      </c>
      <c r="N343" s="60" t="str">
        <f aca="false">MadeiraMadeira!$Q343</f>
        <v/>
      </c>
      <c r="O343" s="62" t="str">
        <f aca="false">Magalu!$K343</f>
        <v/>
      </c>
      <c r="P343" s="60" t="str">
        <f aca="false">Magalu!$Q343</f>
        <v/>
      </c>
      <c r="Q343" s="46" t="str">
        <f aca="false">IF(COUNT($F343,$H343,$J343,$L343,$N343,$P343)=0,"",MIN($F343,$H343,$J343,$L343,$N343,$P343))</f>
        <v/>
      </c>
      <c r="R343" s="46" t="str">
        <f aca="false">IF(COUNT($F343,$H343,$J343,$L343,$N343,$P343)=0,"",MAX($F343,$H343,$J343,$L343,$N343,$P343))</f>
        <v/>
      </c>
      <c r="S343" s="61" t="str">
        <f aca="false">IF($A343="","",COUNT($E343,$G343,$I343,$K343,$M343,$O343))</f>
        <v/>
      </c>
    </row>
    <row r="344" customFormat="false" ht="15" hidden="false" customHeight="false" outlineLevel="0" collapsed="false">
      <c r="A344" s="32" t="str">
        <f aca="false">IF(Produtos!$A344="","",Produtos!$A344)</f>
        <v/>
      </c>
      <c r="B344" s="32" t="str">
        <f aca="false">IF(Produtos!$A344="","",Produtos!$B344)</f>
        <v/>
      </c>
      <c r="C344" s="32" t="str">
        <f aca="false">IF(Produtos!$A344="","",Produtos!$C344)</f>
        <v/>
      </c>
      <c r="D344" s="33" t="str">
        <f aca="false">IF(Produtos!$A344="","",IF(Produtos!$D344="","",Produtos!$D344))</f>
        <v/>
      </c>
      <c r="E344" s="59" t="str">
        <f aca="false">'ML Clássico'!$K344</f>
        <v/>
      </c>
      <c r="F344" s="60" t="str">
        <f aca="false">'ML Clássico'!$Q344</f>
        <v/>
      </c>
      <c r="G344" s="59" t="str">
        <f aca="false">'ML Premium'!$K344</f>
        <v/>
      </c>
      <c r="H344" s="60" t="str">
        <f aca="false">'ML Premium'!$Q344</f>
        <v/>
      </c>
      <c r="I344" s="59" t="str">
        <f aca="false">Amazon!$K344</f>
        <v/>
      </c>
      <c r="J344" s="60" t="str">
        <f aca="false">Amazon!$Q344</f>
        <v/>
      </c>
      <c r="K344" s="59" t="str">
        <f aca="false">'Via (Casas Bahia)'!$K344</f>
        <v/>
      </c>
      <c r="L344" s="60" t="str">
        <f aca="false">'Via (Casas Bahia)'!$Q344</f>
        <v/>
      </c>
      <c r="M344" s="59" t="str">
        <f aca="false">MadeiraMadeira!$K344</f>
        <v/>
      </c>
      <c r="N344" s="60" t="str">
        <f aca="false">MadeiraMadeira!$Q344</f>
        <v/>
      </c>
      <c r="O344" s="59" t="str">
        <f aca="false">Magalu!$K344</f>
        <v/>
      </c>
      <c r="P344" s="60" t="str">
        <f aca="false">Magalu!$Q344</f>
        <v/>
      </c>
      <c r="Q344" s="46" t="str">
        <f aca="false">IF(COUNT($F344,$H344,$J344,$L344,$N344,$P344)=0,"",MIN($F344,$H344,$J344,$L344,$N344,$P344))</f>
        <v/>
      </c>
      <c r="R344" s="46" t="str">
        <f aca="false">IF(COUNT($F344,$H344,$J344,$L344,$N344,$P344)=0,"",MAX($F344,$H344,$J344,$L344,$N344,$P344))</f>
        <v/>
      </c>
      <c r="S344" s="61" t="str">
        <f aca="false">IF($A344="","",COUNT($E344,$G344,$I344,$K344,$M344,$O344))</f>
        <v/>
      </c>
    </row>
    <row r="345" customFormat="false" ht="15" hidden="false" customHeight="false" outlineLevel="0" collapsed="false">
      <c r="A345" s="48" t="str">
        <f aca="false">IF(Produtos!$A345="","",Produtos!$A345)</f>
        <v/>
      </c>
      <c r="B345" s="48" t="str">
        <f aca="false">IF(Produtos!$A345="","",Produtos!$B345)</f>
        <v/>
      </c>
      <c r="C345" s="48" t="str">
        <f aca="false">IF(Produtos!$A345="","",Produtos!$C345)</f>
        <v/>
      </c>
      <c r="D345" s="33" t="str">
        <f aca="false">IF(Produtos!$A345="","",IF(Produtos!$D345="","",Produtos!$D345))</f>
        <v/>
      </c>
      <c r="E345" s="62" t="str">
        <f aca="false">'ML Clássico'!$K345</f>
        <v/>
      </c>
      <c r="F345" s="60" t="str">
        <f aca="false">'ML Clássico'!$Q345</f>
        <v/>
      </c>
      <c r="G345" s="62" t="str">
        <f aca="false">'ML Premium'!$K345</f>
        <v/>
      </c>
      <c r="H345" s="60" t="str">
        <f aca="false">'ML Premium'!$Q345</f>
        <v/>
      </c>
      <c r="I345" s="62" t="str">
        <f aca="false">Amazon!$K345</f>
        <v/>
      </c>
      <c r="J345" s="60" t="str">
        <f aca="false">Amazon!$Q345</f>
        <v/>
      </c>
      <c r="K345" s="62" t="str">
        <f aca="false">'Via (Casas Bahia)'!$K345</f>
        <v/>
      </c>
      <c r="L345" s="60" t="str">
        <f aca="false">'Via (Casas Bahia)'!$Q345</f>
        <v/>
      </c>
      <c r="M345" s="62" t="str">
        <f aca="false">MadeiraMadeira!$K345</f>
        <v/>
      </c>
      <c r="N345" s="60" t="str">
        <f aca="false">MadeiraMadeira!$Q345</f>
        <v/>
      </c>
      <c r="O345" s="62" t="str">
        <f aca="false">Magalu!$K345</f>
        <v/>
      </c>
      <c r="P345" s="60" t="str">
        <f aca="false">Magalu!$Q345</f>
        <v/>
      </c>
      <c r="Q345" s="46" t="str">
        <f aca="false">IF(COUNT($F345,$H345,$J345,$L345,$N345,$P345)=0,"",MIN($F345,$H345,$J345,$L345,$N345,$P345))</f>
        <v/>
      </c>
      <c r="R345" s="46" t="str">
        <f aca="false">IF(COUNT($F345,$H345,$J345,$L345,$N345,$P345)=0,"",MAX($F345,$H345,$J345,$L345,$N345,$P345))</f>
        <v/>
      </c>
      <c r="S345" s="61" t="str">
        <f aca="false">IF($A345="","",COUNT($E345,$G345,$I345,$K345,$M345,$O345))</f>
        <v/>
      </c>
    </row>
    <row r="346" customFormat="false" ht="15" hidden="false" customHeight="false" outlineLevel="0" collapsed="false">
      <c r="A346" s="32" t="str">
        <f aca="false">IF(Produtos!$A346="","",Produtos!$A346)</f>
        <v/>
      </c>
      <c r="B346" s="32" t="str">
        <f aca="false">IF(Produtos!$A346="","",Produtos!$B346)</f>
        <v/>
      </c>
      <c r="C346" s="32" t="str">
        <f aca="false">IF(Produtos!$A346="","",Produtos!$C346)</f>
        <v/>
      </c>
      <c r="D346" s="33" t="str">
        <f aca="false">IF(Produtos!$A346="","",IF(Produtos!$D346="","",Produtos!$D346))</f>
        <v/>
      </c>
      <c r="E346" s="59" t="str">
        <f aca="false">'ML Clássico'!$K346</f>
        <v/>
      </c>
      <c r="F346" s="60" t="str">
        <f aca="false">'ML Clássico'!$Q346</f>
        <v/>
      </c>
      <c r="G346" s="59" t="str">
        <f aca="false">'ML Premium'!$K346</f>
        <v/>
      </c>
      <c r="H346" s="60" t="str">
        <f aca="false">'ML Premium'!$Q346</f>
        <v/>
      </c>
      <c r="I346" s="59" t="str">
        <f aca="false">Amazon!$K346</f>
        <v/>
      </c>
      <c r="J346" s="60" t="str">
        <f aca="false">Amazon!$Q346</f>
        <v/>
      </c>
      <c r="K346" s="59" t="str">
        <f aca="false">'Via (Casas Bahia)'!$K346</f>
        <v/>
      </c>
      <c r="L346" s="60" t="str">
        <f aca="false">'Via (Casas Bahia)'!$Q346</f>
        <v/>
      </c>
      <c r="M346" s="59" t="str">
        <f aca="false">MadeiraMadeira!$K346</f>
        <v/>
      </c>
      <c r="N346" s="60" t="str">
        <f aca="false">MadeiraMadeira!$Q346</f>
        <v/>
      </c>
      <c r="O346" s="59" t="str">
        <f aca="false">Magalu!$K346</f>
        <v/>
      </c>
      <c r="P346" s="60" t="str">
        <f aca="false">Magalu!$Q346</f>
        <v/>
      </c>
      <c r="Q346" s="46" t="str">
        <f aca="false">IF(COUNT($F346,$H346,$J346,$L346,$N346,$P346)=0,"",MIN($F346,$H346,$J346,$L346,$N346,$P346))</f>
        <v/>
      </c>
      <c r="R346" s="46" t="str">
        <f aca="false">IF(COUNT($F346,$H346,$J346,$L346,$N346,$P346)=0,"",MAX($F346,$H346,$J346,$L346,$N346,$P346))</f>
        <v/>
      </c>
      <c r="S346" s="61" t="str">
        <f aca="false">IF($A346="","",COUNT($E346,$G346,$I346,$K346,$M346,$O346))</f>
        <v/>
      </c>
    </row>
    <row r="347" customFormat="false" ht="15" hidden="false" customHeight="false" outlineLevel="0" collapsed="false">
      <c r="A347" s="48" t="str">
        <f aca="false">IF(Produtos!$A347="","",Produtos!$A347)</f>
        <v/>
      </c>
      <c r="B347" s="48" t="str">
        <f aca="false">IF(Produtos!$A347="","",Produtos!$B347)</f>
        <v/>
      </c>
      <c r="C347" s="48" t="str">
        <f aca="false">IF(Produtos!$A347="","",Produtos!$C347)</f>
        <v/>
      </c>
      <c r="D347" s="33" t="str">
        <f aca="false">IF(Produtos!$A347="","",IF(Produtos!$D347="","",Produtos!$D347))</f>
        <v/>
      </c>
      <c r="E347" s="62" t="str">
        <f aca="false">'ML Clássico'!$K347</f>
        <v/>
      </c>
      <c r="F347" s="60" t="str">
        <f aca="false">'ML Clássico'!$Q347</f>
        <v/>
      </c>
      <c r="G347" s="62" t="str">
        <f aca="false">'ML Premium'!$K347</f>
        <v/>
      </c>
      <c r="H347" s="60" t="str">
        <f aca="false">'ML Premium'!$Q347</f>
        <v/>
      </c>
      <c r="I347" s="62" t="str">
        <f aca="false">Amazon!$K347</f>
        <v/>
      </c>
      <c r="J347" s="60" t="str">
        <f aca="false">Amazon!$Q347</f>
        <v/>
      </c>
      <c r="K347" s="62" t="str">
        <f aca="false">'Via (Casas Bahia)'!$K347</f>
        <v/>
      </c>
      <c r="L347" s="60" t="str">
        <f aca="false">'Via (Casas Bahia)'!$Q347</f>
        <v/>
      </c>
      <c r="M347" s="62" t="str">
        <f aca="false">MadeiraMadeira!$K347</f>
        <v/>
      </c>
      <c r="N347" s="60" t="str">
        <f aca="false">MadeiraMadeira!$Q347</f>
        <v/>
      </c>
      <c r="O347" s="62" t="str">
        <f aca="false">Magalu!$K347</f>
        <v/>
      </c>
      <c r="P347" s="60" t="str">
        <f aca="false">Magalu!$Q347</f>
        <v/>
      </c>
      <c r="Q347" s="46" t="str">
        <f aca="false">IF(COUNT($F347,$H347,$J347,$L347,$N347,$P347)=0,"",MIN($F347,$H347,$J347,$L347,$N347,$P347))</f>
        <v/>
      </c>
      <c r="R347" s="46" t="str">
        <f aca="false">IF(COUNT($F347,$H347,$J347,$L347,$N347,$P347)=0,"",MAX($F347,$H347,$J347,$L347,$N347,$P347))</f>
        <v/>
      </c>
      <c r="S347" s="61" t="str">
        <f aca="false">IF($A347="","",COUNT($E347,$G347,$I347,$K347,$M347,$O347))</f>
        <v/>
      </c>
    </row>
    <row r="348" customFormat="false" ht="15" hidden="false" customHeight="false" outlineLevel="0" collapsed="false">
      <c r="A348" s="32" t="str">
        <f aca="false">IF(Produtos!$A348="","",Produtos!$A348)</f>
        <v/>
      </c>
      <c r="B348" s="32" t="str">
        <f aca="false">IF(Produtos!$A348="","",Produtos!$B348)</f>
        <v/>
      </c>
      <c r="C348" s="32" t="str">
        <f aca="false">IF(Produtos!$A348="","",Produtos!$C348)</f>
        <v/>
      </c>
      <c r="D348" s="33" t="str">
        <f aca="false">IF(Produtos!$A348="","",IF(Produtos!$D348="","",Produtos!$D348))</f>
        <v/>
      </c>
      <c r="E348" s="59" t="str">
        <f aca="false">'ML Clássico'!$K348</f>
        <v/>
      </c>
      <c r="F348" s="60" t="str">
        <f aca="false">'ML Clássico'!$Q348</f>
        <v/>
      </c>
      <c r="G348" s="59" t="str">
        <f aca="false">'ML Premium'!$K348</f>
        <v/>
      </c>
      <c r="H348" s="60" t="str">
        <f aca="false">'ML Premium'!$Q348</f>
        <v/>
      </c>
      <c r="I348" s="59" t="str">
        <f aca="false">Amazon!$K348</f>
        <v/>
      </c>
      <c r="J348" s="60" t="str">
        <f aca="false">Amazon!$Q348</f>
        <v/>
      </c>
      <c r="K348" s="59" t="str">
        <f aca="false">'Via (Casas Bahia)'!$K348</f>
        <v/>
      </c>
      <c r="L348" s="60" t="str">
        <f aca="false">'Via (Casas Bahia)'!$Q348</f>
        <v/>
      </c>
      <c r="M348" s="59" t="str">
        <f aca="false">MadeiraMadeira!$K348</f>
        <v/>
      </c>
      <c r="N348" s="60" t="str">
        <f aca="false">MadeiraMadeira!$Q348</f>
        <v/>
      </c>
      <c r="O348" s="59" t="str">
        <f aca="false">Magalu!$K348</f>
        <v/>
      </c>
      <c r="P348" s="60" t="str">
        <f aca="false">Magalu!$Q348</f>
        <v/>
      </c>
      <c r="Q348" s="46" t="str">
        <f aca="false">IF(COUNT($F348,$H348,$J348,$L348,$N348,$P348)=0,"",MIN($F348,$H348,$J348,$L348,$N348,$P348))</f>
        <v/>
      </c>
      <c r="R348" s="46" t="str">
        <f aca="false">IF(COUNT($F348,$H348,$J348,$L348,$N348,$P348)=0,"",MAX($F348,$H348,$J348,$L348,$N348,$P348))</f>
        <v/>
      </c>
      <c r="S348" s="61" t="str">
        <f aca="false">IF($A348="","",COUNT($E348,$G348,$I348,$K348,$M348,$O348))</f>
        <v/>
      </c>
    </row>
    <row r="349" customFormat="false" ht="15" hidden="false" customHeight="false" outlineLevel="0" collapsed="false">
      <c r="A349" s="48" t="str">
        <f aca="false">IF(Produtos!$A349="","",Produtos!$A349)</f>
        <v/>
      </c>
      <c r="B349" s="48" t="str">
        <f aca="false">IF(Produtos!$A349="","",Produtos!$B349)</f>
        <v/>
      </c>
      <c r="C349" s="48" t="str">
        <f aca="false">IF(Produtos!$A349="","",Produtos!$C349)</f>
        <v/>
      </c>
      <c r="D349" s="33" t="str">
        <f aca="false">IF(Produtos!$A349="","",IF(Produtos!$D349="","",Produtos!$D349))</f>
        <v/>
      </c>
      <c r="E349" s="62" t="str">
        <f aca="false">'ML Clássico'!$K349</f>
        <v/>
      </c>
      <c r="F349" s="60" t="str">
        <f aca="false">'ML Clássico'!$Q349</f>
        <v/>
      </c>
      <c r="G349" s="62" t="str">
        <f aca="false">'ML Premium'!$K349</f>
        <v/>
      </c>
      <c r="H349" s="60" t="str">
        <f aca="false">'ML Premium'!$Q349</f>
        <v/>
      </c>
      <c r="I349" s="62" t="str">
        <f aca="false">Amazon!$K349</f>
        <v/>
      </c>
      <c r="J349" s="60" t="str">
        <f aca="false">Amazon!$Q349</f>
        <v/>
      </c>
      <c r="K349" s="62" t="str">
        <f aca="false">'Via (Casas Bahia)'!$K349</f>
        <v/>
      </c>
      <c r="L349" s="60" t="str">
        <f aca="false">'Via (Casas Bahia)'!$Q349</f>
        <v/>
      </c>
      <c r="M349" s="62" t="str">
        <f aca="false">MadeiraMadeira!$K349</f>
        <v/>
      </c>
      <c r="N349" s="60" t="str">
        <f aca="false">MadeiraMadeira!$Q349</f>
        <v/>
      </c>
      <c r="O349" s="62" t="str">
        <f aca="false">Magalu!$K349</f>
        <v/>
      </c>
      <c r="P349" s="60" t="str">
        <f aca="false">Magalu!$Q349</f>
        <v/>
      </c>
      <c r="Q349" s="46" t="str">
        <f aca="false">IF(COUNT($F349,$H349,$J349,$L349,$N349,$P349)=0,"",MIN($F349,$H349,$J349,$L349,$N349,$P349))</f>
        <v/>
      </c>
      <c r="R349" s="46" t="str">
        <f aca="false">IF(COUNT($F349,$H349,$J349,$L349,$N349,$P349)=0,"",MAX($F349,$H349,$J349,$L349,$N349,$P349))</f>
        <v/>
      </c>
      <c r="S349" s="61" t="str">
        <f aca="false">IF($A349="","",COUNT($E349,$G349,$I349,$K349,$M349,$O349))</f>
        <v/>
      </c>
    </row>
  </sheetData>
  <autoFilter ref="A3:S349"/>
  <mergeCells count="9">
    <mergeCell ref="A1:S1"/>
    <mergeCell ref="A2:D2"/>
    <mergeCell ref="E2:F2"/>
    <mergeCell ref="G2:H2"/>
    <mergeCell ref="I2:J2"/>
    <mergeCell ref="K2:L2"/>
    <mergeCell ref="M2:N2"/>
    <mergeCell ref="O2:P2"/>
    <mergeCell ref="Q2:S2"/>
  </mergeCells>
  <conditionalFormatting sqref="F4:F349">
    <cfRule type="expression" priority="2" aboveAverage="0" equalAverage="0" bottom="0" percent="0" rank="0" text="" dxfId="19">
      <formula>AND(ISNUMBER($F4),$F4&lt;0)</formula>
    </cfRule>
    <cfRule type="expression" priority="3" aboveAverage="0" equalAverage="0" bottom="0" percent="0" rank="0" text="" dxfId="20">
      <formula>AND(ISNUMBER($F4),$F4&lt;Parâmetros!$D$4)</formula>
    </cfRule>
  </conditionalFormatting>
  <conditionalFormatting sqref="H4:H349">
    <cfRule type="expression" priority="4" aboveAverage="0" equalAverage="0" bottom="0" percent="0" rank="0" text="" dxfId="19">
      <formula>AND(ISNUMBER($H4),$H4&lt;0)</formula>
    </cfRule>
    <cfRule type="expression" priority="5" aboveAverage="0" equalAverage="0" bottom="0" percent="0" rank="0" text="" dxfId="20">
      <formula>AND(ISNUMBER($H4),$H4&lt;Parâmetros!$D$5)</formula>
    </cfRule>
  </conditionalFormatting>
  <conditionalFormatting sqref="J4:J349">
    <cfRule type="expression" priority="6" aboveAverage="0" equalAverage="0" bottom="0" percent="0" rank="0" text="" dxfId="19">
      <formula>AND(ISNUMBER($J4),$J4&lt;0)</formula>
    </cfRule>
    <cfRule type="expression" priority="7" aboveAverage="0" equalAverage="0" bottom="0" percent="0" rank="0" text="" dxfId="20">
      <formula>AND(ISNUMBER($J4),$J4&lt;Parâmetros!$D$6)</formula>
    </cfRule>
  </conditionalFormatting>
  <conditionalFormatting sqref="L4:L349">
    <cfRule type="expression" priority="8" aboveAverage="0" equalAverage="0" bottom="0" percent="0" rank="0" text="" dxfId="19">
      <formula>AND(ISNUMBER($L4),$L4&lt;0)</formula>
    </cfRule>
    <cfRule type="expression" priority="9" aboveAverage="0" equalAverage="0" bottom="0" percent="0" rank="0" text="" dxfId="20">
      <formula>AND(ISNUMBER($L4),$L4&lt;Parâmetros!$D$7)</formula>
    </cfRule>
  </conditionalFormatting>
  <conditionalFormatting sqref="N4:N349">
    <cfRule type="expression" priority="10" aboveAverage="0" equalAverage="0" bottom="0" percent="0" rank="0" text="" dxfId="19">
      <formula>AND(ISNUMBER($N4),$N4&lt;0)</formula>
    </cfRule>
    <cfRule type="expression" priority="11" aboveAverage="0" equalAverage="0" bottom="0" percent="0" rank="0" text="" dxfId="20">
      <formula>AND(ISNUMBER($N4),$N4&lt;Parâmetros!$D$8)</formula>
    </cfRule>
  </conditionalFormatting>
  <conditionalFormatting sqref="P4:P349">
    <cfRule type="expression" priority="12" aboveAverage="0" equalAverage="0" bottom="0" percent="0" rank="0" text="" dxfId="19">
      <formula>AND(ISNUMBER($P4),$P4&lt;0)</formula>
    </cfRule>
    <cfRule type="expression" priority="13" aboveAverage="0" equalAverage="0" bottom="0" percent="0" rank="0" text="" dxfId="20">
      <formula>AND(ISNUMBER($P4),$P4&lt;Parâmetros!$D$9)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2026-10-09T19:05:27Z</dcterms:created>
  <dc:creator>openpyxl</dc:creator>
  <dc:description/>
  <dc:language>en-US</dc:language>
  <cp:lastModifiedBy/>
  <dcterms:modified xsi:type="dcterms:W3CDTF">2026-10-09T19:05:30Z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