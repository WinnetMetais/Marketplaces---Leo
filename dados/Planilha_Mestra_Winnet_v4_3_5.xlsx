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H107" i="4"/>
  <c r="I107" i="4" s="1"/>
  <c r="G107" i="4"/>
  <c r="N107" i="4" s="1"/>
  <c r="O107" i="4" s="1"/>
  <c r="P107" i="4" s="1"/>
  <c r="E107" i="4"/>
  <c r="L106" i="4"/>
  <c r="H106" i="4"/>
  <c r="I106" i="4" s="1"/>
  <c r="G106" i="4"/>
  <c r="K106" i="4" s="1"/>
  <c r="E106" i="4"/>
  <c r="L105" i="4"/>
  <c r="K105" i="4"/>
  <c r="H105" i="4"/>
  <c r="I105" i="4" s="1"/>
  <c r="G105" i="4"/>
  <c r="N105" i="4" s="1"/>
  <c r="O105" i="4" s="1"/>
  <c r="P105" i="4" s="1"/>
  <c r="E105" i="4"/>
  <c r="M104" i="4"/>
  <c r="L104" i="4"/>
  <c r="H104" i="4"/>
  <c r="I104" i="4" s="1"/>
  <c r="G104" i="4"/>
  <c r="K104" i="4" s="1"/>
  <c r="E104" i="4"/>
  <c r="L103" i="4"/>
  <c r="H103" i="4"/>
  <c r="I103" i="4" s="1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H101" i="4"/>
  <c r="I101" i="4" s="1"/>
  <c r="G101" i="4"/>
  <c r="N101" i="4" s="1"/>
  <c r="O101" i="4" s="1"/>
  <c r="P101" i="4" s="1"/>
  <c r="E101" i="4"/>
  <c r="L100" i="4"/>
  <c r="H100" i="4"/>
  <c r="I100" i="4" s="1"/>
  <c r="G100" i="4"/>
  <c r="E100" i="4"/>
  <c r="L99" i="4"/>
  <c r="H99" i="4"/>
  <c r="I99" i="4" s="1"/>
  <c r="G99" i="4"/>
  <c r="N99" i="4" s="1"/>
  <c r="O99" i="4" s="1"/>
  <c r="P99" i="4" s="1"/>
  <c r="E99" i="4"/>
  <c r="L98" i="4"/>
  <c r="H98" i="4"/>
  <c r="I98" i="4" s="1"/>
  <c r="G98" i="4"/>
  <c r="K98" i="4" s="1"/>
  <c r="E98" i="4"/>
  <c r="L97" i="4"/>
  <c r="H97" i="4"/>
  <c r="I97" i="4" s="1"/>
  <c r="E97" i="4"/>
  <c r="G97" i="4" s="1"/>
  <c r="N97" i="4" s="1"/>
  <c r="O97" i="4" s="1"/>
  <c r="P97" i="4" s="1"/>
  <c r="L96" i="4"/>
  <c r="H96" i="4"/>
  <c r="I96" i="4" s="1"/>
  <c r="G96" i="4"/>
  <c r="E96" i="4"/>
  <c r="L95" i="4"/>
  <c r="H95" i="4"/>
  <c r="I95" i="4" s="1"/>
  <c r="G95" i="4"/>
  <c r="M95" i="4" s="1"/>
  <c r="E95" i="4"/>
  <c r="L94" i="4"/>
  <c r="H94" i="4"/>
  <c r="I94" i="4" s="1"/>
  <c r="G94" i="4"/>
  <c r="E94" i="4"/>
  <c r="L93" i="4"/>
  <c r="H93" i="4"/>
  <c r="I93" i="4" s="1"/>
  <c r="G93" i="4"/>
  <c r="M93" i="4" s="1"/>
  <c r="E93" i="4"/>
  <c r="L92" i="4"/>
  <c r="H92" i="4"/>
  <c r="I92" i="4" s="1"/>
  <c r="G92" i="4"/>
  <c r="K92" i="4" s="1"/>
  <c r="E92" i="4"/>
  <c r="L91" i="4"/>
  <c r="H91" i="4"/>
  <c r="I91" i="4" s="1"/>
  <c r="G91" i="4"/>
  <c r="M91" i="4" s="1"/>
  <c r="E91" i="4"/>
  <c r="L90" i="4"/>
  <c r="H90" i="4"/>
  <c r="I90" i="4" s="1"/>
  <c r="G90" i="4"/>
  <c r="E90" i="4"/>
  <c r="L89" i="4"/>
  <c r="H89" i="4"/>
  <c r="I89" i="4" s="1"/>
  <c r="G89" i="4"/>
  <c r="M89" i="4" s="1"/>
  <c r="E89" i="4"/>
  <c r="L88" i="4"/>
  <c r="H88" i="4"/>
  <c r="I88" i="4" s="1"/>
  <c r="G88" i="4"/>
  <c r="E88" i="4"/>
  <c r="L87" i="4"/>
  <c r="H87" i="4"/>
  <c r="I87" i="4" s="1"/>
  <c r="E87" i="4"/>
  <c r="G87" i="4" s="1"/>
  <c r="M87" i="4" s="1"/>
  <c r="L86" i="4"/>
  <c r="H86" i="4"/>
  <c r="I86" i="4" s="1"/>
  <c r="G86" i="4"/>
  <c r="E86" i="4"/>
  <c r="L85" i="4"/>
  <c r="H85" i="4"/>
  <c r="I85" i="4" s="1"/>
  <c r="G85" i="4"/>
  <c r="M85" i="4" s="1"/>
  <c r="E85" i="4"/>
  <c r="L84" i="4"/>
  <c r="H84" i="4"/>
  <c r="I84" i="4" s="1"/>
  <c r="G84" i="4"/>
  <c r="E84" i="4"/>
  <c r="L83" i="4"/>
  <c r="H83" i="4"/>
  <c r="I83" i="4" s="1"/>
  <c r="G83" i="4"/>
  <c r="M83" i="4" s="1"/>
  <c r="E83" i="4"/>
  <c r="L82" i="4"/>
  <c r="H82" i="4"/>
  <c r="I82" i="4" s="1"/>
  <c r="G82" i="4"/>
  <c r="E82" i="4"/>
  <c r="L81" i="4"/>
  <c r="H81" i="4"/>
  <c r="I81" i="4" s="1"/>
  <c r="G81" i="4"/>
  <c r="M81" i="4" s="1"/>
  <c r="E81" i="4"/>
  <c r="L80" i="4"/>
  <c r="H80" i="4"/>
  <c r="I80" i="4" s="1"/>
  <c r="E80" i="4"/>
  <c r="G80" i="4" s="1"/>
  <c r="M80" i="4" s="1"/>
  <c r="L79" i="4"/>
  <c r="H79" i="4"/>
  <c r="I79" i="4" s="1"/>
  <c r="E79" i="4"/>
  <c r="G79" i="4" s="1"/>
  <c r="M79" i="4" s="1"/>
  <c r="L78" i="4"/>
  <c r="H78" i="4"/>
  <c r="I78" i="4" s="1"/>
  <c r="E78" i="4"/>
  <c r="G78" i="4" s="1"/>
  <c r="L77" i="4"/>
  <c r="H77" i="4"/>
  <c r="I77" i="4" s="1"/>
  <c r="E77" i="4"/>
  <c r="G77" i="4" s="1"/>
  <c r="M77" i="4" s="1"/>
  <c r="L76" i="4"/>
  <c r="H76" i="4"/>
  <c r="I76" i="4" s="1"/>
  <c r="E76" i="4"/>
  <c r="G76" i="4" s="1"/>
  <c r="M76" i="4" s="1"/>
  <c r="L75" i="4"/>
  <c r="H75" i="4"/>
  <c r="I75" i="4" s="1"/>
  <c r="E75" i="4"/>
  <c r="G75" i="4" s="1"/>
  <c r="M75" i="4" s="1"/>
  <c r="L74" i="4"/>
  <c r="H74" i="4"/>
  <c r="I74" i="4" s="1"/>
  <c r="G74" i="4"/>
  <c r="E74" i="4"/>
  <c r="L73" i="4"/>
  <c r="H73" i="4"/>
  <c r="I73" i="4" s="1"/>
  <c r="G73" i="4"/>
  <c r="M73" i="4" s="1"/>
  <c r="E73" i="4"/>
  <c r="L72" i="4"/>
  <c r="H72" i="4"/>
  <c r="I72" i="4" s="1"/>
  <c r="G72" i="4"/>
  <c r="M72" i="4" s="1"/>
  <c r="E72" i="4"/>
  <c r="L71" i="4"/>
  <c r="H71" i="4"/>
  <c r="I71" i="4" s="1"/>
  <c r="G71" i="4"/>
  <c r="M71" i="4" s="1"/>
  <c r="E71" i="4"/>
  <c r="L70" i="4"/>
  <c r="H70" i="4"/>
  <c r="I70" i="4" s="1"/>
  <c r="G70" i="4"/>
  <c r="E70" i="4"/>
  <c r="L69" i="4"/>
  <c r="H69" i="4"/>
  <c r="I69" i="4" s="1"/>
  <c r="G69" i="4"/>
  <c r="M69" i="4" s="1"/>
  <c r="E69" i="4"/>
  <c r="L68" i="4"/>
  <c r="H68" i="4"/>
  <c r="I68" i="4" s="1"/>
  <c r="G68" i="4"/>
  <c r="E68" i="4"/>
  <c r="L67" i="4"/>
  <c r="H67" i="4"/>
  <c r="I67" i="4" s="1"/>
  <c r="G67" i="4"/>
  <c r="E67" i="4"/>
  <c r="L66" i="4"/>
  <c r="H66" i="4"/>
  <c r="I66" i="4" s="1"/>
  <c r="G66" i="4"/>
  <c r="M66" i="4" s="1"/>
  <c r="E66" i="4"/>
  <c r="L65" i="4"/>
  <c r="H65" i="4"/>
  <c r="I65" i="4" s="1"/>
  <c r="E65" i="4"/>
  <c r="G65" i="4" s="1"/>
  <c r="M65" i="4" s="1"/>
  <c r="L64" i="4"/>
  <c r="H64" i="4"/>
  <c r="I64" i="4" s="1"/>
  <c r="E64" i="4"/>
  <c r="G64" i="4" s="1"/>
  <c r="L63" i="4"/>
  <c r="H63" i="4"/>
  <c r="I63" i="4" s="1"/>
  <c r="E63" i="4"/>
  <c r="G63" i="4" s="1"/>
  <c r="M63" i="4" s="1"/>
  <c r="L62" i="4"/>
  <c r="H62" i="4"/>
  <c r="I62" i="4" s="1"/>
  <c r="E62" i="4"/>
  <c r="G62" i="4" s="1"/>
  <c r="L61" i="4"/>
  <c r="H61" i="4"/>
  <c r="I61" i="4" s="1"/>
  <c r="E61" i="4"/>
  <c r="G61" i="4" s="1"/>
  <c r="L60" i="4"/>
  <c r="H60" i="4"/>
  <c r="I60" i="4" s="1"/>
  <c r="E60" i="4"/>
  <c r="G60" i="4" s="1"/>
  <c r="L59" i="4"/>
  <c r="H59" i="4"/>
  <c r="I59" i="4" s="1"/>
  <c r="E59" i="4"/>
  <c r="G59" i="4" s="1"/>
  <c r="L58" i="4"/>
  <c r="H58" i="4"/>
  <c r="I58" i="4" s="1"/>
  <c r="E58" i="4"/>
  <c r="G58" i="4" s="1"/>
  <c r="L57" i="4"/>
  <c r="H57" i="4"/>
  <c r="I57" i="4" s="1"/>
  <c r="E57" i="4"/>
  <c r="G57" i="4" s="1"/>
  <c r="L56" i="4"/>
  <c r="H56" i="4"/>
  <c r="I56" i="4" s="1"/>
  <c r="E56" i="4"/>
  <c r="G56" i="4" s="1"/>
  <c r="L55" i="4"/>
  <c r="H55" i="4"/>
  <c r="I55" i="4" s="1"/>
  <c r="E55" i="4"/>
  <c r="G55" i="4" s="1"/>
  <c r="L54" i="4"/>
  <c r="H54" i="4"/>
  <c r="I54" i="4" s="1"/>
  <c r="E54" i="4"/>
  <c r="G54" i="4" s="1"/>
  <c r="L53" i="4"/>
  <c r="H53" i="4"/>
  <c r="I53" i="4" s="1"/>
  <c r="E53" i="4"/>
  <c r="G53" i="4" s="1"/>
  <c r="L52" i="4"/>
  <c r="H52" i="4"/>
  <c r="I52" i="4" s="1"/>
  <c r="E52" i="4"/>
  <c r="G52" i="4" s="1"/>
  <c r="L51" i="4"/>
  <c r="H51" i="4"/>
  <c r="I51" i="4" s="1"/>
  <c r="E51" i="4"/>
  <c r="G51" i="4" s="1"/>
  <c r="L50" i="4"/>
  <c r="H50" i="4"/>
  <c r="I50" i="4" s="1"/>
  <c r="E50" i="4"/>
  <c r="G50" i="4" s="1"/>
  <c r="L49" i="4"/>
  <c r="H49" i="4"/>
  <c r="I49" i="4" s="1"/>
  <c r="E49" i="4"/>
  <c r="G49" i="4" s="1"/>
  <c r="L48" i="4"/>
  <c r="H48" i="4"/>
  <c r="I48" i="4" s="1"/>
  <c r="E48" i="4"/>
  <c r="G48" i="4" s="1"/>
  <c r="L47" i="4"/>
  <c r="H47" i="4"/>
  <c r="I47" i="4" s="1"/>
  <c r="E47" i="4"/>
  <c r="G47" i="4" s="1"/>
  <c r="L46" i="4"/>
  <c r="H46" i="4"/>
  <c r="I46" i="4" s="1"/>
  <c r="E46" i="4"/>
  <c r="G46" i="4" s="1"/>
  <c r="L45" i="4"/>
  <c r="H45" i="4"/>
  <c r="I45" i="4" s="1"/>
  <c r="E45" i="4"/>
  <c r="G45" i="4" s="1"/>
  <c r="L44" i="4"/>
  <c r="H44" i="4"/>
  <c r="I44" i="4" s="1"/>
  <c r="E44" i="4"/>
  <c r="G44" i="4" s="1"/>
  <c r="L43" i="4"/>
  <c r="H43" i="4"/>
  <c r="I43" i="4" s="1"/>
  <c r="E43" i="4"/>
  <c r="G43" i="4" s="1"/>
  <c r="L42" i="4"/>
  <c r="H42" i="4"/>
  <c r="I42" i="4" s="1"/>
  <c r="E42" i="4"/>
  <c r="G42" i="4" s="1"/>
  <c r="M42" i="4" s="1"/>
  <c r="L41" i="4"/>
  <c r="H41" i="4"/>
  <c r="I41" i="4" s="1"/>
  <c r="E41" i="4"/>
  <c r="G41" i="4" s="1"/>
  <c r="M41" i="4" s="1"/>
  <c r="L40" i="4"/>
  <c r="H40" i="4"/>
  <c r="I40" i="4" s="1"/>
  <c r="E40" i="4"/>
  <c r="G40" i="4" s="1"/>
  <c r="L39" i="4"/>
  <c r="H39" i="4"/>
  <c r="I39" i="4" s="1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H33" i="4"/>
  <c r="I33" i="4" s="1"/>
  <c r="E33" i="4"/>
  <c r="G33" i="4" s="1"/>
  <c r="L32" i="4"/>
  <c r="H32" i="4"/>
  <c r="I32" i="4" s="1"/>
  <c r="E32" i="4"/>
  <c r="G32" i="4" s="1"/>
  <c r="L31" i="4"/>
  <c r="H31" i="4"/>
  <c r="G31" i="4"/>
  <c r="K31" i="4" s="1"/>
  <c r="L30" i="4"/>
  <c r="H30" i="4"/>
  <c r="G30" i="4"/>
  <c r="K30" i="4" s="1"/>
  <c r="L29" i="4"/>
  <c r="H29" i="4"/>
  <c r="I29" i="4" s="1"/>
  <c r="G29" i="4"/>
  <c r="M29" i="4" s="1"/>
  <c r="L28" i="4"/>
  <c r="H28" i="4"/>
  <c r="I28" i="4" s="1"/>
  <c r="E28" i="4"/>
  <c r="G28" i="4" s="1"/>
  <c r="L27" i="4"/>
  <c r="H27" i="4"/>
  <c r="E27" i="4"/>
  <c r="G27" i="4" s="1"/>
  <c r="M27" i="4" s="1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L24" i="4"/>
  <c r="H24" i="4"/>
  <c r="E24" i="4"/>
  <c r="G24" i="4" s="1"/>
  <c r="M24" i="4" s="1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L19" i="4"/>
  <c r="H19" i="4"/>
  <c r="I19" i="4" s="1"/>
  <c r="E19" i="4"/>
  <c r="G19" i="4" s="1"/>
  <c r="M19" i="4" s="1"/>
  <c r="L18" i="4"/>
  <c r="H18" i="4"/>
  <c r="I18" i="4" s="1"/>
  <c r="E18" i="4"/>
  <c r="G18" i="4" s="1"/>
  <c r="L17" i="4"/>
  <c r="H17" i="4"/>
  <c r="E17" i="4"/>
  <c r="G17" i="4" s="1"/>
  <c r="L16" i="4"/>
  <c r="H16" i="4"/>
  <c r="I16" i="4" s="1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E13" i="4"/>
  <c r="G13" i="4" s="1"/>
  <c r="M13" i="4" s="1"/>
  <c r="L12" i="4"/>
  <c r="H12" i="4"/>
  <c r="E12" i="4"/>
  <c r="G12" i="4" s="1"/>
  <c r="M12" i="4" s="1"/>
  <c r="L11" i="4"/>
  <c r="H11" i="4"/>
  <c r="E11" i="4"/>
  <c r="G11" i="4" s="1"/>
  <c r="K11" i="4" s="1"/>
  <c r="L10" i="4"/>
  <c r="H10" i="4"/>
  <c r="G10" i="4"/>
  <c r="M10" i="4" s="1"/>
  <c r="L9" i="4"/>
  <c r="H9" i="4"/>
  <c r="I9" i="4" s="1"/>
  <c r="E9" i="4"/>
  <c r="G9" i="4" s="1"/>
  <c r="L8" i="4"/>
  <c r="H8" i="4"/>
  <c r="I8" i="4" s="1"/>
  <c r="E8" i="4"/>
  <c r="G8" i="4" s="1"/>
  <c r="L7" i="4"/>
  <c r="H7" i="4"/>
  <c r="I7" i="4" s="1"/>
  <c r="K7" i="4" s="1"/>
  <c r="E7" i="4"/>
  <c r="G7" i="4" s="1"/>
  <c r="L6" i="4"/>
  <c r="H6" i="4"/>
  <c r="I6" i="4" s="1"/>
  <c r="E6" i="4"/>
  <c r="G6" i="4" s="1"/>
  <c r="M6" i="4" s="1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K100" i="4" l="1"/>
  <c r="M100" i="4"/>
  <c r="K96" i="4"/>
  <c r="M96" i="4"/>
  <c r="K94" i="4"/>
  <c r="K91" i="4"/>
  <c r="K90" i="4"/>
  <c r="M90" i="4"/>
  <c r="K88" i="4"/>
  <c r="K86" i="4"/>
  <c r="K84" i="4"/>
  <c r="K83" i="4"/>
  <c r="K29" i="4"/>
  <c r="K36" i="4"/>
  <c r="M88" i="4"/>
  <c r="M30" i="4"/>
  <c r="M31" i="4"/>
  <c r="N83" i="4"/>
  <c r="O83" i="4" s="1"/>
  <c r="P83" i="4" s="1"/>
  <c r="K89" i="4"/>
  <c r="N89" i="4" s="1"/>
  <c r="O89" i="4" s="1"/>
  <c r="P89" i="4" s="1"/>
  <c r="N91" i="4"/>
  <c r="O91" i="4" s="1"/>
  <c r="P91" i="4" s="1"/>
  <c r="K97" i="4"/>
  <c r="K103" i="4"/>
  <c r="M84" i="4"/>
  <c r="K87" i="4"/>
  <c r="M92" i="4"/>
  <c r="K95" i="4"/>
  <c r="K99" i="4"/>
  <c r="M106" i="4"/>
  <c r="K79" i="4"/>
  <c r="N79" i="4" s="1"/>
  <c r="O79" i="4" s="1"/>
  <c r="P79" i="4" s="1"/>
  <c r="K75" i="4"/>
  <c r="N75" i="4" s="1"/>
  <c r="O75" i="4" s="1"/>
  <c r="P75" i="4" s="1"/>
  <c r="K71" i="4"/>
  <c r="N71" i="4" s="1"/>
  <c r="O71" i="4" s="1"/>
  <c r="P71" i="4" s="1"/>
  <c r="K70" i="4"/>
  <c r="K69" i="4"/>
  <c r="K68" i="4"/>
  <c r="K8" i="4"/>
  <c r="M8" i="4"/>
  <c r="N77" i="4"/>
  <c r="O77" i="4" s="1"/>
  <c r="P77" i="4" s="1"/>
  <c r="N85" i="4"/>
  <c r="O85" i="4" s="1"/>
  <c r="P85" i="4" s="1"/>
  <c r="N87" i="4"/>
  <c r="O87" i="4" s="1"/>
  <c r="P87" i="4" s="1"/>
  <c r="N95" i="4"/>
  <c r="O95" i="4" s="1"/>
  <c r="P95" i="4" s="1"/>
  <c r="N106" i="4"/>
  <c r="O106" i="4" s="1"/>
  <c r="P106" i="4" s="1"/>
  <c r="K107" i="4"/>
  <c r="N81" i="4"/>
  <c r="O81" i="4" s="1"/>
  <c r="P81" i="4" s="1"/>
  <c r="N93" i="4"/>
  <c r="O93" i="4" s="1"/>
  <c r="P93" i="4" s="1"/>
  <c r="N104" i="4"/>
  <c r="O104" i="4" s="1"/>
  <c r="P104" i="4" s="1"/>
  <c r="K73" i="4"/>
  <c r="N73" i="4" s="1"/>
  <c r="O73" i="4" s="1"/>
  <c r="P73" i="4" s="1"/>
  <c r="K77" i="4"/>
  <c r="K81" i="4"/>
  <c r="K85" i="4"/>
  <c r="M86" i="4"/>
  <c r="K93" i="4"/>
  <c r="M94" i="4"/>
  <c r="M98" i="4"/>
  <c r="K101" i="4"/>
  <c r="N41" i="4"/>
  <c r="O41" i="4" s="1"/>
  <c r="P41" i="4" s="1"/>
  <c r="K64" i="4"/>
  <c r="K63" i="4"/>
  <c r="N63" i="4"/>
  <c r="O63" i="4" s="1"/>
  <c r="P63" i="4" s="1"/>
  <c r="K61" i="4"/>
  <c r="M61" i="4"/>
  <c r="K59" i="4"/>
  <c r="M59" i="4"/>
  <c r="K57" i="4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M116" i="3"/>
  <c r="N116" i="3" s="1"/>
  <c r="O116" i="3" s="1"/>
  <c r="M34" i="4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M32" i="4"/>
  <c r="K32" i="4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M16" i="4"/>
  <c r="K16" i="4"/>
  <c r="K25" i="4"/>
  <c r="N25" i="4" s="1"/>
  <c r="O25" i="4" s="1"/>
  <c r="P25" i="4" s="1"/>
  <c r="K26" i="4"/>
  <c r="M28" i="4"/>
  <c r="K28" i="4"/>
  <c r="N29" i="4"/>
  <c r="O29" i="4" s="1"/>
  <c r="P29" i="4" s="1"/>
  <c r="K74" i="4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N19" i="4" s="1"/>
  <c r="O19" i="4" s="1"/>
  <c r="P19" i="4" s="1"/>
  <c r="K20" i="4"/>
  <c r="N20" i="4" s="1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K23" i="4"/>
  <c r="M36" i="4"/>
  <c r="N36" i="4" s="1"/>
  <c r="O36" i="4" s="1"/>
  <c r="P36" i="4" s="1"/>
  <c r="K37" i="4"/>
  <c r="N37" i="4" s="1"/>
  <c r="O37" i="4" s="1"/>
  <c r="P37" i="4" s="1"/>
  <c r="K56" i="4"/>
  <c r="M56" i="4"/>
  <c r="M67" i="4"/>
  <c r="N67" i="4" s="1"/>
  <c r="O67" i="4" s="1"/>
  <c r="P67" i="4" s="1"/>
  <c r="K67" i="4"/>
  <c r="N8" i="4"/>
  <c r="O8" i="4" s="1"/>
  <c r="P8" i="4" s="1"/>
  <c r="K12" i="4"/>
  <c r="N12" i="4" s="1"/>
  <c r="O12" i="4" s="1"/>
  <c r="P12" i="4" s="1"/>
  <c r="N26" i="4"/>
  <c r="O26" i="4" s="1"/>
  <c r="P26" i="4" s="1"/>
  <c r="N30" i="4"/>
  <c r="O30" i="4" s="1"/>
  <c r="P30" i="4" s="1"/>
  <c r="K39" i="4"/>
  <c r="M39" i="4"/>
  <c r="K44" i="4"/>
  <c r="M44" i="4"/>
  <c r="M45" i="4"/>
  <c r="K45" i="4"/>
  <c r="K48" i="4"/>
  <c r="N48" i="4" s="1"/>
  <c r="O48" i="4" s="1"/>
  <c r="P48" i="4" s="1"/>
  <c r="M48" i="4"/>
  <c r="M49" i="4"/>
  <c r="K49" i="4"/>
  <c r="K52" i="4"/>
  <c r="M52" i="4"/>
  <c r="M53" i="4"/>
  <c r="K53" i="4"/>
  <c r="K58" i="4"/>
  <c r="M58" i="4"/>
  <c r="K78" i="4"/>
  <c r="N78" i="4"/>
  <c r="O78" i="4" s="1"/>
  <c r="P78" i="4" s="1"/>
  <c r="M78" i="4"/>
  <c r="N31" i="4"/>
  <c r="O31" i="4" s="1"/>
  <c r="P31" i="4" s="1"/>
  <c r="K33" i="4"/>
  <c r="M33" i="4"/>
  <c r="K42" i="4"/>
  <c r="N42" i="4" s="1"/>
  <c r="O42" i="4" s="1"/>
  <c r="P42" i="4" s="1"/>
  <c r="K60" i="4"/>
  <c r="N60" i="4" s="1"/>
  <c r="O60" i="4" s="1"/>
  <c r="P60" i="4" s="1"/>
  <c r="M60" i="4"/>
  <c r="K82" i="4"/>
  <c r="N82" i="4"/>
  <c r="O82" i="4" s="1"/>
  <c r="P82" i="4" s="1"/>
  <c r="M82" i="4"/>
  <c r="L108" i="4"/>
  <c r="K27" i="4"/>
  <c r="N27" i="4" s="1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M46" i="4"/>
  <c r="N46" i="4" s="1"/>
  <c r="O46" i="4" s="1"/>
  <c r="P46" i="4" s="1"/>
  <c r="M47" i="4"/>
  <c r="N47" i="4" s="1"/>
  <c r="O47" i="4" s="1"/>
  <c r="P47" i="4" s="1"/>
  <c r="K47" i="4"/>
  <c r="K50" i="4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M62" i="4"/>
  <c r="K66" i="4"/>
  <c r="N66" i="4" s="1"/>
  <c r="O66" i="4" s="1"/>
  <c r="P66" i="4" s="1"/>
  <c r="M68" i="4"/>
  <c r="Q6" i="6"/>
  <c r="R6" i="6" s="1"/>
  <c r="N6" i="6"/>
  <c r="K65" i="4"/>
  <c r="N65" i="4" s="1"/>
  <c r="O65" i="4" s="1"/>
  <c r="P65" i="4" s="1"/>
  <c r="N68" i="4"/>
  <c r="O68" i="4" s="1"/>
  <c r="P68" i="4" s="1"/>
  <c r="N69" i="4"/>
  <c r="O69" i="4" s="1"/>
  <c r="P69" i="4" s="1"/>
  <c r="M70" i="4"/>
  <c r="N70" i="4" s="1"/>
  <c r="O70" i="4" s="1"/>
  <c r="P70" i="4" s="1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64" i="4" s="1"/>
  <c r="O64" i="4" s="1"/>
  <c r="P64" i="4" s="1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N33" i="4" l="1"/>
  <c r="O33" i="4" s="1"/>
  <c r="P33" i="4" s="1"/>
  <c r="N49" i="4"/>
  <c r="O49" i="4" s="1"/>
  <c r="P49" i="4" s="1"/>
  <c r="N45" i="4"/>
  <c r="O45" i="4" s="1"/>
  <c r="P45" i="4" s="1"/>
  <c r="N39" i="4"/>
  <c r="O39" i="4" s="1"/>
  <c r="P39" i="4" s="1"/>
  <c r="N74" i="4"/>
  <c r="O74" i="4" s="1"/>
  <c r="P74" i="4" s="1"/>
  <c r="N15" i="4"/>
  <c r="O15" i="4" s="1"/>
  <c r="P15" i="4" s="1"/>
  <c r="N18" i="4"/>
  <c r="O18" i="4" s="1"/>
  <c r="P18" i="4" s="1"/>
  <c r="N32" i="4"/>
  <c r="O32" i="4" s="1"/>
  <c r="P32" i="4" s="1"/>
  <c r="N62" i="4"/>
  <c r="O62" i="4" s="1"/>
  <c r="P62" i="4" s="1"/>
  <c r="N53" i="4"/>
  <c r="O53" i="4" s="1"/>
  <c r="P53" i="4" s="1"/>
  <c r="N56" i="4"/>
  <c r="O56" i="4" s="1"/>
  <c r="P56" i="4" s="1"/>
  <c r="N16" i="4"/>
  <c r="O16" i="4" s="1"/>
  <c r="P16" i="4" s="1"/>
  <c r="N34" i="4"/>
  <c r="O34" i="4" s="1"/>
  <c r="P34" i="4" s="1"/>
  <c r="N55" i="4"/>
  <c r="O55" i="4" s="1"/>
  <c r="P55" i="4" s="1"/>
  <c r="N58" i="4"/>
  <c r="O58" i="4" s="1"/>
  <c r="P58" i="4" s="1"/>
  <c r="N23" i="4"/>
  <c r="O23" i="4" s="1"/>
  <c r="P23" i="4" s="1"/>
  <c r="N28" i="4"/>
  <c r="O28" i="4" s="1"/>
  <c r="P28" i="4" s="1"/>
  <c r="N40" i="4"/>
  <c r="O40" i="4" s="1"/>
  <c r="P40" i="4" s="1"/>
  <c r="N9" i="4"/>
  <c r="O9" i="4" s="1"/>
  <c r="P9" i="4" s="1"/>
  <c r="N50" i="4"/>
  <c r="O50" i="4" s="1"/>
  <c r="P50" i="4" s="1"/>
  <c r="N44" i="4"/>
  <c r="O44" i="4" s="1"/>
  <c r="P44" i="4" s="1"/>
  <c r="N57" i="4"/>
  <c r="O57" i="4" s="1"/>
  <c r="P57" i="4" s="1"/>
  <c r="N61" i="4"/>
  <c r="O61" i="4" s="1"/>
  <c r="P61" i="4" s="1"/>
  <c r="N52" i="4"/>
  <c r="O52" i="4" s="1"/>
  <c r="P52" i="4" s="1"/>
  <c r="N59" i="4"/>
  <c r="O59" i="4" s="1"/>
  <c r="P59" i="4" s="1"/>
  <c r="M108" i="4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<sst xmlns="http://schemas.openxmlformats.org/spreadsheetml/2006/main" count="2123" uniqueCount="583">
  <si>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</si>
  <si>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</si>
  <si>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</si>
  <si>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</si>
  <si>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</si>
  <si>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</si>
  <si>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</si>
  <si>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</si>
  <si>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</si>
  <si>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</si>
  <si>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</si>
  <si>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</si>
  <si>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</si>
  <si>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</si>
  <si>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</si>
  <si>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</si>
  <si>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</si>
  <si>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</si>
  <si>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</si>
  <si>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</si>
  <si>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</si>
  <si>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</si>
  <si>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</si>
  <si>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</si>
  <si>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</si>
  <si>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</si>
  <si>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</si>
  <si>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</si>
  <si>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</si>
  <si>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</si>
  <si>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</si>
  <si>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</si>
  <si>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</si>
  <si>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</si>
  <si>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</si>
  <si>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</si>
  <si>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</si>
  <si>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</si>
  <si>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</si>
  <si>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</si>
  <si>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</si>
  <si>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</si>
  <si>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</si>
  <si>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</si>
  <si>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</si>
  <si>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</si>
  <si>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</si>
  <si>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</si>
  <si>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</si>
  <si>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</si>
  <si>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</si>
  <si>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</si>
  <si>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</si>
  <si>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</si>
  <si>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</si>
  <si>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</si>
  <si>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</si>
  <si>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</si>
  <si>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</si>
  <si>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</si>
  <si>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</si>
  <si>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</si>
  <si>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</si>
  <si>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</si>
  <si>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</si>
  <si>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</si>
  <si>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</si>
  <si>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</si>
  <si>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</si>
  <si>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</si>
  <si>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</si>
  <si>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</si>
  <si>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</si>
  <si>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</si>
  <si>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</si>
  <si>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</si>
  <si>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</si>
  <si>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</si>
  <si>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</si>
  <si>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</si>
  <si>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</si>
  <si>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</si>
  <si>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</si>
  <si>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</si>
  <si>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</si>
  <si>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</si>
  <si>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</si>
  <si>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</si>
  <si>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</si>
  <si>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</si>
  <si>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</si>
  <si>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</si>
  <si>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</si>
  <si>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</si>
  <si>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</si>
  <si>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</si>
  <si>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</si>
  <si>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</si>
  <si>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</si>
  <si>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</si>
  <si>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</si>
  <si>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</si>
  <si>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</si>
  <si>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</si>
  <si>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</si>
  <si>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</si>
  <si>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</si>
  <si>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</si>
  <si>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</si>
  <si>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</si>
  <si>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</si>
  <si>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</si>
  <si>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</si>
  <si>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</si>
  <si>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</si>
  <si>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</si>
  <si>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</si>
  <si>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</si>
  <si>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</si>
  <si>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</si>
  <si>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</si>
  <si>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</si>
  <si>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</si>
  <si>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</si>
  <si>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</si>
  <si>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</si>
  <si>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</si>
  <si>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</si>
  <si>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</si>
  <si>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</si>
  <si>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</si>
  <si>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</si>
  <si>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</si>
  <si>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</si>
  <si>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</si>
  <si>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</si>
  <si>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</si>
  <si>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</si>
  <si>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</si>
  <si>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</si>
  <si>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</si>
  <si>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</si>
  <si>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</si>
  <si>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</si>
  <si>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</si>
  <si>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</si>
  <si>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</si>
  <si>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</si>
  <si>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</si>
  <si>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</si>
  <si>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</si>
  <si>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</si>
  <si>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</si>
  <si>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</si>
  <si>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</si>
  <si>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</si>
  <si>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</si>
  <si>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</si>
  <si>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</si>
  <si>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</si>
  <si>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</si>
  <si>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</si>
  <si>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</si>
  <si>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</si>
  <si>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</si>
  <si>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</si>
  <si>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</si>
  <si>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</si>
  <si>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</si>
  <si>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</si>
  <si>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</si>
  <si>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</si>
  <si>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</si>
  <si>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</si>
  <si>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</si>
  <si>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</si>
  <si>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</si>
  <si>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</si>
  <si>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</si>
  <si>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</si>
  <si>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</si>
  <si>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</si>
  <si>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</si>
  <si>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</si>
  <si>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</si>
  <si>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</si>
  <si>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</si>
  <si>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</si>
  <si>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</si>
  <si>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</si>
  <si>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</si>
  <si>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</si>
  <si>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</si>
  <si>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</si>
  <si>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</si>
  <si>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</si>
  <si>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</si>
  <si>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</si>
  <si>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</si>
  <si>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</si>
  <si>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</si>
  <si>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</si>
  <si>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</si>
  <si>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</si>
  <si>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</si>
  <si>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</si>
  <si>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</si>
  <si>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</si>
  <si>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</si>
  <si>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</si>
  <si>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</si>
  <si>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</si>
  <si>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</si>
  <si>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</si>
  <si>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</si>
  <si>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</si>
  <si>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</si>
  <si>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</si>
  <si>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</si>
  <si>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</si>
  <si>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</si>
  <si>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</si>
  <si>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</si>
  <si>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</si>
  <si>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</si>
  <si>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</si>
  <si>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</si>
  <si>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</si>
  <si>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</si>
  <si>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</si>
  <si>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</si>
  <si>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</si>
  <si>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</si>
  <si>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</si>
  <si>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</si>
  <si>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</si>
  <si>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</si>
  <si>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</si>
  <si>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</si>
  <si>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</si>
  <si>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</si>
  <si>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</si>
  <si>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</si>
  <si>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</si>
  <si>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</si>
  <si>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</si>
  <si>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</si>
  <si>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</si>
  <si>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</si>
  <si>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</si>
  <si>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</si>
  <si>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</si>
  <si>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</si>
  <si>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</si>
  <si>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</si>
  <si>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</si>
  <si>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</si>
  <si>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</si>
  <si>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</si>
  <si>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</si>
  <si>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</si>
  <si>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</si>
  <si>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</si>
  <si>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</si>
  <si>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</si>
  <si>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</si>
  <si>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</si>
  <si>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</si>
  <si>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</si>
  <si>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</si>
  <si>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</si>
  <si>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</si>
  <si>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</si>
  <si>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</si>
  <si>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</si>
  <si>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</si>
  <si>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</si>
  <si>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</si>
  <si>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</si>
  <si>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</si>
  <si>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</si>
  <si>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</si>
  <si>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</si>
  <si>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</si>
  <si>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</si>
  <si>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</si>
  <si>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</si>
  <si>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</si>
  <si>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</si>
  <si>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</si>
  <si>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</si>
  <si>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</si>
  <si>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</si>
  <si>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</si>
  <si>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</si>
  <si>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</si>
  <si>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</si>
  <si>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</si>
  <si>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</si>
  <si>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</si>
  <si>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</si>
  <si>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</si>
  <si>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</si>
  <si>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</si>
  <si>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</si>
  <si>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</si>
  <si>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</si>
  <si>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</si>
  <si>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</si>
  <si>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</si>
  <si>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</si>
  <si>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</si>
  <si>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</si>
  <si>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</si>
  <si>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</si>
  <si>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</si>
  <si>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</si>
  <si>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</si>
  <si>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</si>
  <si>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</si>
  <si>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</si>
  <si>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</si>
  <si>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</si>
  <si>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</si>
  <si>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</si>
  <si>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</si>
  <si>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</si>
  <si>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</si>
  <si>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</si>
  <si>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</si>
  <si>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</si>
  <si>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</si>
  <si>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</si>
  <si>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</si>
  <si>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</si>
  <si>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</si>
  <si>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</si>
  <si>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</si>
  <si>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</si>
  <si>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</si>
  <si>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</si>
  <si>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</si>
  <si>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</si>
  <si>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</si>
  <si>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</si>
  <si>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</si>
  <si>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</si>
  <si>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</si>
  <si>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</si>
  <si>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</si>
  <si>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</si>
  <si>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</si>
  <si>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</si>
  <si>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</si>
  <si>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</si>
  <si>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</si>
  <si>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</si>
  <si>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</si>
  <si>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</si>
  <si>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</si>
  <si>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</si>
  <si>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</si>
  <si>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</si>
  <si>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</si>
  <si>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</si>
  <si>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</si>
  <si>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</si>
  <si>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</si>
  <si>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</si>
  <si>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</si>
  <si>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</si>
  <si>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</si>
  <si>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</si>
  <si>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</si>
  <si>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</si>
  <si>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</si>
  <si>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</si>
  <si>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</si>
  <si>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</si>
  <si>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</si>
  <si>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</si>
  <si>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</si>
  <si>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</si>
  <si>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</si>
  <si>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</si>
  <si>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</si>
  <si>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</si>
  <si>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</si>
  <si>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</si>
  <si>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</si>
  <si>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</si>
  <si>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</si>
  <si>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</si>
  <si>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</si>
  <si>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</si>
  <si>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</si>
  <si>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</si>
  <si>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</si>
  <si>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</si>
  <si>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</si>
  <si>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</si>
  <si>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</si>
  <si>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</si>
  <si>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</si>
  <si>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</si>
  <si>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</si>
  <si>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</si>
  <si>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</si>
  <si>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</si>
  <si>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</si>
  <si>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</si>
  <si>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</si>
  <si>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</si>
  <si>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</si>
  <si>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</si>
  <si>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</si>
  <si>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</si>
  <si>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</si>
  <si>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</si>
  <si>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</si>
  <si>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</si>
  <si>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</si>
  <si>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</si>
  <si>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</si>
  <si>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</si>
  <si>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</si>
  <si>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</si>
  <si>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</si>
  <si>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</si>
  <si>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</si>
  <si>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</si>
  <si>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</si>
  <si>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</si>
  <si>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</si>
  <si>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</si>
  <si>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</si>
  <si>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</si>
  <si>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</si>
  <si>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</si>
  <si>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</si>
  <si>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</si>
  <si>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</si>
  <si>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</si>
  <si>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</si>
  <si>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</si>
  <si>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</si>
  <si>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</si>
  <si>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</si>
  <si>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</si>
  <si>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</si>
  <si>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</si>
  <si>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</si>
  <si>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</si>
  <si>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</si>
  <si>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</si>
  <si>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</si>
  <si>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</si>
  <si>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</si>
  <si>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</si>
  <si>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</si>
  <si>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</si>
  <si>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</si>
  <si>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</si>
  <si>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</si>
  <si>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</si>
  <si>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</si>
  <si>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</si>
  <si>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</si>
  <si>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</si>
  <si>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</si>
  <si>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</si>
  <si>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</si>
  <si>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</si>
  <si>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</si>
  <si>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</si>
  <si>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</si>
  <si>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</si>
  <si>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</si>
  <si>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</si>
  <si>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</si>
  <si>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</si>
  <si>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</si>
  <si>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</si>
  <si>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</si>
  <si>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</si>
  <si>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</si>
  <si>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</si>
  <si>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</si>
  <si>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</si>
  <si>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</si>
  <si>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</si>
  <si>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</si>
  <si>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</si>
  <si>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</si>
  <si>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</si>
  <si>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</si>
  <si>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</si>
  <si>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</si>
  <si>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</si>
  <si>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</si>
  <si>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</si>
  <si>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</si>
  <si>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</si>
  <si>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</si>
  <si>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</si>
  <si>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</si>
  <si>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</si>
  <si>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</si>
  <si>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</si>
  <si>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</si>
  <si>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</si>
  <si>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</si>
  <si>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</si>
  <si>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</si>
  <si>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</si>
  <si>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</si>
  <si>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</si>
  <si>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</si>
  <si>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</si>
  <si>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</si>
  <si>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</si>
  <si>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</si>
  <si>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</si>
  <si>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</si>
  <si>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</si>
  <si>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</si>
  <si>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</si>
  <si>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</si>
  <si>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</si>
  <si>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</si>
  <si>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</si>
  <si>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</si>
  <si>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</si>
  <si>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</si>
  <si>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</si>
  <si>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</si>
  <si>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</si>
  <si>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</si>
  <si>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</si>
  <si>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</si>
  <si>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</si>
  <si>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</si>
  <si>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</si>
  <si>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</si>
  <si>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</si>
  <si>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</si>
  <si>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</si>
  <si>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</si>
  <si>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</si>
  <si>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</si>
  <si>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</si>
  <si>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</si>
  <si>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</si>
  <si>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</si>
  <si>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</si>
  <si>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</si>
  <si>
    <t>DEVOLUÇÃO</t>
  </si>
  <si>
    <t>STATUS</t>
  </si>
  <si>
    <t>VÁLIDO</t>
  </si>
  <si>
    <t>702-8393958-4950640 · devolução aprovada 09/09</t>
  </si>
  <si>
    <t>701-5825355-7110610 - devolução aprovada 17/09</t>
  </si>
  <si>
    <t xml:space="preserve">702-4604095-6119462 </t>
  </si>
  <si>
    <t>PI P3070 — clique em agosto (vitalício 3 compras)</t>
  </si>
  <si>
    <t>sem atribuição</t>
  </si>
  <si>
    <t>Geral DBA — "porta guarda chuva aço" · Melhor Oferta 9.9</t>
  </si>
  <si>
    <t>Melhor Oferta 9.9 — sem atribuição</t>
  </si>
  <si>
    <t>auto PXP — substitutes (ASIN do PXM) · Melhor Oferta 9.9</t>
  </si>
  <si>
    <t>Geral DBA — halo: anúncio L2460-B → L2470-B</t>
  </si>
  <si>
    <t>PI PXM — alvo PXP · Melhor Oferta 9.9 (−15%)</t>
  </si>
  <si>
    <t>PI P3070 — alvo próprio B0H63FKGPJ</t>
  </si>
  <si>
    <t>Geral DBA — substitutes</t>
  </si>
  <si>
    <t>Geral DBA — loose "lixeira banheiro inox c tampa"</t>
  </si>
  <si>
    <t>L2025-T ×3</t>
  </si>
  <si>
    <t>promo qtd 5% (receita real 378,76)</t>
  </si>
  <si>
    <t>desconto no preço 5% — sem atribuição</t>
  </si>
  <si>
    <t>1ª venda do EGC — orgânica</t>
  </si>
  <si>
    <t>Geral DBA — "suporte extintor 6 kg" · desconto 5% + promo qtd (real 551,08)</t>
  </si>
  <si>
    <t>Geral DBA — substitutes (gráfico diário: 26/09) · desconto 5%</t>
  </si>
  <si>
    <t>Geral DBA — "lixeira inox banheiro" · 1ª venda do L1623-T</t>
  </si>
  <si>
    <t>Geral DBA — substitutes "lixeira grande 100l" · 1ª venda do P4080</t>
  </si>
  <si>
    <t>PI P3070 — alvo B0CTMZHJFJ</t>
  </si>
  <si>
    <t>Setembro</t>
  </si>
  <si>
    <t>Fechamento Setembro (05/10/26): valores a preço do painel; 2 pedidos com promo 5% somam −R$ 48,94 vs receita real. Atribuição cruzada com Produtos Anunciados e Termos 01–30/09; vitalício da PI P3070 e gráfico diário da Geral fecham 03/09 e 26/09. BR × Registro: bijeção exata.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</si>
</sst>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4" formatCode="_-&quot;R$&quot;\ * #,##0.00_-;\-&quot;R$&quot;\ * #,##0.00_-;_-&quot;R$&quot;\ * &quot;-&quot;??_-;_-@_-"/>
    <numFmt numFmtId="164" formatCode="0.0%"/>
    <numFmt numFmtId="165" formatCode="&quot;R$ &quot;#,##0.00"/>
    <numFmt numFmtId="166" formatCode="m/d/yyyy"/>
  </numFmts>
  <fonts count="13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  <font>
      <sz val="11"/>
      <color theme="1"/>
      <name val="Calibri"/>
      <family val="2"/>
      <charset val="1"/>
    </font>
    <font>
      <sz val="9"/>
      <color rgb="FFEAECF0"/>
      <name val="Courier New"/>
      <family val="3"/>
    </font>
    <font>
      <sz val="10"/>
      <color rgb="FFEAECF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4" fontId="10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  <xf numFmtId="16" fontId="3" fillId="0" borderId="0" xfId="0" applyNumberFormat="1" applyFont="1" applyAlignment="1"/>
    <xf numFmtId="16" fontId="11" fillId="0" borderId="0" xfId="0" applyNumberFormat="1" applyFont="1" applyAlignment="1">
      <alignment vertical="center"/>
    </xf>
    <xf numFmtId="16" fontId="12" fillId="0" borderId="0" xfId="0" applyNumberFormat="1" applyFont="1" applyAlignment="1">
      <alignment vertical="center"/>
    </xf>
    <xf numFmtId="44" fontId="3" fillId="0" borderId="0" xfId="1" applyNumberFormat="1" applyFont="1" applyAlignment="1"/>
  </cellXfs>
  <cellStyles count="2">
    <cellStyle name="Moeda" xfId="1" builtinId="4"/>
    <cellStyle name="Normal" xfId="0" builtinId="0"/>
  </cellStyles>
  <dxfs count="4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7"/>
  <sheetViews>
    <sheetView tabSelected="1" topLeftCell="E1" zoomScaleNormal="100" workbookViewId="0">
      <pane ySplit="5" topLeftCell="A84" activePane="bottomLeft" state="frozen"/>
      <selection pane="bottomLeft" activeCell="S98" sqref="S98:S100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  <col min="19" max="19" width="13.140625" customWidth="1"/>
  </cols>
  <sheetData>
    <row r="1" spans="1:19" ht="16.5" customHeight="1" x14ac:dyDescent="0.25">
      <c r="A1" s="2" t="s">
        <v>188</v>
      </c>
    </row>
    <row r="2" spans="1:19" ht="15" customHeight="1" x14ac:dyDescent="0.25">
      <c r="A2" s="5" t="s">
        <v>189</v>
      </c>
    </row>
    <row r="3" spans="1:19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9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  <c r="S5" s="18" t="s">
        <v>557</v>
      </c>
    </row>
    <row r="6" spans="1:19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  <c r="S6" t="s">
        <v>558</v>
      </c>
    </row>
    <row r="7" spans="1:19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  <c r="S7" t="s">
        <v>558</v>
      </c>
    </row>
    <row r="8" spans="1:19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  <c r="S8" t="s">
        <v>558</v>
      </c>
    </row>
    <row r="9" spans="1:19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  <c r="S9" t="s">
        <v>558</v>
      </c>
    </row>
    <row r="10" spans="1:19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  <c r="S10" t="s">
        <v>558</v>
      </c>
    </row>
    <row r="11" spans="1:19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  <c r="S11" t="s">
        <v>558</v>
      </c>
    </row>
    <row r="12" spans="1:19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  <c r="S12" t="s">
        <v>558</v>
      </c>
    </row>
    <row r="13" spans="1:19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  <c r="S13" t="s">
        <v>558</v>
      </c>
    </row>
    <row r="14" spans="1:19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  <c r="S14" t="s">
        <v>558</v>
      </c>
    </row>
    <row r="15" spans="1:19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  <c r="S15" t="s">
        <v>558</v>
      </c>
    </row>
    <row r="16" spans="1:19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  <c r="S16" t="s">
        <v>558</v>
      </c>
    </row>
    <row r="17" spans="1:19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  <c r="S17" t="s">
        <v>558</v>
      </c>
    </row>
    <row r="18" spans="1:19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  <c r="S18" t="s">
        <v>558</v>
      </c>
    </row>
    <row r="19" spans="1:19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  <c r="S19" t="s">
        <v>558</v>
      </c>
    </row>
    <row r="20" spans="1:19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  <c r="S20" t="s">
        <v>558</v>
      </c>
    </row>
    <row r="21" spans="1:19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  <c r="S21" t="s">
        <v>558</v>
      </c>
    </row>
    <row r="22" spans="1:19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  <c r="S22" t="s">
        <v>558</v>
      </c>
    </row>
    <row r="23" spans="1:19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  <c r="S23" t="s">
        <v>558</v>
      </c>
    </row>
    <row r="24" spans="1:19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  <c r="S24" t="s">
        <v>558</v>
      </c>
    </row>
    <row r="25" spans="1:19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  <c r="S25" t="s">
        <v>558</v>
      </c>
    </row>
    <row r="26" spans="1:19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  <c r="S26" t="s">
        <v>558</v>
      </c>
    </row>
    <row r="27" spans="1:19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  <c r="S27" t="s">
        <v>558</v>
      </c>
    </row>
    <row r="28" spans="1:19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  <c r="S28" t="s">
        <v>558</v>
      </c>
    </row>
    <row r="29" spans="1:19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  <c r="S29" t="s">
        <v>558</v>
      </c>
    </row>
    <row r="30" spans="1:19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  <c r="S30" t="s">
        <v>558</v>
      </c>
    </row>
    <row r="31" spans="1:19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  <c r="S31" t="s">
        <v>558</v>
      </c>
    </row>
    <row r="32" spans="1:19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  <c r="S32" t="s">
        <v>558</v>
      </c>
    </row>
    <row r="33" spans="1:19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  <c r="S33" t="s">
        <v>558</v>
      </c>
    </row>
    <row r="34" spans="1:19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  <c r="S34" t="s">
        <v>558</v>
      </c>
    </row>
    <row r="35" spans="1:19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  <c r="S35" t="s">
        <v>558</v>
      </c>
    </row>
    <row r="36" spans="1:19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  <c r="S36" t="s">
        <v>558</v>
      </c>
    </row>
    <row r="37" spans="1:19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  <c r="S37" t="s">
        <v>558</v>
      </c>
    </row>
    <row r="38" spans="1:19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  <c r="S38" t="s">
        <v>558</v>
      </c>
    </row>
    <row r="39" spans="1:19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  <c r="S39" t="s">
        <v>558</v>
      </c>
    </row>
    <row r="40" spans="1:19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  <c r="S40" t="s">
        <v>558</v>
      </c>
    </row>
    <row r="41" spans="1:19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  <c r="S41" t="s">
        <v>558</v>
      </c>
    </row>
    <row r="42" spans="1:19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  <c r="S42" t="s">
        <v>558</v>
      </c>
    </row>
    <row r="43" spans="1:19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  <c r="S43" t="s">
        <v>558</v>
      </c>
    </row>
    <row r="44" spans="1:19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  <c r="S44" t="s">
        <v>558</v>
      </c>
    </row>
    <row r="45" spans="1:19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  <c r="S45" t="s">
        <v>558</v>
      </c>
    </row>
    <row r="46" spans="1:19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  <c r="S46" t="s">
        <v>558</v>
      </c>
    </row>
    <row r="47" spans="1:19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  <c r="S47" t="s">
        <v>558</v>
      </c>
    </row>
    <row r="48" spans="1:19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  <c r="S48" t="s">
        <v>558</v>
      </c>
    </row>
    <row r="49" spans="1:19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  <c r="S49" t="s">
        <v>558</v>
      </c>
    </row>
    <row r="50" spans="1:19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  <c r="S50" t="s">
        <v>558</v>
      </c>
    </row>
    <row r="51" spans="1:19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  <c r="S51" t="s">
        <v>558</v>
      </c>
    </row>
    <row r="52" spans="1:19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  <c r="S52" t="s">
        <v>558</v>
      </c>
    </row>
    <row r="53" spans="1:19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 t="s">
        <v>560</v>
      </c>
      <c r="R53" s="19" t="s">
        <v>207</v>
      </c>
      <c r="S53" t="s">
        <v>556</v>
      </c>
    </row>
    <row r="54" spans="1:19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 t="s">
        <v>559</v>
      </c>
      <c r="R54" s="19" t="s">
        <v>207</v>
      </c>
      <c r="S54" t="s">
        <v>556</v>
      </c>
    </row>
    <row r="55" spans="1:19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R55" s="19" t="s">
        <v>210</v>
      </c>
      <c r="S55" t="s">
        <v>558</v>
      </c>
    </row>
    <row r="56" spans="1:19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 t="s">
        <v>207</v>
      </c>
      <c r="S56" t="s">
        <v>558</v>
      </c>
    </row>
    <row r="57" spans="1:19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 t="s">
        <v>210</v>
      </c>
      <c r="S57" t="s">
        <v>558</v>
      </c>
    </row>
    <row r="58" spans="1:19" ht="15" customHeight="1" x14ac:dyDescent="0.25">
      <c r="A58" s="32">
        <v>46273</v>
      </c>
      <c r="B58" s="19" t="s">
        <v>126</v>
      </c>
      <c r="C58" s="19">
        <v>2</v>
      </c>
      <c r="D58" s="19" t="s">
        <v>408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 t="s">
        <v>207</v>
      </c>
      <c r="S58" t="s">
        <v>558</v>
      </c>
    </row>
    <row r="59" spans="1:19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 t="s">
        <v>210</v>
      </c>
      <c r="S59" t="s">
        <v>558</v>
      </c>
    </row>
    <row r="60" spans="1:19" ht="15" customHeight="1" x14ac:dyDescent="0.25">
      <c r="A60" s="32">
        <v>46277</v>
      </c>
      <c r="B60" s="19" t="s">
        <v>138</v>
      </c>
      <c r="C60" s="19">
        <v>1</v>
      </c>
      <c r="D60" s="19" t="s">
        <v>208</v>
      </c>
      <c r="E60" s="20">
        <f>IF($B60="","",INDEX(Simulador!$D$7:$D$232,MATCH($B60,Simulador!$A$7:$A$232,0)))</f>
        <v>398.35</v>
      </c>
      <c r="F60" s="20"/>
      <c r="G60" s="13">
        <f t="shared" si="6"/>
        <v>398.35</v>
      </c>
      <c r="H60" s="8" t="str">
        <f>IF($B60="","",INDEX(Simulador!$B$7:$B$232,MATCH($B60,Simulador!$A$7:$A$232,0)))</f>
        <v>Medios</v>
      </c>
      <c r="I60" s="13">
        <f>IF(OR(H60="",$D60=""),"",INDEX(Ref_Frete!$B$2:$G$54,MATCH($D60,Ref_Frete!$A$2:$A$54,0),IF(H60="Pequenos",2,IF(H60="Medios",4,6))))</f>
        <v>69.900000000000006</v>
      </c>
      <c r="J60" s="20">
        <v>35.01</v>
      </c>
      <c r="K60" s="20">
        <f t="shared" si="11"/>
        <v>63.21</v>
      </c>
      <c r="L60" s="13">
        <f>IF(OR($B60="",$C60=""),"",$C60*INDEX(Simulador!$F$7:$F$232,MATCH($B60,Simulador!$A$7:$A$232,0)))</f>
        <v>211.1</v>
      </c>
      <c r="M60" s="13">
        <f t="shared" si="7"/>
        <v>39.835000000000008</v>
      </c>
      <c r="N60" s="35">
        <f t="shared" si="8"/>
        <v>119.09500000000003</v>
      </c>
      <c r="O60" s="12">
        <f t="shared" si="9"/>
        <v>0.29897075436174225</v>
      </c>
      <c r="P60" s="22" t="str">
        <f t="shared" si="10"/>
        <v>ACIMA DA META (&gt;20%)</v>
      </c>
      <c r="Q60" s="19"/>
      <c r="R60" s="19" t="s">
        <v>210</v>
      </c>
      <c r="S60" t="s">
        <v>558</v>
      </c>
    </row>
    <row r="61" spans="1:19" ht="15" customHeight="1" x14ac:dyDescent="0.25">
      <c r="A61" s="32">
        <v>46278</v>
      </c>
      <c r="B61" s="19" t="s">
        <v>125</v>
      </c>
      <c r="C61" s="19">
        <v>3</v>
      </c>
      <c r="D61" s="19" t="s">
        <v>396</v>
      </c>
      <c r="E61" s="20">
        <f>IF($B61="","",INDEX(Simulador!$D$7:$D$232,MATCH($B61,Simulador!$A$7:$A$232,0)))</f>
        <v>203.54</v>
      </c>
      <c r="F61" s="20">
        <v>91.59</v>
      </c>
      <c r="G61" s="13">
        <f t="shared" si="6"/>
        <v>519.03</v>
      </c>
      <c r="H61" s="8" t="str">
        <f>IF($B61="","",INDEX(Simulador!$B$7:$B$232,MATCH($B61,Simulador!$A$7:$A$232,0)))</f>
        <v>Pequenos</v>
      </c>
      <c r="I61" s="13">
        <f>IF(OR(H61="",$D61=""),"",INDEX(Ref_Frete!$B$2:$G$54,MATCH($D61,Ref_Frete!$A$2:$A$54,0),IF(H61="Pequenos",2,IF(H61="Medios",4,6))))</f>
        <v>82</v>
      </c>
      <c r="J61" s="20">
        <v>77.92</v>
      </c>
      <c r="K61" s="20">
        <f t="shared" si="11"/>
        <v>81.14</v>
      </c>
      <c r="L61" s="13">
        <f>IF(OR($B61="",$C61=""),"",$C61*INDEX(Simulador!$F$7:$F$232,MATCH($B61,Simulador!$A$7:$A$232,0)))</f>
        <v>308.39999999999998</v>
      </c>
      <c r="M61" s="13">
        <f t="shared" si="7"/>
        <v>51.902999999999999</v>
      </c>
      <c r="N61" s="35">
        <f t="shared" si="8"/>
        <v>81.667000000000058</v>
      </c>
      <c r="O61" s="12">
        <f t="shared" si="9"/>
        <v>0.157345432826619</v>
      </c>
      <c r="P61" s="22" t="str">
        <f t="shared" si="10"/>
        <v>DENTRO DA META (15-20%)</v>
      </c>
      <c r="Q61" s="19"/>
      <c r="R61" s="19" t="s">
        <v>210</v>
      </c>
      <c r="S61" t="s">
        <v>558</v>
      </c>
    </row>
    <row r="62" spans="1:19" ht="15" customHeight="1" x14ac:dyDescent="0.25">
      <c r="A62" s="32">
        <v>46278</v>
      </c>
      <c r="B62" s="19" t="s">
        <v>104</v>
      </c>
      <c r="C62" s="19">
        <v>2</v>
      </c>
      <c r="D62" s="19" t="s">
        <v>211</v>
      </c>
      <c r="E62" s="20">
        <f>IF($B62="","",INDEX(Simulador!$D$7:$D$232,MATCH($B62,Simulador!$A$7:$A$232,0)))</f>
        <v>129.9</v>
      </c>
      <c r="F62" s="20"/>
      <c r="G62" s="13">
        <f t="shared" si="6"/>
        <v>259.8</v>
      </c>
      <c r="H62" s="8" t="str">
        <f>IF($B62="","",INDEX(Simulador!$B$7:$B$232,MATCH($B62,Simulador!$A$7:$A$232,0)))</f>
        <v>Pequenos</v>
      </c>
      <c r="I62" s="13">
        <f>IF(OR(H62="",$D62=""),"",INDEX(Ref_Frete!$B$2:$G$54,MATCH($D62,Ref_Frete!$A$2:$A$54,0),IF(H62="Pequenos",2,IF(H62="Medios",4,6))))</f>
        <v>12.9</v>
      </c>
      <c r="J62" s="20">
        <v>12.87</v>
      </c>
      <c r="K62" s="20">
        <f t="shared" si="11"/>
        <v>36.81</v>
      </c>
      <c r="L62" s="13">
        <f>IF(OR($B62="",$C62=""),"",$C62*INDEX(Simulador!$F$7:$F$232,MATCH($B62,Simulador!$A$7:$A$232,0)))</f>
        <v>121.24</v>
      </c>
      <c r="M62" s="13">
        <f t="shared" si="7"/>
        <v>25.980000000000004</v>
      </c>
      <c r="N62" s="35">
        <f t="shared" si="8"/>
        <v>75.799999999999983</v>
      </c>
      <c r="O62" s="12">
        <f t="shared" si="9"/>
        <v>0.29176289453425702</v>
      </c>
      <c r="P62" s="22" t="str">
        <f t="shared" si="10"/>
        <v>ACIMA DA META (&gt;20%)</v>
      </c>
      <c r="Q62" s="19" t="s">
        <v>561</v>
      </c>
      <c r="R62" s="19" t="s">
        <v>207</v>
      </c>
      <c r="S62" t="s">
        <v>556</v>
      </c>
    </row>
    <row r="63" spans="1:19" ht="15" customHeight="1" x14ac:dyDescent="0.25">
      <c r="A63" s="32">
        <v>46279</v>
      </c>
      <c r="B63" s="19" t="s">
        <v>37</v>
      </c>
      <c r="C63" s="19">
        <v>1</v>
      </c>
      <c r="D63" s="19" t="s">
        <v>211</v>
      </c>
      <c r="E63" s="20">
        <f>IF($B63="","",INDEX(Simulador!$D$7:$D$232,MATCH($B63,Simulador!$A$7:$A$232,0)))</f>
        <v>116</v>
      </c>
      <c r="F63" s="20"/>
      <c r="G63" s="13">
        <f t="shared" si="6"/>
        <v>116</v>
      </c>
      <c r="H63" s="8" t="str">
        <f>IF($B63="","",INDEX(Simulador!$B$7:$B$232,MATCH($B63,Simulador!$A$7:$A$232,0)))</f>
        <v>Pequenos</v>
      </c>
      <c r="I63" s="13">
        <f>IF(OR(H63="",$D63=""),"",INDEX(Ref_Frete!$B$2:$G$54,MATCH($D63,Ref_Frete!$A$2:$A$54,0),IF(H63="Pequenos",2,IF(H63="Medios",4,6))))</f>
        <v>12.9</v>
      </c>
      <c r="J63" s="20">
        <v>10.39</v>
      </c>
      <c r="K63" s="20">
        <f t="shared" si="11"/>
        <v>17.399999999999999</v>
      </c>
      <c r="L63" s="13">
        <f>IF(OR($B63="",$C63=""),"",$C63*INDEX(Simulador!$F$7:$F$232,MATCH($B63,Simulador!$A$7:$A$232,0)))</f>
        <v>54.47</v>
      </c>
      <c r="M63" s="13">
        <f t="shared" si="7"/>
        <v>11.600000000000001</v>
      </c>
      <c r="N63" s="35">
        <f t="shared" si="8"/>
        <v>35.040000000000013</v>
      </c>
      <c r="O63" s="12">
        <f t="shared" si="9"/>
        <v>0.30206896551724149</v>
      </c>
      <c r="P63" s="22" t="str">
        <f t="shared" si="10"/>
        <v>ACIMA DA META (&gt;20%)</v>
      </c>
      <c r="Q63" s="19"/>
      <c r="R63" s="19" t="s">
        <v>207</v>
      </c>
      <c r="S63" t="s">
        <v>558</v>
      </c>
    </row>
    <row r="64" spans="1:19" ht="15" customHeight="1" x14ac:dyDescent="0.25">
      <c r="A64" s="32">
        <v>46280</v>
      </c>
      <c r="B64" s="19" t="s">
        <v>57</v>
      </c>
      <c r="C64" s="19">
        <v>1</v>
      </c>
      <c r="D64" s="19" t="s">
        <v>211</v>
      </c>
      <c r="E64" s="20">
        <f>IF($B64="","",INDEX(Simulador!$D$7:$D$232,MATCH($B64,Simulador!$A$7:$A$232,0)))</f>
        <v>616.17999999999995</v>
      </c>
      <c r="F64" s="20"/>
      <c r="G64" s="13">
        <f t="shared" si="6"/>
        <v>616.17999999999995</v>
      </c>
      <c r="H64" s="8" t="str">
        <f>IF($B64="","",INDEX(Simulador!$B$7:$B$232,MATCH($B64,Simulador!$A$7:$A$232,0)))</f>
        <v>Medios</v>
      </c>
      <c r="I64" s="13">
        <f>IF(OR(H64="",$D64=""),"",INDEX(Ref_Frete!$B$2:$G$54,MATCH($D64,Ref_Frete!$A$2:$A$54,0),IF(H64="Pequenos",2,IF(H64="Medios",4,6))))</f>
        <v>34.9</v>
      </c>
      <c r="J64" s="20">
        <v>35.119999999999997</v>
      </c>
      <c r="K64" s="20">
        <f t="shared" si="11"/>
        <v>87.9</v>
      </c>
      <c r="L64" s="13">
        <f>IF(OR($B64="",$C64=""),"",$C64*INDEX(Simulador!$F$7:$F$232,MATCH($B64,Simulador!$A$7:$A$232,0)))</f>
        <v>307.26</v>
      </c>
      <c r="M64" s="13">
        <f t="shared" si="7"/>
        <v>61.617999999999995</v>
      </c>
      <c r="N64" s="35">
        <f t="shared" si="8"/>
        <v>159.18199999999996</v>
      </c>
      <c r="O64" s="12">
        <f t="shared" si="9"/>
        <v>0.25833684962186371</v>
      </c>
      <c r="P64" s="22" t="str">
        <f t="shared" si="10"/>
        <v>ACIMA DA META (&gt;20%)</v>
      </c>
      <c r="Q64" s="19"/>
      <c r="R64" s="19" t="s">
        <v>210</v>
      </c>
      <c r="S64" t="s">
        <v>558</v>
      </c>
    </row>
    <row r="65" spans="1:19" ht="15" customHeight="1" x14ac:dyDescent="0.25">
      <c r="A65" s="32">
        <v>46280</v>
      </c>
      <c r="B65" s="19" t="s">
        <v>106</v>
      </c>
      <c r="C65" s="19">
        <v>1</v>
      </c>
      <c r="D65" s="19" t="s">
        <v>375</v>
      </c>
      <c r="E65" s="20">
        <f>IF($B65="","",INDEX(Simulador!$D$7:$D$232,MATCH($B65,Simulador!$A$7:$A$232,0)))</f>
        <v>132.9</v>
      </c>
      <c r="F65" s="20"/>
      <c r="G65" s="13">
        <f>IF(OR($B65="",$C65=""),"",$C65*E65-IF(F65="",0,F65))</f>
        <v>132.9</v>
      </c>
      <c r="H65" s="8" t="str">
        <f>IF($B65="","",INDEX(Simulador!$B$7:$B$232,MATCH($B65,Simulador!$A$7:$A$232,0)))</f>
        <v>Pequenos</v>
      </c>
      <c r="I65" s="13">
        <f>IF(OR(H65="",$D65=""),"",INDEX(Ref_Frete!$B$2:$G$54,MATCH($D65,Ref_Frete!$A$2:$A$54,0),IF(H65="Pequenos",2,IF(H65="Medios",4,6))))</f>
        <v>52</v>
      </c>
      <c r="J65" s="20">
        <v>19.260000000000002</v>
      </c>
      <c r="K65" s="20">
        <f t="shared" si="11"/>
        <v>24.96</v>
      </c>
      <c r="L65" s="13">
        <f>IF(OR($B65="",$C65=""),"",$C65*INDEX(Simulador!$F$7:$F$232,MATCH($B65,Simulador!$A$7:$A$232,0)))</f>
        <v>63.11</v>
      </c>
      <c r="M65" s="13">
        <f t="shared" si="7"/>
        <v>13.290000000000001</v>
      </c>
      <c r="N65" s="35">
        <f t="shared" si="8"/>
        <v>64.28</v>
      </c>
      <c r="O65" s="12">
        <f t="shared" si="9"/>
        <v>0.48367193378480061</v>
      </c>
      <c r="P65" s="22" t="str">
        <f t="shared" si="10"/>
        <v>ACIMA DA META (&gt;20%)</v>
      </c>
      <c r="Q65" s="19"/>
      <c r="R65" s="19" t="s">
        <v>210</v>
      </c>
      <c r="S65" t="s">
        <v>558</v>
      </c>
    </row>
    <row r="66" spans="1:19" ht="15" customHeight="1" x14ac:dyDescent="0.25">
      <c r="A66" s="32">
        <v>46284</v>
      </c>
      <c r="B66" s="19" t="s">
        <v>106</v>
      </c>
      <c r="C66" s="19">
        <v>1</v>
      </c>
      <c r="D66" s="19" t="s">
        <v>97</v>
      </c>
      <c r="E66" s="20">
        <f>IF($B66="","",INDEX(Simulador!$D$7:$D$232,MATCH($B66,Simulador!$A$7:$A$232,0)))</f>
        <v>132.9</v>
      </c>
      <c r="F66" s="20"/>
      <c r="G66" s="13">
        <f>IF(OR($B66="",$C66=""),"",$C66*E66-IF(F66="",0,F66))</f>
        <v>132.9</v>
      </c>
      <c r="H66" s="8" t="str">
        <f>IF($B66="","",INDEX(Simulador!$B$7:$B$232,MATCH($B66,Simulador!$A$7:$A$232,0)))</f>
        <v>Pequenos</v>
      </c>
      <c r="I66" s="13">
        <f>IF(OR(H66="",$D66=""),"",INDEX(Ref_Frete!$B$2:$G$54,MATCH($D66,Ref_Frete!$A$2:$A$54,0),IF(H66="Pequenos",2,IF(H66="Medios",4,6))))</f>
        <v>24.9</v>
      </c>
      <c r="J66" s="20">
        <v>20.49</v>
      </c>
      <c r="K66" s="20">
        <f t="shared" si="11"/>
        <v>21.3</v>
      </c>
      <c r="L66" s="13">
        <f>IF(OR($B66="",$C66=""),"",$C66*INDEX(Simulador!$F$7:$F$232,MATCH($B66,Simulador!$A$7:$A$232,0)))</f>
        <v>63.11</v>
      </c>
      <c r="M66" s="13">
        <f t="shared" si="7"/>
        <v>13.290000000000001</v>
      </c>
      <c r="N66" s="35">
        <f t="shared" si="8"/>
        <v>39.610000000000007</v>
      </c>
      <c r="O66" s="12">
        <f t="shared" si="9"/>
        <v>0.29804364183596693</v>
      </c>
      <c r="P66" s="22" t="str">
        <f t="shared" si="10"/>
        <v>ACIMA DA META (&gt;20%)</v>
      </c>
      <c r="Q66" s="19"/>
      <c r="R66" s="19" t="s">
        <v>210</v>
      </c>
      <c r="S66" t="s">
        <v>558</v>
      </c>
    </row>
    <row r="67" spans="1:19" ht="15" customHeight="1" x14ac:dyDescent="0.25">
      <c r="A67" s="32">
        <v>46285</v>
      </c>
      <c r="B67" s="19" t="s">
        <v>106</v>
      </c>
      <c r="C67" s="19">
        <v>3</v>
      </c>
      <c r="D67" s="19" t="s">
        <v>211</v>
      </c>
      <c r="E67" s="20">
        <f>IF($B67="","",INDEX(Simulador!$D$7:$D$232,MATCH($B67,Simulador!$A$7:$A$232,0)))</f>
        <v>132.9</v>
      </c>
      <c r="F67" s="20">
        <v>19.940000000000001</v>
      </c>
      <c r="G67" s="13">
        <f t="shared" si="6"/>
        <v>378.76000000000005</v>
      </c>
      <c r="H67" s="8" t="str">
        <f>IF($B67="","",INDEX(Simulador!$B$7:$B$232,MATCH($B67,Simulador!$A$7:$A$232,0)))</f>
        <v>Pequenos</v>
      </c>
      <c r="I67" s="13">
        <f>IF(OR(H67="",$D67=""),"",INDEX(Ref_Frete!$B$2:$G$54,MATCH($D67,Ref_Frete!$A$2:$A$54,0),IF(H67="Pequenos",2,IF(H67="Medios",4,6))))</f>
        <v>12.9</v>
      </c>
      <c r="J67" s="20">
        <v>22.01</v>
      </c>
      <c r="K67" s="20">
        <f t="shared" si="11"/>
        <v>52.87</v>
      </c>
      <c r="L67" s="13">
        <f>IF(OR($B67="",$C67=""),"",$C67*INDEX(Simulador!$F$7:$F$232,MATCH($B67,Simulador!$A$7:$A$232,0)))</f>
        <v>189.32999999999998</v>
      </c>
      <c r="M67" s="13">
        <f t="shared" si="7"/>
        <v>37.876000000000005</v>
      </c>
      <c r="N67" s="35">
        <f t="shared" si="8"/>
        <v>89.574000000000041</v>
      </c>
      <c r="O67" s="12">
        <f t="shared" si="9"/>
        <v>0.23649276586756793</v>
      </c>
      <c r="P67" s="22" t="str">
        <f t="shared" si="10"/>
        <v>ACIMA DA META (&gt;20%)</v>
      </c>
      <c r="Q67" s="19"/>
      <c r="R67" s="19" t="s">
        <v>207</v>
      </c>
      <c r="S67" t="s">
        <v>558</v>
      </c>
    </row>
    <row r="68" spans="1:19" ht="15" customHeight="1" x14ac:dyDescent="0.25">
      <c r="A68" s="32">
        <v>46287</v>
      </c>
      <c r="B68" s="19" t="s">
        <v>125</v>
      </c>
      <c r="C68" s="19">
        <v>2</v>
      </c>
      <c r="D68" s="19" t="s">
        <v>231</v>
      </c>
      <c r="E68" s="20">
        <f>IF($B68="","",INDEX(Simulador!$D$7:$D$232,MATCH($B68,Simulador!$A$7:$A$232,0)))</f>
        <v>203.54</v>
      </c>
      <c r="F68" s="20">
        <v>20.36</v>
      </c>
      <c r="G68" s="13">
        <f t="shared" si="6"/>
        <v>386.71999999999997</v>
      </c>
      <c r="H68" s="8" t="str">
        <f>IF($B68="","",INDEX(Simulador!$B$7:$B$232,MATCH($B68,Simulador!$A$7:$A$232,0)))</f>
        <v>Pequenos</v>
      </c>
      <c r="I68" s="13">
        <f>IF(OR(H68="",$D68=""),"",INDEX(Ref_Frete!$B$2:$G$54,MATCH($D68,Ref_Frete!$A$2:$A$54,0),IF(H68="Pequenos",2,IF(H68="Medios",4,6))))</f>
        <v>70</v>
      </c>
      <c r="J68" s="20">
        <v>58.63</v>
      </c>
      <c r="K68" s="20">
        <f t="shared" si="11"/>
        <v>61.66</v>
      </c>
      <c r="L68" s="13">
        <f>IF(OR($B68="",$C68=""),"",$C68*INDEX(Simulador!$F$7:$F$232,MATCH($B68,Simulador!$A$7:$A$232,0)))</f>
        <v>205.6</v>
      </c>
      <c r="M68" s="13">
        <f t="shared" si="7"/>
        <v>38.671999999999997</v>
      </c>
      <c r="N68" s="35">
        <f t="shared" si="8"/>
        <v>92.157999999999959</v>
      </c>
      <c r="O68" s="12">
        <f t="shared" si="9"/>
        <v>0.23830678527099702</v>
      </c>
      <c r="P68" s="22" t="str">
        <f t="shared" si="10"/>
        <v>ACIMA DA META (&gt;20%)</v>
      </c>
      <c r="Q68" s="19"/>
      <c r="R68" s="19" t="s">
        <v>207</v>
      </c>
      <c r="S68" t="s">
        <v>558</v>
      </c>
    </row>
    <row r="69" spans="1:19" ht="15" customHeight="1" x14ac:dyDescent="0.25">
      <c r="A69" s="32">
        <v>46288</v>
      </c>
      <c r="B69" s="19" t="s">
        <v>129</v>
      </c>
      <c r="C69" s="19">
        <v>1</v>
      </c>
      <c r="D69" s="19" t="s">
        <v>408</v>
      </c>
      <c r="E69" s="20">
        <f>IF($B69="","",INDEX(Simulador!$D$7:$D$232,MATCH($B69,Simulador!$A$7:$A$232,0)))</f>
        <v>674.62</v>
      </c>
      <c r="F69" s="20"/>
      <c r="G69" s="13">
        <f t="shared" si="6"/>
        <v>674.62</v>
      </c>
      <c r="H69" s="8" t="str">
        <f>IF($B69="","",INDEX(Simulador!$B$7:$B$232,MATCH($B69,Simulador!$A$7:$A$232,0)))</f>
        <v>Medios</v>
      </c>
      <c r="I69" s="13">
        <f>IF(OR(H69="",$D69=""),"",INDEX(Ref_Frete!$B$2:$G$54,MATCH($D69,Ref_Frete!$A$2:$A$54,0),IF(H69="Pequenos",2,IF(H69="Medios",4,6))))</f>
        <v>69.900000000000006</v>
      </c>
      <c r="J69" s="20">
        <v>34.14</v>
      </c>
      <c r="K69" s="20">
        <f t="shared" si="11"/>
        <v>100.51</v>
      </c>
      <c r="L69" s="13">
        <f>IF(OR($B69="",$C69=""),"",$C69*INDEX(Simulador!$F$7:$F$232,MATCH($B69,Simulador!$A$7:$A$232,0)))</f>
        <v>365.7</v>
      </c>
      <c r="M69" s="13">
        <f t="shared" si="7"/>
        <v>67.462000000000003</v>
      </c>
      <c r="N69" s="35">
        <f t="shared" si="8"/>
        <v>176.70800000000003</v>
      </c>
      <c r="O69" s="12">
        <f t="shared" si="9"/>
        <v>0.26193709051021319</v>
      </c>
      <c r="P69" s="22" t="str">
        <f t="shared" si="10"/>
        <v>ACIMA DA META (&gt;20%)</v>
      </c>
      <c r="Q69" s="19"/>
      <c r="R69" s="19" t="s">
        <v>207</v>
      </c>
      <c r="S69" t="s">
        <v>558</v>
      </c>
    </row>
    <row r="70" spans="1:19" ht="15" customHeight="1" x14ac:dyDescent="0.25">
      <c r="A70" s="32">
        <v>46289</v>
      </c>
      <c r="B70" s="19" t="s">
        <v>37</v>
      </c>
      <c r="C70" s="19">
        <v>1</v>
      </c>
      <c r="D70" s="19" t="s">
        <v>410</v>
      </c>
      <c r="E70" s="20">
        <f>IF($B70="","",INDEX(Simulador!$D$7:$D$232,MATCH($B70,Simulador!$A$7:$A$232,0)))</f>
        <v>116</v>
      </c>
      <c r="F70" s="20">
        <v>5.8</v>
      </c>
      <c r="G70" s="13">
        <f t="shared" ref="G70:G101" si="12">IF(OR($B70="",$C70=""),"",$C70*E70-IF(F70="",0,F70))</f>
        <v>110.2</v>
      </c>
      <c r="H70" s="8" t="str">
        <f>IF($B70="","",INDEX(Simulador!$B$7:$B$232,MATCH($B70,Simulador!$A$7:$A$232,0)))</f>
        <v>Pequenos</v>
      </c>
      <c r="I70" s="13">
        <f>IF(OR(H70="",$D70=""),"",INDEX(Ref_Frete!$B$2:$G$54,MATCH($D70,Ref_Frete!$A$2:$A$54,0),IF(H70="Pequenos",2,IF(H70="Medios",4,6))))</f>
        <v>29.9</v>
      </c>
      <c r="J70" s="20">
        <v>21.78</v>
      </c>
      <c r="K70" s="20">
        <f t="shared" si="11"/>
        <v>18.91</v>
      </c>
      <c r="L70" s="13">
        <f>IF(OR($B70="",$C70=""),"",$C70*INDEX(Simulador!$F$7:$F$232,MATCH($B70,Simulador!$A$7:$A$232,0)))</f>
        <v>54.47</v>
      </c>
      <c r="M70" s="13">
        <f t="shared" ref="M70:M101" si="13">IF(G70="","",G70*$B$3)</f>
        <v>11.020000000000001</v>
      </c>
      <c r="N70" s="35">
        <f t="shared" ref="N70:N101" si="14">IF(OR(G70="",J70=""),"",G70+IF(I70="",0,I70)-J70-K70-L70-M70)</f>
        <v>33.919999999999995</v>
      </c>
      <c r="O70" s="12">
        <f t="shared" ref="O70:O101" si="15">IF(OR(N70="",G70=0,G70=""),"",N70/G70)</f>
        <v>0.30780399274047182</v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>ACIMA DA META (&gt;20%)</v>
      </c>
      <c r="Q70" s="19"/>
      <c r="R70" s="19" t="s">
        <v>207</v>
      </c>
      <c r="S70" t="s">
        <v>558</v>
      </c>
    </row>
    <row r="71" spans="1:19" ht="15" customHeight="1" x14ac:dyDescent="0.25">
      <c r="A71" s="32">
        <v>46289</v>
      </c>
      <c r="B71" s="19" t="s">
        <v>125</v>
      </c>
      <c r="C71" s="19">
        <v>3</v>
      </c>
      <c r="D71" s="19" t="s">
        <v>409</v>
      </c>
      <c r="E71" s="20">
        <f>IF($B71="","",INDEX(Simulador!$D$7:$D$232,MATCH($B71,Simulador!$A$7:$A$232,0)))</f>
        <v>203.54</v>
      </c>
      <c r="F71" s="20">
        <v>59.54</v>
      </c>
      <c r="G71" s="13">
        <f t="shared" si="12"/>
        <v>551.08000000000004</v>
      </c>
      <c r="H71" s="8" t="str">
        <f>IF($B71="","",INDEX(Simulador!$B$7:$B$232,MATCH($B71,Simulador!$A$7:$A$232,0)))</f>
        <v>Pequenos</v>
      </c>
      <c r="I71" s="13">
        <f>IF(OR(H71="",$D71=""),"",INDEX(Ref_Frete!$B$2:$G$54,MATCH($D71,Ref_Frete!$A$2:$A$54,0),IF(H71="Pequenos",2,IF(H71="Medios",4,6))))</f>
        <v>24.9</v>
      </c>
      <c r="J71" s="20">
        <v>48.63</v>
      </c>
      <c r="K71" s="20">
        <f t="shared" si="11"/>
        <v>77.760000000000005</v>
      </c>
      <c r="L71" s="13">
        <f>IF(OR($B71="",$C71=""),"",$C71*INDEX(Simulador!$F$7:$F$232,MATCH($B71,Simulador!$A$7:$A$232,0)))</f>
        <v>308.39999999999998</v>
      </c>
      <c r="M71" s="13">
        <f t="shared" si="13"/>
        <v>55.108000000000004</v>
      </c>
      <c r="N71" s="35">
        <f t="shared" si="14"/>
        <v>86.08200000000005</v>
      </c>
      <c r="O71" s="12">
        <f t="shared" si="15"/>
        <v>0.15620599549974604</v>
      </c>
      <c r="P71" s="22" t="str">
        <f t="shared" si="16"/>
        <v>DENTRO DA META (15-20%)</v>
      </c>
      <c r="Q71" s="19"/>
      <c r="R71" s="19" t="s">
        <v>210</v>
      </c>
      <c r="S71" t="s">
        <v>558</v>
      </c>
    </row>
    <row r="72" spans="1:19" ht="15" customHeight="1" x14ac:dyDescent="0.25">
      <c r="A72" s="32">
        <v>46291</v>
      </c>
      <c r="B72" s="19" t="s">
        <v>37</v>
      </c>
      <c r="C72" s="19">
        <v>1</v>
      </c>
      <c r="D72" s="19" t="s">
        <v>97</v>
      </c>
      <c r="E72" s="20">
        <f>IF($B72="","",INDEX(Simulador!$D$7:$D$232,MATCH($B72,Simulador!$A$7:$A$232,0)))</f>
        <v>116</v>
      </c>
      <c r="F72" s="20">
        <v>5.8</v>
      </c>
      <c r="G72" s="13">
        <f t="shared" si="12"/>
        <v>110.2</v>
      </c>
      <c r="H72" s="8" t="str">
        <f>IF($B72="","",INDEX(Simulador!$B$7:$B$232,MATCH($B72,Simulador!$A$7:$A$232,0)))</f>
        <v>Pequenos</v>
      </c>
      <c r="I72" s="13">
        <f>IF(OR(H72="",$D72=""),"",INDEX(Ref_Frete!$B$2:$G$54,MATCH($D72,Ref_Frete!$A$2:$A$54,0),IF(H72="Pequenos",2,IF(H72="Medios",4,6))))</f>
        <v>24.9</v>
      </c>
      <c r="J72" s="20">
        <v>16.89</v>
      </c>
      <c r="K72" s="20">
        <f t="shared" si="11"/>
        <v>18.239999999999998</v>
      </c>
      <c r="L72" s="13">
        <f>IF(OR($B72="",$C72=""),"",$C72*INDEX(Simulador!$F$7:$F$232,MATCH($B72,Simulador!$A$7:$A$232,0)))</f>
        <v>54.47</v>
      </c>
      <c r="M72" s="13">
        <f t="shared" si="13"/>
        <v>11.020000000000001</v>
      </c>
      <c r="N72" s="35">
        <f t="shared" si="14"/>
        <v>34.479999999999997</v>
      </c>
      <c r="O72" s="12">
        <f t="shared" si="15"/>
        <v>0.31288566243194188</v>
      </c>
      <c r="P72" s="22" t="str">
        <f t="shared" si="16"/>
        <v>ACIMA DA META (&gt;20%)</v>
      </c>
      <c r="Q72" s="19"/>
      <c r="R72" s="19" t="s">
        <v>210</v>
      </c>
      <c r="S72" t="s">
        <v>558</v>
      </c>
    </row>
    <row r="73" spans="1:19" ht="15" customHeight="1" x14ac:dyDescent="0.25">
      <c r="A73" s="32">
        <v>46293</v>
      </c>
      <c r="B73" s="19" t="s">
        <v>108</v>
      </c>
      <c r="C73" s="19">
        <v>1</v>
      </c>
      <c r="D73" s="19" t="s">
        <v>406</v>
      </c>
      <c r="E73" s="20">
        <f>IF($B73="","",INDEX(Simulador!$D$7:$D$232,MATCH($B73,Simulador!$A$7:$A$232,0)))</f>
        <v>153.72</v>
      </c>
      <c r="F73" s="20"/>
      <c r="G73" s="13">
        <f t="shared" si="12"/>
        <v>153.72</v>
      </c>
      <c r="H73" s="8" t="str">
        <f>IF($B73="","",INDEX(Simulador!$B$7:$B$232,MATCH($B73,Simulador!$A$7:$A$232,0)))</f>
        <v>Pequenos</v>
      </c>
      <c r="I73" s="13">
        <f>IF(OR(H73="",$D73=""),"",INDEX(Ref_Frete!$B$2:$G$54,MATCH($D73,Ref_Frete!$A$2:$A$54,0),IF(H73="Pequenos",2,IF(H73="Medios",4,6))))</f>
        <v>29.9</v>
      </c>
      <c r="J73" s="20">
        <v>23.87</v>
      </c>
      <c r="K73" s="20">
        <f t="shared" si="11"/>
        <v>24.79</v>
      </c>
      <c r="L73" s="13">
        <f>IF(OR($B73="",$C73=""),"",$C73*INDEX(Simulador!$F$7:$F$232,MATCH($B73,Simulador!$A$7:$A$232,0)))</f>
        <v>75.680000000000007</v>
      </c>
      <c r="M73" s="13">
        <f t="shared" si="13"/>
        <v>15.372</v>
      </c>
      <c r="N73" s="35">
        <f t="shared" si="14"/>
        <v>43.908000000000001</v>
      </c>
      <c r="O73" s="12">
        <f t="shared" si="15"/>
        <v>0.28563622170179548</v>
      </c>
      <c r="P73" s="22" t="str">
        <f t="shared" si="16"/>
        <v>ACIMA DA META (&gt;20%)</v>
      </c>
      <c r="Q73" s="19"/>
      <c r="R73" s="19" t="s">
        <v>207</v>
      </c>
      <c r="S73" t="s">
        <v>558</v>
      </c>
    </row>
    <row r="74" spans="1:19" ht="15" customHeight="1" x14ac:dyDescent="0.25">
      <c r="A74" s="32">
        <v>46293</v>
      </c>
      <c r="B74" s="19" t="s">
        <v>33</v>
      </c>
      <c r="C74" s="19">
        <v>1</v>
      </c>
      <c r="D74" s="19" t="s">
        <v>211</v>
      </c>
      <c r="E74" s="20">
        <f>IF($B74="","",INDEX(Simulador!$D$7:$D$232,MATCH($B74,Simulador!$A$7:$A$232,0)))</f>
        <v>123.93</v>
      </c>
      <c r="F74" s="20"/>
      <c r="G74" s="13">
        <f t="shared" si="12"/>
        <v>123.93</v>
      </c>
      <c r="H74" s="8" t="str">
        <f>IF($B74="","",INDEX(Simulador!$B$7:$B$232,MATCH($B74,Simulador!$A$7:$A$232,0)))</f>
        <v>Pequenos</v>
      </c>
      <c r="I74" s="13">
        <f>IF(OR(H74="",$D74=""),"",INDEX(Ref_Frete!$B$2:$G$54,MATCH($D74,Ref_Frete!$A$2:$A$54,0),IF(H74="Pequenos",2,IF(H74="Medios",4,6))))</f>
        <v>12.9</v>
      </c>
      <c r="J74" s="20">
        <v>12.87</v>
      </c>
      <c r="K74" s="20">
        <f t="shared" ref="K74:K107" si="17">IF(G74="","",ROUND($D$3*(G74+IF(I74="",0,I74)),2))</f>
        <v>18.47</v>
      </c>
      <c r="L74" s="13">
        <f>IF(OR($B74="",$C74=""),"",$C74*INDEX(Simulador!$F$7:$F$232,MATCH($B74,Simulador!$A$7:$A$232,0)))</f>
        <v>59.8</v>
      </c>
      <c r="M74" s="13">
        <f t="shared" si="13"/>
        <v>12.393000000000001</v>
      </c>
      <c r="N74" s="35">
        <f t="shared" si="14"/>
        <v>33.297000000000011</v>
      </c>
      <c r="O74" s="12">
        <f t="shared" si="15"/>
        <v>0.26867586540789162</v>
      </c>
      <c r="P74" s="22" t="str">
        <f t="shared" si="16"/>
        <v>ACIMA DA META (&gt;20%)</v>
      </c>
      <c r="Q74" s="19"/>
      <c r="R74" s="19" t="s">
        <v>210</v>
      </c>
      <c r="S74" t="s">
        <v>558</v>
      </c>
    </row>
    <row r="75" spans="1:19" ht="15" customHeight="1" x14ac:dyDescent="0.25">
      <c r="A75" s="32">
        <v>46295</v>
      </c>
      <c r="B75" s="19" t="s">
        <v>61</v>
      </c>
      <c r="C75" s="19">
        <v>1</v>
      </c>
      <c r="D75" s="19" t="s">
        <v>247</v>
      </c>
      <c r="E75" s="20">
        <f>IF($B75="","",INDEX(Simulador!$D$7:$D$232,MATCH($B75,Simulador!$A$7:$A$232,0)))</f>
        <v>1070.17</v>
      </c>
      <c r="F75" s="20"/>
      <c r="G75" s="13">
        <f t="shared" si="12"/>
        <v>1070.17</v>
      </c>
      <c r="H75" s="8" t="str">
        <f>IF($B75="","",INDEX(Simulador!$B$7:$B$232,MATCH($B75,Simulador!$A$7:$A$232,0)))</f>
        <v>Grandes</v>
      </c>
      <c r="I75" s="13">
        <f>IF(OR(H75="",$D75=""),"",INDEX(Ref_Frete!$B$2:$G$54,MATCH($D75,Ref_Frete!$A$2:$A$54,0),IF(H75="Pequenos",2,IF(H75="Medios",4,6))))</f>
        <v>274</v>
      </c>
      <c r="J75" s="20">
        <v>171.55</v>
      </c>
      <c r="K75" s="20">
        <f t="shared" si="17"/>
        <v>181.46</v>
      </c>
      <c r="L75" s="13">
        <f>IF(OR($B75="",$C75=""),"",$C75*INDEX(Simulador!$F$7:$F$232,MATCH($B75,Simulador!$A$7:$A$232,0)))</f>
        <v>553.79</v>
      </c>
      <c r="M75" s="13">
        <f t="shared" si="13"/>
        <v>107.01700000000001</v>
      </c>
      <c r="N75" s="35">
        <f t="shared" si="14"/>
        <v>330.35300000000012</v>
      </c>
      <c r="O75" s="12">
        <f t="shared" si="15"/>
        <v>0.30869207695973544</v>
      </c>
      <c r="P75" s="22" t="str">
        <f t="shared" si="16"/>
        <v>ACIMA DA META (&gt;20%)</v>
      </c>
      <c r="Q75" s="19"/>
      <c r="R75" s="19" t="s">
        <v>210</v>
      </c>
      <c r="S75" t="s">
        <v>558</v>
      </c>
    </row>
    <row r="76" spans="1:19" ht="15" customHeight="1" x14ac:dyDescent="0.25">
      <c r="A76" s="32">
        <v>46295</v>
      </c>
      <c r="B76" s="19" t="s">
        <v>57</v>
      </c>
      <c r="C76" s="19">
        <v>1</v>
      </c>
      <c r="D76" s="19" t="s">
        <v>407</v>
      </c>
      <c r="E76" s="20">
        <f>IF($B76="","",INDEX(Simulador!$D$7:$D$232,MATCH($B76,Simulador!$A$7:$A$232,0)))</f>
        <v>616.17999999999995</v>
      </c>
      <c r="F76" s="20"/>
      <c r="G76" s="13">
        <f t="shared" si="12"/>
        <v>616.17999999999995</v>
      </c>
      <c r="H76" s="8" t="str">
        <f>IF($B76="","",INDEX(Simulador!$B$7:$B$232,MATCH($B76,Simulador!$A$7:$A$232,0)))</f>
        <v>Medios</v>
      </c>
      <c r="I76" s="13">
        <f>IF(OR(H76="",$D76=""),"",INDEX(Ref_Frete!$B$2:$G$54,MATCH($D76,Ref_Frete!$A$2:$A$54,0),IF(H76="Pequenos",2,IF(H76="Medios",4,6))))</f>
        <v>59.9</v>
      </c>
      <c r="J76" s="20">
        <v>55.56</v>
      </c>
      <c r="K76" s="20">
        <f t="shared" si="17"/>
        <v>91.27</v>
      </c>
      <c r="L76" s="13">
        <f>IF(OR($B76="",$C76=""),"",$C76*INDEX(Simulador!$F$7:$F$232,MATCH($B76,Simulador!$A$7:$A$232,0)))</f>
        <v>307.26</v>
      </c>
      <c r="M76" s="13">
        <f t="shared" si="13"/>
        <v>61.617999999999995</v>
      </c>
      <c r="N76" s="35">
        <f t="shared" si="14"/>
        <v>160.37200000000001</v>
      </c>
      <c r="O76" s="12">
        <f t="shared" si="15"/>
        <v>0.26026810347625701</v>
      </c>
      <c r="P76" s="22" t="str">
        <f t="shared" si="16"/>
        <v>ACIMA DA META (&gt;20%)</v>
      </c>
      <c r="Q76" s="19"/>
      <c r="R76" s="19" t="s">
        <v>210</v>
      </c>
      <c r="S76" t="s">
        <v>558</v>
      </c>
    </row>
    <row r="77" spans="1:19" ht="15" customHeight="1" x14ac:dyDescent="0.25">
      <c r="A77" s="32">
        <v>46296</v>
      </c>
      <c r="B77" s="19" t="s">
        <v>52</v>
      </c>
      <c r="C77" s="19">
        <v>2</v>
      </c>
      <c r="D77" s="19" t="s">
        <v>408</v>
      </c>
      <c r="E77" s="20">
        <f>IF($B77="","",INDEX(Simulador!$D$7:$D$232,MATCH($B77,Simulador!$A$7:$A$232,0)))</f>
        <v>511.42</v>
      </c>
      <c r="F77" s="20"/>
      <c r="G77" s="13">
        <f t="shared" si="12"/>
        <v>1022.84</v>
      </c>
      <c r="H77" s="8" t="str">
        <f>IF($B77="","",INDEX(Simulador!$B$7:$B$232,MATCH($B77,Simulador!$A$7:$A$232,0)))</f>
        <v>Medios</v>
      </c>
      <c r="I77" s="13">
        <f>IF(OR(H77="",$D77=""),"",INDEX(Ref_Frete!$B$2:$G$54,MATCH($D77,Ref_Frete!$A$2:$A$54,0),IF(H77="Pequenos",2,IF(H77="Medios",4,6))))</f>
        <v>69.900000000000006</v>
      </c>
      <c r="J77" s="20">
        <v>128.4</v>
      </c>
      <c r="K77" s="20">
        <f t="shared" si="17"/>
        <v>147.52000000000001</v>
      </c>
      <c r="L77" s="13">
        <f>IF(OR($B77="",$C77=""),"",$C77*INDEX(Simulador!$F$7:$F$232,MATCH($B77,Simulador!$A$7:$A$232,0)))</f>
        <v>484.52</v>
      </c>
      <c r="M77" s="13">
        <f t="shared" si="13"/>
        <v>102.28400000000001</v>
      </c>
      <c r="N77" s="35">
        <f t="shared" si="14"/>
        <v>230.01600000000008</v>
      </c>
      <c r="O77" s="12">
        <f t="shared" si="15"/>
        <v>0.22487974658793172</v>
      </c>
      <c r="P77" s="22" t="str">
        <f t="shared" si="16"/>
        <v>ACIMA DA META (&gt;20%)</v>
      </c>
      <c r="Q77" s="19"/>
      <c r="R77" s="19"/>
      <c r="S77" t="s">
        <v>558</v>
      </c>
    </row>
    <row r="78" spans="1:19" ht="15" customHeight="1" x14ac:dyDescent="0.25">
      <c r="A78" s="32">
        <v>46296</v>
      </c>
      <c r="B78" s="19" t="s">
        <v>125</v>
      </c>
      <c r="C78" s="19">
        <v>3</v>
      </c>
      <c r="D78" s="19" t="s">
        <v>409</v>
      </c>
      <c r="E78" s="20">
        <f>IF($B78="","",INDEX(Simulador!$D$7:$D$232,MATCH($B78,Simulador!$A$7:$A$232,0)))</f>
        <v>203.54</v>
      </c>
      <c r="F78" s="20">
        <v>30.53</v>
      </c>
      <c r="G78" s="13">
        <f t="shared" si="12"/>
        <v>580.09</v>
      </c>
      <c r="H78" s="8" t="str">
        <f>IF($B78="","",INDEX(Simulador!$B$7:$B$232,MATCH($B78,Simulador!$A$7:$A$232,0)))</f>
        <v>Pequenos</v>
      </c>
      <c r="I78" s="13">
        <f>IF(OR(H78="",$D78=""),"",INDEX(Ref_Frete!$B$2:$G$54,MATCH($D78,Ref_Frete!$A$2:$A$54,0),IF(H78="Pequenos",2,IF(H78="Medios",4,6))))</f>
        <v>24.9</v>
      </c>
      <c r="J78" s="20">
        <v>48.63</v>
      </c>
      <c r="K78" s="20">
        <f t="shared" si="17"/>
        <v>81.67</v>
      </c>
      <c r="L78" s="13">
        <f>IF(OR($B78="",$C78=""),"",$C78*INDEX(Simulador!$F$7:$F$232,MATCH($B78,Simulador!$A$7:$A$232,0)))</f>
        <v>308.39999999999998</v>
      </c>
      <c r="M78" s="13">
        <f t="shared" si="13"/>
        <v>58.009000000000007</v>
      </c>
      <c r="N78" s="35">
        <f t="shared" si="14"/>
        <v>108.28100000000001</v>
      </c>
      <c r="O78" s="12">
        <f t="shared" si="15"/>
        <v>0.18666241445292972</v>
      </c>
      <c r="P78" s="22" t="str">
        <f t="shared" si="16"/>
        <v>DENTRO DA META (15-20%)</v>
      </c>
      <c r="Q78" s="19"/>
      <c r="R78" s="19"/>
      <c r="S78" t="s">
        <v>558</v>
      </c>
    </row>
    <row r="79" spans="1:19" ht="15" customHeight="1" x14ac:dyDescent="0.25">
      <c r="A79" s="32">
        <v>46298</v>
      </c>
      <c r="B79" s="19" t="s">
        <v>104</v>
      </c>
      <c r="C79" s="19">
        <v>1</v>
      </c>
      <c r="D79" s="19" t="s">
        <v>395</v>
      </c>
      <c r="E79" s="20">
        <f>IF($B79="","",INDEX(Simulador!$D$7:$D$232,MATCH($B79,Simulador!$A$7:$A$232,0)))</f>
        <v>129.9</v>
      </c>
      <c r="F79" s="20"/>
      <c r="G79" s="13">
        <f t="shared" si="12"/>
        <v>129.9</v>
      </c>
      <c r="H79" s="8" t="str">
        <f>IF($B79="","",INDEX(Simulador!$B$7:$B$232,MATCH($B79,Simulador!$A$7:$A$232,0)))</f>
        <v>Pequenos</v>
      </c>
      <c r="I79" s="13">
        <f>IF(OR(H79="",$D79=""),"",INDEX(Ref_Frete!$B$2:$G$54,MATCH($D79,Ref_Frete!$A$2:$A$54,0),IF(H79="Pequenos",2,IF(H79="Medios",4,6))))</f>
        <v>103</v>
      </c>
      <c r="J79" s="20">
        <v>22.15</v>
      </c>
      <c r="K79" s="20">
        <f t="shared" si="17"/>
        <v>31.44</v>
      </c>
      <c r="L79" s="13">
        <f>IF(OR($B79="",$C79=""),"",$C79*INDEX(Simulador!$F$7:$F$232,MATCH($B79,Simulador!$A$7:$A$232,0)))</f>
        <v>60.62</v>
      </c>
      <c r="M79" s="13">
        <f t="shared" si="13"/>
        <v>12.990000000000002</v>
      </c>
      <c r="N79" s="35">
        <f t="shared" si="14"/>
        <v>105.69999999999999</v>
      </c>
      <c r="O79" s="12">
        <f t="shared" si="15"/>
        <v>0.8137028483448806</v>
      </c>
      <c r="P79" s="22" t="str">
        <f t="shared" si="16"/>
        <v>ACIMA DA META (&gt;20%)</v>
      </c>
      <c r="Q79" s="19"/>
      <c r="R79" s="19"/>
      <c r="S79" t="s">
        <v>558</v>
      </c>
    </row>
    <row r="80" spans="1:19" ht="15" customHeight="1" x14ac:dyDescent="0.25">
      <c r="A80" s="32">
        <v>46299</v>
      </c>
      <c r="B80" s="19" t="s">
        <v>46</v>
      </c>
      <c r="C80" s="19">
        <v>1</v>
      </c>
      <c r="D80" s="19" t="s">
        <v>211</v>
      </c>
      <c r="E80" s="20">
        <f>IF($B80="","",INDEX(Simulador!$D$7:$D$232,MATCH($B80,Simulador!$A$7:$A$232,0)))</f>
        <v>119.22</v>
      </c>
      <c r="F80" s="20"/>
      <c r="G80" s="13">
        <f t="shared" si="12"/>
        <v>119.22</v>
      </c>
      <c r="H80" s="8" t="str">
        <f>IF($B80="","",INDEX(Simulador!$B$7:$B$232,MATCH($B80,Simulador!$A$7:$A$232,0)))</f>
        <v>Pequenos</v>
      </c>
      <c r="I80" s="13">
        <f>IF(OR(H80="",$D80=""),"",INDEX(Ref_Frete!$B$2:$G$54,MATCH($D80,Ref_Frete!$A$2:$A$54,0),IF(H80="Pequenos",2,IF(H80="Medios",4,6))))</f>
        <v>12.9</v>
      </c>
      <c r="J80" s="20">
        <v>12.87</v>
      </c>
      <c r="K80" s="20">
        <f t="shared" si="17"/>
        <v>17.84</v>
      </c>
      <c r="L80" s="13">
        <f>IF(OR($B80="",$C80=""),"",$C80*INDEX(Simulador!$F$7:$F$232,MATCH($B80,Simulador!$A$7:$A$232,0)))</f>
        <v>55.49</v>
      </c>
      <c r="M80" s="13">
        <f t="shared" si="13"/>
        <v>11.922000000000001</v>
      </c>
      <c r="N80" s="35">
        <f t="shared" si="14"/>
        <v>33.99799999999999</v>
      </c>
      <c r="O80" s="12">
        <f t="shared" si="15"/>
        <v>0.28517027344405294</v>
      </c>
      <c r="P80" s="22" t="str">
        <f t="shared" si="16"/>
        <v>ACIMA DA META (&gt;20%)</v>
      </c>
      <c r="Q80" s="19"/>
      <c r="R80" s="19"/>
      <c r="S80" t="s">
        <v>558</v>
      </c>
    </row>
    <row r="81" spans="1:19" ht="15" customHeight="1" x14ac:dyDescent="0.25">
      <c r="A81" s="32">
        <v>46300</v>
      </c>
      <c r="B81" s="19" t="s">
        <v>33</v>
      </c>
      <c r="C81" s="19">
        <v>1</v>
      </c>
      <c r="D81" s="19" t="s">
        <v>215</v>
      </c>
      <c r="E81" s="20">
        <f>IF($B81="","",INDEX(Simulador!$D$7:$D$232,MATCH($B81,Simulador!$A$7:$A$232,0)))</f>
        <v>123.93</v>
      </c>
      <c r="F81" s="20"/>
      <c r="G81" s="13">
        <f t="shared" si="12"/>
        <v>123.93</v>
      </c>
      <c r="H81" s="8" t="str">
        <f>IF($B81="","",INDEX(Simulador!$B$7:$B$232,MATCH($B81,Simulador!$A$7:$A$232,0)))</f>
        <v>Pequenos</v>
      </c>
      <c r="I81" s="13">
        <f>IF(OR(H81="",$D81=""),"",INDEX(Ref_Frete!$B$2:$G$54,MATCH($D81,Ref_Frete!$A$2:$A$54,0),IF(H81="Pequenos",2,IF(H81="Medios",4,6))))</f>
        <v>24.9</v>
      </c>
      <c r="J81" s="20">
        <v>16.36</v>
      </c>
      <c r="K81" s="20">
        <f t="shared" si="17"/>
        <v>20.09</v>
      </c>
      <c r="L81" s="13">
        <f>IF(OR($B81="",$C81=""),"",$C81*INDEX(Simulador!$F$7:$F$232,MATCH($B81,Simulador!$A$7:$A$232,0)))</f>
        <v>59.8</v>
      </c>
      <c r="M81" s="13">
        <f t="shared" si="13"/>
        <v>12.393000000000001</v>
      </c>
      <c r="N81" s="35">
        <f t="shared" si="14"/>
        <v>40.187000000000026</v>
      </c>
      <c r="O81" s="12">
        <f t="shared" si="15"/>
        <v>0.32427176631969679</v>
      </c>
      <c r="P81" s="22" t="str">
        <f t="shared" si="16"/>
        <v>ACIMA DA META (&gt;20%)</v>
      </c>
      <c r="Q81" s="19"/>
      <c r="R81" s="19" t="s">
        <v>210</v>
      </c>
      <c r="S81" t="s">
        <v>558</v>
      </c>
    </row>
    <row r="82" spans="1:19" ht="15" customHeight="1" x14ac:dyDescent="0.25">
      <c r="A82" s="32">
        <v>46300</v>
      </c>
      <c r="B82" s="19" t="s">
        <v>106</v>
      </c>
      <c r="C82" s="19">
        <v>2</v>
      </c>
      <c r="D82" s="19" t="s">
        <v>405</v>
      </c>
      <c r="E82" s="20">
        <f>IF($B82="","",INDEX(Simulador!$D$7:$D$232,MATCH($B82,Simulador!$A$7:$A$232,0)))</f>
        <v>132.9</v>
      </c>
      <c r="F82" s="20"/>
      <c r="G82" s="13">
        <f t="shared" si="12"/>
        <v>265.8</v>
      </c>
      <c r="H82" s="8" t="str">
        <f>IF($B82="","",INDEX(Simulador!$B$7:$B$232,MATCH($B82,Simulador!$A$7:$A$232,0)))</f>
        <v>Pequenos</v>
      </c>
      <c r="I82" s="13">
        <f>IF(OR(H82="",$D82=""),"",INDEX(Ref_Frete!$B$2:$G$54,MATCH($D82,Ref_Frete!$A$2:$A$54,0),IF(H82="Pequenos",2,IF(H82="Medios",4,6))))</f>
        <v>29.9</v>
      </c>
      <c r="J82" s="20">
        <v>26.11</v>
      </c>
      <c r="K82" s="20">
        <f t="shared" si="17"/>
        <v>39.92</v>
      </c>
      <c r="L82" s="13">
        <f>IF(OR($B82="",$C82=""),"",$C82*INDEX(Simulador!$F$7:$F$232,MATCH($B82,Simulador!$A$7:$A$232,0)))</f>
        <v>126.22</v>
      </c>
      <c r="M82" s="13">
        <f t="shared" si="13"/>
        <v>26.580000000000002</v>
      </c>
      <c r="N82" s="35">
        <f t="shared" si="14"/>
        <v>76.869999999999962</v>
      </c>
      <c r="O82" s="12">
        <f t="shared" si="15"/>
        <v>0.28920240782543249</v>
      </c>
      <c r="P82" s="22" t="str">
        <f t="shared" si="16"/>
        <v>ACIMA DA META (&gt;20%)</v>
      </c>
      <c r="Q82" s="19"/>
      <c r="R82" s="19" t="s">
        <v>207</v>
      </c>
      <c r="S82" t="s">
        <v>558</v>
      </c>
    </row>
    <row r="83" spans="1:19" ht="15" customHeight="1" x14ac:dyDescent="0.25">
      <c r="A83" s="32">
        <v>46302</v>
      </c>
      <c r="B83" s="19" t="s">
        <v>37</v>
      </c>
      <c r="C83" s="19">
        <v>1</v>
      </c>
      <c r="D83" s="19" t="s">
        <v>98</v>
      </c>
      <c r="E83" s="20">
        <f>IF($B83="","",INDEX(Simulador!$D$7:$D$232,MATCH($B83,Simulador!$A$7:$A$232,0)))</f>
        <v>116</v>
      </c>
      <c r="F83" s="20"/>
      <c r="G83" s="13">
        <f t="shared" si="12"/>
        <v>116</v>
      </c>
      <c r="H83" s="8" t="str">
        <f>IF($B83="","",INDEX(Simulador!$B$7:$B$232,MATCH($B83,Simulador!$A$7:$A$232,0)))</f>
        <v>Pequenos</v>
      </c>
      <c r="I83" s="13">
        <f>IF(OR(H83="",$D83=""),"",INDEX(Ref_Frete!$B$2:$G$54,MATCH($D83,Ref_Frete!$A$2:$A$54,0),IF(H83="Pequenos",2,IF(H83="Medios",4,6))))</f>
        <v>16.899999999999999</v>
      </c>
      <c r="J83" s="20">
        <v>18</v>
      </c>
      <c r="K83" s="20">
        <f t="shared" si="17"/>
        <v>17.940000000000001</v>
      </c>
      <c r="L83" s="13">
        <f>IF(OR($B83="",$C83=""),"",$C83*INDEX(Simulador!$F$7:$F$232,MATCH($B83,Simulador!$A$7:$A$232,0)))</f>
        <v>54.47</v>
      </c>
      <c r="M83" s="13">
        <f t="shared" si="13"/>
        <v>11.600000000000001</v>
      </c>
      <c r="N83" s="35">
        <f t="shared" si="14"/>
        <v>30.890000000000008</v>
      </c>
      <c r="O83" s="12">
        <f t="shared" si="15"/>
        <v>0.26629310344827595</v>
      </c>
      <c r="P83" s="22" t="str">
        <f t="shared" si="16"/>
        <v>ACIMA DA META (&gt;20%)</v>
      </c>
      <c r="Q83" s="19"/>
      <c r="R83" s="19" t="s">
        <v>210</v>
      </c>
      <c r="S83" t="s">
        <v>558</v>
      </c>
    </row>
    <row r="84" spans="1:19" ht="15" customHeight="1" x14ac:dyDescent="0.25">
      <c r="A84" s="32">
        <v>46303</v>
      </c>
      <c r="B84" s="19" t="s">
        <v>106</v>
      </c>
      <c r="C84" s="19">
        <v>1</v>
      </c>
      <c r="D84" s="19" t="s">
        <v>215</v>
      </c>
      <c r="E84" s="20">
        <f>IF($B84="","",INDEX(Simulador!$D$7:$D$232,MATCH($B84,Simulador!$A$7:$A$232,0)))</f>
        <v>132.9</v>
      </c>
      <c r="F84" s="20"/>
      <c r="G84" s="13">
        <f t="shared" si="12"/>
        <v>132.9</v>
      </c>
      <c r="H84" s="8" t="str">
        <f>IF($B84="","",INDEX(Simulador!$B$7:$B$232,MATCH($B84,Simulador!$A$7:$A$232,0)))</f>
        <v>Pequenos</v>
      </c>
      <c r="I84" s="13">
        <f>IF(OR(H84="",$D84=""),"",INDEX(Ref_Frete!$B$2:$G$54,MATCH($D84,Ref_Frete!$A$2:$A$54,0),IF(H84="Pequenos",2,IF(H84="Medios",4,6))))</f>
        <v>24.9</v>
      </c>
      <c r="J84" s="20">
        <v>16.36</v>
      </c>
      <c r="K84" s="20">
        <f t="shared" si="17"/>
        <v>21.3</v>
      </c>
      <c r="L84" s="13">
        <f>IF(OR($B84="",$C84=""),"",$C84*INDEX(Simulador!$F$7:$F$232,MATCH($B84,Simulador!$A$7:$A$232,0)))</f>
        <v>63.11</v>
      </c>
      <c r="M84" s="13">
        <f t="shared" si="13"/>
        <v>13.290000000000001</v>
      </c>
      <c r="N84" s="35">
        <f t="shared" si="14"/>
        <v>43.74</v>
      </c>
      <c r="O84" s="12">
        <f t="shared" si="15"/>
        <v>0.32911963882618511</v>
      </c>
      <c r="P84" s="22" t="str">
        <f t="shared" si="16"/>
        <v>ACIMA DA META (&gt;20%)</v>
      </c>
      <c r="Q84" s="19"/>
      <c r="R84" s="19" t="s">
        <v>210</v>
      </c>
      <c r="S84" t="s">
        <v>558</v>
      </c>
    </row>
    <row r="85" spans="1:19" ht="15" customHeight="1" x14ac:dyDescent="0.25">
      <c r="A85" s="32">
        <v>46303</v>
      </c>
      <c r="B85" s="19" t="s">
        <v>135</v>
      </c>
      <c r="C85" s="19">
        <v>1</v>
      </c>
      <c r="D85" s="19" t="s">
        <v>211</v>
      </c>
      <c r="E85" s="20">
        <f>IF($B85="","",INDEX(Simulador!$D$7:$D$232,MATCH($B85,Simulador!$A$7:$A$232,0)))</f>
        <v>318.56</v>
      </c>
      <c r="F85" s="20"/>
      <c r="G85" s="13">
        <f t="shared" si="12"/>
        <v>318.56</v>
      </c>
      <c r="H85" s="8" t="str">
        <f>IF($B85="","",INDEX(Simulador!$B$7:$B$232,MATCH($B85,Simulador!$A$7:$A$232,0)))</f>
        <v>Medios</v>
      </c>
      <c r="I85" s="13">
        <f>IF(OR(H85="",$D85=""),"",INDEX(Ref_Frete!$B$2:$G$54,MATCH($D85,Ref_Frete!$A$2:$A$54,0),IF(H85="Pequenos",2,IF(H85="Medios",4,6))))</f>
        <v>34.9</v>
      </c>
      <c r="J85" s="20">
        <v>20.88</v>
      </c>
      <c r="K85" s="20">
        <f t="shared" si="17"/>
        <v>47.72</v>
      </c>
      <c r="L85" s="13">
        <f>IF(OR($B85="",$C85=""),"",$C85*INDEX(Simulador!$F$7:$F$232,MATCH($B85,Simulador!$A$7:$A$232,0)))</f>
        <v>159</v>
      </c>
      <c r="M85" s="13">
        <f t="shared" si="13"/>
        <v>31.856000000000002</v>
      </c>
      <c r="N85" s="35">
        <f t="shared" si="14"/>
        <v>94.004000000000019</v>
      </c>
      <c r="O85" s="12">
        <f t="shared" si="15"/>
        <v>0.29509040683073839</v>
      </c>
      <c r="P85" s="22" t="str">
        <f t="shared" si="16"/>
        <v>ACIMA DA META (&gt;20%)</v>
      </c>
      <c r="Q85" s="19"/>
      <c r="R85" s="19" t="s">
        <v>210</v>
      </c>
      <c r="S85" t="s">
        <v>558</v>
      </c>
    </row>
    <row r="86" spans="1:19" ht="15" customHeight="1" x14ac:dyDescent="0.25">
      <c r="A86" s="32">
        <v>46304</v>
      </c>
      <c r="B86" s="19" t="s">
        <v>47</v>
      </c>
      <c r="C86" s="19">
        <v>1</v>
      </c>
      <c r="D86" s="19" t="s">
        <v>215</v>
      </c>
      <c r="E86" s="20">
        <f>IF($B86="","",INDEX(Simulador!$D$7:$D$232,MATCH($B86,Simulador!$A$7:$A$232,0)))</f>
        <v>109.9</v>
      </c>
      <c r="F86" s="20"/>
      <c r="G86" s="13">
        <f t="shared" si="12"/>
        <v>109.9</v>
      </c>
      <c r="H86" s="8" t="str">
        <f>IF($B86="","",INDEX(Simulador!$B$7:$B$232,MATCH($B86,Simulador!$A$7:$A$232,0)))</f>
        <v>Pequenos</v>
      </c>
      <c r="I86" s="13">
        <f>IF(OR(H86="",$D86=""),"",INDEX(Ref_Frete!$B$2:$G$54,MATCH($D86,Ref_Frete!$A$2:$A$54,0),IF(H86="Pequenos",2,IF(H86="Medios",4,6))))</f>
        <v>24.9</v>
      </c>
      <c r="J86" s="20">
        <v>16.36</v>
      </c>
      <c r="K86" s="20">
        <f t="shared" si="17"/>
        <v>18.2</v>
      </c>
      <c r="L86" s="13">
        <f>IF(OR($B86="",$C86=""),"",$C86*INDEX(Simulador!$F$7:$F$232,MATCH($B86,Simulador!$A$7:$A$232,0)))</f>
        <v>49.15</v>
      </c>
      <c r="M86" s="13">
        <f t="shared" si="13"/>
        <v>10.990000000000002</v>
      </c>
      <c r="N86" s="35">
        <f t="shared" si="14"/>
        <v>40.100000000000009</v>
      </c>
      <c r="O86" s="12">
        <f t="shared" si="15"/>
        <v>0.36487716105550505</v>
      </c>
      <c r="P86" s="22" t="str">
        <f t="shared" si="16"/>
        <v>ACIMA DA META (&gt;20%)</v>
      </c>
      <c r="Q86" s="19"/>
      <c r="R86" s="19" t="s">
        <v>210</v>
      </c>
      <c r="S86" t="s">
        <v>558</v>
      </c>
    </row>
    <row r="87" spans="1:19" ht="15" customHeight="1" x14ac:dyDescent="0.25">
      <c r="A87" s="32">
        <v>46305</v>
      </c>
      <c r="B87" s="19" t="s">
        <v>46</v>
      </c>
      <c r="C87" s="19">
        <v>1</v>
      </c>
      <c r="D87" s="19" t="s">
        <v>406</v>
      </c>
      <c r="E87" s="20">
        <f>IF($B87="","",INDEX(Simulador!$D$7:$D$232,MATCH($B87,Simulador!$A$7:$A$232,0)))</f>
        <v>119.22</v>
      </c>
      <c r="F87" s="20"/>
      <c r="G87" s="13">
        <f t="shared" si="12"/>
        <v>119.22</v>
      </c>
      <c r="H87" s="8" t="str">
        <f>IF($B87="","",INDEX(Simulador!$B$7:$B$232,MATCH($B87,Simulador!$A$7:$A$232,0)))</f>
        <v>Pequenos</v>
      </c>
      <c r="I87" s="13">
        <f>IF(OR(H87="",$D87=""),"",INDEX(Ref_Frete!$B$2:$G$54,MATCH($D87,Ref_Frete!$A$2:$A$54,0),IF(H87="Pequenos",2,IF(H87="Medios",4,6))))</f>
        <v>29.9</v>
      </c>
      <c r="J87" s="20">
        <v>23.75</v>
      </c>
      <c r="K87" s="20">
        <f t="shared" si="17"/>
        <v>20.13</v>
      </c>
      <c r="L87" s="13">
        <f>IF(OR($B87="",$C87=""),"",$C87*INDEX(Simulador!$F$7:$F$232,MATCH($B87,Simulador!$A$7:$A$232,0)))</f>
        <v>55.49</v>
      </c>
      <c r="M87" s="13">
        <f t="shared" si="13"/>
        <v>11.922000000000001</v>
      </c>
      <c r="N87" s="35">
        <f t="shared" si="14"/>
        <v>37.828000000000003</v>
      </c>
      <c r="O87" s="12">
        <f t="shared" si="15"/>
        <v>0.31729575574568031</v>
      </c>
      <c r="P87" s="22" t="str">
        <f t="shared" si="16"/>
        <v>ACIMA DA META (&gt;20%)</v>
      </c>
      <c r="Q87" s="19"/>
      <c r="R87" s="19" t="s">
        <v>207</v>
      </c>
      <c r="S87" t="s">
        <v>558</v>
      </c>
    </row>
    <row r="88" spans="1:19" ht="15" customHeight="1" x14ac:dyDescent="0.25">
      <c r="A88" s="32">
        <v>46305</v>
      </c>
      <c r="B88" s="19" t="s">
        <v>106</v>
      </c>
      <c r="C88" s="19">
        <v>2</v>
      </c>
      <c r="D88" s="19" t="s">
        <v>98</v>
      </c>
      <c r="E88" s="20">
        <f>IF($B88="","",INDEX(Simulador!$D$7:$D$232,MATCH($B88,Simulador!$A$7:$A$232,0)))</f>
        <v>132.9</v>
      </c>
      <c r="F88" s="20"/>
      <c r="G88" s="13">
        <f t="shared" si="12"/>
        <v>265.8</v>
      </c>
      <c r="H88" s="8" t="str">
        <f>IF($B88="","",INDEX(Simulador!$B$7:$B$232,MATCH($B88,Simulador!$A$7:$A$232,0)))</f>
        <v>Pequenos</v>
      </c>
      <c r="I88" s="13">
        <f>IF(OR(H88="",$D88=""),"",INDEX(Ref_Frete!$B$2:$G$54,MATCH($D88,Ref_Frete!$A$2:$A$54,0),IF(H88="Pequenos",2,IF(H88="Medios",4,6))))</f>
        <v>16.899999999999999</v>
      </c>
      <c r="J88" s="20">
        <v>18</v>
      </c>
      <c r="K88" s="20">
        <f t="shared" si="17"/>
        <v>38.159999999999997</v>
      </c>
      <c r="L88" s="13">
        <f>IF(OR($B88="",$C88=""),"",$C88*INDEX(Simulador!$F$7:$F$232,MATCH($B88,Simulador!$A$7:$A$232,0)))</f>
        <v>126.22</v>
      </c>
      <c r="M88" s="13">
        <f t="shared" si="13"/>
        <v>26.580000000000002</v>
      </c>
      <c r="N88" s="35">
        <f t="shared" si="14"/>
        <v>73.739999999999995</v>
      </c>
      <c r="O88" s="12">
        <f t="shared" si="15"/>
        <v>0.27742663656884875</v>
      </c>
      <c r="P88" s="22" t="str">
        <f t="shared" si="16"/>
        <v>ACIMA DA META (&gt;20%)</v>
      </c>
      <c r="Q88" s="19"/>
      <c r="R88" s="19" t="s">
        <v>210</v>
      </c>
      <c r="S88" t="s">
        <v>558</v>
      </c>
    </row>
    <row r="89" spans="1:19" ht="15" customHeight="1" x14ac:dyDescent="0.25">
      <c r="A89" s="32">
        <v>46306</v>
      </c>
      <c r="B89" s="19" t="s">
        <v>57</v>
      </c>
      <c r="C89" s="19">
        <v>1</v>
      </c>
      <c r="D89" s="19" t="s">
        <v>215</v>
      </c>
      <c r="E89" s="20">
        <f>IF($B89="","",INDEX(Simulador!$D$7:$D$232,MATCH($B89,Simulador!$A$7:$A$232,0)))</f>
        <v>616.17999999999995</v>
      </c>
      <c r="F89" s="20">
        <v>92.43</v>
      </c>
      <c r="G89" s="13">
        <f t="shared" si="12"/>
        <v>523.75</v>
      </c>
      <c r="H89" s="8" t="str">
        <f>IF($B89="","",INDEX(Simulador!$B$7:$B$232,MATCH($B89,Simulador!$A$7:$A$232,0)))</f>
        <v>Medios</v>
      </c>
      <c r="I89" s="13">
        <f>IF(OR(H89="",$D89=""),"",INDEX(Ref_Frete!$B$2:$G$54,MATCH($D89,Ref_Frete!$A$2:$A$54,0),IF(H89="Pequenos",2,IF(H89="Medios",4,6))))</f>
        <v>59.9</v>
      </c>
      <c r="J89" s="20">
        <v>58.1</v>
      </c>
      <c r="K89" s="20">
        <f t="shared" si="17"/>
        <v>78.790000000000006</v>
      </c>
      <c r="L89" s="13">
        <f>IF(OR($B89="",$C89=""),"",$C89*INDEX(Simulador!$F$7:$F$232,MATCH($B89,Simulador!$A$7:$A$232,0)))</f>
        <v>307.26</v>
      </c>
      <c r="M89" s="13">
        <f t="shared" si="13"/>
        <v>52.375</v>
      </c>
      <c r="N89" s="35">
        <f t="shared" si="14"/>
        <v>87.124999999999943</v>
      </c>
      <c r="O89" s="12">
        <f t="shared" si="15"/>
        <v>0.16634844868735071</v>
      </c>
      <c r="P89" s="22" t="str">
        <f t="shared" si="16"/>
        <v>DENTRO DA META (15-20%)</v>
      </c>
      <c r="Q89" s="19"/>
      <c r="R89" s="19" t="s">
        <v>207</v>
      </c>
      <c r="S89" t="s">
        <v>558</v>
      </c>
    </row>
    <row r="90" spans="1:19" ht="15" customHeight="1" x14ac:dyDescent="0.25">
      <c r="A90" s="32">
        <v>46306</v>
      </c>
      <c r="B90" s="19" t="s">
        <v>49</v>
      </c>
      <c r="C90" s="19">
        <v>5</v>
      </c>
      <c r="D90" s="19" t="s">
        <v>97</v>
      </c>
      <c r="E90" s="20">
        <f>IF($B90="","",INDEX(Simulador!$D$7:$D$232,MATCH($B90,Simulador!$A$7:$A$232,0)))</f>
        <v>127.9</v>
      </c>
      <c r="F90" s="20">
        <v>51.16</v>
      </c>
      <c r="G90" s="13">
        <f t="shared" si="12"/>
        <v>588.34</v>
      </c>
      <c r="H90" s="8" t="str">
        <f>IF($B90="","",INDEX(Simulador!$B$7:$B$232,MATCH($B90,Simulador!$A$7:$A$232,0)))</f>
        <v>Pequenos</v>
      </c>
      <c r="I90" s="13">
        <f>IF(OR(H90="",$D90=""),"",INDEX(Ref_Frete!$B$2:$G$54,MATCH($D90,Ref_Frete!$A$2:$A$54,0),IF(H90="Pequenos",2,IF(H90="Medios",4,6))))</f>
        <v>24.9</v>
      </c>
      <c r="J90" s="20">
        <v>89.54</v>
      </c>
      <c r="K90" s="20">
        <f t="shared" si="17"/>
        <v>82.79</v>
      </c>
      <c r="L90" s="13">
        <f>IF(OR($B90="",$C90=""),"",$C90*INDEX(Simulador!$F$7:$F$232,MATCH($B90,Simulador!$A$7:$A$232,0)))</f>
        <v>301.05</v>
      </c>
      <c r="M90" s="13">
        <f t="shared" si="13"/>
        <v>58.834000000000003</v>
      </c>
      <c r="N90" s="35">
        <f t="shared" si="14"/>
        <v>81.02600000000001</v>
      </c>
      <c r="O90" s="12">
        <f t="shared" si="15"/>
        <v>0.13771968589591055</v>
      </c>
      <c r="P90" s="22" t="str">
        <f t="shared" si="16"/>
        <v>ABAIXO DA META (10-15%)</v>
      </c>
      <c r="Q90" s="19"/>
      <c r="R90" s="19" t="s">
        <v>210</v>
      </c>
      <c r="S90" t="s">
        <v>558</v>
      </c>
    </row>
    <row r="91" spans="1:19" ht="15" customHeight="1" x14ac:dyDescent="0.25">
      <c r="A91" s="32">
        <v>46306</v>
      </c>
      <c r="B91" s="19" t="s">
        <v>106</v>
      </c>
      <c r="C91" s="19">
        <v>3</v>
      </c>
      <c r="D91" s="19" t="s">
        <v>98</v>
      </c>
      <c r="E91" s="20">
        <f>IF($B91="","",INDEX(Simulador!$D$7:$D$232,MATCH($B91,Simulador!$A$7:$A$232,0)))</f>
        <v>132.9</v>
      </c>
      <c r="F91" s="20">
        <v>19.940000000000001</v>
      </c>
      <c r="G91" s="13">
        <f t="shared" si="12"/>
        <v>378.76000000000005</v>
      </c>
      <c r="H91" s="8" t="str">
        <f>IF($B91="","",INDEX(Simulador!$B$7:$B$232,MATCH($B91,Simulador!$A$7:$A$232,0)))</f>
        <v>Pequenos</v>
      </c>
      <c r="I91" s="13">
        <f>IF(OR(H91="",$D91=""),"",INDEX(Ref_Frete!$B$2:$G$54,MATCH($D91,Ref_Frete!$A$2:$A$54,0),IF(H91="Pequenos",2,IF(H91="Medios",4,6))))</f>
        <v>16.899999999999999</v>
      </c>
      <c r="J91" s="20">
        <v>24.39</v>
      </c>
      <c r="K91" s="20">
        <f t="shared" si="17"/>
        <v>53.41</v>
      </c>
      <c r="L91" s="13">
        <f>IF(OR($B91="",$C91=""),"",$C91*INDEX(Simulador!$F$7:$F$232,MATCH($B91,Simulador!$A$7:$A$232,0)))</f>
        <v>189.32999999999998</v>
      </c>
      <c r="M91" s="13">
        <f t="shared" si="13"/>
        <v>37.876000000000005</v>
      </c>
      <c r="N91" s="35">
        <f t="shared" si="14"/>
        <v>90.654000000000025</v>
      </c>
      <c r="O91" s="12">
        <f t="shared" si="15"/>
        <v>0.23934417573133387</v>
      </c>
      <c r="P91" s="22" t="str">
        <f t="shared" si="16"/>
        <v>ACIMA DA META (&gt;20%)</v>
      </c>
      <c r="Q91" s="19"/>
      <c r="R91" s="19" t="s">
        <v>207</v>
      </c>
      <c r="S91" t="s">
        <v>558</v>
      </c>
    </row>
    <row r="92" spans="1:19" ht="15" customHeight="1" x14ac:dyDescent="0.25">
      <c r="A92" s="32">
        <v>46306</v>
      </c>
      <c r="B92" s="19" t="s">
        <v>33</v>
      </c>
      <c r="C92" s="19">
        <v>1</v>
      </c>
      <c r="D92" s="19" t="s">
        <v>211</v>
      </c>
      <c r="E92" s="20">
        <f>IF($B92="","",INDEX(Simulador!$D$7:$D$232,MATCH($B92,Simulador!$A$7:$A$232,0)))</f>
        <v>123.93</v>
      </c>
      <c r="F92" s="20"/>
      <c r="G92" s="13">
        <f t="shared" si="12"/>
        <v>123.93</v>
      </c>
      <c r="H92" s="8" t="str">
        <f>IF($B92="","",INDEX(Simulador!$B$7:$B$232,MATCH($B92,Simulador!$A$7:$A$232,0)))</f>
        <v>Pequenos</v>
      </c>
      <c r="I92" s="13">
        <f>IF(OR(H92="",$D92=""),"",INDEX(Ref_Frete!$B$2:$G$54,MATCH($D92,Ref_Frete!$A$2:$A$54,0),IF(H92="Pequenos",2,IF(H92="Medios",4,6))))</f>
        <v>12.9</v>
      </c>
      <c r="J92" s="20">
        <v>12.87</v>
      </c>
      <c r="K92" s="20">
        <f t="shared" si="17"/>
        <v>18.47</v>
      </c>
      <c r="L92" s="13">
        <f>IF(OR($B92="",$C92=""),"",$C92*INDEX(Simulador!$F$7:$F$232,MATCH($B92,Simulador!$A$7:$A$232,0)))</f>
        <v>59.8</v>
      </c>
      <c r="M92" s="13">
        <f t="shared" si="13"/>
        <v>12.393000000000001</v>
      </c>
      <c r="N92" s="35">
        <f t="shared" si="14"/>
        <v>33.297000000000011</v>
      </c>
      <c r="O92" s="12">
        <f t="shared" si="15"/>
        <v>0.26867586540789162</v>
      </c>
      <c r="P92" s="22" t="str">
        <f t="shared" si="16"/>
        <v>ACIMA DA META (&gt;20%)</v>
      </c>
      <c r="Q92" s="19"/>
      <c r="R92" s="19" t="s">
        <v>210</v>
      </c>
      <c r="S92" t="s">
        <v>558</v>
      </c>
    </row>
    <row r="93" spans="1:19" ht="15" customHeight="1" x14ac:dyDescent="0.25">
      <c r="A93" s="32">
        <v>46308</v>
      </c>
      <c r="B93" s="19" t="s">
        <v>104</v>
      </c>
      <c r="C93" s="19">
        <v>1</v>
      </c>
      <c r="D93" s="19" t="s">
        <v>206</v>
      </c>
      <c r="E93" s="20">
        <f>IF($B93="","",INDEX(Simulador!$D$7:$D$232,MATCH($B93,Simulador!$A$7:$A$232,0)))</f>
        <v>129.9</v>
      </c>
      <c r="F93" s="20"/>
      <c r="G93" s="13">
        <f t="shared" si="12"/>
        <v>129.9</v>
      </c>
      <c r="H93" s="8" t="str">
        <f>IF($B93="","",INDEX(Simulador!$B$7:$B$232,MATCH($B93,Simulador!$A$7:$A$232,0)))</f>
        <v>Pequenos</v>
      </c>
      <c r="I93" s="13">
        <f>IF(OR(H93="",$D93=""),"",INDEX(Ref_Frete!$B$2:$G$54,MATCH($D93,Ref_Frete!$A$2:$A$54,0),IF(H93="Pequenos",2,IF(H93="Medios",4,6))))</f>
        <v>52</v>
      </c>
      <c r="J93" s="20">
        <v>16.04</v>
      </c>
      <c r="K93" s="20">
        <f t="shared" si="17"/>
        <v>24.56</v>
      </c>
      <c r="L93" s="13">
        <f>IF(OR($B93="",$C93=""),"",$C93*INDEX(Simulador!$F$7:$F$232,MATCH($B93,Simulador!$A$7:$A$232,0)))</f>
        <v>60.62</v>
      </c>
      <c r="M93" s="13">
        <f t="shared" si="13"/>
        <v>12.990000000000002</v>
      </c>
      <c r="N93" s="35">
        <f t="shared" si="14"/>
        <v>67.69</v>
      </c>
      <c r="O93" s="12">
        <f t="shared" si="15"/>
        <v>0.52109314857582756</v>
      </c>
      <c r="P93" s="22" t="str">
        <f t="shared" si="16"/>
        <v>ACIMA DA META (&gt;20%)</v>
      </c>
      <c r="Q93" s="19"/>
      <c r="R93" s="19" t="s">
        <v>210</v>
      </c>
      <c r="S93" t="s">
        <v>558</v>
      </c>
    </row>
    <row r="94" spans="1:19" ht="15" customHeight="1" x14ac:dyDescent="0.25">
      <c r="A94" s="32">
        <v>46310</v>
      </c>
      <c r="B94" s="19" t="s">
        <v>57</v>
      </c>
      <c r="C94" s="19">
        <v>1</v>
      </c>
      <c r="D94" s="19" t="s">
        <v>405</v>
      </c>
      <c r="E94" s="20">
        <f>IF($B94="","",INDEX(Simulador!$D$7:$D$232,MATCH($B94,Simulador!$A$7:$A$232,0)))</f>
        <v>616.17999999999995</v>
      </c>
      <c r="F94" s="20"/>
      <c r="G94" s="13">
        <f t="shared" si="12"/>
        <v>616.17999999999995</v>
      </c>
      <c r="H94" s="8" t="str">
        <f>IF($B94="","",INDEX(Simulador!$B$7:$B$232,MATCH($B94,Simulador!$A$7:$A$232,0)))</f>
        <v>Medios</v>
      </c>
      <c r="I94" s="13">
        <f>IF(OR(H94="",$D94=""),"",INDEX(Ref_Frete!$B$2:$G$54,MATCH($D94,Ref_Frete!$A$2:$A$54,0),IF(H94="Pequenos",2,IF(H94="Medios",4,6))))</f>
        <v>69.900000000000006</v>
      </c>
      <c r="J94" s="20">
        <v>63.46</v>
      </c>
      <c r="K94" s="20">
        <f t="shared" si="17"/>
        <v>92.62</v>
      </c>
      <c r="L94" s="13">
        <f>IF(OR($B94="",$C94=""),"",$C94*INDEX(Simulador!$F$7:$F$232,MATCH($B94,Simulador!$A$7:$A$232,0)))</f>
        <v>307.26</v>
      </c>
      <c r="M94" s="13">
        <f t="shared" si="13"/>
        <v>61.617999999999995</v>
      </c>
      <c r="N94" s="35">
        <f t="shared" si="14"/>
        <v>161.1219999999999</v>
      </c>
      <c r="O94" s="12">
        <f t="shared" si="15"/>
        <v>0.26148528027524409</v>
      </c>
      <c r="P94" s="22" t="str">
        <f t="shared" si="16"/>
        <v>ACIMA DA META (&gt;20%)</v>
      </c>
      <c r="Q94" s="19"/>
      <c r="R94" s="19" t="s">
        <v>207</v>
      </c>
      <c r="S94" t="s">
        <v>558</v>
      </c>
    </row>
    <row r="95" spans="1:19" ht="15" customHeight="1" x14ac:dyDescent="0.25">
      <c r="A95" s="32">
        <v>46314</v>
      </c>
      <c r="B95" s="19" t="s">
        <v>37</v>
      </c>
      <c r="C95" s="19">
        <v>1</v>
      </c>
      <c r="D95" s="19" t="s">
        <v>247</v>
      </c>
      <c r="E95" s="20">
        <f>IF($B95="","",INDEX(Simulador!$D$7:$D$232,MATCH($B95,Simulador!$A$7:$A$232,0)))</f>
        <v>116</v>
      </c>
      <c r="F95" s="20"/>
      <c r="G95" s="13">
        <f t="shared" si="12"/>
        <v>116</v>
      </c>
      <c r="H95" s="8" t="str">
        <f>IF($B95="","",INDEX(Simulador!$B$7:$B$232,MATCH($B95,Simulador!$A$7:$A$232,0)))</f>
        <v>Pequenos</v>
      </c>
      <c r="I95" s="13">
        <f>IF(OR(H95="",$D95=""),"",INDEX(Ref_Frete!$B$2:$G$54,MATCH($D95,Ref_Frete!$A$2:$A$54,0),IF(H95="Pequenos",2,IF(H95="Medios",4,6))))</f>
        <v>24.9</v>
      </c>
      <c r="J95" s="20">
        <v>11.7</v>
      </c>
      <c r="K95" s="20">
        <f t="shared" si="17"/>
        <v>19.02</v>
      </c>
      <c r="L95" s="13">
        <f>IF(OR($B95="",$C95=""),"",$C95*INDEX(Simulador!$F$7:$F$232,MATCH($B95,Simulador!$A$7:$A$232,0)))</f>
        <v>54.47</v>
      </c>
      <c r="M95" s="13">
        <f t="shared" si="13"/>
        <v>11.600000000000001</v>
      </c>
      <c r="N95" s="35">
        <f t="shared" si="14"/>
        <v>44.110000000000021</v>
      </c>
      <c r="O95" s="12">
        <f t="shared" si="15"/>
        <v>0.38025862068965532</v>
      </c>
      <c r="P95" s="22" t="str">
        <f t="shared" si="16"/>
        <v>ACIMA DA META (&gt;20%)</v>
      </c>
      <c r="Q95" s="19"/>
      <c r="R95" s="19"/>
      <c r="S95" t="s">
        <v>558</v>
      </c>
    </row>
    <row r="96" spans="1:19" ht="15" customHeight="1" x14ac:dyDescent="0.25">
      <c r="A96" s="32">
        <v>46314</v>
      </c>
      <c r="B96" s="19" t="s">
        <v>34</v>
      </c>
      <c r="C96" s="19">
        <v>1</v>
      </c>
      <c r="D96" s="19" t="s">
        <v>213</v>
      </c>
      <c r="E96" s="20">
        <f>IF($B96="","",INDEX(Simulador!$D$7:$D$232,MATCH($B96,Simulador!$A$7:$A$232,0)))</f>
        <v>104.9</v>
      </c>
      <c r="F96" s="20"/>
      <c r="G96" s="13">
        <f t="shared" si="12"/>
        <v>104.9</v>
      </c>
      <c r="H96" s="8" t="str">
        <f>IF($B96="","",INDEX(Simulador!$B$7:$B$232,MATCH($B96,Simulador!$A$7:$A$232,0)))</f>
        <v>Pequenos</v>
      </c>
      <c r="I96" s="13">
        <f>IF(OR(H96="",$D96=""),"",INDEX(Ref_Frete!$B$2:$G$54,MATCH($D96,Ref_Frete!$A$2:$A$54,0),IF(H96="Pequenos",2,IF(H96="Medios",4,6))))</f>
        <v>24.9</v>
      </c>
      <c r="J96" s="20">
        <v>14.22</v>
      </c>
      <c r="K96" s="20">
        <f t="shared" si="17"/>
        <v>17.52</v>
      </c>
      <c r="L96" s="13">
        <f>IF(OR($B96="",$C96=""),"",$C96*INDEX(Simulador!$F$7:$F$232,MATCH($B96,Simulador!$A$7:$A$232,0)))</f>
        <v>48.18</v>
      </c>
      <c r="M96" s="13">
        <f t="shared" si="13"/>
        <v>10.490000000000002</v>
      </c>
      <c r="N96" s="35">
        <f t="shared" si="14"/>
        <v>39.390000000000015</v>
      </c>
      <c r="O96" s="12">
        <f t="shared" si="15"/>
        <v>0.37550047664442338</v>
      </c>
      <c r="P96" s="22" t="str">
        <f t="shared" si="16"/>
        <v>ACIMA DA META (&gt;20%)</v>
      </c>
      <c r="Q96" s="19"/>
      <c r="R96" s="19"/>
      <c r="S96" t="s">
        <v>558</v>
      </c>
    </row>
    <row r="97" spans="1:19" ht="15" customHeight="1" x14ac:dyDescent="0.25">
      <c r="A97" s="32">
        <v>46314</v>
      </c>
      <c r="B97" s="19" t="s">
        <v>155</v>
      </c>
      <c r="C97" s="19">
        <v>1</v>
      </c>
      <c r="D97" s="19" t="s">
        <v>394</v>
      </c>
      <c r="E97" s="20">
        <f>IF($B97="","",INDEX(Simulador!$D$7:$D$232,MATCH($B97,Simulador!$A$7:$A$232,0)))</f>
        <v>467.67</v>
      </c>
      <c r="F97" s="20"/>
      <c r="G97" s="13">
        <f t="shared" si="12"/>
        <v>467.67</v>
      </c>
      <c r="H97" s="8" t="str">
        <f>IF($B97="","",INDEX(Simulador!$B$7:$B$232,MATCH($B97,Simulador!$A$7:$A$232,0)))</f>
        <v>Medios</v>
      </c>
      <c r="I97" s="13">
        <f>IF(OR(H97="",$D97=""),"",INDEX(Ref_Frete!$B$2:$G$54,MATCH($D97,Ref_Frete!$A$2:$A$54,0),IF(H97="Pequenos",2,IF(H97="Medios",4,6))))</f>
        <v>142</v>
      </c>
      <c r="J97" s="20">
        <v>96.04</v>
      </c>
      <c r="K97" s="20">
        <f t="shared" si="17"/>
        <v>82.31</v>
      </c>
      <c r="L97" s="13">
        <f>IF(OR($B97="",$C97=""),"",$C97*INDEX(Simulador!$F$7:$F$232,MATCH($B97,Simulador!$A$7:$A$232,0)))</f>
        <v>240.55</v>
      </c>
      <c r="M97" s="13">
        <f t="shared" si="13"/>
        <v>46.767000000000003</v>
      </c>
      <c r="N97" s="35">
        <f t="shared" si="14"/>
        <v>144.0030000000001</v>
      </c>
      <c r="O97" s="12">
        <f t="shared" si="15"/>
        <v>0.30791583809096179</v>
      </c>
      <c r="P97" s="22" t="str">
        <f t="shared" si="16"/>
        <v>ACIMA DA META (&gt;20%)</v>
      </c>
      <c r="Q97" s="19"/>
      <c r="R97" s="19"/>
      <c r="S97" t="s">
        <v>558</v>
      </c>
    </row>
    <row r="98" spans="1:19" ht="15" customHeight="1" x14ac:dyDescent="0.25">
      <c r="A98" s="32">
        <v>46316</v>
      </c>
      <c r="B98" s="19" t="s">
        <v>57</v>
      </c>
      <c r="C98" s="19">
        <v>1</v>
      </c>
      <c r="D98" s="19" t="s">
        <v>211</v>
      </c>
      <c r="E98" s="20">
        <f>IF($B98="","",INDEX(Simulador!$D$7:$D$232,MATCH($B98,Simulador!$A$7:$A$232,0)))</f>
        <v>616.17999999999995</v>
      </c>
      <c r="F98" s="20"/>
      <c r="G98" s="13">
        <f t="shared" si="12"/>
        <v>616.17999999999995</v>
      </c>
      <c r="H98" s="8" t="str">
        <f>IF($B98="","",INDEX(Simulador!$B$7:$B$232,MATCH($B98,Simulador!$A$7:$A$232,0)))</f>
        <v>Medios</v>
      </c>
      <c r="I98" s="13">
        <f>IF(OR(H98="",$D98=""),"",INDEX(Ref_Frete!$B$2:$G$54,MATCH($D98,Ref_Frete!$A$2:$A$54,0),IF(H98="Pequenos",2,IF(H98="Medios",4,6))))</f>
        <v>34.9</v>
      </c>
      <c r="J98" s="20">
        <v>30.29</v>
      </c>
      <c r="K98" s="20">
        <f t="shared" si="17"/>
        <v>87.9</v>
      </c>
      <c r="L98" s="13">
        <f>IF(OR($B98="",$C98=""),"",$C98*INDEX(Simulador!$F$7:$F$232,MATCH($B98,Simulador!$A$7:$A$232,0)))</f>
        <v>307.26</v>
      </c>
      <c r="M98" s="13">
        <f t="shared" si="13"/>
        <v>61.617999999999995</v>
      </c>
      <c r="N98" s="35">
        <f t="shared" si="14"/>
        <v>164.012</v>
      </c>
      <c r="O98" s="12">
        <f t="shared" si="15"/>
        <v>0.26617546820734206</v>
      </c>
      <c r="P98" s="22" t="str">
        <f t="shared" si="16"/>
        <v>ACIMA DA META (&gt;20%)</v>
      </c>
      <c r="Q98" s="19"/>
      <c r="R98" s="19"/>
      <c r="S98" t="s">
        <v>558</v>
      </c>
    </row>
    <row r="99" spans="1:19" ht="15" customHeight="1" x14ac:dyDescent="0.25">
      <c r="A99" s="32">
        <v>46316</v>
      </c>
      <c r="B99" s="19" t="s">
        <v>126</v>
      </c>
      <c r="C99" s="19">
        <v>2</v>
      </c>
      <c r="D99" s="19" t="s">
        <v>97</v>
      </c>
      <c r="E99" s="20">
        <f>IF($B99="","",INDEX(Simulador!$D$7:$D$232,MATCH($B99,Simulador!$A$7:$A$232,0)))</f>
        <v>167.89</v>
      </c>
      <c r="F99" s="20"/>
      <c r="G99" s="13">
        <f t="shared" si="12"/>
        <v>335.78</v>
      </c>
      <c r="H99" s="8" t="str">
        <f>IF($B99="","",INDEX(Simulador!$B$7:$B$232,MATCH($B99,Simulador!$A$7:$A$232,0)))</f>
        <v>Pequenos</v>
      </c>
      <c r="I99" s="13">
        <f>IF(OR(H99="",$D99=""),"",INDEX(Ref_Frete!$B$2:$G$54,MATCH($D99,Ref_Frete!$A$2:$A$54,0),IF(H99="Pequenos",2,IF(H99="Medios",4,6))))</f>
        <v>24.9</v>
      </c>
      <c r="J99" s="20">
        <v>23.1</v>
      </c>
      <c r="K99" s="20">
        <f t="shared" si="17"/>
        <v>48.69</v>
      </c>
      <c r="L99" s="13">
        <f>IF(OR($B99="",$C99=""),"",$C99*INDEX(Simulador!$F$7:$F$232,MATCH($B99,Simulador!$A$7:$A$232,0)))</f>
        <v>169.58</v>
      </c>
      <c r="M99" s="13">
        <f t="shared" si="13"/>
        <v>33.577999999999996</v>
      </c>
      <c r="N99" s="35">
        <f t="shared" si="14"/>
        <v>85.731999999999914</v>
      </c>
      <c r="O99" s="12">
        <f t="shared" si="15"/>
        <v>0.25532193698254785</v>
      </c>
      <c r="P99" s="22" t="str">
        <f t="shared" si="16"/>
        <v>ACIMA DA META (&gt;20%)</v>
      </c>
      <c r="Q99" s="19"/>
      <c r="R99" s="19"/>
      <c r="S99" t="s">
        <v>558</v>
      </c>
    </row>
    <row r="100" spans="1:19" ht="15" customHeight="1" x14ac:dyDescent="0.25">
      <c r="A100" s="32">
        <v>46317</v>
      </c>
      <c r="B100" s="19" t="s">
        <v>52</v>
      </c>
      <c r="C100" s="19">
        <v>1</v>
      </c>
      <c r="D100" s="19" t="s">
        <v>409</v>
      </c>
      <c r="E100" s="20">
        <f>IF($B100="","",INDEX(Simulador!$D$7:$D$232,MATCH($B100,Simulador!$A$7:$A$232,0)))</f>
        <v>511.42</v>
      </c>
      <c r="F100" s="20"/>
      <c r="G100" s="13">
        <f t="shared" si="12"/>
        <v>511.42</v>
      </c>
      <c r="H100" s="8" t="str">
        <f>IF($B100="","",INDEX(Simulador!$B$7:$B$232,MATCH($B100,Simulador!$A$7:$A$232,0)))</f>
        <v>Medios</v>
      </c>
      <c r="I100" s="13">
        <f>IF(OR(H100="",$D100=""),"",INDEX(Ref_Frete!$B$2:$G$54,MATCH($D100,Ref_Frete!$A$2:$A$54,0),IF(H100="Pequenos",2,IF(H100="Medios",4,6))))</f>
        <v>59.9</v>
      </c>
      <c r="J100" s="20">
        <v>43.63</v>
      </c>
      <c r="K100" s="20">
        <f t="shared" si="17"/>
        <v>77.13</v>
      </c>
      <c r="L100" s="13">
        <f>IF(OR($B100="",$C100=""),"",$C100*INDEX(Simulador!$F$7:$F$232,MATCH($B100,Simulador!$A$7:$A$232,0)))</f>
        <v>242.26</v>
      </c>
      <c r="M100" s="13">
        <f t="shared" si="13"/>
        <v>51.142000000000003</v>
      </c>
      <c r="N100" s="35">
        <f t="shared" si="14"/>
        <v>157.15800000000007</v>
      </c>
      <c r="O100" s="12">
        <f t="shared" si="15"/>
        <v>0.30729732900551421</v>
      </c>
      <c r="P100" s="22" t="str">
        <f t="shared" si="16"/>
        <v>ACIMA DA META (&gt;20%)</v>
      </c>
      <c r="Q100" s="19"/>
      <c r="R100" s="19"/>
      <c r="S100" t="s">
        <v>558</v>
      </c>
    </row>
    <row r="101" spans="1:19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9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9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9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9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9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9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9" ht="15" customHeight="1" x14ac:dyDescent="0.25">
      <c r="A108" s="3" t="s">
        <v>249</v>
      </c>
      <c r="G108" s="39">
        <f>SUM(G6:G107)</f>
        <v>37492.390000000021</v>
      </c>
      <c r="K108" s="39">
        <f>SUM(K6:K107)</f>
        <v>5709.8300000000036</v>
      </c>
      <c r="L108" s="39">
        <f>SUM(L6:L107)</f>
        <v>19449.800000000003</v>
      </c>
      <c r="M108" s="39">
        <f>SUM(M6:M107)</f>
        <v>3749.2389999999987</v>
      </c>
      <c r="N108" s="39">
        <f>SUM(N6:N107)</f>
        <v>9626.0910000000022</v>
      </c>
      <c r="O108" s="40">
        <f>IF(G108=0,"",N108/G108)</f>
        <v>0.25674786269960376</v>
      </c>
    </row>
    <row r="117" spans="1:1" ht="15" customHeight="1" x14ac:dyDescent="0.25">
      <c r="A117" s="41"/>
    </row>
  </sheetData>
  <conditionalFormatting sqref="S6:S100">
    <cfRule type="cellIs" dxfId="3" priority="1" operator="equal">
      <formula>"DEVOLUÇÃO"</formula>
    </cfRule>
    <cfRule type="cellIs" dxfId="2" priority="2" operator="equal">
      <formula>"VÁLIDO"</formula>
    </cfRule>
  </conditionalFormatting>
  <dataValidations count="2">
    <dataValidation type="list" allowBlank="1" sqref="R6:R107">
      <formula1>"Ads,Orgânico,Conferir"</formula1>
      <formula2>0</formula2>
    </dataValidation>
    <dataValidation type="list" allowBlank="1" showInputMessage="1" showErrorMessage="1" sqref="S6:S1048576">
      <formula1>"VÁLIDO,DEVOLUÇÃO"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"/>
  <sheetViews>
    <sheetView zoomScaleNormal="100" workbookViewId="0">
      <pane ySplit="4" topLeftCell="A69" activePane="bottomLeft" state="frozen"/>
      <selection pane="bottomLeft" activeCell="A76" sqref="A76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18.75" customHeight="1" x14ac:dyDescent="0.25">
      <c r="A37" s="53">
        <v>46250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327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328</v>
      </c>
      <c r="B39" s="43">
        <v>1741.56</v>
      </c>
      <c r="C39" s="16">
        <v>3</v>
      </c>
      <c r="D39" s="16" t="s">
        <v>329</v>
      </c>
      <c r="E39" s="44" t="s">
        <v>210</v>
      </c>
      <c r="F39" s="16" t="s">
        <v>330</v>
      </c>
    </row>
    <row r="40" spans="1:6" ht="15" customHeight="1" x14ac:dyDescent="0.25">
      <c r="A40" s="16" t="s">
        <v>331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332</v>
      </c>
    </row>
    <row r="41" spans="1:6" ht="15" customHeight="1" x14ac:dyDescent="0.25">
      <c r="A41" s="16" t="s">
        <v>333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334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335</v>
      </c>
      <c r="B43" s="43">
        <v>265.8</v>
      </c>
      <c r="C43" s="16">
        <v>2</v>
      </c>
      <c r="D43" s="16" t="s">
        <v>336</v>
      </c>
      <c r="E43" s="44" t="s">
        <v>210</v>
      </c>
      <c r="F43" s="16" t="s">
        <v>337</v>
      </c>
    </row>
    <row r="44" spans="1:6" ht="15" customHeight="1" x14ac:dyDescent="0.25">
      <c r="A44" s="16" t="s">
        <v>335</v>
      </c>
      <c r="B44" s="43">
        <v>779.7</v>
      </c>
      <c r="C44" s="16">
        <v>3</v>
      </c>
      <c r="D44" s="16" t="s">
        <v>338</v>
      </c>
      <c r="E44" s="44" t="s">
        <v>207</v>
      </c>
      <c r="F44" s="16" t="s">
        <v>339</v>
      </c>
    </row>
    <row r="45" spans="1:6" ht="15" customHeight="1" x14ac:dyDescent="0.25">
      <c r="A45" s="16" t="s">
        <v>335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6" spans="1:6" ht="15" customHeight="1" x14ac:dyDescent="0.25">
      <c r="A46" s="55">
        <v>46268</v>
      </c>
      <c r="B46" s="43">
        <v>616.17999999999995</v>
      </c>
      <c r="C46" s="16">
        <v>1</v>
      </c>
      <c r="D46" s="16" t="s">
        <v>57</v>
      </c>
      <c r="E46" s="44" t="s">
        <v>210</v>
      </c>
      <c r="F46" s="16" t="s">
        <v>562</v>
      </c>
    </row>
    <row r="47" spans="1:6" ht="15" customHeight="1" x14ac:dyDescent="0.25">
      <c r="A47" s="54">
        <v>46270</v>
      </c>
      <c r="B47" s="43">
        <v>116</v>
      </c>
      <c r="C47" s="16">
        <v>1</v>
      </c>
      <c r="D47" s="16" t="s">
        <v>37</v>
      </c>
      <c r="E47" s="44" t="s">
        <v>207</v>
      </c>
      <c r="F47" s="16" t="s">
        <v>563</v>
      </c>
    </row>
    <row r="48" spans="1:6" ht="15" customHeight="1" x14ac:dyDescent="0.25">
      <c r="A48" s="54">
        <v>46272</v>
      </c>
      <c r="B48" s="43">
        <v>223.88</v>
      </c>
      <c r="C48" s="16">
        <v>1</v>
      </c>
      <c r="D48" s="16" t="s">
        <v>161</v>
      </c>
      <c r="E48" s="44" t="s">
        <v>210</v>
      </c>
      <c r="F48" s="16" t="s">
        <v>564</v>
      </c>
    </row>
    <row r="49" spans="1:6" ht="15" customHeight="1" x14ac:dyDescent="0.25">
      <c r="A49" s="54">
        <v>46273</v>
      </c>
      <c r="B49" s="43">
        <v>302.2</v>
      </c>
      <c r="C49" s="16">
        <v>2</v>
      </c>
      <c r="D49" s="16" t="s">
        <v>268</v>
      </c>
      <c r="E49" s="44" t="s">
        <v>207</v>
      </c>
      <c r="F49" s="16" t="s">
        <v>565</v>
      </c>
    </row>
    <row r="50" spans="1:6" ht="15" customHeight="1" x14ac:dyDescent="0.25">
      <c r="A50" s="54">
        <v>46273</v>
      </c>
      <c r="B50" s="43">
        <v>151.1</v>
      </c>
      <c r="C50" s="16">
        <v>1</v>
      </c>
      <c r="D50" s="16" t="s">
        <v>126</v>
      </c>
      <c r="E50" s="44" t="s">
        <v>210</v>
      </c>
      <c r="F50" s="16" t="s">
        <v>566</v>
      </c>
    </row>
    <row r="51" spans="1:6" ht="15" customHeight="1" x14ac:dyDescent="0.25">
      <c r="A51" s="54">
        <v>46277</v>
      </c>
      <c r="B51" s="43">
        <v>398.35</v>
      </c>
      <c r="C51" s="16">
        <v>1</v>
      </c>
      <c r="D51" s="16" t="s">
        <v>138</v>
      </c>
      <c r="E51" s="44" t="s">
        <v>210</v>
      </c>
      <c r="F51" s="16" t="s">
        <v>567</v>
      </c>
    </row>
    <row r="52" spans="1:6" ht="15" customHeight="1" x14ac:dyDescent="0.25">
      <c r="A52" s="54">
        <v>46278</v>
      </c>
      <c r="B52" s="43">
        <v>519.03</v>
      </c>
      <c r="C52" s="16">
        <v>3</v>
      </c>
      <c r="D52" s="16" t="s">
        <v>282</v>
      </c>
      <c r="E52" s="44" t="s">
        <v>210</v>
      </c>
      <c r="F52" s="16" t="s">
        <v>568</v>
      </c>
    </row>
    <row r="53" spans="1:6" ht="15" customHeight="1" x14ac:dyDescent="0.25">
      <c r="A53" s="54">
        <v>46279</v>
      </c>
      <c r="B53" s="43">
        <v>116</v>
      </c>
      <c r="C53" s="16">
        <v>1</v>
      </c>
      <c r="D53" s="16" t="s">
        <v>37</v>
      </c>
      <c r="E53" s="44" t="s">
        <v>207</v>
      </c>
      <c r="F53" s="16" t="s">
        <v>563</v>
      </c>
    </row>
    <row r="54" spans="1:6" ht="15" customHeight="1" x14ac:dyDescent="0.25">
      <c r="A54" s="54">
        <v>46280</v>
      </c>
      <c r="B54" s="43">
        <v>616.17999999999995</v>
      </c>
      <c r="C54" s="16">
        <v>1</v>
      </c>
      <c r="D54" s="16" t="s">
        <v>57</v>
      </c>
      <c r="E54" s="44" t="s">
        <v>210</v>
      </c>
      <c r="F54" s="16" t="s">
        <v>569</v>
      </c>
    </row>
    <row r="55" spans="1:6" ht="15" customHeight="1" x14ac:dyDescent="0.25">
      <c r="A55" s="54">
        <v>46280</v>
      </c>
      <c r="B55" s="43">
        <v>132.9</v>
      </c>
      <c r="C55" s="16">
        <v>1</v>
      </c>
      <c r="D55" s="16" t="s">
        <v>106</v>
      </c>
      <c r="E55" s="44" t="s">
        <v>210</v>
      </c>
      <c r="F55" s="16" t="s">
        <v>570</v>
      </c>
    </row>
    <row r="56" spans="1:6" ht="15" customHeight="1" x14ac:dyDescent="0.25">
      <c r="A56" s="54">
        <v>46284</v>
      </c>
      <c r="B56" s="43">
        <v>132.9</v>
      </c>
      <c r="C56" s="16">
        <v>1</v>
      </c>
      <c r="D56" s="16" t="s">
        <v>106</v>
      </c>
      <c r="E56" s="44" t="s">
        <v>210</v>
      </c>
      <c r="F56" s="16" t="s">
        <v>571</v>
      </c>
    </row>
    <row r="57" spans="1:6" ht="15" customHeight="1" x14ac:dyDescent="0.25">
      <c r="A57" s="54">
        <v>46285</v>
      </c>
      <c r="B57" s="43">
        <v>398.7</v>
      </c>
      <c r="C57" s="16">
        <v>3</v>
      </c>
      <c r="D57" s="16" t="s">
        <v>572</v>
      </c>
      <c r="E57" s="44" t="s">
        <v>207</v>
      </c>
      <c r="F57" s="16" t="s">
        <v>573</v>
      </c>
    </row>
    <row r="58" spans="1:6" ht="15" customHeight="1" x14ac:dyDescent="0.25">
      <c r="A58" s="54">
        <v>46287</v>
      </c>
      <c r="B58" s="43">
        <v>386.72</v>
      </c>
      <c r="C58" s="16">
        <v>2</v>
      </c>
      <c r="D58" s="16" t="s">
        <v>324</v>
      </c>
      <c r="E58" s="44" t="s">
        <v>207</v>
      </c>
      <c r="F58" s="16" t="s">
        <v>574</v>
      </c>
    </row>
    <row r="59" spans="1:6" ht="15" customHeight="1" x14ac:dyDescent="0.25">
      <c r="A59" s="54">
        <v>46288</v>
      </c>
      <c r="B59" s="43">
        <v>674.62</v>
      </c>
      <c r="C59" s="16">
        <v>1</v>
      </c>
      <c r="D59" s="16" t="s">
        <v>129</v>
      </c>
      <c r="E59" s="44" t="s">
        <v>207</v>
      </c>
      <c r="F59" s="16" t="s">
        <v>575</v>
      </c>
    </row>
    <row r="60" spans="1:6" ht="15" customHeight="1" x14ac:dyDescent="0.25">
      <c r="A60" s="54">
        <v>46289</v>
      </c>
      <c r="B60" s="43">
        <v>110.2</v>
      </c>
      <c r="C60" s="16">
        <v>1</v>
      </c>
      <c r="D60" s="16" t="s">
        <v>37</v>
      </c>
      <c r="E60" s="44" t="s">
        <v>207</v>
      </c>
      <c r="F60" s="16" t="s">
        <v>574</v>
      </c>
    </row>
    <row r="61" spans="1:6" ht="15" customHeight="1" x14ac:dyDescent="0.25">
      <c r="A61" s="54">
        <v>46289</v>
      </c>
      <c r="B61" s="43">
        <v>580.08000000000004</v>
      </c>
      <c r="C61" s="16">
        <v>3</v>
      </c>
      <c r="D61" s="16" t="s">
        <v>282</v>
      </c>
      <c r="E61" s="44" t="s">
        <v>210</v>
      </c>
      <c r="F61" s="16" t="s">
        <v>576</v>
      </c>
    </row>
    <row r="62" spans="1:6" ht="15" customHeight="1" x14ac:dyDescent="0.25">
      <c r="A62" s="54">
        <v>46291</v>
      </c>
      <c r="B62" s="43">
        <v>110.2</v>
      </c>
      <c r="C62" s="16">
        <v>1</v>
      </c>
      <c r="D62" s="16" t="s">
        <v>37</v>
      </c>
      <c r="E62" s="44" t="s">
        <v>210</v>
      </c>
      <c r="F62" s="16" t="s">
        <v>577</v>
      </c>
    </row>
    <row r="63" spans="1:6" ht="15" customHeight="1" x14ac:dyDescent="0.25">
      <c r="A63" s="54">
        <v>46293</v>
      </c>
      <c r="B63" s="43">
        <v>153.72</v>
      </c>
      <c r="C63" s="16">
        <v>1</v>
      </c>
      <c r="D63" s="16" t="s">
        <v>108</v>
      </c>
      <c r="E63" s="44" t="s">
        <v>207</v>
      </c>
      <c r="F63" s="16" t="s">
        <v>563</v>
      </c>
    </row>
    <row r="64" spans="1:6" ht="15" customHeight="1" x14ac:dyDescent="0.25">
      <c r="A64" s="54">
        <v>46293</v>
      </c>
      <c r="B64" s="43">
        <v>123.93</v>
      </c>
      <c r="C64" s="16">
        <v>1</v>
      </c>
      <c r="D64" s="16" t="s">
        <v>33</v>
      </c>
      <c r="E64" s="44" t="s">
        <v>210</v>
      </c>
      <c r="F64" s="16" t="s">
        <v>578</v>
      </c>
    </row>
    <row r="65" spans="1:6" ht="15" customHeight="1" x14ac:dyDescent="0.25">
      <c r="A65" s="54">
        <v>46295</v>
      </c>
      <c r="B65" s="43">
        <v>1070.17</v>
      </c>
      <c r="C65" s="16">
        <v>1</v>
      </c>
      <c r="D65" s="16" t="s">
        <v>61</v>
      </c>
      <c r="E65" s="44" t="s">
        <v>210</v>
      </c>
      <c r="F65" s="16" t="s">
        <v>579</v>
      </c>
    </row>
    <row r="66" spans="1:6" ht="15" customHeight="1" x14ac:dyDescent="0.25">
      <c r="A66" s="54">
        <v>46295</v>
      </c>
      <c r="B66" s="43">
        <v>616.17999999999995</v>
      </c>
      <c r="C66" s="16">
        <v>1</v>
      </c>
      <c r="D66" s="16" t="s">
        <v>57</v>
      </c>
      <c r="E66" s="44" t="s">
        <v>210</v>
      </c>
      <c r="F66" s="16" t="s">
        <v>580</v>
      </c>
    </row>
    <row r="68" spans="1:6" ht="15" customHeight="1" x14ac:dyDescent="0.25">
      <c r="A68" s="3" t="s">
        <v>340</v>
      </c>
    </row>
    <row r="69" spans="1:6" ht="15" customHeight="1" x14ac:dyDescent="0.25">
      <c r="A69" s="45" t="s">
        <v>341</v>
      </c>
      <c r="B69" s="45" t="s">
        <v>342</v>
      </c>
      <c r="C69" s="45" t="s">
        <v>343</v>
      </c>
      <c r="D69" s="45" t="s">
        <v>344</v>
      </c>
      <c r="E69" s="45" t="s">
        <v>345</v>
      </c>
    </row>
    <row r="70" spans="1:6" ht="15" customHeight="1" x14ac:dyDescent="0.25">
      <c r="A70" s="16" t="s">
        <v>346</v>
      </c>
      <c r="B70" s="43">
        <v>3312.09</v>
      </c>
      <c r="C70" s="56">
        <v>2346.75</v>
      </c>
      <c r="D70" s="43">
        <v>965.34</v>
      </c>
      <c r="E70" s="46">
        <v>0.29145947121002103</v>
      </c>
    </row>
    <row r="71" spans="1:6" ht="15" customHeight="1" x14ac:dyDescent="0.25">
      <c r="A71" s="16" t="s">
        <v>347</v>
      </c>
      <c r="B71" s="43">
        <v>4856.63</v>
      </c>
      <c r="C71" s="43">
        <v>2830.55</v>
      </c>
      <c r="D71" s="43">
        <v>2026.08</v>
      </c>
      <c r="E71" s="46">
        <v>0.41717816675349001</v>
      </c>
    </row>
    <row r="72" spans="1:6" ht="15" customHeight="1" x14ac:dyDescent="0.25">
      <c r="A72" s="16" t="s">
        <v>348</v>
      </c>
      <c r="B72" s="43">
        <v>13915.83</v>
      </c>
      <c r="C72" s="43">
        <v>4391.5</v>
      </c>
      <c r="D72" s="43">
        <v>9524.33</v>
      </c>
      <c r="E72" s="46">
        <v>0.68442414142742503</v>
      </c>
    </row>
    <row r="73" spans="1:6" ht="15" customHeight="1" x14ac:dyDescent="0.25">
      <c r="A73" s="16" t="s">
        <v>581</v>
      </c>
      <c r="B73" s="43">
        <v>7549.24</v>
      </c>
      <c r="C73" s="43">
        <v>5291.08</v>
      </c>
      <c r="D73" s="43">
        <v>2258.16</v>
      </c>
      <c r="E73" s="46">
        <v>0.29899999999999999</v>
      </c>
    </row>
    <row r="74" spans="1:6" ht="15" customHeight="1" x14ac:dyDescent="0.25">
      <c r="A74" s="3" t="s">
        <v>349</v>
      </c>
      <c r="B74" s="47">
        <v>29633.79</v>
      </c>
      <c r="C74" s="47">
        <v>14859.88</v>
      </c>
      <c r="D74" s="47">
        <v>14773.91</v>
      </c>
      <c r="E74" s="46">
        <v>0.499</v>
      </c>
    </row>
    <row r="76" spans="1:6" ht="409.6" customHeight="1" x14ac:dyDescent="0.25">
      <c r="A76" s="48" t="s">
        <v>582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350</v>
      </c>
    </row>
    <row r="2" spans="1:18" ht="15" customHeight="1" x14ac:dyDescent="0.25">
      <c r="A2" s="5" t="s">
        <v>351</v>
      </c>
    </row>
    <row r="3" spans="1:18" ht="15" customHeight="1" x14ac:dyDescent="0.25">
      <c r="A3" s="3" t="s">
        <v>190</v>
      </c>
      <c r="B3" s="17">
        <v>0.1</v>
      </c>
      <c r="C3" s="3" t="s">
        <v>352</v>
      </c>
      <c r="E3" s="17">
        <v>0.13500000000000001</v>
      </c>
      <c r="F3" s="5" t="s">
        <v>353</v>
      </c>
    </row>
    <row r="4" spans="1:18" ht="15" customHeight="1" x14ac:dyDescent="0.25">
      <c r="A4" s="5" t="s">
        <v>354</v>
      </c>
    </row>
    <row r="5" spans="1:18" ht="38.25" customHeight="1" x14ac:dyDescent="0.25">
      <c r="A5" s="18" t="s">
        <v>355</v>
      </c>
      <c r="B5" s="18" t="s">
        <v>356</v>
      </c>
      <c r="C5" s="18" t="s">
        <v>357</v>
      </c>
      <c r="D5" s="18" t="s">
        <v>358</v>
      </c>
      <c r="E5" s="18" t="s">
        <v>359</v>
      </c>
      <c r="F5" s="18" t="s">
        <v>360</v>
      </c>
      <c r="G5" s="18" t="s">
        <v>361</v>
      </c>
      <c r="H5" s="18" t="s">
        <v>362</v>
      </c>
      <c r="I5" s="18" t="s">
        <v>363</v>
      </c>
      <c r="J5" s="18" t="s">
        <v>85</v>
      </c>
      <c r="K5" s="18" t="s">
        <v>364</v>
      </c>
      <c r="L5" s="18" t="s">
        <v>89</v>
      </c>
      <c r="M5" s="18" t="s">
        <v>90</v>
      </c>
      <c r="N5" s="18" t="s">
        <v>365</v>
      </c>
      <c r="O5" s="18"/>
      <c r="P5" s="18" t="s">
        <v>366</v>
      </c>
      <c r="Q5" s="18" t="s">
        <v>367</v>
      </c>
      <c r="R5" s="18" t="s">
        <v>18</v>
      </c>
    </row>
    <row r="6" spans="1:18" ht="15" customHeight="1" x14ac:dyDescent="0.25">
      <c r="A6" s="33" t="s">
        <v>368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369</v>
      </c>
      <c r="C1" s="42" t="s">
        <v>370</v>
      </c>
      <c r="D1" s="42" t="s">
        <v>371</v>
      </c>
      <c r="E1" s="42" t="s">
        <v>372</v>
      </c>
      <c r="F1" s="42" t="s">
        <v>373</v>
      </c>
      <c r="G1" s="42" t="s">
        <v>374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375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376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377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378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379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380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381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382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383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384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385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386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387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388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389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390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391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392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393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394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395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396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397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398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399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400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401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402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403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404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405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406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407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408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409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410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411</v>
      </c>
    </row>
    <row r="2" spans="1:8" ht="15" customHeight="1" x14ac:dyDescent="0.25">
      <c r="A2" s="5" t="s">
        <v>412</v>
      </c>
    </row>
    <row r="4" spans="1:8" ht="38.25" customHeight="1" x14ac:dyDescent="0.25">
      <c r="A4" s="18" t="s">
        <v>27</v>
      </c>
      <c r="B4" s="18" t="s">
        <v>413</v>
      </c>
      <c r="C4" s="18" t="s">
        <v>414</v>
      </c>
      <c r="D4" s="18" t="s">
        <v>359</v>
      </c>
      <c r="E4" s="18" t="s">
        <v>360</v>
      </c>
      <c r="F4" s="18" t="s">
        <v>361</v>
      </c>
      <c r="G4" s="18" t="s">
        <v>415</v>
      </c>
      <c r="H4" s="18" t="s">
        <v>94</v>
      </c>
    </row>
    <row r="5" spans="1:8" ht="26.25" customHeight="1" x14ac:dyDescent="0.25">
      <c r="A5" s="8" t="s">
        <v>112</v>
      </c>
      <c r="B5" s="8" t="s">
        <v>416</v>
      </c>
      <c r="C5" s="8" t="s">
        <v>417</v>
      </c>
      <c r="D5" s="8">
        <v>3</v>
      </c>
      <c r="E5" s="8">
        <v>5.21</v>
      </c>
      <c r="F5" s="8">
        <v>5.21</v>
      </c>
      <c r="G5" s="7" t="s">
        <v>418</v>
      </c>
      <c r="H5" s="52" t="s">
        <v>419</v>
      </c>
    </row>
    <row r="6" spans="1:8" ht="26.25" customHeight="1" x14ac:dyDescent="0.25">
      <c r="A6" s="8" t="s">
        <v>113</v>
      </c>
      <c r="B6" s="8" t="s">
        <v>420</v>
      </c>
      <c r="C6" s="8" t="s">
        <v>417</v>
      </c>
      <c r="D6" s="8">
        <v>3</v>
      </c>
      <c r="E6" s="8">
        <v>5.21</v>
      </c>
      <c r="F6" s="8">
        <v>5.21</v>
      </c>
      <c r="G6" s="7" t="s">
        <v>418</v>
      </c>
      <c r="H6" s="52" t="s">
        <v>419</v>
      </c>
    </row>
    <row r="7" spans="1:8" ht="26.25" customHeight="1" x14ac:dyDescent="0.25">
      <c r="A7" s="8" t="s">
        <v>114</v>
      </c>
      <c r="B7" s="8" t="s">
        <v>421</v>
      </c>
      <c r="C7" s="8" t="s">
        <v>417</v>
      </c>
      <c r="D7" s="8">
        <v>3</v>
      </c>
      <c r="E7" s="8">
        <v>5.21</v>
      </c>
      <c r="F7" s="8">
        <v>5.21</v>
      </c>
      <c r="G7" s="7" t="s">
        <v>418</v>
      </c>
      <c r="H7" s="52" t="s">
        <v>419</v>
      </c>
    </row>
    <row r="8" spans="1:8" ht="26.25" customHeight="1" x14ac:dyDescent="0.25">
      <c r="A8" s="8" t="s">
        <v>116</v>
      </c>
      <c r="B8" s="8" t="s">
        <v>422</v>
      </c>
      <c r="C8" s="8" t="s">
        <v>417</v>
      </c>
      <c r="D8" s="8">
        <v>3</v>
      </c>
      <c r="E8" s="8">
        <v>5.21</v>
      </c>
      <c r="F8" s="8">
        <v>5.21</v>
      </c>
      <c r="G8" s="7" t="s">
        <v>418</v>
      </c>
      <c r="H8" s="52" t="s">
        <v>419</v>
      </c>
    </row>
    <row r="9" spans="1:8" ht="26.25" customHeight="1" x14ac:dyDescent="0.25">
      <c r="A9" s="8" t="s">
        <v>38</v>
      </c>
      <c r="B9" s="8" t="s">
        <v>423</v>
      </c>
      <c r="C9" s="8" t="s">
        <v>417</v>
      </c>
      <c r="D9" s="8">
        <v>3</v>
      </c>
      <c r="E9" s="8">
        <v>5.21</v>
      </c>
      <c r="F9" s="8">
        <v>5.21</v>
      </c>
      <c r="G9" s="7" t="s">
        <v>418</v>
      </c>
      <c r="H9" s="52" t="s">
        <v>419</v>
      </c>
    </row>
    <row r="10" spans="1:8" ht="26.25" customHeight="1" x14ac:dyDescent="0.25">
      <c r="A10" s="8" t="s">
        <v>117</v>
      </c>
      <c r="B10" s="8" t="s">
        <v>424</v>
      </c>
      <c r="C10" s="8" t="s">
        <v>417</v>
      </c>
      <c r="D10" s="8">
        <v>3</v>
      </c>
      <c r="E10" s="8">
        <v>5.21</v>
      </c>
      <c r="F10" s="8">
        <v>5.21</v>
      </c>
      <c r="G10" s="7" t="s">
        <v>418</v>
      </c>
      <c r="H10" s="52" t="s">
        <v>419</v>
      </c>
    </row>
    <row r="11" spans="1:8" ht="26.25" customHeight="1" x14ac:dyDescent="0.25">
      <c r="A11" s="8" t="s">
        <v>115</v>
      </c>
      <c r="B11" s="8" t="s">
        <v>425</v>
      </c>
      <c r="C11" s="8" t="s">
        <v>417</v>
      </c>
      <c r="D11" s="8">
        <v>3</v>
      </c>
      <c r="E11" s="8">
        <v>5.21</v>
      </c>
      <c r="F11" s="8">
        <v>5.21</v>
      </c>
      <c r="G11" s="7" t="s">
        <v>418</v>
      </c>
      <c r="H11" s="52" t="s">
        <v>419</v>
      </c>
    </row>
    <row r="12" spans="1:8" ht="26.25" customHeight="1" x14ac:dyDescent="0.25">
      <c r="A12" s="8" t="s">
        <v>123</v>
      </c>
      <c r="B12" s="8" t="s">
        <v>426</v>
      </c>
      <c r="C12" s="8" t="s">
        <v>417</v>
      </c>
      <c r="D12" s="8">
        <v>3</v>
      </c>
      <c r="E12" s="8">
        <v>5.21</v>
      </c>
      <c r="F12" s="8">
        <v>5.21</v>
      </c>
      <c r="G12" s="7" t="s">
        <v>418</v>
      </c>
      <c r="H12" s="52" t="s">
        <v>419</v>
      </c>
    </row>
    <row r="13" spans="1:8" ht="26.25" customHeight="1" x14ac:dyDescent="0.25">
      <c r="A13" s="8" t="s">
        <v>124</v>
      </c>
      <c r="B13" s="8" t="s">
        <v>427</v>
      </c>
      <c r="C13" s="8" t="s">
        <v>417</v>
      </c>
      <c r="D13" s="8">
        <v>3</v>
      </c>
      <c r="E13" s="8">
        <v>5.21</v>
      </c>
      <c r="F13" s="8">
        <v>5.21</v>
      </c>
      <c r="G13" s="7" t="s">
        <v>418</v>
      </c>
      <c r="H13" s="52" t="s">
        <v>419</v>
      </c>
    </row>
    <row r="14" spans="1:8" ht="15" customHeight="1" x14ac:dyDescent="0.25">
      <c r="A14" s="8" t="s">
        <v>103</v>
      </c>
      <c r="B14" s="8" t="s">
        <v>428</v>
      </c>
      <c r="C14" s="8" t="s">
        <v>429</v>
      </c>
      <c r="D14" s="8">
        <v>3</v>
      </c>
      <c r="E14" s="8">
        <v>4.6100000000000003</v>
      </c>
      <c r="F14" s="8">
        <v>4.6100000000000003</v>
      </c>
      <c r="G14" s="7" t="s">
        <v>418</v>
      </c>
      <c r="H14" s="52"/>
    </row>
    <row r="15" spans="1:8" ht="26.25" customHeight="1" x14ac:dyDescent="0.25">
      <c r="A15" s="8" t="s">
        <v>125</v>
      </c>
      <c r="B15" s="8" t="s">
        <v>430</v>
      </c>
      <c r="C15" s="8" t="s">
        <v>431</v>
      </c>
      <c r="D15" s="8">
        <v>2.5</v>
      </c>
      <c r="E15" s="8">
        <v>3.5</v>
      </c>
      <c r="F15" s="8">
        <v>3.5</v>
      </c>
      <c r="G15" s="7" t="s">
        <v>418</v>
      </c>
      <c r="H15" s="52" t="s">
        <v>432</v>
      </c>
    </row>
    <row r="16" spans="1:8" ht="15" customHeight="1" x14ac:dyDescent="0.25">
      <c r="A16" s="8" t="s">
        <v>46</v>
      </c>
      <c r="B16" s="8" t="s">
        <v>433</v>
      </c>
      <c r="C16" s="8" t="s">
        <v>434</v>
      </c>
      <c r="D16" s="8">
        <v>2</v>
      </c>
      <c r="E16" s="8">
        <v>3.12</v>
      </c>
      <c r="F16" s="8">
        <v>3.12</v>
      </c>
      <c r="G16" s="7" t="s">
        <v>418</v>
      </c>
      <c r="H16" s="52"/>
    </row>
    <row r="17" spans="1:8" ht="15" customHeight="1" x14ac:dyDescent="0.25">
      <c r="A17" s="8" t="s">
        <v>107</v>
      </c>
      <c r="B17" s="8" t="s">
        <v>435</v>
      </c>
      <c r="C17" s="8" t="s">
        <v>434</v>
      </c>
      <c r="D17" s="8">
        <v>2</v>
      </c>
      <c r="E17" s="8">
        <v>3.12</v>
      </c>
      <c r="F17" s="8">
        <v>3.12</v>
      </c>
      <c r="G17" s="7" t="s">
        <v>418</v>
      </c>
      <c r="H17" s="52"/>
    </row>
    <row r="18" spans="1:8" ht="15" customHeight="1" x14ac:dyDescent="0.25">
      <c r="A18" s="8" t="s">
        <v>108</v>
      </c>
      <c r="B18" s="8" t="s">
        <v>436</v>
      </c>
      <c r="C18" s="8" t="s">
        <v>434</v>
      </c>
      <c r="D18" s="8">
        <v>2</v>
      </c>
      <c r="E18" s="8">
        <v>3.12</v>
      </c>
      <c r="F18" s="8">
        <v>3.12</v>
      </c>
      <c r="G18" s="7" t="s">
        <v>418</v>
      </c>
      <c r="H18" s="52"/>
    </row>
    <row r="19" spans="1:8" ht="15" customHeight="1" x14ac:dyDescent="0.25">
      <c r="A19" s="8" t="s">
        <v>109</v>
      </c>
      <c r="B19" s="8" t="s">
        <v>437</v>
      </c>
      <c r="C19" s="8" t="s">
        <v>434</v>
      </c>
      <c r="D19" s="8">
        <v>2</v>
      </c>
      <c r="E19" s="8">
        <v>3.12</v>
      </c>
      <c r="F19" s="8">
        <v>3.12</v>
      </c>
      <c r="G19" s="7" t="s">
        <v>418</v>
      </c>
      <c r="H19" s="52"/>
    </row>
    <row r="20" spans="1:8" ht="15" customHeight="1" x14ac:dyDescent="0.25">
      <c r="A20" s="8" t="s">
        <v>110</v>
      </c>
      <c r="B20" s="8" t="s">
        <v>438</v>
      </c>
      <c r="C20" s="8" t="s">
        <v>434</v>
      </c>
      <c r="D20" s="8">
        <v>2</v>
      </c>
      <c r="E20" s="8">
        <v>3.12</v>
      </c>
      <c r="F20" s="8">
        <v>3.12</v>
      </c>
      <c r="G20" s="7" t="s">
        <v>418</v>
      </c>
      <c r="H20" s="52"/>
    </row>
    <row r="21" spans="1:8" ht="15" customHeight="1" x14ac:dyDescent="0.25">
      <c r="A21" s="8" t="s">
        <v>111</v>
      </c>
      <c r="B21" s="8" t="s">
        <v>439</v>
      </c>
      <c r="C21" s="8" t="s">
        <v>434</v>
      </c>
      <c r="D21" s="8">
        <v>2</v>
      </c>
      <c r="E21" s="8">
        <v>3.12</v>
      </c>
      <c r="F21" s="8">
        <v>3.12</v>
      </c>
      <c r="G21" s="7" t="s">
        <v>418</v>
      </c>
      <c r="H21" s="52"/>
    </row>
    <row r="22" spans="1:8" ht="15" customHeight="1" x14ac:dyDescent="0.25">
      <c r="A22" s="8" t="s">
        <v>40</v>
      </c>
      <c r="B22" s="8" t="s">
        <v>440</v>
      </c>
      <c r="C22" s="8" t="s">
        <v>434</v>
      </c>
      <c r="D22" s="8">
        <v>2</v>
      </c>
      <c r="E22" s="8">
        <v>3.12</v>
      </c>
      <c r="F22" s="8">
        <v>3.12</v>
      </c>
      <c r="G22" s="7" t="s">
        <v>418</v>
      </c>
      <c r="H22" s="52"/>
    </row>
    <row r="23" spans="1:8" ht="15" customHeight="1" x14ac:dyDescent="0.25">
      <c r="A23" s="8" t="s">
        <v>41</v>
      </c>
      <c r="B23" s="8" t="s">
        <v>441</v>
      </c>
      <c r="C23" s="8" t="s">
        <v>434</v>
      </c>
      <c r="D23" s="8">
        <v>2</v>
      </c>
      <c r="E23" s="8">
        <v>3.12</v>
      </c>
      <c r="F23" s="8">
        <v>3.12</v>
      </c>
      <c r="G23" s="7" t="s">
        <v>418</v>
      </c>
      <c r="H23" s="52"/>
    </row>
    <row r="24" spans="1:8" ht="15" customHeight="1" x14ac:dyDescent="0.25">
      <c r="A24" s="8" t="s">
        <v>39</v>
      </c>
      <c r="B24" s="8" t="s">
        <v>442</v>
      </c>
      <c r="C24" s="8" t="s">
        <v>434</v>
      </c>
      <c r="D24" s="8">
        <v>2</v>
      </c>
      <c r="E24" s="8">
        <v>3.12</v>
      </c>
      <c r="F24" s="8">
        <v>3.12</v>
      </c>
      <c r="G24" s="7" t="s">
        <v>418</v>
      </c>
      <c r="H24" s="52"/>
    </row>
    <row r="25" spans="1:8" ht="15" customHeight="1" x14ac:dyDescent="0.25">
      <c r="A25" s="8" t="s">
        <v>36</v>
      </c>
      <c r="B25" s="8" t="s">
        <v>443</v>
      </c>
      <c r="C25" s="8" t="s">
        <v>434</v>
      </c>
      <c r="D25" s="8">
        <v>2</v>
      </c>
      <c r="E25" s="8">
        <v>3.12</v>
      </c>
      <c r="F25" s="8">
        <v>3.12</v>
      </c>
      <c r="G25" s="7" t="s">
        <v>418</v>
      </c>
      <c r="H25" s="52"/>
    </row>
    <row r="26" spans="1:8" ht="15" customHeight="1" x14ac:dyDescent="0.25">
      <c r="A26" s="8" t="s">
        <v>120</v>
      </c>
      <c r="B26" s="8" t="s">
        <v>444</v>
      </c>
      <c r="C26" s="8" t="s">
        <v>434</v>
      </c>
      <c r="D26" s="8">
        <v>2</v>
      </c>
      <c r="E26" s="8">
        <v>3.12</v>
      </c>
      <c r="F26" s="8">
        <v>3.12</v>
      </c>
      <c r="G26" s="7" t="s">
        <v>418</v>
      </c>
      <c r="H26" s="52"/>
    </row>
    <row r="27" spans="1:8" ht="15" customHeight="1" x14ac:dyDescent="0.25">
      <c r="A27" s="8" t="s">
        <v>121</v>
      </c>
      <c r="B27" s="8" t="s">
        <v>445</v>
      </c>
      <c r="C27" s="8" t="s">
        <v>434</v>
      </c>
      <c r="D27" s="8">
        <v>2</v>
      </c>
      <c r="E27" s="8">
        <v>3.12</v>
      </c>
      <c r="F27" s="8">
        <v>3.12</v>
      </c>
      <c r="G27" s="7" t="s">
        <v>418</v>
      </c>
      <c r="H27" s="52"/>
    </row>
    <row r="28" spans="1:8" ht="15" customHeight="1" x14ac:dyDescent="0.25">
      <c r="A28" s="8" t="s">
        <v>122</v>
      </c>
      <c r="B28" s="8" t="s">
        <v>446</v>
      </c>
      <c r="C28" s="8" t="s">
        <v>434</v>
      </c>
      <c r="D28" s="8">
        <v>2</v>
      </c>
      <c r="E28" s="8">
        <v>3.12</v>
      </c>
      <c r="F28" s="8">
        <v>3.12</v>
      </c>
      <c r="G28" s="7" t="s">
        <v>418</v>
      </c>
      <c r="H28" s="52"/>
    </row>
    <row r="29" spans="1:8" ht="15" customHeight="1" x14ac:dyDescent="0.25">
      <c r="A29" s="8" t="s">
        <v>127</v>
      </c>
      <c r="B29" s="8" t="s">
        <v>447</v>
      </c>
      <c r="C29" s="8" t="s">
        <v>434</v>
      </c>
      <c r="D29" s="8">
        <v>2</v>
      </c>
      <c r="E29" s="8">
        <v>3.12</v>
      </c>
      <c r="F29" s="8">
        <v>3.12</v>
      </c>
      <c r="G29" s="7" t="s">
        <v>418</v>
      </c>
      <c r="H29" s="52"/>
    </row>
    <row r="30" spans="1:8" ht="15" customHeight="1" x14ac:dyDescent="0.25">
      <c r="A30" s="8" t="s">
        <v>32</v>
      </c>
      <c r="B30" s="8" t="s">
        <v>448</v>
      </c>
      <c r="C30" s="8" t="s">
        <v>434</v>
      </c>
      <c r="D30" s="8">
        <v>2</v>
      </c>
      <c r="E30" s="8">
        <v>3.12</v>
      </c>
      <c r="F30" s="8">
        <v>3.12</v>
      </c>
      <c r="G30" s="7" t="s">
        <v>418</v>
      </c>
      <c r="H30" s="52"/>
    </row>
    <row r="31" spans="1:8" ht="15" customHeight="1" x14ac:dyDescent="0.25">
      <c r="A31" s="8" t="s">
        <v>30</v>
      </c>
      <c r="B31" s="8" t="s">
        <v>449</v>
      </c>
      <c r="C31" s="8" t="s">
        <v>450</v>
      </c>
      <c r="D31" s="8">
        <v>2.5</v>
      </c>
      <c r="E31" s="8">
        <v>2.92</v>
      </c>
      <c r="F31" s="8">
        <v>2.92</v>
      </c>
      <c r="G31" s="7" t="s">
        <v>418</v>
      </c>
      <c r="H31" s="52"/>
    </row>
    <row r="32" spans="1:8" ht="15" customHeight="1" x14ac:dyDescent="0.25">
      <c r="A32" s="8" t="s">
        <v>101</v>
      </c>
      <c r="B32" s="8" t="s">
        <v>449</v>
      </c>
      <c r="C32" s="8" t="s">
        <v>450</v>
      </c>
      <c r="D32" s="8">
        <v>2.5</v>
      </c>
      <c r="E32" s="8">
        <v>2.92</v>
      </c>
      <c r="F32" s="8">
        <v>2.92</v>
      </c>
      <c r="G32" s="7" t="s">
        <v>418</v>
      </c>
      <c r="H32" s="52"/>
    </row>
    <row r="33" spans="1:8" ht="15" customHeight="1" x14ac:dyDescent="0.25">
      <c r="A33" s="8" t="s">
        <v>126</v>
      </c>
      <c r="B33" s="8" t="s">
        <v>451</v>
      </c>
      <c r="C33" s="8" t="s">
        <v>452</v>
      </c>
      <c r="D33" s="8">
        <v>2</v>
      </c>
      <c r="E33" s="8">
        <v>1.43</v>
      </c>
      <c r="F33" s="8">
        <v>2</v>
      </c>
      <c r="G33" s="7" t="s">
        <v>418</v>
      </c>
      <c r="H33" s="52"/>
    </row>
    <row r="34" spans="1:8" ht="15" customHeight="1" x14ac:dyDescent="0.25">
      <c r="A34" s="8" t="s">
        <v>95</v>
      </c>
      <c r="B34" s="8" t="s">
        <v>453</v>
      </c>
      <c r="C34" s="8" t="s">
        <v>454</v>
      </c>
      <c r="D34" s="8">
        <v>1.5</v>
      </c>
      <c r="E34" s="8">
        <v>1.98</v>
      </c>
      <c r="F34" s="8">
        <v>1.98</v>
      </c>
      <c r="G34" s="7" t="s">
        <v>418</v>
      </c>
      <c r="H34" s="52"/>
    </row>
    <row r="35" spans="1:8" ht="15" customHeight="1" x14ac:dyDescent="0.25">
      <c r="A35" s="8" t="s">
        <v>99</v>
      </c>
      <c r="B35" s="8" t="s">
        <v>453</v>
      </c>
      <c r="C35" s="8" t="s">
        <v>454</v>
      </c>
      <c r="D35" s="8">
        <v>1.5</v>
      </c>
      <c r="E35" s="8">
        <v>1.98</v>
      </c>
      <c r="F35" s="8">
        <v>1.98</v>
      </c>
      <c r="G35" s="7" t="s">
        <v>418</v>
      </c>
      <c r="H35" s="52"/>
    </row>
    <row r="36" spans="1:8" ht="15" customHeight="1" x14ac:dyDescent="0.25">
      <c r="A36" s="8" t="s">
        <v>44</v>
      </c>
      <c r="B36" s="8" t="s">
        <v>455</v>
      </c>
      <c r="C36" s="8" t="s">
        <v>454</v>
      </c>
      <c r="D36" s="8">
        <v>1.5</v>
      </c>
      <c r="E36" s="8">
        <v>1.98</v>
      </c>
      <c r="F36" s="8">
        <v>1.98</v>
      </c>
      <c r="G36" s="7" t="s">
        <v>418</v>
      </c>
      <c r="H36" s="52"/>
    </row>
    <row r="37" spans="1:8" ht="15" customHeight="1" x14ac:dyDescent="0.25">
      <c r="A37" s="8" t="s">
        <v>34</v>
      </c>
      <c r="B37" s="8" t="s">
        <v>456</v>
      </c>
      <c r="C37" s="8" t="s">
        <v>454</v>
      </c>
      <c r="D37" s="8">
        <v>1.5</v>
      </c>
      <c r="E37" s="8">
        <v>1.98</v>
      </c>
      <c r="F37" s="8">
        <v>1.98</v>
      </c>
      <c r="G37" s="7" t="s">
        <v>418</v>
      </c>
      <c r="H37" s="52"/>
    </row>
    <row r="38" spans="1:8" ht="15" customHeight="1" x14ac:dyDescent="0.25">
      <c r="A38" s="8" t="s">
        <v>104</v>
      </c>
      <c r="B38" s="8" t="s">
        <v>457</v>
      </c>
      <c r="C38" s="8" t="s">
        <v>454</v>
      </c>
      <c r="D38" s="8">
        <v>1.5</v>
      </c>
      <c r="E38" s="8">
        <v>1.98</v>
      </c>
      <c r="F38" s="8">
        <v>1.98</v>
      </c>
      <c r="G38" s="7" t="s">
        <v>418</v>
      </c>
      <c r="H38" s="52"/>
    </row>
    <row r="39" spans="1:8" ht="15" customHeight="1" x14ac:dyDescent="0.25">
      <c r="A39" s="8" t="s">
        <v>37</v>
      </c>
      <c r="B39" s="8" t="s">
        <v>458</v>
      </c>
      <c r="C39" s="8" t="s">
        <v>454</v>
      </c>
      <c r="D39" s="8">
        <v>1.5</v>
      </c>
      <c r="E39" s="8">
        <v>1.98</v>
      </c>
      <c r="F39" s="8">
        <v>1.98</v>
      </c>
      <c r="G39" s="7" t="s">
        <v>418</v>
      </c>
      <c r="H39" s="52"/>
    </row>
    <row r="40" spans="1:8" ht="15" customHeight="1" x14ac:dyDescent="0.25">
      <c r="A40" s="8" t="s">
        <v>47</v>
      </c>
      <c r="B40" s="8" t="s">
        <v>459</v>
      </c>
      <c r="C40" s="8" t="s">
        <v>454</v>
      </c>
      <c r="D40" s="8">
        <v>1.5</v>
      </c>
      <c r="E40" s="8">
        <v>1.98</v>
      </c>
      <c r="F40" s="8">
        <v>1.98</v>
      </c>
      <c r="G40" s="7" t="s">
        <v>418</v>
      </c>
      <c r="H40" s="52"/>
    </row>
    <row r="41" spans="1:8" ht="15" customHeight="1" x14ac:dyDescent="0.25">
      <c r="A41" s="8" t="s">
        <v>48</v>
      </c>
      <c r="B41" s="8" t="s">
        <v>460</v>
      </c>
      <c r="C41" s="8" t="s">
        <v>454</v>
      </c>
      <c r="D41" s="8">
        <v>1.5</v>
      </c>
      <c r="E41" s="8">
        <v>1.98</v>
      </c>
      <c r="F41" s="8">
        <v>1.98</v>
      </c>
      <c r="G41" s="7" t="s">
        <v>418</v>
      </c>
      <c r="H41" s="52"/>
    </row>
    <row r="42" spans="1:8" ht="15" customHeight="1" x14ac:dyDescent="0.25">
      <c r="A42" s="8" t="s">
        <v>105</v>
      </c>
      <c r="B42" s="8" t="s">
        <v>461</v>
      </c>
      <c r="C42" s="8" t="s">
        <v>454</v>
      </c>
      <c r="D42" s="8">
        <v>1.5</v>
      </c>
      <c r="E42" s="8">
        <v>1.98</v>
      </c>
      <c r="F42" s="8">
        <v>1.98</v>
      </c>
      <c r="G42" s="7" t="s">
        <v>418</v>
      </c>
      <c r="H42" s="52"/>
    </row>
    <row r="43" spans="1:8" ht="15" customHeight="1" x14ac:dyDescent="0.25">
      <c r="A43" s="8" t="s">
        <v>33</v>
      </c>
      <c r="B43" s="8" t="s">
        <v>462</v>
      </c>
      <c r="C43" s="8" t="s">
        <v>454</v>
      </c>
      <c r="D43" s="8">
        <v>1.5</v>
      </c>
      <c r="E43" s="8">
        <v>1.98</v>
      </c>
      <c r="F43" s="8">
        <v>1.98</v>
      </c>
      <c r="G43" s="7" t="s">
        <v>418</v>
      </c>
      <c r="H43" s="52"/>
    </row>
    <row r="44" spans="1:8" ht="15" customHeight="1" x14ac:dyDescent="0.25">
      <c r="A44" s="8" t="s">
        <v>45</v>
      </c>
      <c r="B44" s="8" t="s">
        <v>463</v>
      </c>
      <c r="C44" s="8" t="s">
        <v>454</v>
      </c>
      <c r="D44" s="8">
        <v>1.5</v>
      </c>
      <c r="E44" s="8">
        <v>1.98</v>
      </c>
      <c r="F44" s="8">
        <v>1.98</v>
      </c>
      <c r="G44" s="7" t="s">
        <v>418</v>
      </c>
      <c r="H44" s="52"/>
    </row>
    <row r="45" spans="1:8" ht="15" customHeight="1" x14ac:dyDescent="0.25">
      <c r="A45" s="8" t="s">
        <v>49</v>
      </c>
      <c r="B45" s="8" t="s">
        <v>464</v>
      </c>
      <c r="C45" s="8" t="s">
        <v>454</v>
      </c>
      <c r="D45" s="8">
        <v>1.5</v>
      </c>
      <c r="E45" s="8">
        <v>1.98</v>
      </c>
      <c r="F45" s="8">
        <v>1.98</v>
      </c>
      <c r="G45" s="7" t="s">
        <v>418</v>
      </c>
      <c r="H45" s="52"/>
    </row>
    <row r="46" spans="1:8" ht="15" customHeight="1" x14ac:dyDescent="0.25">
      <c r="A46" s="8" t="s">
        <v>31</v>
      </c>
      <c r="B46" s="8" t="s">
        <v>465</v>
      </c>
      <c r="C46" s="8" t="s">
        <v>454</v>
      </c>
      <c r="D46" s="8">
        <v>1.5</v>
      </c>
      <c r="E46" s="8">
        <v>1.98</v>
      </c>
      <c r="F46" s="8">
        <v>1.98</v>
      </c>
      <c r="G46" s="7" t="s">
        <v>418</v>
      </c>
      <c r="H46" s="52"/>
    </row>
    <row r="47" spans="1:8" ht="15" customHeight="1" x14ac:dyDescent="0.25">
      <c r="A47" s="8" t="s">
        <v>106</v>
      </c>
      <c r="B47" s="8" t="s">
        <v>466</v>
      </c>
      <c r="C47" s="8" t="s">
        <v>454</v>
      </c>
      <c r="D47" s="8">
        <v>1.5</v>
      </c>
      <c r="E47" s="8">
        <v>1.98</v>
      </c>
      <c r="F47" s="8">
        <v>1.98</v>
      </c>
      <c r="G47" s="7" t="s">
        <v>418</v>
      </c>
      <c r="H47" s="52"/>
    </row>
    <row r="48" spans="1:8" ht="15" customHeight="1" x14ac:dyDescent="0.25">
      <c r="A48" s="8" t="s">
        <v>118</v>
      </c>
      <c r="B48" s="8" t="s">
        <v>467</v>
      </c>
      <c r="C48" s="8" t="s">
        <v>454</v>
      </c>
      <c r="D48" s="8">
        <v>1.5</v>
      </c>
      <c r="E48" s="8">
        <v>1.98</v>
      </c>
      <c r="F48" s="8">
        <v>1.98</v>
      </c>
      <c r="G48" s="7" t="s">
        <v>418</v>
      </c>
      <c r="H48" s="52"/>
    </row>
    <row r="49" spans="1:8" ht="15" customHeight="1" x14ac:dyDescent="0.25">
      <c r="A49" s="8" t="s">
        <v>119</v>
      </c>
      <c r="B49" s="8" t="s">
        <v>468</v>
      </c>
      <c r="C49" s="8" t="s">
        <v>454</v>
      </c>
      <c r="D49" s="8">
        <v>1.5</v>
      </c>
      <c r="E49" s="8">
        <v>1.98</v>
      </c>
      <c r="F49" s="8">
        <v>1.98</v>
      </c>
      <c r="G49" s="7" t="s">
        <v>418</v>
      </c>
      <c r="H49" s="52"/>
    </row>
    <row r="50" spans="1:8" ht="26.25" customHeight="1" x14ac:dyDescent="0.25">
      <c r="A50" s="8" t="s">
        <v>35</v>
      </c>
      <c r="B50" s="8" t="s">
        <v>469</v>
      </c>
      <c r="C50" s="8" t="s">
        <v>470</v>
      </c>
      <c r="D50" s="8">
        <v>1</v>
      </c>
      <c r="E50" s="8">
        <v>0.87</v>
      </c>
      <c r="F50" s="8">
        <v>1</v>
      </c>
      <c r="G50" s="7" t="s">
        <v>418</v>
      </c>
      <c r="H50" s="52" t="s">
        <v>471</v>
      </c>
    </row>
    <row r="51" spans="1:8" ht="26.25" customHeight="1" x14ac:dyDescent="0.25">
      <c r="A51" s="8" t="s">
        <v>150</v>
      </c>
      <c r="B51" s="8" t="s">
        <v>472</v>
      </c>
      <c r="C51" s="8" t="s">
        <v>473</v>
      </c>
      <c r="D51" s="8">
        <v>6</v>
      </c>
      <c r="E51" s="8">
        <v>17.64</v>
      </c>
      <c r="F51" s="8">
        <v>17.64</v>
      </c>
      <c r="G51" s="9" t="s">
        <v>474</v>
      </c>
      <c r="H51" s="52" t="s">
        <v>475</v>
      </c>
    </row>
    <row r="52" spans="1:8" ht="26.25" customHeight="1" x14ac:dyDescent="0.25">
      <c r="A52" s="8" t="s">
        <v>151</v>
      </c>
      <c r="B52" s="8" t="s">
        <v>476</v>
      </c>
      <c r="C52" s="8" t="s">
        <v>473</v>
      </c>
      <c r="D52" s="8">
        <v>6</v>
      </c>
      <c r="E52" s="8">
        <v>17.64</v>
      </c>
      <c r="F52" s="8">
        <v>17.64</v>
      </c>
      <c r="G52" s="9" t="s">
        <v>474</v>
      </c>
      <c r="H52" s="52" t="s">
        <v>475</v>
      </c>
    </row>
    <row r="53" spans="1:8" ht="26.25" customHeight="1" x14ac:dyDescent="0.25">
      <c r="A53" s="8" t="s">
        <v>152</v>
      </c>
      <c r="B53" s="8" t="s">
        <v>477</v>
      </c>
      <c r="C53" s="8" t="s">
        <v>473</v>
      </c>
      <c r="D53" s="8">
        <v>6</v>
      </c>
      <c r="E53" s="8">
        <v>17.64</v>
      </c>
      <c r="F53" s="8">
        <v>17.64</v>
      </c>
      <c r="G53" s="9" t="s">
        <v>474</v>
      </c>
      <c r="H53" s="52" t="s">
        <v>475</v>
      </c>
    </row>
    <row r="54" spans="1:8" ht="26.25" customHeight="1" x14ac:dyDescent="0.25">
      <c r="A54" s="8" t="s">
        <v>153</v>
      </c>
      <c r="B54" s="8" t="s">
        <v>478</v>
      </c>
      <c r="C54" s="8" t="s">
        <v>473</v>
      </c>
      <c r="D54" s="8">
        <v>6</v>
      </c>
      <c r="E54" s="8">
        <v>17.64</v>
      </c>
      <c r="F54" s="8">
        <v>17.64</v>
      </c>
      <c r="G54" s="9" t="s">
        <v>474</v>
      </c>
      <c r="H54" s="52" t="s">
        <v>475</v>
      </c>
    </row>
    <row r="55" spans="1:8" ht="26.25" customHeight="1" x14ac:dyDescent="0.25">
      <c r="A55" s="8" t="s">
        <v>158</v>
      </c>
      <c r="B55" s="8" t="s">
        <v>479</v>
      </c>
      <c r="C55" s="8" t="s">
        <v>473</v>
      </c>
      <c r="D55" s="8">
        <v>6</v>
      </c>
      <c r="E55" s="8">
        <v>17.64</v>
      </c>
      <c r="F55" s="8">
        <v>17.64</v>
      </c>
      <c r="G55" s="9" t="s">
        <v>474</v>
      </c>
      <c r="H55" s="52" t="s">
        <v>475</v>
      </c>
    </row>
    <row r="56" spans="1:8" ht="26.25" customHeight="1" x14ac:dyDescent="0.25">
      <c r="A56" s="8" t="s">
        <v>159</v>
      </c>
      <c r="B56" s="8" t="s">
        <v>480</v>
      </c>
      <c r="C56" s="8" t="s">
        <v>473</v>
      </c>
      <c r="D56" s="8">
        <v>6</v>
      </c>
      <c r="E56" s="8">
        <v>17.64</v>
      </c>
      <c r="F56" s="8">
        <v>17.64</v>
      </c>
      <c r="G56" s="9" t="s">
        <v>474</v>
      </c>
      <c r="H56" s="52" t="s">
        <v>475</v>
      </c>
    </row>
    <row r="57" spans="1:8" ht="26.25" customHeight="1" x14ac:dyDescent="0.25">
      <c r="A57" s="8" t="s">
        <v>58</v>
      </c>
      <c r="B57" s="8" t="s">
        <v>481</v>
      </c>
      <c r="C57" s="8" t="s">
        <v>473</v>
      </c>
      <c r="D57" s="8">
        <v>6</v>
      </c>
      <c r="E57" s="8">
        <v>17.64</v>
      </c>
      <c r="F57" s="8">
        <v>17.64</v>
      </c>
      <c r="G57" s="9" t="s">
        <v>474</v>
      </c>
      <c r="H57" s="52" t="s">
        <v>475</v>
      </c>
    </row>
    <row r="58" spans="1:8" ht="26.25" customHeight="1" x14ac:dyDescent="0.25">
      <c r="A58" s="8" t="s">
        <v>160</v>
      </c>
      <c r="B58" s="8" t="s">
        <v>482</v>
      </c>
      <c r="C58" s="8" t="s">
        <v>473</v>
      </c>
      <c r="D58" s="8">
        <v>6</v>
      </c>
      <c r="E58" s="8">
        <v>17.64</v>
      </c>
      <c r="F58" s="8">
        <v>17.64</v>
      </c>
      <c r="G58" s="9" t="s">
        <v>474</v>
      </c>
      <c r="H58" s="52" t="s">
        <v>475</v>
      </c>
    </row>
    <row r="59" spans="1:8" ht="26.25" customHeight="1" x14ac:dyDescent="0.25">
      <c r="A59" s="8" t="s">
        <v>60</v>
      </c>
      <c r="B59" s="8" t="s">
        <v>483</v>
      </c>
      <c r="C59" s="8" t="s">
        <v>473</v>
      </c>
      <c r="D59" s="8">
        <v>6</v>
      </c>
      <c r="E59" s="8">
        <v>17.64</v>
      </c>
      <c r="F59" s="8">
        <v>17.64</v>
      </c>
      <c r="G59" s="9" t="s">
        <v>474</v>
      </c>
      <c r="H59" s="52" t="s">
        <v>475</v>
      </c>
    </row>
    <row r="60" spans="1:8" ht="26.25" customHeight="1" x14ac:dyDescent="0.25">
      <c r="A60" s="8" t="s">
        <v>186</v>
      </c>
      <c r="B60" s="8" t="s">
        <v>484</v>
      </c>
      <c r="C60" s="8" t="s">
        <v>485</v>
      </c>
      <c r="D60" s="8">
        <v>5</v>
      </c>
      <c r="E60" s="8">
        <v>16.88</v>
      </c>
      <c r="F60" s="8">
        <v>16.88</v>
      </c>
      <c r="G60" s="9" t="s">
        <v>474</v>
      </c>
      <c r="H60" s="52" t="s">
        <v>486</v>
      </c>
    </row>
    <row r="61" spans="1:8" ht="15" customHeight="1" x14ac:dyDescent="0.25">
      <c r="A61" s="8" t="s">
        <v>149</v>
      </c>
      <c r="B61" s="8" t="s">
        <v>487</v>
      </c>
      <c r="C61" s="8" t="s">
        <v>488</v>
      </c>
      <c r="D61" s="8">
        <v>6.5</v>
      </c>
      <c r="E61" s="8">
        <v>12.57</v>
      </c>
      <c r="F61" s="8">
        <v>12.57</v>
      </c>
      <c r="G61" s="9" t="s">
        <v>474</v>
      </c>
      <c r="H61" s="52"/>
    </row>
    <row r="62" spans="1:8" ht="15" customHeight="1" x14ac:dyDescent="0.25">
      <c r="A62" s="8" t="s">
        <v>170</v>
      </c>
      <c r="B62" s="8" t="s">
        <v>489</v>
      </c>
      <c r="C62" s="8" t="s">
        <v>490</v>
      </c>
      <c r="D62" s="8">
        <v>7</v>
      </c>
      <c r="E62" s="8">
        <v>11.53</v>
      </c>
      <c r="F62" s="8">
        <v>11.53</v>
      </c>
      <c r="G62" s="9" t="s">
        <v>474</v>
      </c>
      <c r="H62" s="52"/>
    </row>
    <row r="63" spans="1:8" ht="15" customHeight="1" x14ac:dyDescent="0.25">
      <c r="A63" s="8" t="s">
        <v>171</v>
      </c>
      <c r="B63" s="8" t="s">
        <v>491</v>
      </c>
      <c r="C63" s="8" t="s">
        <v>490</v>
      </c>
      <c r="D63" s="8">
        <v>7</v>
      </c>
      <c r="E63" s="8">
        <v>11.53</v>
      </c>
      <c r="F63" s="8">
        <v>11.53</v>
      </c>
      <c r="G63" s="9" t="s">
        <v>474</v>
      </c>
      <c r="H63" s="52"/>
    </row>
    <row r="64" spans="1:8" ht="15" customHeight="1" x14ac:dyDescent="0.25">
      <c r="A64" s="8" t="s">
        <v>146</v>
      </c>
      <c r="B64" s="8" t="s">
        <v>492</v>
      </c>
      <c r="C64" s="8" t="s">
        <v>493</v>
      </c>
      <c r="D64" s="8">
        <v>6</v>
      </c>
      <c r="E64" s="8">
        <v>11.21</v>
      </c>
      <c r="F64" s="8">
        <v>11.21</v>
      </c>
      <c r="G64" s="9" t="s">
        <v>474</v>
      </c>
      <c r="H64" s="52"/>
    </row>
    <row r="65" spans="1:8" ht="15" customHeight="1" x14ac:dyDescent="0.25">
      <c r="A65" s="8" t="s">
        <v>147</v>
      </c>
      <c r="B65" s="8" t="s">
        <v>494</v>
      </c>
      <c r="C65" s="8" t="s">
        <v>493</v>
      </c>
      <c r="D65" s="8">
        <v>6</v>
      </c>
      <c r="E65" s="8">
        <v>11.21</v>
      </c>
      <c r="F65" s="8">
        <v>11.21</v>
      </c>
      <c r="G65" s="9" t="s">
        <v>474</v>
      </c>
      <c r="H65" s="52"/>
    </row>
    <row r="66" spans="1:8" ht="15" customHeight="1" x14ac:dyDescent="0.25">
      <c r="A66" s="8" t="s">
        <v>148</v>
      </c>
      <c r="B66" s="8" t="s">
        <v>495</v>
      </c>
      <c r="C66" s="8" t="s">
        <v>493</v>
      </c>
      <c r="D66" s="8">
        <v>6</v>
      </c>
      <c r="E66" s="8">
        <v>11.21</v>
      </c>
      <c r="F66" s="8">
        <v>11.21</v>
      </c>
      <c r="G66" s="9" t="s">
        <v>474</v>
      </c>
      <c r="H66" s="52"/>
    </row>
    <row r="67" spans="1:8" ht="15" customHeight="1" x14ac:dyDescent="0.25">
      <c r="A67" s="8" t="s">
        <v>57</v>
      </c>
      <c r="B67" s="8" t="s">
        <v>496</v>
      </c>
      <c r="C67" s="8" t="s">
        <v>493</v>
      </c>
      <c r="D67" s="8">
        <v>6</v>
      </c>
      <c r="E67" s="8">
        <v>11.21</v>
      </c>
      <c r="F67" s="8">
        <v>11.21</v>
      </c>
      <c r="G67" s="9" t="s">
        <v>474</v>
      </c>
      <c r="H67" s="52"/>
    </row>
    <row r="68" spans="1:8" ht="15" customHeight="1" x14ac:dyDescent="0.25">
      <c r="A68" s="8" t="s">
        <v>56</v>
      </c>
      <c r="B68" s="8" t="s">
        <v>497</v>
      </c>
      <c r="C68" s="8" t="s">
        <v>493</v>
      </c>
      <c r="D68" s="8">
        <v>6</v>
      </c>
      <c r="E68" s="8">
        <v>11.21</v>
      </c>
      <c r="F68" s="8">
        <v>11.21</v>
      </c>
      <c r="G68" s="9" t="s">
        <v>474</v>
      </c>
      <c r="H68" s="52"/>
    </row>
    <row r="69" spans="1:8" ht="15" customHeight="1" x14ac:dyDescent="0.25">
      <c r="A69" s="8" t="s">
        <v>164</v>
      </c>
      <c r="B69" s="8" t="s">
        <v>498</v>
      </c>
      <c r="C69" s="8" t="s">
        <v>493</v>
      </c>
      <c r="D69" s="8">
        <v>6</v>
      </c>
      <c r="E69" s="8">
        <v>11.21</v>
      </c>
      <c r="F69" s="8">
        <v>11.21</v>
      </c>
      <c r="G69" s="9" t="s">
        <v>474</v>
      </c>
      <c r="H69" s="52"/>
    </row>
    <row r="70" spans="1:8" ht="15" customHeight="1" x14ac:dyDescent="0.25">
      <c r="A70" s="8" t="s">
        <v>129</v>
      </c>
      <c r="B70" s="8" t="s">
        <v>499</v>
      </c>
      <c r="C70" s="8" t="s">
        <v>500</v>
      </c>
      <c r="D70" s="8">
        <v>8</v>
      </c>
      <c r="E70" s="8">
        <v>9.83</v>
      </c>
      <c r="F70" s="8">
        <v>9.83</v>
      </c>
      <c r="G70" s="9" t="s">
        <v>474</v>
      </c>
      <c r="H70" s="52"/>
    </row>
    <row r="71" spans="1:8" ht="15" customHeight="1" x14ac:dyDescent="0.25">
      <c r="A71" s="8" t="s">
        <v>141</v>
      </c>
      <c r="B71" s="8" t="s">
        <v>501</v>
      </c>
      <c r="C71" s="8" t="s">
        <v>502</v>
      </c>
      <c r="D71" s="8">
        <v>5</v>
      </c>
      <c r="E71" s="8">
        <v>9.61</v>
      </c>
      <c r="F71" s="8">
        <v>9.61</v>
      </c>
      <c r="G71" s="9" t="s">
        <v>474</v>
      </c>
      <c r="H71" s="52"/>
    </row>
    <row r="72" spans="1:8" ht="15" customHeight="1" x14ac:dyDescent="0.25">
      <c r="A72" s="8" t="s">
        <v>142</v>
      </c>
      <c r="B72" s="8" t="s">
        <v>503</v>
      </c>
      <c r="C72" s="8" t="s">
        <v>502</v>
      </c>
      <c r="D72" s="8">
        <v>5</v>
      </c>
      <c r="E72" s="8">
        <v>9.61</v>
      </c>
      <c r="F72" s="8">
        <v>9.61</v>
      </c>
      <c r="G72" s="9" t="s">
        <v>474</v>
      </c>
      <c r="H72" s="52"/>
    </row>
    <row r="73" spans="1:8" ht="15" customHeight="1" x14ac:dyDescent="0.25">
      <c r="A73" s="8" t="s">
        <v>143</v>
      </c>
      <c r="B73" s="8" t="s">
        <v>504</v>
      </c>
      <c r="C73" s="8" t="s">
        <v>502</v>
      </c>
      <c r="D73" s="8">
        <v>5</v>
      </c>
      <c r="E73" s="8">
        <v>9.61</v>
      </c>
      <c r="F73" s="8">
        <v>9.61</v>
      </c>
      <c r="G73" s="9" t="s">
        <v>474</v>
      </c>
      <c r="H73" s="52"/>
    </row>
    <row r="74" spans="1:8" ht="15" customHeight="1" x14ac:dyDescent="0.25">
      <c r="A74" s="8" t="s">
        <v>144</v>
      </c>
      <c r="B74" s="8" t="s">
        <v>505</v>
      </c>
      <c r="C74" s="8" t="s">
        <v>502</v>
      </c>
      <c r="D74" s="8">
        <v>5</v>
      </c>
      <c r="E74" s="8">
        <v>9.61</v>
      </c>
      <c r="F74" s="8">
        <v>9.61</v>
      </c>
      <c r="G74" s="9" t="s">
        <v>474</v>
      </c>
      <c r="H74" s="52"/>
    </row>
    <row r="75" spans="1:8" ht="15" customHeight="1" x14ac:dyDescent="0.25">
      <c r="A75" s="8" t="s">
        <v>145</v>
      </c>
      <c r="B75" s="8" t="s">
        <v>506</v>
      </c>
      <c r="C75" s="8" t="s">
        <v>502</v>
      </c>
      <c r="D75" s="8">
        <v>5</v>
      </c>
      <c r="E75" s="8">
        <v>9.61</v>
      </c>
      <c r="F75" s="8">
        <v>9.61</v>
      </c>
      <c r="G75" s="9" t="s">
        <v>474</v>
      </c>
      <c r="H75" s="52"/>
    </row>
    <row r="76" spans="1:8" ht="15" customHeight="1" x14ac:dyDescent="0.25">
      <c r="A76" s="8" t="s">
        <v>155</v>
      </c>
      <c r="B76" s="8" t="s">
        <v>507</v>
      </c>
      <c r="C76" s="8" t="s">
        <v>502</v>
      </c>
      <c r="D76" s="8">
        <v>5</v>
      </c>
      <c r="E76" s="8">
        <v>9.61</v>
      </c>
      <c r="F76" s="8">
        <v>9.61</v>
      </c>
      <c r="G76" s="9" t="s">
        <v>474</v>
      </c>
      <c r="H76" s="52"/>
    </row>
    <row r="77" spans="1:8" ht="15" customHeight="1" x14ac:dyDescent="0.25">
      <c r="A77" s="8" t="s">
        <v>156</v>
      </c>
      <c r="B77" s="8" t="s">
        <v>508</v>
      </c>
      <c r="C77" s="8" t="s">
        <v>502</v>
      </c>
      <c r="D77" s="8">
        <v>5</v>
      </c>
      <c r="E77" s="8">
        <v>9.61</v>
      </c>
      <c r="F77" s="8">
        <v>9.61</v>
      </c>
      <c r="G77" s="9" t="s">
        <v>474</v>
      </c>
      <c r="H77" s="52"/>
    </row>
    <row r="78" spans="1:8" ht="15" customHeight="1" x14ac:dyDescent="0.25">
      <c r="A78" s="8" t="s">
        <v>52</v>
      </c>
      <c r="B78" s="8" t="s">
        <v>509</v>
      </c>
      <c r="C78" s="8" t="s">
        <v>502</v>
      </c>
      <c r="D78" s="8">
        <v>5</v>
      </c>
      <c r="E78" s="8">
        <v>9.61</v>
      </c>
      <c r="F78" s="8">
        <v>9.61</v>
      </c>
      <c r="G78" s="9" t="s">
        <v>474</v>
      </c>
      <c r="H78" s="52"/>
    </row>
    <row r="79" spans="1:8" ht="15" customHeight="1" x14ac:dyDescent="0.25">
      <c r="A79" s="8" t="s">
        <v>157</v>
      </c>
      <c r="B79" s="8" t="s">
        <v>510</v>
      </c>
      <c r="C79" s="8" t="s">
        <v>502</v>
      </c>
      <c r="D79" s="8">
        <v>5</v>
      </c>
      <c r="E79" s="8">
        <v>9.61</v>
      </c>
      <c r="F79" s="8">
        <v>9.61</v>
      </c>
      <c r="G79" s="9" t="s">
        <v>474</v>
      </c>
      <c r="H79" s="52"/>
    </row>
    <row r="80" spans="1:8" ht="15" customHeight="1" x14ac:dyDescent="0.25">
      <c r="A80" s="8" t="s">
        <v>163</v>
      </c>
      <c r="B80" s="8" t="s">
        <v>511</v>
      </c>
      <c r="C80" s="8" t="s">
        <v>502</v>
      </c>
      <c r="D80" s="8">
        <v>5</v>
      </c>
      <c r="E80" s="8">
        <v>9.61</v>
      </c>
      <c r="F80" s="8">
        <v>9.61</v>
      </c>
      <c r="G80" s="9" t="s">
        <v>474</v>
      </c>
      <c r="H80" s="52"/>
    </row>
    <row r="81" spans="1:8" ht="15" customHeight="1" x14ac:dyDescent="0.25">
      <c r="A81" s="8" t="s">
        <v>165</v>
      </c>
      <c r="B81" s="8" t="s">
        <v>512</v>
      </c>
      <c r="C81" s="8" t="s">
        <v>502</v>
      </c>
      <c r="D81" s="8">
        <v>5</v>
      </c>
      <c r="E81" s="8">
        <v>9.61</v>
      </c>
      <c r="F81" s="8">
        <v>9.61</v>
      </c>
      <c r="G81" s="9" t="s">
        <v>474</v>
      </c>
      <c r="H81" s="52"/>
    </row>
    <row r="82" spans="1:8" ht="15" customHeight="1" x14ac:dyDescent="0.25">
      <c r="A82" s="8" t="s">
        <v>53</v>
      </c>
      <c r="B82" s="8" t="s">
        <v>513</v>
      </c>
      <c r="C82" s="8" t="s">
        <v>502</v>
      </c>
      <c r="D82" s="8">
        <v>5</v>
      </c>
      <c r="E82" s="8">
        <v>9.61</v>
      </c>
      <c r="F82" s="8">
        <v>9.61</v>
      </c>
      <c r="G82" s="9" t="s">
        <v>474</v>
      </c>
      <c r="H82" s="52"/>
    </row>
    <row r="83" spans="1:8" ht="15" customHeight="1" x14ac:dyDescent="0.25">
      <c r="A83" s="8" t="s">
        <v>169</v>
      </c>
      <c r="B83" s="8" t="s">
        <v>514</v>
      </c>
      <c r="C83" s="8" t="s">
        <v>502</v>
      </c>
      <c r="D83" s="8">
        <v>5</v>
      </c>
      <c r="E83" s="8">
        <v>9.61</v>
      </c>
      <c r="F83" s="8">
        <v>9.61</v>
      </c>
      <c r="G83" s="9" t="s">
        <v>474</v>
      </c>
      <c r="H83" s="52"/>
    </row>
    <row r="84" spans="1:8" ht="15" customHeight="1" x14ac:dyDescent="0.25">
      <c r="A84" s="8" t="s">
        <v>131</v>
      </c>
      <c r="B84" s="8" t="s">
        <v>515</v>
      </c>
      <c r="C84" s="8" t="s">
        <v>516</v>
      </c>
      <c r="D84" s="8">
        <v>4</v>
      </c>
      <c r="E84" s="8">
        <v>7.29</v>
      </c>
      <c r="F84" s="8">
        <v>7.29</v>
      </c>
      <c r="G84" s="9" t="s">
        <v>474</v>
      </c>
      <c r="H84" s="52"/>
    </row>
    <row r="85" spans="1:8" ht="15" customHeight="1" x14ac:dyDescent="0.25">
      <c r="A85" s="8" t="s">
        <v>132</v>
      </c>
      <c r="B85" s="8" t="s">
        <v>517</v>
      </c>
      <c r="C85" s="8" t="s">
        <v>516</v>
      </c>
      <c r="D85" s="8">
        <v>4</v>
      </c>
      <c r="E85" s="8">
        <v>7.29</v>
      </c>
      <c r="F85" s="8">
        <v>7.29</v>
      </c>
      <c r="G85" s="9" t="s">
        <v>474</v>
      </c>
      <c r="H85" s="52"/>
    </row>
    <row r="86" spans="1:8" ht="15" customHeight="1" x14ac:dyDescent="0.25">
      <c r="A86" s="8" t="s">
        <v>133</v>
      </c>
      <c r="B86" s="8" t="s">
        <v>518</v>
      </c>
      <c r="C86" s="8" t="s">
        <v>516</v>
      </c>
      <c r="D86" s="8">
        <v>4</v>
      </c>
      <c r="E86" s="8">
        <v>7.29</v>
      </c>
      <c r="F86" s="8">
        <v>7.29</v>
      </c>
      <c r="G86" s="9" t="s">
        <v>474</v>
      </c>
      <c r="H86" s="52"/>
    </row>
    <row r="87" spans="1:8" ht="15" customHeight="1" x14ac:dyDescent="0.25">
      <c r="A87" s="8" t="s">
        <v>134</v>
      </c>
      <c r="B87" s="8" t="s">
        <v>519</v>
      </c>
      <c r="C87" s="8" t="s">
        <v>516</v>
      </c>
      <c r="D87" s="8">
        <v>4</v>
      </c>
      <c r="E87" s="8">
        <v>7.29</v>
      </c>
      <c r="F87" s="8">
        <v>7.29</v>
      </c>
      <c r="G87" s="9" t="s">
        <v>474</v>
      </c>
      <c r="H87" s="52"/>
    </row>
    <row r="88" spans="1:8" ht="15" customHeight="1" x14ac:dyDescent="0.25">
      <c r="A88" s="8" t="s">
        <v>135</v>
      </c>
      <c r="B88" s="8" t="s">
        <v>520</v>
      </c>
      <c r="C88" s="8" t="s">
        <v>516</v>
      </c>
      <c r="D88" s="8">
        <v>4</v>
      </c>
      <c r="E88" s="8">
        <v>7.29</v>
      </c>
      <c r="F88" s="8">
        <v>7.29</v>
      </c>
      <c r="G88" s="9" t="s">
        <v>474</v>
      </c>
      <c r="H88" s="52"/>
    </row>
    <row r="89" spans="1:8" ht="15" customHeight="1" x14ac:dyDescent="0.25">
      <c r="A89" s="8" t="s">
        <v>136</v>
      </c>
      <c r="B89" s="8" t="s">
        <v>521</v>
      </c>
      <c r="C89" s="8" t="s">
        <v>516</v>
      </c>
      <c r="D89" s="8">
        <v>4</v>
      </c>
      <c r="E89" s="8">
        <v>7.29</v>
      </c>
      <c r="F89" s="8">
        <v>7.29</v>
      </c>
      <c r="G89" s="9" t="s">
        <v>474</v>
      </c>
      <c r="H89" s="52"/>
    </row>
    <row r="90" spans="1:8" ht="15" customHeight="1" x14ac:dyDescent="0.25">
      <c r="A90" s="8" t="s">
        <v>137</v>
      </c>
      <c r="B90" s="8" t="s">
        <v>522</v>
      </c>
      <c r="C90" s="8" t="s">
        <v>516</v>
      </c>
      <c r="D90" s="8">
        <v>4</v>
      </c>
      <c r="E90" s="8">
        <v>7.29</v>
      </c>
      <c r="F90" s="8">
        <v>7.29</v>
      </c>
      <c r="G90" s="9" t="s">
        <v>474</v>
      </c>
      <c r="H90" s="52"/>
    </row>
    <row r="91" spans="1:8" ht="15" customHeight="1" x14ac:dyDescent="0.25">
      <c r="A91" s="8" t="s">
        <v>138</v>
      </c>
      <c r="B91" s="8" t="s">
        <v>523</v>
      </c>
      <c r="C91" s="8" t="s">
        <v>516</v>
      </c>
      <c r="D91" s="8">
        <v>4</v>
      </c>
      <c r="E91" s="8">
        <v>7.29</v>
      </c>
      <c r="F91" s="8">
        <v>7.29</v>
      </c>
      <c r="G91" s="9" t="s">
        <v>474</v>
      </c>
      <c r="H91" s="52"/>
    </row>
    <row r="92" spans="1:8" ht="15" customHeight="1" x14ac:dyDescent="0.25">
      <c r="A92" s="8" t="s">
        <v>51</v>
      </c>
      <c r="B92" s="8" t="s">
        <v>524</v>
      </c>
      <c r="C92" s="8" t="s">
        <v>516</v>
      </c>
      <c r="D92" s="8">
        <v>4</v>
      </c>
      <c r="E92" s="8">
        <v>7.29</v>
      </c>
      <c r="F92" s="8">
        <v>7.29</v>
      </c>
      <c r="G92" s="9" t="s">
        <v>474</v>
      </c>
      <c r="H92" s="52"/>
    </row>
    <row r="93" spans="1:8" ht="15" customHeight="1" x14ac:dyDescent="0.25">
      <c r="A93" s="8" t="s">
        <v>161</v>
      </c>
      <c r="B93" s="8" t="s">
        <v>525</v>
      </c>
      <c r="C93" s="8" t="s">
        <v>516</v>
      </c>
      <c r="D93" s="8">
        <v>4</v>
      </c>
      <c r="E93" s="8">
        <v>7.29</v>
      </c>
      <c r="F93" s="8">
        <v>7.29</v>
      </c>
      <c r="G93" s="9" t="s">
        <v>474</v>
      </c>
      <c r="H93" s="52"/>
    </row>
    <row r="94" spans="1:8" ht="15" customHeight="1" x14ac:dyDescent="0.25">
      <c r="A94" s="8" t="s">
        <v>162</v>
      </c>
      <c r="B94" s="8" t="s">
        <v>526</v>
      </c>
      <c r="C94" s="8" t="s">
        <v>516</v>
      </c>
      <c r="D94" s="8">
        <v>4</v>
      </c>
      <c r="E94" s="8">
        <v>7.29</v>
      </c>
      <c r="F94" s="8">
        <v>7.29</v>
      </c>
      <c r="G94" s="9" t="s">
        <v>474</v>
      </c>
      <c r="H94" s="52"/>
    </row>
    <row r="95" spans="1:8" ht="15" customHeight="1" x14ac:dyDescent="0.25">
      <c r="A95" s="8" t="s">
        <v>167</v>
      </c>
      <c r="B95" s="8" t="s">
        <v>527</v>
      </c>
      <c r="C95" s="8" t="s">
        <v>516</v>
      </c>
      <c r="D95" s="8">
        <v>4</v>
      </c>
      <c r="E95" s="8">
        <v>7.29</v>
      </c>
      <c r="F95" s="8">
        <v>7.29</v>
      </c>
      <c r="G95" s="9" t="s">
        <v>474</v>
      </c>
      <c r="H95" s="52"/>
    </row>
    <row r="96" spans="1:8" ht="15" customHeight="1" x14ac:dyDescent="0.25">
      <c r="A96" s="8" t="s">
        <v>168</v>
      </c>
      <c r="B96" s="8" t="s">
        <v>528</v>
      </c>
      <c r="C96" s="8" t="s">
        <v>516</v>
      </c>
      <c r="D96" s="8">
        <v>4</v>
      </c>
      <c r="E96" s="8">
        <v>7.29</v>
      </c>
      <c r="F96" s="8">
        <v>7.29</v>
      </c>
      <c r="G96" s="9" t="s">
        <v>474</v>
      </c>
      <c r="H96" s="52"/>
    </row>
    <row r="97" spans="1:8" ht="15" customHeight="1" x14ac:dyDescent="0.25">
      <c r="A97" s="8" t="s">
        <v>139</v>
      </c>
      <c r="B97" s="8" t="s">
        <v>529</v>
      </c>
      <c r="C97" s="8" t="s">
        <v>530</v>
      </c>
      <c r="D97" s="8">
        <v>4</v>
      </c>
      <c r="E97" s="8">
        <v>6.41</v>
      </c>
      <c r="F97" s="8">
        <v>6.41</v>
      </c>
      <c r="G97" s="9" t="s">
        <v>474</v>
      </c>
      <c r="H97" s="52"/>
    </row>
    <row r="98" spans="1:8" ht="15" customHeight="1" x14ac:dyDescent="0.25">
      <c r="A98" s="8" t="s">
        <v>140</v>
      </c>
      <c r="B98" s="8" t="s">
        <v>531</v>
      </c>
      <c r="C98" s="8" t="s">
        <v>530</v>
      </c>
      <c r="D98" s="8">
        <v>4</v>
      </c>
      <c r="E98" s="8">
        <v>6.41</v>
      </c>
      <c r="F98" s="8">
        <v>6.41</v>
      </c>
      <c r="G98" s="9" t="s">
        <v>474</v>
      </c>
      <c r="H98" s="52"/>
    </row>
    <row r="99" spans="1:8" ht="15" customHeight="1" x14ac:dyDescent="0.25">
      <c r="A99" s="8" t="s">
        <v>154</v>
      </c>
      <c r="B99" s="8" t="s">
        <v>532</v>
      </c>
      <c r="C99" s="8" t="s">
        <v>530</v>
      </c>
      <c r="D99" s="8">
        <v>4</v>
      </c>
      <c r="E99" s="8">
        <v>6.41</v>
      </c>
      <c r="F99" s="8">
        <v>6.41</v>
      </c>
      <c r="G99" s="9" t="s">
        <v>474</v>
      </c>
      <c r="H99" s="52"/>
    </row>
    <row r="100" spans="1:8" ht="15" customHeight="1" x14ac:dyDescent="0.25">
      <c r="A100" s="8" t="s">
        <v>55</v>
      </c>
      <c r="B100" s="8" t="s">
        <v>533</v>
      </c>
      <c r="C100" s="8" t="s">
        <v>534</v>
      </c>
      <c r="D100" s="8">
        <v>8</v>
      </c>
      <c r="E100" s="8">
        <v>26.46</v>
      </c>
      <c r="F100" s="8">
        <v>26.46</v>
      </c>
      <c r="G100" s="10" t="s">
        <v>535</v>
      </c>
      <c r="H100" s="52"/>
    </row>
    <row r="101" spans="1:8" ht="15" customHeight="1" x14ac:dyDescent="0.25">
      <c r="A101" s="8" t="s">
        <v>175</v>
      </c>
      <c r="B101" s="8" t="s">
        <v>536</v>
      </c>
      <c r="C101" s="8" t="s">
        <v>534</v>
      </c>
      <c r="D101" s="8">
        <v>8</v>
      </c>
      <c r="E101" s="8">
        <v>26.46</v>
      </c>
      <c r="F101" s="8">
        <v>26.46</v>
      </c>
      <c r="G101" s="10" t="s">
        <v>535</v>
      </c>
      <c r="H101" s="52"/>
    </row>
    <row r="102" spans="1:8" ht="15" customHeight="1" x14ac:dyDescent="0.25">
      <c r="A102" s="8" t="s">
        <v>181</v>
      </c>
      <c r="B102" s="8" t="s">
        <v>537</v>
      </c>
      <c r="C102" s="8" t="s">
        <v>534</v>
      </c>
      <c r="D102" s="8">
        <v>8</v>
      </c>
      <c r="E102" s="8">
        <v>26.46</v>
      </c>
      <c r="F102" s="8">
        <v>26.46</v>
      </c>
      <c r="G102" s="10" t="s">
        <v>535</v>
      </c>
      <c r="H102" s="52"/>
    </row>
    <row r="103" spans="1:8" ht="15" customHeight="1" x14ac:dyDescent="0.25">
      <c r="A103" s="8" t="s">
        <v>182</v>
      </c>
      <c r="B103" s="8" t="s">
        <v>538</v>
      </c>
      <c r="C103" s="8" t="s">
        <v>534</v>
      </c>
      <c r="D103" s="8">
        <v>8</v>
      </c>
      <c r="E103" s="8">
        <v>26.46</v>
      </c>
      <c r="F103" s="8">
        <v>26.46</v>
      </c>
      <c r="G103" s="10" t="s">
        <v>535</v>
      </c>
      <c r="H103" s="52"/>
    </row>
    <row r="104" spans="1:8" ht="15" customHeight="1" x14ac:dyDescent="0.25">
      <c r="A104" s="8" t="s">
        <v>172</v>
      </c>
      <c r="B104" s="8" t="s">
        <v>539</v>
      </c>
      <c r="C104" s="8" t="s">
        <v>540</v>
      </c>
      <c r="D104" s="8">
        <v>7</v>
      </c>
      <c r="E104" s="8">
        <v>23.52</v>
      </c>
      <c r="F104" s="8">
        <v>23.52</v>
      </c>
      <c r="G104" s="10" t="s">
        <v>535</v>
      </c>
      <c r="H104" s="52"/>
    </row>
    <row r="105" spans="1:8" ht="15" customHeight="1" x14ac:dyDescent="0.25">
      <c r="A105" s="8" t="s">
        <v>174</v>
      </c>
      <c r="B105" s="8" t="s">
        <v>541</v>
      </c>
      <c r="C105" s="8" t="s">
        <v>540</v>
      </c>
      <c r="D105" s="8">
        <v>7</v>
      </c>
      <c r="E105" s="8">
        <v>23.52</v>
      </c>
      <c r="F105" s="8">
        <v>23.52</v>
      </c>
      <c r="G105" s="10" t="s">
        <v>535</v>
      </c>
      <c r="H105" s="52"/>
    </row>
    <row r="106" spans="1:8" ht="15" customHeight="1" x14ac:dyDescent="0.25">
      <c r="A106" s="8" t="s">
        <v>54</v>
      </c>
      <c r="B106" s="8" t="s">
        <v>542</v>
      </c>
      <c r="C106" s="8" t="s">
        <v>540</v>
      </c>
      <c r="D106" s="8">
        <v>7</v>
      </c>
      <c r="E106" s="8">
        <v>23.52</v>
      </c>
      <c r="F106" s="8">
        <v>23.52</v>
      </c>
      <c r="G106" s="10" t="s">
        <v>535</v>
      </c>
      <c r="H106" s="52"/>
    </row>
    <row r="107" spans="1:8" ht="15" customHeight="1" x14ac:dyDescent="0.25">
      <c r="A107" s="8" t="s">
        <v>62</v>
      </c>
      <c r="B107" s="8" t="s">
        <v>543</v>
      </c>
      <c r="C107" s="8" t="s">
        <v>540</v>
      </c>
      <c r="D107" s="8">
        <v>7</v>
      </c>
      <c r="E107" s="8">
        <v>23.52</v>
      </c>
      <c r="F107" s="8">
        <v>23.52</v>
      </c>
      <c r="G107" s="10" t="s">
        <v>535</v>
      </c>
      <c r="H107" s="52"/>
    </row>
    <row r="108" spans="1:8" ht="15" customHeight="1" x14ac:dyDescent="0.25">
      <c r="A108" s="8" t="s">
        <v>59</v>
      </c>
      <c r="B108" s="8" t="s">
        <v>544</v>
      </c>
      <c r="C108" s="8" t="s">
        <v>540</v>
      </c>
      <c r="D108" s="8">
        <v>7</v>
      </c>
      <c r="E108" s="8">
        <v>23.52</v>
      </c>
      <c r="F108" s="8">
        <v>23.52</v>
      </c>
      <c r="G108" s="10" t="s">
        <v>535</v>
      </c>
      <c r="H108" s="52"/>
    </row>
    <row r="109" spans="1:8" ht="15" customHeight="1" x14ac:dyDescent="0.25">
      <c r="A109" s="8" t="s">
        <v>176</v>
      </c>
      <c r="B109" s="8" t="s">
        <v>545</v>
      </c>
      <c r="C109" s="8" t="s">
        <v>540</v>
      </c>
      <c r="D109" s="8">
        <v>7</v>
      </c>
      <c r="E109" s="8">
        <v>23.52</v>
      </c>
      <c r="F109" s="8">
        <v>23.52</v>
      </c>
      <c r="G109" s="10" t="s">
        <v>535</v>
      </c>
      <c r="H109" s="52"/>
    </row>
    <row r="110" spans="1:8" ht="15" customHeight="1" x14ac:dyDescent="0.25">
      <c r="A110" s="8" t="s">
        <v>177</v>
      </c>
      <c r="B110" s="8" t="s">
        <v>546</v>
      </c>
      <c r="C110" s="8" t="s">
        <v>540</v>
      </c>
      <c r="D110" s="8">
        <v>7</v>
      </c>
      <c r="E110" s="8">
        <v>23.52</v>
      </c>
      <c r="F110" s="8">
        <v>23.52</v>
      </c>
      <c r="G110" s="10" t="s">
        <v>535</v>
      </c>
      <c r="H110" s="52"/>
    </row>
    <row r="111" spans="1:8" ht="15" customHeight="1" x14ac:dyDescent="0.25">
      <c r="A111" s="8" t="s">
        <v>178</v>
      </c>
      <c r="B111" s="8" t="s">
        <v>547</v>
      </c>
      <c r="C111" s="8" t="s">
        <v>540</v>
      </c>
      <c r="D111" s="8">
        <v>7</v>
      </c>
      <c r="E111" s="8">
        <v>23.52</v>
      </c>
      <c r="F111" s="8">
        <v>23.52</v>
      </c>
      <c r="G111" s="10" t="s">
        <v>535</v>
      </c>
      <c r="H111" s="52"/>
    </row>
    <row r="112" spans="1:8" ht="15" customHeight="1" x14ac:dyDescent="0.25">
      <c r="A112" s="8" t="s">
        <v>179</v>
      </c>
      <c r="B112" s="8" t="s">
        <v>548</v>
      </c>
      <c r="C112" s="8" t="s">
        <v>540</v>
      </c>
      <c r="D112" s="8">
        <v>7</v>
      </c>
      <c r="E112" s="8">
        <v>23.52</v>
      </c>
      <c r="F112" s="8">
        <v>23.52</v>
      </c>
      <c r="G112" s="10" t="s">
        <v>535</v>
      </c>
      <c r="H112" s="52"/>
    </row>
    <row r="113" spans="1:8" ht="15" customHeight="1" x14ac:dyDescent="0.25">
      <c r="A113" s="8" t="s">
        <v>61</v>
      </c>
      <c r="B113" s="8" t="s">
        <v>549</v>
      </c>
      <c r="C113" s="8" t="s">
        <v>540</v>
      </c>
      <c r="D113" s="8">
        <v>7</v>
      </c>
      <c r="E113" s="8">
        <v>23.52</v>
      </c>
      <c r="F113" s="8">
        <v>23.52</v>
      </c>
      <c r="G113" s="10" t="s">
        <v>535</v>
      </c>
      <c r="H113" s="52"/>
    </row>
    <row r="114" spans="1:8" ht="15" customHeight="1" x14ac:dyDescent="0.25">
      <c r="A114" s="8" t="s">
        <v>180</v>
      </c>
      <c r="B114" s="8" t="s">
        <v>550</v>
      </c>
      <c r="C114" s="8" t="s">
        <v>540</v>
      </c>
      <c r="D114" s="8">
        <v>7</v>
      </c>
      <c r="E114" s="8">
        <v>23.52</v>
      </c>
      <c r="F114" s="8">
        <v>23.52</v>
      </c>
      <c r="G114" s="10" t="s">
        <v>535</v>
      </c>
      <c r="H114" s="52"/>
    </row>
    <row r="115" spans="1:8" ht="15" customHeight="1" x14ac:dyDescent="0.25">
      <c r="A115" s="8" t="s">
        <v>183</v>
      </c>
      <c r="B115" s="8" t="s">
        <v>551</v>
      </c>
      <c r="C115" s="8" t="s">
        <v>540</v>
      </c>
      <c r="D115" s="8">
        <v>7</v>
      </c>
      <c r="E115" s="8">
        <v>23.52</v>
      </c>
      <c r="F115" s="8">
        <v>23.52</v>
      </c>
      <c r="G115" s="10" t="s">
        <v>535</v>
      </c>
      <c r="H115" s="52"/>
    </row>
    <row r="116" spans="1:8" ht="15" customHeight="1" x14ac:dyDescent="0.25">
      <c r="A116" s="8" t="s">
        <v>184</v>
      </c>
      <c r="B116" s="8" t="s">
        <v>552</v>
      </c>
      <c r="C116" s="8" t="s">
        <v>540</v>
      </c>
      <c r="D116" s="8">
        <v>7</v>
      </c>
      <c r="E116" s="8">
        <v>23.52</v>
      </c>
      <c r="F116" s="8">
        <v>23.52</v>
      </c>
      <c r="G116" s="10" t="s">
        <v>535</v>
      </c>
      <c r="H116" s="52"/>
    </row>
    <row r="117" spans="1:8" ht="15" customHeight="1" x14ac:dyDescent="0.25">
      <c r="A117" s="8" t="s">
        <v>185</v>
      </c>
      <c r="B117" s="8" t="s">
        <v>553</v>
      </c>
      <c r="C117" s="8" t="s">
        <v>540</v>
      </c>
      <c r="D117" s="8">
        <v>7</v>
      </c>
      <c r="E117" s="8">
        <v>23.52</v>
      </c>
      <c r="F117" s="8">
        <v>23.52</v>
      </c>
      <c r="G117" s="10" t="s">
        <v>535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554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555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2026-10-22T15:53:03Z</dcterms:modified>
  <dc:language>en-US</dc:language>
</cp:coreProperties>
</file>