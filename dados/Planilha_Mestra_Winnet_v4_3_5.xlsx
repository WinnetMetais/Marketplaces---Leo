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E97" i="4"/>
  <c r="G97" i="4" s="1"/>
  <c r="N97" i="4" s="1"/>
  <c r="O97" i="4" s="1"/>
  <c r="P97" i="4" s="1"/>
  <c r="L96" i="4"/>
  <c r="H96" i="4"/>
  <c r="I96" i="4" s="1"/>
  <c r="G96" i="4"/>
  <c r="E96" i="4"/>
  <c r="L95" i="4"/>
  <c r="H95" i="4"/>
  <c r="I95" i="4" s="1"/>
  <c r="G95" i="4"/>
  <c r="M95" i="4" s="1"/>
  <c r="E95" i="4"/>
  <c r="L94" i="4"/>
  <c r="H94" i="4"/>
  <c r="I94" i="4" s="1"/>
  <c r="G94" i="4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96" i="4" l="1"/>
  <c r="M96" i="4"/>
  <c r="K94" i="4"/>
  <c r="K91" i="4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89" i="4" s="1"/>
  <c r="O89" i="4" s="1"/>
  <c r="P89" i="4" s="1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<sst xmlns="http://schemas.openxmlformats.org/spreadsheetml/2006/main" count="2114" uniqueCount="583">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</sst>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G1" zoomScaleNormal="100" workbookViewId="0">
      <pane ySplit="5" topLeftCell="A87" activePane="bottomLeft" state="frozen"/>
      <selection pane="bottomLeft" activeCell="S95" sqref="S95:S97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 t="s">
        <v>210</v>
      </c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 t="s">
        <v>207</v>
      </c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 t="s">
        <v>210</v>
      </c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 t="s">
        <v>210</v>
      </c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 t="s">
        <v>210</v>
      </c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 t="s">
        <v>210</v>
      </c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 t="s">
        <v>207</v>
      </c>
      <c r="S87" t="s">
        <v>558</v>
      </c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 t="s">
        <v>210</v>
      </c>
      <c r="S88" t="s">
        <v>558</v>
      </c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>
        <v>92.43</v>
      </c>
      <c r="G89" s="13">
        <f t="shared" si="12"/>
        <v>523.75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78.790000000000006</v>
      </c>
      <c r="L89" s="13">
        <f>IF(OR($B89="",$C89=""),"",$C89*INDEX(Simulador!$F$7:$F$232,MATCH($B89,Simulador!$A$7:$A$232,0)))</f>
        <v>307.26</v>
      </c>
      <c r="M89" s="13">
        <f t="shared" si="13"/>
        <v>52.375</v>
      </c>
      <c r="N89" s="35">
        <f t="shared" si="14"/>
        <v>87.124999999999943</v>
      </c>
      <c r="O89" s="12">
        <f t="shared" si="15"/>
        <v>0.16634844868735071</v>
      </c>
      <c r="P89" s="22" t="str">
        <f t="shared" si="16"/>
        <v>DENTRO DA META (15-20%)</v>
      </c>
      <c r="Q89" s="19"/>
      <c r="R89" s="19" t="s">
        <v>207</v>
      </c>
      <c r="S89" t="s">
        <v>558</v>
      </c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 t="s">
        <v>210</v>
      </c>
      <c r="S90" t="s">
        <v>558</v>
      </c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 t="s">
        <v>207</v>
      </c>
      <c r="S91" t="s">
        <v>558</v>
      </c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 t="s">
        <v>210</v>
      </c>
      <c r="S92" t="s">
        <v>558</v>
      </c>
    </row>
    <row r="93" spans="1:19" ht="15" customHeight="1" x14ac:dyDescent="0.25">
      <c r="A93" s="32">
        <v>46308</v>
      </c>
      <c r="B93" s="19" t="s">
        <v>104</v>
      </c>
      <c r="C93" s="19">
        <v>1</v>
      </c>
      <c r="D93" s="19" t="s">
        <v>206</v>
      </c>
      <c r="E93" s="20">
        <f>IF($B93="","",INDEX(Simulador!$D$7:$D$232,MATCH($B93,Simulador!$A$7:$A$232,0)))</f>
        <v>129.9</v>
      </c>
      <c r="F93" s="20"/>
      <c r="G93" s="13">
        <f t="shared" si="12"/>
        <v>129.9</v>
      </c>
      <c r="H93" s="8" t="str">
        <f>IF($B93="","",INDEX(Simulador!$B$7:$B$232,MATCH($B93,Simulador!$A$7:$A$232,0)))</f>
        <v>Pequenos</v>
      </c>
      <c r="I93" s="13">
        <f>IF(OR(H93="",$D93=""),"",INDEX(Ref_Frete!$B$2:$G$54,MATCH($D93,Ref_Frete!$A$2:$A$54,0),IF(H93="Pequenos",2,IF(H93="Medios",4,6))))</f>
        <v>52</v>
      </c>
      <c r="J93" s="20">
        <v>16.04</v>
      </c>
      <c r="K93" s="20">
        <f t="shared" si="17"/>
        <v>24.56</v>
      </c>
      <c r="L93" s="13">
        <f>IF(OR($B93="",$C93=""),"",$C93*INDEX(Simulador!$F$7:$F$232,MATCH($B93,Simulador!$A$7:$A$232,0)))</f>
        <v>60.62</v>
      </c>
      <c r="M93" s="13">
        <f t="shared" si="13"/>
        <v>12.990000000000002</v>
      </c>
      <c r="N93" s="35">
        <f t="shared" si="14"/>
        <v>67.69</v>
      </c>
      <c r="O93" s="12">
        <f t="shared" si="15"/>
        <v>0.52109314857582756</v>
      </c>
      <c r="P93" s="22" t="str">
        <f t="shared" si="16"/>
        <v>ACIMA DA META (&gt;20%)</v>
      </c>
      <c r="Q93" s="19"/>
      <c r="R93" s="19" t="s">
        <v>210</v>
      </c>
      <c r="S93" t="s">
        <v>558</v>
      </c>
    </row>
    <row r="94" spans="1:19" ht="15" customHeight="1" x14ac:dyDescent="0.25">
      <c r="A94" s="32">
        <v>46310</v>
      </c>
      <c r="B94" s="19" t="s">
        <v>57</v>
      </c>
      <c r="C94" s="19">
        <v>1</v>
      </c>
      <c r="D94" s="19" t="s">
        <v>405</v>
      </c>
      <c r="E94" s="20">
        <f>IF($B94="","",INDEX(Simulador!$D$7:$D$232,MATCH($B94,Simulador!$A$7:$A$232,0)))</f>
        <v>616.17999999999995</v>
      </c>
      <c r="F94" s="20"/>
      <c r="G94" s="13">
        <f t="shared" si="12"/>
        <v>616.17999999999995</v>
      </c>
      <c r="H94" s="8" t="str">
        <f>IF($B94="","",INDEX(Simulador!$B$7:$B$232,MATCH($B94,Simulador!$A$7:$A$232,0)))</f>
        <v>Medios</v>
      </c>
      <c r="I94" s="13">
        <f>IF(OR(H94="",$D94=""),"",INDEX(Ref_Frete!$B$2:$G$54,MATCH($D94,Ref_Frete!$A$2:$A$54,0),IF(H94="Pequenos",2,IF(H94="Medios",4,6))))</f>
        <v>69.900000000000006</v>
      </c>
      <c r="J94" s="20">
        <v>63.46</v>
      </c>
      <c r="K94" s="20">
        <f t="shared" si="17"/>
        <v>92.62</v>
      </c>
      <c r="L94" s="13">
        <f>IF(OR($B94="",$C94=""),"",$C94*INDEX(Simulador!$F$7:$F$232,MATCH($B94,Simulador!$A$7:$A$232,0)))</f>
        <v>307.26</v>
      </c>
      <c r="M94" s="13">
        <f t="shared" si="13"/>
        <v>61.617999999999995</v>
      </c>
      <c r="N94" s="35">
        <f t="shared" si="14"/>
        <v>161.1219999999999</v>
      </c>
      <c r="O94" s="12">
        <f t="shared" si="15"/>
        <v>0.26148528027524409</v>
      </c>
      <c r="P94" s="22" t="str">
        <f t="shared" si="16"/>
        <v>ACIMA DA META (&gt;20%)</v>
      </c>
      <c r="Q94" s="19"/>
      <c r="R94" s="19" t="s">
        <v>207</v>
      </c>
      <c r="S94" t="s">
        <v>558</v>
      </c>
    </row>
    <row r="95" spans="1:19" ht="15" customHeight="1" x14ac:dyDescent="0.25">
      <c r="A95" s="32">
        <v>46314</v>
      </c>
      <c r="B95" s="19" t="s">
        <v>37</v>
      </c>
      <c r="C95" s="19">
        <v>1</v>
      </c>
      <c r="D95" s="19" t="s">
        <v>247</v>
      </c>
      <c r="E95" s="20">
        <f>IF($B95="","",INDEX(Simulador!$D$7:$D$232,MATCH($B95,Simulador!$A$7:$A$232,0)))</f>
        <v>116</v>
      </c>
      <c r="F95" s="20"/>
      <c r="G95" s="13">
        <f t="shared" si="12"/>
        <v>116</v>
      </c>
      <c r="H95" s="8" t="str">
        <f>IF($B95="","",INDEX(Simulador!$B$7:$B$232,MATCH($B95,Simulador!$A$7:$A$232,0)))</f>
        <v>Pequenos</v>
      </c>
      <c r="I95" s="13">
        <f>IF(OR(H95="",$D95=""),"",INDEX(Ref_Frete!$B$2:$G$54,MATCH($D95,Ref_Frete!$A$2:$A$54,0),IF(H95="Pequenos",2,IF(H95="Medios",4,6))))</f>
        <v>24.9</v>
      </c>
      <c r="J95" s="20">
        <v>11.7</v>
      </c>
      <c r="K95" s="20">
        <f t="shared" si="17"/>
        <v>19.02</v>
      </c>
      <c r="L95" s="13">
        <f>IF(OR($B95="",$C95=""),"",$C95*INDEX(Simulador!$F$7:$F$232,MATCH($B95,Simulador!$A$7:$A$232,0)))</f>
        <v>54.47</v>
      </c>
      <c r="M95" s="13">
        <f t="shared" si="13"/>
        <v>11.600000000000001</v>
      </c>
      <c r="N95" s="35">
        <f t="shared" si="14"/>
        <v>44.110000000000021</v>
      </c>
      <c r="O95" s="12">
        <f t="shared" si="15"/>
        <v>0.38025862068965532</v>
      </c>
      <c r="P95" s="22" t="str">
        <f t="shared" si="16"/>
        <v>ACIMA DA META (&gt;20%)</v>
      </c>
      <c r="Q95" s="19"/>
      <c r="R95" s="19"/>
      <c r="S95" t="s">
        <v>558</v>
      </c>
    </row>
    <row r="96" spans="1:19" ht="15" customHeight="1" x14ac:dyDescent="0.25">
      <c r="A96" s="32">
        <v>46314</v>
      </c>
      <c r="B96" s="19" t="s">
        <v>34</v>
      </c>
      <c r="C96" s="19">
        <v>1</v>
      </c>
      <c r="D96" s="19" t="s">
        <v>213</v>
      </c>
      <c r="E96" s="20">
        <f>IF($B96="","",INDEX(Simulador!$D$7:$D$232,MATCH($B96,Simulador!$A$7:$A$232,0)))</f>
        <v>104.9</v>
      </c>
      <c r="F96" s="20"/>
      <c r="G96" s="13">
        <f t="shared" si="12"/>
        <v>104.9</v>
      </c>
      <c r="H96" s="8" t="str">
        <f>IF($B96="","",INDEX(Simulador!$B$7:$B$232,MATCH($B96,Simulador!$A$7:$A$232,0)))</f>
        <v>Pequenos</v>
      </c>
      <c r="I96" s="13">
        <f>IF(OR(H96="",$D96=""),"",INDEX(Ref_Frete!$B$2:$G$54,MATCH($D96,Ref_Frete!$A$2:$A$54,0),IF(H96="Pequenos",2,IF(H96="Medios",4,6))))</f>
        <v>24.9</v>
      </c>
      <c r="J96" s="20">
        <v>14.22</v>
      </c>
      <c r="K96" s="20">
        <f t="shared" si="17"/>
        <v>17.52</v>
      </c>
      <c r="L96" s="13">
        <f>IF(OR($B96="",$C96=""),"",$C96*INDEX(Simulador!$F$7:$F$232,MATCH($B96,Simulador!$A$7:$A$232,0)))</f>
        <v>48.18</v>
      </c>
      <c r="M96" s="13">
        <f t="shared" si="13"/>
        <v>10.490000000000002</v>
      </c>
      <c r="N96" s="35">
        <f t="shared" si="14"/>
        <v>39.390000000000015</v>
      </c>
      <c r="O96" s="12">
        <f t="shared" si="15"/>
        <v>0.37550047664442338</v>
      </c>
      <c r="P96" s="22" t="str">
        <f t="shared" si="16"/>
        <v>ACIMA DA META (&gt;20%)</v>
      </c>
      <c r="Q96" s="19"/>
      <c r="R96" s="19"/>
      <c r="S96" t="s">
        <v>558</v>
      </c>
    </row>
    <row r="97" spans="1:19" ht="15" customHeight="1" x14ac:dyDescent="0.25">
      <c r="A97" s="32">
        <v>46314</v>
      </c>
      <c r="B97" s="19" t="s">
        <v>155</v>
      </c>
      <c r="C97" s="19">
        <v>1</v>
      </c>
      <c r="D97" s="19" t="s">
        <v>394</v>
      </c>
      <c r="E97" s="20">
        <f>IF($B97="","",INDEX(Simulador!$D$7:$D$232,MATCH($B97,Simulador!$A$7:$A$232,0)))</f>
        <v>467.67</v>
      </c>
      <c r="F97" s="20"/>
      <c r="G97" s="13">
        <f t="shared" si="12"/>
        <v>467.67</v>
      </c>
      <c r="H97" s="8" t="str">
        <f>IF($B97="","",INDEX(Simulador!$B$7:$B$232,MATCH($B97,Simulador!$A$7:$A$232,0)))</f>
        <v>Medios</v>
      </c>
      <c r="I97" s="13">
        <f>IF(OR(H97="",$D97=""),"",INDEX(Ref_Frete!$B$2:$G$54,MATCH($D97,Ref_Frete!$A$2:$A$54,0),IF(H97="Pequenos",2,IF(H97="Medios",4,6))))</f>
        <v>142</v>
      </c>
      <c r="J97" s="20">
        <v>96.04</v>
      </c>
      <c r="K97" s="20">
        <f t="shared" si="17"/>
        <v>82.31</v>
      </c>
      <c r="L97" s="13">
        <f>IF(OR($B97="",$C97=""),"",$C97*INDEX(Simulador!$F$7:$F$232,MATCH($B97,Simulador!$A$7:$A$232,0)))</f>
        <v>240.55</v>
      </c>
      <c r="M97" s="13">
        <f t="shared" si="13"/>
        <v>46.767000000000003</v>
      </c>
      <c r="N97" s="35">
        <f t="shared" si="14"/>
        <v>144.0030000000001</v>
      </c>
      <c r="O97" s="12">
        <f t="shared" si="15"/>
        <v>0.30791583809096179</v>
      </c>
      <c r="P97" s="22" t="str">
        <f t="shared" si="16"/>
        <v>ACIMA DA META (&gt;20%)</v>
      </c>
      <c r="Q97" s="19"/>
      <c r="R97" s="19"/>
      <c r="S97" t="s">
        <v>558</v>
      </c>
    </row>
    <row r="98" spans="1:19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9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9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9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9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9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9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9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9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9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9" ht="15" customHeight="1" x14ac:dyDescent="0.25">
      <c r="A108" s="3" t="s">
        <v>249</v>
      </c>
      <c r="G108" s="39">
        <f>SUM(G6:G107)</f>
        <v>36029.010000000024</v>
      </c>
      <c r="K108" s="39">
        <f>SUM(K6:K107)</f>
        <v>5496.1100000000042</v>
      </c>
      <c r="L108" s="39">
        <f>SUM(L6:L107)</f>
        <v>18730.700000000004</v>
      </c>
      <c r="M108" s="39">
        <f>SUM(M6:M107)</f>
        <v>3602.9009999999989</v>
      </c>
      <c r="N108" s="39">
        <f>SUM(N6:N107)</f>
        <v>9219.1890000000021</v>
      </c>
      <c r="O108" s="40">
        <f>IF(G108=0,"",N108/G108)</f>
        <v>0.25588238477826608</v>
      </c>
    </row>
    <row r="117" spans="1:1" ht="15" customHeight="1" x14ac:dyDescent="0.25">
      <c r="A117" s="41"/>
    </row>
  </sheetData>
  <conditionalFormatting sqref="S6:S97">
    <cfRule type="cellIs" dxfId="3" priority="1" operator="equal">
      <formula>"DEVOLUÇÃO"</formula>
    </cfRule>
    <cfRule type="cellIs" dxfId="2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2026-10-20T15:33:18Z</dcterms:modified>
  <dc:language>en-US</dc:language>
</cp:coreProperties>
</file>