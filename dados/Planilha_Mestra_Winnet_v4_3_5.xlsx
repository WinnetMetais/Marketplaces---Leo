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4" i="4" l="1"/>
  <c r="K91" i="4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<sst xmlns="http://schemas.openxmlformats.org/spreadsheetml/2006/main" count="2108" uniqueCount="583">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</sst>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87" activePane="bottomLeft" state="frozen"/>
      <selection pane="bottomLeft" activeCell="S95" sqref="S95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>
        <v>46308</v>
      </c>
      <c r="B93" s="19" t="s">
        <v>104</v>
      </c>
      <c r="C93" s="19">
        <v>1</v>
      </c>
      <c r="D93" s="19" t="s">
        <v>206</v>
      </c>
      <c r="E93" s="20">
        <f>IF($B93="","",INDEX(Simulador!$D$7:$D$232,MATCH($B93,Simulador!$A$7:$A$232,0)))</f>
        <v>129.9</v>
      </c>
      <c r="F93" s="20"/>
      <c r="G93" s="13">
        <f t="shared" si="12"/>
        <v>129.9</v>
      </c>
      <c r="H93" s="8" t="str">
        <f>IF($B93="","",INDEX(Simulador!$B$7:$B$232,MATCH($B93,Simulador!$A$7:$A$232,0)))</f>
        <v>Pequenos</v>
      </c>
      <c r="I93" s="13">
        <f>IF(OR(H93="",$D93=""),"",INDEX(Ref_Frete!$B$2:$G$54,MATCH($D93,Ref_Frete!$A$2:$A$54,0),IF(H93="Pequenos",2,IF(H93="Medios",4,6))))</f>
        <v>52</v>
      </c>
      <c r="J93" s="20">
        <v>16.04</v>
      </c>
      <c r="K93" s="20">
        <f t="shared" si="17"/>
        <v>24.56</v>
      </c>
      <c r="L93" s="13">
        <f>IF(OR($B93="",$C93=""),"",$C93*INDEX(Simulador!$F$7:$F$232,MATCH($B93,Simulador!$A$7:$A$232,0)))</f>
        <v>60.62</v>
      </c>
      <c r="M93" s="13">
        <f t="shared" si="13"/>
        <v>12.990000000000002</v>
      </c>
      <c r="N93" s="35">
        <f t="shared" si="14"/>
        <v>67.69</v>
      </c>
      <c r="O93" s="12">
        <f t="shared" si="15"/>
        <v>0.52109314857582756</v>
      </c>
      <c r="P93" s="22" t="str">
        <f t="shared" si="16"/>
        <v>ACIMA DA META (&gt;20%)</v>
      </c>
      <c r="Q93" s="19"/>
      <c r="R93" s="19" t="s">
        <v>210</v>
      </c>
      <c r="S93" t="s">
        <v>558</v>
      </c>
    </row>
    <row r="94" spans="1:19" ht="15" customHeight="1" x14ac:dyDescent="0.25">
      <c r="A94" s="32">
        <v>46310</v>
      </c>
      <c r="B94" s="19" t="s">
        <v>57</v>
      </c>
      <c r="C94" s="19">
        <v>1</v>
      </c>
      <c r="D94" s="19" t="s">
        <v>405</v>
      </c>
      <c r="E94" s="20">
        <f>IF($B94="","",INDEX(Simulador!$D$7:$D$232,MATCH($B94,Simulador!$A$7:$A$232,0)))</f>
        <v>616.17999999999995</v>
      </c>
      <c r="F94" s="20"/>
      <c r="G94" s="13">
        <f t="shared" si="12"/>
        <v>616.17999999999995</v>
      </c>
      <c r="H94" s="8" t="str">
        <f>IF($B94="","",INDEX(Simulador!$B$7:$B$232,MATCH($B94,Simulador!$A$7:$A$232,0)))</f>
        <v>Medios</v>
      </c>
      <c r="I94" s="13">
        <f>IF(OR(H94="",$D94=""),"",INDEX(Ref_Frete!$B$2:$G$54,MATCH($D94,Ref_Frete!$A$2:$A$54,0),IF(H94="Pequenos",2,IF(H94="Medios",4,6))))</f>
        <v>69.900000000000006</v>
      </c>
      <c r="J94" s="20">
        <v>63.46</v>
      </c>
      <c r="K94" s="20">
        <f t="shared" si="17"/>
        <v>92.62</v>
      </c>
      <c r="L94" s="13">
        <f>IF(OR($B94="",$C94=""),"",$C94*INDEX(Simulador!$F$7:$F$232,MATCH($B94,Simulador!$A$7:$A$232,0)))</f>
        <v>307.26</v>
      </c>
      <c r="M94" s="13">
        <f t="shared" si="13"/>
        <v>61.617999999999995</v>
      </c>
      <c r="N94" s="35">
        <f t="shared" si="14"/>
        <v>161.1219999999999</v>
      </c>
      <c r="O94" s="12">
        <f t="shared" si="15"/>
        <v>0.26148528027524409</v>
      </c>
      <c r="P94" s="22" t="str">
        <f t="shared" si="16"/>
        <v>ACIMA DA META (&gt;20%)</v>
      </c>
      <c r="Q94" s="19"/>
      <c r="R94" s="19" t="s">
        <v>207</v>
      </c>
      <c r="S94" t="s">
        <v>558</v>
      </c>
    </row>
    <row r="95" spans="1:19" ht="15" customHeight="1" x14ac:dyDescent="0.25">
      <c r="A95" s="32">
        <v>46314</v>
      </c>
      <c r="B95" s="19" t="s">
        <v>37</v>
      </c>
      <c r="C95" s="19">
        <v>1</v>
      </c>
      <c r="D95" s="19" t="s">
        <v>247</v>
      </c>
      <c r="E95" s="20">
        <f>IF($B95="","",INDEX(Simulador!$D$7:$D$232,MATCH($B95,Simulador!$A$7:$A$232,0)))</f>
        <v>116</v>
      </c>
      <c r="F95" s="20"/>
      <c r="G95" s="13">
        <f t="shared" si="12"/>
        <v>116</v>
      </c>
      <c r="H95" s="8" t="str">
        <f>IF($B95="","",INDEX(Simulador!$B$7:$B$232,MATCH($B95,Simulador!$A$7:$A$232,0)))</f>
        <v>Pequenos</v>
      </c>
      <c r="I95" s="13">
        <f>IF(OR(H95="",$D95=""),"",INDEX(Ref_Frete!$B$2:$G$54,MATCH($D95,Ref_Frete!$A$2:$A$54,0),IF(H95="Pequenos",2,IF(H95="Medios",4,6))))</f>
        <v>24.9</v>
      </c>
      <c r="J95" s="20">
        <v>11.7</v>
      </c>
      <c r="K95" s="20">
        <f t="shared" si="17"/>
        <v>19.02</v>
      </c>
      <c r="L95" s="13">
        <f>IF(OR($B95="",$C95=""),"",$C95*INDEX(Simulador!$F$7:$F$232,MATCH($B95,Simulador!$A$7:$A$232,0)))</f>
        <v>54.47</v>
      </c>
      <c r="M95" s="13">
        <f t="shared" si="13"/>
        <v>11.600000000000001</v>
      </c>
      <c r="N95" s="35">
        <f t="shared" si="14"/>
        <v>44.110000000000021</v>
      </c>
      <c r="O95" s="12">
        <f t="shared" si="15"/>
        <v>0.38025862068965532</v>
      </c>
      <c r="P95" s="22" t="str">
        <f t="shared" si="16"/>
        <v>ACIMA DA META (&gt;20%)</v>
      </c>
      <c r="Q95" s="19"/>
      <c r="R95" s="19"/>
      <c r="S95" t="s">
        <v>558</v>
      </c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35456.440000000024</v>
      </c>
      <c r="K108" s="39">
        <f>SUM(K6:K107)</f>
        <v>5396.2800000000034</v>
      </c>
      <c r="L108" s="39">
        <f>SUM(L6:L107)</f>
        <v>18441.970000000005</v>
      </c>
      <c r="M108" s="39">
        <f>SUM(M6:M107)</f>
        <v>3545.6439999999993</v>
      </c>
      <c r="N108" s="39">
        <f>SUM(N6:N107)</f>
        <v>9035.7960000000021</v>
      </c>
      <c r="O108" s="40">
        <f>IF(G108=0,"",N108/G108)</f>
        <v>0.25484216689549194</v>
      </c>
    </row>
    <row r="117" spans="1:1" ht="15" customHeight="1" x14ac:dyDescent="0.25">
      <c r="A117" s="41"/>
    </row>
  </sheetData>
  <conditionalFormatting sqref="S6:S95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2026-10-19T15:57:35Z</dcterms:modified>
  <dc:language>en-US</dc:language>
</cp:coreProperties>
</file>