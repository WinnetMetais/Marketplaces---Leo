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H95" i="4"/>
  <c r="I95" i="4" s="1"/>
  <c r="G95" i="4"/>
  <c r="M95" i="4" s="1"/>
  <c r="E95" i="4"/>
  <c r="L94" i="4"/>
  <c r="H94" i="4"/>
  <c r="I94" i="4" s="1"/>
  <c r="G94" i="4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H91" i="4"/>
  <c r="I91" i="4" s="1"/>
  <c r="G91" i="4"/>
  <c r="M91" i="4" s="1"/>
  <c r="E91" i="4"/>
  <c r="L90" i="4"/>
  <c r="H90" i="4"/>
  <c r="I90" i="4" s="1"/>
  <c r="G90" i="4"/>
  <c r="E90" i="4"/>
  <c r="L89" i="4"/>
  <c r="H89" i="4"/>
  <c r="I89" i="4" s="1"/>
  <c r="G89" i="4"/>
  <c r="M89" i="4" s="1"/>
  <c r="E89" i="4"/>
  <c r="L88" i="4"/>
  <c r="H88" i="4"/>
  <c r="I88" i="4" s="1"/>
  <c r="G88" i="4"/>
  <c r="E88" i="4"/>
  <c r="L87" i="4"/>
  <c r="H87" i="4"/>
  <c r="I87" i="4" s="1"/>
  <c r="E87" i="4"/>
  <c r="G87" i="4" s="1"/>
  <c r="M87" i="4" s="1"/>
  <c r="L86" i="4"/>
  <c r="H86" i="4"/>
  <c r="I86" i="4" s="1"/>
  <c r="G86" i="4"/>
  <c r="E86" i="4"/>
  <c r="L85" i="4"/>
  <c r="H85" i="4"/>
  <c r="I85" i="4" s="1"/>
  <c r="G85" i="4"/>
  <c r="M85" i="4" s="1"/>
  <c r="E85" i="4"/>
  <c r="L84" i="4"/>
  <c r="H84" i="4"/>
  <c r="I84" i="4" s="1"/>
  <c r="G84" i="4"/>
  <c r="E84" i="4"/>
  <c r="L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94" i="4" l="1"/>
  <c r="K91" i="4"/>
  <c r="K90" i="4"/>
  <c r="M90" i="4"/>
  <c r="K88" i="4"/>
  <c r="K86" i="4"/>
  <c r="K84" i="4"/>
  <c r="K83" i="4"/>
  <c r="K29" i="4"/>
  <c r="K36" i="4"/>
  <c r="M88" i="4"/>
  <c r="M30" i="4"/>
  <c r="M31" i="4"/>
  <c r="N83" i="4"/>
  <c r="O83" i="4" s="1"/>
  <c r="P83" i="4" s="1"/>
  <c r="K89" i="4"/>
  <c r="N89" i="4" s="1"/>
  <c r="O89" i="4" s="1"/>
  <c r="P89" i="4" s="1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<sst xmlns="http://schemas.openxmlformats.org/spreadsheetml/2006/main" count="2103" uniqueCount="583">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</sst>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84" activePane="bottomLeft" state="frozen"/>
      <selection pane="bottomLeft" activeCell="J96" sqref="J96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 t="s">
        <v>210</v>
      </c>
      <c r="S81" t="s">
        <v>558</v>
      </c>
    </row>
    <row r="82" spans="1:19" ht="15" customHeight="1" x14ac:dyDescent="0.25">
      <c r="A82" s="32">
        <v>46300</v>
      </c>
      <c r="B82" s="19" t="s">
        <v>106</v>
      </c>
      <c r="C82" s="19">
        <v>2</v>
      </c>
      <c r="D82" s="19" t="s">
        <v>405</v>
      </c>
      <c r="E82" s="20">
        <f>IF($B82="","",INDEX(Simulador!$D$7:$D$232,MATCH($B82,Simulador!$A$7:$A$232,0)))</f>
        <v>132.9</v>
      </c>
      <c r="F82" s="20"/>
      <c r="G82" s="13">
        <f t="shared" si="12"/>
        <v>265.8</v>
      </c>
      <c r="H82" s="8" t="str">
        <f>IF($B82="","",INDEX(Simulador!$B$7:$B$232,MATCH($B82,Simulador!$A$7:$A$232,0)))</f>
        <v>Pequenos</v>
      </c>
      <c r="I82" s="13">
        <f>IF(OR(H82="",$D82=""),"",INDEX(Ref_Frete!$B$2:$G$54,MATCH($D82,Ref_Frete!$A$2:$A$54,0),IF(H82="Pequenos",2,IF(H82="Medios",4,6))))</f>
        <v>29.9</v>
      </c>
      <c r="J82" s="20">
        <v>26.11</v>
      </c>
      <c r="K82" s="20">
        <f t="shared" si="17"/>
        <v>39.92</v>
      </c>
      <c r="L82" s="13">
        <f>IF(OR($B82="",$C82=""),"",$C82*INDEX(Simulador!$F$7:$F$232,MATCH($B82,Simulador!$A$7:$A$232,0)))</f>
        <v>126.22</v>
      </c>
      <c r="M82" s="13">
        <f t="shared" si="13"/>
        <v>26.580000000000002</v>
      </c>
      <c r="N82" s="35">
        <f t="shared" si="14"/>
        <v>76.869999999999962</v>
      </c>
      <c r="O82" s="12">
        <f t="shared" si="15"/>
        <v>0.28920240782543249</v>
      </c>
      <c r="P82" s="22" t="str">
        <f t="shared" si="16"/>
        <v>ACIMA DA META (&gt;20%)</v>
      </c>
      <c r="Q82" s="19"/>
      <c r="R82" s="19" t="s">
        <v>207</v>
      </c>
      <c r="S82" t="s">
        <v>558</v>
      </c>
    </row>
    <row r="83" spans="1:19" ht="15" customHeight="1" x14ac:dyDescent="0.25">
      <c r="A83" s="32">
        <v>46302</v>
      </c>
      <c r="B83" s="19" t="s">
        <v>37</v>
      </c>
      <c r="C83" s="19">
        <v>1</v>
      </c>
      <c r="D83" s="19" t="s">
        <v>98</v>
      </c>
      <c r="E83" s="20">
        <f>IF($B83="","",INDEX(Simulador!$D$7:$D$232,MATCH($B83,Simulador!$A$7:$A$232,0)))</f>
        <v>116</v>
      </c>
      <c r="F83" s="20"/>
      <c r="G83" s="13">
        <f t="shared" si="12"/>
        <v>116</v>
      </c>
      <c r="H83" s="8" t="str">
        <f>IF($B83="","",INDEX(Simulador!$B$7:$B$232,MATCH($B83,Simulador!$A$7:$A$232,0)))</f>
        <v>Pequenos</v>
      </c>
      <c r="I83" s="13">
        <f>IF(OR(H83="",$D83=""),"",INDEX(Ref_Frete!$B$2:$G$54,MATCH($D83,Ref_Frete!$A$2:$A$54,0),IF(H83="Pequenos",2,IF(H83="Medios",4,6))))</f>
        <v>16.899999999999999</v>
      </c>
      <c r="J83" s="20">
        <v>18</v>
      </c>
      <c r="K83" s="20">
        <f t="shared" si="17"/>
        <v>17.940000000000001</v>
      </c>
      <c r="L83" s="13">
        <f>IF(OR($B83="",$C83=""),"",$C83*INDEX(Simulador!$F$7:$F$232,MATCH($B83,Simulador!$A$7:$A$232,0)))</f>
        <v>54.47</v>
      </c>
      <c r="M83" s="13">
        <f t="shared" si="13"/>
        <v>11.600000000000001</v>
      </c>
      <c r="N83" s="35">
        <f t="shared" si="14"/>
        <v>30.890000000000008</v>
      </c>
      <c r="O83" s="12">
        <f t="shared" si="15"/>
        <v>0.26629310344827595</v>
      </c>
      <c r="P83" s="22" t="str">
        <f t="shared" si="16"/>
        <v>ACIMA DA META (&gt;20%)</v>
      </c>
      <c r="Q83" s="19"/>
      <c r="R83" s="19" t="s">
        <v>210</v>
      </c>
      <c r="S83" t="s">
        <v>558</v>
      </c>
    </row>
    <row r="84" spans="1:19" ht="15" customHeight="1" x14ac:dyDescent="0.25">
      <c r="A84" s="32">
        <v>46303</v>
      </c>
      <c r="B84" s="19" t="s">
        <v>106</v>
      </c>
      <c r="C84" s="19">
        <v>1</v>
      </c>
      <c r="D84" s="19" t="s">
        <v>215</v>
      </c>
      <c r="E84" s="20">
        <f>IF($B84="","",INDEX(Simulador!$D$7:$D$232,MATCH($B84,Simulador!$A$7:$A$232,0)))</f>
        <v>132.9</v>
      </c>
      <c r="F84" s="20"/>
      <c r="G84" s="13">
        <f t="shared" si="12"/>
        <v>132.9</v>
      </c>
      <c r="H84" s="8" t="str">
        <f>IF($B84="","",INDEX(Simulador!$B$7:$B$232,MATCH($B84,Simulador!$A$7:$A$232,0)))</f>
        <v>Pequenos</v>
      </c>
      <c r="I84" s="13">
        <f>IF(OR(H84="",$D84=""),"",INDEX(Ref_Frete!$B$2:$G$54,MATCH($D84,Ref_Frete!$A$2:$A$54,0),IF(H84="Pequenos",2,IF(H84="Medios",4,6))))</f>
        <v>24.9</v>
      </c>
      <c r="J84" s="20">
        <v>16.36</v>
      </c>
      <c r="K84" s="20">
        <f t="shared" si="17"/>
        <v>21.3</v>
      </c>
      <c r="L84" s="13">
        <f>IF(OR($B84="",$C84=""),"",$C84*INDEX(Simulador!$F$7:$F$232,MATCH($B84,Simulador!$A$7:$A$232,0)))</f>
        <v>63.11</v>
      </c>
      <c r="M84" s="13">
        <f t="shared" si="13"/>
        <v>13.290000000000001</v>
      </c>
      <c r="N84" s="35">
        <f t="shared" si="14"/>
        <v>43.74</v>
      </c>
      <c r="O84" s="12">
        <f t="shared" si="15"/>
        <v>0.32911963882618511</v>
      </c>
      <c r="P84" s="22" t="str">
        <f t="shared" si="16"/>
        <v>ACIMA DA META (&gt;20%)</v>
      </c>
      <c r="Q84" s="19"/>
      <c r="R84" s="19" t="s">
        <v>210</v>
      </c>
      <c r="S84" t="s">
        <v>558</v>
      </c>
    </row>
    <row r="85" spans="1:19" ht="15" customHeight="1" x14ac:dyDescent="0.25">
      <c r="A85" s="32">
        <v>46303</v>
      </c>
      <c r="B85" s="19" t="s">
        <v>135</v>
      </c>
      <c r="C85" s="19">
        <v>1</v>
      </c>
      <c r="D85" s="19" t="s">
        <v>211</v>
      </c>
      <c r="E85" s="20">
        <f>IF($B85="","",INDEX(Simulador!$D$7:$D$232,MATCH($B85,Simulador!$A$7:$A$232,0)))</f>
        <v>318.56</v>
      </c>
      <c r="F85" s="20"/>
      <c r="G85" s="13">
        <f t="shared" si="12"/>
        <v>318.56</v>
      </c>
      <c r="H85" s="8" t="str">
        <f>IF($B85="","",INDEX(Simulador!$B$7:$B$232,MATCH($B85,Simulador!$A$7:$A$232,0)))</f>
        <v>Medios</v>
      </c>
      <c r="I85" s="13">
        <f>IF(OR(H85="",$D85=""),"",INDEX(Ref_Frete!$B$2:$G$54,MATCH($D85,Ref_Frete!$A$2:$A$54,0),IF(H85="Pequenos",2,IF(H85="Medios",4,6))))</f>
        <v>34.9</v>
      </c>
      <c r="J85" s="20">
        <v>20.88</v>
      </c>
      <c r="K85" s="20">
        <f t="shared" si="17"/>
        <v>47.72</v>
      </c>
      <c r="L85" s="13">
        <f>IF(OR($B85="",$C85=""),"",$C85*INDEX(Simulador!$F$7:$F$232,MATCH($B85,Simulador!$A$7:$A$232,0)))</f>
        <v>159</v>
      </c>
      <c r="M85" s="13">
        <f t="shared" si="13"/>
        <v>31.856000000000002</v>
      </c>
      <c r="N85" s="35">
        <f t="shared" si="14"/>
        <v>94.004000000000019</v>
      </c>
      <c r="O85" s="12">
        <f t="shared" si="15"/>
        <v>0.29509040683073839</v>
      </c>
      <c r="P85" s="22" t="str">
        <f t="shared" si="16"/>
        <v>ACIMA DA META (&gt;20%)</v>
      </c>
      <c r="Q85" s="19"/>
      <c r="R85" s="19" t="s">
        <v>210</v>
      </c>
      <c r="S85" t="s">
        <v>558</v>
      </c>
    </row>
    <row r="86" spans="1:19" ht="15" customHeight="1" x14ac:dyDescent="0.25">
      <c r="A86" s="32">
        <v>46304</v>
      </c>
      <c r="B86" s="19" t="s">
        <v>47</v>
      </c>
      <c r="C86" s="19">
        <v>1</v>
      </c>
      <c r="D86" s="19" t="s">
        <v>215</v>
      </c>
      <c r="E86" s="20">
        <f>IF($B86="","",INDEX(Simulador!$D$7:$D$232,MATCH($B86,Simulador!$A$7:$A$232,0)))</f>
        <v>109.9</v>
      </c>
      <c r="F86" s="20"/>
      <c r="G86" s="13">
        <f t="shared" si="12"/>
        <v>109.9</v>
      </c>
      <c r="H86" s="8" t="str">
        <f>IF($B86="","",INDEX(Simulador!$B$7:$B$232,MATCH($B86,Simulador!$A$7:$A$232,0)))</f>
        <v>Pequenos</v>
      </c>
      <c r="I86" s="13">
        <f>IF(OR(H86="",$D86=""),"",INDEX(Ref_Frete!$B$2:$G$54,MATCH($D86,Ref_Frete!$A$2:$A$54,0),IF(H86="Pequenos",2,IF(H86="Medios",4,6))))</f>
        <v>24.9</v>
      </c>
      <c r="J86" s="20">
        <v>16.36</v>
      </c>
      <c r="K86" s="20">
        <f t="shared" si="17"/>
        <v>18.2</v>
      </c>
      <c r="L86" s="13">
        <f>IF(OR($B86="",$C86=""),"",$C86*INDEX(Simulador!$F$7:$F$232,MATCH($B86,Simulador!$A$7:$A$232,0)))</f>
        <v>49.15</v>
      </c>
      <c r="M86" s="13">
        <f t="shared" si="13"/>
        <v>10.990000000000002</v>
      </c>
      <c r="N86" s="35">
        <f t="shared" si="14"/>
        <v>40.100000000000009</v>
      </c>
      <c r="O86" s="12">
        <f t="shared" si="15"/>
        <v>0.36487716105550505</v>
      </c>
      <c r="P86" s="22" t="str">
        <f t="shared" si="16"/>
        <v>ACIMA DA META (&gt;20%)</v>
      </c>
      <c r="Q86" s="19"/>
      <c r="R86" s="19" t="s">
        <v>210</v>
      </c>
      <c r="S86" t="s">
        <v>558</v>
      </c>
    </row>
    <row r="87" spans="1:19" ht="15" customHeight="1" x14ac:dyDescent="0.25">
      <c r="A87" s="32">
        <v>46305</v>
      </c>
      <c r="B87" s="19" t="s">
        <v>46</v>
      </c>
      <c r="C87" s="19">
        <v>1</v>
      </c>
      <c r="D87" s="19" t="s">
        <v>406</v>
      </c>
      <c r="E87" s="20">
        <f>IF($B87="","",INDEX(Simulador!$D$7:$D$232,MATCH($B87,Simulador!$A$7:$A$232,0)))</f>
        <v>119.22</v>
      </c>
      <c r="F87" s="20"/>
      <c r="G87" s="13">
        <f t="shared" si="12"/>
        <v>119.22</v>
      </c>
      <c r="H87" s="8" t="str">
        <f>IF($B87="","",INDEX(Simulador!$B$7:$B$232,MATCH($B87,Simulador!$A$7:$A$232,0)))</f>
        <v>Pequenos</v>
      </c>
      <c r="I87" s="13">
        <f>IF(OR(H87="",$D87=""),"",INDEX(Ref_Frete!$B$2:$G$54,MATCH($D87,Ref_Frete!$A$2:$A$54,0),IF(H87="Pequenos",2,IF(H87="Medios",4,6))))</f>
        <v>29.9</v>
      </c>
      <c r="J87" s="20">
        <v>23.75</v>
      </c>
      <c r="K87" s="20">
        <f t="shared" si="17"/>
        <v>20.13</v>
      </c>
      <c r="L87" s="13">
        <f>IF(OR($B87="",$C87=""),"",$C87*INDEX(Simulador!$F$7:$F$232,MATCH($B87,Simulador!$A$7:$A$232,0)))</f>
        <v>55.49</v>
      </c>
      <c r="M87" s="13">
        <f t="shared" si="13"/>
        <v>11.922000000000001</v>
      </c>
      <c r="N87" s="35">
        <f t="shared" si="14"/>
        <v>37.828000000000003</v>
      </c>
      <c r="O87" s="12">
        <f t="shared" si="15"/>
        <v>0.31729575574568031</v>
      </c>
      <c r="P87" s="22" t="str">
        <f t="shared" si="16"/>
        <v>ACIMA DA META (&gt;20%)</v>
      </c>
      <c r="Q87" s="19"/>
      <c r="R87" s="19" t="s">
        <v>207</v>
      </c>
      <c r="S87" t="s">
        <v>558</v>
      </c>
    </row>
    <row r="88" spans="1:19" ht="15" customHeight="1" x14ac:dyDescent="0.25">
      <c r="A88" s="32">
        <v>46305</v>
      </c>
      <c r="B88" s="19" t="s">
        <v>106</v>
      </c>
      <c r="C88" s="19">
        <v>2</v>
      </c>
      <c r="D88" s="19" t="s">
        <v>98</v>
      </c>
      <c r="E88" s="20">
        <f>IF($B88="","",INDEX(Simulador!$D$7:$D$232,MATCH($B88,Simulador!$A$7:$A$232,0)))</f>
        <v>132.9</v>
      </c>
      <c r="F88" s="20"/>
      <c r="G88" s="13">
        <f t="shared" si="12"/>
        <v>265.8</v>
      </c>
      <c r="H88" s="8" t="str">
        <f>IF($B88="","",INDEX(Simulador!$B$7:$B$232,MATCH($B88,Simulador!$A$7:$A$232,0)))</f>
        <v>Pequenos</v>
      </c>
      <c r="I88" s="13">
        <f>IF(OR(H88="",$D88=""),"",INDEX(Ref_Frete!$B$2:$G$54,MATCH($D88,Ref_Frete!$A$2:$A$54,0),IF(H88="Pequenos",2,IF(H88="Medios",4,6))))</f>
        <v>16.899999999999999</v>
      </c>
      <c r="J88" s="20">
        <v>18</v>
      </c>
      <c r="K88" s="20">
        <f t="shared" si="17"/>
        <v>38.159999999999997</v>
      </c>
      <c r="L88" s="13">
        <f>IF(OR($B88="",$C88=""),"",$C88*INDEX(Simulador!$F$7:$F$232,MATCH($B88,Simulador!$A$7:$A$232,0)))</f>
        <v>126.22</v>
      </c>
      <c r="M88" s="13">
        <f t="shared" si="13"/>
        <v>26.580000000000002</v>
      </c>
      <c r="N88" s="35">
        <f t="shared" si="14"/>
        <v>73.739999999999995</v>
      </c>
      <c r="O88" s="12">
        <f t="shared" si="15"/>
        <v>0.27742663656884875</v>
      </c>
      <c r="P88" s="22" t="str">
        <f t="shared" si="16"/>
        <v>ACIMA DA META (&gt;20%)</v>
      </c>
      <c r="Q88" s="19"/>
      <c r="R88" s="19" t="s">
        <v>210</v>
      </c>
      <c r="S88" t="s">
        <v>558</v>
      </c>
    </row>
    <row r="89" spans="1:19" ht="15" customHeight="1" x14ac:dyDescent="0.25">
      <c r="A89" s="32">
        <v>46306</v>
      </c>
      <c r="B89" s="19" t="s">
        <v>57</v>
      </c>
      <c r="C89" s="19">
        <v>1</v>
      </c>
      <c r="D89" s="19" t="s">
        <v>215</v>
      </c>
      <c r="E89" s="20">
        <f>IF($B89="","",INDEX(Simulador!$D$7:$D$232,MATCH($B89,Simulador!$A$7:$A$232,0)))</f>
        <v>616.17999999999995</v>
      </c>
      <c r="F89" s="20">
        <v>92.43</v>
      </c>
      <c r="G89" s="13">
        <f t="shared" si="12"/>
        <v>523.75</v>
      </c>
      <c r="H89" s="8" t="str">
        <f>IF($B89="","",INDEX(Simulador!$B$7:$B$232,MATCH($B89,Simulador!$A$7:$A$232,0)))</f>
        <v>Medios</v>
      </c>
      <c r="I89" s="13">
        <f>IF(OR(H89="",$D89=""),"",INDEX(Ref_Frete!$B$2:$G$54,MATCH($D89,Ref_Frete!$A$2:$A$54,0),IF(H89="Pequenos",2,IF(H89="Medios",4,6))))</f>
        <v>59.9</v>
      </c>
      <c r="J89" s="20">
        <v>58.1</v>
      </c>
      <c r="K89" s="20">
        <f t="shared" si="17"/>
        <v>78.790000000000006</v>
      </c>
      <c r="L89" s="13">
        <f>IF(OR($B89="",$C89=""),"",$C89*INDEX(Simulador!$F$7:$F$232,MATCH($B89,Simulador!$A$7:$A$232,0)))</f>
        <v>307.26</v>
      </c>
      <c r="M89" s="13">
        <f t="shared" si="13"/>
        <v>52.375</v>
      </c>
      <c r="N89" s="35">
        <f t="shared" si="14"/>
        <v>87.124999999999943</v>
      </c>
      <c r="O89" s="12">
        <f t="shared" si="15"/>
        <v>0.16634844868735071</v>
      </c>
      <c r="P89" s="22" t="str">
        <f t="shared" si="16"/>
        <v>DENTRO DA META (15-20%)</v>
      </c>
      <c r="Q89" s="19"/>
      <c r="R89" s="19" t="s">
        <v>207</v>
      </c>
      <c r="S89" t="s">
        <v>558</v>
      </c>
    </row>
    <row r="90" spans="1:19" ht="15" customHeight="1" x14ac:dyDescent="0.25">
      <c r="A90" s="32">
        <v>46306</v>
      </c>
      <c r="B90" s="19" t="s">
        <v>49</v>
      </c>
      <c r="C90" s="19">
        <v>5</v>
      </c>
      <c r="D90" s="19" t="s">
        <v>97</v>
      </c>
      <c r="E90" s="20">
        <f>IF($B90="","",INDEX(Simulador!$D$7:$D$232,MATCH($B90,Simulador!$A$7:$A$232,0)))</f>
        <v>127.9</v>
      </c>
      <c r="F90" s="20">
        <v>51.16</v>
      </c>
      <c r="G90" s="13">
        <f t="shared" si="12"/>
        <v>588.34</v>
      </c>
      <c r="H90" s="8" t="str">
        <f>IF($B90="","",INDEX(Simulador!$B$7:$B$232,MATCH($B90,Simulador!$A$7:$A$232,0)))</f>
        <v>Pequenos</v>
      </c>
      <c r="I90" s="13">
        <f>IF(OR(H90="",$D90=""),"",INDEX(Ref_Frete!$B$2:$G$54,MATCH($D90,Ref_Frete!$A$2:$A$54,0),IF(H90="Pequenos",2,IF(H90="Medios",4,6))))</f>
        <v>24.9</v>
      </c>
      <c r="J90" s="20">
        <v>89.54</v>
      </c>
      <c r="K90" s="20">
        <f t="shared" si="17"/>
        <v>82.79</v>
      </c>
      <c r="L90" s="13">
        <f>IF(OR($B90="",$C90=""),"",$C90*INDEX(Simulador!$F$7:$F$232,MATCH($B90,Simulador!$A$7:$A$232,0)))</f>
        <v>301.05</v>
      </c>
      <c r="M90" s="13">
        <f t="shared" si="13"/>
        <v>58.834000000000003</v>
      </c>
      <c r="N90" s="35">
        <f t="shared" si="14"/>
        <v>81.02600000000001</v>
      </c>
      <c r="O90" s="12">
        <f t="shared" si="15"/>
        <v>0.13771968589591055</v>
      </c>
      <c r="P90" s="22" t="str">
        <f t="shared" si="16"/>
        <v>ABAIXO DA META (10-15%)</v>
      </c>
      <c r="Q90" s="19"/>
      <c r="R90" s="19" t="s">
        <v>210</v>
      </c>
      <c r="S90" t="s">
        <v>558</v>
      </c>
    </row>
    <row r="91" spans="1:19" ht="15" customHeight="1" x14ac:dyDescent="0.25">
      <c r="A91" s="32">
        <v>46306</v>
      </c>
      <c r="B91" s="19" t="s">
        <v>106</v>
      </c>
      <c r="C91" s="19">
        <v>3</v>
      </c>
      <c r="D91" s="19" t="s">
        <v>98</v>
      </c>
      <c r="E91" s="20">
        <f>IF($B91="","",INDEX(Simulador!$D$7:$D$232,MATCH($B91,Simulador!$A$7:$A$232,0)))</f>
        <v>132.9</v>
      </c>
      <c r="F91" s="20">
        <v>19.940000000000001</v>
      </c>
      <c r="G91" s="13">
        <f t="shared" si="12"/>
        <v>378.76000000000005</v>
      </c>
      <c r="H91" s="8" t="str">
        <f>IF($B91="","",INDEX(Simulador!$B$7:$B$232,MATCH($B91,Simulador!$A$7:$A$232,0)))</f>
        <v>Pequenos</v>
      </c>
      <c r="I91" s="13">
        <f>IF(OR(H91="",$D91=""),"",INDEX(Ref_Frete!$B$2:$G$54,MATCH($D91,Ref_Frete!$A$2:$A$54,0),IF(H91="Pequenos",2,IF(H91="Medios",4,6))))</f>
        <v>16.899999999999999</v>
      </c>
      <c r="J91" s="20">
        <v>24.39</v>
      </c>
      <c r="K91" s="20">
        <f t="shared" si="17"/>
        <v>53.41</v>
      </c>
      <c r="L91" s="13">
        <f>IF(OR($B91="",$C91=""),"",$C91*INDEX(Simulador!$F$7:$F$232,MATCH($B91,Simulador!$A$7:$A$232,0)))</f>
        <v>189.32999999999998</v>
      </c>
      <c r="M91" s="13">
        <f t="shared" si="13"/>
        <v>37.876000000000005</v>
      </c>
      <c r="N91" s="35">
        <f t="shared" si="14"/>
        <v>90.654000000000025</v>
      </c>
      <c r="O91" s="12">
        <f t="shared" si="15"/>
        <v>0.23934417573133387</v>
      </c>
      <c r="P91" s="22" t="str">
        <f t="shared" si="16"/>
        <v>ACIMA DA META (&gt;20%)</v>
      </c>
      <c r="Q91" s="19"/>
      <c r="R91" s="19" t="s">
        <v>207</v>
      </c>
      <c r="S91" t="s">
        <v>558</v>
      </c>
    </row>
    <row r="92" spans="1:19" ht="15" customHeight="1" x14ac:dyDescent="0.25">
      <c r="A92" s="32">
        <v>46306</v>
      </c>
      <c r="B92" s="19" t="s">
        <v>33</v>
      </c>
      <c r="C92" s="19">
        <v>1</v>
      </c>
      <c r="D92" s="19" t="s">
        <v>211</v>
      </c>
      <c r="E92" s="20">
        <f>IF($B92="","",INDEX(Simulador!$D$7:$D$232,MATCH($B92,Simulador!$A$7:$A$232,0)))</f>
        <v>123.93</v>
      </c>
      <c r="F92" s="20"/>
      <c r="G92" s="13">
        <f t="shared" si="12"/>
        <v>123.93</v>
      </c>
      <c r="H92" s="8" t="str">
        <f>IF($B92="","",INDEX(Simulador!$B$7:$B$232,MATCH($B92,Simulador!$A$7:$A$232,0)))</f>
        <v>Pequenos</v>
      </c>
      <c r="I92" s="13">
        <f>IF(OR(H92="",$D92=""),"",INDEX(Ref_Frete!$B$2:$G$54,MATCH($D92,Ref_Frete!$A$2:$A$54,0),IF(H92="Pequenos",2,IF(H92="Medios",4,6))))</f>
        <v>12.9</v>
      </c>
      <c r="J92" s="20">
        <v>12.87</v>
      </c>
      <c r="K92" s="20">
        <f t="shared" si="17"/>
        <v>18.47</v>
      </c>
      <c r="L92" s="13">
        <f>IF(OR($B92="",$C92=""),"",$C92*INDEX(Simulador!$F$7:$F$232,MATCH($B92,Simulador!$A$7:$A$232,0)))</f>
        <v>59.8</v>
      </c>
      <c r="M92" s="13">
        <f t="shared" si="13"/>
        <v>12.393000000000001</v>
      </c>
      <c r="N92" s="35">
        <f t="shared" si="14"/>
        <v>33.297000000000011</v>
      </c>
      <c r="O92" s="12">
        <f t="shared" si="15"/>
        <v>0.26867586540789162</v>
      </c>
      <c r="P92" s="22" t="str">
        <f t="shared" si="16"/>
        <v>ACIMA DA META (&gt;20%)</v>
      </c>
      <c r="Q92" s="19"/>
      <c r="R92" s="19" t="s">
        <v>210</v>
      </c>
      <c r="S92" t="s">
        <v>558</v>
      </c>
    </row>
    <row r="93" spans="1:19" ht="15" customHeight="1" x14ac:dyDescent="0.25">
      <c r="A93" s="32">
        <v>46308</v>
      </c>
      <c r="B93" s="19" t="s">
        <v>104</v>
      </c>
      <c r="C93" s="19">
        <v>1</v>
      </c>
      <c r="D93" s="19" t="s">
        <v>206</v>
      </c>
      <c r="E93" s="20">
        <f>IF($B93="","",INDEX(Simulador!$D$7:$D$232,MATCH($B93,Simulador!$A$7:$A$232,0)))</f>
        <v>129.9</v>
      </c>
      <c r="F93" s="20"/>
      <c r="G93" s="13">
        <f t="shared" si="12"/>
        <v>129.9</v>
      </c>
      <c r="H93" s="8" t="str">
        <f>IF($B93="","",INDEX(Simulador!$B$7:$B$232,MATCH($B93,Simulador!$A$7:$A$232,0)))</f>
        <v>Pequenos</v>
      </c>
      <c r="I93" s="13">
        <f>IF(OR(H93="",$D93=""),"",INDEX(Ref_Frete!$B$2:$G$54,MATCH($D93,Ref_Frete!$A$2:$A$54,0),IF(H93="Pequenos",2,IF(H93="Medios",4,6))))</f>
        <v>52</v>
      </c>
      <c r="J93" s="20">
        <v>16.04</v>
      </c>
      <c r="K93" s="20">
        <f t="shared" si="17"/>
        <v>24.56</v>
      </c>
      <c r="L93" s="13">
        <f>IF(OR($B93="",$C93=""),"",$C93*INDEX(Simulador!$F$7:$F$232,MATCH($B93,Simulador!$A$7:$A$232,0)))</f>
        <v>60.62</v>
      </c>
      <c r="M93" s="13">
        <f t="shared" si="13"/>
        <v>12.990000000000002</v>
      </c>
      <c r="N93" s="35">
        <f t="shared" si="14"/>
        <v>67.69</v>
      </c>
      <c r="O93" s="12">
        <f t="shared" si="15"/>
        <v>0.52109314857582756</v>
      </c>
      <c r="P93" s="22" t="str">
        <f t="shared" si="16"/>
        <v>ACIMA DA META (&gt;20%)</v>
      </c>
      <c r="Q93" s="19"/>
      <c r="R93" s="19"/>
      <c r="S93" t="s">
        <v>558</v>
      </c>
    </row>
    <row r="94" spans="1:19" ht="15" customHeight="1" x14ac:dyDescent="0.25">
      <c r="A94" s="32">
        <v>46310</v>
      </c>
      <c r="B94" s="19" t="s">
        <v>57</v>
      </c>
      <c r="C94" s="19">
        <v>1</v>
      </c>
      <c r="D94" s="19" t="s">
        <v>405</v>
      </c>
      <c r="E94" s="20">
        <f>IF($B94="","",INDEX(Simulador!$D$7:$D$232,MATCH($B94,Simulador!$A$7:$A$232,0)))</f>
        <v>616.17999999999995</v>
      </c>
      <c r="F94" s="20"/>
      <c r="G94" s="13">
        <f t="shared" si="12"/>
        <v>616.17999999999995</v>
      </c>
      <c r="H94" s="8" t="str">
        <f>IF($B94="","",INDEX(Simulador!$B$7:$B$232,MATCH($B94,Simulador!$A$7:$A$232,0)))</f>
        <v>Medios</v>
      </c>
      <c r="I94" s="13">
        <f>IF(OR(H94="",$D94=""),"",INDEX(Ref_Frete!$B$2:$G$54,MATCH($D94,Ref_Frete!$A$2:$A$54,0),IF(H94="Pequenos",2,IF(H94="Medios",4,6))))</f>
        <v>69.900000000000006</v>
      </c>
      <c r="J94" s="20">
        <v>63.46</v>
      </c>
      <c r="K94" s="20">
        <f t="shared" si="17"/>
        <v>92.62</v>
      </c>
      <c r="L94" s="13">
        <f>IF(OR($B94="",$C94=""),"",$C94*INDEX(Simulador!$F$7:$F$232,MATCH($B94,Simulador!$A$7:$A$232,0)))</f>
        <v>307.26</v>
      </c>
      <c r="M94" s="13">
        <f t="shared" si="13"/>
        <v>61.617999999999995</v>
      </c>
      <c r="N94" s="35">
        <f t="shared" si="14"/>
        <v>161.1219999999999</v>
      </c>
      <c r="O94" s="12">
        <f t="shared" si="15"/>
        <v>0.26148528027524409</v>
      </c>
      <c r="P94" s="22" t="str">
        <f t="shared" si="16"/>
        <v>ACIMA DA META (&gt;20%)</v>
      </c>
      <c r="Q94" s="19"/>
      <c r="R94" s="19"/>
      <c r="S94" t="s">
        <v>558</v>
      </c>
    </row>
    <row r="95" spans="1:19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9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35340.440000000024</v>
      </c>
      <c r="K108" s="39">
        <f>SUM(K6:K107)</f>
        <v>5377.2600000000029</v>
      </c>
      <c r="L108" s="39">
        <f>SUM(L6:L107)</f>
        <v>18387.500000000004</v>
      </c>
      <c r="M108" s="39">
        <f>SUM(M6:M107)</f>
        <v>3534.0439999999994</v>
      </c>
      <c r="N108" s="39">
        <f>SUM(N6:N107)</f>
        <v>8991.6860000000015</v>
      </c>
      <c r="O108" s="40">
        <f>IF(G108=0,"",N108/G108)</f>
        <v>0.25443050510972687</v>
      </c>
    </row>
    <row r="117" spans="1:1" ht="15" customHeight="1" x14ac:dyDescent="0.25">
      <c r="A117" s="41"/>
    </row>
  </sheetData>
  <conditionalFormatting sqref="S6:S94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2026-10-16T15:32:33Z</dcterms:modified>
  <dc:language>en-US</dc:language>
</cp:coreProperties>
</file>