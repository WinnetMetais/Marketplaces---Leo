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1" i="4" l="1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<sst xmlns="http://schemas.openxmlformats.org/spreadsheetml/2006/main" count="2079" uniqueCount="583">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</sst>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78" activePane="bottomLeft" state="frozen"/>
      <selection pane="bottomLeft" activeCell="J93" sqref="J93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/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/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/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/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/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/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/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/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/>
      <c r="G89" s="13">
        <f t="shared" si="12"/>
        <v>616.17999999999995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91.27</v>
      </c>
      <c r="L89" s="13">
        <f>IF(OR($B89="",$C89=""),"",$C89*INDEX(Simulador!$F$7:$F$232,MATCH($B89,Simulador!$A$7:$A$232,0)))</f>
        <v>307.26</v>
      </c>
      <c r="M89" s="13">
        <f t="shared" si="13"/>
        <v>61.617999999999995</v>
      </c>
      <c r="N89" s="35">
        <f t="shared" si="14"/>
        <v>157.83199999999994</v>
      </c>
      <c r="O89" s="12">
        <f t="shared" si="15"/>
        <v>0.25614593138368652</v>
      </c>
      <c r="P89" s="22" t="str">
        <f t="shared" si="16"/>
        <v>ACIMA DA META (&gt;20%)</v>
      </c>
      <c r="Q89" s="19"/>
      <c r="R89" s="19"/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/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/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/>
    </row>
    <row r="93" spans="1:19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9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9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34686.790000000023</v>
      </c>
      <c r="K108" s="39">
        <f>SUM(K6:K107)</f>
        <v>5272.5600000000031</v>
      </c>
      <c r="L108" s="39">
        <f>SUM(L6:L107)</f>
        <v>18019.620000000006</v>
      </c>
      <c r="M108" s="39">
        <f>SUM(M6:M107)</f>
        <v>3468.6789999999996</v>
      </c>
      <c r="N108" s="39">
        <f>SUM(N6:N107)</f>
        <v>8833.5810000000019</v>
      </c>
      <c r="O108" s="40">
        <f>IF(G108=0,"",N108/G108)</f>
        <v>0.25466700723820213</v>
      </c>
    </row>
    <row r="117" spans="1:1" ht="15" customHeight="1" x14ac:dyDescent="0.25">
      <c r="A117" s="41"/>
    </row>
  </sheetData>
  <conditionalFormatting sqref="S6:S86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2026-10-13T15:13:59Z</dcterms:modified>
  <dc:language>en-US</dc:language>
</cp:coreProperties>
</file>