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53" i="1" l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<sst xmlns="http://schemas.openxmlformats.org/spreadsheetml/2006/main" count="703" uniqueCount="405">
  <si>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</si>
  <si>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</si>
  <si>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</si>
  <si>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</si>
  <si>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</si>
  <si>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</si>
  <si>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</si>
  <si>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</si>
  <si>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</si>
  <si>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</si>
  <si>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</si>
  <si>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</si>
  <si>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</si>
  <si>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</si>
  <si>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</si>
  <si>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</si>
  <si>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</si>
  <si>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</si>
  <si>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</si>
  <si>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</si>
  <si>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</si>
  <si>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</si>
  <si>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</si>
  <si>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</si>
  <si>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</si>
  <si>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</si>
  <si>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</si>
  <si>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</si>
  <si>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</si>
  <si>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</si>
  <si>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</si>
  <si>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</si>
  <si>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</si>
  <si>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</si>
  <si>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</si>
  <si>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</si>
  <si>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</si>
  <si>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</si>
  <si>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</si>
  <si>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</si>
  <si>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</si>
  <si>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</si>
  <si>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</si>
  <si>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</si>
  <si>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</si>
  <si>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</si>
  <si>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</si>
  <si>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</si>
  <si>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</si>
  <si>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</si>
  <si>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</si>
  <si>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</si>
  <si>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</si>
  <si>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</si>
  <si>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</si>
  <si>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</si>
  <si>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</si>
  <si>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</si>
  <si>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</si>
  <si>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</si>
  <si>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</si>
  <si>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</si>
  <si>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</si>
  <si>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</si>
  <si>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</si>
  <si>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</si>
  <si>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</si>
  <si>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</si>
  <si>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</si>
  <si>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</si>
  <si>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</si>
  <si>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</si>
  <si>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</si>
  <si>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</si>
  <si>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</si>
  <si>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</si>
  <si>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</si>
  <si>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</si>
  <si>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</si>
  <si>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</si>
  <si>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</si>
  <si>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</si>
  <si>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</si>
  <si>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</si>
  <si>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</si>
  <si>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</si>
  <si>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</si>
  <si>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</si>
  <si>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</si>
  <si>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</si>
  <si>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</si>
  <si>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</si>
  <si>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</si>
  <si>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</si>
  <si>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</si>
  <si>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</si>
  <si>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</si>
  <si>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</si>
  <si>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</si>
  <si>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</si>
  <si>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</si>
  <si>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</si>
  <si>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</si>
  <si>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</si>
  <si>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</si>
  <si>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</si>
  <si>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</si>
  <si>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</si>
  <si>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</si>
  <si>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</si>
  <si>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</si>
  <si>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</si>
  <si>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</si>
  <si>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</si>
  <si>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</si>
  <si>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</si>
  <si>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</si>
  <si>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</si>
  <si>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</si>
  <si>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</si>
  <si>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</si>
  <si>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</si>
  <si>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</si>
  <si>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</si>
  <si>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</si>
  <si>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</si>
  <si>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</si>
  <si>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</si>
  <si>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</si>
  <si>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</si>
  <si>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</si>
  <si>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</si>
  <si>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</si>
  <si>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</si>
  <si>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</si>
  <si>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</si>
  <si>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</si>
  <si>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</si>
  <si>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</si>
  <si>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</si>
  <si>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</si>
  <si>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</si>
  <si>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</si>
  <si>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</si>
  <si>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</si>
  <si>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</si>
  <si>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</si>
  <si>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</si>
  <si>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</si>
  <si>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</si>
  <si>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</si>
  <si>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</si>
  <si>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</si>
  <si>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</si>
  <si>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</si>
  <si>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</si>
  <si>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</si>
  <si>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</si>
  <si>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</si>
  <si>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</si>
  <si>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</si>
  <si>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</si>
  <si>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</si>
  <si>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</si>
  <si>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</si>
  <si>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</si>
  <si>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</si>
  <si>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</si>
  <si>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</si>
  <si>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</si>
  <si>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</si>
  <si>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</si>
  <si>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</si>
  <si>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</si>
  <si>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</si>
  <si>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</si>
  <si>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</si>
  <si>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</si>
  <si>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</si>
  <si>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</si>
  <si>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</si>
  <si>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</si>
  <si>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</si>
  <si>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</si>
  <si>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</si>
  <si>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</si>
  <si>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</si>
  <si>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</si>
  <si>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</si>
  <si>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</si>
  <si>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</si>
  <si>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</si>
  <si>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</si>
  <si>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</si>
  <si>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</si>
  <si>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</si>
  <si>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</si>
  <si>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</si>
  <si>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</si>
  <si>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</si>
  <si>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</si>
  <si>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</si>
  <si>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</si>
  <si>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</si>
  <si>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</si>
  <si>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</si>
  <si>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</si>
  <si>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</si>
  <si>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</si>
  <si>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</si>
  <si>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</si>
  <si>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</si>
  <si>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</si>
  <si>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</si>
  <si>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</si>
  <si>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</si>
  <si>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</si>
  <si>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</si>
  <si>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</si>
  <si>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</si>
  <si>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</si>
  <si>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</si>
  <si>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</si>
  <si>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</si>
  <si>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</si>
  <si>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</si>
  <si>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</si>
  <si>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</si>
  <si>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</si>
  <si>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</si>
  <si>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</si>
  <si>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</si>
  <si>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</si>
  <si>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</si>
  <si>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</si>
  <si>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</si>
  <si>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</si>
  <si>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</si>
  <si>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</si>
  <si>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</si>
  <si>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</si>
  <si>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</si>
  <si>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</si>
  <si>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</si>
  <si>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</si>
  <si>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</si>
  <si>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</si>
  <si>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</si>
  <si>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</si>
  <si>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</si>
  <si>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</si>
  <si>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</si>
  <si>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</si>
  <si>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</si>
  <si>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</si>
  <si>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</si>
  <si>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</si>
  <si>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</si>
  <si>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</si>
  <si>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</si>
  <si>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</si>
  <si>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</si>
  <si>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</si>
  <si>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</si>
  <si>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</si>
  <si>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</si>
  <si>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</si>
  <si>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</si>
  <si>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</si>
  <si>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</si>
  <si>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</si>
  <si>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</si>
  <si>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</si>
  <si>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</si>
  <si>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</si>
  <si>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</si>
  <si>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</si>
  <si>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</si>
  <si>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</si>
  <si>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</si>
  <si>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</si>
  <si>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</si>
  <si>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</si>
  <si>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</si>
  <si>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</si>
  <si>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</si>
  <si>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</si>
  <si>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</si>
  <si>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</si>
  <si>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</si>
  <si>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</si>
  <si>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</si>
  <si>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</si>
  <si>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</si>
  <si>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</si>
  <si>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</si>
  <si>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</si>
  <si>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</si>
  <si>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</si>
  <si>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</si>
  <si>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</si>
  <si>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</si>
  <si>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</si>
  <si>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</si>
  <si>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</si>
  <si>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</si>
  <si>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</si>
  <si>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</si>
  <si>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</si>
  <si>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</si>
  <si>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</si>
  <si>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</si>
  <si>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</si>
  <si>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</si>
  <si>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</si>
  <si>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</si>
  <si>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</si>
  <si>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</si>
  <si>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</si>
  <si>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</si>
  <si>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</si>
  <si>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</si>
  <si>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</si>
  <si>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</si>
  <si>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</si>
  <si>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</si>
  <si>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</si>
  <si>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</si>
  <si>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</si>
  <si>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</si>
  <si>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</si>
  <si>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</si>
  <si>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</si>
  <si>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</si>
  <si>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</si>
  <si>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</si>
  <si>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</si>
  <si>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</si>
  <si>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</si>
  <si>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</si>
  <si>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</si>
  <si>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</si>
  <si>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</si>
  <si>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</si>
  <si>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</si>
  <si>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</si>
  <si>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</si>
  <si>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</si>
  <si>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</si>
  <si>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</si>
  <si>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</si>
  <si>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</si>
  <si>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</si>
  <si>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</si>
  <si>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</si>
  <si>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</si>
  <si>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</si>
  <si>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</si>
  <si>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</si>
  <si>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</si>
  <si>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</si>
  <si>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</si>
  <si>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</si>
  <si>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</si>
  <si>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</si>
  <si>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</si>
  <si>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</si>
  <si>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</si>
  <si>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</si>
  <si>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</si>
  <si>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</si>
  <si>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</si>
  <si>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</si>
  <si>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</si>
  <si>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</si>
  <si>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</si>
  <si>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</si>
  <si>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</si>
  <si>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</si>
  <si>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</si>
  <si>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</si>
  <si>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</si>
  <si>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Janela pós começa em 08/09. Até 09/09: PG2460 vendeu em 07/09 (R$ 223,88) e PXP vendeu 2 vezes em 08/09 (R$ 302,20 e R$ 151,10), todas com Melhor Oferta de −10%</t>
  </si>
  <si>
    <t>Dias de execução dentro da semana de 07 a 13/09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</si>
  <si>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</si>
  <si>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</si>
  <si>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</si>
  <si>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</si>
  <si>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</si>
  <si>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</si>
  <si>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</si>
  <si>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</si>
  <si>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</si>
  <si>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</si>
  <si>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</si>
  <si>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</si>
  <si>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</si>
  <si>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</si>
  <si>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</si>
  <si>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</si>
  <si>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</si>
  <si>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</si>
  <si>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</si>
  <si>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NÃO AVALIÁVEL até 14/09. ACHADO JÁ CONFIRMADO: nos 3 pedidos o Ads registrou o valor COM desconto — a Melhor Oferta é atribuída ao PREÇO DA OFERTA. A atribuição a preço de tabela vale para a promoção de quantidade, que é outro mecanismo</t>
  </si>
  <si>
    <t>NÃO AVALIÁVEL até 14/09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</si>
</sst>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4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2" borderId="0" xfId="0" applyNumberFormat="1" applyFont="1" applyFill="1" applyBorder="1" applyAlignment="1">
      <alignment horizontal="center" vertical="center"/>
    </xf>
    <xf numFmtId="0" fontId="5" fillId="5" borderId="1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5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9" fillId="2" borderId="12" xfId="0" applyNumberFormat="1" applyFont="1" applyFill="1" applyBorder="1" applyAlignment="1">
      <alignment horizontal="center"/>
    </xf>
    <xf numFmtId="0" fontId="10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0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0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11" fillId="5" borderId="6" xfId="0" applyNumberFormat="1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14" fontId="0" fillId="0" borderId="0" xfId="0" applyNumberFormat="1"/>
    <xf numFmtId="0" fontId="13" fillId="0" borderId="0" xfId="0" applyFont="1"/>
    <xf numFmtId="8" fontId="0" fillId="0" borderId="0" xfId="0" applyNumberFormat="1"/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0" fontId="6" fillId="6" borderId="0" xfId="0" applyNumberFormat="1" applyFont="1" applyFill="1" applyBorder="1" applyAlignment="1">
      <alignment horizontal="center" vertical="center" wrapText="1"/>
    </xf>
    <xf numFmtId="0" fontId="7" fillId="5" borderId="0" xfId="0" applyNumberFormat="1" applyFont="1" applyFill="1" applyBorder="1" applyAlignment="1">
      <alignment wrapText="1"/>
    </xf>
    <xf numFmtId="0" fontId="8" fillId="2" borderId="0" xfId="0" applyNumberFormat="1" applyFont="1" applyFill="1" applyBorder="1" applyAlignment="1">
      <alignment horizontal="center" vertical="center"/>
    </xf>
    <xf numFmtId="0" fontId="9" fillId="2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1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M3" workbookViewId="0">
      <selection activeCell="T11" sqref="T11:T33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2" ht="30" customHeight="1">
      <c r="A2" s="45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</row>
    <row r="3" spans="1:22" ht="27.95" customHeight="1">
      <c r="A3" s="46" t="s">
        <v>2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47" t="s">
        <v>9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</row>
    <row r="6" spans="1:22" ht="26.1" customHeight="1">
      <c r="A6" s="2">
        <f>COUNTIF(A11:A210,"&lt;&gt;")</f>
        <v>42</v>
      </c>
      <c r="B6" s="3">
        <f>COUNTIF(N11:N210,"SIM")</f>
        <v>42</v>
      </c>
      <c r="C6" s="3">
        <f>COUNTIF(O11:O210,"SIM")</f>
        <v>41</v>
      </c>
      <c r="D6" s="3">
        <f>COUNTIF(P11:P210,"BLOQUEADA*")</f>
        <v>1</v>
      </c>
      <c r="E6" s="3">
        <f>COUNTIF(P11:P210,"EXECUTADA - EM MATURAÇÃO")</f>
        <v>20</v>
      </c>
      <c r="F6" s="4">
        <f>COUNTIF(P11:P210,"EXECUTADA - AVALIADA")</f>
        <v>21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</row>
    <row r="8" spans="1:22" ht="21.95" customHeight="1">
      <c r="A8" s="48" t="s">
        <v>10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 ht="85.5">
      <c r="A11" s="39" t="s">
        <v>77</v>
      </c>
      <c r="B11" s="39" t="s">
        <v>96</v>
      </c>
      <c r="C11" s="40"/>
      <c r="D11" s="40">
        <v>46251</v>
      </c>
      <c r="E11" s="40">
        <v>46251</v>
      </c>
      <c r="F11" s="39" t="s">
        <v>97</v>
      </c>
      <c r="G11" s="39" t="s">
        <v>114</v>
      </c>
      <c r="H11" s="39" t="s">
        <v>125</v>
      </c>
      <c r="I11" s="39" t="s">
        <v>141</v>
      </c>
      <c r="J11" s="39" t="s">
        <v>143</v>
      </c>
      <c r="K11" s="24" t="s">
        <v>165</v>
      </c>
      <c r="L11" s="24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33" si="0">IF(E11="","",E11+1)</f>
        <v>46252</v>
      </c>
      <c r="R11" s="17">
        <f t="shared" ref="R11:R42" ca="1" si="1">IF(E11="","",TODAY()-E11)</f>
        <v>23</v>
      </c>
      <c r="S11" t="s">
        <v>362</v>
      </c>
      <c r="T11" t="s">
        <v>384</v>
      </c>
      <c r="U11" s="6"/>
      <c r="V11" s="38" t="s">
        <v>201</v>
      </c>
    </row>
    <row r="12" spans="1:22" ht="28.5">
      <c r="A12" s="39" t="s">
        <v>78</v>
      </c>
      <c r="B12" s="39" t="s">
        <v>96</v>
      </c>
      <c r="C12" s="40"/>
      <c r="D12" s="40">
        <v>46251</v>
      </c>
      <c r="E12" s="40">
        <v>46251</v>
      </c>
      <c r="F12" s="39" t="s">
        <v>98</v>
      </c>
      <c r="G12" s="39" t="s">
        <v>114</v>
      </c>
      <c r="H12" s="39" t="s">
        <v>126</v>
      </c>
      <c r="I12" s="39" t="s">
        <v>142</v>
      </c>
      <c r="J12" s="39" t="s">
        <v>143</v>
      </c>
      <c r="K12" s="25" t="s">
        <v>167</v>
      </c>
      <c r="L12" s="25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23</v>
      </c>
      <c r="S12" t="s">
        <v>363</v>
      </c>
      <c r="T12" t="s">
        <v>385</v>
      </c>
      <c r="U12" s="7"/>
      <c r="V12" s="27" t="s">
        <v>202</v>
      </c>
    </row>
    <row r="13" spans="1:22" ht="57">
      <c r="A13" s="39" t="s">
        <v>79</v>
      </c>
      <c r="B13" s="39" t="s">
        <v>96</v>
      </c>
      <c r="C13" s="40"/>
      <c r="D13" s="39"/>
      <c r="E13" s="40">
        <v>46259</v>
      </c>
      <c r="F13" s="39" t="s">
        <v>98</v>
      </c>
      <c r="G13" s="39" t="s">
        <v>114</v>
      </c>
      <c r="H13" s="39" t="s">
        <v>127</v>
      </c>
      <c r="I13" s="39" t="s">
        <v>143</v>
      </c>
      <c r="J13" s="39" t="s">
        <v>142</v>
      </c>
      <c r="K13" s="25" t="s">
        <v>169</v>
      </c>
      <c r="L13" s="25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15</v>
      </c>
      <c r="S13" t="s">
        <v>364</v>
      </c>
      <c r="T13" t="s">
        <v>386</v>
      </c>
      <c r="U13" s="7">
        <v>46273</v>
      </c>
      <c r="V13" s="27" t="s">
        <v>203</v>
      </c>
    </row>
    <row r="14" spans="1:22" ht="42.75">
      <c r="A14" s="39" t="s">
        <v>80</v>
      </c>
      <c r="B14" s="39" t="s">
        <v>96</v>
      </c>
      <c r="C14" s="40"/>
      <c r="D14" s="40">
        <v>46251</v>
      </c>
      <c r="E14" s="40">
        <v>46259</v>
      </c>
      <c r="F14" s="39" t="s">
        <v>99</v>
      </c>
      <c r="G14" s="39" t="s">
        <v>115</v>
      </c>
      <c r="H14" s="39" t="s">
        <v>128</v>
      </c>
      <c r="I14" s="39" t="s">
        <v>144</v>
      </c>
      <c r="J14" s="39" t="s">
        <v>155</v>
      </c>
      <c r="K14" s="25" t="s">
        <v>171</v>
      </c>
      <c r="L14" s="25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15</v>
      </c>
      <c r="S14" t="s">
        <v>365</v>
      </c>
      <c r="T14" t="s">
        <v>387</v>
      </c>
      <c r="U14" s="7">
        <v>46273</v>
      </c>
      <c r="V14" s="27" t="s">
        <v>204</v>
      </c>
    </row>
    <row r="15" spans="1:22" ht="57">
      <c r="A15" s="39" t="s">
        <v>81</v>
      </c>
      <c r="B15" s="39" t="s">
        <v>96</v>
      </c>
      <c r="C15" s="40">
        <v>46259</v>
      </c>
      <c r="D15" s="40">
        <v>46259</v>
      </c>
      <c r="E15" s="40">
        <v>46259</v>
      </c>
      <c r="F15" s="39" t="s">
        <v>100</v>
      </c>
      <c r="G15" s="39" t="s">
        <v>116</v>
      </c>
      <c r="H15" s="39" t="s">
        <v>129</v>
      </c>
      <c r="I15" s="39" t="s">
        <v>145</v>
      </c>
      <c r="J15" s="39" t="s">
        <v>143</v>
      </c>
      <c r="K15" s="25" t="s">
        <v>173</v>
      </c>
      <c r="L15" s="25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15</v>
      </c>
      <c r="S15" t="s">
        <v>366</v>
      </c>
      <c r="T15" t="s">
        <v>388</v>
      </c>
      <c r="U15" s="7">
        <v>46273</v>
      </c>
      <c r="V15" s="27" t="s">
        <v>205</v>
      </c>
    </row>
    <row r="16" spans="1:22" ht="57">
      <c r="A16" s="39" t="s">
        <v>82</v>
      </c>
      <c r="B16" s="39" t="s">
        <v>96</v>
      </c>
      <c r="C16" s="40">
        <v>46259</v>
      </c>
      <c r="D16" s="40">
        <v>46259</v>
      </c>
      <c r="E16" s="40">
        <v>46259</v>
      </c>
      <c r="F16" s="39" t="s">
        <v>100</v>
      </c>
      <c r="G16" s="39" t="s">
        <v>117</v>
      </c>
      <c r="H16" s="39" t="s">
        <v>130</v>
      </c>
      <c r="I16" s="39" t="s">
        <v>146</v>
      </c>
      <c r="J16" s="39" t="s">
        <v>156</v>
      </c>
      <c r="K16" s="25" t="s">
        <v>175</v>
      </c>
      <c r="L16" s="25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15</v>
      </c>
      <c r="S16" t="s">
        <v>367</v>
      </c>
      <c r="T16" t="s">
        <v>389</v>
      </c>
      <c r="U16" s="7">
        <v>46273</v>
      </c>
      <c r="V16" s="27" t="s">
        <v>206</v>
      </c>
    </row>
    <row r="17" spans="1:22" ht="85.5">
      <c r="A17" s="39" t="s">
        <v>83</v>
      </c>
      <c r="B17" s="39" t="s">
        <v>96</v>
      </c>
      <c r="C17" s="40">
        <v>46259</v>
      </c>
      <c r="D17" s="40">
        <v>46259</v>
      </c>
      <c r="E17" s="40">
        <v>46259</v>
      </c>
      <c r="F17" s="39" t="s">
        <v>101</v>
      </c>
      <c r="G17" s="39" t="s">
        <v>114</v>
      </c>
      <c r="H17" s="39" t="s">
        <v>131</v>
      </c>
      <c r="I17" s="39" t="s">
        <v>147</v>
      </c>
      <c r="J17" s="39" t="s">
        <v>143</v>
      </c>
      <c r="K17" s="25" t="s">
        <v>177</v>
      </c>
      <c r="L17" s="25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15</v>
      </c>
      <c r="S17" t="s">
        <v>368</v>
      </c>
      <c r="T17" t="s">
        <v>390</v>
      </c>
      <c r="U17" s="7"/>
      <c r="V17" s="27" t="s">
        <v>207</v>
      </c>
    </row>
    <row r="18" spans="1:22" ht="42.75">
      <c r="A18" s="39" t="s">
        <v>84</v>
      </c>
      <c r="B18" s="39" t="s">
        <v>96</v>
      </c>
      <c r="C18" s="40">
        <v>46259</v>
      </c>
      <c r="D18" s="40">
        <v>46259</v>
      </c>
      <c r="E18" s="40">
        <v>46259</v>
      </c>
      <c r="F18" s="39" t="s">
        <v>102</v>
      </c>
      <c r="G18" s="39" t="s">
        <v>118</v>
      </c>
      <c r="H18" s="39" t="s">
        <v>132</v>
      </c>
      <c r="I18" s="39" t="s">
        <v>148</v>
      </c>
      <c r="J18" s="39" t="s">
        <v>157</v>
      </c>
      <c r="K18" s="25" t="s">
        <v>179</v>
      </c>
      <c r="L18" s="25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15</v>
      </c>
      <c r="S18" t="s">
        <v>369</v>
      </c>
      <c r="T18" t="s">
        <v>391</v>
      </c>
      <c r="U18" s="7">
        <v>46273</v>
      </c>
      <c r="V18" s="27" t="s">
        <v>208</v>
      </c>
    </row>
    <row r="19" spans="1:22" ht="42.75">
      <c r="A19" s="39" t="s">
        <v>85</v>
      </c>
      <c r="B19" s="39" t="s">
        <v>96</v>
      </c>
      <c r="C19" s="40">
        <v>46259</v>
      </c>
      <c r="D19" s="40">
        <v>46259</v>
      </c>
      <c r="E19" s="40">
        <v>46259</v>
      </c>
      <c r="F19" s="39" t="s">
        <v>103</v>
      </c>
      <c r="G19" s="39" t="s">
        <v>119</v>
      </c>
      <c r="H19" s="39" t="s">
        <v>133</v>
      </c>
      <c r="I19" s="39" t="s">
        <v>149</v>
      </c>
      <c r="J19" s="39" t="s">
        <v>158</v>
      </c>
      <c r="K19" s="25" t="s">
        <v>181</v>
      </c>
      <c r="L19" s="25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15</v>
      </c>
      <c r="S19" t="s">
        <v>370</v>
      </c>
      <c r="T19" t="s">
        <v>392</v>
      </c>
      <c r="U19" s="7">
        <v>46273</v>
      </c>
      <c r="V19" s="27" t="s">
        <v>209</v>
      </c>
    </row>
    <row r="20" spans="1:22" ht="42.75">
      <c r="A20" s="39" t="s">
        <v>86</v>
      </c>
      <c r="B20" s="39" t="s">
        <v>96</v>
      </c>
      <c r="C20" s="40">
        <v>46259</v>
      </c>
      <c r="D20" s="40">
        <v>46259</v>
      </c>
      <c r="E20" s="40">
        <v>46259</v>
      </c>
      <c r="F20" s="39" t="s">
        <v>104</v>
      </c>
      <c r="G20" s="39" t="s">
        <v>114</v>
      </c>
      <c r="H20" s="39" t="s">
        <v>134</v>
      </c>
      <c r="I20" s="39" t="s">
        <v>142</v>
      </c>
      <c r="J20" s="39" t="s">
        <v>143</v>
      </c>
      <c r="K20" s="25" t="s">
        <v>182</v>
      </c>
      <c r="L20" s="25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15</v>
      </c>
      <c r="S20" t="s">
        <v>371</v>
      </c>
      <c r="T20" t="s">
        <v>393</v>
      </c>
      <c r="U20" s="7"/>
      <c r="V20" s="27" t="s">
        <v>228</v>
      </c>
    </row>
    <row r="21" spans="1:22" ht="42.75">
      <c r="A21" s="39" t="s">
        <v>87</v>
      </c>
      <c r="B21" s="39" t="s">
        <v>96</v>
      </c>
      <c r="C21" s="40">
        <v>46259</v>
      </c>
      <c r="D21" s="40">
        <v>46259</v>
      </c>
      <c r="E21" s="40">
        <v>46259</v>
      </c>
      <c r="F21" s="39" t="s">
        <v>105</v>
      </c>
      <c r="G21" s="39" t="s">
        <v>114</v>
      </c>
      <c r="H21" s="39" t="s">
        <v>134</v>
      </c>
      <c r="I21" s="39" t="s">
        <v>142</v>
      </c>
      <c r="J21" s="39" t="s">
        <v>143</v>
      </c>
      <c r="K21" s="25" t="s">
        <v>184</v>
      </c>
      <c r="L21" s="25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15</v>
      </c>
      <c r="S21" t="s">
        <v>372</v>
      </c>
      <c r="T21" t="s">
        <v>389</v>
      </c>
      <c r="U21" s="7"/>
      <c r="V21" s="27"/>
    </row>
    <row r="22" spans="1:22" ht="42.75">
      <c r="A22" s="39" t="s">
        <v>88</v>
      </c>
      <c r="B22" s="39" t="s">
        <v>96</v>
      </c>
      <c r="C22" s="40">
        <v>46259</v>
      </c>
      <c r="D22" s="40">
        <v>46259</v>
      </c>
      <c r="E22" s="40">
        <v>46259</v>
      </c>
      <c r="F22" s="39" t="s">
        <v>106</v>
      </c>
      <c r="G22" s="39" t="s">
        <v>114</v>
      </c>
      <c r="H22" s="39" t="s">
        <v>134</v>
      </c>
      <c r="I22" s="39" t="s">
        <v>142</v>
      </c>
      <c r="J22" s="39" t="s">
        <v>143</v>
      </c>
      <c r="K22" s="25" t="s">
        <v>186</v>
      </c>
      <c r="L22" s="25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15</v>
      </c>
      <c r="S22" t="s">
        <v>373</v>
      </c>
      <c r="T22" t="s">
        <v>394</v>
      </c>
      <c r="U22" s="7"/>
      <c r="V22" s="27"/>
    </row>
    <row r="23" spans="1:22" ht="42.75">
      <c r="A23" s="39" t="s">
        <v>89</v>
      </c>
      <c r="B23" s="39" t="s">
        <v>96</v>
      </c>
      <c r="C23" s="40">
        <v>46259</v>
      </c>
      <c r="D23" s="40">
        <v>46259</v>
      </c>
      <c r="E23" s="40">
        <v>46259</v>
      </c>
      <c r="F23" s="39" t="s">
        <v>107</v>
      </c>
      <c r="G23" s="39" t="s">
        <v>114</v>
      </c>
      <c r="H23" s="39" t="s">
        <v>134</v>
      </c>
      <c r="I23" s="39" t="s">
        <v>142</v>
      </c>
      <c r="J23" s="39" t="s">
        <v>143</v>
      </c>
      <c r="K23" s="25" t="s">
        <v>188</v>
      </c>
      <c r="L23" s="25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15</v>
      </c>
      <c r="S23" t="s">
        <v>372</v>
      </c>
      <c r="T23" t="s">
        <v>389</v>
      </c>
      <c r="U23" s="7"/>
      <c r="V23" s="27"/>
    </row>
    <row r="24" spans="1:22" ht="42.75">
      <c r="A24" s="39" t="s">
        <v>90</v>
      </c>
      <c r="B24" s="39" t="s">
        <v>96</v>
      </c>
      <c r="C24" s="40">
        <v>46259</v>
      </c>
      <c r="D24" s="40">
        <v>46259</v>
      </c>
      <c r="E24" s="40">
        <v>46259</v>
      </c>
      <c r="F24" s="39" t="s">
        <v>108</v>
      </c>
      <c r="G24" s="39" t="s">
        <v>114</v>
      </c>
      <c r="H24" s="39" t="s">
        <v>135</v>
      </c>
      <c r="I24" s="39" t="s">
        <v>150</v>
      </c>
      <c r="J24" s="39" t="s">
        <v>159</v>
      </c>
      <c r="K24" s="25" t="s">
        <v>189</v>
      </c>
      <c r="L24" s="25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15</v>
      </c>
      <c r="S24" t="s">
        <v>374</v>
      </c>
      <c r="T24" t="s">
        <v>395</v>
      </c>
      <c r="U24" s="7">
        <v>46273</v>
      </c>
      <c r="V24" s="27" t="s">
        <v>210</v>
      </c>
    </row>
    <row r="25" spans="1:22" ht="57">
      <c r="A25" s="39" t="s">
        <v>91</v>
      </c>
      <c r="B25" s="39" t="s">
        <v>96</v>
      </c>
      <c r="C25" s="40">
        <v>46259</v>
      </c>
      <c r="D25" s="40">
        <v>46259</v>
      </c>
      <c r="E25" s="40">
        <v>46259</v>
      </c>
      <c r="F25" s="39" t="s">
        <v>109</v>
      </c>
      <c r="G25" s="39" t="s">
        <v>120</v>
      </c>
      <c r="H25" s="39" t="s">
        <v>136</v>
      </c>
      <c r="I25" s="39" t="s">
        <v>151</v>
      </c>
      <c r="J25" s="39" t="s">
        <v>160</v>
      </c>
      <c r="K25" s="25" t="s">
        <v>191</v>
      </c>
      <c r="L25" s="25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15</v>
      </c>
      <c r="S25" t="s">
        <v>375</v>
      </c>
      <c r="T25" t="s">
        <v>396</v>
      </c>
      <c r="U25" s="7"/>
      <c r="V25" s="27"/>
    </row>
    <row r="26" spans="1:22" ht="57">
      <c r="A26" s="39" t="s">
        <v>92</v>
      </c>
      <c r="B26" s="39" t="s">
        <v>96</v>
      </c>
      <c r="C26" s="40">
        <v>46259</v>
      </c>
      <c r="D26" s="40">
        <v>46259</v>
      </c>
      <c r="E26" s="40">
        <v>46259</v>
      </c>
      <c r="F26" s="39" t="s">
        <v>110</v>
      </c>
      <c r="G26" s="39" t="s">
        <v>121</v>
      </c>
      <c r="H26" s="39" t="s">
        <v>137</v>
      </c>
      <c r="I26" s="39" t="s">
        <v>152</v>
      </c>
      <c r="J26" s="39" t="s">
        <v>161</v>
      </c>
      <c r="K26" s="25" t="s">
        <v>193</v>
      </c>
      <c r="L26" s="25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15</v>
      </c>
      <c r="S26" t="s">
        <v>376</v>
      </c>
      <c r="T26" t="s">
        <v>397</v>
      </c>
      <c r="U26" s="7">
        <v>46273</v>
      </c>
      <c r="V26" s="27"/>
    </row>
    <row r="27" spans="1:22" ht="57">
      <c r="A27" s="39" t="s">
        <v>93</v>
      </c>
      <c r="B27" s="39" t="s">
        <v>96</v>
      </c>
      <c r="C27" s="40">
        <v>46259</v>
      </c>
      <c r="D27" s="40">
        <v>46259</v>
      </c>
      <c r="E27" s="40">
        <v>46259</v>
      </c>
      <c r="F27" s="39" t="s">
        <v>111</v>
      </c>
      <c r="G27" s="39" t="s">
        <v>122</v>
      </c>
      <c r="H27" s="39" t="s">
        <v>138</v>
      </c>
      <c r="I27" s="39" t="s">
        <v>146</v>
      </c>
      <c r="J27" s="39" t="s">
        <v>162</v>
      </c>
      <c r="K27" s="25" t="s">
        <v>195</v>
      </c>
      <c r="L27" s="25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15</v>
      </c>
      <c r="S27" t="s">
        <v>377</v>
      </c>
      <c r="T27" t="s">
        <v>398</v>
      </c>
      <c r="U27" s="7">
        <v>46273</v>
      </c>
      <c r="V27" s="27" t="s">
        <v>211</v>
      </c>
    </row>
    <row r="28" spans="1:22" ht="71.25">
      <c r="A28" s="39" t="s">
        <v>94</v>
      </c>
      <c r="B28" s="39" t="s">
        <v>96</v>
      </c>
      <c r="C28" s="40">
        <v>46259</v>
      </c>
      <c r="D28" s="40">
        <v>46259</v>
      </c>
      <c r="E28" s="40">
        <v>46259</v>
      </c>
      <c r="F28" s="39" t="s">
        <v>112</v>
      </c>
      <c r="G28" s="39" t="s">
        <v>123</v>
      </c>
      <c r="H28" s="39" t="s">
        <v>139</v>
      </c>
      <c r="I28" s="39" t="s">
        <v>153</v>
      </c>
      <c r="J28" s="39" t="s">
        <v>163</v>
      </c>
      <c r="K28" s="25" t="s">
        <v>197</v>
      </c>
      <c r="L28" s="25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15</v>
      </c>
      <c r="S28" t="s">
        <v>378</v>
      </c>
      <c r="T28" t="s">
        <v>399</v>
      </c>
      <c r="U28" s="7">
        <v>46273</v>
      </c>
      <c r="V28" s="27" t="s">
        <v>212</v>
      </c>
    </row>
    <row r="29" spans="1:22" ht="85.5">
      <c r="A29" s="39" t="s">
        <v>95</v>
      </c>
      <c r="B29" s="39" t="s">
        <v>96</v>
      </c>
      <c r="C29" s="40">
        <v>46259</v>
      </c>
      <c r="D29" s="40">
        <v>46259</v>
      </c>
      <c r="E29" s="40">
        <v>46259</v>
      </c>
      <c r="F29" s="39" t="s">
        <v>113</v>
      </c>
      <c r="G29" s="39" t="s">
        <v>124</v>
      </c>
      <c r="H29" s="39" t="s">
        <v>140</v>
      </c>
      <c r="I29" s="39" t="s">
        <v>154</v>
      </c>
      <c r="J29" s="39" t="s">
        <v>164</v>
      </c>
      <c r="K29" s="25" t="s">
        <v>199</v>
      </c>
      <c r="L29" s="25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15</v>
      </c>
      <c r="S29" t="s">
        <v>379</v>
      </c>
      <c r="T29" t="s">
        <v>400</v>
      </c>
      <c r="U29" s="7">
        <v>46273</v>
      </c>
      <c r="V29" s="27" t="s">
        <v>213</v>
      </c>
    </row>
    <row r="30" spans="1:22">
      <c r="A30" t="s">
        <v>214</v>
      </c>
      <c r="B30" t="s">
        <v>215</v>
      </c>
      <c r="C30" s="41">
        <v>46262</v>
      </c>
      <c r="D30" s="41">
        <v>46262</v>
      </c>
      <c r="E30" s="41">
        <v>46262</v>
      </c>
      <c r="F30" t="s">
        <v>216</v>
      </c>
      <c r="G30" t="s">
        <v>217</v>
      </c>
      <c r="H30" t="s">
        <v>223</v>
      </c>
      <c r="I30" t="s">
        <v>218</v>
      </c>
      <c r="J30" t="s">
        <v>219</v>
      </c>
      <c r="K30" t="s">
        <v>220</v>
      </c>
      <c r="L30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12</v>
      </c>
      <c r="S30" t="s">
        <v>380</v>
      </c>
      <c r="T30" t="s">
        <v>401</v>
      </c>
      <c r="U30" s="41">
        <v>46273</v>
      </c>
      <c r="V30" t="s">
        <v>222</v>
      </c>
    </row>
    <row r="31" spans="1:22">
      <c r="A31" t="s">
        <v>224</v>
      </c>
      <c r="B31" t="s">
        <v>215</v>
      </c>
      <c r="C31" s="41">
        <v>46265</v>
      </c>
      <c r="D31" s="41">
        <v>46265</v>
      </c>
      <c r="E31" s="41">
        <v>46265</v>
      </c>
      <c r="F31" t="s">
        <v>104</v>
      </c>
      <c r="G31" s="22" t="s">
        <v>114</v>
      </c>
      <c r="H31" s="11" t="s">
        <v>54</v>
      </c>
      <c r="I31" t="s">
        <v>142</v>
      </c>
      <c r="J31" t="s">
        <v>143</v>
      </c>
      <c r="K31" t="s">
        <v>225</v>
      </c>
      <c r="L31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9</v>
      </c>
      <c r="S31" t="s">
        <v>381</v>
      </c>
      <c r="T31" t="s">
        <v>402</v>
      </c>
      <c r="U31" s="41">
        <v>46273</v>
      </c>
      <c r="V31" t="s">
        <v>227</v>
      </c>
    </row>
    <row r="32" spans="1:22" ht="57">
      <c r="A32" t="s">
        <v>229</v>
      </c>
      <c r="B32" t="s">
        <v>215</v>
      </c>
      <c r="C32" s="12">
        <v>46267</v>
      </c>
      <c r="D32" s="12">
        <v>46267</v>
      </c>
      <c r="E32" s="12">
        <v>46267</v>
      </c>
      <c r="F32" s="22" t="s">
        <v>231</v>
      </c>
      <c r="G32" s="42" t="s">
        <v>233</v>
      </c>
      <c r="H32" s="11" t="s">
        <v>234</v>
      </c>
      <c r="I32" s="25" t="s">
        <v>235</v>
      </c>
      <c r="J32" s="25" t="s">
        <v>236</v>
      </c>
      <c r="K32" s="25" t="s">
        <v>237</v>
      </c>
      <c r="L32" s="25" t="s">
        <v>238</v>
      </c>
      <c r="M32" s="11" t="s">
        <v>41</v>
      </c>
      <c r="N32" s="11" t="s">
        <v>40</v>
      </c>
      <c r="O32" s="11" t="s">
        <v>40</v>
      </c>
      <c r="P32" s="11" t="s">
        <v>47</v>
      </c>
      <c r="Q32" s="18">
        <f t="shared" si="0"/>
        <v>46268</v>
      </c>
      <c r="R32" s="19">
        <f t="shared" ca="1" si="1"/>
        <v>7</v>
      </c>
      <c r="S32" t="s">
        <v>382</v>
      </c>
      <c r="T32" t="s">
        <v>403</v>
      </c>
      <c r="U32" s="7">
        <v>46279</v>
      </c>
      <c r="V32" s="27"/>
    </row>
    <row r="33" spans="1:22" ht="57">
      <c r="A33" t="s">
        <v>230</v>
      </c>
      <c r="B33" t="s">
        <v>215</v>
      </c>
      <c r="C33" s="12">
        <v>46267</v>
      </c>
      <c r="D33" s="12">
        <v>46267</v>
      </c>
      <c r="E33" s="12">
        <v>46267</v>
      </c>
      <c r="F33" s="22" t="s">
        <v>232</v>
      </c>
      <c r="G33" s="22" t="s">
        <v>239</v>
      </c>
      <c r="H33" s="11" t="s">
        <v>240</v>
      </c>
      <c r="I33" s="25" t="s">
        <v>235</v>
      </c>
      <c r="J33" s="25" t="s">
        <v>241</v>
      </c>
      <c r="K33" s="25" t="s">
        <v>242</v>
      </c>
      <c r="L33" s="25" t="s">
        <v>238</v>
      </c>
      <c r="M33" s="11" t="s">
        <v>41</v>
      </c>
      <c r="N33" s="11" t="s">
        <v>40</v>
      </c>
      <c r="O33" s="11" t="s">
        <v>40</v>
      </c>
      <c r="P33" s="11" t="s">
        <v>47</v>
      </c>
      <c r="Q33" s="18">
        <f t="shared" si="0"/>
        <v>46268</v>
      </c>
      <c r="R33" s="19">
        <f t="shared" ca="1" si="1"/>
        <v>7</v>
      </c>
      <c r="S33" t="s">
        <v>383</v>
      </c>
      <c r="T33" t="s">
        <v>404</v>
      </c>
      <c r="U33" s="7">
        <v>46279</v>
      </c>
      <c r="V33" s="27"/>
    </row>
    <row r="34" spans="1:22">
      <c r="A34" t="s">
        <v>243</v>
      </c>
      <c r="B34" t="s">
        <v>215</v>
      </c>
      <c r="C34" s="41">
        <v>46269</v>
      </c>
      <c r="D34" s="41">
        <v>46269</v>
      </c>
      <c r="E34" s="41">
        <v>46269</v>
      </c>
      <c r="F34" t="s">
        <v>313</v>
      </c>
      <c r="G34" t="s">
        <v>314</v>
      </c>
      <c r="H34" t="s">
        <v>315</v>
      </c>
      <c r="I34" t="s">
        <v>316</v>
      </c>
      <c r="J34" t="s">
        <v>317</v>
      </c>
      <c r="K34" t="s">
        <v>318</v>
      </c>
      <c r="L34" t="s">
        <v>319</v>
      </c>
      <c r="M34" t="s">
        <v>45</v>
      </c>
      <c r="N34" t="s">
        <v>40</v>
      </c>
      <c r="O34" t="s">
        <v>40</v>
      </c>
      <c r="P34" t="s">
        <v>47</v>
      </c>
      <c r="Q34" s="41">
        <v>46270</v>
      </c>
      <c r="R34" s="19">
        <f t="shared" ca="1" si="1"/>
        <v>5</v>
      </c>
      <c r="S34" s="22"/>
      <c r="T34" s="22"/>
      <c r="U34" s="41">
        <v>46283</v>
      </c>
      <c r="V34" t="s">
        <v>343</v>
      </c>
    </row>
    <row r="35" spans="1:22">
      <c r="A35" t="s">
        <v>244</v>
      </c>
      <c r="B35" t="s">
        <v>215</v>
      </c>
      <c r="C35" s="41">
        <v>46269</v>
      </c>
      <c r="D35" s="41">
        <v>46269</v>
      </c>
      <c r="E35" s="41">
        <v>46269</v>
      </c>
      <c r="F35" t="s">
        <v>320</v>
      </c>
      <c r="G35" t="s">
        <v>321</v>
      </c>
      <c r="H35" t="s">
        <v>315</v>
      </c>
      <c r="I35" t="s">
        <v>316</v>
      </c>
      <c r="J35" t="s">
        <v>322</v>
      </c>
      <c r="K35" t="s">
        <v>323</v>
      </c>
      <c r="L35" t="s">
        <v>319</v>
      </c>
      <c r="M35" t="s">
        <v>41</v>
      </c>
      <c r="N35" t="s">
        <v>40</v>
      </c>
      <c r="O35" t="s">
        <v>40</v>
      </c>
      <c r="P35" t="s">
        <v>47</v>
      </c>
      <c r="Q35" s="41">
        <v>46270</v>
      </c>
      <c r="R35" s="19">
        <f t="shared" ca="1" si="1"/>
        <v>5</v>
      </c>
      <c r="S35" s="22"/>
      <c r="T35" s="22"/>
      <c r="U35" s="41">
        <v>46283</v>
      </c>
      <c r="V35" t="s">
        <v>344</v>
      </c>
    </row>
    <row r="36" spans="1:22">
      <c r="A36" t="s">
        <v>245</v>
      </c>
      <c r="B36" t="s">
        <v>262</v>
      </c>
      <c r="C36" s="41">
        <v>46273</v>
      </c>
      <c r="D36" s="41">
        <v>46273</v>
      </c>
      <c r="E36" s="41">
        <v>46274</v>
      </c>
      <c r="F36" t="s">
        <v>263</v>
      </c>
      <c r="G36" t="s">
        <v>274</v>
      </c>
      <c r="H36" t="s">
        <v>42</v>
      </c>
      <c r="I36" s="43">
        <v>0.54</v>
      </c>
      <c r="J36" t="s">
        <v>303</v>
      </c>
      <c r="K36" t="s">
        <v>324</v>
      </c>
      <c r="L36" t="s">
        <v>325</v>
      </c>
      <c r="M36" t="s">
        <v>45</v>
      </c>
      <c r="N36" t="s">
        <v>40</v>
      </c>
      <c r="O36" t="s">
        <v>40</v>
      </c>
      <c r="P36" t="s">
        <v>47</v>
      </c>
      <c r="Q36" s="41">
        <v>46275</v>
      </c>
      <c r="R36" s="19">
        <f t="shared" ca="1" si="1"/>
        <v>0</v>
      </c>
      <c r="S36" s="22"/>
      <c r="T36" s="22"/>
      <c r="U36" s="41">
        <v>46287</v>
      </c>
      <c r="V36" t="s">
        <v>345</v>
      </c>
    </row>
    <row r="37" spans="1:22">
      <c r="A37" t="s">
        <v>246</v>
      </c>
      <c r="B37" t="s">
        <v>262</v>
      </c>
      <c r="C37" s="41">
        <v>46273</v>
      </c>
      <c r="D37" s="41">
        <v>46273</v>
      </c>
      <c r="E37" s="41">
        <v>46274</v>
      </c>
      <c r="F37" t="s">
        <v>263</v>
      </c>
      <c r="G37" t="s">
        <v>275</v>
      </c>
      <c r="H37" t="s">
        <v>38</v>
      </c>
      <c r="I37" s="43">
        <v>0.45</v>
      </c>
      <c r="J37" t="s">
        <v>304</v>
      </c>
      <c r="K37" t="s">
        <v>326</v>
      </c>
      <c r="L37" t="s">
        <v>325</v>
      </c>
      <c r="M37" t="s">
        <v>45</v>
      </c>
      <c r="N37" t="s">
        <v>40</v>
      </c>
      <c r="O37" t="s">
        <v>40</v>
      </c>
      <c r="P37" t="s">
        <v>47</v>
      </c>
      <c r="Q37" s="41">
        <v>46275</v>
      </c>
      <c r="R37" s="19">
        <f t="shared" ca="1" si="1"/>
        <v>0</v>
      </c>
      <c r="S37" s="22"/>
      <c r="T37" s="22"/>
      <c r="U37" s="41">
        <v>46287</v>
      </c>
      <c r="V37" t="s">
        <v>346</v>
      </c>
    </row>
    <row r="38" spans="1:22">
      <c r="A38" t="s">
        <v>247</v>
      </c>
      <c r="B38" t="s">
        <v>262</v>
      </c>
      <c r="C38" s="41">
        <v>46273</v>
      </c>
      <c r="D38" s="41">
        <v>46273</v>
      </c>
      <c r="E38" s="41">
        <v>46274</v>
      </c>
      <c r="F38" t="s">
        <v>264</v>
      </c>
      <c r="G38" t="s">
        <v>276</v>
      </c>
      <c r="H38" t="s">
        <v>136</v>
      </c>
      <c r="I38" t="s">
        <v>288</v>
      </c>
      <c r="J38" t="s">
        <v>160</v>
      </c>
      <c r="K38" t="s">
        <v>327</v>
      </c>
      <c r="L38" t="s">
        <v>325</v>
      </c>
      <c r="M38" t="s">
        <v>41</v>
      </c>
      <c r="N38" t="s">
        <v>40</v>
      </c>
      <c r="O38" t="s">
        <v>40</v>
      </c>
      <c r="P38" t="s">
        <v>47</v>
      </c>
      <c r="Q38" s="41">
        <v>46275</v>
      </c>
      <c r="R38" s="19">
        <f t="shared" ca="1" si="1"/>
        <v>0</v>
      </c>
      <c r="S38" s="22"/>
      <c r="T38" s="22"/>
      <c r="U38" s="41">
        <v>46287</v>
      </c>
      <c r="V38" t="s">
        <v>347</v>
      </c>
    </row>
    <row r="39" spans="1:22">
      <c r="A39" t="s">
        <v>248</v>
      </c>
      <c r="B39" t="s">
        <v>262</v>
      </c>
      <c r="C39" s="41">
        <v>46273</v>
      </c>
      <c r="D39" s="41">
        <v>46273</v>
      </c>
      <c r="E39" s="41">
        <v>46274</v>
      </c>
      <c r="F39" t="s">
        <v>265</v>
      </c>
      <c r="G39" t="s">
        <v>114</v>
      </c>
      <c r="H39" t="s">
        <v>54</v>
      </c>
      <c r="I39" t="s">
        <v>289</v>
      </c>
      <c r="J39" t="s">
        <v>143</v>
      </c>
      <c r="K39" t="s">
        <v>328</v>
      </c>
      <c r="L39" t="s">
        <v>325</v>
      </c>
      <c r="M39" t="s">
        <v>41</v>
      </c>
      <c r="N39" t="s">
        <v>40</v>
      </c>
      <c r="O39" t="s">
        <v>40</v>
      </c>
      <c r="P39" t="s">
        <v>47</v>
      </c>
      <c r="Q39" s="41">
        <v>46275</v>
      </c>
      <c r="R39" s="19">
        <f t="shared" ca="1" si="1"/>
        <v>0</v>
      </c>
      <c r="S39" s="22"/>
      <c r="T39" s="22"/>
      <c r="U39" s="41">
        <v>46287</v>
      </c>
      <c r="V39" t="s">
        <v>348</v>
      </c>
    </row>
    <row r="40" spans="1:22">
      <c r="A40" t="s">
        <v>249</v>
      </c>
      <c r="B40" t="s">
        <v>262</v>
      </c>
      <c r="C40" s="41">
        <v>46273</v>
      </c>
      <c r="D40" s="41">
        <v>46273</v>
      </c>
      <c r="E40" s="41">
        <v>46274</v>
      </c>
      <c r="F40" t="s">
        <v>266</v>
      </c>
      <c r="G40" t="s">
        <v>114</v>
      </c>
      <c r="H40" t="s">
        <v>54</v>
      </c>
      <c r="I40" t="s">
        <v>290</v>
      </c>
      <c r="J40" t="s">
        <v>143</v>
      </c>
      <c r="K40" t="s">
        <v>329</v>
      </c>
      <c r="L40" t="s">
        <v>325</v>
      </c>
      <c r="M40" t="s">
        <v>41</v>
      </c>
      <c r="N40" t="s">
        <v>40</v>
      </c>
      <c r="O40" t="s">
        <v>40</v>
      </c>
      <c r="P40" t="s">
        <v>47</v>
      </c>
      <c r="Q40" s="41">
        <v>46275</v>
      </c>
      <c r="R40" s="19">
        <f t="shared" ca="1" si="1"/>
        <v>0</v>
      </c>
      <c r="S40" s="22"/>
      <c r="T40" s="22"/>
      <c r="U40" s="41">
        <v>46287</v>
      </c>
      <c r="V40" t="s">
        <v>349</v>
      </c>
    </row>
    <row r="41" spans="1:22">
      <c r="A41" t="s">
        <v>250</v>
      </c>
      <c r="B41" t="s">
        <v>262</v>
      </c>
      <c r="C41" s="41">
        <v>46273</v>
      </c>
      <c r="D41" s="41">
        <v>46273</v>
      </c>
      <c r="E41" s="41">
        <v>46274</v>
      </c>
      <c r="F41" t="s">
        <v>267</v>
      </c>
      <c r="G41" t="s">
        <v>114</v>
      </c>
      <c r="H41" t="s">
        <v>54</v>
      </c>
      <c r="I41" t="s">
        <v>291</v>
      </c>
      <c r="J41" t="s">
        <v>143</v>
      </c>
      <c r="K41" t="s">
        <v>330</v>
      </c>
      <c r="L41" t="s">
        <v>325</v>
      </c>
      <c r="M41" t="s">
        <v>41</v>
      </c>
      <c r="N41" t="s">
        <v>40</v>
      </c>
      <c r="O41" t="s">
        <v>40</v>
      </c>
      <c r="P41" t="s">
        <v>47</v>
      </c>
      <c r="Q41" s="41">
        <v>46275</v>
      </c>
      <c r="R41" s="19">
        <f t="shared" ca="1" si="1"/>
        <v>0</v>
      </c>
      <c r="S41" s="22"/>
      <c r="T41" s="22"/>
      <c r="U41" s="41">
        <v>46287</v>
      </c>
      <c r="V41" t="s">
        <v>350</v>
      </c>
    </row>
    <row r="42" spans="1:22">
      <c r="A42" t="s">
        <v>251</v>
      </c>
      <c r="B42" t="s">
        <v>262</v>
      </c>
      <c r="C42" s="41">
        <v>46273</v>
      </c>
      <c r="D42" s="41">
        <v>46273</v>
      </c>
      <c r="E42" s="41">
        <v>46274</v>
      </c>
      <c r="F42" t="s">
        <v>110</v>
      </c>
      <c r="G42" t="s">
        <v>114</v>
      </c>
      <c r="H42" t="s">
        <v>281</v>
      </c>
      <c r="I42" t="s">
        <v>292</v>
      </c>
      <c r="J42" t="s">
        <v>305</v>
      </c>
      <c r="K42" t="s">
        <v>331</v>
      </c>
      <c r="L42" t="s">
        <v>325</v>
      </c>
      <c r="M42" t="s">
        <v>45</v>
      </c>
      <c r="N42" t="s">
        <v>40</v>
      </c>
      <c r="O42" t="s">
        <v>40</v>
      </c>
      <c r="P42" t="s">
        <v>47</v>
      </c>
      <c r="Q42" s="41">
        <v>46275</v>
      </c>
      <c r="R42" s="19">
        <f t="shared" ca="1" si="1"/>
        <v>0</v>
      </c>
      <c r="S42" s="22"/>
      <c r="T42" s="22"/>
      <c r="U42" s="41">
        <v>46287</v>
      </c>
      <c r="V42" t="s">
        <v>351</v>
      </c>
    </row>
    <row r="43" spans="1:22">
      <c r="A43" t="s">
        <v>252</v>
      </c>
      <c r="B43" t="s">
        <v>262</v>
      </c>
      <c r="C43" s="41">
        <v>46273</v>
      </c>
      <c r="D43" s="41">
        <v>46273</v>
      </c>
      <c r="E43" s="41">
        <v>46274</v>
      </c>
      <c r="F43" t="s">
        <v>112</v>
      </c>
      <c r="G43" t="s">
        <v>123</v>
      </c>
      <c r="H43" t="s">
        <v>282</v>
      </c>
      <c r="I43" t="s">
        <v>293</v>
      </c>
      <c r="J43" t="s">
        <v>306</v>
      </c>
      <c r="K43" t="s">
        <v>332</v>
      </c>
      <c r="L43" t="s">
        <v>325</v>
      </c>
      <c r="M43" t="s">
        <v>41</v>
      </c>
      <c r="N43" t="s">
        <v>40</v>
      </c>
      <c r="O43" t="s">
        <v>40</v>
      </c>
      <c r="P43" t="s">
        <v>47</v>
      </c>
      <c r="Q43" s="41">
        <v>46275</v>
      </c>
      <c r="R43" s="19">
        <f t="shared" ref="R43:R74" ca="1" si="2">IF(E43="","",TODAY()-E43)</f>
        <v>0</v>
      </c>
      <c r="S43" s="22"/>
      <c r="T43" s="22"/>
      <c r="U43" s="41">
        <v>46287</v>
      </c>
      <c r="V43" t="s">
        <v>352</v>
      </c>
    </row>
    <row r="44" spans="1:22">
      <c r="A44" t="s">
        <v>253</v>
      </c>
      <c r="B44" t="s">
        <v>262</v>
      </c>
      <c r="C44" s="41">
        <v>46273</v>
      </c>
      <c r="D44" s="41">
        <v>46273</v>
      </c>
      <c r="E44" s="41">
        <v>46274</v>
      </c>
      <c r="F44" t="s">
        <v>268</v>
      </c>
      <c r="G44" t="s">
        <v>123</v>
      </c>
      <c r="H44" t="s">
        <v>283</v>
      </c>
      <c r="I44" t="s">
        <v>294</v>
      </c>
      <c r="J44" t="s">
        <v>307</v>
      </c>
      <c r="K44" t="s">
        <v>333</v>
      </c>
      <c r="L44" t="s">
        <v>325</v>
      </c>
      <c r="M44" t="s">
        <v>45</v>
      </c>
      <c r="N44" t="s">
        <v>40</v>
      </c>
      <c r="O44" t="s">
        <v>40</v>
      </c>
      <c r="P44" t="s">
        <v>47</v>
      </c>
      <c r="Q44" s="41">
        <v>46275</v>
      </c>
      <c r="R44" s="19">
        <f t="shared" ca="1" si="2"/>
        <v>0</v>
      </c>
      <c r="S44" s="22"/>
      <c r="T44" s="22"/>
      <c r="U44" s="41">
        <v>46287</v>
      </c>
      <c r="V44" t="s">
        <v>353</v>
      </c>
    </row>
    <row r="45" spans="1:22">
      <c r="A45" t="s">
        <v>254</v>
      </c>
      <c r="B45" t="s">
        <v>262</v>
      </c>
      <c r="C45" s="41">
        <v>46273</v>
      </c>
      <c r="D45" s="41">
        <v>46273</v>
      </c>
      <c r="E45" s="41">
        <v>46274</v>
      </c>
      <c r="F45" t="s">
        <v>269</v>
      </c>
      <c r="G45" t="s">
        <v>277</v>
      </c>
      <c r="H45" t="s">
        <v>284</v>
      </c>
      <c r="I45" t="s">
        <v>295</v>
      </c>
      <c r="J45" t="s">
        <v>308</v>
      </c>
      <c r="K45" t="s">
        <v>334</v>
      </c>
      <c r="L45" t="s">
        <v>325</v>
      </c>
      <c r="M45" t="s">
        <v>45</v>
      </c>
      <c r="N45" t="s">
        <v>40</v>
      </c>
      <c r="O45" t="s">
        <v>40</v>
      </c>
      <c r="P45" t="s">
        <v>47</v>
      </c>
      <c r="Q45" s="41">
        <v>46275</v>
      </c>
      <c r="R45" s="19">
        <f t="shared" ca="1" si="2"/>
        <v>0</v>
      </c>
      <c r="S45" s="22"/>
      <c r="T45" s="22"/>
      <c r="U45" s="41">
        <v>46287</v>
      </c>
      <c r="V45" t="s">
        <v>354</v>
      </c>
    </row>
    <row r="46" spans="1:22">
      <c r="A46" t="s">
        <v>255</v>
      </c>
      <c r="B46" t="s">
        <v>262</v>
      </c>
      <c r="C46" s="41">
        <v>46273</v>
      </c>
      <c r="D46" s="41">
        <v>46273</v>
      </c>
      <c r="E46" s="41">
        <v>46274</v>
      </c>
      <c r="F46" t="s">
        <v>270</v>
      </c>
      <c r="G46" t="s">
        <v>114</v>
      </c>
      <c r="H46" t="s">
        <v>285</v>
      </c>
      <c r="I46" t="s">
        <v>296</v>
      </c>
      <c r="J46" t="s">
        <v>309</v>
      </c>
      <c r="K46" t="s">
        <v>335</v>
      </c>
      <c r="L46" t="s">
        <v>325</v>
      </c>
      <c r="M46" t="s">
        <v>45</v>
      </c>
      <c r="N46" t="s">
        <v>40</v>
      </c>
      <c r="O46" t="s">
        <v>40</v>
      </c>
      <c r="P46" t="s">
        <v>47</v>
      </c>
      <c r="Q46" s="41">
        <v>46275</v>
      </c>
      <c r="R46" s="19">
        <f t="shared" ca="1" si="2"/>
        <v>0</v>
      </c>
      <c r="S46" s="22"/>
      <c r="T46" s="22"/>
      <c r="U46" s="41">
        <v>46279</v>
      </c>
      <c r="V46" t="s">
        <v>355</v>
      </c>
    </row>
    <row r="47" spans="1:22">
      <c r="A47" t="s">
        <v>256</v>
      </c>
      <c r="B47" t="s">
        <v>262</v>
      </c>
      <c r="C47" s="41">
        <v>46273</v>
      </c>
      <c r="D47" s="41">
        <v>46273</v>
      </c>
      <c r="E47" s="41">
        <v>46274</v>
      </c>
      <c r="F47" t="s">
        <v>98</v>
      </c>
      <c r="G47" t="s">
        <v>114</v>
      </c>
      <c r="H47" t="s">
        <v>54</v>
      </c>
      <c r="I47" t="s">
        <v>297</v>
      </c>
      <c r="J47" t="s">
        <v>143</v>
      </c>
      <c r="K47" t="s">
        <v>336</v>
      </c>
      <c r="L47" t="s">
        <v>325</v>
      </c>
      <c r="M47" t="s">
        <v>41</v>
      </c>
      <c r="N47" t="s">
        <v>40</v>
      </c>
      <c r="O47" t="s">
        <v>40</v>
      </c>
      <c r="P47" t="s">
        <v>47</v>
      </c>
      <c r="Q47" s="41">
        <v>46275</v>
      </c>
      <c r="R47" s="19">
        <f t="shared" ca="1" si="2"/>
        <v>0</v>
      </c>
      <c r="S47" s="22"/>
      <c r="T47" s="22"/>
      <c r="U47" t="s">
        <v>342</v>
      </c>
      <c r="V47" t="s">
        <v>356</v>
      </c>
    </row>
    <row r="48" spans="1:22">
      <c r="A48" t="s">
        <v>257</v>
      </c>
      <c r="B48" t="s">
        <v>262</v>
      </c>
      <c r="C48" s="41">
        <v>46273</v>
      </c>
      <c r="D48" s="41">
        <v>46273</v>
      </c>
      <c r="F48" t="s">
        <v>112</v>
      </c>
      <c r="G48" t="s">
        <v>278</v>
      </c>
      <c r="H48" t="s">
        <v>62</v>
      </c>
      <c r="I48" t="s">
        <v>298</v>
      </c>
      <c r="J48" t="s">
        <v>310</v>
      </c>
      <c r="K48" t="s">
        <v>337</v>
      </c>
      <c r="L48" t="s">
        <v>325</v>
      </c>
      <c r="M48" t="s">
        <v>45</v>
      </c>
      <c r="N48" t="s">
        <v>40</v>
      </c>
      <c r="O48" t="s">
        <v>44</v>
      </c>
      <c r="P48" t="s">
        <v>57</v>
      </c>
      <c r="R48" s="19" t="str">
        <f t="shared" ca="1" si="2"/>
        <v/>
      </c>
      <c r="S48" s="22"/>
      <c r="T48" s="22"/>
      <c r="U48" s="41">
        <v>46287</v>
      </c>
      <c r="V48" t="s">
        <v>357</v>
      </c>
    </row>
    <row r="49" spans="1:22">
      <c r="A49" t="s">
        <v>258</v>
      </c>
      <c r="B49" t="s">
        <v>262</v>
      </c>
      <c r="C49" s="41">
        <v>46273</v>
      </c>
      <c r="D49" s="41">
        <v>46273</v>
      </c>
      <c r="E49" s="41">
        <v>46274</v>
      </c>
      <c r="F49" t="s">
        <v>112</v>
      </c>
      <c r="G49" t="s">
        <v>279</v>
      </c>
      <c r="H49" t="s">
        <v>286</v>
      </c>
      <c r="I49" t="s">
        <v>299</v>
      </c>
      <c r="J49" t="s">
        <v>311</v>
      </c>
      <c r="K49" t="s">
        <v>338</v>
      </c>
      <c r="L49" t="s">
        <v>325</v>
      </c>
      <c r="M49" t="s">
        <v>45</v>
      </c>
      <c r="N49" t="s">
        <v>40</v>
      </c>
      <c r="O49" t="s">
        <v>40</v>
      </c>
      <c r="P49" t="s">
        <v>47</v>
      </c>
      <c r="Q49" s="41">
        <v>46275</v>
      </c>
      <c r="R49" s="19">
        <f t="shared" ca="1" si="2"/>
        <v>0</v>
      </c>
      <c r="S49" s="22"/>
      <c r="T49" s="22"/>
      <c r="U49" s="41">
        <v>46279</v>
      </c>
      <c r="V49" t="s">
        <v>358</v>
      </c>
    </row>
    <row r="50" spans="1:22">
      <c r="A50" t="s">
        <v>259</v>
      </c>
      <c r="B50" t="s">
        <v>262</v>
      </c>
      <c r="C50" s="41">
        <v>46273</v>
      </c>
      <c r="D50" s="41">
        <v>46273</v>
      </c>
      <c r="E50" s="41">
        <v>46274</v>
      </c>
      <c r="F50" t="s">
        <v>271</v>
      </c>
      <c r="G50" t="s">
        <v>280</v>
      </c>
      <c r="H50" t="s">
        <v>138</v>
      </c>
      <c r="I50" t="s">
        <v>300</v>
      </c>
      <c r="J50" t="s">
        <v>306</v>
      </c>
      <c r="K50" t="s">
        <v>339</v>
      </c>
      <c r="L50" t="s">
        <v>325</v>
      </c>
      <c r="M50" t="s">
        <v>41</v>
      </c>
      <c r="N50" t="s">
        <v>40</v>
      </c>
      <c r="O50" t="s">
        <v>40</v>
      </c>
      <c r="P50" t="s">
        <v>47</v>
      </c>
      <c r="Q50" s="41">
        <v>46275</v>
      </c>
      <c r="R50" s="19">
        <f t="shared" ca="1" si="2"/>
        <v>0</v>
      </c>
      <c r="S50" s="22"/>
      <c r="T50" s="22"/>
      <c r="U50" s="41">
        <v>46287</v>
      </c>
      <c r="V50" t="s">
        <v>359</v>
      </c>
    </row>
    <row r="51" spans="1:22">
      <c r="A51" t="s">
        <v>260</v>
      </c>
      <c r="B51" t="s">
        <v>262</v>
      </c>
      <c r="C51" s="41">
        <v>46273</v>
      </c>
      <c r="D51" s="41">
        <v>46273</v>
      </c>
      <c r="E51" s="41">
        <v>46274</v>
      </c>
      <c r="F51" t="s">
        <v>272</v>
      </c>
      <c r="G51" t="s">
        <v>114</v>
      </c>
      <c r="H51" t="s">
        <v>287</v>
      </c>
      <c r="I51" t="s">
        <v>301</v>
      </c>
      <c r="J51" t="s">
        <v>312</v>
      </c>
      <c r="K51" t="s">
        <v>340</v>
      </c>
      <c r="L51" t="s">
        <v>325</v>
      </c>
      <c r="M51" t="s">
        <v>45</v>
      </c>
      <c r="N51" t="s">
        <v>40</v>
      </c>
      <c r="O51" t="s">
        <v>40</v>
      </c>
      <c r="P51" t="s">
        <v>47</v>
      </c>
      <c r="Q51" s="41">
        <v>46275</v>
      </c>
      <c r="R51" s="19">
        <f t="shared" ca="1" si="2"/>
        <v>0</v>
      </c>
      <c r="S51" s="22"/>
      <c r="T51" s="22"/>
      <c r="U51" s="41">
        <v>46287</v>
      </c>
      <c r="V51" t="s">
        <v>360</v>
      </c>
    </row>
    <row r="52" spans="1:22">
      <c r="A52" t="s">
        <v>261</v>
      </c>
      <c r="B52" t="s">
        <v>262</v>
      </c>
      <c r="C52" s="41">
        <v>46273</v>
      </c>
      <c r="D52" s="41">
        <v>46273</v>
      </c>
      <c r="E52" s="41">
        <v>46274</v>
      </c>
      <c r="F52" t="s">
        <v>273</v>
      </c>
      <c r="G52" t="s">
        <v>114</v>
      </c>
      <c r="H52" t="s">
        <v>138</v>
      </c>
      <c r="I52" t="s">
        <v>302</v>
      </c>
      <c r="J52" t="s">
        <v>306</v>
      </c>
      <c r="K52" t="s">
        <v>341</v>
      </c>
      <c r="L52" t="s">
        <v>325</v>
      </c>
      <c r="M52" t="s">
        <v>41</v>
      </c>
      <c r="N52" t="s">
        <v>40</v>
      </c>
      <c r="O52" t="s">
        <v>40</v>
      </c>
      <c r="P52" t="s">
        <v>47</v>
      </c>
      <c r="Q52" s="41">
        <v>46275</v>
      </c>
      <c r="R52" s="19">
        <f t="shared" ca="1" si="2"/>
        <v>0</v>
      </c>
      <c r="S52" s="22"/>
      <c r="T52" s="22"/>
      <c r="U52" s="41">
        <v>46287</v>
      </c>
      <c r="V52" t="s">
        <v>361</v>
      </c>
    </row>
    <row r="53" spans="1:22">
      <c r="A53" s="10"/>
      <c r="B53" s="11"/>
      <c r="C53" s="12"/>
      <c r="D53" s="12"/>
      <c r="E53" s="12"/>
      <c r="F53" s="22"/>
      <c r="G53" s="22"/>
      <c r="H53" s="11"/>
      <c r="I53" s="25"/>
      <c r="J53" s="25"/>
      <c r="K53" s="25"/>
      <c r="L53" s="25"/>
      <c r="M53" s="11"/>
      <c r="N53" s="11"/>
      <c r="O53" s="11"/>
      <c r="P53" s="11"/>
      <c r="Q53" s="18" t="str">
        <f t="shared" ref="Q53:Q74" si="3">IF(E53="","",E53+1)</f>
        <v/>
      </c>
      <c r="R53" s="19" t="str">
        <f t="shared" ca="1" si="2"/>
        <v/>
      </c>
      <c r="S53" s="22"/>
      <c r="T53" s="22"/>
      <c r="U53" s="7"/>
      <c r="V53" s="27"/>
    </row>
    <row r="54" spans="1:22">
      <c r="A54" s="10"/>
      <c r="B54" s="11"/>
      <c r="C54" s="12"/>
      <c r="D54" s="12"/>
      <c r="E54" s="12"/>
      <c r="F54" s="22"/>
      <c r="G54" s="22"/>
      <c r="H54" s="11"/>
      <c r="I54" s="25"/>
      <c r="J54" s="25"/>
      <c r="K54" s="25"/>
      <c r="L54" s="25"/>
      <c r="M54" s="11"/>
      <c r="N54" s="11"/>
      <c r="O54" s="11"/>
      <c r="P54" s="11"/>
      <c r="Q54" s="18" t="str">
        <f t="shared" si="3"/>
        <v/>
      </c>
      <c r="R54" s="19" t="str">
        <f t="shared" ca="1" si="2"/>
        <v/>
      </c>
      <c r="S54" s="22"/>
      <c r="T54" s="22"/>
      <c r="U54" s="7"/>
      <c r="V54" s="27"/>
    </row>
    <row r="55" spans="1:22">
      <c r="A55" s="10"/>
      <c r="B55" s="11"/>
      <c r="C55" s="12"/>
      <c r="D55" s="12"/>
      <c r="E55" s="12"/>
      <c r="F55" s="22"/>
      <c r="G55" s="22"/>
      <c r="H55" s="11"/>
      <c r="I55" s="25"/>
      <c r="J55" s="25"/>
      <c r="K55" s="25"/>
      <c r="L55" s="25"/>
      <c r="M55" s="11"/>
      <c r="N55" s="11"/>
      <c r="O55" s="11"/>
      <c r="P55" s="11"/>
      <c r="Q55" s="18" t="str">
        <f t="shared" si="3"/>
        <v/>
      </c>
      <c r="R55" s="19" t="str">
        <f t="shared" ca="1" si="2"/>
        <v/>
      </c>
      <c r="S55" s="22"/>
      <c r="T55" s="22"/>
      <c r="U55" s="7"/>
      <c r="V55" s="27"/>
    </row>
    <row r="56" spans="1:22">
      <c r="A56" s="10"/>
      <c r="B56" s="11"/>
      <c r="C56" s="12"/>
      <c r="D56" s="12"/>
      <c r="E56" s="12"/>
      <c r="F56" s="22"/>
      <c r="G56" s="22"/>
      <c r="H56" s="11"/>
      <c r="I56" s="25"/>
      <c r="J56" s="25"/>
      <c r="K56" s="25"/>
      <c r="L56" s="25"/>
      <c r="M56" s="11"/>
      <c r="N56" s="11"/>
      <c r="O56" s="11"/>
      <c r="P56" s="11"/>
      <c r="Q56" s="18" t="str">
        <f t="shared" si="3"/>
        <v/>
      </c>
      <c r="R56" s="19" t="str">
        <f t="shared" ca="1" si="2"/>
        <v/>
      </c>
      <c r="S56" s="22"/>
      <c r="T56" s="22"/>
      <c r="U56" s="7"/>
      <c r="V56" s="27"/>
    </row>
    <row r="57" spans="1:22">
      <c r="A57" s="10"/>
      <c r="B57" s="11"/>
      <c r="C57" s="12"/>
      <c r="D57" s="12"/>
      <c r="E57" s="12"/>
      <c r="F57" s="22"/>
      <c r="G57" s="22"/>
      <c r="H57" s="11"/>
      <c r="I57" s="25"/>
      <c r="J57" s="25"/>
      <c r="K57" s="25"/>
      <c r="L57" s="25"/>
      <c r="M57" s="11"/>
      <c r="N57" s="11"/>
      <c r="O57" s="11"/>
      <c r="P57" s="11"/>
      <c r="Q57" s="18" t="str">
        <f t="shared" si="3"/>
        <v/>
      </c>
      <c r="R57" s="19" t="str">
        <f t="shared" ca="1" si="2"/>
        <v/>
      </c>
      <c r="S57" s="22"/>
      <c r="T57" s="22"/>
      <c r="U57" s="7"/>
      <c r="V57" s="27"/>
    </row>
    <row r="58" spans="1:22">
      <c r="A58" s="10"/>
      <c r="B58" s="11"/>
      <c r="C58" s="12"/>
      <c r="D58" s="12"/>
      <c r="E58" s="12"/>
      <c r="F58" s="22"/>
      <c r="G58" s="22"/>
      <c r="H58" s="11"/>
      <c r="I58" s="25"/>
      <c r="J58" s="25"/>
      <c r="K58" s="25"/>
      <c r="L58" s="25"/>
      <c r="M58" s="11"/>
      <c r="N58" s="11"/>
      <c r="O58" s="11"/>
      <c r="P58" s="11"/>
      <c r="Q58" s="18" t="str">
        <f t="shared" si="3"/>
        <v/>
      </c>
      <c r="R58" s="19" t="str">
        <f t="shared" ca="1" si="2"/>
        <v/>
      </c>
      <c r="S58" s="22"/>
      <c r="T58" s="22"/>
      <c r="U58" s="7"/>
      <c r="V58" s="27"/>
    </row>
    <row r="59" spans="1:22">
      <c r="A59" s="10"/>
      <c r="B59" s="11"/>
      <c r="C59" s="12"/>
      <c r="D59" s="12"/>
      <c r="E59" s="12"/>
      <c r="F59" s="22"/>
      <c r="G59" s="22"/>
      <c r="H59" s="11"/>
      <c r="I59" s="25"/>
      <c r="J59" s="25"/>
      <c r="K59" s="25"/>
      <c r="L59" s="25"/>
      <c r="M59" s="11"/>
      <c r="N59" s="11"/>
      <c r="O59" s="11"/>
      <c r="P59" s="11"/>
      <c r="Q59" s="18" t="str">
        <f t="shared" si="3"/>
        <v/>
      </c>
      <c r="R59" s="19" t="str">
        <f t="shared" ca="1" si="2"/>
        <v/>
      </c>
      <c r="S59" s="22"/>
      <c r="T59" s="22"/>
      <c r="U59" s="7"/>
      <c r="V59" s="27"/>
    </row>
    <row r="60" spans="1:22">
      <c r="A60" s="10"/>
      <c r="B60" s="11"/>
      <c r="C60" s="12"/>
      <c r="D60" s="12"/>
      <c r="E60" s="12"/>
      <c r="F60" s="22"/>
      <c r="G60" s="22"/>
      <c r="H60" s="11"/>
      <c r="I60" s="25"/>
      <c r="J60" s="25"/>
      <c r="K60" s="25"/>
      <c r="L60" s="25"/>
      <c r="M60" s="11"/>
      <c r="N60" s="11"/>
      <c r="O60" s="11"/>
      <c r="P60" s="11"/>
      <c r="Q60" s="18" t="str">
        <f t="shared" si="3"/>
        <v/>
      </c>
      <c r="R60" s="19" t="str">
        <f t="shared" ca="1" si="2"/>
        <v/>
      </c>
      <c r="S60" s="22"/>
      <c r="T60" s="22"/>
      <c r="U60" s="7"/>
      <c r="V60" s="27"/>
    </row>
    <row r="61" spans="1:22">
      <c r="A61" s="10"/>
      <c r="B61" s="11"/>
      <c r="C61" s="12"/>
      <c r="D61" s="12"/>
      <c r="E61" s="12"/>
      <c r="F61" s="22"/>
      <c r="G61" s="22"/>
      <c r="H61" s="11"/>
      <c r="I61" s="25"/>
      <c r="J61" s="25"/>
      <c r="K61" s="25"/>
      <c r="L61" s="25"/>
      <c r="M61" s="11"/>
      <c r="N61" s="11"/>
      <c r="O61" s="11"/>
      <c r="P61" s="11"/>
      <c r="Q61" s="18" t="str">
        <f t="shared" si="3"/>
        <v/>
      </c>
      <c r="R61" s="19" t="str">
        <f t="shared" ca="1" si="2"/>
        <v/>
      </c>
      <c r="S61" s="22"/>
      <c r="T61" s="22"/>
      <c r="U61" s="7"/>
      <c r="V61" s="27"/>
    </row>
    <row r="62" spans="1:22">
      <c r="A62" s="10"/>
      <c r="B62" s="11"/>
      <c r="C62" s="12"/>
      <c r="D62" s="12"/>
      <c r="E62" s="12"/>
      <c r="F62" s="22"/>
      <c r="G62" s="22"/>
      <c r="H62" s="11"/>
      <c r="I62" s="25"/>
      <c r="J62" s="25"/>
      <c r="K62" s="25"/>
      <c r="L62" s="25"/>
      <c r="M62" s="11"/>
      <c r="N62" s="11"/>
      <c r="O62" s="11"/>
      <c r="P62" s="11"/>
      <c r="Q62" s="18" t="str">
        <f t="shared" si="3"/>
        <v/>
      </c>
      <c r="R62" s="19" t="str">
        <f t="shared" ca="1" si="2"/>
        <v/>
      </c>
      <c r="S62" s="22"/>
      <c r="T62" s="22"/>
      <c r="U62" s="7"/>
      <c r="V62" s="27"/>
    </row>
    <row r="63" spans="1:22">
      <c r="A63" s="10"/>
      <c r="B63" s="11"/>
      <c r="C63" s="12"/>
      <c r="D63" s="12"/>
      <c r="E63" s="12"/>
      <c r="F63" s="22"/>
      <c r="G63" s="22"/>
      <c r="H63" s="11"/>
      <c r="I63" s="25"/>
      <c r="J63" s="25"/>
      <c r="K63" s="25"/>
      <c r="L63" s="25"/>
      <c r="M63" s="11"/>
      <c r="N63" s="11"/>
      <c r="O63" s="11"/>
      <c r="P63" s="11"/>
      <c r="Q63" s="18" t="str">
        <f t="shared" si="3"/>
        <v/>
      </c>
      <c r="R63" s="19" t="str">
        <f t="shared" ca="1" si="2"/>
        <v/>
      </c>
      <c r="S63" s="22"/>
      <c r="T63" s="22"/>
      <c r="U63" s="7"/>
      <c r="V63" s="27"/>
    </row>
    <row r="64" spans="1:22">
      <c r="A64" s="10"/>
      <c r="B64" s="11"/>
      <c r="C64" s="12"/>
      <c r="D64" s="12"/>
      <c r="E64" s="12"/>
      <c r="F64" s="22"/>
      <c r="G64" s="22"/>
      <c r="H64" s="11"/>
      <c r="I64" s="25"/>
      <c r="J64" s="25"/>
      <c r="K64" s="25"/>
      <c r="L64" s="25"/>
      <c r="M64" s="11"/>
      <c r="N64" s="11"/>
      <c r="O64" s="11"/>
      <c r="P64" s="11"/>
      <c r="Q64" s="18" t="str">
        <f t="shared" si="3"/>
        <v/>
      </c>
      <c r="R64" s="19" t="str">
        <f t="shared" ca="1" si="2"/>
        <v/>
      </c>
      <c r="S64" s="22"/>
      <c r="T64" s="22"/>
      <c r="U64" s="7"/>
      <c r="V64" s="27"/>
    </row>
    <row r="65" spans="1:22">
      <c r="A65" s="10"/>
      <c r="B65" s="11"/>
      <c r="C65" s="12"/>
      <c r="D65" s="12"/>
      <c r="E65" s="12"/>
      <c r="F65" s="22"/>
      <c r="G65" s="22"/>
      <c r="H65" s="11"/>
      <c r="I65" s="25"/>
      <c r="J65" s="25"/>
      <c r="K65" s="25"/>
      <c r="L65" s="25"/>
      <c r="M65" s="11"/>
      <c r="N65" s="11"/>
      <c r="O65" s="11"/>
      <c r="P65" s="11"/>
      <c r="Q65" s="18" t="str">
        <f t="shared" si="3"/>
        <v/>
      </c>
      <c r="R65" s="19" t="str">
        <f t="shared" ca="1" si="2"/>
        <v/>
      </c>
      <c r="S65" s="22"/>
      <c r="T65" s="22"/>
      <c r="U65" s="7"/>
      <c r="V65" s="27"/>
    </row>
    <row r="66" spans="1:22">
      <c r="A66" s="10"/>
      <c r="B66" s="11"/>
      <c r="C66" s="12"/>
      <c r="D66" s="12"/>
      <c r="E66" s="12"/>
      <c r="F66" s="22"/>
      <c r="G66" s="22"/>
      <c r="H66" s="11"/>
      <c r="I66" s="25"/>
      <c r="J66" s="25"/>
      <c r="K66" s="25"/>
      <c r="L66" s="25"/>
      <c r="M66" s="11"/>
      <c r="N66" s="11"/>
      <c r="O66" s="11"/>
      <c r="P66" s="11"/>
      <c r="Q66" s="18" t="str">
        <f t="shared" si="3"/>
        <v/>
      </c>
      <c r="R66" s="19" t="str">
        <f t="shared" ca="1" si="2"/>
        <v/>
      </c>
      <c r="S66" s="22"/>
      <c r="T66" s="22"/>
      <c r="U66" s="7"/>
      <c r="V66" s="27"/>
    </row>
    <row r="67" spans="1:22">
      <c r="A67" s="10"/>
      <c r="B67" s="11"/>
      <c r="C67" s="12"/>
      <c r="D67" s="12"/>
      <c r="E67" s="12"/>
      <c r="F67" s="22"/>
      <c r="G67" s="22"/>
      <c r="H67" s="11"/>
      <c r="I67" s="25"/>
      <c r="J67" s="25"/>
      <c r="K67" s="25"/>
      <c r="L67" s="25"/>
      <c r="M67" s="11"/>
      <c r="N67" s="11"/>
      <c r="O67" s="11"/>
      <c r="P67" s="11"/>
      <c r="Q67" s="18" t="str">
        <f t="shared" si="3"/>
        <v/>
      </c>
      <c r="R67" s="19" t="str">
        <f t="shared" ca="1" si="2"/>
        <v/>
      </c>
      <c r="S67" s="22"/>
      <c r="T67" s="22"/>
      <c r="U67" s="7"/>
      <c r="V67" s="27"/>
    </row>
    <row r="68" spans="1:22">
      <c r="A68" s="10"/>
      <c r="B68" s="11"/>
      <c r="C68" s="12"/>
      <c r="D68" s="12"/>
      <c r="E68" s="12"/>
      <c r="F68" s="22"/>
      <c r="G68" s="22"/>
      <c r="H68" s="11"/>
      <c r="I68" s="25"/>
      <c r="J68" s="25"/>
      <c r="K68" s="25"/>
      <c r="L68" s="25"/>
      <c r="M68" s="11"/>
      <c r="N68" s="11"/>
      <c r="O68" s="11"/>
      <c r="P68" s="11"/>
      <c r="Q68" s="18" t="str">
        <f t="shared" si="3"/>
        <v/>
      </c>
      <c r="R68" s="19" t="str">
        <f t="shared" ca="1" si="2"/>
        <v/>
      </c>
      <c r="S68" s="22"/>
      <c r="T68" s="22"/>
      <c r="U68" s="7"/>
      <c r="V68" s="27"/>
    </row>
    <row r="69" spans="1:22">
      <c r="A69" s="10"/>
      <c r="B69" s="11"/>
      <c r="C69" s="12"/>
      <c r="D69" s="12"/>
      <c r="E69" s="12"/>
      <c r="F69" s="22"/>
      <c r="G69" s="22"/>
      <c r="H69" s="11"/>
      <c r="I69" s="25"/>
      <c r="J69" s="25"/>
      <c r="K69" s="25"/>
      <c r="L69" s="25"/>
      <c r="M69" s="11"/>
      <c r="N69" s="11"/>
      <c r="O69" s="11"/>
      <c r="P69" s="11"/>
      <c r="Q69" s="18" t="str">
        <f t="shared" si="3"/>
        <v/>
      </c>
      <c r="R69" s="19" t="str">
        <f t="shared" ca="1" si="2"/>
        <v/>
      </c>
      <c r="S69" s="22"/>
      <c r="T69" s="22"/>
      <c r="U69" s="7"/>
      <c r="V69" s="27"/>
    </row>
    <row r="70" spans="1:22">
      <c r="A70" s="10"/>
      <c r="B70" s="11"/>
      <c r="C70" s="12"/>
      <c r="D70" s="12"/>
      <c r="E70" s="12"/>
      <c r="F70" s="22"/>
      <c r="G70" s="22"/>
      <c r="H70" s="11"/>
      <c r="I70" s="25"/>
      <c r="J70" s="25"/>
      <c r="K70" s="25"/>
      <c r="L70" s="25"/>
      <c r="M70" s="11"/>
      <c r="N70" s="11"/>
      <c r="O70" s="11"/>
      <c r="P70" s="11"/>
      <c r="Q70" s="18" t="str">
        <f t="shared" si="3"/>
        <v/>
      </c>
      <c r="R70" s="19" t="str">
        <f t="shared" ca="1" si="2"/>
        <v/>
      </c>
      <c r="S70" s="22"/>
      <c r="T70" s="22"/>
      <c r="U70" s="7"/>
      <c r="V70" s="27"/>
    </row>
    <row r="71" spans="1:22">
      <c r="A71" s="10"/>
      <c r="B71" s="11"/>
      <c r="C71" s="12"/>
      <c r="D71" s="12"/>
      <c r="E71" s="12"/>
      <c r="F71" s="22"/>
      <c r="G71" s="22"/>
      <c r="H71" s="11"/>
      <c r="I71" s="25"/>
      <c r="J71" s="25"/>
      <c r="K71" s="25"/>
      <c r="L71" s="25"/>
      <c r="M71" s="11"/>
      <c r="N71" s="11"/>
      <c r="O71" s="11"/>
      <c r="P71" s="11"/>
      <c r="Q71" s="18" t="str">
        <f t="shared" si="3"/>
        <v/>
      </c>
      <c r="R71" s="19" t="str">
        <f t="shared" ca="1" si="2"/>
        <v/>
      </c>
      <c r="S71" s="22"/>
      <c r="T71" s="22"/>
      <c r="U71" s="7"/>
      <c r="V71" s="27"/>
    </row>
    <row r="72" spans="1:22">
      <c r="A72" s="10"/>
      <c r="B72" s="11"/>
      <c r="C72" s="12"/>
      <c r="D72" s="12"/>
      <c r="E72" s="12"/>
      <c r="F72" s="22"/>
      <c r="G72" s="22"/>
      <c r="H72" s="11"/>
      <c r="I72" s="25"/>
      <c r="J72" s="25"/>
      <c r="K72" s="25"/>
      <c r="L72" s="25"/>
      <c r="M72" s="11"/>
      <c r="N72" s="11"/>
      <c r="O72" s="11"/>
      <c r="P72" s="11"/>
      <c r="Q72" s="18" t="str">
        <f t="shared" si="3"/>
        <v/>
      </c>
      <c r="R72" s="19" t="str">
        <f t="shared" ca="1" si="2"/>
        <v/>
      </c>
      <c r="S72" s="22"/>
      <c r="T72" s="22"/>
      <c r="U72" s="7"/>
      <c r="V72" s="27"/>
    </row>
    <row r="73" spans="1:22">
      <c r="A73" s="10"/>
      <c r="B73" s="11"/>
      <c r="C73" s="12"/>
      <c r="D73" s="12"/>
      <c r="E73" s="12"/>
      <c r="F73" s="22"/>
      <c r="G73" s="22"/>
      <c r="H73" s="11"/>
      <c r="I73" s="25"/>
      <c r="J73" s="25"/>
      <c r="K73" s="25"/>
      <c r="L73" s="25"/>
      <c r="M73" s="11"/>
      <c r="N73" s="11"/>
      <c r="O73" s="11"/>
      <c r="P73" s="11"/>
      <c r="Q73" s="18" t="str">
        <f t="shared" si="3"/>
        <v/>
      </c>
      <c r="R73" s="19" t="str">
        <f t="shared" ca="1" si="2"/>
        <v/>
      </c>
      <c r="S73" s="22"/>
      <c r="T73" s="22"/>
      <c r="U73" s="7"/>
      <c r="V73" s="27"/>
    </row>
    <row r="74" spans="1:22">
      <c r="A74" s="10"/>
      <c r="B74" s="11"/>
      <c r="C74" s="12"/>
      <c r="D74" s="12"/>
      <c r="E74" s="12"/>
      <c r="F74" s="22"/>
      <c r="G74" s="22"/>
      <c r="H74" s="11"/>
      <c r="I74" s="25"/>
      <c r="J74" s="25"/>
      <c r="K74" s="25"/>
      <c r="L74" s="25"/>
      <c r="M74" s="11"/>
      <c r="N74" s="11"/>
      <c r="O74" s="11"/>
      <c r="P74" s="11"/>
      <c r="Q74" s="18" t="str">
        <f t="shared" si="3"/>
        <v/>
      </c>
      <c r="R74" s="19" t="str">
        <f t="shared" ca="1" si="2"/>
        <v/>
      </c>
      <c r="S74" s="22"/>
      <c r="T74" s="22"/>
      <c r="U74" s="7"/>
      <c r="V74" s="27"/>
    </row>
    <row r="75" spans="1:22">
      <c r="A75" s="10"/>
      <c r="B75" s="11"/>
      <c r="C75" s="12"/>
      <c r="D75" s="12"/>
      <c r="E75" s="12"/>
      <c r="F75" s="22"/>
      <c r="G75" s="22"/>
      <c r="H75" s="11"/>
      <c r="I75" s="25"/>
      <c r="J75" s="25"/>
      <c r="K75" s="25"/>
      <c r="L75" s="25"/>
      <c r="M75" s="11"/>
      <c r="N75" s="11"/>
      <c r="O75" s="11"/>
      <c r="P75" s="11"/>
      <c r="Q75" s="18" t="str">
        <f t="shared" ref="Q75:Q106" si="4">IF(E75="","",E75+1)</f>
        <v/>
      </c>
      <c r="R75" s="19" t="str">
        <f t="shared" ref="R75:R106" ca="1" si="5">IF(E75="","",TODAY()-E75)</f>
        <v/>
      </c>
      <c r="S75" s="22"/>
      <c r="T75" s="22"/>
      <c r="U75" s="7"/>
      <c r="V75" s="27"/>
    </row>
    <row r="76" spans="1:22">
      <c r="A76" s="10"/>
      <c r="B76" s="11"/>
      <c r="C76" s="12"/>
      <c r="D76" s="12"/>
      <c r="E76" s="12"/>
      <c r="F76" s="22"/>
      <c r="G76" s="22"/>
      <c r="H76" s="11"/>
      <c r="I76" s="25"/>
      <c r="J76" s="25"/>
      <c r="K76" s="25"/>
      <c r="L76" s="25"/>
      <c r="M76" s="11"/>
      <c r="N76" s="11"/>
      <c r="O76" s="11"/>
      <c r="P76" s="11"/>
      <c r="Q76" s="18" t="str">
        <f t="shared" si="4"/>
        <v/>
      </c>
      <c r="R76" s="19" t="str">
        <f t="shared" ca="1" si="5"/>
        <v/>
      </c>
      <c r="S76" s="22"/>
      <c r="T76" s="22"/>
      <c r="U76" s="7"/>
      <c r="V76" s="27"/>
    </row>
    <row r="77" spans="1:22">
      <c r="A77" s="10"/>
      <c r="B77" s="11"/>
      <c r="C77" s="12"/>
      <c r="D77" s="12"/>
      <c r="E77" s="12"/>
      <c r="F77" s="22"/>
      <c r="G77" s="22"/>
      <c r="H77" s="11"/>
      <c r="I77" s="25"/>
      <c r="J77" s="25"/>
      <c r="K77" s="25"/>
      <c r="L77" s="25"/>
      <c r="M77" s="11"/>
      <c r="N77" s="11"/>
      <c r="O77" s="11"/>
      <c r="P77" s="11"/>
      <c r="Q77" s="18" t="str">
        <f t="shared" si="4"/>
        <v/>
      </c>
      <c r="R77" s="19" t="str">
        <f t="shared" ca="1" si="5"/>
        <v/>
      </c>
      <c r="S77" s="22"/>
      <c r="T77" s="22"/>
      <c r="U77" s="7"/>
      <c r="V77" s="27"/>
    </row>
    <row r="78" spans="1:22">
      <c r="A78" s="10"/>
      <c r="B78" s="11"/>
      <c r="C78" s="12"/>
      <c r="D78" s="12"/>
      <c r="E78" s="12"/>
      <c r="F78" s="22"/>
      <c r="G78" s="22"/>
      <c r="H78" s="11"/>
      <c r="I78" s="25"/>
      <c r="J78" s="25"/>
      <c r="K78" s="25"/>
      <c r="L78" s="25"/>
      <c r="M78" s="11"/>
      <c r="N78" s="11"/>
      <c r="O78" s="11"/>
      <c r="P78" s="11"/>
      <c r="Q78" s="18" t="str">
        <f t="shared" si="4"/>
        <v/>
      </c>
      <c r="R78" s="19" t="str">
        <f t="shared" ca="1" si="5"/>
        <v/>
      </c>
      <c r="S78" s="22"/>
      <c r="T78" s="22"/>
      <c r="U78" s="7"/>
      <c r="V78" s="27"/>
    </row>
    <row r="79" spans="1:22">
      <c r="A79" s="10"/>
      <c r="B79" s="11"/>
      <c r="C79" s="12"/>
      <c r="D79" s="12"/>
      <c r="E79" s="12"/>
      <c r="F79" s="22"/>
      <c r="G79" s="22"/>
      <c r="H79" s="11"/>
      <c r="I79" s="25"/>
      <c r="J79" s="25"/>
      <c r="K79" s="25"/>
      <c r="L79" s="25"/>
      <c r="M79" s="11"/>
      <c r="N79" s="11"/>
      <c r="O79" s="11"/>
      <c r="P79" s="11"/>
      <c r="Q79" s="18" t="str">
        <f t="shared" si="4"/>
        <v/>
      </c>
      <c r="R79" s="19" t="str">
        <f t="shared" ca="1" si="5"/>
        <v/>
      </c>
      <c r="S79" s="22"/>
      <c r="T79" s="22"/>
      <c r="U79" s="7"/>
      <c r="V79" s="27"/>
    </row>
    <row r="80" spans="1:22">
      <c r="A80" s="10"/>
      <c r="B80" s="11"/>
      <c r="C80" s="12"/>
      <c r="D80" s="12"/>
      <c r="E80" s="12"/>
      <c r="F80" s="22"/>
      <c r="G80" s="22"/>
      <c r="H80" s="11"/>
      <c r="I80" s="25"/>
      <c r="J80" s="25"/>
      <c r="K80" s="25"/>
      <c r="L80" s="25"/>
      <c r="M80" s="11"/>
      <c r="N80" s="11"/>
      <c r="O80" s="11"/>
      <c r="P80" s="11"/>
      <c r="Q80" s="18" t="str">
        <f t="shared" si="4"/>
        <v/>
      </c>
      <c r="R80" s="19" t="str">
        <f t="shared" ca="1" si="5"/>
        <v/>
      </c>
      <c r="S80" s="22"/>
      <c r="T80" s="22"/>
      <c r="U80" s="7"/>
      <c r="V80" s="27"/>
    </row>
    <row r="81" spans="1:22">
      <c r="A81" s="10"/>
      <c r="B81" s="11"/>
      <c r="C81" s="12"/>
      <c r="D81" s="12"/>
      <c r="E81" s="12"/>
      <c r="F81" s="22"/>
      <c r="G81" s="22"/>
      <c r="H81" s="11"/>
      <c r="I81" s="25"/>
      <c r="J81" s="25"/>
      <c r="K81" s="25"/>
      <c r="L81" s="25"/>
      <c r="M81" s="11"/>
      <c r="N81" s="11"/>
      <c r="O81" s="11"/>
      <c r="P81" s="11"/>
      <c r="Q81" s="18" t="str">
        <f t="shared" si="4"/>
        <v/>
      </c>
      <c r="R81" s="19" t="str">
        <f t="shared" ca="1" si="5"/>
        <v/>
      </c>
      <c r="S81" s="22"/>
      <c r="T81" s="22"/>
      <c r="U81" s="7"/>
      <c r="V81" s="27"/>
    </row>
    <row r="82" spans="1:22">
      <c r="A82" s="10"/>
      <c r="B82" s="11"/>
      <c r="C82" s="12"/>
      <c r="D82" s="12"/>
      <c r="E82" s="12"/>
      <c r="F82" s="22"/>
      <c r="G82" s="22"/>
      <c r="H82" s="11"/>
      <c r="I82" s="25"/>
      <c r="J82" s="25"/>
      <c r="K82" s="25"/>
      <c r="L82" s="25"/>
      <c r="M82" s="11"/>
      <c r="N82" s="11"/>
      <c r="O82" s="11"/>
      <c r="P82" s="11"/>
      <c r="Q82" s="18" t="str">
        <f t="shared" si="4"/>
        <v/>
      </c>
      <c r="R82" s="19" t="str">
        <f t="shared" ca="1" si="5"/>
        <v/>
      </c>
      <c r="S82" s="22"/>
      <c r="T82" s="22"/>
      <c r="U82" s="7"/>
      <c r="V82" s="27"/>
    </row>
    <row r="83" spans="1:22">
      <c r="A83" s="10"/>
      <c r="B83" s="11"/>
      <c r="C83" s="12"/>
      <c r="D83" s="12"/>
      <c r="E83" s="12"/>
      <c r="F83" s="22"/>
      <c r="G83" s="22"/>
      <c r="H83" s="11"/>
      <c r="I83" s="25"/>
      <c r="J83" s="25"/>
      <c r="K83" s="25"/>
      <c r="L83" s="25"/>
      <c r="M83" s="11"/>
      <c r="N83" s="11"/>
      <c r="O83" s="11"/>
      <c r="P83" s="11"/>
      <c r="Q83" s="18" t="str">
        <f t="shared" si="4"/>
        <v/>
      </c>
      <c r="R83" s="19" t="str">
        <f t="shared" ca="1" si="5"/>
        <v/>
      </c>
      <c r="S83" s="22"/>
      <c r="T83" s="22"/>
      <c r="U83" s="7"/>
      <c r="V83" s="27"/>
    </row>
    <row r="84" spans="1:22">
      <c r="A84" s="10"/>
      <c r="B84" s="11"/>
      <c r="C84" s="12"/>
      <c r="D84" s="12"/>
      <c r="E84" s="12"/>
      <c r="F84" s="22"/>
      <c r="G84" s="22"/>
      <c r="H84" s="11"/>
      <c r="I84" s="25"/>
      <c r="J84" s="25"/>
      <c r="K84" s="25"/>
      <c r="L84" s="25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22"/>
      <c r="T84" s="22"/>
      <c r="U84" s="7"/>
      <c r="V84" s="27"/>
    </row>
    <row r="85" spans="1:22">
      <c r="A85" s="10"/>
      <c r="B85" s="11"/>
      <c r="C85" s="12"/>
      <c r="D85" s="12"/>
      <c r="E85" s="12"/>
      <c r="F85" s="22"/>
      <c r="G85" s="22"/>
      <c r="H85" s="11"/>
      <c r="I85" s="25"/>
      <c r="J85" s="25"/>
      <c r="K85" s="25"/>
      <c r="L85" s="25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22"/>
      <c r="T85" s="22"/>
      <c r="U85" s="7"/>
      <c r="V85" s="27"/>
    </row>
    <row r="86" spans="1:22">
      <c r="A86" s="10"/>
      <c r="B86" s="11"/>
      <c r="C86" s="12"/>
      <c r="D86" s="12"/>
      <c r="E86" s="12"/>
      <c r="F86" s="22"/>
      <c r="G86" s="22"/>
      <c r="H86" s="11"/>
      <c r="I86" s="25"/>
      <c r="J86" s="25"/>
      <c r="K86" s="25"/>
      <c r="L86" s="25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22"/>
      <c r="T86" s="22"/>
      <c r="U86" s="7"/>
      <c r="V86" s="27"/>
    </row>
    <row r="87" spans="1:22">
      <c r="A87" s="10"/>
      <c r="B87" s="11"/>
      <c r="C87" s="12"/>
      <c r="D87" s="12"/>
      <c r="E87" s="12"/>
      <c r="F87" s="22"/>
      <c r="G87" s="22"/>
      <c r="H87" s="11"/>
      <c r="I87" s="25"/>
      <c r="J87" s="25"/>
      <c r="K87" s="25"/>
      <c r="L87" s="25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22"/>
      <c r="T87" s="22"/>
      <c r="U87" s="7"/>
      <c r="V87" s="27"/>
    </row>
    <row r="88" spans="1:22">
      <c r="A88" s="10"/>
      <c r="B88" s="11"/>
      <c r="C88" s="12"/>
      <c r="D88" s="12"/>
      <c r="E88" s="12"/>
      <c r="F88" s="22"/>
      <c r="G88" s="22"/>
      <c r="H88" s="11"/>
      <c r="I88" s="25"/>
      <c r="J88" s="25"/>
      <c r="K88" s="25"/>
      <c r="L88" s="25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22"/>
      <c r="T88" s="22"/>
      <c r="U88" s="7"/>
      <c r="V88" s="27"/>
    </row>
    <row r="89" spans="1:22">
      <c r="A89" s="10"/>
      <c r="B89" s="11"/>
      <c r="C89" s="12"/>
      <c r="D89" s="12"/>
      <c r="E89" s="12"/>
      <c r="F89" s="22"/>
      <c r="G89" s="22"/>
      <c r="H89" s="11"/>
      <c r="I89" s="25"/>
      <c r="J89" s="25"/>
      <c r="K89" s="25"/>
      <c r="L89" s="25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22"/>
      <c r="T89" s="22"/>
      <c r="U89" s="7"/>
      <c r="V89" s="27"/>
    </row>
    <row r="90" spans="1:22">
      <c r="A90" s="10"/>
      <c r="B90" s="11"/>
      <c r="C90" s="12"/>
      <c r="D90" s="12"/>
      <c r="E90" s="12"/>
      <c r="F90" s="22"/>
      <c r="G90" s="22"/>
      <c r="H90" s="11"/>
      <c r="I90" s="25"/>
      <c r="J90" s="25"/>
      <c r="K90" s="25"/>
      <c r="L90" s="25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22"/>
      <c r="T90" s="22"/>
      <c r="U90" s="7"/>
      <c r="V90" s="27"/>
    </row>
    <row r="91" spans="1:22">
      <c r="A91" s="10"/>
      <c r="B91" s="11"/>
      <c r="C91" s="12"/>
      <c r="D91" s="12"/>
      <c r="E91" s="12"/>
      <c r="F91" s="22"/>
      <c r="G91" s="22"/>
      <c r="H91" s="11"/>
      <c r="I91" s="25"/>
      <c r="J91" s="25"/>
      <c r="K91" s="25"/>
      <c r="L91" s="25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22"/>
      <c r="T91" s="22"/>
      <c r="U91" s="7"/>
      <c r="V91" s="27"/>
    </row>
    <row r="92" spans="1:22">
      <c r="A92" s="10"/>
      <c r="B92" s="11"/>
      <c r="C92" s="12"/>
      <c r="D92" s="12"/>
      <c r="E92" s="12"/>
      <c r="F92" s="22"/>
      <c r="G92" s="22"/>
      <c r="H92" s="11"/>
      <c r="I92" s="25"/>
      <c r="J92" s="25"/>
      <c r="K92" s="25"/>
      <c r="L92" s="25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22"/>
      <c r="T92" s="22"/>
      <c r="U92" s="7"/>
      <c r="V92" s="27"/>
    </row>
    <row r="93" spans="1:22">
      <c r="A93" s="10"/>
      <c r="B93" s="11"/>
      <c r="C93" s="12"/>
      <c r="D93" s="12"/>
      <c r="E93" s="12"/>
      <c r="F93" s="22"/>
      <c r="G93" s="22"/>
      <c r="H93" s="11"/>
      <c r="I93" s="25"/>
      <c r="J93" s="25"/>
      <c r="K93" s="25"/>
      <c r="L93" s="25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22"/>
      <c r="T93" s="22"/>
      <c r="U93" s="7"/>
      <c r="V93" s="27"/>
    </row>
    <row r="94" spans="1:22">
      <c r="A94" s="10"/>
      <c r="B94" s="11"/>
      <c r="C94" s="12"/>
      <c r="D94" s="12"/>
      <c r="E94" s="12"/>
      <c r="F94" s="22"/>
      <c r="G94" s="22"/>
      <c r="H94" s="11"/>
      <c r="I94" s="25"/>
      <c r="J94" s="25"/>
      <c r="K94" s="25"/>
      <c r="L94" s="25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22"/>
      <c r="T94" s="22"/>
      <c r="U94" s="7"/>
      <c r="V94" s="27"/>
    </row>
    <row r="95" spans="1:22">
      <c r="A95" s="10"/>
      <c r="B95" s="11"/>
      <c r="C95" s="12"/>
      <c r="D95" s="12"/>
      <c r="E95" s="12"/>
      <c r="F95" s="22"/>
      <c r="G95" s="22"/>
      <c r="H95" s="11"/>
      <c r="I95" s="25"/>
      <c r="J95" s="25"/>
      <c r="K95" s="25"/>
      <c r="L95" s="25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22"/>
      <c r="T95" s="22"/>
      <c r="U95" s="7"/>
      <c r="V95" s="27"/>
    </row>
    <row r="96" spans="1:22">
      <c r="A96" s="10"/>
      <c r="B96" s="11"/>
      <c r="C96" s="12"/>
      <c r="D96" s="12"/>
      <c r="E96" s="12"/>
      <c r="F96" s="22"/>
      <c r="G96" s="22"/>
      <c r="H96" s="11"/>
      <c r="I96" s="25"/>
      <c r="J96" s="25"/>
      <c r="K96" s="25"/>
      <c r="L96" s="25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22"/>
      <c r="T96" s="22"/>
      <c r="U96" s="7"/>
      <c r="V96" s="27"/>
    </row>
    <row r="97" spans="1:22">
      <c r="A97" s="10"/>
      <c r="B97" s="11"/>
      <c r="C97" s="12"/>
      <c r="D97" s="12"/>
      <c r="E97" s="12"/>
      <c r="F97" s="22"/>
      <c r="G97" s="22"/>
      <c r="H97" s="11"/>
      <c r="I97" s="25"/>
      <c r="J97" s="25"/>
      <c r="K97" s="25"/>
      <c r="L97" s="25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22"/>
      <c r="T97" s="22"/>
      <c r="U97" s="7"/>
      <c r="V97" s="27"/>
    </row>
    <row r="98" spans="1:22">
      <c r="A98" s="10"/>
      <c r="B98" s="11"/>
      <c r="C98" s="12"/>
      <c r="D98" s="12"/>
      <c r="E98" s="12"/>
      <c r="F98" s="22"/>
      <c r="G98" s="22"/>
      <c r="H98" s="11"/>
      <c r="I98" s="25"/>
      <c r="J98" s="25"/>
      <c r="K98" s="25"/>
      <c r="L98" s="25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22"/>
      <c r="T98" s="22"/>
      <c r="U98" s="7"/>
      <c r="V98" s="27"/>
    </row>
    <row r="99" spans="1:22">
      <c r="A99" s="10"/>
      <c r="B99" s="11"/>
      <c r="C99" s="12"/>
      <c r="D99" s="12"/>
      <c r="E99" s="12"/>
      <c r="F99" s="22"/>
      <c r="G99" s="22"/>
      <c r="H99" s="11"/>
      <c r="I99" s="25"/>
      <c r="J99" s="25"/>
      <c r="K99" s="25"/>
      <c r="L99" s="25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22"/>
      <c r="T99" s="22"/>
      <c r="U99" s="7"/>
      <c r="V99" s="27"/>
    </row>
    <row r="100" spans="1:22">
      <c r="A100" s="10"/>
      <c r="B100" s="11"/>
      <c r="C100" s="12"/>
      <c r="D100" s="12"/>
      <c r="E100" s="12"/>
      <c r="F100" s="22"/>
      <c r="G100" s="22"/>
      <c r="H100" s="11"/>
      <c r="I100" s="25"/>
      <c r="J100" s="25"/>
      <c r="K100" s="25"/>
      <c r="L100" s="25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22"/>
      <c r="T100" s="22"/>
      <c r="U100" s="7"/>
      <c r="V100" s="27"/>
    </row>
    <row r="101" spans="1:22">
      <c r="A101" s="10"/>
      <c r="B101" s="11"/>
      <c r="C101" s="12"/>
      <c r="D101" s="12"/>
      <c r="E101" s="12"/>
      <c r="F101" s="22"/>
      <c r="G101" s="22"/>
      <c r="H101" s="11"/>
      <c r="I101" s="25"/>
      <c r="J101" s="25"/>
      <c r="K101" s="25"/>
      <c r="L101" s="25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22"/>
      <c r="T101" s="22"/>
      <c r="U101" s="7"/>
      <c r="V101" s="27"/>
    </row>
    <row r="102" spans="1:22">
      <c r="A102" s="10"/>
      <c r="B102" s="11"/>
      <c r="C102" s="12"/>
      <c r="D102" s="12"/>
      <c r="E102" s="12"/>
      <c r="F102" s="22"/>
      <c r="G102" s="22"/>
      <c r="H102" s="11"/>
      <c r="I102" s="25"/>
      <c r="J102" s="25"/>
      <c r="K102" s="25"/>
      <c r="L102" s="25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22"/>
      <c r="T102" s="22"/>
      <c r="U102" s="7"/>
      <c r="V102" s="27"/>
    </row>
    <row r="103" spans="1:22">
      <c r="A103" s="10"/>
      <c r="B103" s="11"/>
      <c r="C103" s="12"/>
      <c r="D103" s="12"/>
      <c r="E103" s="12"/>
      <c r="F103" s="22"/>
      <c r="G103" s="22"/>
      <c r="H103" s="11"/>
      <c r="I103" s="25"/>
      <c r="J103" s="25"/>
      <c r="K103" s="25"/>
      <c r="L103" s="25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22"/>
      <c r="T103" s="22"/>
      <c r="U103" s="7"/>
      <c r="V103" s="27"/>
    </row>
    <row r="104" spans="1:22">
      <c r="A104" s="10"/>
      <c r="B104" s="11"/>
      <c r="C104" s="12"/>
      <c r="D104" s="12"/>
      <c r="E104" s="12"/>
      <c r="F104" s="22"/>
      <c r="G104" s="22"/>
      <c r="H104" s="11"/>
      <c r="I104" s="25"/>
      <c r="J104" s="25"/>
      <c r="K104" s="25"/>
      <c r="L104" s="25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22"/>
      <c r="T104" s="22"/>
      <c r="U104" s="7"/>
      <c r="V104" s="27"/>
    </row>
    <row r="105" spans="1:22">
      <c r="A105" s="10"/>
      <c r="B105" s="11"/>
      <c r="C105" s="12"/>
      <c r="D105" s="12"/>
      <c r="E105" s="12"/>
      <c r="F105" s="22"/>
      <c r="G105" s="22"/>
      <c r="H105" s="11"/>
      <c r="I105" s="25"/>
      <c r="J105" s="25"/>
      <c r="K105" s="25"/>
      <c r="L105" s="25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22"/>
      <c r="T105" s="22"/>
      <c r="U105" s="7"/>
      <c r="V105" s="27"/>
    </row>
    <row r="106" spans="1:22">
      <c r="A106" s="10"/>
      <c r="B106" s="11"/>
      <c r="C106" s="12"/>
      <c r="D106" s="12"/>
      <c r="E106" s="12"/>
      <c r="F106" s="22"/>
      <c r="G106" s="22"/>
      <c r="H106" s="11"/>
      <c r="I106" s="25"/>
      <c r="J106" s="25"/>
      <c r="K106" s="25"/>
      <c r="L106" s="25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22"/>
      <c r="T106" s="22"/>
      <c r="U106" s="7"/>
      <c r="V106" s="27"/>
    </row>
    <row r="107" spans="1:22">
      <c r="A107" s="10"/>
      <c r="B107" s="11"/>
      <c r="C107" s="12"/>
      <c r="D107" s="12"/>
      <c r="E107" s="12"/>
      <c r="F107" s="22"/>
      <c r="G107" s="22"/>
      <c r="H107" s="11"/>
      <c r="I107" s="25"/>
      <c r="J107" s="25"/>
      <c r="K107" s="25"/>
      <c r="L107" s="25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22"/>
      <c r="T107" s="22"/>
      <c r="U107" s="7"/>
      <c r="V107" s="27"/>
    </row>
    <row r="108" spans="1:22">
      <c r="A108" s="10"/>
      <c r="B108" s="11"/>
      <c r="C108" s="12"/>
      <c r="D108" s="12"/>
      <c r="E108" s="12"/>
      <c r="F108" s="22"/>
      <c r="G108" s="22"/>
      <c r="H108" s="11"/>
      <c r="I108" s="25"/>
      <c r="J108" s="25"/>
      <c r="K108" s="25"/>
      <c r="L108" s="25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22"/>
      <c r="T108" s="22"/>
      <c r="U108" s="7"/>
      <c r="V108" s="27"/>
    </row>
    <row r="109" spans="1:22">
      <c r="A109" s="10"/>
      <c r="B109" s="11"/>
      <c r="C109" s="12"/>
      <c r="D109" s="12"/>
      <c r="E109" s="12"/>
      <c r="F109" s="22"/>
      <c r="G109" s="22"/>
      <c r="H109" s="11"/>
      <c r="I109" s="25"/>
      <c r="J109" s="25"/>
      <c r="K109" s="25"/>
      <c r="L109" s="25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22"/>
      <c r="T109" s="22"/>
      <c r="U109" s="7"/>
      <c r="V109" s="27"/>
    </row>
    <row r="110" spans="1:22">
      <c r="A110" s="10"/>
      <c r="B110" s="11"/>
      <c r="C110" s="12"/>
      <c r="D110" s="12"/>
      <c r="E110" s="12"/>
      <c r="F110" s="22"/>
      <c r="G110" s="22"/>
      <c r="H110" s="11"/>
      <c r="I110" s="25"/>
      <c r="J110" s="25"/>
      <c r="K110" s="25"/>
      <c r="L110" s="25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22"/>
      <c r="T110" s="22"/>
      <c r="U110" s="7"/>
      <c r="V110" s="27"/>
    </row>
    <row r="111" spans="1:22">
      <c r="A111" s="10"/>
      <c r="B111" s="11"/>
      <c r="C111" s="12"/>
      <c r="D111" s="12"/>
      <c r="E111" s="12"/>
      <c r="F111" s="22"/>
      <c r="G111" s="22"/>
      <c r="H111" s="11"/>
      <c r="I111" s="25"/>
      <c r="J111" s="25"/>
      <c r="K111" s="25"/>
      <c r="L111" s="25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22"/>
      <c r="T111" s="22"/>
      <c r="U111" s="7"/>
      <c r="V111" s="27"/>
    </row>
    <row r="112" spans="1:22">
      <c r="A112" s="10"/>
      <c r="B112" s="11"/>
      <c r="C112" s="12"/>
      <c r="D112" s="12"/>
      <c r="E112" s="12"/>
      <c r="F112" s="22"/>
      <c r="G112" s="22"/>
      <c r="H112" s="11"/>
      <c r="I112" s="25"/>
      <c r="J112" s="25"/>
      <c r="K112" s="25"/>
      <c r="L112" s="25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22"/>
      <c r="T112" s="22"/>
      <c r="U112" s="7"/>
      <c r="V112" s="27"/>
    </row>
    <row r="113" spans="1:22">
      <c r="A113" s="10"/>
      <c r="B113" s="11"/>
      <c r="C113" s="12"/>
      <c r="D113" s="12"/>
      <c r="E113" s="12"/>
      <c r="F113" s="22"/>
      <c r="G113" s="22"/>
      <c r="H113" s="11"/>
      <c r="I113" s="25"/>
      <c r="J113" s="25"/>
      <c r="K113" s="25"/>
      <c r="L113" s="25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22"/>
      <c r="T113" s="22"/>
      <c r="U113" s="7"/>
      <c r="V113" s="27"/>
    </row>
    <row r="114" spans="1:22">
      <c r="A114" s="10"/>
      <c r="B114" s="11"/>
      <c r="C114" s="12"/>
      <c r="D114" s="12"/>
      <c r="E114" s="12"/>
      <c r="F114" s="22"/>
      <c r="G114" s="22"/>
      <c r="H114" s="11"/>
      <c r="I114" s="25"/>
      <c r="J114" s="25"/>
      <c r="K114" s="25"/>
      <c r="L114" s="25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22"/>
      <c r="T114" s="22"/>
      <c r="U114" s="7"/>
      <c r="V114" s="27"/>
    </row>
    <row r="115" spans="1:22">
      <c r="A115" s="10"/>
      <c r="B115" s="11"/>
      <c r="C115" s="12"/>
      <c r="D115" s="12"/>
      <c r="E115" s="12"/>
      <c r="F115" s="22"/>
      <c r="G115" s="22"/>
      <c r="H115" s="11"/>
      <c r="I115" s="25"/>
      <c r="J115" s="25"/>
      <c r="K115" s="25"/>
      <c r="L115" s="25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22"/>
      <c r="T115" s="22"/>
      <c r="U115" s="7"/>
      <c r="V115" s="27"/>
    </row>
    <row r="116" spans="1:22">
      <c r="A116" s="10"/>
      <c r="B116" s="11"/>
      <c r="C116" s="12"/>
      <c r="D116" s="12"/>
      <c r="E116" s="12"/>
      <c r="F116" s="22"/>
      <c r="G116" s="22"/>
      <c r="H116" s="11"/>
      <c r="I116" s="25"/>
      <c r="J116" s="25"/>
      <c r="K116" s="25"/>
      <c r="L116" s="25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22"/>
      <c r="T116" s="22"/>
      <c r="U116" s="7"/>
      <c r="V116" s="27"/>
    </row>
    <row r="117" spans="1:22">
      <c r="A117" s="10"/>
      <c r="B117" s="11"/>
      <c r="C117" s="12"/>
      <c r="D117" s="12"/>
      <c r="E117" s="12"/>
      <c r="F117" s="22"/>
      <c r="G117" s="22"/>
      <c r="H117" s="11"/>
      <c r="I117" s="25"/>
      <c r="J117" s="25"/>
      <c r="K117" s="25"/>
      <c r="L117" s="25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22"/>
      <c r="T117" s="22"/>
      <c r="U117" s="7"/>
      <c r="V117" s="27"/>
    </row>
    <row r="118" spans="1:22">
      <c r="A118" s="10"/>
      <c r="B118" s="11"/>
      <c r="C118" s="12"/>
      <c r="D118" s="12"/>
      <c r="E118" s="12"/>
      <c r="F118" s="22"/>
      <c r="G118" s="22"/>
      <c r="H118" s="11"/>
      <c r="I118" s="25"/>
      <c r="J118" s="25"/>
      <c r="K118" s="25"/>
      <c r="L118" s="25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22"/>
      <c r="T118" s="22"/>
      <c r="U118" s="7"/>
      <c r="V118" s="27"/>
    </row>
    <row r="119" spans="1:22">
      <c r="A119" s="10"/>
      <c r="B119" s="11"/>
      <c r="C119" s="12"/>
      <c r="D119" s="12"/>
      <c r="E119" s="12"/>
      <c r="F119" s="22"/>
      <c r="G119" s="22"/>
      <c r="H119" s="11"/>
      <c r="I119" s="25"/>
      <c r="J119" s="25"/>
      <c r="K119" s="25"/>
      <c r="L119" s="25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22"/>
      <c r="T119" s="22"/>
      <c r="U119" s="7"/>
      <c r="V119" s="27"/>
    </row>
    <row r="120" spans="1:22">
      <c r="A120" s="10"/>
      <c r="B120" s="11"/>
      <c r="C120" s="12"/>
      <c r="D120" s="12"/>
      <c r="E120" s="12"/>
      <c r="F120" s="22"/>
      <c r="G120" s="22"/>
      <c r="H120" s="11"/>
      <c r="I120" s="25"/>
      <c r="J120" s="25"/>
      <c r="K120" s="25"/>
      <c r="L120" s="25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22"/>
      <c r="T120" s="22"/>
      <c r="U120" s="7"/>
      <c r="V120" s="27"/>
    </row>
    <row r="121" spans="1:22">
      <c r="A121" s="10"/>
      <c r="B121" s="11"/>
      <c r="C121" s="12"/>
      <c r="D121" s="12"/>
      <c r="E121" s="12"/>
      <c r="F121" s="22"/>
      <c r="G121" s="22"/>
      <c r="H121" s="11"/>
      <c r="I121" s="25"/>
      <c r="J121" s="25"/>
      <c r="K121" s="25"/>
      <c r="L121" s="25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22"/>
      <c r="T121" s="22"/>
      <c r="U121" s="7"/>
      <c r="V121" s="27"/>
    </row>
    <row r="122" spans="1:22">
      <c r="A122" s="10"/>
      <c r="B122" s="11"/>
      <c r="C122" s="12"/>
      <c r="D122" s="12"/>
      <c r="E122" s="12"/>
      <c r="F122" s="22"/>
      <c r="G122" s="22"/>
      <c r="H122" s="11"/>
      <c r="I122" s="25"/>
      <c r="J122" s="25"/>
      <c r="K122" s="25"/>
      <c r="L122" s="25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22"/>
      <c r="T122" s="22"/>
      <c r="U122" s="7"/>
      <c r="V122" s="27"/>
    </row>
    <row r="123" spans="1:22">
      <c r="A123" s="10"/>
      <c r="B123" s="11"/>
      <c r="C123" s="12"/>
      <c r="D123" s="12"/>
      <c r="E123" s="12"/>
      <c r="F123" s="22"/>
      <c r="G123" s="22"/>
      <c r="H123" s="11"/>
      <c r="I123" s="25"/>
      <c r="J123" s="25"/>
      <c r="K123" s="25"/>
      <c r="L123" s="25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22"/>
      <c r="T123" s="22"/>
      <c r="U123" s="7"/>
      <c r="V123" s="27"/>
    </row>
    <row r="124" spans="1:22">
      <c r="A124" s="10"/>
      <c r="B124" s="11"/>
      <c r="C124" s="12"/>
      <c r="D124" s="12"/>
      <c r="E124" s="12"/>
      <c r="F124" s="22"/>
      <c r="G124" s="22"/>
      <c r="H124" s="11"/>
      <c r="I124" s="25"/>
      <c r="J124" s="25"/>
      <c r="K124" s="25"/>
      <c r="L124" s="25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22"/>
      <c r="T124" s="22"/>
      <c r="U124" s="7"/>
      <c r="V124" s="27"/>
    </row>
    <row r="125" spans="1:22">
      <c r="A125" s="10"/>
      <c r="B125" s="11"/>
      <c r="C125" s="12"/>
      <c r="D125" s="12"/>
      <c r="E125" s="12"/>
      <c r="F125" s="22"/>
      <c r="G125" s="22"/>
      <c r="H125" s="11"/>
      <c r="I125" s="25"/>
      <c r="J125" s="25"/>
      <c r="K125" s="25"/>
      <c r="L125" s="25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22"/>
      <c r="T125" s="22"/>
      <c r="U125" s="7"/>
      <c r="V125" s="27"/>
    </row>
    <row r="126" spans="1:22">
      <c r="A126" s="10"/>
      <c r="B126" s="11"/>
      <c r="C126" s="12"/>
      <c r="D126" s="12"/>
      <c r="E126" s="12"/>
      <c r="F126" s="22"/>
      <c r="G126" s="22"/>
      <c r="H126" s="11"/>
      <c r="I126" s="25"/>
      <c r="J126" s="25"/>
      <c r="K126" s="25"/>
      <c r="L126" s="25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22"/>
      <c r="T126" s="22"/>
      <c r="U126" s="7"/>
      <c r="V126" s="27"/>
    </row>
    <row r="127" spans="1:22">
      <c r="A127" s="10"/>
      <c r="B127" s="11"/>
      <c r="C127" s="12"/>
      <c r="D127" s="12"/>
      <c r="E127" s="12"/>
      <c r="F127" s="22"/>
      <c r="G127" s="22"/>
      <c r="H127" s="11"/>
      <c r="I127" s="25"/>
      <c r="J127" s="25"/>
      <c r="K127" s="25"/>
      <c r="L127" s="25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22"/>
      <c r="T127" s="22"/>
      <c r="U127" s="7"/>
      <c r="V127" s="27"/>
    </row>
    <row r="128" spans="1:22">
      <c r="A128" s="10"/>
      <c r="B128" s="11"/>
      <c r="C128" s="12"/>
      <c r="D128" s="12"/>
      <c r="E128" s="12"/>
      <c r="F128" s="22"/>
      <c r="G128" s="22"/>
      <c r="H128" s="11"/>
      <c r="I128" s="25"/>
      <c r="J128" s="25"/>
      <c r="K128" s="25"/>
      <c r="L128" s="25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22"/>
      <c r="T128" s="22"/>
      <c r="U128" s="7"/>
      <c r="V128" s="27"/>
    </row>
    <row r="129" spans="1:22">
      <c r="A129" s="10"/>
      <c r="B129" s="11"/>
      <c r="C129" s="12"/>
      <c r="D129" s="12"/>
      <c r="E129" s="12"/>
      <c r="F129" s="22"/>
      <c r="G129" s="22"/>
      <c r="H129" s="11"/>
      <c r="I129" s="25"/>
      <c r="J129" s="25"/>
      <c r="K129" s="25"/>
      <c r="L129" s="25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22"/>
      <c r="T129" s="22"/>
      <c r="U129" s="7"/>
      <c r="V129" s="27"/>
    </row>
    <row r="130" spans="1:22">
      <c r="A130" s="10"/>
      <c r="B130" s="11"/>
      <c r="C130" s="12"/>
      <c r="D130" s="12"/>
      <c r="E130" s="12"/>
      <c r="F130" s="22"/>
      <c r="G130" s="22"/>
      <c r="H130" s="11"/>
      <c r="I130" s="25"/>
      <c r="J130" s="25"/>
      <c r="K130" s="25"/>
      <c r="L130" s="25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22"/>
      <c r="T130" s="22"/>
      <c r="U130" s="7"/>
      <c r="V130" s="27"/>
    </row>
    <row r="131" spans="1:22">
      <c r="A131" s="10"/>
      <c r="B131" s="11"/>
      <c r="C131" s="12"/>
      <c r="D131" s="12"/>
      <c r="E131" s="12"/>
      <c r="F131" s="22"/>
      <c r="G131" s="22"/>
      <c r="H131" s="11"/>
      <c r="I131" s="25"/>
      <c r="J131" s="25"/>
      <c r="K131" s="25"/>
      <c r="L131" s="25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22"/>
      <c r="T131" s="22"/>
      <c r="U131" s="7"/>
      <c r="V131" s="27"/>
    </row>
    <row r="132" spans="1:22">
      <c r="A132" s="10"/>
      <c r="B132" s="11"/>
      <c r="C132" s="12"/>
      <c r="D132" s="12"/>
      <c r="E132" s="12"/>
      <c r="F132" s="22"/>
      <c r="G132" s="22"/>
      <c r="H132" s="11"/>
      <c r="I132" s="25"/>
      <c r="J132" s="25"/>
      <c r="K132" s="25"/>
      <c r="L132" s="25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22"/>
      <c r="T132" s="22"/>
      <c r="U132" s="7"/>
      <c r="V132" s="27"/>
    </row>
    <row r="133" spans="1:22">
      <c r="A133" s="10"/>
      <c r="B133" s="11"/>
      <c r="C133" s="12"/>
      <c r="D133" s="12"/>
      <c r="E133" s="12"/>
      <c r="F133" s="22"/>
      <c r="G133" s="22"/>
      <c r="H133" s="11"/>
      <c r="I133" s="25"/>
      <c r="J133" s="25"/>
      <c r="K133" s="25"/>
      <c r="L133" s="25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22"/>
      <c r="T133" s="22"/>
      <c r="U133" s="7"/>
      <c r="V133" s="27"/>
    </row>
    <row r="134" spans="1:22">
      <c r="A134" s="10"/>
      <c r="B134" s="11"/>
      <c r="C134" s="12"/>
      <c r="D134" s="12"/>
      <c r="E134" s="12"/>
      <c r="F134" s="22"/>
      <c r="G134" s="22"/>
      <c r="H134" s="11"/>
      <c r="I134" s="25"/>
      <c r="J134" s="25"/>
      <c r="K134" s="25"/>
      <c r="L134" s="25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22"/>
      <c r="T134" s="22"/>
      <c r="U134" s="7"/>
      <c r="V134" s="27"/>
    </row>
    <row r="135" spans="1:22">
      <c r="A135" s="10"/>
      <c r="B135" s="11"/>
      <c r="C135" s="12"/>
      <c r="D135" s="12"/>
      <c r="E135" s="12"/>
      <c r="F135" s="22"/>
      <c r="G135" s="22"/>
      <c r="H135" s="11"/>
      <c r="I135" s="25"/>
      <c r="J135" s="25"/>
      <c r="K135" s="25"/>
      <c r="L135" s="25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22"/>
      <c r="T135" s="22"/>
      <c r="U135" s="7"/>
      <c r="V135" s="27"/>
    </row>
    <row r="136" spans="1:22">
      <c r="A136" s="10"/>
      <c r="B136" s="11"/>
      <c r="C136" s="12"/>
      <c r="D136" s="12"/>
      <c r="E136" s="12"/>
      <c r="F136" s="22"/>
      <c r="G136" s="22"/>
      <c r="H136" s="11"/>
      <c r="I136" s="25"/>
      <c r="J136" s="25"/>
      <c r="K136" s="25"/>
      <c r="L136" s="25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22"/>
      <c r="T136" s="22"/>
      <c r="U136" s="7"/>
      <c r="V136" s="27"/>
    </row>
    <row r="137" spans="1:22">
      <c r="A137" s="10"/>
      <c r="B137" s="11"/>
      <c r="C137" s="12"/>
      <c r="D137" s="12"/>
      <c r="E137" s="12"/>
      <c r="F137" s="22"/>
      <c r="G137" s="22"/>
      <c r="H137" s="11"/>
      <c r="I137" s="25"/>
      <c r="J137" s="25"/>
      <c r="K137" s="25"/>
      <c r="L137" s="25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22"/>
      <c r="T137" s="22"/>
      <c r="U137" s="7"/>
      <c r="V137" s="27"/>
    </row>
    <row r="138" spans="1:22">
      <c r="A138" s="10"/>
      <c r="B138" s="11"/>
      <c r="C138" s="12"/>
      <c r="D138" s="12"/>
      <c r="E138" s="12"/>
      <c r="F138" s="22"/>
      <c r="G138" s="22"/>
      <c r="H138" s="11"/>
      <c r="I138" s="25"/>
      <c r="J138" s="25"/>
      <c r="K138" s="25"/>
      <c r="L138" s="25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22"/>
      <c r="T138" s="22"/>
      <c r="U138" s="7"/>
      <c r="V138" s="27"/>
    </row>
    <row r="139" spans="1:22">
      <c r="A139" s="10"/>
      <c r="B139" s="11"/>
      <c r="C139" s="12"/>
      <c r="D139" s="12"/>
      <c r="E139" s="12"/>
      <c r="F139" s="22"/>
      <c r="G139" s="22"/>
      <c r="H139" s="11"/>
      <c r="I139" s="25"/>
      <c r="J139" s="25"/>
      <c r="K139" s="25"/>
      <c r="L139" s="25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22"/>
      <c r="T139" s="22"/>
      <c r="U139" s="7"/>
      <c r="V139" s="27"/>
    </row>
    <row r="140" spans="1:22">
      <c r="A140" s="10"/>
      <c r="B140" s="11"/>
      <c r="C140" s="12"/>
      <c r="D140" s="12"/>
      <c r="E140" s="12"/>
      <c r="F140" s="22"/>
      <c r="G140" s="22"/>
      <c r="H140" s="11"/>
      <c r="I140" s="25"/>
      <c r="J140" s="25"/>
      <c r="K140" s="25"/>
      <c r="L140" s="25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22"/>
      <c r="T140" s="22"/>
      <c r="U140" s="7"/>
      <c r="V140" s="27"/>
    </row>
    <row r="141" spans="1:22">
      <c r="A141" s="10"/>
      <c r="B141" s="11"/>
      <c r="C141" s="12"/>
      <c r="D141" s="12"/>
      <c r="E141" s="12"/>
      <c r="F141" s="22"/>
      <c r="G141" s="22"/>
      <c r="H141" s="11"/>
      <c r="I141" s="25"/>
      <c r="J141" s="25"/>
      <c r="K141" s="25"/>
      <c r="L141" s="25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22"/>
      <c r="T141" s="22"/>
      <c r="U141" s="7"/>
      <c r="V141" s="27"/>
    </row>
    <row r="142" spans="1:22">
      <c r="A142" s="10"/>
      <c r="B142" s="11"/>
      <c r="C142" s="12"/>
      <c r="D142" s="12"/>
      <c r="E142" s="12"/>
      <c r="F142" s="22"/>
      <c r="G142" s="22"/>
      <c r="H142" s="11"/>
      <c r="I142" s="25"/>
      <c r="J142" s="25"/>
      <c r="K142" s="25"/>
      <c r="L142" s="25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22"/>
      <c r="T142" s="22"/>
      <c r="U142" s="7"/>
      <c r="V142" s="27"/>
    </row>
    <row r="143" spans="1:22">
      <c r="A143" s="10"/>
      <c r="B143" s="11"/>
      <c r="C143" s="12"/>
      <c r="D143" s="12"/>
      <c r="E143" s="12"/>
      <c r="F143" s="22"/>
      <c r="G143" s="22"/>
      <c r="H143" s="11"/>
      <c r="I143" s="25"/>
      <c r="J143" s="25"/>
      <c r="K143" s="25"/>
      <c r="L143" s="25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22"/>
      <c r="T143" s="22"/>
      <c r="U143" s="7"/>
      <c r="V143" s="27"/>
    </row>
    <row r="144" spans="1:22">
      <c r="A144" s="10"/>
      <c r="B144" s="11"/>
      <c r="C144" s="12"/>
      <c r="D144" s="12"/>
      <c r="E144" s="12"/>
      <c r="F144" s="22"/>
      <c r="G144" s="22"/>
      <c r="H144" s="11"/>
      <c r="I144" s="25"/>
      <c r="J144" s="25"/>
      <c r="K144" s="25"/>
      <c r="L144" s="25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22"/>
      <c r="T144" s="22"/>
      <c r="U144" s="7"/>
      <c r="V144" s="27"/>
    </row>
    <row r="145" spans="1:22">
      <c r="A145" s="10"/>
      <c r="B145" s="11"/>
      <c r="C145" s="12"/>
      <c r="D145" s="12"/>
      <c r="E145" s="12"/>
      <c r="F145" s="22"/>
      <c r="G145" s="22"/>
      <c r="H145" s="11"/>
      <c r="I145" s="25"/>
      <c r="J145" s="25"/>
      <c r="K145" s="25"/>
      <c r="L145" s="25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22"/>
      <c r="T145" s="22"/>
      <c r="U145" s="7"/>
      <c r="V145" s="27"/>
    </row>
    <row r="146" spans="1:22">
      <c r="A146" s="10"/>
      <c r="B146" s="11"/>
      <c r="C146" s="12"/>
      <c r="D146" s="12"/>
      <c r="E146" s="12"/>
      <c r="F146" s="22"/>
      <c r="G146" s="22"/>
      <c r="H146" s="11"/>
      <c r="I146" s="25"/>
      <c r="J146" s="25"/>
      <c r="K146" s="25"/>
      <c r="L146" s="25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22"/>
      <c r="T146" s="22"/>
      <c r="U146" s="7"/>
      <c r="V146" s="27"/>
    </row>
    <row r="147" spans="1:22">
      <c r="A147" s="10"/>
      <c r="B147" s="11"/>
      <c r="C147" s="12"/>
      <c r="D147" s="12"/>
      <c r="E147" s="12"/>
      <c r="F147" s="22"/>
      <c r="G147" s="22"/>
      <c r="H147" s="11"/>
      <c r="I147" s="25"/>
      <c r="J147" s="25"/>
      <c r="K147" s="25"/>
      <c r="L147" s="25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22"/>
      <c r="T147" s="22"/>
      <c r="U147" s="7"/>
      <c r="V147" s="27"/>
    </row>
    <row r="148" spans="1:22">
      <c r="A148" s="10"/>
      <c r="B148" s="11"/>
      <c r="C148" s="12"/>
      <c r="D148" s="12"/>
      <c r="E148" s="12"/>
      <c r="F148" s="22"/>
      <c r="G148" s="22"/>
      <c r="H148" s="11"/>
      <c r="I148" s="25"/>
      <c r="J148" s="25"/>
      <c r="K148" s="25"/>
      <c r="L148" s="25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22"/>
      <c r="T148" s="22"/>
      <c r="U148" s="7"/>
      <c r="V148" s="27"/>
    </row>
    <row r="149" spans="1:22">
      <c r="A149" s="10"/>
      <c r="B149" s="11"/>
      <c r="C149" s="12"/>
      <c r="D149" s="12"/>
      <c r="E149" s="12"/>
      <c r="F149" s="22"/>
      <c r="G149" s="22"/>
      <c r="H149" s="11"/>
      <c r="I149" s="25"/>
      <c r="J149" s="25"/>
      <c r="K149" s="25"/>
      <c r="L149" s="25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22"/>
      <c r="T149" s="22"/>
      <c r="U149" s="7"/>
      <c r="V149" s="27"/>
    </row>
    <row r="150" spans="1:22">
      <c r="A150" s="10"/>
      <c r="B150" s="11"/>
      <c r="C150" s="12"/>
      <c r="D150" s="12"/>
      <c r="E150" s="12"/>
      <c r="F150" s="22"/>
      <c r="G150" s="22"/>
      <c r="H150" s="11"/>
      <c r="I150" s="25"/>
      <c r="J150" s="25"/>
      <c r="K150" s="25"/>
      <c r="L150" s="25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22"/>
      <c r="T150" s="22"/>
      <c r="U150" s="7"/>
      <c r="V150" s="27"/>
    </row>
    <row r="151" spans="1:22">
      <c r="A151" s="10"/>
      <c r="B151" s="11"/>
      <c r="C151" s="12"/>
      <c r="D151" s="12"/>
      <c r="E151" s="12"/>
      <c r="F151" s="22"/>
      <c r="G151" s="22"/>
      <c r="H151" s="11"/>
      <c r="I151" s="25"/>
      <c r="J151" s="25"/>
      <c r="K151" s="25"/>
      <c r="L151" s="25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22"/>
      <c r="T151" s="22"/>
      <c r="U151" s="7"/>
      <c r="V151" s="27"/>
    </row>
    <row r="152" spans="1:22">
      <c r="A152" s="10"/>
      <c r="B152" s="11"/>
      <c r="C152" s="12"/>
      <c r="D152" s="12"/>
      <c r="E152" s="12"/>
      <c r="F152" s="22"/>
      <c r="G152" s="22"/>
      <c r="H152" s="11"/>
      <c r="I152" s="25"/>
      <c r="J152" s="25"/>
      <c r="K152" s="25"/>
      <c r="L152" s="25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22"/>
      <c r="T152" s="22"/>
      <c r="U152" s="7"/>
      <c r="V152" s="27"/>
    </row>
    <row r="153" spans="1:22">
      <c r="A153" s="10"/>
      <c r="B153" s="11"/>
      <c r="C153" s="12"/>
      <c r="D153" s="12"/>
      <c r="E153" s="12"/>
      <c r="F153" s="22"/>
      <c r="G153" s="22"/>
      <c r="H153" s="11"/>
      <c r="I153" s="25"/>
      <c r="J153" s="25"/>
      <c r="K153" s="25"/>
      <c r="L153" s="25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22"/>
      <c r="T153" s="22"/>
      <c r="U153" s="7"/>
      <c r="V153" s="27"/>
    </row>
    <row r="154" spans="1:22">
      <c r="A154" s="10"/>
      <c r="B154" s="11"/>
      <c r="C154" s="12"/>
      <c r="D154" s="12"/>
      <c r="E154" s="12"/>
      <c r="F154" s="22"/>
      <c r="G154" s="22"/>
      <c r="H154" s="11"/>
      <c r="I154" s="25"/>
      <c r="J154" s="25"/>
      <c r="K154" s="25"/>
      <c r="L154" s="25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22"/>
      <c r="T154" s="22"/>
      <c r="U154" s="7"/>
      <c r="V154" s="27"/>
    </row>
    <row r="155" spans="1:22">
      <c r="A155" s="10"/>
      <c r="B155" s="11"/>
      <c r="C155" s="12"/>
      <c r="D155" s="12"/>
      <c r="E155" s="12"/>
      <c r="F155" s="22"/>
      <c r="G155" s="22"/>
      <c r="H155" s="11"/>
      <c r="I155" s="25"/>
      <c r="J155" s="25"/>
      <c r="K155" s="25"/>
      <c r="L155" s="25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22"/>
      <c r="T155" s="22"/>
      <c r="U155" s="7"/>
      <c r="V155" s="27"/>
    </row>
    <row r="156" spans="1:22">
      <c r="A156" s="10"/>
      <c r="B156" s="11"/>
      <c r="C156" s="12"/>
      <c r="D156" s="12"/>
      <c r="E156" s="12"/>
      <c r="F156" s="22"/>
      <c r="G156" s="22"/>
      <c r="H156" s="11"/>
      <c r="I156" s="25"/>
      <c r="J156" s="25"/>
      <c r="K156" s="25"/>
      <c r="L156" s="25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22"/>
      <c r="T156" s="22"/>
      <c r="U156" s="7"/>
      <c r="V156" s="27"/>
    </row>
    <row r="157" spans="1:22">
      <c r="A157" s="10"/>
      <c r="B157" s="11"/>
      <c r="C157" s="12"/>
      <c r="D157" s="12"/>
      <c r="E157" s="12"/>
      <c r="F157" s="22"/>
      <c r="G157" s="22"/>
      <c r="H157" s="11"/>
      <c r="I157" s="25"/>
      <c r="J157" s="25"/>
      <c r="K157" s="25"/>
      <c r="L157" s="25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22"/>
      <c r="T157" s="22"/>
      <c r="U157" s="7"/>
      <c r="V157" s="27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5"/>
      <c r="J158" s="25"/>
      <c r="K158" s="25"/>
      <c r="L158" s="25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7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5"/>
      <c r="J159" s="25"/>
      <c r="K159" s="25"/>
      <c r="L159" s="25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7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5"/>
      <c r="J160" s="25"/>
      <c r="K160" s="25"/>
      <c r="L160" s="25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7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5"/>
      <c r="J161" s="25"/>
      <c r="K161" s="25"/>
      <c r="L161" s="25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7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5"/>
      <c r="J162" s="25"/>
      <c r="K162" s="25"/>
      <c r="L162" s="25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7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5"/>
      <c r="J163" s="25"/>
      <c r="K163" s="25"/>
      <c r="L163" s="25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7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5"/>
      <c r="J164" s="25"/>
      <c r="K164" s="25"/>
      <c r="L164" s="25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7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5"/>
      <c r="J165" s="25"/>
      <c r="K165" s="25"/>
      <c r="L165" s="25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7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5"/>
      <c r="J166" s="25"/>
      <c r="K166" s="25"/>
      <c r="L166" s="25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7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5"/>
      <c r="J167" s="25"/>
      <c r="K167" s="25"/>
      <c r="L167" s="25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7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5"/>
      <c r="J168" s="25"/>
      <c r="K168" s="25"/>
      <c r="L168" s="25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7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5"/>
      <c r="J169" s="25"/>
      <c r="K169" s="25"/>
      <c r="L169" s="25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7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5"/>
      <c r="J170" s="25"/>
      <c r="K170" s="25"/>
      <c r="L170" s="25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7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5"/>
      <c r="J171" s="25"/>
      <c r="K171" s="25"/>
      <c r="L171" s="25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7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5"/>
      <c r="J172" s="25"/>
      <c r="K172" s="25"/>
      <c r="L172" s="25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7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5"/>
      <c r="J173" s="25"/>
      <c r="K173" s="25"/>
      <c r="L173" s="25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7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5"/>
      <c r="J174" s="25"/>
      <c r="K174" s="25"/>
      <c r="L174" s="25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7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5"/>
      <c r="J175" s="25"/>
      <c r="K175" s="25"/>
      <c r="L175" s="25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7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5"/>
      <c r="J176" s="25"/>
      <c r="K176" s="25"/>
      <c r="L176" s="25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7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5"/>
      <c r="J177" s="25"/>
      <c r="K177" s="25"/>
      <c r="L177" s="25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7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5"/>
      <c r="J178" s="25"/>
      <c r="K178" s="25"/>
      <c r="L178" s="25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7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5"/>
      <c r="J179" s="25"/>
      <c r="K179" s="25"/>
      <c r="L179" s="25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7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5"/>
      <c r="J180" s="25"/>
      <c r="K180" s="25"/>
      <c r="L180" s="25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7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5"/>
      <c r="J181" s="25"/>
      <c r="K181" s="25"/>
      <c r="L181" s="25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7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5"/>
      <c r="J182" s="25"/>
      <c r="K182" s="25"/>
      <c r="L182" s="25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7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5"/>
      <c r="J183" s="25"/>
      <c r="K183" s="25"/>
      <c r="L183" s="25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7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5"/>
      <c r="J184" s="25"/>
      <c r="K184" s="25"/>
      <c r="L184" s="25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7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5"/>
      <c r="J185" s="25"/>
      <c r="K185" s="25"/>
      <c r="L185" s="25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7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5"/>
      <c r="J186" s="25"/>
      <c r="K186" s="25"/>
      <c r="L186" s="25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7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5"/>
      <c r="J187" s="25"/>
      <c r="K187" s="25"/>
      <c r="L187" s="25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7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5"/>
      <c r="J188" s="25"/>
      <c r="K188" s="25"/>
      <c r="L188" s="25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7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5"/>
      <c r="J189" s="25"/>
      <c r="K189" s="25"/>
      <c r="L189" s="25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7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5"/>
      <c r="J190" s="25"/>
      <c r="K190" s="25"/>
      <c r="L190" s="25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7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5"/>
      <c r="J191" s="25"/>
      <c r="K191" s="25"/>
      <c r="L191" s="25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7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5"/>
      <c r="J192" s="25"/>
      <c r="K192" s="25"/>
      <c r="L192" s="25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7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5"/>
      <c r="J193" s="25"/>
      <c r="K193" s="25"/>
      <c r="L193" s="25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7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5"/>
      <c r="J194" s="25"/>
      <c r="K194" s="25"/>
      <c r="L194" s="25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7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5"/>
      <c r="J195" s="25"/>
      <c r="K195" s="25"/>
      <c r="L195" s="25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7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5"/>
      <c r="J196" s="25"/>
      <c r="K196" s="25"/>
      <c r="L196" s="25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7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5"/>
      <c r="J197" s="25"/>
      <c r="K197" s="25"/>
      <c r="L197" s="25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7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5"/>
      <c r="J198" s="25"/>
      <c r="K198" s="25"/>
      <c r="L198" s="25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7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5"/>
      <c r="J199" s="25"/>
      <c r="K199" s="25"/>
      <c r="L199" s="25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7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5"/>
      <c r="J200" s="25"/>
      <c r="K200" s="25"/>
      <c r="L200" s="25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7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5"/>
      <c r="J201" s="25"/>
      <c r="K201" s="25"/>
      <c r="L201" s="25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7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5"/>
      <c r="J202" s="25"/>
      <c r="K202" s="25"/>
      <c r="L202" s="25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7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5"/>
      <c r="J203" s="25"/>
      <c r="K203" s="25"/>
      <c r="L203" s="25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7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5"/>
      <c r="J204" s="25"/>
      <c r="K204" s="25"/>
      <c r="L204" s="25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7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5"/>
      <c r="J205" s="25"/>
      <c r="K205" s="25"/>
      <c r="L205" s="25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7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5"/>
      <c r="J206" s="25"/>
      <c r="K206" s="25"/>
      <c r="L206" s="25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7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5"/>
      <c r="J207" s="25"/>
      <c r="K207" s="25"/>
      <c r="L207" s="25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7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5"/>
      <c r="J208" s="25"/>
      <c r="K208" s="25"/>
      <c r="L208" s="25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7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5"/>
      <c r="J209" s="25"/>
      <c r="K209" s="25"/>
      <c r="L209" s="25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7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6"/>
      <c r="J210" s="26"/>
      <c r="K210" s="26"/>
      <c r="L210" s="26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8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20" priority="1">
      <formula>P11="RECOMENDADA"</formula>
    </cfRule>
    <cfRule type="expression" dxfId="19" priority="2">
      <formula>P11="APROVADA - AGUARDANDO EXECUÇÃO"</formula>
    </cfRule>
    <cfRule type="expression" dxfId="18" priority="3">
      <formula>P11="EXECUTADA - EM MATURAÇÃO"</formula>
    </cfRule>
    <cfRule type="expression" dxfId="17" priority="4">
      <formula>P11="EXECUTADA - AVALIADA"</formula>
    </cfRule>
    <cfRule type="expression" dxfId="16" priority="5">
      <formula>P11="APROVADA - NÃO EXECUTADA"</formula>
    </cfRule>
    <cfRule type="expression" dxfId="15" priority="6">
      <formula>P11="REJEITADA"</formula>
    </cfRule>
    <cfRule type="expression" dxfId="14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N11:N210</xm:sqref>
        </x14:dataValidation>
        <x14:dataValidation type="list">
          <x14:formula1>
            <xm:f>Listas!$E$4:$E$6</xm:f>
          </x14:formula1>
          <xm:sqref>O11:O210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49" t="s">
        <v>33</v>
      </c>
      <c r="B1" s="49"/>
      <c r="C1" s="49"/>
      <c r="D1" s="49"/>
      <c r="E1" s="49"/>
      <c r="F1" s="49"/>
      <c r="G1" s="49"/>
      <c r="H1" s="49"/>
    </row>
    <row r="3" spans="1:8" ht="15">
      <c r="A3" s="31" t="s">
        <v>34</v>
      </c>
      <c r="C3" s="31" t="s">
        <v>35</v>
      </c>
      <c r="E3" s="31" t="s">
        <v>36</v>
      </c>
      <c r="G3" s="31" t="s">
        <v>37</v>
      </c>
    </row>
    <row r="4" spans="1:8">
      <c r="A4" s="29" t="s">
        <v>38</v>
      </c>
      <c r="C4" s="29" t="s">
        <v>39</v>
      </c>
      <c r="E4" s="29" t="s">
        <v>40</v>
      </c>
      <c r="G4" s="29" t="s">
        <v>41</v>
      </c>
    </row>
    <row r="5" spans="1:8">
      <c r="A5" s="29" t="s">
        <v>42</v>
      </c>
      <c r="C5" s="29" t="s">
        <v>43</v>
      </c>
      <c r="E5" s="29" t="s">
        <v>44</v>
      </c>
      <c r="G5" s="29" t="s">
        <v>45</v>
      </c>
    </row>
    <row r="6" spans="1:8">
      <c r="A6" s="29" t="s">
        <v>46</v>
      </c>
      <c r="C6" s="29" t="s">
        <v>47</v>
      </c>
      <c r="E6" s="30" t="s">
        <v>48</v>
      </c>
      <c r="G6" s="30" t="s">
        <v>49</v>
      </c>
    </row>
    <row r="7" spans="1:8">
      <c r="A7" s="29" t="s">
        <v>50</v>
      </c>
      <c r="C7" s="29" t="s">
        <v>51</v>
      </c>
    </row>
    <row r="8" spans="1:8">
      <c r="A8" s="29" t="s">
        <v>52</v>
      </c>
      <c r="C8" s="29" t="s">
        <v>53</v>
      </c>
    </row>
    <row r="9" spans="1:8">
      <c r="A9" s="29" t="s">
        <v>54</v>
      </c>
      <c r="C9" s="29" t="s">
        <v>55</v>
      </c>
    </row>
    <row r="10" spans="1:8">
      <c r="A10" s="29" t="s">
        <v>56</v>
      </c>
      <c r="C10" s="29" t="s">
        <v>57</v>
      </c>
    </row>
    <row r="11" spans="1:8">
      <c r="A11" s="29" t="s">
        <v>58</v>
      </c>
      <c r="C11" s="30" t="s">
        <v>59</v>
      </c>
    </row>
    <row r="12" spans="1:8">
      <c r="A12" s="29" t="s">
        <v>60</v>
      </c>
    </row>
    <row r="13" spans="1:8">
      <c r="A13" s="29" t="s">
        <v>61</v>
      </c>
    </row>
    <row r="14" spans="1:8">
      <c r="A14" s="29" t="s">
        <v>62</v>
      </c>
    </row>
    <row r="15" spans="1:8">
      <c r="A15" s="30" t="s">
        <v>63</v>
      </c>
    </row>
    <row r="18" spans="1:8" ht="15">
      <c r="A18" s="50" t="s">
        <v>64</v>
      </c>
      <c r="B18" s="50"/>
      <c r="C18" s="50"/>
      <c r="D18" s="50"/>
      <c r="E18" s="50"/>
      <c r="F18" s="50"/>
      <c r="G18" s="50"/>
      <c r="H18" s="50"/>
    </row>
    <row r="19" spans="1:8" ht="29.25">
      <c r="A19" s="32" t="s">
        <v>65</v>
      </c>
      <c r="B19" s="33" t="s">
        <v>66</v>
      </c>
    </row>
    <row r="20" spans="1:8" ht="29.25">
      <c r="A20" s="34" t="s">
        <v>67</v>
      </c>
      <c r="B20" s="35" t="s">
        <v>68</v>
      </c>
    </row>
    <row r="21" spans="1:8" ht="29.25">
      <c r="A21" s="34" t="s">
        <v>69</v>
      </c>
      <c r="B21" s="35" t="s">
        <v>70</v>
      </c>
    </row>
    <row r="22" spans="1:8" ht="15">
      <c r="A22" s="34" t="s">
        <v>71</v>
      </c>
      <c r="B22" s="35" t="s">
        <v>72</v>
      </c>
    </row>
    <row r="23" spans="1:8" ht="29.25">
      <c r="A23" s="34" t="s">
        <v>73</v>
      </c>
      <c r="B23" s="35" t="s">
        <v>74</v>
      </c>
    </row>
    <row r="24" spans="1:8" ht="29.25">
      <c r="A24" s="36" t="s">
        <v>75</v>
      </c>
      <c r="B24" s="37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2026-09-09T17:52:54Z</dcterms:modified>
</cp:coreProperties>
</file>