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<sst xmlns="http://schemas.openxmlformats.org/spreadsheetml/2006/main" count="1235" uniqueCount="650">
  <si>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</si>
  <si>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</si>
  <si>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</si>
  <si>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</si>
  <si>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</si>
  <si>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</si>
  <si>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</si>
  <si>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</si>
  <si>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</si>
  <si>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</si>
  <si>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</si>
  <si>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</si>
  <si>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</si>
  <si>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</si>
  <si>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</si>
  <si>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</si>
  <si>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</si>
  <si>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</si>
  <si>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</si>
  <si>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</si>
  <si>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</si>
  <si>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</si>
  <si>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</si>
  <si>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</si>
  <si>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</si>
  <si>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</si>
  <si>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</si>
  <si>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</si>
  <si>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</si>
  <si>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</si>
  <si>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</si>
  <si>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</si>
  <si>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</si>
  <si>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</si>
  <si>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</si>
  <si>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</si>
  <si>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</si>
  <si>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</si>
  <si>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</si>
  <si>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</si>
  <si>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</si>
  <si>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</si>
  <si>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</si>
  <si>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</si>
  <si>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</si>
  <si>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</si>
  <si>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</si>
  <si>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</si>
  <si>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</si>
  <si>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</si>
  <si>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</si>
  <si>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</si>
  <si>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</si>
  <si>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</si>
  <si>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</si>
  <si>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</si>
  <si>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</si>
  <si>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</si>
  <si>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</si>
  <si>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</si>
  <si>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</si>
  <si>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</si>
  <si>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</si>
  <si>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</si>
  <si>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</si>
  <si>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</si>
  <si>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</si>
  <si>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</si>
  <si>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</si>
  <si>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</si>
  <si>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</si>
  <si>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</si>
  <si>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</si>
  <si>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</si>
  <si>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</si>
  <si>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</si>
  <si>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</si>
  <si>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</si>
  <si>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</si>
  <si>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</si>
  <si>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</si>
  <si>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</si>
  <si>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</si>
  <si>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</si>
  <si>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</si>
  <si>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</si>
  <si>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</si>
  <si>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</si>
  <si>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</si>
  <si>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</si>
  <si>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</si>
  <si>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</si>
  <si>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</si>
  <si>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</si>
  <si>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</si>
  <si>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</si>
  <si>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</si>
  <si>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</si>
  <si>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</si>
  <si>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</si>
  <si>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</si>
  <si>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</si>
  <si>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</si>
  <si>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</si>
  <si>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</si>
  <si>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</si>
  <si>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</si>
  <si>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</si>
  <si>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</si>
  <si>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</si>
  <si>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</si>
  <si>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</si>
  <si>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</si>
  <si>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</si>
  <si>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</si>
  <si>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</si>
  <si>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</si>
  <si>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</si>
  <si>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</si>
  <si>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</si>
  <si>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</si>
  <si>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</si>
  <si>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</si>
  <si>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</si>
  <si>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</si>
  <si>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</si>
  <si>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</si>
  <si>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</si>
  <si>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</si>
  <si>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</si>
  <si>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</si>
  <si>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</si>
  <si>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</si>
  <si>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</si>
  <si>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</si>
  <si>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</si>
  <si>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</si>
  <si>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</si>
  <si>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</si>
  <si>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</si>
  <si>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</si>
  <si>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</si>
  <si>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</si>
  <si>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</si>
  <si>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</si>
  <si>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</si>
  <si>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</si>
  <si>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</si>
  <si>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</si>
  <si>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</si>
  <si>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</si>
  <si>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</si>
  <si>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</si>
  <si>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</si>
  <si>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</si>
  <si>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</si>
  <si>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</si>
  <si>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</si>
  <si>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</si>
  <si>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</si>
  <si>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</si>
  <si>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</si>
  <si>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</si>
  <si>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</si>
  <si>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</si>
  <si>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</si>
  <si>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</si>
  <si>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</si>
  <si>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</si>
  <si>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</si>
  <si>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</si>
  <si>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</si>
  <si>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</si>
  <si>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</si>
  <si>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</si>
  <si>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</si>
  <si>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</si>
  <si>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</si>
  <si>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</si>
  <si>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</si>
  <si>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</si>
  <si>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</si>
  <si>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</si>
  <si>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</si>
  <si>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</si>
  <si>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</si>
  <si>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</si>
  <si>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</si>
  <si>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</si>
  <si>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</si>
  <si>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</si>
  <si>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</si>
  <si>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</si>
  <si>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</si>
  <si>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</si>
  <si>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</si>
  <si>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</si>
  <si>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</si>
  <si>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</si>
  <si>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</si>
  <si>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</si>
  <si>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</si>
  <si>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</si>
  <si>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</si>
  <si>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</si>
  <si>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</si>
  <si>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</si>
  <si>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</si>
  <si>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</si>
  <si>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</si>
  <si>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</si>
  <si>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</si>
  <si>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</si>
  <si>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</si>
  <si>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</si>
  <si>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</si>
  <si>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</si>
  <si>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</si>
  <si>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</si>
  <si>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</si>
  <si>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</si>
  <si>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</si>
  <si>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</si>
  <si>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</si>
  <si>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</si>
  <si>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</si>
  <si>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</si>
  <si>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</si>
  <si>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</si>
  <si>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</si>
  <si>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</si>
  <si>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</si>
  <si>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</si>
  <si>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</si>
  <si>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</si>
  <si>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</si>
  <si>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</si>
  <si>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</si>
  <si>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</si>
  <si>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</si>
  <si>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</si>
  <si>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</si>
  <si>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</si>
  <si>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</si>
  <si>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</si>
  <si>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</si>
  <si>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</si>
  <si>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</si>
  <si>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</si>
  <si>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</si>
  <si>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</si>
  <si>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</si>
  <si>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</si>
  <si>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</si>
  <si>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</si>
  <si>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</si>
  <si>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</si>
  <si>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</si>
  <si>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</si>
  <si>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</si>
  <si>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</si>
  <si>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</si>
  <si>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</si>
  <si>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</si>
  <si>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</si>
  <si>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</si>
  <si>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</si>
  <si>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</si>
  <si>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</si>
  <si>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</si>
  <si>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</si>
  <si>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</si>
  <si>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</si>
  <si>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</si>
  <si>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</si>
  <si>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</si>
  <si>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</si>
  <si>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</si>
  <si>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</si>
  <si>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</si>
  <si>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</si>
  <si>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</si>
  <si>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</si>
  <si>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</si>
  <si>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</si>
  <si>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</si>
  <si>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</si>
  <si>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</si>
  <si>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</si>
  <si>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</si>
  <si>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</si>
  <si>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</si>
  <si>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</si>
  <si>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</si>
  <si>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</si>
  <si>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</si>
  <si>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</si>
  <si>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</si>
  <si>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</si>
  <si>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</si>
  <si>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</si>
  <si>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</si>
  <si>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</si>
  <si>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</si>
  <si>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</si>
  <si>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</si>
  <si>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</si>
  <si>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</si>
  <si>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</si>
  <si>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</si>
  <si>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</si>
  <si>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</si>
  <si>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</si>
  <si>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</si>
  <si>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</si>
  <si>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</si>
  <si>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</si>
  <si>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</si>
  <si>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</si>
  <si>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</si>
  <si>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</si>
  <si>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</si>
  <si>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</si>
  <si>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</si>
  <si>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</si>
  <si>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</si>
  <si>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</si>
  <si>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</si>
  <si>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</si>
  <si>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</si>
  <si>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</si>
  <si>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</si>
  <si>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</si>
  <si>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</si>
  <si>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</si>
  <si>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</si>
  <si>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</si>
  <si>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</si>
  <si>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</si>
  <si>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</si>
  <si>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</si>
  <si>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</si>
  <si>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</si>
  <si>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</si>
  <si>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</si>
  <si>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</si>
  <si>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</si>
  <si>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</si>
  <si>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</si>
  <si>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</si>
  <si>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</si>
  <si>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</si>
  <si>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</si>
  <si>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</si>
  <si>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</si>
  <si>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</si>
  <si>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</si>
  <si>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</si>
  <si>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</si>
  <si>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</si>
  <si>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</si>
  <si>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</si>
  <si>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</si>
  <si>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</si>
  <si>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</si>
  <si>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</si>
  <si>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</si>
  <si>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</si>
  <si>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</si>
  <si>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</si>
  <si>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</si>
  <si>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</si>
  <si>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</si>
  <si>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</si>
  <si>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</si>
  <si>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</si>
  <si>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</si>
  <si>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</si>
  <si>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</si>
  <si>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</si>
  <si>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</si>
  <si>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</si>
  <si>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</si>
  <si>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</si>
  <si>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</si>
  <si>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</si>
  <si>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</si>
  <si>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</si>
  <si>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</si>
  <si>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</si>
  <si>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</si>
  <si>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</si>
  <si>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</si>
  <si>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</si>
  <si>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</si>
  <si>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</si>
  <si>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</si>
  <si>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</si>
  <si>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</si>
  <si>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</si>
  <si>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</si>
  <si>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</si>
  <si>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</si>
  <si>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</si>
  <si>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</si>
  <si>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</si>
  <si>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</si>
  <si>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</si>
  <si>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</si>
  <si>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</si>
  <si>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</si>
  <si>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</si>
  <si>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</si>
  <si>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</si>
  <si>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</si>
  <si>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</si>
  <si>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</si>
  <si>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</si>
  <si>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</si>
  <si>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</si>
  <si>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</si>
  <si>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</si>
  <si>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</si>
  <si>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</si>
  <si>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</si>
  <si>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</si>
  <si>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</si>
  <si>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</si>
  <si>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</si>
  <si>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</si>
  <si>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</si>
  <si>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</si>
  <si>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</si>
  <si>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</si>
  <si>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</si>
  <si>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</si>
  <si>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</si>
  <si>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</si>
  <si>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</si>
  <si>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</si>
  <si>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</si>
  <si>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</si>
  <si>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</si>
  <si>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</si>
  <si>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</si>
  <si>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</si>
  <si>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</si>
  <si>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</si>
  <si>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</si>
  <si>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</si>
  <si>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</si>
  <si>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</si>
  <si>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</si>
  <si>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</si>
  <si>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</si>
  <si>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</si>
  <si>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</si>
  <si>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</si>
  <si>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</si>
  <si>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</si>
  <si>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</si>
  <si>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</si>
  <si>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</si>
  <si>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</si>
  <si>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</si>
  <si>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</si>
  <si>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</si>
  <si>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</si>
  <si>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</si>
  <si>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</si>
  <si>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</si>
  <si>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</si>
  <si>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</si>
  <si>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</si>
  <si>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</si>
  <si>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</si>
  <si>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</si>
  <si>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</si>
  <si>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</si>
  <si>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</si>
  <si>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</si>
  <si>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</si>
  <si>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</si>
  <si>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</si>
  <si>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</si>
  <si>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</si>
  <si>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</si>
  <si>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</si>
  <si>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</si>
  <si>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</si>
  <si>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</si>
  <si>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</si>
  <si>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</si>
  <si>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</si>
  <si>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</si>
  <si>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</si>
  <si>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</si>
  <si>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</si>
  <si>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</si>
  <si>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</si>
  <si>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</si>
  <si>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</si>
  <si>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</si>
  <si>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</si>
  <si>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</si>
  <si>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</si>
  <si>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</si>
  <si>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</si>
  <si>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</si>
  <si>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</si>
  <si>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</si>
  <si>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</si>
  <si>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</si>
  <si>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</si>
  <si>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</si>
  <si>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</si>
  <si>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</si>
  <si>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</si>
  <si>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</si>
  <si>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</si>
  <si>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</si>
  <si>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</si>
  <si>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</si>
  <si>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</si>
  <si>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</si>
  <si>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</si>
  <si>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</si>
  <si>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</si>
  <si>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</si>
  <si>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</si>
  <si>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</si>
  <si>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</si>
  <si>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</si>
  <si>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</si>
  <si>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</si>
  <si>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</si>
  <si>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</si>
  <si>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</si>
  <si>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</si>
  <si>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</si>
  <si>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</si>
  <si>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</si>
  <si>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</si>
  <si>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</si>
  <si>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</si>
  <si>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</si>
  <si>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</si>
  <si>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</si>
  <si>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</si>
  <si>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</si>
  <si>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</si>
  <si>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</si>
  <si>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</si>
  <si>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</si>
  <si>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</si>
  <si>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</si>
  <si>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</si>
  <si>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</si>
  <si>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</si>
  <si>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</si>
  <si>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</si>
  <si>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</si>
  <si>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</si>
  <si>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</si>
  <si>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</si>
  <si>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</si>
  <si>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</si>
  <si>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</si>
  <si>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</si>
  <si>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</si>
  <si>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</si>
  <si>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</si>
  <si>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</si>
  <si>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</si>
  <si>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</si>
  <si>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</si>
  <si>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</si>
  <si>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</si>
  <si>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</si>
  <si>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</si>
  <si>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</si>
  <si>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</si>
  <si>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</si>
  <si>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</si>
  <si>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</si>
  <si>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</si>
  <si>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</si>
  <si>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</si>
  <si>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</si>
  <si>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</si>
  <si>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</si>
  <si>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</si>
  <si>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</si>
  <si>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</si>
  <si>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</si>
  <si>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</si>
  <si>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</si>
  <si>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</si>
  <si>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</si>
  <si>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</si>
  <si>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</si>
  <si>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</si>
  <si>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</si>
  <si>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</si>
  <si>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</si>
  <si>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</si>
  <si>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</si>
  <si>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</si>
  <si>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</si>
  <si>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</si>
  <si>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</si>
  <si>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</si>
  <si>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</si>
  <si>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</si>
  <si>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</si>
  <si>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</si>
  <si>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</si>
  <si>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</si>
  <si>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</si>
  <si>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</si>
  <si>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</si>
  <si>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</si>
  <si>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</si>
  <si>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</si>
  <si>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</si>
  <si>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</si>
  <si>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</si>
  <si>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</si>
  <si>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</si>
  <si>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</si>
  <si>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</si>
  <si>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</si>
  <si>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</si>
  <si>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</si>
  <si>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</si>
  <si>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</si>
  <si>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gatilho disparou em 28/09, anúncio pausado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</si>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</sst>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Q67" workbookViewId="0">
      <selection activeCell="S81" sqref="S81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COUNTIF(A11:A208,"&lt;&gt;")</f>
        <v>75</v>
      </c>
      <c r="B6" s="3">
        <f>COUNTIF(N11:N208,"SIM")</f>
        <v>75</v>
      </c>
      <c r="C6" s="3">
        <f>COUNTIF(O11:O208,"SIM")</f>
        <v>69</v>
      </c>
      <c r="D6" s="3">
        <f>COUNTIF(P11:P208,"BLOQUEADA*")</f>
        <v>0</v>
      </c>
      <c r="E6" s="3">
        <f>COUNTIF(P11:P208,"EXECUTADA - EM MATURAÇÃO")</f>
        <v>21</v>
      </c>
      <c r="F6" s="4">
        <f>COUNTIF(P11:P208,"EXECUTADA - AVALIADA")</f>
        <v>48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44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44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36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36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36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36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36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36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36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36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36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36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36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36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36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36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36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36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36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33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30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28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28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26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26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21</v>
      </c>
      <c r="S36" t="s">
        <v>584</v>
      </c>
      <c r="T36" t="s">
        <v>585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21</v>
      </c>
      <c r="S37" t="s">
        <v>586</v>
      </c>
      <c r="T37" t="s">
        <v>587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21</v>
      </c>
      <c r="S38" t="s">
        <v>588</v>
      </c>
      <c r="T38" t="s">
        <v>589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21</v>
      </c>
      <c r="S39" t="s">
        <v>590</v>
      </c>
      <c r="T39" t="s">
        <v>591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21</v>
      </c>
      <c r="S40" t="s">
        <v>592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21</v>
      </c>
      <c r="S41" t="s">
        <v>593</v>
      </c>
      <c r="T41" t="s">
        <v>594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21</v>
      </c>
      <c r="S42" t="s">
        <v>595</v>
      </c>
      <c r="T42" t="s">
        <v>596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21</v>
      </c>
      <c r="S43" t="s">
        <v>597</v>
      </c>
      <c r="T43" t="s">
        <v>598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21</v>
      </c>
      <c r="S44" t="s">
        <v>599</v>
      </c>
      <c r="T44" t="s">
        <v>600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21</v>
      </c>
      <c r="S45" t="s">
        <v>601</v>
      </c>
      <c r="T45" t="s">
        <v>602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21</v>
      </c>
      <c r="S46" t="s">
        <v>603</v>
      </c>
      <c r="T46" t="s">
        <v>604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21</v>
      </c>
      <c r="S47" t="s">
        <v>605</v>
      </c>
      <c r="T47" t="s">
        <v>606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607</v>
      </c>
      <c r="T48" t="s">
        <v>608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21</v>
      </c>
      <c r="S49" t="s">
        <v>609</v>
      </c>
      <c r="T49" t="s">
        <v>610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21</v>
      </c>
      <c r="S50" t="s">
        <v>611</v>
      </c>
      <c r="T50" t="s">
        <v>612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21</v>
      </c>
      <c r="S51" t="s">
        <v>613</v>
      </c>
      <c r="T51" t="s">
        <v>614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21</v>
      </c>
      <c r="S52" t="s">
        <v>615</v>
      </c>
      <c r="T52" t="s">
        <v>616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12</v>
      </c>
      <c r="S53" t="s">
        <v>618</v>
      </c>
      <c r="T53" t="s">
        <v>619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12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12</v>
      </c>
      <c r="S55" t="s">
        <v>622</v>
      </c>
      <c r="T55" t="s">
        <v>623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12</v>
      </c>
      <c r="S56" t="s">
        <v>624</v>
      </c>
      <c r="T56" t="s">
        <v>625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12</v>
      </c>
      <c r="S57" t="s">
        <v>626</v>
      </c>
      <c r="T57" t="s">
        <v>627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12</v>
      </c>
      <c r="S58" t="s">
        <v>628</v>
      </c>
      <c r="T58" t="s">
        <v>629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12</v>
      </c>
      <c r="S59" t="s">
        <v>630</v>
      </c>
      <c r="T59" t="s">
        <v>631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12</v>
      </c>
      <c r="S60" t="s">
        <v>632</v>
      </c>
      <c r="T60" t="s">
        <v>633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12</v>
      </c>
      <c r="S61" t="s">
        <v>632</v>
      </c>
      <c r="T61" t="s">
        <v>633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12</v>
      </c>
      <c r="S62" t="s">
        <v>634</v>
      </c>
      <c r="T62" t="s">
        <v>635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8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8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8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8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8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8</v>
      </c>
      <c r="T68" t="s">
        <v>636</v>
      </c>
      <c r="U68" s="50">
        <v>46308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8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8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8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8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/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44</v>
      </c>
      <c r="P73" s="46" t="s">
        <v>43</v>
      </c>
      <c r="Q73" s="18" t="str">
        <f t="shared" si="0"/>
        <v/>
      </c>
      <c r="R73" s="19" t="str">
        <f t="shared" ca="1" si="2"/>
        <v/>
      </c>
      <c r="U73" s="50">
        <v>46293</v>
      </c>
      <c r="V73" t="s">
        <v>617</v>
      </c>
    </row>
    <row r="74" spans="1:22">
      <c r="A74" t="s">
        <v>533</v>
      </c>
      <c r="B74" t="s">
        <v>464</v>
      </c>
      <c r="C74" s="48">
        <v>46287</v>
      </c>
      <c r="D74" s="48">
        <v>46287</v>
      </c>
      <c r="E74" s="48"/>
      <c r="F74" t="s">
        <v>527</v>
      </c>
      <c r="G74" t="s">
        <v>534</v>
      </c>
      <c r="H74" t="s">
        <v>529</v>
      </c>
      <c r="I74" t="s">
        <v>535</v>
      </c>
      <c r="J74" t="s">
        <v>536</v>
      </c>
      <c r="K74" t="s">
        <v>537</v>
      </c>
      <c r="L74" t="s">
        <v>468</v>
      </c>
      <c r="M74" t="s">
        <v>45</v>
      </c>
      <c r="N74" t="s">
        <v>40</v>
      </c>
      <c r="O74" s="46" t="s">
        <v>44</v>
      </c>
      <c r="P74" s="46" t="s">
        <v>43</v>
      </c>
      <c r="Q74" s="18" t="str">
        <f t="shared" si="0"/>
        <v/>
      </c>
      <c r="R74" s="19" t="str">
        <f t="shared" ca="1" si="2"/>
        <v/>
      </c>
      <c r="U74" s="50">
        <v>46293</v>
      </c>
      <c r="V74" t="s">
        <v>617</v>
      </c>
    </row>
    <row r="75" spans="1:22">
      <c r="A75" t="s">
        <v>538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539</v>
      </c>
      <c r="H75" t="s">
        <v>529</v>
      </c>
      <c r="I75" t="s">
        <v>540</v>
      </c>
      <c r="J75" t="s">
        <v>541</v>
      </c>
      <c r="K75" t="s">
        <v>542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8</v>
      </c>
      <c r="U75" s="50">
        <v>46308</v>
      </c>
      <c r="V75" t="s">
        <v>543</v>
      </c>
    </row>
    <row r="76" spans="1:22">
      <c r="A76" t="s">
        <v>544</v>
      </c>
      <c r="B76" t="s">
        <v>464</v>
      </c>
      <c r="C76" s="48">
        <v>46287</v>
      </c>
      <c r="D76" s="48">
        <v>46287</v>
      </c>
      <c r="E76" s="48"/>
      <c r="F76" t="s">
        <v>527</v>
      </c>
      <c r="G76" t="s">
        <v>545</v>
      </c>
      <c r="H76" t="s">
        <v>529</v>
      </c>
      <c r="I76" t="s">
        <v>546</v>
      </c>
      <c r="J76" t="s">
        <v>547</v>
      </c>
      <c r="K76" t="s">
        <v>548</v>
      </c>
      <c r="L76" t="s">
        <v>468</v>
      </c>
      <c r="M76" t="s">
        <v>45</v>
      </c>
      <c r="N76" t="s">
        <v>40</v>
      </c>
      <c r="O76" s="46" t="s">
        <v>44</v>
      </c>
      <c r="P76" s="46" t="s">
        <v>43</v>
      </c>
      <c r="Q76" s="18" t="str">
        <f t="shared" si="3"/>
        <v/>
      </c>
      <c r="R76" s="19" t="str">
        <f t="shared" ca="1" si="2"/>
        <v/>
      </c>
      <c r="U76" s="50">
        <v>46293</v>
      </c>
      <c r="V76" t="s">
        <v>617</v>
      </c>
    </row>
    <row r="77" spans="1:22">
      <c r="A77" t="s">
        <v>549</v>
      </c>
      <c r="B77" t="s">
        <v>464</v>
      </c>
      <c r="C77" s="48">
        <v>46287</v>
      </c>
      <c r="D77" s="48">
        <v>46287</v>
      </c>
      <c r="E77" s="48"/>
      <c r="F77" t="s">
        <v>527</v>
      </c>
      <c r="G77" t="s">
        <v>550</v>
      </c>
      <c r="H77" t="s">
        <v>529</v>
      </c>
      <c r="I77" t="s">
        <v>551</v>
      </c>
      <c r="J77" t="s">
        <v>552</v>
      </c>
      <c r="K77" t="s">
        <v>553</v>
      </c>
      <c r="L77" t="s">
        <v>468</v>
      </c>
      <c r="M77" t="s">
        <v>45</v>
      </c>
      <c r="N77" t="s">
        <v>40</v>
      </c>
      <c r="O77" s="46" t="s">
        <v>44</v>
      </c>
      <c r="P77" s="46" t="s">
        <v>43</v>
      </c>
      <c r="Q77" s="18" t="str">
        <f t="shared" si="3"/>
        <v/>
      </c>
      <c r="R77" s="19" t="str">
        <f t="shared" ca="1" si="2"/>
        <v/>
      </c>
      <c r="U77" s="50">
        <v>46293</v>
      </c>
      <c r="V77" t="s">
        <v>617</v>
      </c>
    </row>
    <row r="78" spans="1:22">
      <c r="A78" t="s">
        <v>554</v>
      </c>
      <c r="B78" t="s">
        <v>464</v>
      </c>
      <c r="C78" s="48">
        <v>46287</v>
      </c>
      <c r="D78" s="48">
        <v>46287</v>
      </c>
      <c r="E78" s="48"/>
      <c r="F78" t="s">
        <v>527</v>
      </c>
      <c r="G78" t="s">
        <v>555</v>
      </c>
      <c r="H78" t="s">
        <v>529</v>
      </c>
      <c r="I78" t="s">
        <v>556</v>
      </c>
      <c r="J78" t="s">
        <v>557</v>
      </c>
      <c r="K78" t="s">
        <v>558</v>
      </c>
      <c r="L78" t="s">
        <v>468</v>
      </c>
      <c r="M78" t="s">
        <v>45</v>
      </c>
      <c r="N78" t="s">
        <v>40</v>
      </c>
      <c r="O78" s="46" t="s">
        <v>44</v>
      </c>
      <c r="P78" s="46" t="s">
        <v>43</v>
      </c>
      <c r="Q78" s="18" t="str">
        <f t="shared" si="3"/>
        <v/>
      </c>
      <c r="R78" s="19" t="str">
        <f t="shared" ca="1" si="2"/>
        <v/>
      </c>
      <c r="U78" s="50">
        <v>46293</v>
      </c>
      <c r="V78" t="s">
        <v>617</v>
      </c>
    </row>
    <row r="79" spans="1:22">
      <c r="A79" t="s">
        <v>559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560</v>
      </c>
      <c r="H79" t="s">
        <v>529</v>
      </c>
      <c r="I79" t="s">
        <v>561</v>
      </c>
      <c r="J79" t="s">
        <v>562</v>
      </c>
      <c r="K79" t="s">
        <v>563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8</v>
      </c>
      <c r="U79" s="50">
        <v>46308</v>
      </c>
      <c r="V79" t="s">
        <v>564</v>
      </c>
    </row>
    <row r="80" spans="1:22">
      <c r="A80" t="s">
        <v>565</v>
      </c>
      <c r="B80" t="s">
        <v>464</v>
      </c>
      <c r="C80" s="48">
        <v>46287</v>
      </c>
      <c r="D80" s="48">
        <v>46287</v>
      </c>
      <c r="E80" s="48">
        <v>46287</v>
      </c>
      <c r="F80" t="s">
        <v>566</v>
      </c>
      <c r="G80" t="s">
        <v>567</v>
      </c>
      <c r="H80" t="s">
        <v>568</v>
      </c>
      <c r="I80" t="s">
        <v>569</v>
      </c>
      <c r="J80" t="s">
        <v>570</v>
      </c>
      <c r="K80" t="s">
        <v>571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8</v>
      </c>
      <c r="U80" t="s">
        <v>469</v>
      </c>
      <c r="V80" t="s">
        <v>572</v>
      </c>
    </row>
    <row r="81" spans="1:22">
      <c r="A81" t="s">
        <v>573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574</v>
      </c>
      <c r="H81" t="s">
        <v>506</v>
      </c>
      <c r="I81" t="s">
        <v>575</v>
      </c>
      <c r="J81" t="s">
        <v>576</v>
      </c>
      <c r="K81" t="s">
        <v>577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8</v>
      </c>
      <c r="U81" t="s">
        <v>469</v>
      </c>
      <c r="V81" t="s">
        <v>578</v>
      </c>
    </row>
    <row r="82" spans="1:22">
      <c r="A82" t="s">
        <v>579</v>
      </c>
      <c r="B82" t="s">
        <v>464</v>
      </c>
      <c r="C82" s="48">
        <v>46287</v>
      </c>
      <c r="D82" s="48">
        <v>46287</v>
      </c>
      <c r="E82" s="48">
        <v>46287</v>
      </c>
      <c r="F82" t="s">
        <v>580</v>
      </c>
      <c r="G82" t="s">
        <v>146</v>
      </c>
      <c r="H82" t="s">
        <v>138</v>
      </c>
      <c r="I82" t="s">
        <v>581</v>
      </c>
      <c r="J82" t="s">
        <v>515</v>
      </c>
      <c r="K82" t="s">
        <v>582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8</v>
      </c>
      <c r="U82" t="s">
        <v>469</v>
      </c>
      <c r="V82" t="s">
        <v>583</v>
      </c>
    </row>
    <row r="83" spans="1:22">
      <c r="A83" s="10" t="s">
        <v>637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638</v>
      </c>
      <c r="G83" s="43" t="s">
        <v>639</v>
      </c>
      <c r="H83" s="11" t="s">
        <v>408</v>
      </c>
      <c r="I83" s="11" t="s">
        <v>426</v>
      </c>
      <c r="J83" s="11" t="s">
        <v>640</v>
      </c>
      <c r="K83" s="11" t="s">
        <v>641</v>
      </c>
      <c r="L83" s="11" t="s">
        <v>642</v>
      </c>
      <c r="M83" s="11" t="s">
        <v>45</v>
      </c>
      <c r="N83" s="11" t="s">
        <v>40</v>
      </c>
      <c r="O83" s="11" t="s">
        <v>40</v>
      </c>
      <c r="P83" s="11" t="s">
        <v>47</v>
      </c>
      <c r="Q83" s="18">
        <f t="shared" ref="Q83:Q104" si="4">IF(E83="","",E83+1)</f>
        <v>46296</v>
      </c>
      <c r="R83" s="19">
        <f t="shared" ref="R83:R104" ca="1" si="5">IF(E83="","",TODAY()-E83)</f>
        <v>0</v>
      </c>
      <c r="S83" s="43"/>
      <c r="T83" s="43"/>
      <c r="U83" s="7">
        <v>46308</v>
      </c>
      <c r="V83" s="41" t="s">
        <v>643</v>
      </c>
    </row>
    <row r="84" spans="1:22">
      <c r="A84" s="10" t="s">
        <v>644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638</v>
      </c>
      <c r="G84" s="43" t="s">
        <v>445</v>
      </c>
      <c r="H84" s="11" t="s">
        <v>408</v>
      </c>
      <c r="I84" s="11" t="s">
        <v>446</v>
      </c>
      <c r="J84" s="11" t="s">
        <v>645</v>
      </c>
      <c r="K84" s="11" t="s">
        <v>646</v>
      </c>
      <c r="L84" s="11" t="s">
        <v>642</v>
      </c>
      <c r="M84" s="11" t="s">
        <v>45</v>
      </c>
      <c r="N84" s="11" t="s">
        <v>40</v>
      </c>
      <c r="O84" s="11" t="s">
        <v>40</v>
      </c>
      <c r="P84" s="11" t="s">
        <v>47</v>
      </c>
      <c r="Q84" s="18">
        <f t="shared" si="4"/>
        <v>46296</v>
      </c>
      <c r="R84" s="19">
        <f t="shared" ca="1" si="5"/>
        <v>0</v>
      </c>
      <c r="S84" s="43"/>
      <c r="T84" s="43"/>
      <c r="U84" s="7">
        <v>46308</v>
      </c>
      <c r="V84" s="41" t="s">
        <v>643</v>
      </c>
    </row>
    <row r="85" spans="1:22">
      <c r="A85" s="10" t="s">
        <v>647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638</v>
      </c>
      <c r="G85" s="43" t="s">
        <v>440</v>
      </c>
      <c r="H85" s="11" t="s">
        <v>408</v>
      </c>
      <c r="I85" s="11" t="s">
        <v>441</v>
      </c>
      <c r="J85" s="11" t="s">
        <v>648</v>
      </c>
      <c r="K85" s="11" t="s">
        <v>649</v>
      </c>
      <c r="L85" s="11" t="s">
        <v>642</v>
      </c>
      <c r="M85" s="11" t="s">
        <v>45</v>
      </c>
      <c r="N85" s="11" t="s">
        <v>40</v>
      </c>
      <c r="O85" s="11" t="s">
        <v>40</v>
      </c>
      <c r="P85" s="11" t="s">
        <v>47</v>
      </c>
      <c r="Q85" s="18">
        <f t="shared" si="4"/>
        <v>46296</v>
      </c>
      <c r="R85" s="19">
        <f t="shared" ca="1" si="5"/>
        <v>0</v>
      </c>
      <c r="S85" s="43"/>
      <c r="T85" s="43"/>
      <c r="U85" s="7">
        <v>46308</v>
      </c>
      <c r="V85" s="41" t="s">
        <v>643</v>
      </c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2026-09-30T14:50:06Z</dcterms:modified>
</cp:coreProperties>
</file>