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08" i="1" l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<sst xmlns="http://schemas.openxmlformats.org/spreadsheetml/2006/main" count="1255" uniqueCount="664">
  <si>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</si>
  <si>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</si>
  <si>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</si>
  <si>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</si>
  <si>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</si>
  <si>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</si>
  <si>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</si>
  <si>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</si>
  <si>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</si>
  <si>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</si>
  <si>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</si>
  <si>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</si>
  <si>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</si>
  <si>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</si>
  <si>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</si>
  <si>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</si>
  <si>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</si>
  <si>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</si>
  <si>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</si>
  <si>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</si>
  <si>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</si>
  <si>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</si>
  <si>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</si>
  <si>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</si>
  <si>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</si>
  <si>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</si>
  <si>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</si>
  <si>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</si>
  <si>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</si>
  <si>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</si>
  <si>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</si>
  <si>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</si>
  <si>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</si>
  <si>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</si>
  <si>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</si>
  <si>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</si>
  <si>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</si>
  <si>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</si>
  <si>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</si>
  <si>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</si>
  <si>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</si>
  <si>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</si>
  <si>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</si>
  <si>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</si>
  <si>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</si>
  <si>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</si>
  <si>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</si>
  <si>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</si>
  <si>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</si>
  <si>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</si>
  <si>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</si>
  <si>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</si>
  <si>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</si>
  <si>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</si>
  <si>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</si>
  <si>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</si>
  <si>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</si>
  <si>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</si>
  <si>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</si>
  <si>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</si>
  <si>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</si>
  <si>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</si>
  <si>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</si>
  <si>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</si>
  <si>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</si>
  <si>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</si>
  <si>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</si>
  <si>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</si>
  <si>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</si>
  <si>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</si>
  <si>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</si>
  <si>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</si>
  <si>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</si>
  <si>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</si>
  <si>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</si>
  <si>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</si>
  <si>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</si>
  <si>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</si>
  <si>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</si>
  <si>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</si>
  <si>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</si>
  <si>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</si>
  <si>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</si>
  <si>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</si>
  <si>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</si>
  <si>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</si>
  <si>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</si>
  <si>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</si>
  <si>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</si>
  <si>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</si>
  <si>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</si>
  <si>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</si>
  <si>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</si>
  <si>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</si>
  <si>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</si>
  <si>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</si>
  <si>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</si>
  <si>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</si>
  <si>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</si>
  <si>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</si>
  <si>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</si>
  <si>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</si>
  <si>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</si>
  <si>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</si>
  <si>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</si>
  <si>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</si>
  <si>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</si>
  <si>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</si>
  <si>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</si>
  <si>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</si>
  <si>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</si>
  <si>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</si>
  <si>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</si>
  <si>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</si>
  <si>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</si>
  <si>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</si>
  <si>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</si>
  <si>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</si>
  <si>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</si>
  <si>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</si>
  <si>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</si>
  <si>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</si>
  <si>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</si>
  <si>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</si>
  <si>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</si>
  <si>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</si>
  <si>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</si>
  <si>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</si>
  <si>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</si>
  <si>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</si>
  <si>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</si>
  <si>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</si>
  <si>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</si>
  <si>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</si>
  <si>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</si>
  <si>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</si>
  <si>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</si>
  <si>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</si>
  <si>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</si>
  <si>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</si>
  <si>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</si>
  <si>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</si>
  <si>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</si>
  <si>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</si>
  <si>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</si>
  <si>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</si>
  <si>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</si>
  <si>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</si>
  <si>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</si>
  <si>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</si>
  <si>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</si>
  <si>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</si>
  <si>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</si>
  <si>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</si>
  <si>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</si>
  <si>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</si>
  <si>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</si>
  <si>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</si>
  <si>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</si>
  <si>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</si>
  <si>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</si>
  <si>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</si>
  <si>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</si>
  <si>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</si>
  <si>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</si>
  <si>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</si>
  <si>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</si>
  <si>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</si>
  <si>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</si>
  <si>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</si>
  <si>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</si>
  <si>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</si>
  <si>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</si>
  <si>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</si>
  <si>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</si>
  <si>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</si>
  <si>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</si>
  <si>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</si>
  <si>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</si>
  <si>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</si>
  <si>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</si>
  <si>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</si>
  <si>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</si>
  <si>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</si>
  <si>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</si>
  <si>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</si>
  <si>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</si>
  <si>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</si>
  <si>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</si>
  <si>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</si>
  <si>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</si>
  <si>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</si>
  <si>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</si>
  <si>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</si>
  <si>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</si>
  <si>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</si>
  <si>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</si>
  <si>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</si>
  <si>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</si>
  <si>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</si>
  <si>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</si>
  <si>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</si>
  <si>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</si>
  <si>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</si>
  <si>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</si>
  <si>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</si>
  <si>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</si>
  <si>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</si>
  <si>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</si>
  <si>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</si>
  <si>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</si>
  <si>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</si>
  <si>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</si>
  <si>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</si>
  <si>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</si>
  <si>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</si>
  <si>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</si>
  <si>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</si>
  <si>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</si>
  <si>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</si>
  <si>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</si>
  <si>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</si>
  <si>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</si>
  <si>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</si>
  <si>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</si>
  <si>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</si>
  <si>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</si>
  <si>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</si>
  <si>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</si>
  <si>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</si>
  <si>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</si>
  <si>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</si>
  <si>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</si>
  <si>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</si>
  <si>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</si>
  <si>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</si>
  <si>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</si>
  <si>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</si>
  <si>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</si>
  <si>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</si>
  <si>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</si>
  <si>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</si>
  <si>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</si>
  <si>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</si>
  <si>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</si>
  <si>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</si>
  <si>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</si>
  <si>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</si>
  <si>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</si>
  <si>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</si>
  <si>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</si>
  <si>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</si>
  <si>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</si>
  <si>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</si>
  <si>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</si>
  <si>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</si>
  <si>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</si>
  <si>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</si>
  <si>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</si>
  <si>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</si>
  <si>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</si>
  <si>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</si>
  <si>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</si>
  <si>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</si>
  <si>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</si>
  <si>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</si>
  <si>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</si>
  <si>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</si>
  <si>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</si>
  <si>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</si>
  <si>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</si>
  <si>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</si>
  <si>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</si>
  <si>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</si>
  <si>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</si>
  <si>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</si>
  <si>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</si>
  <si>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</si>
  <si>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</si>
  <si>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</si>
  <si>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</si>
  <si>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</si>
  <si>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</si>
  <si>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</si>
  <si>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</si>
  <si>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</si>
  <si>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</si>
  <si>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</si>
  <si>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</si>
  <si>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</si>
  <si>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</si>
  <si>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</si>
  <si>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</si>
  <si>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</si>
  <si>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</si>
  <si>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</si>
  <si>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</si>
  <si>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</si>
  <si>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</si>
  <si>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</si>
  <si>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</si>
  <si>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</si>
  <si>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</si>
  <si>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</si>
  <si>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</si>
  <si>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</si>
  <si>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</si>
  <si>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</si>
  <si>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</si>
  <si>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</si>
  <si>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</si>
  <si>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</si>
  <si>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</si>
  <si>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</si>
  <si>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</si>
  <si>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</si>
  <si>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</si>
  <si>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</si>
  <si>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</si>
  <si>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</si>
  <si>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</si>
  <si>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</si>
  <si>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</si>
  <si>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</si>
  <si>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</si>
  <si>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</si>
  <si>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</si>
  <si>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</si>
  <si>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</si>
  <si>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</si>
  <si>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</si>
  <si>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</si>
  <si>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</si>
  <si>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</si>
  <si>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</si>
  <si>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</si>
  <si>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</si>
  <si>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</si>
  <si>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</si>
  <si>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</si>
  <si>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</si>
  <si>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</si>
  <si>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</si>
  <si>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</si>
  <si>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</si>
  <si>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</si>
  <si>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</si>
  <si>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</si>
  <si>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</si>
  <si>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</si>
  <si>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</si>
  <si>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</si>
  <si>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</si>
  <si>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</si>
  <si>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</si>
  <si>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</si>
  <si>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</si>
  <si>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</si>
  <si>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</si>
  <si>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</si>
  <si>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</si>
  <si>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</si>
  <si>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</si>
  <si>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</si>
  <si>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</si>
  <si>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</si>
  <si>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</si>
  <si>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</si>
  <si>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</si>
  <si>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</si>
  <si>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</si>
  <si>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</si>
  <si>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</si>
  <si>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</si>
  <si>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</si>
  <si>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</si>
  <si>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</si>
  <si>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</si>
  <si>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</si>
  <si>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</si>
  <si>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</si>
  <si>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</si>
  <si>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</si>
  <si>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</si>
  <si>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</si>
  <si>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</si>
  <si>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</si>
  <si>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</si>
  <si>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</si>
  <si>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</si>
  <si>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</si>
  <si>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</si>
  <si>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</si>
  <si>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</si>
  <si>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</si>
  <si>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</si>
  <si>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</si>
  <si>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</si>
  <si>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</si>
  <si>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</si>
  <si>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</si>
  <si>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</si>
  <si>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</si>
  <si>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</si>
  <si>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</si>
  <si>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</si>
  <si>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</si>
  <si>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</si>
  <si>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</si>
  <si>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</si>
  <si>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</si>
  <si>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</si>
  <si>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</si>
  <si>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</si>
  <si>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</si>
  <si>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</si>
  <si>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</si>
  <si>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</si>
  <si>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</si>
  <si>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</si>
  <si>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</si>
  <si>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</si>
  <si>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</si>
  <si>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</si>
  <si>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</si>
  <si>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</si>
  <si>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</si>
  <si>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</si>
  <si>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</si>
  <si>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</si>
  <si>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</si>
  <si>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</si>
  <si>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</si>
  <si>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</si>
  <si>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</si>
  <si>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</si>
  <si>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</si>
  <si>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</si>
  <si>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</si>
  <si>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</si>
  <si>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</si>
  <si>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</si>
  <si>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</si>
  <si>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</si>
  <si>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</si>
  <si>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</si>
  <si>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</si>
  <si>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</si>
  <si>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</si>
  <si>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</si>
  <si>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</si>
  <si>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</si>
  <si>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</si>
  <si>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</si>
  <si>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</si>
  <si>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</si>
  <si>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</si>
  <si>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</si>
  <si>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</si>
  <si>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</si>
  <si>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</si>
  <si>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</si>
  <si>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</si>
  <si>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</si>
  <si>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</si>
  <si>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</si>
  <si>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</si>
  <si>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</si>
  <si>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</si>
  <si>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</si>
  <si>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</si>
  <si>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</si>
  <si>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</si>
  <si>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</si>
  <si>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</si>
  <si>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</si>
  <si>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</si>
  <si>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</si>
  <si>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</si>
  <si>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</si>
  <si>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</si>
  <si>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</si>
  <si>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</si>
  <si>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</si>
  <si>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</si>
  <si>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</si>
  <si>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</si>
  <si>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</si>
  <si>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</si>
  <si>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</si>
  <si>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</si>
  <si>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</si>
  <si>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</si>
  <si>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</si>
  <si>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</si>
  <si>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</si>
  <si>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</si>
  <si>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</si>
  <si>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</si>
  <si>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</si>
  <si>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</si>
  <si>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</si>
  <si>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</si>
  <si>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</si>
  <si>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</si>
  <si>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</si>
  <si>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</si>
  <si>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</si>
  <si>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</si>
  <si>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</si>
  <si>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</si>
  <si>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</si>
  <si>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</si>
  <si>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</si>
  <si>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</si>
  <si>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</si>
  <si>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</si>
  <si>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</si>
  <si>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</si>
  <si>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</si>
  <si>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</si>
  <si>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</si>
  <si>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</si>
  <si>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</si>
  <si>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</si>
  <si>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</si>
  <si>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</si>
  <si>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</si>
  <si>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</si>
  <si>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</si>
  <si>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</si>
  <si>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</si>
  <si>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</si>
  <si>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</si>
  <si>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</si>
  <si>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</si>
  <si>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</si>
  <si>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</si>
  <si>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</si>
  <si>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</si>
  <si>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</si>
  <si>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</si>
  <si>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</si>
  <si>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</si>
  <si>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</si>
  <si>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</si>
  <si>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</si>
  <si>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</si>
  <si>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</si>
  <si>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</si>
  <si>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</si>
  <si>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</si>
  <si>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</si>
  <si>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</si>
  <si>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</si>
  <si>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</si>
  <si>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</si>
  <si>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</si>
  <si>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</si>
  <si>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</si>
  <si>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</si>
  <si>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</si>
  <si>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</si>
  <si>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</si>
  <si>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</si>
  <si>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</si>
  <si>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</si>
  <si>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</si>
  <si>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</si>
  <si>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</si>
  <si>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</si>
  <si>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</si>
  <si>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</si>
  <si>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</si>
  <si>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</si>
  <si>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</si>
  <si>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</si>
  <si>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</si>
  <si>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</si>
  <si>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</si>
  <si>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</si>
  <si>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</si>
  <si>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</si>
  <si>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</si>
  <si>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</si>
  <si>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</si>
  <si>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</si>
  <si>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</si>
  <si>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</si>
  <si>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</si>
  <si>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</si>
  <si>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</si>
  <si>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</si>
  <si>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</si>
  <si>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</si>
  <si>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</si>
  <si>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</si>
  <si>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</si>
  <si>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</si>
  <si>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</si>
  <si>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</si>
  <si>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</si>
  <si>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</si>
  <si>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</si>
  <si>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</si>
  <si>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</si>
  <si>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</si>
  <si>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</si>
  <si>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</si>
  <si>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</si>
  <si>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</si>
  <si>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</si>
  <si>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</si>
  <si>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</si>
  <si>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</si>
  <si>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</si>
  <si>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</si>
  <si>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</si>
  <si>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</si>
  <si>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</si>
  <si>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</si>
  <si>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</si>
  <si>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</si>
  <si>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</si>
  <si>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</si>
  <si>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</si>
  <si>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</si>
  <si>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</si>
  <si>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</si>
  <si>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</si>
  <si>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</si>
  <si>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</si>
  <si>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</si>
  <si>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</si>
  <si>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</si>
  <si>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</si>
  <si>
    <t>gatilho disparou em 28/09, anúncio pausado</t>
  </si>
  <si>
    <t>EC-017</t>
  </si>
  <si>
    <t>Desconto no preço (promoção) — semana do Prime Day</t>
  </si>
  <si>
    <t>PXM (B0H4S3FHG6) — desconto no preço 10%</t>
  </si>
  <si>
    <t>Desconto 10% → R$ 183,19 · piso R$ 183,09 · 05/10 00:00 a 11/10 23:59</t>
  </si>
  <si>
    <t>Converte com qualquer desconto (9.9: 3 un a −15%; 21–27/09: 5 un a −5%). Margem SP Interior 15,0% — no piso; com promo de quantidade empilhada: 11,7% (3+) / 9,5% (5+), risco aceito (o pedido de 3 PXM de 24/09 saiu a 15,6% realizados).</t>
  </si>
  <si>
    <t>ciclos/Monitoramento-28-09.md (adendo 30/09) + Simulador Mestra v4.3.4 + relatorios/amazon/monitoramento-28-09/</t>
  </si>
  <si>
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</si>
  <si>
    <t>EC-018</t>
  </si>
  <si>
    <t>Desconto 10% → R$ 223,88 · piso R$ 217,76 · 05/10 00:00 a 11/10 23:59</t>
  </si>
  <si>
    <t>Converteu com Melhor Oferta a −10% no 9.9 (1 un); 0 a −10% em 21–27/09 (5 sessões). Margem SP Interior 16,7%; com promo de quantidade: 13,5% (3+) / 11,5% (5+).</t>
  </si>
  <si>
    <t>EC-019</t>
  </si>
  <si>
    <t>Desconto 10% → R$ 460,28 · piso R$ 404,24 · 05/10 00:00 a 11/10 23:59</t>
  </si>
  <si>
    <t>Não respondeu a −10% em 21–27/09 (12 sessões, 0 un), mas tem a maior folga entre os com tráfego: 22,6%; com promo de quantidade 19,7% (3+) / 17,8% (5+) — absorve o empilhamento. Teste na semana de maior tráfego.</t>
  </si>
  <si>
    <t>EC-020</t>
  </si>
  <si>
    <t>Desconto no preço comum PRECOPRIMEALTERNATIVO — 05–11/10 (semana do Prime Day, sem vínculo com o evento)</t>
  </si>
  <si>
    <t>Lote de 12 SKUs: L2460-CP, EGC, Q4070-A, L2470-B, L3070-B, P4080, P3050, P3060, PXM, L2460-AML, Q3060-A, L3085-B</t>
  </si>
  <si>
    <t>Preço de tabela nos 12, sem promoção (referência da Amazon = preço de tabela da Mestra, conferido no modelo de upload)</t>
  </si>
  <si>
    <t>Preço fixo a 10% em cada SKU: L2460-CP 302,11 · EGC 607,15 · Q4070-A 947,85 · L2470-B 358,51 · L3070-B 489,46 · P4080 963,15 · P3050 420,90 · P3060 460,27 · PXM 183,18 · L2460-AML 261,15 · Q3060-A 522,46 · L3085-B 578,01 · público Todos os clientes · 05/10 00:00 a 11/10 23:59 · unidades = estoque (2…</t>
  </si>
  <si>
    <t>Prime Day largo aprovado pelo LEO (A+B+C, 59 SKUs + PXM/P3060). O desconto vinculado ao evento (EC-017/019) exigiu frete grátis para envio pelo vendedor e foi descartado; frete grátis + 10% deixaria todo o catálogo abaixo do piso (Mestra SP Interior). O desconto comum não exige frete grátis (provado…</t>
  </si>
  <si>
    <t>ciclos/Monitoramento-28-09.md (adendos 30/09) + dados/PROPOSTA_PrimeDay_desconto_evento_catalogo.csv + Simulador Mestra v4.3.4 + relatorios/amazon/monitoramento-28-09/ (upload_desconto-comum_13-skus_10pct_final_30-09.xlsx, prints etapa 3 e painel 'Em breve')</t>
  </si>
  <si>
    <t>Sem selo do evento e sem 'Preço exclusivo do Prime': preço riscado '10% off' na busca e na página, para todos os clientes. Não conflita com P3070/PXP (Melhor Oferta, sem exigência de frete — conferido no painel em 30/09). 48 SKUs ficaram fora por 'Sem preço de referência' (regra de plataforma: sem v…</t>
  </si>
  <si>
    <t>Criado em 30/09 no desconto vinculado ao evento (PRIMEDAY-DESCONTO-10) e marcado 'Inválido — O SKU não oferece frete grátis' na Etapa 3 (aba de erros marcou todos os participantes).</t>
  </si>
  <si>
    <t>DESCARTADA 30/09 — o desconto vinculado ao evento exige frete grátis para envio pelo vendedor; substituída pela EC-020 (desconto comum, mesmo preço R$ 183,18).</t>
  </si>
  <si>
    <t>DESCARTADA 30/09 — sem preço de referência (desconto invisível); fora do Prime Day; recuperar referência para a Black Friday.</t>
  </si>
  <si>
    <t>Criado em 30/09 a 5% (R$ 236,31) e 'Sem preço de referência'; excluído pelo LEO no mesmo dia, antes do descarte do desconto do evento.</t>
  </si>
  <si>
    <t>Criado em 30/09 no desconto vinculado ao evento e marcado 'Inválido — O SKU não oferece frete grátis' na Etapa 3.</t>
  </si>
  <si>
    <t>DESCARTADA 30/09 — mesma regra da EC-017; substituída pela EC-020 (desconto comum, mesmo preço R$ 460,27).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</si>
</sst>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21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08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8"/>
  <sheetViews>
    <sheetView tabSelected="1" topLeftCell="L71" workbookViewId="0">
      <selection activeCell="S89" sqref="S89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COUNTIF(A11:A208,"&lt;&gt;")</f>
        <v>76</v>
      </c>
      <c r="B6" s="3">
        <f>COUNTIF(N11:N208,"SIM")</f>
        <v>76</v>
      </c>
      <c r="C6" s="3">
        <f>COUNTIF(O11:O208,"SIM")</f>
        <v>70</v>
      </c>
      <c r="D6" s="3">
        <f>COUNTIF(P11:P208,"BLOQUEADA*")</f>
        <v>0</v>
      </c>
      <c r="E6" s="3">
        <f>COUNTIF(P11:P208,"EXECUTADA - EM MATURAÇÃO")</f>
        <v>19</v>
      </c>
      <c r="F6" s="4">
        <f>COUNTIF(P11:P208,"EXECUTADA - AVALIADA")</f>
        <v>51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44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44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36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36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36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36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36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36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36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36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36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36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36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36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36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36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36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36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36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33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30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28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28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26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26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21</v>
      </c>
      <c r="S36" t="s">
        <v>584</v>
      </c>
      <c r="T36" t="s">
        <v>585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21</v>
      </c>
      <c r="S37" t="s">
        <v>586</v>
      </c>
      <c r="T37" t="s">
        <v>587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21</v>
      </c>
      <c r="S38" t="s">
        <v>588</v>
      </c>
      <c r="T38" t="s">
        <v>589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21</v>
      </c>
      <c r="S39" t="s">
        <v>590</v>
      </c>
      <c r="T39" t="s">
        <v>591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21</v>
      </c>
      <c r="S40" t="s">
        <v>592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21</v>
      </c>
      <c r="S41" t="s">
        <v>593</v>
      </c>
      <c r="T41" t="s">
        <v>594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21</v>
      </c>
      <c r="S42" t="s">
        <v>595</v>
      </c>
      <c r="T42" t="s">
        <v>596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21</v>
      </c>
      <c r="S43" t="s">
        <v>597</v>
      </c>
      <c r="T43" t="s">
        <v>598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21</v>
      </c>
      <c r="S44" t="s">
        <v>599</v>
      </c>
      <c r="T44" t="s">
        <v>600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21</v>
      </c>
      <c r="S45" t="s">
        <v>601</v>
      </c>
      <c r="T45" t="s">
        <v>602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21</v>
      </c>
      <c r="S46" t="s">
        <v>603</v>
      </c>
      <c r="T46" t="s">
        <v>604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21</v>
      </c>
      <c r="S47" t="s">
        <v>605</v>
      </c>
      <c r="T47" t="s">
        <v>606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607</v>
      </c>
      <c r="T48" t="s">
        <v>608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21</v>
      </c>
      <c r="S49" t="s">
        <v>609</v>
      </c>
      <c r="T49" t="s">
        <v>610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21</v>
      </c>
      <c r="S50" t="s">
        <v>611</v>
      </c>
      <c r="T50" t="s">
        <v>612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21</v>
      </c>
      <c r="S51" t="s">
        <v>613</v>
      </c>
      <c r="T51" t="s">
        <v>614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21</v>
      </c>
      <c r="S52" t="s">
        <v>615</v>
      </c>
      <c r="T52" t="s">
        <v>616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12</v>
      </c>
      <c r="S53" t="s">
        <v>618</v>
      </c>
      <c r="T53" t="s">
        <v>619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12</v>
      </c>
      <c r="S54" t="s">
        <v>620</v>
      </c>
      <c r="T54" t="s">
        <v>621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12</v>
      </c>
      <c r="S55" t="s">
        <v>622</v>
      </c>
      <c r="T55" t="s">
        <v>623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12</v>
      </c>
      <c r="S56" t="s">
        <v>624</v>
      </c>
      <c r="T56" t="s">
        <v>625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12</v>
      </c>
      <c r="S57" t="s">
        <v>626</v>
      </c>
      <c r="T57" t="s">
        <v>627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12</v>
      </c>
      <c r="S58" t="s">
        <v>628</v>
      </c>
      <c r="T58" t="s">
        <v>629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12</v>
      </c>
      <c r="S59" t="s">
        <v>630</v>
      </c>
      <c r="T59" t="s">
        <v>631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12</v>
      </c>
      <c r="S60" t="s">
        <v>632</v>
      </c>
      <c r="T60" t="s">
        <v>633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12</v>
      </c>
      <c r="S61" t="s">
        <v>632</v>
      </c>
      <c r="T61" t="s">
        <v>633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12</v>
      </c>
      <c r="S62" t="s">
        <v>634</v>
      </c>
      <c r="T62" t="s">
        <v>635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8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8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8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8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8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8</v>
      </c>
      <c r="T68" t="s">
        <v>636</v>
      </c>
      <c r="U68" s="50">
        <v>46308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8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8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8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8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/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 t="str">
        <f t="shared" si="0"/>
        <v/>
      </c>
      <c r="R73" s="19" t="str">
        <f t="shared" ca="1" si="2"/>
        <v/>
      </c>
      <c r="U73" s="50">
        <v>46293</v>
      </c>
      <c r="V73" t="s">
        <v>617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/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 t="str">
        <f t="shared" si="0"/>
        <v/>
      </c>
      <c r="R74" s="19" t="str">
        <f t="shared" ca="1" si="2"/>
        <v/>
      </c>
      <c r="U74" s="50">
        <v>46293</v>
      </c>
      <c r="V74" t="s">
        <v>617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>
        <f t="shared" ref="Q75:Q82" si="3">IF(E75="","",E75+1)</f>
        <v>46288</v>
      </c>
      <c r="R75" s="19">
        <f t="shared" ca="1" si="2"/>
        <v>8</v>
      </c>
      <c r="U75" s="50">
        <v>46308</v>
      </c>
      <c r="V75" t="s">
        <v>543</v>
      </c>
    </row>
    <row r="76" spans="1:22">
      <c r="A76" t="s">
        <v>544</v>
      </c>
      <c r="B76" t="s">
        <v>464</v>
      </c>
      <c r="C76" s="48">
        <v>46287</v>
      </c>
      <c r="D76" s="48">
        <v>46287</v>
      </c>
      <c r="E76" s="48"/>
      <c r="F76" t="s">
        <v>527</v>
      </c>
      <c r="G76" t="s">
        <v>545</v>
      </c>
      <c r="H76" t="s">
        <v>529</v>
      </c>
      <c r="I76" t="s">
        <v>546</v>
      </c>
      <c r="J76" t="s">
        <v>547</v>
      </c>
      <c r="K76" t="s">
        <v>548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 t="str">
        <f t="shared" si="3"/>
        <v/>
      </c>
      <c r="R76" s="19" t="str">
        <f t="shared" ca="1" si="2"/>
        <v/>
      </c>
      <c r="U76" s="50">
        <v>46293</v>
      </c>
      <c r="V76" t="s">
        <v>617</v>
      </c>
    </row>
    <row r="77" spans="1:22">
      <c r="A77" t="s">
        <v>549</v>
      </c>
      <c r="B77" t="s">
        <v>464</v>
      </c>
      <c r="C77" s="48">
        <v>46287</v>
      </c>
      <c r="D77" s="48">
        <v>46287</v>
      </c>
      <c r="E77" s="48"/>
      <c r="F77" t="s">
        <v>527</v>
      </c>
      <c r="G77" t="s">
        <v>550</v>
      </c>
      <c r="H77" t="s">
        <v>529</v>
      </c>
      <c r="I77" t="s">
        <v>551</v>
      </c>
      <c r="J77" t="s">
        <v>552</v>
      </c>
      <c r="K77" t="s">
        <v>553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 t="str">
        <f t="shared" si="3"/>
        <v/>
      </c>
      <c r="R77" s="19" t="str">
        <f t="shared" ca="1" si="2"/>
        <v/>
      </c>
      <c r="U77" s="50">
        <v>46293</v>
      </c>
      <c r="V77" t="s">
        <v>617</v>
      </c>
    </row>
    <row r="78" spans="1:22">
      <c r="A78" t="s">
        <v>554</v>
      </c>
      <c r="B78" t="s">
        <v>464</v>
      </c>
      <c r="C78" s="48">
        <v>46287</v>
      </c>
      <c r="D78" s="48">
        <v>46287</v>
      </c>
      <c r="E78" s="48"/>
      <c r="F78" t="s">
        <v>527</v>
      </c>
      <c r="G78" t="s">
        <v>555</v>
      </c>
      <c r="H78" t="s">
        <v>529</v>
      </c>
      <c r="I78" t="s">
        <v>556</v>
      </c>
      <c r="J78" t="s">
        <v>557</v>
      </c>
      <c r="K78" t="s">
        <v>558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 t="str">
        <f t="shared" si="3"/>
        <v/>
      </c>
      <c r="R78" s="19" t="str">
        <f t="shared" ca="1" si="2"/>
        <v/>
      </c>
      <c r="U78" s="50">
        <v>46293</v>
      </c>
      <c r="V78" t="s">
        <v>617</v>
      </c>
    </row>
    <row r="79" spans="1:22">
      <c r="A79" t="s">
        <v>559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560</v>
      </c>
      <c r="H79" t="s">
        <v>529</v>
      </c>
      <c r="I79" t="s">
        <v>561</v>
      </c>
      <c r="J79" t="s">
        <v>562</v>
      </c>
      <c r="K79" t="s">
        <v>563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8</v>
      </c>
      <c r="U79" s="50">
        <v>46308</v>
      </c>
      <c r="V79" t="s">
        <v>564</v>
      </c>
    </row>
    <row r="80" spans="1:22">
      <c r="A80" t="s">
        <v>565</v>
      </c>
      <c r="B80" t="s">
        <v>464</v>
      </c>
      <c r="C80" s="48">
        <v>46287</v>
      </c>
      <c r="D80" s="48">
        <v>46287</v>
      </c>
      <c r="E80" s="48">
        <v>46287</v>
      </c>
      <c r="F80" t="s">
        <v>566</v>
      </c>
      <c r="G80" t="s">
        <v>567</v>
      </c>
      <c r="H80" t="s">
        <v>568</v>
      </c>
      <c r="I80" t="s">
        <v>569</v>
      </c>
      <c r="J80" t="s">
        <v>570</v>
      </c>
      <c r="K80" t="s">
        <v>571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8</v>
      </c>
      <c r="U80" t="s">
        <v>469</v>
      </c>
      <c r="V80" t="s">
        <v>572</v>
      </c>
    </row>
    <row r="81" spans="1:22">
      <c r="A81" t="s">
        <v>573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574</v>
      </c>
      <c r="H81" t="s">
        <v>506</v>
      </c>
      <c r="I81" t="s">
        <v>575</v>
      </c>
      <c r="J81" t="s">
        <v>576</v>
      </c>
      <c r="K81" t="s">
        <v>577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8</v>
      </c>
      <c r="U81" t="s">
        <v>469</v>
      </c>
      <c r="V81" t="s">
        <v>578</v>
      </c>
    </row>
    <row r="82" spans="1:22">
      <c r="A82" t="s">
        <v>579</v>
      </c>
      <c r="B82" t="s">
        <v>464</v>
      </c>
      <c r="C82" s="48">
        <v>46287</v>
      </c>
      <c r="D82" s="48">
        <v>46287</v>
      </c>
      <c r="E82" s="48">
        <v>46287</v>
      </c>
      <c r="F82" t="s">
        <v>580</v>
      </c>
      <c r="G82" t="s">
        <v>146</v>
      </c>
      <c r="H82" t="s">
        <v>138</v>
      </c>
      <c r="I82" t="s">
        <v>581</v>
      </c>
      <c r="J82" t="s">
        <v>515</v>
      </c>
      <c r="K82" t="s">
        <v>582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8</v>
      </c>
      <c r="U82" t="s">
        <v>469</v>
      </c>
      <c r="V82" t="s">
        <v>583</v>
      </c>
    </row>
    <row r="83" spans="1:22">
      <c r="A83" s="10" t="s">
        <v>637</v>
      </c>
      <c r="B83" s="11" t="s">
        <v>215</v>
      </c>
      <c r="C83" s="12">
        <v>46295</v>
      </c>
      <c r="D83" s="12">
        <v>46295</v>
      </c>
      <c r="E83" s="12">
        <v>46295</v>
      </c>
      <c r="F83" s="43" t="s">
        <v>638</v>
      </c>
      <c r="G83" s="43" t="s">
        <v>639</v>
      </c>
      <c r="H83" s="11" t="s">
        <v>408</v>
      </c>
      <c r="I83" s="11" t="s">
        <v>426</v>
      </c>
      <c r="J83" s="11" t="s">
        <v>640</v>
      </c>
      <c r="K83" s="11" t="s">
        <v>641</v>
      </c>
      <c r="L83" s="11" t="s">
        <v>642</v>
      </c>
      <c r="M83" s="11" t="s">
        <v>45</v>
      </c>
      <c r="N83" s="11" t="s">
        <v>40</v>
      </c>
      <c r="O83" s="11" t="s">
        <v>40</v>
      </c>
      <c r="P83" s="11" t="s">
        <v>51</v>
      </c>
      <c r="Q83" s="18">
        <f t="shared" ref="Q83:Q104" si="4">IF(E83="","",E83+1)</f>
        <v>46296</v>
      </c>
      <c r="R83" s="19">
        <f t="shared" ref="R83:R104" ca="1" si="5">IF(E83="","",TODAY()-E83)</f>
        <v>0</v>
      </c>
      <c r="S83" s="43" t="s">
        <v>658</v>
      </c>
      <c r="T83" s="43" t="s">
        <v>659</v>
      </c>
      <c r="U83" s="7"/>
      <c r="V83" s="41" t="s">
        <v>643</v>
      </c>
    </row>
    <row r="84" spans="1:22">
      <c r="A84" s="10" t="s">
        <v>644</v>
      </c>
      <c r="B84" s="11" t="s">
        <v>215</v>
      </c>
      <c r="C84" s="12">
        <v>46295</v>
      </c>
      <c r="D84" s="12">
        <v>46295</v>
      </c>
      <c r="E84" s="12">
        <v>46295</v>
      </c>
      <c r="F84" s="43" t="s">
        <v>638</v>
      </c>
      <c r="G84" s="43" t="s">
        <v>445</v>
      </c>
      <c r="H84" s="11" t="s">
        <v>408</v>
      </c>
      <c r="I84" s="11" t="s">
        <v>446</v>
      </c>
      <c r="J84" s="11" t="s">
        <v>645</v>
      </c>
      <c r="K84" s="11" t="s">
        <v>646</v>
      </c>
      <c r="L84" s="11" t="s">
        <v>642</v>
      </c>
      <c r="M84" s="11" t="s">
        <v>45</v>
      </c>
      <c r="N84" s="11" t="s">
        <v>40</v>
      </c>
      <c r="O84" s="11" t="s">
        <v>40</v>
      </c>
      <c r="P84" s="11" t="s">
        <v>51</v>
      </c>
      <c r="Q84" s="18">
        <f t="shared" si="4"/>
        <v>46296</v>
      </c>
      <c r="R84" s="19">
        <f t="shared" ca="1" si="5"/>
        <v>0</v>
      </c>
      <c r="S84" s="43" t="s">
        <v>661</v>
      </c>
      <c r="T84" s="43" t="s">
        <v>660</v>
      </c>
      <c r="U84" s="7"/>
      <c r="V84" s="41" t="s">
        <v>643</v>
      </c>
    </row>
    <row r="85" spans="1:22">
      <c r="A85" s="10" t="s">
        <v>647</v>
      </c>
      <c r="B85" s="11" t="s">
        <v>215</v>
      </c>
      <c r="C85" s="12">
        <v>46295</v>
      </c>
      <c r="D85" s="12">
        <v>46295</v>
      </c>
      <c r="E85" s="12">
        <v>46295</v>
      </c>
      <c r="F85" s="43" t="s">
        <v>638</v>
      </c>
      <c r="G85" s="43" t="s">
        <v>440</v>
      </c>
      <c r="H85" s="11" t="s">
        <v>408</v>
      </c>
      <c r="I85" s="11" t="s">
        <v>441</v>
      </c>
      <c r="J85" s="11" t="s">
        <v>648</v>
      </c>
      <c r="K85" s="11" t="s">
        <v>649</v>
      </c>
      <c r="L85" s="11" t="s">
        <v>642</v>
      </c>
      <c r="M85" s="11" t="s">
        <v>45</v>
      </c>
      <c r="N85" s="11" t="s">
        <v>40</v>
      </c>
      <c r="O85" s="11" t="s">
        <v>40</v>
      </c>
      <c r="P85" s="11" t="s">
        <v>51</v>
      </c>
      <c r="Q85" s="18">
        <f t="shared" si="4"/>
        <v>46296</v>
      </c>
      <c r="R85" s="19">
        <f t="shared" ca="1" si="5"/>
        <v>0</v>
      </c>
      <c r="S85" s="43" t="s">
        <v>662</v>
      </c>
      <c r="T85" s="43" t="s">
        <v>663</v>
      </c>
      <c r="U85" s="7">
        <v>46308</v>
      </c>
      <c r="V85" s="41" t="s">
        <v>643</v>
      </c>
    </row>
    <row r="86" spans="1:22">
      <c r="A86" s="10" t="s">
        <v>650</v>
      </c>
      <c r="B86" s="11" t="s">
        <v>215</v>
      </c>
      <c r="C86" s="12">
        <v>46295</v>
      </c>
      <c r="D86" s="12">
        <v>46295</v>
      </c>
      <c r="E86" s="12">
        <v>46295</v>
      </c>
      <c r="F86" s="43" t="s">
        <v>651</v>
      </c>
      <c r="G86" s="43" t="s">
        <v>652</v>
      </c>
      <c r="H86" s="11" t="s">
        <v>408</v>
      </c>
      <c r="I86" s="11" t="s">
        <v>653</v>
      </c>
      <c r="J86" s="11" t="s">
        <v>654</v>
      </c>
      <c r="K86" s="11" t="s">
        <v>655</v>
      </c>
      <c r="L86" s="11" t="s">
        <v>656</v>
      </c>
      <c r="M86" s="11" t="s">
        <v>45</v>
      </c>
      <c r="N86" s="11" t="s">
        <v>40</v>
      </c>
      <c r="O86" s="11" t="s">
        <v>40</v>
      </c>
      <c r="P86" s="11" t="s">
        <v>47</v>
      </c>
      <c r="Q86" s="18">
        <f t="shared" si="4"/>
        <v>46296</v>
      </c>
      <c r="R86" s="19">
        <f t="shared" ca="1" si="5"/>
        <v>0</v>
      </c>
      <c r="S86" s="43"/>
      <c r="T86" s="43"/>
      <c r="U86" s="7">
        <v>46308</v>
      </c>
      <c r="V86" s="41" t="s">
        <v>657</v>
      </c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ref="Q105:Q136" si="6">IF(E105="","",E105+1)</f>
        <v/>
      </c>
      <c r="R105" s="19" t="str">
        <f t="shared" ref="R105:R136" ca="1" si="7">IF(E105="","",TODAY()-E105)</f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6"/>
        <v/>
      </c>
      <c r="R106" s="19" t="str">
        <f t="shared" ca="1" si="7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si="6"/>
        <v/>
      </c>
      <c r="R107" s="19" t="str">
        <f t="shared" ca="1" si="7"/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ref="Q137:Q168" si="8">IF(E137="","",E137+1)</f>
        <v/>
      </c>
      <c r="R137" s="19" t="str">
        <f t="shared" ref="R137:R168" ca="1" si="9">IF(E137="","",TODAY()-E137)</f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8"/>
        <v/>
      </c>
      <c r="R138" s="19" t="str">
        <f t="shared" ca="1" si="9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si="8"/>
        <v/>
      </c>
      <c r="R139" s="19" t="str">
        <f t="shared" ca="1" si="9"/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4"/>
      <c r="J158" s="24"/>
      <c r="K158" s="24"/>
      <c r="L158" s="24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6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4"/>
      <c r="J159" s="24"/>
      <c r="K159" s="24"/>
      <c r="L159" s="24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6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ref="Q169:Q200" si="10">IF(E169="","",E169+1)</f>
        <v/>
      </c>
      <c r="R169" s="19" t="str">
        <f t="shared" ref="R169:R200" ca="1" si="11">IF(E169="","",TODAY()-E169)</f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10"/>
        <v/>
      </c>
      <c r="R170" s="19" t="str">
        <f t="shared" ca="1" si="11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si="10"/>
        <v/>
      </c>
      <c r="R171" s="19" t="str">
        <f t="shared" ca="1" si="11"/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ref="Q201:Q208" si="12">IF(E201="","",E201+1)</f>
        <v/>
      </c>
      <c r="R201" s="19" t="str">
        <f t="shared" ref="R201:R208" ca="1" si="13">IF(E201="","",TODAY()-E201)</f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2"/>
        <v/>
      </c>
      <c r="R202" s="19" t="str">
        <f t="shared" ca="1" si="13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si="12"/>
        <v/>
      </c>
      <c r="R203" s="19" t="str">
        <f t="shared" ca="1" si="13"/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3"/>
      <c r="B208" s="14"/>
      <c r="C208" s="15"/>
      <c r="D208" s="15"/>
      <c r="E208" s="15"/>
      <c r="F208" s="23"/>
      <c r="G208" s="23"/>
      <c r="H208" s="14"/>
      <c r="I208" s="25"/>
      <c r="J208" s="25"/>
      <c r="K208" s="25"/>
      <c r="L208" s="25"/>
      <c r="M208" s="14"/>
      <c r="N208" s="14"/>
      <c r="O208" s="14"/>
      <c r="P208" s="14"/>
      <c r="Q208" s="20" t="str">
        <f t="shared" si="12"/>
        <v/>
      </c>
      <c r="R208" s="21" t="str">
        <f t="shared" ca="1" si="13"/>
        <v/>
      </c>
      <c r="S208" s="23"/>
      <c r="T208" s="23"/>
      <c r="U208" s="8"/>
      <c r="V208" s="27"/>
    </row>
  </sheetData>
  <mergeCells count="5">
    <mergeCell ref="A1:V1"/>
    <mergeCell ref="A2:V2"/>
    <mergeCell ref="A3:V3"/>
    <mergeCell ref="H5:V6"/>
    <mergeCell ref="A8:V8"/>
  </mergeCells>
  <conditionalFormatting sqref="P11:P208">
    <cfRule type="expression" dxfId="20" priority="1">
      <formula>P11="RECOMENDADA"</formula>
    </cfRule>
    <cfRule type="expression" dxfId="19" priority="2">
      <formula>P11="APROVADA - AGUARDANDO EXECUÇÃO"</formula>
    </cfRule>
    <cfRule type="expression" dxfId="18" priority="3">
      <formula>P11="EXECUTADA - EM MATURAÇÃO"</formula>
    </cfRule>
    <cfRule type="expression" dxfId="17" priority="4">
      <formula>P11="EXECUTADA - AVALIADA"</formula>
    </cfRule>
    <cfRule type="expression" dxfId="16" priority="5">
      <formula>P11="APROVADA - NÃO EXECUTADA"</formula>
    </cfRule>
    <cfRule type="expression" dxfId="15" priority="6">
      <formula>P11="REJEITADA"</formula>
    </cfRule>
    <cfRule type="expression" dxfId="14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H31:H208</xm:sqref>
        </x14:dataValidation>
        <x14:dataValidation type="list">
          <x14:formula1>
            <xm:f>Listas!$G$4:$G$6</xm:f>
          </x14:formula1>
          <xm:sqref>M11:M208</xm:sqref>
        </x14:dataValidation>
        <x14:dataValidation type="list">
          <x14:formula1>
            <xm:f>Listas!$E$4:$E$6</xm:f>
          </x14:formula1>
          <xm:sqref>N11:O208</xm:sqref>
        </x14:dataValidation>
        <x14:dataValidation type="list">
          <x14:formula1>
            <xm:f>Listas!$C$4:$C$11</xm:f>
          </x14:formula1>
          <xm:sqref>P11:P208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2026-09-30T17:11:48Z</dcterms:modified>
</cp:coreProperties>
</file>