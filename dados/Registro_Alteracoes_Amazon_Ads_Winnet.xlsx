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<sst xmlns="http://schemas.openxmlformats.org/spreadsheetml/2006/main" count="1192" uniqueCount="620">
  <si>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</si>
  <si>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</si>
  <si>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</si>
  <si>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</si>
  <si>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</si>
  <si>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</si>
  <si>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</si>
  <si>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</si>
  <si>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</si>
  <si>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</si>
  <si>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</si>
  <si>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</si>
  <si>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</si>
  <si>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</si>
  <si>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</si>
  <si>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</si>
  <si>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</si>
  <si>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</si>
  <si>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</si>
  <si>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</si>
  <si>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</si>
  <si>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</si>
  <si>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</si>
  <si>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</si>
  <si>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</si>
  <si>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</si>
  <si>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</si>
  <si>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</si>
  <si>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</si>
  <si>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</si>
  <si>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</si>
  <si>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</si>
  <si>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</si>
  <si>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</si>
  <si>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</si>
  <si>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</si>
  <si>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</si>
  <si>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</si>
  <si>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</si>
  <si>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</si>
  <si>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</si>
  <si>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</si>
  <si>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</si>
  <si>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</si>
  <si>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</si>
  <si>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</si>
  <si>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</si>
  <si>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</si>
  <si>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</si>
  <si>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</si>
  <si>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</si>
  <si>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</si>
  <si>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</si>
  <si>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</si>
  <si>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</si>
  <si>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</si>
  <si>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</si>
  <si>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</si>
  <si>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</si>
  <si>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</si>
  <si>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</si>
  <si>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</si>
  <si>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</si>
  <si>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</si>
  <si>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</si>
  <si>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</si>
  <si>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</si>
  <si>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</si>
  <si>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</si>
  <si>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</si>
  <si>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</si>
  <si>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</si>
  <si>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</si>
  <si>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</si>
  <si>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</si>
  <si>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</si>
  <si>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</si>
  <si>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</si>
  <si>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</si>
  <si>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</si>
  <si>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</si>
  <si>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</si>
  <si>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</si>
  <si>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</si>
  <si>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</si>
  <si>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</si>
  <si>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</si>
  <si>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</si>
  <si>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</si>
  <si>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</si>
  <si>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</si>
  <si>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</si>
  <si>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</si>
  <si>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</si>
  <si>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</si>
  <si>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</si>
  <si>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</si>
  <si>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</si>
  <si>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</si>
  <si>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</si>
  <si>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</si>
  <si>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</si>
  <si>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</si>
  <si>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</si>
  <si>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</si>
  <si>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</si>
  <si>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</si>
  <si>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</si>
  <si>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</si>
  <si>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</si>
  <si>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</si>
  <si>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</si>
  <si>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</si>
  <si>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</si>
  <si>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</si>
  <si>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</si>
  <si>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</si>
  <si>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</si>
  <si>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</si>
  <si>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</si>
  <si>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</si>
  <si>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</si>
  <si>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</si>
  <si>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</si>
  <si>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</si>
  <si>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</si>
  <si>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</si>
  <si>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</si>
  <si>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</si>
  <si>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</si>
  <si>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</si>
  <si>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</si>
  <si>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</si>
  <si>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</si>
  <si>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</si>
  <si>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</si>
  <si>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</si>
  <si>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</si>
  <si>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</si>
  <si>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</si>
  <si>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</si>
  <si>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</si>
  <si>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</si>
  <si>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</si>
  <si>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</si>
  <si>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</si>
  <si>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</si>
  <si>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</si>
  <si>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</si>
  <si>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</si>
  <si>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</si>
  <si>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</si>
  <si>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</si>
  <si>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</si>
  <si>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</si>
  <si>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</si>
  <si>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</si>
  <si>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</si>
  <si>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</si>
  <si>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</si>
  <si>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</si>
  <si>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</si>
  <si>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</si>
  <si>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</si>
  <si>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</si>
  <si>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</si>
  <si>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</si>
  <si>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</si>
  <si>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</si>
  <si>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</si>
  <si>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</si>
  <si>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</si>
  <si>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</si>
  <si>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</si>
  <si>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</si>
  <si>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</si>
  <si>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</si>
  <si>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</si>
  <si>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</si>
  <si>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</si>
  <si>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</si>
  <si>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</si>
  <si>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</si>
  <si>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</si>
  <si>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</si>
  <si>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</si>
  <si>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</si>
  <si>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</si>
  <si>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</si>
  <si>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</si>
  <si>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</si>
  <si>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</si>
  <si>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</si>
  <si>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</si>
  <si>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</si>
  <si>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</si>
  <si>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</si>
  <si>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</si>
  <si>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</si>
  <si>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</si>
  <si>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</si>
  <si>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</si>
  <si>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</si>
  <si>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</si>
  <si>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</si>
  <si>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</si>
  <si>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</si>
  <si>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</si>
  <si>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</si>
  <si>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</si>
  <si>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</si>
  <si>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</si>
  <si>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</si>
  <si>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</si>
  <si>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</si>
  <si>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</si>
  <si>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</si>
  <si>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</si>
  <si>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</si>
  <si>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</si>
  <si>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</si>
  <si>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</si>
  <si>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</si>
  <si>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</si>
  <si>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</si>
  <si>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</si>
  <si>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</si>
  <si>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</si>
  <si>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</si>
  <si>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</si>
  <si>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</si>
  <si>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</si>
  <si>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</si>
  <si>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</si>
  <si>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</si>
  <si>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</si>
  <si>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</si>
  <si>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</si>
  <si>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</si>
  <si>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</si>
  <si>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</si>
  <si>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</si>
  <si>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</si>
  <si>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</si>
  <si>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</si>
  <si>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</si>
  <si>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</si>
  <si>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</si>
  <si>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</si>
  <si>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</si>
  <si>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</si>
  <si>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</si>
  <si>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</si>
  <si>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</si>
  <si>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</si>
  <si>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</si>
  <si>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</si>
  <si>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</si>
  <si>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</si>
  <si>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</si>
  <si>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</si>
  <si>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</si>
  <si>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</si>
  <si>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</si>
  <si>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</si>
  <si>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</si>
  <si>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</si>
  <si>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</si>
  <si>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</si>
  <si>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</si>
  <si>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</si>
  <si>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</si>
  <si>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</si>
  <si>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</si>
  <si>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</si>
  <si>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</si>
  <si>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</si>
  <si>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</si>
  <si>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</si>
  <si>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</si>
  <si>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</si>
  <si>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</si>
  <si>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</si>
  <si>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</si>
  <si>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</si>
  <si>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</si>
  <si>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</si>
  <si>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</si>
  <si>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</si>
  <si>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</si>
  <si>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</si>
  <si>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</si>
  <si>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</si>
  <si>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</si>
  <si>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</si>
  <si>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</si>
  <si>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</si>
  <si>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</si>
  <si>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</si>
  <si>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</si>
  <si>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</si>
  <si>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</si>
  <si>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</si>
  <si>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</si>
  <si>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</si>
  <si>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</si>
  <si>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</si>
  <si>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</si>
  <si>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</si>
  <si>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</si>
  <si>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</si>
  <si>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</si>
  <si>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</si>
  <si>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</si>
  <si>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</si>
  <si>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</si>
  <si>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</si>
  <si>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</si>
  <si>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</si>
  <si>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</si>
  <si>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</si>
  <si>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</si>
  <si>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</si>
  <si>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</si>
  <si>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</si>
  <si>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</si>
  <si>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</si>
  <si>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</si>
  <si>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</si>
  <si>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</si>
  <si>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</si>
  <si>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</si>
  <si>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</si>
  <si>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</si>
  <si>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</si>
  <si>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</si>
  <si>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</si>
  <si>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</si>
  <si>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</si>
  <si>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</si>
  <si>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</si>
  <si>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</si>
  <si>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</si>
  <si>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</si>
  <si>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</si>
  <si>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</si>
  <si>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</si>
  <si>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</si>
  <si>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</si>
  <si>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</si>
  <si>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</si>
  <si>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</si>
  <si>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</si>
  <si>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</si>
  <si>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</si>
  <si>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</si>
  <si>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</si>
  <si>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</si>
  <si>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</si>
  <si>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</si>
  <si>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</si>
  <si>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</si>
  <si>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</si>
  <si>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</si>
  <si>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</si>
  <si>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</si>
  <si>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</si>
  <si>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</si>
  <si>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</si>
  <si>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</si>
  <si>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</si>
  <si>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</si>
  <si>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</si>
  <si>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</si>
  <si>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</si>
  <si>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</si>
  <si>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</si>
  <si>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</si>
  <si>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</si>
  <si>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</si>
  <si>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</si>
  <si>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</si>
  <si>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</si>
  <si>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</si>
  <si>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</si>
  <si>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</si>
  <si>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</si>
  <si>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</si>
  <si>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</si>
  <si>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</si>
  <si>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</si>
  <si>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</si>
  <si>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</si>
  <si>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</si>
  <si>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</si>
  <si>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</si>
  <si>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</si>
  <si>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</si>
  <si>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</si>
  <si>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</si>
  <si>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</si>
  <si>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</si>
  <si>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</si>
  <si>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</si>
  <si>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</si>
  <si>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</si>
  <si>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</si>
  <si>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</si>
  <si>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</si>
  <si>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</si>
  <si>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</si>
  <si>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</si>
  <si>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</si>
  <si>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</si>
  <si>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</si>
  <si>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</si>
  <si>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</si>
  <si>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</si>
  <si>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</si>
  <si>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</si>
  <si>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</si>
  <si>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</si>
  <si>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</si>
  <si>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</si>
  <si>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</si>
  <si>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</si>
  <si>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</si>
  <si>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</si>
  <si>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</si>
  <si>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</si>
  <si>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</si>
  <si>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</si>
  <si>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</si>
  <si>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</si>
  <si>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</si>
  <si>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</si>
  <si>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</si>
  <si>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</si>
  <si>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</si>
  <si>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</si>
  <si>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</si>
  <si>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</si>
  <si>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</si>
  <si>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</si>
  <si>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</si>
  <si>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</si>
  <si>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</si>
  <si>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</si>
  <si>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</si>
  <si>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</si>
  <si>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</si>
  <si>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</si>
  <si>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</si>
  <si>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</si>
  <si>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</si>
  <si>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</si>
  <si>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</si>
  <si>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</si>
  <si>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</si>
  <si>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</si>
  <si>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</si>
  <si>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</si>
  <si>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</si>
  <si>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</si>
  <si>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</si>
  <si>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</si>
  <si>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</si>
  <si>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</si>
  <si>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</si>
  <si>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</si>
  <si>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</si>
  <si>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</si>
  <si>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</si>
  <si>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</si>
  <si>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</si>
  <si>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</si>
  <si>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</si>
  <si>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</si>
  <si>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</si>
  <si>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</si>
  <si>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</si>
  <si>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</si>
  <si>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</si>
  <si>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</si>
  <si>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</si>
  <si>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</si>
  <si>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</si>
  <si>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</si>
  <si>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</si>
  <si>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</si>
  <si>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</si>
  <si>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</si>
  <si>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</si>
  <si>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</si>
  <si>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</si>
  <si>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</si>
  <si>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</si>
  <si>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</si>
  <si>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</si>
  <si>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</si>
  <si>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</si>
  <si>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</si>
  <si>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</si>
  <si>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</si>
  <si>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</si>
  <si>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</si>
  <si>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</si>
  <si>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</si>
  <si>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</si>
  <si>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</si>
  <si>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</si>
  <si>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</si>
  <si>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</si>
  <si>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</si>
  <si>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</si>
  <si>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</si>
  <si>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</si>
  <si>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</si>
  <si>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</si>
  <si>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</si>
  <si>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</si>
  <si>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</si>
  <si>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</si>
  <si>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</si>
  <si>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</si>
  <si>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</si>
  <si>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</si>
  <si>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</si>
  <si>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</si>
  <si>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</si>
  <si>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</si>
  <si>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</si>
  <si>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</si>
  <si>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</si>
  <si>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</si>
  <si>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</si>
  <si>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</si>
  <si>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</si>
  <si>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</si>
  <si>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</si>
  <si>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</si>
  <si>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</si>
  <si>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</si>
  <si>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</si>
  <si>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</si>
  <si>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</si>
  <si>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</si>
  <si>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</si>
  <si>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</si>
  <si>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</si>
  <si>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</si>
  <si>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</si>
  <si>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</si>
  <si>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</si>
  <si>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</si>
  <si>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</si>
  <si>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</si>
  <si>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</si>
  <si>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</si>
  <si>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</si>
  <si>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</si>
  <si>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</si>
  <si>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</si>
  <si>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</si>
  <si>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</si>
  <si>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</si>
  <si>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</si>
  <si>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</si>
  <si>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</si>
  <si>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</si>
  <si>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</si>
  <si>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</si>
  <si>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</si>
  <si>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</si>
  <si>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</si>
  <si>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</si>
  <si>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</si>
  <si>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</si>
  <si>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</si>
  <si>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</si>
  <si>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</si>
  <si>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</si>
  <si>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</si>
  <si>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</si>
  <si>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</si>
  <si>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</si>
  <si>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</si>
  <si>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</si>
  <si>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</si>
  <si>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</si>
  <si>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</si>
  <si>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</si>
  <si>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</si>
  <si>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</si>
  <si>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</si>
  <si>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</si>
  <si>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</si>
  <si>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</si>
  <si>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</si>
  <si>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</si>
  <si>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</si>
  <si>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</si>
  <si>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</si>
  <si>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</si>
  <si>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</si>
  <si>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</si>
  <si>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</si>
  <si>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</si>
  <si>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</si>
  <si>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</si>
  <si>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</si>
  <si>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</si>
  <si>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</si>
  <si>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</si>
  <si>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</si>
  <si>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</si>
  <si>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</si>
  <si>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</si>
  <si>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</si>
  <si>
    <t>não elegível na lista de 22/09; reconferir 28/09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</si>
</sst>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21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R71" workbookViewId="0">
      <selection activeCell="V73" sqref="V7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66</v>
      </c>
      <c r="D6" s="3">
        <f>COUNTIF(P11:P210,"BLOQUEADA*")</f>
        <v>0</v>
      </c>
      <c r="E6" s="3">
        <f>COUNTIF(P11:P210,"EXECUTADA - EM MATURAÇÃO")</f>
        <v>28</v>
      </c>
      <c r="F6" s="4">
        <f>COUNTIF(P11:P210,"EXECUTADA - AVALIADA")</f>
        <v>38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36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36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28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28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28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28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28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28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28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28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28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28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28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28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28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28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28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28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28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25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22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20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20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18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18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13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13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13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13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13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13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13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13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13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13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13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13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13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13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13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13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46" t="s">
        <v>47</v>
      </c>
      <c r="Q53" s="18">
        <f t="shared" si="0"/>
        <v>46284</v>
      </c>
      <c r="R53" s="19">
        <f t="shared" ca="1" si="2"/>
        <v>4</v>
      </c>
      <c r="S53" t="s">
        <v>617</v>
      </c>
      <c r="T53" t="s">
        <v>618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46" t="s">
        <v>47</v>
      </c>
      <c r="Q54" s="18">
        <f t="shared" si="0"/>
        <v>46284</v>
      </c>
      <c r="R54" s="19">
        <f t="shared" ca="1" si="2"/>
        <v>4</v>
      </c>
      <c r="S54" t="s">
        <v>617</v>
      </c>
      <c r="T54" t="s">
        <v>618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46" t="s">
        <v>47</v>
      </c>
      <c r="Q55" s="18">
        <f t="shared" si="0"/>
        <v>46284</v>
      </c>
      <c r="R55" s="19">
        <f t="shared" ca="1" si="2"/>
        <v>4</v>
      </c>
      <c r="S55" t="s">
        <v>617</v>
      </c>
      <c r="T55" t="s">
        <v>618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46" t="s">
        <v>47</v>
      </c>
      <c r="Q56" s="18">
        <f t="shared" si="0"/>
        <v>46284</v>
      </c>
      <c r="R56" s="19">
        <f t="shared" ca="1" si="2"/>
        <v>4</v>
      </c>
      <c r="S56" t="s">
        <v>617</v>
      </c>
      <c r="T56" t="s">
        <v>618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46" t="s">
        <v>47</v>
      </c>
      <c r="Q57" s="18">
        <f t="shared" si="0"/>
        <v>46284</v>
      </c>
      <c r="R57" s="19">
        <f t="shared" ca="1" si="2"/>
        <v>4</v>
      </c>
      <c r="S57" t="s">
        <v>617</v>
      </c>
      <c r="T57" t="s">
        <v>618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46" t="s">
        <v>47</v>
      </c>
      <c r="Q58" s="18">
        <f t="shared" si="0"/>
        <v>46284</v>
      </c>
      <c r="R58" s="19">
        <f t="shared" ca="1" si="2"/>
        <v>4</v>
      </c>
      <c r="S58" t="s">
        <v>617</v>
      </c>
      <c r="T58" t="s">
        <v>618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46" t="s">
        <v>47</v>
      </c>
      <c r="Q59" s="18">
        <f t="shared" si="0"/>
        <v>46284</v>
      </c>
      <c r="R59" s="19">
        <f t="shared" ca="1" si="2"/>
        <v>4</v>
      </c>
      <c r="S59" t="s">
        <v>617</v>
      </c>
      <c r="T59" t="s">
        <v>618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46" t="s">
        <v>47</v>
      </c>
      <c r="Q60" s="18">
        <f t="shared" si="0"/>
        <v>46284</v>
      </c>
      <c r="R60" s="19">
        <f t="shared" ca="1" si="2"/>
        <v>4</v>
      </c>
      <c r="S60" t="s">
        <v>617</v>
      </c>
      <c r="T60" t="s">
        <v>618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46" t="s">
        <v>47</v>
      </c>
      <c r="Q61" s="18">
        <f t="shared" si="0"/>
        <v>46284</v>
      </c>
      <c r="R61" s="19">
        <f t="shared" ca="1" si="2"/>
        <v>4</v>
      </c>
      <c r="S61" t="s">
        <v>617</v>
      </c>
      <c r="T61" t="s">
        <v>618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46" t="s">
        <v>47</v>
      </c>
      <c r="Q62" s="18">
        <f t="shared" si="0"/>
        <v>46284</v>
      </c>
      <c r="R62" s="19">
        <f t="shared" ca="1" si="2"/>
        <v>4</v>
      </c>
      <c r="S62" t="s">
        <v>617</v>
      </c>
      <c r="T62" t="s">
        <v>618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0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0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0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0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0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0</v>
      </c>
      <c r="U68" s="50">
        <v>46293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0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0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0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0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619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619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/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 t="str">
        <f t="shared" ref="Q75:Q82" si="3">IF(E75="","",E75+1)</f>
        <v/>
      </c>
      <c r="R75" s="19" t="str">
        <f t="shared" ca="1" si="2"/>
        <v/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619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619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619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0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0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0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0</v>
      </c>
      <c r="U82" t="s">
        <v>469</v>
      </c>
      <c r="V82" t="s">
        <v>583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83:Q106" si="4">IF(E83="","",E83+1)</f>
        <v/>
      </c>
      <c r="R83" s="19" t="str">
        <f t="shared" ref="R83:R106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20" priority="1">
      <formula>P11="RECOMENDADA"</formula>
    </cfRule>
    <cfRule type="expression" dxfId="19" priority="2">
      <formula>P11="APROVADA - AGUARDANDO EXECUÇÃO"</formula>
    </cfRule>
    <cfRule type="expression" dxfId="18" priority="3">
      <formula>P11="EXECUTADA - EM MATURAÇÃO"</formula>
    </cfRule>
    <cfRule type="expression" dxfId="17" priority="4">
      <formula>P11="EXECUTADA - AVALIADA"</formula>
    </cfRule>
    <cfRule type="expression" dxfId="16" priority="5">
      <formula>P11="APROVADA - NÃO EXECUTADA"</formula>
    </cfRule>
    <cfRule type="expression" dxfId="15" priority="6">
      <formula>P11="REJEITADA"</formula>
    </cfRule>
    <cfRule type="expression" dxfId="14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2026-09-22T18:54:08Z</dcterms:modified>
</cp:coreProperties>
</file>