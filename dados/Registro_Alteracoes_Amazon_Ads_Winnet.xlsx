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<sst xmlns="http://schemas.openxmlformats.org/spreadsheetml/2006/main" count="2340" uniqueCount="638">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</sst>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35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L36" workbookViewId="0">
      <selection activeCell="P61" sqref="P61:P62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COUNTIF(A11:A210,"&lt;&gt;")</f>
        <v>72</v>
      </c>
      <c r="B6" s="3">
        <f>COUNTIF(N11:N210,"SIM")</f>
        <v>72</v>
      </c>
      <c r="C6" s="3">
        <f>COUNTIF(O11:O210,"SIM")</f>
        <v>66</v>
      </c>
      <c r="D6" s="3">
        <f>COUNTIF(P11:P210,"BLOQUEADA*")</f>
        <v>0</v>
      </c>
      <c r="E6" s="3">
        <f>COUNTIF(P11:P210,"EXECUTADA - EM MATURAÇÃO")</f>
        <v>18</v>
      </c>
      <c r="F6" s="4">
        <f>COUNTIF(P11:P210,"EXECUTADA - AVALIADA")</f>
        <v>48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42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42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34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34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34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34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34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34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34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34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34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34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34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34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34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34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34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34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34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31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28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26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26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24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24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19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19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19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19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19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19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19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19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19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19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19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19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19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19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19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19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10</v>
      </c>
      <c r="S53" t="s">
        <v>620</v>
      </c>
      <c r="T53" t="s">
        <v>621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10</v>
      </c>
      <c r="S54" t="s">
        <v>622</v>
      </c>
      <c r="T54" t="s">
        <v>623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10</v>
      </c>
      <c r="S55" t="s">
        <v>624</v>
      </c>
      <c r="T55" t="s">
        <v>625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10</v>
      </c>
      <c r="S56" t="s">
        <v>626</v>
      </c>
      <c r="T56" t="s">
        <v>627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10</v>
      </c>
      <c r="S57" t="s">
        <v>628</v>
      </c>
      <c r="T57" t="s">
        <v>629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10</v>
      </c>
      <c r="S58" t="s">
        <v>630</v>
      </c>
      <c r="T58" t="s">
        <v>631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10</v>
      </c>
      <c r="S59" t="s">
        <v>632</v>
      </c>
      <c r="T59" t="s">
        <v>633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10</v>
      </c>
      <c r="S60" t="s">
        <v>634</v>
      </c>
      <c r="T60" t="s">
        <v>635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10</v>
      </c>
      <c r="S61" t="s">
        <v>634</v>
      </c>
      <c r="T61" t="s">
        <v>635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10</v>
      </c>
      <c r="S62" t="s">
        <v>636</v>
      </c>
      <c r="T62" t="s">
        <v>637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6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6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6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6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6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6</v>
      </c>
      <c r="U68" s="50">
        <v>46293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6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6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6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6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619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619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6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619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619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619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6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6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6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6</v>
      </c>
      <c r="U82" t="s">
        <v>469</v>
      </c>
      <c r="V82" t="s">
        <v>583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83:Q106" si="4">IF(E83="","",E83+1)</f>
        <v/>
      </c>
      <c r="R83" s="19" t="str">
        <f t="shared" ref="R83:R106" ca="1" si="5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34" priority="1">
      <formula>P11="RECOMENDADA"</formula>
    </cfRule>
    <cfRule type="expression" dxfId="33" priority="2">
      <formula>P11="APROVADA - AGUARDANDO EXECUÇÃO"</formula>
    </cfRule>
    <cfRule type="expression" dxfId="32" priority="3">
      <formula>P11="EXECUTADA - EM MATURAÇÃO"</formula>
    </cfRule>
    <cfRule type="expression" dxfId="31" priority="4">
      <formula>P11="EXECUTADA - AVALIADA"</formula>
    </cfRule>
    <cfRule type="expression" dxfId="30" priority="5">
      <formula>P11="APROVADA - NÃO EXECUTADA"</formula>
    </cfRule>
    <cfRule type="expression" dxfId="29" priority="6">
      <formula>P11="REJEITADA"</formula>
    </cfRule>
    <cfRule type="expression" dxfId="28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2026-09-28T15:15:38Z</dcterms:modified>
</cp:coreProperties>
</file>