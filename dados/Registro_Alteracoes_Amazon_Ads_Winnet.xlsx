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<sst xmlns="http://schemas.openxmlformats.org/spreadsheetml/2006/main" count="1190" uniqueCount="622">
  <si>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</si>
  <si>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</si>
  <si>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</si>
  <si>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</si>
  <si>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</si>
  <si>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</si>
  <si>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</si>
  <si>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</si>
  <si>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</si>
  <si>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</si>
  <si>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</si>
  <si>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</si>
  <si>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</si>
  <si>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</si>
  <si>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</si>
  <si>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</si>
  <si>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</si>
  <si>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</si>
  <si>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</si>
  <si>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</si>
  <si>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</si>
  <si>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</si>
  <si>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</si>
  <si>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</si>
  <si>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</si>
  <si>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</si>
  <si>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</si>
  <si>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</si>
  <si>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</si>
  <si>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</si>
  <si>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</si>
  <si>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</si>
  <si>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</si>
  <si>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</si>
  <si>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</si>
  <si>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</si>
  <si>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</si>
  <si>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</si>
  <si>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</si>
  <si>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</si>
  <si>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</si>
  <si>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</si>
  <si>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</si>
  <si>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</si>
  <si>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</si>
  <si>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</si>
  <si>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</si>
  <si>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</si>
  <si>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</si>
  <si>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</si>
  <si>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</si>
  <si>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</si>
  <si>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</si>
  <si>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</si>
  <si>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</si>
  <si>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</si>
  <si>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</si>
  <si>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</si>
  <si>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</si>
  <si>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</si>
  <si>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</si>
  <si>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</si>
  <si>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</si>
  <si>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</si>
  <si>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</si>
  <si>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</si>
  <si>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</si>
  <si>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</si>
  <si>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</si>
  <si>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</si>
  <si>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</si>
  <si>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</si>
  <si>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</si>
  <si>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</si>
  <si>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</si>
  <si>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</si>
  <si>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</si>
  <si>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</si>
  <si>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</si>
  <si>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</si>
  <si>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</si>
  <si>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</si>
  <si>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</si>
  <si>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</si>
  <si>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</si>
  <si>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</si>
  <si>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</si>
  <si>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</si>
  <si>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</si>
  <si>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</si>
  <si>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</si>
  <si>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</si>
  <si>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</si>
  <si>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</si>
  <si>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</si>
  <si>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</si>
  <si>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</si>
  <si>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</si>
  <si>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</si>
  <si>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</si>
  <si>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</si>
  <si>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</si>
  <si>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</si>
  <si>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</si>
  <si>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</si>
  <si>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</si>
  <si>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</si>
  <si>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</si>
  <si>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</si>
  <si>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</si>
  <si>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</si>
  <si>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</si>
  <si>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</si>
  <si>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</si>
  <si>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</si>
  <si>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</si>
  <si>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</si>
  <si>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</si>
  <si>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</si>
  <si>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</si>
  <si>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</si>
  <si>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</si>
  <si>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</si>
  <si>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</si>
  <si>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</si>
  <si>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</si>
  <si>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</si>
  <si>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</si>
  <si>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</si>
  <si>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</si>
  <si>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</si>
  <si>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</si>
  <si>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</si>
  <si>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</si>
  <si>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</si>
  <si>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</si>
  <si>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</si>
  <si>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</si>
  <si>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</si>
  <si>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</si>
  <si>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</si>
  <si>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</si>
  <si>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</si>
  <si>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</si>
  <si>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</si>
  <si>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</si>
  <si>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</si>
  <si>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</si>
  <si>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</si>
  <si>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</si>
  <si>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</si>
  <si>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</si>
  <si>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</si>
  <si>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</si>
  <si>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</si>
  <si>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</si>
  <si>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</si>
  <si>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</si>
  <si>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</si>
  <si>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</si>
  <si>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</si>
  <si>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</si>
  <si>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</si>
  <si>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</si>
  <si>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</si>
  <si>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</si>
  <si>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</si>
  <si>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</si>
  <si>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</si>
  <si>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</si>
  <si>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</si>
  <si>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</si>
  <si>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</si>
  <si>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</si>
  <si>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</si>
  <si>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</si>
  <si>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</si>
  <si>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</si>
  <si>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</si>
  <si>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</si>
  <si>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</si>
  <si>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</si>
  <si>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</si>
  <si>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</si>
  <si>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</si>
  <si>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</si>
  <si>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</si>
  <si>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</si>
  <si>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</si>
  <si>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</si>
  <si>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</si>
  <si>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</si>
  <si>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</si>
  <si>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</si>
  <si>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</si>
  <si>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</si>
  <si>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</si>
  <si>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</si>
  <si>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</si>
  <si>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</si>
  <si>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</si>
  <si>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</si>
  <si>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</si>
  <si>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</si>
  <si>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</si>
  <si>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</si>
  <si>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</si>
  <si>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</si>
  <si>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</si>
  <si>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</si>
  <si>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</si>
  <si>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</si>
  <si>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</si>
  <si>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</si>
  <si>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</si>
  <si>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</si>
  <si>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</si>
  <si>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</si>
  <si>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</si>
  <si>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</si>
  <si>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</si>
  <si>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</si>
  <si>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</si>
  <si>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</si>
  <si>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</si>
  <si>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</si>
  <si>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</si>
  <si>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</si>
  <si>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</si>
  <si>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</si>
  <si>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</si>
  <si>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</si>
  <si>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</si>
  <si>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</si>
  <si>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</si>
  <si>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</si>
  <si>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</si>
  <si>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</si>
  <si>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</si>
  <si>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</si>
  <si>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</si>
  <si>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</si>
  <si>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</si>
  <si>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</si>
  <si>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</si>
  <si>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</si>
  <si>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</si>
  <si>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</si>
  <si>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</si>
  <si>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</si>
  <si>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</si>
  <si>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</si>
  <si>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</si>
  <si>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</si>
  <si>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</si>
  <si>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</si>
  <si>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</si>
  <si>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</si>
  <si>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</si>
  <si>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</si>
  <si>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</si>
  <si>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</si>
  <si>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</si>
  <si>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</si>
  <si>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</si>
  <si>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</si>
  <si>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</si>
  <si>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</si>
  <si>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</si>
  <si>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</si>
  <si>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</si>
  <si>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</si>
  <si>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</si>
  <si>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</si>
  <si>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</si>
  <si>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</si>
  <si>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</si>
  <si>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</si>
  <si>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</si>
  <si>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</si>
  <si>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</si>
  <si>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</si>
  <si>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</si>
  <si>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</si>
  <si>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</si>
  <si>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</si>
  <si>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</si>
  <si>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</si>
  <si>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</si>
  <si>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</si>
  <si>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</si>
  <si>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</si>
  <si>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</si>
  <si>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</si>
  <si>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</si>
  <si>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</si>
  <si>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</si>
  <si>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</si>
  <si>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</si>
  <si>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</si>
  <si>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</si>
  <si>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</si>
  <si>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</si>
  <si>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</si>
  <si>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</si>
  <si>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</si>
  <si>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</si>
  <si>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</si>
  <si>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</si>
  <si>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</si>
  <si>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</si>
  <si>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</si>
  <si>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</si>
  <si>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</si>
  <si>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</si>
  <si>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</si>
  <si>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</si>
  <si>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</si>
  <si>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</si>
  <si>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</si>
  <si>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</si>
  <si>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</si>
  <si>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</si>
  <si>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</si>
  <si>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</si>
  <si>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</si>
  <si>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</si>
  <si>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</si>
  <si>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</si>
  <si>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</si>
  <si>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</si>
  <si>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</si>
  <si>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</si>
  <si>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</si>
  <si>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</si>
  <si>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</si>
  <si>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</si>
  <si>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</si>
  <si>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</si>
  <si>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</si>
  <si>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</si>
  <si>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</si>
  <si>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</si>
  <si>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</si>
  <si>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</si>
  <si>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</si>
  <si>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</si>
  <si>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</si>
  <si>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</si>
  <si>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</si>
  <si>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</si>
  <si>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</si>
  <si>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</si>
  <si>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</si>
  <si>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</si>
  <si>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</si>
  <si>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</si>
  <si>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</si>
  <si>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</si>
  <si>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</si>
  <si>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</si>
  <si>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</si>
  <si>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</si>
  <si>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</si>
  <si>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</si>
  <si>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</si>
  <si>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</si>
  <si>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</si>
  <si>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</si>
  <si>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</si>
  <si>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</si>
  <si>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</si>
  <si>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</si>
  <si>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</si>
  <si>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</si>
  <si>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</si>
  <si>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</si>
  <si>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</si>
  <si>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</si>
  <si>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</si>
  <si>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</si>
  <si>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</si>
  <si>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</si>
  <si>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</si>
  <si>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</si>
  <si>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</si>
  <si>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</si>
  <si>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</si>
  <si>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</si>
  <si>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</si>
  <si>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</si>
  <si>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</si>
  <si>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</si>
  <si>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</si>
  <si>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</si>
  <si>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</si>
  <si>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</si>
  <si>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</si>
  <si>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</si>
  <si>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</si>
  <si>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</si>
  <si>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</si>
  <si>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</si>
  <si>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</si>
  <si>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</si>
  <si>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</si>
  <si>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</si>
  <si>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</si>
  <si>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</si>
  <si>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</si>
  <si>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</si>
  <si>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</si>
  <si>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</si>
  <si>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</si>
  <si>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</si>
  <si>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</si>
  <si>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</si>
  <si>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</si>
  <si>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</si>
  <si>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</si>
  <si>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</si>
  <si>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</si>
  <si>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</si>
  <si>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</si>
  <si>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</si>
  <si>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</si>
  <si>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</si>
  <si>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</si>
  <si>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</si>
  <si>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</si>
  <si>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</si>
  <si>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</si>
  <si>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</si>
  <si>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</si>
  <si>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</si>
  <si>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</si>
  <si>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</si>
  <si>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</si>
  <si>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</si>
  <si>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</si>
  <si>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</si>
  <si>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</si>
  <si>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</si>
  <si>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</si>
  <si>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</si>
  <si>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</si>
  <si>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</si>
  <si>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</si>
  <si>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</si>
  <si>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</si>
  <si>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</si>
  <si>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</si>
  <si>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</si>
  <si>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</si>
  <si>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</si>
  <si>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</si>
  <si>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</si>
  <si>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</si>
  <si>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</si>
  <si>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</si>
  <si>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</si>
  <si>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</si>
  <si>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</si>
  <si>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</si>
  <si>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</si>
  <si>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</si>
  <si>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</si>
  <si>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</si>
  <si>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</si>
  <si>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</si>
  <si>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</si>
  <si>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</si>
  <si>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</si>
  <si>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</si>
  <si>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</si>
  <si>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</si>
  <si>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</si>
  <si>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</si>
  <si>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</si>
  <si>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</si>
  <si>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</si>
  <si>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</si>
  <si>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</si>
  <si>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</si>
  <si>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</si>
  <si>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</si>
  <si>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</si>
  <si>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</si>
  <si>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</si>
  <si>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</si>
  <si>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</si>
  <si>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</si>
  <si>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</si>
  <si>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</si>
  <si>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</si>
  <si>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</si>
  <si>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</si>
  <si>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</si>
  <si>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</si>
  <si>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</si>
  <si>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</si>
  <si>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</si>
  <si>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</si>
  <si>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</si>
  <si>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</si>
  <si>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</si>
  <si>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</si>
  <si>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</si>
  <si>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</si>
  <si>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</si>
  <si>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</si>
  <si>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</si>
  <si>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</si>
  <si>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</si>
  <si>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</si>
  <si>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</si>
  <si>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</si>
  <si>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</si>
  <si>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</si>
  <si>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</si>
  <si>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</si>
  <si>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</si>
  <si>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</si>
  <si>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</si>
  <si>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</si>
  <si>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</si>
  <si>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</si>
  <si>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</si>
  <si>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</si>
  <si>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</si>
  <si>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</si>
  <si>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</si>
  <si>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</si>
  <si>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Relâmpago vetada (EC-004). Conferir o preço de referência calculado pela Amazon na tela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</si>
  <si>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</si>
  <si>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</si>
  <si>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</si>
  <si>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</si>
  <si>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</si>
  <si>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</si>
  <si>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</si>
  <si>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</si>
  <si>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</si>
  <si>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</si>
  <si>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</si>
  <si>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</si>
  <si>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</si>
  <si>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</si>
  <si>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</si>
  <si>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</si>
  <si>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</si>
  <si>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</si>
  <si>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</si>
  <si>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</si>
  <si>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</si>
  <si>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Classe Grandes: frete real = cobrado (sem subsídio de tabela)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</si>
  <si>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</si>
  <si>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</si>
  <si>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</si>
  <si>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</si>
  <si>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</si>
  <si>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LEO confirma na submissão se mantém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</si>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</sst>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14" fontId="0" fillId="0" borderId="0" xfId="0" applyNumberFormat="1"/>
    <xf numFmtId="8" fontId="0" fillId="0" borderId="0" xfId="0" applyNumberFormat="1"/>
    <xf numFmtId="16" fontId="0" fillId="0" borderId="0" xfId="0" applyNumberForma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</cellXfs>
  <cellStyles count="2">
    <cellStyle name="Normal" xfId="0" builtinId="0"/>
    <cellStyle name="Normal 2" xfId="1"/>
  </cellStyles>
  <dxfs count="14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L59" workbookViewId="0">
      <selection activeCell="Q71" sqref="Q71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</row>
    <row r="2" spans="1:22" ht="30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</row>
    <row r="3" spans="1:22" ht="27.95" customHeight="1">
      <c r="A3" s="53" t="s">
        <v>2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4" t="s">
        <v>9</v>
      </c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71</v>
      </c>
      <c r="D6" s="3">
        <f>COUNTIF(P11:P210,"BLOQUEADA*")</f>
        <v>0</v>
      </c>
      <c r="E6" s="3">
        <f>COUNTIF(P11:P210,"EXECUTADA - EM MATURAÇÃO")</f>
        <v>33</v>
      </c>
      <c r="F6" s="4">
        <f>COUNTIF(P11:P210,"EXECUTADA - AVALIADA")</f>
        <v>38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</row>
    <row r="8" spans="1:22" ht="21.95" customHeight="1">
      <c r="A8" s="55" t="s">
        <v>10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13</v>
      </c>
      <c r="S36" t="s">
        <v>587</v>
      </c>
      <c r="T36" t="s">
        <v>588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13</v>
      </c>
      <c r="S37" t="s">
        <v>589</v>
      </c>
      <c r="T37" t="s">
        <v>590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13</v>
      </c>
      <c r="S38" t="s">
        <v>591</v>
      </c>
      <c r="T38" t="s">
        <v>592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13</v>
      </c>
      <c r="S39" t="s">
        <v>593</v>
      </c>
      <c r="T39" t="s">
        <v>594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13</v>
      </c>
      <c r="S40" t="s">
        <v>595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13</v>
      </c>
      <c r="S41" t="s">
        <v>596</v>
      </c>
      <c r="T41" t="s">
        <v>597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13</v>
      </c>
      <c r="S42" t="s">
        <v>598</v>
      </c>
      <c r="T42" t="s">
        <v>599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13</v>
      </c>
      <c r="S43" t="s">
        <v>600</v>
      </c>
      <c r="T43" t="s">
        <v>601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13</v>
      </c>
      <c r="S44" t="s">
        <v>602</v>
      </c>
      <c r="T44" t="s">
        <v>603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13</v>
      </c>
      <c r="S45" t="s">
        <v>604</v>
      </c>
      <c r="T45" t="s">
        <v>605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13</v>
      </c>
      <c r="S46" t="s">
        <v>606</v>
      </c>
      <c r="T46" t="s">
        <v>607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13</v>
      </c>
      <c r="S47" t="s">
        <v>608</v>
      </c>
      <c r="T47" t="s">
        <v>609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610</v>
      </c>
      <c r="T48" t="s">
        <v>611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13</v>
      </c>
      <c r="S49" t="s">
        <v>612</v>
      </c>
      <c r="T49" t="s">
        <v>613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13</v>
      </c>
      <c r="S50" t="s">
        <v>614</v>
      </c>
      <c r="T50" t="s">
        <v>615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13</v>
      </c>
      <c r="S51" t="s">
        <v>616</v>
      </c>
      <c r="T51" t="s">
        <v>617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13</v>
      </c>
      <c r="S52" t="s">
        <v>618</v>
      </c>
      <c r="T52" t="s">
        <v>619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18">
        <f t="shared" si="0"/>
        <v>46284</v>
      </c>
      <c r="R53" s="19">
        <f t="shared" ca="1" si="2"/>
        <v>4</v>
      </c>
      <c r="S53" t="s">
        <v>620</v>
      </c>
      <c r="T53" t="s">
        <v>621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18">
        <f t="shared" si="0"/>
        <v>46284</v>
      </c>
      <c r="R54" s="19">
        <f t="shared" ca="1" si="2"/>
        <v>4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18">
        <f t="shared" si="0"/>
        <v>46284</v>
      </c>
      <c r="R55" s="19">
        <f t="shared" ca="1" si="2"/>
        <v>4</v>
      </c>
      <c r="S55" t="s">
        <v>620</v>
      </c>
      <c r="T55" t="s">
        <v>621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18">
        <f t="shared" si="0"/>
        <v>46284</v>
      </c>
      <c r="R56" s="19">
        <f t="shared" ca="1" si="2"/>
        <v>4</v>
      </c>
      <c r="S56" t="s">
        <v>620</v>
      </c>
      <c r="T56" t="s">
        <v>621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18">
        <f t="shared" si="0"/>
        <v>46284</v>
      </c>
      <c r="R57" s="19">
        <f t="shared" ca="1" si="2"/>
        <v>4</v>
      </c>
      <c r="S57" t="s">
        <v>620</v>
      </c>
      <c r="T57" t="s">
        <v>621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18">
        <f t="shared" si="0"/>
        <v>46284</v>
      </c>
      <c r="R58" s="19">
        <f t="shared" ca="1" si="2"/>
        <v>4</v>
      </c>
      <c r="S58" t="s">
        <v>620</v>
      </c>
      <c r="T58" t="s">
        <v>621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18">
        <f t="shared" si="0"/>
        <v>46284</v>
      </c>
      <c r="R59" s="19">
        <f t="shared" ca="1" si="2"/>
        <v>4</v>
      </c>
      <c r="S59" t="s">
        <v>620</v>
      </c>
      <c r="T59" t="s">
        <v>621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18">
        <f t="shared" si="0"/>
        <v>46284</v>
      </c>
      <c r="R60" s="19">
        <f t="shared" ca="1" si="2"/>
        <v>4</v>
      </c>
      <c r="S60" t="s">
        <v>620</v>
      </c>
      <c r="T60" t="s">
        <v>621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18">
        <f t="shared" si="0"/>
        <v>46284</v>
      </c>
      <c r="R61" s="19">
        <f t="shared" ca="1" si="2"/>
        <v>4</v>
      </c>
      <c r="S61" t="s">
        <v>620</v>
      </c>
      <c r="T61" t="s">
        <v>621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18">
        <f t="shared" si="0"/>
        <v>46284</v>
      </c>
      <c r="R62" s="19">
        <f t="shared" ca="1" si="2"/>
        <v>4</v>
      </c>
      <c r="S62" t="s">
        <v>620</v>
      </c>
      <c r="T62" t="s">
        <v>621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48">
        <v>46287</v>
      </c>
      <c r="D63" s="48">
        <v>46287</v>
      </c>
      <c r="E63" s="48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s="46" t="s">
        <v>40</v>
      </c>
      <c r="P63" s="46" t="s">
        <v>47</v>
      </c>
      <c r="Q63" s="18">
        <f t="shared" si="0"/>
        <v>46288</v>
      </c>
      <c r="R63" s="19">
        <f t="shared" ca="1" si="2"/>
        <v>0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48">
        <v>46287</v>
      </c>
      <c r="D64" s="48">
        <v>46287</v>
      </c>
      <c r="E64" s="48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s="46" t="s">
        <v>40</v>
      </c>
      <c r="P64" s="46" t="s">
        <v>47</v>
      </c>
      <c r="Q64" s="18">
        <f t="shared" si="0"/>
        <v>46288</v>
      </c>
      <c r="R64" s="19">
        <f t="shared" ca="1" si="2"/>
        <v>0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48">
        <v>46287</v>
      </c>
      <c r="D65" s="48">
        <v>46287</v>
      </c>
      <c r="E65" s="48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s="46" t="s">
        <v>40</v>
      </c>
      <c r="P65" s="46" t="s">
        <v>47</v>
      </c>
      <c r="Q65" s="18">
        <f t="shared" si="0"/>
        <v>46288</v>
      </c>
      <c r="R65" s="19">
        <f t="shared" ca="1" si="2"/>
        <v>0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48">
        <v>46287</v>
      </c>
      <c r="D66" s="48">
        <v>46287</v>
      </c>
      <c r="E66" s="48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s="46" t="s">
        <v>40</v>
      </c>
      <c r="P66" s="46" t="s">
        <v>47</v>
      </c>
      <c r="Q66" s="18">
        <f t="shared" si="0"/>
        <v>46288</v>
      </c>
      <c r="R66" s="19">
        <f t="shared" ca="1" si="2"/>
        <v>0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48">
        <v>46287</v>
      </c>
      <c r="D67" s="48">
        <v>46287</v>
      </c>
      <c r="E67" s="48">
        <v>46287</v>
      </c>
      <c r="F67" t="s">
        <v>264</v>
      </c>
      <c r="G67" t="s">
        <v>277</v>
      </c>
      <c r="H67" t="s">
        <v>42</v>
      </c>
      <c r="I67" s="49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s="46" t="s">
        <v>40</v>
      </c>
      <c r="P67" s="46" t="s">
        <v>47</v>
      </c>
      <c r="Q67" s="18">
        <f t="shared" si="0"/>
        <v>46288</v>
      </c>
      <c r="R67" s="19">
        <f t="shared" ca="1" si="2"/>
        <v>0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48">
        <v>46287</v>
      </c>
      <c r="D68" s="48">
        <v>46287</v>
      </c>
      <c r="E68" s="48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s="46" t="s">
        <v>40</v>
      </c>
      <c r="P68" s="46" t="s">
        <v>47</v>
      </c>
      <c r="Q68" s="18">
        <f t="shared" si="0"/>
        <v>46288</v>
      </c>
      <c r="R68" s="19">
        <f t="shared" ca="1" si="2"/>
        <v>0</v>
      </c>
      <c r="U68" s="50">
        <v>46293</v>
      </c>
      <c r="V68" t="s">
        <v>497</v>
      </c>
    </row>
    <row r="69" spans="1:22">
      <c r="A69" t="s">
        <v>498</v>
      </c>
      <c r="B69" t="s">
        <v>464</v>
      </c>
      <c r="C69" s="48">
        <v>46287</v>
      </c>
      <c r="D69" s="48">
        <v>46287</v>
      </c>
      <c r="E69" s="48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s="46" t="s">
        <v>40</v>
      </c>
      <c r="P69" s="46" t="s">
        <v>47</v>
      </c>
      <c r="Q69" s="18">
        <f t="shared" si="0"/>
        <v>46288</v>
      </c>
      <c r="R69" s="19">
        <f t="shared" ca="1" si="2"/>
        <v>0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48">
        <v>46287</v>
      </c>
      <c r="D70" s="48">
        <v>46287</v>
      </c>
      <c r="E70" s="48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s="46" t="s">
        <v>40</v>
      </c>
      <c r="P70" s="46" t="s">
        <v>47</v>
      </c>
      <c r="Q70" s="18">
        <f t="shared" si="0"/>
        <v>46288</v>
      </c>
      <c r="R70" s="19">
        <f t="shared" ca="1" si="2"/>
        <v>0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48">
        <v>46287</v>
      </c>
      <c r="D71" s="48">
        <v>46287</v>
      </c>
      <c r="E71" s="48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s="46" t="s">
        <v>40</v>
      </c>
      <c r="P71" s="46" t="s">
        <v>47</v>
      </c>
      <c r="Q71" s="18">
        <f t="shared" si="0"/>
        <v>46288</v>
      </c>
      <c r="R71" s="19">
        <f t="shared" ca="1" si="2"/>
        <v>0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48">
        <v>46287</v>
      </c>
      <c r="D72" s="48">
        <v>46287</v>
      </c>
      <c r="E72" s="48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s="46" t="s">
        <v>40</v>
      </c>
      <c r="P72" s="46" t="s">
        <v>47</v>
      </c>
      <c r="Q72" s="18">
        <f t="shared" si="0"/>
        <v>46288</v>
      </c>
      <c r="R72" s="19">
        <f t="shared" ca="1" si="2"/>
        <v>0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48">
        <v>46287</v>
      </c>
      <c r="D73" s="48">
        <v>46287</v>
      </c>
      <c r="E73" s="48">
        <v>46287</v>
      </c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s="46" t="s">
        <v>40</v>
      </c>
      <c r="P73" s="46" t="s">
        <v>47</v>
      </c>
      <c r="Q73" s="18">
        <f t="shared" si="0"/>
        <v>46288</v>
      </c>
      <c r="R73" s="19">
        <f t="shared" ca="1" si="2"/>
        <v>0</v>
      </c>
      <c r="U73" s="50">
        <v>46308</v>
      </c>
      <c r="V73" t="s">
        <v>533</v>
      </c>
    </row>
    <row r="74" spans="1:22">
      <c r="A74" t="s">
        <v>534</v>
      </c>
      <c r="B74" t="s">
        <v>464</v>
      </c>
      <c r="C74" s="48">
        <v>46287</v>
      </c>
      <c r="D74" s="48">
        <v>46287</v>
      </c>
      <c r="E74" s="48">
        <v>46287</v>
      </c>
      <c r="F74" t="s">
        <v>527</v>
      </c>
      <c r="G74" t="s">
        <v>535</v>
      </c>
      <c r="H74" t="s">
        <v>529</v>
      </c>
      <c r="I74" t="s">
        <v>536</v>
      </c>
      <c r="J74" t="s">
        <v>537</v>
      </c>
      <c r="K74" t="s">
        <v>538</v>
      </c>
      <c r="L74" t="s">
        <v>468</v>
      </c>
      <c r="M74" t="s">
        <v>45</v>
      </c>
      <c r="N74" t="s">
        <v>40</v>
      </c>
      <c r="O74" s="46" t="s">
        <v>40</v>
      </c>
      <c r="P74" s="46" t="s">
        <v>47</v>
      </c>
      <c r="Q74" s="18">
        <f t="shared" si="0"/>
        <v>46288</v>
      </c>
      <c r="R74" s="19">
        <f t="shared" ca="1" si="2"/>
        <v>0</v>
      </c>
      <c r="U74" s="50">
        <v>46308</v>
      </c>
    </row>
    <row r="75" spans="1:22">
      <c r="A75" t="s">
        <v>539</v>
      </c>
      <c r="B75" t="s">
        <v>464</v>
      </c>
      <c r="C75" s="48">
        <v>46287</v>
      </c>
      <c r="D75" s="48">
        <v>46287</v>
      </c>
      <c r="E75" s="48">
        <v>46287</v>
      </c>
      <c r="F75" t="s">
        <v>527</v>
      </c>
      <c r="G75" t="s">
        <v>540</v>
      </c>
      <c r="H75" t="s">
        <v>529</v>
      </c>
      <c r="I75" t="s">
        <v>541</v>
      </c>
      <c r="J75" t="s">
        <v>542</v>
      </c>
      <c r="K75" t="s">
        <v>543</v>
      </c>
      <c r="L75" t="s">
        <v>468</v>
      </c>
      <c r="M75" t="s">
        <v>45</v>
      </c>
      <c r="N75" t="s">
        <v>40</v>
      </c>
      <c r="O75" s="46" t="s">
        <v>40</v>
      </c>
      <c r="P75" s="46" t="s">
        <v>47</v>
      </c>
      <c r="Q75" s="18">
        <f t="shared" ref="Q75:Q82" si="3">IF(E75="","",E75+1)</f>
        <v>46288</v>
      </c>
      <c r="R75" s="19">
        <f t="shared" ca="1" si="2"/>
        <v>0</v>
      </c>
      <c r="U75" s="50">
        <v>46308</v>
      </c>
      <c r="V75" t="s">
        <v>544</v>
      </c>
    </row>
    <row r="76" spans="1:22">
      <c r="A76" t="s">
        <v>545</v>
      </c>
      <c r="B76" t="s">
        <v>464</v>
      </c>
      <c r="C76" s="48">
        <v>46287</v>
      </c>
      <c r="D76" s="48">
        <v>46287</v>
      </c>
      <c r="E76" s="48">
        <v>46287</v>
      </c>
      <c r="F76" t="s">
        <v>527</v>
      </c>
      <c r="G76" t="s">
        <v>546</v>
      </c>
      <c r="H76" t="s">
        <v>529</v>
      </c>
      <c r="I76" t="s">
        <v>547</v>
      </c>
      <c r="J76" t="s">
        <v>548</v>
      </c>
      <c r="K76" t="s">
        <v>549</v>
      </c>
      <c r="L76" t="s">
        <v>468</v>
      </c>
      <c r="M76" t="s">
        <v>45</v>
      </c>
      <c r="N76" t="s">
        <v>40</v>
      </c>
      <c r="O76" s="46" t="s">
        <v>40</v>
      </c>
      <c r="P76" s="46" t="s">
        <v>47</v>
      </c>
      <c r="Q76" s="18">
        <f t="shared" si="3"/>
        <v>46288</v>
      </c>
      <c r="R76" s="19">
        <f t="shared" ca="1" si="2"/>
        <v>0</v>
      </c>
      <c r="U76" s="50">
        <v>46308</v>
      </c>
    </row>
    <row r="77" spans="1:22">
      <c r="A77" t="s">
        <v>550</v>
      </c>
      <c r="B77" t="s">
        <v>464</v>
      </c>
      <c r="C77" s="48">
        <v>46287</v>
      </c>
      <c r="D77" s="48">
        <v>46287</v>
      </c>
      <c r="E77" s="48">
        <v>46287</v>
      </c>
      <c r="F77" t="s">
        <v>527</v>
      </c>
      <c r="G77" t="s">
        <v>551</v>
      </c>
      <c r="H77" t="s">
        <v>529</v>
      </c>
      <c r="I77" t="s">
        <v>552</v>
      </c>
      <c r="J77" t="s">
        <v>553</v>
      </c>
      <c r="K77" t="s">
        <v>554</v>
      </c>
      <c r="L77" t="s">
        <v>468</v>
      </c>
      <c r="M77" t="s">
        <v>45</v>
      </c>
      <c r="N77" t="s">
        <v>40</v>
      </c>
      <c r="O77" s="46" t="s">
        <v>40</v>
      </c>
      <c r="P77" s="46" t="s">
        <v>47</v>
      </c>
      <c r="Q77" s="18">
        <f t="shared" si="3"/>
        <v>46288</v>
      </c>
      <c r="R77" s="19">
        <f t="shared" ca="1" si="2"/>
        <v>0</v>
      </c>
      <c r="U77" s="50">
        <v>46308</v>
      </c>
      <c r="V77" t="s">
        <v>555</v>
      </c>
    </row>
    <row r="78" spans="1:22">
      <c r="A78" t="s">
        <v>556</v>
      </c>
      <c r="B78" t="s">
        <v>464</v>
      </c>
      <c r="C78" s="48">
        <v>46287</v>
      </c>
      <c r="D78" s="48">
        <v>46287</v>
      </c>
      <c r="E78" s="48">
        <v>46287</v>
      </c>
      <c r="F78" t="s">
        <v>527</v>
      </c>
      <c r="G78" t="s">
        <v>557</v>
      </c>
      <c r="H78" t="s">
        <v>529</v>
      </c>
      <c r="I78" t="s">
        <v>558</v>
      </c>
      <c r="J78" t="s">
        <v>559</v>
      </c>
      <c r="K78" t="s">
        <v>560</v>
      </c>
      <c r="L78" t="s">
        <v>468</v>
      </c>
      <c r="M78" t="s">
        <v>45</v>
      </c>
      <c r="N78" t="s">
        <v>40</v>
      </c>
      <c r="O78" s="46" t="s">
        <v>40</v>
      </c>
      <c r="P78" s="46" t="s">
        <v>47</v>
      </c>
      <c r="Q78" s="18">
        <f t="shared" si="3"/>
        <v>46288</v>
      </c>
      <c r="R78" s="19">
        <f t="shared" ca="1" si="2"/>
        <v>0</v>
      </c>
      <c r="U78" s="50">
        <v>46308</v>
      </c>
      <c r="V78" t="s">
        <v>561</v>
      </c>
    </row>
    <row r="79" spans="1:22">
      <c r="A79" t="s">
        <v>562</v>
      </c>
      <c r="B79" t="s">
        <v>464</v>
      </c>
      <c r="C79" s="48">
        <v>46287</v>
      </c>
      <c r="D79" s="48">
        <v>46287</v>
      </c>
      <c r="E79" s="48">
        <v>46287</v>
      </c>
      <c r="F79" t="s">
        <v>527</v>
      </c>
      <c r="G79" t="s">
        <v>563</v>
      </c>
      <c r="H79" t="s">
        <v>529</v>
      </c>
      <c r="I79" t="s">
        <v>564</v>
      </c>
      <c r="J79" t="s">
        <v>565</v>
      </c>
      <c r="K79" t="s">
        <v>566</v>
      </c>
      <c r="L79" t="s">
        <v>468</v>
      </c>
      <c r="M79" t="s">
        <v>45</v>
      </c>
      <c r="N79" t="s">
        <v>40</v>
      </c>
      <c r="O79" s="46" t="s">
        <v>40</v>
      </c>
      <c r="P79" s="46" t="s">
        <v>47</v>
      </c>
      <c r="Q79" s="18">
        <f t="shared" si="3"/>
        <v>46288</v>
      </c>
      <c r="R79" s="19">
        <f t="shared" ca="1" si="2"/>
        <v>0</v>
      </c>
      <c r="U79" s="50">
        <v>46308</v>
      </c>
      <c r="V79" t="s">
        <v>567</v>
      </c>
    </row>
    <row r="80" spans="1:22">
      <c r="A80" t="s">
        <v>568</v>
      </c>
      <c r="B80" t="s">
        <v>464</v>
      </c>
      <c r="C80" s="48">
        <v>46287</v>
      </c>
      <c r="D80" s="48">
        <v>46287</v>
      </c>
      <c r="E80" s="48">
        <v>46287</v>
      </c>
      <c r="F80" t="s">
        <v>569</v>
      </c>
      <c r="G80" t="s">
        <v>570</v>
      </c>
      <c r="H80" t="s">
        <v>571</v>
      </c>
      <c r="I80" t="s">
        <v>572</v>
      </c>
      <c r="J80" t="s">
        <v>573</v>
      </c>
      <c r="K80" t="s">
        <v>574</v>
      </c>
      <c r="L80" t="s">
        <v>468</v>
      </c>
      <c r="M80" t="s">
        <v>41</v>
      </c>
      <c r="N80" t="s">
        <v>40</v>
      </c>
      <c r="O80" s="46" t="s">
        <v>40</v>
      </c>
      <c r="P80" s="46" t="s">
        <v>47</v>
      </c>
      <c r="Q80" s="18">
        <f t="shared" si="3"/>
        <v>46288</v>
      </c>
      <c r="R80" s="19">
        <f t="shared" ca="1" si="2"/>
        <v>0</v>
      </c>
      <c r="U80" t="s">
        <v>469</v>
      </c>
      <c r="V80" t="s">
        <v>575</v>
      </c>
    </row>
    <row r="81" spans="1:22">
      <c r="A81" t="s">
        <v>576</v>
      </c>
      <c r="B81" t="s">
        <v>464</v>
      </c>
      <c r="C81" s="48">
        <v>46287</v>
      </c>
      <c r="D81" s="48">
        <v>46287</v>
      </c>
      <c r="E81" s="48">
        <v>46287</v>
      </c>
      <c r="F81" t="s">
        <v>264</v>
      </c>
      <c r="G81" t="s">
        <v>577</v>
      </c>
      <c r="H81" t="s">
        <v>506</v>
      </c>
      <c r="I81" t="s">
        <v>578</v>
      </c>
      <c r="J81" t="s">
        <v>579</v>
      </c>
      <c r="K81" t="s">
        <v>580</v>
      </c>
      <c r="L81" t="s">
        <v>468</v>
      </c>
      <c r="M81" t="s">
        <v>45</v>
      </c>
      <c r="N81" t="s">
        <v>40</v>
      </c>
      <c r="O81" s="46" t="s">
        <v>40</v>
      </c>
      <c r="P81" s="46" t="s">
        <v>47</v>
      </c>
      <c r="Q81" s="18">
        <f t="shared" si="3"/>
        <v>46288</v>
      </c>
      <c r="R81" s="19">
        <f t="shared" ca="1" si="2"/>
        <v>0</v>
      </c>
      <c r="U81" t="s">
        <v>469</v>
      </c>
      <c r="V81" t="s">
        <v>581</v>
      </c>
    </row>
    <row r="82" spans="1:22">
      <c r="A82" t="s">
        <v>582</v>
      </c>
      <c r="B82" t="s">
        <v>464</v>
      </c>
      <c r="C82" s="48">
        <v>46287</v>
      </c>
      <c r="D82" s="48">
        <v>46287</v>
      </c>
      <c r="E82" s="48">
        <v>46287</v>
      </c>
      <c r="F82" t="s">
        <v>583</v>
      </c>
      <c r="G82" t="s">
        <v>146</v>
      </c>
      <c r="H82" t="s">
        <v>138</v>
      </c>
      <c r="I82" t="s">
        <v>584</v>
      </c>
      <c r="J82" t="s">
        <v>515</v>
      </c>
      <c r="K82" t="s">
        <v>585</v>
      </c>
      <c r="L82" t="s">
        <v>468</v>
      </c>
      <c r="M82" t="s">
        <v>41</v>
      </c>
      <c r="N82" t="s">
        <v>40</v>
      </c>
      <c r="O82" s="46" t="s">
        <v>40</v>
      </c>
      <c r="P82" s="46" t="s">
        <v>47</v>
      </c>
      <c r="Q82" s="18">
        <f t="shared" si="3"/>
        <v>46288</v>
      </c>
      <c r="R82" s="19">
        <f t="shared" ca="1" si="2"/>
        <v>0</v>
      </c>
      <c r="U82" t="s">
        <v>469</v>
      </c>
      <c r="V82" t="s">
        <v>586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83:Q106" si="4">IF(E83="","",E83+1)</f>
        <v/>
      </c>
      <c r="R83" s="19" t="str">
        <f t="shared" ref="R83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13" priority="1">
      <formula>P11="RECOMENDADA"</formula>
    </cfRule>
    <cfRule type="expression" dxfId="12" priority="2">
      <formula>P11="APROVADA - AGUARDANDO EXECUÇÃO"</formula>
    </cfRule>
    <cfRule type="expression" dxfId="11" priority="3">
      <formula>P11="EXECUTADA - EM MATURAÇÃO"</formula>
    </cfRule>
    <cfRule type="expression" dxfId="10" priority="4">
      <formula>P11="EXECUTADA - AVALIADA"</formula>
    </cfRule>
    <cfRule type="expression" dxfId="9" priority="5">
      <formula>P11="APROVADA - NÃO EXECUTADA"</formula>
    </cfRule>
    <cfRule type="expression" dxfId="8" priority="6">
      <formula>P11="REJEITADA"</formula>
    </cfRule>
    <cfRule type="expression" dxfId="7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6" t="s">
        <v>33</v>
      </c>
      <c r="B1" s="56"/>
      <c r="C1" s="56"/>
      <c r="D1" s="56"/>
      <c r="E1" s="56"/>
      <c r="F1" s="56"/>
      <c r="G1" s="56"/>
      <c r="H1" s="56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7" t="s">
        <v>64</v>
      </c>
      <c r="B18" s="57"/>
      <c r="C18" s="57"/>
      <c r="D18" s="57"/>
      <c r="E18" s="57"/>
      <c r="F18" s="57"/>
      <c r="G18" s="57"/>
      <c r="H18" s="57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2026-09-22T18:08:14Z</dcterms:modified>
</cp:coreProperties>
</file>