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75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14" fontId="0" fillId="5" borderId="14" applyAlignment="1" pivotButton="0" quotePrefix="0" xfId="0">
      <alignment horizontal="center" vertical="center"/>
    </xf>
    <xf numFmtId="1" fontId="0" fillId="5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vertic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69" t="inlineStr">
        <is>
          <t>EC-022</t>
        </is>
      </c>
      <c r="B106" s="69" t="inlineStr">
        <is>
          <t>entre-ciclos</t>
        </is>
      </c>
      <c r="C106" s="70" t="n">
        <v>46316</v>
      </c>
      <c r="D106" s="70" t="n">
        <v>46316</v>
      </c>
      <c r="E106" s="70" t="n">
        <v>46316</v>
      </c>
      <c r="F106" s="71" t="inlineStr">
        <is>
          <t>Listing Q2460-B (B0H7YNMBBK)</t>
        </is>
      </c>
      <c r="G106" s="71" t="inlineStr">
        <is>
          <t>título + 5 bullets</t>
        </is>
      </c>
      <c r="H106" s="69" t="inlineStr">
        <is>
          <t>CORRIGIR PÁGINA</t>
        </is>
      </c>
      <c r="I106" s="69" t="inlineStr">
        <is>
          <t>Título 85 car.; bullets genéricos (durável/moderno repetidos, sem medida, uso, peso ou limpeza)</t>
        </is>
      </c>
      <c r="J106" s="69" t="inlineStr">
        <is>
          <t>Título "… com Tampa Flip Top Polida para Escritório e Recepção"; bullets: capacidade 30 L 24x24x60 + usos + saco 30 L · flip top uma mão · aço inox 430 polido · 4 kg, base plana · enviada montada</t>
        </is>
      </c>
      <c r="K106" s="69" t="inlineStr">
        <is>
          <t>Diagnóstico de página 21/10: 0 vendas desde 07/07, 35 cli/0 na Geral, 0 avaliações, marca Genérico. Bullets eram o único item corrigível sem novo ASIN. Marca não citada nas bullets (ASIN genérico). Título curto por orientação da assessoria.</t>
        </is>
      </c>
      <c r="L106" s="69" t="inlineStr">
        <is>
          <t>ciclos/Pagina_Q2460-B_21-10.md + relatorios/amazon/paginas-21-10/</t>
        </is>
      </c>
      <c r="M106" s="69" t="inlineStr">
        <is>
          <t>MÉDIA</t>
        </is>
      </c>
      <c r="N106" s="69" t="inlineStr">
        <is>
          <t>SIM</t>
        </is>
      </c>
      <c r="O106" s="69" t="inlineStr">
        <is>
          <t>SIM</t>
        </is>
      </c>
      <c r="P106" s="69" t="inlineStr">
        <is>
          <t>EXECUTADA - EM MATURAÇÃO</t>
        </is>
      </c>
      <c r="Q106" s="72">
        <f>IF(E106="","",E106+1)</f>
        <v/>
      </c>
      <c r="R106" s="73">
        <f>IF(E106="","",TODAY()-E106)</f>
        <v/>
      </c>
      <c r="S106" s="71" t="n"/>
      <c r="T106" s="71" t="n"/>
      <c r="U106" s="74" t="inlineStr">
        <is>
          <t>24/11/2026</t>
        </is>
      </c>
      <c r="V106" s="71" t="inlineStr">
        <is>
          <t>Ler sessões e conversão do Q2460-B no Business Report por 4 semanas. Anúncio na Geral segue pausado (O6-006). Teste de frete embutido proposto, pendente de decisão de Mestra.</t>
        </is>
      </c>
    </row>
    <row r="107" s="39">
      <c r="A107" s="69" t="inlineStr">
        <is>
          <t>EC-023</t>
        </is>
      </c>
      <c r="B107" s="69" t="inlineStr">
        <is>
          <t>entre-ciclos</t>
        </is>
      </c>
      <c r="C107" s="70" t="n">
        <v>46316</v>
      </c>
      <c r="D107" s="70" t="n">
        <v>46316</v>
      </c>
      <c r="E107" s="70" t="n">
        <v>46316</v>
      </c>
      <c r="F107" s="71" t="inlineStr">
        <is>
          <t>Oferta Q2460-B (B0H7YNMBBK)</t>
        </is>
      </c>
      <c r="G107" s="71" t="inlineStr">
        <is>
          <t>preço de tabela + modelo de envio</t>
        </is>
      </c>
      <c r="H107" s="69" t="inlineStr">
        <is>
          <t>TESTE DE FRETE GRÁTIS (preço embutido)</t>
        </is>
      </c>
      <c r="I107" s="69" t="inlineStr">
        <is>
          <t>R$ 360,97 · modelo de envio padrão (frete cobrado R$ 39,90 SP Interior, 5–7 dias)</t>
        </is>
      </c>
      <c r="J107" s="69" t="inlineStr">
        <is>
          <t>R$ 399,90 · modelo "fretegratisteste" (R$ 0,00 em todas as 53 regiões, mesmos prazos)</t>
        </is>
      </c>
      <c r="K107" s="69" t="inlineStr">
        <is>
          <t>Busca de 21/10: Winnet em 3º orgânico, único sem "Entrega GRÁTIS" na 1ª tela (Mimo 203 · Tramontina 408 com frete grátis). Frete embutido no preço mantém a margem em SP; frete real de Médios = 71% da tabela (dados/ANALISE_frete_tabela_x_real_20-10.csv). Teste em 1 SKU, reversível. Decisão LEO + Dianna.</t>
        </is>
      </c>
      <c r="L107" s="69" t="inlineStr">
        <is>
          <t>ciclos/Pagina_Q2460-B_21-10.md + relatorios/amazon/paginas-21-10/</t>
        </is>
      </c>
      <c r="M107" s="69" t="inlineStr">
        <is>
          <t>MÉDIA</t>
        </is>
      </c>
      <c r="N107" s="69" t="inlineStr">
        <is>
          <t>SIM</t>
        </is>
      </c>
      <c r="O107" s="69" t="inlineStr">
        <is>
          <t>SIM</t>
        </is>
      </c>
      <c r="P107" s="69" t="inlineStr">
        <is>
          <t>EXECUTADA - EM MATURAÇÃO</t>
        </is>
      </c>
      <c r="Q107" s="72">
        <f>IF(E107="","",E107+1)</f>
        <v/>
      </c>
      <c r="R107" s="73">
        <f>IF(E107="","",TODAY()-E107)</f>
        <v/>
      </c>
      <c r="S107" s="71" t="n"/>
      <c r="T107" s="71" t="n"/>
      <c r="U107" s="74" t="inlineStr">
        <is>
          <t>18/11/2026</t>
        </is>
      </c>
      <c r="V107" s="71" t="inlineStr">
        <is>
          <t>Ordem: preço primeiro, modelo depois. Modelo só neste SKU. Leitura: sessões e conversão no Business Report por 4 semanas; se converter, estender a P3070/P3060/P4080 antes da BF. Aprendizado migra para o anúncio novo (oferta ≠ ASIN). Executada e conferida por print em 21/10 (navegador anônimo, CEP Bela Vista/SP): página mostra R$ 399,90 (379,90 no Pix) e "Entrega GRÁTIS 26–27 de outubro"; título da EC-022 também no ar. Prazo igual ao do modelo padrão.</t>
        </is>
      </c>
    </row>
    <row r="108" s="39">
      <c r="A108" s="69" t="inlineStr">
        <is>
          <t>EC-024</t>
        </is>
      </c>
      <c r="B108" s="69" t="inlineStr">
        <is>
          <t>entre-ciclos</t>
        </is>
      </c>
      <c r="C108" s="70" t="n">
        <v>46316</v>
      </c>
      <c r="D108" s="70" t="n">
        <v>46316</v>
      </c>
      <c r="E108" s="70" t="n">
        <v>46316</v>
      </c>
      <c r="F108" s="71" t="inlineStr">
        <is>
          <t>Listing L1618-T (B0H3QQLFFY)</t>
        </is>
      </c>
      <c r="G108" s="71" t="inlineStr">
        <is>
          <t>5 bullets + campo "Included Components"</t>
        </is>
      </c>
      <c r="H108" s="69" t="inlineStr">
        <is>
          <t>CORRIGIR PÁGINA (ajuste leve)</t>
        </is>
      </c>
      <c r="I108" s="69" t="inlineStr">
        <is>
          <t>Bullets genéricos (COMPACTA E FUNCIONAL / FABRICADA EM AÇO INOX / TAMPA SUPERIOR PRÁTICA / DESIGN ELEGANTE E DISCRETO / FÁCIL LIMPEZA); "Included Components: Lixeira Pitão 03 litros" (nome interno vazado)</t>
        </is>
      </c>
      <c r="J108" s="69" t="inlineStr">
        <is>
          <t>Bullets: capacidade 3 L 16x18 + usos + 1,5 kg · tampa solta com puxador · aço inox 430 polido · chapa única sem pedal ou mola · fabricação nacional, enviada montada, aviso de reflexos; "Included Components" = "1 lixeira de 3 litros com tampa". Título mantido (84 car., formato da assessoria)</t>
        </is>
      </c>
      <c r="K108" s="69" t="inlineStr">
        <is>
          <t>Diagnóstico de página 21/10: página CONVERTE (10 vendas desde 09/07, nº 258 em Organização para Banheiro) apesar de 0 avaliações e marca Genérico; decisão MANTER com ajuste leve. Bullets sem marca (ASIN genérico). Especificações confirmadas pelo LEO: aço 430, tampa solta, vai montada.</t>
        </is>
      </c>
      <c r="L108" s="69" t="inlineStr">
        <is>
          <t>ciclos/Pagina_L1618-T_21-10.md + relatorios/amazon/paginas-21-10/</t>
        </is>
      </c>
      <c r="M108" s="69" t="inlineStr">
        <is>
          <t>ALTA</t>
        </is>
      </c>
      <c r="N108" s="69" t="inlineStr">
        <is>
          <t>SIM</t>
        </is>
      </c>
      <c r="O108" s="69" t="inlineStr">
        <is>
          <t>SIM</t>
        </is>
      </c>
      <c r="P108" s="69" t="inlineStr">
        <is>
          <t>EXECUTADA - EM MATURAÇÃO</t>
        </is>
      </c>
      <c r="Q108" s="72">
        <f>IF(E108="","",E108+1)</f>
        <v/>
      </c>
      <c r="R108" s="73">
        <f>IF(E108="","",TODAY()-E108)</f>
        <v/>
      </c>
      <c r="S108" s="71" t="n"/>
      <c r="T108" s="71" t="n"/>
      <c r="U108" s="74" t="inlineStr">
        <is>
          <t>18/11/2026</t>
        </is>
      </c>
      <c r="V108" s="71" t="inlineStr">
        <is>
          <t>LEO informou "salvei igual mandou" em 21/10; print da página no ar ainda não conferido (print de edição mostrava o 4º bullet antigo antes do salvamento). Ler sessões e conversão no Business Report por 4 semanas; comparar com a média pré (vendas mensais do SKU). Rotina paralela: "Solicitar avaliação" nos pedidos de 07/10 e 19/10 e em todo pedido novo.</t>
        </is>
      </c>
    </row>
    <row r="109" s="39">
      <c r="A109" s="69" t="inlineStr">
        <is>
          <t>EC-025</t>
        </is>
      </c>
      <c r="B109" s="69" t="inlineStr">
        <is>
          <t>entre-ciclos</t>
        </is>
      </c>
      <c r="C109" s="70" t="n">
        <v>46316</v>
      </c>
      <c r="D109" s="70" t="n">
        <v>46316</v>
      </c>
      <c r="E109" s="70" t="n">
        <v>46316</v>
      </c>
      <c r="F109" s="71" t="inlineStr">
        <is>
          <t>Listing L1618-B (B0H6KPN1XS)</t>
        </is>
      </c>
      <c r="G109" s="71" t="inlineStr">
        <is>
          <t>5 bullets + 4 atributos da ficha</t>
        </is>
      </c>
      <c r="H109" s="69" t="inlineStr">
        <is>
          <t>CORRIGIR PÁGINA (ajuste leve)</t>
        </is>
      </c>
      <c r="I109" s="69" t="inlineStr">
        <is>
          <t>Bullets genéricos (TAMPA BASCULANTE FLIP TOP / AÇO INOX POLIDO RESISTENTE / CAPACIDADE 3 LITROS COMPACTA / DESIGN MODERNO / USO INTERNO VERSÁTIL); ficha sem Cor, Forma, Mecanismo de abertura e Tipo de acabamento (invisível nos filtros da busca)</t>
        </is>
      </c>
      <c r="J109" s="69" t="inlineStr">
        <is>
          <t>Bullets: capacidade 3 L 16x18 + usos + 1,5 kg · tampa basculante flip top de 14 cm · aço inox 430 polido · aro removível para limpeza, sem pedal/mola · fabricação nacional, enviada montada, aviso de reflexos. Ficha: Cor Prata · Forma Cilíndrico · Abertura Basculante · Acabamento Polido. Título mantido (97 car.)</t>
        </is>
      </c>
      <c r="K109" s="69" t="inlineStr">
        <is>
          <t>Diagnóstico de página 21/10: 3 pedidos/4 un desde 13/09, 1 devolução por "desempenho ou qualidade" (2 un, sem comentário), 0 avaliações; ficha vazia nos campos que os filtros da busca leem (o irmão L1618-T os tem). Bullets sem marca (ASIN genérico). Especificações confirmadas pelo LEO: disco basculante 14 cm, aro sai, vai montada; aço 430 já na descrição.</t>
        </is>
      </c>
      <c r="L109" s="69" t="inlineStr">
        <is>
          <t>ciclos/Pagina_L1618-B_21-10.md + relatorios/amazon/paginas-21-10/</t>
        </is>
      </c>
      <c r="M109" s="69" t="inlineStr">
        <is>
          <t>MÉDIA</t>
        </is>
      </c>
      <c r="N109" s="69" t="inlineStr">
        <is>
          <t>SIM</t>
        </is>
      </c>
      <c r="O109" s="69" t="inlineStr">
        <is>
          <t>SIM</t>
        </is>
      </c>
      <c r="P109" s="69" t="inlineStr">
        <is>
          <t>EXECUTADA - EM MATURAÇÃO</t>
        </is>
      </c>
      <c r="Q109" s="72">
        <f>IF(E109="","",E109+1)</f>
        <v/>
      </c>
      <c r="R109" s="73">
        <f>IF(E109="","",TODAY()-E109)</f>
        <v/>
      </c>
      <c r="S109" s="71" t="n"/>
      <c r="T109" s="71" t="n"/>
      <c r="U109" s="74" t="inlineStr">
        <is>
          <t>18/11/2026</t>
        </is>
      </c>
      <c r="V109" s="71" t="inlineStr">
        <is>
          <t>LEO informou "arrumei tudo o que me pediu" em 21/10; print da página no ar ainda não conferido. Ler sessões e conversão no Business Report por 4 semanas; vigiar devoluções do SKU. Rotina paralela: "Solicitar avaliação" nos pedidos de 03/10 e 13/10 e em todo pedido novo. Pergunta aberta para depois: categoria (Lixo e Reciclagem × Banho, onde o L1618-T ranqueia melhor).</t>
        </is>
      </c>
    </row>
    <row r="110" s="39">
      <c r="A110" s="69" t="inlineStr">
        <is>
          <t>EC-026</t>
        </is>
      </c>
      <c r="B110" s="69" t="inlineStr">
        <is>
          <t>entre-ciclos</t>
        </is>
      </c>
      <c r="C110" s="70" t="n">
        <v>46316</v>
      </c>
      <c r="D110" s="70" t="n">
        <v>46316</v>
      </c>
      <c r="E110" s="70" t="n">
        <v>46316</v>
      </c>
      <c r="F110" s="71" t="inlineStr">
        <is>
          <t>Listing P3060 (B0H4NLBG1Y)</t>
        </is>
      </c>
      <c r="G110" s="71" t="inlineStr">
        <is>
          <t>5 bullets</t>
        </is>
      </c>
      <c r="H110" s="69" t="inlineStr">
        <is>
          <t>CORRIGIR PÁGINA (ajuste leve)</t>
        </is>
      </c>
      <c r="I110" s="69" t="inlineStr">
        <is>
          <t>Bullets do modelo padrão (ABERTURA POR PEDAL / FABRICADA EM AÇO INOX POLIDO / CAPACIDADE DE 50 LITROS / TAMPA FECHADA / ARO REMOVÍVEL INTERNO), sem peso, saco, tipo de aço ou montagem</t>
        </is>
      </c>
      <c r="J110" s="69" t="inlineStr">
        <is>
          <t>Bullets: capacidade 50 L 30x60 + usos + saco 50 L · pedal (levanta com o pé, fecha sozinha) · aro interno removível · aço inox 430 polido · fabricação nacional, 5 kg, enviada montada, aviso de reflexos. Título, preço, modelo de envio e ficha NÃO alterados (preço de referência da BF)</t>
        </is>
      </c>
      <c r="K110" s="69" t="inlineStr">
        <is>
          <t>Diagnóstico de página 21/10: página completa mas sem classificação, 2 pedidos/4 un; bullets eram o único campo seguro de mexer antes da Melhor Oferta de BF (19–30/11). Sem marca (ASIN genérico). Aço 430 e montagem confirmados pelo LEO.</t>
        </is>
      </c>
      <c r="L110" s="69" t="inlineStr">
        <is>
          <t>ciclos/Pagina_P3060_21-10.md + relatorios/amazon/paginas-21-10/</t>
        </is>
      </c>
      <c r="M110" s="69" t="inlineStr">
        <is>
          <t>ALTA</t>
        </is>
      </c>
      <c r="N110" s="69" t="inlineStr">
        <is>
          <t>SIM</t>
        </is>
      </c>
      <c r="O110" s="69" t="inlineStr">
        <is>
          <t>SIM</t>
        </is>
      </c>
      <c r="P110" s="69" t="inlineStr">
        <is>
          <t>EXECUTADA - EM MATURAÇÃO</t>
        </is>
      </c>
      <c r="Q110" s="72">
        <f>IF(E110="","",E110+1)</f>
        <v/>
      </c>
      <c r="R110" s="73">
        <f>IF(E110="","",TODAY()-E110)</f>
        <v/>
      </c>
      <c r="S110" s="71" t="n"/>
      <c r="T110" s="71" t="n"/>
      <c r="U110" s="74" t="inlineStr">
        <is>
          <t>18/11/2026</t>
        </is>
      </c>
      <c r="V110" s="71" t="inlineStr">
        <is>
          <t>LEO informou "salvei os bullets do P3060" em 21/10; print no ar a conferir. Leitura contaminada pela BF a partir de 19/11: ler 21/10–18/11 pelo Business Report. Preço/envio/título congelados até 30/11. Rotina "Solicitar avaliação" no pedido de 01/10 (se na janela) e novos.</t>
        </is>
      </c>
    </row>
    <row r="111" s="39">
      <c r="A111" s="69" t="inlineStr">
        <is>
          <t>EC-027</t>
        </is>
      </c>
      <c r="B111" s="69" t="inlineStr">
        <is>
          <t>entre-ciclos</t>
        </is>
      </c>
      <c r="C111" s="70" t="n">
        <v>46317</v>
      </c>
      <c r="D111" s="70" t="n">
        <v>46317</v>
      </c>
      <c r="E111" s="70" t="n">
        <v>46317</v>
      </c>
      <c r="F111" s="71" t="inlineStr">
        <is>
          <t>Listing P4080 (B0H63W8G49)</t>
        </is>
      </c>
      <c r="G111" s="71" t="inlineStr">
        <is>
          <t>ficha: campo "Material Type"</t>
        </is>
      </c>
      <c r="H111" s="69" t="inlineStr">
        <is>
          <t>CORRIGIR PÁGINA (ajuste leve)</t>
        </is>
      </c>
      <c r="I111" s="69" t="inlineStr">
        <is>
          <t>"Material Type" vazio em Materiais e Cuidados (P3070 e P3060 têm "Aço inoxidável")</t>
        </is>
      </c>
      <c r="J111" s="69" t="inlineStr">
        <is>
          <t>"Material Type" = Aço inoxidável. Título, preço, modelo de envio e bullets NÃO alterados (preço de referência da BF)</t>
        </is>
      </c>
      <c r="K111" s="69" t="inlineStr">
        <is>
          <t>Diagnóstico de página 21/10: único campo de ficha vazio entre os 3 SKUs da BF; os filtros da busca leem os atributos. Sem efeito na Melhor Oferta.</t>
        </is>
      </c>
      <c r="L111" s="69" t="inlineStr">
        <is>
          <t>ciclos/Pagina_P4080_21-10.md</t>
        </is>
      </c>
      <c r="M111" s="69" t="inlineStr">
        <is>
          <t>ALTA</t>
        </is>
      </c>
      <c r="N111" s="69" t="inlineStr">
        <is>
          <t>SIM</t>
        </is>
      </c>
      <c r="O111" s="69" t="inlineStr">
        <is>
          <t>SIM</t>
        </is>
      </c>
      <c r="P111" s="69" t="inlineStr">
        <is>
          <t>EXECUTADA - EM MATURAÇÃO</t>
        </is>
      </c>
      <c r="Q111" s="72">
        <f>IF(E111="","",E111+1)</f>
        <v/>
      </c>
      <c r="R111" s="73">
        <f>IF(E111="","",TODAY()-E111)</f>
        <v/>
      </c>
      <c r="S111" s="71" t="n"/>
      <c r="T111" s="71" t="n"/>
      <c r="U111" s="74" t="inlineStr">
        <is>
          <t>18/11/2026</t>
        </is>
      </c>
      <c r="V111" s="71" t="inlineStr">
        <is>
          <t>LEO informou "preenchi o material do P4080" em 22/10; print a conferir quando a página atualizar. Sem leitura própria (campo de filtro); acompanha a leitura do SKU na O8 e na BF.</t>
        </is>
      </c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2026-10-22T17:11:11Z</dcterms:modified>
  <cp:lastModifiedBy>Usuário do Windows</cp:lastModifiedBy>
</cp:coreProperties>
</file>