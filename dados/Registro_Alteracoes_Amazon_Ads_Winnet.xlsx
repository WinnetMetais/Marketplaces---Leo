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<sst xmlns="http://schemas.openxmlformats.org/spreadsheetml/2006/main" count="1255" uniqueCount="664">
  <si>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</si>
  <si>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</si>
  <si>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</si>
  <si>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</si>
  <si>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</si>
  <si>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</si>
  <si>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</si>
  <si>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</si>
  <si>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</si>
  <si>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</si>
  <si>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</si>
  <si>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</si>
  <si>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</si>
  <si>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</si>
  <si>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</si>
  <si>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</si>
  <si>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</si>
  <si>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</si>
  <si>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</si>
  <si>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</si>
  <si>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</si>
  <si>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</si>
  <si>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</si>
  <si>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</si>
  <si>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</si>
  <si>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</si>
  <si>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</si>
  <si>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</si>
  <si>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</si>
  <si>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</si>
  <si>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</si>
  <si>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</si>
  <si>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</si>
  <si>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</si>
  <si>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</si>
  <si>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</si>
  <si>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</si>
  <si>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</si>
  <si>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</si>
  <si>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</si>
  <si>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</si>
  <si>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</si>
  <si>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</si>
  <si>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</si>
  <si>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</si>
  <si>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</si>
  <si>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</si>
  <si>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</si>
  <si>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</si>
  <si>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</si>
  <si>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</si>
  <si>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</si>
  <si>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</si>
  <si>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</si>
  <si>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</si>
  <si>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</si>
  <si>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</si>
  <si>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</si>
  <si>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</si>
  <si>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</si>
  <si>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</si>
  <si>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</si>
  <si>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</si>
  <si>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</si>
  <si>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</si>
  <si>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</si>
  <si>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</si>
  <si>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</si>
  <si>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</si>
  <si>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</si>
  <si>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</si>
  <si>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</si>
  <si>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</si>
  <si>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</si>
  <si>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</si>
  <si>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</si>
  <si>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</si>
  <si>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</si>
  <si>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</si>
  <si>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</si>
  <si>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</si>
  <si>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</si>
  <si>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</si>
  <si>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</si>
  <si>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</si>
  <si>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</si>
  <si>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</si>
  <si>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</si>
  <si>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</si>
  <si>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</si>
  <si>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</si>
  <si>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</si>
  <si>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</si>
  <si>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</si>
  <si>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</si>
  <si>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</si>
  <si>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</si>
  <si>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</si>
  <si>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</si>
  <si>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</si>
  <si>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</si>
  <si>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</si>
  <si>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</si>
  <si>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</si>
  <si>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</si>
  <si>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</si>
  <si>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</si>
  <si>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</si>
  <si>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</si>
  <si>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</si>
  <si>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</si>
  <si>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</si>
  <si>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</si>
  <si>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</si>
  <si>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</si>
  <si>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</si>
  <si>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</si>
  <si>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</si>
  <si>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</si>
  <si>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</si>
  <si>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</si>
  <si>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</si>
  <si>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</si>
  <si>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</si>
  <si>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</si>
  <si>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</si>
  <si>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</si>
  <si>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</si>
  <si>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</si>
  <si>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</si>
  <si>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</si>
  <si>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</si>
  <si>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</si>
  <si>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</si>
  <si>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</si>
  <si>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</si>
  <si>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</si>
  <si>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</si>
  <si>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</si>
  <si>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</si>
  <si>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</si>
  <si>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</si>
  <si>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</si>
  <si>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</si>
  <si>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</si>
  <si>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</si>
  <si>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</si>
  <si>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</si>
  <si>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</si>
  <si>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</si>
  <si>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</si>
  <si>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</si>
  <si>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</si>
  <si>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</si>
  <si>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</si>
  <si>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</si>
  <si>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</si>
  <si>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</si>
  <si>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</si>
  <si>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</si>
  <si>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</si>
  <si>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</si>
  <si>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</si>
  <si>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</si>
  <si>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</si>
  <si>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</si>
  <si>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</si>
  <si>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</si>
  <si>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</si>
  <si>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</si>
  <si>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</si>
  <si>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</si>
  <si>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</si>
  <si>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</si>
  <si>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</si>
  <si>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</si>
  <si>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</si>
  <si>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</si>
  <si>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</si>
  <si>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</si>
  <si>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</si>
  <si>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</si>
  <si>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</si>
  <si>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</si>
  <si>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</si>
  <si>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</si>
  <si>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</si>
  <si>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</si>
  <si>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</si>
  <si>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</si>
  <si>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</si>
  <si>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</si>
  <si>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</si>
  <si>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</si>
  <si>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</si>
  <si>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</si>
  <si>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</si>
  <si>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</si>
  <si>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</si>
  <si>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</si>
  <si>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</si>
  <si>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</si>
  <si>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</si>
  <si>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</si>
  <si>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</si>
  <si>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</si>
  <si>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</si>
  <si>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</si>
  <si>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</si>
  <si>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</si>
  <si>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</si>
  <si>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</si>
  <si>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</si>
  <si>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</si>
  <si>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</si>
  <si>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</si>
  <si>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</si>
  <si>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</si>
  <si>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</si>
  <si>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</si>
  <si>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</si>
  <si>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</si>
  <si>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</si>
  <si>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</si>
  <si>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</si>
  <si>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</si>
  <si>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</si>
  <si>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</si>
  <si>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</si>
  <si>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</si>
  <si>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</si>
  <si>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</si>
  <si>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</si>
  <si>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</si>
  <si>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</si>
  <si>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</si>
  <si>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</si>
  <si>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</si>
  <si>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</si>
  <si>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</si>
  <si>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</si>
  <si>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</si>
  <si>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</si>
  <si>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</si>
  <si>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</si>
  <si>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</si>
  <si>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</si>
  <si>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</si>
  <si>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</si>
  <si>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</si>
  <si>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</si>
  <si>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</si>
  <si>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</si>
  <si>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</si>
  <si>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</si>
  <si>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</si>
  <si>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</si>
  <si>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</si>
  <si>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</si>
  <si>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</si>
  <si>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</si>
  <si>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</si>
  <si>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</si>
  <si>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</si>
  <si>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</si>
  <si>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</si>
  <si>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</si>
  <si>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</si>
  <si>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</si>
  <si>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</si>
  <si>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</si>
  <si>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</si>
  <si>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</si>
  <si>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</si>
  <si>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</si>
  <si>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</si>
  <si>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</si>
  <si>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</si>
  <si>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</si>
  <si>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</si>
  <si>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</si>
  <si>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</si>
  <si>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</si>
  <si>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</si>
  <si>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</si>
  <si>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</si>
  <si>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</si>
  <si>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</si>
  <si>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</si>
  <si>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</si>
  <si>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</si>
  <si>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</si>
  <si>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</si>
  <si>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</si>
  <si>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</si>
  <si>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</si>
  <si>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</si>
  <si>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</si>
  <si>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</si>
  <si>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</si>
  <si>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</si>
  <si>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</si>
  <si>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</si>
  <si>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</si>
  <si>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</si>
  <si>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</si>
  <si>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</si>
  <si>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</si>
  <si>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</si>
  <si>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</si>
  <si>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</si>
  <si>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</si>
  <si>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</si>
  <si>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</si>
  <si>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</si>
  <si>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</si>
  <si>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</si>
  <si>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</si>
  <si>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</si>
  <si>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</si>
  <si>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</si>
  <si>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</si>
  <si>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</si>
  <si>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</si>
  <si>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</si>
  <si>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</si>
  <si>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</si>
  <si>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</si>
  <si>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</si>
  <si>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</si>
  <si>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</si>
  <si>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</si>
  <si>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</si>
  <si>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</si>
  <si>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</si>
  <si>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</si>
  <si>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</si>
  <si>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</si>
  <si>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</si>
  <si>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</si>
  <si>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</si>
  <si>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</si>
  <si>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</si>
  <si>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</si>
  <si>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</si>
  <si>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</si>
  <si>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</si>
  <si>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</si>
  <si>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</si>
  <si>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</si>
  <si>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</si>
  <si>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</si>
  <si>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</si>
  <si>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</si>
  <si>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</si>
  <si>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</si>
  <si>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</si>
  <si>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</si>
  <si>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</si>
  <si>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</si>
  <si>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</si>
  <si>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</si>
  <si>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</si>
  <si>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</si>
  <si>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</si>
  <si>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</si>
  <si>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</si>
  <si>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</si>
  <si>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</si>
  <si>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</si>
  <si>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</si>
  <si>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</si>
  <si>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</si>
  <si>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</si>
  <si>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</si>
  <si>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</si>
  <si>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</si>
  <si>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</si>
  <si>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</si>
  <si>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</si>
  <si>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</si>
  <si>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</si>
  <si>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</si>
  <si>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</si>
  <si>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</si>
  <si>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</si>
  <si>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</si>
  <si>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</si>
  <si>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</si>
  <si>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</si>
  <si>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</si>
  <si>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</si>
  <si>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</si>
  <si>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</si>
  <si>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</si>
  <si>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</si>
  <si>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</si>
  <si>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</si>
  <si>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</si>
  <si>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</si>
  <si>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</si>
  <si>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</si>
  <si>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</si>
  <si>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</si>
  <si>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</si>
  <si>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</si>
  <si>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</si>
  <si>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</si>
  <si>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</si>
  <si>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</si>
  <si>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</si>
  <si>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</si>
  <si>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</si>
  <si>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</si>
  <si>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</si>
  <si>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</si>
  <si>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</si>
  <si>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</si>
  <si>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</si>
  <si>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</si>
  <si>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</si>
  <si>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</si>
  <si>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</si>
  <si>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</si>
  <si>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</si>
  <si>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</si>
  <si>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</si>
  <si>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</si>
  <si>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</si>
  <si>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</si>
  <si>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</si>
  <si>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</si>
  <si>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</si>
  <si>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</si>
  <si>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</si>
  <si>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</si>
  <si>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</si>
  <si>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</si>
  <si>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</si>
  <si>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</si>
  <si>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</si>
  <si>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</si>
  <si>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</si>
  <si>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</si>
  <si>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</si>
  <si>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</si>
  <si>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</si>
  <si>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</si>
  <si>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</si>
  <si>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</si>
  <si>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</si>
  <si>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</si>
  <si>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</si>
  <si>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</si>
  <si>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</si>
  <si>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</si>
  <si>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</si>
  <si>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</si>
  <si>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</si>
  <si>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</si>
  <si>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</si>
  <si>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</si>
  <si>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</si>
  <si>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</si>
  <si>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</si>
  <si>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</si>
  <si>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</si>
  <si>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</si>
  <si>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</si>
  <si>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</si>
  <si>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</si>
  <si>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</si>
  <si>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</si>
  <si>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</si>
  <si>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</si>
  <si>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</si>
  <si>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</si>
  <si>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</si>
  <si>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</si>
  <si>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</si>
  <si>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</si>
  <si>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</si>
  <si>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</si>
  <si>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</si>
  <si>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</si>
  <si>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</si>
  <si>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</si>
  <si>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</si>
  <si>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</si>
  <si>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</si>
  <si>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</si>
  <si>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</si>
  <si>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</si>
  <si>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</si>
  <si>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</si>
  <si>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</si>
  <si>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</si>
  <si>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</si>
  <si>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</si>
  <si>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</si>
  <si>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</si>
  <si>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</si>
  <si>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</si>
  <si>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</si>
  <si>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</si>
  <si>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</si>
  <si>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</si>
  <si>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</si>
  <si>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</si>
  <si>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</si>
  <si>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</si>
  <si>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</si>
  <si>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</si>
  <si>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</si>
  <si>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</si>
  <si>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</si>
  <si>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</si>
  <si>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</si>
  <si>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</si>
  <si>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</si>
  <si>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</si>
  <si>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</si>
  <si>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</si>
  <si>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</si>
  <si>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</si>
  <si>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</si>
  <si>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</si>
  <si>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</si>
  <si>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</si>
  <si>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</si>
  <si>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</si>
  <si>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</si>
  <si>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</si>
  <si>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</si>
  <si>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</si>
  <si>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</si>
  <si>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</si>
  <si>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</si>
  <si>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</si>
  <si>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</si>
  <si>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</si>
  <si>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</si>
  <si>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</si>
  <si>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</si>
  <si>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</si>
  <si>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</si>
  <si>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</si>
  <si>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</si>
  <si>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</si>
  <si>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</si>
  <si>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</si>
  <si>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</si>
  <si>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</si>
  <si>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</si>
  <si>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</si>
  <si>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</si>
  <si>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</si>
  <si>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</si>
  <si>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</si>
  <si>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</si>
  <si>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</si>
  <si>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</si>
  <si>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</si>
  <si>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</si>
  <si>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</si>
  <si>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</si>
  <si>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</si>
  <si>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</si>
  <si>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</si>
  <si>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</si>
  <si>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</si>
  <si>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</si>
  <si>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</si>
  <si>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</si>
  <si>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</si>
  <si>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</si>
  <si>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</si>
  <si>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</si>
  <si>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</si>
  <si>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</si>
  <si>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</si>
  <si>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</si>
  <si>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</si>
  <si>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</si>
  <si>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</si>
  <si>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</si>
  <si>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</si>
  <si>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</si>
  <si>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</si>
  <si>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</si>
  <si>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</si>
  <si>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</si>
  <si>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</si>
  <si>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</si>
  <si>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</si>
  <si>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</si>
  <si>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</si>
  <si>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</si>
  <si>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</si>
  <si>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</si>
  <si>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</si>
  <si>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</si>
  <si>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</si>
  <si>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</si>
  <si>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</si>
  <si>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</si>
  <si>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</si>
  <si>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</si>
  <si>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</si>
  <si>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</si>
  <si>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</si>
  <si>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</si>
  <si>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</si>
  <si>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</si>
  <si>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</si>
  <si>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</si>
  <si>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</si>
  <si>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</si>
  <si>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</si>
  <si>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</si>
  <si>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</si>
  <si>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</si>
  <si>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</si>
  <si>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</si>
  <si>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</si>
  <si>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</si>
  <si>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</si>
  <si>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</si>
  <si>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</si>
  <si>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</si>
  <si>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</si>
  <si>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</si>
  <si>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</si>
  <si>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</si>
  <si>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</si>
  <si>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</si>
  <si>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gatilho disparou em 28/09, anúncio pausado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</si>
  <si>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</si>
  <si>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</si>
  <si>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</si>
  <si>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</si>
  <si>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</si>
  <si>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</si>
  <si>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</si>
  <si>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</si>
  <si>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</si>
  <si>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</si>
  <si>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</si>
  <si>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</si>
  <si>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</si>
  <si>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</si>
  <si>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</si>
  <si>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</si>
  <si>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</si>
  <si>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</si>
  <si>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</si>
  <si>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</si>
  <si>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</si>
  <si>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</si>
  <si>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</si>
  <si>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</si>
  <si>
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</si>
  <si>
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</si>
  <si>
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</si>
</sst>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Q78" workbookViewId="0">
      <selection activeCell="V86" sqref="V86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COUNTIF(A11:A208,"&lt;&gt;")</f>
        <v>76</v>
      </c>
      <c r="B6" s="3">
        <f>COUNTIF(N11:N208,"SIM")</f>
        <v>76</v>
      </c>
      <c r="C6" s="3">
        <f>COUNTIF(O11:O208,"SIM")</f>
        <v>70</v>
      </c>
      <c r="D6" s="3">
        <f>COUNTIF(P11:P208,"BLOQUEADA*")</f>
        <v>0</v>
      </c>
      <c r="E6" s="3">
        <f>COUNTIF(P11:P208,"EXECUTADA - EM MATURAÇÃO")</f>
        <v>19</v>
      </c>
      <c r="F6" s="4">
        <f>COUNTIF(P11:P208,"EXECUTADA - AVALIADA")</f>
        <v>51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45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45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37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37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37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37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37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37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37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37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37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37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37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37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37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37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37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37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37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34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31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29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29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27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27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22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22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22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22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22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22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22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22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22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22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22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22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22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22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22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22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13</v>
      </c>
      <c r="S53" t="s">
        <v>618</v>
      </c>
      <c r="T53" t="s">
        <v>619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13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13</v>
      </c>
      <c r="S55" t="s">
        <v>622</v>
      </c>
      <c r="T55" t="s">
        <v>623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13</v>
      </c>
      <c r="S56" t="s">
        <v>624</v>
      </c>
      <c r="T56" t="s">
        <v>625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13</v>
      </c>
      <c r="S57" t="s">
        <v>626</v>
      </c>
      <c r="T57" t="s">
        <v>627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13</v>
      </c>
      <c r="S58" t="s">
        <v>628</v>
      </c>
      <c r="T58" t="s">
        <v>629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13</v>
      </c>
      <c r="S59" t="s">
        <v>630</v>
      </c>
      <c r="T59" t="s">
        <v>631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13</v>
      </c>
      <c r="S60" t="s">
        <v>632</v>
      </c>
      <c r="T60" t="s">
        <v>633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13</v>
      </c>
      <c r="S61" t="s">
        <v>632</v>
      </c>
      <c r="T61" t="s">
        <v>633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13</v>
      </c>
      <c r="S62" t="s">
        <v>634</v>
      </c>
      <c r="T62" t="s">
        <v>635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9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9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9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9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9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9</v>
      </c>
      <c r="T68" t="s">
        <v>636</v>
      </c>
      <c r="U68" s="50">
        <v>46308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9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9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9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9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617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617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9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617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617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617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9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9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9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9</v>
      </c>
      <c r="U82" t="s">
        <v>469</v>
      </c>
      <c r="V82" t="s">
        <v>583</v>
      </c>
    </row>
    <row r="83" spans="1:22">
      <c r="A83" s="10" t="s">
        <v>637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638</v>
      </c>
      <c r="G83" s="43" t="s">
        <v>639</v>
      </c>
      <c r="H83" s="11" t="s">
        <v>408</v>
      </c>
      <c r="I83" s="11" t="s">
        <v>426</v>
      </c>
      <c r="J83" s="11" t="s">
        <v>640</v>
      </c>
      <c r="K83" s="11" t="s">
        <v>641</v>
      </c>
      <c r="L83" s="11" t="s">
        <v>642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1</v>
      </c>
      <c r="S83" s="43" t="s">
        <v>655</v>
      </c>
      <c r="T83" s="43" t="s">
        <v>656</v>
      </c>
      <c r="U83" s="7"/>
      <c r="V83" s="41" t="s">
        <v>643</v>
      </c>
    </row>
    <row r="84" spans="1:22">
      <c r="A84" s="10" t="s">
        <v>644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638</v>
      </c>
      <c r="G84" s="43" t="s">
        <v>445</v>
      </c>
      <c r="H84" s="11" t="s">
        <v>408</v>
      </c>
      <c r="I84" s="11" t="s">
        <v>446</v>
      </c>
      <c r="J84" s="11" t="s">
        <v>645</v>
      </c>
      <c r="K84" s="11" t="s">
        <v>646</v>
      </c>
      <c r="L84" s="11" t="s">
        <v>642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1</v>
      </c>
      <c r="S84" s="43" t="s">
        <v>658</v>
      </c>
      <c r="T84" s="43" t="s">
        <v>657</v>
      </c>
      <c r="U84" s="7"/>
      <c r="V84" s="41" t="s">
        <v>643</v>
      </c>
    </row>
    <row r="85" spans="1:22">
      <c r="A85" s="10" t="s">
        <v>647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638</v>
      </c>
      <c r="G85" s="43" t="s">
        <v>440</v>
      </c>
      <c r="H85" s="11" t="s">
        <v>408</v>
      </c>
      <c r="I85" s="11" t="s">
        <v>441</v>
      </c>
      <c r="J85" s="11" t="s">
        <v>648</v>
      </c>
      <c r="K85" s="11" t="s">
        <v>649</v>
      </c>
      <c r="L85" s="11" t="s">
        <v>642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1</v>
      </c>
      <c r="S85" s="43" t="s">
        <v>659</v>
      </c>
      <c r="T85" s="43" t="s">
        <v>660</v>
      </c>
      <c r="U85" s="7">
        <v>46308</v>
      </c>
      <c r="V85" s="41" t="s">
        <v>643</v>
      </c>
    </row>
    <row r="86" spans="1:22">
      <c r="A86" s="10" t="s">
        <v>650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651</v>
      </c>
      <c r="G86" s="43" t="s">
        <v>652</v>
      </c>
      <c r="H86" s="11" t="s">
        <v>408</v>
      </c>
      <c r="I86" s="11" t="s">
        <v>653</v>
      </c>
      <c r="J86" s="11" t="s">
        <v>661</v>
      </c>
      <c r="K86" s="11" t="s">
        <v>662</v>
      </c>
      <c r="L86" s="11" t="s">
        <v>654</v>
      </c>
      <c r="M86" s="11" t="s">
        <v>45</v>
      </c>
      <c r="N86" s="11" t="s">
        <v>40</v>
      </c>
      <c r="O86" s="11" t="s">
        <v>40</v>
      </c>
      <c r="P86" s="11" t="s">
        <v>47</v>
      </c>
      <c r="Q86" s="18">
        <f t="shared" si="4"/>
        <v>46296</v>
      </c>
      <c r="R86" s="19">
        <f t="shared" ca="1" si="5"/>
        <v>1</v>
      </c>
      <c r="S86" s="43"/>
      <c r="T86" s="43"/>
      <c r="U86" s="7">
        <v>46308</v>
      </c>
      <c r="V86" s="41" t="s">
        <v>663</v>
      </c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2026-10-01T19:14:53Z</dcterms:modified>
</cp:coreProperties>
</file>