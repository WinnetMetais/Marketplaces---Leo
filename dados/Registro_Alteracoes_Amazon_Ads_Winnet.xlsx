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<sst xmlns="http://schemas.openxmlformats.org/spreadsheetml/2006/main" count="1192" uniqueCount="624">
  <si>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</si>
  <si>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</si>
  <si>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</si>
  <si>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</si>
  <si>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</si>
  <si>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</si>
  <si>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</si>
  <si>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</si>
  <si>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</si>
  <si>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</si>
  <si>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</si>
  <si>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</si>
  <si>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</si>
  <si>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</si>
  <si>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</si>
  <si>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</si>
  <si>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</si>
  <si>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</si>
  <si>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</si>
  <si>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</si>
  <si>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</si>
  <si>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</si>
  <si>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</si>
  <si>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</si>
  <si>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</si>
  <si>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</si>
  <si>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</si>
  <si>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</si>
  <si>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</si>
  <si>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</si>
  <si>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</si>
  <si>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</si>
  <si>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</si>
  <si>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</si>
  <si>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</si>
  <si>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</si>
  <si>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</si>
  <si>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</si>
  <si>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</si>
  <si>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</si>
  <si>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</si>
  <si>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</si>
  <si>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</si>
  <si>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</si>
  <si>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</si>
  <si>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</si>
  <si>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</si>
  <si>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</si>
  <si>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</si>
  <si>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</si>
  <si>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</si>
  <si>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</si>
  <si>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</si>
  <si>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</si>
  <si>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</si>
  <si>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</si>
  <si>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</si>
  <si>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</si>
  <si>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</si>
  <si>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</si>
  <si>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</si>
  <si>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</si>
  <si>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</si>
  <si>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</si>
  <si>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</si>
  <si>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</si>
  <si>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</si>
  <si>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</si>
  <si>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</si>
  <si>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</si>
  <si>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</si>
  <si>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</si>
  <si>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</si>
  <si>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</si>
  <si>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</si>
  <si>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</si>
  <si>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</si>
  <si>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</si>
  <si>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</si>
  <si>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</si>
  <si>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</si>
  <si>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</si>
  <si>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</si>
  <si>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</si>
  <si>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</si>
  <si>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</si>
  <si>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</si>
  <si>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</si>
  <si>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</si>
  <si>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</si>
  <si>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</si>
  <si>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</si>
  <si>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</si>
  <si>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</si>
  <si>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</si>
  <si>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</si>
  <si>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</si>
  <si>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</si>
  <si>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</si>
  <si>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</si>
  <si>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</si>
  <si>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</si>
  <si>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</si>
  <si>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</si>
  <si>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</si>
  <si>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</si>
  <si>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</si>
  <si>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</si>
  <si>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</si>
  <si>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</si>
  <si>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</si>
  <si>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</si>
  <si>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</si>
  <si>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</si>
  <si>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</si>
  <si>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</si>
  <si>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</si>
  <si>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</si>
  <si>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</si>
  <si>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</si>
  <si>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</si>
  <si>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</si>
  <si>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</si>
  <si>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</si>
  <si>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</si>
  <si>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</si>
  <si>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</si>
  <si>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</si>
  <si>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</si>
  <si>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</si>
  <si>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</si>
  <si>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</si>
  <si>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</si>
  <si>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</si>
  <si>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</si>
  <si>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</si>
  <si>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</si>
  <si>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</si>
  <si>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</si>
  <si>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</si>
  <si>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</si>
  <si>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</si>
  <si>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</si>
  <si>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</si>
  <si>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</si>
  <si>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</si>
  <si>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</si>
  <si>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</si>
  <si>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</si>
  <si>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</si>
  <si>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</si>
  <si>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</si>
  <si>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</si>
  <si>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</si>
  <si>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</si>
  <si>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</si>
  <si>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</si>
  <si>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</si>
  <si>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</si>
  <si>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</si>
  <si>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</si>
  <si>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</si>
  <si>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</si>
  <si>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</si>
  <si>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</si>
  <si>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</si>
  <si>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</si>
  <si>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</si>
  <si>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</si>
  <si>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</si>
  <si>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</si>
  <si>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</si>
  <si>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</si>
  <si>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</si>
  <si>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</si>
  <si>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</si>
  <si>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</si>
  <si>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</si>
  <si>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</si>
  <si>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</si>
  <si>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</si>
  <si>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</si>
  <si>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</si>
  <si>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</si>
  <si>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</si>
  <si>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</si>
  <si>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</si>
  <si>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</si>
  <si>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</si>
  <si>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</si>
  <si>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</si>
  <si>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</si>
  <si>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</si>
  <si>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</si>
  <si>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</si>
  <si>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</si>
  <si>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</si>
  <si>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</si>
  <si>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</si>
  <si>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</si>
  <si>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</si>
  <si>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</si>
  <si>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</si>
  <si>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</si>
  <si>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</si>
  <si>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</si>
  <si>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</si>
  <si>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</si>
  <si>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</si>
  <si>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</si>
  <si>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</si>
  <si>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</si>
  <si>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</si>
  <si>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</si>
  <si>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</si>
  <si>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</si>
  <si>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</si>
  <si>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</si>
  <si>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</si>
  <si>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</si>
  <si>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</si>
  <si>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</si>
  <si>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</si>
  <si>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</si>
  <si>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</si>
  <si>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</si>
  <si>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</si>
  <si>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</si>
  <si>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</si>
  <si>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</si>
  <si>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</si>
  <si>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</si>
  <si>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</si>
  <si>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</si>
  <si>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</si>
  <si>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</si>
  <si>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</si>
  <si>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</si>
  <si>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</si>
  <si>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</si>
  <si>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</si>
  <si>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</si>
  <si>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</si>
  <si>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</si>
  <si>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</si>
  <si>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</si>
  <si>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</si>
  <si>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</si>
  <si>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</si>
  <si>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</si>
  <si>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</si>
  <si>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</si>
  <si>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</si>
  <si>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</si>
  <si>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</si>
  <si>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</si>
  <si>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</si>
  <si>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</si>
  <si>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</si>
  <si>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</si>
  <si>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</si>
  <si>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</si>
  <si>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</si>
  <si>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</si>
  <si>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</si>
  <si>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</si>
  <si>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</si>
  <si>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</si>
  <si>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</si>
  <si>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</si>
  <si>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</si>
  <si>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</si>
  <si>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</si>
  <si>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</si>
  <si>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</si>
  <si>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</si>
  <si>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</si>
  <si>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</si>
  <si>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</si>
  <si>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</si>
  <si>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</si>
  <si>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</si>
  <si>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</si>
  <si>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</si>
  <si>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</si>
  <si>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</si>
  <si>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</si>
  <si>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</si>
  <si>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</si>
  <si>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</si>
  <si>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</si>
  <si>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</si>
  <si>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</si>
  <si>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</si>
  <si>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</si>
  <si>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</si>
  <si>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</si>
  <si>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</si>
  <si>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</si>
  <si>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</si>
  <si>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</si>
  <si>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</si>
  <si>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</si>
  <si>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</si>
  <si>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</si>
  <si>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</si>
  <si>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</si>
  <si>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</si>
  <si>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</si>
  <si>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</si>
  <si>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</si>
  <si>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</si>
  <si>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</si>
  <si>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</si>
  <si>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</si>
  <si>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</si>
  <si>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</si>
  <si>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</si>
  <si>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</si>
  <si>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</si>
  <si>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</si>
  <si>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</si>
  <si>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</si>
  <si>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</si>
  <si>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</si>
  <si>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</si>
  <si>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</si>
  <si>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</si>
  <si>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</si>
  <si>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</si>
  <si>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</si>
  <si>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</si>
  <si>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</si>
  <si>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</si>
  <si>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</si>
  <si>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</si>
  <si>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</si>
  <si>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</si>
  <si>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</si>
  <si>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</si>
  <si>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</si>
  <si>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</si>
  <si>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</si>
  <si>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</si>
  <si>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</si>
  <si>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</si>
  <si>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</si>
  <si>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</si>
  <si>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</si>
  <si>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</si>
  <si>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</si>
  <si>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</si>
  <si>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</si>
  <si>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</si>
  <si>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</si>
  <si>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</si>
  <si>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</si>
  <si>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</si>
  <si>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</si>
  <si>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</si>
  <si>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</si>
  <si>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</si>
  <si>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</si>
  <si>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</si>
  <si>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</si>
  <si>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</si>
  <si>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</si>
  <si>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</si>
  <si>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</si>
  <si>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</si>
  <si>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</si>
  <si>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</si>
  <si>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</si>
  <si>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</si>
  <si>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</si>
  <si>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</si>
  <si>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</si>
  <si>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</si>
  <si>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</si>
  <si>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</si>
  <si>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</si>
  <si>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</si>
  <si>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</si>
  <si>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</si>
  <si>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</si>
  <si>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</si>
  <si>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</si>
  <si>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</si>
  <si>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</si>
  <si>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</si>
  <si>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</si>
  <si>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</si>
  <si>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</si>
  <si>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</si>
  <si>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</si>
  <si>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</si>
  <si>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</si>
  <si>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</si>
  <si>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</si>
  <si>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</si>
  <si>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</si>
  <si>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</si>
  <si>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</si>
  <si>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</si>
  <si>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</si>
  <si>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</si>
  <si>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</si>
  <si>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</si>
  <si>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</si>
  <si>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</si>
  <si>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</si>
  <si>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</si>
  <si>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</si>
  <si>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</si>
  <si>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</si>
  <si>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</si>
  <si>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</si>
  <si>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</si>
  <si>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</si>
  <si>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</si>
  <si>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</si>
  <si>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</si>
  <si>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</si>
  <si>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</si>
  <si>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</si>
  <si>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</si>
  <si>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</si>
  <si>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</si>
  <si>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</si>
  <si>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</si>
  <si>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</si>
  <si>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</si>
  <si>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</si>
  <si>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</si>
  <si>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</si>
  <si>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</si>
  <si>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</si>
  <si>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</si>
  <si>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</si>
  <si>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</si>
  <si>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</si>
  <si>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</si>
  <si>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</si>
  <si>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</si>
  <si>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</si>
  <si>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</si>
  <si>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</si>
  <si>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</si>
  <si>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</si>
  <si>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</si>
  <si>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</si>
  <si>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</si>
  <si>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</si>
  <si>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</si>
  <si>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</si>
  <si>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</si>
  <si>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</si>
  <si>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</si>
  <si>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</si>
  <si>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</si>
  <si>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</si>
  <si>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</si>
  <si>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</si>
  <si>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</si>
  <si>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</si>
  <si>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</si>
  <si>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</si>
  <si>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</si>
  <si>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</si>
  <si>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</si>
  <si>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</si>
  <si>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</si>
  <si>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</si>
  <si>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</si>
  <si>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</si>
  <si>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</si>
  <si>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</si>
  <si>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</si>
  <si>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</si>
  <si>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</si>
  <si>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</si>
  <si>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</si>
  <si>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</si>
  <si>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</si>
  <si>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</si>
  <si>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</si>
  <si>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</si>
  <si>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</si>
  <si>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</si>
  <si>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</si>
  <si>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</si>
  <si>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</si>
  <si>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</si>
  <si>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</si>
  <si>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</si>
  <si>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</si>
  <si>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</si>
  <si>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</si>
  <si>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</si>
  <si>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</si>
  <si>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</si>
  <si>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</si>
  <si>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</si>
  <si>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</si>
  <si>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</si>
  <si>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</si>
  <si>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</si>
  <si>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</si>
  <si>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</si>
  <si>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</si>
  <si>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</si>
  <si>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</si>
  <si>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</si>
  <si>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</si>
  <si>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</si>
  <si>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</si>
  <si>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</si>
  <si>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</si>
  <si>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</si>
  <si>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</si>
  <si>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</si>
  <si>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</si>
  <si>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</si>
  <si>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</si>
  <si>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</si>
  <si>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</si>
  <si>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</si>
  <si>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</si>
  <si>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</si>
  <si>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</si>
  <si>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</si>
  <si>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</si>
  <si>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</si>
  <si>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</si>
  <si>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</si>
  <si>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</si>
  <si>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</si>
  <si>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</si>
  <si>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</si>
  <si>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</si>
  <si>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</si>
  <si>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</si>
  <si>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</si>
  <si>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</si>
  <si>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</si>
  <si>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</si>
  <si>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</si>
  <si>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</si>
  <si>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</si>
  <si>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</si>
  <si>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</si>
  <si>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</si>
  <si>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</si>
  <si>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</si>
  <si>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</si>
  <si>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</si>
  <si>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</si>
  <si>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</si>
  <si>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</si>
  <si>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</si>
  <si>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</si>
  <si>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</si>
  <si>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</si>
  <si>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</si>
  <si>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</si>
  <si>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</si>
  <si>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</si>
  <si>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</si>
  <si>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</si>
  <si>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</si>
  <si>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</si>
  <si>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</si>
  <si>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</si>
  <si>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</si>
  <si>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</si>
  <si>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</si>
  <si>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</si>
  <si>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</si>
  <si>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</si>
  <si>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</si>
  <si>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</si>
  <si>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</si>
  <si>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</si>
  <si>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</si>
  <si>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</si>
  <si>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</si>
  <si>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</si>
  <si>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</si>
  <si>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</si>
  <si>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</si>
  <si>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</si>
  <si>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</si>
  <si>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</si>
  <si>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</si>
  <si>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</si>
  <si>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</si>
  <si>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</si>
  <si>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</si>
  <si>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</si>
  <si>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</si>
  <si>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</si>
  <si>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</si>
  <si>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</si>
  <si>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</si>
  <si>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</si>
  <si>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</si>
  <si>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</si>
  <si>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</si>
  <si>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</si>
  <si>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</si>
  <si>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</si>
  <si>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</si>
  <si>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</si>
  <si>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</si>
  <si>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</si>
  <si>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</si>
  <si>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Começou em 21/09 — 1 dia dentro da Era; sem dado</t>
  </si>
  <si>
    <t>NÃO AVALIÁVEL hoje. Primeira leitura 28/09 (sessões × conversão; primeira venda conferida pedido a pedido para fixar a regra de atribuição). Corte de série 23–27/09 a marcar na O7</t>
  </si>
  <si>
    <t>não elegível na lista de 22/09; reconferir 28/09</t>
  </si>
  <si>
    <t>não elegível na lista de 22/09; reconferir 28/10</t>
  </si>
  <si>
    <t>não elegível na lista de 22/09; reconferir 28/11</t>
  </si>
  <si>
    <t>não elegível na lista de 22/09; reconferir 28/12</t>
  </si>
  <si>
    <t>não elegível na lista de 22/09; reconferir 28/13</t>
  </si>
  <si>
    <t>não elegível na lista de 22/09; reconferir 28/14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</si>
</sst>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8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16" fontId="0" fillId="0" borderId="0" xfId="0" applyNumberForma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21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Q71" workbookViewId="0">
      <selection activeCell="V87" sqref="V87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</row>
    <row r="2" spans="1:22" ht="30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</row>
    <row r="3" spans="1:22" ht="27.95" customHeight="1">
      <c r="A3" s="53" t="s">
        <v>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4" t="s">
        <v>9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2" ht="26.1" customHeight="1">
      <c r="A6" s="2">
        <f>COUNTIF(A11:A210,"&lt;&gt;")</f>
        <v>72</v>
      </c>
      <c r="B6" s="3">
        <f>COUNTIF(N11:N210,"SIM")</f>
        <v>72</v>
      </c>
      <c r="C6" s="3">
        <f>COUNTIF(O11:O210,"SIM")</f>
        <v>65</v>
      </c>
      <c r="D6" s="3">
        <f>COUNTIF(P11:P210,"BLOQUEADA*")</f>
        <v>0</v>
      </c>
      <c r="E6" s="3">
        <f>COUNTIF(P11:P210,"EXECUTADA - EM MATURAÇÃO")</f>
        <v>27</v>
      </c>
      <c r="F6" s="4">
        <f>COUNTIF(P11:P210,"EXECUTADA - AVALIADA")</f>
        <v>38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1:22" ht="21.95" customHeight="1">
      <c r="A8" s="55" t="s">
        <v>10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36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36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28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28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28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28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28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28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28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28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28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28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28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28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28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28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28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28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28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25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22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20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20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18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18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13</v>
      </c>
      <c r="S36" t="s">
        <v>583</v>
      </c>
      <c r="T36" t="s">
        <v>584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13</v>
      </c>
      <c r="S37" t="s">
        <v>585</v>
      </c>
      <c r="T37" t="s">
        <v>586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13</v>
      </c>
      <c r="S38" t="s">
        <v>587</v>
      </c>
      <c r="T38" t="s">
        <v>588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13</v>
      </c>
      <c r="S39" t="s">
        <v>589</v>
      </c>
      <c r="T39" t="s">
        <v>590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13</v>
      </c>
      <c r="S40" t="s">
        <v>591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13</v>
      </c>
      <c r="S41" t="s">
        <v>592</v>
      </c>
      <c r="T41" t="s">
        <v>593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13</v>
      </c>
      <c r="S42" t="s">
        <v>594</v>
      </c>
      <c r="T42" t="s">
        <v>595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13</v>
      </c>
      <c r="S43" t="s">
        <v>596</v>
      </c>
      <c r="T43" t="s">
        <v>597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13</v>
      </c>
      <c r="S44" t="s">
        <v>598</v>
      </c>
      <c r="T44" t="s">
        <v>599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13</v>
      </c>
      <c r="S45" t="s">
        <v>600</v>
      </c>
      <c r="T45" t="s">
        <v>601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13</v>
      </c>
      <c r="S46" t="s">
        <v>602</v>
      </c>
      <c r="T46" t="s">
        <v>603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13</v>
      </c>
      <c r="S47" t="s">
        <v>604</v>
      </c>
      <c r="T47" t="s">
        <v>605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606</v>
      </c>
      <c r="T48" t="s">
        <v>607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13</v>
      </c>
      <c r="S49" t="s">
        <v>608</v>
      </c>
      <c r="T49" t="s">
        <v>609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13</v>
      </c>
      <c r="S50" t="s">
        <v>610</v>
      </c>
      <c r="T50" t="s">
        <v>611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13</v>
      </c>
      <c r="S51" t="s">
        <v>612</v>
      </c>
      <c r="T51" t="s">
        <v>613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13</v>
      </c>
      <c r="S52" t="s">
        <v>614</v>
      </c>
      <c r="T52" t="s">
        <v>615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46" t="s">
        <v>47</v>
      </c>
      <c r="Q53" s="18">
        <f t="shared" si="0"/>
        <v>46284</v>
      </c>
      <c r="R53" s="19">
        <f t="shared" ca="1" si="2"/>
        <v>4</v>
      </c>
      <c r="S53" t="s">
        <v>616</v>
      </c>
      <c r="T53" t="s">
        <v>617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46" t="s">
        <v>47</v>
      </c>
      <c r="Q54" s="18">
        <f t="shared" si="0"/>
        <v>46284</v>
      </c>
      <c r="R54" s="19">
        <f t="shared" ca="1" si="2"/>
        <v>4</v>
      </c>
      <c r="S54" t="s">
        <v>616</v>
      </c>
      <c r="T54" t="s">
        <v>617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46" t="s">
        <v>47</v>
      </c>
      <c r="Q55" s="18">
        <f t="shared" si="0"/>
        <v>46284</v>
      </c>
      <c r="R55" s="19">
        <f t="shared" ca="1" si="2"/>
        <v>4</v>
      </c>
      <c r="S55" t="s">
        <v>616</v>
      </c>
      <c r="T55" t="s">
        <v>617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46" t="s">
        <v>47</v>
      </c>
      <c r="Q56" s="18">
        <f t="shared" si="0"/>
        <v>46284</v>
      </c>
      <c r="R56" s="19">
        <f t="shared" ca="1" si="2"/>
        <v>4</v>
      </c>
      <c r="S56" t="s">
        <v>616</v>
      </c>
      <c r="T56" t="s">
        <v>617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46" t="s">
        <v>47</v>
      </c>
      <c r="Q57" s="18">
        <f t="shared" si="0"/>
        <v>46284</v>
      </c>
      <c r="R57" s="19">
        <f t="shared" ca="1" si="2"/>
        <v>4</v>
      </c>
      <c r="S57" t="s">
        <v>616</v>
      </c>
      <c r="T57" t="s">
        <v>617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46" t="s">
        <v>47</v>
      </c>
      <c r="Q58" s="18">
        <f t="shared" si="0"/>
        <v>46284</v>
      </c>
      <c r="R58" s="19">
        <f t="shared" ca="1" si="2"/>
        <v>4</v>
      </c>
      <c r="S58" t="s">
        <v>616</v>
      </c>
      <c r="T58" t="s">
        <v>617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46" t="s">
        <v>47</v>
      </c>
      <c r="Q59" s="18">
        <f t="shared" si="0"/>
        <v>46284</v>
      </c>
      <c r="R59" s="19">
        <f t="shared" ca="1" si="2"/>
        <v>4</v>
      </c>
      <c r="S59" t="s">
        <v>616</v>
      </c>
      <c r="T59" t="s">
        <v>617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46" t="s">
        <v>47</v>
      </c>
      <c r="Q60" s="18">
        <f t="shared" si="0"/>
        <v>46284</v>
      </c>
      <c r="R60" s="19">
        <f t="shared" ca="1" si="2"/>
        <v>4</v>
      </c>
      <c r="S60" t="s">
        <v>616</v>
      </c>
      <c r="T60" t="s">
        <v>617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46" t="s">
        <v>47</v>
      </c>
      <c r="Q61" s="18">
        <f t="shared" si="0"/>
        <v>46284</v>
      </c>
      <c r="R61" s="19">
        <f t="shared" ca="1" si="2"/>
        <v>4</v>
      </c>
      <c r="S61" t="s">
        <v>616</v>
      </c>
      <c r="T61" t="s">
        <v>617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46" t="s">
        <v>47</v>
      </c>
      <c r="Q62" s="18">
        <f t="shared" si="0"/>
        <v>46284</v>
      </c>
      <c r="R62" s="19">
        <f t="shared" ca="1" si="2"/>
        <v>4</v>
      </c>
      <c r="S62" t="s">
        <v>616</v>
      </c>
      <c r="T62" t="s">
        <v>617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47</v>
      </c>
      <c r="Q63" s="18">
        <f t="shared" si="0"/>
        <v>46288</v>
      </c>
      <c r="R63" s="19">
        <f t="shared" ca="1" si="2"/>
        <v>0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s="46" t="s">
        <v>40</v>
      </c>
      <c r="P64" s="46" t="s">
        <v>47</v>
      </c>
      <c r="Q64" s="18">
        <f t="shared" si="0"/>
        <v>46288</v>
      </c>
      <c r="R64" s="19">
        <f t="shared" ca="1" si="2"/>
        <v>0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s="46" t="s">
        <v>40</v>
      </c>
      <c r="P65" s="46" t="s">
        <v>47</v>
      </c>
      <c r="Q65" s="18">
        <f t="shared" si="0"/>
        <v>46288</v>
      </c>
      <c r="R65" s="19">
        <f t="shared" ca="1" si="2"/>
        <v>0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s="46" t="s">
        <v>40</v>
      </c>
      <c r="P66" s="46" t="s">
        <v>47</v>
      </c>
      <c r="Q66" s="18">
        <f t="shared" si="0"/>
        <v>46288</v>
      </c>
      <c r="R66" s="19">
        <f t="shared" ca="1" si="2"/>
        <v>0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s="46" t="s">
        <v>40</v>
      </c>
      <c r="P67" s="46" t="s">
        <v>47</v>
      </c>
      <c r="Q67" s="18">
        <f t="shared" si="0"/>
        <v>46288</v>
      </c>
      <c r="R67" s="19">
        <f t="shared" ca="1" si="2"/>
        <v>0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s="46" t="s">
        <v>40</v>
      </c>
      <c r="P68" s="46" t="s">
        <v>47</v>
      </c>
      <c r="Q68" s="18">
        <f t="shared" si="0"/>
        <v>46288</v>
      </c>
      <c r="R68" s="19">
        <f t="shared" ca="1" si="2"/>
        <v>0</v>
      </c>
      <c r="U68" s="50">
        <v>46293</v>
      </c>
      <c r="V68" t="s">
        <v>497</v>
      </c>
    </row>
    <row r="69" spans="1:22">
      <c r="A69" t="s">
        <v>498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0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s="46" t="s">
        <v>40</v>
      </c>
      <c r="P70" s="46" t="s">
        <v>47</v>
      </c>
      <c r="Q70" s="18">
        <f t="shared" si="0"/>
        <v>46288</v>
      </c>
      <c r="R70" s="19">
        <f t="shared" ca="1" si="2"/>
        <v>0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0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48">
        <v>46287</v>
      </c>
      <c r="D72" s="48">
        <v>46287</v>
      </c>
      <c r="E72" s="48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s="46" t="s">
        <v>40</v>
      </c>
      <c r="P72" s="46" t="s">
        <v>47</v>
      </c>
      <c r="Q72" s="18">
        <f t="shared" si="0"/>
        <v>46288</v>
      </c>
      <c r="R72" s="19">
        <f t="shared" ca="1" si="2"/>
        <v>0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48">
        <v>46287</v>
      </c>
      <c r="D73" s="48">
        <v>46287</v>
      </c>
      <c r="E73" s="48">
        <v>46287</v>
      </c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s="46" t="s">
        <v>44</v>
      </c>
      <c r="P73" s="46" t="s">
        <v>43</v>
      </c>
      <c r="Q73" s="18">
        <f t="shared" si="0"/>
        <v>46288</v>
      </c>
      <c r="R73" s="19">
        <f t="shared" ca="1" si="2"/>
        <v>0</v>
      </c>
      <c r="U73" s="50">
        <v>46293</v>
      </c>
      <c r="V73" t="s">
        <v>618</v>
      </c>
    </row>
    <row r="74" spans="1:22">
      <c r="A74" t="s">
        <v>533</v>
      </c>
      <c r="B74" t="s">
        <v>464</v>
      </c>
      <c r="C74" s="48">
        <v>46287</v>
      </c>
      <c r="D74" s="48">
        <v>46287</v>
      </c>
      <c r="E74" s="48">
        <v>46287</v>
      </c>
      <c r="F74" t="s">
        <v>527</v>
      </c>
      <c r="G74" t="s">
        <v>534</v>
      </c>
      <c r="H74" t="s">
        <v>529</v>
      </c>
      <c r="I74" t="s">
        <v>535</v>
      </c>
      <c r="J74" t="s">
        <v>536</v>
      </c>
      <c r="K74" t="s">
        <v>537</v>
      </c>
      <c r="L74" t="s">
        <v>468</v>
      </c>
      <c r="M74" t="s">
        <v>45</v>
      </c>
      <c r="N74" t="s">
        <v>40</v>
      </c>
      <c r="O74" s="46" t="s">
        <v>44</v>
      </c>
      <c r="P74" s="46" t="s">
        <v>43</v>
      </c>
      <c r="Q74" s="18">
        <f t="shared" si="0"/>
        <v>46288</v>
      </c>
      <c r="R74" s="19">
        <f t="shared" ca="1" si="2"/>
        <v>0</v>
      </c>
      <c r="U74" s="50">
        <v>46293</v>
      </c>
      <c r="V74" t="s">
        <v>619</v>
      </c>
    </row>
    <row r="75" spans="1:22">
      <c r="A75" t="s">
        <v>538</v>
      </c>
      <c r="B75" t="s">
        <v>464</v>
      </c>
      <c r="C75" s="48">
        <v>46287</v>
      </c>
      <c r="D75" s="48">
        <v>46287</v>
      </c>
      <c r="E75" s="48">
        <v>46287</v>
      </c>
      <c r="F75" t="s">
        <v>527</v>
      </c>
      <c r="G75" t="s">
        <v>539</v>
      </c>
      <c r="H75" t="s">
        <v>529</v>
      </c>
      <c r="I75" t="s">
        <v>540</v>
      </c>
      <c r="J75" t="s">
        <v>541</v>
      </c>
      <c r="K75" t="s">
        <v>542</v>
      </c>
      <c r="L75" t="s">
        <v>468</v>
      </c>
      <c r="M75" t="s">
        <v>45</v>
      </c>
      <c r="N75" t="s">
        <v>40</v>
      </c>
      <c r="O75" s="46" t="s">
        <v>44</v>
      </c>
      <c r="P75" s="46" t="s">
        <v>43</v>
      </c>
      <c r="Q75" s="18">
        <f t="shared" ref="Q75:Q82" si="3">IF(E75="","",E75+1)</f>
        <v>46288</v>
      </c>
      <c r="R75" s="19">
        <f t="shared" ca="1" si="2"/>
        <v>0</v>
      </c>
      <c r="U75" s="50">
        <v>46293</v>
      </c>
      <c r="V75" t="s">
        <v>620</v>
      </c>
    </row>
    <row r="76" spans="1:22">
      <c r="A76" t="s">
        <v>543</v>
      </c>
      <c r="B76" t="s">
        <v>464</v>
      </c>
      <c r="C76" s="48">
        <v>46287</v>
      </c>
      <c r="D76" s="48">
        <v>46287</v>
      </c>
      <c r="E76" s="48">
        <v>46287</v>
      </c>
      <c r="F76" t="s">
        <v>527</v>
      </c>
      <c r="G76" t="s">
        <v>544</v>
      </c>
      <c r="H76" t="s">
        <v>529</v>
      </c>
      <c r="I76" t="s">
        <v>545</v>
      </c>
      <c r="J76" t="s">
        <v>546</v>
      </c>
      <c r="K76" t="s">
        <v>547</v>
      </c>
      <c r="L76" t="s">
        <v>468</v>
      </c>
      <c r="M76" t="s">
        <v>45</v>
      </c>
      <c r="N76" t="s">
        <v>40</v>
      </c>
      <c r="O76" s="46" t="s">
        <v>44</v>
      </c>
      <c r="P76" s="46" t="s">
        <v>43</v>
      </c>
      <c r="Q76" s="18">
        <f t="shared" si="3"/>
        <v>46288</v>
      </c>
      <c r="R76" s="19">
        <f t="shared" ca="1" si="2"/>
        <v>0</v>
      </c>
      <c r="U76" s="50">
        <v>46293</v>
      </c>
      <c r="V76" t="s">
        <v>621</v>
      </c>
    </row>
    <row r="77" spans="1:22">
      <c r="A77" t="s">
        <v>548</v>
      </c>
      <c r="B77" t="s">
        <v>464</v>
      </c>
      <c r="C77" s="48">
        <v>46287</v>
      </c>
      <c r="D77" s="48">
        <v>46287</v>
      </c>
      <c r="E77" s="48">
        <v>46287</v>
      </c>
      <c r="F77" t="s">
        <v>527</v>
      </c>
      <c r="G77" t="s">
        <v>549</v>
      </c>
      <c r="H77" t="s">
        <v>529</v>
      </c>
      <c r="I77" t="s">
        <v>550</v>
      </c>
      <c r="J77" t="s">
        <v>551</v>
      </c>
      <c r="K77" t="s">
        <v>552</v>
      </c>
      <c r="L77" t="s">
        <v>468</v>
      </c>
      <c r="M77" t="s">
        <v>45</v>
      </c>
      <c r="N77" t="s">
        <v>40</v>
      </c>
      <c r="O77" s="46" t="s">
        <v>44</v>
      </c>
      <c r="P77" s="46" t="s">
        <v>43</v>
      </c>
      <c r="Q77" s="18">
        <f t="shared" si="3"/>
        <v>46288</v>
      </c>
      <c r="R77" s="19">
        <f t="shared" ca="1" si="2"/>
        <v>0</v>
      </c>
      <c r="U77" s="50">
        <v>46293</v>
      </c>
      <c r="V77" t="s">
        <v>622</v>
      </c>
    </row>
    <row r="78" spans="1:22">
      <c r="A78" t="s">
        <v>553</v>
      </c>
      <c r="B78" t="s">
        <v>464</v>
      </c>
      <c r="C78" s="48">
        <v>46287</v>
      </c>
      <c r="D78" s="48">
        <v>46287</v>
      </c>
      <c r="E78" s="48">
        <v>46287</v>
      </c>
      <c r="F78" t="s">
        <v>527</v>
      </c>
      <c r="G78" t="s">
        <v>554</v>
      </c>
      <c r="H78" t="s">
        <v>529</v>
      </c>
      <c r="I78" t="s">
        <v>555</v>
      </c>
      <c r="J78" t="s">
        <v>556</v>
      </c>
      <c r="K78" t="s">
        <v>557</v>
      </c>
      <c r="L78" t="s">
        <v>468</v>
      </c>
      <c r="M78" t="s">
        <v>45</v>
      </c>
      <c r="N78" t="s">
        <v>40</v>
      </c>
      <c r="O78" s="46" t="s">
        <v>44</v>
      </c>
      <c r="P78" s="46" t="s">
        <v>43</v>
      </c>
      <c r="Q78" s="18">
        <f t="shared" si="3"/>
        <v>46288</v>
      </c>
      <c r="R78" s="19">
        <f t="shared" ca="1" si="2"/>
        <v>0</v>
      </c>
      <c r="U78" s="50">
        <v>46293</v>
      </c>
      <c r="V78" t="s">
        <v>623</v>
      </c>
    </row>
    <row r="79" spans="1:22">
      <c r="A79" t="s">
        <v>558</v>
      </c>
      <c r="B79" t="s">
        <v>464</v>
      </c>
      <c r="C79" s="48">
        <v>46287</v>
      </c>
      <c r="D79" s="48">
        <v>46287</v>
      </c>
      <c r="E79" s="48">
        <v>46287</v>
      </c>
      <c r="F79" t="s">
        <v>527</v>
      </c>
      <c r="G79" t="s">
        <v>559</v>
      </c>
      <c r="H79" t="s">
        <v>529</v>
      </c>
      <c r="I79" t="s">
        <v>560</v>
      </c>
      <c r="J79" t="s">
        <v>561</v>
      </c>
      <c r="K79" t="s">
        <v>562</v>
      </c>
      <c r="L79" t="s">
        <v>468</v>
      </c>
      <c r="M79" t="s">
        <v>45</v>
      </c>
      <c r="N79" t="s">
        <v>40</v>
      </c>
      <c r="O79" s="46" t="s">
        <v>40</v>
      </c>
      <c r="P79" s="46" t="s">
        <v>47</v>
      </c>
      <c r="Q79" s="18">
        <f t="shared" si="3"/>
        <v>46288</v>
      </c>
      <c r="R79" s="19">
        <f t="shared" ca="1" si="2"/>
        <v>0</v>
      </c>
      <c r="U79" s="50">
        <v>46308</v>
      </c>
      <c r="V79" t="s">
        <v>563</v>
      </c>
    </row>
    <row r="80" spans="1:22">
      <c r="A80" t="s">
        <v>564</v>
      </c>
      <c r="B80" t="s">
        <v>464</v>
      </c>
      <c r="C80" s="48">
        <v>46287</v>
      </c>
      <c r="D80" s="48">
        <v>46287</v>
      </c>
      <c r="E80" s="48">
        <v>46287</v>
      </c>
      <c r="F80" t="s">
        <v>565</v>
      </c>
      <c r="G80" t="s">
        <v>566</v>
      </c>
      <c r="H80" t="s">
        <v>567</v>
      </c>
      <c r="I80" t="s">
        <v>568</v>
      </c>
      <c r="J80" t="s">
        <v>569</v>
      </c>
      <c r="K80" t="s">
        <v>570</v>
      </c>
      <c r="L80" t="s">
        <v>468</v>
      </c>
      <c r="M80" t="s">
        <v>41</v>
      </c>
      <c r="N80" t="s">
        <v>40</v>
      </c>
      <c r="O80" s="46" t="s">
        <v>40</v>
      </c>
      <c r="P80" s="46" t="s">
        <v>47</v>
      </c>
      <c r="Q80" s="18">
        <f t="shared" si="3"/>
        <v>46288</v>
      </c>
      <c r="R80" s="19">
        <f t="shared" ca="1" si="2"/>
        <v>0</v>
      </c>
      <c r="U80" t="s">
        <v>469</v>
      </c>
      <c r="V80" t="s">
        <v>571</v>
      </c>
    </row>
    <row r="81" spans="1:22">
      <c r="A81" t="s">
        <v>572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573</v>
      </c>
      <c r="H81" t="s">
        <v>506</v>
      </c>
      <c r="I81" t="s">
        <v>574</v>
      </c>
      <c r="J81" t="s">
        <v>575</v>
      </c>
      <c r="K81" t="s">
        <v>576</v>
      </c>
      <c r="L81" t="s">
        <v>468</v>
      </c>
      <c r="M81" t="s">
        <v>45</v>
      </c>
      <c r="N81" t="s">
        <v>40</v>
      </c>
      <c r="O81" s="46" t="s">
        <v>40</v>
      </c>
      <c r="P81" s="46" t="s">
        <v>47</v>
      </c>
      <c r="Q81" s="18">
        <f t="shared" si="3"/>
        <v>46288</v>
      </c>
      <c r="R81" s="19">
        <f t="shared" ca="1" si="2"/>
        <v>0</v>
      </c>
      <c r="U81" t="s">
        <v>469</v>
      </c>
      <c r="V81" t="s">
        <v>577</v>
      </c>
    </row>
    <row r="82" spans="1:22">
      <c r="A82" t="s">
        <v>578</v>
      </c>
      <c r="B82" t="s">
        <v>464</v>
      </c>
      <c r="C82" s="48">
        <v>46287</v>
      </c>
      <c r="D82" s="48">
        <v>46287</v>
      </c>
      <c r="E82" s="48">
        <v>46287</v>
      </c>
      <c r="F82" t="s">
        <v>579</v>
      </c>
      <c r="G82" t="s">
        <v>146</v>
      </c>
      <c r="H82" t="s">
        <v>138</v>
      </c>
      <c r="I82" t="s">
        <v>580</v>
      </c>
      <c r="J82" t="s">
        <v>515</v>
      </c>
      <c r="K82" t="s">
        <v>581</v>
      </c>
      <c r="L82" t="s">
        <v>468</v>
      </c>
      <c r="M82" t="s">
        <v>41</v>
      </c>
      <c r="N82" t="s">
        <v>40</v>
      </c>
      <c r="O82" s="46" t="s">
        <v>40</v>
      </c>
      <c r="P82" s="46" t="s">
        <v>47</v>
      </c>
      <c r="Q82" s="18">
        <f t="shared" si="3"/>
        <v>46288</v>
      </c>
      <c r="R82" s="19">
        <f t="shared" ca="1" si="2"/>
        <v>0</v>
      </c>
      <c r="U82" t="s">
        <v>469</v>
      </c>
      <c r="V82" t="s">
        <v>582</v>
      </c>
    </row>
    <row r="83" spans="1:22">
      <c r="A83" s="10"/>
      <c r="B83" s="11"/>
      <c r="C83" s="12"/>
      <c r="D83" s="12"/>
      <c r="E83" s="12"/>
      <c r="F83" s="43"/>
      <c r="G83" s="43"/>
      <c r="H83" s="11"/>
      <c r="I83" s="11"/>
      <c r="J83" s="11"/>
      <c r="K83" s="11"/>
      <c r="L83" s="11"/>
      <c r="M83" s="11"/>
      <c r="N83" s="11"/>
      <c r="O83" s="11"/>
      <c r="P83" s="11"/>
      <c r="Q83" s="18" t="str">
        <f t="shared" ref="Q83:Q106" si="4">IF(E83="","",E83+1)</f>
        <v/>
      </c>
      <c r="R83" s="19" t="str">
        <f t="shared" ref="R83:R106" ca="1" si="5">IF(E83="","",TODAY()-E83)</f>
        <v/>
      </c>
      <c r="S83" s="43"/>
      <c r="T83" s="43"/>
      <c r="U83" s="7"/>
      <c r="V83" s="41"/>
    </row>
    <row r="84" spans="1:22">
      <c r="A84" s="10"/>
      <c r="B84" s="11"/>
      <c r="C84" s="12"/>
      <c r="D84" s="12"/>
      <c r="E84" s="12"/>
      <c r="F84" s="43"/>
      <c r="G84" s="43"/>
      <c r="H84" s="11"/>
      <c r="I84" s="11"/>
      <c r="J84" s="11"/>
      <c r="K84" s="11"/>
      <c r="L84" s="11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43"/>
      <c r="T84" s="43"/>
      <c r="U84" s="7"/>
      <c r="V84" s="41"/>
    </row>
    <row r="85" spans="1:22">
      <c r="A85" s="10"/>
      <c r="B85" s="11"/>
      <c r="C85" s="12"/>
      <c r="D85" s="12"/>
      <c r="E85" s="12"/>
      <c r="F85" s="43"/>
      <c r="G85" s="43"/>
      <c r="H85" s="11"/>
      <c r="I85" s="11"/>
      <c r="J85" s="11"/>
      <c r="K85" s="11"/>
      <c r="L85" s="11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43"/>
      <c r="T85" s="43"/>
      <c r="U85" s="7"/>
      <c r="V85" s="41"/>
    </row>
    <row r="86" spans="1:22">
      <c r="A86" s="10"/>
      <c r="B86" s="11"/>
      <c r="C86" s="12"/>
      <c r="D86" s="12"/>
      <c r="E86" s="12"/>
      <c r="F86" s="43"/>
      <c r="G86" s="43"/>
      <c r="H86" s="11"/>
      <c r="I86" s="11"/>
      <c r="J86" s="11"/>
      <c r="K86" s="11"/>
      <c r="L86" s="11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43"/>
      <c r="T86" s="43"/>
      <c r="U86" s="7"/>
      <c r="V86" s="41"/>
    </row>
    <row r="87" spans="1:22">
      <c r="A87" s="10"/>
      <c r="B87" s="11"/>
      <c r="C87" s="12"/>
      <c r="D87" s="12"/>
      <c r="E87" s="12"/>
      <c r="F87" s="43"/>
      <c r="G87" s="43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43"/>
      <c r="T87" s="43"/>
      <c r="U87" s="7"/>
      <c r="V87" s="41"/>
    </row>
    <row r="88" spans="1:22">
      <c r="A88" s="10"/>
      <c r="B88" s="11"/>
      <c r="C88" s="12"/>
      <c r="D88" s="12"/>
      <c r="E88" s="12"/>
      <c r="F88" s="43"/>
      <c r="G88" s="43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43"/>
      <c r="T88" s="43"/>
      <c r="U88" s="7"/>
      <c r="V88" s="41"/>
    </row>
    <row r="89" spans="1:22">
      <c r="A89" s="10"/>
      <c r="B89" s="11"/>
      <c r="C89" s="12"/>
      <c r="D89" s="12"/>
      <c r="E89" s="12"/>
      <c r="F89" s="43"/>
      <c r="G89" s="43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43"/>
      <c r="T89" s="43"/>
      <c r="U89" s="7"/>
      <c r="V89" s="41"/>
    </row>
    <row r="90" spans="1:22">
      <c r="A90" s="10"/>
      <c r="B90" s="11"/>
      <c r="C90" s="12"/>
      <c r="D90" s="12"/>
      <c r="E90" s="12"/>
      <c r="F90" s="43"/>
      <c r="G90" s="43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43"/>
      <c r="T90" s="43"/>
      <c r="U90" s="7"/>
      <c r="V90" s="41"/>
    </row>
    <row r="91" spans="1:22">
      <c r="A91" s="10"/>
      <c r="B91" s="11"/>
      <c r="C91" s="12"/>
      <c r="D91" s="12"/>
      <c r="E91" s="12"/>
      <c r="F91" s="43"/>
      <c r="G91" s="43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43"/>
      <c r="T91" s="43"/>
      <c r="U91" s="7"/>
      <c r="V91" s="41"/>
    </row>
    <row r="92" spans="1:22">
      <c r="A92" s="10"/>
      <c r="B92" s="11"/>
      <c r="C92" s="12"/>
      <c r="D92" s="12"/>
      <c r="E92" s="12"/>
      <c r="F92" s="43"/>
      <c r="G92" s="43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43"/>
      <c r="T92" s="43"/>
      <c r="U92" s="7"/>
      <c r="V92" s="41"/>
    </row>
    <row r="93" spans="1:22">
      <c r="A93" s="10"/>
      <c r="B93" s="11"/>
      <c r="C93" s="12"/>
      <c r="D93" s="12"/>
      <c r="E93" s="12"/>
      <c r="F93" s="43"/>
      <c r="G93" s="43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43"/>
      <c r="T93" s="43"/>
      <c r="U93" s="7"/>
      <c r="V93" s="41"/>
    </row>
    <row r="94" spans="1:22">
      <c r="A94" s="10"/>
      <c r="B94" s="11"/>
      <c r="C94" s="12"/>
      <c r="D94" s="12"/>
      <c r="E94" s="12"/>
      <c r="F94" s="43"/>
      <c r="G94" s="43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43"/>
      <c r="T94" s="43"/>
      <c r="U94" s="7"/>
      <c r="V94" s="41"/>
    </row>
    <row r="95" spans="1:22">
      <c r="A95" s="10"/>
      <c r="B95" s="11"/>
      <c r="C95" s="12"/>
      <c r="D95" s="12"/>
      <c r="E95" s="12"/>
      <c r="F95" s="43"/>
      <c r="G95" s="43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43"/>
      <c r="T95" s="43"/>
      <c r="U95" s="7"/>
      <c r="V95" s="41"/>
    </row>
    <row r="96" spans="1:22">
      <c r="A96" s="10"/>
      <c r="B96" s="11"/>
      <c r="C96" s="12"/>
      <c r="D96" s="12"/>
      <c r="E96" s="12"/>
      <c r="F96" s="43"/>
      <c r="G96" s="43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43"/>
      <c r="T96" s="43"/>
      <c r="U96" s="7"/>
      <c r="V96" s="41"/>
    </row>
    <row r="97" spans="1:22">
      <c r="A97" s="10"/>
      <c r="B97" s="11"/>
      <c r="C97" s="12"/>
      <c r="D97" s="12"/>
      <c r="E97" s="12"/>
      <c r="F97" s="43"/>
      <c r="G97" s="43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43"/>
      <c r="T97" s="43"/>
      <c r="U97" s="7"/>
      <c r="V97" s="41"/>
    </row>
    <row r="98" spans="1:22">
      <c r="A98" s="10"/>
      <c r="B98" s="11"/>
      <c r="C98" s="12"/>
      <c r="D98" s="12"/>
      <c r="E98" s="12"/>
      <c r="F98" s="43"/>
      <c r="G98" s="43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43"/>
      <c r="T98" s="43"/>
      <c r="U98" s="7"/>
      <c r="V98" s="41"/>
    </row>
    <row r="99" spans="1:22">
      <c r="A99" s="10"/>
      <c r="B99" s="11"/>
      <c r="C99" s="12"/>
      <c r="D99" s="12"/>
      <c r="E99" s="12"/>
      <c r="F99" s="43"/>
      <c r="G99" s="43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43"/>
      <c r="T99" s="43"/>
      <c r="U99" s="7"/>
      <c r="V99" s="41"/>
    </row>
    <row r="100" spans="1:22">
      <c r="A100" s="10"/>
      <c r="B100" s="11"/>
      <c r="C100" s="12"/>
      <c r="D100" s="12"/>
      <c r="E100" s="12"/>
      <c r="F100" s="43"/>
      <c r="G100" s="43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43"/>
      <c r="T100" s="43"/>
      <c r="U100" s="7"/>
      <c r="V100" s="41"/>
    </row>
    <row r="101" spans="1:22">
      <c r="A101" s="10"/>
      <c r="B101" s="11"/>
      <c r="C101" s="12"/>
      <c r="D101" s="12"/>
      <c r="E101" s="12"/>
      <c r="F101" s="43"/>
      <c r="G101" s="43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43"/>
      <c r="T101" s="43"/>
      <c r="U101" s="7"/>
      <c r="V101" s="41"/>
    </row>
    <row r="102" spans="1:22">
      <c r="A102" s="10"/>
      <c r="B102" s="11"/>
      <c r="C102" s="12"/>
      <c r="D102" s="12"/>
      <c r="E102" s="12"/>
      <c r="F102" s="43"/>
      <c r="G102" s="43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43"/>
      <c r="T102" s="43"/>
      <c r="U102" s="7"/>
      <c r="V102" s="41"/>
    </row>
    <row r="103" spans="1:22">
      <c r="A103" s="10"/>
      <c r="B103" s="11"/>
      <c r="C103" s="12"/>
      <c r="D103" s="12"/>
      <c r="E103" s="12"/>
      <c r="F103" s="43"/>
      <c r="G103" s="43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43"/>
      <c r="T103" s="43"/>
      <c r="U103" s="7"/>
      <c r="V103" s="41"/>
    </row>
    <row r="104" spans="1:22">
      <c r="A104" s="10"/>
      <c r="B104" s="11"/>
      <c r="C104" s="12"/>
      <c r="D104" s="12"/>
      <c r="E104" s="12"/>
      <c r="F104" s="43"/>
      <c r="G104" s="43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43"/>
      <c r="T104" s="43"/>
      <c r="U104" s="7"/>
      <c r="V104" s="41"/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43"/>
      <c r="G158" s="43"/>
      <c r="H158" s="11"/>
      <c r="I158" s="11"/>
      <c r="J158" s="11"/>
      <c r="K158" s="11"/>
      <c r="L158" s="11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43"/>
      <c r="T158" s="43"/>
      <c r="U158" s="7"/>
      <c r="V158" s="41"/>
    </row>
    <row r="159" spans="1:22">
      <c r="A159" s="10"/>
      <c r="B159" s="11"/>
      <c r="C159" s="12"/>
      <c r="D159" s="12"/>
      <c r="E159" s="12"/>
      <c r="F159" s="43"/>
      <c r="G159" s="43"/>
      <c r="H159" s="11"/>
      <c r="I159" s="11"/>
      <c r="J159" s="11"/>
      <c r="K159" s="11"/>
      <c r="L159" s="11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43"/>
      <c r="T159" s="43"/>
      <c r="U159" s="7"/>
      <c r="V159" s="41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0"/>
      <c r="B208" s="11"/>
      <c r="C208" s="12"/>
      <c r="D208" s="12"/>
      <c r="E208" s="12"/>
      <c r="F208" s="22"/>
      <c r="G208" s="22"/>
      <c r="H208" s="11"/>
      <c r="I208" s="24"/>
      <c r="J208" s="24"/>
      <c r="K208" s="24"/>
      <c r="L208" s="24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2"/>
      <c r="T208" s="22"/>
      <c r="U208" s="7"/>
      <c r="V208" s="26"/>
    </row>
    <row r="209" spans="1:22">
      <c r="A209" s="10"/>
      <c r="B209" s="11"/>
      <c r="C209" s="12"/>
      <c r="D209" s="12"/>
      <c r="E209" s="12"/>
      <c r="F209" s="22"/>
      <c r="G209" s="22"/>
      <c r="H209" s="11"/>
      <c r="I209" s="24"/>
      <c r="J209" s="24"/>
      <c r="K209" s="24"/>
      <c r="L209" s="24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2"/>
      <c r="T209" s="22"/>
      <c r="U209" s="7"/>
      <c r="V209" s="26"/>
    </row>
    <row r="210" spans="1:22">
      <c r="A210" s="13"/>
      <c r="B210" s="14"/>
      <c r="C210" s="15"/>
      <c r="D210" s="15"/>
      <c r="E210" s="15"/>
      <c r="F210" s="23"/>
      <c r="G210" s="23"/>
      <c r="H210" s="14"/>
      <c r="I210" s="25"/>
      <c r="J210" s="25"/>
      <c r="K210" s="25"/>
      <c r="L210" s="25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3"/>
      <c r="T210" s="23"/>
      <c r="U210" s="8"/>
      <c r="V210" s="27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20" priority="1">
      <formula>P11="RECOMENDADA"</formula>
    </cfRule>
    <cfRule type="expression" dxfId="19" priority="2">
      <formula>P11="APROVADA - AGUARDANDO EXECUÇÃO"</formula>
    </cfRule>
    <cfRule type="expression" dxfId="18" priority="3">
      <formula>P11="EXECUTADA - EM MATURAÇÃO"</formula>
    </cfRule>
    <cfRule type="expression" dxfId="17" priority="4">
      <formula>P11="EXECUTADA - AVALIADA"</formula>
    </cfRule>
    <cfRule type="expression" dxfId="16" priority="5">
      <formula>P11="APROVADA - NÃO EXECUTADA"</formula>
    </cfRule>
    <cfRule type="expression" dxfId="15" priority="6">
      <formula>P11="REJEITADA"</formula>
    </cfRule>
    <cfRule type="expression" dxfId="14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6" t="s">
        <v>33</v>
      </c>
      <c r="B1" s="56"/>
      <c r="C1" s="56"/>
      <c r="D1" s="56"/>
      <c r="E1" s="56"/>
      <c r="F1" s="56"/>
      <c r="G1" s="56"/>
      <c r="H1" s="56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7" t="s">
        <v>64</v>
      </c>
      <c r="B18" s="57"/>
      <c r="C18" s="57"/>
      <c r="D18" s="57"/>
      <c r="E18" s="57"/>
      <c r="F18" s="57"/>
      <c r="G18" s="57"/>
      <c r="H18" s="57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2026-09-22T18:41:14Z</dcterms:modified>
</cp:coreProperties>
</file>