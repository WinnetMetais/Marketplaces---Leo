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35" tabRatio="600" firstSheet="0" activeTab="0" autoFilterDateGrouping="1"/>
  </bookViews>
  <sheets>
    <sheet name="Registro_Alteracoes" sheetId="1" state="visible" r:id="rId1"/>
    <sheet name="Listas" sheetId="2" state="visible" r:id="rId2"/>
  </sheets>
  <definedNames/>
  <calcPr calcId="152511" fullCalcOnLoad="1" iterateDelta="0.0001"/>
</workbook>
</file>

<file path=xl/styles.xml><?xml version="1.0" encoding="utf-8"?>
<styleSheet xmlns="http://schemas.openxmlformats.org/spreadsheetml/2006/main">
  <numFmts count="2">
    <numFmt numFmtId="164" formatCode="&quot;R$&quot;\ #,##0.00;[Red]\-&quot;R$&quot;\ #,##0.00"/>
    <numFmt numFmtId="165" formatCode="&quot;R$&quot;\ #,##0;[Red]\-&quot;R$&quot;\ #,##0"/>
  </numFmts>
  <fonts count="16">
    <font>
      <name val="Carlito"/>
      <sz val="11"/>
    </font>
    <font>
      <name val="Calibri"/>
      <family val="2"/>
      <color theme="1"/>
      <sz val="11"/>
      <scheme val="minor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b val="1"/>
      <color rgb="FF7C4A03"/>
      <sz val="9"/>
    </font>
    <font>
      <name val="Carlito"/>
      <b val="1"/>
      <color rgb="FFFFFFFF"/>
      <sz val="9"/>
    </font>
    <font>
      <name val="Carlito"/>
      <b val="1"/>
      <color rgb="FF0F172A"/>
      <sz val="14"/>
    </font>
    <font>
      <name val="Carlito"/>
      <b val="1"/>
      <color rgb="FF334155"/>
      <sz val="10"/>
    </font>
    <font>
      <name val="Carlito"/>
      <i val="1"/>
      <color rgb="FF475569"/>
      <sz val="9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sz val="11"/>
    </font>
    <font>
      <name val="Carlito"/>
      <i val="1"/>
      <color rgb="FF64748B"/>
      <sz val="9"/>
    </font>
    <font>
      <name val="Carlito"/>
      <sz val="11"/>
      <u val="single"/>
    </font>
    <font>
      <name val="Carlito"/>
      <color rgb="FFF0F6FC"/>
      <sz val="11"/>
      <u val="single"/>
    </font>
    <font>
      <name val="Carlito"/>
      <color theme="1"/>
      <sz val="11"/>
    </font>
  </fonts>
  <fills count="7">
    <fill>
      <patternFill/>
    </fill>
    <fill>
      <patternFill patternType="gray125"/>
    </fill>
    <fill>
      <patternFill patternType="solid">
        <fgColor rgb="FF123B73"/>
      </patternFill>
    </fill>
    <fill>
      <patternFill patternType="solid">
        <fgColor rgb="FFEAF2F8"/>
      </patternFill>
    </fill>
    <fill>
      <patternFill patternType="solid">
        <fgColor rgb="FFFFF7E6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4"/>
    <xf numFmtId="0" fontId="1" fillId="0" borderId="14"/>
  </cellStyleXfs>
  <cellXfs count="75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14" fontId="0" fillId="0" borderId="5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4" fontId="0" fillId="0" borderId="10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4" fontId="0" fillId="0" borderId="10" applyAlignment="1" pivotButton="0" quotePrefix="0" xfId="0">
      <alignment horizontal="center" vertical="center"/>
    </xf>
    <xf numFmtId="14" fontId="0" fillId="5" borderId="5" applyAlignment="1" pivotButton="0" quotePrefix="0" xfId="0">
      <alignment horizontal="center" vertical="center"/>
    </xf>
    <xf numFmtId="1" fontId="0" fillId="5" borderId="5" applyAlignment="1" pivotButton="0" quotePrefix="0" xfId="0">
      <alignment horizontal="center" vertical="center"/>
    </xf>
    <xf numFmtId="14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14" fontId="0" fillId="5" borderId="10" applyAlignment="1" pivotButton="0" quotePrefix="0" xfId="0">
      <alignment horizontal="center" vertical="center"/>
    </xf>
    <xf numFmtId="1" fontId="0" fillId="5" borderId="1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10" fillId="2" borderId="12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0" fillId="0" borderId="6" applyAlignment="1" pivotButton="0" quotePrefix="0" xfId="0">
      <alignment wrapText="1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0" fontId="11" fillId="0" borderId="9" applyAlignment="1" pivotButton="0" quotePrefix="0" xfId="0">
      <alignment horizontal="center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0" borderId="0" pivotButton="0" quotePrefix="0" xfId="0"/>
    <xf numFmtId="0" fontId="12" fillId="5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14" fontId="0" fillId="0" borderId="0" pivotButton="0" quotePrefix="0" xfId="0"/>
    <xf numFmtId="0" fontId="0" fillId="0" borderId="0" applyAlignment="1" pivotButton="0" quotePrefix="0" xfId="0">
      <alignment vertical="center"/>
    </xf>
    <xf numFmtId="0" fontId="14" fillId="0" borderId="0" pivotButton="0" quotePrefix="0" xfId="0"/>
    <xf numFmtId="164" fontId="0" fillId="0" borderId="0" pivotButton="0" quotePrefix="0" xfId="0"/>
    <xf numFmtId="0" fontId="15" fillId="0" borderId="14" pivotButton="0" quotePrefix="0" xfId="1"/>
    <xf numFmtId="14" fontId="15" fillId="0" borderId="14" pivotButton="0" quotePrefix="0" xfId="1"/>
    <xf numFmtId="14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7" fillId="6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wrapText="1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2" fillId="2" borderId="14" applyAlignment="1" pivotButton="0" quotePrefix="0" xfId="0">
      <alignment horizontal="center" vertical="center"/>
    </xf>
    <xf numFmtId="0" fontId="3" fillId="3" borderId="14" applyAlignment="1" pivotButton="0" quotePrefix="0" xfId="0">
      <alignment wrapText="1"/>
    </xf>
    <xf numFmtId="0" fontId="4" fillId="4" borderId="14" applyAlignment="1" pivotButton="0" quotePrefix="0" xfId="0">
      <alignment wrapText="1"/>
    </xf>
    <xf numFmtId="0" fontId="7" fillId="6" borderId="14" applyAlignment="1" pivotButton="0" quotePrefix="0" xfId="0">
      <alignment horizontal="center" vertical="center" wrapText="1"/>
    </xf>
    <xf numFmtId="0" fontId="8" fillId="5" borderId="14" applyAlignment="1" pivotButton="0" quotePrefix="0" xfId="0">
      <alignment wrapText="1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14" fontId="0" fillId="5" borderId="14" applyAlignment="1" pivotButton="0" quotePrefix="0" xfId="0">
      <alignment horizontal="center" vertical="center"/>
    </xf>
    <xf numFmtId="1" fontId="0" fillId="5" borderId="14" applyAlignment="1" pivotButton="0" quotePrefix="0" xfId="0">
      <alignment horizontal="center" vertical="center"/>
    </xf>
    <xf numFmtId="14" fontId="0" fillId="0" borderId="14" applyAlignment="1" pivotButton="0" quotePrefix="0" xfId="0">
      <alignment vertical="center"/>
    </xf>
  </cellXfs>
  <cellStyles count="2">
    <cellStyle name="Normal" xfId="0" builtinId="0"/>
    <cellStyle name="Normal 2" xfId="1"/>
  </cellStyles>
  <dxfs count="7">
    <dxf>
      <font>
        <b val="1"/>
        <color rgb="FF9A3412"/>
      </font>
      <fill>
        <patternFill patternType="solid">
          <bgColor rgb="FFFED7AA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374151"/>
      </font>
      <fill>
        <patternFill patternType="solid">
          <bgColor rgb="FFF3F4F6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30A3"/>
      </font>
      <fill>
        <patternFill patternType="solid">
          <bgColor rgb="FFE0E7FF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E40AF"/>
      </font>
      <fill>
        <patternFill patternType="solid">
          <bgColor rgb="FFDBEAF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gistroAlteracoesAds" displayName="RegistroAlteracoesAds" ref="A10:V208" headerRowCount="1" totalsRowShown="0">
  <tableColumns count="22">
    <tableColumn id="1" name="ID da alteração"/>
    <tableColumn id="2" name="Ciclo"/>
    <tableColumn id="3" name="Data da recomendação"/>
    <tableColumn id="4" name="Data da aprovação"/>
    <tableColumn id="5" name="Data da execução"/>
    <tableColumn id="6" name="Campanha"/>
    <tableColumn id="7" name="Elemento / alvo"/>
    <tableColumn id="8" name="Tipo de ação"/>
    <tableColumn id="9" name="Estado / valor anterior"/>
    <tableColumn id="10" name="Estado / valor aprovado"/>
    <tableColumn id="11" name="Motivo / diagnóstico"/>
    <tableColumn id="12" name="Fonte da decisão"/>
    <tableColumn id="13" name="Confiança"/>
    <tableColumn id="14" name="Aprovado?"/>
    <tableColumn id="15" name="Executado?"/>
    <tableColumn id="16" name="Status"/>
    <tableColumn id="17" name="Início da janela pós"/>
    <tableColumn id="18" name="Dias desde execução"/>
    <tableColumn id="19" name="Resultado pós-alteração"/>
    <tableColumn id="20" name="Veredito posterior"/>
    <tableColumn id="21" name="Reavaliar em"/>
    <tableColumn id="22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"/>
  <sheetViews>
    <sheetView tabSelected="1" topLeftCell="R102" workbookViewId="0">
      <selection activeCell="V105" sqref="V105"/>
    </sheetView>
  </sheetViews>
  <sheetFormatPr baseColWidth="8" defaultRowHeight="14.25"/>
  <cols>
    <col width="14" customWidth="1" style="39" min="1" max="1"/>
    <col width="9" customWidth="1" style="39" min="2" max="2"/>
    <col width="15" customWidth="1" style="39" min="3" max="4"/>
    <col width="14" customWidth="1" style="39" min="5" max="5"/>
    <col width="28" customWidth="1" style="39" min="6" max="7"/>
    <col width="23" customWidth="1" style="39" min="8" max="8"/>
    <col width="20" customWidth="1" style="39" min="9" max="10"/>
    <col width="34" customWidth="1" style="39" min="11" max="11"/>
    <col width="28" customWidth="1" style="39" min="12" max="12"/>
    <col width="12" customWidth="1" style="39" min="13" max="15"/>
    <col width="29" customWidth="1" style="39" min="16" max="16"/>
    <col width="17" customWidth="1" style="39" min="17" max="17"/>
    <col width="16" customWidth="1" style="39" min="18" max="18"/>
    <col width="36" customWidth="1" style="39" min="19" max="19"/>
    <col width="27" customWidth="1" style="39" min="20" max="20"/>
    <col width="15" customWidth="1" style="39" min="21" max="21"/>
    <col width="36" customWidth="1" style="39" min="22" max="22"/>
  </cols>
  <sheetData>
    <row r="1" ht="30" customHeight="1" s="39">
      <c r="A1" s="59" t="inlineStr">
        <is>
          <t>REGISTRO DE ALTERAÇÕES — AMAZON ADS | WINNET METAIS</t>
        </is>
      </c>
    </row>
    <row r="2" ht="30" customHeight="1" s="39">
      <c r="A2" s="60" t="inlineStr">
        <is>
          <t>Objetivo: registrar o que foi recomendado, aprovado e realmente executado em cada otimização. Uma recomendação só pode ser tratada como mudança da conta quando a execução for confirmada.</t>
        </is>
      </c>
    </row>
    <row r="3" ht="27.95" customHeight="1" s="39">
      <c r="A3" s="61" t="inlineStr">
        <is>
          <t>Regra de leitura pós-alteração: considerar preferencialmente o período pós-otimização a partir do dia seguinte à execução. “Aconteceu depois” não significa automaticamente “foi causado pela alteração”.</t>
        </is>
      </c>
    </row>
    <row r="5">
      <c r="A5" s="1" t="inlineStr">
        <is>
          <t>TOTAL REGISTROS</t>
        </is>
      </c>
      <c r="B5" s="1" t="inlineStr">
        <is>
          <t>APROVADAS</t>
        </is>
      </c>
      <c r="C5" s="1" t="inlineStr">
        <is>
          <t>EXECUTADAS</t>
        </is>
      </c>
      <c r="D5" s="1" t="inlineStr">
        <is>
          <t>BLOQUEADAS</t>
        </is>
      </c>
      <c r="E5" s="1" t="inlineStr">
        <is>
          <t>EM MATURAÇÃO</t>
        </is>
      </c>
      <c r="F5" s="1" t="inlineStr">
        <is>
          <t>AVALIADAS</t>
        </is>
      </c>
      <c r="H5" s="62" t="inlineStr">
        <is>
          <t>FLUXO OFICIAL: RECOMENDAÇÃO → APROVAÇÃO HUMANA → PLANO DE EXECUÇÃO → CONFERÊNCIA DO ESTADO ATUAL → EXECUÇÃO CONFIRMADA → MATURAÇÃO → AVALIAÇÃO NO CICLO SEGUINTE</t>
        </is>
      </c>
    </row>
    <row r="6" ht="26.1" customHeight="1" s="39">
      <c r="A6" s="2">
        <f>COUNTIF(A11:A208,"&lt;&gt;")</f>
        <v/>
      </c>
      <c r="B6" s="3">
        <f>COUNTIF(N11:N208,"SIM")</f>
        <v/>
      </c>
      <c r="C6" s="3">
        <f>COUNTIF(O11:O208,"SIM")</f>
        <v/>
      </c>
      <c r="D6" s="3">
        <f>COUNTIF(P11:P208,"BLOQUEADA*")</f>
        <v/>
      </c>
      <c r="E6" s="3">
        <f>COUNTIF(P11:P208,"EXECUTADA - EM MATURAÇÃO")</f>
        <v/>
      </c>
      <c r="F6" s="4">
        <f>COUNTIF(P11:P208,"EXECUTADA - AVALIADA")</f>
        <v/>
      </c>
    </row>
    <row r="8" ht="21.95" customHeight="1" s="39">
      <c r="A8" s="63" t="inlineStr">
        <is>
          <t>Preencha uma linha por alteração. Não agrupe mudanças diferentes no mesmo registro. IDs sugeridos: O4-001, O4-002, O5-001...</t>
        </is>
      </c>
    </row>
    <row r="10" ht="38.1" customHeight="1" s="39">
      <c r="A10" s="5" t="inlineStr">
        <is>
          <t>ID da alteração</t>
        </is>
      </c>
      <c r="B10" s="5" t="inlineStr">
        <is>
          <t>Ciclo</t>
        </is>
      </c>
      <c r="C10" s="5" t="inlineStr">
        <is>
          <t>Data da recomendação</t>
        </is>
      </c>
      <c r="D10" s="5" t="inlineStr">
        <is>
          <t>Data da aprovação</t>
        </is>
      </c>
      <c r="E10" s="5" t="inlineStr">
        <is>
          <t>Data da execução</t>
        </is>
      </c>
      <c r="F10" s="5" t="inlineStr">
        <is>
          <t>Campanha</t>
        </is>
      </c>
      <c r="G10" s="5" t="inlineStr">
        <is>
          <t>Elemento / alvo</t>
        </is>
      </c>
      <c r="H10" s="5" t="inlineStr">
        <is>
          <t>Tipo de ação</t>
        </is>
      </c>
      <c r="I10" s="5" t="inlineStr">
        <is>
          <t>Estado / valor anterior</t>
        </is>
      </c>
      <c r="J10" s="5" t="inlineStr">
        <is>
          <t>Estado / valor aprovado</t>
        </is>
      </c>
      <c r="K10" s="5" t="inlineStr">
        <is>
          <t>Motivo / diagnóstico</t>
        </is>
      </c>
      <c r="L10" s="5" t="inlineStr">
        <is>
          <t>Fonte da decisão</t>
        </is>
      </c>
      <c r="M10" s="5" t="inlineStr">
        <is>
          <t>Confiança</t>
        </is>
      </c>
      <c r="N10" s="5" t="inlineStr">
        <is>
          <t>Aprovado?</t>
        </is>
      </c>
      <c r="O10" s="5" t="inlineStr">
        <is>
          <t>Executado?</t>
        </is>
      </c>
      <c r="P10" s="5" t="inlineStr">
        <is>
          <t>Status</t>
        </is>
      </c>
      <c r="Q10" s="5" t="inlineStr">
        <is>
          <t>Início da janela pós</t>
        </is>
      </c>
      <c r="R10" s="5" t="inlineStr">
        <is>
          <t>Dias desde execução</t>
        </is>
      </c>
      <c r="S10" s="5" t="inlineStr">
        <is>
          <t>Resultado pós-alteração</t>
        </is>
      </c>
      <c r="T10" s="5" t="inlineStr">
        <is>
          <t>Veredito posterior</t>
        </is>
      </c>
      <c r="U10" s="5" t="inlineStr">
        <is>
          <t>Reavaliar em</t>
        </is>
      </c>
      <c r="V10" s="5" t="inlineStr">
        <is>
          <t>Observações</t>
        </is>
      </c>
    </row>
    <row r="11">
      <c r="A11" s="37" t="inlineStr">
        <is>
          <t>O4-R01</t>
        </is>
      </c>
      <c r="B11" s="37" t="inlineStr">
        <is>
          <t>O4</t>
        </is>
      </c>
      <c r="C11" s="38" t="n"/>
      <c r="D11" s="38" t="n">
        <v>46251</v>
      </c>
      <c r="E11" s="38" t="n">
        <v>46251</v>
      </c>
      <c r="F11" s="37" t="inlineStr">
        <is>
          <t>PI SP-01-o228/07</t>
        </is>
      </c>
      <c r="G11" s="37" t="inlineStr">
        <is>
          <t>campanha</t>
        </is>
      </c>
      <c r="H11" s="37" t="inlineStr">
        <is>
          <t>PAUSA</t>
        </is>
      </c>
      <c r="I11" s="37" t="inlineStr">
        <is>
          <t>Ativa (R$ 40/dia)</t>
        </is>
      </c>
      <c r="J11" s="37" t="inlineStr">
        <is>
          <t>Pausada</t>
        </is>
      </c>
      <c r="K11" s="9" t="inlineStr">
        <is>
          <t>Anúncio suspenso por política; contestação negada em 2ª análise (25/08). Inelegibilidade — não conta como falha de desempenho (Playbook §30). Caso encerrado por decisão Wintech</t>
        </is>
      </c>
      <c r="L11" s="9" t="inlineStr">
        <is>
          <t>Casos 21577340991 / 21652133321 / caso final 25/08</t>
        </is>
      </c>
      <c r="M11" s="9" t="inlineStr">
        <is>
          <t>ALTA</t>
        </is>
      </c>
      <c r="N11" s="9" t="inlineStr">
        <is>
          <t>SIM</t>
        </is>
      </c>
      <c r="O11" s="9" t="inlineStr">
        <is>
          <t>SIM</t>
        </is>
      </c>
      <c r="P11" s="9" t="inlineStr">
        <is>
          <t>EXECUTADA - AVALIADA</t>
        </is>
      </c>
      <c r="Q11" s="16">
        <f>IF(E11="","",E11+1)</f>
        <v/>
      </c>
      <c r="R11" s="17">
        <f>IF(E11="","",TODAY()-E11)</f>
        <v/>
      </c>
      <c r="S11" t="inlineStr">
        <is>
          <t>Sem atividade desde 17/08. O ASIN B0H5Z1XK3V não aparece no Business Report da Era (zero sessão)</t>
        </is>
      </c>
      <c r="T11" t="inlineStr">
        <is>
          <t>MANTIDA — a inelegibilidade persiste. Reativar somente com o anúncio liberado. Pausa por inelegibilidade, não conta como falha de desempenho (Playbook §30)</t>
        </is>
      </c>
      <c r="U11" s="6" t="n"/>
      <c r="V11" s="40" t="inlineStr">
        <is>
          <t>Retroativo; reativar somente se o ASIN voltar a ser elegível</t>
        </is>
      </c>
    </row>
    <row r="12">
      <c r="A12" s="37" t="inlineStr">
        <is>
          <t>O4-R02</t>
        </is>
      </c>
      <c r="B12" s="37" t="inlineStr">
        <is>
          <t>O4</t>
        </is>
      </c>
      <c r="C12" s="38" t="n"/>
      <c r="D12" s="38" t="n">
        <v>46251</v>
      </c>
      <c r="E12" s="38" t="n">
        <v>46251</v>
      </c>
      <c r="F12" s="37" t="inlineStr">
        <is>
          <t>Auto SP-01-o116/07</t>
        </is>
      </c>
      <c r="G12" s="37" t="inlineStr">
        <is>
          <t>campanha</t>
        </is>
      </c>
      <c r="H12" s="37" t="inlineStr">
        <is>
          <t>PAUSA preventiva</t>
        </is>
      </c>
      <c r="I12" s="37" t="inlineStr">
        <is>
          <t>Ativa</t>
        </is>
      </c>
      <c r="J12" s="37" t="inlineStr">
        <is>
          <t>Pausada</t>
        </is>
      </c>
      <c r="K12" s="11" t="inlineStr">
        <is>
          <t>Prevenção durante suspensão do ASIN; anúncio próprio sempre aprovado</t>
        </is>
      </c>
      <c r="L12" s="11" t="inlineStr">
        <is>
          <t>Decisão Wintech 17/08</t>
        </is>
      </c>
      <c r="M12" s="11" t="inlineStr">
        <is>
          <t>ALTA</t>
        </is>
      </c>
      <c r="N12" s="11" t="inlineStr">
        <is>
          <t>SIM</t>
        </is>
      </c>
      <c r="O12" s="11" t="inlineStr">
        <is>
          <t>SIM</t>
        </is>
      </c>
      <c r="P12" s="9" t="inlineStr">
        <is>
          <t>EXECUTADA - AVALIADA</t>
        </is>
      </c>
      <c r="Q12" s="18">
        <f>IF(E12="","",E12+1)</f>
        <v/>
      </c>
      <c r="R12" s="19">
        <f>IF(E12="","",TODAY()-E12)</f>
        <v/>
      </c>
      <c r="S12" t="inlineStr">
        <is>
          <t>Superada pela O4-R03 no mesmo dia</t>
        </is>
      </c>
      <c r="T12" t="inlineStr">
        <is>
          <t>ENCERRADA (superada)</t>
        </is>
      </c>
      <c r="U12" s="7" t="n"/>
      <c r="V12" s="41" t="inlineStr">
        <is>
          <t>Retroativo; superada pela O4-R03</t>
        </is>
      </c>
    </row>
    <row r="13">
      <c r="A13" s="37" t="inlineStr">
        <is>
          <t>O4-R03</t>
        </is>
      </c>
      <c r="B13" s="37" t="inlineStr">
        <is>
          <t>O4</t>
        </is>
      </c>
      <c r="C13" s="38" t="n"/>
      <c r="D13" s="37" t="n"/>
      <c r="E13" s="38" t="n">
        <v>46259</v>
      </c>
      <c r="F13" s="37" t="inlineStr">
        <is>
          <t>Auto SP-01-o116/07</t>
        </is>
      </c>
      <c r="G13" s="37" t="inlineStr">
        <is>
          <t>campanha</t>
        </is>
      </c>
      <c r="H13" s="37" t="inlineStr">
        <is>
          <t>REATIVAÇÃO</t>
        </is>
      </c>
      <c r="I13" s="37" t="inlineStr">
        <is>
          <t>Pausada</t>
        </is>
      </c>
      <c r="J13" s="37" t="inlineStr">
        <is>
          <t>Ativa</t>
        </is>
      </c>
      <c r="K13" s="11" t="inlineStr">
        <is>
          <t>ASIN requalificado (~19-20/08); margem SP-01 23,1%. Estado confirmado no export e no console em 25/08</t>
        </is>
      </c>
      <c r="L13" s="11" t="inlineStr">
        <is>
          <t>Export Gerenciador 25/08 + console</t>
        </is>
      </c>
      <c r="M13" s="11" t="inlineStr">
        <is>
          <t>ALTA</t>
        </is>
      </c>
      <c r="N13" s="11" t="inlineStr">
        <is>
          <t>SIM</t>
        </is>
      </c>
      <c r="O13" s="11" t="inlineStr">
        <is>
          <t>SIM</t>
        </is>
      </c>
      <c r="P13" s="9" t="inlineStr">
        <is>
          <t>EXECUTADA - AVALIADA</t>
        </is>
      </c>
      <c r="Q13" s="18">
        <f>IF(E13="","",E13+1)</f>
        <v/>
      </c>
      <c r="R13" s="19">
        <f>IF(E13="","",TODAY()-E13)</f>
        <v/>
      </c>
      <c r="S13" t="inlineStr">
        <is>
          <t>Reativada, mas zero impressão de 18/08 a 07/09 (o 30d registra 172 impressões e 1 clique, só entre 11 e 17/08). Conferido no console em 09/09: o ANÚNCIO dentro da campanha está suspenso por política</t>
        </is>
      </c>
      <c r="T13" t="inlineStr">
        <is>
          <t>SEM EFEITO — a premissa da reativação (ASIN requalificado) era VERDADEIRA: o listing está ativo e o mesmo SKU segue anunciado pela Manual Bituqueiras (14 impressões, 20/08–04/09). O que não voltou foi o anúncio DENTRO desta campanha. Campanha pausada em O5-012</t>
        </is>
      </c>
      <c r="U13" s="7" t="n">
        <v>46273</v>
      </c>
      <c r="V13" s="41" t="inlineStr">
        <is>
          <t>Data exata da reativação entre 17 e 25/08 não determinada</t>
        </is>
      </c>
    </row>
    <row r="14">
      <c r="A14" s="37" t="inlineStr">
        <is>
          <t>O4-R04</t>
        </is>
      </c>
      <c r="B14" s="37" t="inlineStr">
        <is>
          <t>O4</t>
        </is>
      </c>
      <c r="C14" s="38" t="n"/>
      <c r="D14" s="38" t="n">
        <v>46251</v>
      </c>
      <c r="E14" s="38" t="n">
        <v>46259</v>
      </c>
      <c r="F14" s="37" t="inlineStr">
        <is>
          <t>Extintor Exato Manual [O4 25/08]</t>
        </is>
      </c>
      <c r="G14" s="37" t="inlineStr">
        <is>
          <t>Topo de Pesquisa</t>
        </is>
      </c>
      <c r="H14" s="37" t="inlineStr">
        <is>
          <t>CONSERTO</t>
        </is>
      </c>
      <c r="I14" s="37" t="inlineStr">
        <is>
          <t>Ajuste 0 (reaplicação de 17/08 não vigorou)</t>
        </is>
      </c>
      <c r="J14" s="37" t="inlineStr">
        <is>
          <t>+75%</t>
        </is>
      </c>
      <c r="K14" s="11" t="inlineStr">
        <is>
          <t>Conserto de configuração fora do ritual; export 25/08 mostrava 0; TOS IS 60,3% com 0 cliques em 30d</t>
        </is>
      </c>
      <c r="L14" s="11" t="inlineStr">
        <is>
          <t>Export 25/08 + execução Wintech 25/08</t>
        </is>
      </c>
      <c r="M14" s="11" t="inlineStr">
        <is>
          <t>ALTA</t>
        </is>
      </c>
      <c r="N14" s="11" t="inlineStr">
        <is>
          <t>SIM</t>
        </is>
      </c>
      <c r="O14" s="11" t="inlineStr">
        <is>
          <t>SIM</t>
        </is>
      </c>
      <c r="P14" s="9" t="inlineStr">
        <is>
          <t>EXECUTADA - AVALIADA</t>
        </is>
      </c>
      <c r="Q14" s="18">
        <f>IF(E14="","",E14+1)</f>
        <v/>
      </c>
      <c r="R14" s="19">
        <f>IF(E14="","",TODAY()-E14)</f>
        <v/>
      </c>
      <c r="S14" t="inlineStr">
        <is>
          <t>Export de 08/09: ajuste de topo 0,75 vigente. Era: 1 clique e 1 venda de R$ 203,54. ACOS 30d de 1,4%. Termos em rank 1 com share 100%</t>
        </is>
      </c>
      <c r="T14" t="inlineStr">
        <is>
          <t>POSITIVO — o conserto vigorou. O volume dos termos exatos é baixo (métrica bruta, não inferir teto de mercado). A campanha ganhou uma 2ª venda vitalícia em 08/09 (PXP ×2, R$ 302,20)</t>
        </is>
      </c>
      <c r="U14" s="7" t="n">
        <v>46273</v>
      </c>
      <c r="V14" s="41" t="inlineStr">
        <is>
          <t>Investigação de demanda/cobertura/CTR do Extintor segue aberta</t>
        </is>
      </c>
    </row>
    <row r="15">
      <c r="A15" s="37" t="inlineStr">
        <is>
          <t>O4-001</t>
        </is>
      </c>
      <c r="B15" s="37" t="inlineStr">
        <is>
          <t>O4</t>
        </is>
      </c>
      <c r="C15" s="38" t="n">
        <v>46259</v>
      </c>
      <c r="D15" s="38" t="n">
        <v>46259</v>
      </c>
      <c r="E15" s="38" t="n">
        <v>46259</v>
      </c>
      <c r="F15" s="37" t="inlineStr">
        <is>
          <t>Auto SP-PP-o116/07 [O4 25/08]</t>
        </is>
      </c>
      <c r="G15" s="37" t="inlineStr">
        <is>
          <t>segmentação substitutes</t>
        </is>
      </c>
      <c r="H15" s="37" t="inlineStr">
        <is>
          <t>PAUSAR SEGMENTAÇÃO</t>
        </is>
      </c>
      <c r="I15" s="37" t="inlineStr">
        <is>
          <t>Ativa (19.756 impr / 13 cliques / R$ 13,43 / 0 vendas em 30d)</t>
        </is>
      </c>
      <c r="J15" s="37" t="inlineStr">
        <is>
          <t>Pausada</t>
        </is>
      </c>
      <c r="K15" s="11" t="inlineStr">
        <is>
          <t>100% dos cliques pagos em termos "parede" irrelevantes; ALVO ≠ CAMPANHA — campanha permanece ativa</t>
        </is>
      </c>
      <c r="L15" s="11" t="inlineStr">
        <is>
          <t>Termos de Pesquisa + Segmentação 30d</t>
        </is>
      </c>
      <c r="M15" s="11" t="inlineStr">
        <is>
          <t>ALTA</t>
        </is>
      </c>
      <c r="N15" s="11" t="inlineStr">
        <is>
          <t>SIM</t>
        </is>
      </c>
      <c r="O15" s="11" t="inlineStr">
        <is>
          <t>SIM</t>
        </is>
      </c>
      <c r="P15" s="9" t="inlineStr">
        <is>
          <t>EXECUTADA - AVALIADA</t>
        </is>
      </c>
      <c r="Q15" s="18">
        <f>IF(E15="","",E15+1)</f>
        <v/>
      </c>
      <c r="R15" s="19">
        <f>IF(E15="","",TODAY()-E15)</f>
        <v/>
      </c>
      <c r="S15" t="inlineStr">
        <is>
          <t>Todos os termos servidos via substitutes terminam em 25/08 ou antes; na Era só houve entrega pela loose-match</t>
        </is>
      </c>
      <c r="T15" t="inlineStr">
        <is>
          <t>EFETIVA NA SEGMENTAÇÃO — a substitutes parou de fato. Mas o CTR da campanha seguiu em ~0,06%, agora pela loose-match: o problema migrou de segmentação, não foi resolvido. Tratado em O5-010</t>
        </is>
      </c>
      <c r="U15" s="7" t="n">
        <v>46273</v>
      </c>
      <c r="V15" s="41" t="inlineStr">
        <is>
          <t>Reavaliar CTR do SP-PP na O5, pós-limpeza</t>
        </is>
      </c>
    </row>
    <row r="16">
      <c r="A16" s="37" t="inlineStr">
        <is>
          <t>O4-002</t>
        </is>
      </c>
      <c r="B16" s="37" t="inlineStr">
        <is>
          <t>O4</t>
        </is>
      </c>
      <c r="C16" s="38" t="n">
        <v>46259</v>
      </c>
      <c r="D16" s="38" t="n">
        <v>46259</v>
      </c>
      <c r="E16" s="38" t="n">
        <v>46259</v>
      </c>
      <c r="F16" s="37" t="inlineStr">
        <is>
          <t>Auto SP-PP-o116/07 [O4 25/08]</t>
        </is>
      </c>
      <c r="G16" s="37" t="inlineStr">
        <is>
          <t>negativas de termos</t>
        </is>
      </c>
      <c r="H16" s="37" t="inlineStr">
        <is>
          <t>NEGATIVAR</t>
        </is>
      </c>
      <c r="I16" s="37" t="inlineStr">
        <is>
          <t>—</t>
        </is>
      </c>
      <c r="J16" s="37" t="inlineStr">
        <is>
          <t>12 exatas + 6 frases negativas</t>
        </is>
      </c>
      <c r="K16" s="11" t="inlineStr">
        <is>
          <t>Irrelevância confirmada (categoria incompatível: papel de parede, relógio, varal etc.); "parede" isolado preservado (termo-core)</t>
        </is>
      </c>
      <c r="L16" s="11" t="inlineStr">
        <is>
          <t>Termos de Pesquisa 30d</t>
        </is>
      </c>
      <c r="M16" s="11" t="inlineStr">
        <is>
          <t>ALTA</t>
        </is>
      </c>
      <c r="N16" s="11" t="inlineStr">
        <is>
          <t>SIM</t>
        </is>
      </c>
      <c r="O16" s="11" t="inlineStr">
        <is>
          <t>SIM</t>
        </is>
      </c>
      <c r="P16" s="9" t="inlineStr">
        <is>
          <t>EXECUTADA - AVALIADA</t>
        </is>
      </c>
      <c r="Q16" s="18">
        <f>IF(E16="","",E16+1)</f>
        <v/>
      </c>
      <c r="R16" s="19">
        <f>IF(E16="","",TODAY()-E16)</f>
        <v/>
      </c>
      <c r="S16" t="inlineStr">
        <is>
          <t>Nenhum dos 18 termos negativados reaparece na Era</t>
        </is>
      </c>
      <c r="T16" t="inlineStr">
        <is>
          <t>EFETIVA</t>
        </is>
      </c>
      <c r="U16" s="7" t="n">
        <v>46273</v>
      </c>
      <c r="V16" s="41" t="inlineStr">
        <is>
          <t>Exata "paredes" NÃO aplicada por decisão Wintech (residual: 2 impr / R$ 0,18)</t>
        </is>
      </c>
    </row>
    <row r="17">
      <c r="A17" s="37" t="inlineStr">
        <is>
          <t>O4-003</t>
        </is>
      </c>
      <c r="B17" s="37" t="inlineStr">
        <is>
          <t>O4</t>
        </is>
      </c>
      <c r="C17" s="38" t="n">
        <v>46259</v>
      </c>
      <c r="D17" s="38" t="n">
        <v>46259</v>
      </c>
      <c r="E17" s="38" t="n">
        <v>46259</v>
      </c>
      <c r="F17" s="37" t="inlineStr">
        <is>
          <t>PI P3050-o228/07 [O4 25/08]</t>
        </is>
      </c>
      <c r="G17" s="37" t="inlineStr">
        <is>
          <t>campanha</t>
        </is>
      </c>
      <c r="H17" s="37" t="inlineStr">
        <is>
          <t>PAUSAR</t>
        </is>
      </c>
      <c r="I17" s="37" t="inlineStr">
        <is>
          <t>Vigia (contrato O3 vencido)</t>
        </is>
      </c>
      <c r="J17" s="37" t="inlineStr">
        <is>
          <t>Pausada</t>
        </is>
      </c>
      <c r="K17" s="11" t="inlineStr">
        <is>
          <t>Entrega existente (3.009 impr), checkpoint ~15 cliques atingido (16), 0 conversão; SKU com 34 cliques/0 vendas cross-campanha. Retorno condicionado a diagnóstico de conversão do SKU</t>
        </is>
      </c>
      <c r="L17" s="11" t="inlineStr">
        <is>
          <t>Régua de checkpoint + contrato de vigia O3</t>
        </is>
      </c>
      <c r="M17" s="11" t="inlineStr">
        <is>
          <t>MÉDIA</t>
        </is>
      </c>
      <c r="N17" s="11" t="inlineStr">
        <is>
          <t>SIM</t>
        </is>
      </c>
      <c r="O17" s="11" t="inlineStr">
        <is>
          <t>SIM</t>
        </is>
      </c>
      <c r="P17" s="9" t="inlineStr">
        <is>
          <t>EXECUTADA - AVALIADA</t>
        </is>
      </c>
      <c r="Q17" s="18">
        <f>IF(E17="","",E17+1)</f>
        <v/>
      </c>
      <c r="R17" s="19">
        <f>IF(E17="","",TODAY()-E17)</f>
        <v/>
      </c>
      <c r="S17" t="inlineStr">
        <is>
          <t>Sem atividade após 25/08. O SKU teve 13 sessões e zero unidade na Era; Relâmpago de −10% em curso</t>
        </is>
      </c>
      <c r="T17" t="inlineStr">
        <is>
          <t>MANTIDA — retorno condicionado ao lote de correção de página</t>
        </is>
      </c>
      <c r="U17" s="7" t="n"/>
      <c r="V17" s="41" t="inlineStr">
        <is>
          <t>Divergência registrada: análise paralela recomendou manter vigia; decisão de portfólio Wintech pela pausa</t>
        </is>
      </c>
    </row>
    <row r="18">
      <c r="A18" s="37" t="inlineStr">
        <is>
          <t>O4-004</t>
        </is>
      </c>
      <c r="B18" s="37" t="inlineStr">
        <is>
          <t>O4</t>
        </is>
      </c>
      <c r="C18" s="38" t="n">
        <v>46259</v>
      </c>
      <c r="D18" s="38" t="n">
        <v>46259</v>
      </c>
      <c r="E18" s="38" t="n">
        <v>46259</v>
      </c>
      <c r="F18" s="37" t="inlineStr">
        <is>
          <t>PI L2470-CZ-o228/07 [O4 25/08]</t>
        </is>
      </c>
      <c r="G18" s="37" t="inlineStr">
        <is>
          <t>24 alvos</t>
        </is>
      </c>
      <c r="H18" s="37" t="inlineStr">
        <is>
          <t>RADAR +20% lances</t>
        </is>
      </c>
      <c r="I18" s="37" t="inlineStr">
        <is>
          <t>0,55 / 0,50</t>
        </is>
      </c>
      <c r="J18" s="37" t="inlineStr">
        <is>
          <t>0,66 / 0,60</t>
        </is>
      </c>
      <c r="K18" s="11" t="inlineStr">
        <is>
          <t>Amostra insuficiente (4 cliques/30d) — entrega, não conversão; margem 28,2% suporta</t>
        </is>
      </c>
      <c r="L18" s="11" t="inlineStr">
        <is>
          <t>Segmentação 30d + Mestra</t>
        </is>
      </c>
      <c r="M18" s="11" t="inlineStr">
        <is>
          <t>MÉDIA</t>
        </is>
      </c>
      <c r="N18" s="11" t="inlineStr">
        <is>
          <t>SIM</t>
        </is>
      </c>
      <c r="O18" s="11" t="inlineStr">
        <is>
          <t>SIM</t>
        </is>
      </c>
      <c r="P18" s="9" t="inlineStr">
        <is>
          <t>EXECUTADA - AVALIADA</t>
        </is>
      </c>
      <c r="Q18" s="18">
        <f>IF(E18="","",E18+1)</f>
        <v/>
      </c>
      <c r="R18" s="19">
        <f>IF(E18="","",TODAY()-E18)</f>
        <v/>
      </c>
      <c r="S18" t="inlineStr">
        <is>
          <t>Era: 4 cliques, R$ 2,51, zero venda. Vitalício: 18 cliques e zero venda em 32 alvos</t>
        </is>
      </c>
      <c r="T18" t="inlineStr">
        <is>
          <t>NEGATIVO — o radar não gerou amostra em 8 dias úteis após o +20%. Contrato de saída acionado; campanha pausada em O5-004</t>
        </is>
      </c>
      <c r="U18" s="7" t="n">
        <v>46273</v>
      </c>
      <c r="V18" s="41" t="inlineStr">
        <is>
          <t>CONTRATO DE SAÍDA: O5 sem amostra relevante ou cliques sem venda → pausa sem prorrogação</t>
        </is>
      </c>
    </row>
    <row r="19">
      <c r="A19" s="37" t="inlineStr">
        <is>
          <t>O4-005</t>
        </is>
      </c>
      <c r="B19" s="37" t="inlineStr">
        <is>
          <t>O4</t>
        </is>
      </c>
      <c r="C19" s="38" t="n">
        <v>46259</v>
      </c>
      <c r="D19" s="38" t="n">
        <v>46259</v>
      </c>
      <c r="E19" s="38" t="n">
        <v>46259</v>
      </c>
      <c r="F19" s="37" t="inlineStr">
        <is>
          <t>PI PG3070-o228/07 [O4 25/08]</t>
        </is>
      </c>
      <c r="G19" s="37" t="inlineStr">
        <is>
          <t>57 alvos</t>
        </is>
      </c>
      <c r="H19" s="37" t="inlineStr">
        <is>
          <t>RADAR +20% lance</t>
        </is>
      </c>
      <c r="I19" s="37" t="inlineStr">
        <is>
          <t>0,55</t>
        </is>
      </c>
      <c r="J19" s="37" t="inlineStr">
        <is>
          <t>0,66</t>
        </is>
      </c>
      <c r="K19" s="11" t="inlineStr">
        <is>
          <t>Entrega fraca generalizada (682 impr/30d em 57 alvos); margem 23,5%</t>
        </is>
      </c>
      <c r="L19" s="11" t="inlineStr">
        <is>
          <t>Segmentação 30d + Mestra</t>
        </is>
      </c>
      <c r="M19" s="11" t="inlineStr">
        <is>
          <t>MÉDIA</t>
        </is>
      </c>
      <c r="N19" s="11" t="inlineStr">
        <is>
          <t>SIM</t>
        </is>
      </c>
      <c r="O19" s="11" t="inlineStr">
        <is>
          <t>SIM</t>
        </is>
      </c>
      <c r="P19" s="9" t="inlineStr">
        <is>
          <t>EXECUTADA - AVALIADA</t>
        </is>
      </c>
      <c r="Q19" s="18">
        <f>IF(E19="","",E19+1)</f>
        <v/>
      </c>
      <c r="R19" s="19">
        <f>IF(E19="","",TODAY()-E19)</f>
        <v/>
      </c>
      <c r="S19" t="inlineStr">
        <is>
          <t>Era: 1 clique, R$ 0,99, zero venda. Vitalício: 8 cliques e zero venda em 83 alvos</t>
        </is>
      </c>
      <c r="T19" t="inlineStr">
        <is>
          <t>NEGATIVO — sem amostra. Contrato de saída acionado; campanha pausada em O5-005. A família PG vendeu por outro caminho: PG2460 pela Geral com Melhor Oferta em 07/09</t>
        </is>
      </c>
      <c r="U19" s="7" t="n">
        <v>46273</v>
      </c>
      <c r="V19" s="41" t="inlineStr">
        <is>
          <t>CONTRATO idem O4-004; alvos asin-expanded — avaliar migração p/ exatos na O5 se houver amostra</t>
        </is>
      </c>
    </row>
    <row r="20">
      <c r="A20" s="37" t="inlineStr">
        <is>
          <t>O4-006</t>
        </is>
      </c>
      <c r="B20" s="37" t="inlineStr">
        <is>
          <t>O4</t>
        </is>
      </c>
      <c r="C20" s="38" t="n">
        <v>46259</v>
      </c>
      <c r="D20" s="38" t="n">
        <v>46259</v>
      </c>
      <c r="E20" s="38" t="n">
        <v>46259</v>
      </c>
      <c r="F20" s="37" t="inlineStr">
        <is>
          <t>Auto L1618-o115/07</t>
        </is>
      </c>
      <c r="G20" s="37" t="inlineStr">
        <is>
          <t>campanha</t>
        </is>
      </c>
      <c r="H20" s="37" t="inlineStr">
        <is>
          <t>PAUSAR (zumbi)</t>
        </is>
      </c>
      <c r="I20" s="37" t="inlineStr">
        <is>
          <t>Ativa</t>
        </is>
      </c>
      <c r="J20" s="37" t="inlineStr">
        <is>
          <t>Pausada</t>
        </is>
      </c>
      <c r="K20" s="11" t="inlineStr">
        <is>
          <t>Zumbi fora das listas de gestão; R$ 0,95/30d; família coberta pela Geral; L1618-T em fila de conversão</t>
        </is>
      </c>
      <c r="L20" s="11" t="inlineStr">
        <is>
          <t>Auditoria zumbis (Playbook §22)</t>
        </is>
      </c>
      <c r="M20" s="11" t="inlineStr">
        <is>
          <t>MÉDIA</t>
        </is>
      </c>
      <c r="N20" s="11" t="inlineStr">
        <is>
          <t>SIM</t>
        </is>
      </c>
      <c r="O20" s="11" t="inlineStr">
        <is>
          <t>SIM</t>
        </is>
      </c>
      <c r="P20" s="9" t="inlineStr">
        <is>
          <t>EXECUTADA - AVALIADA</t>
        </is>
      </c>
      <c r="Q20" s="18">
        <f>IF(E20="","",E20+1)</f>
        <v/>
      </c>
      <c r="R20" s="19">
        <f>IF(E20="","",TODAY()-E20)</f>
        <v/>
      </c>
      <c r="S20" t="inlineStr">
        <is>
          <t>Não vigorou em 25/08 — a campanha foi encontrada ATIVA em 31/08 e pausada no ato</t>
        </is>
      </c>
      <c r="T20" t="inlineStr">
        <is>
          <t>SUPERADA por EC-002. Precedente que tornou obrigatória a conferência de estado pós-execução</t>
        </is>
      </c>
      <c r="U20" s="7" t="n"/>
      <c r="V20" s="41" t="inlineStr">
        <is>
          <t>"pausa não vigorou no console; ver EC-002".</t>
        </is>
      </c>
    </row>
    <row r="21">
      <c r="A21" s="37" t="inlineStr">
        <is>
          <t>O4-007</t>
        </is>
      </c>
      <c r="B21" s="37" t="inlineStr">
        <is>
          <t>O4</t>
        </is>
      </c>
      <c r="C21" s="38" t="n">
        <v>46259</v>
      </c>
      <c r="D21" s="38" t="n">
        <v>46259</v>
      </c>
      <c r="E21" s="38" t="n">
        <v>46259</v>
      </c>
      <c r="F21" s="37" t="inlineStr">
        <is>
          <t>Auto PG3070-o115/07</t>
        </is>
      </c>
      <c r="G21" s="37" t="inlineStr">
        <is>
          <t>campanha</t>
        </is>
      </c>
      <c r="H21" s="37" t="inlineStr">
        <is>
          <t>PAUSAR (zumbi)</t>
        </is>
      </c>
      <c r="I21" s="37" t="inlineStr">
        <is>
          <t>Ativa</t>
        </is>
      </c>
      <c r="J21" s="37" t="inlineStr">
        <is>
          <t>Pausada</t>
        </is>
      </c>
      <c r="K21" s="11" t="inlineStr">
        <is>
          <t>Zumbi redundante com PI PG3070 em radar — duas estruturas sujariam a leitura da O5</t>
        </is>
      </c>
      <c r="L21" s="11" t="inlineStr">
        <is>
          <t>Auditoria zumbis</t>
        </is>
      </c>
      <c r="M21" s="11" t="inlineStr">
        <is>
          <t>MÉDIA</t>
        </is>
      </c>
      <c r="N21" s="11" t="inlineStr">
        <is>
          <t>SIM</t>
        </is>
      </c>
      <c r="O21" s="11" t="inlineStr">
        <is>
          <t>SIM</t>
        </is>
      </c>
      <c r="P21" s="9" t="inlineStr">
        <is>
          <t>EXECUTADA - AVALIADA</t>
        </is>
      </c>
      <c r="Q21" s="18">
        <f>IF(E21="","",E21+1)</f>
        <v/>
      </c>
      <c r="R21" s="19">
        <f>IF(E21="","",TODAY()-E21)</f>
        <v/>
      </c>
      <c r="S21" t="inlineStr">
        <is>
          <t>Sem atividade após 25/08</t>
        </is>
      </c>
      <c r="T21" t="inlineStr">
        <is>
          <t>EFETIVA</t>
        </is>
      </c>
      <c r="U21" s="7" t="n"/>
      <c r="V21" s="41" t="n"/>
    </row>
    <row r="22">
      <c r="A22" s="37" t="inlineStr">
        <is>
          <t>O4-008</t>
        </is>
      </c>
      <c r="B22" s="37" t="inlineStr">
        <is>
          <t>O4</t>
        </is>
      </c>
      <c r="C22" s="38" t="n">
        <v>46259</v>
      </c>
      <c r="D22" s="38" t="n">
        <v>46259</v>
      </c>
      <c r="E22" s="38" t="n">
        <v>46259</v>
      </c>
      <c r="F22" s="37" t="inlineStr">
        <is>
          <t>PI P3060-o115/07</t>
        </is>
      </c>
      <c r="G22" s="37" t="inlineStr">
        <is>
          <t>campanha</t>
        </is>
      </c>
      <c r="H22" s="37" t="inlineStr">
        <is>
          <t>PAUSAR (zumbi)</t>
        </is>
      </c>
      <c r="I22" s="37" t="inlineStr">
        <is>
          <t>Ativa</t>
        </is>
      </c>
      <c r="J22" s="37" t="inlineStr">
        <is>
          <t>Pausada</t>
        </is>
      </c>
      <c r="K22" s="11" t="inlineStr">
        <is>
          <t>Zumbi; 10 cliques/0 vendas; P3060 em fila de conversão — retorno controlado pós-página (margem 28%)</t>
        </is>
      </c>
      <c r="L22" s="11" t="inlineStr">
        <is>
          <t>Auditoria zumbis + fila de conversão</t>
        </is>
      </c>
      <c r="M22" s="11" t="inlineStr">
        <is>
          <t>MÉDIA</t>
        </is>
      </c>
      <c r="N22" s="11" t="inlineStr">
        <is>
          <t>SIM</t>
        </is>
      </c>
      <c r="O22" s="11" t="inlineStr">
        <is>
          <t>SIM</t>
        </is>
      </c>
      <c r="P22" s="9" t="inlineStr">
        <is>
          <t>EXECUTADA - AVALIADA</t>
        </is>
      </c>
      <c r="Q22" s="18">
        <f>IF(E22="","",E22+1)</f>
        <v/>
      </c>
      <c r="R22" s="19">
        <f>IF(E22="","",TODAY()-E22)</f>
        <v/>
      </c>
      <c r="S22" t="inlineStr">
        <is>
          <t>Sem atividade após 25/08. O SKU teve 19 sessões e zero unidade na Era</t>
        </is>
      </c>
      <c r="T22" t="inlineStr">
        <is>
          <t>MANTIDA</t>
        </is>
      </c>
      <c r="U22" s="7" t="n"/>
      <c r="V22" s="41" t="n"/>
    </row>
    <row r="23">
      <c r="A23" s="37" t="inlineStr">
        <is>
          <t>O4-009</t>
        </is>
      </c>
      <c r="B23" s="37" t="inlineStr">
        <is>
          <t>O4</t>
        </is>
      </c>
      <c r="C23" s="38" t="n">
        <v>46259</v>
      </c>
      <c r="D23" s="38" t="n">
        <v>46259</v>
      </c>
      <c r="E23" s="38" t="n">
        <v>46259</v>
      </c>
      <c r="F23" s="37" t="inlineStr">
        <is>
          <t>PI PXP-o103/07</t>
        </is>
      </c>
      <c r="G23" s="37" t="inlineStr">
        <is>
          <t>campanha</t>
        </is>
      </c>
      <c r="H23" s="37" t="inlineStr">
        <is>
          <t>PAUSAR (zumbi)</t>
        </is>
      </c>
      <c r="I23" s="37" t="inlineStr">
        <is>
          <t>Ativa</t>
        </is>
      </c>
      <c r="J23" s="37" t="inlineStr">
        <is>
          <t>Pausada</t>
        </is>
      </c>
      <c r="K23" s="11" t="inlineStr">
        <is>
          <t>Zumbi de geração antiga redundante com auto PXP-o311/08 (estrutura O3 em teste)</t>
        </is>
      </c>
      <c r="L23" s="11" t="inlineStr">
        <is>
          <t>Auditoria zumbis</t>
        </is>
      </c>
      <c r="M23" s="11" t="inlineStr">
        <is>
          <t>MÉDIA</t>
        </is>
      </c>
      <c r="N23" s="11" t="inlineStr">
        <is>
          <t>SIM</t>
        </is>
      </c>
      <c r="O23" s="11" t="inlineStr">
        <is>
          <t>SIM</t>
        </is>
      </c>
      <c r="P23" s="9" t="inlineStr">
        <is>
          <t>EXECUTADA - AVALIADA</t>
        </is>
      </c>
      <c r="Q23" s="18">
        <f>IF(E23="","",E23+1)</f>
        <v/>
      </c>
      <c r="R23" s="19">
        <f>IF(E23="","",TODAY()-E23)</f>
        <v/>
      </c>
      <c r="S23" t="inlineStr">
        <is>
          <t>Sem atividade após 25/08</t>
        </is>
      </c>
      <c r="T23" t="inlineStr">
        <is>
          <t>EFETIVA</t>
        </is>
      </c>
      <c r="U23" s="7" t="n"/>
      <c r="V23" s="41" t="n"/>
    </row>
    <row r="24">
      <c r="A24" s="37" t="inlineStr">
        <is>
          <t>O4-010</t>
        </is>
      </c>
      <c r="B24" s="37" t="inlineStr">
        <is>
          <t>O4</t>
        </is>
      </c>
      <c r="C24" s="38" t="n">
        <v>46259</v>
      </c>
      <c r="D24" s="38" t="n">
        <v>46259</v>
      </c>
      <c r="E24" s="38" t="n">
        <v>46259</v>
      </c>
      <c r="F24" s="37" t="inlineStr">
        <is>
          <t>Auto PXM-o228/07</t>
        </is>
      </c>
      <c r="G24" s="37" t="inlineStr">
        <is>
          <t>campanha</t>
        </is>
      </c>
      <c r="H24" s="37" t="inlineStr">
        <is>
          <t>FORMALIZAR COMO RADAR</t>
        </is>
      </c>
      <c r="I24" s="37" t="inlineStr">
        <is>
          <t>Zumbi (sem tese registrada)</t>
        </is>
      </c>
      <c r="J24" s="37" t="inlineStr">
        <is>
          <t>Radar da família PXM, ativa</t>
        </is>
      </c>
      <c r="K24" s="11" t="inlineStr">
        <is>
          <t>Papel: mineração da família porta-guarda-chuva ao lado da PI PXM-o311/08</t>
        </is>
      </c>
      <c r="L24" s="11" t="inlineStr">
        <is>
          <t>Decisão Wintech 25/08</t>
        </is>
      </c>
      <c r="M24" s="11" t="inlineStr">
        <is>
          <t>MÉDIA</t>
        </is>
      </c>
      <c r="N24" s="11" t="inlineStr">
        <is>
          <t>SIM</t>
        </is>
      </c>
      <c r="O24" s="11" t="inlineStr">
        <is>
          <t>SIM</t>
        </is>
      </c>
      <c r="P24" s="9" t="inlineStr">
        <is>
          <t>EXECUTADA - AVALIADA</t>
        </is>
      </c>
      <c r="Q24" s="18">
        <f>IF(E24="","",E24+1)</f>
        <v/>
      </c>
      <c r="R24" s="19">
        <f>IF(E24="","",TODAY()-E24)</f>
        <v/>
      </c>
      <c r="S24" t="inlineStr">
        <is>
          <t>Era: 2 cliques, R$ 2,02, zero venda</t>
        </is>
      </c>
      <c r="T24" t="inlineStr">
        <is>
          <t>NEGATIVO — sem amostra; contrato acionado, campanha pausada em O5-006. ⚠️ CONTRAPESO VITALÍCIO: esta campanha TEM venda vitalícia de R$ 610,62 (pedido de 08/07, 3 un). A pausa se sustenta por redundância, não por ausência de histórico. CORRIGIR O TEXTO DO MOTIVO: PXM é suporte de extintor 6 kg, não porta-guarda-chuva</t>
        </is>
      </c>
      <c r="U24" s="7" t="n">
        <v>46273</v>
      </c>
      <c r="V24" s="41" t="inlineStr">
        <is>
          <t>CONTRATO DE SAÍDA: O5 sem amostra/sem venda → pausa</t>
        </is>
      </c>
    </row>
    <row r="25">
      <c r="A25" s="37" t="inlineStr">
        <is>
          <t>O4-011</t>
        </is>
      </c>
      <c r="B25" s="37" t="inlineStr">
        <is>
          <t>O4</t>
        </is>
      </c>
      <c r="C25" s="38" t="n">
        <v>46259</v>
      </c>
      <c r="D25" s="38" t="n">
        <v>46259</v>
      </c>
      <c r="E25" s="38" t="n">
        <v>46259</v>
      </c>
      <c r="F25" s="37" t="inlineStr">
        <is>
          <t>Geral DBA-o311/08</t>
        </is>
      </c>
      <c r="G25" s="37" t="inlineStr">
        <is>
          <t>orçamento</t>
        </is>
      </c>
      <c r="H25" s="37" t="inlineStr">
        <is>
          <t>MANTER R$ 90 (régua NÃO aplicada)</t>
        </is>
      </c>
      <c r="I25" s="37" t="inlineStr">
        <is>
          <t>R$ 90/dia; ACOS 6,06% &lt; Objetivo (régua mandaria dobrar)</t>
        </is>
      </c>
      <c r="J25" s="37" t="inlineStr">
        <is>
          <t>R$ 90/dia</t>
        </is>
      </c>
      <c r="K25" s="11" t="inlineStr">
        <is>
          <t>Consome ~7% do teto — orçamento não é restrição (Playbook §10). Crescimento executado via lance (O4-015)</t>
        </is>
      </c>
      <c r="L25" s="11" t="inlineStr">
        <is>
          <t>Campanhas 30d</t>
        </is>
      </c>
      <c r="M25" s="11" t="inlineStr">
        <is>
          <t>ALTA</t>
        </is>
      </c>
      <c r="N25" s="11" t="inlineStr">
        <is>
          <t>SIM</t>
        </is>
      </c>
      <c r="O25" s="11" t="inlineStr">
        <is>
          <t>SIM</t>
        </is>
      </c>
      <c r="P25" s="9" t="inlineStr">
        <is>
          <t>EXECUTADA - AVALIADA</t>
        </is>
      </c>
      <c r="Q25" s="18">
        <f>IF(E25="","",E25+1)</f>
        <v/>
      </c>
      <c r="R25" s="19">
        <f>IF(E25="","",TODAY()-E25)</f>
        <v/>
      </c>
      <c r="S25" t="inlineStr">
        <is>
          <t>Gasto da Era: R$ 137,16 em 13 dias = R$ 10,55/dia, contra orçamento de R$ 90/dia (12%)</t>
        </is>
      </c>
      <c r="T25" t="inlineStr">
        <is>
          <t>CONFIRMADA — o orçamento não é a restrição. Mantido em O5-003. Regra consolidada: ACOS abaixo do Objetivo não aciona a régua de orçamento quando a campanha consome fração do próprio teto</t>
        </is>
      </c>
      <c r="U25" s="7" t="n"/>
      <c r="V25" s="41" t="n"/>
    </row>
    <row r="26">
      <c r="A26" s="37" t="inlineStr">
        <is>
          <t>O4-012</t>
        </is>
      </c>
      <c r="B26" s="37" t="inlineStr">
        <is>
          <t>O4</t>
        </is>
      </c>
      <c r="C26" s="38" t="n">
        <v>46259</v>
      </c>
      <c r="D26" s="38" t="n">
        <v>46259</v>
      </c>
      <c r="E26" s="38" t="n">
        <v>46259</v>
      </c>
      <c r="F26" s="37" t="inlineStr">
        <is>
          <t>Auto EGC</t>
        </is>
      </c>
      <c r="G26" s="37" t="inlineStr">
        <is>
          <t>lance</t>
        </is>
      </c>
      <c r="H26" s="37" t="inlineStr">
        <is>
          <t>RADAR +20%</t>
        </is>
      </c>
      <c r="I26" s="37" t="inlineStr">
        <is>
          <t>0,70 fixo</t>
        </is>
      </c>
      <c r="J26" s="37" t="inlineStr">
        <is>
          <t>0,84 fixo</t>
        </is>
      </c>
      <c r="K26" s="11" t="inlineStr">
        <is>
          <t>Entrega baixa (361 impr/30d) em nicho de busca rara; SKU vendeu orgânico (era anterior); margem 21,8%; julgamento longo (§31)</t>
        </is>
      </c>
      <c r="L26" s="11" t="inlineStr">
        <is>
          <t>Campanhas 30d + BR + Mestra</t>
        </is>
      </c>
      <c r="M26" s="11" t="inlineStr">
        <is>
          <t>MÉDIA</t>
        </is>
      </c>
      <c r="N26" s="11" t="inlineStr">
        <is>
          <t>SIM</t>
        </is>
      </c>
      <c r="O26" s="11" t="inlineStr">
        <is>
          <t>SIM</t>
        </is>
      </c>
      <c r="P26" s="9" t="inlineStr">
        <is>
          <t>EXECUTADA - AVALIADA</t>
        </is>
      </c>
      <c r="Q26" s="18">
        <f>IF(E26="","",E26+1)</f>
        <v/>
      </c>
      <c r="R26" s="19">
        <f>IF(E26="","",TODAY()-E26)</f>
        <v/>
      </c>
      <c r="S26" t="inlineStr">
        <is>
          <t>Impressões de 361 para 2.391 em 30d. Era: ~2.500 impressões, 1 clique, zero venda, CTR 0,13%</t>
        </is>
      </c>
      <c r="T26" t="inlineStr">
        <is>
          <t>PARCIAL — a entrega destravou, a conversão não. O radar cumpriu seu objetivo declarado (gerar amostra de entrega) e revelou que o gargalo é CTR. Prorrogado como vigia por 1 Era em O5-007, com gatilho na O6</t>
        </is>
      </c>
      <c r="U26" s="7" t="n">
        <v>46273</v>
      </c>
      <c r="V26" s="41" t="n"/>
    </row>
    <row r="27">
      <c r="A27" s="37" t="inlineStr">
        <is>
          <t>O4-013</t>
        </is>
      </c>
      <c r="B27" s="37" t="inlineStr">
        <is>
          <t>O4</t>
        </is>
      </c>
      <c r="C27" s="38" t="n">
        <v>46259</v>
      </c>
      <c r="D27" s="38" t="n">
        <v>46259</v>
      </c>
      <c r="E27" s="38" t="n">
        <v>46259</v>
      </c>
      <c r="F27" s="37" t="inlineStr">
        <is>
          <t>Manuais 6B / Cinzeiros / L3070-B / Bituqueiras</t>
        </is>
      </c>
      <c r="G27" s="37" t="inlineStr">
        <is>
          <t>estrutura</t>
        </is>
      </c>
      <c r="H27" s="37" t="inlineStr">
        <is>
          <t>MANTER</t>
        </is>
      </c>
      <c r="I27" s="37" t="inlineStr">
        <is>
          <t>—</t>
        </is>
      </c>
      <c r="J27" s="37" t="inlineStr">
        <is>
          <t>Sem alteração estrutural</t>
        </is>
      </c>
      <c r="K27" s="11" t="inlineStr">
        <is>
          <t>6B: termos convertem via funil (Geral); L3070-B: termo-core vendeu via Geral; Bituqueiras: veredito O5 (config validada)</t>
        </is>
      </c>
      <c r="L27" s="11" t="inlineStr">
        <is>
          <t>Termos + Segmentação 30d</t>
        </is>
      </c>
      <c r="M27" s="11" t="inlineStr">
        <is>
          <t>ALTA</t>
        </is>
      </c>
      <c r="N27" s="11" t="inlineStr">
        <is>
          <t>SIM</t>
        </is>
      </c>
      <c r="O27" s="11" t="inlineStr">
        <is>
          <t>SIM</t>
        </is>
      </c>
      <c r="P27" s="9" t="inlineStr">
        <is>
          <t>EXECUTADA - AVALIADA</t>
        </is>
      </c>
      <c r="Q27" s="18">
        <f>IF(E27="","",E27+1)</f>
        <v/>
      </c>
      <c r="R27" s="19">
        <f>IF(E27="","",TODAY()-E27)</f>
        <v/>
      </c>
      <c r="S27" t="inlineStr">
        <is>
          <t>A 6B vendeu (R$ 265,80, 1ª venda da manual). L3070-B e Cinzeiros com zero clique na Era; Bituqueiras com 1</t>
        </is>
      </c>
      <c r="T27" t="inlineStr">
        <is>
          <t>CONFIRMADA — ajustes derivados em O5-009 (L3070-B para dinâmico) e O5-015 (as três fixas mantidas por share 100%)</t>
        </is>
      </c>
      <c r="U27" s="7" t="n">
        <v>46273</v>
      </c>
      <c r="V27" s="41" t="inlineStr">
        <is>
          <t>6B recebe piloto de estratégia — ver O4-014</t>
        </is>
      </c>
    </row>
    <row r="28">
      <c r="A28" s="37" t="inlineStr">
        <is>
          <t>O4-014</t>
        </is>
      </c>
      <c r="B28" s="37" t="inlineStr">
        <is>
          <t>O4</t>
        </is>
      </c>
      <c r="C28" s="38" t="n">
        <v>46259</v>
      </c>
      <c r="D28" s="38" t="n">
        <v>46259</v>
      </c>
      <c r="E28" s="38" t="n">
        <v>46259</v>
      </c>
      <c r="F28" s="37" t="inlineStr">
        <is>
          <t>6B Lixeiras banheiro [O4 25/08]</t>
        </is>
      </c>
      <c r="G28" s="37" t="inlineStr">
        <is>
          <t>estratégia de lances</t>
        </is>
      </c>
      <c r="H28" s="37" t="inlineStr">
        <is>
          <t>PILOTO Fixo → Dinâmicos (aumento e redução)</t>
        </is>
      </c>
      <c r="I28" s="37" t="inlineStr">
        <is>
          <t>Lances fixos (1,50/1,20)</t>
        </is>
      </c>
      <c r="J28" s="37" t="inlineStr">
        <is>
          <t>Dinâmicos aumento/redução, mesmos lances base</t>
        </is>
      </c>
      <c r="K28" s="11" t="inlineStr">
        <is>
          <t>Tese: capturar leilões que o funil já provou converter (termos vendem via Geral a CPC 0,65–0,80, abaixo do lance de 1,50). Demais manuais = grupo de controle</t>
        </is>
      </c>
      <c r="L28" s="11" t="inlineStr">
        <is>
          <t>Termos 30d + decisão Wintech</t>
        </is>
      </c>
      <c r="M28" s="11" t="inlineStr">
        <is>
          <t>MÉDIA</t>
        </is>
      </c>
      <c r="N28" s="11" t="inlineStr">
        <is>
          <t>SIM</t>
        </is>
      </c>
      <c r="O28" s="11" t="inlineStr">
        <is>
          <t>SIM</t>
        </is>
      </c>
      <c r="P28" s="9" t="inlineStr">
        <is>
          <t>EXECUTADA - AVALIADA</t>
        </is>
      </c>
      <c r="Q28" s="18">
        <f>IF(E28="","",E28+1)</f>
        <v/>
      </c>
      <c r="R28" s="19">
        <f>IF(E28="","",TODAY()-E28)</f>
        <v/>
      </c>
      <c r="S28" t="inlineStr">
        <is>
          <t>Pré-Era: 6 cliques em 15 dias, zero venda. Era: 11 cliques em 13 dias e 1 venda de R$ 265,80. CPC de 1,33 para 1,60. Controles fixos com 0 a 1 clique na Era</t>
        </is>
      </c>
      <c r="T28" t="inlineStr">
        <is>
          <t>POSITIVO PRELIMINAR (n = 1 venda) — mantido em O5-008 e estendido à L3070-B. Veredito consolidado na O6. Ressalva: o custo real do termo vencedor é R$ 11,71 e não R$ 5,19, porque a perna L2025-B levou R$ 6,52 sem venda</t>
        </is>
      </c>
      <c r="U28" s="7" t="n">
        <v>46273</v>
      </c>
      <c r="V28" s="41" t="inlineStr">
        <is>
          <t>Veredito na O5: se 6B destravar e controle não, avaliar migração das demais</t>
        </is>
      </c>
    </row>
    <row r="29">
      <c r="A29" s="37" t="inlineStr">
        <is>
          <t>O4-015</t>
        </is>
      </c>
      <c r="B29" s="37" t="inlineStr">
        <is>
          <t>O4</t>
        </is>
      </c>
      <c r="C29" s="38" t="n">
        <v>46259</v>
      </c>
      <c r="D29" s="38" t="n">
        <v>46259</v>
      </c>
      <c r="E29" s="38" t="n">
        <v>46259</v>
      </c>
      <c r="F29" s="37" t="inlineStr">
        <is>
          <t>Geral DBA-o311/08 [O4 25/08]</t>
        </is>
      </c>
      <c r="G29" s="37" t="inlineStr">
        <is>
          <t>lance padrão do grupo</t>
        </is>
      </c>
      <c r="H29" s="37" t="inlineStr">
        <is>
          <t>ESCALAR +20%</t>
        </is>
      </c>
      <c r="I29" s="37" t="inlineStr">
        <is>
          <t>R$ 0,40 (98 produtos)</t>
        </is>
      </c>
      <c r="J29" s="37" t="inlineStr">
        <is>
          <t>R$ 0,48</t>
        </is>
      </c>
      <c r="K29" s="11" t="inlineStr">
        <is>
          <t>ACOS 6,06% vs Objetivo 9%, break-evens 19–24%; orçamento não restringe; gasto ~35% do teto de Ads R$ 1.000 (Dianna, 25/08). Vazamento (34% em SKUs da fila) mitigado pelo tratamento de páginas em curso</t>
        </is>
      </c>
      <c r="L29" s="11" t="inlineStr">
        <is>
          <t>Campanhas 30d + Produtos Anunciados + Mestra</t>
        </is>
      </c>
      <c r="M29" s="11" t="inlineStr">
        <is>
          <t>ALTA</t>
        </is>
      </c>
      <c r="N29" s="11" t="inlineStr">
        <is>
          <t>SIM</t>
        </is>
      </c>
      <c r="O29" s="11" t="inlineStr">
        <is>
          <t>SIM</t>
        </is>
      </c>
      <c r="P29" s="9" t="inlineStr">
        <is>
          <t>EXECUTADA - AVALIADA</t>
        </is>
      </c>
      <c r="Q29" s="18">
        <f>IF(E29="","",E29+1)</f>
        <v/>
      </c>
      <c r="R29" s="19">
        <f>IF(E29="","",TODAY()-E29)</f>
        <v/>
      </c>
      <c r="S29" t="inlineStr">
        <is>
          <t>O lance padrão do grupo NÃO É USADO. Evidência: o export de segmentação de 25/08 e o console de 08/09 trazem os mesmos lances por segmentação (0,45 / 0,45 / 0,54 / 0,54). Se as segmentações seguissem o padrão, leriam 0,40 antes e 0,48 depois — nunca leram nenhum dos dois</t>
        </is>
      </c>
      <c r="T29" t="inlineStr">
        <is>
          <t>INERTE — sem efeito operacional, confirmado por evidência e não por inferência. A escala real da Geral é por segmentação, tratada em O5-001 e O5-002. Fecha a pendência dos lances por segmentação</t>
        </is>
      </c>
      <c r="U29" s="7" t="n">
        <v>46273</v>
      </c>
      <c r="V29" s="41" t="inlineStr">
        <is>
          <t>Dose conservadora; leitura do efeito na O5</t>
        </is>
      </c>
    </row>
    <row r="30">
      <c r="A30" t="inlineStr">
        <is>
          <t>EC-001</t>
        </is>
      </c>
      <c r="B30" t="inlineStr">
        <is>
          <t>entre-ciclos</t>
        </is>
      </c>
      <c r="C30" s="48" t="n">
        <v>46262</v>
      </c>
      <c r="D30" s="48" t="n">
        <v>46262</v>
      </c>
      <c r="E30" s="48" t="n">
        <v>46262</v>
      </c>
      <c r="F30" t="inlineStr">
        <is>
          <t>Promoção 5+ unidades / 8%</t>
        </is>
      </c>
      <c r="G30" t="inlineStr">
        <is>
          <t>SKU SP-T (Space Torre)</t>
        </is>
      </c>
      <c r="H30" t="inlineStr">
        <is>
          <t>INCLUIR EM PROMOÇÃO</t>
        </is>
      </c>
      <c r="I30" t="inlineStr">
        <is>
          <t>Fora da promoção 5+ (82 SKUs)</t>
        </is>
      </c>
      <c r="J30" t="inlineStr">
        <is>
          <t>Incluído na promoção 5+ (83 SKUs)</t>
        </is>
      </c>
      <c r="K30" t="inlineStr">
        <is>
          <t>Médios, margem 21,67% SP Interior — cumpria os dois critérios vigentes; ausência era lacuna de configuração, não decisão. Correção operacional (Playbook §8/§32), não otimização fora de ciclo</t>
        </is>
      </c>
      <c r="L30" t="inlineStr">
        <is>
          <t>Auditoria das promoções × Simulador Mestra v4.3.2, 28/08</t>
        </is>
      </c>
      <c r="M30" s="11" t="inlineStr">
        <is>
          <t>ALTA</t>
        </is>
      </c>
      <c r="N30" s="11" t="inlineStr">
        <is>
          <t>SIM</t>
        </is>
      </c>
      <c r="O30" s="11" t="inlineStr">
        <is>
          <t>SIM</t>
        </is>
      </c>
      <c r="P30" s="9" t="inlineStr">
        <is>
          <t>EXECUTADA - AVALIADA</t>
        </is>
      </c>
      <c r="Q30" s="18">
        <f>IF(E30="","",E30+1)</f>
        <v/>
      </c>
      <c r="R30" s="19">
        <f>IF(E30="","",TODAY()-E30)</f>
        <v/>
      </c>
      <c r="S30" t="inlineStr">
        <is>
          <t>Sem venda de SP-T na Era</t>
        </is>
      </c>
      <c r="T30" t="inlineStr">
        <is>
          <t>SEM EFEITO ISOLÁVEL (esperado) — a inclusão corrigiu uma lacuna de configuração, não uma alavanca de venda</t>
        </is>
      </c>
      <c r="U30" s="48" t="n">
        <v>46273</v>
      </c>
      <c r="V30" t="inlineStr">
        <is>
          <t>Primeira entrada entre-ciclos; convenção EC- adotada em 28/08. Resultado esperado: nenhum efeito isolável — registro de conformidade</t>
        </is>
      </c>
    </row>
    <row r="31">
      <c r="A31" t="inlineStr">
        <is>
          <t>EC-002</t>
        </is>
      </c>
      <c r="B31" t="inlineStr">
        <is>
          <t>entre-ciclos</t>
        </is>
      </c>
      <c r="C31" s="48" t="n">
        <v>46265</v>
      </c>
      <c r="D31" s="48" t="n">
        <v>46265</v>
      </c>
      <c r="E31" s="48" t="n">
        <v>46265</v>
      </c>
      <c r="F31" t="inlineStr">
        <is>
          <t>Auto L1618-o115/07</t>
        </is>
      </c>
      <c r="G31" s="43" t="inlineStr">
        <is>
          <t>campanha</t>
        </is>
      </c>
      <c r="H31" s="11" t="inlineStr">
        <is>
          <t>PAUSAR CAMPANHA</t>
        </is>
      </c>
      <c r="I31" t="inlineStr">
        <is>
          <t>Ativa</t>
        </is>
      </c>
      <c r="J31" t="inlineStr">
        <is>
          <t>Pausada</t>
        </is>
      </c>
      <c r="K31" t="inlineStr">
        <is>
          <t>Monitoramento de 31/08 encontrou a campanha ATIVADA com impressões até 30/08, contrariando a O4-006 registrada como executada em 25/08. Gasto zero na janela.</t>
        </is>
      </c>
      <c r="L31" t="inlineStr">
        <is>
          <t>Gerenciador 31/08 + ciclos/Monitoramento-31-08.md</t>
        </is>
      </c>
      <c r="M31" s="11" t="inlineStr">
        <is>
          <t>ALTA</t>
        </is>
      </c>
      <c r="N31" s="11" t="inlineStr">
        <is>
          <t>SIM</t>
        </is>
      </c>
      <c r="O31" s="11" t="inlineStr">
        <is>
          <t>SIM</t>
        </is>
      </c>
      <c r="P31" s="9" t="inlineStr">
        <is>
          <t>EXECUTADA - AVALIADA</t>
        </is>
      </c>
      <c r="Q31" s="18">
        <f>IF(E31="","",E31+1)</f>
        <v/>
      </c>
      <c r="R31" s="19">
        <f>IF(E31="","",TODAY()-E31)</f>
        <v/>
      </c>
      <c r="S31" t="inlineStr">
        <is>
          <t>Última atividade em 31/08; ausente da Era a partir daí</t>
        </is>
      </c>
      <c r="T31" t="inlineStr">
        <is>
          <t>EFETIVA — conserto da O4-006</t>
        </is>
      </c>
      <c r="U31" s="48" t="n">
        <v>46273</v>
      </c>
      <c r="V31" t="inlineStr">
        <is>
          <t>Não é decisão nova — execução tardia da O4-006. Na linha O4-006, adicionar na coluna de observação: "pausa não vigorou no console; ver EC-002".</t>
        </is>
      </c>
    </row>
    <row r="32">
      <c r="A32" t="inlineStr">
        <is>
          <t>EC-003</t>
        </is>
      </c>
      <c r="B32" t="inlineStr">
        <is>
          <t>entre-ciclos</t>
        </is>
      </c>
      <c r="C32" s="12" t="n">
        <v>46267</v>
      </c>
      <c r="D32" s="12" t="n">
        <v>46267</v>
      </c>
      <c r="E32" s="12" t="n">
        <v>46267</v>
      </c>
      <c r="F32" s="43" t="inlineStr">
        <is>
          <t>Promoção ofertas 9/9</t>
        </is>
      </c>
      <c r="G32" s="44" t="inlineStr">
        <is>
          <t>11 SKUs: PXM 173,01 (−15%) · L2460-CP 285,33 (−15%) · L2025-T 112,97 (−15%) · L2030 101,34 (−15%) · PXP 151,10 (−10%) · L3085-B 578,02 · L3070-B 489,46 · EGC 607,16 · L2460-AML 261,15 · PG2460 223,88 · Q4070-A 947,85 (todos −10%)</t>
        </is>
      </c>
      <c r="H32" s="11" t="inlineStr">
        <is>
          <t>CRIAR OFERTAS — Melhor Oferta, Clientes Prime, taxa R$ 0,00</t>
        </is>
      </c>
      <c r="I32" s="11" t="inlineStr">
        <is>
          <t>Sem oferta</t>
        </is>
      </c>
      <c r="J32" s="11" t="inlineStr">
        <is>
          <t>11 Melhores Ofertas programadas 07–13/09</t>
        </is>
      </c>
      <c r="K32" s="11" t="inlineStr">
        <is>
          <t>Evento 9.9; descontos no teto da margem (medida p/ quem vendeu, Simulador piso 15% p/ o resto), cap de prudência 15%</t>
        </is>
      </c>
      <c r="L32" s="11" t="inlineStr">
        <is>
          <t>docs/PLANO_9-9.md + Simulador Mestra v4.3.2 + Registro_Vendas</t>
        </is>
      </c>
      <c r="M32" s="11" t="inlineStr">
        <is>
          <t>ALTA</t>
        </is>
      </c>
      <c r="N32" s="11" t="inlineStr">
        <is>
          <t>SIM</t>
        </is>
      </c>
      <c r="O32" s="11" t="inlineStr">
        <is>
          <t>SIM</t>
        </is>
      </c>
      <c r="P32" s="9" t="inlineStr">
        <is>
          <t>EXECUTADA - AVALIADA</t>
        </is>
      </c>
      <c r="Q32" s="18">
        <f>IF(E32="","",E32+1)</f>
        <v/>
      </c>
      <c r="R32" s="19">
        <f>IF(E32="","",TODAY()-E32)</f>
        <v/>
      </c>
      <c r="S32" t="inlineStr">
        <is>
          <t>Evento encerrado em 13/09. Das 11 Melhores Ofertas, 3 venderam: PXP 3 un por R$ 453,30 (−10%), PXM 3 un por R$ 519,03 (−15%) e PG2460 1 un por R$ 223,88 (−10%). Total R$ 1.196,21 em 7 unidades e 174 visualizações somadas. As 8 restantes: zero venda.</t>
        </is>
      </c>
      <c r="T32" t="inlineStr">
        <is>
          <t>PARCIALMENTE POSITIVO — o formato converte, mas só na família de suporte de extintor e porta-guarda-chuva. NENHUMA LIXEIRA VENDEU COM OFERTA, e lixeira é o grosso do catálogo e do tráfego. Para o Vem de Amazon, 8 das 11 não pontuam (a regra exige ao menos 1 venda por oferta no trimestre). Achado colateral confirmado: a atribuição de Ads usa o PREÇO DA OFERTA — 5 pedidos, 3 SKUs, 4 campanhas, todos batendo ao centavo.</t>
        </is>
      </c>
      <c r="U32" s="48" t="n">
        <v>46287</v>
      </c>
      <c r="V32" s="41" t="n"/>
    </row>
    <row r="33">
      <c r="A33" t="inlineStr">
        <is>
          <t>EC-004</t>
        </is>
      </c>
      <c r="B33" t="inlineStr">
        <is>
          <t>entre-ciclos</t>
        </is>
      </c>
      <c r="C33" s="12" t="n">
        <v>46267</v>
      </c>
      <c r="D33" s="12" t="n">
        <v>46267</v>
      </c>
      <c r="E33" s="12" t="n">
        <v>46267</v>
      </c>
      <c r="F33" s="43" t="inlineStr">
        <is>
          <t>Promoção ofertas 9/10</t>
        </is>
      </c>
      <c r="G33" s="43" t="inlineStr">
        <is>
          <t>Q3060-A 499,25 (−14%) · P3060 439,82 (−14%) · P3070 554,56 (−10%) · P3050 420,90 (−10%) · P4080 963,15 (−10%)</t>
        </is>
      </c>
      <c r="H33" s="11" t="inlineStr">
        <is>
          <t>CRIAR OFERTAS — Relâmpago, Clientes Prime, taxa R$ 0,00; dia exato definido pela Amazon (~1 semana antes)</t>
        </is>
      </c>
      <c r="I33" s="11" t="inlineStr">
        <is>
          <t>Sem oferta</t>
        </is>
      </c>
      <c r="J33" s="11" t="inlineStr">
        <is>
          <t>5 Ofertas relãmpago programadas 07-13/09</t>
        </is>
      </c>
      <c r="K33" s="11" t="inlineStr">
        <is>
          <t>Destrave de conversão (P3070 e P3050 com tráfego sem venda) + tickets do Núcleo A</t>
        </is>
      </c>
      <c r="L33" s="11" t="inlineStr">
        <is>
          <t>docs/PLANO_9-9.md + Simulador Mestra v4.3.2 + Registro_Vendas</t>
        </is>
      </c>
      <c r="M33" s="11" t="inlineStr">
        <is>
          <t>ALTA</t>
        </is>
      </c>
      <c r="N33" s="11" t="inlineStr">
        <is>
          <t>SIM</t>
        </is>
      </c>
      <c r="O33" s="11" t="inlineStr">
        <is>
          <t>SIM</t>
        </is>
      </c>
      <c r="P33" s="9" t="inlineStr">
        <is>
          <t>EXECUTADA - AVALIADA</t>
        </is>
      </c>
      <c r="Q33" s="18">
        <f>IF(E33="","",E33+1)</f>
        <v/>
      </c>
      <c r="R33" s="19">
        <f>IF(E33="","",TODAY()-E33)</f>
        <v/>
      </c>
      <c r="S33" t="inlineStr">
        <is>
          <t>Evento encerrado. As 5 Ofertas Relâmpago (07/09 ×2, 10/09 ×1, 11/09 ×2) terminaram com ZERO venda, ZERO unidade e 19 visualizações somadas nos cinco dias de exibição.</t>
        </is>
      </c>
      <c r="T33" t="inlineStr">
        <is>
          <t>NEGATIVO — o formato não gerou nem tráfego. 19 visualizações em 5 deals não é falha de conversão, é falha de exibição: não houve amostra para converter. Nenhuma das 5 pontua no Vem de Amazon. NÃO REPETIR RELÂMPAGO (inclusive na Black Friday) antes de entender por que a exibição foi tão baixa — é a pergunta em aberto do evento.</t>
        </is>
      </c>
      <c r="U33" s="48" t="n">
        <v>46287</v>
      </c>
      <c r="V33" s="41" t="n"/>
    </row>
    <row r="34">
      <c r="A34" t="inlineStr">
        <is>
          <t>EC-005</t>
        </is>
      </c>
      <c r="B34" t="inlineStr">
        <is>
          <t>entre-ciclos</t>
        </is>
      </c>
      <c r="C34" s="48" t="n">
        <v>46269</v>
      </c>
      <c r="D34" s="48" t="n">
        <v>46269</v>
      </c>
      <c r="E34" s="48" t="n">
        <v>46269</v>
      </c>
      <c r="F34" t="inlineStr">
        <is>
          <t>Cupom P2025</t>
        </is>
      </c>
      <c r="G34" t="inlineStr">
        <is>
          <t>P2025 — cupom 12%</t>
        </is>
      </c>
      <c r="H34" t="inlineStr">
        <is>
          <t>CRIAR CUPOM</t>
        </is>
      </c>
      <c r="I34" t="inlineStr">
        <is>
          <t>Sem cupom</t>
        </is>
      </c>
      <c r="J34" t="inlineStr">
        <is>
          <t>Cupom 12% ativo</t>
        </is>
      </c>
      <c r="K34" t="inlineStr">
        <is>
          <t>Decisão do LEO. SKU fora do pacote 9.9, sem conflito de oferta. Margem 12,8% após o cupom; empilha com a promo de quantidade (5+ → 19% de desconto, margem 7,2%)</t>
        </is>
      </c>
      <c r="L34" t="inlineStr">
        <is>
          <t>docs/PLANO_9-9.md + ciclos/EC-04-09.md + Simulador Mestra v4.3.4</t>
        </is>
      </c>
      <c r="M34" t="inlineStr">
        <is>
          <t>MÉDIA</t>
        </is>
      </c>
      <c r="N34" t="inlineStr">
        <is>
          <t>SIM</t>
        </is>
      </c>
      <c r="O34" t="inlineStr">
        <is>
          <t>SIM</t>
        </is>
      </c>
      <c r="P34" t="inlineStr">
        <is>
          <t>EXECUTADA - AVALIADA</t>
        </is>
      </c>
      <c r="Q34" s="18">
        <f>IF(E34="","",E34+1)</f>
        <v/>
      </c>
      <c r="R34" s="19">
        <f>IF(E34="","",TODAY()-E34)</f>
        <v/>
      </c>
      <c r="S34" s="43" t="inlineStr">
        <is>
          <t>Janela 05–18/09 (14 dias): ZERO vendas de P2025 no Registro_Vendas. Cupom de 12% ativo o período inteiro, sem resgate.</t>
        </is>
      </c>
      <c r="T34" s="43" t="inlineStr">
        <is>
          <t>SEM EFEITO — 12% não moveu o P2025 em duas semanas. Recomendação: ENCERRAR o cupom. Não há ganho comprovado e há risco de empilhamento com a promo de quantidade (5+ → 19% de desconto, margem 7,2%) se um dia resgatar. Confiança MÉDIA.</t>
        </is>
      </c>
      <c r="U34" s="48" t="n">
        <v>46283</v>
      </c>
      <c r="V34" t="inlineStr">
        <is>
          <t>Atenção ao empilhamento com a promo de quantidade</t>
        </is>
      </c>
    </row>
    <row r="35">
      <c r="A35" t="inlineStr">
        <is>
          <t>EC-006</t>
        </is>
      </c>
      <c r="B35" t="inlineStr">
        <is>
          <t>entre-ciclos</t>
        </is>
      </c>
      <c r="C35" s="48" t="n">
        <v>46269</v>
      </c>
      <c r="D35" s="48" t="n">
        <v>46269</v>
      </c>
      <c r="E35" s="48" t="n">
        <v>46269</v>
      </c>
      <c r="F35" t="inlineStr">
        <is>
          <t>Cupom lixeiras de embutir</t>
        </is>
      </c>
      <c r="G35" t="inlineStr">
        <is>
          <t>EMB-05, EMB-05P e EMB-08 — cupom 50%</t>
        </is>
      </c>
      <c r="H35" t="inlineStr">
        <is>
          <t>CRIAR CUPOM</t>
        </is>
      </c>
      <c r="I35" t="inlineStr">
        <is>
          <t>Sem cupom</t>
        </is>
      </c>
      <c r="J35" t="inlineStr">
        <is>
          <t>Cupom 50% ativo, sem teto de unidades</t>
        </is>
      </c>
      <c r="K35" t="inlineStr">
        <is>
          <t>Decisão da Dianna: LIQUIDAÇÃO DELIBERADA ABAIXO DO CUSTO para liberar espaço físico. Perda conhecida de R$ 53 a R$ 61 por unidade; até R$ 71 no EMB-08 com a promo de quantidade. Sem contagem de estoque — o teto prático é o orçamento do cupom</t>
        </is>
      </c>
      <c r="L35" t="inlineStr">
        <is>
          <t>docs/PLANO_9-9.md + ciclos/EC-04-09.md + Simulador Mestra v4.3.4</t>
        </is>
      </c>
      <c r="M35" t="inlineStr">
        <is>
          <t>ALTA</t>
        </is>
      </c>
      <c r="N35" t="inlineStr">
        <is>
          <t>SIM</t>
        </is>
      </c>
      <c r="O35" t="inlineStr">
        <is>
          <t>SIM</t>
        </is>
      </c>
      <c r="P35" t="inlineStr">
        <is>
          <t>EXECUTADA - AVALIADA</t>
        </is>
      </c>
      <c r="Q35" s="18">
        <f>IF(E35="","",E35+1)</f>
        <v/>
      </c>
      <c r="R35" s="19">
        <f>IF(E35="","",TODAY()-E35)</f>
        <v/>
      </c>
      <c r="S35" s="43" t="inlineStr">
        <is>
          <t>Janela 05–18/09 (14 dias): ZERO vendas de EMB-05, EMB-05P e EMB-08 no Registro_Vendas, com cupom de 50% ativo. Nenhuma unidade escoada; espaço físico não liberado; perda de caixa zero (nada foi resgatado).</t>
        </is>
      </c>
      <c r="T35" s="43" t="inlineStr">
        <is>
          <t>NEGATIVO NO OBJETIVO — a liquidação não escoou uma unidade em 14 dias a metade do preço. Confirma a hipótese registrada em ciclos/EC-04-09.md e não acatada à época: o gargalo desses SKUs é TRÁFEGO, não preço (linha de base 0–3 sessões/semana). Desconto não resolve falta de visitante.</t>
        </is>
      </c>
      <c r="U35" s="48" t="n">
        <v>46283</v>
      </c>
      <c r="V35" t="inlineStr">
        <is>
          <t>⚠️ VENDAS COM MARGEM NEGATIVA POR DESENHO — segregar de qualquer média de margem do catálogo e dos rankings de lucro. Linha de base em ciclos/EC-04-09.md</t>
        </is>
      </c>
    </row>
    <row r="36">
      <c r="A36" t="inlineStr">
        <is>
          <t>O5-001</t>
        </is>
      </c>
      <c r="B36" t="inlineStr">
        <is>
          <t>O5</t>
        </is>
      </c>
      <c r="C36" s="48" t="n">
        <v>46273</v>
      </c>
      <c r="D36" s="48" t="n">
        <v>46273</v>
      </c>
      <c r="E36" s="48" t="n">
        <v>46274</v>
      </c>
      <c r="F36" t="inlineStr">
        <is>
          <t>Geral DBA-o59/09 (era DBA-o311/08)</t>
        </is>
      </c>
      <c r="G36" t="inlineStr">
        <is>
          <t>segmentação substitutes / Substitutos</t>
        </is>
      </c>
      <c r="H36" t="inlineStr">
        <is>
          <t>REDUZIR LANCE</t>
        </is>
      </c>
      <c r="I36" s="64" t="n">
        <v>0.54</v>
      </c>
      <c r="J36" t="inlineStr">
        <is>
          <t>R$ 0,45 (−17%)</t>
        </is>
      </c>
      <c r="K36" t="inlineStr">
        <is>
          <t>30d (08/08–06/09): 167 cliques, R$ 107,60, 1 compra, ACOS 81% — acima da Emergência. Consumia 39% do gasto da Geral. Vitalício 20,9%. Ação no nível da segmentação, não da campanha</t>
        </is>
      </c>
      <c r="L36" t="inlineStr">
        <is>
          <t>ciclos/O5-08-09.md + relatorios/amazon/o5-08-09/</t>
        </is>
      </c>
      <c r="M36" t="inlineStr">
        <is>
          <t>MÉDIA</t>
        </is>
      </c>
      <c r="N36" t="inlineStr">
        <is>
          <t>SIM</t>
        </is>
      </c>
      <c r="O36" t="inlineStr">
        <is>
          <t>SIM</t>
        </is>
      </c>
      <c r="P36" t="inlineStr">
        <is>
          <t>EXECUTADA - AVALIADA</t>
        </is>
      </c>
      <c r="Q36" s="18">
        <f>IF(E36="","",E36+1)</f>
        <v/>
      </c>
      <c r="R36" s="19">
        <f>IF(E36="","",TODAY()-E36)</f>
        <v/>
      </c>
      <c r="S36" t="inlineStr">
        <is>
          <t>Segmentação da Geral filtrada 10–21/09: substitutes 3.171 impr · 22 cli · R$ 9,23 = 12,2% do gasto (era 39% no 30d da O5) · 0 compras. 30d 22/08–20/09: R$ 96,11 (33,6%), 148 cli, 2 compras, ACOS 36,2% (era 81%)</t>
        </is>
      </c>
      <c r="T36" t="inlineStr">
        <is>
          <t>POSITIVO — objetivo atingido (gasto saiu da segmentação de ACOS 81%); 0 venda em 22 cliques não prova perda. Manter 0,45</t>
        </is>
      </c>
      <c r="U36" s="48" t="n">
        <v>46287</v>
      </c>
      <c r="V36" t="inlineStr">
        <is>
          <t>Conferido no console em 09/09. Não isolável na Era; ler na O6 pelo relatório de Segmentação. Ler junto com O5-002</t>
        </is>
      </c>
    </row>
    <row r="37">
      <c r="A37" t="inlineStr">
        <is>
          <t>O5-002</t>
        </is>
      </c>
      <c r="B37" t="inlineStr">
        <is>
          <t>O5</t>
        </is>
      </c>
      <c r="C37" s="48" t="n">
        <v>46273</v>
      </c>
      <c r="D37" s="48" t="n">
        <v>46273</v>
      </c>
      <c r="E37" s="48" t="n">
        <v>46274</v>
      </c>
      <c r="F37" t="inlineStr">
        <is>
          <t>Geral DBA-o59/09 (era DBA-o311/08)</t>
        </is>
      </c>
      <c r="G37" t="inlineStr">
        <is>
          <t>segmentação close-match / Correspondência aproximada</t>
        </is>
      </c>
      <c r="H37" t="inlineStr">
        <is>
          <t>AUMENTAR LANCE</t>
        </is>
      </c>
      <c r="I37" s="64" t="n">
        <v>0.45</v>
      </c>
      <c r="J37" t="inlineStr">
        <is>
          <t>R$ 0,54 (+20%)</t>
        </is>
      </c>
      <c r="K37" t="inlineStr">
        <is>
          <t>Melhor eficiência da Geral com o MENOR lance: 30d 24 cliques, 2 compras, ACOS 2,5%; vitalício 128 cliques, 4 compras, 6,9%. Corrige a inversão de funil em que substitutes gastava mais que close</t>
        </is>
      </c>
      <c r="L37" t="inlineStr">
        <is>
          <t>ciclos/O5-08-09.md + relatorios/amazon/o5-08-09/</t>
        </is>
      </c>
      <c r="M37" t="inlineStr">
        <is>
          <t>MÉDIA</t>
        </is>
      </c>
      <c r="N37" t="inlineStr">
        <is>
          <t>SIM</t>
        </is>
      </c>
      <c r="O37" t="inlineStr">
        <is>
          <t>SIM</t>
        </is>
      </c>
      <c r="P37" t="inlineStr">
        <is>
          <t>EXECUTADA - AVALIADA</t>
        </is>
      </c>
      <c r="Q37" s="18">
        <f>IF(E37="","",E37+1)</f>
        <v/>
      </c>
      <c r="R37" s="19">
        <f>IF(E37="","",TODAY()-E37)</f>
        <v/>
      </c>
      <c r="S37" t="inlineStr">
        <is>
          <t>Era: close-match 4.878 impr · 30 cli (vs 24 em 30 dias na O5) · R$ 20,71 (27,4%) · 1 compra R$ 398,35 · ACOS 5,2% · CTR 0,62%</t>
        </is>
      </c>
      <c r="T37" t="inlineStr">
        <is>
          <t>POSITIVO — mais volume na segmentação mais eficiente, ACOS dentro do Objetivo. Manter 0,54</t>
        </is>
      </c>
      <c r="U37" s="48" t="n">
        <v>46287</v>
      </c>
      <c r="V37" t="inlineStr">
        <is>
          <t>Conferido no console em 09/09. Amostra de 24 cliques em 30d. Ler junto com O5-001</t>
        </is>
      </c>
    </row>
    <row r="38">
      <c r="A38" t="inlineStr">
        <is>
          <t>O5-003</t>
        </is>
      </c>
      <c r="B38" t="inlineStr">
        <is>
          <t>O5</t>
        </is>
      </c>
      <c r="C38" s="48" t="n">
        <v>46273</v>
      </c>
      <c r="D38" s="48" t="n">
        <v>46273</v>
      </c>
      <c r="E38" s="48" t="n">
        <v>46274</v>
      </c>
      <c r="F38" t="inlineStr">
        <is>
          <t>Geral DBA-o59/09</t>
        </is>
      </c>
      <c r="G38" t="inlineStr">
        <is>
          <t>orçamento diário</t>
        </is>
      </c>
      <c r="H38" t="inlineStr">
        <is>
          <t>MANTER R$ 90 (régua NÃO aplicada)</t>
        </is>
      </c>
      <c r="I38" t="inlineStr">
        <is>
          <t>R$ 90/dia — ACOS 30d 10,5%, régua mandaria +20%</t>
        </is>
      </c>
      <c r="J38" t="inlineStr">
        <is>
          <t>R$ 90/dia</t>
        </is>
      </c>
      <c r="K38" t="inlineStr">
        <is>
          <t>Gasto da Era R$ 10,55/dia ≈ 12% do orçamento — o orçamento não é a restrição (regra consolidada). O ACOS de 30d é sustentado por 1 pedido halo; sem ele seria 31,4%</t>
        </is>
      </c>
      <c r="L38" t="inlineStr">
        <is>
          <t>ciclos/O5-08-09.md + relatorios/amazon/o5-08-09/</t>
        </is>
      </c>
      <c r="M38" t="inlineStr">
        <is>
          <t>ALTA</t>
        </is>
      </c>
      <c r="N38" t="inlineStr">
        <is>
          <t>SIM</t>
        </is>
      </c>
      <c r="O38" t="inlineStr">
        <is>
          <t>SIM</t>
        </is>
      </c>
      <c r="P38" t="inlineStr">
        <is>
          <t>EXECUTADA - AVALIADA</t>
        </is>
      </c>
      <c r="Q38" s="18">
        <f>IF(E38="","",E38+1)</f>
        <v/>
      </c>
      <c r="R38" s="19">
        <f>IF(E38="","",TODAY()-E38)</f>
        <v/>
      </c>
      <c r="S38" t="inlineStr">
        <is>
          <t>Era: Geral R$ 75,51 em 12 dias = R$ 6,29/dia = 7% do teto de R$ 90</t>
        </is>
      </c>
      <c r="T38" t="inlineStr">
        <is>
          <t>CONFIRMADA — orçamento não é restrição</t>
        </is>
      </c>
      <c r="U38" s="48" t="n">
        <v>46287</v>
      </c>
      <c r="V38" t="inlineStr">
        <is>
          <t>O lance padrão do grupo (R$ 0,48) é INERTE — as 4 segmentações têm lance próprio. A escala real da Geral é por segmentação</t>
        </is>
      </c>
    </row>
    <row r="39">
      <c r="A39" t="inlineStr">
        <is>
          <t>O5-004</t>
        </is>
      </c>
      <c r="B39" t="inlineStr">
        <is>
          <t>O5</t>
        </is>
      </c>
      <c r="C39" s="48" t="n">
        <v>46273</v>
      </c>
      <c r="D39" s="48" t="n">
        <v>46273</v>
      </c>
      <c r="E39" s="48" t="n">
        <v>46274</v>
      </c>
      <c r="F39" t="inlineStr">
        <is>
          <t>PI L2470-CZ-o425/08</t>
        </is>
      </c>
      <c r="G39" t="inlineStr">
        <is>
          <t>campanha</t>
        </is>
      </c>
      <c r="H39" t="inlineStr">
        <is>
          <t>PAUSAR CAMPANHA</t>
        </is>
      </c>
      <c r="I39" t="inlineStr">
        <is>
          <t>Ativa — radar O4-004, alvos 0,66 / 0,60</t>
        </is>
      </c>
      <c r="J39" t="inlineStr">
        <is>
          <t>Pausada</t>
        </is>
      </c>
      <c r="K39" t="inlineStr">
        <is>
          <t>Contrato de saída da O4-004 acionado: Era 4 cliques, R$ 2,51, zero venda; vitalício 18 cliques e zero venda em 32 alvos</t>
        </is>
      </c>
      <c r="L39" t="inlineStr">
        <is>
          <t>ciclos/O5-08-09.md + relatorios/amazon/o5-08-09/</t>
        </is>
      </c>
      <c r="M39" t="inlineStr">
        <is>
          <t>ALTA</t>
        </is>
      </c>
      <c r="N39" t="inlineStr">
        <is>
          <t>SIM</t>
        </is>
      </c>
      <c r="O39" t="inlineStr">
        <is>
          <t>SIM</t>
        </is>
      </c>
      <c r="P39" t="inlineStr">
        <is>
          <t>EXECUTADA - AVALIADA</t>
        </is>
      </c>
      <c r="Q39" s="18">
        <f>IF(E39="","",E39+1)</f>
        <v/>
      </c>
      <c r="R39" s="19">
        <f>IF(E39="","",TODAY()-E39)</f>
        <v/>
      </c>
      <c r="S39" t="inlineStr">
        <is>
          <t>PAUSADO no export, custo R$ 0. Família cinzeiro na Geral: L2470-CZ 569 impr / 1 cli em 30d</t>
        </is>
      </c>
      <c r="T39" t="inlineStr">
        <is>
          <t>EFETIVA — sem reativação</t>
        </is>
      </c>
      <c r="U39" s="48" t="n">
        <v>46287</v>
      </c>
      <c r="V39" t="inlineStr">
        <is>
          <t>Conferido no export de 09/09. Sem prorrogação. A família cinzeiro segue coberta pela Geral</t>
        </is>
      </c>
    </row>
    <row r="40">
      <c r="A40" t="inlineStr">
        <is>
          <t>O5-005</t>
        </is>
      </c>
      <c r="B40" t="inlineStr">
        <is>
          <t>O5</t>
        </is>
      </c>
      <c r="C40" s="48" t="n">
        <v>46273</v>
      </c>
      <c r="D40" s="48" t="n">
        <v>46273</v>
      </c>
      <c r="E40" s="48" t="n">
        <v>46274</v>
      </c>
      <c r="F40" t="inlineStr">
        <is>
          <t>PI PG3070-o425/08</t>
        </is>
      </c>
      <c r="G40" t="inlineStr">
        <is>
          <t>campanha</t>
        </is>
      </c>
      <c r="H40" t="inlineStr">
        <is>
          <t>PAUSAR CAMPANHA</t>
        </is>
      </c>
      <c r="I40" t="inlineStr">
        <is>
          <t>Ativa — radar O4-005, 57 alvos a 0,66</t>
        </is>
      </c>
      <c r="J40" t="inlineStr">
        <is>
          <t>Pausada</t>
        </is>
      </c>
      <c r="K40" t="inlineStr">
        <is>
          <t>Contrato de saída da O4-005 acionado: Era 1 clique, R$ 0,99; vitalício 8 cliques e zero venda em 83 alvos. A migração para exatos fica sem objeto</t>
        </is>
      </c>
      <c r="L40" t="inlineStr">
        <is>
          <t>ciclos/O5-08-09.md + relatorios/amazon/o5-08-09/</t>
        </is>
      </c>
      <c r="M40" t="inlineStr">
        <is>
          <t>ALTA</t>
        </is>
      </c>
      <c r="N40" t="inlineStr">
        <is>
          <t>SIM</t>
        </is>
      </c>
      <c r="O40" t="inlineStr">
        <is>
          <t>SIM</t>
        </is>
      </c>
      <c r="P40" t="inlineStr">
        <is>
          <t>EXECUTADA - AVALIADA</t>
        </is>
      </c>
      <c r="Q40" s="18">
        <f>IF(E40="","",E40+1)</f>
        <v/>
      </c>
      <c r="R40" s="19">
        <f>IF(E40="","",TODAY()-E40)</f>
        <v/>
      </c>
      <c r="S40" t="inlineStr">
        <is>
          <t>PAUSADO, custo R$ 0. PG3070 na Geral: 512 impr / 0 cli</t>
        </is>
      </c>
      <c r="T40" t="inlineStr">
        <is>
          <t>EFETIVA</t>
        </is>
      </c>
      <c r="U40" s="48" t="n">
        <v>46287</v>
      </c>
      <c r="V40" t="inlineStr">
        <is>
          <t>Conferido no export de 09/09. A família PG vendeu via Geral + Melhor Oferta (PG2460, 07/09)</t>
        </is>
      </c>
    </row>
    <row r="41">
      <c r="A41" t="inlineStr">
        <is>
          <t>O5-006</t>
        </is>
      </c>
      <c r="B41" t="inlineStr">
        <is>
          <t>O5</t>
        </is>
      </c>
      <c r="C41" s="48" t="n">
        <v>46273</v>
      </c>
      <c r="D41" s="48" t="n">
        <v>46273</v>
      </c>
      <c r="E41" s="48" t="n">
        <v>46274</v>
      </c>
      <c r="F41" t="inlineStr">
        <is>
          <t>Auto PXM-o425/08</t>
        </is>
      </c>
      <c r="G41" t="inlineStr">
        <is>
          <t>campanha</t>
        </is>
      </c>
      <c r="H41" t="inlineStr">
        <is>
          <t>PAUSAR CAMPANHA</t>
        </is>
      </c>
      <c r="I41" t="inlineStr">
        <is>
          <t>Ativa — radar O4-010</t>
        </is>
      </c>
      <c r="J41" t="inlineStr">
        <is>
          <t>Pausada</t>
        </is>
      </c>
      <c r="K41" t="inlineStr">
        <is>
          <t>Contrato de saída da O4-010 acionado: Era 2 cliques, R$ 2,02, zero venda. Redundante com o Extintor manual (vendeu na Era), a PI PXM-o3 e a auto PXP-o3</t>
        </is>
      </c>
      <c r="L41" t="inlineStr">
        <is>
          <t>ciclos/O5-08-09.md + relatorios/amazon/o5-08-09/</t>
        </is>
      </c>
      <c r="M41" t="inlineStr">
        <is>
          <t>ALTA</t>
        </is>
      </c>
      <c r="N41" t="inlineStr">
        <is>
          <t>SIM</t>
        </is>
      </c>
      <c r="O41" t="inlineStr">
        <is>
          <t>SIM</t>
        </is>
      </c>
      <c r="P41" t="inlineStr">
        <is>
          <t>EXECUTADA - AVALIADA</t>
        </is>
      </c>
      <c r="Q41" s="18">
        <f>IF(E41="","",E41+1)</f>
        <v/>
      </c>
      <c r="R41" s="19">
        <f>IF(E41="","",TODAY()-E41)</f>
        <v/>
      </c>
      <c r="S41" t="inlineStr">
        <is>
          <t>PAUSADO, custo R$ 0. Família extintor vendeu R$ 519,03 pela PI PXM na Era</t>
        </is>
      </c>
      <c r="T41" t="inlineStr">
        <is>
          <t>EFETIVA — redundância confirmada</t>
        </is>
      </c>
      <c r="U41" s="48" t="n">
        <v>46287</v>
      </c>
      <c r="V41" t="inlineStr">
        <is>
          <t>CONTRAPESO VITALÍCIO APLICADO E SUPERADO PELA REDUNDÂNCIA: esta campanha TEM venda vitalícia de R$ 610,62 (pedido de 08/07, 3 un de PXM). Não é campanha sem histórico. Corrigir também o texto da O4-010: PXM é suporte de extintor 6 kg, não porta-guarda-chuva</t>
        </is>
      </c>
    </row>
    <row r="42">
      <c r="A42" t="inlineStr">
        <is>
          <t>O5-007</t>
        </is>
      </c>
      <c r="B42" t="inlineStr">
        <is>
          <t>O5</t>
        </is>
      </c>
      <c r="C42" s="48" t="n">
        <v>46273</v>
      </c>
      <c r="D42" s="48" t="n">
        <v>46273</v>
      </c>
      <c r="E42" s="48" t="n">
        <v>46274</v>
      </c>
      <c r="F42" t="inlineStr">
        <is>
          <t>Auto EGC</t>
        </is>
      </c>
      <c r="G42" t="inlineStr">
        <is>
          <t>campanha</t>
        </is>
      </c>
      <c r="H42" t="inlineStr">
        <is>
          <t>VIGIA — contrato prorrogado 1 Era</t>
        </is>
      </c>
      <c r="I42" t="inlineStr">
        <is>
          <t>Radar O4-012, lance R$ 0,84 fixo; o contrato comum mandaria pausar</t>
        </is>
      </c>
      <c r="J42" t="inlineStr">
        <is>
          <t>Ativa, lance 0,84 mantido. GATILHO O6: zero vendas E CTR &lt; 0,3% → pausar</t>
        </is>
      </c>
      <c r="K42" t="inlineStr">
        <is>
          <t>O radar cumpriu a entrega: 361 → 2.391 impressões em 30d. O problema migrou de entrega para CTR (0,13%). Único termo com clique foi um ASIN substitute. Nicho de busca rara. Melhor Oferta −10% ativa 08–13/09 funciona como teste de conversão</t>
        </is>
      </c>
      <c r="L42" t="inlineStr">
        <is>
          <t>ciclos/O5-08-09.md + relatorios/amazon/o5-08-09/</t>
        </is>
      </c>
      <c r="M42" t="inlineStr">
        <is>
          <t>MÉDIA</t>
        </is>
      </c>
      <c r="N42" t="inlineStr">
        <is>
          <t>SIM</t>
        </is>
      </c>
      <c r="O42" t="inlineStr">
        <is>
          <t>SIM</t>
        </is>
      </c>
      <c r="P42" t="inlineStr">
        <is>
          <t>EXECUTADA - AVALIADA</t>
        </is>
      </c>
      <c r="Q42" s="18">
        <f>IF(E42="","",E42+1)</f>
        <v/>
      </c>
      <c r="R42" s="19">
        <f>IF(E42="","",TODAY()-E42)</f>
        <v/>
      </c>
      <c r="S42" t="inlineStr">
        <is>
          <t>Era: 10 cli · R$ 7,58 · 0 venda · CTR 0,17%. 30d: 8.534 impr, CTR 0,129%. Oferta do 9.9 zerou</t>
        </is>
      </c>
      <c r="T42" t="inlineStr">
        <is>
          <t>GATILHO DISPAROU → O6-002 (pausar)</t>
        </is>
      </c>
      <c r="U42" s="48" t="n">
        <v>46287</v>
      </c>
      <c r="V42" t="inlineStr">
        <is>
          <t>Desvio explícito do contrato comum de radar, decidido pelo LEO em 08/09. O CTR atual (0,125%) já está abaixo do gatilho — se a oferta não converter, a pausa dispara na O6</t>
        </is>
      </c>
    </row>
    <row r="43">
      <c r="A43" t="inlineStr">
        <is>
          <t>O5-008</t>
        </is>
      </c>
      <c r="B43" t="inlineStr">
        <is>
          <t>O5</t>
        </is>
      </c>
      <c r="C43" s="48" t="n">
        <v>46273</v>
      </c>
      <c r="D43" s="48" t="n">
        <v>46273</v>
      </c>
      <c r="E43" s="48" t="n">
        <v>46274</v>
      </c>
      <c r="F43" t="inlineStr">
        <is>
          <t>6B Lixeiras banheiro [O4 25/08]</t>
        </is>
      </c>
      <c r="G43" t="inlineStr">
        <is>
          <t>estratégia de lances</t>
        </is>
      </c>
      <c r="H43" t="inlineStr">
        <is>
          <t>MANTER (piloto confirmado)</t>
        </is>
      </c>
      <c r="I43" t="inlineStr">
        <is>
          <t>Dinâmicos (aumento e redução) desde a O4-014</t>
        </is>
      </c>
      <c r="J43" t="inlineStr">
        <is>
          <t>Sem alteração</t>
        </is>
      </c>
      <c r="K43" t="inlineStr">
        <is>
          <t>Piloto POSITIVO PRELIMINAR: pré-Era 6 cliques em 15 dias e zero venda → Era 11 cliques em 13 dias e 1 venda de R$ 265,80. CPC subiu de 1,33 para 1,60. Os controles fixos ficaram em 0–1 clique na Era</t>
        </is>
      </c>
      <c r="L43" t="inlineStr">
        <is>
          <t>ciclos/O5-08-09.md + relatorios/amazon/o5-08-09/</t>
        </is>
      </c>
      <c r="M43" t="inlineStr">
        <is>
          <t>ALTA</t>
        </is>
      </c>
      <c r="N43" t="inlineStr">
        <is>
          <t>SIM</t>
        </is>
      </c>
      <c r="O43" t="inlineStr">
        <is>
          <t>SIM</t>
        </is>
      </c>
      <c r="P43" t="inlineStr">
        <is>
          <t>EXECUTADA - EM MATURAÇÃO</t>
        </is>
      </c>
      <c r="Q43" s="18">
        <f>IF(E43="","",E43+1)</f>
        <v/>
      </c>
      <c r="R43" s="19">
        <f>IF(E43="","",TODAY()-E43)</f>
        <v/>
      </c>
      <c r="S43" t="inlineStr">
        <is>
          <t>Era: 7 cli · R$ 13,59 · 0 venda · CPC 1,94 (Era da O5: 11 / 1 venda / 1,60)</t>
        </is>
      </c>
      <c r="T43" t="inlineStr">
        <is>
          <t>INCONCLUSIVO — n = 1 venda total; +1 Era (O6-010)</t>
        </is>
      </c>
      <c r="U43" s="48" t="n">
        <v>46308</v>
      </c>
      <c r="V43" t="inlineStr">
        <is>
          <t>n = 1 venda. O custo REAL do termo lixeira banheiro 7 litros é R$ 11,71 e não R$ 5,19 — a perna L2025-B levou R$ 6,52 sem venda (ver O5-014)</t>
        </is>
      </c>
    </row>
    <row r="44">
      <c r="A44" t="inlineStr">
        <is>
          <t>O5-009</t>
        </is>
      </c>
      <c r="B44" t="inlineStr">
        <is>
          <t>O5</t>
        </is>
      </c>
      <c r="C44" s="48" t="n">
        <v>46273</v>
      </c>
      <c r="D44" s="48" t="n">
        <v>46273</v>
      </c>
      <c r="E44" s="48" t="n">
        <v>46274</v>
      </c>
      <c r="F44" t="inlineStr">
        <is>
          <t>Manual L3070-B</t>
        </is>
      </c>
      <c r="G44" t="inlineStr">
        <is>
          <t>estratégia de lances</t>
        </is>
      </c>
      <c r="H44" t="inlineStr">
        <is>
          <t>ALTERAR ESTRATÉGIA — Fixo → Dinâmicos (aumento e redução)</t>
        </is>
      </c>
      <c r="I44" t="inlineStr">
        <is>
          <t>Lances fixos: exata 1,20, frase 1,00, topo +25%</t>
        </is>
      </c>
      <c r="J44" t="inlineStr">
        <is>
          <t>Dinâmicos (aumento e redução), mesmos lances e mesmo topo</t>
        </is>
      </c>
      <c r="K44" t="inlineStr">
        <is>
          <t>Controle com zero clique na Era (4 no pré-Era). O termo lixeira basculante 50 litros é rank 1 com share de 42% → há leilões a capturar. Margem 24,2% no Simulador SP Interior</t>
        </is>
      </c>
      <c r="L44" t="inlineStr">
        <is>
          <t>ciclos/O5-08-09.md + relatorios/amazon/o5-08-09/</t>
        </is>
      </c>
      <c r="M44" t="inlineStr">
        <is>
          <t>MÉDIA</t>
        </is>
      </c>
      <c r="N44" t="inlineStr">
        <is>
          <t>SIM</t>
        </is>
      </c>
      <c r="O44" t="inlineStr">
        <is>
          <t>SIM</t>
        </is>
      </c>
      <c r="P44" t="inlineStr">
        <is>
          <t>EXECUTADA - EM MATURAÇÃO</t>
        </is>
      </c>
      <c r="Q44" s="18">
        <f>IF(E44="","",E44+1)</f>
        <v/>
      </c>
      <c r="R44" s="19">
        <f>IF(E44="","",TODAY()-E44)</f>
        <v/>
      </c>
      <c r="S44" t="inlineStr">
        <is>
          <t>Era: 0 cli · R$ 0 · TOS IS 38,1% (teve impressões; quantidade não derivável). 30d: 268 impr, 2 cli</t>
        </is>
      </c>
      <c r="T44" t="inlineStr">
        <is>
          <t>SEM EFEITO OBSERVÁVEL (0 vs 0); +1 Era (O6-010)</t>
        </is>
      </c>
      <c r="U44" s="48" t="n">
        <v>46308</v>
      </c>
      <c r="V44" t="inlineStr">
        <is>
          <t>Conferido no export de 09/09. ⚠️ O share de 42,44% é DA CONTA e soma Geral (19 impressões / 4 cliques) + manual (54 / 3) no mesmo termo — parte do espaço é disputa interna. Ler as duas campanhas juntas na O6</t>
        </is>
      </c>
    </row>
    <row r="45">
      <c r="A45" t="inlineStr">
        <is>
          <t>O5-010</t>
        </is>
      </c>
      <c r="B45" t="inlineStr">
        <is>
          <t>O5</t>
        </is>
      </c>
      <c r="C45" s="48" t="n">
        <v>46273</v>
      </c>
      <c r="D45" s="48" t="n">
        <v>46273</v>
      </c>
      <c r="E45" s="48" t="n">
        <v>46274</v>
      </c>
      <c r="F45" t="inlineStr">
        <is>
          <t>Auto SP-PP-o59/09 (era SP-PP-o425/08)</t>
        </is>
      </c>
      <c r="G45" t="inlineStr">
        <is>
          <t>segmentação loose-match / Correspondência vaga</t>
        </is>
      </c>
      <c r="H45" t="inlineStr">
        <is>
          <t>PAUSAR ALVO (segmentação)</t>
        </is>
      </c>
      <c r="I45" t="inlineStr">
        <is>
          <t>Ativa — lance R$ 1,32 (as 4 segmentações têm o mesmo lance)</t>
        </is>
      </c>
      <c r="J45" t="inlineStr">
        <is>
          <t>Pausada. VIGIA da campanha, GATILHO O6: zero cliques relevantes → PAUSAR CAMPANHA</t>
        </is>
      </c>
      <c r="K45" t="inlineStr">
        <is>
          <t>Depois da O4-001, 6 dos 7 cliques da Era (R$ 7,66 de R$ 8,98) vieram da loose-match, em 6 termos parede irrelevantes. CTR ~0,06%. Vitalício 26 cliques e zero venda</t>
        </is>
      </c>
      <c r="L45" t="inlineStr">
        <is>
          <t>ciclos/O5-08-09.md + relatorios/amazon/o5-08-09/</t>
        </is>
      </c>
      <c r="M45" t="inlineStr">
        <is>
          <t>MÉDIA</t>
        </is>
      </c>
      <c r="N45" t="inlineStr">
        <is>
          <t>SIM</t>
        </is>
      </c>
      <c r="O45" t="inlineStr">
        <is>
          <t>SIM</t>
        </is>
      </c>
      <c r="P45" t="inlineStr">
        <is>
          <t>EXECUTADA - AVALIADA</t>
        </is>
      </c>
      <c r="Q45" s="18">
        <f>IF(E45="","",E45+1)</f>
        <v/>
      </c>
      <c r="R45" s="19">
        <f>IF(E45="","",TODAY()-E45)</f>
        <v/>
      </c>
      <c r="S45" t="inlineStr">
        <is>
          <t>Era: 0 cliques. 30d: close 96 impr / 0 cli; complements 212 impr / 0 cli</t>
        </is>
      </c>
      <c r="T45" t="inlineStr">
        <is>
          <t>GATILHO DISPAROU → O6-001 (pausar campanha)</t>
        </is>
      </c>
      <c r="U45" s="48" t="n">
        <v>46287</v>
      </c>
      <c r="V45" t="inlineStr">
        <is>
          <t>⚠️ EXECUTADA INVERTIDA E CORRIGIDA NO MESMO DIA: a primeira execução pausou a close-match e deixou a loose ativa. Causa: em PT-BR, Correspondência vaga = loose-match e Correspondência aproximada = close-match. Detectado pela conferência pós-execução e corrigido em 09/09. Estado final conferido: substitutes e loose pausadas, close e complements ativas. Termos: saboneteira parede, suporte planta parede, mandalas decorativas parede, mop para limpar paredes, organizador de fios parede, suporte secador de cabelo parede</t>
        </is>
      </c>
    </row>
    <row r="46">
      <c r="A46" t="inlineStr">
        <is>
          <t>O5-011</t>
        </is>
      </c>
      <c r="B46" t="inlineStr">
        <is>
          <t>O5</t>
        </is>
      </c>
      <c r="C46" s="48" t="n">
        <v>46273</v>
      </c>
      <c r="D46" s="48" t="n">
        <v>46273</v>
      </c>
      <c r="E46" s="48" t="n">
        <v>46274</v>
      </c>
      <c r="F46" t="inlineStr">
        <is>
          <t>PI P3070-o228/07</t>
        </is>
      </c>
      <c r="G46" t="inlineStr">
        <is>
          <t>campanha</t>
        </is>
      </c>
      <c r="H46" t="inlineStr">
        <is>
          <t>MANTER CONGELADA (gatilho definido)</t>
        </is>
      </c>
      <c r="I46" t="inlineStr">
        <is>
          <t>Congelada desde a O4. Era: 30 cliques, R$ 34,41, zero venda</t>
        </is>
      </c>
      <c r="J46" t="inlineStr">
        <is>
          <t>Sem alteração até 14/09. GATILHO O6: sem venda atribuída pós-Relâmpago E ≥15 cliques na Era O5→O6 → REDUZIR lances −20% nos asin-expanded</t>
        </is>
      </c>
      <c r="K46" t="inlineStr">
        <is>
          <t>Consome 16% do gasto da Era sem atribuição. Nenhum alvo atinge a régua de 15 cliques vitalícios (o maior é B09YDLC69D com 12, em revisão). O SKU converteu ORGANICAMENTE em 03/09 (1 venda em 43 sessões). Relâmpago −10% em curso é o teste</t>
        </is>
      </c>
      <c r="L46" t="inlineStr">
        <is>
          <t>ciclos/O5-08-09.md + relatorios/amazon/o5-08-09/</t>
        </is>
      </c>
      <c r="M46" t="inlineStr">
        <is>
          <t>MÉDIA</t>
        </is>
      </c>
      <c r="N46" t="inlineStr">
        <is>
          <t>SIM</t>
        </is>
      </c>
      <c r="O46" t="inlineStr">
        <is>
          <t>SIM</t>
        </is>
      </c>
      <c r="P46" t="inlineStr">
        <is>
          <t>EXECUTADA - AVALIADA</t>
        </is>
      </c>
      <c r="Q46" s="18">
        <f>IF(E46="","",E46+1)</f>
        <v/>
      </c>
      <c r="R46" s="19">
        <f>IF(E46="","",TODAY()-E46)</f>
        <v/>
      </c>
      <c r="S46" t="inlineStr">
        <is>
          <t>Desarmado em 15/09. Era: 52 cli · R$ 71,10 · 1 venda R$ 616,18 no alvo próprio (B0H63FKGPJ) · ACOS 11,5%</t>
        </is>
      </c>
      <c r="T46" t="inlineStr">
        <is>
          <t>DESARMADO; régua de alvo aplicada (O6-003: B09YDLC69D 16 vit / 0); vigia re-armada (O6-004)</t>
        </is>
      </c>
      <c r="U46" s="48" t="n">
        <v>46279</v>
      </c>
      <c r="V46" t="inlineStr">
        <is>
          <t>Reavaliar em 14/09 (leitura do 9.9) e de novo na O6</t>
        </is>
      </c>
    </row>
    <row r="47">
      <c r="A47" t="inlineStr">
        <is>
          <t>O5-012</t>
        </is>
      </c>
      <c r="B47" t="inlineStr">
        <is>
          <t>O5</t>
        </is>
      </c>
      <c r="C47" s="48" t="n">
        <v>46273</v>
      </c>
      <c r="D47" s="48" t="n">
        <v>46273</v>
      </c>
      <c r="E47" s="48" t="n">
        <v>46274</v>
      </c>
      <c r="F47" t="inlineStr">
        <is>
          <t>Auto SP-01-o116/07</t>
        </is>
      </c>
      <c r="G47" t="inlineStr">
        <is>
          <t>campanha</t>
        </is>
      </c>
      <c r="H47" t="inlineStr">
        <is>
          <t>PAUSAR CAMPANHA</t>
        </is>
      </c>
      <c r="I47" t="inlineStr">
        <is>
          <t>Ativa (reativada pela O4-R03); zero impressão de 18/08 a 07/09</t>
        </is>
      </c>
      <c r="J47" t="inlineStr">
        <is>
          <t>Pausada</t>
        </is>
      </c>
      <c r="K47" t="inlineStr">
        <is>
          <t>PAUSA POR INELEGIBILIDADE PUBLICITÁRIA — o ANÚNCIO dentro desta campanha está suspenso por política. NÃO é falha de desempenho e NÃO é supressão do ASIN: o listing está ativo e o SP-01 segue anunciado normalmente pela Manual Bituqueiras Space (14 impressões entre 20/08 e 04/09)</t>
        </is>
      </c>
      <c r="L47" t="inlineStr">
        <is>
          <t>ciclos/O5-08-09.md + relatorios/amazon/o5-08-09/</t>
        </is>
      </c>
      <c r="M47" t="inlineStr">
        <is>
          <t>ALTA</t>
        </is>
      </c>
      <c r="N47" t="inlineStr">
        <is>
          <t>SIM</t>
        </is>
      </c>
      <c r="O47" t="inlineStr">
        <is>
          <t>SIM</t>
        </is>
      </c>
      <c r="P47" t="inlineStr">
        <is>
          <t>EXECUTADA - EM MATURAÇÃO</t>
        </is>
      </c>
      <c r="Q47" s="18">
        <f>IF(E47="","",E47+1)</f>
        <v/>
      </c>
      <c r="R47" s="19">
        <f>IF(E47="","",TODAY()-E47)</f>
        <v/>
      </c>
      <c r="S47" t="inlineStr">
        <is>
          <t>PAUSADO no export</t>
        </is>
      </c>
      <c r="T47" t="inlineStr">
        <is>
          <t>NÃO AVALIÁVEL — pausa por inelegibilidade, não é performance. Reativar só com o anúncio liberado</t>
        </is>
      </c>
      <c r="U47" t="inlineStr">
        <is>
          <t>quando o anúncio for liberado</t>
        </is>
      </c>
      <c r="V47" t="inlineStr">
        <is>
          <t>NÃO ENTRA EM CONTRAPESO VITALÍCIO NEM EM LEITURA DE PERFORMANCE (Playbook §30). Reativação condicionada à liberação do anúncio nesta campanha. Nota de fonte: o export do Gerenciador NÃO mostra suspensão no nível do anúncio — só o console mostra</t>
        </is>
      </c>
    </row>
    <row r="48">
      <c r="A48" t="inlineStr">
        <is>
          <t>O5-013</t>
        </is>
      </c>
      <c r="B48" t="inlineStr">
        <is>
          <t>O5</t>
        </is>
      </c>
      <c r="C48" s="48" t="n">
        <v>46273</v>
      </c>
      <c r="D48" s="48" t="n">
        <v>46273</v>
      </c>
      <c r="F48" t="inlineStr">
        <is>
          <t>6B Lixeiras banheiro [O4 25/08]</t>
        </is>
      </c>
      <c r="G48" t="inlineStr">
        <is>
          <t>palavra-chave nova — exata lixeira banheiro 10 com tampa</t>
        </is>
      </c>
      <c r="H48" t="inlineStr">
        <is>
          <t>PROMOVER PARA MANUAL</t>
        </is>
      </c>
      <c r="I48" t="inlineStr">
        <is>
          <t>Termo só na Geral (close-match)</t>
        </is>
      </c>
      <c r="J48" t="inlineStr">
        <is>
          <t>NÃO EXECUTADA — condição da própria linha não atendida</t>
        </is>
      </c>
      <c r="K48" t="inlineStr">
        <is>
          <t>1 venda em close-match (L2030-T, R$ 143,13); mesma família da 6B; margem do L2030-T 19,4%</t>
        </is>
      </c>
      <c r="L48" t="inlineStr">
        <is>
          <t>ciclos/O5-08-09.md + relatorios/amazon/o5-08-09/</t>
        </is>
      </c>
      <c r="M48" t="inlineStr">
        <is>
          <t>MÉDIA</t>
        </is>
      </c>
      <c r="N48" t="inlineStr">
        <is>
          <t>SIM</t>
        </is>
      </c>
      <c r="O48" t="inlineStr">
        <is>
          <t>NÃO</t>
        </is>
      </c>
      <c r="P48" t="inlineStr">
        <is>
          <t>REJEITADA</t>
        </is>
      </c>
      <c r="Q48" s="18">
        <f>IF(E48="","",E48+1)</f>
        <v/>
      </c>
      <c r="R48" s="19">
        <f>IF(E48="","",TODAY()-E48)</f>
        <v/>
      </c>
      <c r="S48" t="inlineStr">
        <is>
          <t>Venda-base (L2030-T 01/09, R$ 143,13) devolvida em 17/09</t>
        </is>
      </c>
      <c r="T48" t="inlineStr">
        <is>
          <t>CANCELADA → O6-007</t>
        </is>
      </c>
      <c r="U48" s="48" t="n">
        <v>46287</v>
      </c>
      <c r="V48" t="inlineStr">
        <is>
          <t>BLOQUEADA: o L2030-T NÃO está no grupo de anúncios da 6B, e a linha exigia essa conferência antes de adicionar. Adicionar produto e palavra-chave no meio do piloto de lance introduziria uma segunda variável e estragaria a leitura da O6. Nada se perde: o termo segue convertendo pela Geral. Decisão volta na O6</t>
        </is>
      </c>
    </row>
    <row r="49">
      <c r="A49" t="inlineStr">
        <is>
          <t>O5-014</t>
        </is>
      </c>
      <c r="B49" t="inlineStr">
        <is>
          <t>O5</t>
        </is>
      </c>
      <c r="C49" s="48" t="n">
        <v>46273</v>
      </c>
      <c r="D49" s="48" t="n">
        <v>46273</v>
      </c>
      <c r="E49" s="48" t="n">
        <v>46274</v>
      </c>
      <c r="F49" t="inlineStr">
        <is>
          <t>6B Lixeiras banheiro [O4 25/08]</t>
        </is>
      </c>
      <c r="G49" t="inlineStr">
        <is>
          <t>SKU L2025-B no grupo de anúncios</t>
        </is>
      </c>
      <c r="H49" t="inlineStr">
        <is>
          <t>REVISAR (sem ação agora)</t>
        </is>
      </c>
      <c r="I49" t="inlineStr">
        <is>
          <t>L2025-B no grupo. No termo lixeira banheiro 7 litros a perna L2025-B tem 4 cliques, R$ 6,52 e zero venda — 56% do gasto do termo</t>
        </is>
      </c>
      <c r="J49" t="inlineStr">
        <is>
          <t>Decisão em 14/09</t>
        </is>
      </c>
      <c r="K49" t="inlineStr">
        <is>
          <t>Achado C2 da auditoria do Claude Code: o relatório de Termos é por LINHA DE SKU e não por termo. O termo custa R$ 11,71 no total (L2025-T 3 cliques e 1 venda + L2025-B 4 cliques e zero venda), não os R$ 5,19 da linha que vendeu</t>
        </is>
      </c>
      <c r="L49" t="inlineStr">
        <is>
          <t>ciclos/O5-08-09.md + relatorios/amazon/o5-08-09/</t>
        </is>
      </c>
      <c r="M49" t="inlineStr">
        <is>
          <t>MÉDIA</t>
        </is>
      </c>
      <c r="N49" t="inlineStr">
        <is>
          <t>SIM</t>
        </is>
      </c>
      <c r="O49" t="inlineStr">
        <is>
          <t>SIM</t>
        </is>
      </c>
      <c r="P49" t="inlineStr">
        <is>
          <t>EXECUTADA - AVALIADA</t>
        </is>
      </c>
      <c r="Q49" s="18">
        <f>IF(E49="","",E49+1)</f>
        <v/>
      </c>
      <c r="R49" s="19">
        <f>IF(E49="","",TODAY()-E49)</f>
        <v/>
      </c>
      <c r="S49" t="inlineStr">
        <is>
          <t>30d: perna L2025-B 3 cli · R$ 5,34 · 0 venda; sem clique novo</t>
        </is>
      </c>
      <c r="T49" t="inlineStr">
        <is>
          <t>FECHADA SEM AÇÃO → O6-009</t>
        </is>
      </c>
      <c r="U49" s="48" t="n">
        <v>46279</v>
      </c>
      <c r="V49" t="inlineStr">
        <is>
          <t>Amostra pequena. Decidir em 14/09 se o L2025-B sai do grupo</t>
        </is>
      </c>
    </row>
    <row r="50">
      <c r="A50" t="inlineStr">
        <is>
          <t>O5-015</t>
        </is>
      </c>
      <c r="B50" t="inlineStr">
        <is>
          <t>O5</t>
        </is>
      </c>
      <c r="C50" s="48" t="n">
        <v>46273</v>
      </c>
      <c r="D50" s="48" t="n">
        <v>46273</v>
      </c>
      <c r="E50" s="48" t="n">
        <v>46274</v>
      </c>
      <c r="F50" t="inlineStr">
        <is>
          <t>Cinzeiros · Bituqueiras · Extintor</t>
        </is>
      </c>
      <c r="G50" t="inlineStr">
        <is>
          <t>estratégia de lances e orçamento</t>
        </is>
      </c>
      <c r="H50" t="inlineStr">
        <is>
          <t>MANTER</t>
        </is>
      </c>
      <c r="I50" t="inlineStr">
        <is>
          <t>Fixos. Extintor R$ 8/dia, topo +75%</t>
        </is>
      </c>
      <c r="J50" t="inlineStr">
        <is>
          <t>Sem alteração</t>
        </is>
      </c>
      <c r="K50" t="inlineStr">
        <is>
          <t>Rank 1 e share 100% em TODOS os termos com impressão — o lance não é a barreira, e lance dinâmico só compra leilão que se está perdendo. O Extintor vendeu (ACOS 30d 1,4%) e gasta 1% do próprio orçamento</t>
        </is>
      </c>
      <c r="L50" t="inlineStr">
        <is>
          <t>ciclos/O5-08-09.md + relatorios/amazon/o5-08-09/</t>
        </is>
      </c>
      <c r="M50" t="inlineStr">
        <is>
          <t>ALTA</t>
        </is>
      </c>
      <c r="N50" t="inlineStr">
        <is>
          <t>SIM</t>
        </is>
      </c>
      <c r="O50" t="inlineStr">
        <is>
          <t>SIM</t>
        </is>
      </c>
      <c r="P50" t="inlineStr">
        <is>
          <t>EXECUTADA - AVALIADA</t>
        </is>
      </c>
      <c r="Q50" s="18">
        <f>IF(E50="","",E50+1)</f>
        <v/>
      </c>
      <c r="R50" s="19">
        <f>IF(E50="","",TODAY()-E50)</f>
        <v/>
      </c>
      <c r="S50" t="inlineStr">
        <is>
          <t>Era: Extintor 0 cli (TOS IS &gt;95%) · Cinzeiros 1 cli (18,18%) · Bituqueiras 0 cli (85,71%)</t>
        </is>
      </c>
      <c r="T50" t="inlineStr">
        <is>
          <t>CONFIRMADA — métrica bruta, sem inferir teto de demanda</t>
        </is>
      </c>
      <c r="U50" s="48" t="n">
        <v>46287</v>
      </c>
      <c r="V50" t="inlineStr">
        <is>
          <t>Bituqueiras: primeira leitura real. Entrega limitada pelo volume dos termos exatos — MÉTRICA BRUTA, não inferir teto de mercado. Estas três seguem como grupo de controle do piloto de lance</t>
        </is>
      </c>
    </row>
    <row r="51">
      <c r="A51" t="inlineStr">
        <is>
          <t>O5-016</t>
        </is>
      </c>
      <c r="B51" t="inlineStr">
        <is>
          <t>O5</t>
        </is>
      </c>
      <c r="C51" s="48" t="n">
        <v>46273</v>
      </c>
      <c r="D51" s="48" t="n">
        <v>46273</v>
      </c>
      <c r="E51" s="48" t="n">
        <v>46274</v>
      </c>
      <c r="F51" t="inlineStr">
        <is>
          <t>PI PXM-o311/08</t>
        </is>
      </c>
      <c r="G51" t="inlineStr">
        <is>
          <t>campanha</t>
        </is>
      </c>
      <c r="H51" t="inlineStr">
        <is>
          <t>CORRIGIR CTR / CRIATIVO</t>
        </is>
      </c>
      <c r="I51" t="inlineStr">
        <is>
          <t>Ativa, lance R$ 1,10 em 52 alvos</t>
        </is>
      </c>
      <c r="J51" t="inlineStr">
        <is>
          <t>Sem alteração de configuração — entra na fila de CTR junto com a EGC</t>
        </is>
      </c>
      <c r="K51" t="inlineStr">
        <is>
          <t>⚠️ CATEGORIA CORRIGIDA APÓS CONFERÊNCIA NO CONSOLE (achado C7 da auditoria). O diagnóstico dizia SEM ENTREGA e mandava investigar entrega. A campanha ENTREGA: 2.500 impressões vitalícias, 638 em 30 dias, os 52 alvos com impressão. O problema é CTR: 0,28% vitalício, 0,16% em 30d. Os 7 cliques vitalícios geraram 1 compra de R$ 203,54 com R$ 5,50 de gasto (ROAS 37,01)</t>
        </is>
      </c>
      <c r="L51" t="inlineStr">
        <is>
          <t>ciclos/O5-08-09.md + relatorios/amazon/o5-08-09/</t>
        </is>
      </c>
      <c r="M51" t="inlineStr">
        <is>
          <t>MÉDIA</t>
        </is>
      </c>
      <c r="N51" t="inlineStr">
        <is>
          <t>SIM</t>
        </is>
      </c>
      <c r="O51" t="inlineStr">
        <is>
          <t>SIM</t>
        </is>
      </c>
      <c r="P51" t="inlineStr">
        <is>
          <t>EXECUTADA - AVALIADA</t>
        </is>
      </c>
      <c r="Q51" s="18">
        <f>IF(E51="","",E51+1)</f>
        <v/>
      </c>
      <c r="R51" s="19">
        <f>IF(E51="","",TODAY()-E51)</f>
        <v/>
      </c>
      <c r="S51" t="inlineStr">
        <is>
          <t>Era: 2 cli · R$ 1,06 · 1 venda R$ 519,03 (oferta). CTR 30d 0,25%</t>
        </is>
      </c>
      <c r="T51" t="inlineStr">
        <is>
          <t>MANTIDA — converteu em oferta; CTR segue na fila de página</t>
        </is>
      </c>
      <c r="U51" s="48" t="n">
        <v>46287</v>
      </c>
      <c r="V51" t="inlineStr">
        <is>
          <t>O erro original veio de derivar impressões como cliques ÷ CTR: com zero cliques a conta é 0÷0, indefinido, e o zero virou premissa. REGRA: campanha com zero clique no export não tem impressão derivável. Custo vitalício de R$ 5,50 — sem urgência</t>
        </is>
      </c>
    </row>
    <row r="52">
      <c r="A52" t="inlineStr">
        <is>
          <t>O5-017</t>
        </is>
      </c>
      <c r="B52" t="inlineStr">
        <is>
          <t>O5</t>
        </is>
      </c>
      <c r="C52" s="48" t="n">
        <v>46273</v>
      </c>
      <c r="D52" s="48" t="n">
        <v>46273</v>
      </c>
      <c r="E52" s="48" t="n">
        <v>46274</v>
      </c>
      <c r="F52" t="inlineStr">
        <is>
          <t>PI L2030-B-o311/08 · Auto PXP-o311/08</t>
        </is>
      </c>
      <c r="G52" t="inlineStr">
        <is>
          <t>campanha</t>
        </is>
      </c>
      <c r="H52" t="inlineStr">
        <is>
          <t>MANTER</t>
        </is>
      </c>
      <c r="I52" t="inlineStr">
        <is>
          <t>Ativas</t>
        </is>
      </c>
      <c r="J52" t="inlineStr">
        <is>
          <t>Sem alteração</t>
        </is>
      </c>
      <c r="K52" t="inlineStr">
        <is>
          <t>CONTRAPESO VITALÍCIO: as duas têm vitalício saudável e Era fria. PI L2030-B: 16 cliques, 3 compras, R$ 497,34 (ROAS 41,8). Auto PXP: 28 cliques, 4 compras, R$ 690,42 (ROAS 27,1) — a segunda melhor da conta</t>
        </is>
      </c>
      <c r="L52" t="inlineStr">
        <is>
          <t>ciclos/O5-08-09.md + relatorios/amazon/o5-08-09/</t>
        </is>
      </c>
      <c r="M52" t="inlineStr">
        <is>
          <t>ALTA</t>
        </is>
      </c>
      <c r="N52" t="inlineStr">
        <is>
          <t>SIM</t>
        </is>
      </c>
      <c r="O52" t="inlineStr">
        <is>
          <t>SIM</t>
        </is>
      </c>
      <c r="P52" t="inlineStr">
        <is>
          <t>EXECUTADA - AVALIADA</t>
        </is>
      </c>
      <c r="Q52" s="18">
        <f>IF(E52="","",E52+1)</f>
        <v/>
      </c>
      <c r="R52" s="19">
        <f>IF(E52="","",TODAY()-E52)</f>
        <v/>
      </c>
      <c r="S52" t="inlineStr">
        <is>
          <t>PI L2030-B: Era 5 cli / 0; vit 21 cli / 3 compras. Auto PXP: Era 7 cli / 0. A dúvida da nota (+151,10 / +302,20) fecha: vendas reais de 08/09 no Registro_Vendas (PXP 1 un PR + 2 un SC)</t>
        </is>
      </c>
      <c r="T52" t="inlineStr">
        <is>
          <t>CONFIRMADA; dúvida RESOLVIDA POR FONTE</t>
        </is>
      </c>
      <c r="U52" s="48" t="n">
        <v>46287</v>
      </c>
      <c r="V52" t="inlineStr">
        <is>
          <t>A auto PXP ganhou 1 compra entre 07/09 e 09/09 (+R$ 151,10) e o Extintor ganhou outra (+R$ 302,20). Export vitalício não separa data — pode ser venda nova ou maturação de atribuição. Resolver em 14/09 contra o Registro_Vendas. NÃO INFERIDO</t>
        </is>
      </c>
    </row>
    <row r="53">
      <c r="A53" s="46" t="inlineStr">
        <is>
          <t>EC-007</t>
        </is>
      </c>
      <c r="B53" s="46" t="inlineStr">
        <is>
          <t>entre-ciclos</t>
        </is>
      </c>
      <c r="C53" s="47" t="n">
        <v>46283</v>
      </c>
      <c r="D53" s="47" t="n">
        <v>46283</v>
      </c>
      <c r="E53" s="47" t="n">
        <v>46283</v>
      </c>
      <c r="F53" s="46" t="inlineStr">
        <is>
          <t>Desconto no preço (promoção)</t>
        </is>
      </c>
      <c r="G53" s="46" t="inlineStr">
        <is>
          <t>L1618-T (B0H3QQLFFY) — desconto no preço 5%</t>
        </is>
      </c>
      <c r="H53" s="46" t="inlineStr">
        <is>
          <t>CRIAR DESCONTO NO PREÇO</t>
        </is>
      </c>
      <c r="I53" s="46" t="inlineStr">
        <is>
          <t>Preço de tabela R$ 116,00, sem promoção</t>
        </is>
      </c>
      <c r="J53" s="46" t="inlineStr">
        <is>
          <t>Desconto 5% → R$ 110,20 · piso R$ 109,58 · 21/09 a 27/09/2026</t>
        </is>
      </c>
      <c r="K53" s="46" t="inlineStr">
        <is>
          <t>26 sessões/sem, conversão baixa; devolução de 09/09 por percepção de tamanho. NO LIMITE do piso de 15%. Margem final 15,3% (SP Interior); custo por unidade vendida R$ 4,45. Critério: tráfego × margem ≥ 15%.</t>
        </is>
      </c>
      <c r="L53" s="46" t="inlineStr">
        <is>
          <t>ciclos/EC-18-09_ofertas.md §E7 + Business Report 07–13/09 + Simulador Mestra v4.3.4</t>
        </is>
      </c>
      <c r="M53" s="46" t="inlineStr">
        <is>
          <t>MÉDIA</t>
        </is>
      </c>
      <c r="N53" s="46" t="inlineStr">
        <is>
          <t>SIM</t>
        </is>
      </c>
      <c r="O53" s="46" t="inlineStr">
        <is>
          <t>SIM</t>
        </is>
      </c>
      <c r="P53" t="inlineStr">
        <is>
          <t>EXECUTADA - AVALIADA</t>
        </is>
      </c>
      <c r="Q53" s="18">
        <f>IF(E53="","",E53+1)</f>
        <v/>
      </c>
      <c r="R53" s="19">
        <f>IF(E53="","",TODAY()-E53)</f>
        <v/>
      </c>
      <c r="S53" t="inlineStr">
        <is>
          <t>Semana 21–27/09 (painel TESTEDESCONTONOPRECO, Terminado): 2 un vendidas · R$ 220,40 · 41 visualizações no painel · conversão 4,9%. Total dos 10 SKUs: 7 un · R$ 1.187,20 · 166 visualizações · 4,2%. Desconto não gera tráfego (esperado); converteu em 2 de 10 SKUs.</t>
        </is>
      </c>
      <c r="T53" t="inlineStr">
        <is>
          <t>POSITIVO — 2 un a R$ 110,20 em 27 sessões (BR 22–27/09); única lixeira que converteu. Regra de atribuição fixada com este SKU (Ads a preço com desconto).</t>
        </is>
      </c>
      <c r="U53" s="47" t="n">
        <v>46293</v>
      </c>
      <c r="V53" s="46" t="inlineStr">
        <is>
          <t>7 dias (21–27/09)</t>
        </is>
      </c>
    </row>
    <row r="54">
      <c r="A54" s="46" t="inlineStr">
        <is>
          <t>EC-008</t>
        </is>
      </c>
      <c r="B54" s="46" t="inlineStr">
        <is>
          <t>entre-ciclos</t>
        </is>
      </c>
      <c r="C54" s="47" t="n">
        <v>46283</v>
      </c>
      <c r="D54" s="47" t="n">
        <v>46283</v>
      </c>
      <c r="E54" s="47" t="n">
        <v>46283</v>
      </c>
      <c r="F54" s="46" t="inlineStr">
        <is>
          <t>Desconto no preço (promoção)</t>
        </is>
      </c>
      <c r="G54" s="46" t="inlineStr">
        <is>
          <t>L2025-T (B0H6C5CTSC) — desconto no preço 5%</t>
        </is>
      </c>
      <c r="H54" s="46" t="inlineStr">
        <is>
          <t>CRIAR DESCONTO NO PREÇO</t>
        </is>
      </c>
      <c r="I54" s="46" t="inlineStr">
        <is>
          <t>Preço de tabela R$ 132,90, sem promoção</t>
        </is>
      </c>
      <c r="J54" s="46" t="inlineStr">
        <is>
          <t>Desconto 5% → R$ 126,26 · piso R$ 123,25 · 21/09 a 27/09/2026</t>
        </is>
      </c>
      <c r="K54" s="46" t="inlineStr">
        <is>
          <t>Maior tráfego do catálogo (52 sessões/sem); 1 venda em ~60 sessões em duas semanas. Margem final 16,5% (SP Interior); custo por unidade vendida R$ 5,10. Critério: tráfego × margem ≥ 15%.</t>
        </is>
      </c>
      <c r="L54" s="46" t="inlineStr">
        <is>
          <t>ciclos/EC-18-09_ofertas.md §E7 + Business Report 07–13/09 + Simulador Mestra v4.3.4</t>
        </is>
      </c>
      <c r="M54" s="46" t="inlineStr">
        <is>
          <t>MÉDIA</t>
        </is>
      </c>
      <c r="N54" s="46" t="inlineStr">
        <is>
          <t>SIM</t>
        </is>
      </c>
      <c r="O54" s="46" t="inlineStr">
        <is>
          <t>SIM</t>
        </is>
      </c>
      <c r="P54" t="inlineStr">
        <is>
          <t>EXECUTADA - AVALIADA</t>
        </is>
      </c>
      <c r="Q54" s="18">
        <f>IF(E54="","",E54+1)</f>
        <v/>
      </c>
      <c r="R54" s="19">
        <f>IF(E54="","",TODAY()-E54)</f>
        <v/>
      </c>
      <c r="S54" t="inlineStr">
        <is>
          <t>Semana 21–27/09 (painel TESTEDESCONTONOPRECO, Terminado): 0 un · 38 visualizações. Total dos 10 SKUs: 7 un · R$ 1.187,20 · 166 visualizações · 4,2%. Desconto não gera tráfego (esperado); converteu em 2 de 10 SKUs.</t>
        </is>
      </c>
      <c r="T54" t="inlineStr">
        <is>
          <t>SEM EFEITO — 0 venda em 26 sessões / 38 visualizações a −5%; maior tráfego do catálogo não converteu nem com oferta (9.9) nem com desconto no preço.</t>
        </is>
      </c>
      <c r="U54" s="47" t="n">
        <v>46293</v>
      </c>
      <c r="V54" s="46" t="inlineStr">
        <is>
          <t>7 dias (21–27/09)</t>
        </is>
      </c>
    </row>
    <row r="55">
      <c r="A55" s="46" t="inlineStr">
        <is>
          <t>EC-009</t>
        </is>
      </c>
      <c r="B55" s="46" t="inlineStr">
        <is>
          <t>entre-ciclos</t>
        </is>
      </c>
      <c r="C55" s="47" t="n">
        <v>46283</v>
      </c>
      <c r="D55" s="47" t="n">
        <v>46283</v>
      </c>
      <c r="E55" s="47" t="n">
        <v>46283</v>
      </c>
      <c r="F55" s="46" t="inlineStr">
        <is>
          <t>Desconto no preço (promoção)</t>
        </is>
      </c>
      <c r="G55" s="46" t="inlineStr">
        <is>
          <t>PXP (B0H4S7ZKXS) — desconto no preço 5%</t>
        </is>
      </c>
      <c r="H55" s="46" t="inlineStr">
        <is>
          <t>CRIAR DESCONTO NO PREÇO</t>
        </is>
      </c>
      <c r="I55" s="46" t="inlineStr">
        <is>
          <t>Preço de tabela R$ 167,89, sem promoção</t>
        </is>
      </c>
      <c r="J55" s="46" t="inlineStr">
        <is>
          <t>Desconto 5% → R$ 159,50 · piso R$ 155,00 · 21/09 a 27/09/2026</t>
        </is>
      </c>
      <c r="K55" s="46" t="inlineStr">
        <is>
          <t>Converteu com oferta no 9.9 (3 un). Margem final 16,8% (SP Interior); custo por unidade vendida R$ 6,56. Critério: tráfego × margem ≥ 15%.</t>
        </is>
      </c>
      <c r="L55" s="46" t="inlineStr">
        <is>
          <t>ciclos/EC-18-09_ofertas.md §E7 + Business Report 07–13/09 + Simulador Mestra v4.3.4</t>
        </is>
      </c>
      <c r="M55" s="46" t="inlineStr">
        <is>
          <t>MÉDIA</t>
        </is>
      </c>
      <c r="N55" s="46" t="inlineStr">
        <is>
          <t>SIM</t>
        </is>
      </c>
      <c r="O55" s="46" t="inlineStr">
        <is>
          <t>SIM</t>
        </is>
      </c>
      <c r="P55" t="inlineStr">
        <is>
          <t>EXECUTADA - AVALIADA</t>
        </is>
      </c>
      <c r="Q55" s="18">
        <f>IF(E55="","",E55+1)</f>
        <v/>
      </c>
      <c r="R55" s="19">
        <f>IF(E55="","",TODAY()-E55)</f>
        <v/>
      </c>
      <c r="S55" t="inlineStr">
        <is>
          <t>Semana 21–27/09 (painel TESTEDESCONTONOPRECO, Terminado): 0 un · 13 visualizações. Total dos 10 SKUs: 7 un · R$ 1.187,20 · 166 visualizações · 4,2%. Desconto não gera tráfego (esperado); converteu em 2 de 10 SKUs.</t>
        </is>
      </c>
      <c r="T55" t="inlineStr">
        <is>
          <t>SEM EFEITO — 0 venda em 7 sessões / 13 visualizações; tráfego caiu (23 → 7 sessões/sem). Segue inscrito no Prime Day a −10%.</t>
        </is>
      </c>
      <c r="U55" s="47" t="n">
        <v>46293</v>
      </c>
      <c r="V55" s="46" t="inlineStr">
        <is>
          <t>7 dias (21–27/09)</t>
        </is>
      </c>
    </row>
    <row r="56">
      <c r="A56" s="46" t="inlineStr">
        <is>
          <t>EC-010</t>
        </is>
      </c>
      <c r="B56" s="46" t="inlineStr">
        <is>
          <t>entre-ciclos</t>
        </is>
      </c>
      <c r="C56" s="47" t="n">
        <v>46283</v>
      </c>
      <c r="D56" s="47" t="n">
        <v>46283</v>
      </c>
      <c r="E56" s="47" t="n">
        <v>46283</v>
      </c>
      <c r="F56" s="46" t="inlineStr">
        <is>
          <t>Desconto no preço (promoção)</t>
        </is>
      </c>
      <c r="G56" s="46" t="inlineStr">
        <is>
          <t>PXM (B0H4S3FHG6) — desconto no preço 5%</t>
        </is>
      </c>
      <c r="H56" s="46" t="inlineStr">
        <is>
          <t>CRIAR DESCONTO NO PREÇO</t>
        </is>
      </c>
      <c r="I56" s="46" t="inlineStr">
        <is>
          <t>Preço de tabela R$ 203,54, sem promoção</t>
        </is>
      </c>
      <c r="J56" s="46" t="inlineStr">
        <is>
          <t>Desconto 5% → R$ 193,36 · piso R$ 183,09 · 21/09 a 27/09/2026</t>
        </is>
      </c>
      <c r="K56" s="46" t="inlineStr">
        <is>
          <t>Converteu com oferta no 9.9 (3 un em 6 sessões). Margem final 18,4% (SP Interior); custo por unidade vendida R$ 7,97. Critério: tráfego × margem ≥ 15%.</t>
        </is>
      </c>
      <c r="L56" s="46" t="inlineStr">
        <is>
          <t>ciclos/EC-18-09_ofertas.md §E7 + Business Report 07–13/09 + Simulador Mestra v4.3.4</t>
        </is>
      </c>
      <c r="M56" s="46" t="inlineStr">
        <is>
          <t>MÉDIA</t>
        </is>
      </c>
      <c r="N56" s="46" t="inlineStr">
        <is>
          <t>SIM</t>
        </is>
      </c>
      <c r="O56" s="46" t="inlineStr">
        <is>
          <t>SIM</t>
        </is>
      </c>
      <c r="P56" t="inlineStr">
        <is>
          <t>EXECUTADA - AVALIADA</t>
        </is>
      </c>
      <c r="Q56" s="18">
        <f>IF(E56="","",E56+1)</f>
        <v/>
      </c>
      <c r="R56" s="19">
        <f>IF(E56="","",TODAY()-E56)</f>
        <v/>
      </c>
      <c r="S56" t="inlineStr">
        <is>
          <t>Semana 21–27/09 (painel TESTEDESCONTONOPRECO, Terminado): 5 un · R$ 966,80 · 10 visualizações · conversão 50%. Total dos 10 SKUs: 7 un · R$ 1.187,20 · 166 visualizações · 4,2%. Desconto não gera tráfego (esperado); converteu em 2 de 10 SKUs.</t>
        </is>
      </c>
      <c r="T56" t="inlineStr">
        <is>
          <t>POSITIVO — 5 un em 2 pedidos (2 + 3) a R$ 193,36; converte com qualquer desconto (9.9: 3 un a −15%; agora 5 a −5%). No pedido de 3 a promoção de quantidade empilhou (−R$ 29,00) → margem 15,6% realizada.</t>
        </is>
      </c>
      <c r="U56" s="47" t="n">
        <v>46293</v>
      </c>
      <c r="V56" s="46" t="inlineStr">
        <is>
          <t>7 dias (21–27/09)</t>
        </is>
      </c>
    </row>
    <row r="57">
      <c r="A57" s="46" t="inlineStr">
        <is>
          <t>EC-011</t>
        </is>
      </c>
      <c r="B57" s="46" t="inlineStr">
        <is>
          <t>entre-ciclos</t>
        </is>
      </c>
      <c r="C57" s="47" t="n">
        <v>46283</v>
      </c>
      <c r="D57" s="47" t="n">
        <v>46283</v>
      </c>
      <c r="E57" s="47" t="n">
        <v>46283</v>
      </c>
      <c r="F57" s="46" t="inlineStr">
        <is>
          <t>Desconto no preço (promoção)</t>
        </is>
      </c>
      <c r="G57" s="46" t="inlineStr">
        <is>
          <t>Q2460-B (B0H7YNMBBK) — desconto no preço 5%</t>
        </is>
      </c>
      <c r="H57" s="46" t="inlineStr">
        <is>
          <t>CRIAR DESCONTO NO PREÇO</t>
        </is>
      </c>
      <c r="I57" s="46" t="inlineStr">
        <is>
          <t>Preço de tabela R$ 360,97, sem promoção</t>
        </is>
      </c>
      <c r="J57" s="46" t="inlineStr">
        <is>
          <t>Desconto 5% → R$ 342,92 · piso R$ 335,51 · 21/09 a 27/09/2026</t>
        </is>
      </c>
      <c r="K57" s="46" t="inlineStr">
        <is>
          <t>Zero conversão crônica desde 26/08 (14 sessões/sem). ⚠️ SEM PREÇO DE REFERÊNCIA no console — roda sem preço riscado; leitura em 28/09 deve descontar isso. Margem final 16,3% (SP Interior); custo por unidade vendida R$ 13,87. Critério: tráfego × margem ≥ 15%.</t>
        </is>
      </c>
      <c r="L57" s="46" t="inlineStr">
        <is>
          <t>ciclos/EC-18-09_ofertas.md §E7 + Business Report 07–13/09 + Simulador Mestra v4.3.4</t>
        </is>
      </c>
      <c r="M57" s="46" t="inlineStr">
        <is>
          <t>MÉDIA</t>
        </is>
      </c>
      <c r="N57" s="46" t="inlineStr">
        <is>
          <t>SIM</t>
        </is>
      </c>
      <c r="O57" s="46" t="inlineStr">
        <is>
          <t>SIM</t>
        </is>
      </c>
      <c r="P57" t="inlineStr">
        <is>
          <t>EXECUTADA - AVALIADA</t>
        </is>
      </c>
      <c r="Q57" s="18">
        <f>IF(E57="","",E57+1)</f>
        <v/>
      </c>
      <c r="R57" s="19">
        <f>IF(E57="","",TODAY()-E57)</f>
        <v/>
      </c>
      <c r="S57" t="inlineStr">
        <is>
          <t>Semana 21–27/09 (painel TESTEDESCONTONOPRECO, Terminado): 0 un · 12 visualizações · 0%. Total dos 10 SKUs: 7 un · R$ 1.187,20 · 166 visualizações · 4,2%. Desconto não gera tráfego (esperado); converteu em 2 de 10 SKUs.</t>
        </is>
      </c>
      <c r="T57" t="inlineStr">
        <is>
          <t>NEGATIVO — 0 venda em 9 sessões / 12 visualizações; rodou sem preço riscado (sem preço de referência). Gatilho O6-006 disparou → pausar o anúncio do SKU na Geral (decisão do LEO).</t>
        </is>
      </c>
      <c r="U57" s="47" t="n">
        <v>46293</v>
      </c>
      <c r="V57" s="46" t="inlineStr">
        <is>
          <t>7 dias (21–27/09)</t>
        </is>
      </c>
    </row>
    <row r="58">
      <c r="A58" s="46" t="inlineStr">
        <is>
          <t>EC-012</t>
        </is>
      </c>
      <c r="B58" s="46" t="inlineStr">
        <is>
          <t>entre-ciclos</t>
        </is>
      </c>
      <c r="C58" s="47" t="n">
        <v>46283</v>
      </c>
      <c r="D58" s="47" t="n">
        <v>46283</v>
      </c>
      <c r="E58" s="47" t="n">
        <v>46283</v>
      </c>
      <c r="F58" s="46" t="inlineStr">
        <is>
          <t>Desconto no preço (promoção)</t>
        </is>
      </c>
      <c r="G58" s="46" t="inlineStr">
        <is>
          <t>P4080 (B0H63W8G49) — desconto no preço 10%</t>
        </is>
      </c>
      <c r="H58" s="46" t="inlineStr">
        <is>
          <t>CRIAR DESCONTO NO PREÇO</t>
        </is>
      </c>
      <c r="I58" s="46" t="inlineStr">
        <is>
          <t>Preço de tabela R$ 1070,17, sem promoção</t>
        </is>
      </c>
      <c r="J58" s="46" t="inlineStr">
        <is>
          <t>Desconto 10% → R$ 963,15 · piso R$ 895,93 · 21/09 a 27/09/2026</t>
        </is>
      </c>
      <c r="K58" s="46" t="inlineStr">
        <is>
          <t>Ticket mais alto do catálogo; 13 sessões/sem. Margem final 19,3% (SP Interior); custo por unidade vendida R$ 82,20. Critério: tráfego × margem ≥ 15%.</t>
        </is>
      </c>
      <c r="L58" s="46" t="inlineStr">
        <is>
          <t>ciclos/EC-18-09_ofertas.md §E7 + Business Report 07–13/09 + Simulador Mestra v4.3.4</t>
        </is>
      </c>
      <c r="M58" s="46" t="inlineStr">
        <is>
          <t>MÉDIA</t>
        </is>
      </c>
      <c r="N58" s="46" t="inlineStr">
        <is>
          <t>SIM</t>
        </is>
      </c>
      <c r="O58" s="46" t="inlineStr">
        <is>
          <t>SIM</t>
        </is>
      </c>
      <c r="P58" t="inlineStr">
        <is>
          <t>EXECUTADA - AVALIADA</t>
        </is>
      </c>
      <c r="Q58" s="18">
        <f>IF(E58="","",E58+1)</f>
        <v/>
      </c>
      <c r="R58" s="19">
        <f>IF(E58="","",TODAY()-E58)</f>
        <v/>
      </c>
      <c r="S58" t="inlineStr">
        <is>
          <t>Semana 21–27/09 (painel TESTEDESCONTONOPRECO, Terminado): 0 un · 18 visualizações. Total dos 10 SKUs: 7 un · R$ 1.187,20 · 166 visualizações · 4,2%. Desconto não gera tráfego (esperado); converteu em 2 de 10 SKUs.</t>
        </is>
      </c>
      <c r="T58" t="inlineStr">
        <is>
          <t>SEM EFEITO — 0 venda em 13 sessões / 18 visualizações.</t>
        </is>
      </c>
      <c r="U58" s="47" t="n">
        <v>46293</v>
      </c>
      <c r="V58" s="46" t="inlineStr">
        <is>
          <t>7 dias (21–27/09)</t>
        </is>
      </c>
    </row>
    <row r="59">
      <c r="A59" s="46" t="inlineStr">
        <is>
          <t>EC-013</t>
        </is>
      </c>
      <c r="B59" s="46" t="inlineStr">
        <is>
          <t>entre-ciclos</t>
        </is>
      </c>
      <c r="C59" s="47" t="n">
        <v>46283</v>
      </c>
      <c r="D59" s="47" t="n">
        <v>46283</v>
      </c>
      <c r="E59" s="47" t="n">
        <v>46283</v>
      </c>
      <c r="F59" s="46" t="inlineStr">
        <is>
          <t>Desconto no preço (promoção)</t>
        </is>
      </c>
      <c r="G59" s="46" t="inlineStr">
        <is>
          <t>P3060 (B0H4NLBG1Y) — desconto no preço 10%</t>
        </is>
      </c>
      <c r="H59" s="46" t="inlineStr">
        <is>
          <t>CRIAR DESCONTO NO PREÇO</t>
        </is>
      </c>
      <c r="I59" s="46" t="inlineStr">
        <is>
          <t>Preço de tabela R$ 511,42, sem promoção</t>
        </is>
      </c>
      <c r="J59" s="46" t="inlineStr">
        <is>
          <t>Desconto 10% → R$ 460,28 · piso R$ 404,24 · 21/09 a 27/09/2026</t>
        </is>
      </c>
      <c r="K59" s="46" t="inlineStr">
        <is>
          <t>Maior folga de margem entre os que têm tráfego; 13 sessões/sem. Margem final 22,6% (SP Interior); custo por unidade vendida R$ 39,47. Critério: tráfego × margem ≥ 15%.</t>
        </is>
      </c>
      <c r="L59" s="46" t="inlineStr">
        <is>
          <t>ciclos/EC-18-09_ofertas.md §E7 + Business Report 07–13/09 + Simulador Mestra v4.3.4</t>
        </is>
      </c>
      <c r="M59" s="46" t="inlineStr">
        <is>
          <t>MÉDIA</t>
        </is>
      </c>
      <c r="N59" s="46" t="inlineStr">
        <is>
          <t>SIM</t>
        </is>
      </c>
      <c r="O59" s="46" t="inlineStr">
        <is>
          <t>SIM</t>
        </is>
      </c>
      <c r="P59" t="inlineStr">
        <is>
          <t>EXECUTADA - AVALIADA</t>
        </is>
      </c>
      <c r="Q59" s="18">
        <f>IF(E59="","",E59+1)</f>
        <v/>
      </c>
      <c r="R59" s="19">
        <f>IF(E59="","",TODAY()-E59)</f>
        <v/>
      </c>
      <c r="S59" t="inlineStr">
        <is>
          <t>Semana 21–27/09 (painel TESTEDESCONTONOPRECO, Terminado): 0 un · 13 visualizações. Total dos 10 SKUs: 7 un · R$ 1.187,20 · 166 visualizações · 4,2%. Desconto não gera tráfego (esperado); converteu em 2 de 10 SKUs.o</t>
        </is>
      </c>
      <c r="T59" t="inlineStr">
        <is>
          <t>SEM EFEITO — 0 venda em 12 sessões / 13 visualizações.</t>
        </is>
      </c>
      <c r="U59" s="47" t="n">
        <v>46293</v>
      </c>
      <c r="V59" s="46" t="inlineStr">
        <is>
          <t>7 dias (21–27/09)</t>
        </is>
      </c>
    </row>
    <row r="60">
      <c r="A60" s="46" t="inlineStr">
        <is>
          <t>EC-014</t>
        </is>
      </c>
      <c r="B60" s="46" t="inlineStr">
        <is>
          <t>entre-ciclos</t>
        </is>
      </c>
      <c r="C60" s="47" t="n">
        <v>46283</v>
      </c>
      <c r="D60" s="47" t="n">
        <v>46283</v>
      </c>
      <c r="E60" s="47" t="n">
        <v>46283</v>
      </c>
      <c r="F60" s="46" t="inlineStr">
        <is>
          <t>Desconto no preço (promoção)</t>
        </is>
      </c>
      <c r="G60" s="46" t="inlineStr">
        <is>
          <t>PG2460 (B0H5MDZQDG) — desconto no preço 10%</t>
        </is>
      </c>
      <c r="H60" s="46" t="inlineStr">
        <is>
          <t>CRIAR DESCONTO NO PREÇO</t>
        </is>
      </c>
      <c r="I60" s="46" t="inlineStr">
        <is>
          <t>Preço de tabela R$ 248,75, sem promoção</t>
        </is>
      </c>
      <c r="J60" s="46" t="inlineStr">
        <is>
          <t>Desconto 10% → R$ 223,88 · piso R$ 217,76 · 21/09 a 27/09/2026</t>
        </is>
      </c>
      <c r="K60" s="46" t="inlineStr">
        <is>
          <t>Converteu com oferta no 9.9 (1 un); 12 sessões/sem. Margem final 16,7% (SP Interior); custo por unidade vendida R$ 18,98. Critério: tráfego × margem ≥ 15%.</t>
        </is>
      </c>
      <c r="L60" s="46" t="inlineStr">
        <is>
          <t>ciclos/EC-18-09_ofertas.md §E7 + Business Report 07–13/09 + Simulador Mestra v4.3.4</t>
        </is>
      </c>
      <c r="M60" s="46" t="inlineStr">
        <is>
          <t>MÉDIA</t>
        </is>
      </c>
      <c r="N60" s="46" t="inlineStr">
        <is>
          <t>SIM</t>
        </is>
      </c>
      <c r="O60" s="46" t="inlineStr">
        <is>
          <t>SIM</t>
        </is>
      </c>
      <c r="P60" t="inlineStr">
        <is>
          <t>EXECUTADA - AVALIADA</t>
        </is>
      </c>
      <c r="Q60" s="18">
        <f>IF(E60="","",E60+1)</f>
        <v/>
      </c>
      <c r="R60" s="19">
        <f>IF(E60="","",TODAY()-E60)</f>
        <v/>
      </c>
      <c r="S60" t="inlineStr">
        <is>
          <t>Semana 21–27/09 (painel TESTEDESCONTONOPRECO, Terminado): 0 un · 8 visualizações. Total dos 10 SKUs: 7 un · R$ 1.187,20 · 166 visualizações · 4,2%. Desconto não gera tráfego (esperado); converteu em 2 de 10 SKUs.</t>
        </is>
      </c>
      <c r="T60" t="inlineStr">
        <is>
          <t>SEM EFEITO — 0 venda em 5 sessões / 8 visualizações.</t>
        </is>
      </c>
      <c r="U60" s="47" t="n">
        <v>46293</v>
      </c>
      <c r="V60" s="46" t="inlineStr">
        <is>
          <t>7 dias (21–27/09)</t>
        </is>
      </c>
    </row>
    <row r="61">
      <c r="A61" s="46" t="inlineStr">
        <is>
          <t>EC-015</t>
        </is>
      </c>
      <c r="B61" s="46" t="inlineStr">
        <is>
          <t>entre-ciclos</t>
        </is>
      </c>
      <c r="C61" s="47" t="n">
        <v>46283</v>
      </c>
      <c r="D61" s="47" t="n">
        <v>46283</v>
      </c>
      <c r="E61" s="47" t="n">
        <v>46283</v>
      </c>
      <c r="F61" s="46" t="inlineStr">
        <is>
          <t>Desconto no preço (promoção)</t>
        </is>
      </c>
      <c r="G61" s="46" t="inlineStr">
        <is>
          <t>P3050 (B0H6365DBF) — desconto no preço 10%</t>
        </is>
      </c>
      <c r="H61" s="46" t="inlineStr">
        <is>
          <t>CRIAR DESCONTO NO PREÇO</t>
        </is>
      </c>
      <c r="I61" s="46" t="inlineStr">
        <is>
          <t>Preço de tabela R$ 467,67, sem promoção</t>
        </is>
      </c>
      <c r="J61" s="46" t="inlineStr">
        <is>
          <t>Desconto 10% → R$ 420,90 · piso R$ 401,99 · 21/09 a 27/09/2026</t>
        </is>
      </c>
      <c r="K61" s="46" t="inlineStr">
        <is>
          <t>Opcional — tráfego marginal (7 sessões/sem). Margem final 17,8% (SP Interior); custo por unidade vendida R$ 36,06. Critério: tráfego × margem ≥ 15%.</t>
        </is>
      </c>
      <c r="L61" s="46" t="inlineStr">
        <is>
          <t>ciclos/EC-18-09_ofertas.md §E7 + Business Report 07–13/09 + Simulador Mestra v4.3.4</t>
        </is>
      </c>
      <c r="M61" s="46" t="inlineStr">
        <is>
          <t>MÉDIA</t>
        </is>
      </c>
      <c r="N61" s="46" t="inlineStr">
        <is>
          <t>SIM</t>
        </is>
      </c>
      <c r="O61" s="46" t="inlineStr">
        <is>
          <t>SIM</t>
        </is>
      </c>
      <c r="P61" t="inlineStr">
        <is>
          <t>EXECUTADA - AVALIADA</t>
        </is>
      </c>
      <c r="Q61" s="18">
        <f>IF(E61="","",E61+1)</f>
        <v/>
      </c>
      <c r="R61" s="19">
        <f>IF(E61="","",TODAY()-E61)</f>
        <v/>
      </c>
      <c r="S61" t="inlineStr">
        <is>
          <t>Semana 21–27/09 (painel TESTEDESCONTONOPRECO, Terminado): 0 un · 8 visualizações. Total dos 10 SKUs: 7 un · R$ 1.187,20 · 166 visualizações · 4,2%. Desconto não gera tráfego (esperado); converteu em 2 de 10 SKUs.</t>
        </is>
      </c>
      <c r="T61" t="inlineStr">
        <is>
          <t>SEM EFEITO — 0 venda em 5 sessões / 8 visualizações.</t>
        </is>
      </c>
      <c r="U61" s="47" t="n">
        <v>46293</v>
      </c>
      <c r="V61" s="46" t="inlineStr">
        <is>
          <t>7 dias (21–27/09)</t>
        </is>
      </c>
    </row>
    <row r="62">
      <c r="A62" s="46" t="inlineStr">
        <is>
          <t>EC-016</t>
        </is>
      </c>
      <c r="B62" s="46" t="inlineStr">
        <is>
          <t>entre-ciclos</t>
        </is>
      </c>
      <c r="C62" s="47" t="n">
        <v>46283</v>
      </c>
      <c r="D62" s="47" t="n">
        <v>46283</v>
      </c>
      <c r="E62" s="47" t="n">
        <v>46283</v>
      </c>
      <c r="F62" s="46" t="inlineStr">
        <is>
          <t>Desconto no preço (promoção)</t>
        </is>
      </c>
      <c r="G62" s="46" t="inlineStr">
        <is>
          <t>L2030 (B0H6CCHT65) — desconto no preço 5%</t>
        </is>
      </c>
      <c r="H62" s="46" t="inlineStr">
        <is>
          <t>CRIAR DESCONTO NO PREÇO</t>
        </is>
      </c>
      <c r="I62" s="46" t="inlineStr">
        <is>
          <t>Preço de tabela R$ 119,22, sem promoção</t>
        </is>
      </c>
      <c r="J62" s="46" t="inlineStr">
        <is>
          <t>Desconto 5% → R$ 113,26 · piso R$ 111,16 · 21/09 a 27/09/2026</t>
        </is>
      </c>
      <c r="K62" s="46" t="inlineStr">
        <is>
          <t>Opcional — tráfego marginal (6 sessões/sem). Margem final 16,1% (SP Interior); custo por unidade vendida R$ 4,57. Critério: tráfego × margem ≥ 15%.</t>
        </is>
      </c>
      <c r="L62" s="46" t="inlineStr">
        <is>
          <t>ciclos/EC-18-09_ofertas.md §E7 + Business Report 07–13/09 + Simulador Mestra v4.3.4</t>
        </is>
      </c>
      <c r="M62" s="46" t="inlineStr">
        <is>
          <t>MÉDIA</t>
        </is>
      </c>
      <c r="N62" s="46" t="inlineStr">
        <is>
          <t>SIM</t>
        </is>
      </c>
      <c r="O62" s="46" t="inlineStr">
        <is>
          <t>SIM</t>
        </is>
      </c>
      <c r="P62" t="inlineStr">
        <is>
          <t>EXECUTADA - AVALIADA</t>
        </is>
      </c>
      <c r="Q62" s="18">
        <f>IF(E62="","",E62+1)</f>
        <v/>
      </c>
      <c r="R62" s="19">
        <f>IF(E62="","",TODAY()-E62)</f>
        <v/>
      </c>
      <c r="S62" t="inlineStr">
        <is>
          <t>Semana 21–27/09 (painel TESTEDESCONTONOPRECO, Terminado): 0 un · 5 visualizações. Total dos 10 SKUs: 7 un · R$ 1.187,20 · 166 visualizações · 4,2%. Desconto não gera tráfego (esperado); converteu em 2 de 10 SKUs.</t>
        </is>
      </c>
      <c r="T62" t="inlineStr">
        <is>
          <t>SEM EFEITO — 0 venda em 3 sessões / 5 visualizações (opcional, tráfego marginal).</t>
        </is>
      </c>
      <c r="U62" s="47" t="n">
        <v>46293</v>
      </c>
      <c r="V62" s="46" t="inlineStr">
        <is>
          <t>7 dias (21–27/09)</t>
        </is>
      </c>
    </row>
    <row r="63">
      <c r="A63" t="inlineStr">
        <is>
          <t>O6-001</t>
        </is>
      </c>
      <c r="B63" t="inlineStr">
        <is>
          <t>O6</t>
        </is>
      </c>
      <c r="C63" s="48" t="n">
        <v>46287</v>
      </c>
      <c r="D63" s="48" t="n">
        <v>46287</v>
      </c>
      <c r="E63" s="48" t="n">
        <v>46287</v>
      </c>
      <c r="F63" t="inlineStr">
        <is>
          <t>Auto SP-PP-o59/09</t>
        </is>
      </c>
      <c r="G63" t="inlineStr">
        <is>
          <t>campanha</t>
        </is>
      </c>
      <c r="H63" t="inlineStr">
        <is>
          <t>PAUSAR CAMPANHA</t>
        </is>
      </c>
      <c r="I63" t="inlineStr">
        <is>
          <t>Ativa — close-match e complements a R$ 1,32 (loose e substitutes pausadas)</t>
        </is>
      </c>
      <c r="J63" t="inlineStr">
        <is>
          <t>Pausada</t>
        </is>
      </c>
      <c r="K63" t="inlineStr">
        <is>
          <t>Gatilho O5-010 disparado: 0 cliques na Era 10–21/09. 30d: 29.085 impr, 14 cliques (todos pré-09/09, termos "parede"), 0 venda. Vitalício 26 cliques / 0 venda. close 96 impr / 0 cli e complements 212 impr / 0 cli em 30d</t>
        </is>
      </c>
      <c r="L63" t="inlineStr">
        <is>
          <t>ciclos/O6-22-09.md + relatorios/amazon/o6-22-09/ (export 10-21_09, recorrentes 30d 22/08–20/09, exports vitalícios de alvos, segmentação da Geral na Era, BR 10–20/09)</t>
        </is>
      </c>
      <c r="M63" t="inlineStr">
        <is>
          <t>ALTA</t>
        </is>
      </c>
      <c r="N63" t="inlineStr">
        <is>
          <t>SIM</t>
        </is>
      </c>
      <c r="O63" s="46" t="inlineStr">
        <is>
          <t>SIM</t>
        </is>
      </c>
      <c r="P63" s="46" t="inlineStr">
        <is>
          <t>EXECUTADA - AVALIADA</t>
        </is>
      </c>
      <c r="Q63" s="18">
        <f>IF(E63="","",E63+1)</f>
        <v/>
      </c>
      <c r="R63" s="19">
        <f>IF(E63="","",TODAY()-E63)</f>
        <v/>
      </c>
      <c r="S63" t="inlineStr">
        <is>
          <t>SP-PP pausada; 0 atividade na Era</t>
        </is>
      </c>
      <c r="T63" t="inlineStr">
        <is>
          <t>MANTIDA</t>
        </is>
      </c>
      <c r="U63" t="inlineStr">
        <is>
          <t>—</t>
        </is>
      </c>
      <c r="V63" t="inlineStr">
        <is>
          <t>Cobertura do SP-PP mantida pela Geral (30d: 2.370 impr, 4 cli, R$ 2,76) e pela Manual Bituqueiras. Executar antes das mudanças de lance (reversível)</t>
        </is>
      </c>
    </row>
    <row r="64">
      <c r="A64" t="inlineStr">
        <is>
          <t>O6-002</t>
        </is>
      </c>
      <c r="B64" t="inlineStr">
        <is>
          <t>O6</t>
        </is>
      </c>
      <c r="C64" s="48" t="n">
        <v>46287</v>
      </c>
      <c r="D64" s="48" t="n">
        <v>46287</v>
      </c>
      <c r="E64" s="48" t="n">
        <v>46287</v>
      </c>
      <c r="F64" t="inlineStr">
        <is>
          <t>Auto EGC</t>
        </is>
      </c>
      <c r="G64" t="inlineStr">
        <is>
          <t>campanha</t>
        </is>
      </c>
      <c r="H64" t="inlineStr">
        <is>
          <t>PAUSAR CAMPANHA</t>
        </is>
      </c>
      <c r="I64" t="inlineStr">
        <is>
          <t>Ativa — lance fixo R$ 0,84, R$ 5/dia (vigia O5-007)</t>
        </is>
      </c>
      <c r="J64" t="inlineStr">
        <is>
          <t>Pausada</t>
        </is>
      </c>
      <c r="K64" t="inlineStr">
        <is>
          <t>Gatilho O5-007 disparado nas duas condições: 0 vendas E CTR 0,17% (&lt; 0,3%) na Era (10 cli, R$ 7,58). 30d: 8.534 impr, 11 cli, CTR 0,129%, 0 venda; 4.695 impr no termo "guarda chuva" com 2 cli. Melhor Oferta −10% no 9.9 zerou. BR: 24 sessões / 0 un</t>
        </is>
      </c>
      <c r="L64" t="inlineStr">
        <is>
          <t>ciclos/O6-22-09.md + relatorios/amazon/o6-22-09/ (export 10-21_09, recorrentes 30d 22/08–20/09, exports vitalícios de alvos, segmentação da Geral na Era, BR 10–20/09)</t>
        </is>
      </c>
      <c r="M64" t="inlineStr">
        <is>
          <t>ALTA</t>
        </is>
      </c>
      <c r="N64" t="inlineStr">
        <is>
          <t>SIM</t>
        </is>
      </c>
      <c r="O64" s="46" t="inlineStr">
        <is>
          <t>SIM</t>
        </is>
      </c>
      <c r="P64" s="46" t="inlineStr">
        <is>
          <t>EXECUTADA - AVALIADA</t>
        </is>
      </c>
      <c r="Q64" s="18">
        <f>IF(E64="","",E64+1)</f>
        <v/>
      </c>
      <c r="R64" s="19">
        <f>IF(E64="","",TODAY()-E64)</f>
        <v/>
      </c>
      <c r="S64" t="inlineStr">
        <is>
          <t>EGC pausada; SKU vendeu 1 un orgânica (23/09) e teve 24 sessões na Era sem Ads</t>
        </is>
      </c>
      <c r="T64" t="inlineStr">
        <is>
          <t>MANTIDA — venda orgânica não reabilita a auto</t>
        </is>
      </c>
      <c r="U64" t="inlineStr">
        <is>
          <t>—</t>
        </is>
      </c>
      <c r="V64" t="inlineStr">
        <is>
          <t>EGC segue anunciado na Geral (72 impr / 1 cli em 30d). Lance 0,84 registrado para eventual retorno. Sai do grupo de controle do piloto de lance</t>
        </is>
      </c>
    </row>
    <row r="65">
      <c r="A65" t="inlineStr">
        <is>
          <t>O6-003</t>
        </is>
      </c>
      <c r="B65" t="inlineStr">
        <is>
          <t>O6</t>
        </is>
      </c>
      <c r="C65" s="48" t="n">
        <v>46287</v>
      </c>
      <c r="D65" s="48" t="n">
        <v>46287</v>
      </c>
      <c r="E65" s="48" t="n">
        <v>46287</v>
      </c>
      <c r="F65" t="inlineStr">
        <is>
          <t>PI P3070-o228/07</t>
        </is>
      </c>
      <c r="G65" t="inlineStr">
        <is>
          <t>alvo asin-expanded="B09YDLC69D"</t>
        </is>
      </c>
      <c r="H65" t="inlineStr">
        <is>
          <t>PAUSAR ALVO</t>
        </is>
      </c>
      <c r="I65" t="inlineStr">
        <is>
          <t>Ativo, lance R$ 1,10</t>
        </is>
      </c>
      <c r="J65" t="inlineStr">
        <is>
          <t>Pausado</t>
        </is>
      </c>
      <c r="K65" t="inlineStr">
        <is>
          <t>Régua formal de PI: 16 cliques vitalícios, R$ 21,64, 2.896 impressões, 0 compra (export vitalício confirmado pelo LEO em 22/09). 10 cliques em 30d. Só o alvo; a campanha segue</t>
        </is>
      </c>
      <c r="L65" t="inlineStr">
        <is>
          <t>ciclos/O6-22-09.md + relatorios/amazon/o6-22-09/ (export 10-21_09, recorrentes 30d 22/08–20/09, exports vitalícios de alvos, segmentação da Geral na Era, BR 10–20/09)</t>
        </is>
      </c>
      <c r="M65" t="inlineStr">
        <is>
          <t>ALTA</t>
        </is>
      </c>
      <c r="N65" t="inlineStr">
        <is>
          <t>SIM</t>
        </is>
      </c>
      <c r="O65" s="46" t="inlineStr">
        <is>
          <t>SIM</t>
        </is>
      </c>
      <c r="P65" s="46" t="inlineStr">
        <is>
          <t>EXECUTADA - AVALIADA</t>
        </is>
      </c>
      <c r="Q65" s="18">
        <f>IF(E65="","",E65+1)</f>
        <v/>
      </c>
      <c r="R65" s="19">
        <f>IF(E65="","",TODAY()-E65)</f>
        <v/>
      </c>
      <c r="S65" t="inlineStr">
        <is>
          <t>alvo B09YDLC69D pausado; 16 cli vit / 0 congelados</t>
        </is>
      </c>
      <c r="T65" t="inlineStr">
        <is>
          <t>MANTIDA</t>
        </is>
      </c>
      <c r="U65" t="inlineStr">
        <is>
          <t>—</t>
        </is>
      </c>
      <c r="V65" t="inlineStr">
        <is>
          <t>Os 4 alvos em triagem na O5 não converteram. A venda de 15/09 veio do alvo próprio asin-expanded="B0H63FKGPJ" (termo "lixeira inox 60l")</t>
        </is>
      </c>
    </row>
    <row r="66">
      <c r="A66" t="inlineStr">
        <is>
          <t>O6-004</t>
        </is>
      </c>
      <c r="B66" t="inlineStr">
        <is>
          <t>O6</t>
        </is>
      </c>
      <c r="C66" s="48" t="n">
        <v>46287</v>
      </c>
      <c r="D66" s="48" t="n">
        <v>46287</v>
      </c>
      <c r="E66" s="48" t="n">
        <v>46287</v>
      </c>
      <c r="F66" t="inlineStr">
        <is>
          <t>PI P3070-o228/07</t>
        </is>
      </c>
      <c r="G66" t="inlineStr">
        <is>
          <t>campanha</t>
        </is>
      </c>
      <c r="H66" t="inlineStr">
        <is>
          <t>VIGIA — gatilho re-armado (sem mexida de lance)</t>
        </is>
      </c>
      <c r="I66" t="inlineStr">
        <is>
          <t>Congelada; gatilho O5-011 desarmado em 15/09</t>
        </is>
      </c>
      <c r="J66" t="inlineStr">
        <is>
          <t>Ativa, lances mantidos (asin-expanded 1,10 / asin 0,90). GATILHO O7: 0 venda atribuída na Era O6→O7 E ≥15 cliques → REDUZIR −20% nos asin-expanded (1,10 → 0,88)</t>
        </is>
      </c>
      <c r="K66" t="inlineStr">
        <is>
          <t>Era: 52 cli, R$ 71,10 (39,7% do gasto da conta), 1 compra R$ 616,18 no alvo próprio, ACOS 11,5%, CTR 0,15%; ≥50 cliques em alvos de terceiros sem venda. Vitalício: 154 cli, R$ 183,50, 2 compras, R$ 1.232,36 (ACOS 14,9%); 149 cliques em alvos sem compra. Break-even do SKU ≈ 25,8%. Entrega dobrou (42.073 impr em 30d = 27% da conta)</t>
        </is>
      </c>
      <c r="L66" t="inlineStr">
        <is>
          <t>ciclos/O6-22-09.md + relatorios/amazon/o6-22-09/ (export 10-21_09, recorrentes 30d 22/08–20/09, exports vitalícios de alvos, segmentação da Geral na Era, BR 10–20/09)</t>
        </is>
      </c>
      <c r="M66" t="inlineStr">
        <is>
          <t>MÉDIA</t>
        </is>
      </c>
      <c r="N66" t="inlineStr">
        <is>
          <t>SIM</t>
        </is>
      </c>
      <c r="O66" s="46" t="inlineStr">
        <is>
          <t>SIM</t>
        </is>
      </c>
      <c r="P66" s="46" t="inlineStr">
        <is>
          <t>EXECUTADA - AVALIADA</t>
        </is>
      </c>
      <c r="Q66" s="18">
        <f>IF(E66="","",E66+1)</f>
        <v/>
      </c>
      <c r="R66" s="19">
        <f>IF(E66="","",TODAY()-E66)</f>
        <v/>
      </c>
      <c r="S66" t="inlineStr">
        <is>
          <t>PI P3070 na Era: 70 cli · R$ 89,35 · 1 venda (30/09, alvo B0CTMZHJFJ) · ACOS 14,5%</t>
        </is>
      </c>
      <c r="T66" t="inlineStr">
        <is>
          <t>GATILHO NÃO DISPAROU — lances mantidos; alvo B0CYWMQ93Y → O7-003</t>
        </is>
      </c>
      <c r="U66" s="48" t="n">
        <v>46322</v>
      </c>
      <c r="V66" t="inlineStr">
        <is>
          <t>Não promover a ESCALAR por uma venda. Triagem (5–14 vit / 0): B0CYWMQ93Y 11 · B0BHMZBZW9 7 · B0BSNVT11K 5 · B0F4T8FCDD 5 · B0778TD2LY 5. ⚠️ A Era O6→O7 (23/09–12/10) contém o Prime Day com oferta no P3070 — ler o gatilho descontando 05–11/10</t>
        </is>
      </c>
    </row>
    <row r="67">
      <c r="A67" t="inlineStr">
        <is>
          <t>O6-005</t>
        </is>
      </c>
      <c r="B67" t="inlineStr">
        <is>
          <t>O6</t>
        </is>
      </c>
      <c r="C67" s="48" t="n">
        <v>46287</v>
      </c>
      <c r="D67" s="48" t="n">
        <v>46287</v>
      </c>
      <c r="E67" s="48" t="n">
        <v>46287</v>
      </c>
      <c r="F67" t="inlineStr">
        <is>
          <t>Geral DBA-o59/09</t>
        </is>
      </c>
      <c r="G67" t="inlineStr">
        <is>
          <t>segmentação loose-match / Correspondência vaga</t>
        </is>
      </c>
      <c r="H67" t="inlineStr">
        <is>
          <t>REDUZIR LANCE</t>
        </is>
      </c>
      <c r="I67" s="64" t="n">
        <v>0.54</v>
      </c>
      <c r="J67" t="inlineStr">
        <is>
          <t>R$ 0,45 (−17%)</t>
        </is>
      </c>
      <c r="K67" t="inlineStr">
        <is>
          <t>Era (segmentação filtrada 10–21/09): 9.862 impr, 70 cli, R$ 45,57 = 60,3% do gasto da Geral, 1 compra R$ 132,90, ACOS 34,3% (acima do Máximo). 30d: R$ 161,97 = 56,6%, 237 cli, 2 compras, ACOS 60,9% (acima da Emergência). Simétrico à O5-001</t>
        </is>
      </c>
      <c r="L67" t="inlineStr">
        <is>
          <t>ciclos/O6-22-09.md + relatorios/amazon/o6-22-09/ (export 10-21_09, recorrentes 30d 22/08–20/09, exports vitalícios de alvos, segmentação da Geral na Era, BR 10–20/09)</t>
        </is>
      </c>
      <c r="M67" t="inlineStr">
        <is>
          <t>ALTA</t>
        </is>
      </c>
      <c r="N67" t="inlineStr">
        <is>
          <t>SIM</t>
        </is>
      </c>
      <c r="O67" s="46" t="inlineStr">
        <is>
          <t>SIM</t>
        </is>
      </c>
      <c r="P67" s="46" t="inlineStr">
        <is>
          <t>EXECUTADA - AVALIADA</t>
        </is>
      </c>
      <c r="Q67" s="18">
        <f>IF(E67="","",E67+1)</f>
        <v/>
      </c>
      <c r="R67" s="19">
        <f>IF(E67="","",TODAY()-E67)</f>
        <v/>
      </c>
      <c r="S67" t="inlineStr">
        <is>
          <t>loose-match a 0,45: 153 cli · R$ 96,49 · 4 compras · ACOS 9,4% (30d); era o dreno de 60% do custo</t>
        </is>
      </c>
      <c r="T67" t="inlineStr">
        <is>
          <t>POSITIVO — mantido em 0,45</t>
        </is>
      </c>
      <c r="U67" s="48" t="n">
        <v>46322</v>
      </c>
      <c r="V67" t="inlineStr">
        <is>
          <t>⚠️ Identificar pela linha de 70 cliques / R$ 45,57, NÃO pelo nome: Correspondência vaga = loose-match. Executar depois das pausas e tirar export pós-execução. Ler junto com O5-001/002 (ambas POSITIVAS)</t>
        </is>
      </c>
    </row>
    <row r="68">
      <c r="A68" t="inlineStr">
        <is>
          <t>O6-006</t>
        </is>
      </c>
      <c r="B68" t="inlineStr">
        <is>
          <t>O6</t>
        </is>
      </c>
      <c r="C68" s="48" t="n">
        <v>46287</v>
      </c>
      <c r="D68" s="48" t="n">
        <v>46287</v>
      </c>
      <c r="E68" s="48" t="n">
        <v>46287</v>
      </c>
      <c r="F68" t="inlineStr">
        <is>
          <t>Geral DBA-o59/09</t>
        </is>
      </c>
      <c r="G68" t="inlineStr">
        <is>
          <t>produto Q2460-B (B0H7YNMBBK)</t>
        </is>
      </c>
      <c r="H68" t="inlineStr">
        <is>
          <t>VIGIA — gatilho 28/09</t>
        </is>
      </c>
      <c r="I68" t="inlineStr">
        <is>
          <t>Anunciado na Geral; desconto no preço 5% sem preço riscado até 27/09</t>
        </is>
      </c>
      <c r="J68" t="inlineStr">
        <is>
          <t>Sem mudança até 27/09. GATILHO 28/09: 0 venda na semana de desconto → PAUSAR o anúncio do Q2460-B dentro da Geral (nível produto) até revisão de página; com venda → manter e reler na O7</t>
        </is>
      </c>
      <c r="K68" t="inlineStr">
        <is>
          <t>30d (Produtos Anunciados): 3.634 impr, 69 cli, R$ 45,78 = 16% do gasto da Geral, 0 venda. BR 10–20/09: 27 sessões / 0 un. Zero conversão crônica desde 26/08. Concorrente comparável na mesma página (Tramontina pedal 30 L a R$ 199,97, 1.555 avaliações) reforça hipótese de preço/oferta</t>
        </is>
      </c>
      <c r="L68" t="inlineStr">
        <is>
          <t>ciclos/O6-22-09.md + relatorios/amazon/o6-22-09/ (export 10-21_09, recorrentes 30d 22/08–20/09, exports vitalícios de alvos, segmentação da Geral na Era, BR 10–20/09)</t>
        </is>
      </c>
      <c r="M68" t="inlineStr">
        <is>
          <t>MÉDIA</t>
        </is>
      </c>
      <c r="N68" t="inlineStr">
        <is>
          <t>SIM</t>
        </is>
      </c>
      <c r="O68" s="46" t="inlineStr">
        <is>
          <t>SIM</t>
        </is>
      </c>
      <c r="P68" s="46" t="inlineStr">
        <is>
          <t>EXECUTADA - AVALIADA</t>
        </is>
      </c>
      <c r="Q68" s="18">
        <f>IF(E68="","",E68+1)</f>
        <v/>
      </c>
      <c r="R68" s="19">
        <f>IF(E68="","",TODAY()-E68)</f>
        <v/>
      </c>
      <c r="S68" t="inlineStr">
        <is>
          <t>Q2460-B pausado na Geral em 28/09; BR 19 → 1 sessão por bloco</t>
        </is>
      </c>
      <c r="T68" t="inlineStr">
        <is>
          <t>CONFIRMADA — SKU vai à fila de página</t>
        </is>
      </c>
      <c r="U68" t="inlineStr">
        <is>
          <t>—</t>
        </is>
      </c>
      <c r="V68" t="inlineStr">
        <is>
          <t>Não mexer antes de 27/09 para não contaminar o teste de desconto (EC-011). Tráfego por ASIN do SKU pendente de validação (B08D8R4GZQ 7 cli, B076T9QLJS 5)</t>
        </is>
      </c>
    </row>
    <row r="69">
      <c r="A69" t="inlineStr">
        <is>
          <t>O6-007</t>
        </is>
      </c>
      <c r="B69" t="inlineStr">
        <is>
          <t>O6</t>
        </is>
      </c>
      <c r="C69" s="48" t="n">
        <v>46287</v>
      </c>
      <c r="D69" s="48" t="n">
        <v>46287</v>
      </c>
      <c r="E69" s="48" t="n">
        <v>46287</v>
      </c>
      <c r="F69" t="inlineStr">
        <is>
          <t>6B Lixeiras banheiro [O4 25/08]</t>
        </is>
      </c>
      <c r="G69" t="inlineStr">
        <is>
          <t>O5-013 — exata "lixeira banheiro 10 com tampa"</t>
        </is>
      </c>
      <c r="H69" t="inlineStr">
        <is>
          <t>CANCELAR (evidência retirada)</t>
        </is>
      </c>
      <c r="I69" t="inlineStr">
        <is>
          <t>BLOQUEADA - CONFERIR ESTADO</t>
        </is>
      </c>
      <c r="J69" t="inlineStr">
        <is>
          <t>CANCELADA — nada a promover</t>
        </is>
      </c>
      <c r="K69" t="inlineStr">
        <is>
          <t>A única evidência (venda L2030-T R$ 143,13 em 01/09, close-match) foi DEVOLVIDA (aprovada 17/09). O termo volta à triagem normal</t>
        </is>
      </c>
      <c r="L69" t="inlineStr">
        <is>
          <t>ciclos/O6-22-09.md + relatorios/amazon/o6-22-09/ (export 10-21_09, recorrentes 30d 22/08–20/09, exports vitalícios de alvos, segmentação da Geral na Era, BR 10–20/09)</t>
        </is>
      </c>
      <c r="M69" t="inlineStr">
        <is>
          <t>ALTA</t>
        </is>
      </c>
      <c r="N69" t="inlineStr">
        <is>
          <t>SIM</t>
        </is>
      </c>
      <c r="O69" s="46" t="inlineStr">
        <is>
          <t>SIM</t>
        </is>
      </c>
      <c r="P69" s="46" t="inlineStr">
        <is>
          <t>EXECUTADA - AVALIADA</t>
        </is>
      </c>
      <c r="Q69" s="18">
        <f>IF(E69="","",E69+1)</f>
        <v/>
      </c>
      <c r="R69" s="19">
        <f>IF(E69="","",TODAY()-E69)</f>
        <v/>
      </c>
      <c r="S69" t="inlineStr">
        <is>
          <t>O5-013 cancelada em 22/09; nada a promover</t>
        </is>
      </c>
      <c r="T69" t="inlineStr">
        <is>
          <t xml:space="preserve">ENCERRADA </t>
        </is>
      </c>
      <c r="U69" t="inlineStr">
        <is>
          <t>—</t>
        </is>
      </c>
      <c r="V69" t="inlineStr">
        <is>
          <t>A atribuição Ads não subtrai devoluções: a venda segue contando nas vendas atribuídas da close-match em 30d</t>
        </is>
      </c>
    </row>
    <row r="70">
      <c r="A70" t="inlineStr">
        <is>
          <t>O6-008</t>
        </is>
      </c>
      <c r="B70" t="inlineStr">
        <is>
          <t>O6</t>
        </is>
      </c>
      <c r="C70" s="48" t="n">
        <v>46287</v>
      </c>
      <c r="D70" s="48" t="n">
        <v>46287</v>
      </c>
      <c r="E70" s="48" t="n">
        <v>46287</v>
      </c>
      <c r="F70" t="inlineStr">
        <is>
          <t>6B Lixeiras banheiro [O4 25/08]</t>
        </is>
      </c>
      <c r="G70" t="inlineStr">
        <is>
          <t>exata "lixeira inox para pia de cozinha"</t>
        </is>
      </c>
      <c r="H70" t="inlineStr">
        <is>
          <t>VIGIA</t>
        </is>
      </c>
      <c r="I70" t="inlineStr">
        <is>
          <t>Exata R$ 1,50, dinâmico (piloto)</t>
        </is>
      </c>
      <c r="J70" t="inlineStr">
        <is>
          <t>Sem mudança. GATILHO O7: ≥15 cliques sem venda → REDUZIR −20% (1,50 → 1,20) ou pausar a keyword</t>
        </is>
      </c>
      <c r="K70" t="inlineStr">
        <is>
          <t>30d: 778 impr, 13 cli, R$ 22,97 (63% do gasto da campanha), 0 venda. Hipótese: termo de intenção "pia" (bins pequenos) servido por SKUs de 7–15 L; o L1618-T (3 L, "para pia") não está no grupo</t>
        </is>
      </c>
      <c r="L70" t="inlineStr">
        <is>
          <t>ciclos/O6-22-09.md + relatorios/amazon/o6-22-09/ (export 10-21_09, recorrentes 30d 22/08–20/09, exports vitalícios de alvos, segmentação da Geral na Era, BR 10–20/09)</t>
        </is>
      </c>
      <c r="M70" t="inlineStr">
        <is>
          <t>MÉDIA</t>
        </is>
      </c>
      <c r="N70" t="inlineStr">
        <is>
          <t>SIM</t>
        </is>
      </c>
      <c r="O70" s="46" t="inlineStr">
        <is>
          <t>SIM</t>
        </is>
      </c>
      <c r="P70" s="46" t="inlineStr">
        <is>
          <t>EXECUTADA - AVALIADA</t>
        </is>
      </c>
      <c r="Q70" s="18">
        <f>IF(E70="","",E70+1)</f>
        <v/>
      </c>
      <c r="R70" s="19">
        <f>IF(E70="","",TODAY()-E70)</f>
        <v/>
      </c>
      <c r="S70" t="inlineStr">
        <is>
          <t>exata "lixeira inox para pia de cozinha": 14 cli / R$ 16,18 / 0 em 30d</t>
        </is>
      </c>
      <c r="T70" t="inlineStr">
        <is>
          <t>GATILHO DISPAROU em 19/10 (32 cli vit / 0) → EC-021: exata pausada</t>
        </is>
      </c>
      <c r="U70" s="48" t="inlineStr">
        <is>
          <t>—</t>
        </is>
      </c>
      <c r="V70" t="inlineStr">
        <is>
          <t>Não adicionar produto no meio do piloto (regra da O5-013). Testar a hipótese só depois do veredito do piloto</t>
        </is>
      </c>
    </row>
    <row r="71">
      <c r="A71" t="inlineStr">
        <is>
          <t>O6-009</t>
        </is>
      </c>
      <c r="B71" t="inlineStr">
        <is>
          <t>O6</t>
        </is>
      </c>
      <c r="C71" s="48" t="n">
        <v>46287</v>
      </c>
      <c r="D71" s="48" t="n">
        <v>46287</v>
      </c>
      <c r="E71" s="48" t="n">
        <v>46287</v>
      </c>
      <c r="F71" t="inlineStr">
        <is>
          <t>6B Lixeiras banheiro [O4 25/08]</t>
        </is>
      </c>
      <c r="G71" t="inlineStr">
        <is>
          <t>O5-014 — SKU L2025-B no grupo</t>
        </is>
      </c>
      <c r="H71" t="inlineStr">
        <is>
          <t>MANTER (O5-014 fechada sem ação)</t>
        </is>
      </c>
      <c r="I71" t="inlineStr">
        <is>
          <t>L2025-B no grupo</t>
        </is>
      </c>
      <c r="J71" t="inlineStr">
        <is>
          <t>Sem mudança</t>
        </is>
      </c>
      <c r="K71" t="inlineStr">
        <is>
          <t>30d: perna L2025-B do termo "lixeira banheiro 7 litros" com 3 cli, R$ 5,34, 0 venda — sem clique novo desde a O5. Amostra não mudou</t>
        </is>
      </c>
      <c r="L71" t="inlineStr">
        <is>
          <t>ciclos/O6-22-09.md + relatorios/amazon/o6-22-09/ (export 10-21_09, recorrentes 30d 22/08–20/09, exports vitalícios de alvos, segmentação da Geral na Era, BR 10–20/09)</t>
        </is>
      </c>
      <c r="M71" t="inlineStr">
        <is>
          <t>MÉDIA</t>
        </is>
      </c>
      <c r="N71" t="inlineStr">
        <is>
          <t>SIM</t>
        </is>
      </c>
      <c r="O71" s="46" t="inlineStr">
        <is>
          <t>SIM</t>
        </is>
      </c>
      <c r="P71" s="46" t="inlineStr">
        <is>
          <t>EXECUTADA - AVALIADA</t>
        </is>
      </c>
      <c r="Q71" s="18">
        <f>IF(E71="","",E71+1)</f>
        <v/>
      </c>
      <c r="R71" s="19">
        <f>IF(E71="","",TODAY()-E71)</f>
        <v/>
      </c>
      <c r="S71" t="inlineStr">
        <is>
          <t>L2025-B segue no grupo da 6B; exatas da 6B sem venda em 30d</t>
        </is>
      </c>
      <c r="T71" t="inlineStr">
        <is>
          <t xml:space="preserve">MANTIDA </t>
        </is>
      </c>
      <c r="U71" t="inlineStr">
        <is>
          <t>—</t>
        </is>
      </c>
      <c r="V71" t="inlineStr">
        <is>
          <t>grupo recebe a exata "lixo banheiro" (O7-007)</t>
        </is>
      </c>
    </row>
    <row r="72">
      <c r="A72" t="inlineStr">
        <is>
          <t>O6-010</t>
        </is>
      </c>
      <c r="B72" t="inlineStr">
        <is>
          <t>O6</t>
        </is>
      </c>
      <c r="C72" s="48" t="n">
        <v>46287</v>
      </c>
      <c r="D72" s="48" t="n">
        <v>46287</v>
      </c>
      <c r="E72" s="48" t="n">
        <v>46287</v>
      </c>
      <c r="F72" t="inlineStr">
        <is>
          <t>6B · L3070-B (piloto) · Extintor · Cinzeiros · Bituqueiras (controle)</t>
        </is>
      </c>
      <c r="G72" t="inlineStr">
        <is>
          <t>estratégia de lances — piloto O4-014 / O5-009</t>
        </is>
      </c>
      <c r="H72" t="inlineStr">
        <is>
          <t>MANTER (piloto +1 Era)</t>
        </is>
      </c>
      <c r="I72" t="inlineStr">
        <is>
          <t>6B e L3070-B dinâmicas (aumento e redução); Extintor, Cinzeiros, Bituqueiras fixas</t>
        </is>
      </c>
      <c r="J72" t="inlineStr">
        <is>
          <t>Sem mudança. Encerrar o piloto na O7 se a Era O6→O7 repetir zero diferença (voltar 6B e L3070-B ao fixo)</t>
        </is>
      </c>
      <c r="K72" t="inlineStr">
        <is>
          <t>Veredito da O6: INCONCLUSIVO. Era: 6B 7 cli / R$ 13,59 / 0 venda / CPC 1,94 (vs 11 cli / 1 venda / CPC 1,60 na Era da O5); L3070-B 0 cli (vs 0 com fixo). Controles: Extintor 0, Cinzeiros 1, Bituqueiras 0 cli. Nenhuma evidência de que dinâmico compra leilão que o fixo perde</t>
        </is>
      </c>
      <c r="L72" t="inlineStr">
        <is>
          <t>ciclos/O6-22-09.md + relatorios/amazon/o6-22-09/ (export 10-21_09, recorrentes 30d 22/08–20/09, exports vitalícios de alvos, segmentação da Geral na Era, BR 10–20/09)</t>
        </is>
      </c>
      <c r="M72" t="inlineStr">
        <is>
          <t>MÉDIA</t>
        </is>
      </c>
      <c r="N72" t="inlineStr">
        <is>
          <t>SIM</t>
        </is>
      </c>
      <c r="O72" s="46" t="inlineStr">
        <is>
          <t>SIM</t>
        </is>
      </c>
      <c r="P72" s="46" t="inlineStr">
        <is>
          <t>EXECUTADA - AVALIADA</t>
        </is>
      </c>
      <c r="Q72" s="18">
        <f>IF(E72="","",E72+1)</f>
        <v/>
      </c>
      <c r="R72" s="19">
        <f>IF(E72="","",TODAY()-E72)</f>
        <v/>
      </c>
      <c r="S72" t="inlineStr">
        <is>
          <t>Piloto +1 Era: 6B 12 cli/0, L3070-B 2 cli/0; controle 0–1 cli</t>
        </is>
      </c>
      <c r="T72" t="inlineStr">
        <is>
          <t>SEM EFEITO — encerrar (O7-006)</t>
        </is>
      </c>
      <c r="U72" t="inlineStr">
        <is>
          <t>—</t>
        </is>
      </c>
      <c r="V72" t="inlineStr">
        <is>
          <t>A EGC sai do grupo de controle (pausada em O6-002)</t>
        </is>
      </c>
    </row>
    <row r="73">
      <c r="A73" t="inlineStr">
        <is>
          <t>O6-011</t>
        </is>
      </c>
      <c r="B73" t="inlineStr">
        <is>
          <t>O6</t>
        </is>
      </c>
      <c r="C73" s="48" t="n">
        <v>46287</v>
      </c>
      <c r="D73" s="48" t="n">
        <v>46287</v>
      </c>
      <c r="E73" s="48" t="n"/>
      <c r="F73" t="inlineStr">
        <is>
          <t>Prime Day 05–11/10 — Melhor Oferta</t>
        </is>
      </c>
      <c r="G73" t="inlineStr">
        <is>
          <t>PXM (B0H4S3FHG6) — desconto 10%</t>
        </is>
      </c>
      <c r="H73" t="inlineStr">
        <is>
          <t>CRIAR OFERTA</t>
        </is>
      </c>
      <c r="I73" t="inlineStr">
        <is>
          <t>Preço de tabela R$ 203,54</t>
        </is>
      </c>
      <c r="J73" t="inlineStr">
        <is>
          <t>Melhor Oferta −10% → R$ 183,19 · 05–11/10</t>
        </is>
      </c>
      <c r="K73" t="inlineStr">
        <is>
          <t>Converteu no 9.9 (3 un a −15%). Margem no preço da oferta 15,0% (Simulador SP Interior; piso 15%). Mínimo do evento 10% (LEO). Desconto no preço (EC-010) encerra 27/09 — sem empilhamento</t>
        </is>
      </c>
      <c r="L73" t="inlineStr">
        <is>
          <t>ciclos/O6-22-09.md + relatorios/amazon/o6-22-09/ (export 10-21_09, recorrentes 30d 22/08–20/09, exports vitalícios de alvos, segmentação da Geral na Era, BR 10–20/09)</t>
        </is>
      </c>
      <c r="M73" t="inlineStr">
        <is>
          <t>MÉDIA</t>
        </is>
      </c>
      <c r="N73" t="inlineStr">
        <is>
          <t>SIM</t>
        </is>
      </c>
      <c r="O73" s="46" t="inlineStr">
        <is>
          <t>NÃO</t>
        </is>
      </c>
      <c r="P73" s="46" t="inlineStr">
        <is>
          <t>APROVADA - NÃO EXECUTADA</t>
        </is>
      </c>
      <c r="Q73" s="18">
        <f>IF(E73="","",E73+1)</f>
        <v/>
      </c>
      <c r="R73" s="19">
        <f>IF(E73="","",TODAY()-E73)</f>
        <v/>
      </c>
      <c r="S73" t="inlineStr">
        <is>
          <t>PXM nunca entrou na lista de Melhor Oferta</t>
        </is>
      </c>
      <c r="T73" t="inlineStr">
        <is>
          <t>NÃO ELEGÍVEL — substituída pelo desconto comum (EC-020), 0 venda</t>
        </is>
      </c>
      <c r="U73" t="inlineStr">
        <is>
          <t>—</t>
        </is>
      </c>
      <c r="V73" t="inlineStr">
        <is>
          <t>não elegível na lista de 22/09; reconferir 28/09</t>
        </is>
      </c>
    </row>
    <row r="74">
      <c r="A74" t="inlineStr">
        <is>
          <t>O6-012</t>
        </is>
      </c>
      <c r="B74" t="inlineStr">
        <is>
          <t>O6</t>
        </is>
      </c>
      <c r="C74" s="48" t="n">
        <v>46287</v>
      </c>
      <c r="D74" s="48" t="n">
        <v>46287</v>
      </c>
      <c r="E74" s="48" t="n"/>
      <c r="F74" t="inlineStr">
        <is>
          <t>Prime Day 05–11/10 — Melhor Oferta</t>
        </is>
      </c>
      <c r="G74" t="inlineStr">
        <is>
          <t>PG2460 (B0H5MDZQDG) — desconto 10%</t>
        </is>
      </c>
      <c r="H74" t="inlineStr">
        <is>
          <t>CRIAR OFERTA</t>
        </is>
      </c>
      <c r="I74" t="inlineStr">
        <is>
          <t>Preço de tabela R$ 248,75</t>
        </is>
      </c>
      <c r="J74" t="inlineStr">
        <is>
          <t>Melhor Oferta −10% → R$ 223,88 · 05–11/10</t>
        </is>
      </c>
      <c r="K74" t="inlineStr">
        <is>
          <t>Converteu no 9.9 (1 un a −10%). Margem 16,7% (Simulador SP Interior). EC-014 encerra 27/09</t>
        </is>
      </c>
      <c r="L74" t="inlineStr">
        <is>
          <t>ciclos/O6-22-09.md + relatorios/amazon/o6-22-09/ (export 10-21_09, recorrentes 30d 22/08–20/09, exports vitalícios de alvos, segmentação da Geral na Era, BR 10–20/09)</t>
        </is>
      </c>
      <c r="M74" t="inlineStr">
        <is>
          <t>MÉDIA</t>
        </is>
      </c>
      <c r="N74" t="inlineStr">
        <is>
          <t>SIM</t>
        </is>
      </c>
      <c r="O74" s="46" t="inlineStr">
        <is>
          <t>NÃO</t>
        </is>
      </c>
      <c r="P74" s="46" t="inlineStr">
        <is>
          <t>APROVADA - NÃO EXECUTADA</t>
        </is>
      </c>
      <c r="Q74" s="18">
        <f>IF(E74="","",E74+1)</f>
        <v/>
      </c>
      <c r="R74" s="19">
        <f>IF(E74="","",TODAY()-E74)</f>
        <v/>
      </c>
      <c r="S74" t="inlineStr">
        <is>
          <t>PG2460 não elegível; sem preço de referência</t>
        </is>
      </c>
      <c r="T74" t="inlineStr">
        <is>
          <t>NÃO ELEGÍVEL</t>
        </is>
      </c>
      <c r="U74" t="inlineStr">
        <is>
          <t>—</t>
        </is>
      </c>
      <c r="V74" t="inlineStr">
        <is>
          <t>não elegível na lista de 22/09; reconferir 28/09</t>
        </is>
      </c>
    </row>
    <row r="75">
      <c r="A75" t="inlineStr">
        <is>
          <t>O6-013</t>
        </is>
      </c>
      <c r="B75" t="inlineStr">
        <is>
          <t>O6</t>
        </is>
      </c>
      <c r="C75" s="48" t="n">
        <v>46287</v>
      </c>
      <c r="D75" s="48" t="n">
        <v>46287</v>
      </c>
      <c r="E75" s="48" t="n">
        <v>46287</v>
      </c>
      <c r="F75" t="inlineStr">
        <is>
          <t>Prime Day 05–11/10 — Melhor Oferta</t>
        </is>
      </c>
      <c r="G75" t="inlineStr">
        <is>
          <t>P3070 (B0H63FKGPJ) — desconto 15%</t>
        </is>
      </c>
      <c r="H75" t="inlineStr">
        <is>
          <t>CRIAR OFERTA</t>
        </is>
      </c>
      <c r="I75" t="inlineStr">
        <is>
          <t>Preço de tabela R$ 616,18</t>
        </is>
      </c>
      <c r="J75" t="inlineStr">
        <is>
          <t>Melhor Oferta −15% → R$ 523,75 · 05–11/10</t>
        </is>
      </c>
      <c r="K75" t="inlineStr">
        <is>
          <t>66 sessões em 10–20/09 (2º maior tráfego), margem 16,9% no preço da oferta (desconto máximo no piso 17,6%). Não está no desconto no preço</t>
        </is>
      </c>
      <c r="L75" t="inlineStr">
        <is>
          <t>ciclos/O6-22-09.md + relatorios/amazon/o6-22-09/ (export 10-21_09, recorrentes 30d 22/08–20/09, exports vitalícios de alvos, segmentação da Geral na Era, BR 10–20/09)</t>
        </is>
      </c>
      <c r="M75" t="inlineStr">
        <is>
          <t>MÉDIA</t>
        </is>
      </c>
      <c r="N75" t="inlineStr">
        <is>
          <t>SIM</t>
        </is>
      </c>
      <c r="O75" s="46" t="inlineStr">
        <is>
          <t>SIM</t>
        </is>
      </c>
      <c r="P75" s="46" t="inlineStr">
        <is>
          <t>EXECUTADA - AVALIADA</t>
        </is>
      </c>
      <c r="Q75" s="18">
        <f>IF(E75="","",E75+1)</f>
        <v/>
      </c>
      <c r="R75" s="19">
        <f>IF(E75="","",TODAY()-E75)</f>
        <v/>
      </c>
      <c r="S75" t="inlineStr">
        <is>
          <t>Melhor Oferta P3070 15%: 124 visualizações · 1 un · R$ 523,75 · 0,8%; BR 108 sessões na semana</t>
        </is>
      </c>
      <c r="T75" t="inlineStr">
        <is>
          <t>POSITIVO FRACO — tráfego sim, 1 conversão; repetir só com selo de evento</t>
        </is>
      </c>
      <c r="U75" t="inlineStr">
        <is>
          <t>—</t>
        </is>
      </c>
      <c r="V75" t="inlineStr">
        <is>
          <t>⚠️ Contamina a leitura de Ads da PI P3070 em 05–11/10 — descontar no gatilho O6-004</t>
        </is>
      </c>
    </row>
    <row r="76">
      <c r="A76" t="inlineStr">
        <is>
          <t>O6-014</t>
        </is>
      </c>
      <c r="B76" t="inlineStr">
        <is>
          <t>O6</t>
        </is>
      </c>
      <c r="C76" s="48" t="n">
        <v>46287</v>
      </c>
      <c r="D76" s="48" t="n">
        <v>46287</v>
      </c>
      <c r="E76" s="48" t="n"/>
      <c r="F76" t="inlineStr">
        <is>
          <t>Prime Day 05–11/10 — Melhor Oferta</t>
        </is>
      </c>
      <c r="G76" t="inlineStr">
        <is>
          <t>P3060 (B0H4NLBG1Y) — desconto 15%</t>
        </is>
      </c>
      <c r="H76" t="inlineStr">
        <is>
          <t>CRIAR OFERTA</t>
        </is>
      </c>
      <c r="I76" t="inlineStr">
        <is>
          <t>Preço de tabela R$ 511,42</t>
        </is>
      </c>
      <c r="J76" t="inlineStr">
        <is>
          <t>Melhor Oferta −15% → R$ 434,71 · 05–11/10</t>
        </is>
      </c>
      <c r="K76" t="inlineStr">
        <is>
          <t>18 sessões, maior folga do catálogo entre os com tráfego: margem 19,4% (máx. no piso 21,0%). EC-013 (10%) encerra 27/09</t>
        </is>
      </c>
      <c r="L76" t="inlineStr">
        <is>
          <t>ciclos/O6-22-09.md + relatorios/amazon/o6-22-09/ (export 10-21_09, recorrentes 30d 22/08–20/09, exports vitalícios de alvos, segmentação da Geral na Era, BR 10–20/09)</t>
        </is>
      </c>
      <c r="M76" t="inlineStr">
        <is>
          <t>MÉDIA</t>
        </is>
      </c>
      <c r="N76" t="inlineStr">
        <is>
          <t>SIM</t>
        </is>
      </c>
      <c r="O76" s="46" t="inlineStr">
        <is>
          <t>NÃO</t>
        </is>
      </c>
      <c r="P76" s="46" t="inlineStr">
        <is>
          <t>APROVADA - NÃO EXECUTADA</t>
        </is>
      </c>
      <c r="Q76" s="18">
        <f>IF(E76="","",E76+1)</f>
        <v/>
      </c>
      <c r="R76" s="19">
        <f>IF(E76="","",TODAY()-E76)</f>
        <v/>
      </c>
      <c r="S76" t="inlineStr">
        <is>
          <t>P3060 não elegível; no desconto comum: 12 sessões / 0</t>
        </is>
      </c>
      <c r="T76" t="inlineStr">
        <is>
          <t>NÃO ELEGÍVEL</t>
        </is>
      </c>
      <c r="U76" t="inlineStr">
        <is>
          <t>—</t>
        </is>
      </c>
      <c r="V76" t="inlineStr">
        <is>
          <t>não elegível na lista de 22/09; reconferir 28/09</t>
        </is>
      </c>
    </row>
    <row r="77">
      <c r="A77" t="inlineStr">
        <is>
          <t>O6-015</t>
        </is>
      </c>
      <c r="B77" t="inlineStr">
        <is>
          <t>O6</t>
        </is>
      </c>
      <c r="C77" s="48" t="n">
        <v>46287</v>
      </c>
      <c r="D77" s="48" t="n">
        <v>46287</v>
      </c>
      <c r="E77" s="48" t="n"/>
      <c r="F77" t="inlineStr">
        <is>
          <t>Prime Day 05–11/10 — Melhor Oferta</t>
        </is>
      </c>
      <c r="G77" t="inlineStr">
        <is>
          <t>P4080 (B0H63W8G49) — desconto 15%</t>
        </is>
      </c>
      <c r="H77" t="inlineStr">
        <is>
          <t>CRIAR OFERTA</t>
        </is>
      </c>
      <c r="I77" t="inlineStr">
        <is>
          <t>Preço de tabela R$ 1.070,17</t>
        </is>
      </c>
      <c r="J77" t="inlineStr">
        <is>
          <t>Melhor Oferta −15% → R$ 909,64 · 05–11/10</t>
        </is>
      </c>
      <c r="K77" t="inlineStr">
        <is>
          <t>26 sessões, maior ticket; margem 15,9% (máx. no piso 16,3%). EC-012 (10%) encerra 27/09</t>
        </is>
      </c>
      <c r="L77" t="inlineStr">
        <is>
          <t>ciclos/O6-22-09.md + relatorios/amazon/o6-22-09/ (export 10-21_09, recorrentes 30d 22/08–20/09, exports vitalícios de alvos, segmentação da Geral na Era, BR 10–20/09)</t>
        </is>
      </c>
      <c r="M77" t="inlineStr">
        <is>
          <t>MÉDIA</t>
        </is>
      </c>
      <c r="N77" t="inlineStr">
        <is>
          <t>SIM</t>
        </is>
      </c>
      <c r="O77" s="46" t="inlineStr">
        <is>
          <t>NÃO</t>
        </is>
      </c>
      <c r="P77" s="46" t="inlineStr">
        <is>
          <t>APROVADA - NÃO EXECUTADA</t>
        </is>
      </c>
      <c r="Q77" s="18">
        <f>IF(E77="","",E77+1)</f>
        <v/>
      </c>
      <c r="R77" s="19">
        <f>IF(E77="","",TODAY()-E77)</f>
        <v/>
      </c>
      <c r="S77" t="inlineStr">
        <is>
          <t>P4080 não elegível; no desconto comum: 21 sessões / 0</t>
        </is>
      </c>
      <c r="T77" t="inlineStr">
        <is>
          <t>NÃO ELEGÍVEL</t>
        </is>
      </c>
      <c r="U77" t="inlineStr">
        <is>
          <t>—</t>
        </is>
      </c>
      <c r="V77" t="inlineStr">
        <is>
          <t>não elegível na lista de 22/09; reconferir 28/09</t>
        </is>
      </c>
    </row>
    <row r="78">
      <c r="A78" t="inlineStr">
        <is>
          <t>O6-016</t>
        </is>
      </c>
      <c r="B78" t="inlineStr">
        <is>
          <t>O6</t>
        </is>
      </c>
      <c r="C78" s="48" t="n">
        <v>46287</v>
      </c>
      <c r="D78" s="48" t="n">
        <v>46287</v>
      </c>
      <c r="E78" s="48" t="n"/>
      <c r="F78" t="inlineStr">
        <is>
          <t>Prime Day 05–11/10 — Melhor Oferta</t>
        </is>
      </c>
      <c r="G78" t="inlineStr">
        <is>
          <t>P3050 (B0H6365DBF) — desconto 10%</t>
        </is>
      </c>
      <c r="H78" t="inlineStr">
        <is>
          <t>CRIAR OFERTA</t>
        </is>
      </c>
      <c r="I78" t="inlineStr">
        <is>
          <t>Preço de tabela R$ 467,67</t>
        </is>
      </c>
      <c r="J78" t="inlineStr">
        <is>
          <t>Melhor Oferta −10% → R$ 420,90 · 05–11/10</t>
        </is>
      </c>
      <c r="K78" t="inlineStr">
        <is>
          <t>Opcional (aprovado em bloco no G11): 13 sessões, margem 17,8% (máx. no piso 14,0%). EC-015 encerra 27/09</t>
        </is>
      </c>
      <c r="L78" t="inlineStr">
        <is>
          <t>ciclos/O6-22-09.md + relatorios/amazon/o6-22-09/ (export 10-21_09, recorrentes 30d 22/08–20/09, exports vitalícios de alvos, segmentação da Geral na Era, BR 10–20/09)</t>
        </is>
      </c>
      <c r="M78" t="inlineStr">
        <is>
          <t>MÉDIA</t>
        </is>
      </c>
      <c r="N78" t="inlineStr">
        <is>
          <t>SIM</t>
        </is>
      </c>
      <c r="O78" s="46" t="inlineStr">
        <is>
          <t>NÃO</t>
        </is>
      </c>
      <c r="P78" s="46" t="inlineStr">
        <is>
          <t>APROVADA - NÃO EXECUTADA</t>
        </is>
      </c>
      <c r="Q78" s="18">
        <f>IF(E78="","",E78+1)</f>
        <v/>
      </c>
      <c r="R78" s="19">
        <f>IF(E78="","",TODAY()-E78)</f>
        <v/>
      </c>
      <c r="S78" t="inlineStr">
        <is>
          <t>P3050 não elegível; no desconto comum: 11 sessões / 0</t>
        </is>
      </c>
      <c r="T78" t="inlineStr">
        <is>
          <t>NÃO ELEGÍVEL</t>
        </is>
      </c>
      <c r="U78" t="inlineStr">
        <is>
          <t>—</t>
        </is>
      </c>
      <c r="V78" t="inlineStr">
        <is>
          <t>não elegível na lista de 22/09; reconferir 28/09</t>
        </is>
      </c>
    </row>
    <row r="79">
      <c r="A79" t="inlineStr">
        <is>
          <t>O6-017</t>
        </is>
      </c>
      <c r="B79" t="inlineStr">
        <is>
          <t>O6</t>
        </is>
      </c>
      <c r="C79" s="48" t="n">
        <v>46287</v>
      </c>
      <c r="D79" s="48" t="n">
        <v>46287</v>
      </c>
      <c r="E79" s="48" t="n">
        <v>46287</v>
      </c>
      <c r="F79" t="inlineStr">
        <is>
          <t>Prime Day 05–11/10 — Melhor Oferta</t>
        </is>
      </c>
      <c r="G79" t="inlineStr">
        <is>
          <t>PXP (B0H4S7ZKXS) — desconto 10% — EXCEÇÃO AO PISO</t>
        </is>
      </c>
      <c r="H79" t="inlineStr">
        <is>
          <t>CRIAR OFERTA</t>
        </is>
      </c>
      <c r="I79" t="inlineStr">
        <is>
          <t>Preço de tabela R$ 167,89</t>
        </is>
      </c>
      <c r="J79" t="inlineStr">
        <is>
          <t>Melhor Oferta −10% → R$ 151,10 · 05–11/10</t>
        </is>
      </c>
      <c r="K79" t="inlineStr">
        <is>
          <t>EXCEÇÃO DOCUMENTADA AO PISO DE 15% (decisão do LEO, 22/09): margem no Simulador SP Interior 13,4% (máx. no piso 7,7%; mínimo do evento 10%). Base: SKU que mais converteu com oferta (3 un no 9.9 a −10%); margem realizada nos 2 pedidos reais a −10% de 08/09 = 21,2% (2 un SC Interior) e 25,2% (1 un PR Capital), porque o frete real ficou abaixo da Ref_Frete</t>
        </is>
      </c>
      <c r="L79" t="inlineStr">
        <is>
          <t>ciclos/O6-22-09.md + relatorios/amazon/o6-22-09/ (export 10-21_09, recorrentes 30d 22/08–20/09, exports vitalícios de alvos, segmentação da Geral na Era, BR 10–20/09)</t>
        </is>
      </c>
      <c r="M79" t="inlineStr">
        <is>
          <t>MÉDIA</t>
        </is>
      </c>
      <c r="N79" t="inlineStr">
        <is>
          <t>SIM</t>
        </is>
      </c>
      <c r="O79" s="46" t="inlineStr">
        <is>
          <t>SIM</t>
        </is>
      </c>
      <c r="P79" s="46" t="inlineStr">
        <is>
          <t>EXECUTADA - AVALIADA</t>
        </is>
      </c>
      <c r="Q79" s="18">
        <f>IF(E79="","",E79+1)</f>
        <v/>
      </c>
      <c r="R79" s="19">
        <f>IF(E79="","",TODAY()-E79)</f>
        <v/>
      </c>
      <c r="S79" t="inlineStr">
        <is>
          <t>Melhor Oferta PXP 10% (exceção ao piso): 23 visualizações · 0 un</t>
        </is>
      </c>
      <c r="T79" t="inlineStr">
        <is>
          <t>SEM EFEITO — exceção ao piso não se repete</t>
        </is>
      </c>
      <c r="U79" t="inlineStr">
        <is>
          <t>—</t>
        </is>
      </c>
      <c r="V79" t="inlineStr">
        <is>
          <t>Amostra de 2 pedidos — não generalizar a exceção. Ressalva do Code registrada: abaixo do piso</t>
        </is>
      </c>
    </row>
    <row r="80">
      <c r="A80" t="inlineStr">
        <is>
          <t>O6-018</t>
        </is>
      </c>
      <c r="B80" t="inlineStr">
        <is>
          <t>O6</t>
        </is>
      </c>
      <c r="C80" s="48" t="n">
        <v>46287</v>
      </c>
      <c r="D80" s="48" t="n">
        <v>46287</v>
      </c>
      <c r="E80" s="48" t="n">
        <v>46287</v>
      </c>
      <c r="F80" t="inlineStr">
        <is>
          <t>Migração de ASIN / concentração de catálogo</t>
        </is>
      </c>
      <c r="G80" t="inlineStr">
        <is>
          <t>escopo</t>
        </is>
      </c>
      <c r="H80" t="inlineStr">
        <is>
          <t>NÃO DECIDIR AINDA</t>
        </is>
      </c>
      <c r="I80" t="inlineStr">
        <is>
          <t>Pendência 7 dos Parâmetros; gate = marcação física da marca</t>
        </is>
      </c>
      <c r="J80" t="inlineStr">
        <is>
          <t>Sem decisão nesta O6</t>
        </is>
      </c>
      <c r="K80" t="inlineStr">
        <is>
          <t>Bloqueio físico (três grafias: Winnet Home &amp; Pro / WIN NET METAIS / WINNET METAIS); depende da produção e da Dianna. GS1: 2 de 3 documentos aprovados, 3º em análise</t>
        </is>
      </c>
      <c r="L80" t="inlineStr">
        <is>
          <t>ciclos/O6-22-09.md + relatorios/amazon/o6-22-09/ (export 10-21_09, recorrentes 30d 22/08–20/09, exports vitalícios de alvos, segmentação da Geral na Era, BR 10–20/09)</t>
        </is>
      </c>
      <c r="M80" t="inlineStr">
        <is>
          <t>ALTA</t>
        </is>
      </c>
      <c r="N80" t="inlineStr">
        <is>
          <t>SIM</t>
        </is>
      </c>
      <c r="O80" s="46" t="inlineStr">
        <is>
          <t>SIM</t>
        </is>
      </c>
      <c r="P80" s="46" t="inlineStr">
        <is>
          <t>EXECUTADA - AVALIADA</t>
        </is>
      </c>
      <c r="Q80" s="18">
        <f>IF(E80="","",E80+1)</f>
        <v/>
      </c>
      <c r="R80" s="19">
        <f>IF(E80="","",TODAY()-E80)</f>
        <v/>
      </c>
      <c r="S80" t="inlineStr">
        <is>
          <t>Migração: GS1 reenviado 05/10; gate físico sem data</t>
        </is>
      </c>
      <c r="T80" t="inlineStr">
        <is>
          <t>NÃO DECIDIR AINDA (mantido)</t>
        </is>
      </c>
      <c r="U80" s="48" t="inlineStr">
        <is>
          <t>O8</t>
        </is>
      </c>
      <c r="V80" t="inlineStr">
        <is>
          <t>Não gastar análise; registrar</t>
        </is>
      </c>
    </row>
    <row r="81">
      <c r="A81" t="inlineStr">
        <is>
          <t>O6-019</t>
        </is>
      </c>
      <c r="B81" t="inlineStr">
        <is>
          <t>O6</t>
        </is>
      </c>
      <c r="C81" s="48" t="n">
        <v>46287</v>
      </c>
      <c r="D81" s="48" t="n">
        <v>46287</v>
      </c>
      <c r="E81" s="48" t="n">
        <v>46287</v>
      </c>
      <c r="F81" t="inlineStr">
        <is>
          <t>Geral DBA-o59/09</t>
        </is>
      </c>
      <c r="G81" t="inlineStr">
        <is>
          <t>ASIN B0BHMZBZW9 como termo de produto (Lixeira Inox Pedal New Tramontina 30 L)</t>
        </is>
      </c>
      <c r="H81" t="inlineStr">
        <is>
          <t>VIGIA</t>
        </is>
      </c>
      <c r="I81" t="inlineStr">
        <is>
          <t>Sem exclusão</t>
        </is>
      </c>
      <c r="J81" t="inlineStr">
        <is>
          <t>Sem mudança. GATILHO O7: ≥15 cliques em 30d sem venda → NEGATIVAR ASIN (excluir produto) na Geral</t>
        </is>
      </c>
      <c r="K81" t="inlineStr">
        <is>
          <t>13 cli / R$ 8,34 / 0 venda na Geral em 30d (anunciados P3050, P3070, Q2460-B) + 7 cli vit na PI P3070 = 20 na conta. Identificado pelo LEO: R$ 199,97 em oferta (−33%), 4,6★ em 1.555 avaliações, Escolha da Amazon, 100+ compras/mês. RELEVANTE (mesma categoria), conquista improvável (nosso preço 1,8–3,1×)</t>
        </is>
      </c>
      <c r="L81" t="inlineStr">
        <is>
          <t>ciclos/O6-22-09.md + relatorios/amazon/o6-22-09/ (export 10-21_09, recorrentes 30d 22/08–20/09, exports vitalícios de alvos, segmentação da Geral na Era, BR 10–20/09)</t>
        </is>
      </c>
      <c r="M81" t="inlineStr">
        <is>
          <t>MÉDIA</t>
        </is>
      </c>
      <c r="N81" t="inlineStr">
        <is>
          <t>SIM</t>
        </is>
      </c>
      <c r="O81" s="46" t="inlineStr">
        <is>
          <t>SIM</t>
        </is>
      </c>
      <c r="P81" s="46" t="inlineStr">
        <is>
          <t>EXECUTADA - AVALIADA</t>
        </is>
      </c>
      <c r="Q81" s="18">
        <f>IF(E81="","",E81+1)</f>
        <v/>
      </c>
      <c r="R81" s="19">
        <f>IF(E81="","",TODAY()-E81)</f>
        <v/>
      </c>
      <c r="S81" t="inlineStr">
        <is>
          <t>B0BHMZBZW9: Geral 5 cli / 0 em 30d (régua 15); como alvo da PI P3070 14 cli vit / 1</t>
        </is>
      </c>
      <c r="T81" t="inlineStr">
        <is>
          <t>VIGIA MANTIDA — dupla (Geral 5/15; PI 14/15)</t>
        </is>
      </c>
      <c r="U81" s="48" t="n">
        <v>46322</v>
      </c>
      <c r="V81" t="inlineStr">
        <is>
          <t>Não é irrelevância → não negativar agora. Evidência de mercado para a hipótese preço/oferta nos pedais (regra 41.1)</t>
        </is>
      </c>
    </row>
    <row r="82">
      <c r="A82" t="inlineStr">
        <is>
          <t>O6-020</t>
        </is>
      </c>
      <c r="B82" t="inlineStr">
        <is>
          <t>O6</t>
        </is>
      </c>
      <c r="C82" s="48" t="n">
        <v>46287</v>
      </c>
      <c r="D82" s="48" t="n">
        <v>46287</v>
      </c>
      <c r="E82" s="48" t="n">
        <v>46287</v>
      </c>
      <c r="F82" t="inlineStr">
        <is>
          <t>Geral (orçamento e demais segmentações) · auto PXP-o311/08 · PI L2030-B-o311/08 · PI PXM-o311/08 · Extintor · Cinzeiros · Bituqueiras</t>
        </is>
      </c>
      <c r="G82" t="inlineStr">
        <is>
          <t>—</t>
        </is>
      </c>
      <c r="H82" t="inlineStr">
        <is>
          <t>MANTER</t>
        </is>
      </c>
      <c r="I82" t="inlineStr">
        <is>
          <t>Conforme Parâmetros pós-O5</t>
        </is>
      </c>
      <c r="J82" t="inlineStr">
        <is>
          <t>Sem mudança</t>
        </is>
      </c>
      <c r="K82" t="inlineStr">
        <is>
          <t>Geral: R$ 90/dia, consumo 7% na Era (R$ 6,29/dia). Auto PXP: Era 7 cli / 0; vit 28 cli / 4 compras. PI L2030-B: Era 5 cli / 0; vit 21 cli / 3 compras R$ 497,34. PI PXM: Era 2 cli / 1 compra R$ 519,03; vit 9 cli / 2 compras R$ 722,57; CTR segue na fila de página. Extintor 0 cli, Cinzeiros 1, Bituqueiras 0 (controle)</t>
        </is>
      </c>
      <c r="L82" t="inlineStr">
        <is>
          <t>ciclos/O6-22-09.md + relatorios/amazon/o6-22-09/ (export 10-21_09, recorrentes 30d 22/08–20/09, exports vitalícios de alvos, segmentação da Geral na Era, BR 10–20/09)</t>
        </is>
      </c>
      <c r="M82" t="inlineStr">
        <is>
          <t>ALTA</t>
        </is>
      </c>
      <c r="N82" t="inlineStr">
        <is>
          <t>SIM</t>
        </is>
      </c>
      <c r="O82" s="46" t="inlineStr">
        <is>
          <t>SIM</t>
        </is>
      </c>
      <c r="P82" s="46" t="inlineStr">
        <is>
          <t>EXECUTADA - AVALIADA</t>
        </is>
      </c>
      <c r="Q82" s="18">
        <f>IF(E82="","",E82+1)</f>
        <v/>
      </c>
      <c r="R82" s="19">
        <f>IF(E82="","",TODAY()-E82)</f>
        <v/>
      </c>
      <c r="S82" t="inlineStr">
        <is>
          <t>Geral R$ 90/dia, consumo 12%; auto PXP 10 cli/0 em 30d; PI L2030-B 7 cli/0 (vit 3 compras em 1 alvo)</t>
        </is>
      </c>
      <c r="T82" t="inlineStr">
        <is>
          <t>MANTIDAS</t>
        </is>
      </c>
      <c r="U82" t="inlineStr">
        <is>
          <t>—</t>
        </is>
      </c>
      <c r="V82" t="inlineStr">
        <is>
          <t>Dúvida da O5-017 resolvida por fonte: +R$ 151,10 e +R$ 302,20 são vendas reais de 08/09 no Registro_Vendas</t>
        </is>
      </c>
    </row>
    <row r="83">
      <c r="A83" s="10" t="inlineStr">
        <is>
          <t>EC-017</t>
        </is>
      </c>
      <c r="B83" s="11" t="inlineStr">
        <is>
          <t>entre-ciclos</t>
        </is>
      </c>
      <c r="C83" s="12" t="n">
        <v>46295</v>
      </c>
      <c r="D83" s="12" t="n">
        <v>46295</v>
      </c>
      <c r="E83" s="12" t="n">
        <v>46295</v>
      </c>
      <c r="F83" s="43" t="inlineStr">
        <is>
          <t>Desconto no preço (promoção) — semana do Prime Day</t>
        </is>
      </c>
      <c r="G83" s="43" t="inlineStr">
        <is>
          <t>PXM (B0H4S3FHG6) — desconto no preço 10%</t>
        </is>
      </c>
      <c r="H83" s="11" t="inlineStr">
        <is>
          <t>CRIAR DESCONTO NO PREÇO</t>
        </is>
      </c>
      <c r="I83" s="11" t="inlineStr">
        <is>
          <t>Preço de tabela R$ 203,54, sem promoção</t>
        </is>
      </c>
      <c r="J83" s="11" t="inlineStr">
        <is>
          <t>Desconto 10% → R$ 183,19 · piso R$ 183,09 · 05/10 00:00 a 11/10 23:59</t>
        </is>
      </c>
      <c r="K83" s="11" t="inlineStr">
        <is>
          <t>Converte com qualquer desconto (9.9: 3 un a −15%; 21–27/09: 5 un a −5%). Margem SP Interior 15,0% — no piso; com promo de quantidade empilhada: 11,7% (3+) / 9,5% (5+), risco aceito (o pedido de 3 PXM de 24/09 saiu a 15,6% realizados).</t>
        </is>
      </c>
      <c r="L83" s="11" t="inlineStr">
        <is>
          <t>ciclos/Monitoramento-28-09.md (adendo 30/09) + Simulador Mestra v4.3.4 + relatorios/amazon/monitoramento-28-09/</t>
        </is>
      </c>
      <c r="M83" s="11" t="inlineStr">
        <is>
          <t>MÉDIA</t>
        </is>
      </c>
      <c r="N83" s="11" t="inlineStr">
        <is>
          <t>SIM</t>
        </is>
      </c>
      <c r="O83" s="11" t="inlineStr">
        <is>
          <t>SIM</t>
        </is>
      </c>
      <c r="P83" s="11" t="inlineStr">
        <is>
          <t>EXECUTADA - AVALIADA</t>
        </is>
      </c>
      <c r="Q83" s="18">
        <f>IF(E83="","",E83+1)</f>
        <v/>
      </c>
      <c r="R83" s="19">
        <f>IF(E83="","",TODAY()-E83)</f>
        <v/>
      </c>
      <c r="S83" s="43" t="inlineStr">
        <is>
          <t>Criado em 30/09 no desconto vinculado ao evento (PRIMEDAY-DESCONTO-10) e marcado 'Inválido — O SKU não oferece frete grátis' na Etapa 3 (aba de erros marcou todos os participantes).</t>
        </is>
      </c>
      <c r="T83" s="43" t="inlineStr">
        <is>
          <t>DESCARTADA 30/09 — o desconto vinculado ao evento exige frete grátis para envio pelo vendedor; substituída pela EC-020 (desconto comum, mesmo preço R$ 183,18).</t>
        </is>
      </c>
      <c r="U83" s="7" t="n"/>
      <c r="V83" s="41" t="inlineStr">
        <is>
          <t>Plano B do Prime Day: SKU de margem e tráfego adequados que a Amazon não abriu para Melhor Oferta (listas de 22 e 28/09). Sem selo do evento; preço riscado na busca. Não conflita com P3070/PXP (Melhor Oferta). Atribuição do Ads: preço com desconto (regra de 28/09). ⚠️ A promoção de quantidade empilh…</t>
        </is>
      </c>
    </row>
    <row r="84">
      <c r="A84" s="10" t="inlineStr">
        <is>
          <t>EC-018</t>
        </is>
      </c>
      <c r="B84" s="11" t="inlineStr">
        <is>
          <t>entre-ciclos</t>
        </is>
      </c>
      <c r="C84" s="12" t="n">
        <v>46295</v>
      </c>
      <c r="D84" s="12" t="n">
        <v>46295</v>
      </c>
      <c r="E84" s="12" t="n">
        <v>46295</v>
      </c>
      <c r="F84" s="43" t="inlineStr">
        <is>
          <t>Desconto no preço (promoção) — semana do Prime Day</t>
        </is>
      </c>
      <c r="G84" s="43" t="inlineStr">
        <is>
          <t>PG2460 (B0H5MDZQDG) — desconto no preço 10%</t>
        </is>
      </c>
      <c r="H84" s="11" t="inlineStr">
        <is>
          <t>CRIAR DESCONTO NO PREÇO</t>
        </is>
      </c>
      <c r="I84" s="11" t="inlineStr">
        <is>
          <t>Preço de tabela R$ 248,75, sem promoção</t>
        </is>
      </c>
      <c r="J84" s="11" t="inlineStr">
        <is>
          <t>Desconto 10% → R$ 223,88 · piso R$ 217,76 · 05/10 00:00 a 11/10 23:59</t>
        </is>
      </c>
      <c r="K84" s="11" t="inlineStr">
        <is>
          <t>Converteu com Melhor Oferta a −10% no 9.9 (1 un); 0 a −10% em 21–27/09 (5 sessões). Margem SP Interior 16,7%; com promo de quantidade: 13,5% (3+) / 11,5% (5+).</t>
        </is>
      </c>
      <c r="L84" s="11" t="inlineStr">
        <is>
          <t>ciclos/Monitoramento-28-09.md (adendo 30/09) + Simulador Mestra v4.3.4 + relatorios/amazon/monitoramento-28-09/</t>
        </is>
      </c>
      <c r="M84" s="11" t="inlineStr">
        <is>
          <t>MÉDIA</t>
        </is>
      </c>
      <c r="N84" s="11" t="inlineStr">
        <is>
          <t>SIM</t>
        </is>
      </c>
      <c r="O84" s="11" t="inlineStr">
        <is>
          <t>SIM</t>
        </is>
      </c>
      <c r="P84" s="11" t="inlineStr">
        <is>
          <t>EXECUTADA - AVALIADA</t>
        </is>
      </c>
      <c r="Q84" s="18">
        <f>IF(E84="","",E84+1)</f>
        <v/>
      </c>
      <c r="R84" s="19">
        <f>IF(E84="","",TODAY()-E84)</f>
        <v/>
      </c>
      <c r="S84" s="43" t="inlineStr">
        <is>
          <t>Criado em 30/09 a 5% (R$ 236,31) e 'Sem preço de referência'; excluído pelo LEO no mesmo dia, antes do descarte do desconto do evento.</t>
        </is>
      </c>
      <c r="T84" s="43" t="inlineStr">
        <is>
          <t>DESCARTADA 30/09 — sem preço de referência (desconto invisível); fora do Prime Day; recuperar referência para a Black Friday.</t>
        </is>
      </c>
      <c r="U84" s="7" t="n"/>
      <c r="V84" s="41" t="inlineStr">
        <is>
          <t>Plano B do Prime Day: SKU de margem e tráfego adequados que a Amazon não abriu para Melhor Oferta (listas de 22 e 28/09). Sem selo do evento; preço riscado na busca. Não conflita com P3070/PXP (Melhor Oferta). Atribuição do Ads: preço com desconto (regra de 28/09). ⚠️ A promoção de quantidade empilh…</t>
        </is>
      </c>
    </row>
    <row r="85">
      <c r="A85" s="10" t="inlineStr">
        <is>
          <t>EC-019</t>
        </is>
      </c>
      <c r="B85" s="11" t="inlineStr">
        <is>
          <t>entre-ciclos</t>
        </is>
      </c>
      <c r="C85" s="12" t="n">
        <v>46295</v>
      </c>
      <c r="D85" s="12" t="n">
        <v>46295</v>
      </c>
      <c r="E85" s="12" t="n">
        <v>46295</v>
      </c>
      <c r="F85" s="43" t="inlineStr">
        <is>
          <t>Desconto no preço (promoção) — semana do Prime Day</t>
        </is>
      </c>
      <c r="G85" s="43" t="inlineStr">
        <is>
          <t>P3060 (B0H4NLBG1Y) — desconto no preço 10%</t>
        </is>
      </c>
      <c r="H85" s="11" t="inlineStr">
        <is>
          <t>CRIAR DESCONTO NO PREÇO</t>
        </is>
      </c>
      <c r="I85" s="11" t="inlineStr">
        <is>
          <t>Preço de tabela R$ 511,42, sem promoção</t>
        </is>
      </c>
      <c r="J85" s="11" t="inlineStr">
        <is>
          <t>Desconto 10% → R$ 460,28 · piso R$ 404,24 · 05/10 00:00 a 11/10 23:59</t>
        </is>
      </c>
      <c r="K85" s="11" t="inlineStr">
        <is>
          <t>Não respondeu a −10% em 21–27/09 (12 sessões, 0 un), mas tem a maior folga entre os com tráfego: 22,6%; com promo de quantidade 19,7% (3+) / 17,8% (5+) — absorve o empilhamento. Teste na semana de maior tráfego.</t>
        </is>
      </c>
      <c r="L85" s="11" t="inlineStr">
        <is>
          <t>ciclos/Monitoramento-28-09.md (adendo 30/09) + Simulador Mestra v4.3.4 + relatorios/amazon/monitoramento-28-09/</t>
        </is>
      </c>
      <c r="M85" s="11" t="inlineStr">
        <is>
          <t>MÉDIA</t>
        </is>
      </c>
      <c r="N85" s="11" t="inlineStr">
        <is>
          <t>SIM</t>
        </is>
      </c>
      <c r="O85" s="11" t="inlineStr">
        <is>
          <t>SIM</t>
        </is>
      </c>
      <c r="P85" s="11" t="inlineStr">
        <is>
          <t>EXECUTADA - AVALIADA</t>
        </is>
      </c>
      <c r="Q85" s="18">
        <f>IF(E85="","",E85+1)</f>
        <v/>
      </c>
      <c r="R85" s="19">
        <f>IF(E85="","",TODAY()-E85)</f>
        <v/>
      </c>
      <c r="S85" s="43" t="inlineStr">
        <is>
          <t>Criado em 30/09 no desconto vinculado ao evento e marcado 'Inválido — O SKU não oferece frete grátis' na Etapa 3.</t>
        </is>
      </c>
      <c r="T85" s="43" t="inlineStr">
        <is>
          <t>DESCARTADA 30/09 — mesma regra da EC-017; substituída pela EC-020 (desconto comum, mesmo preço R$ 460,27).</t>
        </is>
      </c>
      <c r="U85" s="7" t="n">
        <v>46308</v>
      </c>
      <c r="V85" s="41" t="inlineStr">
        <is>
          <t>Plano B do Prime Day: SKU de margem e tráfego adequados que a Amazon não abriu para Melhor Oferta (listas de 22 e 28/09). Sem selo do evento; preço riscado na busca. Não conflita com P3070/PXP (Melhor Oferta). Atribuição do Ads: preço com desconto (regra de 28/09). ⚠️ A promoção de quantidade empilh…</t>
        </is>
      </c>
    </row>
    <row r="86">
      <c r="A86" s="10" t="inlineStr">
        <is>
          <t>EC-020</t>
        </is>
      </c>
      <c r="B86" s="11" t="inlineStr">
        <is>
          <t>entre-ciclos</t>
        </is>
      </c>
      <c r="C86" s="12" t="n">
        <v>46295</v>
      </c>
      <c r="D86" s="12" t="n">
        <v>46295</v>
      </c>
      <c r="E86" s="12" t="n">
        <v>46295</v>
      </c>
      <c r="F86" s="43" t="inlineStr">
        <is>
          <t>Desconto no preço comum PRECOPRIMEALTERNATIVO — 05–11/10 (semana do Prime Day, sem vínculo com o evento)</t>
        </is>
      </c>
      <c r="G86" s="43" t="inlineStr">
        <is>
          <t>Lote de 12 SKUs: L2460-CP, EGC, Q4070-A, L2470-B, L3070-B, P4080, P3050, P3060, PXM, L2460-AML, Q3060-A, L3085-B</t>
        </is>
      </c>
      <c r="H86" s="11" t="inlineStr">
        <is>
          <t>CRIAR DESCONTO NO PREÇO</t>
        </is>
      </c>
      <c r="I86" s="11" t="inlineStr">
        <is>
          <t>Preço de tabela nos 12, sem promoção (referência da Amazon = preço de tabela da Mestra, conferido no modelo de upload)</t>
        </is>
      </c>
      <c r="J86" s="11" t="inlineStr">
        <is>
          <t xml:space="preserve">Preço fixo a 10%: L2460-CP 302,11 · EGC 607,15 · Q4070-A 947,85 · L2470-B 358,51 · L3070-B 489,46 · P4080 963,15 · P3050 420,90 · P3060 460,27 · PXM 183,18 · L2460-AML 261,15 · Q3060-A 522,46 · L3085-B 578,01 · Todos os clientes · 05/10 00:00–11/10 23:59 · unidades = estoque
</t>
        </is>
      </c>
      <c r="K86" s="11" t="inlineStr">
        <is>
          <t xml:space="preserve">Prime Day largo (A+B+C) aprovado pelo LEO. Desconto do evento exigiu frete grátis → descartado (frete grátis + 10% deixa tudo abaixo do piso). Dos 61, só 13 tinham preço de referência; L2450--CZ caiu por ASIN restrito → 12. Margem a 10%: 15,0% (PXM) a 22,6% (P3060); 4 no piso; promo de qtd empilha.
</t>
        </is>
      </c>
      <c r="L86" s="11" t="inlineStr">
        <is>
          <t>ciclos/Monitoramento-28-09.md (adendos 30/09) + dados/PROPOSTA_PrimeDay_desconto_evento_catalogo.csv + Simulador Mestra v4.3.4 + relatorios/amazon/monitoramento-28-09/ (upload_desconto-comum_13-skus_10pct_final_30-09.xlsx, prints etapa 3 e painel 'Em breve')</t>
        </is>
      </c>
      <c r="M86" s="11" t="inlineStr">
        <is>
          <t>MÉDIA</t>
        </is>
      </c>
      <c r="N86" s="11" t="inlineStr">
        <is>
          <t>SIM</t>
        </is>
      </c>
      <c r="O86" s="11" t="inlineStr">
        <is>
          <t>SIM</t>
        </is>
      </c>
      <c r="P86" s="11" t="inlineStr">
        <is>
          <t>EXECUTADA - AVALIADA</t>
        </is>
      </c>
      <c r="Q86" s="18">
        <f>IF(E86="","",E86+1)</f>
        <v/>
      </c>
      <c r="R86" s="19">
        <f>IF(E86="","",TODAY()-E86)</f>
        <v/>
      </c>
      <c r="S86" s="43" t="inlineStr">
        <is>
          <t>PRECOPRIMEALTERNATIVO (12 SKUs a 10%, 05–11/10): 108 visualizações · 0 un · R$ 0</t>
        </is>
      </c>
      <c r="T86" s="43" t="inlineStr">
        <is>
          <t>SEM EFEITO — 3ª leitura de desconto a 10% sem conversão; não repetir fora de evento com selo</t>
        </is>
      </c>
      <c r="U86" s="7" t="inlineStr">
        <is>
          <t>—</t>
        </is>
      </c>
      <c r="V86" s="41" t="inlineStr">
        <is>
          <t xml:space="preserve">Sem selo do evento; riscado '10% off' para todos. Não conflita com P3070/PXP (Melhor Oferta). 48 SKUs fora por 'Sem preço de referência' = nunca venderam (Registro_Vendas); SP-01 inelegível. Ads atribui a preço com desconto. Ler na O7 em 2 blocos. Painel PRECOPRIMEALTERNATIVO Em breve, 12 ASINs.
</t>
        </is>
      </c>
    </row>
    <row r="87">
      <c r="A87" s="10" t="inlineStr">
        <is>
          <t>O7-001</t>
        </is>
      </c>
      <c r="B87" s="11" t="inlineStr">
        <is>
          <t>O7</t>
        </is>
      </c>
      <c r="C87" s="12" t="n">
        <v>46308</v>
      </c>
      <c r="D87" s="12" t="n">
        <v>46308</v>
      </c>
      <c r="E87" s="12" t="n">
        <v>46308</v>
      </c>
      <c r="F87" s="43" t="inlineStr">
        <is>
          <t>Geral DBA-o59/09</t>
        </is>
      </c>
      <c r="G87" s="43" t="inlineStr">
        <is>
          <t>segmentação close-match (Correspondência aproximada)</t>
        </is>
      </c>
      <c r="H87" s="11" t="inlineStr">
        <is>
          <t>AUMENTAR LANCE</t>
        </is>
      </c>
      <c r="I87" s="65" t="n">
        <v>0.54</v>
      </c>
      <c r="J87" s="11" t="inlineStr">
        <is>
          <t>R$ 0,65 (+20%)</t>
        </is>
      </c>
      <c r="K87" s="11" t="inlineStr">
        <is>
          <t>ACOS 4,4% em 179 cli / 8 compras (30d); Era da campanha 4,5%; orçamento folgado (12%). Objetivo 9% dá margem para comprar entrega.</t>
        </is>
      </c>
      <c r="L87" s="11" t="inlineStr">
        <is>
          <t>ciclos/O7-13-10.md + relatorios/amazon/o7-13-10/</t>
        </is>
      </c>
      <c r="M87" s="11" t="inlineStr">
        <is>
          <t>MÉDIA</t>
        </is>
      </c>
      <c r="N87" s="11" t="inlineStr">
        <is>
          <t>SIM</t>
        </is>
      </c>
      <c r="O87" s="11" t="inlineStr">
        <is>
          <t>SIM</t>
        </is>
      </c>
      <c r="P87" s="11" t="inlineStr">
        <is>
          <t>EXECUTADA - EM MATURAÇÃO</t>
        </is>
      </c>
      <c r="Q87" s="18">
        <f>IF(E87="","",E87+1)</f>
        <v/>
      </c>
      <c r="R87" s="19">
        <f>IF(E87="","",TODAY()-E87)</f>
        <v/>
      </c>
      <c r="S87" s="43" t="n"/>
      <c r="T87" s="43" t="n"/>
      <c r="U87" s="7" t="inlineStr">
        <is>
          <t>27/10/2026</t>
        </is>
      </c>
      <c r="V87" s="41" t="inlineStr">
        <is>
          <t>Reler na O8: se ACOS da segmentação passar de 9%, voltar a 0,54.</t>
        </is>
      </c>
    </row>
    <row r="88">
      <c r="A88" s="10" t="inlineStr">
        <is>
          <t>O7-002</t>
        </is>
      </c>
      <c r="B88" s="11" t="inlineStr">
        <is>
          <t>O7</t>
        </is>
      </c>
      <c r="C88" s="12" t="n">
        <v>46308</v>
      </c>
      <c r="D88" s="12" t="n">
        <v>46308</v>
      </c>
      <c r="E88" s="12" t="n">
        <v>46308</v>
      </c>
      <c r="F88" s="43" t="inlineStr">
        <is>
          <t>Geral DBA-o59/09</t>
        </is>
      </c>
      <c r="G88" s="43" t="inlineStr">
        <is>
          <t>segmentação substitutes (Substitutos)</t>
        </is>
      </c>
      <c r="H88" s="11" t="inlineStr">
        <is>
          <t>AUMENTAR LANCE</t>
        </is>
      </c>
      <c r="I88" s="65" t="n">
        <v>0.45</v>
      </c>
      <c r="J88" s="11" t="inlineStr">
        <is>
          <t>R$ 0,54 (+20%)</t>
        </is>
      </c>
      <c r="K88" s="11" t="inlineStr">
        <is>
          <t>ACOS 4,2% em 131 cli / 5 compras (30d). Devolve o lance pré-O5 com evidência de conversão.</t>
        </is>
      </c>
      <c r="L88" s="11" t="inlineStr">
        <is>
          <t>ciclos/O7-13-10.md + relatorios/amazon/o7-13-10/</t>
        </is>
      </c>
      <c r="M88" s="11" t="inlineStr">
        <is>
          <t>MÉDIA</t>
        </is>
      </c>
      <c r="N88" s="11" t="inlineStr">
        <is>
          <t>SIM</t>
        </is>
      </c>
      <c r="O88" s="11" t="inlineStr">
        <is>
          <t>SIM</t>
        </is>
      </c>
      <c r="P88" s="11" t="inlineStr">
        <is>
          <t>EXECUTADA - EM MATURAÇÃO</t>
        </is>
      </c>
      <c r="Q88" s="18">
        <f>IF(E88="","",E88+1)</f>
        <v/>
      </c>
      <c r="R88" s="19">
        <f>IF(E88="","",TODAY()-E88)</f>
        <v/>
      </c>
      <c r="S88" s="43" t="n"/>
      <c r="T88" s="43" t="n"/>
      <c r="U88" s="7" t="inlineStr">
        <is>
          <t>27/10/2026</t>
        </is>
      </c>
      <c r="V88" s="41" t="inlineStr">
        <is>
          <t>Mesma régua de saída da O7-001.</t>
        </is>
      </c>
    </row>
    <row r="89">
      <c r="A89" s="10" t="inlineStr">
        <is>
          <t>O7-003</t>
        </is>
      </c>
      <c r="B89" s="11" t="inlineStr">
        <is>
          <t>O7</t>
        </is>
      </c>
      <c r="C89" s="12" t="n">
        <v>46308</v>
      </c>
      <c r="D89" s="12" t="n">
        <v>46308</v>
      </c>
      <c r="E89" s="12" t="n">
        <v>46308</v>
      </c>
      <c r="F89" s="43" t="inlineStr">
        <is>
          <t>PI P3070-o228/07</t>
        </is>
      </c>
      <c r="G89" s="43" t="inlineStr">
        <is>
          <t>alvo asin="B0CYWMQ93Y" (exato, lance 0,90)</t>
        </is>
      </c>
      <c r="H89" s="11" t="inlineStr">
        <is>
          <t>PAUSAR ALVO</t>
        </is>
      </c>
      <c r="I89" s="11" t="inlineStr">
        <is>
          <t>Ativo</t>
        </is>
      </c>
      <c r="J89" s="11" t="inlineStr">
        <is>
          <t>Pausado</t>
        </is>
      </c>
      <c r="K89" s="11" t="inlineStr">
        <is>
          <t>18 cliques vitalícios / R$ 17,10 / 0 venda — régua de alvo (15+). Campanha segue ativa (3 vendas vitalícias, ACOS 15,1%).</t>
        </is>
      </c>
      <c r="L89" s="11" t="inlineStr">
        <is>
          <t>ciclos/O7-13-10.md + relatorios/amazon/o7-13-10/</t>
        </is>
      </c>
      <c r="M89" s="11" t="inlineStr">
        <is>
          <t>ALTA</t>
        </is>
      </c>
      <c r="N89" s="11" t="inlineStr">
        <is>
          <t>SIM</t>
        </is>
      </c>
      <c r="O89" s="11" t="inlineStr">
        <is>
          <t>SIM</t>
        </is>
      </c>
      <c r="P89" s="11" t="inlineStr">
        <is>
          <t>EXECUTADA - EM MATURAÇÃO</t>
        </is>
      </c>
      <c r="Q89" s="18">
        <f>IF(E89="","",E89+1)</f>
        <v/>
      </c>
      <c r="R89" s="19">
        <f>IF(E89="","",TODAY()-E89)</f>
        <v/>
      </c>
      <c r="S89" s="43" t="n"/>
      <c r="T89" s="43" t="n"/>
      <c r="U89" s="7" t="inlineStr">
        <is>
          <t>27/10/2026</t>
        </is>
      </c>
      <c r="V89" s="41" t="inlineStr">
        <is>
          <t>Não converter em pausa de campanha.</t>
        </is>
      </c>
    </row>
    <row r="90">
      <c r="A90" s="10" t="inlineStr">
        <is>
          <t>O7-004</t>
        </is>
      </c>
      <c r="B90" s="11" t="inlineStr">
        <is>
          <t>O7</t>
        </is>
      </c>
      <c r="C90" s="12" t="n">
        <v>46308</v>
      </c>
      <c r="D90" s="12" t="n">
        <v>46308</v>
      </c>
      <c r="E90" s="12" t="n">
        <v>46308</v>
      </c>
      <c r="F90" s="43" t="inlineStr">
        <is>
          <t>Geral DBA-o59/09</t>
        </is>
      </c>
      <c r="G90" s="43" t="inlineStr">
        <is>
          <t>ASIN B076VYNP9W (substitutes)</t>
        </is>
      </c>
      <c r="H90" s="11" t="inlineStr">
        <is>
          <t>NEGATIVAR ASIN</t>
        </is>
      </c>
      <c r="I90" s="11" t="inlineStr">
        <is>
          <t>Servindo</t>
        </is>
      </c>
      <c r="J90" s="11" t="inlineStr">
        <is>
          <t>Negativado</t>
        </is>
      </c>
      <c r="K90" s="11" t="inlineStr">
        <is>
          <t>20 cliques / R$ 9,37 / 0 em 30d — maior dreno da Geral sem venda. Não é irrelevância semântica (é concorrente), por isso MÉDIA.</t>
        </is>
      </c>
      <c r="L90" s="11" t="inlineStr">
        <is>
          <t>ciclos/O7-13-10.md + relatorios/amazon/o7-13-10/</t>
        </is>
      </c>
      <c r="M90" s="11" t="inlineStr">
        <is>
          <t>MÉDIA</t>
        </is>
      </c>
      <c r="N90" s="11" t="inlineStr">
        <is>
          <t>SIM</t>
        </is>
      </c>
      <c r="O90" s="11" t="inlineStr">
        <is>
          <t>SIM</t>
        </is>
      </c>
      <c r="P90" s="11" t="inlineStr">
        <is>
          <t>EXECUTADA - EM MATURAÇÃO</t>
        </is>
      </c>
      <c r="Q90" s="18">
        <f>IF(E90="","",E90+1)</f>
        <v/>
      </c>
      <c r="R90" s="19">
        <f>IF(E90="","",TODAY()-E90)</f>
        <v/>
      </c>
      <c r="S90" s="43" t="n"/>
      <c r="T90" s="43" t="n"/>
      <c r="U90" s="7" t="inlineStr">
        <is>
          <t>27/10/2026</t>
        </is>
      </c>
      <c r="V90" s="41" t="inlineStr">
        <is>
          <t>Reavaliar se o SKU anunciado (L2025-T) perder entrega.</t>
        </is>
      </c>
    </row>
    <row r="91">
      <c r="A91" s="10" t="inlineStr">
        <is>
          <t>O7-005</t>
        </is>
      </c>
      <c r="B91" s="11" t="inlineStr">
        <is>
          <t>O7</t>
        </is>
      </c>
      <c r="C91" s="12" t="n">
        <v>46308</v>
      </c>
      <c r="D91" s="12" t="n">
        <v>46308</v>
      </c>
      <c r="E91" s="12" t="n">
        <v>46308</v>
      </c>
      <c r="F91" s="43" t="inlineStr">
        <is>
          <t>Geral DBA-o59/09</t>
        </is>
      </c>
      <c r="G91" s="43" t="inlineStr">
        <is>
          <t>frase "dourada"</t>
        </is>
      </c>
      <c r="H91" s="11" t="inlineStr">
        <is>
          <t>NEGATIVAR TERMO</t>
        </is>
      </c>
      <c r="I91" s="11" t="inlineStr">
        <is>
          <t>Servindo</t>
        </is>
      </c>
      <c r="J91" s="11" t="inlineStr">
        <is>
          <t>Negativado (frase)</t>
        </is>
      </c>
      <c r="K91" s="11" t="inlineStr">
        <is>
          <t>"lixeira dourada" 3 cli / R$ 2,07 / 0 — a Winnet não vende acabamento dourado.</t>
        </is>
      </c>
      <c r="L91" s="11" t="inlineStr">
        <is>
          <t>ciclos/O7-13-10.md + relatorios/amazon/o7-13-10/</t>
        </is>
      </c>
      <c r="M91" s="11" t="inlineStr">
        <is>
          <t>ALTA</t>
        </is>
      </c>
      <c r="N91" s="11" t="inlineStr">
        <is>
          <t>SIM</t>
        </is>
      </c>
      <c r="O91" s="11" t="inlineStr">
        <is>
          <t>SIM</t>
        </is>
      </c>
      <c r="P91" s="11" t="inlineStr">
        <is>
          <t>EXECUTADA - EM MATURAÇÃO</t>
        </is>
      </c>
      <c r="Q91" s="18">
        <f>IF(E91="","",E91+1)</f>
        <v/>
      </c>
      <c r="R91" s="19">
        <f>IF(E91="","",TODAY()-E91)</f>
        <v/>
      </c>
      <c r="S91" s="43" t="n"/>
      <c r="T91" s="43" t="n"/>
      <c r="U91" s="7" t="inlineStr">
        <is>
          <t>27/10/2026</t>
        </is>
      </c>
      <c r="V91" s="41" t="n"/>
    </row>
    <row r="92">
      <c r="A92" s="10" t="inlineStr">
        <is>
          <t>O7-006</t>
        </is>
      </c>
      <c r="B92" s="11" t="inlineStr">
        <is>
          <t>O7</t>
        </is>
      </c>
      <c r="C92" s="12" t="n">
        <v>46308</v>
      </c>
      <c r="D92" s="12" t="n">
        <v>46308</v>
      </c>
      <c r="E92" s="12" t="n">
        <v>46308</v>
      </c>
      <c r="F92" s="43" t="inlineStr">
        <is>
          <t>6B Lixeiras banheiro + Manual L3070-B</t>
        </is>
      </c>
      <c r="G92" s="43" t="inlineStr">
        <is>
          <t>estratégia de lance (piloto O4-014 / O5-009 / O6-010)</t>
        </is>
      </c>
      <c r="H92" s="11" t="inlineStr">
        <is>
          <t>ALTERAR ESTRATÉGIA DE LANCE</t>
        </is>
      </c>
      <c r="I92" s="11" t="inlineStr">
        <is>
          <t>Lances dinâmicos (aumento e redução)</t>
        </is>
      </c>
      <c r="J92" s="11" t="inlineStr">
        <is>
          <t>Lances fixos</t>
        </is>
      </c>
      <c r="K92" s="11" t="inlineStr">
        <is>
          <t>Contrato de saída da O6-010: zero diferença contra o controle em 2 Eras (6B 12 cli/0; L3070-B 2 cli/0; controle 0–1 cli). Piloto encerrado como SEM EFEITO.</t>
        </is>
      </c>
      <c r="L92" s="11" t="inlineStr">
        <is>
          <t>ciclos/O7-13-10.md + relatorios/amazon/o7-13-10/</t>
        </is>
      </c>
      <c r="M92" s="11" t="inlineStr">
        <is>
          <t>ALTA</t>
        </is>
      </c>
      <c r="N92" s="11" t="inlineStr">
        <is>
          <t>SIM</t>
        </is>
      </c>
      <c r="O92" s="11" t="inlineStr">
        <is>
          <t>SIM</t>
        </is>
      </c>
      <c r="P92" s="11" t="inlineStr">
        <is>
          <t>EXECUTADA - EM MATURAÇÃO</t>
        </is>
      </c>
      <c r="Q92" s="18">
        <f>IF(E92="","",E92+1)</f>
        <v/>
      </c>
      <c r="R92" s="19">
        <f>IF(E92="","",TODAY()-E92)</f>
        <v/>
      </c>
      <c r="S92" s="43" t="n"/>
      <c r="T92" s="43" t="n"/>
      <c r="U92" s="7" t="inlineStr">
        <is>
          <t>27/10/2026</t>
        </is>
      </c>
      <c r="V92" s="41" t="inlineStr">
        <is>
          <t>Conferir no console a estratégia real antes de alterar.</t>
        </is>
      </c>
    </row>
    <row r="93">
      <c r="A93" s="10" t="inlineStr">
        <is>
          <t>O7-007</t>
        </is>
      </c>
      <c r="B93" s="11" t="inlineStr">
        <is>
          <t>O7</t>
        </is>
      </c>
      <c r="C93" s="12" t="n">
        <v>46308</v>
      </c>
      <c r="D93" s="12" t="n">
        <v>46308</v>
      </c>
      <c r="E93" s="12" t="n">
        <v>46308</v>
      </c>
      <c r="F93" s="43" t="inlineStr">
        <is>
          <t>6B Lixeiras banheiro</t>
        </is>
      </c>
      <c r="G93" s="43" t="inlineStr">
        <is>
          <t>palavra-chave exata "lixo banheiro" (L1618-T + L2025-T)</t>
        </is>
      </c>
      <c r="H93" s="11" t="inlineStr">
        <is>
          <t>PROMOVER PARA MANUAL</t>
        </is>
      </c>
      <c r="I93" s="11" t="inlineStr">
        <is>
          <t>Não existe</t>
        </is>
      </c>
      <c r="J93" s="11" t="inlineStr">
        <is>
          <t>Exata, lance R$ 0,80</t>
        </is>
      </c>
      <c r="K93" s="11" t="inlineStr">
        <is>
          <t>Termo provou valor na Geral: 10 cli / R$ 7,31 / 2 compras / R$ 395,70 (ACOS 1,8%). Exata &gt; Frase. CPC médio 0,73.</t>
        </is>
      </c>
      <c r="L93" s="11" t="inlineStr">
        <is>
          <t>ciclos/O7-13-10.md + relatorios/amazon/o7-13-10/</t>
        </is>
      </c>
      <c r="M93" s="11" t="inlineStr">
        <is>
          <t>MÉDIA</t>
        </is>
      </c>
      <c r="N93" s="11" t="inlineStr">
        <is>
          <t>SIM</t>
        </is>
      </c>
      <c r="O93" s="11" t="inlineStr">
        <is>
          <t>SIM</t>
        </is>
      </c>
      <c r="P93" s="11" t="inlineStr">
        <is>
          <t>EXECUTADA - EM MATURAÇÃO</t>
        </is>
      </c>
      <c r="Q93" s="18">
        <f>IF(E93="","",E93+1)</f>
        <v/>
      </c>
      <c r="R93" s="19">
        <f>IF(E93="","",TODAY()-E93)</f>
        <v/>
      </c>
      <c r="S93" s="43" t="n"/>
      <c r="T93" s="43" t="n"/>
      <c r="U93" s="7" t="inlineStr">
        <is>
          <t>27/10/2026</t>
        </is>
      </c>
      <c r="V93" s="41" t="inlineStr">
        <is>
          <t>Entra com a 6B já em lances fixos (O7-006).</t>
        </is>
      </c>
    </row>
    <row r="94">
      <c r="A94" s="10" t="inlineStr">
        <is>
          <t>O7-008</t>
        </is>
      </c>
      <c r="B94" s="11" t="inlineStr">
        <is>
          <t>O7</t>
        </is>
      </c>
      <c r="C94" s="12" t="n">
        <v>46308</v>
      </c>
      <c r="D94" s="12" t="n">
        <v>46308</v>
      </c>
      <c r="E94" s="12" t="n">
        <v>46308</v>
      </c>
      <c r="F94" s="43" t="inlineStr">
        <is>
          <t>PI PXM-o311/08</t>
        </is>
      </c>
      <c r="G94" s="43" t="inlineStr">
        <is>
          <t>alvos asin-expanded (lance 1,10)</t>
        </is>
      </c>
      <c r="H94" s="11" t="inlineStr">
        <is>
          <t>AUMENTAR LANCE</t>
        </is>
      </c>
      <c r="I94" s="65" t="n">
        <v>1.1</v>
      </c>
      <c r="J94" s="11" t="inlineStr">
        <is>
          <t>R$ 1,32 (+20%)</t>
        </is>
      </c>
      <c r="K94" s="11" t="inlineStr">
        <is>
          <t>Radar: 1.015 impressões/30d, 4 cli, 1 compra; vitalício 12 cli / 3 compras. Objetivo é amostra, não gasto (R$ 2,52 em 30d).</t>
        </is>
      </c>
      <c r="L94" s="11" t="inlineStr">
        <is>
          <t>ciclos/O7-13-10.md + relatorios/amazon/o7-13-10/</t>
        </is>
      </c>
      <c r="M94" s="11" t="inlineStr">
        <is>
          <t>MÉDIA</t>
        </is>
      </c>
      <c r="N94" s="11" t="inlineStr">
        <is>
          <t>SIM</t>
        </is>
      </c>
      <c r="O94" s="11" t="inlineStr">
        <is>
          <t>SIM</t>
        </is>
      </c>
      <c r="P94" s="11" t="inlineStr">
        <is>
          <t>EXECUTADA - EM MATURAÇÃO</t>
        </is>
      </c>
      <c r="Q94" s="18">
        <f>IF(E94="","",E94+1)</f>
        <v/>
      </c>
      <c r="R94" s="19">
        <f>IF(E94="","",TODAY()-E94)</f>
        <v/>
      </c>
      <c r="S94" s="43" t="n"/>
      <c r="T94" s="43" t="n"/>
      <c r="U94" s="7" t="inlineStr">
        <is>
          <t>27/10/2026</t>
        </is>
      </c>
      <c r="V94" s="41" t="inlineStr">
        <is>
          <t>Contrato de saída: O8 sem aumento de entrega → voltar a 1,10.</t>
        </is>
      </c>
    </row>
    <row r="95">
      <c r="A95" s="10" t="inlineStr">
        <is>
          <t>O7-009</t>
        </is>
      </c>
      <c r="B95" s="11" t="inlineStr">
        <is>
          <t>O7</t>
        </is>
      </c>
      <c r="C95" s="12" t="n">
        <v>46308</v>
      </c>
      <c r="D95" s="12" t="n">
        <v>46308</v>
      </c>
      <c r="E95" s="12" t="n">
        <v>46308</v>
      </c>
      <c r="F95" s="43" t="inlineStr">
        <is>
          <t>PI PXM-o311/08</t>
        </is>
      </c>
      <c r="G95" s="43" t="inlineStr">
        <is>
          <t>alvos asin exatos (lance 0,90)</t>
        </is>
      </c>
      <c r="H95" s="11" t="inlineStr">
        <is>
          <t>AUMENTAR LANCE</t>
        </is>
      </c>
      <c r="I95" s="65" t="n">
        <v>0.9</v>
      </c>
      <c r="J95" s="11" t="inlineStr">
        <is>
          <t>R$ 1,08 (+20%)</t>
        </is>
      </c>
      <c r="K95" s="11" t="inlineStr">
        <is>
          <t>Régua da assessoria: campanha gastou &lt; R$ 5 em 30d (R$ 2,52) com ACOS abaixo do Máximo → +20% em TODAS as segmentações. Complementa a O7-008.</t>
        </is>
      </c>
      <c r="L95" s="11" t="inlineStr">
        <is>
          <t>ciclos/O7-13-10_lista-refeita-regua-henrique.md + docs/referencia/Otimizacao_de_ADS_assessoria_Henrique.pdf + relatorios/amazon/o7-13-10/</t>
        </is>
      </c>
      <c r="M95" s="11" t="inlineStr">
        <is>
          <t>ALTA</t>
        </is>
      </c>
      <c r="N95" s="11" t="inlineStr">
        <is>
          <t>SIM</t>
        </is>
      </c>
      <c r="O95" s="11" t="inlineStr">
        <is>
          <t>SIM</t>
        </is>
      </c>
      <c r="P95" s="11" t="inlineStr">
        <is>
          <t>EXECUTADA - EM MATURAÇÃO</t>
        </is>
      </c>
      <c r="Q95" s="18">
        <f>IF(E95="","",E95+1)</f>
        <v/>
      </c>
      <c r="R95" s="19">
        <f>IF(E95="","",TODAY()-E95)</f>
        <v/>
      </c>
      <c r="S95" s="43" t="n"/>
      <c r="T95" s="43" t="n"/>
      <c r="U95" s="7" t="inlineStr">
        <is>
          <t>27/10/2026</t>
        </is>
      </c>
      <c r="V95" s="41" t="inlineStr">
        <is>
          <t>Os dois métodos convergem (Radar + regra "&lt; R$ 5").</t>
        </is>
      </c>
    </row>
    <row r="96">
      <c r="A96" s="10" t="inlineStr">
        <is>
          <t>O7-010</t>
        </is>
      </c>
      <c r="B96" s="11" t="inlineStr">
        <is>
          <t>O7</t>
        </is>
      </c>
      <c r="C96" s="12" t="n">
        <v>46308</v>
      </c>
      <c r="D96" s="12" t="n">
        <v>46308</v>
      </c>
      <c r="E96" s="12" t="n">
        <v>46308</v>
      </c>
      <c r="F96" s="43" t="inlineStr">
        <is>
          <t>Extintor Palavra-Chave Exato Manual</t>
        </is>
      </c>
      <c r="G96" s="43" t="inlineStr">
        <is>
          <t>exata "suporte para extintor de incêndio"</t>
        </is>
      </c>
      <c r="H96" s="11" t="inlineStr">
        <is>
          <t>AUMENTAR LANCE</t>
        </is>
      </c>
      <c r="I96" s="65" t="n">
        <v>2.6</v>
      </c>
      <c r="J96" s="11" t="inlineStr">
        <is>
          <t>R$ 3,12 (+20%)</t>
        </is>
      </c>
      <c r="K96" s="11" t="inlineStr">
        <is>
          <t>Regra "&lt; R$ 5 → +20%" reativada pelo LEO em 13/10: 143 impr · 1 cli · R$ 0,72 em 30d. ACOS indefinido (sem venda) lido como "não acima do Máximo".</t>
        </is>
      </c>
      <c r="L96" s="11" t="inlineStr">
        <is>
          <t>ciclos/O7-13-10_lista-refeita-regua-henrique.md + docs/referencia/Otimizacao_de_ADS_assessoria_Henrique.pdf + relatorios/amazon/o7-13-10/</t>
        </is>
      </c>
      <c r="M96" s="11" t="inlineStr">
        <is>
          <t>BAIXA</t>
        </is>
      </c>
      <c r="N96" s="11" t="inlineStr">
        <is>
          <t>SIM</t>
        </is>
      </c>
      <c r="O96" s="11" t="inlineStr">
        <is>
          <t>SIM</t>
        </is>
      </c>
      <c r="P96" s="11" t="inlineStr">
        <is>
          <t>EXECUTADA - EM MATURAÇÃO</t>
        </is>
      </c>
      <c r="Q96" s="18">
        <f>IF(E96="","",E96+1)</f>
        <v/>
      </c>
      <c r="R96" s="19">
        <f>IF(E96="","",TODAY()-E96)</f>
        <v/>
      </c>
      <c r="S96" s="43" t="n"/>
      <c r="T96" s="43" t="n"/>
      <c r="U96" s="7" t="inlineStr">
        <is>
          <t>27/10/2026</t>
        </is>
      </c>
      <c r="V96" s="41" t="inlineStr">
        <is>
          <t>Ressalva: TOS IS 76% — pouca busca, não pouco lance. Ler na O8; se impressões não subirem, a alavanca não é lance.</t>
        </is>
      </c>
    </row>
    <row r="97">
      <c r="A97" s="10" t="inlineStr">
        <is>
          <t>O7-011</t>
        </is>
      </c>
      <c r="B97" s="11" t="inlineStr">
        <is>
          <t>O7</t>
        </is>
      </c>
      <c r="C97" s="12" t="n">
        <v>46308</v>
      </c>
      <c r="D97" s="12" t="n">
        <v>46308</v>
      </c>
      <c r="E97" s="12" t="n">
        <v>46308</v>
      </c>
      <c r="F97" s="43" t="inlineStr">
        <is>
          <t>Cinzeiros 6C</t>
        </is>
      </c>
      <c r="G97" s="43" t="inlineStr">
        <is>
          <t>exata "lixeira com cinzeiro"</t>
        </is>
      </c>
      <c r="H97" s="11" t="inlineStr">
        <is>
          <t>AUMENTAR LANCE</t>
        </is>
      </c>
      <c r="I97" s="65" t="n">
        <v>1.6</v>
      </c>
      <c r="J97" s="11" t="inlineStr">
        <is>
          <t>R$ 1,92 (+20%)</t>
        </is>
      </c>
      <c r="K97" s="11" t="inlineStr">
        <is>
          <t>Regra "&lt; R$ 5 → +20%" reativada: 258 impr · 1 cli · R$ 1,56 em 30d.</t>
        </is>
      </c>
      <c r="L97" s="11" t="inlineStr">
        <is>
          <t>ciclos/O7-13-10_lista-refeita-regua-henrique.md + docs/referencia/Otimizacao_de_ADS_assessoria_Henrique.pdf + relatorios/amazon/o7-13-10/</t>
        </is>
      </c>
      <c r="M97" s="11" t="inlineStr">
        <is>
          <t>BAIXA</t>
        </is>
      </c>
      <c r="N97" s="11" t="inlineStr">
        <is>
          <t>SIM</t>
        </is>
      </c>
      <c r="O97" s="11" t="inlineStr">
        <is>
          <t>SIM</t>
        </is>
      </c>
      <c r="P97" s="11" t="inlineStr">
        <is>
          <t>EXECUTADA - EM MATURAÇÃO</t>
        </is>
      </c>
      <c r="Q97" s="18">
        <f>IF(E97="","",E97+1)</f>
        <v/>
      </c>
      <c r="R97" s="19">
        <f>IF(E97="","",TODAY()-E97)</f>
        <v/>
      </c>
      <c r="S97" s="43" t="n"/>
      <c r="T97" s="43" t="n"/>
      <c r="U97" s="7" t="inlineStr">
        <is>
          <t>27/10/2026</t>
        </is>
      </c>
      <c r="V97" s="41" t="inlineStr">
        <is>
          <t>L2460-CZ vendeu pela Geral ("cinzeiro externo"), não por esta manual.</t>
        </is>
      </c>
    </row>
    <row r="98">
      <c r="A98" s="10" t="inlineStr">
        <is>
          <t>O7-012</t>
        </is>
      </c>
      <c r="B98" s="11" t="inlineStr">
        <is>
          <t>O7</t>
        </is>
      </c>
      <c r="C98" s="12" t="n">
        <v>46308</v>
      </c>
      <c r="D98" s="12" t="n">
        <v>46308</v>
      </c>
      <c r="E98" s="12" t="n">
        <v>46308</v>
      </c>
      <c r="F98" s="43" t="inlineStr">
        <is>
          <t>Manual Bituqueiras Space</t>
        </is>
      </c>
      <c r="G98" s="43" t="inlineStr">
        <is>
          <t>exata "bituqueira de parede"</t>
        </is>
      </c>
      <c r="H98" s="11" t="inlineStr">
        <is>
          <t>AUMENTAR LANCE</t>
        </is>
      </c>
      <c r="I98" s="65" t="n">
        <v>1.2</v>
      </c>
      <c r="J98" s="11" t="inlineStr">
        <is>
          <t>R$ 1,44 (+20%)</t>
        </is>
      </c>
      <c r="K98" s="11" t="inlineStr">
        <is>
          <t>Regra "&lt; R$ 5 → +20%" reativada: 17 impr · 1 cli · R$ 1,09 em 30d. Anúncios 13/10: SP-PP, SP-FF, SP-T em inserção; SP-01 suspensa (caso 21652133321).</t>
        </is>
      </c>
      <c r="L98" s="11" t="inlineStr">
        <is>
          <t>ciclos/O7-13-10_lista-refeita-regua-henrique.md + docs/referencia/Otimizacao_de_ADS_assessoria_Henrique.pdf + relatorios/amazon/o7-13-10/</t>
        </is>
      </c>
      <c r="M98" s="11" t="inlineStr">
        <is>
          <t>BAIXA</t>
        </is>
      </c>
      <c r="N98" s="11" t="inlineStr">
        <is>
          <t>SIM</t>
        </is>
      </c>
      <c r="O98" s="11" t="inlineStr">
        <is>
          <t>SIM</t>
        </is>
      </c>
      <c r="P98" s="11" t="inlineStr">
        <is>
          <t>EXECUTADA - EM MATURAÇÃO</t>
        </is>
      </c>
      <c r="Q98" s="18">
        <f>IF(E98="","",E98+1)</f>
        <v/>
      </c>
      <c r="R98" s="19">
        <f>IF(E98="","",TODAY()-E98)</f>
        <v/>
      </c>
      <c r="S98" s="43" t="n"/>
      <c r="T98" s="43" t="n"/>
      <c r="U98" s="7" t="inlineStr">
        <is>
          <t>27/10/2026</t>
        </is>
      </c>
      <c r="V98" s="41" t="inlineStr">
        <is>
          <t>Conferir no console se a campanha segue ativa (relatório de 30d termina em 06/10).</t>
        </is>
      </c>
    </row>
    <row r="99">
      <c r="A99" s="10" t="inlineStr">
        <is>
          <t>O7-013</t>
        </is>
      </c>
      <c r="B99" s="11" t="inlineStr">
        <is>
          <t>O7</t>
        </is>
      </c>
      <c r="C99" s="12" t="n">
        <v>46308</v>
      </c>
      <c r="D99" s="12" t="n">
        <v>46308</v>
      </c>
      <c r="E99" s="12" t="n">
        <v>46308</v>
      </c>
      <c r="F99" s="43" t="inlineStr">
        <is>
          <t>Manual Palavra-Chave L3070-B</t>
        </is>
      </c>
      <c r="G99" s="43" t="inlineStr">
        <is>
          <t>exata "lixeira basculante 50 litros"</t>
        </is>
      </c>
      <c r="H99" s="11" t="inlineStr">
        <is>
          <t>AUMENTAR LANCE</t>
        </is>
      </c>
      <c r="I99" s="65" t="n">
        <v>1.2</v>
      </c>
      <c r="J99" s="11" t="inlineStr">
        <is>
          <t>R$ 1,44 (+20%)</t>
        </is>
      </c>
      <c r="K99" s="11" t="inlineStr">
        <is>
          <t>Regra "&lt; R$ 5 → +20%" reativada: 460 impr · 2 cli · R$ 2,44 em 30d.</t>
        </is>
      </c>
      <c r="L99" s="11" t="inlineStr">
        <is>
          <t>ciclos/O7-13-10_lista-refeita-regua-henrique.md + docs/referencia/Otimizacao_de_ADS_assessoria_Henrique.pdf + relatorios/amazon/o7-13-10/</t>
        </is>
      </c>
      <c r="M99" s="11" t="inlineStr">
        <is>
          <t>BAIXA</t>
        </is>
      </c>
      <c r="N99" s="11" t="inlineStr">
        <is>
          <t>SIM</t>
        </is>
      </c>
      <c r="O99" s="11" t="inlineStr">
        <is>
          <t>SIM</t>
        </is>
      </c>
      <c r="P99" s="11" t="inlineStr">
        <is>
          <t>EXECUTADA - EM MATURAÇÃO</t>
        </is>
      </c>
      <c r="Q99" s="18">
        <f>IF(E99="","",E99+1)</f>
        <v/>
      </c>
      <c r="R99" s="19">
        <f>IF(E99="","",TODAY()-E99)</f>
        <v/>
      </c>
      <c r="S99" s="43" t="n"/>
      <c r="T99" s="43" t="n"/>
      <c r="U99" s="7" t="inlineStr">
        <is>
          <t>27/10/2026</t>
        </is>
      </c>
      <c r="V99" s="41" t="inlineStr">
        <is>
          <t>Executar DEPOIS da O7-006 (estratégia volta a fixo) para o lance novo valer como fixo.</t>
        </is>
      </c>
    </row>
    <row r="100">
      <c r="A100" s="10" t="inlineStr">
        <is>
          <t>O7-014</t>
        </is>
      </c>
      <c r="B100" s="11" t="inlineStr">
        <is>
          <t>O7</t>
        </is>
      </c>
      <c r="C100" s="12" t="n">
        <v>46308</v>
      </c>
      <c r="D100" s="12" t="n">
        <v>46308</v>
      </c>
      <c r="E100" s="12" t="n">
        <v>46308</v>
      </c>
      <c r="F100" s="43" t="inlineStr">
        <is>
          <t>6B Lixeiras banheiro</t>
        </is>
      </c>
      <c r="G100" s="43" t="inlineStr">
        <is>
          <t>exata "lixeira banheiro 7 litros"</t>
        </is>
      </c>
      <c r="H100" s="11" t="inlineStr">
        <is>
          <t>AUMENTAR LANCE</t>
        </is>
      </c>
      <c r="I100" s="65" t="n">
        <v>1.5</v>
      </c>
      <c r="J100" s="11" t="inlineStr">
        <is>
          <t>R$ 1,80 (+20%)</t>
        </is>
      </c>
      <c r="K100" s="11" t="inlineStr">
        <is>
          <t>Regra "&lt; R$ 5 → +20%" reativada: 1.196 impr · 1 cli · R$ 2,30 em 30d.</t>
        </is>
      </c>
      <c r="L100" s="11" t="inlineStr">
        <is>
          <t>ciclos/O7-13-10_lista-refeita-regua-henrique.md + docs/referencia/Otimizacao_de_ADS_assessoria_Henrique.pdf + relatorios/amazon/o7-13-10/</t>
        </is>
      </c>
      <c r="M100" s="11" t="inlineStr">
        <is>
          <t>BAIXA</t>
        </is>
      </c>
      <c r="N100" s="11" t="inlineStr">
        <is>
          <t>SIM</t>
        </is>
      </c>
      <c r="O100" s="11" t="inlineStr">
        <is>
          <t>SIM</t>
        </is>
      </c>
      <c r="P100" s="11" t="inlineStr">
        <is>
          <t>EXECUTADA - EM MATURAÇÃO</t>
        </is>
      </c>
      <c r="Q100" s="18">
        <f>IF(E100="","",E100+1)</f>
        <v/>
      </c>
      <c r="R100" s="19">
        <f>IF(E100="","",TODAY()-E100)</f>
        <v/>
      </c>
      <c r="S100" s="43" t="n"/>
      <c r="T100" s="43" t="n"/>
      <c r="U100" s="7" t="inlineStr">
        <is>
          <t>27/10/2026</t>
        </is>
      </c>
      <c r="V100" s="41" t="inlineStr">
        <is>
          <t>Ressalva: CTR 0,08% — lance maior compra impressão, não clique. Se na O8 seguir sem clique, é CORRIGIR CTR, não lance. Não mexer na exata "pia de cozinha" (14/15, vigia).</t>
        </is>
      </c>
    </row>
    <row r="101">
      <c r="A101" s="10" t="inlineStr">
        <is>
          <t>O7-015</t>
        </is>
      </c>
      <c r="B101" s="11" t="inlineStr">
        <is>
          <t>O7</t>
        </is>
      </c>
      <c r="C101" s="12" t="n">
        <v>46308</v>
      </c>
      <c r="D101" s="12" t="n">
        <v>46308</v>
      </c>
      <c r="E101" s="12" t="n">
        <v>46308</v>
      </c>
      <c r="F101" s="43" t="inlineStr">
        <is>
          <t>auto PXP-o311/08</t>
        </is>
      </c>
      <c r="G101" s="43" t="inlineStr">
        <is>
          <t>segmentação substitutes</t>
        </is>
      </c>
      <c r="H101" s="11" t="inlineStr">
        <is>
          <t>AUMENTAR LANCE</t>
        </is>
      </c>
      <c r="I101" s="65" t="n">
        <v>1.32</v>
      </c>
      <c r="J101" s="11" t="inlineStr">
        <is>
          <t>R$ 1,58 (+20%)</t>
        </is>
      </c>
      <c r="K101" s="11" t="inlineStr">
        <is>
          <t>Regra "&lt; R$ 5 → +20%" reativada: 2.879 impr · 3 cli · R$ 3,03 em 30d.</t>
        </is>
      </c>
      <c r="L101" s="11" t="inlineStr">
        <is>
          <t>ciclos/O7-13-10_lista-refeita-regua-henrique.md + docs/referencia/Otimizacao_de_ADS_assessoria_Henrique.pdf + relatorios/amazon/o7-13-10/</t>
        </is>
      </c>
      <c r="M101" s="11" t="inlineStr">
        <is>
          <t>BAIXA</t>
        </is>
      </c>
      <c r="N101" s="11" t="inlineStr">
        <is>
          <t>SIM</t>
        </is>
      </c>
      <c r="O101" s="11" t="inlineStr">
        <is>
          <t>SIM</t>
        </is>
      </c>
      <c r="P101" s="11" t="inlineStr">
        <is>
          <t>EXECUTADA - EM MATURAÇÃO</t>
        </is>
      </c>
      <c r="Q101" s="18">
        <f>IF(E101="","",E101+1)</f>
        <v/>
      </c>
      <c r="R101" s="19">
        <f>IF(E101="","",TODAY()-E101)</f>
        <v/>
      </c>
      <c r="S101" s="43" t="n"/>
      <c r="T101" s="43" t="n"/>
      <c r="U101" s="7" t="inlineStr">
        <is>
          <t>27/10/2026</t>
        </is>
      </c>
      <c r="V101" s="41" t="inlineStr">
        <is>
          <t>Conflita com a vigia da campanha (10/15 cli sem venda em 30d). Checkpoint de 15 cliques continua valendo: se disparar, abre diagnóstico de conversão do PXP antes de qualquer novo aumento.</t>
        </is>
      </c>
    </row>
    <row r="102">
      <c r="A102" s="10" t="inlineStr">
        <is>
          <t>O7-016</t>
        </is>
      </c>
      <c r="B102" s="11" t="inlineStr">
        <is>
          <t>O7</t>
        </is>
      </c>
      <c r="C102" s="12" t="n">
        <v>46308</v>
      </c>
      <c r="D102" s="12" t="n">
        <v>46308</v>
      </c>
      <c r="E102" s="12" t="n">
        <v>46308</v>
      </c>
      <c r="F102" s="43" t="inlineStr">
        <is>
          <t>PI PXM-o311/08</t>
        </is>
      </c>
      <c r="G102" s="43" t="inlineStr">
        <is>
          <t>orçamento diário</t>
        </is>
      </c>
      <c r="H102" s="11" t="inlineStr">
        <is>
          <t>AUMENTAR ORÇAMENTO</t>
        </is>
      </c>
      <c r="I102" s="66" t="n">
        <v>40</v>
      </c>
      <c r="J102" s="11" t="inlineStr">
        <is>
          <t>R$ 80 (+100%)</t>
        </is>
      </c>
      <c r="K102" s="11" t="inlineStr">
        <is>
          <t>Regra 8 da assessoria: ACOS 0,4% abaixo do Objetivo → +100%. Aprovado pelo LEO. Sem efeito prático: campanha consome 0,2% do orçamento.</t>
        </is>
      </c>
      <c r="L102" s="11" t="inlineStr">
        <is>
          <t>ciclos/O7-13-10_lista-refeita-regua-henrique.md + docs/referencia/Otimizacao_de_ADS_assessoria_Henrique.pdf + relatorios/amazon/o7-13-10/</t>
        </is>
      </c>
      <c r="M102" s="11" t="inlineStr">
        <is>
          <t>BAIXA</t>
        </is>
      </c>
      <c r="N102" s="11" t="inlineStr">
        <is>
          <t>SIM</t>
        </is>
      </c>
      <c r="O102" s="11" t="inlineStr">
        <is>
          <t>SIM</t>
        </is>
      </c>
      <c r="P102" s="11" t="inlineStr">
        <is>
          <t>EXECUTADA - EM MATURAÇÃO</t>
        </is>
      </c>
      <c r="Q102" s="18">
        <f>IF(E102="","",E102+1)</f>
        <v/>
      </c>
      <c r="R102" s="19">
        <f>IF(E102="","",TODAY()-E102)</f>
        <v/>
      </c>
      <c r="S102" s="43" t="n"/>
      <c r="T102" s="43" t="n"/>
      <c r="U102" s="7" t="inlineStr">
        <is>
          <t>27/10/2026</t>
        </is>
      </c>
      <c r="V102" s="41" t="inlineStr">
        <is>
          <t>Executado por fidelidade à régua original; não é alavanca (decisão O4 segue válida para leitura).</t>
        </is>
      </c>
    </row>
    <row r="103">
      <c r="A103" s="10" t="inlineStr">
        <is>
          <t>O7-017</t>
        </is>
      </c>
      <c r="B103" s="11" t="inlineStr">
        <is>
          <t>O7</t>
        </is>
      </c>
      <c r="C103" s="12" t="n">
        <v>46308</v>
      </c>
      <c r="D103" s="12" t="n">
        <v>46308</v>
      </c>
      <c r="E103" s="12" t="n">
        <v>46308</v>
      </c>
      <c r="F103" s="43" t="inlineStr">
        <is>
          <t>PI P3070-o228/07</t>
        </is>
      </c>
      <c r="G103" s="43" t="inlineStr">
        <is>
          <t>orçamento diário</t>
        </is>
      </c>
      <c r="H103" s="11" t="inlineStr">
        <is>
          <t>AUMENTAR ORÇAMENTO</t>
        </is>
      </c>
      <c r="I103" s="66" t="n">
        <v>20</v>
      </c>
      <c r="J103" s="11" t="inlineStr">
        <is>
          <t>R$ 24 (+20%)</t>
        </is>
      </c>
      <c r="K103" s="11" t="inlineStr">
        <is>
          <t>Regra 8 da assessoria: ACOS 13,0% entre Objetivo e Máximo → +20%. Aprovado pelo LEO. Consome 27% do orçamento.</t>
        </is>
      </c>
      <c r="L103" s="11" t="inlineStr">
        <is>
          <t>ciclos/O7-13-10_lista-refeita-regua-henrique.md + docs/referencia/Otimizacao_de_ADS_assessoria_Henrique.pdf + relatorios/amazon/o7-13-10/</t>
        </is>
      </c>
      <c r="M103" s="11" t="inlineStr">
        <is>
          <t>BAIXA</t>
        </is>
      </c>
      <c r="N103" s="11" t="inlineStr">
        <is>
          <t>SIM</t>
        </is>
      </c>
      <c r="O103" s="11" t="inlineStr">
        <is>
          <t>SIM</t>
        </is>
      </c>
      <c r="P103" s="11" t="inlineStr">
        <is>
          <t>EXECUTADA - EM MATURAÇÃO</t>
        </is>
      </c>
      <c r="Q103" s="18">
        <f>IF(E103="","",E103+1)</f>
        <v/>
      </c>
      <c r="R103" s="19">
        <f>IF(E103="","",TODAY()-E103)</f>
        <v/>
      </c>
      <c r="S103" s="43" t="n"/>
      <c r="T103" s="43" t="n"/>
      <c r="U103" s="7" t="inlineStr">
        <is>
          <t>27/10/2026</t>
        </is>
      </c>
      <c r="V103" s="41" t="inlineStr">
        <is>
          <t>Idem O7-016. Campanha segue sem mexida de lance (gatilho O6-004 não disparou).</t>
        </is>
      </c>
    </row>
    <row r="104">
      <c r="A104" s="10" t="inlineStr">
        <is>
          <t>O7-018</t>
        </is>
      </c>
      <c r="B104" s="11" t="inlineStr">
        <is>
          <t>O7</t>
        </is>
      </c>
      <c r="C104" s="12" t="n">
        <v>46308</v>
      </c>
      <c r="D104" s="12" t="n">
        <v>46308</v>
      </c>
      <c r="E104" s="12" t="n">
        <v>46308</v>
      </c>
      <c r="F104" s="43" t="inlineStr">
        <is>
          <t>Conta (método)</t>
        </is>
      </c>
      <c r="G104" s="43" t="inlineStr">
        <is>
          <t>réguas de ACOS — Parâmetros §1</t>
        </is>
      </c>
      <c r="H104" s="11" t="inlineStr">
        <is>
          <t>ALTERAR RÉGUA DE ACOS</t>
        </is>
      </c>
      <c r="I104" s="11" t="inlineStr">
        <is>
          <t>Objetivo 9% · Máximo 18% · Emergência 36% (fixos)</t>
        </is>
      </c>
      <c r="J104" s="11" t="inlineStr">
        <is>
          <t>Máximo = margem média 30d (Mestra) · Objetivo = metade · Emergência = dobro → 25% · 12,5% · 50% (margem 13/09–12/10: 25,1%)</t>
        </is>
      </c>
      <c r="K104" s="11" t="inlineStr">
        <is>
          <t>Definição da assessoria (PDF): ACOS Máximo = margem média bruta dos últimos 30 dias; Objetivo = metade. Aplicado com a margem líquida da Mestra (fonte oficial de margem). Recalcular a cada Ox.</t>
        </is>
      </c>
      <c r="L104" s="11" t="inlineStr">
        <is>
          <t>ciclos/O7-13-10_lista-refeita-regua-henrique.md + docs/referencia/Otimizacao_de_ADS_assessoria_Henrique.pdf + relatorios/amazon/o7-13-10/</t>
        </is>
      </c>
      <c r="M104" s="11" t="inlineStr">
        <is>
          <t>ALTA</t>
        </is>
      </c>
      <c r="N104" s="11" t="inlineStr">
        <is>
          <t>SIM</t>
        </is>
      </c>
      <c r="O104" s="11" t="inlineStr">
        <is>
          <t>SIM</t>
        </is>
      </c>
      <c r="P104" s="11" t="inlineStr">
        <is>
          <t>EXECUTADA - EM MATURAÇÃO</t>
        </is>
      </c>
      <c r="Q104" s="18">
        <f>IF(E104="","",E104+1)</f>
        <v/>
      </c>
      <c r="R104" s="19">
        <f>IF(E104="","",TODAY()-E104)</f>
        <v/>
      </c>
      <c r="S104" s="43" t="n"/>
      <c r="T104" s="43" t="n"/>
      <c r="U104" s="7" t="inlineStr">
        <is>
          <t>27/10/2026</t>
        </is>
      </c>
      <c r="V104" s="41" t="inlineStr">
        <is>
          <t>Não é ação no console. Print do Gestor Seller (margem bruta) pode refinar o número; até lá vale a Mestra. Diagnóstico da O7 relido: ACOS 5,4% da Era = 43% do Objetivo novo.</t>
        </is>
      </c>
    </row>
    <row r="105">
      <c r="A105" s="10" t="inlineStr">
        <is>
          <t>EC-021</t>
        </is>
      </c>
      <c r="B105" s="11" t="inlineStr">
        <is>
          <t>entre-ciclos</t>
        </is>
      </c>
      <c r="C105" s="12" t="n">
        <v>46314</v>
      </c>
      <c r="D105" s="12" t="n">
        <v>46314</v>
      </c>
      <c r="E105" s="12" t="n">
        <v>46314</v>
      </c>
      <c r="F105" s="43" t="inlineStr">
        <is>
          <t>6B Lixeiras banheiro-O4 25/08</t>
        </is>
      </c>
      <c r="G105" s="43" t="inlineStr">
        <is>
          <t>exata "lixeira inox para pia de cozinha" (lance 1,50)</t>
        </is>
      </c>
      <c r="H105" s="11" t="inlineStr">
        <is>
          <t>PAUSAR ALVO</t>
        </is>
      </c>
      <c r="I105" s="11" t="inlineStr">
        <is>
          <t>Ativa, R$ 1,50</t>
        </is>
      </c>
      <c r="J105" s="11" t="inlineStr">
        <is>
          <t>Pausada</t>
        </is>
      </c>
      <c r="K105" s="11" t="inlineStr">
        <is>
          <t>Gatilho O6-008 disparou: vitalício 32 cliques / R$ 45,69 / 0 venda (régua 15). Termo é de pia de cozinha; a 6B anuncia lixeiras de banheiro. A Geral também gastou 13 cli/30d nele sem venda.</t>
        </is>
      </c>
      <c r="L105" s="11" t="inlineStr">
        <is>
          <t>ciclos/Monitoramento-19-10.md + relatorios/amazon/monitoramento-19-10/6b_palavras_vitalicio_19-10.csv</t>
        </is>
      </c>
      <c r="M105" s="11" t="inlineStr">
        <is>
          <t>ALTA</t>
        </is>
      </c>
      <c r="N105" s="11" t="inlineStr">
        <is>
          <t>SIM</t>
        </is>
      </c>
      <c r="O105" s="11" t="inlineStr">
        <is>
          <t>SIM</t>
        </is>
      </c>
      <c r="P105" s="11" t="inlineStr">
        <is>
          <t>EXECUTADA - EM MATURAÇÃO</t>
        </is>
      </c>
      <c r="Q105" s="18">
        <f>IF(E105="","",E105+1)</f>
        <v/>
      </c>
      <c r="R105" s="19">
        <f>IF(E105="","",TODAY()-E105)</f>
        <v/>
      </c>
      <c r="S105" s="43" t="n"/>
      <c r="T105" s="43" t="n"/>
      <c r="U105" s="7" t="inlineStr">
        <is>
          <t>27/10/2026</t>
        </is>
      </c>
      <c r="V105" s="41" t="inlineStr">
        <is>
          <t>Alternativa do contrato O6-008: reduzir para 1,20 em vez de pausar. A frase "pia de cozinha" (2 cli / 1,87) fica. Não negativar na Geral por ora (termo próximo converteu L2025-T).</t>
        </is>
      </c>
    </row>
    <row r="106">
      <c r="A106" s="69" t="inlineStr">
        <is>
          <t>EC-022</t>
        </is>
      </c>
      <c r="B106" s="69" t="inlineStr">
        <is>
          <t>entre-ciclos</t>
        </is>
      </c>
      <c r="C106" s="70" t="n">
        <v>46316</v>
      </c>
      <c r="D106" s="70" t="n">
        <v>46316</v>
      </c>
      <c r="E106" s="70" t="n">
        <v>46316</v>
      </c>
      <c r="F106" s="71" t="inlineStr">
        <is>
          <t>Listing Q2460-B (B0H7YNMBBK)</t>
        </is>
      </c>
      <c r="G106" s="71" t="inlineStr">
        <is>
          <t>título + 5 bullets</t>
        </is>
      </c>
      <c r="H106" s="69" t="inlineStr">
        <is>
          <t>CORRIGIR PÁGINA</t>
        </is>
      </c>
      <c r="I106" s="69" t="inlineStr">
        <is>
          <t>Título 85 car.; bullets genéricos (durável/moderno repetidos, sem medida, uso, peso ou limpeza)</t>
        </is>
      </c>
      <c r="J106" s="69" t="inlineStr">
        <is>
          <t>Título "… com Tampa Flip Top Polida para Escritório e Recepção"; bullets: capacidade 30 L 24x24x60 + usos + saco 30 L · flip top uma mão · aço inox 430 polido · 4 kg, base plana · enviada montada</t>
        </is>
      </c>
      <c r="K106" s="69" t="inlineStr">
        <is>
          <t>Diagnóstico de página 21/10: 0 vendas desde 07/07, 35 cli/0 na Geral, 0 avaliações, marca Genérico. Bullets eram o único item corrigível sem novo ASIN. Marca não citada nas bullets (ASIN genérico). Título curto por orientação da assessoria.</t>
        </is>
      </c>
      <c r="L106" s="69" t="inlineStr">
        <is>
          <t>ciclos/Pagina_Q2460-B_21-10.md + relatorios/amazon/paginas-21-10/</t>
        </is>
      </c>
      <c r="M106" s="69" t="inlineStr">
        <is>
          <t>MÉDIA</t>
        </is>
      </c>
      <c r="N106" s="69" t="inlineStr">
        <is>
          <t>SIM</t>
        </is>
      </c>
      <c r="O106" s="69" t="inlineStr">
        <is>
          <t>SIM</t>
        </is>
      </c>
      <c r="P106" s="69" t="inlineStr">
        <is>
          <t>EXECUTADA - EM MATURAÇÃO</t>
        </is>
      </c>
      <c r="Q106" s="72">
        <f>IF(E106="","",E106+1)</f>
        <v/>
      </c>
      <c r="R106" s="73">
        <f>IF(E106="","",TODAY()-E106)</f>
        <v/>
      </c>
      <c r="S106" s="71" t="n"/>
      <c r="T106" s="71" t="n"/>
      <c r="U106" s="74" t="inlineStr">
        <is>
          <t>24/11/2026</t>
        </is>
      </c>
      <c r="V106" s="71" t="inlineStr">
        <is>
          <t>Ler sessões e conversão do Q2460-B no Business Report por 4 semanas. Anúncio na Geral segue pausado (O6-006). Teste de frete embutido proposto, pendente de decisão de Mestra.</t>
        </is>
      </c>
    </row>
    <row r="107">
      <c r="A107" s="69" t="inlineStr">
        <is>
          <t>EC-023</t>
        </is>
      </c>
      <c r="B107" s="69" t="inlineStr">
        <is>
          <t>entre-ciclos</t>
        </is>
      </c>
      <c r="C107" s="70" t="n">
        <v>46316</v>
      </c>
      <c r="D107" s="70" t="n">
        <v>46316</v>
      </c>
      <c r="E107" s="70" t="n"/>
      <c r="F107" s="71" t="inlineStr">
        <is>
          <t>Oferta Q2460-B (B0H7YNMBBK)</t>
        </is>
      </c>
      <c r="G107" s="71" t="inlineStr">
        <is>
          <t>preço de tabela + modelo de envio</t>
        </is>
      </c>
      <c r="H107" s="69" t="inlineStr">
        <is>
          <t>TESTE DE FRETE GRÁTIS (preço embutido)</t>
        </is>
      </c>
      <c r="I107" s="69" t="inlineStr">
        <is>
          <t>R$ 360,97 · modelo de envio padrão (frete cobrado R$ 39,90 SP Interior, 5–7 dias)</t>
        </is>
      </c>
      <c r="J107" s="69" t="inlineStr">
        <is>
          <t>R$ 399,90 · modelo "fretegratisteste" (R$ 0,00 em todas as 53 regiões, mesmos prazos)</t>
        </is>
      </c>
      <c r="K107" s="69" t="inlineStr">
        <is>
          <t>Busca de 21/10: Winnet em 3º orgânico, único sem "Entrega GRÁTIS" na 1ª tela (Mimo 203 · Tramontina 408 com frete grátis). Frete embutido no preço mantém a margem em SP; frete real de Médios = 71% da tabela (dados/ANALISE_frete_tabela_x_real_20-10.csv). Teste em 1 SKU, reversível. Decisão LEO + Dianna.</t>
        </is>
      </c>
      <c r="L107" s="69" t="inlineStr">
        <is>
          <t>ciclos/Pagina_Q2460-B_21-10.md + relatorios/amazon/paginas-21-10/</t>
        </is>
      </c>
      <c r="M107" s="69" t="inlineStr">
        <is>
          <t>MÉDIA</t>
        </is>
      </c>
      <c r="N107" s="69" t="inlineStr">
        <is>
          <t>SIM</t>
        </is>
      </c>
      <c r="O107" s="69" t="inlineStr">
        <is>
          <t>NÃO</t>
        </is>
      </c>
      <c r="P107" s="69" t="inlineStr">
        <is>
          <t>APROVADA - AGUARDANDO EXECUÇÃO</t>
        </is>
      </c>
      <c r="Q107" s="72">
        <f>IF(E107="","",E107+1)</f>
        <v/>
      </c>
      <c r="R107" s="73">
        <f>IF(E107="","",TODAY()-E107)</f>
        <v/>
      </c>
      <c r="S107" s="71" t="n"/>
      <c r="T107" s="71" t="n"/>
      <c r="U107" s="74" t="inlineStr">
        <is>
          <t>18/11/2026</t>
        </is>
      </c>
      <c r="V107" s="71" t="inlineStr">
        <is>
          <t>Ordem: preço primeiro, modelo depois. Modelo só neste SKU. Leitura: sessões e conversão no Business Report por 4 semanas; se converter, estender a P3070/P3060/P4080 antes da BF. Aprendizado migra para o anúncio novo (oferta ≠ ASIN).</t>
        </is>
      </c>
    </row>
    <row r="108">
      <c r="A108" s="10" t="n"/>
      <c r="B108" s="11" t="n"/>
      <c r="C108" s="12" t="n"/>
      <c r="D108" s="12" t="n"/>
      <c r="E108" s="12" t="n"/>
      <c r="F108" s="43" t="n"/>
      <c r="G108" s="43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8">
        <f>IF(E108="","",E108+1)</f>
        <v/>
      </c>
      <c r="R108" s="19">
        <f>IF(E108="","",TODAY()-E108)</f>
        <v/>
      </c>
      <c r="S108" s="43" t="n"/>
      <c r="T108" s="43" t="n"/>
      <c r="U108" s="7" t="n"/>
      <c r="V108" s="41" t="n"/>
    </row>
    <row r="109">
      <c r="A109" s="10" t="n"/>
      <c r="B109" s="11" t="n"/>
      <c r="C109" s="12" t="n"/>
      <c r="D109" s="12" t="n"/>
      <c r="E109" s="12" t="n"/>
      <c r="F109" s="43" t="n"/>
      <c r="G109" s="43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8">
        <f>IF(E109="","",E109+1)</f>
        <v/>
      </c>
      <c r="R109" s="19">
        <f>IF(E109="","",TODAY()-E109)</f>
        <v/>
      </c>
      <c r="S109" s="43" t="n"/>
      <c r="T109" s="43" t="n"/>
      <c r="U109" s="7" t="n"/>
      <c r="V109" s="41" t="n"/>
    </row>
    <row r="110">
      <c r="A110" s="10" t="n"/>
      <c r="B110" s="11" t="n"/>
      <c r="C110" s="12" t="n"/>
      <c r="D110" s="12" t="n"/>
      <c r="E110" s="12" t="n"/>
      <c r="F110" s="43" t="n"/>
      <c r="G110" s="43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8">
        <f>IF(E110="","",E110+1)</f>
        <v/>
      </c>
      <c r="R110" s="19">
        <f>IF(E110="","",TODAY()-E110)</f>
        <v/>
      </c>
      <c r="S110" s="43" t="n"/>
      <c r="T110" s="43" t="n"/>
      <c r="U110" s="7" t="n"/>
      <c r="V110" s="41" t="n"/>
    </row>
    <row r="111">
      <c r="A111" s="10" t="n"/>
      <c r="B111" s="11" t="n"/>
      <c r="C111" s="12" t="n"/>
      <c r="D111" s="12" t="n"/>
      <c r="E111" s="12" t="n"/>
      <c r="F111" s="43" t="n"/>
      <c r="G111" s="43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8">
        <f>IF(E111="","",E111+1)</f>
        <v/>
      </c>
      <c r="R111" s="19">
        <f>IF(E111="","",TODAY()-E111)</f>
        <v/>
      </c>
      <c r="S111" s="43" t="n"/>
      <c r="T111" s="43" t="n"/>
      <c r="U111" s="7" t="n"/>
      <c r="V111" s="41" t="n"/>
    </row>
    <row r="112">
      <c r="A112" s="10" t="n"/>
      <c r="B112" s="11" t="n"/>
      <c r="C112" s="12" t="n"/>
      <c r="D112" s="12" t="n"/>
      <c r="E112" s="12" t="n"/>
      <c r="F112" s="43" t="n"/>
      <c r="G112" s="43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8">
        <f>IF(E112="","",E112+1)</f>
        <v/>
      </c>
      <c r="R112" s="19">
        <f>IF(E112="","",TODAY()-E112)</f>
        <v/>
      </c>
      <c r="S112" s="43" t="n"/>
      <c r="T112" s="43" t="n"/>
      <c r="U112" s="7" t="n"/>
      <c r="V112" s="41" t="n"/>
    </row>
    <row r="113">
      <c r="A113" s="10" t="n"/>
      <c r="B113" s="11" t="n"/>
      <c r="C113" s="12" t="n"/>
      <c r="D113" s="12" t="n"/>
      <c r="E113" s="12" t="n"/>
      <c r="F113" s="43" t="n"/>
      <c r="G113" s="43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8">
        <f>IF(E113="","",E113+1)</f>
        <v/>
      </c>
      <c r="R113" s="19">
        <f>IF(E113="","",TODAY()-E113)</f>
        <v/>
      </c>
      <c r="S113" s="43" t="n"/>
      <c r="T113" s="43" t="n"/>
      <c r="U113" s="7" t="n"/>
      <c r="V113" s="41" t="n"/>
    </row>
    <row r="114">
      <c r="A114" s="10" t="n"/>
      <c r="B114" s="11" t="n"/>
      <c r="C114" s="12" t="n"/>
      <c r="D114" s="12" t="n"/>
      <c r="E114" s="12" t="n"/>
      <c r="F114" s="43" t="n"/>
      <c r="G114" s="43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8">
        <f>IF(E114="","",E114+1)</f>
        <v/>
      </c>
      <c r="R114" s="19">
        <f>IF(E114="","",TODAY()-E114)</f>
        <v/>
      </c>
      <c r="S114" s="43" t="n"/>
      <c r="T114" s="43" t="n"/>
      <c r="U114" s="7" t="n"/>
      <c r="V114" s="41" t="n"/>
    </row>
    <row r="115">
      <c r="A115" s="10" t="n"/>
      <c r="B115" s="11" t="n"/>
      <c r="C115" s="12" t="n"/>
      <c r="D115" s="12" t="n"/>
      <c r="E115" s="12" t="n"/>
      <c r="F115" s="43" t="n"/>
      <c r="G115" s="43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8">
        <f>IF(E115="","",E115+1)</f>
        <v/>
      </c>
      <c r="R115" s="19">
        <f>IF(E115="","",TODAY()-E115)</f>
        <v/>
      </c>
      <c r="S115" s="43" t="n"/>
      <c r="T115" s="43" t="n"/>
      <c r="U115" s="7" t="n"/>
      <c r="V115" s="41" t="n"/>
    </row>
    <row r="116">
      <c r="A116" s="10" t="n"/>
      <c r="B116" s="11" t="n"/>
      <c r="C116" s="12" t="n"/>
      <c r="D116" s="12" t="n"/>
      <c r="E116" s="12" t="n"/>
      <c r="F116" s="43" t="n"/>
      <c r="G116" s="43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8">
        <f>IF(E116="","",E116+1)</f>
        <v/>
      </c>
      <c r="R116" s="19">
        <f>IF(E116="","",TODAY()-E116)</f>
        <v/>
      </c>
      <c r="S116" s="43" t="n"/>
      <c r="T116" s="43" t="n"/>
      <c r="U116" s="7" t="n"/>
      <c r="V116" s="41" t="n"/>
    </row>
    <row r="117">
      <c r="A117" s="10" t="n"/>
      <c r="B117" s="11" t="n"/>
      <c r="C117" s="12" t="n"/>
      <c r="D117" s="12" t="n"/>
      <c r="E117" s="12" t="n"/>
      <c r="F117" s="43" t="n"/>
      <c r="G117" s="43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8">
        <f>IF(E117="","",E117+1)</f>
        <v/>
      </c>
      <c r="R117" s="19">
        <f>IF(E117="","",TODAY()-E117)</f>
        <v/>
      </c>
      <c r="S117" s="43" t="n"/>
      <c r="T117" s="43" t="n"/>
      <c r="U117" s="7" t="n"/>
      <c r="V117" s="41" t="n"/>
    </row>
    <row r="118">
      <c r="A118" s="10" t="n"/>
      <c r="B118" s="11" t="n"/>
      <c r="C118" s="12" t="n"/>
      <c r="D118" s="12" t="n"/>
      <c r="E118" s="12" t="n"/>
      <c r="F118" s="43" t="n"/>
      <c r="G118" s="43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8">
        <f>IF(E118="","",E118+1)</f>
        <v/>
      </c>
      <c r="R118" s="19">
        <f>IF(E118="","",TODAY()-E118)</f>
        <v/>
      </c>
      <c r="S118" s="43" t="n"/>
      <c r="T118" s="43" t="n"/>
      <c r="U118" s="7" t="n"/>
      <c r="V118" s="41" t="n"/>
    </row>
    <row r="119">
      <c r="A119" s="10" t="n"/>
      <c r="B119" s="11" t="n"/>
      <c r="C119" s="12" t="n"/>
      <c r="D119" s="12" t="n"/>
      <c r="E119" s="12" t="n"/>
      <c r="F119" s="43" t="n"/>
      <c r="G119" s="43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8">
        <f>IF(E119="","",E119+1)</f>
        <v/>
      </c>
      <c r="R119" s="19">
        <f>IF(E119="","",TODAY()-E119)</f>
        <v/>
      </c>
      <c r="S119" s="43" t="n"/>
      <c r="T119" s="43" t="n"/>
      <c r="U119" s="7" t="n"/>
      <c r="V119" s="41" t="n"/>
    </row>
    <row r="120">
      <c r="A120" s="10" t="n"/>
      <c r="B120" s="11" t="n"/>
      <c r="C120" s="12" t="n"/>
      <c r="D120" s="12" t="n"/>
      <c r="E120" s="12" t="n"/>
      <c r="F120" s="43" t="n"/>
      <c r="G120" s="43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8">
        <f>IF(E120="","",E120+1)</f>
        <v/>
      </c>
      <c r="R120" s="19">
        <f>IF(E120="","",TODAY()-E120)</f>
        <v/>
      </c>
      <c r="S120" s="43" t="n"/>
      <c r="T120" s="43" t="n"/>
      <c r="U120" s="7" t="n"/>
      <c r="V120" s="41" t="n"/>
    </row>
    <row r="121">
      <c r="A121" s="10" t="n"/>
      <c r="B121" s="11" t="n"/>
      <c r="C121" s="12" t="n"/>
      <c r="D121" s="12" t="n"/>
      <c r="E121" s="12" t="n"/>
      <c r="F121" s="43" t="n"/>
      <c r="G121" s="43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8">
        <f>IF(E121="","",E121+1)</f>
        <v/>
      </c>
      <c r="R121" s="19">
        <f>IF(E121="","",TODAY()-E121)</f>
        <v/>
      </c>
      <c r="S121" s="43" t="n"/>
      <c r="T121" s="43" t="n"/>
      <c r="U121" s="7" t="n"/>
      <c r="V121" s="41" t="n"/>
    </row>
    <row r="122">
      <c r="A122" s="10" t="n"/>
      <c r="B122" s="11" t="n"/>
      <c r="C122" s="12" t="n"/>
      <c r="D122" s="12" t="n"/>
      <c r="E122" s="12" t="n"/>
      <c r="F122" s="43" t="n"/>
      <c r="G122" s="43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8">
        <f>IF(E122="","",E122+1)</f>
        <v/>
      </c>
      <c r="R122" s="19">
        <f>IF(E122="","",TODAY()-E122)</f>
        <v/>
      </c>
      <c r="S122" s="43" t="n"/>
      <c r="T122" s="43" t="n"/>
      <c r="U122" s="7" t="n"/>
      <c r="V122" s="41" t="n"/>
    </row>
    <row r="123">
      <c r="A123" s="10" t="n"/>
      <c r="B123" s="11" t="n"/>
      <c r="C123" s="12" t="n"/>
      <c r="D123" s="12" t="n"/>
      <c r="E123" s="12" t="n"/>
      <c r="F123" s="43" t="n"/>
      <c r="G123" s="43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8">
        <f>IF(E123="","",E123+1)</f>
        <v/>
      </c>
      <c r="R123" s="19">
        <f>IF(E123="","",TODAY()-E123)</f>
        <v/>
      </c>
      <c r="S123" s="43" t="n"/>
      <c r="T123" s="43" t="n"/>
      <c r="U123" s="7" t="n"/>
      <c r="V123" s="41" t="n"/>
    </row>
    <row r="124">
      <c r="A124" s="10" t="n"/>
      <c r="B124" s="11" t="n"/>
      <c r="C124" s="12" t="n"/>
      <c r="D124" s="12" t="n"/>
      <c r="E124" s="12" t="n"/>
      <c r="F124" s="43" t="n"/>
      <c r="G124" s="43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8">
        <f>IF(E124="","",E124+1)</f>
        <v/>
      </c>
      <c r="R124" s="19">
        <f>IF(E124="","",TODAY()-E124)</f>
        <v/>
      </c>
      <c r="S124" s="43" t="n"/>
      <c r="T124" s="43" t="n"/>
      <c r="U124" s="7" t="n"/>
      <c r="V124" s="41" t="n"/>
    </row>
    <row r="125">
      <c r="A125" s="10" t="n"/>
      <c r="B125" s="11" t="n"/>
      <c r="C125" s="12" t="n"/>
      <c r="D125" s="12" t="n"/>
      <c r="E125" s="12" t="n"/>
      <c r="F125" s="43" t="n"/>
      <c r="G125" s="43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8">
        <f>IF(E125="","",E125+1)</f>
        <v/>
      </c>
      <c r="R125" s="19">
        <f>IF(E125="","",TODAY()-E125)</f>
        <v/>
      </c>
      <c r="S125" s="43" t="n"/>
      <c r="T125" s="43" t="n"/>
      <c r="U125" s="7" t="n"/>
      <c r="V125" s="41" t="n"/>
    </row>
    <row r="126">
      <c r="A126" s="10" t="n"/>
      <c r="B126" s="11" t="n"/>
      <c r="C126" s="12" t="n"/>
      <c r="D126" s="12" t="n"/>
      <c r="E126" s="12" t="n"/>
      <c r="F126" s="43" t="n"/>
      <c r="G126" s="43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8">
        <f>IF(E126="","",E126+1)</f>
        <v/>
      </c>
      <c r="R126" s="19">
        <f>IF(E126="","",TODAY()-E126)</f>
        <v/>
      </c>
      <c r="S126" s="43" t="n"/>
      <c r="T126" s="43" t="n"/>
      <c r="U126" s="7" t="n"/>
      <c r="V126" s="41" t="n"/>
    </row>
    <row r="127">
      <c r="A127" s="10" t="n"/>
      <c r="B127" s="11" t="n"/>
      <c r="C127" s="12" t="n"/>
      <c r="D127" s="12" t="n"/>
      <c r="E127" s="12" t="n"/>
      <c r="F127" s="43" t="n"/>
      <c r="G127" s="43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8">
        <f>IF(E127="","",E127+1)</f>
        <v/>
      </c>
      <c r="R127" s="19">
        <f>IF(E127="","",TODAY()-E127)</f>
        <v/>
      </c>
      <c r="S127" s="43" t="n"/>
      <c r="T127" s="43" t="n"/>
      <c r="U127" s="7" t="n"/>
      <c r="V127" s="41" t="n"/>
    </row>
    <row r="128">
      <c r="A128" s="10" t="n"/>
      <c r="B128" s="11" t="n"/>
      <c r="C128" s="12" t="n"/>
      <c r="D128" s="12" t="n"/>
      <c r="E128" s="12" t="n"/>
      <c r="F128" s="43" t="n"/>
      <c r="G128" s="43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8">
        <f>IF(E128="","",E128+1)</f>
        <v/>
      </c>
      <c r="R128" s="19">
        <f>IF(E128="","",TODAY()-E128)</f>
        <v/>
      </c>
      <c r="S128" s="43" t="n"/>
      <c r="T128" s="43" t="n"/>
      <c r="U128" s="7" t="n"/>
      <c r="V128" s="41" t="n"/>
    </row>
    <row r="129">
      <c r="A129" s="10" t="n"/>
      <c r="B129" s="11" t="n"/>
      <c r="C129" s="12" t="n"/>
      <c r="D129" s="12" t="n"/>
      <c r="E129" s="12" t="n"/>
      <c r="F129" s="43" t="n"/>
      <c r="G129" s="43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8">
        <f>IF(E129="","",E129+1)</f>
        <v/>
      </c>
      <c r="R129" s="19">
        <f>IF(E129="","",TODAY()-E129)</f>
        <v/>
      </c>
      <c r="S129" s="43" t="n"/>
      <c r="T129" s="43" t="n"/>
      <c r="U129" s="7" t="n"/>
      <c r="V129" s="41" t="n"/>
    </row>
    <row r="130">
      <c r="A130" s="10" t="n"/>
      <c r="B130" s="11" t="n"/>
      <c r="C130" s="12" t="n"/>
      <c r="D130" s="12" t="n"/>
      <c r="E130" s="12" t="n"/>
      <c r="F130" s="43" t="n"/>
      <c r="G130" s="43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8">
        <f>IF(E130="","",E130+1)</f>
        <v/>
      </c>
      <c r="R130" s="19">
        <f>IF(E130="","",TODAY()-E130)</f>
        <v/>
      </c>
      <c r="S130" s="43" t="n"/>
      <c r="T130" s="43" t="n"/>
      <c r="U130" s="7" t="n"/>
      <c r="V130" s="41" t="n"/>
    </row>
    <row r="131">
      <c r="A131" s="10" t="n"/>
      <c r="B131" s="11" t="n"/>
      <c r="C131" s="12" t="n"/>
      <c r="D131" s="12" t="n"/>
      <c r="E131" s="12" t="n"/>
      <c r="F131" s="43" t="n"/>
      <c r="G131" s="43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8">
        <f>IF(E131="","",E131+1)</f>
        <v/>
      </c>
      <c r="R131" s="19">
        <f>IF(E131="","",TODAY()-E131)</f>
        <v/>
      </c>
      <c r="S131" s="43" t="n"/>
      <c r="T131" s="43" t="n"/>
      <c r="U131" s="7" t="n"/>
      <c r="V131" s="41" t="n"/>
    </row>
    <row r="132">
      <c r="A132" s="10" t="n"/>
      <c r="B132" s="11" t="n"/>
      <c r="C132" s="12" t="n"/>
      <c r="D132" s="12" t="n"/>
      <c r="E132" s="12" t="n"/>
      <c r="F132" s="43" t="n"/>
      <c r="G132" s="43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8">
        <f>IF(E132="","",E132+1)</f>
        <v/>
      </c>
      <c r="R132" s="19">
        <f>IF(E132="","",TODAY()-E132)</f>
        <v/>
      </c>
      <c r="S132" s="43" t="n"/>
      <c r="T132" s="43" t="n"/>
      <c r="U132" s="7" t="n"/>
      <c r="V132" s="41" t="n"/>
    </row>
    <row r="133">
      <c r="A133" s="10" t="n"/>
      <c r="B133" s="11" t="n"/>
      <c r="C133" s="12" t="n"/>
      <c r="D133" s="12" t="n"/>
      <c r="E133" s="12" t="n"/>
      <c r="F133" s="43" t="n"/>
      <c r="G133" s="43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8">
        <f>IF(E133="","",E133+1)</f>
        <v/>
      </c>
      <c r="R133" s="19">
        <f>IF(E133="","",TODAY()-E133)</f>
        <v/>
      </c>
      <c r="S133" s="43" t="n"/>
      <c r="T133" s="43" t="n"/>
      <c r="U133" s="7" t="n"/>
      <c r="V133" s="41" t="n"/>
    </row>
    <row r="134">
      <c r="A134" s="10" t="n"/>
      <c r="B134" s="11" t="n"/>
      <c r="C134" s="12" t="n"/>
      <c r="D134" s="12" t="n"/>
      <c r="E134" s="12" t="n"/>
      <c r="F134" s="43" t="n"/>
      <c r="G134" s="43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8">
        <f>IF(E134="","",E134+1)</f>
        <v/>
      </c>
      <c r="R134" s="19">
        <f>IF(E134="","",TODAY()-E134)</f>
        <v/>
      </c>
      <c r="S134" s="43" t="n"/>
      <c r="T134" s="43" t="n"/>
      <c r="U134" s="7" t="n"/>
      <c r="V134" s="41" t="n"/>
    </row>
    <row r="135">
      <c r="A135" s="10" t="n"/>
      <c r="B135" s="11" t="n"/>
      <c r="C135" s="12" t="n"/>
      <c r="D135" s="12" t="n"/>
      <c r="E135" s="12" t="n"/>
      <c r="F135" s="43" t="n"/>
      <c r="G135" s="43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8">
        <f>IF(E135="","",E135+1)</f>
        <v/>
      </c>
      <c r="R135" s="19">
        <f>IF(E135="","",TODAY()-E135)</f>
        <v/>
      </c>
      <c r="S135" s="43" t="n"/>
      <c r="T135" s="43" t="n"/>
      <c r="U135" s="7" t="n"/>
      <c r="V135" s="41" t="n"/>
    </row>
    <row r="136">
      <c r="A136" s="10" t="n"/>
      <c r="B136" s="11" t="n"/>
      <c r="C136" s="12" t="n"/>
      <c r="D136" s="12" t="n"/>
      <c r="E136" s="12" t="n"/>
      <c r="F136" s="43" t="n"/>
      <c r="G136" s="43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8">
        <f>IF(E136="","",E136+1)</f>
        <v/>
      </c>
      <c r="R136" s="19">
        <f>IF(E136="","",TODAY()-E136)</f>
        <v/>
      </c>
      <c r="S136" s="43" t="n"/>
      <c r="T136" s="43" t="n"/>
      <c r="U136" s="7" t="n"/>
      <c r="V136" s="41" t="n"/>
    </row>
    <row r="137">
      <c r="A137" s="10" t="n"/>
      <c r="B137" s="11" t="n"/>
      <c r="C137" s="12" t="n"/>
      <c r="D137" s="12" t="n"/>
      <c r="E137" s="12" t="n"/>
      <c r="F137" s="43" t="n"/>
      <c r="G137" s="43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8">
        <f>IF(E137="","",E137+1)</f>
        <v/>
      </c>
      <c r="R137" s="19">
        <f>IF(E137="","",TODAY()-E137)</f>
        <v/>
      </c>
      <c r="S137" s="43" t="n"/>
      <c r="T137" s="43" t="n"/>
      <c r="U137" s="7" t="n"/>
      <c r="V137" s="41" t="n"/>
    </row>
    <row r="138">
      <c r="A138" s="10" t="n"/>
      <c r="B138" s="11" t="n"/>
      <c r="C138" s="12" t="n"/>
      <c r="D138" s="12" t="n"/>
      <c r="E138" s="12" t="n"/>
      <c r="F138" s="43" t="n"/>
      <c r="G138" s="43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8">
        <f>IF(E138="","",E138+1)</f>
        <v/>
      </c>
      <c r="R138" s="19">
        <f>IF(E138="","",TODAY()-E138)</f>
        <v/>
      </c>
      <c r="S138" s="43" t="n"/>
      <c r="T138" s="43" t="n"/>
      <c r="U138" s="7" t="n"/>
      <c r="V138" s="41" t="n"/>
    </row>
    <row r="139">
      <c r="A139" s="10" t="n"/>
      <c r="B139" s="11" t="n"/>
      <c r="C139" s="12" t="n"/>
      <c r="D139" s="12" t="n"/>
      <c r="E139" s="12" t="n"/>
      <c r="F139" s="43" t="n"/>
      <c r="G139" s="43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8">
        <f>IF(E139="","",E139+1)</f>
        <v/>
      </c>
      <c r="R139" s="19">
        <f>IF(E139="","",TODAY()-E139)</f>
        <v/>
      </c>
      <c r="S139" s="43" t="n"/>
      <c r="T139" s="43" t="n"/>
      <c r="U139" s="7" t="n"/>
      <c r="V139" s="41" t="n"/>
    </row>
    <row r="140">
      <c r="A140" s="10" t="n"/>
      <c r="B140" s="11" t="n"/>
      <c r="C140" s="12" t="n"/>
      <c r="D140" s="12" t="n"/>
      <c r="E140" s="12" t="n"/>
      <c r="F140" s="43" t="n"/>
      <c r="G140" s="43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8">
        <f>IF(E140="","",E140+1)</f>
        <v/>
      </c>
      <c r="R140" s="19">
        <f>IF(E140="","",TODAY()-E140)</f>
        <v/>
      </c>
      <c r="S140" s="43" t="n"/>
      <c r="T140" s="43" t="n"/>
      <c r="U140" s="7" t="n"/>
      <c r="V140" s="41" t="n"/>
    </row>
    <row r="141">
      <c r="A141" s="10" t="n"/>
      <c r="B141" s="11" t="n"/>
      <c r="C141" s="12" t="n"/>
      <c r="D141" s="12" t="n"/>
      <c r="E141" s="12" t="n"/>
      <c r="F141" s="43" t="n"/>
      <c r="G141" s="43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8">
        <f>IF(E141="","",E141+1)</f>
        <v/>
      </c>
      <c r="R141" s="19">
        <f>IF(E141="","",TODAY()-E141)</f>
        <v/>
      </c>
      <c r="S141" s="43" t="n"/>
      <c r="T141" s="43" t="n"/>
      <c r="U141" s="7" t="n"/>
      <c r="V141" s="41" t="n"/>
    </row>
    <row r="142">
      <c r="A142" s="10" t="n"/>
      <c r="B142" s="11" t="n"/>
      <c r="C142" s="12" t="n"/>
      <c r="D142" s="12" t="n"/>
      <c r="E142" s="12" t="n"/>
      <c r="F142" s="43" t="n"/>
      <c r="G142" s="43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8">
        <f>IF(E142="","",E142+1)</f>
        <v/>
      </c>
      <c r="R142" s="19">
        <f>IF(E142="","",TODAY()-E142)</f>
        <v/>
      </c>
      <c r="S142" s="43" t="n"/>
      <c r="T142" s="43" t="n"/>
      <c r="U142" s="7" t="n"/>
      <c r="V142" s="41" t="n"/>
    </row>
    <row r="143">
      <c r="A143" s="10" t="n"/>
      <c r="B143" s="11" t="n"/>
      <c r="C143" s="12" t="n"/>
      <c r="D143" s="12" t="n"/>
      <c r="E143" s="12" t="n"/>
      <c r="F143" s="43" t="n"/>
      <c r="G143" s="43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8">
        <f>IF(E143="","",E143+1)</f>
        <v/>
      </c>
      <c r="R143" s="19">
        <f>IF(E143="","",TODAY()-E143)</f>
        <v/>
      </c>
      <c r="S143" s="43" t="n"/>
      <c r="T143" s="43" t="n"/>
      <c r="U143" s="7" t="n"/>
      <c r="V143" s="41" t="n"/>
    </row>
    <row r="144">
      <c r="A144" s="10" t="n"/>
      <c r="B144" s="11" t="n"/>
      <c r="C144" s="12" t="n"/>
      <c r="D144" s="12" t="n"/>
      <c r="E144" s="12" t="n"/>
      <c r="F144" s="43" t="n"/>
      <c r="G144" s="43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8">
        <f>IF(E144="","",E144+1)</f>
        <v/>
      </c>
      <c r="R144" s="19">
        <f>IF(E144="","",TODAY()-E144)</f>
        <v/>
      </c>
      <c r="S144" s="43" t="n"/>
      <c r="T144" s="43" t="n"/>
      <c r="U144" s="7" t="n"/>
      <c r="V144" s="41" t="n"/>
    </row>
    <row r="145">
      <c r="A145" s="10" t="n"/>
      <c r="B145" s="11" t="n"/>
      <c r="C145" s="12" t="n"/>
      <c r="D145" s="12" t="n"/>
      <c r="E145" s="12" t="n"/>
      <c r="F145" s="43" t="n"/>
      <c r="G145" s="43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8">
        <f>IF(E145="","",E145+1)</f>
        <v/>
      </c>
      <c r="R145" s="19">
        <f>IF(E145="","",TODAY()-E145)</f>
        <v/>
      </c>
      <c r="S145" s="43" t="n"/>
      <c r="T145" s="43" t="n"/>
      <c r="U145" s="7" t="n"/>
      <c r="V145" s="41" t="n"/>
    </row>
    <row r="146">
      <c r="A146" s="10" t="n"/>
      <c r="B146" s="11" t="n"/>
      <c r="C146" s="12" t="n"/>
      <c r="D146" s="12" t="n"/>
      <c r="E146" s="12" t="n"/>
      <c r="F146" s="43" t="n"/>
      <c r="G146" s="43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8">
        <f>IF(E146="","",E146+1)</f>
        <v/>
      </c>
      <c r="R146" s="19">
        <f>IF(E146="","",TODAY()-E146)</f>
        <v/>
      </c>
      <c r="S146" s="43" t="n"/>
      <c r="T146" s="43" t="n"/>
      <c r="U146" s="7" t="n"/>
      <c r="V146" s="41" t="n"/>
    </row>
    <row r="147">
      <c r="A147" s="10" t="n"/>
      <c r="B147" s="11" t="n"/>
      <c r="C147" s="12" t="n"/>
      <c r="D147" s="12" t="n"/>
      <c r="E147" s="12" t="n"/>
      <c r="F147" s="43" t="n"/>
      <c r="G147" s="43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8">
        <f>IF(E147="","",E147+1)</f>
        <v/>
      </c>
      <c r="R147" s="19">
        <f>IF(E147="","",TODAY()-E147)</f>
        <v/>
      </c>
      <c r="S147" s="43" t="n"/>
      <c r="T147" s="43" t="n"/>
      <c r="U147" s="7" t="n"/>
      <c r="V147" s="41" t="n"/>
    </row>
    <row r="148">
      <c r="A148" s="10" t="n"/>
      <c r="B148" s="11" t="n"/>
      <c r="C148" s="12" t="n"/>
      <c r="D148" s="12" t="n"/>
      <c r="E148" s="12" t="n"/>
      <c r="F148" s="43" t="n"/>
      <c r="G148" s="43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8">
        <f>IF(E148="","",E148+1)</f>
        <v/>
      </c>
      <c r="R148" s="19">
        <f>IF(E148="","",TODAY()-E148)</f>
        <v/>
      </c>
      <c r="S148" s="43" t="n"/>
      <c r="T148" s="43" t="n"/>
      <c r="U148" s="7" t="n"/>
      <c r="V148" s="41" t="n"/>
    </row>
    <row r="149">
      <c r="A149" s="10" t="n"/>
      <c r="B149" s="11" t="n"/>
      <c r="C149" s="12" t="n"/>
      <c r="D149" s="12" t="n"/>
      <c r="E149" s="12" t="n"/>
      <c r="F149" s="43" t="n"/>
      <c r="G149" s="43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8">
        <f>IF(E149="","",E149+1)</f>
        <v/>
      </c>
      <c r="R149" s="19">
        <f>IF(E149="","",TODAY()-E149)</f>
        <v/>
      </c>
      <c r="S149" s="43" t="n"/>
      <c r="T149" s="43" t="n"/>
      <c r="U149" s="7" t="n"/>
      <c r="V149" s="41" t="n"/>
    </row>
    <row r="150">
      <c r="A150" s="10" t="n"/>
      <c r="B150" s="11" t="n"/>
      <c r="C150" s="12" t="n"/>
      <c r="D150" s="12" t="n"/>
      <c r="E150" s="12" t="n"/>
      <c r="F150" s="43" t="n"/>
      <c r="G150" s="43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8">
        <f>IF(E150="","",E150+1)</f>
        <v/>
      </c>
      <c r="R150" s="19">
        <f>IF(E150="","",TODAY()-E150)</f>
        <v/>
      </c>
      <c r="S150" s="43" t="n"/>
      <c r="T150" s="43" t="n"/>
      <c r="U150" s="7" t="n"/>
      <c r="V150" s="41" t="n"/>
    </row>
    <row r="151">
      <c r="A151" s="10" t="n"/>
      <c r="B151" s="11" t="n"/>
      <c r="C151" s="12" t="n"/>
      <c r="D151" s="12" t="n"/>
      <c r="E151" s="12" t="n"/>
      <c r="F151" s="43" t="n"/>
      <c r="G151" s="43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8">
        <f>IF(E151="","",E151+1)</f>
        <v/>
      </c>
      <c r="R151" s="19">
        <f>IF(E151="","",TODAY()-E151)</f>
        <v/>
      </c>
      <c r="S151" s="43" t="n"/>
      <c r="T151" s="43" t="n"/>
      <c r="U151" s="7" t="n"/>
      <c r="V151" s="41" t="n"/>
    </row>
    <row r="152">
      <c r="A152" s="10" t="n"/>
      <c r="B152" s="11" t="n"/>
      <c r="C152" s="12" t="n"/>
      <c r="D152" s="12" t="n"/>
      <c r="E152" s="12" t="n"/>
      <c r="F152" s="43" t="n"/>
      <c r="G152" s="43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8">
        <f>IF(E152="","",E152+1)</f>
        <v/>
      </c>
      <c r="R152" s="19">
        <f>IF(E152="","",TODAY()-E152)</f>
        <v/>
      </c>
      <c r="S152" s="43" t="n"/>
      <c r="T152" s="43" t="n"/>
      <c r="U152" s="7" t="n"/>
      <c r="V152" s="41" t="n"/>
    </row>
    <row r="153">
      <c r="A153" s="10" t="n"/>
      <c r="B153" s="11" t="n"/>
      <c r="C153" s="12" t="n"/>
      <c r="D153" s="12" t="n"/>
      <c r="E153" s="12" t="n"/>
      <c r="F153" s="43" t="n"/>
      <c r="G153" s="43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8">
        <f>IF(E153="","",E153+1)</f>
        <v/>
      </c>
      <c r="R153" s="19">
        <f>IF(E153="","",TODAY()-E153)</f>
        <v/>
      </c>
      <c r="S153" s="43" t="n"/>
      <c r="T153" s="43" t="n"/>
      <c r="U153" s="7" t="n"/>
      <c r="V153" s="41" t="n"/>
    </row>
    <row r="154">
      <c r="A154" s="10" t="n"/>
      <c r="B154" s="11" t="n"/>
      <c r="C154" s="12" t="n"/>
      <c r="D154" s="12" t="n"/>
      <c r="E154" s="12" t="n"/>
      <c r="F154" s="43" t="n"/>
      <c r="G154" s="43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8">
        <f>IF(E154="","",E154+1)</f>
        <v/>
      </c>
      <c r="R154" s="19">
        <f>IF(E154="","",TODAY()-E154)</f>
        <v/>
      </c>
      <c r="S154" s="43" t="n"/>
      <c r="T154" s="43" t="n"/>
      <c r="U154" s="7" t="n"/>
      <c r="V154" s="41" t="n"/>
    </row>
    <row r="155">
      <c r="A155" s="10" t="n"/>
      <c r="B155" s="11" t="n"/>
      <c r="C155" s="12" t="n"/>
      <c r="D155" s="12" t="n"/>
      <c r="E155" s="12" t="n"/>
      <c r="F155" s="43" t="n"/>
      <c r="G155" s="43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8">
        <f>IF(E155="","",E155+1)</f>
        <v/>
      </c>
      <c r="R155" s="19">
        <f>IF(E155="","",TODAY()-E155)</f>
        <v/>
      </c>
      <c r="S155" s="43" t="n"/>
      <c r="T155" s="43" t="n"/>
      <c r="U155" s="7" t="n"/>
      <c r="V155" s="41" t="n"/>
    </row>
    <row r="156">
      <c r="A156" s="10" t="n"/>
      <c r="B156" s="11" t="n"/>
      <c r="C156" s="12" t="n"/>
      <c r="D156" s="12" t="n"/>
      <c r="E156" s="12" t="n"/>
      <c r="F156" s="43" t="n"/>
      <c r="G156" s="43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8">
        <f>IF(E156="","",E156+1)</f>
        <v/>
      </c>
      <c r="R156" s="19">
        <f>IF(E156="","",TODAY()-E156)</f>
        <v/>
      </c>
      <c r="S156" s="43" t="n"/>
      <c r="T156" s="43" t="n"/>
      <c r="U156" s="7" t="n"/>
      <c r="V156" s="41" t="n"/>
    </row>
    <row r="157">
      <c r="A157" s="10" t="n"/>
      <c r="B157" s="11" t="n"/>
      <c r="C157" s="12" t="n"/>
      <c r="D157" s="12" t="n"/>
      <c r="E157" s="12" t="n"/>
      <c r="F157" s="43" t="n"/>
      <c r="G157" s="43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8">
        <f>IF(E157="","",E157+1)</f>
        <v/>
      </c>
      <c r="R157" s="19">
        <f>IF(E157="","",TODAY()-E157)</f>
        <v/>
      </c>
      <c r="S157" s="43" t="n"/>
      <c r="T157" s="43" t="n"/>
      <c r="U157" s="7" t="n"/>
      <c r="V157" s="41" t="n"/>
    </row>
    <row r="158">
      <c r="A158" s="10" t="n"/>
      <c r="B158" s="11" t="n"/>
      <c r="C158" s="12" t="n"/>
      <c r="D158" s="12" t="n"/>
      <c r="E158" s="12" t="n"/>
      <c r="F158" s="22" t="n"/>
      <c r="G158" s="22" t="n"/>
      <c r="H158" s="11" t="n"/>
      <c r="I158" s="24" t="n"/>
      <c r="J158" s="24" t="n"/>
      <c r="K158" s="24" t="n"/>
      <c r="L158" s="24" t="n"/>
      <c r="M158" s="11" t="n"/>
      <c r="N158" s="11" t="n"/>
      <c r="O158" s="11" t="n"/>
      <c r="P158" s="11" t="n"/>
      <c r="Q158" s="18">
        <f>IF(E158="","",E158+1)</f>
        <v/>
      </c>
      <c r="R158" s="19">
        <f>IF(E158="","",TODAY()-E158)</f>
        <v/>
      </c>
      <c r="S158" s="22" t="n"/>
      <c r="T158" s="22" t="n"/>
      <c r="U158" s="7" t="n"/>
      <c r="V158" s="26" t="n"/>
    </row>
    <row r="159">
      <c r="A159" s="10" t="n"/>
      <c r="B159" s="11" t="n"/>
      <c r="C159" s="12" t="n"/>
      <c r="D159" s="12" t="n"/>
      <c r="E159" s="12" t="n"/>
      <c r="F159" s="22" t="n"/>
      <c r="G159" s="22" t="n"/>
      <c r="H159" s="11" t="n"/>
      <c r="I159" s="24" t="n"/>
      <c r="J159" s="24" t="n"/>
      <c r="K159" s="24" t="n"/>
      <c r="L159" s="24" t="n"/>
      <c r="M159" s="11" t="n"/>
      <c r="N159" s="11" t="n"/>
      <c r="O159" s="11" t="n"/>
      <c r="P159" s="11" t="n"/>
      <c r="Q159" s="18">
        <f>IF(E159="","",E159+1)</f>
        <v/>
      </c>
      <c r="R159" s="19">
        <f>IF(E159="","",TODAY()-E159)</f>
        <v/>
      </c>
      <c r="S159" s="22" t="n"/>
      <c r="T159" s="22" t="n"/>
      <c r="U159" s="7" t="n"/>
      <c r="V159" s="26" t="n"/>
    </row>
    <row r="160">
      <c r="A160" s="10" t="n"/>
      <c r="B160" s="11" t="n"/>
      <c r="C160" s="12" t="n"/>
      <c r="D160" s="12" t="n"/>
      <c r="E160" s="12" t="n"/>
      <c r="F160" s="22" t="n"/>
      <c r="G160" s="22" t="n"/>
      <c r="H160" s="11" t="n"/>
      <c r="I160" s="24" t="n"/>
      <c r="J160" s="24" t="n"/>
      <c r="K160" s="24" t="n"/>
      <c r="L160" s="24" t="n"/>
      <c r="M160" s="11" t="n"/>
      <c r="N160" s="11" t="n"/>
      <c r="O160" s="11" t="n"/>
      <c r="P160" s="11" t="n"/>
      <c r="Q160" s="18">
        <f>IF(E160="","",E160+1)</f>
        <v/>
      </c>
      <c r="R160" s="19">
        <f>IF(E160="","",TODAY()-E160)</f>
        <v/>
      </c>
      <c r="S160" s="22" t="n"/>
      <c r="T160" s="22" t="n"/>
      <c r="U160" s="7" t="n"/>
      <c r="V160" s="26" t="n"/>
    </row>
    <row r="161">
      <c r="A161" s="10" t="n"/>
      <c r="B161" s="11" t="n"/>
      <c r="C161" s="12" t="n"/>
      <c r="D161" s="12" t="n"/>
      <c r="E161" s="12" t="n"/>
      <c r="F161" s="22" t="n"/>
      <c r="G161" s="22" t="n"/>
      <c r="H161" s="11" t="n"/>
      <c r="I161" s="24" t="n"/>
      <c r="J161" s="24" t="n"/>
      <c r="K161" s="24" t="n"/>
      <c r="L161" s="24" t="n"/>
      <c r="M161" s="11" t="n"/>
      <c r="N161" s="11" t="n"/>
      <c r="O161" s="11" t="n"/>
      <c r="P161" s="11" t="n"/>
      <c r="Q161" s="18">
        <f>IF(E161="","",E161+1)</f>
        <v/>
      </c>
      <c r="R161" s="19">
        <f>IF(E161="","",TODAY()-E161)</f>
        <v/>
      </c>
      <c r="S161" s="22" t="n"/>
      <c r="T161" s="22" t="n"/>
      <c r="U161" s="7" t="n"/>
      <c r="V161" s="26" t="n"/>
    </row>
    <row r="162">
      <c r="A162" s="10" t="n"/>
      <c r="B162" s="11" t="n"/>
      <c r="C162" s="12" t="n"/>
      <c r="D162" s="12" t="n"/>
      <c r="E162" s="12" t="n"/>
      <c r="F162" s="22" t="n"/>
      <c r="G162" s="22" t="n"/>
      <c r="H162" s="11" t="n"/>
      <c r="I162" s="24" t="n"/>
      <c r="J162" s="24" t="n"/>
      <c r="K162" s="24" t="n"/>
      <c r="L162" s="24" t="n"/>
      <c r="M162" s="11" t="n"/>
      <c r="N162" s="11" t="n"/>
      <c r="O162" s="11" t="n"/>
      <c r="P162" s="11" t="n"/>
      <c r="Q162" s="18">
        <f>IF(E162="","",E162+1)</f>
        <v/>
      </c>
      <c r="R162" s="19">
        <f>IF(E162="","",TODAY()-E162)</f>
        <v/>
      </c>
      <c r="S162" s="22" t="n"/>
      <c r="T162" s="22" t="n"/>
      <c r="U162" s="7" t="n"/>
      <c r="V162" s="26" t="n"/>
    </row>
    <row r="163">
      <c r="A163" s="10" t="n"/>
      <c r="B163" s="11" t="n"/>
      <c r="C163" s="12" t="n"/>
      <c r="D163" s="12" t="n"/>
      <c r="E163" s="12" t="n"/>
      <c r="F163" s="22" t="n"/>
      <c r="G163" s="22" t="n"/>
      <c r="H163" s="11" t="n"/>
      <c r="I163" s="24" t="n"/>
      <c r="J163" s="24" t="n"/>
      <c r="K163" s="24" t="n"/>
      <c r="L163" s="24" t="n"/>
      <c r="M163" s="11" t="n"/>
      <c r="N163" s="11" t="n"/>
      <c r="O163" s="11" t="n"/>
      <c r="P163" s="11" t="n"/>
      <c r="Q163" s="18">
        <f>IF(E163="","",E163+1)</f>
        <v/>
      </c>
      <c r="R163" s="19">
        <f>IF(E163="","",TODAY()-E163)</f>
        <v/>
      </c>
      <c r="S163" s="22" t="n"/>
      <c r="T163" s="22" t="n"/>
      <c r="U163" s="7" t="n"/>
      <c r="V163" s="26" t="n"/>
    </row>
    <row r="164">
      <c r="A164" s="10" t="n"/>
      <c r="B164" s="11" t="n"/>
      <c r="C164" s="12" t="n"/>
      <c r="D164" s="12" t="n"/>
      <c r="E164" s="12" t="n"/>
      <c r="F164" s="22" t="n"/>
      <c r="G164" s="22" t="n"/>
      <c r="H164" s="11" t="n"/>
      <c r="I164" s="24" t="n"/>
      <c r="J164" s="24" t="n"/>
      <c r="K164" s="24" t="n"/>
      <c r="L164" s="24" t="n"/>
      <c r="M164" s="11" t="n"/>
      <c r="N164" s="11" t="n"/>
      <c r="O164" s="11" t="n"/>
      <c r="P164" s="11" t="n"/>
      <c r="Q164" s="18">
        <f>IF(E164="","",E164+1)</f>
        <v/>
      </c>
      <c r="R164" s="19">
        <f>IF(E164="","",TODAY()-E164)</f>
        <v/>
      </c>
      <c r="S164" s="22" t="n"/>
      <c r="T164" s="22" t="n"/>
      <c r="U164" s="7" t="n"/>
      <c r="V164" s="26" t="n"/>
    </row>
    <row r="165">
      <c r="A165" s="10" t="n"/>
      <c r="B165" s="11" t="n"/>
      <c r="C165" s="12" t="n"/>
      <c r="D165" s="12" t="n"/>
      <c r="E165" s="12" t="n"/>
      <c r="F165" s="22" t="n"/>
      <c r="G165" s="22" t="n"/>
      <c r="H165" s="11" t="n"/>
      <c r="I165" s="24" t="n"/>
      <c r="J165" s="24" t="n"/>
      <c r="K165" s="24" t="n"/>
      <c r="L165" s="24" t="n"/>
      <c r="M165" s="11" t="n"/>
      <c r="N165" s="11" t="n"/>
      <c r="O165" s="11" t="n"/>
      <c r="P165" s="11" t="n"/>
      <c r="Q165" s="18">
        <f>IF(E165="","",E165+1)</f>
        <v/>
      </c>
      <c r="R165" s="19">
        <f>IF(E165="","",TODAY()-E165)</f>
        <v/>
      </c>
      <c r="S165" s="22" t="n"/>
      <c r="T165" s="22" t="n"/>
      <c r="U165" s="7" t="n"/>
      <c r="V165" s="26" t="n"/>
    </row>
    <row r="166">
      <c r="A166" s="10" t="n"/>
      <c r="B166" s="11" t="n"/>
      <c r="C166" s="12" t="n"/>
      <c r="D166" s="12" t="n"/>
      <c r="E166" s="12" t="n"/>
      <c r="F166" s="22" t="n"/>
      <c r="G166" s="22" t="n"/>
      <c r="H166" s="11" t="n"/>
      <c r="I166" s="24" t="n"/>
      <c r="J166" s="24" t="n"/>
      <c r="K166" s="24" t="n"/>
      <c r="L166" s="24" t="n"/>
      <c r="M166" s="11" t="n"/>
      <c r="N166" s="11" t="n"/>
      <c r="O166" s="11" t="n"/>
      <c r="P166" s="11" t="n"/>
      <c r="Q166" s="18">
        <f>IF(E166="","",E166+1)</f>
        <v/>
      </c>
      <c r="R166" s="19">
        <f>IF(E166="","",TODAY()-E166)</f>
        <v/>
      </c>
      <c r="S166" s="22" t="n"/>
      <c r="T166" s="22" t="n"/>
      <c r="U166" s="7" t="n"/>
      <c r="V166" s="26" t="n"/>
    </row>
    <row r="167">
      <c r="A167" s="10" t="n"/>
      <c r="B167" s="11" t="n"/>
      <c r="C167" s="12" t="n"/>
      <c r="D167" s="12" t="n"/>
      <c r="E167" s="12" t="n"/>
      <c r="F167" s="22" t="n"/>
      <c r="G167" s="22" t="n"/>
      <c r="H167" s="11" t="n"/>
      <c r="I167" s="24" t="n"/>
      <c r="J167" s="24" t="n"/>
      <c r="K167" s="24" t="n"/>
      <c r="L167" s="24" t="n"/>
      <c r="M167" s="11" t="n"/>
      <c r="N167" s="11" t="n"/>
      <c r="O167" s="11" t="n"/>
      <c r="P167" s="11" t="n"/>
      <c r="Q167" s="18">
        <f>IF(E167="","",E167+1)</f>
        <v/>
      </c>
      <c r="R167" s="19">
        <f>IF(E167="","",TODAY()-E167)</f>
        <v/>
      </c>
      <c r="S167" s="22" t="n"/>
      <c r="T167" s="22" t="n"/>
      <c r="U167" s="7" t="n"/>
      <c r="V167" s="26" t="n"/>
    </row>
    <row r="168">
      <c r="A168" s="10" t="n"/>
      <c r="B168" s="11" t="n"/>
      <c r="C168" s="12" t="n"/>
      <c r="D168" s="12" t="n"/>
      <c r="E168" s="12" t="n"/>
      <c r="F168" s="22" t="n"/>
      <c r="G168" s="22" t="n"/>
      <c r="H168" s="11" t="n"/>
      <c r="I168" s="24" t="n"/>
      <c r="J168" s="24" t="n"/>
      <c r="K168" s="24" t="n"/>
      <c r="L168" s="24" t="n"/>
      <c r="M168" s="11" t="n"/>
      <c r="N168" s="11" t="n"/>
      <c r="O168" s="11" t="n"/>
      <c r="P168" s="11" t="n"/>
      <c r="Q168" s="18">
        <f>IF(E168="","",E168+1)</f>
        <v/>
      </c>
      <c r="R168" s="19">
        <f>IF(E168="","",TODAY()-E168)</f>
        <v/>
      </c>
      <c r="S168" s="22" t="n"/>
      <c r="T168" s="22" t="n"/>
      <c r="U168" s="7" t="n"/>
      <c r="V168" s="26" t="n"/>
    </row>
    <row r="169">
      <c r="A169" s="10" t="n"/>
      <c r="B169" s="11" t="n"/>
      <c r="C169" s="12" t="n"/>
      <c r="D169" s="12" t="n"/>
      <c r="E169" s="12" t="n"/>
      <c r="F169" s="22" t="n"/>
      <c r="G169" s="22" t="n"/>
      <c r="H169" s="11" t="n"/>
      <c r="I169" s="24" t="n"/>
      <c r="J169" s="24" t="n"/>
      <c r="K169" s="24" t="n"/>
      <c r="L169" s="24" t="n"/>
      <c r="M169" s="11" t="n"/>
      <c r="N169" s="11" t="n"/>
      <c r="O169" s="11" t="n"/>
      <c r="P169" s="11" t="n"/>
      <c r="Q169" s="18">
        <f>IF(E169="","",E169+1)</f>
        <v/>
      </c>
      <c r="R169" s="19">
        <f>IF(E169="","",TODAY()-E169)</f>
        <v/>
      </c>
      <c r="S169" s="22" t="n"/>
      <c r="T169" s="22" t="n"/>
      <c r="U169" s="7" t="n"/>
      <c r="V169" s="26" t="n"/>
    </row>
    <row r="170">
      <c r="A170" s="10" t="n"/>
      <c r="B170" s="11" t="n"/>
      <c r="C170" s="12" t="n"/>
      <c r="D170" s="12" t="n"/>
      <c r="E170" s="12" t="n"/>
      <c r="F170" s="22" t="n"/>
      <c r="G170" s="22" t="n"/>
      <c r="H170" s="11" t="n"/>
      <c r="I170" s="24" t="n"/>
      <c r="J170" s="24" t="n"/>
      <c r="K170" s="24" t="n"/>
      <c r="L170" s="24" t="n"/>
      <c r="M170" s="11" t="n"/>
      <c r="N170" s="11" t="n"/>
      <c r="O170" s="11" t="n"/>
      <c r="P170" s="11" t="n"/>
      <c r="Q170" s="18">
        <f>IF(E170="","",E170+1)</f>
        <v/>
      </c>
      <c r="R170" s="19">
        <f>IF(E170="","",TODAY()-E170)</f>
        <v/>
      </c>
      <c r="S170" s="22" t="n"/>
      <c r="T170" s="22" t="n"/>
      <c r="U170" s="7" t="n"/>
      <c r="V170" s="26" t="n"/>
    </row>
    <row r="171">
      <c r="A171" s="10" t="n"/>
      <c r="B171" s="11" t="n"/>
      <c r="C171" s="12" t="n"/>
      <c r="D171" s="12" t="n"/>
      <c r="E171" s="12" t="n"/>
      <c r="F171" s="22" t="n"/>
      <c r="G171" s="22" t="n"/>
      <c r="H171" s="11" t="n"/>
      <c r="I171" s="24" t="n"/>
      <c r="J171" s="24" t="n"/>
      <c r="K171" s="24" t="n"/>
      <c r="L171" s="24" t="n"/>
      <c r="M171" s="11" t="n"/>
      <c r="N171" s="11" t="n"/>
      <c r="O171" s="11" t="n"/>
      <c r="P171" s="11" t="n"/>
      <c r="Q171" s="18">
        <f>IF(E171="","",E171+1)</f>
        <v/>
      </c>
      <c r="R171" s="19">
        <f>IF(E171="","",TODAY()-E171)</f>
        <v/>
      </c>
      <c r="S171" s="22" t="n"/>
      <c r="T171" s="22" t="n"/>
      <c r="U171" s="7" t="n"/>
      <c r="V171" s="26" t="n"/>
    </row>
    <row r="172">
      <c r="A172" s="10" t="n"/>
      <c r="B172" s="11" t="n"/>
      <c r="C172" s="12" t="n"/>
      <c r="D172" s="12" t="n"/>
      <c r="E172" s="12" t="n"/>
      <c r="F172" s="22" t="n"/>
      <c r="G172" s="22" t="n"/>
      <c r="H172" s="11" t="n"/>
      <c r="I172" s="24" t="n"/>
      <c r="J172" s="24" t="n"/>
      <c r="K172" s="24" t="n"/>
      <c r="L172" s="24" t="n"/>
      <c r="M172" s="11" t="n"/>
      <c r="N172" s="11" t="n"/>
      <c r="O172" s="11" t="n"/>
      <c r="P172" s="11" t="n"/>
      <c r="Q172" s="18">
        <f>IF(E172="","",E172+1)</f>
        <v/>
      </c>
      <c r="R172" s="19">
        <f>IF(E172="","",TODAY()-E172)</f>
        <v/>
      </c>
      <c r="S172" s="22" t="n"/>
      <c r="T172" s="22" t="n"/>
      <c r="U172" s="7" t="n"/>
      <c r="V172" s="26" t="n"/>
    </row>
    <row r="173">
      <c r="A173" s="10" t="n"/>
      <c r="B173" s="11" t="n"/>
      <c r="C173" s="12" t="n"/>
      <c r="D173" s="12" t="n"/>
      <c r="E173" s="12" t="n"/>
      <c r="F173" s="22" t="n"/>
      <c r="G173" s="22" t="n"/>
      <c r="H173" s="11" t="n"/>
      <c r="I173" s="24" t="n"/>
      <c r="J173" s="24" t="n"/>
      <c r="K173" s="24" t="n"/>
      <c r="L173" s="24" t="n"/>
      <c r="M173" s="11" t="n"/>
      <c r="N173" s="11" t="n"/>
      <c r="O173" s="11" t="n"/>
      <c r="P173" s="11" t="n"/>
      <c r="Q173" s="18">
        <f>IF(E173="","",E173+1)</f>
        <v/>
      </c>
      <c r="R173" s="19">
        <f>IF(E173="","",TODAY()-E173)</f>
        <v/>
      </c>
      <c r="S173" s="22" t="n"/>
      <c r="T173" s="22" t="n"/>
      <c r="U173" s="7" t="n"/>
      <c r="V173" s="26" t="n"/>
    </row>
    <row r="174">
      <c r="A174" s="10" t="n"/>
      <c r="B174" s="11" t="n"/>
      <c r="C174" s="12" t="n"/>
      <c r="D174" s="12" t="n"/>
      <c r="E174" s="12" t="n"/>
      <c r="F174" s="22" t="n"/>
      <c r="G174" s="22" t="n"/>
      <c r="H174" s="11" t="n"/>
      <c r="I174" s="24" t="n"/>
      <c r="J174" s="24" t="n"/>
      <c r="K174" s="24" t="n"/>
      <c r="L174" s="24" t="n"/>
      <c r="M174" s="11" t="n"/>
      <c r="N174" s="11" t="n"/>
      <c r="O174" s="11" t="n"/>
      <c r="P174" s="11" t="n"/>
      <c r="Q174" s="18">
        <f>IF(E174="","",E174+1)</f>
        <v/>
      </c>
      <c r="R174" s="19">
        <f>IF(E174="","",TODAY()-E174)</f>
        <v/>
      </c>
      <c r="S174" s="22" t="n"/>
      <c r="T174" s="22" t="n"/>
      <c r="U174" s="7" t="n"/>
      <c r="V174" s="26" t="n"/>
    </row>
    <row r="175">
      <c r="A175" s="10" t="n"/>
      <c r="B175" s="11" t="n"/>
      <c r="C175" s="12" t="n"/>
      <c r="D175" s="12" t="n"/>
      <c r="E175" s="12" t="n"/>
      <c r="F175" s="22" t="n"/>
      <c r="G175" s="22" t="n"/>
      <c r="H175" s="11" t="n"/>
      <c r="I175" s="24" t="n"/>
      <c r="J175" s="24" t="n"/>
      <c r="K175" s="24" t="n"/>
      <c r="L175" s="24" t="n"/>
      <c r="M175" s="11" t="n"/>
      <c r="N175" s="11" t="n"/>
      <c r="O175" s="11" t="n"/>
      <c r="P175" s="11" t="n"/>
      <c r="Q175" s="18">
        <f>IF(E175="","",E175+1)</f>
        <v/>
      </c>
      <c r="R175" s="19">
        <f>IF(E175="","",TODAY()-E175)</f>
        <v/>
      </c>
      <c r="S175" s="22" t="n"/>
      <c r="T175" s="22" t="n"/>
      <c r="U175" s="7" t="n"/>
      <c r="V175" s="26" t="n"/>
    </row>
    <row r="176">
      <c r="A176" s="10" t="n"/>
      <c r="B176" s="11" t="n"/>
      <c r="C176" s="12" t="n"/>
      <c r="D176" s="12" t="n"/>
      <c r="E176" s="12" t="n"/>
      <c r="F176" s="22" t="n"/>
      <c r="G176" s="22" t="n"/>
      <c r="H176" s="11" t="n"/>
      <c r="I176" s="24" t="n"/>
      <c r="J176" s="24" t="n"/>
      <c r="K176" s="24" t="n"/>
      <c r="L176" s="24" t="n"/>
      <c r="M176" s="11" t="n"/>
      <c r="N176" s="11" t="n"/>
      <c r="O176" s="11" t="n"/>
      <c r="P176" s="11" t="n"/>
      <c r="Q176" s="18">
        <f>IF(E176="","",E176+1)</f>
        <v/>
      </c>
      <c r="R176" s="19">
        <f>IF(E176="","",TODAY()-E176)</f>
        <v/>
      </c>
      <c r="S176" s="22" t="n"/>
      <c r="T176" s="22" t="n"/>
      <c r="U176" s="7" t="n"/>
      <c r="V176" s="26" t="n"/>
    </row>
    <row r="177">
      <c r="A177" s="10" t="n"/>
      <c r="B177" s="11" t="n"/>
      <c r="C177" s="12" t="n"/>
      <c r="D177" s="12" t="n"/>
      <c r="E177" s="12" t="n"/>
      <c r="F177" s="22" t="n"/>
      <c r="G177" s="22" t="n"/>
      <c r="H177" s="11" t="n"/>
      <c r="I177" s="24" t="n"/>
      <c r="J177" s="24" t="n"/>
      <c r="K177" s="24" t="n"/>
      <c r="L177" s="24" t="n"/>
      <c r="M177" s="11" t="n"/>
      <c r="N177" s="11" t="n"/>
      <c r="O177" s="11" t="n"/>
      <c r="P177" s="11" t="n"/>
      <c r="Q177" s="18">
        <f>IF(E177="","",E177+1)</f>
        <v/>
      </c>
      <c r="R177" s="19">
        <f>IF(E177="","",TODAY()-E177)</f>
        <v/>
      </c>
      <c r="S177" s="22" t="n"/>
      <c r="T177" s="22" t="n"/>
      <c r="U177" s="7" t="n"/>
      <c r="V177" s="26" t="n"/>
    </row>
    <row r="178">
      <c r="A178" s="10" t="n"/>
      <c r="B178" s="11" t="n"/>
      <c r="C178" s="12" t="n"/>
      <c r="D178" s="12" t="n"/>
      <c r="E178" s="12" t="n"/>
      <c r="F178" s="22" t="n"/>
      <c r="G178" s="22" t="n"/>
      <c r="H178" s="11" t="n"/>
      <c r="I178" s="24" t="n"/>
      <c r="J178" s="24" t="n"/>
      <c r="K178" s="24" t="n"/>
      <c r="L178" s="24" t="n"/>
      <c r="M178" s="11" t="n"/>
      <c r="N178" s="11" t="n"/>
      <c r="O178" s="11" t="n"/>
      <c r="P178" s="11" t="n"/>
      <c r="Q178" s="18">
        <f>IF(E178="","",E178+1)</f>
        <v/>
      </c>
      <c r="R178" s="19">
        <f>IF(E178="","",TODAY()-E178)</f>
        <v/>
      </c>
      <c r="S178" s="22" t="n"/>
      <c r="T178" s="22" t="n"/>
      <c r="U178" s="7" t="n"/>
      <c r="V178" s="26" t="n"/>
    </row>
    <row r="179">
      <c r="A179" s="10" t="n"/>
      <c r="B179" s="11" t="n"/>
      <c r="C179" s="12" t="n"/>
      <c r="D179" s="12" t="n"/>
      <c r="E179" s="12" t="n"/>
      <c r="F179" s="22" t="n"/>
      <c r="G179" s="22" t="n"/>
      <c r="H179" s="11" t="n"/>
      <c r="I179" s="24" t="n"/>
      <c r="J179" s="24" t="n"/>
      <c r="K179" s="24" t="n"/>
      <c r="L179" s="24" t="n"/>
      <c r="M179" s="11" t="n"/>
      <c r="N179" s="11" t="n"/>
      <c r="O179" s="11" t="n"/>
      <c r="P179" s="11" t="n"/>
      <c r="Q179" s="18">
        <f>IF(E179="","",E179+1)</f>
        <v/>
      </c>
      <c r="R179" s="19">
        <f>IF(E179="","",TODAY()-E179)</f>
        <v/>
      </c>
      <c r="S179" s="22" t="n"/>
      <c r="T179" s="22" t="n"/>
      <c r="U179" s="7" t="n"/>
      <c r="V179" s="26" t="n"/>
    </row>
    <row r="180">
      <c r="A180" s="10" t="n"/>
      <c r="B180" s="11" t="n"/>
      <c r="C180" s="12" t="n"/>
      <c r="D180" s="12" t="n"/>
      <c r="E180" s="12" t="n"/>
      <c r="F180" s="22" t="n"/>
      <c r="G180" s="22" t="n"/>
      <c r="H180" s="11" t="n"/>
      <c r="I180" s="24" t="n"/>
      <c r="J180" s="24" t="n"/>
      <c r="K180" s="24" t="n"/>
      <c r="L180" s="24" t="n"/>
      <c r="M180" s="11" t="n"/>
      <c r="N180" s="11" t="n"/>
      <c r="O180" s="11" t="n"/>
      <c r="P180" s="11" t="n"/>
      <c r="Q180" s="18">
        <f>IF(E180="","",E180+1)</f>
        <v/>
      </c>
      <c r="R180" s="19">
        <f>IF(E180="","",TODAY()-E180)</f>
        <v/>
      </c>
      <c r="S180" s="22" t="n"/>
      <c r="T180" s="22" t="n"/>
      <c r="U180" s="7" t="n"/>
      <c r="V180" s="26" t="n"/>
    </row>
    <row r="181">
      <c r="A181" s="10" t="n"/>
      <c r="B181" s="11" t="n"/>
      <c r="C181" s="12" t="n"/>
      <c r="D181" s="12" t="n"/>
      <c r="E181" s="12" t="n"/>
      <c r="F181" s="22" t="n"/>
      <c r="G181" s="22" t="n"/>
      <c r="H181" s="11" t="n"/>
      <c r="I181" s="24" t="n"/>
      <c r="J181" s="24" t="n"/>
      <c r="K181" s="24" t="n"/>
      <c r="L181" s="24" t="n"/>
      <c r="M181" s="11" t="n"/>
      <c r="N181" s="11" t="n"/>
      <c r="O181" s="11" t="n"/>
      <c r="P181" s="11" t="n"/>
      <c r="Q181" s="18">
        <f>IF(E181="","",E181+1)</f>
        <v/>
      </c>
      <c r="R181" s="19">
        <f>IF(E181="","",TODAY()-E181)</f>
        <v/>
      </c>
      <c r="S181" s="22" t="n"/>
      <c r="T181" s="22" t="n"/>
      <c r="U181" s="7" t="n"/>
      <c r="V181" s="26" t="n"/>
    </row>
    <row r="182">
      <c r="A182" s="10" t="n"/>
      <c r="B182" s="11" t="n"/>
      <c r="C182" s="12" t="n"/>
      <c r="D182" s="12" t="n"/>
      <c r="E182" s="12" t="n"/>
      <c r="F182" s="22" t="n"/>
      <c r="G182" s="22" t="n"/>
      <c r="H182" s="11" t="n"/>
      <c r="I182" s="24" t="n"/>
      <c r="J182" s="24" t="n"/>
      <c r="K182" s="24" t="n"/>
      <c r="L182" s="24" t="n"/>
      <c r="M182" s="11" t="n"/>
      <c r="N182" s="11" t="n"/>
      <c r="O182" s="11" t="n"/>
      <c r="P182" s="11" t="n"/>
      <c r="Q182" s="18">
        <f>IF(E182="","",E182+1)</f>
        <v/>
      </c>
      <c r="R182" s="19">
        <f>IF(E182="","",TODAY()-E182)</f>
        <v/>
      </c>
      <c r="S182" s="22" t="n"/>
      <c r="T182" s="22" t="n"/>
      <c r="U182" s="7" t="n"/>
      <c r="V182" s="26" t="n"/>
    </row>
    <row r="183">
      <c r="A183" s="10" t="n"/>
      <c r="B183" s="11" t="n"/>
      <c r="C183" s="12" t="n"/>
      <c r="D183" s="12" t="n"/>
      <c r="E183" s="12" t="n"/>
      <c r="F183" s="22" t="n"/>
      <c r="G183" s="22" t="n"/>
      <c r="H183" s="11" t="n"/>
      <c r="I183" s="24" t="n"/>
      <c r="J183" s="24" t="n"/>
      <c r="K183" s="24" t="n"/>
      <c r="L183" s="24" t="n"/>
      <c r="M183" s="11" t="n"/>
      <c r="N183" s="11" t="n"/>
      <c r="O183" s="11" t="n"/>
      <c r="P183" s="11" t="n"/>
      <c r="Q183" s="18">
        <f>IF(E183="","",E183+1)</f>
        <v/>
      </c>
      <c r="R183" s="19">
        <f>IF(E183="","",TODAY()-E183)</f>
        <v/>
      </c>
      <c r="S183" s="22" t="n"/>
      <c r="T183" s="22" t="n"/>
      <c r="U183" s="7" t="n"/>
      <c r="V183" s="26" t="n"/>
    </row>
    <row r="184">
      <c r="A184" s="10" t="n"/>
      <c r="B184" s="11" t="n"/>
      <c r="C184" s="12" t="n"/>
      <c r="D184" s="12" t="n"/>
      <c r="E184" s="12" t="n"/>
      <c r="F184" s="22" t="n"/>
      <c r="G184" s="22" t="n"/>
      <c r="H184" s="11" t="n"/>
      <c r="I184" s="24" t="n"/>
      <c r="J184" s="24" t="n"/>
      <c r="K184" s="24" t="n"/>
      <c r="L184" s="24" t="n"/>
      <c r="M184" s="11" t="n"/>
      <c r="N184" s="11" t="n"/>
      <c r="O184" s="11" t="n"/>
      <c r="P184" s="11" t="n"/>
      <c r="Q184" s="18">
        <f>IF(E184="","",E184+1)</f>
        <v/>
      </c>
      <c r="R184" s="19">
        <f>IF(E184="","",TODAY()-E184)</f>
        <v/>
      </c>
      <c r="S184" s="22" t="n"/>
      <c r="T184" s="22" t="n"/>
      <c r="U184" s="7" t="n"/>
      <c r="V184" s="26" t="n"/>
    </row>
    <row r="185">
      <c r="A185" s="10" t="n"/>
      <c r="B185" s="11" t="n"/>
      <c r="C185" s="12" t="n"/>
      <c r="D185" s="12" t="n"/>
      <c r="E185" s="12" t="n"/>
      <c r="F185" s="22" t="n"/>
      <c r="G185" s="22" t="n"/>
      <c r="H185" s="11" t="n"/>
      <c r="I185" s="24" t="n"/>
      <c r="J185" s="24" t="n"/>
      <c r="K185" s="24" t="n"/>
      <c r="L185" s="24" t="n"/>
      <c r="M185" s="11" t="n"/>
      <c r="N185" s="11" t="n"/>
      <c r="O185" s="11" t="n"/>
      <c r="P185" s="11" t="n"/>
      <c r="Q185" s="18">
        <f>IF(E185="","",E185+1)</f>
        <v/>
      </c>
      <c r="R185" s="19">
        <f>IF(E185="","",TODAY()-E185)</f>
        <v/>
      </c>
      <c r="S185" s="22" t="n"/>
      <c r="T185" s="22" t="n"/>
      <c r="U185" s="7" t="n"/>
      <c r="V185" s="26" t="n"/>
    </row>
    <row r="186">
      <c r="A186" s="10" t="n"/>
      <c r="B186" s="11" t="n"/>
      <c r="C186" s="12" t="n"/>
      <c r="D186" s="12" t="n"/>
      <c r="E186" s="12" t="n"/>
      <c r="F186" s="22" t="n"/>
      <c r="G186" s="22" t="n"/>
      <c r="H186" s="11" t="n"/>
      <c r="I186" s="24" t="n"/>
      <c r="J186" s="24" t="n"/>
      <c r="K186" s="24" t="n"/>
      <c r="L186" s="24" t="n"/>
      <c r="M186" s="11" t="n"/>
      <c r="N186" s="11" t="n"/>
      <c r="O186" s="11" t="n"/>
      <c r="P186" s="11" t="n"/>
      <c r="Q186" s="18">
        <f>IF(E186="","",E186+1)</f>
        <v/>
      </c>
      <c r="R186" s="19">
        <f>IF(E186="","",TODAY()-E186)</f>
        <v/>
      </c>
      <c r="S186" s="22" t="n"/>
      <c r="T186" s="22" t="n"/>
      <c r="U186" s="7" t="n"/>
      <c r="V186" s="26" t="n"/>
    </row>
    <row r="187">
      <c r="A187" s="10" t="n"/>
      <c r="B187" s="11" t="n"/>
      <c r="C187" s="12" t="n"/>
      <c r="D187" s="12" t="n"/>
      <c r="E187" s="12" t="n"/>
      <c r="F187" s="22" t="n"/>
      <c r="G187" s="22" t="n"/>
      <c r="H187" s="11" t="n"/>
      <c r="I187" s="24" t="n"/>
      <c r="J187" s="24" t="n"/>
      <c r="K187" s="24" t="n"/>
      <c r="L187" s="24" t="n"/>
      <c r="M187" s="11" t="n"/>
      <c r="N187" s="11" t="n"/>
      <c r="O187" s="11" t="n"/>
      <c r="P187" s="11" t="n"/>
      <c r="Q187" s="18">
        <f>IF(E187="","",E187+1)</f>
        <v/>
      </c>
      <c r="R187" s="19">
        <f>IF(E187="","",TODAY()-E187)</f>
        <v/>
      </c>
      <c r="S187" s="22" t="n"/>
      <c r="T187" s="22" t="n"/>
      <c r="U187" s="7" t="n"/>
      <c r="V187" s="26" t="n"/>
    </row>
    <row r="188">
      <c r="A188" s="10" t="n"/>
      <c r="B188" s="11" t="n"/>
      <c r="C188" s="12" t="n"/>
      <c r="D188" s="12" t="n"/>
      <c r="E188" s="12" t="n"/>
      <c r="F188" s="22" t="n"/>
      <c r="G188" s="22" t="n"/>
      <c r="H188" s="11" t="n"/>
      <c r="I188" s="24" t="n"/>
      <c r="J188" s="24" t="n"/>
      <c r="K188" s="24" t="n"/>
      <c r="L188" s="24" t="n"/>
      <c r="M188" s="11" t="n"/>
      <c r="N188" s="11" t="n"/>
      <c r="O188" s="11" t="n"/>
      <c r="P188" s="11" t="n"/>
      <c r="Q188" s="18">
        <f>IF(E188="","",E188+1)</f>
        <v/>
      </c>
      <c r="R188" s="19">
        <f>IF(E188="","",TODAY()-E188)</f>
        <v/>
      </c>
      <c r="S188" s="22" t="n"/>
      <c r="T188" s="22" t="n"/>
      <c r="U188" s="7" t="n"/>
      <c r="V188" s="26" t="n"/>
    </row>
    <row r="189">
      <c r="A189" s="10" t="n"/>
      <c r="B189" s="11" t="n"/>
      <c r="C189" s="12" t="n"/>
      <c r="D189" s="12" t="n"/>
      <c r="E189" s="12" t="n"/>
      <c r="F189" s="22" t="n"/>
      <c r="G189" s="22" t="n"/>
      <c r="H189" s="11" t="n"/>
      <c r="I189" s="24" t="n"/>
      <c r="J189" s="24" t="n"/>
      <c r="K189" s="24" t="n"/>
      <c r="L189" s="24" t="n"/>
      <c r="M189" s="11" t="n"/>
      <c r="N189" s="11" t="n"/>
      <c r="O189" s="11" t="n"/>
      <c r="P189" s="11" t="n"/>
      <c r="Q189" s="18">
        <f>IF(E189="","",E189+1)</f>
        <v/>
      </c>
      <c r="R189" s="19">
        <f>IF(E189="","",TODAY()-E189)</f>
        <v/>
      </c>
      <c r="S189" s="22" t="n"/>
      <c r="T189" s="22" t="n"/>
      <c r="U189" s="7" t="n"/>
      <c r="V189" s="26" t="n"/>
    </row>
    <row r="190">
      <c r="A190" s="10" t="n"/>
      <c r="B190" s="11" t="n"/>
      <c r="C190" s="12" t="n"/>
      <c r="D190" s="12" t="n"/>
      <c r="E190" s="12" t="n"/>
      <c r="F190" s="22" t="n"/>
      <c r="G190" s="22" t="n"/>
      <c r="H190" s="11" t="n"/>
      <c r="I190" s="24" t="n"/>
      <c r="J190" s="24" t="n"/>
      <c r="K190" s="24" t="n"/>
      <c r="L190" s="24" t="n"/>
      <c r="M190" s="11" t="n"/>
      <c r="N190" s="11" t="n"/>
      <c r="O190" s="11" t="n"/>
      <c r="P190" s="11" t="n"/>
      <c r="Q190" s="18">
        <f>IF(E190="","",E190+1)</f>
        <v/>
      </c>
      <c r="R190" s="19">
        <f>IF(E190="","",TODAY()-E190)</f>
        <v/>
      </c>
      <c r="S190" s="22" t="n"/>
      <c r="T190" s="22" t="n"/>
      <c r="U190" s="7" t="n"/>
      <c r="V190" s="26" t="n"/>
    </row>
    <row r="191">
      <c r="A191" s="10" t="n"/>
      <c r="B191" s="11" t="n"/>
      <c r="C191" s="12" t="n"/>
      <c r="D191" s="12" t="n"/>
      <c r="E191" s="12" t="n"/>
      <c r="F191" s="22" t="n"/>
      <c r="G191" s="22" t="n"/>
      <c r="H191" s="11" t="n"/>
      <c r="I191" s="24" t="n"/>
      <c r="J191" s="24" t="n"/>
      <c r="K191" s="24" t="n"/>
      <c r="L191" s="24" t="n"/>
      <c r="M191" s="11" t="n"/>
      <c r="N191" s="11" t="n"/>
      <c r="O191" s="11" t="n"/>
      <c r="P191" s="11" t="n"/>
      <c r="Q191" s="18">
        <f>IF(E191="","",E191+1)</f>
        <v/>
      </c>
      <c r="R191" s="19">
        <f>IF(E191="","",TODAY()-E191)</f>
        <v/>
      </c>
      <c r="S191" s="22" t="n"/>
      <c r="T191" s="22" t="n"/>
      <c r="U191" s="7" t="n"/>
      <c r="V191" s="26" t="n"/>
    </row>
    <row r="192">
      <c r="A192" s="10" t="n"/>
      <c r="B192" s="11" t="n"/>
      <c r="C192" s="12" t="n"/>
      <c r="D192" s="12" t="n"/>
      <c r="E192" s="12" t="n"/>
      <c r="F192" s="22" t="n"/>
      <c r="G192" s="22" t="n"/>
      <c r="H192" s="11" t="n"/>
      <c r="I192" s="24" t="n"/>
      <c r="J192" s="24" t="n"/>
      <c r="K192" s="24" t="n"/>
      <c r="L192" s="24" t="n"/>
      <c r="M192" s="11" t="n"/>
      <c r="N192" s="11" t="n"/>
      <c r="O192" s="11" t="n"/>
      <c r="P192" s="11" t="n"/>
      <c r="Q192" s="18">
        <f>IF(E192="","",E192+1)</f>
        <v/>
      </c>
      <c r="R192" s="19">
        <f>IF(E192="","",TODAY()-E192)</f>
        <v/>
      </c>
      <c r="S192" s="22" t="n"/>
      <c r="T192" s="22" t="n"/>
      <c r="U192" s="7" t="n"/>
      <c r="V192" s="26" t="n"/>
    </row>
    <row r="193">
      <c r="A193" s="10" t="n"/>
      <c r="B193" s="11" t="n"/>
      <c r="C193" s="12" t="n"/>
      <c r="D193" s="12" t="n"/>
      <c r="E193" s="12" t="n"/>
      <c r="F193" s="22" t="n"/>
      <c r="G193" s="22" t="n"/>
      <c r="H193" s="11" t="n"/>
      <c r="I193" s="24" t="n"/>
      <c r="J193" s="24" t="n"/>
      <c r="K193" s="24" t="n"/>
      <c r="L193" s="24" t="n"/>
      <c r="M193" s="11" t="n"/>
      <c r="N193" s="11" t="n"/>
      <c r="O193" s="11" t="n"/>
      <c r="P193" s="11" t="n"/>
      <c r="Q193" s="18">
        <f>IF(E193="","",E193+1)</f>
        <v/>
      </c>
      <c r="R193" s="19">
        <f>IF(E193="","",TODAY()-E193)</f>
        <v/>
      </c>
      <c r="S193" s="22" t="n"/>
      <c r="T193" s="22" t="n"/>
      <c r="U193" s="7" t="n"/>
      <c r="V193" s="26" t="n"/>
    </row>
    <row r="194">
      <c r="A194" s="10" t="n"/>
      <c r="B194" s="11" t="n"/>
      <c r="C194" s="12" t="n"/>
      <c r="D194" s="12" t="n"/>
      <c r="E194" s="12" t="n"/>
      <c r="F194" s="22" t="n"/>
      <c r="G194" s="22" t="n"/>
      <c r="H194" s="11" t="n"/>
      <c r="I194" s="24" t="n"/>
      <c r="J194" s="24" t="n"/>
      <c r="K194" s="24" t="n"/>
      <c r="L194" s="24" t="n"/>
      <c r="M194" s="11" t="n"/>
      <c r="N194" s="11" t="n"/>
      <c r="O194" s="11" t="n"/>
      <c r="P194" s="11" t="n"/>
      <c r="Q194" s="18">
        <f>IF(E194="","",E194+1)</f>
        <v/>
      </c>
      <c r="R194" s="19">
        <f>IF(E194="","",TODAY()-E194)</f>
        <v/>
      </c>
      <c r="S194" s="22" t="n"/>
      <c r="T194" s="22" t="n"/>
      <c r="U194" s="7" t="n"/>
      <c r="V194" s="26" t="n"/>
    </row>
    <row r="195">
      <c r="A195" s="10" t="n"/>
      <c r="B195" s="11" t="n"/>
      <c r="C195" s="12" t="n"/>
      <c r="D195" s="12" t="n"/>
      <c r="E195" s="12" t="n"/>
      <c r="F195" s="22" t="n"/>
      <c r="G195" s="22" t="n"/>
      <c r="H195" s="11" t="n"/>
      <c r="I195" s="24" t="n"/>
      <c r="J195" s="24" t="n"/>
      <c r="K195" s="24" t="n"/>
      <c r="L195" s="24" t="n"/>
      <c r="M195" s="11" t="n"/>
      <c r="N195" s="11" t="n"/>
      <c r="O195" s="11" t="n"/>
      <c r="P195" s="11" t="n"/>
      <c r="Q195" s="18">
        <f>IF(E195="","",E195+1)</f>
        <v/>
      </c>
      <c r="R195" s="19">
        <f>IF(E195="","",TODAY()-E195)</f>
        <v/>
      </c>
      <c r="S195" s="22" t="n"/>
      <c r="T195" s="22" t="n"/>
      <c r="U195" s="7" t="n"/>
      <c r="V195" s="26" t="n"/>
    </row>
    <row r="196">
      <c r="A196" s="10" t="n"/>
      <c r="B196" s="11" t="n"/>
      <c r="C196" s="12" t="n"/>
      <c r="D196" s="12" t="n"/>
      <c r="E196" s="12" t="n"/>
      <c r="F196" s="22" t="n"/>
      <c r="G196" s="22" t="n"/>
      <c r="H196" s="11" t="n"/>
      <c r="I196" s="24" t="n"/>
      <c r="J196" s="24" t="n"/>
      <c r="K196" s="24" t="n"/>
      <c r="L196" s="24" t="n"/>
      <c r="M196" s="11" t="n"/>
      <c r="N196" s="11" t="n"/>
      <c r="O196" s="11" t="n"/>
      <c r="P196" s="11" t="n"/>
      <c r="Q196" s="18">
        <f>IF(E196="","",E196+1)</f>
        <v/>
      </c>
      <c r="R196" s="19">
        <f>IF(E196="","",TODAY()-E196)</f>
        <v/>
      </c>
      <c r="S196" s="22" t="n"/>
      <c r="T196" s="22" t="n"/>
      <c r="U196" s="7" t="n"/>
      <c r="V196" s="26" t="n"/>
    </row>
    <row r="197">
      <c r="A197" s="10" t="n"/>
      <c r="B197" s="11" t="n"/>
      <c r="C197" s="12" t="n"/>
      <c r="D197" s="12" t="n"/>
      <c r="E197" s="12" t="n"/>
      <c r="F197" s="22" t="n"/>
      <c r="G197" s="22" t="n"/>
      <c r="H197" s="11" t="n"/>
      <c r="I197" s="24" t="n"/>
      <c r="J197" s="24" t="n"/>
      <c r="K197" s="24" t="n"/>
      <c r="L197" s="24" t="n"/>
      <c r="M197" s="11" t="n"/>
      <c r="N197" s="11" t="n"/>
      <c r="O197" s="11" t="n"/>
      <c r="P197" s="11" t="n"/>
      <c r="Q197" s="18">
        <f>IF(E197="","",E197+1)</f>
        <v/>
      </c>
      <c r="R197" s="19">
        <f>IF(E197="","",TODAY()-E197)</f>
        <v/>
      </c>
      <c r="S197" s="22" t="n"/>
      <c r="T197" s="22" t="n"/>
      <c r="U197" s="7" t="n"/>
      <c r="V197" s="26" t="n"/>
    </row>
    <row r="198">
      <c r="A198" s="10" t="n"/>
      <c r="B198" s="11" t="n"/>
      <c r="C198" s="12" t="n"/>
      <c r="D198" s="12" t="n"/>
      <c r="E198" s="12" t="n"/>
      <c r="F198" s="22" t="n"/>
      <c r="G198" s="22" t="n"/>
      <c r="H198" s="11" t="n"/>
      <c r="I198" s="24" t="n"/>
      <c r="J198" s="24" t="n"/>
      <c r="K198" s="24" t="n"/>
      <c r="L198" s="24" t="n"/>
      <c r="M198" s="11" t="n"/>
      <c r="N198" s="11" t="n"/>
      <c r="O198" s="11" t="n"/>
      <c r="P198" s="11" t="n"/>
      <c r="Q198" s="18">
        <f>IF(E198="","",E198+1)</f>
        <v/>
      </c>
      <c r="R198" s="19">
        <f>IF(E198="","",TODAY()-E198)</f>
        <v/>
      </c>
      <c r="S198" s="22" t="n"/>
      <c r="T198" s="22" t="n"/>
      <c r="U198" s="7" t="n"/>
      <c r="V198" s="26" t="n"/>
    </row>
    <row r="199">
      <c r="A199" s="10" t="n"/>
      <c r="B199" s="11" t="n"/>
      <c r="C199" s="12" t="n"/>
      <c r="D199" s="12" t="n"/>
      <c r="E199" s="12" t="n"/>
      <c r="F199" s="22" t="n"/>
      <c r="G199" s="22" t="n"/>
      <c r="H199" s="11" t="n"/>
      <c r="I199" s="24" t="n"/>
      <c r="J199" s="24" t="n"/>
      <c r="K199" s="24" t="n"/>
      <c r="L199" s="24" t="n"/>
      <c r="M199" s="11" t="n"/>
      <c r="N199" s="11" t="n"/>
      <c r="O199" s="11" t="n"/>
      <c r="P199" s="11" t="n"/>
      <c r="Q199" s="18">
        <f>IF(E199="","",E199+1)</f>
        <v/>
      </c>
      <c r="R199" s="19">
        <f>IF(E199="","",TODAY()-E199)</f>
        <v/>
      </c>
      <c r="S199" s="22" t="n"/>
      <c r="T199" s="22" t="n"/>
      <c r="U199" s="7" t="n"/>
      <c r="V199" s="26" t="n"/>
    </row>
    <row r="200">
      <c r="A200" s="10" t="n"/>
      <c r="B200" s="11" t="n"/>
      <c r="C200" s="12" t="n"/>
      <c r="D200" s="12" t="n"/>
      <c r="E200" s="12" t="n"/>
      <c r="F200" s="22" t="n"/>
      <c r="G200" s="22" t="n"/>
      <c r="H200" s="11" t="n"/>
      <c r="I200" s="24" t="n"/>
      <c r="J200" s="24" t="n"/>
      <c r="K200" s="24" t="n"/>
      <c r="L200" s="24" t="n"/>
      <c r="M200" s="11" t="n"/>
      <c r="N200" s="11" t="n"/>
      <c r="O200" s="11" t="n"/>
      <c r="P200" s="11" t="n"/>
      <c r="Q200" s="18">
        <f>IF(E200="","",E200+1)</f>
        <v/>
      </c>
      <c r="R200" s="19">
        <f>IF(E200="","",TODAY()-E200)</f>
        <v/>
      </c>
      <c r="S200" s="22" t="n"/>
      <c r="T200" s="22" t="n"/>
      <c r="U200" s="7" t="n"/>
      <c r="V200" s="26" t="n"/>
    </row>
    <row r="201">
      <c r="A201" s="10" t="n"/>
      <c r="B201" s="11" t="n"/>
      <c r="C201" s="12" t="n"/>
      <c r="D201" s="12" t="n"/>
      <c r="E201" s="12" t="n"/>
      <c r="F201" s="22" t="n"/>
      <c r="G201" s="22" t="n"/>
      <c r="H201" s="11" t="n"/>
      <c r="I201" s="24" t="n"/>
      <c r="J201" s="24" t="n"/>
      <c r="K201" s="24" t="n"/>
      <c r="L201" s="24" t="n"/>
      <c r="M201" s="11" t="n"/>
      <c r="N201" s="11" t="n"/>
      <c r="O201" s="11" t="n"/>
      <c r="P201" s="11" t="n"/>
      <c r="Q201" s="18">
        <f>IF(E201="","",E201+1)</f>
        <v/>
      </c>
      <c r="R201" s="19">
        <f>IF(E201="","",TODAY()-E201)</f>
        <v/>
      </c>
      <c r="S201" s="22" t="n"/>
      <c r="T201" s="22" t="n"/>
      <c r="U201" s="7" t="n"/>
      <c r="V201" s="26" t="n"/>
    </row>
    <row r="202">
      <c r="A202" s="10" t="n"/>
      <c r="B202" s="11" t="n"/>
      <c r="C202" s="12" t="n"/>
      <c r="D202" s="12" t="n"/>
      <c r="E202" s="12" t="n"/>
      <c r="F202" s="22" t="n"/>
      <c r="G202" s="22" t="n"/>
      <c r="H202" s="11" t="n"/>
      <c r="I202" s="24" t="n"/>
      <c r="J202" s="24" t="n"/>
      <c r="K202" s="24" t="n"/>
      <c r="L202" s="24" t="n"/>
      <c r="M202" s="11" t="n"/>
      <c r="N202" s="11" t="n"/>
      <c r="O202" s="11" t="n"/>
      <c r="P202" s="11" t="n"/>
      <c r="Q202" s="18">
        <f>IF(E202="","",E202+1)</f>
        <v/>
      </c>
      <c r="R202" s="19">
        <f>IF(E202="","",TODAY()-E202)</f>
        <v/>
      </c>
      <c r="S202" s="22" t="n"/>
      <c r="T202" s="22" t="n"/>
      <c r="U202" s="7" t="n"/>
      <c r="V202" s="26" t="n"/>
    </row>
    <row r="203">
      <c r="A203" s="10" t="n"/>
      <c r="B203" s="11" t="n"/>
      <c r="C203" s="12" t="n"/>
      <c r="D203" s="12" t="n"/>
      <c r="E203" s="12" t="n"/>
      <c r="F203" s="22" t="n"/>
      <c r="G203" s="22" t="n"/>
      <c r="H203" s="11" t="n"/>
      <c r="I203" s="24" t="n"/>
      <c r="J203" s="24" t="n"/>
      <c r="K203" s="24" t="n"/>
      <c r="L203" s="24" t="n"/>
      <c r="M203" s="11" t="n"/>
      <c r="N203" s="11" t="n"/>
      <c r="O203" s="11" t="n"/>
      <c r="P203" s="11" t="n"/>
      <c r="Q203" s="18">
        <f>IF(E203="","",E203+1)</f>
        <v/>
      </c>
      <c r="R203" s="19">
        <f>IF(E203="","",TODAY()-E203)</f>
        <v/>
      </c>
      <c r="S203" s="22" t="n"/>
      <c r="T203" s="22" t="n"/>
      <c r="U203" s="7" t="n"/>
      <c r="V203" s="26" t="n"/>
    </row>
    <row r="204">
      <c r="A204" s="10" t="n"/>
      <c r="B204" s="11" t="n"/>
      <c r="C204" s="12" t="n"/>
      <c r="D204" s="12" t="n"/>
      <c r="E204" s="12" t="n"/>
      <c r="F204" s="22" t="n"/>
      <c r="G204" s="22" t="n"/>
      <c r="H204" s="11" t="n"/>
      <c r="I204" s="24" t="n"/>
      <c r="J204" s="24" t="n"/>
      <c r="K204" s="24" t="n"/>
      <c r="L204" s="24" t="n"/>
      <c r="M204" s="11" t="n"/>
      <c r="N204" s="11" t="n"/>
      <c r="O204" s="11" t="n"/>
      <c r="P204" s="11" t="n"/>
      <c r="Q204" s="18">
        <f>IF(E204="","",E204+1)</f>
        <v/>
      </c>
      <c r="R204" s="19">
        <f>IF(E204="","",TODAY()-E204)</f>
        <v/>
      </c>
      <c r="S204" s="22" t="n"/>
      <c r="T204" s="22" t="n"/>
      <c r="U204" s="7" t="n"/>
      <c r="V204" s="26" t="n"/>
    </row>
    <row r="205">
      <c r="A205" s="10" t="n"/>
      <c r="B205" s="11" t="n"/>
      <c r="C205" s="12" t="n"/>
      <c r="D205" s="12" t="n"/>
      <c r="E205" s="12" t="n"/>
      <c r="F205" s="22" t="n"/>
      <c r="G205" s="22" t="n"/>
      <c r="H205" s="11" t="n"/>
      <c r="I205" s="24" t="n"/>
      <c r="J205" s="24" t="n"/>
      <c r="K205" s="24" t="n"/>
      <c r="L205" s="24" t="n"/>
      <c r="M205" s="11" t="n"/>
      <c r="N205" s="11" t="n"/>
      <c r="O205" s="11" t="n"/>
      <c r="P205" s="11" t="n"/>
      <c r="Q205" s="18">
        <f>IF(E205="","",E205+1)</f>
        <v/>
      </c>
      <c r="R205" s="19">
        <f>IF(E205="","",TODAY()-E205)</f>
        <v/>
      </c>
      <c r="S205" s="22" t="n"/>
      <c r="T205" s="22" t="n"/>
      <c r="U205" s="7" t="n"/>
      <c r="V205" s="26" t="n"/>
    </row>
    <row r="206">
      <c r="A206" s="10" t="n"/>
      <c r="B206" s="11" t="n"/>
      <c r="C206" s="12" t="n"/>
      <c r="D206" s="12" t="n"/>
      <c r="E206" s="12" t="n"/>
      <c r="F206" s="22" t="n"/>
      <c r="G206" s="22" t="n"/>
      <c r="H206" s="11" t="n"/>
      <c r="I206" s="24" t="n"/>
      <c r="J206" s="24" t="n"/>
      <c r="K206" s="24" t="n"/>
      <c r="L206" s="24" t="n"/>
      <c r="M206" s="11" t="n"/>
      <c r="N206" s="11" t="n"/>
      <c r="O206" s="11" t="n"/>
      <c r="P206" s="11" t="n"/>
      <c r="Q206" s="18">
        <f>IF(E206="","",E206+1)</f>
        <v/>
      </c>
      <c r="R206" s="19">
        <f>IF(E206="","",TODAY()-E206)</f>
        <v/>
      </c>
      <c r="S206" s="22" t="n"/>
      <c r="T206" s="22" t="n"/>
      <c r="U206" s="7" t="n"/>
      <c r="V206" s="26" t="n"/>
    </row>
    <row r="207">
      <c r="A207" s="10" t="n"/>
      <c r="B207" s="11" t="n"/>
      <c r="C207" s="12" t="n"/>
      <c r="D207" s="12" t="n"/>
      <c r="E207" s="12" t="n"/>
      <c r="F207" s="22" t="n"/>
      <c r="G207" s="22" t="n"/>
      <c r="H207" s="11" t="n"/>
      <c r="I207" s="24" t="n"/>
      <c r="J207" s="24" t="n"/>
      <c r="K207" s="24" t="n"/>
      <c r="L207" s="24" t="n"/>
      <c r="M207" s="11" t="n"/>
      <c r="N207" s="11" t="n"/>
      <c r="O207" s="11" t="n"/>
      <c r="P207" s="11" t="n"/>
      <c r="Q207" s="18">
        <f>IF(E207="","",E207+1)</f>
        <v/>
      </c>
      <c r="R207" s="19">
        <f>IF(E207="","",TODAY()-E207)</f>
        <v/>
      </c>
      <c r="S207" s="22" t="n"/>
      <c r="T207" s="22" t="n"/>
      <c r="U207" s="7" t="n"/>
      <c r="V207" s="26" t="n"/>
    </row>
    <row r="208">
      <c r="A208" s="13" t="n"/>
      <c r="B208" s="14" t="n"/>
      <c r="C208" s="15" t="n"/>
      <c r="D208" s="15" t="n"/>
      <c r="E208" s="15" t="n"/>
      <c r="F208" s="23" t="n"/>
      <c r="G208" s="23" t="n"/>
      <c r="H208" s="14" t="n"/>
      <c r="I208" s="25" t="n"/>
      <c r="J208" s="25" t="n"/>
      <c r="K208" s="25" t="n"/>
      <c r="L208" s="25" t="n"/>
      <c r="M208" s="14" t="n"/>
      <c r="N208" s="14" t="n"/>
      <c r="O208" s="14" t="n"/>
      <c r="P208" s="14" t="n"/>
      <c r="Q208" s="20">
        <f>IF(E208="","",E208+1)</f>
        <v/>
      </c>
      <c r="R208" s="21">
        <f>IF(E208="","",TODAY()-E208)</f>
        <v/>
      </c>
      <c r="S208" s="23" t="n"/>
      <c r="T208" s="23" t="n"/>
      <c r="U208" s="8" t="n"/>
      <c r="V208" s="27" t="n"/>
    </row>
  </sheetData>
  <mergeCells count="5">
    <mergeCell ref="A2:V2"/>
    <mergeCell ref="A1:V1"/>
    <mergeCell ref="A8:V8"/>
    <mergeCell ref="A3:V3"/>
    <mergeCell ref="H5:V6"/>
  </mergeCells>
  <conditionalFormatting sqref="P11:P208">
    <cfRule type="expression" priority="1" dxfId="6">
      <formula>P11="RECOMENDADA"</formula>
    </cfRule>
    <cfRule type="expression" priority="2" dxfId="5">
      <formula>P11="APROVADA - AGUARDANDO EXECUÇÃO"</formula>
    </cfRule>
    <cfRule type="expression" priority="3" dxfId="4">
      <formula>P11="EXECUTADA - EM MATURAÇÃO"</formula>
    </cfRule>
    <cfRule type="expression" priority="4" dxfId="3">
      <formula>P11="EXECUTADA - AVALIADA"</formula>
    </cfRule>
    <cfRule type="expression" priority="5" dxfId="2">
      <formula>P11="APROVADA - NÃO EXECUTADA"</formula>
    </cfRule>
    <cfRule type="expression" priority="6" dxfId="1">
      <formula>P11="REJEITADA"</formula>
    </cfRule>
    <cfRule type="expression" priority="7" dxfId="0">
      <formula>LEFT(P11,9)="BLOQUEADA"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topLeftCell="A8" workbookViewId="0">
      <selection activeCell="B19" sqref="B19:B32"/>
    </sheetView>
  </sheetViews>
  <sheetFormatPr baseColWidth="8" defaultRowHeight="14.25"/>
  <cols>
    <col width="21" customWidth="1" style="39" min="1" max="1"/>
    <col width="78" customWidth="1" style="39" min="2" max="2"/>
    <col width="31" customWidth="1" style="39" min="3" max="3"/>
    <col width="22" customWidth="1" style="39" min="5" max="5"/>
    <col width="18" customWidth="1" style="39" min="7" max="7"/>
  </cols>
  <sheetData>
    <row r="1" ht="27.95" customHeight="1" s="39">
      <c r="A1" s="67" t="inlineStr">
        <is>
          <t>LISTAS E REGRAS DE PREENCHIMENTO</t>
        </is>
      </c>
    </row>
    <row r="3" ht="15" customHeight="1" s="39">
      <c r="A3" s="30" t="inlineStr">
        <is>
          <t>TIPOS DE AÇÃO</t>
        </is>
      </c>
      <c r="C3" s="30" t="inlineStr">
        <is>
          <t>STATUS</t>
        </is>
      </c>
      <c r="E3" s="30" t="inlineStr">
        <is>
          <t>SIM / NÃO / PENDENTE</t>
        </is>
      </c>
      <c r="G3" s="30" t="inlineStr">
        <is>
          <t>CONFIANÇA</t>
        </is>
      </c>
    </row>
    <row r="4">
      <c r="A4" s="28" t="inlineStr">
        <is>
          <t>AUMENTAR LANCE</t>
        </is>
      </c>
      <c r="C4" s="28" t="inlineStr">
        <is>
          <t>RECOMENDADA</t>
        </is>
      </c>
      <c r="E4" s="28" t="inlineStr">
        <is>
          <t>SIM</t>
        </is>
      </c>
      <c r="G4" s="28" t="inlineStr">
        <is>
          <t>ALTA</t>
        </is>
      </c>
    </row>
    <row r="5">
      <c r="A5" s="28" t="inlineStr">
        <is>
          <t>REDUZIR LANCE</t>
        </is>
      </c>
      <c r="C5" s="28" t="inlineStr">
        <is>
          <t>APROVADA - AGUARDANDO EXECUÇÃO</t>
        </is>
      </c>
      <c r="E5" s="28" t="inlineStr">
        <is>
          <t>NÃO</t>
        </is>
      </c>
      <c r="G5" s="28" t="inlineStr">
        <is>
          <t>MÉDIA</t>
        </is>
      </c>
    </row>
    <row r="6">
      <c r="A6" s="28" t="inlineStr">
        <is>
          <t>AUMENTAR ORÇAMENTO</t>
        </is>
      </c>
      <c r="C6" s="28" t="inlineStr">
        <is>
          <t>EXECUTADA - EM MATURAÇÃO</t>
        </is>
      </c>
      <c r="E6" s="29" t="inlineStr">
        <is>
          <t>PENDENTE</t>
        </is>
      </c>
      <c r="G6" s="29" t="inlineStr">
        <is>
          <t>BAIXA</t>
        </is>
      </c>
    </row>
    <row r="7">
      <c r="A7" s="28" t="inlineStr">
        <is>
          <t>REDUZIR ORÇAMENTO</t>
        </is>
      </c>
      <c r="C7" s="28" t="inlineStr">
        <is>
          <t>EXECUTADA - AVALIADA</t>
        </is>
      </c>
    </row>
    <row r="8">
      <c r="A8" s="28" t="inlineStr">
        <is>
          <t>PAUSAR ALVO</t>
        </is>
      </c>
      <c r="C8" s="28" t="inlineStr">
        <is>
          <t>APROVADA - NÃO EXECUTADA</t>
        </is>
      </c>
    </row>
    <row r="9">
      <c r="A9" s="28" t="inlineStr">
        <is>
          <t>PAUSAR CAMPANHA</t>
        </is>
      </c>
      <c r="C9" s="28" t="inlineStr">
        <is>
          <t>REJEITADA</t>
        </is>
      </c>
    </row>
    <row r="10">
      <c r="A10" s="28" t="inlineStr">
        <is>
          <t>ATIVAR ALVO</t>
        </is>
      </c>
      <c r="C10" s="28" t="inlineStr">
        <is>
          <t>BLOQUEADA - CONFERIR ESTADO</t>
        </is>
      </c>
    </row>
    <row r="11">
      <c r="A11" s="28" t="inlineStr">
        <is>
          <t>ATIVAR CAMPANHA</t>
        </is>
      </c>
      <c r="C11" s="29" t="inlineStr">
        <is>
          <t>BLOQUEADA - DADO FALTANTE</t>
        </is>
      </c>
    </row>
    <row r="12">
      <c r="A12" s="28" t="inlineStr">
        <is>
          <t>NEGATIVAR TERMO</t>
        </is>
      </c>
    </row>
    <row r="13">
      <c r="A13" s="28" t="inlineStr">
        <is>
          <t>NEGATIVAR ASIN</t>
        </is>
      </c>
    </row>
    <row r="14">
      <c r="A14" s="28" t="inlineStr">
        <is>
          <t>PROMOVER PARA MANUAL</t>
        </is>
      </c>
    </row>
    <row r="15">
      <c r="A15" s="29" t="inlineStr">
        <is>
          <t>ALTERAR AJUSTE TOPO</t>
        </is>
      </c>
    </row>
    <row r="18" ht="15" customHeight="1" s="39">
      <c r="A18" s="68" t="inlineStr">
        <is>
          <t>REGRAS IMPORTANTES</t>
        </is>
      </c>
    </row>
    <row r="19" ht="29.25" customHeight="1" s="39">
      <c r="A19" s="31" t="inlineStr">
        <is>
          <t>1</t>
        </is>
      </c>
      <c r="B19" s="32" t="inlineStr">
        <is>
          <t>Uma recomendação não é uma execução. Só marque Executado = SIM após confirmação humana.</t>
        </is>
      </c>
    </row>
    <row r="20" ht="29.25" customHeight="1" s="39">
      <c r="A20" s="33" t="inlineStr">
        <is>
          <t>2</t>
        </is>
      </c>
      <c r="B20" s="34" t="inlineStr">
        <is>
          <t>Antes de executar, confirme o estado/valor atual na Amazon. Divergência = BLOQUEADA - CONFERIR ESTADO.</t>
        </is>
      </c>
    </row>
    <row r="21" ht="29.25" customHeight="1" s="39">
      <c r="A21" s="33" t="inlineStr">
        <is>
          <t>3</t>
        </is>
      </c>
      <c r="B21" s="34" t="inlineStr">
        <is>
          <t>Não estime valores ausentes. Dado necessário faltando = BLOQUEADA - DADO FALTANTE.</t>
        </is>
      </c>
    </row>
    <row r="22" ht="15" customHeight="1" s="39">
      <c r="A22" s="33" t="inlineStr">
        <is>
          <t>4</t>
        </is>
      </c>
      <c r="B22" s="34" t="inlineStr">
        <is>
          <t>A janela pós-alteração começa preferencialmente no dia seguinte à execução.</t>
        </is>
      </c>
    </row>
    <row r="23" ht="29.25" customHeight="1" s="39">
      <c r="A23" s="33" t="inlineStr">
        <is>
          <t>5</t>
        </is>
      </c>
      <c r="B23" s="34" t="inlineStr">
        <is>
          <t>Mudança seguida de resultado não prova causalidade. Registre o que ocorreu antes de afirmar causa.</t>
        </is>
      </c>
    </row>
    <row r="24" ht="29.25" customHeight="1" s="39">
      <c r="A24" s="35" t="inlineStr">
        <is>
          <t>6</t>
        </is>
      </c>
      <c r="B24" s="36" t="inlineStr">
        <is>
          <t>Este registro é histórico operacional; não substitui Skill, Playbook, Parâmetros Vigentes ou Planilha Mestra.</t>
        </is>
      </c>
    </row>
  </sheetData>
  <mergeCells count="2">
    <mergeCell ref="A18:H18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2026-10-19T17:10:12Z</dcterms:created>
  <dcterms:modified xsi:type="dcterms:W3CDTF">2026-10-21T15:16:51Z</dcterms:modified>
  <cp:lastModifiedBy>Usuário do Windows</cp:lastModifiedBy>
</cp:coreProperties>
</file>